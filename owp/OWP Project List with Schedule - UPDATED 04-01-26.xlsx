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M:\Project &amp; Estimate Tracking\"/>
    </mc:Choice>
  </mc:AlternateContent>
  <xr:revisionPtr revIDLastSave="0" documentId="13_ncr:1_{E2654640-613E-4CE0-B1DF-FEDDC8DB7ACB}" xr6:coauthVersionLast="47" xr6:coauthVersionMax="47" xr10:uidLastSave="{00000000-0000-0000-0000-000000000000}"/>
  <bookViews>
    <workbookView xWindow="77295" yWindow="0" windowWidth="26010" windowHeight="20985" xr2:uid="{00000000-000D-0000-FFFF-FFFF00000000}"/>
  </bookViews>
  <sheets>
    <sheet name="Schedule" sheetId="1" r:id="rId1"/>
    <sheet name="Job Info" sheetId="2" r:id="rId2"/>
    <sheet name="Projects Bid" sheetId="3" r:id="rId3"/>
    <sheet name="BbQuantityLink" sheetId="6" state="veryHidden" r:id="rId4"/>
    <sheet name="Projects NOT Bid"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2" i="3" l="1"/>
  <c r="G422" i="3"/>
  <c r="G411" i="3"/>
  <c r="G384" i="3"/>
  <c r="G421" i="3"/>
  <c r="G420" i="3" l="1"/>
  <c r="G419" i="3"/>
  <c r="D81" i="7"/>
  <c r="G418" i="3" l="1"/>
  <c r="G417" i="3"/>
  <c r="G416" i="3"/>
  <c r="KH196" i="1"/>
  <c r="KJ196" i="1"/>
  <c r="G415" i="3" l="1"/>
  <c r="G414" i="3" l="1"/>
  <c r="G413" i="3"/>
  <c r="KB196" i="1"/>
  <c r="JX196" i="1"/>
  <c r="G412" i="3"/>
  <c r="G410" i="3"/>
  <c r="G409" i="3"/>
  <c r="G408" i="3"/>
  <c r="G407" i="3"/>
  <c r="G406" i="3"/>
  <c r="G405" i="3"/>
  <c r="G404" i="3" l="1"/>
  <c r="JV196" i="1"/>
  <c r="G403" i="3"/>
  <c r="G402" i="3"/>
  <c r="G401" i="3"/>
  <c r="G400" i="3"/>
  <c r="G399" i="3"/>
  <c r="G398" i="3"/>
  <c r="JN196" i="1"/>
  <c r="JL196" i="1"/>
  <c r="JP196" i="1"/>
  <c r="JR196" i="1"/>
  <c r="JT196" i="1"/>
  <c r="JZ196" i="1"/>
  <c r="KD196" i="1"/>
  <c r="KF196" i="1"/>
  <c r="KL196" i="1"/>
  <c r="KN196" i="1"/>
  <c r="KP196" i="1"/>
  <c r="KR196" i="1"/>
  <c r="KT196" i="1"/>
  <c r="KV196" i="1"/>
  <c r="KX196" i="1"/>
  <c r="KZ196" i="1"/>
  <c r="LB196" i="1"/>
  <c r="LD196" i="1"/>
  <c r="LF196" i="1"/>
  <c r="LH196" i="1"/>
  <c r="LJ196" i="1"/>
  <c r="LL196" i="1"/>
  <c r="LN196" i="1"/>
  <c r="LP196" i="1"/>
  <c r="LR196" i="1"/>
  <c r="LT196" i="1"/>
  <c r="LV196" i="1"/>
  <c r="LX196" i="1"/>
  <c r="LZ196" i="1"/>
  <c r="MB196" i="1"/>
  <c r="MD196" i="1"/>
  <c r="MF196" i="1"/>
  <c r="MH196" i="1"/>
  <c r="MJ196" i="1"/>
  <c r="ML196" i="1"/>
  <c r="MN196" i="1"/>
  <c r="MP196" i="1"/>
  <c r="MR196" i="1"/>
  <c r="MT196" i="1"/>
  <c r="MV196" i="1"/>
  <c r="JJ196" i="1"/>
  <c r="G397" i="3"/>
  <c r="JH196" i="1"/>
  <c r="G396" i="3"/>
  <c r="G395" i="3"/>
  <c r="G394" i="3" l="1"/>
  <c r="G393" i="3"/>
  <c r="G392" i="3"/>
  <c r="G391" i="3" l="1"/>
  <c r="G389" i="3"/>
  <c r="G390" i="3" l="1"/>
  <c r="G388" i="3"/>
  <c r="G387" i="3"/>
  <c r="G386" i="3" l="1"/>
  <c r="G385" i="3"/>
  <c r="JD196" i="1"/>
  <c r="JF196" i="1"/>
  <c r="MX196" i="1"/>
  <c r="JB196" i="1"/>
  <c r="F383" i="3" l="1"/>
  <c r="G383" i="3" s="1"/>
  <c r="G382" i="3"/>
  <c r="G381" i="3"/>
  <c r="G380" i="3"/>
  <c r="G379" i="3"/>
  <c r="G378" i="3"/>
  <c r="G377" i="3"/>
  <c r="G375" i="3"/>
  <c r="G376" i="3"/>
  <c r="G374" i="3"/>
  <c r="G373" i="3"/>
  <c r="G372" i="3"/>
  <c r="G371" i="3"/>
  <c r="G370" i="3" l="1"/>
  <c r="IZ196" i="1"/>
  <c r="IX196" i="1"/>
  <c r="G369" i="3" l="1"/>
  <c r="G368" i="3" l="1"/>
  <c r="G367" i="3"/>
  <c r="G353" i="3"/>
  <c r="G366" i="3" l="1"/>
  <c r="G365" i="3" l="1"/>
  <c r="G364" i="3"/>
  <c r="G363" i="3"/>
  <c r="G362" i="3" l="1"/>
  <c r="G361" i="3"/>
  <c r="G360" i="3"/>
  <c r="G359" i="3"/>
  <c r="G358" i="3"/>
  <c r="G357" i="3"/>
  <c r="G356" i="3"/>
  <c r="G355" i="3"/>
  <c r="G354" i="3"/>
  <c r="G352" i="3"/>
  <c r="G351" i="3" l="1"/>
  <c r="G350" i="3"/>
  <c r="G349" i="3"/>
  <c r="G348" i="3"/>
  <c r="IP196" i="1"/>
  <c r="IR196" i="1"/>
  <c r="IT196" i="1"/>
  <c r="IV196" i="1"/>
  <c r="G347" i="3"/>
  <c r="G346" i="3" l="1"/>
  <c r="G345" i="3"/>
  <c r="G344" i="3" l="1"/>
  <c r="IN196" i="1"/>
  <c r="G343" i="3" l="1"/>
  <c r="G342" i="3"/>
  <c r="G341" i="3"/>
  <c r="G340" i="3"/>
  <c r="G339" i="3"/>
  <c r="G338" i="3"/>
  <c r="G337" i="3"/>
  <c r="G336" i="3"/>
  <c r="G335" i="3"/>
  <c r="G334" i="3"/>
  <c r="G333" i="3"/>
  <c r="G331" i="3"/>
  <c r="G330" i="3"/>
  <c r="G329" i="3"/>
  <c r="G328" i="3"/>
  <c r="G327" i="3"/>
  <c r="G326" i="3"/>
  <c r="G325" i="3"/>
  <c r="G324" i="3"/>
  <c r="G323" i="3"/>
  <c r="G322" i="3"/>
  <c r="G321" i="3"/>
  <c r="G320" i="3"/>
  <c r="G319" i="3"/>
  <c r="G318" i="3" l="1"/>
  <c r="G317" i="3"/>
  <c r="G316" i="3" l="1"/>
  <c r="G315" i="3"/>
  <c r="G314" i="3" l="1"/>
  <c r="G313" i="3"/>
  <c r="G312" i="3" l="1"/>
  <c r="G311" i="3"/>
  <c r="G310" i="3" l="1"/>
  <c r="G309" i="3"/>
  <c r="G308" i="3"/>
  <c r="G307" i="3" l="1"/>
  <c r="G306" i="3"/>
  <c r="G305" i="3"/>
  <c r="G304" i="3"/>
  <c r="G303" i="3"/>
  <c r="G302" i="3" l="1"/>
  <c r="G301" i="3"/>
  <c r="F75" i="2"/>
  <c r="F88" i="2" l="1"/>
  <c r="F89" i="2"/>
  <c r="F91" i="2"/>
  <c r="F92" i="2"/>
  <c r="F93" i="2"/>
  <c r="F95" i="2"/>
  <c r="F96" i="2"/>
  <c r="F97" i="2"/>
  <c r="F98" i="2"/>
  <c r="F99" i="2"/>
  <c r="F101" i="2"/>
  <c r="F102" i="2"/>
  <c r="E87" i="2"/>
  <c r="F87" i="2" s="1"/>
  <c r="G300" i="3"/>
  <c r="G299" i="3"/>
  <c r="G298" i="3"/>
  <c r="G297" i="3"/>
  <c r="G296" i="3"/>
  <c r="G295" i="3"/>
  <c r="G294" i="3"/>
  <c r="G293" i="3"/>
  <c r="G292" i="3" l="1"/>
  <c r="G291" i="3" l="1"/>
  <c r="G290" i="3" l="1"/>
  <c r="G289" i="3"/>
  <c r="G287" i="3"/>
  <c r="G286" i="3" l="1"/>
  <c r="G285" i="3" l="1"/>
  <c r="G284" i="3"/>
  <c r="G283" i="3"/>
  <c r="G282" i="3"/>
  <c r="G281" i="3"/>
  <c r="G280" i="3"/>
  <c r="G279" i="3"/>
  <c r="G278" i="3"/>
  <c r="HX196" i="1"/>
  <c r="G276" i="3"/>
  <c r="G275" i="3"/>
  <c r="G274" i="3"/>
  <c r="ID196" i="1"/>
  <c r="G272" i="3"/>
  <c r="G271" i="3" l="1"/>
  <c r="G270" i="3"/>
  <c r="G269" i="3"/>
  <c r="F268" i="3"/>
  <c r="G268" i="3" s="1"/>
  <c r="G267" i="3"/>
  <c r="HV196" i="1"/>
  <c r="HZ196" i="1"/>
  <c r="IB196" i="1"/>
  <c r="IF196" i="1"/>
  <c r="IH196" i="1"/>
  <c r="IJ196" i="1"/>
  <c r="IL196" i="1"/>
  <c r="HT196" i="1"/>
  <c r="G266" i="3"/>
  <c r="G265" i="3" l="1"/>
  <c r="G264" i="3"/>
  <c r="G263" i="3"/>
  <c r="G262" i="3"/>
  <c r="G261" i="3"/>
  <c r="G260" i="3"/>
  <c r="G259" i="3"/>
  <c r="G258" i="3" l="1"/>
  <c r="G257" i="3"/>
  <c r="G256" i="3"/>
  <c r="G255" i="3" l="1"/>
  <c r="G254" i="3"/>
  <c r="G253" i="3"/>
  <c r="HR196" i="1" l="1"/>
  <c r="HP196" i="1"/>
  <c r="G252" i="3" l="1"/>
  <c r="G251" i="3"/>
  <c r="G250" i="3" l="1"/>
  <c r="G249" i="3"/>
  <c r="F248" i="3" l="1"/>
  <c r="G248" i="3" s="1"/>
  <c r="G247" i="3"/>
  <c r="G246" i="3"/>
  <c r="G245" i="3"/>
  <c r="G244" i="3"/>
  <c r="G243" i="3"/>
  <c r="G242" i="3" l="1"/>
  <c r="G241" i="3"/>
  <c r="G240" i="3"/>
  <c r="G239" i="3" l="1"/>
  <c r="G237" i="3"/>
  <c r="G236" i="3"/>
  <c r="HL196" i="1"/>
  <c r="HN196" i="1"/>
  <c r="HJ196" i="1"/>
  <c r="G235" i="3"/>
  <c r="G234" i="3"/>
  <c r="G233" i="3"/>
  <c r="G232" i="3"/>
  <c r="G231" i="3" l="1"/>
  <c r="G230" i="3"/>
  <c r="G229" i="3" l="1"/>
  <c r="G228" i="3"/>
  <c r="G227" i="3"/>
  <c r="HH196" i="1"/>
  <c r="G226" i="3" l="1"/>
  <c r="G225" i="3"/>
  <c r="G223" i="3"/>
  <c r="G222" i="3"/>
  <c r="G221" i="3"/>
  <c r="G220" i="3" l="1"/>
  <c r="G219" i="3"/>
  <c r="G218" i="3"/>
  <c r="G217" i="3"/>
  <c r="G216" i="3"/>
  <c r="G215" i="3" l="1"/>
  <c r="G214" i="3"/>
  <c r="G213" i="3"/>
  <c r="G211" i="3"/>
  <c r="G277" i="3"/>
  <c r="G210" i="3"/>
  <c r="G209" i="3" l="1"/>
  <c r="G208" i="3"/>
  <c r="G207" i="3" l="1"/>
  <c r="G206" i="3"/>
  <c r="GV196" i="1"/>
  <c r="GX196" i="1"/>
  <c r="GZ196" i="1"/>
  <c r="HB196" i="1"/>
  <c r="HD196" i="1"/>
  <c r="HF196" i="1"/>
  <c r="GT196" i="1"/>
  <c r="G205" i="3"/>
  <c r="G204" i="3"/>
  <c r="G203" i="3" l="1"/>
  <c r="G202" i="3"/>
  <c r="G201" i="3"/>
  <c r="G200" i="3"/>
  <c r="G199" i="3"/>
  <c r="G198" i="3" l="1"/>
  <c r="G197" i="3"/>
  <c r="G196" i="3"/>
  <c r="G195" i="3"/>
  <c r="G194" i="3" l="1"/>
  <c r="E86" i="2"/>
  <c r="F86" i="2" s="1"/>
  <c r="G193" i="3" l="1"/>
  <c r="G192" i="3"/>
  <c r="G191" i="3" l="1"/>
  <c r="G190" i="3"/>
  <c r="G189" i="3"/>
  <c r="G188" i="3" l="1"/>
  <c r="G187" i="3"/>
  <c r="G186" i="3"/>
  <c r="G184" i="3"/>
  <c r="F185" i="3"/>
  <c r="G185" i="3" s="1"/>
  <c r="G183" i="3" l="1"/>
  <c r="G182" i="3" l="1"/>
  <c r="G181" i="3" l="1"/>
  <c r="G180" i="3"/>
  <c r="G179" i="3"/>
  <c r="GF196" i="1"/>
  <c r="GH196" i="1"/>
  <c r="GJ196" i="1"/>
  <c r="GL196" i="1"/>
  <c r="GN196" i="1"/>
  <c r="GP196" i="1"/>
  <c r="GR196" i="1"/>
  <c r="GD196" i="1"/>
  <c r="G178" i="3"/>
  <c r="G177" i="3" l="1"/>
  <c r="G176" i="3"/>
  <c r="G175" i="3"/>
  <c r="G174" i="3"/>
  <c r="G166" i="3"/>
  <c r="G167" i="3"/>
  <c r="G168" i="3"/>
  <c r="G172" i="3" l="1"/>
  <c r="G169" i="3" l="1"/>
  <c r="G170" i="3"/>
  <c r="G171" i="3"/>
  <c r="G173" i="3"/>
  <c r="F69" i="2"/>
  <c r="F70" i="2"/>
  <c r="F74" i="2"/>
  <c r="F76" i="2"/>
  <c r="F77" i="2"/>
  <c r="F78" i="2"/>
  <c r="F79" i="2"/>
  <c r="F80" i="2"/>
  <c r="F81" i="2"/>
  <c r="F82" i="2"/>
  <c r="F83" i="2"/>
  <c r="F84" i="2"/>
  <c r="F85" i="2"/>
  <c r="F68" i="2"/>
  <c r="FX196" i="1"/>
  <c r="FZ196" i="1"/>
  <c r="GB196" i="1"/>
  <c r="FV196" i="1"/>
  <c r="G165" i="3"/>
  <c r="G164" i="3"/>
  <c r="G163" i="3"/>
  <c r="G162" i="3"/>
  <c r="G161" i="3" l="1"/>
  <c r="G160" i="3"/>
  <c r="G159" i="3" l="1"/>
  <c r="G158" i="3"/>
  <c r="G157" i="3"/>
  <c r="G156" i="3"/>
  <c r="E54" i="2"/>
  <c r="F66" i="2" l="1"/>
  <c r="G155" i="3" l="1"/>
  <c r="G154" i="3"/>
  <c r="G144" i="3"/>
  <c r="G152" i="3"/>
  <c r="G153" i="3"/>
  <c r="G145" i="3"/>
  <c r="G151" i="3"/>
  <c r="FL196" i="1"/>
  <c r="G149" i="3"/>
  <c r="G150" i="3" l="1"/>
  <c r="G148" i="3"/>
  <c r="G147" i="3"/>
  <c r="G146" i="3"/>
  <c r="G143" i="3"/>
  <c r="G142" i="3" l="1"/>
  <c r="G141" i="3" l="1"/>
  <c r="FR196" i="1" l="1"/>
  <c r="EX196" i="1"/>
  <c r="G140" i="3" l="1"/>
  <c r="G134" i="3" l="1"/>
  <c r="G133" i="3"/>
  <c r="F137" i="3"/>
  <c r="E137" i="3"/>
  <c r="G139" i="3"/>
  <c r="G137" i="3" l="1"/>
  <c r="G138" i="3"/>
  <c r="G135" i="3" l="1"/>
  <c r="G136" i="3"/>
  <c r="EZ196" i="1" l="1"/>
  <c r="FB196" i="1"/>
  <c r="FD196" i="1"/>
  <c r="FF196" i="1"/>
  <c r="FH196" i="1"/>
  <c r="FJ196" i="1"/>
  <c r="FN196" i="1"/>
  <c r="FP196" i="1"/>
  <c r="FT196" i="1"/>
  <c r="EV196" i="1"/>
  <c r="ET196" i="1" l="1"/>
  <c r="ER196" i="1"/>
  <c r="G131" i="3" l="1"/>
  <c r="G132" i="3" l="1"/>
  <c r="G130" i="3" l="1"/>
  <c r="EP196" i="1" l="1"/>
  <c r="G123" i="3"/>
  <c r="G122" i="3"/>
  <c r="G129" i="3" l="1"/>
  <c r="G128" i="3" l="1"/>
  <c r="G126" i="3" l="1"/>
  <c r="G125" i="3"/>
  <c r="G127" i="3" l="1"/>
  <c r="EN196" i="1" l="1"/>
  <c r="G124" i="3" l="1"/>
  <c r="G121" i="3" l="1"/>
  <c r="E120" i="3" l="1"/>
  <c r="G120" i="3" s="1"/>
  <c r="G119" i="3" l="1"/>
  <c r="EL196" i="1" l="1"/>
  <c r="EJ196" i="1"/>
  <c r="G118" i="3" l="1"/>
  <c r="G117" i="3" l="1"/>
  <c r="G116" i="3" l="1"/>
  <c r="G115" i="3"/>
  <c r="G114" i="3" l="1"/>
  <c r="G113" i="3" l="1"/>
  <c r="G112" i="3" l="1"/>
  <c r="G111" i="3" l="1"/>
  <c r="G110" i="3" l="1"/>
  <c r="G86" i="3" l="1"/>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5" i="2"/>
  <c r="H36" i="2"/>
  <c r="H37" i="2"/>
  <c r="H39" i="2"/>
  <c r="H40" i="2"/>
  <c r="H42" i="2"/>
  <c r="H43" i="2"/>
  <c r="H44" i="2"/>
  <c r="H45" i="2"/>
  <c r="H46" i="2"/>
  <c r="H47" i="2"/>
  <c r="H49" i="2"/>
  <c r="H3" i="2"/>
  <c r="G105" i="3" l="1"/>
  <c r="G78" i="3" l="1"/>
  <c r="G92" i="3"/>
  <c r="G104" i="3"/>
  <c r="G109" i="3"/>
  <c r="G89" i="3"/>
  <c r="G98" i="3" l="1"/>
  <c r="G100" i="3" l="1"/>
  <c r="G106" i="3" l="1"/>
  <c r="G97" i="3" l="1"/>
  <c r="G107" i="3" l="1"/>
  <c r="G101" i="3"/>
  <c r="G96" i="3" l="1"/>
  <c r="F108" i="3" l="1"/>
  <c r="G108" i="3" s="1"/>
  <c r="G99" i="3"/>
  <c r="G102" i="3"/>
  <c r="G94" i="3" l="1"/>
  <c r="EF196" i="1" l="1"/>
  <c r="EH196" i="1"/>
  <c r="ED196" i="1"/>
  <c r="F4" i="2" l="1"/>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9" i="2"/>
  <c r="F40" i="2"/>
  <c r="F41" i="2"/>
  <c r="F42" i="2"/>
  <c r="F43" i="2"/>
  <c r="F44" i="2"/>
  <c r="F45" i="2"/>
  <c r="F46" i="2"/>
  <c r="F47" i="2"/>
  <c r="F48" i="2"/>
  <c r="F49" i="2"/>
  <c r="F50" i="2"/>
  <c r="F51" i="2"/>
  <c r="F52" i="2"/>
  <c r="F53" i="2"/>
  <c r="F54" i="2"/>
  <c r="F55" i="2"/>
  <c r="F56" i="2"/>
  <c r="F57" i="2"/>
  <c r="F58" i="2"/>
  <c r="F59" i="2"/>
  <c r="F60" i="2"/>
  <c r="F62" i="2"/>
  <c r="F63" i="2"/>
  <c r="F65" i="2"/>
  <c r="F3" i="2"/>
  <c r="G48" i="2"/>
  <c r="H48" i="2" s="1"/>
  <c r="G41" i="2"/>
  <c r="H41" i="2" s="1"/>
  <c r="G34" i="2"/>
  <c r="H34" i="2" s="1"/>
  <c r="G103" i="3" l="1"/>
  <c r="G95" i="3" l="1"/>
  <c r="G93" i="3" l="1"/>
  <c r="G91" i="3"/>
  <c r="F90" i="3" l="1"/>
  <c r="G90" i="3" s="1"/>
  <c r="G87" i="3" l="1"/>
  <c r="G88" i="3" l="1"/>
  <c r="DT196" i="1" l="1"/>
  <c r="DV196" i="1"/>
  <c r="DX196" i="1"/>
  <c r="DZ196" i="1"/>
  <c r="EB196" i="1"/>
  <c r="DR196" i="1"/>
  <c r="G85" i="3" l="1"/>
  <c r="G82" i="3"/>
  <c r="G77" i="3"/>
  <c r="G76" i="3"/>
  <c r="F69" i="3"/>
  <c r="Q80" i="3"/>
  <c r="G83" i="3"/>
  <c r="G84" i="3"/>
  <c r="G81" i="3"/>
  <c r="G79" i="3" l="1"/>
  <c r="DL196" i="1" l="1"/>
  <c r="DN196" i="1"/>
  <c r="DP196" i="1"/>
  <c r="DJ196" i="1"/>
  <c r="G80" i="3" l="1"/>
  <c r="DF196" i="1" l="1"/>
  <c r="DH196" i="1" l="1"/>
  <c r="G62" i="3" l="1"/>
  <c r="G72" i="3"/>
  <c r="G68" i="3"/>
  <c r="G75" i="3"/>
  <c r="G71" i="3"/>
  <c r="G74" i="3"/>
  <c r="F66" i="3"/>
  <c r="E66" i="3"/>
  <c r="G66" i="3" l="1"/>
  <c r="G73" i="3"/>
  <c r="G67" i="3" l="1"/>
  <c r="CZ196" i="1" l="1"/>
  <c r="DB196" i="1"/>
  <c r="DD196" i="1"/>
  <c r="CX196" i="1"/>
  <c r="G65" i="3" l="1"/>
  <c r="G64" i="3"/>
  <c r="G63" i="3" l="1"/>
  <c r="G61" i="3"/>
  <c r="G60" i="3" l="1"/>
  <c r="G59" i="3"/>
  <c r="G58" i="3"/>
  <c r="CN196" i="1" l="1"/>
  <c r="CP196" i="1"/>
  <c r="CR196" i="1"/>
  <c r="CT196" i="1"/>
  <c r="CV196" i="1"/>
  <c r="CL196" i="1"/>
  <c r="G57" i="3" l="1"/>
  <c r="G56" i="3" l="1"/>
  <c r="G43" i="3" l="1"/>
  <c r="G55" i="3" l="1"/>
  <c r="G54" i="3" l="1"/>
  <c r="F38" i="3" l="1"/>
  <c r="G38" i="3" s="1"/>
  <c r="G53" i="3"/>
  <c r="G52" i="3" l="1"/>
  <c r="CF196" i="1" l="1"/>
  <c r="CH196" i="1"/>
  <c r="CJ196" i="1"/>
  <c r="CD196" i="1"/>
  <c r="G50" i="3" l="1"/>
  <c r="G48" i="3" l="1"/>
  <c r="G49" i="3"/>
  <c r="G37" i="3" l="1"/>
  <c r="G47" i="3" l="1"/>
  <c r="G46" i="3" l="1"/>
  <c r="G35" i="3" l="1"/>
  <c r="G44" i="3" l="1"/>
  <c r="G45" i="3" l="1"/>
  <c r="BZ196" i="1" l="1"/>
  <c r="CB196" i="1"/>
  <c r="BX196" i="1"/>
  <c r="G42" i="3" l="1"/>
  <c r="G41" i="3" l="1"/>
  <c r="BV196" i="1" l="1"/>
  <c r="G36" i="3" l="1"/>
  <c r="G33" i="3" l="1"/>
  <c r="G39" i="3" l="1"/>
  <c r="G34" i="3" l="1"/>
  <c r="G32" i="3" l="1"/>
  <c r="G31" i="3" l="1"/>
  <c r="G27" i="3" l="1"/>
  <c r="G22" i="3" l="1"/>
  <c r="G28" i="3"/>
  <c r="G29" i="3"/>
  <c r="G26" i="3"/>
  <c r="BL196" i="1"/>
  <c r="BN196" i="1"/>
  <c r="BP196" i="1"/>
  <c r="BR196" i="1"/>
  <c r="BT196" i="1"/>
  <c r="BJ196" i="1"/>
  <c r="G21" i="3" l="1"/>
  <c r="G25" i="3" l="1"/>
  <c r="G17" i="3"/>
  <c r="K22" i="2" l="1"/>
  <c r="K16" i="2"/>
  <c r="K21" i="2"/>
  <c r="K23" i="2"/>
  <c r="K24" i="2"/>
  <c r="K25" i="2"/>
  <c r="K26" i="2"/>
  <c r="K27" i="2"/>
  <c r="K28" i="2"/>
  <c r="K29" i="2"/>
  <c r="K32" i="2"/>
  <c r="K33" i="2"/>
  <c r="K34" i="2"/>
  <c r="K35" i="2"/>
  <c r="K36" i="2"/>
  <c r="G24" i="3" l="1"/>
  <c r="G23" i="3"/>
  <c r="BD196" i="1" l="1"/>
  <c r="BF196" i="1"/>
  <c r="BH196" i="1"/>
  <c r="G20" i="3" l="1"/>
  <c r="BB196" i="1" l="1"/>
  <c r="AZ196" i="1"/>
  <c r="AX196" i="1" l="1"/>
  <c r="G11" i="3" l="1"/>
  <c r="G19" i="3"/>
  <c r="G18" i="3" l="1"/>
  <c r="G16" i="3" l="1"/>
  <c r="AV196" i="1" l="1"/>
  <c r="G15" i="3" l="1"/>
  <c r="AT196" i="1" l="1"/>
  <c r="G13" i="3" l="1"/>
  <c r="G3" i="3" l="1"/>
  <c r="G4" i="3"/>
  <c r="G5" i="3"/>
  <c r="G6" i="3"/>
  <c r="G7" i="3"/>
  <c r="G8" i="3"/>
  <c r="G9" i="3"/>
  <c r="G10" i="3"/>
  <c r="G12" i="3"/>
  <c r="G14" i="3"/>
  <c r="G2" i="3"/>
  <c r="AR196" i="1" l="1"/>
  <c r="C3" i="2" l="1"/>
  <c r="C4" i="2"/>
  <c r="C5" i="2"/>
  <c r="C6" i="2"/>
  <c r="C7" i="2"/>
  <c r="C8" i="2"/>
  <c r="C9" i="2"/>
  <c r="C10" i="2"/>
  <c r="C11" i="2"/>
  <c r="C12" i="2"/>
  <c r="C13" i="2"/>
  <c r="C14" i="2"/>
  <c r="C15" i="2"/>
  <c r="C16" i="2"/>
  <c r="C17" i="2"/>
  <c r="C18" i="2"/>
  <c r="C19" i="2"/>
  <c r="C20" i="2"/>
  <c r="C21" i="2"/>
  <c r="C22" i="2"/>
  <c r="C23" i="2"/>
  <c r="C24" i="2"/>
  <c r="C25" i="2"/>
  <c r="C26" i="2"/>
  <c r="C27" i="2"/>
  <c r="C28" i="2"/>
  <c r="C29" i="2"/>
  <c r="C1" i="2"/>
  <c r="B3" i="2"/>
  <c r="B4" i="2"/>
  <c r="B5" i="2"/>
  <c r="B6" i="2"/>
  <c r="B7" i="2"/>
  <c r="B8" i="2"/>
  <c r="B9" i="2"/>
  <c r="B10" i="2"/>
  <c r="B11" i="2"/>
  <c r="B12" i="2"/>
  <c r="B13" i="2"/>
  <c r="B14" i="2"/>
  <c r="B15" i="2"/>
  <c r="B16" i="2"/>
  <c r="B17" i="2"/>
  <c r="B18" i="2"/>
  <c r="B19" i="2"/>
  <c r="B20" i="2"/>
  <c r="B21" i="2"/>
  <c r="B22" i="2"/>
  <c r="B23" i="2"/>
  <c r="B24" i="2"/>
  <c r="B25" i="2"/>
  <c r="B27" i="2"/>
  <c r="B28" i="2"/>
  <c r="B29" i="2"/>
  <c r="B1" i="2"/>
  <c r="A3" i="2"/>
  <c r="A4" i="2"/>
  <c r="A5" i="2"/>
  <c r="A6" i="2"/>
  <c r="A7" i="2"/>
  <c r="A8" i="2"/>
  <c r="A9" i="2"/>
  <c r="A10" i="2"/>
  <c r="A11" i="2"/>
  <c r="A12" i="2"/>
  <c r="A13" i="2"/>
  <c r="A14" i="2"/>
  <c r="A15" i="2"/>
  <c r="A16" i="2"/>
  <c r="A17" i="2"/>
  <c r="A18" i="2"/>
  <c r="A19" i="2"/>
  <c r="A20" i="2"/>
  <c r="A21" i="2"/>
  <c r="A22" i="2"/>
  <c r="A23" i="2"/>
  <c r="A24" i="2"/>
  <c r="A25" i="2"/>
  <c r="A26" i="2"/>
  <c r="A27" i="2"/>
  <c r="A28" i="2"/>
  <c r="A29" i="2"/>
  <c r="K20" i="2"/>
  <c r="K18" i="2"/>
  <c r="K17" i="2"/>
  <c r="K15" i="2"/>
  <c r="K14" i="2"/>
  <c r="K13" i="2"/>
  <c r="K12" i="2"/>
  <c r="K11" i="2"/>
  <c r="K10" i="2"/>
  <c r="K9" i="2"/>
  <c r="K8" i="2"/>
  <c r="K7" i="2"/>
  <c r="K6" i="2"/>
  <c r="K5" i="2"/>
  <c r="K4" i="2"/>
  <c r="K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 Donelson</author>
  </authors>
  <commentList>
    <comment ref="J9" authorId="0" shapeId="0" xr:uid="{00000000-0006-0000-0100-000001000000}">
      <text>
        <r>
          <rPr>
            <b/>
            <sz val="9"/>
            <color indexed="81"/>
            <rFont val="Tahoma"/>
            <family val="2"/>
          </rPr>
          <t>Richard Donelson:</t>
        </r>
        <r>
          <rPr>
            <sz val="9"/>
            <color indexed="81"/>
            <rFont val="Tahoma"/>
            <family val="2"/>
          </rPr>
          <t xml:space="preserve">
Increased to $6,000 somewhere during the project.</t>
        </r>
      </text>
    </comment>
    <comment ref="J18" authorId="0" shapeId="0" xr:uid="{00000000-0006-0000-0100-000002000000}">
      <text>
        <r>
          <rPr>
            <b/>
            <sz val="9"/>
            <color indexed="81"/>
            <rFont val="Tahoma"/>
            <family val="2"/>
          </rPr>
          <t>Richard Donelson:</t>
        </r>
        <r>
          <rPr>
            <sz val="9"/>
            <color indexed="81"/>
            <rFont val="Tahoma"/>
            <family val="2"/>
          </rPr>
          <t xml:space="preserve">
Possibly decreased to $60,000?</t>
        </r>
      </text>
    </comment>
  </commentList>
</comments>
</file>

<file path=xl/sharedStrings.xml><?xml version="1.0" encoding="utf-8"?>
<sst xmlns="http://schemas.openxmlformats.org/spreadsheetml/2006/main" count="6801" uniqueCount="1631">
  <si>
    <t>GC</t>
  </si>
  <si>
    <t>Architect</t>
  </si>
  <si>
    <t>Engineer</t>
  </si>
  <si>
    <t>SRM</t>
  </si>
  <si>
    <t>Exxel Pacific</t>
  </si>
  <si>
    <t>Chinn</t>
  </si>
  <si>
    <t>ICC</t>
  </si>
  <si>
    <t>Runberg</t>
  </si>
  <si>
    <t>Rushing</t>
  </si>
  <si>
    <t>101 Taylor</t>
  </si>
  <si>
    <t>Greenwood</t>
  </si>
  <si>
    <t>Old Town</t>
  </si>
  <si>
    <t>Barrett Park</t>
  </si>
  <si>
    <t>8th Ave</t>
  </si>
  <si>
    <t>NE 63rd</t>
  </si>
  <si>
    <t>Pike Motorworks</t>
  </si>
  <si>
    <t>Rooster</t>
  </si>
  <si>
    <t>36 Stone</t>
  </si>
  <si>
    <t>Astro</t>
  </si>
  <si>
    <t>8th Republic</t>
  </si>
  <si>
    <t>230 Broadway</t>
  </si>
  <si>
    <t>Wedgewood</t>
  </si>
  <si>
    <t>Evanston Space</t>
  </si>
  <si>
    <t>Indigo/Kavela</t>
  </si>
  <si>
    <t>Bella Lago</t>
  </si>
  <si>
    <t>Weber Thompson</t>
  </si>
  <si>
    <t>Weinstein AU</t>
  </si>
  <si>
    <t>Runberg - Interior
Miller Hull - Exterior</t>
  </si>
  <si>
    <t>Concrete</t>
  </si>
  <si>
    <t>Wood</t>
  </si>
  <si>
    <t>Units</t>
  </si>
  <si>
    <t>Job #</t>
  </si>
  <si>
    <t>Job Name</t>
  </si>
  <si>
    <t>Ecotope</t>
  </si>
  <si>
    <t>NK</t>
  </si>
  <si>
    <t>Pressler</t>
  </si>
  <si>
    <t>RI</t>
  </si>
  <si>
    <t>TRIM</t>
  </si>
  <si>
    <t>PT</t>
  </si>
  <si>
    <t>Bellevue Main</t>
  </si>
  <si>
    <t>Benson &amp; Bohl</t>
  </si>
  <si>
    <t>Admiral</t>
  </si>
  <si>
    <t>Franklin Costs to date</t>
  </si>
  <si>
    <t>Interlake</t>
  </si>
  <si>
    <t>Merrill Gardens</t>
  </si>
  <si>
    <t>Contract w/ CO's</t>
  </si>
  <si>
    <t>Original Contract</t>
  </si>
  <si>
    <t>As-Bid Eng Budget</t>
  </si>
  <si>
    <t>Studio Meng Strazzara</t>
  </si>
  <si>
    <t>Johnson Architecture and Planning</t>
  </si>
  <si>
    <t>VIA Architecture</t>
  </si>
  <si>
    <t>Frank Cost/unit</t>
  </si>
  <si>
    <t>Nicholson Kovalchick</t>
  </si>
  <si>
    <t>Urbal Architecture</t>
  </si>
  <si>
    <t>Abossein</t>
  </si>
  <si>
    <t>Joe</t>
  </si>
  <si>
    <t>Esteban</t>
  </si>
  <si>
    <t>Al</t>
  </si>
  <si>
    <t>Gustavo</t>
  </si>
  <si>
    <t>Al - Trim</t>
  </si>
  <si>
    <t>Nate (Al trim)</t>
  </si>
  <si>
    <t>Thaddeus (Al trim)</t>
  </si>
  <si>
    <t>Boren</t>
  </si>
  <si>
    <t>Reserve @ Lynnwood</t>
  </si>
  <si>
    <t>550 Broadway</t>
  </si>
  <si>
    <t>Parsonage</t>
  </si>
  <si>
    <t>GW</t>
  </si>
  <si>
    <t>Insurance Type</t>
  </si>
  <si>
    <t>Wrap</t>
  </si>
  <si>
    <t>Not Wrap</t>
  </si>
  <si>
    <t>Charles Morgan &amp; Associates, LLC</t>
  </si>
  <si>
    <t>BID</t>
  </si>
  <si>
    <t>Block 11</t>
  </si>
  <si>
    <t>East Union</t>
  </si>
  <si>
    <t>Barrientos, LLC</t>
  </si>
  <si>
    <t>Developer</t>
  </si>
  <si>
    <t>AVS Communities</t>
  </si>
  <si>
    <t>Intra-Corp</t>
  </si>
  <si>
    <t>Levels Above</t>
  </si>
  <si>
    <t>Levels Below</t>
  </si>
  <si>
    <t>Mack Urban</t>
  </si>
  <si>
    <t>Hadley</t>
  </si>
  <si>
    <t>Legacy Partners</t>
  </si>
  <si>
    <t>Merrill Gardens / Pillar Properties</t>
  </si>
  <si>
    <t>NA</t>
  </si>
  <si>
    <t>RI Foreman</t>
  </si>
  <si>
    <t>Trim Foreman</t>
  </si>
  <si>
    <t>Bob</t>
  </si>
  <si>
    <t xml:space="preserve">The Wolff Company </t>
  </si>
  <si>
    <t>Acoustical</t>
  </si>
  <si>
    <t>SSA Acoustics</t>
  </si>
  <si>
    <t>JGL Acoustics</t>
  </si>
  <si>
    <t>Structural</t>
  </si>
  <si>
    <t>DCI Engineers</t>
  </si>
  <si>
    <t>CPL</t>
  </si>
  <si>
    <t>Panos (Yu &amp; Troch..)</t>
  </si>
  <si>
    <t>Michael Nouwens</t>
  </si>
  <si>
    <t>Baylis</t>
  </si>
  <si>
    <t>Interior Design</t>
  </si>
  <si>
    <t>ObjectSpace</t>
  </si>
  <si>
    <t>ADA Consultant</t>
  </si>
  <si>
    <t>Karen Braitmayer</t>
  </si>
  <si>
    <t>Lake Union Partners</t>
  </si>
  <si>
    <t>theACCESSpartnership</t>
  </si>
  <si>
    <t>Endelman &amp; Associates</t>
  </si>
  <si>
    <t>GC PE</t>
  </si>
  <si>
    <t>GC Sup</t>
  </si>
  <si>
    <t>GC PM</t>
  </si>
  <si>
    <t>Todd Rankin / Erik Benzel</t>
  </si>
  <si>
    <t>Bill Robinson / Jared Osborn</t>
  </si>
  <si>
    <t>Renay Luzama</t>
  </si>
  <si>
    <t>Dave Biasini / Josh Purefoy</t>
  </si>
  <si>
    <t>Jeff Christiansen / Bill Armstrong</t>
  </si>
  <si>
    <t>Brett Johnston / Ben McCarty</t>
  </si>
  <si>
    <t>Dave Biasini / Brian Christensen</t>
  </si>
  <si>
    <t>Dan Phillips / Todd Tradal</t>
  </si>
  <si>
    <t>Joel Palmer / Sam Bernoski</t>
  </si>
  <si>
    <t>Bill Robinson</t>
  </si>
  <si>
    <t>James Wilkins</t>
  </si>
  <si>
    <t>Ben Robles</t>
  </si>
  <si>
    <t>Victor Vo / Justin Ripkin</t>
  </si>
  <si>
    <t>Scott Weston / Nic Christoffer</t>
  </si>
  <si>
    <t>Justin Ripkin</t>
  </si>
  <si>
    <t>Charlie Poggemann</t>
  </si>
  <si>
    <t>Mark Pesanti / Sim Mooers</t>
  </si>
  <si>
    <t>Lauren Bjorndahl</t>
  </si>
  <si>
    <t>John Hughes</t>
  </si>
  <si>
    <t>Nick Amaya</t>
  </si>
  <si>
    <t>Ben Prigmore / Mason Seto</t>
  </si>
  <si>
    <t>Garret Olsen</t>
  </si>
  <si>
    <t>Tommy Booth</t>
  </si>
  <si>
    <t>Brad Carpenter</t>
  </si>
  <si>
    <t>Tyson Scheenstra / Tommy Booth</t>
  </si>
  <si>
    <t>Eric Petersen</t>
  </si>
  <si>
    <t>Andrew Withnell</t>
  </si>
  <si>
    <t>A.J. Haviland</t>
  </si>
  <si>
    <t>John Schwab / James Wilkins</t>
  </si>
  <si>
    <t>Pillar Properties / SRM</t>
  </si>
  <si>
    <t>NAC Architecture</t>
  </si>
  <si>
    <t>Robin Chell Design</t>
  </si>
  <si>
    <t>Lair Design</t>
  </si>
  <si>
    <t>Weber Thompson / Graham Baba</t>
  </si>
  <si>
    <t>TJ Mellema / Coby Jones</t>
  </si>
  <si>
    <t>Brad Holz</t>
  </si>
  <si>
    <t>Victor Vo</t>
  </si>
  <si>
    <t>Tim Conner</t>
  </si>
  <si>
    <t>Synnergy</t>
  </si>
  <si>
    <t>Address</t>
  </si>
  <si>
    <t>4132 Brooklyn Ave NE, Seattle, WA 98105</t>
  </si>
  <si>
    <t>19815 Scriber Lake Road, Lynnwood, WA 98036</t>
  </si>
  <si>
    <t>550 Broadway, Seattle, WA 98122</t>
  </si>
  <si>
    <t>525 Boren Ave N, Seattle, WA 98109</t>
  </si>
  <si>
    <t>19 W Harrison, Seattle, WA 98119</t>
  </si>
  <si>
    <t>5601 24th Ave NW, Seattle, WA 98107</t>
  </si>
  <si>
    <t>3210 California Ave SW, Seattle, WA 98116</t>
  </si>
  <si>
    <t>2601 76th Ave SE, Mercer Island, WA 98040</t>
  </si>
  <si>
    <t>430 8th Ave North, Seattle, WA 98109</t>
  </si>
  <si>
    <t>15 Bellevue Way SE, Bellevue, WA 98004</t>
  </si>
  <si>
    <t>714 E Pike Street, Seattle, WA 98122</t>
  </si>
  <si>
    <t>The Cora</t>
  </si>
  <si>
    <t>Base Bid</t>
  </si>
  <si>
    <t>Start Date</t>
  </si>
  <si>
    <t>General Schedule</t>
  </si>
  <si>
    <t>22 Months</t>
  </si>
  <si>
    <t>44th Ave SW Apartments</t>
  </si>
  <si>
    <t>Blueprint</t>
  </si>
  <si>
    <t>N/A</t>
  </si>
  <si>
    <t>Area</t>
  </si>
  <si>
    <t>South Lake Union</t>
  </si>
  <si>
    <t>West Seattle</t>
  </si>
  <si>
    <t>Cone</t>
  </si>
  <si>
    <t>Spring 2016</t>
  </si>
  <si>
    <t>~16 Months</t>
  </si>
  <si>
    <t>Competitor</t>
  </si>
  <si>
    <t>Competitor Bid?</t>
  </si>
  <si>
    <t>PSF Mechanical</t>
  </si>
  <si>
    <t>Ocean Park</t>
  </si>
  <si>
    <t>Issaquah Gateway</t>
  </si>
  <si>
    <t>Al/Rick</t>
  </si>
  <si>
    <t>2220 E. Union Street, Seattle WA</t>
  </si>
  <si>
    <t>2290 Newport Way NW, Issaquah, WA 98027</t>
  </si>
  <si>
    <t>Boylston Flats</t>
  </si>
  <si>
    <t>W.G. Clark</t>
  </si>
  <si>
    <t>OWP Bid Date</t>
  </si>
  <si>
    <t>Wolfe Plumbing</t>
  </si>
  <si>
    <t>Approx $2,013,000</t>
  </si>
  <si>
    <t>Atlas Plumbing</t>
  </si>
  <si>
    <t>Madrona</t>
  </si>
  <si>
    <t>Summer 2016</t>
  </si>
  <si>
    <t>18 Months</t>
  </si>
  <si>
    <t>Weinstein A+U</t>
  </si>
  <si>
    <t>Don't know</t>
  </si>
  <si>
    <t>Owner</t>
  </si>
  <si>
    <t>Vulcan</t>
  </si>
  <si>
    <t>S+H Works</t>
  </si>
  <si>
    <t>15 Months</t>
  </si>
  <si>
    <t>Johnson-Carr</t>
  </si>
  <si>
    <t>Wolff Company</t>
  </si>
  <si>
    <t>VIA</t>
  </si>
  <si>
    <t>Glumac</t>
  </si>
  <si>
    <t>Issaquah</t>
  </si>
  <si>
    <t>66th &amp; Roosevelt</t>
  </si>
  <si>
    <t>Roosevelt</t>
  </si>
  <si>
    <t>HB Management</t>
  </si>
  <si>
    <t>6505 15th Ave NE</t>
  </si>
  <si>
    <t>Roosevelt Development Group</t>
  </si>
  <si>
    <t>GGLO</t>
  </si>
  <si>
    <t>PAE</t>
  </si>
  <si>
    <t>27 Months</t>
  </si>
  <si>
    <t>Shelter Holdings</t>
  </si>
  <si>
    <t>SJS Mechanical</t>
  </si>
  <si>
    <t>103rd Avenue Apartments</t>
  </si>
  <si>
    <t>Downtown Bellevue</t>
  </si>
  <si>
    <t>Shintex Global Holdings, LLC</t>
  </si>
  <si>
    <t>Transit</t>
  </si>
  <si>
    <t>Even less than SJS, but Chinn went with SJS</t>
  </si>
  <si>
    <t>MANPOWER</t>
  </si>
  <si>
    <t>TOTAL MANPOWER</t>
  </si>
  <si>
    <t>DK Plumbing?</t>
  </si>
  <si>
    <t>Think it was $412,000</t>
  </si>
  <si>
    <t>Sunrise Plumbing?</t>
  </si>
  <si>
    <t>SMR Architects</t>
  </si>
  <si>
    <t>Sider+Byers</t>
  </si>
  <si>
    <t>Redmond</t>
  </si>
  <si>
    <t>Notes</t>
  </si>
  <si>
    <t>Mike Burdo sent Exh B on the following project that was put out to bid.  On it there was the $412,000, which we think was for this project.</t>
  </si>
  <si>
    <t>Ravelo Apartments</t>
  </si>
  <si>
    <t>Peltram</t>
  </si>
  <si>
    <t>~$160k lower</t>
  </si>
  <si>
    <t>Vuecrest Apartments</t>
  </si>
  <si>
    <t>Compass</t>
  </si>
  <si>
    <t>Aloisio Plumbing</t>
  </si>
  <si>
    <t>Continental Properties</t>
  </si>
  <si>
    <t>Encore Architects</t>
  </si>
  <si>
    <t>Emerald City</t>
  </si>
  <si>
    <t>~23 Months</t>
  </si>
  <si>
    <t>Capitol Hill Lofts</t>
  </si>
  <si>
    <t>Marpac</t>
  </si>
  <si>
    <t>Vestus</t>
  </si>
  <si>
    <t>NK Architects</t>
  </si>
  <si>
    <t>Capitol Hill</t>
  </si>
  <si>
    <t>Late 2016/early 17</t>
  </si>
  <si>
    <t>Price/unit</t>
  </si>
  <si>
    <t>Thaddeus</t>
  </si>
  <si>
    <t>6921 Roosevelt Way NE</t>
  </si>
  <si>
    <t>Tri-State</t>
  </si>
  <si>
    <t>Mike said the bids were so close they were almost matching</t>
  </si>
  <si>
    <t>Wolfe Plumbing originally bid it but pulled their number, so no competition</t>
  </si>
  <si>
    <t>Vuecrest</t>
  </si>
  <si>
    <t>Westridge</t>
  </si>
  <si>
    <t>Within $60k</t>
  </si>
  <si>
    <t>Put bid in, he said we got it, then called back two weeks later and said that Transit got it.  Classic case of us giving them a number and then they turn it over to Transit.</t>
  </si>
  <si>
    <t>Issaquah Gateway 2nd Time</t>
  </si>
  <si>
    <t>Wolfe &amp; Bigfoot possibly bid the mid-rise buildings, but sounds like no bidders on walk ups</t>
  </si>
  <si>
    <t>Park Lane</t>
  </si>
  <si>
    <t>Project Start Date</t>
  </si>
  <si>
    <t>Metro Flats</t>
  </si>
  <si>
    <t>Natural &amp; Built</t>
  </si>
  <si>
    <t>2nd &amp; John</t>
  </si>
  <si>
    <t>Park Lane Apartments</t>
  </si>
  <si>
    <t>"Very close"</t>
  </si>
  <si>
    <t>JD Plumbing</t>
  </si>
  <si>
    <t>Johnson Braund</t>
  </si>
  <si>
    <t>Kirkland</t>
  </si>
  <si>
    <t>21 Months</t>
  </si>
  <si>
    <t>162 Ten</t>
  </si>
  <si>
    <t>Natural&amp;Built</t>
  </si>
  <si>
    <t>Milbrandt Architects</t>
  </si>
  <si>
    <t>Lake City Apartments</t>
  </si>
  <si>
    <t>Studio19 Architects</t>
  </si>
  <si>
    <t>Lake City</t>
  </si>
  <si>
    <t>Rick</t>
  </si>
  <si>
    <t>BUDGET</t>
  </si>
  <si>
    <t>Cannery</t>
  </si>
  <si>
    <t>Barrientos</t>
  </si>
  <si>
    <t>Hewitt</t>
  </si>
  <si>
    <t>Rushing Narrative</t>
  </si>
  <si>
    <t>Pioneer Square</t>
  </si>
  <si>
    <t>Summer 2017</t>
  </si>
  <si>
    <t>?</t>
  </si>
  <si>
    <t>APR/JUN 17</t>
  </si>
  <si>
    <t>16210 NE 80th St, Redmond, WA 98052</t>
  </si>
  <si>
    <t>512 121st Place NE, Bellevue, WA</t>
  </si>
  <si>
    <t>207 Park Lane, Kirkland, WA 98033</t>
  </si>
  <si>
    <t>1000 100th Ave NE, Bellevue, WA</t>
  </si>
  <si>
    <t>6921 Roosevelt Way NE, Seattle, WA 98115</t>
  </si>
  <si>
    <t>200 2nd Ave West, Seattle, WA</t>
  </si>
  <si>
    <t>Roosevelt 65th</t>
  </si>
  <si>
    <t>Roosevelt 66th</t>
  </si>
  <si>
    <t>Reuben</t>
  </si>
  <si>
    <t>Ryan Ames/Vince Dennison</t>
  </si>
  <si>
    <t>Todd Mortenson</t>
  </si>
  <si>
    <t>Dan Peck</t>
  </si>
  <si>
    <t>Victor</t>
  </si>
  <si>
    <t>Aegis Mercer Island</t>
  </si>
  <si>
    <t>NE 65th Street</t>
  </si>
  <si>
    <t>NE 66th Street</t>
  </si>
  <si>
    <t>Issaquah Gateway (SEE 2ND BID)</t>
  </si>
  <si>
    <t>Issaquah Senior Housing</t>
  </si>
  <si>
    <t>Bid to Halvorson, EP and Chinn</t>
  </si>
  <si>
    <t>Glumac had drawings this time</t>
  </si>
  <si>
    <t>Bulldog</t>
  </si>
  <si>
    <t>Per conversation with Andrew on 11/30, he is probably giving us this job, but the 65th will probably go to the same plumber that did the west seattle job</t>
  </si>
  <si>
    <t>TUBS</t>
  </si>
  <si>
    <t>Jefferson Park Apartments</t>
  </si>
  <si>
    <t>Tri-State (pulled)</t>
  </si>
  <si>
    <t>Bulldog (got it)</t>
  </si>
  <si>
    <t>International District</t>
  </si>
  <si>
    <t xml:space="preserve">Not Sure </t>
  </si>
  <si>
    <t>Not sure</t>
  </si>
  <si>
    <t>PICKUP</t>
  </si>
  <si>
    <t>BURN</t>
  </si>
  <si>
    <t>3025 NE 130th Street, Seattle WA</t>
  </si>
  <si>
    <t>1222 NE 65th Street, Seattle, WA 98115</t>
  </si>
  <si>
    <t>836 NE 66th Street, Seattle, WA 98115</t>
  </si>
  <si>
    <t>403 Dexter</t>
  </si>
  <si>
    <t>Wilshire</t>
  </si>
  <si>
    <t>Greenwood Apartments</t>
  </si>
  <si>
    <t>Charter</t>
  </si>
  <si>
    <t>July, 2017</t>
  </si>
  <si>
    <t>13 months</t>
  </si>
  <si>
    <t>Greenlake</t>
  </si>
  <si>
    <t>Maple Leaf Flats Greenlake</t>
  </si>
  <si>
    <t>Flatiron Properties</t>
  </si>
  <si>
    <t>Johnston Architects</t>
  </si>
  <si>
    <t>Rush Commerical</t>
  </si>
  <si>
    <t>March, 2017</t>
  </si>
  <si>
    <t>14 months</t>
  </si>
  <si>
    <t>Greenwood Ave Investors</t>
  </si>
  <si>
    <t>Dave Anderson provided a list of plumbing bidders, it was very long and very commercial</t>
  </si>
  <si>
    <t>Aegis</t>
  </si>
  <si>
    <t>Coffman</t>
  </si>
  <si>
    <t>Mercer Island</t>
  </si>
  <si>
    <t>Ankrom Moisan</t>
  </si>
  <si>
    <t>Summer 17</t>
  </si>
  <si>
    <t>Reserve Lynnwood Rebuild</t>
  </si>
  <si>
    <t>AUGUST, 17</t>
  </si>
  <si>
    <t>FYI</t>
  </si>
  <si>
    <t>Harbor Avenue</t>
  </si>
  <si>
    <t>Charlie asked us to look at it but hadn't realized that it was already committed to SJS.  Would have been a good job.</t>
  </si>
  <si>
    <t>Issaquah Apartments</t>
  </si>
  <si>
    <t>United Plumbing</t>
  </si>
  <si>
    <t>Not sure.  Was told that Owner wants to work with United, and they have a relationship.  They were cheaper too.</t>
  </si>
  <si>
    <t>Edmonds Plumbing</t>
  </si>
  <si>
    <t>American Classic Homes</t>
  </si>
  <si>
    <t>Group Architect</t>
  </si>
  <si>
    <t>??</t>
  </si>
  <si>
    <t>4218 Roosevelt</t>
  </si>
  <si>
    <t>G&amp;K Brothers, Inc.</t>
  </si>
  <si>
    <t>Studio19</t>
  </si>
  <si>
    <t>Coffman?</t>
  </si>
  <si>
    <t>University District</t>
  </si>
  <si>
    <t>???</t>
  </si>
  <si>
    <t>Bear Creek Apartments</t>
  </si>
  <si>
    <t>Fairfield</t>
  </si>
  <si>
    <t>Fairfield Residential</t>
  </si>
  <si>
    <t>ARK Architects</t>
  </si>
  <si>
    <t>Interface Engineering</t>
  </si>
  <si>
    <t>Long time</t>
  </si>
  <si>
    <t>University Apartments</t>
  </si>
  <si>
    <t>Don't know yet, but we are low so far.  Update 5/17/16, Dan Peck told me Alosio was 5% low.</t>
  </si>
  <si>
    <t>Aegis Overlake</t>
  </si>
  <si>
    <t>Bellevue</t>
  </si>
  <si>
    <t>Columbia City Apartments</t>
  </si>
  <si>
    <t>Columbia City</t>
  </si>
  <si>
    <t>Late August 17</t>
  </si>
  <si>
    <t>Originally bid to Chinn.  Owner re-bid it to Marpac.  Chinn told us we were 20% low, so we raised our number to Marpac.</t>
  </si>
  <si>
    <t>GRE Notch</t>
  </si>
  <si>
    <t>Bellevue Parkside</t>
  </si>
  <si>
    <t>GRE</t>
  </si>
  <si>
    <t>August, 17</t>
  </si>
  <si>
    <t>Type</t>
  </si>
  <si>
    <t>Auburn Town Center Apartments</t>
  </si>
  <si>
    <t>Auburn</t>
  </si>
  <si>
    <t>BUDGET PRICING ONLY</t>
  </si>
  <si>
    <t>5th &amp; Roy</t>
  </si>
  <si>
    <t>225 Roy</t>
  </si>
  <si>
    <t>98th Ave Apartments</t>
  </si>
  <si>
    <t>end of sept mob</t>
  </si>
  <si>
    <t>Trademark Plbg</t>
  </si>
  <si>
    <t>JH Kelly</t>
  </si>
  <si>
    <t>Queen Anne</t>
  </si>
  <si>
    <t>Q2 2018</t>
  </si>
  <si>
    <t>23 months</t>
  </si>
  <si>
    <t>Harbour Homes</t>
  </si>
  <si>
    <t>Bothell</t>
  </si>
  <si>
    <t>NO BID</t>
  </si>
  <si>
    <t>23rd &amp; Jackson</t>
  </si>
  <si>
    <t>na</t>
  </si>
  <si>
    <t>Hawk Mechanical got it, per Steve Sharrat</t>
  </si>
  <si>
    <t>Yoshikawa Mixed Use</t>
  </si>
  <si>
    <t>Per Steve Sharratt, Kimco plumbing bid this back in July</t>
  </si>
  <si>
    <t>Yoshikawa  Family</t>
  </si>
  <si>
    <t>Roger H. Newell</t>
  </si>
  <si>
    <t>Magnolia</t>
  </si>
  <si>
    <t>South Bayview</t>
  </si>
  <si>
    <t>Pacific Housing NW</t>
  </si>
  <si>
    <t>Beacon Hill</t>
  </si>
  <si>
    <t>PROJECTS BID</t>
  </si>
  <si>
    <t>Avalon</t>
  </si>
  <si>
    <t>Interbay</t>
  </si>
  <si>
    <t>Graham</t>
  </si>
  <si>
    <t>Ballinger</t>
  </si>
  <si>
    <t>First Hill</t>
  </si>
  <si>
    <t>Wolff got it.</t>
  </si>
  <si>
    <t>Wolff got it for about $800,000 less than our price.</t>
  </si>
  <si>
    <t>I thought that Ocean Park and Allied Plumbing had submitted bids, but according to Justin with Fiarfield, they did not.</t>
  </si>
  <si>
    <t>Interbay Apartments</t>
  </si>
  <si>
    <t>Pastakia Associates</t>
  </si>
  <si>
    <t>Rushing was on this, got kicked off</t>
  </si>
  <si>
    <t>Avalon North Creek</t>
  </si>
  <si>
    <t>Andgar?</t>
  </si>
  <si>
    <t>Avalon Residential</t>
  </si>
  <si>
    <t>Rutledge Maul Architects</t>
  </si>
  <si>
    <t>Mill Creek</t>
  </si>
  <si>
    <t>Q1 2018</t>
  </si>
  <si>
    <t>Vail Apartments</t>
  </si>
  <si>
    <t>2100 E. Madison</t>
  </si>
  <si>
    <t>JCMV LLC</t>
  </si>
  <si>
    <t>Zion Realty USA</t>
  </si>
  <si>
    <t>JRA Architects</t>
  </si>
  <si>
    <t>DC Engineering?</t>
  </si>
  <si>
    <t>Shoreline</t>
  </si>
  <si>
    <t>800 5th Ave</t>
  </si>
  <si>
    <t>Wolff ended up getting this one</t>
  </si>
  <si>
    <t>LOST TO JET INDUSTRIES BY 5 OR 6%</t>
  </si>
  <si>
    <t>Blueprint 800 5th Ave</t>
  </si>
  <si>
    <t>Totem Lake Apartments</t>
  </si>
  <si>
    <t>Lennar</t>
  </si>
  <si>
    <t>Decided not to bid</t>
  </si>
  <si>
    <t>Legacy West Seattle</t>
  </si>
  <si>
    <t>The Village</t>
  </si>
  <si>
    <t>U-Place</t>
  </si>
  <si>
    <t>Per email from John Jaeger 1/18/18, we were within 5% of the top 3 plumbers.  We did not get it.</t>
  </si>
  <si>
    <t>Winter 18</t>
  </si>
  <si>
    <t>Atlas plumbing, per Steve Sharratt</t>
  </si>
  <si>
    <t>Redmond Village Holdings</t>
  </si>
  <si>
    <t>Veer Architecture</t>
  </si>
  <si>
    <t>SJS</t>
  </si>
  <si>
    <t>Bellevue Parkside Rebid</t>
  </si>
  <si>
    <t>Farrell</t>
  </si>
  <si>
    <t>Plaza</t>
  </si>
  <si>
    <t>ACME Farms</t>
  </si>
  <si>
    <t>Exxel &amp; Venture</t>
  </si>
  <si>
    <t>Intracorp</t>
  </si>
  <si>
    <t>Tiscarano Associates</t>
  </si>
  <si>
    <t>End of 2018</t>
  </si>
  <si>
    <t>Renton</t>
  </si>
  <si>
    <t>DLR Group</t>
  </si>
  <si>
    <t>University Place WA</t>
  </si>
  <si>
    <t>U-Village</t>
  </si>
  <si>
    <t>Spring 2018</t>
  </si>
  <si>
    <t>98th Ave Apartments Rebid</t>
  </si>
  <si>
    <t>SJS Mechanical?</t>
  </si>
  <si>
    <t>Luna</t>
  </si>
  <si>
    <t>Merrill Gardens Renton</t>
  </si>
  <si>
    <t>Plaza Kirkland</t>
  </si>
  <si>
    <t>Designs Northwest Architects</t>
  </si>
  <si>
    <t>Possibly SJS.  Steve said the job was quoted on 8/25/17 to Keller and Consolidated.</t>
  </si>
  <si>
    <t>Per conversation with Allan on 4/12/18, Tri-state got it, was $200k lower</t>
  </si>
  <si>
    <t>Acme Farms</t>
  </si>
  <si>
    <t>Compass turned this project down.  Exxel Pacific picked it up.  Wolff got it for around $23k to $24k per unit.</t>
  </si>
  <si>
    <t>Triton Court Apartments</t>
  </si>
  <si>
    <t>Dad talked to Reid on 6/29/18, Compass is still proposing to the Owner.  He made it sound like they wouldn't know until labor day.  The excavation isn't right either, so there's more work that needs to be done there.</t>
  </si>
  <si>
    <t>Thaddeus / Joe</t>
  </si>
  <si>
    <t>Garrett / Joe</t>
  </si>
  <si>
    <t>Reuben / Bob</t>
  </si>
  <si>
    <t>Rick / Joe</t>
  </si>
  <si>
    <t>Esteban / Bob</t>
  </si>
  <si>
    <t>Victor / Bob</t>
  </si>
  <si>
    <t>Anthony / Joe</t>
  </si>
  <si>
    <t>Brent told dad he was $400k or $500k high to Herdman Plumbing</t>
  </si>
  <si>
    <t>Marina Square</t>
  </si>
  <si>
    <t>Herdman Plumbing</t>
  </si>
  <si>
    <t>North State Street Apartments</t>
  </si>
  <si>
    <t>Andgar</t>
  </si>
  <si>
    <t>I GAVE A BUDGET OF $20K TO $21K PER UNIT</t>
  </si>
  <si>
    <t>Teutsch / Pillar</t>
  </si>
  <si>
    <t>12th &amp; Yesler</t>
  </si>
  <si>
    <t>Centric Partners, LLC</t>
  </si>
  <si>
    <t>Yesler</t>
  </si>
  <si>
    <t>Canyon Park Apartments</t>
  </si>
  <si>
    <t>Canyon Park</t>
  </si>
  <si>
    <t>Meeker</t>
  </si>
  <si>
    <t>Howell</t>
  </si>
  <si>
    <t>BIG-1 Bell-Red Road</t>
  </si>
  <si>
    <t>Tri-State per Steve Sharrat</t>
  </si>
  <si>
    <t>I GAVE A BUDGET OF $18.5K TO $19.5K PER UNIT</t>
  </si>
  <si>
    <t>BIG 1 LLC</t>
  </si>
  <si>
    <t>CRUX 19022 Aurora</t>
  </si>
  <si>
    <t>Clark Barnes</t>
  </si>
  <si>
    <t>I was told by Nick Cunningham with Compass that they gave a verbal committmet to Tri-State for this job.  I got a follow up email from Nick on 12/18/18 that said Tri-State was over $2,000,000 lower than us.  So that would be somewhere around $10,000/unit.</t>
  </si>
  <si>
    <t>Lost to Wolff</t>
  </si>
  <si>
    <t>Pike &amp; Pine Manor</t>
  </si>
  <si>
    <t>Xue Wei Investments</t>
  </si>
  <si>
    <t>Caron</t>
  </si>
  <si>
    <t>Sider Byers</t>
  </si>
  <si>
    <t>Summer 2019</t>
  </si>
  <si>
    <t>This project went to someone else, not Compass</t>
  </si>
  <si>
    <t>Compass is still waiting to hear from the Owner as of 1/26/19</t>
  </si>
  <si>
    <t>Owner did not go through with purchase of this property.</t>
  </si>
  <si>
    <t>Compass did not get this project, it went to High Country</t>
  </si>
  <si>
    <t>PSW</t>
  </si>
  <si>
    <t>Alloy Apartments</t>
  </si>
  <si>
    <t>Central District</t>
  </si>
  <si>
    <t>417 2nd Ave Apartments</t>
  </si>
  <si>
    <t>Schuchart</t>
  </si>
  <si>
    <t>Hycroft Investment Inc</t>
  </si>
  <si>
    <t>Spuds Greenlake</t>
  </si>
  <si>
    <t>Cone Architecture</t>
  </si>
  <si>
    <t>Alderwood South Apartments</t>
  </si>
  <si>
    <t>Wolff</t>
  </si>
  <si>
    <t>Katerra</t>
  </si>
  <si>
    <t>Lynnwood</t>
  </si>
  <si>
    <t>1200 NE 50th St Apartments</t>
  </si>
  <si>
    <t>Fairbank Construction</t>
  </si>
  <si>
    <t>BonaFide Ventures</t>
  </si>
  <si>
    <t>Rhythm Apartments</t>
  </si>
  <si>
    <t>Yuans H &amp; H Properties</t>
  </si>
  <si>
    <t>d/Arch LLC</t>
  </si>
  <si>
    <t>Shoreline Apartments</t>
  </si>
  <si>
    <t>Evergreen Point Redmond</t>
  </si>
  <si>
    <t>University Townhomes</t>
  </si>
  <si>
    <t>Orlando / Bob</t>
  </si>
  <si>
    <t>Mitch / Bob</t>
  </si>
  <si>
    <t xml:space="preserve">Compass told me that they were high to Synergy Construction and </t>
  </si>
  <si>
    <t>Othello Square Condos</t>
  </si>
  <si>
    <t>Braseth</t>
  </si>
  <si>
    <t>Legends of Everett</t>
  </si>
  <si>
    <t>Dominium</t>
  </si>
  <si>
    <t>BCRA</t>
  </si>
  <si>
    <t>Everett</t>
  </si>
  <si>
    <t>Paradise Lake</t>
  </si>
  <si>
    <t>Redmond Flats</t>
  </si>
  <si>
    <t>Rivertrail Apartments</t>
  </si>
  <si>
    <t>Mill Creek said they had several bidders, and that I was in the middle of the pack.  The bids varied by several hundred 100k's.</t>
  </si>
  <si>
    <t xml:space="preserve">Craig tell me Wolff’s base bid was $4,107,000.  OWP base bid was $4,122,000.    Craig claims there was no other reason other than the low number for Wolff to get the project.  Breaks down to high by $46.88 per unit.  
Trademark Plumbing was over $400,000 low on the project and after some questions from Craig, they withdrew their bid.  </t>
  </si>
  <si>
    <t>Rick, Anthony / Joe</t>
  </si>
  <si>
    <t>Atlas walked away</t>
  </si>
  <si>
    <t>Priority, Compass wouldn't use</t>
  </si>
  <si>
    <t>JD got it, probably 100k beneath us</t>
  </si>
  <si>
    <t>Tejal Pastakia</t>
  </si>
  <si>
    <t>Compass gave us a second look at this but we still lost it.</t>
  </si>
  <si>
    <t>Redmond Flats - 2nd Bid</t>
  </si>
  <si>
    <t>Scout Apartments</t>
  </si>
  <si>
    <t>Kim Faust, George John</t>
  </si>
  <si>
    <t>Dahlin Group</t>
  </si>
  <si>
    <t>HV Engineering</t>
  </si>
  <si>
    <t>Owner decided not to proceed with this project.</t>
  </si>
  <si>
    <t>Heat pump water heaters, very different system.  Owner decided in May 2019 to switch the project to prevailing wage, so we backed out of it.  Got a call from DM Kelly estimator asking questions about it.</t>
  </si>
  <si>
    <t>The Owner decided not to proceed with this project.</t>
  </si>
  <si>
    <t>Per email from Ryan Ames on 5/9/19: "For Big 1, LLC we ended up awarding to Tristate, they provided a budget that was 35% lower than your number and their credit for ABS in lieu of Cast was 30% more.  Tristate has successfully completed many projects for us, and the Sr. PM was confident that their number was complete. "</t>
  </si>
  <si>
    <t>Yesler Terrace</t>
  </si>
  <si>
    <t>I GAVE A BUDGET OF $19.5K TO $20.5K PER UNIT</t>
  </si>
  <si>
    <t>Seattle Tench, LLC</t>
  </si>
  <si>
    <t>None Listed</t>
  </si>
  <si>
    <t>Lost it, not sure who to.</t>
  </si>
  <si>
    <t>Crown Hill</t>
  </si>
  <si>
    <t>On hold.</t>
  </si>
  <si>
    <t>Maltby</t>
  </si>
  <si>
    <t>206 Place Condos</t>
  </si>
  <si>
    <t>Doug Mar</t>
  </si>
  <si>
    <t>Tres West BOD</t>
  </si>
  <si>
    <t>206 Place Condos - 2ND BID</t>
  </si>
  <si>
    <t>We were high to Bulldog Plumbing, but Will Ng walked us into the number</t>
  </si>
  <si>
    <t>Edmonds Senior Living</t>
  </si>
  <si>
    <t>Edmonds 99</t>
  </si>
  <si>
    <t>Aria Flats</t>
  </si>
  <si>
    <t>8105 Greenwood</t>
  </si>
  <si>
    <t>CA Ventures</t>
  </si>
  <si>
    <t>DC Engineers</t>
  </si>
  <si>
    <t>Edmonds</t>
  </si>
  <si>
    <t>Farrel McKenna</t>
  </si>
  <si>
    <t>Venture sent an invitation to bid on this project on 8/30/19.</t>
  </si>
  <si>
    <t>Overlake Place Parcel A (Seritage Place)</t>
  </si>
  <si>
    <t>Rusing</t>
  </si>
  <si>
    <t>Redmond (Old Sears lot)</t>
  </si>
  <si>
    <t>Per Dan Peck email 9/9/19, "Just got word that the developer went another direction"</t>
  </si>
  <si>
    <t>Centric Partners</t>
  </si>
  <si>
    <t>Per email from Jason on 9/20/19, we were 16% high to one other bidder.  Found out on 9/24/19 from Geoff Wood of Proctor Sales that Wolff was the other bidder.</t>
  </si>
  <si>
    <t>112 Lake Street</t>
  </si>
  <si>
    <t>As of 1/26/19, owner is still having permitting issues.  Per conversation with Reid Bullock in October 2019, we were not low.  Low bidder was at $15k/unit.</t>
  </si>
  <si>
    <t>Per conversation with Reid Bullock in October 2019, we were low on this job.  The only other bid was $3.5mil higher.</t>
  </si>
  <si>
    <t>Mira Apartments</t>
  </si>
  <si>
    <t>Luna 2749 California Ave</t>
  </si>
  <si>
    <t>Dockside</t>
  </si>
  <si>
    <t>Farrell McKenna</t>
  </si>
  <si>
    <t>Redpoint Development Group</t>
  </si>
  <si>
    <t>Ross Deckman &amp; Associates</t>
  </si>
  <si>
    <t>Burien</t>
  </si>
  <si>
    <t>Fireside Flats</t>
  </si>
  <si>
    <t>Mitch, Thaddeus / Joe</t>
  </si>
  <si>
    <t>Reserve at Arlington</t>
  </si>
  <si>
    <t>West Coast</t>
  </si>
  <si>
    <t>Reserve</t>
  </si>
  <si>
    <t>Windsor</t>
  </si>
  <si>
    <t>Arlington</t>
  </si>
  <si>
    <t>Coby gave us all the numbers from this bid, see to the left.  West Coast plumbing has 18 L&amp;I violations.</t>
  </si>
  <si>
    <t>Jabooda Melody</t>
  </si>
  <si>
    <t>Jabooda</t>
  </si>
  <si>
    <t>Jabooda Homes</t>
  </si>
  <si>
    <t>MAS Architecture</t>
  </si>
  <si>
    <t>South Seattle</t>
  </si>
  <si>
    <t>Now</t>
  </si>
  <si>
    <t>Best Bath had originally budgeted this, but couldn't fit it in.</t>
  </si>
  <si>
    <t>Auburn Divine Court</t>
  </si>
  <si>
    <t>Shelter Tacoma</t>
  </si>
  <si>
    <t>Hilltop</t>
  </si>
  <si>
    <t>Charlie says we came in third, but the bottom 2 bidders were missing things.  One was missing design.  He couldn't remember what the other was missing.</t>
  </si>
  <si>
    <t>Charlie says we came in second, but the bottom bidder was missing something.  There were a total of 4 bids.  The one higher than us was only half a percent above us.</t>
  </si>
  <si>
    <t>Ravello Gas Piping</t>
  </si>
  <si>
    <t>Brooklyn 65</t>
  </si>
  <si>
    <t>Metro Line Flats</t>
  </si>
  <si>
    <t>Track 66</t>
  </si>
  <si>
    <t>4218 Roosevelt (Sundodger)</t>
  </si>
  <si>
    <t>University Apartments (MYSA)</t>
  </si>
  <si>
    <t>Greenlake (Crew)</t>
  </si>
  <si>
    <t>Ballinger (The 205)</t>
  </si>
  <si>
    <t>Lynnwood Reserve Rebuild</t>
  </si>
  <si>
    <t>2100 Madison (Avant)</t>
  </si>
  <si>
    <t>Notch Apartments</t>
  </si>
  <si>
    <t>800 5th</t>
  </si>
  <si>
    <t>Kirkland Plaza</t>
  </si>
  <si>
    <t>Origin 206</t>
  </si>
  <si>
    <t>Flag Lot</t>
  </si>
  <si>
    <t>F&amp;M</t>
  </si>
  <si>
    <t>Holland</t>
  </si>
  <si>
    <t>Boren  (Fox &amp; Finch)</t>
  </si>
  <si>
    <t>Vuecrest (LUX)</t>
  </si>
  <si>
    <t>Park Lane (VODA)</t>
  </si>
  <si>
    <t>Issaquah Gateway (Anthology)</t>
  </si>
  <si>
    <t>Total</t>
  </si>
  <si>
    <t>Per unit</t>
  </si>
  <si>
    <t>Per Unit</t>
  </si>
  <si>
    <t>1405 Dexter</t>
  </si>
  <si>
    <t>Vail Two</t>
  </si>
  <si>
    <t>Beacon Hill Mixed Use TOD</t>
  </si>
  <si>
    <t>Encore</t>
  </si>
  <si>
    <t>Block 56 North</t>
  </si>
  <si>
    <t>AAA Management</t>
  </si>
  <si>
    <t>Carrier Johnson Cultur3</t>
  </si>
  <si>
    <t>Hunters Capital</t>
  </si>
  <si>
    <t>Christopher Jones</t>
  </si>
  <si>
    <t>Shelter Homes?</t>
  </si>
  <si>
    <t>Tacoma</t>
  </si>
  <si>
    <t>Redmond Square</t>
  </si>
  <si>
    <t>Katerra/Tiscareno</t>
  </si>
  <si>
    <t>Brooklyn Ave</t>
  </si>
  <si>
    <t>Fields Holdings</t>
  </si>
  <si>
    <t>Jackson Main</t>
  </si>
  <si>
    <t>Scott McDonald, Adam Greisz?</t>
  </si>
  <si>
    <t>Lemons Architecture</t>
  </si>
  <si>
    <t>Robison Engineering</t>
  </si>
  <si>
    <t>MSRE Apartment</t>
  </si>
  <si>
    <t>Benny Kim</t>
  </si>
  <si>
    <t>2517 Eastlake</t>
  </si>
  <si>
    <t>Washington Holdings</t>
  </si>
  <si>
    <t>Eastlake</t>
  </si>
  <si>
    <t>Edmonds 99 - 2nd bid</t>
  </si>
  <si>
    <t>Dexter Flag Lot</t>
  </si>
  <si>
    <t>Mira Apartments - 2nd Bid</t>
  </si>
  <si>
    <t>Bonafide Ventures</t>
  </si>
  <si>
    <t>Columbia City Condos</t>
  </si>
  <si>
    <t>Storybuilt (PSW)</t>
  </si>
  <si>
    <t>Not proceeding because of federal funding.</t>
  </si>
  <si>
    <t>Coby Jones</t>
  </si>
  <si>
    <t>Martin Solorio</t>
  </si>
  <si>
    <t>Ben McCarty/Tim Spink</t>
  </si>
  <si>
    <t>Dennis Schlosser</t>
  </si>
  <si>
    <t>Connor Jungkuntz</t>
  </si>
  <si>
    <t>Sean McKenna</t>
  </si>
  <si>
    <t>Scott Weston</t>
  </si>
  <si>
    <t>Michael McKenna</t>
  </si>
  <si>
    <t>Justin Anderson</t>
  </si>
  <si>
    <t>Will Fenton</t>
  </si>
  <si>
    <t>Jeff Seeb</t>
  </si>
  <si>
    <t>Jacob Jeske</t>
  </si>
  <si>
    <t>Continental</t>
  </si>
  <si>
    <t>Josh Purefoy / Steven Hall</t>
  </si>
  <si>
    <t>Tyson Cornett</t>
  </si>
  <si>
    <t>Rich Swedstedt / Ryan Ames</t>
  </si>
  <si>
    <t>Daniel Marks / Matt Johnson</t>
  </si>
  <si>
    <t>Bill Shore</t>
  </si>
  <si>
    <t>Stefan Fjeldsted</t>
  </si>
  <si>
    <t>Kyle Harmia</t>
  </si>
  <si>
    <t>Kenji Norwood</t>
  </si>
  <si>
    <t>Don Cunningham</t>
  </si>
  <si>
    <t>Project is being sold to another developer.</t>
  </si>
  <si>
    <t>Ballard Yard</t>
  </si>
  <si>
    <t>Carmel Partners</t>
  </si>
  <si>
    <t>Harris Group</t>
  </si>
  <si>
    <t>Ballard</t>
  </si>
  <si>
    <t>Ecotope?</t>
  </si>
  <si>
    <t>Evergreen Pointe Student Housing</t>
  </si>
  <si>
    <t>Sound West Group</t>
  </si>
  <si>
    <t>Bremerton</t>
  </si>
  <si>
    <t>Northgate</t>
  </si>
  <si>
    <t>JD got it.  Was 7.5% low to us.</t>
  </si>
  <si>
    <t>Northgate Phase 2 Apartments</t>
  </si>
  <si>
    <t>Didn't get it.  Was 12 to 15% high, according to Rich.  They're using a plumber that's local to the peninsula.</t>
  </si>
  <si>
    <t>Queen Anne Safeway Mixed Use</t>
  </si>
  <si>
    <t>400 Queen Anne</t>
  </si>
  <si>
    <t>GenCap</t>
  </si>
  <si>
    <t>100 Roy Street</t>
  </si>
  <si>
    <t>HOLD</t>
  </si>
  <si>
    <t>Riverfront Building B</t>
  </si>
  <si>
    <t>Windsor Engineers</t>
  </si>
  <si>
    <t>COVID</t>
  </si>
  <si>
    <t>Knights of Columbus North Bldg</t>
  </si>
  <si>
    <t>Beacon Crossing</t>
  </si>
  <si>
    <t>Didn't get it per email from Bo O-Shea.  Was 3rd out of 4 bidders.  Won't give any info.</t>
  </si>
  <si>
    <t>Northgate Redevelopment</t>
  </si>
  <si>
    <t>Simon Property Group</t>
  </si>
  <si>
    <t>SRM Development</t>
  </si>
  <si>
    <t>Theory U-District</t>
  </si>
  <si>
    <t>Ethos Phase 2</t>
  </si>
  <si>
    <t>FNW</t>
  </si>
  <si>
    <t>Kent</t>
  </si>
  <si>
    <t>Didn't get it.</t>
  </si>
  <si>
    <t>Edmond 99</t>
  </si>
  <si>
    <t>Kirtley Cole</t>
  </si>
  <si>
    <t>Roosevelt (Northgate)</t>
  </si>
  <si>
    <t>Yesler Terrace Bldg B</t>
  </si>
  <si>
    <t>Loews</t>
  </si>
  <si>
    <t>SJS/Robison</t>
  </si>
  <si>
    <t>Tri-State is competition.  SJS has job, we are trying to take it from them.  See bid sheet and emails for more notes.</t>
  </si>
  <si>
    <t>Everett Rockefeller</t>
  </si>
  <si>
    <t>Trent Development</t>
  </si>
  <si>
    <t>Ballard Saratoga - 57th</t>
  </si>
  <si>
    <t>Ballard Saratoga - 56th</t>
  </si>
  <si>
    <t>Saratoga Capital</t>
  </si>
  <si>
    <t>Frank Weaver</t>
  </si>
  <si>
    <t>Mike Horgan</t>
  </si>
  <si>
    <t>Kait O'Neill</t>
  </si>
  <si>
    <t>Yu &amp; Trochalakis</t>
  </si>
  <si>
    <t>Sechrist Design</t>
  </si>
  <si>
    <t>Evan Chan</t>
  </si>
  <si>
    <t>Doyle Gustafson</t>
  </si>
  <si>
    <t>Joe Hanley</t>
  </si>
  <si>
    <t>Shonna Hiatt</t>
  </si>
  <si>
    <t>Howard Jacobsen</t>
  </si>
  <si>
    <t>Ryan O'Connell</t>
  </si>
  <si>
    <t>Alina Lutenco</t>
  </si>
  <si>
    <t>Justin Gotcher / Chris Austin</t>
  </si>
  <si>
    <t>Brian Proctor</t>
  </si>
  <si>
    <t>Chris Austin</t>
  </si>
  <si>
    <t>Michele Lee</t>
  </si>
  <si>
    <t>Matt Stewart / Ron Auld / Jamie Creek</t>
  </si>
  <si>
    <t>Aaron Steinke</t>
  </si>
  <si>
    <t>Victor Vo / Ben Prigmore</t>
  </si>
  <si>
    <t>Jola Bielecki</t>
  </si>
  <si>
    <t>Bill Armstrong</t>
  </si>
  <si>
    <t>Mason Seto</t>
  </si>
  <si>
    <t>David Strid</t>
  </si>
  <si>
    <t>Jose Tapia</t>
  </si>
  <si>
    <t>Shon Geer</t>
  </si>
  <si>
    <t>Kurt Weagant</t>
  </si>
  <si>
    <t>Karl Clocksin</t>
  </si>
  <si>
    <t>Kyle Stenson</t>
  </si>
  <si>
    <t>Mike Sanderson</t>
  </si>
  <si>
    <t>James Casal</t>
  </si>
  <si>
    <t>Amir Molavi</t>
  </si>
  <si>
    <t>Jason Hill</t>
  </si>
  <si>
    <t>Gavin Erickson / Christian Knorr / Jin Lee</t>
  </si>
  <si>
    <t>Michelle Deng</t>
  </si>
  <si>
    <t>Pat Nakamura</t>
  </si>
  <si>
    <t>Joey Mar</t>
  </si>
  <si>
    <t>Todd Weeks</t>
  </si>
  <si>
    <t>Steve Booth</t>
  </si>
  <si>
    <t>Matt Anderson</t>
  </si>
  <si>
    <t>John Bolle</t>
  </si>
  <si>
    <t>Astra Persue / Titus Uomoto</t>
  </si>
  <si>
    <t>Dan Schaeffer</t>
  </si>
  <si>
    <t>Scott Miller</t>
  </si>
  <si>
    <t>Steve Garka</t>
  </si>
  <si>
    <t>Pat McCabe</t>
  </si>
  <si>
    <t>Scott McSpadden / Stefan Fjeldsted</t>
  </si>
  <si>
    <t>Titus Uomoto</t>
  </si>
  <si>
    <t>Kirk Swenson / Dan Schaeffer / Brad Carpenter / Scott Messer</t>
  </si>
  <si>
    <t>Bill Christopherson / Richard Moore</t>
  </si>
  <si>
    <t>Derya O'Rourke / Alina Lutenco</t>
  </si>
  <si>
    <t>Scott McSpadden</t>
  </si>
  <si>
    <t>Armando Espinosa</t>
  </si>
  <si>
    <t>Brian Christensen / Zachary Vandiver</t>
  </si>
  <si>
    <t>Scott Donder</t>
  </si>
  <si>
    <t>Qasim Gill</t>
  </si>
  <si>
    <t>Kaitlyn Huynh</t>
  </si>
  <si>
    <t>Patrick Fischer</t>
  </si>
  <si>
    <t>Buddha Jewel Monastery</t>
  </si>
  <si>
    <t>n/a</t>
  </si>
  <si>
    <t>Per Chris Austin email on 9/2, we were 8% high.  They went with another plumber.</t>
  </si>
  <si>
    <t>Riverfront Building B - 2ND BID</t>
  </si>
  <si>
    <t>Willows</t>
  </si>
  <si>
    <t>Alexan Alderwood</t>
  </si>
  <si>
    <t>Trammel Crow</t>
  </si>
  <si>
    <t>Strouse Davis</t>
  </si>
  <si>
    <t>Harmony</t>
  </si>
  <si>
    <t>Robinson</t>
  </si>
  <si>
    <t>Charlie said that SJS was competition on the last bid.  He said my number was fine.  It looks like a nasty job so my number went up.</t>
  </si>
  <si>
    <t>Redmond Square Bldg B</t>
  </si>
  <si>
    <t>Tiscareno</t>
  </si>
  <si>
    <t>Tri-State is competition</t>
  </si>
  <si>
    <t>Corner 63</t>
  </si>
  <si>
    <t>B+H</t>
  </si>
  <si>
    <t>I think SJS</t>
  </si>
  <si>
    <t>Shoreline Place Block D</t>
  </si>
  <si>
    <t>Pillar Properties</t>
  </si>
  <si>
    <t>Urbal Arch</t>
  </si>
  <si>
    <t>Ballard Hub</t>
  </si>
  <si>
    <t>Bumgardner</t>
  </si>
  <si>
    <t>Wang Brothers</t>
  </si>
  <si>
    <t>Bellevue Station</t>
  </si>
  <si>
    <t>Crown Hill Mixed Use</t>
  </si>
  <si>
    <t>BMDC</t>
  </si>
  <si>
    <t>1700 21st Ave</t>
  </si>
  <si>
    <t>Public47</t>
  </si>
  <si>
    <t>Basalt (4401 42nd Ave SW)</t>
  </si>
  <si>
    <t>Orlando</t>
  </si>
  <si>
    <t>Jordan</t>
  </si>
  <si>
    <t>Mitch</t>
  </si>
  <si>
    <t>2nd &amp; Bell</t>
  </si>
  <si>
    <t>Paragon Real Estate</t>
  </si>
  <si>
    <t>Belltown</t>
  </si>
  <si>
    <t>Bellevue Station 2nd Bid</t>
  </si>
  <si>
    <t>Bellevue Plaza</t>
  </si>
  <si>
    <t>Seatac Multifamily</t>
  </si>
  <si>
    <t>Basalt</t>
  </si>
  <si>
    <t>Tri-State &amp; Atlas Plumbing is competition</t>
  </si>
  <si>
    <t>We were 10% higher than Wolfe, according to Tommy Booth.  Trademark also bid it and was lower than us.</t>
  </si>
  <si>
    <t>Redmond Grand - Bldg B</t>
  </si>
  <si>
    <t>Seatac</t>
  </si>
  <si>
    <t>Per Ben Laws, this project was given to Rush Commercial</t>
  </si>
  <si>
    <t>LIZA</t>
  </si>
  <si>
    <t>Tommy</t>
  </si>
  <si>
    <t>Anthony</t>
  </si>
  <si>
    <t>CDA + Pirscher Architects</t>
  </si>
  <si>
    <t>Knights of Columbus</t>
  </si>
  <si>
    <t>Kirtley Cole &amp; Exxel Pacific</t>
  </si>
  <si>
    <t>Ballard 24th &amp; Market</t>
  </si>
  <si>
    <t>149th Shoreline</t>
  </si>
  <si>
    <t>2501 Market</t>
  </si>
  <si>
    <t>Yesler Terrace Phase 2</t>
  </si>
  <si>
    <t>Shoreline 147th</t>
  </si>
  <si>
    <t>Redmond Grand</t>
  </si>
  <si>
    <t>Northgate Phase 2</t>
  </si>
  <si>
    <t>Alloy</t>
  </si>
  <si>
    <t>Cancelled</t>
  </si>
  <si>
    <t>56th Ballard</t>
  </si>
  <si>
    <t>57th Ballard</t>
  </si>
  <si>
    <t>J Selig Real Estate</t>
  </si>
  <si>
    <t>Mithun</t>
  </si>
  <si>
    <t>HB Roosevelt 1A/1B</t>
  </si>
  <si>
    <t>1145 Market</t>
  </si>
  <si>
    <t>Rainier &amp; Genesee</t>
  </si>
  <si>
    <t>Per Tommy Booth, I was 9% high to Wolfe.  He said that Wolfe may be too busy to take it on, so was going to keep in touch with me.</t>
  </si>
  <si>
    <t>Skb Architects</t>
  </si>
  <si>
    <t>21 Boston</t>
  </si>
  <si>
    <t>Redmond Goodyear</t>
  </si>
  <si>
    <t>517 East Pike Street</t>
  </si>
  <si>
    <t>Shoreline 147</t>
  </si>
  <si>
    <t xml:space="preserve">Shoreline 147 </t>
  </si>
  <si>
    <t>FAKE</t>
  </si>
  <si>
    <t>AAA management decided to use Petra Construction.</t>
  </si>
  <si>
    <t>24th &amp; Market</t>
  </si>
  <si>
    <t>Edge Developers</t>
  </si>
  <si>
    <t>Northgate (11201 Roosevelt)</t>
  </si>
  <si>
    <t>Chronicle</t>
  </si>
  <si>
    <t>ON HOLD</t>
  </si>
  <si>
    <t>Midvale Village</t>
  </si>
  <si>
    <t>ACG Builds</t>
  </si>
  <si>
    <t>Northlake Capital</t>
  </si>
  <si>
    <t>Seatac Apartments</t>
  </si>
  <si>
    <t>Lou Development</t>
  </si>
  <si>
    <t>Wallingford</t>
  </si>
  <si>
    <t>Early Edge Services?</t>
  </si>
  <si>
    <t>Intracorp Northgate</t>
  </si>
  <si>
    <t>Juanita Kirkland</t>
  </si>
  <si>
    <t>Lowe</t>
  </si>
  <si>
    <t>Juanita</t>
  </si>
  <si>
    <t>Rafn</t>
  </si>
  <si>
    <t>AMLI Redmond</t>
  </si>
  <si>
    <t>PROJECTS TO BID</t>
  </si>
  <si>
    <t>Blue = Design contract issued.</t>
  </si>
  <si>
    <t>Green = Construction contract issued.</t>
  </si>
  <si>
    <t>Vivo Queen Anne North</t>
  </si>
  <si>
    <t>SRM Development &amp; Gary Merlino</t>
  </si>
  <si>
    <t>AMLI</t>
  </si>
  <si>
    <t>Solomon Cordwell Buenz</t>
  </si>
  <si>
    <t>523 Hilltop</t>
  </si>
  <si>
    <t>Gridline (Knights of Columbus)</t>
  </si>
  <si>
    <t>Reed Apartments</t>
  </si>
  <si>
    <t>Eastlake Lago</t>
  </si>
  <si>
    <t>Josephine South</t>
  </si>
  <si>
    <t>StoryBuilt</t>
  </si>
  <si>
    <t>JD and 1 other were competition.  They were in $7m range, I was around $10m.</t>
  </si>
  <si>
    <t>Vivo Queen Anne South</t>
  </si>
  <si>
    <t>Urbal</t>
  </si>
  <si>
    <t>Steven/Rick</t>
  </si>
  <si>
    <t>164th St Apartments</t>
  </si>
  <si>
    <t>Grand Peaks Properties</t>
  </si>
  <si>
    <t>Skipstonesea</t>
  </si>
  <si>
    <t>Mountlake Terrace</t>
  </si>
  <si>
    <t>Market</t>
  </si>
  <si>
    <t>Highland Park</t>
  </si>
  <si>
    <t>High Country</t>
  </si>
  <si>
    <t>Park 5 Apartments</t>
  </si>
  <si>
    <t>Lost this project to JJ plumbing.</t>
  </si>
  <si>
    <t>Per Steve Sharratt on 6/8/22, this project went to JJ Plumbing.</t>
  </si>
  <si>
    <t>30% high to Best Plumbing</t>
  </si>
  <si>
    <t>4221 37th Ave S</t>
  </si>
  <si>
    <t>Prokash plumbing was around $16,000 per unit and was still high</t>
  </si>
  <si>
    <t>Chambers</t>
  </si>
  <si>
    <t>MZA Architecture</t>
  </si>
  <si>
    <t>Zarnoor Associates</t>
  </si>
  <si>
    <t>Carrick</t>
  </si>
  <si>
    <t>SunDowner</t>
  </si>
  <si>
    <t>Kevin Chinn</t>
  </si>
  <si>
    <t>Johnson Oaklief</t>
  </si>
  <si>
    <t>GRE U-District Remodel</t>
  </si>
  <si>
    <t>Summerhill Communities</t>
  </si>
  <si>
    <t>Thaddeus/Steven</t>
  </si>
  <si>
    <t>68th &amp; Roosevelt</t>
  </si>
  <si>
    <t>Alta North City</t>
  </si>
  <si>
    <t>Wood Partners</t>
  </si>
  <si>
    <t>Alta Meridian Park</t>
  </si>
  <si>
    <t>Pavilion</t>
  </si>
  <si>
    <t>Market Square</t>
  </si>
  <si>
    <t>Ori Roosevelt</t>
  </si>
  <si>
    <t>The M Apartments</t>
  </si>
  <si>
    <t>2621 Eastlake Ave E</t>
  </si>
  <si>
    <t>Onelin</t>
  </si>
  <si>
    <t>High Street (Trammell Crow)</t>
  </si>
  <si>
    <t>Candela (Mill Stream MLT Phase 1)</t>
  </si>
  <si>
    <t>Mill Stream Properties</t>
  </si>
  <si>
    <t>Caspian LLC</t>
  </si>
  <si>
    <t>Ecco Design</t>
  </si>
  <si>
    <t>Best Plumbing</t>
  </si>
  <si>
    <t>Parkshore Juanita Bay Senior Living</t>
  </si>
  <si>
    <t>Transforming Age</t>
  </si>
  <si>
    <t>Invite Date</t>
  </si>
  <si>
    <t>Reason Did Not Bid</t>
  </si>
  <si>
    <t>Bothell Commons Phase II</t>
  </si>
  <si>
    <t>Avalon Bay</t>
  </si>
  <si>
    <t>Too busy to get around to</t>
  </si>
  <si>
    <t>Trailside 2</t>
  </si>
  <si>
    <t>Phoenix Property Co</t>
  </si>
  <si>
    <t>Marysville</t>
  </si>
  <si>
    <t>Redmond 87 (Goodyear)</t>
  </si>
  <si>
    <t>Seatac Amelia</t>
  </si>
  <si>
    <t>Euclid Union</t>
  </si>
  <si>
    <t>T.J. Lehman</t>
  </si>
  <si>
    <t>Board &amp; Vellum</t>
  </si>
  <si>
    <t>Staengl Engineering</t>
  </si>
  <si>
    <t>Burk Mechanical</t>
  </si>
  <si>
    <t>Heron Properties</t>
  </si>
  <si>
    <t>Been hearing bad things about Pavilion, south end job so competition will be cheap</t>
  </si>
  <si>
    <t>KOZ Lynnwood Apartments</t>
  </si>
  <si>
    <t>Kirtley-Cole</t>
  </si>
  <si>
    <t>Koz</t>
  </si>
  <si>
    <t>Too busy to get around to, messy spec, and I imagine competition would be cheap.  I found on mybuildingpermit.com that their plumbing budget is $4,220,000, which is $21,100 per unit</t>
  </si>
  <si>
    <t>2501 Market Street</t>
  </si>
  <si>
    <t>Jordan Selig Real Estate</t>
  </si>
  <si>
    <t>Typical Chinn asking for budgets.  Job will rebid competitively in future.</t>
  </si>
  <si>
    <t>Per Schuchart email on 12/12/22, Schuchart did not get the job.  Not sure who did.</t>
  </si>
  <si>
    <t>Steve Sharratt says Wolfe is bidding it.  Mike Moore said Ocean Park was looking at it.  Per Matt Sims conversation on 12/16/22, we are within 5% of the low number.  It's going to be rebid in February 2023, project will start in summer 2023.</t>
  </si>
  <si>
    <t>5th Ave Apartments</t>
  </si>
  <si>
    <t>Cascade Yard</t>
  </si>
  <si>
    <t>No competition, per Steve Sharratt</t>
  </si>
  <si>
    <t>Touchstone (URG)</t>
  </si>
  <si>
    <t>Did not get, per email from Will Wharton on 1/10/23.  Was not low, but was competitive.</t>
  </si>
  <si>
    <t>&lt;?xml version="1.0" encoding="utf-8"?&gt;_x000D_
&lt;QuantityLinks Version="3"&gt;_x000D_
  &lt;Links /&gt;_x000D_
  &lt;Filesets /&gt;_x000D_
  &lt;Guids /&gt;_x000D_
&lt;/QuantityLinks&gt;</t>
  </si>
  <si>
    <t>SRM Bellevue Way</t>
  </si>
  <si>
    <t>Very early budgeting.  Will be asked to bid again in future.  See notes in email I sent to myself.</t>
  </si>
  <si>
    <t>Apollo Apartments</t>
  </si>
  <si>
    <t>Blackfish Capital</t>
  </si>
  <si>
    <t>See email for explanation.</t>
  </si>
  <si>
    <t>Compass did not get it.  Owner was expecting the price to be 40% lower.  See email from Reid Bullock 1/30/23</t>
  </si>
  <si>
    <t>FUTURE BIDS</t>
  </si>
  <si>
    <t>FUTURE</t>
  </si>
  <si>
    <t>Continental Olive Way</t>
  </si>
  <si>
    <t>Seatac Hyatt Hotel</t>
  </si>
  <si>
    <t>3831 Stone Way</t>
  </si>
  <si>
    <t>Prometheus Real Estate Group</t>
  </si>
  <si>
    <t>Told Exxel Pacific that I would bid it if the senior PM called me.  It's a schematic bid, and way too early, so this is probably just budget pricing.  Exxel never called me.  Jens said that Eric would call me, but he never did.  Just going to wait until it's further along, i should get a bid invite later.</t>
  </si>
  <si>
    <t>No competition, per Steve Sharratt.  Per Exxel, there were 2 other bidders.  We were 9% high.  They went with someone else.</t>
  </si>
  <si>
    <t>SRM did not get it.  Rebid to Exxel Pacific.</t>
  </si>
  <si>
    <t>Jabooda 2101 S Salon</t>
  </si>
  <si>
    <t>Catch Design Studio</t>
  </si>
  <si>
    <t>Linda Burman</t>
  </si>
  <si>
    <t>none? Maybe Tran's plumbing?</t>
  </si>
  <si>
    <t>The Wave at Rucker Ave</t>
  </si>
  <si>
    <t>KOZ 300 West Republican</t>
  </si>
  <si>
    <t>KOZ Development</t>
  </si>
  <si>
    <t>Koz Architecture</t>
  </si>
  <si>
    <t>Trademark per Steve</t>
  </si>
  <si>
    <t>Wolfe &amp; Atlas.  See bid sheet.  Tommy is probably going to use Atlas plumbing.</t>
  </si>
  <si>
    <t>Gridline</t>
  </si>
  <si>
    <t>Chinn/Compass</t>
  </si>
  <si>
    <t>Trademark per Steve.  Kirtley Cole says there are 5 total bidders.</t>
  </si>
  <si>
    <t>KOZ 300 West Republican rebid</t>
  </si>
  <si>
    <t>508 Fremont</t>
  </si>
  <si>
    <t>Covington Commons</t>
  </si>
  <si>
    <t>Covington</t>
  </si>
  <si>
    <t>Evergreen Point</t>
  </si>
  <si>
    <t>Bel-Red TOD</t>
  </si>
  <si>
    <t>Mt Baker TOD</t>
  </si>
  <si>
    <t>See email - Tom Toomey</t>
  </si>
  <si>
    <t>Sola Apartments</t>
  </si>
  <si>
    <t>Graves &amp; Associates</t>
  </si>
  <si>
    <t>The Fir</t>
  </si>
  <si>
    <t>Sammamish Towncenter - Pillar Properties</t>
  </si>
  <si>
    <t>See email - Nick Cunningham</t>
  </si>
  <si>
    <t>Prometheus Real Estate</t>
  </si>
  <si>
    <t>MG2 Architecture</t>
  </si>
  <si>
    <t>Fremont</t>
  </si>
  <si>
    <t>Wolfe &amp; Artemis Plumbing.  Brian said Artimus is very concerning low - $1mil under our number.  He said us and Wolfe were right next to each other.</t>
  </si>
  <si>
    <t>GranCorp</t>
  </si>
  <si>
    <t>Jensen Design</t>
  </si>
  <si>
    <t>Per Brian with Compass, they are still $2mil over budget on the project.  May have to pass on the project.</t>
  </si>
  <si>
    <t>Marysville Clubhouse</t>
  </si>
  <si>
    <t>Fremont 65</t>
  </si>
  <si>
    <t>Infinity Investment Group</t>
  </si>
  <si>
    <t>Kamiak</t>
  </si>
  <si>
    <t>Robison/Wolfe</t>
  </si>
  <si>
    <t>Wolfe &amp; SJS are competition.  Ben said my number was the winning number when I turned it in.</t>
  </si>
  <si>
    <t>Spruce Project</t>
  </si>
  <si>
    <t>South seattle</t>
  </si>
  <si>
    <t>T Property Investments</t>
  </si>
  <si>
    <t>No competition per Dan Peck.  Steve Sharratt was also supposed to tell me if he heard of anyone bidding, and I never heard of anyone.</t>
  </si>
  <si>
    <t>Per Nick Hoffman phone call on 6/19/23, they had to pull the plug on this job.  Holland said it made sense to do the project, but their equity partner pulled out of it.</t>
  </si>
  <si>
    <t>Per Andrews email on 6/19/23, they are not proceeding with this project.  Not sure why.</t>
  </si>
  <si>
    <t>Tanager Apartments (formerly Euclid Union)</t>
  </si>
  <si>
    <t>St Lukes</t>
  </si>
  <si>
    <t>Venture</t>
  </si>
  <si>
    <t>Security Properties</t>
  </si>
  <si>
    <t>Ardea at Totem Lake</t>
  </si>
  <si>
    <t>TWG Development</t>
  </si>
  <si>
    <t>Totem Lake</t>
  </si>
  <si>
    <t>Venture project, busy with other bidding, Abossein design</t>
  </si>
  <si>
    <t>Northgate M2</t>
  </si>
  <si>
    <t>Stealing job from SJS.  See quote sheet for analysis.</t>
  </si>
  <si>
    <t>Northgate M3</t>
  </si>
  <si>
    <t>Overlake Square</t>
  </si>
  <si>
    <t>Petra</t>
  </si>
  <si>
    <t>China Town</t>
  </si>
  <si>
    <t>Brett said that Holland said this project was dead.  They mentioned it at the subcontractor meeting that Brett went to.</t>
  </si>
  <si>
    <t>Blueprint/Pantley</t>
  </si>
  <si>
    <t>1013 E Republican St</t>
  </si>
  <si>
    <t>Mike Martin?</t>
  </si>
  <si>
    <t>Messy spec, Petra, probably a bunch of shitty plumbers bidding on it, etc</t>
  </si>
  <si>
    <t>Redmond (Overlake)</t>
  </si>
  <si>
    <t>Too big.  CP is big and there's a lot of risk here</t>
  </si>
  <si>
    <t>iVista Apartments</t>
  </si>
  <si>
    <t>Cosmos Group</t>
  </si>
  <si>
    <t>Lacey Apartments</t>
  </si>
  <si>
    <t>12th Place Apartments</t>
  </si>
  <si>
    <t>Julio/Tommy</t>
  </si>
  <si>
    <t>Victor/Mitch</t>
  </si>
  <si>
    <t>Modera International District</t>
  </si>
  <si>
    <t>Modera Bridle Trails</t>
  </si>
  <si>
    <t>Lacey</t>
  </si>
  <si>
    <t>Broadway Urbaine</t>
  </si>
  <si>
    <t>NW Market St</t>
  </si>
  <si>
    <t>Atlas and JD bid it, so it's already going to be cheap.  The Modera ID project was bid very cheaply, so they're going to have a very cheap expectation.  Also, it's big and complicated, and I don't have time to deal with this bid.  Have a baby coming in a week.</t>
  </si>
  <si>
    <t>Symphony</t>
  </si>
  <si>
    <t>Gables Residential</t>
  </si>
  <si>
    <t>Very messy fixture spec.  Bid invite says there will be future rounds of bidding, so we will have another chance.  I have a baby due in a week, and there are other projects to bid, so need to prioritize.  Also, bid invite says the project won't go if it doesn't meet owners budget, so isn't very promising.</t>
  </si>
  <si>
    <t>300 W Republican</t>
  </si>
  <si>
    <t>Trademark per Steve.  Kirtley Cole says there are 5 total bidders.  Edmonds plumbing was lowest, I had to bring my price down to beat them.</t>
  </si>
  <si>
    <t>Price had to come down 10% to make project go.</t>
  </si>
  <si>
    <t>Bella on Broadway Repipe</t>
  </si>
  <si>
    <t>Water main repipe.</t>
  </si>
  <si>
    <t>Rick/Steven</t>
  </si>
  <si>
    <t>Thaddeus/Garret/Reuben</t>
  </si>
  <si>
    <t>3831 Stone Way (Yonder)</t>
  </si>
  <si>
    <t>AAA Management Renton</t>
  </si>
  <si>
    <t>AAA Management is shitty owner, requires a lot of time/effort.  They wanted pricing on tear down, rebuild, and conversion from office to apartment.  Too much time to think about.  Too many other things to bid right now.</t>
  </si>
  <si>
    <t>TAP Collaborative</t>
  </si>
  <si>
    <t>Knit</t>
  </si>
  <si>
    <t>FA Johnson</t>
  </si>
  <si>
    <t>Bella on Broadway Water Repipe</t>
  </si>
  <si>
    <t>4001 S Willow St</t>
  </si>
  <si>
    <t>ACG</t>
  </si>
  <si>
    <t>Village at 47th</t>
  </si>
  <si>
    <t>Tukwila</t>
  </si>
  <si>
    <t>Vintage Housing</t>
  </si>
  <si>
    <t>Cannot find any info about permits online.  Cannot figure out who bid it.  Was a low level PE that called me about it, with little info.  ACG is GC, which is probably a waste of time.  Not sure if we want to work for them.  There is other better stuff to bid on right now.</t>
  </si>
  <si>
    <t>228th St Apartments</t>
  </si>
  <si>
    <t>NorthPoint Development</t>
  </si>
  <si>
    <t>SJS, Tri-State, and probably Wolfe are competition.</t>
  </si>
  <si>
    <t>KOZ on MLK</t>
  </si>
  <si>
    <t>LPC Port of Everett (Millwright?)</t>
  </si>
  <si>
    <t>Lincoln Property Company</t>
  </si>
  <si>
    <t>Carrier Johnson</t>
  </si>
  <si>
    <t>WG Clark</t>
  </si>
  <si>
    <t>Gencap is also bidding on this.  Decided to ignore their bid request.  I don't see a benefit to bidding to them.  Only the potential for them to shop my number.</t>
  </si>
  <si>
    <t>Per Colin Rogers email on 10/12, I was 3rd place out of 4.  $275k high</t>
  </si>
  <si>
    <t>Nitze Stagen</t>
  </si>
  <si>
    <t>Neiman Taber</t>
  </si>
  <si>
    <t>Ocean Park &amp; Tri-State are competition</t>
  </si>
  <si>
    <t>JJ Plumbing got this.  They were waaaay lower than us.</t>
  </si>
  <si>
    <t xml:space="preserve">Bothell Campus Phase II </t>
  </si>
  <si>
    <t xml:space="preserve">CHELSEA SQUARE II_PHASE I_WEST </t>
  </si>
  <si>
    <t>Don't feel like this is a good use of time.  They call it budget numbers anyways.</t>
  </si>
  <si>
    <t>Equity Residential</t>
  </si>
  <si>
    <t>Evergreen Point Group</t>
  </si>
  <si>
    <t>Declined by email to Brian Merris on 10/19, and told him to invite me on the next round of pricing.  Project doesn't start for 2 years.  These are just budget numbers.  Don't have time, don't feel like I owe it to Exxel, and I'll be invited to bid on it in the future.</t>
  </si>
  <si>
    <t>508 Fremont (Frank)</t>
  </si>
  <si>
    <t>Rebid due to conversation with Daniel Marks &amp; Ryan Ames.  Wolfe was apparently 10% lower.</t>
  </si>
  <si>
    <t>201 Queen Anne Conversion</t>
  </si>
  <si>
    <t>Stream</t>
  </si>
  <si>
    <t>None yet</t>
  </si>
  <si>
    <t>Swift 4200</t>
  </si>
  <si>
    <t>Marysville - Ph1</t>
  </si>
  <si>
    <t>Rebid eventually?</t>
  </si>
  <si>
    <t>Big 1410</t>
  </si>
  <si>
    <t>Robison</t>
  </si>
  <si>
    <t>Lakewood</t>
  </si>
  <si>
    <t>Shoreline III</t>
  </si>
  <si>
    <t>Yesler Hotel (Prospera, Marriot Residence Inn)</t>
  </si>
  <si>
    <t>1305 E Jefferson</t>
  </si>
  <si>
    <t>Burman Design</t>
  </si>
  <si>
    <t>Brocade Investment Group</t>
  </si>
  <si>
    <t>Marriot Hotel</t>
  </si>
  <si>
    <t>Robison design, very involved spec, hotel, very detailed, Exxel will just give it to Wolfe, and there's a lot to bid at the moment.</t>
  </si>
  <si>
    <t>Reduced price due to Compass request to get job to go.</t>
  </si>
  <si>
    <t>Probably Edmonds Plumbing.  Nick Nelson said on 11/22 that I was in 4th place.  Low bids were 12% to 18% lower than us.  I said I could go down 2%.</t>
  </si>
  <si>
    <t>Chelsea Square 2 Ph1</t>
  </si>
  <si>
    <t>I'm guessing Wolfe</t>
  </si>
  <si>
    <t>Don't think anyone is competition.  Charlie said this is just a budget update.  Joe Hanley provided an update on 11/28/23, owner is still trying to find financing.</t>
  </si>
  <si>
    <t>Talked w/ Rick on 3/13, project is on hold, looking for investors.  Travis said on 11/28/23 that it is on indefinite hold.</t>
  </si>
  <si>
    <t>SJS is competition, per Charlie.  See bid sheet for notes.  Charlie said on 11/29/23 they are hoping for a late 2024 start depending on financing.</t>
  </si>
  <si>
    <t>Springbrooke Phase 2 Annex</t>
  </si>
  <si>
    <t>Momentum Partners</t>
  </si>
  <si>
    <t>Sedona</t>
  </si>
  <si>
    <t>Tom Toomey said after I turned a bid in that it is going prevailing wage</t>
  </si>
  <si>
    <t>AAA 149th St South</t>
  </si>
  <si>
    <t>AAA 5th Ave North</t>
  </si>
  <si>
    <t>TB Penick &amp; Sons</t>
  </si>
  <si>
    <t xml:space="preserve">AAA Management is shitty owner, requires a lot of time/effort. </t>
  </si>
  <si>
    <t>K2 Lynnwood</t>
  </si>
  <si>
    <t>AHB/ACG</t>
  </si>
  <si>
    <t>American Capital Group</t>
  </si>
  <si>
    <t>Western Mechanical &amp; Tri-State are competition</t>
  </si>
  <si>
    <t>629 - MJR</t>
  </si>
  <si>
    <t>3421 Woodland Park</t>
  </si>
  <si>
    <t>Hybrid</t>
  </si>
  <si>
    <t>Tanager Apartments</t>
  </si>
  <si>
    <t>Bid the job to Compass several times.  JJ had the winning number, and it was insanely low.  No way I can beat him.  And it looks like he's already started design, so there's no point.</t>
  </si>
  <si>
    <t>BE Partners (Jon Bunnell)</t>
  </si>
  <si>
    <t>MNMuM Studio</t>
  </si>
  <si>
    <t>R Miller</t>
  </si>
  <si>
    <t>MJR Development</t>
  </si>
  <si>
    <t>Job is down south, and is small, so they're going to get a ton of super low numbers.  No point in wasting my time on this.</t>
  </si>
  <si>
    <t>The Foundry at Totem Lake</t>
  </si>
  <si>
    <t>Wolfe per Brian Christensen</t>
  </si>
  <si>
    <t>2621 Eastlake</t>
  </si>
  <si>
    <t>Exxel Pacific &amp; Chinn</t>
  </si>
  <si>
    <t>Ocean Park &amp; Tri-State are competition, Scott said there were 5 total bidders.  On 1/2/24, Scott said that Trademark got it, at 8% lower than us.  He said the ship has sailed, so no room to move.</t>
  </si>
  <si>
    <t>SJS and Atlas are competition</t>
  </si>
  <si>
    <t>3000 Western</t>
  </si>
  <si>
    <t>Songbird Mixed-Use</t>
  </si>
  <si>
    <t>Blakeney Residence</t>
  </si>
  <si>
    <t>Overlake South Block 5</t>
  </si>
  <si>
    <t>Green Hill Apts Ph2</t>
  </si>
  <si>
    <t>Downtown Seattle</t>
  </si>
  <si>
    <t>Schaefer Construction</t>
  </si>
  <si>
    <t>Blakeney</t>
  </si>
  <si>
    <t>Berona</t>
  </si>
  <si>
    <t>Sunrise Plumbing, probably others.  Per Ben Muyres email on 2/2, I was 5% high, came in 2nd place.</t>
  </si>
  <si>
    <t>Green Hill Three LLC</t>
  </si>
  <si>
    <t>Wattenbarger Architecture</t>
  </si>
  <si>
    <t>Tri-State per Steve.  Probably Wolfe too.  Per WG Clark, we were best bid out of 4.  1 was garbage.  1 was Tri-State, and they don't like Tri-State.  It seemed like we were lower than tri-state anyways.</t>
  </si>
  <si>
    <t>Seattle</t>
  </si>
  <si>
    <t>Edmonds Behar</t>
  </si>
  <si>
    <t>Mercer Island Mixed Use</t>
  </si>
  <si>
    <t>Link Logistics</t>
  </si>
  <si>
    <t>Charlie never responded to my questions on the project so I skipped it.  Very early so it's a waste of time.</t>
  </si>
  <si>
    <t>2947 Eastlake</t>
  </si>
  <si>
    <t>110 1st Ave West Project</t>
  </si>
  <si>
    <t>Build Group</t>
  </si>
  <si>
    <t>Lexington Asset Management</t>
  </si>
  <si>
    <t>Do not know Build Group.  WG Clark is shown on coversheet.  Too many jobs to bid at this time.</t>
  </si>
  <si>
    <t>Daly Partners</t>
  </si>
  <si>
    <t>Atlas Plumbing is currently doing design, who is very cheap.  So my number would have to be cheaper than Atlas, with design.  WG Clark  gives 2 weeks to bid, which is not enough time.  Heat pump water heating system is not specified, so don't have time to figure out what to use and get quotes.  Just an uphill battle.</t>
  </si>
  <si>
    <t>Polynesia</t>
  </si>
  <si>
    <t>SRM is asking for budget pricing only, and says that this round is just budgeting, no sub selections will be made.  So a waste of my time.</t>
  </si>
  <si>
    <t>Venture/Graham</t>
  </si>
  <si>
    <t>Xing Hua Group Ltd.</t>
  </si>
  <si>
    <t>Sunrise Plumbing, probably others.  Per Ben Muyres email on 2/2, I was 5% high when I first bid to RMiller, came in 2nd place.</t>
  </si>
  <si>
    <t>Rush/Venture/Petra</t>
  </si>
  <si>
    <t>Don't have enough time before 2nd baby is due.  Rush Commerical is GC.  Nasty looking spec.  Just got an invite to bid on Intracorp Lacey, so would like to concentrate on that.  Also was invited to bid on this again in Feb/March 2024</t>
  </si>
  <si>
    <t>Ocean Park.  Steve said he didn't know of any other bidders.</t>
  </si>
  <si>
    <t>Bode</t>
  </si>
  <si>
    <t>S33</t>
  </si>
  <si>
    <t>Overlake Mixed Use</t>
  </si>
  <si>
    <t>2404 Jackson St</t>
  </si>
  <si>
    <t>Johnson Carr</t>
  </si>
  <si>
    <t>Overlake Redmond</t>
  </si>
  <si>
    <t>Too much to bid right now.  Never been able to land a job for Johnson Carr or WG Clark.</t>
  </si>
  <si>
    <t>Ocean Park.  Steve said he didn't know of any other bidders.  Nick w/ Holland said we weren't low, so had to lower my number</t>
  </si>
  <si>
    <t>Behar Company</t>
  </si>
  <si>
    <t>Woodland Park</t>
  </si>
  <si>
    <t>University Champion</t>
  </si>
  <si>
    <t>4035 Stone Way</t>
  </si>
  <si>
    <t>Sparkle Ventures?</t>
  </si>
  <si>
    <t>Too much to bid right now.  Too small.  Talked to Drew Prokash about this, he said his budget was $808,000, but that BMDC was getting numbers back around $8,000 per unit, which isn't worth it.</t>
  </si>
  <si>
    <t>Talked to Charlie on 4/2/24, and he said don’t worry about submitting a bid for this one.  Said that plans are not far enough along, and that it will come back out.</t>
  </si>
  <si>
    <t>Washington Holdings / Pastakia</t>
  </si>
  <si>
    <t>Glumac? Not sure</t>
  </si>
  <si>
    <t>Nick said he is only reaching out to us for numbers for now.  Pastakia may be buying from Washington Holdings, and she just needs budget numbers for now.</t>
  </si>
  <si>
    <t>Anthony/Joe</t>
  </si>
  <si>
    <t>Garrett/Mitch</t>
  </si>
  <si>
    <t>North Seattle</t>
  </si>
  <si>
    <t>739 Broadway East</t>
  </si>
  <si>
    <t>Per Ben Muyres 4/10/24 email, I was 20% high</t>
  </si>
  <si>
    <t>R Miller/Marpac</t>
  </si>
  <si>
    <t>Onelin Capital</t>
  </si>
  <si>
    <t>Too much to bid right now, and seems like a waste of time.  This owner has had all of the following GC's look at this, just seems like a waste of time: Chinn, Rmiller, Marpac, Shuchart</t>
  </si>
  <si>
    <t>Scott McDonald, Matt Rankin</t>
  </si>
  <si>
    <t>Too much to bid right now, seems very early to be bidding this one.  I'm guessing that it will be bid out again in the future.</t>
  </si>
  <si>
    <t>West Edge Development</t>
  </si>
  <si>
    <t>Stanwood</t>
  </si>
  <si>
    <t>Kevin Chinn?</t>
  </si>
  <si>
    <t>Shitty GC's, don't know owner.  Have a lot to bid on at the moment.  Note: Marc w/ R Miller called me on 4/18/24 and asked if I was bidding this.  I said I was passing on it.  He said Adept had been doing precon on it, and that they had to get lower numbers.  I told him I probably can't beat Adept, and that I'm still passing on it.</t>
  </si>
  <si>
    <t>739 Broadway</t>
  </si>
  <si>
    <t>Little Saigon Landmark C&amp;S</t>
  </si>
  <si>
    <t>BN Builders</t>
  </si>
  <si>
    <t>Chinatown</t>
  </si>
  <si>
    <t>Prevailing wages</t>
  </si>
  <si>
    <t>Champion Real Estate</t>
  </si>
  <si>
    <t>U District</t>
  </si>
  <si>
    <t>98188 Place LLC</t>
  </si>
  <si>
    <t>Studio 19 Architects</t>
  </si>
  <si>
    <t>SJS?</t>
  </si>
  <si>
    <t>Greystar Capitol Hill</t>
  </si>
  <si>
    <t>Sunrise Plumbing and Wolfe.  Per Ben Laws and I conversation on 4/11/24, I was $50k higher than Wolfe, and Wolfe had a $50k alternate deduct to use Nyle.  I updated my quote to be better than theirs.</t>
  </si>
  <si>
    <t>Riverfront Building C</t>
  </si>
  <si>
    <t>Probably Wolfe, probably others</t>
  </si>
  <si>
    <t>Western Mechanical, Tri-State, SJS, Puget Sound Mechanical, Ocean Park.  Per Peter Kirks 4/30/24 email, we didn't get the project.</t>
  </si>
  <si>
    <t>LIHI New Hope - East &amp; West</t>
  </si>
  <si>
    <t>LIHI</t>
  </si>
  <si>
    <t>Probably Edmonds and Burk Mechanical.  Per Liz Roberts on 5/8/24: I was $6k per unit high, which makes low bid around $1,942,000.  I'd be losing money to do the job.</t>
  </si>
  <si>
    <t>Scott McDonald, Matt Rankin?</t>
  </si>
  <si>
    <t>Skidmore Janette</t>
  </si>
  <si>
    <t>2404 Jackson</t>
  </si>
  <si>
    <t>KOZ on 3rd Ave West</t>
  </si>
  <si>
    <t>Kait O'neal</t>
  </si>
  <si>
    <t>Brian Christensen/Matt Sims</t>
  </si>
  <si>
    <t>Bill Levison</t>
  </si>
  <si>
    <t>Danny Fletcher</t>
  </si>
  <si>
    <t>Mike McClure</t>
  </si>
  <si>
    <t>Joe Vasey</t>
  </si>
  <si>
    <t>Rob Kralis</t>
  </si>
  <si>
    <t>Paul Mandish</t>
  </si>
  <si>
    <t>Ben Lek</t>
  </si>
  <si>
    <t>Taylor Turay</t>
  </si>
  <si>
    <t>Michelle Ip</t>
  </si>
  <si>
    <t>Joey Mar / Maggie Cheng</t>
  </si>
  <si>
    <t>Jeff Fogarty</t>
  </si>
  <si>
    <t>Kawika Takasaki</t>
  </si>
  <si>
    <t>Ken Tews / Kevin Mullen</t>
  </si>
  <si>
    <t>Tyler Mitchell / Mark Braseth Jr.</t>
  </si>
  <si>
    <t>Scott Miller / Justin Anderson / Brian Welsh</t>
  </si>
  <si>
    <t>Chris Waters</t>
  </si>
  <si>
    <t>Will Fenton / Brandon Houghton</t>
  </si>
  <si>
    <t xml:space="preserve">Tod Werner / </t>
  </si>
  <si>
    <t>Thomas Detrick / Kyle Skow</t>
  </si>
  <si>
    <t>Jim Arnett / Lars Swenson / Chris Jones</t>
  </si>
  <si>
    <t>Dan Peck / Howard Jacobsen</t>
  </si>
  <si>
    <t>Bridget Elliott / Kay Stertz</t>
  </si>
  <si>
    <t>Todd Mortensen / Kenis Loven</t>
  </si>
  <si>
    <t>Wayd Munro / Tim Kairez</t>
  </si>
  <si>
    <t>Grace Peterson</t>
  </si>
  <si>
    <t>Ricky Pulley</t>
  </si>
  <si>
    <t>Nick Cunningham</t>
  </si>
  <si>
    <t>Derek Uchiumi / Logan Brooks / Oleg Chebotarev / Brittany Duhs</t>
  </si>
  <si>
    <t>Chris Auld / Nate Happenstall / David Ottolino</t>
  </si>
  <si>
    <t>Daniel Burdick</t>
  </si>
  <si>
    <t>Dan Peck / Frank Weaver</t>
  </si>
  <si>
    <t>Csaba Orban</t>
  </si>
  <si>
    <t>Ken James / Gavin Erickson</t>
  </si>
  <si>
    <t>Jeff Gerde / Jason Hill</t>
  </si>
  <si>
    <t>Caitlin Supe</t>
  </si>
  <si>
    <t>Richard Erickson</t>
  </si>
  <si>
    <t>Jesse Dehnert</t>
  </si>
  <si>
    <t>Jin Lee</t>
  </si>
  <si>
    <t>Gary Moss</t>
  </si>
  <si>
    <t>Gino Cecsarini</t>
  </si>
  <si>
    <t>Jordan Dye</t>
  </si>
  <si>
    <t>Steven Hall</t>
  </si>
  <si>
    <t>Nic Christoffer</t>
  </si>
  <si>
    <t>Reed Servizi / Brett Johnston</t>
  </si>
  <si>
    <t>Christian Dobbins / Jyoti Bhadrashetti</t>
  </si>
  <si>
    <t>Bill Robinson / Danielle Locklar</t>
  </si>
  <si>
    <t>Seth Andersson / Charles "Casey" Dean</t>
  </si>
  <si>
    <t>Drew Shemchuck / David Vo / Elizabeth Roberts</t>
  </si>
  <si>
    <t>Tony Sippl / Ashley Roman</t>
  </si>
  <si>
    <t>Tim Brennan</t>
  </si>
  <si>
    <t>Bonnie Laremore Brennan / Mike McClure</t>
  </si>
  <si>
    <t>Noel Baca</t>
  </si>
  <si>
    <t>Nick Mosteller</t>
  </si>
  <si>
    <t>Edgar Delgado / Corey Toepfer</t>
  </si>
  <si>
    <t>Viridian Grove</t>
  </si>
  <si>
    <t>Vaughn Bay</t>
  </si>
  <si>
    <t>Not enough time to look into it.  Too much to bid.  Don't know Vaughn Bay.  I'm guessing they're used to dirt cheap numbers, and project is down south so I imagine they can get Trademark to do it for very cheap.</t>
  </si>
  <si>
    <t>Cedarside Apartments</t>
  </si>
  <si>
    <t>Not enough time to look into it.  Too much to bid.  Don't know West Edge.  I imagine they'll be looking for dirt cheap numbers.</t>
  </si>
  <si>
    <t>Modera Bel-Red</t>
  </si>
  <si>
    <t>Area 27 Apartments</t>
  </si>
  <si>
    <t>Puyallup</t>
  </si>
  <si>
    <t>Lake Stevens</t>
  </si>
  <si>
    <t>Greystar</t>
  </si>
  <si>
    <t>Ocean Park &amp; Tri-State</t>
  </si>
  <si>
    <t>Rush Commercial</t>
  </si>
  <si>
    <t>Woodinville</t>
  </si>
  <si>
    <t>Just didn't have time to get around to it.  Too much to bid.</t>
  </si>
  <si>
    <t>Wolfe and SJS, per Charlie Poggeman.  Kevin Chinn is not pursuing.  Bank did not like pricing, so project will likely not go.</t>
  </si>
  <si>
    <t>5 other bidders per Compass, including Atlas.  Nick Cunningham said via text on 3/18/24 that Trademark is $1mil lower than us.  Ben w/ Braseth said on 4/11 that he had plugged our number, and that he though Braseth would get it.   Per conversation with Derya &amp; Kevin Chinn on 4/30/24, Chinn got the project.  Per Chinn on 6/5/24, Wolfe is probably getting this one.  They had the best number and are doing a project for the same owner down the street.</t>
  </si>
  <si>
    <t>Tacoma project</t>
  </si>
  <si>
    <t>Wolfe and SJS, per Charlie Poggeman.  Charlie said that Wolfe and I are super close in pricing.  More to come.  As of 6/5/24, he still didn't have his pricing turned into the owner.</t>
  </si>
  <si>
    <t>The MOORE</t>
  </si>
  <si>
    <t>Lake Stevens Village Concepts Senior Living</t>
  </si>
  <si>
    <t>Milano Issaquah</t>
  </si>
  <si>
    <t>Too much to bid right now</t>
  </si>
  <si>
    <t>Woodin Creek Village Ph 6</t>
  </si>
  <si>
    <t>Weidner Apartment Homes</t>
  </si>
  <si>
    <t>Sierra Construction</t>
  </si>
  <si>
    <t>UW4 Blakely</t>
  </si>
  <si>
    <t>UW4 Laurel</t>
  </si>
  <si>
    <t>Ryan</t>
  </si>
  <si>
    <t>425 NW 85th Greenwood</t>
  </si>
  <si>
    <t>Corliss Resources</t>
  </si>
  <si>
    <t>Rose Hill Mixed Use</t>
  </si>
  <si>
    <t>Tommy/Ben</t>
  </si>
  <si>
    <t>Prokash plumbing - pretty sure they were at $1.1mil exactly per conversation w/ Drew.  BMDC told me on 6/25/24 they were going with Prokash plumbing.</t>
  </si>
  <si>
    <t>Shea?</t>
  </si>
  <si>
    <t>Too much to bid right now.  Ryan is big and not sure if we want to work with them.  Project is only at schematic design at this point.</t>
  </si>
  <si>
    <t>56th &amp; 57th</t>
  </si>
  <si>
    <t>2007 S. State St</t>
  </si>
  <si>
    <t>Western Mechanical, Ocean Park.  Possibly SJS and Tri-State</t>
  </si>
  <si>
    <t>Stream Residence Inn</t>
  </si>
  <si>
    <t>6220 Roosevelt</t>
  </si>
  <si>
    <t>3020 NE 45th St</t>
  </si>
  <si>
    <t>Quarterra</t>
  </si>
  <si>
    <t>SJS/HVE</t>
  </si>
  <si>
    <t>SJS, probably more.</t>
  </si>
  <si>
    <t>ROM</t>
  </si>
  <si>
    <t>Lower Queen Anne</t>
  </si>
  <si>
    <t>None, just giving Dan a wild ass guess ROM.  See email.</t>
  </si>
  <si>
    <t>Acer House</t>
  </si>
  <si>
    <t>Tri-State.  Ben said on 7/24/24 that they went with Trademark</t>
  </si>
  <si>
    <t>Per Mark Gulin on 8/1/24: You placed 3rd out of 4 bidders and were about 10-12% higher than our low “qualified” bidder.</t>
  </si>
  <si>
    <t>Per Mark Gulin on 8/1/24: You placed 4th out of 5 bidders and were about 5-6% higher than our low “qualified” bidder.</t>
  </si>
  <si>
    <t>on 8/1/24 Tom Toomey told me the client has gone quiet.</t>
  </si>
  <si>
    <t>Madison Development Group (Tom Lee)</t>
  </si>
  <si>
    <t>Charlie called me and said the project needed to switch to the new building codes.  Tom Lee is looking to sell the project.  Too much to bid at the time.  Seemed like a waste of time.</t>
  </si>
  <si>
    <t>4311 7th Ave</t>
  </si>
  <si>
    <t>Tripalink</t>
  </si>
  <si>
    <t>Shugart Wasse Workshop</t>
  </si>
  <si>
    <t>U-District</t>
  </si>
  <si>
    <t>Ocean Park, probably Wolfe.  Per John Hughes on 8/2/24, I was 2% high</t>
  </si>
  <si>
    <t>Ocean Park, probably Wolfe.  Per John Hughes on 8/2/24, I was 7% to 8% high</t>
  </si>
  <si>
    <t>Great Expectations</t>
  </si>
  <si>
    <t>Schemata Workshop</t>
  </si>
  <si>
    <t>Alpine / Atlas DB</t>
  </si>
  <si>
    <t>Per phone call from Randy on 8/14/24, I was $150k high, and there was 5 other bidders</t>
  </si>
  <si>
    <t>Shoreline 185</t>
  </si>
  <si>
    <t>185th Transit Center Apartments</t>
  </si>
  <si>
    <t>S&amp;J Capital Group</t>
  </si>
  <si>
    <t>Satnam told Jeff that he has one other number.  Not sure who it was.</t>
  </si>
  <si>
    <t>Tacoma II</t>
  </si>
  <si>
    <t>Rush</t>
  </si>
  <si>
    <t>Redhawk</t>
  </si>
  <si>
    <t>Sunrise 12 Apartments</t>
  </si>
  <si>
    <t>Only 12 units, and I have plenty of other bids to concentrate on right now</t>
  </si>
  <si>
    <t>165 Washington</t>
  </si>
  <si>
    <t>Atlas, Trademaker, Wolfe are all competition</t>
  </si>
  <si>
    <t>Woodin Creek Village Ph 4</t>
  </si>
  <si>
    <t>Thought about doing this one, but I searched the lien records for Redhawk and it came up with several pages.  Don't think it's worth even throwing my number out there.</t>
  </si>
  <si>
    <t>JD, United, probably others</t>
  </si>
  <si>
    <t>Kennydale Gateway</t>
  </si>
  <si>
    <t>Filament East &amp; West</t>
  </si>
  <si>
    <t>Not sure, probably a lot</t>
  </si>
  <si>
    <t>Feel like a project of this size is going to get a lot of bidders, and I've never been able to get a WG Clark job, so it's kind of pointless, and there's a ton of other jobs to bid on.  Someone is going to come in stupid low.</t>
  </si>
  <si>
    <t>The Sarah Queen Option 3</t>
  </si>
  <si>
    <t>$2.5m to $2.7m</t>
  </si>
  <si>
    <t>Public 47</t>
  </si>
  <si>
    <t>R&amp;G Apartments</t>
  </si>
  <si>
    <t>Per Mark Gulin email 9/24, I was 3rd out of 5 bidders, and 10% higher than the low number</t>
  </si>
  <si>
    <t>HLR</t>
  </si>
  <si>
    <t>KOZ on Wetmore</t>
  </si>
  <si>
    <t>Best, JD, probably more</t>
  </si>
  <si>
    <t>Job has been around for years, waste of time since it's AAA management and Rush.  Lots to bid on, not going to waste my time on this one.</t>
  </si>
  <si>
    <t>Pinnacle International</t>
  </si>
  <si>
    <t>Atlas has the job right now.  Trademark may have had the lowest number.  Compass said that Rush was 12% lower than Compass.  Aaron Gallington said numbers would be confirmed by end of year.  See emails from 9/23/24.  Per Ben Laws text on 9/13/24, Atlas is low at $1.6mil</t>
  </si>
  <si>
    <t>Jordan/Rick</t>
  </si>
  <si>
    <t>Atlas, Ocean Park, probably more</t>
  </si>
  <si>
    <t>Pinnacle Bellevue Condos</t>
  </si>
  <si>
    <t>LDG Architects (Linardic Design Group)</t>
  </si>
  <si>
    <t>Paraclete Engineers</t>
  </si>
  <si>
    <t>Lake Union Partners / Braseth</t>
  </si>
  <si>
    <t>Lowered number in effort to get the job to go.  Project is put on hold.  See email from Jordan on 10/9/24</t>
  </si>
  <si>
    <t>Tacoma Holiday Inn Express</t>
  </si>
  <si>
    <t>Per Tony Johnson email 10/10/24, I'm in 4th place among 6 bidders, lowest is 4-5% lower than me.</t>
  </si>
  <si>
    <t>Per Tony Johnson email 10/10/24, I'm in 2nd place among 4 bidders, only 1% high.  Will rebid one more time.</t>
  </si>
  <si>
    <t>Marysville Phase 2</t>
  </si>
  <si>
    <t>Petra/Rmiller</t>
  </si>
  <si>
    <t>Too much to bid on right now, would require a lot of effort, and it's for GC's that I haven't worked for.</t>
  </si>
  <si>
    <t>Too much to bid on right now, and didn't have time to get around to this one.  Seems like Johnson Carr is struggling to get jobs going right now and I doubt this one is starting very soon.</t>
  </si>
  <si>
    <t>Did not go out to other plumbing bidders, per Compass</t>
  </si>
  <si>
    <t>None</t>
  </si>
  <si>
    <t>Uptown Apartments</t>
  </si>
  <si>
    <t>Budgeting only.  Kamiak can't get any jobs to start right now.  Waste of time.  If compass wants me to bid it, they'll call me.</t>
  </si>
  <si>
    <t>Bell 10</t>
  </si>
  <si>
    <t>Guntower Capital</t>
  </si>
  <si>
    <t>Alpine/Atlas has already done plumbing engineering, so they have a cheap price.  Waste of time.</t>
  </si>
  <si>
    <t>125 15th Ave</t>
  </si>
  <si>
    <t>MRJ Constructors</t>
  </si>
  <si>
    <t>Big Management Inc</t>
  </si>
  <si>
    <t>B9 Architects</t>
  </si>
  <si>
    <t>Western Mechanical, Ocean Park.  Possibly SJS and Tri-State.  Per Jae Oh email on 11/11/24, there were 10 bidders, and I came in 7th place</t>
  </si>
  <si>
    <t>SRM100 Apartments</t>
  </si>
  <si>
    <t>Margaret Estates Apartments</t>
  </si>
  <si>
    <t>Sand Point Mixed Use</t>
  </si>
  <si>
    <t>HOlland</t>
  </si>
  <si>
    <t>Very high level ROM, w/ heat pumps.  Also gave a gas option.</t>
  </si>
  <si>
    <t>Block 18</t>
  </si>
  <si>
    <t>4742 Apartments</t>
  </si>
  <si>
    <t>WGClark, Rmiller, Chinn</t>
  </si>
  <si>
    <t>Campus U Development</t>
  </si>
  <si>
    <t>Too much to bid right now, they have 3 GC's looking at it, seems like a waste of time.</t>
  </si>
  <si>
    <t>Stream Overlake (Cultivate)</t>
  </si>
  <si>
    <t>Redmond Overlake</t>
  </si>
  <si>
    <t>See bid sheet.  Dan said there were 7 other bidders.</t>
  </si>
  <si>
    <t>Shilshole Development</t>
  </si>
  <si>
    <t>Sand Point</t>
  </si>
  <si>
    <t>4401 Fremont West</t>
  </si>
  <si>
    <t>200 2nd Ave N</t>
  </si>
  <si>
    <t>SRM100 (12 Bellevue Way)</t>
  </si>
  <si>
    <t>KANG WILLIAM AND MARGARET LIVING TRUST</t>
  </si>
  <si>
    <t>Benny and Lydia Kim Design</t>
  </si>
  <si>
    <t>Kirtley-Cole/Sierra/Corstone</t>
  </si>
  <si>
    <t>Sierra</t>
  </si>
  <si>
    <t>Roosevelt Manor</t>
  </si>
  <si>
    <t>Best Plumbing was original plumbing sub.  Not sure who else was competition.</t>
  </si>
  <si>
    <t>Grousemont</t>
  </si>
  <si>
    <t>Rushing (IMEG)</t>
  </si>
  <si>
    <t>Astor Townhomes</t>
  </si>
  <si>
    <t>Fullwiler Construction</t>
  </si>
  <si>
    <t>Fullwiler Construction, Shelter Homes?</t>
  </si>
  <si>
    <t>Never worked for these guys, seems like a messy job, townhomes, etc.</t>
  </si>
  <si>
    <t>Pixel Apartments</t>
  </si>
  <si>
    <t>Gencap</t>
  </si>
  <si>
    <t>McCraken Properties</t>
  </si>
  <si>
    <t>Gencap is a waste of time, always gives their jobs to JD</t>
  </si>
  <si>
    <t>12th &amp; Olive</t>
  </si>
  <si>
    <t>Mack Real Estate (not the Mack that we've worked for before, this is a big one out of New York)</t>
  </si>
  <si>
    <t>Wanted it back within a week.  Seems unlikely to actually go because he's asking me for prices to add units, revise major parts of building.  Rush uses super cheap numbers that I don't feel like working for.</t>
  </si>
  <si>
    <t>Atlas has job.  Trademark is bidding too.  I bid on it the first time around, but it's very apparent that it's a waste of my time and is going to go for a stupid low number.</t>
  </si>
  <si>
    <t>HB Management / Paragon Real Estate</t>
  </si>
  <si>
    <t>Wolfe did design on job.  Rush is used to stupid low numbers, and Trademark will probably be bidding.  No point in wasting my time on this.  Note that I bid this to Exxel I February 2021</t>
  </si>
  <si>
    <t>Tacoma Trax</t>
  </si>
  <si>
    <t>Parkview Financial of Los Angeles (used to be a GIS International job)</t>
  </si>
  <si>
    <t>Gencap is a waste of time.  They are calling it "budgetary" pricing.</t>
  </si>
  <si>
    <t>Cohen Properties</t>
  </si>
  <si>
    <t>Atelier Drome</t>
  </si>
  <si>
    <t>JD is competition, probably more</t>
  </si>
  <si>
    <t>Tri-State, Ocean Park, Apollo are competition</t>
  </si>
  <si>
    <t>Jenkins Properties</t>
  </si>
  <si>
    <t>Tri-State has been doing design on it</t>
  </si>
  <si>
    <t>Proctor 4</t>
  </si>
  <si>
    <t>124 Tacoma</t>
  </si>
  <si>
    <t>Rush is a waste of time.  Going to be competing with Trademark and Atlas prices.  They make you do finanical pre-quals and list your OH&amp;P, etc.</t>
  </si>
  <si>
    <t>Atlas, Trademark, possibly more</t>
  </si>
  <si>
    <t>Yonder</t>
  </si>
  <si>
    <t>23rd &amp; Holgate</t>
  </si>
  <si>
    <t>Marysville - Ph2</t>
  </si>
  <si>
    <t>Victor/Orlando</t>
  </si>
  <si>
    <t>Brizo Apartments</t>
  </si>
  <si>
    <t>SOLOMON ALEMAYEHU</t>
  </si>
  <si>
    <t>JULIAN WEBER ARCHITECTS</t>
  </si>
  <si>
    <t>JJ Plumbing is getting this.  Dan Peck said they were way lower than us.</t>
  </si>
  <si>
    <t>Chinn/Exxel</t>
  </si>
  <si>
    <t>See spreadsheet for info from Tommy Booth</t>
  </si>
  <si>
    <t>Western Mechanical, Ocean Park.  Possibly SJS and Tri-State.  Trademark.  Per Jae Oh on 3/24/25, we did not get the job.  Low plumber was 12% lower than us.</t>
  </si>
  <si>
    <t>Trademark, Atlas, SJS, Wolfe, JH Kelly</t>
  </si>
  <si>
    <t>Too much to bid right now.  Rush was looking at this a year ago.  Doesn't seem like a good project.</t>
  </si>
  <si>
    <t>Deal Ballard Multifamily (2401 NW Market</t>
  </si>
  <si>
    <t>Deal Family</t>
  </si>
  <si>
    <t>Rush is  a waste of time.</t>
  </si>
  <si>
    <t>Lots.  See file.</t>
  </si>
  <si>
    <t>11040 Main Street Apartments</t>
  </si>
  <si>
    <t>High Street Residential / Trammel Crow</t>
  </si>
  <si>
    <t>Way too early to bid.  Don't work with Sierra very much so don't owe them anything.  Note, this project was a prospective Holland job at one point.</t>
  </si>
  <si>
    <t>BIG3</t>
  </si>
  <si>
    <t>Ballard Blossom</t>
  </si>
  <si>
    <t>The Perle</t>
  </si>
  <si>
    <t>Brizo</t>
  </si>
  <si>
    <t>Rushin (IMEG)</t>
  </si>
  <si>
    <t>Per Jamie Love at AirReps:  Trademark, Atlas, Western Mechanical &amp; Wolfe Plumbing</t>
  </si>
  <si>
    <t>Start Q2 2026</t>
  </si>
  <si>
    <t>4800 40th Ave</t>
  </si>
  <si>
    <t>JH Kelly got it</t>
  </si>
  <si>
    <t>The Springs at Issaquah Highlands - SD Estimate</t>
  </si>
  <si>
    <t>The Springs Living</t>
  </si>
  <si>
    <t>GBD Architects</t>
  </si>
  <si>
    <t>Avalon Redmond Tech Station Project</t>
  </si>
  <si>
    <t>Very early, they are just looking for budgets for now.  It will come back around.</t>
  </si>
  <si>
    <t>Mark Braseth called and said this is a project for them.  He said it doesn't pencil right now, so don't bother bidding it.  He said he'd reach out if they ever decide to bid it out again.</t>
  </si>
  <si>
    <t>As of 6/11/25, on hold until interest rates come down</t>
  </si>
  <si>
    <t>Per John Hughes 6/13/25 email, we are looking good.</t>
  </si>
  <si>
    <t>Wolfe plumbing, probably more (per Geoff Wood email).  Per John Hughes 6/13/25 email, we are looking good.</t>
  </si>
  <si>
    <t>ECE</t>
  </si>
  <si>
    <t>CANCELLED</t>
  </si>
  <si>
    <t>2601 Elliott</t>
  </si>
  <si>
    <t>Vanbarton Group</t>
  </si>
  <si>
    <t>Very early, they are just looking for budgets for now.  It will come back around.  Exxel said they would reach out when it comes back out to bid again.</t>
  </si>
  <si>
    <t>Vivo North</t>
  </si>
  <si>
    <t>Paramount Ph2</t>
  </si>
  <si>
    <t>Corstone</t>
  </si>
  <si>
    <t>W2L Enterprizes</t>
  </si>
  <si>
    <t>Pelletier + Schaar</t>
  </si>
  <si>
    <t>Carrick Court</t>
  </si>
  <si>
    <t>Wescott Homes</t>
  </si>
  <si>
    <t>Too little units to make it worth it.</t>
  </si>
  <si>
    <t xml:space="preserve">Lots.  See file.  Went to Tri-State, they beat us by 2-3%.  </t>
  </si>
  <si>
    <t>Trademark, Tri-State.  Per Alan Thesenvitz phone call on 7/30/25, project is probably not going to proceed due to too many city demands (traffic circles, utility extensions, etc)</t>
  </si>
  <si>
    <t>The V Apartments</t>
  </si>
  <si>
    <t>Central Peak</t>
  </si>
  <si>
    <t>Cordillera Group</t>
  </si>
  <si>
    <t>TWG Georgetown</t>
  </si>
  <si>
    <t>Georgetown</t>
  </si>
  <si>
    <t>Venture project, busy with other bidding.</t>
  </si>
  <si>
    <t>HoM District Residential</t>
  </si>
  <si>
    <t>Hines</t>
  </si>
  <si>
    <t>Venture project, busy with other bidding, Venture narrative says that it's open book, lots of erronious requirements</t>
  </si>
  <si>
    <t>Shannon &amp; Wilson</t>
  </si>
  <si>
    <t>Pollard &amp; Legacy Group</t>
  </si>
  <si>
    <t>Gensler</t>
  </si>
  <si>
    <t>Delta E</t>
  </si>
  <si>
    <t>Rush said I was high by 21%, didn't get it.</t>
  </si>
  <si>
    <t>Probably Wolfe.</t>
  </si>
  <si>
    <t>The V Apartments (Polynesia)</t>
  </si>
  <si>
    <t>LUP Northgate</t>
  </si>
  <si>
    <t>Elowen</t>
  </si>
  <si>
    <t>Best Plumbing, Ocean Park is also bidding per Steve.  Ocean Park got it per Exxel.  See email on 9/17/25</t>
  </si>
  <si>
    <t>Vincent - Northgate LUP</t>
  </si>
  <si>
    <t>Shown as a budget for now.  Talked with Dan Peck at the time and he didn't seem hopeful that the job would go, so seemed like a waste of time for now.  He seemed to think that it will get bid out again.</t>
  </si>
  <si>
    <t>12 Spruce</t>
  </si>
  <si>
    <t>Capitol Hill Apartments &amp; Safeway</t>
  </si>
  <si>
    <t>Best, JD, probably more.  Went to Edmonds Plumbing (found this out by searching permit info online)</t>
  </si>
  <si>
    <t>T Property Investments (TEC Equipment)</t>
  </si>
  <si>
    <t>The Gallery Richmond Beach Senior Living</t>
  </si>
  <si>
    <t>Nexcore Group</t>
  </si>
  <si>
    <t>Probably Wolfe &amp; JD.</t>
  </si>
  <si>
    <t>Avalon Redmond Tech Station - Phase A Project</t>
  </si>
  <si>
    <t>Very early, they are just looking for budgets for now.  It will come back around.  Brett says he's never heard good things about AvalonBay. He's not against working for them, but cautioned me, and said we should do research first.</t>
  </si>
  <si>
    <t>Exxel/Compass</t>
  </si>
  <si>
    <t>Exxel said on 11/18/25 that they did not get the project.  See email from Tony Johnson</t>
  </si>
  <si>
    <t>Tony Johnson said on 11/18/25 that we were 1 of 4 bidders.  We were next to 3 other bids.  1 bid was very low.</t>
  </si>
  <si>
    <t>Still on hold per Todd McHugh email on 11/18/25.</t>
  </si>
  <si>
    <t>Ravenna Partners</t>
  </si>
  <si>
    <t>Intracorp considering buying job</t>
  </si>
  <si>
    <t>Wedgwood Center</t>
  </si>
  <si>
    <t>This owner has had all of the following GC's look at this, just seems like a waste of time: Chinn, Rmiller, Marpac, Shuchart.  Ben Muyres was with Rmiller and is now with JD, so he's going to know all the numbers and knows where to be with this one.  I imagine there is a lot of plumbers looking at it.  Seems like a very convoluted/complicated job, for a small number of units.  Just doesn't seem worth it.  Also, I'd be willing to bet that the project is being sold, and they are just looking for updated numbers for marketing.</t>
  </si>
  <si>
    <t>Bothell Ridge Apartments</t>
  </si>
  <si>
    <t>1200 116th Ave NE</t>
  </si>
  <si>
    <t>Per Mark Braseth on 12/3/25, Burk Mechanical was $300k lower than us and Wolfe.  They are going with them.</t>
  </si>
  <si>
    <t>ON HOLD- Summer 26?</t>
  </si>
  <si>
    <t>On 12/3/25, Mark Braseth said this would be coming  back out to bid in first half of 2026</t>
  </si>
  <si>
    <t>Per Mark Braseth on 12/3/25, this will likely be rebid summer 2026</t>
  </si>
  <si>
    <t>I've heard that Tri-State is bidding</t>
  </si>
  <si>
    <t>SCB</t>
  </si>
  <si>
    <t>Wedgwood</t>
  </si>
  <si>
    <t>30 Unit SEDU</t>
  </si>
  <si>
    <t>Elite Builders</t>
  </si>
  <si>
    <t>4723 18th Ave NE</t>
  </si>
  <si>
    <t>GEORGE COINER</t>
  </si>
  <si>
    <t>Essex Property Trust</t>
  </si>
  <si>
    <t>Dahlin</t>
  </si>
  <si>
    <t>425 Pontius</t>
  </si>
  <si>
    <t>Way too early to bid on.  Ryan has some nasty contract stuff, never worked for them, very big company.  Complicated project as well.</t>
  </si>
  <si>
    <t>See notes above from Compass for the same job.  Seems like a waste of time.</t>
  </si>
  <si>
    <t>Article in PSBJ on 1/8/26 says job is dead</t>
  </si>
  <si>
    <t>Lachlan Apartments</t>
  </si>
  <si>
    <t>Start Apr 2026</t>
  </si>
  <si>
    <t>Edgewood Town Center Apartments</t>
  </si>
  <si>
    <t>Edgewood</t>
  </si>
  <si>
    <t>Atlas, Trademark, Wolfe, Ocean Park, R&amp;H, Best are all competition</t>
  </si>
  <si>
    <t>Per Brian Christensen email on 2/23/26, Exxel does not have the project.  Trying to figure out who the GC is that picked it up.</t>
  </si>
  <si>
    <t>Filament</t>
  </si>
  <si>
    <t>Bothell Urban</t>
  </si>
  <si>
    <t>Exxel</t>
  </si>
  <si>
    <t>Exxel Pacific, Chinn</t>
  </si>
  <si>
    <t>Joe Hanley told me on 2/24/26 that Venture got the job.  Never got a bid invite from them.</t>
  </si>
  <si>
    <t>Bridge Housing</t>
  </si>
  <si>
    <t>They are only asking for schematic budget pricing right now, don't have time to get to it, too much to bid right now.</t>
  </si>
  <si>
    <t>Atlas, Trademark</t>
  </si>
  <si>
    <t>1661 East Olive Way</t>
  </si>
  <si>
    <t>Start Summer 26</t>
  </si>
  <si>
    <t>Frank (508 Fremont)</t>
  </si>
  <si>
    <t>Start Fall 26</t>
  </si>
  <si>
    <t>Too much to bid right now.  Rush &amp; RMiller was looking at this a year ago.  Doesn't seem like a good project.</t>
  </si>
  <si>
    <t>Burl Apartments</t>
  </si>
  <si>
    <t>Spectrum</t>
  </si>
  <si>
    <t xml:space="preserve">Was not able to get around to this bid because of hawaii trip and too busy. It had a lot of bidders on it including LJM, Wolfe, Atlas, Artemis and Western Mech, Trademark. </t>
  </si>
  <si>
    <t>JD is competition, probably more. Nick Nelson said I was 18% high on 3/12/26</t>
  </si>
  <si>
    <t>Freestone</t>
  </si>
  <si>
    <t>Braseth/HAL</t>
  </si>
  <si>
    <t>HAL</t>
  </si>
  <si>
    <t>Hidden Hills</t>
  </si>
  <si>
    <t>Trademark is competition</t>
  </si>
  <si>
    <t>R22 Phase 1 and Phase 2</t>
  </si>
  <si>
    <t>Too busy.  Budget only at this time.  Will probably be invited again.</t>
  </si>
  <si>
    <t>LUP Northgate Vincent</t>
  </si>
  <si>
    <t>Jabooda Apollo Heights</t>
  </si>
  <si>
    <t>Axis GFA</t>
  </si>
  <si>
    <t>Schulte Plumbing is competition, probably more</t>
  </si>
  <si>
    <t>Evergreen Pointe Apartments</t>
  </si>
  <si>
    <t>He Development LLC</t>
  </si>
  <si>
    <t>Tom Herstad Building Design</t>
  </si>
  <si>
    <t>Port Orchard</t>
  </si>
  <si>
    <t>Rick/Orlando</t>
  </si>
  <si>
    <t>Start by July 2026</t>
  </si>
  <si>
    <t>Start Q3 2026</t>
  </si>
  <si>
    <t>AMLI Spring District II</t>
  </si>
  <si>
    <t>Too busy, couldn't get around to it.  Backlog is looking pretty good so starting to be selective.</t>
  </si>
  <si>
    <t>Anderson Apartments</t>
  </si>
  <si>
    <t>Probably going to skip</t>
  </si>
  <si>
    <t>111th Ave NE Apartments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</si>
</sst>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s>
  <fonts count="6"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
      <sz val="14"/>
      <color theme="1"/>
      <name val="Calibri"/>
      <family val="2"/>
      <scheme val="minor"/>
    </font>
  </fonts>
  <fills count="10">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C99FF"/>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76">
    <xf numFmtId="0" fontId="0" fillId="0" borderId="0" xfId="0"/>
    <xf numFmtId="0" fontId="0" fillId="0" borderId="1" xfId="0" applyBorder="1" applyAlignment="1">
      <alignment wrapText="1"/>
    </xf>
    <xf numFmtId="164" fontId="0" fillId="0" borderId="1" xfId="1" applyNumberFormat="1" applyFont="1" applyBorder="1" applyAlignment="1">
      <alignment wrapText="1"/>
    </xf>
    <xf numFmtId="44" fontId="0" fillId="0" borderId="1" xfId="1" applyFont="1" applyBorder="1" applyAlignment="1">
      <alignment wrapText="1"/>
    </xf>
    <xf numFmtId="0" fontId="0" fillId="0" borderId="0" xfId="0" applyAlignment="1">
      <alignment horizontal="center"/>
    </xf>
    <xf numFmtId="0" fontId="0" fillId="0" borderId="1" xfId="0" applyBorder="1"/>
    <xf numFmtId="17" fontId="0" fillId="0" borderId="1" xfId="0" applyNumberFormat="1" applyBorder="1"/>
    <xf numFmtId="164" fontId="0" fillId="0" borderId="1" xfId="1" applyNumberFormat="1" applyFont="1" applyBorder="1"/>
    <xf numFmtId="0" fontId="4" fillId="0" borderId="1" xfId="0" applyFont="1" applyBorder="1"/>
    <xf numFmtId="17" fontId="4" fillId="0" borderId="1" xfId="0" applyNumberFormat="1" applyFont="1" applyBorder="1"/>
    <xf numFmtId="17" fontId="0" fillId="0" borderId="1" xfId="0" applyNumberFormat="1" applyBorder="1" applyAlignment="1">
      <alignment horizontal="left"/>
    </xf>
    <xf numFmtId="0" fontId="0" fillId="0" borderId="1" xfId="0" applyBorder="1" applyAlignment="1">
      <alignment horizontal="left"/>
    </xf>
    <xf numFmtId="15" fontId="0" fillId="0" borderId="1" xfId="0" applyNumberFormat="1" applyBorder="1" applyAlignment="1">
      <alignment horizontal="left"/>
    </xf>
    <xf numFmtId="14" fontId="0" fillId="0" borderId="1" xfId="0" applyNumberFormat="1" applyBorder="1"/>
    <xf numFmtId="14" fontId="0" fillId="0" borderId="1" xfId="0" applyNumberFormat="1" applyBorder="1" applyAlignment="1">
      <alignment wrapText="1"/>
    </xf>
    <xf numFmtId="0" fontId="4" fillId="0" borderId="1" xfId="0" applyFont="1" applyBorder="1" applyAlignment="1">
      <alignment wrapText="1"/>
    </xf>
    <xf numFmtId="0" fontId="4" fillId="0" borderId="0" xfId="0" applyFont="1"/>
    <xf numFmtId="0" fontId="0" fillId="0" borderId="1" xfId="0" applyBorder="1" applyAlignment="1">
      <alignment horizontal="center"/>
    </xf>
    <xf numFmtId="0" fontId="0" fillId="0" borderId="2" xfId="0" applyBorder="1"/>
    <xf numFmtId="0" fontId="0" fillId="0" borderId="3" xfId="0" applyBorder="1"/>
    <xf numFmtId="0" fontId="0" fillId="2" borderId="1" xfId="0" applyFill="1" applyBorder="1"/>
    <xf numFmtId="0" fontId="4" fillId="0" borderId="1" xfId="0" applyFont="1" applyBorder="1" applyAlignment="1">
      <alignment horizontal="left"/>
    </xf>
    <xf numFmtId="164" fontId="4" fillId="0" borderId="1" xfId="1" applyNumberFormat="1" applyFont="1" applyBorder="1"/>
    <xf numFmtId="14" fontId="0" fillId="0" borderId="0" xfId="0" applyNumberFormat="1"/>
    <xf numFmtId="14" fontId="0" fillId="0" borderId="2" xfId="0" applyNumberFormat="1" applyBorder="1"/>
    <xf numFmtId="0" fontId="0" fillId="3" borderId="1" xfId="0" applyFill="1" applyBorder="1"/>
    <xf numFmtId="14" fontId="0" fillId="3" borderId="1" xfId="0" applyNumberFormat="1" applyFill="1" applyBorder="1" applyAlignment="1">
      <alignment wrapText="1"/>
    </xf>
    <xf numFmtId="164" fontId="0" fillId="3" borderId="1" xfId="1" applyNumberFormat="1" applyFont="1" applyFill="1" applyBorder="1"/>
    <xf numFmtId="0" fontId="0" fillId="3" borderId="1" xfId="0" applyFill="1" applyBorder="1" applyAlignment="1">
      <alignment horizontal="left"/>
    </xf>
    <xf numFmtId="0" fontId="0" fillId="3" borderId="0" xfId="0" applyFill="1"/>
    <xf numFmtId="17" fontId="0" fillId="3" borderId="1" xfId="0" applyNumberFormat="1" applyFill="1" applyBorder="1" applyAlignment="1">
      <alignment horizontal="left"/>
    </xf>
    <xf numFmtId="0" fontId="0" fillId="0" borderId="2" xfId="0" applyBorder="1" applyAlignment="1">
      <alignment horizontal="center"/>
    </xf>
    <xf numFmtId="0" fontId="0" fillId="0" borderId="3" xfId="0" applyBorder="1" applyAlignment="1">
      <alignment horizontal="center"/>
    </xf>
    <xf numFmtId="42" fontId="0" fillId="0" borderId="1" xfId="0" applyNumberFormat="1" applyBorder="1" applyAlignment="1">
      <alignment wrapText="1"/>
    </xf>
    <xf numFmtId="0" fontId="0" fillId="0" borderId="1" xfId="0" applyBorder="1" applyAlignment="1">
      <alignment horizontal="right"/>
    </xf>
    <xf numFmtId="14" fontId="0" fillId="0" borderId="1" xfId="0" applyNumberFormat="1" applyBorder="1" applyAlignment="1">
      <alignment horizontal="right"/>
    </xf>
    <xf numFmtId="17" fontId="0" fillId="0" borderId="1" xfId="0" applyNumberFormat="1" applyBorder="1" applyAlignment="1">
      <alignment horizontal="right"/>
    </xf>
    <xf numFmtId="16" fontId="0" fillId="0" borderId="1" xfId="0" applyNumberFormat="1" applyBorder="1" applyAlignment="1">
      <alignment horizontal="right"/>
    </xf>
    <xf numFmtId="14" fontId="0" fillId="0" borderId="2" xfId="0" applyNumberFormat="1" applyBorder="1" applyAlignment="1">
      <alignment horizontal="right"/>
    </xf>
    <xf numFmtId="0" fontId="0" fillId="0" borderId="2" xfId="0" applyBorder="1" applyAlignment="1">
      <alignment vertical="center"/>
    </xf>
    <xf numFmtId="0" fontId="0" fillId="5" borderId="1" xfId="0" applyFill="1" applyBorder="1"/>
    <xf numFmtId="0" fontId="0" fillId="6" borderId="1" xfId="0" applyFill="1" applyBorder="1"/>
    <xf numFmtId="17" fontId="0" fillId="6" borderId="1" xfId="0" applyNumberFormat="1" applyFill="1" applyBorder="1" applyAlignment="1">
      <alignment horizontal="right"/>
    </xf>
    <xf numFmtId="14" fontId="0" fillId="0" borderId="1" xfId="0" quotePrefix="1" applyNumberFormat="1" applyBorder="1"/>
    <xf numFmtId="0" fontId="0" fillId="0" borderId="2" xfId="0" applyBorder="1" applyAlignment="1">
      <alignment horizontal="right"/>
    </xf>
    <xf numFmtId="0" fontId="0" fillId="0" borderId="4" xfId="0" applyBorder="1" applyAlignment="1">
      <alignment horizontal="right"/>
    </xf>
    <xf numFmtId="0" fontId="0" fillId="0" borderId="7" xfId="0" applyBorder="1"/>
    <xf numFmtId="17" fontId="0" fillId="0" borderId="0" xfId="0" applyNumberFormat="1" applyAlignment="1">
      <alignment horizontal="right"/>
    </xf>
    <xf numFmtId="0" fontId="0" fillId="7" borderId="1" xfId="0" applyFill="1" applyBorder="1"/>
    <xf numFmtId="17" fontId="0" fillId="7" borderId="1" xfId="0" applyNumberFormat="1" applyFill="1" applyBorder="1" applyAlignment="1">
      <alignment horizontal="right"/>
    </xf>
    <xf numFmtId="0" fontId="0" fillId="7" borderId="0" xfId="0" applyFill="1"/>
    <xf numFmtId="0" fontId="0" fillId="6" borderId="0" xfId="0" applyFill="1"/>
    <xf numFmtId="0" fontId="0" fillId="6" borderId="7" xfId="0" applyFill="1" applyBorder="1"/>
    <xf numFmtId="0" fontId="0" fillId="7" borderId="7" xfId="0" applyFill="1" applyBorder="1"/>
    <xf numFmtId="6" fontId="0" fillId="0" borderId="1" xfId="0" applyNumberFormat="1" applyBorder="1"/>
    <xf numFmtId="164" fontId="0" fillId="0" borderId="1" xfId="1" applyNumberFormat="1" applyFont="1" applyFill="1" applyBorder="1"/>
    <xf numFmtId="0" fontId="0" fillId="0" borderId="0" xfId="0" quotePrefix="1" applyAlignment="1">
      <alignment wrapText="1"/>
    </xf>
    <xf numFmtId="17" fontId="0" fillId="0" borderId="1" xfId="0" applyNumberFormat="1" applyBorder="1" applyAlignment="1">
      <alignment horizontal="center"/>
    </xf>
    <xf numFmtId="0" fontId="0" fillId="0" borderId="3" xfId="0" applyBorder="1" applyAlignment="1">
      <alignment vertical="center"/>
    </xf>
    <xf numFmtId="17" fontId="0" fillId="3" borderId="1" xfId="0" applyNumberFormat="1" applyFill="1" applyBorder="1"/>
    <xf numFmtId="16" fontId="0" fillId="0" borderId="1" xfId="0" applyNumberForma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2" xfId="0" applyBorder="1" applyAlignment="1">
      <alignment horizontal="right"/>
    </xf>
    <xf numFmtId="0" fontId="0" fillId="0" borderId="4" xfId="0" applyBorder="1" applyAlignment="1">
      <alignment horizontal="right"/>
    </xf>
    <xf numFmtId="0" fontId="0" fillId="0" borderId="0" xfId="0" applyAlignment="1">
      <alignment horizontal="center"/>
    </xf>
    <xf numFmtId="0" fontId="0" fillId="0" borderId="8" xfId="0" applyBorder="1" applyAlignment="1">
      <alignment horizontal="center"/>
    </xf>
    <xf numFmtId="17" fontId="0" fillId="0" borderId="1" xfId="0" applyNumberFormat="1" applyBorder="1" applyAlignment="1">
      <alignment horizontal="center"/>
    </xf>
    <xf numFmtId="0" fontId="5" fillId="8" borderId="0" xfId="0" applyFont="1" applyFill="1" applyAlignment="1">
      <alignment horizontal="center"/>
    </xf>
    <xf numFmtId="0" fontId="5" fillId="4" borderId="0" xfId="0" applyFont="1" applyFill="1" applyAlignment="1">
      <alignment horizontal="center"/>
    </xf>
    <xf numFmtId="0" fontId="5" fillId="9" borderId="0" xfId="0" applyFont="1" applyFill="1" applyAlignment="1">
      <alignment horizontal="center"/>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2" xfId="0" applyFont="1" applyBorder="1" applyAlignment="1">
      <alignment horizontal="center" wrapText="1"/>
    </xf>
    <xf numFmtId="0" fontId="4" fillId="0" borderId="3" xfId="0" applyFont="1" applyBorder="1" applyAlignment="1">
      <alignment horizontal="center" wrapText="1"/>
    </xf>
  </cellXfs>
  <cellStyles count="2">
    <cellStyle name="Currency" xfId="1" builtinId="4"/>
    <cellStyle name="Normal" xfId="0" builtinId="0"/>
  </cellStyles>
  <dxfs count="1436">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theme="5" tint="0.79998168889431442"/>
        </patternFill>
      </fill>
    </dxf>
    <dxf>
      <fill>
        <patternFill>
          <bgColor rgb="FFDEBDFF"/>
        </patternFill>
      </fill>
    </dxf>
    <dxf>
      <fill>
        <patternFill>
          <bgColor theme="0"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theme="5" tint="0.79998168889431442"/>
        </patternFill>
      </fill>
    </dxf>
    <dxf>
      <fill>
        <patternFill>
          <bgColor rgb="FFDEBDFF"/>
        </patternFill>
      </fill>
    </dxf>
    <dxf>
      <fill>
        <patternFill>
          <bgColor theme="0"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ill>
        <patternFill>
          <bgColor theme="5" tint="0.79998168889431442"/>
        </patternFill>
      </fill>
    </dxf>
    <dxf>
      <fill>
        <patternFill>
          <bgColor rgb="FFDEBDFF"/>
        </patternFill>
      </fill>
    </dxf>
    <dxf>
      <fill>
        <patternFill>
          <bgColor theme="0"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ill>
        <patternFill>
          <bgColor theme="5" tint="0.7999816888943144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theme="1"/>
      </font>
      <fill>
        <patternFill>
          <bgColor rgb="FF7030A0"/>
        </patternFill>
      </fill>
    </dxf>
    <dxf>
      <font>
        <color rgb="FF9C0006"/>
      </font>
      <fill>
        <patternFill>
          <bgColor rgb="FFFFC7CE"/>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006100"/>
      </font>
      <fill>
        <patternFill>
          <bgColor rgb="FFC6EFCE"/>
        </patternFill>
      </fill>
    </dxf>
    <dxf>
      <fill>
        <patternFill>
          <bgColor theme="7" tint="-0.24994659260841701"/>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6500"/>
      </font>
      <fill>
        <patternFill>
          <bgColor rgb="FFFFEB9C"/>
        </patternFill>
      </fill>
    </dxf>
    <dxf>
      <font>
        <color rgb="FF006100"/>
      </font>
      <fill>
        <patternFill>
          <bgColor rgb="FFC6EFCE"/>
        </patternFill>
      </fill>
    </dxf>
    <dxf>
      <fill>
        <patternFill>
          <bgColor theme="7" tint="-0.24994659260841701"/>
        </patternFill>
      </fill>
    </dxf>
    <dxf>
      <font>
        <color rgb="FF9C0006"/>
      </font>
      <fill>
        <patternFill>
          <bgColor rgb="FFFFC7CE"/>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
      <font>
        <color rgb="FF006100"/>
      </font>
      <fill>
        <patternFill>
          <bgColor rgb="FFC6EFCE"/>
        </patternFill>
      </fill>
    </dxf>
    <dxf>
      <fill>
        <patternFill>
          <bgColor theme="4" tint="0.39994506668294322"/>
        </patternFill>
      </fill>
    </dxf>
    <dxf>
      <fill>
        <patternFill>
          <bgColor rgb="FFDEBDFF"/>
        </patternFill>
      </fill>
    </dxf>
    <dxf>
      <fill>
        <patternFill>
          <bgColor theme="0" tint="-0.24994659260841701"/>
        </patternFill>
      </fill>
    </dxf>
  </dxfs>
  <tableStyles count="0" defaultTableStyle="TableStyleMedium2" defaultPivotStyle="PivotStyleLight16"/>
  <colors>
    <mruColors>
      <color rgb="FFCC99FF"/>
      <color rgb="FFDEBDFF"/>
      <color rgb="FFF1DBFD"/>
      <color rgb="FFE1B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D324"/>
  <sheetViews>
    <sheetView tabSelected="1" topLeftCell="A196" zoomScaleNormal="100" workbookViewId="0">
      <pane xSplit="2" topLeftCell="C1" activePane="topRight" state="frozen"/>
      <selection pane="topRight" activeCell="B216" sqref="B216"/>
    </sheetView>
  </sheetViews>
  <sheetFormatPr defaultRowHeight="15" x14ac:dyDescent="0.25"/>
  <cols>
    <col min="1" max="1" width="7.140625" customWidth="1"/>
    <col min="2" max="2" width="24.85546875" customWidth="1"/>
    <col min="3" max="3" width="14.28515625" customWidth="1"/>
    <col min="4" max="4" width="6.42578125" customWidth="1"/>
    <col min="5" max="5" width="11.85546875" hidden="1" customWidth="1"/>
    <col min="6" max="6" width="19.85546875" customWidth="1"/>
    <col min="7" max="7" width="13.7109375" hidden="1" customWidth="1"/>
    <col min="8" max="8" width="42.5703125" hidden="1" customWidth="1"/>
    <col min="9" max="20" width="4.28515625" hidden="1" customWidth="1"/>
    <col min="21" max="23" width="9.140625" hidden="1" customWidth="1"/>
    <col min="24" max="281" width="4.28515625" hidden="1" customWidth="1"/>
    <col min="282" max="472" width="4.28515625" customWidth="1"/>
  </cols>
  <sheetData>
    <row r="1" spans="1:472" s="5" customFormat="1" ht="28.5" customHeight="1" x14ac:dyDescent="0.25">
      <c r="A1" s="5" t="s">
        <v>31</v>
      </c>
      <c r="B1" s="5" t="s">
        <v>32</v>
      </c>
      <c r="C1" s="5" t="s">
        <v>0</v>
      </c>
      <c r="D1" s="5" t="s">
        <v>30</v>
      </c>
      <c r="E1" s="1" t="s">
        <v>255</v>
      </c>
      <c r="F1" s="5" t="s">
        <v>85</v>
      </c>
      <c r="G1" s="5" t="s">
        <v>86</v>
      </c>
      <c r="H1" s="5" t="s">
        <v>147</v>
      </c>
      <c r="I1" s="68">
        <v>41913</v>
      </c>
      <c r="J1" s="68">
        <v>42767</v>
      </c>
      <c r="K1" s="68">
        <v>41944</v>
      </c>
      <c r="L1" s="68"/>
      <c r="M1" s="68">
        <v>41974</v>
      </c>
      <c r="N1" s="68">
        <v>42856</v>
      </c>
      <c r="O1" s="68">
        <v>42005</v>
      </c>
      <c r="P1" s="68">
        <v>42767</v>
      </c>
      <c r="Q1" s="68">
        <v>42036</v>
      </c>
      <c r="R1" s="68"/>
      <c r="S1" s="68">
        <v>42064</v>
      </c>
      <c r="T1" s="68">
        <v>42856</v>
      </c>
      <c r="U1" s="6">
        <v>42095</v>
      </c>
      <c r="V1" s="6">
        <v>42125</v>
      </c>
      <c r="W1" s="6">
        <v>42156</v>
      </c>
      <c r="X1" s="68">
        <v>42186</v>
      </c>
      <c r="Y1" s="68"/>
      <c r="Z1" s="68">
        <v>42217</v>
      </c>
      <c r="AA1" s="68"/>
      <c r="AB1" s="68">
        <v>42248</v>
      </c>
      <c r="AC1" s="68"/>
      <c r="AD1" s="68">
        <v>42278</v>
      </c>
      <c r="AE1" s="68"/>
      <c r="AF1" s="68">
        <v>42309</v>
      </c>
      <c r="AG1" s="68"/>
      <c r="AH1" s="68">
        <v>42339</v>
      </c>
      <c r="AI1" s="68"/>
      <c r="AJ1" s="68">
        <v>42370</v>
      </c>
      <c r="AK1" s="68"/>
      <c r="AL1" s="68">
        <v>42401</v>
      </c>
      <c r="AM1" s="68"/>
      <c r="AN1" s="68">
        <v>42430</v>
      </c>
      <c r="AO1" s="68"/>
      <c r="AP1" s="68">
        <v>42461</v>
      </c>
      <c r="AQ1" s="68"/>
      <c r="AR1" s="68">
        <v>42491</v>
      </c>
      <c r="AS1" s="68"/>
      <c r="AT1" s="68">
        <v>42522</v>
      </c>
      <c r="AU1" s="68">
        <v>42552</v>
      </c>
      <c r="AV1" s="68">
        <v>42552</v>
      </c>
      <c r="AW1" s="68">
        <v>42614</v>
      </c>
      <c r="AX1" s="68">
        <v>42583</v>
      </c>
      <c r="AY1" s="68"/>
      <c r="AZ1" s="68">
        <v>42614</v>
      </c>
      <c r="BA1" s="68">
        <v>42705</v>
      </c>
      <c r="BB1" s="68">
        <v>42644</v>
      </c>
      <c r="BC1" s="68">
        <v>42767</v>
      </c>
      <c r="BD1" s="68">
        <v>42675</v>
      </c>
      <c r="BE1" s="68"/>
      <c r="BF1" s="68">
        <v>42705</v>
      </c>
      <c r="BG1" s="68">
        <v>42856</v>
      </c>
      <c r="BH1" s="68">
        <v>42736</v>
      </c>
      <c r="BI1" s="68">
        <v>42917</v>
      </c>
      <c r="BJ1" s="68">
        <v>42767</v>
      </c>
      <c r="BK1" s="68"/>
      <c r="BL1" s="68">
        <v>42795</v>
      </c>
      <c r="BM1" s="68">
        <v>43009</v>
      </c>
      <c r="BN1" s="68">
        <v>42826</v>
      </c>
      <c r="BO1" s="68">
        <v>43070</v>
      </c>
      <c r="BP1" s="68">
        <v>42856</v>
      </c>
      <c r="BQ1" s="68"/>
      <c r="BR1" s="68">
        <v>42887</v>
      </c>
      <c r="BS1" s="68">
        <v>43160</v>
      </c>
      <c r="BT1" s="68">
        <v>42917</v>
      </c>
      <c r="BU1" s="68">
        <v>43221</v>
      </c>
      <c r="BV1" s="68">
        <v>42948</v>
      </c>
      <c r="BW1" s="68"/>
      <c r="BX1" s="68">
        <v>42979</v>
      </c>
      <c r="BY1" s="68">
        <v>43313</v>
      </c>
      <c r="BZ1" s="68">
        <v>43009</v>
      </c>
      <c r="CA1" s="68">
        <v>43374</v>
      </c>
      <c r="CB1" s="68">
        <v>43040</v>
      </c>
      <c r="CC1" s="68">
        <v>43070</v>
      </c>
      <c r="CD1" s="68">
        <v>43070</v>
      </c>
      <c r="CE1" s="68"/>
      <c r="CF1" s="68">
        <v>43101</v>
      </c>
      <c r="CG1" s="68"/>
      <c r="CH1" s="68">
        <v>43132</v>
      </c>
      <c r="CI1" s="68"/>
      <c r="CJ1" s="68">
        <v>43160</v>
      </c>
      <c r="CK1" s="68"/>
      <c r="CL1" s="68">
        <v>43191</v>
      </c>
      <c r="CM1" s="68"/>
      <c r="CN1" s="68">
        <v>43221</v>
      </c>
      <c r="CO1" s="68"/>
      <c r="CP1" s="68">
        <v>43252</v>
      </c>
      <c r="CQ1" s="68"/>
      <c r="CR1" s="68">
        <v>43282</v>
      </c>
      <c r="CS1" s="68"/>
      <c r="CT1" s="68">
        <v>43313</v>
      </c>
      <c r="CU1" s="68"/>
      <c r="CV1" s="68">
        <v>43344</v>
      </c>
      <c r="CW1" s="68"/>
      <c r="CX1" s="68">
        <v>43374</v>
      </c>
      <c r="CY1" s="68"/>
      <c r="CZ1" s="68">
        <v>43405</v>
      </c>
      <c r="DA1" s="68"/>
      <c r="DB1" s="68">
        <v>43435</v>
      </c>
      <c r="DC1" s="68"/>
      <c r="DD1" s="68">
        <v>43466</v>
      </c>
      <c r="DE1" s="68"/>
      <c r="DF1" s="68">
        <v>43497</v>
      </c>
      <c r="DG1" s="68"/>
      <c r="DH1" s="68">
        <v>43525</v>
      </c>
      <c r="DI1" s="68"/>
      <c r="DJ1" s="68">
        <v>43556</v>
      </c>
      <c r="DK1" s="68"/>
      <c r="DL1" s="68">
        <v>43586</v>
      </c>
      <c r="DM1" s="68"/>
      <c r="DN1" s="68">
        <v>43617</v>
      </c>
      <c r="DO1" s="68"/>
      <c r="DP1" s="68">
        <v>43647</v>
      </c>
      <c r="DQ1" s="68"/>
      <c r="DR1" s="68">
        <v>43678</v>
      </c>
      <c r="DS1" s="68"/>
      <c r="DT1" s="68">
        <v>43709</v>
      </c>
      <c r="DU1" s="68"/>
      <c r="DV1" s="68">
        <v>43739</v>
      </c>
      <c r="DW1" s="68"/>
      <c r="DX1" s="68">
        <v>43770</v>
      </c>
      <c r="DY1" s="68"/>
      <c r="DZ1" s="68">
        <v>43800</v>
      </c>
      <c r="EA1" s="68"/>
      <c r="EB1" s="68">
        <v>43831</v>
      </c>
      <c r="EC1" s="68"/>
      <c r="ED1" s="68">
        <v>43862</v>
      </c>
      <c r="EE1" s="68"/>
      <c r="EF1" s="68">
        <v>43891</v>
      </c>
      <c r="EG1" s="68"/>
      <c r="EH1" s="68">
        <v>43922</v>
      </c>
      <c r="EI1" s="68"/>
      <c r="EJ1" s="68">
        <v>43952</v>
      </c>
      <c r="EK1" s="68"/>
      <c r="EL1" s="68">
        <v>43983</v>
      </c>
      <c r="EM1" s="68"/>
      <c r="EN1" s="68">
        <v>44013</v>
      </c>
      <c r="EO1" s="68"/>
      <c r="EP1" s="68">
        <v>44044</v>
      </c>
      <c r="EQ1" s="68"/>
      <c r="ER1" s="68">
        <v>44075</v>
      </c>
      <c r="ES1" s="68"/>
      <c r="ET1" s="68">
        <v>44105</v>
      </c>
      <c r="EU1" s="68"/>
      <c r="EV1" s="68">
        <v>44136</v>
      </c>
      <c r="EW1" s="68"/>
      <c r="EX1" s="68">
        <v>44166</v>
      </c>
      <c r="EY1" s="68"/>
      <c r="EZ1" s="68">
        <v>44197</v>
      </c>
      <c r="FA1" s="68"/>
      <c r="FB1" s="68">
        <v>44228</v>
      </c>
      <c r="FC1" s="68"/>
      <c r="FD1" s="68">
        <v>44256</v>
      </c>
      <c r="FE1" s="68"/>
      <c r="FF1" s="68">
        <v>44287</v>
      </c>
      <c r="FG1" s="68"/>
      <c r="FH1" s="68">
        <v>44317</v>
      </c>
      <c r="FI1" s="68"/>
      <c r="FJ1" s="68">
        <v>44348</v>
      </c>
      <c r="FK1" s="68"/>
      <c r="FL1" s="68">
        <v>44378</v>
      </c>
      <c r="FM1" s="68"/>
      <c r="FN1" s="68">
        <v>44409</v>
      </c>
      <c r="FO1" s="68"/>
      <c r="FP1" s="68">
        <v>44440</v>
      </c>
      <c r="FQ1" s="68"/>
      <c r="FR1" s="68">
        <v>44470</v>
      </c>
      <c r="FS1" s="68"/>
      <c r="FT1" s="68">
        <v>44501</v>
      </c>
      <c r="FU1" s="68"/>
      <c r="FV1" s="68">
        <v>44531</v>
      </c>
      <c r="FW1" s="68"/>
      <c r="FX1" s="68">
        <v>44562</v>
      </c>
      <c r="FY1" s="68"/>
      <c r="FZ1" s="68">
        <v>44593</v>
      </c>
      <c r="GA1" s="68"/>
      <c r="GB1" s="68">
        <v>44621</v>
      </c>
      <c r="GC1" s="68"/>
      <c r="GD1" s="68">
        <v>44652</v>
      </c>
      <c r="GE1" s="68"/>
      <c r="GF1" s="68">
        <v>44682</v>
      </c>
      <c r="GG1" s="68"/>
      <c r="GH1" s="68">
        <v>44713</v>
      </c>
      <c r="GI1" s="68"/>
      <c r="GJ1" s="68">
        <v>44743</v>
      </c>
      <c r="GK1" s="68"/>
      <c r="GL1" s="68">
        <v>44774</v>
      </c>
      <c r="GM1" s="68"/>
      <c r="GN1" s="68">
        <v>44805</v>
      </c>
      <c r="GO1" s="68"/>
      <c r="GP1" s="68">
        <v>44835</v>
      </c>
      <c r="GQ1" s="68"/>
      <c r="GR1" s="68">
        <v>44866</v>
      </c>
      <c r="GS1" s="68"/>
      <c r="GT1" s="68">
        <v>44896</v>
      </c>
      <c r="GU1" s="68"/>
      <c r="GV1" s="68">
        <v>44927</v>
      </c>
      <c r="GW1" s="68"/>
      <c r="GX1" s="68">
        <v>44958</v>
      </c>
      <c r="GY1" s="68"/>
      <c r="GZ1" s="68">
        <v>44986</v>
      </c>
      <c r="HA1" s="68"/>
      <c r="HB1" s="68">
        <v>45017</v>
      </c>
      <c r="HC1" s="68"/>
      <c r="HD1" s="68">
        <v>45047</v>
      </c>
      <c r="HE1" s="68"/>
      <c r="HF1" s="68">
        <v>45078</v>
      </c>
      <c r="HG1" s="68"/>
      <c r="HH1" s="68">
        <v>45108</v>
      </c>
      <c r="HI1" s="68"/>
      <c r="HJ1" s="68">
        <v>45139</v>
      </c>
      <c r="HK1" s="68"/>
      <c r="HL1" s="68">
        <v>45170</v>
      </c>
      <c r="HM1" s="68"/>
      <c r="HN1" s="68">
        <v>45200</v>
      </c>
      <c r="HO1" s="68"/>
      <c r="HP1" s="68">
        <v>45231</v>
      </c>
      <c r="HQ1" s="68"/>
      <c r="HR1" s="68">
        <v>45261</v>
      </c>
      <c r="HS1" s="68"/>
      <c r="HT1" s="68">
        <v>45292</v>
      </c>
      <c r="HU1" s="68"/>
      <c r="HV1" s="68">
        <v>45323</v>
      </c>
      <c r="HW1" s="68"/>
      <c r="HX1" s="68">
        <v>45352</v>
      </c>
      <c r="HY1" s="68"/>
      <c r="HZ1" s="68">
        <v>45383</v>
      </c>
      <c r="IA1" s="68"/>
      <c r="IB1" s="68">
        <v>45413</v>
      </c>
      <c r="IC1" s="68"/>
      <c r="ID1" s="68">
        <v>45444</v>
      </c>
      <c r="IE1" s="68"/>
      <c r="IF1" s="68">
        <v>45474</v>
      </c>
      <c r="IG1" s="68"/>
      <c r="IH1" s="68">
        <v>45505</v>
      </c>
      <c r="II1" s="68"/>
      <c r="IJ1" s="68">
        <v>45536</v>
      </c>
      <c r="IK1" s="68"/>
      <c r="IL1" s="68">
        <v>45566</v>
      </c>
      <c r="IM1" s="68"/>
      <c r="IN1" s="68">
        <v>45597</v>
      </c>
      <c r="IO1" s="68"/>
      <c r="IP1" s="68">
        <v>45627</v>
      </c>
      <c r="IQ1" s="68"/>
      <c r="IR1" s="68">
        <v>45658</v>
      </c>
      <c r="IS1" s="68"/>
      <c r="IT1" s="68">
        <v>45689</v>
      </c>
      <c r="IU1" s="68"/>
      <c r="IV1" s="68">
        <v>45717</v>
      </c>
      <c r="IW1" s="68"/>
      <c r="IX1" s="68">
        <v>45748</v>
      </c>
      <c r="IY1" s="68"/>
      <c r="IZ1" s="68">
        <v>45778</v>
      </c>
      <c r="JA1" s="68"/>
      <c r="JB1" s="68">
        <v>45809</v>
      </c>
      <c r="JC1" s="68"/>
      <c r="JD1" s="68">
        <v>45839</v>
      </c>
      <c r="JE1" s="68"/>
      <c r="JF1" s="68">
        <v>45870</v>
      </c>
      <c r="JG1" s="68"/>
      <c r="JH1" s="68">
        <v>45901</v>
      </c>
      <c r="JI1" s="68"/>
      <c r="JJ1" s="68">
        <v>45931</v>
      </c>
      <c r="JK1" s="68"/>
      <c r="JL1" s="68">
        <v>45962</v>
      </c>
      <c r="JM1" s="68"/>
      <c r="JN1" s="68">
        <v>45992</v>
      </c>
      <c r="JO1" s="68"/>
      <c r="JP1" s="68">
        <v>46023</v>
      </c>
      <c r="JQ1" s="68"/>
      <c r="JR1" s="68">
        <v>46054</v>
      </c>
      <c r="JS1" s="68"/>
      <c r="JT1" s="68">
        <v>46082</v>
      </c>
      <c r="JU1" s="68"/>
      <c r="JV1" s="68">
        <v>46113</v>
      </c>
      <c r="JW1" s="68"/>
      <c r="JX1" s="68">
        <v>46143</v>
      </c>
      <c r="JY1" s="68"/>
      <c r="JZ1" s="68">
        <v>46174</v>
      </c>
      <c r="KA1" s="68"/>
      <c r="KB1" s="68">
        <v>46204</v>
      </c>
      <c r="KC1" s="68"/>
      <c r="KD1" s="68">
        <v>46235</v>
      </c>
      <c r="KE1" s="68"/>
      <c r="KF1" s="68">
        <v>46266</v>
      </c>
      <c r="KG1" s="68"/>
      <c r="KH1" s="68">
        <v>46296</v>
      </c>
      <c r="KI1" s="68"/>
      <c r="KJ1" s="68">
        <v>46327</v>
      </c>
      <c r="KK1" s="68"/>
      <c r="KL1" s="68">
        <v>46357</v>
      </c>
      <c r="KM1" s="68"/>
      <c r="KN1" s="68">
        <v>46388</v>
      </c>
      <c r="KO1" s="68"/>
      <c r="KP1" s="68">
        <v>46419</v>
      </c>
      <c r="KQ1" s="68"/>
      <c r="KR1" s="68">
        <v>46447</v>
      </c>
      <c r="KS1" s="68"/>
      <c r="KT1" s="68">
        <v>46478</v>
      </c>
      <c r="KU1" s="68"/>
      <c r="KV1" s="68">
        <v>46508</v>
      </c>
      <c r="KW1" s="68"/>
      <c r="KX1" s="68">
        <v>46539</v>
      </c>
      <c r="KY1" s="68"/>
      <c r="KZ1" s="68">
        <v>46569</v>
      </c>
      <c r="LA1" s="68"/>
      <c r="LB1" s="68">
        <v>46600</v>
      </c>
      <c r="LC1" s="68"/>
      <c r="LD1" s="68"/>
      <c r="LE1" s="68"/>
      <c r="LF1" s="68"/>
      <c r="LG1" s="68"/>
      <c r="LH1" s="68"/>
      <c r="LI1" s="68"/>
      <c r="LJ1" s="68"/>
      <c r="LK1" s="68"/>
      <c r="LL1" s="68"/>
      <c r="LM1" s="68"/>
      <c r="LN1" s="68"/>
      <c r="LO1" s="68"/>
      <c r="LP1" s="68"/>
      <c r="LQ1" s="68"/>
      <c r="LR1" s="68"/>
      <c r="LS1" s="68"/>
      <c r="LT1" s="68"/>
      <c r="LU1" s="68"/>
      <c r="LV1" s="68"/>
      <c r="LW1" s="68"/>
      <c r="LX1" s="68"/>
      <c r="LY1" s="68"/>
      <c r="LZ1" s="68"/>
      <c r="MA1" s="68"/>
      <c r="MB1" s="68"/>
      <c r="MC1" s="68"/>
      <c r="MD1" s="68"/>
      <c r="ME1" s="68"/>
      <c r="MF1" s="68"/>
      <c r="MG1" s="68"/>
      <c r="MH1" s="68"/>
      <c r="MI1" s="68"/>
      <c r="MJ1" s="68"/>
      <c r="MK1" s="68"/>
      <c r="ML1" s="68"/>
      <c r="MM1" s="68"/>
      <c r="MN1" s="68"/>
      <c r="MO1" s="68"/>
      <c r="MP1" s="68"/>
      <c r="MQ1" s="68"/>
      <c r="MR1" s="68"/>
      <c r="MS1" s="68"/>
      <c r="MT1" s="68"/>
      <c r="MU1" s="68"/>
      <c r="MV1" s="68"/>
      <c r="MW1" s="68"/>
      <c r="MX1" s="68"/>
      <c r="MY1" s="68"/>
      <c r="MZ1" s="68"/>
      <c r="NA1" s="68"/>
      <c r="NB1" s="68"/>
      <c r="NC1" s="68"/>
      <c r="ND1" s="68"/>
      <c r="NE1" s="68"/>
      <c r="NF1" s="68"/>
      <c r="NG1" s="68"/>
      <c r="NH1" s="68"/>
      <c r="NI1" s="68"/>
      <c r="NJ1" s="68"/>
      <c r="NK1" s="68"/>
      <c r="NL1" s="68"/>
      <c r="NM1" s="68"/>
      <c r="NN1" s="68"/>
      <c r="NO1" s="68"/>
      <c r="NP1" s="68"/>
      <c r="NQ1" s="68"/>
      <c r="NR1" s="68"/>
      <c r="NS1" s="68"/>
      <c r="NT1" s="68"/>
      <c r="NU1" s="68"/>
      <c r="NV1" s="68"/>
      <c r="NW1" s="68"/>
      <c r="NX1" s="68"/>
      <c r="NY1" s="68"/>
      <c r="NZ1" s="68"/>
      <c r="OA1" s="68"/>
      <c r="OB1" s="68"/>
      <c r="OC1" s="68"/>
      <c r="OD1" s="68"/>
      <c r="OE1" s="68"/>
      <c r="OF1" s="68"/>
      <c r="OG1" s="68"/>
      <c r="OH1" s="68"/>
      <c r="OI1" s="68"/>
      <c r="OJ1" s="68"/>
      <c r="OK1" s="68"/>
      <c r="OL1" s="68"/>
      <c r="OM1" s="68"/>
      <c r="ON1" s="68"/>
      <c r="OO1" s="68"/>
      <c r="OP1" s="68"/>
      <c r="OQ1" s="68"/>
      <c r="OR1" s="68"/>
      <c r="OS1" s="68"/>
      <c r="OT1" s="68"/>
      <c r="OU1" s="68"/>
      <c r="OV1" s="68"/>
      <c r="OW1" s="68"/>
      <c r="OX1" s="68"/>
      <c r="OY1" s="68"/>
      <c r="OZ1" s="68"/>
      <c r="PA1" s="68"/>
      <c r="PB1" s="68"/>
      <c r="PC1" s="68"/>
      <c r="PD1" s="68"/>
      <c r="PE1" s="68"/>
      <c r="PF1" s="68"/>
      <c r="PG1" s="68"/>
      <c r="PH1" s="68"/>
      <c r="PI1" s="68"/>
      <c r="PJ1" s="68"/>
      <c r="PK1" s="68"/>
      <c r="PL1" s="68"/>
      <c r="PM1" s="68"/>
      <c r="PN1" s="68"/>
      <c r="PO1" s="68"/>
      <c r="PP1" s="68"/>
      <c r="PQ1" s="68"/>
      <c r="PR1" s="68"/>
      <c r="PS1" s="68"/>
      <c r="PT1" s="68"/>
      <c r="PU1" s="68"/>
      <c r="PV1" s="68"/>
      <c r="PW1" s="68"/>
      <c r="PX1" s="68"/>
      <c r="PY1" s="68"/>
      <c r="PZ1" s="68"/>
      <c r="QA1" s="68"/>
      <c r="QB1" s="68"/>
      <c r="QC1" s="68"/>
      <c r="QD1" s="68"/>
      <c r="QE1" s="68"/>
      <c r="QF1" s="68"/>
      <c r="QG1" s="68"/>
      <c r="QH1" s="68"/>
      <c r="QI1" s="68"/>
      <c r="QJ1" s="68"/>
      <c r="QK1" s="68"/>
      <c r="QL1" s="68"/>
      <c r="QM1" s="68"/>
      <c r="QN1" s="68"/>
      <c r="QO1" s="68"/>
      <c r="QP1" s="68"/>
      <c r="QQ1" s="68"/>
      <c r="QR1" s="68"/>
      <c r="QS1" s="68"/>
      <c r="QT1" s="68"/>
      <c r="QU1" s="68"/>
      <c r="QV1" s="68"/>
      <c r="QW1" s="68"/>
      <c r="QX1" s="68"/>
      <c r="QY1" s="68"/>
      <c r="QZ1" s="68"/>
      <c r="RA1" s="68"/>
      <c r="RB1" s="68"/>
      <c r="RC1" s="68"/>
      <c r="RD1" s="57"/>
    </row>
    <row r="2" spans="1:472" s="5" customFormat="1" ht="15" hidden="1" customHeight="1" x14ac:dyDescent="0.25">
      <c r="A2" s="5">
        <v>2001</v>
      </c>
      <c r="B2" s="5" t="s">
        <v>20</v>
      </c>
      <c r="C2" s="5" t="s">
        <v>3</v>
      </c>
      <c r="D2" s="5">
        <v>234</v>
      </c>
      <c r="I2" s="61"/>
      <c r="J2" s="61"/>
      <c r="K2" s="61"/>
      <c r="L2" s="61"/>
      <c r="M2" s="61"/>
      <c r="N2" s="61"/>
      <c r="O2" s="61"/>
      <c r="P2" s="61"/>
      <c r="Q2" s="61"/>
      <c r="R2" s="61"/>
      <c r="S2" s="61"/>
      <c r="T2" s="61"/>
    </row>
    <row r="3" spans="1:472" s="5" customFormat="1" ht="15" hidden="1" customHeight="1" x14ac:dyDescent="0.25">
      <c r="A3" s="5">
        <v>2002</v>
      </c>
      <c r="B3" s="5" t="s">
        <v>21</v>
      </c>
      <c r="C3" s="5" t="s">
        <v>4</v>
      </c>
      <c r="D3" s="5">
        <v>91</v>
      </c>
      <c r="I3" s="61"/>
      <c r="J3" s="61"/>
      <c r="K3" s="61"/>
      <c r="L3" s="61"/>
      <c r="M3" s="61"/>
      <c r="N3" s="61"/>
      <c r="O3" s="61"/>
      <c r="P3" s="61"/>
      <c r="Q3" s="61"/>
      <c r="R3" s="61"/>
      <c r="S3" s="61"/>
      <c r="T3" s="61"/>
    </row>
    <row r="4" spans="1:472" s="5" customFormat="1" ht="15" hidden="1" customHeight="1" x14ac:dyDescent="0.25">
      <c r="A4" s="5">
        <v>2003</v>
      </c>
      <c r="B4" s="5" t="s">
        <v>22</v>
      </c>
      <c r="C4" s="5" t="s">
        <v>4</v>
      </c>
      <c r="D4" s="5">
        <v>28</v>
      </c>
      <c r="I4" s="61"/>
      <c r="J4" s="61"/>
      <c r="K4" s="61"/>
      <c r="L4" s="61"/>
      <c r="M4" s="61"/>
      <c r="N4" s="61"/>
      <c r="O4" s="61"/>
      <c r="P4" s="61"/>
      <c r="Q4" s="61"/>
      <c r="R4" s="61"/>
      <c r="S4" s="61"/>
      <c r="T4" s="61"/>
    </row>
    <row r="5" spans="1:472" s="5" customFormat="1" ht="15" hidden="1" customHeight="1" x14ac:dyDescent="0.25">
      <c r="A5" s="5">
        <v>2005</v>
      </c>
      <c r="B5" s="5" t="s">
        <v>23</v>
      </c>
      <c r="C5" s="5" t="s">
        <v>5</v>
      </c>
      <c r="D5" s="5">
        <v>66</v>
      </c>
      <c r="I5" s="61"/>
      <c r="J5" s="61"/>
      <c r="K5" s="61"/>
      <c r="L5" s="61"/>
      <c r="M5" s="61"/>
      <c r="N5" s="61"/>
      <c r="O5" s="61"/>
      <c r="P5" s="61"/>
      <c r="Q5" s="61"/>
      <c r="R5" s="61"/>
      <c r="S5" s="61"/>
      <c r="T5" s="61"/>
    </row>
    <row r="6" spans="1:472" s="5" customFormat="1" ht="15" hidden="1" customHeight="1" x14ac:dyDescent="0.25">
      <c r="A6" s="5">
        <v>2006</v>
      </c>
      <c r="B6" s="5" t="s">
        <v>24</v>
      </c>
      <c r="C6" s="5" t="s">
        <v>6</v>
      </c>
      <c r="D6" s="5">
        <v>319</v>
      </c>
      <c r="I6" s="61"/>
      <c r="J6" s="61"/>
      <c r="K6" s="61"/>
      <c r="L6" s="61"/>
      <c r="M6" s="61"/>
      <c r="N6" s="61"/>
      <c r="O6" s="61"/>
      <c r="P6" s="61"/>
      <c r="Q6" s="61"/>
      <c r="R6" s="61"/>
      <c r="S6" s="61"/>
      <c r="T6" s="61"/>
    </row>
    <row r="7" spans="1:472" s="5" customFormat="1" ht="15" hidden="1" customHeight="1" x14ac:dyDescent="0.25">
      <c r="A7" s="5">
        <v>2008</v>
      </c>
      <c r="B7" s="5" t="s">
        <v>9</v>
      </c>
      <c r="C7" s="5" t="s">
        <v>3</v>
      </c>
      <c r="D7" s="5">
        <v>258</v>
      </c>
      <c r="F7" s="5" t="s">
        <v>87</v>
      </c>
      <c r="G7" s="5" t="s">
        <v>57</v>
      </c>
      <c r="I7" s="61"/>
      <c r="J7" s="61"/>
      <c r="K7" s="61"/>
      <c r="L7" s="61"/>
      <c r="M7" s="61"/>
      <c r="N7" s="61"/>
      <c r="O7" s="61"/>
      <c r="P7" s="61"/>
      <c r="Q7" s="61"/>
      <c r="R7" s="61"/>
      <c r="S7" s="61"/>
      <c r="T7" s="61"/>
    </row>
    <row r="8" spans="1:472" s="5" customFormat="1" ht="15" hidden="1" customHeight="1" x14ac:dyDescent="0.25">
      <c r="A8" s="5">
        <v>2009</v>
      </c>
      <c r="B8" s="5" t="s">
        <v>10</v>
      </c>
      <c r="C8" s="5" t="s">
        <v>5</v>
      </c>
      <c r="D8" s="5">
        <v>56</v>
      </c>
      <c r="I8" s="61"/>
      <c r="J8" s="61"/>
      <c r="K8" s="61"/>
      <c r="L8" s="61"/>
      <c r="M8" s="61"/>
      <c r="N8" s="61"/>
      <c r="O8" s="61"/>
      <c r="P8" s="61"/>
      <c r="Q8" s="61"/>
      <c r="R8" s="61"/>
      <c r="S8" s="61"/>
      <c r="T8" s="61"/>
    </row>
    <row r="9" spans="1:472" s="5" customFormat="1" ht="15" hidden="1" customHeight="1" x14ac:dyDescent="0.25">
      <c r="A9" s="5">
        <v>2010</v>
      </c>
      <c r="B9" s="5" t="s">
        <v>11</v>
      </c>
      <c r="C9" s="5" t="s">
        <v>5</v>
      </c>
      <c r="D9" s="5">
        <v>149</v>
      </c>
      <c r="I9" s="61"/>
      <c r="J9" s="61"/>
      <c r="K9" s="61"/>
      <c r="L9" s="61"/>
      <c r="M9" s="61"/>
      <c r="N9" s="61"/>
      <c r="O9" s="61"/>
      <c r="P9" s="61"/>
      <c r="Q9" s="61"/>
      <c r="R9" s="61"/>
      <c r="S9" s="61"/>
      <c r="T9" s="61"/>
    </row>
    <row r="10" spans="1:472" s="5" customFormat="1" ht="15" hidden="1" customHeight="1" x14ac:dyDescent="0.25">
      <c r="A10" s="5">
        <v>2011</v>
      </c>
      <c r="B10" s="5" t="s">
        <v>12</v>
      </c>
      <c r="C10" s="5" t="s">
        <v>5</v>
      </c>
      <c r="D10" s="5">
        <v>117</v>
      </c>
      <c r="I10" s="61"/>
      <c r="J10" s="61"/>
      <c r="K10" s="61"/>
      <c r="L10" s="61"/>
      <c r="M10" s="61"/>
      <c r="N10" s="61"/>
      <c r="O10" s="61"/>
      <c r="P10" s="61"/>
      <c r="Q10" s="61"/>
      <c r="R10" s="61"/>
      <c r="S10" s="61"/>
      <c r="T10" s="61"/>
    </row>
    <row r="11" spans="1:472" s="5" customFormat="1" ht="15" hidden="1" customHeight="1" x14ac:dyDescent="0.25">
      <c r="A11" s="5">
        <v>2012</v>
      </c>
      <c r="B11" s="5" t="s">
        <v>13</v>
      </c>
      <c r="C11" s="5" t="s">
        <v>4</v>
      </c>
      <c r="D11" s="5">
        <v>162</v>
      </c>
      <c r="I11" s="61"/>
      <c r="J11" s="61"/>
      <c r="K11" s="61"/>
      <c r="L11" s="61"/>
      <c r="M11" s="61"/>
      <c r="N11" s="61"/>
      <c r="O11" s="61"/>
      <c r="P11" s="61"/>
      <c r="Q11" s="61"/>
      <c r="R11" s="61"/>
      <c r="S11" s="61"/>
      <c r="T11" s="61"/>
    </row>
    <row r="12" spans="1:472" s="5" customFormat="1" ht="15" hidden="1" customHeight="1" x14ac:dyDescent="0.25">
      <c r="A12" s="5">
        <v>2013</v>
      </c>
      <c r="B12" s="5" t="s">
        <v>14</v>
      </c>
      <c r="C12" s="5" t="s">
        <v>4</v>
      </c>
      <c r="D12" s="5">
        <v>112</v>
      </c>
      <c r="I12" s="61"/>
      <c r="J12" s="61"/>
      <c r="K12" s="61"/>
      <c r="L12" s="61"/>
      <c r="M12" s="61"/>
      <c r="N12" s="61"/>
      <c r="O12" s="61"/>
      <c r="P12" s="61"/>
      <c r="Q12" s="61"/>
      <c r="R12" s="61"/>
      <c r="S12" s="61"/>
      <c r="T12" s="61"/>
    </row>
    <row r="13" spans="1:472" s="5" customFormat="1" ht="15" hidden="1" customHeight="1" x14ac:dyDescent="0.25">
      <c r="A13" s="5">
        <v>2016</v>
      </c>
      <c r="B13" s="5" t="s">
        <v>1134</v>
      </c>
      <c r="C13" s="5" t="s">
        <v>257</v>
      </c>
      <c r="D13" s="5">
        <v>85</v>
      </c>
      <c r="I13" s="17"/>
      <c r="J13" s="17"/>
      <c r="K13" s="17"/>
      <c r="L13" s="17"/>
      <c r="M13" s="17"/>
      <c r="N13" s="17"/>
      <c r="O13" s="17"/>
      <c r="P13" s="17"/>
      <c r="Q13" s="17"/>
      <c r="R13" s="17"/>
      <c r="S13" s="17"/>
      <c r="T13" s="17"/>
    </row>
    <row r="14" spans="1:472" s="5" customFormat="1" ht="15" hidden="1" customHeight="1" x14ac:dyDescent="0.25">
      <c r="A14" s="5">
        <v>2018</v>
      </c>
      <c r="B14" s="5" t="s">
        <v>18</v>
      </c>
      <c r="C14" s="5" t="s">
        <v>3</v>
      </c>
      <c r="D14" s="5">
        <v>211</v>
      </c>
      <c r="F14" s="5" t="s">
        <v>87</v>
      </c>
      <c r="G14" s="5" t="s">
        <v>57</v>
      </c>
      <c r="I14" s="61" t="s">
        <v>37</v>
      </c>
      <c r="J14" s="61"/>
      <c r="K14" s="61" t="s">
        <v>37</v>
      </c>
      <c r="L14" s="61"/>
      <c r="M14" s="61" t="s">
        <v>37</v>
      </c>
      <c r="N14" s="61"/>
      <c r="O14" s="61" t="s">
        <v>37</v>
      </c>
      <c r="P14" s="61"/>
      <c r="Q14" s="61" t="s">
        <v>37</v>
      </c>
      <c r="R14" s="61"/>
      <c r="S14" s="61" t="s">
        <v>37</v>
      </c>
      <c r="T14" s="61"/>
    </row>
    <row r="15" spans="1:472" s="5" customFormat="1" ht="15" hidden="1" customHeight="1" x14ac:dyDescent="0.25">
      <c r="A15" s="5">
        <v>2017</v>
      </c>
      <c r="B15" s="5" t="s">
        <v>17</v>
      </c>
      <c r="C15" s="5" t="s">
        <v>4</v>
      </c>
      <c r="D15" s="5">
        <v>119</v>
      </c>
      <c r="F15" s="5" t="s">
        <v>56</v>
      </c>
      <c r="G15" s="5" t="s">
        <v>57</v>
      </c>
      <c r="I15" s="61" t="s">
        <v>36</v>
      </c>
      <c r="J15" s="61"/>
      <c r="K15" s="61" t="s">
        <v>36</v>
      </c>
      <c r="L15" s="61"/>
      <c r="M15" s="61" t="s">
        <v>37</v>
      </c>
      <c r="N15" s="61"/>
      <c r="O15" s="61" t="s">
        <v>37</v>
      </c>
      <c r="P15" s="61"/>
      <c r="Q15" s="61" t="s">
        <v>37</v>
      </c>
      <c r="R15" s="61"/>
      <c r="S15" s="61" t="s">
        <v>37</v>
      </c>
      <c r="T15" s="61"/>
    </row>
    <row r="16" spans="1:472" s="5" customFormat="1" ht="15" hidden="1" customHeight="1" x14ac:dyDescent="0.25">
      <c r="A16" s="5">
        <v>2022</v>
      </c>
      <c r="B16" s="5" t="s">
        <v>43</v>
      </c>
      <c r="C16" s="5" t="s">
        <v>4</v>
      </c>
      <c r="D16" s="5">
        <v>18</v>
      </c>
      <c r="F16" s="5" t="s">
        <v>57</v>
      </c>
      <c r="G16" s="5" t="s">
        <v>57</v>
      </c>
      <c r="I16" s="61"/>
      <c r="J16" s="61"/>
      <c r="K16" s="61"/>
      <c r="L16" s="61"/>
      <c r="M16" s="61" t="s">
        <v>66</v>
      </c>
      <c r="N16" s="61"/>
      <c r="O16" s="61" t="s">
        <v>66</v>
      </c>
      <c r="P16" s="61"/>
      <c r="Q16" s="61"/>
      <c r="R16" s="61"/>
      <c r="S16" s="61" t="s">
        <v>36</v>
      </c>
      <c r="T16" s="61"/>
      <c r="U16" s="5" t="s">
        <v>36</v>
      </c>
      <c r="W16" s="5" t="s">
        <v>37</v>
      </c>
    </row>
    <row r="17" spans="1:472" s="5" customFormat="1" ht="15" hidden="1" customHeight="1" x14ac:dyDescent="0.25">
      <c r="A17" s="5">
        <v>2015</v>
      </c>
      <c r="B17" s="5" t="s">
        <v>16</v>
      </c>
      <c r="C17" s="5" t="s">
        <v>4</v>
      </c>
      <c r="D17" s="5">
        <v>197</v>
      </c>
      <c r="F17" s="5" t="s">
        <v>59</v>
      </c>
      <c r="G17" s="5" t="s">
        <v>57</v>
      </c>
      <c r="I17" s="61" t="s">
        <v>36</v>
      </c>
      <c r="J17" s="61"/>
      <c r="K17" s="61" t="s">
        <v>36</v>
      </c>
      <c r="L17" s="61"/>
      <c r="M17" s="61" t="s">
        <v>36</v>
      </c>
      <c r="N17" s="61"/>
      <c r="O17" s="61" t="s">
        <v>36</v>
      </c>
      <c r="P17" s="61"/>
      <c r="Q17" s="61" t="s">
        <v>36</v>
      </c>
      <c r="R17" s="61"/>
      <c r="S17" s="61" t="s">
        <v>36</v>
      </c>
      <c r="T17" s="61"/>
      <c r="U17" s="5" t="s">
        <v>36</v>
      </c>
      <c r="V17" s="5" t="s">
        <v>36</v>
      </c>
      <c r="W17" s="5" t="s">
        <v>37</v>
      </c>
      <c r="X17" s="61" t="s">
        <v>37</v>
      </c>
      <c r="Y17" s="61"/>
      <c r="Z17" s="61" t="s">
        <v>37</v>
      </c>
      <c r="AA17" s="61"/>
      <c r="AB17" s="61" t="s">
        <v>37</v>
      </c>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1"/>
      <c r="DV17" s="61"/>
      <c r="DW17" s="61"/>
      <c r="DX17" s="61"/>
      <c r="DY17" s="61"/>
      <c r="DZ17" s="61"/>
      <c r="EA17" s="61"/>
      <c r="EB17" s="61"/>
      <c r="EC17" s="61"/>
      <c r="ED17" s="61"/>
      <c r="EE17" s="61"/>
      <c r="EF17" s="61"/>
      <c r="EG17" s="61"/>
      <c r="EH17" s="61"/>
      <c r="EI17" s="61"/>
      <c r="EJ17" s="61"/>
      <c r="EK17" s="61"/>
      <c r="EL17" s="61"/>
      <c r="EM17" s="61"/>
      <c r="EN17" s="61"/>
      <c r="EO17" s="61"/>
      <c r="EP17" s="61"/>
      <c r="EQ17" s="61"/>
      <c r="ER17" s="61"/>
      <c r="ES17" s="61"/>
      <c r="ET17" s="61"/>
      <c r="EU17" s="61"/>
      <c r="EV17" s="61"/>
      <c r="EW17" s="61"/>
      <c r="EX17" s="61"/>
      <c r="EY17" s="61"/>
      <c r="EZ17" s="61"/>
      <c r="FA17" s="61"/>
      <c r="FB17" s="61"/>
      <c r="FC17" s="61"/>
      <c r="FD17" s="61"/>
      <c r="FE17" s="61"/>
      <c r="FF17" s="61"/>
      <c r="FG17" s="61"/>
      <c r="FH17" s="61"/>
      <c r="FI17" s="61"/>
      <c r="FJ17" s="61"/>
      <c r="FK17" s="61"/>
      <c r="FL17" s="61"/>
      <c r="FM17" s="61"/>
      <c r="FN17" s="61"/>
      <c r="FO17" s="61"/>
      <c r="FP17" s="61"/>
      <c r="FQ17" s="61"/>
      <c r="FR17" s="61"/>
      <c r="FS17" s="61"/>
      <c r="FT17" s="61"/>
      <c r="FU17" s="61"/>
      <c r="FV17" s="61"/>
      <c r="FW17" s="61"/>
      <c r="FX17" s="61"/>
      <c r="FY17" s="61"/>
      <c r="FZ17" s="61"/>
      <c r="GA17" s="61"/>
      <c r="GB17" s="61"/>
      <c r="GC17" s="61"/>
      <c r="GD17" s="61"/>
      <c r="GE17" s="61"/>
      <c r="GF17" s="61"/>
      <c r="GG17" s="61"/>
      <c r="GH17" s="61"/>
      <c r="GI17" s="61"/>
      <c r="GJ17" s="61"/>
      <c r="GK17" s="61"/>
      <c r="GL17" s="61"/>
      <c r="GM17" s="61"/>
      <c r="GN17" s="61"/>
      <c r="GO17" s="61"/>
      <c r="GP17" s="61"/>
      <c r="GQ17" s="61"/>
      <c r="GR17" s="61"/>
      <c r="GS17" s="61"/>
      <c r="GT17" s="61"/>
      <c r="GU17" s="61"/>
      <c r="GV17" s="61"/>
      <c r="GW17" s="61"/>
      <c r="GX17" s="61"/>
      <c r="GY17" s="61"/>
      <c r="GZ17" s="61"/>
      <c r="HA17" s="61"/>
      <c r="HB17" s="61"/>
      <c r="HC17" s="61"/>
      <c r="HD17" s="61"/>
      <c r="HE17" s="61"/>
      <c r="HF17" s="61"/>
      <c r="HG17" s="61"/>
      <c r="HH17" s="61"/>
      <c r="HI17" s="61"/>
      <c r="HJ17" s="61"/>
      <c r="HK17" s="61"/>
      <c r="HL17" s="61"/>
      <c r="HM17" s="61"/>
      <c r="HN17" s="61"/>
      <c r="HO17" s="61"/>
      <c r="HP17" s="61"/>
      <c r="HQ17" s="61"/>
      <c r="HR17" s="61"/>
      <c r="HS17" s="61"/>
      <c r="HT17" s="61"/>
      <c r="HU17" s="61"/>
      <c r="HV17" s="61"/>
      <c r="HW17" s="61"/>
      <c r="HX17" s="61"/>
      <c r="HY17" s="61"/>
      <c r="HZ17" s="61"/>
      <c r="IA17" s="61"/>
      <c r="IB17" s="61"/>
      <c r="IC17" s="61"/>
      <c r="ID17" s="61"/>
      <c r="IE17" s="61"/>
      <c r="IF17" s="61"/>
      <c r="IG17" s="61"/>
      <c r="IH17" s="61"/>
      <c r="II17" s="61"/>
      <c r="IJ17" s="61"/>
      <c r="IK17" s="61"/>
      <c r="IL17" s="61"/>
      <c r="IM17" s="61"/>
      <c r="IN17" s="61"/>
      <c r="IO17" s="61"/>
      <c r="IP17" s="61"/>
      <c r="IQ17" s="61"/>
      <c r="IR17" s="61"/>
      <c r="IS17" s="61"/>
      <c r="IT17" s="61"/>
      <c r="IU17" s="61"/>
      <c r="IV17" s="61"/>
      <c r="IW17" s="61"/>
      <c r="IX17" s="61"/>
      <c r="IY17" s="61"/>
      <c r="IZ17" s="61"/>
      <c r="JA17" s="61"/>
      <c r="JB17" s="61"/>
      <c r="JC17" s="61"/>
      <c r="JD17" s="61"/>
      <c r="JE17" s="61"/>
      <c r="JF17" s="61"/>
      <c r="JG17" s="61"/>
      <c r="JH17" s="61"/>
      <c r="JI17" s="61"/>
      <c r="JJ17" s="61"/>
      <c r="JK17" s="61"/>
      <c r="JL17" s="61"/>
      <c r="JM17" s="61"/>
      <c r="JN17" s="61"/>
      <c r="JO17" s="61"/>
      <c r="JP17" s="61"/>
      <c r="JQ17" s="61"/>
      <c r="JR17" s="61"/>
      <c r="JS17" s="61"/>
      <c r="JT17" s="61"/>
      <c r="JU17" s="61"/>
      <c r="JV17" s="61"/>
      <c r="JW17" s="61"/>
      <c r="JX17" s="61"/>
      <c r="JY17" s="61"/>
      <c r="JZ17" s="61"/>
      <c r="KA17" s="61"/>
      <c r="KB17" s="61"/>
      <c r="KC17" s="61"/>
      <c r="KD17" s="61"/>
      <c r="KE17" s="61"/>
      <c r="KF17" s="61"/>
      <c r="KG17" s="61"/>
      <c r="KH17" s="61"/>
      <c r="KI17" s="61"/>
      <c r="KJ17" s="61"/>
      <c r="KK17" s="61"/>
      <c r="KL17" s="61"/>
      <c r="KM17" s="61"/>
      <c r="KN17" s="61"/>
      <c r="KO17" s="61"/>
      <c r="KP17" s="61"/>
      <c r="KQ17" s="61"/>
      <c r="KR17" s="61"/>
      <c r="KS17" s="61"/>
      <c r="KT17" s="61"/>
      <c r="KU17" s="61"/>
      <c r="KV17" s="61"/>
      <c r="KW17" s="61"/>
      <c r="KX17" s="61"/>
      <c r="KY17" s="61"/>
      <c r="KZ17" s="61"/>
      <c r="LA17" s="61"/>
      <c r="LB17" s="61"/>
      <c r="LC17" s="61"/>
      <c r="LD17" s="61"/>
      <c r="LE17" s="61"/>
      <c r="LF17" s="61"/>
      <c r="LG17" s="61"/>
      <c r="LH17" s="61"/>
      <c r="LI17" s="61"/>
      <c r="LJ17" s="61"/>
      <c r="LK17" s="61"/>
      <c r="LL17" s="61"/>
      <c r="LM17" s="61"/>
      <c r="LN17" s="61"/>
      <c r="LO17" s="61"/>
      <c r="LP17" s="61"/>
      <c r="LQ17" s="61"/>
      <c r="LR17" s="61"/>
      <c r="LS17" s="61"/>
      <c r="LT17" s="61"/>
      <c r="LU17" s="61"/>
      <c r="LV17" s="61"/>
      <c r="LW17" s="61"/>
      <c r="LX17" s="61"/>
      <c r="LY17" s="61"/>
      <c r="LZ17" s="61"/>
      <c r="MA17" s="61"/>
      <c r="MB17" s="61"/>
      <c r="MC17" s="61"/>
      <c r="MD17" s="61"/>
      <c r="ME17" s="61"/>
      <c r="MF17" s="61"/>
      <c r="MG17" s="61"/>
      <c r="MH17" s="61"/>
      <c r="MI17" s="61"/>
      <c r="MJ17" s="61"/>
      <c r="MK17" s="61"/>
      <c r="ML17" s="61"/>
      <c r="MM17" s="61"/>
      <c r="MN17" s="61"/>
      <c r="MO17" s="61"/>
      <c r="MP17" s="61"/>
      <c r="MQ17" s="61"/>
      <c r="MR17" s="61"/>
      <c r="MS17" s="61"/>
      <c r="MT17" s="61"/>
      <c r="MU17" s="61"/>
      <c r="MV17" s="61"/>
      <c r="MW17" s="61"/>
      <c r="MX17" s="61"/>
      <c r="MY17" s="61"/>
      <c r="MZ17" s="61"/>
      <c r="NA17" s="61"/>
      <c r="NB17" s="61"/>
      <c r="NC17" s="61"/>
      <c r="ND17" s="61"/>
      <c r="NE17" s="61"/>
      <c r="NF17" s="61"/>
      <c r="NG17" s="61"/>
      <c r="NH17" s="61"/>
      <c r="NI17" s="61"/>
      <c r="NJ17" s="61"/>
      <c r="NK17" s="61"/>
      <c r="NL17" s="61"/>
      <c r="NM17" s="61"/>
      <c r="NN17" s="61"/>
      <c r="NO17" s="61"/>
      <c r="NP17" s="61"/>
      <c r="NQ17" s="61"/>
      <c r="NR17" s="61"/>
      <c r="NS17" s="61"/>
      <c r="NT17" s="61"/>
      <c r="NU17" s="61"/>
      <c r="NV17" s="61"/>
      <c r="NW17" s="61"/>
      <c r="NX17" s="61"/>
      <c r="NY17" s="61"/>
      <c r="NZ17" s="61"/>
      <c r="OA17" s="61"/>
      <c r="OB17" s="61"/>
      <c r="OC17" s="61"/>
      <c r="OD17" s="61"/>
      <c r="OE17" s="61"/>
      <c r="OF17" s="61"/>
      <c r="OG17" s="61"/>
      <c r="OH17" s="61"/>
      <c r="OI17" s="61"/>
      <c r="OJ17" s="61"/>
      <c r="OK17" s="61"/>
      <c r="OL17" s="61"/>
      <c r="OM17" s="61"/>
      <c r="ON17" s="61"/>
      <c r="OO17" s="61"/>
      <c r="OP17" s="61"/>
      <c r="OQ17" s="61"/>
      <c r="OR17" s="61"/>
      <c r="OS17" s="61"/>
      <c r="OT17" s="61"/>
      <c r="OU17" s="61"/>
      <c r="OV17" s="61"/>
      <c r="OW17" s="61"/>
      <c r="OX17" s="61"/>
      <c r="OY17" s="61"/>
      <c r="OZ17" s="61"/>
      <c r="PA17" s="61"/>
      <c r="PB17" s="61"/>
      <c r="PC17" s="61"/>
      <c r="PD17" s="61"/>
      <c r="PE17" s="61"/>
      <c r="PF17" s="61"/>
      <c r="PG17" s="61"/>
      <c r="PH17" s="61"/>
      <c r="PI17" s="61"/>
      <c r="PJ17" s="61"/>
      <c r="PK17" s="61"/>
      <c r="PL17" s="61"/>
      <c r="PM17" s="61"/>
      <c r="PN17" s="61"/>
      <c r="PO17" s="61"/>
      <c r="PP17" s="61"/>
      <c r="PQ17" s="61"/>
      <c r="PR17" s="61"/>
      <c r="PS17" s="61"/>
      <c r="PT17" s="61"/>
      <c r="PU17" s="61"/>
      <c r="PV17" s="61"/>
      <c r="PW17" s="61"/>
      <c r="PX17" s="61"/>
      <c r="PY17" s="61"/>
      <c r="PZ17" s="61"/>
      <c r="QA17" s="61"/>
      <c r="QB17" s="61"/>
      <c r="QC17" s="61"/>
      <c r="QD17" s="61"/>
      <c r="QE17" s="61"/>
      <c r="QF17" s="61"/>
      <c r="QG17" s="61"/>
      <c r="QH17" s="61"/>
      <c r="QI17" s="61"/>
      <c r="QJ17" s="61"/>
      <c r="QK17" s="61"/>
      <c r="QL17" s="61"/>
      <c r="QM17" s="61"/>
      <c r="QN17" s="61"/>
      <c r="QO17" s="61"/>
      <c r="QP17" s="61"/>
      <c r="QQ17" s="61"/>
      <c r="QR17" s="61"/>
      <c r="QS17" s="61"/>
      <c r="QT17" s="61"/>
      <c r="QU17" s="61"/>
      <c r="QV17" s="61"/>
      <c r="QW17" s="61"/>
      <c r="QX17" s="61"/>
      <c r="QY17" s="61"/>
      <c r="QZ17" s="61"/>
      <c r="RA17" s="61"/>
      <c r="RB17" s="61"/>
      <c r="RC17" s="61"/>
      <c r="RD17" s="17"/>
    </row>
    <row r="18" spans="1:472" s="5" customFormat="1" ht="15" hidden="1" customHeight="1" x14ac:dyDescent="0.25">
      <c r="A18" s="5">
        <v>2014</v>
      </c>
      <c r="B18" s="5" t="s">
        <v>15</v>
      </c>
      <c r="C18" s="5" t="s">
        <v>4</v>
      </c>
      <c r="D18" s="5">
        <v>258</v>
      </c>
      <c r="F18" s="5" t="s">
        <v>55</v>
      </c>
      <c r="G18" s="5" t="s">
        <v>55</v>
      </c>
      <c r="H18" s="5" t="s">
        <v>158</v>
      </c>
      <c r="I18" s="61" t="s">
        <v>36</v>
      </c>
      <c r="J18" s="61"/>
      <c r="K18" s="61" t="s">
        <v>36</v>
      </c>
      <c r="L18" s="61"/>
      <c r="M18" s="61" t="s">
        <v>36</v>
      </c>
      <c r="N18" s="61"/>
      <c r="O18" s="61" t="s">
        <v>36</v>
      </c>
      <c r="P18" s="61"/>
      <c r="Q18" s="61" t="s">
        <v>36</v>
      </c>
      <c r="R18" s="61"/>
      <c r="S18" s="61" t="s">
        <v>36</v>
      </c>
      <c r="T18" s="61"/>
      <c r="U18" s="5" t="s">
        <v>36</v>
      </c>
      <c r="V18" s="5" t="s">
        <v>36</v>
      </c>
      <c r="W18" s="5" t="s">
        <v>37</v>
      </c>
      <c r="X18" s="61" t="s">
        <v>37</v>
      </c>
      <c r="Y18" s="61"/>
      <c r="Z18" s="61" t="s">
        <v>37</v>
      </c>
      <c r="AA18" s="61"/>
      <c r="AB18" s="61" t="s">
        <v>37</v>
      </c>
      <c r="AC18" s="61"/>
      <c r="AD18" s="61" t="s">
        <v>37</v>
      </c>
      <c r="AE18" s="61"/>
      <c r="AF18" s="61" t="s">
        <v>37</v>
      </c>
      <c r="AG18" s="61"/>
      <c r="AH18" s="61" t="s">
        <v>37</v>
      </c>
      <c r="AI18" s="61"/>
      <c r="AJ18" s="61" t="s">
        <v>37</v>
      </c>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c r="EJ18" s="61"/>
      <c r="EK18" s="61"/>
      <c r="EL18" s="61"/>
      <c r="EM18" s="61"/>
      <c r="EN18" s="61"/>
      <c r="EO18" s="61"/>
      <c r="EP18" s="61"/>
      <c r="EQ18" s="61"/>
      <c r="ER18" s="61"/>
      <c r="ES18" s="61"/>
      <c r="ET18" s="61"/>
      <c r="EU18" s="61"/>
      <c r="EV18" s="61"/>
      <c r="EW18" s="61"/>
      <c r="EX18" s="61"/>
      <c r="EY18" s="61"/>
      <c r="EZ18" s="61"/>
      <c r="FA18" s="61"/>
      <c r="FB18" s="61"/>
      <c r="FC18" s="61"/>
      <c r="FD18" s="61"/>
      <c r="FE18" s="61"/>
      <c r="FF18" s="61"/>
      <c r="FG18" s="61"/>
      <c r="FH18" s="61"/>
      <c r="FI18" s="61"/>
      <c r="FJ18" s="61"/>
      <c r="FK18" s="61"/>
      <c r="FL18" s="61"/>
      <c r="FM18" s="61"/>
      <c r="FN18" s="61"/>
      <c r="FO18" s="61"/>
      <c r="FP18" s="61"/>
      <c r="FQ18" s="61"/>
      <c r="FR18" s="61"/>
      <c r="FS18" s="61"/>
      <c r="FT18" s="61"/>
      <c r="FU18" s="61"/>
      <c r="FV18" s="61"/>
      <c r="FW18" s="61"/>
      <c r="FX18" s="61"/>
      <c r="FY18" s="61"/>
      <c r="FZ18" s="61"/>
      <c r="GA18" s="61"/>
      <c r="GB18" s="61"/>
      <c r="GC18" s="61"/>
      <c r="GD18" s="61"/>
      <c r="GE18" s="61"/>
      <c r="GF18" s="61"/>
      <c r="GG18" s="61"/>
      <c r="GH18" s="61"/>
      <c r="GI18" s="61"/>
      <c r="GJ18" s="61"/>
      <c r="GK18" s="61"/>
      <c r="GL18" s="61"/>
      <c r="GM18" s="61"/>
      <c r="GN18" s="61"/>
      <c r="GO18" s="61"/>
      <c r="GP18" s="61"/>
      <c r="GQ18" s="61"/>
      <c r="GR18" s="61"/>
      <c r="GS18" s="61"/>
      <c r="GT18" s="61"/>
      <c r="GU18" s="61"/>
      <c r="GV18" s="61"/>
      <c r="GW18" s="61"/>
      <c r="GX18" s="61"/>
      <c r="GY18" s="61"/>
      <c r="GZ18" s="61"/>
      <c r="HA18" s="61"/>
      <c r="HB18" s="61"/>
      <c r="HC18" s="61"/>
      <c r="HD18" s="61"/>
      <c r="HE18" s="61"/>
      <c r="HF18" s="61"/>
      <c r="HG18" s="61"/>
      <c r="HH18" s="61"/>
      <c r="HI18" s="61"/>
      <c r="HJ18" s="61"/>
      <c r="HK18" s="61"/>
      <c r="HL18" s="61"/>
      <c r="HM18" s="61"/>
      <c r="HN18" s="61"/>
      <c r="HO18" s="61"/>
      <c r="HP18" s="61"/>
      <c r="HQ18" s="61"/>
      <c r="HR18" s="61"/>
      <c r="HS18" s="61"/>
      <c r="HT18" s="61"/>
      <c r="HU18" s="61"/>
      <c r="HV18" s="61"/>
      <c r="HW18" s="61"/>
      <c r="HX18" s="61"/>
      <c r="HY18" s="61"/>
      <c r="HZ18" s="61"/>
      <c r="IA18" s="61"/>
      <c r="IB18" s="61"/>
      <c r="IC18" s="61"/>
      <c r="ID18" s="61"/>
      <c r="IE18" s="61"/>
      <c r="IF18" s="61"/>
      <c r="IG18" s="61"/>
      <c r="IH18" s="61"/>
      <c r="II18" s="61"/>
      <c r="IJ18" s="61"/>
      <c r="IK18" s="61"/>
      <c r="IL18" s="61"/>
      <c r="IM18" s="61"/>
      <c r="IN18" s="61"/>
      <c r="IO18" s="61"/>
      <c r="IP18" s="61"/>
      <c r="IQ18" s="61"/>
      <c r="IR18" s="61"/>
      <c r="IS18" s="61"/>
      <c r="IT18" s="61"/>
      <c r="IU18" s="61"/>
      <c r="IV18" s="61"/>
      <c r="IW18" s="61"/>
      <c r="IX18" s="61"/>
      <c r="IY18" s="61"/>
      <c r="IZ18" s="61"/>
      <c r="JA18" s="61"/>
      <c r="JB18" s="61"/>
      <c r="JC18" s="61"/>
      <c r="JD18" s="61"/>
      <c r="JE18" s="61"/>
      <c r="JF18" s="61"/>
      <c r="JG18" s="61"/>
      <c r="JH18" s="61"/>
      <c r="JI18" s="61"/>
      <c r="JJ18" s="61"/>
      <c r="JK18" s="61"/>
      <c r="JL18" s="61"/>
      <c r="JM18" s="61"/>
      <c r="JN18" s="61"/>
      <c r="JO18" s="61"/>
      <c r="JP18" s="61"/>
      <c r="JQ18" s="61"/>
      <c r="JR18" s="61"/>
      <c r="JS18" s="61"/>
      <c r="JT18" s="61"/>
      <c r="JU18" s="61"/>
      <c r="JV18" s="61"/>
      <c r="JW18" s="61"/>
      <c r="JX18" s="61"/>
      <c r="JY18" s="61"/>
      <c r="JZ18" s="61"/>
      <c r="KA18" s="61"/>
      <c r="KB18" s="61"/>
      <c r="KC18" s="61"/>
      <c r="KD18" s="61"/>
      <c r="KE18" s="61"/>
      <c r="KF18" s="61"/>
      <c r="KG18" s="61"/>
      <c r="KH18" s="61"/>
      <c r="KI18" s="61"/>
      <c r="KJ18" s="61"/>
      <c r="KK18" s="61"/>
      <c r="KL18" s="61"/>
      <c r="KM18" s="61"/>
      <c r="KN18" s="61"/>
      <c r="KO18" s="61"/>
      <c r="KP18" s="61"/>
      <c r="KQ18" s="61"/>
      <c r="KR18" s="61"/>
      <c r="KS18" s="61"/>
      <c r="KT18" s="61"/>
      <c r="KU18" s="61"/>
      <c r="KV18" s="61"/>
      <c r="KW18" s="61"/>
      <c r="KX18" s="61"/>
      <c r="KY18" s="61"/>
      <c r="KZ18" s="61"/>
      <c r="LA18" s="61"/>
      <c r="LB18" s="61"/>
      <c r="LC18" s="61"/>
      <c r="LD18" s="61"/>
      <c r="LE18" s="61"/>
      <c r="LF18" s="61"/>
      <c r="LG18" s="61"/>
      <c r="LH18" s="61"/>
      <c r="LI18" s="61"/>
      <c r="LJ18" s="61"/>
      <c r="LK18" s="61"/>
      <c r="LL18" s="61"/>
      <c r="LM18" s="61"/>
      <c r="LN18" s="61"/>
      <c r="LO18" s="61"/>
      <c r="LP18" s="61"/>
      <c r="LQ18" s="61"/>
      <c r="LR18" s="61"/>
      <c r="LS18" s="61"/>
      <c r="LT18" s="61"/>
      <c r="LU18" s="61"/>
      <c r="LV18" s="61"/>
      <c r="LW18" s="61"/>
      <c r="LX18" s="61"/>
      <c r="LY18" s="61"/>
      <c r="LZ18" s="61"/>
      <c r="MA18" s="61"/>
      <c r="MB18" s="61"/>
      <c r="MC18" s="61"/>
      <c r="MD18" s="61"/>
      <c r="ME18" s="61"/>
      <c r="MF18" s="61"/>
      <c r="MG18" s="61"/>
      <c r="MH18" s="61"/>
      <c r="MI18" s="61"/>
      <c r="MJ18" s="61"/>
      <c r="MK18" s="61"/>
      <c r="ML18" s="61"/>
      <c r="MM18" s="61"/>
      <c r="MN18" s="61"/>
      <c r="MO18" s="61"/>
      <c r="MP18" s="61"/>
      <c r="MQ18" s="61"/>
      <c r="MR18" s="61"/>
      <c r="MS18" s="61"/>
      <c r="MT18" s="61"/>
      <c r="MU18" s="61"/>
      <c r="MV18" s="61"/>
      <c r="MW18" s="61"/>
      <c r="MX18" s="61"/>
      <c r="MY18" s="61"/>
      <c r="MZ18" s="61"/>
      <c r="NA18" s="61"/>
      <c r="NB18" s="61"/>
      <c r="NC18" s="61"/>
      <c r="ND18" s="61"/>
      <c r="NE18" s="61"/>
      <c r="NF18" s="61"/>
      <c r="NG18" s="61"/>
      <c r="NH18" s="61"/>
      <c r="NI18" s="61"/>
      <c r="NJ18" s="61"/>
      <c r="NK18" s="61"/>
      <c r="NL18" s="61"/>
      <c r="NM18" s="61"/>
      <c r="NN18" s="61"/>
      <c r="NO18" s="61"/>
      <c r="NP18" s="61"/>
      <c r="NQ18" s="61"/>
      <c r="NR18" s="61"/>
      <c r="NS18" s="61"/>
      <c r="NT18" s="61"/>
      <c r="NU18" s="61"/>
      <c r="NV18" s="61"/>
      <c r="NW18" s="61"/>
      <c r="NX18" s="61"/>
      <c r="NY18" s="61"/>
      <c r="NZ18" s="61"/>
      <c r="OA18" s="61"/>
      <c r="OB18" s="61"/>
      <c r="OC18" s="61"/>
      <c r="OD18" s="61"/>
      <c r="OE18" s="61"/>
      <c r="OF18" s="61"/>
      <c r="OG18" s="61"/>
      <c r="OH18" s="61"/>
      <c r="OI18" s="61"/>
      <c r="OJ18" s="61"/>
      <c r="OK18" s="61"/>
      <c r="OL18" s="61"/>
      <c r="OM18" s="61"/>
      <c r="ON18" s="61"/>
      <c r="OO18" s="61"/>
      <c r="OP18" s="61"/>
      <c r="OQ18" s="61"/>
      <c r="OR18" s="61"/>
      <c r="OS18" s="61"/>
      <c r="OT18" s="61"/>
      <c r="OU18" s="61"/>
      <c r="OV18" s="61"/>
      <c r="OW18" s="61"/>
      <c r="OX18" s="61"/>
      <c r="OY18" s="61"/>
      <c r="OZ18" s="61"/>
      <c r="PA18" s="61"/>
      <c r="PB18" s="61"/>
      <c r="PC18" s="61"/>
      <c r="PD18" s="61"/>
      <c r="PE18" s="61"/>
      <c r="PF18" s="61"/>
      <c r="PG18" s="61"/>
      <c r="PH18" s="61"/>
      <c r="PI18" s="61"/>
      <c r="PJ18" s="61"/>
      <c r="PK18" s="61"/>
      <c r="PL18" s="61"/>
      <c r="PM18" s="61"/>
      <c r="PN18" s="61"/>
      <c r="PO18" s="61"/>
      <c r="PP18" s="61"/>
      <c r="PQ18" s="61"/>
      <c r="PR18" s="61"/>
      <c r="PS18" s="61"/>
      <c r="PT18" s="61"/>
      <c r="PU18" s="61"/>
      <c r="PV18" s="61"/>
      <c r="PW18" s="61"/>
      <c r="PX18" s="61"/>
      <c r="PY18" s="61"/>
      <c r="PZ18" s="61"/>
      <c r="QA18" s="61"/>
      <c r="QB18" s="61"/>
      <c r="QC18" s="61"/>
      <c r="QD18" s="61"/>
      <c r="QE18" s="61"/>
      <c r="QF18" s="61"/>
      <c r="QG18" s="61"/>
      <c r="QH18" s="61"/>
      <c r="QI18" s="61"/>
      <c r="QJ18" s="61"/>
      <c r="QK18" s="61"/>
      <c r="QL18" s="61"/>
      <c r="QM18" s="61"/>
      <c r="QN18" s="61"/>
      <c r="QO18" s="61"/>
      <c r="QP18" s="61"/>
      <c r="QQ18" s="61"/>
      <c r="QR18" s="61"/>
      <c r="QS18" s="61"/>
      <c r="QT18" s="61"/>
      <c r="QU18" s="61"/>
      <c r="QV18" s="61"/>
      <c r="QW18" s="61"/>
      <c r="QX18" s="61"/>
      <c r="QY18" s="61"/>
      <c r="QZ18" s="61"/>
      <c r="RA18" s="61"/>
      <c r="RB18" s="61"/>
      <c r="RC18" s="61"/>
      <c r="RD18" s="17"/>
    </row>
    <row r="19" spans="1:472" s="5" customFormat="1" ht="15" hidden="1" customHeight="1" x14ac:dyDescent="0.25">
      <c r="A19" s="5">
        <v>2020</v>
      </c>
      <c r="B19" s="5" t="s">
        <v>39</v>
      </c>
      <c r="C19" s="5" t="s">
        <v>3</v>
      </c>
      <c r="D19" s="5">
        <v>256</v>
      </c>
      <c r="F19" s="5" t="s">
        <v>60</v>
      </c>
      <c r="G19" s="5" t="s">
        <v>57</v>
      </c>
      <c r="H19" s="5" t="s">
        <v>157</v>
      </c>
      <c r="I19" s="61" t="s">
        <v>36</v>
      </c>
      <c r="J19" s="61"/>
      <c r="K19" s="61" t="s">
        <v>36</v>
      </c>
      <c r="L19" s="61"/>
      <c r="M19" s="61" t="s">
        <v>36</v>
      </c>
      <c r="N19" s="61"/>
      <c r="O19" s="61" t="s">
        <v>36</v>
      </c>
      <c r="P19" s="61"/>
      <c r="Q19" s="61" t="s">
        <v>36</v>
      </c>
      <c r="R19" s="61"/>
      <c r="S19" s="61" t="s">
        <v>36</v>
      </c>
      <c r="T19" s="61"/>
      <c r="U19" s="5" t="s">
        <v>36</v>
      </c>
      <c r="V19" s="5" t="s">
        <v>36</v>
      </c>
      <c r="W19" s="5" t="s">
        <v>36</v>
      </c>
      <c r="X19" s="61" t="s">
        <v>36</v>
      </c>
      <c r="Y19" s="61"/>
      <c r="Z19" s="61" t="s">
        <v>36</v>
      </c>
      <c r="AA19" s="61"/>
      <c r="AB19" s="61" t="s">
        <v>37</v>
      </c>
      <c r="AC19" s="61"/>
      <c r="AD19" s="61" t="s">
        <v>37</v>
      </c>
      <c r="AE19" s="61"/>
      <c r="AF19" s="61" t="s">
        <v>37</v>
      </c>
      <c r="AG19" s="61"/>
      <c r="AH19" s="61" t="s">
        <v>37</v>
      </c>
      <c r="AI19" s="61"/>
      <c r="AJ19" s="61" t="s">
        <v>37</v>
      </c>
      <c r="AK19" s="61"/>
      <c r="AL19" s="5" t="s">
        <v>37</v>
      </c>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c r="EJ19" s="61"/>
      <c r="EK19" s="61"/>
      <c r="EL19" s="61"/>
      <c r="EM19" s="61"/>
      <c r="EN19" s="61"/>
      <c r="EO19" s="61"/>
      <c r="EP19" s="61"/>
      <c r="EQ19" s="61"/>
      <c r="ER19" s="61"/>
      <c r="ES19" s="61"/>
      <c r="ET19" s="61"/>
      <c r="EU19" s="61"/>
      <c r="EV19" s="61"/>
      <c r="EW19" s="61"/>
      <c r="EX19" s="61"/>
      <c r="EY19" s="61"/>
      <c r="EZ19" s="61"/>
      <c r="FA19" s="61"/>
      <c r="FB19" s="61"/>
      <c r="FC19" s="61"/>
      <c r="FD19" s="61"/>
      <c r="FE19" s="61"/>
      <c r="FF19" s="61"/>
      <c r="FG19" s="61"/>
      <c r="FH19" s="61"/>
      <c r="FI19" s="61"/>
      <c r="FJ19" s="61"/>
      <c r="FK19" s="61"/>
      <c r="FL19" s="61"/>
      <c r="FM19" s="61"/>
      <c r="FN19" s="61"/>
      <c r="FO19" s="61"/>
      <c r="FP19" s="61"/>
      <c r="FQ19" s="61"/>
      <c r="FR19" s="61"/>
      <c r="FS19" s="61"/>
      <c r="FT19" s="61"/>
      <c r="FU19" s="61"/>
      <c r="FV19" s="61"/>
      <c r="FW19" s="61"/>
      <c r="FX19" s="61"/>
      <c r="FY19" s="61"/>
      <c r="FZ19" s="61"/>
      <c r="GA19" s="61"/>
      <c r="GB19" s="61"/>
      <c r="GC19" s="61"/>
      <c r="GD19" s="61"/>
      <c r="GE19" s="61"/>
      <c r="GF19" s="61"/>
      <c r="GG19" s="61"/>
      <c r="GH19" s="61"/>
      <c r="GI19" s="61"/>
      <c r="GJ19" s="61"/>
      <c r="GK19" s="61"/>
      <c r="GL19" s="61"/>
      <c r="GM19" s="61"/>
      <c r="GN19" s="61"/>
      <c r="GO19" s="61"/>
      <c r="GP19" s="61"/>
      <c r="GQ19" s="61"/>
      <c r="GR19" s="61"/>
      <c r="GS19" s="61"/>
      <c r="GT19" s="61"/>
      <c r="GU19" s="61"/>
      <c r="GV19" s="61"/>
      <c r="GW19" s="61"/>
      <c r="GX19" s="61"/>
      <c r="GY19" s="61"/>
      <c r="GZ19" s="61"/>
      <c r="HA19" s="61"/>
      <c r="HB19" s="61"/>
      <c r="HC19" s="61"/>
      <c r="HD19" s="61"/>
      <c r="HE19" s="61"/>
      <c r="HF19" s="61"/>
      <c r="HG19" s="61"/>
      <c r="HH19" s="61"/>
      <c r="HI19" s="61"/>
      <c r="HJ19" s="61"/>
      <c r="HK19" s="61"/>
      <c r="HL19" s="61"/>
      <c r="HM19" s="61"/>
      <c r="HN19" s="61"/>
      <c r="HO19" s="61"/>
      <c r="HP19" s="61"/>
      <c r="HQ19" s="61"/>
      <c r="HR19" s="61"/>
      <c r="HS19" s="61"/>
      <c r="HT19" s="61"/>
      <c r="HU19" s="61"/>
      <c r="HV19" s="61"/>
      <c r="HW19" s="61"/>
      <c r="HX19" s="61"/>
      <c r="HY19" s="61"/>
      <c r="HZ19" s="61"/>
      <c r="IA19" s="61"/>
      <c r="IB19" s="61"/>
      <c r="IC19" s="61"/>
      <c r="ID19" s="61"/>
      <c r="IE19" s="61"/>
      <c r="IF19" s="61"/>
      <c r="IG19" s="61"/>
      <c r="IH19" s="61"/>
      <c r="II19" s="61"/>
      <c r="IJ19" s="61"/>
      <c r="IK19" s="61"/>
      <c r="IL19" s="61"/>
      <c r="IM19" s="61"/>
      <c r="IN19" s="61"/>
      <c r="IO19" s="61"/>
      <c r="IP19" s="61"/>
      <c r="IQ19" s="61"/>
      <c r="IR19" s="61"/>
      <c r="IS19" s="61"/>
      <c r="IT19" s="61"/>
      <c r="IU19" s="61"/>
      <c r="IV19" s="61"/>
      <c r="IW19" s="61"/>
      <c r="IX19" s="61"/>
      <c r="IY19" s="61"/>
      <c r="IZ19" s="61"/>
      <c r="JA19" s="61"/>
      <c r="JB19" s="61"/>
      <c r="JC19" s="61"/>
      <c r="JD19" s="61"/>
      <c r="JE19" s="61"/>
      <c r="JF19" s="61"/>
      <c r="JG19" s="61"/>
      <c r="JH19" s="61"/>
      <c r="JI19" s="61"/>
      <c r="JJ19" s="61"/>
      <c r="JK19" s="61"/>
      <c r="JL19" s="61"/>
      <c r="JM19" s="61"/>
      <c r="JN19" s="61"/>
      <c r="JO19" s="61"/>
      <c r="JP19" s="61"/>
      <c r="JQ19" s="61"/>
      <c r="JR19" s="61"/>
      <c r="JS19" s="61"/>
      <c r="JT19" s="61"/>
      <c r="JU19" s="61"/>
      <c r="JV19" s="61"/>
      <c r="JW19" s="61"/>
      <c r="JX19" s="61"/>
      <c r="JY19" s="61"/>
      <c r="JZ19" s="61"/>
      <c r="KA19" s="61"/>
      <c r="KB19" s="61"/>
      <c r="KC19" s="61"/>
      <c r="KD19" s="61"/>
      <c r="KE19" s="61"/>
      <c r="KF19" s="61"/>
      <c r="KG19" s="61"/>
      <c r="KH19" s="61"/>
      <c r="KI19" s="61"/>
      <c r="KJ19" s="61"/>
      <c r="KK19" s="61"/>
      <c r="KL19" s="61"/>
      <c r="KM19" s="61"/>
      <c r="KN19" s="61"/>
      <c r="KO19" s="61"/>
      <c r="KP19" s="61"/>
      <c r="KQ19" s="61"/>
      <c r="KR19" s="61"/>
      <c r="KS19" s="61"/>
      <c r="KT19" s="61"/>
      <c r="KU19" s="61"/>
      <c r="KV19" s="61"/>
      <c r="KW19" s="61"/>
      <c r="KX19" s="61"/>
      <c r="KY19" s="61"/>
      <c r="KZ19" s="61"/>
      <c r="LA19" s="61"/>
      <c r="LB19" s="61"/>
      <c r="LC19" s="61"/>
      <c r="LD19" s="61"/>
      <c r="LE19" s="61"/>
      <c r="LF19" s="61"/>
      <c r="LG19" s="61"/>
      <c r="LH19" s="61"/>
      <c r="LI19" s="61"/>
      <c r="LJ19" s="61"/>
      <c r="LK19" s="61"/>
      <c r="LL19" s="61"/>
      <c r="LM19" s="61"/>
      <c r="LN19" s="61"/>
      <c r="LO19" s="61"/>
      <c r="LP19" s="61"/>
      <c r="LQ19" s="61"/>
      <c r="LR19" s="61"/>
      <c r="LS19" s="61"/>
      <c r="LT19" s="61"/>
      <c r="LU19" s="61"/>
      <c r="LV19" s="61"/>
      <c r="LW19" s="61"/>
      <c r="LX19" s="61"/>
      <c r="LY19" s="61"/>
      <c r="LZ19" s="61"/>
      <c r="MA19" s="61"/>
      <c r="MB19" s="61"/>
      <c r="MC19" s="61"/>
      <c r="MD19" s="61"/>
      <c r="ME19" s="61"/>
      <c r="MF19" s="61"/>
      <c r="MG19" s="61"/>
      <c r="MH19" s="61"/>
      <c r="MI19" s="61"/>
      <c r="MJ19" s="61"/>
      <c r="MK19" s="61"/>
      <c r="ML19" s="61"/>
      <c r="MM19" s="61"/>
      <c r="MN19" s="61"/>
      <c r="MO19" s="61"/>
      <c r="MP19" s="61"/>
      <c r="MQ19" s="61"/>
      <c r="MR19" s="61"/>
      <c r="MS19" s="61"/>
      <c r="MT19" s="61"/>
      <c r="MU19" s="61"/>
      <c r="MV19" s="61"/>
      <c r="MW19" s="61"/>
      <c r="MX19" s="61"/>
      <c r="MY19" s="61"/>
      <c r="MZ19" s="61"/>
      <c r="NA19" s="61"/>
      <c r="NB19" s="61"/>
      <c r="NC19" s="61"/>
      <c r="ND19" s="61"/>
      <c r="NE19" s="61"/>
      <c r="NF19" s="61"/>
      <c r="NG19" s="61"/>
      <c r="NH19" s="61"/>
      <c r="NI19" s="61"/>
      <c r="NJ19" s="61"/>
      <c r="NK19" s="61"/>
      <c r="NL19" s="61"/>
      <c r="NM19" s="61"/>
      <c r="NN19" s="61"/>
      <c r="NO19" s="61"/>
      <c r="NP19" s="61"/>
      <c r="NQ19" s="61"/>
      <c r="NR19" s="61"/>
      <c r="NS19" s="61"/>
      <c r="NT19" s="61"/>
      <c r="NU19" s="61"/>
      <c r="NV19" s="61"/>
      <c r="NW19" s="61"/>
      <c r="NX19" s="61"/>
      <c r="NY19" s="61"/>
      <c r="NZ19" s="61"/>
      <c r="OA19" s="61"/>
      <c r="OB19" s="61"/>
      <c r="OC19" s="61"/>
      <c r="OD19" s="61"/>
      <c r="OE19" s="61"/>
      <c r="OF19" s="61"/>
      <c r="OG19" s="61"/>
      <c r="OH19" s="61"/>
      <c r="OI19" s="61"/>
      <c r="OJ19" s="61"/>
      <c r="OK19" s="61"/>
      <c r="OL19" s="61"/>
      <c r="OM19" s="61"/>
      <c r="ON19" s="61"/>
      <c r="OO19" s="61"/>
      <c r="OP19" s="61"/>
      <c r="OQ19" s="61"/>
      <c r="OR19" s="61"/>
      <c r="OS19" s="61"/>
      <c r="OT19" s="61"/>
      <c r="OU19" s="61"/>
      <c r="OV19" s="61"/>
      <c r="OW19" s="61"/>
      <c r="OX19" s="61"/>
      <c r="OY19" s="61"/>
      <c r="OZ19" s="61"/>
      <c r="PA19" s="61"/>
      <c r="PB19" s="61"/>
      <c r="PC19" s="61"/>
      <c r="PD19" s="61"/>
      <c r="PE19" s="61"/>
      <c r="PF19" s="61"/>
      <c r="PG19" s="61"/>
      <c r="PH19" s="61"/>
      <c r="PI19" s="61"/>
      <c r="PJ19" s="61"/>
      <c r="PK19" s="61"/>
      <c r="PL19" s="61"/>
      <c r="PM19" s="61"/>
      <c r="PN19" s="61"/>
      <c r="PO19" s="61"/>
      <c r="PP19" s="61"/>
      <c r="PQ19" s="61"/>
      <c r="PR19" s="61"/>
      <c r="PS19" s="61"/>
      <c r="PT19" s="61"/>
      <c r="PU19" s="61"/>
      <c r="PV19" s="61"/>
      <c r="PW19" s="61"/>
      <c r="PX19" s="61"/>
      <c r="PY19" s="61"/>
      <c r="PZ19" s="61"/>
      <c r="QA19" s="61"/>
      <c r="QB19" s="61"/>
      <c r="QC19" s="61"/>
      <c r="QD19" s="61"/>
      <c r="QE19" s="61"/>
      <c r="QF19" s="61"/>
      <c r="QG19" s="61"/>
      <c r="QH19" s="61"/>
      <c r="QI19" s="61"/>
      <c r="QJ19" s="61"/>
      <c r="QK19" s="61"/>
      <c r="QL19" s="61"/>
      <c r="QM19" s="61"/>
      <c r="QN19" s="61"/>
      <c r="QO19" s="61"/>
      <c r="QP19" s="61"/>
      <c r="QQ19" s="61"/>
      <c r="QR19" s="61"/>
      <c r="QS19" s="61"/>
      <c r="QT19" s="61"/>
      <c r="QU19" s="61"/>
      <c r="QV19" s="61"/>
      <c r="QW19" s="61"/>
      <c r="QX19" s="61"/>
      <c r="QY19" s="61"/>
      <c r="QZ19" s="61"/>
      <c r="RA19" s="61"/>
      <c r="RB19" s="61"/>
      <c r="RC19" s="61"/>
      <c r="RD19" s="17"/>
    </row>
    <row r="20" spans="1:472" s="5" customFormat="1" ht="18.75" hidden="1" customHeight="1" x14ac:dyDescent="0.25">
      <c r="A20" s="5">
        <v>2019</v>
      </c>
      <c r="B20" s="5" t="s">
        <v>19</v>
      </c>
      <c r="C20" s="5" t="s">
        <v>4</v>
      </c>
      <c r="D20" s="5">
        <v>211</v>
      </c>
      <c r="F20" s="5" t="s">
        <v>61</v>
      </c>
      <c r="G20" s="5" t="s">
        <v>178</v>
      </c>
      <c r="H20" s="5" t="s">
        <v>156</v>
      </c>
      <c r="I20" s="61" t="s">
        <v>66</v>
      </c>
      <c r="J20" s="61"/>
      <c r="K20" s="61" t="s">
        <v>66</v>
      </c>
      <c r="L20" s="61"/>
      <c r="M20" s="61" t="s">
        <v>38</v>
      </c>
      <c r="N20" s="61"/>
      <c r="O20" s="61" t="s">
        <v>38</v>
      </c>
      <c r="P20" s="61"/>
      <c r="Q20" s="61" t="s">
        <v>38</v>
      </c>
      <c r="R20" s="61"/>
      <c r="S20" s="61" t="s">
        <v>38</v>
      </c>
      <c r="T20" s="61"/>
      <c r="U20" s="5" t="s">
        <v>36</v>
      </c>
      <c r="V20" s="5" t="s">
        <v>36</v>
      </c>
      <c r="W20" s="5" t="s">
        <v>36</v>
      </c>
      <c r="X20" s="61" t="s">
        <v>36</v>
      </c>
      <c r="Y20" s="61"/>
      <c r="Z20" s="61" t="s">
        <v>36</v>
      </c>
      <c r="AA20" s="61"/>
      <c r="AB20" s="61" t="s">
        <v>36</v>
      </c>
      <c r="AC20" s="61"/>
      <c r="AD20" s="61" t="s">
        <v>37</v>
      </c>
      <c r="AE20" s="61"/>
      <c r="AF20" s="61" t="s">
        <v>37</v>
      </c>
      <c r="AG20" s="61"/>
      <c r="AH20" s="61" t="s">
        <v>37</v>
      </c>
      <c r="AI20" s="61"/>
      <c r="AJ20" s="61" t="s">
        <v>37</v>
      </c>
      <c r="AK20" s="61"/>
      <c r="AL20" s="61" t="s">
        <v>37</v>
      </c>
      <c r="AM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c r="HS20" s="61"/>
      <c r="HT20" s="61"/>
      <c r="HU20" s="61"/>
      <c r="HV20" s="61"/>
      <c r="HW20" s="61"/>
      <c r="HX20" s="61"/>
      <c r="HY20" s="61"/>
      <c r="HZ20" s="61"/>
      <c r="IA20" s="61"/>
      <c r="IB20" s="61"/>
      <c r="IC20" s="61"/>
      <c r="ID20" s="61"/>
      <c r="IE20" s="61"/>
      <c r="IF20" s="61"/>
      <c r="IG20" s="61"/>
      <c r="IH20" s="61"/>
      <c r="II20" s="61"/>
      <c r="IJ20" s="61"/>
      <c r="IK20" s="61"/>
      <c r="IL20" s="61"/>
      <c r="IM20" s="61"/>
      <c r="IN20" s="61"/>
      <c r="IO20" s="61"/>
      <c r="IP20" s="61"/>
      <c r="IQ20" s="61"/>
      <c r="IR20" s="61"/>
      <c r="IS20" s="61"/>
      <c r="IT20" s="61"/>
      <c r="IU20" s="61"/>
      <c r="IV20" s="61"/>
      <c r="IW20" s="61"/>
      <c r="IX20" s="61"/>
      <c r="IY20" s="61"/>
      <c r="IZ20" s="61"/>
      <c r="JA20" s="61"/>
      <c r="JB20" s="61"/>
      <c r="JC20" s="61"/>
      <c r="JD20" s="61"/>
      <c r="JE20" s="61"/>
      <c r="JF20" s="61"/>
      <c r="JG20" s="61"/>
      <c r="JH20" s="61"/>
      <c r="JI20" s="61"/>
      <c r="JJ20" s="61"/>
      <c r="JK20" s="61"/>
      <c r="JL20" s="61"/>
      <c r="JM20" s="61"/>
      <c r="JN20" s="61"/>
      <c r="JO20" s="61"/>
      <c r="JP20" s="61"/>
      <c r="JQ20" s="61"/>
      <c r="JR20" s="61"/>
      <c r="JS20" s="61"/>
      <c r="JT20" s="61"/>
      <c r="JU20" s="61"/>
      <c r="JV20" s="61"/>
      <c r="JW20" s="61"/>
      <c r="JX20" s="61"/>
      <c r="JY20" s="61"/>
      <c r="JZ20" s="61"/>
      <c r="KA20" s="61"/>
      <c r="KB20" s="61"/>
      <c r="KC20" s="61"/>
      <c r="KD20" s="61"/>
      <c r="KE20" s="61"/>
      <c r="KF20" s="61"/>
      <c r="KG20" s="61"/>
      <c r="KH20" s="61"/>
      <c r="KI20" s="61"/>
      <c r="KJ20" s="61"/>
      <c r="KK20" s="61"/>
      <c r="KL20" s="61"/>
      <c r="KM20" s="61"/>
      <c r="KN20" s="61"/>
      <c r="KO20" s="61"/>
      <c r="KP20" s="61"/>
      <c r="KQ20" s="61"/>
      <c r="KR20" s="61"/>
      <c r="KS20" s="61"/>
      <c r="KT20" s="61"/>
      <c r="KU20" s="61"/>
      <c r="KV20" s="61"/>
      <c r="KW20" s="61"/>
      <c r="KX20" s="61"/>
      <c r="KY20" s="61"/>
      <c r="KZ20" s="61"/>
      <c r="LA20" s="61"/>
      <c r="LB20" s="61"/>
      <c r="LC20" s="61"/>
      <c r="LD20" s="61"/>
      <c r="LE20" s="61"/>
      <c r="LF20" s="61"/>
      <c r="LG20" s="61"/>
      <c r="LH20" s="61"/>
      <c r="LI20" s="61"/>
      <c r="LJ20" s="61"/>
      <c r="LK20" s="61"/>
      <c r="LL20" s="61"/>
      <c r="LM20" s="61"/>
      <c r="LN20" s="61"/>
      <c r="LO20" s="61"/>
      <c r="LP20" s="61"/>
      <c r="LQ20" s="61"/>
      <c r="LR20" s="61"/>
      <c r="LS20" s="61"/>
      <c r="LT20" s="61"/>
      <c r="LU20" s="61"/>
      <c r="LV20" s="61"/>
      <c r="LW20" s="61"/>
      <c r="LX20" s="61"/>
      <c r="LY20" s="61"/>
      <c r="LZ20" s="61"/>
      <c r="MA20" s="61"/>
      <c r="MB20" s="61"/>
      <c r="MC20" s="61"/>
      <c r="MD20" s="61"/>
      <c r="ME20" s="61"/>
      <c r="MF20" s="61"/>
      <c r="MG20" s="61"/>
      <c r="MH20" s="61"/>
      <c r="MI20" s="61"/>
      <c r="MJ20" s="61"/>
      <c r="MK20" s="61"/>
      <c r="ML20" s="61"/>
      <c r="MM20" s="61"/>
      <c r="MN20" s="61"/>
      <c r="MO20" s="61"/>
      <c r="MP20" s="61"/>
      <c r="MQ20" s="61"/>
      <c r="MR20" s="61"/>
      <c r="MS20" s="61"/>
      <c r="MT20" s="61"/>
      <c r="MU20" s="61"/>
      <c r="MV20" s="61"/>
      <c r="MW20" s="61"/>
      <c r="MX20" s="61"/>
      <c r="MY20" s="61"/>
      <c r="MZ20" s="61"/>
      <c r="NA20" s="61"/>
      <c r="NB20" s="61"/>
      <c r="NC20" s="61"/>
      <c r="ND20" s="61"/>
      <c r="NE20" s="61"/>
      <c r="NF20" s="61"/>
      <c r="NG20" s="61"/>
      <c r="NH20" s="61"/>
      <c r="NI20" s="61"/>
      <c r="NJ20" s="61"/>
      <c r="NK20" s="61"/>
      <c r="NL20" s="61"/>
      <c r="NM20" s="61"/>
      <c r="NN20" s="61"/>
      <c r="NO20" s="61"/>
      <c r="NP20" s="61"/>
      <c r="NQ20" s="61"/>
      <c r="NR20" s="61"/>
      <c r="NS20" s="61"/>
      <c r="NT20" s="61"/>
      <c r="NU20" s="61"/>
      <c r="NV20" s="61"/>
      <c r="NW20" s="61"/>
      <c r="NX20" s="61"/>
      <c r="NY20" s="61"/>
      <c r="NZ20" s="61"/>
      <c r="OA20" s="61"/>
      <c r="OB20" s="61"/>
      <c r="OC20" s="61"/>
      <c r="OD20" s="61"/>
      <c r="OE20" s="61"/>
      <c r="OF20" s="61"/>
      <c r="OG20" s="61"/>
      <c r="OH20" s="61"/>
      <c r="OI20" s="61"/>
      <c r="OJ20" s="61"/>
      <c r="OK20" s="61"/>
      <c r="OL20" s="61"/>
      <c r="OM20" s="61"/>
      <c r="ON20" s="61"/>
      <c r="OO20" s="61"/>
      <c r="OP20" s="61"/>
      <c r="OQ20" s="61"/>
      <c r="OR20" s="61"/>
      <c r="OS20" s="61"/>
      <c r="OT20" s="61"/>
      <c r="OU20" s="61"/>
      <c r="OV20" s="61"/>
      <c r="OW20" s="61"/>
      <c r="OX20" s="61"/>
      <c r="OY20" s="61"/>
      <c r="OZ20" s="61"/>
      <c r="PA20" s="61"/>
      <c r="PB20" s="61"/>
      <c r="PC20" s="61"/>
      <c r="PD20" s="61"/>
      <c r="PE20" s="61"/>
      <c r="PF20" s="61"/>
      <c r="PG20" s="61"/>
      <c r="PH20" s="61"/>
      <c r="PI20" s="61"/>
      <c r="PJ20" s="61"/>
      <c r="PK20" s="61"/>
      <c r="PL20" s="61"/>
      <c r="PM20" s="61"/>
      <c r="PN20" s="61"/>
      <c r="PO20" s="61"/>
      <c r="PP20" s="61"/>
      <c r="PQ20" s="61"/>
      <c r="PR20" s="61"/>
      <c r="PS20" s="61"/>
      <c r="PT20" s="61"/>
      <c r="PU20" s="61"/>
      <c r="PV20" s="61"/>
      <c r="PW20" s="61"/>
      <c r="PX20" s="61"/>
      <c r="PY20" s="61"/>
      <c r="PZ20" s="61"/>
      <c r="QA20" s="61"/>
      <c r="QB20" s="61"/>
      <c r="QC20" s="61"/>
      <c r="QD20" s="61"/>
      <c r="QE20" s="61"/>
      <c r="QF20" s="61"/>
      <c r="QG20" s="61"/>
      <c r="QH20" s="61"/>
      <c r="QI20" s="61"/>
      <c r="QJ20" s="61"/>
      <c r="QK20" s="61"/>
      <c r="QL20" s="61"/>
      <c r="QM20" s="61"/>
      <c r="QN20" s="61"/>
      <c r="QO20" s="61"/>
      <c r="QP20" s="61"/>
      <c r="QQ20" s="61"/>
      <c r="QR20" s="61"/>
      <c r="QS20" s="61"/>
      <c r="QT20" s="61"/>
      <c r="QU20" s="61"/>
      <c r="QV20" s="61"/>
      <c r="QW20" s="61"/>
      <c r="QX20" s="61"/>
      <c r="QY20" s="61"/>
      <c r="QZ20" s="61"/>
      <c r="RA20" s="61"/>
      <c r="RB20" s="61"/>
      <c r="RC20" s="61"/>
      <c r="RD20" s="17"/>
    </row>
    <row r="21" spans="1:472" s="5" customFormat="1" ht="15" hidden="1" customHeight="1" x14ac:dyDescent="0.25">
      <c r="A21" s="5">
        <v>2024</v>
      </c>
      <c r="B21" s="5" t="s">
        <v>44</v>
      </c>
      <c r="C21" s="5" t="s">
        <v>3</v>
      </c>
      <c r="D21" s="5">
        <v>117</v>
      </c>
      <c r="E21" s="13"/>
      <c r="F21" s="5" t="s">
        <v>58</v>
      </c>
      <c r="G21" s="5" t="s">
        <v>57</v>
      </c>
      <c r="H21" s="5" t="s">
        <v>153</v>
      </c>
      <c r="I21" s="62"/>
      <c r="J21" s="63"/>
      <c r="K21" s="62"/>
      <c r="L21" s="63"/>
      <c r="M21" s="62"/>
      <c r="N21" s="63"/>
      <c r="O21" s="62"/>
      <c r="P21" s="63"/>
      <c r="Q21" s="62"/>
      <c r="R21" s="63"/>
      <c r="S21" s="62" t="s">
        <v>66</v>
      </c>
      <c r="T21" s="63"/>
      <c r="U21" s="5" t="s">
        <v>66</v>
      </c>
      <c r="V21" s="5" t="s">
        <v>38</v>
      </c>
      <c r="W21" s="5" t="s">
        <v>38</v>
      </c>
      <c r="X21" s="62" t="s">
        <v>36</v>
      </c>
      <c r="Y21" s="63"/>
      <c r="Z21" s="62" t="s">
        <v>36</v>
      </c>
      <c r="AA21" s="63"/>
      <c r="AB21" s="62" t="s">
        <v>36</v>
      </c>
      <c r="AC21" s="63"/>
      <c r="AD21" s="62" t="s">
        <v>36</v>
      </c>
      <c r="AE21" s="63"/>
      <c r="AF21" s="62" t="s">
        <v>36</v>
      </c>
      <c r="AG21" s="63"/>
      <c r="AH21" s="62" t="s">
        <v>36</v>
      </c>
      <c r="AI21" s="63"/>
      <c r="AJ21" s="62" t="s">
        <v>36</v>
      </c>
      <c r="AK21" s="63"/>
      <c r="AL21" s="62" t="s">
        <v>36</v>
      </c>
      <c r="AM21" s="63"/>
      <c r="AN21" s="62" t="s">
        <v>37</v>
      </c>
      <c r="AO21" s="63"/>
      <c r="AP21" s="62" t="s">
        <v>37</v>
      </c>
      <c r="AQ21" s="63"/>
      <c r="AR21" s="62" t="s">
        <v>37</v>
      </c>
      <c r="AS21" s="63"/>
      <c r="AT21" s="62" t="s">
        <v>37</v>
      </c>
      <c r="AU21" s="63"/>
      <c r="AV21" s="62"/>
      <c r="AW21" s="63"/>
      <c r="AX21" s="62"/>
      <c r="AY21" s="63"/>
      <c r="AZ21" s="62"/>
      <c r="BA21" s="63"/>
      <c r="BB21" s="62"/>
      <c r="BC21" s="63"/>
      <c r="BD21" s="62"/>
      <c r="BE21" s="63"/>
      <c r="BF21" s="62"/>
      <c r="BG21" s="63"/>
      <c r="BH21" s="62"/>
      <c r="BI21" s="63"/>
      <c r="BJ21" s="62"/>
      <c r="BK21" s="63"/>
      <c r="BL21" s="62"/>
      <c r="BM21" s="63"/>
      <c r="BN21" s="62"/>
      <c r="BO21" s="63"/>
      <c r="BP21" s="62"/>
      <c r="BQ21" s="63"/>
      <c r="BR21" s="62"/>
      <c r="BS21" s="63"/>
      <c r="BT21" s="62"/>
      <c r="BU21" s="63"/>
      <c r="BV21" s="62"/>
      <c r="BW21" s="63"/>
      <c r="BX21" s="62"/>
      <c r="BY21" s="63"/>
      <c r="BZ21" s="62"/>
      <c r="CA21" s="63"/>
      <c r="CB21" s="62"/>
      <c r="CC21" s="63"/>
      <c r="CD21" s="62"/>
      <c r="CE21" s="63"/>
      <c r="CF21" s="62"/>
      <c r="CG21" s="63"/>
      <c r="CH21" s="62"/>
      <c r="CI21" s="63"/>
      <c r="CJ21" s="62"/>
      <c r="CK21" s="63"/>
      <c r="CL21" s="62"/>
      <c r="CM21" s="63"/>
      <c r="CN21" s="62"/>
      <c r="CO21" s="63"/>
      <c r="CP21" s="62"/>
      <c r="CQ21" s="63"/>
      <c r="CR21" s="62"/>
      <c r="CS21" s="63"/>
      <c r="CT21" s="62"/>
      <c r="CU21" s="63"/>
      <c r="CV21" s="62"/>
      <c r="CW21" s="63"/>
      <c r="CX21" s="62"/>
      <c r="CY21" s="63"/>
      <c r="CZ21" s="62"/>
      <c r="DA21" s="63"/>
      <c r="DB21" s="62"/>
      <c r="DC21" s="63"/>
      <c r="DD21" s="62"/>
      <c r="DE21" s="63"/>
      <c r="DF21" s="62"/>
      <c r="DG21" s="63"/>
      <c r="DH21" s="62"/>
      <c r="DI21" s="63"/>
      <c r="DJ21" s="62"/>
      <c r="DK21" s="63"/>
      <c r="DL21" s="62"/>
      <c r="DM21" s="63"/>
      <c r="DN21" s="62"/>
      <c r="DO21" s="63"/>
      <c r="DP21" s="62"/>
      <c r="DQ21" s="63"/>
      <c r="DR21" s="62"/>
      <c r="DS21" s="63"/>
      <c r="DT21" s="62"/>
      <c r="DU21" s="63"/>
      <c r="DV21" s="62"/>
      <c r="DW21" s="63"/>
      <c r="DX21" s="62"/>
      <c r="DY21" s="63"/>
      <c r="DZ21" s="62"/>
      <c r="EA21" s="63"/>
      <c r="EB21" s="62"/>
      <c r="EC21" s="63"/>
      <c r="ED21" s="62"/>
      <c r="EE21" s="63"/>
      <c r="EF21" s="62"/>
      <c r="EG21" s="63"/>
      <c r="EH21" s="62"/>
      <c r="EI21" s="63"/>
      <c r="EJ21" s="62"/>
      <c r="EK21" s="63"/>
      <c r="EL21" s="62"/>
      <c r="EM21" s="63"/>
      <c r="EN21" s="62"/>
      <c r="EO21" s="63"/>
      <c r="EP21" s="62"/>
      <c r="EQ21" s="63"/>
      <c r="ER21" s="62"/>
      <c r="ES21" s="63"/>
      <c r="ET21" s="62"/>
      <c r="EU21" s="63"/>
      <c r="EV21" s="62"/>
      <c r="EW21" s="63"/>
      <c r="EX21" s="62"/>
      <c r="EY21" s="63"/>
      <c r="EZ21" s="62"/>
      <c r="FA21" s="63"/>
      <c r="FB21" s="62"/>
      <c r="FC21" s="63"/>
      <c r="FD21" s="62"/>
      <c r="FE21" s="63"/>
      <c r="FF21" s="62"/>
      <c r="FG21" s="63"/>
      <c r="FH21" s="62"/>
      <c r="FI21" s="63"/>
      <c r="FJ21" s="62"/>
      <c r="FK21" s="63"/>
      <c r="FL21" s="62"/>
      <c r="FM21" s="63"/>
      <c r="FN21" s="62"/>
      <c r="FO21" s="63"/>
      <c r="FP21" s="62"/>
      <c r="FQ21" s="63"/>
      <c r="FR21" s="62"/>
      <c r="FS21" s="63"/>
      <c r="FT21" s="62"/>
      <c r="FU21" s="63"/>
      <c r="FV21" s="62"/>
      <c r="FW21" s="63"/>
      <c r="FX21" s="62"/>
      <c r="FY21" s="63"/>
      <c r="FZ21" s="62"/>
      <c r="GA21" s="63"/>
      <c r="GB21" s="62"/>
      <c r="GC21" s="63"/>
      <c r="GD21" s="62"/>
      <c r="GE21" s="63"/>
      <c r="GF21" s="62"/>
      <c r="GG21" s="63"/>
      <c r="GH21" s="62"/>
      <c r="GI21" s="63"/>
      <c r="GJ21" s="62"/>
      <c r="GK21" s="63"/>
      <c r="GL21" s="62"/>
      <c r="GM21" s="63"/>
      <c r="GN21" s="62"/>
      <c r="GO21" s="63"/>
      <c r="GP21" s="62"/>
      <c r="GQ21" s="63"/>
      <c r="GR21" s="62"/>
      <c r="GS21" s="63"/>
      <c r="GT21" s="62"/>
      <c r="GU21" s="63"/>
      <c r="GV21" s="62"/>
      <c r="GW21" s="63"/>
      <c r="GX21" s="62"/>
      <c r="GY21" s="63"/>
      <c r="GZ21" s="62"/>
      <c r="HA21" s="63"/>
      <c r="HB21" s="62"/>
      <c r="HC21" s="63"/>
      <c r="HD21" s="62"/>
      <c r="HE21" s="63"/>
      <c r="HF21" s="62"/>
      <c r="HG21" s="63"/>
      <c r="HH21" s="62"/>
      <c r="HI21" s="63"/>
      <c r="HJ21" s="62"/>
      <c r="HK21" s="63"/>
      <c r="HL21" s="62"/>
      <c r="HM21" s="63"/>
      <c r="HN21" s="62"/>
      <c r="HO21" s="63"/>
      <c r="HP21" s="62"/>
      <c r="HQ21" s="63"/>
      <c r="HR21" s="62"/>
      <c r="HS21" s="63"/>
      <c r="HT21" s="62"/>
      <c r="HU21" s="63"/>
      <c r="HV21" s="62"/>
      <c r="HW21" s="63"/>
      <c r="HX21" s="62"/>
      <c r="HY21" s="63"/>
      <c r="HZ21" s="62"/>
      <c r="IA21" s="63"/>
      <c r="IB21" s="62"/>
      <c r="IC21" s="63"/>
      <c r="ID21" s="62"/>
      <c r="IE21" s="63"/>
      <c r="IF21" s="62"/>
      <c r="IG21" s="63"/>
      <c r="IH21" s="62"/>
      <c r="II21" s="63"/>
      <c r="IJ21" s="62"/>
      <c r="IK21" s="63"/>
      <c r="IL21" s="62"/>
      <c r="IM21" s="63"/>
      <c r="IN21" s="62"/>
      <c r="IO21" s="63"/>
      <c r="IP21" s="62"/>
      <c r="IQ21" s="63"/>
      <c r="IR21" s="62"/>
      <c r="IS21" s="63"/>
      <c r="IT21" s="62"/>
      <c r="IU21" s="63"/>
      <c r="IV21" s="62"/>
      <c r="IW21" s="63"/>
      <c r="IX21" s="62"/>
      <c r="IY21" s="63"/>
      <c r="IZ21" s="62"/>
      <c r="JA21" s="63"/>
      <c r="JB21" s="62"/>
      <c r="JC21" s="63"/>
      <c r="JD21" s="62"/>
      <c r="JE21" s="63"/>
      <c r="JF21" s="62"/>
      <c r="JG21" s="63"/>
      <c r="JH21" s="62"/>
      <c r="JI21" s="63"/>
      <c r="JJ21" s="62"/>
      <c r="JK21" s="63"/>
      <c r="JL21" s="62"/>
      <c r="JM21" s="63"/>
      <c r="JN21" s="62"/>
      <c r="JO21" s="63"/>
      <c r="JP21" s="62"/>
      <c r="JQ21" s="63"/>
      <c r="JR21" s="62"/>
      <c r="JS21" s="63"/>
      <c r="JT21" s="62"/>
      <c r="JU21" s="63"/>
      <c r="JV21" s="62"/>
      <c r="JW21" s="63"/>
      <c r="JX21" s="62"/>
      <c r="JY21" s="63"/>
      <c r="JZ21" s="62"/>
      <c r="KA21" s="63"/>
      <c r="KB21" s="62"/>
      <c r="KC21" s="63"/>
      <c r="KD21" s="62"/>
      <c r="KE21" s="63"/>
      <c r="KF21" s="62"/>
      <c r="KG21" s="63"/>
      <c r="KH21" s="62"/>
      <c r="KI21" s="63"/>
      <c r="KJ21" s="62"/>
      <c r="KK21" s="63"/>
      <c r="KL21" s="62"/>
      <c r="KM21" s="63"/>
      <c r="KN21" s="62"/>
      <c r="KO21" s="63"/>
      <c r="KP21" s="62"/>
      <c r="KQ21" s="63"/>
      <c r="KR21" s="62"/>
      <c r="KS21" s="63"/>
      <c r="KT21" s="62"/>
      <c r="KU21" s="63"/>
      <c r="KV21" s="62"/>
      <c r="KW21" s="63"/>
      <c r="KX21" s="62"/>
      <c r="KY21" s="63"/>
      <c r="KZ21" s="62"/>
      <c r="LA21" s="63"/>
      <c r="LB21" s="62"/>
      <c r="LC21" s="63"/>
      <c r="LD21" s="62"/>
      <c r="LE21" s="63"/>
      <c r="LF21" s="62"/>
      <c r="LG21" s="63"/>
      <c r="LH21" s="62"/>
      <c r="LI21" s="63"/>
      <c r="LJ21" s="62"/>
      <c r="LK21" s="63"/>
      <c r="LL21" s="62"/>
      <c r="LM21" s="63"/>
      <c r="LN21" s="62"/>
      <c r="LO21" s="63"/>
      <c r="LP21" s="62"/>
      <c r="LQ21" s="63"/>
      <c r="LR21" s="62"/>
      <c r="LS21" s="63"/>
      <c r="LT21" s="62"/>
      <c r="LU21" s="63"/>
      <c r="LV21" s="62"/>
      <c r="LW21" s="63"/>
      <c r="LX21" s="62"/>
      <c r="LY21" s="63"/>
      <c r="LZ21" s="62"/>
      <c r="MA21" s="63"/>
      <c r="MB21" s="62"/>
      <c r="MC21" s="63"/>
      <c r="MD21" s="62"/>
      <c r="ME21" s="63"/>
      <c r="MF21" s="62"/>
      <c r="MG21" s="63"/>
      <c r="MH21" s="62"/>
      <c r="MI21" s="63"/>
      <c r="MJ21" s="62"/>
      <c r="MK21" s="63"/>
      <c r="ML21" s="62"/>
      <c r="MM21" s="63"/>
      <c r="MN21" s="62"/>
      <c r="MO21" s="63"/>
      <c r="MP21" s="62"/>
      <c r="MQ21" s="63"/>
      <c r="MR21" s="62"/>
      <c r="MS21" s="63"/>
      <c r="MT21" s="62"/>
      <c r="MU21" s="63"/>
      <c r="MV21" s="62"/>
      <c r="MW21" s="63"/>
      <c r="MX21" s="62"/>
      <c r="MY21" s="63"/>
      <c r="MZ21" s="62"/>
      <c r="NA21" s="63"/>
      <c r="NB21" s="62"/>
      <c r="NC21" s="63"/>
      <c r="ND21" s="62"/>
      <c r="NE21" s="63"/>
      <c r="NF21" s="62"/>
      <c r="NG21" s="63"/>
      <c r="NH21" s="62"/>
      <c r="NI21" s="63"/>
      <c r="NJ21" s="62"/>
      <c r="NK21" s="63"/>
      <c r="NL21" s="62"/>
      <c r="NM21" s="63"/>
      <c r="NN21" s="62"/>
      <c r="NO21" s="63"/>
      <c r="NP21" s="62"/>
      <c r="NQ21" s="63"/>
      <c r="NR21" s="62"/>
      <c r="NS21" s="63"/>
      <c r="NT21" s="62"/>
      <c r="NU21" s="63"/>
      <c r="NV21" s="62"/>
      <c r="NW21" s="63"/>
      <c r="NX21" s="62"/>
      <c r="NY21" s="63"/>
      <c r="NZ21" s="62"/>
      <c r="OA21" s="63"/>
      <c r="OB21" s="62"/>
      <c r="OC21" s="63"/>
      <c r="OD21" s="62"/>
      <c r="OE21" s="63"/>
      <c r="OF21" s="62"/>
      <c r="OG21" s="63"/>
      <c r="OH21" s="62"/>
      <c r="OI21" s="63"/>
      <c r="OJ21" s="62"/>
      <c r="OK21" s="63"/>
      <c r="OL21" s="62"/>
      <c r="OM21" s="63"/>
      <c r="ON21" s="62"/>
      <c r="OO21" s="63"/>
      <c r="OP21" s="62"/>
      <c r="OQ21" s="63"/>
      <c r="OR21" s="62"/>
      <c r="OS21" s="63"/>
      <c r="OT21" s="62"/>
      <c r="OU21" s="63"/>
      <c r="OV21" s="62"/>
      <c r="OW21" s="63"/>
      <c r="OX21" s="62"/>
      <c r="OY21" s="63"/>
      <c r="OZ21" s="62"/>
      <c r="PA21" s="63"/>
      <c r="PB21" s="62"/>
      <c r="PC21" s="63"/>
      <c r="PD21" s="62"/>
      <c r="PE21" s="63"/>
      <c r="PF21" s="62"/>
      <c r="PG21" s="63"/>
      <c r="PH21" s="62"/>
      <c r="PI21" s="63"/>
      <c r="PJ21" s="62"/>
      <c r="PK21" s="63"/>
      <c r="PL21" s="62"/>
      <c r="PM21" s="63"/>
      <c r="PN21" s="62"/>
      <c r="PO21" s="63"/>
      <c r="PP21" s="62"/>
      <c r="PQ21" s="63"/>
      <c r="PR21" s="62"/>
      <c r="PS21" s="63"/>
      <c r="PT21" s="62"/>
      <c r="PU21" s="63"/>
      <c r="PV21" s="62"/>
      <c r="PW21" s="63"/>
      <c r="PX21" s="62"/>
      <c r="PY21" s="63"/>
      <c r="PZ21" s="62"/>
      <c r="QA21" s="63"/>
      <c r="QB21" s="62"/>
      <c r="QC21" s="63"/>
      <c r="QD21" s="62"/>
      <c r="QE21" s="63"/>
      <c r="QF21" s="62"/>
      <c r="QG21" s="63"/>
      <c r="QH21" s="62"/>
      <c r="QI21" s="63"/>
      <c r="QJ21" s="62"/>
      <c r="QK21" s="63"/>
      <c r="QL21" s="62"/>
      <c r="QM21" s="63"/>
      <c r="QN21" s="62"/>
      <c r="QO21" s="63"/>
      <c r="QP21" s="62"/>
      <c r="QQ21" s="63"/>
      <c r="QR21" s="62"/>
      <c r="QS21" s="63"/>
      <c r="QT21" s="62"/>
      <c r="QU21" s="63"/>
      <c r="QV21" s="62"/>
      <c r="QW21" s="63"/>
      <c r="QX21" s="62"/>
      <c r="QY21" s="63"/>
      <c r="QZ21" s="62"/>
      <c r="RA21" s="63"/>
      <c r="RB21" s="62"/>
      <c r="RC21" s="63"/>
      <c r="RD21" s="31"/>
    </row>
    <row r="22" spans="1:472" s="5" customFormat="1" ht="15" hidden="1" customHeight="1" x14ac:dyDescent="0.25">
      <c r="A22" s="5">
        <v>2021</v>
      </c>
      <c r="B22" s="5" t="s">
        <v>41</v>
      </c>
      <c r="C22" s="5" t="s">
        <v>4</v>
      </c>
      <c r="D22" s="5">
        <v>136</v>
      </c>
      <c r="E22" s="13"/>
      <c r="F22" s="5" t="s">
        <v>56</v>
      </c>
      <c r="G22" s="5" t="s">
        <v>57</v>
      </c>
      <c r="H22" s="5" t="s">
        <v>154</v>
      </c>
      <c r="I22" s="62"/>
      <c r="J22" s="63"/>
      <c r="K22" s="62"/>
      <c r="L22" s="63"/>
      <c r="M22" s="62"/>
      <c r="N22" s="63"/>
      <c r="O22" s="62"/>
      <c r="P22" s="63"/>
      <c r="Q22" s="62"/>
      <c r="R22" s="63"/>
      <c r="S22" s="62" t="s">
        <v>66</v>
      </c>
      <c r="T22" s="63"/>
      <c r="U22" s="5" t="s">
        <v>66</v>
      </c>
      <c r="V22" s="5" t="s">
        <v>66</v>
      </c>
      <c r="W22" s="5" t="s">
        <v>66</v>
      </c>
      <c r="X22" s="62" t="s">
        <v>38</v>
      </c>
      <c r="Y22" s="63"/>
      <c r="Z22" s="62" t="s">
        <v>38</v>
      </c>
      <c r="AA22" s="63"/>
      <c r="AB22" s="62" t="s">
        <v>36</v>
      </c>
      <c r="AC22" s="63"/>
      <c r="AD22" s="62" t="s">
        <v>36</v>
      </c>
      <c r="AE22" s="63"/>
      <c r="AF22" s="62" t="s">
        <v>36</v>
      </c>
      <c r="AG22" s="63"/>
      <c r="AH22" s="62" t="s">
        <v>36</v>
      </c>
      <c r="AI22" s="63"/>
      <c r="AJ22" s="62" t="s">
        <v>36</v>
      </c>
      <c r="AK22" s="63"/>
      <c r="AL22" s="62" t="s">
        <v>36</v>
      </c>
      <c r="AM22" s="63"/>
      <c r="AN22" s="62" t="s">
        <v>36</v>
      </c>
      <c r="AO22" s="63"/>
      <c r="AP22" s="62" t="s">
        <v>37</v>
      </c>
      <c r="AQ22" s="63"/>
      <c r="AR22" s="62" t="s">
        <v>37</v>
      </c>
      <c r="AS22" s="63"/>
      <c r="AT22" s="62" t="s">
        <v>37</v>
      </c>
      <c r="AU22" s="63"/>
      <c r="AV22" s="62"/>
      <c r="AW22" s="63"/>
      <c r="AX22" s="62"/>
      <c r="AY22" s="63"/>
      <c r="AZ22" s="62"/>
      <c r="BA22" s="63"/>
      <c r="BB22" s="62"/>
      <c r="BC22" s="63"/>
      <c r="BD22" s="62"/>
      <c r="BE22" s="63"/>
      <c r="BF22" s="62"/>
      <c r="BG22" s="63"/>
      <c r="BH22" s="62"/>
      <c r="BI22" s="63"/>
      <c r="BJ22" s="62"/>
      <c r="BK22" s="63"/>
      <c r="BL22" s="62"/>
      <c r="BM22" s="63"/>
      <c r="BN22" s="62"/>
      <c r="BO22" s="63"/>
      <c r="BP22" s="62"/>
      <c r="BQ22" s="63"/>
      <c r="BR22" s="62"/>
      <c r="BS22" s="63"/>
      <c r="BT22" s="62"/>
      <c r="BU22" s="63"/>
      <c r="BV22" s="62"/>
      <c r="BW22" s="63"/>
      <c r="BX22" s="62"/>
      <c r="BY22" s="63"/>
      <c r="BZ22" s="62"/>
      <c r="CA22" s="63"/>
      <c r="CB22" s="62"/>
      <c r="CC22" s="63"/>
      <c r="CD22" s="62"/>
      <c r="CE22" s="63"/>
      <c r="CF22" s="62"/>
      <c r="CG22" s="63"/>
      <c r="CH22" s="62"/>
      <c r="CI22" s="63"/>
      <c r="CJ22" s="62"/>
      <c r="CK22" s="63"/>
      <c r="CL22" s="62"/>
      <c r="CM22" s="63"/>
      <c r="CN22" s="62"/>
      <c r="CO22" s="63"/>
      <c r="CP22" s="62"/>
      <c r="CQ22" s="63"/>
      <c r="CR22" s="62"/>
      <c r="CS22" s="63"/>
      <c r="CT22" s="62"/>
      <c r="CU22" s="63"/>
      <c r="CV22" s="62"/>
      <c r="CW22" s="63"/>
      <c r="CX22" s="62"/>
      <c r="CY22" s="63"/>
      <c r="CZ22" s="62"/>
      <c r="DA22" s="63"/>
      <c r="DB22" s="62"/>
      <c r="DC22" s="63"/>
      <c r="DD22" s="62"/>
      <c r="DE22" s="63"/>
      <c r="DF22" s="62"/>
      <c r="DG22" s="63"/>
      <c r="DH22" s="62"/>
      <c r="DI22" s="63"/>
      <c r="DJ22" s="62"/>
      <c r="DK22" s="63"/>
      <c r="DL22" s="62"/>
      <c r="DM22" s="63"/>
      <c r="DN22" s="62"/>
      <c r="DO22" s="63"/>
      <c r="DP22" s="62"/>
      <c r="DQ22" s="63"/>
      <c r="DR22" s="62"/>
      <c r="DS22" s="63"/>
      <c r="DT22" s="62"/>
      <c r="DU22" s="63"/>
      <c r="DV22" s="62"/>
      <c r="DW22" s="63"/>
      <c r="DX22" s="62"/>
      <c r="DY22" s="63"/>
      <c r="DZ22" s="62"/>
      <c r="EA22" s="63"/>
      <c r="EB22" s="62"/>
      <c r="EC22" s="63"/>
      <c r="ED22" s="62"/>
      <c r="EE22" s="63"/>
      <c r="EF22" s="62"/>
      <c r="EG22" s="63"/>
      <c r="EH22" s="62"/>
      <c r="EI22" s="63"/>
      <c r="EJ22" s="62"/>
      <c r="EK22" s="63"/>
      <c r="EL22" s="62"/>
      <c r="EM22" s="63"/>
      <c r="EN22" s="62"/>
      <c r="EO22" s="63"/>
      <c r="EP22" s="62"/>
      <c r="EQ22" s="63"/>
      <c r="ER22" s="62"/>
      <c r="ES22" s="63"/>
      <c r="ET22" s="62"/>
      <c r="EU22" s="63"/>
      <c r="EV22" s="62"/>
      <c r="EW22" s="63"/>
      <c r="EX22" s="62"/>
      <c r="EY22" s="63"/>
      <c r="EZ22" s="62"/>
      <c r="FA22" s="63"/>
      <c r="FB22" s="62"/>
      <c r="FC22" s="63"/>
      <c r="FD22" s="62"/>
      <c r="FE22" s="63"/>
      <c r="FF22" s="62"/>
      <c r="FG22" s="63"/>
      <c r="FH22" s="62"/>
      <c r="FI22" s="63"/>
      <c r="FJ22" s="62"/>
      <c r="FK22" s="63"/>
      <c r="FL22" s="62"/>
      <c r="FM22" s="63"/>
      <c r="FN22" s="62"/>
      <c r="FO22" s="63"/>
      <c r="FP22" s="62"/>
      <c r="FQ22" s="63"/>
      <c r="FR22" s="62"/>
      <c r="FS22" s="63"/>
      <c r="FT22" s="62"/>
      <c r="FU22" s="63"/>
      <c r="FV22" s="62"/>
      <c r="FW22" s="63"/>
      <c r="FX22" s="62"/>
      <c r="FY22" s="63"/>
      <c r="FZ22" s="62"/>
      <c r="GA22" s="63"/>
      <c r="GB22" s="62"/>
      <c r="GC22" s="63"/>
      <c r="GD22" s="62"/>
      <c r="GE22" s="63"/>
      <c r="GF22" s="62"/>
      <c r="GG22" s="63"/>
      <c r="GH22" s="62"/>
      <c r="GI22" s="63"/>
      <c r="GJ22" s="62"/>
      <c r="GK22" s="63"/>
      <c r="GL22" s="62"/>
      <c r="GM22" s="63"/>
      <c r="GN22" s="62"/>
      <c r="GO22" s="63"/>
      <c r="GP22" s="62"/>
      <c r="GQ22" s="63"/>
      <c r="GR22" s="62"/>
      <c r="GS22" s="63"/>
      <c r="GT22" s="62"/>
      <c r="GU22" s="63"/>
      <c r="GV22" s="62"/>
      <c r="GW22" s="63"/>
      <c r="GX22" s="62"/>
      <c r="GY22" s="63"/>
      <c r="GZ22" s="62"/>
      <c r="HA22" s="63"/>
      <c r="HB22" s="62"/>
      <c r="HC22" s="63"/>
      <c r="HD22" s="62"/>
      <c r="HE22" s="63"/>
      <c r="HF22" s="62"/>
      <c r="HG22" s="63"/>
      <c r="HH22" s="62"/>
      <c r="HI22" s="63"/>
      <c r="HJ22" s="62"/>
      <c r="HK22" s="63"/>
      <c r="HL22" s="62"/>
      <c r="HM22" s="63"/>
      <c r="HN22" s="62"/>
      <c r="HO22" s="63"/>
      <c r="HP22" s="62"/>
      <c r="HQ22" s="63"/>
      <c r="HR22" s="62"/>
      <c r="HS22" s="63"/>
      <c r="HT22" s="62"/>
      <c r="HU22" s="63"/>
      <c r="HV22" s="62"/>
      <c r="HW22" s="63"/>
      <c r="HX22" s="62"/>
      <c r="HY22" s="63"/>
      <c r="HZ22" s="62"/>
      <c r="IA22" s="63"/>
      <c r="IB22" s="62"/>
      <c r="IC22" s="63"/>
      <c r="ID22" s="62"/>
      <c r="IE22" s="63"/>
      <c r="IF22" s="62"/>
      <c r="IG22" s="63"/>
      <c r="IH22" s="62"/>
      <c r="II22" s="63"/>
      <c r="IJ22" s="62"/>
      <c r="IK22" s="63"/>
      <c r="IL22" s="62"/>
      <c r="IM22" s="63"/>
      <c r="IN22" s="62"/>
      <c r="IO22" s="63"/>
      <c r="IP22" s="62"/>
      <c r="IQ22" s="63"/>
      <c r="IR22" s="62"/>
      <c r="IS22" s="63"/>
      <c r="IT22" s="62"/>
      <c r="IU22" s="63"/>
      <c r="IV22" s="62"/>
      <c r="IW22" s="63"/>
      <c r="IX22" s="62"/>
      <c r="IY22" s="63"/>
      <c r="IZ22" s="62"/>
      <c r="JA22" s="63"/>
      <c r="JB22" s="62"/>
      <c r="JC22" s="63"/>
      <c r="JD22" s="62"/>
      <c r="JE22" s="63"/>
      <c r="JF22" s="62"/>
      <c r="JG22" s="63"/>
      <c r="JH22" s="62"/>
      <c r="JI22" s="63"/>
      <c r="JJ22" s="62"/>
      <c r="JK22" s="63"/>
      <c r="JL22" s="62"/>
      <c r="JM22" s="63"/>
      <c r="JN22" s="62"/>
      <c r="JO22" s="63"/>
      <c r="JP22" s="62"/>
      <c r="JQ22" s="63"/>
      <c r="JR22" s="62"/>
      <c r="JS22" s="63"/>
      <c r="JT22" s="62"/>
      <c r="JU22" s="63"/>
      <c r="JV22" s="62"/>
      <c r="JW22" s="63"/>
      <c r="JX22" s="62"/>
      <c r="JY22" s="63"/>
      <c r="JZ22" s="62"/>
      <c r="KA22" s="63"/>
      <c r="KB22" s="62"/>
      <c r="KC22" s="63"/>
      <c r="KD22" s="62"/>
      <c r="KE22" s="63"/>
      <c r="KF22" s="62"/>
      <c r="KG22" s="63"/>
      <c r="KH22" s="62"/>
      <c r="KI22" s="63"/>
      <c r="KJ22" s="62"/>
      <c r="KK22" s="63"/>
      <c r="KL22" s="62"/>
      <c r="KM22" s="63"/>
      <c r="KN22" s="62"/>
      <c r="KO22" s="63"/>
      <c r="KP22" s="62"/>
      <c r="KQ22" s="63"/>
      <c r="KR22" s="62"/>
      <c r="KS22" s="63"/>
      <c r="KT22" s="62"/>
      <c r="KU22" s="63"/>
      <c r="KV22" s="62"/>
      <c r="KW22" s="63"/>
      <c r="KX22" s="62"/>
      <c r="KY22" s="63"/>
      <c r="KZ22" s="62"/>
      <c r="LA22" s="63"/>
      <c r="LB22" s="62"/>
      <c r="LC22" s="63"/>
      <c r="LD22" s="62"/>
      <c r="LE22" s="63"/>
      <c r="LF22" s="62"/>
      <c r="LG22" s="63"/>
      <c r="LH22" s="62"/>
      <c r="LI22" s="63"/>
      <c r="LJ22" s="62"/>
      <c r="LK22" s="63"/>
      <c r="LL22" s="62"/>
      <c r="LM22" s="63"/>
      <c r="LN22" s="62"/>
      <c r="LO22" s="63"/>
      <c r="LP22" s="62"/>
      <c r="LQ22" s="63"/>
      <c r="LR22" s="62"/>
      <c r="LS22" s="63"/>
      <c r="LT22" s="62"/>
      <c r="LU22" s="63"/>
      <c r="LV22" s="62"/>
      <c r="LW22" s="63"/>
      <c r="LX22" s="62"/>
      <c r="LY22" s="63"/>
      <c r="LZ22" s="62"/>
      <c r="MA22" s="63"/>
      <c r="MB22" s="62"/>
      <c r="MC22" s="63"/>
      <c r="MD22" s="62"/>
      <c r="ME22" s="63"/>
      <c r="MF22" s="62"/>
      <c r="MG22" s="63"/>
      <c r="MH22" s="62"/>
      <c r="MI22" s="63"/>
      <c r="MJ22" s="62"/>
      <c r="MK22" s="63"/>
      <c r="ML22" s="62"/>
      <c r="MM22" s="63"/>
      <c r="MN22" s="62"/>
      <c r="MO22" s="63"/>
      <c r="MP22" s="62"/>
      <c r="MQ22" s="63"/>
      <c r="MR22" s="62"/>
      <c r="MS22" s="63"/>
      <c r="MT22" s="62"/>
      <c r="MU22" s="63"/>
      <c r="MV22" s="62"/>
      <c r="MW22" s="63"/>
      <c r="MX22" s="62"/>
      <c r="MY22" s="63"/>
      <c r="MZ22" s="62"/>
      <c r="NA22" s="63"/>
      <c r="NB22" s="62"/>
      <c r="NC22" s="63"/>
      <c r="ND22" s="62"/>
      <c r="NE22" s="63"/>
      <c r="NF22" s="62"/>
      <c r="NG22" s="63"/>
      <c r="NH22" s="62"/>
      <c r="NI22" s="63"/>
      <c r="NJ22" s="62"/>
      <c r="NK22" s="63"/>
      <c r="NL22" s="62"/>
      <c r="NM22" s="63"/>
      <c r="NN22" s="62"/>
      <c r="NO22" s="63"/>
      <c r="NP22" s="62"/>
      <c r="NQ22" s="63"/>
      <c r="NR22" s="62"/>
      <c r="NS22" s="63"/>
      <c r="NT22" s="62"/>
      <c r="NU22" s="63"/>
      <c r="NV22" s="62"/>
      <c r="NW22" s="63"/>
      <c r="NX22" s="62"/>
      <c r="NY22" s="63"/>
      <c r="NZ22" s="62"/>
      <c r="OA22" s="63"/>
      <c r="OB22" s="62"/>
      <c r="OC22" s="63"/>
      <c r="OD22" s="62"/>
      <c r="OE22" s="63"/>
      <c r="OF22" s="62"/>
      <c r="OG22" s="63"/>
      <c r="OH22" s="62"/>
      <c r="OI22" s="63"/>
      <c r="OJ22" s="62"/>
      <c r="OK22" s="63"/>
      <c r="OL22" s="62"/>
      <c r="OM22" s="63"/>
      <c r="ON22" s="62"/>
      <c r="OO22" s="63"/>
      <c r="OP22" s="62"/>
      <c r="OQ22" s="63"/>
      <c r="OR22" s="62"/>
      <c r="OS22" s="63"/>
      <c r="OT22" s="62"/>
      <c r="OU22" s="63"/>
      <c r="OV22" s="62"/>
      <c r="OW22" s="63"/>
      <c r="OX22" s="62"/>
      <c r="OY22" s="63"/>
      <c r="OZ22" s="62"/>
      <c r="PA22" s="63"/>
      <c r="PB22" s="62"/>
      <c r="PC22" s="63"/>
      <c r="PD22" s="62"/>
      <c r="PE22" s="63"/>
      <c r="PF22" s="62"/>
      <c r="PG22" s="63"/>
      <c r="PH22" s="62"/>
      <c r="PI22" s="63"/>
      <c r="PJ22" s="62"/>
      <c r="PK22" s="63"/>
      <c r="PL22" s="62"/>
      <c r="PM22" s="63"/>
      <c r="PN22" s="62"/>
      <c r="PO22" s="63"/>
      <c r="PP22" s="62"/>
      <c r="PQ22" s="63"/>
      <c r="PR22" s="62"/>
      <c r="PS22" s="63"/>
      <c r="PT22" s="62"/>
      <c r="PU22" s="63"/>
      <c r="PV22" s="62"/>
      <c r="PW22" s="63"/>
      <c r="PX22" s="62"/>
      <c r="PY22" s="63"/>
      <c r="PZ22" s="62"/>
      <c r="QA22" s="63"/>
      <c r="QB22" s="62"/>
      <c r="QC22" s="63"/>
      <c r="QD22" s="62"/>
      <c r="QE22" s="63"/>
      <c r="QF22" s="62"/>
      <c r="QG22" s="63"/>
      <c r="QH22" s="62"/>
      <c r="QI22" s="63"/>
      <c r="QJ22" s="62"/>
      <c r="QK22" s="63"/>
      <c r="QL22" s="62"/>
      <c r="QM22" s="63"/>
      <c r="QN22" s="62"/>
      <c r="QO22" s="63"/>
      <c r="QP22" s="62"/>
      <c r="QQ22" s="63"/>
      <c r="QR22" s="62"/>
      <c r="QS22" s="63"/>
      <c r="QT22" s="62"/>
      <c r="QU22" s="63"/>
      <c r="QV22" s="62"/>
      <c r="QW22" s="63"/>
      <c r="QX22" s="62"/>
      <c r="QY22" s="63"/>
      <c r="QZ22" s="62"/>
      <c r="RA22" s="63"/>
      <c r="RB22" s="62"/>
      <c r="RC22" s="63"/>
      <c r="RD22" s="31"/>
    </row>
    <row r="23" spans="1:472" s="5" customFormat="1" ht="15" hidden="1" customHeight="1" x14ac:dyDescent="0.25">
      <c r="A23" s="5">
        <v>2023</v>
      </c>
      <c r="B23" s="5" t="s">
        <v>81</v>
      </c>
      <c r="C23" s="5" t="s">
        <v>5</v>
      </c>
      <c r="D23" s="5">
        <v>209</v>
      </c>
      <c r="E23" s="13"/>
      <c r="F23" s="5" t="s">
        <v>55</v>
      </c>
      <c r="G23" s="5" t="s">
        <v>57</v>
      </c>
      <c r="H23" s="5" t="s">
        <v>155</v>
      </c>
      <c r="I23" s="62"/>
      <c r="J23" s="63"/>
      <c r="K23" s="62"/>
      <c r="L23" s="63"/>
      <c r="M23" s="62"/>
      <c r="N23" s="63"/>
      <c r="O23" s="62" t="s">
        <v>66</v>
      </c>
      <c r="P23" s="63"/>
      <c r="Q23" s="62" t="s">
        <v>66</v>
      </c>
      <c r="R23" s="63"/>
      <c r="S23" s="62" t="s">
        <v>66</v>
      </c>
      <c r="T23" s="63"/>
      <c r="U23" s="5" t="s">
        <v>38</v>
      </c>
      <c r="V23" s="5" t="s">
        <v>38</v>
      </c>
      <c r="W23" s="5" t="s">
        <v>38</v>
      </c>
      <c r="X23" s="62" t="s">
        <v>36</v>
      </c>
      <c r="Y23" s="63"/>
      <c r="Z23" s="62" t="s">
        <v>36</v>
      </c>
      <c r="AA23" s="63"/>
      <c r="AB23" s="62" t="s">
        <v>36</v>
      </c>
      <c r="AC23" s="63"/>
      <c r="AD23" s="62" t="s">
        <v>36</v>
      </c>
      <c r="AE23" s="63"/>
      <c r="AF23" s="62" t="s">
        <v>36</v>
      </c>
      <c r="AG23" s="63"/>
      <c r="AH23" s="62" t="s">
        <v>36</v>
      </c>
      <c r="AI23" s="63"/>
      <c r="AJ23" s="62" t="s">
        <v>36</v>
      </c>
      <c r="AK23" s="63"/>
      <c r="AL23" s="62" t="s">
        <v>36</v>
      </c>
      <c r="AM23" s="63"/>
      <c r="AN23" s="62" t="s">
        <v>36</v>
      </c>
      <c r="AO23" s="63"/>
      <c r="AP23" s="62" t="s">
        <v>37</v>
      </c>
      <c r="AQ23" s="63"/>
      <c r="AR23" s="62" t="s">
        <v>37</v>
      </c>
      <c r="AS23" s="63"/>
      <c r="AT23" s="62" t="s">
        <v>37</v>
      </c>
      <c r="AU23" s="63"/>
      <c r="AV23" s="62" t="s">
        <v>37</v>
      </c>
      <c r="AW23" s="63"/>
      <c r="AX23" s="62" t="s">
        <v>37</v>
      </c>
      <c r="AY23" s="63"/>
      <c r="AZ23" s="62" t="s">
        <v>37</v>
      </c>
      <c r="BA23" s="63"/>
      <c r="BB23" s="62"/>
      <c r="BC23" s="63"/>
      <c r="BD23" s="62"/>
      <c r="BE23" s="63"/>
      <c r="BF23" s="62"/>
      <c r="BG23" s="63"/>
      <c r="BH23" s="62"/>
      <c r="BI23" s="63"/>
      <c r="BJ23" s="62"/>
      <c r="BK23" s="63"/>
      <c r="BL23" s="62"/>
      <c r="BM23" s="63"/>
      <c r="BN23" s="62"/>
      <c r="BO23" s="63"/>
      <c r="BP23" s="62"/>
      <c r="BQ23" s="63"/>
      <c r="BR23" s="62"/>
      <c r="BS23" s="63"/>
      <c r="BT23" s="62"/>
      <c r="BU23" s="63"/>
      <c r="BV23" s="62"/>
      <c r="BW23" s="63"/>
      <c r="BX23" s="62"/>
      <c r="BY23" s="63"/>
      <c r="BZ23" s="62"/>
      <c r="CA23" s="63"/>
      <c r="CB23" s="62"/>
      <c r="CC23" s="63"/>
      <c r="CD23" s="62"/>
      <c r="CE23" s="63"/>
      <c r="CF23" s="62"/>
      <c r="CG23" s="63"/>
      <c r="CH23" s="62"/>
      <c r="CI23" s="63"/>
      <c r="CJ23" s="62"/>
      <c r="CK23" s="63"/>
      <c r="CL23" s="62"/>
      <c r="CM23" s="63"/>
      <c r="CN23" s="62"/>
      <c r="CO23" s="63"/>
      <c r="CP23" s="62"/>
      <c r="CQ23" s="63"/>
      <c r="CR23" s="62"/>
      <c r="CS23" s="63"/>
      <c r="CT23" s="62"/>
      <c r="CU23" s="63"/>
      <c r="CV23" s="62"/>
      <c r="CW23" s="63"/>
      <c r="CX23" s="62"/>
      <c r="CY23" s="63"/>
      <c r="CZ23" s="62"/>
      <c r="DA23" s="63"/>
      <c r="DB23" s="62"/>
      <c r="DC23" s="63"/>
      <c r="DD23" s="62"/>
      <c r="DE23" s="63"/>
      <c r="DF23" s="62"/>
      <c r="DG23" s="63"/>
      <c r="DH23" s="62"/>
      <c r="DI23" s="63"/>
      <c r="DJ23" s="62"/>
      <c r="DK23" s="63"/>
      <c r="DL23" s="62"/>
      <c r="DM23" s="63"/>
      <c r="DN23" s="62"/>
      <c r="DO23" s="63"/>
      <c r="DP23" s="62"/>
      <c r="DQ23" s="63"/>
      <c r="DR23" s="62"/>
      <c r="DS23" s="63"/>
      <c r="DT23" s="62"/>
      <c r="DU23" s="63"/>
      <c r="DV23" s="62"/>
      <c r="DW23" s="63"/>
      <c r="DX23" s="62"/>
      <c r="DY23" s="63"/>
      <c r="DZ23" s="62"/>
      <c r="EA23" s="63"/>
      <c r="EB23" s="62"/>
      <c r="EC23" s="63"/>
      <c r="ED23" s="62"/>
      <c r="EE23" s="63"/>
      <c r="EF23" s="62"/>
      <c r="EG23" s="63"/>
      <c r="EH23" s="62"/>
      <c r="EI23" s="63"/>
      <c r="EJ23" s="62"/>
      <c r="EK23" s="63"/>
      <c r="EL23" s="62"/>
      <c r="EM23" s="63"/>
      <c r="EN23" s="62"/>
      <c r="EO23" s="63"/>
      <c r="EP23" s="62"/>
      <c r="EQ23" s="63"/>
      <c r="ER23" s="62"/>
      <c r="ES23" s="63"/>
      <c r="ET23" s="62"/>
      <c r="EU23" s="63"/>
      <c r="EV23" s="62"/>
      <c r="EW23" s="63"/>
      <c r="EX23" s="62"/>
      <c r="EY23" s="63"/>
      <c r="EZ23" s="62"/>
      <c r="FA23" s="63"/>
      <c r="FB23" s="62"/>
      <c r="FC23" s="63"/>
      <c r="FD23" s="62"/>
      <c r="FE23" s="63"/>
      <c r="FF23" s="62"/>
      <c r="FG23" s="63"/>
      <c r="FH23" s="62"/>
      <c r="FI23" s="63"/>
      <c r="FJ23" s="62"/>
      <c r="FK23" s="63"/>
      <c r="FL23" s="62"/>
      <c r="FM23" s="63"/>
      <c r="FN23" s="62"/>
      <c r="FO23" s="63"/>
      <c r="FP23" s="62"/>
      <c r="FQ23" s="63"/>
      <c r="FR23" s="62"/>
      <c r="FS23" s="63"/>
      <c r="FT23" s="62"/>
      <c r="FU23" s="63"/>
      <c r="FV23" s="62"/>
      <c r="FW23" s="63"/>
      <c r="FX23" s="62"/>
      <c r="FY23" s="63"/>
      <c r="FZ23" s="62"/>
      <c r="GA23" s="63"/>
      <c r="GB23" s="62"/>
      <c r="GC23" s="63"/>
      <c r="GD23" s="62"/>
      <c r="GE23" s="63"/>
      <c r="GF23" s="62"/>
      <c r="GG23" s="63"/>
      <c r="GH23" s="62"/>
      <c r="GI23" s="63"/>
      <c r="GJ23" s="62"/>
      <c r="GK23" s="63"/>
      <c r="GL23" s="62"/>
      <c r="GM23" s="63"/>
      <c r="GN23" s="62"/>
      <c r="GO23" s="63"/>
      <c r="GP23" s="62"/>
      <c r="GQ23" s="63"/>
      <c r="GR23" s="62"/>
      <c r="GS23" s="63"/>
      <c r="GT23" s="62"/>
      <c r="GU23" s="63"/>
      <c r="GV23" s="62"/>
      <c r="GW23" s="63"/>
      <c r="GX23" s="62"/>
      <c r="GY23" s="63"/>
      <c r="GZ23" s="62"/>
      <c r="HA23" s="63"/>
      <c r="HB23" s="62"/>
      <c r="HC23" s="63"/>
      <c r="HD23" s="62"/>
      <c r="HE23" s="63"/>
      <c r="HF23" s="62"/>
      <c r="HG23" s="63"/>
      <c r="HH23" s="62"/>
      <c r="HI23" s="63"/>
      <c r="HJ23" s="62"/>
      <c r="HK23" s="63"/>
      <c r="HL23" s="62"/>
      <c r="HM23" s="63"/>
      <c r="HN23" s="62"/>
      <c r="HO23" s="63"/>
      <c r="HP23" s="62"/>
      <c r="HQ23" s="63"/>
      <c r="HR23" s="62"/>
      <c r="HS23" s="63"/>
      <c r="HT23" s="62"/>
      <c r="HU23" s="63"/>
      <c r="HV23" s="62"/>
      <c r="HW23" s="63"/>
      <c r="HX23" s="62"/>
      <c r="HY23" s="63"/>
      <c r="HZ23" s="62"/>
      <c r="IA23" s="63"/>
      <c r="IB23" s="62"/>
      <c r="IC23" s="63"/>
      <c r="ID23" s="62"/>
      <c r="IE23" s="63"/>
      <c r="IF23" s="62"/>
      <c r="IG23" s="63"/>
      <c r="IH23" s="62"/>
      <c r="II23" s="63"/>
      <c r="IJ23" s="62"/>
      <c r="IK23" s="63"/>
      <c r="IL23" s="62"/>
      <c r="IM23" s="63"/>
      <c r="IN23" s="62"/>
      <c r="IO23" s="63"/>
      <c r="IP23" s="62"/>
      <c r="IQ23" s="63"/>
      <c r="IR23" s="62"/>
      <c r="IS23" s="63"/>
      <c r="IT23" s="62"/>
      <c r="IU23" s="63"/>
      <c r="IV23" s="62"/>
      <c r="IW23" s="63"/>
      <c r="IX23" s="62"/>
      <c r="IY23" s="63"/>
      <c r="IZ23" s="62"/>
      <c r="JA23" s="63"/>
      <c r="JB23" s="62"/>
      <c r="JC23" s="63"/>
      <c r="JD23" s="62"/>
      <c r="JE23" s="63"/>
      <c r="JF23" s="62"/>
      <c r="JG23" s="63"/>
      <c r="JH23" s="62"/>
      <c r="JI23" s="63"/>
      <c r="JJ23" s="62"/>
      <c r="JK23" s="63"/>
      <c r="JL23" s="62"/>
      <c r="JM23" s="63"/>
      <c r="JN23" s="62"/>
      <c r="JO23" s="63"/>
      <c r="JP23" s="62"/>
      <c r="JQ23" s="63"/>
      <c r="JR23" s="62"/>
      <c r="JS23" s="63"/>
      <c r="JT23" s="62"/>
      <c r="JU23" s="63"/>
      <c r="JV23" s="62"/>
      <c r="JW23" s="63"/>
      <c r="JX23" s="62"/>
      <c r="JY23" s="63"/>
      <c r="JZ23" s="62"/>
      <c r="KA23" s="63"/>
      <c r="KB23" s="62"/>
      <c r="KC23" s="63"/>
      <c r="KD23" s="62"/>
      <c r="KE23" s="63"/>
      <c r="KF23" s="62"/>
      <c r="KG23" s="63"/>
      <c r="KH23" s="62"/>
      <c r="KI23" s="63"/>
      <c r="KJ23" s="62"/>
      <c r="KK23" s="63"/>
      <c r="KL23" s="62"/>
      <c r="KM23" s="63"/>
      <c r="KN23" s="62"/>
      <c r="KO23" s="63"/>
      <c r="KP23" s="62"/>
      <c r="KQ23" s="63"/>
      <c r="KR23" s="62"/>
      <c r="KS23" s="63"/>
      <c r="KT23" s="62"/>
      <c r="KU23" s="63"/>
      <c r="KV23" s="62"/>
      <c r="KW23" s="63"/>
      <c r="KX23" s="62"/>
      <c r="KY23" s="63"/>
      <c r="KZ23" s="62"/>
      <c r="LA23" s="63"/>
      <c r="LB23" s="62"/>
      <c r="LC23" s="63"/>
      <c r="LD23" s="62"/>
      <c r="LE23" s="63"/>
      <c r="LF23" s="62"/>
      <c r="LG23" s="63"/>
      <c r="LH23" s="62"/>
      <c r="LI23" s="63"/>
      <c r="LJ23" s="62"/>
      <c r="LK23" s="63"/>
      <c r="LL23" s="62"/>
      <c r="LM23" s="63"/>
      <c r="LN23" s="62"/>
      <c r="LO23" s="63"/>
      <c r="LP23" s="62"/>
      <c r="LQ23" s="63"/>
      <c r="LR23" s="62"/>
      <c r="LS23" s="63"/>
      <c r="LT23" s="62"/>
      <c r="LU23" s="63"/>
      <c r="LV23" s="62"/>
      <c r="LW23" s="63"/>
      <c r="LX23" s="62"/>
      <c r="LY23" s="63"/>
      <c r="LZ23" s="62"/>
      <c r="MA23" s="63"/>
      <c r="MB23" s="62"/>
      <c r="MC23" s="63"/>
      <c r="MD23" s="62"/>
      <c r="ME23" s="63"/>
      <c r="MF23" s="62"/>
      <c r="MG23" s="63"/>
      <c r="MH23" s="62"/>
      <c r="MI23" s="63"/>
      <c r="MJ23" s="62"/>
      <c r="MK23" s="63"/>
      <c r="ML23" s="62"/>
      <c r="MM23" s="63"/>
      <c r="MN23" s="62"/>
      <c r="MO23" s="63"/>
      <c r="MP23" s="62"/>
      <c r="MQ23" s="63"/>
      <c r="MR23" s="62"/>
      <c r="MS23" s="63"/>
      <c r="MT23" s="62"/>
      <c r="MU23" s="63"/>
      <c r="MV23" s="62"/>
      <c r="MW23" s="63"/>
      <c r="MX23" s="62"/>
      <c r="MY23" s="63"/>
      <c r="MZ23" s="62"/>
      <c r="NA23" s="63"/>
      <c r="NB23" s="62"/>
      <c r="NC23" s="63"/>
      <c r="ND23" s="62"/>
      <c r="NE23" s="63"/>
      <c r="NF23" s="62"/>
      <c r="NG23" s="63"/>
      <c r="NH23" s="62"/>
      <c r="NI23" s="63"/>
      <c r="NJ23" s="62"/>
      <c r="NK23" s="63"/>
      <c r="NL23" s="62"/>
      <c r="NM23" s="63"/>
      <c r="NN23" s="62"/>
      <c r="NO23" s="63"/>
      <c r="NP23" s="62"/>
      <c r="NQ23" s="63"/>
      <c r="NR23" s="62"/>
      <c r="NS23" s="63"/>
      <c r="NT23" s="62"/>
      <c r="NU23" s="63"/>
      <c r="NV23" s="62"/>
      <c r="NW23" s="63"/>
      <c r="NX23" s="62"/>
      <c r="NY23" s="63"/>
      <c r="NZ23" s="62"/>
      <c r="OA23" s="63"/>
      <c r="OB23" s="62"/>
      <c r="OC23" s="63"/>
      <c r="OD23" s="62"/>
      <c r="OE23" s="63"/>
      <c r="OF23" s="62"/>
      <c r="OG23" s="63"/>
      <c r="OH23" s="62"/>
      <c r="OI23" s="63"/>
      <c r="OJ23" s="62"/>
      <c r="OK23" s="63"/>
      <c r="OL23" s="62"/>
      <c r="OM23" s="63"/>
      <c r="ON23" s="62"/>
      <c r="OO23" s="63"/>
      <c r="OP23" s="62"/>
      <c r="OQ23" s="63"/>
      <c r="OR23" s="62"/>
      <c r="OS23" s="63"/>
      <c r="OT23" s="62"/>
      <c r="OU23" s="63"/>
      <c r="OV23" s="62"/>
      <c r="OW23" s="63"/>
      <c r="OX23" s="62"/>
      <c r="OY23" s="63"/>
      <c r="OZ23" s="62"/>
      <c r="PA23" s="63"/>
      <c r="PB23" s="62"/>
      <c r="PC23" s="63"/>
      <c r="PD23" s="62"/>
      <c r="PE23" s="63"/>
      <c r="PF23" s="62"/>
      <c r="PG23" s="63"/>
      <c r="PH23" s="62"/>
      <c r="PI23" s="63"/>
      <c r="PJ23" s="62"/>
      <c r="PK23" s="63"/>
      <c r="PL23" s="62"/>
      <c r="PM23" s="63"/>
      <c r="PN23" s="62"/>
      <c r="PO23" s="63"/>
      <c r="PP23" s="62"/>
      <c r="PQ23" s="63"/>
      <c r="PR23" s="62"/>
      <c r="PS23" s="63"/>
      <c r="PT23" s="62"/>
      <c r="PU23" s="63"/>
      <c r="PV23" s="62"/>
      <c r="PW23" s="63"/>
      <c r="PX23" s="62"/>
      <c r="PY23" s="63"/>
      <c r="PZ23" s="62"/>
      <c r="QA23" s="63"/>
      <c r="QB23" s="62"/>
      <c r="QC23" s="63"/>
      <c r="QD23" s="62"/>
      <c r="QE23" s="63"/>
      <c r="QF23" s="62"/>
      <c r="QG23" s="63"/>
      <c r="QH23" s="62"/>
      <c r="QI23" s="63"/>
      <c r="QJ23" s="62"/>
      <c r="QK23" s="63"/>
      <c r="QL23" s="62"/>
      <c r="QM23" s="63"/>
      <c r="QN23" s="62"/>
      <c r="QO23" s="63"/>
      <c r="QP23" s="62"/>
      <c r="QQ23" s="63"/>
      <c r="QR23" s="62"/>
      <c r="QS23" s="63"/>
      <c r="QT23" s="62"/>
      <c r="QU23" s="63"/>
      <c r="QV23" s="62"/>
      <c r="QW23" s="63"/>
      <c r="QX23" s="62"/>
      <c r="QY23" s="63"/>
      <c r="QZ23" s="62"/>
      <c r="RA23" s="63"/>
      <c r="RB23" s="62"/>
      <c r="RC23" s="63"/>
      <c r="RD23" s="31"/>
    </row>
    <row r="24" spans="1:472" s="5" customFormat="1" ht="15" hidden="1" customHeight="1" x14ac:dyDescent="0.25">
      <c r="A24" s="5">
        <v>2028</v>
      </c>
      <c r="B24" s="5" t="s">
        <v>63</v>
      </c>
      <c r="C24" s="5" t="s">
        <v>4</v>
      </c>
      <c r="D24" s="5">
        <v>296</v>
      </c>
      <c r="E24" s="13"/>
      <c r="H24" s="5" t="s">
        <v>149</v>
      </c>
      <c r="I24" s="62"/>
      <c r="J24" s="63"/>
      <c r="K24" s="62"/>
      <c r="L24" s="63"/>
      <c r="M24" s="62"/>
      <c r="N24" s="63"/>
      <c r="O24" s="62"/>
      <c r="P24" s="63"/>
      <c r="Q24" s="62"/>
      <c r="R24" s="63"/>
      <c r="S24" s="62"/>
      <c r="T24" s="63"/>
      <c r="X24" s="62"/>
      <c r="Y24" s="63"/>
      <c r="Z24" s="62"/>
      <c r="AA24" s="63"/>
      <c r="AB24" s="62"/>
      <c r="AC24" s="63"/>
      <c r="AD24" s="62"/>
      <c r="AE24" s="63"/>
      <c r="AF24" s="62"/>
      <c r="AG24" s="63"/>
      <c r="AH24" s="62"/>
      <c r="AI24" s="63"/>
      <c r="AJ24" s="62"/>
      <c r="AK24" s="63"/>
      <c r="AL24" s="62"/>
      <c r="AM24" s="63"/>
      <c r="AN24" s="62"/>
      <c r="AO24" s="63" t="s">
        <v>66</v>
      </c>
      <c r="AP24" s="62" t="s">
        <v>38</v>
      </c>
      <c r="AQ24" s="63"/>
      <c r="AR24" s="62" t="s">
        <v>38</v>
      </c>
      <c r="AS24" s="63" t="s">
        <v>36</v>
      </c>
      <c r="AT24" s="18" t="s">
        <v>38</v>
      </c>
      <c r="AU24" s="19" t="s">
        <v>36</v>
      </c>
      <c r="AV24" s="62" t="s">
        <v>36</v>
      </c>
      <c r="AW24" s="63"/>
      <c r="AX24" s="62" t="s">
        <v>36</v>
      </c>
      <c r="AY24" s="63"/>
      <c r="AZ24" s="62" t="s">
        <v>36</v>
      </c>
      <c r="BA24" s="63"/>
      <c r="BB24" s="62" t="s">
        <v>36</v>
      </c>
      <c r="BC24" s="63"/>
      <c r="BD24" s="62" t="s">
        <v>36</v>
      </c>
      <c r="BE24" s="63"/>
      <c r="BF24" s="62" t="s">
        <v>36</v>
      </c>
      <c r="BG24" s="63"/>
      <c r="BH24" s="62" t="s">
        <v>303</v>
      </c>
      <c r="BI24" s="63"/>
      <c r="BJ24" s="62" t="s">
        <v>311</v>
      </c>
      <c r="BK24" s="63"/>
      <c r="BL24" s="62"/>
      <c r="BM24" s="63"/>
      <c r="BN24" s="62"/>
      <c r="BO24" s="63"/>
      <c r="BP24" s="62"/>
      <c r="BQ24" s="63"/>
      <c r="BR24" s="62"/>
      <c r="BS24" s="63"/>
      <c r="BT24" s="62"/>
      <c r="BU24" s="63"/>
      <c r="BV24" s="62"/>
      <c r="BW24" s="63"/>
      <c r="BX24" s="62"/>
      <c r="BY24" s="63"/>
      <c r="BZ24" s="62"/>
      <c r="CA24" s="63"/>
      <c r="CB24" s="62"/>
      <c r="CC24" s="63"/>
      <c r="CD24" s="62"/>
      <c r="CE24" s="63"/>
      <c r="CF24" s="62"/>
      <c r="CG24" s="63"/>
      <c r="CH24" s="62"/>
      <c r="CI24" s="63"/>
      <c r="CJ24" s="62"/>
      <c r="CK24" s="63"/>
      <c r="CL24" s="62"/>
      <c r="CM24" s="63"/>
      <c r="CN24" s="62"/>
      <c r="CO24" s="63"/>
      <c r="CP24" s="62"/>
      <c r="CQ24" s="63"/>
      <c r="CR24" s="62"/>
      <c r="CS24" s="63"/>
      <c r="CT24" s="62"/>
      <c r="CU24" s="63"/>
      <c r="CV24" s="62"/>
      <c r="CW24" s="63"/>
      <c r="CX24" s="62"/>
      <c r="CY24" s="63"/>
      <c r="CZ24" s="62"/>
      <c r="DA24" s="63"/>
      <c r="DB24" s="62"/>
      <c r="DC24" s="63"/>
      <c r="DD24" s="62"/>
      <c r="DE24" s="63"/>
      <c r="DF24" s="62"/>
      <c r="DG24" s="63"/>
      <c r="DH24" s="62"/>
      <c r="DI24" s="63"/>
      <c r="DJ24" s="62"/>
      <c r="DK24" s="63"/>
      <c r="DL24" s="62"/>
      <c r="DM24" s="63"/>
      <c r="DN24" s="62"/>
      <c r="DO24" s="63"/>
      <c r="DP24" s="62"/>
      <c r="DQ24" s="63"/>
      <c r="DR24" s="62"/>
      <c r="DS24" s="63"/>
      <c r="DT24" s="62"/>
      <c r="DU24" s="63"/>
      <c r="DV24" s="62"/>
      <c r="DW24" s="63"/>
      <c r="DX24" s="62"/>
      <c r="DY24" s="63"/>
      <c r="DZ24" s="62"/>
      <c r="EA24" s="63"/>
      <c r="EB24" s="62"/>
      <c r="EC24" s="63"/>
      <c r="ED24" s="62"/>
      <c r="EE24" s="63"/>
      <c r="EF24" s="62"/>
      <c r="EG24" s="63"/>
      <c r="EH24" s="62"/>
      <c r="EI24" s="63"/>
      <c r="EJ24" s="62"/>
      <c r="EK24" s="63"/>
      <c r="EL24" s="62"/>
      <c r="EM24" s="63"/>
      <c r="EN24" s="62"/>
      <c r="EO24" s="63"/>
      <c r="EP24" s="62"/>
      <c r="EQ24" s="63"/>
      <c r="ER24" s="62"/>
      <c r="ES24" s="63"/>
      <c r="ET24" s="62"/>
      <c r="EU24" s="63"/>
      <c r="EV24" s="62"/>
      <c r="EW24" s="63"/>
      <c r="EX24" s="62"/>
      <c r="EY24" s="63"/>
      <c r="EZ24" s="62"/>
      <c r="FA24" s="63"/>
      <c r="FB24" s="62"/>
      <c r="FC24" s="63"/>
      <c r="FD24" s="62"/>
      <c r="FE24" s="63"/>
      <c r="FF24" s="62"/>
      <c r="FG24" s="63"/>
      <c r="FH24" s="62"/>
      <c r="FI24" s="63"/>
      <c r="FJ24" s="62"/>
      <c r="FK24" s="63"/>
      <c r="FL24" s="62"/>
      <c r="FM24" s="63"/>
      <c r="FN24" s="62"/>
      <c r="FO24" s="63"/>
      <c r="FP24" s="62"/>
      <c r="FQ24" s="63"/>
      <c r="FR24" s="62"/>
      <c r="FS24" s="63"/>
      <c r="FT24" s="62"/>
      <c r="FU24" s="63"/>
      <c r="FV24" s="62"/>
      <c r="FW24" s="63"/>
      <c r="FX24" s="62"/>
      <c r="FY24" s="63"/>
      <c r="FZ24" s="62"/>
      <c r="GA24" s="63"/>
      <c r="GB24" s="62"/>
      <c r="GC24" s="63"/>
      <c r="GD24" s="62"/>
      <c r="GE24" s="63"/>
      <c r="GF24" s="62"/>
      <c r="GG24" s="63"/>
      <c r="GH24" s="62"/>
      <c r="GI24" s="63"/>
      <c r="GJ24" s="62"/>
      <c r="GK24" s="63"/>
      <c r="GL24" s="62"/>
      <c r="GM24" s="63"/>
      <c r="GN24" s="62"/>
      <c r="GO24" s="63"/>
      <c r="GP24" s="62"/>
      <c r="GQ24" s="63"/>
      <c r="GR24" s="62"/>
      <c r="GS24" s="63"/>
      <c r="GT24" s="62"/>
      <c r="GU24" s="63"/>
      <c r="GV24" s="62"/>
      <c r="GW24" s="63"/>
      <c r="GX24" s="62"/>
      <c r="GY24" s="63"/>
      <c r="GZ24" s="62"/>
      <c r="HA24" s="63"/>
      <c r="HB24" s="62"/>
      <c r="HC24" s="63"/>
      <c r="HD24" s="62"/>
      <c r="HE24" s="63"/>
      <c r="HF24" s="62"/>
      <c r="HG24" s="63"/>
      <c r="HH24" s="62"/>
      <c r="HI24" s="63"/>
      <c r="HJ24" s="62"/>
      <c r="HK24" s="63"/>
      <c r="HL24" s="62"/>
      <c r="HM24" s="63"/>
      <c r="HN24" s="62"/>
      <c r="HO24" s="63"/>
      <c r="HP24" s="62"/>
      <c r="HQ24" s="63"/>
      <c r="HR24" s="62"/>
      <c r="HS24" s="63"/>
      <c r="HT24" s="62"/>
      <c r="HU24" s="63"/>
      <c r="HV24" s="62"/>
      <c r="HW24" s="63"/>
      <c r="HX24" s="62"/>
      <c r="HY24" s="63"/>
      <c r="HZ24" s="62"/>
      <c r="IA24" s="63"/>
      <c r="IB24" s="62"/>
      <c r="IC24" s="63"/>
      <c r="ID24" s="62"/>
      <c r="IE24" s="63"/>
      <c r="IF24" s="62"/>
      <c r="IG24" s="63"/>
      <c r="IH24" s="62"/>
      <c r="II24" s="63"/>
      <c r="IJ24" s="62"/>
      <c r="IK24" s="63"/>
      <c r="IL24" s="62"/>
      <c r="IM24" s="63"/>
      <c r="IN24" s="62"/>
      <c r="IO24" s="63"/>
      <c r="IP24" s="62"/>
      <c r="IQ24" s="63"/>
      <c r="IR24" s="62"/>
      <c r="IS24" s="63"/>
      <c r="IT24" s="62"/>
      <c r="IU24" s="63"/>
      <c r="IV24" s="62"/>
      <c r="IW24" s="63"/>
      <c r="IX24" s="62"/>
      <c r="IY24" s="63"/>
      <c r="IZ24" s="62"/>
      <c r="JA24" s="63"/>
      <c r="JB24" s="62"/>
      <c r="JC24" s="63"/>
      <c r="JD24" s="62"/>
      <c r="JE24" s="63"/>
      <c r="JF24" s="62"/>
      <c r="JG24" s="63"/>
      <c r="JH24" s="62"/>
      <c r="JI24" s="63"/>
      <c r="JJ24" s="62"/>
      <c r="JK24" s="63"/>
      <c r="JL24" s="62"/>
      <c r="JM24" s="63"/>
      <c r="JN24" s="62"/>
      <c r="JO24" s="63"/>
      <c r="JP24" s="62"/>
      <c r="JQ24" s="63"/>
      <c r="JR24" s="62"/>
      <c r="JS24" s="63"/>
      <c r="JT24" s="62"/>
      <c r="JU24" s="63"/>
      <c r="JV24" s="62"/>
      <c r="JW24" s="63"/>
      <c r="JX24" s="62"/>
      <c r="JY24" s="63"/>
      <c r="JZ24" s="62"/>
      <c r="KA24" s="63"/>
      <c r="KB24" s="62"/>
      <c r="KC24" s="63"/>
      <c r="KD24" s="62"/>
      <c r="KE24" s="63"/>
      <c r="KF24" s="62"/>
      <c r="KG24" s="63"/>
      <c r="KH24" s="62"/>
      <c r="KI24" s="63"/>
      <c r="KJ24" s="62"/>
      <c r="KK24" s="63"/>
      <c r="KL24" s="62"/>
      <c r="KM24" s="63"/>
      <c r="KN24" s="62"/>
      <c r="KO24" s="63"/>
      <c r="KP24" s="62"/>
      <c r="KQ24" s="63"/>
      <c r="KR24" s="62"/>
      <c r="KS24" s="63"/>
      <c r="KT24" s="62"/>
      <c r="KU24" s="63"/>
      <c r="KV24" s="62"/>
      <c r="KW24" s="63"/>
      <c r="KX24" s="62"/>
      <c r="KY24" s="63"/>
      <c r="KZ24" s="62"/>
      <c r="LA24" s="63"/>
      <c r="LB24" s="62"/>
      <c r="LC24" s="63"/>
      <c r="LD24" s="62"/>
      <c r="LE24" s="63"/>
      <c r="LF24" s="62"/>
      <c r="LG24" s="63"/>
      <c r="LH24" s="62"/>
      <c r="LI24" s="63"/>
      <c r="LJ24" s="62"/>
      <c r="LK24" s="63"/>
      <c r="LL24" s="62"/>
      <c r="LM24" s="63"/>
      <c r="LN24" s="62"/>
      <c r="LO24" s="63"/>
      <c r="LP24" s="62"/>
      <c r="LQ24" s="63"/>
      <c r="LR24" s="62"/>
      <c r="LS24" s="63"/>
      <c r="LT24" s="62"/>
      <c r="LU24" s="63"/>
      <c r="LV24" s="62"/>
      <c r="LW24" s="63"/>
      <c r="LX24" s="62"/>
      <c r="LY24" s="63"/>
      <c r="LZ24" s="62"/>
      <c r="MA24" s="63"/>
      <c r="MB24" s="62"/>
      <c r="MC24" s="63"/>
      <c r="MD24" s="62"/>
      <c r="ME24" s="63"/>
      <c r="MF24" s="62"/>
      <c r="MG24" s="63"/>
      <c r="MH24" s="62"/>
      <c r="MI24" s="63"/>
      <c r="MJ24" s="62"/>
      <c r="MK24" s="63"/>
      <c r="ML24" s="62"/>
      <c r="MM24" s="63"/>
      <c r="MN24" s="62"/>
      <c r="MO24" s="63"/>
      <c r="MP24" s="62"/>
      <c r="MQ24" s="63"/>
      <c r="MR24" s="62"/>
      <c r="MS24" s="63"/>
      <c r="MT24" s="62"/>
      <c r="MU24" s="63"/>
      <c r="MV24" s="62"/>
      <c r="MW24" s="63"/>
      <c r="MX24" s="62"/>
      <c r="MY24" s="63"/>
      <c r="MZ24" s="62"/>
      <c r="NA24" s="63"/>
      <c r="NB24" s="62"/>
      <c r="NC24" s="63"/>
      <c r="ND24" s="62"/>
      <c r="NE24" s="63"/>
      <c r="NF24" s="62"/>
      <c r="NG24" s="63"/>
      <c r="NH24" s="62"/>
      <c r="NI24" s="63"/>
      <c r="NJ24" s="62"/>
      <c r="NK24" s="63"/>
      <c r="NL24" s="62"/>
      <c r="NM24" s="63"/>
      <c r="NN24" s="62"/>
      <c r="NO24" s="63"/>
      <c r="NP24" s="62"/>
      <c r="NQ24" s="63"/>
      <c r="NR24" s="62"/>
      <c r="NS24" s="63"/>
      <c r="NT24" s="62"/>
      <c r="NU24" s="63"/>
      <c r="NV24" s="62"/>
      <c r="NW24" s="63"/>
      <c r="NX24" s="62"/>
      <c r="NY24" s="63"/>
      <c r="NZ24" s="62"/>
      <c r="OA24" s="63"/>
      <c r="OB24" s="62"/>
      <c r="OC24" s="63"/>
      <c r="OD24" s="62"/>
      <c r="OE24" s="63"/>
      <c r="OF24" s="62"/>
      <c r="OG24" s="63"/>
      <c r="OH24" s="62"/>
      <c r="OI24" s="63"/>
      <c r="OJ24" s="62"/>
      <c r="OK24" s="63"/>
      <c r="OL24" s="62"/>
      <c r="OM24" s="63"/>
      <c r="ON24" s="62"/>
      <c r="OO24" s="63"/>
      <c r="OP24" s="62"/>
      <c r="OQ24" s="63"/>
      <c r="OR24" s="62"/>
      <c r="OS24" s="63"/>
      <c r="OT24" s="62"/>
      <c r="OU24" s="63"/>
      <c r="OV24" s="62"/>
      <c r="OW24" s="63"/>
      <c r="OX24" s="62"/>
      <c r="OY24" s="63"/>
      <c r="OZ24" s="62"/>
      <c r="PA24" s="63"/>
      <c r="PB24" s="62"/>
      <c r="PC24" s="63"/>
      <c r="PD24" s="62"/>
      <c r="PE24" s="63"/>
      <c r="PF24" s="62"/>
      <c r="PG24" s="63"/>
      <c r="PH24" s="62"/>
      <c r="PI24" s="63"/>
      <c r="PJ24" s="62"/>
      <c r="PK24" s="63"/>
      <c r="PL24" s="62"/>
      <c r="PM24" s="63"/>
      <c r="PN24" s="62"/>
      <c r="PO24" s="63"/>
      <c r="PP24" s="62"/>
      <c r="PQ24" s="63"/>
      <c r="PR24" s="62"/>
      <c r="PS24" s="63"/>
      <c r="PT24" s="62"/>
      <c r="PU24" s="63"/>
      <c r="PV24" s="62"/>
      <c r="PW24" s="63"/>
      <c r="PX24" s="62"/>
      <c r="PY24" s="63"/>
      <c r="PZ24" s="62"/>
      <c r="QA24" s="63"/>
      <c r="QB24" s="62"/>
      <c r="QC24" s="63"/>
      <c r="QD24" s="62"/>
      <c r="QE24" s="63"/>
      <c r="QF24" s="62"/>
      <c r="QG24" s="63"/>
      <c r="QH24" s="62"/>
      <c r="QI24" s="63"/>
      <c r="QJ24" s="62"/>
      <c r="QK24" s="63"/>
      <c r="QL24" s="62"/>
      <c r="QM24" s="63"/>
      <c r="QN24" s="62"/>
      <c r="QO24" s="63"/>
      <c r="QP24" s="62"/>
      <c r="QQ24" s="63"/>
      <c r="QR24" s="62"/>
      <c r="QS24" s="63"/>
      <c r="QT24" s="62"/>
      <c r="QU24" s="63"/>
      <c r="QV24" s="62"/>
      <c r="QW24" s="63"/>
      <c r="QX24" s="62"/>
      <c r="QY24" s="63"/>
      <c r="QZ24" s="62"/>
      <c r="RA24" s="63"/>
      <c r="RB24" s="62"/>
      <c r="RC24" s="63"/>
      <c r="RD24" s="31"/>
    </row>
    <row r="25" spans="1:472" s="5" customFormat="1" ht="15" hidden="1" customHeight="1" x14ac:dyDescent="0.25">
      <c r="A25" s="5">
        <v>2025</v>
      </c>
      <c r="B25" s="5" t="s">
        <v>159</v>
      </c>
      <c r="C25" s="5" t="s">
        <v>4</v>
      </c>
      <c r="D25" s="5">
        <v>75</v>
      </c>
      <c r="E25" s="13"/>
      <c r="F25" s="5" t="s">
        <v>243</v>
      </c>
      <c r="H25" s="5" t="s">
        <v>152</v>
      </c>
      <c r="I25" s="62"/>
      <c r="J25" s="63"/>
      <c r="K25" s="62"/>
      <c r="L25" s="63"/>
      <c r="M25" s="62"/>
      <c r="N25" s="63"/>
      <c r="O25" s="62"/>
      <c r="P25" s="63"/>
      <c r="Q25" s="62"/>
      <c r="R25" s="63"/>
      <c r="S25" s="62"/>
      <c r="T25" s="63"/>
      <c r="X25" s="62"/>
      <c r="Y25" s="63"/>
      <c r="Z25" s="62"/>
      <c r="AA25" s="63"/>
      <c r="AB25" s="62"/>
      <c r="AC25" s="63"/>
      <c r="AD25" s="62"/>
      <c r="AE25" s="63"/>
      <c r="AF25" s="62"/>
      <c r="AG25" s="63"/>
      <c r="AH25" s="62"/>
      <c r="AI25" s="63"/>
      <c r="AJ25" s="62"/>
      <c r="AK25" s="63"/>
      <c r="AL25" s="62"/>
      <c r="AM25" s="63"/>
      <c r="AN25" s="62"/>
      <c r="AO25" s="63"/>
      <c r="AP25" s="62"/>
      <c r="AQ25" s="63"/>
      <c r="AR25" s="62"/>
      <c r="AS25" s="63"/>
      <c r="AT25" s="18"/>
      <c r="AU25" s="19" t="s">
        <v>66</v>
      </c>
      <c r="AV25" s="62" t="s">
        <v>66</v>
      </c>
      <c r="AW25" s="63"/>
      <c r="AX25" s="62" t="s">
        <v>38</v>
      </c>
      <c r="AY25" s="63"/>
      <c r="AZ25" s="62" t="s">
        <v>38</v>
      </c>
      <c r="BA25" s="63"/>
      <c r="BB25" s="31" t="s">
        <v>38</v>
      </c>
      <c r="BC25" s="32" t="s">
        <v>36</v>
      </c>
      <c r="BD25" s="62" t="s">
        <v>36</v>
      </c>
      <c r="BE25" s="63"/>
      <c r="BF25" s="62" t="s">
        <v>36</v>
      </c>
      <c r="BG25" s="63"/>
      <c r="BH25" s="62" t="s">
        <v>36</v>
      </c>
      <c r="BI25" s="63"/>
      <c r="BJ25" s="62" t="s">
        <v>36</v>
      </c>
      <c r="BK25" s="63"/>
      <c r="BL25" s="62" t="s">
        <v>310</v>
      </c>
      <c r="BM25" s="63"/>
      <c r="BN25" s="62" t="s">
        <v>310</v>
      </c>
      <c r="BO25" s="63"/>
      <c r="BP25" s="62" t="s">
        <v>37</v>
      </c>
      <c r="BQ25" s="63"/>
      <c r="BR25" s="62" t="s">
        <v>37</v>
      </c>
      <c r="BS25" s="63"/>
      <c r="BT25" s="62"/>
      <c r="BU25" s="63"/>
      <c r="BV25" s="62"/>
      <c r="BW25" s="63"/>
      <c r="BX25" s="62"/>
      <c r="BY25" s="63"/>
      <c r="BZ25" s="62"/>
      <c r="CA25" s="63"/>
      <c r="CB25" s="62"/>
      <c r="CC25" s="63"/>
      <c r="CD25" s="62"/>
      <c r="CE25" s="63"/>
      <c r="CF25" s="62"/>
      <c r="CG25" s="63"/>
      <c r="CH25" s="62"/>
      <c r="CI25" s="63"/>
      <c r="CJ25" s="62"/>
      <c r="CK25" s="63"/>
      <c r="CL25" s="62"/>
      <c r="CM25" s="63"/>
      <c r="CN25" s="62"/>
      <c r="CO25" s="63"/>
      <c r="CP25" s="62"/>
      <c r="CQ25" s="63"/>
      <c r="CR25" s="62"/>
      <c r="CS25" s="63"/>
      <c r="CT25" s="62"/>
      <c r="CU25" s="63"/>
      <c r="CV25" s="62"/>
      <c r="CW25" s="63"/>
      <c r="CX25" s="62"/>
      <c r="CY25" s="63"/>
      <c r="CZ25" s="62"/>
      <c r="DA25" s="63"/>
      <c r="DB25" s="62"/>
      <c r="DC25" s="63"/>
      <c r="DD25" s="62"/>
      <c r="DE25" s="63"/>
      <c r="DF25" s="62"/>
      <c r="DG25" s="63"/>
      <c r="DH25" s="62"/>
      <c r="DI25" s="63"/>
      <c r="DJ25" s="62"/>
      <c r="DK25" s="63"/>
      <c r="DL25" s="62"/>
      <c r="DM25" s="63"/>
      <c r="DN25" s="62"/>
      <c r="DO25" s="63"/>
      <c r="DP25" s="62"/>
      <c r="DQ25" s="63"/>
      <c r="DR25" s="62"/>
      <c r="DS25" s="63"/>
      <c r="DT25" s="62"/>
      <c r="DU25" s="63"/>
      <c r="DV25" s="62"/>
      <c r="DW25" s="63"/>
      <c r="DX25" s="62"/>
      <c r="DY25" s="63"/>
      <c r="DZ25" s="62"/>
      <c r="EA25" s="63"/>
      <c r="EB25" s="62"/>
      <c r="EC25" s="63"/>
      <c r="ED25" s="62"/>
      <c r="EE25" s="63"/>
      <c r="EF25" s="62"/>
      <c r="EG25" s="63"/>
      <c r="EH25" s="62"/>
      <c r="EI25" s="63"/>
      <c r="EJ25" s="62"/>
      <c r="EK25" s="63"/>
      <c r="EL25" s="62"/>
      <c r="EM25" s="63"/>
      <c r="EN25" s="62"/>
      <c r="EO25" s="63"/>
      <c r="EP25" s="62"/>
      <c r="EQ25" s="63"/>
      <c r="ER25" s="62"/>
      <c r="ES25" s="63"/>
      <c r="ET25" s="62"/>
      <c r="EU25" s="63"/>
      <c r="EV25" s="62"/>
      <c r="EW25" s="63"/>
      <c r="EX25" s="62"/>
      <c r="EY25" s="63"/>
      <c r="EZ25" s="62"/>
      <c r="FA25" s="63"/>
      <c r="FB25" s="62"/>
      <c r="FC25" s="63"/>
      <c r="FD25" s="62"/>
      <c r="FE25" s="63"/>
      <c r="FF25" s="62"/>
      <c r="FG25" s="63"/>
      <c r="FH25" s="62"/>
      <c r="FI25" s="63"/>
      <c r="FJ25" s="62"/>
      <c r="FK25" s="63"/>
      <c r="FL25" s="62"/>
      <c r="FM25" s="63"/>
      <c r="FN25" s="62"/>
      <c r="FO25" s="63"/>
      <c r="FP25" s="62"/>
      <c r="FQ25" s="63"/>
      <c r="FR25" s="62"/>
      <c r="FS25" s="63"/>
      <c r="FT25" s="62"/>
      <c r="FU25" s="63"/>
      <c r="FV25" s="62"/>
      <c r="FW25" s="63"/>
      <c r="FX25" s="62"/>
      <c r="FY25" s="63"/>
      <c r="FZ25" s="62"/>
      <c r="GA25" s="63"/>
      <c r="GB25" s="62"/>
      <c r="GC25" s="63"/>
      <c r="GD25" s="62"/>
      <c r="GE25" s="63"/>
      <c r="GF25" s="62"/>
      <c r="GG25" s="63"/>
      <c r="GH25" s="62"/>
      <c r="GI25" s="63"/>
      <c r="GJ25" s="62"/>
      <c r="GK25" s="63"/>
      <c r="GL25" s="62"/>
      <c r="GM25" s="63"/>
      <c r="GN25" s="62"/>
      <c r="GO25" s="63"/>
      <c r="GP25" s="62"/>
      <c r="GQ25" s="63"/>
      <c r="GR25" s="62"/>
      <c r="GS25" s="63"/>
      <c r="GT25" s="62"/>
      <c r="GU25" s="63"/>
      <c r="GV25" s="62"/>
      <c r="GW25" s="63"/>
      <c r="GX25" s="62"/>
      <c r="GY25" s="63"/>
      <c r="GZ25" s="62"/>
      <c r="HA25" s="63"/>
      <c r="HB25" s="62"/>
      <c r="HC25" s="63"/>
      <c r="HD25" s="62"/>
      <c r="HE25" s="63"/>
      <c r="HF25" s="62"/>
      <c r="HG25" s="63"/>
      <c r="HH25" s="62"/>
      <c r="HI25" s="63"/>
      <c r="HJ25" s="62"/>
      <c r="HK25" s="63"/>
      <c r="HL25" s="62"/>
      <c r="HM25" s="63"/>
      <c r="HN25" s="62"/>
      <c r="HO25" s="63"/>
      <c r="HP25" s="62"/>
      <c r="HQ25" s="63"/>
      <c r="HR25" s="62"/>
      <c r="HS25" s="63"/>
      <c r="HT25" s="62"/>
      <c r="HU25" s="63"/>
      <c r="HV25" s="62"/>
      <c r="HW25" s="63"/>
      <c r="HX25" s="62"/>
      <c r="HY25" s="63"/>
      <c r="HZ25" s="62"/>
      <c r="IA25" s="63"/>
      <c r="IB25" s="62"/>
      <c r="IC25" s="63"/>
      <c r="ID25" s="62"/>
      <c r="IE25" s="63"/>
      <c r="IF25" s="62"/>
      <c r="IG25" s="63"/>
      <c r="IH25" s="62"/>
      <c r="II25" s="63"/>
      <c r="IJ25" s="62"/>
      <c r="IK25" s="63"/>
      <c r="IL25" s="62"/>
      <c r="IM25" s="63"/>
      <c r="IN25" s="62"/>
      <c r="IO25" s="63"/>
      <c r="IP25" s="62"/>
      <c r="IQ25" s="63"/>
      <c r="IR25" s="62"/>
      <c r="IS25" s="63"/>
      <c r="IT25" s="62"/>
      <c r="IU25" s="63"/>
      <c r="IV25" s="62"/>
      <c r="IW25" s="63"/>
      <c r="IX25" s="62"/>
      <c r="IY25" s="63"/>
      <c r="IZ25" s="62"/>
      <c r="JA25" s="63"/>
      <c r="JB25" s="62"/>
      <c r="JC25" s="63"/>
      <c r="JD25" s="62"/>
      <c r="JE25" s="63"/>
      <c r="JF25" s="62"/>
      <c r="JG25" s="63"/>
      <c r="JH25" s="62"/>
      <c r="JI25" s="63"/>
      <c r="JJ25" s="62"/>
      <c r="JK25" s="63"/>
      <c r="JL25" s="62"/>
      <c r="JM25" s="63"/>
      <c r="JN25" s="62"/>
      <c r="JO25" s="63"/>
      <c r="JP25" s="62"/>
      <c r="JQ25" s="63"/>
      <c r="JR25" s="62"/>
      <c r="JS25" s="63"/>
      <c r="JT25" s="62"/>
      <c r="JU25" s="63"/>
      <c r="JV25" s="62"/>
      <c r="JW25" s="63"/>
      <c r="JX25" s="62"/>
      <c r="JY25" s="63"/>
      <c r="JZ25" s="62"/>
      <c r="KA25" s="63"/>
      <c r="KB25" s="62"/>
      <c r="KC25" s="63"/>
      <c r="KD25" s="62"/>
      <c r="KE25" s="63"/>
      <c r="KF25" s="62"/>
      <c r="KG25" s="63"/>
      <c r="KH25" s="62"/>
      <c r="KI25" s="63"/>
      <c r="KJ25" s="62"/>
      <c r="KK25" s="63"/>
      <c r="KL25" s="62"/>
      <c r="KM25" s="63"/>
      <c r="KN25" s="62"/>
      <c r="KO25" s="63"/>
      <c r="KP25" s="62"/>
      <c r="KQ25" s="63"/>
      <c r="KR25" s="62"/>
      <c r="KS25" s="63"/>
      <c r="KT25" s="62"/>
      <c r="KU25" s="63"/>
      <c r="KV25" s="62"/>
      <c r="KW25" s="63"/>
      <c r="KX25" s="62"/>
      <c r="KY25" s="63"/>
      <c r="KZ25" s="62"/>
      <c r="LA25" s="63"/>
      <c r="LB25" s="62"/>
      <c r="LC25" s="63"/>
      <c r="LD25" s="62"/>
      <c r="LE25" s="63"/>
      <c r="LF25" s="62"/>
      <c r="LG25" s="63"/>
      <c r="LH25" s="62"/>
      <c r="LI25" s="63"/>
      <c r="LJ25" s="62"/>
      <c r="LK25" s="63"/>
      <c r="LL25" s="62"/>
      <c r="LM25" s="63"/>
      <c r="LN25" s="62"/>
      <c r="LO25" s="63"/>
      <c r="LP25" s="62"/>
      <c r="LQ25" s="63"/>
      <c r="LR25" s="62"/>
      <c r="LS25" s="63"/>
      <c r="LT25" s="62"/>
      <c r="LU25" s="63"/>
      <c r="LV25" s="62"/>
      <c r="LW25" s="63"/>
      <c r="LX25" s="62"/>
      <c r="LY25" s="63"/>
      <c r="LZ25" s="62"/>
      <c r="MA25" s="63"/>
      <c r="MB25" s="62"/>
      <c r="MC25" s="63"/>
      <c r="MD25" s="62"/>
      <c r="ME25" s="63"/>
      <c r="MF25" s="62"/>
      <c r="MG25" s="63"/>
      <c r="MH25" s="62"/>
      <c r="MI25" s="63"/>
      <c r="MJ25" s="62"/>
      <c r="MK25" s="63"/>
      <c r="ML25" s="62"/>
      <c r="MM25" s="63"/>
      <c r="MN25" s="62"/>
      <c r="MO25" s="63"/>
      <c r="MP25" s="62"/>
      <c r="MQ25" s="63"/>
      <c r="MR25" s="62"/>
      <c r="MS25" s="63"/>
      <c r="MT25" s="62"/>
      <c r="MU25" s="63"/>
      <c r="MV25" s="62"/>
      <c r="MW25" s="63"/>
      <c r="MX25" s="62"/>
      <c r="MY25" s="63"/>
      <c r="MZ25" s="62"/>
      <c r="NA25" s="63"/>
      <c r="NB25" s="62"/>
      <c r="NC25" s="63"/>
      <c r="ND25" s="62"/>
      <c r="NE25" s="63"/>
      <c r="NF25" s="62"/>
      <c r="NG25" s="63"/>
      <c r="NH25" s="62"/>
      <c r="NI25" s="63"/>
      <c r="NJ25" s="62"/>
      <c r="NK25" s="63"/>
      <c r="NL25" s="62"/>
      <c r="NM25" s="63"/>
      <c r="NN25" s="62"/>
      <c r="NO25" s="63"/>
      <c r="NP25" s="62"/>
      <c r="NQ25" s="63"/>
      <c r="NR25" s="62"/>
      <c r="NS25" s="63"/>
      <c r="NT25" s="62"/>
      <c r="NU25" s="63"/>
      <c r="NV25" s="62"/>
      <c r="NW25" s="63"/>
      <c r="NX25" s="62"/>
      <c r="NY25" s="63"/>
      <c r="NZ25" s="62"/>
      <c r="OA25" s="63"/>
      <c r="OB25" s="62"/>
      <c r="OC25" s="63"/>
      <c r="OD25" s="62"/>
      <c r="OE25" s="63"/>
      <c r="OF25" s="62"/>
      <c r="OG25" s="63"/>
      <c r="OH25" s="62"/>
      <c r="OI25" s="63"/>
      <c r="OJ25" s="62"/>
      <c r="OK25" s="63"/>
      <c r="OL25" s="62"/>
      <c r="OM25" s="63"/>
      <c r="ON25" s="62"/>
      <c r="OO25" s="63"/>
      <c r="OP25" s="62"/>
      <c r="OQ25" s="63"/>
      <c r="OR25" s="62"/>
      <c r="OS25" s="63"/>
      <c r="OT25" s="62"/>
      <c r="OU25" s="63"/>
      <c r="OV25" s="62"/>
      <c r="OW25" s="63"/>
      <c r="OX25" s="62"/>
      <c r="OY25" s="63"/>
      <c r="OZ25" s="62"/>
      <c r="PA25" s="63"/>
      <c r="PB25" s="62"/>
      <c r="PC25" s="63"/>
      <c r="PD25" s="62"/>
      <c r="PE25" s="63"/>
      <c r="PF25" s="62"/>
      <c r="PG25" s="63"/>
      <c r="PH25" s="62"/>
      <c r="PI25" s="63"/>
      <c r="PJ25" s="62"/>
      <c r="PK25" s="63"/>
      <c r="PL25" s="62"/>
      <c r="PM25" s="63"/>
      <c r="PN25" s="62"/>
      <c r="PO25" s="63"/>
      <c r="PP25" s="62"/>
      <c r="PQ25" s="63"/>
      <c r="PR25" s="62"/>
      <c r="PS25" s="63"/>
      <c r="PT25" s="62"/>
      <c r="PU25" s="63"/>
      <c r="PV25" s="62"/>
      <c r="PW25" s="63"/>
      <c r="PX25" s="62"/>
      <c r="PY25" s="63"/>
      <c r="PZ25" s="62"/>
      <c r="QA25" s="63"/>
      <c r="QB25" s="62"/>
      <c r="QC25" s="63"/>
      <c r="QD25" s="62"/>
      <c r="QE25" s="63"/>
      <c r="QF25" s="62"/>
      <c r="QG25" s="63"/>
      <c r="QH25" s="62"/>
      <c r="QI25" s="63"/>
      <c r="QJ25" s="62"/>
      <c r="QK25" s="63"/>
      <c r="QL25" s="62"/>
      <c r="QM25" s="63"/>
      <c r="QN25" s="62"/>
      <c r="QO25" s="63"/>
      <c r="QP25" s="62"/>
      <c r="QQ25" s="63"/>
      <c r="QR25" s="62"/>
      <c r="QS25" s="63"/>
      <c r="QT25" s="62"/>
      <c r="QU25" s="63"/>
      <c r="QV25" s="62"/>
      <c r="QW25" s="63"/>
      <c r="QX25" s="62"/>
      <c r="QY25" s="63"/>
      <c r="QZ25" s="62"/>
      <c r="RA25" s="63"/>
      <c r="RB25" s="62"/>
      <c r="RC25" s="63"/>
      <c r="RD25" s="31"/>
    </row>
    <row r="26" spans="1:472" s="5" customFormat="1" ht="15" hidden="1" customHeight="1" x14ac:dyDescent="0.25">
      <c r="A26" s="5">
        <v>2026</v>
      </c>
      <c r="B26" s="5" t="s">
        <v>62</v>
      </c>
      <c r="C26" s="5" t="s">
        <v>146</v>
      </c>
      <c r="D26" s="5">
        <v>49</v>
      </c>
      <c r="E26" s="13"/>
      <c r="F26" s="5" t="s">
        <v>58</v>
      </c>
      <c r="H26" s="5" t="s">
        <v>151</v>
      </c>
      <c r="I26" s="62"/>
      <c r="J26" s="63"/>
      <c r="K26" s="62"/>
      <c r="L26" s="63"/>
      <c r="M26" s="62"/>
      <c r="N26" s="63"/>
      <c r="O26" s="62"/>
      <c r="P26" s="63"/>
      <c r="Q26" s="62"/>
      <c r="R26" s="63"/>
      <c r="S26" s="62"/>
      <c r="T26" s="63"/>
      <c r="X26" s="62"/>
      <c r="Y26" s="63"/>
      <c r="Z26" s="62"/>
      <c r="AA26" s="63"/>
      <c r="AB26" s="62"/>
      <c r="AC26" s="63"/>
      <c r="AD26" s="62"/>
      <c r="AE26" s="63"/>
      <c r="AF26" s="62"/>
      <c r="AG26" s="63"/>
      <c r="AH26" s="62"/>
      <c r="AI26" s="63"/>
      <c r="AJ26" s="62"/>
      <c r="AK26" s="63"/>
      <c r="AL26" s="62"/>
      <c r="AM26" s="63"/>
      <c r="AN26" s="62"/>
      <c r="AO26" s="63"/>
      <c r="AP26" s="62"/>
      <c r="AQ26" s="63"/>
      <c r="AR26" s="62" t="s">
        <v>66</v>
      </c>
      <c r="AS26" s="63"/>
      <c r="AT26" s="62" t="s">
        <v>66</v>
      </c>
      <c r="AU26" s="63"/>
      <c r="AV26" s="62" t="s">
        <v>38</v>
      </c>
      <c r="AW26" s="63"/>
      <c r="AX26" s="62" t="s">
        <v>38</v>
      </c>
      <c r="AY26" s="63"/>
      <c r="AZ26" s="31" t="s">
        <v>38</v>
      </c>
      <c r="BA26" s="32" t="s">
        <v>36</v>
      </c>
      <c r="BB26" s="62" t="s">
        <v>36</v>
      </c>
      <c r="BC26" s="63"/>
      <c r="BD26" s="62" t="s">
        <v>36</v>
      </c>
      <c r="BE26" s="63"/>
      <c r="BF26" s="62" t="s">
        <v>36</v>
      </c>
      <c r="BG26" s="63"/>
      <c r="BH26" s="62" t="s">
        <v>36</v>
      </c>
      <c r="BI26" s="63"/>
      <c r="BJ26" s="62" t="s">
        <v>36</v>
      </c>
      <c r="BK26" s="63"/>
      <c r="BL26" s="62" t="s">
        <v>310</v>
      </c>
      <c r="BM26" s="63"/>
      <c r="BN26" s="62" t="s">
        <v>310</v>
      </c>
      <c r="BO26" s="63"/>
      <c r="BP26" s="62" t="s">
        <v>37</v>
      </c>
      <c r="BQ26" s="63"/>
      <c r="BR26" s="62" t="s">
        <v>37</v>
      </c>
      <c r="BS26" s="63"/>
      <c r="BT26" s="62" t="s">
        <v>37</v>
      </c>
      <c r="BU26" s="63"/>
      <c r="BV26" s="62"/>
      <c r="BW26" s="63"/>
      <c r="BX26" s="62"/>
      <c r="BY26" s="63"/>
      <c r="BZ26" s="62"/>
      <c r="CA26" s="63"/>
      <c r="CB26" s="62"/>
      <c r="CC26" s="63"/>
      <c r="CD26" s="62"/>
      <c r="CE26" s="63"/>
      <c r="CF26" s="62"/>
      <c r="CG26" s="63"/>
      <c r="CH26" s="62"/>
      <c r="CI26" s="63"/>
      <c r="CJ26" s="62"/>
      <c r="CK26" s="63"/>
      <c r="CL26" s="62"/>
      <c r="CM26" s="63"/>
      <c r="CN26" s="62"/>
      <c r="CO26" s="63"/>
      <c r="CP26" s="62"/>
      <c r="CQ26" s="63"/>
      <c r="CR26" s="62"/>
      <c r="CS26" s="63"/>
      <c r="CT26" s="62"/>
      <c r="CU26" s="63"/>
      <c r="CV26" s="62"/>
      <c r="CW26" s="63"/>
      <c r="CX26" s="62"/>
      <c r="CY26" s="63"/>
      <c r="CZ26" s="62"/>
      <c r="DA26" s="63"/>
      <c r="DB26" s="62"/>
      <c r="DC26" s="63"/>
      <c r="DD26" s="62"/>
      <c r="DE26" s="63"/>
      <c r="DF26" s="62"/>
      <c r="DG26" s="63"/>
      <c r="DH26" s="62"/>
      <c r="DI26" s="63"/>
      <c r="DJ26" s="62"/>
      <c r="DK26" s="63"/>
      <c r="DL26" s="62"/>
      <c r="DM26" s="63"/>
      <c r="DN26" s="62"/>
      <c r="DO26" s="63"/>
      <c r="DP26" s="62"/>
      <c r="DQ26" s="63"/>
      <c r="DR26" s="62"/>
      <c r="DS26" s="63"/>
      <c r="DT26" s="62"/>
      <c r="DU26" s="63"/>
      <c r="DV26" s="62"/>
      <c r="DW26" s="63"/>
      <c r="DX26" s="62"/>
      <c r="DY26" s="63"/>
      <c r="DZ26" s="62"/>
      <c r="EA26" s="63"/>
      <c r="EB26" s="62"/>
      <c r="EC26" s="63"/>
      <c r="ED26" s="62"/>
      <c r="EE26" s="63"/>
      <c r="EF26" s="62"/>
      <c r="EG26" s="63"/>
      <c r="EH26" s="62"/>
      <c r="EI26" s="63"/>
      <c r="EJ26" s="62"/>
      <c r="EK26" s="63"/>
      <c r="EL26" s="62"/>
      <c r="EM26" s="63"/>
      <c r="EN26" s="62"/>
      <c r="EO26" s="63"/>
      <c r="EP26" s="62"/>
      <c r="EQ26" s="63"/>
      <c r="ER26" s="62"/>
      <c r="ES26" s="63"/>
      <c r="ET26" s="62"/>
      <c r="EU26" s="63"/>
      <c r="EV26" s="62"/>
      <c r="EW26" s="63"/>
      <c r="EX26" s="62"/>
      <c r="EY26" s="63"/>
      <c r="EZ26" s="62"/>
      <c r="FA26" s="63"/>
      <c r="FB26" s="62"/>
      <c r="FC26" s="63"/>
      <c r="FD26" s="62"/>
      <c r="FE26" s="63"/>
      <c r="FF26" s="62"/>
      <c r="FG26" s="63"/>
      <c r="FH26" s="62"/>
      <c r="FI26" s="63"/>
      <c r="FJ26" s="62"/>
      <c r="FK26" s="63"/>
      <c r="FL26" s="62"/>
      <c r="FM26" s="63"/>
      <c r="FN26" s="62"/>
      <c r="FO26" s="63"/>
      <c r="FP26" s="62"/>
      <c r="FQ26" s="63"/>
      <c r="FR26" s="62"/>
      <c r="FS26" s="63"/>
      <c r="FT26" s="62"/>
      <c r="FU26" s="63"/>
      <c r="FV26" s="62"/>
      <c r="FW26" s="63"/>
      <c r="FX26" s="62"/>
      <c r="FY26" s="63"/>
      <c r="FZ26" s="62"/>
      <c r="GA26" s="63"/>
      <c r="GB26" s="62"/>
      <c r="GC26" s="63"/>
      <c r="GD26" s="62"/>
      <c r="GE26" s="63"/>
      <c r="GF26" s="62"/>
      <c r="GG26" s="63"/>
      <c r="GH26" s="62"/>
      <c r="GI26" s="63"/>
      <c r="GJ26" s="62"/>
      <c r="GK26" s="63"/>
      <c r="GL26" s="62"/>
      <c r="GM26" s="63"/>
      <c r="GN26" s="62"/>
      <c r="GO26" s="63"/>
      <c r="GP26" s="62"/>
      <c r="GQ26" s="63"/>
      <c r="GR26" s="62"/>
      <c r="GS26" s="63"/>
      <c r="GT26" s="62"/>
      <c r="GU26" s="63"/>
      <c r="GV26" s="62"/>
      <c r="GW26" s="63"/>
      <c r="GX26" s="62"/>
      <c r="GY26" s="63"/>
      <c r="GZ26" s="62"/>
      <c r="HA26" s="63"/>
      <c r="HB26" s="62"/>
      <c r="HC26" s="63"/>
      <c r="HD26" s="62"/>
      <c r="HE26" s="63"/>
      <c r="HF26" s="62"/>
      <c r="HG26" s="63"/>
      <c r="HH26" s="62"/>
      <c r="HI26" s="63"/>
      <c r="HJ26" s="62"/>
      <c r="HK26" s="63"/>
      <c r="HL26" s="62"/>
      <c r="HM26" s="63"/>
      <c r="HN26" s="62"/>
      <c r="HO26" s="63"/>
      <c r="HP26" s="62"/>
      <c r="HQ26" s="63"/>
      <c r="HR26" s="62"/>
      <c r="HS26" s="63"/>
      <c r="HT26" s="62"/>
      <c r="HU26" s="63"/>
      <c r="HV26" s="62"/>
      <c r="HW26" s="63"/>
      <c r="HX26" s="62"/>
      <c r="HY26" s="63"/>
      <c r="HZ26" s="62"/>
      <c r="IA26" s="63"/>
      <c r="IB26" s="62"/>
      <c r="IC26" s="63"/>
      <c r="ID26" s="62"/>
      <c r="IE26" s="63"/>
      <c r="IF26" s="62"/>
      <c r="IG26" s="63"/>
      <c r="IH26" s="62"/>
      <c r="II26" s="63"/>
      <c r="IJ26" s="62"/>
      <c r="IK26" s="63"/>
      <c r="IL26" s="62"/>
      <c r="IM26" s="63"/>
      <c r="IN26" s="62"/>
      <c r="IO26" s="63"/>
      <c r="IP26" s="62"/>
      <c r="IQ26" s="63"/>
      <c r="IR26" s="62"/>
      <c r="IS26" s="63"/>
      <c r="IT26" s="62"/>
      <c r="IU26" s="63"/>
      <c r="IV26" s="62"/>
      <c r="IW26" s="63"/>
      <c r="IX26" s="62"/>
      <c r="IY26" s="63"/>
      <c r="IZ26" s="62"/>
      <c r="JA26" s="63"/>
      <c r="JB26" s="62"/>
      <c r="JC26" s="63"/>
      <c r="JD26" s="62"/>
      <c r="JE26" s="63"/>
      <c r="JF26" s="62"/>
      <c r="JG26" s="63"/>
      <c r="JH26" s="62"/>
      <c r="JI26" s="63"/>
      <c r="JJ26" s="62"/>
      <c r="JK26" s="63"/>
      <c r="JL26" s="62"/>
      <c r="JM26" s="63"/>
      <c r="JN26" s="62"/>
      <c r="JO26" s="63"/>
      <c r="JP26" s="62"/>
      <c r="JQ26" s="63"/>
      <c r="JR26" s="62"/>
      <c r="JS26" s="63"/>
      <c r="JT26" s="62"/>
      <c r="JU26" s="63"/>
      <c r="JV26" s="62"/>
      <c r="JW26" s="63"/>
      <c r="JX26" s="62"/>
      <c r="JY26" s="63"/>
      <c r="JZ26" s="62"/>
      <c r="KA26" s="63"/>
      <c r="KB26" s="62"/>
      <c r="KC26" s="63"/>
      <c r="KD26" s="62"/>
      <c r="KE26" s="63"/>
      <c r="KF26" s="62"/>
      <c r="KG26" s="63"/>
      <c r="KH26" s="62"/>
      <c r="KI26" s="63"/>
      <c r="KJ26" s="62"/>
      <c r="KK26" s="63"/>
      <c r="KL26" s="62"/>
      <c r="KM26" s="63"/>
      <c r="KN26" s="62"/>
      <c r="KO26" s="63"/>
      <c r="KP26" s="62"/>
      <c r="KQ26" s="63"/>
      <c r="KR26" s="62"/>
      <c r="KS26" s="63"/>
      <c r="KT26" s="62"/>
      <c r="KU26" s="63"/>
      <c r="KV26" s="62"/>
      <c r="KW26" s="63"/>
      <c r="KX26" s="62"/>
      <c r="KY26" s="63"/>
      <c r="KZ26" s="62"/>
      <c r="LA26" s="63"/>
      <c r="LB26" s="62"/>
      <c r="LC26" s="63"/>
      <c r="LD26" s="62"/>
      <c r="LE26" s="63"/>
      <c r="LF26" s="62"/>
      <c r="LG26" s="63"/>
      <c r="LH26" s="62"/>
      <c r="LI26" s="63"/>
      <c r="LJ26" s="62"/>
      <c r="LK26" s="63"/>
      <c r="LL26" s="62"/>
      <c r="LM26" s="63"/>
      <c r="LN26" s="62"/>
      <c r="LO26" s="63"/>
      <c r="LP26" s="62"/>
      <c r="LQ26" s="63"/>
      <c r="LR26" s="62"/>
      <c r="LS26" s="63"/>
      <c r="LT26" s="62"/>
      <c r="LU26" s="63"/>
      <c r="LV26" s="62"/>
      <c r="LW26" s="63"/>
      <c r="LX26" s="62"/>
      <c r="LY26" s="63"/>
      <c r="LZ26" s="62"/>
      <c r="MA26" s="63"/>
      <c r="MB26" s="62"/>
      <c r="MC26" s="63"/>
      <c r="MD26" s="62"/>
      <c r="ME26" s="63"/>
      <c r="MF26" s="62"/>
      <c r="MG26" s="63"/>
      <c r="MH26" s="62"/>
      <c r="MI26" s="63"/>
      <c r="MJ26" s="62"/>
      <c r="MK26" s="63"/>
      <c r="ML26" s="62"/>
      <c r="MM26" s="63"/>
      <c r="MN26" s="62"/>
      <c r="MO26" s="63"/>
      <c r="MP26" s="62"/>
      <c r="MQ26" s="63"/>
      <c r="MR26" s="62"/>
      <c r="MS26" s="63"/>
      <c r="MT26" s="62"/>
      <c r="MU26" s="63"/>
      <c r="MV26" s="62"/>
      <c r="MW26" s="63"/>
      <c r="MX26" s="62"/>
      <c r="MY26" s="63"/>
      <c r="MZ26" s="62"/>
      <c r="NA26" s="63"/>
      <c r="NB26" s="62"/>
      <c r="NC26" s="63"/>
      <c r="ND26" s="62"/>
      <c r="NE26" s="63"/>
      <c r="NF26" s="62"/>
      <c r="NG26" s="63"/>
      <c r="NH26" s="62"/>
      <c r="NI26" s="63"/>
      <c r="NJ26" s="62"/>
      <c r="NK26" s="63"/>
      <c r="NL26" s="62"/>
      <c r="NM26" s="63"/>
      <c r="NN26" s="62"/>
      <c r="NO26" s="63"/>
      <c r="NP26" s="62"/>
      <c r="NQ26" s="63"/>
      <c r="NR26" s="62"/>
      <c r="NS26" s="63"/>
      <c r="NT26" s="62"/>
      <c r="NU26" s="63"/>
      <c r="NV26" s="62"/>
      <c r="NW26" s="63"/>
      <c r="NX26" s="62"/>
      <c r="NY26" s="63"/>
      <c r="NZ26" s="62"/>
      <c r="OA26" s="63"/>
      <c r="OB26" s="62"/>
      <c r="OC26" s="63"/>
      <c r="OD26" s="62"/>
      <c r="OE26" s="63"/>
      <c r="OF26" s="62"/>
      <c r="OG26" s="63"/>
      <c r="OH26" s="62"/>
      <c r="OI26" s="63"/>
      <c r="OJ26" s="62"/>
      <c r="OK26" s="63"/>
      <c r="OL26" s="62"/>
      <c r="OM26" s="63"/>
      <c r="ON26" s="62"/>
      <c r="OO26" s="63"/>
      <c r="OP26" s="62"/>
      <c r="OQ26" s="63"/>
      <c r="OR26" s="62"/>
      <c r="OS26" s="63"/>
      <c r="OT26" s="62"/>
      <c r="OU26" s="63"/>
      <c r="OV26" s="62"/>
      <c r="OW26" s="63"/>
      <c r="OX26" s="62"/>
      <c r="OY26" s="63"/>
      <c r="OZ26" s="62"/>
      <c r="PA26" s="63"/>
      <c r="PB26" s="62"/>
      <c r="PC26" s="63"/>
      <c r="PD26" s="62"/>
      <c r="PE26" s="63"/>
      <c r="PF26" s="62"/>
      <c r="PG26" s="63"/>
      <c r="PH26" s="62"/>
      <c r="PI26" s="63"/>
      <c r="PJ26" s="62"/>
      <c r="PK26" s="63"/>
      <c r="PL26" s="62"/>
      <c r="PM26" s="63"/>
      <c r="PN26" s="62"/>
      <c r="PO26" s="63"/>
      <c r="PP26" s="62"/>
      <c r="PQ26" s="63"/>
      <c r="PR26" s="62"/>
      <c r="PS26" s="63"/>
      <c r="PT26" s="62"/>
      <c r="PU26" s="63"/>
      <c r="PV26" s="62"/>
      <c r="PW26" s="63"/>
      <c r="PX26" s="62"/>
      <c r="PY26" s="63"/>
      <c r="PZ26" s="62"/>
      <c r="QA26" s="63"/>
      <c r="QB26" s="62"/>
      <c r="QC26" s="63"/>
      <c r="QD26" s="62"/>
      <c r="QE26" s="63"/>
      <c r="QF26" s="62"/>
      <c r="QG26" s="63"/>
      <c r="QH26" s="62"/>
      <c r="QI26" s="63"/>
      <c r="QJ26" s="62"/>
      <c r="QK26" s="63"/>
      <c r="QL26" s="62"/>
      <c r="QM26" s="63"/>
      <c r="QN26" s="62"/>
      <c r="QO26" s="63"/>
      <c r="QP26" s="62"/>
      <c r="QQ26" s="63"/>
      <c r="QR26" s="62"/>
      <c r="QS26" s="63"/>
      <c r="QT26" s="62"/>
      <c r="QU26" s="63"/>
      <c r="QV26" s="62"/>
      <c r="QW26" s="63"/>
      <c r="QX26" s="62"/>
      <c r="QY26" s="63"/>
      <c r="QZ26" s="62"/>
      <c r="RA26" s="63"/>
      <c r="RB26" s="62"/>
      <c r="RC26" s="63"/>
      <c r="RD26" s="31"/>
    </row>
    <row r="27" spans="1:472" s="5" customFormat="1" ht="15" hidden="1" customHeight="1" x14ac:dyDescent="0.25">
      <c r="A27" s="5">
        <v>2029</v>
      </c>
      <c r="B27" s="5" t="s">
        <v>65</v>
      </c>
      <c r="C27" s="5" t="s">
        <v>4</v>
      </c>
      <c r="D27" s="5">
        <v>83</v>
      </c>
      <c r="E27" s="13"/>
      <c r="F27" s="5" t="s">
        <v>271</v>
      </c>
      <c r="H27" s="5" t="s">
        <v>148</v>
      </c>
      <c r="I27" s="62"/>
      <c r="J27" s="63"/>
      <c r="K27" s="62"/>
      <c r="L27" s="63"/>
      <c r="M27" s="62"/>
      <c r="N27" s="63"/>
      <c r="O27" s="62"/>
      <c r="P27" s="63"/>
      <c r="Q27" s="62"/>
      <c r="R27" s="63"/>
      <c r="S27" s="62"/>
      <c r="T27" s="63"/>
      <c r="X27" s="62"/>
      <c r="Y27" s="63"/>
      <c r="Z27" s="62"/>
      <c r="AA27" s="63"/>
      <c r="AB27" s="62"/>
      <c r="AC27" s="63"/>
      <c r="AD27" s="62"/>
      <c r="AE27" s="63"/>
      <c r="AF27" s="62"/>
      <c r="AG27" s="63"/>
      <c r="AH27" s="62"/>
      <c r="AI27" s="63"/>
      <c r="AJ27" s="62"/>
      <c r="AK27" s="63"/>
      <c r="AL27" s="62"/>
      <c r="AM27" s="63"/>
      <c r="AN27" s="62"/>
      <c r="AO27" s="63"/>
      <c r="AP27" s="62"/>
      <c r="AQ27" s="63"/>
      <c r="AR27" s="62"/>
      <c r="AS27" s="63"/>
      <c r="AT27" s="62"/>
      <c r="AU27" s="63"/>
      <c r="AV27" s="62"/>
      <c r="AW27" s="63"/>
      <c r="AX27" s="62" t="s">
        <v>66</v>
      </c>
      <c r="AY27" s="63"/>
      <c r="AZ27" s="62" t="s">
        <v>66</v>
      </c>
      <c r="BA27" s="63"/>
      <c r="BB27" s="31" t="s">
        <v>66</v>
      </c>
      <c r="BC27" s="32" t="s">
        <v>38</v>
      </c>
      <c r="BD27" s="62" t="s">
        <v>38</v>
      </c>
      <c r="BE27" s="63"/>
      <c r="BF27" s="31" t="s">
        <v>38</v>
      </c>
      <c r="BG27" s="32" t="s">
        <v>36</v>
      </c>
      <c r="BH27" s="62" t="s">
        <v>36</v>
      </c>
      <c r="BI27" s="63"/>
      <c r="BJ27" s="62" t="s">
        <v>36</v>
      </c>
      <c r="BK27" s="63"/>
      <c r="BL27" s="62" t="s">
        <v>36</v>
      </c>
      <c r="BM27" s="63"/>
      <c r="BN27" s="62" t="s">
        <v>310</v>
      </c>
      <c r="BO27" s="63"/>
      <c r="BP27" s="62" t="s">
        <v>37</v>
      </c>
      <c r="BQ27" s="63"/>
      <c r="BR27" s="62" t="s">
        <v>37</v>
      </c>
      <c r="BS27" s="63"/>
      <c r="BT27" s="62" t="s">
        <v>37</v>
      </c>
      <c r="BU27" s="63"/>
      <c r="BV27" s="62"/>
      <c r="BW27" s="63"/>
      <c r="BX27" s="62"/>
      <c r="BY27" s="63"/>
      <c r="BZ27" s="62"/>
      <c r="CA27" s="63"/>
      <c r="CB27" s="62"/>
      <c r="CC27" s="63"/>
      <c r="CD27" s="62"/>
      <c r="CE27" s="63"/>
      <c r="CF27" s="62"/>
      <c r="CG27" s="63"/>
      <c r="CH27" s="62"/>
      <c r="CI27" s="63"/>
      <c r="CJ27" s="62"/>
      <c r="CK27" s="63"/>
      <c r="CL27" s="62"/>
      <c r="CM27" s="63"/>
      <c r="CN27" s="62"/>
      <c r="CO27" s="63"/>
      <c r="CP27" s="62"/>
      <c r="CQ27" s="63"/>
      <c r="CR27" s="62"/>
      <c r="CS27" s="63"/>
      <c r="CT27" s="62"/>
      <c r="CU27" s="63"/>
      <c r="CV27" s="62"/>
      <c r="CW27" s="63"/>
      <c r="CX27" s="62"/>
      <c r="CY27" s="63"/>
      <c r="CZ27" s="62"/>
      <c r="DA27" s="63"/>
      <c r="DB27" s="62"/>
      <c r="DC27" s="63"/>
      <c r="DD27" s="62"/>
      <c r="DE27" s="63"/>
      <c r="DF27" s="62"/>
      <c r="DG27" s="63"/>
      <c r="DH27" s="62"/>
      <c r="DI27" s="63"/>
      <c r="DJ27" s="62"/>
      <c r="DK27" s="63"/>
      <c r="DL27" s="62"/>
      <c r="DM27" s="63"/>
      <c r="DN27" s="62"/>
      <c r="DO27" s="63"/>
      <c r="DP27" s="62"/>
      <c r="DQ27" s="63"/>
      <c r="DR27" s="62"/>
      <c r="DS27" s="63"/>
      <c r="DT27" s="62"/>
      <c r="DU27" s="63"/>
      <c r="DV27" s="62"/>
      <c r="DW27" s="63"/>
      <c r="DX27" s="62"/>
      <c r="DY27" s="63"/>
      <c r="DZ27" s="62"/>
      <c r="EA27" s="63"/>
      <c r="EB27" s="62"/>
      <c r="EC27" s="63"/>
      <c r="ED27" s="62"/>
      <c r="EE27" s="63"/>
      <c r="EF27" s="62"/>
      <c r="EG27" s="63"/>
      <c r="EH27" s="62"/>
      <c r="EI27" s="63"/>
      <c r="EJ27" s="62"/>
      <c r="EK27" s="63"/>
      <c r="EL27" s="62"/>
      <c r="EM27" s="63"/>
      <c r="EN27" s="62"/>
      <c r="EO27" s="63"/>
      <c r="EP27" s="62"/>
      <c r="EQ27" s="63"/>
      <c r="ER27" s="62"/>
      <c r="ES27" s="63"/>
      <c r="ET27" s="62"/>
      <c r="EU27" s="63"/>
      <c r="EV27" s="62"/>
      <c r="EW27" s="63"/>
      <c r="EX27" s="62"/>
      <c r="EY27" s="63"/>
      <c r="EZ27" s="62"/>
      <c r="FA27" s="63"/>
      <c r="FB27" s="62"/>
      <c r="FC27" s="63"/>
      <c r="FD27" s="62"/>
      <c r="FE27" s="63"/>
      <c r="FF27" s="62"/>
      <c r="FG27" s="63"/>
      <c r="FH27" s="62"/>
      <c r="FI27" s="63"/>
      <c r="FJ27" s="62"/>
      <c r="FK27" s="63"/>
      <c r="FL27" s="62"/>
      <c r="FM27" s="63"/>
      <c r="FN27" s="62"/>
      <c r="FO27" s="63"/>
      <c r="FP27" s="62"/>
      <c r="FQ27" s="63"/>
      <c r="FR27" s="62"/>
      <c r="FS27" s="63"/>
      <c r="FT27" s="62"/>
      <c r="FU27" s="63"/>
      <c r="FV27" s="62"/>
      <c r="FW27" s="63"/>
      <c r="FX27" s="62"/>
      <c r="FY27" s="63"/>
      <c r="FZ27" s="62"/>
      <c r="GA27" s="63"/>
      <c r="GB27" s="62"/>
      <c r="GC27" s="63"/>
      <c r="GD27" s="62"/>
      <c r="GE27" s="63"/>
      <c r="GF27" s="62"/>
      <c r="GG27" s="63"/>
      <c r="GH27" s="62"/>
      <c r="GI27" s="63"/>
      <c r="GJ27" s="62"/>
      <c r="GK27" s="63"/>
      <c r="GL27" s="62"/>
      <c r="GM27" s="63"/>
      <c r="GN27" s="62"/>
      <c r="GO27" s="63"/>
      <c r="GP27" s="62"/>
      <c r="GQ27" s="63"/>
      <c r="GR27" s="62"/>
      <c r="GS27" s="63"/>
      <c r="GT27" s="62"/>
      <c r="GU27" s="63"/>
      <c r="GV27" s="62"/>
      <c r="GW27" s="63"/>
      <c r="GX27" s="62"/>
      <c r="GY27" s="63"/>
      <c r="GZ27" s="62"/>
      <c r="HA27" s="63"/>
      <c r="HB27" s="62"/>
      <c r="HC27" s="63"/>
      <c r="HD27" s="62"/>
      <c r="HE27" s="63"/>
      <c r="HF27" s="62"/>
      <c r="HG27" s="63"/>
      <c r="HH27" s="62"/>
      <c r="HI27" s="63"/>
      <c r="HJ27" s="62"/>
      <c r="HK27" s="63"/>
      <c r="HL27" s="62"/>
      <c r="HM27" s="63"/>
      <c r="HN27" s="62"/>
      <c r="HO27" s="63"/>
      <c r="HP27" s="62"/>
      <c r="HQ27" s="63"/>
      <c r="HR27" s="62"/>
      <c r="HS27" s="63"/>
      <c r="HT27" s="62"/>
      <c r="HU27" s="63"/>
      <c r="HV27" s="62"/>
      <c r="HW27" s="63"/>
      <c r="HX27" s="62"/>
      <c r="HY27" s="63"/>
      <c r="HZ27" s="62"/>
      <c r="IA27" s="63"/>
      <c r="IB27" s="62"/>
      <c r="IC27" s="63"/>
      <c r="ID27" s="62"/>
      <c r="IE27" s="63"/>
      <c r="IF27" s="62"/>
      <c r="IG27" s="63"/>
      <c r="IH27" s="62"/>
      <c r="II27" s="63"/>
      <c r="IJ27" s="62"/>
      <c r="IK27" s="63"/>
      <c r="IL27" s="62"/>
      <c r="IM27" s="63"/>
      <c r="IN27" s="62"/>
      <c r="IO27" s="63"/>
      <c r="IP27" s="62"/>
      <c r="IQ27" s="63"/>
      <c r="IR27" s="62"/>
      <c r="IS27" s="63"/>
      <c r="IT27" s="62"/>
      <c r="IU27" s="63"/>
      <c r="IV27" s="62"/>
      <c r="IW27" s="63"/>
      <c r="IX27" s="62"/>
      <c r="IY27" s="63"/>
      <c r="IZ27" s="62"/>
      <c r="JA27" s="63"/>
      <c r="JB27" s="62"/>
      <c r="JC27" s="63"/>
      <c r="JD27" s="62"/>
      <c r="JE27" s="63"/>
      <c r="JF27" s="62"/>
      <c r="JG27" s="63"/>
      <c r="JH27" s="62"/>
      <c r="JI27" s="63"/>
      <c r="JJ27" s="62"/>
      <c r="JK27" s="63"/>
      <c r="JL27" s="62"/>
      <c r="JM27" s="63"/>
      <c r="JN27" s="62"/>
      <c r="JO27" s="63"/>
      <c r="JP27" s="62"/>
      <c r="JQ27" s="63"/>
      <c r="JR27" s="62"/>
      <c r="JS27" s="63"/>
      <c r="JT27" s="62"/>
      <c r="JU27" s="63"/>
      <c r="JV27" s="62"/>
      <c r="JW27" s="63"/>
      <c r="JX27" s="62"/>
      <c r="JY27" s="63"/>
      <c r="JZ27" s="62"/>
      <c r="KA27" s="63"/>
      <c r="KB27" s="62"/>
      <c r="KC27" s="63"/>
      <c r="KD27" s="62"/>
      <c r="KE27" s="63"/>
      <c r="KF27" s="62"/>
      <c r="KG27" s="63"/>
      <c r="KH27" s="62"/>
      <c r="KI27" s="63"/>
      <c r="KJ27" s="62"/>
      <c r="KK27" s="63"/>
      <c r="KL27" s="62"/>
      <c r="KM27" s="63"/>
      <c r="KN27" s="62"/>
      <c r="KO27" s="63"/>
      <c r="KP27" s="62"/>
      <c r="KQ27" s="63"/>
      <c r="KR27" s="62"/>
      <c r="KS27" s="63"/>
      <c r="KT27" s="62"/>
      <c r="KU27" s="63"/>
      <c r="KV27" s="62"/>
      <c r="KW27" s="63"/>
      <c r="KX27" s="62"/>
      <c r="KY27" s="63"/>
      <c r="KZ27" s="62"/>
      <c r="LA27" s="63"/>
      <c r="LB27" s="62"/>
      <c r="LC27" s="63"/>
      <c r="LD27" s="62"/>
      <c r="LE27" s="63"/>
      <c r="LF27" s="62"/>
      <c r="LG27" s="63"/>
      <c r="LH27" s="62"/>
      <c r="LI27" s="63"/>
      <c r="LJ27" s="62"/>
      <c r="LK27" s="63"/>
      <c r="LL27" s="62"/>
      <c r="LM27" s="63"/>
      <c r="LN27" s="62"/>
      <c r="LO27" s="63"/>
      <c r="LP27" s="62"/>
      <c r="LQ27" s="63"/>
      <c r="LR27" s="62"/>
      <c r="LS27" s="63"/>
      <c r="LT27" s="62"/>
      <c r="LU27" s="63"/>
      <c r="LV27" s="62"/>
      <c r="LW27" s="63"/>
      <c r="LX27" s="62"/>
      <c r="LY27" s="63"/>
      <c r="LZ27" s="62"/>
      <c r="MA27" s="63"/>
      <c r="MB27" s="62"/>
      <c r="MC27" s="63"/>
      <c r="MD27" s="62"/>
      <c r="ME27" s="63"/>
      <c r="MF27" s="62"/>
      <c r="MG27" s="63"/>
      <c r="MH27" s="62"/>
      <c r="MI27" s="63"/>
      <c r="MJ27" s="62"/>
      <c r="MK27" s="63"/>
      <c r="ML27" s="62"/>
      <c r="MM27" s="63"/>
      <c r="MN27" s="62"/>
      <c r="MO27" s="63"/>
      <c r="MP27" s="62"/>
      <c r="MQ27" s="63"/>
      <c r="MR27" s="62"/>
      <c r="MS27" s="63"/>
      <c r="MT27" s="62"/>
      <c r="MU27" s="63"/>
      <c r="MV27" s="62"/>
      <c r="MW27" s="63"/>
      <c r="MX27" s="62"/>
      <c r="MY27" s="63"/>
      <c r="MZ27" s="62"/>
      <c r="NA27" s="63"/>
      <c r="NB27" s="62"/>
      <c r="NC27" s="63"/>
      <c r="ND27" s="62"/>
      <c r="NE27" s="63"/>
      <c r="NF27" s="62"/>
      <c r="NG27" s="63"/>
      <c r="NH27" s="62"/>
      <c r="NI27" s="63"/>
      <c r="NJ27" s="62"/>
      <c r="NK27" s="63"/>
      <c r="NL27" s="62"/>
      <c r="NM27" s="63"/>
      <c r="NN27" s="62"/>
      <c r="NO27" s="63"/>
      <c r="NP27" s="62"/>
      <c r="NQ27" s="63"/>
      <c r="NR27" s="62"/>
      <c r="NS27" s="63"/>
      <c r="NT27" s="62"/>
      <c r="NU27" s="63"/>
      <c r="NV27" s="62"/>
      <c r="NW27" s="63"/>
      <c r="NX27" s="62"/>
      <c r="NY27" s="63"/>
      <c r="NZ27" s="62"/>
      <c r="OA27" s="63"/>
      <c r="OB27" s="62"/>
      <c r="OC27" s="63"/>
      <c r="OD27" s="62"/>
      <c r="OE27" s="63"/>
      <c r="OF27" s="62"/>
      <c r="OG27" s="63"/>
      <c r="OH27" s="62"/>
      <c r="OI27" s="63"/>
      <c r="OJ27" s="62"/>
      <c r="OK27" s="63"/>
      <c r="OL27" s="62"/>
      <c r="OM27" s="63"/>
      <c r="ON27" s="62"/>
      <c r="OO27" s="63"/>
      <c r="OP27" s="62"/>
      <c r="OQ27" s="63"/>
      <c r="OR27" s="62"/>
      <c r="OS27" s="63"/>
      <c r="OT27" s="62"/>
      <c r="OU27" s="63"/>
      <c r="OV27" s="62"/>
      <c r="OW27" s="63"/>
      <c r="OX27" s="62"/>
      <c r="OY27" s="63"/>
      <c r="OZ27" s="62"/>
      <c r="PA27" s="63"/>
      <c r="PB27" s="62"/>
      <c r="PC27" s="63"/>
      <c r="PD27" s="62"/>
      <c r="PE27" s="63"/>
      <c r="PF27" s="62"/>
      <c r="PG27" s="63"/>
      <c r="PH27" s="62"/>
      <c r="PI27" s="63"/>
      <c r="PJ27" s="62"/>
      <c r="PK27" s="63"/>
      <c r="PL27" s="62"/>
      <c r="PM27" s="63"/>
      <c r="PN27" s="62"/>
      <c r="PO27" s="63"/>
      <c r="PP27" s="62"/>
      <c r="PQ27" s="63"/>
      <c r="PR27" s="62"/>
      <c r="PS27" s="63"/>
      <c r="PT27" s="62"/>
      <c r="PU27" s="63"/>
      <c r="PV27" s="62"/>
      <c r="PW27" s="63"/>
      <c r="PX27" s="62"/>
      <c r="PY27" s="63"/>
      <c r="PZ27" s="62"/>
      <c r="QA27" s="63"/>
      <c r="QB27" s="62"/>
      <c r="QC27" s="63"/>
      <c r="QD27" s="62"/>
      <c r="QE27" s="63"/>
      <c r="QF27" s="62"/>
      <c r="QG27" s="63"/>
      <c r="QH27" s="62"/>
      <c r="QI27" s="63"/>
      <c r="QJ27" s="62"/>
      <c r="QK27" s="63"/>
      <c r="QL27" s="62"/>
      <c r="QM27" s="63"/>
      <c r="QN27" s="62"/>
      <c r="QO27" s="63"/>
      <c r="QP27" s="62"/>
      <c r="QQ27" s="63"/>
      <c r="QR27" s="62"/>
      <c r="QS27" s="63"/>
      <c r="QT27" s="62"/>
      <c r="QU27" s="63"/>
      <c r="QV27" s="62"/>
      <c r="QW27" s="63"/>
      <c r="QX27" s="62"/>
      <c r="QY27" s="63"/>
      <c r="QZ27" s="62"/>
      <c r="RA27" s="63"/>
      <c r="RB27" s="62"/>
      <c r="RC27" s="63"/>
      <c r="RD27" s="31"/>
    </row>
    <row r="28" spans="1:472" s="5" customFormat="1" ht="15" hidden="1" customHeight="1" x14ac:dyDescent="0.25">
      <c r="A28" s="5">
        <v>2027</v>
      </c>
      <c r="B28" s="5" t="s">
        <v>64</v>
      </c>
      <c r="C28" s="5" t="s">
        <v>4</v>
      </c>
      <c r="D28" s="5">
        <v>170</v>
      </c>
      <c r="E28" s="35"/>
      <c r="F28" s="5" t="s">
        <v>55</v>
      </c>
      <c r="H28" s="5" t="s">
        <v>150</v>
      </c>
      <c r="I28" s="62"/>
      <c r="J28" s="63"/>
      <c r="K28" s="62"/>
      <c r="L28" s="63"/>
      <c r="M28" s="62"/>
      <c r="N28" s="63"/>
      <c r="O28" s="62"/>
      <c r="P28" s="63"/>
      <c r="Q28" s="62"/>
      <c r="R28" s="63"/>
      <c r="S28" s="62"/>
      <c r="T28" s="63"/>
      <c r="X28" s="62"/>
      <c r="Y28" s="63"/>
      <c r="Z28" s="62"/>
      <c r="AA28" s="63"/>
      <c r="AB28" s="62"/>
      <c r="AC28" s="63"/>
      <c r="AD28" s="62"/>
      <c r="AE28" s="63"/>
      <c r="AF28" s="62"/>
      <c r="AG28" s="63"/>
      <c r="AH28" s="62"/>
      <c r="AI28" s="63"/>
      <c r="AJ28" s="62"/>
      <c r="AK28" s="63"/>
      <c r="AL28" s="62"/>
      <c r="AM28" s="63"/>
      <c r="AN28" s="62"/>
      <c r="AO28" s="63"/>
      <c r="AP28" s="62" t="s">
        <v>66</v>
      </c>
      <c r="AQ28" s="63"/>
      <c r="AR28" s="62" t="s">
        <v>66</v>
      </c>
      <c r="AS28" s="63" t="s">
        <v>38</v>
      </c>
      <c r="AT28" s="62" t="s">
        <v>38</v>
      </c>
      <c r="AU28" s="63"/>
      <c r="AV28" s="62" t="s">
        <v>38</v>
      </c>
      <c r="AW28" s="63"/>
      <c r="AX28" s="62" t="s">
        <v>38</v>
      </c>
      <c r="AY28" s="63"/>
      <c r="AZ28" s="62" t="s">
        <v>38</v>
      </c>
      <c r="BA28" s="63"/>
      <c r="BB28" s="62" t="s">
        <v>36</v>
      </c>
      <c r="BC28" s="63"/>
      <c r="BD28" s="62" t="s">
        <v>36</v>
      </c>
      <c r="BE28" s="63"/>
      <c r="BF28" s="62" t="s">
        <v>36</v>
      </c>
      <c r="BG28" s="63"/>
      <c r="BH28" s="62" t="s">
        <v>36</v>
      </c>
      <c r="BI28" s="63"/>
      <c r="BJ28" s="62" t="s">
        <v>36</v>
      </c>
      <c r="BK28" s="63"/>
      <c r="BL28" s="62" t="s">
        <v>310</v>
      </c>
      <c r="BM28" s="63"/>
      <c r="BN28" s="62" t="s">
        <v>310</v>
      </c>
      <c r="BO28" s="63"/>
      <c r="BP28" s="62" t="s">
        <v>37</v>
      </c>
      <c r="BQ28" s="63"/>
      <c r="BR28" s="62" t="s">
        <v>37</v>
      </c>
      <c r="BS28" s="63"/>
      <c r="BT28" s="62" t="s">
        <v>37</v>
      </c>
      <c r="BU28" s="63"/>
      <c r="BV28" s="62" t="s">
        <v>37</v>
      </c>
      <c r="BW28" s="63"/>
      <c r="BX28" s="62"/>
      <c r="BY28" s="63"/>
      <c r="BZ28" s="62"/>
      <c r="CA28" s="63"/>
      <c r="CB28" s="62"/>
      <c r="CC28" s="63"/>
      <c r="CD28" s="62"/>
      <c r="CE28" s="63"/>
      <c r="CF28" s="62"/>
      <c r="CG28" s="63"/>
      <c r="CH28" s="62"/>
      <c r="CI28" s="63"/>
      <c r="CJ28" s="62"/>
      <c r="CK28" s="63"/>
      <c r="CL28" s="62"/>
      <c r="CM28" s="63"/>
      <c r="CN28" s="62"/>
      <c r="CO28" s="63"/>
      <c r="CP28" s="62"/>
      <c r="CQ28" s="63"/>
      <c r="CR28" s="62"/>
      <c r="CS28" s="63"/>
      <c r="CT28" s="62"/>
      <c r="CU28" s="63"/>
      <c r="CV28" s="62"/>
      <c r="CW28" s="63"/>
      <c r="CX28" s="62"/>
      <c r="CY28" s="63"/>
      <c r="CZ28" s="62"/>
      <c r="DA28" s="63"/>
      <c r="DB28" s="62"/>
      <c r="DC28" s="63"/>
      <c r="DD28" s="62"/>
      <c r="DE28" s="63"/>
      <c r="DF28" s="62"/>
      <c r="DG28" s="63"/>
      <c r="DH28" s="62"/>
      <c r="DI28" s="63"/>
      <c r="DJ28" s="62"/>
      <c r="DK28" s="63"/>
      <c r="DL28" s="62"/>
      <c r="DM28" s="63"/>
      <c r="DN28" s="62"/>
      <c r="DO28" s="63"/>
      <c r="DP28" s="62"/>
      <c r="DQ28" s="63"/>
      <c r="DR28" s="62"/>
      <c r="DS28" s="63"/>
      <c r="DT28" s="62"/>
      <c r="DU28" s="63"/>
      <c r="DV28" s="62"/>
      <c r="DW28" s="63"/>
      <c r="DX28" s="62"/>
      <c r="DY28" s="63"/>
      <c r="DZ28" s="62"/>
      <c r="EA28" s="63"/>
      <c r="EB28" s="62"/>
      <c r="EC28" s="63"/>
      <c r="ED28" s="62"/>
      <c r="EE28" s="63"/>
      <c r="EF28" s="62"/>
      <c r="EG28" s="63"/>
      <c r="EH28" s="62"/>
      <c r="EI28" s="63"/>
      <c r="EJ28" s="62"/>
      <c r="EK28" s="63"/>
      <c r="EL28" s="62"/>
      <c r="EM28" s="63"/>
      <c r="EN28" s="62"/>
      <c r="EO28" s="63"/>
      <c r="EP28" s="62"/>
      <c r="EQ28" s="63"/>
      <c r="ER28" s="62"/>
      <c r="ES28" s="63"/>
      <c r="ET28" s="62"/>
      <c r="EU28" s="63"/>
      <c r="EV28" s="62"/>
      <c r="EW28" s="63"/>
      <c r="EX28" s="62"/>
      <c r="EY28" s="63"/>
      <c r="EZ28" s="62"/>
      <c r="FA28" s="63"/>
      <c r="FB28" s="62"/>
      <c r="FC28" s="63"/>
      <c r="FD28" s="62"/>
      <c r="FE28" s="63"/>
      <c r="FF28" s="62"/>
      <c r="FG28" s="63"/>
      <c r="FH28" s="62"/>
      <c r="FI28" s="63"/>
      <c r="FJ28" s="62"/>
      <c r="FK28" s="63"/>
      <c r="FL28" s="62"/>
      <c r="FM28" s="63"/>
      <c r="FN28" s="62"/>
      <c r="FO28" s="63"/>
      <c r="FP28" s="62"/>
      <c r="FQ28" s="63"/>
      <c r="FR28" s="62"/>
      <c r="FS28" s="63"/>
      <c r="FT28" s="62"/>
      <c r="FU28" s="63"/>
      <c r="FV28" s="62"/>
      <c r="FW28" s="63"/>
      <c r="FX28" s="62"/>
      <c r="FY28" s="63"/>
      <c r="FZ28" s="62"/>
      <c r="GA28" s="63"/>
      <c r="GB28" s="62"/>
      <c r="GC28" s="63"/>
      <c r="GD28" s="62"/>
      <c r="GE28" s="63"/>
      <c r="GF28" s="62"/>
      <c r="GG28" s="63"/>
      <c r="GH28" s="62"/>
      <c r="GI28" s="63"/>
      <c r="GJ28" s="62"/>
      <c r="GK28" s="63"/>
      <c r="GL28" s="62"/>
      <c r="GM28" s="63"/>
      <c r="GN28" s="62"/>
      <c r="GO28" s="63"/>
      <c r="GP28" s="62"/>
      <c r="GQ28" s="63"/>
      <c r="GR28" s="62"/>
      <c r="GS28" s="63"/>
      <c r="GT28" s="62"/>
      <c r="GU28" s="63"/>
      <c r="GV28" s="62"/>
      <c r="GW28" s="63"/>
      <c r="GX28" s="62"/>
      <c r="GY28" s="63"/>
      <c r="GZ28" s="62"/>
      <c r="HA28" s="63"/>
      <c r="HB28" s="62"/>
      <c r="HC28" s="63"/>
      <c r="HD28" s="62"/>
      <c r="HE28" s="63"/>
      <c r="HF28" s="62"/>
      <c r="HG28" s="63"/>
      <c r="HH28" s="62"/>
      <c r="HI28" s="63"/>
      <c r="HJ28" s="62"/>
      <c r="HK28" s="63"/>
      <c r="HL28" s="62"/>
      <c r="HM28" s="63"/>
      <c r="HN28" s="62"/>
      <c r="HO28" s="63"/>
      <c r="HP28" s="62"/>
      <c r="HQ28" s="63"/>
      <c r="HR28" s="62"/>
      <c r="HS28" s="63"/>
      <c r="HT28" s="62"/>
      <c r="HU28" s="63"/>
      <c r="HV28" s="62"/>
      <c r="HW28" s="63"/>
      <c r="HX28" s="62"/>
      <c r="HY28" s="63"/>
      <c r="HZ28" s="62"/>
      <c r="IA28" s="63"/>
      <c r="IB28" s="62"/>
      <c r="IC28" s="63"/>
      <c r="ID28" s="62"/>
      <c r="IE28" s="63"/>
      <c r="IF28" s="62"/>
      <c r="IG28" s="63"/>
      <c r="IH28" s="62"/>
      <c r="II28" s="63"/>
      <c r="IJ28" s="62"/>
      <c r="IK28" s="63"/>
      <c r="IL28" s="62"/>
      <c r="IM28" s="63"/>
      <c r="IN28" s="62"/>
      <c r="IO28" s="63"/>
      <c r="IP28" s="62"/>
      <c r="IQ28" s="63"/>
      <c r="IR28" s="62"/>
      <c r="IS28" s="63"/>
      <c r="IT28" s="62"/>
      <c r="IU28" s="63"/>
      <c r="IV28" s="62"/>
      <c r="IW28" s="63"/>
      <c r="IX28" s="62"/>
      <c r="IY28" s="63"/>
      <c r="IZ28" s="62"/>
      <c r="JA28" s="63"/>
      <c r="JB28" s="62"/>
      <c r="JC28" s="63"/>
      <c r="JD28" s="62"/>
      <c r="JE28" s="63"/>
      <c r="JF28" s="62"/>
      <c r="JG28" s="63"/>
      <c r="JH28" s="62"/>
      <c r="JI28" s="63"/>
      <c r="JJ28" s="62"/>
      <c r="JK28" s="63"/>
      <c r="JL28" s="62"/>
      <c r="JM28" s="63"/>
      <c r="JN28" s="62"/>
      <c r="JO28" s="63"/>
      <c r="JP28" s="62"/>
      <c r="JQ28" s="63"/>
      <c r="JR28" s="62"/>
      <c r="JS28" s="63"/>
      <c r="JT28" s="62"/>
      <c r="JU28" s="63"/>
      <c r="JV28" s="62"/>
      <c r="JW28" s="63"/>
      <c r="JX28" s="62"/>
      <c r="JY28" s="63"/>
      <c r="JZ28" s="62"/>
      <c r="KA28" s="63"/>
      <c r="KB28" s="62"/>
      <c r="KC28" s="63"/>
      <c r="KD28" s="62"/>
      <c r="KE28" s="63"/>
      <c r="KF28" s="62"/>
      <c r="KG28" s="63"/>
      <c r="KH28" s="62"/>
      <c r="KI28" s="63"/>
      <c r="KJ28" s="62"/>
      <c r="KK28" s="63"/>
      <c r="KL28" s="62"/>
      <c r="KM28" s="63"/>
      <c r="KN28" s="62"/>
      <c r="KO28" s="63"/>
      <c r="KP28" s="62"/>
      <c r="KQ28" s="63"/>
      <c r="KR28" s="62"/>
      <c r="KS28" s="63"/>
      <c r="KT28" s="62"/>
      <c r="KU28" s="63"/>
      <c r="KV28" s="62"/>
      <c r="KW28" s="63"/>
      <c r="KX28" s="62"/>
      <c r="KY28" s="63"/>
      <c r="KZ28" s="62"/>
      <c r="LA28" s="63"/>
      <c r="LB28" s="62"/>
      <c r="LC28" s="63"/>
      <c r="LD28" s="62"/>
      <c r="LE28" s="63"/>
      <c r="LF28" s="62"/>
      <c r="LG28" s="63"/>
      <c r="LH28" s="62"/>
      <c r="LI28" s="63"/>
      <c r="LJ28" s="62"/>
      <c r="LK28" s="63"/>
      <c r="LL28" s="62"/>
      <c r="LM28" s="63"/>
      <c r="LN28" s="62"/>
      <c r="LO28" s="63"/>
      <c r="LP28" s="62"/>
      <c r="LQ28" s="63"/>
      <c r="LR28" s="62"/>
      <c r="LS28" s="63"/>
      <c r="LT28" s="62"/>
      <c r="LU28" s="63"/>
      <c r="LV28" s="62"/>
      <c r="LW28" s="63"/>
      <c r="LX28" s="62"/>
      <c r="LY28" s="63"/>
      <c r="LZ28" s="62"/>
      <c r="MA28" s="63"/>
      <c r="MB28" s="62"/>
      <c r="MC28" s="63"/>
      <c r="MD28" s="62"/>
      <c r="ME28" s="63"/>
      <c r="MF28" s="62"/>
      <c r="MG28" s="63"/>
      <c r="MH28" s="62"/>
      <c r="MI28" s="63"/>
      <c r="MJ28" s="62"/>
      <c r="MK28" s="63"/>
      <c r="ML28" s="62"/>
      <c r="MM28" s="63"/>
      <c r="MN28" s="62"/>
      <c r="MO28" s="63"/>
      <c r="MP28" s="62"/>
      <c r="MQ28" s="63"/>
      <c r="MR28" s="62"/>
      <c r="MS28" s="63"/>
      <c r="MT28" s="62"/>
      <c r="MU28" s="63"/>
      <c r="MV28" s="62"/>
      <c r="MW28" s="63"/>
      <c r="MX28" s="62"/>
      <c r="MY28" s="63"/>
      <c r="MZ28" s="62"/>
      <c r="NA28" s="63"/>
      <c r="NB28" s="62"/>
      <c r="NC28" s="63"/>
      <c r="ND28" s="62"/>
      <c r="NE28" s="63"/>
      <c r="NF28" s="62"/>
      <c r="NG28" s="63"/>
      <c r="NH28" s="62"/>
      <c r="NI28" s="63"/>
      <c r="NJ28" s="62"/>
      <c r="NK28" s="63"/>
      <c r="NL28" s="62"/>
      <c r="NM28" s="63"/>
      <c r="NN28" s="62"/>
      <c r="NO28" s="63"/>
      <c r="NP28" s="62"/>
      <c r="NQ28" s="63"/>
      <c r="NR28" s="62"/>
      <c r="NS28" s="63"/>
      <c r="NT28" s="62"/>
      <c r="NU28" s="63"/>
      <c r="NV28" s="62"/>
      <c r="NW28" s="63"/>
      <c r="NX28" s="62"/>
      <c r="NY28" s="63"/>
      <c r="NZ28" s="62"/>
      <c r="OA28" s="63"/>
      <c r="OB28" s="62"/>
      <c r="OC28" s="63"/>
      <c r="OD28" s="62"/>
      <c r="OE28" s="63"/>
      <c r="OF28" s="62"/>
      <c r="OG28" s="63"/>
      <c r="OH28" s="62"/>
      <c r="OI28" s="63"/>
      <c r="OJ28" s="62"/>
      <c r="OK28" s="63"/>
      <c r="OL28" s="62"/>
      <c r="OM28" s="63"/>
      <c r="ON28" s="62"/>
      <c r="OO28" s="63"/>
      <c r="OP28" s="62"/>
      <c r="OQ28" s="63"/>
      <c r="OR28" s="62"/>
      <c r="OS28" s="63"/>
      <c r="OT28" s="62"/>
      <c r="OU28" s="63"/>
      <c r="OV28" s="62"/>
      <c r="OW28" s="63"/>
      <c r="OX28" s="62"/>
      <c r="OY28" s="63"/>
      <c r="OZ28" s="62"/>
      <c r="PA28" s="63"/>
      <c r="PB28" s="62"/>
      <c r="PC28" s="63"/>
      <c r="PD28" s="62"/>
      <c r="PE28" s="63"/>
      <c r="PF28" s="62"/>
      <c r="PG28" s="63"/>
      <c r="PH28" s="62"/>
      <c r="PI28" s="63"/>
      <c r="PJ28" s="62"/>
      <c r="PK28" s="63"/>
      <c r="PL28" s="62"/>
      <c r="PM28" s="63"/>
      <c r="PN28" s="62"/>
      <c r="PO28" s="63"/>
      <c r="PP28" s="62"/>
      <c r="PQ28" s="63"/>
      <c r="PR28" s="62"/>
      <c r="PS28" s="63"/>
      <c r="PT28" s="62"/>
      <c r="PU28" s="63"/>
      <c r="PV28" s="62"/>
      <c r="PW28" s="63"/>
      <c r="PX28" s="62"/>
      <c r="PY28" s="63"/>
      <c r="PZ28" s="62"/>
      <c r="QA28" s="63"/>
      <c r="QB28" s="62"/>
      <c r="QC28" s="63"/>
      <c r="QD28" s="62"/>
      <c r="QE28" s="63"/>
      <c r="QF28" s="62"/>
      <c r="QG28" s="63"/>
      <c r="QH28" s="62"/>
      <c r="QI28" s="63"/>
      <c r="QJ28" s="62"/>
      <c r="QK28" s="63"/>
      <c r="QL28" s="62"/>
      <c r="QM28" s="63"/>
      <c r="QN28" s="62"/>
      <c r="QO28" s="63"/>
      <c r="QP28" s="62"/>
      <c r="QQ28" s="63"/>
      <c r="QR28" s="62"/>
      <c r="QS28" s="63"/>
      <c r="QT28" s="62"/>
      <c r="QU28" s="63"/>
      <c r="QV28" s="62"/>
      <c r="QW28" s="63"/>
      <c r="QX28" s="62"/>
      <c r="QY28" s="63"/>
      <c r="QZ28" s="62"/>
      <c r="RA28" s="63"/>
      <c r="RB28" s="62"/>
      <c r="RC28" s="63"/>
      <c r="RD28" s="31"/>
    </row>
    <row r="29" spans="1:472" s="5" customFormat="1" ht="15" hidden="1" customHeight="1" x14ac:dyDescent="0.25">
      <c r="A29" s="5">
        <v>2035</v>
      </c>
      <c r="B29" s="5" t="s">
        <v>265</v>
      </c>
      <c r="C29" s="5" t="s">
        <v>257</v>
      </c>
      <c r="D29" s="5">
        <v>92</v>
      </c>
      <c r="E29" s="36">
        <v>42598</v>
      </c>
      <c r="F29" s="5" t="s">
        <v>289</v>
      </c>
      <c r="H29" s="5" t="s">
        <v>281</v>
      </c>
      <c r="I29" s="62"/>
      <c r="J29" s="63"/>
      <c r="K29" s="62"/>
      <c r="L29" s="63"/>
      <c r="M29" s="62"/>
      <c r="N29" s="63"/>
      <c r="O29" s="62"/>
      <c r="P29" s="63"/>
      <c r="Q29" s="62"/>
      <c r="R29" s="63"/>
      <c r="S29" s="62"/>
      <c r="T29" s="63"/>
      <c r="X29" s="62"/>
      <c r="Y29" s="63"/>
      <c r="Z29" s="62"/>
      <c r="AA29" s="63"/>
      <c r="AB29" s="62"/>
      <c r="AC29" s="63"/>
      <c r="AD29" s="62"/>
      <c r="AE29" s="63"/>
      <c r="AF29" s="62"/>
      <c r="AG29" s="63"/>
      <c r="AH29" s="62"/>
      <c r="AI29" s="63"/>
      <c r="AJ29" s="62"/>
      <c r="AK29" s="63"/>
      <c r="AL29" s="62"/>
      <c r="AM29" s="63"/>
      <c r="AN29" s="62"/>
      <c r="AO29" s="63"/>
      <c r="AP29" s="62"/>
      <c r="AQ29" s="63"/>
      <c r="AR29" s="62"/>
      <c r="AS29" s="63"/>
      <c r="AT29" s="62"/>
      <c r="AU29" s="63"/>
      <c r="AV29" s="62"/>
      <c r="AW29" s="63"/>
      <c r="AX29" s="62"/>
      <c r="AY29" s="63"/>
      <c r="AZ29" s="62"/>
      <c r="BA29" s="63"/>
      <c r="BB29" s="62" t="s">
        <v>66</v>
      </c>
      <c r="BC29" s="63"/>
      <c r="BD29" s="62" t="s">
        <v>66</v>
      </c>
      <c r="BE29" s="63"/>
      <c r="BF29" s="62" t="s">
        <v>38</v>
      </c>
      <c r="BG29" s="63"/>
      <c r="BH29" s="62" t="s">
        <v>38</v>
      </c>
      <c r="BI29" s="63"/>
      <c r="BJ29" s="62" t="s">
        <v>38</v>
      </c>
      <c r="BK29" s="63"/>
      <c r="BL29" s="62" t="s">
        <v>36</v>
      </c>
      <c r="BM29" s="63"/>
      <c r="BN29" s="62" t="s">
        <v>36</v>
      </c>
      <c r="BO29" s="63"/>
      <c r="BP29" s="62" t="s">
        <v>36</v>
      </c>
      <c r="BQ29" s="63"/>
      <c r="BR29" s="62" t="s">
        <v>36</v>
      </c>
      <c r="BS29" s="63"/>
      <c r="BT29" s="62" t="s">
        <v>36</v>
      </c>
      <c r="BU29" s="63"/>
      <c r="BV29" s="62" t="s">
        <v>36</v>
      </c>
      <c r="BW29" s="63"/>
      <c r="BX29" s="62" t="s">
        <v>310</v>
      </c>
      <c r="BY29" s="63"/>
      <c r="BZ29" s="62" t="s">
        <v>310</v>
      </c>
      <c r="CA29" s="63"/>
      <c r="CB29" s="62" t="s">
        <v>37</v>
      </c>
      <c r="CC29" s="63"/>
      <c r="CD29" s="62" t="s">
        <v>37</v>
      </c>
      <c r="CE29" s="63"/>
      <c r="CF29" s="62" t="s">
        <v>37</v>
      </c>
      <c r="CG29" s="63"/>
      <c r="CH29" s="62" t="s">
        <v>37</v>
      </c>
      <c r="CI29" s="63"/>
      <c r="CJ29" s="62"/>
      <c r="CK29" s="63"/>
      <c r="CL29" s="62"/>
      <c r="CM29" s="63"/>
      <c r="CN29" s="62"/>
      <c r="CO29" s="63"/>
      <c r="CP29" s="62"/>
      <c r="CQ29" s="63"/>
      <c r="CR29" s="62"/>
      <c r="CS29" s="63"/>
      <c r="CT29" s="62"/>
      <c r="CU29" s="63"/>
      <c r="CV29" s="62"/>
      <c r="CW29" s="63"/>
      <c r="CX29" s="62"/>
      <c r="CY29" s="63"/>
      <c r="CZ29" s="62"/>
      <c r="DA29" s="63"/>
      <c r="DB29" s="62"/>
      <c r="DC29" s="63"/>
      <c r="DD29" s="62"/>
      <c r="DE29" s="63"/>
      <c r="DF29" s="62"/>
      <c r="DG29" s="63"/>
      <c r="DH29" s="62"/>
      <c r="DI29" s="63"/>
      <c r="DJ29" s="62"/>
      <c r="DK29" s="63"/>
      <c r="DL29" s="62"/>
      <c r="DM29" s="63"/>
      <c r="DN29" s="62"/>
      <c r="DO29" s="63"/>
      <c r="DP29" s="62"/>
      <c r="DQ29" s="63"/>
      <c r="DR29" s="62"/>
      <c r="DS29" s="63"/>
      <c r="DT29" s="62"/>
      <c r="DU29" s="63"/>
      <c r="DV29" s="62"/>
      <c r="DW29" s="63"/>
      <c r="DX29" s="62"/>
      <c r="DY29" s="63"/>
      <c r="DZ29" s="62"/>
      <c r="EA29" s="63"/>
      <c r="EB29" s="62"/>
      <c r="EC29" s="63"/>
      <c r="ED29" s="62"/>
      <c r="EE29" s="63"/>
      <c r="EF29" s="62"/>
      <c r="EG29" s="63"/>
      <c r="EH29" s="62"/>
      <c r="EI29" s="63"/>
      <c r="EJ29" s="62"/>
      <c r="EK29" s="63"/>
      <c r="EL29" s="62"/>
      <c r="EM29" s="63"/>
      <c r="EN29" s="62"/>
      <c r="EO29" s="63"/>
      <c r="EP29" s="62"/>
      <c r="EQ29" s="63"/>
      <c r="ER29" s="62"/>
      <c r="ES29" s="63"/>
      <c r="ET29" s="62"/>
      <c r="EU29" s="63"/>
      <c r="EV29" s="62"/>
      <c r="EW29" s="63"/>
      <c r="EX29" s="62"/>
      <c r="EY29" s="63"/>
      <c r="EZ29" s="62"/>
      <c r="FA29" s="63"/>
      <c r="FB29" s="62"/>
      <c r="FC29" s="63"/>
      <c r="FD29" s="62"/>
      <c r="FE29" s="63"/>
      <c r="FF29" s="62"/>
      <c r="FG29" s="63"/>
      <c r="FH29" s="62"/>
      <c r="FI29" s="63"/>
      <c r="FJ29" s="62"/>
      <c r="FK29" s="63"/>
      <c r="FL29" s="62"/>
      <c r="FM29" s="63"/>
      <c r="FN29" s="62"/>
      <c r="FO29" s="63"/>
      <c r="FP29" s="62"/>
      <c r="FQ29" s="63"/>
      <c r="FR29" s="62"/>
      <c r="FS29" s="63"/>
      <c r="FT29" s="62"/>
      <c r="FU29" s="63"/>
      <c r="FV29" s="62"/>
      <c r="FW29" s="63"/>
      <c r="FX29" s="62"/>
      <c r="FY29" s="63"/>
      <c r="FZ29" s="62"/>
      <c r="GA29" s="63"/>
      <c r="GB29" s="62"/>
      <c r="GC29" s="63"/>
      <c r="GD29" s="62"/>
      <c r="GE29" s="63"/>
      <c r="GF29" s="62"/>
      <c r="GG29" s="63"/>
      <c r="GH29" s="62"/>
      <c r="GI29" s="63"/>
      <c r="GJ29" s="62"/>
      <c r="GK29" s="63"/>
      <c r="GL29" s="62"/>
      <c r="GM29" s="63"/>
      <c r="GN29" s="62"/>
      <c r="GO29" s="63"/>
      <c r="GP29" s="62"/>
      <c r="GQ29" s="63"/>
      <c r="GR29" s="62"/>
      <c r="GS29" s="63"/>
      <c r="GT29" s="62"/>
      <c r="GU29" s="63"/>
      <c r="GV29" s="62"/>
      <c r="GW29" s="63"/>
      <c r="GX29" s="62"/>
      <c r="GY29" s="63"/>
      <c r="GZ29" s="62"/>
      <c r="HA29" s="63"/>
      <c r="HB29" s="62"/>
      <c r="HC29" s="63"/>
      <c r="HD29" s="62"/>
      <c r="HE29" s="63"/>
      <c r="HF29" s="62"/>
      <c r="HG29" s="63"/>
      <c r="HH29" s="62"/>
      <c r="HI29" s="63"/>
      <c r="HJ29" s="62"/>
      <c r="HK29" s="63"/>
      <c r="HL29" s="62"/>
      <c r="HM29" s="63"/>
      <c r="HN29" s="62"/>
      <c r="HO29" s="63"/>
      <c r="HP29" s="62"/>
      <c r="HQ29" s="63"/>
      <c r="HR29" s="62"/>
      <c r="HS29" s="63"/>
      <c r="HT29" s="62"/>
      <c r="HU29" s="63"/>
      <c r="HV29" s="62"/>
      <c r="HW29" s="63"/>
      <c r="HX29" s="62"/>
      <c r="HY29" s="63"/>
      <c r="HZ29" s="62"/>
      <c r="IA29" s="63"/>
      <c r="IB29" s="62"/>
      <c r="IC29" s="63"/>
      <c r="ID29" s="62"/>
      <c r="IE29" s="63"/>
      <c r="IF29" s="62"/>
      <c r="IG29" s="63"/>
      <c r="IH29" s="62"/>
      <c r="II29" s="63"/>
      <c r="IJ29" s="62"/>
      <c r="IK29" s="63"/>
      <c r="IL29" s="62"/>
      <c r="IM29" s="63"/>
      <c r="IN29" s="62"/>
      <c r="IO29" s="63"/>
      <c r="IP29" s="62"/>
      <c r="IQ29" s="63"/>
      <c r="IR29" s="62"/>
      <c r="IS29" s="63"/>
      <c r="IT29" s="62"/>
      <c r="IU29" s="63"/>
      <c r="IV29" s="62"/>
      <c r="IW29" s="63"/>
      <c r="IX29" s="62"/>
      <c r="IY29" s="63"/>
      <c r="IZ29" s="62"/>
      <c r="JA29" s="63"/>
      <c r="JB29" s="62"/>
      <c r="JC29" s="63"/>
      <c r="JD29" s="62"/>
      <c r="JE29" s="63"/>
      <c r="JF29" s="62"/>
      <c r="JG29" s="63"/>
      <c r="JH29" s="62"/>
      <c r="JI29" s="63"/>
      <c r="JJ29" s="62"/>
      <c r="JK29" s="63"/>
      <c r="JL29" s="62"/>
      <c r="JM29" s="63"/>
      <c r="JN29" s="62"/>
      <c r="JO29" s="63"/>
      <c r="JP29" s="62"/>
      <c r="JQ29" s="63"/>
      <c r="JR29" s="62"/>
      <c r="JS29" s="63"/>
      <c r="JT29" s="62"/>
      <c r="JU29" s="63"/>
      <c r="JV29" s="62"/>
      <c r="JW29" s="63"/>
      <c r="JX29" s="62"/>
      <c r="JY29" s="63"/>
      <c r="JZ29" s="62"/>
      <c r="KA29" s="63"/>
      <c r="KB29" s="62"/>
      <c r="KC29" s="63"/>
      <c r="KD29" s="62"/>
      <c r="KE29" s="63"/>
      <c r="KF29" s="62"/>
      <c r="KG29" s="63"/>
      <c r="KH29" s="62"/>
      <c r="KI29" s="63"/>
      <c r="KJ29" s="62"/>
      <c r="KK29" s="63"/>
      <c r="KL29" s="62"/>
      <c r="KM29" s="63"/>
      <c r="KN29" s="62"/>
      <c r="KO29" s="63"/>
      <c r="KP29" s="62"/>
      <c r="KQ29" s="63"/>
      <c r="KR29" s="62"/>
      <c r="KS29" s="63"/>
      <c r="KT29" s="62"/>
      <c r="KU29" s="63"/>
      <c r="KV29" s="62"/>
      <c r="KW29" s="63"/>
      <c r="KX29" s="62"/>
      <c r="KY29" s="63"/>
      <c r="KZ29" s="62"/>
      <c r="LA29" s="63"/>
      <c r="LB29" s="62"/>
      <c r="LC29" s="63"/>
      <c r="LD29" s="62"/>
      <c r="LE29" s="63"/>
      <c r="LF29" s="62"/>
      <c r="LG29" s="63"/>
      <c r="LH29" s="62"/>
      <c r="LI29" s="63"/>
      <c r="LJ29" s="62"/>
      <c r="LK29" s="63"/>
      <c r="LL29" s="62"/>
      <c r="LM29" s="63"/>
      <c r="LN29" s="62"/>
      <c r="LO29" s="63"/>
      <c r="LP29" s="62"/>
      <c r="LQ29" s="63"/>
      <c r="LR29" s="62"/>
      <c r="LS29" s="63"/>
      <c r="LT29" s="62"/>
      <c r="LU29" s="63"/>
      <c r="LV29" s="62"/>
      <c r="LW29" s="63"/>
      <c r="LX29" s="62"/>
      <c r="LY29" s="63"/>
      <c r="LZ29" s="62"/>
      <c r="MA29" s="63"/>
      <c r="MB29" s="62"/>
      <c r="MC29" s="63"/>
      <c r="MD29" s="62"/>
      <c r="ME29" s="63"/>
      <c r="MF29" s="62"/>
      <c r="MG29" s="63"/>
      <c r="MH29" s="62"/>
      <c r="MI29" s="63"/>
      <c r="MJ29" s="62"/>
      <c r="MK29" s="63"/>
      <c r="ML29" s="62"/>
      <c r="MM29" s="63"/>
      <c r="MN29" s="62"/>
      <c r="MO29" s="63"/>
      <c r="MP29" s="62"/>
      <c r="MQ29" s="63"/>
      <c r="MR29" s="62"/>
      <c r="MS29" s="63"/>
      <c r="MT29" s="62"/>
      <c r="MU29" s="63"/>
      <c r="MV29" s="62"/>
      <c r="MW29" s="63"/>
      <c r="MX29" s="62"/>
      <c r="MY29" s="63"/>
      <c r="MZ29" s="62"/>
      <c r="NA29" s="63"/>
      <c r="NB29" s="62"/>
      <c r="NC29" s="63"/>
      <c r="ND29" s="62"/>
      <c r="NE29" s="63"/>
      <c r="NF29" s="62"/>
      <c r="NG29" s="63"/>
      <c r="NH29" s="62"/>
      <c r="NI29" s="63"/>
      <c r="NJ29" s="62"/>
      <c r="NK29" s="63"/>
      <c r="NL29" s="62"/>
      <c r="NM29" s="63"/>
      <c r="NN29" s="62"/>
      <c r="NO29" s="63"/>
      <c r="NP29" s="62"/>
      <c r="NQ29" s="63"/>
      <c r="NR29" s="62"/>
      <c r="NS29" s="63"/>
      <c r="NT29" s="62"/>
      <c r="NU29" s="63"/>
      <c r="NV29" s="62"/>
      <c r="NW29" s="63"/>
      <c r="NX29" s="62"/>
      <c r="NY29" s="63"/>
      <c r="NZ29" s="62"/>
      <c r="OA29" s="63"/>
      <c r="OB29" s="62"/>
      <c r="OC29" s="63"/>
      <c r="OD29" s="62"/>
      <c r="OE29" s="63"/>
      <c r="OF29" s="62"/>
      <c r="OG29" s="63"/>
      <c r="OH29" s="62"/>
      <c r="OI29" s="63"/>
      <c r="OJ29" s="62"/>
      <c r="OK29" s="63"/>
      <c r="OL29" s="62"/>
      <c r="OM29" s="63"/>
      <c r="ON29" s="62"/>
      <c r="OO29" s="63"/>
      <c r="OP29" s="62"/>
      <c r="OQ29" s="63"/>
      <c r="OR29" s="62"/>
      <c r="OS29" s="63"/>
      <c r="OT29" s="62"/>
      <c r="OU29" s="63"/>
      <c r="OV29" s="62"/>
      <c r="OW29" s="63"/>
      <c r="OX29" s="62"/>
      <c r="OY29" s="63"/>
      <c r="OZ29" s="62"/>
      <c r="PA29" s="63"/>
      <c r="PB29" s="62"/>
      <c r="PC29" s="63"/>
      <c r="PD29" s="62"/>
      <c r="PE29" s="63"/>
      <c r="PF29" s="62"/>
      <c r="PG29" s="63"/>
      <c r="PH29" s="62"/>
      <c r="PI29" s="63"/>
      <c r="PJ29" s="62"/>
      <c r="PK29" s="63"/>
      <c r="PL29" s="62"/>
      <c r="PM29" s="63"/>
      <c r="PN29" s="62"/>
      <c r="PO29" s="63"/>
      <c r="PP29" s="62"/>
      <c r="PQ29" s="63"/>
      <c r="PR29" s="62"/>
      <c r="PS29" s="63"/>
      <c r="PT29" s="62"/>
      <c r="PU29" s="63"/>
      <c r="PV29" s="62"/>
      <c r="PW29" s="63"/>
      <c r="PX29" s="62"/>
      <c r="PY29" s="63"/>
      <c r="PZ29" s="62"/>
      <c r="QA29" s="63"/>
      <c r="QB29" s="62"/>
      <c r="QC29" s="63"/>
      <c r="QD29" s="62"/>
      <c r="QE29" s="63"/>
      <c r="QF29" s="62"/>
      <c r="QG29" s="63"/>
      <c r="QH29" s="62"/>
      <c r="QI29" s="63"/>
      <c r="QJ29" s="62"/>
      <c r="QK29" s="63"/>
      <c r="QL29" s="62"/>
      <c r="QM29" s="63"/>
      <c r="QN29" s="62"/>
      <c r="QO29" s="63"/>
      <c r="QP29" s="62"/>
      <c r="QQ29" s="63"/>
      <c r="QR29" s="62"/>
      <c r="QS29" s="63"/>
      <c r="QT29" s="62"/>
      <c r="QU29" s="63"/>
      <c r="QV29" s="62"/>
      <c r="QW29" s="63"/>
      <c r="QX29" s="62"/>
      <c r="QY29" s="63"/>
      <c r="QZ29" s="62"/>
      <c r="RA29" s="63"/>
      <c r="RB29" s="62"/>
      <c r="RC29" s="63"/>
      <c r="RD29" s="31"/>
    </row>
    <row r="30" spans="1:472" s="5" customFormat="1" ht="15" hidden="1" customHeight="1" x14ac:dyDescent="0.25">
      <c r="A30" s="5">
        <v>2034</v>
      </c>
      <c r="B30" s="5" t="s">
        <v>254</v>
      </c>
      <c r="C30" s="5" t="s">
        <v>230</v>
      </c>
      <c r="D30" s="5">
        <v>128</v>
      </c>
      <c r="E30" s="35">
        <v>42587</v>
      </c>
      <c r="F30" s="5" t="s">
        <v>243</v>
      </c>
      <c r="H30" s="5" t="s">
        <v>283</v>
      </c>
      <c r="I30" s="62"/>
      <c r="J30" s="63"/>
      <c r="K30" s="62"/>
      <c r="L30" s="63"/>
      <c r="M30" s="62"/>
      <c r="N30" s="63"/>
      <c r="O30" s="62"/>
      <c r="P30" s="63"/>
      <c r="Q30" s="62"/>
      <c r="R30" s="63"/>
      <c r="S30" s="62"/>
      <c r="T30" s="63"/>
      <c r="X30" s="62"/>
      <c r="Y30" s="63"/>
      <c r="Z30" s="62"/>
      <c r="AA30" s="63"/>
      <c r="AB30" s="62"/>
      <c r="AC30" s="63"/>
      <c r="AD30" s="62"/>
      <c r="AE30" s="63"/>
      <c r="AF30" s="62"/>
      <c r="AG30" s="63"/>
      <c r="AH30" s="62"/>
      <c r="AI30" s="63"/>
      <c r="AJ30" s="62"/>
      <c r="AK30" s="63"/>
      <c r="AL30" s="62"/>
      <c r="AM30" s="63"/>
      <c r="AN30" s="62"/>
      <c r="AO30" s="63"/>
      <c r="AP30" s="62"/>
      <c r="AQ30" s="63"/>
      <c r="AR30" s="62"/>
      <c r="AS30" s="63"/>
      <c r="AT30" s="62"/>
      <c r="AU30" s="63"/>
      <c r="AV30" s="62"/>
      <c r="AW30" s="63"/>
      <c r="AX30" s="62"/>
      <c r="AY30" s="63"/>
      <c r="AZ30" s="62"/>
      <c r="BA30" s="63"/>
      <c r="BB30" s="62"/>
      <c r="BC30" s="63"/>
      <c r="BD30" s="62"/>
      <c r="BE30" s="63"/>
      <c r="BF30" s="62" t="s">
        <v>66</v>
      </c>
      <c r="BG30" s="63"/>
      <c r="BH30" s="62" t="s">
        <v>38</v>
      </c>
      <c r="BI30" s="63"/>
      <c r="BJ30" s="62" t="s">
        <v>38</v>
      </c>
      <c r="BK30" s="63"/>
      <c r="BL30" s="62" t="s">
        <v>36</v>
      </c>
      <c r="BM30" s="63"/>
      <c r="BN30" s="62" t="s">
        <v>36</v>
      </c>
      <c r="BO30" s="63"/>
      <c r="BP30" s="62" t="s">
        <v>36</v>
      </c>
      <c r="BQ30" s="63"/>
      <c r="BR30" s="62" t="s">
        <v>36</v>
      </c>
      <c r="BS30" s="63"/>
      <c r="BT30" s="62" t="s">
        <v>36</v>
      </c>
      <c r="BU30" s="63"/>
      <c r="BV30" s="62" t="s">
        <v>36</v>
      </c>
      <c r="BW30" s="63"/>
      <c r="BX30" s="62" t="s">
        <v>310</v>
      </c>
      <c r="BY30" s="63"/>
      <c r="BZ30" s="62" t="s">
        <v>310</v>
      </c>
      <c r="CA30" s="63"/>
      <c r="CB30" s="62" t="s">
        <v>310</v>
      </c>
      <c r="CC30" s="63"/>
      <c r="CD30" s="62" t="s">
        <v>37</v>
      </c>
      <c r="CE30" s="63"/>
      <c r="CF30" s="62" t="s">
        <v>37</v>
      </c>
      <c r="CG30" s="63"/>
      <c r="CH30" s="62" t="s">
        <v>37</v>
      </c>
      <c r="CI30" s="63"/>
      <c r="CJ30" s="62"/>
      <c r="CK30" s="63"/>
      <c r="CL30" s="62"/>
      <c r="CM30" s="63"/>
      <c r="CN30" s="62"/>
      <c r="CO30" s="63"/>
      <c r="CP30" s="62"/>
      <c r="CQ30" s="63"/>
      <c r="CR30" s="62"/>
      <c r="CS30" s="63"/>
      <c r="CT30" s="62"/>
      <c r="CU30" s="63"/>
      <c r="CV30" s="62"/>
      <c r="CW30" s="63"/>
      <c r="CX30" s="62"/>
      <c r="CY30" s="63"/>
      <c r="CZ30" s="62"/>
      <c r="DA30" s="63"/>
      <c r="DB30" s="62"/>
      <c r="DC30" s="63"/>
      <c r="DD30" s="62"/>
      <c r="DE30" s="63"/>
      <c r="DF30" s="62"/>
      <c r="DG30" s="63"/>
      <c r="DH30" s="62"/>
      <c r="DI30" s="63"/>
      <c r="DJ30" s="62"/>
      <c r="DK30" s="63"/>
      <c r="DL30" s="62"/>
      <c r="DM30" s="63"/>
      <c r="DN30" s="62"/>
      <c r="DO30" s="63"/>
      <c r="DP30" s="62"/>
      <c r="DQ30" s="63"/>
      <c r="DR30" s="62"/>
      <c r="DS30" s="63"/>
      <c r="DT30" s="62"/>
      <c r="DU30" s="63"/>
      <c r="DV30" s="62"/>
      <c r="DW30" s="63"/>
      <c r="DX30" s="62"/>
      <c r="DY30" s="63"/>
      <c r="DZ30" s="62"/>
      <c r="EA30" s="63"/>
      <c r="EB30" s="62"/>
      <c r="EC30" s="63"/>
      <c r="ED30" s="62"/>
      <c r="EE30" s="63"/>
      <c r="EF30" s="62"/>
      <c r="EG30" s="63"/>
      <c r="EH30" s="62"/>
      <c r="EI30" s="63"/>
      <c r="EJ30" s="62"/>
      <c r="EK30" s="63"/>
      <c r="EL30" s="62"/>
      <c r="EM30" s="63"/>
      <c r="EN30" s="62"/>
      <c r="EO30" s="63"/>
      <c r="EP30" s="62"/>
      <c r="EQ30" s="63"/>
      <c r="ER30" s="62"/>
      <c r="ES30" s="63"/>
      <c r="ET30" s="62"/>
      <c r="EU30" s="63"/>
      <c r="EV30" s="62"/>
      <c r="EW30" s="63"/>
      <c r="EX30" s="62"/>
      <c r="EY30" s="63"/>
      <c r="EZ30" s="62"/>
      <c r="FA30" s="63"/>
      <c r="FB30" s="62"/>
      <c r="FC30" s="63"/>
      <c r="FD30" s="62"/>
      <c r="FE30" s="63"/>
      <c r="FF30" s="62"/>
      <c r="FG30" s="63"/>
      <c r="FH30" s="62"/>
      <c r="FI30" s="63"/>
      <c r="FJ30" s="62"/>
      <c r="FK30" s="63"/>
      <c r="FL30" s="62"/>
      <c r="FM30" s="63"/>
      <c r="FN30" s="62"/>
      <c r="FO30" s="63"/>
      <c r="FP30" s="62"/>
      <c r="FQ30" s="63"/>
      <c r="FR30" s="62"/>
      <c r="FS30" s="63"/>
      <c r="FT30" s="62"/>
      <c r="FU30" s="63"/>
      <c r="FV30" s="62"/>
      <c r="FW30" s="63"/>
      <c r="FX30" s="62"/>
      <c r="FY30" s="63"/>
      <c r="FZ30" s="62"/>
      <c r="GA30" s="63"/>
      <c r="GB30" s="62"/>
      <c r="GC30" s="63"/>
      <c r="GD30" s="62"/>
      <c r="GE30" s="63"/>
      <c r="GF30" s="62"/>
      <c r="GG30" s="63"/>
      <c r="GH30" s="62"/>
      <c r="GI30" s="63"/>
      <c r="GJ30" s="62"/>
      <c r="GK30" s="63"/>
      <c r="GL30" s="62"/>
      <c r="GM30" s="63"/>
      <c r="GN30" s="62"/>
      <c r="GO30" s="63"/>
      <c r="GP30" s="62"/>
      <c r="GQ30" s="63"/>
      <c r="GR30" s="62"/>
      <c r="GS30" s="63"/>
      <c r="GT30" s="62"/>
      <c r="GU30" s="63"/>
      <c r="GV30" s="62"/>
      <c r="GW30" s="63"/>
      <c r="GX30" s="62"/>
      <c r="GY30" s="63"/>
      <c r="GZ30" s="62"/>
      <c r="HA30" s="63"/>
      <c r="HB30" s="62"/>
      <c r="HC30" s="63"/>
      <c r="HD30" s="62"/>
      <c r="HE30" s="63"/>
      <c r="HF30" s="62"/>
      <c r="HG30" s="63"/>
      <c r="HH30" s="62"/>
      <c r="HI30" s="63"/>
      <c r="HJ30" s="62"/>
      <c r="HK30" s="63"/>
      <c r="HL30" s="62"/>
      <c r="HM30" s="63"/>
      <c r="HN30" s="62"/>
      <c r="HO30" s="63"/>
      <c r="HP30" s="62"/>
      <c r="HQ30" s="63"/>
      <c r="HR30" s="62"/>
      <c r="HS30" s="63"/>
      <c r="HT30" s="62"/>
      <c r="HU30" s="63"/>
      <c r="HV30" s="62"/>
      <c r="HW30" s="63"/>
      <c r="HX30" s="62"/>
      <c r="HY30" s="63"/>
      <c r="HZ30" s="62"/>
      <c r="IA30" s="63"/>
      <c r="IB30" s="62"/>
      <c r="IC30" s="63"/>
      <c r="ID30" s="62"/>
      <c r="IE30" s="63"/>
      <c r="IF30" s="62"/>
      <c r="IG30" s="63"/>
      <c r="IH30" s="62"/>
      <c r="II30" s="63"/>
      <c r="IJ30" s="62"/>
      <c r="IK30" s="63"/>
      <c r="IL30" s="62"/>
      <c r="IM30" s="63"/>
      <c r="IN30" s="62"/>
      <c r="IO30" s="63"/>
      <c r="IP30" s="62"/>
      <c r="IQ30" s="63"/>
      <c r="IR30" s="62"/>
      <c r="IS30" s="63"/>
      <c r="IT30" s="62"/>
      <c r="IU30" s="63"/>
      <c r="IV30" s="62"/>
      <c r="IW30" s="63"/>
      <c r="IX30" s="62"/>
      <c r="IY30" s="63"/>
      <c r="IZ30" s="62"/>
      <c r="JA30" s="63"/>
      <c r="JB30" s="62"/>
      <c r="JC30" s="63"/>
      <c r="JD30" s="62"/>
      <c r="JE30" s="63"/>
      <c r="JF30" s="62"/>
      <c r="JG30" s="63"/>
      <c r="JH30" s="62"/>
      <c r="JI30" s="63"/>
      <c r="JJ30" s="62"/>
      <c r="JK30" s="63"/>
      <c r="JL30" s="62"/>
      <c r="JM30" s="63"/>
      <c r="JN30" s="62"/>
      <c r="JO30" s="63"/>
      <c r="JP30" s="62"/>
      <c r="JQ30" s="63"/>
      <c r="JR30" s="62"/>
      <c r="JS30" s="63"/>
      <c r="JT30" s="62"/>
      <c r="JU30" s="63"/>
      <c r="JV30" s="62"/>
      <c r="JW30" s="63"/>
      <c r="JX30" s="62"/>
      <c r="JY30" s="63"/>
      <c r="JZ30" s="62"/>
      <c r="KA30" s="63"/>
      <c r="KB30" s="62"/>
      <c r="KC30" s="63"/>
      <c r="KD30" s="62"/>
      <c r="KE30" s="63"/>
      <c r="KF30" s="62"/>
      <c r="KG30" s="63"/>
      <c r="KH30" s="62"/>
      <c r="KI30" s="63"/>
      <c r="KJ30" s="62"/>
      <c r="KK30" s="63"/>
      <c r="KL30" s="62"/>
      <c r="KM30" s="63"/>
      <c r="KN30" s="62"/>
      <c r="KO30" s="63"/>
      <c r="KP30" s="62"/>
      <c r="KQ30" s="63"/>
      <c r="KR30" s="62"/>
      <c r="KS30" s="63"/>
      <c r="KT30" s="62"/>
      <c r="KU30" s="63"/>
      <c r="KV30" s="62"/>
      <c r="KW30" s="63"/>
      <c r="KX30" s="62"/>
      <c r="KY30" s="63"/>
      <c r="KZ30" s="62"/>
      <c r="LA30" s="63"/>
      <c r="LB30" s="62"/>
      <c r="LC30" s="63"/>
      <c r="LD30" s="62"/>
      <c r="LE30" s="63"/>
      <c r="LF30" s="62"/>
      <c r="LG30" s="63"/>
      <c r="LH30" s="62"/>
      <c r="LI30" s="63"/>
      <c r="LJ30" s="62"/>
      <c r="LK30" s="63"/>
      <c r="LL30" s="62"/>
      <c r="LM30" s="63"/>
      <c r="LN30" s="62"/>
      <c r="LO30" s="63"/>
      <c r="LP30" s="62"/>
      <c r="LQ30" s="63"/>
      <c r="LR30" s="62"/>
      <c r="LS30" s="63"/>
      <c r="LT30" s="62"/>
      <c r="LU30" s="63"/>
      <c r="LV30" s="62"/>
      <c r="LW30" s="63"/>
      <c r="LX30" s="62"/>
      <c r="LY30" s="63"/>
      <c r="LZ30" s="62"/>
      <c r="MA30" s="63"/>
      <c r="MB30" s="62"/>
      <c r="MC30" s="63"/>
      <c r="MD30" s="62"/>
      <c r="ME30" s="63"/>
      <c r="MF30" s="62"/>
      <c r="MG30" s="63"/>
      <c r="MH30" s="62"/>
      <c r="MI30" s="63"/>
      <c r="MJ30" s="62"/>
      <c r="MK30" s="63"/>
      <c r="ML30" s="62"/>
      <c r="MM30" s="63"/>
      <c r="MN30" s="62"/>
      <c r="MO30" s="63"/>
      <c r="MP30" s="62"/>
      <c r="MQ30" s="63"/>
      <c r="MR30" s="62"/>
      <c r="MS30" s="63"/>
      <c r="MT30" s="62"/>
      <c r="MU30" s="63"/>
      <c r="MV30" s="62"/>
      <c r="MW30" s="63"/>
      <c r="MX30" s="62"/>
      <c r="MY30" s="63"/>
      <c r="MZ30" s="62"/>
      <c r="NA30" s="63"/>
      <c r="NB30" s="62"/>
      <c r="NC30" s="63"/>
      <c r="ND30" s="62"/>
      <c r="NE30" s="63"/>
      <c r="NF30" s="62"/>
      <c r="NG30" s="63"/>
      <c r="NH30" s="62"/>
      <c r="NI30" s="63"/>
      <c r="NJ30" s="62"/>
      <c r="NK30" s="63"/>
      <c r="NL30" s="62"/>
      <c r="NM30" s="63"/>
      <c r="NN30" s="62"/>
      <c r="NO30" s="63"/>
      <c r="NP30" s="62"/>
      <c r="NQ30" s="63"/>
      <c r="NR30" s="62"/>
      <c r="NS30" s="63"/>
      <c r="NT30" s="62"/>
      <c r="NU30" s="63"/>
      <c r="NV30" s="62"/>
      <c r="NW30" s="63"/>
      <c r="NX30" s="62"/>
      <c r="NY30" s="63"/>
      <c r="NZ30" s="62"/>
      <c r="OA30" s="63"/>
      <c r="OB30" s="62"/>
      <c r="OC30" s="63"/>
      <c r="OD30" s="62"/>
      <c r="OE30" s="63"/>
      <c r="OF30" s="62"/>
      <c r="OG30" s="63"/>
      <c r="OH30" s="62"/>
      <c r="OI30" s="63"/>
      <c r="OJ30" s="62"/>
      <c r="OK30" s="63"/>
      <c r="OL30" s="62"/>
      <c r="OM30" s="63"/>
      <c r="ON30" s="62"/>
      <c r="OO30" s="63"/>
      <c r="OP30" s="62"/>
      <c r="OQ30" s="63"/>
      <c r="OR30" s="62"/>
      <c r="OS30" s="63"/>
      <c r="OT30" s="62"/>
      <c r="OU30" s="63"/>
      <c r="OV30" s="62"/>
      <c r="OW30" s="63"/>
      <c r="OX30" s="62"/>
      <c r="OY30" s="63"/>
      <c r="OZ30" s="62"/>
      <c r="PA30" s="63"/>
      <c r="PB30" s="62"/>
      <c r="PC30" s="63"/>
      <c r="PD30" s="62"/>
      <c r="PE30" s="63"/>
      <c r="PF30" s="62"/>
      <c r="PG30" s="63"/>
      <c r="PH30" s="62"/>
      <c r="PI30" s="63"/>
      <c r="PJ30" s="62"/>
      <c r="PK30" s="63"/>
      <c r="PL30" s="62"/>
      <c r="PM30" s="63"/>
      <c r="PN30" s="62"/>
      <c r="PO30" s="63"/>
      <c r="PP30" s="62"/>
      <c r="PQ30" s="63"/>
      <c r="PR30" s="62"/>
      <c r="PS30" s="63"/>
      <c r="PT30" s="62"/>
      <c r="PU30" s="63"/>
      <c r="PV30" s="62"/>
      <c r="PW30" s="63"/>
      <c r="PX30" s="62"/>
      <c r="PY30" s="63"/>
      <c r="PZ30" s="62"/>
      <c r="QA30" s="63"/>
      <c r="QB30" s="62"/>
      <c r="QC30" s="63"/>
      <c r="QD30" s="62"/>
      <c r="QE30" s="63"/>
      <c r="QF30" s="62"/>
      <c r="QG30" s="63"/>
      <c r="QH30" s="62"/>
      <c r="QI30" s="63"/>
      <c r="QJ30" s="62"/>
      <c r="QK30" s="63"/>
      <c r="QL30" s="62"/>
      <c r="QM30" s="63"/>
      <c r="QN30" s="62"/>
      <c r="QO30" s="63"/>
      <c r="QP30" s="62"/>
      <c r="QQ30" s="63"/>
      <c r="QR30" s="62"/>
      <c r="QS30" s="63"/>
      <c r="QT30" s="62"/>
      <c r="QU30" s="63"/>
      <c r="QV30" s="62"/>
      <c r="QW30" s="63"/>
      <c r="QX30" s="62"/>
      <c r="QY30" s="63"/>
      <c r="QZ30" s="62"/>
      <c r="RA30" s="63"/>
      <c r="RB30" s="62"/>
      <c r="RC30" s="63"/>
      <c r="RD30" s="31"/>
    </row>
    <row r="31" spans="1:472" s="5" customFormat="1" ht="15" hidden="1" customHeight="1" x14ac:dyDescent="0.25">
      <c r="A31" s="5">
        <v>2032</v>
      </c>
      <c r="B31" s="5" t="s">
        <v>454</v>
      </c>
      <c r="C31" s="5" t="s">
        <v>165</v>
      </c>
      <c r="D31" s="5">
        <v>71</v>
      </c>
      <c r="E31" s="35">
        <v>42675</v>
      </c>
      <c r="F31" s="40" t="s">
        <v>271</v>
      </c>
      <c r="H31" s="5" t="s">
        <v>285</v>
      </c>
      <c r="I31" s="62"/>
      <c r="J31" s="63"/>
      <c r="K31" s="62"/>
      <c r="L31" s="63"/>
      <c r="M31" s="62"/>
      <c r="N31" s="63"/>
      <c r="O31" s="62"/>
      <c r="P31" s="63"/>
      <c r="Q31" s="62"/>
      <c r="R31" s="63"/>
      <c r="S31" s="62"/>
      <c r="T31" s="63"/>
      <c r="X31" s="62"/>
      <c r="Y31" s="63"/>
      <c r="Z31" s="62"/>
      <c r="AA31" s="63"/>
      <c r="AB31" s="62"/>
      <c r="AC31" s="63"/>
      <c r="AD31" s="62"/>
      <c r="AE31" s="63"/>
      <c r="AF31" s="62"/>
      <c r="AG31" s="63"/>
      <c r="AH31" s="62"/>
      <c r="AI31" s="63"/>
      <c r="AJ31" s="62"/>
      <c r="AK31" s="63"/>
      <c r="AL31" s="62"/>
      <c r="AM31" s="63"/>
      <c r="AN31" s="62"/>
      <c r="AO31" s="63"/>
      <c r="AP31" s="62"/>
      <c r="AQ31" s="63"/>
      <c r="AR31" s="62"/>
      <c r="AS31" s="63"/>
      <c r="AT31" s="62"/>
      <c r="AU31" s="63"/>
      <c r="AV31" s="62"/>
      <c r="AW31" s="63"/>
      <c r="AX31" s="62"/>
      <c r="AY31" s="63"/>
      <c r="AZ31" s="62"/>
      <c r="BA31" s="63"/>
      <c r="BB31" s="62"/>
      <c r="BC31" s="63"/>
      <c r="BD31" s="62"/>
      <c r="BE31" s="63"/>
      <c r="BF31" s="62"/>
      <c r="BG31" s="63"/>
      <c r="BH31" s="62"/>
      <c r="BI31" s="63"/>
      <c r="BJ31" s="18"/>
      <c r="BK31" s="19" t="s">
        <v>66</v>
      </c>
      <c r="BL31" s="62" t="s">
        <v>66</v>
      </c>
      <c r="BM31" s="63"/>
      <c r="BN31" s="31" t="s">
        <v>66</v>
      </c>
      <c r="BO31" s="32" t="s">
        <v>36</v>
      </c>
      <c r="BP31" s="62" t="s">
        <v>36</v>
      </c>
      <c r="BQ31" s="63"/>
      <c r="BR31" s="62" t="s">
        <v>36</v>
      </c>
      <c r="BS31" s="63"/>
      <c r="BT31" s="62" t="s">
        <v>36</v>
      </c>
      <c r="BU31" s="63"/>
      <c r="BV31" s="62" t="s">
        <v>36</v>
      </c>
      <c r="BW31" s="63"/>
      <c r="BX31" s="62" t="s">
        <v>36</v>
      </c>
      <c r="BY31" s="63"/>
      <c r="BZ31" s="62" t="s">
        <v>36</v>
      </c>
      <c r="CA31" s="63"/>
      <c r="CB31" s="62" t="s">
        <v>36</v>
      </c>
      <c r="CC31" s="63"/>
      <c r="CD31" s="62" t="s">
        <v>37</v>
      </c>
      <c r="CE31" s="63"/>
      <c r="CF31" s="62" t="s">
        <v>37</v>
      </c>
      <c r="CG31" s="63"/>
      <c r="CH31" s="62" t="s">
        <v>37</v>
      </c>
      <c r="CI31" s="63"/>
      <c r="CJ31" s="62" t="s">
        <v>37</v>
      </c>
      <c r="CK31" s="63"/>
      <c r="CL31" s="62" t="s">
        <v>37</v>
      </c>
      <c r="CM31" s="63"/>
      <c r="CN31" s="62" t="s">
        <v>37</v>
      </c>
      <c r="CO31" s="63"/>
      <c r="CP31" s="62"/>
      <c r="CQ31" s="63"/>
      <c r="CR31" s="62"/>
      <c r="CS31" s="63"/>
      <c r="CT31" s="62"/>
      <c r="CU31" s="63"/>
      <c r="CV31" s="62"/>
      <c r="CW31" s="63"/>
      <c r="CX31" s="62"/>
      <c r="CY31" s="63"/>
      <c r="CZ31" s="62"/>
      <c r="DA31" s="63"/>
      <c r="DB31" s="62"/>
      <c r="DC31" s="63"/>
      <c r="DD31" s="62"/>
      <c r="DE31" s="63"/>
      <c r="DF31" s="62"/>
      <c r="DG31" s="63"/>
      <c r="DH31" s="62"/>
      <c r="DI31" s="63"/>
      <c r="DJ31" s="62"/>
      <c r="DK31" s="63"/>
      <c r="DL31" s="62"/>
      <c r="DM31" s="63"/>
      <c r="DN31" s="62"/>
      <c r="DO31" s="63"/>
      <c r="DP31" s="62"/>
      <c r="DQ31" s="63"/>
      <c r="DR31" s="62"/>
      <c r="DS31" s="63"/>
      <c r="DT31" s="62"/>
      <c r="DU31" s="63"/>
      <c r="DV31" s="62"/>
      <c r="DW31" s="63"/>
      <c r="DX31" s="62"/>
      <c r="DY31" s="63"/>
      <c r="DZ31" s="62"/>
      <c r="EA31" s="63"/>
      <c r="EB31" s="62"/>
      <c r="EC31" s="63"/>
      <c r="ED31" s="62"/>
      <c r="EE31" s="63"/>
      <c r="EF31" s="62"/>
      <c r="EG31" s="63"/>
      <c r="EH31" s="62"/>
      <c r="EI31" s="63"/>
      <c r="EJ31" s="62"/>
      <c r="EK31" s="63"/>
      <c r="EL31" s="62"/>
      <c r="EM31" s="63"/>
      <c r="EN31" s="62"/>
      <c r="EO31" s="63"/>
      <c r="EP31" s="62"/>
      <c r="EQ31" s="63"/>
      <c r="ER31" s="62"/>
      <c r="ES31" s="63"/>
      <c r="ET31" s="62"/>
      <c r="EU31" s="63"/>
      <c r="EV31" s="62"/>
      <c r="EW31" s="63"/>
      <c r="EX31" s="62"/>
      <c r="EY31" s="63"/>
      <c r="EZ31" s="62"/>
      <c r="FA31" s="63"/>
      <c r="FB31" s="62"/>
      <c r="FC31" s="63"/>
      <c r="FD31" s="62"/>
      <c r="FE31" s="63"/>
      <c r="FF31" s="62"/>
      <c r="FG31" s="63"/>
      <c r="FH31" s="62"/>
      <c r="FI31" s="63"/>
      <c r="FJ31" s="62"/>
      <c r="FK31" s="63"/>
      <c r="FL31" s="62"/>
      <c r="FM31" s="63"/>
      <c r="FN31" s="62"/>
      <c r="FO31" s="63"/>
      <c r="FP31" s="62"/>
      <c r="FQ31" s="63"/>
      <c r="FR31" s="62"/>
      <c r="FS31" s="63"/>
      <c r="FT31" s="62"/>
      <c r="FU31" s="63"/>
      <c r="FV31" s="62"/>
      <c r="FW31" s="63"/>
      <c r="FX31" s="62"/>
      <c r="FY31" s="63"/>
      <c r="FZ31" s="62"/>
      <c r="GA31" s="63"/>
      <c r="GB31" s="62"/>
      <c r="GC31" s="63"/>
      <c r="GD31" s="62"/>
      <c r="GE31" s="63"/>
      <c r="GF31" s="62"/>
      <c r="GG31" s="63"/>
      <c r="GH31" s="62"/>
      <c r="GI31" s="63"/>
      <c r="GJ31" s="62"/>
      <c r="GK31" s="63"/>
      <c r="GL31" s="62"/>
      <c r="GM31" s="63"/>
      <c r="GN31" s="62"/>
      <c r="GO31" s="63"/>
      <c r="GP31" s="62"/>
      <c r="GQ31" s="63"/>
      <c r="GR31" s="62"/>
      <c r="GS31" s="63"/>
      <c r="GT31" s="62"/>
      <c r="GU31" s="63"/>
      <c r="GV31" s="62"/>
      <c r="GW31" s="63"/>
      <c r="GX31" s="62"/>
      <c r="GY31" s="63"/>
      <c r="GZ31" s="62"/>
      <c r="HA31" s="63"/>
      <c r="HB31" s="62"/>
      <c r="HC31" s="63"/>
      <c r="HD31" s="62"/>
      <c r="HE31" s="63"/>
      <c r="HF31" s="62"/>
      <c r="HG31" s="63"/>
      <c r="HH31" s="62"/>
      <c r="HI31" s="63"/>
      <c r="HJ31" s="62"/>
      <c r="HK31" s="63"/>
      <c r="HL31" s="62"/>
      <c r="HM31" s="63"/>
      <c r="HN31" s="62"/>
      <c r="HO31" s="63"/>
      <c r="HP31" s="62"/>
      <c r="HQ31" s="63"/>
      <c r="HR31" s="62"/>
      <c r="HS31" s="63"/>
      <c r="HT31" s="62"/>
      <c r="HU31" s="63"/>
      <c r="HV31" s="62"/>
      <c r="HW31" s="63"/>
      <c r="HX31" s="62"/>
      <c r="HY31" s="63"/>
      <c r="HZ31" s="62"/>
      <c r="IA31" s="63"/>
      <c r="IB31" s="62"/>
      <c r="IC31" s="63"/>
      <c r="ID31" s="62"/>
      <c r="IE31" s="63"/>
      <c r="IF31" s="62"/>
      <c r="IG31" s="63"/>
      <c r="IH31" s="62"/>
      <c r="II31" s="63"/>
      <c r="IJ31" s="62"/>
      <c r="IK31" s="63"/>
      <c r="IL31" s="62"/>
      <c r="IM31" s="63"/>
      <c r="IN31" s="62"/>
      <c r="IO31" s="63"/>
      <c r="IP31" s="62"/>
      <c r="IQ31" s="63"/>
      <c r="IR31" s="62"/>
      <c r="IS31" s="63"/>
      <c r="IT31" s="62"/>
      <c r="IU31" s="63"/>
      <c r="IV31" s="62"/>
      <c r="IW31" s="63"/>
      <c r="IX31" s="62"/>
      <c r="IY31" s="63"/>
      <c r="IZ31" s="62"/>
      <c r="JA31" s="63"/>
      <c r="JB31" s="62"/>
      <c r="JC31" s="63"/>
      <c r="JD31" s="62"/>
      <c r="JE31" s="63"/>
      <c r="JF31" s="62"/>
      <c r="JG31" s="63"/>
      <c r="JH31" s="62"/>
      <c r="JI31" s="63"/>
      <c r="JJ31" s="62"/>
      <c r="JK31" s="63"/>
      <c r="JL31" s="62"/>
      <c r="JM31" s="63"/>
      <c r="JN31" s="62"/>
      <c r="JO31" s="63"/>
      <c r="JP31" s="62"/>
      <c r="JQ31" s="63"/>
      <c r="JR31" s="62"/>
      <c r="JS31" s="63"/>
      <c r="JT31" s="62"/>
      <c r="JU31" s="63"/>
      <c r="JV31" s="62"/>
      <c r="JW31" s="63"/>
      <c r="JX31" s="62"/>
      <c r="JY31" s="63"/>
      <c r="JZ31" s="62"/>
      <c r="KA31" s="63"/>
      <c r="KB31" s="62"/>
      <c r="KC31" s="63"/>
      <c r="KD31" s="62"/>
      <c r="KE31" s="63"/>
      <c r="KF31" s="62"/>
      <c r="KG31" s="63"/>
      <c r="KH31" s="62"/>
      <c r="KI31" s="63"/>
      <c r="KJ31" s="62"/>
      <c r="KK31" s="63"/>
      <c r="KL31" s="62"/>
      <c r="KM31" s="63"/>
      <c r="KN31" s="62"/>
      <c r="KO31" s="63"/>
      <c r="KP31" s="62"/>
      <c r="KQ31" s="63"/>
      <c r="KR31" s="62"/>
      <c r="KS31" s="63"/>
      <c r="KT31" s="62"/>
      <c r="KU31" s="63"/>
      <c r="KV31" s="62"/>
      <c r="KW31" s="63"/>
      <c r="KX31" s="62"/>
      <c r="KY31" s="63"/>
      <c r="KZ31" s="62"/>
      <c r="LA31" s="63"/>
      <c r="LB31" s="62"/>
      <c r="LC31" s="63"/>
      <c r="LD31" s="62"/>
      <c r="LE31" s="63"/>
      <c r="LF31" s="62"/>
      <c r="LG31" s="63"/>
      <c r="LH31" s="62"/>
      <c r="LI31" s="63"/>
      <c r="LJ31" s="62"/>
      <c r="LK31" s="63"/>
      <c r="LL31" s="62"/>
      <c r="LM31" s="63"/>
      <c r="LN31" s="62"/>
      <c r="LO31" s="63"/>
      <c r="LP31" s="62"/>
      <c r="LQ31" s="63"/>
      <c r="LR31" s="62"/>
      <c r="LS31" s="63"/>
      <c r="LT31" s="62"/>
      <c r="LU31" s="63"/>
      <c r="LV31" s="62"/>
      <c r="LW31" s="63"/>
      <c r="LX31" s="62"/>
      <c r="LY31" s="63"/>
      <c r="LZ31" s="62"/>
      <c r="MA31" s="63"/>
      <c r="MB31" s="62"/>
      <c r="MC31" s="63"/>
      <c r="MD31" s="62"/>
      <c r="ME31" s="63"/>
      <c r="MF31" s="62"/>
      <c r="MG31" s="63"/>
      <c r="MH31" s="62"/>
      <c r="MI31" s="63"/>
      <c r="MJ31" s="62"/>
      <c r="MK31" s="63"/>
      <c r="ML31" s="62"/>
      <c r="MM31" s="63"/>
      <c r="MN31" s="62"/>
      <c r="MO31" s="63"/>
      <c r="MP31" s="62"/>
      <c r="MQ31" s="63"/>
      <c r="MR31" s="62"/>
      <c r="MS31" s="63"/>
      <c r="MT31" s="62"/>
      <c r="MU31" s="63"/>
      <c r="MV31" s="62"/>
      <c r="MW31" s="63"/>
      <c r="MX31" s="62"/>
      <c r="MY31" s="63"/>
      <c r="MZ31" s="62"/>
      <c r="NA31" s="63"/>
      <c r="NB31" s="62"/>
      <c r="NC31" s="63"/>
      <c r="ND31" s="62"/>
      <c r="NE31" s="63"/>
      <c r="NF31" s="62"/>
      <c r="NG31" s="63"/>
      <c r="NH31" s="62"/>
      <c r="NI31" s="63"/>
      <c r="NJ31" s="62"/>
      <c r="NK31" s="63"/>
      <c r="NL31" s="62"/>
      <c r="NM31" s="63"/>
      <c r="NN31" s="62"/>
      <c r="NO31" s="63"/>
      <c r="NP31" s="62"/>
      <c r="NQ31" s="63"/>
      <c r="NR31" s="62"/>
      <c r="NS31" s="63"/>
      <c r="NT31" s="62"/>
      <c r="NU31" s="63"/>
      <c r="NV31" s="62"/>
      <c r="NW31" s="63"/>
      <c r="NX31" s="62"/>
      <c r="NY31" s="63"/>
      <c r="NZ31" s="62"/>
      <c r="OA31" s="63"/>
      <c r="OB31" s="62"/>
      <c r="OC31" s="63"/>
      <c r="OD31" s="62"/>
      <c r="OE31" s="63"/>
      <c r="OF31" s="62"/>
      <c r="OG31" s="63"/>
      <c r="OH31" s="62"/>
      <c r="OI31" s="63"/>
      <c r="OJ31" s="62"/>
      <c r="OK31" s="63"/>
      <c r="OL31" s="62"/>
      <c r="OM31" s="63"/>
      <c r="ON31" s="62"/>
      <c r="OO31" s="63"/>
      <c r="OP31" s="62"/>
      <c r="OQ31" s="63"/>
      <c r="OR31" s="62"/>
      <c r="OS31" s="63"/>
      <c r="OT31" s="62"/>
      <c r="OU31" s="63"/>
      <c r="OV31" s="62"/>
      <c r="OW31" s="63"/>
      <c r="OX31" s="62"/>
      <c r="OY31" s="63"/>
      <c r="OZ31" s="62"/>
      <c r="PA31" s="63"/>
      <c r="PB31" s="62"/>
      <c r="PC31" s="63"/>
      <c r="PD31" s="62"/>
      <c r="PE31" s="63"/>
      <c r="PF31" s="62"/>
      <c r="PG31" s="63"/>
      <c r="PH31" s="62"/>
      <c r="PI31" s="63"/>
      <c r="PJ31" s="62"/>
      <c r="PK31" s="63"/>
      <c r="PL31" s="62"/>
      <c r="PM31" s="63"/>
      <c r="PN31" s="62"/>
      <c r="PO31" s="63"/>
      <c r="PP31" s="62"/>
      <c r="PQ31" s="63"/>
      <c r="PR31" s="62"/>
      <c r="PS31" s="63"/>
      <c r="PT31" s="62"/>
      <c r="PU31" s="63"/>
      <c r="PV31" s="62"/>
      <c r="PW31" s="63"/>
      <c r="PX31" s="62"/>
      <c r="PY31" s="63"/>
      <c r="PZ31" s="62"/>
      <c r="QA31" s="63"/>
      <c r="QB31" s="62"/>
      <c r="QC31" s="63"/>
      <c r="QD31" s="62"/>
      <c r="QE31" s="63"/>
      <c r="QF31" s="62"/>
      <c r="QG31" s="63"/>
      <c r="QH31" s="62"/>
      <c r="QI31" s="63"/>
      <c r="QJ31" s="62"/>
      <c r="QK31" s="63"/>
      <c r="QL31" s="62"/>
      <c r="QM31" s="63"/>
      <c r="QN31" s="62"/>
      <c r="QO31" s="63"/>
      <c r="QP31" s="62"/>
      <c r="QQ31" s="63"/>
      <c r="QR31" s="62"/>
      <c r="QS31" s="63"/>
      <c r="QT31" s="62"/>
      <c r="QU31" s="63"/>
      <c r="QV31" s="62"/>
      <c r="QW31" s="63"/>
      <c r="QX31" s="62"/>
      <c r="QY31" s="63"/>
      <c r="QZ31" s="62"/>
      <c r="RA31" s="63"/>
      <c r="RB31" s="62"/>
      <c r="RC31" s="63"/>
      <c r="RD31" s="31"/>
    </row>
    <row r="32" spans="1:472" s="5" customFormat="1" ht="15" hidden="1" customHeight="1" x14ac:dyDescent="0.25">
      <c r="A32" s="5">
        <v>2036</v>
      </c>
      <c r="B32" s="5" t="s">
        <v>249</v>
      </c>
      <c r="C32" s="5" t="s">
        <v>4</v>
      </c>
      <c r="D32" s="5">
        <v>31</v>
      </c>
      <c r="E32" s="35">
        <v>42644</v>
      </c>
      <c r="F32" s="40" t="s">
        <v>58</v>
      </c>
      <c r="H32" s="5" t="s">
        <v>282</v>
      </c>
      <c r="I32" s="62"/>
      <c r="J32" s="63"/>
      <c r="K32" s="62"/>
      <c r="L32" s="63"/>
      <c r="M32" s="62"/>
      <c r="N32" s="63"/>
      <c r="O32" s="62"/>
      <c r="P32" s="63"/>
      <c r="Q32" s="62"/>
      <c r="R32" s="63"/>
      <c r="S32" s="62"/>
      <c r="T32" s="63"/>
      <c r="X32" s="62"/>
      <c r="Y32" s="63"/>
      <c r="Z32" s="62"/>
      <c r="AA32" s="63"/>
      <c r="AB32" s="62"/>
      <c r="AC32" s="63"/>
      <c r="AD32" s="62"/>
      <c r="AE32" s="63"/>
      <c r="AF32" s="62"/>
      <c r="AG32" s="63"/>
      <c r="AH32" s="62"/>
      <c r="AI32" s="63"/>
      <c r="AJ32" s="62"/>
      <c r="AK32" s="63"/>
      <c r="AL32" s="62"/>
      <c r="AM32" s="63"/>
      <c r="AN32" s="62"/>
      <c r="AO32" s="63"/>
      <c r="AP32" s="62"/>
      <c r="AQ32" s="63"/>
      <c r="AR32" s="62"/>
      <c r="AS32" s="63"/>
      <c r="AT32" s="62"/>
      <c r="AU32" s="63"/>
      <c r="AV32" s="62"/>
      <c r="AW32" s="63"/>
      <c r="AX32" s="62"/>
      <c r="AY32" s="63"/>
      <c r="AZ32" s="62"/>
      <c r="BA32" s="63"/>
      <c r="BB32" s="62"/>
      <c r="BC32" s="63"/>
      <c r="BD32" s="62"/>
      <c r="BE32" s="63"/>
      <c r="BF32" s="62"/>
      <c r="BG32" s="63"/>
      <c r="BH32" s="18"/>
      <c r="BI32" s="19" t="s">
        <v>66</v>
      </c>
      <c r="BJ32" s="18"/>
      <c r="BK32" s="32" t="s">
        <v>66</v>
      </c>
      <c r="BL32" s="18"/>
      <c r="BM32" s="32" t="s">
        <v>66</v>
      </c>
      <c r="BN32" s="62" t="s">
        <v>66</v>
      </c>
      <c r="BO32" s="63"/>
      <c r="BP32" s="62" t="s">
        <v>66</v>
      </c>
      <c r="BQ32" s="63"/>
      <c r="BR32" s="62" t="s">
        <v>66</v>
      </c>
      <c r="BS32" s="63"/>
      <c r="BT32" s="62" t="s">
        <v>36</v>
      </c>
      <c r="BU32" s="63"/>
      <c r="BV32" s="62" t="s">
        <v>36</v>
      </c>
      <c r="BW32" s="63"/>
      <c r="BX32" s="62" t="s">
        <v>36</v>
      </c>
      <c r="BY32" s="63"/>
      <c r="BZ32" s="62" t="s">
        <v>36</v>
      </c>
      <c r="CA32" s="63"/>
      <c r="CB32" s="62" t="s">
        <v>36</v>
      </c>
      <c r="CC32" s="63"/>
      <c r="CD32" s="62" t="s">
        <v>310</v>
      </c>
      <c r="CE32" s="63"/>
      <c r="CF32" s="62" t="s">
        <v>310</v>
      </c>
      <c r="CG32" s="63"/>
      <c r="CH32" s="62" t="s">
        <v>37</v>
      </c>
      <c r="CI32" s="63"/>
      <c r="CJ32" s="62" t="s">
        <v>37</v>
      </c>
      <c r="CK32" s="63"/>
      <c r="CL32" s="62" t="s">
        <v>37</v>
      </c>
      <c r="CM32" s="63"/>
      <c r="CN32" s="62" t="s">
        <v>37</v>
      </c>
      <c r="CO32" s="63"/>
      <c r="CP32" s="62" t="s">
        <v>37</v>
      </c>
      <c r="CQ32" s="63"/>
      <c r="CR32" s="62" t="s">
        <v>37</v>
      </c>
      <c r="CS32" s="63"/>
      <c r="CT32" s="62"/>
      <c r="CU32" s="63"/>
      <c r="CV32" s="62"/>
      <c r="CW32" s="63"/>
      <c r="CX32" s="62"/>
      <c r="CY32" s="63"/>
      <c r="CZ32" s="62"/>
      <c r="DA32" s="63"/>
      <c r="DB32" s="62"/>
      <c r="DC32" s="63"/>
      <c r="DD32" s="62"/>
      <c r="DE32" s="63"/>
      <c r="DF32" s="62"/>
      <c r="DG32" s="63"/>
      <c r="DH32" s="62"/>
      <c r="DI32" s="63"/>
      <c r="DJ32" s="62"/>
      <c r="DK32" s="63"/>
      <c r="DL32" s="62"/>
      <c r="DM32" s="63"/>
      <c r="DN32" s="62"/>
      <c r="DO32" s="63"/>
      <c r="DP32" s="62"/>
      <c r="DQ32" s="63"/>
      <c r="DR32" s="62"/>
      <c r="DS32" s="63"/>
      <c r="DT32" s="62"/>
      <c r="DU32" s="63"/>
      <c r="DV32" s="62"/>
      <c r="DW32" s="63"/>
      <c r="DX32" s="62"/>
      <c r="DY32" s="63"/>
      <c r="DZ32" s="62"/>
      <c r="EA32" s="63"/>
      <c r="EB32" s="62"/>
      <c r="EC32" s="63"/>
      <c r="ED32" s="62"/>
      <c r="EE32" s="63"/>
      <c r="EF32" s="62"/>
      <c r="EG32" s="63"/>
      <c r="EH32" s="62"/>
      <c r="EI32" s="63"/>
      <c r="EJ32" s="62"/>
      <c r="EK32" s="63"/>
      <c r="EL32" s="62"/>
      <c r="EM32" s="63"/>
      <c r="EN32" s="62"/>
      <c r="EO32" s="63"/>
      <c r="EP32" s="62"/>
      <c r="EQ32" s="63"/>
      <c r="ER32" s="62"/>
      <c r="ES32" s="63"/>
      <c r="ET32" s="62"/>
      <c r="EU32" s="63"/>
      <c r="EV32" s="62"/>
      <c r="EW32" s="63"/>
      <c r="EX32" s="62"/>
      <c r="EY32" s="63"/>
      <c r="EZ32" s="62"/>
      <c r="FA32" s="63"/>
      <c r="FB32" s="62"/>
      <c r="FC32" s="63"/>
      <c r="FD32" s="62"/>
      <c r="FE32" s="63"/>
      <c r="FF32" s="62"/>
      <c r="FG32" s="63"/>
      <c r="FH32" s="62"/>
      <c r="FI32" s="63"/>
      <c r="FJ32" s="62"/>
      <c r="FK32" s="63"/>
      <c r="FL32" s="62"/>
      <c r="FM32" s="63"/>
      <c r="FN32" s="62"/>
      <c r="FO32" s="63"/>
      <c r="FP32" s="62"/>
      <c r="FQ32" s="63"/>
      <c r="FR32" s="62"/>
      <c r="FS32" s="63"/>
      <c r="FT32" s="62"/>
      <c r="FU32" s="63"/>
      <c r="FV32" s="62"/>
      <c r="FW32" s="63"/>
      <c r="FX32" s="62"/>
      <c r="FY32" s="63"/>
      <c r="FZ32" s="62"/>
      <c r="GA32" s="63"/>
      <c r="GB32" s="62"/>
      <c r="GC32" s="63"/>
      <c r="GD32" s="62"/>
      <c r="GE32" s="63"/>
      <c r="GF32" s="62"/>
      <c r="GG32" s="63"/>
      <c r="GH32" s="62"/>
      <c r="GI32" s="63"/>
      <c r="GJ32" s="62"/>
      <c r="GK32" s="63"/>
      <c r="GL32" s="62"/>
      <c r="GM32" s="63"/>
      <c r="GN32" s="62"/>
      <c r="GO32" s="63"/>
      <c r="GP32" s="62"/>
      <c r="GQ32" s="63"/>
      <c r="GR32" s="62"/>
      <c r="GS32" s="63"/>
      <c r="GT32" s="62"/>
      <c r="GU32" s="63"/>
      <c r="GV32" s="62"/>
      <c r="GW32" s="63"/>
      <c r="GX32" s="62"/>
      <c r="GY32" s="63"/>
      <c r="GZ32" s="62"/>
      <c r="HA32" s="63"/>
      <c r="HB32" s="62"/>
      <c r="HC32" s="63"/>
      <c r="HD32" s="62"/>
      <c r="HE32" s="63"/>
      <c r="HF32" s="62"/>
      <c r="HG32" s="63"/>
      <c r="HH32" s="62"/>
      <c r="HI32" s="63"/>
      <c r="HJ32" s="62"/>
      <c r="HK32" s="63"/>
      <c r="HL32" s="62"/>
      <c r="HM32" s="63"/>
      <c r="HN32" s="62"/>
      <c r="HO32" s="63"/>
      <c r="HP32" s="62"/>
      <c r="HQ32" s="63"/>
      <c r="HR32" s="62"/>
      <c r="HS32" s="63"/>
      <c r="HT32" s="62"/>
      <c r="HU32" s="63"/>
      <c r="HV32" s="62"/>
      <c r="HW32" s="63"/>
      <c r="HX32" s="62"/>
      <c r="HY32" s="63"/>
      <c r="HZ32" s="62"/>
      <c r="IA32" s="63"/>
      <c r="IB32" s="62"/>
      <c r="IC32" s="63"/>
      <c r="ID32" s="62"/>
      <c r="IE32" s="63"/>
      <c r="IF32" s="62"/>
      <c r="IG32" s="63"/>
      <c r="IH32" s="62"/>
      <c r="II32" s="63"/>
      <c r="IJ32" s="62"/>
      <c r="IK32" s="63"/>
      <c r="IL32" s="62"/>
      <c r="IM32" s="63"/>
      <c r="IN32" s="62"/>
      <c r="IO32" s="63"/>
      <c r="IP32" s="62"/>
      <c r="IQ32" s="63"/>
      <c r="IR32" s="62"/>
      <c r="IS32" s="63"/>
      <c r="IT32" s="62"/>
      <c r="IU32" s="63"/>
      <c r="IV32" s="62"/>
      <c r="IW32" s="63"/>
      <c r="IX32" s="62"/>
      <c r="IY32" s="63"/>
      <c r="IZ32" s="62"/>
      <c r="JA32" s="63"/>
      <c r="JB32" s="62"/>
      <c r="JC32" s="63"/>
      <c r="JD32" s="62"/>
      <c r="JE32" s="63"/>
      <c r="JF32" s="62"/>
      <c r="JG32" s="63"/>
      <c r="JH32" s="62"/>
      <c r="JI32" s="63"/>
      <c r="JJ32" s="62"/>
      <c r="JK32" s="63"/>
      <c r="JL32" s="62"/>
      <c r="JM32" s="63"/>
      <c r="JN32" s="62"/>
      <c r="JO32" s="63"/>
      <c r="JP32" s="62"/>
      <c r="JQ32" s="63"/>
      <c r="JR32" s="62"/>
      <c r="JS32" s="63"/>
      <c r="JT32" s="62"/>
      <c r="JU32" s="63"/>
      <c r="JV32" s="62"/>
      <c r="JW32" s="63"/>
      <c r="JX32" s="62"/>
      <c r="JY32" s="63"/>
      <c r="JZ32" s="62"/>
      <c r="KA32" s="63"/>
      <c r="KB32" s="62"/>
      <c r="KC32" s="63"/>
      <c r="KD32" s="62"/>
      <c r="KE32" s="63"/>
      <c r="KF32" s="62"/>
      <c r="KG32" s="63"/>
      <c r="KH32" s="62"/>
      <c r="KI32" s="63"/>
      <c r="KJ32" s="62"/>
      <c r="KK32" s="63"/>
      <c r="KL32" s="62"/>
      <c r="KM32" s="63"/>
      <c r="KN32" s="62"/>
      <c r="KO32" s="63"/>
      <c r="KP32" s="62"/>
      <c r="KQ32" s="63"/>
      <c r="KR32" s="62"/>
      <c r="KS32" s="63"/>
      <c r="KT32" s="62"/>
      <c r="KU32" s="63"/>
      <c r="KV32" s="62"/>
      <c r="KW32" s="63"/>
      <c r="KX32" s="62"/>
      <c r="KY32" s="63"/>
      <c r="KZ32" s="62"/>
      <c r="LA32" s="63"/>
      <c r="LB32" s="62"/>
      <c r="LC32" s="63"/>
      <c r="LD32" s="62"/>
      <c r="LE32" s="63"/>
      <c r="LF32" s="62"/>
      <c r="LG32" s="63"/>
      <c r="LH32" s="62"/>
      <c r="LI32" s="63"/>
      <c r="LJ32" s="62"/>
      <c r="LK32" s="63"/>
      <c r="LL32" s="62"/>
      <c r="LM32" s="63"/>
      <c r="LN32" s="62"/>
      <c r="LO32" s="63"/>
      <c r="LP32" s="62"/>
      <c r="LQ32" s="63"/>
      <c r="LR32" s="62"/>
      <c r="LS32" s="63"/>
      <c r="LT32" s="62"/>
      <c r="LU32" s="63"/>
      <c r="LV32" s="62"/>
      <c r="LW32" s="63"/>
      <c r="LX32" s="62"/>
      <c r="LY32" s="63"/>
      <c r="LZ32" s="62"/>
      <c r="MA32" s="63"/>
      <c r="MB32" s="62"/>
      <c r="MC32" s="63"/>
      <c r="MD32" s="62"/>
      <c r="ME32" s="63"/>
      <c r="MF32" s="62"/>
      <c r="MG32" s="63"/>
      <c r="MH32" s="62"/>
      <c r="MI32" s="63"/>
      <c r="MJ32" s="62"/>
      <c r="MK32" s="63"/>
      <c r="ML32" s="62"/>
      <c r="MM32" s="63"/>
      <c r="MN32" s="62"/>
      <c r="MO32" s="63"/>
      <c r="MP32" s="62"/>
      <c r="MQ32" s="63"/>
      <c r="MR32" s="62"/>
      <c r="MS32" s="63"/>
      <c r="MT32" s="62"/>
      <c r="MU32" s="63"/>
      <c r="MV32" s="62"/>
      <c r="MW32" s="63"/>
      <c r="MX32" s="62"/>
      <c r="MY32" s="63"/>
      <c r="MZ32" s="62"/>
      <c r="NA32" s="63"/>
      <c r="NB32" s="62"/>
      <c r="NC32" s="63"/>
      <c r="ND32" s="62"/>
      <c r="NE32" s="63"/>
      <c r="NF32" s="62"/>
      <c r="NG32" s="63"/>
      <c r="NH32" s="62"/>
      <c r="NI32" s="63"/>
      <c r="NJ32" s="62"/>
      <c r="NK32" s="63"/>
      <c r="NL32" s="62"/>
      <c r="NM32" s="63"/>
      <c r="NN32" s="62"/>
      <c r="NO32" s="63"/>
      <c r="NP32" s="62"/>
      <c r="NQ32" s="63"/>
      <c r="NR32" s="62"/>
      <c r="NS32" s="63"/>
      <c r="NT32" s="62"/>
      <c r="NU32" s="63"/>
      <c r="NV32" s="62"/>
      <c r="NW32" s="63"/>
      <c r="NX32" s="62"/>
      <c r="NY32" s="63"/>
      <c r="NZ32" s="62"/>
      <c r="OA32" s="63"/>
      <c r="OB32" s="62"/>
      <c r="OC32" s="63"/>
      <c r="OD32" s="62"/>
      <c r="OE32" s="63"/>
      <c r="OF32" s="62"/>
      <c r="OG32" s="63"/>
      <c r="OH32" s="62"/>
      <c r="OI32" s="63"/>
      <c r="OJ32" s="62"/>
      <c r="OK32" s="63"/>
      <c r="OL32" s="62"/>
      <c r="OM32" s="63"/>
      <c r="ON32" s="62"/>
      <c r="OO32" s="63"/>
      <c r="OP32" s="62"/>
      <c r="OQ32" s="63"/>
      <c r="OR32" s="62"/>
      <c r="OS32" s="63"/>
      <c r="OT32" s="62"/>
      <c r="OU32" s="63"/>
      <c r="OV32" s="62"/>
      <c r="OW32" s="63"/>
      <c r="OX32" s="62"/>
      <c r="OY32" s="63"/>
      <c r="OZ32" s="62"/>
      <c r="PA32" s="63"/>
      <c r="PB32" s="62"/>
      <c r="PC32" s="63"/>
      <c r="PD32" s="62"/>
      <c r="PE32" s="63"/>
      <c r="PF32" s="62"/>
      <c r="PG32" s="63"/>
      <c r="PH32" s="62"/>
      <c r="PI32" s="63"/>
      <c r="PJ32" s="62"/>
      <c r="PK32" s="63"/>
      <c r="PL32" s="62"/>
      <c r="PM32" s="63"/>
      <c r="PN32" s="62"/>
      <c r="PO32" s="63"/>
      <c r="PP32" s="62"/>
      <c r="PQ32" s="63"/>
      <c r="PR32" s="62"/>
      <c r="PS32" s="63"/>
      <c r="PT32" s="62"/>
      <c r="PU32" s="63"/>
      <c r="PV32" s="62"/>
      <c r="PW32" s="63"/>
      <c r="PX32" s="62"/>
      <c r="PY32" s="63"/>
      <c r="PZ32" s="62"/>
      <c r="QA32" s="63"/>
      <c r="QB32" s="62"/>
      <c r="QC32" s="63"/>
      <c r="QD32" s="62"/>
      <c r="QE32" s="63"/>
      <c r="QF32" s="62"/>
      <c r="QG32" s="63"/>
      <c r="QH32" s="62"/>
      <c r="QI32" s="63"/>
      <c r="QJ32" s="62"/>
      <c r="QK32" s="63"/>
      <c r="QL32" s="62"/>
      <c r="QM32" s="63"/>
      <c r="QN32" s="62"/>
      <c r="QO32" s="63"/>
      <c r="QP32" s="62"/>
      <c r="QQ32" s="63"/>
      <c r="QR32" s="62"/>
      <c r="QS32" s="63"/>
      <c r="QT32" s="62"/>
      <c r="QU32" s="63"/>
      <c r="QV32" s="62"/>
      <c r="QW32" s="63"/>
      <c r="QX32" s="62"/>
      <c r="QY32" s="63"/>
      <c r="QZ32" s="62"/>
      <c r="RA32" s="63"/>
      <c r="RB32" s="62"/>
      <c r="RC32" s="63"/>
      <c r="RD32" s="31"/>
    </row>
    <row r="33" spans="1:472" s="5" customFormat="1" ht="15" hidden="1" customHeight="1" x14ac:dyDescent="0.25">
      <c r="A33" s="5">
        <v>2048</v>
      </c>
      <c r="B33" s="5" t="s">
        <v>402</v>
      </c>
      <c r="C33" s="5" t="s">
        <v>369</v>
      </c>
      <c r="D33" s="5">
        <v>72</v>
      </c>
      <c r="E33" s="36">
        <v>43025</v>
      </c>
      <c r="F33" s="40" t="s">
        <v>56</v>
      </c>
      <c r="I33" s="62"/>
      <c r="J33" s="63"/>
      <c r="K33" s="62"/>
      <c r="L33" s="63"/>
      <c r="M33" s="62"/>
      <c r="N33" s="63"/>
      <c r="O33" s="62"/>
      <c r="P33" s="63"/>
      <c r="Q33" s="62"/>
      <c r="R33" s="63"/>
      <c r="S33" s="62"/>
      <c r="T33" s="63"/>
      <c r="X33" s="62"/>
      <c r="Y33" s="63"/>
      <c r="Z33" s="62"/>
      <c r="AA33" s="63"/>
      <c r="AB33" s="62"/>
      <c r="AC33" s="63"/>
      <c r="AD33" s="62"/>
      <c r="AE33" s="63"/>
      <c r="AF33" s="62"/>
      <c r="AG33" s="63"/>
      <c r="AH33" s="62"/>
      <c r="AI33" s="63"/>
      <c r="AJ33" s="62"/>
      <c r="AK33" s="63"/>
      <c r="AL33" s="62"/>
      <c r="AM33" s="63"/>
      <c r="AN33" s="62"/>
      <c r="AO33" s="63"/>
      <c r="AP33" s="62"/>
      <c r="AQ33" s="63"/>
      <c r="AR33" s="62"/>
      <c r="AS33" s="63"/>
      <c r="AT33" s="62"/>
      <c r="AU33" s="63"/>
      <c r="AV33" s="62"/>
      <c r="AW33" s="63"/>
      <c r="AX33" s="62"/>
      <c r="AY33" s="63"/>
      <c r="AZ33" s="62"/>
      <c r="BA33" s="63"/>
      <c r="BB33" s="18"/>
      <c r="BC33" s="32"/>
      <c r="BD33" s="62"/>
      <c r="BE33" s="63"/>
      <c r="BF33" s="62"/>
      <c r="BG33" s="63"/>
      <c r="BH33" s="62"/>
      <c r="BI33" s="63"/>
      <c r="BJ33" s="31"/>
      <c r="BK33" s="32"/>
      <c r="BL33" s="62"/>
      <c r="BM33" s="63"/>
      <c r="BN33" s="62"/>
      <c r="BO33" s="63"/>
      <c r="BP33" s="62"/>
      <c r="BQ33" s="63"/>
      <c r="BR33" s="62"/>
      <c r="BS33" s="63"/>
      <c r="BT33" s="62"/>
      <c r="BU33" s="63"/>
      <c r="BV33" s="62"/>
      <c r="BW33" s="63"/>
      <c r="BX33" s="62"/>
      <c r="BY33" s="63"/>
      <c r="BZ33" s="62" t="s">
        <v>36</v>
      </c>
      <c r="CA33" s="63"/>
      <c r="CB33" s="62" t="s">
        <v>36</v>
      </c>
      <c r="CC33" s="63"/>
      <c r="CD33" s="62" t="s">
        <v>36</v>
      </c>
      <c r="CE33" s="63"/>
      <c r="CF33" s="62" t="s">
        <v>36</v>
      </c>
      <c r="CG33" s="63"/>
      <c r="CH33" s="62" t="s">
        <v>310</v>
      </c>
      <c r="CI33" s="63"/>
      <c r="CJ33" s="62" t="s">
        <v>37</v>
      </c>
      <c r="CK33" s="63"/>
      <c r="CL33" s="62" t="s">
        <v>37</v>
      </c>
      <c r="CM33" s="63"/>
      <c r="CN33" s="62" t="s">
        <v>37</v>
      </c>
      <c r="CO33" s="63"/>
      <c r="CP33" s="62" t="s">
        <v>37</v>
      </c>
      <c r="CQ33" s="63"/>
      <c r="CR33" s="62"/>
      <c r="CS33" s="63"/>
      <c r="CT33" s="62"/>
      <c r="CU33" s="63"/>
      <c r="CV33" s="62"/>
      <c r="CW33" s="63"/>
      <c r="CX33" s="62"/>
      <c r="CY33" s="63"/>
      <c r="CZ33" s="62"/>
      <c r="DA33" s="63"/>
      <c r="DB33" s="62"/>
      <c r="DC33" s="63"/>
      <c r="DD33" s="62"/>
      <c r="DE33" s="63"/>
      <c r="DF33" s="62"/>
      <c r="DG33" s="63"/>
      <c r="DH33" s="62"/>
      <c r="DI33" s="63"/>
      <c r="DJ33" s="62"/>
      <c r="DK33" s="63"/>
      <c r="DL33" s="62"/>
      <c r="DM33" s="63"/>
      <c r="DN33" s="62"/>
      <c r="DO33" s="63"/>
      <c r="DP33" s="62"/>
      <c r="DQ33" s="63"/>
      <c r="DR33" s="62"/>
      <c r="DS33" s="63"/>
      <c r="DT33" s="62"/>
      <c r="DU33" s="63"/>
      <c r="DV33" s="62"/>
      <c r="DW33" s="63"/>
      <c r="DX33" s="62"/>
      <c r="DY33" s="63"/>
      <c r="DZ33" s="62"/>
      <c r="EA33" s="63"/>
      <c r="EB33" s="62"/>
      <c r="EC33" s="63"/>
      <c r="ED33" s="62"/>
      <c r="EE33" s="63"/>
      <c r="EF33" s="62"/>
      <c r="EG33" s="63"/>
      <c r="EH33" s="62"/>
      <c r="EI33" s="63"/>
      <c r="EJ33" s="62"/>
      <c r="EK33" s="63"/>
      <c r="EL33" s="62"/>
      <c r="EM33" s="63"/>
      <c r="EN33" s="62"/>
      <c r="EO33" s="63"/>
      <c r="EP33" s="62"/>
      <c r="EQ33" s="63"/>
      <c r="ER33" s="62"/>
      <c r="ES33" s="63"/>
      <c r="ET33" s="62"/>
      <c r="EU33" s="63"/>
      <c r="EV33" s="62"/>
      <c r="EW33" s="63"/>
      <c r="EX33" s="62"/>
      <c r="EY33" s="63"/>
      <c r="EZ33" s="62"/>
      <c r="FA33" s="63"/>
      <c r="FB33" s="62"/>
      <c r="FC33" s="63"/>
      <c r="FD33" s="62"/>
      <c r="FE33" s="63"/>
      <c r="FF33" s="62"/>
      <c r="FG33" s="63"/>
      <c r="FH33" s="62"/>
      <c r="FI33" s="63"/>
      <c r="FJ33" s="62"/>
      <c r="FK33" s="63"/>
      <c r="FL33" s="62"/>
      <c r="FM33" s="63"/>
      <c r="FN33" s="62"/>
      <c r="FO33" s="63"/>
      <c r="FP33" s="62"/>
      <c r="FQ33" s="63"/>
      <c r="FR33" s="62"/>
      <c r="FS33" s="63"/>
      <c r="FT33" s="62"/>
      <c r="FU33" s="63"/>
      <c r="FV33" s="62"/>
      <c r="FW33" s="63"/>
      <c r="FX33" s="62"/>
      <c r="FY33" s="63"/>
      <c r="FZ33" s="62"/>
      <c r="GA33" s="63"/>
      <c r="GB33" s="62"/>
      <c r="GC33" s="63"/>
      <c r="GD33" s="62"/>
      <c r="GE33" s="63"/>
      <c r="GF33" s="62"/>
      <c r="GG33" s="63"/>
      <c r="GH33" s="62"/>
      <c r="GI33" s="63"/>
      <c r="GJ33" s="62"/>
      <c r="GK33" s="63"/>
      <c r="GL33" s="62"/>
      <c r="GM33" s="63"/>
      <c r="GN33" s="62"/>
      <c r="GO33" s="63"/>
      <c r="GP33" s="62"/>
      <c r="GQ33" s="63"/>
      <c r="GR33" s="62"/>
      <c r="GS33" s="63"/>
      <c r="GT33" s="62"/>
      <c r="GU33" s="63"/>
      <c r="GV33" s="62"/>
      <c r="GW33" s="63"/>
      <c r="GX33" s="62"/>
      <c r="GY33" s="63"/>
      <c r="GZ33" s="62"/>
      <c r="HA33" s="63"/>
      <c r="HB33" s="62"/>
      <c r="HC33" s="63"/>
      <c r="HD33" s="62"/>
      <c r="HE33" s="63"/>
      <c r="HF33" s="62"/>
      <c r="HG33" s="63"/>
      <c r="HH33" s="62"/>
      <c r="HI33" s="63"/>
      <c r="HJ33" s="62"/>
      <c r="HK33" s="63"/>
      <c r="HL33" s="62"/>
      <c r="HM33" s="63"/>
      <c r="HN33" s="62"/>
      <c r="HO33" s="63"/>
      <c r="HP33" s="62"/>
      <c r="HQ33" s="63"/>
      <c r="HR33" s="62"/>
      <c r="HS33" s="63"/>
      <c r="HT33" s="62"/>
      <c r="HU33" s="63"/>
      <c r="HV33" s="62"/>
      <c r="HW33" s="63"/>
      <c r="HX33" s="62"/>
      <c r="HY33" s="63"/>
      <c r="HZ33" s="62"/>
      <c r="IA33" s="63"/>
      <c r="IB33" s="62"/>
      <c r="IC33" s="63"/>
      <c r="ID33" s="62"/>
      <c r="IE33" s="63"/>
      <c r="IF33" s="62"/>
      <c r="IG33" s="63"/>
      <c r="IH33" s="62"/>
      <c r="II33" s="63"/>
      <c r="IJ33" s="62"/>
      <c r="IK33" s="63"/>
      <c r="IL33" s="62"/>
      <c r="IM33" s="63"/>
      <c r="IN33" s="62"/>
      <c r="IO33" s="63"/>
      <c r="IP33" s="62"/>
      <c r="IQ33" s="63"/>
      <c r="IR33" s="62"/>
      <c r="IS33" s="63"/>
      <c r="IT33" s="62"/>
      <c r="IU33" s="63"/>
      <c r="IV33" s="62"/>
      <c r="IW33" s="63"/>
      <c r="IX33" s="62"/>
      <c r="IY33" s="63"/>
      <c r="IZ33" s="62"/>
      <c r="JA33" s="63"/>
      <c r="JB33" s="62"/>
      <c r="JC33" s="63"/>
      <c r="JD33" s="62"/>
      <c r="JE33" s="63"/>
      <c r="JF33" s="62"/>
      <c r="JG33" s="63"/>
      <c r="JH33" s="62"/>
      <c r="JI33" s="63"/>
      <c r="JJ33" s="62"/>
      <c r="JK33" s="63"/>
      <c r="JL33" s="62"/>
      <c r="JM33" s="63"/>
      <c r="JN33" s="62"/>
      <c r="JO33" s="63"/>
      <c r="JP33" s="62"/>
      <c r="JQ33" s="63"/>
      <c r="JR33" s="62"/>
      <c r="JS33" s="63"/>
      <c r="JT33" s="62"/>
      <c r="JU33" s="63"/>
      <c r="JV33" s="62"/>
      <c r="JW33" s="63"/>
      <c r="JX33" s="62"/>
      <c r="JY33" s="63"/>
      <c r="JZ33" s="62"/>
      <c r="KA33" s="63"/>
      <c r="KB33" s="62"/>
      <c r="KC33" s="63"/>
      <c r="KD33" s="62"/>
      <c r="KE33" s="63"/>
      <c r="KF33" s="62"/>
      <c r="KG33" s="63"/>
      <c r="KH33" s="62"/>
      <c r="KI33" s="63"/>
      <c r="KJ33" s="62"/>
      <c r="KK33" s="63"/>
      <c r="KL33" s="62"/>
      <c r="KM33" s="63"/>
      <c r="KN33" s="62"/>
      <c r="KO33" s="63"/>
      <c r="KP33" s="62"/>
      <c r="KQ33" s="63"/>
      <c r="KR33" s="62"/>
      <c r="KS33" s="63"/>
      <c r="KT33" s="62"/>
      <c r="KU33" s="63"/>
      <c r="KV33" s="62"/>
      <c r="KW33" s="63"/>
      <c r="KX33" s="62"/>
      <c r="KY33" s="63"/>
      <c r="KZ33" s="62"/>
      <c r="LA33" s="63"/>
      <c r="LB33" s="62"/>
      <c r="LC33" s="63"/>
      <c r="LD33" s="62"/>
      <c r="LE33" s="63"/>
      <c r="LF33" s="62"/>
      <c r="LG33" s="63"/>
      <c r="LH33" s="62"/>
      <c r="LI33" s="63"/>
      <c r="LJ33" s="62"/>
      <c r="LK33" s="63"/>
      <c r="LL33" s="62"/>
      <c r="LM33" s="63"/>
      <c r="LN33" s="62"/>
      <c r="LO33" s="63"/>
      <c r="LP33" s="62"/>
      <c r="LQ33" s="63"/>
      <c r="LR33" s="62"/>
      <c r="LS33" s="63"/>
      <c r="LT33" s="62"/>
      <c r="LU33" s="63"/>
      <c r="LV33" s="62"/>
      <c r="LW33" s="63"/>
      <c r="LX33" s="62"/>
      <c r="LY33" s="63"/>
      <c r="LZ33" s="62"/>
      <c r="MA33" s="63"/>
      <c r="MB33" s="62"/>
      <c r="MC33" s="63"/>
      <c r="MD33" s="62"/>
      <c r="ME33" s="63"/>
      <c r="MF33" s="62"/>
      <c r="MG33" s="63"/>
      <c r="MH33" s="62"/>
      <c r="MI33" s="63"/>
      <c r="MJ33" s="62"/>
      <c r="MK33" s="63"/>
      <c r="ML33" s="62"/>
      <c r="MM33" s="63"/>
      <c r="MN33" s="62"/>
      <c r="MO33" s="63"/>
      <c r="MP33" s="62"/>
      <c r="MQ33" s="63"/>
      <c r="MR33" s="62"/>
      <c r="MS33" s="63"/>
      <c r="MT33" s="62"/>
      <c r="MU33" s="63"/>
      <c r="MV33" s="62"/>
      <c r="MW33" s="63"/>
      <c r="MX33" s="62"/>
      <c r="MY33" s="63"/>
      <c r="MZ33" s="62"/>
      <c r="NA33" s="63"/>
      <c r="NB33" s="62"/>
      <c r="NC33" s="63"/>
      <c r="ND33" s="62"/>
      <c r="NE33" s="63"/>
      <c r="NF33" s="62"/>
      <c r="NG33" s="63"/>
      <c r="NH33" s="62"/>
      <c r="NI33" s="63"/>
      <c r="NJ33" s="62"/>
      <c r="NK33" s="63"/>
      <c r="NL33" s="62"/>
      <c r="NM33" s="63"/>
      <c r="NN33" s="62"/>
      <c r="NO33" s="63"/>
      <c r="NP33" s="62"/>
      <c r="NQ33" s="63"/>
      <c r="NR33" s="62"/>
      <c r="NS33" s="63"/>
      <c r="NT33" s="62"/>
      <c r="NU33" s="63"/>
      <c r="NV33" s="62"/>
      <c r="NW33" s="63"/>
      <c r="NX33" s="62"/>
      <c r="NY33" s="63"/>
      <c r="NZ33" s="62"/>
      <c r="OA33" s="63"/>
      <c r="OB33" s="62"/>
      <c r="OC33" s="63"/>
      <c r="OD33" s="62"/>
      <c r="OE33" s="63"/>
      <c r="OF33" s="62"/>
      <c r="OG33" s="63"/>
      <c r="OH33" s="62"/>
      <c r="OI33" s="63"/>
      <c r="OJ33" s="62"/>
      <c r="OK33" s="63"/>
      <c r="OL33" s="62"/>
      <c r="OM33" s="63"/>
      <c r="ON33" s="62"/>
      <c r="OO33" s="63"/>
      <c r="OP33" s="62"/>
      <c r="OQ33" s="63"/>
      <c r="OR33" s="62"/>
      <c r="OS33" s="63"/>
      <c r="OT33" s="62"/>
      <c r="OU33" s="63"/>
      <c r="OV33" s="62"/>
      <c r="OW33" s="63"/>
      <c r="OX33" s="62"/>
      <c r="OY33" s="63"/>
      <c r="OZ33" s="62"/>
      <c r="PA33" s="63"/>
      <c r="PB33" s="62"/>
      <c r="PC33" s="63"/>
      <c r="PD33" s="62"/>
      <c r="PE33" s="63"/>
      <c r="PF33" s="62"/>
      <c r="PG33" s="63"/>
      <c r="PH33" s="62"/>
      <c r="PI33" s="63"/>
      <c r="PJ33" s="62"/>
      <c r="PK33" s="63"/>
      <c r="PL33" s="62"/>
      <c r="PM33" s="63"/>
      <c r="PN33" s="62"/>
      <c r="PO33" s="63"/>
      <c r="PP33" s="62"/>
      <c r="PQ33" s="63"/>
      <c r="PR33" s="62"/>
      <c r="PS33" s="63"/>
      <c r="PT33" s="62"/>
      <c r="PU33" s="63"/>
      <c r="PV33" s="62"/>
      <c r="PW33" s="63"/>
      <c r="PX33" s="62"/>
      <c r="PY33" s="63"/>
      <c r="PZ33" s="62"/>
      <c r="QA33" s="63"/>
      <c r="QB33" s="62"/>
      <c r="QC33" s="63"/>
      <c r="QD33" s="62"/>
      <c r="QE33" s="63"/>
      <c r="QF33" s="62"/>
      <c r="QG33" s="63"/>
      <c r="QH33" s="62"/>
      <c r="QI33" s="63"/>
      <c r="QJ33" s="62"/>
      <c r="QK33" s="63"/>
      <c r="QL33" s="62"/>
      <c r="QM33" s="63"/>
      <c r="QN33" s="62"/>
      <c r="QO33" s="63"/>
      <c r="QP33" s="62"/>
      <c r="QQ33" s="63"/>
      <c r="QR33" s="62"/>
      <c r="QS33" s="63"/>
      <c r="QT33" s="62"/>
      <c r="QU33" s="63"/>
      <c r="QV33" s="62"/>
      <c r="QW33" s="63"/>
      <c r="QX33" s="62"/>
      <c r="QY33" s="63"/>
      <c r="QZ33" s="62"/>
      <c r="RA33" s="63"/>
      <c r="RB33" s="62"/>
      <c r="RC33" s="63"/>
      <c r="RD33" s="31"/>
    </row>
    <row r="34" spans="1:472" s="5" customFormat="1" ht="15" hidden="1" customHeight="1" x14ac:dyDescent="0.25">
      <c r="A34" s="5">
        <v>2047</v>
      </c>
      <c r="B34" s="5" t="s">
        <v>321</v>
      </c>
      <c r="C34" s="5" t="s">
        <v>369</v>
      </c>
      <c r="D34" s="5">
        <v>70</v>
      </c>
      <c r="E34" s="36">
        <v>43025</v>
      </c>
      <c r="F34" s="40" t="s">
        <v>289</v>
      </c>
      <c r="I34" s="62"/>
      <c r="J34" s="63"/>
      <c r="K34" s="62"/>
      <c r="L34" s="63"/>
      <c r="M34" s="62"/>
      <c r="N34" s="63"/>
      <c r="O34" s="62"/>
      <c r="P34" s="63"/>
      <c r="Q34" s="62"/>
      <c r="R34" s="63"/>
      <c r="S34" s="62"/>
      <c r="T34" s="63"/>
      <c r="X34" s="62"/>
      <c r="Y34" s="63"/>
      <c r="Z34" s="62"/>
      <c r="AA34" s="63"/>
      <c r="AB34" s="62"/>
      <c r="AC34" s="63"/>
      <c r="AD34" s="62"/>
      <c r="AE34" s="63"/>
      <c r="AF34" s="62"/>
      <c r="AG34" s="63"/>
      <c r="AH34" s="62"/>
      <c r="AI34" s="63"/>
      <c r="AJ34" s="62"/>
      <c r="AK34" s="63"/>
      <c r="AL34" s="62"/>
      <c r="AM34" s="63"/>
      <c r="AN34" s="62"/>
      <c r="AO34" s="63"/>
      <c r="AP34" s="62"/>
      <c r="AQ34" s="63"/>
      <c r="AR34" s="62"/>
      <c r="AS34" s="63"/>
      <c r="AT34" s="62"/>
      <c r="AU34" s="63"/>
      <c r="AV34" s="62"/>
      <c r="AW34" s="63"/>
      <c r="AX34" s="62"/>
      <c r="AY34" s="63"/>
      <c r="AZ34" s="62"/>
      <c r="BA34" s="63"/>
      <c r="BB34" s="18"/>
      <c r="BC34" s="32"/>
      <c r="BD34" s="62"/>
      <c r="BE34" s="63"/>
      <c r="BF34" s="62"/>
      <c r="BG34" s="63"/>
      <c r="BH34" s="62"/>
      <c r="BI34" s="63"/>
      <c r="BJ34" s="31"/>
      <c r="BK34" s="32"/>
      <c r="BL34" s="62"/>
      <c r="BM34" s="63"/>
      <c r="BN34" s="62"/>
      <c r="BO34" s="63"/>
      <c r="BP34" s="62"/>
      <c r="BQ34" s="63"/>
      <c r="BR34" s="62"/>
      <c r="BS34" s="63"/>
      <c r="BT34" s="62"/>
      <c r="BU34" s="63"/>
      <c r="BV34" s="62"/>
      <c r="BW34" s="63"/>
      <c r="BX34" s="62"/>
      <c r="BY34" s="63"/>
      <c r="BZ34" s="62" t="s">
        <v>36</v>
      </c>
      <c r="CA34" s="63"/>
      <c r="CB34" s="62" t="s">
        <v>36</v>
      </c>
      <c r="CC34" s="63"/>
      <c r="CD34" s="62" t="s">
        <v>36</v>
      </c>
      <c r="CE34" s="63"/>
      <c r="CF34" s="62" t="s">
        <v>36</v>
      </c>
      <c r="CG34" s="63"/>
      <c r="CH34" s="62" t="s">
        <v>310</v>
      </c>
      <c r="CI34" s="63"/>
      <c r="CJ34" s="62" t="s">
        <v>310</v>
      </c>
      <c r="CK34" s="63"/>
      <c r="CL34" s="62" t="s">
        <v>37</v>
      </c>
      <c r="CM34" s="63"/>
      <c r="CN34" s="62" t="s">
        <v>37</v>
      </c>
      <c r="CO34" s="63"/>
      <c r="CP34" s="62" t="s">
        <v>37</v>
      </c>
      <c r="CQ34" s="63"/>
      <c r="CR34" s="62"/>
      <c r="CS34" s="63"/>
      <c r="CT34" s="62"/>
      <c r="CU34" s="63"/>
      <c r="CV34" s="62"/>
      <c r="CW34" s="63"/>
      <c r="CX34" s="62"/>
      <c r="CY34" s="63"/>
      <c r="CZ34" s="62"/>
      <c r="DA34" s="63"/>
      <c r="DB34" s="62"/>
      <c r="DC34" s="63"/>
      <c r="DD34" s="62"/>
      <c r="DE34" s="63"/>
      <c r="DF34" s="62"/>
      <c r="DG34" s="63"/>
      <c r="DH34" s="62"/>
      <c r="DI34" s="63"/>
      <c r="DJ34" s="62"/>
      <c r="DK34" s="63"/>
      <c r="DL34" s="62"/>
      <c r="DM34" s="63"/>
      <c r="DN34" s="62"/>
      <c r="DO34" s="63"/>
      <c r="DP34" s="62"/>
      <c r="DQ34" s="63"/>
      <c r="DR34" s="62"/>
      <c r="DS34" s="63"/>
      <c r="DT34" s="62"/>
      <c r="DU34" s="63"/>
      <c r="DV34" s="62"/>
      <c r="DW34" s="63"/>
      <c r="DX34" s="62"/>
      <c r="DY34" s="63"/>
      <c r="DZ34" s="62"/>
      <c r="EA34" s="63"/>
      <c r="EB34" s="62"/>
      <c r="EC34" s="63"/>
      <c r="ED34" s="62"/>
      <c r="EE34" s="63"/>
      <c r="EF34" s="62"/>
      <c r="EG34" s="63"/>
      <c r="EH34" s="62"/>
      <c r="EI34" s="63"/>
      <c r="EJ34" s="62"/>
      <c r="EK34" s="63"/>
      <c r="EL34" s="62"/>
      <c r="EM34" s="63"/>
      <c r="EN34" s="62"/>
      <c r="EO34" s="63"/>
      <c r="EP34" s="62"/>
      <c r="EQ34" s="63"/>
      <c r="ER34" s="62"/>
      <c r="ES34" s="63"/>
      <c r="ET34" s="62"/>
      <c r="EU34" s="63"/>
      <c r="EV34" s="62"/>
      <c r="EW34" s="63"/>
      <c r="EX34" s="62"/>
      <c r="EY34" s="63"/>
      <c r="EZ34" s="62"/>
      <c r="FA34" s="63"/>
      <c r="FB34" s="62"/>
      <c r="FC34" s="63"/>
      <c r="FD34" s="62"/>
      <c r="FE34" s="63"/>
      <c r="FF34" s="62"/>
      <c r="FG34" s="63"/>
      <c r="FH34" s="62"/>
      <c r="FI34" s="63"/>
      <c r="FJ34" s="62"/>
      <c r="FK34" s="63"/>
      <c r="FL34" s="62"/>
      <c r="FM34" s="63"/>
      <c r="FN34" s="62"/>
      <c r="FO34" s="63"/>
      <c r="FP34" s="62"/>
      <c r="FQ34" s="63"/>
      <c r="FR34" s="62"/>
      <c r="FS34" s="63"/>
      <c r="FT34" s="62"/>
      <c r="FU34" s="63"/>
      <c r="FV34" s="62"/>
      <c r="FW34" s="63"/>
      <c r="FX34" s="62"/>
      <c r="FY34" s="63"/>
      <c r="FZ34" s="62"/>
      <c r="GA34" s="63"/>
      <c r="GB34" s="62"/>
      <c r="GC34" s="63"/>
      <c r="GD34" s="62"/>
      <c r="GE34" s="63"/>
      <c r="GF34" s="62"/>
      <c r="GG34" s="63"/>
      <c r="GH34" s="62"/>
      <c r="GI34" s="63"/>
      <c r="GJ34" s="62"/>
      <c r="GK34" s="63"/>
      <c r="GL34" s="62"/>
      <c r="GM34" s="63"/>
      <c r="GN34" s="62"/>
      <c r="GO34" s="63"/>
      <c r="GP34" s="62"/>
      <c r="GQ34" s="63"/>
      <c r="GR34" s="62"/>
      <c r="GS34" s="63"/>
      <c r="GT34" s="62"/>
      <c r="GU34" s="63"/>
      <c r="GV34" s="62"/>
      <c r="GW34" s="63"/>
      <c r="GX34" s="62"/>
      <c r="GY34" s="63"/>
      <c r="GZ34" s="62"/>
      <c r="HA34" s="63"/>
      <c r="HB34" s="62"/>
      <c r="HC34" s="63"/>
      <c r="HD34" s="62"/>
      <c r="HE34" s="63"/>
      <c r="HF34" s="62"/>
      <c r="HG34" s="63"/>
      <c r="HH34" s="62"/>
      <c r="HI34" s="63"/>
      <c r="HJ34" s="62"/>
      <c r="HK34" s="63"/>
      <c r="HL34" s="62"/>
      <c r="HM34" s="63"/>
      <c r="HN34" s="62"/>
      <c r="HO34" s="63"/>
      <c r="HP34" s="62"/>
      <c r="HQ34" s="63"/>
      <c r="HR34" s="62"/>
      <c r="HS34" s="63"/>
      <c r="HT34" s="62"/>
      <c r="HU34" s="63"/>
      <c r="HV34" s="62"/>
      <c r="HW34" s="63"/>
      <c r="HX34" s="62"/>
      <c r="HY34" s="63"/>
      <c r="HZ34" s="62"/>
      <c r="IA34" s="63"/>
      <c r="IB34" s="62"/>
      <c r="IC34" s="63"/>
      <c r="ID34" s="62"/>
      <c r="IE34" s="63"/>
      <c r="IF34" s="62"/>
      <c r="IG34" s="63"/>
      <c r="IH34" s="62"/>
      <c r="II34" s="63"/>
      <c r="IJ34" s="62"/>
      <c r="IK34" s="63"/>
      <c r="IL34" s="62"/>
      <c r="IM34" s="63"/>
      <c r="IN34" s="62"/>
      <c r="IO34" s="63"/>
      <c r="IP34" s="62"/>
      <c r="IQ34" s="63"/>
      <c r="IR34" s="62"/>
      <c r="IS34" s="63"/>
      <c r="IT34" s="62"/>
      <c r="IU34" s="63"/>
      <c r="IV34" s="62"/>
      <c r="IW34" s="63"/>
      <c r="IX34" s="62"/>
      <c r="IY34" s="63"/>
      <c r="IZ34" s="62"/>
      <c r="JA34" s="63"/>
      <c r="JB34" s="62"/>
      <c r="JC34" s="63"/>
      <c r="JD34" s="62"/>
      <c r="JE34" s="63"/>
      <c r="JF34" s="62"/>
      <c r="JG34" s="63"/>
      <c r="JH34" s="62"/>
      <c r="JI34" s="63"/>
      <c r="JJ34" s="62"/>
      <c r="JK34" s="63"/>
      <c r="JL34" s="62"/>
      <c r="JM34" s="63"/>
      <c r="JN34" s="62"/>
      <c r="JO34" s="63"/>
      <c r="JP34" s="62"/>
      <c r="JQ34" s="63"/>
      <c r="JR34" s="62"/>
      <c r="JS34" s="63"/>
      <c r="JT34" s="62"/>
      <c r="JU34" s="63"/>
      <c r="JV34" s="62"/>
      <c r="JW34" s="63"/>
      <c r="JX34" s="62"/>
      <c r="JY34" s="63"/>
      <c r="JZ34" s="62"/>
      <c r="KA34" s="63"/>
      <c r="KB34" s="62"/>
      <c r="KC34" s="63"/>
      <c r="KD34" s="62"/>
      <c r="KE34" s="63"/>
      <c r="KF34" s="62"/>
      <c r="KG34" s="63"/>
      <c r="KH34" s="62"/>
      <c r="KI34" s="63"/>
      <c r="KJ34" s="62"/>
      <c r="KK34" s="63"/>
      <c r="KL34" s="62"/>
      <c r="KM34" s="63"/>
      <c r="KN34" s="62"/>
      <c r="KO34" s="63"/>
      <c r="KP34" s="62"/>
      <c r="KQ34" s="63"/>
      <c r="KR34" s="62"/>
      <c r="KS34" s="63"/>
      <c r="KT34" s="62"/>
      <c r="KU34" s="63"/>
      <c r="KV34" s="62"/>
      <c r="KW34" s="63"/>
      <c r="KX34" s="62"/>
      <c r="KY34" s="63"/>
      <c r="KZ34" s="62"/>
      <c r="LA34" s="63"/>
      <c r="LB34" s="62"/>
      <c r="LC34" s="63"/>
      <c r="LD34" s="62"/>
      <c r="LE34" s="63"/>
      <c r="LF34" s="62"/>
      <c r="LG34" s="63"/>
      <c r="LH34" s="62"/>
      <c r="LI34" s="63"/>
      <c r="LJ34" s="62"/>
      <c r="LK34" s="63"/>
      <c r="LL34" s="62"/>
      <c r="LM34" s="63"/>
      <c r="LN34" s="62"/>
      <c r="LO34" s="63"/>
      <c r="LP34" s="62"/>
      <c r="LQ34" s="63"/>
      <c r="LR34" s="62"/>
      <c r="LS34" s="63"/>
      <c r="LT34" s="62"/>
      <c r="LU34" s="63"/>
      <c r="LV34" s="62"/>
      <c r="LW34" s="63"/>
      <c r="LX34" s="62"/>
      <c r="LY34" s="63"/>
      <c r="LZ34" s="62"/>
      <c r="MA34" s="63"/>
      <c r="MB34" s="62"/>
      <c r="MC34" s="63"/>
      <c r="MD34" s="62"/>
      <c r="ME34" s="63"/>
      <c r="MF34" s="62"/>
      <c r="MG34" s="63"/>
      <c r="MH34" s="62"/>
      <c r="MI34" s="63"/>
      <c r="MJ34" s="62"/>
      <c r="MK34" s="63"/>
      <c r="ML34" s="62"/>
      <c r="MM34" s="63"/>
      <c r="MN34" s="62"/>
      <c r="MO34" s="63"/>
      <c r="MP34" s="62"/>
      <c r="MQ34" s="63"/>
      <c r="MR34" s="62"/>
      <c r="MS34" s="63"/>
      <c r="MT34" s="62"/>
      <c r="MU34" s="63"/>
      <c r="MV34" s="62"/>
      <c r="MW34" s="63"/>
      <c r="MX34" s="62"/>
      <c r="MY34" s="63"/>
      <c r="MZ34" s="62"/>
      <c r="NA34" s="63"/>
      <c r="NB34" s="62"/>
      <c r="NC34" s="63"/>
      <c r="ND34" s="62"/>
      <c r="NE34" s="63"/>
      <c r="NF34" s="62"/>
      <c r="NG34" s="63"/>
      <c r="NH34" s="62"/>
      <c r="NI34" s="63"/>
      <c r="NJ34" s="62"/>
      <c r="NK34" s="63"/>
      <c r="NL34" s="62"/>
      <c r="NM34" s="63"/>
      <c r="NN34" s="62"/>
      <c r="NO34" s="63"/>
      <c r="NP34" s="62"/>
      <c r="NQ34" s="63"/>
      <c r="NR34" s="62"/>
      <c r="NS34" s="63"/>
      <c r="NT34" s="62"/>
      <c r="NU34" s="63"/>
      <c r="NV34" s="62"/>
      <c r="NW34" s="63"/>
      <c r="NX34" s="62"/>
      <c r="NY34" s="63"/>
      <c r="NZ34" s="62"/>
      <c r="OA34" s="63"/>
      <c r="OB34" s="62"/>
      <c r="OC34" s="63"/>
      <c r="OD34" s="62"/>
      <c r="OE34" s="63"/>
      <c r="OF34" s="62"/>
      <c r="OG34" s="63"/>
      <c r="OH34" s="62"/>
      <c r="OI34" s="63"/>
      <c r="OJ34" s="62"/>
      <c r="OK34" s="63"/>
      <c r="OL34" s="62"/>
      <c r="OM34" s="63"/>
      <c r="ON34" s="62"/>
      <c r="OO34" s="63"/>
      <c r="OP34" s="62"/>
      <c r="OQ34" s="63"/>
      <c r="OR34" s="62"/>
      <c r="OS34" s="63"/>
      <c r="OT34" s="62"/>
      <c r="OU34" s="63"/>
      <c r="OV34" s="62"/>
      <c r="OW34" s="63"/>
      <c r="OX34" s="62"/>
      <c r="OY34" s="63"/>
      <c r="OZ34" s="62"/>
      <c r="PA34" s="63"/>
      <c r="PB34" s="62"/>
      <c r="PC34" s="63"/>
      <c r="PD34" s="62"/>
      <c r="PE34" s="63"/>
      <c r="PF34" s="62"/>
      <c r="PG34" s="63"/>
      <c r="PH34" s="62"/>
      <c r="PI34" s="63"/>
      <c r="PJ34" s="62"/>
      <c r="PK34" s="63"/>
      <c r="PL34" s="62"/>
      <c r="PM34" s="63"/>
      <c r="PN34" s="62"/>
      <c r="PO34" s="63"/>
      <c r="PP34" s="62"/>
      <c r="PQ34" s="63"/>
      <c r="PR34" s="62"/>
      <c r="PS34" s="63"/>
      <c r="PT34" s="62"/>
      <c r="PU34" s="63"/>
      <c r="PV34" s="62"/>
      <c r="PW34" s="63"/>
      <c r="PX34" s="62"/>
      <c r="PY34" s="63"/>
      <c r="PZ34" s="62"/>
      <c r="QA34" s="63"/>
      <c r="QB34" s="62"/>
      <c r="QC34" s="63"/>
      <c r="QD34" s="62"/>
      <c r="QE34" s="63"/>
      <c r="QF34" s="62"/>
      <c r="QG34" s="63"/>
      <c r="QH34" s="62"/>
      <c r="QI34" s="63"/>
      <c r="QJ34" s="62"/>
      <c r="QK34" s="63"/>
      <c r="QL34" s="62"/>
      <c r="QM34" s="63"/>
      <c r="QN34" s="62"/>
      <c r="QO34" s="63"/>
      <c r="QP34" s="62"/>
      <c r="QQ34" s="63"/>
      <c r="QR34" s="62"/>
      <c r="QS34" s="63"/>
      <c r="QT34" s="62"/>
      <c r="QU34" s="63"/>
      <c r="QV34" s="62"/>
      <c r="QW34" s="63"/>
      <c r="QX34" s="62"/>
      <c r="QY34" s="63"/>
      <c r="QZ34" s="62"/>
      <c r="RA34" s="63"/>
      <c r="RB34" s="62"/>
      <c r="RC34" s="63"/>
      <c r="RD34" s="31"/>
    </row>
    <row r="35" spans="1:472" s="5" customFormat="1" ht="15" hidden="1" customHeight="1" x14ac:dyDescent="0.25">
      <c r="A35" s="5">
        <v>2033</v>
      </c>
      <c r="B35" s="5" t="s">
        <v>248</v>
      </c>
      <c r="C35" s="5" t="s">
        <v>230</v>
      </c>
      <c r="D35" s="5">
        <v>139</v>
      </c>
      <c r="E35" s="36">
        <v>42614</v>
      </c>
      <c r="F35" s="40" t="s">
        <v>293</v>
      </c>
      <c r="H35" s="5" t="s">
        <v>284</v>
      </c>
      <c r="I35" s="62"/>
      <c r="J35" s="63"/>
      <c r="K35" s="62"/>
      <c r="L35" s="63"/>
      <c r="M35" s="62"/>
      <c r="N35" s="63"/>
      <c r="O35" s="62"/>
      <c r="P35" s="63"/>
      <c r="Q35" s="62"/>
      <c r="R35" s="63"/>
      <c r="S35" s="62"/>
      <c r="T35" s="63"/>
      <c r="X35" s="62"/>
      <c r="Y35" s="63"/>
      <c r="Z35" s="62"/>
      <c r="AA35" s="63"/>
      <c r="AB35" s="62"/>
      <c r="AC35" s="63"/>
      <c r="AD35" s="62"/>
      <c r="AE35" s="63"/>
      <c r="AF35" s="62"/>
      <c r="AG35" s="63"/>
      <c r="AH35" s="62"/>
      <c r="AI35" s="63"/>
      <c r="AJ35" s="62"/>
      <c r="AK35" s="63"/>
      <c r="AL35" s="62"/>
      <c r="AM35" s="63"/>
      <c r="AN35" s="62"/>
      <c r="AO35" s="63"/>
      <c r="AP35" s="62"/>
      <c r="AQ35" s="63"/>
      <c r="AR35" s="62"/>
      <c r="AS35" s="63"/>
      <c r="AT35" s="62"/>
      <c r="AU35" s="63"/>
      <c r="AV35" s="62"/>
      <c r="AW35" s="63"/>
      <c r="AX35" s="62"/>
      <c r="AY35" s="63"/>
      <c r="AZ35" s="62"/>
      <c r="BA35" s="63"/>
      <c r="BB35" s="62"/>
      <c r="BC35" s="63"/>
      <c r="BD35" s="62"/>
      <c r="BE35" s="63"/>
      <c r="BF35" s="31"/>
      <c r="BG35" s="32" t="s">
        <v>66</v>
      </c>
      <c r="BH35" s="62" t="s">
        <v>66</v>
      </c>
      <c r="BI35" s="63"/>
      <c r="BJ35" s="31" t="s">
        <v>66</v>
      </c>
      <c r="BK35" s="32" t="s">
        <v>38</v>
      </c>
      <c r="BL35" s="31" t="s">
        <v>38</v>
      </c>
      <c r="BM35" s="32" t="s">
        <v>36</v>
      </c>
      <c r="BN35" s="62" t="s">
        <v>36</v>
      </c>
      <c r="BO35" s="63"/>
      <c r="BP35" s="62" t="s">
        <v>36</v>
      </c>
      <c r="BQ35" s="63"/>
      <c r="BR35" s="62" t="s">
        <v>36</v>
      </c>
      <c r="BS35" s="63"/>
      <c r="BT35" s="62" t="s">
        <v>36</v>
      </c>
      <c r="BU35" s="63"/>
      <c r="BV35" s="62" t="s">
        <v>36</v>
      </c>
      <c r="BW35" s="63"/>
      <c r="BX35" s="62" t="s">
        <v>36</v>
      </c>
      <c r="BY35" s="63"/>
      <c r="BZ35" s="62" t="s">
        <v>36</v>
      </c>
      <c r="CA35" s="63"/>
      <c r="CB35" s="62" t="s">
        <v>36</v>
      </c>
      <c r="CC35" s="63"/>
      <c r="CD35" s="62" t="s">
        <v>310</v>
      </c>
      <c r="CE35" s="63"/>
      <c r="CF35" s="62" t="s">
        <v>310</v>
      </c>
      <c r="CG35" s="63"/>
      <c r="CH35" s="62" t="s">
        <v>37</v>
      </c>
      <c r="CI35" s="63"/>
      <c r="CJ35" s="62" t="s">
        <v>37</v>
      </c>
      <c r="CK35" s="63"/>
      <c r="CL35" s="62" t="s">
        <v>37</v>
      </c>
      <c r="CM35" s="63"/>
      <c r="CN35" s="62" t="s">
        <v>37</v>
      </c>
      <c r="CO35" s="63"/>
      <c r="CP35" s="62" t="s">
        <v>37</v>
      </c>
      <c r="CQ35" s="63"/>
      <c r="CR35" s="62" t="s">
        <v>37</v>
      </c>
      <c r="CS35" s="63"/>
      <c r="CT35" s="62"/>
      <c r="CU35" s="63"/>
      <c r="CV35" s="62"/>
      <c r="CW35" s="63"/>
      <c r="CX35" s="62"/>
      <c r="CY35" s="63"/>
      <c r="CZ35" s="62"/>
      <c r="DA35" s="63"/>
      <c r="DB35" s="62"/>
      <c r="DC35" s="63"/>
      <c r="DD35" s="62"/>
      <c r="DE35" s="63"/>
      <c r="DF35" s="62"/>
      <c r="DG35" s="63"/>
      <c r="DH35" s="62"/>
      <c r="DI35" s="63"/>
      <c r="DJ35" s="62"/>
      <c r="DK35" s="63"/>
      <c r="DL35" s="62"/>
      <c r="DM35" s="63"/>
      <c r="DN35" s="62"/>
      <c r="DO35" s="63"/>
      <c r="DP35" s="62"/>
      <c r="DQ35" s="63"/>
      <c r="DR35" s="62"/>
      <c r="DS35" s="63"/>
      <c r="DT35" s="62"/>
      <c r="DU35" s="63"/>
      <c r="DV35" s="62"/>
      <c r="DW35" s="63"/>
      <c r="DX35" s="62"/>
      <c r="DY35" s="63"/>
      <c r="DZ35" s="62"/>
      <c r="EA35" s="63"/>
      <c r="EB35" s="62"/>
      <c r="EC35" s="63"/>
      <c r="ED35" s="62"/>
      <c r="EE35" s="63"/>
      <c r="EF35" s="62"/>
      <c r="EG35" s="63"/>
      <c r="EH35" s="62"/>
      <c r="EI35" s="63"/>
      <c r="EJ35" s="62"/>
      <c r="EK35" s="63"/>
      <c r="EL35" s="62"/>
      <c r="EM35" s="63"/>
      <c r="EN35" s="62"/>
      <c r="EO35" s="63"/>
      <c r="EP35" s="62"/>
      <c r="EQ35" s="63"/>
      <c r="ER35" s="62"/>
      <c r="ES35" s="63"/>
      <c r="ET35" s="62"/>
      <c r="EU35" s="63"/>
      <c r="EV35" s="62"/>
      <c r="EW35" s="63"/>
      <c r="EX35" s="62"/>
      <c r="EY35" s="63"/>
      <c r="EZ35" s="62"/>
      <c r="FA35" s="63"/>
      <c r="FB35" s="62"/>
      <c r="FC35" s="63"/>
      <c r="FD35" s="62"/>
      <c r="FE35" s="63"/>
      <c r="FF35" s="62"/>
      <c r="FG35" s="63"/>
      <c r="FH35" s="62"/>
      <c r="FI35" s="63"/>
      <c r="FJ35" s="62"/>
      <c r="FK35" s="63"/>
      <c r="FL35" s="62"/>
      <c r="FM35" s="63"/>
      <c r="FN35" s="62"/>
      <c r="FO35" s="63"/>
      <c r="FP35" s="62"/>
      <c r="FQ35" s="63"/>
      <c r="FR35" s="62"/>
      <c r="FS35" s="63"/>
      <c r="FT35" s="62"/>
      <c r="FU35" s="63"/>
      <c r="FV35" s="62"/>
      <c r="FW35" s="63"/>
      <c r="FX35" s="62"/>
      <c r="FY35" s="63"/>
      <c r="FZ35" s="62"/>
      <c r="GA35" s="63"/>
      <c r="GB35" s="62"/>
      <c r="GC35" s="63"/>
      <c r="GD35" s="62"/>
      <c r="GE35" s="63"/>
      <c r="GF35" s="62"/>
      <c r="GG35" s="63"/>
      <c r="GH35" s="62"/>
      <c r="GI35" s="63"/>
      <c r="GJ35" s="62"/>
      <c r="GK35" s="63"/>
      <c r="GL35" s="62"/>
      <c r="GM35" s="63"/>
      <c r="GN35" s="62"/>
      <c r="GO35" s="63"/>
      <c r="GP35" s="62"/>
      <c r="GQ35" s="63"/>
      <c r="GR35" s="62"/>
      <c r="GS35" s="63"/>
      <c r="GT35" s="62"/>
      <c r="GU35" s="63"/>
      <c r="GV35" s="62"/>
      <c r="GW35" s="63"/>
      <c r="GX35" s="62"/>
      <c r="GY35" s="63"/>
      <c r="GZ35" s="62"/>
      <c r="HA35" s="63"/>
      <c r="HB35" s="62"/>
      <c r="HC35" s="63"/>
      <c r="HD35" s="62"/>
      <c r="HE35" s="63"/>
      <c r="HF35" s="62"/>
      <c r="HG35" s="63"/>
      <c r="HH35" s="62"/>
      <c r="HI35" s="63"/>
      <c r="HJ35" s="62"/>
      <c r="HK35" s="63"/>
      <c r="HL35" s="62"/>
      <c r="HM35" s="63"/>
      <c r="HN35" s="62"/>
      <c r="HO35" s="63"/>
      <c r="HP35" s="62"/>
      <c r="HQ35" s="63"/>
      <c r="HR35" s="62"/>
      <c r="HS35" s="63"/>
      <c r="HT35" s="62"/>
      <c r="HU35" s="63"/>
      <c r="HV35" s="62"/>
      <c r="HW35" s="63"/>
      <c r="HX35" s="62"/>
      <c r="HY35" s="63"/>
      <c r="HZ35" s="62"/>
      <c r="IA35" s="63"/>
      <c r="IB35" s="62"/>
      <c r="IC35" s="63"/>
      <c r="ID35" s="62"/>
      <c r="IE35" s="63"/>
      <c r="IF35" s="62"/>
      <c r="IG35" s="63"/>
      <c r="IH35" s="62"/>
      <c r="II35" s="63"/>
      <c r="IJ35" s="62"/>
      <c r="IK35" s="63"/>
      <c r="IL35" s="62"/>
      <c r="IM35" s="63"/>
      <c r="IN35" s="62"/>
      <c r="IO35" s="63"/>
      <c r="IP35" s="62"/>
      <c r="IQ35" s="63"/>
      <c r="IR35" s="62"/>
      <c r="IS35" s="63"/>
      <c r="IT35" s="62"/>
      <c r="IU35" s="63"/>
      <c r="IV35" s="62"/>
      <c r="IW35" s="63"/>
      <c r="IX35" s="62"/>
      <c r="IY35" s="63"/>
      <c r="IZ35" s="62"/>
      <c r="JA35" s="63"/>
      <c r="JB35" s="62"/>
      <c r="JC35" s="63"/>
      <c r="JD35" s="62"/>
      <c r="JE35" s="63"/>
      <c r="JF35" s="62"/>
      <c r="JG35" s="63"/>
      <c r="JH35" s="62"/>
      <c r="JI35" s="63"/>
      <c r="JJ35" s="62"/>
      <c r="JK35" s="63"/>
      <c r="JL35" s="62"/>
      <c r="JM35" s="63"/>
      <c r="JN35" s="62"/>
      <c r="JO35" s="63"/>
      <c r="JP35" s="62"/>
      <c r="JQ35" s="63"/>
      <c r="JR35" s="62"/>
      <c r="JS35" s="63"/>
      <c r="JT35" s="62"/>
      <c r="JU35" s="63"/>
      <c r="JV35" s="62"/>
      <c r="JW35" s="63"/>
      <c r="JX35" s="62"/>
      <c r="JY35" s="63"/>
      <c r="JZ35" s="62"/>
      <c r="KA35" s="63"/>
      <c r="KB35" s="62"/>
      <c r="KC35" s="63"/>
      <c r="KD35" s="62"/>
      <c r="KE35" s="63"/>
      <c r="KF35" s="62"/>
      <c r="KG35" s="63"/>
      <c r="KH35" s="62"/>
      <c r="KI35" s="63"/>
      <c r="KJ35" s="62"/>
      <c r="KK35" s="63"/>
      <c r="KL35" s="62"/>
      <c r="KM35" s="63"/>
      <c r="KN35" s="62"/>
      <c r="KO35" s="63"/>
      <c r="KP35" s="62"/>
      <c r="KQ35" s="63"/>
      <c r="KR35" s="62"/>
      <c r="KS35" s="63"/>
      <c r="KT35" s="62"/>
      <c r="KU35" s="63"/>
      <c r="KV35" s="62"/>
      <c r="KW35" s="63"/>
      <c r="KX35" s="62"/>
      <c r="KY35" s="63"/>
      <c r="KZ35" s="62"/>
      <c r="LA35" s="63"/>
      <c r="LB35" s="62"/>
      <c r="LC35" s="63"/>
      <c r="LD35" s="62"/>
      <c r="LE35" s="63"/>
      <c r="LF35" s="62"/>
      <c r="LG35" s="63"/>
      <c r="LH35" s="62"/>
      <c r="LI35" s="63"/>
      <c r="LJ35" s="62"/>
      <c r="LK35" s="63"/>
      <c r="LL35" s="62"/>
      <c r="LM35" s="63"/>
      <c r="LN35" s="62"/>
      <c r="LO35" s="63"/>
      <c r="LP35" s="62"/>
      <c r="LQ35" s="63"/>
      <c r="LR35" s="62"/>
      <c r="LS35" s="63"/>
      <c r="LT35" s="62"/>
      <c r="LU35" s="63"/>
      <c r="LV35" s="62"/>
      <c r="LW35" s="63"/>
      <c r="LX35" s="62"/>
      <c r="LY35" s="63"/>
      <c r="LZ35" s="62"/>
      <c r="MA35" s="63"/>
      <c r="MB35" s="62"/>
      <c r="MC35" s="63"/>
      <c r="MD35" s="62"/>
      <c r="ME35" s="63"/>
      <c r="MF35" s="62"/>
      <c r="MG35" s="63"/>
      <c r="MH35" s="62"/>
      <c r="MI35" s="63"/>
      <c r="MJ35" s="62"/>
      <c r="MK35" s="63"/>
      <c r="ML35" s="62"/>
      <c r="MM35" s="63"/>
      <c r="MN35" s="62"/>
      <c r="MO35" s="63"/>
      <c r="MP35" s="62"/>
      <c r="MQ35" s="63"/>
      <c r="MR35" s="62"/>
      <c r="MS35" s="63"/>
      <c r="MT35" s="62"/>
      <c r="MU35" s="63"/>
      <c r="MV35" s="62"/>
      <c r="MW35" s="63"/>
      <c r="MX35" s="62"/>
      <c r="MY35" s="63"/>
      <c r="MZ35" s="62"/>
      <c r="NA35" s="63"/>
      <c r="NB35" s="62"/>
      <c r="NC35" s="63"/>
      <c r="ND35" s="62"/>
      <c r="NE35" s="63"/>
      <c r="NF35" s="62"/>
      <c r="NG35" s="63"/>
      <c r="NH35" s="62"/>
      <c r="NI35" s="63"/>
      <c r="NJ35" s="62"/>
      <c r="NK35" s="63"/>
      <c r="NL35" s="62"/>
      <c r="NM35" s="63"/>
      <c r="NN35" s="62"/>
      <c r="NO35" s="63"/>
      <c r="NP35" s="62"/>
      <c r="NQ35" s="63"/>
      <c r="NR35" s="62"/>
      <c r="NS35" s="63"/>
      <c r="NT35" s="62"/>
      <c r="NU35" s="63"/>
      <c r="NV35" s="62"/>
      <c r="NW35" s="63"/>
      <c r="NX35" s="62"/>
      <c r="NY35" s="63"/>
      <c r="NZ35" s="62"/>
      <c r="OA35" s="63"/>
      <c r="OB35" s="62"/>
      <c r="OC35" s="63"/>
      <c r="OD35" s="62"/>
      <c r="OE35" s="63"/>
      <c r="OF35" s="62"/>
      <c r="OG35" s="63"/>
      <c r="OH35" s="62"/>
      <c r="OI35" s="63"/>
      <c r="OJ35" s="62"/>
      <c r="OK35" s="63"/>
      <c r="OL35" s="62"/>
      <c r="OM35" s="63"/>
      <c r="ON35" s="62"/>
      <c r="OO35" s="63"/>
      <c r="OP35" s="62"/>
      <c r="OQ35" s="63"/>
      <c r="OR35" s="62"/>
      <c r="OS35" s="63"/>
      <c r="OT35" s="62"/>
      <c r="OU35" s="63"/>
      <c r="OV35" s="62"/>
      <c r="OW35" s="63"/>
      <c r="OX35" s="62"/>
      <c r="OY35" s="63"/>
      <c r="OZ35" s="62"/>
      <c r="PA35" s="63"/>
      <c r="PB35" s="62"/>
      <c r="PC35" s="63"/>
      <c r="PD35" s="62"/>
      <c r="PE35" s="63"/>
      <c r="PF35" s="62"/>
      <c r="PG35" s="63"/>
      <c r="PH35" s="62"/>
      <c r="PI35" s="63"/>
      <c r="PJ35" s="62"/>
      <c r="PK35" s="63"/>
      <c r="PL35" s="62"/>
      <c r="PM35" s="63"/>
      <c r="PN35" s="62"/>
      <c r="PO35" s="63"/>
      <c r="PP35" s="62"/>
      <c r="PQ35" s="63"/>
      <c r="PR35" s="62"/>
      <c r="PS35" s="63"/>
      <c r="PT35" s="62"/>
      <c r="PU35" s="63"/>
      <c r="PV35" s="62"/>
      <c r="PW35" s="63"/>
      <c r="PX35" s="62"/>
      <c r="PY35" s="63"/>
      <c r="PZ35" s="62"/>
      <c r="QA35" s="63"/>
      <c r="QB35" s="62"/>
      <c r="QC35" s="63"/>
      <c r="QD35" s="62"/>
      <c r="QE35" s="63"/>
      <c r="QF35" s="62"/>
      <c r="QG35" s="63"/>
      <c r="QH35" s="62"/>
      <c r="QI35" s="63"/>
      <c r="QJ35" s="62"/>
      <c r="QK35" s="63"/>
      <c r="QL35" s="62"/>
      <c r="QM35" s="63"/>
      <c r="QN35" s="62"/>
      <c r="QO35" s="63"/>
      <c r="QP35" s="62"/>
      <c r="QQ35" s="63"/>
      <c r="QR35" s="62"/>
      <c r="QS35" s="63"/>
      <c r="QT35" s="62"/>
      <c r="QU35" s="63"/>
      <c r="QV35" s="62"/>
      <c r="QW35" s="63"/>
      <c r="QX35" s="62"/>
      <c r="QY35" s="63"/>
      <c r="QZ35" s="62"/>
      <c r="RA35" s="63"/>
      <c r="RB35" s="62"/>
      <c r="RC35" s="63"/>
      <c r="RD35" s="31"/>
    </row>
    <row r="36" spans="1:472" s="5" customFormat="1" ht="15" hidden="1" customHeight="1" x14ac:dyDescent="0.25">
      <c r="A36" s="5">
        <v>2030</v>
      </c>
      <c r="B36" s="5" t="s">
        <v>73</v>
      </c>
      <c r="C36" s="5" t="s">
        <v>4</v>
      </c>
      <c r="D36" s="5">
        <v>144</v>
      </c>
      <c r="E36" s="35">
        <v>42675</v>
      </c>
      <c r="F36" s="40" t="s">
        <v>55</v>
      </c>
      <c r="H36" s="5" t="s">
        <v>179</v>
      </c>
      <c r="I36" s="62"/>
      <c r="J36" s="63"/>
      <c r="K36" s="62"/>
      <c r="L36" s="63"/>
      <c r="M36" s="62"/>
      <c r="N36" s="63"/>
      <c r="O36" s="62"/>
      <c r="P36" s="63"/>
      <c r="Q36" s="62"/>
      <c r="R36" s="63"/>
      <c r="S36" s="62"/>
      <c r="T36" s="63"/>
      <c r="X36" s="62"/>
      <c r="Y36" s="63"/>
      <c r="Z36" s="62"/>
      <c r="AA36" s="63"/>
      <c r="AB36" s="62"/>
      <c r="AC36" s="63"/>
      <c r="AD36" s="62"/>
      <c r="AE36" s="63"/>
      <c r="AF36" s="62"/>
      <c r="AG36" s="63"/>
      <c r="AH36" s="62"/>
      <c r="AI36" s="63"/>
      <c r="AJ36" s="62"/>
      <c r="AK36" s="63"/>
      <c r="AL36" s="62"/>
      <c r="AM36" s="63"/>
      <c r="AN36" s="62"/>
      <c r="AO36" s="63"/>
      <c r="AP36" s="62"/>
      <c r="AQ36" s="63"/>
      <c r="AR36" s="62"/>
      <c r="AS36" s="63"/>
      <c r="AT36" s="62"/>
      <c r="AU36" s="63"/>
      <c r="AV36" s="62"/>
      <c r="AW36" s="63"/>
      <c r="AX36" s="62"/>
      <c r="AY36" s="63"/>
      <c r="AZ36" s="62"/>
      <c r="BA36" s="63"/>
      <c r="BB36" s="62"/>
      <c r="BC36" s="63"/>
      <c r="BD36" s="62"/>
      <c r="BE36" s="63"/>
      <c r="BF36" s="62"/>
      <c r="BG36" s="63"/>
      <c r="BH36" s="62"/>
      <c r="BI36" s="63"/>
      <c r="BJ36" s="62"/>
      <c r="BK36" s="63"/>
      <c r="BL36" s="62" t="s">
        <v>66</v>
      </c>
      <c r="BM36" s="63"/>
      <c r="BN36" s="31" t="s">
        <v>66</v>
      </c>
      <c r="BO36" s="32" t="s">
        <v>38</v>
      </c>
      <c r="BP36" s="62" t="s">
        <v>38</v>
      </c>
      <c r="BQ36" s="63"/>
      <c r="BR36" s="62" t="s">
        <v>38</v>
      </c>
      <c r="BS36" s="63"/>
      <c r="BT36" s="62" t="s">
        <v>36</v>
      </c>
      <c r="BU36" s="63"/>
      <c r="BV36" s="62" t="s">
        <v>36</v>
      </c>
      <c r="BW36" s="63"/>
      <c r="BX36" s="62" t="s">
        <v>36</v>
      </c>
      <c r="BY36" s="63"/>
      <c r="BZ36" s="62" t="s">
        <v>36</v>
      </c>
      <c r="CA36" s="63"/>
      <c r="CB36" s="62" t="s">
        <v>36</v>
      </c>
      <c r="CC36" s="63"/>
      <c r="CD36" s="62" t="s">
        <v>36</v>
      </c>
      <c r="CE36" s="63"/>
      <c r="CF36" s="62" t="s">
        <v>36</v>
      </c>
      <c r="CG36" s="63"/>
      <c r="CH36" s="62" t="s">
        <v>310</v>
      </c>
      <c r="CI36" s="63"/>
      <c r="CJ36" s="62" t="s">
        <v>310</v>
      </c>
      <c r="CK36" s="63"/>
      <c r="CL36" s="62" t="s">
        <v>37</v>
      </c>
      <c r="CM36" s="63"/>
      <c r="CN36" s="62" t="s">
        <v>37</v>
      </c>
      <c r="CO36" s="63"/>
      <c r="CP36" s="62" t="s">
        <v>37</v>
      </c>
      <c r="CQ36" s="63"/>
      <c r="CR36" s="62" t="s">
        <v>37</v>
      </c>
      <c r="CS36" s="63"/>
      <c r="CT36" s="62"/>
      <c r="CU36" s="63"/>
      <c r="CV36" s="62"/>
      <c r="CW36" s="63"/>
      <c r="CX36" s="62"/>
      <c r="CY36" s="63"/>
      <c r="CZ36" s="62"/>
      <c r="DA36" s="63"/>
      <c r="DB36" s="62"/>
      <c r="DC36" s="63"/>
      <c r="DD36" s="62"/>
      <c r="DE36" s="63"/>
      <c r="DF36" s="62"/>
      <c r="DG36" s="63"/>
      <c r="DH36" s="62"/>
      <c r="DI36" s="63"/>
      <c r="DJ36" s="62"/>
      <c r="DK36" s="63"/>
      <c r="DL36" s="62"/>
      <c r="DM36" s="63"/>
      <c r="DN36" s="62"/>
      <c r="DO36" s="63"/>
      <c r="DP36" s="62"/>
      <c r="DQ36" s="63"/>
      <c r="DR36" s="62"/>
      <c r="DS36" s="63"/>
      <c r="DT36" s="62"/>
      <c r="DU36" s="63"/>
      <c r="DV36" s="62"/>
      <c r="DW36" s="63"/>
      <c r="DX36" s="62"/>
      <c r="DY36" s="63"/>
      <c r="DZ36" s="62"/>
      <c r="EA36" s="63"/>
      <c r="EB36" s="62"/>
      <c r="EC36" s="63"/>
      <c r="ED36" s="62"/>
      <c r="EE36" s="63"/>
      <c r="EF36" s="62"/>
      <c r="EG36" s="63"/>
      <c r="EH36" s="62"/>
      <c r="EI36" s="63"/>
      <c r="EJ36" s="62"/>
      <c r="EK36" s="63"/>
      <c r="EL36" s="62"/>
      <c r="EM36" s="63"/>
      <c r="EN36" s="62"/>
      <c r="EO36" s="63"/>
      <c r="EP36" s="62"/>
      <c r="EQ36" s="63"/>
      <c r="ER36" s="62"/>
      <c r="ES36" s="63"/>
      <c r="ET36" s="62"/>
      <c r="EU36" s="63"/>
      <c r="EV36" s="62"/>
      <c r="EW36" s="63"/>
      <c r="EX36" s="62"/>
      <c r="EY36" s="63"/>
      <c r="EZ36" s="62"/>
      <c r="FA36" s="63"/>
      <c r="FB36" s="62"/>
      <c r="FC36" s="63"/>
      <c r="FD36" s="62"/>
      <c r="FE36" s="63"/>
      <c r="FF36" s="62"/>
      <c r="FG36" s="63"/>
      <c r="FH36" s="62"/>
      <c r="FI36" s="63"/>
      <c r="FJ36" s="62"/>
      <c r="FK36" s="63"/>
      <c r="FL36" s="62"/>
      <c r="FM36" s="63"/>
      <c r="FN36" s="62"/>
      <c r="FO36" s="63"/>
      <c r="FP36" s="62"/>
      <c r="FQ36" s="63"/>
      <c r="FR36" s="62"/>
      <c r="FS36" s="63"/>
      <c r="FT36" s="62"/>
      <c r="FU36" s="63"/>
      <c r="FV36" s="62"/>
      <c r="FW36" s="63"/>
      <c r="FX36" s="62"/>
      <c r="FY36" s="63"/>
      <c r="FZ36" s="62"/>
      <c r="GA36" s="63"/>
      <c r="GB36" s="62"/>
      <c r="GC36" s="63"/>
      <c r="GD36" s="62"/>
      <c r="GE36" s="63"/>
      <c r="GF36" s="62"/>
      <c r="GG36" s="63"/>
      <c r="GH36" s="62"/>
      <c r="GI36" s="63"/>
      <c r="GJ36" s="62"/>
      <c r="GK36" s="63"/>
      <c r="GL36" s="62"/>
      <c r="GM36" s="63"/>
      <c r="GN36" s="62"/>
      <c r="GO36" s="63"/>
      <c r="GP36" s="62"/>
      <c r="GQ36" s="63"/>
      <c r="GR36" s="62"/>
      <c r="GS36" s="63"/>
      <c r="GT36" s="62"/>
      <c r="GU36" s="63"/>
      <c r="GV36" s="62"/>
      <c r="GW36" s="63"/>
      <c r="GX36" s="62"/>
      <c r="GY36" s="63"/>
      <c r="GZ36" s="62"/>
      <c r="HA36" s="63"/>
      <c r="HB36" s="62"/>
      <c r="HC36" s="63"/>
      <c r="HD36" s="62"/>
      <c r="HE36" s="63"/>
      <c r="HF36" s="62"/>
      <c r="HG36" s="63"/>
      <c r="HH36" s="62"/>
      <c r="HI36" s="63"/>
      <c r="HJ36" s="62"/>
      <c r="HK36" s="63"/>
      <c r="HL36" s="62"/>
      <c r="HM36" s="63"/>
      <c r="HN36" s="62"/>
      <c r="HO36" s="63"/>
      <c r="HP36" s="62"/>
      <c r="HQ36" s="63"/>
      <c r="HR36" s="62"/>
      <c r="HS36" s="63"/>
      <c r="HT36" s="62"/>
      <c r="HU36" s="63"/>
      <c r="HV36" s="62"/>
      <c r="HW36" s="63"/>
      <c r="HX36" s="62"/>
      <c r="HY36" s="63"/>
      <c r="HZ36" s="62"/>
      <c r="IA36" s="63"/>
      <c r="IB36" s="62"/>
      <c r="IC36" s="63"/>
      <c r="ID36" s="62"/>
      <c r="IE36" s="63"/>
      <c r="IF36" s="62"/>
      <c r="IG36" s="63"/>
      <c r="IH36" s="62"/>
      <c r="II36" s="63"/>
      <c r="IJ36" s="62"/>
      <c r="IK36" s="63"/>
      <c r="IL36" s="62"/>
      <c r="IM36" s="63"/>
      <c r="IN36" s="62"/>
      <c r="IO36" s="63"/>
      <c r="IP36" s="62"/>
      <c r="IQ36" s="63"/>
      <c r="IR36" s="62"/>
      <c r="IS36" s="63"/>
      <c r="IT36" s="62"/>
      <c r="IU36" s="63"/>
      <c r="IV36" s="62"/>
      <c r="IW36" s="63"/>
      <c r="IX36" s="62"/>
      <c r="IY36" s="63"/>
      <c r="IZ36" s="62"/>
      <c r="JA36" s="63"/>
      <c r="JB36" s="62"/>
      <c r="JC36" s="63"/>
      <c r="JD36" s="62"/>
      <c r="JE36" s="63"/>
      <c r="JF36" s="62"/>
      <c r="JG36" s="63"/>
      <c r="JH36" s="62"/>
      <c r="JI36" s="63"/>
      <c r="JJ36" s="62"/>
      <c r="JK36" s="63"/>
      <c r="JL36" s="62"/>
      <c r="JM36" s="63"/>
      <c r="JN36" s="62"/>
      <c r="JO36" s="63"/>
      <c r="JP36" s="62"/>
      <c r="JQ36" s="63"/>
      <c r="JR36" s="62"/>
      <c r="JS36" s="63"/>
      <c r="JT36" s="62"/>
      <c r="JU36" s="63"/>
      <c r="JV36" s="62"/>
      <c r="JW36" s="63"/>
      <c r="JX36" s="62"/>
      <c r="JY36" s="63"/>
      <c r="JZ36" s="62"/>
      <c r="KA36" s="63"/>
      <c r="KB36" s="62"/>
      <c r="KC36" s="63"/>
      <c r="KD36" s="62"/>
      <c r="KE36" s="63"/>
      <c r="KF36" s="62"/>
      <c r="KG36" s="63"/>
      <c r="KH36" s="62"/>
      <c r="KI36" s="63"/>
      <c r="KJ36" s="62"/>
      <c r="KK36" s="63"/>
      <c r="KL36" s="62"/>
      <c r="KM36" s="63"/>
      <c r="KN36" s="62"/>
      <c r="KO36" s="63"/>
      <c r="KP36" s="62"/>
      <c r="KQ36" s="63"/>
      <c r="KR36" s="62"/>
      <c r="KS36" s="63"/>
      <c r="KT36" s="62"/>
      <c r="KU36" s="63"/>
      <c r="KV36" s="62"/>
      <c r="KW36" s="63"/>
      <c r="KX36" s="62"/>
      <c r="KY36" s="63"/>
      <c r="KZ36" s="62"/>
      <c r="LA36" s="63"/>
      <c r="LB36" s="62"/>
      <c r="LC36" s="63"/>
      <c r="LD36" s="62"/>
      <c r="LE36" s="63"/>
      <c r="LF36" s="62"/>
      <c r="LG36" s="63"/>
      <c r="LH36" s="62"/>
      <c r="LI36" s="63"/>
      <c r="LJ36" s="62"/>
      <c r="LK36" s="63"/>
      <c r="LL36" s="62"/>
      <c r="LM36" s="63"/>
      <c r="LN36" s="62"/>
      <c r="LO36" s="63"/>
      <c r="LP36" s="62"/>
      <c r="LQ36" s="63"/>
      <c r="LR36" s="62"/>
      <c r="LS36" s="63"/>
      <c r="LT36" s="62"/>
      <c r="LU36" s="63"/>
      <c r="LV36" s="62"/>
      <c r="LW36" s="63"/>
      <c r="LX36" s="62"/>
      <c r="LY36" s="63"/>
      <c r="LZ36" s="62"/>
      <c r="MA36" s="63"/>
      <c r="MB36" s="62"/>
      <c r="MC36" s="63"/>
      <c r="MD36" s="62"/>
      <c r="ME36" s="63"/>
      <c r="MF36" s="62"/>
      <c r="MG36" s="63"/>
      <c r="MH36" s="62"/>
      <c r="MI36" s="63"/>
      <c r="MJ36" s="62"/>
      <c r="MK36" s="63"/>
      <c r="ML36" s="62"/>
      <c r="MM36" s="63"/>
      <c r="MN36" s="62"/>
      <c r="MO36" s="63"/>
      <c r="MP36" s="62"/>
      <c r="MQ36" s="63"/>
      <c r="MR36" s="62"/>
      <c r="MS36" s="63"/>
      <c r="MT36" s="62"/>
      <c r="MU36" s="63"/>
      <c r="MV36" s="62"/>
      <c r="MW36" s="63"/>
      <c r="MX36" s="62"/>
      <c r="MY36" s="63"/>
      <c r="MZ36" s="62"/>
      <c r="NA36" s="63"/>
      <c r="NB36" s="62"/>
      <c r="NC36" s="63"/>
      <c r="ND36" s="62"/>
      <c r="NE36" s="63"/>
      <c r="NF36" s="62"/>
      <c r="NG36" s="63"/>
      <c r="NH36" s="62"/>
      <c r="NI36" s="63"/>
      <c r="NJ36" s="62"/>
      <c r="NK36" s="63"/>
      <c r="NL36" s="62"/>
      <c r="NM36" s="63"/>
      <c r="NN36" s="62"/>
      <c r="NO36" s="63"/>
      <c r="NP36" s="62"/>
      <c r="NQ36" s="63"/>
      <c r="NR36" s="62"/>
      <c r="NS36" s="63"/>
      <c r="NT36" s="62"/>
      <c r="NU36" s="63"/>
      <c r="NV36" s="62"/>
      <c r="NW36" s="63"/>
      <c r="NX36" s="62"/>
      <c r="NY36" s="63"/>
      <c r="NZ36" s="62"/>
      <c r="OA36" s="63"/>
      <c r="OB36" s="62"/>
      <c r="OC36" s="63"/>
      <c r="OD36" s="62"/>
      <c r="OE36" s="63"/>
      <c r="OF36" s="62"/>
      <c r="OG36" s="63"/>
      <c r="OH36" s="62"/>
      <c r="OI36" s="63"/>
      <c r="OJ36" s="62"/>
      <c r="OK36" s="63"/>
      <c r="OL36" s="62"/>
      <c r="OM36" s="63"/>
      <c r="ON36" s="62"/>
      <c r="OO36" s="63"/>
      <c r="OP36" s="62"/>
      <c r="OQ36" s="63"/>
      <c r="OR36" s="62"/>
      <c r="OS36" s="63"/>
      <c r="OT36" s="62"/>
      <c r="OU36" s="63"/>
      <c r="OV36" s="62"/>
      <c r="OW36" s="63"/>
      <c r="OX36" s="62"/>
      <c r="OY36" s="63"/>
      <c r="OZ36" s="62"/>
      <c r="PA36" s="63"/>
      <c r="PB36" s="62"/>
      <c r="PC36" s="63"/>
      <c r="PD36" s="62"/>
      <c r="PE36" s="63"/>
      <c r="PF36" s="62"/>
      <c r="PG36" s="63"/>
      <c r="PH36" s="62"/>
      <c r="PI36" s="63"/>
      <c r="PJ36" s="62"/>
      <c r="PK36" s="63"/>
      <c r="PL36" s="62"/>
      <c r="PM36" s="63"/>
      <c r="PN36" s="62"/>
      <c r="PO36" s="63"/>
      <c r="PP36" s="62"/>
      <c r="PQ36" s="63"/>
      <c r="PR36" s="62"/>
      <c r="PS36" s="63"/>
      <c r="PT36" s="62"/>
      <c r="PU36" s="63"/>
      <c r="PV36" s="62"/>
      <c r="PW36" s="63"/>
      <c r="PX36" s="62"/>
      <c r="PY36" s="63"/>
      <c r="PZ36" s="62"/>
      <c r="QA36" s="63"/>
      <c r="QB36" s="62"/>
      <c r="QC36" s="63"/>
      <c r="QD36" s="62"/>
      <c r="QE36" s="63"/>
      <c r="QF36" s="62"/>
      <c r="QG36" s="63"/>
      <c r="QH36" s="62"/>
      <c r="QI36" s="63"/>
      <c r="QJ36" s="62"/>
      <c r="QK36" s="63"/>
      <c r="QL36" s="62"/>
      <c r="QM36" s="63"/>
      <c r="QN36" s="62"/>
      <c r="QO36" s="63"/>
      <c r="QP36" s="62"/>
      <c r="QQ36" s="63"/>
      <c r="QR36" s="62"/>
      <c r="QS36" s="63"/>
      <c r="QT36" s="62"/>
      <c r="QU36" s="63"/>
      <c r="QV36" s="62"/>
      <c r="QW36" s="63"/>
      <c r="QX36" s="62"/>
      <c r="QY36" s="63"/>
      <c r="QZ36" s="62"/>
      <c r="RA36" s="63"/>
      <c r="RB36" s="62"/>
      <c r="RC36" s="63"/>
      <c r="RD36" s="31"/>
    </row>
    <row r="37" spans="1:472" s="5" customFormat="1" ht="15" hidden="1" customHeight="1" x14ac:dyDescent="0.25">
      <c r="A37" s="5">
        <v>2038</v>
      </c>
      <c r="B37" s="5" t="s">
        <v>258</v>
      </c>
      <c r="C37" s="5" t="s">
        <v>230</v>
      </c>
      <c r="D37" s="5">
        <v>80</v>
      </c>
      <c r="E37" s="36">
        <v>42783</v>
      </c>
      <c r="F37" s="5" t="s">
        <v>464</v>
      </c>
      <c r="H37" s="5" t="s">
        <v>286</v>
      </c>
      <c r="I37" s="62"/>
      <c r="J37" s="63"/>
      <c r="K37" s="62"/>
      <c r="L37" s="63"/>
      <c r="M37" s="62"/>
      <c r="N37" s="63"/>
      <c r="O37" s="62"/>
      <c r="P37" s="63"/>
      <c r="Q37" s="62"/>
      <c r="R37" s="63"/>
      <c r="S37" s="62"/>
      <c r="T37" s="63"/>
      <c r="X37" s="62"/>
      <c r="Y37" s="63"/>
      <c r="Z37" s="62"/>
      <c r="AA37" s="63"/>
      <c r="AB37" s="62"/>
      <c r="AC37" s="63"/>
      <c r="AD37" s="62"/>
      <c r="AE37" s="63"/>
      <c r="AF37" s="62"/>
      <c r="AG37" s="63"/>
      <c r="AH37" s="62"/>
      <c r="AI37" s="63"/>
      <c r="AJ37" s="62"/>
      <c r="AK37" s="63"/>
      <c r="AL37" s="62"/>
      <c r="AM37" s="63"/>
      <c r="AN37" s="62"/>
      <c r="AO37" s="63"/>
      <c r="AP37" s="62"/>
      <c r="AQ37" s="63"/>
      <c r="AR37" s="62"/>
      <c r="AS37" s="63"/>
      <c r="AT37" s="62"/>
      <c r="AU37" s="63"/>
      <c r="AV37" s="62"/>
      <c r="AW37" s="63"/>
      <c r="AX37" s="62"/>
      <c r="AY37" s="63"/>
      <c r="AZ37" s="62"/>
      <c r="BA37" s="63"/>
      <c r="BB37" s="62"/>
      <c r="BC37" s="63"/>
      <c r="BD37" s="62"/>
      <c r="BE37" s="63"/>
      <c r="BF37" s="62"/>
      <c r="BG37" s="63"/>
      <c r="BH37" s="62"/>
      <c r="BI37" s="63"/>
      <c r="BJ37" s="62"/>
      <c r="BK37" s="63"/>
      <c r="BL37" s="62"/>
      <c r="BM37" s="63"/>
      <c r="BN37" s="62"/>
      <c r="BO37" s="63"/>
      <c r="BP37" s="62"/>
      <c r="BQ37" s="63"/>
      <c r="BR37" s="62"/>
      <c r="BS37" s="63"/>
      <c r="BT37" s="62" t="s">
        <v>66</v>
      </c>
      <c r="BU37" s="63"/>
      <c r="BV37" s="62" t="s">
        <v>66</v>
      </c>
      <c r="BW37" s="63"/>
      <c r="BX37" s="62" t="s">
        <v>38</v>
      </c>
      <c r="BY37" s="63"/>
      <c r="BZ37" s="62" t="s">
        <v>38</v>
      </c>
      <c r="CA37" s="63"/>
      <c r="CB37" s="62" t="s">
        <v>38</v>
      </c>
      <c r="CC37" s="63"/>
      <c r="CD37" s="31" t="s">
        <v>38</v>
      </c>
      <c r="CE37" s="32" t="s">
        <v>36</v>
      </c>
      <c r="CF37" s="62" t="s">
        <v>36</v>
      </c>
      <c r="CG37" s="63"/>
      <c r="CH37" s="62" t="s">
        <v>36</v>
      </c>
      <c r="CI37" s="63"/>
      <c r="CJ37" s="62" t="s">
        <v>36</v>
      </c>
      <c r="CK37" s="63"/>
      <c r="CL37" s="62" t="s">
        <v>36</v>
      </c>
      <c r="CM37" s="63"/>
      <c r="CN37" s="62" t="s">
        <v>36</v>
      </c>
      <c r="CO37" s="63"/>
      <c r="CP37" s="62" t="s">
        <v>310</v>
      </c>
      <c r="CQ37" s="63"/>
      <c r="CR37" s="62" t="s">
        <v>310</v>
      </c>
      <c r="CS37" s="63"/>
      <c r="CT37" s="62" t="s">
        <v>37</v>
      </c>
      <c r="CU37" s="63"/>
      <c r="CV37" s="62" t="s">
        <v>37</v>
      </c>
      <c r="CW37" s="63"/>
      <c r="CX37" s="62" t="s">
        <v>37</v>
      </c>
      <c r="CY37" s="63"/>
      <c r="CZ37" s="62" t="s">
        <v>37</v>
      </c>
      <c r="DA37" s="63"/>
      <c r="DB37" s="62" t="s">
        <v>37</v>
      </c>
      <c r="DC37" s="63"/>
      <c r="DD37" s="62"/>
      <c r="DE37" s="63"/>
      <c r="DF37" s="62"/>
      <c r="DG37" s="63"/>
      <c r="DH37" s="62"/>
      <c r="DI37" s="63"/>
      <c r="DJ37" s="62"/>
      <c r="DK37" s="63"/>
      <c r="DL37" s="62"/>
      <c r="DM37" s="63"/>
      <c r="DN37" s="62"/>
      <c r="DO37" s="63"/>
      <c r="DP37" s="62"/>
      <c r="DQ37" s="63"/>
      <c r="DR37" s="62"/>
      <c r="DS37" s="63"/>
      <c r="DT37" s="62"/>
      <c r="DU37" s="63"/>
      <c r="DV37" s="62"/>
      <c r="DW37" s="63"/>
      <c r="DX37" s="62"/>
      <c r="DY37" s="63"/>
      <c r="DZ37" s="62"/>
      <c r="EA37" s="63"/>
      <c r="EB37" s="62"/>
      <c r="EC37" s="63"/>
      <c r="ED37" s="62"/>
      <c r="EE37" s="63"/>
      <c r="EF37" s="62"/>
      <c r="EG37" s="63"/>
      <c r="EH37" s="62"/>
      <c r="EI37" s="63"/>
      <c r="EJ37" s="62"/>
      <c r="EK37" s="63"/>
      <c r="EL37" s="62"/>
      <c r="EM37" s="63"/>
      <c r="EN37" s="62"/>
      <c r="EO37" s="63"/>
      <c r="EP37" s="62"/>
      <c r="EQ37" s="63"/>
      <c r="ER37" s="62"/>
      <c r="ES37" s="63"/>
      <c r="ET37" s="62"/>
      <c r="EU37" s="63"/>
      <c r="EV37" s="62"/>
      <c r="EW37" s="63"/>
      <c r="EX37" s="62"/>
      <c r="EY37" s="63"/>
      <c r="EZ37" s="62"/>
      <c r="FA37" s="63"/>
      <c r="FB37" s="62"/>
      <c r="FC37" s="63"/>
      <c r="FD37" s="62"/>
      <c r="FE37" s="63"/>
      <c r="FF37" s="62"/>
      <c r="FG37" s="63"/>
      <c r="FH37" s="62"/>
      <c r="FI37" s="63"/>
      <c r="FJ37" s="62"/>
      <c r="FK37" s="63"/>
      <c r="FL37" s="62"/>
      <c r="FM37" s="63"/>
      <c r="FN37" s="62"/>
      <c r="FO37" s="63"/>
      <c r="FP37" s="62"/>
      <c r="FQ37" s="63"/>
      <c r="FR37" s="62"/>
      <c r="FS37" s="63"/>
      <c r="FT37" s="62"/>
      <c r="FU37" s="63"/>
      <c r="FV37" s="62"/>
      <c r="FW37" s="63"/>
      <c r="FX37" s="62"/>
      <c r="FY37" s="63"/>
      <c r="FZ37" s="62"/>
      <c r="GA37" s="63"/>
      <c r="GB37" s="62"/>
      <c r="GC37" s="63"/>
      <c r="GD37" s="62"/>
      <c r="GE37" s="63"/>
      <c r="GF37" s="62"/>
      <c r="GG37" s="63"/>
      <c r="GH37" s="62"/>
      <c r="GI37" s="63"/>
      <c r="GJ37" s="62"/>
      <c r="GK37" s="63"/>
      <c r="GL37" s="62"/>
      <c r="GM37" s="63"/>
      <c r="GN37" s="62"/>
      <c r="GO37" s="63"/>
      <c r="GP37" s="62"/>
      <c r="GQ37" s="63"/>
      <c r="GR37" s="62"/>
      <c r="GS37" s="63"/>
      <c r="GT37" s="62"/>
      <c r="GU37" s="63"/>
      <c r="GV37" s="62"/>
      <c r="GW37" s="63"/>
      <c r="GX37" s="62"/>
      <c r="GY37" s="63"/>
      <c r="GZ37" s="62"/>
      <c r="HA37" s="63"/>
      <c r="HB37" s="62"/>
      <c r="HC37" s="63"/>
      <c r="HD37" s="62"/>
      <c r="HE37" s="63"/>
      <c r="HF37" s="62"/>
      <c r="HG37" s="63"/>
      <c r="HH37" s="62"/>
      <c r="HI37" s="63"/>
      <c r="HJ37" s="62"/>
      <c r="HK37" s="63"/>
      <c r="HL37" s="62"/>
      <c r="HM37" s="63"/>
      <c r="HN37" s="62"/>
      <c r="HO37" s="63"/>
      <c r="HP37" s="62"/>
      <c r="HQ37" s="63"/>
      <c r="HR37" s="62"/>
      <c r="HS37" s="63"/>
      <c r="HT37" s="62"/>
      <c r="HU37" s="63"/>
      <c r="HV37" s="62"/>
      <c r="HW37" s="63"/>
      <c r="HX37" s="62"/>
      <c r="HY37" s="63"/>
      <c r="HZ37" s="62"/>
      <c r="IA37" s="63"/>
      <c r="IB37" s="62"/>
      <c r="IC37" s="63"/>
      <c r="ID37" s="62"/>
      <c r="IE37" s="63"/>
      <c r="IF37" s="62"/>
      <c r="IG37" s="63"/>
      <c r="IH37" s="62"/>
      <c r="II37" s="63"/>
      <c r="IJ37" s="62"/>
      <c r="IK37" s="63"/>
      <c r="IL37" s="62"/>
      <c r="IM37" s="63"/>
      <c r="IN37" s="62"/>
      <c r="IO37" s="63"/>
      <c r="IP37" s="62"/>
      <c r="IQ37" s="63"/>
      <c r="IR37" s="62"/>
      <c r="IS37" s="63"/>
      <c r="IT37" s="62"/>
      <c r="IU37" s="63"/>
      <c r="IV37" s="62"/>
      <c r="IW37" s="63"/>
      <c r="IX37" s="62"/>
      <c r="IY37" s="63"/>
      <c r="IZ37" s="62"/>
      <c r="JA37" s="63"/>
      <c r="JB37" s="62"/>
      <c r="JC37" s="63"/>
      <c r="JD37" s="62"/>
      <c r="JE37" s="63"/>
      <c r="JF37" s="62"/>
      <c r="JG37" s="63"/>
      <c r="JH37" s="62"/>
      <c r="JI37" s="63"/>
      <c r="JJ37" s="62"/>
      <c r="JK37" s="63"/>
      <c r="JL37" s="62"/>
      <c r="JM37" s="63"/>
      <c r="JN37" s="62"/>
      <c r="JO37" s="63"/>
      <c r="JP37" s="62"/>
      <c r="JQ37" s="63"/>
      <c r="JR37" s="62"/>
      <c r="JS37" s="63"/>
      <c r="JT37" s="62"/>
      <c r="JU37" s="63"/>
      <c r="JV37" s="62"/>
      <c r="JW37" s="63"/>
      <c r="JX37" s="62"/>
      <c r="JY37" s="63"/>
      <c r="JZ37" s="62"/>
      <c r="KA37" s="63"/>
      <c r="KB37" s="62"/>
      <c r="KC37" s="63"/>
      <c r="KD37" s="62"/>
      <c r="KE37" s="63"/>
      <c r="KF37" s="62"/>
      <c r="KG37" s="63"/>
      <c r="KH37" s="62"/>
      <c r="KI37" s="63"/>
      <c r="KJ37" s="62"/>
      <c r="KK37" s="63"/>
      <c r="KL37" s="62"/>
      <c r="KM37" s="63"/>
      <c r="KN37" s="62"/>
      <c r="KO37" s="63"/>
      <c r="KP37" s="62"/>
      <c r="KQ37" s="63"/>
      <c r="KR37" s="62"/>
      <c r="KS37" s="63"/>
      <c r="KT37" s="62"/>
      <c r="KU37" s="63"/>
      <c r="KV37" s="62"/>
      <c r="KW37" s="63"/>
      <c r="KX37" s="62"/>
      <c r="KY37" s="63"/>
      <c r="KZ37" s="62"/>
      <c r="LA37" s="63"/>
      <c r="LB37" s="62"/>
      <c r="LC37" s="63"/>
      <c r="LD37" s="62"/>
      <c r="LE37" s="63"/>
      <c r="LF37" s="62"/>
      <c r="LG37" s="63"/>
      <c r="LH37" s="62"/>
      <c r="LI37" s="63"/>
      <c r="LJ37" s="62"/>
      <c r="LK37" s="63"/>
      <c r="LL37" s="62"/>
      <c r="LM37" s="63"/>
      <c r="LN37" s="62"/>
      <c r="LO37" s="63"/>
      <c r="LP37" s="62"/>
      <c r="LQ37" s="63"/>
      <c r="LR37" s="62"/>
      <c r="LS37" s="63"/>
      <c r="LT37" s="62"/>
      <c r="LU37" s="63"/>
      <c r="LV37" s="62"/>
      <c r="LW37" s="63"/>
      <c r="LX37" s="62"/>
      <c r="LY37" s="63"/>
      <c r="LZ37" s="62"/>
      <c r="MA37" s="63"/>
      <c r="MB37" s="62"/>
      <c r="MC37" s="63"/>
      <c r="MD37" s="62"/>
      <c r="ME37" s="63"/>
      <c r="MF37" s="62"/>
      <c r="MG37" s="63"/>
      <c r="MH37" s="62"/>
      <c r="MI37" s="63"/>
      <c r="MJ37" s="62"/>
      <c r="MK37" s="63"/>
      <c r="ML37" s="62"/>
      <c r="MM37" s="63"/>
      <c r="MN37" s="62"/>
      <c r="MO37" s="63"/>
      <c r="MP37" s="62"/>
      <c r="MQ37" s="63"/>
      <c r="MR37" s="62"/>
      <c r="MS37" s="63"/>
      <c r="MT37" s="62"/>
      <c r="MU37" s="63"/>
      <c r="MV37" s="62"/>
      <c r="MW37" s="63"/>
      <c r="MX37" s="62"/>
      <c r="MY37" s="63"/>
      <c r="MZ37" s="62"/>
      <c r="NA37" s="63"/>
      <c r="NB37" s="62"/>
      <c r="NC37" s="63"/>
      <c r="ND37" s="62"/>
      <c r="NE37" s="63"/>
      <c r="NF37" s="62"/>
      <c r="NG37" s="63"/>
      <c r="NH37" s="62"/>
      <c r="NI37" s="63"/>
      <c r="NJ37" s="62"/>
      <c r="NK37" s="63"/>
      <c r="NL37" s="62"/>
      <c r="NM37" s="63"/>
      <c r="NN37" s="62"/>
      <c r="NO37" s="63"/>
      <c r="NP37" s="62"/>
      <c r="NQ37" s="63"/>
      <c r="NR37" s="62"/>
      <c r="NS37" s="63"/>
      <c r="NT37" s="62"/>
      <c r="NU37" s="63"/>
      <c r="NV37" s="62"/>
      <c r="NW37" s="63"/>
      <c r="NX37" s="62"/>
      <c r="NY37" s="63"/>
      <c r="NZ37" s="62"/>
      <c r="OA37" s="63"/>
      <c r="OB37" s="62"/>
      <c r="OC37" s="63"/>
      <c r="OD37" s="62"/>
      <c r="OE37" s="63"/>
      <c r="OF37" s="62"/>
      <c r="OG37" s="63"/>
      <c r="OH37" s="62"/>
      <c r="OI37" s="63"/>
      <c r="OJ37" s="62"/>
      <c r="OK37" s="63"/>
      <c r="OL37" s="62"/>
      <c r="OM37" s="63"/>
      <c r="ON37" s="62"/>
      <c r="OO37" s="63"/>
      <c r="OP37" s="62"/>
      <c r="OQ37" s="63"/>
      <c r="OR37" s="62"/>
      <c r="OS37" s="63"/>
      <c r="OT37" s="62"/>
      <c r="OU37" s="63"/>
      <c r="OV37" s="62"/>
      <c r="OW37" s="63"/>
      <c r="OX37" s="62"/>
      <c r="OY37" s="63"/>
      <c r="OZ37" s="62"/>
      <c r="PA37" s="63"/>
      <c r="PB37" s="62"/>
      <c r="PC37" s="63"/>
      <c r="PD37" s="62"/>
      <c r="PE37" s="63"/>
      <c r="PF37" s="62"/>
      <c r="PG37" s="63"/>
      <c r="PH37" s="62"/>
      <c r="PI37" s="63"/>
      <c r="PJ37" s="62"/>
      <c r="PK37" s="63"/>
      <c r="PL37" s="62"/>
      <c r="PM37" s="63"/>
      <c r="PN37" s="62"/>
      <c r="PO37" s="63"/>
      <c r="PP37" s="62"/>
      <c r="PQ37" s="63"/>
      <c r="PR37" s="62"/>
      <c r="PS37" s="63"/>
      <c r="PT37" s="62"/>
      <c r="PU37" s="63"/>
      <c r="PV37" s="62"/>
      <c r="PW37" s="63"/>
      <c r="PX37" s="62"/>
      <c r="PY37" s="63"/>
      <c r="PZ37" s="62"/>
      <c r="QA37" s="63"/>
      <c r="QB37" s="62"/>
      <c r="QC37" s="63"/>
      <c r="QD37" s="62"/>
      <c r="QE37" s="63"/>
      <c r="QF37" s="62"/>
      <c r="QG37" s="63"/>
      <c r="QH37" s="62"/>
      <c r="QI37" s="63"/>
      <c r="QJ37" s="62"/>
      <c r="QK37" s="63"/>
      <c r="QL37" s="62"/>
      <c r="QM37" s="63"/>
      <c r="QN37" s="62"/>
      <c r="QO37" s="63"/>
      <c r="QP37" s="62"/>
      <c r="QQ37" s="63"/>
      <c r="QR37" s="62"/>
      <c r="QS37" s="63"/>
      <c r="QT37" s="62"/>
      <c r="QU37" s="63"/>
      <c r="QV37" s="62"/>
      <c r="QW37" s="63"/>
      <c r="QX37" s="62"/>
      <c r="QY37" s="63"/>
      <c r="QZ37" s="62"/>
      <c r="RA37" s="63"/>
      <c r="RB37" s="62"/>
      <c r="RC37" s="63"/>
      <c r="RD37" s="31"/>
    </row>
    <row r="38" spans="1:472" s="5" customFormat="1" ht="15" hidden="1" customHeight="1" x14ac:dyDescent="0.25">
      <c r="A38" s="5">
        <v>2040</v>
      </c>
      <c r="B38" s="5" t="s">
        <v>287</v>
      </c>
      <c r="C38" s="5" t="s">
        <v>165</v>
      </c>
      <c r="D38" s="5">
        <v>55</v>
      </c>
      <c r="E38" s="36">
        <v>42795</v>
      </c>
      <c r="F38" s="5" t="s">
        <v>465</v>
      </c>
      <c r="H38" s="5" t="s">
        <v>313</v>
      </c>
      <c r="I38" s="62"/>
      <c r="J38" s="63"/>
      <c r="K38" s="62"/>
      <c r="L38" s="63"/>
      <c r="M38" s="62"/>
      <c r="N38" s="63"/>
      <c r="O38" s="62"/>
      <c r="P38" s="63"/>
      <c r="Q38" s="62"/>
      <c r="R38" s="63"/>
      <c r="S38" s="62"/>
      <c r="T38" s="63"/>
      <c r="X38" s="62"/>
      <c r="Y38" s="63"/>
      <c r="Z38" s="62"/>
      <c r="AA38" s="63"/>
      <c r="AB38" s="62"/>
      <c r="AC38" s="63"/>
      <c r="AD38" s="62"/>
      <c r="AE38" s="63"/>
      <c r="AF38" s="62"/>
      <c r="AG38" s="63"/>
      <c r="AH38" s="62"/>
      <c r="AI38" s="63"/>
      <c r="AJ38" s="62"/>
      <c r="AK38" s="63"/>
      <c r="AL38" s="62"/>
      <c r="AM38" s="63"/>
      <c r="AN38" s="62"/>
      <c r="AO38" s="63"/>
      <c r="AP38" s="62"/>
      <c r="AQ38" s="63"/>
      <c r="AR38" s="62"/>
      <c r="AS38" s="63"/>
      <c r="AT38" s="62"/>
      <c r="AU38" s="63"/>
      <c r="AV38" s="62"/>
      <c r="AW38" s="63"/>
      <c r="AX38" s="62"/>
      <c r="AY38" s="63"/>
      <c r="AZ38" s="62"/>
      <c r="BA38" s="63"/>
      <c r="BB38" s="62"/>
      <c r="BC38" s="63"/>
      <c r="BD38" s="62"/>
      <c r="BE38" s="63"/>
      <c r="BF38" s="62"/>
      <c r="BG38" s="63"/>
      <c r="BH38" s="62"/>
      <c r="BI38" s="63"/>
      <c r="BJ38" s="62"/>
      <c r="BK38" s="63"/>
      <c r="BL38" s="62"/>
      <c r="BM38" s="63"/>
      <c r="BN38" s="62"/>
      <c r="BO38" s="63"/>
      <c r="BP38" s="62"/>
      <c r="BQ38" s="63"/>
      <c r="BR38" s="62"/>
      <c r="BS38" s="63"/>
      <c r="BT38" s="62"/>
      <c r="BU38" s="63"/>
      <c r="BV38" s="62"/>
      <c r="BW38" s="63"/>
      <c r="BX38" s="62" t="s">
        <v>66</v>
      </c>
      <c r="BY38" s="63"/>
      <c r="BZ38" s="62" t="s">
        <v>38</v>
      </c>
      <c r="CA38" s="63"/>
      <c r="CB38" s="62" t="s">
        <v>38</v>
      </c>
      <c r="CC38" s="63"/>
      <c r="CD38" s="31" t="s">
        <v>38</v>
      </c>
      <c r="CE38" s="32" t="s">
        <v>36</v>
      </c>
      <c r="CF38" s="62" t="s">
        <v>36</v>
      </c>
      <c r="CG38" s="63"/>
      <c r="CH38" s="62" t="s">
        <v>36</v>
      </c>
      <c r="CI38" s="63"/>
      <c r="CJ38" s="62" t="s">
        <v>36</v>
      </c>
      <c r="CK38" s="63"/>
      <c r="CL38" s="62" t="s">
        <v>36</v>
      </c>
      <c r="CM38" s="63"/>
      <c r="CN38" s="62" t="s">
        <v>36</v>
      </c>
      <c r="CO38" s="63"/>
      <c r="CP38" s="62" t="s">
        <v>36</v>
      </c>
      <c r="CQ38" s="63"/>
      <c r="CR38" s="62" t="s">
        <v>36</v>
      </c>
      <c r="CS38" s="63"/>
      <c r="CT38" s="62" t="s">
        <v>310</v>
      </c>
      <c r="CU38" s="63"/>
      <c r="CV38" s="62" t="s">
        <v>37</v>
      </c>
      <c r="CW38" s="63"/>
      <c r="CX38" s="62" t="s">
        <v>37</v>
      </c>
      <c r="CY38" s="63"/>
      <c r="CZ38" s="62" t="s">
        <v>37</v>
      </c>
      <c r="DA38" s="63"/>
      <c r="DB38" s="62" t="s">
        <v>37</v>
      </c>
      <c r="DC38" s="63"/>
      <c r="DD38" s="62"/>
      <c r="DE38" s="63"/>
      <c r="DF38" s="62"/>
      <c r="DG38" s="63"/>
      <c r="DH38" s="62"/>
      <c r="DI38" s="63"/>
      <c r="DJ38" s="62"/>
      <c r="DK38" s="63"/>
      <c r="DL38" s="62"/>
      <c r="DM38" s="63"/>
      <c r="DN38" s="62"/>
      <c r="DO38" s="63"/>
      <c r="DP38" s="62"/>
      <c r="DQ38" s="63"/>
      <c r="DR38" s="62"/>
      <c r="DS38" s="63"/>
      <c r="DT38" s="62"/>
      <c r="DU38" s="63"/>
      <c r="DV38" s="62"/>
      <c r="DW38" s="63"/>
      <c r="DX38" s="62"/>
      <c r="DY38" s="63"/>
      <c r="DZ38" s="62"/>
      <c r="EA38" s="63"/>
      <c r="EB38" s="62"/>
      <c r="EC38" s="63"/>
      <c r="ED38" s="62"/>
      <c r="EE38" s="63"/>
      <c r="EF38" s="62"/>
      <c r="EG38" s="63"/>
      <c r="EH38" s="62"/>
      <c r="EI38" s="63"/>
      <c r="EJ38" s="62"/>
      <c r="EK38" s="63"/>
      <c r="EL38" s="62"/>
      <c r="EM38" s="63"/>
      <c r="EN38" s="62"/>
      <c r="EO38" s="63"/>
      <c r="EP38" s="62"/>
      <c r="EQ38" s="63"/>
      <c r="ER38" s="62"/>
      <c r="ES38" s="63"/>
      <c r="ET38" s="62"/>
      <c r="EU38" s="63"/>
      <c r="EV38" s="62"/>
      <c r="EW38" s="63"/>
      <c r="EX38" s="62"/>
      <c r="EY38" s="63"/>
      <c r="EZ38" s="62"/>
      <c r="FA38" s="63"/>
      <c r="FB38" s="62"/>
      <c r="FC38" s="63"/>
      <c r="FD38" s="62"/>
      <c r="FE38" s="63"/>
      <c r="FF38" s="62"/>
      <c r="FG38" s="63"/>
      <c r="FH38" s="62"/>
      <c r="FI38" s="63"/>
      <c r="FJ38" s="62"/>
      <c r="FK38" s="63"/>
      <c r="FL38" s="62"/>
      <c r="FM38" s="63"/>
      <c r="FN38" s="62"/>
      <c r="FO38" s="63"/>
      <c r="FP38" s="62"/>
      <c r="FQ38" s="63"/>
      <c r="FR38" s="62"/>
      <c r="FS38" s="63"/>
      <c r="FT38" s="62"/>
      <c r="FU38" s="63"/>
      <c r="FV38" s="62"/>
      <c r="FW38" s="63"/>
      <c r="FX38" s="62"/>
      <c r="FY38" s="63"/>
      <c r="FZ38" s="62"/>
      <c r="GA38" s="63"/>
      <c r="GB38" s="62"/>
      <c r="GC38" s="63"/>
      <c r="GD38" s="62"/>
      <c r="GE38" s="63"/>
      <c r="GF38" s="62"/>
      <c r="GG38" s="63"/>
      <c r="GH38" s="62"/>
      <c r="GI38" s="63"/>
      <c r="GJ38" s="62"/>
      <c r="GK38" s="63"/>
      <c r="GL38" s="62"/>
      <c r="GM38" s="63"/>
      <c r="GN38" s="62"/>
      <c r="GO38" s="63"/>
      <c r="GP38" s="62"/>
      <c r="GQ38" s="63"/>
      <c r="GR38" s="62"/>
      <c r="GS38" s="63"/>
      <c r="GT38" s="62"/>
      <c r="GU38" s="63"/>
      <c r="GV38" s="62"/>
      <c r="GW38" s="63"/>
      <c r="GX38" s="62"/>
      <c r="GY38" s="63"/>
      <c r="GZ38" s="62"/>
      <c r="HA38" s="63"/>
      <c r="HB38" s="62"/>
      <c r="HC38" s="63"/>
      <c r="HD38" s="62"/>
      <c r="HE38" s="63"/>
      <c r="HF38" s="62"/>
      <c r="HG38" s="63"/>
      <c r="HH38" s="62"/>
      <c r="HI38" s="63"/>
      <c r="HJ38" s="62"/>
      <c r="HK38" s="63"/>
      <c r="HL38" s="62"/>
      <c r="HM38" s="63"/>
      <c r="HN38" s="62"/>
      <c r="HO38" s="63"/>
      <c r="HP38" s="62"/>
      <c r="HQ38" s="63"/>
      <c r="HR38" s="62"/>
      <c r="HS38" s="63"/>
      <c r="HT38" s="62"/>
      <c r="HU38" s="63"/>
      <c r="HV38" s="62"/>
      <c r="HW38" s="63"/>
      <c r="HX38" s="62"/>
      <c r="HY38" s="63"/>
      <c r="HZ38" s="62"/>
      <c r="IA38" s="63"/>
      <c r="IB38" s="62"/>
      <c r="IC38" s="63"/>
      <c r="ID38" s="62"/>
      <c r="IE38" s="63"/>
      <c r="IF38" s="62"/>
      <c r="IG38" s="63"/>
      <c r="IH38" s="62"/>
      <c r="II38" s="63"/>
      <c r="IJ38" s="62"/>
      <c r="IK38" s="63"/>
      <c r="IL38" s="62"/>
      <c r="IM38" s="63"/>
      <c r="IN38" s="62"/>
      <c r="IO38" s="63"/>
      <c r="IP38" s="62"/>
      <c r="IQ38" s="63"/>
      <c r="IR38" s="62"/>
      <c r="IS38" s="63"/>
      <c r="IT38" s="62"/>
      <c r="IU38" s="63"/>
      <c r="IV38" s="62"/>
      <c r="IW38" s="63"/>
      <c r="IX38" s="62"/>
      <c r="IY38" s="63"/>
      <c r="IZ38" s="62"/>
      <c r="JA38" s="63"/>
      <c r="JB38" s="62"/>
      <c r="JC38" s="63"/>
      <c r="JD38" s="62"/>
      <c r="JE38" s="63"/>
      <c r="JF38" s="62"/>
      <c r="JG38" s="63"/>
      <c r="JH38" s="62"/>
      <c r="JI38" s="63"/>
      <c r="JJ38" s="62"/>
      <c r="JK38" s="63"/>
      <c r="JL38" s="62"/>
      <c r="JM38" s="63"/>
      <c r="JN38" s="62"/>
      <c r="JO38" s="63"/>
      <c r="JP38" s="62"/>
      <c r="JQ38" s="63"/>
      <c r="JR38" s="62"/>
      <c r="JS38" s="63"/>
      <c r="JT38" s="62"/>
      <c r="JU38" s="63"/>
      <c r="JV38" s="62"/>
      <c r="JW38" s="63"/>
      <c r="JX38" s="62"/>
      <c r="JY38" s="63"/>
      <c r="JZ38" s="62"/>
      <c r="KA38" s="63"/>
      <c r="KB38" s="62"/>
      <c r="KC38" s="63"/>
      <c r="KD38" s="62"/>
      <c r="KE38" s="63"/>
      <c r="KF38" s="62"/>
      <c r="KG38" s="63"/>
      <c r="KH38" s="62"/>
      <c r="KI38" s="63"/>
      <c r="KJ38" s="62"/>
      <c r="KK38" s="63"/>
      <c r="KL38" s="62"/>
      <c r="KM38" s="63"/>
      <c r="KN38" s="62"/>
      <c r="KO38" s="63"/>
      <c r="KP38" s="62"/>
      <c r="KQ38" s="63"/>
      <c r="KR38" s="62"/>
      <c r="KS38" s="63"/>
      <c r="KT38" s="62"/>
      <c r="KU38" s="63"/>
      <c r="KV38" s="62"/>
      <c r="KW38" s="63"/>
      <c r="KX38" s="62"/>
      <c r="KY38" s="63"/>
      <c r="KZ38" s="62"/>
      <c r="LA38" s="63"/>
      <c r="LB38" s="62"/>
      <c r="LC38" s="63"/>
      <c r="LD38" s="62"/>
      <c r="LE38" s="63"/>
      <c r="LF38" s="62"/>
      <c r="LG38" s="63"/>
      <c r="LH38" s="62"/>
      <c r="LI38" s="63"/>
      <c r="LJ38" s="62"/>
      <c r="LK38" s="63"/>
      <c r="LL38" s="62"/>
      <c r="LM38" s="63"/>
      <c r="LN38" s="62"/>
      <c r="LO38" s="63"/>
      <c r="LP38" s="62"/>
      <c r="LQ38" s="63"/>
      <c r="LR38" s="62"/>
      <c r="LS38" s="63"/>
      <c r="LT38" s="62"/>
      <c r="LU38" s="63"/>
      <c r="LV38" s="62"/>
      <c r="LW38" s="63"/>
      <c r="LX38" s="62"/>
      <c r="LY38" s="63"/>
      <c r="LZ38" s="62"/>
      <c r="MA38" s="63"/>
      <c r="MB38" s="62"/>
      <c r="MC38" s="63"/>
      <c r="MD38" s="62"/>
      <c r="ME38" s="63"/>
      <c r="MF38" s="62"/>
      <c r="MG38" s="63"/>
      <c r="MH38" s="62"/>
      <c r="MI38" s="63"/>
      <c r="MJ38" s="62"/>
      <c r="MK38" s="63"/>
      <c r="ML38" s="62"/>
      <c r="MM38" s="63"/>
      <c r="MN38" s="62"/>
      <c r="MO38" s="63"/>
      <c r="MP38" s="62"/>
      <c r="MQ38" s="63"/>
      <c r="MR38" s="62"/>
      <c r="MS38" s="63"/>
      <c r="MT38" s="62"/>
      <c r="MU38" s="63"/>
      <c r="MV38" s="62"/>
      <c r="MW38" s="63"/>
      <c r="MX38" s="62"/>
      <c r="MY38" s="63"/>
      <c r="MZ38" s="62"/>
      <c r="NA38" s="63"/>
      <c r="NB38" s="62"/>
      <c r="NC38" s="63"/>
      <c r="ND38" s="62"/>
      <c r="NE38" s="63"/>
      <c r="NF38" s="62"/>
      <c r="NG38" s="63"/>
      <c r="NH38" s="62"/>
      <c r="NI38" s="63"/>
      <c r="NJ38" s="62"/>
      <c r="NK38" s="63"/>
      <c r="NL38" s="62"/>
      <c r="NM38" s="63"/>
      <c r="NN38" s="62"/>
      <c r="NO38" s="63"/>
      <c r="NP38" s="62"/>
      <c r="NQ38" s="63"/>
      <c r="NR38" s="62"/>
      <c r="NS38" s="63"/>
      <c r="NT38" s="62"/>
      <c r="NU38" s="63"/>
      <c r="NV38" s="62"/>
      <c r="NW38" s="63"/>
      <c r="NX38" s="62"/>
      <c r="NY38" s="63"/>
      <c r="NZ38" s="62"/>
      <c r="OA38" s="63"/>
      <c r="OB38" s="62"/>
      <c r="OC38" s="63"/>
      <c r="OD38" s="62"/>
      <c r="OE38" s="63"/>
      <c r="OF38" s="62"/>
      <c r="OG38" s="63"/>
      <c r="OH38" s="62"/>
      <c r="OI38" s="63"/>
      <c r="OJ38" s="62"/>
      <c r="OK38" s="63"/>
      <c r="OL38" s="62"/>
      <c r="OM38" s="63"/>
      <c r="ON38" s="62"/>
      <c r="OO38" s="63"/>
      <c r="OP38" s="62"/>
      <c r="OQ38" s="63"/>
      <c r="OR38" s="62"/>
      <c r="OS38" s="63"/>
      <c r="OT38" s="62"/>
      <c r="OU38" s="63"/>
      <c r="OV38" s="62"/>
      <c r="OW38" s="63"/>
      <c r="OX38" s="62"/>
      <c r="OY38" s="63"/>
      <c r="OZ38" s="62"/>
      <c r="PA38" s="63"/>
      <c r="PB38" s="62"/>
      <c r="PC38" s="63"/>
      <c r="PD38" s="62"/>
      <c r="PE38" s="63"/>
      <c r="PF38" s="62"/>
      <c r="PG38" s="63"/>
      <c r="PH38" s="62"/>
      <c r="PI38" s="63"/>
      <c r="PJ38" s="62"/>
      <c r="PK38" s="63"/>
      <c r="PL38" s="62"/>
      <c r="PM38" s="63"/>
      <c r="PN38" s="62"/>
      <c r="PO38" s="63"/>
      <c r="PP38" s="62"/>
      <c r="PQ38" s="63"/>
      <c r="PR38" s="62"/>
      <c r="PS38" s="63"/>
      <c r="PT38" s="62"/>
      <c r="PU38" s="63"/>
      <c r="PV38" s="62"/>
      <c r="PW38" s="63"/>
      <c r="PX38" s="62"/>
      <c r="PY38" s="63"/>
      <c r="PZ38" s="62"/>
      <c r="QA38" s="63"/>
      <c r="QB38" s="62"/>
      <c r="QC38" s="63"/>
      <c r="QD38" s="62"/>
      <c r="QE38" s="63"/>
      <c r="QF38" s="62"/>
      <c r="QG38" s="63"/>
      <c r="QH38" s="62"/>
      <c r="QI38" s="63"/>
      <c r="QJ38" s="62"/>
      <c r="QK38" s="63"/>
      <c r="QL38" s="62"/>
      <c r="QM38" s="63"/>
      <c r="QN38" s="62"/>
      <c r="QO38" s="63"/>
      <c r="QP38" s="62"/>
      <c r="QQ38" s="63"/>
      <c r="QR38" s="62"/>
      <c r="QS38" s="63"/>
      <c r="QT38" s="62"/>
      <c r="QU38" s="63"/>
      <c r="QV38" s="62"/>
      <c r="QW38" s="63"/>
      <c r="QX38" s="62"/>
      <c r="QY38" s="63"/>
      <c r="QZ38" s="62"/>
      <c r="RA38" s="63"/>
      <c r="RB38" s="62"/>
      <c r="RC38" s="63"/>
      <c r="RD38" s="31"/>
    </row>
    <row r="39" spans="1:472" s="5" customFormat="1" ht="15" hidden="1" customHeight="1" x14ac:dyDescent="0.25">
      <c r="A39" s="5">
        <v>2037</v>
      </c>
      <c r="B39" s="5" t="s">
        <v>359</v>
      </c>
      <c r="C39" s="5" t="s">
        <v>237</v>
      </c>
      <c r="D39" s="5">
        <v>122</v>
      </c>
      <c r="E39" s="36">
        <v>42744</v>
      </c>
      <c r="F39" s="5" t="s">
        <v>467</v>
      </c>
      <c r="H39" s="5" t="s">
        <v>312</v>
      </c>
      <c r="I39" s="62"/>
      <c r="J39" s="63"/>
      <c r="K39" s="62"/>
      <c r="L39" s="63"/>
      <c r="M39" s="62"/>
      <c r="N39" s="63"/>
      <c r="O39" s="62"/>
      <c r="P39" s="63"/>
      <c r="Q39" s="62"/>
      <c r="R39" s="63"/>
      <c r="S39" s="62"/>
      <c r="T39" s="63"/>
      <c r="X39" s="62"/>
      <c r="Y39" s="63"/>
      <c r="Z39" s="62"/>
      <c r="AA39" s="63"/>
      <c r="AB39" s="62"/>
      <c r="AC39" s="63"/>
      <c r="AD39" s="62"/>
      <c r="AE39" s="63"/>
      <c r="AF39" s="62"/>
      <c r="AG39" s="63"/>
      <c r="AH39" s="62"/>
      <c r="AI39" s="63"/>
      <c r="AJ39" s="62"/>
      <c r="AK39" s="63"/>
      <c r="AL39" s="62"/>
      <c r="AM39" s="63"/>
      <c r="AN39" s="62"/>
      <c r="AO39" s="63"/>
      <c r="AP39" s="62"/>
      <c r="AQ39" s="63"/>
      <c r="AR39" s="62"/>
      <c r="AS39" s="63"/>
      <c r="AT39" s="62"/>
      <c r="AU39" s="63"/>
      <c r="AV39" s="62"/>
      <c r="AW39" s="63"/>
      <c r="AX39" s="62"/>
      <c r="AY39" s="63"/>
      <c r="AZ39" s="62"/>
      <c r="BA39" s="63"/>
      <c r="BB39" s="62"/>
      <c r="BC39" s="63"/>
      <c r="BD39" s="62"/>
      <c r="BE39" s="63"/>
      <c r="BF39" s="62"/>
      <c r="BG39" s="63"/>
      <c r="BH39" s="62"/>
      <c r="BI39" s="63"/>
      <c r="BJ39" s="62"/>
      <c r="BK39" s="63"/>
      <c r="BL39" s="62"/>
      <c r="BM39" s="63"/>
      <c r="BN39" s="62"/>
      <c r="BO39" s="63"/>
      <c r="BP39" s="62"/>
      <c r="BQ39" s="63"/>
      <c r="BR39" s="62"/>
      <c r="BS39" s="63"/>
      <c r="BT39" s="62" t="s">
        <v>66</v>
      </c>
      <c r="BU39" s="63"/>
      <c r="BV39" s="62" t="s">
        <v>66</v>
      </c>
      <c r="BW39" s="63"/>
      <c r="BX39" s="62" t="s">
        <v>38</v>
      </c>
      <c r="BY39" s="63"/>
      <c r="BZ39" s="62" t="s">
        <v>38</v>
      </c>
      <c r="CA39" s="63"/>
      <c r="CB39" s="62" t="s">
        <v>38</v>
      </c>
      <c r="CC39" s="63"/>
      <c r="CD39" s="62" t="s">
        <v>38</v>
      </c>
      <c r="CE39" s="63"/>
      <c r="CF39" s="62" t="s">
        <v>38</v>
      </c>
      <c r="CG39" s="63"/>
      <c r="CH39" s="62" t="s">
        <v>38</v>
      </c>
      <c r="CI39" s="63"/>
      <c r="CJ39" s="62" t="s">
        <v>36</v>
      </c>
      <c r="CK39" s="63"/>
      <c r="CL39" s="62" t="s">
        <v>36</v>
      </c>
      <c r="CM39" s="63"/>
      <c r="CN39" s="62" t="s">
        <v>36</v>
      </c>
      <c r="CO39" s="63"/>
      <c r="CP39" s="62" t="s">
        <v>36</v>
      </c>
      <c r="CQ39" s="63"/>
      <c r="CR39" s="62" t="s">
        <v>36</v>
      </c>
      <c r="CS39" s="63"/>
      <c r="CT39" s="62" t="s">
        <v>310</v>
      </c>
      <c r="CU39" s="63"/>
      <c r="CV39" s="62" t="s">
        <v>310</v>
      </c>
      <c r="CW39" s="63"/>
      <c r="CX39" s="62" t="s">
        <v>37</v>
      </c>
      <c r="CY39" s="63"/>
      <c r="CZ39" s="62" t="s">
        <v>37</v>
      </c>
      <c r="DA39" s="63"/>
      <c r="DB39" s="62" t="s">
        <v>37</v>
      </c>
      <c r="DC39" s="63"/>
      <c r="DD39" s="62"/>
      <c r="DE39" s="63"/>
      <c r="DF39" s="62"/>
      <c r="DG39" s="63"/>
      <c r="DH39" s="62"/>
      <c r="DI39" s="63"/>
      <c r="DJ39" s="62"/>
      <c r="DK39" s="63"/>
      <c r="DL39" s="62"/>
      <c r="DM39" s="63"/>
      <c r="DN39" s="62"/>
      <c r="DO39" s="63"/>
      <c r="DP39" s="62"/>
      <c r="DQ39" s="63"/>
      <c r="DR39" s="62"/>
      <c r="DS39" s="63"/>
      <c r="DT39" s="62"/>
      <c r="DU39" s="63"/>
      <c r="DV39" s="62"/>
      <c r="DW39" s="63"/>
      <c r="DX39" s="62"/>
      <c r="DY39" s="63"/>
      <c r="DZ39" s="62"/>
      <c r="EA39" s="63"/>
      <c r="EB39" s="62"/>
      <c r="EC39" s="63"/>
      <c r="ED39" s="62"/>
      <c r="EE39" s="63"/>
      <c r="EF39" s="62"/>
      <c r="EG39" s="63"/>
      <c r="EH39" s="62"/>
      <c r="EI39" s="63"/>
      <c r="EJ39" s="62"/>
      <c r="EK39" s="63"/>
      <c r="EL39" s="62"/>
      <c r="EM39" s="63"/>
      <c r="EN39" s="62"/>
      <c r="EO39" s="63"/>
      <c r="EP39" s="62"/>
      <c r="EQ39" s="63"/>
      <c r="ER39" s="62"/>
      <c r="ES39" s="63"/>
      <c r="ET39" s="62"/>
      <c r="EU39" s="63"/>
      <c r="EV39" s="62"/>
      <c r="EW39" s="63"/>
      <c r="EX39" s="62"/>
      <c r="EY39" s="63"/>
      <c r="EZ39" s="62"/>
      <c r="FA39" s="63"/>
      <c r="FB39" s="62"/>
      <c r="FC39" s="63"/>
      <c r="FD39" s="62"/>
      <c r="FE39" s="63"/>
      <c r="FF39" s="62"/>
      <c r="FG39" s="63"/>
      <c r="FH39" s="62"/>
      <c r="FI39" s="63"/>
      <c r="FJ39" s="62"/>
      <c r="FK39" s="63"/>
      <c r="FL39" s="62"/>
      <c r="FM39" s="63"/>
      <c r="FN39" s="62"/>
      <c r="FO39" s="63"/>
      <c r="FP39" s="62"/>
      <c r="FQ39" s="63"/>
      <c r="FR39" s="62"/>
      <c r="FS39" s="63"/>
      <c r="FT39" s="62"/>
      <c r="FU39" s="63"/>
      <c r="FV39" s="62"/>
      <c r="FW39" s="63"/>
      <c r="FX39" s="62"/>
      <c r="FY39" s="63"/>
      <c r="FZ39" s="62"/>
      <c r="GA39" s="63"/>
      <c r="GB39" s="62"/>
      <c r="GC39" s="63"/>
      <c r="GD39" s="62"/>
      <c r="GE39" s="63"/>
      <c r="GF39" s="62"/>
      <c r="GG39" s="63"/>
      <c r="GH39" s="62"/>
      <c r="GI39" s="63"/>
      <c r="GJ39" s="62"/>
      <c r="GK39" s="63"/>
      <c r="GL39" s="62"/>
      <c r="GM39" s="63"/>
      <c r="GN39" s="62"/>
      <c r="GO39" s="63"/>
      <c r="GP39" s="62"/>
      <c r="GQ39" s="63"/>
      <c r="GR39" s="62"/>
      <c r="GS39" s="63"/>
      <c r="GT39" s="62"/>
      <c r="GU39" s="63"/>
      <c r="GV39" s="62"/>
      <c r="GW39" s="63"/>
      <c r="GX39" s="62"/>
      <c r="GY39" s="63"/>
      <c r="GZ39" s="62"/>
      <c r="HA39" s="63"/>
      <c r="HB39" s="62"/>
      <c r="HC39" s="63"/>
      <c r="HD39" s="62"/>
      <c r="HE39" s="63"/>
      <c r="HF39" s="62"/>
      <c r="HG39" s="63"/>
      <c r="HH39" s="62"/>
      <c r="HI39" s="63"/>
      <c r="HJ39" s="62"/>
      <c r="HK39" s="63"/>
      <c r="HL39" s="62"/>
      <c r="HM39" s="63"/>
      <c r="HN39" s="62"/>
      <c r="HO39" s="63"/>
      <c r="HP39" s="62"/>
      <c r="HQ39" s="63"/>
      <c r="HR39" s="62"/>
      <c r="HS39" s="63"/>
      <c r="HT39" s="62"/>
      <c r="HU39" s="63"/>
      <c r="HV39" s="62"/>
      <c r="HW39" s="63"/>
      <c r="HX39" s="62"/>
      <c r="HY39" s="63"/>
      <c r="HZ39" s="62"/>
      <c r="IA39" s="63"/>
      <c r="IB39" s="62"/>
      <c r="IC39" s="63"/>
      <c r="ID39" s="62"/>
      <c r="IE39" s="63"/>
      <c r="IF39" s="62"/>
      <c r="IG39" s="63"/>
      <c r="IH39" s="62"/>
      <c r="II39" s="63"/>
      <c r="IJ39" s="62"/>
      <c r="IK39" s="63"/>
      <c r="IL39" s="62"/>
      <c r="IM39" s="63"/>
      <c r="IN39" s="62"/>
      <c r="IO39" s="63"/>
      <c r="IP39" s="62"/>
      <c r="IQ39" s="63"/>
      <c r="IR39" s="62"/>
      <c r="IS39" s="63"/>
      <c r="IT39" s="62"/>
      <c r="IU39" s="63"/>
      <c r="IV39" s="62"/>
      <c r="IW39" s="63"/>
      <c r="IX39" s="62"/>
      <c r="IY39" s="63"/>
      <c r="IZ39" s="62"/>
      <c r="JA39" s="63"/>
      <c r="JB39" s="62"/>
      <c r="JC39" s="63"/>
      <c r="JD39" s="62"/>
      <c r="JE39" s="63"/>
      <c r="JF39" s="62"/>
      <c r="JG39" s="63"/>
      <c r="JH39" s="62"/>
      <c r="JI39" s="63"/>
      <c r="JJ39" s="62"/>
      <c r="JK39" s="63"/>
      <c r="JL39" s="62"/>
      <c r="JM39" s="63"/>
      <c r="JN39" s="62"/>
      <c r="JO39" s="63"/>
      <c r="JP39" s="62"/>
      <c r="JQ39" s="63"/>
      <c r="JR39" s="62"/>
      <c r="JS39" s="63"/>
      <c r="JT39" s="62"/>
      <c r="JU39" s="63"/>
      <c r="JV39" s="62"/>
      <c r="JW39" s="63"/>
      <c r="JX39" s="62"/>
      <c r="JY39" s="63"/>
      <c r="JZ39" s="62"/>
      <c r="KA39" s="63"/>
      <c r="KB39" s="62"/>
      <c r="KC39" s="63"/>
      <c r="KD39" s="62"/>
      <c r="KE39" s="63"/>
      <c r="KF39" s="62"/>
      <c r="KG39" s="63"/>
      <c r="KH39" s="62"/>
      <c r="KI39" s="63"/>
      <c r="KJ39" s="62"/>
      <c r="KK39" s="63"/>
      <c r="KL39" s="62"/>
      <c r="KM39" s="63"/>
      <c r="KN39" s="62"/>
      <c r="KO39" s="63"/>
      <c r="KP39" s="62"/>
      <c r="KQ39" s="63"/>
      <c r="KR39" s="62"/>
      <c r="KS39" s="63"/>
      <c r="KT39" s="62"/>
      <c r="KU39" s="63"/>
      <c r="KV39" s="62"/>
      <c r="KW39" s="63"/>
      <c r="KX39" s="62"/>
      <c r="KY39" s="63"/>
      <c r="KZ39" s="62"/>
      <c r="LA39" s="63"/>
      <c r="LB39" s="62"/>
      <c r="LC39" s="63"/>
      <c r="LD39" s="62"/>
      <c r="LE39" s="63"/>
      <c r="LF39" s="62"/>
      <c r="LG39" s="63"/>
      <c r="LH39" s="62"/>
      <c r="LI39" s="63"/>
      <c r="LJ39" s="62"/>
      <c r="LK39" s="63"/>
      <c r="LL39" s="62"/>
      <c r="LM39" s="63"/>
      <c r="LN39" s="62"/>
      <c r="LO39" s="63"/>
      <c r="LP39" s="62"/>
      <c r="LQ39" s="63"/>
      <c r="LR39" s="62"/>
      <c r="LS39" s="63"/>
      <c r="LT39" s="62"/>
      <c r="LU39" s="63"/>
      <c r="LV39" s="62"/>
      <c r="LW39" s="63"/>
      <c r="LX39" s="62"/>
      <c r="LY39" s="63"/>
      <c r="LZ39" s="62"/>
      <c r="MA39" s="63"/>
      <c r="MB39" s="62"/>
      <c r="MC39" s="63"/>
      <c r="MD39" s="62"/>
      <c r="ME39" s="63"/>
      <c r="MF39" s="62"/>
      <c r="MG39" s="63"/>
      <c r="MH39" s="62"/>
      <c r="MI39" s="63"/>
      <c r="MJ39" s="62"/>
      <c r="MK39" s="63"/>
      <c r="ML39" s="62"/>
      <c r="MM39" s="63"/>
      <c r="MN39" s="62"/>
      <c r="MO39" s="63"/>
      <c r="MP39" s="62"/>
      <c r="MQ39" s="63"/>
      <c r="MR39" s="62"/>
      <c r="MS39" s="63"/>
      <c r="MT39" s="62"/>
      <c r="MU39" s="63"/>
      <c r="MV39" s="62"/>
      <c r="MW39" s="63"/>
      <c r="MX39" s="62"/>
      <c r="MY39" s="63"/>
      <c r="MZ39" s="62"/>
      <c r="NA39" s="63"/>
      <c r="NB39" s="62"/>
      <c r="NC39" s="63"/>
      <c r="ND39" s="62"/>
      <c r="NE39" s="63"/>
      <c r="NF39" s="62"/>
      <c r="NG39" s="63"/>
      <c r="NH39" s="62"/>
      <c r="NI39" s="63"/>
      <c r="NJ39" s="62"/>
      <c r="NK39" s="63"/>
      <c r="NL39" s="62"/>
      <c r="NM39" s="63"/>
      <c r="NN39" s="62"/>
      <c r="NO39" s="63"/>
      <c r="NP39" s="62"/>
      <c r="NQ39" s="63"/>
      <c r="NR39" s="62"/>
      <c r="NS39" s="63"/>
      <c r="NT39" s="62"/>
      <c r="NU39" s="63"/>
      <c r="NV39" s="62"/>
      <c r="NW39" s="63"/>
      <c r="NX39" s="62"/>
      <c r="NY39" s="63"/>
      <c r="NZ39" s="62"/>
      <c r="OA39" s="63"/>
      <c r="OB39" s="62"/>
      <c r="OC39" s="63"/>
      <c r="OD39" s="62"/>
      <c r="OE39" s="63"/>
      <c r="OF39" s="62"/>
      <c r="OG39" s="63"/>
      <c r="OH39" s="62"/>
      <c r="OI39" s="63"/>
      <c r="OJ39" s="62"/>
      <c r="OK39" s="63"/>
      <c r="OL39" s="62"/>
      <c r="OM39" s="63"/>
      <c r="ON39" s="62"/>
      <c r="OO39" s="63"/>
      <c r="OP39" s="62"/>
      <c r="OQ39" s="63"/>
      <c r="OR39" s="62"/>
      <c r="OS39" s="63"/>
      <c r="OT39" s="62"/>
      <c r="OU39" s="63"/>
      <c r="OV39" s="62"/>
      <c r="OW39" s="63"/>
      <c r="OX39" s="62"/>
      <c r="OY39" s="63"/>
      <c r="OZ39" s="62"/>
      <c r="PA39" s="63"/>
      <c r="PB39" s="62"/>
      <c r="PC39" s="63"/>
      <c r="PD39" s="62"/>
      <c r="PE39" s="63"/>
      <c r="PF39" s="62"/>
      <c r="PG39" s="63"/>
      <c r="PH39" s="62"/>
      <c r="PI39" s="63"/>
      <c r="PJ39" s="62"/>
      <c r="PK39" s="63"/>
      <c r="PL39" s="62"/>
      <c r="PM39" s="63"/>
      <c r="PN39" s="62"/>
      <c r="PO39" s="63"/>
      <c r="PP39" s="62"/>
      <c r="PQ39" s="63"/>
      <c r="PR39" s="62"/>
      <c r="PS39" s="63"/>
      <c r="PT39" s="62"/>
      <c r="PU39" s="63"/>
      <c r="PV39" s="62"/>
      <c r="PW39" s="63"/>
      <c r="PX39" s="62"/>
      <c r="PY39" s="63"/>
      <c r="PZ39" s="62"/>
      <c r="QA39" s="63"/>
      <c r="QB39" s="62"/>
      <c r="QC39" s="63"/>
      <c r="QD39" s="62"/>
      <c r="QE39" s="63"/>
      <c r="QF39" s="62"/>
      <c r="QG39" s="63"/>
      <c r="QH39" s="62"/>
      <c r="QI39" s="63"/>
      <c r="QJ39" s="62"/>
      <c r="QK39" s="63"/>
      <c r="QL39" s="62"/>
      <c r="QM39" s="63"/>
      <c r="QN39" s="62"/>
      <c r="QO39" s="63"/>
      <c r="QP39" s="62"/>
      <c r="QQ39" s="63"/>
      <c r="QR39" s="62"/>
      <c r="QS39" s="63"/>
      <c r="QT39" s="62"/>
      <c r="QU39" s="63"/>
      <c r="QV39" s="62"/>
      <c r="QW39" s="63"/>
      <c r="QX39" s="62"/>
      <c r="QY39" s="63"/>
      <c r="QZ39" s="62"/>
      <c r="RA39" s="63"/>
      <c r="RB39" s="62"/>
      <c r="RC39" s="63"/>
      <c r="RD39" s="31"/>
    </row>
    <row r="40" spans="1:472" s="5" customFormat="1" ht="15" hidden="1" customHeight="1" x14ac:dyDescent="0.25">
      <c r="A40" s="5">
        <v>2042</v>
      </c>
      <c r="B40" s="5" t="s">
        <v>256</v>
      </c>
      <c r="C40" s="5" t="s">
        <v>209</v>
      </c>
      <c r="D40" s="5">
        <v>75</v>
      </c>
      <c r="E40" s="37" t="s">
        <v>336</v>
      </c>
      <c r="F40" s="5" t="s">
        <v>466</v>
      </c>
      <c r="I40" s="62"/>
      <c r="J40" s="63"/>
      <c r="K40" s="62"/>
      <c r="L40" s="63"/>
      <c r="M40" s="62"/>
      <c r="N40" s="63"/>
      <c r="O40" s="62"/>
      <c r="P40" s="63"/>
      <c r="Q40" s="62"/>
      <c r="R40" s="63"/>
      <c r="S40" s="62"/>
      <c r="T40" s="63"/>
      <c r="X40" s="62"/>
      <c r="Y40" s="63"/>
      <c r="Z40" s="62"/>
      <c r="AA40" s="63"/>
      <c r="AB40" s="62"/>
      <c r="AC40" s="63"/>
      <c r="AD40" s="62"/>
      <c r="AE40" s="63"/>
      <c r="AF40" s="62"/>
      <c r="AG40" s="63"/>
      <c r="AH40" s="62"/>
      <c r="AI40" s="63"/>
      <c r="AJ40" s="62"/>
      <c r="AK40" s="63"/>
      <c r="AL40" s="62"/>
      <c r="AM40" s="63"/>
      <c r="AN40" s="62"/>
      <c r="AO40" s="63"/>
      <c r="AP40" s="62"/>
      <c r="AQ40" s="63"/>
      <c r="AR40" s="62"/>
      <c r="AS40" s="63"/>
      <c r="AT40" s="62"/>
      <c r="AU40" s="63"/>
      <c r="AV40" s="62"/>
      <c r="AW40" s="63"/>
      <c r="AX40" s="62"/>
      <c r="AY40" s="63"/>
      <c r="AZ40" s="62"/>
      <c r="BA40" s="63"/>
      <c r="BB40" s="62"/>
      <c r="BC40" s="63"/>
      <c r="BD40" s="62"/>
      <c r="BE40" s="63"/>
      <c r="BF40" s="62"/>
      <c r="BG40" s="63"/>
      <c r="BH40" s="62"/>
      <c r="BI40" s="63"/>
      <c r="BJ40" s="62"/>
      <c r="BK40" s="63"/>
      <c r="BL40" s="62"/>
      <c r="BM40" s="63"/>
      <c r="BN40" s="62"/>
      <c r="BO40" s="63"/>
      <c r="BP40" s="62"/>
      <c r="BQ40" s="63"/>
      <c r="BR40" s="62"/>
      <c r="BS40" s="63"/>
      <c r="BT40" s="62"/>
      <c r="BU40" s="63"/>
      <c r="BV40" s="62"/>
      <c r="BW40" s="63"/>
      <c r="BX40" s="62"/>
      <c r="BY40" s="63"/>
      <c r="BZ40" s="62"/>
      <c r="CA40" s="63"/>
      <c r="CB40" s="62"/>
      <c r="CC40" s="63"/>
      <c r="CD40" s="31"/>
      <c r="CE40" s="32" t="s">
        <v>66</v>
      </c>
      <c r="CF40" s="62" t="s">
        <v>38</v>
      </c>
      <c r="CG40" s="63"/>
      <c r="CH40" s="62" t="s">
        <v>38</v>
      </c>
      <c r="CI40" s="63"/>
      <c r="CJ40" s="62" t="s">
        <v>36</v>
      </c>
      <c r="CK40" s="63"/>
      <c r="CL40" s="62" t="s">
        <v>36</v>
      </c>
      <c r="CM40" s="63"/>
      <c r="CN40" s="62" t="s">
        <v>36</v>
      </c>
      <c r="CO40" s="63"/>
      <c r="CP40" s="62" t="s">
        <v>36</v>
      </c>
      <c r="CQ40" s="63"/>
      <c r="CR40" s="62" t="s">
        <v>36</v>
      </c>
      <c r="CS40" s="63"/>
      <c r="CT40" s="62" t="s">
        <v>310</v>
      </c>
      <c r="CU40" s="63"/>
      <c r="CV40" s="62" t="s">
        <v>37</v>
      </c>
      <c r="CW40" s="63"/>
      <c r="CX40" s="62" t="s">
        <v>37</v>
      </c>
      <c r="CY40" s="63"/>
      <c r="CZ40" s="62" t="s">
        <v>37</v>
      </c>
      <c r="DA40" s="63"/>
      <c r="DB40" s="62" t="s">
        <v>37</v>
      </c>
      <c r="DC40" s="63"/>
      <c r="DD40" s="62" t="s">
        <v>37</v>
      </c>
      <c r="DE40" s="63"/>
      <c r="DF40" s="62" t="s">
        <v>37</v>
      </c>
      <c r="DG40" s="63"/>
      <c r="DH40" s="62" t="s">
        <v>37</v>
      </c>
      <c r="DI40" s="63"/>
      <c r="DJ40" s="62"/>
      <c r="DK40" s="63"/>
      <c r="DL40" s="62"/>
      <c r="DM40" s="63"/>
      <c r="DN40" s="62"/>
      <c r="DO40" s="63"/>
      <c r="DP40" s="62"/>
      <c r="DQ40" s="63"/>
      <c r="DR40" s="62"/>
      <c r="DS40" s="63"/>
      <c r="DT40" s="62"/>
      <c r="DU40" s="63"/>
      <c r="DV40" s="62"/>
      <c r="DW40" s="63"/>
      <c r="DX40" s="62"/>
      <c r="DY40" s="63"/>
      <c r="DZ40" s="62"/>
      <c r="EA40" s="63"/>
      <c r="EB40" s="62"/>
      <c r="EC40" s="63"/>
      <c r="ED40" s="62"/>
      <c r="EE40" s="63"/>
      <c r="EF40" s="62"/>
      <c r="EG40" s="63"/>
      <c r="EH40" s="62"/>
      <c r="EI40" s="63"/>
      <c r="EJ40" s="62"/>
      <c r="EK40" s="63"/>
      <c r="EL40" s="62"/>
      <c r="EM40" s="63"/>
      <c r="EN40" s="62"/>
      <c r="EO40" s="63"/>
      <c r="EP40" s="62"/>
      <c r="EQ40" s="63"/>
      <c r="ER40" s="62"/>
      <c r="ES40" s="63"/>
      <c r="ET40" s="62"/>
      <c r="EU40" s="63"/>
      <c r="EV40" s="62"/>
      <c r="EW40" s="63"/>
      <c r="EX40" s="62"/>
      <c r="EY40" s="63"/>
      <c r="EZ40" s="62"/>
      <c r="FA40" s="63"/>
      <c r="FB40" s="62"/>
      <c r="FC40" s="63"/>
      <c r="FD40" s="62"/>
      <c r="FE40" s="63"/>
      <c r="FF40" s="62"/>
      <c r="FG40" s="63"/>
      <c r="FH40" s="62"/>
      <c r="FI40" s="63"/>
      <c r="FJ40" s="62"/>
      <c r="FK40" s="63"/>
      <c r="FL40" s="62"/>
      <c r="FM40" s="63"/>
      <c r="FN40" s="62"/>
      <c r="FO40" s="63"/>
      <c r="FP40" s="62"/>
      <c r="FQ40" s="63"/>
      <c r="FR40" s="62"/>
      <c r="FS40" s="63"/>
      <c r="FT40" s="62"/>
      <c r="FU40" s="63"/>
      <c r="FV40" s="62"/>
      <c r="FW40" s="63"/>
      <c r="FX40" s="62"/>
      <c r="FY40" s="63"/>
      <c r="FZ40" s="62"/>
      <c r="GA40" s="63"/>
      <c r="GB40" s="62"/>
      <c r="GC40" s="63"/>
      <c r="GD40" s="62"/>
      <c r="GE40" s="63"/>
      <c r="GF40" s="62"/>
      <c r="GG40" s="63"/>
      <c r="GH40" s="62"/>
      <c r="GI40" s="63"/>
      <c r="GJ40" s="62"/>
      <c r="GK40" s="63"/>
      <c r="GL40" s="62"/>
      <c r="GM40" s="63"/>
      <c r="GN40" s="62"/>
      <c r="GO40" s="63"/>
      <c r="GP40" s="62"/>
      <c r="GQ40" s="63"/>
      <c r="GR40" s="62"/>
      <c r="GS40" s="63"/>
      <c r="GT40" s="62"/>
      <c r="GU40" s="63"/>
      <c r="GV40" s="62"/>
      <c r="GW40" s="63"/>
      <c r="GX40" s="62"/>
      <c r="GY40" s="63"/>
      <c r="GZ40" s="62"/>
      <c r="HA40" s="63"/>
      <c r="HB40" s="62"/>
      <c r="HC40" s="63"/>
      <c r="HD40" s="62"/>
      <c r="HE40" s="63"/>
      <c r="HF40" s="62"/>
      <c r="HG40" s="63"/>
      <c r="HH40" s="62"/>
      <c r="HI40" s="63"/>
      <c r="HJ40" s="62"/>
      <c r="HK40" s="63"/>
      <c r="HL40" s="62"/>
      <c r="HM40" s="63"/>
      <c r="HN40" s="62"/>
      <c r="HO40" s="63"/>
      <c r="HP40" s="62"/>
      <c r="HQ40" s="63"/>
      <c r="HR40" s="62"/>
      <c r="HS40" s="63"/>
      <c r="HT40" s="62"/>
      <c r="HU40" s="63"/>
      <c r="HV40" s="62"/>
      <c r="HW40" s="63"/>
      <c r="HX40" s="62"/>
      <c r="HY40" s="63"/>
      <c r="HZ40" s="62"/>
      <c r="IA40" s="63"/>
      <c r="IB40" s="62"/>
      <c r="IC40" s="63"/>
      <c r="ID40" s="62"/>
      <c r="IE40" s="63"/>
      <c r="IF40" s="62"/>
      <c r="IG40" s="63"/>
      <c r="IH40" s="62"/>
      <c r="II40" s="63"/>
      <c r="IJ40" s="62"/>
      <c r="IK40" s="63"/>
      <c r="IL40" s="62"/>
      <c r="IM40" s="63"/>
      <c r="IN40" s="62"/>
      <c r="IO40" s="63"/>
      <c r="IP40" s="62"/>
      <c r="IQ40" s="63"/>
      <c r="IR40" s="62"/>
      <c r="IS40" s="63"/>
      <c r="IT40" s="62"/>
      <c r="IU40" s="63"/>
      <c r="IV40" s="62"/>
      <c r="IW40" s="63"/>
      <c r="IX40" s="62"/>
      <c r="IY40" s="63"/>
      <c r="IZ40" s="62"/>
      <c r="JA40" s="63"/>
      <c r="JB40" s="62"/>
      <c r="JC40" s="63"/>
      <c r="JD40" s="62"/>
      <c r="JE40" s="63"/>
      <c r="JF40" s="62"/>
      <c r="JG40" s="63"/>
      <c r="JH40" s="62"/>
      <c r="JI40" s="63"/>
      <c r="JJ40" s="62"/>
      <c r="JK40" s="63"/>
      <c r="JL40" s="62"/>
      <c r="JM40" s="63"/>
      <c r="JN40" s="62"/>
      <c r="JO40" s="63"/>
      <c r="JP40" s="62"/>
      <c r="JQ40" s="63"/>
      <c r="JR40" s="62"/>
      <c r="JS40" s="63"/>
      <c r="JT40" s="62"/>
      <c r="JU40" s="63"/>
      <c r="JV40" s="62"/>
      <c r="JW40" s="63"/>
      <c r="JX40" s="62"/>
      <c r="JY40" s="63"/>
      <c r="JZ40" s="62"/>
      <c r="KA40" s="63"/>
      <c r="KB40" s="62"/>
      <c r="KC40" s="63"/>
      <c r="KD40" s="62"/>
      <c r="KE40" s="63"/>
      <c r="KF40" s="62"/>
      <c r="KG40" s="63"/>
      <c r="KH40" s="62"/>
      <c r="KI40" s="63"/>
      <c r="KJ40" s="62"/>
      <c r="KK40" s="63"/>
      <c r="KL40" s="62"/>
      <c r="KM40" s="63"/>
      <c r="KN40" s="62"/>
      <c r="KO40" s="63"/>
      <c r="KP40" s="62"/>
      <c r="KQ40" s="63"/>
      <c r="KR40" s="62"/>
      <c r="KS40" s="63"/>
      <c r="KT40" s="62"/>
      <c r="KU40" s="63"/>
      <c r="KV40" s="62"/>
      <c r="KW40" s="63"/>
      <c r="KX40" s="62"/>
      <c r="KY40" s="63"/>
      <c r="KZ40" s="62"/>
      <c r="LA40" s="63"/>
      <c r="LB40" s="62"/>
      <c r="LC40" s="63"/>
      <c r="LD40" s="62"/>
      <c r="LE40" s="63"/>
      <c r="LF40" s="62"/>
      <c r="LG40" s="63"/>
      <c r="LH40" s="62"/>
      <c r="LI40" s="63"/>
      <c r="LJ40" s="62"/>
      <c r="LK40" s="63"/>
      <c r="LL40" s="62"/>
      <c r="LM40" s="63"/>
      <c r="LN40" s="62"/>
      <c r="LO40" s="63"/>
      <c r="LP40" s="62"/>
      <c r="LQ40" s="63"/>
      <c r="LR40" s="62"/>
      <c r="LS40" s="63"/>
      <c r="LT40" s="62"/>
      <c r="LU40" s="63"/>
      <c r="LV40" s="62"/>
      <c r="LW40" s="63"/>
      <c r="LX40" s="62"/>
      <c r="LY40" s="63"/>
      <c r="LZ40" s="62"/>
      <c r="MA40" s="63"/>
      <c r="MB40" s="62"/>
      <c r="MC40" s="63"/>
      <c r="MD40" s="62"/>
      <c r="ME40" s="63"/>
      <c r="MF40" s="62"/>
      <c r="MG40" s="63"/>
      <c r="MH40" s="62"/>
      <c r="MI40" s="63"/>
      <c r="MJ40" s="62"/>
      <c r="MK40" s="63"/>
      <c r="ML40" s="62"/>
      <c r="MM40" s="63"/>
      <c r="MN40" s="62"/>
      <c r="MO40" s="63"/>
      <c r="MP40" s="62"/>
      <c r="MQ40" s="63"/>
      <c r="MR40" s="62"/>
      <c r="MS40" s="63"/>
      <c r="MT40" s="62"/>
      <c r="MU40" s="63"/>
      <c r="MV40" s="62"/>
      <c r="MW40" s="63"/>
      <c r="MX40" s="62"/>
      <c r="MY40" s="63"/>
      <c r="MZ40" s="62"/>
      <c r="NA40" s="63"/>
      <c r="NB40" s="62"/>
      <c r="NC40" s="63"/>
      <c r="ND40" s="62"/>
      <c r="NE40" s="63"/>
      <c r="NF40" s="62"/>
      <c r="NG40" s="63"/>
      <c r="NH40" s="62"/>
      <c r="NI40" s="63"/>
      <c r="NJ40" s="62"/>
      <c r="NK40" s="63"/>
      <c r="NL40" s="62"/>
      <c r="NM40" s="63"/>
      <c r="NN40" s="62"/>
      <c r="NO40" s="63"/>
      <c r="NP40" s="62"/>
      <c r="NQ40" s="63"/>
      <c r="NR40" s="62"/>
      <c r="NS40" s="63"/>
      <c r="NT40" s="62"/>
      <c r="NU40" s="63"/>
      <c r="NV40" s="62"/>
      <c r="NW40" s="63"/>
      <c r="NX40" s="62"/>
      <c r="NY40" s="63"/>
      <c r="NZ40" s="62"/>
      <c r="OA40" s="63"/>
      <c r="OB40" s="62"/>
      <c r="OC40" s="63"/>
      <c r="OD40" s="62"/>
      <c r="OE40" s="63"/>
      <c r="OF40" s="62"/>
      <c r="OG40" s="63"/>
      <c r="OH40" s="62"/>
      <c r="OI40" s="63"/>
      <c r="OJ40" s="62"/>
      <c r="OK40" s="63"/>
      <c r="OL40" s="62"/>
      <c r="OM40" s="63"/>
      <c r="ON40" s="62"/>
      <c r="OO40" s="63"/>
      <c r="OP40" s="62"/>
      <c r="OQ40" s="63"/>
      <c r="OR40" s="62"/>
      <c r="OS40" s="63"/>
      <c r="OT40" s="62"/>
      <c r="OU40" s="63"/>
      <c r="OV40" s="62"/>
      <c r="OW40" s="63"/>
      <c r="OX40" s="62"/>
      <c r="OY40" s="63"/>
      <c r="OZ40" s="62"/>
      <c r="PA40" s="63"/>
      <c r="PB40" s="62"/>
      <c r="PC40" s="63"/>
      <c r="PD40" s="62"/>
      <c r="PE40" s="63"/>
      <c r="PF40" s="62"/>
      <c r="PG40" s="63"/>
      <c r="PH40" s="62"/>
      <c r="PI40" s="63"/>
      <c r="PJ40" s="62"/>
      <c r="PK40" s="63"/>
      <c r="PL40" s="62"/>
      <c r="PM40" s="63"/>
      <c r="PN40" s="62"/>
      <c r="PO40" s="63"/>
      <c r="PP40" s="62"/>
      <c r="PQ40" s="63"/>
      <c r="PR40" s="62"/>
      <c r="PS40" s="63"/>
      <c r="PT40" s="62"/>
      <c r="PU40" s="63"/>
      <c r="PV40" s="62"/>
      <c r="PW40" s="63"/>
      <c r="PX40" s="62"/>
      <c r="PY40" s="63"/>
      <c r="PZ40" s="62"/>
      <c r="QA40" s="63"/>
      <c r="QB40" s="62"/>
      <c r="QC40" s="63"/>
      <c r="QD40" s="62"/>
      <c r="QE40" s="63"/>
      <c r="QF40" s="62"/>
      <c r="QG40" s="63"/>
      <c r="QH40" s="62"/>
      <c r="QI40" s="63"/>
      <c r="QJ40" s="62"/>
      <c r="QK40" s="63"/>
      <c r="QL40" s="62"/>
      <c r="QM40" s="63"/>
      <c r="QN40" s="62"/>
      <c r="QO40" s="63"/>
      <c r="QP40" s="62"/>
      <c r="QQ40" s="63"/>
      <c r="QR40" s="62"/>
      <c r="QS40" s="63"/>
      <c r="QT40" s="62"/>
      <c r="QU40" s="63"/>
      <c r="QV40" s="62"/>
      <c r="QW40" s="63"/>
      <c r="QX40" s="62"/>
      <c r="QY40" s="63"/>
      <c r="QZ40" s="62"/>
      <c r="RA40" s="63"/>
      <c r="RB40" s="62"/>
      <c r="RC40" s="63"/>
      <c r="RD40" s="31"/>
    </row>
    <row r="41" spans="1:472" s="5" customFormat="1" ht="15" hidden="1" customHeight="1" x14ac:dyDescent="0.25">
      <c r="A41" s="5">
        <v>2043</v>
      </c>
      <c r="B41" s="5" t="s">
        <v>294</v>
      </c>
      <c r="C41" s="5" t="s">
        <v>230</v>
      </c>
      <c r="D41" s="5">
        <v>89</v>
      </c>
      <c r="E41" s="36">
        <v>42795</v>
      </c>
      <c r="F41" s="5" t="s">
        <v>469</v>
      </c>
      <c r="I41" s="62"/>
      <c r="J41" s="63"/>
      <c r="K41" s="62"/>
      <c r="L41" s="63"/>
      <c r="M41" s="62"/>
      <c r="N41" s="63"/>
      <c r="O41" s="62"/>
      <c r="P41" s="63"/>
      <c r="Q41" s="62"/>
      <c r="R41" s="63"/>
      <c r="S41" s="62"/>
      <c r="T41" s="63"/>
      <c r="X41" s="62"/>
      <c r="Y41" s="63"/>
      <c r="Z41" s="62"/>
      <c r="AA41" s="63"/>
      <c r="AB41" s="62"/>
      <c r="AC41" s="63"/>
      <c r="AD41" s="62"/>
      <c r="AE41" s="63"/>
      <c r="AF41" s="62"/>
      <c r="AG41" s="63"/>
      <c r="AH41" s="62"/>
      <c r="AI41" s="63"/>
      <c r="AJ41" s="62"/>
      <c r="AK41" s="63"/>
      <c r="AL41" s="62"/>
      <c r="AM41" s="63"/>
      <c r="AN41" s="62"/>
      <c r="AO41" s="63"/>
      <c r="AP41" s="62"/>
      <c r="AQ41" s="63"/>
      <c r="AR41" s="62"/>
      <c r="AS41" s="63"/>
      <c r="AT41" s="62"/>
      <c r="AU41" s="63"/>
      <c r="AV41" s="62"/>
      <c r="AW41" s="63"/>
      <c r="AX41" s="62"/>
      <c r="AY41" s="63"/>
      <c r="AZ41" s="62"/>
      <c r="BA41" s="63"/>
      <c r="BB41" s="62"/>
      <c r="BC41" s="63"/>
      <c r="BD41" s="62"/>
      <c r="BE41" s="63"/>
      <c r="BF41" s="62"/>
      <c r="BG41" s="63"/>
      <c r="BH41" s="62"/>
      <c r="BI41" s="63"/>
      <c r="BJ41" s="62"/>
      <c r="BK41" s="63"/>
      <c r="BL41" s="62"/>
      <c r="BM41" s="63"/>
      <c r="BN41" s="62"/>
      <c r="BO41" s="63"/>
      <c r="BP41" s="62"/>
      <c r="BQ41" s="63"/>
      <c r="BR41" s="62"/>
      <c r="BS41" s="63"/>
      <c r="BT41" s="62"/>
      <c r="BU41" s="63"/>
      <c r="BV41" s="62"/>
      <c r="BW41" s="63"/>
      <c r="BX41" s="62"/>
      <c r="BY41" s="63"/>
      <c r="BZ41" s="62"/>
      <c r="CA41" s="63"/>
      <c r="CB41" s="62"/>
      <c r="CC41" s="63"/>
      <c r="CD41" s="62" t="s">
        <v>66</v>
      </c>
      <c r="CE41" s="63"/>
      <c r="CF41" s="62" t="s">
        <v>66</v>
      </c>
      <c r="CG41" s="63"/>
      <c r="CH41" s="62" t="s">
        <v>38</v>
      </c>
      <c r="CI41" s="63"/>
      <c r="CJ41" s="62" t="s">
        <v>36</v>
      </c>
      <c r="CK41" s="63"/>
      <c r="CL41" s="62" t="s">
        <v>36</v>
      </c>
      <c r="CM41" s="63"/>
      <c r="CN41" s="62" t="s">
        <v>36</v>
      </c>
      <c r="CO41" s="63"/>
      <c r="CP41" s="62" t="s">
        <v>36</v>
      </c>
      <c r="CQ41" s="63"/>
      <c r="CR41" s="62" t="s">
        <v>36</v>
      </c>
      <c r="CS41" s="63"/>
      <c r="CT41" s="62" t="s">
        <v>36</v>
      </c>
      <c r="CU41" s="63"/>
      <c r="CV41" s="62" t="s">
        <v>310</v>
      </c>
      <c r="CW41" s="63"/>
      <c r="CX41" s="62" t="s">
        <v>310</v>
      </c>
      <c r="CY41" s="63"/>
      <c r="CZ41" s="62" t="s">
        <v>37</v>
      </c>
      <c r="DA41" s="63"/>
      <c r="DB41" s="62" t="s">
        <v>37</v>
      </c>
      <c r="DC41" s="63"/>
      <c r="DD41" s="62" t="s">
        <v>37</v>
      </c>
      <c r="DE41" s="63"/>
      <c r="DF41" s="62" t="s">
        <v>37</v>
      </c>
      <c r="DG41" s="63"/>
      <c r="DH41" s="62" t="s">
        <v>37</v>
      </c>
      <c r="DI41" s="63"/>
      <c r="DJ41" s="62"/>
      <c r="DK41" s="63"/>
      <c r="DL41" s="62"/>
      <c r="DM41" s="63"/>
      <c r="DN41" s="62"/>
      <c r="DO41" s="63"/>
      <c r="DP41" s="62"/>
      <c r="DQ41" s="63"/>
      <c r="DR41" s="62"/>
      <c r="DS41" s="63"/>
      <c r="DT41" s="62"/>
      <c r="DU41" s="63"/>
      <c r="DV41" s="62"/>
      <c r="DW41" s="63"/>
      <c r="DX41" s="62"/>
      <c r="DY41" s="63"/>
      <c r="DZ41" s="62"/>
      <c r="EA41" s="63"/>
      <c r="EB41" s="62"/>
      <c r="EC41" s="63"/>
      <c r="ED41" s="62"/>
      <c r="EE41" s="63"/>
      <c r="EF41" s="62"/>
      <c r="EG41" s="63"/>
      <c r="EH41" s="62"/>
      <c r="EI41" s="63"/>
      <c r="EJ41" s="62"/>
      <c r="EK41" s="63"/>
      <c r="EL41" s="62"/>
      <c r="EM41" s="63"/>
      <c r="EN41" s="62"/>
      <c r="EO41" s="63"/>
      <c r="EP41" s="62"/>
      <c r="EQ41" s="63"/>
      <c r="ER41" s="62"/>
      <c r="ES41" s="63"/>
      <c r="ET41" s="62"/>
      <c r="EU41" s="63"/>
      <c r="EV41" s="62"/>
      <c r="EW41" s="63"/>
      <c r="EX41" s="62"/>
      <c r="EY41" s="63"/>
      <c r="EZ41" s="62"/>
      <c r="FA41" s="63"/>
      <c r="FB41" s="62"/>
      <c r="FC41" s="63"/>
      <c r="FD41" s="62"/>
      <c r="FE41" s="63"/>
      <c r="FF41" s="62"/>
      <c r="FG41" s="63"/>
      <c r="FH41" s="62"/>
      <c r="FI41" s="63"/>
      <c r="FJ41" s="62"/>
      <c r="FK41" s="63"/>
      <c r="FL41" s="62"/>
      <c r="FM41" s="63"/>
      <c r="FN41" s="62"/>
      <c r="FO41" s="63"/>
      <c r="FP41" s="62"/>
      <c r="FQ41" s="63"/>
      <c r="FR41" s="62"/>
      <c r="FS41" s="63"/>
      <c r="FT41" s="62"/>
      <c r="FU41" s="63"/>
      <c r="FV41" s="62"/>
      <c r="FW41" s="63"/>
      <c r="FX41" s="62"/>
      <c r="FY41" s="63"/>
      <c r="FZ41" s="62"/>
      <c r="GA41" s="63"/>
      <c r="GB41" s="62"/>
      <c r="GC41" s="63"/>
      <c r="GD41" s="62"/>
      <c r="GE41" s="63"/>
      <c r="GF41" s="62"/>
      <c r="GG41" s="63"/>
      <c r="GH41" s="62"/>
      <c r="GI41" s="63"/>
      <c r="GJ41" s="62"/>
      <c r="GK41" s="63"/>
      <c r="GL41" s="62"/>
      <c r="GM41" s="63"/>
      <c r="GN41" s="62"/>
      <c r="GO41" s="63"/>
      <c r="GP41" s="62"/>
      <c r="GQ41" s="63"/>
      <c r="GR41" s="62"/>
      <c r="GS41" s="63"/>
      <c r="GT41" s="62"/>
      <c r="GU41" s="63"/>
      <c r="GV41" s="62"/>
      <c r="GW41" s="63"/>
      <c r="GX41" s="62"/>
      <c r="GY41" s="63"/>
      <c r="GZ41" s="62"/>
      <c r="HA41" s="63"/>
      <c r="HB41" s="62"/>
      <c r="HC41" s="63"/>
      <c r="HD41" s="62"/>
      <c r="HE41" s="63"/>
      <c r="HF41" s="62"/>
      <c r="HG41" s="63"/>
      <c r="HH41" s="62"/>
      <c r="HI41" s="63"/>
      <c r="HJ41" s="62"/>
      <c r="HK41" s="63"/>
      <c r="HL41" s="62"/>
      <c r="HM41" s="63"/>
      <c r="HN41" s="62"/>
      <c r="HO41" s="63"/>
      <c r="HP41" s="62"/>
      <c r="HQ41" s="63"/>
      <c r="HR41" s="62"/>
      <c r="HS41" s="63"/>
      <c r="HT41" s="62"/>
      <c r="HU41" s="63"/>
      <c r="HV41" s="62"/>
      <c r="HW41" s="63"/>
      <c r="HX41" s="62"/>
      <c r="HY41" s="63"/>
      <c r="HZ41" s="62"/>
      <c r="IA41" s="63"/>
      <c r="IB41" s="62"/>
      <c r="IC41" s="63"/>
      <c r="ID41" s="62"/>
      <c r="IE41" s="63"/>
      <c r="IF41" s="62"/>
      <c r="IG41" s="63"/>
      <c r="IH41" s="62"/>
      <c r="II41" s="63"/>
      <c r="IJ41" s="62"/>
      <c r="IK41" s="63"/>
      <c r="IL41" s="62"/>
      <c r="IM41" s="63"/>
      <c r="IN41" s="62"/>
      <c r="IO41" s="63"/>
      <c r="IP41" s="62"/>
      <c r="IQ41" s="63"/>
      <c r="IR41" s="62"/>
      <c r="IS41" s="63"/>
      <c r="IT41" s="62"/>
      <c r="IU41" s="63"/>
      <c r="IV41" s="62"/>
      <c r="IW41" s="63"/>
      <c r="IX41" s="62"/>
      <c r="IY41" s="63"/>
      <c r="IZ41" s="62"/>
      <c r="JA41" s="63"/>
      <c r="JB41" s="62"/>
      <c r="JC41" s="63"/>
      <c r="JD41" s="62"/>
      <c r="JE41" s="63"/>
      <c r="JF41" s="62"/>
      <c r="JG41" s="63"/>
      <c r="JH41" s="62"/>
      <c r="JI41" s="63"/>
      <c r="JJ41" s="62"/>
      <c r="JK41" s="63"/>
      <c r="JL41" s="62"/>
      <c r="JM41" s="63"/>
      <c r="JN41" s="62"/>
      <c r="JO41" s="63"/>
      <c r="JP41" s="62"/>
      <c r="JQ41" s="63"/>
      <c r="JR41" s="62"/>
      <c r="JS41" s="63"/>
      <c r="JT41" s="62"/>
      <c r="JU41" s="63"/>
      <c r="JV41" s="62"/>
      <c r="JW41" s="63"/>
      <c r="JX41" s="62"/>
      <c r="JY41" s="63"/>
      <c r="JZ41" s="62"/>
      <c r="KA41" s="63"/>
      <c r="KB41" s="62"/>
      <c r="KC41" s="63"/>
      <c r="KD41" s="62"/>
      <c r="KE41" s="63"/>
      <c r="KF41" s="62"/>
      <c r="KG41" s="63"/>
      <c r="KH41" s="62"/>
      <c r="KI41" s="63"/>
      <c r="KJ41" s="62"/>
      <c r="KK41" s="63"/>
      <c r="KL41" s="62"/>
      <c r="KM41" s="63"/>
      <c r="KN41" s="62"/>
      <c r="KO41" s="63"/>
      <c r="KP41" s="62"/>
      <c r="KQ41" s="63"/>
      <c r="KR41" s="62"/>
      <c r="KS41" s="63"/>
      <c r="KT41" s="62"/>
      <c r="KU41" s="63"/>
      <c r="KV41" s="62"/>
      <c r="KW41" s="63"/>
      <c r="KX41" s="62"/>
      <c r="KY41" s="63"/>
      <c r="KZ41" s="62"/>
      <c r="LA41" s="63"/>
      <c r="LB41" s="62"/>
      <c r="LC41" s="63"/>
      <c r="LD41" s="62"/>
      <c r="LE41" s="63"/>
      <c r="LF41" s="62"/>
      <c r="LG41" s="63"/>
      <c r="LH41" s="62"/>
      <c r="LI41" s="63"/>
      <c r="LJ41" s="62"/>
      <c r="LK41" s="63"/>
      <c r="LL41" s="62"/>
      <c r="LM41" s="63"/>
      <c r="LN41" s="62"/>
      <c r="LO41" s="63"/>
      <c r="LP41" s="62"/>
      <c r="LQ41" s="63"/>
      <c r="LR41" s="62"/>
      <c r="LS41" s="63"/>
      <c r="LT41" s="62"/>
      <c r="LU41" s="63"/>
      <c r="LV41" s="62"/>
      <c r="LW41" s="63"/>
      <c r="LX41" s="62"/>
      <c r="LY41" s="63"/>
      <c r="LZ41" s="62"/>
      <c r="MA41" s="63"/>
      <c r="MB41" s="62"/>
      <c r="MC41" s="63"/>
      <c r="MD41" s="62"/>
      <c r="ME41" s="63"/>
      <c r="MF41" s="62"/>
      <c r="MG41" s="63"/>
      <c r="MH41" s="62"/>
      <c r="MI41" s="63"/>
      <c r="MJ41" s="62"/>
      <c r="MK41" s="63"/>
      <c r="ML41" s="62"/>
      <c r="MM41" s="63"/>
      <c r="MN41" s="62"/>
      <c r="MO41" s="63"/>
      <c r="MP41" s="62"/>
      <c r="MQ41" s="63"/>
      <c r="MR41" s="62"/>
      <c r="MS41" s="63"/>
      <c r="MT41" s="62"/>
      <c r="MU41" s="63"/>
      <c r="MV41" s="62"/>
      <c r="MW41" s="63"/>
      <c r="MX41" s="62"/>
      <c r="MY41" s="63"/>
      <c r="MZ41" s="62"/>
      <c r="NA41" s="63"/>
      <c r="NB41" s="62"/>
      <c r="NC41" s="63"/>
      <c r="ND41" s="62"/>
      <c r="NE41" s="63"/>
      <c r="NF41" s="62"/>
      <c r="NG41" s="63"/>
      <c r="NH41" s="62"/>
      <c r="NI41" s="63"/>
      <c r="NJ41" s="62"/>
      <c r="NK41" s="63"/>
      <c r="NL41" s="62"/>
      <c r="NM41" s="63"/>
      <c r="NN41" s="62"/>
      <c r="NO41" s="63"/>
      <c r="NP41" s="62"/>
      <c r="NQ41" s="63"/>
      <c r="NR41" s="62"/>
      <c r="NS41" s="63"/>
      <c r="NT41" s="62"/>
      <c r="NU41" s="63"/>
      <c r="NV41" s="62"/>
      <c r="NW41" s="63"/>
      <c r="NX41" s="62"/>
      <c r="NY41" s="63"/>
      <c r="NZ41" s="62"/>
      <c r="OA41" s="63"/>
      <c r="OB41" s="62"/>
      <c r="OC41" s="63"/>
      <c r="OD41" s="62"/>
      <c r="OE41" s="63"/>
      <c r="OF41" s="62"/>
      <c r="OG41" s="63"/>
      <c r="OH41" s="62"/>
      <c r="OI41" s="63"/>
      <c r="OJ41" s="62"/>
      <c r="OK41" s="63"/>
      <c r="OL41" s="62"/>
      <c r="OM41" s="63"/>
      <c r="ON41" s="62"/>
      <c r="OO41" s="63"/>
      <c r="OP41" s="62"/>
      <c r="OQ41" s="63"/>
      <c r="OR41" s="62"/>
      <c r="OS41" s="63"/>
      <c r="OT41" s="62"/>
      <c r="OU41" s="63"/>
      <c r="OV41" s="62"/>
      <c r="OW41" s="63"/>
      <c r="OX41" s="62"/>
      <c r="OY41" s="63"/>
      <c r="OZ41" s="62"/>
      <c r="PA41" s="63"/>
      <c r="PB41" s="62"/>
      <c r="PC41" s="63"/>
      <c r="PD41" s="62"/>
      <c r="PE41" s="63"/>
      <c r="PF41" s="62"/>
      <c r="PG41" s="63"/>
      <c r="PH41" s="62"/>
      <c r="PI41" s="63"/>
      <c r="PJ41" s="62"/>
      <c r="PK41" s="63"/>
      <c r="PL41" s="62"/>
      <c r="PM41" s="63"/>
      <c r="PN41" s="62"/>
      <c r="PO41" s="63"/>
      <c r="PP41" s="62"/>
      <c r="PQ41" s="63"/>
      <c r="PR41" s="62"/>
      <c r="PS41" s="63"/>
      <c r="PT41" s="62"/>
      <c r="PU41" s="63"/>
      <c r="PV41" s="62"/>
      <c r="PW41" s="63"/>
      <c r="PX41" s="62"/>
      <c r="PY41" s="63"/>
      <c r="PZ41" s="62"/>
      <c r="QA41" s="63"/>
      <c r="QB41" s="62"/>
      <c r="QC41" s="63"/>
      <c r="QD41" s="62"/>
      <c r="QE41" s="63"/>
      <c r="QF41" s="62"/>
      <c r="QG41" s="63"/>
      <c r="QH41" s="62"/>
      <c r="QI41" s="63"/>
      <c r="QJ41" s="62"/>
      <c r="QK41" s="63"/>
      <c r="QL41" s="62"/>
      <c r="QM41" s="63"/>
      <c r="QN41" s="62"/>
      <c r="QO41" s="63"/>
      <c r="QP41" s="62"/>
      <c r="QQ41" s="63"/>
      <c r="QR41" s="62"/>
      <c r="QS41" s="63"/>
      <c r="QT41" s="62"/>
      <c r="QU41" s="63"/>
      <c r="QV41" s="62"/>
      <c r="QW41" s="63"/>
      <c r="QX41" s="62"/>
      <c r="QY41" s="63"/>
      <c r="QZ41" s="62"/>
      <c r="RA41" s="63"/>
      <c r="RB41" s="62"/>
      <c r="RC41" s="63"/>
      <c r="RD41" s="31"/>
    </row>
    <row r="42" spans="1:472" s="5" customFormat="1" ht="15" hidden="1" customHeight="1" x14ac:dyDescent="0.25">
      <c r="A42" s="5">
        <v>2031</v>
      </c>
      <c r="B42" s="5" t="s">
        <v>177</v>
      </c>
      <c r="C42" s="5" t="s">
        <v>4</v>
      </c>
      <c r="D42" s="5">
        <v>398</v>
      </c>
      <c r="E42" s="36">
        <v>42598</v>
      </c>
      <c r="F42" s="5" t="s">
        <v>468</v>
      </c>
      <c r="H42" s="5" t="s">
        <v>180</v>
      </c>
      <c r="I42" s="62"/>
      <c r="J42" s="63"/>
      <c r="K42" s="62"/>
      <c r="L42" s="63"/>
      <c r="M42" s="62"/>
      <c r="N42" s="63"/>
      <c r="O42" s="62"/>
      <c r="P42" s="63"/>
      <c r="Q42" s="62"/>
      <c r="R42" s="63"/>
      <c r="S42" s="62"/>
      <c r="T42" s="63"/>
      <c r="X42" s="62"/>
      <c r="Y42" s="63"/>
      <c r="Z42" s="62"/>
      <c r="AA42" s="63"/>
      <c r="AB42" s="62"/>
      <c r="AC42" s="63"/>
      <c r="AD42" s="62"/>
      <c r="AE42" s="63"/>
      <c r="AF42" s="62"/>
      <c r="AG42" s="63"/>
      <c r="AH42" s="62"/>
      <c r="AI42" s="63"/>
      <c r="AJ42" s="62"/>
      <c r="AK42" s="63"/>
      <c r="AL42" s="62"/>
      <c r="AM42" s="63"/>
      <c r="AN42" s="62"/>
      <c r="AO42" s="63"/>
      <c r="AP42" s="62"/>
      <c r="AQ42" s="63"/>
      <c r="AR42" s="62"/>
      <c r="AS42" s="63"/>
      <c r="AT42" s="62"/>
      <c r="AU42" s="63"/>
      <c r="AV42" s="62"/>
      <c r="AW42" s="63"/>
      <c r="AX42" s="62"/>
      <c r="AY42" s="63"/>
      <c r="AZ42" s="62"/>
      <c r="BA42" s="63"/>
      <c r="BB42" s="18"/>
      <c r="BC42" s="32" t="s">
        <v>66</v>
      </c>
      <c r="BD42" s="62"/>
      <c r="BE42" s="63"/>
      <c r="BF42" s="62" t="s">
        <v>66</v>
      </c>
      <c r="BG42" s="63"/>
      <c r="BH42" s="62" t="s">
        <v>66</v>
      </c>
      <c r="BI42" s="63"/>
      <c r="BJ42" s="31" t="s">
        <v>66</v>
      </c>
      <c r="BK42" s="32" t="s">
        <v>36</v>
      </c>
      <c r="BL42" s="62" t="s">
        <v>36</v>
      </c>
      <c r="BM42" s="63"/>
      <c r="BN42" s="62" t="s">
        <v>36</v>
      </c>
      <c r="BO42" s="63"/>
      <c r="BP42" s="62" t="s">
        <v>36</v>
      </c>
      <c r="BQ42" s="63"/>
      <c r="BR42" s="62" t="s">
        <v>36</v>
      </c>
      <c r="BS42" s="63"/>
      <c r="BT42" s="62" t="s">
        <v>36</v>
      </c>
      <c r="BU42" s="63"/>
      <c r="BV42" s="62" t="s">
        <v>36</v>
      </c>
      <c r="BW42" s="63"/>
      <c r="BX42" s="62" t="s">
        <v>36</v>
      </c>
      <c r="BY42" s="63"/>
      <c r="BZ42" s="62" t="s">
        <v>36</v>
      </c>
      <c r="CA42" s="63"/>
      <c r="CB42" s="62" t="s">
        <v>36</v>
      </c>
      <c r="CC42" s="63"/>
      <c r="CD42" s="62" t="s">
        <v>36</v>
      </c>
      <c r="CE42" s="63"/>
      <c r="CF42" s="62" t="s">
        <v>36</v>
      </c>
      <c r="CG42" s="63"/>
      <c r="CH42" s="62" t="s">
        <v>36</v>
      </c>
      <c r="CI42" s="63"/>
      <c r="CJ42" s="62" t="s">
        <v>36</v>
      </c>
      <c r="CK42" s="63"/>
      <c r="CL42" s="62" t="s">
        <v>36</v>
      </c>
      <c r="CM42" s="63"/>
      <c r="CN42" s="62" t="s">
        <v>36</v>
      </c>
      <c r="CO42" s="63"/>
      <c r="CP42" s="62" t="s">
        <v>36</v>
      </c>
      <c r="CQ42" s="63"/>
      <c r="CR42" s="62" t="s">
        <v>36</v>
      </c>
      <c r="CS42" s="63"/>
      <c r="CT42" s="62" t="s">
        <v>36</v>
      </c>
      <c r="CU42" s="63"/>
      <c r="CV42" s="62" t="s">
        <v>310</v>
      </c>
      <c r="CW42" s="63"/>
      <c r="CX42" s="62" t="s">
        <v>37</v>
      </c>
      <c r="CY42" s="63"/>
      <c r="CZ42" s="62" t="s">
        <v>37</v>
      </c>
      <c r="DA42" s="63"/>
      <c r="DB42" s="62" t="s">
        <v>37</v>
      </c>
      <c r="DC42" s="63"/>
      <c r="DD42" s="62" t="s">
        <v>37</v>
      </c>
      <c r="DE42" s="63"/>
      <c r="DF42" s="62" t="s">
        <v>37</v>
      </c>
      <c r="DG42" s="63"/>
      <c r="DH42" s="62" t="s">
        <v>37</v>
      </c>
      <c r="DI42" s="63"/>
      <c r="DJ42" s="62" t="s">
        <v>37</v>
      </c>
      <c r="DK42" s="63"/>
      <c r="DL42" s="62" t="s">
        <v>37</v>
      </c>
      <c r="DM42" s="63"/>
      <c r="DN42" s="62"/>
      <c r="DO42" s="63"/>
      <c r="DP42" s="62"/>
      <c r="DQ42" s="63"/>
      <c r="DR42" s="62"/>
      <c r="DS42" s="63"/>
      <c r="DT42" s="62"/>
      <c r="DU42" s="63"/>
      <c r="DV42" s="62"/>
      <c r="DW42" s="63"/>
      <c r="DX42" s="62"/>
      <c r="DY42" s="63"/>
      <c r="DZ42" s="62"/>
      <c r="EA42" s="63"/>
      <c r="EB42" s="62"/>
      <c r="EC42" s="63"/>
      <c r="ED42" s="62"/>
      <c r="EE42" s="63"/>
      <c r="EF42" s="62"/>
      <c r="EG42" s="63"/>
      <c r="EH42" s="62"/>
      <c r="EI42" s="63"/>
      <c r="EJ42" s="62"/>
      <c r="EK42" s="63"/>
      <c r="EL42" s="62"/>
      <c r="EM42" s="63"/>
      <c r="EN42" s="62"/>
      <c r="EO42" s="63"/>
      <c r="EP42" s="62"/>
      <c r="EQ42" s="63"/>
      <c r="ER42" s="62"/>
      <c r="ES42" s="63"/>
      <c r="ET42" s="62"/>
      <c r="EU42" s="63"/>
      <c r="EV42" s="62"/>
      <c r="EW42" s="63"/>
      <c r="EX42" s="62"/>
      <c r="EY42" s="63"/>
      <c r="EZ42" s="62"/>
      <c r="FA42" s="63"/>
      <c r="FB42" s="62"/>
      <c r="FC42" s="63"/>
      <c r="FD42" s="62"/>
      <c r="FE42" s="63"/>
      <c r="FF42" s="62"/>
      <c r="FG42" s="63"/>
      <c r="FH42" s="62"/>
      <c r="FI42" s="63"/>
      <c r="FJ42" s="62"/>
      <c r="FK42" s="63"/>
      <c r="FL42" s="62"/>
      <c r="FM42" s="63"/>
      <c r="FN42" s="62"/>
      <c r="FO42" s="63"/>
      <c r="FP42" s="62"/>
      <c r="FQ42" s="63"/>
      <c r="FR42" s="62"/>
      <c r="FS42" s="63"/>
      <c r="FT42" s="62"/>
      <c r="FU42" s="63"/>
      <c r="FV42" s="62"/>
      <c r="FW42" s="63"/>
      <c r="FX42" s="62"/>
      <c r="FY42" s="63"/>
      <c r="FZ42" s="62"/>
      <c r="GA42" s="63"/>
      <c r="GB42" s="62"/>
      <c r="GC42" s="63"/>
      <c r="GD42" s="62"/>
      <c r="GE42" s="63"/>
      <c r="GF42" s="62"/>
      <c r="GG42" s="63"/>
      <c r="GH42" s="62"/>
      <c r="GI42" s="63"/>
      <c r="GJ42" s="62"/>
      <c r="GK42" s="63"/>
      <c r="GL42" s="62"/>
      <c r="GM42" s="63"/>
      <c r="GN42" s="62"/>
      <c r="GO42" s="63"/>
      <c r="GP42" s="62"/>
      <c r="GQ42" s="63"/>
      <c r="GR42" s="62"/>
      <c r="GS42" s="63"/>
      <c r="GT42" s="62"/>
      <c r="GU42" s="63"/>
      <c r="GV42" s="62"/>
      <c r="GW42" s="63"/>
      <c r="GX42" s="62"/>
      <c r="GY42" s="63"/>
      <c r="GZ42" s="62"/>
      <c r="HA42" s="63"/>
      <c r="HB42" s="62"/>
      <c r="HC42" s="63"/>
      <c r="HD42" s="62"/>
      <c r="HE42" s="63"/>
      <c r="HF42" s="62"/>
      <c r="HG42" s="63"/>
      <c r="HH42" s="62"/>
      <c r="HI42" s="63"/>
      <c r="HJ42" s="62"/>
      <c r="HK42" s="63"/>
      <c r="HL42" s="62"/>
      <c r="HM42" s="63"/>
      <c r="HN42" s="62"/>
      <c r="HO42" s="63"/>
      <c r="HP42" s="62"/>
      <c r="HQ42" s="63"/>
      <c r="HR42" s="62"/>
      <c r="HS42" s="63"/>
      <c r="HT42" s="62"/>
      <c r="HU42" s="63"/>
      <c r="HV42" s="62"/>
      <c r="HW42" s="63"/>
      <c r="HX42" s="62"/>
      <c r="HY42" s="63"/>
      <c r="HZ42" s="62"/>
      <c r="IA42" s="63"/>
      <c r="IB42" s="62"/>
      <c r="IC42" s="63"/>
      <c r="ID42" s="62"/>
      <c r="IE42" s="63"/>
      <c r="IF42" s="62"/>
      <c r="IG42" s="63"/>
      <c r="IH42" s="62"/>
      <c r="II42" s="63"/>
      <c r="IJ42" s="62"/>
      <c r="IK42" s="63"/>
      <c r="IL42" s="62"/>
      <c r="IM42" s="63"/>
      <c r="IN42" s="62"/>
      <c r="IO42" s="63"/>
      <c r="IP42" s="62"/>
      <c r="IQ42" s="63"/>
      <c r="IR42" s="62"/>
      <c r="IS42" s="63"/>
      <c r="IT42" s="62"/>
      <c r="IU42" s="63"/>
      <c r="IV42" s="62"/>
      <c r="IW42" s="63"/>
      <c r="IX42" s="62"/>
      <c r="IY42" s="63"/>
      <c r="IZ42" s="62"/>
      <c r="JA42" s="63"/>
      <c r="JB42" s="62"/>
      <c r="JC42" s="63"/>
      <c r="JD42" s="62"/>
      <c r="JE42" s="63"/>
      <c r="JF42" s="62"/>
      <c r="JG42" s="63"/>
      <c r="JH42" s="62"/>
      <c r="JI42" s="63"/>
      <c r="JJ42" s="62"/>
      <c r="JK42" s="63"/>
      <c r="JL42" s="62"/>
      <c r="JM42" s="63"/>
      <c r="JN42" s="62"/>
      <c r="JO42" s="63"/>
      <c r="JP42" s="62"/>
      <c r="JQ42" s="63"/>
      <c r="JR42" s="62"/>
      <c r="JS42" s="63"/>
      <c r="JT42" s="62"/>
      <c r="JU42" s="63"/>
      <c r="JV42" s="62"/>
      <c r="JW42" s="63"/>
      <c r="JX42" s="62"/>
      <c r="JY42" s="63"/>
      <c r="JZ42" s="62"/>
      <c r="KA42" s="63"/>
      <c r="KB42" s="62"/>
      <c r="KC42" s="63"/>
      <c r="KD42" s="62"/>
      <c r="KE42" s="63"/>
      <c r="KF42" s="62"/>
      <c r="KG42" s="63"/>
      <c r="KH42" s="62"/>
      <c r="KI42" s="63"/>
      <c r="KJ42" s="62"/>
      <c r="KK42" s="63"/>
      <c r="KL42" s="62"/>
      <c r="KM42" s="63"/>
      <c r="KN42" s="62"/>
      <c r="KO42" s="63"/>
      <c r="KP42" s="62"/>
      <c r="KQ42" s="63"/>
      <c r="KR42" s="62"/>
      <c r="KS42" s="63"/>
      <c r="KT42" s="62"/>
      <c r="KU42" s="63"/>
      <c r="KV42" s="62"/>
      <c r="KW42" s="63"/>
      <c r="KX42" s="62"/>
      <c r="KY42" s="63"/>
      <c r="KZ42" s="62"/>
      <c r="LA42" s="63"/>
      <c r="LB42" s="62"/>
      <c r="LC42" s="63"/>
      <c r="LD42" s="62"/>
      <c r="LE42" s="63"/>
      <c r="LF42" s="62"/>
      <c r="LG42" s="63"/>
      <c r="LH42" s="62"/>
      <c r="LI42" s="63"/>
      <c r="LJ42" s="62"/>
      <c r="LK42" s="63"/>
      <c r="LL42" s="62"/>
      <c r="LM42" s="63"/>
      <c r="LN42" s="62"/>
      <c r="LO42" s="63"/>
      <c r="LP42" s="62"/>
      <c r="LQ42" s="63"/>
      <c r="LR42" s="62"/>
      <c r="LS42" s="63"/>
      <c r="LT42" s="62"/>
      <c r="LU42" s="63"/>
      <c r="LV42" s="62"/>
      <c r="LW42" s="63"/>
      <c r="LX42" s="62"/>
      <c r="LY42" s="63"/>
      <c r="LZ42" s="62"/>
      <c r="MA42" s="63"/>
      <c r="MB42" s="62"/>
      <c r="MC42" s="63"/>
      <c r="MD42" s="62"/>
      <c r="ME42" s="63"/>
      <c r="MF42" s="62"/>
      <c r="MG42" s="63"/>
      <c r="MH42" s="62"/>
      <c r="MI42" s="63"/>
      <c r="MJ42" s="62"/>
      <c r="MK42" s="63"/>
      <c r="ML42" s="62"/>
      <c r="MM42" s="63"/>
      <c r="MN42" s="62"/>
      <c r="MO42" s="63"/>
      <c r="MP42" s="62"/>
      <c r="MQ42" s="63"/>
      <c r="MR42" s="62"/>
      <c r="MS42" s="63"/>
      <c r="MT42" s="62"/>
      <c r="MU42" s="63"/>
      <c r="MV42" s="62"/>
      <c r="MW42" s="63"/>
      <c r="MX42" s="62"/>
      <c r="MY42" s="63"/>
      <c r="MZ42" s="62"/>
      <c r="NA42" s="63"/>
      <c r="NB42" s="62"/>
      <c r="NC42" s="63"/>
      <c r="ND42" s="62"/>
      <c r="NE42" s="63"/>
      <c r="NF42" s="62"/>
      <c r="NG42" s="63"/>
      <c r="NH42" s="62"/>
      <c r="NI42" s="63"/>
      <c r="NJ42" s="62"/>
      <c r="NK42" s="63"/>
      <c r="NL42" s="62"/>
      <c r="NM42" s="63"/>
      <c r="NN42" s="62"/>
      <c r="NO42" s="63"/>
      <c r="NP42" s="62"/>
      <c r="NQ42" s="63"/>
      <c r="NR42" s="62"/>
      <c r="NS42" s="63"/>
      <c r="NT42" s="62"/>
      <c r="NU42" s="63"/>
      <c r="NV42" s="62"/>
      <c r="NW42" s="63"/>
      <c r="NX42" s="62"/>
      <c r="NY42" s="63"/>
      <c r="NZ42" s="62"/>
      <c r="OA42" s="63"/>
      <c r="OB42" s="62"/>
      <c r="OC42" s="63"/>
      <c r="OD42" s="62"/>
      <c r="OE42" s="63"/>
      <c r="OF42" s="62"/>
      <c r="OG42" s="63"/>
      <c r="OH42" s="62"/>
      <c r="OI42" s="63"/>
      <c r="OJ42" s="62"/>
      <c r="OK42" s="63"/>
      <c r="OL42" s="62"/>
      <c r="OM42" s="63"/>
      <c r="ON42" s="62"/>
      <c r="OO42" s="63"/>
      <c r="OP42" s="62"/>
      <c r="OQ42" s="63"/>
      <c r="OR42" s="62"/>
      <c r="OS42" s="63"/>
      <c r="OT42" s="62"/>
      <c r="OU42" s="63"/>
      <c r="OV42" s="62"/>
      <c r="OW42" s="63"/>
      <c r="OX42" s="62"/>
      <c r="OY42" s="63"/>
      <c r="OZ42" s="62"/>
      <c r="PA42" s="63"/>
      <c r="PB42" s="62"/>
      <c r="PC42" s="63"/>
      <c r="PD42" s="62"/>
      <c r="PE42" s="63"/>
      <c r="PF42" s="62"/>
      <c r="PG42" s="63"/>
      <c r="PH42" s="62"/>
      <c r="PI42" s="63"/>
      <c r="PJ42" s="62"/>
      <c r="PK42" s="63"/>
      <c r="PL42" s="62"/>
      <c r="PM42" s="63"/>
      <c r="PN42" s="62"/>
      <c r="PO42" s="63"/>
      <c r="PP42" s="62"/>
      <c r="PQ42" s="63"/>
      <c r="PR42" s="62"/>
      <c r="PS42" s="63"/>
      <c r="PT42" s="62"/>
      <c r="PU42" s="63"/>
      <c r="PV42" s="62"/>
      <c r="PW42" s="63"/>
      <c r="PX42" s="62"/>
      <c r="PY42" s="63"/>
      <c r="PZ42" s="62"/>
      <c r="QA42" s="63"/>
      <c r="QB42" s="62"/>
      <c r="QC42" s="63"/>
      <c r="QD42" s="62"/>
      <c r="QE42" s="63"/>
      <c r="QF42" s="62"/>
      <c r="QG42" s="63"/>
      <c r="QH42" s="62"/>
      <c r="QI42" s="63"/>
      <c r="QJ42" s="62"/>
      <c r="QK42" s="63"/>
      <c r="QL42" s="62"/>
      <c r="QM42" s="63"/>
      <c r="QN42" s="62"/>
      <c r="QO42" s="63"/>
      <c r="QP42" s="62"/>
      <c r="QQ42" s="63"/>
      <c r="QR42" s="62"/>
      <c r="QS42" s="63"/>
      <c r="QT42" s="62"/>
      <c r="QU42" s="63"/>
      <c r="QV42" s="62"/>
      <c r="QW42" s="63"/>
      <c r="QX42" s="62"/>
      <c r="QY42" s="63"/>
      <c r="QZ42" s="62"/>
      <c r="RA42" s="63"/>
      <c r="RB42" s="62"/>
      <c r="RC42" s="63"/>
      <c r="RD42" s="31"/>
    </row>
    <row r="43" spans="1:472" s="5" customFormat="1" ht="15" hidden="1" customHeight="1" x14ac:dyDescent="0.25">
      <c r="A43" s="5">
        <v>2046</v>
      </c>
      <c r="B43" s="5" t="s">
        <v>347</v>
      </c>
      <c r="C43" s="5" t="s">
        <v>237</v>
      </c>
      <c r="D43" s="5">
        <v>110</v>
      </c>
      <c r="E43" s="37" t="s">
        <v>378</v>
      </c>
      <c r="F43" s="5" t="s">
        <v>464</v>
      </c>
      <c r="I43" s="62"/>
      <c r="J43" s="63"/>
      <c r="K43" s="62"/>
      <c r="L43" s="63"/>
      <c r="M43" s="62"/>
      <c r="N43" s="63"/>
      <c r="O43" s="62"/>
      <c r="P43" s="63"/>
      <c r="Q43" s="62"/>
      <c r="R43" s="63"/>
      <c r="S43" s="62"/>
      <c r="T43" s="63"/>
      <c r="X43" s="62"/>
      <c r="Y43" s="63"/>
      <c r="Z43" s="62"/>
      <c r="AA43" s="63"/>
      <c r="AB43" s="62"/>
      <c r="AC43" s="63"/>
      <c r="AD43" s="62"/>
      <c r="AE43" s="63"/>
      <c r="AF43" s="62"/>
      <c r="AG43" s="63"/>
      <c r="AH43" s="62"/>
      <c r="AI43" s="63"/>
      <c r="AJ43" s="62"/>
      <c r="AK43" s="63"/>
      <c r="AL43" s="62"/>
      <c r="AM43" s="63"/>
      <c r="AN43" s="62"/>
      <c r="AO43" s="63"/>
      <c r="AP43" s="62"/>
      <c r="AQ43" s="63"/>
      <c r="AR43" s="62"/>
      <c r="AS43" s="63"/>
      <c r="AT43" s="62"/>
      <c r="AU43" s="63"/>
      <c r="AV43" s="62"/>
      <c r="AW43" s="63"/>
      <c r="AX43" s="62"/>
      <c r="AY43" s="63"/>
      <c r="AZ43" s="62"/>
      <c r="BA43" s="63"/>
      <c r="BB43" s="62"/>
      <c r="BC43" s="63"/>
      <c r="BD43" s="62"/>
      <c r="BE43" s="63"/>
      <c r="BF43" s="62"/>
      <c r="BG43" s="63"/>
      <c r="BH43" s="62"/>
      <c r="BI43" s="63"/>
      <c r="BJ43" s="62"/>
      <c r="BK43" s="63"/>
      <c r="BL43" s="62"/>
      <c r="BM43" s="63"/>
      <c r="BN43" s="62"/>
      <c r="BO43" s="63"/>
      <c r="BP43" s="62"/>
      <c r="BQ43" s="63"/>
      <c r="BR43" s="62"/>
      <c r="BS43" s="63"/>
      <c r="BT43" s="62"/>
      <c r="BU43" s="63"/>
      <c r="BV43" s="62"/>
      <c r="BW43" s="63"/>
      <c r="BX43" s="62"/>
      <c r="BY43" s="63"/>
      <c r="BZ43" s="62"/>
      <c r="CA43" s="63"/>
      <c r="CB43" s="62"/>
      <c r="CC43" s="63"/>
      <c r="CD43" s="62"/>
      <c r="CE43" s="63"/>
      <c r="CF43" s="62"/>
      <c r="CG43" s="63"/>
      <c r="CH43" s="39"/>
      <c r="CI43" s="39" t="s">
        <v>66</v>
      </c>
      <c r="CJ43" s="62" t="s">
        <v>66</v>
      </c>
      <c r="CK43" s="63"/>
      <c r="CL43" s="62" t="s">
        <v>38</v>
      </c>
      <c r="CM43" s="63"/>
      <c r="CN43" s="62" t="s">
        <v>38</v>
      </c>
      <c r="CO43" s="63"/>
      <c r="CP43" s="62" t="s">
        <v>38</v>
      </c>
      <c r="CQ43" s="63"/>
      <c r="CR43" s="62" t="s">
        <v>38</v>
      </c>
      <c r="CS43" s="63"/>
      <c r="CT43" s="62" t="s">
        <v>36</v>
      </c>
      <c r="CU43" s="63"/>
      <c r="CV43" s="62" t="s">
        <v>36</v>
      </c>
      <c r="CW43" s="63"/>
      <c r="CX43" s="62" t="s">
        <v>36</v>
      </c>
      <c r="CY43" s="63"/>
      <c r="CZ43" s="62" t="s">
        <v>36</v>
      </c>
      <c r="DA43" s="63"/>
      <c r="DB43" s="62" t="s">
        <v>36</v>
      </c>
      <c r="DC43" s="63"/>
      <c r="DD43" s="62" t="s">
        <v>36</v>
      </c>
      <c r="DE43" s="63"/>
      <c r="DF43" s="62" t="s">
        <v>310</v>
      </c>
      <c r="DG43" s="63"/>
      <c r="DH43" s="62" t="s">
        <v>37</v>
      </c>
      <c r="DI43" s="63"/>
      <c r="DJ43" s="62" t="s">
        <v>37</v>
      </c>
      <c r="DK43" s="63"/>
      <c r="DL43" s="62" t="s">
        <v>37</v>
      </c>
      <c r="DM43" s="63"/>
      <c r="DN43" s="31" t="s">
        <v>37</v>
      </c>
      <c r="DO43" s="19"/>
      <c r="DP43" s="62"/>
      <c r="DQ43" s="63"/>
      <c r="DR43" s="62"/>
      <c r="DS43" s="63"/>
      <c r="DT43" s="62"/>
      <c r="DU43" s="63"/>
      <c r="DV43" s="62"/>
      <c r="DW43" s="63"/>
      <c r="DX43" s="62"/>
      <c r="DY43" s="63"/>
      <c r="DZ43" s="62"/>
      <c r="EA43" s="63"/>
      <c r="EB43" s="62"/>
      <c r="EC43" s="63"/>
      <c r="ED43" s="62"/>
      <c r="EE43" s="63"/>
      <c r="EF43" s="62"/>
      <c r="EG43" s="63"/>
      <c r="EH43" s="62"/>
      <c r="EI43" s="63"/>
      <c r="EJ43" s="62"/>
      <c r="EK43" s="63"/>
      <c r="EL43" s="62"/>
      <c r="EM43" s="63"/>
      <c r="EN43" s="62"/>
      <c r="EO43" s="63"/>
      <c r="EP43" s="62"/>
      <c r="EQ43" s="63"/>
      <c r="ER43" s="62"/>
      <c r="ES43" s="63"/>
      <c r="ET43" s="62"/>
      <c r="EU43" s="63"/>
      <c r="EV43" s="62"/>
      <c r="EW43" s="63"/>
      <c r="EX43" s="62"/>
      <c r="EY43" s="63"/>
      <c r="EZ43" s="62"/>
      <c r="FA43" s="63"/>
      <c r="FB43" s="62"/>
      <c r="FC43" s="63"/>
      <c r="FD43" s="62"/>
      <c r="FE43" s="63"/>
      <c r="FF43" s="62"/>
      <c r="FG43" s="63"/>
      <c r="FH43" s="62"/>
      <c r="FI43" s="63"/>
      <c r="FJ43" s="62"/>
      <c r="FK43" s="63"/>
      <c r="FL43" s="62"/>
      <c r="FM43" s="63"/>
      <c r="FN43" s="62"/>
      <c r="FO43" s="63"/>
      <c r="FP43" s="62"/>
      <c r="FQ43" s="63"/>
      <c r="FR43" s="62"/>
      <c r="FS43" s="63"/>
      <c r="FT43" s="62"/>
      <c r="FU43" s="63"/>
      <c r="FV43" s="62"/>
      <c r="FW43" s="63"/>
      <c r="FX43" s="62"/>
      <c r="FY43" s="63"/>
      <c r="FZ43" s="62"/>
      <c r="GA43" s="63"/>
      <c r="GB43" s="62"/>
      <c r="GC43" s="63"/>
      <c r="GD43" s="62"/>
      <c r="GE43" s="63"/>
      <c r="GF43" s="62"/>
      <c r="GG43" s="63"/>
      <c r="GH43" s="62"/>
      <c r="GI43" s="63"/>
      <c r="GJ43" s="62"/>
      <c r="GK43" s="63"/>
      <c r="GL43" s="62"/>
      <c r="GM43" s="63"/>
      <c r="GN43" s="62"/>
      <c r="GO43" s="63"/>
      <c r="GP43" s="62"/>
      <c r="GQ43" s="63"/>
      <c r="GR43" s="62"/>
      <c r="GS43" s="63"/>
      <c r="GT43" s="62"/>
      <c r="GU43" s="63"/>
      <c r="GV43" s="62"/>
      <c r="GW43" s="63"/>
      <c r="GX43" s="62"/>
      <c r="GY43" s="63"/>
      <c r="GZ43" s="62"/>
      <c r="HA43" s="63"/>
      <c r="HB43" s="62"/>
      <c r="HC43" s="63"/>
      <c r="HD43" s="62"/>
      <c r="HE43" s="63"/>
      <c r="HF43" s="62"/>
      <c r="HG43" s="63"/>
      <c r="HH43" s="62"/>
      <c r="HI43" s="63"/>
      <c r="HJ43" s="62"/>
      <c r="HK43" s="63"/>
      <c r="HL43" s="62"/>
      <c r="HM43" s="63"/>
      <c r="HN43" s="62"/>
      <c r="HO43" s="63"/>
      <c r="HP43" s="62"/>
      <c r="HQ43" s="63"/>
      <c r="HR43" s="62"/>
      <c r="HS43" s="63"/>
      <c r="HT43" s="62"/>
      <c r="HU43" s="63"/>
      <c r="HV43" s="62"/>
      <c r="HW43" s="63"/>
      <c r="HX43" s="62"/>
      <c r="HY43" s="63"/>
      <c r="HZ43" s="62"/>
      <c r="IA43" s="63"/>
      <c r="IB43" s="62"/>
      <c r="IC43" s="63"/>
      <c r="ID43" s="62"/>
      <c r="IE43" s="63"/>
      <c r="IF43" s="62"/>
      <c r="IG43" s="63"/>
      <c r="IH43" s="62"/>
      <c r="II43" s="63"/>
      <c r="IJ43" s="62"/>
      <c r="IK43" s="63"/>
      <c r="IL43" s="62"/>
      <c r="IM43" s="63"/>
      <c r="IN43" s="62"/>
      <c r="IO43" s="63"/>
      <c r="IP43" s="62"/>
      <c r="IQ43" s="63"/>
      <c r="IR43" s="62"/>
      <c r="IS43" s="63"/>
      <c r="IT43" s="62"/>
      <c r="IU43" s="63"/>
      <c r="IV43" s="62"/>
      <c r="IW43" s="63"/>
      <c r="IX43" s="62"/>
      <c r="IY43" s="63"/>
      <c r="IZ43" s="62"/>
      <c r="JA43" s="63"/>
      <c r="JB43" s="62"/>
      <c r="JC43" s="63"/>
      <c r="JD43" s="62"/>
      <c r="JE43" s="63"/>
      <c r="JF43" s="62"/>
      <c r="JG43" s="63"/>
      <c r="JH43" s="62"/>
      <c r="JI43" s="63"/>
      <c r="JJ43" s="62"/>
      <c r="JK43" s="63"/>
      <c r="JL43" s="62"/>
      <c r="JM43" s="63"/>
      <c r="JN43" s="62"/>
      <c r="JO43" s="63"/>
      <c r="JP43" s="62"/>
      <c r="JQ43" s="63"/>
      <c r="JR43" s="62"/>
      <c r="JS43" s="63"/>
      <c r="JT43" s="62"/>
      <c r="JU43" s="63"/>
      <c r="JV43" s="62"/>
      <c r="JW43" s="63"/>
      <c r="JX43" s="62"/>
      <c r="JY43" s="63"/>
      <c r="JZ43" s="62"/>
      <c r="KA43" s="63"/>
      <c r="KB43" s="62"/>
      <c r="KC43" s="63"/>
      <c r="KD43" s="62"/>
      <c r="KE43" s="63"/>
      <c r="KF43" s="62"/>
      <c r="KG43" s="63"/>
      <c r="KH43" s="62"/>
      <c r="KI43" s="63"/>
      <c r="KJ43" s="62"/>
      <c r="KK43" s="63"/>
      <c r="KL43" s="62"/>
      <c r="KM43" s="63"/>
      <c r="KN43" s="62"/>
      <c r="KO43" s="63"/>
      <c r="KP43" s="62"/>
      <c r="KQ43" s="63"/>
      <c r="KR43" s="62"/>
      <c r="KS43" s="63"/>
      <c r="KT43" s="62"/>
      <c r="KU43" s="63"/>
      <c r="KV43" s="62"/>
      <c r="KW43" s="63"/>
      <c r="KX43" s="62"/>
      <c r="KY43" s="63"/>
      <c r="KZ43" s="62"/>
      <c r="LA43" s="63"/>
      <c r="LB43" s="62"/>
      <c r="LC43" s="63"/>
      <c r="LD43" s="62"/>
      <c r="LE43" s="63"/>
      <c r="LF43" s="62"/>
      <c r="LG43" s="63"/>
      <c r="LH43" s="62"/>
      <c r="LI43" s="63"/>
      <c r="LJ43" s="62"/>
      <c r="LK43" s="63"/>
      <c r="LL43" s="62"/>
      <c r="LM43" s="63"/>
      <c r="LN43" s="62"/>
      <c r="LO43" s="63"/>
      <c r="LP43" s="62"/>
      <c r="LQ43" s="63"/>
      <c r="LR43" s="62"/>
      <c r="LS43" s="63"/>
      <c r="LT43" s="62"/>
      <c r="LU43" s="63"/>
      <c r="LV43" s="62"/>
      <c r="LW43" s="63"/>
      <c r="LX43" s="62"/>
      <c r="LY43" s="63"/>
      <c r="LZ43" s="62"/>
      <c r="MA43" s="63"/>
      <c r="MB43" s="62"/>
      <c r="MC43" s="63"/>
      <c r="MD43" s="62"/>
      <c r="ME43" s="63"/>
      <c r="MF43" s="62"/>
      <c r="MG43" s="63"/>
      <c r="MH43" s="62"/>
      <c r="MI43" s="63"/>
      <c r="MJ43" s="62"/>
      <c r="MK43" s="63"/>
      <c r="ML43" s="62"/>
      <c r="MM43" s="63"/>
      <c r="MN43" s="62"/>
      <c r="MO43" s="63"/>
      <c r="MP43" s="62"/>
      <c r="MQ43" s="63"/>
      <c r="MR43" s="62"/>
      <c r="MS43" s="63"/>
      <c r="MT43" s="62"/>
      <c r="MU43" s="63"/>
      <c r="MV43" s="62"/>
      <c r="MW43" s="63"/>
      <c r="MX43" s="62"/>
      <c r="MY43" s="63"/>
      <c r="MZ43" s="62"/>
      <c r="NA43" s="63"/>
      <c r="NB43" s="62"/>
      <c r="NC43" s="63"/>
      <c r="ND43" s="62"/>
      <c r="NE43" s="63"/>
      <c r="NF43" s="62"/>
      <c r="NG43" s="63"/>
      <c r="NH43" s="62"/>
      <c r="NI43" s="63"/>
      <c r="NJ43" s="62"/>
      <c r="NK43" s="63"/>
      <c r="NL43" s="62"/>
      <c r="NM43" s="63"/>
      <c r="NN43" s="62"/>
      <c r="NO43" s="63"/>
      <c r="NP43" s="62"/>
      <c r="NQ43" s="63"/>
      <c r="NR43" s="62"/>
      <c r="NS43" s="63"/>
      <c r="NT43" s="62"/>
      <c r="NU43" s="63"/>
      <c r="NV43" s="62"/>
      <c r="NW43" s="63"/>
      <c r="NX43" s="62"/>
      <c r="NY43" s="63"/>
      <c r="NZ43" s="62"/>
      <c r="OA43" s="63"/>
      <c r="OB43" s="62"/>
      <c r="OC43" s="63"/>
      <c r="OD43" s="62"/>
      <c r="OE43" s="63"/>
      <c r="OF43" s="62"/>
      <c r="OG43" s="63"/>
      <c r="OH43" s="62"/>
      <c r="OI43" s="63"/>
      <c r="OJ43" s="62"/>
      <c r="OK43" s="63"/>
      <c r="OL43" s="62"/>
      <c r="OM43" s="63"/>
      <c r="ON43" s="62"/>
      <c r="OO43" s="63"/>
      <c r="OP43" s="62"/>
      <c r="OQ43" s="63"/>
      <c r="OR43" s="62"/>
      <c r="OS43" s="63"/>
      <c r="OT43" s="62"/>
      <c r="OU43" s="63"/>
      <c r="OV43" s="62"/>
      <c r="OW43" s="63"/>
      <c r="OX43" s="62"/>
      <c r="OY43" s="63"/>
      <c r="OZ43" s="62"/>
      <c r="PA43" s="63"/>
      <c r="PB43" s="62"/>
      <c r="PC43" s="63"/>
      <c r="PD43" s="62"/>
      <c r="PE43" s="63"/>
      <c r="PF43" s="62"/>
      <c r="PG43" s="63"/>
      <c r="PH43" s="62"/>
      <c r="PI43" s="63"/>
      <c r="PJ43" s="62"/>
      <c r="PK43" s="63"/>
      <c r="PL43" s="62"/>
      <c r="PM43" s="63"/>
      <c r="PN43" s="62"/>
      <c r="PO43" s="63"/>
      <c r="PP43" s="62"/>
      <c r="PQ43" s="63"/>
      <c r="PR43" s="62"/>
      <c r="PS43" s="63"/>
      <c r="PT43" s="62"/>
      <c r="PU43" s="63"/>
      <c r="PV43" s="62"/>
      <c r="PW43" s="63"/>
      <c r="PX43" s="62"/>
      <c r="PY43" s="63"/>
      <c r="PZ43" s="62"/>
      <c r="QA43" s="63"/>
      <c r="QB43" s="62"/>
      <c r="QC43" s="63"/>
      <c r="QD43" s="62"/>
      <c r="QE43" s="63"/>
      <c r="QF43" s="62"/>
      <c r="QG43" s="63"/>
      <c r="QH43" s="62"/>
      <c r="QI43" s="63"/>
      <c r="QJ43" s="62"/>
      <c r="QK43" s="63"/>
      <c r="QL43" s="62"/>
      <c r="QM43" s="63"/>
      <c r="QN43" s="62"/>
      <c r="QO43" s="63"/>
      <c r="QP43" s="62"/>
      <c r="QQ43" s="63"/>
      <c r="QR43" s="62"/>
      <c r="QS43" s="63"/>
      <c r="QT43" s="62"/>
      <c r="QU43" s="63"/>
      <c r="QV43" s="62"/>
      <c r="QW43" s="63"/>
      <c r="QX43" s="62"/>
      <c r="QY43" s="63"/>
      <c r="QZ43" s="62"/>
      <c r="RA43" s="63"/>
      <c r="RB43" s="62"/>
      <c r="RC43" s="63"/>
      <c r="RD43" s="31"/>
    </row>
    <row r="44" spans="1:472" s="5" customFormat="1" ht="15" hidden="1" customHeight="1" x14ac:dyDescent="0.25">
      <c r="A44" s="5">
        <v>2050</v>
      </c>
      <c r="B44" s="5" t="s">
        <v>417</v>
      </c>
      <c r="C44" s="5" t="s">
        <v>230</v>
      </c>
      <c r="D44" s="5">
        <v>50</v>
      </c>
      <c r="E44" s="36" t="s">
        <v>434</v>
      </c>
      <c r="F44" s="5" t="s">
        <v>465</v>
      </c>
      <c r="I44" s="62"/>
      <c r="J44" s="63"/>
      <c r="K44" s="62"/>
      <c r="L44" s="63"/>
      <c r="M44" s="62"/>
      <c r="N44" s="63"/>
      <c r="O44" s="62"/>
      <c r="P44" s="63"/>
      <c r="Q44" s="62"/>
      <c r="R44" s="63"/>
      <c r="S44" s="62"/>
      <c r="T44" s="63"/>
      <c r="X44" s="62"/>
      <c r="Y44" s="63"/>
      <c r="Z44" s="62"/>
      <c r="AA44" s="63"/>
      <c r="AB44" s="62"/>
      <c r="AC44" s="63"/>
      <c r="AD44" s="62"/>
      <c r="AE44" s="63"/>
      <c r="AF44" s="62"/>
      <c r="AG44" s="63"/>
      <c r="AH44" s="62"/>
      <c r="AI44" s="63"/>
      <c r="AJ44" s="62"/>
      <c r="AK44" s="63"/>
      <c r="AL44" s="62"/>
      <c r="AM44" s="63"/>
      <c r="AN44" s="62"/>
      <c r="AO44" s="63"/>
      <c r="AP44" s="62"/>
      <c r="AQ44" s="63"/>
      <c r="AR44" s="62"/>
      <c r="AS44" s="63"/>
      <c r="AT44" s="62"/>
      <c r="AU44" s="63"/>
      <c r="AV44" s="62"/>
      <c r="AW44" s="63"/>
      <c r="AX44" s="62"/>
      <c r="AY44" s="63"/>
      <c r="AZ44" s="62"/>
      <c r="BA44" s="63"/>
      <c r="BB44" s="62"/>
      <c r="BC44" s="63"/>
      <c r="BD44" s="62"/>
      <c r="BE44" s="63"/>
      <c r="BF44" s="62"/>
      <c r="BG44" s="63"/>
      <c r="BH44" s="62"/>
      <c r="BI44" s="63"/>
      <c r="BJ44" s="62"/>
      <c r="BK44" s="63"/>
      <c r="BL44" s="62"/>
      <c r="BM44" s="63"/>
      <c r="BN44" s="62"/>
      <c r="BO44" s="63"/>
      <c r="BP44" s="62"/>
      <c r="BQ44" s="63"/>
      <c r="BR44" s="62"/>
      <c r="BS44" s="63"/>
      <c r="BT44" s="62"/>
      <c r="BU44" s="63"/>
      <c r="BV44" s="62"/>
      <c r="BW44" s="63"/>
      <c r="BX44" s="62"/>
      <c r="BY44" s="63"/>
      <c r="BZ44" s="62"/>
      <c r="CA44" s="63"/>
      <c r="CB44" s="62"/>
      <c r="CC44" s="63"/>
      <c r="CD44" s="62"/>
      <c r="CE44" s="63"/>
      <c r="CF44" s="62"/>
      <c r="CG44" s="63"/>
      <c r="CH44" s="62"/>
      <c r="CI44" s="63"/>
      <c r="CJ44" s="62"/>
      <c r="CK44" s="63"/>
      <c r="CL44" s="62" t="s">
        <v>66</v>
      </c>
      <c r="CM44" s="63"/>
      <c r="CN44" s="62" t="s">
        <v>66</v>
      </c>
      <c r="CO44" s="63"/>
      <c r="CP44" s="62" t="s">
        <v>38</v>
      </c>
      <c r="CQ44" s="63"/>
      <c r="CR44" s="62" t="s">
        <v>38</v>
      </c>
      <c r="CS44" s="63"/>
      <c r="CT44" s="62" t="s">
        <v>38</v>
      </c>
      <c r="CU44" s="63"/>
      <c r="CV44" s="62" t="s">
        <v>36</v>
      </c>
      <c r="CW44" s="63"/>
      <c r="CX44" s="62" t="s">
        <v>36</v>
      </c>
      <c r="CY44" s="63"/>
      <c r="CZ44" s="62" t="s">
        <v>36</v>
      </c>
      <c r="DA44" s="63"/>
      <c r="DB44" s="62" t="s">
        <v>36</v>
      </c>
      <c r="DC44" s="63"/>
      <c r="DD44" s="62" t="s">
        <v>36</v>
      </c>
      <c r="DE44" s="63"/>
      <c r="DF44" s="62" t="s">
        <v>310</v>
      </c>
      <c r="DG44" s="63"/>
      <c r="DH44" s="62" t="s">
        <v>37</v>
      </c>
      <c r="DI44" s="63"/>
      <c r="DJ44" s="62" t="s">
        <v>37</v>
      </c>
      <c r="DK44" s="63"/>
      <c r="DL44" s="62" t="s">
        <v>37</v>
      </c>
      <c r="DM44" s="63"/>
      <c r="DN44" s="62"/>
      <c r="DO44" s="63"/>
      <c r="DP44" s="62"/>
      <c r="DQ44" s="63"/>
      <c r="DR44" s="62"/>
      <c r="DS44" s="63"/>
      <c r="DT44" s="62"/>
      <c r="DU44" s="63"/>
      <c r="DV44" s="62"/>
      <c r="DW44" s="63"/>
      <c r="DX44" s="62"/>
      <c r="DY44" s="63"/>
      <c r="DZ44" s="62"/>
      <c r="EA44" s="63"/>
      <c r="EB44" s="62"/>
      <c r="EC44" s="63"/>
      <c r="ED44" s="62"/>
      <c r="EE44" s="63"/>
      <c r="EF44" s="62"/>
      <c r="EG44" s="63"/>
      <c r="EH44" s="62"/>
      <c r="EI44" s="63"/>
      <c r="EJ44" s="62"/>
      <c r="EK44" s="63"/>
      <c r="EL44" s="62"/>
      <c r="EM44" s="63"/>
      <c r="EN44" s="62"/>
      <c r="EO44" s="63"/>
      <c r="EP44" s="62"/>
      <c r="EQ44" s="63"/>
      <c r="ER44" s="62"/>
      <c r="ES44" s="63"/>
      <c r="ET44" s="62"/>
      <c r="EU44" s="63"/>
      <c r="EV44" s="62"/>
      <c r="EW44" s="63"/>
      <c r="EX44" s="62"/>
      <c r="EY44" s="63"/>
      <c r="EZ44" s="62"/>
      <c r="FA44" s="63"/>
      <c r="FB44" s="62"/>
      <c r="FC44" s="63"/>
      <c r="FD44" s="62"/>
      <c r="FE44" s="63"/>
      <c r="FF44" s="62"/>
      <c r="FG44" s="63"/>
      <c r="FH44" s="62"/>
      <c r="FI44" s="63"/>
      <c r="FJ44" s="62"/>
      <c r="FK44" s="63"/>
      <c r="FL44" s="62"/>
      <c r="FM44" s="63"/>
      <c r="FN44" s="62"/>
      <c r="FO44" s="63"/>
      <c r="FP44" s="62"/>
      <c r="FQ44" s="63"/>
      <c r="FR44" s="62"/>
      <c r="FS44" s="63"/>
      <c r="FT44" s="62"/>
      <c r="FU44" s="63"/>
      <c r="FV44" s="62"/>
      <c r="FW44" s="63"/>
      <c r="FX44" s="62"/>
      <c r="FY44" s="63"/>
      <c r="FZ44" s="62"/>
      <c r="GA44" s="63"/>
      <c r="GB44" s="62"/>
      <c r="GC44" s="63"/>
      <c r="GD44" s="62"/>
      <c r="GE44" s="63"/>
      <c r="GF44" s="62"/>
      <c r="GG44" s="63"/>
      <c r="GH44" s="62"/>
      <c r="GI44" s="63"/>
      <c r="GJ44" s="62"/>
      <c r="GK44" s="63"/>
      <c r="GL44" s="62"/>
      <c r="GM44" s="63"/>
      <c r="GN44" s="62"/>
      <c r="GO44" s="63"/>
      <c r="GP44" s="62"/>
      <c r="GQ44" s="63"/>
      <c r="GR44" s="62"/>
      <c r="GS44" s="63"/>
      <c r="GT44" s="62"/>
      <c r="GU44" s="63"/>
      <c r="GV44" s="62"/>
      <c r="GW44" s="63"/>
      <c r="GX44" s="62"/>
      <c r="GY44" s="63"/>
      <c r="GZ44" s="62"/>
      <c r="HA44" s="63"/>
      <c r="HB44" s="62"/>
      <c r="HC44" s="63"/>
      <c r="HD44" s="62"/>
      <c r="HE44" s="63"/>
      <c r="HF44" s="62"/>
      <c r="HG44" s="63"/>
      <c r="HH44" s="62"/>
      <c r="HI44" s="63"/>
      <c r="HJ44" s="62"/>
      <c r="HK44" s="63"/>
      <c r="HL44" s="62"/>
      <c r="HM44" s="63"/>
      <c r="HN44" s="62"/>
      <c r="HO44" s="63"/>
      <c r="HP44" s="62"/>
      <c r="HQ44" s="63"/>
      <c r="HR44" s="62"/>
      <c r="HS44" s="63"/>
      <c r="HT44" s="62"/>
      <c r="HU44" s="63"/>
      <c r="HV44" s="62"/>
      <c r="HW44" s="63"/>
      <c r="HX44" s="62"/>
      <c r="HY44" s="63"/>
      <c r="HZ44" s="62"/>
      <c r="IA44" s="63"/>
      <c r="IB44" s="62"/>
      <c r="IC44" s="63"/>
      <c r="ID44" s="62"/>
      <c r="IE44" s="63"/>
      <c r="IF44" s="62"/>
      <c r="IG44" s="63"/>
      <c r="IH44" s="62"/>
      <c r="II44" s="63"/>
      <c r="IJ44" s="62"/>
      <c r="IK44" s="63"/>
      <c r="IL44" s="62"/>
      <c r="IM44" s="63"/>
      <c r="IN44" s="62"/>
      <c r="IO44" s="63"/>
      <c r="IP44" s="62"/>
      <c r="IQ44" s="63"/>
      <c r="IR44" s="62"/>
      <c r="IS44" s="63"/>
      <c r="IT44" s="62"/>
      <c r="IU44" s="63"/>
      <c r="IV44" s="62"/>
      <c r="IW44" s="63"/>
      <c r="IX44" s="62"/>
      <c r="IY44" s="63"/>
      <c r="IZ44" s="62"/>
      <c r="JA44" s="63"/>
      <c r="JB44" s="62"/>
      <c r="JC44" s="63"/>
      <c r="JD44" s="62"/>
      <c r="JE44" s="63"/>
      <c r="JF44" s="62"/>
      <c r="JG44" s="63"/>
      <c r="JH44" s="62"/>
      <c r="JI44" s="63"/>
      <c r="JJ44" s="62"/>
      <c r="JK44" s="63"/>
      <c r="JL44" s="62"/>
      <c r="JM44" s="63"/>
      <c r="JN44" s="62"/>
      <c r="JO44" s="63"/>
      <c r="JP44" s="62"/>
      <c r="JQ44" s="63"/>
      <c r="JR44" s="62"/>
      <c r="JS44" s="63"/>
      <c r="JT44" s="62"/>
      <c r="JU44" s="63"/>
      <c r="JV44" s="62"/>
      <c r="JW44" s="63"/>
      <c r="JX44" s="62"/>
      <c r="JY44" s="63"/>
      <c r="JZ44" s="62"/>
      <c r="KA44" s="63"/>
      <c r="KB44" s="62"/>
      <c r="KC44" s="63"/>
      <c r="KD44" s="62"/>
      <c r="KE44" s="63"/>
      <c r="KF44" s="62"/>
      <c r="KG44" s="63"/>
      <c r="KH44" s="62"/>
      <c r="KI44" s="63"/>
      <c r="KJ44" s="62"/>
      <c r="KK44" s="63"/>
      <c r="KL44" s="62"/>
      <c r="KM44" s="63"/>
      <c r="KN44" s="62"/>
      <c r="KO44" s="63"/>
      <c r="KP44" s="62"/>
      <c r="KQ44" s="63"/>
      <c r="KR44" s="62"/>
      <c r="KS44" s="63"/>
      <c r="KT44" s="62"/>
      <c r="KU44" s="63"/>
      <c r="KV44" s="62"/>
      <c r="KW44" s="63"/>
      <c r="KX44" s="62"/>
      <c r="KY44" s="63"/>
      <c r="KZ44" s="62"/>
      <c r="LA44" s="63"/>
      <c r="LB44" s="62"/>
      <c r="LC44" s="63"/>
      <c r="LD44" s="62"/>
      <c r="LE44" s="63"/>
      <c r="LF44" s="62"/>
      <c r="LG44" s="63"/>
      <c r="LH44" s="62"/>
      <c r="LI44" s="63"/>
      <c r="LJ44" s="62"/>
      <c r="LK44" s="63"/>
      <c r="LL44" s="62"/>
      <c r="LM44" s="63"/>
      <c r="LN44" s="62"/>
      <c r="LO44" s="63"/>
      <c r="LP44" s="62"/>
      <c r="LQ44" s="63"/>
      <c r="LR44" s="62"/>
      <c r="LS44" s="63"/>
      <c r="LT44" s="62"/>
      <c r="LU44" s="63"/>
      <c r="LV44" s="62"/>
      <c r="LW44" s="63"/>
      <c r="LX44" s="62"/>
      <c r="LY44" s="63"/>
      <c r="LZ44" s="62"/>
      <c r="MA44" s="63"/>
      <c r="MB44" s="62"/>
      <c r="MC44" s="63"/>
      <c r="MD44" s="62"/>
      <c r="ME44" s="63"/>
      <c r="MF44" s="62"/>
      <c r="MG44" s="63"/>
      <c r="MH44" s="62"/>
      <c r="MI44" s="63"/>
      <c r="MJ44" s="62"/>
      <c r="MK44" s="63"/>
      <c r="ML44" s="62"/>
      <c r="MM44" s="63"/>
      <c r="MN44" s="62"/>
      <c r="MO44" s="63"/>
      <c r="MP44" s="62"/>
      <c r="MQ44" s="63"/>
      <c r="MR44" s="62"/>
      <c r="MS44" s="63"/>
      <c r="MT44" s="62"/>
      <c r="MU44" s="63"/>
      <c r="MV44" s="62"/>
      <c r="MW44" s="63"/>
      <c r="MX44" s="62"/>
      <c r="MY44" s="63"/>
      <c r="MZ44" s="62"/>
      <c r="NA44" s="63"/>
      <c r="NB44" s="62"/>
      <c r="NC44" s="63"/>
      <c r="ND44" s="62"/>
      <c r="NE44" s="63"/>
      <c r="NF44" s="62"/>
      <c r="NG44" s="63"/>
      <c r="NH44" s="62"/>
      <c r="NI44" s="63"/>
      <c r="NJ44" s="62"/>
      <c r="NK44" s="63"/>
      <c r="NL44" s="62"/>
      <c r="NM44" s="63"/>
      <c r="NN44" s="62"/>
      <c r="NO44" s="63"/>
      <c r="NP44" s="62"/>
      <c r="NQ44" s="63"/>
      <c r="NR44" s="62"/>
      <c r="NS44" s="63"/>
      <c r="NT44" s="62"/>
      <c r="NU44" s="63"/>
      <c r="NV44" s="62"/>
      <c r="NW44" s="63"/>
      <c r="NX44" s="62"/>
      <c r="NY44" s="63"/>
      <c r="NZ44" s="62"/>
      <c r="OA44" s="63"/>
      <c r="OB44" s="62"/>
      <c r="OC44" s="63"/>
      <c r="OD44" s="62"/>
      <c r="OE44" s="63"/>
      <c r="OF44" s="62"/>
      <c r="OG44" s="63"/>
      <c r="OH44" s="62"/>
      <c r="OI44" s="63"/>
      <c r="OJ44" s="62"/>
      <c r="OK44" s="63"/>
      <c r="OL44" s="62"/>
      <c r="OM44" s="63"/>
      <c r="ON44" s="62"/>
      <c r="OO44" s="63"/>
      <c r="OP44" s="62"/>
      <c r="OQ44" s="63"/>
      <c r="OR44" s="62"/>
      <c r="OS44" s="63"/>
      <c r="OT44" s="62"/>
      <c r="OU44" s="63"/>
      <c r="OV44" s="62"/>
      <c r="OW44" s="63"/>
      <c r="OX44" s="62"/>
      <c r="OY44" s="63"/>
      <c r="OZ44" s="62"/>
      <c r="PA44" s="63"/>
      <c r="PB44" s="62"/>
      <c r="PC44" s="63"/>
      <c r="PD44" s="62"/>
      <c r="PE44" s="63"/>
      <c r="PF44" s="62"/>
      <c r="PG44" s="63"/>
      <c r="PH44" s="62"/>
      <c r="PI44" s="63"/>
      <c r="PJ44" s="62"/>
      <c r="PK44" s="63"/>
      <c r="PL44" s="62"/>
      <c r="PM44" s="63"/>
      <c r="PN44" s="62"/>
      <c r="PO44" s="63"/>
      <c r="PP44" s="62"/>
      <c r="PQ44" s="63"/>
      <c r="PR44" s="62"/>
      <c r="PS44" s="63"/>
      <c r="PT44" s="62"/>
      <c r="PU44" s="63"/>
      <c r="PV44" s="62"/>
      <c r="PW44" s="63"/>
      <c r="PX44" s="62"/>
      <c r="PY44" s="63"/>
      <c r="PZ44" s="62"/>
      <c r="QA44" s="63"/>
      <c r="QB44" s="62"/>
      <c r="QC44" s="63"/>
      <c r="QD44" s="62"/>
      <c r="QE44" s="63"/>
      <c r="QF44" s="62"/>
      <c r="QG44" s="63"/>
      <c r="QH44" s="62"/>
      <c r="QI44" s="63"/>
      <c r="QJ44" s="62"/>
      <c r="QK44" s="63"/>
      <c r="QL44" s="62"/>
      <c r="QM44" s="63"/>
      <c r="QN44" s="62"/>
      <c r="QO44" s="63"/>
      <c r="QP44" s="62"/>
      <c r="QQ44" s="63"/>
      <c r="QR44" s="62"/>
      <c r="QS44" s="63"/>
      <c r="QT44" s="62"/>
      <c r="QU44" s="63"/>
      <c r="QV44" s="62"/>
      <c r="QW44" s="63"/>
      <c r="QX44" s="62"/>
      <c r="QY44" s="63"/>
      <c r="QZ44" s="62"/>
      <c r="RA44" s="63"/>
      <c r="RB44" s="62"/>
      <c r="RC44" s="63"/>
      <c r="RD44" s="31"/>
    </row>
    <row r="45" spans="1:472" s="5" customFormat="1" ht="15" hidden="1" customHeight="1" x14ac:dyDescent="0.25">
      <c r="A45" s="5">
        <v>2044</v>
      </c>
      <c r="B45" s="5" t="s">
        <v>288</v>
      </c>
      <c r="C45" s="5" t="s">
        <v>165</v>
      </c>
      <c r="D45" s="5">
        <v>78</v>
      </c>
      <c r="E45" s="36">
        <v>42917</v>
      </c>
      <c r="F45" s="5" t="s">
        <v>470</v>
      </c>
      <c r="H45" s="5" t="s">
        <v>314</v>
      </c>
      <c r="I45" s="62"/>
      <c r="J45" s="63"/>
      <c r="K45" s="62"/>
      <c r="L45" s="63"/>
      <c r="M45" s="62"/>
      <c r="N45" s="63"/>
      <c r="O45" s="62"/>
      <c r="P45" s="63"/>
      <c r="Q45" s="62"/>
      <c r="R45" s="63"/>
      <c r="S45" s="62"/>
      <c r="T45" s="63"/>
      <c r="X45" s="62"/>
      <c r="Y45" s="63"/>
      <c r="Z45" s="62"/>
      <c r="AA45" s="63"/>
      <c r="AB45" s="62"/>
      <c r="AC45" s="63"/>
      <c r="AD45" s="62"/>
      <c r="AE45" s="63"/>
      <c r="AF45" s="62"/>
      <c r="AG45" s="63"/>
      <c r="AH45" s="62"/>
      <c r="AI45" s="63"/>
      <c r="AJ45" s="62"/>
      <c r="AK45" s="63"/>
      <c r="AL45" s="62"/>
      <c r="AM45" s="63"/>
      <c r="AN45" s="62"/>
      <c r="AO45" s="63"/>
      <c r="AP45" s="62"/>
      <c r="AQ45" s="63"/>
      <c r="AR45" s="62"/>
      <c r="AS45" s="63"/>
      <c r="AT45" s="62"/>
      <c r="AU45" s="63"/>
      <c r="AV45" s="62"/>
      <c r="AW45" s="63"/>
      <c r="AX45" s="62"/>
      <c r="AY45" s="63"/>
      <c r="AZ45" s="62"/>
      <c r="BA45" s="63"/>
      <c r="BB45" s="62"/>
      <c r="BC45" s="63"/>
      <c r="BD45" s="62"/>
      <c r="BE45" s="63"/>
      <c r="BF45" s="62"/>
      <c r="BG45" s="63"/>
      <c r="BH45" s="62"/>
      <c r="BI45" s="63"/>
      <c r="BJ45" s="62"/>
      <c r="BK45" s="63"/>
      <c r="BL45" s="62"/>
      <c r="BM45" s="63"/>
      <c r="BN45" s="62"/>
      <c r="BO45" s="63"/>
      <c r="BP45" s="62"/>
      <c r="BQ45" s="63"/>
      <c r="BR45" s="62"/>
      <c r="BS45" s="63"/>
      <c r="BT45" s="62"/>
      <c r="BU45" s="63"/>
      <c r="BV45" s="62"/>
      <c r="BW45" s="63"/>
      <c r="BX45" s="62"/>
      <c r="BY45" s="63"/>
      <c r="BZ45" s="62"/>
      <c r="CA45" s="63"/>
      <c r="CB45" s="62"/>
      <c r="CC45" s="63"/>
      <c r="CD45" s="62"/>
      <c r="CE45" s="63"/>
      <c r="CF45" s="62"/>
      <c r="CG45" s="63"/>
      <c r="CH45" s="39"/>
      <c r="CI45" s="39" t="s">
        <v>66</v>
      </c>
      <c r="CJ45" s="62" t="s">
        <v>66</v>
      </c>
      <c r="CK45" s="63"/>
      <c r="CL45" s="62" t="s">
        <v>66</v>
      </c>
      <c r="CM45" s="63"/>
      <c r="CN45" s="62" t="s">
        <v>38</v>
      </c>
      <c r="CO45" s="63"/>
      <c r="CP45" s="31" t="s">
        <v>38</v>
      </c>
      <c r="CQ45" s="32" t="s">
        <v>36</v>
      </c>
      <c r="CR45" s="62" t="s">
        <v>36</v>
      </c>
      <c r="CS45" s="63"/>
      <c r="CT45" s="62" t="s">
        <v>36</v>
      </c>
      <c r="CU45" s="63"/>
      <c r="CV45" s="62" t="s">
        <v>36</v>
      </c>
      <c r="CW45" s="63"/>
      <c r="CX45" s="62" t="s">
        <v>36</v>
      </c>
      <c r="CY45" s="63"/>
      <c r="CZ45" s="62" t="s">
        <v>36</v>
      </c>
      <c r="DA45" s="63"/>
      <c r="DB45" s="62" t="s">
        <v>36</v>
      </c>
      <c r="DC45" s="63"/>
      <c r="DD45" s="62" t="s">
        <v>36</v>
      </c>
      <c r="DE45" s="63"/>
      <c r="DF45" s="62" t="s">
        <v>36</v>
      </c>
      <c r="DG45" s="63"/>
      <c r="DH45" s="62" t="s">
        <v>310</v>
      </c>
      <c r="DI45" s="63"/>
      <c r="DJ45" s="62" t="s">
        <v>37</v>
      </c>
      <c r="DK45" s="63"/>
      <c r="DL45" s="62" t="s">
        <v>37</v>
      </c>
      <c r="DM45" s="63"/>
      <c r="DN45" s="62" t="s">
        <v>37</v>
      </c>
      <c r="DO45" s="63"/>
      <c r="DP45" s="62"/>
      <c r="DQ45" s="63"/>
      <c r="DR45" s="62"/>
      <c r="DS45" s="63"/>
      <c r="DT45" s="62"/>
      <c r="DU45" s="63"/>
      <c r="DV45" s="62"/>
      <c r="DW45" s="63"/>
      <c r="DX45" s="62"/>
      <c r="DY45" s="63"/>
      <c r="DZ45" s="62"/>
      <c r="EA45" s="63"/>
      <c r="EB45" s="62"/>
      <c r="EC45" s="63"/>
      <c r="ED45" s="62"/>
      <c r="EE45" s="63"/>
      <c r="EF45" s="62"/>
      <c r="EG45" s="63"/>
      <c r="EH45" s="62"/>
      <c r="EI45" s="63"/>
      <c r="EJ45" s="62"/>
      <c r="EK45" s="63"/>
      <c r="EL45" s="62"/>
      <c r="EM45" s="63"/>
      <c r="EN45" s="62"/>
      <c r="EO45" s="63"/>
      <c r="EP45" s="62"/>
      <c r="EQ45" s="63"/>
      <c r="ER45" s="62"/>
      <c r="ES45" s="63"/>
      <c r="ET45" s="62"/>
      <c r="EU45" s="63"/>
      <c r="EV45" s="62"/>
      <c r="EW45" s="63"/>
      <c r="EX45" s="62"/>
      <c r="EY45" s="63"/>
      <c r="EZ45" s="62"/>
      <c r="FA45" s="63"/>
      <c r="FB45" s="62"/>
      <c r="FC45" s="63"/>
      <c r="FD45" s="62"/>
      <c r="FE45" s="63"/>
      <c r="FF45" s="62"/>
      <c r="FG45" s="63"/>
      <c r="FH45" s="62"/>
      <c r="FI45" s="63"/>
      <c r="FJ45" s="62"/>
      <c r="FK45" s="63"/>
      <c r="FL45" s="62"/>
      <c r="FM45" s="63"/>
      <c r="FN45" s="62"/>
      <c r="FO45" s="63"/>
      <c r="FP45" s="62"/>
      <c r="FQ45" s="63"/>
      <c r="FR45" s="62"/>
      <c r="FS45" s="63"/>
      <c r="FT45" s="62"/>
      <c r="FU45" s="63"/>
      <c r="FV45" s="62"/>
      <c r="FW45" s="63"/>
      <c r="FX45" s="62"/>
      <c r="FY45" s="63"/>
      <c r="FZ45" s="62"/>
      <c r="GA45" s="63"/>
      <c r="GB45" s="62"/>
      <c r="GC45" s="63"/>
      <c r="GD45" s="62"/>
      <c r="GE45" s="63"/>
      <c r="GF45" s="62"/>
      <c r="GG45" s="63"/>
      <c r="GH45" s="62"/>
      <c r="GI45" s="63"/>
      <c r="GJ45" s="62"/>
      <c r="GK45" s="63"/>
      <c r="GL45" s="62"/>
      <c r="GM45" s="63"/>
      <c r="GN45" s="62"/>
      <c r="GO45" s="63"/>
      <c r="GP45" s="62"/>
      <c r="GQ45" s="63"/>
      <c r="GR45" s="62"/>
      <c r="GS45" s="63"/>
      <c r="GT45" s="62"/>
      <c r="GU45" s="63"/>
      <c r="GV45" s="62"/>
      <c r="GW45" s="63"/>
      <c r="GX45" s="62"/>
      <c r="GY45" s="63"/>
      <c r="GZ45" s="62"/>
      <c r="HA45" s="63"/>
      <c r="HB45" s="62"/>
      <c r="HC45" s="63"/>
      <c r="HD45" s="62"/>
      <c r="HE45" s="63"/>
      <c r="HF45" s="62"/>
      <c r="HG45" s="63"/>
      <c r="HH45" s="62"/>
      <c r="HI45" s="63"/>
      <c r="HJ45" s="62"/>
      <c r="HK45" s="63"/>
      <c r="HL45" s="62"/>
      <c r="HM45" s="63"/>
      <c r="HN45" s="62"/>
      <c r="HO45" s="63"/>
      <c r="HP45" s="62"/>
      <c r="HQ45" s="63"/>
      <c r="HR45" s="62"/>
      <c r="HS45" s="63"/>
      <c r="HT45" s="62"/>
      <c r="HU45" s="63"/>
      <c r="HV45" s="62"/>
      <c r="HW45" s="63"/>
      <c r="HX45" s="62"/>
      <c r="HY45" s="63"/>
      <c r="HZ45" s="62"/>
      <c r="IA45" s="63"/>
      <c r="IB45" s="62"/>
      <c r="IC45" s="63"/>
      <c r="ID45" s="62"/>
      <c r="IE45" s="63"/>
      <c r="IF45" s="62"/>
      <c r="IG45" s="63"/>
      <c r="IH45" s="62"/>
      <c r="II45" s="63"/>
      <c r="IJ45" s="62"/>
      <c r="IK45" s="63"/>
      <c r="IL45" s="62"/>
      <c r="IM45" s="63"/>
      <c r="IN45" s="62"/>
      <c r="IO45" s="63"/>
      <c r="IP45" s="62"/>
      <c r="IQ45" s="63"/>
      <c r="IR45" s="62"/>
      <c r="IS45" s="63"/>
      <c r="IT45" s="62"/>
      <c r="IU45" s="63"/>
      <c r="IV45" s="62"/>
      <c r="IW45" s="63"/>
      <c r="IX45" s="62"/>
      <c r="IY45" s="63"/>
      <c r="IZ45" s="62"/>
      <c r="JA45" s="63"/>
      <c r="JB45" s="62"/>
      <c r="JC45" s="63"/>
      <c r="JD45" s="62"/>
      <c r="JE45" s="63"/>
      <c r="JF45" s="62"/>
      <c r="JG45" s="63"/>
      <c r="JH45" s="62"/>
      <c r="JI45" s="63"/>
      <c r="JJ45" s="62"/>
      <c r="JK45" s="63"/>
      <c r="JL45" s="62"/>
      <c r="JM45" s="63"/>
      <c r="JN45" s="62"/>
      <c r="JO45" s="63"/>
      <c r="JP45" s="62"/>
      <c r="JQ45" s="63"/>
      <c r="JR45" s="62"/>
      <c r="JS45" s="63"/>
      <c r="JT45" s="62"/>
      <c r="JU45" s="63"/>
      <c r="JV45" s="62"/>
      <c r="JW45" s="63"/>
      <c r="JX45" s="62"/>
      <c r="JY45" s="63"/>
      <c r="JZ45" s="62"/>
      <c r="KA45" s="63"/>
      <c r="KB45" s="62"/>
      <c r="KC45" s="63"/>
      <c r="KD45" s="62"/>
      <c r="KE45" s="63"/>
      <c r="KF45" s="62"/>
      <c r="KG45" s="63"/>
      <c r="KH45" s="62"/>
      <c r="KI45" s="63"/>
      <c r="KJ45" s="62"/>
      <c r="KK45" s="63"/>
      <c r="KL45" s="62"/>
      <c r="KM45" s="63"/>
      <c r="KN45" s="62"/>
      <c r="KO45" s="63"/>
      <c r="KP45" s="62"/>
      <c r="KQ45" s="63"/>
      <c r="KR45" s="62"/>
      <c r="KS45" s="63"/>
      <c r="KT45" s="62"/>
      <c r="KU45" s="63"/>
      <c r="KV45" s="62"/>
      <c r="KW45" s="63"/>
      <c r="KX45" s="62"/>
      <c r="KY45" s="63"/>
      <c r="KZ45" s="62"/>
      <c r="LA45" s="63"/>
      <c r="LB45" s="62"/>
      <c r="LC45" s="63"/>
      <c r="LD45" s="62"/>
      <c r="LE45" s="63"/>
      <c r="LF45" s="62"/>
      <c r="LG45" s="63"/>
      <c r="LH45" s="62"/>
      <c r="LI45" s="63"/>
      <c r="LJ45" s="62"/>
      <c r="LK45" s="63"/>
      <c r="LL45" s="62"/>
      <c r="LM45" s="63"/>
      <c r="LN45" s="62"/>
      <c r="LO45" s="63"/>
      <c r="LP45" s="62"/>
      <c r="LQ45" s="63"/>
      <c r="LR45" s="62"/>
      <c r="LS45" s="63"/>
      <c r="LT45" s="62"/>
      <c r="LU45" s="63"/>
      <c r="LV45" s="62"/>
      <c r="LW45" s="63"/>
      <c r="LX45" s="62"/>
      <c r="LY45" s="63"/>
      <c r="LZ45" s="62"/>
      <c r="MA45" s="63"/>
      <c r="MB45" s="62"/>
      <c r="MC45" s="63"/>
      <c r="MD45" s="62"/>
      <c r="ME45" s="63"/>
      <c r="MF45" s="62"/>
      <c r="MG45" s="63"/>
      <c r="MH45" s="62"/>
      <c r="MI45" s="63"/>
      <c r="MJ45" s="62"/>
      <c r="MK45" s="63"/>
      <c r="ML45" s="62"/>
      <c r="MM45" s="63"/>
      <c r="MN45" s="62"/>
      <c r="MO45" s="63"/>
      <c r="MP45" s="62"/>
      <c r="MQ45" s="63"/>
      <c r="MR45" s="62"/>
      <c r="MS45" s="63"/>
      <c r="MT45" s="62"/>
      <c r="MU45" s="63"/>
      <c r="MV45" s="62"/>
      <c r="MW45" s="63"/>
      <c r="MX45" s="62"/>
      <c r="MY45" s="63"/>
      <c r="MZ45" s="62"/>
      <c r="NA45" s="63"/>
      <c r="NB45" s="62"/>
      <c r="NC45" s="63"/>
      <c r="ND45" s="62"/>
      <c r="NE45" s="63"/>
      <c r="NF45" s="62"/>
      <c r="NG45" s="63"/>
      <c r="NH45" s="62"/>
      <c r="NI45" s="63"/>
      <c r="NJ45" s="62"/>
      <c r="NK45" s="63"/>
      <c r="NL45" s="62"/>
      <c r="NM45" s="63"/>
      <c r="NN45" s="62"/>
      <c r="NO45" s="63"/>
      <c r="NP45" s="62"/>
      <c r="NQ45" s="63"/>
      <c r="NR45" s="62"/>
      <c r="NS45" s="63"/>
      <c r="NT45" s="62"/>
      <c r="NU45" s="63"/>
      <c r="NV45" s="62"/>
      <c r="NW45" s="63"/>
      <c r="NX45" s="62"/>
      <c r="NY45" s="63"/>
      <c r="NZ45" s="62"/>
      <c r="OA45" s="63"/>
      <c r="OB45" s="62"/>
      <c r="OC45" s="63"/>
      <c r="OD45" s="62"/>
      <c r="OE45" s="63"/>
      <c r="OF45" s="62"/>
      <c r="OG45" s="63"/>
      <c r="OH45" s="62"/>
      <c r="OI45" s="63"/>
      <c r="OJ45" s="62"/>
      <c r="OK45" s="63"/>
      <c r="OL45" s="62"/>
      <c r="OM45" s="63"/>
      <c r="ON45" s="62"/>
      <c r="OO45" s="63"/>
      <c r="OP45" s="62"/>
      <c r="OQ45" s="63"/>
      <c r="OR45" s="62"/>
      <c r="OS45" s="63"/>
      <c r="OT45" s="62"/>
      <c r="OU45" s="63"/>
      <c r="OV45" s="62"/>
      <c r="OW45" s="63"/>
      <c r="OX45" s="62"/>
      <c r="OY45" s="63"/>
      <c r="OZ45" s="62"/>
      <c r="PA45" s="63"/>
      <c r="PB45" s="62"/>
      <c r="PC45" s="63"/>
      <c r="PD45" s="62"/>
      <c r="PE45" s="63"/>
      <c r="PF45" s="62"/>
      <c r="PG45" s="63"/>
      <c r="PH45" s="62"/>
      <c r="PI45" s="63"/>
      <c r="PJ45" s="62"/>
      <c r="PK45" s="63"/>
      <c r="PL45" s="62"/>
      <c r="PM45" s="63"/>
      <c r="PN45" s="62"/>
      <c r="PO45" s="63"/>
      <c r="PP45" s="62"/>
      <c r="PQ45" s="63"/>
      <c r="PR45" s="62"/>
      <c r="PS45" s="63"/>
      <c r="PT45" s="62"/>
      <c r="PU45" s="63"/>
      <c r="PV45" s="62"/>
      <c r="PW45" s="63"/>
      <c r="PX45" s="62"/>
      <c r="PY45" s="63"/>
      <c r="PZ45" s="62"/>
      <c r="QA45" s="63"/>
      <c r="QB45" s="62"/>
      <c r="QC45" s="63"/>
      <c r="QD45" s="62"/>
      <c r="QE45" s="63"/>
      <c r="QF45" s="62"/>
      <c r="QG45" s="63"/>
      <c r="QH45" s="62"/>
      <c r="QI45" s="63"/>
      <c r="QJ45" s="62"/>
      <c r="QK45" s="63"/>
      <c r="QL45" s="62"/>
      <c r="QM45" s="63"/>
      <c r="QN45" s="62"/>
      <c r="QO45" s="63"/>
      <c r="QP45" s="62"/>
      <c r="QQ45" s="63"/>
      <c r="QR45" s="62"/>
      <c r="QS45" s="63"/>
      <c r="QT45" s="62"/>
      <c r="QU45" s="63"/>
      <c r="QV45" s="62"/>
      <c r="QW45" s="63"/>
      <c r="QX45" s="62"/>
      <c r="QY45" s="63"/>
      <c r="QZ45" s="62"/>
      <c r="RA45" s="63"/>
      <c r="RB45" s="62"/>
      <c r="RC45" s="63"/>
      <c r="RD45" s="31"/>
    </row>
    <row r="46" spans="1:472" s="5" customFormat="1" ht="15" hidden="1" customHeight="1" x14ac:dyDescent="0.25">
      <c r="A46" s="5">
        <v>2037</v>
      </c>
      <c r="B46" s="5" t="s">
        <v>522</v>
      </c>
      <c r="C46" s="5" t="s">
        <v>237</v>
      </c>
      <c r="D46" s="5">
        <v>5</v>
      </c>
      <c r="E46" s="36"/>
      <c r="F46" s="5" t="s">
        <v>87</v>
      </c>
      <c r="H46" s="5" t="s">
        <v>312</v>
      </c>
      <c r="I46" s="62"/>
      <c r="J46" s="63"/>
      <c r="K46" s="62"/>
      <c r="L46" s="63"/>
      <c r="M46" s="62"/>
      <c r="N46" s="63"/>
      <c r="O46" s="62"/>
      <c r="P46" s="63"/>
      <c r="Q46" s="62"/>
      <c r="R46" s="63"/>
      <c r="S46" s="62"/>
      <c r="T46" s="63"/>
      <c r="X46" s="62"/>
      <c r="Y46" s="63"/>
      <c r="Z46" s="62"/>
      <c r="AA46" s="63"/>
      <c r="AB46" s="62"/>
      <c r="AC46" s="63"/>
      <c r="AD46" s="62"/>
      <c r="AE46" s="63"/>
      <c r="AF46" s="62"/>
      <c r="AG46" s="63"/>
      <c r="AH46" s="62"/>
      <c r="AI46" s="63"/>
      <c r="AJ46" s="62"/>
      <c r="AK46" s="63"/>
      <c r="AL46" s="62"/>
      <c r="AM46" s="63"/>
      <c r="AN46" s="62"/>
      <c r="AO46" s="63"/>
      <c r="AP46" s="62"/>
      <c r="AQ46" s="63"/>
      <c r="AR46" s="62"/>
      <c r="AS46" s="63"/>
      <c r="AT46" s="62"/>
      <c r="AU46" s="63"/>
      <c r="AV46" s="62"/>
      <c r="AW46" s="63"/>
      <c r="AX46" s="62"/>
      <c r="AY46" s="63"/>
      <c r="AZ46" s="62"/>
      <c r="BA46" s="63"/>
      <c r="BB46" s="62"/>
      <c r="BC46" s="63"/>
      <c r="BD46" s="62"/>
      <c r="BE46" s="63"/>
      <c r="BF46" s="62"/>
      <c r="BG46" s="63"/>
      <c r="BH46" s="62"/>
      <c r="BI46" s="63"/>
      <c r="BJ46" s="62"/>
      <c r="BK46" s="63"/>
      <c r="BL46" s="62"/>
      <c r="BM46" s="63"/>
      <c r="BN46" s="62"/>
      <c r="BO46" s="63"/>
      <c r="BP46" s="62"/>
      <c r="BQ46" s="63"/>
      <c r="BR46" s="62"/>
      <c r="BS46" s="63"/>
      <c r="BT46" s="62"/>
      <c r="BU46" s="63"/>
      <c r="BV46" s="62"/>
      <c r="BW46" s="63"/>
      <c r="BX46" s="62"/>
      <c r="BY46" s="63"/>
      <c r="BZ46" s="62"/>
      <c r="CA46" s="63"/>
      <c r="CB46" s="62"/>
      <c r="CC46" s="63"/>
      <c r="CD46" s="62"/>
      <c r="CE46" s="63"/>
      <c r="CF46" s="62"/>
      <c r="CG46" s="63"/>
      <c r="CH46" s="62"/>
      <c r="CI46" s="63"/>
      <c r="CJ46" s="62"/>
      <c r="CK46" s="63"/>
      <c r="CL46" s="62"/>
      <c r="CM46" s="63"/>
      <c r="CN46" s="62"/>
      <c r="CO46" s="63"/>
      <c r="CP46" s="62"/>
      <c r="CQ46" s="63"/>
      <c r="CR46" s="62"/>
      <c r="CS46" s="63"/>
      <c r="CT46" s="62"/>
      <c r="CU46" s="63"/>
      <c r="CV46" s="62"/>
      <c r="CW46" s="63"/>
      <c r="CX46" s="62"/>
      <c r="CY46" s="63"/>
      <c r="CZ46" s="62" t="s">
        <v>66</v>
      </c>
      <c r="DA46" s="63"/>
      <c r="DB46" s="62" t="s">
        <v>38</v>
      </c>
      <c r="DC46" s="63"/>
      <c r="DD46" s="62" t="s">
        <v>38</v>
      </c>
      <c r="DE46" s="63"/>
      <c r="DF46" s="62" t="s">
        <v>38</v>
      </c>
      <c r="DG46" s="63"/>
      <c r="DH46" s="62" t="s">
        <v>36</v>
      </c>
      <c r="DI46" s="63"/>
      <c r="DJ46" s="62" t="s">
        <v>36</v>
      </c>
      <c r="DK46" s="63"/>
      <c r="DL46" s="31" t="s">
        <v>36</v>
      </c>
      <c r="DM46" s="32" t="s">
        <v>37</v>
      </c>
      <c r="DN46" s="62" t="s">
        <v>37</v>
      </c>
      <c r="DO46" s="63"/>
      <c r="DP46" s="62" t="s">
        <v>37</v>
      </c>
      <c r="DQ46" s="63"/>
      <c r="DR46" s="62"/>
      <c r="DS46" s="63"/>
      <c r="DT46" s="62"/>
      <c r="DU46" s="63"/>
      <c r="DV46" s="62"/>
      <c r="DW46" s="63"/>
      <c r="DX46" s="62"/>
      <c r="DY46" s="63"/>
      <c r="DZ46" s="62"/>
      <c r="EA46" s="63"/>
      <c r="EB46" s="62"/>
      <c r="EC46" s="63"/>
      <c r="ED46" s="62"/>
      <c r="EE46" s="63"/>
      <c r="EF46" s="62"/>
      <c r="EG46" s="63"/>
      <c r="EH46" s="62"/>
      <c r="EI46" s="63"/>
      <c r="EJ46" s="62"/>
      <c r="EK46" s="63"/>
      <c r="EL46" s="62"/>
      <c r="EM46" s="63"/>
      <c r="EN46" s="62"/>
      <c r="EO46" s="63"/>
      <c r="EP46" s="62"/>
      <c r="EQ46" s="63"/>
      <c r="ER46" s="62"/>
      <c r="ES46" s="63"/>
      <c r="ET46" s="62"/>
      <c r="EU46" s="63"/>
      <c r="EV46" s="62"/>
      <c r="EW46" s="63"/>
      <c r="EX46" s="62"/>
      <c r="EY46" s="63"/>
      <c r="EZ46" s="62"/>
      <c r="FA46" s="63"/>
      <c r="FB46" s="62"/>
      <c r="FC46" s="63"/>
      <c r="FD46" s="62"/>
      <c r="FE46" s="63"/>
      <c r="FF46" s="62"/>
      <c r="FG46" s="63"/>
      <c r="FH46" s="62"/>
      <c r="FI46" s="63"/>
      <c r="FJ46" s="62"/>
      <c r="FK46" s="63"/>
      <c r="FL46" s="62"/>
      <c r="FM46" s="63"/>
      <c r="FN46" s="62"/>
      <c r="FO46" s="63"/>
      <c r="FP46" s="62"/>
      <c r="FQ46" s="63"/>
      <c r="FR46" s="62"/>
      <c r="FS46" s="63"/>
      <c r="FT46" s="62"/>
      <c r="FU46" s="63"/>
      <c r="FV46" s="62"/>
      <c r="FW46" s="63"/>
      <c r="FX46" s="62"/>
      <c r="FY46" s="63"/>
      <c r="FZ46" s="62"/>
      <c r="GA46" s="63"/>
      <c r="GB46" s="62"/>
      <c r="GC46" s="63"/>
      <c r="GD46" s="62"/>
      <c r="GE46" s="63"/>
      <c r="GF46" s="62"/>
      <c r="GG46" s="63"/>
      <c r="GH46" s="62"/>
      <c r="GI46" s="63"/>
      <c r="GJ46" s="62"/>
      <c r="GK46" s="63"/>
      <c r="GL46" s="62"/>
      <c r="GM46" s="63"/>
      <c r="GN46" s="62"/>
      <c r="GO46" s="63"/>
      <c r="GP46" s="62"/>
      <c r="GQ46" s="63"/>
      <c r="GR46" s="62"/>
      <c r="GS46" s="63"/>
      <c r="GT46" s="62"/>
      <c r="GU46" s="63"/>
      <c r="GV46" s="62"/>
      <c r="GW46" s="63"/>
      <c r="GX46" s="62"/>
      <c r="GY46" s="63"/>
      <c r="GZ46" s="62"/>
      <c r="HA46" s="63"/>
      <c r="HB46" s="62"/>
      <c r="HC46" s="63"/>
      <c r="HD46" s="62"/>
      <c r="HE46" s="63"/>
      <c r="HF46" s="62"/>
      <c r="HG46" s="63"/>
      <c r="HH46" s="62"/>
      <c r="HI46" s="63"/>
      <c r="HJ46" s="62"/>
      <c r="HK46" s="63"/>
      <c r="HL46" s="62"/>
      <c r="HM46" s="63"/>
      <c r="HN46" s="62"/>
      <c r="HO46" s="63"/>
      <c r="HP46" s="62"/>
      <c r="HQ46" s="63"/>
      <c r="HR46" s="62"/>
      <c r="HS46" s="63"/>
      <c r="HT46" s="62"/>
      <c r="HU46" s="63"/>
      <c r="HV46" s="62"/>
      <c r="HW46" s="63"/>
      <c r="HX46" s="62"/>
      <c r="HY46" s="63"/>
      <c r="HZ46" s="62"/>
      <c r="IA46" s="63"/>
      <c r="IB46" s="62"/>
      <c r="IC46" s="63"/>
      <c r="ID46" s="62"/>
      <c r="IE46" s="63"/>
      <c r="IF46" s="62"/>
      <c r="IG46" s="63"/>
      <c r="IH46" s="62"/>
      <c r="II46" s="63"/>
      <c r="IJ46" s="62"/>
      <c r="IK46" s="63"/>
      <c r="IL46" s="62"/>
      <c r="IM46" s="63"/>
      <c r="IN46" s="62"/>
      <c r="IO46" s="63"/>
      <c r="IP46" s="62"/>
      <c r="IQ46" s="63"/>
      <c r="IR46" s="62"/>
      <c r="IS46" s="63"/>
      <c r="IT46" s="62"/>
      <c r="IU46" s="63"/>
      <c r="IV46" s="62"/>
      <c r="IW46" s="63"/>
      <c r="IX46" s="62"/>
      <c r="IY46" s="63"/>
      <c r="IZ46" s="62"/>
      <c r="JA46" s="63"/>
      <c r="JB46" s="62"/>
      <c r="JC46" s="63"/>
      <c r="JD46" s="62"/>
      <c r="JE46" s="63"/>
      <c r="JF46" s="62"/>
      <c r="JG46" s="63"/>
      <c r="JH46" s="62"/>
      <c r="JI46" s="63"/>
      <c r="JJ46" s="62"/>
      <c r="JK46" s="63"/>
      <c r="JL46" s="62"/>
      <c r="JM46" s="63"/>
      <c r="JN46" s="62"/>
      <c r="JO46" s="63"/>
      <c r="JP46" s="62"/>
      <c r="JQ46" s="63"/>
      <c r="JR46" s="62"/>
      <c r="JS46" s="63"/>
      <c r="JT46" s="62"/>
      <c r="JU46" s="63"/>
      <c r="JV46" s="62"/>
      <c r="JW46" s="63"/>
      <c r="JX46" s="62"/>
      <c r="JY46" s="63"/>
      <c r="JZ46" s="62"/>
      <c r="KA46" s="63"/>
      <c r="KB46" s="62"/>
      <c r="KC46" s="63"/>
      <c r="KD46" s="62"/>
      <c r="KE46" s="63"/>
      <c r="KF46" s="62"/>
      <c r="KG46" s="63"/>
      <c r="KH46" s="62"/>
      <c r="KI46" s="63"/>
      <c r="KJ46" s="62"/>
      <c r="KK46" s="63"/>
      <c r="KL46" s="62"/>
      <c r="KM46" s="63"/>
      <c r="KN46" s="62"/>
      <c r="KO46" s="63"/>
      <c r="KP46" s="62"/>
      <c r="KQ46" s="63"/>
      <c r="KR46" s="62"/>
      <c r="KS46" s="63"/>
      <c r="KT46" s="62"/>
      <c r="KU46" s="63"/>
      <c r="KV46" s="62"/>
      <c r="KW46" s="63"/>
      <c r="KX46" s="62"/>
      <c r="KY46" s="63"/>
      <c r="KZ46" s="62"/>
      <c r="LA46" s="63"/>
      <c r="LB46" s="62"/>
      <c r="LC46" s="63"/>
      <c r="LD46" s="62"/>
      <c r="LE46" s="63"/>
      <c r="LF46" s="62"/>
      <c r="LG46" s="63"/>
      <c r="LH46" s="62"/>
      <c r="LI46" s="63"/>
      <c r="LJ46" s="62"/>
      <c r="LK46" s="63"/>
      <c r="LL46" s="62"/>
      <c r="LM46" s="63"/>
      <c r="LN46" s="62"/>
      <c r="LO46" s="63"/>
      <c r="LP46" s="62"/>
      <c r="LQ46" s="63"/>
      <c r="LR46" s="62"/>
      <c r="LS46" s="63"/>
      <c r="LT46" s="62"/>
      <c r="LU46" s="63"/>
      <c r="LV46" s="62"/>
      <c r="LW46" s="63"/>
      <c r="LX46" s="62"/>
      <c r="LY46" s="63"/>
      <c r="LZ46" s="62"/>
      <c r="MA46" s="63"/>
      <c r="MB46" s="62"/>
      <c r="MC46" s="63"/>
      <c r="MD46" s="62"/>
      <c r="ME46" s="63"/>
      <c r="MF46" s="62"/>
      <c r="MG46" s="63"/>
      <c r="MH46" s="62"/>
      <c r="MI46" s="63"/>
      <c r="MJ46" s="62"/>
      <c r="MK46" s="63"/>
      <c r="ML46" s="62"/>
      <c r="MM46" s="63"/>
      <c r="MN46" s="62"/>
      <c r="MO46" s="63"/>
      <c r="MP46" s="62"/>
      <c r="MQ46" s="63"/>
      <c r="MR46" s="62"/>
      <c r="MS46" s="63"/>
      <c r="MT46" s="62"/>
      <c r="MU46" s="63"/>
      <c r="MV46" s="62"/>
      <c r="MW46" s="63"/>
      <c r="MX46" s="62"/>
      <c r="MY46" s="63"/>
      <c r="MZ46" s="62"/>
      <c r="NA46" s="63"/>
      <c r="NB46" s="62"/>
      <c r="NC46" s="63"/>
      <c r="ND46" s="62"/>
      <c r="NE46" s="63"/>
      <c r="NF46" s="62"/>
      <c r="NG46" s="63"/>
      <c r="NH46" s="62"/>
      <c r="NI46" s="63"/>
      <c r="NJ46" s="62"/>
      <c r="NK46" s="63"/>
      <c r="NL46" s="62"/>
      <c r="NM46" s="63"/>
      <c r="NN46" s="62"/>
      <c r="NO46" s="63"/>
      <c r="NP46" s="62"/>
      <c r="NQ46" s="63"/>
      <c r="NR46" s="62"/>
      <c r="NS46" s="63"/>
      <c r="NT46" s="62"/>
      <c r="NU46" s="63"/>
      <c r="NV46" s="62"/>
      <c r="NW46" s="63"/>
      <c r="NX46" s="62"/>
      <c r="NY46" s="63"/>
      <c r="NZ46" s="62"/>
      <c r="OA46" s="63"/>
      <c r="OB46" s="62"/>
      <c r="OC46" s="63"/>
      <c r="OD46" s="62"/>
      <c r="OE46" s="63"/>
      <c r="OF46" s="62"/>
      <c r="OG46" s="63"/>
      <c r="OH46" s="62"/>
      <c r="OI46" s="63"/>
      <c r="OJ46" s="62"/>
      <c r="OK46" s="63"/>
      <c r="OL46" s="62"/>
      <c r="OM46" s="63"/>
      <c r="ON46" s="62"/>
      <c r="OO46" s="63"/>
      <c r="OP46" s="62"/>
      <c r="OQ46" s="63"/>
      <c r="OR46" s="62"/>
      <c r="OS46" s="63"/>
      <c r="OT46" s="62"/>
      <c r="OU46" s="63"/>
      <c r="OV46" s="62"/>
      <c r="OW46" s="63"/>
      <c r="OX46" s="62"/>
      <c r="OY46" s="63"/>
      <c r="OZ46" s="62"/>
      <c r="PA46" s="63"/>
      <c r="PB46" s="62"/>
      <c r="PC46" s="63"/>
      <c r="PD46" s="62"/>
      <c r="PE46" s="63"/>
      <c r="PF46" s="62"/>
      <c r="PG46" s="63"/>
      <c r="PH46" s="62"/>
      <c r="PI46" s="63"/>
      <c r="PJ46" s="62"/>
      <c r="PK46" s="63"/>
      <c r="PL46" s="62"/>
      <c r="PM46" s="63"/>
      <c r="PN46" s="62"/>
      <c r="PO46" s="63"/>
      <c r="PP46" s="62"/>
      <c r="PQ46" s="63"/>
      <c r="PR46" s="62"/>
      <c r="PS46" s="63"/>
      <c r="PT46" s="62"/>
      <c r="PU46" s="63"/>
      <c r="PV46" s="62"/>
      <c r="PW46" s="63"/>
      <c r="PX46" s="62"/>
      <c r="PY46" s="63"/>
      <c r="PZ46" s="62"/>
      <c r="QA46" s="63"/>
      <c r="QB46" s="62"/>
      <c r="QC46" s="63"/>
      <c r="QD46" s="62"/>
      <c r="QE46" s="63"/>
      <c r="QF46" s="62"/>
      <c r="QG46" s="63"/>
      <c r="QH46" s="62"/>
      <c r="QI46" s="63"/>
      <c r="QJ46" s="62"/>
      <c r="QK46" s="63"/>
      <c r="QL46" s="62"/>
      <c r="QM46" s="63"/>
      <c r="QN46" s="62"/>
      <c r="QO46" s="63"/>
      <c r="QP46" s="62"/>
      <c r="QQ46" s="63"/>
      <c r="QR46" s="62"/>
      <c r="QS46" s="63"/>
      <c r="QT46" s="62"/>
      <c r="QU46" s="63"/>
      <c r="QV46" s="62"/>
      <c r="QW46" s="63"/>
      <c r="QX46" s="62"/>
      <c r="QY46" s="63"/>
      <c r="QZ46" s="62"/>
      <c r="RA46" s="63"/>
      <c r="RB46" s="62"/>
      <c r="RC46" s="63"/>
      <c r="RD46" s="31"/>
    </row>
    <row r="47" spans="1:472" s="5" customFormat="1" ht="15" hidden="1" customHeight="1" x14ac:dyDescent="0.25">
      <c r="A47" s="5">
        <v>2049</v>
      </c>
      <c r="B47" s="5" t="s">
        <v>335</v>
      </c>
      <c r="C47" s="5" t="s">
        <v>4</v>
      </c>
      <c r="D47" s="5">
        <v>296</v>
      </c>
      <c r="E47" s="36" t="s">
        <v>334</v>
      </c>
      <c r="F47" s="5" t="s">
        <v>523</v>
      </c>
      <c r="I47" s="62"/>
      <c r="J47" s="63"/>
      <c r="K47" s="62"/>
      <c r="L47" s="63"/>
      <c r="M47" s="62"/>
      <c r="N47" s="63"/>
      <c r="O47" s="62"/>
      <c r="P47" s="63"/>
      <c r="Q47" s="62"/>
      <c r="R47" s="63"/>
      <c r="S47" s="62"/>
      <c r="T47" s="63"/>
      <c r="X47" s="62"/>
      <c r="Y47" s="63"/>
      <c r="Z47" s="62"/>
      <c r="AA47" s="63"/>
      <c r="AB47" s="62"/>
      <c r="AC47" s="63"/>
      <c r="AD47" s="62"/>
      <c r="AE47" s="63"/>
      <c r="AF47" s="62"/>
      <c r="AG47" s="63"/>
      <c r="AH47" s="62"/>
      <c r="AI47" s="63"/>
      <c r="AJ47" s="62"/>
      <c r="AK47" s="63"/>
      <c r="AL47" s="62"/>
      <c r="AM47" s="63"/>
      <c r="AN47" s="62"/>
      <c r="AO47" s="63"/>
      <c r="AP47" s="62"/>
      <c r="AQ47" s="63"/>
      <c r="AR47" s="62"/>
      <c r="AS47" s="63"/>
      <c r="AT47" s="62"/>
      <c r="AU47" s="63"/>
      <c r="AV47" s="62"/>
      <c r="AW47" s="63"/>
      <c r="AX47" s="62"/>
      <c r="AY47" s="63"/>
      <c r="AZ47" s="62"/>
      <c r="BA47" s="63"/>
      <c r="BB47" s="62"/>
      <c r="BC47" s="63"/>
      <c r="BD47" s="62"/>
      <c r="BE47" s="63"/>
      <c r="BF47" s="62"/>
      <c r="BG47" s="63"/>
      <c r="BH47" s="62"/>
      <c r="BI47" s="63"/>
      <c r="BJ47" s="62"/>
      <c r="BK47" s="63"/>
      <c r="BL47" s="62"/>
      <c r="BM47" s="63"/>
      <c r="BN47" s="62"/>
      <c r="BO47" s="63"/>
      <c r="BP47" s="62"/>
      <c r="BQ47" s="63"/>
      <c r="BR47" s="62"/>
      <c r="BS47" s="63"/>
      <c r="BT47" s="62"/>
      <c r="BU47" s="63"/>
      <c r="BV47" s="62"/>
      <c r="BW47" s="63"/>
      <c r="BX47" s="62"/>
      <c r="BY47" s="63"/>
      <c r="BZ47" s="62"/>
      <c r="CA47" s="63"/>
      <c r="CB47" s="62"/>
      <c r="CC47" s="63"/>
      <c r="CD47" s="62"/>
      <c r="CE47" s="63"/>
      <c r="CF47" s="62"/>
      <c r="CG47" s="63"/>
      <c r="CH47" s="62"/>
      <c r="CI47" s="63"/>
      <c r="CJ47" s="62"/>
      <c r="CK47" s="63"/>
      <c r="CL47" s="62" t="s">
        <v>66</v>
      </c>
      <c r="CM47" s="63"/>
      <c r="CN47" s="62"/>
      <c r="CO47" s="63"/>
      <c r="CP47" s="62" t="s">
        <v>66</v>
      </c>
      <c r="CQ47" s="63"/>
      <c r="CR47" s="62" t="s">
        <v>36</v>
      </c>
      <c r="CS47" s="63"/>
      <c r="CT47" s="62" t="s">
        <v>36</v>
      </c>
      <c r="CU47" s="63"/>
      <c r="CV47" s="62" t="s">
        <v>36</v>
      </c>
      <c r="CW47" s="63"/>
      <c r="CX47" s="62" t="s">
        <v>36</v>
      </c>
      <c r="CY47" s="63"/>
      <c r="CZ47" s="62" t="s">
        <v>36</v>
      </c>
      <c r="DA47" s="63"/>
      <c r="DB47" s="62" t="s">
        <v>36</v>
      </c>
      <c r="DC47" s="63"/>
      <c r="DD47" s="62" t="s">
        <v>36</v>
      </c>
      <c r="DE47" s="63"/>
      <c r="DF47" s="62" t="s">
        <v>36</v>
      </c>
      <c r="DG47" s="63"/>
      <c r="DH47" s="62" t="s">
        <v>36</v>
      </c>
      <c r="DI47" s="63"/>
      <c r="DJ47" s="62" t="s">
        <v>37</v>
      </c>
      <c r="DK47" s="63"/>
      <c r="DL47" s="62" t="s">
        <v>37</v>
      </c>
      <c r="DM47" s="63"/>
      <c r="DN47" s="62" t="s">
        <v>37</v>
      </c>
      <c r="DO47" s="63"/>
      <c r="DP47" s="62" t="s">
        <v>37</v>
      </c>
      <c r="DQ47" s="63"/>
      <c r="DR47" s="62" t="s">
        <v>37</v>
      </c>
      <c r="DS47" s="63"/>
      <c r="DT47" s="62"/>
      <c r="DU47" s="63"/>
      <c r="DV47" s="62"/>
      <c r="DW47" s="63"/>
      <c r="DX47" s="62"/>
      <c r="DY47" s="63"/>
      <c r="DZ47" s="62"/>
      <c r="EA47" s="63"/>
      <c r="EB47" s="62"/>
      <c r="EC47" s="63"/>
      <c r="ED47" s="62"/>
      <c r="EE47" s="63"/>
      <c r="EF47" s="62"/>
      <c r="EG47" s="63"/>
      <c r="EH47" s="62"/>
      <c r="EI47" s="63"/>
      <c r="EJ47" s="62"/>
      <c r="EK47" s="63"/>
      <c r="EL47" s="62"/>
      <c r="EM47" s="63"/>
      <c r="EN47" s="62"/>
      <c r="EO47" s="63"/>
      <c r="EP47" s="62"/>
      <c r="EQ47" s="63"/>
      <c r="ER47" s="62"/>
      <c r="ES47" s="63"/>
      <c r="ET47" s="62"/>
      <c r="EU47" s="63"/>
      <c r="EV47" s="62"/>
      <c r="EW47" s="63"/>
      <c r="EX47" s="62"/>
      <c r="EY47" s="63"/>
      <c r="EZ47" s="62"/>
      <c r="FA47" s="63"/>
      <c r="FB47" s="62"/>
      <c r="FC47" s="63"/>
      <c r="FD47" s="62"/>
      <c r="FE47" s="63"/>
      <c r="FF47" s="62"/>
      <c r="FG47" s="63"/>
      <c r="FH47" s="62"/>
      <c r="FI47" s="63"/>
      <c r="FJ47" s="62"/>
      <c r="FK47" s="63"/>
      <c r="FL47" s="62"/>
      <c r="FM47" s="63"/>
      <c r="FN47" s="62"/>
      <c r="FO47" s="63"/>
      <c r="FP47" s="62"/>
      <c r="FQ47" s="63"/>
      <c r="FR47" s="62"/>
      <c r="FS47" s="63"/>
      <c r="FT47" s="62"/>
      <c r="FU47" s="63"/>
      <c r="FV47" s="62"/>
      <c r="FW47" s="63"/>
      <c r="FX47" s="62"/>
      <c r="FY47" s="63"/>
      <c r="FZ47" s="62"/>
      <c r="GA47" s="63"/>
      <c r="GB47" s="62"/>
      <c r="GC47" s="63"/>
      <c r="GD47" s="62"/>
      <c r="GE47" s="63"/>
      <c r="GF47" s="62"/>
      <c r="GG47" s="63"/>
      <c r="GH47" s="62"/>
      <c r="GI47" s="63"/>
      <c r="GJ47" s="62"/>
      <c r="GK47" s="63"/>
      <c r="GL47" s="62"/>
      <c r="GM47" s="63"/>
      <c r="GN47" s="62"/>
      <c r="GO47" s="63"/>
      <c r="GP47" s="62"/>
      <c r="GQ47" s="63"/>
      <c r="GR47" s="62"/>
      <c r="GS47" s="63"/>
      <c r="GT47" s="62"/>
      <c r="GU47" s="63"/>
      <c r="GV47" s="62"/>
      <c r="GW47" s="63"/>
      <c r="GX47" s="62"/>
      <c r="GY47" s="63"/>
      <c r="GZ47" s="62"/>
      <c r="HA47" s="63"/>
      <c r="HB47" s="62"/>
      <c r="HC47" s="63"/>
      <c r="HD47" s="62"/>
      <c r="HE47" s="63"/>
      <c r="HF47" s="62"/>
      <c r="HG47" s="63"/>
      <c r="HH47" s="62"/>
      <c r="HI47" s="63"/>
      <c r="HJ47" s="62"/>
      <c r="HK47" s="63"/>
      <c r="HL47" s="62"/>
      <c r="HM47" s="63"/>
      <c r="HN47" s="62"/>
      <c r="HO47" s="63"/>
      <c r="HP47" s="62"/>
      <c r="HQ47" s="63"/>
      <c r="HR47" s="62"/>
      <c r="HS47" s="63"/>
      <c r="HT47" s="62"/>
      <c r="HU47" s="63"/>
      <c r="HV47" s="62"/>
      <c r="HW47" s="63"/>
      <c r="HX47" s="62"/>
      <c r="HY47" s="63"/>
      <c r="HZ47" s="62"/>
      <c r="IA47" s="63"/>
      <c r="IB47" s="62"/>
      <c r="IC47" s="63"/>
      <c r="ID47" s="62"/>
      <c r="IE47" s="63"/>
      <c r="IF47" s="62"/>
      <c r="IG47" s="63"/>
      <c r="IH47" s="62"/>
      <c r="II47" s="63"/>
      <c r="IJ47" s="62"/>
      <c r="IK47" s="63"/>
      <c r="IL47" s="62"/>
      <c r="IM47" s="63"/>
      <c r="IN47" s="62"/>
      <c r="IO47" s="63"/>
      <c r="IP47" s="62"/>
      <c r="IQ47" s="63"/>
      <c r="IR47" s="62"/>
      <c r="IS47" s="63"/>
      <c r="IT47" s="62"/>
      <c r="IU47" s="63"/>
      <c r="IV47" s="62"/>
      <c r="IW47" s="63"/>
      <c r="IX47" s="62"/>
      <c r="IY47" s="63"/>
      <c r="IZ47" s="62"/>
      <c r="JA47" s="63"/>
      <c r="JB47" s="62"/>
      <c r="JC47" s="63"/>
      <c r="JD47" s="62"/>
      <c r="JE47" s="63"/>
      <c r="JF47" s="62"/>
      <c r="JG47" s="63"/>
      <c r="JH47" s="62"/>
      <c r="JI47" s="63"/>
      <c r="JJ47" s="62"/>
      <c r="JK47" s="63"/>
      <c r="JL47" s="62"/>
      <c r="JM47" s="63"/>
      <c r="JN47" s="62"/>
      <c r="JO47" s="63"/>
      <c r="JP47" s="62"/>
      <c r="JQ47" s="63"/>
      <c r="JR47" s="62"/>
      <c r="JS47" s="63"/>
      <c r="JT47" s="62"/>
      <c r="JU47" s="63"/>
      <c r="JV47" s="62"/>
      <c r="JW47" s="63"/>
      <c r="JX47" s="62"/>
      <c r="JY47" s="63"/>
      <c r="JZ47" s="62"/>
      <c r="KA47" s="63"/>
      <c r="KB47" s="62"/>
      <c r="KC47" s="63"/>
      <c r="KD47" s="62"/>
      <c r="KE47" s="63"/>
      <c r="KF47" s="62"/>
      <c r="KG47" s="63"/>
      <c r="KH47" s="62"/>
      <c r="KI47" s="63"/>
      <c r="KJ47" s="62"/>
      <c r="KK47" s="63"/>
      <c r="KL47" s="62"/>
      <c r="KM47" s="63"/>
      <c r="KN47" s="62"/>
      <c r="KO47" s="63"/>
      <c r="KP47" s="62"/>
      <c r="KQ47" s="63"/>
      <c r="KR47" s="62"/>
      <c r="KS47" s="63"/>
      <c r="KT47" s="62"/>
      <c r="KU47" s="63"/>
      <c r="KV47" s="62"/>
      <c r="KW47" s="63"/>
      <c r="KX47" s="62"/>
      <c r="KY47" s="63"/>
      <c r="KZ47" s="62"/>
      <c r="LA47" s="63"/>
      <c r="LB47" s="62"/>
      <c r="LC47" s="63"/>
      <c r="LD47" s="62"/>
      <c r="LE47" s="63"/>
      <c r="LF47" s="62"/>
      <c r="LG47" s="63"/>
      <c r="LH47" s="62"/>
      <c r="LI47" s="63"/>
      <c r="LJ47" s="62"/>
      <c r="LK47" s="63"/>
      <c r="LL47" s="62"/>
      <c r="LM47" s="63"/>
      <c r="LN47" s="62"/>
      <c r="LO47" s="63"/>
      <c r="LP47" s="62"/>
      <c r="LQ47" s="63"/>
      <c r="LR47" s="62"/>
      <c r="LS47" s="63"/>
      <c r="LT47" s="62"/>
      <c r="LU47" s="63"/>
      <c r="LV47" s="62"/>
      <c r="LW47" s="63"/>
      <c r="LX47" s="62"/>
      <c r="LY47" s="63"/>
      <c r="LZ47" s="62"/>
      <c r="MA47" s="63"/>
      <c r="MB47" s="62"/>
      <c r="MC47" s="63"/>
      <c r="MD47" s="62"/>
      <c r="ME47" s="63"/>
      <c r="MF47" s="62"/>
      <c r="MG47" s="63"/>
      <c r="MH47" s="62"/>
      <c r="MI47" s="63"/>
      <c r="MJ47" s="62"/>
      <c r="MK47" s="63"/>
      <c r="ML47" s="62"/>
      <c r="MM47" s="63"/>
      <c r="MN47" s="62"/>
      <c r="MO47" s="63"/>
      <c r="MP47" s="62"/>
      <c r="MQ47" s="63"/>
      <c r="MR47" s="62"/>
      <c r="MS47" s="63"/>
      <c r="MT47" s="62"/>
      <c r="MU47" s="63"/>
      <c r="MV47" s="62"/>
      <c r="MW47" s="63"/>
      <c r="MX47" s="62"/>
      <c r="MY47" s="63"/>
      <c r="MZ47" s="62"/>
      <c r="NA47" s="63"/>
      <c r="NB47" s="62"/>
      <c r="NC47" s="63"/>
      <c r="ND47" s="62"/>
      <c r="NE47" s="63"/>
      <c r="NF47" s="62"/>
      <c r="NG47" s="63"/>
      <c r="NH47" s="62"/>
      <c r="NI47" s="63"/>
      <c r="NJ47" s="62"/>
      <c r="NK47" s="63"/>
      <c r="NL47" s="62"/>
      <c r="NM47" s="63"/>
      <c r="NN47" s="62"/>
      <c r="NO47" s="63"/>
      <c r="NP47" s="62"/>
      <c r="NQ47" s="63"/>
      <c r="NR47" s="62"/>
      <c r="NS47" s="63"/>
      <c r="NT47" s="62"/>
      <c r="NU47" s="63"/>
      <c r="NV47" s="62"/>
      <c r="NW47" s="63"/>
      <c r="NX47" s="62"/>
      <c r="NY47" s="63"/>
      <c r="NZ47" s="62"/>
      <c r="OA47" s="63"/>
      <c r="OB47" s="62"/>
      <c r="OC47" s="63"/>
      <c r="OD47" s="62"/>
      <c r="OE47" s="63"/>
      <c r="OF47" s="62"/>
      <c r="OG47" s="63"/>
      <c r="OH47" s="62"/>
      <c r="OI47" s="63"/>
      <c r="OJ47" s="62"/>
      <c r="OK47" s="63"/>
      <c r="OL47" s="62"/>
      <c r="OM47" s="63"/>
      <c r="ON47" s="62"/>
      <c r="OO47" s="63"/>
      <c r="OP47" s="62"/>
      <c r="OQ47" s="63"/>
      <c r="OR47" s="62"/>
      <c r="OS47" s="63"/>
      <c r="OT47" s="62"/>
      <c r="OU47" s="63"/>
      <c r="OV47" s="62"/>
      <c r="OW47" s="63"/>
      <c r="OX47" s="62"/>
      <c r="OY47" s="63"/>
      <c r="OZ47" s="62"/>
      <c r="PA47" s="63"/>
      <c r="PB47" s="62"/>
      <c r="PC47" s="63"/>
      <c r="PD47" s="62"/>
      <c r="PE47" s="63"/>
      <c r="PF47" s="62"/>
      <c r="PG47" s="63"/>
      <c r="PH47" s="62"/>
      <c r="PI47" s="63"/>
      <c r="PJ47" s="62"/>
      <c r="PK47" s="63"/>
      <c r="PL47" s="62"/>
      <c r="PM47" s="63"/>
      <c r="PN47" s="62"/>
      <c r="PO47" s="63"/>
      <c r="PP47" s="62"/>
      <c r="PQ47" s="63"/>
      <c r="PR47" s="62"/>
      <c r="PS47" s="63"/>
      <c r="PT47" s="62"/>
      <c r="PU47" s="63"/>
      <c r="PV47" s="62"/>
      <c r="PW47" s="63"/>
      <c r="PX47" s="62"/>
      <c r="PY47" s="63"/>
      <c r="PZ47" s="62"/>
      <c r="QA47" s="63"/>
      <c r="QB47" s="62"/>
      <c r="QC47" s="63"/>
      <c r="QD47" s="62"/>
      <c r="QE47" s="63"/>
      <c r="QF47" s="62"/>
      <c r="QG47" s="63"/>
      <c r="QH47" s="62"/>
      <c r="QI47" s="63"/>
      <c r="QJ47" s="62"/>
      <c r="QK47" s="63"/>
      <c r="QL47" s="62"/>
      <c r="QM47" s="63"/>
      <c r="QN47" s="62"/>
      <c r="QO47" s="63"/>
      <c r="QP47" s="62"/>
      <c r="QQ47" s="63"/>
      <c r="QR47" s="62"/>
      <c r="QS47" s="63"/>
      <c r="QT47" s="62"/>
      <c r="QU47" s="63"/>
      <c r="QV47" s="62"/>
      <c r="QW47" s="63"/>
      <c r="QX47" s="62"/>
      <c r="QY47" s="63"/>
      <c r="QZ47" s="62"/>
      <c r="RA47" s="63"/>
      <c r="RB47" s="62"/>
      <c r="RC47" s="63"/>
      <c r="RD47" s="31"/>
    </row>
    <row r="48" spans="1:472" s="5" customFormat="1" ht="15" hidden="1" customHeight="1" x14ac:dyDescent="0.25">
      <c r="A48" s="5">
        <v>2045</v>
      </c>
      <c r="B48" s="5" t="s">
        <v>367</v>
      </c>
      <c r="C48" s="5" t="s">
        <v>369</v>
      </c>
      <c r="D48" s="5">
        <v>158</v>
      </c>
      <c r="E48" s="36"/>
      <c r="F48" s="5" t="s">
        <v>524</v>
      </c>
      <c r="I48" s="62"/>
      <c r="J48" s="63"/>
      <c r="K48" s="62"/>
      <c r="L48" s="63"/>
      <c r="M48" s="62"/>
      <c r="N48" s="63"/>
      <c r="O48" s="62"/>
      <c r="P48" s="63"/>
      <c r="Q48" s="62"/>
      <c r="R48" s="63"/>
      <c r="S48" s="62"/>
      <c r="T48" s="63"/>
      <c r="X48" s="62"/>
      <c r="Y48" s="63"/>
      <c r="Z48" s="62"/>
      <c r="AA48" s="63"/>
      <c r="AB48" s="62"/>
      <c r="AC48" s="63"/>
      <c r="AD48" s="62"/>
      <c r="AE48" s="63"/>
      <c r="AF48" s="62"/>
      <c r="AG48" s="63"/>
      <c r="AH48" s="62"/>
      <c r="AI48" s="63"/>
      <c r="AJ48" s="62"/>
      <c r="AK48" s="63"/>
      <c r="AL48" s="62"/>
      <c r="AM48" s="63"/>
      <c r="AN48" s="62"/>
      <c r="AO48" s="63"/>
      <c r="AP48" s="62"/>
      <c r="AQ48" s="63"/>
      <c r="AR48" s="62"/>
      <c r="AS48" s="63"/>
      <c r="AT48" s="62"/>
      <c r="AU48" s="63"/>
      <c r="AV48" s="62"/>
      <c r="AW48" s="63"/>
      <c r="AX48" s="62"/>
      <c r="AY48" s="63"/>
      <c r="AZ48" s="62"/>
      <c r="BA48" s="63"/>
      <c r="BB48" s="62"/>
      <c r="BC48" s="63"/>
      <c r="BD48" s="62"/>
      <c r="BE48" s="63"/>
      <c r="BF48" s="62"/>
      <c r="BG48" s="63"/>
      <c r="BH48" s="62"/>
      <c r="BI48" s="63"/>
      <c r="BJ48" s="62"/>
      <c r="BK48" s="63"/>
      <c r="BL48" s="62"/>
      <c r="BM48" s="63"/>
      <c r="BN48" s="62"/>
      <c r="BO48" s="63"/>
      <c r="BP48" s="62"/>
      <c r="BQ48" s="63"/>
      <c r="BR48" s="62"/>
      <c r="BS48" s="63"/>
      <c r="BT48" s="62"/>
      <c r="BU48" s="63"/>
      <c r="BV48" s="62"/>
      <c r="BW48" s="63"/>
      <c r="BX48" s="62"/>
      <c r="BY48" s="63"/>
      <c r="BZ48" s="62"/>
      <c r="CA48" s="63"/>
      <c r="CB48" s="62"/>
      <c r="CC48" s="63"/>
      <c r="CD48" s="62"/>
      <c r="CE48" s="63"/>
      <c r="CF48" s="62"/>
      <c r="CG48" s="63"/>
      <c r="CH48" s="62"/>
      <c r="CI48" s="63"/>
      <c r="CJ48" s="62"/>
      <c r="CK48" s="63"/>
      <c r="CL48" s="62"/>
      <c r="CM48" s="63"/>
      <c r="CN48" s="62"/>
      <c r="CO48" s="63"/>
      <c r="CP48" s="31"/>
      <c r="CQ48" s="32" t="s">
        <v>66</v>
      </c>
      <c r="CR48" s="62" t="s">
        <v>66</v>
      </c>
      <c r="CS48" s="63"/>
      <c r="CT48" s="62" t="s">
        <v>66</v>
      </c>
      <c r="CU48" s="63"/>
      <c r="CV48" s="62" t="s">
        <v>36</v>
      </c>
      <c r="CW48" s="63"/>
      <c r="CX48" s="62" t="s">
        <v>36</v>
      </c>
      <c r="CY48" s="63"/>
      <c r="CZ48" s="62" t="s">
        <v>36</v>
      </c>
      <c r="DA48" s="63"/>
      <c r="DB48" s="62" t="s">
        <v>36</v>
      </c>
      <c r="DC48" s="63"/>
      <c r="DD48" s="62" t="s">
        <v>36</v>
      </c>
      <c r="DE48" s="63"/>
      <c r="DF48" s="62" t="s">
        <v>36</v>
      </c>
      <c r="DG48" s="63"/>
      <c r="DH48" s="62" t="s">
        <v>36</v>
      </c>
      <c r="DI48" s="63"/>
      <c r="DJ48" s="62" t="s">
        <v>36</v>
      </c>
      <c r="DK48" s="63"/>
      <c r="DL48" s="31" t="s">
        <v>36</v>
      </c>
      <c r="DM48" s="32" t="s">
        <v>37</v>
      </c>
      <c r="DN48" s="62" t="s">
        <v>37</v>
      </c>
      <c r="DO48" s="63"/>
      <c r="DP48" s="62" t="s">
        <v>37</v>
      </c>
      <c r="DQ48" s="63"/>
      <c r="DR48" s="62" t="s">
        <v>37</v>
      </c>
      <c r="DS48" s="63"/>
      <c r="DT48" s="62" t="s">
        <v>37</v>
      </c>
      <c r="DU48" s="63"/>
      <c r="DV48" s="62" t="s">
        <v>37</v>
      </c>
      <c r="DW48" s="63"/>
      <c r="DX48" s="62" t="s">
        <v>37</v>
      </c>
      <c r="DY48" s="63"/>
      <c r="DZ48" s="62"/>
      <c r="EA48" s="63"/>
      <c r="EB48" s="62"/>
      <c r="EC48" s="63"/>
      <c r="ED48" s="62"/>
      <c r="EE48" s="63"/>
      <c r="EF48" s="62"/>
      <c r="EG48" s="63"/>
      <c r="EH48" s="62"/>
      <c r="EI48" s="63"/>
      <c r="EJ48" s="62"/>
      <c r="EK48" s="63"/>
      <c r="EL48" s="62"/>
      <c r="EM48" s="63"/>
      <c r="EN48" s="62"/>
      <c r="EO48" s="63"/>
      <c r="EP48" s="62"/>
      <c r="EQ48" s="63"/>
      <c r="ER48" s="62"/>
      <c r="ES48" s="63"/>
      <c r="ET48" s="62"/>
      <c r="EU48" s="63"/>
      <c r="EV48" s="62"/>
      <c r="EW48" s="63"/>
      <c r="EX48" s="62"/>
      <c r="EY48" s="63"/>
      <c r="EZ48" s="62"/>
      <c r="FA48" s="63"/>
      <c r="FB48" s="62"/>
      <c r="FC48" s="63"/>
      <c r="FD48" s="62"/>
      <c r="FE48" s="63"/>
      <c r="FF48" s="62"/>
      <c r="FG48" s="63"/>
      <c r="FH48" s="62"/>
      <c r="FI48" s="63"/>
      <c r="FJ48" s="62"/>
      <c r="FK48" s="63"/>
      <c r="FL48" s="62"/>
      <c r="FM48" s="63"/>
      <c r="FN48" s="62"/>
      <c r="FO48" s="63"/>
      <c r="FP48" s="62"/>
      <c r="FQ48" s="63"/>
      <c r="FR48" s="62"/>
      <c r="FS48" s="63"/>
      <c r="FT48" s="62"/>
      <c r="FU48" s="63"/>
      <c r="FV48" s="62"/>
      <c r="FW48" s="63"/>
      <c r="FX48" s="62"/>
      <c r="FY48" s="63"/>
      <c r="FZ48" s="62"/>
      <c r="GA48" s="63"/>
      <c r="GB48" s="62"/>
      <c r="GC48" s="63"/>
      <c r="GD48" s="62"/>
      <c r="GE48" s="63"/>
      <c r="GF48" s="62"/>
      <c r="GG48" s="63"/>
      <c r="GH48" s="62"/>
      <c r="GI48" s="63"/>
      <c r="GJ48" s="62"/>
      <c r="GK48" s="63"/>
      <c r="GL48" s="62"/>
      <c r="GM48" s="63"/>
      <c r="GN48" s="62"/>
      <c r="GO48" s="63"/>
      <c r="GP48" s="62"/>
      <c r="GQ48" s="63"/>
      <c r="GR48" s="62"/>
      <c r="GS48" s="63"/>
      <c r="GT48" s="62"/>
      <c r="GU48" s="63"/>
      <c r="GV48" s="62"/>
      <c r="GW48" s="63"/>
      <c r="GX48" s="62"/>
      <c r="GY48" s="63"/>
      <c r="GZ48" s="62"/>
      <c r="HA48" s="63"/>
      <c r="HB48" s="62"/>
      <c r="HC48" s="63"/>
      <c r="HD48" s="62"/>
      <c r="HE48" s="63"/>
      <c r="HF48" s="62"/>
      <c r="HG48" s="63"/>
      <c r="HH48" s="62"/>
      <c r="HI48" s="63"/>
      <c r="HJ48" s="62"/>
      <c r="HK48" s="63"/>
      <c r="HL48" s="62"/>
      <c r="HM48" s="63"/>
      <c r="HN48" s="62"/>
      <c r="HO48" s="63"/>
      <c r="HP48" s="62"/>
      <c r="HQ48" s="63"/>
      <c r="HR48" s="62"/>
      <c r="HS48" s="63"/>
      <c r="HT48" s="62"/>
      <c r="HU48" s="63"/>
      <c r="HV48" s="62"/>
      <c r="HW48" s="63"/>
      <c r="HX48" s="62"/>
      <c r="HY48" s="63"/>
      <c r="HZ48" s="62"/>
      <c r="IA48" s="63"/>
      <c r="IB48" s="62"/>
      <c r="IC48" s="63"/>
      <c r="ID48" s="62"/>
      <c r="IE48" s="63"/>
      <c r="IF48" s="62"/>
      <c r="IG48" s="63"/>
      <c r="IH48" s="62"/>
      <c r="II48" s="63"/>
      <c r="IJ48" s="62"/>
      <c r="IK48" s="63"/>
      <c r="IL48" s="62"/>
      <c r="IM48" s="63"/>
      <c r="IN48" s="62"/>
      <c r="IO48" s="63"/>
      <c r="IP48" s="62"/>
      <c r="IQ48" s="63"/>
      <c r="IR48" s="62"/>
      <c r="IS48" s="63"/>
      <c r="IT48" s="62"/>
      <c r="IU48" s="63"/>
      <c r="IV48" s="62"/>
      <c r="IW48" s="63"/>
      <c r="IX48" s="62"/>
      <c r="IY48" s="63"/>
      <c r="IZ48" s="62"/>
      <c r="JA48" s="63"/>
      <c r="JB48" s="62"/>
      <c r="JC48" s="63"/>
      <c r="JD48" s="62"/>
      <c r="JE48" s="63"/>
      <c r="JF48" s="62"/>
      <c r="JG48" s="63"/>
      <c r="JH48" s="62"/>
      <c r="JI48" s="63"/>
      <c r="JJ48" s="62"/>
      <c r="JK48" s="63"/>
      <c r="JL48" s="62"/>
      <c r="JM48" s="63"/>
      <c r="JN48" s="62"/>
      <c r="JO48" s="63"/>
      <c r="JP48" s="62"/>
      <c r="JQ48" s="63"/>
      <c r="JR48" s="62"/>
      <c r="JS48" s="63"/>
      <c r="JT48" s="62"/>
      <c r="JU48" s="63"/>
      <c r="JV48" s="62"/>
      <c r="JW48" s="63"/>
      <c r="JX48" s="62"/>
      <c r="JY48" s="63"/>
      <c r="JZ48" s="62"/>
      <c r="KA48" s="63"/>
      <c r="KB48" s="62"/>
      <c r="KC48" s="63"/>
      <c r="KD48" s="62"/>
      <c r="KE48" s="63"/>
      <c r="KF48" s="62"/>
      <c r="KG48" s="63"/>
      <c r="KH48" s="62"/>
      <c r="KI48" s="63"/>
      <c r="KJ48" s="62"/>
      <c r="KK48" s="63"/>
      <c r="KL48" s="62"/>
      <c r="KM48" s="63"/>
      <c r="KN48" s="62"/>
      <c r="KO48" s="63"/>
      <c r="KP48" s="62"/>
      <c r="KQ48" s="63"/>
      <c r="KR48" s="62"/>
      <c r="KS48" s="63"/>
      <c r="KT48" s="62"/>
      <c r="KU48" s="63"/>
      <c r="KV48" s="62"/>
      <c r="KW48" s="63"/>
      <c r="KX48" s="62"/>
      <c r="KY48" s="63"/>
      <c r="KZ48" s="62"/>
      <c r="LA48" s="63"/>
      <c r="LB48" s="62"/>
      <c r="LC48" s="63"/>
      <c r="LD48" s="62"/>
      <c r="LE48" s="63"/>
      <c r="LF48" s="62"/>
      <c r="LG48" s="63"/>
      <c r="LH48" s="62"/>
      <c r="LI48" s="63"/>
      <c r="LJ48" s="62"/>
      <c r="LK48" s="63"/>
      <c r="LL48" s="62"/>
      <c r="LM48" s="63"/>
      <c r="LN48" s="62"/>
      <c r="LO48" s="63"/>
      <c r="LP48" s="62"/>
      <c r="LQ48" s="63"/>
      <c r="LR48" s="62"/>
      <c r="LS48" s="63"/>
      <c r="LT48" s="62"/>
      <c r="LU48" s="63"/>
      <c r="LV48" s="62"/>
      <c r="LW48" s="63"/>
      <c r="LX48" s="62"/>
      <c r="LY48" s="63"/>
      <c r="LZ48" s="62"/>
      <c r="MA48" s="63"/>
      <c r="MB48" s="62"/>
      <c r="MC48" s="63"/>
      <c r="MD48" s="62"/>
      <c r="ME48" s="63"/>
      <c r="MF48" s="62"/>
      <c r="MG48" s="63"/>
      <c r="MH48" s="62"/>
      <c r="MI48" s="63"/>
      <c r="MJ48" s="62"/>
      <c r="MK48" s="63"/>
      <c r="ML48" s="62"/>
      <c r="MM48" s="63"/>
      <c r="MN48" s="62"/>
      <c r="MO48" s="63"/>
      <c r="MP48" s="62"/>
      <c r="MQ48" s="63"/>
      <c r="MR48" s="62"/>
      <c r="MS48" s="63"/>
      <c r="MT48" s="62"/>
      <c r="MU48" s="63"/>
      <c r="MV48" s="62"/>
      <c r="MW48" s="63"/>
      <c r="MX48" s="62"/>
      <c r="MY48" s="63"/>
      <c r="MZ48" s="62"/>
      <c r="NA48" s="63"/>
      <c r="NB48" s="62"/>
      <c r="NC48" s="63"/>
      <c r="ND48" s="62"/>
      <c r="NE48" s="63"/>
      <c r="NF48" s="62"/>
      <c r="NG48" s="63"/>
      <c r="NH48" s="62"/>
      <c r="NI48" s="63"/>
      <c r="NJ48" s="62"/>
      <c r="NK48" s="63"/>
      <c r="NL48" s="62"/>
      <c r="NM48" s="63"/>
      <c r="NN48" s="62"/>
      <c r="NO48" s="63"/>
      <c r="NP48" s="62"/>
      <c r="NQ48" s="63"/>
      <c r="NR48" s="62"/>
      <c r="NS48" s="63"/>
      <c r="NT48" s="62"/>
      <c r="NU48" s="63"/>
      <c r="NV48" s="62"/>
      <c r="NW48" s="63"/>
      <c r="NX48" s="62"/>
      <c r="NY48" s="63"/>
      <c r="NZ48" s="62"/>
      <c r="OA48" s="63"/>
      <c r="OB48" s="62"/>
      <c r="OC48" s="63"/>
      <c r="OD48" s="62"/>
      <c r="OE48" s="63"/>
      <c r="OF48" s="62"/>
      <c r="OG48" s="63"/>
      <c r="OH48" s="62"/>
      <c r="OI48" s="63"/>
      <c r="OJ48" s="62"/>
      <c r="OK48" s="63"/>
      <c r="OL48" s="62"/>
      <c r="OM48" s="63"/>
      <c r="ON48" s="62"/>
      <c r="OO48" s="63"/>
      <c r="OP48" s="62"/>
      <c r="OQ48" s="63"/>
      <c r="OR48" s="62"/>
      <c r="OS48" s="63"/>
      <c r="OT48" s="62"/>
      <c r="OU48" s="63"/>
      <c r="OV48" s="62"/>
      <c r="OW48" s="63"/>
      <c r="OX48" s="62"/>
      <c r="OY48" s="63"/>
      <c r="OZ48" s="62"/>
      <c r="PA48" s="63"/>
      <c r="PB48" s="62"/>
      <c r="PC48" s="63"/>
      <c r="PD48" s="62"/>
      <c r="PE48" s="63"/>
      <c r="PF48" s="62"/>
      <c r="PG48" s="63"/>
      <c r="PH48" s="62"/>
      <c r="PI48" s="63"/>
      <c r="PJ48" s="62"/>
      <c r="PK48" s="63"/>
      <c r="PL48" s="62"/>
      <c r="PM48" s="63"/>
      <c r="PN48" s="62"/>
      <c r="PO48" s="63"/>
      <c r="PP48" s="62"/>
      <c r="PQ48" s="63"/>
      <c r="PR48" s="62"/>
      <c r="PS48" s="63"/>
      <c r="PT48" s="62"/>
      <c r="PU48" s="63"/>
      <c r="PV48" s="62"/>
      <c r="PW48" s="63"/>
      <c r="PX48" s="62"/>
      <c r="PY48" s="63"/>
      <c r="PZ48" s="62"/>
      <c r="QA48" s="63"/>
      <c r="QB48" s="62"/>
      <c r="QC48" s="63"/>
      <c r="QD48" s="62"/>
      <c r="QE48" s="63"/>
      <c r="QF48" s="62"/>
      <c r="QG48" s="63"/>
      <c r="QH48" s="62"/>
      <c r="QI48" s="63"/>
      <c r="QJ48" s="62"/>
      <c r="QK48" s="63"/>
      <c r="QL48" s="62"/>
      <c r="QM48" s="63"/>
      <c r="QN48" s="62"/>
      <c r="QO48" s="63"/>
      <c r="QP48" s="62"/>
      <c r="QQ48" s="63"/>
      <c r="QR48" s="62"/>
      <c r="QS48" s="63"/>
      <c r="QT48" s="62"/>
      <c r="QU48" s="63"/>
      <c r="QV48" s="62"/>
      <c r="QW48" s="63"/>
      <c r="QX48" s="62"/>
      <c r="QY48" s="63"/>
      <c r="QZ48" s="62"/>
      <c r="RA48" s="63"/>
      <c r="RB48" s="62"/>
      <c r="RC48" s="63"/>
      <c r="RD48" s="31"/>
    </row>
    <row r="49" spans="1:472" s="5" customFormat="1" ht="15" hidden="1" customHeight="1" x14ac:dyDescent="0.25">
      <c r="A49" s="5">
        <v>2057</v>
      </c>
      <c r="B49" s="5" t="s">
        <v>441</v>
      </c>
      <c r="C49" s="5" t="s">
        <v>257</v>
      </c>
      <c r="D49" s="5">
        <v>111</v>
      </c>
      <c r="E49" s="36"/>
      <c r="F49" s="5" t="s">
        <v>466</v>
      </c>
      <c r="I49" s="62"/>
      <c r="J49" s="63"/>
      <c r="K49" s="62"/>
      <c r="L49" s="63"/>
      <c r="M49" s="62"/>
      <c r="N49" s="63"/>
      <c r="O49" s="62"/>
      <c r="P49" s="63"/>
      <c r="Q49" s="62"/>
      <c r="R49" s="63"/>
      <c r="S49" s="62"/>
      <c r="T49" s="63"/>
      <c r="X49" s="62"/>
      <c r="Y49" s="63"/>
      <c r="Z49" s="62"/>
      <c r="AA49" s="63"/>
      <c r="AB49" s="62"/>
      <c r="AC49" s="63"/>
      <c r="AD49" s="62"/>
      <c r="AE49" s="63"/>
      <c r="AF49" s="62"/>
      <c r="AG49" s="63"/>
      <c r="AH49" s="62"/>
      <c r="AI49" s="63"/>
      <c r="AJ49" s="62"/>
      <c r="AK49" s="63"/>
      <c r="AL49" s="62"/>
      <c r="AM49" s="63"/>
      <c r="AN49" s="62"/>
      <c r="AO49" s="63"/>
      <c r="AP49" s="62"/>
      <c r="AQ49" s="63"/>
      <c r="AR49" s="62"/>
      <c r="AS49" s="63"/>
      <c r="AT49" s="62"/>
      <c r="AU49" s="63"/>
      <c r="AV49" s="62"/>
      <c r="AW49" s="63"/>
      <c r="AX49" s="62"/>
      <c r="AY49" s="63"/>
      <c r="AZ49" s="62"/>
      <c r="BA49" s="63"/>
      <c r="BB49" s="62"/>
      <c r="BC49" s="63"/>
      <c r="BD49" s="62"/>
      <c r="BE49" s="63"/>
      <c r="BF49" s="62"/>
      <c r="BG49" s="63"/>
      <c r="BH49" s="62"/>
      <c r="BI49" s="63"/>
      <c r="BJ49" s="62"/>
      <c r="BK49" s="63"/>
      <c r="BL49" s="62"/>
      <c r="BM49" s="63"/>
      <c r="BN49" s="62"/>
      <c r="BO49" s="63"/>
      <c r="BP49" s="62"/>
      <c r="BQ49" s="63"/>
      <c r="BR49" s="62"/>
      <c r="BS49" s="63"/>
      <c r="BT49" s="62"/>
      <c r="BU49" s="63"/>
      <c r="BV49" s="62"/>
      <c r="BW49" s="63"/>
      <c r="BX49" s="62"/>
      <c r="BY49" s="63"/>
      <c r="BZ49" s="62"/>
      <c r="CA49" s="63"/>
      <c r="CB49" s="62"/>
      <c r="CC49" s="63"/>
      <c r="CD49" s="62"/>
      <c r="CE49" s="63"/>
      <c r="CF49" s="62"/>
      <c r="CG49" s="63"/>
      <c r="CH49" s="62"/>
      <c r="CI49" s="63"/>
      <c r="CJ49" s="62"/>
      <c r="CK49" s="63"/>
      <c r="CL49" s="62"/>
      <c r="CM49" s="63"/>
      <c r="CN49" s="62"/>
      <c r="CO49" s="63"/>
      <c r="CP49" s="62"/>
      <c r="CQ49" s="63"/>
      <c r="CR49" s="62"/>
      <c r="CS49" s="63"/>
      <c r="CT49" s="62" t="s">
        <v>66</v>
      </c>
      <c r="CU49" s="63"/>
      <c r="CV49" s="62" t="s">
        <v>38</v>
      </c>
      <c r="CW49" s="63"/>
      <c r="CX49" s="62" t="s">
        <v>38</v>
      </c>
      <c r="CY49" s="63"/>
      <c r="CZ49" s="62" t="s">
        <v>38</v>
      </c>
      <c r="DA49" s="63"/>
      <c r="DB49" s="62" t="s">
        <v>36</v>
      </c>
      <c r="DC49" s="63"/>
      <c r="DD49" s="62" t="s">
        <v>36</v>
      </c>
      <c r="DE49" s="63"/>
      <c r="DF49" s="62" t="s">
        <v>36</v>
      </c>
      <c r="DG49" s="63"/>
      <c r="DH49" s="62" t="s">
        <v>36</v>
      </c>
      <c r="DI49" s="63"/>
      <c r="DJ49" s="62" t="s">
        <v>36</v>
      </c>
      <c r="DK49" s="63"/>
      <c r="DL49" s="62" t="s">
        <v>36</v>
      </c>
      <c r="DM49" s="63"/>
      <c r="DN49" s="62" t="s">
        <v>36</v>
      </c>
      <c r="DO49" s="63"/>
      <c r="DP49" s="31" t="s">
        <v>36</v>
      </c>
      <c r="DQ49" s="32" t="s">
        <v>37</v>
      </c>
      <c r="DR49" s="62" t="s">
        <v>37</v>
      </c>
      <c r="DS49" s="63"/>
      <c r="DT49" s="62" t="s">
        <v>37</v>
      </c>
      <c r="DU49" s="63"/>
      <c r="DV49" s="62" t="s">
        <v>37</v>
      </c>
      <c r="DW49" s="63"/>
      <c r="DX49" s="62" t="s">
        <v>37</v>
      </c>
      <c r="DY49" s="63"/>
      <c r="DZ49" s="62"/>
      <c r="EA49" s="63"/>
      <c r="EB49" s="62"/>
      <c r="EC49" s="63"/>
      <c r="ED49" s="62"/>
      <c r="EE49" s="63"/>
      <c r="EF49" s="62"/>
      <c r="EG49" s="63"/>
      <c r="EH49" s="62"/>
      <c r="EI49" s="63"/>
      <c r="EJ49" s="62"/>
      <c r="EK49" s="63"/>
      <c r="EL49" s="62"/>
      <c r="EM49" s="63"/>
      <c r="EN49" s="62"/>
      <c r="EO49" s="63"/>
      <c r="EP49" s="62"/>
      <c r="EQ49" s="63"/>
      <c r="ER49" s="62"/>
      <c r="ES49" s="63"/>
      <c r="ET49" s="62"/>
      <c r="EU49" s="63"/>
      <c r="EV49" s="62"/>
      <c r="EW49" s="63"/>
      <c r="EX49" s="62"/>
      <c r="EY49" s="63"/>
      <c r="EZ49" s="62"/>
      <c r="FA49" s="63"/>
      <c r="FB49" s="62"/>
      <c r="FC49" s="63"/>
      <c r="FD49" s="62"/>
      <c r="FE49" s="63"/>
      <c r="FF49" s="62"/>
      <c r="FG49" s="63"/>
      <c r="FH49" s="62"/>
      <c r="FI49" s="63"/>
      <c r="FJ49" s="62"/>
      <c r="FK49" s="63"/>
      <c r="FL49" s="62"/>
      <c r="FM49" s="63"/>
      <c r="FN49" s="62"/>
      <c r="FO49" s="63"/>
      <c r="FP49" s="62"/>
      <c r="FQ49" s="63"/>
      <c r="FR49" s="62"/>
      <c r="FS49" s="63"/>
      <c r="FT49" s="62"/>
      <c r="FU49" s="63"/>
      <c r="FV49" s="62"/>
      <c r="FW49" s="63"/>
      <c r="FX49" s="62"/>
      <c r="FY49" s="63"/>
      <c r="FZ49" s="62"/>
      <c r="GA49" s="63"/>
      <c r="GB49" s="62"/>
      <c r="GC49" s="63"/>
      <c r="GD49" s="62"/>
      <c r="GE49" s="63"/>
      <c r="GF49" s="62"/>
      <c r="GG49" s="63"/>
      <c r="GH49" s="62"/>
      <c r="GI49" s="63"/>
      <c r="GJ49" s="62"/>
      <c r="GK49" s="63"/>
      <c r="GL49" s="62"/>
      <c r="GM49" s="63"/>
      <c r="GN49" s="62"/>
      <c r="GO49" s="63"/>
      <c r="GP49" s="62"/>
      <c r="GQ49" s="63"/>
      <c r="GR49" s="62"/>
      <c r="GS49" s="63"/>
      <c r="GT49" s="62"/>
      <c r="GU49" s="63"/>
      <c r="GV49" s="62"/>
      <c r="GW49" s="63"/>
      <c r="GX49" s="62"/>
      <c r="GY49" s="63"/>
      <c r="GZ49" s="62"/>
      <c r="HA49" s="63"/>
      <c r="HB49" s="62"/>
      <c r="HC49" s="63"/>
      <c r="HD49" s="62"/>
      <c r="HE49" s="63"/>
      <c r="HF49" s="62"/>
      <c r="HG49" s="63"/>
      <c r="HH49" s="62"/>
      <c r="HI49" s="63"/>
      <c r="HJ49" s="62"/>
      <c r="HK49" s="63"/>
      <c r="HL49" s="62"/>
      <c r="HM49" s="63"/>
      <c r="HN49" s="62"/>
      <c r="HO49" s="63"/>
      <c r="HP49" s="62"/>
      <c r="HQ49" s="63"/>
      <c r="HR49" s="62"/>
      <c r="HS49" s="63"/>
      <c r="HT49" s="62"/>
      <c r="HU49" s="63"/>
      <c r="HV49" s="62"/>
      <c r="HW49" s="63"/>
      <c r="HX49" s="62"/>
      <c r="HY49" s="63"/>
      <c r="HZ49" s="62"/>
      <c r="IA49" s="63"/>
      <c r="IB49" s="62"/>
      <c r="IC49" s="63"/>
      <c r="ID49" s="62"/>
      <c r="IE49" s="63"/>
      <c r="IF49" s="62"/>
      <c r="IG49" s="63"/>
      <c r="IH49" s="62"/>
      <c r="II49" s="63"/>
      <c r="IJ49" s="62"/>
      <c r="IK49" s="63"/>
      <c r="IL49" s="62"/>
      <c r="IM49" s="63"/>
      <c r="IN49" s="62"/>
      <c r="IO49" s="63"/>
      <c r="IP49" s="62"/>
      <c r="IQ49" s="63"/>
      <c r="IR49" s="62"/>
      <c r="IS49" s="63"/>
      <c r="IT49" s="62"/>
      <c r="IU49" s="63"/>
      <c r="IV49" s="62"/>
      <c r="IW49" s="63"/>
      <c r="IX49" s="62"/>
      <c r="IY49" s="63"/>
      <c r="IZ49" s="62"/>
      <c r="JA49" s="63"/>
      <c r="JB49" s="62"/>
      <c r="JC49" s="63"/>
      <c r="JD49" s="62"/>
      <c r="JE49" s="63"/>
      <c r="JF49" s="62"/>
      <c r="JG49" s="63"/>
      <c r="JH49" s="62"/>
      <c r="JI49" s="63"/>
      <c r="JJ49" s="62"/>
      <c r="JK49" s="63"/>
      <c r="JL49" s="62"/>
      <c r="JM49" s="63"/>
      <c r="JN49" s="62"/>
      <c r="JO49" s="63"/>
      <c r="JP49" s="62"/>
      <c r="JQ49" s="63"/>
      <c r="JR49" s="62"/>
      <c r="JS49" s="63"/>
      <c r="JT49" s="62"/>
      <c r="JU49" s="63"/>
      <c r="JV49" s="62"/>
      <c r="JW49" s="63"/>
      <c r="JX49" s="62"/>
      <c r="JY49" s="63"/>
      <c r="JZ49" s="62"/>
      <c r="KA49" s="63"/>
      <c r="KB49" s="62"/>
      <c r="KC49" s="63"/>
      <c r="KD49" s="62"/>
      <c r="KE49" s="63"/>
      <c r="KF49" s="62"/>
      <c r="KG49" s="63"/>
      <c r="KH49" s="62"/>
      <c r="KI49" s="63"/>
      <c r="KJ49" s="62"/>
      <c r="KK49" s="63"/>
      <c r="KL49" s="62"/>
      <c r="KM49" s="63"/>
      <c r="KN49" s="62"/>
      <c r="KO49" s="63"/>
      <c r="KP49" s="62"/>
      <c r="KQ49" s="63"/>
      <c r="KR49" s="62"/>
      <c r="KS49" s="63"/>
      <c r="KT49" s="62"/>
      <c r="KU49" s="63"/>
      <c r="KV49" s="62"/>
      <c r="KW49" s="63"/>
      <c r="KX49" s="62"/>
      <c r="KY49" s="63"/>
      <c r="KZ49" s="62"/>
      <c r="LA49" s="63"/>
      <c r="LB49" s="62"/>
      <c r="LC49" s="63"/>
      <c r="LD49" s="62"/>
      <c r="LE49" s="63"/>
      <c r="LF49" s="62"/>
      <c r="LG49" s="63"/>
      <c r="LH49" s="62"/>
      <c r="LI49" s="63"/>
      <c r="LJ49" s="62"/>
      <c r="LK49" s="63"/>
      <c r="LL49" s="62"/>
      <c r="LM49" s="63"/>
      <c r="LN49" s="62"/>
      <c r="LO49" s="63"/>
      <c r="LP49" s="62"/>
      <c r="LQ49" s="63"/>
      <c r="LR49" s="62"/>
      <c r="LS49" s="63"/>
      <c r="LT49" s="62"/>
      <c r="LU49" s="63"/>
      <c r="LV49" s="62"/>
      <c r="LW49" s="63"/>
      <c r="LX49" s="62"/>
      <c r="LY49" s="63"/>
      <c r="LZ49" s="62"/>
      <c r="MA49" s="63"/>
      <c r="MB49" s="62"/>
      <c r="MC49" s="63"/>
      <c r="MD49" s="62"/>
      <c r="ME49" s="63"/>
      <c r="MF49" s="62"/>
      <c r="MG49" s="63"/>
      <c r="MH49" s="62"/>
      <c r="MI49" s="63"/>
      <c r="MJ49" s="62"/>
      <c r="MK49" s="63"/>
      <c r="ML49" s="62"/>
      <c r="MM49" s="63"/>
      <c r="MN49" s="62"/>
      <c r="MO49" s="63"/>
      <c r="MP49" s="62"/>
      <c r="MQ49" s="63"/>
      <c r="MR49" s="62"/>
      <c r="MS49" s="63"/>
      <c r="MT49" s="62"/>
      <c r="MU49" s="63"/>
      <c r="MV49" s="62"/>
      <c r="MW49" s="63"/>
      <c r="MX49" s="62"/>
      <c r="MY49" s="63"/>
      <c r="MZ49" s="62"/>
      <c r="NA49" s="63"/>
      <c r="NB49" s="62"/>
      <c r="NC49" s="63"/>
      <c r="ND49" s="62"/>
      <c r="NE49" s="63"/>
      <c r="NF49" s="62"/>
      <c r="NG49" s="63"/>
      <c r="NH49" s="62"/>
      <c r="NI49" s="63"/>
      <c r="NJ49" s="62"/>
      <c r="NK49" s="63"/>
      <c r="NL49" s="62"/>
      <c r="NM49" s="63"/>
      <c r="NN49" s="62"/>
      <c r="NO49" s="63"/>
      <c r="NP49" s="62"/>
      <c r="NQ49" s="63"/>
      <c r="NR49" s="62"/>
      <c r="NS49" s="63"/>
      <c r="NT49" s="62"/>
      <c r="NU49" s="63"/>
      <c r="NV49" s="62"/>
      <c r="NW49" s="63"/>
      <c r="NX49" s="62"/>
      <c r="NY49" s="63"/>
      <c r="NZ49" s="62"/>
      <c r="OA49" s="63"/>
      <c r="OB49" s="62"/>
      <c r="OC49" s="63"/>
      <c r="OD49" s="62"/>
      <c r="OE49" s="63"/>
      <c r="OF49" s="62"/>
      <c r="OG49" s="63"/>
      <c r="OH49" s="62"/>
      <c r="OI49" s="63"/>
      <c r="OJ49" s="62"/>
      <c r="OK49" s="63"/>
      <c r="OL49" s="62"/>
      <c r="OM49" s="63"/>
      <c r="ON49" s="62"/>
      <c r="OO49" s="63"/>
      <c r="OP49" s="62"/>
      <c r="OQ49" s="63"/>
      <c r="OR49" s="62"/>
      <c r="OS49" s="63"/>
      <c r="OT49" s="62"/>
      <c r="OU49" s="63"/>
      <c r="OV49" s="62"/>
      <c r="OW49" s="63"/>
      <c r="OX49" s="62"/>
      <c r="OY49" s="63"/>
      <c r="OZ49" s="62"/>
      <c r="PA49" s="63"/>
      <c r="PB49" s="62"/>
      <c r="PC49" s="63"/>
      <c r="PD49" s="62"/>
      <c r="PE49" s="63"/>
      <c r="PF49" s="62"/>
      <c r="PG49" s="63"/>
      <c r="PH49" s="62"/>
      <c r="PI49" s="63"/>
      <c r="PJ49" s="62"/>
      <c r="PK49" s="63"/>
      <c r="PL49" s="62"/>
      <c r="PM49" s="63"/>
      <c r="PN49" s="62"/>
      <c r="PO49" s="63"/>
      <c r="PP49" s="62"/>
      <c r="PQ49" s="63"/>
      <c r="PR49" s="62"/>
      <c r="PS49" s="63"/>
      <c r="PT49" s="62"/>
      <c r="PU49" s="63"/>
      <c r="PV49" s="62"/>
      <c r="PW49" s="63"/>
      <c r="PX49" s="62"/>
      <c r="PY49" s="63"/>
      <c r="PZ49" s="62"/>
      <c r="QA49" s="63"/>
      <c r="QB49" s="62"/>
      <c r="QC49" s="63"/>
      <c r="QD49" s="62"/>
      <c r="QE49" s="63"/>
      <c r="QF49" s="62"/>
      <c r="QG49" s="63"/>
      <c r="QH49" s="62"/>
      <c r="QI49" s="63"/>
      <c r="QJ49" s="62"/>
      <c r="QK49" s="63"/>
      <c r="QL49" s="62"/>
      <c r="QM49" s="63"/>
      <c r="QN49" s="62"/>
      <c r="QO49" s="63"/>
      <c r="QP49" s="62"/>
      <c r="QQ49" s="63"/>
      <c r="QR49" s="62"/>
      <c r="QS49" s="63"/>
      <c r="QT49" s="62"/>
      <c r="QU49" s="63"/>
      <c r="QV49" s="62"/>
      <c r="QW49" s="63"/>
      <c r="QX49" s="62"/>
      <c r="QY49" s="63"/>
      <c r="QZ49" s="62"/>
      <c r="RA49" s="63"/>
      <c r="RB49" s="62"/>
      <c r="RC49" s="63"/>
      <c r="RD49" s="31"/>
    </row>
    <row r="50" spans="1:472" s="5" customFormat="1" ht="15" hidden="1" customHeight="1" x14ac:dyDescent="0.25">
      <c r="A50" s="5">
        <v>2041</v>
      </c>
      <c r="B50" s="5" t="s">
        <v>584</v>
      </c>
      <c r="C50" s="5" t="s">
        <v>5</v>
      </c>
      <c r="D50" s="5">
        <v>108</v>
      </c>
      <c r="E50" s="36" t="s">
        <v>334</v>
      </c>
      <c r="F50" s="5" t="s">
        <v>467</v>
      </c>
      <c r="I50" s="62"/>
      <c r="J50" s="63"/>
      <c r="K50" s="62"/>
      <c r="L50" s="63"/>
      <c r="M50" s="62"/>
      <c r="N50" s="63"/>
      <c r="O50" s="62"/>
      <c r="P50" s="63"/>
      <c r="Q50" s="62"/>
      <c r="R50" s="63"/>
      <c r="S50" s="62"/>
      <c r="T50" s="63"/>
      <c r="X50" s="62"/>
      <c r="Y50" s="63"/>
      <c r="Z50" s="62"/>
      <c r="AA50" s="63"/>
      <c r="AB50" s="62"/>
      <c r="AC50" s="63"/>
      <c r="AD50" s="62"/>
      <c r="AE50" s="63"/>
      <c r="AF50" s="62"/>
      <c r="AG50" s="63"/>
      <c r="AH50" s="62"/>
      <c r="AI50" s="63"/>
      <c r="AJ50" s="62"/>
      <c r="AK50" s="63"/>
      <c r="AL50" s="62"/>
      <c r="AM50" s="63"/>
      <c r="AN50" s="62"/>
      <c r="AO50" s="63"/>
      <c r="AP50" s="62"/>
      <c r="AQ50" s="63"/>
      <c r="AR50" s="62"/>
      <c r="AS50" s="63"/>
      <c r="AT50" s="62"/>
      <c r="AU50" s="63"/>
      <c r="AV50" s="62"/>
      <c r="AW50" s="63"/>
      <c r="AX50" s="62"/>
      <c r="AY50" s="63"/>
      <c r="AZ50" s="62"/>
      <c r="BA50" s="63"/>
      <c r="BB50" s="62"/>
      <c r="BC50" s="63"/>
      <c r="BD50" s="62"/>
      <c r="BE50" s="63"/>
      <c r="BF50" s="62"/>
      <c r="BG50" s="63"/>
      <c r="BH50" s="62"/>
      <c r="BI50" s="63"/>
      <c r="BJ50" s="62"/>
      <c r="BK50" s="63"/>
      <c r="BL50" s="62"/>
      <c r="BM50" s="63"/>
      <c r="BN50" s="62"/>
      <c r="BO50" s="63"/>
      <c r="BP50" s="62"/>
      <c r="BQ50" s="63"/>
      <c r="BR50" s="62"/>
      <c r="BS50" s="63"/>
      <c r="BT50" s="62"/>
      <c r="BU50" s="63"/>
      <c r="BV50" s="62"/>
      <c r="BW50" s="63"/>
      <c r="BX50" s="62"/>
      <c r="BY50" s="63"/>
      <c r="BZ50" s="62"/>
      <c r="CA50" s="63"/>
      <c r="CB50" s="62"/>
      <c r="CC50" s="63"/>
      <c r="CD50" s="62"/>
      <c r="CE50" s="63"/>
      <c r="CF50" s="62"/>
      <c r="CG50" s="63"/>
      <c r="CH50" s="62"/>
      <c r="CI50" s="63"/>
      <c r="CJ50" s="62"/>
      <c r="CK50" s="63"/>
      <c r="CL50" s="62"/>
      <c r="CM50" s="63"/>
      <c r="CN50" s="31"/>
      <c r="CO50" s="32" t="s">
        <v>66</v>
      </c>
      <c r="CP50" s="62" t="s">
        <v>66</v>
      </c>
      <c r="CQ50" s="63"/>
      <c r="CR50" s="62" t="s">
        <v>38</v>
      </c>
      <c r="CS50" s="63"/>
      <c r="CT50" s="62" t="s">
        <v>38</v>
      </c>
      <c r="CU50" s="63"/>
      <c r="CV50" s="62" t="s">
        <v>38</v>
      </c>
      <c r="CW50" s="63"/>
      <c r="CX50" s="62" t="s">
        <v>38</v>
      </c>
      <c r="CY50" s="63"/>
      <c r="CZ50" s="62" t="s">
        <v>36</v>
      </c>
      <c r="DA50" s="63"/>
      <c r="DB50" s="62" t="s">
        <v>36</v>
      </c>
      <c r="DC50" s="63"/>
      <c r="DD50" s="62" t="s">
        <v>36</v>
      </c>
      <c r="DE50" s="63"/>
      <c r="DF50" s="62" t="s">
        <v>36</v>
      </c>
      <c r="DG50" s="63"/>
      <c r="DH50" s="62" t="s">
        <v>36</v>
      </c>
      <c r="DI50" s="63"/>
      <c r="DJ50" s="62" t="s">
        <v>36</v>
      </c>
      <c r="DK50" s="63"/>
      <c r="DL50" s="62" t="s">
        <v>36</v>
      </c>
      <c r="DM50" s="63"/>
      <c r="DN50" s="62" t="s">
        <v>36</v>
      </c>
      <c r="DO50" s="63"/>
      <c r="DP50" s="62" t="s">
        <v>36</v>
      </c>
      <c r="DQ50" s="63"/>
      <c r="DR50" s="62" t="s">
        <v>37</v>
      </c>
      <c r="DS50" s="63"/>
      <c r="DT50" s="62" t="s">
        <v>37</v>
      </c>
      <c r="DU50" s="63"/>
      <c r="DV50" s="62" t="s">
        <v>37</v>
      </c>
      <c r="DW50" s="63"/>
      <c r="DX50" s="62" t="s">
        <v>37</v>
      </c>
      <c r="DY50" s="63"/>
      <c r="DZ50" s="62"/>
      <c r="EA50" s="63"/>
      <c r="EB50" s="62"/>
      <c r="EC50" s="63"/>
      <c r="ED50" s="62"/>
      <c r="EE50" s="63"/>
      <c r="EF50" s="62"/>
      <c r="EG50" s="63"/>
      <c r="EH50" s="62"/>
      <c r="EI50" s="63"/>
      <c r="EJ50" s="62"/>
      <c r="EK50" s="63"/>
      <c r="EL50" s="62"/>
      <c r="EM50" s="63"/>
      <c r="EN50" s="62"/>
      <c r="EO50" s="63"/>
      <c r="EP50" s="62"/>
      <c r="EQ50" s="63"/>
      <c r="ER50" s="62"/>
      <c r="ES50" s="63"/>
      <c r="ET50" s="62"/>
      <c r="EU50" s="63"/>
      <c r="EV50" s="62"/>
      <c r="EW50" s="63"/>
      <c r="EX50" s="62"/>
      <c r="EY50" s="63"/>
      <c r="EZ50" s="62"/>
      <c r="FA50" s="63"/>
      <c r="FB50" s="62"/>
      <c r="FC50" s="63"/>
      <c r="FD50" s="62"/>
      <c r="FE50" s="63"/>
      <c r="FF50" s="62"/>
      <c r="FG50" s="63"/>
      <c r="FH50" s="62"/>
      <c r="FI50" s="63"/>
      <c r="FJ50" s="62"/>
      <c r="FK50" s="63"/>
      <c r="FL50" s="62"/>
      <c r="FM50" s="63"/>
      <c r="FN50" s="62"/>
      <c r="FO50" s="63"/>
      <c r="FP50" s="62"/>
      <c r="FQ50" s="63"/>
      <c r="FR50" s="62"/>
      <c r="FS50" s="63"/>
      <c r="FT50" s="62"/>
      <c r="FU50" s="63"/>
      <c r="FV50" s="62"/>
      <c r="FW50" s="63"/>
      <c r="FX50" s="62"/>
      <c r="FY50" s="63"/>
      <c r="FZ50" s="62"/>
      <c r="GA50" s="63"/>
      <c r="GB50" s="62"/>
      <c r="GC50" s="63"/>
      <c r="GD50" s="62"/>
      <c r="GE50" s="63"/>
      <c r="GF50" s="62"/>
      <c r="GG50" s="63"/>
      <c r="GH50" s="62"/>
      <c r="GI50" s="63"/>
      <c r="GJ50" s="62"/>
      <c r="GK50" s="63"/>
      <c r="GL50" s="62"/>
      <c r="GM50" s="63"/>
      <c r="GN50" s="62"/>
      <c r="GO50" s="63"/>
      <c r="GP50" s="62"/>
      <c r="GQ50" s="63"/>
      <c r="GR50" s="62"/>
      <c r="GS50" s="63"/>
      <c r="GT50" s="62"/>
      <c r="GU50" s="63"/>
      <c r="GV50" s="62"/>
      <c r="GW50" s="63"/>
      <c r="GX50" s="62"/>
      <c r="GY50" s="63"/>
      <c r="GZ50" s="62"/>
      <c r="HA50" s="63"/>
      <c r="HB50" s="62"/>
      <c r="HC50" s="63"/>
      <c r="HD50" s="62"/>
      <c r="HE50" s="63"/>
      <c r="HF50" s="62"/>
      <c r="HG50" s="63"/>
      <c r="HH50" s="62"/>
      <c r="HI50" s="63"/>
      <c r="HJ50" s="62"/>
      <c r="HK50" s="63"/>
      <c r="HL50" s="62"/>
      <c r="HM50" s="63"/>
      <c r="HN50" s="62"/>
      <c r="HO50" s="63"/>
      <c r="HP50" s="62"/>
      <c r="HQ50" s="63"/>
      <c r="HR50" s="62"/>
      <c r="HS50" s="63"/>
      <c r="HT50" s="62"/>
      <c r="HU50" s="63"/>
      <c r="HV50" s="62"/>
      <c r="HW50" s="63"/>
      <c r="HX50" s="62"/>
      <c r="HY50" s="63"/>
      <c r="HZ50" s="62"/>
      <c r="IA50" s="63"/>
      <c r="IB50" s="62"/>
      <c r="IC50" s="63"/>
      <c r="ID50" s="62"/>
      <c r="IE50" s="63"/>
      <c r="IF50" s="62"/>
      <c r="IG50" s="63"/>
      <c r="IH50" s="62"/>
      <c r="II50" s="63"/>
      <c r="IJ50" s="62"/>
      <c r="IK50" s="63"/>
      <c r="IL50" s="62"/>
      <c r="IM50" s="63"/>
      <c r="IN50" s="62"/>
      <c r="IO50" s="63"/>
      <c r="IP50" s="62"/>
      <c r="IQ50" s="63"/>
      <c r="IR50" s="62"/>
      <c r="IS50" s="63"/>
      <c r="IT50" s="62"/>
      <c r="IU50" s="63"/>
      <c r="IV50" s="62"/>
      <c r="IW50" s="63"/>
      <c r="IX50" s="62"/>
      <c r="IY50" s="63"/>
      <c r="IZ50" s="62"/>
      <c r="JA50" s="63"/>
      <c r="JB50" s="62"/>
      <c r="JC50" s="63"/>
      <c r="JD50" s="62"/>
      <c r="JE50" s="63"/>
      <c r="JF50" s="62"/>
      <c r="JG50" s="63"/>
      <c r="JH50" s="62"/>
      <c r="JI50" s="63"/>
      <c r="JJ50" s="62"/>
      <c r="JK50" s="63"/>
      <c r="JL50" s="62"/>
      <c r="JM50" s="63"/>
      <c r="JN50" s="62"/>
      <c r="JO50" s="63"/>
      <c r="JP50" s="62"/>
      <c r="JQ50" s="63"/>
      <c r="JR50" s="62"/>
      <c r="JS50" s="63"/>
      <c r="JT50" s="62"/>
      <c r="JU50" s="63"/>
      <c r="JV50" s="62"/>
      <c r="JW50" s="63"/>
      <c r="JX50" s="62"/>
      <c r="JY50" s="63"/>
      <c r="JZ50" s="62"/>
      <c r="KA50" s="63"/>
      <c r="KB50" s="62"/>
      <c r="KC50" s="63"/>
      <c r="KD50" s="62"/>
      <c r="KE50" s="63"/>
      <c r="KF50" s="62"/>
      <c r="KG50" s="63"/>
      <c r="KH50" s="62"/>
      <c r="KI50" s="63"/>
      <c r="KJ50" s="62"/>
      <c r="KK50" s="63"/>
      <c r="KL50" s="62"/>
      <c r="KM50" s="63"/>
      <c r="KN50" s="62"/>
      <c r="KO50" s="63"/>
      <c r="KP50" s="62"/>
      <c r="KQ50" s="63"/>
      <c r="KR50" s="62"/>
      <c r="KS50" s="63"/>
      <c r="KT50" s="62"/>
      <c r="KU50" s="63"/>
      <c r="KV50" s="62"/>
      <c r="KW50" s="63"/>
      <c r="KX50" s="62"/>
      <c r="KY50" s="63"/>
      <c r="KZ50" s="62"/>
      <c r="LA50" s="63"/>
      <c r="LB50" s="62"/>
      <c r="LC50" s="63"/>
      <c r="LD50" s="62"/>
      <c r="LE50" s="63"/>
      <c r="LF50" s="62"/>
      <c r="LG50" s="63"/>
      <c r="LH50" s="62"/>
      <c r="LI50" s="63"/>
      <c r="LJ50" s="62"/>
      <c r="LK50" s="63"/>
      <c r="LL50" s="62"/>
      <c r="LM50" s="63"/>
      <c r="LN50" s="62"/>
      <c r="LO50" s="63"/>
      <c r="LP50" s="62"/>
      <c r="LQ50" s="63"/>
      <c r="LR50" s="62"/>
      <c r="LS50" s="63"/>
      <c r="LT50" s="62"/>
      <c r="LU50" s="63"/>
      <c r="LV50" s="62"/>
      <c r="LW50" s="63"/>
      <c r="LX50" s="62"/>
      <c r="LY50" s="63"/>
      <c r="LZ50" s="62"/>
      <c r="MA50" s="63"/>
      <c r="MB50" s="62"/>
      <c r="MC50" s="63"/>
      <c r="MD50" s="62"/>
      <c r="ME50" s="63"/>
      <c r="MF50" s="62"/>
      <c r="MG50" s="63"/>
      <c r="MH50" s="62"/>
      <c r="MI50" s="63"/>
      <c r="MJ50" s="62"/>
      <c r="MK50" s="63"/>
      <c r="ML50" s="62"/>
      <c r="MM50" s="63"/>
      <c r="MN50" s="62"/>
      <c r="MO50" s="63"/>
      <c r="MP50" s="62"/>
      <c r="MQ50" s="63"/>
      <c r="MR50" s="62"/>
      <c r="MS50" s="63"/>
      <c r="MT50" s="62"/>
      <c r="MU50" s="63"/>
      <c r="MV50" s="62"/>
      <c r="MW50" s="63"/>
      <c r="MX50" s="62"/>
      <c r="MY50" s="63"/>
      <c r="MZ50" s="62"/>
      <c r="NA50" s="63"/>
      <c r="NB50" s="62"/>
      <c r="NC50" s="63"/>
      <c r="ND50" s="62"/>
      <c r="NE50" s="63"/>
      <c r="NF50" s="62"/>
      <c r="NG50" s="63"/>
      <c r="NH50" s="62"/>
      <c r="NI50" s="63"/>
      <c r="NJ50" s="62"/>
      <c r="NK50" s="63"/>
      <c r="NL50" s="62"/>
      <c r="NM50" s="63"/>
      <c r="NN50" s="62"/>
      <c r="NO50" s="63"/>
      <c r="NP50" s="62"/>
      <c r="NQ50" s="63"/>
      <c r="NR50" s="62"/>
      <c r="NS50" s="63"/>
      <c r="NT50" s="62"/>
      <c r="NU50" s="63"/>
      <c r="NV50" s="62"/>
      <c r="NW50" s="63"/>
      <c r="NX50" s="62"/>
      <c r="NY50" s="63"/>
      <c r="NZ50" s="62"/>
      <c r="OA50" s="63"/>
      <c r="OB50" s="62"/>
      <c r="OC50" s="63"/>
      <c r="OD50" s="62"/>
      <c r="OE50" s="63"/>
      <c r="OF50" s="62"/>
      <c r="OG50" s="63"/>
      <c r="OH50" s="62"/>
      <c r="OI50" s="63"/>
      <c r="OJ50" s="62"/>
      <c r="OK50" s="63"/>
      <c r="OL50" s="62"/>
      <c r="OM50" s="63"/>
      <c r="ON50" s="62"/>
      <c r="OO50" s="63"/>
      <c r="OP50" s="62"/>
      <c r="OQ50" s="63"/>
      <c r="OR50" s="62"/>
      <c r="OS50" s="63"/>
      <c r="OT50" s="62"/>
      <c r="OU50" s="63"/>
      <c r="OV50" s="62"/>
      <c r="OW50" s="63"/>
      <c r="OX50" s="62"/>
      <c r="OY50" s="63"/>
      <c r="OZ50" s="62"/>
      <c r="PA50" s="63"/>
      <c r="PB50" s="62"/>
      <c r="PC50" s="63"/>
      <c r="PD50" s="62"/>
      <c r="PE50" s="63"/>
      <c r="PF50" s="62"/>
      <c r="PG50" s="63"/>
      <c r="PH50" s="62"/>
      <c r="PI50" s="63"/>
      <c r="PJ50" s="62"/>
      <c r="PK50" s="63"/>
      <c r="PL50" s="62"/>
      <c r="PM50" s="63"/>
      <c r="PN50" s="62"/>
      <c r="PO50" s="63"/>
      <c r="PP50" s="62"/>
      <c r="PQ50" s="63"/>
      <c r="PR50" s="62"/>
      <c r="PS50" s="63"/>
      <c r="PT50" s="62"/>
      <c r="PU50" s="63"/>
      <c r="PV50" s="62"/>
      <c r="PW50" s="63"/>
      <c r="PX50" s="62"/>
      <c r="PY50" s="63"/>
      <c r="PZ50" s="62"/>
      <c r="QA50" s="63"/>
      <c r="QB50" s="62"/>
      <c r="QC50" s="63"/>
      <c r="QD50" s="62"/>
      <c r="QE50" s="63"/>
      <c r="QF50" s="62"/>
      <c r="QG50" s="63"/>
      <c r="QH50" s="62"/>
      <c r="QI50" s="63"/>
      <c r="QJ50" s="62"/>
      <c r="QK50" s="63"/>
      <c r="QL50" s="62"/>
      <c r="QM50" s="63"/>
      <c r="QN50" s="62"/>
      <c r="QO50" s="63"/>
      <c r="QP50" s="62"/>
      <c r="QQ50" s="63"/>
      <c r="QR50" s="62"/>
      <c r="QS50" s="63"/>
      <c r="QT50" s="62"/>
      <c r="QU50" s="63"/>
      <c r="QV50" s="62"/>
      <c r="QW50" s="63"/>
      <c r="QX50" s="62"/>
      <c r="QY50" s="63"/>
      <c r="QZ50" s="62"/>
      <c r="RA50" s="63"/>
      <c r="RB50" s="62"/>
      <c r="RC50" s="63"/>
      <c r="RD50" s="31"/>
    </row>
    <row r="51" spans="1:472" s="5" customFormat="1" ht="15" hidden="1" customHeight="1" x14ac:dyDescent="0.25">
      <c r="A51" s="5">
        <v>2052</v>
      </c>
      <c r="B51" s="5" t="s">
        <v>375</v>
      </c>
      <c r="C51" s="5" t="s">
        <v>440</v>
      </c>
      <c r="D51" s="5">
        <v>107</v>
      </c>
      <c r="E51" s="36"/>
      <c r="F51" s="5" t="s">
        <v>464</v>
      </c>
      <c r="I51" s="31"/>
      <c r="J51" s="32"/>
      <c r="K51" s="31"/>
      <c r="L51" s="32"/>
      <c r="M51" s="31"/>
      <c r="N51" s="32"/>
      <c r="O51" s="31"/>
      <c r="P51" s="32"/>
      <c r="Q51" s="31"/>
      <c r="R51" s="32"/>
      <c r="S51" s="31"/>
      <c r="T51" s="32"/>
      <c r="X51" s="31"/>
      <c r="Y51" s="32"/>
      <c r="Z51" s="31"/>
      <c r="AA51" s="32"/>
      <c r="AB51" s="31"/>
      <c r="AC51" s="32"/>
      <c r="AD51" s="31"/>
      <c r="AE51" s="32"/>
      <c r="AF51" s="31"/>
      <c r="AG51" s="32"/>
      <c r="AH51" s="31"/>
      <c r="AI51" s="32"/>
      <c r="AJ51" s="31"/>
      <c r="AK51" s="32"/>
      <c r="AL51" s="31"/>
      <c r="AM51" s="32"/>
      <c r="AN51" s="31"/>
      <c r="AO51" s="32"/>
      <c r="AP51" s="31"/>
      <c r="AQ51" s="32"/>
      <c r="AR51" s="31"/>
      <c r="AS51" s="32"/>
      <c r="AT51" s="31"/>
      <c r="AU51" s="32"/>
      <c r="AV51" s="31"/>
      <c r="AW51" s="32"/>
      <c r="AX51" s="31"/>
      <c r="AY51" s="32"/>
      <c r="AZ51" s="31"/>
      <c r="BA51" s="32"/>
      <c r="BB51" s="31"/>
      <c r="BC51" s="32"/>
      <c r="BD51" s="31"/>
      <c r="BE51" s="32"/>
      <c r="BF51" s="31"/>
      <c r="BG51" s="32"/>
      <c r="BH51" s="31"/>
      <c r="BI51" s="32"/>
      <c r="BJ51" s="31"/>
      <c r="BK51" s="32"/>
      <c r="BL51" s="31"/>
      <c r="BM51" s="32"/>
      <c r="BN51" s="31"/>
      <c r="BO51" s="32"/>
      <c r="BP51" s="31"/>
      <c r="BQ51" s="32"/>
      <c r="BR51" s="31"/>
      <c r="BS51" s="32"/>
      <c r="BT51" s="31"/>
      <c r="BU51" s="32"/>
      <c r="BV51" s="31"/>
      <c r="BW51" s="32"/>
      <c r="BX51" s="31"/>
      <c r="BY51" s="32"/>
      <c r="BZ51" s="31"/>
      <c r="CA51" s="32"/>
      <c r="CB51" s="31"/>
      <c r="CC51" s="32"/>
      <c r="CD51" s="31"/>
      <c r="CE51" s="32"/>
      <c r="CF51" s="31"/>
      <c r="CG51" s="32"/>
      <c r="CH51" s="62"/>
      <c r="CI51" s="63"/>
      <c r="CJ51" s="62"/>
      <c r="CK51" s="63"/>
      <c r="CL51" s="62"/>
      <c r="CM51" s="63"/>
      <c r="CN51" s="62"/>
      <c r="CO51" s="63"/>
      <c r="CP51" s="31"/>
      <c r="CQ51" s="32" t="s">
        <v>66</v>
      </c>
      <c r="CR51" s="62" t="s">
        <v>66</v>
      </c>
      <c r="CS51" s="63"/>
      <c r="CT51" s="62" t="s">
        <v>38</v>
      </c>
      <c r="CU51" s="63"/>
      <c r="CV51" s="62" t="s">
        <v>38</v>
      </c>
      <c r="CW51" s="63"/>
      <c r="CX51" s="62" t="s">
        <v>38</v>
      </c>
      <c r="CY51" s="63"/>
      <c r="CZ51" s="62" t="s">
        <v>36</v>
      </c>
      <c r="DA51" s="63"/>
      <c r="DB51" s="62" t="s">
        <v>36</v>
      </c>
      <c r="DC51" s="63"/>
      <c r="DD51" s="62" t="s">
        <v>36</v>
      </c>
      <c r="DE51" s="63"/>
      <c r="DF51" s="62" t="s">
        <v>36</v>
      </c>
      <c r="DG51" s="63"/>
      <c r="DH51" s="62" t="s">
        <v>36</v>
      </c>
      <c r="DI51" s="63"/>
      <c r="DJ51" s="62" t="s">
        <v>36</v>
      </c>
      <c r="DK51" s="63"/>
      <c r="DL51" s="62" t="s">
        <v>36</v>
      </c>
      <c r="DM51" s="63"/>
      <c r="DN51" s="62" t="s">
        <v>36</v>
      </c>
      <c r="DO51" s="63"/>
      <c r="DP51" s="31" t="s">
        <v>36</v>
      </c>
      <c r="DQ51" s="32" t="s">
        <v>37</v>
      </c>
      <c r="DR51" s="62" t="s">
        <v>37</v>
      </c>
      <c r="DS51" s="63"/>
      <c r="DT51" s="62" t="s">
        <v>37</v>
      </c>
      <c r="DU51" s="63"/>
      <c r="DV51" s="62" t="s">
        <v>37</v>
      </c>
      <c r="DW51" s="63"/>
      <c r="DX51" s="62" t="s">
        <v>37</v>
      </c>
      <c r="DY51" s="63"/>
      <c r="DZ51" s="62" t="s">
        <v>37</v>
      </c>
      <c r="EA51" s="63"/>
      <c r="EB51" s="62"/>
      <c r="EC51" s="63"/>
      <c r="ED51" s="62"/>
      <c r="EE51" s="63"/>
      <c r="EF51" s="62"/>
      <c r="EG51" s="63"/>
      <c r="EH51" s="62"/>
      <c r="EI51" s="63"/>
      <c r="EJ51" s="62"/>
      <c r="EK51" s="63"/>
      <c r="EL51" s="62"/>
      <c r="EM51" s="63"/>
      <c r="EN51" s="62"/>
      <c r="EO51" s="63"/>
      <c r="EP51" s="62"/>
      <c r="EQ51" s="63"/>
      <c r="ER51" s="62"/>
      <c r="ES51" s="63"/>
      <c r="ET51" s="62"/>
      <c r="EU51" s="63"/>
      <c r="EV51" s="62"/>
      <c r="EW51" s="63"/>
      <c r="EX51" s="62"/>
      <c r="EY51" s="63"/>
      <c r="EZ51" s="62"/>
      <c r="FA51" s="63"/>
      <c r="FB51" s="62"/>
      <c r="FC51" s="63"/>
      <c r="FD51" s="62"/>
      <c r="FE51" s="63"/>
      <c r="FF51" s="62"/>
      <c r="FG51" s="63"/>
      <c r="FH51" s="62"/>
      <c r="FI51" s="63"/>
      <c r="FJ51" s="62"/>
      <c r="FK51" s="63"/>
      <c r="FL51" s="62"/>
      <c r="FM51" s="63"/>
      <c r="FN51" s="62"/>
      <c r="FO51" s="63"/>
      <c r="FP51" s="62"/>
      <c r="FQ51" s="63"/>
      <c r="FR51" s="62"/>
      <c r="FS51" s="63"/>
      <c r="FT51" s="62"/>
      <c r="FU51" s="63"/>
      <c r="FV51" s="62"/>
      <c r="FW51" s="63"/>
      <c r="FX51" s="62"/>
      <c r="FY51" s="63"/>
      <c r="FZ51" s="62"/>
      <c r="GA51" s="63"/>
      <c r="GB51" s="62"/>
      <c r="GC51" s="63"/>
      <c r="GD51" s="62"/>
      <c r="GE51" s="63"/>
      <c r="GF51" s="62"/>
      <c r="GG51" s="63"/>
      <c r="GH51" s="62"/>
      <c r="GI51" s="63"/>
      <c r="GJ51" s="62"/>
      <c r="GK51" s="63"/>
      <c r="GL51" s="62"/>
      <c r="GM51" s="63"/>
      <c r="GN51" s="62"/>
      <c r="GO51" s="63"/>
      <c r="GP51" s="62"/>
      <c r="GQ51" s="63"/>
      <c r="GR51" s="62"/>
      <c r="GS51" s="63"/>
      <c r="GT51" s="62"/>
      <c r="GU51" s="63"/>
      <c r="GV51" s="62"/>
      <c r="GW51" s="63"/>
      <c r="GX51" s="62"/>
      <c r="GY51" s="63"/>
      <c r="GZ51" s="62"/>
      <c r="HA51" s="63"/>
      <c r="HB51" s="62"/>
      <c r="HC51" s="63"/>
      <c r="HD51" s="62"/>
      <c r="HE51" s="63"/>
      <c r="HF51" s="62"/>
      <c r="HG51" s="63"/>
      <c r="HH51" s="62"/>
      <c r="HI51" s="63"/>
      <c r="HJ51" s="62"/>
      <c r="HK51" s="63"/>
      <c r="HL51" s="62"/>
      <c r="HM51" s="63"/>
      <c r="HN51" s="62"/>
      <c r="HO51" s="63"/>
      <c r="HP51" s="62"/>
      <c r="HQ51" s="63"/>
      <c r="HR51" s="62"/>
      <c r="HS51" s="63"/>
      <c r="HT51" s="62"/>
      <c r="HU51" s="63"/>
      <c r="HV51" s="62"/>
      <c r="HW51" s="63"/>
      <c r="HX51" s="62"/>
      <c r="HY51" s="63"/>
      <c r="HZ51" s="62"/>
      <c r="IA51" s="63"/>
      <c r="IB51" s="62"/>
      <c r="IC51" s="63"/>
      <c r="ID51" s="62"/>
      <c r="IE51" s="63"/>
      <c r="IF51" s="62"/>
      <c r="IG51" s="63"/>
      <c r="IH51" s="62"/>
      <c r="II51" s="63"/>
      <c r="IJ51" s="62"/>
      <c r="IK51" s="63"/>
      <c r="IL51" s="62"/>
      <c r="IM51" s="63"/>
      <c r="IN51" s="62"/>
      <c r="IO51" s="63"/>
      <c r="IP51" s="62"/>
      <c r="IQ51" s="63"/>
      <c r="IR51" s="62"/>
      <c r="IS51" s="63"/>
      <c r="IT51" s="62"/>
      <c r="IU51" s="63"/>
      <c r="IV51" s="62"/>
      <c r="IW51" s="63"/>
      <c r="IX51" s="62"/>
      <c r="IY51" s="63"/>
      <c r="IZ51" s="62"/>
      <c r="JA51" s="63"/>
      <c r="JB51" s="62"/>
      <c r="JC51" s="63"/>
      <c r="JD51" s="62"/>
      <c r="JE51" s="63"/>
      <c r="JF51" s="62"/>
      <c r="JG51" s="63"/>
      <c r="JH51" s="62"/>
      <c r="JI51" s="63"/>
      <c r="JJ51" s="62"/>
      <c r="JK51" s="63"/>
      <c r="JL51" s="62"/>
      <c r="JM51" s="63"/>
      <c r="JN51" s="62"/>
      <c r="JO51" s="63"/>
      <c r="JP51" s="62"/>
      <c r="JQ51" s="63"/>
      <c r="JR51" s="62"/>
      <c r="JS51" s="63"/>
      <c r="JT51" s="62"/>
      <c r="JU51" s="63"/>
      <c r="JV51" s="62"/>
      <c r="JW51" s="63"/>
      <c r="JX51" s="62"/>
      <c r="JY51" s="63"/>
      <c r="JZ51" s="62"/>
      <c r="KA51" s="63"/>
      <c r="KB51" s="62"/>
      <c r="KC51" s="63"/>
      <c r="KD51" s="62"/>
      <c r="KE51" s="63"/>
      <c r="KF51" s="62"/>
      <c r="KG51" s="63"/>
      <c r="KH51" s="62"/>
      <c r="KI51" s="63"/>
      <c r="KJ51" s="62"/>
      <c r="KK51" s="63"/>
      <c r="KL51" s="62"/>
      <c r="KM51" s="63"/>
      <c r="KN51" s="62"/>
      <c r="KO51" s="63"/>
      <c r="KP51" s="62"/>
      <c r="KQ51" s="63"/>
      <c r="KR51" s="62"/>
      <c r="KS51" s="63"/>
      <c r="KT51" s="62"/>
      <c r="KU51" s="63"/>
      <c r="KV51" s="62"/>
      <c r="KW51" s="63"/>
      <c r="KX51" s="62"/>
      <c r="KY51" s="63"/>
      <c r="KZ51" s="62"/>
      <c r="LA51" s="63"/>
      <c r="LB51" s="62"/>
      <c r="LC51" s="63"/>
      <c r="LD51" s="62"/>
      <c r="LE51" s="63"/>
      <c r="LF51" s="62"/>
      <c r="LG51" s="63"/>
      <c r="LH51" s="62"/>
      <c r="LI51" s="63"/>
      <c r="LJ51" s="62"/>
      <c r="LK51" s="63"/>
      <c r="LL51" s="62"/>
      <c r="LM51" s="63"/>
      <c r="LN51" s="62"/>
      <c r="LO51" s="63"/>
      <c r="LP51" s="62"/>
      <c r="LQ51" s="63"/>
      <c r="LR51" s="62"/>
      <c r="LS51" s="63"/>
      <c r="LT51" s="62"/>
      <c r="LU51" s="63"/>
      <c r="LV51" s="62"/>
      <c r="LW51" s="63"/>
      <c r="LX51" s="62"/>
      <c r="LY51" s="63"/>
      <c r="LZ51" s="62"/>
      <c r="MA51" s="63"/>
      <c r="MB51" s="62"/>
      <c r="MC51" s="63"/>
      <c r="MD51" s="62"/>
      <c r="ME51" s="63"/>
      <c r="MF51" s="62"/>
      <c r="MG51" s="63"/>
      <c r="MH51" s="62"/>
      <c r="MI51" s="63"/>
      <c r="MJ51" s="62"/>
      <c r="MK51" s="63"/>
      <c r="ML51" s="62"/>
      <c r="MM51" s="63"/>
      <c r="MN51" s="62"/>
      <c r="MO51" s="63"/>
      <c r="MP51" s="62"/>
      <c r="MQ51" s="63"/>
      <c r="MR51" s="62"/>
      <c r="MS51" s="63"/>
      <c r="MT51" s="62"/>
      <c r="MU51" s="63"/>
      <c r="MV51" s="62"/>
      <c r="MW51" s="63"/>
      <c r="MX51" s="62"/>
      <c r="MY51" s="63"/>
      <c r="MZ51" s="62"/>
      <c r="NA51" s="63"/>
      <c r="NB51" s="62"/>
      <c r="NC51" s="63"/>
      <c r="ND51" s="62"/>
      <c r="NE51" s="63"/>
      <c r="NF51" s="62"/>
      <c r="NG51" s="63"/>
      <c r="NH51" s="62"/>
      <c r="NI51" s="63"/>
      <c r="NJ51" s="62"/>
      <c r="NK51" s="63"/>
      <c r="NL51" s="62"/>
      <c r="NM51" s="63"/>
      <c r="NN51" s="62"/>
      <c r="NO51" s="63"/>
      <c r="NP51" s="62"/>
      <c r="NQ51" s="63"/>
      <c r="NR51" s="62"/>
      <c r="NS51" s="63"/>
      <c r="NT51" s="62"/>
      <c r="NU51" s="63"/>
      <c r="NV51" s="62"/>
      <c r="NW51" s="63"/>
      <c r="NX51" s="62"/>
      <c r="NY51" s="63"/>
      <c r="NZ51" s="62"/>
      <c r="OA51" s="63"/>
      <c r="OB51" s="62"/>
      <c r="OC51" s="63"/>
      <c r="OD51" s="62"/>
      <c r="OE51" s="63"/>
      <c r="OF51" s="62"/>
      <c r="OG51" s="63"/>
      <c r="OH51" s="62"/>
      <c r="OI51" s="63"/>
      <c r="OJ51" s="62"/>
      <c r="OK51" s="63"/>
      <c r="OL51" s="62"/>
      <c r="OM51" s="63"/>
      <c r="ON51" s="62"/>
      <c r="OO51" s="63"/>
      <c r="OP51" s="62"/>
      <c r="OQ51" s="63"/>
      <c r="OR51" s="62"/>
      <c r="OS51" s="63"/>
      <c r="OT51" s="62"/>
      <c r="OU51" s="63"/>
      <c r="OV51" s="62"/>
      <c r="OW51" s="63"/>
      <c r="OX51" s="62"/>
      <c r="OY51" s="63"/>
      <c r="OZ51" s="62"/>
      <c r="PA51" s="63"/>
      <c r="PB51" s="62"/>
      <c r="PC51" s="63"/>
      <c r="PD51" s="62"/>
      <c r="PE51" s="63"/>
      <c r="PF51" s="62"/>
      <c r="PG51" s="63"/>
      <c r="PH51" s="62"/>
      <c r="PI51" s="63"/>
      <c r="PJ51" s="62"/>
      <c r="PK51" s="63"/>
      <c r="PL51" s="62"/>
      <c r="PM51" s="63"/>
      <c r="PN51" s="62"/>
      <c r="PO51" s="63"/>
      <c r="PP51" s="62"/>
      <c r="PQ51" s="63"/>
      <c r="PR51" s="62"/>
      <c r="PS51" s="63"/>
      <c r="PT51" s="62"/>
      <c r="PU51" s="63"/>
      <c r="PV51" s="62"/>
      <c r="PW51" s="63"/>
      <c r="PX51" s="62"/>
      <c r="PY51" s="63"/>
      <c r="PZ51" s="62"/>
      <c r="QA51" s="63"/>
      <c r="QB51" s="62"/>
      <c r="QC51" s="63"/>
      <c r="QD51" s="62"/>
      <c r="QE51" s="63"/>
      <c r="QF51" s="62"/>
      <c r="QG51" s="63"/>
      <c r="QH51" s="62"/>
      <c r="QI51" s="63"/>
      <c r="QJ51" s="62"/>
      <c r="QK51" s="63"/>
      <c r="QL51" s="62"/>
      <c r="QM51" s="63"/>
      <c r="QN51" s="62"/>
      <c r="QO51" s="63"/>
      <c r="QP51" s="62"/>
      <c r="QQ51" s="63"/>
      <c r="QR51" s="62"/>
      <c r="QS51" s="63"/>
      <c r="QT51" s="62"/>
      <c r="QU51" s="63"/>
      <c r="QV51" s="62"/>
      <c r="QW51" s="63"/>
      <c r="QX51" s="62"/>
      <c r="QY51" s="63"/>
      <c r="QZ51" s="62"/>
      <c r="RA51" s="63"/>
      <c r="RB51" s="62"/>
      <c r="RC51" s="63"/>
      <c r="RD51" s="31"/>
    </row>
    <row r="52" spans="1:472" s="5" customFormat="1" ht="15" hidden="1" customHeight="1" x14ac:dyDescent="0.25">
      <c r="A52" s="5">
        <v>2053</v>
      </c>
      <c r="B52" s="5" t="s">
        <v>368</v>
      </c>
      <c r="C52" s="5" t="s">
        <v>230</v>
      </c>
      <c r="D52" s="5">
        <v>136</v>
      </c>
      <c r="E52" s="36">
        <v>43101</v>
      </c>
      <c r="F52" s="5" t="s">
        <v>469</v>
      </c>
      <c r="I52" s="62"/>
      <c r="J52" s="63"/>
      <c r="K52" s="62"/>
      <c r="L52" s="63"/>
      <c r="M52" s="62"/>
      <c r="N52" s="63"/>
      <c r="O52" s="62"/>
      <c r="P52" s="63"/>
      <c r="Q52" s="62"/>
      <c r="R52" s="63"/>
      <c r="S52" s="62"/>
      <c r="T52" s="63"/>
      <c r="X52" s="62"/>
      <c r="Y52" s="63"/>
      <c r="Z52" s="62"/>
      <c r="AA52" s="63"/>
      <c r="AB52" s="62"/>
      <c r="AC52" s="63"/>
      <c r="AD52" s="62"/>
      <c r="AE52" s="63"/>
      <c r="AF52" s="62"/>
      <c r="AG52" s="63"/>
      <c r="AH52" s="62"/>
      <c r="AI52" s="63"/>
      <c r="AJ52" s="62"/>
      <c r="AK52" s="63"/>
      <c r="AL52" s="62"/>
      <c r="AM52" s="63"/>
      <c r="AN52" s="62"/>
      <c r="AO52" s="63"/>
      <c r="AP52" s="62"/>
      <c r="AQ52" s="63"/>
      <c r="AR52" s="62"/>
      <c r="AS52" s="63"/>
      <c r="AT52" s="62"/>
      <c r="AU52" s="63"/>
      <c r="AV52" s="62"/>
      <c r="AW52" s="63"/>
      <c r="AX52" s="62"/>
      <c r="AY52" s="63"/>
      <c r="AZ52" s="62"/>
      <c r="BA52" s="63"/>
      <c r="BB52" s="62"/>
      <c r="BC52" s="63"/>
      <c r="BD52" s="62"/>
      <c r="BE52" s="63"/>
      <c r="BF52" s="62"/>
      <c r="BG52" s="63"/>
      <c r="BH52" s="62"/>
      <c r="BI52" s="63"/>
      <c r="BJ52" s="62"/>
      <c r="BK52" s="63"/>
      <c r="BL52" s="62"/>
      <c r="BM52" s="63"/>
      <c r="BN52" s="62"/>
      <c r="BO52" s="63"/>
      <c r="BP52" s="62"/>
      <c r="BQ52" s="63"/>
      <c r="BR52" s="62"/>
      <c r="BS52" s="63"/>
      <c r="BT52" s="62"/>
      <c r="BU52" s="63"/>
      <c r="BV52" s="62"/>
      <c r="BW52" s="63"/>
      <c r="BX52" s="62"/>
      <c r="BY52" s="63"/>
      <c r="BZ52" s="62"/>
      <c r="CA52" s="63"/>
      <c r="CB52" s="62"/>
      <c r="CC52" s="63"/>
      <c r="CD52" s="62"/>
      <c r="CE52" s="63"/>
      <c r="CF52" s="62"/>
      <c r="CG52" s="63"/>
      <c r="CH52" s="62"/>
      <c r="CI52" s="63"/>
      <c r="CJ52" s="62"/>
      <c r="CK52" s="63"/>
      <c r="CL52" s="62"/>
      <c r="CM52" s="63"/>
      <c r="CN52" s="62"/>
      <c r="CO52" s="63"/>
      <c r="CP52" s="62"/>
      <c r="CQ52" s="63"/>
      <c r="CR52" s="62" t="s">
        <v>66</v>
      </c>
      <c r="CS52" s="63"/>
      <c r="CT52" s="62" t="s">
        <v>66</v>
      </c>
      <c r="CU52" s="63"/>
      <c r="CV52" s="62" t="s">
        <v>38</v>
      </c>
      <c r="CW52" s="63"/>
      <c r="CX52" s="62" t="s">
        <v>38</v>
      </c>
      <c r="CY52" s="63"/>
      <c r="CZ52" s="62" t="s">
        <v>38</v>
      </c>
      <c r="DA52" s="63"/>
      <c r="DB52" s="62" t="s">
        <v>38</v>
      </c>
      <c r="DC52" s="63"/>
      <c r="DD52" s="31" t="s">
        <v>38</v>
      </c>
      <c r="DE52" s="32" t="s">
        <v>36</v>
      </c>
      <c r="DF52" s="62" t="s">
        <v>36</v>
      </c>
      <c r="DG52" s="63"/>
      <c r="DH52" s="62" t="s">
        <v>36</v>
      </c>
      <c r="DI52" s="63"/>
      <c r="DJ52" s="62" t="s">
        <v>36</v>
      </c>
      <c r="DK52" s="63"/>
      <c r="DL52" s="62" t="s">
        <v>36</v>
      </c>
      <c r="DM52" s="63"/>
      <c r="DN52" s="62" t="s">
        <v>36</v>
      </c>
      <c r="DO52" s="63"/>
      <c r="DP52" s="62" t="s">
        <v>36</v>
      </c>
      <c r="DQ52" s="63"/>
      <c r="DR52" s="62" t="s">
        <v>36</v>
      </c>
      <c r="DS52" s="63"/>
      <c r="DT52" s="62" t="s">
        <v>37</v>
      </c>
      <c r="DU52" s="63"/>
      <c r="DV52" s="62" t="s">
        <v>37</v>
      </c>
      <c r="DW52" s="63"/>
      <c r="DX52" s="62" t="s">
        <v>37</v>
      </c>
      <c r="DY52" s="63"/>
      <c r="DZ52" s="62" t="s">
        <v>37</v>
      </c>
      <c r="EA52" s="63"/>
      <c r="EB52" s="62" t="s">
        <v>37</v>
      </c>
      <c r="EC52" s="63"/>
      <c r="ED52" s="62" t="s">
        <v>37</v>
      </c>
      <c r="EE52" s="63"/>
      <c r="EF52" s="62" t="s">
        <v>37</v>
      </c>
      <c r="EG52" s="63"/>
      <c r="EH52" s="62"/>
      <c r="EI52" s="63"/>
      <c r="EJ52" s="62"/>
      <c r="EK52" s="63"/>
      <c r="EL52" s="62"/>
      <c r="EM52" s="63"/>
      <c r="EN52" s="62"/>
      <c r="EO52" s="63"/>
      <c r="EP52" s="62"/>
      <c r="EQ52" s="63"/>
      <c r="ER52" s="62"/>
      <c r="ES52" s="63"/>
      <c r="ET52" s="62"/>
      <c r="EU52" s="63"/>
      <c r="EV52" s="62"/>
      <c r="EW52" s="63"/>
      <c r="EX52" s="62"/>
      <c r="EY52" s="63"/>
      <c r="EZ52" s="62"/>
      <c r="FA52" s="63"/>
      <c r="FB52" s="62"/>
      <c r="FC52" s="63"/>
      <c r="FD52" s="62"/>
      <c r="FE52" s="63"/>
      <c r="FF52" s="62"/>
      <c r="FG52" s="63"/>
      <c r="FH52" s="62"/>
      <c r="FI52" s="63"/>
      <c r="FJ52" s="62"/>
      <c r="FK52" s="63"/>
      <c r="FL52" s="62"/>
      <c r="FM52" s="63"/>
      <c r="FN52" s="62"/>
      <c r="FO52" s="63"/>
      <c r="FP52" s="62"/>
      <c r="FQ52" s="63"/>
      <c r="FR52" s="62"/>
      <c r="FS52" s="63"/>
      <c r="FT52" s="62"/>
      <c r="FU52" s="63"/>
      <c r="FV52" s="62"/>
      <c r="FW52" s="63"/>
      <c r="FX52" s="62"/>
      <c r="FY52" s="63"/>
      <c r="FZ52" s="62"/>
      <c r="GA52" s="63"/>
      <c r="GB52" s="62"/>
      <c r="GC52" s="63"/>
      <c r="GD52" s="62"/>
      <c r="GE52" s="63"/>
      <c r="GF52" s="62"/>
      <c r="GG52" s="63"/>
      <c r="GH52" s="62"/>
      <c r="GI52" s="63"/>
      <c r="GJ52" s="62"/>
      <c r="GK52" s="63"/>
      <c r="GL52" s="62"/>
      <c r="GM52" s="63"/>
      <c r="GN52" s="62"/>
      <c r="GO52" s="63"/>
      <c r="GP52" s="62"/>
      <c r="GQ52" s="63"/>
      <c r="GR52" s="62"/>
      <c r="GS52" s="63"/>
      <c r="GT52" s="62"/>
      <c r="GU52" s="63"/>
      <c r="GV52" s="62"/>
      <c r="GW52" s="63"/>
      <c r="GX52" s="62"/>
      <c r="GY52" s="63"/>
      <c r="GZ52" s="62"/>
      <c r="HA52" s="63"/>
      <c r="HB52" s="62"/>
      <c r="HC52" s="63"/>
      <c r="HD52" s="62"/>
      <c r="HE52" s="63"/>
      <c r="HF52" s="62"/>
      <c r="HG52" s="63"/>
      <c r="HH52" s="62"/>
      <c r="HI52" s="63"/>
      <c r="HJ52" s="62"/>
      <c r="HK52" s="63"/>
      <c r="HL52" s="62"/>
      <c r="HM52" s="63"/>
      <c r="HN52" s="62"/>
      <c r="HO52" s="63"/>
      <c r="HP52" s="62"/>
      <c r="HQ52" s="63"/>
      <c r="HR52" s="62"/>
      <c r="HS52" s="63"/>
      <c r="HT52" s="62"/>
      <c r="HU52" s="63"/>
      <c r="HV52" s="62"/>
      <c r="HW52" s="63"/>
      <c r="HX52" s="62"/>
      <c r="HY52" s="63"/>
      <c r="HZ52" s="62"/>
      <c r="IA52" s="63"/>
      <c r="IB52" s="62"/>
      <c r="IC52" s="63"/>
      <c r="ID52" s="62"/>
      <c r="IE52" s="63"/>
      <c r="IF52" s="62"/>
      <c r="IG52" s="63"/>
      <c r="IH52" s="62"/>
      <c r="II52" s="63"/>
      <c r="IJ52" s="62"/>
      <c r="IK52" s="63"/>
      <c r="IL52" s="62"/>
      <c r="IM52" s="63"/>
      <c r="IN52" s="62"/>
      <c r="IO52" s="63"/>
      <c r="IP52" s="62"/>
      <c r="IQ52" s="63"/>
      <c r="IR52" s="62"/>
      <c r="IS52" s="63"/>
      <c r="IT52" s="62"/>
      <c r="IU52" s="63"/>
      <c r="IV52" s="62"/>
      <c r="IW52" s="63"/>
      <c r="IX52" s="62"/>
      <c r="IY52" s="63"/>
      <c r="IZ52" s="62"/>
      <c r="JA52" s="63"/>
      <c r="JB52" s="62"/>
      <c r="JC52" s="63"/>
      <c r="JD52" s="62"/>
      <c r="JE52" s="63"/>
      <c r="JF52" s="62"/>
      <c r="JG52" s="63"/>
      <c r="JH52" s="62"/>
      <c r="JI52" s="63"/>
      <c r="JJ52" s="62"/>
      <c r="JK52" s="63"/>
      <c r="JL52" s="62"/>
      <c r="JM52" s="63"/>
      <c r="JN52" s="62"/>
      <c r="JO52" s="63"/>
      <c r="JP52" s="62"/>
      <c r="JQ52" s="63"/>
      <c r="JR52" s="62"/>
      <c r="JS52" s="63"/>
      <c r="JT52" s="62"/>
      <c r="JU52" s="63"/>
      <c r="JV52" s="62"/>
      <c r="JW52" s="63"/>
      <c r="JX52" s="62"/>
      <c r="JY52" s="63"/>
      <c r="JZ52" s="62"/>
      <c r="KA52" s="63"/>
      <c r="KB52" s="62"/>
      <c r="KC52" s="63"/>
      <c r="KD52" s="62"/>
      <c r="KE52" s="63"/>
      <c r="KF52" s="62"/>
      <c r="KG52" s="63"/>
      <c r="KH52" s="62"/>
      <c r="KI52" s="63"/>
      <c r="KJ52" s="62"/>
      <c r="KK52" s="63"/>
      <c r="KL52" s="62"/>
      <c r="KM52" s="63"/>
      <c r="KN52" s="62"/>
      <c r="KO52" s="63"/>
      <c r="KP52" s="62"/>
      <c r="KQ52" s="63"/>
      <c r="KR52" s="62"/>
      <c r="KS52" s="63"/>
      <c r="KT52" s="62"/>
      <c r="KU52" s="63"/>
      <c r="KV52" s="62"/>
      <c r="KW52" s="63"/>
      <c r="KX52" s="62"/>
      <c r="KY52" s="63"/>
      <c r="KZ52" s="62"/>
      <c r="LA52" s="63"/>
      <c r="LB52" s="62"/>
      <c r="LC52" s="63"/>
      <c r="LD52" s="62"/>
      <c r="LE52" s="63"/>
      <c r="LF52" s="62"/>
      <c r="LG52" s="63"/>
      <c r="LH52" s="62"/>
      <c r="LI52" s="63"/>
      <c r="LJ52" s="62"/>
      <c r="LK52" s="63"/>
      <c r="LL52" s="62"/>
      <c r="LM52" s="63"/>
      <c r="LN52" s="62"/>
      <c r="LO52" s="63"/>
      <c r="LP52" s="62"/>
      <c r="LQ52" s="63"/>
      <c r="LR52" s="62"/>
      <c r="LS52" s="63"/>
      <c r="LT52" s="62"/>
      <c r="LU52" s="63"/>
      <c r="LV52" s="62"/>
      <c r="LW52" s="63"/>
      <c r="LX52" s="62"/>
      <c r="LY52" s="63"/>
      <c r="LZ52" s="62"/>
      <c r="MA52" s="63"/>
      <c r="MB52" s="62"/>
      <c r="MC52" s="63"/>
      <c r="MD52" s="62"/>
      <c r="ME52" s="63"/>
      <c r="MF52" s="62"/>
      <c r="MG52" s="63"/>
      <c r="MH52" s="62"/>
      <c r="MI52" s="63"/>
      <c r="MJ52" s="62"/>
      <c r="MK52" s="63"/>
      <c r="ML52" s="62"/>
      <c r="MM52" s="63"/>
      <c r="MN52" s="62"/>
      <c r="MO52" s="63"/>
      <c r="MP52" s="62"/>
      <c r="MQ52" s="63"/>
      <c r="MR52" s="62"/>
      <c r="MS52" s="63"/>
      <c r="MT52" s="62"/>
      <c r="MU52" s="63"/>
      <c r="MV52" s="62"/>
      <c r="MW52" s="63"/>
      <c r="MX52" s="62"/>
      <c r="MY52" s="63"/>
      <c r="MZ52" s="62"/>
      <c r="NA52" s="63"/>
      <c r="NB52" s="62"/>
      <c r="NC52" s="63"/>
      <c r="ND52" s="62"/>
      <c r="NE52" s="63"/>
      <c r="NF52" s="62"/>
      <c r="NG52" s="63"/>
      <c r="NH52" s="62"/>
      <c r="NI52" s="63"/>
      <c r="NJ52" s="62"/>
      <c r="NK52" s="63"/>
      <c r="NL52" s="62"/>
      <c r="NM52" s="63"/>
      <c r="NN52" s="62"/>
      <c r="NO52" s="63"/>
      <c r="NP52" s="62"/>
      <c r="NQ52" s="63"/>
      <c r="NR52" s="62"/>
      <c r="NS52" s="63"/>
      <c r="NT52" s="62"/>
      <c r="NU52" s="63"/>
      <c r="NV52" s="62"/>
      <c r="NW52" s="63"/>
      <c r="NX52" s="62"/>
      <c r="NY52" s="63"/>
      <c r="NZ52" s="62"/>
      <c r="OA52" s="63"/>
      <c r="OB52" s="62"/>
      <c r="OC52" s="63"/>
      <c r="OD52" s="62"/>
      <c r="OE52" s="63"/>
      <c r="OF52" s="62"/>
      <c r="OG52" s="63"/>
      <c r="OH52" s="62"/>
      <c r="OI52" s="63"/>
      <c r="OJ52" s="62"/>
      <c r="OK52" s="63"/>
      <c r="OL52" s="62"/>
      <c r="OM52" s="63"/>
      <c r="ON52" s="62"/>
      <c r="OO52" s="63"/>
      <c r="OP52" s="62"/>
      <c r="OQ52" s="63"/>
      <c r="OR52" s="62"/>
      <c r="OS52" s="63"/>
      <c r="OT52" s="62"/>
      <c r="OU52" s="63"/>
      <c r="OV52" s="62"/>
      <c r="OW52" s="63"/>
      <c r="OX52" s="62"/>
      <c r="OY52" s="63"/>
      <c r="OZ52" s="62"/>
      <c r="PA52" s="63"/>
      <c r="PB52" s="62"/>
      <c r="PC52" s="63"/>
      <c r="PD52" s="62"/>
      <c r="PE52" s="63"/>
      <c r="PF52" s="62"/>
      <c r="PG52" s="63"/>
      <c r="PH52" s="62"/>
      <c r="PI52" s="63"/>
      <c r="PJ52" s="62"/>
      <c r="PK52" s="63"/>
      <c r="PL52" s="62"/>
      <c r="PM52" s="63"/>
      <c r="PN52" s="62"/>
      <c r="PO52" s="63"/>
      <c r="PP52" s="62"/>
      <c r="PQ52" s="63"/>
      <c r="PR52" s="62"/>
      <c r="PS52" s="63"/>
      <c r="PT52" s="62"/>
      <c r="PU52" s="63"/>
      <c r="PV52" s="62"/>
      <c r="PW52" s="63"/>
      <c r="PX52" s="62"/>
      <c r="PY52" s="63"/>
      <c r="PZ52" s="62"/>
      <c r="QA52" s="63"/>
      <c r="QB52" s="62"/>
      <c r="QC52" s="63"/>
      <c r="QD52" s="62"/>
      <c r="QE52" s="63"/>
      <c r="QF52" s="62"/>
      <c r="QG52" s="63"/>
      <c r="QH52" s="62"/>
      <c r="QI52" s="63"/>
      <c r="QJ52" s="62"/>
      <c r="QK52" s="63"/>
      <c r="QL52" s="62"/>
      <c r="QM52" s="63"/>
      <c r="QN52" s="62"/>
      <c r="QO52" s="63"/>
      <c r="QP52" s="62"/>
      <c r="QQ52" s="63"/>
      <c r="QR52" s="62"/>
      <c r="QS52" s="63"/>
      <c r="QT52" s="62"/>
      <c r="QU52" s="63"/>
      <c r="QV52" s="62"/>
      <c r="QW52" s="63"/>
      <c r="QX52" s="62"/>
      <c r="QY52" s="63"/>
      <c r="QZ52" s="62"/>
      <c r="RA52" s="63"/>
      <c r="RB52" s="62"/>
      <c r="RC52" s="63"/>
      <c r="RD52" s="31"/>
    </row>
    <row r="53" spans="1:472" s="5" customFormat="1" ht="15" hidden="1" customHeight="1" x14ac:dyDescent="0.25">
      <c r="A53" s="5">
        <v>2054</v>
      </c>
      <c r="B53" s="5" t="s">
        <v>426</v>
      </c>
      <c r="C53" s="5" t="s">
        <v>165</v>
      </c>
      <c r="D53" s="5">
        <v>68</v>
      </c>
      <c r="E53" s="36">
        <v>43177</v>
      </c>
      <c r="F53" s="5" t="s">
        <v>464</v>
      </c>
      <c r="I53" s="62"/>
      <c r="J53" s="63"/>
      <c r="K53" s="62"/>
      <c r="L53" s="63"/>
      <c r="M53" s="62"/>
      <c r="N53" s="63"/>
      <c r="O53" s="62"/>
      <c r="P53" s="63"/>
      <c r="Q53" s="62"/>
      <c r="R53" s="63"/>
      <c r="S53" s="62"/>
      <c r="T53" s="63"/>
      <c r="X53" s="62"/>
      <c r="Y53" s="63"/>
      <c r="Z53" s="62"/>
      <c r="AA53" s="63"/>
      <c r="AB53" s="62"/>
      <c r="AC53" s="63"/>
      <c r="AD53" s="62"/>
      <c r="AE53" s="63"/>
      <c r="AF53" s="62"/>
      <c r="AG53" s="63"/>
      <c r="AH53" s="62"/>
      <c r="AI53" s="63"/>
      <c r="AJ53" s="62"/>
      <c r="AK53" s="63"/>
      <c r="AL53" s="62"/>
      <c r="AM53" s="63"/>
      <c r="AN53" s="62"/>
      <c r="AO53" s="63"/>
      <c r="AP53" s="62"/>
      <c r="AQ53" s="63"/>
      <c r="AR53" s="62"/>
      <c r="AS53" s="63"/>
      <c r="AT53" s="62"/>
      <c r="AU53" s="63"/>
      <c r="AV53" s="62"/>
      <c r="AW53" s="63"/>
      <c r="AX53" s="62"/>
      <c r="AY53" s="63"/>
      <c r="AZ53" s="62"/>
      <c r="BA53" s="63"/>
      <c r="BB53" s="62"/>
      <c r="BC53" s="63"/>
      <c r="BD53" s="62"/>
      <c r="BE53" s="63"/>
      <c r="BF53" s="62"/>
      <c r="BG53" s="63"/>
      <c r="BH53" s="62"/>
      <c r="BI53" s="63"/>
      <c r="BJ53" s="62"/>
      <c r="BK53" s="63"/>
      <c r="BL53" s="62"/>
      <c r="BM53" s="63"/>
      <c r="BN53" s="62"/>
      <c r="BO53" s="63"/>
      <c r="BP53" s="62"/>
      <c r="BQ53" s="63"/>
      <c r="BR53" s="62"/>
      <c r="BS53" s="63"/>
      <c r="BT53" s="62"/>
      <c r="BU53" s="63"/>
      <c r="BV53" s="62"/>
      <c r="BW53" s="63"/>
      <c r="BX53" s="62"/>
      <c r="BY53" s="63"/>
      <c r="BZ53" s="62"/>
      <c r="CA53" s="63"/>
      <c r="CB53" s="62"/>
      <c r="CC53" s="63"/>
      <c r="CD53" s="62"/>
      <c r="CE53" s="63"/>
      <c r="CF53" s="62"/>
      <c r="CG53" s="63"/>
      <c r="CH53" s="62"/>
      <c r="CI53" s="63"/>
      <c r="CJ53" s="62"/>
      <c r="CK53" s="63"/>
      <c r="CL53" s="62"/>
      <c r="CM53" s="63"/>
      <c r="CN53" s="62"/>
      <c r="CO53" s="63"/>
      <c r="CP53" s="62"/>
      <c r="CQ53" s="63"/>
      <c r="CR53" s="62"/>
      <c r="CS53" s="63"/>
      <c r="CT53" s="62"/>
      <c r="CU53" s="63"/>
      <c r="CV53" s="62"/>
      <c r="CW53" s="63"/>
      <c r="CX53" s="31"/>
      <c r="CY53" s="32" t="s">
        <v>66</v>
      </c>
      <c r="CZ53" s="31" t="s">
        <v>66</v>
      </c>
      <c r="DA53" s="32" t="s">
        <v>38</v>
      </c>
      <c r="DB53" s="62" t="s">
        <v>38</v>
      </c>
      <c r="DC53" s="63"/>
      <c r="DD53" s="62" t="s">
        <v>38</v>
      </c>
      <c r="DE53" s="63"/>
      <c r="DF53" s="62" t="s">
        <v>36</v>
      </c>
      <c r="DG53" s="63"/>
      <c r="DH53" s="62" t="s">
        <v>36</v>
      </c>
      <c r="DI53" s="63"/>
      <c r="DJ53" s="62" t="s">
        <v>36</v>
      </c>
      <c r="DK53" s="63"/>
      <c r="DL53" s="62" t="s">
        <v>36</v>
      </c>
      <c r="DM53" s="63"/>
      <c r="DN53" s="62" t="s">
        <v>36</v>
      </c>
      <c r="DO53" s="63"/>
      <c r="DP53" s="62" t="s">
        <v>36</v>
      </c>
      <c r="DQ53" s="63"/>
      <c r="DR53" s="62" t="s">
        <v>36</v>
      </c>
      <c r="DS53" s="63"/>
      <c r="DT53" s="62" t="s">
        <v>36</v>
      </c>
      <c r="DU53" s="63"/>
      <c r="DV53" s="62" t="s">
        <v>36</v>
      </c>
      <c r="DW53" s="63"/>
      <c r="DX53" s="62" t="s">
        <v>36</v>
      </c>
      <c r="DY53" s="63"/>
      <c r="DZ53" s="62" t="s">
        <v>37</v>
      </c>
      <c r="EA53" s="63"/>
      <c r="EB53" s="62" t="s">
        <v>37</v>
      </c>
      <c r="EC53" s="63"/>
      <c r="ED53" s="62" t="s">
        <v>37</v>
      </c>
      <c r="EE53" s="63"/>
      <c r="EF53" s="62" t="s">
        <v>37</v>
      </c>
      <c r="EG53" s="63"/>
      <c r="EH53" s="62"/>
      <c r="EI53" s="63"/>
      <c r="EJ53" s="62"/>
      <c r="EK53" s="63"/>
      <c r="EL53" s="62"/>
      <c r="EM53" s="63"/>
      <c r="EN53" s="62"/>
      <c r="EO53" s="63"/>
      <c r="EP53" s="62"/>
      <c r="EQ53" s="63"/>
      <c r="ER53" s="62"/>
      <c r="ES53" s="63"/>
      <c r="ET53" s="62"/>
      <c r="EU53" s="63"/>
      <c r="EV53" s="62"/>
      <c r="EW53" s="63"/>
      <c r="EX53" s="62"/>
      <c r="EY53" s="63"/>
      <c r="EZ53" s="62"/>
      <c r="FA53" s="63"/>
      <c r="FB53" s="62"/>
      <c r="FC53" s="63"/>
      <c r="FD53" s="62"/>
      <c r="FE53" s="63"/>
      <c r="FF53" s="62"/>
      <c r="FG53" s="63"/>
      <c r="FH53" s="62"/>
      <c r="FI53" s="63"/>
      <c r="FJ53" s="62"/>
      <c r="FK53" s="63"/>
      <c r="FL53" s="62"/>
      <c r="FM53" s="63"/>
      <c r="FN53" s="62"/>
      <c r="FO53" s="63"/>
      <c r="FP53" s="62"/>
      <c r="FQ53" s="63"/>
      <c r="FR53" s="62"/>
      <c r="FS53" s="63"/>
      <c r="FT53" s="62"/>
      <c r="FU53" s="63"/>
      <c r="FV53" s="62"/>
      <c r="FW53" s="63"/>
      <c r="FX53" s="62"/>
      <c r="FY53" s="63"/>
      <c r="FZ53" s="62"/>
      <c r="GA53" s="63"/>
      <c r="GB53" s="62"/>
      <c r="GC53" s="63"/>
      <c r="GD53" s="62"/>
      <c r="GE53" s="63"/>
      <c r="GF53" s="62"/>
      <c r="GG53" s="63"/>
      <c r="GH53" s="62"/>
      <c r="GI53" s="63"/>
      <c r="GJ53" s="62"/>
      <c r="GK53" s="63"/>
      <c r="GL53" s="62"/>
      <c r="GM53" s="63"/>
      <c r="GN53" s="62"/>
      <c r="GO53" s="63"/>
      <c r="GP53" s="62"/>
      <c r="GQ53" s="63"/>
      <c r="GR53" s="62"/>
      <c r="GS53" s="63"/>
      <c r="GT53" s="62"/>
      <c r="GU53" s="63"/>
      <c r="GV53" s="62"/>
      <c r="GW53" s="63"/>
      <c r="GX53" s="62"/>
      <c r="GY53" s="63"/>
      <c r="GZ53" s="62"/>
      <c r="HA53" s="63"/>
      <c r="HB53" s="62"/>
      <c r="HC53" s="63"/>
      <c r="HD53" s="62"/>
      <c r="HE53" s="63"/>
      <c r="HF53" s="62"/>
      <c r="HG53" s="63"/>
      <c r="HH53" s="62"/>
      <c r="HI53" s="63"/>
      <c r="HJ53" s="62"/>
      <c r="HK53" s="63"/>
      <c r="HL53" s="62"/>
      <c r="HM53" s="63"/>
      <c r="HN53" s="62"/>
      <c r="HO53" s="63"/>
      <c r="HP53" s="62"/>
      <c r="HQ53" s="63"/>
      <c r="HR53" s="62"/>
      <c r="HS53" s="63"/>
      <c r="HT53" s="62"/>
      <c r="HU53" s="63"/>
      <c r="HV53" s="62"/>
      <c r="HW53" s="63"/>
      <c r="HX53" s="62"/>
      <c r="HY53" s="63"/>
      <c r="HZ53" s="62"/>
      <c r="IA53" s="63"/>
      <c r="IB53" s="62"/>
      <c r="IC53" s="63"/>
      <c r="ID53" s="62"/>
      <c r="IE53" s="63"/>
      <c r="IF53" s="62"/>
      <c r="IG53" s="63"/>
      <c r="IH53" s="62"/>
      <c r="II53" s="63"/>
      <c r="IJ53" s="62"/>
      <c r="IK53" s="63"/>
      <c r="IL53" s="62"/>
      <c r="IM53" s="63"/>
      <c r="IN53" s="62"/>
      <c r="IO53" s="63"/>
      <c r="IP53" s="62"/>
      <c r="IQ53" s="63"/>
      <c r="IR53" s="62"/>
      <c r="IS53" s="63"/>
      <c r="IT53" s="62"/>
      <c r="IU53" s="63"/>
      <c r="IV53" s="62"/>
      <c r="IW53" s="63"/>
      <c r="IX53" s="62"/>
      <c r="IY53" s="63"/>
      <c r="IZ53" s="62"/>
      <c r="JA53" s="63"/>
      <c r="JB53" s="62"/>
      <c r="JC53" s="63"/>
      <c r="JD53" s="62"/>
      <c r="JE53" s="63"/>
      <c r="JF53" s="62"/>
      <c r="JG53" s="63"/>
      <c r="JH53" s="62"/>
      <c r="JI53" s="63"/>
      <c r="JJ53" s="62"/>
      <c r="JK53" s="63"/>
      <c r="JL53" s="62"/>
      <c r="JM53" s="63"/>
      <c r="JN53" s="62"/>
      <c r="JO53" s="63"/>
      <c r="JP53" s="62"/>
      <c r="JQ53" s="63"/>
      <c r="JR53" s="62"/>
      <c r="JS53" s="63"/>
      <c r="JT53" s="62"/>
      <c r="JU53" s="63"/>
      <c r="JV53" s="62"/>
      <c r="JW53" s="63"/>
      <c r="JX53" s="62"/>
      <c r="JY53" s="63"/>
      <c r="JZ53" s="62"/>
      <c r="KA53" s="63"/>
      <c r="KB53" s="62"/>
      <c r="KC53" s="63"/>
      <c r="KD53" s="62"/>
      <c r="KE53" s="63"/>
      <c r="KF53" s="62"/>
      <c r="KG53" s="63"/>
      <c r="KH53" s="62"/>
      <c r="KI53" s="63"/>
      <c r="KJ53" s="62"/>
      <c r="KK53" s="63"/>
      <c r="KL53" s="62"/>
      <c r="KM53" s="63"/>
      <c r="KN53" s="62"/>
      <c r="KO53" s="63"/>
      <c r="KP53" s="62"/>
      <c r="KQ53" s="63"/>
      <c r="KR53" s="62"/>
      <c r="KS53" s="63"/>
      <c r="KT53" s="62"/>
      <c r="KU53" s="63"/>
      <c r="KV53" s="62"/>
      <c r="KW53" s="63"/>
      <c r="KX53" s="62"/>
      <c r="KY53" s="63"/>
      <c r="KZ53" s="62"/>
      <c r="LA53" s="63"/>
      <c r="LB53" s="62"/>
      <c r="LC53" s="63"/>
      <c r="LD53" s="62"/>
      <c r="LE53" s="63"/>
      <c r="LF53" s="62"/>
      <c r="LG53" s="63"/>
      <c r="LH53" s="62"/>
      <c r="LI53" s="63"/>
      <c r="LJ53" s="62"/>
      <c r="LK53" s="63"/>
      <c r="LL53" s="62"/>
      <c r="LM53" s="63"/>
      <c r="LN53" s="62"/>
      <c r="LO53" s="63"/>
      <c r="LP53" s="62"/>
      <c r="LQ53" s="63"/>
      <c r="LR53" s="62"/>
      <c r="LS53" s="63"/>
      <c r="LT53" s="62"/>
      <c r="LU53" s="63"/>
      <c r="LV53" s="62"/>
      <c r="LW53" s="63"/>
      <c r="LX53" s="62"/>
      <c r="LY53" s="63"/>
      <c r="LZ53" s="62"/>
      <c r="MA53" s="63"/>
      <c r="MB53" s="62"/>
      <c r="MC53" s="63"/>
      <c r="MD53" s="62"/>
      <c r="ME53" s="63"/>
      <c r="MF53" s="62"/>
      <c r="MG53" s="63"/>
      <c r="MH53" s="62"/>
      <c r="MI53" s="63"/>
      <c r="MJ53" s="62"/>
      <c r="MK53" s="63"/>
      <c r="ML53" s="62"/>
      <c r="MM53" s="63"/>
      <c r="MN53" s="62"/>
      <c r="MO53" s="63"/>
      <c r="MP53" s="62"/>
      <c r="MQ53" s="63"/>
      <c r="MR53" s="62"/>
      <c r="MS53" s="63"/>
      <c r="MT53" s="62"/>
      <c r="MU53" s="63"/>
      <c r="MV53" s="62"/>
      <c r="MW53" s="63"/>
      <c r="MX53" s="62"/>
      <c r="MY53" s="63"/>
      <c r="MZ53" s="62"/>
      <c r="NA53" s="63"/>
      <c r="NB53" s="62"/>
      <c r="NC53" s="63"/>
      <c r="ND53" s="62"/>
      <c r="NE53" s="63"/>
      <c r="NF53" s="62"/>
      <c r="NG53" s="63"/>
      <c r="NH53" s="62"/>
      <c r="NI53" s="63"/>
      <c r="NJ53" s="62"/>
      <c r="NK53" s="63"/>
      <c r="NL53" s="62"/>
      <c r="NM53" s="63"/>
      <c r="NN53" s="62"/>
      <c r="NO53" s="63"/>
      <c r="NP53" s="62"/>
      <c r="NQ53" s="63"/>
      <c r="NR53" s="62"/>
      <c r="NS53" s="63"/>
      <c r="NT53" s="62"/>
      <c r="NU53" s="63"/>
      <c r="NV53" s="62"/>
      <c r="NW53" s="63"/>
      <c r="NX53" s="62"/>
      <c r="NY53" s="63"/>
      <c r="NZ53" s="62"/>
      <c r="OA53" s="63"/>
      <c r="OB53" s="62"/>
      <c r="OC53" s="63"/>
      <c r="OD53" s="62"/>
      <c r="OE53" s="63"/>
      <c r="OF53" s="62"/>
      <c r="OG53" s="63"/>
      <c r="OH53" s="62"/>
      <c r="OI53" s="63"/>
      <c r="OJ53" s="62"/>
      <c r="OK53" s="63"/>
      <c r="OL53" s="62"/>
      <c r="OM53" s="63"/>
      <c r="ON53" s="62"/>
      <c r="OO53" s="63"/>
      <c r="OP53" s="62"/>
      <c r="OQ53" s="63"/>
      <c r="OR53" s="62"/>
      <c r="OS53" s="63"/>
      <c r="OT53" s="62"/>
      <c r="OU53" s="63"/>
      <c r="OV53" s="62"/>
      <c r="OW53" s="63"/>
      <c r="OX53" s="62"/>
      <c r="OY53" s="63"/>
      <c r="OZ53" s="62"/>
      <c r="PA53" s="63"/>
      <c r="PB53" s="62"/>
      <c r="PC53" s="63"/>
      <c r="PD53" s="62"/>
      <c r="PE53" s="63"/>
      <c r="PF53" s="62"/>
      <c r="PG53" s="63"/>
      <c r="PH53" s="62"/>
      <c r="PI53" s="63"/>
      <c r="PJ53" s="62"/>
      <c r="PK53" s="63"/>
      <c r="PL53" s="62"/>
      <c r="PM53" s="63"/>
      <c r="PN53" s="62"/>
      <c r="PO53" s="63"/>
      <c r="PP53" s="62"/>
      <c r="PQ53" s="63"/>
      <c r="PR53" s="62"/>
      <c r="PS53" s="63"/>
      <c r="PT53" s="62"/>
      <c r="PU53" s="63"/>
      <c r="PV53" s="62"/>
      <c r="PW53" s="63"/>
      <c r="PX53" s="62"/>
      <c r="PY53" s="63"/>
      <c r="PZ53" s="62"/>
      <c r="QA53" s="63"/>
      <c r="QB53" s="62"/>
      <c r="QC53" s="63"/>
      <c r="QD53" s="62"/>
      <c r="QE53" s="63"/>
      <c r="QF53" s="62"/>
      <c r="QG53" s="63"/>
      <c r="QH53" s="62"/>
      <c r="QI53" s="63"/>
      <c r="QJ53" s="62"/>
      <c r="QK53" s="63"/>
      <c r="QL53" s="62"/>
      <c r="QM53" s="63"/>
      <c r="QN53" s="62"/>
      <c r="QO53" s="63"/>
      <c r="QP53" s="62"/>
      <c r="QQ53" s="63"/>
      <c r="QR53" s="62"/>
      <c r="QS53" s="63"/>
      <c r="QT53" s="62"/>
      <c r="QU53" s="63"/>
      <c r="QV53" s="62"/>
      <c r="QW53" s="63"/>
      <c r="QX53" s="62"/>
      <c r="QY53" s="63"/>
      <c r="QZ53" s="62"/>
      <c r="RA53" s="63"/>
      <c r="RB53" s="62"/>
      <c r="RC53" s="63"/>
      <c r="RD53" s="31"/>
    </row>
    <row r="54" spans="1:472" s="5" customFormat="1" ht="15" hidden="1" customHeight="1" x14ac:dyDescent="0.25">
      <c r="A54" s="5">
        <v>2051</v>
      </c>
      <c r="B54" s="5" t="s">
        <v>416</v>
      </c>
      <c r="C54" s="5" t="s">
        <v>230</v>
      </c>
      <c r="D54" s="5">
        <v>163</v>
      </c>
      <c r="E54" s="36" t="s">
        <v>434</v>
      </c>
      <c r="F54" s="5" t="s">
        <v>87</v>
      </c>
      <c r="I54" s="62"/>
      <c r="J54" s="63"/>
      <c r="K54" s="62"/>
      <c r="L54" s="63"/>
      <c r="M54" s="62"/>
      <c r="N54" s="63"/>
      <c r="O54" s="62"/>
      <c r="P54" s="63"/>
      <c r="Q54" s="62"/>
      <c r="R54" s="63"/>
      <c r="S54" s="62"/>
      <c r="T54" s="63"/>
      <c r="X54" s="62"/>
      <c r="Y54" s="63"/>
      <c r="Z54" s="62"/>
      <c r="AA54" s="63"/>
      <c r="AB54" s="62"/>
      <c r="AC54" s="63"/>
      <c r="AD54" s="62"/>
      <c r="AE54" s="63"/>
      <c r="AF54" s="62"/>
      <c r="AG54" s="63"/>
      <c r="AH54" s="62"/>
      <c r="AI54" s="63"/>
      <c r="AJ54" s="62"/>
      <c r="AK54" s="63"/>
      <c r="AL54" s="62"/>
      <c r="AM54" s="63"/>
      <c r="AN54" s="62"/>
      <c r="AO54" s="63"/>
      <c r="AP54" s="62"/>
      <c r="AQ54" s="63"/>
      <c r="AR54" s="62"/>
      <c r="AS54" s="63"/>
      <c r="AT54" s="62"/>
      <c r="AU54" s="63"/>
      <c r="AV54" s="62"/>
      <c r="AW54" s="63"/>
      <c r="AX54" s="62"/>
      <c r="AY54" s="63"/>
      <c r="AZ54" s="62"/>
      <c r="BA54" s="63"/>
      <c r="BB54" s="62"/>
      <c r="BC54" s="63"/>
      <c r="BD54" s="62"/>
      <c r="BE54" s="63"/>
      <c r="BF54" s="62"/>
      <c r="BG54" s="63"/>
      <c r="BH54" s="62"/>
      <c r="BI54" s="63"/>
      <c r="BJ54" s="62"/>
      <c r="BK54" s="63"/>
      <c r="BL54" s="62"/>
      <c r="BM54" s="63"/>
      <c r="BN54" s="62"/>
      <c r="BO54" s="63"/>
      <c r="BP54" s="62"/>
      <c r="BQ54" s="63"/>
      <c r="BR54" s="62"/>
      <c r="BS54" s="63"/>
      <c r="BT54" s="62"/>
      <c r="BU54" s="63"/>
      <c r="BV54" s="62"/>
      <c r="BW54" s="63"/>
      <c r="BX54" s="62"/>
      <c r="BY54" s="63"/>
      <c r="BZ54" s="62"/>
      <c r="CA54" s="63"/>
      <c r="CB54" s="62"/>
      <c r="CC54" s="63"/>
      <c r="CD54" s="62"/>
      <c r="CE54" s="63"/>
      <c r="CF54" s="62"/>
      <c r="CG54" s="63"/>
      <c r="CH54" s="62"/>
      <c r="CI54" s="63"/>
      <c r="CJ54" s="62"/>
      <c r="CK54" s="63"/>
      <c r="CL54" s="62"/>
      <c r="CM54" s="63"/>
      <c r="CN54" s="62"/>
      <c r="CO54" s="63"/>
      <c r="CP54" s="62"/>
      <c r="CQ54" s="63"/>
      <c r="CR54" s="62"/>
      <c r="CS54" s="63"/>
      <c r="CT54" s="62"/>
      <c r="CU54" s="63"/>
      <c r="CV54" s="62"/>
      <c r="CW54" s="63"/>
      <c r="CX54" s="31"/>
      <c r="CY54" s="32" t="s">
        <v>66</v>
      </c>
      <c r="CZ54" s="62" t="s">
        <v>66</v>
      </c>
      <c r="DA54" s="63"/>
      <c r="DB54" s="62" t="s">
        <v>38</v>
      </c>
      <c r="DC54" s="63"/>
      <c r="DD54" s="62" t="s">
        <v>38</v>
      </c>
      <c r="DE54" s="63"/>
      <c r="DF54" s="62" t="s">
        <v>38</v>
      </c>
      <c r="DG54" s="63"/>
      <c r="DH54" s="62" t="s">
        <v>36</v>
      </c>
      <c r="DI54" s="63"/>
      <c r="DJ54" s="62" t="s">
        <v>36</v>
      </c>
      <c r="DK54" s="63"/>
      <c r="DL54" s="62" t="s">
        <v>36</v>
      </c>
      <c r="DM54" s="63"/>
      <c r="DN54" s="62" t="s">
        <v>36</v>
      </c>
      <c r="DO54" s="63"/>
      <c r="DP54" s="62" t="s">
        <v>36</v>
      </c>
      <c r="DQ54" s="63"/>
      <c r="DR54" s="62" t="s">
        <v>36</v>
      </c>
      <c r="DS54" s="63"/>
      <c r="DT54" s="62" t="s">
        <v>36</v>
      </c>
      <c r="DU54" s="63"/>
      <c r="DV54" s="62" t="s">
        <v>36</v>
      </c>
      <c r="DW54" s="63"/>
      <c r="DX54" s="62" t="s">
        <v>36</v>
      </c>
      <c r="DY54" s="63"/>
      <c r="DZ54" s="62" t="s">
        <v>37</v>
      </c>
      <c r="EA54" s="63"/>
      <c r="EB54" s="62" t="s">
        <v>37</v>
      </c>
      <c r="EC54" s="63"/>
      <c r="ED54" s="62" t="s">
        <v>37</v>
      </c>
      <c r="EE54" s="63"/>
      <c r="EF54" s="62" t="s">
        <v>37</v>
      </c>
      <c r="EG54" s="63"/>
      <c r="EH54" s="62" t="s">
        <v>707</v>
      </c>
      <c r="EI54" s="63"/>
      <c r="EJ54" s="62" t="s">
        <v>37</v>
      </c>
      <c r="EK54" s="63"/>
      <c r="EL54" s="62" t="s">
        <v>37</v>
      </c>
      <c r="EM54" s="63"/>
      <c r="EN54" s="62"/>
      <c r="EO54" s="63"/>
      <c r="EP54" s="62"/>
      <c r="EQ54" s="63"/>
      <c r="ER54" s="62"/>
      <c r="ES54" s="63"/>
      <c r="ET54" s="62"/>
      <c r="EU54" s="63"/>
      <c r="EV54" s="62"/>
      <c r="EW54" s="63"/>
      <c r="EX54" s="62"/>
      <c r="EY54" s="63"/>
      <c r="EZ54" s="62"/>
      <c r="FA54" s="63"/>
      <c r="FB54" s="62"/>
      <c r="FC54" s="63"/>
      <c r="FD54" s="62"/>
      <c r="FE54" s="63"/>
      <c r="FF54" s="62"/>
      <c r="FG54" s="63"/>
      <c r="FH54" s="62"/>
      <c r="FI54" s="63"/>
      <c r="FJ54" s="62"/>
      <c r="FK54" s="63"/>
      <c r="FL54" s="62"/>
      <c r="FM54" s="63"/>
      <c r="FN54" s="62"/>
      <c r="FO54" s="63"/>
      <c r="FP54" s="62"/>
      <c r="FQ54" s="63"/>
      <c r="FR54" s="62"/>
      <c r="FS54" s="63"/>
      <c r="FT54" s="62"/>
      <c r="FU54" s="63"/>
      <c r="FV54" s="62"/>
      <c r="FW54" s="63"/>
      <c r="FX54" s="62"/>
      <c r="FY54" s="63"/>
      <c r="FZ54" s="62"/>
      <c r="GA54" s="63"/>
      <c r="GB54" s="62"/>
      <c r="GC54" s="63"/>
      <c r="GD54" s="62"/>
      <c r="GE54" s="63"/>
      <c r="GF54" s="62"/>
      <c r="GG54" s="63"/>
      <c r="GH54" s="62"/>
      <c r="GI54" s="63"/>
      <c r="GJ54" s="62"/>
      <c r="GK54" s="63"/>
      <c r="GL54" s="62"/>
      <c r="GM54" s="63"/>
      <c r="GN54" s="62"/>
      <c r="GO54" s="63"/>
      <c r="GP54" s="62"/>
      <c r="GQ54" s="63"/>
      <c r="GR54" s="62"/>
      <c r="GS54" s="63"/>
      <c r="GT54" s="62"/>
      <c r="GU54" s="63"/>
      <c r="GV54" s="62"/>
      <c r="GW54" s="63"/>
      <c r="GX54" s="62"/>
      <c r="GY54" s="63"/>
      <c r="GZ54" s="62"/>
      <c r="HA54" s="63"/>
      <c r="HB54" s="62"/>
      <c r="HC54" s="63"/>
      <c r="HD54" s="62"/>
      <c r="HE54" s="63"/>
      <c r="HF54" s="62"/>
      <c r="HG54" s="63"/>
      <c r="HH54" s="62"/>
      <c r="HI54" s="63"/>
      <c r="HJ54" s="62"/>
      <c r="HK54" s="63"/>
      <c r="HL54" s="62"/>
      <c r="HM54" s="63"/>
      <c r="HN54" s="62"/>
      <c r="HO54" s="63"/>
      <c r="HP54" s="62"/>
      <c r="HQ54" s="63"/>
      <c r="HR54" s="62"/>
      <c r="HS54" s="63"/>
      <c r="HT54" s="62"/>
      <c r="HU54" s="63"/>
      <c r="HV54" s="62"/>
      <c r="HW54" s="63"/>
      <c r="HX54" s="62"/>
      <c r="HY54" s="63"/>
      <c r="HZ54" s="62"/>
      <c r="IA54" s="63"/>
      <c r="IB54" s="62"/>
      <c r="IC54" s="63"/>
      <c r="ID54" s="62"/>
      <c r="IE54" s="63"/>
      <c r="IF54" s="62"/>
      <c r="IG54" s="63"/>
      <c r="IH54" s="62"/>
      <c r="II54" s="63"/>
      <c r="IJ54" s="62"/>
      <c r="IK54" s="63"/>
      <c r="IL54" s="62"/>
      <c r="IM54" s="63"/>
      <c r="IN54" s="62"/>
      <c r="IO54" s="63"/>
      <c r="IP54" s="62"/>
      <c r="IQ54" s="63"/>
      <c r="IR54" s="62"/>
      <c r="IS54" s="63"/>
      <c r="IT54" s="62"/>
      <c r="IU54" s="63"/>
      <c r="IV54" s="62"/>
      <c r="IW54" s="63"/>
      <c r="IX54" s="62"/>
      <c r="IY54" s="63"/>
      <c r="IZ54" s="62"/>
      <c r="JA54" s="63"/>
      <c r="JB54" s="62"/>
      <c r="JC54" s="63"/>
      <c r="JD54" s="62"/>
      <c r="JE54" s="63"/>
      <c r="JF54" s="62"/>
      <c r="JG54" s="63"/>
      <c r="JH54" s="62"/>
      <c r="JI54" s="63"/>
      <c r="JJ54" s="62"/>
      <c r="JK54" s="63"/>
      <c r="JL54" s="62"/>
      <c r="JM54" s="63"/>
      <c r="JN54" s="62"/>
      <c r="JO54" s="63"/>
      <c r="JP54" s="62"/>
      <c r="JQ54" s="63"/>
      <c r="JR54" s="62"/>
      <c r="JS54" s="63"/>
      <c r="JT54" s="62"/>
      <c r="JU54" s="63"/>
      <c r="JV54" s="62"/>
      <c r="JW54" s="63"/>
      <c r="JX54" s="62"/>
      <c r="JY54" s="63"/>
      <c r="JZ54" s="62"/>
      <c r="KA54" s="63"/>
      <c r="KB54" s="62"/>
      <c r="KC54" s="63"/>
      <c r="KD54" s="62"/>
      <c r="KE54" s="63"/>
      <c r="KF54" s="62"/>
      <c r="KG54" s="63"/>
      <c r="KH54" s="62"/>
      <c r="KI54" s="63"/>
      <c r="KJ54" s="62"/>
      <c r="KK54" s="63"/>
      <c r="KL54" s="62"/>
      <c r="KM54" s="63"/>
      <c r="KN54" s="62"/>
      <c r="KO54" s="63"/>
      <c r="KP54" s="62"/>
      <c r="KQ54" s="63"/>
      <c r="KR54" s="62"/>
      <c r="KS54" s="63"/>
      <c r="KT54" s="62"/>
      <c r="KU54" s="63"/>
      <c r="KV54" s="62"/>
      <c r="KW54" s="63"/>
      <c r="KX54" s="62"/>
      <c r="KY54" s="63"/>
      <c r="KZ54" s="62"/>
      <c r="LA54" s="63"/>
      <c r="LB54" s="62"/>
      <c r="LC54" s="63"/>
      <c r="LD54" s="62"/>
      <c r="LE54" s="63"/>
      <c r="LF54" s="62"/>
      <c r="LG54" s="63"/>
      <c r="LH54" s="62"/>
      <c r="LI54" s="63"/>
      <c r="LJ54" s="62"/>
      <c r="LK54" s="63"/>
      <c r="LL54" s="62"/>
      <c r="LM54" s="63"/>
      <c r="LN54" s="62"/>
      <c r="LO54" s="63"/>
      <c r="LP54" s="62"/>
      <c r="LQ54" s="63"/>
      <c r="LR54" s="62"/>
      <c r="LS54" s="63"/>
      <c r="LT54" s="62"/>
      <c r="LU54" s="63"/>
      <c r="LV54" s="62"/>
      <c r="LW54" s="63"/>
      <c r="LX54" s="62"/>
      <c r="LY54" s="63"/>
      <c r="LZ54" s="62"/>
      <c r="MA54" s="63"/>
      <c r="MB54" s="62"/>
      <c r="MC54" s="63"/>
      <c r="MD54" s="62"/>
      <c r="ME54" s="63"/>
      <c r="MF54" s="62"/>
      <c r="MG54" s="63"/>
      <c r="MH54" s="62"/>
      <c r="MI54" s="63"/>
      <c r="MJ54" s="62"/>
      <c r="MK54" s="63"/>
      <c r="ML54" s="62"/>
      <c r="MM54" s="63"/>
      <c r="MN54" s="62"/>
      <c r="MO54" s="63"/>
      <c r="MP54" s="62"/>
      <c r="MQ54" s="63"/>
      <c r="MR54" s="62"/>
      <c r="MS54" s="63"/>
      <c r="MT54" s="62"/>
      <c r="MU54" s="63"/>
      <c r="MV54" s="62"/>
      <c r="MW54" s="63"/>
      <c r="MX54" s="62"/>
      <c r="MY54" s="63"/>
      <c r="MZ54" s="62"/>
      <c r="NA54" s="63"/>
      <c r="NB54" s="62"/>
      <c r="NC54" s="63"/>
      <c r="ND54" s="62"/>
      <c r="NE54" s="63"/>
      <c r="NF54" s="62"/>
      <c r="NG54" s="63"/>
      <c r="NH54" s="62"/>
      <c r="NI54" s="63"/>
      <c r="NJ54" s="62"/>
      <c r="NK54" s="63"/>
      <c r="NL54" s="62"/>
      <c r="NM54" s="63"/>
      <c r="NN54" s="62"/>
      <c r="NO54" s="63"/>
      <c r="NP54" s="62"/>
      <c r="NQ54" s="63"/>
      <c r="NR54" s="62"/>
      <c r="NS54" s="63"/>
      <c r="NT54" s="62"/>
      <c r="NU54" s="63"/>
      <c r="NV54" s="62"/>
      <c r="NW54" s="63"/>
      <c r="NX54" s="62"/>
      <c r="NY54" s="63"/>
      <c r="NZ54" s="62"/>
      <c r="OA54" s="63"/>
      <c r="OB54" s="62"/>
      <c r="OC54" s="63"/>
      <c r="OD54" s="62"/>
      <c r="OE54" s="63"/>
      <c r="OF54" s="62"/>
      <c r="OG54" s="63"/>
      <c r="OH54" s="62"/>
      <c r="OI54" s="63"/>
      <c r="OJ54" s="62"/>
      <c r="OK54" s="63"/>
      <c r="OL54" s="62"/>
      <c r="OM54" s="63"/>
      <c r="ON54" s="62"/>
      <c r="OO54" s="63"/>
      <c r="OP54" s="62"/>
      <c r="OQ54" s="63"/>
      <c r="OR54" s="62"/>
      <c r="OS54" s="63"/>
      <c r="OT54" s="62"/>
      <c r="OU54" s="63"/>
      <c r="OV54" s="62"/>
      <c r="OW54" s="63"/>
      <c r="OX54" s="62"/>
      <c r="OY54" s="63"/>
      <c r="OZ54" s="62"/>
      <c r="PA54" s="63"/>
      <c r="PB54" s="62"/>
      <c r="PC54" s="63"/>
      <c r="PD54" s="62"/>
      <c r="PE54" s="63"/>
      <c r="PF54" s="62"/>
      <c r="PG54" s="63"/>
      <c r="PH54" s="62"/>
      <c r="PI54" s="63"/>
      <c r="PJ54" s="62"/>
      <c r="PK54" s="63"/>
      <c r="PL54" s="62"/>
      <c r="PM54" s="63"/>
      <c r="PN54" s="62"/>
      <c r="PO54" s="63"/>
      <c r="PP54" s="62"/>
      <c r="PQ54" s="63"/>
      <c r="PR54" s="62"/>
      <c r="PS54" s="63"/>
      <c r="PT54" s="62"/>
      <c r="PU54" s="63"/>
      <c r="PV54" s="62"/>
      <c r="PW54" s="63"/>
      <c r="PX54" s="62"/>
      <c r="PY54" s="63"/>
      <c r="PZ54" s="62"/>
      <c r="QA54" s="63"/>
      <c r="QB54" s="62"/>
      <c r="QC54" s="63"/>
      <c r="QD54" s="62"/>
      <c r="QE54" s="63"/>
      <c r="QF54" s="62"/>
      <c r="QG54" s="63"/>
      <c r="QH54" s="62"/>
      <c r="QI54" s="63"/>
      <c r="QJ54" s="62"/>
      <c r="QK54" s="63"/>
      <c r="QL54" s="62"/>
      <c r="QM54" s="63"/>
      <c r="QN54" s="62"/>
      <c r="QO54" s="63"/>
      <c r="QP54" s="62"/>
      <c r="QQ54" s="63"/>
      <c r="QR54" s="62"/>
      <c r="QS54" s="63"/>
      <c r="QT54" s="62"/>
      <c r="QU54" s="63"/>
      <c r="QV54" s="62"/>
      <c r="QW54" s="63"/>
      <c r="QX54" s="62"/>
      <c r="QY54" s="63"/>
      <c r="QZ54" s="62"/>
      <c r="RA54" s="63"/>
      <c r="RB54" s="62"/>
      <c r="RC54" s="63"/>
      <c r="RD54" s="31"/>
    </row>
    <row r="55" spans="1:472" s="5" customFormat="1" ht="15" hidden="1" customHeight="1" x14ac:dyDescent="0.25">
      <c r="A55" s="5">
        <v>2058</v>
      </c>
      <c r="B55" s="5" t="s">
        <v>484</v>
      </c>
      <c r="C55" s="5" t="s">
        <v>165</v>
      </c>
      <c r="D55" s="5">
        <v>77</v>
      </c>
      <c r="E55" s="36"/>
      <c r="F55" s="5" t="s">
        <v>466</v>
      </c>
      <c r="I55" s="62"/>
      <c r="J55" s="63"/>
      <c r="K55" s="62"/>
      <c r="L55" s="63"/>
      <c r="M55" s="62"/>
      <c r="N55" s="63"/>
      <c r="O55" s="62"/>
      <c r="P55" s="63"/>
      <c r="Q55" s="62"/>
      <c r="R55" s="63"/>
      <c r="S55" s="62"/>
      <c r="T55" s="63"/>
      <c r="X55" s="62"/>
      <c r="Y55" s="63"/>
      <c r="Z55" s="62"/>
      <c r="AA55" s="63"/>
      <c r="AB55" s="62"/>
      <c r="AC55" s="63"/>
      <c r="AD55" s="62"/>
      <c r="AE55" s="63"/>
      <c r="AF55" s="62"/>
      <c r="AG55" s="63"/>
      <c r="AH55" s="62"/>
      <c r="AI55" s="63"/>
      <c r="AJ55" s="62"/>
      <c r="AK55" s="63"/>
      <c r="AL55" s="62"/>
      <c r="AM55" s="63"/>
      <c r="AN55" s="62"/>
      <c r="AO55" s="63"/>
      <c r="AP55" s="62"/>
      <c r="AQ55" s="63"/>
      <c r="AR55" s="62"/>
      <c r="AS55" s="63"/>
      <c r="AT55" s="62"/>
      <c r="AU55" s="63"/>
      <c r="AV55" s="62"/>
      <c r="AW55" s="63"/>
      <c r="AX55" s="62"/>
      <c r="AY55" s="63"/>
      <c r="AZ55" s="62"/>
      <c r="BA55" s="63"/>
      <c r="BB55" s="62"/>
      <c r="BC55" s="63"/>
      <c r="BD55" s="62"/>
      <c r="BE55" s="63"/>
      <c r="BF55" s="62"/>
      <c r="BG55" s="63"/>
      <c r="BH55" s="62"/>
      <c r="BI55" s="63"/>
      <c r="BJ55" s="62"/>
      <c r="BK55" s="63"/>
      <c r="BL55" s="62"/>
      <c r="BM55" s="63"/>
      <c r="BN55" s="62"/>
      <c r="BO55" s="63"/>
      <c r="BP55" s="62"/>
      <c r="BQ55" s="63"/>
      <c r="BR55" s="62"/>
      <c r="BS55" s="63"/>
      <c r="BT55" s="62"/>
      <c r="BU55" s="63"/>
      <c r="BV55" s="62"/>
      <c r="BW55" s="63"/>
      <c r="BX55" s="62"/>
      <c r="BY55" s="63"/>
      <c r="BZ55" s="62"/>
      <c r="CA55" s="63"/>
      <c r="CB55" s="62"/>
      <c r="CC55" s="63"/>
      <c r="CD55" s="62"/>
      <c r="CE55" s="63"/>
      <c r="CF55" s="62"/>
      <c r="CG55" s="63"/>
      <c r="CH55" s="62"/>
      <c r="CI55" s="63"/>
      <c r="CJ55" s="62"/>
      <c r="CK55" s="63"/>
      <c r="CL55" s="62"/>
      <c r="CM55" s="63"/>
      <c r="CN55" s="62"/>
      <c r="CO55" s="63"/>
      <c r="CP55" s="62"/>
      <c r="CQ55" s="63"/>
      <c r="CR55" s="62"/>
      <c r="CS55" s="63"/>
      <c r="CT55" s="62"/>
      <c r="CU55" s="63"/>
      <c r="CV55" s="62"/>
      <c r="CW55" s="63"/>
      <c r="CX55" s="62"/>
      <c r="CY55" s="63"/>
      <c r="CZ55" s="62"/>
      <c r="DA55" s="63"/>
      <c r="DB55" s="62"/>
      <c r="DC55" s="63"/>
      <c r="DD55" s="62"/>
      <c r="DE55" s="63"/>
      <c r="DF55" s="62"/>
      <c r="DG55" s="63"/>
      <c r="DH55" s="62"/>
      <c r="DI55" s="63"/>
      <c r="DJ55" s="18"/>
      <c r="DK55" s="19" t="s">
        <v>66</v>
      </c>
      <c r="DL55" s="62" t="s">
        <v>38</v>
      </c>
      <c r="DM55" s="63"/>
      <c r="DN55" s="62" t="s">
        <v>38</v>
      </c>
      <c r="DO55" s="63"/>
      <c r="DP55" s="31" t="s">
        <v>38</v>
      </c>
      <c r="DQ55" s="32" t="s">
        <v>36</v>
      </c>
      <c r="DR55" s="62" t="s">
        <v>36</v>
      </c>
      <c r="DS55" s="63"/>
      <c r="DT55" s="62" t="s">
        <v>36</v>
      </c>
      <c r="DU55" s="63"/>
      <c r="DV55" s="62" t="s">
        <v>36</v>
      </c>
      <c r="DW55" s="63"/>
      <c r="DX55" s="62" t="s">
        <v>36</v>
      </c>
      <c r="DY55" s="63"/>
      <c r="DZ55" s="62" t="s">
        <v>36</v>
      </c>
      <c r="EA55" s="63"/>
      <c r="EB55" s="62" t="s">
        <v>36</v>
      </c>
      <c r="EC55" s="63"/>
      <c r="ED55" s="62" t="s">
        <v>36</v>
      </c>
      <c r="EE55" s="63"/>
      <c r="EF55" s="62" t="s">
        <v>37</v>
      </c>
      <c r="EG55" s="63"/>
      <c r="EH55" s="62" t="s">
        <v>707</v>
      </c>
      <c r="EI55" s="63"/>
      <c r="EJ55" s="62" t="s">
        <v>37</v>
      </c>
      <c r="EK55" s="63"/>
      <c r="EL55" s="62" t="s">
        <v>37</v>
      </c>
      <c r="EM55" s="63"/>
      <c r="EN55" s="62" t="s">
        <v>37</v>
      </c>
      <c r="EO55" s="63"/>
      <c r="EP55" s="62" t="s">
        <v>37</v>
      </c>
      <c r="EQ55" s="63"/>
      <c r="ER55" s="62" t="s">
        <v>37</v>
      </c>
      <c r="ES55" s="63"/>
      <c r="ET55" s="62" t="s">
        <v>37</v>
      </c>
      <c r="EU55" s="63"/>
      <c r="EV55" s="62"/>
      <c r="EW55" s="63"/>
      <c r="EX55" s="62"/>
      <c r="EY55" s="63"/>
      <c r="EZ55" s="62"/>
      <c r="FA55" s="63"/>
      <c r="FB55" s="62"/>
      <c r="FC55" s="63"/>
      <c r="FD55" s="62"/>
      <c r="FE55" s="63"/>
      <c r="FF55" s="62"/>
      <c r="FG55" s="63"/>
      <c r="FH55" s="62"/>
      <c r="FI55" s="63"/>
      <c r="FJ55" s="62"/>
      <c r="FK55" s="63"/>
      <c r="FL55" s="62"/>
      <c r="FM55" s="63"/>
      <c r="FN55" s="62"/>
      <c r="FO55" s="63"/>
      <c r="FP55" s="62"/>
      <c r="FQ55" s="63"/>
      <c r="FR55" s="62"/>
      <c r="FS55" s="63"/>
      <c r="FT55" s="62"/>
      <c r="FU55" s="63"/>
      <c r="FV55" s="62"/>
      <c r="FW55" s="63"/>
      <c r="FX55" s="62"/>
      <c r="FY55" s="63"/>
      <c r="FZ55" s="62"/>
      <c r="GA55" s="63"/>
      <c r="GB55" s="62"/>
      <c r="GC55" s="63"/>
      <c r="GD55" s="62"/>
      <c r="GE55" s="63"/>
      <c r="GF55" s="62"/>
      <c r="GG55" s="63"/>
      <c r="GH55" s="62"/>
      <c r="GI55" s="63"/>
      <c r="GJ55" s="62"/>
      <c r="GK55" s="63"/>
      <c r="GL55" s="62"/>
      <c r="GM55" s="63"/>
      <c r="GN55" s="62"/>
      <c r="GO55" s="63"/>
      <c r="GP55" s="62"/>
      <c r="GQ55" s="63"/>
      <c r="GR55" s="62"/>
      <c r="GS55" s="63"/>
      <c r="GT55" s="62"/>
      <c r="GU55" s="63"/>
      <c r="GV55" s="62"/>
      <c r="GW55" s="63"/>
      <c r="GX55" s="62"/>
      <c r="GY55" s="63"/>
      <c r="GZ55" s="62"/>
      <c r="HA55" s="63"/>
      <c r="HB55" s="62"/>
      <c r="HC55" s="63"/>
      <c r="HD55" s="62"/>
      <c r="HE55" s="63"/>
      <c r="HF55" s="62"/>
      <c r="HG55" s="63"/>
      <c r="HH55" s="62"/>
      <c r="HI55" s="63"/>
      <c r="HJ55" s="62"/>
      <c r="HK55" s="63"/>
      <c r="HL55" s="62"/>
      <c r="HM55" s="63"/>
      <c r="HN55" s="62"/>
      <c r="HO55" s="63"/>
      <c r="HP55" s="62"/>
      <c r="HQ55" s="63"/>
      <c r="HR55" s="62"/>
      <c r="HS55" s="63"/>
      <c r="HT55" s="62"/>
      <c r="HU55" s="63"/>
      <c r="HV55" s="62"/>
      <c r="HW55" s="63"/>
      <c r="HX55" s="62"/>
      <c r="HY55" s="63"/>
      <c r="HZ55" s="62"/>
      <c r="IA55" s="63"/>
      <c r="IB55" s="62"/>
      <c r="IC55" s="63"/>
      <c r="ID55" s="62"/>
      <c r="IE55" s="63"/>
      <c r="IF55" s="62"/>
      <c r="IG55" s="63"/>
      <c r="IH55" s="62"/>
      <c r="II55" s="63"/>
      <c r="IJ55" s="62"/>
      <c r="IK55" s="63"/>
      <c r="IL55" s="62"/>
      <c r="IM55" s="63"/>
      <c r="IN55" s="62"/>
      <c r="IO55" s="63"/>
      <c r="IP55" s="62"/>
      <c r="IQ55" s="63"/>
      <c r="IR55" s="62"/>
      <c r="IS55" s="63"/>
      <c r="IT55" s="62"/>
      <c r="IU55" s="63"/>
      <c r="IV55" s="62"/>
      <c r="IW55" s="63"/>
      <c r="IX55" s="62"/>
      <c r="IY55" s="63"/>
      <c r="IZ55" s="62"/>
      <c r="JA55" s="63"/>
      <c r="JB55" s="62"/>
      <c r="JC55" s="63"/>
      <c r="JD55" s="62"/>
      <c r="JE55" s="63"/>
      <c r="JF55" s="62"/>
      <c r="JG55" s="63"/>
      <c r="JH55" s="62"/>
      <c r="JI55" s="63"/>
      <c r="JJ55" s="62"/>
      <c r="JK55" s="63"/>
      <c r="JL55" s="62"/>
      <c r="JM55" s="63"/>
      <c r="JN55" s="62"/>
      <c r="JO55" s="63"/>
      <c r="JP55" s="62"/>
      <c r="JQ55" s="63"/>
      <c r="JR55" s="62"/>
      <c r="JS55" s="63"/>
      <c r="JT55" s="62"/>
      <c r="JU55" s="63"/>
      <c r="JV55" s="62"/>
      <c r="JW55" s="63"/>
      <c r="JX55" s="62"/>
      <c r="JY55" s="63"/>
      <c r="JZ55" s="62"/>
      <c r="KA55" s="63"/>
      <c r="KB55" s="62"/>
      <c r="KC55" s="63"/>
      <c r="KD55" s="62"/>
      <c r="KE55" s="63"/>
      <c r="KF55" s="62"/>
      <c r="KG55" s="63"/>
      <c r="KH55" s="62"/>
      <c r="KI55" s="63"/>
      <c r="KJ55" s="62"/>
      <c r="KK55" s="63"/>
      <c r="KL55" s="62"/>
      <c r="KM55" s="63"/>
      <c r="KN55" s="62"/>
      <c r="KO55" s="63"/>
      <c r="KP55" s="62"/>
      <c r="KQ55" s="63"/>
      <c r="KR55" s="62"/>
      <c r="KS55" s="63"/>
      <c r="KT55" s="62"/>
      <c r="KU55" s="63"/>
      <c r="KV55" s="62"/>
      <c r="KW55" s="63"/>
      <c r="KX55" s="62"/>
      <c r="KY55" s="63"/>
      <c r="KZ55" s="62"/>
      <c r="LA55" s="63"/>
      <c r="LB55" s="62"/>
      <c r="LC55" s="63"/>
      <c r="LD55" s="62"/>
      <c r="LE55" s="63"/>
      <c r="LF55" s="62"/>
      <c r="LG55" s="63"/>
      <c r="LH55" s="62"/>
      <c r="LI55" s="63"/>
      <c r="LJ55" s="62"/>
      <c r="LK55" s="63"/>
      <c r="LL55" s="62"/>
      <c r="LM55" s="63"/>
      <c r="LN55" s="62"/>
      <c r="LO55" s="63"/>
      <c r="LP55" s="62"/>
      <c r="LQ55" s="63"/>
      <c r="LR55" s="62"/>
      <c r="LS55" s="63"/>
      <c r="LT55" s="62"/>
      <c r="LU55" s="63"/>
      <c r="LV55" s="62"/>
      <c r="LW55" s="63"/>
      <c r="LX55" s="62"/>
      <c r="LY55" s="63"/>
      <c r="LZ55" s="62"/>
      <c r="MA55" s="63"/>
      <c r="MB55" s="62"/>
      <c r="MC55" s="63"/>
      <c r="MD55" s="62"/>
      <c r="ME55" s="63"/>
      <c r="MF55" s="62"/>
      <c r="MG55" s="63"/>
      <c r="MH55" s="62"/>
      <c r="MI55" s="63"/>
      <c r="MJ55" s="62"/>
      <c r="MK55" s="63"/>
      <c r="ML55" s="62"/>
      <c r="MM55" s="63"/>
      <c r="MN55" s="62"/>
      <c r="MO55" s="63"/>
      <c r="MP55" s="62"/>
      <c r="MQ55" s="63"/>
      <c r="MR55" s="62"/>
      <c r="MS55" s="63"/>
      <c r="MT55" s="62"/>
      <c r="MU55" s="63"/>
      <c r="MV55" s="62"/>
      <c r="MW55" s="63"/>
      <c r="MX55" s="62"/>
      <c r="MY55" s="63"/>
      <c r="MZ55" s="62"/>
      <c r="NA55" s="63"/>
      <c r="NB55" s="62"/>
      <c r="NC55" s="63"/>
      <c r="ND55" s="62"/>
      <c r="NE55" s="63"/>
      <c r="NF55" s="62"/>
      <c r="NG55" s="63"/>
      <c r="NH55" s="62"/>
      <c r="NI55" s="63"/>
      <c r="NJ55" s="62"/>
      <c r="NK55" s="63"/>
      <c r="NL55" s="62"/>
      <c r="NM55" s="63"/>
      <c r="NN55" s="62"/>
      <c r="NO55" s="63"/>
      <c r="NP55" s="62"/>
      <c r="NQ55" s="63"/>
      <c r="NR55" s="62"/>
      <c r="NS55" s="63"/>
      <c r="NT55" s="62"/>
      <c r="NU55" s="63"/>
      <c r="NV55" s="62"/>
      <c r="NW55" s="63"/>
      <c r="NX55" s="62"/>
      <c r="NY55" s="63"/>
      <c r="NZ55" s="62"/>
      <c r="OA55" s="63"/>
      <c r="OB55" s="62"/>
      <c r="OC55" s="63"/>
      <c r="OD55" s="62"/>
      <c r="OE55" s="63"/>
      <c r="OF55" s="62"/>
      <c r="OG55" s="63"/>
      <c r="OH55" s="62"/>
      <c r="OI55" s="63"/>
      <c r="OJ55" s="62"/>
      <c r="OK55" s="63"/>
      <c r="OL55" s="62"/>
      <c r="OM55" s="63"/>
      <c r="ON55" s="62"/>
      <c r="OO55" s="63"/>
      <c r="OP55" s="62"/>
      <c r="OQ55" s="63"/>
      <c r="OR55" s="62"/>
      <c r="OS55" s="63"/>
      <c r="OT55" s="62"/>
      <c r="OU55" s="63"/>
      <c r="OV55" s="62"/>
      <c r="OW55" s="63"/>
      <c r="OX55" s="62"/>
      <c r="OY55" s="63"/>
      <c r="OZ55" s="62"/>
      <c r="PA55" s="63"/>
      <c r="PB55" s="62"/>
      <c r="PC55" s="63"/>
      <c r="PD55" s="62"/>
      <c r="PE55" s="63"/>
      <c r="PF55" s="62"/>
      <c r="PG55" s="63"/>
      <c r="PH55" s="62"/>
      <c r="PI55" s="63"/>
      <c r="PJ55" s="62"/>
      <c r="PK55" s="63"/>
      <c r="PL55" s="62"/>
      <c r="PM55" s="63"/>
      <c r="PN55" s="62"/>
      <c r="PO55" s="63"/>
      <c r="PP55" s="62"/>
      <c r="PQ55" s="63"/>
      <c r="PR55" s="62"/>
      <c r="PS55" s="63"/>
      <c r="PT55" s="62"/>
      <c r="PU55" s="63"/>
      <c r="PV55" s="62"/>
      <c r="PW55" s="63"/>
      <c r="PX55" s="62"/>
      <c r="PY55" s="63"/>
      <c r="PZ55" s="62"/>
      <c r="QA55" s="63"/>
      <c r="QB55" s="62"/>
      <c r="QC55" s="63"/>
      <c r="QD55" s="62"/>
      <c r="QE55" s="63"/>
      <c r="QF55" s="62"/>
      <c r="QG55" s="63"/>
      <c r="QH55" s="62"/>
      <c r="QI55" s="63"/>
      <c r="QJ55" s="62"/>
      <c r="QK55" s="63"/>
      <c r="QL55" s="62"/>
      <c r="QM55" s="63"/>
      <c r="QN55" s="62"/>
      <c r="QO55" s="63"/>
      <c r="QP55" s="62"/>
      <c r="QQ55" s="63"/>
      <c r="QR55" s="62"/>
      <c r="QS55" s="63"/>
      <c r="QT55" s="62"/>
      <c r="QU55" s="63"/>
      <c r="QV55" s="62"/>
      <c r="QW55" s="63"/>
      <c r="QX55" s="62"/>
      <c r="QY55" s="63"/>
      <c r="QZ55" s="62"/>
      <c r="RA55" s="63"/>
      <c r="RB55" s="62"/>
      <c r="RC55" s="63"/>
      <c r="RD55" s="31"/>
    </row>
    <row r="56" spans="1:472" s="5" customFormat="1" ht="15" hidden="1" customHeight="1" x14ac:dyDescent="0.25">
      <c r="A56" s="41">
        <v>2059</v>
      </c>
      <c r="B56" s="41" t="s">
        <v>483</v>
      </c>
      <c r="C56" s="41" t="s">
        <v>369</v>
      </c>
      <c r="D56" s="41">
        <v>365</v>
      </c>
      <c r="E56" s="42"/>
      <c r="F56" s="41" t="s">
        <v>537</v>
      </c>
      <c r="I56" s="62"/>
      <c r="J56" s="63"/>
      <c r="K56" s="62"/>
      <c r="L56" s="63"/>
      <c r="M56" s="62"/>
      <c r="N56" s="63"/>
      <c r="O56" s="62"/>
      <c r="P56" s="63"/>
      <c r="Q56" s="62"/>
      <c r="R56" s="63"/>
      <c r="S56" s="62"/>
      <c r="T56" s="63"/>
      <c r="X56" s="62"/>
      <c r="Y56" s="63"/>
      <c r="Z56" s="62"/>
      <c r="AA56" s="63"/>
      <c r="AB56" s="62"/>
      <c r="AC56" s="63"/>
      <c r="AD56" s="62"/>
      <c r="AE56" s="63"/>
      <c r="AF56" s="62"/>
      <c r="AG56" s="63"/>
      <c r="AH56" s="62"/>
      <c r="AI56" s="63"/>
      <c r="AJ56" s="62"/>
      <c r="AK56" s="63"/>
      <c r="AL56" s="62"/>
      <c r="AM56" s="63"/>
      <c r="AN56" s="62"/>
      <c r="AO56" s="63"/>
      <c r="AP56" s="62"/>
      <c r="AQ56" s="63"/>
      <c r="AR56" s="62"/>
      <c r="AS56" s="63"/>
      <c r="AT56" s="62"/>
      <c r="AU56" s="63"/>
      <c r="AV56" s="62"/>
      <c r="AW56" s="63"/>
      <c r="AX56" s="62"/>
      <c r="AY56" s="63"/>
      <c r="AZ56" s="62"/>
      <c r="BA56" s="63"/>
      <c r="BB56" s="62"/>
      <c r="BC56" s="63"/>
      <c r="BD56" s="62"/>
      <c r="BE56" s="63"/>
      <c r="BF56" s="62"/>
      <c r="BG56" s="63"/>
      <c r="BH56" s="62"/>
      <c r="BI56" s="63"/>
      <c r="BJ56" s="62"/>
      <c r="BK56" s="63"/>
      <c r="BL56" s="62"/>
      <c r="BM56" s="63"/>
      <c r="BN56" s="62"/>
      <c r="BO56" s="63"/>
      <c r="BP56" s="62"/>
      <c r="BQ56" s="63"/>
      <c r="BR56" s="62"/>
      <c r="BS56" s="63"/>
      <c r="BT56" s="62"/>
      <c r="BU56" s="63"/>
      <c r="BV56" s="62"/>
      <c r="BW56" s="63"/>
      <c r="BX56" s="62"/>
      <c r="BY56" s="63"/>
      <c r="BZ56" s="62"/>
      <c r="CA56" s="63"/>
      <c r="CB56" s="62"/>
      <c r="CC56" s="63"/>
      <c r="CD56" s="62"/>
      <c r="CE56" s="63"/>
      <c r="CF56" s="62"/>
      <c r="CG56" s="63"/>
      <c r="CH56" s="62"/>
      <c r="CI56" s="63"/>
      <c r="CJ56" s="62"/>
      <c r="CK56" s="63"/>
      <c r="CL56" s="62"/>
      <c r="CM56" s="63"/>
      <c r="CN56" s="62"/>
      <c r="CO56" s="63"/>
      <c r="CP56" s="62"/>
      <c r="CQ56" s="63"/>
      <c r="CR56" s="62"/>
      <c r="CS56" s="63"/>
      <c r="CT56" s="62"/>
      <c r="CU56" s="63"/>
      <c r="CV56" s="62"/>
      <c r="CW56" s="63"/>
      <c r="CX56" s="62"/>
      <c r="CY56" s="63"/>
      <c r="CZ56" s="62"/>
      <c r="DA56" s="63"/>
      <c r="DB56" s="62"/>
      <c r="DC56" s="63"/>
      <c r="DD56" s="62"/>
      <c r="DE56" s="63"/>
      <c r="DF56" s="62"/>
      <c r="DG56" s="63"/>
      <c r="DH56" s="62"/>
      <c r="DI56" s="63"/>
      <c r="DJ56" s="18"/>
      <c r="DK56" s="19" t="s">
        <v>66</v>
      </c>
      <c r="DL56" s="62" t="s">
        <v>38</v>
      </c>
      <c r="DM56" s="63"/>
      <c r="DN56" s="62" t="s">
        <v>36</v>
      </c>
      <c r="DO56" s="63"/>
      <c r="DP56" s="62" t="s">
        <v>36</v>
      </c>
      <c r="DQ56" s="63"/>
      <c r="DR56" s="62" t="s">
        <v>36</v>
      </c>
      <c r="DS56" s="63"/>
      <c r="DT56" s="62" t="s">
        <v>36</v>
      </c>
      <c r="DU56" s="63"/>
      <c r="DV56" s="62" t="s">
        <v>36</v>
      </c>
      <c r="DW56" s="63"/>
      <c r="DX56" s="62" t="s">
        <v>36</v>
      </c>
      <c r="DY56" s="63"/>
      <c r="DZ56" s="62" t="s">
        <v>36</v>
      </c>
      <c r="EA56" s="63"/>
      <c r="EB56" s="62" t="s">
        <v>36</v>
      </c>
      <c r="EC56" s="63"/>
      <c r="ED56" s="62" t="s">
        <v>36</v>
      </c>
      <c r="EE56" s="63"/>
      <c r="EF56" s="62" t="s">
        <v>36</v>
      </c>
      <c r="EG56" s="63"/>
      <c r="EH56" s="62" t="s">
        <v>707</v>
      </c>
      <c r="EI56" s="63"/>
      <c r="EJ56" s="62" t="s">
        <v>36</v>
      </c>
      <c r="EK56" s="63"/>
      <c r="EL56" s="62" t="s">
        <v>36</v>
      </c>
      <c r="EM56" s="63"/>
      <c r="EN56" s="62" t="s">
        <v>36</v>
      </c>
      <c r="EO56" s="63"/>
      <c r="EP56" s="62" t="s">
        <v>36</v>
      </c>
      <c r="EQ56" s="63"/>
      <c r="ER56" s="62" t="s">
        <v>36</v>
      </c>
      <c r="ES56" s="63"/>
      <c r="ET56" s="62" t="s">
        <v>37</v>
      </c>
      <c r="EU56" s="63"/>
      <c r="EV56" s="62" t="s">
        <v>37</v>
      </c>
      <c r="EW56" s="63"/>
      <c r="EX56" s="62" t="s">
        <v>37</v>
      </c>
      <c r="EY56" s="63"/>
      <c r="EZ56" s="62" t="s">
        <v>37</v>
      </c>
      <c r="FA56" s="63"/>
      <c r="FB56" s="62" t="s">
        <v>37</v>
      </c>
      <c r="FC56" s="63"/>
      <c r="FD56" s="62" t="s">
        <v>37</v>
      </c>
      <c r="FE56" s="63"/>
      <c r="FF56" s="62"/>
      <c r="FG56" s="63"/>
      <c r="FH56" s="62"/>
      <c r="FI56" s="63"/>
      <c r="FJ56" s="62"/>
      <c r="FK56" s="63"/>
      <c r="FL56" s="62"/>
      <c r="FM56" s="63"/>
      <c r="FN56" s="62"/>
      <c r="FO56" s="63"/>
      <c r="FP56" s="62"/>
      <c r="FQ56" s="63"/>
      <c r="FR56" s="62"/>
      <c r="FS56" s="63"/>
      <c r="FT56" s="62"/>
      <c r="FU56" s="63"/>
      <c r="FV56" s="62"/>
      <c r="FW56" s="63"/>
      <c r="FX56" s="62"/>
      <c r="FY56" s="63"/>
      <c r="FZ56" s="62"/>
      <c r="GA56" s="63"/>
      <c r="GB56" s="62"/>
      <c r="GC56" s="63"/>
      <c r="GD56" s="62"/>
      <c r="GE56" s="63"/>
      <c r="GF56" s="62"/>
      <c r="GG56" s="63"/>
      <c r="GH56" s="62"/>
      <c r="GI56" s="63"/>
      <c r="GJ56" s="62"/>
      <c r="GK56" s="63"/>
      <c r="GL56" s="62"/>
      <c r="GM56" s="63"/>
      <c r="GN56" s="62"/>
      <c r="GO56" s="63"/>
      <c r="GP56" s="62"/>
      <c r="GQ56" s="63"/>
      <c r="GR56" s="62"/>
      <c r="GS56" s="63"/>
      <c r="GT56" s="62"/>
      <c r="GU56" s="63"/>
      <c r="GV56" s="62"/>
      <c r="GW56" s="63"/>
      <c r="GX56" s="62"/>
      <c r="GY56" s="63"/>
      <c r="GZ56" s="62"/>
      <c r="HA56" s="63"/>
      <c r="HB56" s="62"/>
      <c r="HC56" s="63"/>
      <c r="HD56" s="62"/>
      <c r="HE56" s="63"/>
      <c r="HF56" s="62"/>
      <c r="HG56" s="63"/>
      <c r="HH56" s="62"/>
      <c r="HI56" s="63"/>
      <c r="HJ56" s="62"/>
      <c r="HK56" s="63"/>
      <c r="HL56" s="62"/>
      <c r="HM56" s="63"/>
      <c r="HN56" s="62"/>
      <c r="HO56" s="63"/>
      <c r="HP56" s="62"/>
      <c r="HQ56" s="63"/>
      <c r="HR56" s="62"/>
      <c r="HS56" s="63"/>
      <c r="HT56" s="62"/>
      <c r="HU56" s="63"/>
      <c r="HV56" s="62"/>
      <c r="HW56" s="63"/>
      <c r="HX56" s="62"/>
      <c r="HY56" s="63"/>
      <c r="HZ56" s="62"/>
      <c r="IA56" s="63"/>
      <c r="IB56" s="62"/>
      <c r="IC56" s="63"/>
      <c r="ID56" s="62"/>
      <c r="IE56" s="63"/>
      <c r="IF56" s="62"/>
      <c r="IG56" s="63"/>
      <c r="IH56" s="62"/>
      <c r="II56" s="63"/>
      <c r="IJ56" s="62"/>
      <c r="IK56" s="63"/>
      <c r="IL56" s="62"/>
      <c r="IM56" s="63"/>
      <c r="IN56" s="62"/>
      <c r="IO56" s="63"/>
      <c r="IP56" s="62"/>
      <c r="IQ56" s="63"/>
      <c r="IR56" s="62"/>
      <c r="IS56" s="63"/>
      <c r="IT56" s="62"/>
      <c r="IU56" s="63"/>
      <c r="IV56" s="62"/>
      <c r="IW56" s="63"/>
      <c r="IX56" s="62"/>
      <c r="IY56" s="63"/>
      <c r="IZ56" s="62"/>
      <c r="JA56" s="63"/>
      <c r="JB56" s="62"/>
      <c r="JC56" s="63"/>
      <c r="JD56" s="62"/>
      <c r="JE56" s="63"/>
      <c r="JF56" s="62"/>
      <c r="JG56" s="63"/>
      <c r="JH56" s="62"/>
      <c r="JI56" s="63"/>
      <c r="JJ56" s="62"/>
      <c r="JK56" s="63"/>
      <c r="JL56" s="62"/>
      <c r="JM56" s="63"/>
      <c r="JN56" s="62"/>
      <c r="JO56" s="63"/>
      <c r="JP56" s="62"/>
      <c r="JQ56" s="63"/>
      <c r="JR56" s="62"/>
      <c r="JS56" s="63"/>
      <c r="JT56" s="62"/>
      <c r="JU56" s="63"/>
      <c r="JV56" s="62"/>
      <c r="JW56" s="63"/>
      <c r="JX56" s="62"/>
      <c r="JY56" s="63"/>
      <c r="JZ56" s="62"/>
      <c r="KA56" s="63"/>
      <c r="KB56" s="62"/>
      <c r="KC56" s="63"/>
      <c r="KD56" s="62"/>
      <c r="KE56" s="63"/>
      <c r="KF56" s="62"/>
      <c r="KG56" s="63"/>
      <c r="KH56" s="62"/>
      <c r="KI56" s="63"/>
      <c r="KJ56" s="62"/>
      <c r="KK56" s="63"/>
      <c r="KL56" s="62"/>
      <c r="KM56" s="63"/>
      <c r="KN56" s="62"/>
      <c r="KO56" s="63"/>
      <c r="KP56" s="62"/>
      <c r="KQ56" s="63"/>
      <c r="KR56" s="62"/>
      <c r="KS56" s="63"/>
      <c r="KT56" s="62"/>
      <c r="KU56" s="63"/>
      <c r="KV56" s="62"/>
      <c r="KW56" s="63"/>
      <c r="KX56" s="62"/>
      <c r="KY56" s="63"/>
      <c r="KZ56" s="62"/>
      <c r="LA56" s="63"/>
      <c r="LB56" s="62"/>
      <c r="LC56" s="63"/>
      <c r="LD56" s="62"/>
      <c r="LE56" s="63"/>
      <c r="LF56" s="62"/>
      <c r="LG56" s="63"/>
      <c r="LH56" s="62"/>
      <c r="LI56" s="63"/>
      <c r="LJ56" s="62"/>
      <c r="LK56" s="63"/>
      <c r="LL56" s="62"/>
      <c r="LM56" s="63"/>
      <c r="LN56" s="62"/>
      <c r="LO56" s="63"/>
      <c r="LP56" s="62"/>
      <c r="LQ56" s="63"/>
      <c r="LR56" s="62"/>
      <c r="LS56" s="63"/>
      <c r="LT56" s="62"/>
      <c r="LU56" s="63"/>
      <c r="LV56" s="62"/>
      <c r="LW56" s="63"/>
      <c r="LX56" s="62"/>
      <c r="LY56" s="63"/>
      <c r="LZ56" s="62"/>
      <c r="MA56" s="63"/>
      <c r="MB56" s="62"/>
      <c r="MC56" s="63"/>
      <c r="MD56" s="62"/>
      <c r="ME56" s="63"/>
      <c r="MF56" s="62"/>
      <c r="MG56" s="63"/>
      <c r="MH56" s="62"/>
      <c r="MI56" s="63"/>
      <c r="MJ56" s="62"/>
      <c r="MK56" s="63"/>
      <c r="ML56" s="62"/>
      <c r="MM56" s="63"/>
      <c r="MN56" s="62"/>
      <c r="MO56" s="63"/>
      <c r="MP56" s="62"/>
      <c r="MQ56" s="63"/>
      <c r="MR56" s="62"/>
      <c r="MS56" s="63"/>
      <c r="MT56" s="62"/>
      <c r="MU56" s="63"/>
      <c r="MV56" s="62"/>
      <c r="MW56" s="63"/>
      <c r="MX56" s="62"/>
      <c r="MY56" s="63"/>
      <c r="MZ56" s="62"/>
      <c r="NA56" s="63"/>
      <c r="NB56" s="62"/>
      <c r="NC56" s="63"/>
      <c r="ND56" s="62"/>
      <c r="NE56" s="63"/>
      <c r="NF56" s="62"/>
      <c r="NG56" s="63"/>
      <c r="NH56" s="62"/>
      <c r="NI56" s="63"/>
      <c r="NJ56" s="62"/>
      <c r="NK56" s="63"/>
      <c r="NL56" s="62"/>
      <c r="NM56" s="63"/>
      <c r="NN56" s="62"/>
      <c r="NO56" s="63"/>
      <c r="NP56" s="62"/>
      <c r="NQ56" s="63"/>
      <c r="NR56" s="62"/>
      <c r="NS56" s="63"/>
      <c r="NT56" s="62"/>
      <c r="NU56" s="63"/>
      <c r="NV56" s="62"/>
      <c r="NW56" s="63"/>
      <c r="NX56" s="62"/>
      <c r="NY56" s="63"/>
      <c r="NZ56" s="62"/>
      <c r="OA56" s="63"/>
      <c r="OB56" s="62"/>
      <c r="OC56" s="63"/>
      <c r="OD56" s="62"/>
      <c r="OE56" s="63"/>
      <c r="OF56" s="62"/>
      <c r="OG56" s="63"/>
      <c r="OH56" s="62"/>
      <c r="OI56" s="63"/>
      <c r="OJ56" s="62"/>
      <c r="OK56" s="63"/>
      <c r="OL56" s="62"/>
      <c r="OM56" s="63"/>
      <c r="ON56" s="62"/>
      <c r="OO56" s="63"/>
      <c r="OP56" s="62"/>
      <c r="OQ56" s="63"/>
      <c r="OR56" s="62"/>
      <c r="OS56" s="63"/>
      <c r="OT56" s="62"/>
      <c r="OU56" s="63"/>
      <c r="OV56" s="62"/>
      <c r="OW56" s="63"/>
      <c r="OX56" s="62"/>
      <c r="OY56" s="63"/>
      <c r="OZ56" s="62"/>
      <c r="PA56" s="63"/>
      <c r="PB56" s="62"/>
      <c r="PC56" s="63"/>
      <c r="PD56" s="62"/>
      <c r="PE56" s="63"/>
      <c r="PF56" s="62"/>
      <c r="PG56" s="63"/>
      <c r="PH56" s="62"/>
      <c r="PI56" s="63"/>
      <c r="PJ56" s="62"/>
      <c r="PK56" s="63"/>
      <c r="PL56" s="62"/>
      <c r="PM56" s="63"/>
      <c r="PN56" s="62"/>
      <c r="PO56" s="63"/>
      <c r="PP56" s="62"/>
      <c r="PQ56" s="63"/>
      <c r="PR56" s="62"/>
      <c r="PS56" s="63"/>
      <c r="PT56" s="62"/>
      <c r="PU56" s="63"/>
      <c r="PV56" s="62"/>
      <c r="PW56" s="63"/>
      <c r="PX56" s="62"/>
      <c r="PY56" s="63"/>
      <c r="PZ56" s="62"/>
      <c r="QA56" s="63"/>
      <c r="QB56" s="62"/>
      <c r="QC56" s="63"/>
      <c r="QD56" s="62"/>
      <c r="QE56" s="63"/>
      <c r="QF56" s="62"/>
      <c r="QG56" s="63"/>
      <c r="QH56" s="62"/>
      <c r="QI56" s="63"/>
      <c r="QJ56" s="62"/>
      <c r="QK56" s="63"/>
      <c r="QL56" s="62"/>
      <c r="QM56" s="63"/>
      <c r="QN56" s="62"/>
      <c r="QO56" s="63"/>
      <c r="QP56" s="62"/>
      <c r="QQ56" s="63"/>
      <c r="QR56" s="62"/>
      <c r="QS56" s="63"/>
      <c r="QT56" s="62"/>
      <c r="QU56" s="63"/>
      <c r="QV56" s="62"/>
      <c r="QW56" s="63"/>
      <c r="QX56" s="62"/>
      <c r="QY56" s="63"/>
      <c r="QZ56" s="62"/>
      <c r="RA56" s="63"/>
      <c r="RB56" s="62"/>
      <c r="RC56" s="63"/>
      <c r="RD56" s="31"/>
    </row>
    <row r="57" spans="1:472" s="5" customFormat="1" ht="15" hidden="1" customHeight="1" x14ac:dyDescent="0.25">
      <c r="A57" s="41">
        <v>2056</v>
      </c>
      <c r="B57" s="41" t="s">
        <v>460</v>
      </c>
      <c r="C57" s="41" t="s">
        <v>4</v>
      </c>
      <c r="D57" s="41">
        <v>321</v>
      </c>
      <c r="E57" s="42"/>
      <c r="F57" s="41" t="s">
        <v>591</v>
      </c>
      <c r="I57" s="62"/>
      <c r="J57" s="63"/>
      <c r="K57" s="62"/>
      <c r="L57" s="63"/>
      <c r="M57" s="62"/>
      <c r="N57" s="63"/>
      <c r="O57" s="62"/>
      <c r="P57" s="63"/>
      <c r="Q57" s="62"/>
      <c r="R57" s="63"/>
      <c r="S57" s="62"/>
      <c r="T57" s="63"/>
      <c r="X57" s="62"/>
      <c r="Y57" s="63"/>
      <c r="Z57" s="62"/>
      <c r="AA57" s="63"/>
      <c r="AB57" s="62"/>
      <c r="AC57" s="63"/>
      <c r="AD57" s="62"/>
      <c r="AE57" s="63"/>
      <c r="AF57" s="62"/>
      <c r="AG57" s="63"/>
      <c r="AH57" s="62"/>
      <c r="AI57" s="63"/>
      <c r="AJ57" s="62"/>
      <c r="AK57" s="63"/>
      <c r="AL57" s="62"/>
      <c r="AM57" s="63"/>
      <c r="AN57" s="62"/>
      <c r="AO57" s="63"/>
      <c r="AP57" s="62"/>
      <c r="AQ57" s="63"/>
      <c r="AR57" s="62"/>
      <c r="AS57" s="63"/>
      <c r="AT57" s="62"/>
      <c r="AU57" s="63"/>
      <c r="AV57" s="62"/>
      <c r="AW57" s="63"/>
      <c r="AX57" s="62"/>
      <c r="AY57" s="63"/>
      <c r="AZ57" s="62"/>
      <c r="BA57" s="63"/>
      <c r="BB57" s="62"/>
      <c r="BC57" s="63"/>
      <c r="BD57" s="62"/>
      <c r="BE57" s="63"/>
      <c r="BF57" s="62"/>
      <c r="BG57" s="63"/>
      <c r="BH57" s="62"/>
      <c r="BI57" s="63"/>
      <c r="BJ57" s="62"/>
      <c r="BK57" s="63"/>
      <c r="BL57" s="62"/>
      <c r="BM57" s="63"/>
      <c r="BN57" s="62"/>
      <c r="BO57" s="63"/>
      <c r="BP57" s="62"/>
      <c r="BQ57" s="63"/>
      <c r="BR57" s="62"/>
      <c r="BS57" s="63"/>
      <c r="BT57" s="62"/>
      <c r="BU57" s="63"/>
      <c r="BV57" s="62"/>
      <c r="BW57" s="63"/>
      <c r="BX57" s="62"/>
      <c r="BY57" s="63"/>
      <c r="BZ57" s="62"/>
      <c r="CA57" s="63"/>
      <c r="CB57" s="62"/>
      <c r="CC57" s="63"/>
      <c r="CD57" s="62"/>
      <c r="CE57" s="63"/>
      <c r="CF57" s="62"/>
      <c r="CG57" s="63"/>
      <c r="CH57" s="62"/>
      <c r="CI57" s="63"/>
      <c r="CJ57" s="62"/>
      <c r="CK57" s="63"/>
      <c r="CL57" s="62"/>
      <c r="CM57" s="63"/>
      <c r="CN57" s="62"/>
      <c r="CO57" s="63"/>
      <c r="CP57" s="62"/>
      <c r="CQ57" s="63"/>
      <c r="CR57" s="62"/>
      <c r="CS57" s="63"/>
      <c r="CT57" s="62"/>
      <c r="CU57" s="63"/>
      <c r="CV57" s="62"/>
      <c r="CW57" s="63"/>
      <c r="CX57" s="62"/>
      <c r="CY57" s="63"/>
      <c r="CZ57" s="62"/>
      <c r="DA57" s="63"/>
      <c r="DB57" s="62"/>
      <c r="DC57" s="63"/>
      <c r="DD57" s="62"/>
      <c r="DE57" s="63"/>
      <c r="DF57" s="62"/>
      <c r="DG57" s="63"/>
      <c r="DH57" s="62"/>
      <c r="DI57" s="63"/>
      <c r="DJ57" s="62"/>
      <c r="DK57" s="63"/>
      <c r="DL57" s="62"/>
      <c r="DM57" s="63"/>
      <c r="DN57" s="18"/>
      <c r="DO57" s="19" t="s">
        <v>66</v>
      </c>
      <c r="DP57" s="62" t="s">
        <v>66</v>
      </c>
      <c r="DQ57" s="63"/>
      <c r="DR57" s="62" t="s">
        <v>38</v>
      </c>
      <c r="DS57" s="63"/>
      <c r="DT57" s="31" t="s">
        <v>38</v>
      </c>
      <c r="DU57" s="32" t="s">
        <v>36</v>
      </c>
      <c r="DV57" s="62" t="s">
        <v>36</v>
      </c>
      <c r="DW57" s="63"/>
      <c r="DX57" s="62" t="s">
        <v>36</v>
      </c>
      <c r="DY57" s="63"/>
      <c r="DZ57" s="62" t="s">
        <v>36</v>
      </c>
      <c r="EA57" s="63"/>
      <c r="EB57" s="62" t="s">
        <v>36</v>
      </c>
      <c r="EC57" s="63"/>
      <c r="ED57" s="62" t="s">
        <v>36</v>
      </c>
      <c r="EE57" s="63"/>
      <c r="EF57" s="62" t="s">
        <v>36</v>
      </c>
      <c r="EG57" s="63"/>
      <c r="EH57" s="62" t="s">
        <v>707</v>
      </c>
      <c r="EI57" s="63"/>
      <c r="EJ57" s="62" t="s">
        <v>36</v>
      </c>
      <c r="EK57" s="63"/>
      <c r="EL57" s="62" t="s">
        <v>36</v>
      </c>
      <c r="EM57" s="63"/>
      <c r="EN57" s="62" t="s">
        <v>36</v>
      </c>
      <c r="EO57" s="63"/>
      <c r="EP57" s="62" t="s">
        <v>36</v>
      </c>
      <c r="EQ57" s="63"/>
      <c r="ER57" s="62" t="s">
        <v>36</v>
      </c>
      <c r="ES57" s="63"/>
      <c r="ET57" s="62" t="s">
        <v>37</v>
      </c>
      <c r="EU57" s="63"/>
      <c r="EV57" s="62" t="s">
        <v>37</v>
      </c>
      <c r="EW57" s="63"/>
      <c r="EX57" s="62" t="s">
        <v>37</v>
      </c>
      <c r="EY57" s="63"/>
      <c r="EZ57" s="62" t="s">
        <v>37</v>
      </c>
      <c r="FA57" s="63"/>
      <c r="FB57" s="62" t="s">
        <v>37</v>
      </c>
      <c r="FC57" s="63"/>
      <c r="FD57" s="62" t="s">
        <v>37</v>
      </c>
      <c r="FE57" s="63"/>
      <c r="FF57" s="62" t="s">
        <v>37</v>
      </c>
      <c r="FG57" s="63"/>
      <c r="FH57" s="62" t="s">
        <v>37</v>
      </c>
      <c r="FI57" s="63"/>
      <c r="FJ57" s="62" t="s">
        <v>37</v>
      </c>
      <c r="FK57" s="63"/>
      <c r="FL57" s="62"/>
      <c r="FM57" s="63"/>
      <c r="FN57" s="62"/>
      <c r="FO57" s="63"/>
      <c r="FP57" s="62"/>
      <c r="FQ57" s="63"/>
      <c r="FR57" s="62"/>
      <c r="FS57" s="63"/>
      <c r="FT57" s="62"/>
      <c r="FU57" s="63"/>
      <c r="FV57" s="62"/>
      <c r="FW57" s="63"/>
      <c r="FX57" s="62"/>
      <c r="FY57" s="63"/>
      <c r="FZ57" s="62"/>
      <c r="GA57" s="63"/>
      <c r="GB57" s="62"/>
      <c r="GC57" s="63"/>
      <c r="GD57" s="62"/>
      <c r="GE57" s="63"/>
      <c r="GF57" s="62"/>
      <c r="GG57" s="63"/>
      <c r="GH57" s="62"/>
      <c r="GI57" s="63"/>
      <c r="GJ57" s="62"/>
      <c r="GK57" s="63"/>
      <c r="GL57" s="62"/>
      <c r="GM57" s="63"/>
      <c r="GN57" s="62"/>
      <c r="GO57" s="63"/>
      <c r="GP57" s="62"/>
      <c r="GQ57" s="63"/>
      <c r="GR57" s="62"/>
      <c r="GS57" s="63"/>
      <c r="GT57" s="62"/>
      <c r="GU57" s="63"/>
      <c r="GV57" s="62"/>
      <c r="GW57" s="63"/>
      <c r="GX57" s="62"/>
      <c r="GY57" s="63"/>
      <c r="GZ57" s="62"/>
      <c r="HA57" s="63"/>
      <c r="HB57" s="62"/>
      <c r="HC57" s="63"/>
      <c r="HD57" s="62"/>
      <c r="HE57" s="63"/>
      <c r="HF57" s="62"/>
      <c r="HG57" s="63"/>
      <c r="HH57" s="62"/>
      <c r="HI57" s="63"/>
      <c r="HJ57" s="62"/>
      <c r="HK57" s="63"/>
      <c r="HL57" s="62"/>
      <c r="HM57" s="63"/>
      <c r="HN57" s="62"/>
      <c r="HO57" s="63"/>
      <c r="HP57" s="62"/>
      <c r="HQ57" s="63"/>
      <c r="HR57" s="62"/>
      <c r="HS57" s="63"/>
      <c r="HT57" s="62"/>
      <c r="HU57" s="63"/>
      <c r="HV57" s="62"/>
      <c r="HW57" s="63"/>
      <c r="HX57" s="62"/>
      <c r="HY57" s="63"/>
      <c r="HZ57" s="62"/>
      <c r="IA57" s="63"/>
      <c r="IB57" s="62"/>
      <c r="IC57" s="63"/>
      <c r="ID57" s="62"/>
      <c r="IE57" s="63"/>
      <c r="IF57" s="62"/>
      <c r="IG57" s="63"/>
      <c r="IH57" s="62"/>
      <c r="II57" s="63"/>
      <c r="IJ57" s="62"/>
      <c r="IK57" s="63"/>
      <c r="IL57" s="62"/>
      <c r="IM57" s="63"/>
      <c r="IN57" s="62"/>
      <c r="IO57" s="63"/>
      <c r="IP57" s="62"/>
      <c r="IQ57" s="63"/>
      <c r="IR57" s="62"/>
      <c r="IS57" s="63"/>
      <c r="IT57" s="62"/>
      <c r="IU57" s="63"/>
      <c r="IV57" s="62"/>
      <c r="IW57" s="63"/>
      <c r="IX57" s="62"/>
      <c r="IY57" s="63"/>
      <c r="IZ57" s="62"/>
      <c r="JA57" s="63"/>
      <c r="JB57" s="62"/>
      <c r="JC57" s="63"/>
      <c r="JD57" s="62"/>
      <c r="JE57" s="63"/>
      <c r="JF57" s="62"/>
      <c r="JG57" s="63"/>
      <c r="JH57" s="62"/>
      <c r="JI57" s="63"/>
      <c r="JJ57" s="62"/>
      <c r="JK57" s="63"/>
      <c r="JL57" s="62"/>
      <c r="JM57" s="63"/>
      <c r="JN57" s="62"/>
      <c r="JO57" s="63"/>
      <c r="JP57" s="62"/>
      <c r="JQ57" s="63"/>
      <c r="JR57" s="62"/>
      <c r="JS57" s="63"/>
      <c r="JT57" s="62"/>
      <c r="JU57" s="63"/>
      <c r="JV57" s="62"/>
      <c r="JW57" s="63"/>
      <c r="JX57" s="62"/>
      <c r="JY57" s="63"/>
      <c r="JZ57" s="62"/>
      <c r="KA57" s="63"/>
      <c r="KB57" s="62"/>
      <c r="KC57" s="63"/>
      <c r="KD57" s="62"/>
      <c r="KE57" s="63"/>
      <c r="KF57" s="62"/>
      <c r="KG57" s="63"/>
      <c r="KH57" s="62"/>
      <c r="KI57" s="63"/>
      <c r="KJ57" s="62"/>
      <c r="KK57" s="63"/>
      <c r="KL57" s="62"/>
      <c r="KM57" s="63"/>
      <c r="KN57" s="62"/>
      <c r="KO57" s="63"/>
      <c r="KP57" s="62"/>
      <c r="KQ57" s="63"/>
      <c r="KR57" s="62"/>
      <c r="KS57" s="63"/>
      <c r="KT57" s="62"/>
      <c r="KU57" s="63"/>
      <c r="KV57" s="62"/>
      <c r="KW57" s="63"/>
      <c r="KX57" s="62"/>
      <c r="KY57" s="63"/>
      <c r="KZ57" s="62"/>
      <c r="LA57" s="63"/>
      <c r="LB57" s="62"/>
      <c r="LC57" s="63"/>
      <c r="LD57" s="62"/>
      <c r="LE57" s="63"/>
      <c r="LF57" s="62"/>
      <c r="LG57" s="63"/>
      <c r="LH57" s="62"/>
      <c r="LI57" s="63"/>
      <c r="LJ57" s="62"/>
      <c r="LK57" s="63"/>
      <c r="LL57" s="62"/>
      <c r="LM57" s="63"/>
      <c r="LN57" s="62"/>
      <c r="LO57" s="63"/>
      <c r="LP57" s="62"/>
      <c r="LQ57" s="63"/>
      <c r="LR57" s="62"/>
      <c r="LS57" s="63"/>
      <c r="LT57" s="62"/>
      <c r="LU57" s="63"/>
      <c r="LV57" s="62"/>
      <c r="LW57" s="63"/>
      <c r="LX57" s="62"/>
      <c r="LY57" s="63"/>
      <c r="LZ57" s="62"/>
      <c r="MA57" s="63"/>
      <c r="MB57" s="62"/>
      <c r="MC57" s="63"/>
      <c r="MD57" s="62"/>
      <c r="ME57" s="63"/>
      <c r="MF57" s="62"/>
      <c r="MG57" s="63"/>
      <c r="MH57" s="62"/>
      <c r="MI57" s="63"/>
      <c r="MJ57" s="62"/>
      <c r="MK57" s="63"/>
      <c r="ML57" s="62"/>
      <c r="MM57" s="63"/>
      <c r="MN57" s="62"/>
      <c r="MO57" s="63"/>
      <c r="MP57" s="62"/>
      <c r="MQ57" s="63"/>
      <c r="MR57" s="62"/>
      <c r="MS57" s="63"/>
      <c r="MT57" s="62"/>
      <c r="MU57" s="63"/>
      <c r="MV57" s="62"/>
      <c r="MW57" s="63"/>
      <c r="MX57" s="62"/>
      <c r="MY57" s="63"/>
      <c r="MZ57" s="62"/>
      <c r="NA57" s="63"/>
      <c r="NB57" s="62"/>
      <c r="NC57" s="63"/>
      <c r="ND57" s="62"/>
      <c r="NE57" s="63"/>
      <c r="NF57" s="62"/>
      <c r="NG57" s="63"/>
      <c r="NH57" s="62"/>
      <c r="NI57" s="63"/>
      <c r="NJ57" s="62"/>
      <c r="NK57" s="63"/>
      <c r="NL57" s="62"/>
      <c r="NM57" s="63"/>
      <c r="NN57" s="62"/>
      <c r="NO57" s="63"/>
      <c r="NP57" s="62"/>
      <c r="NQ57" s="63"/>
      <c r="NR57" s="62"/>
      <c r="NS57" s="63"/>
      <c r="NT57" s="62"/>
      <c r="NU57" s="63"/>
      <c r="NV57" s="62"/>
      <c r="NW57" s="63"/>
      <c r="NX57" s="62"/>
      <c r="NY57" s="63"/>
      <c r="NZ57" s="62"/>
      <c r="OA57" s="63"/>
      <c r="OB57" s="62"/>
      <c r="OC57" s="63"/>
      <c r="OD57" s="62"/>
      <c r="OE57" s="63"/>
      <c r="OF57" s="62"/>
      <c r="OG57" s="63"/>
      <c r="OH57" s="62"/>
      <c r="OI57" s="63"/>
      <c r="OJ57" s="62"/>
      <c r="OK57" s="63"/>
      <c r="OL57" s="62"/>
      <c r="OM57" s="63"/>
      <c r="ON57" s="62"/>
      <c r="OO57" s="63"/>
      <c r="OP57" s="62"/>
      <c r="OQ57" s="63"/>
      <c r="OR57" s="62"/>
      <c r="OS57" s="63"/>
      <c r="OT57" s="62"/>
      <c r="OU57" s="63"/>
      <c r="OV57" s="62"/>
      <c r="OW57" s="63"/>
      <c r="OX57" s="62"/>
      <c r="OY57" s="63"/>
      <c r="OZ57" s="62"/>
      <c r="PA57" s="63"/>
      <c r="PB57" s="62"/>
      <c r="PC57" s="63"/>
      <c r="PD57" s="62"/>
      <c r="PE57" s="63"/>
      <c r="PF57" s="62"/>
      <c r="PG57" s="63"/>
      <c r="PH57" s="62"/>
      <c r="PI57" s="63"/>
      <c r="PJ57" s="62"/>
      <c r="PK57" s="63"/>
      <c r="PL57" s="62"/>
      <c r="PM57" s="63"/>
      <c r="PN57" s="62"/>
      <c r="PO57" s="63"/>
      <c r="PP57" s="62"/>
      <c r="PQ57" s="63"/>
      <c r="PR57" s="62"/>
      <c r="PS57" s="63"/>
      <c r="PT57" s="62"/>
      <c r="PU57" s="63"/>
      <c r="PV57" s="62"/>
      <c r="PW57" s="63"/>
      <c r="PX57" s="62"/>
      <c r="PY57" s="63"/>
      <c r="PZ57" s="62"/>
      <c r="QA57" s="63"/>
      <c r="QB57" s="62"/>
      <c r="QC57" s="63"/>
      <c r="QD57" s="62"/>
      <c r="QE57" s="63"/>
      <c r="QF57" s="62"/>
      <c r="QG57" s="63"/>
      <c r="QH57" s="62"/>
      <c r="QI57" s="63"/>
      <c r="QJ57" s="62"/>
      <c r="QK57" s="63"/>
      <c r="QL57" s="62"/>
      <c r="QM57" s="63"/>
      <c r="QN57" s="62"/>
      <c r="QO57" s="63"/>
      <c r="QP57" s="62"/>
      <c r="QQ57" s="63"/>
      <c r="QR57" s="62"/>
      <c r="QS57" s="63"/>
      <c r="QT57" s="62"/>
      <c r="QU57" s="63"/>
      <c r="QV57" s="62"/>
      <c r="QW57" s="63"/>
      <c r="QX57" s="62"/>
      <c r="QY57" s="63"/>
      <c r="QZ57" s="62"/>
      <c r="RA57" s="63"/>
      <c r="RB57" s="62"/>
      <c r="RC57" s="63"/>
      <c r="RD57" s="31"/>
    </row>
    <row r="58" spans="1:472" s="5" customFormat="1" ht="15" hidden="1" customHeight="1" x14ac:dyDescent="0.25">
      <c r="A58" s="41">
        <v>2063</v>
      </c>
      <c r="B58" s="41" t="s">
        <v>567</v>
      </c>
      <c r="C58" s="41" t="s">
        <v>230</v>
      </c>
      <c r="D58" s="41">
        <v>102</v>
      </c>
      <c r="E58" s="42"/>
      <c r="F58" s="41" t="s">
        <v>523</v>
      </c>
      <c r="I58" s="62"/>
      <c r="J58" s="63"/>
      <c r="K58" s="62"/>
      <c r="L58" s="63"/>
      <c r="M58" s="62"/>
      <c r="N58" s="63"/>
      <c r="O58" s="62"/>
      <c r="P58" s="63"/>
      <c r="Q58" s="62"/>
      <c r="R58" s="63"/>
      <c r="S58" s="62"/>
      <c r="T58" s="63"/>
      <c r="X58" s="62"/>
      <c r="Y58" s="63"/>
      <c r="Z58" s="62"/>
      <c r="AA58" s="63"/>
      <c r="AB58" s="62"/>
      <c r="AC58" s="63"/>
      <c r="AD58" s="62"/>
      <c r="AE58" s="63"/>
      <c r="AF58" s="62"/>
      <c r="AG58" s="63"/>
      <c r="AH58" s="62"/>
      <c r="AI58" s="63"/>
      <c r="AJ58" s="62"/>
      <c r="AK58" s="63"/>
      <c r="AL58" s="62"/>
      <c r="AM58" s="63"/>
      <c r="AN58" s="62"/>
      <c r="AO58" s="63"/>
      <c r="AP58" s="62"/>
      <c r="AQ58" s="63"/>
      <c r="AR58" s="62"/>
      <c r="AS58" s="63"/>
      <c r="AT58" s="62"/>
      <c r="AU58" s="63"/>
      <c r="AV58" s="62"/>
      <c r="AW58" s="63"/>
      <c r="AX58" s="62"/>
      <c r="AY58" s="63"/>
      <c r="AZ58" s="62"/>
      <c r="BA58" s="63"/>
      <c r="BB58" s="62"/>
      <c r="BC58" s="63"/>
      <c r="BD58" s="62"/>
      <c r="BE58" s="63"/>
      <c r="BF58" s="62"/>
      <c r="BG58" s="63"/>
      <c r="BH58" s="62"/>
      <c r="BI58" s="63"/>
      <c r="BJ58" s="62"/>
      <c r="BK58" s="63"/>
      <c r="BL58" s="62"/>
      <c r="BM58" s="63"/>
      <c r="BN58" s="62"/>
      <c r="BO58" s="63"/>
      <c r="BP58" s="62"/>
      <c r="BQ58" s="63"/>
      <c r="BR58" s="62"/>
      <c r="BS58" s="63"/>
      <c r="BT58" s="62"/>
      <c r="BU58" s="63"/>
      <c r="BV58" s="62"/>
      <c r="BW58" s="63"/>
      <c r="BX58" s="62"/>
      <c r="BY58" s="63"/>
      <c r="BZ58" s="62"/>
      <c r="CA58" s="63"/>
      <c r="CB58" s="62"/>
      <c r="CC58" s="63"/>
      <c r="CD58" s="62"/>
      <c r="CE58" s="63"/>
      <c r="CF58" s="62"/>
      <c r="CG58" s="63"/>
      <c r="CH58" s="62"/>
      <c r="CI58" s="63"/>
      <c r="CJ58" s="62"/>
      <c r="CK58" s="63"/>
      <c r="CL58" s="62"/>
      <c r="CM58" s="63"/>
      <c r="CN58" s="62"/>
      <c r="CO58" s="63"/>
      <c r="CP58" s="62"/>
      <c r="CQ58" s="63"/>
      <c r="CR58" s="62"/>
      <c r="CS58" s="63"/>
      <c r="CT58" s="62"/>
      <c r="CU58" s="63"/>
      <c r="CV58" s="62"/>
      <c r="CW58" s="63"/>
      <c r="CX58" s="62"/>
      <c r="CY58" s="63"/>
      <c r="CZ58" s="62"/>
      <c r="DA58" s="63"/>
      <c r="DB58" s="62"/>
      <c r="DC58" s="63"/>
      <c r="DD58" s="62"/>
      <c r="DE58" s="63"/>
      <c r="DF58" s="62"/>
      <c r="DG58" s="63"/>
      <c r="DH58" s="62"/>
      <c r="DI58" s="63"/>
      <c r="DJ58" s="62"/>
      <c r="DK58" s="63"/>
      <c r="DL58" s="62"/>
      <c r="DM58" s="63"/>
      <c r="DN58" s="62"/>
      <c r="DO58" s="63"/>
      <c r="DP58" s="62"/>
      <c r="DQ58" s="63"/>
      <c r="DR58" s="62"/>
      <c r="DS58" s="63"/>
      <c r="DT58" s="62"/>
      <c r="DU58" s="63"/>
      <c r="DV58" s="62"/>
      <c r="DW58" s="63"/>
      <c r="DX58" s="18"/>
      <c r="DY58" s="19" t="s">
        <v>66</v>
      </c>
      <c r="DZ58" s="62" t="s">
        <v>66</v>
      </c>
      <c r="EA58" s="63"/>
      <c r="EB58" s="62" t="s">
        <v>66</v>
      </c>
      <c r="EC58" s="63"/>
      <c r="ED58" s="62" t="s">
        <v>38</v>
      </c>
      <c r="EE58" s="63"/>
      <c r="EF58" s="62" t="s">
        <v>38</v>
      </c>
      <c r="EG58" s="63"/>
      <c r="EH58" s="62" t="s">
        <v>707</v>
      </c>
      <c r="EI58" s="63"/>
      <c r="EJ58" s="62" t="s">
        <v>36</v>
      </c>
      <c r="EK58" s="63"/>
      <c r="EL58" s="62" t="s">
        <v>36</v>
      </c>
      <c r="EM58" s="63"/>
      <c r="EN58" s="62" t="s">
        <v>36</v>
      </c>
      <c r="EO58" s="63"/>
      <c r="EP58" s="62" t="s">
        <v>36</v>
      </c>
      <c r="EQ58" s="63"/>
      <c r="ER58" s="62" t="s">
        <v>36</v>
      </c>
      <c r="ES58" s="63"/>
      <c r="ET58" s="62" t="s">
        <v>36</v>
      </c>
      <c r="EU58" s="63"/>
      <c r="EV58" s="62" t="s">
        <v>36</v>
      </c>
      <c r="EW58" s="63"/>
      <c r="EX58" s="62" t="s">
        <v>36</v>
      </c>
      <c r="EY58" s="63"/>
      <c r="EZ58" s="62" t="s">
        <v>36</v>
      </c>
      <c r="FA58" s="63"/>
      <c r="FB58" s="62" t="s">
        <v>37</v>
      </c>
      <c r="FC58" s="63"/>
      <c r="FD58" s="62" t="s">
        <v>37</v>
      </c>
      <c r="FE58" s="63"/>
      <c r="FF58" s="62" t="s">
        <v>37</v>
      </c>
      <c r="FG58" s="63"/>
      <c r="FH58" s="62" t="s">
        <v>37</v>
      </c>
      <c r="FI58" s="63"/>
      <c r="FJ58" s="62" t="s">
        <v>37</v>
      </c>
      <c r="FK58" s="63"/>
      <c r="FL58" s="62"/>
      <c r="FM58" s="63"/>
      <c r="FN58" s="62"/>
      <c r="FO58" s="63"/>
      <c r="FP58" s="62"/>
      <c r="FQ58" s="63"/>
      <c r="FR58" s="62"/>
      <c r="FS58" s="63"/>
      <c r="FT58" s="62"/>
      <c r="FU58" s="63"/>
      <c r="FV58" s="62"/>
      <c r="FW58" s="63"/>
      <c r="FX58" s="62"/>
      <c r="FY58" s="63"/>
      <c r="FZ58" s="62"/>
      <c r="GA58" s="63"/>
      <c r="GB58" s="62"/>
      <c r="GC58" s="63"/>
      <c r="GD58" s="62"/>
      <c r="GE58" s="63"/>
      <c r="GF58" s="62"/>
      <c r="GG58" s="63"/>
      <c r="GH58" s="62"/>
      <c r="GI58" s="63"/>
      <c r="GJ58" s="62"/>
      <c r="GK58" s="63"/>
      <c r="GL58" s="62"/>
      <c r="GM58" s="63"/>
      <c r="GN58" s="62"/>
      <c r="GO58" s="63"/>
      <c r="GP58" s="62"/>
      <c r="GQ58" s="63"/>
      <c r="GR58" s="62"/>
      <c r="GS58" s="63"/>
      <c r="GT58" s="62"/>
      <c r="GU58" s="63"/>
      <c r="GV58" s="62"/>
      <c r="GW58" s="63"/>
      <c r="GX58" s="62"/>
      <c r="GY58" s="63"/>
      <c r="GZ58" s="62"/>
      <c r="HA58" s="63"/>
      <c r="HB58" s="62"/>
      <c r="HC58" s="63"/>
      <c r="HD58" s="62"/>
      <c r="HE58" s="63"/>
      <c r="HF58" s="62"/>
      <c r="HG58" s="63"/>
      <c r="HH58" s="62"/>
      <c r="HI58" s="63"/>
      <c r="HJ58" s="62"/>
      <c r="HK58" s="63"/>
      <c r="HL58" s="62"/>
      <c r="HM58" s="63"/>
      <c r="HN58" s="62"/>
      <c r="HO58" s="63"/>
      <c r="HP58" s="62"/>
      <c r="HQ58" s="63"/>
      <c r="HR58" s="62"/>
      <c r="HS58" s="63"/>
      <c r="HT58" s="62"/>
      <c r="HU58" s="63"/>
      <c r="HV58" s="62"/>
      <c r="HW58" s="63"/>
      <c r="HX58" s="62"/>
      <c r="HY58" s="63"/>
      <c r="HZ58" s="62"/>
      <c r="IA58" s="63"/>
      <c r="IB58" s="62"/>
      <c r="IC58" s="63"/>
      <c r="ID58" s="62"/>
      <c r="IE58" s="63"/>
      <c r="IF58" s="62"/>
      <c r="IG58" s="63"/>
      <c r="IH58" s="62"/>
      <c r="II58" s="63"/>
      <c r="IJ58" s="62"/>
      <c r="IK58" s="63"/>
      <c r="IL58" s="62"/>
      <c r="IM58" s="63"/>
      <c r="IN58" s="62"/>
      <c r="IO58" s="63"/>
      <c r="IP58" s="62"/>
      <c r="IQ58" s="63"/>
      <c r="IR58" s="62"/>
      <c r="IS58" s="63"/>
      <c r="IT58" s="62"/>
      <c r="IU58" s="63"/>
      <c r="IV58" s="62"/>
      <c r="IW58" s="63"/>
      <c r="IX58" s="62"/>
      <c r="IY58" s="63"/>
      <c r="IZ58" s="62"/>
      <c r="JA58" s="63"/>
      <c r="JB58" s="62"/>
      <c r="JC58" s="63"/>
      <c r="JD58" s="62"/>
      <c r="JE58" s="63"/>
      <c r="JF58" s="62"/>
      <c r="JG58" s="63"/>
      <c r="JH58" s="62"/>
      <c r="JI58" s="63"/>
      <c r="JJ58" s="62"/>
      <c r="JK58" s="63"/>
      <c r="JL58" s="62"/>
      <c r="JM58" s="63"/>
      <c r="JN58" s="62"/>
      <c r="JO58" s="63"/>
      <c r="JP58" s="62"/>
      <c r="JQ58" s="63"/>
      <c r="JR58" s="62"/>
      <c r="JS58" s="63"/>
      <c r="JT58" s="62"/>
      <c r="JU58" s="63"/>
      <c r="JV58" s="62"/>
      <c r="JW58" s="63"/>
      <c r="JX58" s="62"/>
      <c r="JY58" s="63"/>
      <c r="JZ58" s="62"/>
      <c r="KA58" s="63"/>
      <c r="KB58" s="62"/>
      <c r="KC58" s="63"/>
      <c r="KD58" s="62"/>
      <c r="KE58" s="63"/>
      <c r="KF58" s="62"/>
      <c r="KG58" s="63"/>
      <c r="KH58" s="62"/>
      <c r="KI58" s="63"/>
      <c r="KJ58" s="62"/>
      <c r="KK58" s="63"/>
      <c r="KL58" s="62"/>
      <c r="KM58" s="63"/>
      <c r="KN58" s="62"/>
      <c r="KO58" s="63"/>
      <c r="KP58" s="62"/>
      <c r="KQ58" s="63"/>
      <c r="KR58" s="62"/>
      <c r="KS58" s="63"/>
      <c r="KT58" s="62"/>
      <c r="KU58" s="63"/>
      <c r="KV58" s="62"/>
      <c r="KW58" s="63"/>
      <c r="KX58" s="62"/>
      <c r="KY58" s="63"/>
      <c r="KZ58" s="62"/>
      <c r="LA58" s="63"/>
      <c r="LB58" s="62"/>
      <c r="LC58" s="63"/>
      <c r="LD58" s="62"/>
      <c r="LE58" s="63"/>
      <c r="LF58" s="62"/>
      <c r="LG58" s="63"/>
      <c r="LH58" s="62"/>
      <c r="LI58" s="63"/>
      <c r="LJ58" s="62"/>
      <c r="LK58" s="63"/>
      <c r="LL58" s="62"/>
      <c r="LM58" s="63"/>
      <c r="LN58" s="62"/>
      <c r="LO58" s="63"/>
      <c r="LP58" s="62"/>
      <c r="LQ58" s="63"/>
      <c r="LR58" s="62"/>
      <c r="LS58" s="63"/>
      <c r="LT58" s="62"/>
      <c r="LU58" s="63"/>
      <c r="LV58" s="62"/>
      <c r="LW58" s="63"/>
      <c r="LX58" s="62"/>
      <c r="LY58" s="63"/>
      <c r="LZ58" s="62"/>
      <c r="MA58" s="63"/>
      <c r="MB58" s="62"/>
      <c r="MC58" s="63"/>
      <c r="MD58" s="62"/>
      <c r="ME58" s="63"/>
      <c r="MF58" s="62"/>
      <c r="MG58" s="63"/>
      <c r="MH58" s="62"/>
      <c r="MI58" s="63"/>
      <c r="MJ58" s="62"/>
      <c r="MK58" s="63"/>
      <c r="ML58" s="62"/>
      <c r="MM58" s="63"/>
      <c r="MN58" s="62"/>
      <c r="MO58" s="63"/>
      <c r="MP58" s="62"/>
      <c r="MQ58" s="63"/>
      <c r="MR58" s="62"/>
      <c r="MS58" s="63"/>
      <c r="MT58" s="62"/>
      <c r="MU58" s="63"/>
      <c r="MV58" s="62"/>
      <c r="MW58" s="63"/>
      <c r="MX58" s="62"/>
      <c r="MY58" s="63"/>
      <c r="MZ58" s="62"/>
      <c r="NA58" s="63"/>
      <c r="NB58" s="62"/>
      <c r="NC58" s="63"/>
      <c r="ND58" s="62"/>
      <c r="NE58" s="63"/>
      <c r="NF58" s="62"/>
      <c r="NG58" s="63"/>
      <c r="NH58" s="62"/>
      <c r="NI58" s="63"/>
      <c r="NJ58" s="62"/>
      <c r="NK58" s="63"/>
      <c r="NL58" s="62"/>
      <c r="NM58" s="63"/>
      <c r="NN58" s="62"/>
      <c r="NO58" s="63"/>
      <c r="NP58" s="62"/>
      <c r="NQ58" s="63"/>
      <c r="NR58" s="62"/>
      <c r="NS58" s="63"/>
      <c r="NT58" s="62"/>
      <c r="NU58" s="63"/>
      <c r="NV58" s="62"/>
      <c r="NW58" s="63"/>
      <c r="NX58" s="62"/>
      <c r="NY58" s="63"/>
      <c r="NZ58" s="62"/>
      <c r="OA58" s="63"/>
      <c r="OB58" s="62"/>
      <c r="OC58" s="63"/>
      <c r="OD58" s="62"/>
      <c r="OE58" s="63"/>
      <c r="OF58" s="62"/>
      <c r="OG58" s="63"/>
      <c r="OH58" s="62"/>
      <c r="OI58" s="63"/>
      <c r="OJ58" s="62"/>
      <c r="OK58" s="63"/>
      <c r="OL58" s="62"/>
      <c r="OM58" s="63"/>
      <c r="ON58" s="62"/>
      <c r="OO58" s="63"/>
      <c r="OP58" s="62"/>
      <c r="OQ58" s="63"/>
      <c r="OR58" s="62"/>
      <c r="OS58" s="63"/>
      <c r="OT58" s="62"/>
      <c r="OU58" s="63"/>
      <c r="OV58" s="62"/>
      <c r="OW58" s="63"/>
      <c r="OX58" s="62"/>
      <c r="OY58" s="63"/>
      <c r="OZ58" s="62"/>
      <c r="PA58" s="63"/>
      <c r="PB58" s="62"/>
      <c r="PC58" s="63"/>
      <c r="PD58" s="62"/>
      <c r="PE58" s="63"/>
      <c r="PF58" s="62"/>
      <c r="PG58" s="63"/>
      <c r="PH58" s="62"/>
      <c r="PI58" s="63"/>
      <c r="PJ58" s="62"/>
      <c r="PK58" s="63"/>
      <c r="PL58" s="62"/>
      <c r="PM58" s="63"/>
      <c r="PN58" s="62"/>
      <c r="PO58" s="63"/>
      <c r="PP58" s="62"/>
      <c r="PQ58" s="63"/>
      <c r="PR58" s="62"/>
      <c r="PS58" s="63"/>
      <c r="PT58" s="62"/>
      <c r="PU58" s="63"/>
      <c r="PV58" s="62"/>
      <c r="PW58" s="63"/>
      <c r="PX58" s="62"/>
      <c r="PY58" s="63"/>
      <c r="PZ58" s="62"/>
      <c r="QA58" s="63"/>
      <c r="QB58" s="62"/>
      <c r="QC58" s="63"/>
      <c r="QD58" s="62"/>
      <c r="QE58" s="63"/>
      <c r="QF58" s="62"/>
      <c r="QG58" s="63"/>
      <c r="QH58" s="62"/>
      <c r="QI58" s="63"/>
      <c r="QJ58" s="62"/>
      <c r="QK58" s="63"/>
      <c r="QL58" s="62"/>
      <c r="QM58" s="63"/>
      <c r="QN58" s="62"/>
      <c r="QO58" s="63"/>
      <c r="QP58" s="62"/>
      <c r="QQ58" s="63"/>
      <c r="QR58" s="62"/>
      <c r="QS58" s="63"/>
      <c r="QT58" s="62"/>
      <c r="QU58" s="63"/>
      <c r="QV58" s="62"/>
      <c r="QW58" s="63"/>
      <c r="QX58" s="62"/>
      <c r="QY58" s="63"/>
      <c r="QZ58" s="62"/>
      <c r="RA58" s="63"/>
      <c r="RB58" s="62"/>
      <c r="RC58" s="63"/>
      <c r="RD58" s="31"/>
    </row>
    <row r="59" spans="1:472" s="5" customFormat="1" ht="15" hidden="1" customHeight="1" x14ac:dyDescent="0.25">
      <c r="A59" s="41">
        <v>2074</v>
      </c>
      <c r="B59" s="41" t="s">
        <v>788</v>
      </c>
      <c r="C59" s="41" t="s">
        <v>237</v>
      </c>
      <c r="D59" s="41" t="s">
        <v>789</v>
      </c>
      <c r="E59" s="42"/>
      <c r="F59" s="41" t="s">
        <v>818</v>
      </c>
      <c r="I59" s="62"/>
      <c r="J59" s="63"/>
      <c r="K59" s="62"/>
      <c r="L59" s="63"/>
      <c r="M59" s="62"/>
      <c r="N59" s="63"/>
      <c r="O59" s="62"/>
      <c r="P59" s="63"/>
      <c r="Q59" s="62"/>
      <c r="R59" s="63"/>
      <c r="S59" s="62"/>
      <c r="T59" s="63"/>
      <c r="X59" s="62"/>
      <c r="Y59" s="63"/>
      <c r="Z59" s="62"/>
      <c r="AA59" s="63"/>
      <c r="AB59" s="62"/>
      <c r="AC59" s="63"/>
      <c r="AD59" s="62"/>
      <c r="AE59" s="63"/>
      <c r="AF59" s="62"/>
      <c r="AG59" s="63"/>
      <c r="AH59" s="62"/>
      <c r="AI59" s="63"/>
      <c r="AJ59" s="62"/>
      <c r="AK59" s="63"/>
      <c r="AL59" s="62"/>
      <c r="AM59" s="63"/>
      <c r="AN59" s="62"/>
      <c r="AO59" s="63"/>
      <c r="AP59" s="62"/>
      <c r="AQ59" s="63"/>
      <c r="AR59" s="62"/>
      <c r="AS59" s="63"/>
      <c r="AT59" s="62"/>
      <c r="AU59" s="63"/>
      <c r="AV59" s="62"/>
      <c r="AW59" s="63"/>
      <c r="AX59" s="62"/>
      <c r="AY59" s="63"/>
      <c r="AZ59" s="62"/>
      <c r="BA59" s="63"/>
      <c r="BB59" s="62"/>
      <c r="BC59" s="63"/>
      <c r="BD59" s="62"/>
      <c r="BE59" s="63"/>
      <c r="BF59" s="62"/>
      <c r="BG59" s="63"/>
      <c r="BH59" s="62"/>
      <c r="BI59" s="63"/>
      <c r="BJ59" s="62"/>
      <c r="BK59" s="63"/>
      <c r="BL59" s="62"/>
      <c r="BM59" s="63"/>
      <c r="BN59" s="62"/>
      <c r="BO59" s="63"/>
      <c r="BP59" s="62"/>
      <c r="BQ59" s="63"/>
      <c r="BR59" s="62"/>
      <c r="BS59" s="63"/>
      <c r="BT59" s="62"/>
      <c r="BU59" s="63"/>
      <c r="BV59" s="62"/>
      <c r="BW59" s="63"/>
      <c r="BX59" s="62"/>
      <c r="BY59" s="63"/>
      <c r="BZ59" s="62"/>
      <c r="CA59" s="63"/>
      <c r="CB59" s="62"/>
      <c r="CC59" s="63"/>
      <c r="CD59" s="62"/>
      <c r="CE59" s="63"/>
      <c r="CF59" s="62"/>
      <c r="CG59" s="63"/>
      <c r="CH59" s="62"/>
      <c r="CI59" s="63"/>
      <c r="CJ59" s="62"/>
      <c r="CK59" s="63"/>
      <c r="CL59" s="62"/>
      <c r="CM59" s="63"/>
      <c r="CN59" s="62"/>
      <c r="CO59" s="63"/>
      <c r="CP59" s="62"/>
      <c r="CQ59" s="63"/>
      <c r="CR59" s="62"/>
      <c r="CS59" s="63"/>
      <c r="CT59" s="62"/>
      <c r="CU59" s="63"/>
      <c r="CV59" s="62"/>
      <c r="CW59" s="63"/>
      <c r="CX59" s="62"/>
      <c r="CY59" s="63"/>
      <c r="CZ59" s="62"/>
      <c r="DA59" s="63"/>
      <c r="DB59" s="62"/>
      <c r="DC59" s="63"/>
      <c r="DD59" s="62"/>
      <c r="DE59" s="63"/>
      <c r="DF59" s="62"/>
      <c r="DG59" s="63"/>
      <c r="DH59" s="62"/>
      <c r="DI59" s="63"/>
      <c r="DJ59" s="62"/>
      <c r="DK59" s="63"/>
      <c r="DL59" s="62"/>
      <c r="DM59" s="63"/>
      <c r="DN59" s="62"/>
      <c r="DO59" s="63"/>
      <c r="DP59" s="62"/>
      <c r="DQ59" s="63"/>
      <c r="DR59" s="62"/>
      <c r="DS59" s="63"/>
      <c r="DT59" s="62"/>
      <c r="DU59" s="63"/>
      <c r="DV59" s="31"/>
      <c r="DW59" s="32"/>
      <c r="DX59" s="62"/>
      <c r="DY59" s="63"/>
      <c r="DZ59" s="62"/>
      <c r="EA59" s="63"/>
      <c r="EB59" s="62"/>
      <c r="EC59" s="63"/>
      <c r="ED59" s="62"/>
      <c r="EE59" s="63"/>
      <c r="EF59" s="31"/>
      <c r="EG59" s="32"/>
      <c r="EH59" s="62"/>
      <c r="EI59" s="63"/>
      <c r="EJ59" s="62"/>
      <c r="EK59" s="63"/>
      <c r="EL59" s="62"/>
      <c r="EM59" s="63"/>
      <c r="EN59" s="62"/>
      <c r="EO59" s="63"/>
      <c r="EP59" s="62"/>
      <c r="EQ59" s="63"/>
      <c r="ER59" s="62" t="s">
        <v>66</v>
      </c>
      <c r="ES59" s="63"/>
      <c r="ET59" s="62" t="s">
        <v>36</v>
      </c>
      <c r="EU59" s="63"/>
      <c r="EV59" s="62" t="s">
        <v>36</v>
      </c>
      <c r="EW59" s="63"/>
      <c r="EX59" s="62" t="s">
        <v>36</v>
      </c>
      <c r="EY59" s="63"/>
      <c r="EZ59" s="62" t="s">
        <v>36</v>
      </c>
      <c r="FA59" s="63"/>
      <c r="FB59" s="62" t="s">
        <v>37</v>
      </c>
      <c r="FC59" s="63"/>
      <c r="FD59" s="62"/>
      <c r="FE59" s="63"/>
      <c r="FF59" s="62"/>
      <c r="FG59" s="63"/>
      <c r="FH59" s="62"/>
      <c r="FI59" s="63"/>
      <c r="FJ59" s="62"/>
      <c r="FK59" s="63"/>
      <c r="FL59" s="62" t="s">
        <v>66</v>
      </c>
      <c r="FM59" s="63"/>
      <c r="FN59" s="62" t="s">
        <v>36</v>
      </c>
      <c r="FO59" s="63"/>
      <c r="FP59" s="62" t="s">
        <v>36</v>
      </c>
      <c r="FQ59" s="63"/>
      <c r="FR59" s="62" t="s">
        <v>37</v>
      </c>
      <c r="FS59" s="63"/>
      <c r="FT59" s="62" t="s">
        <v>37</v>
      </c>
      <c r="FU59" s="63"/>
      <c r="FV59" s="62" t="s">
        <v>37</v>
      </c>
      <c r="FW59" s="63"/>
      <c r="FX59" s="62"/>
      <c r="FY59" s="63"/>
      <c r="FZ59" s="62"/>
      <c r="GA59" s="63"/>
      <c r="GB59" s="62"/>
      <c r="GC59" s="63"/>
      <c r="GD59" s="62"/>
      <c r="GE59" s="63"/>
      <c r="GF59" s="62"/>
      <c r="GG59" s="63"/>
      <c r="GH59" s="62"/>
      <c r="GI59" s="63"/>
      <c r="GJ59" s="62"/>
      <c r="GK59" s="63"/>
      <c r="GL59" s="62"/>
      <c r="GM59" s="63"/>
      <c r="GN59" s="62"/>
      <c r="GO59" s="63"/>
      <c r="GP59" s="62"/>
      <c r="GQ59" s="63"/>
      <c r="GR59" s="62"/>
      <c r="GS59" s="63"/>
      <c r="GT59" s="62"/>
      <c r="GU59" s="63"/>
      <c r="GV59" s="62"/>
      <c r="GW59" s="63"/>
      <c r="GX59" s="62"/>
      <c r="GY59" s="63"/>
      <c r="GZ59" s="62"/>
      <c r="HA59" s="63"/>
      <c r="HB59" s="62"/>
      <c r="HC59" s="63"/>
      <c r="HD59" s="62"/>
      <c r="HE59" s="63"/>
      <c r="HF59" s="62"/>
      <c r="HG59" s="63"/>
      <c r="HH59" s="62"/>
      <c r="HI59" s="63"/>
      <c r="HJ59" s="62"/>
      <c r="HK59" s="63"/>
      <c r="HL59" s="62"/>
      <c r="HM59" s="63"/>
      <c r="HN59" s="62"/>
      <c r="HO59" s="63"/>
      <c r="HP59" s="62"/>
      <c r="HQ59" s="63"/>
      <c r="HR59" s="62"/>
      <c r="HS59" s="63"/>
      <c r="HT59" s="62"/>
      <c r="HU59" s="63"/>
      <c r="HV59" s="62"/>
      <c r="HW59" s="63"/>
      <c r="HX59" s="62"/>
      <c r="HY59" s="63"/>
      <c r="HZ59" s="62"/>
      <c r="IA59" s="63"/>
      <c r="IB59" s="62"/>
      <c r="IC59" s="63"/>
      <c r="ID59" s="62"/>
      <c r="IE59" s="63"/>
      <c r="IF59" s="62"/>
      <c r="IG59" s="63"/>
      <c r="IH59" s="62"/>
      <c r="II59" s="63"/>
      <c r="IJ59" s="62"/>
      <c r="IK59" s="63"/>
      <c r="IL59" s="62"/>
      <c r="IM59" s="63"/>
      <c r="IN59" s="62"/>
      <c r="IO59" s="63"/>
      <c r="IP59" s="62"/>
      <c r="IQ59" s="63"/>
      <c r="IR59" s="62"/>
      <c r="IS59" s="63"/>
      <c r="IT59" s="62"/>
      <c r="IU59" s="63"/>
      <c r="IV59" s="62"/>
      <c r="IW59" s="63"/>
      <c r="IX59" s="62"/>
      <c r="IY59" s="63"/>
      <c r="IZ59" s="62"/>
      <c r="JA59" s="63"/>
      <c r="JB59" s="62"/>
      <c r="JC59" s="63"/>
      <c r="JD59" s="62"/>
      <c r="JE59" s="63"/>
      <c r="JF59" s="62"/>
      <c r="JG59" s="63"/>
      <c r="JH59" s="62"/>
      <c r="JI59" s="63"/>
      <c r="JJ59" s="62"/>
      <c r="JK59" s="63"/>
      <c r="JL59" s="62"/>
      <c r="JM59" s="63"/>
      <c r="JN59" s="62"/>
      <c r="JO59" s="63"/>
      <c r="JP59" s="62"/>
      <c r="JQ59" s="63"/>
      <c r="JR59" s="62"/>
      <c r="JS59" s="63"/>
      <c r="JT59" s="62"/>
      <c r="JU59" s="63"/>
      <c r="JV59" s="62"/>
      <c r="JW59" s="63"/>
      <c r="JX59" s="62"/>
      <c r="JY59" s="63"/>
      <c r="JZ59" s="62"/>
      <c r="KA59" s="63"/>
      <c r="KB59" s="62"/>
      <c r="KC59" s="63"/>
      <c r="KD59" s="62"/>
      <c r="KE59" s="63"/>
      <c r="KF59" s="62"/>
      <c r="KG59" s="63"/>
      <c r="KH59" s="62"/>
      <c r="KI59" s="63"/>
      <c r="KJ59" s="62"/>
      <c r="KK59" s="63"/>
      <c r="KL59" s="62"/>
      <c r="KM59" s="63"/>
      <c r="KN59" s="62"/>
      <c r="KO59" s="63"/>
      <c r="KP59" s="62"/>
      <c r="KQ59" s="63"/>
      <c r="KR59" s="62"/>
      <c r="KS59" s="63"/>
      <c r="KT59" s="62"/>
      <c r="KU59" s="63"/>
      <c r="KV59" s="62"/>
      <c r="KW59" s="63"/>
      <c r="KX59" s="62"/>
      <c r="KY59" s="63"/>
      <c r="KZ59" s="62"/>
      <c r="LA59" s="63"/>
      <c r="LB59" s="62"/>
      <c r="LC59" s="63"/>
      <c r="LD59" s="62"/>
      <c r="LE59" s="63"/>
      <c r="LF59" s="62"/>
      <c r="LG59" s="63"/>
      <c r="LH59" s="62"/>
      <c r="LI59" s="63"/>
      <c r="LJ59" s="62"/>
      <c r="LK59" s="63"/>
      <c r="LL59" s="62"/>
      <c r="LM59" s="63"/>
      <c r="LN59" s="62"/>
      <c r="LO59" s="63"/>
      <c r="LP59" s="62"/>
      <c r="LQ59" s="63"/>
      <c r="LR59" s="62"/>
      <c r="LS59" s="63"/>
      <c r="LT59" s="62"/>
      <c r="LU59" s="63"/>
      <c r="LV59" s="62"/>
      <c r="LW59" s="63"/>
      <c r="LX59" s="62"/>
      <c r="LY59" s="63"/>
      <c r="LZ59" s="62"/>
      <c r="MA59" s="63"/>
      <c r="MB59" s="62"/>
      <c r="MC59" s="63"/>
      <c r="MD59" s="62"/>
      <c r="ME59" s="63"/>
      <c r="MF59" s="62"/>
      <c r="MG59" s="63"/>
      <c r="MH59" s="62"/>
      <c r="MI59" s="63"/>
      <c r="MJ59" s="62"/>
      <c r="MK59" s="63"/>
      <c r="ML59" s="62"/>
      <c r="MM59" s="63"/>
      <c r="MN59" s="62"/>
      <c r="MO59" s="63"/>
      <c r="MP59" s="62"/>
      <c r="MQ59" s="63"/>
      <c r="MR59" s="62"/>
      <c r="MS59" s="63"/>
      <c r="MT59" s="62"/>
      <c r="MU59" s="63"/>
      <c r="MV59" s="62"/>
      <c r="MW59" s="63"/>
      <c r="MX59" s="62"/>
      <c r="MY59" s="63"/>
      <c r="MZ59" s="62"/>
      <c r="NA59" s="63"/>
      <c r="NB59" s="62"/>
      <c r="NC59" s="63"/>
      <c r="ND59" s="62"/>
      <c r="NE59" s="63"/>
      <c r="NF59" s="62"/>
      <c r="NG59" s="63"/>
      <c r="NH59" s="62"/>
      <c r="NI59" s="63"/>
      <c r="NJ59" s="62"/>
      <c r="NK59" s="63"/>
      <c r="NL59" s="62"/>
      <c r="NM59" s="63"/>
      <c r="NN59" s="62"/>
      <c r="NO59" s="63"/>
      <c r="NP59" s="62"/>
      <c r="NQ59" s="63"/>
      <c r="NR59" s="62"/>
      <c r="NS59" s="63"/>
      <c r="NT59" s="62"/>
      <c r="NU59" s="63"/>
      <c r="NV59" s="62"/>
      <c r="NW59" s="63"/>
      <c r="NX59" s="62"/>
      <c r="NY59" s="63"/>
      <c r="NZ59" s="62"/>
      <c r="OA59" s="63"/>
      <c r="OB59" s="62"/>
      <c r="OC59" s="63"/>
      <c r="OD59" s="62"/>
      <c r="OE59" s="63"/>
      <c r="OF59" s="62"/>
      <c r="OG59" s="63"/>
      <c r="OH59" s="62"/>
      <c r="OI59" s="63"/>
      <c r="OJ59" s="62"/>
      <c r="OK59" s="63"/>
      <c r="OL59" s="62"/>
      <c r="OM59" s="63"/>
      <c r="ON59" s="62"/>
      <c r="OO59" s="63"/>
      <c r="OP59" s="62"/>
      <c r="OQ59" s="63"/>
      <c r="OR59" s="62"/>
      <c r="OS59" s="63"/>
      <c r="OT59" s="62"/>
      <c r="OU59" s="63"/>
      <c r="OV59" s="62"/>
      <c r="OW59" s="63"/>
      <c r="OX59" s="62"/>
      <c r="OY59" s="63"/>
      <c r="OZ59" s="62"/>
      <c r="PA59" s="63"/>
      <c r="PB59" s="62"/>
      <c r="PC59" s="63"/>
      <c r="PD59" s="62"/>
      <c r="PE59" s="63"/>
      <c r="PF59" s="62"/>
      <c r="PG59" s="63"/>
      <c r="PH59" s="62"/>
      <c r="PI59" s="63"/>
      <c r="PJ59" s="62"/>
      <c r="PK59" s="63"/>
      <c r="PL59" s="62"/>
      <c r="PM59" s="63"/>
      <c r="PN59" s="62"/>
      <c r="PO59" s="63"/>
      <c r="PP59" s="62"/>
      <c r="PQ59" s="63"/>
      <c r="PR59" s="62"/>
      <c r="PS59" s="63"/>
      <c r="PT59" s="62"/>
      <c r="PU59" s="63"/>
      <c r="PV59" s="62"/>
      <c r="PW59" s="63"/>
      <c r="PX59" s="62"/>
      <c r="PY59" s="63"/>
      <c r="PZ59" s="62"/>
      <c r="QA59" s="63"/>
      <c r="QB59" s="62"/>
      <c r="QC59" s="63"/>
      <c r="QD59" s="62"/>
      <c r="QE59" s="63"/>
      <c r="QF59" s="62"/>
      <c r="QG59" s="63"/>
      <c r="QH59" s="62"/>
      <c r="QI59" s="63"/>
      <c r="QJ59" s="62"/>
      <c r="QK59" s="63"/>
      <c r="QL59" s="62"/>
      <c r="QM59" s="63"/>
      <c r="QN59" s="62"/>
      <c r="QO59" s="63"/>
      <c r="QP59" s="62"/>
      <c r="QQ59" s="63"/>
      <c r="QR59" s="62"/>
      <c r="QS59" s="63"/>
      <c r="QT59" s="62"/>
      <c r="QU59" s="63"/>
      <c r="QV59" s="62"/>
      <c r="QW59" s="63"/>
      <c r="QX59" s="62"/>
      <c r="QY59" s="63"/>
      <c r="QZ59" s="62"/>
      <c r="RA59" s="63"/>
      <c r="RB59" s="62"/>
      <c r="RC59" s="63"/>
      <c r="RD59" s="31"/>
    </row>
    <row r="60" spans="1:472" s="5" customFormat="1" ht="15" hidden="1" customHeight="1" x14ac:dyDescent="0.25">
      <c r="A60" s="41">
        <v>2061</v>
      </c>
      <c r="B60" s="41" t="s">
        <v>364</v>
      </c>
      <c r="C60" s="41" t="s">
        <v>4</v>
      </c>
      <c r="D60" s="41">
        <v>242</v>
      </c>
      <c r="E60" s="42"/>
      <c r="F60" s="41" t="s">
        <v>293</v>
      </c>
      <c r="I60" s="62"/>
      <c r="J60" s="63"/>
      <c r="K60" s="62"/>
      <c r="L60" s="63"/>
      <c r="M60" s="62"/>
      <c r="N60" s="63"/>
      <c r="O60" s="62"/>
      <c r="P60" s="63"/>
      <c r="Q60" s="62"/>
      <c r="R60" s="63"/>
      <c r="S60" s="62"/>
      <c r="T60" s="63"/>
      <c r="X60" s="62"/>
      <c r="Y60" s="63"/>
      <c r="Z60" s="62"/>
      <c r="AA60" s="63"/>
      <c r="AB60" s="62"/>
      <c r="AC60" s="63"/>
      <c r="AD60" s="62"/>
      <c r="AE60" s="63"/>
      <c r="AF60" s="62"/>
      <c r="AG60" s="63"/>
      <c r="AH60" s="62"/>
      <c r="AI60" s="63"/>
      <c r="AJ60" s="62"/>
      <c r="AK60" s="63"/>
      <c r="AL60" s="62"/>
      <c r="AM60" s="63"/>
      <c r="AN60" s="62"/>
      <c r="AO60" s="63"/>
      <c r="AP60" s="62"/>
      <c r="AQ60" s="63"/>
      <c r="AR60" s="62"/>
      <c r="AS60" s="63"/>
      <c r="AT60" s="62"/>
      <c r="AU60" s="63"/>
      <c r="AV60" s="62"/>
      <c r="AW60" s="63"/>
      <c r="AX60" s="62"/>
      <c r="AY60" s="63"/>
      <c r="AZ60" s="62"/>
      <c r="BA60" s="63"/>
      <c r="BB60" s="62"/>
      <c r="BC60" s="63"/>
      <c r="BD60" s="62"/>
      <c r="BE60" s="63"/>
      <c r="BF60" s="62"/>
      <c r="BG60" s="63"/>
      <c r="BH60" s="62"/>
      <c r="BI60" s="63"/>
      <c r="BJ60" s="62"/>
      <c r="BK60" s="63"/>
      <c r="BL60" s="62"/>
      <c r="BM60" s="63"/>
      <c r="BN60" s="62"/>
      <c r="BO60" s="63"/>
      <c r="BP60" s="62"/>
      <c r="BQ60" s="63"/>
      <c r="BR60" s="62"/>
      <c r="BS60" s="63"/>
      <c r="BT60" s="62"/>
      <c r="BU60" s="63"/>
      <c r="BV60" s="62"/>
      <c r="BW60" s="63"/>
      <c r="BX60" s="62"/>
      <c r="BY60" s="63"/>
      <c r="BZ60" s="62"/>
      <c r="CA60" s="63"/>
      <c r="CB60" s="62"/>
      <c r="CC60" s="63"/>
      <c r="CD60" s="62"/>
      <c r="CE60" s="63"/>
      <c r="CF60" s="62"/>
      <c r="CG60" s="63"/>
      <c r="CH60" s="62"/>
      <c r="CI60" s="63"/>
      <c r="CJ60" s="62"/>
      <c r="CK60" s="63"/>
      <c r="CL60" s="62"/>
      <c r="CM60" s="63"/>
      <c r="CN60" s="62"/>
      <c r="CO60" s="63"/>
      <c r="CP60" s="62"/>
      <c r="CQ60" s="63"/>
      <c r="CR60" s="62"/>
      <c r="CS60" s="63"/>
      <c r="CT60" s="62"/>
      <c r="CU60" s="63"/>
      <c r="CV60" s="62"/>
      <c r="CW60" s="63"/>
      <c r="CX60" s="62"/>
      <c r="CY60" s="63"/>
      <c r="CZ60" s="62"/>
      <c r="DA60" s="63"/>
      <c r="DB60" s="62"/>
      <c r="DC60" s="63"/>
      <c r="DD60" s="62"/>
      <c r="DE60" s="63"/>
      <c r="DF60" s="62"/>
      <c r="DG60" s="63"/>
      <c r="DH60" s="62"/>
      <c r="DI60" s="63"/>
      <c r="DJ60" s="62"/>
      <c r="DK60" s="63"/>
      <c r="DL60" s="62"/>
      <c r="DM60" s="63"/>
      <c r="DN60" s="62"/>
      <c r="DO60" s="63"/>
      <c r="DP60" s="62"/>
      <c r="DQ60" s="63"/>
      <c r="DR60" s="62"/>
      <c r="DS60" s="63"/>
      <c r="DT60" s="62"/>
      <c r="DU60" s="63"/>
      <c r="DV60" s="62"/>
      <c r="DW60" s="63"/>
      <c r="DX60" s="62"/>
      <c r="DY60" s="63"/>
      <c r="DZ60" s="62"/>
      <c r="EA60" s="63"/>
      <c r="EB60" s="62" t="s">
        <v>66</v>
      </c>
      <c r="EC60" s="63"/>
      <c r="ED60" s="62" t="s">
        <v>66</v>
      </c>
      <c r="EE60" s="63"/>
      <c r="EF60" s="31" t="s">
        <v>66</v>
      </c>
      <c r="EG60" s="32" t="s">
        <v>38</v>
      </c>
      <c r="EH60" s="62" t="s">
        <v>707</v>
      </c>
      <c r="EI60" s="63"/>
      <c r="EJ60" s="62" t="s">
        <v>38</v>
      </c>
      <c r="EK60" s="63"/>
      <c r="EL60" s="62" t="s">
        <v>38</v>
      </c>
      <c r="EM60" s="63"/>
      <c r="EN60" s="62" t="s">
        <v>36</v>
      </c>
      <c r="EO60" s="63"/>
      <c r="EP60" s="62" t="s">
        <v>36</v>
      </c>
      <c r="EQ60" s="63"/>
      <c r="ER60" s="62" t="s">
        <v>36</v>
      </c>
      <c r="ES60" s="63"/>
      <c r="ET60" s="62" t="s">
        <v>36</v>
      </c>
      <c r="EU60" s="63"/>
      <c r="EV60" s="62" t="s">
        <v>36</v>
      </c>
      <c r="EW60" s="63"/>
      <c r="EX60" s="62" t="s">
        <v>36</v>
      </c>
      <c r="EY60" s="63"/>
      <c r="EZ60" s="62" t="s">
        <v>36</v>
      </c>
      <c r="FA60" s="63"/>
      <c r="FB60" s="62" t="s">
        <v>36</v>
      </c>
      <c r="FC60" s="63"/>
      <c r="FD60" s="62" t="s">
        <v>36</v>
      </c>
      <c r="FE60" s="63"/>
      <c r="FF60" s="62" t="s">
        <v>36</v>
      </c>
      <c r="FG60" s="63"/>
      <c r="FH60" s="62" t="s">
        <v>36</v>
      </c>
      <c r="FI60" s="63"/>
      <c r="FJ60" s="62" t="s">
        <v>36</v>
      </c>
      <c r="FK60" s="63"/>
      <c r="FL60" s="62" t="s">
        <v>37</v>
      </c>
      <c r="FM60" s="63"/>
      <c r="FN60" s="62" t="s">
        <v>37</v>
      </c>
      <c r="FO60" s="63"/>
      <c r="FP60" s="62" t="s">
        <v>37</v>
      </c>
      <c r="FQ60" s="63"/>
      <c r="FR60" s="62" t="s">
        <v>37</v>
      </c>
      <c r="FS60" s="63"/>
      <c r="FT60" s="62" t="s">
        <v>37</v>
      </c>
      <c r="FU60" s="63"/>
      <c r="FV60" s="62" t="s">
        <v>37</v>
      </c>
      <c r="FW60" s="63"/>
      <c r="FX60" s="62" t="s">
        <v>37</v>
      </c>
      <c r="FY60" s="63"/>
      <c r="FZ60" s="62" t="s">
        <v>37</v>
      </c>
      <c r="GA60" s="63"/>
      <c r="GB60" s="62"/>
      <c r="GC60" s="63"/>
      <c r="GD60" s="62"/>
      <c r="GE60" s="63"/>
      <c r="GF60" s="62"/>
      <c r="GG60" s="63"/>
      <c r="GH60" s="62"/>
      <c r="GI60" s="63"/>
      <c r="GJ60" s="62"/>
      <c r="GK60" s="63"/>
      <c r="GL60" s="62"/>
      <c r="GM60" s="63"/>
      <c r="GN60" s="62"/>
      <c r="GO60" s="63"/>
      <c r="GP60" s="62"/>
      <c r="GQ60" s="63"/>
      <c r="GR60" s="62"/>
      <c r="GS60" s="63"/>
      <c r="GT60" s="62"/>
      <c r="GU60" s="63"/>
      <c r="GV60" s="62"/>
      <c r="GW60" s="63"/>
      <c r="GX60" s="62"/>
      <c r="GY60" s="63"/>
      <c r="GZ60" s="62"/>
      <c r="HA60" s="63"/>
      <c r="HB60" s="62"/>
      <c r="HC60" s="63"/>
      <c r="HD60" s="62"/>
      <c r="HE60" s="63"/>
      <c r="HF60" s="62"/>
      <c r="HG60" s="63"/>
      <c r="HH60" s="62"/>
      <c r="HI60" s="63"/>
      <c r="HJ60" s="62"/>
      <c r="HK60" s="63"/>
      <c r="HL60" s="62"/>
      <c r="HM60" s="63"/>
      <c r="HN60" s="62"/>
      <c r="HO60" s="63"/>
      <c r="HP60" s="62"/>
      <c r="HQ60" s="63"/>
      <c r="HR60" s="62"/>
      <c r="HS60" s="63"/>
      <c r="HT60" s="62"/>
      <c r="HU60" s="63"/>
      <c r="HV60" s="62"/>
      <c r="HW60" s="63"/>
      <c r="HX60" s="62"/>
      <c r="HY60" s="63"/>
      <c r="HZ60" s="62"/>
      <c r="IA60" s="63"/>
      <c r="IB60" s="62"/>
      <c r="IC60" s="63"/>
      <c r="ID60" s="62"/>
      <c r="IE60" s="63"/>
      <c r="IF60" s="62"/>
      <c r="IG60" s="63"/>
      <c r="IH60" s="62"/>
      <c r="II60" s="63"/>
      <c r="IJ60" s="62"/>
      <c r="IK60" s="63"/>
      <c r="IL60" s="62"/>
      <c r="IM60" s="63"/>
      <c r="IN60" s="62"/>
      <c r="IO60" s="63"/>
      <c r="IP60" s="62"/>
      <c r="IQ60" s="63"/>
      <c r="IR60" s="62"/>
      <c r="IS60" s="63"/>
      <c r="IT60" s="62"/>
      <c r="IU60" s="63"/>
      <c r="IV60" s="62"/>
      <c r="IW60" s="63"/>
      <c r="IX60" s="62"/>
      <c r="IY60" s="63"/>
      <c r="IZ60" s="62"/>
      <c r="JA60" s="63"/>
      <c r="JB60" s="62"/>
      <c r="JC60" s="63"/>
      <c r="JD60" s="62"/>
      <c r="JE60" s="63"/>
      <c r="JF60" s="62"/>
      <c r="JG60" s="63"/>
      <c r="JH60" s="62"/>
      <c r="JI60" s="63"/>
      <c r="JJ60" s="62"/>
      <c r="JK60" s="63"/>
      <c r="JL60" s="62"/>
      <c r="JM60" s="63"/>
      <c r="JN60" s="62"/>
      <c r="JO60" s="63"/>
      <c r="JP60" s="62"/>
      <c r="JQ60" s="63"/>
      <c r="JR60" s="62"/>
      <c r="JS60" s="63"/>
      <c r="JT60" s="62"/>
      <c r="JU60" s="63"/>
      <c r="JV60" s="62"/>
      <c r="JW60" s="63"/>
      <c r="JX60" s="62"/>
      <c r="JY60" s="63"/>
      <c r="JZ60" s="62"/>
      <c r="KA60" s="63"/>
      <c r="KB60" s="62"/>
      <c r="KC60" s="63"/>
      <c r="KD60" s="62"/>
      <c r="KE60" s="63"/>
      <c r="KF60" s="62"/>
      <c r="KG60" s="63"/>
      <c r="KH60" s="62"/>
      <c r="KI60" s="63"/>
      <c r="KJ60" s="62"/>
      <c r="KK60" s="63"/>
      <c r="KL60" s="62"/>
      <c r="KM60" s="63"/>
      <c r="KN60" s="62"/>
      <c r="KO60" s="63"/>
      <c r="KP60" s="62"/>
      <c r="KQ60" s="63"/>
      <c r="KR60" s="62"/>
      <c r="KS60" s="63"/>
      <c r="KT60" s="62"/>
      <c r="KU60" s="63"/>
      <c r="KV60" s="62"/>
      <c r="KW60" s="63"/>
      <c r="KX60" s="62"/>
      <c r="KY60" s="63"/>
      <c r="KZ60" s="62"/>
      <c r="LA60" s="63"/>
      <c r="LB60" s="62"/>
      <c r="LC60" s="63"/>
      <c r="LD60" s="62"/>
      <c r="LE60" s="63"/>
      <c r="LF60" s="62"/>
      <c r="LG60" s="63"/>
      <c r="LH60" s="62"/>
      <c r="LI60" s="63"/>
      <c r="LJ60" s="62"/>
      <c r="LK60" s="63"/>
      <c r="LL60" s="62"/>
      <c r="LM60" s="63"/>
      <c r="LN60" s="62"/>
      <c r="LO60" s="63"/>
      <c r="LP60" s="62"/>
      <c r="LQ60" s="63"/>
      <c r="LR60" s="62"/>
      <c r="LS60" s="63"/>
      <c r="LT60" s="62"/>
      <c r="LU60" s="63"/>
      <c r="LV60" s="62"/>
      <c r="LW60" s="63"/>
      <c r="LX60" s="62"/>
      <c r="LY60" s="63"/>
      <c r="LZ60" s="62"/>
      <c r="MA60" s="63"/>
      <c r="MB60" s="62"/>
      <c r="MC60" s="63"/>
      <c r="MD60" s="62"/>
      <c r="ME60" s="63"/>
      <c r="MF60" s="62"/>
      <c r="MG60" s="63"/>
      <c r="MH60" s="62"/>
      <c r="MI60" s="63"/>
      <c r="MJ60" s="62"/>
      <c r="MK60" s="63"/>
      <c r="ML60" s="62"/>
      <c r="MM60" s="63"/>
      <c r="MN60" s="62"/>
      <c r="MO60" s="63"/>
      <c r="MP60" s="62"/>
      <c r="MQ60" s="63"/>
      <c r="MR60" s="62"/>
      <c r="MS60" s="63"/>
      <c r="MT60" s="62"/>
      <c r="MU60" s="63"/>
      <c r="MV60" s="62"/>
      <c r="MW60" s="63"/>
      <c r="MX60" s="62"/>
      <c r="MY60" s="63"/>
      <c r="MZ60" s="62"/>
      <c r="NA60" s="63"/>
      <c r="NB60" s="62"/>
      <c r="NC60" s="63"/>
      <c r="ND60" s="62"/>
      <c r="NE60" s="63"/>
      <c r="NF60" s="62"/>
      <c r="NG60" s="63"/>
      <c r="NH60" s="62"/>
      <c r="NI60" s="63"/>
      <c r="NJ60" s="62"/>
      <c r="NK60" s="63"/>
      <c r="NL60" s="62"/>
      <c r="NM60" s="63"/>
      <c r="NN60" s="62"/>
      <c r="NO60" s="63"/>
      <c r="NP60" s="62"/>
      <c r="NQ60" s="63"/>
      <c r="NR60" s="62"/>
      <c r="NS60" s="63"/>
      <c r="NT60" s="62"/>
      <c r="NU60" s="63"/>
      <c r="NV60" s="62"/>
      <c r="NW60" s="63"/>
      <c r="NX60" s="62"/>
      <c r="NY60" s="63"/>
      <c r="NZ60" s="62"/>
      <c r="OA60" s="63"/>
      <c r="OB60" s="62"/>
      <c r="OC60" s="63"/>
      <c r="OD60" s="62"/>
      <c r="OE60" s="63"/>
      <c r="OF60" s="62"/>
      <c r="OG60" s="63"/>
      <c r="OH60" s="62"/>
      <c r="OI60" s="63"/>
      <c r="OJ60" s="62"/>
      <c r="OK60" s="63"/>
      <c r="OL60" s="62"/>
      <c r="OM60" s="63"/>
      <c r="ON60" s="62"/>
      <c r="OO60" s="63"/>
      <c r="OP60" s="62"/>
      <c r="OQ60" s="63"/>
      <c r="OR60" s="62"/>
      <c r="OS60" s="63"/>
      <c r="OT60" s="62"/>
      <c r="OU60" s="63"/>
      <c r="OV60" s="62"/>
      <c r="OW60" s="63"/>
      <c r="OX60" s="62"/>
      <c r="OY60" s="63"/>
      <c r="OZ60" s="62"/>
      <c r="PA60" s="63"/>
      <c r="PB60" s="62"/>
      <c r="PC60" s="63"/>
      <c r="PD60" s="62"/>
      <c r="PE60" s="63"/>
      <c r="PF60" s="62"/>
      <c r="PG60" s="63"/>
      <c r="PH60" s="62"/>
      <c r="PI60" s="63"/>
      <c r="PJ60" s="62"/>
      <c r="PK60" s="63"/>
      <c r="PL60" s="62"/>
      <c r="PM60" s="63"/>
      <c r="PN60" s="62"/>
      <c r="PO60" s="63"/>
      <c r="PP60" s="62"/>
      <c r="PQ60" s="63"/>
      <c r="PR60" s="62"/>
      <c r="PS60" s="63"/>
      <c r="PT60" s="62"/>
      <c r="PU60" s="63"/>
      <c r="PV60" s="62"/>
      <c r="PW60" s="63"/>
      <c r="PX60" s="62"/>
      <c r="PY60" s="63"/>
      <c r="PZ60" s="62"/>
      <c r="QA60" s="63"/>
      <c r="QB60" s="62"/>
      <c r="QC60" s="63"/>
      <c r="QD60" s="62"/>
      <c r="QE60" s="63"/>
      <c r="QF60" s="62"/>
      <c r="QG60" s="63"/>
      <c r="QH60" s="62"/>
      <c r="QI60" s="63"/>
      <c r="QJ60" s="62"/>
      <c r="QK60" s="63"/>
      <c r="QL60" s="62"/>
      <c r="QM60" s="63"/>
      <c r="QN60" s="62"/>
      <c r="QO60" s="63"/>
      <c r="QP60" s="62"/>
      <c r="QQ60" s="63"/>
      <c r="QR60" s="62"/>
      <c r="QS60" s="63"/>
      <c r="QT60" s="62"/>
      <c r="QU60" s="63"/>
      <c r="QV60" s="62"/>
      <c r="QW60" s="63"/>
      <c r="QX60" s="62"/>
      <c r="QY60" s="63"/>
      <c r="QZ60" s="62"/>
      <c r="RA60" s="63"/>
      <c r="RB60" s="62"/>
      <c r="RC60" s="63"/>
      <c r="RD60" s="31"/>
    </row>
    <row r="61" spans="1:472" s="5" customFormat="1" ht="15" hidden="1" customHeight="1" x14ac:dyDescent="0.25">
      <c r="A61" s="41">
        <v>2064</v>
      </c>
      <c r="B61" s="41" t="s">
        <v>598</v>
      </c>
      <c r="C61" s="41" t="s">
        <v>599</v>
      </c>
      <c r="D61" s="41">
        <v>186</v>
      </c>
      <c r="E61" s="42"/>
      <c r="F61" s="41" t="s">
        <v>289</v>
      </c>
      <c r="I61" s="62"/>
      <c r="J61" s="63"/>
      <c r="K61" s="62"/>
      <c r="L61" s="63"/>
      <c r="M61" s="62"/>
      <c r="N61" s="63"/>
      <c r="O61" s="62"/>
      <c r="P61" s="63"/>
      <c r="Q61" s="62"/>
      <c r="R61" s="63"/>
      <c r="S61" s="62"/>
      <c r="T61" s="63"/>
      <c r="X61" s="62"/>
      <c r="Y61" s="63"/>
      <c r="Z61" s="62"/>
      <c r="AA61" s="63"/>
      <c r="AB61" s="62"/>
      <c r="AC61" s="63"/>
      <c r="AD61" s="62"/>
      <c r="AE61" s="63"/>
      <c r="AF61" s="62"/>
      <c r="AG61" s="63"/>
      <c r="AH61" s="62"/>
      <c r="AI61" s="63"/>
      <c r="AJ61" s="62"/>
      <c r="AK61" s="63"/>
      <c r="AL61" s="62"/>
      <c r="AM61" s="63"/>
      <c r="AN61" s="62"/>
      <c r="AO61" s="63"/>
      <c r="AP61" s="62"/>
      <c r="AQ61" s="63"/>
      <c r="AR61" s="62"/>
      <c r="AS61" s="63"/>
      <c r="AT61" s="62"/>
      <c r="AU61" s="63"/>
      <c r="AV61" s="62"/>
      <c r="AW61" s="63"/>
      <c r="AX61" s="62"/>
      <c r="AY61" s="63"/>
      <c r="AZ61" s="62"/>
      <c r="BA61" s="63"/>
      <c r="BB61" s="62"/>
      <c r="BC61" s="63"/>
      <c r="BD61" s="62"/>
      <c r="BE61" s="63"/>
      <c r="BF61" s="62"/>
      <c r="BG61" s="63"/>
      <c r="BH61" s="62"/>
      <c r="BI61" s="63"/>
      <c r="BJ61" s="62"/>
      <c r="BK61" s="63"/>
      <c r="BL61" s="62"/>
      <c r="BM61" s="63"/>
      <c r="BN61" s="62"/>
      <c r="BO61" s="63"/>
      <c r="BP61" s="62"/>
      <c r="BQ61" s="63"/>
      <c r="BR61" s="62"/>
      <c r="BS61" s="63"/>
      <c r="BT61" s="62"/>
      <c r="BU61" s="63"/>
      <c r="BV61" s="62"/>
      <c r="BW61" s="63"/>
      <c r="BX61" s="62"/>
      <c r="BY61" s="63"/>
      <c r="BZ61" s="62"/>
      <c r="CA61" s="63"/>
      <c r="CB61" s="62"/>
      <c r="CC61" s="63"/>
      <c r="CD61" s="62"/>
      <c r="CE61" s="63"/>
      <c r="CF61" s="62"/>
      <c r="CG61" s="63"/>
      <c r="CH61" s="62"/>
      <c r="CI61" s="63"/>
      <c r="CJ61" s="62"/>
      <c r="CK61" s="63"/>
      <c r="CL61" s="62"/>
      <c r="CM61" s="63"/>
      <c r="CN61" s="62"/>
      <c r="CO61" s="63"/>
      <c r="CP61" s="62"/>
      <c r="CQ61" s="63"/>
      <c r="CR61" s="62"/>
      <c r="CS61" s="63"/>
      <c r="CT61" s="62"/>
      <c r="CU61" s="63"/>
      <c r="CV61" s="62"/>
      <c r="CW61" s="63"/>
      <c r="CX61" s="62"/>
      <c r="CY61" s="63"/>
      <c r="CZ61" s="62"/>
      <c r="DA61" s="63"/>
      <c r="DB61" s="62"/>
      <c r="DC61" s="63"/>
      <c r="DD61" s="62"/>
      <c r="DE61" s="63"/>
      <c r="DF61" s="62"/>
      <c r="DG61" s="63"/>
      <c r="DH61" s="62"/>
      <c r="DI61" s="63"/>
      <c r="DJ61" s="62"/>
      <c r="DK61" s="63"/>
      <c r="DL61" s="62"/>
      <c r="DM61" s="63"/>
      <c r="DN61" s="62"/>
      <c r="DO61" s="63"/>
      <c r="DP61" s="62"/>
      <c r="DQ61" s="63"/>
      <c r="DR61" s="62"/>
      <c r="DS61" s="63"/>
      <c r="DT61" s="62"/>
      <c r="DU61" s="63"/>
      <c r="DV61" s="62"/>
      <c r="DW61" s="63"/>
      <c r="DX61" s="62"/>
      <c r="DY61" s="63"/>
      <c r="DZ61" s="62"/>
      <c r="EA61" s="63"/>
      <c r="EB61" s="62" t="s">
        <v>66</v>
      </c>
      <c r="EC61" s="63"/>
      <c r="ED61" s="62" t="s">
        <v>66</v>
      </c>
      <c r="EE61" s="63"/>
      <c r="EF61" s="62" t="s">
        <v>38</v>
      </c>
      <c r="EG61" s="63"/>
      <c r="EH61" s="62" t="s">
        <v>707</v>
      </c>
      <c r="EI61" s="63"/>
      <c r="EJ61" s="62" t="s">
        <v>38</v>
      </c>
      <c r="EK61" s="63"/>
      <c r="EL61" s="62" t="s">
        <v>36</v>
      </c>
      <c r="EM61" s="63"/>
      <c r="EN61" s="62" t="s">
        <v>36</v>
      </c>
      <c r="EO61" s="63"/>
      <c r="EP61" s="62" t="s">
        <v>36</v>
      </c>
      <c r="EQ61" s="63"/>
      <c r="ER61" s="62" t="s">
        <v>36</v>
      </c>
      <c r="ES61" s="63"/>
      <c r="ET61" s="62" t="s">
        <v>36</v>
      </c>
      <c r="EU61" s="63"/>
      <c r="EV61" s="62" t="s">
        <v>36</v>
      </c>
      <c r="EW61" s="63"/>
      <c r="EX61" s="62" t="s">
        <v>36</v>
      </c>
      <c r="EY61" s="63"/>
      <c r="EZ61" s="62" t="s">
        <v>36</v>
      </c>
      <c r="FA61" s="63"/>
      <c r="FB61" s="62" t="s">
        <v>36</v>
      </c>
      <c r="FC61" s="63"/>
      <c r="FD61" s="62" t="s">
        <v>36</v>
      </c>
      <c r="FE61" s="63"/>
      <c r="FF61" s="62" t="s">
        <v>36</v>
      </c>
      <c r="FG61" s="63"/>
      <c r="FH61" s="62" t="s">
        <v>36</v>
      </c>
      <c r="FI61" s="63"/>
      <c r="FJ61" s="62" t="s">
        <v>36</v>
      </c>
      <c r="FK61" s="63"/>
      <c r="FL61" s="62" t="s">
        <v>37</v>
      </c>
      <c r="FM61" s="63"/>
      <c r="FN61" s="62" t="s">
        <v>37</v>
      </c>
      <c r="FO61" s="63"/>
      <c r="FP61" s="62" t="s">
        <v>37</v>
      </c>
      <c r="FQ61" s="63"/>
      <c r="FR61" s="62" t="s">
        <v>37</v>
      </c>
      <c r="FS61" s="63"/>
      <c r="FT61" s="62" t="s">
        <v>37</v>
      </c>
      <c r="FU61" s="63"/>
      <c r="FV61" s="62" t="s">
        <v>37</v>
      </c>
      <c r="FW61" s="63"/>
      <c r="FX61" s="62" t="s">
        <v>37</v>
      </c>
      <c r="FY61" s="63"/>
      <c r="FZ61" s="62" t="s">
        <v>37</v>
      </c>
      <c r="GA61" s="63"/>
      <c r="GB61" s="62" t="s">
        <v>37</v>
      </c>
      <c r="GC61" s="63"/>
      <c r="GD61" s="62"/>
      <c r="GE61" s="63"/>
      <c r="GF61" s="62"/>
      <c r="GG61" s="63"/>
      <c r="GH61" s="62"/>
      <c r="GI61" s="63"/>
      <c r="GJ61" s="62"/>
      <c r="GK61" s="63"/>
      <c r="GL61" s="62"/>
      <c r="GM61" s="63"/>
      <c r="GN61" s="62"/>
      <c r="GO61" s="63"/>
      <c r="GP61" s="62"/>
      <c r="GQ61" s="63"/>
      <c r="GR61" s="62"/>
      <c r="GS61" s="63"/>
      <c r="GT61" s="62"/>
      <c r="GU61" s="63"/>
      <c r="GV61" s="62"/>
      <c r="GW61" s="63"/>
      <c r="GX61" s="62"/>
      <c r="GY61" s="63"/>
      <c r="GZ61" s="62"/>
      <c r="HA61" s="63"/>
      <c r="HB61" s="62"/>
      <c r="HC61" s="63"/>
      <c r="HD61" s="62"/>
      <c r="HE61" s="63"/>
      <c r="HF61" s="62"/>
      <c r="HG61" s="63"/>
      <c r="HH61" s="62"/>
      <c r="HI61" s="63"/>
      <c r="HJ61" s="62"/>
      <c r="HK61" s="63"/>
      <c r="HL61" s="62"/>
      <c r="HM61" s="63"/>
      <c r="HN61" s="62"/>
      <c r="HO61" s="63"/>
      <c r="HP61" s="62"/>
      <c r="HQ61" s="63"/>
      <c r="HR61" s="62"/>
      <c r="HS61" s="63"/>
      <c r="HT61" s="62"/>
      <c r="HU61" s="63"/>
      <c r="HV61" s="62"/>
      <c r="HW61" s="63"/>
      <c r="HX61" s="62"/>
      <c r="HY61" s="63"/>
      <c r="HZ61" s="62"/>
      <c r="IA61" s="63"/>
      <c r="IB61" s="62"/>
      <c r="IC61" s="63"/>
      <c r="ID61" s="62"/>
      <c r="IE61" s="63"/>
      <c r="IF61" s="62"/>
      <c r="IG61" s="63"/>
      <c r="IH61" s="62"/>
      <c r="II61" s="63"/>
      <c r="IJ61" s="62"/>
      <c r="IK61" s="63"/>
      <c r="IL61" s="62"/>
      <c r="IM61" s="63"/>
      <c r="IN61" s="62"/>
      <c r="IO61" s="63"/>
      <c r="IP61" s="62"/>
      <c r="IQ61" s="63"/>
      <c r="IR61" s="62"/>
      <c r="IS61" s="63"/>
      <c r="IT61" s="62"/>
      <c r="IU61" s="63"/>
      <c r="IV61" s="62"/>
      <c r="IW61" s="63"/>
      <c r="IX61" s="62"/>
      <c r="IY61" s="63"/>
      <c r="IZ61" s="62"/>
      <c r="JA61" s="63"/>
      <c r="JB61" s="62"/>
      <c r="JC61" s="63"/>
      <c r="JD61" s="62"/>
      <c r="JE61" s="63"/>
      <c r="JF61" s="62"/>
      <c r="JG61" s="63"/>
      <c r="JH61" s="62"/>
      <c r="JI61" s="63"/>
      <c r="JJ61" s="62"/>
      <c r="JK61" s="63"/>
      <c r="JL61" s="62"/>
      <c r="JM61" s="63"/>
      <c r="JN61" s="62"/>
      <c r="JO61" s="63"/>
      <c r="JP61" s="62"/>
      <c r="JQ61" s="63"/>
      <c r="JR61" s="62"/>
      <c r="JS61" s="63"/>
      <c r="JT61" s="62"/>
      <c r="JU61" s="63"/>
      <c r="JV61" s="62"/>
      <c r="JW61" s="63"/>
      <c r="JX61" s="62"/>
      <c r="JY61" s="63"/>
      <c r="JZ61" s="62"/>
      <c r="KA61" s="63"/>
      <c r="KB61" s="62"/>
      <c r="KC61" s="63"/>
      <c r="KD61" s="62"/>
      <c r="KE61" s="63"/>
      <c r="KF61" s="62"/>
      <c r="KG61" s="63"/>
      <c r="KH61" s="62"/>
      <c r="KI61" s="63"/>
      <c r="KJ61" s="62"/>
      <c r="KK61" s="63"/>
      <c r="KL61" s="62"/>
      <c r="KM61" s="63"/>
      <c r="KN61" s="62"/>
      <c r="KO61" s="63"/>
      <c r="KP61" s="62"/>
      <c r="KQ61" s="63"/>
      <c r="KR61" s="62"/>
      <c r="KS61" s="63"/>
      <c r="KT61" s="62"/>
      <c r="KU61" s="63"/>
      <c r="KV61" s="62"/>
      <c r="KW61" s="63"/>
      <c r="KX61" s="62"/>
      <c r="KY61" s="63"/>
      <c r="KZ61" s="62"/>
      <c r="LA61" s="63"/>
      <c r="LB61" s="62"/>
      <c r="LC61" s="63"/>
      <c r="LD61" s="62"/>
      <c r="LE61" s="63"/>
      <c r="LF61" s="62"/>
      <c r="LG61" s="63"/>
      <c r="LH61" s="62"/>
      <c r="LI61" s="63"/>
      <c r="LJ61" s="62"/>
      <c r="LK61" s="63"/>
      <c r="LL61" s="62"/>
      <c r="LM61" s="63"/>
      <c r="LN61" s="62"/>
      <c r="LO61" s="63"/>
      <c r="LP61" s="62"/>
      <c r="LQ61" s="63"/>
      <c r="LR61" s="62"/>
      <c r="LS61" s="63"/>
      <c r="LT61" s="62"/>
      <c r="LU61" s="63"/>
      <c r="LV61" s="62"/>
      <c r="LW61" s="63"/>
      <c r="LX61" s="62"/>
      <c r="LY61" s="63"/>
      <c r="LZ61" s="62"/>
      <c r="MA61" s="63"/>
      <c r="MB61" s="62"/>
      <c r="MC61" s="63"/>
      <c r="MD61" s="62"/>
      <c r="ME61" s="63"/>
      <c r="MF61" s="62"/>
      <c r="MG61" s="63"/>
      <c r="MH61" s="62"/>
      <c r="MI61" s="63"/>
      <c r="MJ61" s="62"/>
      <c r="MK61" s="63"/>
      <c r="ML61" s="62"/>
      <c r="MM61" s="63"/>
      <c r="MN61" s="62"/>
      <c r="MO61" s="63"/>
      <c r="MP61" s="62"/>
      <c r="MQ61" s="63"/>
      <c r="MR61" s="62"/>
      <c r="MS61" s="63"/>
      <c r="MT61" s="62"/>
      <c r="MU61" s="63"/>
      <c r="MV61" s="62"/>
      <c r="MW61" s="63"/>
      <c r="MX61" s="62"/>
      <c r="MY61" s="63"/>
      <c r="MZ61" s="62"/>
      <c r="NA61" s="63"/>
      <c r="NB61" s="62"/>
      <c r="NC61" s="63"/>
      <c r="ND61" s="62"/>
      <c r="NE61" s="63"/>
      <c r="NF61" s="62"/>
      <c r="NG61" s="63"/>
      <c r="NH61" s="62"/>
      <c r="NI61" s="63"/>
      <c r="NJ61" s="62"/>
      <c r="NK61" s="63"/>
      <c r="NL61" s="62"/>
      <c r="NM61" s="63"/>
      <c r="NN61" s="62"/>
      <c r="NO61" s="63"/>
      <c r="NP61" s="62"/>
      <c r="NQ61" s="63"/>
      <c r="NR61" s="62"/>
      <c r="NS61" s="63"/>
      <c r="NT61" s="62"/>
      <c r="NU61" s="63"/>
      <c r="NV61" s="62"/>
      <c r="NW61" s="63"/>
      <c r="NX61" s="62"/>
      <c r="NY61" s="63"/>
      <c r="NZ61" s="62"/>
      <c r="OA61" s="63"/>
      <c r="OB61" s="62"/>
      <c r="OC61" s="63"/>
      <c r="OD61" s="62"/>
      <c r="OE61" s="63"/>
      <c r="OF61" s="62"/>
      <c r="OG61" s="63"/>
      <c r="OH61" s="62"/>
      <c r="OI61" s="63"/>
      <c r="OJ61" s="62"/>
      <c r="OK61" s="63"/>
      <c r="OL61" s="62"/>
      <c r="OM61" s="63"/>
      <c r="ON61" s="62"/>
      <c r="OO61" s="63"/>
      <c r="OP61" s="62"/>
      <c r="OQ61" s="63"/>
      <c r="OR61" s="62"/>
      <c r="OS61" s="63"/>
      <c r="OT61" s="62"/>
      <c r="OU61" s="63"/>
      <c r="OV61" s="62"/>
      <c r="OW61" s="63"/>
      <c r="OX61" s="62"/>
      <c r="OY61" s="63"/>
      <c r="OZ61" s="62"/>
      <c r="PA61" s="63"/>
      <c r="PB61" s="62"/>
      <c r="PC61" s="63"/>
      <c r="PD61" s="62"/>
      <c r="PE61" s="63"/>
      <c r="PF61" s="62"/>
      <c r="PG61" s="63"/>
      <c r="PH61" s="62"/>
      <c r="PI61" s="63"/>
      <c r="PJ61" s="62"/>
      <c r="PK61" s="63"/>
      <c r="PL61" s="62"/>
      <c r="PM61" s="63"/>
      <c r="PN61" s="62"/>
      <c r="PO61" s="63"/>
      <c r="PP61" s="62"/>
      <c r="PQ61" s="63"/>
      <c r="PR61" s="62"/>
      <c r="PS61" s="63"/>
      <c r="PT61" s="62"/>
      <c r="PU61" s="63"/>
      <c r="PV61" s="62"/>
      <c r="PW61" s="63"/>
      <c r="PX61" s="62"/>
      <c r="PY61" s="63"/>
      <c r="PZ61" s="62"/>
      <c r="QA61" s="63"/>
      <c r="QB61" s="62"/>
      <c r="QC61" s="63"/>
      <c r="QD61" s="62"/>
      <c r="QE61" s="63"/>
      <c r="QF61" s="62"/>
      <c r="QG61" s="63"/>
      <c r="QH61" s="62"/>
      <c r="QI61" s="63"/>
      <c r="QJ61" s="62"/>
      <c r="QK61" s="63"/>
      <c r="QL61" s="62"/>
      <c r="QM61" s="63"/>
      <c r="QN61" s="62"/>
      <c r="QO61" s="63"/>
      <c r="QP61" s="62"/>
      <c r="QQ61" s="63"/>
      <c r="QR61" s="62"/>
      <c r="QS61" s="63"/>
      <c r="QT61" s="62"/>
      <c r="QU61" s="63"/>
      <c r="QV61" s="62"/>
      <c r="QW61" s="63"/>
      <c r="QX61" s="62"/>
      <c r="QY61" s="63"/>
      <c r="QZ61" s="62"/>
      <c r="RA61" s="63"/>
      <c r="RB61" s="62"/>
      <c r="RC61" s="63"/>
      <c r="RD61" s="31"/>
    </row>
    <row r="62" spans="1:472" s="5" customFormat="1" ht="15" hidden="1" customHeight="1" x14ac:dyDescent="0.25">
      <c r="A62" s="41">
        <v>2066</v>
      </c>
      <c r="B62" s="41" t="s">
        <v>590</v>
      </c>
      <c r="C62" s="41" t="s">
        <v>230</v>
      </c>
      <c r="D62" s="41">
        <v>102</v>
      </c>
      <c r="E62" s="42"/>
      <c r="F62" s="41" t="s">
        <v>817</v>
      </c>
      <c r="I62" s="62"/>
      <c r="J62" s="63"/>
      <c r="K62" s="62"/>
      <c r="L62" s="63"/>
      <c r="M62" s="62"/>
      <c r="N62" s="63"/>
      <c r="O62" s="62"/>
      <c r="P62" s="63"/>
      <c r="Q62" s="62"/>
      <c r="R62" s="63"/>
      <c r="S62" s="62"/>
      <c r="T62" s="63"/>
      <c r="X62" s="62"/>
      <c r="Y62" s="63"/>
      <c r="Z62" s="62"/>
      <c r="AA62" s="63"/>
      <c r="AB62" s="62"/>
      <c r="AC62" s="63"/>
      <c r="AD62" s="62"/>
      <c r="AE62" s="63"/>
      <c r="AF62" s="62"/>
      <c r="AG62" s="63"/>
      <c r="AH62" s="62"/>
      <c r="AI62" s="63"/>
      <c r="AJ62" s="62"/>
      <c r="AK62" s="63"/>
      <c r="AL62" s="62"/>
      <c r="AM62" s="63"/>
      <c r="AN62" s="62"/>
      <c r="AO62" s="63"/>
      <c r="AP62" s="62"/>
      <c r="AQ62" s="63"/>
      <c r="AR62" s="62"/>
      <c r="AS62" s="63"/>
      <c r="AT62" s="62"/>
      <c r="AU62" s="63"/>
      <c r="AV62" s="62"/>
      <c r="AW62" s="63"/>
      <c r="AX62" s="62"/>
      <c r="AY62" s="63"/>
      <c r="AZ62" s="62"/>
      <c r="BA62" s="63"/>
      <c r="BB62" s="62"/>
      <c r="BC62" s="63"/>
      <c r="BD62" s="62"/>
      <c r="BE62" s="63"/>
      <c r="BF62" s="62"/>
      <c r="BG62" s="63"/>
      <c r="BH62" s="62"/>
      <c r="BI62" s="63"/>
      <c r="BJ62" s="62"/>
      <c r="BK62" s="63"/>
      <c r="BL62" s="62"/>
      <c r="BM62" s="63"/>
      <c r="BN62" s="62"/>
      <c r="BO62" s="63"/>
      <c r="BP62" s="62"/>
      <c r="BQ62" s="63"/>
      <c r="BR62" s="62"/>
      <c r="BS62" s="63"/>
      <c r="BT62" s="62"/>
      <c r="BU62" s="63"/>
      <c r="BV62" s="62"/>
      <c r="BW62" s="63"/>
      <c r="BX62" s="62"/>
      <c r="BY62" s="63"/>
      <c r="BZ62" s="62"/>
      <c r="CA62" s="63"/>
      <c r="CB62" s="62"/>
      <c r="CC62" s="63"/>
      <c r="CD62" s="62"/>
      <c r="CE62" s="63"/>
      <c r="CF62" s="62"/>
      <c r="CG62" s="63"/>
      <c r="CH62" s="62"/>
      <c r="CI62" s="63"/>
      <c r="CJ62" s="62"/>
      <c r="CK62" s="63"/>
      <c r="CL62" s="62"/>
      <c r="CM62" s="63"/>
      <c r="CN62" s="62"/>
      <c r="CO62" s="63"/>
      <c r="CP62" s="62"/>
      <c r="CQ62" s="63"/>
      <c r="CR62" s="62"/>
      <c r="CS62" s="63"/>
      <c r="CT62" s="62"/>
      <c r="CU62" s="63"/>
      <c r="CV62" s="62"/>
      <c r="CW62" s="63"/>
      <c r="CX62" s="62"/>
      <c r="CY62" s="63"/>
      <c r="CZ62" s="62"/>
      <c r="DA62" s="63"/>
      <c r="DB62" s="62"/>
      <c r="DC62" s="63"/>
      <c r="DD62" s="62"/>
      <c r="DE62" s="63"/>
      <c r="DF62" s="62"/>
      <c r="DG62" s="63"/>
      <c r="DH62" s="62"/>
      <c r="DI62" s="63"/>
      <c r="DJ62" s="62"/>
      <c r="DK62" s="63"/>
      <c r="DL62" s="62"/>
      <c r="DM62" s="63"/>
      <c r="DN62" s="62"/>
      <c r="DO62" s="63"/>
      <c r="DP62" s="62"/>
      <c r="DQ62" s="63"/>
      <c r="DR62" s="62"/>
      <c r="DS62" s="63"/>
      <c r="DT62" s="62"/>
      <c r="DU62" s="63"/>
      <c r="DV62" s="62"/>
      <c r="DW62" s="63"/>
      <c r="DX62" s="62"/>
      <c r="DY62" s="63"/>
      <c r="DZ62" s="62"/>
      <c r="EA62" s="63"/>
      <c r="EB62" s="62"/>
      <c r="EC62" s="63"/>
      <c r="ED62" s="62"/>
      <c r="EE62" s="63"/>
      <c r="EF62" s="62"/>
      <c r="EG62" s="63"/>
      <c r="EH62" s="62"/>
      <c r="EI62" s="63"/>
      <c r="EJ62" s="62"/>
      <c r="EK62" s="63"/>
      <c r="EL62" s="62"/>
      <c r="EM62" s="63"/>
      <c r="EN62" s="62"/>
      <c r="EO62" s="63"/>
      <c r="EP62" s="62"/>
      <c r="EQ62" s="63"/>
      <c r="ER62" s="62"/>
      <c r="ES62" s="63"/>
      <c r="ET62" s="62"/>
      <c r="EU62" s="63"/>
      <c r="EV62" s="62"/>
      <c r="EW62" s="63"/>
      <c r="EX62" s="62"/>
      <c r="EY62" s="63"/>
      <c r="EZ62" s="18"/>
      <c r="FA62" s="19" t="s">
        <v>66</v>
      </c>
      <c r="FB62" s="62" t="s">
        <v>66</v>
      </c>
      <c r="FC62" s="63"/>
      <c r="FD62" s="62" t="s">
        <v>66</v>
      </c>
      <c r="FE62" s="63"/>
      <c r="FF62" s="62" t="s">
        <v>38</v>
      </c>
      <c r="FG62" s="63"/>
      <c r="FH62" s="62" t="s">
        <v>36</v>
      </c>
      <c r="FI62" s="63"/>
      <c r="FJ62" s="62" t="s">
        <v>36</v>
      </c>
      <c r="FK62" s="63"/>
      <c r="FL62" s="62" t="s">
        <v>36</v>
      </c>
      <c r="FM62" s="63"/>
      <c r="FN62" s="62" t="s">
        <v>36</v>
      </c>
      <c r="FO62" s="63"/>
      <c r="FP62" s="62" t="s">
        <v>36</v>
      </c>
      <c r="FQ62" s="63"/>
      <c r="FR62" s="62" t="s">
        <v>37</v>
      </c>
      <c r="FS62" s="63"/>
      <c r="FT62" s="62" t="s">
        <v>37</v>
      </c>
      <c r="FU62" s="63"/>
      <c r="FV62" s="62" t="s">
        <v>37</v>
      </c>
      <c r="FW62" s="63"/>
      <c r="FX62" s="62" t="s">
        <v>37</v>
      </c>
      <c r="FY62" s="63"/>
      <c r="FZ62" s="62" t="s">
        <v>37</v>
      </c>
      <c r="GA62" s="63"/>
      <c r="GB62" s="62" t="s">
        <v>37</v>
      </c>
      <c r="GC62" s="63"/>
      <c r="GD62" s="62"/>
      <c r="GE62" s="63"/>
      <c r="GF62" s="62"/>
      <c r="GG62" s="63"/>
      <c r="GH62" s="62"/>
      <c r="GI62" s="63"/>
      <c r="GJ62" s="62"/>
      <c r="GK62" s="63"/>
      <c r="GL62" s="62"/>
      <c r="GM62" s="63"/>
      <c r="GN62" s="62"/>
      <c r="GO62" s="63"/>
      <c r="GP62" s="62"/>
      <c r="GQ62" s="63"/>
      <c r="GR62" s="62"/>
      <c r="GS62" s="63"/>
      <c r="GT62" s="62"/>
      <c r="GU62" s="63"/>
      <c r="GV62" s="62"/>
      <c r="GW62" s="63"/>
      <c r="GX62" s="62"/>
      <c r="GY62" s="63"/>
      <c r="GZ62" s="62"/>
      <c r="HA62" s="63"/>
      <c r="HB62" s="62"/>
      <c r="HC62" s="63"/>
      <c r="HD62" s="62"/>
      <c r="HE62" s="63"/>
      <c r="HF62" s="62"/>
      <c r="HG62" s="63"/>
      <c r="HH62" s="62"/>
      <c r="HI62" s="63"/>
      <c r="HJ62" s="62"/>
      <c r="HK62" s="63"/>
      <c r="HL62" s="62"/>
      <c r="HM62" s="63"/>
      <c r="HN62" s="62"/>
      <c r="HO62" s="63"/>
      <c r="HP62" s="62"/>
      <c r="HQ62" s="63"/>
      <c r="HR62" s="62"/>
      <c r="HS62" s="63"/>
      <c r="HT62" s="62"/>
      <c r="HU62" s="63"/>
      <c r="HV62" s="62"/>
      <c r="HW62" s="63"/>
      <c r="HX62" s="62"/>
      <c r="HY62" s="63"/>
      <c r="HZ62" s="62"/>
      <c r="IA62" s="63"/>
      <c r="IB62" s="62"/>
      <c r="IC62" s="63"/>
      <c r="ID62" s="62"/>
      <c r="IE62" s="63"/>
      <c r="IF62" s="62"/>
      <c r="IG62" s="63"/>
      <c r="IH62" s="62"/>
      <c r="II62" s="63"/>
      <c r="IJ62" s="62"/>
      <c r="IK62" s="63"/>
      <c r="IL62" s="62"/>
      <c r="IM62" s="63"/>
      <c r="IN62" s="62"/>
      <c r="IO62" s="63"/>
      <c r="IP62" s="62"/>
      <c r="IQ62" s="63"/>
      <c r="IR62" s="62"/>
      <c r="IS62" s="63"/>
      <c r="IT62" s="62"/>
      <c r="IU62" s="63"/>
      <c r="IV62" s="62"/>
      <c r="IW62" s="63"/>
      <c r="IX62" s="62"/>
      <c r="IY62" s="63"/>
      <c r="IZ62" s="62"/>
      <c r="JA62" s="63"/>
      <c r="JB62" s="62"/>
      <c r="JC62" s="63"/>
      <c r="JD62" s="62"/>
      <c r="JE62" s="63"/>
      <c r="JF62" s="62"/>
      <c r="JG62" s="63"/>
      <c r="JH62" s="62"/>
      <c r="JI62" s="63"/>
      <c r="JJ62" s="62"/>
      <c r="JK62" s="63"/>
      <c r="JL62" s="62"/>
      <c r="JM62" s="63"/>
      <c r="JN62" s="62"/>
      <c r="JO62" s="63"/>
      <c r="JP62" s="62"/>
      <c r="JQ62" s="63"/>
      <c r="JR62" s="62"/>
      <c r="JS62" s="63"/>
      <c r="JT62" s="62"/>
      <c r="JU62" s="63"/>
      <c r="JV62" s="62"/>
      <c r="JW62" s="63"/>
      <c r="JX62" s="62"/>
      <c r="JY62" s="63"/>
      <c r="JZ62" s="62"/>
      <c r="KA62" s="63"/>
      <c r="KB62" s="62"/>
      <c r="KC62" s="63"/>
      <c r="KD62" s="62"/>
      <c r="KE62" s="63"/>
      <c r="KF62" s="62"/>
      <c r="KG62" s="63"/>
      <c r="KH62" s="62"/>
      <c r="KI62" s="63"/>
      <c r="KJ62" s="62"/>
      <c r="KK62" s="63"/>
      <c r="KL62" s="62"/>
      <c r="KM62" s="63"/>
      <c r="KN62" s="62"/>
      <c r="KO62" s="63"/>
      <c r="KP62" s="62"/>
      <c r="KQ62" s="63"/>
      <c r="KR62" s="62"/>
      <c r="KS62" s="63"/>
      <c r="KT62" s="62"/>
      <c r="KU62" s="63"/>
      <c r="KV62" s="62"/>
      <c r="KW62" s="63"/>
      <c r="KX62" s="62"/>
      <c r="KY62" s="63"/>
      <c r="KZ62" s="62"/>
      <c r="LA62" s="63"/>
      <c r="LB62" s="62"/>
      <c r="LC62" s="63"/>
      <c r="LD62" s="62"/>
      <c r="LE62" s="63"/>
      <c r="LF62" s="62"/>
      <c r="LG62" s="63"/>
      <c r="LH62" s="62"/>
      <c r="LI62" s="63"/>
      <c r="LJ62" s="62"/>
      <c r="LK62" s="63"/>
      <c r="LL62" s="62"/>
      <c r="LM62" s="63"/>
      <c r="LN62" s="62"/>
      <c r="LO62" s="63"/>
      <c r="LP62" s="62"/>
      <c r="LQ62" s="63"/>
      <c r="LR62" s="62"/>
      <c r="LS62" s="63"/>
      <c r="LT62" s="62"/>
      <c r="LU62" s="63"/>
      <c r="LV62" s="62"/>
      <c r="LW62" s="63"/>
      <c r="LX62" s="62"/>
      <c r="LY62" s="63"/>
      <c r="LZ62" s="62"/>
      <c r="MA62" s="63"/>
      <c r="MB62" s="62"/>
      <c r="MC62" s="63"/>
      <c r="MD62" s="62"/>
      <c r="ME62" s="63"/>
      <c r="MF62" s="62"/>
      <c r="MG62" s="63"/>
      <c r="MH62" s="62"/>
      <c r="MI62" s="63"/>
      <c r="MJ62" s="62"/>
      <c r="MK62" s="63"/>
      <c r="ML62" s="62"/>
      <c r="MM62" s="63"/>
      <c r="MN62" s="62"/>
      <c r="MO62" s="63"/>
      <c r="MP62" s="62"/>
      <c r="MQ62" s="63"/>
      <c r="MR62" s="62"/>
      <c r="MS62" s="63"/>
      <c r="MT62" s="62"/>
      <c r="MU62" s="63"/>
      <c r="MV62" s="62"/>
      <c r="MW62" s="63"/>
      <c r="MX62" s="62"/>
      <c r="MY62" s="63"/>
      <c r="MZ62" s="62"/>
      <c r="NA62" s="63"/>
      <c r="NB62" s="62"/>
      <c r="NC62" s="63"/>
      <c r="ND62" s="62"/>
      <c r="NE62" s="63"/>
      <c r="NF62" s="62"/>
      <c r="NG62" s="63"/>
      <c r="NH62" s="62"/>
      <c r="NI62" s="63"/>
      <c r="NJ62" s="62"/>
      <c r="NK62" s="63"/>
      <c r="NL62" s="62"/>
      <c r="NM62" s="63"/>
      <c r="NN62" s="62"/>
      <c r="NO62" s="63"/>
      <c r="NP62" s="62"/>
      <c r="NQ62" s="63"/>
      <c r="NR62" s="62"/>
      <c r="NS62" s="63"/>
      <c r="NT62" s="62"/>
      <c r="NU62" s="63"/>
      <c r="NV62" s="62"/>
      <c r="NW62" s="63"/>
      <c r="NX62" s="62"/>
      <c r="NY62" s="63"/>
      <c r="NZ62" s="62"/>
      <c r="OA62" s="63"/>
      <c r="OB62" s="62"/>
      <c r="OC62" s="63"/>
      <c r="OD62" s="62"/>
      <c r="OE62" s="63"/>
      <c r="OF62" s="62"/>
      <c r="OG62" s="63"/>
      <c r="OH62" s="62"/>
      <c r="OI62" s="63"/>
      <c r="OJ62" s="62"/>
      <c r="OK62" s="63"/>
      <c r="OL62" s="62"/>
      <c r="OM62" s="63"/>
      <c r="ON62" s="62"/>
      <c r="OO62" s="63"/>
      <c r="OP62" s="62"/>
      <c r="OQ62" s="63"/>
      <c r="OR62" s="62"/>
      <c r="OS62" s="63"/>
      <c r="OT62" s="62"/>
      <c r="OU62" s="63"/>
      <c r="OV62" s="62"/>
      <c r="OW62" s="63"/>
      <c r="OX62" s="62"/>
      <c r="OY62" s="63"/>
      <c r="OZ62" s="62"/>
      <c r="PA62" s="63"/>
      <c r="PB62" s="62"/>
      <c r="PC62" s="63"/>
      <c r="PD62" s="62"/>
      <c r="PE62" s="63"/>
      <c r="PF62" s="62"/>
      <c r="PG62" s="63"/>
      <c r="PH62" s="62"/>
      <c r="PI62" s="63"/>
      <c r="PJ62" s="62"/>
      <c r="PK62" s="63"/>
      <c r="PL62" s="62"/>
      <c r="PM62" s="63"/>
      <c r="PN62" s="62"/>
      <c r="PO62" s="63"/>
      <c r="PP62" s="62"/>
      <c r="PQ62" s="63"/>
      <c r="PR62" s="62"/>
      <c r="PS62" s="63"/>
      <c r="PT62" s="62"/>
      <c r="PU62" s="63"/>
      <c r="PV62" s="62"/>
      <c r="PW62" s="63"/>
      <c r="PX62" s="62"/>
      <c r="PY62" s="63"/>
      <c r="PZ62" s="62"/>
      <c r="QA62" s="63"/>
      <c r="QB62" s="62"/>
      <c r="QC62" s="63"/>
      <c r="QD62" s="62"/>
      <c r="QE62" s="63"/>
      <c r="QF62" s="62"/>
      <c r="QG62" s="63"/>
      <c r="QH62" s="62"/>
      <c r="QI62" s="63"/>
      <c r="QJ62" s="62"/>
      <c r="QK62" s="63"/>
      <c r="QL62" s="62"/>
      <c r="QM62" s="63"/>
      <c r="QN62" s="62"/>
      <c r="QO62" s="63"/>
      <c r="QP62" s="62"/>
      <c r="QQ62" s="63"/>
      <c r="QR62" s="62"/>
      <c r="QS62" s="63"/>
      <c r="QT62" s="62"/>
      <c r="QU62" s="63"/>
      <c r="QV62" s="62"/>
      <c r="QW62" s="63"/>
      <c r="QX62" s="62"/>
      <c r="QY62" s="63"/>
      <c r="QZ62" s="62"/>
      <c r="RA62" s="63"/>
      <c r="RB62" s="62"/>
      <c r="RC62" s="63"/>
      <c r="RD62" s="31"/>
    </row>
    <row r="63" spans="1:472" s="5" customFormat="1" ht="15" hidden="1" customHeight="1" x14ac:dyDescent="0.25">
      <c r="A63" s="41">
        <v>2055</v>
      </c>
      <c r="B63" s="41" t="s">
        <v>585</v>
      </c>
      <c r="C63" s="41" t="s">
        <v>165</v>
      </c>
      <c r="D63" s="41">
        <v>98</v>
      </c>
      <c r="E63" s="42"/>
      <c r="F63" s="41" t="s">
        <v>817</v>
      </c>
      <c r="I63" s="62"/>
      <c r="J63" s="63"/>
      <c r="K63" s="62"/>
      <c r="L63" s="63"/>
      <c r="M63" s="62"/>
      <c r="N63" s="63"/>
      <c r="O63" s="62"/>
      <c r="P63" s="63"/>
      <c r="Q63" s="62"/>
      <c r="R63" s="63"/>
      <c r="S63" s="62"/>
      <c r="T63" s="63"/>
      <c r="X63" s="62"/>
      <c r="Y63" s="63"/>
      <c r="Z63" s="62"/>
      <c r="AA63" s="63"/>
      <c r="AB63" s="62"/>
      <c r="AC63" s="63"/>
      <c r="AD63" s="62"/>
      <c r="AE63" s="63"/>
      <c r="AF63" s="62"/>
      <c r="AG63" s="63"/>
      <c r="AH63" s="62"/>
      <c r="AI63" s="63"/>
      <c r="AJ63" s="62"/>
      <c r="AK63" s="63"/>
      <c r="AL63" s="62"/>
      <c r="AM63" s="63"/>
      <c r="AN63" s="62"/>
      <c r="AO63" s="63"/>
      <c r="AP63" s="62"/>
      <c r="AQ63" s="63"/>
      <c r="AR63" s="62"/>
      <c r="AS63" s="63"/>
      <c r="AT63" s="62"/>
      <c r="AU63" s="63"/>
      <c r="AV63" s="62"/>
      <c r="AW63" s="63"/>
      <c r="AX63" s="62"/>
      <c r="AY63" s="63"/>
      <c r="AZ63" s="62"/>
      <c r="BA63" s="63"/>
      <c r="BB63" s="62"/>
      <c r="BC63" s="63"/>
      <c r="BD63" s="62"/>
      <c r="BE63" s="63"/>
      <c r="BF63" s="62"/>
      <c r="BG63" s="63"/>
      <c r="BH63" s="62"/>
      <c r="BI63" s="63"/>
      <c r="BJ63" s="62"/>
      <c r="BK63" s="63"/>
      <c r="BL63" s="62"/>
      <c r="BM63" s="63"/>
      <c r="BN63" s="62"/>
      <c r="BO63" s="63"/>
      <c r="BP63" s="62"/>
      <c r="BQ63" s="63"/>
      <c r="BR63" s="62"/>
      <c r="BS63" s="63"/>
      <c r="BT63" s="62"/>
      <c r="BU63" s="63"/>
      <c r="BV63" s="62"/>
      <c r="BW63" s="63"/>
      <c r="BX63" s="62"/>
      <c r="BY63" s="63"/>
      <c r="BZ63" s="62"/>
      <c r="CA63" s="63"/>
      <c r="CB63" s="62"/>
      <c r="CC63" s="63"/>
      <c r="CD63" s="62"/>
      <c r="CE63" s="63"/>
      <c r="CF63" s="62"/>
      <c r="CG63" s="63"/>
      <c r="CH63" s="62"/>
      <c r="CI63" s="63"/>
      <c r="CJ63" s="62"/>
      <c r="CK63" s="63"/>
      <c r="CL63" s="62"/>
      <c r="CM63" s="63"/>
      <c r="CN63" s="62"/>
      <c r="CO63" s="63"/>
      <c r="CP63" s="62"/>
      <c r="CQ63" s="63"/>
      <c r="CR63" s="62"/>
      <c r="CS63" s="63"/>
      <c r="CT63" s="62"/>
      <c r="CU63" s="63"/>
      <c r="CV63" s="62"/>
      <c r="CW63" s="63"/>
      <c r="CX63" s="62"/>
      <c r="CY63" s="63"/>
      <c r="CZ63" s="62"/>
      <c r="DA63" s="63"/>
      <c r="DB63" s="62"/>
      <c r="DC63" s="63"/>
      <c r="DD63" s="62"/>
      <c r="DE63" s="63"/>
      <c r="DF63" s="62"/>
      <c r="DG63" s="63"/>
      <c r="DH63" s="62"/>
      <c r="DI63" s="63"/>
      <c r="DJ63" s="62"/>
      <c r="DK63" s="63"/>
      <c r="DL63" s="62"/>
      <c r="DM63" s="63"/>
      <c r="DN63" s="62"/>
      <c r="DO63" s="63"/>
      <c r="DP63" s="62"/>
      <c r="DQ63" s="63"/>
      <c r="DR63" s="62"/>
      <c r="DS63" s="63"/>
      <c r="DT63" s="62"/>
      <c r="DU63" s="63"/>
      <c r="DV63" s="62"/>
      <c r="DW63" s="63"/>
      <c r="DX63" s="62"/>
      <c r="DY63" s="63"/>
      <c r="DZ63" s="62"/>
      <c r="EA63" s="63"/>
      <c r="EB63" s="62"/>
      <c r="EC63" s="63"/>
      <c r="ED63" s="62"/>
      <c r="EE63" s="63"/>
      <c r="EF63" s="62"/>
      <c r="EG63" s="63"/>
      <c r="EH63" s="62"/>
      <c r="EI63" s="63"/>
      <c r="EJ63" s="62"/>
      <c r="EK63" s="63"/>
      <c r="EL63" s="62"/>
      <c r="EM63" s="63"/>
      <c r="EN63" s="62"/>
      <c r="EO63" s="63"/>
      <c r="EP63" s="62"/>
      <c r="EQ63" s="63"/>
      <c r="ER63" s="62"/>
      <c r="ES63" s="63"/>
      <c r="ET63" s="62"/>
      <c r="EU63" s="63"/>
      <c r="EV63" s="62"/>
      <c r="EW63" s="63"/>
      <c r="EX63" s="62" t="s">
        <v>66</v>
      </c>
      <c r="EY63" s="63"/>
      <c r="EZ63" s="62" t="s">
        <v>66</v>
      </c>
      <c r="FA63" s="63"/>
      <c r="FB63" s="62" t="s">
        <v>38</v>
      </c>
      <c r="FC63" s="63"/>
      <c r="FD63" s="62" t="s">
        <v>38</v>
      </c>
      <c r="FE63" s="63"/>
      <c r="FF63" s="62" t="s">
        <v>38</v>
      </c>
      <c r="FG63" s="63"/>
      <c r="FH63" s="62" t="s">
        <v>36</v>
      </c>
      <c r="FI63" s="63"/>
      <c r="FJ63" s="62" t="s">
        <v>36</v>
      </c>
      <c r="FK63" s="63"/>
      <c r="FL63" s="62" t="s">
        <v>36</v>
      </c>
      <c r="FM63" s="63"/>
      <c r="FN63" s="62" t="s">
        <v>36</v>
      </c>
      <c r="FO63" s="63"/>
      <c r="FP63" s="62" t="s">
        <v>36</v>
      </c>
      <c r="FQ63" s="63"/>
      <c r="FR63" s="62" t="s">
        <v>36</v>
      </c>
      <c r="FS63" s="63"/>
      <c r="FT63" s="62" t="s">
        <v>37</v>
      </c>
      <c r="FU63" s="63"/>
      <c r="FV63" s="62" t="s">
        <v>37</v>
      </c>
      <c r="FW63" s="63"/>
      <c r="FX63" s="62" t="s">
        <v>37</v>
      </c>
      <c r="FY63" s="63"/>
      <c r="FZ63" s="62" t="s">
        <v>37</v>
      </c>
      <c r="GA63" s="63"/>
      <c r="GB63" s="62" t="s">
        <v>37</v>
      </c>
      <c r="GC63" s="63"/>
      <c r="GD63" s="62" t="s">
        <v>37</v>
      </c>
      <c r="GE63" s="63"/>
      <c r="GF63" s="62"/>
      <c r="GG63" s="63"/>
      <c r="GH63" s="62"/>
      <c r="GI63" s="63"/>
      <c r="GJ63" s="62"/>
      <c r="GK63" s="63"/>
      <c r="GL63" s="62"/>
      <c r="GM63" s="63"/>
      <c r="GN63" s="62"/>
      <c r="GO63" s="63"/>
      <c r="GP63" s="62"/>
      <c r="GQ63" s="63"/>
      <c r="GR63" s="62"/>
      <c r="GS63" s="63"/>
      <c r="GT63" s="62"/>
      <c r="GU63" s="63"/>
      <c r="GV63" s="62"/>
      <c r="GW63" s="63"/>
      <c r="GX63" s="62"/>
      <c r="GY63" s="63"/>
      <c r="GZ63" s="62"/>
      <c r="HA63" s="63"/>
      <c r="HB63" s="62"/>
      <c r="HC63" s="63"/>
      <c r="HD63" s="62"/>
      <c r="HE63" s="63"/>
      <c r="HF63" s="62"/>
      <c r="HG63" s="63"/>
      <c r="HH63" s="62"/>
      <c r="HI63" s="63"/>
      <c r="HJ63" s="62"/>
      <c r="HK63" s="63"/>
      <c r="HL63" s="62"/>
      <c r="HM63" s="63"/>
      <c r="HN63" s="62"/>
      <c r="HO63" s="63"/>
      <c r="HP63" s="62"/>
      <c r="HQ63" s="63"/>
      <c r="HR63" s="62"/>
      <c r="HS63" s="63"/>
      <c r="HT63" s="62"/>
      <c r="HU63" s="63"/>
      <c r="HV63" s="62"/>
      <c r="HW63" s="63"/>
      <c r="HX63" s="62"/>
      <c r="HY63" s="63"/>
      <c r="HZ63" s="62"/>
      <c r="IA63" s="63"/>
      <c r="IB63" s="62"/>
      <c r="IC63" s="63"/>
      <c r="ID63" s="62"/>
      <c r="IE63" s="63"/>
      <c r="IF63" s="62"/>
      <c r="IG63" s="63"/>
      <c r="IH63" s="62"/>
      <c r="II63" s="63"/>
      <c r="IJ63" s="62"/>
      <c r="IK63" s="63"/>
      <c r="IL63" s="62"/>
      <c r="IM63" s="63"/>
      <c r="IN63" s="62"/>
      <c r="IO63" s="63"/>
      <c r="IP63" s="62"/>
      <c r="IQ63" s="63"/>
      <c r="IR63" s="62"/>
      <c r="IS63" s="63"/>
      <c r="IT63" s="62"/>
      <c r="IU63" s="63"/>
      <c r="IV63" s="62"/>
      <c r="IW63" s="63"/>
      <c r="IX63" s="62"/>
      <c r="IY63" s="63"/>
      <c r="IZ63" s="62"/>
      <c r="JA63" s="63"/>
      <c r="JB63" s="62"/>
      <c r="JC63" s="63"/>
      <c r="JD63" s="62"/>
      <c r="JE63" s="63"/>
      <c r="JF63" s="62"/>
      <c r="JG63" s="63"/>
      <c r="JH63" s="62"/>
      <c r="JI63" s="63"/>
      <c r="JJ63" s="62"/>
      <c r="JK63" s="63"/>
      <c r="JL63" s="62"/>
      <c r="JM63" s="63"/>
      <c r="JN63" s="62"/>
      <c r="JO63" s="63"/>
      <c r="JP63" s="62"/>
      <c r="JQ63" s="63"/>
      <c r="JR63" s="62"/>
      <c r="JS63" s="63"/>
      <c r="JT63" s="62"/>
      <c r="JU63" s="63"/>
      <c r="JV63" s="62"/>
      <c r="JW63" s="63"/>
      <c r="JX63" s="62"/>
      <c r="JY63" s="63"/>
      <c r="JZ63" s="62"/>
      <c r="KA63" s="63"/>
      <c r="KB63" s="62"/>
      <c r="KC63" s="63"/>
      <c r="KD63" s="62"/>
      <c r="KE63" s="63"/>
      <c r="KF63" s="62"/>
      <c r="KG63" s="63"/>
      <c r="KH63" s="62"/>
      <c r="KI63" s="63"/>
      <c r="KJ63" s="62"/>
      <c r="KK63" s="63"/>
      <c r="KL63" s="62"/>
      <c r="KM63" s="63"/>
      <c r="KN63" s="62"/>
      <c r="KO63" s="63"/>
      <c r="KP63" s="62"/>
      <c r="KQ63" s="63"/>
      <c r="KR63" s="62"/>
      <c r="KS63" s="63"/>
      <c r="KT63" s="62"/>
      <c r="KU63" s="63"/>
      <c r="KV63" s="62"/>
      <c r="KW63" s="63"/>
      <c r="KX63" s="62"/>
      <c r="KY63" s="63"/>
      <c r="KZ63" s="62"/>
      <c r="LA63" s="63"/>
      <c r="LB63" s="62"/>
      <c r="LC63" s="63"/>
      <c r="LD63" s="62"/>
      <c r="LE63" s="63"/>
      <c r="LF63" s="62"/>
      <c r="LG63" s="63"/>
      <c r="LH63" s="62"/>
      <c r="LI63" s="63"/>
      <c r="LJ63" s="62"/>
      <c r="LK63" s="63"/>
      <c r="LL63" s="62"/>
      <c r="LM63" s="63"/>
      <c r="LN63" s="62"/>
      <c r="LO63" s="63"/>
      <c r="LP63" s="62"/>
      <c r="LQ63" s="63"/>
      <c r="LR63" s="62"/>
      <c r="LS63" s="63"/>
      <c r="LT63" s="62"/>
      <c r="LU63" s="63"/>
      <c r="LV63" s="62"/>
      <c r="LW63" s="63"/>
      <c r="LX63" s="62"/>
      <c r="LY63" s="63"/>
      <c r="LZ63" s="62"/>
      <c r="MA63" s="63"/>
      <c r="MB63" s="62"/>
      <c r="MC63" s="63"/>
      <c r="MD63" s="62"/>
      <c r="ME63" s="63"/>
      <c r="MF63" s="62"/>
      <c r="MG63" s="63"/>
      <c r="MH63" s="62"/>
      <c r="MI63" s="63"/>
      <c r="MJ63" s="62"/>
      <c r="MK63" s="63"/>
      <c r="ML63" s="62"/>
      <c r="MM63" s="63"/>
      <c r="MN63" s="62"/>
      <c r="MO63" s="63"/>
      <c r="MP63" s="62"/>
      <c r="MQ63" s="63"/>
      <c r="MR63" s="62"/>
      <c r="MS63" s="63"/>
      <c r="MT63" s="62"/>
      <c r="MU63" s="63"/>
      <c r="MV63" s="62"/>
      <c r="MW63" s="63"/>
      <c r="MX63" s="62"/>
      <c r="MY63" s="63"/>
      <c r="MZ63" s="62"/>
      <c r="NA63" s="63"/>
      <c r="NB63" s="62"/>
      <c r="NC63" s="63"/>
      <c r="ND63" s="62"/>
      <c r="NE63" s="63"/>
      <c r="NF63" s="62"/>
      <c r="NG63" s="63"/>
      <c r="NH63" s="62"/>
      <c r="NI63" s="63"/>
      <c r="NJ63" s="62"/>
      <c r="NK63" s="63"/>
      <c r="NL63" s="62"/>
      <c r="NM63" s="63"/>
      <c r="NN63" s="62"/>
      <c r="NO63" s="63"/>
      <c r="NP63" s="62"/>
      <c r="NQ63" s="63"/>
      <c r="NR63" s="62"/>
      <c r="NS63" s="63"/>
      <c r="NT63" s="62"/>
      <c r="NU63" s="63"/>
      <c r="NV63" s="62"/>
      <c r="NW63" s="63"/>
      <c r="NX63" s="62"/>
      <c r="NY63" s="63"/>
      <c r="NZ63" s="62"/>
      <c r="OA63" s="63"/>
      <c r="OB63" s="62"/>
      <c r="OC63" s="63"/>
      <c r="OD63" s="62"/>
      <c r="OE63" s="63"/>
      <c r="OF63" s="62"/>
      <c r="OG63" s="63"/>
      <c r="OH63" s="62"/>
      <c r="OI63" s="63"/>
      <c r="OJ63" s="62"/>
      <c r="OK63" s="63"/>
      <c r="OL63" s="62"/>
      <c r="OM63" s="63"/>
      <c r="ON63" s="62"/>
      <c r="OO63" s="63"/>
      <c r="OP63" s="62"/>
      <c r="OQ63" s="63"/>
      <c r="OR63" s="62"/>
      <c r="OS63" s="63"/>
      <c r="OT63" s="62"/>
      <c r="OU63" s="63"/>
      <c r="OV63" s="62"/>
      <c r="OW63" s="63"/>
      <c r="OX63" s="62"/>
      <c r="OY63" s="63"/>
      <c r="OZ63" s="62"/>
      <c r="PA63" s="63"/>
      <c r="PB63" s="62"/>
      <c r="PC63" s="63"/>
      <c r="PD63" s="62"/>
      <c r="PE63" s="63"/>
      <c r="PF63" s="62"/>
      <c r="PG63" s="63"/>
      <c r="PH63" s="62"/>
      <c r="PI63" s="63"/>
      <c r="PJ63" s="62"/>
      <c r="PK63" s="63"/>
      <c r="PL63" s="62"/>
      <c r="PM63" s="63"/>
      <c r="PN63" s="62"/>
      <c r="PO63" s="63"/>
      <c r="PP63" s="62"/>
      <c r="PQ63" s="63"/>
      <c r="PR63" s="62"/>
      <c r="PS63" s="63"/>
      <c r="PT63" s="62"/>
      <c r="PU63" s="63"/>
      <c r="PV63" s="62"/>
      <c r="PW63" s="63"/>
      <c r="PX63" s="62"/>
      <c r="PY63" s="63"/>
      <c r="PZ63" s="62"/>
      <c r="QA63" s="63"/>
      <c r="QB63" s="62"/>
      <c r="QC63" s="63"/>
      <c r="QD63" s="62"/>
      <c r="QE63" s="63"/>
      <c r="QF63" s="62"/>
      <c r="QG63" s="63"/>
      <c r="QH63" s="62"/>
      <c r="QI63" s="63"/>
      <c r="QJ63" s="62"/>
      <c r="QK63" s="63"/>
      <c r="QL63" s="62"/>
      <c r="QM63" s="63"/>
      <c r="QN63" s="62"/>
      <c r="QO63" s="63"/>
      <c r="QP63" s="62"/>
      <c r="QQ63" s="63"/>
      <c r="QR63" s="62"/>
      <c r="QS63" s="63"/>
      <c r="QT63" s="62"/>
      <c r="QU63" s="63"/>
      <c r="QV63" s="62"/>
      <c r="QW63" s="63"/>
      <c r="QX63" s="62"/>
      <c r="QY63" s="63"/>
      <c r="QZ63" s="62"/>
      <c r="RA63" s="63"/>
      <c r="RB63" s="62"/>
      <c r="RC63" s="63"/>
      <c r="RD63" s="31"/>
    </row>
    <row r="64" spans="1:472" s="5" customFormat="1" ht="15" hidden="1" customHeight="1" x14ac:dyDescent="0.25">
      <c r="A64" s="41">
        <v>2060</v>
      </c>
      <c r="B64" s="41" t="s">
        <v>472</v>
      </c>
      <c r="C64" s="41" t="s">
        <v>230</v>
      </c>
      <c r="D64" s="41">
        <v>270</v>
      </c>
      <c r="E64" s="42"/>
      <c r="F64" s="41" t="s">
        <v>834</v>
      </c>
      <c r="I64" s="62"/>
      <c r="J64" s="63"/>
      <c r="K64" s="62"/>
      <c r="L64" s="63"/>
      <c r="M64" s="62"/>
      <c r="N64" s="63"/>
      <c r="O64" s="62"/>
      <c r="P64" s="63"/>
      <c r="Q64" s="62"/>
      <c r="R64" s="63"/>
      <c r="S64" s="62"/>
      <c r="T64" s="63"/>
      <c r="X64" s="62"/>
      <c r="Y64" s="63"/>
      <c r="Z64" s="62"/>
      <c r="AA64" s="63"/>
      <c r="AB64" s="62"/>
      <c r="AC64" s="63"/>
      <c r="AD64" s="62"/>
      <c r="AE64" s="63"/>
      <c r="AF64" s="62"/>
      <c r="AG64" s="63"/>
      <c r="AH64" s="62"/>
      <c r="AI64" s="63"/>
      <c r="AJ64" s="62"/>
      <c r="AK64" s="63"/>
      <c r="AL64" s="62"/>
      <c r="AM64" s="63"/>
      <c r="AN64" s="62"/>
      <c r="AO64" s="63"/>
      <c r="AP64" s="62"/>
      <c r="AQ64" s="63"/>
      <c r="AR64" s="62"/>
      <c r="AS64" s="63"/>
      <c r="AT64" s="62"/>
      <c r="AU64" s="63"/>
      <c r="AV64" s="62"/>
      <c r="AW64" s="63"/>
      <c r="AX64" s="62"/>
      <c r="AY64" s="63"/>
      <c r="AZ64" s="62"/>
      <c r="BA64" s="63"/>
      <c r="BB64" s="62"/>
      <c r="BC64" s="63"/>
      <c r="BD64" s="62"/>
      <c r="BE64" s="63"/>
      <c r="BF64" s="62"/>
      <c r="BG64" s="63"/>
      <c r="BH64" s="62"/>
      <c r="BI64" s="63"/>
      <c r="BJ64" s="62"/>
      <c r="BK64" s="63"/>
      <c r="BL64" s="62"/>
      <c r="BM64" s="63"/>
      <c r="BN64" s="62"/>
      <c r="BO64" s="63"/>
      <c r="BP64" s="62"/>
      <c r="BQ64" s="63"/>
      <c r="BR64" s="62"/>
      <c r="BS64" s="63"/>
      <c r="BT64" s="62"/>
      <c r="BU64" s="63"/>
      <c r="BV64" s="62"/>
      <c r="BW64" s="63"/>
      <c r="BX64" s="62"/>
      <c r="BY64" s="63"/>
      <c r="BZ64" s="62"/>
      <c r="CA64" s="63"/>
      <c r="CB64" s="62"/>
      <c r="CC64" s="63"/>
      <c r="CD64" s="62"/>
      <c r="CE64" s="63"/>
      <c r="CF64" s="62"/>
      <c r="CG64" s="63"/>
      <c r="CH64" s="62"/>
      <c r="CI64" s="63"/>
      <c r="CJ64" s="62"/>
      <c r="CK64" s="63"/>
      <c r="CL64" s="62"/>
      <c r="CM64" s="63"/>
      <c r="CN64" s="62"/>
      <c r="CO64" s="63"/>
      <c r="CP64" s="62"/>
      <c r="CQ64" s="63"/>
      <c r="CR64" s="62"/>
      <c r="CS64" s="63"/>
      <c r="CT64" s="62"/>
      <c r="CU64" s="63"/>
      <c r="CV64" s="62"/>
      <c r="CW64" s="63"/>
      <c r="CX64" s="62"/>
      <c r="CY64" s="63"/>
      <c r="CZ64" s="62"/>
      <c r="DA64" s="63"/>
      <c r="DB64" s="62"/>
      <c r="DC64" s="63"/>
      <c r="DD64" s="62"/>
      <c r="DE64" s="63"/>
      <c r="DF64" s="62"/>
      <c r="DG64" s="63"/>
      <c r="DH64" s="62"/>
      <c r="DI64" s="63"/>
      <c r="DJ64" s="62"/>
      <c r="DK64" s="63"/>
      <c r="DL64" s="62"/>
      <c r="DM64" s="63"/>
      <c r="DN64" s="62"/>
      <c r="DO64" s="63"/>
      <c r="DP64" s="62"/>
      <c r="DQ64" s="63"/>
      <c r="DR64" s="62" t="s">
        <v>66</v>
      </c>
      <c r="DS64" s="63"/>
      <c r="DT64" s="62" t="s">
        <v>66</v>
      </c>
      <c r="DU64" s="63"/>
      <c r="DV64" s="31" t="s">
        <v>66</v>
      </c>
      <c r="DW64" s="32" t="s">
        <v>38</v>
      </c>
      <c r="DX64" s="62" t="s">
        <v>38</v>
      </c>
      <c r="DY64" s="63"/>
      <c r="DZ64" s="62" t="s">
        <v>38</v>
      </c>
      <c r="EA64" s="63"/>
      <c r="EB64" s="62" t="s">
        <v>38</v>
      </c>
      <c r="EC64" s="63"/>
      <c r="ED64" s="62" t="s">
        <v>38</v>
      </c>
      <c r="EE64" s="63"/>
      <c r="EF64" s="31" t="s">
        <v>38</v>
      </c>
      <c r="EG64" s="32" t="s">
        <v>36</v>
      </c>
      <c r="EH64" s="62" t="s">
        <v>707</v>
      </c>
      <c r="EI64" s="63"/>
      <c r="EJ64" s="62" t="s">
        <v>704</v>
      </c>
      <c r="EK64" s="63"/>
      <c r="EL64" s="62" t="s">
        <v>704</v>
      </c>
      <c r="EM64" s="63"/>
      <c r="EN64" s="62" t="s">
        <v>704</v>
      </c>
      <c r="EO64" s="63"/>
      <c r="EP64" s="62" t="s">
        <v>704</v>
      </c>
      <c r="EQ64" s="63"/>
      <c r="ER64" s="62" t="s">
        <v>704</v>
      </c>
      <c r="ES64" s="63"/>
      <c r="ET64" s="62" t="s">
        <v>704</v>
      </c>
      <c r="EU64" s="63"/>
      <c r="EV64" s="62" t="s">
        <v>704</v>
      </c>
      <c r="EW64" s="63"/>
      <c r="EX64" s="62" t="s">
        <v>704</v>
      </c>
      <c r="EY64" s="63"/>
      <c r="EZ64" s="62" t="s">
        <v>704</v>
      </c>
      <c r="FA64" s="63"/>
      <c r="FB64" s="62" t="s">
        <v>36</v>
      </c>
      <c r="FC64" s="63"/>
      <c r="FD64" s="62" t="s">
        <v>36</v>
      </c>
      <c r="FE64" s="63"/>
      <c r="FF64" s="62" t="s">
        <v>36</v>
      </c>
      <c r="FG64" s="63"/>
      <c r="FH64" s="62" t="s">
        <v>36</v>
      </c>
      <c r="FI64" s="63"/>
      <c r="FJ64" s="62" t="s">
        <v>36</v>
      </c>
      <c r="FK64" s="63"/>
      <c r="FL64" s="62" t="s">
        <v>36</v>
      </c>
      <c r="FM64" s="63"/>
      <c r="FN64" s="62" t="s">
        <v>36</v>
      </c>
      <c r="FO64" s="63"/>
      <c r="FP64" s="62" t="s">
        <v>36</v>
      </c>
      <c r="FQ64" s="63"/>
      <c r="FR64" s="62" t="s">
        <v>36</v>
      </c>
      <c r="FS64" s="63"/>
      <c r="FT64" s="62" t="s">
        <v>36</v>
      </c>
      <c r="FU64" s="63"/>
      <c r="FV64" s="62" t="s">
        <v>36</v>
      </c>
      <c r="FW64" s="63"/>
      <c r="FX64" s="62" t="s">
        <v>37</v>
      </c>
      <c r="FY64" s="63"/>
      <c r="FZ64" s="62" t="s">
        <v>37</v>
      </c>
      <c r="GA64" s="63"/>
      <c r="GB64" s="62" t="s">
        <v>37</v>
      </c>
      <c r="GC64" s="63"/>
      <c r="GD64" s="62" t="s">
        <v>37</v>
      </c>
      <c r="GE64" s="63"/>
      <c r="GF64" s="62" t="s">
        <v>37</v>
      </c>
      <c r="GG64" s="63"/>
      <c r="GH64" s="62" t="s">
        <v>37</v>
      </c>
      <c r="GI64" s="63"/>
      <c r="GJ64" s="62" t="s">
        <v>37</v>
      </c>
      <c r="GK64" s="63"/>
      <c r="GL64" s="62"/>
      <c r="GM64" s="63"/>
      <c r="GN64" s="62"/>
      <c r="GO64" s="63"/>
      <c r="GP64" s="62"/>
      <c r="GQ64" s="63"/>
      <c r="GR64" s="62"/>
      <c r="GS64" s="63"/>
      <c r="GT64" s="62"/>
      <c r="GU64" s="63"/>
      <c r="GV64" s="62"/>
      <c r="GW64" s="63"/>
      <c r="GX64" s="62"/>
      <c r="GY64" s="63"/>
      <c r="GZ64" s="62"/>
      <c r="HA64" s="63"/>
      <c r="HB64" s="62"/>
      <c r="HC64" s="63"/>
      <c r="HD64" s="62"/>
      <c r="HE64" s="63"/>
      <c r="HF64" s="62"/>
      <c r="HG64" s="63"/>
      <c r="HH64" s="62"/>
      <c r="HI64" s="63"/>
      <c r="HJ64" s="62"/>
      <c r="HK64" s="63"/>
      <c r="HL64" s="62"/>
      <c r="HM64" s="63"/>
      <c r="HN64" s="62"/>
      <c r="HO64" s="63"/>
      <c r="HP64" s="62"/>
      <c r="HQ64" s="63"/>
      <c r="HR64" s="62"/>
      <c r="HS64" s="63"/>
      <c r="HT64" s="62"/>
      <c r="HU64" s="63"/>
      <c r="HV64" s="62"/>
      <c r="HW64" s="63"/>
      <c r="HX64" s="62"/>
      <c r="HY64" s="63"/>
      <c r="HZ64" s="62"/>
      <c r="IA64" s="63"/>
      <c r="IB64" s="62"/>
      <c r="IC64" s="63"/>
      <c r="ID64" s="62"/>
      <c r="IE64" s="63"/>
      <c r="IF64" s="62"/>
      <c r="IG64" s="63"/>
      <c r="IH64" s="62"/>
      <c r="II64" s="63"/>
      <c r="IJ64" s="62"/>
      <c r="IK64" s="63"/>
      <c r="IL64" s="62"/>
      <c r="IM64" s="63"/>
      <c r="IN64" s="62"/>
      <c r="IO64" s="63"/>
      <c r="IP64" s="62"/>
      <c r="IQ64" s="63"/>
      <c r="IR64" s="62"/>
      <c r="IS64" s="63"/>
      <c r="IT64" s="62"/>
      <c r="IU64" s="63"/>
      <c r="IV64" s="62"/>
      <c r="IW64" s="63"/>
      <c r="IX64" s="62"/>
      <c r="IY64" s="63"/>
      <c r="IZ64" s="62"/>
      <c r="JA64" s="63"/>
      <c r="JB64" s="62"/>
      <c r="JC64" s="63"/>
      <c r="JD64" s="62"/>
      <c r="JE64" s="63"/>
      <c r="JF64" s="62"/>
      <c r="JG64" s="63"/>
      <c r="JH64" s="62"/>
      <c r="JI64" s="63"/>
      <c r="JJ64" s="62"/>
      <c r="JK64" s="63"/>
      <c r="JL64" s="62"/>
      <c r="JM64" s="63"/>
      <c r="JN64" s="62"/>
      <c r="JO64" s="63"/>
      <c r="JP64" s="62"/>
      <c r="JQ64" s="63"/>
      <c r="JR64" s="62"/>
      <c r="JS64" s="63"/>
      <c r="JT64" s="62"/>
      <c r="JU64" s="63"/>
      <c r="JV64" s="62"/>
      <c r="JW64" s="63"/>
      <c r="JX64" s="62"/>
      <c r="JY64" s="63"/>
      <c r="JZ64" s="62"/>
      <c r="KA64" s="63"/>
      <c r="KB64" s="62"/>
      <c r="KC64" s="63"/>
      <c r="KD64" s="62"/>
      <c r="KE64" s="63"/>
      <c r="KF64" s="62"/>
      <c r="KG64" s="63"/>
      <c r="KH64" s="62"/>
      <c r="KI64" s="63"/>
      <c r="KJ64" s="62"/>
      <c r="KK64" s="63"/>
      <c r="KL64" s="62"/>
      <c r="KM64" s="63"/>
      <c r="KN64" s="62"/>
      <c r="KO64" s="63"/>
      <c r="KP64" s="62"/>
      <c r="KQ64" s="63"/>
      <c r="KR64" s="62"/>
      <c r="KS64" s="63"/>
      <c r="KT64" s="62"/>
      <c r="KU64" s="63"/>
      <c r="KV64" s="62"/>
      <c r="KW64" s="63"/>
      <c r="KX64" s="62"/>
      <c r="KY64" s="63"/>
      <c r="KZ64" s="62"/>
      <c r="LA64" s="63"/>
      <c r="LB64" s="62"/>
      <c r="LC64" s="63"/>
      <c r="LD64" s="62"/>
      <c r="LE64" s="63"/>
      <c r="LF64" s="62"/>
      <c r="LG64" s="63"/>
      <c r="LH64" s="62"/>
      <c r="LI64" s="63"/>
      <c r="LJ64" s="62"/>
      <c r="LK64" s="63"/>
      <c r="LL64" s="62"/>
      <c r="LM64" s="63"/>
      <c r="LN64" s="62"/>
      <c r="LO64" s="63"/>
      <c r="LP64" s="62"/>
      <c r="LQ64" s="63"/>
      <c r="LR64" s="62"/>
      <c r="LS64" s="63"/>
      <c r="LT64" s="62"/>
      <c r="LU64" s="63"/>
      <c r="LV64" s="62"/>
      <c r="LW64" s="63"/>
      <c r="LX64" s="62"/>
      <c r="LY64" s="63"/>
      <c r="LZ64" s="62"/>
      <c r="MA64" s="63"/>
      <c r="MB64" s="62"/>
      <c r="MC64" s="63"/>
      <c r="MD64" s="62"/>
      <c r="ME64" s="63"/>
      <c r="MF64" s="62"/>
      <c r="MG64" s="63"/>
      <c r="MH64" s="62"/>
      <c r="MI64" s="63"/>
      <c r="MJ64" s="62"/>
      <c r="MK64" s="63"/>
      <c r="ML64" s="62"/>
      <c r="MM64" s="63"/>
      <c r="MN64" s="62"/>
      <c r="MO64" s="63"/>
      <c r="MP64" s="62"/>
      <c r="MQ64" s="63"/>
      <c r="MR64" s="62"/>
      <c r="MS64" s="63"/>
      <c r="MT64" s="62"/>
      <c r="MU64" s="63"/>
      <c r="MV64" s="62"/>
      <c r="MW64" s="63"/>
      <c r="MX64" s="62"/>
      <c r="MY64" s="63"/>
      <c r="MZ64" s="62"/>
      <c r="NA64" s="63"/>
      <c r="NB64" s="62"/>
      <c r="NC64" s="63"/>
      <c r="ND64" s="62"/>
      <c r="NE64" s="63"/>
      <c r="NF64" s="62"/>
      <c r="NG64" s="63"/>
      <c r="NH64" s="62"/>
      <c r="NI64" s="63"/>
      <c r="NJ64" s="62"/>
      <c r="NK64" s="63"/>
      <c r="NL64" s="62"/>
      <c r="NM64" s="63"/>
      <c r="NN64" s="62"/>
      <c r="NO64" s="63"/>
      <c r="NP64" s="62"/>
      <c r="NQ64" s="63"/>
      <c r="NR64" s="62"/>
      <c r="NS64" s="63"/>
      <c r="NT64" s="62"/>
      <c r="NU64" s="63"/>
      <c r="NV64" s="62"/>
      <c r="NW64" s="63"/>
      <c r="NX64" s="62"/>
      <c r="NY64" s="63"/>
      <c r="NZ64" s="62"/>
      <c r="OA64" s="63"/>
      <c r="OB64" s="62"/>
      <c r="OC64" s="63"/>
      <c r="OD64" s="62"/>
      <c r="OE64" s="63"/>
      <c r="OF64" s="62"/>
      <c r="OG64" s="63"/>
      <c r="OH64" s="62"/>
      <c r="OI64" s="63"/>
      <c r="OJ64" s="62"/>
      <c r="OK64" s="63"/>
      <c r="OL64" s="62"/>
      <c r="OM64" s="63"/>
      <c r="ON64" s="62"/>
      <c r="OO64" s="63"/>
      <c r="OP64" s="62"/>
      <c r="OQ64" s="63"/>
      <c r="OR64" s="62"/>
      <c r="OS64" s="63"/>
      <c r="OT64" s="62"/>
      <c r="OU64" s="63"/>
      <c r="OV64" s="62"/>
      <c r="OW64" s="63"/>
      <c r="OX64" s="62"/>
      <c r="OY64" s="63"/>
      <c r="OZ64" s="62"/>
      <c r="PA64" s="63"/>
      <c r="PB64" s="62"/>
      <c r="PC64" s="63"/>
      <c r="PD64" s="62"/>
      <c r="PE64" s="63"/>
      <c r="PF64" s="62"/>
      <c r="PG64" s="63"/>
      <c r="PH64" s="62"/>
      <c r="PI64" s="63"/>
      <c r="PJ64" s="62"/>
      <c r="PK64" s="63"/>
      <c r="PL64" s="62"/>
      <c r="PM64" s="63"/>
      <c r="PN64" s="62"/>
      <c r="PO64" s="63"/>
      <c r="PP64" s="62"/>
      <c r="PQ64" s="63"/>
      <c r="PR64" s="62"/>
      <c r="PS64" s="63"/>
      <c r="PT64" s="62"/>
      <c r="PU64" s="63"/>
      <c r="PV64" s="62"/>
      <c r="PW64" s="63"/>
      <c r="PX64" s="62"/>
      <c r="PY64" s="63"/>
      <c r="PZ64" s="62"/>
      <c r="QA64" s="63"/>
      <c r="QB64" s="62"/>
      <c r="QC64" s="63"/>
      <c r="QD64" s="62"/>
      <c r="QE64" s="63"/>
      <c r="QF64" s="62"/>
      <c r="QG64" s="63"/>
      <c r="QH64" s="62"/>
      <c r="QI64" s="63"/>
      <c r="QJ64" s="62"/>
      <c r="QK64" s="63"/>
      <c r="QL64" s="62"/>
      <c r="QM64" s="63"/>
      <c r="QN64" s="62"/>
      <c r="QO64" s="63"/>
      <c r="QP64" s="62"/>
      <c r="QQ64" s="63"/>
      <c r="QR64" s="62"/>
      <c r="QS64" s="63"/>
      <c r="QT64" s="62"/>
      <c r="QU64" s="63"/>
      <c r="QV64" s="62"/>
      <c r="QW64" s="63"/>
      <c r="QX64" s="62"/>
      <c r="QY64" s="63"/>
      <c r="QZ64" s="62"/>
      <c r="RA64" s="63"/>
      <c r="RB64" s="62"/>
      <c r="RC64" s="63"/>
      <c r="RD64" s="31"/>
    </row>
    <row r="65" spans="1:472" s="5" customFormat="1" ht="15" hidden="1" customHeight="1" x14ac:dyDescent="0.25">
      <c r="A65" s="41">
        <v>2076</v>
      </c>
      <c r="B65" s="41" t="s">
        <v>722</v>
      </c>
      <c r="C65" s="41" t="s">
        <v>230</v>
      </c>
      <c r="D65" s="41">
        <v>215</v>
      </c>
      <c r="E65" s="42"/>
      <c r="F65" s="41" t="s">
        <v>819</v>
      </c>
      <c r="I65" s="62"/>
      <c r="J65" s="63"/>
      <c r="K65" s="62"/>
      <c r="L65" s="63"/>
      <c r="M65" s="62"/>
      <c r="N65" s="63"/>
      <c r="O65" s="62"/>
      <c r="P65" s="63"/>
      <c r="Q65" s="62"/>
      <c r="R65" s="63"/>
      <c r="S65" s="62"/>
      <c r="T65" s="63"/>
      <c r="X65" s="62"/>
      <c r="Y65" s="63"/>
      <c r="Z65" s="62"/>
      <c r="AA65" s="63"/>
      <c r="AB65" s="62"/>
      <c r="AC65" s="63"/>
      <c r="AD65" s="62"/>
      <c r="AE65" s="63"/>
      <c r="AF65" s="62"/>
      <c r="AG65" s="63"/>
      <c r="AH65" s="62"/>
      <c r="AI65" s="63"/>
      <c r="AJ65" s="62"/>
      <c r="AK65" s="63"/>
      <c r="AL65" s="62"/>
      <c r="AM65" s="63"/>
      <c r="AN65" s="62"/>
      <c r="AO65" s="63"/>
      <c r="AP65" s="62"/>
      <c r="AQ65" s="63"/>
      <c r="AR65" s="62"/>
      <c r="AS65" s="63"/>
      <c r="AT65" s="62"/>
      <c r="AU65" s="63"/>
      <c r="AV65" s="62"/>
      <c r="AW65" s="63"/>
      <c r="AX65" s="62"/>
      <c r="AY65" s="63"/>
      <c r="AZ65" s="62"/>
      <c r="BA65" s="63"/>
      <c r="BB65" s="62"/>
      <c r="BC65" s="63"/>
      <c r="BD65" s="62"/>
      <c r="BE65" s="63"/>
      <c r="BF65" s="62"/>
      <c r="BG65" s="63"/>
      <c r="BH65" s="62"/>
      <c r="BI65" s="63"/>
      <c r="BJ65" s="62"/>
      <c r="BK65" s="63"/>
      <c r="BL65" s="62"/>
      <c r="BM65" s="63"/>
      <c r="BN65" s="62"/>
      <c r="BO65" s="63"/>
      <c r="BP65" s="62"/>
      <c r="BQ65" s="63"/>
      <c r="BR65" s="62"/>
      <c r="BS65" s="63"/>
      <c r="BT65" s="62"/>
      <c r="BU65" s="63"/>
      <c r="BV65" s="62"/>
      <c r="BW65" s="63"/>
      <c r="BX65" s="62"/>
      <c r="BY65" s="63"/>
      <c r="BZ65" s="62"/>
      <c r="CA65" s="63"/>
      <c r="CB65" s="62"/>
      <c r="CC65" s="63"/>
      <c r="CD65" s="62"/>
      <c r="CE65" s="63"/>
      <c r="CF65" s="62"/>
      <c r="CG65" s="63"/>
      <c r="CH65" s="62"/>
      <c r="CI65" s="63"/>
      <c r="CJ65" s="62"/>
      <c r="CK65" s="63"/>
      <c r="CL65" s="62"/>
      <c r="CM65" s="63"/>
      <c r="CN65" s="62"/>
      <c r="CO65" s="63"/>
      <c r="CP65" s="62"/>
      <c r="CQ65" s="63"/>
      <c r="CR65" s="62"/>
      <c r="CS65" s="63"/>
      <c r="CT65" s="62"/>
      <c r="CU65" s="63"/>
      <c r="CV65" s="62"/>
      <c r="CW65" s="63"/>
      <c r="CX65" s="62"/>
      <c r="CY65" s="63"/>
      <c r="CZ65" s="62"/>
      <c r="DA65" s="63"/>
      <c r="DB65" s="62"/>
      <c r="DC65" s="63"/>
      <c r="DD65" s="62"/>
      <c r="DE65" s="63"/>
      <c r="DF65" s="62"/>
      <c r="DG65" s="63"/>
      <c r="DH65" s="62"/>
      <c r="DI65" s="63"/>
      <c r="DJ65" s="62"/>
      <c r="DK65" s="63"/>
      <c r="DL65" s="62"/>
      <c r="DM65" s="63"/>
      <c r="DN65" s="62"/>
      <c r="DO65" s="63"/>
      <c r="DP65" s="62"/>
      <c r="DQ65" s="63"/>
      <c r="DR65" s="62"/>
      <c r="DS65" s="63"/>
      <c r="DT65" s="62"/>
      <c r="DU65" s="63"/>
      <c r="DV65" s="62"/>
      <c r="DW65" s="63"/>
      <c r="DX65" s="62"/>
      <c r="DY65" s="63"/>
      <c r="DZ65" s="62"/>
      <c r="EA65" s="63"/>
      <c r="EB65" s="62"/>
      <c r="EC65" s="63"/>
      <c r="ED65" s="62"/>
      <c r="EE65" s="63"/>
      <c r="EF65" s="62"/>
      <c r="EG65" s="63"/>
      <c r="EH65" s="62"/>
      <c r="EI65" s="63"/>
      <c r="EJ65" s="62"/>
      <c r="EK65" s="63"/>
      <c r="EL65" s="62"/>
      <c r="EM65" s="63"/>
      <c r="EN65" s="62"/>
      <c r="EO65" s="63"/>
      <c r="EP65" s="62"/>
      <c r="EQ65" s="63"/>
      <c r="ER65" s="62"/>
      <c r="ES65" s="63"/>
      <c r="ET65" s="62"/>
      <c r="EU65" s="63"/>
      <c r="EV65" s="62"/>
      <c r="EW65" s="63"/>
      <c r="EX65" s="62" t="s">
        <v>66</v>
      </c>
      <c r="EY65" s="63"/>
      <c r="EZ65" s="62" t="s">
        <v>66</v>
      </c>
      <c r="FA65" s="63"/>
      <c r="FB65" s="62" t="s">
        <v>38</v>
      </c>
      <c r="FC65" s="63"/>
      <c r="FD65" s="62" t="s">
        <v>38</v>
      </c>
      <c r="FE65" s="63"/>
      <c r="FF65" s="62" t="s">
        <v>38</v>
      </c>
      <c r="FG65" s="63"/>
      <c r="FH65" s="62" t="s">
        <v>36</v>
      </c>
      <c r="FI65" s="63"/>
      <c r="FJ65" s="62" t="s">
        <v>36</v>
      </c>
      <c r="FK65" s="63"/>
      <c r="FL65" s="62" t="s">
        <v>36</v>
      </c>
      <c r="FM65" s="63"/>
      <c r="FN65" s="62" t="s">
        <v>36</v>
      </c>
      <c r="FO65" s="63"/>
      <c r="FP65" s="62" t="s">
        <v>36</v>
      </c>
      <c r="FQ65" s="63"/>
      <c r="FR65" s="62" t="s">
        <v>36</v>
      </c>
      <c r="FS65" s="63"/>
      <c r="FT65" s="62" t="s">
        <v>36</v>
      </c>
      <c r="FU65" s="63"/>
      <c r="FV65" s="62" t="s">
        <v>36</v>
      </c>
      <c r="FW65" s="63"/>
      <c r="FX65" s="62" t="s">
        <v>36</v>
      </c>
      <c r="FY65" s="63"/>
      <c r="FZ65" s="62" t="s">
        <v>36</v>
      </c>
      <c r="GA65" s="63"/>
      <c r="GB65" s="31" t="s">
        <v>36</v>
      </c>
      <c r="GC65" s="32" t="s">
        <v>37</v>
      </c>
      <c r="GD65" s="62" t="s">
        <v>37</v>
      </c>
      <c r="GE65" s="63"/>
      <c r="GF65" s="62" t="s">
        <v>37</v>
      </c>
      <c r="GG65" s="63"/>
      <c r="GH65" s="62" t="s">
        <v>37</v>
      </c>
      <c r="GI65" s="63"/>
      <c r="GJ65" s="62" t="s">
        <v>37</v>
      </c>
      <c r="GK65" s="63"/>
      <c r="GL65" s="62"/>
      <c r="GM65" s="63"/>
      <c r="GN65" s="62"/>
      <c r="GO65" s="63"/>
      <c r="GP65" s="62"/>
      <c r="GQ65" s="63"/>
      <c r="GR65" s="62"/>
      <c r="GS65" s="63"/>
      <c r="GT65" s="62"/>
      <c r="GU65" s="63"/>
      <c r="GV65" s="62"/>
      <c r="GW65" s="63"/>
      <c r="GX65" s="62"/>
      <c r="GY65" s="63"/>
      <c r="GZ65" s="62"/>
      <c r="HA65" s="63"/>
      <c r="HB65" s="62"/>
      <c r="HC65" s="63"/>
      <c r="HD65" s="62"/>
      <c r="HE65" s="63"/>
      <c r="HF65" s="62"/>
      <c r="HG65" s="63"/>
      <c r="HH65" s="62"/>
      <c r="HI65" s="63"/>
      <c r="HJ65" s="62"/>
      <c r="HK65" s="63"/>
      <c r="HL65" s="62"/>
      <c r="HM65" s="63"/>
      <c r="HN65" s="62"/>
      <c r="HO65" s="63"/>
      <c r="HP65" s="62"/>
      <c r="HQ65" s="63"/>
      <c r="HR65" s="62"/>
      <c r="HS65" s="63"/>
      <c r="HT65" s="62"/>
      <c r="HU65" s="63"/>
      <c r="HV65" s="62"/>
      <c r="HW65" s="63"/>
      <c r="HX65" s="62"/>
      <c r="HY65" s="63"/>
      <c r="HZ65" s="62"/>
      <c r="IA65" s="63"/>
      <c r="IB65" s="62"/>
      <c r="IC65" s="63"/>
      <c r="ID65" s="62"/>
      <c r="IE65" s="63"/>
      <c r="IF65" s="62"/>
      <c r="IG65" s="63"/>
      <c r="IH65" s="62"/>
      <c r="II65" s="63"/>
      <c r="IJ65" s="62"/>
      <c r="IK65" s="63"/>
      <c r="IL65" s="62"/>
      <c r="IM65" s="63"/>
      <c r="IN65" s="62"/>
      <c r="IO65" s="63"/>
      <c r="IP65" s="62"/>
      <c r="IQ65" s="63"/>
      <c r="IR65" s="62"/>
      <c r="IS65" s="63"/>
      <c r="IT65" s="62"/>
      <c r="IU65" s="63"/>
      <c r="IV65" s="62"/>
      <c r="IW65" s="63"/>
      <c r="IX65" s="62"/>
      <c r="IY65" s="63"/>
      <c r="IZ65" s="62"/>
      <c r="JA65" s="63"/>
      <c r="JB65" s="62"/>
      <c r="JC65" s="63"/>
      <c r="JD65" s="62"/>
      <c r="JE65" s="63"/>
      <c r="JF65" s="62"/>
      <c r="JG65" s="63"/>
      <c r="JH65" s="62"/>
      <c r="JI65" s="63"/>
      <c r="JJ65" s="62"/>
      <c r="JK65" s="63"/>
      <c r="JL65" s="62"/>
      <c r="JM65" s="63"/>
      <c r="JN65" s="62"/>
      <c r="JO65" s="63"/>
      <c r="JP65" s="62"/>
      <c r="JQ65" s="63"/>
      <c r="JR65" s="62"/>
      <c r="JS65" s="63"/>
      <c r="JT65" s="62"/>
      <c r="JU65" s="63"/>
      <c r="JV65" s="62"/>
      <c r="JW65" s="63"/>
      <c r="JX65" s="62"/>
      <c r="JY65" s="63"/>
      <c r="JZ65" s="62"/>
      <c r="KA65" s="63"/>
      <c r="KB65" s="62"/>
      <c r="KC65" s="63"/>
      <c r="KD65" s="62"/>
      <c r="KE65" s="63"/>
      <c r="KF65" s="62"/>
      <c r="KG65" s="63"/>
      <c r="KH65" s="62"/>
      <c r="KI65" s="63"/>
      <c r="KJ65" s="62"/>
      <c r="KK65" s="63"/>
      <c r="KL65" s="62"/>
      <c r="KM65" s="63"/>
      <c r="KN65" s="62"/>
      <c r="KO65" s="63"/>
      <c r="KP65" s="62"/>
      <c r="KQ65" s="63"/>
      <c r="KR65" s="62"/>
      <c r="KS65" s="63"/>
      <c r="KT65" s="62"/>
      <c r="KU65" s="63"/>
      <c r="KV65" s="62"/>
      <c r="KW65" s="63"/>
      <c r="KX65" s="62"/>
      <c r="KY65" s="63"/>
      <c r="KZ65" s="62"/>
      <c r="LA65" s="63"/>
      <c r="LB65" s="62"/>
      <c r="LC65" s="63"/>
      <c r="LD65" s="62"/>
      <c r="LE65" s="63"/>
      <c r="LF65" s="62"/>
      <c r="LG65" s="63"/>
      <c r="LH65" s="62"/>
      <c r="LI65" s="63"/>
      <c r="LJ65" s="62"/>
      <c r="LK65" s="63"/>
      <c r="LL65" s="62"/>
      <c r="LM65" s="63"/>
      <c r="LN65" s="62"/>
      <c r="LO65" s="63"/>
      <c r="LP65" s="62"/>
      <c r="LQ65" s="63"/>
      <c r="LR65" s="62"/>
      <c r="LS65" s="63"/>
      <c r="LT65" s="62"/>
      <c r="LU65" s="63"/>
      <c r="LV65" s="62"/>
      <c r="LW65" s="63"/>
      <c r="LX65" s="62"/>
      <c r="LY65" s="63"/>
      <c r="LZ65" s="62"/>
      <c r="MA65" s="63"/>
      <c r="MB65" s="62"/>
      <c r="MC65" s="63"/>
      <c r="MD65" s="62"/>
      <c r="ME65" s="63"/>
      <c r="MF65" s="62"/>
      <c r="MG65" s="63"/>
      <c r="MH65" s="62"/>
      <c r="MI65" s="63"/>
      <c r="MJ65" s="62"/>
      <c r="MK65" s="63"/>
      <c r="ML65" s="62"/>
      <c r="MM65" s="63"/>
      <c r="MN65" s="62"/>
      <c r="MO65" s="63"/>
      <c r="MP65" s="62"/>
      <c r="MQ65" s="63"/>
      <c r="MR65" s="62"/>
      <c r="MS65" s="63"/>
      <c r="MT65" s="62"/>
      <c r="MU65" s="63"/>
      <c r="MV65" s="62"/>
      <c r="MW65" s="63"/>
      <c r="MX65" s="62"/>
      <c r="MY65" s="63"/>
      <c r="MZ65" s="62"/>
      <c r="NA65" s="63"/>
      <c r="NB65" s="62"/>
      <c r="NC65" s="63"/>
      <c r="ND65" s="62"/>
      <c r="NE65" s="63"/>
      <c r="NF65" s="62"/>
      <c r="NG65" s="63"/>
      <c r="NH65" s="62"/>
      <c r="NI65" s="63"/>
      <c r="NJ65" s="62"/>
      <c r="NK65" s="63"/>
      <c r="NL65" s="62"/>
      <c r="NM65" s="63"/>
      <c r="NN65" s="62"/>
      <c r="NO65" s="63"/>
      <c r="NP65" s="62"/>
      <c r="NQ65" s="63"/>
      <c r="NR65" s="62"/>
      <c r="NS65" s="63"/>
      <c r="NT65" s="62"/>
      <c r="NU65" s="63"/>
      <c r="NV65" s="62"/>
      <c r="NW65" s="63"/>
      <c r="NX65" s="62"/>
      <c r="NY65" s="63"/>
      <c r="NZ65" s="62"/>
      <c r="OA65" s="63"/>
      <c r="OB65" s="62"/>
      <c r="OC65" s="63"/>
      <c r="OD65" s="62"/>
      <c r="OE65" s="63"/>
      <c r="OF65" s="62"/>
      <c r="OG65" s="63"/>
      <c r="OH65" s="62"/>
      <c r="OI65" s="63"/>
      <c r="OJ65" s="62"/>
      <c r="OK65" s="63"/>
      <c r="OL65" s="62"/>
      <c r="OM65" s="63"/>
      <c r="ON65" s="62"/>
      <c r="OO65" s="63"/>
      <c r="OP65" s="62"/>
      <c r="OQ65" s="63"/>
      <c r="OR65" s="62"/>
      <c r="OS65" s="63"/>
      <c r="OT65" s="62"/>
      <c r="OU65" s="63"/>
      <c r="OV65" s="62"/>
      <c r="OW65" s="63"/>
      <c r="OX65" s="62"/>
      <c r="OY65" s="63"/>
      <c r="OZ65" s="62"/>
      <c r="PA65" s="63"/>
      <c r="PB65" s="62"/>
      <c r="PC65" s="63"/>
      <c r="PD65" s="62"/>
      <c r="PE65" s="63"/>
      <c r="PF65" s="62"/>
      <c r="PG65" s="63"/>
      <c r="PH65" s="62"/>
      <c r="PI65" s="63"/>
      <c r="PJ65" s="62"/>
      <c r="PK65" s="63"/>
      <c r="PL65" s="62"/>
      <c r="PM65" s="63"/>
      <c r="PN65" s="62"/>
      <c r="PO65" s="63"/>
      <c r="PP65" s="62"/>
      <c r="PQ65" s="63"/>
      <c r="PR65" s="62"/>
      <c r="PS65" s="63"/>
      <c r="PT65" s="62"/>
      <c r="PU65" s="63"/>
      <c r="PV65" s="62"/>
      <c r="PW65" s="63"/>
      <c r="PX65" s="62"/>
      <c r="PY65" s="63"/>
      <c r="PZ65" s="62"/>
      <c r="QA65" s="63"/>
      <c r="QB65" s="62"/>
      <c r="QC65" s="63"/>
      <c r="QD65" s="62"/>
      <c r="QE65" s="63"/>
      <c r="QF65" s="62"/>
      <c r="QG65" s="63"/>
      <c r="QH65" s="62"/>
      <c r="QI65" s="63"/>
      <c r="QJ65" s="62"/>
      <c r="QK65" s="63"/>
      <c r="QL65" s="62"/>
      <c r="QM65" s="63"/>
      <c r="QN65" s="62"/>
      <c r="QO65" s="63"/>
      <c r="QP65" s="62"/>
      <c r="QQ65" s="63"/>
      <c r="QR65" s="62"/>
      <c r="QS65" s="63"/>
      <c r="QT65" s="62"/>
      <c r="QU65" s="63"/>
      <c r="QV65" s="62"/>
      <c r="QW65" s="63"/>
      <c r="QX65" s="62"/>
      <c r="QY65" s="63"/>
      <c r="QZ65" s="62"/>
      <c r="RA65" s="63"/>
      <c r="RB65" s="62"/>
      <c r="RC65" s="63"/>
      <c r="RD65" s="31"/>
    </row>
    <row r="66" spans="1:472" s="5" customFormat="1" ht="15" hidden="1" customHeight="1" x14ac:dyDescent="0.25">
      <c r="A66" s="41">
        <v>2075</v>
      </c>
      <c r="B66" s="41" t="s">
        <v>726</v>
      </c>
      <c r="C66" s="41" t="s">
        <v>527</v>
      </c>
      <c r="D66" s="41">
        <v>165</v>
      </c>
      <c r="E66" s="42"/>
      <c r="F66" s="41" t="s">
        <v>289</v>
      </c>
      <c r="I66" s="62"/>
      <c r="J66" s="63"/>
      <c r="K66" s="62"/>
      <c r="L66" s="63"/>
      <c r="M66" s="62"/>
      <c r="N66" s="63"/>
      <c r="O66" s="62"/>
      <c r="P66" s="63"/>
      <c r="Q66" s="62"/>
      <c r="R66" s="63"/>
      <c r="S66" s="62"/>
      <c r="T66" s="63"/>
      <c r="X66" s="62"/>
      <c r="Y66" s="63"/>
      <c r="Z66" s="62"/>
      <c r="AA66" s="63"/>
      <c r="AB66" s="62"/>
      <c r="AC66" s="63"/>
      <c r="AD66" s="62"/>
      <c r="AE66" s="63"/>
      <c r="AF66" s="62"/>
      <c r="AG66" s="63"/>
      <c r="AH66" s="62"/>
      <c r="AI66" s="63"/>
      <c r="AJ66" s="62"/>
      <c r="AK66" s="63"/>
      <c r="AL66" s="62"/>
      <c r="AM66" s="63"/>
      <c r="AN66" s="62"/>
      <c r="AO66" s="63"/>
      <c r="AP66" s="62"/>
      <c r="AQ66" s="63"/>
      <c r="AR66" s="62"/>
      <c r="AS66" s="63"/>
      <c r="AT66" s="62"/>
      <c r="AU66" s="63"/>
      <c r="AV66" s="62"/>
      <c r="AW66" s="63"/>
      <c r="AX66" s="62"/>
      <c r="AY66" s="63"/>
      <c r="AZ66" s="62"/>
      <c r="BA66" s="63"/>
      <c r="BB66" s="62"/>
      <c r="BC66" s="63"/>
      <c r="BD66" s="62"/>
      <c r="BE66" s="63"/>
      <c r="BF66" s="62"/>
      <c r="BG66" s="63"/>
      <c r="BH66" s="62"/>
      <c r="BI66" s="63"/>
      <c r="BJ66" s="62"/>
      <c r="BK66" s="63"/>
      <c r="BL66" s="62"/>
      <c r="BM66" s="63"/>
      <c r="BN66" s="62"/>
      <c r="BO66" s="63"/>
      <c r="BP66" s="62"/>
      <c r="BQ66" s="63"/>
      <c r="BR66" s="62"/>
      <c r="BS66" s="63"/>
      <c r="BT66" s="62"/>
      <c r="BU66" s="63"/>
      <c r="BV66" s="62"/>
      <c r="BW66" s="63"/>
      <c r="BX66" s="62"/>
      <c r="BY66" s="63"/>
      <c r="BZ66" s="62"/>
      <c r="CA66" s="63"/>
      <c r="CB66" s="62"/>
      <c r="CC66" s="63"/>
      <c r="CD66" s="62"/>
      <c r="CE66" s="63"/>
      <c r="CF66" s="62"/>
      <c r="CG66" s="63"/>
      <c r="CH66" s="62"/>
      <c r="CI66" s="63"/>
      <c r="CJ66" s="62"/>
      <c r="CK66" s="63"/>
      <c r="CL66" s="62"/>
      <c r="CM66" s="63"/>
      <c r="CN66" s="62"/>
      <c r="CO66" s="63"/>
      <c r="CP66" s="62"/>
      <c r="CQ66" s="63"/>
      <c r="CR66" s="62"/>
      <c r="CS66" s="63"/>
      <c r="CT66" s="62"/>
      <c r="CU66" s="63"/>
      <c r="CV66" s="62"/>
      <c r="CW66" s="63"/>
      <c r="CX66" s="62"/>
      <c r="CY66" s="63"/>
      <c r="CZ66" s="62"/>
      <c r="DA66" s="63"/>
      <c r="DB66" s="62"/>
      <c r="DC66" s="63"/>
      <c r="DD66" s="62"/>
      <c r="DE66" s="63"/>
      <c r="DF66" s="62"/>
      <c r="DG66" s="63"/>
      <c r="DH66" s="62"/>
      <c r="DI66" s="63"/>
      <c r="DJ66" s="62"/>
      <c r="DK66" s="63"/>
      <c r="DL66" s="62"/>
      <c r="DM66" s="63"/>
      <c r="DN66" s="62"/>
      <c r="DO66" s="63"/>
      <c r="DP66" s="62"/>
      <c r="DQ66" s="63"/>
      <c r="DR66" s="62"/>
      <c r="DS66" s="63"/>
      <c r="DT66" s="62"/>
      <c r="DU66" s="63"/>
      <c r="DV66" s="62"/>
      <c r="DW66" s="63"/>
      <c r="DX66" s="62"/>
      <c r="DY66" s="63"/>
      <c r="DZ66" s="62"/>
      <c r="EA66" s="63"/>
      <c r="EB66" s="62"/>
      <c r="EC66" s="63"/>
      <c r="ED66" s="62"/>
      <c r="EE66" s="63"/>
      <c r="EF66" s="62"/>
      <c r="EG66" s="63"/>
      <c r="EH66" s="62"/>
      <c r="EI66" s="63"/>
      <c r="EJ66" s="62"/>
      <c r="EK66" s="63"/>
      <c r="EL66" s="62"/>
      <c r="EM66" s="63"/>
      <c r="EN66" s="62"/>
      <c r="EO66" s="63"/>
      <c r="EP66" s="62"/>
      <c r="EQ66" s="63"/>
      <c r="ER66" s="62"/>
      <c r="ES66" s="63"/>
      <c r="ET66" s="62"/>
      <c r="EU66" s="63"/>
      <c r="EV66" s="62"/>
      <c r="EW66" s="63"/>
      <c r="EX66" s="62"/>
      <c r="EY66" s="63"/>
      <c r="EZ66" s="62"/>
      <c r="FA66" s="63"/>
      <c r="FB66" s="62"/>
      <c r="FC66" s="63" t="s">
        <v>66</v>
      </c>
      <c r="FD66" s="62" t="s">
        <v>66</v>
      </c>
      <c r="FE66" s="63"/>
      <c r="FF66" s="62" t="s">
        <v>66</v>
      </c>
      <c r="FG66" s="63"/>
      <c r="FH66" s="62" t="s">
        <v>38</v>
      </c>
      <c r="FI66" s="63"/>
      <c r="FJ66" s="62" t="s">
        <v>38</v>
      </c>
      <c r="FK66" s="63"/>
      <c r="FL66" s="62" t="s">
        <v>38</v>
      </c>
      <c r="FM66" s="63"/>
      <c r="FN66" s="62" t="s">
        <v>36</v>
      </c>
      <c r="FO66" s="63"/>
      <c r="FP66" s="62" t="s">
        <v>36</v>
      </c>
      <c r="FQ66" s="63"/>
      <c r="FR66" s="62" t="s">
        <v>36</v>
      </c>
      <c r="FS66" s="63"/>
      <c r="FT66" s="62" t="s">
        <v>36</v>
      </c>
      <c r="FU66" s="63"/>
      <c r="FV66" s="62" t="s">
        <v>36</v>
      </c>
      <c r="FW66" s="63"/>
      <c r="FX66" s="62" t="s">
        <v>36</v>
      </c>
      <c r="FY66" s="63"/>
      <c r="FZ66" s="62" t="s">
        <v>36</v>
      </c>
      <c r="GA66" s="63"/>
      <c r="GB66" s="62" t="s">
        <v>36</v>
      </c>
      <c r="GC66" s="63"/>
      <c r="GD66" s="62" t="s">
        <v>37</v>
      </c>
      <c r="GE66" s="63"/>
      <c r="GF66" s="62" t="s">
        <v>37</v>
      </c>
      <c r="GG66" s="63"/>
      <c r="GH66" s="62" t="s">
        <v>37</v>
      </c>
      <c r="GI66" s="63"/>
      <c r="GJ66" s="62" t="s">
        <v>37</v>
      </c>
      <c r="GK66" s="63"/>
      <c r="GL66" s="62" t="s">
        <v>37</v>
      </c>
      <c r="GM66" s="63"/>
      <c r="GN66" s="62"/>
      <c r="GO66" s="63"/>
      <c r="GP66" s="62"/>
      <c r="GQ66" s="63"/>
      <c r="GR66" s="62"/>
      <c r="GS66" s="63"/>
      <c r="GT66" s="62"/>
      <c r="GU66" s="63"/>
      <c r="GV66" s="62"/>
      <c r="GW66" s="63"/>
      <c r="GX66" s="62"/>
      <c r="GY66" s="63"/>
      <c r="GZ66" s="62"/>
      <c r="HA66" s="63"/>
      <c r="HB66" s="62"/>
      <c r="HC66" s="63"/>
      <c r="HD66" s="62"/>
      <c r="HE66" s="63"/>
      <c r="HF66" s="62"/>
      <c r="HG66" s="63"/>
      <c r="HH66" s="62"/>
      <c r="HI66" s="63"/>
      <c r="HJ66" s="62"/>
      <c r="HK66" s="63"/>
      <c r="HL66" s="62"/>
      <c r="HM66" s="63"/>
      <c r="HN66" s="62"/>
      <c r="HO66" s="63"/>
      <c r="HP66" s="62"/>
      <c r="HQ66" s="63"/>
      <c r="HR66" s="62"/>
      <c r="HS66" s="63"/>
      <c r="HT66" s="62"/>
      <c r="HU66" s="63"/>
      <c r="HV66" s="62"/>
      <c r="HW66" s="63"/>
      <c r="HX66" s="62"/>
      <c r="HY66" s="63"/>
      <c r="HZ66" s="62"/>
      <c r="IA66" s="63"/>
      <c r="IB66" s="62"/>
      <c r="IC66" s="63"/>
      <c r="ID66" s="62"/>
      <c r="IE66" s="63"/>
      <c r="IF66" s="62"/>
      <c r="IG66" s="63"/>
      <c r="IH66" s="62"/>
      <c r="II66" s="63"/>
      <c r="IJ66" s="62"/>
      <c r="IK66" s="63"/>
      <c r="IL66" s="62"/>
      <c r="IM66" s="63"/>
      <c r="IN66" s="62"/>
      <c r="IO66" s="63"/>
      <c r="IP66" s="62"/>
      <c r="IQ66" s="63"/>
      <c r="IR66" s="62"/>
      <c r="IS66" s="63"/>
      <c r="IT66" s="62"/>
      <c r="IU66" s="63"/>
      <c r="IV66" s="62"/>
      <c r="IW66" s="63"/>
      <c r="IX66" s="62"/>
      <c r="IY66" s="63"/>
      <c r="IZ66" s="62"/>
      <c r="JA66" s="63"/>
      <c r="JB66" s="62"/>
      <c r="JC66" s="63"/>
      <c r="JD66" s="62"/>
      <c r="JE66" s="63"/>
      <c r="JF66" s="62"/>
      <c r="JG66" s="63"/>
      <c r="JH66" s="62"/>
      <c r="JI66" s="63"/>
      <c r="JJ66" s="62"/>
      <c r="JK66" s="63"/>
      <c r="JL66" s="62"/>
      <c r="JM66" s="63"/>
      <c r="JN66" s="62"/>
      <c r="JO66" s="63"/>
      <c r="JP66" s="62"/>
      <c r="JQ66" s="63"/>
      <c r="JR66" s="62"/>
      <c r="JS66" s="63"/>
      <c r="JT66" s="62"/>
      <c r="JU66" s="63"/>
      <c r="JV66" s="62"/>
      <c r="JW66" s="63"/>
      <c r="JX66" s="62"/>
      <c r="JY66" s="63"/>
      <c r="JZ66" s="62"/>
      <c r="KA66" s="63"/>
      <c r="KB66" s="62"/>
      <c r="KC66" s="63"/>
      <c r="KD66" s="62"/>
      <c r="KE66" s="63"/>
      <c r="KF66" s="62"/>
      <c r="KG66" s="63"/>
      <c r="KH66" s="62"/>
      <c r="KI66" s="63"/>
      <c r="KJ66" s="62"/>
      <c r="KK66" s="63"/>
      <c r="KL66" s="62"/>
      <c r="KM66" s="63"/>
      <c r="KN66" s="62"/>
      <c r="KO66" s="63"/>
      <c r="KP66" s="62"/>
      <c r="KQ66" s="63"/>
      <c r="KR66" s="62"/>
      <c r="KS66" s="63"/>
      <c r="KT66" s="62"/>
      <c r="KU66" s="63"/>
      <c r="KV66" s="62"/>
      <c r="KW66" s="63"/>
      <c r="KX66" s="62"/>
      <c r="KY66" s="63"/>
      <c r="KZ66" s="62"/>
      <c r="LA66" s="63"/>
      <c r="LB66" s="62"/>
      <c r="LC66" s="63"/>
      <c r="LD66" s="62"/>
      <c r="LE66" s="63"/>
      <c r="LF66" s="62"/>
      <c r="LG66" s="63"/>
      <c r="LH66" s="62"/>
      <c r="LI66" s="63"/>
      <c r="LJ66" s="62"/>
      <c r="LK66" s="63"/>
      <c r="LL66" s="62"/>
      <c r="LM66" s="63"/>
      <c r="LN66" s="62"/>
      <c r="LO66" s="63"/>
      <c r="LP66" s="62"/>
      <c r="LQ66" s="63"/>
      <c r="LR66" s="62"/>
      <c r="LS66" s="63"/>
      <c r="LT66" s="62"/>
      <c r="LU66" s="63"/>
      <c r="LV66" s="62"/>
      <c r="LW66" s="63"/>
      <c r="LX66" s="62"/>
      <c r="LY66" s="63"/>
      <c r="LZ66" s="62"/>
      <c r="MA66" s="63"/>
      <c r="MB66" s="62"/>
      <c r="MC66" s="63"/>
      <c r="MD66" s="62"/>
      <c r="ME66" s="63"/>
      <c r="MF66" s="62"/>
      <c r="MG66" s="63"/>
      <c r="MH66" s="62"/>
      <c r="MI66" s="63"/>
      <c r="MJ66" s="62"/>
      <c r="MK66" s="63"/>
      <c r="ML66" s="62"/>
      <c r="MM66" s="63"/>
      <c r="MN66" s="62"/>
      <c r="MO66" s="63"/>
      <c r="MP66" s="62"/>
      <c r="MQ66" s="63"/>
      <c r="MR66" s="62"/>
      <c r="MS66" s="63"/>
      <c r="MT66" s="62"/>
      <c r="MU66" s="63"/>
      <c r="MV66" s="62"/>
      <c r="MW66" s="63"/>
      <c r="MX66" s="62"/>
      <c r="MY66" s="63"/>
      <c r="MZ66" s="62"/>
      <c r="NA66" s="63"/>
      <c r="NB66" s="62"/>
      <c r="NC66" s="63"/>
      <c r="ND66" s="62"/>
      <c r="NE66" s="63"/>
      <c r="NF66" s="62"/>
      <c r="NG66" s="63"/>
      <c r="NH66" s="62"/>
      <c r="NI66" s="63"/>
      <c r="NJ66" s="62"/>
      <c r="NK66" s="63"/>
      <c r="NL66" s="62"/>
      <c r="NM66" s="63"/>
      <c r="NN66" s="62"/>
      <c r="NO66" s="63"/>
      <c r="NP66" s="62"/>
      <c r="NQ66" s="63"/>
      <c r="NR66" s="62"/>
      <c r="NS66" s="63"/>
      <c r="NT66" s="62"/>
      <c r="NU66" s="63"/>
      <c r="NV66" s="62"/>
      <c r="NW66" s="63"/>
      <c r="NX66" s="62"/>
      <c r="NY66" s="63"/>
      <c r="NZ66" s="62"/>
      <c r="OA66" s="63"/>
      <c r="OB66" s="62"/>
      <c r="OC66" s="63"/>
      <c r="OD66" s="62"/>
      <c r="OE66" s="63"/>
      <c r="OF66" s="62"/>
      <c r="OG66" s="63"/>
      <c r="OH66" s="62"/>
      <c r="OI66" s="63"/>
      <c r="OJ66" s="62"/>
      <c r="OK66" s="63"/>
      <c r="OL66" s="62"/>
      <c r="OM66" s="63"/>
      <c r="ON66" s="62"/>
      <c r="OO66" s="63"/>
      <c r="OP66" s="62"/>
      <c r="OQ66" s="63"/>
      <c r="OR66" s="62"/>
      <c r="OS66" s="63"/>
      <c r="OT66" s="62"/>
      <c r="OU66" s="63"/>
      <c r="OV66" s="62"/>
      <c r="OW66" s="63"/>
      <c r="OX66" s="62"/>
      <c r="OY66" s="63"/>
      <c r="OZ66" s="62"/>
      <c r="PA66" s="63"/>
      <c r="PB66" s="62"/>
      <c r="PC66" s="63"/>
      <c r="PD66" s="62"/>
      <c r="PE66" s="63"/>
      <c r="PF66" s="62"/>
      <c r="PG66" s="63"/>
      <c r="PH66" s="62"/>
      <c r="PI66" s="63"/>
      <c r="PJ66" s="62"/>
      <c r="PK66" s="63"/>
      <c r="PL66" s="62"/>
      <c r="PM66" s="63"/>
      <c r="PN66" s="62"/>
      <c r="PO66" s="63"/>
      <c r="PP66" s="62"/>
      <c r="PQ66" s="63"/>
      <c r="PR66" s="62"/>
      <c r="PS66" s="63"/>
      <c r="PT66" s="62"/>
      <c r="PU66" s="63"/>
      <c r="PV66" s="62"/>
      <c r="PW66" s="63"/>
      <c r="PX66" s="62"/>
      <c r="PY66" s="63"/>
      <c r="PZ66" s="62"/>
      <c r="QA66" s="63"/>
      <c r="QB66" s="62"/>
      <c r="QC66" s="63"/>
      <c r="QD66" s="62"/>
      <c r="QE66" s="63"/>
      <c r="QF66" s="62"/>
      <c r="QG66" s="63"/>
      <c r="QH66" s="62"/>
      <c r="QI66" s="63"/>
      <c r="QJ66" s="62"/>
      <c r="QK66" s="63"/>
      <c r="QL66" s="62"/>
      <c r="QM66" s="63"/>
      <c r="QN66" s="62"/>
      <c r="QO66" s="63"/>
      <c r="QP66" s="62"/>
      <c r="QQ66" s="63"/>
      <c r="QR66" s="62"/>
      <c r="QS66" s="63"/>
      <c r="QT66" s="62"/>
      <c r="QU66" s="63"/>
      <c r="QV66" s="62"/>
      <c r="QW66" s="63"/>
      <c r="QX66" s="62"/>
      <c r="QY66" s="63"/>
      <c r="QZ66" s="62"/>
      <c r="RA66" s="63"/>
      <c r="RB66" s="62"/>
      <c r="RC66" s="63"/>
      <c r="RD66" s="31"/>
    </row>
    <row r="67" spans="1:472" s="5" customFormat="1" ht="15" hidden="1" customHeight="1" x14ac:dyDescent="0.25">
      <c r="A67" s="41">
        <v>2069</v>
      </c>
      <c r="B67" s="41" t="s">
        <v>714</v>
      </c>
      <c r="C67" s="41" t="s">
        <v>4</v>
      </c>
      <c r="D67" s="41">
        <v>171</v>
      </c>
      <c r="E67" s="42"/>
      <c r="F67" s="41" t="s">
        <v>271</v>
      </c>
      <c r="I67" s="62"/>
      <c r="J67" s="63"/>
      <c r="K67" s="62"/>
      <c r="L67" s="63"/>
      <c r="M67" s="62"/>
      <c r="N67" s="63"/>
      <c r="O67" s="62"/>
      <c r="P67" s="63"/>
      <c r="Q67" s="62"/>
      <c r="R67" s="63"/>
      <c r="S67" s="62"/>
      <c r="T67" s="63"/>
      <c r="X67" s="62"/>
      <c r="Y67" s="63"/>
      <c r="Z67" s="62"/>
      <c r="AA67" s="63"/>
      <c r="AB67" s="62"/>
      <c r="AC67" s="63"/>
      <c r="AD67" s="62"/>
      <c r="AE67" s="63"/>
      <c r="AF67" s="62"/>
      <c r="AG67" s="63"/>
      <c r="AH67" s="62"/>
      <c r="AI67" s="63"/>
      <c r="AJ67" s="62"/>
      <c r="AK67" s="63"/>
      <c r="AL67" s="62"/>
      <c r="AM67" s="63"/>
      <c r="AN67" s="62"/>
      <c r="AO67" s="63"/>
      <c r="AP67" s="62"/>
      <c r="AQ67" s="63"/>
      <c r="AR67" s="62"/>
      <c r="AS67" s="63"/>
      <c r="AT67" s="62"/>
      <c r="AU67" s="63"/>
      <c r="AV67" s="62"/>
      <c r="AW67" s="63"/>
      <c r="AX67" s="62"/>
      <c r="AY67" s="63"/>
      <c r="AZ67" s="62"/>
      <c r="BA67" s="63"/>
      <c r="BB67" s="62"/>
      <c r="BC67" s="63"/>
      <c r="BD67" s="62"/>
      <c r="BE67" s="63"/>
      <c r="BF67" s="62"/>
      <c r="BG67" s="63"/>
      <c r="BH67" s="62"/>
      <c r="BI67" s="63"/>
      <c r="BJ67" s="62"/>
      <c r="BK67" s="63"/>
      <c r="BL67" s="62"/>
      <c r="BM67" s="63"/>
      <c r="BN67" s="62"/>
      <c r="BO67" s="63"/>
      <c r="BP67" s="62"/>
      <c r="BQ67" s="63"/>
      <c r="BR67" s="62"/>
      <c r="BS67" s="63"/>
      <c r="BT67" s="62"/>
      <c r="BU67" s="63"/>
      <c r="BV67" s="62"/>
      <c r="BW67" s="63"/>
      <c r="BX67" s="62"/>
      <c r="BY67" s="63"/>
      <c r="BZ67" s="62"/>
      <c r="CA67" s="63"/>
      <c r="CB67" s="62"/>
      <c r="CC67" s="63"/>
      <c r="CD67" s="62"/>
      <c r="CE67" s="63"/>
      <c r="CF67" s="62"/>
      <c r="CG67" s="63"/>
      <c r="CH67" s="62"/>
      <c r="CI67" s="63"/>
      <c r="CJ67" s="62"/>
      <c r="CK67" s="63"/>
      <c r="CL67" s="62"/>
      <c r="CM67" s="63"/>
      <c r="CN67" s="62"/>
      <c r="CO67" s="63"/>
      <c r="CP67" s="62"/>
      <c r="CQ67" s="63"/>
      <c r="CR67" s="62"/>
      <c r="CS67" s="63"/>
      <c r="CT67" s="62"/>
      <c r="CU67" s="63"/>
      <c r="CV67" s="62"/>
      <c r="CW67" s="63"/>
      <c r="CX67" s="62"/>
      <c r="CY67" s="63"/>
      <c r="CZ67" s="62"/>
      <c r="DA67" s="63"/>
      <c r="DB67" s="62"/>
      <c r="DC67" s="63"/>
      <c r="DD67" s="62"/>
      <c r="DE67" s="63"/>
      <c r="DF67" s="62"/>
      <c r="DG67" s="63"/>
      <c r="DH67" s="62"/>
      <c r="DI67" s="63"/>
      <c r="DJ67" s="62"/>
      <c r="DK67" s="63"/>
      <c r="DL67" s="62"/>
      <c r="DM67" s="63"/>
      <c r="DN67" s="62"/>
      <c r="DO67" s="63"/>
      <c r="DP67" s="62"/>
      <c r="DQ67" s="63"/>
      <c r="DR67" s="62"/>
      <c r="DS67" s="63"/>
      <c r="DT67" s="62"/>
      <c r="DU67" s="63"/>
      <c r="DV67" s="62"/>
      <c r="DW67" s="63"/>
      <c r="DX67" s="62"/>
      <c r="DY67" s="63"/>
      <c r="DZ67" s="62"/>
      <c r="EA67" s="63"/>
      <c r="EB67" s="62"/>
      <c r="EC67" s="63"/>
      <c r="ED67" s="62"/>
      <c r="EE67" s="63"/>
      <c r="EF67" s="62"/>
      <c r="EG67" s="63"/>
      <c r="EH67" s="62"/>
      <c r="EI67" s="63"/>
      <c r="EJ67" s="62"/>
      <c r="EK67" s="63"/>
      <c r="EL67" s="62"/>
      <c r="EM67" s="63"/>
      <c r="EN67" s="62"/>
      <c r="EO67" s="63"/>
      <c r="EP67" s="62"/>
      <c r="EQ67" s="63"/>
      <c r="ER67" s="62"/>
      <c r="ES67" s="63"/>
      <c r="ET67" s="62"/>
      <c r="EU67" s="63"/>
      <c r="EV67" s="62"/>
      <c r="EW67" s="63"/>
      <c r="EX67" s="62"/>
      <c r="EY67" s="63"/>
      <c r="EZ67" s="62"/>
      <c r="FA67" s="63"/>
      <c r="FB67" s="62"/>
      <c r="FC67" s="63"/>
      <c r="FD67" s="62" t="s">
        <v>66</v>
      </c>
      <c r="FE67" s="63"/>
      <c r="FF67" s="62" t="s">
        <v>66</v>
      </c>
      <c r="FG67" s="63"/>
      <c r="FH67" s="62" t="s">
        <v>38</v>
      </c>
      <c r="FI67" s="63"/>
      <c r="FJ67" s="62" t="s">
        <v>38</v>
      </c>
      <c r="FK67" s="63"/>
      <c r="FL67" s="62" t="s">
        <v>38</v>
      </c>
      <c r="FM67" s="63"/>
      <c r="FN67" s="62" t="s">
        <v>36</v>
      </c>
      <c r="FO67" s="63"/>
      <c r="FP67" s="62" t="s">
        <v>36</v>
      </c>
      <c r="FQ67" s="63"/>
      <c r="FR67" s="62" t="s">
        <v>36</v>
      </c>
      <c r="FS67" s="63"/>
      <c r="FT67" s="62" t="s">
        <v>36</v>
      </c>
      <c r="FU67" s="63"/>
      <c r="FV67" s="62" t="s">
        <v>36</v>
      </c>
      <c r="FW67" s="63"/>
      <c r="FX67" s="62" t="s">
        <v>36</v>
      </c>
      <c r="FY67" s="63"/>
      <c r="FZ67" s="62" t="s">
        <v>36</v>
      </c>
      <c r="GA67" s="63"/>
      <c r="GB67" s="62" t="s">
        <v>36</v>
      </c>
      <c r="GC67" s="63"/>
      <c r="GD67" s="62" t="s">
        <v>37</v>
      </c>
      <c r="GE67" s="63"/>
      <c r="GF67" s="62" t="s">
        <v>37</v>
      </c>
      <c r="GG67" s="63"/>
      <c r="GH67" s="62" t="s">
        <v>37</v>
      </c>
      <c r="GI67" s="63"/>
      <c r="GJ67" s="62" t="s">
        <v>37</v>
      </c>
      <c r="GK67" s="63"/>
      <c r="GL67" s="62" t="s">
        <v>37</v>
      </c>
      <c r="GM67" s="63"/>
      <c r="GN67" s="62"/>
      <c r="GO67" s="63"/>
      <c r="GP67" s="62"/>
      <c r="GQ67" s="63"/>
      <c r="GR67" s="62"/>
      <c r="GS67" s="63"/>
      <c r="GT67" s="62"/>
      <c r="GU67" s="63"/>
      <c r="GV67" s="62"/>
      <c r="GW67" s="63"/>
      <c r="GX67" s="62"/>
      <c r="GY67" s="63"/>
      <c r="GZ67" s="62"/>
      <c r="HA67" s="63"/>
      <c r="HB67" s="62"/>
      <c r="HC67" s="63"/>
      <c r="HD67" s="62"/>
      <c r="HE67" s="63"/>
      <c r="HF67" s="62"/>
      <c r="HG67" s="63"/>
      <c r="HH67" s="62"/>
      <c r="HI67" s="63"/>
      <c r="HJ67" s="62"/>
      <c r="HK67" s="63"/>
      <c r="HL67" s="62"/>
      <c r="HM67" s="63"/>
      <c r="HN67" s="62"/>
      <c r="HO67" s="63"/>
      <c r="HP67" s="62"/>
      <c r="HQ67" s="63"/>
      <c r="HR67" s="62"/>
      <c r="HS67" s="63"/>
      <c r="HT67" s="62"/>
      <c r="HU67" s="63"/>
      <c r="HV67" s="62"/>
      <c r="HW67" s="63"/>
      <c r="HX67" s="62"/>
      <c r="HY67" s="63"/>
      <c r="HZ67" s="62"/>
      <c r="IA67" s="63"/>
      <c r="IB67" s="62"/>
      <c r="IC67" s="63"/>
      <c r="ID67" s="62"/>
      <c r="IE67" s="63"/>
      <c r="IF67" s="62"/>
      <c r="IG67" s="63"/>
      <c r="IH67" s="62"/>
      <c r="II67" s="63"/>
      <c r="IJ67" s="62"/>
      <c r="IK67" s="63"/>
      <c r="IL67" s="62"/>
      <c r="IM67" s="63"/>
      <c r="IN67" s="62"/>
      <c r="IO67" s="63"/>
      <c r="IP67" s="62"/>
      <c r="IQ67" s="63"/>
      <c r="IR67" s="62"/>
      <c r="IS67" s="63"/>
      <c r="IT67" s="62"/>
      <c r="IU67" s="63"/>
      <c r="IV67" s="62"/>
      <c r="IW67" s="63"/>
      <c r="IX67" s="62"/>
      <c r="IY67" s="63"/>
      <c r="IZ67" s="62"/>
      <c r="JA67" s="63"/>
      <c r="JB67" s="62"/>
      <c r="JC67" s="63"/>
      <c r="JD67" s="62"/>
      <c r="JE67" s="63"/>
      <c r="JF67" s="62"/>
      <c r="JG67" s="63"/>
      <c r="JH67" s="62"/>
      <c r="JI67" s="63"/>
      <c r="JJ67" s="62"/>
      <c r="JK67" s="63"/>
      <c r="JL67" s="62"/>
      <c r="JM67" s="63"/>
      <c r="JN67" s="62"/>
      <c r="JO67" s="63"/>
      <c r="JP67" s="62"/>
      <c r="JQ67" s="63"/>
      <c r="JR67" s="62"/>
      <c r="JS67" s="63"/>
      <c r="JT67" s="62"/>
      <c r="JU67" s="63"/>
      <c r="JV67" s="62"/>
      <c r="JW67" s="63"/>
      <c r="JX67" s="62"/>
      <c r="JY67" s="63"/>
      <c r="JZ67" s="62"/>
      <c r="KA67" s="63"/>
      <c r="KB67" s="62"/>
      <c r="KC67" s="63"/>
      <c r="KD67" s="62"/>
      <c r="KE67" s="63"/>
      <c r="KF67" s="62"/>
      <c r="KG67" s="63"/>
      <c r="KH67" s="62"/>
      <c r="KI67" s="63"/>
      <c r="KJ67" s="62"/>
      <c r="KK67" s="63"/>
      <c r="KL67" s="62"/>
      <c r="KM67" s="63"/>
      <c r="KN67" s="62"/>
      <c r="KO67" s="63"/>
      <c r="KP67" s="62"/>
      <c r="KQ67" s="63"/>
      <c r="KR67" s="62"/>
      <c r="KS67" s="63"/>
      <c r="KT67" s="62"/>
      <c r="KU67" s="63"/>
      <c r="KV67" s="62"/>
      <c r="KW67" s="63"/>
      <c r="KX67" s="62"/>
      <c r="KY67" s="63"/>
      <c r="KZ67" s="62"/>
      <c r="LA67" s="63"/>
      <c r="LB67" s="62"/>
      <c r="LC67" s="63"/>
      <c r="LD67" s="62"/>
      <c r="LE67" s="63"/>
      <c r="LF67" s="62"/>
      <c r="LG67" s="63"/>
      <c r="LH67" s="62"/>
      <c r="LI67" s="63"/>
      <c r="LJ67" s="62"/>
      <c r="LK67" s="63"/>
      <c r="LL67" s="62"/>
      <c r="LM67" s="63"/>
      <c r="LN67" s="62"/>
      <c r="LO67" s="63"/>
      <c r="LP67" s="62"/>
      <c r="LQ67" s="63"/>
      <c r="LR67" s="62"/>
      <c r="LS67" s="63"/>
      <c r="LT67" s="62"/>
      <c r="LU67" s="63"/>
      <c r="LV67" s="62"/>
      <c r="LW67" s="63"/>
      <c r="LX67" s="62"/>
      <c r="LY67" s="63"/>
      <c r="LZ67" s="62"/>
      <c r="MA67" s="63"/>
      <c r="MB67" s="62"/>
      <c r="MC67" s="63"/>
      <c r="MD67" s="62"/>
      <c r="ME67" s="63"/>
      <c r="MF67" s="62"/>
      <c r="MG67" s="63"/>
      <c r="MH67" s="62"/>
      <c r="MI67" s="63"/>
      <c r="MJ67" s="62"/>
      <c r="MK67" s="63"/>
      <c r="ML67" s="62"/>
      <c r="MM67" s="63"/>
      <c r="MN67" s="62"/>
      <c r="MO67" s="63"/>
      <c r="MP67" s="62"/>
      <c r="MQ67" s="63"/>
      <c r="MR67" s="62"/>
      <c r="MS67" s="63"/>
      <c r="MT67" s="62"/>
      <c r="MU67" s="63"/>
      <c r="MV67" s="62"/>
      <c r="MW67" s="63"/>
      <c r="MX67" s="62"/>
      <c r="MY67" s="63"/>
      <c r="MZ67" s="62"/>
      <c r="NA67" s="63"/>
      <c r="NB67" s="62"/>
      <c r="NC67" s="63"/>
      <c r="ND67" s="62"/>
      <c r="NE67" s="63"/>
      <c r="NF67" s="62"/>
      <c r="NG67" s="63"/>
      <c r="NH67" s="62"/>
      <c r="NI67" s="63"/>
      <c r="NJ67" s="62"/>
      <c r="NK67" s="63"/>
      <c r="NL67" s="62"/>
      <c r="NM67" s="63"/>
      <c r="NN67" s="62"/>
      <c r="NO67" s="63"/>
      <c r="NP67" s="62"/>
      <c r="NQ67" s="63"/>
      <c r="NR67" s="62"/>
      <c r="NS67" s="63"/>
      <c r="NT67" s="62"/>
      <c r="NU67" s="63"/>
      <c r="NV67" s="62"/>
      <c r="NW67" s="63"/>
      <c r="NX67" s="62"/>
      <c r="NY67" s="63"/>
      <c r="NZ67" s="62"/>
      <c r="OA67" s="63"/>
      <c r="OB67" s="62"/>
      <c r="OC67" s="63"/>
      <c r="OD67" s="62"/>
      <c r="OE67" s="63"/>
      <c r="OF67" s="62"/>
      <c r="OG67" s="63"/>
      <c r="OH67" s="62"/>
      <c r="OI67" s="63"/>
      <c r="OJ67" s="62"/>
      <c r="OK67" s="63"/>
      <c r="OL67" s="62"/>
      <c r="OM67" s="63"/>
      <c r="ON67" s="62"/>
      <c r="OO67" s="63"/>
      <c r="OP67" s="62"/>
      <c r="OQ67" s="63"/>
      <c r="OR67" s="62"/>
      <c r="OS67" s="63"/>
      <c r="OT67" s="62"/>
      <c r="OU67" s="63"/>
      <c r="OV67" s="62"/>
      <c r="OW67" s="63"/>
      <c r="OX67" s="62"/>
      <c r="OY67" s="63"/>
      <c r="OZ67" s="62"/>
      <c r="PA67" s="63"/>
      <c r="PB67" s="62"/>
      <c r="PC67" s="63"/>
      <c r="PD67" s="62"/>
      <c r="PE67" s="63"/>
      <c r="PF67" s="62"/>
      <c r="PG67" s="63"/>
      <c r="PH67" s="62"/>
      <c r="PI67" s="63"/>
      <c r="PJ67" s="62"/>
      <c r="PK67" s="63"/>
      <c r="PL67" s="62"/>
      <c r="PM67" s="63"/>
      <c r="PN67" s="62"/>
      <c r="PO67" s="63"/>
      <c r="PP67" s="62"/>
      <c r="PQ67" s="63"/>
      <c r="PR67" s="62"/>
      <c r="PS67" s="63"/>
      <c r="PT67" s="62"/>
      <c r="PU67" s="63"/>
      <c r="PV67" s="62"/>
      <c r="PW67" s="63"/>
      <c r="PX67" s="62"/>
      <c r="PY67" s="63"/>
      <c r="PZ67" s="62"/>
      <c r="QA67" s="63"/>
      <c r="QB67" s="62"/>
      <c r="QC67" s="63"/>
      <c r="QD67" s="62"/>
      <c r="QE67" s="63"/>
      <c r="QF67" s="62"/>
      <c r="QG67" s="63"/>
      <c r="QH67" s="62"/>
      <c r="QI67" s="63"/>
      <c r="QJ67" s="62"/>
      <c r="QK67" s="63"/>
      <c r="QL67" s="62"/>
      <c r="QM67" s="63"/>
      <c r="QN67" s="62"/>
      <c r="QO67" s="63"/>
      <c r="QP67" s="62"/>
      <c r="QQ67" s="63"/>
      <c r="QR67" s="62"/>
      <c r="QS67" s="63"/>
      <c r="QT67" s="62"/>
      <c r="QU67" s="63"/>
      <c r="QV67" s="62"/>
      <c r="QW67" s="63"/>
      <c r="QX67" s="62"/>
      <c r="QY67" s="63"/>
      <c r="QZ67" s="62"/>
      <c r="RA67" s="63"/>
      <c r="RB67" s="62"/>
      <c r="RC67" s="63"/>
      <c r="RD67" s="31"/>
    </row>
    <row r="68" spans="1:472" s="5" customFormat="1" ht="15" hidden="1" customHeight="1" x14ac:dyDescent="0.25">
      <c r="A68" s="41">
        <v>2079</v>
      </c>
      <c r="B68" s="41" t="s">
        <v>812</v>
      </c>
      <c r="C68" s="41" t="s">
        <v>813</v>
      </c>
      <c r="D68" s="41">
        <v>54</v>
      </c>
      <c r="E68" s="42"/>
      <c r="F68" s="41" t="s">
        <v>833</v>
      </c>
      <c r="I68" s="62"/>
      <c r="J68" s="63"/>
      <c r="K68" s="62"/>
      <c r="L68" s="63"/>
      <c r="M68" s="62"/>
      <c r="N68" s="63"/>
      <c r="O68" s="62"/>
      <c r="P68" s="63"/>
      <c r="Q68" s="62"/>
      <c r="R68" s="63"/>
      <c r="S68" s="62"/>
      <c r="T68" s="63"/>
      <c r="X68" s="62"/>
      <c r="Y68" s="63"/>
      <c r="Z68" s="62"/>
      <c r="AA68" s="63"/>
      <c r="AB68" s="62"/>
      <c r="AC68" s="63"/>
      <c r="AD68" s="62"/>
      <c r="AE68" s="63"/>
      <c r="AF68" s="62"/>
      <c r="AG68" s="63"/>
      <c r="AH68" s="62"/>
      <c r="AI68" s="63"/>
      <c r="AJ68" s="62"/>
      <c r="AK68" s="63"/>
      <c r="AL68" s="62"/>
      <c r="AM68" s="63"/>
      <c r="AN68" s="62"/>
      <c r="AO68" s="63"/>
      <c r="AP68" s="62"/>
      <c r="AQ68" s="63"/>
      <c r="AR68" s="62"/>
      <c r="AS68" s="63"/>
      <c r="AT68" s="62"/>
      <c r="AU68" s="63"/>
      <c r="AV68" s="62"/>
      <c r="AW68" s="63"/>
      <c r="AX68" s="62"/>
      <c r="AY68" s="63"/>
      <c r="AZ68" s="62"/>
      <c r="BA68" s="63"/>
      <c r="BB68" s="62"/>
      <c r="BC68" s="63"/>
      <c r="BD68" s="62"/>
      <c r="BE68" s="63"/>
      <c r="BF68" s="62"/>
      <c r="BG68" s="63"/>
      <c r="BH68" s="62"/>
      <c r="BI68" s="63"/>
      <c r="BJ68" s="62"/>
      <c r="BK68" s="63"/>
      <c r="BL68" s="62"/>
      <c r="BM68" s="63"/>
      <c r="BN68" s="62"/>
      <c r="BO68" s="63"/>
      <c r="BP68" s="62"/>
      <c r="BQ68" s="63"/>
      <c r="BR68" s="62"/>
      <c r="BS68" s="63"/>
      <c r="BT68" s="62"/>
      <c r="BU68" s="63"/>
      <c r="BV68" s="62"/>
      <c r="BW68" s="63"/>
      <c r="BX68" s="62"/>
      <c r="BY68" s="63"/>
      <c r="BZ68" s="62"/>
      <c r="CA68" s="63"/>
      <c r="CB68" s="62"/>
      <c r="CC68" s="63"/>
      <c r="CD68" s="62"/>
      <c r="CE68" s="63"/>
      <c r="CF68" s="62"/>
      <c r="CG68" s="63"/>
      <c r="CH68" s="62"/>
      <c r="CI68" s="63"/>
      <c r="CJ68" s="62"/>
      <c r="CK68" s="63"/>
      <c r="CL68" s="62"/>
      <c r="CM68" s="63"/>
      <c r="CN68" s="62"/>
      <c r="CO68" s="63"/>
      <c r="CP68" s="62"/>
      <c r="CQ68" s="63"/>
      <c r="CR68" s="62"/>
      <c r="CS68" s="63"/>
      <c r="CT68" s="62"/>
      <c r="CU68" s="63"/>
      <c r="CV68" s="62"/>
      <c r="CW68" s="63"/>
      <c r="CX68" s="62"/>
      <c r="CY68" s="63"/>
      <c r="CZ68" s="62"/>
      <c r="DA68" s="63"/>
      <c r="DB68" s="62"/>
      <c r="DC68" s="63"/>
      <c r="DD68" s="62"/>
      <c r="DE68" s="63"/>
      <c r="DF68" s="62"/>
      <c r="DG68" s="63"/>
      <c r="DH68" s="62"/>
      <c r="DI68" s="63"/>
      <c r="DJ68" s="62"/>
      <c r="DK68" s="63"/>
      <c r="DL68" s="62"/>
      <c r="DM68" s="63"/>
      <c r="DN68" s="62"/>
      <c r="DO68" s="63"/>
      <c r="DP68" s="62"/>
      <c r="DQ68" s="63"/>
      <c r="DR68" s="62"/>
      <c r="DS68" s="63"/>
      <c r="DT68" s="62"/>
      <c r="DU68" s="63"/>
      <c r="DV68" s="62"/>
      <c r="DW68" s="63"/>
      <c r="DX68" s="62"/>
      <c r="DY68" s="63"/>
      <c r="DZ68" s="62"/>
      <c r="EA68" s="63"/>
      <c r="EB68" s="62"/>
      <c r="EC68" s="63"/>
      <c r="ED68" s="62"/>
      <c r="EE68" s="63"/>
      <c r="EF68" s="62"/>
      <c r="EG68" s="63"/>
      <c r="EH68" s="62"/>
      <c r="EI68" s="63"/>
      <c r="EJ68" s="62"/>
      <c r="EK68" s="63"/>
      <c r="EL68" s="62"/>
      <c r="EM68" s="63"/>
      <c r="EN68" s="62"/>
      <c r="EO68" s="63"/>
      <c r="EP68" s="62"/>
      <c r="EQ68" s="63"/>
      <c r="ER68" s="62"/>
      <c r="ES68" s="63"/>
      <c r="ET68" s="62"/>
      <c r="EU68" s="63"/>
      <c r="EV68" s="62"/>
      <c r="EW68" s="63"/>
      <c r="EX68" s="62"/>
      <c r="EY68" s="63"/>
      <c r="EZ68" s="62"/>
      <c r="FA68" s="63"/>
      <c r="FB68" s="62"/>
      <c r="FC68" s="63"/>
      <c r="FD68" s="62"/>
      <c r="FE68" s="63"/>
      <c r="FF68" s="62" t="s">
        <v>66</v>
      </c>
      <c r="FG68" s="63"/>
      <c r="FH68" s="62" t="s">
        <v>38</v>
      </c>
      <c r="FI68" s="63"/>
      <c r="FJ68" s="62" t="s">
        <v>36</v>
      </c>
      <c r="FK68" s="63"/>
      <c r="FL68" s="62" t="s">
        <v>704</v>
      </c>
      <c r="FM68" s="63"/>
      <c r="FN68" s="62" t="s">
        <v>36</v>
      </c>
      <c r="FO68" s="63"/>
      <c r="FP68" s="62" t="s">
        <v>36</v>
      </c>
      <c r="FQ68" s="63"/>
      <c r="FR68" s="62" t="s">
        <v>36</v>
      </c>
      <c r="FS68" s="63"/>
      <c r="FT68" s="62" t="s">
        <v>36</v>
      </c>
      <c r="FU68" s="63"/>
      <c r="FV68" s="62" t="s">
        <v>36</v>
      </c>
      <c r="FW68" s="63"/>
      <c r="FX68" s="62" t="s">
        <v>36</v>
      </c>
      <c r="FY68" s="63"/>
      <c r="FZ68" s="62" t="s">
        <v>36</v>
      </c>
      <c r="GA68" s="63"/>
      <c r="GB68" s="31" t="s">
        <v>36</v>
      </c>
      <c r="GC68" s="32" t="s">
        <v>37</v>
      </c>
      <c r="GD68" s="62" t="s">
        <v>37</v>
      </c>
      <c r="GE68" s="63"/>
      <c r="GF68" s="62" t="s">
        <v>37</v>
      </c>
      <c r="GG68" s="63"/>
      <c r="GH68" s="62" t="s">
        <v>37</v>
      </c>
      <c r="GI68" s="63"/>
      <c r="GJ68" s="62" t="s">
        <v>37</v>
      </c>
      <c r="GK68" s="63"/>
      <c r="GL68" s="62" t="s">
        <v>37</v>
      </c>
      <c r="GM68" s="63"/>
      <c r="GN68" s="62" t="s">
        <v>37</v>
      </c>
      <c r="GO68" s="63"/>
      <c r="GP68" s="62" t="s">
        <v>37</v>
      </c>
      <c r="GQ68" s="63"/>
      <c r="GR68" s="62" t="s">
        <v>37</v>
      </c>
      <c r="GS68" s="63"/>
      <c r="GT68" s="62" t="s">
        <v>37</v>
      </c>
      <c r="GU68" s="63"/>
      <c r="GV68" s="62" t="s">
        <v>37</v>
      </c>
      <c r="GW68" s="63"/>
      <c r="GX68" s="62"/>
      <c r="GY68" s="63"/>
      <c r="GZ68" s="62"/>
      <c r="HA68" s="63"/>
      <c r="HB68" s="62"/>
      <c r="HC68" s="63"/>
      <c r="HD68" s="62"/>
      <c r="HE68" s="63"/>
      <c r="HF68" s="62"/>
      <c r="HG68" s="63"/>
      <c r="HH68" s="62"/>
      <c r="HI68" s="63"/>
      <c r="HJ68" s="62"/>
      <c r="HK68" s="63"/>
      <c r="HL68" s="62"/>
      <c r="HM68" s="63"/>
      <c r="HN68" s="62"/>
      <c r="HO68" s="63"/>
      <c r="HP68" s="62"/>
      <c r="HQ68" s="63"/>
      <c r="HR68" s="62"/>
      <c r="HS68" s="63"/>
      <c r="HT68" s="62"/>
      <c r="HU68" s="63"/>
      <c r="HV68" s="62"/>
      <c r="HW68" s="63"/>
      <c r="HX68" s="62"/>
      <c r="HY68" s="63"/>
      <c r="HZ68" s="62"/>
      <c r="IA68" s="63"/>
      <c r="IB68" s="62"/>
      <c r="IC68" s="63"/>
      <c r="ID68" s="62"/>
      <c r="IE68" s="63"/>
      <c r="IF68" s="62"/>
      <c r="IG68" s="63"/>
      <c r="IH68" s="62"/>
      <c r="II68" s="63"/>
      <c r="IJ68" s="62"/>
      <c r="IK68" s="63"/>
      <c r="IL68" s="62"/>
      <c r="IM68" s="63"/>
      <c r="IN68" s="62"/>
      <c r="IO68" s="63"/>
      <c r="IP68" s="62"/>
      <c r="IQ68" s="63"/>
      <c r="IR68" s="62"/>
      <c r="IS68" s="63"/>
      <c r="IT68" s="62"/>
      <c r="IU68" s="63"/>
      <c r="IV68" s="62"/>
      <c r="IW68" s="63"/>
      <c r="IX68" s="62"/>
      <c r="IY68" s="63"/>
      <c r="IZ68" s="62"/>
      <c r="JA68" s="63"/>
      <c r="JB68" s="62"/>
      <c r="JC68" s="63"/>
      <c r="JD68" s="62"/>
      <c r="JE68" s="63"/>
      <c r="JF68" s="62"/>
      <c r="JG68" s="63"/>
      <c r="JH68" s="62"/>
      <c r="JI68" s="63"/>
      <c r="JJ68" s="62"/>
      <c r="JK68" s="63"/>
      <c r="JL68" s="62"/>
      <c r="JM68" s="63"/>
      <c r="JN68" s="62"/>
      <c r="JO68" s="63"/>
      <c r="JP68" s="62"/>
      <c r="JQ68" s="63"/>
      <c r="JR68" s="62"/>
      <c r="JS68" s="63"/>
      <c r="JT68" s="62"/>
      <c r="JU68" s="63"/>
      <c r="JV68" s="62"/>
      <c r="JW68" s="63"/>
      <c r="JX68" s="62"/>
      <c r="JY68" s="63"/>
      <c r="JZ68" s="62"/>
      <c r="KA68" s="63"/>
      <c r="KB68" s="62"/>
      <c r="KC68" s="63"/>
      <c r="KD68" s="62"/>
      <c r="KE68" s="63"/>
      <c r="KF68" s="62"/>
      <c r="KG68" s="63"/>
      <c r="KH68" s="62"/>
      <c r="KI68" s="63"/>
      <c r="KJ68" s="62"/>
      <c r="KK68" s="63"/>
      <c r="KL68" s="62"/>
      <c r="KM68" s="63"/>
      <c r="KN68" s="62"/>
      <c r="KO68" s="63"/>
      <c r="KP68" s="62"/>
      <c r="KQ68" s="63"/>
      <c r="KR68" s="62"/>
      <c r="KS68" s="63"/>
      <c r="KT68" s="62"/>
      <c r="KU68" s="63"/>
      <c r="KV68" s="62"/>
      <c r="KW68" s="63"/>
      <c r="KX68" s="62"/>
      <c r="KY68" s="63"/>
      <c r="KZ68" s="62"/>
      <c r="LA68" s="63"/>
      <c r="LB68" s="62"/>
      <c r="LC68" s="63"/>
      <c r="LD68" s="62"/>
      <c r="LE68" s="63"/>
      <c r="LF68" s="62"/>
      <c r="LG68" s="63"/>
      <c r="LH68" s="62"/>
      <c r="LI68" s="63"/>
      <c r="LJ68" s="62"/>
      <c r="LK68" s="63"/>
      <c r="LL68" s="62"/>
      <c r="LM68" s="63"/>
      <c r="LN68" s="62"/>
      <c r="LO68" s="63"/>
      <c r="LP68" s="62"/>
      <c r="LQ68" s="63"/>
      <c r="LR68" s="62"/>
      <c r="LS68" s="63"/>
      <c r="LT68" s="62"/>
      <c r="LU68" s="63"/>
      <c r="LV68" s="62"/>
      <c r="LW68" s="63"/>
      <c r="LX68" s="62"/>
      <c r="LY68" s="63"/>
      <c r="LZ68" s="62"/>
      <c r="MA68" s="63"/>
      <c r="MB68" s="62"/>
      <c r="MC68" s="63"/>
      <c r="MD68" s="62"/>
      <c r="ME68" s="63"/>
      <c r="MF68" s="62"/>
      <c r="MG68" s="63"/>
      <c r="MH68" s="62"/>
      <c r="MI68" s="63"/>
      <c r="MJ68" s="62"/>
      <c r="MK68" s="63"/>
      <c r="ML68" s="62"/>
      <c r="MM68" s="63"/>
      <c r="MN68" s="62"/>
      <c r="MO68" s="63"/>
      <c r="MP68" s="62"/>
      <c r="MQ68" s="63"/>
      <c r="MR68" s="62"/>
      <c r="MS68" s="63"/>
      <c r="MT68" s="62"/>
      <c r="MU68" s="63"/>
      <c r="MV68" s="62"/>
      <c r="MW68" s="63"/>
      <c r="MX68" s="62"/>
      <c r="MY68" s="63"/>
      <c r="MZ68" s="62"/>
      <c r="NA68" s="63"/>
      <c r="NB68" s="62"/>
      <c r="NC68" s="63"/>
      <c r="ND68" s="62"/>
      <c r="NE68" s="63"/>
      <c r="NF68" s="62"/>
      <c r="NG68" s="63"/>
      <c r="NH68" s="62"/>
      <c r="NI68" s="63"/>
      <c r="NJ68" s="62"/>
      <c r="NK68" s="63"/>
      <c r="NL68" s="62"/>
      <c r="NM68" s="63"/>
      <c r="NN68" s="62"/>
      <c r="NO68" s="63"/>
      <c r="NP68" s="62"/>
      <c r="NQ68" s="63"/>
      <c r="NR68" s="62"/>
      <c r="NS68" s="63"/>
      <c r="NT68" s="62"/>
      <c r="NU68" s="63"/>
      <c r="NV68" s="62"/>
      <c r="NW68" s="63"/>
      <c r="NX68" s="62"/>
      <c r="NY68" s="63"/>
      <c r="NZ68" s="62"/>
      <c r="OA68" s="63"/>
      <c r="OB68" s="62"/>
      <c r="OC68" s="63"/>
      <c r="OD68" s="62"/>
      <c r="OE68" s="63"/>
      <c r="OF68" s="62"/>
      <c r="OG68" s="63"/>
      <c r="OH68" s="62"/>
      <c r="OI68" s="63"/>
      <c r="OJ68" s="62"/>
      <c r="OK68" s="63"/>
      <c r="OL68" s="62"/>
      <c r="OM68" s="63"/>
      <c r="ON68" s="62"/>
      <c r="OO68" s="63"/>
      <c r="OP68" s="62"/>
      <c r="OQ68" s="63"/>
      <c r="OR68" s="62"/>
      <c r="OS68" s="63"/>
      <c r="OT68" s="62"/>
      <c r="OU68" s="63"/>
      <c r="OV68" s="62"/>
      <c r="OW68" s="63"/>
      <c r="OX68" s="62"/>
      <c r="OY68" s="63"/>
      <c r="OZ68" s="62"/>
      <c r="PA68" s="63"/>
      <c r="PB68" s="62"/>
      <c r="PC68" s="63"/>
      <c r="PD68" s="62"/>
      <c r="PE68" s="63"/>
      <c r="PF68" s="62"/>
      <c r="PG68" s="63"/>
      <c r="PH68" s="62"/>
      <c r="PI68" s="63"/>
      <c r="PJ68" s="62"/>
      <c r="PK68" s="63"/>
      <c r="PL68" s="62"/>
      <c r="PM68" s="63"/>
      <c r="PN68" s="62"/>
      <c r="PO68" s="63"/>
      <c r="PP68" s="62"/>
      <c r="PQ68" s="63"/>
      <c r="PR68" s="62"/>
      <c r="PS68" s="63"/>
      <c r="PT68" s="62"/>
      <c r="PU68" s="63"/>
      <c r="PV68" s="62"/>
      <c r="PW68" s="63"/>
      <c r="PX68" s="62"/>
      <c r="PY68" s="63"/>
      <c r="PZ68" s="62"/>
      <c r="QA68" s="63"/>
      <c r="QB68" s="62"/>
      <c r="QC68" s="63"/>
      <c r="QD68" s="62"/>
      <c r="QE68" s="63"/>
      <c r="QF68" s="62"/>
      <c r="QG68" s="63"/>
      <c r="QH68" s="62"/>
      <c r="QI68" s="63"/>
      <c r="QJ68" s="62"/>
      <c r="QK68" s="63"/>
      <c r="QL68" s="62"/>
      <c r="QM68" s="63"/>
      <c r="QN68" s="62"/>
      <c r="QO68" s="63"/>
      <c r="QP68" s="62"/>
      <c r="QQ68" s="63"/>
      <c r="QR68" s="62"/>
      <c r="QS68" s="63"/>
      <c r="QT68" s="62"/>
      <c r="QU68" s="63"/>
      <c r="QV68" s="62"/>
      <c r="QW68" s="63"/>
      <c r="QX68" s="62"/>
      <c r="QY68" s="63"/>
      <c r="QZ68" s="62"/>
      <c r="RA68" s="63"/>
      <c r="RB68" s="62"/>
      <c r="RC68" s="63"/>
      <c r="RD68" s="31"/>
    </row>
    <row r="69" spans="1:472" s="5" customFormat="1" ht="15" hidden="1" customHeight="1" x14ac:dyDescent="0.25">
      <c r="A69" s="41">
        <v>2067</v>
      </c>
      <c r="B69" s="41" t="s">
        <v>719</v>
      </c>
      <c r="C69" s="41" t="s">
        <v>369</v>
      </c>
      <c r="D69" s="41">
        <v>192</v>
      </c>
      <c r="E69" s="42"/>
      <c r="F69" s="41" t="s">
        <v>818</v>
      </c>
      <c r="I69" s="62"/>
      <c r="J69" s="63"/>
      <c r="K69" s="62"/>
      <c r="L69" s="63"/>
      <c r="M69" s="62"/>
      <c r="N69" s="63"/>
      <c r="O69" s="62"/>
      <c r="P69" s="63"/>
      <c r="Q69" s="62"/>
      <c r="R69" s="63"/>
      <c r="S69" s="62"/>
      <c r="T69" s="63"/>
      <c r="X69" s="62"/>
      <c r="Y69" s="63"/>
      <c r="Z69" s="62"/>
      <c r="AA69" s="63"/>
      <c r="AB69" s="62"/>
      <c r="AC69" s="63"/>
      <c r="AD69" s="62"/>
      <c r="AE69" s="63"/>
      <c r="AF69" s="62"/>
      <c r="AG69" s="63"/>
      <c r="AH69" s="62"/>
      <c r="AI69" s="63"/>
      <c r="AJ69" s="62"/>
      <c r="AK69" s="63"/>
      <c r="AL69" s="62"/>
      <c r="AM69" s="63"/>
      <c r="AN69" s="62"/>
      <c r="AO69" s="63"/>
      <c r="AP69" s="62"/>
      <c r="AQ69" s="63"/>
      <c r="AR69" s="62"/>
      <c r="AS69" s="63"/>
      <c r="AT69" s="62"/>
      <c r="AU69" s="63"/>
      <c r="AV69" s="62"/>
      <c r="AW69" s="63"/>
      <c r="AX69" s="62"/>
      <c r="AY69" s="63"/>
      <c r="AZ69" s="62"/>
      <c r="BA69" s="63"/>
      <c r="BB69" s="62"/>
      <c r="BC69" s="63"/>
      <c r="BD69" s="62"/>
      <c r="BE69" s="63"/>
      <c r="BF69" s="62"/>
      <c r="BG69" s="63"/>
      <c r="BH69" s="62"/>
      <c r="BI69" s="63"/>
      <c r="BJ69" s="62"/>
      <c r="BK69" s="63"/>
      <c r="BL69" s="62"/>
      <c r="BM69" s="63"/>
      <c r="BN69" s="62"/>
      <c r="BO69" s="63"/>
      <c r="BP69" s="62"/>
      <c r="BQ69" s="63"/>
      <c r="BR69" s="62"/>
      <c r="BS69" s="63"/>
      <c r="BT69" s="62"/>
      <c r="BU69" s="63"/>
      <c r="BV69" s="62"/>
      <c r="BW69" s="63"/>
      <c r="BX69" s="62"/>
      <c r="BY69" s="63"/>
      <c r="BZ69" s="62"/>
      <c r="CA69" s="63"/>
      <c r="CB69" s="62"/>
      <c r="CC69" s="63"/>
      <c r="CD69" s="62"/>
      <c r="CE69" s="63"/>
      <c r="CF69" s="62"/>
      <c r="CG69" s="63"/>
      <c r="CH69" s="62"/>
      <c r="CI69" s="63"/>
      <c r="CJ69" s="62"/>
      <c r="CK69" s="63"/>
      <c r="CL69" s="62"/>
      <c r="CM69" s="63"/>
      <c r="CN69" s="62"/>
      <c r="CO69" s="63"/>
      <c r="CP69" s="62"/>
      <c r="CQ69" s="63"/>
      <c r="CR69" s="62"/>
      <c r="CS69" s="63"/>
      <c r="CT69" s="62"/>
      <c r="CU69" s="63"/>
      <c r="CV69" s="62"/>
      <c r="CW69" s="63"/>
      <c r="CX69" s="62"/>
      <c r="CY69" s="63"/>
      <c r="CZ69" s="62"/>
      <c r="DA69" s="63"/>
      <c r="DB69" s="62"/>
      <c r="DC69" s="63"/>
      <c r="DD69" s="62"/>
      <c r="DE69" s="63"/>
      <c r="DF69" s="62"/>
      <c r="DG69" s="63"/>
      <c r="DH69" s="62"/>
      <c r="DI69" s="63"/>
      <c r="DJ69" s="62"/>
      <c r="DK69" s="63"/>
      <c r="DL69" s="62"/>
      <c r="DM69" s="63"/>
      <c r="DN69" s="62"/>
      <c r="DO69" s="63"/>
      <c r="DP69" s="62"/>
      <c r="DQ69" s="63"/>
      <c r="DR69" s="62"/>
      <c r="DS69" s="63"/>
      <c r="DT69" s="62"/>
      <c r="DU69" s="63"/>
      <c r="DV69" s="62"/>
      <c r="DW69" s="63"/>
      <c r="DX69" s="62"/>
      <c r="DY69" s="63"/>
      <c r="DZ69" s="62"/>
      <c r="EA69" s="63"/>
      <c r="EB69" s="62"/>
      <c r="EC69" s="63"/>
      <c r="ED69" s="62"/>
      <c r="EE69" s="63"/>
      <c r="EF69" s="62"/>
      <c r="EG69" s="63"/>
      <c r="EH69" s="62"/>
      <c r="EI69" s="63"/>
      <c r="EJ69" s="62"/>
      <c r="EK69" s="63"/>
      <c r="EL69" s="62"/>
      <c r="EM69" s="63"/>
      <c r="EN69" s="62"/>
      <c r="EO69" s="63"/>
      <c r="EP69" s="62"/>
      <c r="EQ69" s="63"/>
      <c r="ER69" s="62"/>
      <c r="ES69" s="63"/>
      <c r="ET69" s="62"/>
      <c r="EU69" s="63"/>
      <c r="EV69" s="62"/>
      <c r="EW69" s="63"/>
      <c r="EX69" s="62"/>
      <c r="EY69" s="63"/>
      <c r="EZ69" s="62"/>
      <c r="FA69" s="63"/>
      <c r="FB69" s="62"/>
      <c r="FC69" s="63" t="s">
        <v>66</v>
      </c>
      <c r="FD69" s="62" t="s">
        <v>66</v>
      </c>
      <c r="FE69" s="63"/>
      <c r="FF69" s="62" t="s">
        <v>66</v>
      </c>
      <c r="FG69" s="63"/>
      <c r="FH69" s="62" t="s">
        <v>38</v>
      </c>
      <c r="FI69" s="63"/>
      <c r="FJ69" s="62" t="s">
        <v>38</v>
      </c>
      <c r="FK69" s="63"/>
      <c r="FL69" s="62" t="s">
        <v>38</v>
      </c>
      <c r="FM69" s="63"/>
      <c r="FN69" s="62" t="s">
        <v>36</v>
      </c>
      <c r="FO69" s="63"/>
      <c r="FP69" s="62" t="s">
        <v>36</v>
      </c>
      <c r="FQ69" s="63"/>
      <c r="FR69" s="62" t="s">
        <v>36</v>
      </c>
      <c r="FS69" s="63"/>
      <c r="FT69" s="62" t="s">
        <v>36</v>
      </c>
      <c r="FU69" s="63"/>
      <c r="FV69" s="62" t="s">
        <v>36</v>
      </c>
      <c r="FW69" s="63"/>
      <c r="FX69" s="62" t="s">
        <v>36</v>
      </c>
      <c r="FY69" s="63"/>
      <c r="FZ69" s="62" t="s">
        <v>36</v>
      </c>
      <c r="GA69" s="63"/>
      <c r="GB69" s="62" t="s">
        <v>36</v>
      </c>
      <c r="GC69" s="63"/>
      <c r="GD69" s="62" t="s">
        <v>36</v>
      </c>
      <c r="GE69" s="63"/>
      <c r="GF69" s="62" t="s">
        <v>36</v>
      </c>
      <c r="GG69" s="63"/>
      <c r="GH69" s="62" t="s">
        <v>37</v>
      </c>
      <c r="GI69" s="63"/>
      <c r="GJ69" s="62" t="s">
        <v>37</v>
      </c>
      <c r="GK69" s="63"/>
      <c r="GL69" s="62" t="s">
        <v>37</v>
      </c>
      <c r="GM69" s="63"/>
      <c r="GN69" s="62" t="s">
        <v>37</v>
      </c>
      <c r="GO69" s="63"/>
      <c r="GP69" s="62"/>
      <c r="GQ69" s="63"/>
      <c r="GR69" s="62"/>
      <c r="GS69" s="63"/>
      <c r="GT69" s="62"/>
      <c r="GU69" s="63"/>
      <c r="GV69" s="62"/>
      <c r="GW69" s="63"/>
      <c r="GX69" s="62"/>
      <c r="GY69" s="63"/>
      <c r="GZ69" s="62"/>
      <c r="HA69" s="63"/>
      <c r="HB69" s="62"/>
      <c r="HC69" s="63"/>
      <c r="HD69" s="62"/>
      <c r="HE69" s="63"/>
      <c r="HF69" s="62"/>
      <c r="HG69" s="63"/>
      <c r="HH69" s="62"/>
      <c r="HI69" s="63"/>
      <c r="HJ69" s="62"/>
      <c r="HK69" s="63"/>
      <c r="HL69" s="62"/>
      <c r="HM69" s="63"/>
      <c r="HN69" s="62"/>
      <c r="HO69" s="63"/>
      <c r="HP69" s="62"/>
      <c r="HQ69" s="63"/>
      <c r="HR69" s="62"/>
      <c r="HS69" s="63"/>
      <c r="HT69" s="62"/>
      <c r="HU69" s="63"/>
      <c r="HV69" s="62"/>
      <c r="HW69" s="63"/>
      <c r="HX69" s="62"/>
      <c r="HY69" s="63"/>
      <c r="HZ69" s="62"/>
      <c r="IA69" s="63"/>
      <c r="IB69" s="62"/>
      <c r="IC69" s="63"/>
      <c r="ID69" s="62"/>
      <c r="IE69" s="63"/>
      <c r="IF69" s="62"/>
      <c r="IG69" s="63"/>
      <c r="IH69" s="62"/>
      <c r="II69" s="63"/>
      <c r="IJ69" s="62"/>
      <c r="IK69" s="63"/>
      <c r="IL69" s="62"/>
      <c r="IM69" s="63"/>
      <c r="IN69" s="62"/>
      <c r="IO69" s="63"/>
      <c r="IP69" s="62"/>
      <c r="IQ69" s="63"/>
      <c r="IR69" s="62"/>
      <c r="IS69" s="63"/>
      <c r="IT69" s="62"/>
      <c r="IU69" s="63"/>
      <c r="IV69" s="62"/>
      <c r="IW69" s="63"/>
      <c r="IX69" s="62"/>
      <c r="IY69" s="63"/>
      <c r="IZ69" s="62"/>
      <c r="JA69" s="63"/>
      <c r="JB69" s="62"/>
      <c r="JC69" s="63"/>
      <c r="JD69" s="62"/>
      <c r="JE69" s="63"/>
      <c r="JF69" s="62"/>
      <c r="JG69" s="63"/>
      <c r="JH69" s="62"/>
      <c r="JI69" s="63"/>
      <c r="JJ69" s="62"/>
      <c r="JK69" s="63"/>
      <c r="JL69" s="62"/>
      <c r="JM69" s="63"/>
      <c r="JN69" s="62"/>
      <c r="JO69" s="63"/>
      <c r="JP69" s="62"/>
      <c r="JQ69" s="63"/>
      <c r="JR69" s="62"/>
      <c r="JS69" s="63"/>
      <c r="JT69" s="62"/>
      <c r="JU69" s="63"/>
      <c r="JV69" s="62"/>
      <c r="JW69" s="63"/>
      <c r="JX69" s="62"/>
      <c r="JY69" s="63"/>
      <c r="JZ69" s="62"/>
      <c r="KA69" s="63"/>
      <c r="KB69" s="62"/>
      <c r="KC69" s="63"/>
      <c r="KD69" s="62"/>
      <c r="KE69" s="63"/>
      <c r="KF69" s="62"/>
      <c r="KG69" s="63"/>
      <c r="KH69" s="62"/>
      <c r="KI69" s="63"/>
      <c r="KJ69" s="62"/>
      <c r="KK69" s="63"/>
      <c r="KL69" s="62"/>
      <c r="KM69" s="63"/>
      <c r="KN69" s="62"/>
      <c r="KO69" s="63"/>
      <c r="KP69" s="62"/>
      <c r="KQ69" s="63"/>
      <c r="KR69" s="62"/>
      <c r="KS69" s="63"/>
      <c r="KT69" s="62"/>
      <c r="KU69" s="63"/>
      <c r="KV69" s="62"/>
      <c r="KW69" s="63"/>
      <c r="KX69" s="62"/>
      <c r="KY69" s="63"/>
      <c r="KZ69" s="62"/>
      <c r="LA69" s="63"/>
      <c r="LB69" s="62"/>
      <c r="LC69" s="63"/>
      <c r="LD69" s="62"/>
      <c r="LE69" s="63"/>
      <c r="LF69" s="62"/>
      <c r="LG69" s="63"/>
      <c r="LH69" s="62"/>
      <c r="LI69" s="63"/>
      <c r="LJ69" s="62"/>
      <c r="LK69" s="63"/>
      <c r="LL69" s="62"/>
      <c r="LM69" s="63"/>
      <c r="LN69" s="62"/>
      <c r="LO69" s="63"/>
      <c r="LP69" s="62"/>
      <c r="LQ69" s="63"/>
      <c r="LR69" s="62"/>
      <c r="LS69" s="63"/>
      <c r="LT69" s="62"/>
      <c r="LU69" s="63"/>
      <c r="LV69" s="62"/>
      <c r="LW69" s="63"/>
      <c r="LX69" s="62"/>
      <c r="LY69" s="63"/>
      <c r="LZ69" s="62"/>
      <c r="MA69" s="63"/>
      <c r="MB69" s="62"/>
      <c r="MC69" s="63"/>
      <c r="MD69" s="62"/>
      <c r="ME69" s="63"/>
      <c r="MF69" s="62"/>
      <c r="MG69" s="63"/>
      <c r="MH69" s="62"/>
      <c r="MI69" s="63"/>
      <c r="MJ69" s="62"/>
      <c r="MK69" s="63"/>
      <c r="ML69" s="62"/>
      <c r="MM69" s="63"/>
      <c r="MN69" s="62"/>
      <c r="MO69" s="63"/>
      <c r="MP69" s="62"/>
      <c r="MQ69" s="63"/>
      <c r="MR69" s="62"/>
      <c r="MS69" s="63"/>
      <c r="MT69" s="62"/>
      <c r="MU69" s="63"/>
      <c r="MV69" s="62"/>
      <c r="MW69" s="63"/>
      <c r="MX69" s="62"/>
      <c r="MY69" s="63"/>
      <c r="MZ69" s="62"/>
      <c r="NA69" s="63"/>
      <c r="NB69" s="62"/>
      <c r="NC69" s="63"/>
      <c r="ND69" s="62"/>
      <c r="NE69" s="63"/>
      <c r="NF69" s="62"/>
      <c r="NG69" s="63"/>
      <c r="NH69" s="62"/>
      <c r="NI69" s="63"/>
      <c r="NJ69" s="62"/>
      <c r="NK69" s="63"/>
      <c r="NL69" s="62"/>
      <c r="NM69" s="63"/>
      <c r="NN69" s="62"/>
      <c r="NO69" s="63"/>
      <c r="NP69" s="62"/>
      <c r="NQ69" s="63"/>
      <c r="NR69" s="62"/>
      <c r="NS69" s="63"/>
      <c r="NT69" s="62"/>
      <c r="NU69" s="63"/>
      <c r="NV69" s="62"/>
      <c r="NW69" s="63"/>
      <c r="NX69" s="62"/>
      <c r="NY69" s="63"/>
      <c r="NZ69" s="62"/>
      <c r="OA69" s="63"/>
      <c r="OB69" s="62"/>
      <c r="OC69" s="63"/>
      <c r="OD69" s="62"/>
      <c r="OE69" s="63"/>
      <c r="OF69" s="62"/>
      <c r="OG69" s="63"/>
      <c r="OH69" s="62"/>
      <c r="OI69" s="63"/>
      <c r="OJ69" s="62"/>
      <c r="OK69" s="63"/>
      <c r="OL69" s="62"/>
      <c r="OM69" s="63"/>
      <c r="ON69" s="62"/>
      <c r="OO69" s="63"/>
      <c r="OP69" s="62"/>
      <c r="OQ69" s="63"/>
      <c r="OR69" s="62"/>
      <c r="OS69" s="63"/>
      <c r="OT69" s="62"/>
      <c r="OU69" s="63"/>
      <c r="OV69" s="62"/>
      <c r="OW69" s="63"/>
      <c r="OX69" s="62"/>
      <c r="OY69" s="63"/>
      <c r="OZ69" s="62"/>
      <c r="PA69" s="63"/>
      <c r="PB69" s="62"/>
      <c r="PC69" s="63"/>
      <c r="PD69" s="62"/>
      <c r="PE69" s="63"/>
      <c r="PF69" s="62"/>
      <c r="PG69" s="63"/>
      <c r="PH69" s="62"/>
      <c r="PI69" s="63"/>
      <c r="PJ69" s="62"/>
      <c r="PK69" s="63"/>
      <c r="PL69" s="62"/>
      <c r="PM69" s="63"/>
      <c r="PN69" s="62"/>
      <c r="PO69" s="63"/>
      <c r="PP69" s="62"/>
      <c r="PQ69" s="63"/>
      <c r="PR69" s="62"/>
      <c r="PS69" s="63"/>
      <c r="PT69" s="62"/>
      <c r="PU69" s="63"/>
      <c r="PV69" s="62"/>
      <c r="PW69" s="63"/>
      <c r="PX69" s="62"/>
      <c r="PY69" s="63"/>
      <c r="PZ69" s="62"/>
      <c r="QA69" s="63"/>
      <c r="QB69" s="62"/>
      <c r="QC69" s="63"/>
      <c r="QD69" s="62"/>
      <c r="QE69" s="63"/>
      <c r="QF69" s="62"/>
      <c r="QG69" s="63"/>
      <c r="QH69" s="62"/>
      <c r="QI69" s="63"/>
      <c r="QJ69" s="62"/>
      <c r="QK69" s="63"/>
      <c r="QL69" s="62"/>
      <c r="QM69" s="63"/>
      <c r="QN69" s="62"/>
      <c r="QO69" s="63"/>
      <c r="QP69" s="62"/>
      <c r="QQ69" s="63"/>
      <c r="QR69" s="62"/>
      <c r="QS69" s="63"/>
      <c r="QT69" s="62"/>
      <c r="QU69" s="63"/>
      <c r="QV69" s="62"/>
      <c r="QW69" s="63"/>
      <c r="QX69" s="62"/>
      <c r="QY69" s="63"/>
      <c r="QZ69" s="62"/>
      <c r="RA69" s="63"/>
      <c r="RB69" s="62"/>
      <c r="RC69" s="63"/>
      <c r="RD69" s="31"/>
    </row>
    <row r="70" spans="1:472" s="5" customFormat="1" ht="15" hidden="1" customHeight="1" x14ac:dyDescent="0.25">
      <c r="A70" s="41">
        <v>2081</v>
      </c>
      <c r="B70" s="41" t="s">
        <v>701</v>
      </c>
      <c r="C70" s="41" t="s">
        <v>230</v>
      </c>
      <c r="D70" s="41">
        <v>143</v>
      </c>
      <c r="E70" s="42"/>
      <c r="F70" s="41" t="s">
        <v>243</v>
      </c>
      <c r="I70" s="62"/>
      <c r="J70" s="63"/>
      <c r="K70" s="62"/>
      <c r="L70" s="63"/>
      <c r="M70" s="62"/>
      <c r="N70" s="63"/>
      <c r="O70" s="62"/>
      <c r="P70" s="63"/>
      <c r="Q70" s="62"/>
      <c r="R70" s="63"/>
      <c r="S70" s="62"/>
      <c r="T70" s="63"/>
      <c r="X70" s="62"/>
      <c r="Y70" s="63"/>
      <c r="Z70" s="62"/>
      <c r="AA70" s="63"/>
      <c r="AB70" s="62"/>
      <c r="AC70" s="63"/>
      <c r="AD70" s="62"/>
      <c r="AE70" s="63"/>
      <c r="AF70" s="62"/>
      <c r="AG70" s="63"/>
      <c r="AH70" s="62"/>
      <c r="AI70" s="63"/>
      <c r="AJ70" s="62"/>
      <c r="AK70" s="63"/>
      <c r="AL70" s="62"/>
      <c r="AM70" s="63"/>
      <c r="AN70" s="62"/>
      <c r="AO70" s="63"/>
      <c r="AP70" s="62"/>
      <c r="AQ70" s="63"/>
      <c r="AR70" s="62"/>
      <c r="AS70" s="63"/>
      <c r="AT70" s="62"/>
      <c r="AU70" s="63"/>
      <c r="AV70" s="62"/>
      <c r="AW70" s="63"/>
      <c r="AX70" s="62"/>
      <c r="AY70" s="63"/>
      <c r="AZ70" s="62"/>
      <c r="BA70" s="63"/>
      <c r="BB70" s="62"/>
      <c r="BC70" s="63"/>
      <c r="BD70" s="62"/>
      <c r="BE70" s="63"/>
      <c r="BF70" s="62"/>
      <c r="BG70" s="63"/>
      <c r="BH70" s="62"/>
      <c r="BI70" s="63"/>
      <c r="BJ70" s="62"/>
      <c r="BK70" s="63"/>
      <c r="BL70" s="62"/>
      <c r="BM70" s="63"/>
      <c r="BN70" s="62"/>
      <c r="BO70" s="63"/>
      <c r="BP70" s="62"/>
      <c r="BQ70" s="63"/>
      <c r="BR70" s="62"/>
      <c r="BS70" s="63"/>
      <c r="BT70" s="62"/>
      <c r="BU70" s="63"/>
      <c r="BV70" s="62"/>
      <c r="BW70" s="63"/>
      <c r="BX70" s="62"/>
      <c r="BY70" s="63"/>
      <c r="BZ70" s="62"/>
      <c r="CA70" s="63"/>
      <c r="CB70" s="62"/>
      <c r="CC70" s="63"/>
      <c r="CD70" s="62"/>
      <c r="CE70" s="63"/>
      <c r="CF70" s="62"/>
      <c r="CG70" s="63"/>
      <c r="CH70" s="62"/>
      <c r="CI70" s="63"/>
      <c r="CJ70" s="62"/>
      <c r="CK70" s="63"/>
      <c r="CL70" s="62"/>
      <c r="CM70" s="63"/>
      <c r="CN70" s="62"/>
      <c r="CO70" s="63"/>
      <c r="CP70" s="62"/>
      <c r="CQ70" s="63"/>
      <c r="CR70" s="62"/>
      <c r="CS70" s="63"/>
      <c r="CT70" s="62"/>
      <c r="CU70" s="63"/>
      <c r="CV70" s="62"/>
      <c r="CW70" s="63"/>
      <c r="CX70" s="62"/>
      <c r="CY70" s="63"/>
      <c r="CZ70" s="62"/>
      <c r="DA70" s="63"/>
      <c r="DB70" s="62"/>
      <c r="DC70" s="63"/>
      <c r="DD70" s="62"/>
      <c r="DE70" s="63"/>
      <c r="DF70" s="62"/>
      <c r="DG70" s="63"/>
      <c r="DH70" s="62"/>
      <c r="DI70" s="63"/>
      <c r="DJ70" s="62"/>
      <c r="DK70" s="63"/>
      <c r="DL70" s="62"/>
      <c r="DM70" s="63"/>
      <c r="DN70" s="62"/>
      <c r="DO70" s="63"/>
      <c r="DP70" s="62"/>
      <c r="DQ70" s="63"/>
      <c r="DR70" s="62"/>
      <c r="DS70" s="63"/>
      <c r="DT70" s="62"/>
      <c r="DU70" s="63"/>
      <c r="DV70" s="62"/>
      <c r="DW70" s="63"/>
      <c r="DX70" s="62"/>
      <c r="DY70" s="63"/>
      <c r="DZ70" s="62"/>
      <c r="EA70" s="63"/>
      <c r="EB70" s="62"/>
      <c r="EC70" s="63"/>
      <c r="ED70" s="62"/>
      <c r="EE70" s="63"/>
      <c r="EF70" s="62"/>
      <c r="EG70" s="63"/>
      <c r="EH70" s="62"/>
      <c r="EI70" s="63"/>
      <c r="EJ70" s="62"/>
      <c r="EK70" s="63"/>
      <c r="EL70" s="62"/>
      <c r="EM70" s="63"/>
      <c r="EN70" s="62"/>
      <c r="EO70" s="63"/>
      <c r="EP70" s="62"/>
      <c r="EQ70" s="63"/>
      <c r="ER70" s="62"/>
      <c r="ES70" s="63"/>
      <c r="ET70" s="62"/>
      <c r="EU70" s="63"/>
      <c r="EV70" s="62"/>
      <c r="EW70" s="63"/>
      <c r="EX70" s="62"/>
      <c r="EY70" s="63"/>
      <c r="EZ70" s="62"/>
      <c r="FA70" s="63"/>
      <c r="FB70" s="62"/>
      <c r="FC70" s="63"/>
      <c r="FD70" s="62"/>
      <c r="FE70" s="63"/>
      <c r="FF70" s="62"/>
      <c r="FG70" s="63"/>
      <c r="FH70" s="62"/>
      <c r="FI70" s="63"/>
      <c r="FJ70" s="62"/>
      <c r="FK70" s="63"/>
      <c r="FL70" s="62" t="s">
        <v>66</v>
      </c>
      <c r="FM70" s="63"/>
      <c r="FN70" s="62" t="s">
        <v>66</v>
      </c>
      <c r="FO70" s="63"/>
      <c r="FP70" s="62" t="s">
        <v>38</v>
      </c>
      <c r="FQ70" s="63"/>
      <c r="FR70" s="62" t="s">
        <v>38</v>
      </c>
      <c r="FS70" s="63"/>
      <c r="FT70" s="62" t="s">
        <v>36</v>
      </c>
      <c r="FU70" s="63"/>
      <c r="FV70" s="62" t="s">
        <v>36</v>
      </c>
      <c r="FW70" s="63"/>
      <c r="FX70" s="62" t="s">
        <v>36</v>
      </c>
      <c r="FY70" s="63"/>
      <c r="FZ70" s="62" t="s">
        <v>36</v>
      </c>
      <c r="GA70" s="63"/>
      <c r="GB70" s="62" t="s">
        <v>36</v>
      </c>
      <c r="GC70" s="63"/>
      <c r="GD70" s="62" t="s">
        <v>36</v>
      </c>
      <c r="GE70" s="63"/>
      <c r="GF70" s="62" t="s">
        <v>36</v>
      </c>
      <c r="GG70" s="63"/>
      <c r="GH70" s="62" t="s">
        <v>36</v>
      </c>
      <c r="GI70" s="63"/>
      <c r="GJ70" s="62" t="s">
        <v>37</v>
      </c>
      <c r="GK70" s="63"/>
      <c r="GL70" s="62" t="s">
        <v>37</v>
      </c>
      <c r="GM70" s="63"/>
      <c r="GN70" s="62" t="s">
        <v>37</v>
      </c>
      <c r="GO70" s="63"/>
      <c r="GP70" s="62" t="s">
        <v>37</v>
      </c>
      <c r="GQ70" s="63"/>
      <c r="GR70" s="62" t="s">
        <v>37</v>
      </c>
      <c r="GS70" s="63"/>
      <c r="GT70" s="62" t="s">
        <v>37</v>
      </c>
      <c r="GU70" s="63"/>
      <c r="GV70" s="62" t="s">
        <v>37</v>
      </c>
      <c r="GW70" s="63"/>
      <c r="GX70" s="62" t="s">
        <v>37</v>
      </c>
      <c r="GY70" s="63"/>
      <c r="GZ70" s="62"/>
      <c r="HA70" s="63"/>
      <c r="HB70" s="62"/>
      <c r="HC70" s="63"/>
      <c r="HD70" s="62"/>
      <c r="HE70" s="63"/>
      <c r="HF70" s="62"/>
      <c r="HG70" s="63"/>
      <c r="HH70" s="62"/>
      <c r="HI70" s="63"/>
      <c r="HJ70" s="62"/>
      <c r="HK70" s="63"/>
      <c r="HL70" s="62"/>
      <c r="HM70" s="63"/>
      <c r="HN70" s="62"/>
      <c r="HO70" s="63"/>
      <c r="HP70" s="62"/>
      <c r="HQ70" s="63"/>
      <c r="HR70" s="62"/>
      <c r="HS70" s="63"/>
      <c r="HT70" s="62"/>
      <c r="HU70" s="63"/>
      <c r="HV70" s="62"/>
      <c r="HW70" s="63"/>
      <c r="HX70" s="62"/>
      <c r="HY70" s="63"/>
      <c r="HZ70" s="62"/>
      <c r="IA70" s="63"/>
      <c r="IB70" s="62"/>
      <c r="IC70" s="63"/>
      <c r="ID70" s="62"/>
      <c r="IE70" s="63"/>
      <c r="IF70" s="62"/>
      <c r="IG70" s="63"/>
      <c r="IH70" s="62"/>
      <c r="II70" s="63"/>
      <c r="IJ70" s="62"/>
      <c r="IK70" s="63"/>
      <c r="IL70" s="62"/>
      <c r="IM70" s="63"/>
      <c r="IN70" s="62"/>
      <c r="IO70" s="63"/>
      <c r="IP70" s="62"/>
      <c r="IQ70" s="63"/>
      <c r="IR70" s="62"/>
      <c r="IS70" s="63"/>
      <c r="IT70" s="62"/>
      <c r="IU70" s="63"/>
      <c r="IV70" s="62"/>
      <c r="IW70" s="63"/>
      <c r="IX70" s="62"/>
      <c r="IY70" s="63"/>
      <c r="IZ70" s="62"/>
      <c r="JA70" s="63"/>
      <c r="JB70" s="62"/>
      <c r="JC70" s="63"/>
      <c r="JD70" s="62"/>
      <c r="JE70" s="63"/>
      <c r="JF70" s="62"/>
      <c r="JG70" s="63"/>
      <c r="JH70" s="62"/>
      <c r="JI70" s="63"/>
      <c r="JJ70" s="62"/>
      <c r="JK70" s="63"/>
      <c r="JL70" s="62"/>
      <c r="JM70" s="63"/>
      <c r="JN70" s="62"/>
      <c r="JO70" s="63"/>
      <c r="JP70" s="62"/>
      <c r="JQ70" s="63"/>
      <c r="JR70" s="62"/>
      <c r="JS70" s="63"/>
      <c r="JT70" s="62"/>
      <c r="JU70" s="63"/>
      <c r="JV70" s="62"/>
      <c r="JW70" s="63"/>
      <c r="JX70" s="62"/>
      <c r="JY70" s="63"/>
      <c r="JZ70" s="62"/>
      <c r="KA70" s="63"/>
      <c r="KB70" s="62"/>
      <c r="KC70" s="63"/>
      <c r="KD70" s="62"/>
      <c r="KE70" s="63"/>
      <c r="KF70" s="62"/>
      <c r="KG70" s="63"/>
      <c r="KH70" s="62"/>
      <c r="KI70" s="63"/>
      <c r="KJ70" s="62"/>
      <c r="KK70" s="63"/>
      <c r="KL70" s="62"/>
      <c r="KM70" s="63"/>
      <c r="KN70" s="62"/>
      <c r="KO70" s="63"/>
      <c r="KP70" s="62"/>
      <c r="KQ70" s="63"/>
      <c r="KR70" s="62"/>
      <c r="KS70" s="63"/>
      <c r="KT70" s="62"/>
      <c r="KU70" s="63"/>
      <c r="KV70" s="62"/>
      <c r="KW70" s="63"/>
      <c r="KX70" s="62"/>
      <c r="KY70" s="63"/>
      <c r="KZ70" s="62"/>
      <c r="LA70" s="63"/>
      <c r="LB70" s="62"/>
      <c r="LC70" s="63"/>
      <c r="LD70" s="62"/>
      <c r="LE70" s="63"/>
      <c r="LF70" s="62"/>
      <c r="LG70" s="63"/>
      <c r="LH70" s="62"/>
      <c r="LI70" s="63"/>
      <c r="LJ70" s="62"/>
      <c r="LK70" s="63"/>
      <c r="LL70" s="62"/>
      <c r="LM70" s="63"/>
      <c r="LN70" s="62"/>
      <c r="LO70" s="63"/>
      <c r="LP70" s="62"/>
      <c r="LQ70" s="63"/>
      <c r="LR70" s="62"/>
      <c r="LS70" s="63"/>
      <c r="LT70" s="62"/>
      <c r="LU70" s="63"/>
      <c r="LV70" s="62"/>
      <c r="LW70" s="63"/>
      <c r="LX70" s="62"/>
      <c r="LY70" s="63"/>
      <c r="LZ70" s="62"/>
      <c r="MA70" s="63"/>
      <c r="MB70" s="62"/>
      <c r="MC70" s="63"/>
      <c r="MD70" s="62"/>
      <c r="ME70" s="63"/>
      <c r="MF70" s="62"/>
      <c r="MG70" s="63"/>
      <c r="MH70" s="62"/>
      <c r="MI70" s="63"/>
      <c r="MJ70" s="62"/>
      <c r="MK70" s="63"/>
      <c r="ML70" s="62"/>
      <c r="MM70" s="63"/>
      <c r="MN70" s="62"/>
      <c r="MO70" s="63"/>
      <c r="MP70" s="62"/>
      <c r="MQ70" s="63"/>
      <c r="MR70" s="62"/>
      <c r="MS70" s="63"/>
      <c r="MT70" s="62"/>
      <c r="MU70" s="63"/>
      <c r="MV70" s="62"/>
      <c r="MW70" s="63"/>
      <c r="MX70" s="62"/>
      <c r="MY70" s="63"/>
      <c r="MZ70" s="62"/>
      <c r="NA70" s="63"/>
      <c r="NB70" s="62"/>
      <c r="NC70" s="63"/>
      <c r="ND70" s="62"/>
      <c r="NE70" s="63"/>
      <c r="NF70" s="62"/>
      <c r="NG70" s="63"/>
      <c r="NH70" s="62"/>
      <c r="NI70" s="63"/>
      <c r="NJ70" s="62"/>
      <c r="NK70" s="63"/>
      <c r="NL70" s="62"/>
      <c r="NM70" s="63"/>
      <c r="NN70" s="62"/>
      <c r="NO70" s="63"/>
      <c r="NP70" s="62"/>
      <c r="NQ70" s="63"/>
      <c r="NR70" s="62"/>
      <c r="NS70" s="63"/>
      <c r="NT70" s="62"/>
      <c r="NU70" s="63"/>
      <c r="NV70" s="62"/>
      <c r="NW70" s="63"/>
      <c r="NX70" s="62"/>
      <c r="NY70" s="63"/>
      <c r="NZ70" s="62"/>
      <c r="OA70" s="63"/>
      <c r="OB70" s="62"/>
      <c r="OC70" s="63"/>
      <c r="OD70" s="62"/>
      <c r="OE70" s="63"/>
      <c r="OF70" s="62"/>
      <c r="OG70" s="63"/>
      <c r="OH70" s="62"/>
      <c r="OI70" s="63"/>
      <c r="OJ70" s="62"/>
      <c r="OK70" s="63"/>
      <c r="OL70" s="62"/>
      <c r="OM70" s="63"/>
      <c r="ON70" s="62"/>
      <c r="OO70" s="63"/>
      <c r="OP70" s="62"/>
      <c r="OQ70" s="63"/>
      <c r="OR70" s="62"/>
      <c r="OS70" s="63"/>
      <c r="OT70" s="62"/>
      <c r="OU70" s="63"/>
      <c r="OV70" s="62"/>
      <c r="OW70" s="63"/>
      <c r="OX70" s="62"/>
      <c r="OY70" s="63"/>
      <c r="OZ70" s="62"/>
      <c r="PA70" s="63"/>
      <c r="PB70" s="62"/>
      <c r="PC70" s="63"/>
      <c r="PD70" s="62"/>
      <c r="PE70" s="63"/>
      <c r="PF70" s="62"/>
      <c r="PG70" s="63"/>
      <c r="PH70" s="62"/>
      <c r="PI70" s="63"/>
      <c r="PJ70" s="62"/>
      <c r="PK70" s="63"/>
      <c r="PL70" s="62"/>
      <c r="PM70" s="63"/>
      <c r="PN70" s="62"/>
      <c r="PO70" s="63"/>
      <c r="PP70" s="62"/>
      <c r="PQ70" s="63"/>
      <c r="PR70" s="62"/>
      <c r="PS70" s="63"/>
      <c r="PT70" s="62"/>
      <c r="PU70" s="63"/>
      <c r="PV70" s="62"/>
      <c r="PW70" s="63"/>
      <c r="PX70" s="62"/>
      <c r="PY70" s="63"/>
      <c r="PZ70" s="62"/>
      <c r="QA70" s="63"/>
      <c r="QB70" s="62"/>
      <c r="QC70" s="63"/>
      <c r="QD70" s="62"/>
      <c r="QE70" s="63"/>
      <c r="QF70" s="62"/>
      <c r="QG70" s="63"/>
      <c r="QH70" s="62"/>
      <c r="QI70" s="63"/>
      <c r="QJ70" s="62"/>
      <c r="QK70" s="63"/>
      <c r="QL70" s="62"/>
      <c r="QM70" s="63"/>
      <c r="QN70" s="62"/>
      <c r="QO70" s="63"/>
      <c r="QP70" s="62"/>
      <c r="QQ70" s="63"/>
      <c r="QR70" s="62"/>
      <c r="QS70" s="63"/>
      <c r="QT70" s="62"/>
      <c r="QU70" s="63"/>
      <c r="QV70" s="62"/>
      <c r="QW70" s="63"/>
      <c r="QX70" s="62"/>
      <c r="QY70" s="63"/>
      <c r="QZ70" s="62"/>
      <c r="RA70" s="63"/>
      <c r="RB70" s="62"/>
      <c r="RC70" s="63"/>
      <c r="RD70" s="31"/>
    </row>
    <row r="71" spans="1:472" s="5" customFormat="1" ht="15" hidden="1" customHeight="1" x14ac:dyDescent="0.25">
      <c r="A71" s="41">
        <v>2096</v>
      </c>
      <c r="B71" s="41" t="s">
        <v>915</v>
      </c>
      <c r="C71" s="41" t="s">
        <v>5</v>
      </c>
      <c r="D71" s="41">
        <v>27</v>
      </c>
      <c r="E71" s="42"/>
      <c r="F71" s="41" t="s">
        <v>920</v>
      </c>
      <c r="I71" s="62"/>
      <c r="J71" s="63"/>
      <c r="K71" s="62"/>
      <c r="L71" s="63"/>
      <c r="M71" s="62"/>
      <c r="N71" s="63"/>
      <c r="O71" s="62"/>
      <c r="P71" s="63"/>
      <c r="Q71" s="62"/>
      <c r="R71" s="63"/>
      <c r="S71" s="62"/>
      <c r="T71" s="63"/>
      <c r="X71" s="62"/>
      <c r="Y71" s="63"/>
      <c r="Z71" s="62"/>
      <c r="AA71" s="63"/>
      <c r="AB71" s="62"/>
      <c r="AC71" s="63"/>
      <c r="AD71" s="62"/>
      <c r="AE71" s="63"/>
      <c r="AF71" s="62"/>
      <c r="AG71" s="63"/>
      <c r="AH71" s="62"/>
      <c r="AI71" s="63"/>
      <c r="AJ71" s="62"/>
      <c r="AK71" s="63"/>
      <c r="AL71" s="62"/>
      <c r="AM71" s="63"/>
      <c r="AN71" s="62"/>
      <c r="AO71" s="63"/>
      <c r="AP71" s="62"/>
      <c r="AQ71" s="63"/>
      <c r="AR71" s="62"/>
      <c r="AS71" s="63"/>
      <c r="AT71" s="62"/>
      <c r="AU71" s="63"/>
      <c r="AV71" s="62"/>
      <c r="AW71" s="63"/>
      <c r="AX71" s="62"/>
      <c r="AY71" s="63"/>
      <c r="AZ71" s="62"/>
      <c r="BA71" s="63"/>
      <c r="BB71" s="62"/>
      <c r="BC71" s="63"/>
      <c r="BD71" s="62"/>
      <c r="BE71" s="63"/>
      <c r="BF71" s="62"/>
      <c r="BG71" s="63"/>
      <c r="BH71" s="62"/>
      <c r="BI71" s="63"/>
      <c r="BJ71" s="62"/>
      <c r="BK71" s="63"/>
      <c r="BL71" s="62"/>
      <c r="BM71" s="63"/>
      <c r="BN71" s="62"/>
      <c r="BO71" s="63"/>
      <c r="BP71" s="62"/>
      <c r="BQ71" s="63"/>
      <c r="BR71" s="62"/>
      <c r="BS71" s="63"/>
      <c r="BT71" s="62"/>
      <c r="BU71" s="63"/>
      <c r="BV71" s="62"/>
      <c r="BW71" s="63"/>
      <c r="BX71" s="62"/>
      <c r="BY71" s="63"/>
      <c r="BZ71" s="62"/>
      <c r="CA71" s="63"/>
      <c r="CB71" s="62"/>
      <c r="CC71" s="63"/>
      <c r="CD71" s="62"/>
      <c r="CE71" s="63"/>
      <c r="CF71" s="62"/>
      <c r="CG71" s="63"/>
      <c r="CH71" s="62"/>
      <c r="CI71" s="63"/>
      <c r="CJ71" s="62"/>
      <c r="CK71" s="63"/>
      <c r="CL71" s="62"/>
      <c r="CM71" s="63"/>
      <c r="CN71" s="62"/>
      <c r="CO71" s="63"/>
      <c r="CP71" s="62"/>
      <c r="CQ71" s="63"/>
      <c r="CR71" s="62"/>
      <c r="CS71" s="63"/>
      <c r="CT71" s="62"/>
      <c r="CU71" s="63"/>
      <c r="CV71" s="62"/>
      <c r="CW71" s="63"/>
      <c r="CX71" s="62"/>
      <c r="CY71" s="63"/>
      <c r="CZ71" s="62"/>
      <c r="DA71" s="63"/>
      <c r="DB71" s="62"/>
      <c r="DC71" s="63"/>
      <c r="DD71" s="62"/>
      <c r="DE71" s="63"/>
      <c r="DF71" s="62"/>
      <c r="DG71" s="63"/>
      <c r="DH71" s="62"/>
      <c r="DI71" s="63"/>
      <c r="DJ71" s="62"/>
      <c r="DK71" s="63"/>
      <c r="DL71" s="62"/>
      <c r="DM71" s="63"/>
      <c r="DN71" s="62"/>
      <c r="DO71" s="63"/>
      <c r="DP71" s="62"/>
      <c r="DQ71" s="63"/>
      <c r="DR71" s="62"/>
      <c r="DS71" s="63"/>
      <c r="DT71" s="62"/>
      <c r="DU71" s="63"/>
      <c r="DV71" s="62"/>
      <c r="DW71" s="63"/>
      <c r="DX71" s="62"/>
      <c r="DY71" s="63"/>
      <c r="DZ71" s="62"/>
      <c r="EA71" s="63"/>
      <c r="EB71" s="62"/>
      <c r="EC71" s="63"/>
      <c r="ED71" s="62"/>
      <c r="EE71" s="63"/>
      <c r="EF71" s="62"/>
      <c r="EG71" s="63"/>
      <c r="EH71" s="62"/>
      <c r="EI71" s="63"/>
      <c r="EJ71" s="62"/>
      <c r="EK71" s="63"/>
      <c r="EL71" s="62"/>
      <c r="EM71" s="63"/>
      <c r="EN71" s="62"/>
      <c r="EO71" s="63"/>
      <c r="EP71" s="62"/>
      <c r="EQ71" s="63"/>
      <c r="ER71" s="62"/>
      <c r="ES71" s="63"/>
      <c r="ET71" s="62"/>
      <c r="EU71" s="63"/>
      <c r="EV71" s="62"/>
      <c r="EW71" s="63"/>
      <c r="EX71" s="62"/>
      <c r="EY71" s="63"/>
      <c r="EZ71" s="62"/>
      <c r="FA71" s="63"/>
      <c r="FB71" s="62"/>
      <c r="FC71" s="63"/>
      <c r="FD71" s="62"/>
      <c r="FE71" s="63"/>
      <c r="FF71" s="62"/>
      <c r="FG71" s="63"/>
      <c r="FH71" s="62"/>
      <c r="FI71" s="63"/>
      <c r="FJ71" s="62"/>
      <c r="FK71" s="63"/>
      <c r="FL71" s="62"/>
      <c r="FM71" s="63"/>
      <c r="FN71" s="62"/>
      <c r="FO71" s="63"/>
      <c r="FP71" s="62"/>
      <c r="FQ71" s="63"/>
      <c r="FR71" s="62"/>
      <c r="FS71" s="63"/>
      <c r="FT71" s="62"/>
      <c r="FU71" s="63"/>
      <c r="FV71" s="62"/>
      <c r="FW71" s="63"/>
      <c r="FX71" s="62"/>
      <c r="FY71" s="63"/>
      <c r="FZ71" s="62"/>
      <c r="GA71" s="63"/>
      <c r="GB71" s="62"/>
      <c r="GC71" s="63"/>
      <c r="GD71" s="31"/>
      <c r="GE71" s="32"/>
      <c r="GF71" s="62"/>
      <c r="GG71" s="63"/>
      <c r="GH71" s="62"/>
      <c r="GI71" s="63"/>
      <c r="GJ71" s="62"/>
      <c r="GK71" s="63"/>
      <c r="GL71" s="62"/>
      <c r="GM71" s="63"/>
      <c r="GN71" s="62" t="s">
        <v>36</v>
      </c>
      <c r="GO71" s="63"/>
      <c r="GP71" s="62" t="s">
        <v>36</v>
      </c>
      <c r="GQ71" s="63"/>
      <c r="GR71" s="62" t="s">
        <v>36</v>
      </c>
      <c r="GS71" s="63"/>
      <c r="GT71" s="62" t="s">
        <v>37</v>
      </c>
      <c r="GU71" s="63"/>
      <c r="GV71" s="62" t="s">
        <v>37</v>
      </c>
      <c r="GW71" s="63"/>
      <c r="GX71" s="62" t="s">
        <v>37</v>
      </c>
      <c r="GY71" s="63"/>
      <c r="GZ71" s="62" t="s">
        <v>37</v>
      </c>
      <c r="HA71" s="63"/>
      <c r="HB71" s="62" t="s">
        <v>37</v>
      </c>
      <c r="HC71" s="63"/>
      <c r="HD71" s="62"/>
      <c r="HE71" s="63"/>
      <c r="HF71" s="62"/>
      <c r="HG71" s="63"/>
      <c r="HH71" s="62"/>
      <c r="HI71" s="63"/>
      <c r="HJ71" s="62"/>
      <c r="HK71" s="63"/>
      <c r="HL71" s="62"/>
      <c r="HM71" s="63"/>
      <c r="HN71" s="62"/>
      <c r="HO71" s="63"/>
      <c r="HP71" s="62"/>
      <c r="HQ71" s="63"/>
      <c r="HR71" s="62"/>
      <c r="HS71" s="63"/>
      <c r="HT71" s="62"/>
      <c r="HU71" s="63"/>
      <c r="HV71" s="62"/>
      <c r="HW71" s="63"/>
      <c r="HX71" s="62"/>
      <c r="HY71" s="63"/>
      <c r="HZ71" s="62"/>
      <c r="IA71" s="63"/>
      <c r="IB71" s="62"/>
      <c r="IC71" s="63"/>
      <c r="ID71" s="62"/>
      <c r="IE71" s="63"/>
      <c r="IF71" s="62"/>
      <c r="IG71" s="63"/>
      <c r="IH71" s="62"/>
      <c r="II71" s="63"/>
      <c r="IJ71" s="62"/>
      <c r="IK71" s="63"/>
      <c r="IL71" s="62"/>
      <c r="IM71" s="63"/>
      <c r="IN71" s="62"/>
      <c r="IO71" s="63"/>
      <c r="IP71" s="62"/>
      <c r="IQ71" s="63"/>
      <c r="IR71" s="62"/>
      <c r="IS71" s="63"/>
      <c r="IT71" s="62"/>
      <c r="IU71" s="63"/>
      <c r="IV71" s="62"/>
      <c r="IW71" s="63"/>
      <c r="IX71" s="62"/>
      <c r="IY71" s="63"/>
      <c r="IZ71" s="62"/>
      <c r="JA71" s="63"/>
      <c r="JB71" s="62"/>
      <c r="JC71" s="63"/>
      <c r="JD71" s="62"/>
      <c r="JE71" s="63"/>
      <c r="JF71" s="62"/>
      <c r="JG71" s="63"/>
      <c r="JH71" s="62"/>
      <c r="JI71" s="63"/>
      <c r="JJ71" s="62"/>
      <c r="JK71" s="63"/>
      <c r="JL71" s="62"/>
      <c r="JM71" s="63"/>
      <c r="JN71" s="62"/>
      <c r="JO71" s="63"/>
      <c r="JP71" s="62"/>
      <c r="JQ71" s="63"/>
      <c r="JR71" s="62"/>
      <c r="JS71" s="63"/>
      <c r="JT71" s="62"/>
      <c r="JU71" s="63"/>
      <c r="JV71" s="62"/>
      <c r="JW71" s="63"/>
      <c r="JX71" s="62"/>
      <c r="JY71" s="63"/>
      <c r="JZ71" s="62"/>
      <c r="KA71" s="63"/>
      <c r="KB71" s="62"/>
      <c r="KC71" s="63"/>
      <c r="KD71" s="62"/>
      <c r="KE71" s="63"/>
      <c r="KF71" s="62"/>
      <c r="KG71" s="63"/>
      <c r="KH71" s="62"/>
      <c r="KI71" s="63"/>
      <c r="KJ71" s="62"/>
      <c r="KK71" s="63"/>
      <c r="KL71" s="62"/>
      <c r="KM71" s="63"/>
      <c r="KN71" s="62"/>
      <c r="KO71" s="63"/>
      <c r="KP71" s="62"/>
      <c r="KQ71" s="63"/>
      <c r="KR71" s="62"/>
      <c r="KS71" s="63"/>
      <c r="KT71" s="62"/>
      <c r="KU71" s="63"/>
      <c r="KV71" s="62"/>
      <c r="KW71" s="63"/>
      <c r="KX71" s="62"/>
      <c r="KY71" s="63"/>
      <c r="KZ71" s="62"/>
      <c r="LA71" s="63"/>
      <c r="LB71" s="62"/>
      <c r="LC71" s="63"/>
      <c r="LD71" s="62"/>
      <c r="LE71" s="63"/>
      <c r="LF71" s="62"/>
      <c r="LG71" s="63"/>
      <c r="LH71" s="62"/>
      <c r="LI71" s="63"/>
      <c r="LJ71" s="62"/>
      <c r="LK71" s="63"/>
      <c r="LL71" s="62"/>
      <c r="LM71" s="63"/>
      <c r="LN71" s="62"/>
      <c r="LO71" s="63"/>
      <c r="LP71" s="62"/>
      <c r="LQ71" s="63"/>
      <c r="LR71" s="62"/>
      <c r="LS71" s="63"/>
      <c r="LT71" s="62"/>
      <c r="LU71" s="63"/>
      <c r="LV71" s="62"/>
      <c r="LW71" s="63"/>
      <c r="LX71" s="62"/>
      <c r="LY71" s="63"/>
      <c r="LZ71" s="62"/>
      <c r="MA71" s="63"/>
      <c r="MB71" s="62"/>
      <c r="MC71" s="63"/>
      <c r="MD71" s="62"/>
      <c r="ME71" s="63"/>
      <c r="MF71" s="62"/>
      <c r="MG71" s="63"/>
      <c r="MH71" s="62"/>
      <c r="MI71" s="63"/>
      <c r="MJ71" s="62"/>
      <c r="MK71" s="63"/>
      <c r="ML71" s="62"/>
      <c r="MM71" s="63"/>
      <c r="MN71" s="62"/>
      <c r="MO71" s="63"/>
      <c r="MP71" s="62"/>
      <c r="MQ71" s="63"/>
      <c r="MR71" s="62"/>
      <c r="MS71" s="63"/>
      <c r="MT71" s="62"/>
      <c r="MU71" s="63"/>
      <c r="MV71" s="62"/>
      <c r="MW71" s="63"/>
      <c r="MX71" s="62"/>
      <c r="MY71" s="63"/>
      <c r="MZ71" s="62"/>
      <c r="NA71" s="63"/>
      <c r="NB71" s="62"/>
      <c r="NC71" s="63"/>
      <c r="ND71" s="62"/>
      <c r="NE71" s="63"/>
      <c r="NF71" s="62"/>
      <c r="NG71" s="63"/>
      <c r="NH71" s="62"/>
      <c r="NI71" s="63"/>
      <c r="NJ71" s="62"/>
      <c r="NK71" s="63"/>
      <c r="NL71" s="62"/>
      <c r="NM71" s="63"/>
      <c r="NN71" s="62"/>
      <c r="NO71" s="63"/>
      <c r="NP71" s="62"/>
      <c r="NQ71" s="63"/>
      <c r="NR71" s="62"/>
      <c r="NS71" s="63"/>
      <c r="NT71" s="62"/>
      <c r="NU71" s="63"/>
      <c r="NV71" s="62"/>
      <c r="NW71" s="63"/>
      <c r="NX71" s="62"/>
      <c r="NY71" s="63"/>
      <c r="NZ71" s="62"/>
      <c r="OA71" s="63"/>
      <c r="OB71" s="62"/>
      <c r="OC71" s="63"/>
      <c r="OD71" s="62"/>
      <c r="OE71" s="63"/>
      <c r="OF71" s="62"/>
      <c r="OG71" s="63"/>
      <c r="OH71" s="62"/>
      <c r="OI71" s="63"/>
      <c r="OJ71" s="62"/>
      <c r="OK71" s="63"/>
      <c r="OL71" s="62"/>
      <c r="OM71" s="63"/>
      <c r="ON71" s="62"/>
      <c r="OO71" s="63"/>
      <c r="OP71" s="62"/>
      <c r="OQ71" s="63"/>
      <c r="OR71" s="62"/>
      <c r="OS71" s="63"/>
      <c r="OT71" s="62"/>
      <c r="OU71" s="63"/>
      <c r="OV71" s="62"/>
      <c r="OW71" s="63"/>
      <c r="OX71" s="62"/>
      <c r="OY71" s="63"/>
      <c r="OZ71" s="62"/>
      <c r="PA71" s="63"/>
      <c r="PB71" s="62"/>
      <c r="PC71" s="63"/>
      <c r="PD71" s="62"/>
      <c r="PE71" s="63"/>
      <c r="PF71" s="62"/>
      <c r="PG71" s="63"/>
      <c r="PH71" s="62"/>
      <c r="PI71" s="63"/>
      <c r="PJ71" s="62"/>
      <c r="PK71" s="63"/>
      <c r="PL71" s="62"/>
      <c r="PM71" s="63"/>
      <c r="PN71" s="62"/>
      <c r="PO71" s="63"/>
      <c r="PP71" s="62"/>
      <c r="PQ71" s="63"/>
      <c r="PR71" s="62"/>
      <c r="PS71" s="63"/>
      <c r="PT71" s="62"/>
      <c r="PU71" s="63"/>
      <c r="PV71" s="62"/>
      <c r="PW71" s="63"/>
      <c r="PX71" s="62"/>
      <c r="PY71" s="63"/>
      <c r="PZ71" s="62"/>
      <c r="QA71" s="63"/>
      <c r="QB71" s="62"/>
      <c r="QC71" s="63"/>
      <c r="QD71" s="62"/>
      <c r="QE71" s="63"/>
      <c r="QF71" s="62"/>
      <c r="QG71" s="63"/>
      <c r="QH71" s="62"/>
      <c r="QI71" s="63"/>
      <c r="QJ71" s="62"/>
      <c r="QK71" s="63"/>
      <c r="QL71" s="62"/>
      <c r="QM71" s="63"/>
      <c r="QN71" s="62"/>
      <c r="QO71" s="63"/>
      <c r="QP71" s="62"/>
      <c r="QQ71" s="63"/>
      <c r="QR71" s="62"/>
      <c r="QS71" s="63"/>
      <c r="QT71" s="62"/>
      <c r="QU71" s="63"/>
      <c r="QV71" s="62"/>
      <c r="QW71" s="63"/>
      <c r="QX71" s="62"/>
      <c r="QY71" s="63"/>
      <c r="QZ71" s="62"/>
      <c r="RA71" s="63"/>
      <c r="RB71" s="62"/>
      <c r="RC71" s="63"/>
      <c r="RD71" s="31"/>
    </row>
    <row r="72" spans="1:472" s="5" customFormat="1" ht="15" hidden="1" customHeight="1" x14ac:dyDescent="0.25">
      <c r="A72" s="41">
        <v>2078</v>
      </c>
      <c r="B72" s="41" t="s">
        <v>580</v>
      </c>
      <c r="C72" s="41" t="s">
        <v>230</v>
      </c>
      <c r="D72" s="41">
        <v>141</v>
      </c>
      <c r="E72" s="42"/>
      <c r="F72" s="41" t="s">
        <v>293</v>
      </c>
      <c r="I72" s="62"/>
      <c r="J72" s="63"/>
      <c r="K72" s="62"/>
      <c r="L72" s="63"/>
      <c r="M72" s="62"/>
      <c r="N72" s="63"/>
      <c r="O72" s="62"/>
      <c r="P72" s="63"/>
      <c r="Q72" s="62"/>
      <c r="R72" s="63"/>
      <c r="S72" s="62"/>
      <c r="T72" s="63"/>
      <c r="X72" s="62"/>
      <c r="Y72" s="63"/>
      <c r="Z72" s="62"/>
      <c r="AA72" s="63"/>
      <c r="AB72" s="62"/>
      <c r="AC72" s="63"/>
      <c r="AD72" s="62"/>
      <c r="AE72" s="63"/>
      <c r="AF72" s="62"/>
      <c r="AG72" s="63"/>
      <c r="AH72" s="62"/>
      <c r="AI72" s="63"/>
      <c r="AJ72" s="62"/>
      <c r="AK72" s="63"/>
      <c r="AL72" s="62"/>
      <c r="AM72" s="63"/>
      <c r="AN72" s="62"/>
      <c r="AO72" s="63"/>
      <c r="AP72" s="62"/>
      <c r="AQ72" s="63"/>
      <c r="AR72" s="62"/>
      <c r="AS72" s="63"/>
      <c r="AT72" s="62"/>
      <c r="AU72" s="63"/>
      <c r="AV72" s="62"/>
      <c r="AW72" s="63"/>
      <c r="AX72" s="62"/>
      <c r="AY72" s="63"/>
      <c r="AZ72" s="62"/>
      <c r="BA72" s="63"/>
      <c r="BB72" s="62"/>
      <c r="BC72" s="63"/>
      <c r="BD72" s="62"/>
      <c r="BE72" s="63"/>
      <c r="BF72" s="62"/>
      <c r="BG72" s="63"/>
      <c r="BH72" s="62"/>
      <c r="BI72" s="63"/>
      <c r="BJ72" s="62"/>
      <c r="BK72" s="63"/>
      <c r="BL72" s="62"/>
      <c r="BM72" s="63"/>
      <c r="BN72" s="62"/>
      <c r="BO72" s="63"/>
      <c r="BP72" s="62"/>
      <c r="BQ72" s="63"/>
      <c r="BR72" s="62"/>
      <c r="BS72" s="63"/>
      <c r="BT72" s="62"/>
      <c r="BU72" s="63"/>
      <c r="BV72" s="62"/>
      <c r="BW72" s="63"/>
      <c r="BX72" s="62"/>
      <c r="BY72" s="63"/>
      <c r="BZ72" s="62"/>
      <c r="CA72" s="63"/>
      <c r="CB72" s="62"/>
      <c r="CC72" s="63"/>
      <c r="CD72" s="62"/>
      <c r="CE72" s="63"/>
      <c r="CF72" s="62"/>
      <c r="CG72" s="63"/>
      <c r="CH72" s="62"/>
      <c r="CI72" s="63"/>
      <c r="CJ72" s="62"/>
      <c r="CK72" s="63"/>
      <c r="CL72" s="62"/>
      <c r="CM72" s="63"/>
      <c r="CN72" s="62"/>
      <c r="CO72" s="63"/>
      <c r="CP72" s="62"/>
      <c r="CQ72" s="63"/>
      <c r="CR72" s="62"/>
      <c r="CS72" s="63"/>
      <c r="CT72" s="62"/>
      <c r="CU72" s="63"/>
      <c r="CV72" s="62"/>
      <c r="CW72" s="63"/>
      <c r="CX72" s="62"/>
      <c r="CY72" s="63"/>
      <c r="CZ72" s="62"/>
      <c r="DA72" s="63"/>
      <c r="DB72" s="62"/>
      <c r="DC72" s="63"/>
      <c r="DD72" s="62"/>
      <c r="DE72" s="63"/>
      <c r="DF72" s="62"/>
      <c r="DG72" s="63"/>
      <c r="DH72" s="62"/>
      <c r="DI72" s="63"/>
      <c r="DJ72" s="62"/>
      <c r="DK72" s="63"/>
      <c r="DL72" s="62"/>
      <c r="DM72" s="63"/>
      <c r="DN72" s="62"/>
      <c r="DO72" s="63"/>
      <c r="DP72" s="62"/>
      <c r="DQ72" s="63"/>
      <c r="DR72" s="62"/>
      <c r="DS72" s="63"/>
      <c r="DT72" s="62"/>
      <c r="DU72" s="63"/>
      <c r="DV72" s="62"/>
      <c r="DW72" s="63"/>
      <c r="DX72" s="62"/>
      <c r="DY72" s="63"/>
      <c r="DZ72" s="62"/>
      <c r="EA72" s="63"/>
      <c r="EB72" s="62"/>
      <c r="EC72" s="63"/>
      <c r="ED72" s="62"/>
      <c r="EE72" s="63"/>
      <c r="EF72" s="62"/>
      <c r="EG72" s="63"/>
      <c r="EH72" s="62"/>
      <c r="EI72" s="63"/>
      <c r="EJ72" s="62"/>
      <c r="EK72" s="63"/>
      <c r="EL72" s="62"/>
      <c r="EM72" s="63"/>
      <c r="EN72" s="62"/>
      <c r="EO72" s="63"/>
      <c r="EP72" s="62"/>
      <c r="EQ72" s="63"/>
      <c r="ER72" s="62"/>
      <c r="ES72" s="63"/>
      <c r="ET72" s="62"/>
      <c r="EU72" s="63"/>
      <c r="EV72" s="62"/>
      <c r="EW72" s="63"/>
      <c r="EX72" s="62"/>
      <c r="EY72" s="63"/>
      <c r="EZ72" s="62"/>
      <c r="FA72" s="63"/>
      <c r="FB72" s="62"/>
      <c r="FC72" s="63"/>
      <c r="FD72" s="62"/>
      <c r="FE72" s="63"/>
      <c r="FF72" s="62"/>
      <c r="FG72" s="63"/>
      <c r="FH72" s="62"/>
      <c r="FI72" s="63"/>
      <c r="FJ72" s="62" t="s">
        <v>66</v>
      </c>
      <c r="FK72" s="63"/>
      <c r="FL72" s="62" t="s">
        <v>66</v>
      </c>
      <c r="FM72" s="63"/>
      <c r="FN72" s="62" t="s">
        <v>38</v>
      </c>
      <c r="FO72" s="63"/>
      <c r="FP72" s="62" t="s">
        <v>38</v>
      </c>
      <c r="FQ72" s="63"/>
      <c r="FR72" s="62" t="s">
        <v>38</v>
      </c>
      <c r="FS72" s="63"/>
      <c r="FT72" s="62" t="s">
        <v>36</v>
      </c>
      <c r="FU72" s="63"/>
      <c r="FV72" s="62" t="s">
        <v>36</v>
      </c>
      <c r="FW72" s="63"/>
      <c r="FX72" s="62" t="s">
        <v>36</v>
      </c>
      <c r="FY72" s="63"/>
      <c r="FZ72" s="62" t="s">
        <v>36</v>
      </c>
      <c r="GA72" s="63"/>
      <c r="GB72" s="62" t="s">
        <v>36</v>
      </c>
      <c r="GC72" s="63"/>
      <c r="GD72" s="62" t="s">
        <v>36</v>
      </c>
      <c r="GE72" s="63"/>
      <c r="GF72" s="62" t="s">
        <v>36</v>
      </c>
      <c r="GG72" s="63"/>
      <c r="GH72" s="62" t="s">
        <v>36</v>
      </c>
      <c r="GI72" s="63"/>
      <c r="GJ72" s="62" t="s">
        <v>36</v>
      </c>
      <c r="GK72" s="63"/>
      <c r="GL72" s="62" t="s">
        <v>36</v>
      </c>
      <c r="GM72" s="63"/>
      <c r="GN72" s="62" t="s">
        <v>36</v>
      </c>
      <c r="GO72" s="63"/>
      <c r="GP72" s="62" t="s">
        <v>36</v>
      </c>
      <c r="GQ72" s="63"/>
      <c r="GR72" s="62" t="s">
        <v>37</v>
      </c>
      <c r="GS72" s="63"/>
      <c r="GT72" s="62" t="s">
        <v>37</v>
      </c>
      <c r="GU72" s="63"/>
      <c r="GV72" s="62" t="s">
        <v>37</v>
      </c>
      <c r="GW72" s="63"/>
      <c r="GX72" s="62" t="s">
        <v>37</v>
      </c>
      <c r="GY72" s="63"/>
      <c r="GZ72" s="62" t="s">
        <v>37</v>
      </c>
      <c r="HA72" s="63"/>
      <c r="HB72" s="62" t="s">
        <v>37</v>
      </c>
      <c r="HC72" s="63"/>
      <c r="HD72" s="62" t="s">
        <v>37</v>
      </c>
      <c r="HE72" s="63"/>
      <c r="HF72" s="62" t="s">
        <v>37</v>
      </c>
      <c r="HG72" s="63"/>
      <c r="HH72" s="62"/>
      <c r="HI72" s="63"/>
      <c r="HJ72" s="62"/>
      <c r="HK72" s="63"/>
      <c r="HL72" s="62"/>
      <c r="HM72" s="63"/>
      <c r="HN72" s="62"/>
      <c r="HO72" s="63"/>
      <c r="HP72" s="62"/>
      <c r="HQ72" s="63"/>
      <c r="HR72" s="62"/>
      <c r="HS72" s="63"/>
      <c r="HT72" s="62"/>
      <c r="HU72" s="63"/>
      <c r="HV72" s="62"/>
      <c r="HW72" s="63"/>
      <c r="HX72" s="62"/>
      <c r="HY72" s="63"/>
      <c r="HZ72" s="62"/>
      <c r="IA72" s="63"/>
      <c r="IB72" s="62"/>
      <c r="IC72" s="63"/>
      <c r="ID72" s="62"/>
      <c r="IE72" s="63"/>
      <c r="IF72" s="62"/>
      <c r="IG72" s="63"/>
      <c r="IH72" s="62"/>
      <c r="II72" s="63"/>
      <c r="IJ72" s="62"/>
      <c r="IK72" s="63"/>
      <c r="IL72" s="62"/>
      <c r="IM72" s="63"/>
      <c r="IN72" s="62"/>
      <c r="IO72" s="63"/>
      <c r="IP72" s="62"/>
      <c r="IQ72" s="63"/>
      <c r="IR72" s="62"/>
      <c r="IS72" s="63"/>
      <c r="IT72" s="62"/>
      <c r="IU72" s="63"/>
      <c r="IV72" s="62"/>
      <c r="IW72" s="63"/>
      <c r="IX72" s="62"/>
      <c r="IY72" s="63"/>
      <c r="IZ72" s="62"/>
      <c r="JA72" s="63"/>
      <c r="JB72" s="62"/>
      <c r="JC72" s="63"/>
      <c r="JD72" s="62"/>
      <c r="JE72" s="63"/>
      <c r="JF72" s="62"/>
      <c r="JG72" s="63"/>
      <c r="JH72" s="62"/>
      <c r="JI72" s="63"/>
      <c r="JJ72" s="62"/>
      <c r="JK72" s="63"/>
      <c r="JL72" s="62"/>
      <c r="JM72" s="63"/>
      <c r="JN72" s="62"/>
      <c r="JO72" s="63"/>
      <c r="JP72" s="62"/>
      <c r="JQ72" s="63"/>
      <c r="JR72" s="62"/>
      <c r="JS72" s="63"/>
      <c r="JT72" s="62"/>
      <c r="JU72" s="63"/>
      <c r="JV72" s="62"/>
      <c r="JW72" s="63"/>
      <c r="JX72" s="62"/>
      <c r="JY72" s="63"/>
      <c r="JZ72" s="62"/>
      <c r="KA72" s="63"/>
      <c r="KB72" s="62"/>
      <c r="KC72" s="63"/>
      <c r="KD72" s="62"/>
      <c r="KE72" s="63"/>
      <c r="KF72" s="62"/>
      <c r="KG72" s="63"/>
      <c r="KH72" s="62"/>
      <c r="KI72" s="63"/>
      <c r="KJ72" s="62"/>
      <c r="KK72" s="63"/>
      <c r="KL72" s="62"/>
      <c r="KM72" s="63"/>
      <c r="KN72" s="62"/>
      <c r="KO72" s="63"/>
      <c r="KP72" s="62"/>
      <c r="KQ72" s="63"/>
      <c r="KR72" s="62"/>
      <c r="KS72" s="63"/>
      <c r="KT72" s="62"/>
      <c r="KU72" s="63"/>
      <c r="KV72" s="62"/>
      <c r="KW72" s="63"/>
      <c r="KX72" s="62"/>
      <c r="KY72" s="63"/>
      <c r="KZ72" s="62"/>
      <c r="LA72" s="63"/>
      <c r="LB72" s="62"/>
      <c r="LC72" s="63"/>
      <c r="LD72" s="62"/>
      <c r="LE72" s="63"/>
      <c r="LF72" s="62"/>
      <c r="LG72" s="63"/>
      <c r="LH72" s="62"/>
      <c r="LI72" s="63"/>
      <c r="LJ72" s="62"/>
      <c r="LK72" s="63"/>
      <c r="LL72" s="62"/>
      <c r="LM72" s="63"/>
      <c r="LN72" s="62"/>
      <c r="LO72" s="63"/>
      <c r="LP72" s="62"/>
      <c r="LQ72" s="63"/>
      <c r="LR72" s="62"/>
      <c r="LS72" s="63"/>
      <c r="LT72" s="62"/>
      <c r="LU72" s="63"/>
      <c r="LV72" s="62"/>
      <c r="LW72" s="63"/>
      <c r="LX72" s="62"/>
      <c r="LY72" s="63"/>
      <c r="LZ72" s="62"/>
      <c r="MA72" s="63"/>
      <c r="MB72" s="62"/>
      <c r="MC72" s="63"/>
      <c r="MD72" s="62"/>
      <c r="ME72" s="63"/>
      <c r="MF72" s="62"/>
      <c r="MG72" s="63"/>
      <c r="MH72" s="62"/>
      <c r="MI72" s="63"/>
      <c r="MJ72" s="62"/>
      <c r="MK72" s="63"/>
      <c r="ML72" s="62"/>
      <c r="MM72" s="63"/>
      <c r="MN72" s="62"/>
      <c r="MO72" s="63"/>
      <c r="MP72" s="62"/>
      <c r="MQ72" s="63"/>
      <c r="MR72" s="62"/>
      <c r="MS72" s="63"/>
      <c r="MT72" s="62"/>
      <c r="MU72" s="63"/>
      <c r="MV72" s="62"/>
      <c r="MW72" s="63"/>
      <c r="MX72" s="62"/>
      <c r="MY72" s="63"/>
      <c r="MZ72" s="62"/>
      <c r="NA72" s="63"/>
      <c r="NB72" s="62"/>
      <c r="NC72" s="63"/>
      <c r="ND72" s="62"/>
      <c r="NE72" s="63"/>
      <c r="NF72" s="62"/>
      <c r="NG72" s="63"/>
      <c r="NH72" s="62"/>
      <c r="NI72" s="63"/>
      <c r="NJ72" s="62"/>
      <c r="NK72" s="63"/>
      <c r="NL72" s="62"/>
      <c r="NM72" s="63"/>
      <c r="NN72" s="62"/>
      <c r="NO72" s="63"/>
      <c r="NP72" s="62"/>
      <c r="NQ72" s="63"/>
      <c r="NR72" s="62"/>
      <c r="NS72" s="63"/>
      <c r="NT72" s="62"/>
      <c r="NU72" s="63"/>
      <c r="NV72" s="62"/>
      <c r="NW72" s="63"/>
      <c r="NX72" s="62"/>
      <c r="NY72" s="63"/>
      <c r="NZ72" s="62"/>
      <c r="OA72" s="63"/>
      <c r="OB72" s="62"/>
      <c r="OC72" s="63"/>
      <c r="OD72" s="62"/>
      <c r="OE72" s="63"/>
      <c r="OF72" s="62"/>
      <c r="OG72" s="63"/>
      <c r="OH72" s="62"/>
      <c r="OI72" s="63"/>
      <c r="OJ72" s="62"/>
      <c r="OK72" s="63"/>
      <c r="OL72" s="62"/>
      <c r="OM72" s="63"/>
      <c r="ON72" s="62"/>
      <c r="OO72" s="63"/>
      <c r="OP72" s="62"/>
      <c r="OQ72" s="63"/>
      <c r="OR72" s="62"/>
      <c r="OS72" s="63"/>
      <c r="OT72" s="62"/>
      <c r="OU72" s="63"/>
      <c r="OV72" s="62"/>
      <c r="OW72" s="63"/>
      <c r="OX72" s="62"/>
      <c r="OY72" s="63"/>
      <c r="OZ72" s="62"/>
      <c r="PA72" s="63"/>
      <c r="PB72" s="62"/>
      <c r="PC72" s="63"/>
      <c r="PD72" s="62"/>
      <c r="PE72" s="63"/>
      <c r="PF72" s="62"/>
      <c r="PG72" s="63"/>
      <c r="PH72" s="62"/>
      <c r="PI72" s="63"/>
      <c r="PJ72" s="62"/>
      <c r="PK72" s="63"/>
      <c r="PL72" s="62"/>
      <c r="PM72" s="63"/>
      <c r="PN72" s="62"/>
      <c r="PO72" s="63"/>
      <c r="PP72" s="62"/>
      <c r="PQ72" s="63"/>
      <c r="PR72" s="62"/>
      <c r="PS72" s="63"/>
      <c r="PT72" s="62"/>
      <c r="PU72" s="63"/>
      <c r="PV72" s="62"/>
      <c r="PW72" s="63"/>
      <c r="PX72" s="62"/>
      <c r="PY72" s="63"/>
      <c r="PZ72" s="62"/>
      <c r="QA72" s="63"/>
      <c r="QB72" s="62"/>
      <c r="QC72" s="63"/>
      <c r="QD72" s="62"/>
      <c r="QE72" s="63"/>
      <c r="QF72" s="62"/>
      <c r="QG72" s="63"/>
      <c r="QH72" s="62"/>
      <c r="QI72" s="63"/>
      <c r="QJ72" s="62"/>
      <c r="QK72" s="63"/>
      <c r="QL72" s="62"/>
      <c r="QM72" s="63"/>
      <c r="QN72" s="62"/>
      <c r="QO72" s="63"/>
      <c r="QP72" s="62"/>
      <c r="QQ72" s="63"/>
      <c r="QR72" s="62"/>
      <c r="QS72" s="63"/>
      <c r="QT72" s="62"/>
      <c r="QU72" s="63"/>
      <c r="QV72" s="62"/>
      <c r="QW72" s="63"/>
      <c r="QX72" s="62"/>
      <c r="QY72" s="63"/>
      <c r="QZ72" s="62"/>
      <c r="RA72" s="63"/>
      <c r="RB72" s="62"/>
      <c r="RC72" s="63"/>
      <c r="RD72" s="31"/>
    </row>
    <row r="73" spans="1:472" s="5" customFormat="1" hidden="1" x14ac:dyDescent="0.25">
      <c r="A73" s="41">
        <v>2071</v>
      </c>
      <c r="B73" s="41" t="s">
        <v>634</v>
      </c>
      <c r="C73" s="41" t="s">
        <v>5</v>
      </c>
      <c r="D73" s="41">
        <v>160</v>
      </c>
      <c r="E73" s="42"/>
      <c r="F73" s="41" t="s">
        <v>289</v>
      </c>
      <c r="I73" s="62"/>
      <c r="J73" s="63"/>
      <c r="K73" s="62"/>
      <c r="L73" s="63"/>
      <c r="M73" s="62"/>
      <c r="N73" s="63"/>
      <c r="O73" s="62"/>
      <c r="P73" s="63"/>
      <c r="Q73" s="62"/>
      <c r="R73" s="63"/>
      <c r="S73" s="62"/>
      <c r="T73" s="63"/>
      <c r="X73" s="62"/>
      <c r="Y73" s="63"/>
      <c r="Z73" s="62"/>
      <c r="AA73" s="63"/>
      <c r="AB73" s="62"/>
      <c r="AC73" s="63"/>
      <c r="AD73" s="62"/>
      <c r="AE73" s="63"/>
      <c r="AF73" s="62"/>
      <c r="AG73" s="63"/>
      <c r="AH73" s="62"/>
      <c r="AI73" s="63"/>
      <c r="AJ73" s="62"/>
      <c r="AK73" s="63"/>
      <c r="AL73" s="62"/>
      <c r="AM73" s="63"/>
      <c r="AN73" s="62"/>
      <c r="AO73" s="63"/>
      <c r="AP73" s="62"/>
      <c r="AQ73" s="63"/>
      <c r="AR73" s="62"/>
      <c r="AS73" s="63"/>
      <c r="AT73" s="62"/>
      <c r="AU73" s="63"/>
      <c r="AV73" s="62"/>
      <c r="AW73" s="63"/>
      <c r="AX73" s="62"/>
      <c r="AY73" s="63"/>
      <c r="AZ73" s="62"/>
      <c r="BA73" s="63"/>
      <c r="BB73" s="62"/>
      <c r="BC73" s="63"/>
      <c r="BD73" s="62"/>
      <c r="BE73" s="63"/>
      <c r="BF73" s="62"/>
      <c r="BG73" s="63"/>
      <c r="BH73" s="62"/>
      <c r="BI73" s="63"/>
      <c r="BJ73" s="62"/>
      <c r="BK73" s="63"/>
      <c r="BL73" s="62"/>
      <c r="BM73" s="63"/>
      <c r="BN73" s="62"/>
      <c r="BO73" s="63"/>
      <c r="BP73" s="62"/>
      <c r="BQ73" s="63"/>
      <c r="BR73" s="62"/>
      <c r="BS73" s="63"/>
      <c r="BT73" s="62"/>
      <c r="BU73" s="63"/>
      <c r="BV73" s="62"/>
      <c r="BW73" s="63"/>
      <c r="BX73" s="62"/>
      <c r="BY73" s="63"/>
      <c r="BZ73" s="62"/>
      <c r="CA73" s="63"/>
      <c r="CB73" s="62"/>
      <c r="CC73" s="63"/>
      <c r="CD73" s="62"/>
      <c r="CE73" s="63"/>
      <c r="CF73" s="62"/>
      <c r="CG73" s="63"/>
      <c r="CH73" s="62"/>
      <c r="CI73" s="63"/>
      <c r="CJ73" s="62"/>
      <c r="CK73" s="63"/>
      <c r="CL73" s="62"/>
      <c r="CM73" s="63"/>
      <c r="CN73" s="62"/>
      <c r="CO73" s="63"/>
      <c r="CP73" s="62"/>
      <c r="CQ73" s="63"/>
      <c r="CR73" s="62"/>
      <c r="CS73" s="63"/>
      <c r="CT73" s="62"/>
      <c r="CU73" s="63"/>
      <c r="CV73" s="62"/>
      <c r="CW73" s="63"/>
      <c r="CX73" s="62"/>
      <c r="CY73" s="63"/>
      <c r="CZ73" s="62"/>
      <c r="DA73" s="63"/>
      <c r="DB73" s="62"/>
      <c r="DC73" s="63"/>
      <c r="DD73" s="62"/>
      <c r="DE73" s="63"/>
      <c r="DF73" s="62"/>
      <c r="DG73" s="63"/>
      <c r="DH73" s="62"/>
      <c r="DI73" s="63"/>
      <c r="DJ73" s="62"/>
      <c r="DK73" s="63"/>
      <c r="DL73" s="62"/>
      <c r="DM73" s="63"/>
      <c r="DN73" s="62"/>
      <c r="DO73" s="63"/>
      <c r="DP73" s="62"/>
      <c r="DQ73" s="63"/>
      <c r="DR73" s="62"/>
      <c r="DS73" s="63"/>
      <c r="DT73" s="62"/>
      <c r="DU73" s="63"/>
      <c r="DV73" s="62"/>
      <c r="DW73" s="63"/>
      <c r="DX73" s="62"/>
      <c r="DY73" s="63"/>
      <c r="DZ73" s="62"/>
      <c r="EA73" s="63"/>
      <c r="EB73" s="62"/>
      <c r="EC73" s="63"/>
      <c r="ED73" s="62"/>
      <c r="EE73" s="63"/>
      <c r="EF73" s="62"/>
      <c r="EG73" s="63"/>
      <c r="EH73" s="62"/>
      <c r="EI73" s="63"/>
      <c r="EJ73" s="62"/>
      <c r="EK73" s="63"/>
      <c r="EL73" s="62"/>
      <c r="EM73" s="63"/>
      <c r="EN73" s="62"/>
      <c r="EO73" s="63"/>
      <c r="EP73" s="62"/>
      <c r="EQ73" s="63"/>
      <c r="ER73" s="62"/>
      <c r="ES73" s="63"/>
      <c r="ET73" s="62"/>
      <c r="EU73" s="63"/>
      <c r="EV73" s="62"/>
      <c r="EW73" s="63"/>
      <c r="EX73" s="62"/>
      <c r="EY73" s="63"/>
      <c r="EZ73" s="62"/>
      <c r="FA73" s="63"/>
      <c r="FB73" s="62"/>
      <c r="FC73" s="63"/>
      <c r="FD73" s="62"/>
      <c r="FE73" s="63"/>
      <c r="FF73" s="62"/>
      <c r="FG73" s="63"/>
      <c r="FH73" s="62"/>
      <c r="FI73" s="63"/>
      <c r="FJ73" s="62"/>
      <c r="FK73" s="63"/>
      <c r="FL73" s="62"/>
      <c r="FM73" s="63"/>
      <c r="FN73" s="62"/>
      <c r="FO73" s="63"/>
      <c r="FP73" s="62"/>
      <c r="FQ73" s="63"/>
      <c r="FR73" s="62"/>
      <c r="FS73" s="63"/>
      <c r="FT73" s="62"/>
      <c r="FU73" s="63"/>
      <c r="FV73" s="62"/>
      <c r="FW73" s="63"/>
      <c r="FX73" s="62" t="s">
        <v>867</v>
      </c>
      <c r="FY73" s="63"/>
      <c r="FZ73" s="62" t="s">
        <v>867</v>
      </c>
      <c r="GA73" s="63"/>
      <c r="GB73" s="62" t="s">
        <v>867</v>
      </c>
      <c r="GC73" s="63"/>
      <c r="GD73" s="62" t="s">
        <v>66</v>
      </c>
      <c r="GE73" s="63"/>
      <c r="GF73" s="62" t="s">
        <v>66</v>
      </c>
      <c r="GG73" s="63"/>
      <c r="GH73" s="62" t="s">
        <v>38</v>
      </c>
      <c r="GI73" s="63"/>
      <c r="GJ73" s="62" t="s">
        <v>38</v>
      </c>
      <c r="GK73" s="63"/>
      <c r="GL73" s="31" t="s">
        <v>38</v>
      </c>
      <c r="GM73" s="32" t="s">
        <v>36</v>
      </c>
      <c r="GN73" s="62" t="s">
        <v>36</v>
      </c>
      <c r="GO73" s="63"/>
      <c r="GP73" s="62" t="s">
        <v>36</v>
      </c>
      <c r="GQ73" s="63"/>
      <c r="GR73" s="62" t="s">
        <v>36</v>
      </c>
      <c r="GS73" s="63"/>
      <c r="GT73" s="62" t="s">
        <v>36</v>
      </c>
      <c r="GU73" s="63"/>
      <c r="GV73" s="62" t="s">
        <v>36</v>
      </c>
      <c r="GW73" s="63"/>
      <c r="GX73" s="62" t="s">
        <v>36</v>
      </c>
      <c r="GY73" s="63"/>
      <c r="GZ73" s="62" t="s">
        <v>36</v>
      </c>
      <c r="HA73" s="63"/>
      <c r="HB73" s="62" t="s">
        <v>36</v>
      </c>
      <c r="HC73" s="63"/>
      <c r="HD73" s="62" t="s">
        <v>37</v>
      </c>
      <c r="HE73" s="63"/>
      <c r="HF73" s="62" t="s">
        <v>37</v>
      </c>
      <c r="HG73" s="63"/>
      <c r="HH73" s="62" t="s">
        <v>37</v>
      </c>
      <c r="HI73" s="63"/>
      <c r="HJ73" s="62" t="s">
        <v>37</v>
      </c>
      <c r="HK73" s="63"/>
      <c r="HL73" s="62"/>
      <c r="HM73" s="63"/>
      <c r="HN73" s="62"/>
      <c r="HO73" s="63"/>
      <c r="HP73" s="62"/>
      <c r="HQ73" s="63"/>
      <c r="HR73" s="62"/>
      <c r="HS73" s="63"/>
      <c r="HT73" s="62"/>
      <c r="HU73" s="63"/>
      <c r="HV73" s="62"/>
      <c r="HW73" s="63"/>
      <c r="HX73" s="62"/>
      <c r="HY73" s="63"/>
      <c r="HZ73" s="62"/>
      <c r="IA73" s="63"/>
      <c r="IB73" s="62"/>
      <c r="IC73" s="63"/>
      <c r="ID73" s="62"/>
      <c r="IE73" s="63"/>
      <c r="IF73" s="62"/>
      <c r="IG73" s="63"/>
      <c r="IH73" s="62"/>
      <c r="II73" s="63"/>
      <c r="IJ73" s="62"/>
      <c r="IK73" s="63"/>
      <c r="IL73" s="62"/>
      <c r="IM73" s="63"/>
      <c r="IN73" s="62"/>
      <c r="IO73" s="63"/>
      <c r="IP73" s="62"/>
      <c r="IQ73" s="63"/>
      <c r="IR73" s="62"/>
      <c r="IS73" s="63"/>
      <c r="IT73" s="62"/>
      <c r="IU73" s="63"/>
      <c r="IV73" s="62"/>
      <c r="IW73" s="63"/>
      <c r="IX73" s="62"/>
      <c r="IY73" s="63"/>
      <c r="IZ73" s="62"/>
      <c r="JA73" s="63"/>
      <c r="JB73" s="62"/>
      <c r="JC73" s="63"/>
      <c r="JD73" s="62"/>
      <c r="JE73" s="63"/>
      <c r="JF73" s="62"/>
      <c r="JG73" s="63"/>
      <c r="JH73" s="62"/>
      <c r="JI73" s="63"/>
      <c r="JJ73" s="62"/>
      <c r="JK73" s="63"/>
      <c r="JL73" s="62"/>
      <c r="JM73" s="63"/>
      <c r="JN73" s="62"/>
      <c r="JO73" s="63"/>
      <c r="JP73" s="62"/>
      <c r="JQ73" s="63"/>
      <c r="JR73" s="62"/>
      <c r="JS73" s="63"/>
      <c r="JT73" s="62"/>
      <c r="JU73" s="63"/>
      <c r="JV73" s="62"/>
      <c r="JW73" s="63"/>
      <c r="JX73" s="62"/>
      <c r="JY73" s="63"/>
      <c r="JZ73" s="62"/>
      <c r="KA73" s="63"/>
      <c r="KB73" s="62"/>
      <c r="KC73" s="63"/>
      <c r="KD73" s="62"/>
      <c r="KE73" s="63"/>
      <c r="KF73" s="62"/>
      <c r="KG73" s="63"/>
      <c r="KH73" s="62"/>
      <c r="KI73" s="63"/>
      <c r="KJ73" s="62"/>
      <c r="KK73" s="63"/>
      <c r="KL73" s="62"/>
      <c r="KM73" s="63"/>
      <c r="KN73" s="62"/>
      <c r="KO73" s="63"/>
      <c r="KP73" s="62"/>
      <c r="KQ73" s="63"/>
      <c r="KR73" s="62"/>
      <c r="KS73" s="63"/>
      <c r="KT73" s="62"/>
      <c r="KU73" s="63"/>
      <c r="KV73" s="62"/>
      <c r="KW73" s="63"/>
      <c r="KX73" s="62"/>
      <c r="KY73" s="63"/>
      <c r="KZ73" s="62"/>
      <c r="LA73" s="63"/>
      <c r="LB73" s="62"/>
      <c r="LC73" s="63"/>
      <c r="LD73" s="62"/>
      <c r="LE73" s="63"/>
      <c r="LF73" s="62"/>
      <c r="LG73" s="63"/>
      <c r="LH73" s="62"/>
      <c r="LI73" s="63"/>
      <c r="LJ73" s="62"/>
      <c r="LK73" s="63"/>
      <c r="LL73" s="62"/>
      <c r="LM73" s="63"/>
      <c r="LN73" s="62"/>
      <c r="LO73" s="63"/>
      <c r="LP73" s="62"/>
      <c r="LQ73" s="63"/>
      <c r="LR73" s="62"/>
      <c r="LS73" s="63"/>
      <c r="LT73" s="62"/>
      <c r="LU73" s="63"/>
      <c r="LV73" s="62"/>
      <c r="LW73" s="63"/>
      <c r="LX73" s="62"/>
      <c r="LY73" s="63"/>
      <c r="LZ73" s="62"/>
      <c r="MA73" s="63"/>
      <c r="MB73" s="62"/>
      <c r="MC73" s="63"/>
      <c r="MD73" s="62"/>
      <c r="ME73" s="63"/>
      <c r="MF73" s="62"/>
      <c r="MG73" s="63"/>
      <c r="MH73" s="62"/>
      <c r="MI73" s="63"/>
      <c r="MJ73" s="62"/>
      <c r="MK73" s="63"/>
      <c r="ML73" s="62"/>
      <c r="MM73" s="63"/>
      <c r="MN73" s="62"/>
      <c r="MO73" s="63"/>
      <c r="MP73" s="62"/>
      <c r="MQ73" s="63"/>
      <c r="MR73" s="62"/>
      <c r="MS73" s="63"/>
      <c r="MT73" s="62"/>
      <c r="MU73" s="63"/>
      <c r="MV73" s="62"/>
      <c r="MW73" s="63"/>
      <c r="MX73" s="62"/>
      <c r="MY73" s="63"/>
      <c r="MZ73" s="62"/>
      <c r="NA73" s="63"/>
      <c r="NB73" s="62"/>
      <c r="NC73" s="63"/>
      <c r="ND73" s="62"/>
      <c r="NE73" s="63"/>
      <c r="NF73" s="62"/>
      <c r="NG73" s="63"/>
      <c r="NH73" s="62"/>
      <c r="NI73" s="63"/>
      <c r="NJ73" s="62"/>
      <c r="NK73" s="63"/>
      <c r="NL73" s="62"/>
      <c r="NM73" s="63"/>
      <c r="NN73" s="62"/>
      <c r="NO73" s="63"/>
      <c r="NP73" s="62"/>
      <c r="NQ73" s="63"/>
      <c r="NR73" s="62"/>
      <c r="NS73" s="63"/>
      <c r="NT73" s="62"/>
      <c r="NU73" s="63"/>
      <c r="NV73" s="62"/>
      <c r="NW73" s="63"/>
      <c r="NX73" s="62"/>
      <c r="NY73" s="63"/>
      <c r="NZ73" s="62"/>
      <c r="OA73" s="63"/>
      <c r="OB73" s="62"/>
      <c r="OC73" s="63"/>
      <c r="OD73" s="62"/>
      <c r="OE73" s="63"/>
      <c r="OF73" s="62"/>
      <c r="OG73" s="63"/>
      <c r="OH73" s="62"/>
      <c r="OI73" s="63"/>
      <c r="OJ73" s="62"/>
      <c r="OK73" s="63"/>
      <c r="OL73" s="62"/>
      <c r="OM73" s="63"/>
      <c r="ON73" s="62"/>
      <c r="OO73" s="63"/>
      <c r="OP73" s="62"/>
      <c r="OQ73" s="63"/>
      <c r="OR73" s="62"/>
      <c r="OS73" s="63"/>
      <c r="OT73" s="62"/>
      <c r="OU73" s="63"/>
      <c r="OV73" s="62"/>
      <c r="OW73" s="63"/>
      <c r="OX73" s="62"/>
      <c r="OY73" s="63"/>
      <c r="OZ73" s="62"/>
      <c r="PA73" s="63"/>
      <c r="PB73" s="62"/>
      <c r="PC73" s="63"/>
      <c r="PD73" s="62"/>
      <c r="PE73" s="63"/>
      <c r="PF73" s="62"/>
      <c r="PG73" s="63"/>
      <c r="PH73" s="62"/>
      <c r="PI73" s="63"/>
      <c r="PJ73" s="62"/>
      <c r="PK73" s="63"/>
      <c r="PL73" s="62"/>
      <c r="PM73" s="63"/>
      <c r="PN73" s="62"/>
      <c r="PO73" s="63"/>
      <c r="PP73" s="62"/>
      <c r="PQ73" s="63"/>
      <c r="PR73" s="62"/>
      <c r="PS73" s="63"/>
      <c r="PT73" s="62"/>
      <c r="PU73" s="63"/>
      <c r="PV73" s="62"/>
      <c r="PW73" s="63"/>
      <c r="PX73" s="62"/>
      <c r="PY73" s="63"/>
      <c r="PZ73" s="62"/>
      <c r="QA73" s="63"/>
      <c r="QB73" s="62"/>
      <c r="QC73" s="63"/>
      <c r="QD73" s="62"/>
      <c r="QE73" s="63"/>
      <c r="QF73" s="62"/>
      <c r="QG73" s="63"/>
      <c r="QH73" s="62"/>
      <c r="QI73" s="63"/>
      <c r="QJ73" s="62"/>
      <c r="QK73" s="63"/>
      <c r="QL73" s="62"/>
      <c r="QM73" s="63"/>
      <c r="QN73" s="62"/>
      <c r="QO73" s="63"/>
      <c r="QP73" s="62"/>
      <c r="QQ73" s="63"/>
      <c r="QR73" s="62"/>
      <c r="QS73" s="63"/>
      <c r="QT73" s="62"/>
      <c r="QU73" s="63"/>
      <c r="QV73" s="62"/>
      <c r="QW73" s="63"/>
      <c r="QX73" s="62"/>
      <c r="QY73" s="63"/>
      <c r="QZ73" s="62"/>
      <c r="RA73" s="63"/>
      <c r="RB73" s="62"/>
      <c r="RC73" s="63"/>
      <c r="RD73" s="31"/>
    </row>
    <row r="74" spans="1:472" s="5" customFormat="1" hidden="1" x14ac:dyDescent="0.25">
      <c r="A74" s="41">
        <v>2085</v>
      </c>
      <c r="B74" s="41" t="s">
        <v>826</v>
      </c>
      <c r="C74" s="41" t="s">
        <v>165</v>
      </c>
      <c r="D74" s="41">
        <v>77</v>
      </c>
      <c r="E74" s="42"/>
      <c r="F74" s="41" t="s">
        <v>834</v>
      </c>
      <c r="I74" s="31"/>
      <c r="J74" s="32"/>
      <c r="K74" s="31"/>
      <c r="L74" s="32"/>
      <c r="M74" s="31"/>
      <c r="N74" s="32"/>
      <c r="O74" s="31"/>
      <c r="P74" s="32"/>
      <c r="Q74" s="31"/>
      <c r="R74" s="32"/>
      <c r="S74" s="31"/>
      <c r="T74" s="32"/>
      <c r="X74" s="31"/>
      <c r="Y74" s="32"/>
      <c r="Z74" s="31"/>
      <c r="AA74" s="32"/>
      <c r="AB74" s="31"/>
      <c r="AC74" s="32"/>
      <c r="AD74" s="31"/>
      <c r="AE74" s="32"/>
      <c r="AF74" s="31"/>
      <c r="AG74" s="32"/>
      <c r="AH74" s="31"/>
      <c r="AI74" s="32"/>
      <c r="AJ74" s="31"/>
      <c r="AK74" s="32"/>
      <c r="AL74" s="31"/>
      <c r="AM74" s="32"/>
      <c r="AN74" s="31"/>
      <c r="AO74" s="32"/>
      <c r="AP74" s="31"/>
      <c r="AQ74" s="32"/>
      <c r="AR74" s="31"/>
      <c r="AS74" s="32"/>
      <c r="AT74" s="31"/>
      <c r="AU74" s="32"/>
      <c r="AV74" s="31"/>
      <c r="AW74" s="32"/>
      <c r="AX74" s="31"/>
      <c r="AY74" s="32"/>
      <c r="AZ74" s="31"/>
      <c r="BA74" s="32"/>
      <c r="BB74" s="31"/>
      <c r="BC74" s="32"/>
      <c r="BD74" s="31"/>
      <c r="BE74" s="32"/>
      <c r="BF74" s="31"/>
      <c r="BG74" s="32"/>
      <c r="BH74" s="31"/>
      <c r="BI74" s="32"/>
      <c r="BJ74" s="31"/>
      <c r="BK74" s="32"/>
      <c r="BL74" s="31"/>
      <c r="BM74" s="32"/>
      <c r="BN74" s="31"/>
      <c r="BO74" s="32"/>
      <c r="BP74" s="31"/>
      <c r="BQ74" s="32"/>
      <c r="BR74" s="31"/>
      <c r="BS74" s="32"/>
      <c r="BT74" s="31"/>
      <c r="BU74" s="32"/>
      <c r="BV74" s="31"/>
      <c r="BW74" s="32"/>
      <c r="BX74" s="31"/>
      <c r="BY74" s="32"/>
      <c r="BZ74" s="31"/>
      <c r="CA74" s="32"/>
      <c r="CB74" s="31"/>
      <c r="CC74" s="32"/>
      <c r="CD74" s="31"/>
      <c r="CE74" s="32"/>
      <c r="CF74" s="31"/>
      <c r="CG74" s="32"/>
      <c r="CH74" s="31"/>
      <c r="CI74" s="32"/>
      <c r="CJ74" s="31"/>
      <c r="CK74" s="32"/>
      <c r="CL74" s="31"/>
      <c r="CM74" s="32"/>
      <c r="CN74" s="31"/>
      <c r="CO74" s="32"/>
      <c r="CP74" s="31"/>
      <c r="CQ74" s="32"/>
      <c r="CR74" s="31"/>
      <c r="CS74" s="32"/>
      <c r="CT74" s="31"/>
      <c r="CU74" s="32"/>
      <c r="CV74" s="31"/>
      <c r="CW74" s="32"/>
      <c r="CX74" s="31"/>
      <c r="CY74" s="32"/>
      <c r="CZ74" s="31"/>
      <c r="DA74" s="32"/>
      <c r="DB74" s="31"/>
      <c r="DC74" s="32"/>
      <c r="DD74" s="31"/>
      <c r="DE74" s="32"/>
      <c r="DF74" s="31"/>
      <c r="DG74" s="32"/>
      <c r="DH74" s="31"/>
      <c r="DI74" s="32"/>
      <c r="DJ74" s="31"/>
      <c r="DK74" s="32"/>
      <c r="DL74" s="31"/>
      <c r="DM74" s="32"/>
      <c r="DN74" s="31"/>
      <c r="DO74" s="32"/>
      <c r="DP74" s="31"/>
      <c r="DQ74" s="32"/>
      <c r="DR74" s="31"/>
      <c r="DS74" s="32"/>
      <c r="DT74" s="31"/>
      <c r="DU74" s="32"/>
      <c r="DV74" s="31"/>
      <c r="DW74" s="32"/>
      <c r="DX74" s="31"/>
      <c r="DY74" s="32"/>
      <c r="DZ74" s="31"/>
      <c r="EA74" s="32"/>
      <c r="EB74" s="31"/>
      <c r="EC74" s="32"/>
      <c r="ED74" s="31"/>
      <c r="EE74" s="32"/>
      <c r="EF74" s="31"/>
      <c r="EG74" s="32"/>
      <c r="EH74" s="31"/>
      <c r="EI74" s="32"/>
      <c r="EJ74" s="31"/>
      <c r="EK74" s="32"/>
      <c r="EL74" s="31"/>
      <c r="EM74" s="32"/>
      <c r="EN74" s="31"/>
      <c r="EO74" s="32"/>
      <c r="EP74" s="31"/>
      <c r="EQ74" s="32"/>
      <c r="ER74" s="31"/>
      <c r="ES74" s="32"/>
      <c r="ET74" s="31"/>
      <c r="EU74" s="32"/>
      <c r="EV74" s="31"/>
      <c r="EW74" s="32"/>
      <c r="EX74" s="31"/>
      <c r="EY74" s="32"/>
      <c r="EZ74" s="31"/>
      <c r="FA74" s="32"/>
      <c r="FB74" s="31"/>
      <c r="FC74" s="32"/>
      <c r="FD74" s="31"/>
      <c r="FE74" s="32"/>
      <c r="FF74" s="62"/>
      <c r="FG74" s="63"/>
      <c r="FH74" s="62"/>
      <c r="FI74" s="63"/>
      <c r="FJ74" s="62"/>
      <c r="FK74" s="63"/>
      <c r="FL74" s="62"/>
      <c r="FM74" s="63"/>
      <c r="FN74" s="62"/>
      <c r="FO74" s="63"/>
      <c r="FP74" s="62"/>
      <c r="FQ74" s="63"/>
      <c r="FR74" s="62"/>
      <c r="FS74" s="63"/>
      <c r="FT74" s="62"/>
      <c r="FU74" s="63"/>
      <c r="FV74" s="18"/>
      <c r="FW74" s="19"/>
      <c r="FX74" s="62" t="s">
        <v>867</v>
      </c>
      <c r="FY74" s="63"/>
      <c r="FZ74" s="62" t="s">
        <v>867</v>
      </c>
      <c r="GA74" s="63"/>
      <c r="GB74" s="62" t="s">
        <v>867</v>
      </c>
      <c r="GC74" s="63"/>
      <c r="GD74" s="62" t="s">
        <v>66</v>
      </c>
      <c r="GE74" s="63"/>
      <c r="GF74" s="62" t="s">
        <v>66</v>
      </c>
      <c r="GG74" s="63"/>
      <c r="GH74" s="62" t="s">
        <v>38</v>
      </c>
      <c r="GI74" s="63"/>
      <c r="GJ74" s="62" t="s">
        <v>38</v>
      </c>
      <c r="GK74" s="63"/>
      <c r="GL74" s="31" t="s">
        <v>38</v>
      </c>
      <c r="GM74" s="32" t="s">
        <v>36</v>
      </c>
      <c r="GN74" s="62" t="s">
        <v>36</v>
      </c>
      <c r="GO74" s="63"/>
      <c r="GP74" s="62" t="s">
        <v>36</v>
      </c>
      <c r="GQ74" s="63"/>
      <c r="GR74" s="62" t="s">
        <v>36</v>
      </c>
      <c r="GS74" s="63"/>
      <c r="GT74" s="62" t="s">
        <v>36</v>
      </c>
      <c r="GU74" s="63"/>
      <c r="GV74" s="62" t="s">
        <v>36</v>
      </c>
      <c r="GW74" s="63"/>
      <c r="GX74" s="62" t="s">
        <v>36</v>
      </c>
      <c r="GY74" s="63"/>
      <c r="GZ74" s="62" t="s">
        <v>36</v>
      </c>
      <c r="HA74" s="63"/>
      <c r="HB74" s="62" t="s">
        <v>36</v>
      </c>
      <c r="HC74" s="63"/>
      <c r="HD74" s="62" t="s">
        <v>36</v>
      </c>
      <c r="HE74" s="63"/>
      <c r="HF74" s="62" t="s">
        <v>37</v>
      </c>
      <c r="HG74" s="63"/>
      <c r="HH74" s="62" t="s">
        <v>37</v>
      </c>
      <c r="HI74" s="63"/>
      <c r="HJ74" s="62" t="s">
        <v>37</v>
      </c>
      <c r="HK74" s="63"/>
      <c r="HL74" s="62" t="s">
        <v>37</v>
      </c>
      <c r="HM74" s="63"/>
      <c r="HN74" s="62" t="s">
        <v>37</v>
      </c>
      <c r="HO74" s="63"/>
      <c r="HP74" s="62" t="s">
        <v>37</v>
      </c>
      <c r="HQ74" s="63"/>
      <c r="HR74" s="62"/>
      <c r="HS74" s="63"/>
      <c r="HT74" s="62"/>
      <c r="HU74" s="63"/>
      <c r="HV74" s="62"/>
      <c r="HW74" s="63"/>
      <c r="HX74" s="62"/>
      <c r="HY74" s="63"/>
      <c r="HZ74" s="62"/>
      <c r="IA74" s="63"/>
      <c r="IB74" s="62"/>
      <c r="IC74" s="63"/>
      <c r="ID74" s="62"/>
      <c r="IE74" s="63"/>
      <c r="IF74" s="62"/>
      <c r="IG74" s="63"/>
      <c r="IH74" s="62"/>
      <c r="II74" s="63"/>
      <c r="IJ74" s="62"/>
      <c r="IK74" s="63"/>
      <c r="IL74" s="62"/>
      <c r="IM74" s="63"/>
      <c r="IN74" s="62"/>
      <c r="IO74" s="63"/>
      <c r="IP74" s="62"/>
      <c r="IQ74" s="63"/>
      <c r="IR74" s="62"/>
      <c r="IS74" s="63"/>
      <c r="IT74" s="62"/>
      <c r="IU74" s="63"/>
      <c r="IV74" s="62"/>
      <c r="IW74" s="63"/>
      <c r="IX74" s="62"/>
      <c r="IY74" s="63"/>
      <c r="IZ74" s="62"/>
      <c r="JA74" s="63"/>
      <c r="JB74" s="62"/>
      <c r="JC74" s="63"/>
      <c r="JD74" s="62"/>
      <c r="JE74" s="63"/>
      <c r="JF74" s="62"/>
      <c r="JG74" s="63"/>
      <c r="JH74" s="62"/>
      <c r="JI74" s="63"/>
      <c r="JJ74" s="62"/>
      <c r="JK74" s="63"/>
      <c r="JL74" s="62"/>
      <c r="JM74" s="63"/>
      <c r="JN74" s="62"/>
      <c r="JO74" s="63"/>
      <c r="JP74" s="62"/>
      <c r="JQ74" s="63"/>
      <c r="JR74" s="62"/>
      <c r="JS74" s="63"/>
      <c r="JT74" s="62"/>
      <c r="JU74" s="63"/>
      <c r="JV74" s="62"/>
      <c r="JW74" s="63"/>
      <c r="JX74" s="62"/>
      <c r="JY74" s="63"/>
      <c r="JZ74" s="62"/>
      <c r="KA74" s="63"/>
      <c r="KB74" s="62"/>
      <c r="KC74" s="63"/>
      <c r="KD74" s="62"/>
      <c r="KE74" s="63"/>
      <c r="KF74" s="62"/>
      <c r="KG74" s="63"/>
      <c r="KH74" s="62"/>
      <c r="KI74" s="63"/>
      <c r="KJ74" s="62"/>
      <c r="KK74" s="63"/>
      <c r="KL74" s="62"/>
      <c r="KM74" s="63"/>
      <c r="KN74" s="62"/>
      <c r="KO74" s="63"/>
      <c r="KP74" s="62"/>
      <c r="KQ74" s="63"/>
      <c r="KR74" s="62"/>
      <c r="KS74" s="63"/>
      <c r="KT74" s="62"/>
      <c r="KU74" s="63"/>
      <c r="KV74" s="62"/>
      <c r="KW74" s="63"/>
      <c r="KX74" s="62"/>
      <c r="KY74" s="63"/>
      <c r="KZ74" s="62"/>
      <c r="LA74" s="63"/>
      <c r="LB74" s="62"/>
      <c r="LC74" s="63"/>
      <c r="LD74" s="62"/>
      <c r="LE74" s="63"/>
      <c r="LF74" s="62"/>
      <c r="LG74" s="63"/>
      <c r="LH74" s="62"/>
      <c r="LI74" s="63"/>
      <c r="LJ74" s="62"/>
      <c r="LK74" s="63"/>
      <c r="LL74" s="62"/>
      <c r="LM74" s="63"/>
      <c r="LN74" s="62"/>
      <c r="LO74" s="63"/>
      <c r="LP74" s="62"/>
      <c r="LQ74" s="63"/>
      <c r="LR74" s="62"/>
      <c r="LS74" s="63"/>
      <c r="LT74" s="62"/>
      <c r="LU74" s="63"/>
      <c r="LV74" s="62"/>
      <c r="LW74" s="63"/>
      <c r="LX74" s="62"/>
      <c r="LY74" s="63"/>
      <c r="LZ74" s="62"/>
      <c r="MA74" s="63"/>
      <c r="MB74" s="62"/>
      <c r="MC74" s="63"/>
      <c r="MD74" s="62"/>
      <c r="ME74" s="63"/>
      <c r="MF74" s="62"/>
      <c r="MG74" s="63"/>
      <c r="MH74" s="62"/>
      <c r="MI74" s="63"/>
      <c r="MJ74" s="62"/>
      <c r="MK74" s="63"/>
      <c r="ML74" s="62"/>
      <c r="MM74" s="63"/>
      <c r="MN74" s="62"/>
      <c r="MO74" s="63"/>
      <c r="MP74" s="62"/>
      <c r="MQ74" s="63"/>
      <c r="MR74" s="62"/>
      <c r="MS74" s="63"/>
      <c r="MT74" s="62"/>
      <c r="MU74" s="63"/>
      <c r="MV74" s="62"/>
      <c r="MW74" s="63"/>
      <c r="MX74" s="62"/>
      <c r="MY74" s="63"/>
      <c r="MZ74" s="62"/>
      <c r="NA74" s="63"/>
      <c r="NB74" s="62"/>
      <c r="NC74" s="63"/>
      <c r="ND74" s="62"/>
      <c r="NE74" s="63"/>
      <c r="NF74" s="62"/>
      <c r="NG74" s="63"/>
      <c r="NH74" s="62"/>
      <c r="NI74" s="63"/>
      <c r="NJ74" s="62"/>
      <c r="NK74" s="63"/>
      <c r="NL74" s="62"/>
      <c r="NM74" s="63"/>
      <c r="NN74" s="62"/>
      <c r="NO74" s="63"/>
      <c r="NP74" s="62"/>
      <c r="NQ74" s="63"/>
      <c r="NR74" s="62"/>
      <c r="NS74" s="63"/>
      <c r="NT74" s="62"/>
      <c r="NU74" s="63"/>
      <c r="NV74" s="62"/>
      <c r="NW74" s="63"/>
      <c r="NX74" s="62"/>
      <c r="NY74" s="63"/>
      <c r="NZ74" s="62"/>
      <c r="OA74" s="63"/>
      <c r="OB74" s="62"/>
      <c r="OC74" s="63"/>
      <c r="OD74" s="62"/>
      <c r="OE74" s="63"/>
      <c r="OF74" s="62"/>
      <c r="OG74" s="63"/>
      <c r="OH74" s="62"/>
      <c r="OI74" s="63"/>
      <c r="OJ74" s="62"/>
      <c r="OK74" s="63"/>
      <c r="OL74" s="62"/>
      <c r="OM74" s="63"/>
      <c r="ON74" s="62"/>
      <c r="OO74" s="63"/>
      <c r="OP74" s="62"/>
      <c r="OQ74" s="63"/>
      <c r="OR74" s="62"/>
      <c r="OS74" s="63"/>
      <c r="OT74" s="62"/>
      <c r="OU74" s="63"/>
      <c r="OV74" s="62"/>
      <c r="OW74" s="63"/>
      <c r="OX74" s="62"/>
      <c r="OY74" s="63"/>
      <c r="OZ74" s="62"/>
      <c r="PA74" s="63"/>
      <c r="PB74" s="62"/>
      <c r="PC74" s="63"/>
      <c r="PD74" s="62"/>
      <c r="PE74" s="63"/>
      <c r="PF74" s="62"/>
      <c r="PG74" s="63"/>
      <c r="PH74" s="62"/>
      <c r="PI74" s="63"/>
      <c r="PJ74" s="62"/>
      <c r="PK74" s="63"/>
      <c r="PL74" s="62"/>
      <c r="PM74" s="63"/>
      <c r="PN74" s="62"/>
      <c r="PO74" s="63"/>
      <c r="PP74" s="62"/>
      <c r="PQ74" s="63"/>
      <c r="PR74" s="62"/>
      <c r="PS74" s="63"/>
      <c r="PT74" s="62"/>
      <c r="PU74" s="63"/>
      <c r="PV74" s="62"/>
      <c r="PW74" s="63"/>
      <c r="PX74" s="62"/>
      <c r="PY74" s="63"/>
      <c r="PZ74" s="62"/>
      <c r="QA74" s="63"/>
      <c r="QB74" s="62"/>
      <c r="QC74" s="63"/>
      <c r="QD74" s="62"/>
      <c r="QE74" s="63"/>
      <c r="QF74" s="62"/>
      <c r="QG74" s="63"/>
      <c r="QH74" s="62"/>
      <c r="QI74" s="63"/>
      <c r="QJ74" s="62"/>
      <c r="QK74" s="63"/>
      <c r="QL74" s="62"/>
      <c r="QM74" s="63"/>
      <c r="QN74" s="62"/>
      <c r="QO74" s="63"/>
      <c r="QP74" s="62"/>
      <c r="QQ74" s="63"/>
      <c r="QR74" s="62"/>
      <c r="QS74" s="63"/>
      <c r="QT74" s="62"/>
      <c r="QU74" s="63"/>
      <c r="QV74" s="62"/>
      <c r="QW74" s="63"/>
      <c r="QX74" s="62"/>
      <c r="QY74" s="63"/>
      <c r="QZ74" s="62"/>
      <c r="RA74" s="63"/>
      <c r="RB74" s="62"/>
      <c r="RC74" s="63"/>
      <c r="RD74" s="31"/>
    </row>
    <row r="75" spans="1:472" s="5" customFormat="1" hidden="1" x14ac:dyDescent="0.25">
      <c r="A75" s="41">
        <v>2080</v>
      </c>
      <c r="B75" s="41" t="s">
        <v>829</v>
      </c>
      <c r="C75" s="41" t="s">
        <v>230</v>
      </c>
      <c r="D75" s="41">
        <v>311</v>
      </c>
      <c r="E75" s="42"/>
      <c r="F75" s="41" t="s">
        <v>817</v>
      </c>
      <c r="I75" s="62"/>
      <c r="J75" s="63"/>
      <c r="K75" s="62"/>
      <c r="L75" s="63"/>
      <c r="M75" s="62"/>
      <c r="N75" s="63"/>
      <c r="O75" s="62"/>
      <c r="P75" s="63"/>
      <c r="Q75" s="62"/>
      <c r="R75" s="63"/>
      <c r="S75" s="62"/>
      <c r="T75" s="63"/>
      <c r="X75" s="62"/>
      <c r="Y75" s="63"/>
      <c r="Z75" s="62"/>
      <c r="AA75" s="63"/>
      <c r="AB75" s="62"/>
      <c r="AC75" s="63"/>
      <c r="AD75" s="62"/>
      <c r="AE75" s="63"/>
      <c r="AF75" s="62"/>
      <c r="AG75" s="63"/>
      <c r="AH75" s="62"/>
      <c r="AI75" s="63"/>
      <c r="AJ75" s="62"/>
      <c r="AK75" s="63"/>
      <c r="AL75" s="62"/>
      <c r="AM75" s="63"/>
      <c r="AN75" s="62"/>
      <c r="AO75" s="63"/>
      <c r="AP75" s="62"/>
      <c r="AQ75" s="63"/>
      <c r="AR75" s="62"/>
      <c r="AS75" s="63"/>
      <c r="AT75" s="62"/>
      <c r="AU75" s="63"/>
      <c r="AV75" s="62"/>
      <c r="AW75" s="63"/>
      <c r="AX75" s="62"/>
      <c r="AY75" s="63"/>
      <c r="AZ75" s="62"/>
      <c r="BA75" s="63"/>
      <c r="BB75" s="62"/>
      <c r="BC75" s="63"/>
      <c r="BD75" s="62"/>
      <c r="BE75" s="63"/>
      <c r="BF75" s="62"/>
      <c r="BG75" s="63"/>
      <c r="BH75" s="62"/>
      <c r="BI75" s="63"/>
      <c r="BJ75" s="62"/>
      <c r="BK75" s="63"/>
      <c r="BL75" s="62"/>
      <c r="BM75" s="63"/>
      <c r="BN75" s="62"/>
      <c r="BO75" s="63"/>
      <c r="BP75" s="62"/>
      <c r="BQ75" s="63"/>
      <c r="BR75" s="62"/>
      <c r="BS75" s="63"/>
      <c r="BT75" s="62"/>
      <c r="BU75" s="63"/>
      <c r="BV75" s="62"/>
      <c r="BW75" s="63"/>
      <c r="BX75" s="62"/>
      <c r="BY75" s="63"/>
      <c r="BZ75" s="62"/>
      <c r="CA75" s="63"/>
      <c r="CB75" s="62"/>
      <c r="CC75" s="63"/>
      <c r="CD75" s="62"/>
      <c r="CE75" s="63"/>
      <c r="CF75" s="62"/>
      <c r="CG75" s="63"/>
      <c r="CH75" s="62"/>
      <c r="CI75" s="63"/>
      <c r="CJ75" s="62"/>
      <c r="CK75" s="63"/>
      <c r="CL75" s="62"/>
      <c r="CM75" s="63"/>
      <c r="CN75" s="62"/>
      <c r="CO75" s="63"/>
      <c r="CP75" s="62"/>
      <c r="CQ75" s="63"/>
      <c r="CR75" s="62"/>
      <c r="CS75" s="63"/>
      <c r="CT75" s="62"/>
      <c r="CU75" s="63"/>
      <c r="CV75" s="62"/>
      <c r="CW75" s="63"/>
      <c r="CX75" s="62"/>
      <c r="CY75" s="63"/>
      <c r="CZ75" s="62"/>
      <c r="DA75" s="63"/>
      <c r="DB75" s="62"/>
      <c r="DC75" s="63"/>
      <c r="DD75" s="62"/>
      <c r="DE75" s="63"/>
      <c r="DF75" s="62"/>
      <c r="DG75" s="63"/>
      <c r="DH75" s="62"/>
      <c r="DI75" s="63"/>
      <c r="DJ75" s="62"/>
      <c r="DK75" s="63"/>
      <c r="DL75" s="62"/>
      <c r="DM75" s="63"/>
      <c r="DN75" s="62"/>
      <c r="DO75" s="63"/>
      <c r="DP75" s="62"/>
      <c r="DQ75" s="63"/>
      <c r="DR75" s="62"/>
      <c r="DS75" s="63"/>
      <c r="DT75" s="62"/>
      <c r="DU75" s="63"/>
      <c r="DV75" s="62"/>
      <c r="DW75" s="63"/>
      <c r="DX75" s="62"/>
      <c r="DY75" s="63"/>
      <c r="DZ75" s="62"/>
      <c r="EA75" s="63"/>
      <c r="EB75" s="62"/>
      <c r="EC75" s="63"/>
      <c r="ED75" s="62"/>
      <c r="EE75" s="63"/>
      <c r="EF75" s="62"/>
      <c r="EG75" s="63"/>
      <c r="EH75" s="62"/>
      <c r="EI75" s="63"/>
      <c r="EJ75" s="62"/>
      <c r="EK75" s="63"/>
      <c r="EL75" s="62"/>
      <c r="EM75" s="63"/>
      <c r="EN75" s="62"/>
      <c r="EO75" s="63"/>
      <c r="EP75" s="62"/>
      <c r="EQ75" s="63"/>
      <c r="ER75" s="62"/>
      <c r="ES75" s="63"/>
      <c r="ET75" s="62"/>
      <c r="EU75" s="63"/>
      <c r="EV75" s="62"/>
      <c r="EW75" s="63"/>
      <c r="EX75" s="62"/>
      <c r="EY75" s="63"/>
      <c r="EZ75" s="62"/>
      <c r="FA75" s="63"/>
      <c r="FB75" s="62"/>
      <c r="FC75" s="63"/>
      <c r="FD75" s="62"/>
      <c r="FE75" s="63"/>
      <c r="FF75" s="62"/>
      <c r="FG75" s="63"/>
      <c r="FH75" s="62"/>
      <c r="FI75" s="63"/>
      <c r="FJ75" s="62"/>
      <c r="FK75" s="63"/>
      <c r="FL75" s="62"/>
      <c r="FM75" s="63"/>
      <c r="FN75" s="62"/>
      <c r="FO75" s="63"/>
      <c r="FP75" s="62"/>
      <c r="FQ75" s="63"/>
      <c r="FR75" s="62"/>
      <c r="FS75" s="63"/>
      <c r="FT75" s="62"/>
      <c r="FU75" s="63"/>
      <c r="FV75" s="62"/>
      <c r="FW75" s="63"/>
      <c r="FX75" s="62" t="s">
        <v>867</v>
      </c>
      <c r="FY75" s="63"/>
      <c r="FZ75" s="62" t="s">
        <v>867</v>
      </c>
      <c r="GA75" s="63"/>
      <c r="GB75" s="62" t="s">
        <v>867</v>
      </c>
      <c r="GC75" s="63"/>
      <c r="GD75" s="62" t="s">
        <v>66</v>
      </c>
      <c r="GE75" s="63"/>
      <c r="GF75" s="62" t="s">
        <v>66</v>
      </c>
      <c r="GG75" s="63"/>
      <c r="GH75" s="62" t="s">
        <v>38</v>
      </c>
      <c r="GI75" s="63"/>
      <c r="GJ75" s="62" t="s">
        <v>38</v>
      </c>
      <c r="GK75" s="63"/>
      <c r="GL75" s="31" t="s">
        <v>38</v>
      </c>
      <c r="GM75" s="32" t="s">
        <v>36</v>
      </c>
      <c r="GN75" s="62" t="s">
        <v>36</v>
      </c>
      <c r="GO75" s="63"/>
      <c r="GP75" s="62" t="s">
        <v>36</v>
      </c>
      <c r="GQ75" s="63"/>
      <c r="GR75" s="62" t="s">
        <v>36</v>
      </c>
      <c r="GS75" s="63"/>
      <c r="GT75" s="62" t="s">
        <v>36</v>
      </c>
      <c r="GU75" s="63"/>
      <c r="GV75" s="62" t="s">
        <v>36</v>
      </c>
      <c r="GW75" s="63"/>
      <c r="GX75" s="62" t="s">
        <v>36</v>
      </c>
      <c r="GY75" s="63"/>
      <c r="GZ75" s="62" t="s">
        <v>36</v>
      </c>
      <c r="HA75" s="63"/>
      <c r="HB75" s="62" t="s">
        <v>36</v>
      </c>
      <c r="HC75" s="63"/>
      <c r="HD75" s="62" t="s">
        <v>36</v>
      </c>
      <c r="HE75" s="63"/>
      <c r="HF75" s="62" t="s">
        <v>36</v>
      </c>
      <c r="HG75" s="63"/>
      <c r="HH75" s="62" t="s">
        <v>37</v>
      </c>
      <c r="HI75" s="63"/>
      <c r="HJ75" s="62" t="s">
        <v>37</v>
      </c>
      <c r="HK75" s="63"/>
      <c r="HL75" s="62" t="s">
        <v>37</v>
      </c>
      <c r="HM75" s="63"/>
      <c r="HN75" s="62" t="s">
        <v>37</v>
      </c>
      <c r="HO75" s="63"/>
      <c r="HP75" s="62" t="s">
        <v>37</v>
      </c>
      <c r="HQ75" s="63"/>
      <c r="HR75" s="62" t="s">
        <v>37</v>
      </c>
      <c r="HS75" s="63"/>
      <c r="HT75" s="62" t="s">
        <v>37</v>
      </c>
      <c r="HU75" s="63"/>
      <c r="HV75" s="62" t="s">
        <v>37</v>
      </c>
      <c r="HW75" s="63"/>
      <c r="HX75" s="62"/>
      <c r="HY75" s="63"/>
      <c r="HZ75" s="62"/>
      <c r="IA75" s="63"/>
      <c r="IB75" s="62"/>
      <c r="IC75" s="63"/>
      <c r="ID75" s="62"/>
      <c r="IE75" s="63"/>
      <c r="IF75" s="62"/>
      <c r="IG75" s="63"/>
      <c r="IH75" s="62"/>
      <c r="II75" s="63"/>
      <c r="IJ75" s="62"/>
      <c r="IK75" s="63"/>
      <c r="IL75" s="62"/>
      <c r="IM75" s="63"/>
      <c r="IN75" s="62"/>
      <c r="IO75" s="63"/>
      <c r="IP75" s="62"/>
      <c r="IQ75" s="63"/>
      <c r="IR75" s="62"/>
      <c r="IS75" s="63"/>
      <c r="IT75" s="62"/>
      <c r="IU75" s="63"/>
      <c r="IV75" s="62"/>
      <c r="IW75" s="63"/>
      <c r="IX75" s="62"/>
      <c r="IY75" s="63"/>
      <c r="IZ75" s="62"/>
      <c r="JA75" s="63"/>
      <c r="JB75" s="62"/>
      <c r="JC75" s="63"/>
      <c r="JD75" s="62"/>
      <c r="JE75" s="63"/>
      <c r="JF75" s="62"/>
      <c r="JG75" s="63"/>
      <c r="JH75" s="62"/>
      <c r="JI75" s="63"/>
      <c r="JJ75" s="62"/>
      <c r="JK75" s="63"/>
      <c r="JL75" s="62"/>
      <c r="JM75" s="63"/>
      <c r="JN75" s="62"/>
      <c r="JO75" s="63"/>
      <c r="JP75" s="62"/>
      <c r="JQ75" s="63"/>
      <c r="JR75" s="62"/>
      <c r="JS75" s="63"/>
      <c r="JT75" s="62"/>
      <c r="JU75" s="63"/>
      <c r="JV75" s="62"/>
      <c r="JW75" s="63"/>
      <c r="JX75" s="62"/>
      <c r="JY75" s="63"/>
      <c r="JZ75" s="62"/>
      <c r="KA75" s="63"/>
      <c r="KB75" s="62"/>
      <c r="KC75" s="63"/>
      <c r="KD75" s="62"/>
      <c r="KE75" s="63"/>
      <c r="KF75" s="62"/>
      <c r="KG75" s="63"/>
      <c r="KH75" s="62"/>
      <c r="KI75" s="63"/>
      <c r="KJ75" s="62"/>
      <c r="KK75" s="63"/>
      <c r="KL75" s="62"/>
      <c r="KM75" s="63"/>
      <c r="KN75" s="62"/>
      <c r="KO75" s="63"/>
      <c r="KP75" s="62"/>
      <c r="KQ75" s="63"/>
      <c r="KR75" s="62"/>
      <c r="KS75" s="63"/>
      <c r="KT75" s="62"/>
      <c r="KU75" s="63"/>
      <c r="KV75" s="62"/>
      <c r="KW75" s="63"/>
      <c r="KX75" s="62"/>
      <c r="KY75" s="63"/>
      <c r="KZ75" s="62"/>
      <c r="LA75" s="63"/>
      <c r="LB75" s="62"/>
      <c r="LC75" s="63"/>
      <c r="LD75" s="62"/>
      <c r="LE75" s="63"/>
      <c r="LF75" s="62"/>
      <c r="LG75" s="63"/>
      <c r="LH75" s="62"/>
      <c r="LI75" s="63"/>
      <c r="LJ75" s="62"/>
      <c r="LK75" s="63"/>
      <c r="LL75" s="62"/>
      <c r="LM75" s="63"/>
      <c r="LN75" s="62"/>
      <c r="LO75" s="63"/>
      <c r="LP75" s="62"/>
      <c r="LQ75" s="63"/>
      <c r="LR75" s="62"/>
      <c r="LS75" s="63"/>
      <c r="LT75" s="62"/>
      <c r="LU75" s="63"/>
      <c r="LV75" s="62"/>
      <c r="LW75" s="63"/>
      <c r="LX75" s="62"/>
      <c r="LY75" s="63"/>
      <c r="LZ75" s="62"/>
      <c r="MA75" s="63"/>
      <c r="MB75" s="62"/>
      <c r="MC75" s="63"/>
      <c r="MD75" s="62"/>
      <c r="ME75" s="63"/>
      <c r="MF75" s="62"/>
      <c r="MG75" s="63"/>
      <c r="MH75" s="62"/>
      <c r="MI75" s="63"/>
      <c r="MJ75" s="62"/>
      <c r="MK75" s="63"/>
      <c r="ML75" s="62"/>
      <c r="MM75" s="63"/>
      <c r="MN75" s="62"/>
      <c r="MO75" s="63"/>
      <c r="MP75" s="62"/>
      <c r="MQ75" s="63"/>
      <c r="MR75" s="62"/>
      <c r="MS75" s="63"/>
      <c r="MT75" s="62"/>
      <c r="MU75" s="63"/>
      <c r="MV75" s="62"/>
      <c r="MW75" s="63"/>
      <c r="MX75" s="62"/>
      <c r="MY75" s="63"/>
      <c r="MZ75" s="62"/>
      <c r="NA75" s="63"/>
      <c r="NB75" s="62"/>
      <c r="NC75" s="63"/>
      <c r="ND75" s="62"/>
      <c r="NE75" s="63"/>
      <c r="NF75" s="62"/>
      <c r="NG75" s="63"/>
      <c r="NH75" s="62"/>
      <c r="NI75" s="63"/>
      <c r="NJ75" s="62"/>
      <c r="NK75" s="63"/>
      <c r="NL75" s="62"/>
      <c r="NM75" s="63"/>
      <c r="NN75" s="62"/>
      <c r="NO75" s="63"/>
      <c r="NP75" s="62"/>
      <c r="NQ75" s="63"/>
      <c r="NR75" s="62"/>
      <c r="NS75" s="63"/>
      <c r="NT75" s="62"/>
      <c r="NU75" s="63"/>
      <c r="NV75" s="62"/>
      <c r="NW75" s="63"/>
      <c r="NX75" s="62"/>
      <c r="NY75" s="63"/>
      <c r="NZ75" s="62"/>
      <c r="OA75" s="63"/>
      <c r="OB75" s="62"/>
      <c r="OC75" s="63"/>
      <c r="OD75" s="62"/>
      <c r="OE75" s="63"/>
      <c r="OF75" s="62"/>
      <c r="OG75" s="63"/>
      <c r="OH75" s="62"/>
      <c r="OI75" s="63"/>
      <c r="OJ75" s="62"/>
      <c r="OK75" s="63"/>
      <c r="OL75" s="62"/>
      <c r="OM75" s="63"/>
      <c r="ON75" s="62"/>
      <c r="OO75" s="63"/>
      <c r="OP75" s="62"/>
      <c r="OQ75" s="63"/>
      <c r="OR75" s="62"/>
      <c r="OS75" s="63"/>
      <c r="OT75" s="62"/>
      <c r="OU75" s="63"/>
      <c r="OV75" s="62"/>
      <c r="OW75" s="63"/>
      <c r="OX75" s="62"/>
      <c r="OY75" s="63"/>
      <c r="OZ75" s="62"/>
      <c r="PA75" s="63"/>
      <c r="PB75" s="62"/>
      <c r="PC75" s="63"/>
      <c r="PD75" s="62"/>
      <c r="PE75" s="63"/>
      <c r="PF75" s="62"/>
      <c r="PG75" s="63"/>
      <c r="PH75" s="62"/>
      <c r="PI75" s="63"/>
      <c r="PJ75" s="62"/>
      <c r="PK75" s="63"/>
      <c r="PL75" s="62"/>
      <c r="PM75" s="63"/>
      <c r="PN75" s="62"/>
      <c r="PO75" s="63"/>
      <c r="PP75" s="62"/>
      <c r="PQ75" s="63"/>
      <c r="PR75" s="62"/>
      <c r="PS75" s="63"/>
      <c r="PT75" s="62"/>
      <c r="PU75" s="63"/>
      <c r="PV75" s="62"/>
      <c r="PW75" s="63"/>
      <c r="PX75" s="62"/>
      <c r="PY75" s="63"/>
      <c r="PZ75" s="62"/>
      <c r="QA75" s="63"/>
      <c r="QB75" s="62"/>
      <c r="QC75" s="63"/>
      <c r="QD75" s="62"/>
      <c r="QE75" s="63"/>
      <c r="QF75" s="62"/>
      <c r="QG75" s="63"/>
      <c r="QH75" s="62"/>
      <c r="QI75" s="63"/>
      <c r="QJ75" s="62"/>
      <c r="QK75" s="63"/>
      <c r="QL75" s="62"/>
      <c r="QM75" s="63"/>
      <c r="QN75" s="62"/>
      <c r="QO75" s="63"/>
      <c r="QP75" s="62"/>
      <c r="QQ75" s="63"/>
      <c r="QR75" s="62"/>
      <c r="QS75" s="63"/>
      <c r="QT75" s="62"/>
      <c r="QU75" s="63"/>
      <c r="QV75" s="62"/>
      <c r="QW75" s="63"/>
      <c r="QX75" s="62"/>
      <c r="QY75" s="63"/>
      <c r="QZ75" s="62"/>
      <c r="RA75" s="63"/>
      <c r="RB75" s="62"/>
      <c r="RC75" s="63"/>
      <c r="RD75" s="31"/>
    </row>
    <row r="76" spans="1:472" s="5" customFormat="1" hidden="1" x14ac:dyDescent="0.25">
      <c r="A76" s="41">
        <v>2088</v>
      </c>
      <c r="B76" s="41" t="s">
        <v>889</v>
      </c>
      <c r="C76" s="41" t="s">
        <v>3</v>
      </c>
      <c r="D76" s="41">
        <v>178</v>
      </c>
      <c r="E76" s="42"/>
      <c r="F76" s="41" t="s">
        <v>897</v>
      </c>
      <c r="I76" s="62"/>
      <c r="J76" s="63"/>
      <c r="K76" s="62"/>
      <c r="L76" s="63"/>
      <c r="M76" s="62"/>
      <c r="N76" s="63"/>
      <c r="O76" s="62"/>
      <c r="P76" s="63"/>
      <c r="Q76" s="62"/>
      <c r="R76" s="63"/>
      <c r="S76" s="62"/>
      <c r="T76" s="63"/>
      <c r="X76" s="62"/>
      <c r="Y76" s="63"/>
      <c r="Z76" s="62"/>
      <c r="AA76" s="63"/>
      <c r="AB76" s="62"/>
      <c r="AC76" s="63"/>
      <c r="AD76" s="62"/>
      <c r="AE76" s="63"/>
      <c r="AF76" s="62"/>
      <c r="AG76" s="63"/>
      <c r="AH76" s="62"/>
      <c r="AI76" s="63"/>
      <c r="AJ76" s="62"/>
      <c r="AK76" s="63"/>
      <c r="AL76" s="62"/>
      <c r="AM76" s="63"/>
      <c r="AN76" s="62"/>
      <c r="AO76" s="63"/>
      <c r="AP76" s="62"/>
      <c r="AQ76" s="63"/>
      <c r="AR76" s="62"/>
      <c r="AS76" s="63"/>
      <c r="AT76" s="62"/>
      <c r="AU76" s="63"/>
      <c r="AV76" s="62"/>
      <c r="AW76" s="63"/>
      <c r="AX76" s="62"/>
      <c r="AY76" s="63"/>
      <c r="AZ76" s="62"/>
      <c r="BA76" s="63"/>
      <c r="BB76" s="62"/>
      <c r="BC76" s="63"/>
      <c r="BD76" s="62"/>
      <c r="BE76" s="63"/>
      <c r="BF76" s="62"/>
      <c r="BG76" s="63"/>
      <c r="BH76" s="62"/>
      <c r="BI76" s="63"/>
      <c r="BJ76" s="62"/>
      <c r="BK76" s="63"/>
      <c r="BL76" s="62"/>
      <c r="BM76" s="63"/>
      <c r="BN76" s="62"/>
      <c r="BO76" s="63"/>
      <c r="BP76" s="62"/>
      <c r="BQ76" s="63"/>
      <c r="BR76" s="62"/>
      <c r="BS76" s="63"/>
      <c r="BT76" s="62"/>
      <c r="BU76" s="63"/>
      <c r="BV76" s="62"/>
      <c r="BW76" s="63"/>
      <c r="BX76" s="62"/>
      <c r="BY76" s="63"/>
      <c r="BZ76" s="62"/>
      <c r="CA76" s="63"/>
      <c r="CB76" s="62"/>
      <c r="CC76" s="63"/>
      <c r="CD76" s="62"/>
      <c r="CE76" s="63"/>
      <c r="CF76" s="62"/>
      <c r="CG76" s="63"/>
      <c r="CH76" s="62"/>
      <c r="CI76" s="63"/>
      <c r="CJ76" s="62"/>
      <c r="CK76" s="63"/>
      <c r="CL76" s="62"/>
      <c r="CM76" s="63"/>
      <c r="CN76" s="62"/>
      <c r="CO76" s="63"/>
      <c r="CP76" s="62"/>
      <c r="CQ76" s="63"/>
      <c r="CR76" s="62"/>
      <c r="CS76" s="63"/>
      <c r="CT76" s="62"/>
      <c r="CU76" s="63"/>
      <c r="CV76" s="62"/>
      <c r="CW76" s="63"/>
      <c r="CX76" s="62"/>
      <c r="CY76" s="63"/>
      <c r="CZ76" s="62"/>
      <c r="DA76" s="63"/>
      <c r="DB76" s="62"/>
      <c r="DC76" s="63"/>
      <c r="DD76" s="62"/>
      <c r="DE76" s="63"/>
      <c r="DF76" s="62"/>
      <c r="DG76" s="63"/>
      <c r="DH76" s="62"/>
      <c r="DI76" s="63"/>
      <c r="DJ76" s="62"/>
      <c r="DK76" s="63"/>
      <c r="DL76" s="62"/>
      <c r="DM76" s="63"/>
      <c r="DN76" s="62"/>
      <c r="DO76" s="63"/>
      <c r="DP76" s="62"/>
      <c r="DQ76" s="63"/>
      <c r="DR76" s="62"/>
      <c r="DS76" s="63"/>
      <c r="DT76" s="62"/>
      <c r="DU76" s="63"/>
      <c r="DV76" s="62"/>
      <c r="DW76" s="63"/>
      <c r="DX76" s="62"/>
      <c r="DY76" s="63"/>
      <c r="DZ76" s="62"/>
      <c r="EA76" s="63"/>
      <c r="EB76" s="62"/>
      <c r="EC76" s="63"/>
      <c r="ED76" s="62"/>
      <c r="EE76" s="63"/>
      <c r="EF76" s="62"/>
      <c r="EG76" s="63"/>
      <c r="EH76" s="62"/>
      <c r="EI76" s="63"/>
      <c r="EJ76" s="62"/>
      <c r="EK76" s="63"/>
      <c r="EL76" s="62"/>
      <c r="EM76" s="63"/>
      <c r="EN76" s="62"/>
      <c r="EO76" s="63"/>
      <c r="EP76" s="62"/>
      <c r="EQ76" s="63"/>
      <c r="ER76" s="62"/>
      <c r="ES76" s="63"/>
      <c r="ET76" s="62"/>
      <c r="EU76" s="63"/>
      <c r="EV76" s="62"/>
      <c r="EW76" s="63"/>
      <c r="EX76" s="62"/>
      <c r="EY76" s="63"/>
      <c r="EZ76" s="62"/>
      <c r="FA76" s="63"/>
      <c r="FB76" s="62"/>
      <c r="FC76" s="63"/>
      <c r="FD76" s="62"/>
      <c r="FE76" s="63"/>
      <c r="FF76" s="62"/>
      <c r="FG76" s="63"/>
      <c r="FH76" s="62"/>
      <c r="FI76" s="63"/>
      <c r="FJ76" s="62"/>
      <c r="FK76" s="63"/>
      <c r="FL76" s="62"/>
      <c r="FM76" s="63"/>
      <c r="FN76" s="62"/>
      <c r="FO76" s="63"/>
      <c r="FP76" s="62"/>
      <c r="FQ76" s="63"/>
      <c r="FR76" s="62"/>
      <c r="FS76" s="63"/>
      <c r="FT76" s="62"/>
      <c r="FU76" s="63"/>
      <c r="FV76" s="62"/>
      <c r="FW76" s="63"/>
      <c r="FX76" s="62"/>
      <c r="FY76" s="63"/>
      <c r="FZ76" s="62"/>
      <c r="GA76" s="63"/>
      <c r="GB76" s="62"/>
      <c r="GC76" s="63"/>
      <c r="GD76" s="62"/>
      <c r="GE76" s="63"/>
      <c r="GF76" s="62"/>
      <c r="GG76" s="63"/>
      <c r="GH76" s="18"/>
      <c r="GI76" s="19" t="s">
        <v>66</v>
      </c>
      <c r="GJ76" s="62" t="s">
        <v>66</v>
      </c>
      <c r="GK76" s="63"/>
      <c r="GL76" s="31" t="s">
        <v>66</v>
      </c>
      <c r="GM76" s="32" t="s">
        <v>38</v>
      </c>
      <c r="GN76" s="62" t="s">
        <v>38</v>
      </c>
      <c r="GO76" s="63"/>
      <c r="GP76" s="62" t="s">
        <v>36</v>
      </c>
      <c r="GQ76" s="63"/>
      <c r="GR76" s="62" t="s">
        <v>36</v>
      </c>
      <c r="GS76" s="63"/>
      <c r="GT76" s="62" t="s">
        <v>36</v>
      </c>
      <c r="GU76" s="63"/>
      <c r="GV76" s="62" t="s">
        <v>36</v>
      </c>
      <c r="GW76" s="63"/>
      <c r="GX76" s="62" t="s">
        <v>36</v>
      </c>
      <c r="GY76" s="63"/>
      <c r="GZ76" s="62" t="s">
        <v>36</v>
      </c>
      <c r="HA76" s="63"/>
      <c r="HB76" s="62" t="s">
        <v>36</v>
      </c>
      <c r="HC76" s="63"/>
      <c r="HD76" s="62" t="s">
        <v>36</v>
      </c>
      <c r="HE76" s="63"/>
      <c r="HF76" s="62" t="s">
        <v>36</v>
      </c>
      <c r="HG76" s="63"/>
      <c r="HH76" s="62" t="s">
        <v>36</v>
      </c>
      <c r="HI76" s="63"/>
      <c r="HJ76" s="62" t="s">
        <v>37</v>
      </c>
      <c r="HK76" s="63"/>
      <c r="HL76" s="62" t="s">
        <v>37</v>
      </c>
      <c r="HM76" s="63"/>
      <c r="HN76" s="62" t="s">
        <v>37</v>
      </c>
      <c r="HO76" s="63"/>
      <c r="HP76" s="62" t="s">
        <v>37</v>
      </c>
      <c r="HQ76" s="63"/>
      <c r="HR76" s="62" t="s">
        <v>37</v>
      </c>
      <c r="HS76" s="63"/>
      <c r="HT76" s="62" t="s">
        <v>37</v>
      </c>
      <c r="HU76" s="63"/>
      <c r="HV76" s="62" t="s">
        <v>37</v>
      </c>
      <c r="HW76" s="63"/>
      <c r="HX76" s="62"/>
      <c r="HY76" s="63"/>
      <c r="HZ76" s="62"/>
      <c r="IA76" s="63"/>
      <c r="IB76" s="62"/>
      <c r="IC76" s="63"/>
      <c r="ID76" s="62"/>
      <c r="IE76" s="63"/>
      <c r="IF76" s="62"/>
      <c r="IG76" s="63"/>
      <c r="IH76" s="62"/>
      <c r="II76" s="63"/>
      <c r="IJ76" s="62"/>
      <c r="IK76" s="63"/>
      <c r="IL76" s="62"/>
      <c r="IM76" s="63"/>
      <c r="IN76" s="62"/>
      <c r="IO76" s="63"/>
      <c r="IP76" s="62"/>
      <c r="IQ76" s="63"/>
      <c r="IR76" s="62"/>
      <c r="IS76" s="63"/>
      <c r="IT76" s="62"/>
      <c r="IU76" s="63"/>
      <c r="IV76" s="62"/>
      <c r="IW76" s="63"/>
      <c r="IX76" s="62"/>
      <c r="IY76" s="63"/>
      <c r="IZ76" s="62"/>
      <c r="JA76" s="63"/>
      <c r="JB76" s="62"/>
      <c r="JC76" s="63"/>
      <c r="JD76" s="62"/>
      <c r="JE76" s="63"/>
      <c r="JF76" s="62"/>
      <c r="JG76" s="63"/>
      <c r="JH76" s="62"/>
      <c r="JI76" s="63"/>
      <c r="JJ76" s="62"/>
      <c r="JK76" s="63"/>
      <c r="JL76" s="62"/>
      <c r="JM76" s="63"/>
      <c r="JN76" s="62"/>
      <c r="JO76" s="63"/>
      <c r="JP76" s="62"/>
      <c r="JQ76" s="63"/>
      <c r="JR76" s="62"/>
      <c r="JS76" s="63"/>
      <c r="JT76" s="62"/>
      <c r="JU76" s="63"/>
      <c r="JV76" s="62"/>
      <c r="JW76" s="63"/>
      <c r="JX76" s="62"/>
      <c r="JY76" s="63"/>
      <c r="JZ76" s="62"/>
      <c r="KA76" s="63"/>
      <c r="KB76" s="62"/>
      <c r="KC76" s="63"/>
      <c r="KD76" s="62"/>
      <c r="KE76" s="63"/>
      <c r="KF76" s="62"/>
      <c r="KG76" s="63"/>
      <c r="KH76" s="62"/>
      <c r="KI76" s="63"/>
      <c r="KJ76" s="62"/>
      <c r="KK76" s="63"/>
      <c r="KL76" s="62"/>
      <c r="KM76" s="63"/>
      <c r="KN76" s="62"/>
      <c r="KO76" s="63"/>
      <c r="KP76" s="62"/>
      <c r="KQ76" s="63"/>
      <c r="KR76" s="62"/>
      <c r="KS76" s="63"/>
      <c r="KT76" s="62"/>
      <c r="KU76" s="63"/>
      <c r="KV76" s="62"/>
      <c r="KW76" s="63"/>
      <c r="KX76" s="62"/>
      <c r="KY76" s="63"/>
      <c r="KZ76" s="62"/>
      <c r="LA76" s="63"/>
      <c r="LB76" s="62"/>
      <c r="LC76" s="63"/>
      <c r="LD76" s="62"/>
      <c r="LE76" s="63"/>
      <c r="LF76" s="62"/>
      <c r="LG76" s="63"/>
      <c r="LH76" s="62"/>
      <c r="LI76" s="63"/>
      <c r="LJ76" s="62"/>
      <c r="LK76" s="63"/>
      <c r="LL76" s="62"/>
      <c r="LM76" s="63"/>
      <c r="LN76" s="62"/>
      <c r="LO76" s="63"/>
      <c r="LP76" s="62"/>
      <c r="LQ76" s="63"/>
      <c r="LR76" s="62"/>
      <c r="LS76" s="63"/>
      <c r="LT76" s="62"/>
      <c r="LU76" s="63"/>
      <c r="LV76" s="62"/>
      <c r="LW76" s="63"/>
      <c r="LX76" s="62"/>
      <c r="LY76" s="63"/>
      <c r="LZ76" s="62"/>
      <c r="MA76" s="63"/>
      <c r="MB76" s="62"/>
      <c r="MC76" s="63"/>
      <c r="MD76" s="62"/>
      <c r="ME76" s="63"/>
      <c r="MF76" s="62"/>
      <c r="MG76" s="63"/>
      <c r="MH76" s="62"/>
      <c r="MI76" s="63"/>
      <c r="MJ76" s="62"/>
      <c r="MK76" s="63"/>
      <c r="ML76" s="62"/>
      <c r="MM76" s="63"/>
      <c r="MN76" s="62"/>
      <c r="MO76" s="63"/>
      <c r="MP76" s="62"/>
      <c r="MQ76" s="63"/>
      <c r="MR76" s="62"/>
      <c r="MS76" s="63"/>
      <c r="MT76" s="62"/>
      <c r="MU76" s="63"/>
      <c r="MV76" s="62"/>
      <c r="MW76" s="63"/>
      <c r="MX76" s="62"/>
      <c r="MY76" s="63"/>
      <c r="MZ76" s="62"/>
      <c r="NA76" s="63"/>
      <c r="NB76" s="62"/>
      <c r="NC76" s="63"/>
      <c r="ND76" s="62"/>
      <c r="NE76" s="63"/>
      <c r="NF76" s="62"/>
      <c r="NG76" s="63"/>
      <c r="NH76" s="62"/>
      <c r="NI76" s="63"/>
      <c r="NJ76" s="62"/>
      <c r="NK76" s="63"/>
      <c r="NL76" s="62"/>
      <c r="NM76" s="63"/>
      <c r="NN76" s="62"/>
      <c r="NO76" s="63"/>
      <c r="NP76" s="62"/>
      <c r="NQ76" s="63"/>
      <c r="NR76" s="62"/>
      <c r="NS76" s="63"/>
      <c r="NT76" s="62"/>
      <c r="NU76" s="63"/>
      <c r="NV76" s="62"/>
      <c r="NW76" s="63"/>
      <c r="NX76" s="62"/>
      <c r="NY76" s="63"/>
      <c r="NZ76" s="62"/>
      <c r="OA76" s="63"/>
      <c r="OB76" s="62"/>
      <c r="OC76" s="63"/>
      <c r="OD76" s="62"/>
      <c r="OE76" s="63"/>
      <c r="OF76" s="62"/>
      <c r="OG76" s="63"/>
      <c r="OH76" s="62"/>
      <c r="OI76" s="63"/>
      <c r="OJ76" s="62"/>
      <c r="OK76" s="63"/>
      <c r="OL76" s="62"/>
      <c r="OM76" s="63"/>
      <c r="ON76" s="62"/>
      <c r="OO76" s="63"/>
      <c r="OP76" s="62"/>
      <c r="OQ76" s="63"/>
      <c r="OR76" s="62"/>
      <c r="OS76" s="63"/>
      <c r="OT76" s="62"/>
      <c r="OU76" s="63"/>
      <c r="OV76" s="62"/>
      <c r="OW76" s="63"/>
      <c r="OX76" s="62"/>
      <c r="OY76" s="63"/>
      <c r="OZ76" s="62"/>
      <c r="PA76" s="63"/>
      <c r="PB76" s="62"/>
      <c r="PC76" s="63"/>
      <c r="PD76" s="62"/>
      <c r="PE76" s="63"/>
      <c r="PF76" s="62"/>
      <c r="PG76" s="63"/>
      <c r="PH76" s="62"/>
      <c r="PI76" s="63"/>
      <c r="PJ76" s="62"/>
      <c r="PK76" s="63"/>
      <c r="PL76" s="62"/>
      <c r="PM76" s="63"/>
      <c r="PN76" s="62"/>
      <c r="PO76" s="63"/>
      <c r="PP76" s="62"/>
      <c r="PQ76" s="63"/>
      <c r="PR76" s="62"/>
      <c r="PS76" s="63"/>
      <c r="PT76" s="62"/>
      <c r="PU76" s="63"/>
      <c r="PV76" s="62"/>
      <c r="PW76" s="63"/>
      <c r="PX76" s="62"/>
      <c r="PY76" s="63"/>
      <c r="PZ76" s="62"/>
      <c r="QA76" s="63"/>
      <c r="QB76" s="62"/>
      <c r="QC76" s="63"/>
      <c r="QD76" s="62"/>
      <c r="QE76" s="63"/>
      <c r="QF76" s="62"/>
      <c r="QG76" s="63"/>
      <c r="QH76" s="62"/>
      <c r="QI76" s="63"/>
      <c r="QJ76" s="62"/>
      <c r="QK76" s="63"/>
      <c r="QL76" s="62"/>
      <c r="QM76" s="63"/>
      <c r="QN76" s="62"/>
      <c r="QO76" s="63"/>
      <c r="QP76" s="62"/>
      <c r="QQ76" s="63"/>
      <c r="QR76" s="62"/>
      <c r="QS76" s="63"/>
      <c r="QT76" s="62"/>
      <c r="QU76" s="63"/>
      <c r="QV76" s="62"/>
      <c r="QW76" s="63"/>
      <c r="QX76" s="62"/>
      <c r="QY76" s="63"/>
      <c r="QZ76" s="62"/>
      <c r="RA76" s="63"/>
      <c r="RB76" s="62"/>
      <c r="RC76" s="63"/>
      <c r="RD76" s="31"/>
    </row>
    <row r="77" spans="1:472" s="5" customFormat="1" hidden="1" x14ac:dyDescent="0.25">
      <c r="A77" s="41">
        <v>2086</v>
      </c>
      <c r="B77" s="41" t="s">
        <v>832</v>
      </c>
      <c r="C77" s="41" t="s">
        <v>230</v>
      </c>
      <c r="D77" s="41">
        <v>207</v>
      </c>
      <c r="E77" s="42"/>
      <c r="F77" s="41" t="s">
        <v>819</v>
      </c>
      <c r="I77" s="31"/>
      <c r="J77" s="32"/>
      <c r="K77" s="31"/>
      <c r="L77" s="32"/>
      <c r="M77" s="31"/>
      <c r="N77" s="32"/>
      <c r="O77" s="31"/>
      <c r="P77" s="32"/>
      <c r="Q77" s="31"/>
      <c r="R77" s="32"/>
      <c r="S77" s="31"/>
      <c r="T77" s="32"/>
      <c r="X77" s="31"/>
      <c r="Y77" s="32"/>
      <c r="Z77" s="31"/>
      <c r="AA77" s="32"/>
      <c r="AB77" s="31"/>
      <c r="AC77" s="32"/>
      <c r="AD77" s="31"/>
      <c r="AE77" s="32"/>
      <c r="AF77" s="31"/>
      <c r="AG77" s="32"/>
      <c r="AH77" s="31"/>
      <c r="AI77" s="32"/>
      <c r="AJ77" s="31"/>
      <c r="AK77" s="32"/>
      <c r="AL77" s="31"/>
      <c r="AM77" s="32"/>
      <c r="AN77" s="31"/>
      <c r="AO77" s="32"/>
      <c r="AP77" s="31"/>
      <c r="AQ77" s="32"/>
      <c r="AR77" s="31"/>
      <c r="AS77" s="32"/>
      <c r="AT77" s="31"/>
      <c r="AU77" s="32"/>
      <c r="AV77" s="31"/>
      <c r="AW77" s="32"/>
      <c r="AX77" s="31"/>
      <c r="AY77" s="32"/>
      <c r="AZ77" s="31"/>
      <c r="BA77" s="32"/>
      <c r="BB77" s="31"/>
      <c r="BC77" s="32"/>
      <c r="BD77" s="31"/>
      <c r="BE77" s="32"/>
      <c r="BF77" s="31"/>
      <c r="BG77" s="32"/>
      <c r="BH77" s="31"/>
      <c r="BI77" s="32"/>
      <c r="BJ77" s="31"/>
      <c r="BK77" s="32"/>
      <c r="BL77" s="31"/>
      <c r="BM77" s="32"/>
      <c r="BN77" s="31"/>
      <c r="BO77" s="32"/>
      <c r="BP77" s="31"/>
      <c r="BQ77" s="32"/>
      <c r="BR77" s="31"/>
      <c r="BS77" s="32"/>
      <c r="BT77" s="31"/>
      <c r="BU77" s="32"/>
      <c r="BV77" s="31"/>
      <c r="BW77" s="32"/>
      <c r="BX77" s="31"/>
      <c r="BY77" s="32"/>
      <c r="BZ77" s="31"/>
      <c r="CA77" s="32"/>
      <c r="CB77" s="31"/>
      <c r="CC77" s="32"/>
      <c r="CD77" s="31"/>
      <c r="CE77" s="32"/>
      <c r="CF77" s="31"/>
      <c r="CG77" s="32"/>
      <c r="CH77" s="31"/>
      <c r="CI77" s="32"/>
      <c r="CJ77" s="31"/>
      <c r="CK77" s="32"/>
      <c r="CL77" s="31"/>
      <c r="CM77" s="32"/>
      <c r="CN77" s="31"/>
      <c r="CO77" s="32"/>
      <c r="CP77" s="31"/>
      <c r="CQ77" s="32"/>
      <c r="CR77" s="31"/>
      <c r="CS77" s="32"/>
      <c r="CT77" s="31"/>
      <c r="CU77" s="32"/>
      <c r="CV77" s="31"/>
      <c r="CW77" s="32"/>
      <c r="CX77" s="31"/>
      <c r="CY77" s="32"/>
      <c r="CZ77" s="31"/>
      <c r="DA77" s="32"/>
      <c r="DB77" s="31"/>
      <c r="DC77" s="32"/>
      <c r="DD77" s="31"/>
      <c r="DE77" s="32"/>
      <c r="DF77" s="31"/>
      <c r="DG77" s="32"/>
      <c r="DH77" s="31"/>
      <c r="DI77" s="32"/>
      <c r="DJ77" s="31"/>
      <c r="DK77" s="32"/>
      <c r="DL77" s="31"/>
      <c r="DM77" s="32"/>
      <c r="DN77" s="31"/>
      <c r="DO77" s="32"/>
      <c r="DP77" s="31"/>
      <c r="DQ77" s="32"/>
      <c r="DR77" s="31"/>
      <c r="DS77" s="32"/>
      <c r="DT77" s="31"/>
      <c r="DU77" s="32"/>
      <c r="DV77" s="31"/>
      <c r="DW77" s="32"/>
      <c r="DX77" s="31"/>
      <c r="DY77" s="32"/>
      <c r="DZ77" s="31"/>
      <c r="EA77" s="32"/>
      <c r="EB77" s="31"/>
      <c r="EC77" s="32"/>
      <c r="ED77" s="31"/>
      <c r="EE77" s="32"/>
      <c r="EF77" s="31"/>
      <c r="EG77" s="32"/>
      <c r="EH77" s="31"/>
      <c r="EI77" s="32"/>
      <c r="EJ77" s="31"/>
      <c r="EK77" s="32"/>
      <c r="EL77" s="31"/>
      <c r="EM77" s="32"/>
      <c r="EN77" s="31"/>
      <c r="EO77" s="32"/>
      <c r="EP77" s="31"/>
      <c r="EQ77" s="32"/>
      <c r="ER77" s="31"/>
      <c r="ES77" s="32"/>
      <c r="ET77" s="31"/>
      <c r="EU77" s="32"/>
      <c r="EV77" s="31"/>
      <c r="EW77" s="32"/>
      <c r="EX77" s="31"/>
      <c r="EY77" s="32"/>
      <c r="EZ77" s="31"/>
      <c r="FA77" s="32"/>
      <c r="FB77" s="31"/>
      <c r="FC77" s="32"/>
      <c r="FD77" s="31"/>
      <c r="FE77" s="32"/>
      <c r="FF77" s="62"/>
      <c r="FG77" s="63"/>
      <c r="FH77" s="62"/>
      <c r="FI77" s="63"/>
      <c r="FJ77" s="62"/>
      <c r="FK77" s="63"/>
      <c r="FL77" s="62"/>
      <c r="FM77" s="63"/>
      <c r="FN77" s="62"/>
      <c r="FO77" s="63"/>
      <c r="FP77" s="62"/>
      <c r="FQ77" s="63"/>
      <c r="FR77" s="62"/>
      <c r="FS77" s="63"/>
      <c r="FT77" s="62"/>
      <c r="FU77" s="63"/>
      <c r="FV77" s="62"/>
      <c r="FW77" s="63"/>
      <c r="FX77" s="62" t="s">
        <v>867</v>
      </c>
      <c r="FY77" s="63"/>
      <c r="FZ77" s="62" t="s">
        <v>867</v>
      </c>
      <c r="GA77" s="63"/>
      <c r="GB77" s="62" t="s">
        <v>867</v>
      </c>
      <c r="GC77" s="63"/>
      <c r="GD77" s="62" t="s">
        <v>66</v>
      </c>
      <c r="GE77" s="63"/>
      <c r="GF77" s="62" t="s">
        <v>66</v>
      </c>
      <c r="GG77" s="63"/>
      <c r="GH77" s="62" t="s">
        <v>38</v>
      </c>
      <c r="GI77" s="63"/>
      <c r="GJ77" s="62" t="s">
        <v>38</v>
      </c>
      <c r="GK77" s="63"/>
      <c r="GL77" s="31" t="s">
        <v>38</v>
      </c>
      <c r="GM77" s="32" t="s">
        <v>36</v>
      </c>
      <c r="GN77" s="62" t="s">
        <v>36</v>
      </c>
      <c r="GO77" s="63"/>
      <c r="GP77" s="62" t="s">
        <v>36</v>
      </c>
      <c r="GQ77" s="63"/>
      <c r="GR77" s="62" t="s">
        <v>36</v>
      </c>
      <c r="GS77" s="63"/>
      <c r="GT77" s="62" t="s">
        <v>36</v>
      </c>
      <c r="GU77" s="63"/>
      <c r="GV77" s="62" t="s">
        <v>36</v>
      </c>
      <c r="GW77" s="63"/>
      <c r="GX77" s="62" t="s">
        <v>36</v>
      </c>
      <c r="GY77" s="63"/>
      <c r="GZ77" s="62" t="s">
        <v>36</v>
      </c>
      <c r="HA77" s="63"/>
      <c r="HB77" s="62" t="s">
        <v>36</v>
      </c>
      <c r="HC77" s="63"/>
      <c r="HD77" s="62" t="s">
        <v>36</v>
      </c>
      <c r="HE77" s="63"/>
      <c r="HF77" s="62" t="s">
        <v>36</v>
      </c>
      <c r="HG77" s="63"/>
      <c r="HH77" s="62" t="s">
        <v>36</v>
      </c>
      <c r="HI77" s="63"/>
      <c r="HJ77" s="62" t="s">
        <v>37</v>
      </c>
      <c r="HK77" s="63"/>
      <c r="HL77" s="62" t="s">
        <v>37</v>
      </c>
      <c r="HM77" s="63"/>
      <c r="HN77" s="62" t="s">
        <v>37</v>
      </c>
      <c r="HO77" s="63"/>
      <c r="HP77" s="62" t="s">
        <v>37</v>
      </c>
      <c r="HQ77" s="63"/>
      <c r="HR77" s="62" t="s">
        <v>37</v>
      </c>
      <c r="HS77" s="63"/>
      <c r="HT77" s="62" t="s">
        <v>37</v>
      </c>
      <c r="HU77" s="63"/>
      <c r="HV77" s="62" t="s">
        <v>37</v>
      </c>
      <c r="HW77" s="63"/>
      <c r="HX77" s="18" t="s">
        <v>37</v>
      </c>
      <c r="HY77" s="19"/>
      <c r="HZ77" s="62"/>
      <c r="IA77" s="63"/>
      <c r="IB77" s="62"/>
      <c r="IC77" s="63"/>
      <c r="ID77" s="62"/>
      <c r="IE77" s="63"/>
      <c r="IF77" s="62"/>
      <c r="IG77" s="63"/>
      <c r="IH77" s="62"/>
      <c r="II77" s="63"/>
      <c r="IJ77" s="62"/>
      <c r="IK77" s="63"/>
      <c r="IL77" s="62"/>
      <c r="IM77" s="63"/>
      <c r="IN77" s="62"/>
      <c r="IO77" s="63"/>
      <c r="IP77" s="62"/>
      <c r="IQ77" s="63"/>
      <c r="IR77" s="62"/>
      <c r="IS77" s="63"/>
      <c r="IT77" s="62"/>
      <c r="IU77" s="63"/>
      <c r="IV77" s="62"/>
      <c r="IW77" s="63"/>
      <c r="IX77" s="62"/>
      <c r="IY77" s="63"/>
      <c r="IZ77" s="62"/>
      <c r="JA77" s="63"/>
      <c r="JB77" s="62"/>
      <c r="JC77" s="63"/>
      <c r="JD77" s="62"/>
      <c r="JE77" s="63"/>
      <c r="JF77" s="62"/>
      <c r="JG77" s="63"/>
      <c r="JH77" s="62"/>
      <c r="JI77" s="63"/>
      <c r="JJ77" s="62"/>
      <c r="JK77" s="63"/>
      <c r="JL77" s="62"/>
      <c r="JM77" s="63"/>
      <c r="JN77" s="62"/>
      <c r="JO77" s="63"/>
      <c r="JP77" s="62"/>
      <c r="JQ77" s="63"/>
      <c r="JR77" s="62"/>
      <c r="JS77" s="63"/>
      <c r="JT77" s="62"/>
      <c r="JU77" s="63"/>
      <c r="JV77" s="62"/>
      <c r="JW77" s="63"/>
      <c r="JX77" s="62"/>
      <c r="JY77" s="63"/>
      <c r="JZ77" s="62"/>
      <c r="KA77" s="63"/>
      <c r="KB77" s="62"/>
      <c r="KC77" s="63"/>
      <c r="KD77" s="62"/>
      <c r="KE77" s="63"/>
      <c r="KF77" s="62"/>
      <c r="KG77" s="63"/>
      <c r="KH77" s="62"/>
      <c r="KI77" s="63"/>
      <c r="KJ77" s="62"/>
      <c r="KK77" s="63"/>
      <c r="KL77" s="62"/>
      <c r="KM77" s="63"/>
      <c r="KN77" s="62"/>
      <c r="KO77" s="63"/>
      <c r="KP77" s="62"/>
      <c r="KQ77" s="63"/>
      <c r="KR77" s="62"/>
      <c r="KS77" s="63"/>
      <c r="KT77" s="62"/>
      <c r="KU77" s="63"/>
      <c r="KV77" s="62"/>
      <c r="KW77" s="63"/>
      <c r="KX77" s="62"/>
      <c r="KY77" s="63"/>
      <c r="KZ77" s="62"/>
      <c r="LA77" s="63"/>
      <c r="LB77" s="62"/>
      <c r="LC77" s="63"/>
      <c r="LD77" s="62"/>
      <c r="LE77" s="63"/>
      <c r="LF77" s="62"/>
      <c r="LG77" s="63"/>
      <c r="LH77" s="62"/>
      <c r="LI77" s="63"/>
      <c r="LJ77" s="62"/>
      <c r="LK77" s="63"/>
      <c r="LL77" s="62"/>
      <c r="LM77" s="63"/>
      <c r="LN77" s="62"/>
      <c r="LO77" s="63"/>
      <c r="LP77" s="62"/>
      <c r="LQ77" s="63"/>
      <c r="LR77" s="62"/>
      <c r="LS77" s="63"/>
      <c r="LT77" s="62"/>
      <c r="LU77" s="63"/>
      <c r="LV77" s="62"/>
      <c r="LW77" s="63"/>
      <c r="LX77" s="62"/>
      <c r="LY77" s="63"/>
      <c r="LZ77" s="62"/>
      <c r="MA77" s="63"/>
      <c r="MB77" s="62"/>
      <c r="MC77" s="63"/>
      <c r="MD77" s="62"/>
      <c r="ME77" s="63"/>
      <c r="MF77" s="62"/>
      <c r="MG77" s="63"/>
      <c r="MH77" s="62"/>
      <c r="MI77" s="63"/>
      <c r="MJ77" s="62"/>
      <c r="MK77" s="63"/>
      <c r="ML77" s="62"/>
      <c r="MM77" s="63"/>
      <c r="MN77" s="62"/>
      <c r="MO77" s="63"/>
      <c r="MP77" s="62"/>
      <c r="MQ77" s="63"/>
      <c r="MR77" s="62"/>
      <c r="MS77" s="63"/>
      <c r="MT77" s="62"/>
      <c r="MU77" s="63"/>
      <c r="MV77" s="62"/>
      <c r="MW77" s="63"/>
      <c r="MX77" s="62"/>
      <c r="MY77" s="63"/>
      <c r="MZ77" s="62"/>
      <c r="NA77" s="63"/>
      <c r="NB77" s="62"/>
      <c r="NC77" s="63"/>
      <c r="ND77" s="62"/>
      <c r="NE77" s="63"/>
      <c r="NF77" s="62"/>
      <c r="NG77" s="63"/>
      <c r="NH77" s="62"/>
      <c r="NI77" s="63"/>
      <c r="NJ77" s="62"/>
      <c r="NK77" s="63"/>
      <c r="NL77" s="62"/>
      <c r="NM77" s="63"/>
      <c r="NN77" s="62"/>
      <c r="NO77" s="63"/>
      <c r="NP77" s="62"/>
      <c r="NQ77" s="63"/>
      <c r="NR77" s="62"/>
      <c r="NS77" s="63"/>
      <c r="NT77" s="62"/>
      <c r="NU77" s="63"/>
      <c r="NV77" s="62"/>
      <c r="NW77" s="63"/>
      <c r="NX77" s="62"/>
      <c r="NY77" s="63"/>
      <c r="NZ77" s="62"/>
      <c r="OA77" s="63"/>
      <c r="OB77" s="62"/>
      <c r="OC77" s="63"/>
      <c r="OD77" s="62"/>
      <c r="OE77" s="63"/>
      <c r="OF77" s="62"/>
      <c r="OG77" s="63"/>
      <c r="OH77" s="62"/>
      <c r="OI77" s="63"/>
      <c r="OJ77" s="62"/>
      <c r="OK77" s="63"/>
      <c r="OL77" s="62"/>
      <c r="OM77" s="63"/>
      <c r="ON77" s="62"/>
      <c r="OO77" s="63"/>
      <c r="OP77" s="62"/>
      <c r="OQ77" s="63"/>
      <c r="OR77" s="62"/>
      <c r="OS77" s="63"/>
      <c r="OT77" s="62"/>
      <c r="OU77" s="63"/>
      <c r="OV77" s="62"/>
      <c r="OW77" s="63"/>
      <c r="OX77" s="62"/>
      <c r="OY77" s="63"/>
      <c r="OZ77" s="62"/>
      <c r="PA77" s="63"/>
      <c r="PB77" s="62"/>
      <c r="PC77" s="63"/>
      <c r="PD77" s="62"/>
      <c r="PE77" s="63"/>
      <c r="PF77" s="62"/>
      <c r="PG77" s="63"/>
      <c r="PH77" s="62"/>
      <c r="PI77" s="63"/>
      <c r="PJ77" s="62"/>
      <c r="PK77" s="63"/>
      <c r="PL77" s="62"/>
      <c r="PM77" s="63"/>
      <c r="PN77" s="62"/>
      <c r="PO77" s="63"/>
      <c r="PP77" s="62"/>
      <c r="PQ77" s="63"/>
      <c r="PR77" s="62"/>
      <c r="PS77" s="63"/>
      <c r="PT77" s="62"/>
      <c r="PU77" s="63"/>
      <c r="PV77" s="62"/>
      <c r="PW77" s="63"/>
      <c r="PX77" s="62"/>
      <c r="PY77" s="63"/>
      <c r="PZ77" s="62"/>
      <c r="QA77" s="63"/>
      <c r="QB77" s="62"/>
      <c r="QC77" s="63"/>
      <c r="QD77" s="62"/>
      <c r="QE77" s="63"/>
      <c r="QF77" s="62"/>
      <c r="QG77" s="63"/>
      <c r="QH77" s="62"/>
      <c r="QI77" s="63"/>
      <c r="QJ77" s="62"/>
      <c r="QK77" s="63"/>
      <c r="QL77" s="62"/>
      <c r="QM77" s="63"/>
      <c r="QN77" s="62"/>
      <c r="QO77" s="63"/>
      <c r="QP77" s="62"/>
      <c r="QQ77" s="63"/>
      <c r="QR77" s="62"/>
      <c r="QS77" s="63"/>
      <c r="QT77" s="62"/>
      <c r="QU77" s="63"/>
      <c r="QV77" s="62"/>
      <c r="QW77" s="63"/>
      <c r="QX77" s="62"/>
      <c r="QY77" s="63"/>
      <c r="QZ77" s="62"/>
      <c r="RA77" s="63"/>
      <c r="RB77" s="62"/>
      <c r="RC77" s="63"/>
      <c r="RD77" s="31"/>
    </row>
    <row r="78" spans="1:472" s="5" customFormat="1" hidden="1" x14ac:dyDescent="0.25">
      <c r="A78" s="41">
        <v>2082</v>
      </c>
      <c r="B78" s="41" t="s">
        <v>696</v>
      </c>
      <c r="C78" s="41" t="s">
        <v>369</v>
      </c>
      <c r="D78" s="41">
        <v>235</v>
      </c>
      <c r="E78" s="42"/>
      <c r="F78" s="41" t="s">
        <v>833</v>
      </c>
      <c r="I78" s="62"/>
      <c r="J78" s="63"/>
      <c r="K78" s="62"/>
      <c r="L78" s="63"/>
      <c r="M78" s="62"/>
      <c r="N78" s="63"/>
      <c r="O78" s="62"/>
      <c r="P78" s="63"/>
      <c r="Q78" s="62"/>
      <c r="R78" s="63"/>
      <c r="S78" s="62"/>
      <c r="T78" s="63"/>
      <c r="X78" s="62"/>
      <c r="Y78" s="63"/>
      <c r="Z78" s="62"/>
      <c r="AA78" s="63"/>
      <c r="AB78" s="62"/>
      <c r="AC78" s="63"/>
      <c r="AD78" s="62"/>
      <c r="AE78" s="63"/>
      <c r="AF78" s="62"/>
      <c r="AG78" s="63"/>
      <c r="AH78" s="62"/>
      <c r="AI78" s="63"/>
      <c r="AJ78" s="62"/>
      <c r="AK78" s="63"/>
      <c r="AL78" s="62"/>
      <c r="AM78" s="63"/>
      <c r="AN78" s="62"/>
      <c r="AO78" s="63"/>
      <c r="AP78" s="62"/>
      <c r="AQ78" s="63"/>
      <c r="AR78" s="62"/>
      <c r="AS78" s="63"/>
      <c r="AT78" s="62"/>
      <c r="AU78" s="63"/>
      <c r="AV78" s="62"/>
      <c r="AW78" s="63"/>
      <c r="AX78" s="62"/>
      <c r="AY78" s="63"/>
      <c r="AZ78" s="62"/>
      <c r="BA78" s="63"/>
      <c r="BB78" s="62"/>
      <c r="BC78" s="63"/>
      <c r="BD78" s="62"/>
      <c r="BE78" s="63"/>
      <c r="BF78" s="62"/>
      <c r="BG78" s="63"/>
      <c r="BH78" s="62"/>
      <c r="BI78" s="63"/>
      <c r="BJ78" s="62"/>
      <c r="BK78" s="63"/>
      <c r="BL78" s="62"/>
      <c r="BM78" s="63"/>
      <c r="BN78" s="62"/>
      <c r="BO78" s="63"/>
      <c r="BP78" s="62"/>
      <c r="BQ78" s="63"/>
      <c r="BR78" s="62"/>
      <c r="BS78" s="63"/>
      <c r="BT78" s="62"/>
      <c r="BU78" s="63"/>
      <c r="BV78" s="62"/>
      <c r="BW78" s="63"/>
      <c r="BX78" s="62"/>
      <c r="BY78" s="63"/>
      <c r="BZ78" s="62"/>
      <c r="CA78" s="63"/>
      <c r="CB78" s="62"/>
      <c r="CC78" s="63"/>
      <c r="CD78" s="62"/>
      <c r="CE78" s="63"/>
      <c r="CF78" s="62"/>
      <c r="CG78" s="63"/>
      <c r="CH78" s="62"/>
      <c r="CI78" s="63"/>
      <c r="CJ78" s="62"/>
      <c r="CK78" s="63"/>
      <c r="CL78" s="62"/>
      <c r="CM78" s="63"/>
      <c r="CN78" s="62"/>
      <c r="CO78" s="63"/>
      <c r="CP78" s="62"/>
      <c r="CQ78" s="63"/>
      <c r="CR78" s="62"/>
      <c r="CS78" s="63"/>
      <c r="CT78" s="62"/>
      <c r="CU78" s="63"/>
      <c r="CV78" s="62"/>
      <c r="CW78" s="63"/>
      <c r="CX78" s="62"/>
      <c r="CY78" s="63"/>
      <c r="CZ78" s="62"/>
      <c r="DA78" s="63"/>
      <c r="DB78" s="62"/>
      <c r="DC78" s="63"/>
      <c r="DD78" s="62"/>
      <c r="DE78" s="63"/>
      <c r="DF78" s="62"/>
      <c r="DG78" s="63"/>
      <c r="DH78" s="62"/>
      <c r="DI78" s="63"/>
      <c r="DJ78" s="62"/>
      <c r="DK78" s="63"/>
      <c r="DL78" s="62"/>
      <c r="DM78" s="63"/>
      <c r="DN78" s="62"/>
      <c r="DO78" s="63"/>
      <c r="DP78" s="62"/>
      <c r="DQ78" s="63"/>
      <c r="DR78" s="62"/>
      <c r="DS78" s="63"/>
      <c r="DT78" s="62"/>
      <c r="DU78" s="63"/>
      <c r="DV78" s="62"/>
      <c r="DW78" s="63"/>
      <c r="DX78" s="62"/>
      <c r="DY78" s="63"/>
      <c r="DZ78" s="62"/>
      <c r="EA78" s="63"/>
      <c r="EB78" s="62"/>
      <c r="EC78" s="63"/>
      <c r="ED78" s="62"/>
      <c r="EE78" s="63"/>
      <c r="EF78" s="62"/>
      <c r="EG78" s="63"/>
      <c r="EH78" s="62"/>
      <c r="EI78" s="63"/>
      <c r="EJ78" s="62"/>
      <c r="EK78" s="63"/>
      <c r="EL78" s="62"/>
      <c r="EM78" s="63"/>
      <c r="EN78" s="62"/>
      <c r="EO78" s="63"/>
      <c r="EP78" s="62"/>
      <c r="EQ78" s="63"/>
      <c r="ER78" s="62"/>
      <c r="ES78" s="63"/>
      <c r="ET78" s="62"/>
      <c r="EU78" s="63"/>
      <c r="EV78" s="62"/>
      <c r="EW78" s="63"/>
      <c r="EX78" s="62"/>
      <c r="EY78" s="63"/>
      <c r="EZ78" s="62"/>
      <c r="FA78" s="63"/>
      <c r="FB78" s="62"/>
      <c r="FC78" s="63"/>
      <c r="FD78" s="62"/>
      <c r="FE78" s="63"/>
      <c r="FF78" s="62"/>
      <c r="FG78" s="63"/>
      <c r="FH78" s="62"/>
      <c r="FI78" s="63"/>
      <c r="FJ78" s="62"/>
      <c r="FK78" s="63"/>
      <c r="FL78" s="62" t="s">
        <v>66</v>
      </c>
      <c r="FM78" s="63"/>
      <c r="FN78" s="62" t="s">
        <v>66</v>
      </c>
      <c r="FO78" s="63"/>
      <c r="FP78" s="62" t="s">
        <v>66</v>
      </c>
      <c r="FQ78" s="63"/>
      <c r="FR78" s="62" t="s">
        <v>38</v>
      </c>
      <c r="FS78" s="63"/>
      <c r="FT78" s="62" t="s">
        <v>38</v>
      </c>
      <c r="FU78" s="63"/>
      <c r="FV78" s="62" t="s">
        <v>36</v>
      </c>
      <c r="FW78" s="63"/>
      <c r="FX78" s="62" t="s">
        <v>867</v>
      </c>
      <c r="FY78" s="63"/>
      <c r="FZ78" s="62" t="s">
        <v>867</v>
      </c>
      <c r="GA78" s="63"/>
      <c r="GB78" s="62" t="s">
        <v>867</v>
      </c>
      <c r="GC78" s="63"/>
      <c r="GD78" s="62" t="s">
        <v>38</v>
      </c>
      <c r="GE78" s="63"/>
      <c r="GF78" s="62" t="s">
        <v>36</v>
      </c>
      <c r="GG78" s="63"/>
      <c r="GH78" s="62" t="s">
        <v>36</v>
      </c>
      <c r="GI78" s="63"/>
      <c r="GJ78" s="62" t="s">
        <v>36</v>
      </c>
      <c r="GK78" s="63"/>
      <c r="GL78" s="62" t="s">
        <v>36</v>
      </c>
      <c r="GM78" s="63"/>
      <c r="GN78" s="62" t="s">
        <v>36</v>
      </c>
      <c r="GO78" s="63"/>
      <c r="GP78" s="62" t="s">
        <v>36</v>
      </c>
      <c r="GQ78" s="63"/>
      <c r="GR78" s="62" t="s">
        <v>36</v>
      </c>
      <c r="GS78" s="63"/>
      <c r="GT78" s="62" t="s">
        <v>36</v>
      </c>
      <c r="GU78" s="63"/>
      <c r="GV78" s="62" t="s">
        <v>36</v>
      </c>
      <c r="GW78" s="63"/>
      <c r="GX78" s="62" t="s">
        <v>36</v>
      </c>
      <c r="GY78" s="63"/>
      <c r="GZ78" s="62" t="s">
        <v>36</v>
      </c>
      <c r="HA78" s="63"/>
      <c r="HB78" s="62" t="s">
        <v>36</v>
      </c>
      <c r="HC78" s="63"/>
      <c r="HD78" s="62" t="s">
        <v>36</v>
      </c>
      <c r="HE78" s="63"/>
      <c r="HF78" s="62" t="s">
        <v>37</v>
      </c>
      <c r="HG78" s="63"/>
      <c r="HH78" s="62" t="s">
        <v>37</v>
      </c>
      <c r="HI78" s="63"/>
      <c r="HJ78" s="62" t="s">
        <v>37</v>
      </c>
      <c r="HK78" s="63"/>
      <c r="HL78" s="62" t="s">
        <v>37</v>
      </c>
      <c r="HM78" s="63"/>
      <c r="HN78" s="62" t="s">
        <v>37</v>
      </c>
      <c r="HO78" s="63"/>
      <c r="HP78" s="62" t="s">
        <v>37</v>
      </c>
      <c r="HQ78" s="63"/>
      <c r="HR78" s="62" t="s">
        <v>37</v>
      </c>
      <c r="HS78" s="63"/>
      <c r="HT78" s="62" t="s">
        <v>37</v>
      </c>
      <c r="HU78" s="63"/>
      <c r="HV78" s="62" t="s">
        <v>37</v>
      </c>
      <c r="HW78" s="63"/>
      <c r="HX78" s="62" t="s">
        <v>37</v>
      </c>
      <c r="HY78" s="63"/>
      <c r="HZ78" s="62" t="s">
        <v>37</v>
      </c>
      <c r="IA78" s="63"/>
      <c r="IB78" s="62"/>
      <c r="IC78" s="63"/>
      <c r="ID78" s="62"/>
      <c r="IE78" s="63"/>
      <c r="IF78" s="62"/>
      <c r="IG78" s="63"/>
      <c r="IH78" s="62"/>
      <c r="II78" s="63"/>
      <c r="IJ78" s="62"/>
      <c r="IK78" s="63"/>
      <c r="IL78" s="62"/>
      <c r="IM78" s="63"/>
      <c r="IN78" s="62"/>
      <c r="IO78" s="63"/>
      <c r="IP78" s="62"/>
      <c r="IQ78" s="63"/>
      <c r="IR78" s="62"/>
      <c r="IS78" s="63"/>
      <c r="IT78" s="62"/>
      <c r="IU78" s="63"/>
      <c r="IV78" s="62"/>
      <c r="IW78" s="63"/>
      <c r="IX78" s="62"/>
      <c r="IY78" s="63"/>
      <c r="IZ78" s="62"/>
      <c r="JA78" s="63"/>
      <c r="JB78" s="62"/>
      <c r="JC78" s="63"/>
      <c r="JD78" s="62"/>
      <c r="JE78" s="63"/>
      <c r="JF78" s="62"/>
      <c r="JG78" s="63"/>
      <c r="JH78" s="62"/>
      <c r="JI78" s="63"/>
      <c r="JJ78" s="62"/>
      <c r="JK78" s="63"/>
      <c r="JL78" s="62"/>
      <c r="JM78" s="63"/>
      <c r="JN78" s="62"/>
      <c r="JO78" s="63"/>
      <c r="JP78" s="62"/>
      <c r="JQ78" s="63"/>
      <c r="JR78" s="62"/>
      <c r="JS78" s="63"/>
      <c r="JT78" s="62"/>
      <c r="JU78" s="63"/>
      <c r="JV78" s="62"/>
      <c r="JW78" s="63"/>
      <c r="JX78" s="62"/>
      <c r="JY78" s="63"/>
      <c r="JZ78" s="62"/>
      <c r="KA78" s="63"/>
      <c r="KB78" s="62"/>
      <c r="KC78" s="63"/>
      <c r="KD78" s="62"/>
      <c r="KE78" s="63"/>
      <c r="KF78" s="62"/>
      <c r="KG78" s="63"/>
      <c r="KH78" s="62"/>
      <c r="KI78" s="63"/>
      <c r="KJ78" s="62"/>
      <c r="KK78" s="63"/>
      <c r="KL78" s="62"/>
      <c r="KM78" s="63"/>
      <c r="KN78" s="62"/>
      <c r="KO78" s="63"/>
      <c r="KP78" s="62"/>
      <c r="KQ78" s="63"/>
      <c r="KR78" s="62"/>
      <c r="KS78" s="63"/>
      <c r="KT78" s="62"/>
      <c r="KU78" s="63"/>
      <c r="KV78" s="62"/>
      <c r="KW78" s="63"/>
      <c r="KX78" s="62"/>
      <c r="KY78" s="63"/>
      <c r="KZ78" s="62"/>
      <c r="LA78" s="63"/>
      <c r="LB78" s="62"/>
      <c r="LC78" s="63"/>
      <c r="LD78" s="62"/>
      <c r="LE78" s="63"/>
      <c r="LF78" s="62"/>
      <c r="LG78" s="63"/>
      <c r="LH78" s="62"/>
      <c r="LI78" s="63"/>
      <c r="LJ78" s="62"/>
      <c r="LK78" s="63"/>
      <c r="LL78" s="62"/>
      <c r="LM78" s="63"/>
      <c r="LN78" s="62"/>
      <c r="LO78" s="63"/>
      <c r="LP78" s="62"/>
      <c r="LQ78" s="63"/>
      <c r="LR78" s="62"/>
      <c r="LS78" s="63"/>
      <c r="LT78" s="62"/>
      <c r="LU78" s="63"/>
      <c r="LV78" s="62"/>
      <c r="LW78" s="63"/>
      <c r="LX78" s="62"/>
      <c r="LY78" s="63"/>
      <c r="LZ78" s="62"/>
      <c r="MA78" s="63"/>
      <c r="MB78" s="62"/>
      <c r="MC78" s="63"/>
      <c r="MD78" s="62"/>
      <c r="ME78" s="63"/>
      <c r="MF78" s="62"/>
      <c r="MG78" s="63"/>
      <c r="MH78" s="62"/>
      <c r="MI78" s="63"/>
      <c r="MJ78" s="62"/>
      <c r="MK78" s="63"/>
      <c r="ML78" s="62"/>
      <c r="MM78" s="63"/>
      <c r="MN78" s="62"/>
      <c r="MO78" s="63"/>
      <c r="MP78" s="62"/>
      <c r="MQ78" s="63"/>
      <c r="MR78" s="62"/>
      <c r="MS78" s="63"/>
      <c r="MT78" s="62"/>
      <c r="MU78" s="63"/>
      <c r="MV78" s="62"/>
      <c r="MW78" s="63"/>
      <c r="MX78" s="62"/>
      <c r="MY78" s="63"/>
      <c r="MZ78" s="62"/>
      <c r="NA78" s="63"/>
      <c r="NB78" s="62"/>
      <c r="NC78" s="63"/>
      <c r="ND78" s="62"/>
      <c r="NE78" s="63"/>
      <c r="NF78" s="62"/>
      <c r="NG78" s="63"/>
      <c r="NH78" s="62"/>
      <c r="NI78" s="63"/>
      <c r="NJ78" s="62"/>
      <c r="NK78" s="63"/>
      <c r="NL78" s="62"/>
      <c r="NM78" s="63"/>
      <c r="NN78" s="62"/>
      <c r="NO78" s="63"/>
      <c r="NP78" s="62"/>
      <c r="NQ78" s="63"/>
      <c r="NR78" s="62"/>
      <c r="NS78" s="63"/>
      <c r="NT78" s="62"/>
      <c r="NU78" s="63"/>
      <c r="NV78" s="62"/>
      <c r="NW78" s="63"/>
      <c r="NX78" s="62"/>
      <c r="NY78" s="63"/>
      <c r="NZ78" s="62"/>
      <c r="OA78" s="63"/>
      <c r="OB78" s="62"/>
      <c r="OC78" s="63"/>
      <c r="OD78" s="62"/>
      <c r="OE78" s="63"/>
      <c r="OF78" s="62"/>
      <c r="OG78" s="63"/>
      <c r="OH78" s="62"/>
      <c r="OI78" s="63"/>
      <c r="OJ78" s="62"/>
      <c r="OK78" s="63"/>
      <c r="OL78" s="62"/>
      <c r="OM78" s="63"/>
      <c r="ON78" s="62"/>
      <c r="OO78" s="63"/>
      <c r="OP78" s="62"/>
      <c r="OQ78" s="63"/>
      <c r="OR78" s="62"/>
      <c r="OS78" s="63"/>
      <c r="OT78" s="62"/>
      <c r="OU78" s="63"/>
      <c r="OV78" s="62"/>
      <c r="OW78" s="63"/>
      <c r="OX78" s="62"/>
      <c r="OY78" s="63"/>
      <c r="OZ78" s="62"/>
      <c r="PA78" s="63"/>
      <c r="PB78" s="62"/>
      <c r="PC78" s="63"/>
      <c r="PD78" s="62"/>
      <c r="PE78" s="63"/>
      <c r="PF78" s="62"/>
      <c r="PG78" s="63"/>
      <c r="PH78" s="62"/>
      <c r="PI78" s="63"/>
      <c r="PJ78" s="62"/>
      <c r="PK78" s="63"/>
      <c r="PL78" s="62"/>
      <c r="PM78" s="63"/>
      <c r="PN78" s="62"/>
      <c r="PO78" s="63"/>
      <c r="PP78" s="62"/>
      <c r="PQ78" s="63"/>
      <c r="PR78" s="62"/>
      <c r="PS78" s="63"/>
      <c r="PT78" s="62"/>
      <c r="PU78" s="63"/>
      <c r="PV78" s="62"/>
      <c r="PW78" s="63"/>
      <c r="PX78" s="62"/>
      <c r="PY78" s="63"/>
      <c r="PZ78" s="62"/>
      <c r="QA78" s="63"/>
      <c r="QB78" s="62"/>
      <c r="QC78" s="63"/>
      <c r="QD78" s="62"/>
      <c r="QE78" s="63"/>
      <c r="QF78" s="62"/>
      <c r="QG78" s="63"/>
      <c r="QH78" s="62"/>
      <c r="QI78" s="63"/>
      <c r="QJ78" s="62"/>
      <c r="QK78" s="63"/>
      <c r="QL78" s="62"/>
      <c r="QM78" s="63"/>
      <c r="QN78" s="62"/>
      <c r="QO78" s="63"/>
      <c r="QP78" s="62"/>
      <c r="QQ78" s="63"/>
      <c r="QR78" s="62"/>
      <c r="QS78" s="63"/>
      <c r="QT78" s="62"/>
      <c r="QU78" s="63"/>
      <c r="QV78" s="62"/>
      <c r="QW78" s="63"/>
      <c r="QX78" s="62"/>
      <c r="QY78" s="63"/>
      <c r="QZ78" s="62"/>
      <c r="RA78" s="63"/>
      <c r="RB78" s="62"/>
      <c r="RC78" s="63"/>
      <c r="RD78" s="31"/>
    </row>
    <row r="79" spans="1:472" s="5" customFormat="1" hidden="1" x14ac:dyDescent="0.25">
      <c r="A79" s="41">
        <v>2090</v>
      </c>
      <c r="B79" s="41" t="s">
        <v>866</v>
      </c>
      <c r="C79" s="41" t="s">
        <v>165</v>
      </c>
      <c r="D79" s="41">
        <v>78</v>
      </c>
      <c r="E79" s="42"/>
      <c r="F79" s="41" t="s">
        <v>1056</v>
      </c>
      <c r="I79" s="62"/>
      <c r="J79" s="63"/>
      <c r="K79" s="62"/>
      <c r="L79" s="63"/>
      <c r="M79" s="62"/>
      <c r="N79" s="63"/>
      <c r="O79" s="62"/>
      <c r="P79" s="63"/>
      <c r="Q79" s="62"/>
      <c r="R79" s="63"/>
      <c r="S79" s="62"/>
      <c r="T79" s="63"/>
      <c r="X79" s="62"/>
      <c r="Y79" s="63"/>
      <c r="Z79" s="62"/>
      <c r="AA79" s="63"/>
      <c r="AB79" s="62"/>
      <c r="AC79" s="63"/>
      <c r="AD79" s="62"/>
      <c r="AE79" s="63"/>
      <c r="AF79" s="62"/>
      <c r="AG79" s="63"/>
      <c r="AH79" s="62"/>
      <c r="AI79" s="63"/>
      <c r="AJ79" s="62"/>
      <c r="AK79" s="63"/>
      <c r="AL79" s="62"/>
      <c r="AM79" s="63"/>
      <c r="AN79" s="62"/>
      <c r="AO79" s="63"/>
      <c r="AP79" s="62"/>
      <c r="AQ79" s="63"/>
      <c r="AR79" s="62"/>
      <c r="AS79" s="63"/>
      <c r="AT79" s="62"/>
      <c r="AU79" s="63"/>
      <c r="AV79" s="62"/>
      <c r="AW79" s="63"/>
      <c r="AX79" s="62"/>
      <c r="AY79" s="63"/>
      <c r="AZ79" s="62"/>
      <c r="BA79" s="63"/>
      <c r="BB79" s="62"/>
      <c r="BC79" s="63"/>
      <c r="BD79" s="62"/>
      <c r="BE79" s="63"/>
      <c r="BF79" s="62"/>
      <c r="BG79" s="63"/>
      <c r="BH79" s="62"/>
      <c r="BI79" s="63"/>
      <c r="BJ79" s="62"/>
      <c r="BK79" s="63"/>
      <c r="BL79" s="62"/>
      <c r="BM79" s="63"/>
      <c r="BN79" s="62"/>
      <c r="BO79" s="63"/>
      <c r="BP79" s="62"/>
      <c r="BQ79" s="63"/>
      <c r="BR79" s="62"/>
      <c r="BS79" s="63"/>
      <c r="BT79" s="62"/>
      <c r="BU79" s="63"/>
      <c r="BV79" s="62"/>
      <c r="BW79" s="63"/>
      <c r="BX79" s="62"/>
      <c r="BY79" s="63"/>
      <c r="BZ79" s="62"/>
      <c r="CA79" s="63"/>
      <c r="CB79" s="62"/>
      <c r="CC79" s="63"/>
      <c r="CD79" s="62"/>
      <c r="CE79" s="63"/>
      <c r="CF79" s="62"/>
      <c r="CG79" s="63"/>
      <c r="CH79" s="62"/>
      <c r="CI79" s="63"/>
      <c r="CJ79" s="62"/>
      <c r="CK79" s="63"/>
      <c r="CL79" s="62"/>
      <c r="CM79" s="63"/>
      <c r="CN79" s="62"/>
      <c r="CO79" s="63"/>
      <c r="CP79" s="62"/>
      <c r="CQ79" s="63"/>
      <c r="CR79" s="62"/>
      <c r="CS79" s="63"/>
      <c r="CT79" s="62"/>
      <c r="CU79" s="63"/>
      <c r="CV79" s="62"/>
      <c r="CW79" s="63"/>
      <c r="CX79" s="62"/>
      <c r="CY79" s="63"/>
      <c r="CZ79" s="62"/>
      <c r="DA79" s="63"/>
      <c r="DB79" s="62"/>
      <c r="DC79" s="63"/>
      <c r="DD79" s="62"/>
      <c r="DE79" s="63"/>
      <c r="DF79" s="62"/>
      <c r="DG79" s="63"/>
      <c r="DH79" s="62"/>
      <c r="DI79" s="63"/>
      <c r="DJ79" s="62"/>
      <c r="DK79" s="63"/>
      <c r="DL79" s="62"/>
      <c r="DM79" s="63"/>
      <c r="DN79" s="62"/>
      <c r="DO79" s="63"/>
      <c r="DP79" s="62"/>
      <c r="DQ79" s="63"/>
      <c r="DR79" s="62"/>
      <c r="DS79" s="63"/>
      <c r="DT79" s="62"/>
      <c r="DU79" s="63"/>
      <c r="DV79" s="62"/>
      <c r="DW79" s="63"/>
      <c r="DX79" s="62"/>
      <c r="DY79" s="63"/>
      <c r="DZ79" s="62"/>
      <c r="EA79" s="63"/>
      <c r="EB79" s="62"/>
      <c r="EC79" s="63"/>
      <c r="ED79" s="62"/>
      <c r="EE79" s="63"/>
      <c r="EF79" s="62"/>
      <c r="EG79" s="63"/>
      <c r="EH79" s="62"/>
      <c r="EI79" s="63"/>
      <c r="EJ79" s="62"/>
      <c r="EK79" s="63"/>
      <c r="EL79" s="62"/>
      <c r="EM79" s="63"/>
      <c r="EN79" s="62"/>
      <c r="EO79" s="63"/>
      <c r="EP79" s="62"/>
      <c r="EQ79" s="63"/>
      <c r="ER79" s="62"/>
      <c r="ES79" s="63"/>
      <c r="ET79" s="62"/>
      <c r="EU79" s="63"/>
      <c r="EV79" s="62"/>
      <c r="EW79" s="63"/>
      <c r="EX79" s="62"/>
      <c r="EY79" s="63"/>
      <c r="EZ79" s="62"/>
      <c r="FA79" s="63"/>
      <c r="FB79" s="62"/>
      <c r="FC79" s="63"/>
      <c r="FD79" s="62"/>
      <c r="FE79" s="63"/>
      <c r="FF79" s="62"/>
      <c r="FG79" s="63"/>
      <c r="FH79" s="62"/>
      <c r="FI79" s="63"/>
      <c r="FJ79" s="62"/>
      <c r="FK79" s="63"/>
      <c r="FL79" s="62"/>
      <c r="FM79" s="63"/>
      <c r="FN79" s="62"/>
      <c r="FO79" s="63"/>
      <c r="FP79" s="62"/>
      <c r="FQ79" s="63"/>
      <c r="FR79" s="62"/>
      <c r="FS79" s="63"/>
      <c r="FT79" s="62"/>
      <c r="FU79" s="63"/>
      <c r="FV79" s="62"/>
      <c r="FW79" s="63"/>
      <c r="FX79" s="62"/>
      <c r="FY79" s="63"/>
      <c r="FZ79" s="62"/>
      <c r="GA79" s="63"/>
      <c r="GB79" s="62"/>
      <c r="GC79" s="63"/>
      <c r="GD79" s="62"/>
      <c r="GE79" s="63"/>
      <c r="GF79" s="62"/>
      <c r="GG79" s="63"/>
      <c r="GH79" s="62"/>
      <c r="GI79" s="63"/>
      <c r="GJ79" s="62"/>
      <c r="GK79" s="63"/>
      <c r="GL79" s="62"/>
      <c r="GM79" s="63"/>
      <c r="GN79" s="62"/>
      <c r="GO79" s="63"/>
      <c r="GP79" s="62"/>
      <c r="GQ79" s="63"/>
      <c r="GR79" s="31"/>
      <c r="GS79" s="32"/>
      <c r="GT79" s="62" t="s">
        <v>66</v>
      </c>
      <c r="GU79" s="63"/>
      <c r="GV79" s="62" t="s">
        <v>66</v>
      </c>
      <c r="GW79" s="63"/>
      <c r="GX79" s="62" t="s">
        <v>38</v>
      </c>
      <c r="GY79" s="63"/>
      <c r="GZ79" s="62" t="s">
        <v>38</v>
      </c>
      <c r="HA79" s="63"/>
      <c r="HB79" s="62" t="s">
        <v>36</v>
      </c>
      <c r="HC79" s="63"/>
      <c r="HD79" s="62" t="s">
        <v>36</v>
      </c>
      <c r="HE79" s="63"/>
      <c r="HF79" s="62" t="s">
        <v>36</v>
      </c>
      <c r="HG79" s="63"/>
      <c r="HH79" s="62" t="s">
        <v>36</v>
      </c>
      <c r="HI79" s="63"/>
      <c r="HJ79" s="62" t="s">
        <v>36</v>
      </c>
      <c r="HK79" s="63"/>
      <c r="HL79" s="62" t="s">
        <v>36</v>
      </c>
      <c r="HM79" s="63"/>
      <c r="HN79" s="62" t="s">
        <v>36</v>
      </c>
      <c r="HO79" s="63"/>
      <c r="HP79" s="62" t="s">
        <v>36</v>
      </c>
      <c r="HQ79" s="63"/>
      <c r="HR79" s="62" t="s">
        <v>37</v>
      </c>
      <c r="HS79" s="63"/>
      <c r="HT79" s="62" t="s">
        <v>37</v>
      </c>
      <c r="HU79" s="63"/>
      <c r="HV79" s="62" t="s">
        <v>37</v>
      </c>
      <c r="HW79" s="63"/>
      <c r="HX79" s="62" t="s">
        <v>37</v>
      </c>
      <c r="HY79" s="63"/>
      <c r="HZ79" s="62" t="s">
        <v>37</v>
      </c>
      <c r="IA79" s="63"/>
      <c r="IB79" s="62" t="s">
        <v>37</v>
      </c>
      <c r="IC79" s="63"/>
      <c r="ID79" s="62" t="s">
        <v>37</v>
      </c>
      <c r="IE79" s="63"/>
      <c r="IF79" s="62" t="s">
        <v>37</v>
      </c>
      <c r="IG79" s="63"/>
      <c r="IH79" s="62"/>
      <c r="II79" s="63"/>
      <c r="IJ79" s="62"/>
      <c r="IK79" s="63"/>
      <c r="IL79" s="62"/>
      <c r="IM79" s="63"/>
      <c r="IN79" s="62"/>
      <c r="IO79" s="63"/>
      <c r="IP79" s="62"/>
      <c r="IQ79" s="63"/>
      <c r="IR79" s="62"/>
      <c r="IS79" s="63"/>
      <c r="IT79" s="62"/>
      <c r="IU79" s="63"/>
      <c r="IV79" s="62"/>
      <c r="IW79" s="63"/>
      <c r="IX79" s="62"/>
      <c r="IY79" s="63"/>
      <c r="IZ79" s="62"/>
      <c r="JA79" s="63"/>
      <c r="JB79" s="62"/>
      <c r="JC79" s="63"/>
      <c r="JD79" s="62"/>
      <c r="JE79" s="63"/>
      <c r="JF79" s="62"/>
      <c r="JG79" s="63"/>
      <c r="JH79" s="62"/>
      <c r="JI79" s="63"/>
      <c r="JJ79" s="62"/>
      <c r="JK79" s="63"/>
      <c r="JL79" s="62"/>
      <c r="JM79" s="63"/>
      <c r="JN79" s="62"/>
      <c r="JO79" s="63"/>
      <c r="JP79" s="62"/>
      <c r="JQ79" s="63"/>
      <c r="JR79" s="62"/>
      <c r="JS79" s="63"/>
      <c r="JT79" s="62"/>
      <c r="JU79" s="63"/>
      <c r="JV79" s="62"/>
      <c r="JW79" s="63"/>
      <c r="JX79" s="62"/>
      <c r="JY79" s="63"/>
      <c r="JZ79" s="62"/>
      <c r="KA79" s="63"/>
      <c r="KB79" s="62"/>
      <c r="KC79" s="63"/>
      <c r="KD79" s="62"/>
      <c r="KE79" s="63"/>
      <c r="KF79" s="62"/>
      <c r="KG79" s="63"/>
      <c r="KH79" s="62"/>
      <c r="KI79" s="63"/>
      <c r="KJ79" s="62"/>
      <c r="KK79" s="63"/>
      <c r="KL79" s="62"/>
      <c r="KM79" s="63"/>
      <c r="KN79" s="62"/>
      <c r="KO79" s="63"/>
      <c r="KP79" s="62"/>
      <c r="KQ79" s="63"/>
      <c r="KR79" s="62"/>
      <c r="KS79" s="63"/>
      <c r="KT79" s="62"/>
      <c r="KU79" s="63"/>
      <c r="KV79" s="62"/>
      <c r="KW79" s="63"/>
      <c r="KX79" s="62"/>
      <c r="KY79" s="63"/>
      <c r="KZ79" s="62"/>
      <c r="LA79" s="63"/>
      <c r="LB79" s="62"/>
      <c r="LC79" s="63"/>
      <c r="LD79" s="62"/>
      <c r="LE79" s="63"/>
      <c r="LF79" s="62"/>
      <c r="LG79" s="63"/>
      <c r="LH79" s="62"/>
      <c r="LI79" s="63"/>
      <c r="LJ79" s="62"/>
      <c r="LK79" s="63"/>
      <c r="LL79" s="62"/>
      <c r="LM79" s="63"/>
      <c r="LN79" s="62"/>
      <c r="LO79" s="63"/>
      <c r="LP79" s="62"/>
      <c r="LQ79" s="63"/>
      <c r="LR79" s="62"/>
      <c r="LS79" s="63"/>
      <c r="LT79" s="62"/>
      <c r="LU79" s="63"/>
      <c r="LV79" s="62"/>
      <c r="LW79" s="63"/>
      <c r="LX79" s="62"/>
      <c r="LY79" s="63"/>
      <c r="LZ79" s="62"/>
      <c r="MA79" s="63"/>
      <c r="MB79" s="62"/>
      <c r="MC79" s="63"/>
      <c r="MD79" s="62"/>
      <c r="ME79" s="63"/>
      <c r="MF79" s="62"/>
      <c r="MG79" s="63"/>
      <c r="MH79" s="62"/>
      <c r="MI79" s="63"/>
      <c r="MJ79" s="62"/>
      <c r="MK79" s="63"/>
      <c r="ML79" s="62"/>
      <c r="MM79" s="63"/>
      <c r="MN79" s="62"/>
      <c r="MO79" s="63"/>
      <c r="MP79" s="62"/>
      <c r="MQ79" s="63"/>
      <c r="MR79" s="62"/>
      <c r="MS79" s="63"/>
      <c r="MT79" s="62"/>
      <c r="MU79" s="63"/>
      <c r="MV79" s="62"/>
      <c r="MW79" s="63"/>
      <c r="MX79" s="62"/>
      <c r="MY79" s="63"/>
      <c r="MZ79" s="62"/>
      <c r="NA79" s="63"/>
      <c r="NB79" s="62"/>
      <c r="NC79" s="63"/>
      <c r="ND79" s="62"/>
      <c r="NE79" s="63"/>
      <c r="NF79" s="62"/>
      <c r="NG79" s="63"/>
      <c r="NH79" s="62"/>
      <c r="NI79" s="63"/>
      <c r="NJ79" s="62"/>
      <c r="NK79" s="63"/>
      <c r="NL79" s="62"/>
      <c r="NM79" s="63"/>
      <c r="NN79" s="62"/>
      <c r="NO79" s="63"/>
      <c r="NP79" s="62"/>
      <c r="NQ79" s="63"/>
      <c r="NR79" s="62"/>
      <c r="NS79" s="63"/>
      <c r="NT79" s="62"/>
      <c r="NU79" s="63"/>
      <c r="NV79" s="62"/>
      <c r="NW79" s="63"/>
      <c r="NX79" s="62"/>
      <c r="NY79" s="63"/>
      <c r="NZ79" s="62"/>
      <c r="OA79" s="63"/>
      <c r="OB79" s="62"/>
      <c r="OC79" s="63"/>
      <c r="OD79" s="62"/>
      <c r="OE79" s="63"/>
      <c r="OF79" s="62"/>
      <c r="OG79" s="63"/>
      <c r="OH79" s="62"/>
      <c r="OI79" s="63"/>
      <c r="OJ79" s="62"/>
      <c r="OK79" s="63"/>
      <c r="OL79" s="62"/>
      <c r="OM79" s="63"/>
      <c r="ON79" s="62"/>
      <c r="OO79" s="63"/>
      <c r="OP79" s="62"/>
      <c r="OQ79" s="63"/>
      <c r="OR79" s="62"/>
      <c r="OS79" s="63"/>
      <c r="OT79" s="62"/>
      <c r="OU79" s="63"/>
      <c r="OV79" s="62"/>
      <c r="OW79" s="63"/>
      <c r="OX79" s="62"/>
      <c r="OY79" s="63"/>
      <c r="OZ79" s="62"/>
      <c r="PA79" s="63"/>
      <c r="PB79" s="62"/>
      <c r="PC79" s="63"/>
      <c r="PD79" s="62"/>
      <c r="PE79" s="63"/>
      <c r="PF79" s="62"/>
      <c r="PG79" s="63"/>
      <c r="PH79" s="62"/>
      <c r="PI79" s="63"/>
      <c r="PJ79" s="62"/>
      <c r="PK79" s="63"/>
      <c r="PL79" s="62"/>
      <c r="PM79" s="63"/>
      <c r="PN79" s="62"/>
      <c r="PO79" s="63"/>
      <c r="PP79" s="62"/>
      <c r="PQ79" s="63"/>
      <c r="PR79" s="62"/>
      <c r="PS79" s="63"/>
      <c r="PT79" s="62"/>
      <c r="PU79" s="63"/>
      <c r="PV79" s="62"/>
      <c r="PW79" s="63"/>
      <c r="PX79" s="62"/>
      <c r="PY79" s="63"/>
      <c r="PZ79" s="62"/>
      <c r="QA79" s="63"/>
      <c r="QB79" s="62"/>
      <c r="QC79" s="63"/>
      <c r="QD79" s="62"/>
      <c r="QE79" s="63"/>
      <c r="QF79" s="62"/>
      <c r="QG79" s="63"/>
      <c r="QH79" s="62"/>
      <c r="QI79" s="63"/>
      <c r="QJ79" s="62"/>
      <c r="QK79" s="63"/>
      <c r="QL79" s="62"/>
      <c r="QM79" s="63"/>
      <c r="QN79" s="62"/>
      <c r="QO79" s="63"/>
      <c r="QP79" s="62"/>
      <c r="QQ79" s="63"/>
      <c r="QR79" s="62"/>
      <c r="QS79" s="63"/>
      <c r="QT79" s="62"/>
      <c r="QU79" s="63"/>
      <c r="QV79" s="62"/>
      <c r="QW79" s="63"/>
      <c r="QX79" s="62"/>
      <c r="QY79" s="63"/>
      <c r="QZ79" s="62"/>
      <c r="RA79" s="63"/>
      <c r="RB79" s="62"/>
      <c r="RC79" s="63"/>
      <c r="RD79" s="31"/>
    </row>
    <row r="80" spans="1:472" s="5" customFormat="1" hidden="1" x14ac:dyDescent="0.25">
      <c r="A80" s="41">
        <v>2084</v>
      </c>
      <c r="B80" s="41" t="s">
        <v>792</v>
      </c>
      <c r="C80" s="41" t="s">
        <v>369</v>
      </c>
      <c r="D80" s="41">
        <v>195</v>
      </c>
      <c r="E80" s="42"/>
      <c r="F80" s="41" t="s">
        <v>818</v>
      </c>
      <c r="I80" s="62"/>
      <c r="J80" s="63"/>
      <c r="K80" s="62"/>
      <c r="L80" s="63"/>
      <c r="M80" s="62"/>
      <c r="N80" s="63"/>
      <c r="O80" s="62"/>
      <c r="P80" s="63"/>
      <c r="Q80" s="62"/>
      <c r="R80" s="63"/>
      <c r="S80" s="62"/>
      <c r="T80" s="63"/>
      <c r="X80" s="62"/>
      <c r="Y80" s="63"/>
      <c r="Z80" s="62"/>
      <c r="AA80" s="63"/>
      <c r="AB80" s="62"/>
      <c r="AC80" s="63"/>
      <c r="AD80" s="62"/>
      <c r="AE80" s="63"/>
      <c r="AF80" s="62"/>
      <c r="AG80" s="63"/>
      <c r="AH80" s="62"/>
      <c r="AI80" s="63"/>
      <c r="AJ80" s="62"/>
      <c r="AK80" s="63"/>
      <c r="AL80" s="62"/>
      <c r="AM80" s="63"/>
      <c r="AN80" s="62"/>
      <c r="AO80" s="63"/>
      <c r="AP80" s="62"/>
      <c r="AQ80" s="63"/>
      <c r="AR80" s="62"/>
      <c r="AS80" s="63"/>
      <c r="AT80" s="62"/>
      <c r="AU80" s="63"/>
      <c r="AV80" s="62"/>
      <c r="AW80" s="63"/>
      <c r="AX80" s="62"/>
      <c r="AY80" s="63"/>
      <c r="AZ80" s="62"/>
      <c r="BA80" s="63"/>
      <c r="BB80" s="62"/>
      <c r="BC80" s="63"/>
      <c r="BD80" s="62"/>
      <c r="BE80" s="63"/>
      <c r="BF80" s="62"/>
      <c r="BG80" s="63"/>
      <c r="BH80" s="62"/>
      <c r="BI80" s="63"/>
      <c r="BJ80" s="62"/>
      <c r="BK80" s="63"/>
      <c r="BL80" s="62"/>
      <c r="BM80" s="63"/>
      <c r="BN80" s="62"/>
      <c r="BO80" s="63"/>
      <c r="BP80" s="62"/>
      <c r="BQ80" s="63"/>
      <c r="BR80" s="62"/>
      <c r="BS80" s="63"/>
      <c r="BT80" s="62"/>
      <c r="BU80" s="63"/>
      <c r="BV80" s="62"/>
      <c r="BW80" s="63"/>
      <c r="BX80" s="62"/>
      <c r="BY80" s="63"/>
      <c r="BZ80" s="62"/>
      <c r="CA80" s="63"/>
      <c r="CB80" s="62"/>
      <c r="CC80" s="63"/>
      <c r="CD80" s="62"/>
      <c r="CE80" s="63"/>
      <c r="CF80" s="62"/>
      <c r="CG80" s="63"/>
      <c r="CH80" s="62"/>
      <c r="CI80" s="63"/>
      <c r="CJ80" s="62"/>
      <c r="CK80" s="63"/>
      <c r="CL80" s="62"/>
      <c r="CM80" s="63"/>
      <c r="CN80" s="62"/>
      <c r="CO80" s="63"/>
      <c r="CP80" s="62"/>
      <c r="CQ80" s="63"/>
      <c r="CR80" s="62"/>
      <c r="CS80" s="63"/>
      <c r="CT80" s="62"/>
      <c r="CU80" s="63"/>
      <c r="CV80" s="62"/>
      <c r="CW80" s="63"/>
      <c r="CX80" s="62"/>
      <c r="CY80" s="63"/>
      <c r="CZ80" s="62"/>
      <c r="DA80" s="63"/>
      <c r="DB80" s="62"/>
      <c r="DC80" s="63"/>
      <c r="DD80" s="62"/>
      <c r="DE80" s="63"/>
      <c r="DF80" s="62"/>
      <c r="DG80" s="63"/>
      <c r="DH80" s="62"/>
      <c r="DI80" s="63"/>
      <c r="DJ80" s="62"/>
      <c r="DK80" s="63"/>
      <c r="DL80" s="62"/>
      <c r="DM80" s="63"/>
      <c r="DN80" s="62"/>
      <c r="DO80" s="63"/>
      <c r="DP80" s="62"/>
      <c r="DQ80" s="63"/>
      <c r="DR80" s="62"/>
      <c r="DS80" s="63"/>
      <c r="DT80" s="62"/>
      <c r="DU80" s="63"/>
      <c r="DV80" s="62"/>
      <c r="DW80" s="63"/>
      <c r="DX80" s="62"/>
      <c r="DY80" s="63"/>
      <c r="DZ80" s="62"/>
      <c r="EA80" s="63"/>
      <c r="EB80" s="62"/>
      <c r="EC80" s="63"/>
      <c r="ED80" s="62"/>
      <c r="EE80" s="63"/>
      <c r="EF80" s="62"/>
      <c r="EG80" s="63"/>
      <c r="EH80" s="62"/>
      <c r="EI80" s="63"/>
      <c r="EJ80" s="62"/>
      <c r="EK80" s="63"/>
      <c r="EL80" s="62"/>
      <c r="EM80" s="63"/>
      <c r="EN80" s="62"/>
      <c r="EO80" s="63"/>
      <c r="EP80" s="62"/>
      <c r="EQ80" s="63"/>
      <c r="ER80" s="62"/>
      <c r="ES80" s="63"/>
      <c r="ET80" s="62"/>
      <c r="EU80" s="63"/>
      <c r="EV80" s="62"/>
      <c r="EW80" s="63"/>
      <c r="EX80" s="62"/>
      <c r="EY80" s="63"/>
      <c r="EZ80" s="62"/>
      <c r="FA80" s="63"/>
      <c r="FB80" s="62"/>
      <c r="FC80" s="63"/>
      <c r="FD80" s="62"/>
      <c r="FE80" s="63"/>
      <c r="FF80" s="62"/>
      <c r="FG80" s="63"/>
      <c r="FH80" s="62"/>
      <c r="FI80" s="63"/>
      <c r="FJ80" s="62"/>
      <c r="FK80" s="63"/>
      <c r="FL80" s="62"/>
      <c r="FM80" s="63"/>
      <c r="FN80" s="62"/>
      <c r="FO80" s="63"/>
      <c r="FP80" s="62"/>
      <c r="FQ80" s="63"/>
      <c r="FR80" s="62"/>
      <c r="FS80" s="63"/>
      <c r="FT80" s="62"/>
      <c r="FU80" s="63"/>
      <c r="FV80" s="62"/>
      <c r="FW80" s="63"/>
      <c r="FX80" s="62" t="s">
        <v>867</v>
      </c>
      <c r="FY80" s="63"/>
      <c r="FZ80" s="62" t="s">
        <v>867</v>
      </c>
      <c r="GA80" s="63"/>
      <c r="GB80" s="62" t="s">
        <v>867</v>
      </c>
      <c r="GC80" s="63"/>
      <c r="GD80" s="31"/>
      <c r="GE80" s="32" t="s">
        <v>66</v>
      </c>
      <c r="GF80" s="62" t="s">
        <v>66</v>
      </c>
      <c r="GG80" s="63"/>
      <c r="GH80" s="62" t="s">
        <v>66</v>
      </c>
      <c r="GI80" s="63"/>
      <c r="GJ80" s="62" t="s">
        <v>38</v>
      </c>
      <c r="GK80" s="63"/>
      <c r="GL80" s="62" t="s">
        <v>38</v>
      </c>
      <c r="GM80" s="63"/>
      <c r="GN80" s="62" t="s">
        <v>38</v>
      </c>
      <c r="GO80" s="63"/>
      <c r="GP80" s="62" t="s">
        <v>38</v>
      </c>
      <c r="GQ80" s="63"/>
      <c r="GR80" s="62" t="s">
        <v>38</v>
      </c>
      <c r="GS80" s="63"/>
      <c r="GT80" s="62" t="s">
        <v>36</v>
      </c>
      <c r="GU80" s="63"/>
      <c r="GV80" s="62" t="s">
        <v>36</v>
      </c>
      <c r="GW80" s="63"/>
      <c r="GX80" s="62" t="s">
        <v>36</v>
      </c>
      <c r="GY80" s="63"/>
      <c r="GZ80" s="62" t="s">
        <v>36</v>
      </c>
      <c r="HA80" s="63"/>
      <c r="HB80" s="62" t="s">
        <v>36</v>
      </c>
      <c r="HC80" s="63"/>
      <c r="HD80" s="62" t="s">
        <v>36</v>
      </c>
      <c r="HE80" s="63"/>
      <c r="HF80" s="62" t="s">
        <v>36</v>
      </c>
      <c r="HG80" s="63"/>
      <c r="HH80" s="62" t="s">
        <v>36</v>
      </c>
      <c r="HI80" s="63"/>
      <c r="HJ80" s="62" t="s">
        <v>36</v>
      </c>
      <c r="HK80" s="63"/>
      <c r="HL80" s="62" t="s">
        <v>36</v>
      </c>
      <c r="HM80" s="63"/>
      <c r="HN80" s="62" t="s">
        <v>36</v>
      </c>
      <c r="HO80" s="63"/>
      <c r="HP80" s="62" t="s">
        <v>36</v>
      </c>
      <c r="HQ80" s="63"/>
      <c r="HR80" s="62" t="s">
        <v>37</v>
      </c>
      <c r="HS80" s="63"/>
      <c r="HT80" s="62" t="s">
        <v>37</v>
      </c>
      <c r="HU80" s="63"/>
      <c r="HV80" s="62" t="s">
        <v>37</v>
      </c>
      <c r="HW80" s="63"/>
      <c r="HX80" s="62" t="s">
        <v>37</v>
      </c>
      <c r="HY80" s="63"/>
      <c r="HZ80" s="62" t="s">
        <v>37</v>
      </c>
      <c r="IA80" s="63"/>
      <c r="IB80" s="62" t="s">
        <v>37</v>
      </c>
      <c r="IC80" s="63"/>
      <c r="ID80" s="62" t="s">
        <v>37</v>
      </c>
      <c r="IE80" s="63"/>
      <c r="IF80" s="62" t="s">
        <v>37</v>
      </c>
      <c r="IG80" s="63"/>
      <c r="IH80" s="62"/>
      <c r="II80" s="63"/>
      <c r="IJ80" s="62"/>
      <c r="IK80" s="63"/>
      <c r="IL80" s="62"/>
      <c r="IM80" s="63"/>
      <c r="IN80" s="62"/>
      <c r="IO80" s="63"/>
      <c r="IP80" s="62"/>
      <c r="IQ80" s="63"/>
      <c r="IR80" s="62"/>
      <c r="IS80" s="63"/>
      <c r="IT80" s="62"/>
      <c r="IU80" s="63"/>
      <c r="IV80" s="62"/>
      <c r="IW80" s="63"/>
      <c r="IX80" s="62"/>
      <c r="IY80" s="63"/>
      <c r="IZ80" s="62"/>
      <c r="JA80" s="63"/>
      <c r="JB80" s="62"/>
      <c r="JC80" s="63"/>
      <c r="JD80" s="62"/>
      <c r="JE80" s="63"/>
      <c r="JF80" s="62"/>
      <c r="JG80" s="63"/>
      <c r="JH80" s="62"/>
      <c r="JI80" s="63"/>
      <c r="JJ80" s="62"/>
      <c r="JK80" s="63"/>
      <c r="JL80" s="62"/>
      <c r="JM80" s="63"/>
      <c r="JN80" s="62"/>
      <c r="JO80" s="63"/>
      <c r="JP80" s="62"/>
      <c r="JQ80" s="63"/>
      <c r="JR80" s="62"/>
      <c r="JS80" s="63"/>
      <c r="JT80" s="62"/>
      <c r="JU80" s="63"/>
      <c r="JV80" s="62"/>
      <c r="JW80" s="63"/>
      <c r="JX80" s="62"/>
      <c r="JY80" s="63"/>
      <c r="JZ80" s="62"/>
      <c r="KA80" s="63"/>
      <c r="KB80" s="62"/>
      <c r="KC80" s="63"/>
      <c r="KD80" s="62"/>
      <c r="KE80" s="63"/>
      <c r="KF80" s="62"/>
      <c r="KG80" s="63"/>
      <c r="KH80" s="62"/>
      <c r="KI80" s="63"/>
      <c r="KJ80" s="62"/>
      <c r="KK80" s="63"/>
      <c r="KL80" s="62"/>
      <c r="KM80" s="63"/>
      <c r="KN80" s="62"/>
      <c r="KO80" s="63"/>
      <c r="KP80" s="62"/>
      <c r="KQ80" s="63"/>
      <c r="KR80" s="62"/>
      <c r="KS80" s="63"/>
      <c r="KT80" s="62"/>
      <c r="KU80" s="63"/>
      <c r="KV80" s="62"/>
      <c r="KW80" s="63"/>
      <c r="KX80" s="62"/>
      <c r="KY80" s="63"/>
      <c r="KZ80" s="62"/>
      <c r="LA80" s="63"/>
      <c r="LB80" s="62"/>
      <c r="LC80" s="63"/>
      <c r="LD80" s="62"/>
      <c r="LE80" s="63"/>
      <c r="LF80" s="62"/>
      <c r="LG80" s="63"/>
      <c r="LH80" s="62"/>
      <c r="LI80" s="63"/>
      <c r="LJ80" s="62"/>
      <c r="LK80" s="63"/>
      <c r="LL80" s="62"/>
      <c r="LM80" s="63"/>
      <c r="LN80" s="62"/>
      <c r="LO80" s="63"/>
      <c r="LP80" s="62"/>
      <c r="LQ80" s="63"/>
      <c r="LR80" s="62"/>
      <c r="LS80" s="63"/>
      <c r="LT80" s="62"/>
      <c r="LU80" s="63"/>
      <c r="LV80" s="62"/>
      <c r="LW80" s="63"/>
      <c r="LX80" s="62"/>
      <c r="LY80" s="63"/>
      <c r="LZ80" s="62"/>
      <c r="MA80" s="63"/>
      <c r="MB80" s="62"/>
      <c r="MC80" s="63"/>
      <c r="MD80" s="62"/>
      <c r="ME80" s="63"/>
      <c r="MF80" s="62"/>
      <c r="MG80" s="63"/>
      <c r="MH80" s="62"/>
      <c r="MI80" s="63"/>
      <c r="MJ80" s="62"/>
      <c r="MK80" s="63"/>
      <c r="ML80" s="62"/>
      <c r="MM80" s="63"/>
      <c r="MN80" s="62"/>
      <c r="MO80" s="63"/>
      <c r="MP80" s="62"/>
      <c r="MQ80" s="63"/>
      <c r="MR80" s="62"/>
      <c r="MS80" s="63"/>
      <c r="MT80" s="62"/>
      <c r="MU80" s="63"/>
      <c r="MV80" s="62"/>
      <c r="MW80" s="63"/>
      <c r="MX80" s="62"/>
      <c r="MY80" s="63"/>
      <c r="MZ80" s="62"/>
      <c r="NA80" s="63"/>
      <c r="NB80" s="62"/>
      <c r="NC80" s="63"/>
      <c r="ND80" s="62"/>
      <c r="NE80" s="63"/>
      <c r="NF80" s="62"/>
      <c r="NG80" s="63"/>
      <c r="NH80" s="62"/>
      <c r="NI80" s="63"/>
      <c r="NJ80" s="62"/>
      <c r="NK80" s="63"/>
      <c r="NL80" s="62"/>
      <c r="NM80" s="63"/>
      <c r="NN80" s="62"/>
      <c r="NO80" s="63"/>
      <c r="NP80" s="62"/>
      <c r="NQ80" s="63"/>
      <c r="NR80" s="62"/>
      <c r="NS80" s="63"/>
      <c r="NT80" s="62"/>
      <c r="NU80" s="63"/>
      <c r="NV80" s="62"/>
      <c r="NW80" s="63"/>
      <c r="NX80" s="62"/>
      <c r="NY80" s="63"/>
      <c r="NZ80" s="62"/>
      <c r="OA80" s="63"/>
      <c r="OB80" s="62"/>
      <c r="OC80" s="63"/>
      <c r="OD80" s="62"/>
      <c r="OE80" s="63"/>
      <c r="OF80" s="62"/>
      <c r="OG80" s="63"/>
      <c r="OH80" s="62"/>
      <c r="OI80" s="63"/>
      <c r="OJ80" s="62"/>
      <c r="OK80" s="63"/>
      <c r="OL80" s="62"/>
      <c r="OM80" s="63"/>
      <c r="ON80" s="62"/>
      <c r="OO80" s="63"/>
      <c r="OP80" s="62"/>
      <c r="OQ80" s="63"/>
      <c r="OR80" s="62"/>
      <c r="OS80" s="63"/>
      <c r="OT80" s="62"/>
      <c r="OU80" s="63"/>
      <c r="OV80" s="62"/>
      <c r="OW80" s="63"/>
      <c r="OX80" s="62"/>
      <c r="OY80" s="63"/>
      <c r="OZ80" s="62"/>
      <c r="PA80" s="63"/>
      <c r="PB80" s="62"/>
      <c r="PC80" s="63"/>
      <c r="PD80" s="62"/>
      <c r="PE80" s="63"/>
      <c r="PF80" s="62"/>
      <c r="PG80" s="63"/>
      <c r="PH80" s="62"/>
      <c r="PI80" s="63"/>
      <c r="PJ80" s="62"/>
      <c r="PK80" s="63"/>
      <c r="PL80" s="62"/>
      <c r="PM80" s="63"/>
      <c r="PN80" s="62"/>
      <c r="PO80" s="63"/>
      <c r="PP80" s="62"/>
      <c r="PQ80" s="63"/>
      <c r="PR80" s="62"/>
      <c r="PS80" s="63"/>
      <c r="PT80" s="62"/>
      <c r="PU80" s="63"/>
      <c r="PV80" s="62"/>
      <c r="PW80" s="63"/>
      <c r="PX80" s="62"/>
      <c r="PY80" s="63"/>
      <c r="PZ80" s="62"/>
      <c r="QA80" s="63"/>
      <c r="QB80" s="62"/>
      <c r="QC80" s="63"/>
      <c r="QD80" s="62"/>
      <c r="QE80" s="63"/>
      <c r="QF80" s="62"/>
      <c r="QG80" s="63"/>
      <c r="QH80" s="62"/>
      <c r="QI80" s="63"/>
      <c r="QJ80" s="62"/>
      <c r="QK80" s="63"/>
      <c r="QL80" s="62"/>
      <c r="QM80" s="63"/>
      <c r="QN80" s="62"/>
      <c r="QO80" s="63"/>
      <c r="QP80" s="62"/>
      <c r="QQ80" s="63"/>
      <c r="QR80" s="62"/>
      <c r="QS80" s="63"/>
      <c r="QT80" s="62"/>
      <c r="QU80" s="63"/>
      <c r="QV80" s="62"/>
      <c r="QW80" s="63"/>
      <c r="QX80" s="62"/>
      <c r="QY80" s="63"/>
      <c r="QZ80" s="62"/>
      <c r="RA80" s="63"/>
      <c r="RB80" s="62"/>
      <c r="RC80" s="63"/>
      <c r="RD80" s="31"/>
    </row>
    <row r="81" spans="1:472" s="5" customFormat="1" hidden="1" x14ac:dyDescent="0.25">
      <c r="A81" s="41">
        <v>2077</v>
      </c>
      <c r="B81" s="41" t="s">
        <v>422</v>
      </c>
      <c r="C81" s="41" t="s">
        <v>444</v>
      </c>
      <c r="D81" s="41">
        <v>299</v>
      </c>
      <c r="E81" s="42"/>
      <c r="F81" s="41" t="s">
        <v>1073</v>
      </c>
      <c r="I81" s="62"/>
      <c r="J81" s="63"/>
      <c r="K81" s="62"/>
      <c r="L81" s="63"/>
      <c r="M81" s="62"/>
      <c r="N81" s="63"/>
      <c r="O81" s="62"/>
      <c r="P81" s="63"/>
      <c r="Q81" s="62"/>
      <c r="R81" s="63"/>
      <c r="S81" s="62"/>
      <c r="T81" s="63"/>
      <c r="X81" s="62"/>
      <c r="Y81" s="63"/>
      <c r="Z81" s="62"/>
      <c r="AA81" s="63"/>
      <c r="AB81" s="62"/>
      <c r="AC81" s="63"/>
      <c r="AD81" s="62"/>
      <c r="AE81" s="63"/>
      <c r="AF81" s="62"/>
      <c r="AG81" s="63"/>
      <c r="AH81" s="62"/>
      <c r="AI81" s="63"/>
      <c r="AJ81" s="62"/>
      <c r="AK81" s="63"/>
      <c r="AL81" s="62"/>
      <c r="AM81" s="63"/>
      <c r="AN81" s="62"/>
      <c r="AO81" s="63"/>
      <c r="AP81" s="62"/>
      <c r="AQ81" s="63"/>
      <c r="AR81" s="62"/>
      <c r="AS81" s="63"/>
      <c r="AT81" s="62"/>
      <c r="AU81" s="63"/>
      <c r="AV81" s="62"/>
      <c r="AW81" s="63"/>
      <c r="AX81" s="62"/>
      <c r="AY81" s="63"/>
      <c r="AZ81" s="62"/>
      <c r="BA81" s="63"/>
      <c r="BB81" s="62"/>
      <c r="BC81" s="63"/>
      <c r="BD81" s="62"/>
      <c r="BE81" s="63"/>
      <c r="BF81" s="62"/>
      <c r="BG81" s="63"/>
      <c r="BH81" s="62"/>
      <c r="BI81" s="63"/>
      <c r="BJ81" s="62"/>
      <c r="BK81" s="63"/>
      <c r="BL81" s="62"/>
      <c r="BM81" s="63"/>
      <c r="BN81" s="62"/>
      <c r="BO81" s="63"/>
      <c r="BP81" s="62"/>
      <c r="BQ81" s="63"/>
      <c r="BR81" s="62"/>
      <c r="BS81" s="63"/>
      <c r="BT81" s="62"/>
      <c r="BU81" s="63"/>
      <c r="BV81" s="62"/>
      <c r="BW81" s="63"/>
      <c r="BX81" s="62"/>
      <c r="BY81" s="63"/>
      <c r="BZ81" s="62"/>
      <c r="CA81" s="63"/>
      <c r="CB81" s="62"/>
      <c r="CC81" s="63"/>
      <c r="CD81" s="62"/>
      <c r="CE81" s="63"/>
      <c r="CF81" s="62"/>
      <c r="CG81" s="63"/>
      <c r="CH81" s="62"/>
      <c r="CI81" s="63"/>
      <c r="CJ81" s="62"/>
      <c r="CK81" s="63"/>
      <c r="CL81" s="62"/>
      <c r="CM81" s="63"/>
      <c r="CN81" s="62"/>
      <c r="CO81" s="63"/>
      <c r="CP81" s="62"/>
      <c r="CQ81" s="63"/>
      <c r="CR81" s="62"/>
      <c r="CS81" s="63"/>
      <c r="CT81" s="62"/>
      <c r="CU81" s="63"/>
      <c r="CV81" s="62"/>
      <c r="CW81" s="63"/>
      <c r="CX81" s="62"/>
      <c r="CY81" s="63"/>
      <c r="CZ81" s="62"/>
      <c r="DA81" s="63"/>
      <c r="DB81" s="62"/>
      <c r="DC81" s="63"/>
      <c r="DD81" s="62"/>
      <c r="DE81" s="63"/>
      <c r="DF81" s="62"/>
      <c r="DG81" s="63"/>
      <c r="DH81" s="62"/>
      <c r="DI81" s="63"/>
      <c r="DJ81" s="62"/>
      <c r="DK81" s="63"/>
      <c r="DL81" s="62"/>
      <c r="DM81" s="63"/>
      <c r="DN81" s="62"/>
      <c r="DO81" s="63"/>
      <c r="DP81" s="62"/>
      <c r="DQ81" s="63"/>
      <c r="DR81" s="62"/>
      <c r="DS81" s="63"/>
      <c r="DT81" s="62"/>
      <c r="DU81" s="63"/>
      <c r="DV81" s="62"/>
      <c r="DW81" s="63"/>
      <c r="DX81" s="62"/>
      <c r="DY81" s="63"/>
      <c r="DZ81" s="62"/>
      <c r="EA81" s="63"/>
      <c r="EB81" s="62"/>
      <c r="EC81" s="63"/>
      <c r="ED81" s="62"/>
      <c r="EE81" s="63"/>
      <c r="EF81" s="62"/>
      <c r="EG81" s="63"/>
      <c r="EH81" s="62"/>
      <c r="EI81" s="63"/>
      <c r="EJ81" s="62"/>
      <c r="EK81" s="63"/>
      <c r="EL81" s="62"/>
      <c r="EM81" s="63"/>
      <c r="EN81" s="62"/>
      <c r="EO81" s="63"/>
      <c r="EP81" s="62"/>
      <c r="EQ81" s="63"/>
      <c r="ER81" s="62"/>
      <c r="ES81" s="63"/>
      <c r="ET81" s="62"/>
      <c r="EU81" s="63"/>
      <c r="EV81" s="62"/>
      <c r="EW81" s="63"/>
      <c r="EX81" s="62"/>
      <c r="EY81" s="63"/>
      <c r="EZ81" s="62"/>
      <c r="FA81" s="63"/>
      <c r="FB81" s="62"/>
      <c r="FC81" s="63"/>
      <c r="FD81" s="62"/>
      <c r="FE81" s="63"/>
      <c r="FF81" s="62"/>
      <c r="FG81" s="63"/>
      <c r="FH81" s="62"/>
      <c r="FI81" s="63"/>
      <c r="FJ81" s="62"/>
      <c r="FK81" s="63"/>
      <c r="FL81" s="62"/>
      <c r="FM81" s="63"/>
      <c r="FN81" s="62"/>
      <c r="FO81" s="63"/>
      <c r="FP81" s="62"/>
      <c r="FQ81" s="63"/>
      <c r="FR81" s="62"/>
      <c r="FS81" s="63"/>
      <c r="FT81" s="62"/>
      <c r="FU81" s="63"/>
      <c r="FV81" s="62"/>
      <c r="FW81" s="63"/>
      <c r="FX81" s="62"/>
      <c r="FY81" s="63"/>
      <c r="FZ81" s="62"/>
      <c r="GA81" s="63"/>
      <c r="GB81" s="62"/>
      <c r="GC81" s="63"/>
      <c r="GD81" s="62"/>
      <c r="GE81" s="63"/>
      <c r="GF81" s="62"/>
      <c r="GG81" s="63"/>
      <c r="GH81" s="62"/>
      <c r="GI81" s="63"/>
      <c r="GJ81" s="62"/>
      <c r="GK81" s="63"/>
      <c r="GL81" s="62"/>
      <c r="GM81" s="63"/>
      <c r="GN81" s="62"/>
      <c r="GO81" s="63"/>
      <c r="GP81" s="62" t="s">
        <v>66</v>
      </c>
      <c r="GQ81" s="63"/>
      <c r="GR81" s="62" t="s">
        <v>66</v>
      </c>
      <c r="GS81" s="63"/>
      <c r="GT81" s="62"/>
      <c r="GU81" s="63"/>
      <c r="GV81" s="62" t="s">
        <v>66</v>
      </c>
      <c r="GW81" s="63"/>
      <c r="GX81" s="62" t="s">
        <v>66</v>
      </c>
      <c r="GY81" s="63"/>
      <c r="GZ81" s="62" t="s">
        <v>66</v>
      </c>
      <c r="HA81" s="63"/>
      <c r="HB81" s="62" t="s">
        <v>36</v>
      </c>
      <c r="HC81" s="63"/>
      <c r="HD81" s="62" t="s">
        <v>36</v>
      </c>
      <c r="HE81" s="63"/>
      <c r="HF81" s="62" t="s">
        <v>36</v>
      </c>
      <c r="HG81" s="63"/>
      <c r="HH81" s="62" t="s">
        <v>36</v>
      </c>
      <c r="HI81" s="63"/>
      <c r="HJ81" s="62" t="s">
        <v>36</v>
      </c>
      <c r="HK81" s="63"/>
      <c r="HL81" s="62" t="s">
        <v>36</v>
      </c>
      <c r="HM81" s="63"/>
      <c r="HN81" s="62" t="s">
        <v>36</v>
      </c>
      <c r="HO81" s="63"/>
      <c r="HP81" s="62" t="s">
        <v>36</v>
      </c>
      <c r="HQ81" s="63"/>
      <c r="HR81" s="62" t="s">
        <v>36</v>
      </c>
      <c r="HS81" s="63"/>
      <c r="HT81" s="62" t="s">
        <v>36</v>
      </c>
      <c r="HU81" s="63"/>
      <c r="HV81" s="62" t="s">
        <v>36</v>
      </c>
      <c r="HW81" s="63"/>
      <c r="HX81" s="62" t="s">
        <v>37</v>
      </c>
      <c r="HY81" s="63"/>
      <c r="HZ81" s="62" t="s">
        <v>37</v>
      </c>
      <c r="IA81" s="63"/>
      <c r="IB81" s="62" t="s">
        <v>37</v>
      </c>
      <c r="IC81" s="63"/>
      <c r="ID81" s="62" t="s">
        <v>37</v>
      </c>
      <c r="IE81" s="63"/>
      <c r="IF81" s="62"/>
      <c r="IG81" s="63"/>
      <c r="IH81" s="62"/>
      <c r="II81" s="63"/>
      <c r="IJ81" s="62"/>
      <c r="IK81" s="63"/>
      <c r="IL81" s="62"/>
      <c r="IM81" s="63"/>
      <c r="IN81" s="62"/>
      <c r="IO81" s="63"/>
      <c r="IP81" s="62"/>
      <c r="IQ81" s="63"/>
      <c r="IR81" s="62"/>
      <c r="IS81" s="63"/>
      <c r="IT81" s="62"/>
      <c r="IU81" s="63"/>
      <c r="IV81" s="62"/>
      <c r="IW81" s="63"/>
      <c r="IX81" s="62"/>
      <c r="IY81" s="63"/>
      <c r="IZ81" s="62"/>
      <c r="JA81" s="63"/>
      <c r="JB81" s="62"/>
      <c r="JC81" s="63"/>
      <c r="JD81" s="62"/>
      <c r="JE81" s="63"/>
      <c r="JF81" s="62"/>
      <c r="JG81" s="63"/>
      <c r="JH81" s="62"/>
      <c r="JI81" s="63"/>
      <c r="JJ81" s="62"/>
      <c r="JK81" s="63"/>
      <c r="JL81" s="62"/>
      <c r="JM81" s="63"/>
      <c r="JN81" s="62"/>
      <c r="JO81" s="63"/>
      <c r="JP81" s="62"/>
      <c r="JQ81" s="63"/>
      <c r="JR81" s="62"/>
      <c r="JS81" s="63"/>
      <c r="JT81" s="62"/>
      <c r="JU81" s="63"/>
      <c r="JV81" s="62"/>
      <c r="JW81" s="63"/>
      <c r="JX81" s="62"/>
      <c r="JY81" s="63"/>
      <c r="JZ81" s="62"/>
      <c r="KA81" s="63"/>
      <c r="KB81" s="62"/>
      <c r="KC81" s="63"/>
      <c r="KD81" s="62"/>
      <c r="KE81" s="63"/>
      <c r="KF81" s="62"/>
      <c r="KG81" s="63"/>
      <c r="KH81" s="62"/>
      <c r="KI81" s="63"/>
      <c r="KJ81" s="62"/>
      <c r="KK81" s="63"/>
      <c r="KL81" s="62"/>
      <c r="KM81" s="63"/>
      <c r="KN81" s="62"/>
      <c r="KO81" s="63"/>
      <c r="KP81" s="62"/>
      <c r="KQ81" s="63"/>
      <c r="KR81" s="62"/>
      <c r="KS81" s="63"/>
      <c r="KT81" s="62"/>
      <c r="KU81" s="63"/>
      <c r="KV81" s="62"/>
      <c r="KW81" s="63"/>
      <c r="KX81" s="62"/>
      <c r="KY81" s="63"/>
      <c r="KZ81" s="62"/>
      <c r="LA81" s="63"/>
      <c r="LB81" s="62"/>
      <c r="LC81" s="63"/>
      <c r="LD81" s="62"/>
      <c r="LE81" s="63"/>
      <c r="LF81" s="62"/>
      <c r="LG81" s="63"/>
      <c r="LH81" s="62"/>
      <c r="LI81" s="63"/>
      <c r="LJ81" s="62"/>
      <c r="LK81" s="63"/>
      <c r="LL81" s="62"/>
      <c r="LM81" s="63"/>
      <c r="LN81" s="62"/>
      <c r="LO81" s="63"/>
      <c r="LP81" s="62"/>
      <c r="LQ81" s="63"/>
      <c r="LR81" s="62"/>
      <c r="LS81" s="63"/>
      <c r="LT81" s="62"/>
      <c r="LU81" s="63"/>
      <c r="LV81" s="62"/>
      <c r="LW81" s="63"/>
      <c r="LX81" s="62"/>
      <c r="LY81" s="63"/>
      <c r="LZ81" s="62"/>
      <c r="MA81" s="63"/>
      <c r="MB81" s="62"/>
      <c r="MC81" s="63"/>
      <c r="MD81" s="62"/>
      <c r="ME81" s="63"/>
      <c r="MF81" s="62"/>
      <c r="MG81" s="63"/>
      <c r="MH81" s="62"/>
      <c r="MI81" s="63"/>
      <c r="MJ81" s="62"/>
      <c r="MK81" s="63"/>
      <c r="ML81" s="62"/>
      <c r="MM81" s="63"/>
      <c r="MN81" s="62"/>
      <c r="MO81" s="63"/>
      <c r="MP81" s="62"/>
      <c r="MQ81" s="63"/>
      <c r="MR81" s="62"/>
      <c r="MS81" s="63"/>
      <c r="MT81" s="62"/>
      <c r="MU81" s="63"/>
      <c r="MV81" s="62"/>
      <c r="MW81" s="63"/>
      <c r="MX81" s="62"/>
      <c r="MY81" s="63"/>
      <c r="MZ81" s="62"/>
      <c r="NA81" s="63"/>
      <c r="NB81" s="62"/>
      <c r="NC81" s="63"/>
      <c r="ND81" s="62"/>
      <c r="NE81" s="63"/>
      <c r="NF81" s="62"/>
      <c r="NG81" s="63"/>
      <c r="NH81" s="62"/>
      <c r="NI81" s="63"/>
      <c r="NJ81" s="62"/>
      <c r="NK81" s="63"/>
      <c r="NL81" s="62"/>
      <c r="NM81" s="63"/>
      <c r="NN81" s="62"/>
      <c r="NO81" s="63"/>
      <c r="NP81" s="62"/>
      <c r="NQ81" s="63"/>
      <c r="NR81" s="62"/>
      <c r="NS81" s="63"/>
      <c r="NT81" s="62"/>
      <c r="NU81" s="63"/>
      <c r="NV81" s="62"/>
      <c r="NW81" s="63"/>
      <c r="NX81" s="62"/>
      <c r="NY81" s="63"/>
      <c r="NZ81" s="62"/>
      <c r="OA81" s="63"/>
      <c r="OB81" s="62"/>
      <c r="OC81" s="63"/>
      <c r="OD81" s="62"/>
      <c r="OE81" s="63"/>
      <c r="OF81" s="62"/>
      <c r="OG81" s="63"/>
      <c r="OH81" s="62"/>
      <c r="OI81" s="63"/>
      <c r="OJ81" s="62"/>
      <c r="OK81" s="63"/>
      <c r="OL81" s="62"/>
      <c r="OM81" s="63"/>
      <c r="ON81" s="62"/>
      <c r="OO81" s="63"/>
      <c r="OP81" s="62"/>
      <c r="OQ81" s="63"/>
      <c r="OR81" s="62"/>
      <c r="OS81" s="63"/>
      <c r="OT81" s="62"/>
      <c r="OU81" s="63"/>
      <c r="OV81" s="62"/>
      <c r="OW81" s="63"/>
      <c r="OX81" s="62"/>
      <c r="OY81" s="63"/>
      <c r="OZ81" s="62"/>
      <c r="PA81" s="63"/>
      <c r="PB81" s="62"/>
      <c r="PC81" s="63"/>
      <c r="PD81" s="62"/>
      <c r="PE81" s="63"/>
      <c r="PF81" s="62"/>
      <c r="PG81" s="63"/>
      <c r="PH81" s="62"/>
      <c r="PI81" s="63"/>
      <c r="PJ81" s="62"/>
      <c r="PK81" s="63"/>
      <c r="PL81" s="62"/>
      <c r="PM81" s="63"/>
      <c r="PN81" s="62"/>
      <c r="PO81" s="63"/>
      <c r="PP81" s="62"/>
      <c r="PQ81" s="63"/>
      <c r="PR81" s="62"/>
      <c r="PS81" s="63"/>
      <c r="PT81" s="62"/>
      <c r="PU81" s="63"/>
      <c r="PV81" s="62"/>
      <c r="PW81" s="63"/>
      <c r="PX81" s="62"/>
      <c r="PY81" s="63"/>
      <c r="PZ81" s="62"/>
      <c r="QA81" s="63"/>
      <c r="QB81" s="62"/>
      <c r="QC81" s="63"/>
      <c r="QD81" s="62"/>
      <c r="QE81" s="63"/>
      <c r="QF81" s="62"/>
      <c r="QG81" s="63"/>
      <c r="QH81" s="62"/>
      <c r="QI81" s="63"/>
      <c r="QJ81" s="62"/>
      <c r="QK81" s="63"/>
      <c r="QL81" s="62"/>
      <c r="QM81" s="63"/>
      <c r="QN81" s="62"/>
      <c r="QO81" s="63"/>
      <c r="QP81" s="62"/>
      <c r="QQ81" s="63"/>
      <c r="QR81" s="62"/>
      <c r="QS81" s="63"/>
      <c r="QT81" s="62"/>
      <c r="QU81" s="63"/>
      <c r="QV81" s="62"/>
      <c r="QW81" s="63"/>
      <c r="QX81" s="62"/>
      <c r="QY81" s="63"/>
      <c r="QZ81" s="62"/>
      <c r="RA81" s="63"/>
      <c r="RB81" s="62"/>
      <c r="RC81" s="63"/>
      <c r="RD81" s="31"/>
    </row>
    <row r="82" spans="1:472" s="5" customFormat="1" hidden="1" x14ac:dyDescent="0.25">
      <c r="A82" s="41">
        <v>2093</v>
      </c>
      <c r="B82" s="41" t="s">
        <v>1064</v>
      </c>
      <c r="C82" s="41" t="s">
        <v>599</v>
      </c>
      <c r="D82" s="41">
        <v>51</v>
      </c>
      <c r="E82" s="42"/>
      <c r="F82" s="41" t="s">
        <v>834</v>
      </c>
      <c r="I82" s="62"/>
      <c r="J82" s="63"/>
      <c r="K82" s="62"/>
      <c r="L82" s="63"/>
      <c r="M82" s="62"/>
      <c r="N82" s="63"/>
      <c r="O82" s="62"/>
      <c r="P82" s="63"/>
      <c r="Q82" s="62"/>
      <c r="R82" s="63"/>
      <c r="S82" s="62"/>
      <c r="T82" s="63"/>
      <c r="X82" s="62"/>
      <c r="Y82" s="63"/>
      <c r="Z82" s="62"/>
      <c r="AA82" s="63"/>
      <c r="AB82" s="62"/>
      <c r="AC82" s="63"/>
      <c r="AD82" s="62"/>
      <c r="AE82" s="63"/>
      <c r="AF82" s="62"/>
      <c r="AG82" s="63"/>
      <c r="AH82" s="62"/>
      <c r="AI82" s="63"/>
      <c r="AJ82" s="62"/>
      <c r="AK82" s="63"/>
      <c r="AL82" s="62"/>
      <c r="AM82" s="63"/>
      <c r="AN82" s="62"/>
      <c r="AO82" s="63"/>
      <c r="AP82" s="62"/>
      <c r="AQ82" s="63"/>
      <c r="AR82" s="62"/>
      <c r="AS82" s="63"/>
      <c r="AT82" s="62"/>
      <c r="AU82" s="63"/>
      <c r="AV82" s="62"/>
      <c r="AW82" s="63"/>
      <c r="AX82" s="62"/>
      <c r="AY82" s="63"/>
      <c r="AZ82" s="62"/>
      <c r="BA82" s="63"/>
      <c r="BB82" s="62"/>
      <c r="BC82" s="63"/>
      <c r="BD82" s="62"/>
      <c r="BE82" s="63"/>
      <c r="BF82" s="62"/>
      <c r="BG82" s="63"/>
      <c r="BH82" s="62"/>
      <c r="BI82" s="63"/>
      <c r="BJ82" s="62"/>
      <c r="BK82" s="63"/>
      <c r="BL82" s="62"/>
      <c r="BM82" s="63"/>
      <c r="BN82" s="62"/>
      <c r="BO82" s="63"/>
      <c r="BP82" s="62"/>
      <c r="BQ82" s="63"/>
      <c r="BR82" s="62"/>
      <c r="BS82" s="63"/>
      <c r="BT82" s="62"/>
      <c r="BU82" s="63"/>
      <c r="BV82" s="62"/>
      <c r="BW82" s="63"/>
      <c r="BX82" s="62"/>
      <c r="BY82" s="63"/>
      <c r="BZ82" s="62"/>
      <c r="CA82" s="63"/>
      <c r="CB82" s="62"/>
      <c r="CC82" s="63"/>
      <c r="CD82" s="62"/>
      <c r="CE82" s="63"/>
      <c r="CF82" s="62"/>
      <c r="CG82" s="63"/>
      <c r="CH82" s="62"/>
      <c r="CI82" s="63"/>
      <c r="CJ82" s="62"/>
      <c r="CK82" s="63"/>
      <c r="CL82" s="62"/>
      <c r="CM82" s="63"/>
      <c r="CN82" s="62"/>
      <c r="CO82" s="63"/>
      <c r="CP82" s="62"/>
      <c r="CQ82" s="63"/>
      <c r="CR82" s="62"/>
      <c r="CS82" s="63"/>
      <c r="CT82" s="62"/>
      <c r="CU82" s="63"/>
      <c r="CV82" s="62"/>
      <c r="CW82" s="63"/>
      <c r="CX82" s="62"/>
      <c r="CY82" s="63"/>
      <c r="CZ82" s="62"/>
      <c r="DA82" s="63"/>
      <c r="DB82" s="62"/>
      <c r="DC82" s="63"/>
      <c r="DD82" s="62"/>
      <c r="DE82" s="63"/>
      <c r="DF82" s="62"/>
      <c r="DG82" s="63"/>
      <c r="DH82" s="62"/>
      <c r="DI82" s="63"/>
      <c r="DJ82" s="62"/>
      <c r="DK82" s="63"/>
      <c r="DL82" s="62"/>
      <c r="DM82" s="63"/>
      <c r="DN82" s="62"/>
      <c r="DO82" s="63"/>
      <c r="DP82" s="62"/>
      <c r="DQ82" s="63"/>
      <c r="DR82" s="62"/>
      <c r="DS82" s="63"/>
      <c r="DT82" s="62"/>
      <c r="DU82" s="63"/>
      <c r="DV82" s="62"/>
      <c r="DW82" s="63"/>
      <c r="DX82" s="62"/>
      <c r="DY82" s="63"/>
      <c r="DZ82" s="62"/>
      <c r="EA82" s="63"/>
      <c r="EB82" s="62"/>
      <c r="EC82" s="63"/>
      <c r="ED82" s="62"/>
      <c r="EE82" s="63"/>
      <c r="EF82" s="62"/>
      <c r="EG82" s="63"/>
      <c r="EH82" s="62"/>
      <c r="EI82" s="63"/>
      <c r="EJ82" s="62"/>
      <c r="EK82" s="63"/>
      <c r="EL82" s="62"/>
      <c r="EM82" s="63"/>
      <c r="EN82" s="62"/>
      <c r="EO82" s="63"/>
      <c r="EP82" s="62"/>
      <c r="EQ82" s="63"/>
      <c r="ER82" s="62"/>
      <c r="ES82" s="63"/>
      <c r="ET82" s="62"/>
      <c r="EU82" s="63"/>
      <c r="EV82" s="62"/>
      <c r="EW82" s="63"/>
      <c r="EX82" s="62"/>
      <c r="EY82" s="63"/>
      <c r="EZ82" s="62"/>
      <c r="FA82" s="63"/>
      <c r="FB82" s="62"/>
      <c r="FC82" s="63"/>
      <c r="FD82" s="62"/>
      <c r="FE82" s="63"/>
      <c r="FF82" s="62"/>
      <c r="FG82" s="63"/>
      <c r="FH82" s="62"/>
      <c r="FI82" s="63"/>
      <c r="FJ82" s="62"/>
      <c r="FK82" s="63"/>
      <c r="FL82" s="62"/>
      <c r="FM82" s="63"/>
      <c r="FN82" s="62"/>
      <c r="FO82" s="63"/>
      <c r="FP82" s="62"/>
      <c r="FQ82" s="63"/>
      <c r="FR82" s="62"/>
      <c r="FS82" s="63"/>
      <c r="FT82" s="62"/>
      <c r="FU82" s="63"/>
      <c r="FV82" s="62"/>
      <c r="FW82" s="63"/>
      <c r="FX82" s="62"/>
      <c r="FY82" s="63"/>
      <c r="FZ82" s="62"/>
      <c r="GA82" s="63"/>
      <c r="GB82" s="62"/>
      <c r="GC82" s="63"/>
      <c r="GD82" s="62"/>
      <c r="GE82" s="63"/>
      <c r="GF82" s="62"/>
      <c r="GG82" s="63"/>
      <c r="GH82" s="62"/>
      <c r="GI82" s="63"/>
      <c r="GJ82" s="62"/>
      <c r="GK82" s="63"/>
      <c r="GL82" s="62"/>
      <c r="GM82" s="63"/>
      <c r="GN82" s="62"/>
      <c r="GO82" s="63"/>
      <c r="GP82" s="62"/>
      <c r="GQ82" s="63"/>
      <c r="GR82" s="62"/>
      <c r="GS82" s="63"/>
      <c r="GT82" s="62" t="s">
        <v>66</v>
      </c>
      <c r="GU82" s="63"/>
      <c r="GV82" s="62" t="s">
        <v>66</v>
      </c>
      <c r="GW82" s="63"/>
      <c r="GX82" s="62"/>
      <c r="GY82" s="63"/>
      <c r="GZ82" s="62" t="s">
        <v>704</v>
      </c>
      <c r="HA82" s="63"/>
      <c r="HB82" s="62" t="s">
        <v>704</v>
      </c>
      <c r="HC82" s="63"/>
      <c r="HD82" s="62" t="s">
        <v>704</v>
      </c>
      <c r="HE82" s="63"/>
      <c r="HF82" s="62" t="s">
        <v>704</v>
      </c>
      <c r="HG82" s="63"/>
      <c r="HH82" s="62" t="s">
        <v>36</v>
      </c>
      <c r="HI82" s="63"/>
      <c r="HJ82" s="62" t="s">
        <v>36</v>
      </c>
      <c r="HK82" s="63"/>
      <c r="HL82" s="62" t="s">
        <v>36</v>
      </c>
      <c r="HM82" s="63"/>
      <c r="HN82" s="62" t="s">
        <v>36</v>
      </c>
      <c r="HO82" s="63"/>
      <c r="HP82" s="62" t="s">
        <v>36</v>
      </c>
      <c r="HQ82" s="63"/>
      <c r="HR82" s="62" t="s">
        <v>36</v>
      </c>
      <c r="HS82" s="63"/>
      <c r="HT82" s="62" t="s">
        <v>36</v>
      </c>
      <c r="HU82" s="63"/>
      <c r="HV82" s="62" t="s">
        <v>36</v>
      </c>
      <c r="HW82" s="63"/>
      <c r="HX82" s="62" t="s">
        <v>36</v>
      </c>
      <c r="HY82" s="63"/>
      <c r="HZ82" s="62" t="s">
        <v>37</v>
      </c>
      <c r="IA82" s="63"/>
      <c r="IB82" s="62" t="s">
        <v>37</v>
      </c>
      <c r="IC82" s="63"/>
      <c r="ID82" s="62" t="s">
        <v>37</v>
      </c>
      <c r="IE82" s="63"/>
      <c r="IF82" s="62" t="s">
        <v>37</v>
      </c>
      <c r="IG82" s="63"/>
      <c r="IH82" s="62" t="s">
        <v>37</v>
      </c>
      <c r="II82" s="63"/>
      <c r="IJ82" s="62" t="s">
        <v>37</v>
      </c>
      <c r="IK82" s="63"/>
      <c r="IL82" s="62" t="s">
        <v>37</v>
      </c>
      <c r="IM82" s="63"/>
      <c r="IN82" s="62" t="s">
        <v>37</v>
      </c>
      <c r="IO82" s="63"/>
      <c r="IP82" s="62"/>
      <c r="IQ82" s="63"/>
      <c r="IR82" s="62"/>
      <c r="IS82" s="63"/>
      <c r="IT82" s="62"/>
      <c r="IU82" s="63"/>
      <c r="IV82" s="62"/>
      <c r="IW82" s="63"/>
      <c r="IX82" s="62"/>
      <c r="IY82" s="63"/>
      <c r="IZ82" s="62"/>
      <c r="JA82" s="63"/>
      <c r="JB82" s="62"/>
      <c r="JC82" s="63"/>
      <c r="JD82" s="62"/>
      <c r="JE82" s="63"/>
      <c r="JF82" s="62"/>
      <c r="JG82" s="63"/>
      <c r="JH82" s="62"/>
      <c r="JI82" s="63"/>
      <c r="JJ82" s="62"/>
      <c r="JK82" s="63"/>
      <c r="JL82" s="62"/>
      <c r="JM82" s="63"/>
      <c r="JN82" s="62"/>
      <c r="JO82" s="63"/>
      <c r="JP82" s="62"/>
      <c r="JQ82" s="63"/>
      <c r="JR82" s="62"/>
      <c r="JS82" s="63"/>
      <c r="JT82" s="62"/>
      <c r="JU82" s="63"/>
      <c r="JV82" s="62"/>
      <c r="JW82" s="63"/>
      <c r="JX82" s="62"/>
      <c r="JY82" s="63"/>
      <c r="JZ82" s="62"/>
      <c r="KA82" s="63"/>
      <c r="KB82" s="62"/>
      <c r="KC82" s="63"/>
      <c r="KD82" s="62"/>
      <c r="KE82" s="63"/>
      <c r="KF82" s="62"/>
      <c r="KG82" s="63"/>
      <c r="KH82" s="62"/>
      <c r="KI82" s="63"/>
      <c r="KJ82" s="62"/>
      <c r="KK82" s="63"/>
      <c r="KL82" s="62"/>
      <c r="KM82" s="63"/>
      <c r="KN82" s="62"/>
      <c r="KO82" s="63"/>
      <c r="KP82" s="62"/>
      <c r="KQ82" s="63"/>
      <c r="KR82" s="62"/>
      <c r="KS82" s="63"/>
      <c r="KT82" s="62"/>
      <c r="KU82" s="63"/>
      <c r="KV82" s="62"/>
      <c r="KW82" s="63"/>
      <c r="KX82" s="62"/>
      <c r="KY82" s="63"/>
      <c r="KZ82" s="62"/>
      <c r="LA82" s="63"/>
      <c r="LB82" s="62"/>
      <c r="LC82" s="63"/>
      <c r="LD82" s="62"/>
      <c r="LE82" s="63"/>
      <c r="LF82" s="62"/>
      <c r="LG82" s="63"/>
      <c r="LH82" s="62"/>
      <c r="LI82" s="63"/>
      <c r="LJ82" s="62"/>
      <c r="LK82" s="63"/>
      <c r="LL82" s="62"/>
      <c r="LM82" s="63"/>
      <c r="LN82" s="62"/>
      <c r="LO82" s="63"/>
      <c r="LP82" s="62"/>
      <c r="LQ82" s="63"/>
      <c r="LR82" s="62"/>
      <c r="LS82" s="63"/>
      <c r="LT82" s="62"/>
      <c r="LU82" s="63"/>
      <c r="LV82" s="62"/>
      <c r="LW82" s="63"/>
      <c r="LX82" s="62"/>
      <c r="LY82" s="63"/>
      <c r="LZ82" s="62"/>
      <c r="MA82" s="63"/>
      <c r="MB82" s="62"/>
      <c r="MC82" s="63"/>
      <c r="MD82" s="62"/>
      <c r="ME82" s="63"/>
      <c r="MF82" s="62"/>
      <c r="MG82" s="63"/>
      <c r="MH82" s="62"/>
      <c r="MI82" s="63"/>
      <c r="MJ82" s="62"/>
      <c r="MK82" s="63"/>
      <c r="ML82" s="62"/>
      <c r="MM82" s="63"/>
      <c r="MN82" s="62"/>
      <c r="MO82" s="63"/>
      <c r="MP82" s="62"/>
      <c r="MQ82" s="63"/>
      <c r="MR82" s="62"/>
      <c r="MS82" s="63"/>
      <c r="MT82" s="62"/>
      <c r="MU82" s="63"/>
      <c r="MV82" s="62"/>
      <c r="MW82" s="63"/>
      <c r="MX82" s="62"/>
      <c r="MY82" s="63"/>
      <c r="MZ82" s="62"/>
      <c r="NA82" s="63"/>
      <c r="NB82" s="62"/>
      <c r="NC82" s="63"/>
      <c r="ND82" s="62"/>
      <c r="NE82" s="63"/>
      <c r="NF82" s="62"/>
      <c r="NG82" s="63"/>
      <c r="NH82" s="62"/>
      <c r="NI82" s="63"/>
      <c r="NJ82" s="62"/>
      <c r="NK82" s="63"/>
      <c r="NL82" s="62"/>
      <c r="NM82" s="63"/>
      <c r="NN82" s="62"/>
      <c r="NO82" s="63"/>
      <c r="NP82" s="62"/>
      <c r="NQ82" s="63"/>
      <c r="NR82" s="62"/>
      <c r="NS82" s="63"/>
      <c r="NT82" s="62"/>
      <c r="NU82" s="63"/>
      <c r="NV82" s="62"/>
      <c r="NW82" s="63"/>
      <c r="NX82" s="62"/>
      <c r="NY82" s="63"/>
      <c r="NZ82" s="62"/>
      <c r="OA82" s="63"/>
      <c r="OB82" s="62"/>
      <c r="OC82" s="63"/>
      <c r="OD82" s="62"/>
      <c r="OE82" s="63"/>
      <c r="OF82" s="62"/>
      <c r="OG82" s="63"/>
      <c r="OH82" s="62"/>
      <c r="OI82" s="63"/>
      <c r="OJ82" s="62"/>
      <c r="OK82" s="63"/>
      <c r="OL82" s="62"/>
      <c r="OM82" s="63"/>
      <c r="ON82" s="62"/>
      <c r="OO82" s="63"/>
      <c r="OP82" s="62"/>
      <c r="OQ82" s="63"/>
      <c r="OR82" s="62"/>
      <c r="OS82" s="63"/>
      <c r="OT82" s="62"/>
      <c r="OU82" s="63"/>
      <c r="OV82" s="62"/>
      <c r="OW82" s="63"/>
      <c r="OX82" s="62"/>
      <c r="OY82" s="63"/>
      <c r="OZ82" s="62"/>
      <c r="PA82" s="63"/>
      <c r="PB82" s="62"/>
      <c r="PC82" s="63"/>
      <c r="PD82" s="62"/>
      <c r="PE82" s="63"/>
      <c r="PF82" s="62"/>
      <c r="PG82" s="63"/>
      <c r="PH82" s="62"/>
      <c r="PI82" s="63"/>
      <c r="PJ82" s="62"/>
      <c r="PK82" s="63"/>
      <c r="PL82" s="62"/>
      <c r="PM82" s="63"/>
      <c r="PN82" s="62"/>
      <c r="PO82" s="63"/>
      <c r="PP82" s="62"/>
      <c r="PQ82" s="63"/>
      <c r="PR82" s="62"/>
      <c r="PS82" s="63"/>
      <c r="PT82" s="62"/>
      <c r="PU82" s="63"/>
      <c r="PV82" s="62"/>
      <c r="PW82" s="63"/>
      <c r="PX82" s="62"/>
      <c r="PY82" s="63"/>
      <c r="PZ82" s="62"/>
      <c r="QA82" s="63"/>
      <c r="QB82" s="62"/>
      <c r="QC82" s="63"/>
      <c r="QD82" s="62"/>
      <c r="QE82" s="63"/>
      <c r="QF82" s="62"/>
      <c r="QG82" s="63"/>
      <c r="QH82" s="62"/>
      <c r="QI82" s="63"/>
      <c r="QJ82" s="62"/>
      <c r="QK82" s="63"/>
      <c r="QL82" s="62"/>
      <c r="QM82" s="63"/>
      <c r="QN82" s="62"/>
      <c r="QO82" s="63"/>
      <c r="QP82" s="62"/>
      <c r="QQ82" s="63"/>
      <c r="QR82" s="62"/>
      <c r="QS82" s="63"/>
      <c r="QT82" s="62"/>
      <c r="QU82" s="63"/>
      <c r="QV82" s="62"/>
      <c r="QW82" s="63"/>
      <c r="QX82" s="62"/>
      <c r="QY82" s="63"/>
      <c r="QZ82" s="62"/>
      <c r="RA82" s="63"/>
      <c r="RB82" s="62"/>
      <c r="RC82" s="63"/>
      <c r="RD82" s="31"/>
    </row>
    <row r="83" spans="1:472" s="5" customFormat="1" hidden="1" x14ac:dyDescent="0.25">
      <c r="A83" s="41">
        <v>2094</v>
      </c>
      <c r="B83" s="41" t="s">
        <v>914</v>
      </c>
      <c r="C83" s="41" t="s">
        <v>165</v>
      </c>
      <c r="D83" s="41">
        <v>86</v>
      </c>
      <c r="E83" s="42"/>
      <c r="F83" s="41" t="s">
        <v>833</v>
      </c>
      <c r="I83" s="62"/>
      <c r="J83" s="63"/>
      <c r="K83" s="62"/>
      <c r="L83" s="63"/>
      <c r="M83" s="62"/>
      <c r="N83" s="63"/>
      <c r="O83" s="62"/>
      <c r="P83" s="63"/>
      <c r="Q83" s="62"/>
      <c r="R83" s="63"/>
      <c r="S83" s="62"/>
      <c r="T83" s="63"/>
      <c r="X83" s="62"/>
      <c r="Y83" s="63"/>
      <c r="Z83" s="62"/>
      <c r="AA83" s="63"/>
      <c r="AB83" s="62"/>
      <c r="AC83" s="63"/>
      <c r="AD83" s="62"/>
      <c r="AE83" s="63"/>
      <c r="AF83" s="62"/>
      <c r="AG83" s="63"/>
      <c r="AH83" s="62"/>
      <c r="AI83" s="63"/>
      <c r="AJ83" s="62"/>
      <c r="AK83" s="63"/>
      <c r="AL83" s="62"/>
      <c r="AM83" s="63"/>
      <c r="AN83" s="62"/>
      <c r="AO83" s="63"/>
      <c r="AP83" s="62"/>
      <c r="AQ83" s="63"/>
      <c r="AR83" s="62"/>
      <c r="AS83" s="63"/>
      <c r="AT83" s="62"/>
      <c r="AU83" s="63"/>
      <c r="AV83" s="62"/>
      <c r="AW83" s="63"/>
      <c r="AX83" s="62"/>
      <c r="AY83" s="63"/>
      <c r="AZ83" s="62"/>
      <c r="BA83" s="63"/>
      <c r="BB83" s="62"/>
      <c r="BC83" s="63"/>
      <c r="BD83" s="62"/>
      <c r="BE83" s="63"/>
      <c r="BF83" s="62"/>
      <c r="BG83" s="63"/>
      <c r="BH83" s="62"/>
      <c r="BI83" s="63"/>
      <c r="BJ83" s="62"/>
      <c r="BK83" s="63"/>
      <c r="BL83" s="62"/>
      <c r="BM83" s="63"/>
      <c r="BN83" s="62"/>
      <c r="BO83" s="63"/>
      <c r="BP83" s="62"/>
      <c r="BQ83" s="63"/>
      <c r="BR83" s="62"/>
      <c r="BS83" s="63"/>
      <c r="BT83" s="62"/>
      <c r="BU83" s="63"/>
      <c r="BV83" s="62"/>
      <c r="BW83" s="63"/>
      <c r="BX83" s="62"/>
      <c r="BY83" s="63"/>
      <c r="BZ83" s="62"/>
      <c r="CA83" s="63"/>
      <c r="CB83" s="62"/>
      <c r="CC83" s="63"/>
      <c r="CD83" s="62"/>
      <c r="CE83" s="63"/>
      <c r="CF83" s="62"/>
      <c r="CG83" s="63"/>
      <c r="CH83" s="62"/>
      <c r="CI83" s="63"/>
      <c r="CJ83" s="62"/>
      <c r="CK83" s="63"/>
      <c r="CL83" s="62"/>
      <c r="CM83" s="63"/>
      <c r="CN83" s="62"/>
      <c r="CO83" s="63"/>
      <c r="CP83" s="62"/>
      <c r="CQ83" s="63"/>
      <c r="CR83" s="62"/>
      <c r="CS83" s="63"/>
      <c r="CT83" s="62"/>
      <c r="CU83" s="63"/>
      <c r="CV83" s="62"/>
      <c r="CW83" s="63"/>
      <c r="CX83" s="62"/>
      <c r="CY83" s="63"/>
      <c r="CZ83" s="62"/>
      <c r="DA83" s="63"/>
      <c r="DB83" s="62"/>
      <c r="DC83" s="63"/>
      <c r="DD83" s="62"/>
      <c r="DE83" s="63"/>
      <c r="DF83" s="62"/>
      <c r="DG83" s="63"/>
      <c r="DH83" s="62"/>
      <c r="DI83" s="63"/>
      <c r="DJ83" s="62"/>
      <c r="DK83" s="63"/>
      <c r="DL83" s="62"/>
      <c r="DM83" s="63"/>
      <c r="DN83" s="62"/>
      <c r="DO83" s="63"/>
      <c r="DP83" s="62"/>
      <c r="DQ83" s="63"/>
      <c r="DR83" s="62"/>
      <c r="DS83" s="63"/>
      <c r="DT83" s="62"/>
      <c r="DU83" s="63"/>
      <c r="DV83" s="62"/>
      <c r="DW83" s="63"/>
      <c r="DX83" s="62"/>
      <c r="DY83" s="63"/>
      <c r="DZ83" s="62"/>
      <c r="EA83" s="63"/>
      <c r="EB83" s="62"/>
      <c r="EC83" s="63"/>
      <c r="ED83" s="62"/>
      <c r="EE83" s="63"/>
      <c r="EF83" s="62"/>
      <c r="EG83" s="63"/>
      <c r="EH83" s="62"/>
      <c r="EI83" s="63"/>
      <c r="EJ83" s="62"/>
      <c r="EK83" s="63"/>
      <c r="EL83" s="62"/>
      <c r="EM83" s="63"/>
      <c r="EN83" s="62"/>
      <c r="EO83" s="63"/>
      <c r="EP83" s="62"/>
      <c r="EQ83" s="63"/>
      <c r="ER83" s="62"/>
      <c r="ES83" s="63"/>
      <c r="ET83" s="62"/>
      <c r="EU83" s="63"/>
      <c r="EV83" s="62"/>
      <c r="EW83" s="63"/>
      <c r="EX83" s="62"/>
      <c r="EY83" s="63"/>
      <c r="EZ83" s="62"/>
      <c r="FA83" s="63"/>
      <c r="FB83" s="62"/>
      <c r="FC83" s="63"/>
      <c r="FD83" s="62"/>
      <c r="FE83" s="63"/>
      <c r="FF83" s="62"/>
      <c r="FG83" s="63"/>
      <c r="FH83" s="62"/>
      <c r="FI83" s="63"/>
      <c r="FJ83" s="62"/>
      <c r="FK83" s="63"/>
      <c r="FL83" s="62"/>
      <c r="FM83" s="63"/>
      <c r="FN83" s="62"/>
      <c r="FO83" s="63"/>
      <c r="FP83" s="62"/>
      <c r="FQ83" s="63"/>
      <c r="FR83" s="62"/>
      <c r="FS83" s="63"/>
      <c r="FT83" s="62"/>
      <c r="FU83" s="63"/>
      <c r="FV83" s="62"/>
      <c r="FW83" s="63"/>
      <c r="FX83" s="62"/>
      <c r="FY83" s="63"/>
      <c r="FZ83" s="62"/>
      <c r="GA83" s="63"/>
      <c r="GB83" s="62"/>
      <c r="GC83" s="63"/>
      <c r="GD83" s="62"/>
      <c r="GE83" s="63"/>
      <c r="GF83" s="62"/>
      <c r="GG83" s="63"/>
      <c r="GH83" s="62"/>
      <c r="GI83" s="63"/>
      <c r="GJ83" s="62"/>
      <c r="GK83" s="63"/>
      <c r="GL83" s="62"/>
      <c r="GM83" s="63"/>
      <c r="GN83" s="62"/>
      <c r="GO83" s="63"/>
      <c r="GP83" s="62"/>
      <c r="GQ83" s="63"/>
      <c r="GR83" s="62"/>
      <c r="GS83" s="63"/>
      <c r="GT83" s="62"/>
      <c r="GU83" s="63"/>
      <c r="GV83" s="62"/>
      <c r="GW83" s="63"/>
      <c r="GX83" s="62" t="s">
        <v>66</v>
      </c>
      <c r="GY83" s="63"/>
      <c r="GZ83" s="62" t="s">
        <v>38</v>
      </c>
      <c r="HA83" s="63"/>
      <c r="HB83" s="62" t="s">
        <v>38</v>
      </c>
      <c r="HC83" s="63"/>
      <c r="HD83" s="62" t="s">
        <v>38</v>
      </c>
      <c r="HE83" s="63"/>
      <c r="HF83" s="62" t="s">
        <v>704</v>
      </c>
      <c r="HG83" s="63"/>
      <c r="HH83" s="62" t="s">
        <v>36</v>
      </c>
      <c r="HI83" s="63"/>
      <c r="HJ83" s="62" t="s">
        <v>36</v>
      </c>
      <c r="HK83" s="63"/>
      <c r="HL83" s="62" t="s">
        <v>36</v>
      </c>
      <c r="HM83" s="63"/>
      <c r="HN83" s="62" t="s">
        <v>36</v>
      </c>
      <c r="HO83" s="63"/>
      <c r="HP83" s="62" t="s">
        <v>36</v>
      </c>
      <c r="HQ83" s="63"/>
      <c r="HR83" s="62" t="s">
        <v>36</v>
      </c>
      <c r="HS83" s="63"/>
      <c r="HT83" s="62" t="s">
        <v>36</v>
      </c>
      <c r="HU83" s="63"/>
      <c r="HV83" s="62" t="s">
        <v>36</v>
      </c>
      <c r="HW83" s="63"/>
      <c r="HX83" s="62" t="s">
        <v>36</v>
      </c>
      <c r="HY83" s="63"/>
      <c r="HZ83" s="62" t="s">
        <v>37</v>
      </c>
      <c r="IA83" s="63"/>
      <c r="IB83" s="62" t="s">
        <v>37</v>
      </c>
      <c r="IC83" s="63"/>
      <c r="ID83" s="62" t="s">
        <v>37</v>
      </c>
      <c r="IE83" s="63"/>
      <c r="IF83" s="62" t="s">
        <v>37</v>
      </c>
      <c r="IG83" s="63"/>
      <c r="IH83" s="62" t="s">
        <v>37</v>
      </c>
      <c r="II83" s="63"/>
      <c r="IJ83" s="62" t="s">
        <v>37</v>
      </c>
      <c r="IK83" s="63"/>
      <c r="IL83" s="62" t="s">
        <v>37</v>
      </c>
      <c r="IM83" s="63"/>
      <c r="IN83" s="62" t="s">
        <v>37</v>
      </c>
      <c r="IO83" s="63"/>
      <c r="IP83" s="62"/>
      <c r="IQ83" s="63"/>
      <c r="IR83" s="62"/>
      <c r="IS83" s="63"/>
      <c r="IT83" s="62"/>
      <c r="IU83" s="63"/>
      <c r="IV83" s="62"/>
      <c r="IW83" s="63"/>
      <c r="IX83" s="62"/>
      <c r="IY83" s="63"/>
      <c r="IZ83" s="62"/>
      <c r="JA83" s="63"/>
      <c r="JB83" s="62"/>
      <c r="JC83" s="63"/>
      <c r="JD83" s="62"/>
      <c r="JE83" s="63"/>
      <c r="JF83" s="62"/>
      <c r="JG83" s="63"/>
      <c r="JH83" s="62"/>
      <c r="JI83" s="63"/>
      <c r="JJ83" s="62"/>
      <c r="JK83" s="63"/>
      <c r="JL83" s="62"/>
      <c r="JM83" s="63"/>
      <c r="JN83" s="62"/>
      <c r="JO83" s="63"/>
      <c r="JP83" s="62"/>
      <c r="JQ83" s="63"/>
      <c r="JR83" s="62"/>
      <c r="JS83" s="63"/>
      <c r="JT83" s="62"/>
      <c r="JU83" s="63"/>
      <c r="JV83" s="62"/>
      <c r="JW83" s="63"/>
      <c r="JX83" s="62"/>
      <c r="JY83" s="63"/>
      <c r="JZ83" s="62"/>
      <c r="KA83" s="63"/>
      <c r="KB83" s="62"/>
      <c r="KC83" s="63"/>
      <c r="KD83" s="62"/>
      <c r="KE83" s="63"/>
      <c r="KF83" s="62"/>
      <c r="KG83" s="63"/>
      <c r="KH83" s="62"/>
      <c r="KI83" s="63"/>
      <c r="KJ83" s="62"/>
      <c r="KK83" s="63"/>
      <c r="KL83" s="62"/>
      <c r="KM83" s="63"/>
      <c r="KN83" s="62"/>
      <c r="KO83" s="63"/>
      <c r="KP83" s="62"/>
      <c r="KQ83" s="63"/>
      <c r="KR83" s="62"/>
      <c r="KS83" s="63"/>
      <c r="KT83" s="62"/>
      <c r="KU83" s="63"/>
      <c r="KV83" s="62"/>
      <c r="KW83" s="63"/>
      <c r="KX83" s="62"/>
      <c r="KY83" s="63"/>
      <c r="KZ83" s="62"/>
      <c r="LA83" s="63"/>
      <c r="LB83" s="62"/>
      <c r="LC83" s="63"/>
      <c r="LD83" s="62"/>
      <c r="LE83" s="63"/>
      <c r="LF83" s="62"/>
      <c r="LG83" s="63"/>
      <c r="LH83" s="62"/>
      <c r="LI83" s="63"/>
      <c r="LJ83" s="62"/>
      <c r="LK83" s="63"/>
      <c r="LL83" s="62"/>
      <c r="LM83" s="63"/>
      <c r="LN83" s="62"/>
      <c r="LO83" s="63"/>
      <c r="LP83" s="62"/>
      <c r="LQ83" s="63"/>
      <c r="LR83" s="62"/>
      <c r="LS83" s="63"/>
      <c r="LT83" s="62"/>
      <c r="LU83" s="63"/>
      <c r="LV83" s="62"/>
      <c r="LW83" s="63"/>
      <c r="LX83" s="62"/>
      <c r="LY83" s="63"/>
      <c r="LZ83" s="62"/>
      <c r="MA83" s="63"/>
      <c r="MB83" s="62"/>
      <c r="MC83" s="63"/>
      <c r="MD83" s="62"/>
      <c r="ME83" s="63"/>
      <c r="MF83" s="62"/>
      <c r="MG83" s="63"/>
      <c r="MH83" s="62"/>
      <c r="MI83" s="63"/>
      <c r="MJ83" s="62"/>
      <c r="MK83" s="63"/>
      <c r="ML83" s="62"/>
      <c r="MM83" s="63"/>
      <c r="MN83" s="62"/>
      <c r="MO83" s="63"/>
      <c r="MP83" s="62"/>
      <c r="MQ83" s="63"/>
      <c r="MR83" s="62"/>
      <c r="MS83" s="63"/>
      <c r="MT83" s="62"/>
      <c r="MU83" s="63"/>
      <c r="MV83" s="62"/>
      <c r="MW83" s="63"/>
      <c r="MX83" s="62"/>
      <c r="MY83" s="63"/>
      <c r="MZ83" s="62"/>
      <c r="NA83" s="63"/>
      <c r="NB83" s="62"/>
      <c r="NC83" s="63"/>
      <c r="ND83" s="62"/>
      <c r="NE83" s="63"/>
      <c r="NF83" s="62"/>
      <c r="NG83" s="63"/>
      <c r="NH83" s="62"/>
      <c r="NI83" s="63"/>
      <c r="NJ83" s="62"/>
      <c r="NK83" s="63"/>
      <c r="NL83" s="62"/>
      <c r="NM83" s="63"/>
      <c r="NN83" s="62"/>
      <c r="NO83" s="63"/>
      <c r="NP83" s="62"/>
      <c r="NQ83" s="63"/>
      <c r="NR83" s="62"/>
      <c r="NS83" s="63"/>
      <c r="NT83" s="62"/>
      <c r="NU83" s="63"/>
      <c r="NV83" s="62"/>
      <c r="NW83" s="63"/>
      <c r="NX83" s="62"/>
      <c r="NY83" s="63"/>
      <c r="NZ83" s="62"/>
      <c r="OA83" s="63"/>
      <c r="OB83" s="62"/>
      <c r="OC83" s="63"/>
      <c r="OD83" s="62"/>
      <c r="OE83" s="63"/>
      <c r="OF83" s="62"/>
      <c r="OG83" s="63"/>
      <c r="OH83" s="62"/>
      <c r="OI83" s="63"/>
      <c r="OJ83" s="62"/>
      <c r="OK83" s="63"/>
      <c r="OL83" s="62"/>
      <c r="OM83" s="63"/>
      <c r="ON83" s="62"/>
      <c r="OO83" s="63"/>
      <c r="OP83" s="62"/>
      <c r="OQ83" s="63"/>
      <c r="OR83" s="62"/>
      <c r="OS83" s="63"/>
      <c r="OT83" s="62"/>
      <c r="OU83" s="63"/>
      <c r="OV83" s="62"/>
      <c r="OW83" s="63"/>
      <c r="OX83" s="62"/>
      <c r="OY83" s="63"/>
      <c r="OZ83" s="62"/>
      <c r="PA83" s="63"/>
      <c r="PB83" s="62"/>
      <c r="PC83" s="63"/>
      <c r="PD83" s="62"/>
      <c r="PE83" s="63"/>
      <c r="PF83" s="62"/>
      <c r="PG83" s="63"/>
      <c r="PH83" s="62"/>
      <c r="PI83" s="63"/>
      <c r="PJ83" s="62"/>
      <c r="PK83" s="63"/>
      <c r="PL83" s="62"/>
      <c r="PM83" s="63"/>
      <c r="PN83" s="62"/>
      <c r="PO83" s="63"/>
      <c r="PP83" s="62"/>
      <c r="PQ83" s="63"/>
      <c r="PR83" s="62"/>
      <c r="PS83" s="63"/>
      <c r="PT83" s="62"/>
      <c r="PU83" s="63"/>
      <c r="PV83" s="62"/>
      <c r="PW83" s="63"/>
      <c r="PX83" s="62"/>
      <c r="PY83" s="63"/>
      <c r="PZ83" s="62"/>
      <c r="QA83" s="63"/>
      <c r="QB83" s="62"/>
      <c r="QC83" s="63"/>
      <c r="QD83" s="62"/>
      <c r="QE83" s="63"/>
      <c r="QF83" s="62"/>
      <c r="QG83" s="63"/>
      <c r="QH83" s="62"/>
      <c r="QI83" s="63"/>
      <c r="QJ83" s="62"/>
      <c r="QK83" s="63"/>
      <c r="QL83" s="62"/>
      <c r="QM83" s="63"/>
      <c r="QN83" s="62"/>
      <c r="QO83" s="63"/>
      <c r="QP83" s="62"/>
      <c r="QQ83" s="63"/>
      <c r="QR83" s="62"/>
      <c r="QS83" s="63"/>
      <c r="QT83" s="62"/>
      <c r="QU83" s="63"/>
      <c r="QV83" s="62"/>
      <c r="QW83" s="63"/>
      <c r="QX83" s="62"/>
      <c r="QY83" s="63"/>
      <c r="QZ83" s="62"/>
      <c r="RA83" s="63"/>
      <c r="RB83" s="62"/>
      <c r="RC83" s="63"/>
      <c r="RD83" s="31"/>
    </row>
    <row r="84" spans="1:472" s="5" customFormat="1" hidden="1" x14ac:dyDescent="0.25">
      <c r="A84" s="41">
        <v>2087</v>
      </c>
      <c r="B84" s="41" t="s">
        <v>865</v>
      </c>
      <c r="C84" s="41" t="s">
        <v>4</v>
      </c>
      <c r="D84" s="41">
        <v>295</v>
      </c>
      <c r="E84" s="42"/>
      <c r="F84" s="41" t="s">
        <v>1057</v>
      </c>
      <c r="I84" s="31"/>
      <c r="J84" s="32"/>
      <c r="K84" s="31"/>
      <c r="L84" s="32"/>
      <c r="M84" s="31"/>
      <c r="N84" s="32"/>
      <c r="O84" s="31"/>
      <c r="P84" s="32"/>
      <c r="Q84" s="31"/>
      <c r="R84" s="32"/>
      <c r="S84" s="31"/>
      <c r="T84" s="32"/>
      <c r="X84" s="31"/>
      <c r="Y84" s="32"/>
      <c r="Z84" s="31"/>
      <c r="AA84" s="32"/>
      <c r="AB84" s="31"/>
      <c r="AC84" s="32"/>
      <c r="AD84" s="31"/>
      <c r="AE84" s="32"/>
      <c r="AF84" s="31"/>
      <c r="AG84" s="32"/>
      <c r="AH84" s="31"/>
      <c r="AI84" s="32"/>
      <c r="AJ84" s="31"/>
      <c r="AK84" s="32"/>
      <c r="AL84" s="31"/>
      <c r="AM84" s="32"/>
      <c r="AN84" s="31"/>
      <c r="AO84" s="32"/>
      <c r="AP84" s="31"/>
      <c r="AQ84" s="32"/>
      <c r="AR84" s="31"/>
      <c r="AS84" s="32"/>
      <c r="AT84" s="31"/>
      <c r="AU84" s="32"/>
      <c r="AV84" s="31"/>
      <c r="AW84" s="32"/>
      <c r="AX84" s="31"/>
      <c r="AY84" s="32"/>
      <c r="AZ84" s="31"/>
      <c r="BA84" s="32"/>
      <c r="BB84" s="31"/>
      <c r="BC84" s="32"/>
      <c r="BD84" s="31"/>
      <c r="BE84" s="32"/>
      <c r="BF84" s="31"/>
      <c r="BG84" s="32"/>
      <c r="BH84" s="31"/>
      <c r="BI84" s="32"/>
      <c r="BJ84" s="31"/>
      <c r="BK84" s="32"/>
      <c r="BL84" s="31"/>
      <c r="BM84" s="32"/>
      <c r="BN84" s="31"/>
      <c r="BO84" s="32"/>
      <c r="BP84" s="31"/>
      <c r="BQ84" s="32"/>
      <c r="BR84" s="31"/>
      <c r="BS84" s="32"/>
      <c r="BT84" s="31"/>
      <c r="BU84" s="32"/>
      <c r="BV84" s="31"/>
      <c r="BW84" s="32"/>
      <c r="BX84" s="31"/>
      <c r="BY84" s="32"/>
      <c r="BZ84" s="31"/>
      <c r="CA84" s="32"/>
      <c r="CB84" s="31"/>
      <c r="CC84" s="32"/>
      <c r="CD84" s="31"/>
      <c r="CE84" s="32"/>
      <c r="CF84" s="31"/>
      <c r="CG84" s="32"/>
      <c r="CH84" s="31"/>
      <c r="CI84" s="32"/>
      <c r="CJ84" s="31"/>
      <c r="CK84" s="32"/>
      <c r="CL84" s="31"/>
      <c r="CM84" s="32"/>
      <c r="CN84" s="31"/>
      <c r="CO84" s="32"/>
      <c r="CP84" s="31"/>
      <c r="CQ84" s="32"/>
      <c r="CR84" s="31"/>
      <c r="CS84" s="32"/>
      <c r="CT84" s="31"/>
      <c r="CU84" s="32"/>
      <c r="CV84" s="31"/>
      <c r="CW84" s="32"/>
      <c r="CX84" s="31"/>
      <c r="CY84" s="32"/>
      <c r="CZ84" s="31"/>
      <c r="DA84" s="32"/>
      <c r="DB84" s="31"/>
      <c r="DC84" s="32"/>
      <c r="DD84" s="31"/>
      <c r="DE84" s="32"/>
      <c r="DF84" s="31"/>
      <c r="DG84" s="32"/>
      <c r="DH84" s="31"/>
      <c r="DI84" s="32"/>
      <c r="DJ84" s="31"/>
      <c r="DK84" s="32"/>
      <c r="DL84" s="31"/>
      <c r="DM84" s="32"/>
      <c r="DN84" s="31"/>
      <c r="DO84" s="32"/>
      <c r="DP84" s="31"/>
      <c r="DQ84" s="32"/>
      <c r="DR84" s="31"/>
      <c r="DS84" s="32"/>
      <c r="DT84" s="31"/>
      <c r="DU84" s="32"/>
      <c r="DV84" s="31"/>
      <c r="DW84" s="32"/>
      <c r="DX84" s="31"/>
      <c r="DY84" s="32"/>
      <c r="DZ84" s="31"/>
      <c r="EA84" s="32"/>
      <c r="EB84" s="31"/>
      <c r="EC84" s="32"/>
      <c r="ED84" s="31"/>
      <c r="EE84" s="32"/>
      <c r="EF84" s="31"/>
      <c r="EG84" s="32"/>
      <c r="EH84" s="31"/>
      <c r="EI84" s="32"/>
      <c r="EJ84" s="31"/>
      <c r="EK84" s="32"/>
      <c r="EL84" s="31"/>
      <c r="EM84" s="32"/>
      <c r="EN84" s="31"/>
      <c r="EO84" s="32"/>
      <c r="EP84" s="31"/>
      <c r="EQ84" s="32"/>
      <c r="ER84" s="31"/>
      <c r="ES84" s="32"/>
      <c r="ET84" s="31"/>
      <c r="EU84" s="32"/>
      <c r="EV84" s="31"/>
      <c r="EW84" s="32"/>
      <c r="EX84" s="31"/>
      <c r="EY84" s="32"/>
      <c r="EZ84" s="31"/>
      <c r="FA84" s="32"/>
      <c r="FB84" s="31"/>
      <c r="FC84" s="32"/>
      <c r="FD84" s="31"/>
      <c r="FE84" s="32"/>
      <c r="FF84" s="62"/>
      <c r="FG84" s="63"/>
      <c r="FH84" s="62"/>
      <c r="FI84" s="63"/>
      <c r="FJ84" s="62"/>
      <c r="FK84" s="63"/>
      <c r="FL84" s="62"/>
      <c r="FM84" s="63"/>
      <c r="FN84" s="62"/>
      <c r="FO84" s="63"/>
      <c r="FP84" s="62"/>
      <c r="FQ84" s="63"/>
      <c r="FR84" s="62"/>
      <c r="FS84" s="63"/>
      <c r="FT84" s="62"/>
      <c r="FU84" s="63"/>
      <c r="FV84" s="62"/>
      <c r="FW84" s="63"/>
      <c r="FX84" s="62"/>
      <c r="FY84" s="63"/>
      <c r="FZ84" s="62"/>
      <c r="GA84" s="63"/>
      <c r="GB84" s="62"/>
      <c r="GC84" s="63"/>
      <c r="GD84" s="62"/>
      <c r="GE84" s="63"/>
      <c r="GF84" s="62"/>
      <c r="GG84" s="63"/>
      <c r="GH84" s="62"/>
      <c r="GI84" s="63"/>
      <c r="GJ84" s="62"/>
      <c r="GK84" s="63"/>
      <c r="GL84" s="62"/>
      <c r="GM84" s="63"/>
      <c r="GN84" s="62"/>
      <c r="GO84" s="63"/>
      <c r="GP84" s="62"/>
      <c r="GQ84" s="63"/>
      <c r="GR84" s="62"/>
      <c r="GS84" s="63"/>
      <c r="GT84" s="62" t="s">
        <v>66</v>
      </c>
      <c r="GU84" s="63"/>
      <c r="GV84" s="62" t="s">
        <v>66</v>
      </c>
      <c r="GW84" s="63"/>
      <c r="GX84" s="62" t="s">
        <v>38</v>
      </c>
      <c r="GY84" s="63"/>
      <c r="GZ84" s="62" t="s">
        <v>38</v>
      </c>
      <c r="HA84" s="63"/>
      <c r="HB84" s="62" t="s">
        <v>38</v>
      </c>
      <c r="HC84" s="63"/>
      <c r="HD84" s="62" t="s">
        <v>66</v>
      </c>
      <c r="HE84" s="63"/>
      <c r="HF84" s="62" t="s">
        <v>36</v>
      </c>
      <c r="HG84" s="63"/>
      <c r="HH84" s="62" t="s">
        <v>36</v>
      </c>
      <c r="HI84" s="63"/>
      <c r="HJ84" s="62" t="s">
        <v>36</v>
      </c>
      <c r="HK84" s="63"/>
      <c r="HL84" s="62" t="s">
        <v>36</v>
      </c>
      <c r="HM84" s="63"/>
      <c r="HN84" s="62" t="s">
        <v>36</v>
      </c>
      <c r="HO84" s="63"/>
      <c r="HP84" s="62" t="s">
        <v>36</v>
      </c>
      <c r="HQ84" s="63"/>
      <c r="HR84" s="62" t="s">
        <v>36</v>
      </c>
      <c r="HS84" s="63"/>
      <c r="HT84" s="62" t="s">
        <v>36</v>
      </c>
      <c r="HU84" s="63"/>
      <c r="HV84" s="62" t="s">
        <v>36</v>
      </c>
      <c r="HW84" s="63"/>
      <c r="HX84" s="62" t="s">
        <v>36</v>
      </c>
      <c r="HY84" s="63"/>
      <c r="HZ84" s="62" t="s">
        <v>36</v>
      </c>
      <c r="IA84" s="63"/>
      <c r="IB84" s="62" t="s">
        <v>36</v>
      </c>
      <c r="IC84" s="63"/>
      <c r="ID84" s="62" t="s">
        <v>37</v>
      </c>
      <c r="IE84" s="63"/>
      <c r="IF84" s="62" t="s">
        <v>37</v>
      </c>
      <c r="IG84" s="63"/>
      <c r="IH84" s="62" t="s">
        <v>37</v>
      </c>
      <c r="II84" s="63"/>
      <c r="IJ84" s="62" t="s">
        <v>37</v>
      </c>
      <c r="IK84" s="63"/>
      <c r="IL84" s="62" t="s">
        <v>37</v>
      </c>
      <c r="IM84" s="63"/>
      <c r="IN84" s="62" t="s">
        <v>37</v>
      </c>
      <c r="IO84" s="63"/>
      <c r="IP84" s="62"/>
      <c r="IQ84" s="63"/>
      <c r="IR84" s="62"/>
      <c r="IS84" s="63"/>
      <c r="IT84" s="62"/>
      <c r="IU84" s="63"/>
      <c r="IV84" s="62"/>
      <c r="IW84" s="63"/>
      <c r="IX84" s="62"/>
      <c r="IY84" s="63"/>
      <c r="IZ84" s="62"/>
      <c r="JA84" s="63"/>
      <c r="JB84" s="62"/>
      <c r="JC84" s="63"/>
      <c r="JD84" s="62"/>
      <c r="JE84" s="63"/>
      <c r="JF84" s="62"/>
      <c r="JG84" s="63"/>
      <c r="JH84" s="62"/>
      <c r="JI84" s="63"/>
      <c r="JJ84" s="62"/>
      <c r="JK84" s="63"/>
      <c r="JL84" s="62"/>
      <c r="JM84" s="63"/>
      <c r="JN84" s="62"/>
      <c r="JO84" s="63"/>
      <c r="JP84" s="62"/>
      <c r="JQ84" s="63"/>
      <c r="JR84" s="62"/>
      <c r="JS84" s="63"/>
      <c r="JT84" s="62"/>
      <c r="JU84" s="63"/>
      <c r="JV84" s="62"/>
      <c r="JW84" s="63"/>
      <c r="JX84" s="62"/>
      <c r="JY84" s="63"/>
      <c r="JZ84" s="62"/>
      <c r="KA84" s="63"/>
      <c r="KB84" s="62"/>
      <c r="KC84" s="63"/>
      <c r="KD84" s="62"/>
      <c r="KE84" s="63"/>
      <c r="KF84" s="62"/>
      <c r="KG84" s="63"/>
      <c r="KH84" s="62"/>
      <c r="KI84" s="63"/>
      <c r="KJ84" s="62"/>
      <c r="KK84" s="63"/>
      <c r="KL84" s="62"/>
      <c r="KM84" s="63"/>
      <c r="KN84" s="62"/>
      <c r="KO84" s="63"/>
      <c r="KP84" s="62"/>
      <c r="KQ84" s="63"/>
      <c r="KR84" s="62"/>
      <c r="KS84" s="63"/>
      <c r="KT84" s="62"/>
      <c r="KU84" s="63"/>
      <c r="KV84" s="62"/>
      <c r="KW84" s="63"/>
      <c r="KX84" s="62"/>
      <c r="KY84" s="63"/>
      <c r="KZ84" s="62"/>
      <c r="LA84" s="63"/>
      <c r="LB84" s="62"/>
      <c r="LC84" s="63"/>
      <c r="LD84" s="62"/>
      <c r="LE84" s="63"/>
      <c r="LF84" s="62"/>
      <c r="LG84" s="63"/>
      <c r="LH84" s="62"/>
      <c r="LI84" s="63"/>
      <c r="LJ84" s="62"/>
      <c r="LK84" s="63"/>
      <c r="LL84" s="62"/>
      <c r="LM84" s="63"/>
      <c r="LN84" s="62"/>
      <c r="LO84" s="63"/>
      <c r="LP84" s="62"/>
      <c r="LQ84" s="63"/>
      <c r="LR84" s="62"/>
      <c r="LS84" s="63"/>
      <c r="LT84" s="62"/>
      <c r="LU84" s="63"/>
      <c r="LV84" s="62"/>
      <c r="LW84" s="63"/>
      <c r="LX84" s="62"/>
      <c r="LY84" s="63"/>
      <c r="LZ84" s="62"/>
      <c r="MA84" s="63"/>
      <c r="MB84" s="62"/>
      <c r="MC84" s="63"/>
      <c r="MD84" s="62"/>
      <c r="ME84" s="63"/>
      <c r="MF84" s="62"/>
      <c r="MG84" s="63"/>
      <c r="MH84" s="62"/>
      <c r="MI84" s="63"/>
      <c r="MJ84" s="62"/>
      <c r="MK84" s="63"/>
      <c r="ML84" s="62"/>
      <c r="MM84" s="63"/>
      <c r="MN84" s="62"/>
      <c r="MO84" s="63"/>
      <c r="MP84" s="62"/>
      <c r="MQ84" s="63"/>
      <c r="MR84" s="62"/>
      <c r="MS84" s="63"/>
      <c r="MT84" s="62"/>
      <c r="MU84" s="63"/>
      <c r="MV84" s="62"/>
      <c r="MW84" s="63"/>
      <c r="MX84" s="62"/>
      <c r="MY84" s="63"/>
      <c r="MZ84" s="62"/>
      <c r="NA84" s="63"/>
      <c r="NB84" s="62"/>
      <c r="NC84" s="63"/>
      <c r="ND84" s="62"/>
      <c r="NE84" s="63"/>
      <c r="NF84" s="62"/>
      <c r="NG84" s="63"/>
      <c r="NH84" s="62"/>
      <c r="NI84" s="63"/>
      <c r="NJ84" s="62"/>
      <c r="NK84" s="63"/>
      <c r="NL84" s="62"/>
      <c r="NM84" s="63"/>
      <c r="NN84" s="62"/>
      <c r="NO84" s="63"/>
      <c r="NP84" s="62"/>
      <c r="NQ84" s="63"/>
      <c r="NR84" s="62"/>
      <c r="NS84" s="63"/>
      <c r="NT84" s="62"/>
      <c r="NU84" s="63"/>
      <c r="NV84" s="62"/>
      <c r="NW84" s="63"/>
      <c r="NX84" s="62"/>
      <c r="NY84" s="63"/>
      <c r="NZ84" s="62"/>
      <c r="OA84" s="63"/>
      <c r="OB84" s="62"/>
      <c r="OC84" s="63"/>
      <c r="OD84" s="62"/>
      <c r="OE84" s="63"/>
      <c r="OF84" s="62"/>
      <c r="OG84" s="63"/>
      <c r="OH84" s="62"/>
      <c r="OI84" s="63"/>
      <c r="OJ84" s="62"/>
      <c r="OK84" s="63"/>
      <c r="OL84" s="62"/>
      <c r="OM84" s="63"/>
      <c r="ON84" s="62"/>
      <c r="OO84" s="63"/>
      <c r="OP84" s="62"/>
      <c r="OQ84" s="63"/>
      <c r="OR84" s="62"/>
      <c r="OS84" s="63"/>
      <c r="OT84" s="62"/>
      <c r="OU84" s="63"/>
      <c r="OV84" s="62"/>
      <c r="OW84" s="63"/>
      <c r="OX84" s="62"/>
      <c r="OY84" s="63"/>
      <c r="OZ84" s="62"/>
      <c r="PA84" s="63"/>
      <c r="PB84" s="62"/>
      <c r="PC84" s="63"/>
      <c r="PD84" s="62"/>
      <c r="PE84" s="63"/>
      <c r="PF84" s="62"/>
      <c r="PG84" s="63"/>
      <c r="PH84" s="62"/>
      <c r="PI84" s="63"/>
      <c r="PJ84" s="62"/>
      <c r="PK84" s="63"/>
      <c r="PL84" s="62"/>
      <c r="PM84" s="63"/>
      <c r="PN84" s="62"/>
      <c r="PO84" s="63"/>
      <c r="PP84" s="62"/>
      <c r="PQ84" s="63"/>
      <c r="PR84" s="62"/>
      <c r="PS84" s="63"/>
      <c r="PT84" s="62"/>
      <c r="PU84" s="63"/>
      <c r="PV84" s="62"/>
      <c r="PW84" s="63"/>
      <c r="PX84" s="62"/>
      <c r="PY84" s="63"/>
      <c r="PZ84" s="62"/>
      <c r="QA84" s="63"/>
      <c r="QB84" s="62"/>
      <c r="QC84" s="63"/>
      <c r="QD84" s="62"/>
      <c r="QE84" s="63"/>
      <c r="QF84" s="62"/>
      <c r="QG84" s="63"/>
      <c r="QH84" s="62"/>
      <c r="QI84" s="63"/>
      <c r="QJ84" s="62"/>
      <c r="QK84" s="63"/>
      <c r="QL84" s="62"/>
      <c r="QM84" s="63"/>
      <c r="QN84" s="62"/>
      <c r="QO84" s="63"/>
      <c r="QP84" s="62"/>
      <c r="QQ84" s="63"/>
      <c r="QR84" s="62"/>
      <c r="QS84" s="63"/>
      <c r="QT84" s="62"/>
      <c r="QU84" s="63"/>
      <c r="QV84" s="62"/>
      <c r="QW84" s="63"/>
      <c r="QX84" s="62"/>
      <c r="QY84" s="63"/>
      <c r="QZ84" s="62"/>
      <c r="RA84" s="63"/>
      <c r="RB84" s="62"/>
      <c r="RC84" s="63"/>
      <c r="RD84" s="31"/>
    </row>
    <row r="85" spans="1:472" s="5" customFormat="1" hidden="1" x14ac:dyDescent="0.25">
      <c r="A85" s="41">
        <v>2089</v>
      </c>
      <c r="B85" s="41" t="s">
        <v>863</v>
      </c>
      <c r="C85" s="41" t="s">
        <v>626</v>
      </c>
      <c r="D85" s="41">
        <v>238</v>
      </c>
      <c r="E85" s="42"/>
      <c r="F85" s="41" t="s">
        <v>1072</v>
      </c>
      <c r="I85" s="31"/>
      <c r="J85" s="32"/>
      <c r="K85" s="31"/>
      <c r="L85" s="32"/>
      <c r="M85" s="31"/>
      <c r="N85" s="32"/>
      <c r="O85" s="31"/>
      <c r="P85" s="32"/>
      <c r="Q85" s="31"/>
      <c r="R85" s="32"/>
      <c r="S85" s="31"/>
      <c r="T85" s="32"/>
      <c r="X85" s="31"/>
      <c r="Y85" s="32"/>
      <c r="Z85" s="31"/>
      <c r="AA85" s="32"/>
      <c r="AB85" s="31"/>
      <c r="AC85" s="32"/>
      <c r="AD85" s="31"/>
      <c r="AE85" s="32"/>
      <c r="AF85" s="31"/>
      <c r="AG85" s="32"/>
      <c r="AH85" s="31"/>
      <c r="AI85" s="32"/>
      <c r="AJ85" s="31"/>
      <c r="AK85" s="32"/>
      <c r="AL85" s="31"/>
      <c r="AM85" s="32"/>
      <c r="AN85" s="31"/>
      <c r="AO85" s="32"/>
      <c r="AP85" s="31"/>
      <c r="AQ85" s="32"/>
      <c r="AR85" s="31"/>
      <c r="AS85" s="32"/>
      <c r="AT85" s="31"/>
      <c r="AU85" s="32"/>
      <c r="AV85" s="31"/>
      <c r="AW85" s="32"/>
      <c r="AX85" s="31"/>
      <c r="AY85" s="32"/>
      <c r="AZ85" s="31"/>
      <c r="BA85" s="32"/>
      <c r="BB85" s="31"/>
      <c r="BC85" s="32"/>
      <c r="BD85" s="31"/>
      <c r="BE85" s="32"/>
      <c r="BF85" s="31"/>
      <c r="BG85" s="32"/>
      <c r="BH85" s="31"/>
      <c r="BI85" s="32"/>
      <c r="BJ85" s="31"/>
      <c r="BK85" s="32"/>
      <c r="BL85" s="31"/>
      <c r="BM85" s="32"/>
      <c r="BN85" s="31"/>
      <c r="BO85" s="32"/>
      <c r="BP85" s="31"/>
      <c r="BQ85" s="32"/>
      <c r="BR85" s="31"/>
      <c r="BS85" s="32"/>
      <c r="BT85" s="31"/>
      <c r="BU85" s="32"/>
      <c r="BV85" s="31"/>
      <c r="BW85" s="32"/>
      <c r="BX85" s="31"/>
      <c r="BY85" s="32"/>
      <c r="BZ85" s="31"/>
      <c r="CA85" s="32"/>
      <c r="CB85" s="31"/>
      <c r="CC85" s="32"/>
      <c r="CD85" s="31"/>
      <c r="CE85" s="32"/>
      <c r="CF85" s="31"/>
      <c r="CG85" s="32"/>
      <c r="CH85" s="31"/>
      <c r="CI85" s="32"/>
      <c r="CJ85" s="31"/>
      <c r="CK85" s="32"/>
      <c r="CL85" s="31"/>
      <c r="CM85" s="32"/>
      <c r="CN85" s="31"/>
      <c r="CO85" s="32"/>
      <c r="CP85" s="31"/>
      <c r="CQ85" s="32"/>
      <c r="CR85" s="31"/>
      <c r="CS85" s="32"/>
      <c r="CT85" s="31"/>
      <c r="CU85" s="32"/>
      <c r="CV85" s="31"/>
      <c r="CW85" s="32"/>
      <c r="CX85" s="31"/>
      <c r="CY85" s="32"/>
      <c r="CZ85" s="31"/>
      <c r="DA85" s="32"/>
      <c r="DB85" s="31"/>
      <c r="DC85" s="32"/>
      <c r="DD85" s="31"/>
      <c r="DE85" s="32"/>
      <c r="DF85" s="31"/>
      <c r="DG85" s="32"/>
      <c r="DH85" s="31"/>
      <c r="DI85" s="32"/>
      <c r="DJ85" s="31"/>
      <c r="DK85" s="32"/>
      <c r="DL85" s="31"/>
      <c r="DM85" s="32"/>
      <c r="DN85" s="31"/>
      <c r="DO85" s="32"/>
      <c r="DP85" s="31"/>
      <c r="DQ85" s="32"/>
      <c r="DR85" s="31"/>
      <c r="DS85" s="32"/>
      <c r="DT85" s="31"/>
      <c r="DU85" s="32"/>
      <c r="DV85" s="31"/>
      <c r="DW85" s="32"/>
      <c r="DX85" s="31"/>
      <c r="DY85" s="32"/>
      <c r="DZ85" s="31"/>
      <c r="EA85" s="32"/>
      <c r="EB85" s="31"/>
      <c r="EC85" s="32"/>
      <c r="ED85" s="31"/>
      <c r="EE85" s="32"/>
      <c r="EF85" s="31"/>
      <c r="EG85" s="32"/>
      <c r="EH85" s="31"/>
      <c r="EI85" s="32"/>
      <c r="EJ85" s="31"/>
      <c r="EK85" s="32"/>
      <c r="EL85" s="31"/>
      <c r="EM85" s="32"/>
      <c r="EN85" s="31"/>
      <c r="EO85" s="32"/>
      <c r="EP85" s="31"/>
      <c r="EQ85" s="32"/>
      <c r="ER85" s="31"/>
      <c r="ES85" s="32"/>
      <c r="ET85" s="31"/>
      <c r="EU85" s="32"/>
      <c r="EV85" s="31"/>
      <c r="EW85" s="32"/>
      <c r="EX85" s="31"/>
      <c r="EY85" s="32"/>
      <c r="EZ85" s="31"/>
      <c r="FA85" s="32"/>
      <c r="FB85" s="31"/>
      <c r="FC85" s="32"/>
      <c r="FD85" s="31"/>
      <c r="FE85" s="32"/>
      <c r="FF85" s="62"/>
      <c r="FG85" s="63"/>
      <c r="FH85" s="62"/>
      <c r="FI85" s="63"/>
      <c r="FJ85" s="62"/>
      <c r="FK85" s="63"/>
      <c r="FL85" s="62"/>
      <c r="FM85" s="63"/>
      <c r="FN85" s="62"/>
      <c r="FO85" s="63"/>
      <c r="FP85" s="62"/>
      <c r="FQ85" s="63"/>
      <c r="FR85" s="62"/>
      <c r="FS85" s="63"/>
      <c r="FT85" s="62"/>
      <c r="FU85" s="63"/>
      <c r="FV85" s="62"/>
      <c r="FW85" s="63"/>
      <c r="FX85" s="62"/>
      <c r="FY85" s="63"/>
      <c r="FZ85" s="62"/>
      <c r="GA85" s="63"/>
      <c r="GB85" s="62"/>
      <c r="GC85" s="63"/>
      <c r="GD85" s="62"/>
      <c r="GE85" s="63"/>
      <c r="GF85" s="62"/>
      <c r="GG85" s="63"/>
      <c r="GH85" s="62"/>
      <c r="GI85" s="63"/>
      <c r="GJ85" s="62"/>
      <c r="GK85" s="63"/>
      <c r="GL85" s="62"/>
      <c r="GM85" s="63"/>
      <c r="GN85" s="62"/>
      <c r="GO85" s="63"/>
      <c r="GP85" s="62"/>
      <c r="GQ85" s="63"/>
      <c r="GR85" s="62"/>
      <c r="GS85" s="63"/>
      <c r="GT85" s="62"/>
      <c r="GU85" s="63"/>
      <c r="GV85" s="62"/>
      <c r="GW85" s="63"/>
      <c r="GX85" s="62"/>
      <c r="GY85" s="63"/>
      <c r="GZ85" s="62"/>
      <c r="HA85" s="63"/>
      <c r="HB85" s="62" t="s">
        <v>66</v>
      </c>
      <c r="HC85" s="63"/>
      <c r="HD85" s="62" t="s">
        <v>66</v>
      </c>
      <c r="HE85" s="63"/>
      <c r="HF85" s="62" t="s">
        <v>38</v>
      </c>
      <c r="HG85" s="63"/>
      <c r="HH85" s="62" t="s">
        <v>38</v>
      </c>
      <c r="HI85" s="63"/>
      <c r="HJ85" s="62" t="s">
        <v>38</v>
      </c>
      <c r="HK85" s="63"/>
      <c r="HL85" s="31" t="s">
        <v>38</v>
      </c>
      <c r="HM85" s="32" t="s">
        <v>36</v>
      </c>
      <c r="HN85" s="62" t="s">
        <v>36</v>
      </c>
      <c r="HO85" s="63"/>
      <c r="HP85" s="62" t="s">
        <v>36</v>
      </c>
      <c r="HQ85" s="63"/>
      <c r="HR85" s="62" t="s">
        <v>36</v>
      </c>
      <c r="HS85" s="63"/>
      <c r="HT85" s="62" t="s">
        <v>36</v>
      </c>
      <c r="HU85" s="63"/>
      <c r="HV85" s="62" t="s">
        <v>36</v>
      </c>
      <c r="HW85" s="63"/>
      <c r="HX85" s="62" t="s">
        <v>36</v>
      </c>
      <c r="HY85" s="63"/>
      <c r="HZ85" s="62" t="s">
        <v>36</v>
      </c>
      <c r="IA85" s="63"/>
      <c r="IB85" s="62" t="s">
        <v>36</v>
      </c>
      <c r="IC85" s="63"/>
      <c r="ID85" s="62" t="s">
        <v>37</v>
      </c>
      <c r="IE85" s="63"/>
      <c r="IF85" s="62" t="s">
        <v>37</v>
      </c>
      <c r="IG85" s="63"/>
      <c r="IH85" s="62" t="s">
        <v>37</v>
      </c>
      <c r="II85" s="63"/>
      <c r="IJ85" s="62" t="s">
        <v>37</v>
      </c>
      <c r="IK85" s="63"/>
      <c r="IL85" s="62" t="s">
        <v>37</v>
      </c>
      <c r="IM85" s="63"/>
      <c r="IN85" s="62" t="s">
        <v>37</v>
      </c>
      <c r="IO85" s="63"/>
      <c r="IP85" s="62" t="s">
        <v>37</v>
      </c>
      <c r="IQ85" s="63"/>
      <c r="IR85" s="62" t="s">
        <v>37</v>
      </c>
      <c r="IS85" s="63"/>
      <c r="IT85" s="62"/>
      <c r="IU85" s="63"/>
      <c r="IV85" s="62"/>
      <c r="IW85" s="63"/>
      <c r="IX85" s="62"/>
      <c r="IY85" s="63"/>
      <c r="IZ85" s="62"/>
      <c r="JA85" s="63"/>
      <c r="JB85" s="62"/>
      <c r="JC85" s="63"/>
      <c r="JD85" s="62"/>
      <c r="JE85" s="63"/>
      <c r="JF85" s="62"/>
      <c r="JG85" s="63"/>
      <c r="JH85" s="62"/>
      <c r="JI85" s="63"/>
      <c r="JJ85" s="62"/>
      <c r="JK85" s="63"/>
      <c r="JL85" s="62"/>
      <c r="JM85" s="63"/>
      <c r="JN85" s="62"/>
      <c r="JO85" s="63"/>
      <c r="JP85" s="62"/>
      <c r="JQ85" s="63"/>
      <c r="JR85" s="62"/>
      <c r="JS85" s="63"/>
      <c r="JT85" s="62"/>
      <c r="JU85" s="63"/>
      <c r="JV85" s="62"/>
      <c r="JW85" s="63"/>
      <c r="JX85" s="62"/>
      <c r="JY85" s="63"/>
      <c r="JZ85" s="62"/>
      <c r="KA85" s="63"/>
      <c r="KB85" s="62"/>
      <c r="KC85" s="63"/>
      <c r="KD85" s="62"/>
      <c r="KE85" s="63"/>
      <c r="KF85" s="62"/>
      <c r="KG85" s="63"/>
      <c r="KH85" s="62"/>
      <c r="KI85" s="63"/>
      <c r="KJ85" s="62"/>
      <c r="KK85" s="63"/>
      <c r="KL85" s="62"/>
      <c r="KM85" s="63"/>
      <c r="KN85" s="62"/>
      <c r="KO85" s="63"/>
      <c r="KP85" s="62"/>
      <c r="KQ85" s="63"/>
      <c r="KR85" s="62"/>
      <c r="KS85" s="63"/>
      <c r="KT85" s="62"/>
      <c r="KU85" s="63"/>
      <c r="KV85" s="62"/>
      <c r="KW85" s="63"/>
      <c r="KX85" s="62"/>
      <c r="KY85" s="63"/>
      <c r="KZ85" s="62"/>
      <c r="LA85" s="63"/>
      <c r="LB85" s="62"/>
      <c r="LC85" s="63"/>
      <c r="LD85" s="62"/>
      <c r="LE85" s="63"/>
      <c r="LF85" s="62"/>
      <c r="LG85" s="63"/>
      <c r="LH85" s="62"/>
      <c r="LI85" s="63"/>
      <c r="LJ85" s="62"/>
      <c r="LK85" s="63"/>
      <c r="LL85" s="62"/>
      <c r="LM85" s="63"/>
      <c r="LN85" s="62"/>
      <c r="LO85" s="63"/>
      <c r="LP85" s="62"/>
      <c r="LQ85" s="63"/>
      <c r="LR85" s="62"/>
      <c r="LS85" s="63"/>
      <c r="LT85" s="62"/>
      <c r="LU85" s="63"/>
      <c r="LV85" s="62"/>
      <c r="LW85" s="63"/>
      <c r="LX85" s="62"/>
      <c r="LY85" s="63"/>
      <c r="LZ85" s="62"/>
      <c r="MA85" s="63"/>
      <c r="MB85" s="62"/>
      <c r="MC85" s="63"/>
      <c r="MD85" s="62"/>
      <c r="ME85" s="63"/>
      <c r="MF85" s="62"/>
      <c r="MG85" s="63"/>
      <c r="MH85" s="62"/>
      <c r="MI85" s="63"/>
      <c r="MJ85" s="62"/>
      <c r="MK85" s="63"/>
      <c r="ML85" s="62"/>
      <c r="MM85" s="63"/>
      <c r="MN85" s="62"/>
      <c r="MO85" s="63"/>
      <c r="MP85" s="62"/>
      <c r="MQ85" s="63"/>
      <c r="MR85" s="62"/>
      <c r="MS85" s="63"/>
      <c r="MT85" s="62"/>
      <c r="MU85" s="63"/>
      <c r="MV85" s="62"/>
      <c r="MW85" s="63"/>
      <c r="MX85" s="62"/>
      <c r="MY85" s="63"/>
      <c r="MZ85" s="62"/>
      <c r="NA85" s="63"/>
      <c r="NB85" s="62"/>
      <c r="NC85" s="63"/>
      <c r="ND85" s="62"/>
      <c r="NE85" s="63"/>
      <c r="NF85" s="62"/>
      <c r="NG85" s="63"/>
      <c r="NH85" s="62"/>
      <c r="NI85" s="63"/>
      <c r="NJ85" s="62"/>
      <c r="NK85" s="63"/>
      <c r="NL85" s="62"/>
      <c r="NM85" s="63"/>
      <c r="NN85" s="62"/>
      <c r="NO85" s="63"/>
      <c r="NP85" s="62"/>
      <c r="NQ85" s="63"/>
      <c r="NR85" s="62"/>
      <c r="NS85" s="63"/>
      <c r="NT85" s="62"/>
      <c r="NU85" s="63"/>
      <c r="NV85" s="62"/>
      <c r="NW85" s="63"/>
      <c r="NX85" s="62"/>
      <c r="NY85" s="63"/>
      <c r="NZ85" s="62"/>
      <c r="OA85" s="63"/>
      <c r="OB85" s="62"/>
      <c r="OC85" s="63"/>
      <c r="OD85" s="62"/>
      <c r="OE85" s="63"/>
      <c r="OF85" s="62"/>
      <c r="OG85" s="63"/>
      <c r="OH85" s="62"/>
      <c r="OI85" s="63"/>
      <c r="OJ85" s="62"/>
      <c r="OK85" s="63"/>
      <c r="OL85" s="62"/>
      <c r="OM85" s="63"/>
      <c r="ON85" s="62"/>
      <c r="OO85" s="63"/>
      <c r="OP85" s="62"/>
      <c r="OQ85" s="63"/>
      <c r="OR85" s="62"/>
      <c r="OS85" s="63"/>
      <c r="OT85" s="62"/>
      <c r="OU85" s="63"/>
      <c r="OV85" s="62"/>
      <c r="OW85" s="63"/>
      <c r="OX85" s="62"/>
      <c r="OY85" s="63"/>
      <c r="OZ85" s="62"/>
      <c r="PA85" s="63"/>
      <c r="PB85" s="62"/>
      <c r="PC85" s="63"/>
      <c r="PD85" s="62"/>
      <c r="PE85" s="63"/>
      <c r="PF85" s="62"/>
      <c r="PG85" s="63"/>
      <c r="PH85" s="62"/>
      <c r="PI85" s="63"/>
      <c r="PJ85" s="62"/>
      <c r="PK85" s="63"/>
      <c r="PL85" s="62"/>
      <c r="PM85" s="63"/>
      <c r="PN85" s="62"/>
      <c r="PO85" s="63"/>
      <c r="PP85" s="62"/>
      <c r="PQ85" s="63"/>
      <c r="PR85" s="62"/>
      <c r="PS85" s="63"/>
      <c r="PT85" s="62"/>
      <c r="PU85" s="63"/>
      <c r="PV85" s="62"/>
      <c r="PW85" s="63"/>
      <c r="PX85" s="62"/>
      <c r="PY85" s="63"/>
      <c r="PZ85" s="62"/>
      <c r="QA85" s="63"/>
      <c r="QB85" s="62"/>
      <c r="QC85" s="63"/>
      <c r="QD85" s="62"/>
      <c r="QE85" s="63"/>
      <c r="QF85" s="62"/>
      <c r="QG85" s="63"/>
      <c r="QH85" s="62"/>
      <c r="QI85" s="63"/>
      <c r="QJ85" s="62"/>
      <c r="QK85" s="63"/>
      <c r="QL85" s="62"/>
      <c r="QM85" s="63"/>
      <c r="QN85" s="62"/>
      <c r="QO85" s="63"/>
      <c r="QP85" s="62"/>
      <c r="QQ85" s="63"/>
      <c r="QR85" s="62"/>
      <c r="QS85" s="63"/>
      <c r="QT85" s="62"/>
      <c r="QU85" s="63"/>
      <c r="QV85" s="62"/>
      <c r="QW85" s="63"/>
      <c r="QX85" s="62"/>
      <c r="QY85" s="63"/>
      <c r="QZ85" s="62"/>
      <c r="RA85" s="63"/>
      <c r="RB85" s="62"/>
      <c r="RC85" s="63"/>
      <c r="RD85" s="31"/>
    </row>
    <row r="86" spans="1:472" s="5" customFormat="1" hidden="1" x14ac:dyDescent="0.25">
      <c r="A86" s="41">
        <v>2098</v>
      </c>
      <c r="B86" s="41" t="s">
        <v>944</v>
      </c>
      <c r="C86" s="41" t="s">
        <v>5</v>
      </c>
      <c r="D86" s="41">
        <v>170</v>
      </c>
      <c r="E86" s="42"/>
      <c r="F86" s="41" t="s">
        <v>817</v>
      </c>
      <c r="I86" s="31"/>
      <c r="J86" s="32"/>
      <c r="K86" s="31"/>
      <c r="L86" s="32"/>
      <c r="M86" s="31"/>
      <c r="N86" s="32"/>
      <c r="O86" s="31"/>
      <c r="P86" s="32"/>
      <c r="Q86" s="31"/>
      <c r="R86" s="32"/>
      <c r="S86" s="31"/>
      <c r="T86" s="32"/>
      <c r="X86" s="31"/>
      <c r="Y86" s="32"/>
      <c r="Z86" s="31"/>
      <c r="AA86" s="32"/>
      <c r="AB86" s="31"/>
      <c r="AC86" s="32"/>
      <c r="AD86" s="31"/>
      <c r="AE86" s="32"/>
      <c r="AF86" s="31"/>
      <c r="AG86" s="32"/>
      <c r="AH86" s="31"/>
      <c r="AI86" s="32"/>
      <c r="AJ86" s="31"/>
      <c r="AK86" s="32"/>
      <c r="AL86" s="31"/>
      <c r="AM86" s="32"/>
      <c r="AN86" s="31"/>
      <c r="AO86" s="32"/>
      <c r="AP86" s="31"/>
      <c r="AQ86" s="32"/>
      <c r="AR86" s="31"/>
      <c r="AS86" s="32"/>
      <c r="AT86" s="31"/>
      <c r="AU86" s="32"/>
      <c r="AV86" s="31"/>
      <c r="AW86" s="32"/>
      <c r="AX86" s="31"/>
      <c r="AY86" s="32"/>
      <c r="AZ86" s="31"/>
      <c r="BA86" s="32"/>
      <c r="BB86" s="31"/>
      <c r="BC86" s="32"/>
      <c r="BD86" s="31"/>
      <c r="BE86" s="32"/>
      <c r="BF86" s="31"/>
      <c r="BG86" s="32"/>
      <c r="BH86" s="31"/>
      <c r="BI86" s="32"/>
      <c r="BJ86" s="31"/>
      <c r="BK86" s="32"/>
      <c r="BL86" s="31"/>
      <c r="BM86" s="32"/>
      <c r="BN86" s="31"/>
      <c r="BO86" s="32"/>
      <c r="BP86" s="31"/>
      <c r="BQ86" s="32"/>
      <c r="BR86" s="31"/>
      <c r="BS86" s="32"/>
      <c r="BT86" s="31"/>
      <c r="BU86" s="32"/>
      <c r="BV86" s="31"/>
      <c r="BW86" s="32"/>
      <c r="BX86" s="31"/>
      <c r="BY86" s="32"/>
      <c r="BZ86" s="31"/>
      <c r="CA86" s="32"/>
      <c r="CB86" s="31"/>
      <c r="CC86" s="32"/>
      <c r="CD86" s="31"/>
      <c r="CE86" s="32"/>
      <c r="CF86" s="31"/>
      <c r="CG86" s="32"/>
      <c r="CH86" s="31"/>
      <c r="CI86" s="32"/>
      <c r="CJ86" s="31"/>
      <c r="CK86" s="32"/>
      <c r="CL86" s="31"/>
      <c r="CM86" s="32"/>
      <c r="CN86" s="31"/>
      <c r="CO86" s="32"/>
      <c r="CP86" s="31"/>
      <c r="CQ86" s="32"/>
      <c r="CR86" s="31"/>
      <c r="CS86" s="32"/>
      <c r="CT86" s="31"/>
      <c r="CU86" s="32"/>
      <c r="CV86" s="31"/>
      <c r="CW86" s="32"/>
      <c r="CX86" s="31"/>
      <c r="CY86" s="32"/>
      <c r="CZ86" s="31"/>
      <c r="DA86" s="32"/>
      <c r="DB86" s="31"/>
      <c r="DC86" s="32"/>
      <c r="DD86" s="31"/>
      <c r="DE86" s="32"/>
      <c r="DF86" s="31"/>
      <c r="DG86" s="32"/>
      <c r="DH86" s="31"/>
      <c r="DI86" s="32"/>
      <c r="DJ86" s="31"/>
      <c r="DK86" s="32"/>
      <c r="DL86" s="31"/>
      <c r="DM86" s="32"/>
      <c r="DN86" s="31"/>
      <c r="DO86" s="32"/>
      <c r="DP86" s="31"/>
      <c r="DQ86" s="32"/>
      <c r="DR86" s="31"/>
      <c r="DS86" s="32"/>
      <c r="DT86" s="31"/>
      <c r="DU86" s="32"/>
      <c r="DV86" s="31"/>
      <c r="DW86" s="32"/>
      <c r="DX86" s="31"/>
      <c r="DY86" s="32"/>
      <c r="DZ86" s="31"/>
      <c r="EA86" s="32"/>
      <c r="EB86" s="31"/>
      <c r="EC86" s="32"/>
      <c r="ED86" s="31"/>
      <c r="EE86" s="32"/>
      <c r="EF86" s="31"/>
      <c r="EG86" s="32"/>
      <c r="EH86" s="31"/>
      <c r="EI86" s="32"/>
      <c r="EJ86" s="31"/>
      <c r="EK86" s="32"/>
      <c r="EL86" s="31"/>
      <c r="EM86" s="32"/>
      <c r="EN86" s="31"/>
      <c r="EO86" s="32"/>
      <c r="EP86" s="31"/>
      <c r="EQ86" s="32"/>
      <c r="ER86" s="31"/>
      <c r="ES86" s="32"/>
      <c r="ET86" s="31"/>
      <c r="EU86" s="32"/>
      <c r="EV86" s="31"/>
      <c r="EW86" s="32"/>
      <c r="EX86" s="31"/>
      <c r="EY86" s="32"/>
      <c r="EZ86" s="31"/>
      <c r="FA86" s="32"/>
      <c r="FB86" s="31"/>
      <c r="FC86" s="32"/>
      <c r="FD86" s="31"/>
      <c r="FE86" s="32"/>
      <c r="FF86" s="62"/>
      <c r="FG86" s="63"/>
      <c r="FH86" s="62"/>
      <c r="FI86" s="63"/>
      <c r="FJ86" s="62"/>
      <c r="FK86" s="63"/>
      <c r="FL86" s="62"/>
      <c r="FM86" s="63"/>
      <c r="FN86" s="62"/>
      <c r="FO86" s="63"/>
      <c r="FP86" s="62"/>
      <c r="FQ86" s="63"/>
      <c r="FR86" s="62"/>
      <c r="FS86" s="63"/>
      <c r="FT86" s="62"/>
      <c r="FU86" s="63"/>
      <c r="FV86" s="62"/>
      <c r="FW86" s="63"/>
      <c r="FX86" s="62"/>
      <c r="FY86" s="63"/>
      <c r="FZ86" s="62"/>
      <c r="GA86" s="63"/>
      <c r="GB86" s="62"/>
      <c r="GC86" s="63"/>
      <c r="GD86" s="62"/>
      <c r="GE86" s="63"/>
      <c r="GF86" s="62"/>
      <c r="GG86" s="63"/>
      <c r="GH86" s="62"/>
      <c r="GI86" s="63"/>
      <c r="GJ86" s="62"/>
      <c r="GK86" s="63"/>
      <c r="GL86" s="62"/>
      <c r="GM86" s="63"/>
      <c r="GN86" s="62"/>
      <c r="GO86" s="63"/>
      <c r="GP86" s="62"/>
      <c r="GQ86" s="63"/>
      <c r="GR86" s="62"/>
      <c r="GS86" s="63"/>
      <c r="GT86" s="62"/>
      <c r="GU86" s="63"/>
      <c r="GV86" s="62"/>
      <c r="GW86" s="63"/>
      <c r="GX86" s="62"/>
      <c r="GY86" s="63"/>
      <c r="GZ86" s="62"/>
      <c r="HA86" s="63"/>
      <c r="HB86" s="62"/>
      <c r="HC86" s="63"/>
      <c r="HD86" s="62"/>
      <c r="HE86" s="63"/>
      <c r="HF86" s="62"/>
      <c r="HG86" s="63"/>
      <c r="HH86" s="62"/>
      <c r="HI86" s="63"/>
      <c r="HJ86" s="62"/>
      <c r="HK86" s="63"/>
      <c r="HL86" s="62" t="s">
        <v>66</v>
      </c>
      <c r="HM86" s="63"/>
      <c r="HN86" s="62" t="s">
        <v>66</v>
      </c>
      <c r="HO86" s="63"/>
      <c r="HP86" s="62" t="s">
        <v>38</v>
      </c>
      <c r="HQ86" s="63"/>
      <c r="HR86" s="62" t="s">
        <v>38</v>
      </c>
      <c r="HS86" s="63"/>
      <c r="HT86" s="31" t="s">
        <v>38</v>
      </c>
      <c r="HU86" s="32" t="s">
        <v>36</v>
      </c>
      <c r="HV86" s="62" t="s">
        <v>36</v>
      </c>
      <c r="HW86" s="63"/>
      <c r="HX86" s="62" t="s">
        <v>36</v>
      </c>
      <c r="HY86" s="63"/>
      <c r="HZ86" s="62" t="s">
        <v>36</v>
      </c>
      <c r="IA86" s="63"/>
      <c r="IB86" s="62" t="s">
        <v>36</v>
      </c>
      <c r="IC86" s="63"/>
      <c r="ID86" s="62" t="s">
        <v>36</v>
      </c>
      <c r="IE86" s="63"/>
      <c r="IF86" s="62" t="s">
        <v>36</v>
      </c>
      <c r="IG86" s="63"/>
      <c r="IH86" s="62" t="s">
        <v>36</v>
      </c>
      <c r="II86" s="63"/>
      <c r="IJ86" s="62" t="s">
        <v>37</v>
      </c>
      <c r="IK86" s="63"/>
      <c r="IL86" s="62" t="s">
        <v>37</v>
      </c>
      <c r="IM86" s="63"/>
      <c r="IN86" s="62" t="s">
        <v>37</v>
      </c>
      <c r="IO86" s="63"/>
      <c r="IP86" s="62" t="s">
        <v>37</v>
      </c>
      <c r="IQ86" s="63"/>
      <c r="IR86" s="62" t="s">
        <v>37</v>
      </c>
      <c r="IS86" s="63"/>
      <c r="IT86" s="62" t="s">
        <v>37</v>
      </c>
      <c r="IU86" s="63"/>
      <c r="IV86" s="62" t="s">
        <v>37</v>
      </c>
      <c r="IW86" s="63"/>
      <c r="IX86" s="62" t="s">
        <v>37</v>
      </c>
      <c r="IY86" s="63"/>
      <c r="IZ86" s="62" t="s">
        <v>37</v>
      </c>
      <c r="JA86" s="63"/>
      <c r="JB86" s="62" t="s">
        <v>37</v>
      </c>
      <c r="JC86" s="63"/>
      <c r="JD86" s="62"/>
      <c r="JE86" s="63"/>
      <c r="JF86" s="62"/>
      <c r="JG86" s="63"/>
      <c r="JH86" s="62"/>
      <c r="JI86" s="63"/>
      <c r="JJ86" s="62"/>
      <c r="JK86" s="63"/>
      <c r="JL86" s="62"/>
      <c r="JM86" s="63"/>
      <c r="JN86" s="62"/>
      <c r="JO86" s="63"/>
      <c r="JP86" s="62"/>
      <c r="JQ86" s="63"/>
      <c r="JR86" s="62"/>
      <c r="JS86" s="63"/>
      <c r="JT86" s="62"/>
      <c r="JU86" s="63"/>
      <c r="JV86" s="62"/>
      <c r="JW86" s="63"/>
      <c r="JX86" s="62"/>
      <c r="JY86" s="63"/>
      <c r="JZ86" s="62"/>
      <c r="KA86" s="63"/>
      <c r="KB86" s="62"/>
      <c r="KC86" s="63"/>
      <c r="KD86" s="62"/>
      <c r="KE86" s="63"/>
      <c r="KF86" s="62"/>
      <c r="KG86" s="63"/>
      <c r="KH86" s="62"/>
      <c r="KI86" s="63"/>
      <c r="KJ86" s="62"/>
      <c r="KK86" s="63"/>
      <c r="KL86" s="62"/>
      <c r="KM86" s="63"/>
      <c r="KN86" s="62"/>
      <c r="KO86" s="63"/>
      <c r="KP86" s="62"/>
      <c r="KQ86" s="63"/>
      <c r="KR86" s="62"/>
      <c r="KS86" s="63"/>
      <c r="KT86" s="62"/>
      <c r="KU86" s="63"/>
      <c r="KV86" s="62"/>
      <c r="KW86" s="63"/>
      <c r="KX86" s="62"/>
      <c r="KY86" s="63"/>
      <c r="KZ86" s="62"/>
      <c r="LA86" s="63"/>
      <c r="LB86" s="62"/>
      <c r="LC86" s="63"/>
      <c r="LD86" s="62"/>
      <c r="LE86" s="63"/>
      <c r="LF86" s="62"/>
      <c r="LG86" s="63"/>
      <c r="LH86" s="62"/>
      <c r="LI86" s="63"/>
      <c r="LJ86" s="62"/>
      <c r="LK86" s="63"/>
      <c r="LL86" s="62"/>
      <c r="LM86" s="63"/>
      <c r="LN86" s="62"/>
      <c r="LO86" s="63"/>
      <c r="LP86" s="62"/>
      <c r="LQ86" s="63"/>
      <c r="LR86" s="62"/>
      <c r="LS86" s="63"/>
      <c r="LT86" s="62"/>
      <c r="LU86" s="63"/>
      <c r="LV86" s="62"/>
      <c r="LW86" s="63"/>
      <c r="LX86" s="62"/>
      <c r="LY86" s="63"/>
      <c r="LZ86" s="62"/>
      <c r="MA86" s="63"/>
      <c r="MB86" s="62"/>
      <c r="MC86" s="63"/>
      <c r="MD86" s="62"/>
      <c r="ME86" s="63"/>
      <c r="MF86" s="62"/>
      <c r="MG86" s="63"/>
      <c r="MH86" s="62"/>
      <c r="MI86" s="63"/>
      <c r="MJ86" s="62"/>
      <c r="MK86" s="63"/>
      <c r="ML86" s="62"/>
      <c r="MM86" s="63"/>
      <c r="MN86" s="62"/>
      <c r="MO86" s="63"/>
      <c r="MP86" s="62"/>
      <c r="MQ86" s="63"/>
      <c r="MR86" s="62"/>
      <c r="MS86" s="63"/>
      <c r="MT86" s="62"/>
      <c r="MU86" s="63"/>
      <c r="MV86" s="62"/>
      <c r="MW86" s="63"/>
      <c r="MX86" s="62"/>
      <c r="MY86" s="63"/>
      <c r="MZ86" s="62"/>
      <c r="NA86" s="63"/>
      <c r="NB86" s="62"/>
      <c r="NC86" s="63"/>
      <c r="ND86" s="62"/>
      <c r="NE86" s="63"/>
      <c r="NF86" s="62"/>
      <c r="NG86" s="63"/>
      <c r="NH86" s="62"/>
      <c r="NI86" s="63"/>
      <c r="NJ86" s="62"/>
      <c r="NK86" s="63"/>
      <c r="NL86" s="62"/>
      <c r="NM86" s="63"/>
      <c r="NN86" s="62"/>
      <c r="NO86" s="63"/>
      <c r="NP86" s="62"/>
      <c r="NQ86" s="63"/>
      <c r="NR86" s="62"/>
      <c r="NS86" s="63"/>
      <c r="NT86" s="62"/>
      <c r="NU86" s="63"/>
      <c r="NV86" s="62"/>
      <c r="NW86" s="63"/>
      <c r="NX86" s="62"/>
      <c r="NY86" s="63"/>
      <c r="NZ86" s="62"/>
      <c r="OA86" s="63"/>
      <c r="OB86" s="62"/>
      <c r="OC86" s="63"/>
      <c r="OD86" s="62"/>
      <c r="OE86" s="63"/>
      <c r="OF86" s="62"/>
      <c r="OG86" s="63"/>
      <c r="OH86" s="62"/>
      <c r="OI86" s="63"/>
      <c r="OJ86" s="62"/>
      <c r="OK86" s="63"/>
      <c r="OL86" s="62"/>
      <c r="OM86" s="63"/>
      <c r="ON86" s="62"/>
      <c r="OO86" s="63"/>
      <c r="OP86" s="62"/>
      <c r="OQ86" s="63"/>
      <c r="OR86" s="62"/>
      <c r="OS86" s="63"/>
      <c r="OT86" s="62"/>
      <c r="OU86" s="63"/>
      <c r="OV86" s="62"/>
      <c r="OW86" s="63"/>
      <c r="OX86" s="62"/>
      <c r="OY86" s="63"/>
      <c r="OZ86" s="62"/>
      <c r="PA86" s="63"/>
      <c r="PB86" s="62"/>
      <c r="PC86" s="63"/>
      <c r="PD86" s="62"/>
      <c r="PE86" s="63"/>
      <c r="PF86" s="62"/>
      <c r="PG86" s="63"/>
      <c r="PH86" s="62"/>
      <c r="PI86" s="63"/>
      <c r="PJ86" s="62"/>
      <c r="PK86" s="63"/>
      <c r="PL86" s="62"/>
      <c r="PM86" s="63"/>
      <c r="PN86" s="62"/>
      <c r="PO86" s="63"/>
      <c r="PP86" s="62"/>
      <c r="PQ86" s="63"/>
      <c r="PR86" s="62"/>
      <c r="PS86" s="63"/>
      <c r="PT86" s="62"/>
      <c r="PU86" s="63"/>
      <c r="PV86" s="62"/>
      <c r="PW86" s="63"/>
      <c r="PX86" s="62"/>
      <c r="PY86" s="63"/>
      <c r="PZ86" s="62"/>
      <c r="QA86" s="63"/>
      <c r="QB86" s="62"/>
      <c r="QC86" s="63"/>
      <c r="QD86" s="62"/>
      <c r="QE86" s="63"/>
      <c r="QF86" s="62"/>
      <c r="QG86" s="63"/>
      <c r="QH86" s="62"/>
      <c r="QI86" s="63"/>
      <c r="QJ86" s="62"/>
      <c r="QK86" s="63"/>
      <c r="QL86" s="62"/>
      <c r="QM86" s="63"/>
      <c r="QN86" s="62"/>
      <c r="QO86" s="63"/>
      <c r="QP86" s="62"/>
      <c r="QQ86" s="63"/>
      <c r="QR86" s="62"/>
      <c r="QS86" s="63"/>
      <c r="QT86" s="62"/>
      <c r="QU86" s="63"/>
      <c r="QV86" s="62"/>
      <c r="QW86" s="63"/>
      <c r="QX86" s="62"/>
      <c r="QY86" s="63"/>
      <c r="QZ86" s="62"/>
      <c r="RA86" s="63"/>
      <c r="RB86" s="62"/>
      <c r="RC86" s="63"/>
      <c r="RD86" s="31"/>
    </row>
    <row r="87" spans="1:472" s="5" customFormat="1" hidden="1" x14ac:dyDescent="0.25">
      <c r="A87" s="41">
        <v>2092</v>
      </c>
      <c r="B87" s="41" t="s">
        <v>890</v>
      </c>
      <c r="C87" s="41" t="s">
        <v>165</v>
      </c>
      <c r="D87" s="41">
        <v>125</v>
      </c>
      <c r="E87" s="42"/>
      <c r="F87" s="41" t="s">
        <v>289</v>
      </c>
      <c r="I87" s="62"/>
      <c r="J87" s="63"/>
      <c r="K87" s="62"/>
      <c r="L87" s="63"/>
      <c r="M87" s="62"/>
      <c r="N87" s="63"/>
      <c r="O87" s="62"/>
      <c r="P87" s="63"/>
      <c r="Q87" s="62"/>
      <c r="R87" s="63"/>
      <c r="S87" s="62"/>
      <c r="T87" s="63"/>
      <c r="X87" s="62"/>
      <c r="Y87" s="63"/>
      <c r="Z87" s="62"/>
      <c r="AA87" s="63"/>
      <c r="AB87" s="62"/>
      <c r="AC87" s="63"/>
      <c r="AD87" s="62"/>
      <c r="AE87" s="63"/>
      <c r="AF87" s="62"/>
      <c r="AG87" s="63"/>
      <c r="AH87" s="62"/>
      <c r="AI87" s="63"/>
      <c r="AJ87" s="62"/>
      <c r="AK87" s="63"/>
      <c r="AL87" s="62"/>
      <c r="AM87" s="63"/>
      <c r="AN87" s="62"/>
      <c r="AO87" s="63"/>
      <c r="AP87" s="62"/>
      <c r="AQ87" s="63"/>
      <c r="AR87" s="62"/>
      <c r="AS87" s="63"/>
      <c r="AT87" s="62"/>
      <c r="AU87" s="63"/>
      <c r="AV87" s="62"/>
      <c r="AW87" s="63"/>
      <c r="AX87" s="62"/>
      <c r="AY87" s="63"/>
      <c r="AZ87" s="62"/>
      <c r="BA87" s="63"/>
      <c r="BB87" s="62"/>
      <c r="BC87" s="63"/>
      <c r="BD87" s="62"/>
      <c r="BE87" s="63"/>
      <c r="BF87" s="62"/>
      <c r="BG87" s="63"/>
      <c r="BH87" s="62"/>
      <c r="BI87" s="63"/>
      <c r="BJ87" s="62"/>
      <c r="BK87" s="63"/>
      <c r="BL87" s="62"/>
      <c r="BM87" s="63"/>
      <c r="BN87" s="62"/>
      <c r="BO87" s="63"/>
      <c r="BP87" s="62"/>
      <c r="BQ87" s="63"/>
      <c r="BR87" s="62"/>
      <c r="BS87" s="63"/>
      <c r="BT87" s="62"/>
      <c r="BU87" s="63"/>
      <c r="BV87" s="62"/>
      <c r="BW87" s="63"/>
      <c r="BX87" s="62"/>
      <c r="BY87" s="63"/>
      <c r="BZ87" s="62"/>
      <c r="CA87" s="63"/>
      <c r="CB87" s="62"/>
      <c r="CC87" s="63"/>
      <c r="CD87" s="62"/>
      <c r="CE87" s="63"/>
      <c r="CF87" s="62"/>
      <c r="CG87" s="63"/>
      <c r="CH87" s="62"/>
      <c r="CI87" s="63"/>
      <c r="CJ87" s="62"/>
      <c r="CK87" s="63"/>
      <c r="CL87" s="62"/>
      <c r="CM87" s="63"/>
      <c r="CN87" s="62"/>
      <c r="CO87" s="63"/>
      <c r="CP87" s="62"/>
      <c r="CQ87" s="63"/>
      <c r="CR87" s="62"/>
      <c r="CS87" s="63"/>
      <c r="CT87" s="62"/>
      <c r="CU87" s="63"/>
      <c r="CV87" s="62"/>
      <c r="CW87" s="63"/>
      <c r="CX87" s="62"/>
      <c r="CY87" s="63"/>
      <c r="CZ87" s="62"/>
      <c r="DA87" s="63"/>
      <c r="DB87" s="62"/>
      <c r="DC87" s="63"/>
      <c r="DD87" s="62"/>
      <c r="DE87" s="63"/>
      <c r="DF87" s="62"/>
      <c r="DG87" s="63"/>
      <c r="DH87" s="62"/>
      <c r="DI87" s="63"/>
      <c r="DJ87" s="62"/>
      <c r="DK87" s="63"/>
      <c r="DL87" s="62"/>
      <c r="DM87" s="63"/>
      <c r="DN87" s="62"/>
      <c r="DO87" s="63"/>
      <c r="DP87" s="62"/>
      <c r="DQ87" s="63"/>
      <c r="DR87" s="62"/>
      <c r="DS87" s="63"/>
      <c r="DT87" s="62"/>
      <c r="DU87" s="63"/>
      <c r="DV87" s="62"/>
      <c r="DW87" s="63"/>
      <c r="DX87" s="62"/>
      <c r="DY87" s="63"/>
      <c r="DZ87" s="62"/>
      <c r="EA87" s="63"/>
      <c r="EB87" s="62"/>
      <c r="EC87" s="63"/>
      <c r="ED87" s="62"/>
      <c r="EE87" s="63"/>
      <c r="EF87" s="62"/>
      <c r="EG87" s="63"/>
      <c r="EH87" s="62"/>
      <c r="EI87" s="63"/>
      <c r="EJ87" s="62"/>
      <c r="EK87" s="63"/>
      <c r="EL87" s="62"/>
      <c r="EM87" s="63"/>
      <c r="EN87" s="62"/>
      <c r="EO87" s="63"/>
      <c r="EP87" s="62"/>
      <c r="EQ87" s="63"/>
      <c r="ER87" s="62"/>
      <c r="ES87" s="63"/>
      <c r="ET87" s="62"/>
      <c r="EU87" s="63"/>
      <c r="EV87" s="62"/>
      <c r="EW87" s="63"/>
      <c r="EX87" s="62"/>
      <c r="EY87" s="63"/>
      <c r="EZ87" s="62"/>
      <c r="FA87" s="63"/>
      <c r="FB87" s="62"/>
      <c r="FC87" s="63"/>
      <c r="FD87" s="62"/>
      <c r="FE87" s="63"/>
      <c r="FF87" s="62"/>
      <c r="FG87" s="63"/>
      <c r="FH87" s="62"/>
      <c r="FI87" s="63"/>
      <c r="FJ87" s="62"/>
      <c r="FK87" s="63"/>
      <c r="FL87" s="62"/>
      <c r="FM87" s="63"/>
      <c r="FN87" s="62"/>
      <c r="FO87" s="63"/>
      <c r="FP87" s="62"/>
      <c r="FQ87" s="63"/>
      <c r="FR87" s="62"/>
      <c r="FS87" s="63"/>
      <c r="FT87" s="62"/>
      <c r="FU87" s="63"/>
      <c r="FV87" s="62"/>
      <c r="FW87" s="63"/>
      <c r="FX87" s="62"/>
      <c r="FY87" s="63"/>
      <c r="FZ87" s="62"/>
      <c r="GA87" s="63"/>
      <c r="GB87" s="62"/>
      <c r="GC87" s="63"/>
      <c r="GD87" s="62"/>
      <c r="GE87" s="63"/>
      <c r="GF87" s="62"/>
      <c r="GG87" s="63"/>
      <c r="GH87" s="62"/>
      <c r="GI87" s="63"/>
      <c r="GJ87" s="62"/>
      <c r="GK87" s="63"/>
      <c r="GL87" s="62"/>
      <c r="GM87" s="63"/>
      <c r="GN87" s="62"/>
      <c r="GO87" s="63"/>
      <c r="GP87" s="62"/>
      <c r="GQ87" s="63"/>
      <c r="GR87" s="62"/>
      <c r="GS87" s="63"/>
      <c r="GT87" s="62"/>
      <c r="GU87" s="63"/>
      <c r="GV87" s="62"/>
      <c r="GW87" s="63"/>
      <c r="GX87" s="62"/>
      <c r="GY87" s="63"/>
      <c r="GZ87" s="62"/>
      <c r="HA87" s="63"/>
      <c r="HB87" s="62"/>
      <c r="HC87" s="63"/>
      <c r="HD87" s="62"/>
      <c r="HE87" s="63"/>
      <c r="HF87" s="62"/>
      <c r="HG87" s="63"/>
      <c r="HH87" s="18"/>
      <c r="HI87" s="19" t="s">
        <v>66</v>
      </c>
      <c r="HJ87" s="62" t="s">
        <v>66</v>
      </c>
      <c r="HK87" s="63"/>
      <c r="HL87" s="62" t="s">
        <v>66</v>
      </c>
      <c r="HM87" s="63"/>
      <c r="HN87" s="62" t="s">
        <v>66</v>
      </c>
      <c r="HO87" s="63"/>
      <c r="HP87" s="62" t="s">
        <v>38</v>
      </c>
      <c r="HQ87" s="63"/>
      <c r="HR87" s="62" t="s">
        <v>38</v>
      </c>
      <c r="HS87" s="63"/>
      <c r="HT87" s="31" t="s">
        <v>38</v>
      </c>
      <c r="HU87" s="32" t="s">
        <v>36</v>
      </c>
      <c r="HV87" s="62" t="s">
        <v>38</v>
      </c>
      <c r="HW87" s="63"/>
      <c r="HX87" s="62" t="s">
        <v>36</v>
      </c>
      <c r="HY87" s="63"/>
      <c r="HZ87" s="62" t="s">
        <v>36</v>
      </c>
      <c r="IA87" s="63"/>
      <c r="IB87" s="62" t="s">
        <v>36</v>
      </c>
      <c r="IC87" s="63"/>
      <c r="ID87" s="62" t="s">
        <v>36</v>
      </c>
      <c r="IE87" s="63"/>
      <c r="IF87" s="62" t="s">
        <v>36</v>
      </c>
      <c r="IG87" s="63"/>
      <c r="IH87" s="62" t="s">
        <v>36</v>
      </c>
      <c r="II87" s="63"/>
      <c r="IJ87" s="62" t="s">
        <v>36</v>
      </c>
      <c r="IK87" s="63"/>
      <c r="IL87" s="62" t="s">
        <v>36</v>
      </c>
      <c r="IM87" s="63"/>
      <c r="IN87" s="62" t="s">
        <v>36</v>
      </c>
      <c r="IO87" s="63"/>
      <c r="IP87" s="62" t="s">
        <v>36</v>
      </c>
      <c r="IQ87" s="63"/>
      <c r="IR87" s="62" t="s">
        <v>37</v>
      </c>
      <c r="IS87" s="63"/>
      <c r="IT87" s="62" t="s">
        <v>37</v>
      </c>
      <c r="IU87" s="63"/>
      <c r="IV87" s="62" t="s">
        <v>37</v>
      </c>
      <c r="IW87" s="63"/>
      <c r="IX87" s="62" t="s">
        <v>37</v>
      </c>
      <c r="IY87" s="63"/>
      <c r="IZ87" s="62" t="s">
        <v>37</v>
      </c>
      <c r="JA87" s="63"/>
      <c r="JB87" s="62" t="s">
        <v>37</v>
      </c>
      <c r="JC87" s="63"/>
      <c r="JD87" s="62"/>
      <c r="JE87" s="63"/>
      <c r="JF87" s="62"/>
      <c r="JG87" s="63"/>
      <c r="JH87" s="62"/>
      <c r="JI87" s="63"/>
      <c r="JJ87" s="62"/>
      <c r="JK87" s="63"/>
      <c r="JL87" s="62"/>
      <c r="JM87" s="63"/>
      <c r="JN87" s="62"/>
      <c r="JO87" s="63"/>
      <c r="JP87" s="62"/>
      <c r="JQ87" s="63"/>
      <c r="JR87" s="62"/>
      <c r="JS87" s="63"/>
      <c r="JT87" s="62"/>
      <c r="JU87" s="63"/>
      <c r="JV87" s="62"/>
      <c r="JW87" s="63"/>
      <c r="JX87" s="62"/>
      <c r="JY87" s="63"/>
      <c r="JZ87" s="62"/>
      <c r="KA87" s="63"/>
      <c r="KB87" s="62"/>
      <c r="KC87" s="63"/>
      <c r="KD87" s="62"/>
      <c r="KE87" s="63"/>
      <c r="KF87" s="62"/>
      <c r="KG87" s="63"/>
      <c r="KH87" s="62"/>
      <c r="KI87" s="63"/>
      <c r="KJ87" s="62"/>
      <c r="KK87" s="63"/>
      <c r="KL87" s="62"/>
      <c r="KM87" s="63"/>
      <c r="KN87" s="62"/>
      <c r="KO87" s="63"/>
      <c r="KP87" s="62"/>
      <c r="KQ87" s="63"/>
      <c r="KR87" s="62"/>
      <c r="KS87" s="63"/>
      <c r="KT87" s="62"/>
      <c r="KU87" s="63"/>
      <c r="KV87" s="62"/>
      <c r="KW87" s="63"/>
      <c r="KX87" s="62"/>
      <c r="KY87" s="63"/>
      <c r="KZ87" s="62"/>
      <c r="LA87" s="63"/>
      <c r="LB87" s="62"/>
      <c r="LC87" s="63"/>
      <c r="LD87" s="62"/>
      <c r="LE87" s="63"/>
      <c r="LF87" s="62"/>
      <c r="LG87" s="63"/>
      <c r="LH87" s="62"/>
      <c r="LI87" s="63"/>
      <c r="LJ87" s="62"/>
      <c r="LK87" s="63"/>
      <c r="LL87" s="62"/>
      <c r="LM87" s="63"/>
      <c r="LN87" s="62"/>
      <c r="LO87" s="63"/>
      <c r="LP87" s="62"/>
      <c r="LQ87" s="63"/>
      <c r="LR87" s="62"/>
      <c r="LS87" s="63"/>
      <c r="LT87" s="62"/>
      <c r="LU87" s="63"/>
      <c r="LV87" s="62"/>
      <c r="LW87" s="63"/>
      <c r="LX87" s="62"/>
      <c r="LY87" s="63"/>
      <c r="LZ87" s="62"/>
      <c r="MA87" s="63"/>
      <c r="MB87" s="62"/>
      <c r="MC87" s="63"/>
      <c r="MD87" s="62"/>
      <c r="ME87" s="63"/>
      <c r="MF87" s="62"/>
      <c r="MG87" s="63"/>
      <c r="MH87" s="62"/>
      <c r="MI87" s="63"/>
      <c r="MJ87" s="62"/>
      <c r="MK87" s="63"/>
      <c r="ML87" s="62"/>
      <c r="MM87" s="63"/>
      <c r="MN87" s="62"/>
      <c r="MO87" s="63"/>
      <c r="MP87" s="62"/>
      <c r="MQ87" s="63"/>
      <c r="MR87" s="62"/>
      <c r="MS87" s="63"/>
      <c r="MT87" s="62"/>
      <c r="MU87" s="63"/>
      <c r="MV87" s="62"/>
      <c r="MW87" s="63"/>
      <c r="MX87" s="62"/>
      <c r="MY87" s="63"/>
      <c r="MZ87" s="62"/>
      <c r="NA87" s="63"/>
      <c r="NB87" s="62"/>
      <c r="NC87" s="63"/>
      <c r="ND87" s="62"/>
      <c r="NE87" s="63"/>
      <c r="NF87" s="62"/>
      <c r="NG87" s="63"/>
      <c r="NH87" s="62"/>
      <c r="NI87" s="63"/>
      <c r="NJ87" s="62"/>
      <c r="NK87" s="63"/>
      <c r="NL87" s="62"/>
      <c r="NM87" s="63"/>
      <c r="NN87" s="62"/>
      <c r="NO87" s="63"/>
      <c r="NP87" s="62"/>
      <c r="NQ87" s="63"/>
      <c r="NR87" s="62"/>
      <c r="NS87" s="63"/>
      <c r="NT87" s="62"/>
      <c r="NU87" s="63"/>
      <c r="NV87" s="62"/>
      <c r="NW87" s="63"/>
      <c r="NX87" s="62"/>
      <c r="NY87" s="63"/>
      <c r="NZ87" s="62"/>
      <c r="OA87" s="63"/>
      <c r="OB87" s="62"/>
      <c r="OC87" s="63"/>
      <c r="OD87" s="62"/>
      <c r="OE87" s="63"/>
      <c r="OF87" s="62"/>
      <c r="OG87" s="63"/>
      <c r="OH87" s="62"/>
      <c r="OI87" s="63"/>
      <c r="OJ87" s="62"/>
      <c r="OK87" s="63"/>
      <c r="OL87" s="62"/>
      <c r="OM87" s="63"/>
      <c r="ON87" s="62"/>
      <c r="OO87" s="63"/>
      <c r="OP87" s="62"/>
      <c r="OQ87" s="63"/>
      <c r="OR87" s="62"/>
      <c r="OS87" s="63"/>
      <c r="OT87" s="62"/>
      <c r="OU87" s="63"/>
      <c r="OV87" s="62"/>
      <c r="OW87" s="63"/>
      <c r="OX87" s="62"/>
      <c r="OY87" s="63"/>
      <c r="OZ87" s="62"/>
      <c r="PA87" s="63"/>
      <c r="PB87" s="62"/>
      <c r="PC87" s="63"/>
      <c r="PD87" s="62"/>
      <c r="PE87" s="63"/>
      <c r="PF87" s="62"/>
      <c r="PG87" s="63"/>
      <c r="PH87" s="62"/>
      <c r="PI87" s="63"/>
      <c r="PJ87" s="62"/>
      <c r="PK87" s="63"/>
      <c r="PL87" s="62"/>
      <c r="PM87" s="63"/>
      <c r="PN87" s="62"/>
      <c r="PO87" s="63"/>
      <c r="PP87" s="62"/>
      <c r="PQ87" s="63"/>
      <c r="PR87" s="62"/>
      <c r="PS87" s="63"/>
      <c r="PT87" s="62"/>
      <c r="PU87" s="63"/>
      <c r="PV87" s="62"/>
      <c r="PW87" s="63"/>
      <c r="PX87" s="62"/>
      <c r="PY87" s="63"/>
      <c r="PZ87" s="62"/>
      <c r="QA87" s="63"/>
      <c r="QB87" s="62"/>
      <c r="QC87" s="63"/>
      <c r="QD87" s="62"/>
      <c r="QE87" s="63"/>
      <c r="QF87" s="62"/>
      <c r="QG87" s="63"/>
      <c r="QH87" s="62"/>
      <c r="QI87" s="63"/>
      <c r="QJ87" s="62"/>
      <c r="QK87" s="63"/>
      <c r="QL87" s="62"/>
      <c r="QM87" s="63"/>
      <c r="QN87" s="62"/>
      <c r="QO87" s="63"/>
      <c r="QP87" s="62"/>
      <c r="QQ87" s="63"/>
      <c r="QR87" s="62"/>
      <c r="QS87" s="63"/>
      <c r="QT87" s="62"/>
      <c r="QU87" s="63"/>
      <c r="QV87" s="62"/>
      <c r="QW87" s="63"/>
      <c r="QX87" s="62"/>
      <c r="QY87" s="63"/>
      <c r="QZ87" s="62"/>
      <c r="RA87" s="63"/>
      <c r="RB87" s="62"/>
      <c r="RC87" s="63"/>
      <c r="RD87" s="31"/>
    </row>
    <row r="88" spans="1:472" s="5" customFormat="1" hidden="1" x14ac:dyDescent="0.25">
      <c r="A88" s="41">
        <v>2097</v>
      </c>
      <c r="B88" s="41" t="s">
        <v>1113</v>
      </c>
      <c r="C88" s="41" t="s">
        <v>444</v>
      </c>
      <c r="D88" s="41">
        <v>228</v>
      </c>
      <c r="E88" s="42"/>
      <c r="F88" s="41" t="s">
        <v>1212</v>
      </c>
      <c r="I88" s="31"/>
      <c r="J88" s="32"/>
      <c r="K88" s="31"/>
      <c r="L88" s="32"/>
      <c r="M88" s="31"/>
      <c r="N88" s="32"/>
      <c r="O88" s="31"/>
      <c r="P88" s="32"/>
      <c r="Q88" s="31"/>
      <c r="R88" s="32"/>
      <c r="S88" s="31"/>
      <c r="T88" s="32"/>
      <c r="X88" s="31"/>
      <c r="Y88" s="32"/>
      <c r="Z88" s="31"/>
      <c r="AA88" s="32"/>
      <c r="AB88" s="31"/>
      <c r="AC88" s="32"/>
      <c r="AD88" s="31"/>
      <c r="AE88" s="32"/>
      <c r="AF88" s="31"/>
      <c r="AG88" s="32"/>
      <c r="AH88" s="31"/>
      <c r="AI88" s="32"/>
      <c r="AJ88" s="31"/>
      <c r="AK88" s="32"/>
      <c r="AL88" s="31"/>
      <c r="AM88" s="32"/>
      <c r="AN88" s="31"/>
      <c r="AO88" s="32"/>
      <c r="AP88" s="31"/>
      <c r="AQ88" s="32"/>
      <c r="AR88" s="31"/>
      <c r="AS88" s="32"/>
      <c r="AT88" s="31"/>
      <c r="AU88" s="32"/>
      <c r="AV88" s="31"/>
      <c r="AW88" s="32"/>
      <c r="AX88" s="31"/>
      <c r="AY88" s="32"/>
      <c r="AZ88" s="31"/>
      <c r="BA88" s="32"/>
      <c r="BB88" s="31"/>
      <c r="BC88" s="32"/>
      <c r="BD88" s="31"/>
      <c r="BE88" s="32"/>
      <c r="BF88" s="31"/>
      <c r="BG88" s="32"/>
      <c r="BH88" s="31"/>
      <c r="BI88" s="32"/>
      <c r="BJ88" s="31"/>
      <c r="BK88" s="32"/>
      <c r="BL88" s="31"/>
      <c r="BM88" s="32"/>
      <c r="BN88" s="31"/>
      <c r="BO88" s="32"/>
      <c r="BP88" s="31"/>
      <c r="BQ88" s="32"/>
      <c r="BR88" s="31"/>
      <c r="BS88" s="32"/>
      <c r="BT88" s="31"/>
      <c r="BU88" s="32"/>
      <c r="BV88" s="31"/>
      <c r="BW88" s="32"/>
      <c r="BX88" s="31"/>
      <c r="BY88" s="32"/>
      <c r="BZ88" s="31"/>
      <c r="CA88" s="32"/>
      <c r="CB88" s="31"/>
      <c r="CC88" s="32"/>
      <c r="CD88" s="31"/>
      <c r="CE88" s="32"/>
      <c r="CF88" s="31"/>
      <c r="CG88" s="32"/>
      <c r="CH88" s="31"/>
      <c r="CI88" s="32"/>
      <c r="CJ88" s="31"/>
      <c r="CK88" s="32"/>
      <c r="CL88" s="31"/>
      <c r="CM88" s="32"/>
      <c r="CN88" s="31"/>
      <c r="CO88" s="32"/>
      <c r="CP88" s="31"/>
      <c r="CQ88" s="32"/>
      <c r="CR88" s="31"/>
      <c r="CS88" s="32"/>
      <c r="CT88" s="31"/>
      <c r="CU88" s="32"/>
      <c r="CV88" s="31"/>
      <c r="CW88" s="32"/>
      <c r="CX88" s="31"/>
      <c r="CY88" s="32"/>
      <c r="CZ88" s="31"/>
      <c r="DA88" s="32"/>
      <c r="DB88" s="31"/>
      <c r="DC88" s="32"/>
      <c r="DD88" s="31"/>
      <c r="DE88" s="32"/>
      <c r="DF88" s="31"/>
      <c r="DG88" s="32"/>
      <c r="DH88" s="31"/>
      <c r="DI88" s="32"/>
      <c r="DJ88" s="31"/>
      <c r="DK88" s="32"/>
      <c r="DL88" s="31"/>
      <c r="DM88" s="32"/>
      <c r="DN88" s="31"/>
      <c r="DO88" s="32"/>
      <c r="DP88" s="31"/>
      <c r="DQ88" s="32"/>
      <c r="DR88" s="31"/>
      <c r="DS88" s="32"/>
      <c r="DT88" s="31"/>
      <c r="DU88" s="32"/>
      <c r="DV88" s="31"/>
      <c r="DW88" s="32"/>
      <c r="DX88" s="31"/>
      <c r="DY88" s="32"/>
      <c r="DZ88" s="31"/>
      <c r="EA88" s="32"/>
      <c r="EB88" s="31"/>
      <c r="EC88" s="32"/>
      <c r="ED88" s="31"/>
      <c r="EE88" s="32"/>
      <c r="EF88" s="31"/>
      <c r="EG88" s="32"/>
      <c r="EH88" s="31"/>
      <c r="EI88" s="32"/>
      <c r="EJ88" s="31"/>
      <c r="EK88" s="32"/>
      <c r="EL88" s="31"/>
      <c r="EM88" s="32"/>
      <c r="EN88" s="31"/>
      <c r="EO88" s="32"/>
      <c r="EP88" s="31"/>
      <c r="EQ88" s="32"/>
      <c r="ER88" s="31"/>
      <c r="ES88" s="32"/>
      <c r="ET88" s="31"/>
      <c r="EU88" s="32"/>
      <c r="EV88" s="31"/>
      <c r="EW88" s="32"/>
      <c r="EX88" s="31"/>
      <c r="EY88" s="32"/>
      <c r="EZ88" s="31"/>
      <c r="FA88" s="32"/>
      <c r="FB88" s="31"/>
      <c r="FC88" s="32"/>
      <c r="FD88" s="31"/>
      <c r="FE88" s="32"/>
      <c r="FF88" s="62"/>
      <c r="FG88" s="63"/>
      <c r="FH88" s="62"/>
      <c r="FI88" s="63"/>
      <c r="FJ88" s="62"/>
      <c r="FK88" s="63"/>
      <c r="FL88" s="62"/>
      <c r="FM88" s="63"/>
      <c r="FN88" s="62"/>
      <c r="FO88" s="63"/>
      <c r="FP88" s="62"/>
      <c r="FQ88" s="63"/>
      <c r="FR88" s="62"/>
      <c r="FS88" s="63"/>
      <c r="FT88" s="62"/>
      <c r="FU88" s="63"/>
      <c r="FV88" s="62"/>
      <c r="FW88" s="63"/>
      <c r="FX88" s="62"/>
      <c r="FY88" s="63"/>
      <c r="FZ88" s="62"/>
      <c r="GA88" s="63"/>
      <c r="GB88" s="62"/>
      <c r="GC88" s="63"/>
      <c r="GD88" s="62"/>
      <c r="GE88" s="63"/>
      <c r="GF88" s="62"/>
      <c r="GG88" s="63"/>
      <c r="GH88" s="62"/>
      <c r="GI88" s="63"/>
      <c r="GJ88" s="62"/>
      <c r="GK88" s="63"/>
      <c r="GL88" s="62"/>
      <c r="GM88" s="63"/>
      <c r="GN88" s="62"/>
      <c r="GO88" s="63"/>
      <c r="GP88" s="62"/>
      <c r="GQ88" s="63"/>
      <c r="GR88" s="62"/>
      <c r="GS88" s="63"/>
      <c r="GT88" s="62"/>
      <c r="GU88" s="63"/>
      <c r="GV88" s="62"/>
      <c r="GW88" s="63"/>
      <c r="GX88" s="62"/>
      <c r="GY88" s="63"/>
      <c r="GZ88" s="62"/>
      <c r="HA88" s="63"/>
      <c r="HB88" s="62"/>
      <c r="HC88" s="63"/>
      <c r="HD88" s="62"/>
      <c r="HE88" s="63"/>
      <c r="HF88" s="62"/>
      <c r="HG88" s="63"/>
      <c r="HH88" s="62"/>
      <c r="HI88" s="63"/>
      <c r="HJ88" s="62"/>
      <c r="HK88" s="63"/>
      <c r="HL88" s="62"/>
      <c r="HM88" s="63"/>
      <c r="HN88" s="62"/>
      <c r="HO88" s="63"/>
      <c r="HP88" s="62"/>
      <c r="HQ88" s="63"/>
      <c r="HR88" s="62"/>
      <c r="HS88" s="63"/>
      <c r="HT88" s="62"/>
      <c r="HU88" s="63"/>
      <c r="HV88" s="31"/>
      <c r="HW88" s="32" t="s">
        <v>66</v>
      </c>
      <c r="HX88" s="62" t="s">
        <v>66</v>
      </c>
      <c r="HY88" s="63"/>
      <c r="HZ88" s="62" t="s">
        <v>66</v>
      </c>
      <c r="IA88" s="63"/>
      <c r="IB88" s="62" t="s">
        <v>36</v>
      </c>
      <c r="IC88" s="63"/>
      <c r="ID88" s="62" t="s">
        <v>36</v>
      </c>
      <c r="IE88" s="63"/>
      <c r="IF88" s="62" t="s">
        <v>36</v>
      </c>
      <c r="IG88" s="63"/>
      <c r="IH88" s="62" t="s">
        <v>36</v>
      </c>
      <c r="II88" s="63"/>
      <c r="IJ88" s="62" t="s">
        <v>36</v>
      </c>
      <c r="IK88" s="63"/>
      <c r="IL88" s="62" t="s">
        <v>36</v>
      </c>
      <c r="IM88" s="63"/>
      <c r="IN88" s="62" t="s">
        <v>36</v>
      </c>
      <c r="IO88" s="63"/>
      <c r="IP88" s="62" t="s">
        <v>36</v>
      </c>
      <c r="IQ88" s="63"/>
      <c r="IR88" s="62" t="s">
        <v>36</v>
      </c>
      <c r="IS88" s="63"/>
      <c r="IT88" s="62" t="s">
        <v>37</v>
      </c>
      <c r="IU88" s="63"/>
      <c r="IV88" s="62" t="s">
        <v>37</v>
      </c>
      <c r="IW88" s="63"/>
      <c r="IX88" s="62" t="s">
        <v>37</v>
      </c>
      <c r="IY88" s="63"/>
      <c r="IZ88" s="62" t="s">
        <v>37</v>
      </c>
      <c r="JA88" s="63"/>
      <c r="JB88" s="62" t="s">
        <v>37</v>
      </c>
      <c r="JC88" s="63"/>
      <c r="JD88" s="62"/>
      <c r="JE88" s="63"/>
      <c r="JF88" s="62"/>
      <c r="JG88" s="63"/>
      <c r="JH88" s="62"/>
      <c r="JI88" s="63"/>
      <c r="JJ88" s="62"/>
      <c r="JK88" s="63"/>
      <c r="JL88" s="62"/>
      <c r="JM88" s="63"/>
      <c r="JN88" s="62"/>
      <c r="JO88" s="63"/>
      <c r="JP88" s="62"/>
      <c r="JQ88" s="63"/>
      <c r="JR88" s="62"/>
      <c r="JS88" s="63"/>
      <c r="JT88" s="62"/>
      <c r="JU88" s="63"/>
      <c r="JV88" s="62"/>
      <c r="JW88" s="63"/>
      <c r="JX88" s="62"/>
      <c r="JY88" s="63"/>
      <c r="JZ88" s="62"/>
      <c r="KA88" s="63"/>
      <c r="KB88" s="62"/>
      <c r="KC88" s="63"/>
      <c r="KD88" s="62"/>
      <c r="KE88" s="63"/>
      <c r="KF88" s="62"/>
      <c r="KG88" s="63"/>
      <c r="KH88" s="62"/>
      <c r="KI88" s="63"/>
      <c r="KJ88" s="62"/>
      <c r="KK88" s="63"/>
      <c r="KL88" s="62"/>
      <c r="KM88" s="63"/>
      <c r="KN88" s="62"/>
      <c r="KO88" s="63"/>
      <c r="KP88" s="62"/>
      <c r="KQ88" s="63"/>
      <c r="KR88" s="62"/>
      <c r="KS88" s="63"/>
      <c r="KT88" s="62"/>
      <c r="KU88" s="63"/>
      <c r="KV88" s="62"/>
      <c r="KW88" s="63"/>
      <c r="KX88" s="62"/>
      <c r="KY88" s="63"/>
      <c r="KZ88" s="62"/>
      <c r="LA88" s="63"/>
      <c r="LB88" s="62"/>
      <c r="LC88" s="63"/>
      <c r="LD88" s="62"/>
      <c r="LE88" s="63"/>
      <c r="LF88" s="62"/>
      <c r="LG88" s="63"/>
      <c r="LH88" s="62"/>
      <c r="LI88" s="63"/>
      <c r="LJ88" s="62"/>
      <c r="LK88" s="63"/>
      <c r="LL88" s="62"/>
      <c r="LM88" s="63"/>
      <c r="LN88" s="62"/>
      <c r="LO88" s="63"/>
      <c r="LP88" s="62"/>
      <c r="LQ88" s="63"/>
      <c r="LR88" s="62"/>
      <c r="LS88" s="63"/>
      <c r="LT88" s="62"/>
      <c r="LU88" s="63"/>
      <c r="LV88" s="62"/>
      <c r="LW88" s="63"/>
      <c r="LX88" s="62"/>
      <c r="LY88" s="63"/>
      <c r="LZ88" s="62"/>
      <c r="MA88" s="63"/>
      <c r="MB88" s="62"/>
      <c r="MC88" s="63"/>
      <c r="MD88" s="62"/>
      <c r="ME88" s="63"/>
      <c r="MF88" s="62"/>
      <c r="MG88" s="63"/>
      <c r="MH88" s="62"/>
      <c r="MI88" s="63"/>
      <c r="MJ88" s="62"/>
      <c r="MK88" s="63"/>
      <c r="ML88" s="62"/>
      <c r="MM88" s="63"/>
      <c r="MN88" s="62"/>
      <c r="MO88" s="63"/>
      <c r="MP88" s="62"/>
      <c r="MQ88" s="63"/>
      <c r="MR88" s="62"/>
      <c r="MS88" s="63"/>
      <c r="MT88" s="62"/>
      <c r="MU88" s="63"/>
      <c r="MV88" s="62"/>
      <c r="MW88" s="63"/>
      <c r="MX88" s="62"/>
      <c r="MY88" s="63"/>
      <c r="MZ88" s="62"/>
      <c r="NA88" s="63"/>
      <c r="NB88" s="62"/>
      <c r="NC88" s="63"/>
      <c r="ND88" s="62"/>
      <c r="NE88" s="63"/>
      <c r="NF88" s="62"/>
      <c r="NG88" s="63"/>
      <c r="NH88" s="62"/>
      <c r="NI88" s="63"/>
      <c r="NJ88" s="62"/>
      <c r="NK88" s="63"/>
      <c r="NL88" s="62"/>
      <c r="NM88" s="63"/>
      <c r="NN88" s="62"/>
      <c r="NO88" s="63"/>
      <c r="NP88" s="62"/>
      <c r="NQ88" s="63"/>
      <c r="NR88" s="62"/>
      <c r="NS88" s="63"/>
      <c r="NT88" s="62"/>
      <c r="NU88" s="63"/>
      <c r="NV88" s="62"/>
      <c r="NW88" s="63"/>
      <c r="NX88" s="62"/>
      <c r="NY88" s="63"/>
      <c r="NZ88" s="62"/>
      <c r="OA88" s="63"/>
      <c r="OB88" s="62"/>
      <c r="OC88" s="63"/>
      <c r="OD88" s="62"/>
      <c r="OE88" s="63"/>
      <c r="OF88" s="62"/>
      <c r="OG88" s="63"/>
      <c r="OH88" s="62"/>
      <c r="OI88" s="63"/>
      <c r="OJ88" s="62"/>
      <c r="OK88" s="63"/>
      <c r="OL88" s="62"/>
      <c r="OM88" s="63"/>
      <c r="ON88" s="62"/>
      <c r="OO88" s="63"/>
      <c r="OP88" s="62"/>
      <c r="OQ88" s="63"/>
      <c r="OR88" s="62"/>
      <c r="OS88" s="63"/>
      <c r="OT88" s="62"/>
      <c r="OU88" s="63"/>
      <c r="OV88" s="62"/>
      <c r="OW88" s="63"/>
      <c r="OX88" s="62"/>
      <c r="OY88" s="63"/>
      <c r="OZ88" s="62"/>
      <c r="PA88" s="63"/>
      <c r="PB88" s="62"/>
      <c r="PC88" s="63"/>
      <c r="PD88" s="62"/>
      <c r="PE88" s="63"/>
      <c r="PF88" s="62"/>
      <c r="PG88" s="63"/>
      <c r="PH88" s="62"/>
      <c r="PI88" s="63"/>
      <c r="PJ88" s="62"/>
      <c r="PK88" s="63"/>
      <c r="PL88" s="62"/>
      <c r="PM88" s="63"/>
      <c r="PN88" s="62"/>
      <c r="PO88" s="63"/>
      <c r="PP88" s="62"/>
      <c r="PQ88" s="63"/>
      <c r="PR88" s="62"/>
      <c r="PS88" s="63"/>
      <c r="PT88" s="62"/>
      <c r="PU88" s="63"/>
      <c r="PV88" s="62"/>
      <c r="PW88" s="63"/>
      <c r="PX88" s="62"/>
      <c r="PY88" s="63"/>
      <c r="PZ88" s="62"/>
      <c r="QA88" s="63"/>
      <c r="QB88" s="62"/>
      <c r="QC88" s="63"/>
      <c r="QD88" s="62"/>
      <c r="QE88" s="63"/>
      <c r="QF88" s="62"/>
      <c r="QG88" s="63"/>
      <c r="QH88" s="62"/>
      <c r="QI88" s="63"/>
      <c r="QJ88" s="62"/>
      <c r="QK88" s="63"/>
      <c r="QL88" s="62"/>
      <c r="QM88" s="63"/>
      <c r="QN88" s="62"/>
      <c r="QO88" s="63"/>
      <c r="QP88" s="62"/>
      <c r="QQ88" s="63"/>
      <c r="QR88" s="62"/>
      <c r="QS88" s="63"/>
      <c r="QT88" s="62"/>
      <c r="QU88" s="63"/>
      <c r="QV88" s="62"/>
      <c r="QW88" s="63"/>
      <c r="QX88" s="62"/>
      <c r="QY88" s="63"/>
      <c r="QZ88" s="62"/>
      <c r="RA88" s="63"/>
      <c r="RB88" s="62"/>
      <c r="RC88" s="63"/>
      <c r="RD88" s="31"/>
    </row>
    <row r="89" spans="1:472" s="5" customFormat="1" hidden="1" x14ac:dyDescent="0.25">
      <c r="A89" s="41">
        <v>2101</v>
      </c>
      <c r="B89" s="41" t="s">
        <v>1080</v>
      </c>
      <c r="C89" s="41" t="s">
        <v>625</v>
      </c>
      <c r="D89" s="41" t="s">
        <v>388</v>
      </c>
      <c r="E89" s="42"/>
      <c r="F89" s="41" t="s">
        <v>1211</v>
      </c>
      <c r="I89" s="31"/>
      <c r="J89" s="32"/>
      <c r="K89" s="31"/>
      <c r="L89" s="32"/>
      <c r="M89" s="31"/>
      <c r="N89" s="32"/>
      <c r="O89" s="31"/>
      <c r="P89" s="32"/>
      <c r="Q89" s="31"/>
      <c r="R89" s="32"/>
      <c r="S89" s="31"/>
      <c r="T89" s="32"/>
      <c r="X89" s="31"/>
      <c r="Y89" s="32"/>
      <c r="Z89" s="31"/>
      <c r="AA89" s="32"/>
      <c r="AB89" s="31"/>
      <c r="AC89" s="32"/>
      <c r="AD89" s="31"/>
      <c r="AE89" s="32"/>
      <c r="AF89" s="31"/>
      <c r="AG89" s="32"/>
      <c r="AH89" s="31"/>
      <c r="AI89" s="32"/>
      <c r="AJ89" s="31"/>
      <c r="AK89" s="32"/>
      <c r="AL89" s="31"/>
      <c r="AM89" s="32"/>
      <c r="AN89" s="31"/>
      <c r="AO89" s="32"/>
      <c r="AP89" s="31"/>
      <c r="AQ89" s="32"/>
      <c r="AR89" s="31"/>
      <c r="AS89" s="32"/>
      <c r="AT89" s="31"/>
      <c r="AU89" s="32"/>
      <c r="AV89" s="31"/>
      <c r="AW89" s="32"/>
      <c r="AX89" s="31"/>
      <c r="AY89" s="32"/>
      <c r="AZ89" s="31"/>
      <c r="BA89" s="32"/>
      <c r="BB89" s="31"/>
      <c r="BC89" s="32"/>
      <c r="BD89" s="31"/>
      <c r="BE89" s="32"/>
      <c r="BF89" s="31"/>
      <c r="BG89" s="32"/>
      <c r="BH89" s="31"/>
      <c r="BI89" s="32"/>
      <c r="BJ89" s="31"/>
      <c r="BK89" s="32"/>
      <c r="BL89" s="31"/>
      <c r="BM89" s="32"/>
      <c r="BN89" s="31"/>
      <c r="BO89" s="32"/>
      <c r="BP89" s="31"/>
      <c r="BQ89" s="32"/>
      <c r="BR89" s="31"/>
      <c r="BS89" s="32"/>
      <c r="BT89" s="31"/>
      <c r="BU89" s="32"/>
      <c r="BV89" s="31"/>
      <c r="BW89" s="32"/>
      <c r="BX89" s="31"/>
      <c r="BY89" s="32"/>
      <c r="BZ89" s="31"/>
      <c r="CA89" s="32"/>
      <c r="CB89" s="31"/>
      <c r="CC89" s="32"/>
      <c r="CD89" s="31"/>
      <c r="CE89" s="32"/>
      <c r="CF89" s="31"/>
      <c r="CG89" s="32"/>
      <c r="CH89" s="31"/>
      <c r="CI89" s="32"/>
      <c r="CJ89" s="31"/>
      <c r="CK89" s="32"/>
      <c r="CL89" s="31"/>
      <c r="CM89" s="32"/>
      <c r="CN89" s="31"/>
      <c r="CO89" s="32"/>
      <c r="CP89" s="31"/>
      <c r="CQ89" s="32"/>
      <c r="CR89" s="31"/>
      <c r="CS89" s="32"/>
      <c r="CT89" s="31"/>
      <c r="CU89" s="32"/>
      <c r="CV89" s="31"/>
      <c r="CW89" s="32"/>
      <c r="CX89" s="31"/>
      <c r="CY89" s="32"/>
      <c r="CZ89" s="31"/>
      <c r="DA89" s="32"/>
      <c r="DB89" s="31"/>
      <c r="DC89" s="32"/>
      <c r="DD89" s="31"/>
      <c r="DE89" s="32"/>
      <c r="DF89" s="31"/>
      <c r="DG89" s="32"/>
      <c r="DH89" s="31"/>
      <c r="DI89" s="32"/>
      <c r="DJ89" s="31"/>
      <c r="DK89" s="32"/>
      <c r="DL89" s="31"/>
      <c r="DM89" s="32"/>
      <c r="DN89" s="31"/>
      <c r="DO89" s="32"/>
      <c r="DP89" s="31"/>
      <c r="DQ89" s="32"/>
      <c r="DR89" s="31"/>
      <c r="DS89" s="32"/>
      <c r="DT89" s="31"/>
      <c r="DU89" s="32"/>
      <c r="DV89" s="31"/>
      <c r="DW89" s="32"/>
      <c r="DX89" s="31"/>
      <c r="DY89" s="32"/>
      <c r="DZ89" s="31"/>
      <c r="EA89" s="32"/>
      <c r="EB89" s="31"/>
      <c r="EC89" s="32"/>
      <c r="ED89" s="31"/>
      <c r="EE89" s="32"/>
      <c r="EF89" s="31"/>
      <c r="EG89" s="32"/>
      <c r="EH89" s="31"/>
      <c r="EI89" s="32"/>
      <c r="EJ89" s="31"/>
      <c r="EK89" s="32"/>
      <c r="EL89" s="31"/>
      <c r="EM89" s="32"/>
      <c r="EN89" s="31"/>
      <c r="EO89" s="32"/>
      <c r="EP89" s="31"/>
      <c r="EQ89" s="32"/>
      <c r="ER89" s="31"/>
      <c r="ES89" s="32"/>
      <c r="ET89" s="31"/>
      <c r="EU89" s="32"/>
      <c r="EV89" s="31"/>
      <c r="EW89" s="32"/>
      <c r="EX89" s="31"/>
      <c r="EY89" s="32"/>
      <c r="EZ89" s="31"/>
      <c r="FA89" s="32"/>
      <c r="FB89" s="31"/>
      <c r="FC89" s="32"/>
      <c r="FD89" s="31"/>
      <c r="FE89" s="32"/>
      <c r="FF89" s="62"/>
      <c r="FG89" s="63"/>
      <c r="FH89" s="62"/>
      <c r="FI89" s="63"/>
      <c r="FJ89" s="62"/>
      <c r="FK89" s="63"/>
      <c r="FL89" s="62"/>
      <c r="FM89" s="63"/>
      <c r="FN89" s="62"/>
      <c r="FO89" s="63"/>
      <c r="FP89" s="62"/>
      <c r="FQ89" s="63"/>
      <c r="FR89" s="62"/>
      <c r="FS89" s="63"/>
      <c r="FT89" s="62"/>
      <c r="FU89" s="63"/>
      <c r="FV89" s="62"/>
      <c r="FW89" s="63"/>
      <c r="FX89" s="62"/>
      <c r="FY89" s="63"/>
      <c r="FZ89" s="62"/>
      <c r="GA89" s="63"/>
      <c r="GB89" s="62"/>
      <c r="GC89" s="63"/>
      <c r="GD89" s="62"/>
      <c r="GE89" s="63"/>
      <c r="GF89" s="62"/>
      <c r="GG89" s="63"/>
      <c r="GH89" s="62"/>
      <c r="GI89" s="63"/>
      <c r="GJ89" s="62"/>
      <c r="GK89" s="63"/>
      <c r="GL89" s="62"/>
      <c r="GM89" s="63"/>
      <c r="GN89" s="62"/>
      <c r="GO89" s="63"/>
      <c r="GP89" s="62"/>
      <c r="GQ89" s="63"/>
      <c r="GR89" s="62"/>
      <c r="GS89" s="63"/>
      <c r="GT89" s="62"/>
      <c r="GU89" s="63"/>
      <c r="GV89" s="62"/>
      <c r="GW89" s="63"/>
      <c r="GX89" s="62"/>
      <c r="GY89" s="63"/>
      <c r="GZ89" s="62"/>
      <c r="HA89" s="63"/>
      <c r="HB89" s="62"/>
      <c r="HC89" s="63"/>
      <c r="HD89" s="62"/>
      <c r="HE89" s="63"/>
      <c r="HF89" s="62"/>
      <c r="HG89" s="63"/>
      <c r="HH89" s="62"/>
      <c r="HI89" s="63"/>
      <c r="HJ89" s="62"/>
      <c r="HK89" s="63"/>
      <c r="HL89" s="62"/>
      <c r="HM89" s="63"/>
      <c r="HN89" s="62"/>
      <c r="HO89" s="63"/>
      <c r="HP89" s="62"/>
      <c r="HQ89" s="63"/>
      <c r="HR89" s="62"/>
      <c r="HS89" s="63"/>
      <c r="HT89" s="62"/>
      <c r="HU89" s="63"/>
      <c r="HV89" s="62"/>
      <c r="HW89" s="63"/>
      <c r="HX89" s="62"/>
      <c r="HY89" s="63"/>
      <c r="HZ89" s="62" t="s">
        <v>36</v>
      </c>
      <c r="IA89" s="63"/>
      <c r="IB89" s="62" t="s">
        <v>36</v>
      </c>
      <c r="IC89" s="63"/>
      <c r="ID89" s="62"/>
      <c r="IE89" s="63"/>
      <c r="IF89" s="62"/>
      <c r="IG89" s="63"/>
      <c r="IH89" s="62"/>
      <c r="II89" s="63"/>
      <c r="IJ89" s="62"/>
      <c r="IK89" s="63"/>
      <c r="IL89" s="62"/>
      <c r="IM89" s="63"/>
      <c r="IN89" s="62"/>
      <c r="IO89" s="63"/>
      <c r="IP89" s="62"/>
      <c r="IQ89" s="63"/>
      <c r="IR89" s="62"/>
      <c r="IS89" s="63"/>
      <c r="IT89" s="62"/>
      <c r="IU89" s="63"/>
      <c r="IV89" s="62"/>
      <c r="IW89" s="63"/>
      <c r="IX89" s="62"/>
      <c r="IY89" s="63"/>
      <c r="IZ89" s="62"/>
      <c r="JA89" s="63"/>
      <c r="JB89" s="62"/>
      <c r="JC89" s="63"/>
      <c r="JD89" s="62"/>
      <c r="JE89" s="63"/>
      <c r="JF89" s="62"/>
      <c r="JG89" s="63"/>
      <c r="JH89" s="62"/>
      <c r="JI89" s="63"/>
      <c r="JJ89" s="62"/>
      <c r="JK89" s="63"/>
      <c r="JL89" s="62"/>
      <c r="JM89" s="63"/>
      <c r="JN89" s="62"/>
      <c r="JO89" s="63"/>
      <c r="JP89" s="62"/>
      <c r="JQ89" s="63"/>
      <c r="JR89" s="62"/>
      <c r="JS89" s="63"/>
      <c r="JT89" s="62"/>
      <c r="JU89" s="63"/>
      <c r="JV89" s="62"/>
      <c r="JW89" s="63"/>
      <c r="JX89" s="62"/>
      <c r="JY89" s="63"/>
      <c r="JZ89" s="62"/>
      <c r="KA89" s="63"/>
      <c r="KB89" s="62"/>
      <c r="KC89" s="63"/>
      <c r="KD89" s="62"/>
      <c r="KE89" s="63"/>
      <c r="KF89" s="62"/>
      <c r="KG89" s="63"/>
      <c r="KH89" s="62"/>
      <c r="KI89" s="63"/>
      <c r="KJ89" s="62"/>
      <c r="KK89" s="63"/>
      <c r="KL89" s="62"/>
      <c r="KM89" s="63"/>
      <c r="KN89" s="62"/>
      <c r="KO89" s="63"/>
      <c r="KP89" s="62"/>
      <c r="KQ89" s="63"/>
      <c r="KR89" s="62"/>
      <c r="KS89" s="63"/>
      <c r="KT89" s="62"/>
      <c r="KU89" s="63"/>
      <c r="KV89" s="62"/>
      <c r="KW89" s="63"/>
      <c r="KX89" s="62"/>
      <c r="KY89" s="63"/>
      <c r="KZ89" s="62"/>
      <c r="LA89" s="63"/>
      <c r="LB89" s="62"/>
      <c r="LC89" s="63"/>
      <c r="LD89" s="62"/>
      <c r="LE89" s="63"/>
      <c r="LF89" s="62"/>
      <c r="LG89" s="63"/>
      <c r="LH89" s="62"/>
      <c r="LI89" s="63"/>
      <c r="LJ89" s="62"/>
      <c r="LK89" s="63"/>
      <c r="LL89" s="62"/>
      <c r="LM89" s="63"/>
      <c r="LN89" s="62"/>
      <c r="LO89" s="63"/>
      <c r="LP89" s="62"/>
      <c r="LQ89" s="63"/>
      <c r="LR89" s="62"/>
      <c r="LS89" s="63"/>
      <c r="LT89" s="62"/>
      <c r="LU89" s="63"/>
      <c r="LV89" s="62"/>
      <c r="LW89" s="63"/>
      <c r="LX89" s="62"/>
      <c r="LY89" s="63"/>
      <c r="LZ89" s="62"/>
      <c r="MA89" s="63"/>
      <c r="MB89" s="62"/>
      <c r="MC89" s="63"/>
      <c r="MD89" s="62"/>
      <c r="ME89" s="63"/>
      <c r="MF89" s="62"/>
      <c r="MG89" s="63"/>
      <c r="MH89" s="62"/>
      <c r="MI89" s="63"/>
      <c r="MJ89" s="62"/>
      <c r="MK89" s="63"/>
      <c r="ML89" s="62"/>
      <c r="MM89" s="63"/>
      <c r="MN89" s="62"/>
      <c r="MO89" s="63"/>
      <c r="MP89" s="62"/>
      <c r="MQ89" s="63"/>
      <c r="MR89" s="62"/>
      <c r="MS89" s="63"/>
      <c r="MT89" s="62"/>
      <c r="MU89" s="63"/>
      <c r="MV89" s="62"/>
      <c r="MW89" s="63"/>
      <c r="MX89" s="62"/>
      <c r="MY89" s="63"/>
      <c r="MZ89" s="62"/>
      <c r="NA89" s="63"/>
      <c r="NB89" s="62"/>
      <c r="NC89" s="63"/>
      <c r="ND89" s="62"/>
      <c r="NE89" s="63"/>
      <c r="NF89" s="62"/>
      <c r="NG89" s="63"/>
      <c r="NH89" s="62"/>
      <c r="NI89" s="63"/>
      <c r="NJ89" s="62"/>
      <c r="NK89" s="63"/>
      <c r="NL89" s="62"/>
      <c r="NM89" s="63"/>
      <c r="NN89" s="62"/>
      <c r="NO89" s="63"/>
      <c r="NP89" s="62"/>
      <c r="NQ89" s="63"/>
      <c r="NR89" s="62"/>
      <c r="NS89" s="63"/>
      <c r="NT89" s="62"/>
      <c r="NU89" s="63"/>
      <c r="NV89" s="62"/>
      <c r="NW89" s="63"/>
      <c r="NX89" s="62"/>
      <c r="NY89" s="63"/>
      <c r="NZ89" s="62"/>
      <c r="OA89" s="63"/>
      <c r="OB89" s="62"/>
      <c r="OC89" s="63"/>
      <c r="OD89" s="62"/>
      <c r="OE89" s="63"/>
      <c r="OF89" s="62"/>
      <c r="OG89" s="63"/>
      <c r="OH89" s="62"/>
      <c r="OI89" s="63"/>
      <c r="OJ89" s="62"/>
      <c r="OK89" s="63"/>
      <c r="OL89" s="62"/>
      <c r="OM89" s="63"/>
      <c r="ON89" s="62"/>
      <c r="OO89" s="63"/>
      <c r="OP89" s="62"/>
      <c r="OQ89" s="63"/>
      <c r="OR89" s="62"/>
      <c r="OS89" s="63"/>
      <c r="OT89" s="62"/>
      <c r="OU89" s="63"/>
      <c r="OV89" s="62"/>
      <c r="OW89" s="63"/>
      <c r="OX89" s="62"/>
      <c r="OY89" s="63"/>
      <c r="OZ89" s="62"/>
      <c r="PA89" s="63"/>
      <c r="PB89" s="62"/>
      <c r="PC89" s="63"/>
      <c r="PD89" s="62"/>
      <c r="PE89" s="63"/>
      <c r="PF89" s="62"/>
      <c r="PG89" s="63"/>
      <c r="PH89" s="62"/>
      <c r="PI89" s="63"/>
      <c r="PJ89" s="62"/>
      <c r="PK89" s="63"/>
      <c r="PL89" s="62"/>
      <c r="PM89" s="63"/>
      <c r="PN89" s="62"/>
      <c r="PO89" s="63"/>
      <c r="PP89" s="62"/>
      <c r="PQ89" s="63"/>
      <c r="PR89" s="62"/>
      <c r="PS89" s="63"/>
      <c r="PT89" s="62"/>
      <c r="PU89" s="63"/>
      <c r="PV89" s="62"/>
      <c r="PW89" s="63"/>
      <c r="PX89" s="62"/>
      <c r="PY89" s="63"/>
      <c r="PZ89" s="62"/>
      <c r="QA89" s="63"/>
      <c r="QB89" s="62"/>
      <c r="QC89" s="63"/>
      <c r="QD89" s="62"/>
      <c r="QE89" s="63"/>
      <c r="QF89" s="62"/>
      <c r="QG89" s="63"/>
      <c r="QH89" s="62"/>
      <c r="QI89" s="63"/>
      <c r="QJ89" s="62"/>
      <c r="QK89" s="63"/>
      <c r="QL89" s="62"/>
      <c r="QM89" s="63"/>
      <c r="QN89" s="62"/>
      <c r="QO89" s="63"/>
      <c r="QP89" s="62"/>
      <c r="QQ89" s="63"/>
      <c r="QR89" s="62"/>
      <c r="QS89" s="63"/>
      <c r="QT89" s="62"/>
      <c r="QU89" s="63"/>
      <c r="QV89" s="62"/>
      <c r="QW89" s="63"/>
      <c r="QX89" s="62"/>
      <c r="QY89" s="63"/>
      <c r="QZ89" s="62"/>
      <c r="RA89" s="63"/>
      <c r="RB89" s="62"/>
      <c r="RC89" s="63"/>
      <c r="RD89" s="31"/>
    </row>
    <row r="90" spans="1:472" s="5" customFormat="1" hidden="1" x14ac:dyDescent="0.25">
      <c r="A90" s="48">
        <v>2105</v>
      </c>
      <c r="B90" s="48" t="s">
        <v>1160</v>
      </c>
      <c r="C90" s="48" t="s">
        <v>230</v>
      </c>
      <c r="D90" s="48">
        <v>219</v>
      </c>
      <c r="E90" s="49"/>
      <c r="F90" s="48" t="s">
        <v>1514</v>
      </c>
      <c r="I90" s="31"/>
      <c r="J90" s="32"/>
      <c r="K90" s="31"/>
      <c r="L90" s="32"/>
      <c r="M90" s="31"/>
      <c r="N90" s="32"/>
      <c r="O90" s="31"/>
      <c r="P90" s="32"/>
      <c r="Q90" s="31"/>
      <c r="R90" s="32"/>
      <c r="S90" s="31"/>
      <c r="T90" s="32"/>
      <c r="X90" s="31"/>
      <c r="Y90" s="32"/>
      <c r="Z90" s="31"/>
      <c r="AA90" s="32"/>
      <c r="AB90" s="31"/>
      <c r="AC90" s="32"/>
      <c r="AD90" s="31"/>
      <c r="AE90" s="32"/>
      <c r="AF90" s="31"/>
      <c r="AG90" s="32"/>
      <c r="AH90" s="31"/>
      <c r="AI90" s="32"/>
      <c r="AJ90" s="31"/>
      <c r="AK90" s="32"/>
      <c r="AL90" s="31"/>
      <c r="AM90" s="32"/>
      <c r="AN90" s="31"/>
      <c r="AO90" s="32"/>
      <c r="AP90" s="31"/>
      <c r="AQ90" s="32"/>
      <c r="AR90" s="31"/>
      <c r="AS90" s="32"/>
      <c r="AT90" s="31"/>
      <c r="AU90" s="32"/>
      <c r="AV90" s="31"/>
      <c r="AW90" s="32"/>
      <c r="AX90" s="31"/>
      <c r="AY90" s="32"/>
      <c r="AZ90" s="31"/>
      <c r="BA90" s="32"/>
      <c r="BB90" s="31"/>
      <c r="BC90" s="32"/>
      <c r="BD90" s="31"/>
      <c r="BE90" s="32"/>
      <c r="BF90" s="31"/>
      <c r="BG90" s="32"/>
      <c r="BH90" s="31"/>
      <c r="BI90" s="32"/>
      <c r="BJ90" s="31"/>
      <c r="BK90" s="32"/>
      <c r="BL90" s="31"/>
      <c r="BM90" s="32"/>
      <c r="BN90" s="31"/>
      <c r="BO90" s="32"/>
      <c r="BP90" s="31"/>
      <c r="BQ90" s="32"/>
      <c r="BR90" s="31"/>
      <c r="BS90" s="32"/>
      <c r="BT90" s="31"/>
      <c r="BU90" s="32"/>
      <c r="BV90" s="31"/>
      <c r="BW90" s="32"/>
      <c r="BX90" s="31"/>
      <c r="BY90" s="32"/>
      <c r="BZ90" s="31"/>
      <c r="CA90" s="32"/>
      <c r="CB90" s="31"/>
      <c r="CC90" s="32"/>
      <c r="CD90" s="31"/>
      <c r="CE90" s="32"/>
      <c r="CF90" s="31"/>
      <c r="CG90" s="32"/>
      <c r="CH90" s="31"/>
      <c r="CI90" s="32"/>
      <c r="CJ90" s="31"/>
      <c r="CK90" s="32"/>
      <c r="CL90" s="31"/>
      <c r="CM90" s="32"/>
      <c r="CN90" s="31"/>
      <c r="CO90" s="32"/>
      <c r="CP90" s="31"/>
      <c r="CQ90" s="32"/>
      <c r="CR90" s="31"/>
      <c r="CS90" s="32"/>
      <c r="CT90" s="31"/>
      <c r="CU90" s="32"/>
      <c r="CV90" s="31"/>
      <c r="CW90" s="32"/>
      <c r="CX90" s="31"/>
      <c r="CY90" s="32"/>
      <c r="CZ90" s="31"/>
      <c r="DA90" s="32"/>
      <c r="DB90" s="31"/>
      <c r="DC90" s="32"/>
      <c r="DD90" s="31"/>
      <c r="DE90" s="32"/>
      <c r="DF90" s="31"/>
      <c r="DG90" s="32"/>
      <c r="DH90" s="31"/>
      <c r="DI90" s="32"/>
      <c r="DJ90" s="31"/>
      <c r="DK90" s="32"/>
      <c r="DL90" s="31"/>
      <c r="DM90" s="32"/>
      <c r="DN90" s="31"/>
      <c r="DO90" s="32"/>
      <c r="DP90" s="31"/>
      <c r="DQ90" s="32"/>
      <c r="DR90" s="31"/>
      <c r="DS90" s="32"/>
      <c r="DT90" s="31"/>
      <c r="DU90" s="32"/>
      <c r="DV90" s="31"/>
      <c r="DW90" s="32"/>
      <c r="DX90" s="31"/>
      <c r="DY90" s="32"/>
      <c r="DZ90" s="31"/>
      <c r="EA90" s="32"/>
      <c r="EB90" s="31"/>
      <c r="EC90" s="32"/>
      <c r="ED90" s="31"/>
      <c r="EE90" s="32"/>
      <c r="EF90" s="31"/>
      <c r="EG90" s="32"/>
      <c r="EH90" s="31"/>
      <c r="EI90" s="32"/>
      <c r="EJ90" s="31"/>
      <c r="EK90" s="32"/>
      <c r="EL90" s="31"/>
      <c r="EM90" s="32"/>
      <c r="EN90" s="31"/>
      <c r="EO90" s="32"/>
      <c r="EP90" s="31"/>
      <c r="EQ90" s="32"/>
      <c r="ER90" s="31"/>
      <c r="ES90" s="32"/>
      <c r="ET90" s="31"/>
      <c r="EU90" s="32"/>
      <c r="EV90" s="31"/>
      <c r="EW90" s="32"/>
      <c r="EX90" s="31"/>
      <c r="EY90" s="32"/>
      <c r="EZ90" s="31"/>
      <c r="FA90" s="32"/>
      <c r="FB90" s="31"/>
      <c r="FC90" s="32"/>
      <c r="FD90" s="31"/>
      <c r="FE90" s="32"/>
      <c r="FF90" s="62"/>
      <c r="FG90" s="63"/>
      <c r="FH90" s="62"/>
      <c r="FI90" s="63"/>
      <c r="FJ90" s="62"/>
      <c r="FK90" s="63"/>
      <c r="FL90" s="62"/>
      <c r="FM90" s="63"/>
      <c r="FN90" s="62"/>
      <c r="FO90" s="63"/>
      <c r="FP90" s="62"/>
      <c r="FQ90" s="63"/>
      <c r="FR90" s="62"/>
      <c r="FS90" s="63"/>
      <c r="FT90" s="62"/>
      <c r="FU90" s="63"/>
      <c r="FV90" s="62"/>
      <c r="FW90" s="63"/>
      <c r="FX90" s="62"/>
      <c r="FY90" s="63"/>
      <c r="FZ90" s="62"/>
      <c r="GA90" s="63"/>
      <c r="GB90" s="62"/>
      <c r="GC90" s="63"/>
      <c r="GD90" s="62"/>
      <c r="GE90" s="63"/>
      <c r="GF90" s="62"/>
      <c r="GG90" s="63"/>
      <c r="GH90" s="62"/>
      <c r="GI90" s="63"/>
      <c r="GJ90" s="62"/>
      <c r="GK90" s="63"/>
      <c r="GL90" s="62"/>
      <c r="GM90" s="63"/>
      <c r="GN90" s="62"/>
      <c r="GO90" s="63"/>
      <c r="GP90" s="62"/>
      <c r="GQ90" s="63"/>
      <c r="GR90" s="62"/>
      <c r="GS90" s="63"/>
      <c r="GT90" s="62"/>
      <c r="GU90" s="63"/>
      <c r="GV90" s="62"/>
      <c r="GW90" s="63"/>
      <c r="GX90" s="62"/>
      <c r="GY90" s="63"/>
      <c r="GZ90" s="62"/>
      <c r="HA90" s="63"/>
      <c r="HB90" s="62"/>
      <c r="HC90" s="63"/>
      <c r="HD90" s="62"/>
      <c r="HE90" s="63"/>
      <c r="HF90" s="62"/>
      <c r="HG90" s="63"/>
      <c r="HH90" s="62"/>
      <c r="HI90" s="63"/>
      <c r="HJ90" s="62"/>
      <c r="HK90" s="63"/>
      <c r="HL90" s="62"/>
      <c r="HM90" s="63"/>
      <c r="HN90" s="62"/>
      <c r="HO90" s="63"/>
      <c r="HP90" s="62"/>
      <c r="HQ90" s="63"/>
      <c r="HR90" s="62"/>
      <c r="HS90" s="63"/>
      <c r="HT90" s="62"/>
      <c r="HU90" s="63"/>
      <c r="HV90" s="62"/>
      <c r="HW90" s="63"/>
      <c r="HX90" s="62"/>
      <c r="HY90" s="63"/>
      <c r="HZ90" s="62"/>
      <c r="IA90" s="63"/>
      <c r="IB90" s="62"/>
      <c r="IC90" s="63"/>
      <c r="ID90" s="62"/>
      <c r="IE90" s="63"/>
      <c r="IF90" s="62"/>
      <c r="IG90" s="63"/>
      <c r="IH90" s="62"/>
      <c r="II90" s="63"/>
      <c r="IJ90" s="62"/>
      <c r="IK90" s="63"/>
      <c r="IL90" s="62"/>
      <c r="IM90" s="63"/>
      <c r="IN90" s="62"/>
      <c r="IO90" s="63"/>
      <c r="IP90" s="62"/>
      <c r="IQ90" s="63"/>
      <c r="IR90" s="62"/>
      <c r="IS90" s="63"/>
      <c r="IT90" s="62"/>
      <c r="IU90" s="63"/>
      <c r="IV90" s="62"/>
      <c r="IW90" s="63"/>
      <c r="IX90" s="62"/>
      <c r="IY90" s="63"/>
      <c r="IZ90" s="62"/>
      <c r="JA90" s="63"/>
      <c r="JB90" s="62"/>
      <c r="JC90" s="63"/>
      <c r="JD90" s="62"/>
      <c r="JE90" s="63"/>
      <c r="JF90" s="62"/>
      <c r="JG90" s="63"/>
      <c r="JH90" s="62"/>
      <c r="JI90" s="63"/>
      <c r="JJ90" s="62"/>
      <c r="JK90" s="63"/>
      <c r="JL90" s="62"/>
      <c r="JM90" s="63"/>
      <c r="JN90" s="62"/>
      <c r="JO90" s="63"/>
      <c r="JP90" s="62"/>
      <c r="JQ90" s="63"/>
      <c r="JR90" s="62"/>
      <c r="JS90" s="63"/>
      <c r="JT90" s="62"/>
      <c r="JU90" s="63"/>
      <c r="JV90" s="62"/>
      <c r="JW90" s="63"/>
      <c r="JX90" s="62"/>
      <c r="JY90" s="63"/>
      <c r="JZ90" s="62"/>
      <c r="KA90" s="63"/>
      <c r="KB90" s="62"/>
      <c r="KC90" s="63"/>
      <c r="KD90" s="62"/>
      <c r="KE90" s="63"/>
      <c r="KF90" s="62"/>
      <c r="KG90" s="63"/>
      <c r="KH90" s="62"/>
      <c r="KI90" s="63"/>
      <c r="KJ90" s="62"/>
      <c r="KK90" s="63"/>
      <c r="KL90" s="62"/>
      <c r="KM90" s="63"/>
      <c r="KN90" s="62"/>
      <c r="KO90" s="63"/>
      <c r="KP90" s="62"/>
      <c r="KQ90" s="63"/>
      <c r="KR90" s="62"/>
      <c r="KS90" s="63"/>
      <c r="KT90" s="62"/>
      <c r="KU90" s="63"/>
      <c r="KV90" s="62"/>
      <c r="KW90" s="63"/>
      <c r="KX90" s="62"/>
      <c r="KY90" s="63"/>
      <c r="KZ90" s="62"/>
      <c r="LA90" s="63"/>
      <c r="LB90" s="62"/>
      <c r="LC90" s="63"/>
      <c r="LD90" s="62"/>
      <c r="LE90" s="63"/>
      <c r="LF90" s="62"/>
      <c r="LG90" s="63"/>
      <c r="LH90" s="62"/>
      <c r="LI90" s="63"/>
      <c r="LJ90" s="62"/>
      <c r="LK90" s="63"/>
      <c r="LL90" s="62"/>
      <c r="LM90" s="63"/>
      <c r="LN90" s="62"/>
      <c r="LO90" s="63"/>
      <c r="LP90" s="62"/>
      <c r="LQ90" s="63"/>
      <c r="LR90" s="62"/>
      <c r="LS90" s="63"/>
      <c r="LT90" s="62"/>
      <c r="LU90" s="63"/>
      <c r="LV90" s="62"/>
      <c r="LW90" s="63"/>
      <c r="LX90" s="62"/>
      <c r="LY90" s="63"/>
      <c r="LZ90" s="62"/>
      <c r="MA90" s="63"/>
      <c r="MB90" s="62"/>
      <c r="MC90" s="63"/>
      <c r="MD90" s="62"/>
      <c r="ME90" s="63"/>
      <c r="MF90" s="62"/>
      <c r="MG90" s="63"/>
      <c r="MH90" s="62"/>
      <c r="MI90" s="63"/>
      <c r="MJ90" s="62"/>
      <c r="MK90" s="63"/>
      <c r="ML90" s="62"/>
      <c r="MM90" s="63"/>
      <c r="MN90" s="62"/>
      <c r="MO90" s="63"/>
      <c r="MP90" s="62"/>
      <c r="MQ90" s="63"/>
      <c r="MR90" s="62"/>
      <c r="MS90" s="63"/>
      <c r="MT90" s="62"/>
      <c r="MU90" s="63"/>
      <c r="MV90" s="62"/>
      <c r="MW90" s="63"/>
      <c r="MX90" s="62"/>
      <c r="MY90" s="63"/>
      <c r="MZ90" s="62"/>
      <c r="NA90" s="63"/>
      <c r="NB90" s="62"/>
      <c r="NC90" s="63"/>
      <c r="ND90" s="62"/>
      <c r="NE90" s="63"/>
      <c r="NF90" s="62"/>
      <c r="NG90" s="63"/>
      <c r="NH90" s="62"/>
      <c r="NI90" s="63"/>
      <c r="NJ90" s="62"/>
      <c r="NK90" s="63"/>
      <c r="NL90" s="62"/>
      <c r="NM90" s="63"/>
      <c r="NN90" s="62"/>
      <c r="NO90" s="63"/>
      <c r="NP90" s="62"/>
      <c r="NQ90" s="63"/>
      <c r="NR90" s="62"/>
      <c r="NS90" s="63"/>
      <c r="NT90" s="62"/>
      <c r="NU90" s="63"/>
      <c r="NV90" s="62"/>
      <c r="NW90" s="63"/>
      <c r="NX90" s="62"/>
      <c r="NY90" s="63"/>
      <c r="NZ90" s="62"/>
      <c r="OA90" s="63"/>
      <c r="OB90" s="62"/>
      <c r="OC90" s="63"/>
      <c r="OD90" s="62"/>
      <c r="OE90" s="63"/>
      <c r="OF90" s="62"/>
      <c r="OG90" s="63"/>
      <c r="OH90" s="62"/>
      <c r="OI90" s="63"/>
      <c r="OJ90" s="62"/>
      <c r="OK90" s="63"/>
      <c r="OL90" s="62"/>
      <c r="OM90" s="63"/>
      <c r="ON90" s="62"/>
      <c r="OO90" s="63"/>
      <c r="OP90" s="62"/>
      <c r="OQ90" s="63"/>
      <c r="OR90" s="62"/>
      <c r="OS90" s="63"/>
      <c r="OT90" s="62"/>
      <c r="OU90" s="63"/>
      <c r="OV90" s="62"/>
      <c r="OW90" s="63"/>
      <c r="OX90" s="62"/>
      <c r="OY90" s="63"/>
      <c r="OZ90" s="62"/>
      <c r="PA90" s="63"/>
      <c r="PB90" s="62"/>
      <c r="PC90" s="63"/>
      <c r="PD90" s="62"/>
      <c r="PE90" s="63"/>
      <c r="PF90" s="62"/>
      <c r="PG90" s="63"/>
      <c r="PH90" s="62"/>
      <c r="PI90" s="63"/>
      <c r="PJ90" s="62"/>
      <c r="PK90" s="63"/>
      <c r="PL90" s="62"/>
      <c r="PM90" s="63"/>
      <c r="PN90" s="62"/>
      <c r="PO90" s="63"/>
      <c r="PP90" s="62"/>
      <c r="PQ90" s="63"/>
      <c r="PR90" s="62"/>
      <c r="PS90" s="63"/>
      <c r="PT90" s="62"/>
      <c r="PU90" s="63"/>
      <c r="PV90" s="62"/>
      <c r="PW90" s="63"/>
      <c r="PX90" s="62"/>
      <c r="PY90" s="63"/>
      <c r="PZ90" s="62"/>
      <c r="QA90" s="63"/>
      <c r="QB90" s="62"/>
      <c r="QC90" s="63"/>
      <c r="QD90" s="62"/>
      <c r="QE90" s="63"/>
      <c r="QF90" s="62"/>
      <c r="QG90" s="63"/>
      <c r="QH90" s="62"/>
      <c r="QI90" s="63"/>
      <c r="QJ90" s="62"/>
      <c r="QK90" s="63"/>
      <c r="QL90" s="62"/>
      <c r="QM90" s="63"/>
      <c r="QN90" s="62"/>
      <c r="QO90" s="63"/>
      <c r="QP90" s="62"/>
      <c r="QQ90" s="63"/>
      <c r="QR90" s="62"/>
      <c r="QS90" s="63"/>
      <c r="QT90" s="62"/>
      <c r="QU90" s="63"/>
      <c r="QV90" s="62"/>
      <c r="QW90" s="63"/>
      <c r="QX90" s="62"/>
      <c r="QY90" s="63"/>
      <c r="QZ90" s="62"/>
      <c r="RA90" s="63"/>
      <c r="RB90" s="62"/>
      <c r="RC90" s="63"/>
      <c r="RD90" s="31"/>
    </row>
    <row r="91" spans="1:472" s="5" customFormat="1" hidden="1" x14ac:dyDescent="0.25">
      <c r="A91" s="41">
        <v>2099</v>
      </c>
      <c r="B91" s="41" t="s">
        <v>1067</v>
      </c>
      <c r="C91" s="41" t="s">
        <v>720</v>
      </c>
      <c r="D91" s="41">
        <v>169</v>
      </c>
      <c r="E91" s="42"/>
      <c r="F91" s="41" t="s">
        <v>1396</v>
      </c>
      <c r="I91" s="31"/>
      <c r="J91" s="32"/>
      <c r="K91" s="31"/>
      <c r="L91" s="32"/>
      <c r="M91" s="31"/>
      <c r="N91" s="32"/>
      <c r="O91" s="31"/>
      <c r="P91" s="32"/>
      <c r="Q91" s="31"/>
      <c r="R91" s="32"/>
      <c r="S91" s="31"/>
      <c r="T91" s="32"/>
      <c r="X91" s="31"/>
      <c r="Y91" s="32"/>
      <c r="Z91" s="31"/>
      <c r="AA91" s="32"/>
      <c r="AB91" s="31"/>
      <c r="AC91" s="32"/>
      <c r="AD91" s="31"/>
      <c r="AE91" s="32"/>
      <c r="AF91" s="31"/>
      <c r="AG91" s="32"/>
      <c r="AH91" s="31"/>
      <c r="AI91" s="32"/>
      <c r="AJ91" s="31"/>
      <c r="AK91" s="32"/>
      <c r="AL91" s="31"/>
      <c r="AM91" s="32"/>
      <c r="AN91" s="31"/>
      <c r="AO91" s="32"/>
      <c r="AP91" s="31"/>
      <c r="AQ91" s="32"/>
      <c r="AR91" s="31"/>
      <c r="AS91" s="32"/>
      <c r="AT91" s="31"/>
      <c r="AU91" s="32"/>
      <c r="AV91" s="31"/>
      <c r="AW91" s="32"/>
      <c r="AX91" s="31"/>
      <c r="AY91" s="32"/>
      <c r="AZ91" s="31"/>
      <c r="BA91" s="32"/>
      <c r="BB91" s="31"/>
      <c r="BC91" s="32"/>
      <c r="BD91" s="31"/>
      <c r="BE91" s="32"/>
      <c r="BF91" s="31"/>
      <c r="BG91" s="32"/>
      <c r="BH91" s="31"/>
      <c r="BI91" s="32"/>
      <c r="BJ91" s="31"/>
      <c r="BK91" s="32"/>
      <c r="BL91" s="31"/>
      <c r="BM91" s="32"/>
      <c r="BN91" s="31"/>
      <c r="BO91" s="32"/>
      <c r="BP91" s="31"/>
      <c r="BQ91" s="32"/>
      <c r="BR91" s="31"/>
      <c r="BS91" s="32"/>
      <c r="BT91" s="31"/>
      <c r="BU91" s="32"/>
      <c r="BV91" s="31"/>
      <c r="BW91" s="32"/>
      <c r="BX91" s="31"/>
      <c r="BY91" s="32"/>
      <c r="BZ91" s="31"/>
      <c r="CA91" s="32"/>
      <c r="CB91" s="31"/>
      <c r="CC91" s="32"/>
      <c r="CD91" s="31"/>
      <c r="CE91" s="32"/>
      <c r="CF91" s="31"/>
      <c r="CG91" s="32"/>
      <c r="CH91" s="31"/>
      <c r="CI91" s="32"/>
      <c r="CJ91" s="31"/>
      <c r="CK91" s="32"/>
      <c r="CL91" s="31"/>
      <c r="CM91" s="32"/>
      <c r="CN91" s="31"/>
      <c r="CO91" s="32"/>
      <c r="CP91" s="31"/>
      <c r="CQ91" s="32"/>
      <c r="CR91" s="31"/>
      <c r="CS91" s="32"/>
      <c r="CT91" s="31"/>
      <c r="CU91" s="32"/>
      <c r="CV91" s="31"/>
      <c r="CW91" s="32"/>
      <c r="CX91" s="31"/>
      <c r="CY91" s="32"/>
      <c r="CZ91" s="31"/>
      <c r="DA91" s="32"/>
      <c r="DB91" s="31"/>
      <c r="DC91" s="32"/>
      <c r="DD91" s="31"/>
      <c r="DE91" s="32"/>
      <c r="DF91" s="31"/>
      <c r="DG91" s="32"/>
      <c r="DH91" s="31"/>
      <c r="DI91" s="32"/>
      <c r="DJ91" s="31"/>
      <c r="DK91" s="32"/>
      <c r="DL91" s="31"/>
      <c r="DM91" s="32"/>
      <c r="DN91" s="31"/>
      <c r="DO91" s="32"/>
      <c r="DP91" s="31"/>
      <c r="DQ91" s="32"/>
      <c r="DR91" s="31"/>
      <c r="DS91" s="32"/>
      <c r="DT91" s="31"/>
      <c r="DU91" s="32"/>
      <c r="DV91" s="31"/>
      <c r="DW91" s="32"/>
      <c r="DX91" s="31"/>
      <c r="DY91" s="32"/>
      <c r="DZ91" s="31"/>
      <c r="EA91" s="32"/>
      <c r="EB91" s="31"/>
      <c r="EC91" s="32"/>
      <c r="ED91" s="31"/>
      <c r="EE91" s="32"/>
      <c r="EF91" s="31"/>
      <c r="EG91" s="32"/>
      <c r="EH91" s="31"/>
      <c r="EI91" s="32"/>
      <c r="EJ91" s="31"/>
      <c r="EK91" s="32"/>
      <c r="EL91" s="31"/>
      <c r="EM91" s="32"/>
      <c r="EN91" s="31"/>
      <c r="EO91" s="32"/>
      <c r="EP91" s="31"/>
      <c r="EQ91" s="32"/>
      <c r="ER91" s="31"/>
      <c r="ES91" s="32"/>
      <c r="ET91" s="31"/>
      <c r="EU91" s="32"/>
      <c r="EV91" s="31"/>
      <c r="EW91" s="32"/>
      <c r="EX91" s="31"/>
      <c r="EY91" s="32"/>
      <c r="EZ91" s="31"/>
      <c r="FA91" s="32"/>
      <c r="FB91" s="31"/>
      <c r="FC91" s="32"/>
      <c r="FD91" s="31"/>
      <c r="FE91" s="32"/>
      <c r="FF91" s="62"/>
      <c r="FG91" s="63"/>
      <c r="FH91" s="62"/>
      <c r="FI91" s="63"/>
      <c r="FJ91" s="62"/>
      <c r="FK91" s="63"/>
      <c r="FL91" s="62"/>
      <c r="FM91" s="63"/>
      <c r="FN91" s="62"/>
      <c r="FO91" s="63"/>
      <c r="FP91" s="62"/>
      <c r="FQ91" s="63"/>
      <c r="FR91" s="62"/>
      <c r="FS91" s="63"/>
      <c r="FT91" s="62"/>
      <c r="FU91" s="63"/>
      <c r="FV91" s="62"/>
      <c r="FW91" s="63"/>
      <c r="FX91" s="62"/>
      <c r="FY91" s="63"/>
      <c r="FZ91" s="62"/>
      <c r="GA91" s="63"/>
      <c r="GB91" s="62"/>
      <c r="GC91" s="63"/>
      <c r="GD91" s="62"/>
      <c r="GE91" s="63"/>
      <c r="GF91" s="62"/>
      <c r="GG91" s="63"/>
      <c r="GH91" s="62"/>
      <c r="GI91" s="63"/>
      <c r="GJ91" s="62"/>
      <c r="GK91" s="63"/>
      <c r="GL91" s="62"/>
      <c r="GM91" s="63"/>
      <c r="GN91" s="62"/>
      <c r="GO91" s="63"/>
      <c r="GP91" s="62"/>
      <c r="GQ91" s="63"/>
      <c r="GR91" s="62"/>
      <c r="GS91" s="63"/>
      <c r="GT91" s="62"/>
      <c r="GU91" s="63"/>
      <c r="GV91" s="62"/>
      <c r="GW91" s="63"/>
      <c r="GX91" s="62"/>
      <c r="GY91" s="63"/>
      <c r="GZ91" s="62"/>
      <c r="HA91" s="63"/>
      <c r="HB91" s="62"/>
      <c r="HC91" s="63"/>
      <c r="HD91" s="62"/>
      <c r="HE91" s="63"/>
      <c r="HF91" s="62"/>
      <c r="HG91" s="63"/>
      <c r="HH91" s="62"/>
      <c r="HI91" s="63"/>
      <c r="HJ91" s="62"/>
      <c r="HK91" s="63"/>
      <c r="HL91" s="62"/>
      <c r="HM91" s="63"/>
      <c r="HN91" s="62"/>
      <c r="HO91" s="63"/>
      <c r="HP91" s="62"/>
      <c r="HQ91" s="63"/>
      <c r="HR91" s="62"/>
      <c r="HS91" s="63"/>
      <c r="HT91" s="62"/>
      <c r="HU91" s="63"/>
      <c r="HV91" s="62"/>
      <c r="HW91" s="63"/>
      <c r="HX91" s="62"/>
      <c r="HY91" s="63"/>
      <c r="HZ91" s="62"/>
      <c r="IA91" s="63"/>
      <c r="IB91" s="62"/>
      <c r="IC91" s="63"/>
      <c r="ID91" s="39"/>
      <c r="IE91" s="58" t="s">
        <v>66</v>
      </c>
      <c r="IF91" s="62" t="s">
        <v>66</v>
      </c>
      <c r="IG91" s="63"/>
      <c r="IH91" s="62" t="s">
        <v>38</v>
      </c>
      <c r="II91" s="63"/>
      <c r="IJ91" s="62" t="s">
        <v>38</v>
      </c>
      <c r="IK91" s="63"/>
      <c r="IL91" s="62" t="s">
        <v>36</v>
      </c>
      <c r="IM91" s="63"/>
      <c r="IN91" s="62" t="s">
        <v>36</v>
      </c>
      <c r="IO91" s="63"/>
      <c r="IP91" s="62" t="s">
        <v>36</v>
      </c>
      <c r="IQ91" s="63"/>
      <c r="IR91" s="62" t="s">
        <v>36</v>
      </c>
      <c r="IS91" s="63"/>
      <c r="IT91" s="62" t="s">
        <v>36</v>
      </c>
      <c r="IU91" s="63"/>
      <c r="IV91" s="62" t="s">
        <v>36</v>
      </c>
      <c r="IW91" s="63"/>
      <c r="IX91" s="62" t="s">
        <v>37</v>
      </c>
      <c r="IY91" s="63"/>
      <c r="IZ91" s="62" t="s">
        <v>37</v>
      </c>
      <c r="JA91" s="63"/>
      <c r="JB91" s="62" t="s">
        <v>37</v>
      </c>
      <c r="JC91" s="63"/>
      <c r="JD91" s="62" t="s">
        <v>37</v>
      </c>
      <c r="JE91" s="63"/>
      <c r="JF91" s="62" t="s">
        <v>37</v>
      </c>
      <c r="JG91" s="63"/>
      <c r="JH91" s="62" t="s">
        <v>37</v>
      </c>
      <c r="JI91" s="63"/>
      <c r="JJ91" s="62"/>
      <c r="JK91" s="63"/>
      <c r="JL91" s="62"/>
      <c r="JM91" s="63"/>
      <c r="JN91" s="62"/>
      <c r="JO91" s="63"/>
      <c r="JP91" s="62"/>
      <c r="JQ91" s="63"/>
      <c r="JR91" s="62"/>
      <c r="JS91" s="63"/>
      <c r="JT91" s="62"/>
      <c r="JU91" s="63"/>
      <c r="JV91" s="62"/>
      <c r="JW91" s="63"/>
      <c r="JX91" s="62"/>
      <c r="JY91" s="63"/>
      <c r="JZ91" s="62"/>
      <c r="KA91" s="63"/>
      <c r="KB91" s="62"/>
      <c r="KC91" s="63"/>
      <c r="KD91" s="62"/>
      <c r="KE91" s="63"/>
      <c r="KF91" s="62"/>
      <c r="KG91" s="63"/>
      <c r="KH91" s="62"/>
      <c r="KI91" s="63"/>
      <c r="KJ91" s="62"/>
      <c r="KK91" s="63"/>
      <c r="KL91" s="62"/>
      <c r="KM91" s="63"/>
      <c r="KN91" s="62"/>
      <c r="KO91" s="63"/>
      <c r="KP91" s="62"/>
      <c r="KQ91" s="63"/>
      <c r="KR91" s="62"/>
      <c r="KS91" s="63"/>
      <c r="KT91" s="62"/>
      <c r="KU91" s="63"/>
      <c r="KV91" s="62"/>
      <c r="KW91" s="63"/>
      <c r="KX91" s="62"/>
      <c r="KY91" s="63"/>
      <c r="KZ91" s="62"/>
      <c r="LA91" s="63"/>
      <c r="LB91" s="62"/>
      <c r="LC91" s="63"/>
      <c r="LD91" s="62"/>
      <c r="LE91" s="63"/>
      <c r="LF91" s="62"/>
      <c r="LG91" s="63"/>
      <c r="LH91" s="62"/>
      <c r="LI91" s="63"/>
      <c r="LJ91" s="62"/>
      <c r="LK91" s="63"/>
      <c r="LL91" s="62"/>
      <c r="LM91" s="63"/>
      <c r="LN91" s="62"/>
      <c r="LO91" s="63"/>
      <c r="LP91" s="62"/>
      <c r="LQ91" s="63"/>
      <c r="LR91" s="62"/>
      <c r="LS91" s="63"/>
      <c r="LT91" s="62"/>
      <c r="LU91" s="63"/>
      <c r="LV91" s="62"/>
      <c r="LW91" s="63"/>
      <c r="LX91" s="62"/>
      <c r="LY91" s="63"/>
      <c r="LZ91" s="62"/>
      <c r="MA91" s="63"/>
      <c r="MB91" s="62"/>
      <c r="MC91" s="63"/>
      <c r="MD91" s="62"/>
      <c r="ME91" s="63"/>
      <c r="MF91" s="62"/>
      <c r="MG91" s="63"/>
      <c r="MH91" s="62"/>
      <c r="MI91" s="63"/>
      <c r="MJ91" s="62"/>
      <c r="MK91" s="63"/>
      <c r="ML91" s="62"/>
      <c r="MM91" s="63"/>
      <c r="MN91" s="62"/>
      <c r="MO91" s="63"/>
      <c r="MP91" s="62"/>
      <c r="MQ91" s="63"/>
      <c r="MR91" s="62"/>
      <c r="MS91" s="63"/>
      <c r="MT91" s="62"/>
      <c r="MU91" s="63"/>
      <c r="MV91" s="62"/>
      <c r="MW91" s="63"/>
      <c r="MX91" s="62"/>
      <c r="MY91" s="63"/>
      <c r="MZ91" s="62"/>
      <c r="NA91" s="63"/>
      <c r="NB91" s="62"/>
      <c r="NC91" s="63"/>
      <c r="ND91" s="62"/>
      <c r="NE91" s="63"/>
      <c r="NF91" s="62"/>
      <c r="NG91" s="63"/>
      <c r="NH91" s="62"/>
      <c r="NI91" s="63"/>
      <c r="NJ91" s="62"/>
      <c r="NK91" s="63"/>
      <c r="NL91" s="62"/>
      <c r="NM91" s="63"/>
      <c r="NN91" s="62"/>
      <c r="NO91" s="63"/>
      <c r="NP91" s="62"/>
      <c r="NQ91" s="63"/>
      <c r="NR91" s="62"/>
      <c r="NS91" s="63"/>
      <c r="NT91" s="62"/>
      <c r="NU91" s="63"/>
      <c r="NV91" s="62"/>
      <c r="NW91" s="63"/>
      <c r="NX91" s="62"/>
      <c r="NY91" s="63"/>
      <c r="NZ91" s="62"/>
      <c r="OA91" s="63"/>
      <c r="OB91" s="62"/>
      <c r="OC91" s="63"/>
      <c r="OD91" s="62"/>
      <c r="OE91" s="63"/>
      <c r="OF91" s="62"/>
      <c r="OG91" s="63"/>
      <c r="OH91" s="62"/>
      <c r="OI91" s="63"/>
      <c r="OJ91" s="62"/>
      <c r="OK91" s="63"/>
      <c r="OL91" s="62"/>
      <c r="OM91" s="63"/>
      <c r="ON91" s="62"/>
      <c r="OO91" s="63"/>
      <c r="OP91" s="62"/>
      <c r="OQ91" s="63"/>
      <c r="OR91" s="62"/>
      <c r="OS91" s="63"/>
      <c r="OT91" s="62"/>
      <c r="OU91" s="63"/>
      <c r="OV91" s="62"/>
      <c r="OW91" s="63"/>
      <c r="OX91" s="62"/>
      <c r="OY91" s="63"/>
      <c r="OZ91" s="62"/>
      <c r="PA91" s="63"/>
      <c r="PB91" s="62"/>
      <c r="PC91" s="63"/>
      <c r="PD91" s="62"/>
      <c r="PE91" s="63"/>
      <c r="PF91" s="62"/>
      <c r="PG91" s="63"/>
      <c r="PH91" s="62"/>
      <c r="PI91" s="63"/>
      <c r="PJ91" s="62"/>
      <c r="PK91" s="63"/>
      <c r="PL91" s="62"/>
      <c r="PM91" s="63"/>
      <c r="PN91" s="62"/>
      <c r="PO91" s="63"/>
      <c r="PP91" s="62"/>
      <c r="PQ91" s="63"/>
      <c r="PR91" s="62"/>
      <c r="PS91" s="63"/>
      <c r="PT91" s="62"/>
      <c r="PU91" s="63"/>
      <c r="PV91" s="62"/>
      <c r="PW91" s="63"/>
      <c r="PX91" s="62"/>
      <c r="PY91" s="63"/>
      <c r="PZ91" s="62"/>
      <c r="QA91" s="63"/>
      <c r="QB91" s="62"/>
      <c r="QC91" s="63"/>
      <c r="QD91" s="62"/>
      <c r="QE91" s="63"/>
      <c r="QF91" s="62"/>
      <c r="QG91" s="63"/>
      <c r="QH91" s="62"/>
      <c r="QI91" s="63"/>
      <c r="QJ91" s="62"/>
      <c r="QK91" s="63"/>
      <c r="QL91" s="62"/>
      <c r="QM91" s="63"/>
      <c r="QN91" s="62"/>
      <c r="QO91" s="63"/>
      <c r="QP91" s="62"/>
      <c r="QQ91" s="63"/>
      <c r="QR91" s="62"/>
      <c r="QS91" s="63"/>
      <c r="QT91" s="62"/>
      <c r="QU91" s="63"/>
      <c r="QV91" s="62"/>
      <c r="QW91" s="63"/>
      <c r="QX91" s="62"/>
      <c r="QY91" s="63"/>
      <c r="QZ91" s="62"/>
      <c r="RA91" s="63"/>
      <c r="RB91" s="62"/>
      <c r="RC91" s="63"/>
      <c r="RD91" s="31"/>
    </row>
    <row r="92" spans="1:472" s="5" customFormat="1" x14ac:dyDescent="0.25">
      <c r="A92" s="41">
        <v>2104</v>
      </c>
      <c r="B92" s="41" t="s">
        <v>1115</v>
      </c>
      <c r="C92" s="41" t="s">
        <v>813</v>
      </c>
      <c r="D92" s="41">
        <v>24</v>
      </c>
      <c r="E92" s="42"/>
      <c r="F92" s="41" t="s">
        <v>1334</v>
      </c>
      <c r="I92" s="31"/>
      <c r="J92" s="32"/>
      <c r="K92" s="31"/>
      <c r="L92" s="32"/>
      <c r="M92" s="31"/>
      <c r="N92" s="32"/>
      <c r="O92" s="31"/>
      <c r="P92" s="32"/>
      <c r="Q92" s="31"/>
      <c r="R92" s="32"/>
      <c r="S92" s="31"/>
      <c r="T92" s="32"/>
      <c r="X92" s="31"/>
      <c r="Y92" s="32"/>
      <c r="Z92" s="31"/>
      <c r="AA92" s="32"/>
      <c r="AB92" s="31"/>
      <c r="AC92" s="32"/>
      <c r="AD92" s="31"/>
      <c r="AE92" s="32"/>
      <c r="AF92" s="31"/>
      <c r="AG92" s="32"/>
      <c r="AH92" s="31"/>
      <c r="AI92" s="32"/>
      <c r="AJ92" s="31"/>
      <c r="AK92" s="32"/>
      <c r="AL92" s="31"/>
      <c r="AM92" s="32"/>
      <c r="AN92" s="31"/>
      <c r="AO92" s="32"/>
      <c r="AP92" s="31"/>
      <c r="AQ92" s="32"/>
      <c r="AR92" s="31"/>
      <c r="AS92" s="32"/>
      <c r="AT92" s="31"/>
      <c r="AU92" s="32"/>
      <c r="AV92" s="31"/>
      <c r="AW92" s="32"/>
      <c r="AX92" s="31"/>
      <c r="AY92" s="32"/>
      <c r="AZ92" s="31"/>
      <c r="BA92" s="32"/>
      <c r="BB92" s="31"/>
      <c r="BC92" s="32"/>
      <c r="BD92" s="31"/>
      <c r="BE92" s="32"/>
      <c r="BF92" s="31"/>
      <c r="BG92" s="32"/>
      <c r="BH92" s="31"/>
      <c r="BI92" s="32"/>
      <c r="BJ92" s="31"/>
      <c r="BK92" s="32"/>
      <c r="BL92" s="31"/>
      <c r="BM92" s="32"/>
      <c r="BN92" s="31"/>
      <c r="BO92" s="32"/>
      <c r="BP92" s="31"/>
      <c r="BQ92" s="32"/>
      <c r="BR92" s="31"/>
      <c r="BS92" s="32"/>
      <c r="BT92" s="31"/>
      <c r="BU92" s="32"/>
      <c r="BV92" s="31"/>
      <c r="BW92" s="32"/>
      <c r="BX92" s="31"/>
      <c r="BY92" s="32"/>
      <c r="BZ92" s="31"/>
      <c r="CA92" s="32"/>
      <c r="CB92" s="31"/>
      <c r="CC92" s="32"/>
      <c r="CD92" s="31"/>
      <c r="CE92" s="32"/>
      <c r="CF92" s="31"/>
      <c r="CG92" s="32"/>
      <c r="CH92" s="31"/>
      <c r="CI92" s="32"/>
      <c r="CJ92" s="31"/>
      <c r="CK92" s="32"/>
      <c r="CL92" s="31"/>
      <c r="CM92" s="32"/>
      <c r="CN92" s="31"/>
      <c r="CO92" s="32"/>
      <c r="CP92" s="31"/>
      <c r="CQ92" s="32"/>
      <c r="CR92" s="31"/>
      <c r="CS92" s="32"/>
      <c r="CT92" s="31"/>
      <c r="CU92" s="32"/>
      <c r="CV92" s="31"/>
      <c r="CW92" s="32"/>
      <c r="CX92" s="31"/>
      <c r="CY92" s="32"/>
      <c r="CZ92" s="31"/>
      <c r="DA92" s="32"/>
      <c r="DB92" s="31"/>
      <c r="DC92" s="32"/>
      <c r="DD92" s="31"/>
      <c r="DE92" s="32"/>
      <c r="DF92" s="31"/>
      <c r="DG92" s="32"/>
      <c r="DH92" s="31"/>
      <c r="DI92" s="32"/>
      <c r="DJ92" s="31"/>
      <c r="DK92" s="32"/>
      <c r="DL92" s="31"/>
      <c r="DM92" s="32"/>
      <c r="DN92" s="31"/>
      <c r="DO92" s="32"/>
      <c r="DP92" s="31"/>
      <c r="DQ92" s="32"/>
      <c r="DR92" s="31"/>
      <c r="DS92" s="32"/>
      <c r="DT92" s="31"/>
      <c r="DU92" s="32"/>
      <c r="DV92" s="31"/>
      <c r="DW92" s="32"/>
      <c r="DX92" s="31"/>
      <c r="DY92" s="32"/>
      <c r="DZ92" s="31"/>
      <c r="EA92" s="32"/>
      <c r="EB92" s="31"/>
      <c r="EC92" s="32"/>
      <c r="ED92" s="31"/>
      <c r="EE92" s="32"/>
      <c r="EF92" s="31"/>
      <c r="EG92" s="32"/>
      <c r="EH92" s="31"/>
      <c r="EI92" s="32"/>
      <c r="EJ92" s="31"/>
      <c r="EK92" s="32"/>
      <c r="EL92" s="31"/>
      <c r="EM92" s="32"/>
      <c r="EN92" s="31"/>
      <c r="EO92" s="32"/>
      <c r="EP92" s="31"/>
      <c r="EQ92" s="32"/>
      <c r="ER92" s="31"/>
      <c r="ES92" s="32"/>
      <c r="ET92" s="31"/>
      <c r="EU92" s="32"/>
      <c r="EV92" s="31"/>
      <c r="EW92" s="32"/>
      <c r="EX92" s="31"/>
      <c r="EY92" s="32"/>
      <c r="EZ92" s="31"/>
      <c r="FA92" s="32"/>
      <c r="FB92" s="31"/>
      <c r="FC92" s="32"/>
      <c r="FD92" s="31"/>
      <c r="FE92" s="32"/>
      <c r="FF92" s="62"/>
      <c r="FG92" s="63"/>
      <c r="FH92" s="62"/>
      <c r="FI92" s="63"/>
      <c r="FJ92" s="62"/>
      <c r="FK92" s="63"/>
      <c r="FL92" s="62"/>
      <c r="FM92" s="63"/>
      <c r="FN92" s="62"/>
      <c r="FO92" s="63"/>
      <c r="FP92" s="62"/>
      <c r="FQ92" s="63"/>
      <c r="FR92" s="62"/>
      <c r="FS92" s="63"/>
      <c r="FT92" s="62"/>
      <c r="FU92" s="63"/>
      <c r="FV92" s="62"/>
      <c r="FW92" s="63"/>
      <c r="FX92" s="62"/>
      <c r="FY92" s="63"/>
      <c r="FZ92" s="62"/>
      <c r="GA92" s="63"/>
      <c r="GB92" s="62"/>
      <c r="GC92" s="63"/>
      <c r="GD92" s="62"/>
      <c r="GE92" s="63"/>
      <c r="GF92" s="62"/>
      <c r="GG92" s="63"/>
      <c r="GH92" s="62"/>
      <c r="GI92" s="63"/>
      <c r="GJ92" s="62"/>
      <c r="GK92" s="63"/>
      <c r="GL92" s="62"/>
      <c r="GM92" s="63"/>
      <c r="GN92" s="62"/>
      <c r="GO92" s="63"/>
      <c r="GP92" s="62"/>
      <c r="GQ92" s="63"/>
      <c r="GR92" s="62"/>
      <c r="GS92" s="63"/>
      <c r="GT92" s="62"/>
      <c r="GU92" s="63"/>
      <c r="GV92" s="62"/>
      <c r="GW92" s="63"/>
      <c r="GX92" s="62"/>
      <c r="GY92" s="63"/>
      <c r="GZ92" s="62"/>
      <c r="HA92" s="63"/>
      <c r="HB92" s="62"/>
      <c r="HC92" s="63"/>
      <c r="HD92" s="62"/>
      <c r="HE92" s="63"/>
      <c r="HF92" s="62"/>
      <c r="HG92" s="63"/>
      <c r="HH92" s="62"/>
      <c r="HI92" s="63"/>
      <c r="HJ92" s="62"/>
      <c r="HK92" s="63"/>
      <c r="HL92" s="62"/>
      <c r="HM92" s="63"/>
      <c r="HN92" s="62"/>
      <c r="HO92" s="63"/>
      <c r="HP92" s="62"/>
      <c r="HQ92" s="63"/>
      <c r="HR92" s="62"/>
      <c r="HS92" s="63"/>
      <c r="HT92" s="62"/>
      <c r="HU92" s="63"/>
      <c r="HV92" s="62"/>
      <c r="HW92" s="63"/>
      <c r="HX92" s="62"/>
      <c r="HY92" s="63"/>
      <c r="HZ92" s="62"/>
      <c r="IA92" s="63"/>
      <c r="IB92" s="62"/>
      <c r="IC92" s="63"/>
      <c r="ID92" s="62"/>
      <c r="IE92" s="63"/>
      <c r="IF92" s="62" t="s">
        <v>66</v>
      </c>
      <c r="IG92" s="63"/>
      <c r="IH92" s="62" t="s">
        <v>66</v>
      </c>
      <c r="II92" s="63"/>
      <c r="IJ92" s="62" t="s">
        <v>38</v>
      </c>
      <c r="IK92" s="63"/>
      <c r="IL92" s="62" t="s">
        <v>36</v>
      </c>
      <c r="IM92" s="63"/>
      <c r="IN92" s="62" t="s">
        <v>36</v>
      </c>
      <c r="IO92" s="63"/>
      <c r="IP92" s="62" t="s">
        <v>36</v>
      </c>
      <c r="IQ92" s="63"/>
      <c r="IR92" s="62" t="s">
        <v>36</v>
      </c>
      <c r="IS92" s="63"/>
      <c r="IT92" s="62" t="s">
        <v>36</v>
      </c>
      <c r="IU92" s="63"/>
      <c r="IV92" s="62" t="s">
        <v>36</v>
      </c>
      <c r="IW92" s="63"/>
      <c r="IX92" s="62" t="s">
        <v>36</v>
      </c>
      <c r="IY92" s="63"/>
      <c r="IZ92" s="62" t="s">
        <v>36</v>
      </c>
      <c r="JA92" s="63"/>
      <c r="JB92" s="62" t="s">
        <v>36</v>
      </c>
      <c r="JC92" s="63"/>
      <c r="JD92" s="62" t="s">
        <v>36</v>
      </c>
      <c r="JE92" s="63"/>
      <c r="JF92" s="62" t="s">
        <v>37</v>
      </c>
      <c r="JG92" s="63"/>
      <c r="JH92" s="62" t="s">
        <v>37</v>
      </c>
      <c r="JI92" s="63"/>
      <c r="JJ92" s="62" t="s">
        <v>37</v>
      </c>
      <c r="JK92" s="63"/>
      <c r="JL92" s="62" t="s">
        <v>37</v>
      </c>
      <c r="JM92" s="63"/>
      <c r="JN92" s="62" t="s">
        <v>37</v>
      </c>
      <c r="JO92" s="63"/>
      <c r="JP92" s="62" t="s">
        <v>37</v>
      </c>
      <c r="JQ92" s="63"/>
      <c r="JR92" s="62" t="s">
        <v>37</v>
      </c>
      <c r="JS92" s="63"/>
      <c r="JT92" s="62" t="s">
        <v>37</v>
      </c>
      <c r="JU92" s="63"/>
      <c r="JV92" s="62" t="s">
        <v>37</v>
      </c>
      <c r="JW92" s="63"/>
      <c r="JX92" s="62"/>
      <c r="JY92" s="63"/>
      <c r="JZ92" s="62"/>
      <c r="KA92" s="63"/>
      <c r="KB92" s="62"/>
      <c r="KC92" s="63"/>
      <c r="KD92" s="62"/>
      <c r="KE92" s="63"/>
      <c r="KF92" s="62"/>
      <c r="KG92" s="63"/>
      <c r="KH92" s="62"/>
      <c r="KI92" s="63"/>
      <c r="KJ92" s="62"/>
      <c r="KK92" s="63"/>
      <c r="KL92" s="62"/>
      <c r="KM92" s="63"/>
      <c r="KN92" s="62"/>
      <c r="KO92" s="63"/>
      <c r="KP92" s="62"/>
      <c r="KQ92" s="63"/>
      <c r="KR92" s="62"/>
      <c r="KS92" s="63"/>
      <c r="KT92" s="62"/>
      <c r="KU92" s="63"/>
      <c r="KV92" s="62"/>
      <c r="KW92" s="63"/>
      <c r="KX92" s="62"/>
      <c r="KY92" s="63"/>
      <c r="KZ92" s="62"/>
      <c r="LA92" s="63"/>
      <c r="LB92" s="62"/>
      <c r="LC92" s="63"/>
      <c r="LD92" s="62"/>
      <c r="LE92" s="63"/>
      <c r="LF92" s="62"/>
      <c r="LG92" s="63"/>
      <c r="LH92" s="62"/>
      <c r="LI92" s="63"/>
      <c r="LJ92" s="62"/>
      <c r="LK92" s="63"/>
      <c r="LL92" s="62"/>
      <c r="LM92" s="63"/>
      <c r="LN92" s="62"/>
      <c r="LO92" s="63"/>
      <c r="LP92" s="62"/>
      <c r="LQ92" s="63"/>
      <c r="LR92" s="62"/>
      <c r="LS92" s="63"/>
      <c r="LT92" s="62"/>
      <c r="LU92" s="63"/>
      <c r="LV92" s="62"/>
      <c r="LW92" s="63"/>
      <c r="LX92" s="62"/>
      <c r="LY92" s="63"/>
      <c r="LZ92" s="62"/>
      <c r="MA92" s="63"/>
      <c r="MB92" s="62"/>
      <c r="MC92" s="63"/>
      <c r="MD92" s="62"/>
      <c r="ME92" s="63"/>
      <c r="MF92" s="62"/>
      <c r="MG92" s="63"/>
      <c r="MH92" s="62"/>
      <c r="MI92" s="63"/>
      <c r="MJ92" s="62"/>
      <c r="MK92" s="63"/>
      <c r="ML92" s="62"/>
      <c r="MM92" s="63"/>
      <c r="MN92" s="62"/>
      <c r="MO92" s="63"/>
      <c r="MP92" s="62"/>
      <c r="MQ92" s="63"/>
      <c r="MR92" s="62"/>
      <c r="MS92" s="63"/>
      <c r="MT92" s="62"/>
      <c r="MU92" s="63"/>
      <c r="MV92" s="62"/>
      <c r="MW92" s="63"/>
      <c r="MX92" s="62"/>
      <c r="MY92" s="63"/>
      <c r="MZ92" s="62"/>
      <c r="NA92" s="63"/>
      <c r="NB92" s="62"/>
      <c r="NC92" s="63"/>
      <c r="ND92" s="62"/>
      <c r="NE92" s="63"/>
      <c r="NF92" s="62"/>
      <c r="NG92" s="63"/>
      <c r="NH92" s="62"/>
      <c r="NI92" s="63"/>
      <c r="NJ92" s="62"/>
      <c r="NK92" s="63"/>
      <c r="NL92" s="62"/>
      <c r="NM92" s="63"/>
      <c r="NN92" s="62"/>
      <c r="NO92" s="63"/>
      <c r="NP92" s="62"/>
      <c r="NQ92" s="63"/>
      <c r="NR92" s="62"/>
      <c r="NS92" s="63"/>
      <c r="NT92" s="62"/>
      <c r="NU92" s="63"/>
      <c r="NV92" s="62"/>
      <c r="NW92" s="63"/>
      <c r="NX92" s="62"/>
      <c r="NY92" s="63"/>
      <c r="NZ92" s="62"/>
      <c r="OA92" s="63"/>
      <c r="OB92" s="62"/>
      <c r="OC92" s="63"/>
      <c r="OD92" s="62"/>
      <c r="OE92" s="63"/>
      <c r="OF92" s="62"/>
      <c r="OG92" s="63"/>
      <c r="OH92" s="62"/>
      <c r="OI92" s="63"/>
      <c r="OJ92" s="62"/>
      <c r="OK92" s="63"/>
      <c r="OL92" s="62"/>
      <c r="OM92" s="63"/>
      <c r="ON92" s="62"/>
      <c r="OO92" s="63"/>
      <c r="OP92" s="62"/>
      <c r="OQ92" s="63"/>
      <c r="OR92" s="62"/>
      <c r="OS92" s="63"/>
      <c r="OT92" s="62"/>
      <c r="OU92" s="63"/>
      <c r="OV92" s="62"/>
      <c r="OW92" s="63"/>
      <c r="OX92" s="62"/>
      <c r="OY92" s="63"/>
      <c r="OZ92" s="62"/>
      <c r="PA92" s="63"/>
      <c r="PB92" s="62"/>
      <c r="PC92" s="63"/>
      <c r="PD92" s="62"/>
      <c r="PE92" s="63"/>
      <c r="PF92" s="62"/>
      <c r="PG92" s="63"/>
      <c r="PH92" s="62"/>
      <c r="PI92" s="63"/>
      <c r="PJ92" s="62"/>
      <c r="PK92" s="63"/>
      <c r="PL92" s="62"/>
      <c r="PM92" s="63"/>
      <c r="PN92" s="62"/>
      <c r="PO92" s="63"/>
      <c r="PP92" s="62"/>
      <c r="PQ92" s="63"/>
      <c r="PR92" s="62"/>
      <c r="PS92" s="63"/>
      <c r="PT92" s="62"/>
      <c r="PU92" s="63"/>
      <c r="PV92" s="62"/>
      <c r="PW92" s="63"/>
      <c r="PX92" s="62"/>
      <c r="PY92" s="63"/>
      <c r="PZ92" s="62"/>
      <c r="QA92" s="63"/>
      <c r="QB92" s="62"/>
      <c r="QC92" s="63"/>
      <c r="QD92" s="62"/>
      <c r="QE92" s="63"/>
      <c r="QF92" s="62"/>
      <c r="QG92" s="63"/>
      <c r="QH92" s="62"/>
      <c r="QI92" s="63"/>
      <c r="QJ92" s="62"/>
      <c r="QK92" s="63"/>
      <c r="QL92" s="62"/>
      <c r="QM92" s="63"/>
      <c r="QN92" s="62"/>
      <c r="QO92" s="63"/>
      <c r="QP92" s="62"/>
      <c r="QQ92" s="63"/>
      <c r="QR92" s="62"/>
      <c r="QS92" s="63"/>
      <c r="QT92" s="62"/>
      <c r="QU92" s="63"/>
      <c r="QV92" s="62"/>
      <c r="QW92" s="63"/>
      <c r="QX92" s="62"/>
      <c r="QY92" s="63"/>
      <c r="QZ92" s="62"/>
      <c r="RA92" s="63"/>
      <c r="RB92" s="62"/>
      <c r="RC92" s="63"/>
      <c r="RD92" s="31"/>
    </row>
    <row r="93" spans="1:472" s="5" customFormat="1" x14ac:dyDescent="0.25">
      <c r="A93" s="41">
        <v>2103</v>
      </c>
      <c r="B93" s="41" t="s">
        <v>1039</v>
      </c>
      <c r="C93" s="41" t="s">
        <v>230</v>
      </c>
      <c r="D93" s="41">
        <v>234</v>
      </c>
      <c r="E93" s="42"/>
      <c r="F93" s="41" t="s">
        <v>1478</v>
      </c>
      <c r="I93" s="31"/>
      <c r="J93" s="32"/>
      <c r="K93" s="31"/>
      <c r="L93" s="32"/>
      <c r="M93" s="31"/>
      <c r="N93" s="32"/>
      <c r="O93" s="31"/>
      <c r="P93" s="32"/>
      <c r="Q93" s="31"/>
      <c r="R93" s="32"/>
      <c r="S93" s="31"/>
      <c r="T93" s="32"/>
      <c r="X93" s="31"/>
      <c r="Y93" s="32"/>
      <c r="Z93" s="31"/>
      <c r="AA93" s="32"/>
      <c r="AB93" s="31"/>
      <c r="AC93" s="32"/>
      <c r="AD93" s="31"/>
      <c r="AE93" s="32"/>
      <c r="AF93" s="31"/>
      <c r="AG93" s="32"/>
      <c r="AH93" s="31"/>
      <c r="AI93" s="32"/>
      <c r="AJ93" s="31"/>
      <c r="AK93" s="32"/>
      <c r="AL93" s="31"/>
      <c r="AM93" s="32"/>
      <c r="AN93" s="31"/>
      <c r="AO93" s="32"/>
      <c r="AP93" s="31"/>
      <c r="AQ93" s="32"/>
      <c r="AR93" s="31"/>
      <c r="AS93" s="32"/>
      <c r="AT93" s="31"/>
      <c r="AU93" s="32"/>
      <c r="AV93" s="31"/>
      <c r="AW93" s="32"/>
      <c r="AX93" s="31"/>
      <c r="AY93" s="32"/>
      <c r="AZ93" s="31"/>
      <c r="BA93" s="32"/>
      <c r="BB93" s="31"/>
      <c r="BC93" s="32"/>
      <c r="BD93" s="31"/>
      <c r="BE93" s="32"/>
      <c r="BF93" s="31"/>
      <c r="BG93" s="32"/>
      <c r="BH93" s="31"/>
      <c r="BI93" s="32"/>
      <c r="BJ93" s="31"/>
      <c r="BK93" s="32"/>
      <c r="BL93" s="31"/>
      <c r="BM93" s="32"/>
      <c r="BN93" s="31"/>
      <c r="BO93" s="32"/>
      <c r="BP93" s="31"/>
      <c r="BQ93" s="32"/>
      <c r="BR93" s="31"/>
      <c r="BS93" s="32"/>
      <c r="BT93" s="31"/>
      <c r="BU93" s="32"/>
      <c r="BV93" s="31"/>
      <c r="BW93" s="32"/>
      <c r="BX93" s="31"/>
      <c r="BY93" s="32"/>
      <c r="BZ93" s="31"/>
      <c r="CA93" s="32"/>
      <c r="CB93" s="31"/>
      <c r="CC93" s="32"/>
      <c r="CD93" s="31"/>
      <c r="CE93" s="32"/>
      <c r="CF93" s="31"/>
      <c r="CG93" s="32"/>
      <c r="CH93" s="31"/>
      <c r="CI93" s="32"/>
      <c r="CJ93" s="31"/>
      <c r="CK93" s="32"/>
      <c r="CL93" s="31"/>
      <c r="CM93" s="32"/>
      <c r="CN93" s="31"/>
      <c r="CO93" s="32"/>
      <c r="CP93" s="31"/>
      <c r="CQ93" s="32"/>
      <c r="CR93" s="31"/>
      <c r="CS93" s="32"/>
      <c r="CT93" s="31"/>
      <c r="CU93" s="32"/>
      <c r="CV93" s="31"/>
      <c r="CW93" s="32"/>
      <c r="CX93" s="31"/>
      <c r="CY93" s="32"/>
      <c r="CZ93" s="31"/>
      <c r="DA93" s="32"/>
      <c r="DB93" s="31"/>
      <c r="DC93" s="32"/>
      <c r="DD93" s="31"/>
      <c r="DE93" s="32"/>
      <c r="DF93" s="31"/>
      <c r="DG93" s="32"/>
      <c r="DH93" s="31"/>
      <c r="DI93" s="32"/>
      <c r="DJ93" s="31"/>
      <c r="DK93" s="32"/>
      <c r="DL93" s="31"/>
      <c r="DM93" s="32"/>
      <c r="DN93" s="31"/>
      <c r="DO93" s="32"/>
      <c r="DP93" s="31"/>
      <c r="DQ93" s="32"/>
      <c r="DR93" s="31"/>
      <c r="DS93" s="32"/>
      <c r="DT93" s="31"/>
      <c r="DU93" s="32"/>
      <c r="DV93" s="31"/>
      <c r="DW93" s="32"/>
      <c r="DX93" s="31"/>
      <c r="DY93" s="32"/>
      <c r="DZ93" s="31"/>
      <c r="EA93" s="32"/>
      <c r="EB93" s="31"/>
      <c r="EC93" s="32"/>
      <c r="ED93" s="31"/>
      <c r="EE93" s="32"/>
      <c r="EF93" s="31"/>
      <c r="EG93" s="32"/>
      <c r="EH93" s="31"/>
      <c r="EI93" s="32"/>
      <c r="EJ93" s="31"/>
      <c r="EK93" s="32"/>
      <c r="EL93" s="31"/>
      <c r="EM93" s="32"/>
      <c r="EN93" s="31"/>
      <c r="EO93" s="32"/>
      <c r="EP93" s="31"/>
      <c r="EQ93" s="32"/>
      <c r="ER93" s="31"/>
      <c r="ES93" s="32"/>
      <c r="ET93" s="31"/>
      <c r="EU93" s="32"/>
      <c r="EV93" s="31"/>
      <c r="EW93" s="32"/>
      <c r="EX93" s="31"/>
      <c r="EY93" s="32"/>
      <c r="EZ93" s="31"/>
      <c r="FA93" s="32"/>
      <c r="FB93" s="31"/>
      <c r="FC93" s="32"/>
      <c r="FD93" s="31"/>
      <c r="FE93" s="32"/>
      <c r="FF93" s="62"/>
      <c r="FG93" s="63"/>
      <c r="FH93" s="62"/>
      <c r="FI93" s="63"/>
      <c r="FJ93" s="62"/>
      <c r="FK93" s="63"/>
      <c r="FL93" s="62"/>
      <c r="FM93" s="63"/>
      <c r="FN93" s="62"/>
      <c r="FO93" s="63"/>
      <c r="FP93" s="62"/>
      <c r="FQ93" s="63"/>
      <c r="FR93" s="62"/>
      <c r="FS93" s="63"/>
      <c r="FT93" s="62"/>
      <c r="FU93" s="63"/>
      <c r="FV93" s="62"/>
      <c r="FW93" s="63"/>
      <c r="FX93" s="62"/>
      <c r="FY93" s="63"/>
      <c r="FZ93" s="62"/>
      <c r="GA93" s="63"/>
      <c r="GB93" s="62"/>
      <c r="GC93" s="63"/>
      <c r="GD93" s="62"/>
      <c r="GE93" s="63"/>
      <c r="GF93" s="62"/>
      <c r="GG93" s="63"/>
      <c r="GH93" s="62"/>
      <c r="GI93" s="63"/>
      <c r="GJ93" s="62"/>
      <c r="GK93" s="63"/>
      <c r="GL93" s="62"/>
      <c r="GM93" s="63"/>
      <c r="GN93" s="62"/>
      <c r="GO93" s="63"/>
      <c r="GP93" s="62"/>
      <c r="GQ93" s="63"/>
      <c r="GR93" s="62"/>
      <c r="GS93" s="63"/>
      <c r="GT93" s="62"/>
      <c r="GU93" s="63"/>
      <c r="GV93" s="62"/>
      <c r="GW93" s="63"/>
      <c r="GX93" s="62"/>
      <c r="GY93" s="63"/>
      <c r="GZ93" s="62"/>
      <c r="HA93" s="63"/>
      <c r="HB93" s="62"/>
      <c r="HC93" s="63"/>
      <c r="HD93" s="62"/>
      <c r="HE93" s="63"/>
      <c r="HF93" s="62"/>
      <c r="HG93" s="63"/>
      <c r="HH93" s="62"/>
      <c r="HI93" s="63"/>
      <c r="HJ93" s="62"/>
      <c r="HK93" s="63"/>
      <c r="HL93" s="62"/>
      <c r="HM93" s="63"/>
      <c r="HN93" s="62"/>
      <c r="HO93" s="63"/>
      <c r="HP93" s="62"/>
      <c r="HQ93" s="63"/>
      <c r="HR93" s="62"/>
      <c r="HS93" s="63"/>
      <c r="HT93" s="62"/>
      <c r="HU93" s="63"/>
      <c r="HV93" s="62"/>
      <c r="HW93" s="63"/>
      <c r="HX93" s="62"/>
      <c r="HY93" s="63"/>
      <c r="HZ93" s="62"/>
      <c r="IA93" s="63"/>
      <c r="IB93" s="62"/>
      <c r="IC93" s="63"/>
      <c r="ID93" s="62"/>
      <c r="IE93" s="63" t="s">
        <v>66</v>
      </c>
      <c r="IF93" s="62" t="s">
        <v>66</v>
      </c>
      <c r="IG93" s="63"/>
      <c r="IH93" s="62" t="s">
        <v>66</v>
      </c>
      <c r="II93" s="63"/>
      <c r="IJ93" s="62" t="s">
        <v>38</v>
      </c>
      <c r="IK93" s="63"/>
      <c r="IL93" s="62" t="s">
        <v>38</v>
      </c>
      <c r="IM93" s="63"/>
      <c r="IN93" s="62" t="s">
        <v>36</v>
      </c>
      <c r="IO93" s="63"/>
      <c r="IP93" s="62" t="s">
        <v>36</v>
      </c>
      <c r="IQ93" s="63"/>
      <c r="IR93" s="62" t="s">
        <v>36</v>
      </c>
      <c r="IS93" s="63"/>
      <c r="IT93" s="62" t="s">
        <v>36</v>
      </c>
      <c r="IU93" s="63"/>
      <c r="IV93" s="62" t="s">
        <v>36</v>
      </c>
      <c r="IW93" s="63"/>
      <c r="IX93" s="62" t="s">
        <v>36</v>
      </c>
      <c r="IY93" s="63"/>
      <c r="IZ93" s="62" t="s">
        <v>36</v>
      </c>
      <c r="JA93" s="63"/>
      <c r="JB93" s="62" t="s">
        <v>36</v>
      </c>
      <c r="JC93" s="63"/>
      <c r="JD93" s="62" t="s">
        <v>36</v>
      </c>
      <c r="JE93" s="63"/>
      <c r="JF93" s="62" t="s">
        <v>36</v>
      </c>
      <c r="JG93" s="63"/>
      <c r="JH93" s="62" t="s">
        <v>36</v>
      </c>
      <c r="JI93" s="63"/>
      <c r="JJ93" s="62" t="s">
        <v>37</v>
      </c>
      <c r="JK93" s="63"/>
      <c r="JL93" s="62" t="s">
        <v>37</v>
      </c>
      <c r="JM93" s="63"/>
      <c r="JN93" s="62" t="s">
        <v>37</v>
      </c>
      <c r="JO93" s="63"/>
      <c r="JP93" s="62" t="s">
        <v>37</v>
      </c>
      <c r="JQ93" s="63"/>
      <c r="JR93" s="62" t="s">
        <v>37</v>
      </c>
      <c r="JS93" s="63"/>
      <c r="JT93" s="62" t="s">
        <v>37</v>
      </c>
      <c r="JU93" s="63"/>
      <c r="JV93" s="62" t="s">
        <v>37</v>
      </c>
      <c r="JW93" s="63"/>
      <c r="JX93" s="62" t="s">
        <v>37</v>
      </c>
      <c r="JY93" s="63"/>
      <c r="JZ93" s="62"/>
      <c r="KA93" s="63"/>
      <c r="KB93" s="62"/>
      <c r="KC93" s="63"/>
      <c r="KD93" s="62"/>
      <c r="KE93" s="63"/>
      <c r="KF93" s="62"/>
      <c r="KG93" s="63"/>
      <c r="KH93" s="62"/>
      <c r="KI93" s="63"/>
      <c r="KJ93" s="62"/>
      <c r="KK93" s="63"/>
      <c r="KL93" s="62"/>
      <c r="KM93" s="63"/>
      <c r="KN93" s="62"/>
      <c r="KO93" s="63"/>
      <c r="KP93" s="62"/>
      <c r="KQ93" s="63"/>
      <c r="KR93" s="62"/>
      <c r="KS93" s="63"/>
      <c r="KT93" s="62"/>
      <c r="KU93" s="63"/>
      <c r="KV93" s="62"/>
      <c r="KW93" s="63"/>
      <c r="KX93" s="62"/>
      <c r="KY93" s="63"/>
      <c r="KZ93" s="62"/>
      <c r="LA93" s="63"/>
      <c r="LB93" s="62"/>
      <c r="LC93" s="63"/>
      <c r="LD93" s="62"/>
      <c r="LE93" s="63"/>
      <c r="LF93" s="62"/>
      <c r="LG93" s="63"/>
      <c r="LH93" s="62"/>
      <c r="LI93" s="63"/>
      <c r="LJ93" s="62"/>
      <c r="LK93" s="63"/>
      <c r="LL93" s="62"/>
      <c r="LM93" s="63"/>
      <c r="LN93" s="62"/>
      <c r="LO93" s="63"/>
      <c r="LP93" s="62"/>
      <c r="LQ93" s="63"/>
      <c r="LR93" s="62"/>
      <c r="LS93" s="63"/>
      <c r="LT93" s="62"/>
      <c r="LU93" s="63"/>
      <c r="LV93" s="62"/>
      <c r="LW93" s="63"/>
      <c r="LX93" s="62"/>
      <c r="LY93" s="63"/>
      <c r="LZ93" s="62"/>
      <c r="MA93" s="63"/>
      <c r="MB93" s="62"/>
      <c r="MC93" s="63"/>
      <c r="MD93" s="62"/>
      <c r="ME93" s="63"/>
      <c r="MF93" s="62"/>
      <c r="MG93" s="63"/>
      <c r="MH93" s="62"/>
      <c r="MI93" s="63"/>
      <c r="MJ93" s="62"/>
      <c r="MK93" s="63"/>
      <c r="ML93" s="62"/>
      <c r="MM93" s="63"/>
      <c r="MN93" s="62"/>
      <c r="MO93" s="63"/>
      <c r="MP93" s="62"/>
      <c r="MQ93" s="63"/>
      <c r="MR93" s="62"/>
      <c r="MS93" s="63"/>
      <c r="MT93" s="62"/>
      <c r="MU93" s="63"/>
      <c r="MV93" s="62"/>
      <c r="MW93" s="63"/>
      <c r="MX93" s="62"/>
      <c r="MY93" s="63"/>
      <c r="MZ93" s="62"/>
      <c r="NA93" s="63"/>
      <c r="NB93" s="62"/>
      <c r="NC93" s="63"/>
      <c r="ND93" s="62"/>
      <c r="NE93" s="63"/>
      <c r="NF93" s="62"/>
      <c r="NG93" s="63"/>
      <c r="NH93" s="62"/>
      <c r="NI93" s="63"/>
      <c r="NJ93" s="62"/>
      <c r="NK93" s="63"/>
      <c r="NL93" s="62"/>
      <c r="NM93" s="63"/>
      <c r="NN93" s="62"/>
      <c r="NO93" s="63"/>
      <c r="NP93" s="62"/>
      <c r="NQ93" s="63"/>
      <c r="NR93" s="62"/>
      <c r="NS93" s="63"/>
      <c r="NT93" s="62"/>
      <c r="NU93" s="63"/>
      <c r="NV93" s="62"/>
      <c r="NW93" s="63"/>
      <c r="NX93" s="62"/>
      <c r="NY93" s="63"/>
      <c r="NZ93" s="62"/>
      <c r="OA93" s="63"/>
      <c r="OB93" s="62"/>
      <c r="OC93" s="63"/>
      <c r="OD93" s="62"/>
      <c r="OE93" s="63"/>
      <c r="OF93" s="62"/>
      <c r="OG93" s="63"/>
      <c r="OH93" s="62"/>
      <c r="OI93" s="63"/>
      <c r="OJ93" s="62"/>
      <c r="OK93" s="63"/>
      <c r="OL93" s="62"/>
      <c r="OM93" s="63"/>
      <c r="ON93" s="62"/>
      <c r="OO93" s="63"/>
      <c r="OP93" s="62"/>
      <c r="OQ93" s="63"/>
      <c r="OR93" s="62"/>
      <c r="OS93" s="63"/>
      <c r="OT93" s="62"/>
      <c r="OU93" s="63"/>
      <c r="OV93" s="62"/>
      <c r="OW93" s="63"/>
      <c r="OX93" s="62"/>
      <c r="OY93" s="63"/>
      <c r="OZ93" s="62"/>
      <c r="PA93" s="63"/>
      <c r="PB93" s="62"/>
      <c r="PC93" s="63"/>
      <c r="PD93" s="62"/>
      <c r="PE93" s="63"/>
      <c r="PF93" s="62"/>
      <c r="PG93" s="63"/>
      <c r="PH93" s="62"/>
      <c r="PI93" s="63"/>
      <c r="PJ93" s="62"/>
      <c r="PK93" s="63"/>
      <c r="PL93" s="62"/>
      <c r="PM93" s="63"/>
      <c r="PN93" s="62"/>
      <c r="PO93" s="63"/>
      <c r="PP93" s="62"/>
      <c r="PQ93" s="63"/>
      <c r="PR93" s="62"/>
      <c r="PS93" s="63"/>
      <c r="PT93" s="62"/>
      <c r="PU93" s="63"/>
      <c r="PV93" s="62"/>
      <c r="PW93" s="63"/>
      <c r="PX93" s="62"/>
      <c r="PY93" s="63"/>
      <c r="PZ93" s="62"/>
      <c r="QA93" s="63"/>
      <c r="QB93" s="62"/>
      <c r="QC93" s="63"/>
      <c r="QD93" s="62"/>
      <c r="QE93" s="63"/>
      <c r="QF93" s="62"/>
      <c r="QG93" s="63"/>
      <c r="QH93" s="62"/>
      <c r="QI93" s="63"/>
      <c r="QJ93" s="62"/>
      <c r="QK93" s="63"/>
      <c r="QL93" s="62"/>
      <c r="QM93" s="63"/>
      <c r="QN93" s="62"/>
      <c r="QO93" s="63"/>
      <c r="QP93" s="62"/>
      <c r="QQ93" s="63"/>
      <c r="QR93" s="62"/>
      <c r="QS93" s="63"/>
      <c r="QT93" s="62"/>
      <c r="QU93" s="63"/>
      <c r="QV93" s="62"/>
      <c r="QW93" s="63"/>
      <c r="QX93" s="62"/>
      <c r="QY93" s="63"/>
      <c r="QZ93" s="62"/>
      <c r="RA93" s="63"/>
      <c r="RB93" s="62"/>
      <c r="RC93" s="63"/>
      <c r="RD93" s="31"/>
    </row>
    <row r="94" spans="1:472" s="5" customFormat="1" x14ac:dyDescent="0.25">
      <c r="A94" s="41">
        <v>2107</v>
      </c>
      <c r="B94" s="41" t="s">
        <v>921</v>
      </c>
      <c r="C94" s="41" t="s">
        <v>5</v>
      </c>
      <c r="D94" s="41">
        <v>244</v>
      </c>
      <c r="E94" s="42"/>
      <c r="F94" s="41" t="s">
        <v>1623</v>
      </c>
      <c r="I94" s="31"/>
      <c r="J94" s="32"/>
      <c r="K94" s="31"/>
      <c r="L94" s="32"/>
      <c r="M94" s="31"/>
      <c r="N94" s="32"/>
      <c r="O94" s="31"/>
      <c r="P94" s="32"/>
      <c r="Q94" s="31"/>
      <c r="R94" s="32"/>
      <c r="S94" s="31"/>
      <c r="T94" s="32"/>
      <c r="X94" s="31"/>
      <c r="Y94" s="32"/>
      <c r="Z94" s="31"/>
      <c r="AA94" s="32"/>
      <c r="AB94" s="31"/>
      <c r="AC94" s="32"/>
      <c r="AD94" s="31"/>
      <c r="AE94" s="32"/>
      <c r="AF94" s="31"/>
      <c r="AG94" s="32"/>
      <c r="AH94" s="31"/>
      <c r="AI94" s="32"/>
      <c r="AJ94" s="31"/>
      <c r="AK94" s="32"/>
      <c r="AL94" s="31"/>
      <c r="AM94" s="32"/>
      <c r="AN94" s="31"/>
      <c r="AO94" s="32"/>
      <c r="AP94" s="31"/>
      <c r="AQ94" s="32"/>
      <c r="AR94" s="31"/>
      <c r="AS94" s="32"/>
      <c r="AT94" s="31"/>
      <c r="AU94" s="32"/>
      <c r="AV94" s="31"/>
      <c r="AW94" s="32"/>
      <c r="AX94" s="31"/>
      <c r="AY94" s="32"/>
      <c r="AZ94" s="31"/>
      <c r="BA94" s="32"/>
      <c r="BB94" s="31"/>
      <c r="BC94" s="32"/>
      <c r="BD94" s="31"/>
      <c r="BE94" s="32"/>
      <c r="BF94" s="31"/>
      <c r="BG94" s="32"/>
      <c r="BH94" s="31"/>
      <c r="BI94" s="32"/>
      <c r="BJ94" s="31"/>
      <c r="BK94" s="32"/>
      <c r="BL94" s="31"/>
      <c r="BM94" s="32"/>
      <c r="BN94" s="31"/>
      <c r="BO94" s="32"/>
      <c r="BP94" s="31"/>
      <c r="BQ94" s="32"/>
      <c r="BR94" s="31"/>
      <c r="BS94" s="32"/>
      <c r="BT94" s="31"/>
      <c r="BU94" s="32"/>
      <c r="BV94" s="31"/>
      <c r="BW94" s="32"/>
      <c r="BX94" s="31"/>
      <c r="BY94" s="32"/>
      <c r="BZ94" s="31"/>
      <c r="CA94" s="32"/>
      <c r="CB94" s="31"/>
      <c r="CC94" s="32"/>
      <c r="CD94" s="31"/>
      <c r="CE94" s="32"/>
      <c r="CF94" s="31"/>
      <c r="CG94" s="32"/>
      <c r="CH94" s="31"/>
      <c r="CI94" s="32"/>
      <c r="CJ94" s="31"/>
      <c r="CK94" s="32"/>
      <c r="CL94" s="31"/>
      <c r="CM94" s="32"/>
      <c r="CN94" s="31"/>
      <c r="CO94" s="32"/>
      <c r="CP94" s="31"/>
      <c r="CQ94" s="32"/>
      <c r="CR94" s="31"/>
      <c r="CS94" s="32"/>
      <c r="CT94" s="31"/>
      <c r="CU94" s="32"/>
      <c r="CV94" s="31"/>
      <c r="CW94" s="32"/>
      <c r="CX94" s="31"/>
      <c r="CY94" s="32"/>
      <c r="CZ94" s="31"/>
      <c r="DA94" s="32"/>
      <c r="DB94" s="31"/>
      <c r="DC94" s="32"/>
      <c r="DD94" s="31"/>
      <c r="DE94" s="32"/>
      <c r="DF94" s="31"/>
      <c r="DG94" s="32"/>
      <c r="DH94" s="31"/>
      <c r="DI94" s="32"/>
      <c r="DJ94" s="31"/>
      <c r="DK94" s="32"/>
      <c r="DL94" s="31"/>
      <c r="DM94" s="32"/>
      <c r="DN94" s="31"/>
      <c r="DO94" s="32"/>
      <c r="DP94" s="31"/>
      <c r="DQ94" s="32"/>
      <c r="DR94" s="31"/>
      <c r="DS94" s="32"/>
      <c r="DT94" s="31"/>
      <c r="DU94" s="32"/>
      <c r="DV94" s="31"/>
      <c r="DW94" s="32"/>
      <c r="DX94" s="31"/>
      <c r="DY94" s="32"/>
      <c r="DZ94" s="31"/>
      <c r="EA94" s="32"/>
      <c r="EB94" s="31"/>
      <c r="EC94" s="32"/>
      <c r="ED94" s="31"/>
      <c r="EE94" s="32"/>
      <c r="EF94" s="31"/>
      <c r="EG94" s="32"/>
      <c r="EH94" s="31"/>
      <c r="EI94" s="32"/>
      <c r="EJ94" s="31"/>
      <c r="EK94" s="32"/>
      <c r="EL94" s="31"/>
      <c r="EM94" s="32"/>
      <c r="EN94" s="31"/>
      <c r="EO94" s="32"/>
      <c r="EP94" s="31"/>
      <c r="EQ94" s="32"/>
      <c r="ER94" s="31"/>
      <c r="ES94" s="32"/>
      <c r="ET94" s="31"/>
      <c r="EU94" s="32"/>
      <c r="EV94" s="31"/>
      <c r="EW94" s="32"/>
      <c r="EX94" s="31"/>
      <c r="EY94" s="32"/>
      <c r="EZ94" s="31"/>
      <c r="FA94" s="32"/>
      <c r="FB94" s="31"/>
      <c r="FC94" s="32"/>
      <c r="FD94" s="31"/>
      <c r="FE94" s="32"/>
      <c r="FF94" s="62"/>
      <c r="FG94" s="63"/>
      <c r="FH94" s="62"/>
      <c r="FI94" s="63"/>
      <c r="FJ94" s="62"/>
      <c r="FK94" s="63"/>
      <c r="FL94" s="62"/>
      <c r="FM94" s="63"/>
      <c r="FN94" s="62"/>
      <c r="FO94" s="63"/>
      <c r="FP94" s="62"/>
      <c r="FQ94" s="63"/>
      <c r="FR94" s="62"/>
      <c r="FS94" s="63"/>
      <c r="FT94" s="62"/>
      <c r="FU94" s="63"/>
      <c r="FV94" s="62"/>
      <c r="FW94" s="63"/>
      <c r="FX94" s="62"/>
      <c r="FY94" s="63"/>
      <c r="FZ94" s="62"/>
      <c r="GA94" s="63"/>
      <c r="GB94" s="62"/>
      <c r="GC94" s="63"/>
      <c r="GD94" s="62"/>
      <c r="GE94" s="63"/>
      <c r="GF94" s="62"/>
      <c r="GG94" s="63"/>
      <c r="GH94" s="62"/>
      <c r="GI94" s="63"/>
      <c r="GJ94" s="62"/>
      <c r="GK94" s="63"/>
      <c r="GL94" s="62"/>
      <c r="GM94" s="63"/>
      <c r="GN94" s="62"/>
      <c r="GO94" s="63"/>
      <c r="GP94" s="62"/>
      <c r="GQ94" s="63"/>
      <c r="GR94" s="62"/>
      <c r="GS94" s="63"/>
      <c r="GT94" s="62"/>
      <c r="GU94" s="63"/>
      <c r="GV94" s="62"/>
      <c r="GW94" s="63"/>
      <c r="GX94" s="62"/>
      <c r="GY94" s="63"/>
      <c r="GZ94" s="62"/>
      <c r="HA94" s="63"/>
      <c r="HB94" s="62"/>
      <c r="HC94" s="63"/>
      <c r="HD94" s="62"/>
      <c r="HE94" s="63"/>
      <c r="HF94" s="62"/>
      <c r="HG94" s="63"/>
      <c r="HH94" s="62"/>
      <c r="HI94" s="63"/>
      <c r="HJ94" s="62"/>
      <c r="HK94" s="63"/>
      <c r="HL94" s="62"/>
      <c r="HM94" s="63"/>
      <c r="HN94" s="62"/>
      <c r="HO94" s="63"/>
      <c r="HP94" s="62"/>
      <c r="HQ94" s="63"/>
      <c r="HR94" s="62"/>
      <c r="HS94" s="63"/>
      <c r="HT94" s="62"/>
      <c r="HU94" s="63"/>
      <c r="HV94" s="62"/>
      <c r="HW94" s="63"/>
      <c r="HX94" s="62"/>
      <c r="HY94" s="63"/>
      <c r="HZ94" s="62"/>
      <c r="IA94" s="63"/>
      <c r="IB94" s="62"/>
      <c r="IC94" s="63"/>
      <c r="ID94" s="62"/>
      <c r="IE94" s="63"/>
      <c r="IF94" s="62"/>
      <c r="IG94" s="63"/>
      <c r="IH94" s="62"/>
      <c r="II94" s="63"/>
      <c r="IJ94" s="62"/>
      <c r="IK94" s="63"/>
      <c r="IL94" s="62"/>
      <c r="IM94" s="63"/>
      <c r="IN94" s="62"/>
      <c r="IO94" s="63"/>
      <c r="IP94" s="62"/>
      <c r="IQ94" s="63"/>
      <c r="IR94" s="62"/>
      <c r="IS94" s="63"/>
      <c r="IT94" s="62"/>
      <c r="IU94" s="63"/>
      <c r="IV94" s="62" t="s">
        <v>66</v>
      </c>
      <c r="IW94" s="63"/>
      <c r="IX94" s="62" t="s">
        <v>38</v>
      </c>
      <c r="IY94" s="63"/>
      <c r="IZ94" s="62" t="s">
        <v>38</v>
      </c>
      <c r="JA94" s="63"/>
      <c r="JB94" s="62" t="s">
        <v>38</v>
      </c>
      <c r="JC94" s="63"/>
      <c r="JD94" s="62" t="s">
        <v>36</v>
      </c>
      <c r="JE94" s="63"/>
      <c r="JF94" s="62" t="s">
        <v>36</v>
      </c>
      <c r="JG94" s="63"/>
      <c r="JH94" s="62" t="s">
        <v>36</v>
      </c>
      <c r="JI94" s="63"/>
      <c r="JJ94" s="62" t="s">
        <v>36</v>
      </c>
      <c r="JK94" s="63"/>
      <c r="JL94" s="62" t="s">
        <v>36</v>
      </c>
      <c r="JM94" s="63"/>
      <c r="JN94" s="62" t="s">
        <v>36</v>
      </c>
      <c r="JO94" s="63"/>
      <c r="JP94" s="62" t="s">
        <v>36</v>
      </c>
      <c r="JQ94" s="63"/>
      <c r="JR94" s="62" t="s">
        <v>36</v>
      </c>
      <c r="JS94" s="63"/>
      <c r="JT94" s="62" t="s">
        <v>36</v>
      </c>
      <c r="JU94" s="63"/>
      <c r="JV94" s="62" t="s">
        <v>36</v>
      </c>
      <c r="JW94" s="63"/>
      <c r="JX94" s="62" t="s">
        <v>37</v>
      </c>
      <c r="JY94" s="63"/>
      <c r="JZ94" s="62" t="s">
        <v>37</v>
      </c>
      <c r="KA94" s="63"/>
      <c r="KB94" s="62" t="s">
        <v>37</v>
      </c>
      <c r="KC94" s="63"/>
      <c r="KD94" s="62" t="s">
        <v>37</v>
      </c>
      <c r="KE94" s="63"/>
      <c r="KF94" s="62" t="s">
        <v>37</v>
      </c>
      <c r="KG94" s="63"/>
      <c r="KH94" s="62" t="s">
        <v>37</v>
      </c>
      <c r="KI94" s="63"/>
      <c r="KJ94" s="62" t="s">
        <v>37</v>
      </c>
      <c r="KK94" s="63"/>
      <c r="KL94" s="62" t="s">
        <v>37</v>
      </c>
      <c r="KM94" s="63"/>
      <c r="KN94" s="62" t="s">
        <v>37</v>
      </c>
      <c r="KO94" s="63"/>
      <c r="KP94" s="62"/>
      <c r="KQ94" s="63"/>
      <c r="KR94" s="62"/>
      <c r="KS94" s="63"/>
      <c r="KT94" s="62"/>
      <c r="KU94" s="63"/>
      <c r="KV94" s="62"/>
      <c r="KW94" s="63"/>
      <c r="KX94" s="62"/>
      <c r="KY94" s="63"/>
      <c r="KZ94" s="62"/>
      <c r="LA94" s="63"/>
      <c r="LB94" s="62"/>
      <c r="LC94" s="63"/>
      <c r="LD94" s="62"/>
      <c r="LE94" s="63"/>
      <c r="LF94" s="62"/>
      <c r="LG94" s="63"/>
      <c r="LH94" s="62"/>
      <c r="LI94" s="63"/>
      <c r="LJ94" s="62"/>
      <c r="LK94" s="63"/>
      <c r="LL94" s="62"/>
      <c r="LM94" s="63"/>
      <c r="LN94" s="62"/>
      <c r="LO94" s="63"/>
      <c r="LP94" s="62"/>
      <c r="LQ94" s="63"/>
      <c r="LR94" s="62"/>
      <c r="LS94" s="63"/>
      <c r="LT94" s="62"/>
      <c r="LU94" s="63"/>
      <c r="LV94" s="62"/>
      <c r="LW94" s="63"/>
      <c r="LX94" s="62"/>
      <c r="LY94" s="63"/>
      <c r="LZ94" s="62"/>
      <c r="MA94" s="63"/>
      <c r="MB94" s="62"/>
      <c r="MC94" s="63"/>
      <c r="MD94" s="62"/>
      <c r="ME94" s="63"/>
      <c r="MF94" s="62"/>
      <c r="MG94" s="63"/>
      <c r="MH94" s="62"/>
      <c r="MI94" s="63"/>
      <c r="MJ94" s="62"/>
      <c r="MK94" s="63"/>
      <c r="ML94" s="62"/>
      <c r="MM94" s="63"/>
      <c r="MN94" s="62"/>
      <c r="MO94" s="63"/>
      <c r="MP94" s="62"/>
      <c r="MQ94" s="63"/>
      <c r="MR94" s="62"/>
      <c r="MS94" s="63"/>
      <c r="MT94" s="62"/>
      <c r="MU94" s="63"/>
      <c r="MV94" s="62"/>
      <c r="MW94" s="63"/>
      <c r="MX94" s="62"/>
      <c r="MY94" s="63"/>
      <c r="MZ94" s="62"/>
      <c r="NA94" s="63"/>
      <c r="NB94" s="62"/>
      <c r="NC94" s="63"/>
      <c r="ND94" s="62"/>
      <c r="NE94" s="63"/>
      <c r="NF94" s="62"/>
      <c r="NG94" s="63"/>
      <c r="NH94" s="62"/>
      <c r="NI94" s="63"/>
      <c r="NJ94" s="62"/>
      <c r="NK94" s="63"/>
      <c r="NL94" s="62"/>
      <c r="NM94" s="63"/>
      <c r="NN94" s="62"/>
      <c r="NO94" s="63"/>
      <c r="NP94" s="62"/>
      <c r="NQ94" s="63"/>
      <c r="NR94" s="62"/>
      <c r="NS94" s="63"/>
      <c r="NT94" s="62"/>
      <c r="NU94" s="63"/>
      <c r="NV94" s="62"/>
      <c r="NW94" s="63"/>
      <c r="NX94" s="62"/>
      <c r="NY94" s="63"/>
      <c r="NZ94" s="62"/>
      <c r="OA94" s="63"/>
      <c r="OB94" s="62"/>
      <c r="OC94" s="63"/>
      <c r="OD94" s="62"/>
      <c r="OE94" s="63"/>
      <c r="OF94" s="62"/>
      <c r="OG94" s="63"/>
      <c r="OH94" s="62"/>
      <c r="OI94" s="63"/>
      <c r="OJ94" s="62"/>
      <c r="OK94" s="63"/>
      <c r="OL94" s="62"/>
      <c r="OM94" s="63"/>
      <c r="ON94" s="62"/>
      <c r="OO94" s="63"/>
      <c r="OP94" s="62"/>
      <c r="OQ94" s="63"/>
      <c r="OR94" s="62"/>
      <c r="OS94" s="63"/>
      <c r="OT94" s="62"/>
      <c r="OU94" s="63"/>
      <c r="OV94" s="62"/>
      <c r="OW94" s="63"/>
      <c r="OX94" s="62"/>
      <c r="OY94" s="63"/>
      <c r="OZ94" s="62"/>
      <c r="PA94" s="63"/>
      <c r="PB94" s="62"/>
      <c r="PC94" s="63"/>
      <c r="PD94" s="62"/>
      <c r="PE94" s="63"/>
      <c r="PF94" s="62"/>
      <c r="PG94" s="63"/>
      <c r="PH94" s="62"/>
      <c r="PI94" s="63"/>
      <c r="PJ94" s="62"/>
      <c r="PK94" s="63"/>
      <c r="PL94" s="62"/>
      <c r="PM94" s="63"/>
      <c r="PN94" s="62"/>
      <c r="PO94" s="63"/>
      <c r="PP94" s="62"/>
      <c r="PQ94" s="63"/>
      <c r="PR94" s="62"/>
      <c r="PS94" s="63"/>
      <c r="PT94" s="62"/>
      <c r="PU94" s="63"/>
      <c r="PV94" s="62"/>
      <c r="PW94" s="63"/>
      <c r="PX94" s="62"/>
      <c r="PY94" s="63"/>
      <c r="PZ94" s="62"/>
      <c r="QA94" s="63"/>
      <c r="QB94" s="62"/>
      <c r="QC94" s="63"/>
      <c r="QD94" s="62"/>
      <c r="QE94" s="63"/>
      <c r="QF94" s="62"/>
      <c r="QG94" s="63"/>
      <c r="QH94" s="62"/>
      <c r="QI94" s="63"/>
      <c r="QJ94" s="62"/>
      <c r="QK94" s="63"/>
      <c r="QL94" s="62"/>
      <c r="QM94" s="63"/>
      <c r="QN94" s="62"/>
      <c r="QO94" s="63"/>
      <c r="QP94" s="62"/>
      <c r="QQ94" s="63"/>
      <c r="QR94" s="62"/>
      <c r="QS94" s="63"/>
      <c r="QT94" s="62"/>
      <c r="QU94" s="63"/>
      <c r="QV94" s="62"/>
      <c r="QW94" s="63"/>
      <c r="QX94" s="62"/>
      <c r="QY94" s="63"/>
      <c r="QZ94" s="62"/>
      <c r="RA94" s="63"/>
      <c r="RB94" s="62"/>
      <c r="RC94" s="63"/>
      <c r="RD94" s="31"/>
    </row>
    <row r="95" spans="1:472" s="5" customFormat="1" x14ac:dyDescent="0.25">
      <c r="A95" s="41">
        <v>2109</v>
      </c>
      <c r="B95" s="41" t="s">
        <v>1477</v>
      </c>
      <c r="C95" s="41" t="s">
        <v>444</v>
      </c>
      <c r="D95" s="41">
        <v>246</v>
      </c>
      <c r="E95" s="42"/>
      <c r="F95" s="41" t="s">
        <v>1212</v>
      </c>
      <c r="I95" s="31"/>
      <c r="J95" s="32"/>
      <c r="K95" s="31"/>
      <c r="L95" s="32"/>
      <c r="M95" s="31"/>
      <c r="N95" s="32"/>
      <c r="O95" s="31"/>
      <c r="P95" s="32"/>
      <c r="Q95" s="31"/>
      <c r="R95" s="32"/>
      <c r="S95" s="31"/>
      <c r="T95" s="32"/>
      <c r="X95" s="31"/>
      <c r="Y95" s="32"/>
      <c r="Z95" s="31"/>
      <c r="AA95" s="32"/>
      <c r="AB95" s="31"/>
      <c r="AC95" s="32"/>
      <c r="AD95" s="31"/>
      <c r="AE95" s="32"/>
      <c r="AF95" s="31"/>
      <c r="AG95" s="32"/>
      <c r="AH95" s="31"/>
      <c r="AI95" s="32"/>
      <c r="AJ95" s="31"/>
      <c r="AK95" s="32"/>
      <c r="AL95" s="31"/>
      <c r="AM95" s="32"/>
      <c r="AN95" s="31"/>
      <c r="AO95" s="32"/>
      <c r="AP95" s="31"/>
      <c r="AQ95" s="32"/>
      <c r="AR95" s="31"/>
      <c r="AS95" s="32"/>
      <c r="AT95" s="31"/>
      <c r="AU95" s="32"/>
      <c r="AV95" s="31"/>
      <c r="AW95" s="32"/>
      <c r="AX95" s="31"/>
      <c r="AY95" s="32"/>
      <c r="AZ95" s="31"/>
      <c r="BA95" s="32"/>
      <c r="BB95" s="31"/>
      <c r="BC95" s="32"/>
      <c r="BD95" s="31"/>
      <c r="BE95" s="32"/>
      <c r="BF95" s="31"/>
      <c r="BG95" s="32"/>
      <c r="BH95" s="31"/>
      <c r="BI95" s="32"/>
      <c r="BJ95" s="31"/>
      <c r="BK95" s="32"/>
      <c r="BL95" s="31"/>
      <c r="BM95" s="32"/>
      <c r="BN95" s="31"/>
      <c r="BO95" s="32"/>
      <c r="BP95" s="31"/>
      <c r="BQ95" s="32"/>
      <c r="BR95" s="31"/>
      <c r="BS95" s="32"/>
      <c r="BT95" s="31"/>
      <c r="BU95" s="32"/>
      <c r="BV95" s="31"/>
      <c r="BW95" s="32"/>
      <c r="BX95" s="31"/>
      <c r="BY95" s="32"/>
      <c r="BZ95" s="31"/>
      <c r="CA95" s="32"/>
      <c r="CB95" s="31"/>
      <c r="CC95" s="32"/>
      <c r="CD95" s="31"/>
      <c r="CE95" s="32"/>
      <c r="CF95" s="31"/>
      <c r="CG95" s="32"/>
      <c r="CH95" s="31"/>
      <c r="CI95" s="32"/>
      <c r="CJ95" s="31"/>
      <c r="CK95" s="32"/>
      <c r="CL95" s="31"/>
      <c r="CM95" s="32"/>
      <c r="CN95" s="31"/>
      <c r="CO95" s="32"/>
      <c r="CP95" s="31"/>
      <c r="CQ95" s="32"/>
      <c r="CR95" s="31"/>
      <c r="CS95" s="32"/>
      <c r="CT95" s="31"/>
      <c r="CU95" s="32"/>
      <c r="CV95" s="31"/>
      <c r="CW95" s="32"/>
      <c r="CX95" s="31"/>
      <c r="CY95" s="32"/>
      <c r="CZ95" s="31"/>
      <c r="DA95" s="32"/>
      <c r="DB95" s="31"/>
      <c r="DC95" s="32"/>
      <c r="DD95" s="31"/>
      <c r="DE95" s="32"/>
      <c r="DF95" s="31"/>
      <c r="DG95" s="32"/>
      <c r="DH95" s="31"/>
      <c r="DI95" s="32"/>
      <c r="DJ95" s="31"/>
      <c r="DK95" s="32"/>
      <c r="DL95" s="31"/>
      <c r="DM95" s="32"/>
      <c r="DN95" s="31"/>
      <c r="DO95" s="32"/>
      <c r="DP95" s="31"/>
      <c r="DQ95" s="32"/>
      <c r="DR95" s="31"/>
      <c r="DS95" s="32"/>
      <c r="DT95" s="31"/>
      <c r="DU95" s="32"/>
      <c r="DV95" s="31"/>
      <c r="DW95" s="32"/>
      <c r="DX95" s="31"/>
      <c r="DY95" s="32"/>
      <c r="DZ95" s="31"/>
      <c r="EA95" s="32"/>
      <c r="EB95" s="31"/>
      <c r="EC95" s="32"/>
      <c r="ED95" s="31"/>
      <c r="EE95" s="32"/>
      <c r="EF95" s="31"/>
      <c r="EG95" s="32"/>
      <c r="EH95" s="31"/>
      <c r="EI95" s="32"/>
      <c r="EJ95" s="31"/>
      <c r="EK95" s="32"/>
      <c r="EL95" s="31"/>
      <c r="EM95" s="32"/>
      <c r="EN95" s="31"/>
      <c r="EO95" s="32"/>
      <c r="EP95" s="31"/>
      <c r="EQ95" s="32"/>
      <c r="ER95" s="31"/>
      <c r="ES95" s="32"/>
      <c r="ET95" s="31"/>
      <c r="EU95" s="32"/>
      <c r="EV95" s="31"/>
      <c r="EW95" s="32"/>
      <c r="EX95" s="31"/>
      <c r="EY95" s="32"/>
      <c r="EZ95" s="31"/>
      <c r="FA95" s="32"/>
      <c r="FB95" s="31"/>
      <c r="FC95" s="32"/>
      <c r="FD95" s="31"/>
      <c r="FE95" s="32"/>
      <c r="FF95" s="62"/>
      <c r="FG95" s="63"/>
      <c r="FH95" s="62"/>
      <c r="FI95" s="63"/>
      <c r="FJ95" s="62"/>
      <c r="FK95" s="63"/>
      <c r="FL95" s="62"/>
      <c r="FM95" s="63"/>
      <c r="FN95" s="62"/>
      <c r="FO95" s="63"/>
      <c r="FP95" s="62"/>
      <c r="FQ95" s="63"/>
      <c r="FR95" s="62"/>
      <c r="FS95" s="63"/>
      <c r="FT95" s="62"/>
      <c r="FU95" s="63"/>
      <c r="FV95" s="62"/>
      <c r="FW95" s="63"/>
      <c r="FX95" s="62"/>
      <c r="FY95" s="63"/>
      <c r="FZ95" s="62"/>
      <c r="GA95" s="63"/>
      <c r="GB95" s="62"/>
      <c r="GC95" s="63"/>
      <c r="GD95" s="62"/>
      <c r="GE95" s="63"/>
      <c r="GF95" s="62"/>
      <c r="GG95" s="63"/>
      <c r="GH95" s="62"/>
      <c r="GI95" s="63"/>
      <c r="GJ95" s="62"/>
      <c r="GK95" s="63"/>
      <c r="GL95" s="62"/>
      <c r="GM95" s="63"/>
      <c r="GN95" s="62"/>
      <c r="GO95" s="63"/>
      <c r="GP95" s="62"/>
      <c r="GQ95" s="63"/>
      <c r="GR95" s="62"/>
      <c r="GS95" s="63"/>
      <c r="GT95" s="62"/>
      <c r="GU95" s="63"/>
      <c r="GV95" s="62"/>
      <c r="GW95" s="63"/>
      <c r="GX95" s="62"/>
      <c r="GY95" s="63"/>
      <c r="GZ95" s="62"/>
      <c r="HA95" s="63"/>
      <c r="HB95" s="62"/>
      <c r="HC95" s="63"/>
      <c r="HD95" s="62"/>
      <c r="HE95" s="63"/>
      <c r="HF95" s="62"/>
      <c r="HG95" s="63"/>
      <c r="HH95" s="62"/>
      <c r="HI95" s="63"/>
      <c r="HJ95" s="62"/>
      <c r="HK95" s="63"/>
      <c r="HL95" s="62"/>
      <c r="HM95" s="63"/>
      <c r="HN95" s="62"/>
      <c r="HO95" s="63"/>
      <c r="HP95" s="62"/>
      <c r="HQ95" s="63"/>
      <c r="HR95" s="62"/>
      <c r="HS95" s="63"/>
      <c r="HT95" s="62"/>
      <c r="HU95" s="63"/>
      <c r="HV95" s="31"/>
      <c r="HW95" s="32"/>
      <c r="HX95" s="62"/>
      <c r="HY95" s="63"/>
      <c r="HZ95" s="62"/>
      <c r="IA95" s="63"/>
      <c r="IB95" s="62"/>
      <c r="IC95" s="63"/>
      <c r="ID95" s="62"/>
      <c r="IE95" s="63"/>
      <c r="IF95" s="62"/>
      <c r="IG95" s="63"/>
      <c r="IH95" s="62"/>
      <c r="II95" s="63"/>
      <c r="IJ95" s="62"/>
      <c r="IK95" s="63"/>
      <c r="IL95" s="62"/>
      <c r="IM95" s="63"/>
      <c r="IN95" s="62"/>
      <c r="IO95" s="63"/>
      <c r="IP95" s="62"/>
      <c r="IQ95" s="63"/>
      <c r="IR95" s="62"/>
      <c r="IS95" s="63"/>
      <c r="IT95" s="62"/>
      <c r="IU95" s="63"/>
      <c r="IV95" s="62"/>
      <c r="IW95" s="63"/>
      <c r="IX95" s="62"/>
      <c r="IY95" s="63"/>
      <c r="IZ95" s="62" t="s">
        <v>66</v>
      </c>
      <c r="JA95" s="63"/>
      <c r="JB95" s="62" t="s">
        <v>66</v>
      </c>
      <c r="JC95" s="63"/>
      <c r="JD95" s="62" t="s">
        <v>36</v>
      </c>
      <c r="JE95" s="63"/>
      <c r="JF95" s="62" t="s">
        <v>36</v>
      </c>
      <c r="JG95" s="63"/>
      <c r="JH95" s="62" t="s">
        <v>36</v>
      </c>
      <c r="JI95" s="63"/>
      <c r="JJ95" s="62" t="s">
        <v>36</v>
      </c>
      <c r="JK95" s="63"/>
      <c r="JL95" s="62" t="s">
        <v>36</v>
      </c>
      <c r="JM95" s="63"/>
      <c r="JN95" s="62" t="s">
        <v>36</v>
      </c>
      <c r="JO95" s="63"/>
      <c r="JP95" s="62" t="s">
        <v>36</v>
      </c>
      <c r="JQ95" s="63"/>
      <c r="JR95" s="62" t="s">
        <v>36</v>
      </c>
      <c r="JS95" s="63"/>
      <c r="JT95" s="62" t="s">
        <v>36</v>
      </c>
      <c r="JU95" s="63"/>
      <c r="JV95" s="62" t="s">
        <v>36</v>
      </c>
      <c r="JW95" s="63"/>
      <c r="JX95" s="62" t="s">
        <v>36</v>
      </c>
      <c r="JY95" s="63"/>
      <c r="JZ95" s="62" t="s">
        <v>37</v>
      </c>
      <c r="KA95" s="63"/>
      <c r="KB95" s="62" t="s">
        <v>37</v>
      </c>
      <c r="KC95" s="63"/>
      <c r="KD95" s="62" t="s">
        <v>37</v>
      </c>
      <c r="KE95" s="63"/>
      <c r="KF95" s="62" t="s">
        <v>37</v>
      </c>
      <c r="KG95" s="63"/>
      <c r="KH95" s="62" t="s">
        <v>37</v>
      </c>
      <c r="KI95" s="63"/>
      <c r="KJ95" s="62" t="s">
        <v>37</v>
      </c>
      <c r="KK95" s="63"/>
      <c r="KL95" s="62" t="s">
        <v>37</v>
      </c>
      <c r="KM95" s="63"/>
      <c r="KN95" s="62"/>
      <c r="KO95" s="63"/>
      <c r="KP95" s="62"/>
      <c r="KQ95" s="63"/>
      <c r="KR95" s="62"/>
      <c r="KS95" s="63"/>
      <c r="KT95" s="62"/>
      <c r="KU95" s="63"/>
      <c r="KV95" s="62"/>
      <c r="KW95" s="63"/>
      <c r="KX95" s="62"/>
      <c r="KY95" s="63"/>
      <c r="KZ95" s="62"/>
      <c r="LA95" s="63"/>
      <c r="LB95" s="62"/>
      <c r="LC95" s="63"/>
      <c r="LD95" s="62"/>
      <c r="LE95" s="63"/>
      <c r="LF95" s="62"/>
      <c r="LG95" s="63"/>
      <c r="LH95" s="62"/>
      <c r="LI95" s="63"/>
      <c r="LJ95" s="62"/>
      <c r="LK95" s="63"/>
      <c r="LL95" s="62"/>
      <c r="LM95" s="63"/>
      <c r="LN95" s="62"/>
      <c r="LO95" s="63"/>
      <c r="LP95" s="62"/>
      <c r="LQ95" s="63"/>
      <c r="LR95" s="62"/>
      <c r="LS95" s="63"/>
      <c r="LT95" s="62"/>
      <c r="LU95" s="63"/>
      <c r="LV95" s="62"/>
      <c r="LW95" s="63"/>
      <c r="LX95" s="62"/>
      <c r="LY95" s="63"/>
      <c r="LZ95" s="62"/>
      <c r="MA95" s="63"/>
      <c r="MB95" s="62"/>
      <c r="MC95" s="63"/>
      <c r="MD95" s="62"/>
      <c r="ME95" s="63"/>
      <c r="MF95" s="62"/>
      <c r="MG95" s="63"/>
      <c r="MH95" s="62"/>
      <c r="MI95" s="63"/>
      <c r="MJ95" s="62"/>
      <c r="MK95" s="63"/>
      <c r="ML95" s="62"/>
      <c r="MM95" s="63"/>
      <c r="MN95" s="62"/>
      <c r="MO95" s="63"/>
      <c r="MP95" s="62"/>
      <c r="MQ95" s="63"/>
      <c r="MR95" s="62"/>
      <c r="MS95" s="63"/>
      <c r="MT95" s="62"/>
      <c r="MU95" s="63"/>
      <c r="MV95" s="62"/>
      <c r="MW95" s="63"/>
      <c r="MX95" s="62"/>
      <c r="MY95" s="63"/>
      <c r="MZ95" s="62"/>
      <c r="NA95" s="63"/>
      <c r="NB95" s="62"/>
      <c r="NC95" s="63"/>
      <c r="ND95" s="62"/>
      <c r="NE95" s="63"/>
      <c r="NF95" s="62"/>
      <c r="NG95" s="63"/>
      <c r="NH95" s="62"/>
      <c r="NI95" s="63"/>
      <c r="NJ95" s="62"/>
      <c r="NK95" s="63"/>
      <c r="NL95" s="62"/>
      <c r="NM95" s="63"/>
      <c r="NN95" s="62"/>
      <c r="NO95" s="63"/>
      <c r="NP95" s="62"/>
      <c r="NQ95" s="63"/>
      <c r="NR95" s="62"/>
      <c r="NS95" s="63"/>
      <c r="NT95" s="62"/>
      <c r="NU95" s="63"/>
      <c r="NV95" s="62"/>
      <c r="NW95" s="63"/>
      <c r="NX95" s="62"/>
      <c r="NY95" s="63"/>
      <c r="NZ95" s="62"/>
      <c r="OA95" s="63"/>
      <c r="OB95" s="62"/>
      <c r="OC95" s="63"/>
      <c r="OD95" s="62"/>
      <c r="OE95" s="63"/>
      <c r="OF95" s="62"/>
      <c r="OG95" s="63"/>
      <c r="OH95" s="62"/>
      <c r="OI95" s="63"/>
      <c r="OJ95" s="62"/>
      <c r="OK95" s="63"/>
      <c r="OL95" s="62"/>
      <c r="OM95" s="63"/>
      <c r="ON95" s="62"/>
      <c r="OO95" s="63"/>
      <c r="OP95" s="62"/>
      <c r="OQ95" s="63"/>
      <c r="OR95" s="62"/>
      <c r="OS95" s="63"/>
      <c r="OT95" s="62"/>
      <c r="OU95" s="63"/>
      <c r="OV95" s="62"/>
      <c r="OW95" s="63"/>
      <c r="OX95" s="62"/>
      <c r="OY95" s="63"/>
      <c r="OZ95" s="62"/>
      <c r="PA95" s="63"/>
      <c r="PB95" s="62"/>
      <c r="PC95" s="63"/>
      <c r="PD95" s="62"/>
      <c r="PE95" s="63"/>
      <c r="PF95" s="62"/>
      <c r="PG95" s="63"/>
      <c r="PH95" s="62"/>
      <c r="PI95" s="63"/>
      <c r="PJ95" s="62"/>
      <c r="PK95" s="63"/>
      <c r="PL95" s="62"/>
      <c r="PM95" s="63"/>
      <c r="PN95" s="62"/>
      <c r="PO95" s="63"/>
      <c r="PP95" s="62"/>
      <c r="PQ95" s="63"/>
      <c r="PR95" s="62"/>
      <c r="PS95" s="63"/>
      <c r="PT95" s="62"/>
      <c r="PU95" s="63"/>
      <c r="PV95" s="62"/>
      <c r="PW95" s="63"/>
      <c r="PX95" s="62"/>
      <c r="PY95" s="63"/>
      <c r="PZ95" s="62"/>
      <c r="QA95" s="63"/>
      <c r="QB95" s="62"/>
      <c r="QC95" s="63"/>
      <c r="QD95" s="62"/>
      <c r="QE95" s="63"/>
      <c r="QF95" s="62"/>
      <c r="QG95" s="63"/>
      <c r="QH95" s="62"/>
      <c r="QI95" s="63"/>
      <c r="QJ95" s="62"/>
      <c r="QK95" s="63"/>
      <c r="QL95" s="62"/>
      <c r="QM95" s="63"/>
      <c r="QN95" s="62"/>
      <c r="QO95" s="63"/>
      <c r="QP95" s="62"/>
      <c r="QQ95" s="63"/>
      <c r="QR95" s="62"/>
      <c r="QS95" s="63"/>
      <c r="QT95" s="62"/>
      <c r="QU95" s="63"/>
      <c r="QV95" s="62"/>
      <c r="QW95" s="63"/>
      <c r="QX95" s="62"/>
      <c r="QY95" s="63"/>
      <c r="QZ95" s="62"/>
      <c r="RA95" s="63"/>
      <c r="RB95" s="62"/>
      <c r="RC95" s="63"/>
      <c r="RD95" s="31"/>
    </row>
    <row r="96" spans="1:472" s="5" customFormat="1" x14ac:dyDescent="0.25">
      <c r="A96" s="41">
        <v>2112</v>
      </c>
      <c r="B96" s="41" t="s">
        <v>1495</v>
      </c>
      <c r="C96" s="41" t="s">
        <v>813</v>
      </c>
      <c r="D96" s="41">
        <v>20</v>
      </c>
      <c r="E96" s="42"/>
      <c r="F96" s="41" t="s">
        <v>833</v>
      </c>
      <c r="I96" s="31"/>
      <c r="J96" s="32"/>
      <c r="K96" s="31"/>
      <c r="L96" s="32"/>
      <c r="M96" s="31"/>
      <c r="N96" s="32"/>
      <c r="O96" s="31"/>
      <c r="P96" s="32"/>
      <c r="Q96" s="31"/>
      <c r="R96" s="32"/>
      <c r="S96" s="31"/>
      <c r="T96" s="32"/>
      <c r="X96" s="31"/>
      <c r="Y96" s="32"/>
      <c r="Z96" s="31"/>
      <c r="AA96" s="32"/>
      <c r="AB96" s="31"/>
      <c r="AC96" s="32"/>
      <c r="AD96" s="31"/>
      <c r="AE96" s="32"/>
      <c r="AF96" s="31"/>
      <c r="AG96" s="32"/>
      <c r="AH96" s="31"/>
      <c r="AI96" s="32"/>
      <c r="AJ96" s="31"/>
      <c r="AK96" s="32"/>
      <c r="AL96" s="31"/>
      <c r="AM96" s="32"/>
      <c r="AN96" s="31"/>
      <c r="AO96" s="32"/>
      <c r="AP96" s="31"/>
      <c r="AQ96" s="32"/>
      <c r="AR96" s="31"/>
      <c r="AS96" s="32"/>
      <c r="AT96" s="31"/>
      <c r="AU96" s="32"/>
      <c r="AV96" s="31"/>
      <c r="AW96" s="32"/>
      <c r="AX96" s="31"/>
      <c r="AY96" s="32"/>
      <c r="AZ96" s="31"/>
      <c r="BA96" s="32"/>
      <c r="BB96" s="31"/>
      <c r="BC96" s="32"/>
      <c r="BD96" s="31"/>
      <c r="BE96" s="32"/>
      <c r="BF96" s="31"/>
      <c r="BG96" s="32"/>
      <c r="BH96" s="31"/>
      <c r="BI96" s="32"/>
      <c r="BJ96" s="31"/>
      <c r="BK96" s="32"/>
      <c r="BL96" s="31"/>
      <c r="BM96" s="32"/>
      <c r="BN96" s="31"/>
      <c r="BO96" s="32"/>
      <c r="BP96" s="31"/>
      <c r="BQ96" s="32"/>
      <c r="BR96" s="31"/>
      <c r="BS96" s="32"/>
      <c r="BT96" s="31"/>
      <c r="BU96" s="32"/>
      <c r="BV96" s="31"/>
      <c r="BW96" s="32"/>
      <c r="BX96" s="31"/>
      <c r="BY96" s="32"/>
      <c r="BZ96" s="31"/>
      <c r="CA96" s="32"/>
      <c r="CB96" s="31"/>
      <c r="CC96" s="32"/>
      <c r="CD96" s="31"/>
      <c r="CE96" s="32"/>
      <c r="CF96" s="31"/>
      <c r="CG96" s="32"/>
      <c r="CH96" s="31"/>
      <c r="CI96" s="32"/>
      <c r="CJ96" s="31"/>
      <c r="CK96" s="32"/>
      <c r="CL96" s="31"/>
      <c r="CM96" s="32"/>
      <c r="CN96" s="31"/>
      <c r="CO96" s="32"/>
      <c r="CP96" s="31"/>
      <c r="CQ96" s="32"/>
      <c r="CR96" s="31"/>
      <c r="CS96" s="32"/>
      <c r="CT96" s="31"/>
      <c r="CU96" s="32"/>
      <c r="CV96" s="31"/>
      <c r="CW96" s="32"/>
      <c r="CX96" s="31"/>
      <c r="CY96" s="32"/>
      <c r="CZ96" s="31"/>
      <c r="DA96" s="32"/>
      <c r="DB96" s="31"/>
      <c r="DC96" s="32"/>
      <c r="DD96" s="31"/>
      <c r="DE96" s="32"/>
      <c r="DF96" s="31"/>
      <c r="DG96" s="32"/>
      <c r="DH96" s="31"/>
      <c r="DI96" s="32"/>
      <c r="DJ96" s="31"/>
      <c r="DK96" s="32"/>
      <c r="DL96" s="31"/>
      <c r="DM96" s="32"/>
      <c r="DN96" s="31"/>
      <c r="DO96" s="32"/>
      <c r="DP96" s="31"/>
      <c r="DQ96" s="32"/>
      <c r="DR96" s="31"/>
      <c r="DS96" s="32"/>
      <c r="DT96" s="31"/>
      <c r="DU96" s="32"/>
      <c r="DV96" s="31"/>
      <c r="DW96" s="32"/>
      <c r="DX96" s="31"/>
      <c r="DY96" s="32"/>
      <c r="DZ96" s="31"/>
      <c r="EA96" s="32"/>
      <c r="EB96" s="31"/>
      <c r="EC96" s="32"/>
      <c r="ED96" s="31"/>
      <c r="EE96" s="32"/>
      <c r="EF96" s="31"/>
      <c r="EG96" s="32"/>
      <c r="EH96" s="31"/>
      <c r="EI96" s="32"/>
      <c r="EJ96" s="31"/>
      <c r="EK96" s="32"/>
      <c r="EL96" s="31"/>
      <c r="EM96" s="32"/>
      <c r="EN96" s="31"/>
      <c r="EO96" s="32"/>
      <c r="EP96" s="31"/>
      <c r="EQ96" s="32"/>
      <c r="ER96" s="31"/>
      <c r="ES96" s="32"/>
      <c r="ET96" s="31"/>
      <c r="EU96" s="32"/>
      <c r="EV96" s="31"/>
      <c r="EW96" s="32"/>
      <c r="EX96" s="31"/>
      <c r="EY96" s="32"/>
      <c r="EZ96" s="31"/>
      <c r="FA96" s="32"/>
      <c r="FB96" s="31"/>
      <c r="FC96" s="32"/>
      <c r="FD96" s="31"/>
      <c r="FE96" s="32"/>
      <c r="FF96" s="62"/>
      <c r="FG96" s="63"/>
      <c r="FH96" s="62"/>
      <c r="FI96" s="63"/>
      <c r="FJ96" s="62"/>
      <c r="FK96" s="63"/>
      <c r="FL96" s="62"/>
      <c r="FM96" s="63"/>
      <c r="FN96" s="62"/>
      <c r="FO96" s="63"/>
      <c r="FP96" s="62"/>
      <c r="FQ96" s="63"/>
      <c r="FR96" s="62"/>
      <c r="FS96" s="63"/>
      <c r="FT96" s="62"/>
      <c r="FU96" s="63"/>
      <c r="FV96" s="62"/>
      <c r="FW96" s="63"/>
      <c r="FX96" s="62"/>
      <c r="FY96" s="63"/>
      <c r="FZ96" s="62"/>
      <c r="GA96" s="63"/>
      <c r="GB96" s="62"/>
      <c r="GC96" s="63"/>
      <c r="GD96" s="62"/>
      <c r="GE96" s="63"/>
      <c r="GF96" s="62"/>
      <c r="GG96" s="63"/>
      <c r="GH96" s="62"/>
      <c r="GI96" s="63"/>
      <c r="GJ96" s="62"/>
      <c r="GK96" s="63"/>
      <c r="GL96" s="62"/>
      <c r="GM96" s="63"/>
      <c r="GN96" s="62"/>
      <c r="GO96" s="63"/>
      <c r="GP96" s="62"/>
      <c r="GQ96" s="63"/>
      <c r="GR96" s="62"/>
      <c r="GS96" s="63"/>
      <c r="GT96" s="62"/>
      <c r="GU96" s="63"/>
      <c r="GV96" s="62"/>
      <c r="GW96" s="63"/>
      <c r="GX96" s="62"/>
      <c r="GY96" s="63"/>
      <c r="GZ96" s="62"/>
      <c r="HA96" s="63"/>
      <c r="HB96" s="62"/>
      <c r="HC96" s="63"/>
      <c r="HD96" s="62"/>
      <c r="HE96" s="63"/>
      <c r="HF96" s="62"/>
      <c r="HG96" s="63"/>
      <c r="HH96" s="62"/>
      <c r="HI96" s="63"/>
      <c r="HJ96" s="62"/>
      <c r="HK96" s="63"/>
      <c r="HL96" s="62"/>
      <c r="HM96" s="63"/>
      <c r="HN96" s="62"/>
      <c r="HO96" s="63"/>
      <c r="HP96" s="62"/>
      <c r="HQ96" s="63"/>
      <c r="HR96" s="62"/>
      <c r="HS96" s="63"/>
      <c r="HT96" s="62"/>
      <c r="HU96" s="63"/>
      <c r="HV96" s="62"/>
      <c r="HW96" s="63"/>
      <c r="HX96" s="62"/>
      <c r="HY96" s="63"/>
      <c r="HZ96" s="62"/>
      <c r="IA96" s="63"/>
      <c r="IB96" s="62"/>
      <c r="IC96" s="63"/>
      <c r="ID96" s="62"/>
      <c r="IE96" s="63"/>
      <c r="IF96" s="62"/>
      <c r="IG96" s="63"/>
      <c r="IH96" s="62"/>
      <c r="II96" s="63"/>
      <c r="IJ96" s="62"/>
      <c r="IK96" s="63"/>
      <c r="IL96" s="62"/>
      <c r="IM96" s="63"/>
      <c r="IN96" s="62"/>
      <c r="IO96" s="63"/>
      <c r="IP96" s="62"/>
      <c r="IQ96" s="63"/>
      <c r="IR96" s="62"/>
      <c r="IS96" s="63"/>
      <c r="IT96" s="62"/>
      <c r="IU96" s="63"/>
      <c r="IV96" s="62"/>
      <c r="IW96" s="63"/>
      <c r="IX96" s="62"/>
      <c r="IY96" s="63"/>
      <c r="IZ96" s="62"/>
      <c r="JA96" s="63"/>
      <c r="JB96" s="62"/>
      <c r="JC96" s="63"/>
      <c r="JD96" s="62" t="s">
        <v>66</v>
      </c>
      <c r="JE96" s="63"/>
      <c r="JF96" s="62" t="s">
        <v>66</v>
      </c>
      <c r="JG96" s="63"/>
      <c r="JH96" s="62" t="s">
        <v>36</v>
      </c>
      <c r="JI96" s="63"/>
      <c r="JJ96" s="62" t="s">
        <v>36</v>
      </c>
      <c r="JK96" s="63"/>
      <c r="JL96" s="62" t="s">
        <v>36</v>
      </c>
      <c r="JM96" s="63"/>
      <c r="JN96" s="62" t="s">
        <v>36</v>
      </c>
      <c r="JO96" s="63"/>
      <c r="JP96" s="62" t="s">
        <v>36</v>
      </c>
      <c r="JQ96" s="63"/>
      <c r="JR96" s="62" t="s">
        <v>36</v>
      </c>
      <c r="JS96" s="63"/>
      <c r="JT96" s="62" t="s">
        <v>36</v>
      </c>
      <c r="JU96" s="63"/>
      <c r="JV96" s="62" t="s">
        <v>37</v>
      </c>
      <c r="JW96" s="63"/>
      <c r="JX96" s="62" t="s">
        <v>37</v>
      </c>
      <c r="JY96" s="63"/>
      <c r="JZ96" s="62" t="s">
        <v>37</v>
      </c>
      <c r="KA96" s="63"/>
      <c r="KB96" s="62" t="s">
        <v>37</v>
      </c>
      <c r="KC96" s="63"/>
      <c r="KD96" s="62" t="s">
        <v>37</v>
      </c>
      <c r="KE96" s="63"/>
      <c r="KF96" s="62" t="s">
        <v>37</v>
      </c>
      <c r="KG96" s="63"/>
      <c r="KH96" s="62" t="s">
        <v>37</v>
      </c>
      <c r="KI96" s="63"/>
      <c r="KJ96" s="62"/>
      <c r="KK96" s="63"/>
      <c r="KL96" s="62"/>
      <c r="KM96" s="63"/>
      <c r="KN96" s="62"/>
      <c r="KO96" s="63"/>
      <c r="KP96" s="62"/>
      <c r="KQ96" s="63"/>
      <c r="KR96" s="62"/>
      <c r="KS96" s="63"/>
      <c r="KT96" s="62"/>
      <c r="KU96" s="63"/>
      <c r="KV96" s="62"/>
      <c r="KW96" s="63"/>
      <c r="KX96" s="62"/>
      <c r="KY96" s="63"/>
      <c r="KZ96" s="62"/>
      <c r="LA96" s="63"/>
      <c r="LB96" s="62"/>
      <c r="LC96" s="63"/>
      <c r="LD96" s="62"/>
      <c r="LE96" s="63"/>
      <c r="LF96" s="62"/>
      <c r="LG96" s="63"/>
      <c r="LH96" s="62"/>
      <c r="LI96" s="63"/>
      <c r="LJ96" s="62"/>
      <c r="LK96" s="63"/>
      <c r="LL96" s="62"/>
      <c r="LM96" s="63"/>
      <c r="LN96" s="62"/>
      <c r="LO96" s="63"/>
      <c r="LP96" s="62"/>
      <c r="LQ96" s="63"/>
      <c r="LR96" s="62"/>
      <c r="LS96" s="63"/>
      <c r="LT96" s="62"/>
      <c r="LU96" s="63"/>
      <c r="LV96" s="62"/>
      <c r="LW96" s="63"/>
      <c r="LX96" s="62"/>
      <c r="LY96" s="63"/>
      <c r="LZ96" s="62"/>
      <c r="MA96" s="63"/>
      <c r="MB96" s="62"/>
      <c r="MC96" s="63"/>
      <c r="MD96" s="62"/>
      <c r="ME96" s="63"/>
      <c r="MF96" s="62"/>
      <c r="MG96" s="63"/>
      <c r="MH96" s="62"/>
      <c r="MI96" s="63"/>
      <c r="MJ96" s="62"/>
      <c r="MK96" s="63"/>
      <c r="ML96" s="62"/>
      <c r="MM96" s="63"/>
      <c r="MN96" s="62"/>
      <c r="MO96" s="63"/>
      <c r="MP96" s="62"/>
      <c r="MQ96" s="63"/>
      <c r="MR96" s="62"/>
      <c r="MS96" s="63"/>
      <c r="MT96" s="62"/>
      <c r="MU96" s="63"/>
      <c r="MV96" s="62"/>
      <c r="MW96" s="63"/>
      <c r="MX96" s="62"/>
      <c r="MY96" s="63"/>
      <c r="MZ96" s="62"/>
      <c r="NA96" s="63"/>
      <c r="NB96" s="62"/>
      <c r="NC96" s="63"/>
      <c r="ND96" s="62"/>
      <c r="NE96" s="63"/>
      <c r="NF96" s="62"/>
      <c r="NG96" s="63"/>
      <c r="NH96" s="62"/>
      <c r="NI96" s="63"/>
      <c r="NJ96" s="62"/>
      <c r="NK96" s="63"/>
      <c r="NL96" s="62"/>
      <c r="NM96" s="63"/>
      <c r="NN96" s="62"/>
      <c r="NO96" s="63"/>
      <c r="NP96" s="62"/>
      <c r="NQ96" s="63"/>
      <c r="NR96" s="62"/>
      <c r="NS96" s="63"/>
      <c r="NT96" s="62"/>
      <c r="NU96" s="63"/>
      <c r="NV96" s="62"/>
      <c r="NW96" s="63"/>
      <c r="NX96" s="62"/>
      <c r="NY96" s="63"/>
      <c r="NZ96" s="62"/>
      <c r="OA96" s="63"/>
      <c r="OB96" s="62"/>
      <c r="OC96" s="63"/>
      <c r="OD96" s="62"/>
      <c r="OE96" s="63"/>
      <c r="OF96" s="62"/>
      <c r="OG96" s="63"/>
      <c r="OH96" s="62"/>
      <c r="OI96" s="63"/>
      <c r="OJ96" s="62"/>
      <c r="OK96" s="63"/>
      <c r="OL96" s="62"/>
      <c r="OM96" s="63"/>
      <c r="ON96" s="62"/>
      <c r="OO96" s="63"/>
      <c r="OP96" s="62"/>
      <c r="OQ96" s="63"/>
      <c r="OR96" s="62"/>
      <c r="OS96" s="63"/>
      <c r="OT96" s="62"/>
      <c r="OU96" s="63"/>
      <c r="OV96" s="62"/>
      <c r="OW96" s="63"/>
      <c r="OX96" s="62"/>
      <c r="OY96" s="63"/>
      <c r="OZ96" s="62"/>
      <c r="PA96" s="63"/>
      <c r="PB96" s="62"/>
      <c r="PC96" s="63"/>
      <c r="PD96" s="62"/>
      <c r="PE96" s="63"/>
      <c r="PF96" s="62"/>
      <c r="PG96" s="63"/>
      <c r="PH96" s="62"/>
      <c r="PI96" s="63"/>
      <c r="PJ96" s="62"/>
      <c r="PK96" s="63"/>
      <c r="PL96" s="62"/>
      <c r="PM96" s="63"/>
      <c r="PN96" s="62"/>
      <c r="PO96" s="63"/>
      <c r="PP96" s="62"/>
      <c r="PQ96" s="63"/>
      <c r="PR96" s="62"/>
      <c r="PS96" s="63"/>
      <c r="PT96" s="62"/>
      <c r="PU96" s="63"/>
      <c r="PV96" s="62"/>
      <c r="PW96" s="63"/>
      <c r="PX96" s="62"/>
      <c r="PY96" s="63"/>
      <c r="PZ96" s="62"/>
      <c r="QA96" s="63"/>
      <c r="QB96" s="62"/>
      <c r="QC96" s="63"/>
      <c r="QD96" s="62"/>
      <c r="QE96" s="63"/>
      <c r="QF96" s="62"/>
      <c r="QG96" s="63"/>
      <c r="QH96" s="62"/>
      <c r="QI96" s="63"/>
      <c r="QJ96" s="62"/>
      <c r="QK96" s="63"/>
      <c r="QL96" s="62"/>
      <c r="QM96" s="63"/>
      <c r="QN96" s="62"/>
      <c r="QO96" s="63"/>
      <c r="QP96" s="62"/>
      <c r="QQ96" s="63"/>
      <c r="QR96" s="62"/>
      <c r="QS96" s="63"/>
      <c r="QT96" s="62"/>
      <c r="QU96" s="63"/>
      <c r="QV96" s="62"/>
      <c r="QW96" s="63"/>
      <c r="QX96" s="62"/>
      <c r="QY96" s="63"/>
      <c r="QZ96" s="62"/>
      <c r="RA96" s="63"/>
      <c r="RB96" s="62"/>
      <c r="RC96" s="63"/>
      <c r="RD96" s="31"/>
    </row>
    <row r="97" spans="1:472" s="5" customFormat="1" x14ac:dyDescent="0.25">
      <c r="A97" s="41">
        <v>2111</v>
      </c>
      <c r="B97" s="41" t="s">
        <v>1041</v>
      </c>
      <c r="C97" s="41" t="s">
        <v>230</v>
      </c>
      <c r="D97" s="41">
        <v>186</v>
      </c>
      <c r="E97" s="42"/>
      <c r="F97" s="41" t="s">
        <v>293</v>
      </c>
      <c r="I97" s="31"/>
      <c r="J97" s="32"/>
      <c r="K97" s="31"/>
      <c r="L97" s="32"/>
      <c r="M97" s="31"/>
      <c r="N97" s="32"/>
      <c r="O97" s="31"/>
      <c r="P97" s="32"/>
      <c r="Q97" s="31"/>
      <c r="R97" s="32"/>
      <c r="S97" s="31"/>
      <c r="T97" s="32"/>
      <c r="X97" s="31"/>
      <c r="Y97" s="32"/>
      <c r="Z97" s="31"/>
      <c r="AA97" s="32"/>
      <c r="AB97" s="31"/>
      <c r="AC97" s="32"/>
      <c r="AD97" s="31"/>
      <c r="AE97" s="32"/>
      <c r="AF97" s="31"/>
      <c r="AG97" s="32"/>
      <c r="AH97" s="31"/>
      <c r="AI97" s="32"/>
      <c r="AJ97" s="31"/>
      <c r="AK97" s="32"/>
      <c r="AL97" s="31"/>
      <c r="AM97" s="32"/>
      <c r="AN97" s="31"/>
      <c r="AO97" s="32"/>
      <c r="AP97" s="31"/>
      <c r="AQ97" s="32"/>
      <c r="AR97" s="31"/>
      <c r="AS97" s="32"/>
      <c r="AT97" s="31"/>
      <c r="AU97" s="32"/>
      <c r="AV97" s="31"/>
      <c r="AW97" s="32"/>
      <c r="AX97" s="31"/>
      <c r="AY97" s="32"/>
      <c r="AZ97" s="31"/>
      <c r="BA97" s="32"/>
      <c r="BB97" s="31"/>
      <c r="BC97" s="32"/>
      <c r="BD97" s="31"/>
      <c r="BE97" s="32"/>
      <c r="BF97" s="31"/>
      <c r="BG97" s="32"/>
      <c r="BH97" s="31"/>
      <c r="BI97" s="32"/>
      <c r="BJ97" s="31"/>
      <c r="BK97" s="32"/>
      <c r="BL97" s="31"/>
      <c r="BM97" s="32"/>
      <c r="BN97" s="31"/>
      <c r="BO97" s="32"/>
      <c r="BP97" s="31"/>
      <c r="BQ97" s="32"/>
      <c r="BR97" s="31"/>
      <c r="BS97" s="32"/>
      <c r="BT97" s="31"/>
      <c r="BU97" s="32"/>
      <c r="BV97" s="31"/>
      <c r="BW97" s="32"/>
      <c r="BX97" s="31"/>
      <c r="BY97" s="32"/>
      <c r="BZ97" s="31"/>
      <c r="CA97" s="32"/>
      <c r="CB97" s="31"/>
      <c r="CC97" s="32"/>
      <c r="CD97" s="31"/>
      <c r="CE97" s="32"/>
      <c r="CF97" s="31"/>
      <c r="CG97" s="32"/>
      <c r="CH97" s="31"/>
      <c r="CI97" s="32"/>
      <c r="CJ97" s="31"/>
      <c r="CK97" s="32"/>
      <c r="CL97" s="31"/>
      <c r="CM97" s="32"/>
      <c r="CN97" s="31"/>
      <c r="CO97" s="32"/>
      <c r="CP97" s="31"/>
      <c r="CQ97" s="32"/>
      <c r="CR97" s="31"/>
      <c r="CS97" s="32"/>
      <c r="CT97" s="31"/>
      <c r="CU97" s="32"/>
      <c r="CV97" s="31"/>
      <c r="CW97" s="32"/>
      <c r="CX97" s="31"/>
      <c r="CY97" s="32"/>
      <c r="CZ97" s="31"/>
      <c r="DA97" s="32"/>
      <c r="DB97" s="31"/>
      <c r="DC97" s="32"/>
      <c r="DD97" s="31"/>
      <c r="DE97" s="32"/>
      <c r="DF97" s="31"/>
      <c r="DG97" s="32"/>
      <c r="DH97" s="31"/>
      <c r="DI97" s="32"/>
      <c r="DJ97" s="31"/>
      <c r="DK97" s="32"/>
      <c r="DL97" s="31"/>
      <c r="DM97" s="32"/>
      <c r="DN97" s="31"/>
      <c r="DO97" s="32"/>
      <c r="DP97" s="31"/>
      <c r="DQ97" s="32"/>
      <c r="DR97" s="31"/>
      <c r="DS97" s="32"/>
      <c r="DT97" s="31"/>
      <c r="DU97" s="32"/>
      <c r="DV97" s="31"/>
      <c r="DW97" s="32"/>
      <c r="DX97" s="31"/>
      <c r="DY97" s="32"/>
      <c r="DZ97" s="31"/>
      <c r="EA97" s="32"/>
      <c r="EB97" s="31"/>
      <c r="EC97" s="32"/>
      <c r="ED97" s="31"/>
      <c r="EE97" s="32"/>
      <c r="EF97" s="31"/>
      <c r="EG97" s="32"/>
      <c r="EH97" s="31"/>
      <c r="EI97" s="32"/>
      <c r="EJ97" s="31"/>
      <c r="EK97" s="32"/>
      <c r="EL97" s="31"/>
      <c r="EM97" s="32"/>
      <c r="EN97" s="31"/>
      <c r="EO97" s="32"/>
      <c r="EP97" s="31"/>
      <c r="EQ97" s="32"/>
      <c r="ER97" s="31"/>
      <c r="ES97" s="32"/>
      <c r="ET97" s="31"/>
      <c r="EU97" s="32"/>
      <c r="EV97" s="31"/>
      <c r="EW97" s="32"/>
      <c r="EX97" s="31"/>
      <c r="EY97" s="32"/>
      <c r="EZ97" s="31"/>
      <c r="FA97" s="32"/>
      <c r="FB97" s="31"/>
      <c r="FC97" s="32"/>
      <c r="FD97" s="31"/>
      <c r="FE97" s="32"/>
      <c r="FF97" s="62"/>
      <c r="FG97" s="63"/>
      <c r="FH97" s="62"/>
      <c r="FI97" s="63"/>
      <c r="FJ97" s="62"/>
      <c r="FK97" s="63"/>
      <c r="FL97" s="62"/>
      <c r="FM97" s="63"/>
      <c r="FN97" s="62"/>
      <c r="FO97" s="63"/>
      <c r="FP97" s="62"/>
      <c r="FQ97" s="63"/>
      <c r="FR97" s="62"/>
      <c r="FS97" s="63"/>
      <c r="FT97" s="62"/>
      <c r="FU97" s="63"/>
      <c r="FV97" s="62"/>
      <c r="FW97" s="63"/>
      <c r="FX97" s="62"/>
      <c r="FY97" s="63"/>
      <c r="FZ97" s="62"/>
      <c r="GA97" s="63"/>
      <c r="GB97" s="62"/>
      <c r="GC97" s="63"/>
      <c r="GD97" s="62"/>
      <c r="GE97" s="63"/>
      <c r="GF97" s="62"/>
      <c r="GG97" s="63"/>
      <c r="GH97" s="62"/>
      <c r="GI97" s="63"/>
      <c r="GJ97" s="62"/>
      <c r="GK97" s="63"/>
      <c r="GL97" s="62"/>
      <c r="GM97" s="63"/>
      <c r="GN97" s="62"/>
      <c r="GO97" s="63"/>
      <c r="GP97" s="62"/>
      <c r="GQ97" s="63"/>
      <c r="GR97" s="62"/>
      <c r="GS97" s="63"/>
      <c r="GT97" s="62"/>
      <c r="GU97" s="63"/>
      <c r="GV97" s="62"/>
      <c r="GW97" s="63"/>
      <c r="GX97" s="62"/>
      <c r="GY97" s="63"/>
      <c r="GZ97" s="62"/>
      <c r="HA97" s="63"/>
      <c r="HB97" s="62"/>
      <c r="HC97" s="63"/>
      <c r="HD97" s="62"/>
      <c r="HE97" s="63"/>
      <c r="HF97" s="62"/>
      <c r="HG97" s="63"/>
      <c r="HH97" s="62"/>
      <c r="HI97" s="63"/>
      <c r="HJ97" s="62"/>
      <c r="HK97" s="63"/>
      <c r="HL97" s="62"/>
      <c r="HM97" s="63"/>
      <c r="HN97" s="62"/>
      <c r="HO97" s="63"/>
      <c r="HP97" s="62"/>
      <c r="HQ97" s="63"/>
      <c r="HR97" s="62"/>
      <c r="HS97" s="63"/>
      <c r="HT97" s="62"/>
      <c r="HU97" s="63"/>
      <c r="HV97" s="62"/>
      <c r="HW97" s="63"/>
      <c r="HX97" s="62"/>
      <c r="HY97" s="63"/>
      <c r="HZ97" s="62"/>
      <c r="IA97" s="63"/>
      <c r="IB97" s="62"/>
      <c r="IC97" s="63"/>
      <c r="ID97" s="62"/>
      <c r="IE97" s="63"/>
      <c r="IF97" s="62"/>
      <c r="IG97" s="63"/>
      <c r="IH97" s="62"/>
      <c r="II97" s="63"/>
      <c r="IJ97" s="62"/>
      <c r="IK97" s="63"/>
      <c r="IL97" s="62"/>
      <c r="IM97" s="63"/>
      <c r="IN97" s="62"/>
      <c r="IO97" s="63"/>
      <c r="IP97" s="62"/>
      <c r="IQ97" s="63"/>
      <c r="IR97" s="62"/>
      <c r="IS97" s="63"/>
      <c r="IT97" s="62"/>
      <c r="IU97" s="63"/>
      <c r="IV97" s="62"/>
      <c r="IW97" s="63"/>
      <c r="IX97" s="62"/>
      <c r="IY97" s="63"/>
      <c r="IZ97" s="62"/>
      <c r="JA97" s="63"/>
      <c r="JB97" s="62"/>
      <c r="JC97" s="63"/>
      <c r="JD97" s="62"/>
      <c r="JE97" s="63"/>
      <c r="JF97" s="62"/>
      <c r="JG97" s="63"/>
      <c r="JH97" s="62"/>
      <c r="JI97" s="63"/>
      <c r="JJ97" s="62" t="s">
        <v>66</v>
      </c>
      <c r="JK97" s="63"/>
      <c r="JL97" s="62" t="s">
        <v>66</v>
      </c>
      <c r="JM97" s="63"/>
      <c r="JN97" s="62" t="s">
        <v>38</v>
      </c>
      <c r="JO97" s="63"/>
      <c r="JP97" s="62" t="s">
        <v>38</v>
      </c>
      <c r="JQ97" s="63"/>
      <c r="JR97" s="62" t="s">
        <v>36</v>
      </c>
      <c r="JS97" s="63"/>
      <c r="JT97" s="62" t="s">
        <v>36</v>
      </c>
      <c r="JU97" s="63"/>
      <c r="JV97" s="62" t="s">
        <v>36</v>
      </c>
      <c r="JW97" s="63"/>
      <c r="JX97" s="62" t="s">
        <v>36</v>
      </c>
      <c r="JY97" s="63"/>
      <c r="JZ97" s="62" t="s">
        <v>36</v>
      </c>
      <c r="KA97" s="63"/>
      <c r="KB97" s="62" t="s">
        <v>36</v>
      </c>
      <c r="KC97" s="63"/>
      <c r="KD97" s="62" t="s">
        <v>36</v>
      </c>
      <c r="KE97" s="63"/>
      <c r="KF97" s="62" t="s">
        <v>36</v>
      </c>
      <c r="KG97" s="63"/>
      <c r="KH97" s="62" t="s">
        <v>36</v>
      </c>
      <c r="KI97" s="63"/>
      <c r="KJ97" s="62" t="s">
        <v>37</v>
      </c>
      <c r="KK97" s="63"/>
      <c r="KL97" s="62" t="s">
        <v>37</v>
      </c>
      <c r="KM97" s="63"/>
      <c r="KN97" s="62" t="s">
        <v>37</v>
      </c>
      <c r="KO97" s="63"/>
      <c r="KP97" s="62" t="s">
        <v>37</v>
      </c>
      <c r="KQ97" s="63"/>
      <c r="KR97" s="62" t="s">
        <v>37</v>
      </c>
      <c r="KS97" s="63"/>
      <c r="KT97" s="62" t="s">
        <v>37</v>
      </c>
      <c r="KU97" s="63"/>
      <c r="KV97" s="62" t="s">
        <v>37</v>
      </c>
      <c r="KW97" s="63"/>
      <c r="KX97" s="62" t="s">
        <v>37</v>
      </c>
      <c r="KY97" s="63"/>
      <c r="KZ97" s="62" t="s">
        <v>37</v>
      </c>
      <c r="LA97" s="63"/>
      <c r="LB97" s="62" t="s">
        <v>37</v>
      </c>
      <c r="LC97" s="63"/>
      <c r="LD97" s="62" t="s">
        <v>37</v>
      </c>
      <c r="LE97" s="63"/>
      <c r="LF97" s="62"/>
      <c r="LG97" s="63"/>
      <c r="LH97" s="62"/>
      <c r="LI97" s="63"/>
      <c r="LJ97" s="62"/>
      <c r="LK97" s="63"/>
      <c r="LL97" s="62"/>
      <c r="LM97" s="63"/>
      <c r="LN97" s="62"/>
      <c r="LO97" s="63"/>
      <c r="LP97" s="62"/>
      <c r="LQ97" s="63"/>
      <c r="LR97" s="62"/>
      <c r="LS97" s="63"/>
      <c r="LT97" s="62"/>
      <c r="LU97" s="63"/>
      <c r="LV97" s="62"/>
      <c r="LW97" s="63"/>
      <c r="LX97" s="62"/>
      <c r="LY97" s="63"/>
      <c r="LZ97" s="62"/>
      <c r="MA97" s="63"/>
      <c r="MB97" s="62"/>
      <c r="MC97" s="63"/>
      <c r="MD97" s="62"/>
      <c r="ME97" s="63"/>
      <c r="MF97" s="62"/>
      <c r="MG97" s="63"/>
      <c r="MH97" s="62"/>
      <c r="MI97" s="63"/>
      <c r="MJ97" s="62"/>
      <c r="MK97" s="63"/>
      <c r="ML97" s="62"/>
      <c r="MM97" s="63"/>
      <c r="MN97" s="62"/>
      <c r="MO97" s="63"/>
      <c r="MP97" s="62"/>
      <c r="MQ97" s="63"/>
      <c r="MR97" s="62"/>
      <c r="MS97" s="63"/>
      <c r="MT97" s="62"/>
      <c r="MU97" s="63"/>
      <c r="MV97" s="62"/>
      <c r="MW97" s="63"/>
      <c r="MX97" s="62"/>
      <c r="MY97" s="63"/>
      <c r="MZ97" s="62"/>
      <c r="NA97" s="63"/>
      <c r="NB97" s="62"/>
      <c r="NC97" s="63"/>
      <c r="ND97" s="62"/>
      <c r="NE97" s="63"/>
      <c r="NF97" s="62"/>
      <c r="NG97" s="63"/>
      <c r="NH97" s="62"/>
      <c r="NI97" s="63"/>
      <c r="NJ97" s="62"/>
      <c r="NK97" s="63"/>
      <c r="NL97" s="62"/>
      <c r="NM97" s="63"/>
      <c r="NN97" s="62"/>
      <c r="NO97" s="63"/>
      <c r="NP97" s="62"/>
      <c r="NQ97" s="63"/>
      <c r="NR97" s="62"/>
      <c r="NS97" s="63"/>
      <c r="NT97" s="62"/>
      <c r="NU97" s="63"/>
      <c r="NV97" s="62"/>
      <c r="NW97" s="63"/>
      <c r="NX97" s="62"/>
      <c r="NY97" s="63"/>
      <c r="NZ97" s="62"/>
      <c r="OA97" s="63"/>
      <c r="OB97" s="62"/>
      <c r="OC97" s="63"/>
      <c r="OD97" s="62"/>
      <c r="OE97" s="63"/>
      <c r="OF97" s="62"/>
      <c r="OG97" s="63"/>
      <c r="OH97" s="62"/>
      <c r="OI97" s="63"/>
      <c r="OJ97" s="62"/>
      <c r="OK97" s="63"/>
      <c r="OL97" s="62"/>
      <c r="OM97" s="63"/>
      <c r="ON97" s="62"/>
      <c r="OO97" s="63"/>
      <c r="OP97" s="62"/>
      <c r="OQ97" s="63"/>
      <c r="OR97" s="62"/>
      <c r="OS97" s="63"/>
      <c r="OT97" s="62"/>
      <c r="OU97" s="63"/>
      <c r="OV97" s="62"/>
      <c r="OW97" s="63"/>
      <c r="OX97" s="62"/>
      <c r="OY97" s="63"/>
      <c r="OZ97" s="62"/>
      <c r="PA97" s="63"/>
      <c r="PB97" s="62"/>
      <c r="PC97" s="63"/>
      <c r="PD97" s="62"/>
      <c r="PE97" s="63"/>
      <c r="PF97" s="62"/>
      <c r="PG97" s="63"/>
      <c r="PH97" s="62"/>
      <c r="PI97" s="63"/>
      <c r="PJ97" s="62"/>
      <c r="PK97" s="63"/>
      <c r="PL97" s="62"/>
      <c r="PM97" s="63"/>
      <c r="PN97" s="62"/>
      <c r="PO97" s="63"/>
      <c r="PP97" s="62"/>
      <c r="PQ97" s="63"/>
      <c r="PR97" s="62"/>
      <c r="PS97" s="63"/>
      <c r="PT97" s="62"/>
      <c r="PU97" s="63"/>
      <c r="PV97" s="62"/>
      <c r="PW97" s="63"/>
      <c r="PX97" s="62"/>
      <c r="PY97" s="63"/>
      <c r="PZ97" s="62"/>
      <c r="QA97" s="63"/>
      <c r="QB97" s="62"/>
      <c r="QC97" s="63"/>
      <c r="QD97" s="62"/>
      <c r="QE97" s="63"/>
      <c r="QF97" s="62"/>
      <c r="QG97" s="63"/>
      <c r="QH97" s="62"/>
      <c r="QI97" s="63"/>
      <c r="QJ97" s="62"/>
      <c r="QK97" s="63"/>
      <c r="QL97" s="62"/>
      <c r="QM97" s="63"/>
      <c r="QN97" s="62"/>
      <c r="QO97" s="63"/>
      <c r="QP97" s="62"/>
      <c r="QQ97" s="63"/>
      <c r="QR97" s="62"/>
      <c r="QS97" s="63"/>
      <c r="QT97" s="62"/>
      <c r="QU97" s="63"/>
      <c r="QV97" s="62"/>
      <c r="QW97" s="63"/>
      <c r="QX97" s="62"/>
      <c r="QY97" s="63"/>
      <c r="QZ97" s="62"/>
      <c r="RA97" s="63"/>
      <c r="RB97" s="62"/>
      <c r="RC97" s="63"/>
      <c r="RD97" s="31"/>
    </row>
    <row r="98" spans="1:472" s="5" customFormat="1" x14ac:dyDescent="0.25">
      <c r="A98" s="41">
        <v>2116</v>
      </c>
      <c r="B98" s="41" t="s">
        <v>1528</v>
      </c>
      <c r="C98" s="41" t="s">
        <v>3</v>
      </c>
      <c r="D98" s="41">
        <v>166</v>
      </c>
      <c r="E98" s="42"/>
      <c r="F98" s="41"/>
      <c r="I98" s="31"/>
      <c r="J98" s="32"/>
      <c r="K98" s="31"/>
      <c r="L98" s="32"/>
      <c r="M98" s="31"/>
      <c r="N98" s="32"/>
      <c r="O98" s="31"/>
      <c r="P98" s="32"/>
      <c r="Q98" s="31"/>
      <c r="R98" s="32"/>
      <c r="S98" s="31"/>
      <c r="T98" s="32"/>
      <c r="X98" s="31"/>
      <c r="Y98" s="32"/>
      <c r="Z98" s="31"/>
      <c r="AA98" s="32"/>
      <c r="AB98" s="31"/>
      <c r="AC98" s="32"/>
      <c r="AD98" s="31"/>
      <c r="AE98" s="32"/>
      <c r="AF98" s="31"/>
      <c r="AG98" s="32"/>
      <c r="AH98" s="31"/>
      <c r="AI98" s="32"/>
      <c r="AJ98" s="31"/>
      <c r="AK98" s="32"/>
      <c r="AL98" s="31"/>
      <c r="AM98" s="32"/>
      <c r="AN98" s="31"/>
      <c r="AO98" s="32"/>
      <c r="AP98" s="31"/>
      <c r="AQ98" s="32"/>
      <c r="AR98" s="31"/>
      <c r="AS98" s="32"/>
      <c r="AT98" s="31"/>
      <c r="AU98" s="32"/>
      <c r="AV98" s="31"/>
      <c r="AW98" s="32"/>
      <c r="AX98" s="31"/>
      <c r="AY98" s="32"/>
      <c r="AZ98" s="31"/>
      <c r="BA98" s="32"/>
      <c r="BB98" s="31"/>
      <c r="BC98" s="32"/>
      <c r="BD98" s="31"/>
      <c r="BE98" s="32"/>
      <c r="BF98" s="31"/>
      <c r="BG98" s="32"/>
      <c r="BH98" s="31"/>
      <c r="BI98" s="32"/>
      <c r="BJ98" s="31"/>
      <c r="BK98" s="32"/>
      <c r="BL98" s="31"/>
      <c r="BM98" s="32"/>
      <c r="BN98" s="31"/>
      <c r="BO98" s="32"/>
      <c r="BP98" s="31"/>
      <c r="BQ98" s="32"/>
      <c r="BR98" s="31"/>
      <c r="BS98" s="32"/>
      <c r="BT98" s="31"/>
      <c r="BU98" s="32"/>
      <c r="BV98" s="31"/>
      <c r="BW98" s="32"/>
      <c r="BX98" s="31"/>
      <c r="BY98" s="32"/>
      <c r="BZ98" s="31"/>
      <c r="CA98" s="32"/>
      <c r="CB98" s="31"/>
      <c r="CC98" s="32"/>
      <c r="CD98" s="31"/>
      <c r="CE98" s="32"/>
      <c r="CF98" s="31"/>
      <c r="CG98" s="32"/>
      <c r="CH98" s="31"/>
      <c r="CI98" s="32"/>
      <c r="CJ98" s="31"/>
      <c r="CK98" s="32"/>
      <c r="CL98" s="31"/>
      <c r="CM98" s="32"/>
      <c r="CN98" s="31"/>
      <c r="CO98" s="32"/>
      <c r="CP98" s="31"/>
      <c r="CQ98" s="32"/>
      <c r="CR98" s="31"/>
      <c r="CS98" s="32"/>
      <c r="CT98" s="31"/>
      <c r="CU98" s="32"/>
      <c r="CV98" s="31"/>
      <c r="CW98" s="32"/>
      <c r="CX98" s="31"/>
      <c r="CY98" s="32"/>
      <c r="CZ98" s="31"/>
      <c r="DA98" s="32"/>
      <c r="DB98" s="31"/>
      <c r="DC98" s="32"/>
      <c r="DD98" s="31"/>
      <c r="DE98" s="32"/>
      <c r="DF98" s="31"/>
      <c r="DG98" s="32"/>
      <c r="DH98" s="31"/>
      <c r="DI98" s="32"/>
      <c r="DJ98" s="31"/>
      <c r="DK98" s="32"/>
      <c r="DL98" s="31"/>
      <c r="DM98" s="32"/>
      <c r="DN98" s="31"/>
      <c r="DO98" s="32"/>
      <c r="DP98" s="31"/>
      <c r="DQ98" s="32"/>
      <c r="DR98" s="31"/>
      <c r="DS98" s="32"/>
      <c r="DT98" s="31"/>
      <c r="DU98" s="32"/>
      <c r="DV98" s="31"/>
      <c r="DW98" s="32"/>
      <c r="DX98" s="31"/>
      <c r="DY98" s="32"/>
      <c r="DZ98" s="31"/>
      <c r="EA98" s="32"/>
      <c r="EB98" s="31"/>
      <c r="EC98" s="32"/>
      <c r="ED98" s="31"/>
      <c r="EE98" s="32"/>
      <c r="EF98" s="31"/>
      <c r="EG98" s="32"/>
      <c r="EH98" s="31"/>
      <c r="EI98" s="32"/>
      <c r="EJ98" s="31"/>
      <c r="EK98" s="32"/>
      <c r="EL98" s="31"/>
      <c r="EM98" s="32"/>
      <c r="EN98" s="31"/>
      <c r="EO98" s="32"/>
      <c r="EP98" s="31"/>
      <c r="EQ98" s="32"/>
      <c r="ER98" s="31"/>
      <c r="ES98" s="32"/>
      <c r="ET98" s="31"/>
      <c r="EU98" s="32"/>
      <c r="EV98" s="31"/>
      <c r="EW98" s="32"/>
      <c r="EX98" s="31"/>
      <c r="EY98" s="32"/>
      <c r="EZ98" s="31"/>
      <c r="FA98" s="32"/>
      <c r="FB98" s="31"/>
      <c r="FC98" s="32"/>
      <c r="FD98" s="31"/>
      <c r="FE98" s="32"/>
      <c r="FF98" s="62"/>
      <c r="FG98" s="63"/>
      <c r="FH98" s="62"/>
      <c r="FI98" s="63"/>
      <c r="FJ98" s="62"/>
      <c r="FK98" s="63"/>
      <c r="FL98" s="62"/>
      <c r="FM98" s="63"/>
      <c r="FN98" s="62"/>
      <c r="FO98" s="63"/>
      <c r="FP98" s="62"/>
      <c r="FQ98" s="63"/>
      <c r="FR98" s="62"/>
      <c r="FS98" s="63"/>
      <c r="FT98" s="62"/>
      <c r="FU98" s="63"/>
      <c r="FV98" s="62"/>
      <c r="FW98" s="63"/>
      <c r="FX98" s="62"/>
      <c r="FY98" s="63"/>
      <c r="FZ98" s="62"/>
      <c r="GA98" s="63"/>
      <c r="GB98" s="62"/>
      <c r="GC98" s="63"/>
      <c r="GD98" s="62"/>
      <c r="GE98" s="63"/>
      <c r="GF98" s="62"/>
      <c r="GG98" s="63"/>
      <c r="GH98" s="62"/>
      <c r="GI98" s="63"/>
      <c r="GJ98" s="62"/>
      <c r="GK98" s="63"/>
      <c r="GL98" s="62"/>
      <c r="GM98" s="63"/>
      <c r="GN98" s="62"/>
      <c r="GO98" s="63"/>
      <c r="GP98" s="62"/>
      <c r="GQ98" s="63"/>
      <c r="GR98" s="62"/>
      <c r="GS98" s="63"/>
      <c r="GT98" s="62"/>
      <c r="GU98" s="63"/>
      <c r="GV98" s="62"/>
      <c r="GW98" s="63"/>
      <c r="GX98" s="62"/>
      <c r="GY98" s="63"/>
      <c r="GZ98" s="62"/>
      <c r="HA98" s="63"/>
      <c r="HB98" s="62"/>
      <c r="HC98" s="63"/>
      <c r="HD98" s="62"/>
      <c r="HE98" s="63"/>
      <c r="HF98" s="62"/>
      <c r="HG98" s="63"/>
      <c r="HH98" s="62"/>
      <c r="HI98" s="63"/>
      <c r="HJ98" s="62"/>
      <c r="HK98" s="63"/>
      <c r="HL98" s="62"/>
      <c r="HM98" s="63"/>
      <c r="HN98" s="62"/>
      <c r="HO98" s="63"/>
      <c r="HP98" s="62"/>
      <c r="HQ98" s="63"/>
      <c r="HR98" s="62"/>
      <c r="HS98" s="63"/>
      <c r="HT98" s="62"/>
      <c r="HU98" s="63"/>
      <c r="HV98" s="62"/>
      <c r="HW98" s="63"/>
      <c r="HX98" s="62"/>
      <c r="HY98" s="63"/>
      <c r="HZ98" s="62"/>
      <c r="IA98" s="63"/>
      <c r="IB98" s="62"/>
      <c r="IC98" s="63"/>
      <c r="ID98" s="62"/>
      <c r="IE98" s="63"/>
      <c r="IF98" s="62"/>
      <c r="IG98" s="63"/>
      <c r="IH98" s="62"/>
      <c r="II98" s="63"/>
      <c r="IJ98" s="62"/>
      <c r="IK98" s="63"/>
      <c r="IL98" s="62"/>
      <c r="IM98" s="63"/>
      <c r="IN98" s="62"/>
      <c r="IO98" s="63"/>
      <c r="IP98" s="62"/>
      <c r="IQ98" s="63"/>
      <c r="IR98" s="62"/>
      <c r="IS98" s="63"/>
      <c r="IT98" s="62"/>
      <c r="IU98" s="63"/>
      <c r="IV98" s="62"/>
      <c r="IW98" s="63"/>
      <c r="IX98" s="62"/>
      <c r="IY98" s="63"/>
      <c r="IZ98" s="62"/>
      <c r="JA98" s="63"/>
      <c r="JB98" s="62"/>
      <c r="JC98" s="63"/>
      <c r="JD98" s="62"/>
      <c r="JE98" s="63"/>
      <c r="JF98" s="62"/>
      <c r="JG98" s="63"/>
      <c r="JH98" s="62"/>
      <c r="JI98" s="63"/>
      <c r="JJ98" s="62"/>
      <c r="JK98" s="63"/>
      <c r="JL98" s="62"/>
      <c r="JM98" s="63"/>
      <c r="JN98" s="62"/>
      <c r="JO98" s="63"/>
      <c r="JP98" s="62"/>
      <c r="JQ98" s="63"/>
      <c r="JR98" s="62"/>
      <c r="JS98" s="63"/>
      <c r="JT98" s="62"/>
      <c r="JU98" s="63"/>
      <c r="JV98" s="62"/>
      <c r="JW98" s="63"/>
      <c r="JX98" s="62" t="s">
        <v>66</v>
      </c>
      <c r="JY98" s="63"/>
      <c r="JZ98" s="62" t="s">
        <v>66</v>
      </c>
      <c r="KA98" s="63"/>
      <c r="KB98" s="62" t="s">
        <v>38</v>
      </c>
      <c r="KC98" s="63"/>
      <c r="KD98" s="62" t="s">
        <v>38</v>
      </c>
      <c r="KE98" s="63"/>
      <c r="KF98" s="62" t="s">
        <v>36</v>
      </c>
      <c r="KG98" s="63"/>
      <c r="KH98" s="62" t="s">
        <v>36</v>
      </c>
      <c r="KI98" s="63"/>
      <c r="KJ98" s="62" t="s">
        <v>36</v>
      </c>
      <c r="KK98" s="63"/>
      <c r="KL98" s="62" t="s">
        <v>36</v>
      </c>
      <c r="KM98" s="63"/>
      <c r="KN98" s="62" t="s">
        <v>36</v>
      </c>
      <c r="KO98" s="63"/>
      <c r="KP98" s="62" t="s">
        <v>36</v>
      </c>
      <c r="KQ98" s="63"/>
      <c r="KR98" s="62" t="s">
        <v>36</v>
      </c>
      <c r="KS98" s="63"/>
      <c r="KT98" s="62" t="s">
        <v>36</v>
      </c>
      <c r="KU98" s="63"/>
      <c r="KV98" s="62" t="s">
        <v>36</v>
      </c>
      <c r="KW98" s="63"/>
      <c r="KX98" s="62" t="s">
        <v>36</v>
      </c>
      <c r="KY98" s="63"/>
      <c r="KZ98" s="62" t="s">
        <v>36</v>
      </c>
      <c r="LA98" s="63"/>
      <c r="LB98" s="62" t="s">
        <v>37</v>
      </c>
      <c r="LC98" s="63"/>
      <c r="LD98" s="62" t="s">
        <v>37</v>
      </c>
      <c r="LE98" s="63"/>
      <c r="LF98" s="62" t="s">
        <v>37</v>
      </c>
      <c r="LG98" s="63"/>
      <c r="LH98" s="62" t="s">
        <v>37</v>
      </c>
      <c r="LI98" s="63"/>
      <c r="LJ98" s="62" t="s">
        <v>37</v>
      </c>
      <c r="LK98" s="63"/>
      <c r="LL98" s="62" t="s">
        <v>37</v>
      </c>
      <c r="LM98" s="63"/>
      <c r="LN98" s="62" t="s">
        <v>37</v>
      </c>
      <c r="LO98" s="63"/>
      <c r="LP98" s="62" t="s">
        <v>37</v>
      </c>
      <c r="LQ98" s="63"/>
      <c r="LR98" s="62" t="s">
        <v>37</v>
      </c>
      <c r="LS98" s="63"/>
      <c r="LT98" s="62"/>
      <c r="LU98" s="63"/>
      <c r="LV98" s="62"/>
      <c r="LW98" s="63"/>
      <c r="LX98" s="62"/>
      <c r="LY98" s="63"/>
      <c r="LZ98" s="62"/>
      <c r="MA98" s="63"/>
      <c r="MB98" s="62"/>
      <c r="MC98" s="63"/>
      <c r="MD98" s="62"/>
      <c r="ME98" s="63"/>
      <c r="MF98" s="62"/>
      <c r="MG98" s="63"/>
      <c r="MH98" s="62"/>
      <c r="MI98" s="63"/>
      <c r="MJ98" s="62"/>
      <c r="MK98" s="63"/>
      <c r="ML98" s="62"/>
      <c r="MM98" s="63"/>
      <c r="MN98" s="62"/>
      <c r="MO98" s="63"/>
      <c r="MP98" s="62"/>
      <c r="MQ98" s="63"/>
      <c r="MR98" s="62"/>
      <c r="MS98" s="63"/>
      <c r="MT98" s="62"/>
      <c r="MU98" s="63"/>
      <c r="MV98" s="62"/>
      <c r="MW98" s="63"/>
      <c r="MX98" s="62"/>
      <c r="MY98" s="63"/>
      <c r="MZ98" s="62"/>
      <c r="NA98" s="63"/>
      <c r="NB98" s="62"/>
      <c r="NC98" s="63"/>
      <c r="ND98" s="62"/>
      <c r="NE98" s="63"/>
      <c r="NF98" s="62"/>
      <c r="NG98" s="63"/>
      <c r="NH98" s="62"/>
      <c r="NI98" s="63"/>
      <c r="NJ98" s="62"/>
      <c r="NK98" s="63"/>
      <c r="NL98" s="62"/>
      <c r="NM98" s="63"/>
      <c r="NN98" s="62"/>
      <c r="NO98" s="63"/>
      <c r="NP98" s="62"/>
      <c r="NQ98" s="63"/>
      <c r="NR98" s="62"/>
      <c r="NS98" s="63"/>
      <c r="NT98" s="62"/>
      <c r="NU98" s="63"/>
      <c r="NV98" s="62"/>
      <c r="NW98" s="63"/>
      <c r="NX98" s="62"/>
      <c r="NY98" s="63"/>
      <c r="NZ98" s="62"/>
      <c r="OA98" s="63"/>
      <c r="OB98" s="62"/>
      <c r="OC98" s="63"/>
      <c r="OD98" s="62"/>
      <c r="OE98" s="63"/>
      <c r="OF98" s="62"/>
      <c r="OG98" s="63"/>
      <c r="OH98" s="62"/>
      <c r="OI98" s="63"/>
      <c r="OJ98" s="62"/>
      <c r="OK98" s="63"/>
      <c r="OL98" s="62"/>
      <c r="OM98" s="63"/>
      <c r="ON98" s="62"/>
      <c r="OO98" s="63"/>
      <c r="OP98" s="62"/>
      <c r="OQ98" s="63"/>
      <c r="OR98" s="62"/>
      <c r="OS98" s="63"/>
      <c r="OT98" s="62"/>
      <c r="OU98" s="63"/>
      <c r="OV98" s="62"/>
      <c r="OW98" s="63"/>
      <c r="OX98" s="62"/>
      <c r="OY98" s="63"/>
      <c r="OZ98" s="62"/>
      <c r="PA98" s="63"/>
      <c r="PB98" s="62"/>
      <c r="PC98" s="63"/>
      <c r="PD98" s="62"/>
      <c r="PE98" s="63"/>
      <c r="PF98" s="62"/>
      <c r="PG98" s="63"/>
      <c r="PH98" s="62"/>
      <c r="PI98" s="63"/>
      <c r="PJ98" s="62"/>
      <c r="PK98" s="63"/>
      <c r="PL98" s="62"/>
      <c r="PM98" s="63"/>
      <c r="PN98" s="62"/>
      <c r="PO98" s="63"/>
      <c r="PP98" s="62"/>
      <c r="PQ98" s="63"/>
      <c r="PR98" s="62"/>
      <c r="PS98" s="63"/>
      <c r="PT98" s="62"/>
      <c r="PU98" s="63"/>
      <c r="PV98" s="62"/>
      <c r="PW98" s="63"/>
      <c r="PX98" s="62"/>
      <c r="PY98" s="63"/>
      <c r="PZ98" s="62"/>
      <c r="QA98" s="63"/>
      <c r="QB98" s="62"/>
      <c r="QC98" s="63"/>
      <c r="QD98" s="62"/>
      <c r="QE98" s="63"/>
      <c r="QF98" s="62"/>
      <c r="QG98" s="63"/>
      <c r="QH98" s="62"/>
      <c r="QI98" s="63"/>
      <c r="QJ98" s="62"/>
      <c r="QK98" s="63"/>
      <c r="QL98" s="62"/>
      <c r="QM98" s="63"/>
      <c r="QN98" s="62"/>
      <c r="QO98" s="63"/>
      <c r="QP98" s="62"/>
      <c r="QQ98" s="63"/>
      <c r="QR98" s="62"/>
      <c r="QS98" s="63"/>
      <c r="QT98" s="62"/>
      <c r="QU98" s="63"/>
      <c r="QV98" s="62"/>
      <c r="QW98" s="63"/>
      <c r="QX98" s="62"/>
      <c r="QY98" s="63"/>
      <c r="QZ98" s="62"/>
      <c r="RA98" s="63"/>
      <c r="RB98" s="62"/>
      <c r="RC98" s="63"/>
      <c r="RD98" s="31"/>
    </row>
    <row r="99" spans="1:472" s="5" customFormat="1" x14ac:dyDescent="0.25">
      <c r="A99" s="48">
        <v>2114</v>
      </c>
      <c r="B99" s="48" t="s">
        <v>1496</v>
      </c>
      <c r="C99" s="48" t="s">
        <v>626</v>
      </c>
      <c r="D99" s="48">
        <v>239</v>
      </c>
      <c r="E99" s="49"/>
      <c r="F99" s="48"/>
      <c r="I99" s="31"/>
      <c r="J99" s="32"/>
      <c r="K99" s="31"/>
      <c r="L99" s="32"/>
      <c r="M99" s="31"/>
      <c r="N99" s="32"/>
      <c r="O99" s="31"/>
      <c r="P99" s="32"/>
      <c r="Q99" s="31"/>
      <c r="R99" s="32"/>
      <c r="S99" s="31"/>
      <c r="T99" s="32"/>
      <c r="X99" s="31"/>
      <c r="Y99" s="32"/>
      <c r="Z99" s="31"/>
      <c r="AA99" s="32"/>
      <c r="AB99" s="31"/>
      <c r="AC99" s="32"/>
      <c r="AD99" s="31"/>
      <c r="AE99" s="32"/>
      <c r="AF99" s="31"/>
      <c r="AG99" s="32"/>
      <c r="AH99" s="31"/>
      <c r="AI99" s="32"/>
      <c r="AJ99" s="31"/>
      <c r="AK99" s="32"/>
      <c r="AL99" s="31"/>
      <c r="AM99" s="32"/>
      <c r="AN99" s="31"/>
      <c r="AO99" s="32"/>
      <c r="AP99" s="31"/>
      <c r="AQ99" s="32"/>
      <c r="AR99" s="31"/>
      <c r="AS99" s="32"/>
      <c r="AT99" s="31"/>
      <c r="AU99" s="32"/>
      <c r="AV99" s="31"/>
      <c r="AW99" s="32"/>
      <c r="AX99" s="31"/>
      <c r="AY99" s="32"/>
      <c r="AZ99" s="31"/>
      <c r="BA99" s="32"/>
      <c r="BB99" s="31"/>
      <c r="BC99" s="32"/>
      <c r="BD99" s="31"/>
      <c r="BE99" s="32"/>
      <c r="BF99" s="31"/>
      <c r="BG99" s="32"/>
      <c r="BH99" s="31"/>
      <c r="BI99" s="32"/>
      <c r="BJ99" s="31"/>
      <c r="BK99" s="32"/>
      <c r="BL99" s="31"/>
      <c r="BM99" s="32"/>
      <c r="BN99" s="31"/>
      <c r="BO99" s="32"/>
      <c r="BP99" s="31"/>
      <c r="BQ99" s="32"/>
      <c r="BR99" s="31"/>
      <c r="BS99" s="32"/>
      <c r="BT99" s="31"/>
      <c r="BU99" s="32"/>
      <c r="BV99" s="31"/>
      <c r="BW99" s="32"/>
      <c r="BX99" s="31"/>
      <c r="BY99" s="32"/>
      <c r="BZ99" s="31"/>
      <c r="CA99" s="32"/>
      <c r="CB99" s="31"/>
      <c r="CC99" s="32"/>
      <c r="CD99" s="31"/>
      <c r="CE99" s="32"/>
      <c r="CF99" s="31"/>
      <c r="CG99" s="32"/>
      <c r="CH99" s="31"/>
      <c r="CI99" s="32"/>
      <c r="CJ99" s="31"/>
      <c r="CK99" s="32"/>
      <c r="CL99" s="31"/>
      <c r="CM99" s="32"/>
      <c r="CN99" s="31"/>
      <c r="CO99" s="32"/>
      <c r="CP99" s="31"/>
      <c r="CQ99" s="32"/>
      <c r="CR99" s="31"/>
      <c r="CS99" s="32"/>
      <c r="CT99" s="31"/>
      <c r="CU99" s="32"/>
      <c r="CV99" s="31"/>
      <c r="CW99" s="32"/>
      <c r="CX99" s="31"/>
      <c r="CY99" s="32"/>
      <c r="CZ99" s="31"/>
      <c r="DA99" s="32"/>
      <c r="DB99" s="31"/>
      <c r="DC99" s="32"/>
      <c r="DD99" s="31"/>
      <c r="DE99" s="32"/>
      <c r="DF99" s="31"/>
      <c r="DG99" s="32"/>
      <c r="DH99" s="31"/>
      <c r="DI99" s="32"/>
      <c r="DJ99" s="31"/>
      <c r="DK99" s="32"/>
      <c r="DL99" s="31"/>
      <c r="DM99" s="32"/>
      <c r="DN99" s="31"/>
      <c r="DO99" s="32"/>
      <c r="DP99" s="31"/>
      <c r="DQ99" s="32"/>
      <c r="DR99" s="31"/>
      <c r="DS99" s="32"/>
      <c r="DT99" s="31"/>
      <c r="DU99" s="32"/>
      <c r="DV99" s="31"/>
      <c r="DW99" s="32"/>
      <c r="DX99" s="31"/>
      <c r="DY99" s="32"/>
      <c r="DZ99" s="31"/>
      <c r="EA99" s="32"/>
      <c r="EB99" s="31"/>
      <c r="EC99" s="32"/>
      <c r="ED99" s="31"/>
      <c r="EE99" s="32"/>
      <c r="EF99" s="31"/>
      <c r="EG99" s="32"/>
      <c r="EH99" s="31"/>
      <c r="EI99" s="32"/>
      <c r="EJ99" s="31"/>
      <c r="EK99" s="32"/>
      <c r="EL99" s="31"/>
      <c r="EM99" s="32"/>
      <c r="EN99" s="31"/>
      <c r="EO99" s="32"/>
      <c r="EP99" s="31"/>
      <c r="EQ99" s="32"/>
      <c r="ER99" s="31"/>
      <c r="ES99" s="32"/>
      <c r="ET99" s="31"/>
      <c r="EU99" s="32"/>
      <c r="EV99" s="31"/>
      <c r="EW99" s="32"/>
      <c r="EX99" s="31"/>
      <c r="EY99" s="32"/>
      <c r="EZ99" s="31"/>
      <c r="FA99" s="32"/>
      <c r="FB99" s="31"/>
      <c r="FC99" s="32"/>
      <c r="FD99" s="31"/>
      <c r="FE99" s="32"/>
      <c r="FF99" s="62"/>
      <c r="FG99" s="63"/>
      <c r="FH99" s="62"/>
      <c r="FI99" s="63"/>
      <c r="FJ99" s="62"/>
      <c r="FK99" s="63"/>
      <c r="FL99" s="62"/>
      <c r="FM99" s="63"/>
      <c r="FN99" s="62"/>
      <c r="FO99" s="63"/>
      <c r="FP99" s="62"/>
      <c r="FQ99" s="63"/>
      <c r="FR99" s="62"/>
      <c r="FS99" s="63"/>
      <c r="FT99" s="62"/>
      <c r="FU99" s="63"/>
      <c r="FV99" s="62"/>
      <c r="FW99" s="63"/>
      <c r="FX99" s="62"/>
      <c r="FY99" s="63"/>
      <c r="FZ99" s="62"/>
      <c r="GA99" s="63"/>
      <c r="GB99" s="62"/>
      <c r="GC99" s="63"/>
      <c r="GD99" s="62"/>
      <c r="GE99" s="63"/>
      <c r="GF99" s="62"/>
      <c r="GG99" s="63"/>
      <c r="GH99" s="62"/>
      <c r="GI99" s="63"/>
      <c r="GJ99" s="62"/>
      <c r="GK99" s="63"/>
      <c r="GL99" s="62"/>
      <c r="GM99" s="63"/>
      <c r="GN99" s="62"/>
      <c r="GO99" s="63"/>
      <c r="GP99" s="62"/>
      <c r="GQ99" s="63"/>
      <c r="GR99" s="62"/>
      <c r="GS99" s="63"/>
      <c r="GT99" s="62"/>
      <c r="GU99" s="63"/>
      <c r="GV99" s="62"/>
      <c r="GW99" s="63"/>
      <c r="GX99" s="62"/>
      <c r="GY99" s="63"/>
      <c r="GZ99" s="62"/>
      <c r="HA99" s="63"/>
      <c r="HB99" s="62"/>
      <c r="HC99" s="63"/>
      <c r="HD99" s="62"/>
      <c r="HE99" s="63"/>
      <c r="HF99" s="62"/>
      <c r="HG99" s="63"/>
      <c r="HH99" s="62"/>
      <c r="HI99" s="63"/>
      <c r="HJ99" s="62"/>
      <c r="HK99" s="63"/>
      <c r="HL99" s="62"/>
      <c r="HM99" s="63"/>
      <c r="HN99" s="62"/>
      <c r="HO99" s="63"/>
      <c r="HP99" s="62"/>
      <c r="HQ99" s="63"/>
      <c r="HR99" s="62"/>
      <c r="HS99" s="63"/>
      <c r="HT99" s="62"/>
      <c r="HU99" s="63"/>
      <c r="HV99" s="62"/>
      <c r="HW99" s="63"/>
      <c r="HX99" s="62"/>
      <c r="HY99" s="63"/>
      <c r="HZ99" s="62"/>
      <c r="IA99" s="63"/>
      <c r="IB99" s="62"/>
      <c r="IC99" s="63"/>
      <c r="ID99" s="62"/>
      <c r="IE99" s="63"/>
      <c r="IF99" s="62"/>
      <c r="IG99" s="63"/>
      <c r="IH99" s="62"/>
      <c r="II99" s="63"/>
      <c r="IJ99" s="62"/>
      <c r="IK99" s="63"/>
      <c r="IL99" s="62"/>
      <c r="IM99" s="63"/>
      <c r="IN99" s="62"/>
      <c r="IO99" s="63"/>
      <c r="IP99" s="62"/>
      <c r="IQ99" s="63"/>
      <c r="IR99" s="62"/>
      <c r="IS99" s="63"/>
      <c r="IT99" s="62"/>
      <c r="IU99" s="63"/>
      <c r="IV99" s="62"/>
      <c r="IW99" s="63"/>
      <c r="IX99" s="62"/>
      <c r="IY99" s="63"/>
      <c r="IZ99" s="62"/>
      <c r="JA99" s="63"/>
      <c r="JB99" s="62"/>
      <c r="JC99" s="63"/>
      <c r="JD99" s="62"/>
      <c r="JE99" s="63"/>
      <c r="JF99" s="62"/>
      <c r="JG99" s="63"/>
      <c r="JH99" s="62"/>
      <c r="JI99" s="63"/>
      <c r="JJ99" s="62"/>
      <c r="JK99" s="63"/>
      <c r="JL99" s="62"/>
      <c r="JM99" s="63"/>
      <c r="JN99" s="62"/>
      <c r="JO99" s="63"/>
      <c r="JP99" s="62"/>
      <c r="JQ99" s="63"/>
      <c r="JR99" s="62"/>
      <c r="JS99" s="63"/>
      <c r="JT99" s="62"/>
      <c r="JU99" s="63"/>
      <c r="JV99" s="62"/>
      <c r="JW99" s="63"/>
      <c r="JX99" s="62"/>
      <c r="JY99" s="63"/>
      <c r="JZ99" s="62" t="s">
        <v>66</v>
      </c>
      <c r="KA99" s="63"/>
      <c r="KB99" s="62" t="s">
        <v>66</v>
      </c>
      <c r="KC99" s="63"/>
      <c r="KD99" s="62" t="s">
        <v>38</v>
      </c>
      <c r="KE99" s="63"/>
      <c r="KF99" s="62" t="s">
        <v>38</v>
      </c>
      <c r="KG99" s="63"/>
      <c r="KH99" s="62" t="s">
        <v>36</v>
      </c>
      <c r="KI99" s="63"/>
      <c r="KJ99" s="62" t="s">
        <v>36</v>
      </c>
      <c r="KK99" s="63"/>
      <c r="KL99" s="62" t="s">
        <v>36</v>
      </c>
      <c r="KM99" s="63"/>
      <c r="KN99" s="62" t="s">
        <v>36</v>
      </c>
      <c r="KO99" s="63"/>
      <c r="KP99" s="62" t="s">
        <v>36</v>
      </c>
      <c r="KQ99" s="63"/>
      <c r="KR99" s="62" t="s">
        <v>36</v>
      </c>
      <c r="KS99" s="63"/>
      <c r="KT99" s="62" t="s">
        <v>36</v>
      </c>
      <c r="KU99" s="63"/>
      <c r="KV99" s="62" t="s">
        <v>36</v>
      </c>
      <c r="KW99" s="63"/>
      <c r="KX99" s="62" t="s">
        <v>36</v>
      </c>
      <c r="KY99" s="63"/>
      <c r="KZ99" s="62" t="s">
        <v>36</v>
      </c>
      <c r="LA99" s="63"/>
      <c r="LB99" s="62" t="s">
        <v>36</v>
      </c>
      <c r="LC99" s="63"/>
      <c r="LD99" s="62" t="s">
        <v>37</v>
      </c>
      <c r="LE99" s="63"/>
      <c r="LF99" s="62" t="s">
        <v>37</v>
      </c>
      <c r="LG99" s="63"/>
      <c r="LH99" s="62" t="s">
        <v>37</v>
      </c>
      <c r="LI99" s="63"/>
      <c r="LJ99" s="62" t="s">
        <v>37</v>
      </c>
      <c r="LK99" s="63"/>
      <c r="LL99" s="62" t="s">
        <v>37</v>
      </c>
      <c r="LM99" s="63"/>
      <c r="LN99" s="62" t="s">
        <v>37</v>
      </c>
      <c r="LO99" s="63"/>
      <c r="LP99" s="62" t="s">
        <v>37</v>
      </c>
      <c r="LQ99" s="63"/>
      <c r="LR99" s="62" t="s">
        <v>37</v>
      </c>
      <c r="LS99" s="63"/>
      <c r="LT99" s="62" t="s">
        <v>37</v>
      </c>
      <c r="LU99" s="63"/>
      <c r="LV99" s="62"/>
      <c r="LW99" s="63"/>
      <c r="LX99" s="62"/>
      <c r="LY99" s="63"/>
      <c r="LZ99" s="62"/>
      <c r="MA99" s="63"/>
      <c r="MB99" s="62"/>
      <c r="MC99" s="63"/>
      <c r="MD99" s="62"/>
      <c r="ME99" s="63"/>
      <c r="MF99" s="62"/>
      <c r="MG99" s="63"/>
      <c r="MH99" s="62"/>
      <c r="MI99" s="63"/>
      <c r="MJ99" s="62"/>
      <c r="MK99" s="63"/>
      <c r="ML99" s="62"/>
      <c r="MM99" s="63"/>
      <c r="MN99" s="62"/>
      <c r="MO99" s="63"/>
      <c r="MP99" s="62"/>
      <c r="MQ99" s="63"/>
      <c r="MR99" s="62"/>
      <c r="MS99" s="63"/>
      <c r="MT99" s="62"/>
      <c r="MU99" s="63"/>
      <c r="MV99" s="62"/>
      <c r="MW99" s="63"/>
      <c r="MX99" s="62"/>
      <c r="MY99" s="63"/>
      <c r="MZ99" s="62"/>
      <c r="NA99" s="63"/>
      <c r="NB99" s="62"/>
      <c r="NC99" s="63"/>
      <c r="ND99" s="62"/>
      <c r="NE99" s="63"/>
      <c r="NF99" s="62"/>
      <c r="NG99" s="63"/>
      <c r="NH99" s="62"/>
      <c r="NI99" s="63"/>
      <c r="NJ99" s="62"/>
      <c r="NK99" s="63"/>
      <c r="NL99" s="62"/>
      <c r="NM99" s="63"/>
      <c r="NN99" s="62"/>
      <c r="NO99" s="63"/>
      <c r="NP99" s="62"/>
      <c r="NQ99" s="63"/>
      <c r="NR99" s="62"/>
      <c r="NS99" s="63"/>
      <c r="NT99" s="62"/>
      <c r="NU99" s="63"/>
      <c r="NV99" s="62"/>
      <c r="NW99" s="63"/>
      <c r="NX99" s="62"/>
      <c r="NY99" s="63"/>
      <c r="NZ99" s="62"/>
      <c r="OA99" s="63"/>
      <c r="OB99" s="62"/>
      <c r="OC99" s="63"/>
      <c r="OD99" s="62"/>
      <c r="OE99" s="63"/>
      <c r="OF99" s="62"/>
      <c r="OG99" s="63"/>
      <c r="OH99" s="62"/>
      <c r="OI99" s="63"/>
      <c r="OJ99" s="62"/>
      <c r="OK99" s="63"/>
      <c r="OL99" s="62"/>
      <c r="OM99" s="63"/>
      <c r="ON99" s="62"/>
      <c r="OO99" s="63"/>
      <c r="OP99" s="62"/>
      <c r="OQ99" s="63"/>
      <c r="OR99" s="62"/>
      <c r="OS99" s="63"/>
      <c r="OT99" s="62"/>
      <c r="OU99" s="63"/>
      <c r="OV99" s="62"/>
      <c r="OW99" s="63"/>
      <c r="OX99" s="62"/>
      <c r="OY99" s="63"/>
      <c r="OZ99" s="62"/>
      <c r="PA99" s="63"/>
      <c r="PB99" s="62"/>
      <c r="PC99" s="63"/>
      <c r="PD99" s="62"/>
      <c r="PE99" s="63"/>
      <c r="PF99" s="62"/>
      <c r="PG99" s="63"/>
      <c r="PH99" s="62"/>
      <c r="PI99" s="63"/>
      <c r="PJ99" s="62"/>
      <c r="PK99" s="63"/>
      <c r="PL99" s="62"/>
      <c r="PM99" s="63"/>
      <c r="PN99" s="62"/>
      <c r="PO99" s="63"/>
      <c r="PP99" s="62"/>
      <c r="PQ99" s="63"/>
      <c r="PR99" s="62"/>
      <c r="PS99" s="63"/>
      <c r="PT99" s="62"/>
      <c r="PU99" s="63"/>
      <c r="PV99" s="62"/>
      <c r="PW99" s="63"/>
      <c r="PX99" s="62"/>
      <c r="PY99" s="63"/>
      <c r="PZ99" s="62"/>
      <c r="QA99" s="63"/>
      <c r="QB99" s="62"/>
      <c r="QC99" s="63"/>
      <c r="QD99" s="62"/>
      <c r="QE99" s="63"/>
      <c r="QF99" s="62"/>
      <c r="QG99" s="63"/>
      <c r="QH99" s="62"/>
      <c r="QI99" s="63"/>
      <c r="QJ99" s="62"/>
      <c r="QK99" s="63"/>
      <c r="QL99" s="62"/>
      <c r="QM99" s="63"/>
      <c r="QN99" s="62"/>
      <c r="QO99" s="63"/>
      <c r="QP99" s="62"/>
      <c r="QQ99" s="63"/>
      <c r="QR99" s="62"/>
      <c r="QS99" s="63"/>
      <c r="QT99" s="62"/>
      <c r="QU99" s="63"/>
      <c r="QV99" s="62"/>
      <c r="QW99" s="63"/>
      <c r="QX99" s="62"/>
      <c r="QY99" s="63"/>
      <c r="QZ99" s="62"/>
      <c r="RA99" s="63"/>
      <c r="RB99" s="62"/>
      <c r="RC99" s="63"/>
      <c r="RD99" s="31"/>
    </row>
    <row r="100" spans="1:472" s="5" customFormat="1" x14ac:dyDescent="0.25">
      <c r="A100" s="5">
        <v>2110</v>
      </c>
      <c r="B100" s="5" t="s">
        <v>1444</v>
      </c>
      <c r="C100" s="5" t="s">
        <v>1443</v>
      </c>
      <c r="D100" s="5">
        <v>137</v>
      </c>
      <c r="E100" s="36"/>
      <c r="F100" s="5" t="s">
        <v>1501</v>
      </c>
      <c r="I100" s="31"/>
      <c r="J100" s="32"/>
      <c r="K100" s="31"/>
      <c r="L100" s="32"/>
      <c r="M100" s="31"/>
      <c r="N100" s="32"/>
      <c r="O100" s="31"/>
      <c r="P100" s="32"/>
      <c r="Q100" s="31"/>
      <c r="R100" s="32"/>
      <c r="S100" s="31"/>
      <c r="T100" s="32"/>
      <c r="X100" s="31"/>
      <c r="Y100" s="32"/>
      <c r="Z100" s="31"/>
      <c r="AA100" s="32"/>
      <c r="AB100" s="31"/>
      <c r="AC100" s="32"/>
      <c r="AD100" s="31"/>
      <c r="AE100" s="32"/>
      <c r="AF100" s="31"/>
      <c r="AG100" s="32"/>
      <c r="AH100" s="31"/>
      <c r="AI100" s="32"/>
      <c r="AJ100" s="31"/>
      <c r="AK100" s="32"/>
      <c r="AL100" s="31"/>
      <c r="AM100" s="32"/>
      <c r="AN100" s="31"/>
      <c r="AO100" s="32"/>
      <c r="AP100" s="31"/>
      <c r="AQ100" s="32"/>
      <c r="AR100" s="31"/>
      <c r="AS100" s="32"/>
      <c r="AT100" s="31"/>
      <c r="AU100" s="32"/>
      <c r="AV100" s="31"/>
      <c r="AW100" s="32"/>
      <c r="AX100" s="31"/>
      <c r="AY100" s="32"/>
      <c r="AZ100" s="31"/>
      <c r="BA100" s="32"/>
      <c r="BB100" s="31"/>
      <c r="BC100" s="32"/>
      <c r="BD100" s="31"/>
      <c r="BE100" s="32"/>
      <c r="BF100" s="31"/>
      <c r="BG100" s="32"/>
      <c r="BH100" s="31"/>
      <c r="BI100" s="32"/>
      <c r="BJ100" s="31"/>
      <c r="BK100" s="32"/>
      <c r="BL100" s="31"/>
      <c r="BM100" s="32"/>
      <c r="BN100" s="31"/>
      <c r="BO100" s="32"/>
      <c r="BP100" s="31"/>
      <c r="BQ100" s="32"/>
      <c r="BR100" s="31"/>
      <c r="BS100" s="32"/>
      <c r="BT100" s="31"/>
      <c r="BU100" s="32"/>
      <c r="BV100" s="31"/>
      <c r="BW100" s="32"/>
      <c r="BX100" s="31"/>
      <c r="BY100" s="32"/>
      <c r="BZ100" s="31"/>
      <c r="CA100" s="32"/>
      <c r="CB100" s="31"/>
      <c r="CC100" s="32"/>
      <c r="CD100" s="31"/>
      <c r="CE100" s="32"/>
      <c r="CF100" s="31"/>
      <c r="CG100" s="32"/>
      <c r="CH100" s="31"/>
      <c r="CI100" s="32"/>
      <c r="CJ100" s="31"/>
      <c r="CK100" s="32"/>
      <c r="CL100" s="31"/>
      <c r="CM100" s="32"/>
      <c r="CN100" s="31"/>
      <c r="CO100" s="32"/>
      <c r="CP100" s="31"/>
      <c r="CQ100" s="32"/>
      <c r="CR100" s="31"/>
      <c r="CS100" s="32"/>
      <c r="CT100" s="31"/>
      <c r="CU100" s="32"/>
      <c r="CV100" s="31"/>
      <c r="CW100" s="32"/>
      <c r="CX100" s="31"/>
      <c r="CY100" s="32"/>
      <c r="CZ100" s="31"/>
      <c r="DA100" s="32"/>
      <c r="DB100" s="31"/>
      <c r="DC100" s="32"/>
      <c r="DD100" s="31"/>
      <c r="DE100" s="32"/>
      <c r="DF100" s="31"/>
      <c r="DG100" s="32"/>
      <c r="DH100" s="31"/>
      <c r="DI100" s="32"/>
      <c r="DJ100" s="31"/>
      <c r="DK100" s="32"/>
      <c r="DL100" s="31"/>
      <c r="DM100" s="32"/>
      <c r="DN100" s="31"/>
      <c r="DO100" s="32"/>
      <c r="DP100" s="31"/>
      <c r="DQ100" s="32"/>
      <c r="DR100" s="31"/>
      <c r="DS100" s="32"/>
      <c r="DT100" s="31"/>
      <c r="DU100" s="32"/>
      <c r="DV100" s="31"/>
      <c r="DW100" s="32"/>
      <c r="DX100" s="31"/>
      <c r="DY100" s="32"/>
      <c r="DZ100" s="31"/>
      <c r="EA100" s="32"/>
      <c r="EB100" s="31"/>
      <c r="EC100" s="32"/>
      <c r="ED100" s="31"/>
      <c r="EE100" s="32"/>
      <c r="EF100" s="31"/>
      <c r="EG100" s="32"/>
      <c r="EH100" s="31"/>
      <c r="EI100" s="32"/>
      <c r="EJ100" s="31"/>
      <c r="EK100" s="32"/>
      <c r="EL100" s="31"/>
      <c r="EM100" s="32"/>
      <c r="EN100" s="31"/>
      <c r="EO100" s="32"/>
      <c r="EP100" s="31"/>
      <c r="EQ100" s="32"/>
      <c r="ER100" s="31"/>
      <c r="ES100" s="32"/>
      <c r="ET100" s="31"/>
      <c r="EU100" s="32"/>
      <c r="EV100" s="31"/>
      <c r="EW100" s="32"/>
      <c r="EX100" s="31"/>
      <c r="EY100" s="32"/>
      <c r="EZ100" s="31"/>
      <c r="FA100" s="32"/>
      <c r="FB100" s="31"/>
      <c r="FC100" s="32"/>
      <c r="FD100" s="31"/>
      <c r="FE100" s="32"/>
      <c r="FF100" s="62"/>
      <c r="FG100" s="63"/>
      <c r="FH100" s="62"/>
      <c r="FI100" s="63"/>
      <c r="FJ100" s="62"/>
      <c r="FK100" s="63"/>
      <c r="FL100" s="62"/>
      <c r="FM100" s="63"/>
      <c r="FN100" s="62"/>
      <c r="FO100" s="63"/>
      <c r="FP100" s="62"/>
      <c r="FQ100" s="63"/>
      <c r="FR100" s="62"/>
      <c r="FS100" s="63"/>
      <c r="FT100" s="62"/>
      <c r="FU100" s="63"/>
      <c r="FV100" s="62"/>
      <c r="FW100" s="63"/>
      <c r="FX100" s="62"/>
      <c r="FY100" s="63"/>
      <c r="FZ100" s="62"/>
      <c r="GA100" s="63"/>
      <c r="GB100" s="62"/>
      <c r="GC100" s="63"/>
      <c r="GD100" s="62"/>
      <c r="GE100" s="63"/>
      <c r="GF100" s="62"/>
      <c r="GG100" s="63"/>
      <c r="GH100" s="62"/>
      <c r="GI100" s="63"/>
      <c r="GJ100" s="62"/>
      <c r="GK100" s="63"/>
      <c r="GL100" s="62"/>
      <c r="GM100" s="63"/>
      <c r="GN100" s="62"/>
      <c r="GO100" s="63"/>
      <c r="GP100" s="62"/>
      <c r="GQ100" s="63"/>
      <c r="GR100" s="62"/>
      <c r="GS100" s="63"/>
      <c r="GT100" s="62"/>
      <c r="GU100" s="63"/>
      <c r="GV100" s="62"/>
      <c r="GW100" s="63"/>
      <c r="GX100" s="62"/>
      <c r="GY100" s="63"/>
      <c r="GZ100" s="62"/>
      <c r="HA100" s="63"/>
      <c r="HB100" s="62"/>
      <c r="HC100" s="63"/>
      <c r="HD100" s="62"/>
      <c r="HE100" s="63"/>
      <c r="HF100" s="62"/>
      <c r="HG100" s="63"/>
      <c r="HH100" s="62"/>
      <c r="HI100" s="63"/>
      <c r="HJ100" s="62"/>
      <c r="HK100" s="63"/>
      <c r="HL100" s="62"/>
      <c r="HM100" s="63"/>
      <c r="HN100" s="62"/>
      <c r="HO100" s="63"/>
      <c r="HP100" s="62"/>
      <c r="HQ100" s="63"/>
      <c r="HR100" s="62"/>
      <c r="HS100" s="63"/>
      <c r="HT100" s="62"/>
      <c r="HU100" s="63"/>
      <c r="HV100" s="62"/>
      <c r="HW100" s="63"/>
      <c r="HX100" s="62"/>
      <c r="HY100" s="63"/>
      <c r="HZ100" s="62"/>
      <c r="IA100" s="63"/>
      <c r="IB100" s="62"/>
      <c r="IC100" s="63"/>
      <c r="ID100" s="62"/>
      <c r="IE100" s="63"/>
      <c r="IF100" s="62"/>
      <c r="IG100" s="63"/>
      <c r="IH100" s="62"/>
      <c r="II100" s="63"/>
      <c r="IJ100" s="62"/>
      <c r="IK100" s="63"/>
      <c r="IL100" s="62"/>
      <c r="IM100" s="63"/>
      <c r="IN100" s="62"/>
      <c r="IO100" s="63"/>
      <c r="IP100" s="62"/>
      <c r="IQ100" s="63"/>
      <c r="IR100" s="62"/>
      <c r="IS100" s="63"/>
      <c r="IT100" s="62"/>
      <c r="IU100" s="63"/>
      <c r="IV100" s="62"/>
      <c r="IW100" s="63"/>
      <c r="IX100" s="62"/>
      <c r="IY100" s="63"/>
      <c r="IZ100" s="62"/>
      <c r="JA100" s="63"/>
      <c r="JB100" s="62"/>
      <c r="JC100" s="63"/>
      <c r="JD100" s="62"/>
      <c r="JE100" s="63"/>
      <c r="JF100" s="62"/>
      <c r="JG100" s="63"/>
      <c r="JH100" s="62"/>
      <c r="JI100" s="63"/>
      <c r="JJ100" s="62"/>
      <c r="JK100" s="63"/>
      <c r="JL100" s="62"/>
      <c r="JM100" s="63"/>
      <c r="JN100" s="62"/>
      <c r="JO100" s="63"/>
      <c r="JP100" s="62"/>
      <c r="JQ100" s="63"/>
      <c r="JR100" s="62"/>
      <c r="JS100" s="63"/>
      <c r="JT100" s="62"/>
      <c r="JU100" s="63"/>
      <c r="JV100" s="62"/>
      <c r="JW100" s="63"/>
      <c r="JX100" s="62"/>
      <c r="JY100" s="63"/>
      <c r="JZ100" s="62" t="s">
        <v>66</v>
      </c>
      <c r="KA100" s="63"/>
      <c r="KB100" s="62" t="s">
        <v>66</v>
      </c>
      <c r="KC100" s="63"/>
      <c r="KD100" s="62" t="s">
        <v>38</v>
      </c>
      <c r="KE100" s="63"/>
      <c r="KF100" s="62" t="s">
        <v>38</v>
      </c>
      <c r="KG100" s="63"/>
      <c r="KH100" s="62" t="s">
        <v>36</v>
      </c>
      <c r="KI100" s="63"/>
      <c r="KJ100" s="62" t="s">
        <v>36</v>
      </c>
      <c r="KK100" s="63"/>
      <c r="KL100" s="62" t="s">
        <v>36</v>
      </c>
      <c r="KM100" s="63"/>
      <c r="KN100" s="62" t="s">
        <v>36</v>
      </c>
      <c r="KO100" s="63"/>
      <c r="KP100" s="62" t="s">
        <v>36</v>
      </c>
      <c r="KQ100" s="63"/>
      <c r="KR100" s="62" t="s">
        <v>36</v>
      </c>
      <c r="KS100" s="63"/>
      <c r="KT100" s="62" t="s">
        <v>36</v>
      </c>
      <c r="KU100" s="63"/>
      <c r="KV100" s="62" t="s">
        <v>36</v>
      </c>
      <c r="KW100" s="63"/>
      <c r="KX100" s="62" t="s">
        <v>36</v>
      </c>
      <c r="KY100" s="63"/>
      <c r="KZ100" s="62" t="s">
        <v>36</v>
      </c>
      <c r="LA100" s="63"/>
      <c r="LB100" s="62" t="s">
        <v>36</v>
      </c>
      <c r="LC100" s="63"/>
      <c r="LD100" s="62" t="s">
        <v>37</v>
      </c>
      <c r="LE100" s="63"/>
      <c r="LF100" s="62" t="s">
        <v>37</v>
      </c>
      <c r="LG100" s="63"/>
      <c r="LH100" s="62" t="s">
        <v>37</v>
      </c>
      <c r="LI100" s="63"/>
      <c r="LJ100" s="62" t="s">
        <v>37</v>
      </c>
      <c r="LK100" s="63"/>
      <c r="LL100" s="62" t="s">
        <v>37</v>
      </c>
      <c r="LM100" s="63"/>
      <c r="LN100" s="62" t="s">
        <v>37</v>
      </c>
      <c r="LO100" s="63"/>
      <c r="LP100" s="62" t="s">
        <v>37</v>
      </c>
      <c r="LQ100" s="63"/>
      <c r="LR100" s="62" t="s">
        <v>37</v>
      </c>
      <c r="LS100" s="63"/>
      <c r="LT100" s="62" t="s">
        <v>37</v>
      </c>
      <c r="LU100" s="63"/>
      <c r="LV100" s="62"/>
      <c r="LW100" s="63"/>
      <c r="LX100" s="62"/>
      <c r="LY100" s="63"/>
      <c r="LZ100" s="62"/>
      <c r="MA100" s="63"/>
      <c r="MB100" s="62"/>
      <c r="MC100" s="63"/>
      <c r="MD100" s="62"/>
      <c r="ME100" s="63"/>
      <c r="MF100" s="62"/>
      <c r="MG100" s="63"/>
      <c r="MH100" s="62"/>
      <c r="MI100" s="63"/>
      <c r="MJ100" s="62"/>
      <c r="MK100" s="63"/>
      <c r="ML100" s="62"/>
      <c r="MM100" s="63"/>
      <c r="MN100" s="62"/>
      <c r="MO100" s="63"/>
      <c r="MP100" s="62"/>
      <c r="MQ100" s="63"/>
      <c r="MR100" s="62"/>
      <c r="MS100" s="63"/>
      <c r="MT100" s="62"/>
      <c r="MU100" s="63"/>
      <c r="MV100" s="62"/>
      <c r="MW100" s="63"/>
      <c r="MX100" s="62"/>
      <c r="MY100" s="63"/>
      <c r="MZ100" s="62"/>
      <c r="NA100" s="63"/>
      <c r="NB100" s="62"/>
      <c r="NC100" s="63"/>
      <c r="ND100" s="62"/>
      <c r="NE100" s="63"/>
      <c r="NF100" s="62"/>
      <c r="NG100" s="63"/>
      <c r="NH100" s="62"/>
      <c r="NI100" s="63"/>
      <c r="NJ100" s="62"/>
      <c r="NK100" s="63"/>
      <c r="NL100" s="62"/>
      <c r="NM100" s="63"/>
      <c r="NN100" s="62"/>
      <c r="NO100" s="63"/>
      <c r="NP100" s="62"/>
      <c r="NQ100" s="63"/>
      <c r="NR100" s="62"/>
      <c r="NS100" s="63"/>
      <c r="NT100" s="62"/>
      <c r="NU100" s="63"/>
      <c r="NV100" s="62"/>
      <c r="NW100" s="63"/>
      <c r="NX100" s="62"/>
      <c r="NY100" s="63"/>
      <c r="NZ100" s="62"/>
      <c r="OA100" s="63"/>
      <c r="OB100" s="62"/>
      <c r="OC100" s="63"/>
      <c r="OD100" s="62"/>
      <c r="OE100" s="63"/>
      <c r="OF100" s="62"/>
      <c r="OG100" s="63"/>
      <c r="OH100" s="62"/>
      <c r="OI100" s="63"/>
      <c r="OJ100" s="62"/>
      <c r="OK100" s="63"/>
      <c r="OL100" s="62"/>
      <c r="OM100" s="63"/>
      <c r="ON100" s="62"/>
      <c r="OO100" s="63"/>
      <c r="OP100" s="62"/>
      <c r="OQ100" s="63"/>
      <c r="OR100" s="62"/>
      <c r="OS100" s="63"/>
      <c r="OT100" s="62"/>
      <c r="OU100" s="63"/>
      <c r="OV100" s="62"/>
      <c r="OW100" s="63"/>
      <c r="OX100" s="62"/>
      <c r="OY100" s="63"/>
      <c r="OZ100" s="62"/>
      <c r="PA100" s="63"/>
      <c r="PB100" s="62"/>
      <c r="PC100" s="63"/>
      <c r="PD100" s="62"/>
      <c r="PE100" s="63"/>
      <c r="PF100" s="62"/>
      <c r="PG100" s="63"/>
      <c r="PH100" s="62"/>
      <c r="PI100" s="63"/>
      <c r="PJ100" s="62"/>
      <c r="PK100" s="63"/>
      <c r="PL100" s="62"/>
      <c r="PM100" s="63"/>
      <c r="PN100" s="62"/>
      <c r="PO100" s="63"/>
      <c r="PP100" s="62"/>
      <c r="PQ100" s="63"/>
      <c r="PR100" s="62"/>
      <c r="PS100" s="63"/>
      <c r="PT100" s="62"/>
      <c r="PU100" s="63"/>
      <c r="PV100" s="62"/>
      <c r="PW100" s="63"/>
      <c r="PX100" s="62"/>
      <c r="PY100" s="63"/>
      <c r="PZ100" s="62"/>
      <c r="QA100" s="63"/>
      <c r="QB100" s="62"/>
      <c r="QC100" s="63"/>
      <c r="QD100" s="62"/>
      <c r="QE100" s="63"/>
      <c r="QF100" s="62"/>
      <c r="QG100" s="63"/>
      <c r="QH100" s="62"/>
      <c r="QI100" s="63"/>
      <c r="QJ100" s="62"/>
      <c r="QK100" s="63"/>
      <c r="QL100" s="62"/>
      <c r="QM100" s="63"/>
      <c r="QN100" s="62"/>
      <c r="QO100" s="63"/>
      <c r="QP100" s="62"/>
      <c r="QQ100" s="63"/>
      <c r="QR100" s="62"/>
      <c r="QS100" s="63"/>
      <c r="QT100" s="62"/>
      <c r="QU100" s="63"/>
      <c r="QV100" s="62"/>
      <c r="QW100" s="63"/>
      <c r="QX100" s="62"/>
      <c r="QY100" s="63"/>
      <c r="QZ100" s="62"/>
      <c r="RA100" s="63"/>
      <c r="RB100" s="62"/>
      <c r="RC100" s="63"/>
      <c r="RD100" s="31"/>
    </row>
    <row r="101" spans="1:472" s="5" customFormat="1" x14ac:dyDescent="0.25">
      <c r="A101" s="5">
        <v>2117</v>
      </c>
      <c r="B101" s="5" t="s">
        <v>1585</v>
      </c>
      <c r="C101" s="5" t="s">
        <v>1562</v>
      </c>
      <c r="D101" s="5">
        <v>104</v>
      </c>
      <c r="E101" s="36"/>
      <c r="F101" s="5" t="s">
        <v>1586</v>
      </c>
      <c r="I101" s="31"/>
      <c r="J101" s="32"/>
      <c r="K101" s="31"/>
      <c r="L101" s="32"/>
      <c r="M101" s="31"/>
      <c r="N101" s="32"/>
      <c r="O101" s="31"/>
      <c r="P101" s="32"/>
      <c r="Q101" s="31"/>
      <c r="R101" s="32"/>
      <c r="S101" s="31"/>
      <c r="T101" s="32"/>
      <c r="X101" s="31"/>
      <c r="Y101" s="32"/>
      <c r="Z101" s="31"/>
      <c r="AA101" s="32"/>
      <c r="AB101" s="31"/>
      <c r="AC101" s="32"/>
      <c r="AD101" s="31"/>
      <c r="AE101" s="32"/>
      <c r="AF101" s="31"/>
      <c r="AG101" s="32"/>
      <c r="AH101" s="31"/>
      <c r="AI101" s="32"/>
      <c r="AJ101" s="31"/>
      <c r="AK101" s="32"/>
      <c r="AL101" s="31"/>
      <c r="AM101" s="32"/>
      <c r="AN101" s="31"/>
      <c r="AO101" s="32"/>
      <c r="AP101" s="31"/>
      <c r="AQ101" s="32"/>
      <c r="AR101" s="31"/>
      <c r="AS101" s="32"/>
      <c r="AT101" s="31"/>
      <c r="AU101" s="32"/>
      <c r="AV101" s="31"/>
      <c r="AW101" s="32"/>
      <c r="AX101" s="31"/>
      <c r="AY101" s="32"/>
      <c r="AZ101" s="31"/>
      <c r="BA101" s="32"/>
      <c r="BB101" s="31"/>
      <c r="BC101" s="32"/>
      <c r="BD101" s="31"/>
      <c r="BE101" s="32"/>
      <c r="BF101" s="31"/>
      <c r="BG101" s="32"/>
      <c r="BH101" s="31"/>
      <c r="BI101" s="32"/>
      <c r="BJ101" s="31"/>
      <c r="BK101" s="32"/>
      <c r="BL101" s="31"/>
      <c r="BM101" s="32"/>
      <c r="BN101" s="31"/>
      <c r="BO101" s="32"/>
      <c r="BP101" s="31"/>
      <c r="BQ101" s="32"/>
      <c r="BR101" s="31"/>
      <c r="BS101" s="32"/>
      <c r="BT101" s="31"/>
      <c r="BU101" s="32"/>
      <c r="BV101" s="31"/>
      <c r="BW101" s="32"/>
      <c r="BX101" s="31"/>
      <c r="BY101" s="32"/>
      <c r="BZ101" s="31"/>
      <c r="CA101" s="32"/>
      <c r="CB101" s="31"/>
      <c r="CC101" s="32"/>
      <c r="CD101" s="31"/>
      <c r="CE101" s="32"/>
      <c r="CF101" s="31"/>
      <c r="CG101" s="32"/>
      <c r="CH101" s="31"/>
      <c r="CI101" s="32"/>
      <c r="CJ101" s="31"/>
      <c r="CK101" s="32"/>
      <c r="CL101" s="31"/>
      <c r="CM101" s="32"/>
      <c r="CN101" s="31"/>
      <c r="CO101" s="32"/>
      <c r="CP101" s="31"/>
      <c r="CQ101" s="32"/>
      <c r="CR101" s="31"/>
      <c r="CS101" s="32"/>
      <c r="CT101" s="31"/>
      <c r="CU101" s="32"/>
      <c r="CV101" s="31"/>
      <c r="CW101" s="32"/>
      <c r="CX101" s="31"/>
      <c r="CY101" s="32"/>
      <c r="CZ101" s="31"/>
      <c r="DA101" s="32"/>
      <c r="DB101" s="31"/>
      <c r="DC101" s="32"/>
      <c r="DD101" s="31"/>
      <c r="DE101" s="32"/>
      <c r="DF101" s="31"/>
      <c r="DG101" s="32"/>
      <c r="DH101" s="31"/>
      <c r="DI101" s="32"/>
      <c r="DJ101" s="31"/>
      <c r="DK101" s="32"/>
      <c r="DL101" s="31"/>
      <c r="DM101" s="32"/>
      <c r="DN101" s="31"/>
      <c r="DO101" s="32"/>
      <c r="DP101" s="31"/>
      <c r="DQ101" s="32"/>
      <c r="DR101" s="31"/>
      <c r="DS101" s="32"/>
      <c r="DT101" s="31"/>
      <c r="DU101" s="32"/>
      <c r="DV101" s="31"/>
      <c r="DW101" s="32"/>
      <c r="DX101" s="31"/>
      <c r="DY101" s="32"/>
      <c r="DZ101" s="31"/>
      <c r="EA101" s="32"/>
      <c r="EB101" s="31"/>
      <c r="EC101" s="32"/>
      <c r="ED101" s="31"/>
      <c r="EE101" s="32"/>
      <c r="EF101" s="31"/>
      <c r="EG101" s="32"/>
      <c r="EH101" s="31"/>
      <c r="EI101" s="32"/>
      <c r="EJ101" s="31"/>
      <c r="EK101" s="32"/>
      <c r="EL101" s="31"/>
      <c r="EM101" s="32"/>
      <c r="EN101" s="31"/>
      <c r="EO101" s="32"/>
      <c r="EP101" s="31"/>
      <c r="EQ101" s="32"/>
      <c r="ER101" s="31"/>
      <c r="ES101" s="32"/>
      <c r="ET101" s="31"/>
      <c r="EU101" s="32"/>
      <c r="EV101" s="31"/>
      <c r="EW101" s="32"/>
      <c r="EX101" s="31"/>
      <c r="EY101" s="32"/>
      <c r="EZ101" s="31"/>
      <c r="FA101" s="32"/>
      <c r="FB101" s="31"/>
      <c r="FC101" s="32"/>
      <c r="FD101" s="31"/>
      <c r="FE101" s="32"/>
      <c r="FF101" s="62"/>
      <c r="FG101" s="63"/>
      <c r="FH101" s="62"/>
      <c r="FI101" s="63"/>
      <c r="FJ101" s="62"/>
      <c r="FK101" s="63"/>
      <c r="FL101" s="62"/>
      <c r="FM101" s="63"/>
      <c r="FN101" s="62"/>
      <c r="FO101" s="63"/>
      <c r="FP101" s="62"/>
      <c r="FQ101" s="63"/>
      <c r="FR101" s="62"/>
      <c r="FS101" s="63"/>
      <c r="FT101" s="62"/>
      <c r="FU101" s="63"/>
      <c r="FV101" s="62"/>
      <c r="FW101" s="63"/>
      <c r="FX101" s="62"/>
      <c r="FY101" s="63"/>
      <c r="FZ101" s="62"/>
      <c r="GA101" s="63"/>
      <c r="GB101" s="62"/>
      <c r="GC101" s="63"/>
      <c r="GD101" s="62"/>
      <c r="GE101" s="63"/>
      <c r="GF101" s="62"/>
      <c r="GG101" s="63"/>
      <c r="GH101" s="62"/>
      <c r="GI101" s="63"/>
      <c r="GJ101" s="62"/>
      <c r="GK101" s="63"/>
      <c r="GL101" s="62"/>
      <c r="GM101" s="63"/>
      <c r="GN101" s="62"/>
      <c r="GO101" s="63"/>
      <c r="GP101" s="62"/>
      <c r="GQ101" s="63"/>
      <c r="GR101" s="62"/>
      <c r="GS101" s="63"/>
      <c r="GT101" s="62"/>
      <c r="GU101" s="63"/>
      <c r="GV101" s="62"/>
      <c r="GW101" s="63"/>
      <c r="GX101" s="62"/>
      <c r="GY101" s="63"/>
      <c r="GZ101" s="62"/>
      <c r="HA101" s="63"/>
      <c r="HB101" s="62"/>
      <c r="HC101" s="63"/>
      <c r="HD101" s="62"/>
      <c r="HE101" s="63"/>
      <c r="HF101" s="62"/>
      <c r="HG101" s="63"/>
      <c r="HH101" s="62"/>
      <c r="HI101" s="63"/>
      <c r="HJ101" s="62"/>
      <c r="HK101" s="63"/>
      <c r="HL101" s="62"/>
      <c r="HM101" s="63"/>
      <c r="HN101" s="62"/>
      <c r="HO101" s="63"/>
      <c r="HP101" s="62"/>
      <c r="HQ101" s="63"/>
      <c r="HR101" s="62"/>
      <c r="HS101" s="63"/>
      <c r="HT101" s="62"/>
      <c r="HU101" s="63"/>
      <c r="HV101" s="62"/>
      <c r="HW101" s="63"/>
      <c r="HX101" s="62"/>
      <c r="HY101" s="63"/>
      <c r="HZ101" s="62"/>
      <c r="IA101" s="63"/>
      <c r="IB101" s="62"/>
      <c r="IC101" s="63"/>
      <c r="ID101" s="62"/>
      <c r="IE101" s="63"/>
      <c r="IF101" s="62"/>
      <c r="IG101" s="63"/>
      <c r="IH101" s="62"/>
      <c r="II101" s="63"/>
      <c r="IJ101" s="62"/>
      <c r="IK101" s="63"/>
      <c r="IL101" s="62"/>
      <c r="IM101" s="63"/>
      <c r="IN101" s="62"/>
      <c r="IO101" s="63"/>
      <c r="IP101" s="62"/>
      <c r="IQ101" s="63"/>
      <c r="IR101" s="62"/>
      <c r="IS101" s="63"/>
      <c r="IT101" s="62"/>
      <c r="IU101" s="63"/>
      <c r="IV101" s="62"/>
      <c r="IW101" s="63"/>
      <c r="IX101" s="62"/>
      <c r="IY101" s="63"/>
      <c r="IZ101" s="62"/>
      <c r="JA101" s="63"/>
      <c r="JB101" s="62"/>
      <c r="JC101" s="63"/>
      <c r="JD101" s="62"/>
      <c r="JE101" s="63"/>
      <c r="JF101" s="62"/>
      <c r="JG101" s="63"/>
      <c r="JH101" s="62"/>
      <c r="JI101" s="63"/>
      <c r="JJ101" s="62"/>
      <c r="JK101" s="63"/>
      <c r="JL101" s="62"/>
      <c r="JM101" s="63"/>
      <c r="JN101" s="62"/>
      <c r="JO101" s="63"/>
      <c r="JP101" s="62"/>
      <c r="JQ101" s="63"/>
      <c r="JR101" s="62"/>
      <c r="JS101" s="63"/>
      <c r="JT101" s="62"/>
      <c r="JU101" s="63"/>
      <c r="JV101" s="62"/>
      <c r="JW101" s="63"/>
      <c r="JX101" s="62"/>
      <c r="JY101" s="63"/>
      <c r="JZ101" s="62"/>
      <c r="KA101" s="63"/>
      <c r="KB101" s="62" t="s">
        <v>66</v>
      </c>
      <c r="KC101" s="63"/>
      <c r="KD101" s="62" t="s">
        <v>66</v>
      </c>
      <c r="KE101" s="63"/>
      <c r="KF101" s="62" t="s">
        <v>38</v>
      </c>
      <c r="KG101" s="63"/>
      <c r="KH101" s="62" t="s">
        <v>38</v>
      </c>
      <c r="KI101" s="63"/>
      <c r="KJ101" s="62" t="s">
        <v>36</v>
      </c>
      <c r="KK101" s="63"/>
      <c r="KL101" s="62" t="s">
        <v>36</v>
      </c>
      <c r="KM101" s="63"/>
      <c r="KN101" s="62" t="s">
        <v>36</v>
      </c>
      <c r="KO101" s="63"/>
      <c r="KP101" s="62" t="s">
        <v>36</v>
      </c>
      <c r="KQ101" s="63"/>
      <c r="KR101" s="62" t="s">
        <v>36</v>
      </c>
      <c r="KS101" s="63"/>
      <c r="KT101" s="62" t="s">
        <v>36</v>
      </c>
      <c r="KU101" s="63"/>
      <c r="KV101" s="62" t="s">
        <v>36</v>
      </c>
      <c r="KW101" s="63"/>
      <c r="KX101" s="62" t="s">
        <v>36</v>
      </c>
      <c r="KY101" s="63"/>
      <c r="KZ101" s="62" t="s">
        <v>36</v>
      </c>
      <c r="LA101" s="63"/>
      <c r="LB101" s="62" t="s">
        <v>36</v>
      </c>
      <c r="LC101" s="63"/>
      <c r="LD101" s="62" t="s">
        <v>36</v>
      </c>
      <c r="LE101" s="63"/>
      <c r="LF101" s="62" t="s">
        <v>37</v>
      </c>
      <c r="LG101" s="63"/>
      <c r="LH101" s="62" t="s">
        <v>37</v>
      </c>
      <c r="LI101" s="63"/>
      <c r="LJ101" s="62" t="s">
        <v>37</v>
      </c>
      <c r="LK101" s="63"/>
      <c r="LL101" s="62" t="s">
        <v>37</v>
      </c>
      <c r="LM101" s="63"/>
      <c r="LN101" s="62" t="s">
        <v>37</v>
      </c>
      <c r="LO101" s="63"/>
      <c r="LP101" s="62" t="s">
        <v>37</v>
      </c>
      <c r="LQ101" s="63"/>
      <c r="LR101" s="62" t="s">
        <v>37</v>
      </c>
      <c r="LS101" s="63"/>
      <c r="LT101" s="62" t="s">
        <v>37</v>
      </c>
      <c r="LU101" s="63"/>
      <c r="LV101" s="62" t="s">
        <v>37</v>
      </c>
      <c r="LW101" s="63"/>
      <c r="LX101" s="62" t="s">
        <v>37</v>
      </c>
      <c r="LY101" s="63"/>
      <c r="LZ101" s="62"/>
      <c r="MA101" s="63"/>
      <c r="MB101" s="62"/>
      <c r="MC101" s="63"/>
      <c r="MD101" s="62"/>
      <c r="ME101" s="63"/>
      <c r="MF101" s="62"/>
      <c r="MG101" s="63"/>
      <c r="MH101" s="62"/>
      <c r="MI101" s="63"/>
      <c r="MJ101" s="62"/>
      <c r="MK101" s="63"/>
      <c r="ML101" s="62"/>
      <c r="MM101" s="63"/>
      <c r="MN101" s="62"/>
      <c r="MO101" s="63"/>
      <c r="MP101" s="62"/>
      <c r="MQ101" s="63"/>
      <c r="MR101" s="62"/>
      <c r="MS101" s="63"/>
      <c r="MT101" s="62"/>
      <c r="MU101" s="63"/>
      <c r="MV101" s="62"/>
      <c r="MW101" s="63"/>
      <c r="MX101" s="62"/>
      <c r="MY101" s="63"/>
      <c r="MZ101" s="62"/>
      <c r="NA101" s="63"/>
      <c r="NB101" s="62"/>
      <c r="NC101" s="63"/>
      <c r="ND101" s="62"/>
      <c r="NE101" s="63"/>
      <c r="NF101" s="62"/>
      <c r="NG101" s="63"/>
      <c r="NH101" s="62"/>
      <c r="NI101" s="63"/>
      <c r="NJ101" s="62"/>
      <c r="NK101" s="63"/>
      <c r="NL101" s="62"/>
      <c r="NM101" s="63"/>
      <c r="NN101" s="62"/>
      <c r="NO101" s="63"/>
      <c r="NP101" s="62"/>
      <c r="NQ101" s="63"/>
      <c r="NR101" s="62"/>
      <c r="NS101" s="63"/>
      <c r="NT101" s="62"/>
      <c r="NU101" s="63"/>
      <c r="NV101" s="62"/>
      <c r="NW101" s="63"/>
      <c r="NX101" s="62"/>
      <c r="NY101" s="63"/>
      <c r="NZ101" s="62"/>
      <c r="OA101" s="63"/>
      <c r="OB101" s="62"/>
      <c r="OC101" s="63"/>
      <c r="OD101" s="62"/>
      <c r="OE101" s="63"/>
      <c r="OF101" s="62"/>
      <c r="OG101" s="63"/>
      <c r="OH101" s="62"/>
      <c r="OI101" s="63"/>
      <c r="OJ101" s="62"/>
      <c r="OK101" s="63"/>
      <c r="OL101" s="62"/>
      <c r="OM101" s="63"/>
      <c r="ON101" s="62"/>
      <c r="OO101" s="63"/>
      <c r="OP101" s="62"/>
      <c r="OQ101" s="63"/>
      <c r="OR101" s="62"/>
      <c r="OS101" s="63"/>
      <c r="OT101" s="62"/>
      <c r="OU101" s="63"/>
      <c r="OV101" s="62"/>
      <c r="OW101" s="63"/>
      <c r="OX101" s="62"/>
      <c r="OY101" s="63"/>
      <c r="OZ101" s="62"/>
      <c r="PA101" s="63"/>
      <c r="PB101" s="62"/>
      <c r="PC101" s="63"/>
      <c r="PD101" s="62"/>
      <c r="PE101" s="63"/>
      <c r="PF101" s="62"/>
      <c r="PG101" s="63"/>
      <c r="PH101" s="62"/>
      <c r="PI101" s="63"/>
      <c r="PJ101" s="62"/>
      <c r="PK101" s="63"/>
      <c r="PL101" s="62"/>
      <c r="PM101" s="63"/>
      <c r="PN101" s="62"/>
      <c r="PO101" s="63"/>
      <c r="PP101" s="62"/>
      <c r="PQ101" s="63"/>
      <c r="PR101" s="62"/>
      <c r="PS101" s="63"/>
      <c r="PT101" s="62"/>
      <c r="PU101" s="63"/>
      <c r="PV101" s="62"/>
      <c r="PW101" s="63"/>
      <c r="PX101" s="62"/>
      <c r="PY101" s="63"/>
      <c r="PZ101" s="62"/>
      <c r="QA101" s="63"/>
      <c r="QB101" s="62"/>
      <c r="QC101" s="63"/>
      <c r="QD101" s="62"/>
      <c r="QE101" s="63"/>
      <c r="QF101" s="62"/>
      <c r="QG101" s="63"/>
      <c r="QH101" s="62"/>
      <c r="QI101" s="63"/>
      <c r="QJ101" s="62"/>
      <c r="QK101" s="63"/>
      <c r="QL101" s="62"/>
      <c r="QM101" s="63"/>
      <c r="QN101" s="62"/>
      <c r="QO101" s="63"/>
      <c r="QP101" s="62"/>
      <c r="QQ101" s="63"/>
      <c r="QR101" s="62"/>
      <c r="QS101" s="63"/>
      <c r="QT101" s="62"/>
      <c r="QU101" s="63"/>
      <c r="QV101" s="62"/>
      <c r="QW101" s="63"/>
      <c r="QX101" s="62"/>
      <c r="QY101" s="63"/>
      <c r="QZ101" s="62"/>
      <c r="RA101" s="63"/>
      <c r="RB101" s="62"/>
      <c r="RC101" s="63"/>
      <c r="RD101" s="31"/>
    </row>
    <row r="102" spans="1:472" s="5" customFormat="1" x14ac:dyDescent="0.25">
      <c r="A102" s="5">
        <v>2106</v>
      </c>
      <c r="B102" s="5" t="s">
        <v>1342</v>
      </c>
      <c r="C102" s="5" t="s">
        <v>5</v>
      </c>
      <c r="D102" s="5">
        <v>146</v>
      </c>
      <c r="E102" s="36"/>
      <c r="F102" s="5" t="s">
        <v>1624</v>
      </c>
      <c r="I102" s="31"/>
      <c r="J102" s="32"/>
      <c r="K102" s="31"/>
      <c r="L102" s="32"/>
      <c r="M102" s="31"/>
      <c r="N102" s="32"/>
      <c r="O102" s="31"/>
      <c r="P102" s="32"/>
      <c r="Q102" s="31"/>
      <c r="R102" s="32"/>
      <c r="S102" s="31"/>
      <c r="T102" s="32"/>
      <c r="X102" s="31"/>
      <c r="Y102" s="32"/>
      <c r="Z102" s="31"/>
      <c r="AA102" s="32"/>
      <c r="AB102" s="31"/>
      <c r="AC102" s="32"/>
      <c r="AD102" s="31"/>
      <c r="AE102" s="32"/>
      <c r="AF102" s="31"/>
      <c r="AG102" s="32"/>
      <c r="AH102" s="31"/>
      <c r="AI102" s="32"/>
      <c r="AJ102" s="31"/>
      <c r="AK102" s="32"/>
      <c r="AL102" s="31"/>
      <c r="AM102" s="32"/>
      <c r="AN102" s="31"/>
      <c r="AO102" s="32"/>
      <c r="AP102" s="31"/>
      <c r="AQ102" s="32"/>
      <c r="AR102" s="31"/>
      <c r="AS102" s="32"/>
      <c r="AT102" s="31"/>
      <c r="AU102" s="32"/>
      <c r="AV102" s="31"/>
      <c r="AW102" s="32"/>
      <c r="AX102" s="31"/>
      <c r="AY102" s="32"/>
      <c r="AZ102" s="31"/>
      <c r="BA102" s="32"/>
      <c r="BB102" s="31"/>
      <c r="BC102" s="32"/>
      <c r="BD102" s="31"/>
      <c r="BE102" s="32"/>
      <c r="BF102" s="31"/>
      <c r="BG102" s="32"/>
      <c r="BH102" s="31"/>
      <c r="BI102" s="32"/>
      <c r="BJ102" s="31"/>
      <c r="BK102" s="32"/>
      <c r="BL102" s="31"/>
      <c r="BM102" s="32"/>
      <c r="BN102" s="31"/>
      <c r="BO102" s="32"/>
      <c r="BP102" s="31"/>
      <c r="BQ102" s="32"/>
      <c r="BR102" s="31"/>
      <c r="BS102" s="32"/>
      <c r="BT102" s="31"/>
      <c r="BU102" s="32"/>
      <c r="BV102" s="31"/>
      <c r="BW102" s="32"/>
      <c r="BX102" s="31"/>
      <c r="BY102" s="32"/>
      <c r="BZ102" s="31"/>
      <c r="CA102" s="32"/>
      <c r="CB102" s="31"/>
      <c r="CC102" s="32"/>
      <c r="CD102" s="31"/>
      <c r="CE102" s="32"/>
      <c r="CF102" s="31"/>
      <c r="CG102" s="32"/>
      <c r="CH102" s="31"/>
      <c r="CI102" s="32"/>
      <c r="CJ102" s="31"/>
      <c r="CK102" s="32"/>
      <c r="CL102" s="31"/>
      <c r="CM102" s="32"/>
      <c r="CN102" s="31"/>
      <c r="CO102" s="32"/>
      <c r="CP102" s="31"/>
      <c r="CQ102" s="32"/>
      <c r="CR102" s="31"/>
      <c r="CS102" s="32"/>
      <c r="CT102" s="31"/>
      <c r="CU102" s="32"/>
      <c r="CV102" s="31"/>
      <c r="CW102" s="32"/>
      <c r="CX102" s="31"/>
      <c r="CY102" s="32"/>
      <c r="CZ102" s="31"/>
      <c r="DA102" s="32"/>
      <c r="DB102" s="31"/>
      <c r="DC102" s="32"/>
      <c r="DD102" s="31"/>
      <c r="DE102" s="32"/>
      <c r="DF102" s="31"/>
      <c r="DG102" s="32"/>
      <c r="DH102" s="31"/>
      <c r="DI102" s="32"/>
      <c r="DJ102" s="31"/>
      <c r="DK102" s="32"/>
      <c r="DL102" s="31"/>
      <c r="DM102" s="32"/>
      <c r="DN102" s="31"/>
      <c r="DO102" s="32"/>
      <c r="DP102" s="31"/>
      <c r="DQ102" s="32"/>
      <c r="DR102" s="31"/>
      <c r="DS102" s="32"/>
      <c r="DT102" s="31"/>
      <c r="DU102" s="32"/>
      <c r="DV102" s="31"/>
      <c r="DW102" s="32"/>
      <c r="DX102" s="31"/>
      <c r="DY102" s="32"/>
      <c r="DZ102" s="31"/>
      <c r="EA102" s="32"/>
      <c r="EB102" s="31"/>
      <c r="EC102" s="32"/>
      <c r="ED102" s="31"/>
      <c r="EE102" s="32"/>
      <c r="EF102" s="31"/>
      <c r="EG102" s="32"/>
      <c r="EH102" s="31"/>
      <c r="EI102" s="32"/>
      <c r="EJ102" s="31"/>
      <c r="EK102" s="32"/>
      <c r="EL102" s="31"/>
      <c r="EM102" s="32"/>
      <c r="EN102" s="31"/>
      <c r="EO102" s="32"/>
      <c r="EP102" s="31"/>
      <c r="EQ102" s="32"/>
      <c r="ER102" s="31"/>
      <c r="ES102" s="32"/>
      <c r="ET102" s="31"/>
      <c r="EU102" s="32"/>
      <c r="EV102" s="31"/>
      <c r="EW102" s="32"/>
      <c r="EX102" s="31"/>
      <c r="EY102" s="32"/>
      <c r="EZ102" s="31"/>
      <c r="FA102" s="32"/>
      <c r="FB102" s="31"/>
      <c r="FC102" s="32"/>
      <c r="FD102" s="31"/>
      <c r="FE102" s="32"/>
      <c r="FF102" s="62"/>
      <c r="FG102" s="63"/>
      <c r="FH102" s="62"/>
      <c r="FI102" s="63"/>
      <c r="FJ102" s="62"/>
      <c r="FK102" s="63"/>
      <c r="FL102" s="62"/>
      <c r="FM102" s="63"/>
      <c r="FN102" s="62"/>
      <c r="FO102" s="63"/>
      <c r="FP102" s="62"/>
      <c r="FQ102" s="63"/>
      <c r="FR102" s="62"/>
      <c r="FS102" s="63"/>
      <c r="FT102" s="62"/>
      <c r="FU102" s="63"/>
      <c r="FV102" s="62"/>
      <c r="FW102" s="63"/>
      <c r="FX102" s="62"/>
      <c r="FY102" s="63"/>
      <c r="FZ102" s="62"/>
      <c r="GA102" s="63"/>
      <c r="GB102" s="62"/>
      <c r="GC102" s="63"/>
      <c r="GD102" s="62"/>
      <c r="GE102" s="63"/>
      <c r="GF102" s="62"/>
      <c r="GG102" s="63"/>
      <c r="GH102" s="62"/>
      <c r="GI102" s="63"/>
      <c r="GJ102" s="62"/>
      <c r="GK102" s="63"/>
      <c r="GL102" s="62"/>
      <c r="GM102" s="63"/>
      <c r="GN102" s="62"/>
      <c r="GO102" s="63"/>
      <c r="GP102" s="62"/>
      <c r="GQ102" s="63"/>
      <c r="GR102" s="62"/>
      <c r="GS102" s="63"/>
      <c r="GT102" s="62"/>
      <c r="GU102" s="63"/>
      <c r="GV102" s="62"/>
      <c r="GW102" s="63"/>
      <c r="GX102" s="62"/>
      <c r="GY102" s="63"/>
      <c r="GZ102" s="62"/>
      <c r="HA102" s="63"/>
      <c r="HB102" s="62"/>
      <c r="HC102" s="63"/>
      <c r="HD102" s="62"/>
      <c r="HE102" s="63"/>
      <c r="HF102" s="62"/>
      <c r="HG102" s="63"/>
      <c r="HH102" s="62"/>
      <c r="HI102" s="63"/>
      <c r="HJ102" s="62"/>
      <c r="HK102" s="63"/>
      <c r="HL102" s="62"/>
      <c r="HM102" s="63"/>
      <c r="HN102" s="62"/>
      <c r="HO102" s="63"/>
      <c r="HP102" s="62"/>
      <c r="HQ102" s="63"/>
      <c r="HR102" s="62"/>
      <c r="HS102" s="63"/>
      <c r="HT102" s="62"/>
      <c r="HU102" s="63"/>
      <c r="HV102" s="62"/>
      <c r="HW102" s="63"/>
      <c r="HX102" s="62"/>
      <c r="HY102" s="63"/>
      <c r="HZ102" s="62"/>
      <c r="IA102" s="63"/>
      <c r="IB102" s="62"/>
      <c r="IC102" s="63"/>
      <c r="ID102" s="62"/>
      <c r="IE102" s="63"/>
      <c r="IF102" s="62"/>
      <c r="IG102" s="63"/>
      <c r="IH102" s="62"/>
      <c r="II102" s="63"/>
      <c r="IJ102" s="62"/>
      <c r="IK102" s="63"/>
      <c r="IL102" s="62"/>
      <c r="IM102" s="63"/>
      <c r="IN102" s="62"/>
      <c r="IO102" s="63"/>
      <c r="IP102" s="62"/>
      <c r="IQ102" s="63"/>
      <c r="IR102" s="62"/>
      <c r="IS102" s="63"/>
      <c r="IT102" s="62"/>
      <c r="IU102" s="63"/>
      <c r="IV102" s="62"/>
      <c r="IW102" s="63"/>
      <c r="IX102" s="62"/>
      <c r="IY102" s="63"/>
      <c r="IZ102" s="62"/>
      <c r="JA102" s="63"/>
      <c r="JB102" s="62"/>
      <c r="JC102" s="63"/>
      <c r="JD102" s="62"/>
      <c r="JE102" s="63"/>
      <c r="JF102" s="62"/>
      <c r="JG102" s="63"/>
      <c r="JH102" s="62"/>
      <c r="JI102" s="63"/>
      <c r="JJ102" s="62"/>
      <c r="JK102" s="63"/>
      <c r="JL102" s="62"/>
      <c r="JM102" s="63"/>
      <c r="JN102" s="62"/>
      <c r="JO102" s="63"/>
      <c r="JP102" s="62"/>
      <c r="JQ102" s="63"/>
      <c r="JR102" s="62"/>
      <c r="JS102" s="63"/>
      <c r="JT102" s="62"/>
      <c r="JU102" s="63"/>
      <c r="JV102" s="62"/>
      <c r="JW102" s="63"/>
      <c r="JX102" s="62"/>
      <c r="JY102" s="63"/>
      <c r="JZ102" s="62"/>
      <c r="KA102" s="63"/>
      <c r="KB102" s="62"/>
      <c r="KC102" s="63"/>
      <c r="KD102" s="62" t="s">
        <v>66</v>
      </c>
      <c r="KE102" s="63"/>
      <c r="KF102" s="62" t="s">
        <v>66</v>
      </c>
      <c r="KG102" s="63"/>
      <c r="KH102" s="62" t="s">
        <v>38</v>
      </c>
      <c r="KI102" s="63"/>
      <c r="KJ102" s="62" t="s">
        <v>38</v>
      </c>
      <c r="KK102" s="63"/>
      <c r="KL102" s="62" t="s">
        <v>36</v>
      </c>
      <c r="KM102" s="63"/>
      <c r="KN102" s="62" t="s">
        <v>36</v>
      </c>
      <c r="KO102" s="63"/>
      <c r="KP102" s="62" t="s">
        <v>36</v>
      </c>
      <c r="KQ102" s="63"/>
      <c r="KR102" s="62" t="s">
        <v>36</v>
      </c>
      <c r="KS102" s="63"/>
      <c r="KT102" s="62" t="s">
        <v>36</v>
      </c>
      <c r="KU102" s="63"/>
      <c r="KV102" s="62" t="s">
        <v>36</v>
      </c>
      <c r="KW102" s="63"/>
      <c r="KX102" s="62" t="s">
        <v>36</v>
      </c>
      <c r="KY102" s="63"/>
      <c r="KZ102" s="62" t="s">
        <v>36</v>
      </c>
      <c r="LA102" s="63"/>
      <c r="LB102" s="62" t="s">
        <v>36</v>
      </c>
      <c r="LC102" s="63"/>
      <c r="LD102" s="62" t="s">
        <v>36</v>
      </c>
      <c r="LE102" s="63"/>
      <c r="LF102" s="62" t="s">
        <v>36</v>
      </c>
      <c r="LG102" s="63"/>
      <c r="LH102" s="62" t="s">
        <v>37</v>
      </c>
      <c r="LI102" s="63"/>
      <c r="LJ102" s="62" t="s">
        <v>37</v>
      </c>
      <c r="LK102" s="63"/>
      <c r="LL102" s="62" t="s">
        <v>37</v>
      </c>
      <c r="LM102" s="63"/>
      <c r="LN102" s="62" t="s">
        <v>37</v>
      </c>
      <c r="LO102" s="63"/>
      <c r="LP102" s="62" t="s">
        <v>37</v>
      </c>
      <c r="LQ102" s="63"/>
      <c r="LR102" s="62" t="s">
        <v>37</v>
      </c>
      <c r="LS102" s="63"/>
      <c r="LT102" s="62" t="s">
        <v>37</v>
      </c>
      <c r="LU102" s="63"/>
      <c r="LV102" s="62" t="s">
        <v>37</v>
      </c>
      <c r="LW102" s="63"/>
      <c r="LX102" s="62" t="s">
        <v>37</v>
      </c>
      <c r="LY102" s="63"/>
      <c r="LZ102" s="62"/>
      <c r="MA102" s="63"/>
      <c r="MB102" s="62"/>
      <c r="MC102" s="63"/>
      <c r="MD102" s="62"/>
      <c r="ME102" s="63"/>
      <c r="MF102" s="62"/>
      <c r="MG102" s="63"/>
      <c r="MH102" s="62"/>
      <c r="MI102" s="63"/>
      <c r="MJ102" s="62"/>
      <c r="MK102" s="63"/>
      <c r="ML102" s="62"/>
      <c r="MM102" s="63"/>
      <c r="MN102" s="62"/>
      <c r="MO102" s="63"/>
      <c r="MP102" s="62"/>
      <c r="MQ102" s="63"/>
      <c r="MR102" s="62"/>
      <c r="MS102" s="63"/>
      <c r="MT102" s="62"/>
      <c r="MU102" s="63"/>
      <c r="MV102" s="62"/>
      <c r="MW102" s="63"/>
      <c r="MX102" s="62"/>
      <c r="MY102" s="63"/>
      <c r="MZ102" s="62"/>
      <c r="NA102" s="63"/>
      <c r="NB102" s="62"/>
      <c r="NC102" s="63"/>
      <c r="ND102" s="62"/>
      <c r="NE102" s="63"/>
      <c r="NF102" s="62"/>
      <c r="NG102" s="63"/>
      <c r="NH102" s="62"/>
      <c r="NI102" s="63"/>
      <c r="NJ102" s="62"/>
      <c r="NK102" s="63"/>
      <c r="NL102" s="62"/>
      <c r="NM102" s="63"/>
      <c r="NN102" s="62"/>
      <c r="NO102" s="63"/>
      <c r="NP102" s="62"/>
      <c r="NQ102" s="63"/>
      <c r="NR102" s="62"/>
      <c r="NS102" s="63"/>
      <c r="NT102" s="62"/>
      <c r="NU102" s="63"/>
      <c r="NV102" s="62"/>
      <c r="NW102" s="63"/>
      <c r="NX102" s="62"/>
      <c r="NY102" s="63"/>
      <c r="NZ102" s="62"/>
      <c r="OA102" s="63"/>
      <c r="OB102" s="62"/>
      <c r="OC102" s="63"/>
      <c r="OD102" s="62"/>
      <c r="OE102" s="63"/>
      <c r="OF102" s="62"/>
      <c r="OG102" s="63"/>
      <c r="OH102" s="62"/>
      <c r="OI102" s="63"/>
      <c r="OJ102" s="62"/>
      <c r="OK102" s="63"/>
      <c r="OL102" s="62"/>
      <c r="OM102" s="63"/>
      <c r="ON102" s="62"/>
      <c r="OO102" s="63"/>
      <c r="OP102" s="62"/>
      <c r="OQ102" s="63"/>
      <c r="OR102" s="62"/>
      <c r="OS102" s="63"/>
      <c r="OT102" s="62"/>
      <c r="OU102" s="63"/>
      <c r="OV102" s="62"/>
      <c r="OW102" s="63"/>
      <c r="OX102" s="62"/>
      <c r="OY102" s="63"/>
      <c r="OZ102" s="62"/>
      <c r="PA102" s="63"/>
      <c r="PB102" s="62"/>
      <c r="PC102" s="63"/>
      <c r="PD102" s="62"/>
      <c r="PE102" s="63"/>
      <c r="PF102" s="62"/>
      <c r="PG102" s="63"/>
      <c r="PH102" s="62"/>
      <c r="PI102" s="63"/>
      <c r="PJ102" s="62"/>
      <c r="PK102" s="63"/>
      <c r="PL102" s="62"/>
      <c r="PM102" s="63"/>
      <c r="PN102" s="62"/>
      <c r="PO102" s="63"/>
      <c r="PP102" s="62"/>
      <c r="PQ102" s="63"/>
      <c r="PR102" s="62"/>
      <c r="PS102" s="63"/>
      <c r="PT102" s="62"/>
      <c r="PU102" s="63"/>
      <c r="PV102" s="62"/>
      <c r="PW102" s="63"/>
      <c r="PX102" s="62"/>
      <c r="PY102" s="63"/>
      <c r="PZ102" s="62"/>
      <c r="QA102" s="63"/>
      <c r="QB102" s="62"/>
      <c r="QC102" s="63"/>
      <c r="QD102" s="62"/>
      <c r="QE102" s="63"/>
      <c r="QF102" s="62"/>
      <c r="QG102" s="63"/>
      <c r="QH102" s="62"/>
      <c r="QI102" s="63"/>
      <c r="QJ102" s="62"/>
      <c r="QK102" s="63"/>
      <c r="QL102" s="62"/>
      <c r="QM102" s="63"/>
      <c r="QN102" s="62"/>
      <c r="QO102" s="63"/>
      <c r="QP102" s="62"/>
      <c r="QQ102" s="63"/>
      <c r="QR102" s="62"/>
      <c r="QS102" s="63"/>
      <c r="QT102" s="62"/>
      <c r="QU102" s="63"/>
      <c r="QV102" s="62"/>
      <c r="QW102" s="63"/>
      <c r="QX102" s="62"/>
      <c r="QY102" s="63"/>
      <c r="QZ102" s="62"/>
      <c r="RA102" s="63"/>
      <c r="RB102" s="62"/>
      <c r="RC102" s="63"/>
      <c r="RD102" s="31"/>
    </row>
    <row r="103" spans="1:472" s="5" customFormat="1" x14ac:dyDescent="0.25">
      <c r="A103" s="48">
        <v>2115</v>
      </c>
      <c r="B103" s="48" t="s">
        <v>1545</v>
      </c>
      <c r="C103" s="48" t="s">
        <v>5</v>
      </c>
      <c r="D103" s="48">
        <v>201</v>
      </c>
      <c r="E103" s="49"/>
      <c r="F103" s="48" t="s">
        <v>1625</v>
      </c>
      <c r="I103" s="31"/>
      <c r="J103" s="32"/>
      <c r="K103" s="31"/>
      <c r="L103" s="32"/>
      <c r="M103" s="31"/>
      <c r="N103" s="32"/>
      <c r="O103" s="31"/>
      <c r="P103" s="32"/>
      <c r="Q103" s="31"/>
      <c r="R103" s="32"/>
      <c r="S103" s="31"/>
      <c r="T103" s="32"/>
      <c r="X103" s="31"/>
      <c r="Y103" s="32"/>
      <c r="Z103" s="31"/>
      <c r="AA103" s="32"/>
      <c r="AB103" s="31"/>
      <c r="AC103" s="32"/>
      <c r="AD103" s="31"/>
      <c r="AE103" s="32"/>
      <c r="AF103" s="31"/>
      <c r="AG103" s="32"/>
      <c r="AH103" s="31"/>
      <c r="AI103" s="32"/>
      <c r="AJ103" s="31"/>
      <c r="AK103" s="32"/>
      <c r="AL103" s="31"/>
      <c r="AM103" s="32"/>
      <c r="AN103" s="31"/>
      <c r="AO103" s="32"/>
      <c r="AP103" s="31"/>
      <c r="AQ103" s="32"/>
      <c r="AR103" s="31"/>
      <c r="AS103" s="32"/>
      <c r="AT103" s="31"/>
      <c r="AU103" s="32"/>
      <c r="AV103" s="31"/>
      <c r="AW103" s="32"/>
      <c r="AX103" s="31"/>
      <c r="AY103" s="32"/>
      <c r="AZ103" s="31"/>
      <c r="BA103" s="32"/>
      <c r="BB103" s="31"/>
      <c r="BC103" s="32"/>
      <c r="BD103" s="31"/>
      <c r="BE103" s="32"/>
      <c r="BF103" s="31"/>
      <c r="BG103" s="32"/>
      <c r="BH103" s="31"/>
      <c r="BI103" s="32"/>
      <c r="BJ103" s="31"/>
      <c r="BK103" s="32"/>
      <c r="BL103" s="31"/>
      <c r="BM103" s="32"/>
      <c r="BN103" s="31"/>
      <c r="BO103" s="32"/>
      <c r="BP103" s="31"/>
      <c r="BQ103" s="32"/>
      <c r="BR103" s="31"/>
      <c r="BS103" s="32"/>
      <c r="BT103" s="31"/>
      <c r="BU103" s="32"/>
      <c r="BV103" s="31"/>
      <c r="BW103" s="32"/>
      <c r="BX103" s="31"/>
      <c r="BY103" s="32"/>
      <c r="BZ103" s="31"/>
      <c r="CA103" s="32"/>
      <c r="CB103" s="31"/>
      <c r="CC103" s="32"/>
      <c r="CD103" s="31"/>
      <c r="CE103" s="32"/>
      <c r="CF103" s="31"/>
      <c r="CG103" s="32"/>
      <c r="CH103" s="31"/>
      <c r="CI103" s="32"/>
      <c r="CJ103" s="31"/>
      <c r="CK103" s="32"/>
      <c r="CL103" s="31"/>
      <c r="CM103" s="32"/>
      <c r="CN103" s="31"/>
      <c r="CO103" s="32"/>
      <c r="CP103" s="31"/>
      <c r="CQ103" s="32"/>
      <c r="CR103" s="31"/>
      <c r="CS103" s="32"/>
      <c r="CT103" s="31"/>
      <c r="CU103" s="32"/>
      <c r="CV103" s="31"/>
      <c r="CW103" s="32"/>
      <c r="CX103" s="31"/>
      <c r="CY103" s="32"/>
      <c r="CZ103" s="31"/>
      <c r="DA103" s="32"/>
      <c r="DB103" s="31"/>
      <c r="DC103" s="32"/>
      <c r="DD103" s="31"/>
      <c r="DE103" s="32"/>
      <c r="DF103" s="31"/>
      <c r="DG103" s="32"/>
      <c r="DH103" s="31"/>
      <c r="DI103" s="32"/>
      <c r="DJ103" s="31"/>
      <c r="DK103" s="32"/>
      <c r="DL103" s="31"/>
      <c r="DM103" s="32"/>
      <c r="DN103" s="31"/>
      <c r="DO103" s="32"/>
      <c r="DP103" s="31"/>
      <c r="DQ103" s="32"/>
      <c r="DR103" s="31"/>
      <c r="DS103" s="32"/>
      <c r="DT103" s="31"/>
      <c r="DU103" s="32"/>
      <c r="DV103" s="31"/>
      <c r="DW103" s="32"/>
      <c r="DX103" s="31"/>
      <c r="DY103" s="32"/>
      <c r="DZ103" s="31"/>
      <c r="EA103" s="32"/>
      <c r="EB103" s="31"/>
      <c r="EC103" s="32"/>
      <c r="ED103" s="31"/>
      <c r="EE103" s="32"/>
      <c r="EF103" s="31"/>
      <c r="EG103" s="32"/>
      <c r="EH103" s="31"/>
      <c r="EI103" s="32"/>
      <c r="EJ103" s="31"/>
      <c r="EK103" s="32"/>
      <c r="EL103" s="31"/>
      <c r="EM103" s="32"/>
      <c r="EN103" s="31"/>
      <c r="EO103" s="32"/>
      <c r="EP103" s="31"/>
      <c r="EQ103" s="32"/>
      <c r="ER103" s="31"/>
      <c r="ES103" s="32"/>
      <c r="ET103" s="31"/>
      <c r="EU103" s="32"/>
      <c r="EV103" s="31"/>
      <c r="EW103" s="32"/>
      <c r="EX103" s="31"/>
      <c r="EY103" s="32"/>
      <c r="EZ103" s="31"/>
      <c r="FA103" s="32"/>
      <c r="FB103" s="31"/>
      <c r="FC103" s="32"/>
      <c r="FD103" s="31"/>
      <c r="FE103" s="32"/>
      <c r="FF103" s="62"/>
      <c r="FG103" s="63"/>
      <c r="FH103" s="62"/>
      <c r="FI103" s="63"/>
      <c r="FJ103" s="62"/>
      <c r="FK103" s="63"/>
      <c r="FL103" s="62"/>
      <c r="FM103" s="63"/>
      <c r="FN103" s="62"/>
      <c r="FO103" s="63"/>
      <c r="FP103" s="62"/>
      <c r="FQ103" s="63"/>
      <c r="FR103" s="62"/>
      <c r="FS103" s="63"/>
      <c r="FT103" s="62"/>
      <c r="FU103" s="63"/>
      <c r="FV103" s="62"/>
      <c r="FW103" s="63"/>
      <c r="FX103" s="62"/>
      <c r="FY103" s="63"/>
      <c r="FZ103" s="62"/>
      <c r="GA103" s="63"/>
      <c r="GB103" s="62"/>
      <c r="GC103" s="63"/>
      <c r="GD103" s="62"/>
      <c r="GE103" s="63"/>
      <c r="GF103" s="62"/>
      <c r="GG103" s="63"/>
      <c r="GH103" s="62"/>
      <c r="GI103" s="63"/>
      <c r="GJ103" s="62"/>
      <c r="GK103" s="63"/>
      <c r="GL103" s="62"/>
      <c r="GM103" s="63"/>
      <c r="GN103" s="62"/>
      <c r="GO103" s="63"/>
      <c r="GP103" s="62"/>
      <c r="GQ103" s="63"/>
      <c r="GR103" s="62"/>
      <c r="GS103" s="63"/>
      <c r="GT103" s="62"/>
      <c r="GU103" s="63"/>
      <c r="GV103" s="62"/>
      <c r="GW103" s="63"/>
      <c r="GX103" s="62"/>
      <c r="GY103" s="63"/>
      <c r="GZ103" s="62"/>
      <c r="HA103" s="63"/>
      <c r="HB103" s="62"/>
      <c r="HC103" s="63"/>
      <c r="HD103" s="62"/>
      <c r="HE103" s="63"/>
      <c r="HF103" s="62"/>
      <c r="HG103" s="63"/>
      <c r="HH103" s="62"/>
      <c r="HI103" s="63"/>
      <c r="HJ103" s="62"/>
      <c r="HK103" s="63"/>
      <c r="HL103" s="62"/>
      <c r="HM103" s="63"/>
      <c r="HN103" s="62"/>
      <c r="HO103" s="63"/>
      <c r="HP103" s="62"/>
      <c r="HQ103" s="63"/>
      <c r="HR103" s="62"/>
      <c r="HS103" s="63"/>
      <c r="HT103" s="62"/>
      <c r="HU103" s="63"/>
      <c r="HV103" s="62"/>
      <c r="HW103" s="63"/>
      <c r="HX103" s="62"/>
      <c r="HY103" s="63"/>
      <c r="HZ103" s="62"/>
      <c r="IA103" s="63"/>
      <c r="IB103" s="62"/>
      <c r="IC103" s="63"/>
      <c r="ID103" s="62"/>
      <c r="IE103" s="63"/>
      <c r="IF103" s="62"/>
      <c r="IG103" s="63"/>
      <c r="IH103" s="62"/>
      <c r="II103" s="63"/>
      <c r="IJ103" s="62"/>
      <c r="IK103" s="63"/>
      <c r="IL103" s="62"/>
      <c r="IM103" s="63"/>
      <c r="IN103" s="62"/>
      <c r="IO103" s="63"/>
      <c r="IP103" s="62"/>
      <c r="IQ103" s="63"/>
      <c r="IR103" s="62"/>
      <c r="IS103" s="63"/>
      <c r="IT103" s="62"/>
      <c r="IU103" s="63"/>
      <c r="IV103" s="62"/>
      <c r="IW103" s="63"/>
      <c r="IX103" s="62"/>
      <c r="IY103" s="63"/>
      <c r="IZ103" s="62"/>
      <c r="JA103" s="63"/>
      <c r="JB103" s="62"/>
      <c r="JC103" s="63"/>
      <c r="JD103" s="62"/>
      <c r="JE103" s="63"/>
      <c r="JF103" s="62"/>
      <c r="JG103" s="63"/>
      <c r="JH103" s="62"/>
      <c r="JI103" s="63"/>
      <c r="JJ103" s="62"/>
      <c r="JK103" s="63"/>
      <c r="JL103" s="62"/>
      <c r="JM103" s="63"/>
      <c r="JN103" s="62"/>
      <c r="JO103" s="63"/>
      <c r="JP103" s="62"/>
      <c r="JQ103" s="63"/>
      <c r="JR103" s="62"/>
      <c r="JS103" s="63"/>
      <c r="JT103" s="62"/>
      <c r="JU103" s="63"/>
      <c r="JV103" s="62"/>
      <c r="JW103" s="63"/>
      <c r="JX103" s="62"/>
      <c r="JY103" s="63"/>
      <c r="JZ103" s="62"/>
      <c r="KA103" s="63"/>
      <c r="KB103" s="62"/>
      <c r="KC103" s="63"/>
      <c r="KD103" s="62"/>
      <c r="KE103" s="63"/>
      <c r="KF103" s="62" t="s">
        <v>66</v>
      </c>
      <c r="KG103" s="63"/>
      <c r="KH103" s="62" t="s">
        <v>66</v>
      </c>
      <c r="KI103" s="63"/>
      <c r="KJ103" s="62" t="s">
        <v>38</v>
      </c>
      <c r="KK103" s="63"/>
      <c r="KL103" s="62" t="s">
        <v>38</v>
      </c>
      <c r="KM103" s="63"/>
      <c r="KN103" s="62" t="s">
        <v>36</v>
      </c>
      <c r="KO103" s="63"/>
      <c r="KP103" s="62" t="s">
        <v>36</v>
      </c>
      <c r="KQ103" s="63"/>
      <c r="KR103" s="62" t="s">
        <v>36</v>
      </c>
      <c r="KS103" s="63"/>
      <c r="KT103" s="62" t="s">
        <v>36</v>
      </c>
      <c r="KU103" s="63"/>
      <c r="KV103" s="62" t="s">
        <v>36</v>
      </c>
      <c r="KW103" s="63"/>
      <c r="KX103" s="62" t="s">
        <v>36</v>
      </c>
      <c r="KY103" s="63"/>
      <c r="KZ103" s="62" t="s">
        <v>36</v>
      </c>
      <c r="LA103" s="63"/>
      <c r="LB103" s="62" t="s">
        <v>36</v>
      </c>
      <c r="LC103" s="63"/>
      <c r="LD103" s="62" t="s">
        <v>36</v>
      </c>
      <c r="LE103" s="63"/>
      <c r="LF103" s="62" t="s">
        <v>36</v>
      </c>
      <c r="LG103" s="63"/>
      <c r="LH103" s="62" t="s">
        <v>36</v>
      </c>
      <c r="LI103" s="63"/>
      <c r="LJ103" s="62" t="s">
        <v>37</v>
      </c>
      <c r="LK103" s="63"/>
      <c r="LL103" s="62" t="s">
        <v>37</v>
      </c>
      <c r="LM103" s="63"/>
      <c r="LN103" s="62" t="s">
        <v>37</v>
      </c>
      <c r="LO103" s="63"/>
      <c r="LP103" s="62" t="s">
        <v>37</v>
      </c>
      <c r="LQ103" s="63"/>
      <c r="LR103" s="62" t="s">
        <v>37</v>
      </c>
      <c r="LS103" s="63"/>
      <c r="LT103" s="62" t="s">
        <v>37</v>
      </c>
      <c r="LU103" s="63"/>
      <c r="LV103" s="62" t="s">
        <v>37</v>
      </c>
      <c r="LW103" s="63"/>
      <c r="LX103" s="62" t="s">
        <v>37</v>
      </c>
      <c r="LY103" s="63"/>
      <c r="LZ103" s="62" t="s">
        <v>37</v>
      </c>
      <c r="MA103" s="63"/>
      <c r="MB103" s="62"/>
      <c r="MC103" s="63"/>
      <c r="MD103" s="62"/>
      <c r="ME103" s="63"/>
      <c r="MF103" s="62"/>
      <c r="MG103" s="63"/>
      <c r="MH103" s="62"/>
      <c r="MI103" s="63"/>
      <c r="MJ103" s="62"/>
      <c r="MK103" s="63"/>
      <c r="ML103" s="62"/>
      <c r="MM103" s="63"/>
      <c r="MN103" s="62"/>
      <c r="MO103" s="63"/>
      <c r="MP103" s="62"/>
      <c r="MQ103" s="63"/>
      <c r="MR103" s="62"/>
      <c r="MS103" s="63"/>
      <c r="MT103" s="62"/>
      <c r="MU103" s="63"/>
      <c r="MV103" s="62"/>
      <c r="MW103" s="63"/>
      <c r="MX103" s="62"/>
      <c r="MY103" s="63"/>
      <c r="MZ103" s="62"/>
      <c r="NA103" s="63"/>
      <c r="NB103" s="62"/>
      <c r="NC103" s="63"/>
      <c r="ND103" s="62"/>
      <c r="NE103" s="63"/>
      <c r="NF103" s="62"/>
      <c r="NG103" s="63"/>
      <c r="NH103" s="62"/>
      <c r="NI103" s="63"/>
      <c r="NJ103" s="62"/>
      <c r="NK103" s="63"/>
      <c r="NL103" s="62"/>
      <c r="NM103" s="63"/>
      <c r="NN103" s="62"/>
      <c r="NO103" s="63"/>
      <c r="NP103" s="62"/>
      <c r="NQ103" s="63"/>
      <c r="NR103" s="62"/>
      <c r="NS103" s="63"/>
      <c r="NT103" s="62"/>
      <c r="NU103" s="63"/>
      <c r="NV103" s="62"/>
      <c r="NW103" s="63"/>
      <c r="NX103" s="62"/>
      <c r="NY103" s="63"/>
      <c r="NZ103" s="62"/>
      <c r="OA103" s="63"/>
      <c r="OB103" s="62"/>
      <c r="OC103" s="63"/>
      <c r="OD103" s="62"/>
      <c r="OE103" s="63"/>
      <c r="OF103" s="62"/>
      <c r="OG103" s="63"/>
      <c r="OH103" s="62"/>
      <c r="OI103" s="63"/>
      <c r="OJ103" s="62"/>
      <c r="OK103" s="63"/>
      <c r="OL103" s="62"/>
      <c r="OM103" s="63"/>
      <c r="ON103" s="62"/>
      <c r="OO103" s="63"/>
      <c r="OP103" s="62"/>
      <c r="OQ103" s="63"/>
      <c r="OR103" s="62"/>
      <c r="OS103" s="63"/>
      <c r="OT103" s="62"/>
      <c r="OU103" s="63"/>
      <c r="OV103" s="62"/>
      <c r="OW103" s="63"/>
      <c r="OX103" s="62"/>
      <c r="OY103" s="63"/>
      <c r="OZ103" s="62"/>
      <c r="PA103" s="63"/>
      <c r="PB103" s="62"/>
      <c r="PC103" s="63"/>
      <c r="PD103" s="62"/>
      <c r="PE103" s="63"/>
      <c r="PF103" s="62"/>
      <c r="PG103" s="63"/>
      <c r="PH103" s="62"/>
      <c r="PI103" s="63"/>
      <c r="PJ103" s="62"/>
      <c r="PK103" s="63"/>
      <c r="PL103" s="62"/>
      <c r="PM103" s="63"/>
      <c r="PN103" s="62"/>
      <c r="PO103" s="63"/>
      <c r="PP103" s="62"/>
      <c r="PQ103" s="63"/>
      <c r="PR103" s="62"/>
      <c r="PS103" s="63"/>
      <c r="PT103" s="62"/>
      <c r="PU103" s="63"/>
      <c r="PV103" s="62"/>
      <c r="PW103" s="63"/>
      <c r="PX103" s="62"/>
      <c r="PY103" s="63"/>
      <c r="PZ103" s="62"/>
      <c r="QA103" s="63"/>
      <c r="QB103" s="62"/>
      <c r="QC103" s="63"/>
      <c r="QD103" s="62"/>
      <c r="QE103" s="63"/>
      <c r="QF103" s="62"/>
      <c r="QG103" s="63"/>
      <c r="QH103" s="62"/>
      <c r="QI103" s="63"/>
      <c r="QJ103" s="62"/>
      <c r="QK103" s="63"/>
      <c r="QL103" s="62"/>
      <c r="QM103" s="63"/>
      <c r="QN103" s="62"/>
      <c r="QO103" s="63"/>
      <c r="QP103" s="62"/>
      <c r="QQ103" s="63"/>
      <c r="QR103" s="62"/>
      <c r="QS103" s="63"/>
      <c r="QT103" s="62"/>
      <c r="QU103" s="63"/>
      <c r="QV103" s="62"/>
      <c r="QW103" s="63"/>
      <c r="QX103" s="62"/>
      <c r="QY103" s="63"/>
      <c r="QZ103" s="62"/>
      <c r="RA103" s="63"/>
      <c r="RB103" s="62"/>
      <c r="RC103" s="63"/>
      <c r="RD103" s="31"/>
    </row>
    <row r="104" spans="1:472" s="5" customFormat="1" x14ac:dyDescent="0.25">
      <c r="A104" s="5">
        <v>2118</v>
      </c>
      <c r="B104" s="5" t="s">
        <v>1174</v>
      </c>
      <c r="C104" s="5" t="s">
        <v>4</v>
      </c>
      <c r="D104" s="5">
        <v>406</v>
      </c>
      <c r="E104" s="36"/>
      <c r="F104" s="5" t="s">
        <v>1600</v>
      </c>
      <c r="I104" s="31"/>
      <c r="J104" s="32"/>
      <c r="K104" s="31"/>
      <c r="L104" s="32"/>
      <c r="M104" s="31"/>
      <c r="N104" s="32"/>
      <c r="O104" s="31"/>
      <c r="P104" s="32"/>
      <c r="Q104" s="31"/>
      <c r="R104" s="32"/>
      <c r="S104" s="31"/>
      <c r="T104" s="32"/>
      <c r="X104" s="31"/>
      <c r="Y104" s="32"/>
      <c r="Z104" s="31"/>
      <c r="AA104" s="32"/>
      <c r="AB104" s="31"/>
      <c r="AC104" s="32"/>
      <c r="AD104" s="31"/>
      <c r="AE104" s="32"/>
      <c r="AF104" s="31"/>
      <c r="AG104" s="32"/>
      <c r="AH104" s="31"/>
      <c r="AI104" s="32"/>
      <c r="AJ104" s="31"/>
      <c r="AK104" s="32"/>
      <c r="AL104" s="31"/>
      <c r="AM104" s="32"/>
      <c r="AN104" s="31"/>
      <c r="AO104" s="32"/>
      <c r="AP104" s="31"/>
      <c r="AQ104" s="32"/>
      <c r="AR104" s="31"/>
      <c r="AS104" s="32"/>
      <c r="AT104" s="31"/>
      <c r="AU104" s="32"/>
      <c r="AV104" s="31"/>
      <c r="AW104" s="32"/>
      <c r="AX104" s="31"/>
      <c r="AY104" s="32"/>
      <c r="AZ104" s="31"/>
      <c r="BA104" s="32"/>
      <c r="BB104" s="31"/>
      <c r="BC104" s="32"/>
      <c r="BD104" s="31"/>
      <c r="BE104" s="32"/>
      <c r="BF104" s="31"/>
      <c r="BG104" s="32"/>
      <c r="BH104" s="31"/>
      <c r="BI104" s="32"/>
      <c r="BJ104" s="31"/>
      <c r="BK104" s="32"/>
      <c r="BL104" s="31"/>
      <c r="BM104" s="32"/>
      <c r="BN104" s="31"/>
      <c r="BO104" s="32"/>
      <c r="BP104" s="31"/>
      <c r="BQ104" s="32"/>
      <c r="BR104" s="31"/>
      <c r="BS104" s="32"/>
      <c r="BT104" s="31"/>
      <c r="BU104" s="32"/>
      <c r="BV104" s="31"/>
      <c r="BW104" s="32"/>
      <c r="BX104" s="31"/>
      <c r="BY104" s="32"/>
      <c r="BZ104" s="31"/>
      <c r="CA104" s="32"/>
      <c r="CB104" s="31"/>
      <c r="CC104" s="32"/>
      <c r="CD104" s="31"/>
      <c r="CE104" s="32"/>
      <c r="CF104" s="31"/>
      <c r="CG104" s="32"/>
      <c r="CH104" s="31"/>
      <c r="CI104" s="32"/>
      <c r="CJ104" s="31"/>
      <c r="CK104" s="32"/>
      <c r="CL104" s="31"/>
      <c r="CM104" s="32"/>
      <c r="CN104" s="31"/>
      <c r="CO104" s="32"/>
      <c r="CP104" s="31"/>
      <c r="CQ104" s="32"/>
      <c r="CR104" s="31"/>
      <c r="CS104" s="32"/>
      <c r="CT104" s="31"/>
      <c r="CU104" s="32"/>
      <c r="CV104" s="31"/>
      <c r="CW104" s="32"/>
      <c r="CX104" s="31"/>
      <c r="CY104" s="32"/>
      <c r="CZ104" s="31"/>
      <c r="DA104" s="32"/>
      <c r="DB104" s="31"/>
      <c r="DC104" s="32"/>
      <c r="DD104" s="31"/>
      <c r="DE104" s="32"/>
      <c r="DF104" s="31"/>
      <c r="DG104" s="32"/>
      <c r="DH104" s="31"/>
      <c r="DI104" s="32"/>
      <c r="DJ104" s="31"/>
      <c r="DK104" s="32"/>
      <c r="DL104" s="31"/>
      <c r="DM104" s="32"/>
      <c r="DN104" s="31"/>
      <c r="DO104" s="32"/>
      <c r="DP104" s="31"/>
      <c r="DQ104" s="32"/>
      <c r="DR104" s="31"/>
      <c r="DS104" s="32"/>
      <c r="DT104" s="31"/>
      <c r="DU104" s="32"/>
      <c r="DV104" s="31"/>
      <c r="DW104" s="32"/>
      <c r="DX104" s="31"/>
      <c r="DY104" s="32"/>
      <c r="DZ104" s="31"/>
      <c r="EA104" s="32"/>
      <c r="EB104" s="31"/>
      <c r="EC104" s="32"/>
      <c r="ED104" s="31"/>
      <c r="EE104" s="32"/>
      <c r="EF104" s="31"/>
      <c r="EG104" s="32"/>
      <c r="EH104" s="31"/>
      <c r="EI104" s="32"/>
      <c r="EJ104" s="31"/>
      <c r="EK104" s="32"/>
      <c r="EL104" s="31"/>
      <c r="EM104" s="32"/>
      <c r="EN104" s="31"/>
      <c r="EO104" s="32"/>
      <c r="EP104" s="31"/>
      <c r="EQ104" s="32"/>
      <c r="ER104" s="31"/>
      <c r="ES104" s="32"/>
      <c r="ET104" s="31"/>
      <c r="EU104" s="32"/>
      <c r="EV104" s="31"/>
      <c r="EW104" s="32"/>
      <c r="EX104" s="31"/>
      <c r="EY104" s="32"/>
      <c r="EZ104" s="31"/>
      <c r="FA104" s="32"/>
      <c r="FB104" s="31"/>
      <c r="FC104" s="32"/>
      <c r="FD104" s="31"/>
      <c r="FE104" s="32"/>
      <c r="FF104" s="31"/>
      <c r="FG104" s="32"/>
      <c r="FH104" s="31"/>
      <c r="FI104" s="32"/>
      <c r="FJ104" s="31"/>
      <c r="FK104" s="32"/>
      <c r="FL104" s="31"/>
      <c r="FM104" s="32"/>
      <c r="FN104" s="31"/>
      <c r="FO104" s="32"/>
      <c r="FP104" s="31"/>
      <c r="FQ104" s="32"/>
      <c r="FR104" s="31"/>
      <c r="FS104" s="32"/>
      <c r="FT104" s="31"/>
      <c r="FU104" s="32"/>
      <c r="FV104" s="31"/>
      <c r="FW104" s="32"/>
      <c r="FX104" s="31"/>
      <c r="FY104" s="32"/>
      <c r="FZ104" s="31"/>
      <c r="GA104" s="32"/>
      <c r="GB104" s="31"/>
      <c r="GC104" s="32"/>
      <c r="GD104" s="31"/>
      <c r="GE104" s="32"/>
      <c r="GF104" s="31"/>
      <c r="GG104" s="32"/>
      <c r="GH104" s="31"/>
      <c r="GI104" s="32"/>
      <c r="GJ104" s="31"/>
      <c r="GK104" s="32"/>
      <c r="GL104" s="31"/>
      <c r="GM104" s="32"/>
      <c r="GN104" s="31"/>
      <c r="GO104" s="32"/>
      <c r="GP104" s="31"/>
      <c r="GQ104" s="32"/>
      <c r="GR104" s="31"/>
      <c r="GS104" s="32"/>
      <c r="GT104" s="31"/>
      <c r="GU104" s="32"/>
      <c r="GV104" s="31"/>
      <c r="GW104" s="32"/>
      <c r="GX104" s="31"/>
      <c r="GY104" s="32"/>
      <c r="GZ104" s="31"/>
      <c r="HA104" s="32"/>
      <c r="HB104" s="31"/>
      <c r="HC104" s="32"/>
      <c r="HD104" s="31"/>
      <c r="HE104" s="32"/>
      <c r="HF104" s="31"/>
      <c r="HG104" s="32"/>
      <c r="HH104" s="31"/>
      <c r="HI104" s="32"/>
      <c r="HJ104" s="31"/>
      <c r="HK104" s="32"/>
      <c r="HL104" s="31"/>
      <c r="HM104" s="32"/>
      <c r="HN104" s="31"/>
      <c r="HO104" s="32"/>
      <c r="HP104" s="31"/>
      <c r="HQ104" s="32"/>
      <c r="HR104" s="31"/>
      <c r="HS104" s="32"/>
      <c r="HT104" s="31"/>
      <c r="HU104" s="32"/>
      <c r="HV104" s="31"/>
      <c r="HW104" s="32"/>
      <c r="HX104" s="31"/>
      <c r="HY104" s="32"/>
      <c r="HZ104" s="31"/>
      <c r="IA104" s="32"/>
      <c r="IB104" s="31"/>
      <c r="IC104" s="32"/>
      <c r="ID104" s="31"/>
      <c r="IE104" s="32"/>
      <c r="IF104" s="31"/>
      <c r="IG104" s="32"/>
      <c r="IH104" s="31"/>
      <c r="II104" s="32"/>
      <c r="IJ104" s="31"/>
      <c r="IK104" s="32"/>
      <c r="IL104" s="31"/>
      <c r="IM104" s="32"/>
      <c r="IN104" s="31"/>
      <c r="IO104" s="32"/>
      <c r="IP104" s="31"/>
      <c r="IQ104" s="32"/>
      <c r="IR104" s="31"/>
      <c r="IS104" s="32"/>
      <c r="IT104" s="31"/>
      <c r="IU104" s="32"/>
      <c r="IV104" s="31"/>
      <c r="IW104" s="32"/>
      <c r="IX104" s="31"/>
      <c r="IY104" s="32"/>
      <c r="IZ104" s="31"/>
      <c r="JA104" s="32"/>
      <c r="JB104" s="31"/>
      <c r="JC104" s="32"/>
      <c r="JD104" s="31"/>
      <c r="JE104" s="32"/>
      <c r="JF104" s="31"/>
      <c r="JG104" s="32"/>
      <c r="JH104" s="31"/>
      <c r="JI104" s="32"/>
      <c r="JJ104" s="31"/>
      <c r="JK104" s="32"/>
      <c r="JL104" s="31"/>
      <c r="JM104" s="32"/>
      <c r="JN104" s="31"/>
      <c r="JO104" s="32"/>
      <c r="JP104" s="31"/>
      <c r="JQ104" s="32"/>
      <c r="JR104" s="62"/>
      <c r="JS104" s="63"/>
      <c r="JT104" s="62"/>
      <c r="JU104" s="63"/>
      <c r="JV104" s="62"/>
      <c r="JW104" s="63"/>
      <c r="JX104" s="62"/>
      <c r="JY104" s="63"/>
      <c r="JZ104" s="62"/>
      <c r="KA104" s="63"/>
      <c r="KB104" s="62"/>
      <c r="KC104" s="63"/>
      <c r="KD104" s="62"/>
      <c r="KE104" s="63"/>
      <c r="KF104" s="62" t="s">
        <v>66</v>
      </c>
      <c r="KG104" s="63"/>
      <c r="KH104" s="62" t="s">
        <v>66</v>
      </c>
      <c r="KI104" s="63"/>
      <c r="KJ104" s="62" t="s">
        <v>38</v>
      </c>
      <c r="KK104" s="63"/>
      <c r="KL104" s="62" t="s">
        <v>38</v>
      </c>
      <c r="KM104" s="63"/>
      <c r="KN104" s="62" t="s">
        <v>36</v>
      </c>
      <c r="KO104" s="63"/>
      <c r="KP104" s="62" t="s">
        <v>36</v>
      </c>
      <c r="KQ104" s="63"/>
      <c r="KR104" s="62" t="s">
        <v>36</v>
      </c>
      <c r="KS104" s="63"/>
      <c r="KT104" s="62" t="s">
        <v>36</v>
      </c>
      <c r="KU104" s="63"/>
      <c r="KV104" s="62" t="s">
        <v>36</v>
      </c>
      <c r="KW104" s="63"/>
      <c r="KX104" s="62" t="s">
        <v>36</v>
      </c>
      <c r="KY104" s="63"/>
      <c r="KZ104" s="62" t="s">
        <v>36</v>
      </c>
      <c r="LA104" s="63"/>
      <c r="LB104" s="62" t="s">
        <v>36</v>
      </c>
      <c r="LC104" s="63"/>
      <c r="LD104" s="62" t="s">
        <v>36</v>
      </c>
      <c r="LE104" s="63"/>
      <c r="LF104" s="62" t="s">
        <v>36</v>
      </c>
      <c r="LG104" s="63"/>
      <c r="LH104" s="62" t="s">
        <v>36</v>
      </c>
      <c r="LI104" s="63"/>
      <c r="LJ104" s="62" t="s">
        <v>37</v>
      </c>
      <c r="LK104" s="63"/>
      <c r="LL104" s="62" t="s">
        <v>37</v>
      </c>
      <c r="LM104" s="63"/>
      <c r="LN104" s="62" t="s">
        <v>37</v>
      </c>
      <c r="LO104" s="63"/>
      <c r="LP104" s="62" t="s">
        <v>37</v>
      </c>
      <c r="LQ104" s="63"/>
      <c r="LR104" s="62" t="s">
        <v>37</v>
      </c>
      <c r="LS104" s="63"/>
      <c r="LT104" s="62" t="s">
        <v>37</v>
      </c>
      <c r="LU104" s="63"/>
      <c r="LV104" s="62" t="s">
        <v>37</v>
      </c>
      <c r="LW104" s="63"/>
      <c r="LX104" s="62" t="s">
        <v>37</v>
      </c>
      <c r="LY104" s="63"/>
      <c r="LZ104" s="62" t="s">
        <v>37</v>
      </c>
      <c r="MA104" s="63"/>
      <c r="MB104" s="62"/>
      <c r="MC104" s="63"/>
      <c r="MD104" s="62"/>
      <c r="ME104" s="63"/>
      <c r="MF104" s="62"/>
      <c r="MG104" s="63"/>
      <c r="MH104" s="62"/>
      <c r="MI104" s="63"/>
      <c r="MJ104" s="62"/>
      <c r="MK104" s="63"/>
      <c r="ML104" s="62"/>
      <c r="MM104" s="63"/>
      <c r="MN104" s="62"/>
      <c r="MO104" s="63"/>
      <c r="MP104" s="62"/>
      <c r="MQ104" s="63"/>
      <c r="MR104" s="62"/>
      <c r="MS104" s="63"/>
      <c r="MT104" s="62"/>
      <c r="MU104" s="63"/>
      <c r="MV104" s="62"/>
      <c r="MW104" s="63"/>
      <c r="MX104" s="62"/>
      <c r="MY104" s="63"/>
      <c r="MZ104" s="62"/>
      <c r="NA104" s="63"/>
      <c r="NB104" s="62"/>
      <c r="NC104" s="63"/>
      <c r="ND104" s="62"/>
      <c r="NE104" s="63"/>
      <c r="NF104" s="62"/>
      <c r="NG104" s="63"/>
      <c r="NH104" s="62"/>
      <c r="NI104" s="63"/>
      <c r="NJ104" s="62"/>
      <c r="NK104" s="63"/>
      <c r="NL104" s="62"/>
      <c r="NM104" s="63"/>
      <c r="NN104" s="62"/>
      <c r="NO104" s="63"/>
      <c r="NP104" s="62"/>
      <c r="NQ104" s="63"/>
      <c r="NR104" s="62"/>
      <c r="NS104" s="63"/>
      <c r="NT104" s="62"/>
      <c r="NU104" s="63"/>
      <c r="NV104" s="62"/>
      <c r="NW104" s="63"/>
      <c r="NX104" s="62"/>
      <c r="NY104" s="63"/>
      <c r="NZ104" s="62"/>
      <c r="OA104" s="63"/>
      <c r="OB104" s="62"/>
      <c r="OC104" s="63"/>
      <c r="OD104" s="62"/>
      <c r="OE104" s="63"/>
      <c r="OF104" s="62"/>
      <c r="OG104" s="63"/>
      <c r="OH104" s="62"/>
      <c r="OI104" s="63"/>
      <c r="OJ104" s="62"/>
      <c r="OK104" s="63"/>
      <c r="OL104" s="62"/>
      <c r="OM104" s="63"/>
      <c r="ON104" s="62"/>
      <c r="OO104" s="63"/>
      <c r="OP104" s="62"/>
      <c r="OQ104" s="63"/>
      <c r="OR104" s="62"/>
      <c r="OS104" s="63"/>
      <c r="OT104" s="62"/>
      <c r="OU104" s="63"/>
      <c r="OV104" s="62"/>
      <c r="OW104" s="63"/>
      <c r="OX104" s="62"/>
      <c r="OY104" s="63"/>
      <c r="OZ104" s="62"/>
      <c r="PA104" s="63"/>
      <c r="PB104" s="62"/>
      <c r="PC104" s="63"/>
      <c r="PD104" s="62"/>
      <c r="PE104" s="63"/>
      <c r="PF104" s="62"/>
      <c r="PG104" s="63"/>
      <c r="PH104" s="62"/>
      <c r="PI104" s="63"/>
      <c r="PJ104" s="62"/>
      <c r="PK104" s="63"/>
      <c r="PL104" s="62"/>
      <c r="PM104" s="63"/>
      <c r="PN104" s="62"/>
      <c r="PO104" s="63"/>
      <c r="PP104" s="62"/>
      <c r="PQ104" s="63"/>
      <c r="PR104" s="62"/>
      <c r="PS104" s="63"/>
      <c r="PT104" s="62"/>
      <c r="PU104" s="63"/>
      <c r="PV104" s="62"/>
      <c r="PW104" s="63"/>
      <c r="PX104" s="62"/>
      <c r="PY104" s="63"/>
      <c r="PZ104" s="62"/>
      <c r="QA104" s="63"/>
      <c r="QB104" s="62"/>
      <c r="QC104" s="63"/>
      <c r="QD104" s="62"/>
      <c r="QE104" s="63"/>
      <c r="QF104" s="62"/>
      <c r="QG104" s="63"/>
      <c r="QH104" s="62"/>
      <c r="QI104" s="63"/>
      <c r="QJ104" s="62"/>
      <c r="QK104" s="63"/>
      <c r="QL104" s="31"/>
      <c r="QM104" s="32"/>
      <c r="QN104" s="31"/>
      <c r="QO104" s="32"/>
      <c r="QP104" s="31"/>
      <c r="QQ104" s="32"/>
      <c r="QR104" s="31"/>
      <c r="QS104" s="32"/>
      <c r="QT104" s="31"/>
      <c r="QU104" s="32"/>
      <c r="QV104" s="31"/>
      <c r="QW104" s="32"/>
      <c r="QX104" s="31"/>
      <c r="QY104" s="32"/>
      <c r="QZ104" s="31"/>
      <c r="RA104" s="32"/>
      <c r="RB104" s="31"/>
      <c r="RC104" s="32"/>
      <c r="RD104" s="31"/>
    </row>
    <row r="105" spans="1:472" s="5" customFormat="1" x14ac:dyDescent="0.25">
      <c r="B105" s="5" t="s">
        <v>1601</v>
      </c>
      <c r="C105" s="5" t="s">
        <v>4</v>
      </c>
      <c r="D105" s="5">
        <v>169</v>
      </c>
      <c r="E105" s="36"/>
      <c r="F105" s="5" t="s">
        <v>1602</v>
      </c>
      <c r="I105" s="31"/>
      <c r="J105" s="32"/>
      <c r="K105" s="31"/>
      <c r="L105" s="32"/>
      <c r="M105" s="31"/>
      <c r="N105" s="32"/>
      <c r="O105" s="31"/>
      <c r="P105" s="32"/>
      <c r="Q105" s="31"/>
      <c r="R105" s="32"/>
      <c r="S105" s="31"/>
      <c r="T105" s="32"/>
      <c r="X105" s="31"/>
      <c r="Y105" s="32"/>
      <c r="Z105" s="31"/>
      <c r="AA105" s="32"/>
      <c r="AB105" s="31"/>
      <c r="AC105" s="32"/>
      <c r="AD105" s="31"/>
      <c r="AE105" s="32"/>
      <c r="AF105" s="31"/>
      <c r="AG105" s="32"/>
      <c r="AH105" s="31"/>
      <c r="AI105" s="32"/>
      <c r="AJ105" s="31"/>
      <c r="AK105" s="32"/>
      <c r="AL105" s="31"/>
      <c r="AM105" s="32"/>
      <c r="AN105" s="31"/>
      <c r="AO105" s="32"/>
      <c r="AP105" s="31"/>
      <c r="AQ105" s="32"/>
      <c r="AR105" s="31"/>
      <c r="AS105" s="32"/>
      <c r="AT105" s="31"/>
      <c r="AU105" s="32"/>
      <c r="AV105" s="31"/>
      <c r="AW105" s="32"/>
      <c r="AX105" s="31"/>
      <c r="AY105" s="32"/>
      <c r="AZ105" s="31"/>
      <c r="BA105" s="32"/>
      <c r="BB105" s="31"/>
      <c r="BC105" s="32"/>
      <c r="BD105" s="31"/>
      <c r="BE105" s="32"/>
      <c r="BF105" s="31"/>
      <c r="BG105" s="32"/>
      <c r="BH105" s="31"/>
      <c r="BI105" s="32"/>
      <c r="BJ105" s="31"/>
      <c r="BK105" s="32"/>
      <c r="BL105" s="31"/>
      <c r="BM105" s="32"/>
      <c r="BN105" s="31"/>
      <c r="BO105" s="32"/>
      <c r="BP105" s="31"/>
      <c r="BQ105" s="32"/>
      <c r="BR105" s="31"/>
      <c r="BS105" s="32"/>
      <c r="BT105" s="31"/>
      <c r="BU105" s="32"/>
      <c r="BV105" s="31"/>
      <c r="BW105" s="32"/>
      <c r="BX105" s="31"/>
      <c r="BY105" s="32"/>
      <c r="BZ105" s="31"/>
      <c r="CA105" s="32"/>
      <c r="CB105" s="31"/>
      <c r="CC105" s="32"/>
      <c r="CD105" s="31"/>
      <c r="CE105" s="32"/>
      <c r="CF105" s="31"/>
      <c r="CG105" s="32"/>
      <c r="CH105" s="31"/>
      <c r="CI105" s="32"/>
      <c r="CJ105" s="31"/>
      <c r="CK105" s="32"/>
      <c r="CL105" s="31"/>
      <c r="CM105" s="32"/>
      <c r="CN105" s="31"/>
      <c r="CO105" s="32"/>
      <c r="CP105" s="31"/>
      <c r="CQ105" s="32"/>
      <c r="CR105" s="31"/>
      <c r="CS105" s="32"/>
      <c r="CT105" s="31"/>
      <c r="CU105" s="32"/>
      <c r="CV105" s="31"/>
      <c r="CW105" s="32"/>
      <c r="CX105" s="31"/>
      <c r="CY105" s="32"/>
      <c r="CZ105" s="31"/>
      <c r="DA105" s="32"/>
      <c r="DB105" s="31"/>
      <c r="DC105" s="32"/>
      <c r="DD105" s="31"/>
      <c r="DE105" s="32"/>
      <c r="DF105" s="31"/>
      <c r="DG105" s="32"/>
      <c r="DH105" s="31"/>
      <c r="DI105" s="32"/>
      <c r="DJ105" s="31"/>
      <c r="DK105" s="32"/>
      <c r="DL105" s="31"/>
      <c r="DM105" s="32"/>
      <c r="DN105" s="31"/>
      <c r="DO105" s="32"/>
      <c r="DP105" s="31"/>
      <c r="DQ105" s="32"/>
      <c r="DR105" s="31"/>
      <c r="DS105" s="32"/>
      <c r="DT105" s="31"/>
      <c r="DU105" s="32"/>
      <c r="DV105" s="31"/>
      <c r="DW105" s="32"/>
      <c r="DX105" s="31"/>
      <c r="DY105" s="32"/>
      <c r="DZ105" s="31"/>
      <c r="EA105" s="32"/>
      <c r="EB105" s="31"/>
      <c r="EC105" s="32"/>
      <c r="ED105" s="31"/>
      <c r="EE105" s="32"/>
      <c r="EF105" s="31"/>
      <c r="EG105" s="32"/>
      <c r="EH105" s="31"/>
      <c r="EI105" s="32"/>
      <c r="EJ105" s="31"/>
      <c r="EK105" s="32"/>
      <c r="EL105" s="31"/>
      <c r="EM105" s="32"/>
      <c r="EN105" s="31"/>
      <c r="EO105" s="32"/>
      <c r="EP105" s="31"/>
      <c r="EQ105" s="32"/>
      <c r="ER105" s="31"/>
      <c r="ES105" s="32"/>
      <c r="ET105" s="31"/>
      <c r="EU105" s="32"/>
      <c r="EV105" s="31"/>
      <c r="EW105" s="32"/>
      <c r="EX105" s="31"/>
      <c r="EY105" s="32"/>
      <c r="EZ105" s="31"/>
      <c r="FA105" s="32"/>
      <c r="FB105" s="31"/>
      <c r="FC105" s="32"/>
      <c r="FD105" s="31"/>
      <c r="FE105" s="32"/>
      <c r="FF105" s="31"/>
      <c r="FG105" s="32"/>
      <c r="FH105" s="31"/>
      <c r="FI105" s="32"/>
      <c r="FJ105" s="31"/>
      <c r="FK105" s="32"/>
      <c r="FL105" s="31"/>
      <c r="FM105" s="32"/>
      <c r="FN105" s="31"/>
      <c r="FO105" s="32"/>
      <c r="FP105" s="31"/>
      <c r="FQ105" s="32"/>
      <c r="FR105" s="31"/>
      <c r="FS105" s="32"/>
      <c r="FT105" s="31"/>
      <c r="FU105" s="32"/>
      <c r="FV105" s="31"/>
      <c r="FW105" s="32"/>
      <c r="FX105" s="31"/>
      <c r="FY105" s="32"/>
      <c r="FZ105" s="31"/>
      <c r="GA105" s="32"/>
      <c r="GB105" s="31"/>
      <c r="GC105" s="32"/>
      <c r="GD105" s="31"/>
      <c r="GE105" s="32"/>
      <c r="GF105" s="31"/>
      <c r="GG105" s="32"/>
      <c r="GH105" s="31"/>
      <c r="GI105" s="32"/>
      <c r="GJ105" s="31"/>
      <c r="GK105" s="32"/>
      <c r="GL105" s="31"/>
      <c r="GM105" s="32"/>
      <c r="GN105" s="31"/>
      <c r="GO105" s="32"/>
      <c r="GP105" s="31"/>
      <c r="GQ105" s="32"/>
      <c r="GR105" s="31"/>
      <c r="GS105" s="32"/>
      <c r="GT105" s="31"/>
      <c r="GU105" s="32"/>
      <c r="GV105" s="31"/>
      <c r="GW105" s="32"/>
      <c r="GX105" s="31"/>
      <c r="GY105" s="32"/>
      <c r="GZ105" s="31"/>
      <c r="HA105" s="32"/>
      <c r="HB105" s="31"/>
      <c r="HC105" s="32"/>
      <c r="HD105" s="31"/>
      <c r="HE105" s="32"/>
      <c r="HF105" s="31"/>
      <c r="HG105" s="32"/>
      <c r="HH105" s="31"/>
      <c r="HI105" s="32"/>
      <c r="HJ105" s="31"/>
      <c r="HK105" s="32"/>
      <c r="HL105" s="31"/>
      <c r="HM105" s="32"/>
      <c r="HN105" s="31"/>
      <c r="HO105" s="32"/>
      <c r="HP105" s="31"/>
      <c r="HQ105" s="32"/>
      <c r="HR105" s="31"/>
      <c r="HS105" s="32"/>
      <c r="HT105" s="31"/>
      <c r="HU105" s="32"/>
      <c r="HV105" s="31"/>
      <c r="HW105" s="32"/>
      <c r="HX105" s="31"/>
      <c r="HY105" s="32"/>
      <c r="HZ105" s="31"/>
      <c r="IA105" s="32"/>
      <c r="IB105" s="31"/>
      <c r="IC105" s="32"/>
      <c r="ID105" s="31"/>
      <c r="IE105" s="32"/>
      <c r="IF105" s="31"/>
      <c r="IG105" s="32"/>
      <c r="IH105" s="31"/>
      <c r="II105" s="32"/>
      <c r="IJ105" s="31"/>
      <c r="IK105" s="32"/>
      <c r="IL105" s="31"/>
      <c r="IM105" s="32"/>
      <c r="IN105" s="31"/>
      <c r="IO105" s="32"/>
      <c r="IP105" s="31"/>
      <c r="IQ105" s="32"/>
      <c r="IR105" s="31"/>
      <c r="IS105" s="32"/>
      <c r="IT105" s="31"/>
      <c r="IU105" s="32"/>
      <c r="IV105" s="31"/>
      <c r="IW105" s="32"/>
      <c r="IX105" s="31"/>
      <c r="IY105" s="32"/>
      <c r="IZ105" s="31"/>
      <c r="JA105" s="32"/>
      <c r="JB105" s="31"/>
      <c r="JC105" s="32"/>
      <c r="JD105" s="31"/>
      <c r="JE105" s="32"/>
      <c r="JF105" s="31"/>
      <c r="JG105" s="32"/>
      <c r="JH105" s="31"/>
      <c r="JI105" s="32"/>
      <c r="JJ105" s="31"/>
      <c r="JK105" s="32"/>
      <c r="JL105" s="31"/>
      <c r="JM105" s="32"/>
      <c r="JN105" s="31"/>
      <c r="JO105" s="32"/>
      <c r="JP105" s="31"/>
      <c r="JQ105" s="32"/>
      <c r="JR105" s="62"/>
      <c r="JS105" s="63"/>
      <c r="JT105" s="62"/>
      <c r="JU105" s="63"/>
      <c r="JV105" s="62"/>
      <c r="JW105" s="63"/>
      <c r="JX105" s="62"/>
      <c r="JY105" s="63"/>
      <c r="JZ105" s="62"/>
      <c r="KA105" s="63"/>
      <c r="KB105" s="62"/>
      <c r="KC105" s="63"/>
      <c r="KD105" s="62"/>
      <c r="KE105" s="63"/>
      <c r="KF105" s="62"/>
      <c r="KG105" s="63"/>
      <c r="KH105" s="62" t="s">
        <v>66</v>
      </c>
      <c r="KI105" s="63"/>
      <c r="KJ105" s="62" t="s">
        <v>66</v>
      </c>
      <c r="KK105" s="63"/>
      <c r="KL105" s="62" t="s">
        <v>38</v>
      </c>
      <c r="KM105" s="63"/>
      <c r="KN105" s="62" t="s">
        <v>38</v>
      </c>
      <c r="KO105" s="63"/>
      <c r="KP105" s="62" t="s">
        <v>36</v>
      </c>
      <c r="KQ105" s="63"/>
      <c r="KR105" s="62" t="s">
        <v>36</v>
      </c>
      <c r="KS105" s="63"/>
      <c r="KT105" s="62" t="s">
        <v>36</v>
      </c>
      <c r="KU105" s="63"/>
      <c r="KV105" s="62" t="s">
        <v>36</v>
      </c>
      <c r="KW105" s="63"/>
      <c r="KX105" s="62" t="s">
        <v>36</v>
      </c>
      <c r="KY105" s="63"/>
      <c r="KZ105" s="62" t="s">
        <v>36</v>
      </c>
      <c r="LA105" s="63"/>
      <c r="LB105" s="62" t="s">
        <v>36</v>
      </c>
      <c r="LC105" s="63"/>
      <c r="LD105" s="62" t="s">
        <v>36</v>
      </c>
      <c r="LE105" s="63"/>
      <c r="LF105" s="62" t="s">
        <v>36</v>
      </c>
      <c r="LG105" s="63"/>
      <c r="LH105" s="62" t="s">
        <v>36</v>
      </c>
      <c r="LI105" s="63"/>
      <c r="LJ105" s="62" t="s">
        <v>36</v>
      </c>
      <c r="LK105" s="63"/>
      <c r="LL105" s="62" t="s">
        <v>37</v>
      </c>
      <c r="LM105" s="63"/>
      <c r="LN105" s="62" t="s">
        <v>37</v>
      </c>
      <c r="LO105" s="63"/>
      <c r="LP105" s="62" t="s">
        <v>37</v>
      </c>
      <c r="LQ105" s="63"/>
      <c r="LR105" s="62" t="s">
        <v>37</v>
      </c>
      <c r="LS105" s="63"/>
      <c r="LT105" s="62" t="s">
        <v>37</v>
      </c>
      <c r="LU105" s="63"/>
      <c r="LV105" s="62" t="s">
        <v>37</v>
      </c>
      <c r="LW105" s="63"/>
      <c r="LX105" s="62" t="s">
        <v>37</v>
      </c>
      <c r="LY105" s="63"/>
      <c r="LZ105" s="62" t="s">
        <v>37</v>
      </c>
      <c r="MA105" s="63"/>
      <c r="MB105" s="62" t="s">
        <v>37</v>
      </c>
      <c r="MC105" s="63"/>
      <c r="MD105" s="62"/>
      <c r="ME105" s="63"/>
      <c r="MF105" s="62"/>
      <c r="MG105" s="63"/>
      <c r="MH105" s="62"/>
      <c r="MI105" s="63"/>
      <c r="MJ105" s="62"/>
      <c r="MK105" s="63"/>
      <c r="ML105" s="62"/>
      <c r="MM105" s="63"/>
      <c r="MN105" s="62"/>
      <c r="MO105" s="63"/>
      <c r="MP105" s="62"/>
      <c r="MQ105" s="63"/>
      <c r="MR105" s="62"/>
      <c r="MS105" s="63"/>
      <c r="MT105" s="62"/>
      <c r="MU105" s="63"/>
      <c r="MV105" s="62"/>
      <c r="MW105" s="63"/>
      <c r="MX105" s="62"/>
      <c r="MY105" s="63"/>
      <c r="MZ105" s="62"/>
      <c r="NA105" s="63"/>
      <c r="NB105" s="62"/>
      <c r="NC105" s="63"/>
      <c r="ND105" s="62"/>
      <c r="NE105" s="63"/>
      <c r="NF105" s="62"/>
      <c r="NG105" s="63"/>
      <c r="NH105" s="62"/>
      <c r="NI105" s="63"/>
      <c r="NJ105" s="62"/>
      <c r="NK105" s="63"/>
      <c r="NL105" s="62"/>
      <c r="NM105" s="63"/>
      <c r="NN105" s="62"/>
      <c r="NO105" s="63"/>
      <c r="NP105" s="62"/>
      <c r="NQ105" s="63"/>
      <c r="NR105" s="62"/>
      <c r="NS105" s="63"/>
      <c r="NT105" s="62"/>
      <c r="NU105" s="63"/>
      <c r="NV105" s="62"/>
      <c r="NW105" s="63"/>
      <c r="NX105" s="62"/>
      <c r="NY105" s="63"/>
      <c r="NZ105" s="62"/>
      <c r="OA105" s="63"/>
      <c r="OB105" s="62"/>
      <c r="OC105" s="63"/>
      <c r="OD105" s="62"/>
      <c r="OE105" s="63"/>
      <c r="OF105" s="62"/>
      <c r="OG105" s="63"/>
      <c r="OH105" s="62"/>
      <c r="OI105" s="63"/>
      <c r="OJ105" s="62"/>
      <c r="OK105" s="63"/>
      <c r="OL105" s="62"/>
      <c r="OM105" s="63"/>
      <c r="ON105" s="62"/>
      <c r="OO105" s="63"/>
      <c r="OP105" s="62"/>
      <c r="OQ105" s="63"/>
      <c r="OR105" s="62"/>
      <c r="OS105" s="63"/>
      <c r="OT105" s="62"/>
      <c r="OU105" s="63"/>
      <c r="OV105" s="62"/>
      <c r="OW105" s="63"/>
      <c r="OX105" s="62"/>
      <c r="OY105" s="63"/>
      <c r="OZ105" s="62"/>
      <c r="PA105" s="63"/>
      <c r="PB105" s="62"/>
      <c r="PC105" s="63"/>
      <c r="PD105" s="62"/>
      <c r="PE105" s="63"/>
      <c r="PF105" s="62"/>
      <c r="PG105" s="63"/>
      <c r="PH105" s="62"/>
      <c r="PI105" s="63"/>
      <c r="PJ105" s="62"/>
      <c r="PK105" s="63"/>
      <c r="PL105" s="62"/>
      <c r="PM105" s="63"/>
      <c r="PN105" s="62"/>
      <c r="PO105" s="63"/>
      <c r="PP105" s="62"/>
      <c r="PQ105" s="63"/>
      <c r="PR105" s="62"/>
      <c r="PS105" s="63"/>
      <c r="PT105" s="62"/>
      <c r="PU105" s="63"/>
      <c r="PV105" s="62"/>
      <c r="PW105" s="63"/>
      <c r="PX105" s="62"/>
      <c r="PY105" s="63"/>
      <c r="PZ105" s="62"/>
      <c r="QA105" s="63"/>
      <c r="QB105" s="62"/>
      <c r="QC105" s="63"/>
      <c r="QD105" s="62"/>
      <c r="QE105" s="63"/>
      <c r="QF105" s="62"/>
      <c r="QG105" s="63"/>
      <c r="QH105" s="62"/>
      <c r="QI105" s="63"/>
      <c r="QJ105" s="62"/>
      <c r="QK105" s="63"/>
      <c r="QL105" s="31"/>
      <c r="QM105" s="32"/>
      <c r="QN105" s="31"/>
      <c r="QO105" s="32"/>
      <c r="QP105" s="31"/>
      <c r="QQ105" s="32"/>
      <c r="QR105" s="31"/>
      <c r="QS105" s="32"/>
      <c r="QT105" s="31"/>
      <c r="QU105" s="32"/>
      <c r="QV105" s="31"/>
      <c r="QW105" s="32"/>
      <c r="QX105" s="31"/>
      <c r="QY105" s="32"/>
      <c r="QZ105" s="31"/>
      <c r="RA105" s="32"/>
      <c r="RB105" s="31"/>
      <c r="RC105" s="32"/>
      <c r="RD105" s="31"/>
    </row>
    <row r="106" spans="1:472" s="5" customFormat="1" x14ac:dyDescent="0.25">
      <c r="A106" s="48">
        <v>2108</v>
      </c>
      <c r="B106" s="48" t="s">
        <v>1388</v>
      </c>
      <c r="C106" s="48" t="s">
        <v>527</v>
      </c>
      <c r="D106" s="48">
        <v>263</v>
      </c>
      <c r="E106" s="49"/>
      <c r="F106" s="48" t="s">
        <v>1569</v>
      </c>
      <c r="I106" s="31"/>
      <c r="J106" s="32"/>
      <c r="K106" s="31"/>
      <c r="L106" s="32"/>
      <c r="M106" s="31"/>
      <c r="N106" s="32"/>
      <c r="O106" s="31"/>
      <c r="P106" s="32"/>
      <c r="Q106" s="31"/>
      <c r="R106" s="32"/>
      <c r="S106" s="31"/>
      <c r="T106" s="32"/>
      <c r="X106" s="31"/>
      <c r="Y106" s="32"/>
      <c r="Z106" s="31"/>
      <c r="AA106" s="32"/>
      <c r="AB106" s="31"/>
      <c r="AC106" s="32"/>
      <c r="AD106" s="31"/>
      <c r="AE106" s="32"/>
      <c r="AF106" s="31"/>
      <c r="AG106" s="32"/>
      <c r="AH106" s="31"/>
      <c r="AI106" s="32"/>
      <c r="AJ106" s="31"/>
      <c r="AK106" s="32"/>
      <c r="AL106" s="31"/>
      <c r="AM106" s="32"/>
      <c r="AN106" s="31"/>
      <c r="AO106" s="32"/>
      <c r="AP106" s="31"/>
      <c r="AQ106" s="32"/>
      <c r="AR106" s="31"/>
      <c r="AS106" s="32"/>
      <c r="AT106" s="31"/>
      <c r="AU106" s="32"/>
      <c r="AV106" s="31"/>
      <c r="AW106" s="32"/>
      <c r="AX106" s="31"/>
      <c r="AY106" s="32"/>
      <c r="AZ106" s="31"/>
      <c r="BA106" s="32"/>
      <c r="BB106" s="31"/>
      <c r="BC106" s="32"/>
      <c r="BD106" s="31"/>
      <c r="BE106" s="32"/>
      <c r="BF106" s="31"/>
      <c r="BG106" s="32"/>
      <c r="BH106" s="31"/>
      <c r="BI106" s="32"/>
      <c r="BJ106" s="31"/>
      <c r="BK106" s="32"/>
      <c r="BL106" s="31"/>
      <c r="BM106" s="32"/>
      <c r="BN106" s="31"/>
      <c r="BO106" s="32"/>
      <c r="BP106" s="31"/>
      <c r="BQ106" s="32"/>
      <c r="BR106" s="31"/>
      <c r="BS106" s="32"/>
      <c r="BT106" s="31"/>
      <c r="BU106" s="32"/>
      <c r="BV106" s="31"/>
      <c r="BW106" s="32"/>
      <c r="BX106" s="31"/>
      <c r="BY106" s="32"/>
      <c r="BZ106" s="31"/>
      <c r="CA106" s="32"/>
      <c r="CB106" s="31"/>
      <c r="CC106" s="32"/>
      <c r="CD106" s="31"/>
      <c r="CE106" s="32"/>
      <c r="CF106" s="31"/>
      <c r="CG106" s="32"/>
      <c r="CH106" s="31"/>
      <c r="CI106" s="32"/>
      <c r="CJ106" s="31"/>
      <c r="CK106" s="32"/>
      <c r="CL106" s="31"/>
      <c r="CM106" s="32"/>
      <c r="CN106" s="31"/>
      <c r="CO106" s="32"/>
      <c r="CP106" s="31"/>
      <c r="CQ106" s="32"/>
      <c r="CR106" s="31"/>
      <c r="CS106" s="32"/>
      <c r="CT106" s="31"/>
      <c r="CU106" s="32"/>
      <c r="CV106" s="31"/>
      <c r="CW106" s="32"/>
      <c r="CX106" s="31"/>
      <c r="CY106" s="32"/>
      <c r="CZ106" s="31"/>
      <c r="DA106" s="32"/>
      <c r="DB106" s="31"/>
      <c r="DC106" s="32"/>
      <c r="DD106" s="31"/>
      <c r="DE106" s="32"/>
      <c r="DF106" s="31"/>
      <c r="DG106" s="32"/>
      <c r="DH106" s="31"/>
      <c r="DI106" s="32"/>
      <c r="DJ106" s="31"/>
      <c r="DK106" s="32"/>
      <c r="DL106" s="31"/>
      <c r="DM106" s="32"/>
      <c r="DN106" s="31"/>
      <c r="DO106" s="32"/>
      <c r="DP106" s="31"/>
      <c r="DQ106" s="32"/>
      <c r="DR106" s="31"/>
      <c r="DS106" s="32"/>
      <c r="DT106" s="31"/>
      <c r="DU106" s="32"/>
      <c r="DV106" s="31"/>
      <c r="DW106" s="32"/>
      <c r="DX106" s="31"/>
      <c r="DY106" s="32"/>
      <c r="DZ106" s="31"/>
      <c r="EA106" s="32"/>
      <c r="EB106" s="31"/>
      <c r="EC106" s="32"/>
      <c r="ED106" s="31"/>
      <c r="EE106" s="32"/>
      <c r="EF106" s="31"/>
      <c r="EG106" s="32"/>
      <c r="EH106" s="31"/>
      <c r="EI106" s="32"/>
      <c r="EJ106" s="31"/>
      <c r="EK106" s="32"/>
      <c r="EL106" s="31"/>
      <c r="EM106" s="32"/>
      <c r="EN106" s="31"/>
      <c r="EO106" s="32"/>
      <c r="EP106" s="31"/>
      <c r="EQ106" s="32"/>
      <c r="ER106" s="31"/>
      <c r="ES106" s="32"/>
      <c r="ET106" s="31"/>
      <c r="EU106" s="32"/>
      <c r="EV106" s="31"/>
      <c r="EW106" s="32"/>
      <c r="EX106" s="31"/>
      <c r="EY106" s="32"/>
      <c r="EZ106" s="31"/>
      <c r="FA106" s="32"/>
      <c r="FB106" s="31"/>
      <c r="FC106" s="32"/>
      <c r="FD106" s="31"/>
      <c r="FE106" s="32"/>
      <c r="FF106" s="62"/>
      <c r="FG106" s="63"/>
      <c r="FH106" s="62"/>
      <c r="FI106" s="63"/>
      <c r="FJ106" s="62"/>
      <c r="FK106" s="63"/>
      <c r="FL106" s="62"/>
      <c r="FM106" s="63"/>
      <c r="FN106" s="62"/>
      <c r="FO106" s="63"/>
      <c r="FP106" s="62"/>
      <c r="FQ106" s="63"/>
      <c r="FR106" s="62"/>
      <c r="FS106" s="63"/>
      <c r="FT106" s="62"/>
      <c r="FU106" s="63"/>
      <c r="FV106" s="62"/>
      <c r="FW106" s="63"/>
      <c r="FX106" s="62"/>
      <c r="FY106" s="63"/>
      <c r="FZ106" s="62"/>
      <c r="GA106" s="63"/>
      <c r="GB106" s="62"/>
      <c r="GC106" s="63"/>
      <c r="GD106" s="62"/>
      <c r="GE106" s="63"/>
      <c r="GF106" s="62"/>
      <c r="GG106" s="63"/>
      <c r="GH106" s="62"/>
      <c r="GI106" s="63"/>
      <c r="GJ106" s="62"/>
      <c r="GK106" s="63"/>
      <c r="GL106" s="62"/>
      <c r="GM106" s="63"/>
      <c r="GN106" s="62"/>
      <c r="GO106" s="63"/>
      <c r="GP106" s="62"/>
      <c r="GQ106" s="63"/>
      <c r="GR106" s="62"/>
      <c r="GS106" s="63"/>
      <c r="GT106" s="62"/>
      <c r="GU106" s="63"/>
      <c r="GV106" s="62"/>
      <c r="GW106" s="63"/>
      <c r="GX106" s="62"/>
      <c r="GY106" s="63"/>
      <c r="GZ106" s="62"/>
      <c r="HA106" s="63"/>
      <c r="HB106" s="62"/>
      <c r="HC106" s="63"/>
      <c r="HD106" s="62"/>
      <c r="HE106" s="63"/>
      <c r="HF106" s="62"/>
      <c r="HG106" s="63"/>
      <c r="HH106" s="62"/>
      <c r="HI106" s="63"/>
      <c r="HJ106" s="62"/>
      <c r="HK106" s="63"/>
      <c r="HL106" s="62"/>
      <c r="HM106" s="63"/>
      <c r="HN106" s="62"/>
      <c r="HO106" s="63"/>
      <c r="HP106" s="62"/>
      <c r="HQ106" s="63"/>
      <c r="HR106" s="62"/>
      <c r="HS106" s="63"/>
      <c r="HT106" s="62"/>
      <c r="HU106" s="63"/>
      <c r="HV106" s="62"/>
      <c r="HW106" s="63"/>
      <c r="HX106" s="62"/>
      <c r="HY106" s="63"/>
      <c r="HZ106" s="62"/>
      <c r="IA106" s="63"/>
      <c r="IB106" s="62"/>
      <c r="IC106" s="63"/>
      <c r="ID106" s="62"/>
      <c r="IE106" s="63"/>
      <c r="IF106" s="62"/>
      <c r="IG106" s="63"/>
      <c r="IH106" s="62"/>
      <c r="II106" s="63"/>
      <c r="IJ106" s="62"/>
      <c r="IK106" s="63"/>
      <c r="IL106" s="62"/>
      <c r="IM106" s="63"/>
      <c r="IN106" s="62"/>
      <c r="IO106" s="63"/>
      <c r="IP106" s="62"/>
      <c r="IQ106" s="63"/>
      <c r="IR106" s="62"/>
      <c r="IS106" s="63"/>
      <c r="IT106" s="62"/>
      <c r="IU106" s="63"/>
      <c r="IV106" s="62"/>
      <c r="IW106" s="63"/>
      <c r="IX106" s="62"/>
      <c r="IY106" s="63"/>
      <c r="IZ106" s="62"/>
      <c r="JA106" s="63"/>
      <c r="JB106" s="62"/>
      <c r="JC106" s="63"/>
      <c r="JD106" s="62"/>
      <c r="JE106" s="63"/>
      <c r="JF106" s="62"/>
      <c r="JG106" s="63"/>
      <c r="JH106" s="62"/>
      <c r="JI106" s="63"/>
      <c r="JJ106" s="62"/>
      <c r="JK106" s="63"/>
      <c r="JL106" s="62"/>
      <c r="JM106" s="63"/>
      <c r="JN106" s="62"/>
      <c r="JO106" s="63"/>
      <c r="JP106" s="62"/>
      <c r="JQ106" s="63"/>
      <c r="JR106" s="62"/>
      <c r="JS106" s="63"/>
      <c r="JT106" s="62"/>
      <c r="JU106" s="63"/>
      <c r="JV106" s="62"/>
      <c r="JW106" s="63"/>
      <c r="JX106" s="62"/>
      <c r="JY106" s="63"/>
      <c r="JZ106" s="62"/>
      <c r="KA106" s="63"/>
      <c r="KB106" s="62"/>
      <c r="KC106" s="63"/>
      <c r="KD106" s="62"/>
      <c r="KE106" s="63"/>
      <c r="KF106" s="62"/>
      <c r="KG106" s="63"/>
      <c r="KH106" s="62"/>
      <c r="KI106" s="63"/>
      <c r="KJ106" s="62"/>
      <c r="KK106" s="63"/>
      <c r="KL106" s="62"/>
      <c r="KM106" s="63"/>
      <c r="KN106" s="62"/>
      <c r="KO106" s="63"/>
      <c r="KP106" s="62"/>
      <c r="KQ106" s="63"/>
      <c r="KR106" s="62"/>
      <c r="KS106" s="63"/>
      <c r="KT106" s="62"/>
      <c r="KU106" s="63"/>
      <c r="KV106" s="62"/>
      <c r="KW106" s="63"/>
      <c r="KX106" s="62"/>
      <c r="KY106" s="63"/>
      <c r="KZ106" s="62"/>
      <c r="LA106" s="63"/>
      <c r="LB106" s="62"/>
      <c r="LC106" s="63"/>
      <c r="LD106" s="62"/>
      <c r="LE106" s="63"/>
      <c r="LF106" s="62"/>
      <c r="LG106" s="63"/>
      <c r="LH106" s="62"/>
      <c r="LI106" s="63"/>
      <c r="LJ106" s="62"/>
      <c r="LK106" s="63"/>
      <c r="LL106" s="62"/>
      <c r="LM106" s="63"/>
      <c r="LN106" s="62"/>
      <c r="LO106" s="63"/>
      <c r="LP106" s="62"/>
      <c r="LQ106" s="63"/>
      <c r="LR106" s="62"/>
      <c r="LS106" s="63"/>
      <c r="LT106" s="62"/>
      <c r="LU106" s="63"/>
      <c r="LV106" s="62"/>
      <c r="LW106" s="63"/>
      <c r="LX106" s="62"/>
      <c r="LY106" s="63"/>
      <c r="LZ106" s="62"/>
      <c r="MA106" s="63"/>
      <c r="MB106" s="62"/>
      <c r="MC106" s="63"/>
      <c r="MD106" s="62"/>
      <c r="ME106" s="63"/>
      <c r="MF106" s="62"/>
      <c r="MG106" s="63"/>
      <c r="MH106" s="62"/>
      <c r="MI106" s="63"/>
      <c r="MJ106" s="62"/>
      <c r="MK106" s="63"/>
      <c r="ML106" s="62"/>
      <c r="MM106" s="63"/>
      <c r="MN106" s="62"/>
      <c r="MO106" s="63"/>
      <c r="MP106" s="62"/>
      <c r="MQ106" s="63"/>
      <c r="MR106" s="62"/>
      <c r="MS106" s="63"/>
      <c r="MT106" s="62"/>
      <c r="MU106" s="63"/>
      <c r="MV106" s="62"/>
      <c r="MW106" s="63"/>
      <c r="MX106" s="62"/>
      <c r="MY106" s="63"/>
      <c r="MZ106" s="62"/>
      <c r="NA106" s="63"/>
      <c r="NB106" s="62"/>
      <c r="NC106" s="63"/>
      <c r="ND106" s="62"/>
      <c r="NE106" s="63"/>
      <c r="NF106" s="62"/>
      <c r="NG106" s="63"/>
      <c r="NH106" s="62"/>
      <c r="NI106" s="63"/>
      <c r="NJ106" s="62"/>
      <c r="NK106" s="63"/>
      <c r="NL106" s="62"/>
      <c r="NM106" s="63"/>
      <c r="NN106" s="62"/>
      <c r="NO106" s="63"/>
      <c r="NP106" s="62"/>
      <c r="NQ106" s="63"/>
      <c r="NR106" s="62"/>
      <c r="NS106" s="63"/>
      <c r="NT106" s="62"/>
      <c r="NU106" s="63"/>
      <c r="NV106" s="62"/>
      <c r="NW106" s="63"/>
      <c r="NX106" s="62"/>
      <c r="NY106" s="63"/>
      <c r="NZ106" s="62"/>
      <c r="OA106" s="63"/>
      <c r="OB106" s="62"/>
      <c r="OC106" s="63"/>
      <c r="OD106" s="62"/>
      <c r="OE106" s="63"/>
      <c r="OF106" s="62"/>
      <c r="OG106" s="63"/>
      <c r="OH106" s="62"/>
      <c r="OI106" s="63"/>
      <c r="OJ106" s="62"/>
      <c r="OK106" s="63"/>
      <c r="OL106" s="62"/>
      <c r="OM106" s="63"/>
      <c r="ON106" s="62"/>
      <c r="OO106" s="63"/>
      <c r="OP106" s="62"/>
      <c r="OQ106" s="63"/>
      <c r="OR106" s="62"/>
      <c r="OS106" s="63"/>
      <c r="OT106" s="62"/>
      <c r="OU106" s="63"/>
      <c r="OV106" s="62"/>
      <c r="OW106" s="63"/>
      <c r="OX106" s="62"/>
      <c r="OY106" s="63"/>
      <c r="OZ106" s="62"/>
      <c r="PA106" s="63"/>
      <c r="PB106" s="62"/>
      <c r="PC106" s="63"/>
      <c r="PD106" s="62"/>
      <c r="PE106" s="63"/>
      <c r="PF106" s="62"/>
      <c r="PG106" s="63"/>
      <c r="PH106" s="62"/>
      <c r="PI106" s="63"/>
      <c r="PJ106" s="62"/>
      <c r="PK106" s="63"/>
      <c r="PL106" s="62"/>
      <c r="PM106" s="63"/>
      <c r="PN106" s="62"/>
      <c r="PO106" s="63"/>
      <c r="PP106" s="62"/>
      <c r="PQ106" s="63"/>
      <c r="PR106" s="62"/>
      <c r="PS106" s="63"/>
      <c r="PT106" s="62"/>
      <c r="PU106" s="63"/>
      <c r="PV106" s="62"/>
      <c r="PW106" s="63"/>
      <c r="PX106" s="62"/>
      <c r="PY106" s="63"/>
      <c r="PZ106" s="62"/>
      <c r="QA106" s="63"/>
      <c r="QB106" s="62"/>
      <c r="QC106" s="63"/>
      <c r="QD106" s="62"/>
      <c r="QE106" s="63"/>
      <c r="QF106" s="62"/>
      <c r="QG106" s="63"/>
      <c r="QH106" s="62"/>
      <c r="QI106" s="63"/>
      <c r="QJ106" s="62"/>
      <c r="QK106" s="63"/>
      <c r="QL106" s="62"/>
      <c r="QM106" s="63"/>
      <c r="QN106" s="62"/>
      <c r="QO106" s="63"/>
      <c r="QP106" s="62"/>
      <c r="QQ106" s="63"/>
      <c r="QR106" s="62"/>
      <c r="QS106" s="63"/>
      <c r="QT106" s="62"/>
      <c r="QU106" s="63"/>
      <c r="QV106" s="62"/>
      <c r="QW106" s="63"/>
      <c r="QX106" s="62"/>
      <c r="QY106" s="63"/>
      <c r="QZ106" s="62"/>
      <c r="RA106" s="63"/>
      <c r="RB106" s="62"/>
      <c r="RC106" s="63"/>
      <c r="RD106" s="31"/>
    </row>
    <row r="107" spans="1:472" x14ac:dyDescent="0.25">
      <c r="C107" s="46"/>
      <c r="E107" s="47"/>
      <c r="I107" s="4"/>
      <c r="J107" s="4"/>
      <c r="K107" s="4"/>
      <c r="L107" s="4"/>
      <c r="M107" s="4"/>
      <c r="N107" s="4"/>
      <c r="O107" s="4"/>
      <c r="P107" s="4"/>
      <c r="Q107" s="4"/>
      <c r="R107" s="4"/>
      <c r="S107" s="4"/>
      <c r="T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c r="LL107" s="4"/>
      <c r="LM107" s="4"/>
      <c r="LN107" s="4"/>
      <c r="LO107" s="4"/>
      <c r="LP107" s="4"/>
      <c r="LQ107" s="4"/>
      <c r="LR107" s="4"/>
      <c r="LS107" s="4"/>
      <c r="LT107" s="4"/>
      <c r="LU107" s="4"/>
      <c r="LV107" s="4"/>
      <c r="LW107" s="4"/>
      <c r="LX107" s="4"/>
      <c r="LY107" s="4"/>
      <c r="LZ107" s="4"/>
      <c r="MA107" s="4"/>
      <c r="MB107" s="4"/>
      <c r="MC107" s="4"/>
      <c r="MD107" s="4"/>
      <c r="ME107" s="4"/>
      <c r="MF107" s="4"/>
      <c r="MG107" s="4"/>
      <c r="MH107" s="4"/>
      <c r="MI107" s="4"/>
      <c r="MJ107" s="4"/>
      <c r="MK107" s="4"/>
      <c r="ML107" s="4"/>
      <c r="MM107" s="4"/>
      <c r="MN107" s="4"/>
      <c r="MO107" s="4"/>
      <c r="MP107" s="4"/>
      <c r="MQ107" s="4"/>
      <c r="MR107" s="4"/>
      <c r="MS107" s="4"/>
      <c r="MT107" s="4"/>
      <c r="MU107" s="4"/>
      <c r="MV107" s="4"/>
      <c r="MW107" s="4"/>
      <c r="MX107" s="4"/>
      <c r="MY107" s="4"/>
      <c r="MZ107" s="4"/>
      <c r="NA107" s="4"/>
      <c r="NB107" s="4"/>
      <c r="NC107" s="4"/>
      <c r="ND107" s="4"/>
      <c r="NE107" s="4"/>
      <c r="NF107" s="4"/>
      <c r="NG107" s="4"/>
      <c r="NH107" s="4"/>
      <c r="NI107" s="4"/>
      <c r="NJ107" s="4"/>
      <c r="NK107" s="4"/>
      <c r="NL107" s="4"/>
      <c r="NM107" s="4"/>
      <c r="NN107" s="4"/>
      <c r="NO107" s="4"/>
      <c r="NP107" s="4"/>
      <c r="NQ107" s="4"/>
      <c r="NR107" s="4"/>
      <c r="NS107" s="4"/>
      <c r="NT107" s="4"/>
      <c r="NU107" s="4"/>
      <c r="NV107" s="4"/>
      <c r="NW107" s="4"/>
      <c r="NX107" s="4"/>
      <c r="NY107" s="4"/>
      <c r="NZ107" s="4"/>
      <c r="OA107" s="4"/>
      <c r="OB107" s="4"/>
      <c r="OC107" s="4"/>
      <c r="OD107" s="4"/>
      <c r="OE107" s="4"/>
      <c r="OF107" s="4"/>
      <c r="OG107" s="4"/>
      <c r="OH107" s="4"/>
      <c r="OI107" s="4"/>
      <c r="OJ107" s="4"/>
      <c r="OK107" s="4"/>
      <c r="OL107" s="4"/>
      <c r="OM107" s="4"/>
      <c r="ON107" s="4"/>
      <c r="OO107" s="4"/>
      <c r="OP107" s="4"/>
      <c r="OQ107" s="4"/>
      <c r="OR107" s="4"/>
      <c r="OS107" s="4"/>
      <c r="OT107" s="4"/>
      <c r="OU107" s="4"/>
      <c r="OV107" s="4"/>
      <c r="OW107" s="4"/>
      <c r="OX107" s="4"/>
      <c r="OY107" s="4"/>
      <c r="OZ107" s="4"/>
      <c r="PA107" s="4"/>
      <c r="PB107" s="4"/>
      <c r="PC107" s="4"/>
      <c r="PD107" s="4"/>
      <c r="PE107" s="4"/>
      <c r="PF107" s="4"/>
      <c r="PG107" s="4"/>
      <c r="PH107" s="4"/>
      <c r="PI107" s="4"/>
      <c r="PJ107" s="4"/>
      <c r="PK107" s="4"/>
      <c r="PL107" s="4"/>
      <c r="PM107" s="4"/>
      <c r="PN107" s="4"/>
      <c r="PO107" s="4"/>
      <c r="PP107" s="4"/>
      <c r="PQ107" s="4"/>
      <c r="PR107" s="4"/>
      <c r="PS107" s="4"/>
      <c r="PT107" s="4"/>
      <c r="PU107" s="4"/>
      <c r="PV107" s="4"/>
      <c r="PW107" s="4"/>
      <c r="PX107" s="4"/>
      <c r="PY107" s="4"/>
      <c r="PZ107" s="4"/>
      <c r="QA107" s="4"/>
      <c r="QB107" s="4"/>
      <c r="QC107" s="4"/>
      <c r="QD107" s="4"/>
      <c r="QE107" s="4"/>
      <c r="QF107" s="4"/>
      <c r="QG107" s="4"/>
      <c r="QH107" s="4"/>
      <c r="QI107" s="4"/>
      <c r="QJ107" s="4"/>
      <c r="QK107" s="4"/>
      <c r="QL107" s="4"/>
      <c r="QM107" s="4"/>
      <c r="QN107" s="4"/>
      <c r="QO107" s="4"/>
      <c r="QP107" s="4"/>
      <c r="QQ107" s="4"/>
      <c r="QR107" s="4"/>
      <c r="QS107" s="4"/>
      <c r="QT107" s="4"/>
      <c r="QU107" s="4"/>
      <c r="QV107" s="4"/>
      <c r="QW107" s="4"/>
      <c r="QX107" s="4"/>
      <c r="QY107" s="4"/>
      <c r="QZ107" s="4"/>
      <c r="RA107" s="4"/>
      <c r="RB107" s="4"/>
      <c r="RC107" s="4"/>
      <c r="RD107" s="4"/>
    </row>
    <row r="108" spans="1:472" x14ac:dyDescent="0.25">
      <c r="B108" s="51" t="s">
        <v>883</v>
      </c>
      <c r="C108" s="52"/>
      <c r="E108" s="47"/>
      <c r="I108" s="4"/>
      <c r="J108" s="4"/>
      <c r="K108" s="4"/>
      <c r="L108" s="4"/>
      <c r="M108" s="4"/>
      <c r="N108" s="4"/>
      <c r="O108" s="4"/>
      <c r="P108" s="4"/>
      <c r="Q108" s="4"/>
      <c r="R108" s="4"/>
      <c r="S108" s="4"/>
      <c r="T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c r="LL108" s="4"/>
      <c r="LM108" s="4"/>
      <c r="LN108" s="4"/>
      <c r="LO108" s="4"/>
      <c r="LP108" s="4"/>
      <c r="LQ108" s="4"/>
      <c r="LR108" s="4"/>
      <c r="LS108" s="4"/>
      <c r="LT108" s="4"/>
      <c r="LU108" s="4"/>
      <c r="LV108" s="4"/>
      <c r="LW108" s="4"/>
      <c r="LX108" s="4"/>
      <c r="LY108" s="4"/>
      <c r="LZ108" s="4"/>
      <c r="MA108" s="4"/>
      <c r="MB108" s="4"/>
      <c r="MC108" s="4"/>
      <c r="MD108" s="4"/>
      <c r="ME108" s="4"/>
      <c r="MF108" s="4"/>
      <c r="MG108" s="4"/>
      <c r="MH108" s="4"/>
      <c r="MI108" s="4"/>
      <c r="MJ108" s="4"/>
      <c r="MK108" s="4"/>
      <c r="ML108" s="4"/>
      <c r="MM108" s="4"/>
      <c r="MN108" s="4"/>
      <c r="MO108" s="4"/>
      <c r="MP108" s="4"/>
      <c r="MQ108" s="4"/>
      <c r="MR108" s="4"/>
      <c r="MS108" s="4"/>
      <c r="MT108" s="4"/>
      <c r="MU108" s="4"/>
      <c r="MV108" s="4"/>
      <c r="MW108" s="4"/>
      <c r="MX108" s="4"/>
      <c r="MY108" s="4"/>
      <c r="MZ108" s="4"/>
      <c r="NA108" s="4"/>
      <c r="NB108" s="4"/>
      <c r="NC108" s="4"/>
      <c r="ND108" s="4"/>
      <c r="NE108" s="4"/>
      <c r="NF108" s="4"/>
      <c r="NG108" s="4"/>
      <c r="NH108" s="4"/>
      <c r="NI108" s="4"/>
      <c r="NJ108" s="4"/>
      <c r="NK108" s="4"/>
      <c r="NL108" s="4"/>
      <c r="NM108" s="4"/>
      <c r="NN108" s="4"/>
      <c r="NO108" s="4"/>
      <c r="NP108" s="4"/>
      <c r="NQ108" s="4"/>
      <c r="NR108" s="4"/>
      <c r="NS108" s="4"/>
      <c r="NT108" s="4"/>
      <c r="NU108" s="4"/>
      <c r="NV108" s="4"/>
      <c r="NW108" s="4"/>
      <c r="NX108" s="4"/>
      <c r="NY108" s="4"/>
      <c r="NZ108" s="4"/>
      <c r="OA108" s="4"/>
      <c r="OB108" s="4"/>
      <c r="OC108" s="4"/>
      <c r="OD108" s="4"/>
      <c r="OE108" s="4"/>
      <c r="OF108" s="4"/>
      <c r="OG108" s="4"/>
      <c r="OH108" s="4"/>
      <c r="OI108" s="4"/>
      <c r="OJ108" s="4"/>
      <c r="OK108" s="4"/>
      <c r="OL108" s="4"/>
      <c r="OM108" s="4"/>
      <c r="ON108" s="4"/>
      <c r="OO108" s="4"/>
      <c r="OP108" s="4"/>
      <c r="OQ108" s="4"/>
      <c r="OR108" s="4"/>
      <c r="OS108" s="4"/>
      <c r="OT108" s="4"/>
      <c r="OU108" s="4"/>
      <c r="OV108" s="4"/>
      <c r="OW108" s="4"/>
      <c r="OX108" s="4"/>
      <c r="OY108" s="4"/>
      <c r="OZ108" s="4"/>
      <c r="PA108" s="4"/>
      <c r="PB108" s="4"/>
      <c r="PC108" s="4"/>
      <c r="PD108" s="4"/>
      <c r="PE108" s="4"/>
      <c r="PF108" s="4"/>
      <c r="PG108" s="4"/>
      <c r="PH108" s="4"/>
      <c r="PI108" s="4"/>
      <c r="PJ108" s="4"/>
      <c r="PK108" s="4"/>
      <c r="PL108" s="4"/>
      <c r="PM108" s="4"/>
      <c r="PN108" s="4"/>
      <c r="PO108" s="4"/>
      <c r="PP108" s="4"/>
      <c r="PQ108" s="4"/>
      <c r="PR108" s="4"/>
      <c r="PS108" s="4"/>
      <c r="PT108" s="4"/>
      <c r="PU108" s="4"/>
      <c r="PV108" s="4"/>
      <c r="PW108" s="4"/>
      <c r="PX108" s="4"/>
      <c r="PY108" s="4"/>
      <c r="PZ108" s="4"/>
      <c r="QA108" s="4"/>
      <c r="QB108" s="4"/>
      <c r="QC108" s="4"/>
      <c r="QD108" s="4"/>
      <c r="QE108" s="4"/>
      <c r="QF108" s="4"/>
      <c r="QG108" s="4"/>
      <c r="QH108" s="4"/>
      <c r="QI108" s="4"/>
      <c r="QJ108" s="4"/>
      <c r="QK108" s="4"/>
      <c r="QL108" s="4"/>
      <c r="QM108" s="4"/>
      <c r="QN108" s="4"/>
      <c r="QO108" s="4"/>
      <c r="QP108" s="4"/>
      <c r="QQ108" s="4"/>
      <c r="QR108" s="4"/>
      <c r="QS108" s="4"/>
      <c r="QT108" s="4"/>
      <c r="QU108" s="4"/>
      <c r="QV108" s="4"/>
      <c r="QW108" s="4"/>
      <c r="QX108" s="4"/>
      <c r="QY108" s="4"/>
      <c r="QZ108" s="4"/>
      <c r="RA108" s="4"/>
      <c r="RB108" s="4"/>
      <c r="RC108" s="4"/>
      <c r="RD108" s="4"/>
    </row>
    <row r="109" spans="1:472" x14ac:dyDescent="0.25">
      <c r="B109" s="50" t="s">
        <v>882</v>
      </c>
      <c r="C109" s="53"/>
      <c r="E109" s="23"/>
    </row>
    <row r="110" spans="1:472" x14ac:dyDescent="0.25">
      <c r="E110" s="23"/>
    </row>
    <row r="111" spans="1:472" s="5" customFormat="1" ht="15" hidden="1" customHeight="1" x14ac:dyDescent="0.25">
      <c r="A111" s="5">
        <v>2024</v>
      </c>
      <c r="B111" s="5" t="s">
        <v>44</v>
      </c>
      <c r="C111" s="5" t="s">
        <v>3</v>
      </c>
      <c r="D111" s="5">
        <v>117</v>
      </c>
      <c r="E111" s="24"/>
      <c r="F111" s="64" t="s">
        <v>216</v>
      </c>
      <c r="G111" s="65"/>
      <c r="H111" s="19"/>
      <c r="I111" s="61"/>
      <c r="J111" s="61"/>
      <c r="K111" s="61"/>
      <c r="L111" s="61"/>
      <c r="M111" s="61"/>
      <c r="N111" s="61"/>
      <c r="O111" s="61"/>
      <c r="P111" s="61"/>
      <c r="Q111" s="61"/>
      <c r="R111" s="61"/>
      <c r="S111" s="61"/>
      <c r="T111" s="61"/>
      <c r="X111" s="61"/>
      <c r="Y111" s="61"/>
      <c r="Z111" s="61"/>
      <c r="AA111" s="61"/>
      <c r="AB111" s="61"/>
      <c r="AC111" s="61"/>
      <c r="AD111" s="61"/>
      <c r="AE111" s="61"/>
      <c r="AF111" s="61"/>
      <c r="AG111" s="61"/>
      <c r="AH111" s="61"/>
      <c r="AI111" s="61"/>
      <c r="AJ111" s="61"/>
      <c r="AK111" s="61"/>
      <c r="AL111" s="61"/>
      <c r="AM111" s="61"/>
      <c r="AN111" s="61"/>
      <c r="AO111" s="61"/>
      <c r="AP111" s="61"/>
      <c r="AQ111" s="61"/>
      <c r="AR111" s="61">
        <v>3</v>
      </c>
      <c r="AS111" s="61"/>
      <c r="AT111" s="61">
        <v>2</v>
      </c>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1"/>
      <c r="DV111" s="61"/>
      <c r="DW111" s="61"/>
      <c r="DX111" s="61"/>
      <c r="DY111" s="61"/>
      <c r="DZ111" s="61"/>
      <c r="EA111" s="61"/>
      <c r="EB111" s="61"/>
      <c r="EC111" s="61"/>
      <c r="ED111" s="61"/>
      <c r="EE111" s="61"/>
      <c r="EF111" s="61"/>
      <c r="EG111" s="61"/>
      <c r="EH111" s="61"/>
      <c r="EI111" s="61"/>
      <c r="EJ111" s="61"/>
      <c r="EK111" s="61"/>
      <c r="EL111" s="61"/>
      <c r="EM111" s="61"/>
      <c r="EN111" s="61"/>
      <c r="EO111" s="61"/>
      <c r="EP111" s="61"/>
      <c r="EQ111" s="61"/>
      <c r="ER111" s="61"/>
      <c r="ES111" s="61"/>
      <c r="ET111" s="61"/>
      <c r="EU111" s="61"/>
      <c r="EV111" s="61"/>
      <c r="EW111" s="61"/>
      <c r="EX111" s="61"/>
      <c r="EY111" s="61"/>
      <c r="EZ111" s="61"/>
      <c r="FA111" s="61"/>
      <c r="FB111" s="61"/>
      <c r="FC111" s="61"/>
      <c r="FD111" s="61"/>
      <c r="FE111" s="61"/>
      <c r="FF111" s="61"/>
      <c r="FG111" s="61"/>
      <c r="FH111" s="61"/>
      <c r="FI111" s="61"/>
      <c r="FJ111" s="61"/>
      <c r="FK111" s="61"/>
      <c r="FL111" s="61"/>
      <c r="FM111" s="61"/>
      <c r="FN111" s="61"/>
      <c r="FO111" s="61"/>
      <c r="FP111" s="61"/>
      <c r="FQ111" s="61"/>
      <c r="FR111" s="61"/>
      <c r="FS111" s="61"/>
      <c r="FT111" s="61"/>
      <c r="FU111" s="61"/>
      <c r="FV111" s="61"/>
      <c r="FW111" s="61"/>
      <c r="FX111" s="61"/>
      <c r="FY111" s="61"/>
      <c r="FZ111" s="61"/>
      <c r="GA111" s="61"/>
      <c r="GB111" s="61"/>
      <c r="GC111" s="61"/>
      <c r="GD111" s="61"/>
      <c r="GE111" s="61"/>
      <c r="GF111" s="61"/>
      <c r="GG111" s="61"/>
      <c r="GH111" s="61"/>
      <c r="GI111" s="61"/>
      <c r="GJ111" s="61"/>
      <c r="GK111" s="61"/>
      <c r="GL111" s="61"/>
      <c r="GM111" s="61"/>
      <c r="GN111" s="61"/>
      <c r="GO111" s="61"/>
      <c r="GP111" s="61"/>
      <c r="GQ111" s="61"/>
      <c r="GR111" s="61"/>
      <c r="GS111" s="61"/>
      <c r="GT111" s="61"/>
      <c r="GU111" s="61"/>
      <c r="GV111" s="61"/>
      <c r="GW111" s="61"/>
      <c r="GX111" s="61"/>
      <c r="GY111" s="61"/>
      <c r="GZ111" s="61"/>
      <c r="HA111" s="61"/>
      <c r="HB111" s="61"/>
      <c r="HC111" s="61"/>
      <c r="HD111" s="61"/>
      <c r="HE111" s="61"/>
      <c r="HF111" s="61"/>
      <c r="HG111" s="61"/>
      <c r="HH111" s="61"/>
      <c r="HI111" s="61"/>
      <c r="HJ111" s="61"/>
      <c r="HK111" s="61"/>
      <c r="HL111" s="61"/>
      <c r="HM111" s="61"/>
      <c r="HN111" s="61"/>
      <c r="HO111" s="61"/>
      <c r="HP111" s="61"/>
      <c r="HQ111" s="61"/>
      <c r="HR111" s="61"/>
      <c r="HS111" s="61"/>
      <c r="HT111" s="61"/>
      <c r="HU111" s="61"/>
      <c r="HV111" s="61"/>
      <c r="HW111" s="61"/>
      <c r="HX111" s="61"/>
      <c r="HY111" s="61"/>
      <c r="HZ111" s="61"/>
      <c r="IA111" s="61"/>
      <c r="IB111" s="61"/>
      <c r="IC111" s="61"/>
      <c r="ID111" s="61"/>
      <c r="IE111" s="61"/>
      <c r="IF111" s="61"/>
      <c r="IG111" s="61"/>
      <c r="IH111" s="61"/>
      <c r="II111" s="61"/>
      <c r="IJ111" s="61"/>
      <c r="IK111" s="61"/>
      <c r="IL111" s="61"/>
      <c r="IM111" s="61"/>
      <c r="IN111" s="61"/>
      <c r="IO111" s="61"/>
      <c r="IP111" s="61"/>
      <c r="IQ111" s="61"/>
      <c r="IR111" s="61"/>
      <c r="IS111" s="61"/>
      <c r="IT111" s="61"/>
      <c r="IU111" s="61"/>
      <c r="IV111" s="61"/>
      <c r="IW111" s="61"/>
      <c r="IX111" s="61"/>
      <c r="IY111" s="61"/>
      <c r="IZ111" s="61"/>
      <c r="JA111" s="61"/>
      <c r="JB111" s="61"/>
      <c r="JC111" s="61"/>
      <c r="JD111" s="61"/>
      <c r="JE111" s="61"/>
      <c r="JF111" s="61"/>
      <c r="JG111" s="61"/>
      <c r="JH111" s="61"/>
      <c r="JI111" s="61"/>
      <c r="JJ111" s="61"/>
      <c r="JK111" s="61"/>
      <c r="JL111" s="61"/>
      <c r="JM111" s="61"/>
      <c r="JN111" s="61"/>
      <c r="JO111" s="61"/>
      <c r="JP111" s="61"/>
      <c r="JQ111" s="61"/>
      <c r="JR111" s="61"/>
      <c r="JS111" s="61"/>
      <c r="JT111" s="61"/>
      <c r="JU111" s="61"/>
      <c r="JV111" s="61"/>
      <c r="JW111" s="61"/>
      <c r="JX111" s="61"/>
      <c r="JY111" s="61"/>
      <c r="JZ111" s="61"/>
      <c r="KA111" s="61"/>
      <c r="KB111" s="61"/>
      <c r="KC111" s="61"/>
      <c r="KD111" s="61"/>
      <c r="KE111" s="61"/>
      <c r="KF111" s="61"/>
      <c r="KG111" s="61"/>
      <c r="KH111" s="61"/>
      <c r="KI111" s="61"/>
      <c r="KJ111" s="61"/>
      <c r="KK111" s="61"/>
      <c r="KL111" s="61"/>
      <c r="KM111" s="61"/>
      <c r="KN111" s="61"/>
      <c r="KO111" s="61"/>
      <c r="KP111" s="61"/>
      <c r="KQ111" s="61"/>
      <c r="KR111" s="61"/>
      <c r="KS111" s="61"/>
      <c r="KT111" s="61"/>
      <c r="KU111" s="61"/>
      <c r="KV111" s="61"/>
      <c r="KW111" s="61"/>
      <c r="KX111" s="61"/>
      <c r="KY111" s="61"/>
      <c r="KZ111" s="61"/>
      <c r="LA111" s="61"/>
      <c r="LB111" s="61"/>
      <c r="LC111" s="61"/>
      <c r="LD111" s="61"/>
      <c r="LE111" s="61"/>
      <c r="LF111" s="61"/>
      <c r="LG111" s="61"/>
      <c r="LH111" s="61"/>
      <c r="LI111" s="61"/>
      <c r="LJ111" s="61"/>
      <c r="LK111" s="61"/>
      <c r="LL111" s="61"/>
      <c r="LM111" s="61"/>
      <c r="LN111" s="61"/>
      <c r="LO111" s="61"/>
      <c r="LP111" s="61"/>
      <c r="LQ111" s="61"/>
      <c r="LR111" s="61"/>
      <c r="LS111" s="61"/>
      <c r="LT111" s="61"/>
      <c r="LU111" s="61"/>
      <c r="LV111" s="61"/>
      <c r="LW111" s="61"/>
      <c r="LX111" s="61"/>
      <c r="LY111" s="61"/>
      <c r="LZ111" s="61"/>
      <c r="MA111" s="61"/>
      <c r="MB111" s="61"/>
      <c r="MC111" s="61"/>
      <c r="MD111" s="61"/>
      <c r="ME111" s="61"/>
      <c r="MF111" s="61"/>
      <c r="MG111" s="61"/>
      <c r="MH111" s="61"/>
      <c r="MI111" s="61"/>
      <c r="MJ111" s="61"/>
      <c r="MK111" s="61"/>
      <c r="ML111" s="61"/>
      <c r="MM111" s="61"/>
      <c r="MN111" s="61"/>
      <c r="MO111" s="61"/>
      <c r="MP111" s="61"/>
      <c r="MQ111" s="61"/>
      <c r="MR111" s="61"/>
      <c r="MS111" s="61"/>
      <c r="MT111" s="61"/>
      <c r="MU111" s="61"/>
      <c r="MV111" s="61"/>
      <c r="MW111" s="61"/>
      <c r="MX111" s="61"/>
      <c r="MY111" s="61"/>
      <c r="MZ111" s="61"/>
      <c r="NA111" s="61"/>
      <c r="NB111" s="61"/>
      <c r="NC111" s="61"/>
      <c r="ND111" s="61"/>
      <c r="NE111" s="61"/>
      <c r="NF111" s="61"/>
      <c r="NG111" s="61"/>
      <c r="NH111" s="61"/>
      <c r="NI111" s="61"/>
      <c r="NJ111" s="61"/>
      <c r="NK111" s="61"/>
      <c r="NL111" s="61"/>
      <c r="NM111" s="61"/>
      <c r="NN111" s="61"/>
      <c r="NO111" s="61"/>
      <c r="NP111" s="61"/>
      <c r="NQ111" s="61"/>
      <c r="NR111" s="61"/>
      <c r="NS111" s="61"/>
      <c r="NT111" s="61"/>
      <c r="NU111" s="61"/>
      <c r="NV111" s="61"/>
      <c r="NW111" s="61"/>
      <c r="NX111" s="61"/>
      <c r="NY111" s="61"/>
      <c r="NZ111" s="61"/>
      <c r="OA111" s="61"/>
      <c r="OB111" s="61"/>
      <c r="OC111" s="61"/>
      <c r="OD111" s="61"/>
      <c r="OE111" s="61"/>
      <c r="OF111" s="61"/>
      <c r="OG111" s="61"/>
      <c r="OH111" s="61"/>
      <c r="OI111" s="61"/>
      <c r="OJ111" s="61"/>
      <c r="OK111" s="61"/>
      <c r="OL111" s="61"/>
      <c r="OM111" s="61"/>
      <c r="ON111" s="61"/>
      <c r="OO111" s="61"/>
      <c r="OP111" s="61"/>
      <c r="OQ111" s="61"/>
      <c r="OR111" s="61"/>
      <c r="OS111" s="61"/>
      <c r="OT111" s="61"/>
      <c r="OU111" s="61"/>
      <c r="OV111" s="61"/>
      <c r="OW111" s="61"/>
      <c r="OX111" s="61"/>
      <c r="OY111" s="61"/>
      <c r="OZ111" s="61"/>
      <c r="PA111" s="61"/>
      <c r="PB111" s="61"/>
      <c r="PC111" s="61"/>
      <c r="PD111" s="61"/>
      <c r="PE111" s="61"/>
      <c r="PF111" s="61"/>
      <c r="PG111" s="61"/>
      <c r="PH111" s="61"/>
      <c r="PI111" s="61"/>
      <c r="PJ111" s="61"/>
      <c r="PK111" s="61"/>
      <c r="PL111" s="61"/>
      <c r="PM111" s="61"/>
      <c r="PN111" s="61"/>
      <c r="PO111" s="61"/>
      <c r="PP111" s="61"/>
      <c r="PQ111" s="61"/>
      <c r="PR111" s="61"/>
      <c r="PS111" s="61"/>
      <c r="PT111" s="61"/>
      <c r="PU111" s="61"/>
      <c r="PV111" s="61"/>
      <c r="PW111" s="61"/>
      <c r="PX111" s="61"/>
      <c r="PY111" s="61"/>
      <c r="PZ111" s="61"/>
      <c r="QA111" s="61"/>
      <c r="QB111" s="61"/>
      <c r="QC111" s="61"/>
      <c r="QD111" s="61"/>
      <c r="QE111" s="61"/>
      <c r="QF111" s="61"/>
      <c r="QG111" s="61"/>
      <c r="QH111" s="61"/>
      <c r="QI111" s="61"/>
      <c r="QJ111" s="61"/>
      <c r="QK111" s="61"/>
      <c r="QL111" s="61"/>
      <c r="QM111" s="61"/>
      <c r="QN111" s="61"/>
      <c r="QO111" s="61"/>
      <c r="QP111" s="61"/>
      <c r="QQ111" s="61"/>
      <c r="QR111" s="61"/>
      <c r="QS111" s="61"/>
      <c r="QT111" s="61"/>
      <c r="QU111" s="61"/>
      <c r="QV111" s="61"/>
      <c r="QW111" s="61"/>
      <c r="QX111" s="61"/>
      <c r="QY111" s="61"/>
      <c r="QZ111" s="61"/>
      <c r="RA111" s="61"/>
      <c r="RB111" s="61"/>
      <c r="RC111" s="61"/>
      <c r="RD111" s="17"/>
    </row>
    <row r="112" spans="1:472" s="5" customFormat="1" ht="15" hidden="1" customHeight="1" x14ac:dyDescent="0.25">
      <c r="A112" s="5">
        <v>2021</v>
      </c>
      <c r="B112" s="5" t="s">
        <v>41</v>
      </c>
      <c r="C112" s="5" t="s">
        <v>4</v>
      </c>
      <c r="D112" s="5">
        <v>136</v>
      </c>
      <c r="E112" s="24"/>
      <c r="F112" s="64" t="s">
        <v>216</v>
      </c>
      <c r="G112" s="65"/>
      <c r="H112" s="19"/>
      <c r="I112" s="61"/>
      <c r="J112" s="61"/>
      <c r="K112" s="61"/>
      <c r="L112" s="61"/>
      <c r="M112" s="61"/>
      <c r="N112" s="61"/>
      <c r="O112" s="61"/>
      <c r="P112" s="61"/>
      <c r="Q112" s="61"/>
      <c r="R112" s="61"/>
      <c r="S112" s="61"/>
      <c r="T112" s="61"/>
      <c r="X112" s="61"/>
      <c r="Y112" s="61"/>
      <c r="Z112" s="61"/>
      <c r="AA112" s="61"/>
      <c r="AB112" s="61"/>
      <c r="AC112" s="61"/>
      <c r="AD112" s="61"/>
      <c r="AE112" s="61"/>
      <c r="AF112" s="61"/>
      <c r="AG112" s="61"/>
      <c r="AH112" s="61"/>
      <c r="AI112" s="61"/>
      <c r="AJ112" s="61"/>
      <c r="AK112" s="61"/>
      <c r="AL112" s="61"/>
      <c r="AM112" s="61"/>
      <c r="AN112" s="61"/>
      <c r="AO112" s="61"/>
      <c r="AP112" s="61"/>
      <c r="AQ112" s="61"/>
      <c r="AR112" s="61">
        <v>3</v>
      </c>
      <c r="AS112" s="61"/>
      <c r="AT112" s="61">
        <v>2</v>
      </c>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1"/>
      <c r="DV112" s="61"/>
      <c r="DW112" s="61"/>
      <c r="DX112" s="61"/>
      <c r="DY112" s="61"/>
      <c r="DZ112" s="61"/>
      <c r="EA112" s="61"/>
      <c r="EB112" s="61"/>
      <c r="EC112" s="61"/>
      <c r="ED112" s="61"/>
      <c r="EE112" s="61"/>
      <c r="EF112" s="61"/>
      <c r="EG112" s="61"/>
      <c r="EH112" s="61"/>
      <c r="EI112" s="61"/>
      <c r="EJ112" s="61"/>
      <c r="EK112" s="61"/>
      <c r="EL112" s="61"/>
      <c r="EM112" s="61"/>
      <c r="EN112" s="61"/>
      <c r="EO112" s="61"/>
      <c r="EP112" s="61"/>
      <c r="EQ112" s="61"/>
      <c r="ER112" s="61"/>
      <c r="ES112" s="61"/>
      <c r="ET112" s="61"/>
      <c r="EU112" s="61"/>
      <c r="EV112" s="61"/>
      <c r="EW112" s="61"/>
      <c r="EX112" s="61"/>
      <c r="EY112" s="61"/>
      <c r="EZ112" s="61"/>
      <c r="FA112" s="61"/>
      <c r="FB112" s="61"/>
      <c r="FC112" s="61"/>
      <c r="FD112" s="61"/>
      <c r="FE112" s="61"/>
      <c r="FF112" s="61"/>
      <c r="FG112" s="61"/>
      <c r="FH112" s="61"/>
      <c r="FI112" s="61"/>
      <c r="FJ112" s="61"/>
      <c r="FK112" s="61"/>
      <c r="FL112" s="61"/>
      <c r="FM112" s="61"/>
      <c r="FN112" s="61"/>
      <c r="FO112" s="61"/>
      <c r="FP112" s="61"/>
      <c r="FQ112" s="61"/>
      <c r="FR112" s="61"/>
      <c r="FS112" s="61"/>
      <c r="FT112" s="61"/>
      <c r="FU112" s="61"/>
      <c r="FV112" s="61"/>
      <c r="FW112" s="61"/>
      <c r="FX112" s="61"/>
      <c r="FY112" s="61"/>
      <c r="FZ112" s="61"/>
      <c r="GA112" s="61"/>
      <c r="GB112" s="61"/>
      <c r="GC112" s="61"/>
      <c r="GD112" s="61"/>
      <c r="GE112" s="61"/>
      <c r="GF112" s="61"/>
      <c r="GG112" s="61"/>
      <c r="GH112" s="61"/>
      <c r="GI112" s="61"/>
      <c r="GJ112" s="61"/>
      <c r="GK112" s="61"/>
      <c r="GL112" s="61"/>
      <c r="GM112" s="61"/>
      <c r="GN112" s="61"/>
      <c r="GO112" s="61"/>
      <c r="GP112" s="61"/>
      <c r="GQ112" s="61"/>
      <c r="GR112" s="61"/>
      <c r="GS112" s="61"/>
      <c r="GT112" s="61"/>
      <c r="GU112" s="61"/>
      <c r="GV112" s="61"/>
      <c r="GW112" s="61"/>
      <c r="GX112" s="61"/>
      <c r="GY112" s="61"/>
      <c r="GZ112" s="61"/>
      <c r="HA112" s="61"/>
      <c r="HB112" s="61"/>
      <c r="HC112" s="61"/>
      <c r="HD112" s="61"/>
      <c r="HE112" s="61"/>
      <c r="HF112" s="61"/>
      <c r="HG112" s="61"/>
      <c r="HH112" s="61"/>
      <c r="HI112" s="61"/>
      <c r="HJ112" s="61"/>
      <c r="HK112" s="61"/>
      <c r="HL112" s="61"/>
      <c r="HM112" s="61"/>
      <c r="HN112" s="61"/>
      <c r="HO112" s="61"/>
      <c r="HP112" s="61"/>
      <c r="HQ112" s="61"/>
      <c r="HR112" s="61"/>
      <c r="HS112" s="61"/>
      <c r="HT112" s="61"/>
      <c r="HU112" s="61"/>
      <c r="HV112" s="61"/>
      <c r="HW112" s="61"/>
      <c r="HX112" s="61"/>
      <c r="HY112" s="61"/>
      <c r="HZ112" s="61"/>
      <c r="IA112" s="61"/>
      <c r="IB112" s="61"/>
      <c r="IC112" s="61"/>
      <c r="ID112" s="61"/>
      <c r="IE112" s="61"/>
      <c r="IF112" s="61"/>
      <c r="IG112" s="61"/>
      <c r="IH112" s="61"/>
      <c r="II112" s="61"/>
      <c r="IJ112" s="61"/>
      <c r="IK112" s="61"/>
      <c r="IL112" s="61"/>
      <c r="IM112" s="61"/>
      <c r="IN112" s="61"/>
      <c r="IO112" s="61"/>
      <c r="IP112" s="61"/>
      <c r="IQ112" s="61"/>
      <c r="IR112" s="61"/>
      <c r="IS112" s="61"/>
      <c r="IT112" s="61"/>
      <c r="IU112" s="61"/>
      <c r="IV112" s="61"/>
      <c r="IW112" s="61"/>
      <c r="IX112" s="61"/>
      <c r="IY112" s="61"/>
      <c r="IZ112" s="61"/>
      <c r="JA112" s="61"/>
      <c r="JB112" s="61"/>
      <c r="JC112" s="61"/>
      <c r="JD112" s="61"/>
      <c r="JE112" s="61"/>
      <c r="JF112" s="61"/>
      <c r="JG112" s="61"/>
      <c r="JH112" s="61"/>
      <c r="JI112" s="61"/>
      <c r="JJ112" s="61"/>
      <c r="JK112" s="61"/>
      <c r="JL112" s="61"/>
      <c r="JM112" s="61"/>
      <c r="JN112" s="61"/>
      <c r="JO112" s="61"/>
      <c r="JP112" s="61"/>
      <c r="JQ112" s="61"/>
      <c r="JR112" s="61"/>
      <c r="JS112" s="61"/>
      <c r="JT112" s="61"/>
      <c r="JU112" s="61"/>
      <c r="JV112" s="61"/>
      <c r="JW112" s="61"/>
      <c r="JX112" s="61"/>
      <c r="JY112" s="61"/>
      <c r="JZ112" s="61"/>
      <c r="KA112" s="61"/>
      <c r="KB112" s="61"/>
      <c r="KC112" s="61"/>
      <c r="KD112" s="61"/>
      <c r="KE112" s="61"/>
      <c r="KF112" s="61"/>
      <c r="KG112" s="61"/>
      <c r="KH112" s="61"/>
      <c r="KI112" s="61"/>
      <c r="KJ112" s="61"/>
      <c r="KK112" s="61"/>
      <c r="KL112" s="61"/>
      <c r="KM112" s="61"/>
      <c r="KN112" s="61"/>
      <c r="KO112" s="61"/>
      <c r="KP112" s="61"/>
      <c r="KQ112" s="61"/>
      <c r="KR112" s="61"/>
      <c r="KS112" s="61"/>
      <c r="KT112" s="61"/>
      <c r="KU112" s="61"/>
      <c r="KV112" s="61"/>
      <c r="KW112" s="61"/>
      <c r="KX112" s="61"/>
      <c r="KY112" s="61"/>
      <c r="KZ112" s="61"/>
      <c r="LA112" s="61"/>
      <c r="LB112" s="61"/>
      <c r="LC112" s="61"/>
      <c r="LD112" s="61"/>
      <c r="LE112" s="61"/>
      <c r="LF112" s="61"/>
      <c r="LG112" s="61"/>
      <c r="LH112" s="61"/>
      <c r="LI112" s="61"/>
      <c r="LJ112" s="61"/>
      <c r="LK112" s="61"/>
      <c r="LL112" s="61"/>
      <c r="LM112" s="61"/>
      <c r="LN112" s="61"/>
      <c r="LO112" s="61"/>
      <c r="LP112" s="61"/>
      <c r="LQ112" s="61"/>
      <c r="LR112" s="61"/>
      <c r="LS112" s="61"/>
      <c r="LT112" s="61"/>
      <c r="LU112" s="61"/>
      <c r="LV112" s="61"/>
      <c r="LW112" s="61"/>
      <c r="LX112" s="61"/>
      <c r="LY112" s="61"/>
      <c r="LZ112" s="61"/>
      <c r="MA112" s="61"/>
      <c r="MB112" s="61"/>
      <c r="MC112" s="61"/>
      <c r="MD112" s="61"/>
      <c r="ME112" s="61"/>
      <c r="MF112" s="61"/>
      <c r="MG112" s="61"/>
      <c r="MH112" s="61"/>
      <c r="MI112" s="61"/>
      <c r="MJ112" s="61"/>
      <c r="MK112" s="61"/>
      <c r="ML112" s="61"/>
      <c r="MM112" s="61"/>
      <c r="MN112" s="61"/>
      <c r="MO112" s="61"/>
      <c r="MP112" s="61"/>
      <c r="MQ112" s="61"/>
      <c r="MR112" s="61"/>
      <c r="MS112" s="61"/>
      <c r="MT112" s="61"/>
      <c r="MU112" s="61"/>
      <c r="MV112" s="61"/>
      <c r="MW112" s="61"/>
      <c r="MX112" s="61"/>
      <c r="MY112" s="61"/>
      <c r="MZ112" s="61"/>
      <c r="NA112" s="61"/>
      <c r="NB112" s="61"/>
      <c r="NC112" s="61"/>
      <c r="ND112" s="61"/>
      <c r="NE112" s="61"/>
      <c r="NF112" s="61"/>
      <c r="NG112" s="61"/>
      <c r="NH112" s="61"/>
      <c r="NI112" s="61"/>
      <c r="NJ112" s="61"/>
      <c r="NK112" s="61"/>
      <c r="NL112" s="61"/>
      <c r="NM112" s="61"/>
      <c r="NN112" s="61"/>
      <c r="NO112" s="61"/>
      <c r="NP112" s="61"/>
      <c r="NQ112" s="61"/>
      <c r="NR112" s="61"/>
      <c r="NS112" s="61"/>
      <c r="NT112" s="61"/>
      <c r="NU112" s="61"/>
      <c r="NV112" s="61"/>
      <c r="NW112" s="61"/>
      <c r="NX112" s="61"/>
      <c r="NY112" s="61"/>
      <c r="NZ112" s="61"/>
      <c r="OA112" s="61"/>
      <c r="OB112" s="61"/>
      <c r="OC112" s="61"/>
      <c r="OD112" s="61"/>
      <c r="OE112" s="61"/>
      <c r="OF112" s="61"/>
      <c r="OG112" s="61"/>
      <c r="OH112" s="61"/>
      <c r="OI112" s="61"/>
      <c r="OJ112" s="61"/>
      <c r="OK112" s="61"/>
      <c r="OL112" s="61"/>
      <c r="OM112" s="61"/>
      <c r="ON112" s="61"/>
      <c r="OO112" s="61"/>
      <c r="OP112" s="61"/>
      <c r="OQ112" s="61"/>
      <c r="OR112" s="61"/>
      <c r="OS112" s="61"/>
      <c r="OT112" s="61"/>
      <c r="OU112" s="61"/>
      <c r="OV112" s="61"/>
      <c r="OW112" s="61"/>
      <c r="OX112" s="61"/>
      <c r="OY112" s="61"/>
      <c r="OZ112" s="61"/>
      <c r="PA112" s="61"/>
      <c r="PB112" s="61"/>
      <c r="PC112" s="61"/>
      <c r="PD112" s="61"/>
      <c r="PE112" s="61"/>
      <c r="PF112" s="61"/>
      <c r="PG112" s="61"/>
      <c r="PH112" s="61"/>
      <c r="PI112" s="61"/>
      <c r="PJ112" s="61"/>
      <c r="PK112" s="61"/>
      <c r="PL112" s="61"/>
      <c r="PM112" s="61"/>
      <c r="PN112" s="61"/>
      <c r="PO112" s="61"/>
      <c r="PP112" s="61"/>
      <c r="PQ112" s="61"/>
      <c r="PR112" s="61"/>
      <c r="PS112" s="61"/>
      <c r="PT112" s="61"/>
      <c r="PU112" s="61"/>
      <c r="PV112" s="61"/>
      <c r="PW112" s="61"/>
      <c r="PX112" s="61"/>
      <c r="PY112" s="61"/>
      <c r="PZ112" s="61"/>
      <c r="QA112" s="61"/>
      <c r="QB112" s="61"/>
      <c r="QC112" s="61"/>
      <c r="QD112" s="61"/>
      <c r="QE112" s="61"/>
      <c r="QF112" s="61"/>
      <c r="QG112" s="61"/>
      <c r="QH112" s="61"/>
      <c r="QI112" s="61"/>
      <c r="QJ112" s="61"/>
      <c r="QK112" s="61"/>
      <c r="QL112" s="61"/>
      <c r="QM112" s="61"/>
      <c r="QN112" s="61"/>
      <c r="QO112" s="61"/>
      <c r="QP112" s="61"/>
      <c r="QQ112" s="61"/>
      <c r="QR112" s="61"/>
      <c r="QS112" s="61"/>
      <c r="QT112" s="61"/>
      <c r="QU112" s="61"/>
      <c r="QV112" s="61"/>
      <c r="QW112" s="61"/>
      <c r="QX112" s="61"/>
      <c r="QY112" s="61"/>
      <c r="QZ112" s="61"/>
      <c r="RA112" s="61"/>
      <c r="RB112" s="61"/>
      <c r="RC112" s="61"/>
      <c r="RD112" s="17"/>
    </row>
    <row r="113" spans="1:472" s="5" customFormat="1" ht="15" hidden="1" customHeight="1" x14ac:dyDescent="0.25">
      <c r="A113" s="5">
        <v>2023</v>
      </c>
      <c r="B113" s="5" t="s">
        <v>81</v>
      </c>
      <c r="C113" s="5" t="s">
        <v>5</v>
      </c>
      <c r="D113" s="5">
        <v>209</v>
      </c>
      <c r="E113" s="24"/>
      <c r="F113" s="64" t="s">
        <v>216</v>
      </c>
      <c r="G113" s="65"/>
      <c r="H113" s="19"/>
      <c r="I113" s="61"/>
      <c r="J113" s="61"/>
      <c r="K113" s="61"/>
      <c r="L113" s="61"/>
      <c r="M113" s="61"/>
      <c r="N113" s="61"/>
      <c r="O113" s="61"/>
      <c r="P113" s="61"/>
      <c r="Q113" s="61"/>
      <c r="R113" s="61"/>
      <c r="S113" s="61"/>
      <c r="T113" s="61"/>
      <c r="X113" s="61"/>
      <c r="Y113" s="61"/>
      <c r="Z113" s="61"/>
      <c r="AA113" s="61"/>
      <c r="AB113" s="61"/>
      <c r="AC113" s="61"/>
      <c r="AD113" s="61"/>
      <c r="AE113" s="61"/>
      <c r="AF113" s="61"/>
      <c r="AG113" s="61"/>
      <c r="AH113" s="61"/>
      <c r="AI113" s="61"/>
      <c r="AJ113" s="61"/>
      <c r="AK113" s="61"/>
      <c r="AL113" s="61"/>
      <c r="AM113" s="61"/>
      <c r="AN113" s="61"/>
      <c r="AO113" s="61"/>
      <c r="AP113" s="61"/>
      <c r="AQ113" s="61"/>
      <c r="AR113" s="61">
        <v>4</v>
      </c>
      <c r="AS113" s="61"/>
      <c r="AT113" s="61">
        <v>5</v>
      </c>
      <c r="AU113" s="61"/>
      <c r="AV113" s="61">
        <v>4</v>
      </c>
      <c r="AW113" s="61"/>
      <c r="AX113" s="61">
        <v>3</v>
      </c>
      <c r="AY113" s="61"/>
      <c r="AZ113" s="61">
        <v>2</v>
      </c>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1"/>
      <c r="EX113" s="61"/>
      <c r="EY113" s="61"/>
      <c r="EZ113" s="61"/>
      <c r="FA113" s="61"/>
      <c r="FB113" s="61"/>
      <c r="FC113" s="61"/>
      <c r="FD113" s="61"/>
      <c r="FE113" s="61"/>
      <c r="FF113" s="61"/>
      <c r="FG113" s="61"/>
      <c r="FH113" s="61"/>
      <c r="FI113" s="61"/>
      <c r="FJ113" s="61"/>
      <c r="FK113" s="61"/>
      <c r="FL113" s="61"/>
      <c r="FM113" s="61"/>
      <c r="FN113" s="61"/>
      <c r="FO113" s="61"/>
      <c r="FP113" s="61"/>
      <c r="FQ113" s="61"/>
      <c r="FR113" s="61"/>
      <c r="FS113" s="61"/>
      <c r="FT113" s="61"/>
      <c r="FU113" s="61"/>
      <c r="FV113" s="61"/>
      <c r="FW113" s="61"/>
      <c r="FX113" s="61"/>
      <c r="FY113" s="61"/>
      <c r="FZ113" s="61"/>
      <c r="GA113" s="61"/>
      <c r="GB113" s="61"/>
      <c r="GC113" s="61"/>
      <c r="GD113" s="61"/>
      <c r="GE113" s="61"/>
      <c r="GF113" s="61"/>
      <c r="GG113" s="61"/>
      <c r="GH113" s="61"/>
      <c r="GI113" s="61"/>
      <c r="GJ113" s="61"/>
      <c r="GK113" s="61"/>
      <c r="GL113" s="61"/>
      <c r="GM113" s="61"/>
      <c r="GN113" s="61"/>
      <c r="GO113" s="61"/>
      <c r="GP113" s="61"/>
      <c r="GQ113" s="61"/>
      <c r="GR113" s="61"/>
      <c r="GS113" s="61"/>
      <c r="GT113" s="61"/>
      <c r="GU113" s="61"/>
      <c r="GV113" s="61"/>
      <c r="GW113" s="61"/>
      <c r="GX113" s="61"/>
      <c r="GY113" s="61"/>
      <c r="GZ113" s="61"/>
      <c r="HA113" s="61"/>
      <c r="HB113" s="61"/>
      <c r="HC113" s="61"/>
      <c r="HD113" s="61"/>
      <c r="HE113" s="61"/>
      <c r="HF113" s="61"/>
      <c r="HG113" s="61"/>
      <c r="HH113" s="61"/>
      <c r="HI113" s="61"/>
      <c r="HJ113" s="61"/>
      <c r="HK113" s="61"/>
      <c r="HL113" s="61"/>
      <c r="HM113" s="61"/>
      <c r="HN113" s="61"/>
      <c r="HO113" s="61"/>
      <c r="HP113" s="61"/>
      <c r="HQ113" s="61"/>
      <c r="HR113" s="61"/>
      <c r="HS113" s="61"/>
      <c r="HT113" s="61"/>
      <c r="HU113" s="61"/>
      <c r="HV113" s="61"/>
      <c r="HW113" s="61"/>
      <c r="HX113" s="61"/>
      <c r="HY113" s="61"/>
      <c r="HZ113" s="61"/>
      <c r="IA113" s="61"/>
      <c r="IB113" s="61"/>
      <c r="IC113" s="61"/>
      <c r="ID113" s="61"/>
      <c r="IE113" s="61"/>
      <c r="IF113" s="61"/>
      <c r="IG113" s="61"/>
      <c r="IH113" s="61"/>
      <c r="II113" s="61"/>
      <c r="IJ113" s="61"/>
      <c r="IK113" s="61"/>
      <c r="IL113" s="61"/>
      <c r="IM113" s="61"/>
      <c r="IN113" s="61"/>
      <c r="IO113" s="61"/>
      <c r="IP113" s="61"/>
      <c r="IQ113" s="61"/>
      <c r="IR113" s="61"/>
      <c r="IS113" s="61"/>
      <c r="IT113" s="61"/>
      <c r="IU113" s="61"/>
      <c r="IV113" s="61"/>
      <c r="IW113" s="61"/>
      <c r="IX113" s="61"/>
      <c r="IY113" s="61"/>
      <c r="IZ113" s="61"/>
      <c r="JA113" s="61"/>
      <c r="JB113" s="61"/>
      <c r="JC113" s="61"/>
      <c r="JD113" s="61"/>
      <c r="JE113" s="61"/>
      <c r="JF113" s="61"/>
      <c r="JG113" s="61"/>
      <c r="JH113" s="61"/>
      <c r="JI113" s="61"/>
      <c r="JJ113" s="61"/>
      <c r="JK113" s="61"/>
      <c r="JL113" s="61"/>
      <c r="JM113" s="61"/>
      <c r="JN113" s="61"/>
      <c r="JO113" s="61"/>
      <c r="JP113" s="61"/>
      <c r="JQ113" s="61"/>
      <c r="JR113" s="61"/>
      <c r="JS113" s="61"/>
      <c r="JT113" s="61"/>
      <c r="JU113" s="61"/>
      <c r="JV113" s="61"/>
      <c r="JW113" s="61"/>
      <c r="JX113" s="61"/>
      <c r="JY113" s="61"/>
      <c r="JZ113" s="61"/>
      <c r="KA113" s="61"/>
      <c r="KB113" s="61"/>
      <c r="KC113" s="61"/>
      <c r="KD113" s="61"/>
      <c r="KE113" s="61"/>
      <c r="KF113" s="61"/>
      <c r="KG113" s="61"/>
      <c r="KH113" s="61"/>
      <c r="KI113" s="61"/>
      <c r="KJ113" s="61"/>
      <c r="KK113" s="61"/>
      <c r="KL113" s="61"/>
      <c r="KM113" s="61"/>
      <c r="KN113" s="61"/>
      <c r="KO113" s="61"/>
      <c r="KP113" s="61"/>
      <c r="KQ113" s="61"/>
      <c r="KR113" s="61"/>
      <c r="KS113" s="61"/>
      <c r="KT113" s="61"/>
      <c r="KU113" s="61"/>
      <c r="KV113" s="61"/>
      <c r="KW113" s="61"/>
      <c r="KX113" s="61"/>
      <c r="KY113" s="61"/>
      <c r="KZ113" s="61"/>
      <c r="LA113" s="61"/>
      <c r="LB113" s="61"/>
      <c r="LC113" s="61"/>
      <c r="LD113" s="61"/>
      <c r="LE113" s="61"/>
      <c r="LF113" s="61"/>
      <c r="LG113" s="61"/>
      <c r="LH113" s="61"/>
      <c r="LI113" s="61"/>
      <c r="LJ113" s="61"/>
      <c r="LK113" s="61"/>
      <c r="LL113" s="61"/>
      <c r="LM113" s="61"/>
      <c r="LN113" s="61"/>
      <c r="LO113" s="61"/>
      <c r="LP113" s="61"/>
      <c r="LQ113" s="61"/>
      <c r="LR113" s="61"/>
      <c r="LS113" s="61"/>
      <c r="LT113" s="61"/>
      <c r="LU113" s="61"/>
      <c r="LV113" s="61"/>
      <c r="LW113" s="61"/>
      <c r="LX113" s="61"/>
      <c r="LY113" s="61"/>
      <c r="LZ113" s="61"/>
      <c r="MA113" s="61"/>
      <c r="MB113" s="61"/>
      <c r="MC113" s="61"/>
      <c r="MD113" s="61"/>
      <c r="ME113" s="61"/>
      <c r="MF113" s="61"/>
      <c r="MG113" s="61"/>
      <c r="MH113" s="61"/>
      <c r="MI113" s="61"/>
      <c r="MJ113" s="61"/>
      <c r="MK113" s="61"/>
      <c r="ML113" s="61"/>
      <c r="MM113" s="61"/>
      <c r="MN113" s="61"/>
      <c r="MO113" s="61"/>
      <c r="MP113" s="61"/>
      <c r="MQ113" s="61"/>
      <c r="MR113" s="61"/>
      <c r="MS113" s="61"/>
      <c r="MT113" s="61"/>
      <c r="MU113" s="61"/>
      <c r="MV113" s="61"/>
      <c r="MW113" s="61"/>
      <c r="MX113" s="61"/>
      <c r="MY113" s="61"/>
      <c r="MZ113" s="61"/>
      <c r="NA113" s="61"/>
      <c r="NB113" s="61"/>
      <c r="NC113" s="61"/>
      <c r="ND113" s="61"/>
      <c r="NE113" s="61"/>
      <c r="NF113" s="61"/>
      <c r="NG113" s="61"/>
      <c r="NH113" s="61"/>
      <c r="NI113" s="61"/>
      <c r="NJ113" s="61"/>
      <c r="NK113" s="61"/>
      <c r="NL113" s="61"/>
      <c r="NM113" s="61"/>
      <c r="NN113" s="61"/>
      <c r="NO113" s="61"/>
      <c r="NP113" s="61"/>
      <c r="NQ113" s="61"/>
      <c r="NR113" s="61"/>
      <c r="NS113" s="61"/>
      <c r="NT113" s="61"/>
      <c r="NU113" s="61"/>
      <c r="NV113" s="61"/>
      <c r="NW113" s="61"/>
      <c r="NX113" s="61"/>
      <c r="NY113" s="61"/>
      <c r="NZ113" s="61"/>
      <c r="OA113" s="61"/>
      <c r="OB113" s="61"/>
      <c r="OC113" s="61"/>
      <c r="OD113" s="61"/>
      <c r="OE113" s="61"/>
      <c r="OF113" s="61"/>
      <c r="OG113" s="61"/>
      <c r="OH113" s="61"/>
      <c r="OI113" s="61"/>
      <c r="OJ113" s="61"/>
      <c r="OK113" s="61"/>
      <c r="OL113" s="61"/>
      <c r="OM113" s="61"/>
      <c r="ON113" s="61"/>
      <c r="OO113" s="61"/>
      <c r="OP113" s="61"/>
      <c r="OQ113" s="61"/>
      <c r="OR113" s="61"/>
      <c r="OS113" s="61"/>
      <c r="OT113" s="61"/>
      <c r="OU113" s="61"/>
      <c r="OV113" s="61"/>
      <c r="OW113" s="61"/>
      <c r="OX113" s="61"/>
      <c r="OY113" s="61"/>
      <c r="OZ113" s="61"/>
      <c r="PA113" s="61"/>
      <c r="PB113" s="61"/>
      <c r="PC113" s="61"/>
      <c r="PD113" s="61"/>
      <c r="PE113" s="61"/>
      <c r="PF113" s="61"/>
      <c r="PG113" s="61"/>
      <c r="PH113" s="61"/>
      <c r="PI113" s="61"/>
      <c r="PJ113" s="61"/>
      <c r="PK113" s="61"/>
      <c r="PL113" s="61"/>
      <c r="PM113" s="61"/>
      <c r="PN113" s="61"/>
      <c r="PO113" s="61"/>
      <c r="PP113" s="61"/>
      <c r="PQ113" s="61"/>
      <c r="PR113" s="61"/>
      <c r="PS113" s="61"/>
      <c r="PT113" s="61"/>
      <c r="PU113" s="61"/>
      <c r="PV113" s="61"/>
      <c r="PW113" s="61"/>
      <c r="PX113" s="61"/>
      <c r="PY113" s="61"/>
      <c r="PZ113" s="61"/>
      <c r="QA113" s="61"/>
      <c r="QB113" s="61"/>
      <c r="QC113" s="61"/>
      <c r="QD113" s="61"/>
      <c r="QE113" s="61"/>
      <c r="QF113" s="61"/>
      <c r="QG113" s="61"/>
      <c r="QH113" s="61"/>
      <c r="QI113" s="61"/>
      <c r="QJ113" s="61"/>
      <c r="QK113" s="61"/>
      <c r="QL113" s="61"/>
      <c r="QM113" s="61"/>
      <c r="QN113" s="61"/>
      <c r="QO113" s="61"/>
      <c r="QP113" s="61"/>
      <c r="QQ113" s="61"/>
      <c r="QR113" s="61"/>
      <c r="QS113" s="61"/>
      <c r="QT113" s="61"/>
      <c r="QU113" s="61"/>
      <c r="QV113" s="61"/>
      <c r="QW113" s="61"/>
      <c r="QX113" s="61"/>
      <c r="QY113" s="61"/>
      <c r="QZ113" s="61"/>
      <c r="RA113" s="61"/>
      <c r="RB113" s="61"/>
      <c r="RC113" s="61"/>
      <c r="RD113" s="17"/>
    </row>
    <row r="114" spans="1:472" s="5" customFormat="1" ht="15" hidden="1" customHeight="1" x14ac:dyDescent="0.25">
      <c r="A114" s="5">
        <v>2028</v>
      </c>
      <c r="B114" s="5" t="s">
        <v>63</v>
      </c>
      <c r="C114" s="5" t="s">
        <v>4</v>
      </c>
      <c r="D114" s="5">
        <v>296</v>
      </c>
      <c r="E114" s="24"/>
      <c r="F114" s="64" t="s">
        <v>216</v>
      </c>
      <c r="G114" s="65"/>
      <c r="H114" s="19"/>
      <c r="I114" s="61"/>
      <c r="J114" s="61"/>
      <c r="K114" s="61"/>
      <c r="L114" s="61"/>
      <c r="M114" s="61"/>
      <c r="N114" s="61"/>
      <c r="O114" s="61"/>
      <c r="P114" s="61"/>
      <c r="Q114" s="61"/>
      <c r="R114" s="61"/>
      <c r="S114" s="61"/>
      <c r="T114" s="61"/>
      <c r="X114" s="61"/>
      <c r="Y114" s="61"/>
      <c r="Z114" s="61"/>
      <c r="AA114" s="61"/>
      <c r="AB114" s="61"/>
      <c r="AC114" s="61"/>
      <c r="AD114" s="61"/>
      <c r="AE114" s="61"/>
      <c r="AF114" s="61"/>
      <c r="AG114" s="61"/>
      <c r="AH114" s="61"/>
      <c r="AI114" s="61"/>
      <c r="AJ114" s="61"/>
      <c r="AK114" s="61"/>
      <c r="AL114" s="61"/>
      <c r="AM114" s="61"/>
      <c r="AN114" s="61"/>
      <c r="AO114" s="61"/>
      <c r="AP114" s="61"/>
      <c r="AQ114" s="61"/>
      <c r="AR114" s="61">
        <v>6</v>
      </c>
      <c r="AS114" s="61"/>
      <c r="AT114" s="61">
        <v>6</v>
      </c>
      <c r="AU114" s="61"/>
      <c r="AV114" s="61">
        <v>15</v>
      </c>
      <c r="AW114" s="61"/>
      <c r="AX114" s="61">
        <v>20</v>
      </c>
      <c r="AY114" s="61"/>
      <c r="AZ114" s="61">
        <v>16</v>
      </c>
      <c r="BA114" s="61"/>
      <c r="BB114" s="61">
        <v>16</v>
      </c>
      <c r="BC114" s="61"/>
      <c r="BD114" s="61">
        <v>16</v>
      </c>
      <c r="BE114" s="61"/>
      <c r="BF114" s="61">
        <v>10</v>
      </c>
      <c r="BG114" s="61"/>
      <c r="BH114" s="61">
        <v>3</v>
      </c>
      <c r="BI114" s="61"/>
      <c r="BJ114" s="61" t="s">
        <v>311</v>
      </c>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1"/>
      <c r="EX114" s="61"/>
      <c r="EY114" s="61"/>
      <c r="EZ114" s="61"/>
      <c r="FA114" s="61"/>
      <c r="FB114" s="61"/>
      <c r="FC114" s="61"/>
      <c r="FD114" s="61"/>
      <c r="FE114" s="61"/>
      <c r="FF114" s="61"/>
      <c r="FG114" s="61"/>
      <c r="FH114" s="61"/>
      <c r="FI114" s="61"/>
      <c r="FJ114" s="61"/>
      <c r="FK114" s="61"/>
      <c r="FL114" s="61"/>
      <c r="FM114" s="61"/>
      <c r="FN114" s="61"/>
      <c r="FO114" s="61"/>
      <c r="FP114" s="61"/>
      <c r="FQ114" s="61"/>
      <c r="FR114" s="61"/>
      <c r="FS114" s="61"/>
      <c r="FT114" s="61"/>
      <c r="FU114" s="61"/>
      <c r="FV114" s="61"/>
      <c r="FW114" s="61"/>
      <c r="FX114" s="61"/>
      <c r="FY114" s="61"/>
      <c r="FZ114" s="61"/>
      <c r="GA114" s="61"/>
      <c r="GB114" s="61"/>
      <c r="GC114" s="61"/>
      <c r="GD114" s="61"/>
      <c r="GE114" s="61"/>
      <c r="GF114" s="61"/>
      <c r="GG114" s="61"/>
      <c r="GH114" s="61"/>
      <c r="GI114" s="61"/>
      <c r="GJ114" s="61"/>
      <c r="GK114" s="61"/>
      <c r="GL114" s="61"/>
      <c r="GM114" s="61"/>
      <c r="GN114" s="61"/>
      <c r="GO114" s="61"/>
      <c r="GP114" s="61"/>
      <c r="GQ114" s="61"/>
      <c r="GR114" s="61"/>
      <c r="GS114" s="61"/>
      <c r="GT114" s="61"/>
      <c r="GU114" s="61"/>
      <c r="GV114" s="61"/>
      <c r="GW114" s="61"/>
      <c r="GX114" s="61"/>
      <c r="GY114" s="61"/>
      <c r="GZ114" s="61"/>
      <c r="HA114" s="61"/>
      <c r="HB114" s="61"/>
      <c r="HC114" s="61"/>
      <c r="HD114" s="61"/>
      <c r="HE114" s="61"/>
      <c r="HF114" s="61"/>
      <c r="HG114" s="61"/>
      <c r="HH114" s="61"/>
      <c r="HI114" s="61"/>
      <c r="HJ114" s="61"/>
      <c r="HK114" s="61"/>
      <c r="HL114" s="61"/>
      <c r="HM114" s="61"/>
      <c r="HN114" s="61"/>
      <c r="HO114" s="61"/>
      <c r="HP114" s="61"/>
      <c r="HQ114" s="61"/>
      <c r="HR114" s="61"/>
      <c r="HS114" s="61"/>
      <c r="HT114" s="61"/>
      <c r="HU114" s="61"/>
      <c r="HV114" s="61"/>
      <c r="HW114" s="61"/>
      <c r="HX114" s="61"/>
      <c r="HY114" s="61"/>
      <c r="HZ114" s="61"/>
      <c r="IA114" s="61"/>
      <c r="IB114" s="61"/>
      <c r="IC114" s="61"/>
      <c r="ID114" s="61"/>
      <c r="IE114" s="61"/>
      <c r="IF114" s="61"/>
      <c r="IG114" s="61"/>
      <c r="IH114" s="61"/>
      <c r="II114" s="61"/>
      <c r="IJ114" s="61"/>
      <c r="IK114" s="61"/>
      <c r="IL114" s="61"/>
      <c r="IM114" s="61"/>
      <c r="IN114" s="61"/>
      <c r="IO114" s="61"/>
      <c r="IP114" s="61"/>
      <c r="IQ114" s="61"/>
      <c r="IR114" s="61"/>
      <c r="IS114" s="61"/>
      <c r="IT114" s="61"/>
      <c r="IU114" s="61"/>
      <c r="IV114" s="61"/>
      <c r="IW114" s="61"/>
      <c r="IX114" s="61"/>
      <c r="IY114" s="61"/>
      <c r="IZ114" s="61"/>
      <c r="JA114" s="61"/>
      <c r="JB114" s="61"/>
      <c r="JC114" s="61"/>
      <c r="JD114" s="61"/>
      <c r="JE114" s="61"/>
      <c r="JF114" s="61"/>
      <c r="JG114" s="61"/>
      <c r="JH114" s="61"/>
      <c r="JI114" s="61"/>
      <c r="JJ114" s="61"/>
      <c r="JK114" s="61"/>
      <c r="JL114" s="61"/>
      <c r="JM114" s="61"/>
      <c r="JN114" s="61"/>
      <c r="JO114" s="61"/>
      <c r="JP114" s="61"/>
      <c r="JQ114" s="61"/>
      <c r="JR114" s="61"/>
      <c r="JS114" s="61"/>
      <c r="JT114" s="61"/>
      <c r="JU114" s="61"/>
      <c r="JV114" s="61"/>
      <c r="JW114" s="61"/>
      <c r="JX114" s="61"/>
      <c r="JY114" s="61"/>
      <c r="JZ114" s="61"/>
      <c r="KA114" s="61"/>
      <c r="KB114" s="61"/>
      <c r="KC114" s="61"/>
      <c r="KD114" s="61"/>
      <c r="KE114" s="61"/>
      <c r="KF114" s="61"/>
      <c r="KG114" s="61"/>
      <c r="KH114" s="61"/>
      <c r="KI114" s="61"/>
      <c r="KJ114" s="61"/>
      <c r="KK114" s="61"/>
      <c r="KL114" s="61"/>
      <c r="KM114" s="61"/>
      <c r="KN114" s="61"/>
      <c r="KO114" s="61"/>
      <c r="KP114" s="61"/>
      <c r="KQ114" s="61"/>
      <c r="KR114" s="61"/>
      <c r="KS114" s="61"/>
      <c r="KT114" s="61"/>
      <c r="KU114" s="61"/>
      <c r="KV114" s="61"/>
      <c r="KW114" s="61"/>
      <c r="KX114" s="61"/>
      <c r="KY114" s="61"/>
      <c r="KZ114" s="61"/>
      <c r="LA114" s="61"/>
      <c r="LB114" s="61"/>
      <c r="LC114" s="61"/>
      <c r="LD114" s="61"/>
      <c r="LE114" s="61"/>
      <c r="LF114" s="61"/>
      <c r="LG114" s="61"/>
      <c r="LH114" s="61"/>
      <c r="LI114" s="61"/>
      <c r="LJ114" s="61"/>
      <c r="LK114" s="61"/>
      <c r="LL114" s="61"/>
      <c r="LM114" s="61"/>
      <c r="LN114" s="61"/>
      <c r="LO114" s="61"/>
      <c r="LP114" s="61"/>
      <c r="LQ114" s="61"/>
      <c r="LR114" s="61"/>
      <c r="LS114" s="61"/>
      <c r="LT114" s="61"/>
      <c r="LU114" s="61"/>
      <c r="LV114" s="61"/>
      <c r="LW114" s="61"/>
      <c r="LX114" s="61"/>
      <c r="LY114" s="61"/>
      <c r="LZ114" s="61"/>
      <c r="MA114" s="61"/>
      <c r="MB114" s="61"/>
      <c r="MC114" s="61"/>
      <c r="MD114" s="61"/>
      <c r="ME114" s="61"/>
      <c r="MF114" s="61"/>
      <c r="MG114" s="61"/>
      <c r="MH114" s="61"/>
      <c r="MI114" s="61"/>
      <c r="MJ114" s="61"/>
      <c r="MK114" s="61"/>
      <c r="ML114" s="61"/>
      <c r="MM114" s="61"/>
      <c r="MN114" s="61"/>
      <c r="MO114" s="61"/>
      <c r="MP114" s="61"/>
      <c r="MQ114" s="61"/>
      <c r="MR114" s="61"/>
      <c r="MS114" s="61"/>
      <c r="MT114" s="61"/>
      <c r="MU114" s="61"/>
      <c r="MV114" s="61"/>
      <c r="MW114" s="61"/>
      <c r="MX114" s="61"/>
      <c r="MY114" s="61"/>
      <c r="MZ114" s="61"/>
      <c r="NA114" s="61"/>
      <c r="NB114" s="61"/>
      <c r="NC114" s="61"/>
      <c r="ND114" s="61"/>
      <c r="NE114" s="61"/>
      <c r="NF114" s="61"/>
      <c r="NG114" s="61"/>
      <c r="NH114" s="61"/>
      <c r="NI114" s="61"/>
      <c r="NJ114" s="61"/>
      <c r="NK114" s="61"/>
      <c r="NL114" s="61"/>
      <c r="NM114" s="61"/>
      <c r="NN114" s="61"/>
      <c r="NO114" s="61"/>
      <c r="NP114" s="61"/>
      <c r="NQ114" s="61"/>
      <c r="NR114" s="61"/>
      <c r="NS114" s="61"/>
      <c r="NT114" s="61"/>
      <c r="NU114" s="61"/>
      <c r="NV114" s="61"/>
      <c r="NW114" s="61"/>
      <c r="NX114" s="61"/>
      <c r="NY114" s="61"/>
      <c r="NZ114" s="61"/>
      <c r="OA114" s="61"/>
      <c r="OB114" s="61"/>
      <c r="OC114" s="61"/>
      <c r="OD114" s="61"/>
      <c r="OE114" s="61"/>
      <c r="OF114" s="61"/>
      <c r="OG114" s="61"/>
      <c r="OH114" s="61"/>
      <c r="OI114" s="61"/>
      <c r="OJ114" s="61"/>
      <c r="OK114" s="61"/>
      <c r="OL114" s="61"/>
      <c r="OM114" s="61"/>
      <c r="ON114" s="61"/>
      <c r="OO114" s="61"/>
      <c r="OP114" s="61"/>
      <c r="OQ114" s="61"/>
      <c r="OR114" s="61"/>
      <c r="OS114" s="61"/>
      <c r="OT114" s="61"/>
      <c r="OU114" s="61"/>
      <c r="OV114" s="61"/>
      <c r="OW114" s="61"/>
      <c r="OX114" s="61"/>
      <c r="OY114" s="61"/>
      <c r="OZ114" s="61"/>
      <c r="PA114" s="61"/>
      <c r="PB114" s="61"/>
      <c r="PC114" s="61"/>
      <c r="PD114" s="61"/>
      <c r="PE114" s="61"/>
      <c r="PF114" s="61"/>
      <c r="PG114" s="61"/>
      <c r="PH114" s="61"/>
      <c r="PI114" s="61"/>
      <c r="PJ114" s="61"/>
      <c r="PK114" s="61"/>
      <c r="PL114" s="61"/>
      <c r="PM114" s="61"/>
      <c r="PN114" s="61"/>
      <c r="PO114" s="61"/>
      <c r="PP114" s="61"/>
      <c r="PQ114" s="61"/>
      <c r="PR114" s="61"/>
      <c r="PS114" s="61"/>
      <c r="PT114" s="61"/>
      <c r="PU114" s="61"/>
      <c r="PV114" s="61"/>
      <c r="PW114" s="61"/>
      <c r="PX114" s="61"/>
      <c r="PY114" s="61"/>
      <c r="PZ114" s="61"/>
      <c r="QA114" s="61"/>
      <c r="QB114" s="61"/>
      <c r="QC114" s="61"/>
      <c r="QD114" s="61"/>
      <c r="QE114" s="61"/>
      <c r="QF114" s="61"/>
      <c r="QG114" s="61"/>
      <c r="QH114" s="61"/>
      <c r="QI114" s="61"/>
      <c r="QJ114" s="61"/>
      <c r="QK114" s="61"/>
      <c r="QL114" s="61"/>
      <c r="QM114" s="61"/>
      <c r="QN114" s="61"/>
      <c r="QO114" s="61"/>
      <c r="QP114" s="61"/>
      <c r="QQ114" s="61"/>
      <c r="QR114" s="61"/>
      <c r="QS114" s="61"/>
      <c r="QT114" s="61"/>
      <c r="QU114" s="61"/>
      <c r="QV114" s="61"/>
      <c r="QW114" s="61"/>
      <c r="QX114" s="61"/>
      <c r="QY114" s="61"/>
      <c r="QZ114" s="61"/>
      <c r="RA114" s="61"/>
      <c r="RB114" s="61"/>
      <c r="RC114" s="61"/>
      <c r="RD114" s="17"/>
    </row>
    <row r="115" spans="1:472" s="5" customFormat="1" ht="15" hidden="1" customHeight="1" x14ac:dyDescent="0.25">
      <c r="A115" s="5">
        <v>2025</v>
      </c>
      <c r="B115" s="5" t="s">
        <v>159</v>
      </c>
      <c r="C115" s="5" t="s">
        <v>4</v>
      </c>
      <c r="D115" s="5">
        <v>75</v>
      </c>
      <c r="E115" s="24"/>
      <c r="F115" s="64" t="s">
        <v>216</v>
      </c>
      <c r="G115" s="65"/>
      <c r="H115" s="19"/>
      <c r="I115" s="61"/>
      <c r="J115" s="61"/>
      <c r="K115" s="61"/>
      <c r="L115" s="61"/>
      <c r="M115" s="61"/>
      <c r="N115" s="61"/>
      <c r="O115" s="61"/>
      <c r="P115" s="61"/>
      <c r="Q115" s="61"/>
      <c r="R115" s="61"/>
      <c r="S115" s="61"/>
      <c r="T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v>2</v>
      </c>
      <c r="AU115" s="61"/>
      <c r="AV115" s="61">
        <v>3</v>
      </c>
      <c r="AW115" s="61"/>
      <c r="AX115" s="61">
        <v>4</v>
      </c>
      <c r="AY115" s="61"/>
      <c r="AZ115" s="61">
        <v>7</v>
      </c>
      <c r="BA115" s="61"/>
      <c r="BB115" s="61">
        <v>11</v>
      </c>
      <c r="BC115" s="61"/>
      <c r="BD115" s="61">
        <v>10</v>
      </c>
      <c r="BE115" s="61"/>
      <c r="BF115" s="61">
        <v>10</v>
      </c>
      <c r="BG115" s="61"/>
      <c r="BH115" s="61">
        <v>10</v>
      </c>
      <c r="BI115" s="61"/>
      <c r="BJ115" s="61">
        <v>6</v>
      </c>
      <c r="BK115" s="61"/>
      <c r="BL115" s="61">
        <v>4</v>
      </c>
      <c r="BM115" s="61"/>
      <c r="BN115" s="61">
        <v>3</v>
      </c>
      <c r="BO115" s="61"/>
      <c r="BP115" s="61">
        <v>3</v>
      </c>
      <c r="BQ115" s="61"/>
      <c r="BR115" s="61">
        <v>1</v>
      </c>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1"/>
      <c r="DV115" s="61"/>
      <c r="DW115" s="61"/>
      <c r="DX115" s="61"/>
      <c r="DY115" s="61"/>
      <c r="DZ115" s="61"/>
      <c r="EA115" s="61"/>
      <c r="EB115" s="61"/>
      <c r="EC115" s="61"/>
      <c r="ED115" s="61"/>
      <c r="EE115" s="61"/>
      <c r="EF115" s="61"/>
      <c r="EG115" s="61"/>
      <c r="EH115" s="61"/>
      <c r="EI115" s="61"/>
      <c r="EJ115" s="61"/>
      <c r="EK115" s="61"/>
      <c r="EL115" s="61"/>
      <c r="EM115" s="61"/>
      <c r="EN115" s="61"/>
      <c r="EO115" s="61"/>
      <c r="EP115" s="61"/>
      <c r="EQ115" s="61"/>
      <c r="ER115" s="61"/>
      <c r="ES115" s="61"/>
      <c r="ET115" s="61"/>
      <c r="EU115" s="61"/>
      <c r="EV115" s="61"/>
      <c r="EW115" s="61"/>
      <c r="EX115" s="61"/>
      <c r="EY115" s="61"/>
      <c r="EZ115" s="61"/>
      <c r="FA115" s="61"/>
      <c r="FB115" s="61"/>
      <c r="FC115" s="61"/>
      <c r="FD115" s="61"/>
      <c r="FE115" s="61"/>
      <c r="FF115" s="61"/>
      <c r="FG115" s="61"/>
      <c r="FH115" s="61"/>
      <c r="FI115" s="61"/>
      <c r="FJ115" s="61"/>
      <c r="FK115" s="61"/>
      <c r="FL115" s="61"/>
      <c r="FM115" s="61"/>
      <c r="FN115" s="61"/>
      <c r="FO115" s="61"/>
      <c r="FP115" s="61"/>
      <c r="FQ115" s="61"/>
      <c r="FR115" s="61"/>
      <c r="FS115" s="61"/>
      <c r="FT115" s="61"/>
      <c r="FU115" s="61"/>
      <c r="FV115" s="61"/>
      <c r="FW115" s="61"/>
      <c r="FX115" s="61"/>
      <c r="FY115" s="61"/>
      <c r="FZ115" s="61"/>
      <c r="GA115" s="61"/>
      <c r="GB115" s="61"/>
      <c r="GC115" s="61"/>
      <c r="GD115" s="61"/>
      <c r="GE115" s="61"/>
      <c r="GF115" s="61"/>
      <c r="GG115" s="61"/>
      <c r="GH115" s="61"/>
      <c r="GI115" s="61"/>
      <c r="GJ115" s="61"/>
      <c r="GK115" s="61"/>
      <c r="GL115" s="61"/>
      <c r="GM115" s="61"/>
      <c r="GN115" s="61"/>
      <c r="GO115" s="61"/>
      <c r="GP115" s="61"/>
      <c r="GQ115" s="61"/>
      <c r="GR115" s="61"/>
      <c r="GS115" s="61"/>
      <c r="GT115" s="61"/>
      <c r="GU115" s="61"/>
      <c r="GV115" s="61"/>
      <c r="GW115" s="61"/>
      <c r="GX115" s="61"/>
      <c r="GY115" s="61"/>
      <c r="GZ115" s="61"/>
      <c r="HA115" s="61"/>
      <c r="HB115" s="61"/>
      <c r="HC115" s="61"/>
      <c r="HD115" s="61"/>
      <c r="HE115" s="61"/>
      <c r="HF115" s="61"/>
      <c r="HG115" s="61"/>
      <c r="HH115" s="61"/>
      <c r="HI115" s="61"/>
      <c r="HJ115" s="61"/>
      <c r="HK115" s="61"/>
      <c r="HL115" s="61"/>
      <c r="HM115" s="61"/>
      <c r="HN115" s="61"/>
      <c r="HO115" s="61"/>
      <c r="HP115" s="61"/>
      <c r="HQ115" s="61"/>
      <c r="HR115" s="61"/>
      <c r="HS115" s="61"/>
      <c r="HT115" s="61"/>
      <c r="HU115" s="61"/>
      <c r="HV115" s="61"/>
      <c r="HW115" s="61"/>
      <c r="HX115" s="61"/>
      <c r="HY115" s="61"/>
      <c r="HZ115" s="61"/>
      <c r="IA115" s="61"/>
      <c r="IB115" s="61"/>
      <c r="IC115" s="61"/>
      <c r="ID115" s="61"/>
      <c r="IE115" s="61"/>
      <c r="IF115" s="61"/>
      <c r="IG115" s="61"/>
      <c r="IH115" s="61"/>
      <c r="II115" s="61"/>
      <c r="IJ115" s="61"/>
      <c r="IK115" s="61"/>
      <c r="IL115" s="61"/>
      <c r="IM115" s="61"/>
      <c r="IN115" s="61"/>
      <c r="IO115" s="61"/>
      <c r="IP115" s="61"/>
      <c r="IQ115" s="61"/>
      <c r="IR115" s="61"/>
      <c r="IS115" s="61"/>
      <c r="IT115" s="61"/>
      <c r="IU115" s="61"/>
      <c r="IV115" s="61"/>
      <c r="IW115" s="61"/>
      <c r="IX115" s="61"/>
      <c r="IY115" s="61"/>
      <c r="IZ115" s="61"/>
      <c r="JA115" s="61"/>
      <c r="JB115" s="61"/>
      <c r="JC115" s="61"/>
      <c r="JD115" s="61"/>
      <c r="JE115" s="61"/>
      <c r="JF115" s="61"/>
      <c r="JG115" s="61"/>
      <c r="JH115" s="61"/>
      <c r="JI115" s="61"/>
      <c r="JJ115" s="61"/>
      <c r="JK115" s="61"/>
      <c r="JL115" s="61"/>
      <c r="JM115" s="61"/>
      <c r="JN115" s="61"/>
      <c r="JO115" s="61"/>
      <c r="JP115" s="61"/>
      <c r="JQ115" s="61"/>
      <c r="JR115" s="61"/>
      <c r="JS115" s="61"/>
      <c r="JT115" s="61"/>
      <c r="JU115" s="61"/>
      <c r="JV115" s="61"/>
      <c r="JW115" s="61"/>
      <c r="JX115" s="61"/>
      <c r="JY115" s="61"/>
      <c r="JZ115" s="61"/>
      <c r="KA115" s="61"/>
      <c r="KB115" s="61"/>
      <c r="KC115" s="61"/>
      <c r="KD115" s="61"/>
      <c r="KE115" s="61"/>
      <c r="KF115" s="61"/>
      <c r="KG115" s="61"/>
      <c r="KH115" s="61"/>
      <c r="KI115" s="61"/>
      <c r="KJ115" s="61"/>
      <c r="KK115" s="61"/>
      <c r="KL115" s="61"/>
      <c r="KM115" s="61"/>
      <c r="KN115" s="61"/>
      <c r="KO115" s="61"/>
      <c r="KP115" s="61"/>
      <c r="KQ115" s="61"/>
      <c r="KR115" s="61"/>
      <c r="KS115" s="61"/>
      <c r="KT115" s="61"/>
      <c r="KU115" s="61"/>
      <c r="KV115" s="61"/>
      <c r="KW115" s="61"/>
      <c r="KX115" s="61"/>
      <c r="KY115" s="61"/>
      <c r="KZ115" s="61"/>
      <c r="LA115" s="61"/>
      <c r="LB115" s="61"/>
      <c r="LC115" s="61"/>
      <c r="LD115" s="61"/>
      <c r="LE115" s="61"/>
      <c r="LF115" s="61"/>
      <c r="LG115" s="61"/>
      <c r="LH115" s="61"/>
      <c r="LI115" s="61"/>
      <c r="LJ115" s="61"/>
      <c r="LK115" s="61"/>
      <c r="LL115" s="61"/>
      <c r="LM115" s="61"/>
      <c r="LN115" s="61"/>
      <c r="LO115" s="61"/>
      <c r="LP115" s="61"/>
      <c r="LQ115" s="61"/>
      <c r="LR115" s="61"/>
      <c r="LS115" s="61"/>
      <c r="LT115" s="61"/>
      <c r="LU115" s="61"/>
      <c r="LV115" s="61"/>
      <c r="LW115" s="61"/>
      <c r="LX115" s="61"/>
      <c r="LY115" s="61"/>
      <c r="LZ115" s="61"/>
      <c r="MA115" s="61"/>
      <c r="MB115" s="61"/>
      <c r="MC115" s="61"/>
      <c r="MD115" s="61"/>
      <c r="ME115" s="61"/>
      <c r="MF115" s="61"/>
      <c r="MG115" s="61"/>
      <c r="MH115" s="61"/>
      <c r="MI115" s="61"/>
      <c r="MJ115" s="61"/>
      <c r="MK115" s="61"/>
      <c r="ML115" s="61"/>
      <c r="MM115" s="61"/>
      <c r="MN115" s="61"/>
      <c r="MO115" s="61"/>
      <c r="MP115" s="61"/>
      <c r="MQ115" s="61"/>
      <c r="MR115" s="61"/>
      <c r="MS115" s="61"/>
      <c r="MT115" s="61"/>
      <c r="MU115" s="61"/>
      <c r="MV115" s="61"/>
      <c r="MW115" s="61"/>
      <c r="MX115" s="61"/>
      <c r="MY115" s="61"/>
      <c r="MZ115" s="61"/>
      <c r="NA115" s="61"/>
      <c r="NB115" s="61"/>
      <c r="NC115" s="61"/>
      <c r="ND115" s="61"/>
      <c r="NE115" s="61"/>
      <c r="NF115" s="61"/>
      <c r="NG115" s="61"/>
      <c r="NH115" s="61"/>
      <c r="NI115" s="61"/>
      <c r="NJ115" s="61"/>
      <c r="NK115" s="61"/>
      <c r="NL115" s="61"/>
      <c r="NM115" s="61"/>
      <c r="NN115" s="61"/>
      <c r="NO115" s="61"/>
      <c r="NP115" s="61"/>
      <c r="NQ115" s="61"/>
      <c r="NR115" s="61"/>
      <c r="NS115" s="61"/>
      <c r="NT115" s="61"/>
      <c r="NU115" s="61"/>
      <c r="NV115" s="61"/>
      <c r="NW115" s="61"/>
      <c r="NX115" s="61"/>
      <c r="NY115" s="61"/>
      <c r="NZ115" s="61"/>
      <c r="OA115" s="61"/>
      <c r="OB115" s="61"/>
      <c r="OC115" s="61"/>
      <c r="OD115" s="61"/>
      <c r="OE115" s="61"/>
      <c r="OF115" s="61"/>
      <c r="OG115" s="61"/>
      <c r="OH115" s="61"/>
      <c r="OI115" s="61"/>
      <c r="OJ115" s="61"/>
      <c r="OK115" s="61"/>
      <c r="OL115" s="61"/>
      <c r="OM115" s="61"/>
      <c r="ON115" s="61"/>
      <c r="OO115" s="61"/>
      <c r="OP115" s="61"/>
      <c r="OQ115" s="61"/>
      <c r="OR115" s="61"/>
      <c r="OS115" s="61"/>
      <c r="OT115" s="61"/>
      <c r="OU115" s="61"/>
      <c r="OV115" s="61"/>
      <c r="OW115" s="61"/>
      <c r="OX115" s="61"/>
      <c r="OY115" s="61"/>
      <c r="OZ115" s="61"/>
      <c r="PA115" s="61"/>
      <c r="PB115" s="61"/>
      <c r="PC115" s="61"/>
      <c r="PD115" s="61"/>
      <c r="PE115" s="61"/>
      <c r="PF115" s="61"/>
      <c r="PG115" s="61"/>
      <c r="PH115" s="61"/>
      <c r="PI115" s="61"/>
      <c r="PJ115" s="61"/>
      <c r="PK115" s="61"/>
      <c r="PL115" s="61"/>
      <c r="PM115" s="61"/>
      <c r="PN115" s="61"/>
      <c r="PO115" s="61"/>
      <c r="PP115" s="61"/>
      <c r="PQ115" s="61"/>
      <c r="PR115" s="61"/>
      <c r="PS115" s="61"/>
      <c r="PT115" s="61"/>
      <c r="PU115" s="61"/>
      <c r="PV115" s="61"/>
      <c r="PW115" s="61"/>
      <c r="PX115" s="61"/>
      <c r="PY115" s="61"/>
      <c r="PZ115" s="61"/>
      <c r="QA115" s="61"/>
      <c r="QB115" s="61"/>
      <c r="QC115" s="61"/>
      <c r="QD115" s="61"/>
      <c r="QE115" s="61"/>
      <c r="QF115" s="61"/>
      <c r="QG115" s="61"/>
      <c r="QH115" s="61"/>
      <c r="QI115" s="61"/>
      <c r="QJ115" s="61"/>
      <c r="QK115" s="61"/>
      <c r="QL115" s="61"/>
      <c r="QM115" s="61"/>
      <c r="QN115" s="61"/>
      <c r="QO115" s="61"/>
      <c r="QP115" s="61"/>
      <c r="QQ115" s="61"/>
      <c r="QR115" s="61"/>
      <c r="QS115" s="61"/>
      <c r="QT115" s="61"/>
      <c r="QU115" s="61"/>
      <c r="QV115" s="61"/>
      <c r="QW115" s="61"/>
      <c r="QX115" s="61"/>
      <c r="QY115" s="61"/>
      <c r="QZ115" s="61"/>
      <c r="RA115" s="61"/>
      <c r="RB115" s="61"/>
      <c r="RC115" s="61"/>
      <c r="RD115" s="17"/>
    </row>
    <row r="116" spans="1:472" s="5" customFormat="1" ht="15" hidden="1" customHeight="1" x14ac:dyDescent="0.25">
      <c r="A116" s="5">
        <v>2026</v>
      </c>
      <c r="B116" s="5" t="s">
        <v>62</v>
      </c>
      <c r="C116" s="5" t="s">
        <v>146</v>
      </c>
      <c r="D116" s="5">
        <v>49</v>
      </c>
      <c r="E116" s="24"/>
      <c r="F116" s="64" t="s">
        <v>216</v>
      </c>
      <c r="G116" s="65"/>
      <c r="H116" s="19"/>
      <c r="I116" s="61"/>
      <c r="J116" s="61"/>
      <c r="K116" s="61"/>
      <c r="L116" s="61"/>
      <c r="M116" s="61"/>
      <c r="N116" s="61"/>
      <c r="O116" s="61"/>
      <c r="P116" s="61"/>
      <c r="Q116" s="61"/>
      <c r="R116" s="61"/>
      <c r="S116" s="61"/>
      <c r="T116" s="61"/>
      <c r="X116" s="61"/>
      <c r="Y116" s="61"/>
      <c r="Z116" s="61"/>
      <c r="AA116" s="61"/>
      <c r="AB116" s="61"/>
      <c r="AC116" s="61"/>
      <c r="AD116" s="61"/>
      <c r="AE116" s="61"/>
      <c r="AF116" s="61"/>
      <c r="AG116" s="61"/>
      <c r="AH116" s="61"/>
      <c r="AI116" s="61"/>
      <c r="AJ116" s="61"/>
      <c r="AK116" s="61"/>
      <c r="AL116" s="61"/>
      <c r="AM116" s="61"/>
      <c r="AN116" s="61"/>
      <c r="AO116" s="61"/>
      <c r="AP116" s="61"/>
      <c r="AQ116" s="61"/>
      <c r="AR116" s="61">
        <v>3</v>
      </c>
      <c r="AS116" s="61"/>
      <c r="AT116" s="61">
        <v>2</v>
      </c>
      <c r="AU116" s="61"/>
      <c r="AV116" s="61">
        <v>1</v>
      </c>
      <c r="AW116" s="61"/>
      <c r="AX116" s="61">
        <v>4</v>
      </c>
      <c r="AY116" s="61"/>
      <c r="AZ116" s="61">
        <v>6</v>
      </c>
      <c r="BA116" s="61"/>
      <c r="BB116" s="61">
        <v>8</v>
      </c>
      <c r="BC116" s="61"/>
      <c r="BD116" s="61">
        <v>5</v>
      </c>
      <c r="BE116" s="61"/>
      <c r="BF116" s="61">
        <v>5</v>
      </c>
      <c r="BG116" s="61"/>
      <c r="BH116" s="61">
        <v>4</v>
      </c>
      <c r="BI116" s="61"/>
      <c r="BJ116" s="61">
        <v>4</v>
      </c>
      <c r="BK116" s="61"/>
      <c r="BL116" s="61">
        <v>2</v>
      </c>
      <c r="BM116" s="61"/>
      <c r="BN116" s="61">
        <v>2</v>
      </c>
      <c r="BO116" s="61"/>
      <c r="BP116" s="61">
        <v>2</v>
      </c>
      <c r="BQ116" s="61"/>
      <c r="BR116" s="61">
        <v>1</v>
      </c>
      <c r="BS116" s="61"/>
      <c r="BT116" s="61">
        <v>1</v>
      </c>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1"/>
      <c r="DV116" s="61"/>
      <c r="DW116" s="61"/>
      <c r="DX116" s="61"/>
      <c r="DY116" s="61"/>
      <c r="DZ116" s="61"/>
      <c r="EA116" s="61"/>
      <c r="EB116" s="61"/>
      <c r="EC116" s="61"/>
      <c r="ED116" s="61"/>
      <c r="EE116" s="61"/>
      <c r="EF116" s="61"/>
      <c r="EG116" s="61"/>
      <c r="EH116" s="61"/>
      <c r="EI116" s="61"/>
      <c r="EJ116" s="61"/>
      <c r="EK116" s="61"/>
      <c r="EL116" s="61"/>
      <c r="EM116" s="61"/>
      <c r="EN116" s="61"/>
      <c r="EO116" s="61"/>
      <c r="EP116" s="61"/>
      <c r="EQ116" s="61"/>
      <c r="ER116" s="61"/>
      <c r="ES116" s="61"/>
      <c r="ET116" s="61"/>
      <c r="EU116" s="61"/>
      <c r="EV116" s="61"/>
      <c r="EW116" s="61"/>
      <c r="EX116" s="61"/>
      <c r="EY116" s="61"/>
      <c r="EZ116" s="61"/>
      <c r="FA116" s="61"/>
      <c r="FB116" s="61"/>
      <c r="FC116" s="61"/>
      <c r="FD116" s="61"/>
      <c r="FE116" s="61"/>
      <c r="FF116" s="61"/>
      <c r="FG116" s="61"/>
      <c r="FH116" s="61"/>
      <c r="FI116" s="61"/>
      <c r="FJ116" s="61"/>
      <c r="FK116" s="61"/>
      <c r="FL116" s="61"/>
      <c r="FM116" s="61"/>
      <c r="FN116" s="61"/>
      <c r="FO116" s="61"/>
      <c r="FP116" s="61"/>
      <c r="FQ116" s="61"/>
      <c r="FR116" s="61"/>
      <c r="FS116" s="61"/>
      <c r="FT116" s="61"/>
      <c r="FU116" s="61"/>
      <c r="FV116" s="61"/>
      <c r="FW116" s="61"/>
      <c r="FX116" s="61"/>
      <c r="FY116" s="61"/>
      <c r="FZ116" s="61"/>
      <c r="GA116" s="61"/>
      <c r="GB116" s="61"/>
      <c r="GC116" s="61"/>
      <c r="GD116" s="61"/>
      <c r="GE116" s="61"/>
      <c r="GF116" s="61"/>
      <c r="GG116" s="61"/>
      <c r="GH116" s="61"/>
      <c r="GI116" s="61"/>
      <c r="GJ116" s="61"/>
      <c r="GK116" s="61"/>
      <c r="GL116" s="61"/>
      <c r="GM116" s="61"/>
      <c r="GN116" s="61"/>
      <c r="GO116" s="61"/>
      <c r="GP116" s="61"/>
      <c r="GQ116" s="61"/>
      <c r="GR116" s="61"/>
      <c r="GS116" s="61"/>
      <c r="GT116" s="61"/>
      <c r="GU116" s="61"/>
      <c r="GV116" s="61"/>
      <c r="GW116" s="61"/>
      <c r="GX116" s="61"/>
      <c r="GY116" s="61"/>
      <c r="GZ116" s="61"/>
      <c r="HA116" s="61"/>
      <c r="HB116" s="61"/>
      <c r="HC116" s="61"/>
      <c r="HD116" s="61"/>
      <c r="HE116" s="61"/>
      <c r="HF116" s="61"/>
      <c r="HG116" s="61"/>
      <c r="HH116" s="61"/>
      <c r="HI116" s="61"/>
      <c r="HJ116" s="61"/>
      <c r="HK116" s="61"/>
      <c r="HL116" s="61"/>
      <c r="HM116" s="61"/>
      <c r="HN116" s="61"/>
      <c r="HO116" s="61"/>
      <c r="HP116" s="61"/>
      <c r="HQ116" s="61"/>
      <c r="HR116" s="61"/>
      <c r="HS116" s="61"/>
      <c r="HT116" s="61"/>
      <c r="HU116" s="61"/>
      <c r="HV116" s="61"/>
      <c r="HW116" s="61"/>
      <c r="HX116" s="61"/>
      <c r="HY116" s="61"/>
      <c r="HZ116" s="61"/>
      <c r="IA116" s="61"/>
      <c r="IB116" s="61"/>
      <c r="IC116" s="61"/>
      <c r="ID116" s="61"/>
      <c r="IE116" s="61"/>
      <c r="IF116" s="61"/>
      <c r="IG116" s="61"/>
      <c r="IH116" s="61"/>
      <c r="II116" s="61"/>
      <c r="IJ116" s="61"/>
      <c r="IK116" s="61"/>
      <c r="IL116" s="61"/>
      <c r="IM116" s="61"/>
      <c r="IN116" s="61"/>
      <c r="IO116" s="61"/>
      <c r="IP116" s="61"/>
      <c r="IQ116" s="61"/>
      <c r="IR116" s="61"/>
      <c r="IS116" s="61"/>
      <c r="IT116" s="61"/>
      <c r="IU116" s="61"/>
      <c r="IV116" s="61"/>
      <c r="IW116" s="61"/>
      <c r="IX116" s="61"/>
      <c r="IY116" s="61"/>
      <c r="IZ116" s="61"/>
      <c r="JA116" s="61"/>
      <c r="JB116" s="61"/>
      <c r="JC116" s="61"/>
      <c r="JD116" s="61"/>
      <c r="JE116" s="61"/>
      <c r="JF116" s="61"/>
      <c r="JG116" s="61"/>
      <c r="JH116" s="61"/>
      <c r="JI116" s="61"/>
      <c r="JJ116" s="61"/>
      <c r="JK116" s="61"/>
      <c r="JL116" s="61"/>
      <c r="JM116" s="61"/>
      <c r="JN116" s="61"/>
      <c r="JO116" s="61"/>
      <c r="JP116" s="61"/>
      <c r="JQ116" s="61"/>
      <c r="JR116" s="61"/>
      <c r="JS116" s="61"/>
      <c r="JT116" s="61"/>
      <c r="JU116" s="61"/>
      <c r="JV116" s="61"/>
      <c r="JW116" s="61"/>
      <c r="JX116" s="61"/>
      <c r="JY116" s="61"/>
      <c r="JZ116" s="61"/>
      <c r="KA116" s="61"/>
      <c r="KB116" s="61"/>
      <c r="KC116" s="61"/>
      <c r="KD116" s="61"/>
      <c r="KE116" s="61"/>
      <c r="KF116" s="61"/>
      <c r="KG116" s="61"/>
      <c r="KH116" s="61"/>
      <c r="KI116" s="61"/>
      <c r="KJ116" s="61"/>
      <c r="KK116" s="61"/>
      <c r="KL116" s="61"/>
      <c r="KM116" s="61"/>
      <c r="KN116" s="61"/>
      <c r="KO116" s="61"/>
      <c r="KP116" s="61"/>
      <c r="KQ116" s="61"/>
      <c r="KR116" s="61"/>
      <c r="KS116" s="61"/>
      <c r="KT116" s="61"/>
      <c r="KU116" s="61"/>
      <c r="KV116" s="61"/>
      <c r="KW116" s="61"/>
      <c r="KX116" s="61"/>
      <c r="KY116" s="61"/>
      <c r="KZ116" s="61"/>
      <c r="LA116" s="61"/>
      <c r="LB116" s="61"/>
      <c r="LC116" s="61"/>
      <c r="LD116" s="61"/>
      <c r="LE116" s="61"/>
      <c r="LF116" s="61"/>
      <c r="LG116" s="61"/>
      <c r="LH116" s="61"/>
      <c r="LI116" s="61"/>
      <c r="LJ116" s="61"/>
      <c r="LK116" s="61"/>
      <c r="LL116" s="61"/>
      <c r="LM116" s="61"/>
      <c r="LN116" s="61"/>
      <c r="LO116" s="61"/>
      <c r="LP116" s="61"/>
      <c r="LQ116" s="61"/>
      <c r="LR116" s="61"/>
      <c r="LS116" s="61"/>
      <c r="LT116" s="61"/>
      <c r="LU116" s="61"/>
      <c r="LV116" s="61"/>
      <c r="LW116" s="61"/>
      <c r="LX116" s="61"/>
      <c r="LY116" s="61"/>
      <c r="LZ116" s="61"/>
      <c r="MA116" s="61"/>
      <c r="MB116" s="61"/>
      <c r="MC116" s="61"/>
      <c r="MD116" s="61"/>
      <c r="ME116" s="61"/>
      <c r="MF116" s="61"/>
      <c r="MG116" s="61"/>
      <c r="MH116" s="61"/>
      <c r="MI116" s="61"/>
      <c r="MJ116" s="61"/>
      <c r="MK116" s="61"/>
      <c r="ML116" s="61"/>
      <c r="MM116" s="61"/>
      <c r="MN116" s="61"/>
      <c r="MO116" s="61"/>
      <c r="MP116" s="61"/>
      <c r="MQ116" s="61"/>
      <c r="MR116" s="61"/>
      <c r="MS116" s="61"/>
      <c r="MT116" s="61"/>
      <c r="MU116" s="61"/>
      <c r="MV116" s="61"/>
      <c r="MW116" s="61"/>
      <c r="MX116" s="61"/>
      <c r="MY116" s="61"/>
      <c r="MZ116" s="61"/>
      <c r="NA116" s="61"/>
      <c r="NB116" s="61"/>
      <c r="NC116" s="61"/>
      <c r="ND116" s="61"/>
      <c r="NE116" s="61"/>
      <c r="NF116" s="61"/>
      <c r="NG116" s="61"/>
      <c r="NH116" s="61"/>
      <c r="NI116" s="61"/>
      <c r="NJ116" s="61"/>
      <c r="NK116" s="61"/>
      <c r="NL116" s="61"/>
      <c r="NM116" s="61"/>
      <c r="NN116" s="61"/>
      <c r="NO116" s="61"/>
      <c r="NP116" s="61"/>
      <c r="NQ116" s="61"/>
      <c r="NR116" s="61"/>
      <c r="NS116" s="61"/>
      <c r="NT116" s="61"/>
      <c r="NU116" s="61"/>
      <c r="NV116" s="61"/>
      <c r="NW116" s="61"/>
      <c r="NX116" s="61"/>
      <c r="NY116" s="61"/>
      <c r="NZ116" s="61"/>
      <c r="OA116" s="61"/>
      <c r="OB116" s="61"/>
      <c r="OC116" s="61"/>
      <c r="OD116" s="61"/>
      <c r="OE116" s="61"/>
      <c r="OF116" s="61"/>
      <c r="OG116" s="61"/>
      <c r="OH116" s="61"/>
      <c r="OI116" s="61"/>
      <c r="OJ116" s="61"/>
      <c r="OK116" s="61"/>
      <c r="OL116" s="61"/>
      <c r="OM116" s="61"/>
      <c r="ON116" s="61"/>
      <c r="OO116" s="61"/>
      <c r="OP116" s="61"/>
      <c r="OQ116" s="61"/>
      <c r="OR116" s="61"/>
      <c r="OS116" s="61"/>
      <c r="OT116" s="61"/>
      <c r="OU116" s="61"/>
      <c r="OV116" s="61"/>
      <c r="OW116" s="61"/>
      <c r="OX116" s="61"/>
      <c r="OY116" s="61"/>
      <c r="OZ116" s="61"/>
      <c r="PA116" s="61"/>
      <c r="PB116" s="61"/>
      <c r="PC116" s="61"/>
      <c r="PD116" s="61"/>
      <c r="PE116" s="61"/>
      <c r="PF116" s="61"/>
      <c r="PG116" s="61"/>
      <c r="PH116" s="61"/>
      <c r="PI116" s="61"/>
      <c r="PJ116" s="61"/>
      <c r="PK116" s="61"/>
      <c r="PL116" s="61"/>
      <c r="PM116" s="61"/>
      <c r="PN116" s="61"/>
      <c r="PO116" s="61"/>
      <c r="PP116" s="61"/>
      <c r="PQ116" s="61"/>
      <c r="PR116" s="61"/>
      <c r="PS116" s="61"/>
      <c r="PT116" s="61"/>
      <c r="PU116" s="61"/>
      <c r="PV116" s="61"/>
      <c r="PW116" s="61"/>
      <c r="PX116" s="61"/>
      <c r="PY116" s="61"/>
      <c r="PZ116" s="61"/>
      <c r="QA116" s="61"/>
      <c r="QB116" s="61"/>
      <c r="QC116" s="61"/>
      <c r="QD116" s="61"/>
      <c r="QE116" s="61"/>
      <c r="QF116" s="61"/>
      <c r="QG116" s="61"/>
      <c r="QH116" s="61"/>
      <c r="QI116" s="61"/>
      <c r="QJ116" s="61"/>
      <c r="QK116" s="61"/>
      <c r="QL116" s="61"/>
      <c r="QM116" s="61"/>
      <c r="QN116" s="61"/>
      <c r="QO116" s="61"/>
      <c r="QP116" s="61"/>
      <c r="QQ116" s="61"/>
      <c r="QR116" s="61"/>
      <c r="QS116" s="61"/>
      <c r="QT116" s="61"/>
      <c r="QU116" s="61"/>
      <c r="QV116" s="61"/>
      <c r="QW116" s="61"/>
      <c r="QX116" s="61"/>
      <c r="QY116" s="61"/>
      <c r="QZ116" s="61"/>
      <c r="RA116" s="61"/>
      <c r="RB116" s="61"/>
      <c r="RC116" s="61"/>
      <c r="RD116" s="17"/>
    </row>
    <row r="117" spans="1:472" s="5" customFormat="1" ht="15" hidden="1" customHeight="1" x14ac:dyDescent="0.25">
      <c r="A117" s="5">
        <v>2029</v>
      </c>
      <c r="B117" s="5" t="s">
        <v>65</v>
      </c>
      <c r="C117" s="5" t="s">
        <v>4</v>
      </c>
      <c r="D117" s="5">
        <v>83</v>
      </c>
      <c r="E117" s="24"/>
      <c r="F117" s="64" t="s">
        <v>216</v>
      </c>
      <c r="G117" s="65"/>
      <c r="H117" s="19"/>
      <c r="I117" s="61"/>
      <c r="J117" s="61"/>
      <c r="K117" s="61"/>
      <c r="L117" s="61"/>
      <c r="M117" s="61"/>
      <c r="N117" s="61"/>
      <c r="O117" s="61"/>
      <c r="P117" s="61"/>
      <c r="Q117" s="61"/>
      <c r="R117" s="61"/>
      <c r="S117" s="61"/>
      <c r="T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v>3</v>
      </c>
      <c r="AY117" s="61"/>
      <c r="AZ117" s="61">
        <v>3</v>
      </c>
      <c r="BA117" s="61"/>
      <c r="BB117" s="61">
        <v>3</v>
      </c>
      <c r="BC117" s="61"/>
      <c r="BD117" s="61">
        <v>3</v>
      </c>
      <c r="BE117" s="61"/>
      <c r="BF117" s="61">
        <v>5</v>
      </c>
      <c r="BG117" s="61"/>
      <c r="BH117" s="61">
        <v>10</v>
      </c>
      <c r="BI117" s="61"/>
      <c r="BJ117" s="61">
        <v>10</v>
      </c>
      <c r="BK117" s="61"/>
      <c r="BL117" s="61">
        <v>8</v>
      </c>
      <c r="BM117" s="61"/>
      <c r="BN117" s="61">
        <v>6</v>
      </c>
      <c r="BO117" s="61"/>
      <c r="BP117" s="61">
        <v>4</v>
      </c>
      <c r="BQ117" s="61"/>
      <c r="BR117" s="61">
        <v>1</v>
      </c>
      <c r="BS117" s="61"/>
      <c r="BT117" s="61">
        <v>1</v>
      </c>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1"/>
      <c r="DV117" s="61"/>
      <c r="DW117" s="61"/>
      <c r="DX117" s="61"/>
      <c r="DY117" s="61"/>
      <c r="DZ117" s="61"/>
      <c r="EA117" s="61"/>
      <c r="EB117" s="61"/>
      <c r="EC117" s="61"/>
      <c r="ED117" s="61"/>
      <c r="EE117" s="61"/>
      <c r="EF117" s="61"/>
      <c r="EG117" s="61"/>
      <c r="EH117" s="61"/>
      <c r="EI117" s="61"/>
      <c r="EJ117" s="61"/>
      <c r="EK117" s="61"/>
      <c r="EL117" s="61"/>
      <c r="EM117" s="61"/>
      <c r="EN117" s="61"/>
      <c r="EO117" s="61"/>
      <c r="EP117" s="61"/>
      <c r="EQ117" s="61"/>
      <c r="ER117" s="61"/>
      <c r="ES117" s="61"/>
      <c r="ET117" s="61"/>
      <c r="EU117" s="61"/>
      <c r="EV117" s="61"/>
      <c r="EW117" s="61"/>
      <c r="EX117" s="61"/>
      <c r="EY117" s="61"/>
      <c r="EZ117" s="61"/>
      <c r="FA117" s="61"/>
      <c r="FB117" s="61"/>
      <c r="FC117" s="61"/>
      <c r="FD117" s="61"/>
      <c r="FE117" s="61"/>
      <c r="FF117" s="61"/>
      <c r="FG117" s="61"/>
      <c r="FH117" s="61"/>
      <c r="FI117" s="61"/>
      <c r="FJ117" s="61"/>
      <c r="FK117" s="61"/>
      <c r="FL117" s="61"/>
      <c r="FM117" s="61"/>
      <c r="FN117" s="61"/>
      <c r="FO117" s="61"/>
      <c r="FP117" s="61"/>
      <c r="FQ117" s="61"/>
      <c r="FR117" s="61"/>
      <c r="FS117" s="61"/>
      <c r="FT117" s="61"/>
      <c r="FU117" s="61"/>
      <c r="FV117" s="61"/>
      <c r="FW117" s="61"/>
      <c r="FX117" s="61"/>
      <c r="FY117" s="61"/>
      <c r="FZ117" s="61"/>
      <c r="GA117" s="61"/>
      <c r="GB117" s="61"/>
      <c r="GC117" s="61"/>
      <c r="GD117" s="61"/>
      <c r="GE117" s="61"/>
      <c r="GF117" s="61"/>
      <c r="GG117" s="61"/>
      <c r="GH117" s="61"/>
      <c r="GI117" s="61"/>
      <c r="GJ117" s="61"/>
      <c r="GK117" s="61"/>
      <c r="GL117" s="61"/>
      <c r="GM117" s="61"/>
      <c r="GN117" s="61"/>
      <c r="GO117" s="61"/>
      <c r="GP117" s="61"/>
      <c r="GQ117" s="61"/>
      <c r="GR117" s="61"/>
      <c r="GS117" s="61"/>
      <c r="GT117" s="61"/>
      <c r="GU117" s="61"/>
      <c r="GV117" s="61"/>
      <c r="GW117" s="61"/>
      <c r="GX117" s="61"/>
      <c r="GY117" s="61"/>
      <c r="GZ117" s="61"/>
      <c r="HA117" s="61"/>
      <c r="HB117" s="61"/>
      <c r="HC117" s="61"/>
      <c r="HD117" s="61"/>
      <c r="HE117" s="61"/>
      <c r="HF117" s="61"/>
      <c r="HG117" s="61"/>
      <c r="HH117" s="61"/>
      <c r="HI117" s="61"/>
      <c r="HJ117" s="61"/>
      <c r="HK117" s="61"/>
      <c r="HL117" s="61"/>
      <c r="HM117" s="61"/>
      <c r="HN117" s="61"/>
      <c r="HO117" s="61"/>
      <c r="HP117" s="61"/>
      <c r="HQ117" s="61"/>
      <c r="HR117" s="61"/>
      <c r="HS117" s="61"/>
      <c r="HT117" s="61"/>
      <c r="HU117" s="61"/>
      <c r="HV117" s="61"/>
      <c r="HW117" s="61"/>
      <c r="HX117" s="61"/>
      <c r="HY117" s="61"/>
      <c r="HZ117" s="61"/>
      <c r="IA117" s="61"/>
      <c r="IB117" s="61"/>
      <c r="IC117" s="61"/>
      <c r="ID117" s="61"/>
      <c r="IE117" s="61"/>
      <c r="IF117" s="61"/>
      <c r="IG117" s="61"/>
      <c r="IH117" s="61"/>
      <c r="II117" s="61"/>
      <c r="IJ117" s="61"/>
      <c r="IK117" s="61"/>
      <c r="IL117" s="61"/>
      <c r="IM117" s="61"/>
      <c r="IN117" s="61"/>
      <c r="IO117" s="61"/>
      <c r="IP117" s="61"/>
      <c r="IQ117" s="61"/>
      <c r="IR117" s="61"/>
      <c r="IS117" s="61"/>
      <c r="IT117" s="61"/>
      <c r="IU117" s="61"/>
      <c r="IV117" s="61"/>
      <c r="IW117" s="61"/>
      <c r="IX117" s="61"/>
      <c r="IY117" s="61"/>
      <c r="IZ117" s="61"/>
      <c r="JA117" s="61"/>
      <c r="JB117" s="61"/>
      <c r="JC117" s="61"/>
      <c r="JD117" s="61"/>
      <c r="JE117" s="61"/>
      <c r="JF117" s="61"/>
      <c r="JG117" s="61"/>
      <c r="JH117" s="61"/>
      <c r="JI117" s="61"/>
      <c r="JJ117" s="61"/>
      <c r="JK117" s="61"/>
      <c r="JL117" s="61"/>
      <c r="JM117" s="61"/>
      <c r="JN117" s="61"/>
      <c r="JO117" s="61"/>
      <c r="JP117" s="61"/>
      <c r="JQ117" s="61"/>
      <c r="JR117" s="61"/>
      <c r="JS117" s="61"/>
      <c r="JT117" s="61"/>
      <c r="JU117" s="61"/>
      <c r="JV117" s="61"/>
      <c r="JW117" s="61"/>
      <c r="JX117" s="61"/>
      <c r="JY117" s="61"/>
      <c r="JZ117" s="61"/>
      <c r="KA117" s="61"/>
      <c r="KB117" s="61"/>
      <c r="KC117" s="61"/>
      <c r="KD117" s="61"/>
      <c r="KE117" s="61"/>
      <c r="KF117" s="61"/>
      <c r="KG117" s="61"/>
      <c r="KH117" s="61"/>
      <c r="KI117" s="61"/>
      <c r="KJ117" s="61"/>
      <c r="KK117" s="61"/>
      <c r="KL117" s="61"/>
      <c r="KM117" s="61"/>
      <c r="KN117" s="61"/>
      <c r="KO117" s="61"/>
      <c r="KP117" s="61"/>
      <c r="KQ117" s="61"/>
      <c r="KR117" s="61"/>
      <c r="KS117" s="61"/>
      <c r="KT117" s="61"/>
      <c r="KU117" s="61"/>
      <c r="KV117" s="61"/>
      <c r="KW117" s="61"/>
      <c r="KX117" s="61"/>
      <c r="KY117" s="61"/>
      <c r="KZ117" s="61"/>
      <c r="LA117" s="61"/>
      <c r="LB117" s="61"/>
      <c r="LC117" s="61"/>
      <c r="LD117" s="61"/>
      <c r="LE117" s="61"/>
      <c r="LF117" s="61"/>
      <c r="LG117" s="61"/>
      <c r="LH117" s="61"/>
      <c r="LI117" s="61"/>
      <c r="LJ117" s="61"/>
      <c r="LK117" s="61"/>
      <c r="LL117" s="61"/>
      <c r="LM117" s="61"/>
      <c r="LN117" s="61"/>
      <c r="LO117" s="61"/>
      <c r="LP117" s="61"/>
      <c r="LQ117" s="61"/>
      <c r="LR117" s="61"/>
      <c r="LS117" s="61"/>
      <c r="LT117" s="61"/>
      <c r="LU117" s="61"/>
      <c r="LV117" s="61"/>
      <c r="LW117" s="61"/>
      <c r="LX117" s="61"/>
      <c r="LY117" s="61"/>
      <c r="LZ117" s="61"/>
      <c r="MA117" s="61"/>
      <c r="MB117" s="61"/>
      <c r="MC117" s="61"/>
      <c r="MD117" s="61"/>
      <c r="ME117" s="61"/>
      <c r="MF117" s="61"/>
      <c r="MG117" s="61"/>
      <c r="MH117" s="61"/>
      <c r="MI117" s="61"/>
      <c r="MJ117" s="61"/>
      <c r="MK117" s="61"/>
      <c r="ML117" s="61"/>
      <c r="MM117" s="61"/>
      <c r="MN117" s="61"/>
      <c r="MO117" s="61"/>
      <c r="MP117" s="61"/>
      <c r="MQ117" s="61"/>
      <c r="MR117" s="61"/>
      <c r="MS117" s="61"/>
      <c r="MT117" s="61"/>
      <c r="MU117" s="61"/>
      <c r="MV117" s="61"/>
      <c r="MW117" s="61"/>
      <c r="MX117" s="61"/>
      <c r="MY117" s="61"/>
      <c r="MZ117" s="61"/>
      <c r="NA117" s="61"/>
      <c r="NB117" s="61"/>
      <c r="NC117" s="61"/>
      <c r="ND117" s="61"/>
      <c r="NE117" s="61"/>
      <c r="NF117" s="61"/>
      <c r="NG117" s="61"/>
      <c r="NH117" s="61"/>
      <c r="NI117" s="61"/>
      <c r="NJ117" s="61"/>
      <c r="NK117" s="61"/>
      <c r="NL117" s="61"/>
      <c r="NM117" s="61"/>
      <c r="NN117" s="61"/>
      <c r="NO117" s="61"/>
      <c r="NP117" s="61"/>
      <c r="NQ117" s="61"/>
      <c r="NR117" s="61"/>
      <c r="NS117" s="61"/>
      <c r="NT117" s="61"/>
      <c r="NU117" s="61"/>
      <c r="NV117" s="61"/>
      <c r="NW117" s="61"/>
      <c r="NX117" s="61"/>
      <c r="NY117" s="61"/>
      <c r="NZ117" s="61"/>
      <c r="OA117" s="61"/>
      <c r="OB117" s="61"/>
      <c r="OC117" s="61"/>
      <c r="OD117" s="61"/>
      <c r="OE117" s="61"/>
      <c r="OF117" s="61"/>
      <c r="OG117" s="61"/>
      <c r="OH117" s="61"/>
      <c r="OI117" s="61"/>
      <c r="OJ117" s="61"/>
      <c r="OK117" s="61"/>
      <c r="OL117" s="61"/>
      <c r="OM117" s="61"/>
      <c r="ON117" s="61"/>
      <c r="OO117" s="61"/>
      <c r="OP117" s="61"/>
      <c r="OQ117" s="61"/>
      <c r="OR117" s="61"/>
      <c r="OS117" s="61"/>
      <c r="OT117" s="61"/>
      <c r="OU117" s="61"/>
      <c r="OV117" s="61"/>
      <c r="OW117" s="61"/>
      <c r="OX117" s="61"/>
      <c r="OY117" s="61"/>
      <c r="OZ117" s="61"/>
      <c r="PA117" s="61"/>
      <c r="PB117" s="61"/>
      <c r="PC117" s="61"/>
      <c r="PD117" s="61"/>
      <c r="PE117" s="61"/>
      <c r="PF117" s="61"/>
      <c r="PG117" s="61"/>
      <c r="PH117" s="61"/>
      <c r="PI117" s="61"/>
      <c r="PJ117" s="61"/>
      <c r="PK117" s="61"/>
      <c r="PL117" s="61"/>
      <c r="PM117" s="61"/>
      <c r="PN117" s="61"/>
      <c r="PO117" s="61"/>
      <c r="PP117" s="61"/>
      <c r="PQ117" s="61"/>
      <c r="PR117" s="61"/>
      <c r="PS117" s="61"/>
      <c r="PT117" s="61"/>
      <c r="PU117" s="61"/>
      <c r="PV117" s="61"/>
      <c r="PW117" s="61"/>
      <c r="PX117" s="61"/>
      <c r="PY117" s="61"/>
      <c r="PZ117" s="61"/>
      <c r="QA117" s="61"/>
      <c r="QB117" s="61"/>
      <c r="QC117" s="61"/>
      <c r="QD117" s="61"/>
      <c r="QE117" s="61"/>
      <c r="QF117" s="61"/>
      <c r="QG117" s="61"/>
      <c r="QH117" s="61"/>
      <c r="QI117" s="61"/>
      <c r="QJ117" s="61"/>
      <c r="QK117" s="61"/>
      <c r="QL117" s="61"/>
      <c r="QM117" s="61"/>
      <c r="QN117" s="61"/>
      <c r="QO117" s="61"/>
      <c r="QP117" s="61"/>
      <c r="QQ117" s="61"/>
      <c r="QR117" s="61"/>
      <c r="QS117" s="61"/>
      <c r="QT117" s="61"/>
      <c r="QU117" s="61"/>
      <c r="QV117" s="61"/>
      <c r="QW117" s="61"/>
      <c r="QX117" s="61"/>
      <c r="QY117" s="61"/>
      <c r="QZ117" s="61"/>
      <c r="RA117" s="61"/>
      <c r="RB117" s="61"/>
      <c r="RC117" s="61"/>
      <c r="RD117" s="17"/>
    </row>
    <row r="118" spans="1:472" s="5" customFormat="1" ht="15" hidden="1" customHeight="1" x14ac:dyDescent="0.25">
      <c r="A118" s="5">
        <v>2035</v>
      </c>
      <c r="B118" s="5" t="s">
        <v>265</v>
      </c>
      <c r="C118" s="5" t="s">
        <v>257</v>
      </c>
      <c r="D118" s="5">
        <v>92</v>
      </c>
      <c r="E118" s="36">
        <v>42598</v>
      </c>
      <c r="F118" s="64" t="s">
        <v>216</v>
      </c>
      <c r="G118" s="65"/>
      <c r="H118" s="19"/>
      <c r="I118" s="61"/>
      <c r="J118" s="61"/>
      <c r="K118" s="61"/>
      <c r="L118" s="61"/>
      <c r="M118" s="61"/>
      <c r="N118" s="61"/>
      <c r="O118" s="61"/>
      <c r="P118" s="61"/>
      <c r="Q118" s="61"/>
      <c r="R118" s="61"/>
      <c r="S118" s="61"/>
      <c r="T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v>2</v>
      </c>
      <c r="BC118" s="61"/>
      <c r="BD118" s="61">
        <v>2</v>
      </c>
      <c r="BE118" s="61"/>
      <c r="BF118" s="61">
        <v>3</v>
      </c>
      <c r="BG118" s="61"/>
      <c r="BH118" s="61">
        <v>6</v>
      </c>
      <c r="BI118" s="61"/>
      <c r="BJ118" s="61">
        <v>4</v>
      </c>
      <c r="BK118" s="61"/>
      <c r="BL118" s="61">
        <v>6</v>
      </c>
      <c r="BM118" s="61"/>
      <c r="BN118" s="61">
        <v>10</v>
      </c>
      <c r="BO118" s="61"/>
      <c r="BP118" s="61">
        <v>6</v>
      </c>
      <c r="BQ118" s="61"/>
      <c r="BR118" s="61">
        <v>6</v>
      </c>
      <c r="BS118" s="61"/>
      <c r="BT118" s="61">
        <v>4</v>
      </c>
      <c r="BU118" s="61"/>
      <c r="BV118" s="61">
        <v>2</v>
      </c>
      <c r="BW118" s="61"/>
      <c r="BX118" s="61">
        <v>3</v>
      </c>
      <c r="BY118" s="61"/>
      <c r="BZ118" s="61">
        <v>1</v>
      </c>
      <c r="CA118" s="61"/>
      <c r="CB118" s="61">
        <v>1</v>
      </c>
      <c r="CC118" s="61"/>
      <c r="CD118" s="61">
        <v>1</v>
      </c>
      <c r="CE118" s="61"/>
      <c r="CF118" s="61">
        <v>1</v>
      </c>
      <c r="CG118" s="61"/>
      <c r="CH118" s="61">
        <v>1</v>
      </c>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1"/>
      <c r="EX118" s="61"/>
      <c r="EY118" s="61"/>
      <c r="EZ118" s="61"/>
      <c r="FA118" s="61"/>
      <c r="FB118" s="61"/>
      <c r="FC118" s="61"/>
      <c r="FD118" s="61"/>
      <c r="FE118" s="61"/>
      <c r="FF118" s="61"/>
      <c r="FG118" s="61"/>
      <c r="FH118" s="61"/>
      <c r="FI118" s="61"/>
      <c r="FJ118" s="61"/>
      <c r="FK118" s="61"/>
      <c r="FL118" s="61"/>
      <c r="FM118" s="61"/>
      <c r="FN118" s="61"/>
      <c r="FO118" s="61"/>
      <c r="FP118" s="61"/>
      <c r="FQ118" s="61"/>
      <c r="FR118" s="61"/>
      <c r="FS118" s="61"/>
      <c r="FT118" s="61"/>
      <c r="FU118" s="61"/>
      <c r="FV118" s="61"/>
      <c r="FW118" s="61"/>
      <c r="FX118" s="61"/>
      <c r="FY118" s="61"/>
      <c r="FZ118" s="61"/>
      <c r="GA118" s="61"/>
      <c r="GB118" s="61"/>
      <c r="GC118" s="61"/>
      <c r="GD118" s="61"/>
      <c r="GE118" s="61"/>
      <c r="GF118" s="61"/>
      <c r="GG118" s="61"/>
      <c r="GH118" s="61"/>
      <c r="GI118" s="61"/>
      <c r="GJ118" s="61"/>
      <c r="GK118" s="61"/>
      <c r="GL118" s="61"/>
      <c r="GM118" s="61"/>
      <c r="GN118" s="61"/>
      <c r="GO118" s="61"/>
      <c r="GP118" s="61"/>
      <c r="GQ118" s="61"/>
      <c r="GR118" s="61"/>
      <c r="GS118" s="61"/>
      <c r="GT118" s="61"/>
      <c r="GU118" s="61"/>
      <c r="GV118" s="61"/>
      <c r="GW118" s="61"/>
      <c r="GX118" s="61"/>
      <c r="GY118" s="61"/>
      <c r="GZ118" s="61"/>
      <c r="HA118" s="61"/>
      <c r="HB118" s="61"/>
      <c r="HC118" s="61"/>
      <c r="HD118" s="61"/>
      <c r="HE118" s="61"/>
      <c r="HF118" s="61"/>
      <c r="HG118" s="61"/>
      <c r="HH118" s="61"/>
      <c r="HI118" s="61"/>
      <c r="HJ118" s="61"/>
      <c r="HK118" s="61"/>
      <c r="HL118" s="61"/>
      <c r="HM118" s="61"/>
      <c r="HN118" s="61"/>
      <c r="HO118" s="61"/>
      <c r="HP118" s="61"/>
      <c r="HQ118" s="61"/>
      <c r="HR118" s="61"/>
      <c r="HS118" s="61"/>
      <c r="HT118" s="61"/>
      <c r="HU118" s="61"/>
      <c r="HV118" s="61"/>
      <c r="HW118" s="61"/>
      <c r="HX118" s="61"/>
      <c r="HY118" s="61"/>
      <c r="HZ118" s="61"/>
      <c r="IA118" s="61"/>
      <c r="IB118" s="61"/>
      <c r="IC118" s="61"/>
      <c r="ID118" s="61"/>
      <c r="IE118" s="61"/>
      <c r="IF118" s="61"/>
      <c r="IG118" s="61"/>
      <c r="IH118" s="61"/>
      <c r="II118" s="61"/>
      <c r="IJ118" s="61"/>
      <c r="IK118" s="61"/>
      <c r="IL118" s="61"/>
      <c r="IM118" s="61"/>
      <c r="IN118" s="61"/>
      <c r="IO118" s="61"/>
      <c r="IP118" s="61"/>
      <c r="IQ118" s="61"/>
      <c r="IR118" s="61"/>
      <c r="IS118" s="61"/>
      <c r="IT118" s="61"/>
      <c r="IU118" s="61"/>
      <c r="IV118" s="61"/>
      <c r="IW118" s="61"/>
      <c r="IX118" s="61"/>
      <c r="IY118" s="61"/>
      <c r="IZ118" s="61"/>
      <c r="JA118" s="61"/>
      <c r="JB118" s="61"/>
      <c r="JC118" s="61"/>
      <c r="JD118" s="61"/>
      <c r="JE118" s="61"/>
      <c r="JF118" s="61"/>
      <c r="JG118" s="61"/>
      <c r="JH118" s="61"/>
      <c r="JI118" s="61"/>
      <c r="JJ118" s="61"/>
      <c r="JK118" s="61"/>
      <c r="JL118" s="61"/>
      <c r="JM118" s="61"/>
      <c r="JN118" s="61"/>
      <c r="JO118" s="61"/>
      <c r="JP118" s="61"/>
      <c r="JQ118" s="61"/>
      <c r="JR118" s="61"/>
      <c r="JS118" s="61"/>
      <c r="JT118" s="61"/>
      <c r="JU118" s="61"/>
      <c r="JV118" s="61"/>
      <c r="JW118" s="61"/>
      <c r="JX118" s="61"/>
      <c r="JY118" s="61"/>
      <c r="JZ118" s="61"/>
      <c r="KA118" s="61"/>
      <c r="KB118" s="61"/>
      <c r="KC118" s="61"/>
      <c r="KD118" s="61"/>
      <c r="KE118" s="61"/>
      <c r="KF118" s="61"/>
      <c r="KG118" s="61"/>
      <c r="KH118" s="61"/>
      <c r="KI118" s="61"/>
      <c r="KJ118" s="61"/>
      <c r="KK118" s="61"/>
      <c r="KL118" s="61"/>
      <c r="KM118" s="61"/>
      <c r="KN118" s="61"/>
      <c r="KO118" s="61"/>
      <c r="KP118" s="61"/>
      <c r="KQ118" s="61"/>
      <c r="KR118" s="61"/>
      <c r="KS118" s="61"/>
      <c r="KT118" s="61"/>
      <c r="KU118" s="61"/>
      <c r="KV118" s="61"/>
      <c r="KW118" s="61"/>
      <c r="KX118" s="61"/>
      <c r="KY118" s="61"/>
      <c r="KZ118" s="61"/>
      <c r="LA118" s="61"/>
      <c r="LB118" s="61"/>
      <c r="LC118" s="61"/>
      <c r="LD118" s="61"/>
      <c r="LE118" s="61"/>
      <c r="LF118" s="61"/>
      <c r="LG118" s="61"/>
      <c r="LH118" s="61"/>
      <c r="LI118" s="61"/>
      <c r="LJ118" s="61"/>
      <c r="LK118" s="61"/>
      <c r="LL118" s="61"/>
      <c r="LM118" s="61"/>
      <c r="LN118" s="61"/>
      <c r="LO118" s="61"/>
      <c r="LP118" s="61"/>
      <c r="LQ118" s="61"/>
      <c r="LR118" s="61"/>
      <c r="LS118" s="61"/>
      <c r="LT118" s="61"/>
      <c r="LU118" s="61"/>
      <c r="LV118" s="61"/>
      <c r="LW118" s="61"/>
      <c r="LX118" s="61"/>
      <c r="LY118" s="61"/>
      <c r="LZ118" s="61"/>
      <c r="MA118" s="61"/>
      <c r="MB118" s="61"/>
      <c r="MC118" s="61"/>
      <c r="MD118" s="61"/>
      <c r="ME118" s="61"/>
      <c r="MF118" s="61"/>
      <c r="MG118" s="61"/>
      <c r="MH118" s="61"/>
      <c r="MI118" s="61"/>
      <c r="MJ118" s="61"/>
      <c r="MK118" s="61"/>
      <c r="ML118" s="61"/>
      <c r="MM118" s="61"/>
      <c r="MN118" s="61"/>
      <c r="MO118" s="61"/>
      <c r="MP118" s="61"/>
      <c r="MQ118" s="61"/>
      <c r="MR118" s="61"/>
      <c r="MS118" s="61"/>
      <c r="MT118" s="61"/>
      <c r="MU118" s="61"/>
      <c r="MV118" s="61"/>
      <c r="MW118" s="61"/>
      <c r="MX118" s="61"/>
      <c r="MY118" s="61"/>
      <c r="MZ118" s="61"/>
      <c r="NA118" s="61"/>
      <c r="NB118" s="61"/>
      <c r="NC118" s="61"/>
      <c r="ND118" s="61"/>
      <c r="NE118" s="61"/>
      <c r="NF118" s="61"/>
      <c r="NG118" s="61"/>
      <c r="NH118" s="61"/>
      <c r="NI118" s="61"/>
      <c r="NJ118" s="61"/>
      <c r="NK118" s="61"/>
      <c r="NL118" s="61"/>
      <c r="NM118" s="61"/>
      <c r="NN118" s="61"/>
      <c r="NO118" s="61"/>
      <c r="NP118" s="61"/>
      <c r="NQ118" s="61"/>
      <c r="NR118" s="61"/>
      <c r="NS118" s="61"/>
      <c r="NT118" s="61"/>
      <c r="NU118" s="61"/>
      <c r="NV118" s="61"/>
      <c r="NW118" s="61"/>
      <c r="NX118" s="61"/>
      <c r="NY118" s="61"/>
      <c r="NZ118" s="61"/>
      <c r="OA118" s="61"/>
      <c r="OB118" s="61"/>
      <c r="OC118" s="61"/>
      <c r="OD118" s="61"/>
      <c r="OE118" s="61"/>
      <c r="OF118" s="61"/>
      <c r="OG118" s="61"/>
      <c r="OH118" s="61"/>
      <c r="OI118" s="61"/>
      <c r="OJ118" s="61"/>
      <c r="OK118" s="61"/>
      <c r="OL118" s="61"/>
      <c r="OM118" s="61"/>
      <c r="ON118" s="61"/>
      <c r="OO118" s="61"/>
      <c r="OP118" s="61"/>
      <c r="OQ118" s="61"/>
      <c r="OR118" s="61"/>
      <c r="OS118" s="61"/>
      <c r="OT118" s="61"/>
      <c r="OU118" s="61"/>
      <c r="OV118" s="61"/>
      <c r="OW118" s="61"/>
      <c r="OX118" s="61"/>
      <c r="OY118" s="61"/>
      <c r="OZ118" s="61"/>
      <c r="PA118" s="61"/>
      <c r="PB118" s="61"/>
      <c r="PC118" s="61"/>
      <c r="PD118" s="61"/>
      <c r="PE118" s="61"/>
      <c r="PF118" s="61"/>
      <c r="PG118" s="61"/>
      <c r="PH118" s="61"/>
      <c r="PI118" s="61"/>
      <c r="PJ118" s="61"/>
      <c r="PK118" s="61"/>
      <c r="PL118" s="61"/>
      <c r="PM118" s="61"/>
      <c r="PN118" s="61"/>
      <c r="PO118" s="61"/>
      <c r="PP118" s="61"/>
      <c r="PQ118" s="61"/>
      <c r="PR118" s="61"/>
      <c r="PS118" s="61"/>
      <c r="PT118" s="61"/>
      <c r="PU118" s="61"/>
      <c r="PV118" s="61"/>
      <c r="PW118" s="61"/>
      <c r="PX118" s="61"/>
      <c r="PY118" s="61"/>
      <c r="PZ118" s="61"/>
      <c r="QA118" s="61"/>
      <c r="QB118" s="61"/>
      <c r="QC118" s="61"/>
      <c r="QD118" s="61"/>
      <c r="QE118" s="61"/>
      <c r="QF118" s="61"/>
      <c r="QG118" s="61"/>
      <c r="QH118" s="61"/>
      <c r="QI118" s="61"/>
      <c r="QJ118" s="61"/>
      <c r="QK118" s="61"/>
      <c r="QL118" s="61"/>
      <c r="QM118" s="61"/>
      <c r="QN118" s="61"/>
      <c r="QO118" s="61"/>
      <c r="QP118" s="61"/>
      <c r="QQ118" s="61"/>
      <c r="QR118" s="61"/>
      <c r="QS118" s="61"/>
      <c r="QT118" s="61"/>
      <c r="QU118" s="61"/>
      <c r="QV118" s="61"/>
      <c r="QW118" s="61"/>
      <c r="QX118" s="61"/>
      <c r="QY118" s="61"/>
      <c r="QZ118" s="61"/>
      <c r="RA118" s="61"/>
      <c r="RB118" s="61"/>
      <c r="RC118" s="61"/>
      <c r="RD118" s="17"/>
    </row>
    <row r="119" spans="1:472" s="5" customFormat="1" ht="15" hidden="1" customHeight="1" x14ac:dyDescent="0.25">
      <c r="A119" s="5">
        <v>2034</v>
      </c>
      <c r="B119" s="5" t="s">
        <v>254</v>
      </c>
      <c r="C119" s="5" t="s">
        <v>230</v>
      </c>
      <c r="D119" s="5">
        <v>128</v>
      </c>
      <c r="E119" s="35">
        <v>42587</v>
      </c>
      <c r="F119" s="64" t="s">
        <v>216</v>
      </c>
      <c r="G119" s="65"/>
      <c r="H119" s="19"/>
      <c r="I119" s="61"/>
      <c r="J119" s="61"/>
      <c r="K119" s="61"/>
      <c r="L119" s="61"/>
      <c r="M119" s="61"/>
      <c r="N119" s="61"/>
      <c r="O119" s="61"/>
      <c r="P119" s="61"/>
      <c r="Q119" s="61"/>
      <c r="R119" s="61"/>
      <c r="S119" s="61"/>
      <c r="T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v>2</v>
      </c>
      <c r="BG119" s="61"/>
      <c r="BH119" s="61">
        <v>3</v>
      </c>
      <c r="BI119" s="61"/>
      <c r="BJ119" s="61">
        <v>6</v>
      </c>
      <c r="BK119" s="61"/>
      <c r="BL119" s="61">
        <v>10</v>
      </c>
      <c r="BM119" s="61"/>
      <c r="BN119" s="61">
        <v>11</v>
      </c>
      <c r="BO119" s="61"/>
      <c r="BP119" s="61">
        <v>11</v>
      </c>
      <c r="BQ119" s="61"/>
      <c r="BR119" s="61">
        <v>10</v>
      </c>
      <c r="BS119" s="61"/>
      <c r="BT119" s="61">
        <v>10</v>
      </c>
      <c r="BU119" s="61"/>
      <c r="BV119" s="61">
        <v>8</v>
      </c>
      <c r="BW119" s="61"/>
      <c r="BX119" s="61">
        <v>6</v>
      </c>
      <c r="BY119" s="61"/>
      <c r="BZ119" s="61">
        <v>4</v>
      </c>
      <c r="CA119" s="61"/>
      <c r="CB119" s="61">
        <v>3</v>
      </c>
      <c r="CC119" s="61"/>
      <c r="CD119" s="61">
        <v>2</v>
      </c>
      <c r="CE119" s="61"/>
      <c r="CF119" s="61">
        <v>3</v>
      </c>
      <c r="CG119" s="61"/>
      <c r="CH119" s="61">
        <v>2</v>
      </c>
      <c r="CI119" s="61"/>
      <c r="CJ119" s="61">
        <v>1</v>
      </c>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1"/>
      <c r="DV119" s="61"/>
      <c r="DW119" s="61"/>
      <c r="DX119" s="61"/>
      <c r="DY119" s="61"/>
      <c r="DZ119" s="61"/>
      <c r="EA119" s="61"/>
      <c r="EB119" s="61"/>
      <c r="EC119" s="61"/>
      <c r="ED119" s="61"/>
      <c r="EE119" s="61"/>
      <c r="EF119" s="61"/>
      <c r="EG119" s="61"/>
      <c r="EH119" s="61"/>
      <c r="EI119" s="61"/>
      <c r="EJ119" s="61"/>
      <c r="EK119" s="61"/>
      <c r="EL119" s="61"/>
      <c r="EM119" s="61"/>
      <c r="EN119" s="61"/>
      <c r="EO119" s="61"/>
      <c r="EP119" s="61"/>
      <c r="EQ119" s="61"/>
      <c r="ER119" s="61"/>
      <c r="ES119" s="61"/>
      <c r="ET119" s="61"/>
      <c r="EU119" s="61"/>
      <c r="EV119" s="61"/>
      <c r="EW119" s="61"/>
      <c r="EX119" s="61"/>
      <c r="EY119" s="61"/>
      <c r="EZ119" s="61"/>
      <c r="FA119" s="61"/>
      <c r="FB119" s="61"/>
      <c r="FC119" s="61"/>
      <c r="FD119" s="61"/>
      <c r="FE119" s="61"/>
      <c r="FF119" s="61"/>
      <c r="FG119" s="61"/>
      <c r="FH119" s="61"/>
      <c r="FI119" s="61"/>
      <c r="FJ119" s="61"/>
      <c r="FK119" s="61"/>
      <c r="FL119" s="61"/>
      <c r="FM119" s="61"/>
      <c r="FN119" s="61"/>
      <c r="FO119" s="61"/>
      <c r="FP119" s="61"/>
      <c r="FQ119" s="61"/>
      <c r="FR119" s="61"/>
      <c r="FS119" s="61"/>
      <c r="FT119" s="61"/>
      <c r="FU119" s="61"/>
      <c r="FV119" s="61"/>
      <c r="FW119" s="61"/>
      <c r="FX119" s="61"/>
      <c r="FY119" s="61"/>
      <c r="FZ119" s="61"/>
      <c r="GA119" s="61"/>
      <c r="GB119" s="61"/>
      <c r="GC119" s="61"/>
      <c r="GD119" s="61"/>
      <c r="GE119" s="61"/>
      <c r="GF119" s="61"/>
      <c r="GG119" s="61"/>
      <c r="GH119" s="61"/>
      <c r="GI119" s="61"/>
      <c r="GJ119" s="61"/>
      <c r="GK119" s="61"/>
      <c r="GL119" s="61"/>
      <c r="GM119" s="61"/>
      <c r="GN119" s="61"/>
      <c r="GO119" s="61"/>
      <c r="GP119" s="61"/>
      <c r="GQ119" s="61"/>
      <c r="GR119" s="61"/>
      <c r="GS119" s="61"/>
      <c r="GT119" s="61"/>
      <c r="GU119" s="61"/>
      <c r="GV119" s="61"/>
      <c r="GW119" s="61"/>
      <c r="GX119" s="61"/>
      <c r="GY119" s="61"/>
      <c r="GZ119" s="61"/>
      <c r="HA119" s="61"/>
      <c r="HB119" s="61"/>
      <c r="HC119" s="61"/>
      <c r="HD119" s="61"/>
      <c r="HE119" s="61"/>
      <c r="HF119" s="61"/>
      <c r="HG119" s="61"/>
      <c r="HH119" s="61"/>
      <c r="HI119" s="61"/>
      <c r="HJ119" s="61"/>
      <c r="HK119" s="61"/>
      <c r="HL119" s="61"/>
      <c r="HM119" s="61"/>
      <c r="HN119" s="61"/>
      <c r="HO119" s="61"/>
      <c r="HP119" s="61"/>
      <c r="HQ119" s="61"/>
      <c r="HR119" s="61"/>
      <c r="HS119" s="61"/>
      <c r="HT119" s="61"/>
      <c r="HU119" s="61"/>
      <c r="HV119" s="61"/>
      <c r="HW119" s="61"/>
      <c r="HX119" s="61"/>
      <c r="HY119" s="61"/>
      <c r="HZ119" s="61"/>
      <c r="IA119" s="61"/>
      <c r="IB119" s="61"/>
      <c r="IC119" s="61"/>
      <c r="ID119" s="61"/>
      <c r="IE119" s="61"/>
      <c r="IF119" s="61"/>
      <c r="IG119" s="61"/>
      <c r="IH119" s="61"/>
      <c r="II119" s="61"/>
      <c r="IJ119" s="61"/>
      <c r="IK119" s="61"/>
      <c r="IL119" s="61"/>
      <c r="IM119" s="61"/>
      <c r="IN119" s="61"/>
      <c r="IO119" s="61"/>
      <c r="IP119" s="61"/>
      <c r="IQ119" s="61"/>
      <c r="IR119" s="61"/>
      <c r="IS119" s="61"/>
      <c r="IT119" s="61"/>
      <c r="IU119" s="61"/>
      <c r="IV119" s="61"/>
      <c r="IW119" s="61"/>
      <c r="IX119" s="61"/>
      <c r="IY119" s="61"/>
      <c r="IZ119" s="61"/>
      <c r="JA119" s="61"/>
      <c r="JB119" s="61"/>
      <c r="JC119" s="61"/>
      <c r="JD119" s="61"/>
      <c r="JE119" s="61"/>
      <c r="JF119" s="61"/>
      <c r="JG119" s="61"/>
      <c r="JH119" s="61"/>
      <c r="JI119" s="61"/>
      <c r="JJ119" s="61"/>
      <c r="JK119" s="61"/>
      <c r="JL119" s="61"/>
      <c r="JM119" s="61"/>
      <c r="JN119" s="61"/>
      <c r="JO119" s="61"/>
      <c r="JP119" s="61"/>
      <c r="JQ119" s="61"/>
      <c r="JR119" s="61"/>
      <c r="JS119" s="61"/>
      <c r="JT119" s="61"/>
      <c r="JU119" s="61"/>
      <c r="JV119" s="61"/>
      <c r="JW119" s="61"/>
      <c r="JX119" s="61"/>
      <c r="JY119" s="61"/>
      <c r="JZ119" s="61"/>
      <c r="KA119" s="61"/>
      <c r="KB119" s="61"/>
      <c r="KC119" s="61"/>
      <c r="KD119" s="61"/>
      <c r="KE119" s="61"/>
      <c r="KF119" s="61"/>
      <c r="KG119" s="61"/>
      <c r="KH119" s="61"/>
      <c r="KI119" s="61"/>
      <c r="KJ119" s="61"/>
      <c r="KK119" s="61"/>
      <c r="KL119" s="61"/>
      <c r="KM119" s="61"/>
      <c r="KN119" s="61"/>
      <c r="KO119" s="61"/>
      <c r="KP119" s="61"/>
      <c r="KQ119" s="61"/>
      <c r="KR119" s="61"/>
      <c r="KS119" s="61"/>
      <c r="KT119" s="61"/>
      <c r="KU119" s="61"/>
      <c r="KV119" s="61"/>
      <c r="KW119" s="61"/>
      <c r="KX119" s="61"/>
      <c r="KY119" s="61"/>
      <c r="KZ119" s="61"/>
      <c r="LA119" s="61"/>
      <c r="LB119" s="61"/>
      <c r="LC119" s="61"/>
      <c r="LD119" s="61"/>
      <c r="LE119" s="61"/>
      <c r="LF119" s="61"/>
      <c r="LG119" s="61"/>
      <c r="LH119" s="61"/>
      <c r="LI119" s="61"/>
      <c r="LJ119" s="61"/>
      <c r="LK119" s="61"/>
      <c r="LL119" s="61"/>
      <c r="LM119" s="61"/>
      <c r="LN119" s="61"/>
      <c r="LO119" s="61"/>
      <c r="LP119" s="61"/>
      <c r="LQ119" s="61"/>
      <c r="LR119" s="61"/>
      <c r="LS119" s="61"/>
      <c r="LT119" s="61"/>
      <c r="LU119" s="61"/>
      <c r="LV119" s="61"/>
      <c r="LW119" s="61"/>
      <c r="LX119" s="61"/>
      <c r="LY119" s="61"/>
      <c r="LZ119" s="61"/>
      <c r="MA119" s="61"/>
      <c r="MB119" s="61"/>
      <c r="MC119" s="61"/>
      <c r="MD119" s="61"/>
      <c r="ME119" s="61"/>
      <c r="MF119" s="61"/>
      <c r="MG119" s="61"/>
      <c r="MH119" s="61"/>
      <c r="MI119" s="61"/>
      <c r="MJ119" s="61"/>
      <c r="MK119" s="61"/>
      <c r="ML119" s="61"/>
      <c r="MM119" s="61"/>
      <c r="MN119" s="61"/>
      <c r="MO119" s="61"/>
      <c r="MP119" s="61"/>
      <c r="MQ119" s="61"/>
      <c r="MR119" s="61"/>
      <c r="MS119" s="61"/>
      <c r="MT119" s="61"/>
      <c r="MU119" s="61"/>
      <c r="MV119" s="61"/>
      <c r="MW119" s="61"/>
      <c r="MX119" s="61"/>
      <c r="MY119" s="61"/>
      <c r="MZ119" s="61"/>
      <c r="NA119" s="61"/>
      <c r="NB119" s="61"/>
      <c r="NC119" s="61"/>
      <c r="ND119" s="61"/>
      <c r="NE119" s="61"/>
      <c r="NF119" s="61"/>
      <c r="NG119" s="61"/>
      <c r="NH119" s="61"/>
      <c r="NI119" s="61"/>
      <c r="NJ119" s="61"/>
      <c r="NK119" s="61"/>
      <c r="NL119" s="61"/>
      <c r="NM119" s="61"/>
      <c r="NN119" s="61"/>
      <c r="NO119" s="61"/>
      <c r="NP119" s="61"/>
      <c r="NQ119" s="61"/>
      <c r="NR119" s="61"/>
      <c r="NS119" s="61"/>
      <c r="NT119" s="61"/>
      <c r="NU119" s="61"/>
      <c r="NV119" s="61"/>
      <c r="NW119" s="61"/>
      <c r="NX119" s="61"/>
      <c r="NY119" s="61"/>
      <c r="NZ119" s="61"/>
      <c r="OA119" s="61"/>
      <c r="OB119" s="61"/>
      <c r="OC119" s="61"/>
      <c r="OD119" s="61"/>
      <c r="OE119" s="61"/>
      <c r="OF119" s="61"/>
      <c r="OG119" s="61"/>
      <c r="OH119" s="61"/>
      <c r="OI119" s="61"/>
      <c r="OJ119" s="61"/>
      <c r="OK119" s="61"/>
      <c r="OL119" s="61"/>
      <c r="OM119" s="61"/>
      <c r="ON119" s="61"/>
      <c r="OO119" s="61"/>
      <c r="OP119" s="61"/>
      <c r="OQ119" s="61"/>
      <c r="OR119" s="61"/>
      <c r="OS119" s="61"/>
      <c r="OT119" s="61"/>
      <c r="OU119" s="61"/>
      <c r="OV119" s="61"/>
      <c r="OW119" s="61"/>
      <c r="OX119" s="61"/>
      <c r="OY119" s="61"/>
      <c r="OZ119" s="61"/>
      <c r="PA119" s="61"/>
      <c r="PB119" s="61"/>
      <c r="PC119" s="61"/>
      <c r="PD119" s="61"/>
      <c r="PE119" s="61"/>
      <c r="PF119" s="61"/>
      <c r="PG119" s="61"/>
      <c r="PH119" s="61"/>
      <c r="PI119" s="61"/>
      <c r="PJ119" s="61"/>
      <c r="PK119" s="61"/>
      <c r="PL119" s="61"/>
      <c r="PM119" s="61"/>
      <c r="PN119" s="61"/>
      <c r="PO119" s="61"/>
      <c r="PP119" s="61"/>
      <c r="PQ119" s="61"/>
      <c r="PR119" s="61"/>
      <c r="PS119" s="61"/>
      <c r="PT119" s="61"/>
      <c r="PU119" s="61"/>
      <c r="PV119" s="61"/>
      <c r="PW119" s="61"/>
      <c r="PX119" s="61"/>
      <c r="PY119" s="61"/>
      <c r="PZ119" s="61"/>
      <c r="QA119" s="61"/>
      <c r="QB119" s="61"/>
      <c r="QC119" s="61"/>
      <c r="QD119" s="61"/>
      <c r="QE119" s="61"/>
      <c r="QF119" s="61"/>
      <c r="QG119" s="61"/>
      <c r="QH119" s="61"/>
      <c r="QI119" s="61"/>
      <c r="QJ119" s="61"/>
      <c r="QK119" s="61"/>
      <c r="QL119" s="61"/>
      <c r="QM119" s="61"/>
      <c r="QN119" s="61"/>
      <c r="QO119" s="61"/>
      <c r="QP119" s="61"/>
      <c r="QQ119" s="61"/>
      <c r="QR119" s="61"/>
      <c r="QS119" s="61"/>
      <c r="QT119" s="61"/>
      <c r="QU119" s="61"/>
      <c r="QV119" s="61"/>
      <c r="QW119" s="61"/>
      <c r="QX119" s="61"/>
      <c r="QY119" s="61"/>
      <c r="QZ119" s="61"/>
      <c r="RA119" s="61"/>
      <c r="RB119" s="61"/>
      <c r="RC119" s="61"/>
      <c r="RD119" s="17"/>
    </row>
    <row r="120" spans="1:472" s="5" customFormat="1" ht="15" hidden="1" customHeight="1" x14ac:dyDescent="0.25">
      <c r="A120" s="5">
        <v>2032</v>
      </c>
      <c r="B120" s="5" t="s">
        <v>454</v>
      </c>
      <c r="C120" s="5" t="s">
        <v>165</v>
      </c>
      <c r="D120" s="5">
        <v>71</v>
      </c>
      <c r="E120" s="38">
        <v>42675</v>
      </c>
      <c r="F120" s="64" t="s">
        <v>216</v>
      </c>
      <c r="G120" s="65"/>
      <c r="H120" s="19"/>
      <c r="I120" s="61"/>
      <c r="J120" s="61"/>
      <c r="K120" s="61"/>
      <c r="L120" s="61"/>
      <c r="M120" s="61"/>
      <c r="N120" s="61"/>
      <c r="O120" s="61"/>
      <c r="P120" s="61"/>
      <c r="Q120" s="61"/>
      <c r="R120" s="61"/>
      <c r="S120" s="61"/>
      <c r="T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v>3</v>
      </c>
      <c r="BK120" s="61"/>
      <c r="BL120" s="61">
        <v>3</v>
      </c>
      <c r="BM120" s="61"/>
      <c r="BN120" s="61">
        <v>6</v>
      </c>
      <c r="BO120" s="61"/>
      <c r="BP120" s="61">
        <v>8</v>
      </c>
      <c r="BQ120" s="61"/>
      <c r="BR120" s="61">
        <v>5</v>
      </c>
      <c r="BS120" s="61"/>
      <c r="BT120" s="61">
        <v>8</v>
      </c>
      <c r="BU120" s="61"/>
      <c r="BV120" s="61">
        <v>6</v>
      </c>
      <c r="BW120" s="61"/>
      <c r="BX120" s="61">
        <v>6</v>
      </c>
      <c r="BY120" s="61"/>
      <c r="BZ120" s="61">
        <v>4</v>
      </c>
      <c r="CA120" s="61"/>
      <c r="CB120" s="61">
        <v>2</v>
      </c>
      <c r="CC120" s="61"/>
      <c r="CD120" s="61">
        <v>2</v>
      </c>
      <c r="CE120" s="61"/>
      <c r="CF120" s="61">
        <v>1</v>
      </c>
      <c r="CG120" s="61"/>
      <c r="CH120" s="61">
        <v>1</v>
      </c>
      <c r="CI120" s="61"/>
      <c r="CJ120" s="61">
        <v>1</v>
      </c>
      <c r="CK120" s="61"/>
      <c r="CL120" s="61">
        <v>1</v>
      </c>
      <c r="CM120" s="61"/>
      <c r="CN120" s="61">
        <v>0</v>
      </c>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1"/>
      <c r="DV120" s="61"/>
      <c r="DW120" s="61"/>
      <c r="DX120" s="61"/>
      <c r="DY120" s="61"/>
      <c r="DZ120" s="61"/>
      <c r="EA120" s="61"/>
      <c r="EB120" s="61"/>
      <c r="EC120" s="61"/>
      <c r="ED120" s="61"/>
      <c r="EE120" s="61"/>
      <c r="EF120" s="61"/>
      <c r="EG120" s="61"/>
      <c r="EH120" s="61"/>
      <c r="EI120" s="61"/>
      <c r="EJ120" s="61"/>
      <c r="EK120" s="61"/>
      <c r="EL120" s="61"/>
      <c r="EM120" s="61"/>
      <c r="EN120" s="61"/>
      <c r="EO120" s="61"/>
      <c r="EP120" s="61"/>
      <c r="EQ120" s="61"/>
      <c r="ER120" s="61"/>
      <c r="ES120" s="61"/>
      <c r="ET120" s="61"/>
      <c r="EU120" s="61"/>
      <c r="EV120" s="61"/>
      <c r="EW120" s="61"/>
      <c r="EX120" s="61"/>
      <c r="EY120" s="61"/>
      <c r="EZ120" s="61"/>
      <c r="FA120" s="61"/>
      <c r="FB120" s="61"/>
      <c r="FC120" s="61"/>
      <c r="FD120" s="61"/>
      <c r="FE120" s="61"/>
      <c r="FF120" s="61"/>
      <c r="FG120" s="61"/>
      <c r="FH120" s="61"/>
      <c r="FI120" s="61"/>
      <c r="FJ120" s="61"/>
      <c r="FK120" s="61"/>
      <c r="FL120" s="61"/>
      <c r="FM120" s="61"/>
      <c r="FN120" s="61"/>
      <c r="FO120" s="61"/>
      <c r="FP120" s="61"/>
      <c r="FQ120" s="61"/>
      <c r="FR120" s="61"/>
      <c r="FS120" s="61"/>
      <c r="FT120" s="61"/>
      <c r="FU120" s="61"/>
      <c r="FV120" s="61"/>
      <c r="FW120" s="61"/>
      <c r="FX120" s="61"/>
      <c r="FY120" s="61"/>
      <c r="FZ120" s="61"/>
      <c r="GA120" s="61"/>
      <c r="GB120" s="61"/>
      <c r="GC120" s="61"/>
      <c r="GD120" s="61"/>
      <c r="GE120" s="61"/>
      <c r="GF120" s="61"/>
      <c r="GG120" s="61"/>
      <c r="GH120" s="61"/>
      <c r="GI120" s="61"/>
      <c r="GJ120" s="61"/>
      <c r="GK120" s="61"/>
      <c r="GL120" s="61"/>
      <c r="GM120" s="61"/>
      <c r="GN120" s="61"/>
      <c r="GO120" s="61"/>
      <c r="GP120" s="61"/>
      <c r="GQ120" s="61"/>
      <c r="GR120" s="61"/>
      <c r="GS120" s="61"/>
      <c r="GT120" s="61"/>
      <c r="GU120" s="61"/>
      <c r="GV120" s="61"/>
      <c r="GW120" s="61"/>
      <c r="GX120" s="61"/>
      <c r="GY120" s="61"/>
      <c r="GZ120" s="61"/>
      <c r="HA120" s="61"/>
      <c r="HB120" s="61"/>
      <c r="HC120" s="61"/>
      <c r="HD120" s="61"/>
      <c r="HE120" s="61"/>
      <c r="HF120" s="61"/>
      <c r="HG120" s="61"/>
      <c r="HH120" s="61"/>
      <c r="HI120" s="61"/>
      <c r="HJ120" s="61"/>
      <c r="HK120" s="61"/>
      <c r="HL120" s="61"/>
      <c r="HM120" s="61"/>
      <c r="HN120" s="61"/>
      <c r="HO120" s="61"/>
      <c r="HP120" s="61"/>
      <c r="HQ120" s="61"/>
      <c r="HR120" s="61"/>
      <c r="HS120" s="61"/>
      <c r="HT120" s="61"/>
      <c r="HU120" s="61"/>
      <c r="HV120" s="61"/>
      <c r="HW120" s="61"/>
      <c r="HX120" s="61"/>
      <c r="HY120" s="61"/>
      <c r="HZ120" s="61"/>
      <c r="IA120" s="61"/>
      <c r="IB120" s="61"/>
      <c r="IC120" s="61"/>
      <c r="ID120" s="61"/>
      <c r="IE120" s="61"/>
      <c r="IF120" s="61"/>
      <c r="IG120" s="61"/>
      <c r="IH120" s="61"/>
      <c r="II120" s="61"/>
      <c r="IJ120" s="61"/>
      <c r="IK120" s="61"/>
      <c r="IL120" s="61"/>
      <c r="IM120" s="61"/>
      <c r="IN120" s="61"/>
      <c r="IO120" s="61"/>
      <c r="IP120" s="61"/>
      <c r="IQ120" s="61"/>
      <c r="IR120" s="61"/>
      <c r="IS120" s="61"/>
      <c r="IT120" s="61"/>
      <c r="IU120" s="61"/>
      <c r="IV120" s="61"/>
      <c r="IW120" s="61"/>
      <c r="IX120" s="61"/>
      <c r="IY120" s="61"/>
      <c r="IZ120" s="61"/>
      <c r="JA120" s="61"/>
      <c r="JB120" s="61"/>
      <c r="JC120" s="61"/>
      <c r="JD120" s="61"/>
      <c r="JE120" s="61"/>
      <c r="JF120" s="61"/>
      <c r="JG120" s="61"/>
      <c r="JH120" s="61"/>
      <c r="JI120" s="61"/>
      <c r="JJ120" s="61"/>
      <c r="JK120" s="61"/>
      <c r="JL120" s="61"/>
      <c r="JM120" s="61"/>
      <c r="JN120" s="61"/>
      <c r="JO120" s="61"/>
      <c r="JP120" s="61"/>
      <c r="JQ120" s="61"/>
      <c r="JR120" s="61"/>
      <c r="JS120" s="61"/>
      <c r="JT120" s="61"/>
      <c r="JU120" s="61"/>
      <c r="JV120" s="61"/>
      <c r="JW120" s="61"/>
      <c r="JX120" s="61"/>
      <c r="JY120" s="61"/>
      <c r="JZ120" s="61"/>
      <c r="KA120" s="61"/>
      <c r="KB120" s="61"/>
      <c r="KC120" s="61"/>
      <c r="KD120" s="61"/>
      <c r="KE120" s="61"/>
      <c r="KF120" s="61"/>
      <c r="KG120" s="61"/>
      <c r="KH120" s="61"/>
      <c r="KI120" s="61"/>
      <c r="KJ120" s="61"/>
      <c r="KK120" s="61"/>
      <c r="KL120" s="61"/>
      <c r="KM120" s="61"/>
      <c r="KN120" s="61"/>
      <c r="KO120" s="61"/>
      <c r="KP120" s="61"/>
      <c r="KQ120" s="61"/>
      <c r="KR120" s="61"/>
      <c r="KS120" s="61"/>
      <c r="KT120" s="61"/>
      <c r="KU120" s="61"/>
      <c r="KV120" s="61"/>
      <c r="KW120" s="61"/>
      <c r="KX120" s="61"/>
      <c r="KY120" s="61"/>
      <c r="KZ120" s="61"/>
      <c r="LA120" s="61"/>
      <c r="LB120" s="61"/>
      <c r="LC120" s="61"/>
      <c r="LD120" s="61"/>
      <c r="LE120" s="61"/>
      <c r="LF120" s="61"/>
      <c r="LG120" s="61"/>
      <c r="LH120" s="61"/>
      <c r="LI120" s="61"/>
      <c r="LJ120" s="61"/>
      <c r="LK120" s="61"/>
      <c r="LL120" s="61"/>
      <c r="LM120" s="61"/>
      <c r="LN120" s="61"/>
      <c r="LO120" s="61"/>
      <c r="LP120" s="61"/>
      <c r="LQ120" s="61"/>
      <c r="LR120" s="61"/>
      <c r="LS120" s="61"/>
      <c r="LT120" s="61"/>
      <c r="LU120" s="61"/>
      <c r="LV120" s="61"/>
      <c r="LW120" s="61"/>
      <c r="LX120" s="61"/>
      <c r="LY120" s="61"/>
      <c r="LZ120" s="61"/>
      <c r="MA120" s="61"/>
      <c r="MB120" s="61"/>
      <c r="MC120" s="61"/>
      <c r="MD120" s="61"/>
      <c r="ME120" s="61"/>
      <c r="MF120" s="61"/>
      <c r="MG120" s="61"/>
      <c r="MH120" s="61"/>
      <c r="MI120" s="61"/>
      <c r="MJ120" s="61"/>
      <c r="MK120" s="61"/>
      <c r="ML120" s="61"/>
      <c r="MM120" s="61"/>
      <c r="MN120" s="61"/>
      <c r="MO120" s="61"/>
      <c r="MP120" s="61"/>
      <c r="MQ120" s="61"/>
      <c r="MR120" s="61"/>
      <c r="MS120" s="61"/>
      <c r="MT120" s="61"/>
      <c r="MU120" s="61"/>
      <c r="MV120" s="61"/>
      <c r="MW120" s="61"/>
      <c r="MX120" s="61"/>
      <c r="MY120" s="61"/>
      <c r="MZ120" s="61"/>
      <c r="NA120" s="61"/>
      <c r="NB120" s="61"/>
      <c r="NC120" s="61"/>
      <c r="ND120" s="61"/>
      <c r="NE120" s="61"/>
      <c r="NF120" s="61"/>
      <c r="NG120" s="61"/>
      <c r="NH120" s="61"/>
      <c r="NI120" s="61"/>
      <c r="NJ120" s="61"/>
      <c r="NK120" s="61"/>
      <c r="NL120" s="61"/>
      <c r="NM120" s="61"/>
      <c r="NN120" s="61"/>
      <c r="NO120" s="61"/>
      <c r="NP120" s="61"/>
      <c r="NQ120" s="61"/>
      <c r="NR120" s="61"/>
      <c r="NS120" s="61"/>
      <c r="NT120" s="61"/>
      <c r="NU120" s="61"/>
      <c r="NV120" s="61"/>
      <c r="NW120" s="61"/>
      <c r="NX120" s="61"/>
      <c r="NY120" s="61"/>
      <c r="NZ120" s="61"/>
      <c r="OA120" s="61"/>
      <c r="OB120" s="61"/>
      <c r="OC120" s="61"/>
      <c r="OD120" s="61"/>
      <c r="OE120" s="61"/>
      <c r="OF120" s="61"/>
      <c r="OG120" s="61"/>
      <c r="OH120" s="61"/>
      <c r="OI120" s="61"/>
      <c r="OJ120" s="61"/>
      <c r="OK120" s="61"/>
      <c r="OL120" s="61"/>
      <c r="OM120" s="61"/>
      <c r="ON120" s="61"/>
      <c r="OO120" s="61"/>
      <c r="OP120" s="61"/>
      <c r="OQ120" s="61"/>
      <c r="OR120" s="61"/>
      <c r="OS120" s="61"/>
      <c r="OT120" s="61"/>
      <c r="OU120" s="61"/>
      <c r="OV120" s="61"/>
      <c r="OW120" s="61"/>
      <c r="OX120" s="61"/>
      <c r="OY120" s="61"/>
      <c r="OZ120" s="61"/>
      <c r="PA120" s="61"/>
      <c r="PB120" s="61"/>
      <c r="PC120" s="61"/>
      <c r="PD120" s="61"/>
      <c r="PE120" s="61"/>
      <c r="PF120" s="61"/>
      <c r="PG120" s="61"/>
      <c r="PH120" s="61"/>
      <c r="PI120" s="61"/>
      <c r="PJ120" s="61"/>
      <c r="PK120" s="61"/>
      <c r="PL120" s="61"/>
      <c r="PM120" s="61"/>
      <c r="PN120" s="61"/>
      <c r="PO120" s="61"/>
      <c r="PP120" s="61"/>
      <c r="PQ120" s="61"/>
      <c r="PR120" s="61"/>
      <c r="PS120" s="61"/>
      <c r="PT120" s="61"/>
      <c r="PU120" s="61"/>
      <c r="PV120" s="61"/>
      <c r="PW120" s="61"/>
      <c r="PX120" s="61"/>
      <c r="PY120" s="61"/>
      <c r="PZ120" s="61"/>
      <c r="QA120" s="61"/>
      <c r="QB120" s="61"/>
      <c r="QC120" s="61"/>
      <c r="QD120" s="61"/>
      <c r="QE120" s="61"/>
      <c r="QF120" s="61"/>
      <c r="QG120" s="61"/>
      <c r="QH120" s="61"/>
      <c r="QI120" s="61"/>
      <c r="QJ120" s="61"/>
      <c r="QK120" s="61"/>
      <c r="QL120" s="61"/>
      <c r="QM120" s="61"/>
      <c r="QN120" s="61"/>
      <c r="QO120" s="61"/>
      <c r="QP120" s="61"/>
      <c r="QQ120" s="61"/>
      <c r="QR120" s="61"/>
      <c r="QS120" s="61"/>
      <c r="QT120" s="61"/>
      <c r="QU120" s="61"/>
      <c r="QV120" s="61"/>
      <c r="QW120" s="61"/>
      <c r="QX120" s="61"/>
      <c r="QY120" s="61"/>
      <c r="QZ120" s="61"/>
      <c r="RA120" s="61"/>
      <c r="RB120" s="61"/>
      <c r="RC120" s="61"/>
      <c r="RD120" s="17"/>
    </row>
    <row r="121" spans="1:472" s="5" customFormat="1" ht="15" hidden="1" customHeight="1" x14ac:dyDescent="0.25">
      <c r="A121" s="5">
        <v>2036</v>
      </c>
      <c r="B121" s="5" t="s">
        <v>249</v>
      </c>
      <c r="C121" s="5" t="s">
        <v>4</v>
      </c>
      <c r="D121" s="5">
        <v>31</v>
      </c>
      <c r="E121" s="35">
        <v>42644</v>
      </c>
      <c r="F121" s="64" t="s">
        <v>216</v>
      </c>
      <c r="G121" s="65"/>
      <c r="H121" s="19"/>
      <c r="I121" s="61"/>
      <c r="J121" s="61"/>
      <c r="K121" s="61"/>
      <c r="L121" s="61"/>
      <c r="M121" s="61"/>
      <c r="N121" s="61"/>
      <c r="O121" s="61"/>
      <c r="P121" s="61"/>
      <c r="Q121" s="61"/>
      <c r="R121" s="61"/>
      <c r="S121" s="61"/>
      <c r="T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v>2</v>
      </c>
      <c r="BC121" s="61"/>
      <c r="BD121" s="61"/>
      <c r="BE121" s="61"/>
      <c r="BF121" s="61"/>
      <c r="BG121" s="61"/>
      <c r="BH121" s="61"/>
      <c r="BI121" s="61"/>
      <c r="BJ121" s="61"/>
      <c r="BK121" s="61"/>
      <c r="BL121" s="61">
        <v>2</v>
      </c>
      <c r="BM121" s="61"/>
      <c r="BN121" s="61">
        <v>4</v>
      </c>
      <c r="BO121" s="61"/>
      <c r="BP121" s="61">
        <v>4</v>
      </c>
      <c r="BQ121" s="61"/>
      <c r="BR121" s="61">
        <v>4</v>
      </c>
      <c r="BS121" s="61"/>
      <c r="BT121" s="61">
        <v>4</v>
      </c>
      <c r="BU121" s="61"/>
      <c r="BV121" s="61">
        <v>3</v>
      </c>
      <c r="BW121" s="61"/>
      <c r="BX121" s="61">
        <v>4</v>
      </c>
      <c r="BY121" s="61"/>
      <c r="BZ121" s="61">
        <v>3</v>
      </c>
      <c r="CA121" s="61"/>
      <c r="CB121" s="61">
        <v>2</v>
      </c>
      <c r="CC121" s="61"/>
      <c r="CD121" s="61">
        <v>2</v>
      </c>
      <c r="CE121" s="61"/>
      <c r="CF121" s="61">
        <v>2</v>
      </c>
      <c r="CG121" s="61"/>
      <c r="CH121" s="61">
        <v>1</v>
      </c>
      <c r="CI121" s="61"/>
      <c r="CJ121" s="61">
        <v>1</v>
      </c>
      <c r="CK121" s="61"/>
      <c r="CL121" s="61">
        <v>1</v>
      </c>
      <c r="CM121" s="61"/>
      <c r="CN121" s="61">
        <v>1</v>
      </c>
      <c r="CO121" s="61"/>
      <c r="CP121" s="61">
        <v>1</v>
      </c>
      <c r="CQ121" s="61"/>
      <c r="CR121" s="61">
        <v>1</v>
      </c>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1"/>
      <c r="DV121" s="61"/>
      <c r="DW121" s="61"/>
      <c r="DX121" s="61"/>
      <c r="DY121" s="61"/>
      <c r="DZ121" s="61"/>
      <c r="EA121" s="61"/>
      <c r="EB121" s="61"/>
      <c r="EC121" s="61"/>
      <c r="ED121" s="61"/>
      <c r="EE121" s="61"/>
      <c r="EF121" s="61"/>
      <c r="EG121" s="61"/>
      <c r="EH121" s="61"/>
      <c r="EI121" s="61"/>
      <c r="EJ121" s="61"/>
      <c r="EK121" s="61"/>
      <c r="EL121" s="61"/>
      <c r="EM121" s="61"/>
      <c r="EN121" s="61"/>
      <c r="EO121" s="61"/>
      <c r="EP121" s="61"/>
      <c r="EQ121" s="61"/>
      <c r="ER121" s="61"/>
      <c r="ES121" s="61"/>
      <c r="ET121" s="61"/>
      <c r="EU121" s="61"/>
      <c r="EV121" s="61"/>
      <c r="EW121" s="61"/>
      <c r="EX121" s="61"/>
      <c r="EY121" s="61"/>
      <c r="EZ121" s="61"/>
      <c r="FA121" s="61"/>
      <c r="FB121" s="61"/>
      <c r="FC121" s="61"/>
      <c r="FD121" s="61"/>
      <c r="FE121" s="61"/>
      <c r="FF121" s="61"/>
      <c r="FG121" s="61"/>
      <c r="FH121" s="61"/>
      <c r="FI121" s="61"/>
      <c r="FJ121" s="61"/>
      <c r="FK121" s="61"/>
      <c r="FL121" s="61"/>
      <c r="FM121" s="61"/>
      <c r="FN121" s="61"/>
      <c r="FO121" s="61"/>
      <c r="FP121" s="61"/>
      <c r="FQ121" s="61"/>
      <c r="FR121" s="61"/>
      <c r="FS121" s="61"/>
      <c r="FT121" s="61"/>
      <c r="FU121" s="61"/>
      <c r="FV121" s="61"/>
      <c r="FW121" s="61"/>
      <c r="FX121" s="61"/>
      <c r="FY121" s="61"/>
      <c r="FZ121" s="61"/>
      <c r="GA121" s="61"/>
      <c r="GB121" s="61"/>
      <c r="GC121" s="61"/>
      <c r="GD121" s="61"/>
      <c r="GE121" s="61"/>
      <c r="GF121" s="61"/>
      <c r="GG121" s="61"/>
      <c r="GH121" s="61"/>
      <c r="GI121" s="61"/>
      <c r="GJ121" s="61"/>
      <c r="GK121" s="61"/>
      <c r="GL121" s="61"/>
      <c r="GM121" s="61"/>
      <c r="GN121" s="61"/>
      <c r="GO121" s="61"/>
      <c r="GP121" s="61"/>
      <c r="GQ121" s="61"/>
      <c r="GR121" s="61"/>
      <c r="GS121" s="61"/>
      <c r="GT121" s="61"/>
      <c r="GU121" s="61"/>
      <c r="GV121" s="61"/>
      <c r="GW121" s="61"/>
      <c r="GX121" s="61"/>
      <c r="GY121" s="61"/>
      <c r="GZ121" s="61"/>
      <c r="HA121" s="61"/>
      <c r="HB121" s="61"/>
      <c r="HC121" s="61"/>
      <c r="HD121" s="61"/>
      <c r="HE121" s="61"/>
      <c r="HF121" s="61"/>
      <c r="HG121" s="61"/>
      <c r="HH121" s="61"/>
      <c r="HI121" s="61"/>
      <c r="HJ121" s="61"/>
      <c r="HK121" s="61"/>
      <c r="HL121" s="61"/>
      <c r="HM121" s="61"/>
      <c r="HN121" s="61"/>
      <c r="HO121" s="61"/>
      <c r="HP121" s="61"/>
      <c r="HQ121" s="61"/>
      <c r="HR121" s="61"/>
      <c r="HS121" s="61"/>
      <c r="HT121" s="61"/>
      <c r="HU121" s="61"/>
      <c r="HV121" s="61"/>
      <c r="HW121" s="61"/>
      <c r="HX121" s="61"/>
      <c r="HY121" s="61"/>
      <c r="HZ121" s="61"/>
      <c r="IA121" s="61"/>
      <c r="IB121" s="61"/>
      <c r="IC121" s="61"/>
      <c r="ID121" s="61"/>
      <c r="IE121" s="61"/>
      <c r="IF121" s="61"/>
      <c r="IG121" s="61"/>
      <c r="IH121" s="61"/>
      <c r="II121" s="61"/>
      <c r="IJ121" s="61"/>
      <c r="IK121" s="61"/>
      <c r="IL121" s="61"/>
      <c r="IM121" s="61"/>
      <c r="IN121" s="61"/>
      <c r="IO121" s="61"/>
      <c r="IP121" s="61"/>
      <c r="IQ121" s="61"/>
      <c r="IR121" s="61"/>
      <c r="IS121" s="61"/>
      <c r="IT121" s="61"/>
      <c r="IU121" s="61"/>
      <c r="IV121" s="61"/>
      <c r="IW121" s="61"/>
      <c r="IX121" s="61"/>
      <c r="IY121" s="61"/>
      <c r="IZ121" s="61"/>
      <c r="JA121" s="61"/>
      <c r="JB121" s="61"/>
      <c r="JC121" s="61"/>
      <c r="JD121" s="61"/>
      <c r="JE121" s="61"/>
      <c r="JF121" s="61"/>
      <c r="JG121" s="61"/>
      <c r="JH121" s="61"/>
      <c r="JI121" s="61"/>
      <c r="JJ121" s="61"/>
      <c r="JK121" s="61"/>
      <c r="JL121" s="61"/>
      <c r="JM121" s="61"/>
      <c r="JN121" s="61"/>
      <c r="JO121" s="61"/>
      <c r="JP121" s="61"/>
      <c r="JQ121" s="61"/>
      <c r="JR121" s="61"/>
      <c r="JS121" s="61"/>
      <c r="JT121" s="61"/>
      <c r="JU121" s="61"/>
      <c r="JV121" s="61"/>
      <c r="JW121" s="61"/>
      <c r="JX121" s="61"/>
      <c r="JY121" s="61"/>
      <c r="JZ121" s="61"/>
      <c r="KA121" s="61"/>
      <c r="KB121" s="61"/>
      <c r="KC121" s="61"/>
      <c r="KD121" s="61"/>
      <c r="KE121" s="61"/>
      <c r="KF121" s="61"/>
      <c r="KG121" s="61"/>
      <c r="KH121" s="61"/>
      <c r="KI121" s="61"/>
      <c r="KJ121" s="61"/>
      <c r="KK121" s="61"/>
      <c r="KL121" s="61"/>
      <c r="KM121" s="61"/>
      <c r="KN121" s="61"/>
      <c r="KO121" s="61"/>
      <c r="KP121" s="61"/>
      <c r="KQ121" s="61"/>
      <c r="KR121" s="61"/>
      <c r="KS121" s="61"/>
      <c r="KT121" s="61"/>
      <c r="KU121" s="61"/>
      <c r="KV121" s="61"/>
      <c r="KW121" s="61"/>
      <c r="KX121" s="61"/>
      <c r="KY121" s="61"/>
      <c r="KZ121" s="61"/>
      <c r="LA121" s="61"/>
      <c r="LB121" s="61"/>
      <c r="LC121" s="61"/>
      <c r="LD121" s="61"/>
      <c r="LE121" s="61"/>
      <c r="LF121" s="61"/>
      <c r="LG121" s="61"/>
      <c r="LH121" s="61"/>
      <c r="LI121" s="61"/>
      <c r="LJ121" s="61"/>
      <c r="LK121" s="61"/>
      <c r="LL121" s="61"/>
      <c r="LM121" s="61"/>
      <c r="LN121" s="61"/>
      <c r="LO121" s="61"/>
      <c r="LP121" s="61"/>
      <c r="LQ121" s="61"/>
      <c r="LR121" s="61"/>
      <c r="LS121" s="61"/>
      <c r="LT121" s="61"/>
      <c r="LU121" s="61"/>
      <c r="LV121" s="61"/>
      <c r="LW121" s="61"/>
      <c r="LX121" s="61"/>
      <c r="LY121" s="61"/>
      <c r="LZ121" s="61"/>
      <c r="MA121" s="61"/>
      <c r="MB121" s="61"/>
      <c r="MC121" s="61"/>
      <c r="MD121" s="61"/>
      <c r="ME121" s="61"/>
      <c r="MF121" s="61"/>
      <c r="MG121" s="61"/>
      <c r="MH121" s="61"/>
      <c r="MI121" s="61"/>
      <c r="MJ121" s="61"/>
      <c r="MK121" s="61"/>
      <c r="ML121" s="61"/>
      <c r="MM121" s="61"/>
      <c r="MN121" s="61"/>
      <c r="MO121" s="61"/>
      <c r="MP121" s="61"/>
      <c r="MQ121" s="61"/>
      <c r="MR121" s="61"/>
      <c r="MS121" s="61"/>
      <c r="MT121" s="61"/>
      <c r="MU121" s="61"/>
      <c r="MV121" s="61"/>
      <c r="MW121" s="61"/>
      <c r="MX121" s="61"/>
      <c r="MY121" s="61"/>
      <c r="MZ121" s="61"/>
      <c r="NA121" s="61"/>
      <c r="NB121" s="61"/>
      <c r="NC121" s="61"/>
      <c r="ND121" s="61"/>
      <c r="NE121" s="61"/>
      <c r="NF121" s="61"/>
      <c r="NG121" s="61"/>
      <c r="NH121" s="61"/>
      <c r="NI121" s="61"/>
      <c r="NJ121" s="61"/>
      <c r="NK121" s="61"/>
      <c r="NL121" s="61"/>
      <c r="NM121" s="61"/>
      <c r="NN121" s="61"/>
      <c r="NO121" s="61"/>
      <c r="NP121" s="61"/>
      <c r="NQ121" s="61"/>
      <c r="NR121" s="61"/>
      <c r="NS121" s="61"/>
      <c r="NT121" s="61"/>
      <c r="NU121" s="61"/>
      <c r="NV121" s="61"/>
      <c r="NW121" s="61"/>
      <c r="NX121" s="61"/>
      <c r="NY121" s="61"/>
      <c r="NZ121" s="61"/>
      <c r="OA121" s="61"/>
      <c r="OB121" s="61"/>
      <c r="OC121" s="61"/>
      <c r="OD121" s="61"/>
      <c r="OE121" s="61"/>
      <c r="OF121" s="61"/>
      <c r="OG121" s="61"/>
      <c r="OH121" s="61"/>
      <c r="OI121" s="61"/>
      <c r="OJ121" s="61"/>
      <c r="OK121" s="61"/>
      <c r="OL121" s="61"/>
      <c r="OM121" s="61"/>
      <c r="ON121" s="61"/>
      <c r="OO121" s="61"/>
      <c r="OP121" s="61"/>
      <c r="OQ121" s="61"/>
      <c r="OR121" s="61"/>
      <c r="OS121" s="61"/>
      <c r="OT121" s="61"/>
      <c r="OU121" s="61"/>
      <c r="OV121" s="61"/>
      <c r="OW121" s="61"/>
      <c r="OX121" s="61"/>
      <c r="OY121" s="61"/>
      <c r="OZ121" s="61"/>
      <c r="PA121" s="61"/>
      <c r="PB121" s="61"/>
      <c r="PC121" s="61"/>
      <c r="PD121" s="61"/>
      <c r="PE121" s="61"/>
      <c r="PF121" s="61"/>
      <c r="PG121" s="61"/>
      <c r="PH121" s="61"/>
      <c r="PI121" s="61"/>
      <c r="PJ121" s="61"/>
      <c r="PK121" s="61"/>
      <c r="PL121" s="61"/>
      <c r="PM121" s="61"/>
      <c r="PN121" s="61"/>
      <c r="PO121" s="61"/>
      <c r="PP121" s="61"/>
      <c r="PQ121" s="61"/>
      <c r="PR121" s="61"/>
      <c r="PS121" s="61"/>
      <c r="PT121" s="61"/>
      <c r="PU121" s="61"/>
      <c r="PV121" s="61"/>
      <c r="PW121" s="61"/>
      <c r="PX121" s="61"/>
      <c r="PY121" s="61"/>
      <c r="PZ121" s="61"/>
      <c r="QA121" s="61"/>
      <c r="QB121" s="61"/>
      <c r="QC121" s="61"/>
      <c r="QD121" s="61"/>
      <c r="QE121" s="61"/>
      <c r="QF121" s="61"/>
      <c r="QG121" s="61"/>
      <c r="QH121" s="61"/>
      <c r="QI121" s="61"/>
      <c r="QJ121" s="61"/>
      <c r="QK121" s="61"/>
      <c r="QL121" s="61"/>
      <c r="QM121" s="61"/>
      <c r="QN121" s="61"/>
      <c r="QO121" s="61"/>
      <c r="QP121" s="61"/>
      <c r="QQ121" s="61"/>
      <c r="QR121" s="61"/>
      <c r="QS121" s="61"/>
      <c r="QT121" s="61"/>
      <c r="QU121" s="61"/>
      <c r="QV121" s="61"/>
      <c r="QW121" s="61"/>
      <c r="QX121" s="61"/>
      <c r="QY121" s="61"/>
      <c r="QZ121" s="61"/>
      <c r="RA121" s="61"/>
      <c r="RB121" s="61"/>
      <c r="RC121" s="61"/>
      <c r="RD121" s="17"/>
    </row>
    <row r="122" spans="1:472" s="5" customFormat="1" ht="15" hidden="1" customHeight="1" x14ac:dyDescent="0.25">
      <c r="A122" s="5">
        <v>2048</v>
      </c>
      <c r="B122" s="5" t="s">
        <v>402</v>
      </c>
      <c r="C122" s="5" t="s">
        <v>369</v>
      </c>
      <c r="D122" s="5">
        <v>72</v>
      </c>
      <c r="E122" s="36">
        <v>43025</v>
      </c>
      <c r="F122" s="64" t="s">
        <v>216</v>
      </c>
      <c r="G122" s="65"/>
      <c r="H122" s="19"/>
      <c r="I122" s="61"/>
      <c r="J122" s="61"/>
      <c r="K122" s="61"/>
      <c r="L122" s="61"/>
      <c r="M122" s="61"/>
      <c r="N122" s="61"/>
      <c r="O122" s="61"/>
      <c r="P122" s="61"/>
      <c r="Q122" s="61"/>
      <c r="R122" s="61"/>
      <c r="S122" s="61"/>
      <c r="T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v>6</v>
      </c>
      <c r="CA122" s="61"/>
      <c r="CB122" s="61">
        <v>6</v>
      </c>
      <c r="CC122" s="61"/>
      <c r="CD122" s="61">
        <v>5</v>
      </c>
      <c r="CE122" s="61"/>
      <c r="CF122" s="61">
        <v>5</v>
      </c>
      <c r="CG122" s="61"/>
      <c r="CH122" s="61">
        <v>3</v>
      </c>
      <c r="CI122" s="61"/>
      <c r="CJ122" s="61">
        <v>2</v>
      </c>
      <c r="CK122" s="61"/>
      <c r="CL122" s="61">
        <v>1</v>
      </c>
      <c r="CM122" s="61"/>
      <c r="CN122" s="61">
        <v>2</v>
      </c>
      <c r="CO122" s="61"/>
      <c r="CP122" s="61">
        <v>1</v>
      </c>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1"/>
      <c r="EX122" s="61"/>
      <c r="EY122" s="61"/>
      <c r="EZ122" s="61"/>
      <c r="FA122" s="61"/>
      <c r="FB122" s="61"/>
      <c r="FC122" s="61"/>
      <c r="FD122" s="61"/>
      <c r="FE122" s="61"/>
      <c r="FF122" s="61"/>
      <c r="FG122" s="61"/>
      <c r="FH122" s="61"/>
      <c r="FI122" s="61"/>
      <c r="FJ122" s="61"/>
      <c r="FK122" s="61"/>
      <c r="FL122" s="61"/>
      <c r="FM122" s="61"/>
      <c r="FN122" s="61"/>
      <c r="FO122" s="61"/>
      <c r="FP122" s="61"/>
      <c r="FQ122" s="61"/>
      <c r="FR122" s="61"/>
      <c r="FS122" s="61"/>
      <c r="FT122" s="61"/>
      <c r="FU122" s="61"/>
      <c r="FV122" s="61"/>
      <c r="FW122" s="61"/>
      <c r="FX122" s="61"/>
      <c r="FY122" s="61"/>
      <c r="FZ122" s="61"/>
      <c r="GA122" s="61"/>
      <c r="GB122" s="61"/>
      <c r="GC122" s="61"/>
      <c r="GD122" s="61"/>
      <c r="GE122" s="61"/>
      <c r="GF122" s="61"/>
      <c r="GG122" s="61"/>
      <c r="GH122" s="61"/>
      <c r="GI122" s="61"/>
      <c r="GJ122" s="61"/>
      <c r="GK122" s="61"/>
      <c r="GL122" s="61"/>
      <c r="GM122" s="61"/>
      <c r="GN122" s="61"/>
      <c r="GO122" s="61"/>
      <c r="GP122" s="61"/>
      <c r="GQ122" s="61"/>
      <c r="GR122" s="61"/>
      <c r="GS122" s="61"/>
      <c r="GT122" s="61"/>
      <c r="GU122" s="61"/>
      <c r="GV122" s="61"/>
      <c r="GW122" s="61"/>
      <c r="GX122" s="61"/>
      <c r="GY122" s="61"/>
      <c r="GZ122" s="61"/>
      <c r="HA122" s="61"/>
      <c r="HB122" s="61"/>
      <c r="HC122" s="61"/>
      <c r="HD122" s="61"/>
      <c r="HE122" s="61"/>
      <c r="HF122" s="61"/>
      <c r="HG122" s="61"/>
      <c r="HH122" s="61"/>
      <c r="HI122" s="61"/>
      <c r="HJ122" s="61"/>
      <c r="HK122" s="61"/>
      <c r="HL122" s="61"/>
      <c r="HM122" s="61"/>
      <c r="HN122" s="61"/>
      <c r="HO122" s="61"/>
      <c r="HP122" s="61"/>
      <c r="HQ122" s="61"/>
      <c r="HR122" s="61"/>
      <c r="HS122" s="61"/>
      <c r="HT122" s="61"/>
      <c r="HU122" s="61"/>
      <c r="HV122" s="61"/>
      <c r="HW122" s="61"/>
      <c r="HX122" s="61"/>
      <c r="HY122" s="61"/>
      <c r="HZ122" s="61"/>
      <c r="IA122" s="61"/>
      <c r="IB122" s="61"/>
      <c r="IC122" s="61"/>
      <c r="ID122" s="61"/>
      <c r="IE122" s="61"/>
      <c r="IF122" s="61"/>
      <c r="IG122" s="61"/>
      <c r="IH122" s="61"/>
      <c r="II122" s="61"/>
      <c r="IJ122" s="61"/>
      <c r="IK122" s="61"/>
      <c r="IL122" s="61"/>
      <c r="IM122" s="61"/>
      <c r="IN122" s="61"/>
      <c r="IO122" s="61"/>
      <c r="IP122" s="61"/>
      <c r="IQ122" s="61"/>
      <c r="IR122" s="61"/>
      <c r="IS122" s="61"/>
      <c r="IT122" s="61"/>
      <c r="IU122" s="61"/>
      <c r="IV122" s="61"/>
      <c r="IW122" s="61"/>
      <c r="IX122" s="61"/>
      <c r="IY122" s="61"/>
      <c r="IZ122" s="61"/>
      <c r="JA122" s="61"/>
      <c r="JB122" s="61"/>
      <c r="JC122" s="61"/>
      <c r="JD122" s="61"/>
      <c r="JE122" s="61"/>
      <c r="JF122" s="61"/>
      <c r="JG122" s="61"/>
      <c r="JH122" s="61"/>
      <c r="JI122" s="61"/>
      <c r="JJ122" s="61"/>
      <c r="JK122" s="61"/>
      <c r="JL122" s="61"/>
      <c r="JM122" s="61"/>
      <c r="JN122" s="61"/>
      <c r="JO122" s="61"/>
      <c r="JP122" s="61"/>
      <c r="JQ122" s="61"/>
      <c r="JR122" s="61"/>
      <c r="JS122" s="61"/>
      <c r="JT122" s="61"/>
      <c r="JU122" s="61"/>
      <c r="JV122" s="61"/>
      <c r="JW122" s="61"/>
      <c r="JX122" s="61"/>
      <c r="JY122" s="61"/>
      <c r="JZ122" s="61"/>
      <c r="KA122" s="61"/>
      <c r="KB122" s="61"/>
      <c r="KC122" s="61"/>
      <c r="KD122" s="61"/>
      <c r="KE122" s="61"/>
      <c r="KF122" s="61"/>
      <c r="KG122" s="61"/>
      <c r="KH122" s="61"/>
      <c r="KI122" s="61"/>
      <c r="KJ122" s="61"/>
      <c r="KK122" s="61"/>
      <c r="KL122" s="61"/>
      <c r="KM122" s="61"/>
      <c r="KN122" s="61"/>
      <c r="KO122" s="61"/>
      <c r="KP122" s="61"/>
      <c r="KQ122" s="61"/>
      <c r="KR122" s="61"/>
      <c r="KS122" s="61"/>
      <c r="KT122" s="61"/>
      <c r="KU122" s="61"/>
      <c r="KV122" s="61"/>
      <c r="KW122" s="61"/>
      <c r="KX122" s="61"/>
      <c r="KY122" s="61"/>
      <c r="KZ122" s="61"/>
      <c r="LA122" s="61"/>
      <c r="LB122" s="61"/>
      <c r="LC122" s="61"/>
      <c r="LD122" s="61"/>
      <c r="LE122" s="61"/>
      <c r="LF122" s="61"/>
      <c r="LG122" s="61"/>
      <c r="LH122" s="61"/>
      <c r="LI122" s="61"/>
      <c r="LJ122" s="61"/>
      <c r="LK122" s="61"/>
      <c r="LL122" s="61"/>
      <c r="LM122" s="61"/>
      <c r="LN122" s="61"/>
      <c r="LO122" s="61"/>
      <c r="LP122" s="61"/>
      <c r="LQ122" s="61"/>
      <c r="LR122" s="61"/>
      <c r="LS122" s="61"/>
      <c r="LT122" s="61"/>
      <c r="LU122" s="61"/>
      <c r="LV122" s="61"/>
      <c r="LW122" s="61"/>
      <c r="LX122" s="61"/>
      <c r="LY122" s="61"/>
      <c r="LZ122" s="61"/>
      <c r="MA122" s="61"/>
      <c r="MB122" s="61"/>
      <c r="MC122" s="61"/>
      <c r="MD122" s="61"/>
      <c r="ME122" s="61"/>
      <c r="MF122" s="61"/>
      <c r="MG122" s="61"/>
      <c r="MH122" s="61"/>
      <c r="MI122" s="61"/>
      <c r="MJ122" s="61"/>
      <c r="MK122" s="61"/>
      <c r="ML122" s="61"/>
      <c r="MM122" s="61"/>
      <c r="MN122" s="61"/>
      <c r="MO122" s="61"/>
      <c r="MP122" s="61"/>
      <c r="MQ122" s="61"/>
      <c r="MR122" s="61"/>
      <c r="MS122" s="61"/>
      <c r="MT122" s="61"/>
      <c r="MU122" s="61"/>
      <c r="MV122" s="61"/>
      <c r="MW122" s="61"/>
      <c r="MX122" s="61"/>
      <c r="MY122" s="61"/>
      <c r="MZ122" s="61"/>
      <c r="NA122" s="61"/>
      <c r="NB122" s="61"/>
      <c r="NC122" s="61"/>
      <c r="ND122" s="61"/>
      <c r="NE122" s="61"/>
      <c r="NF122" s="61"/>
      <c r="NG122" s="61"/>
      <c r="NH122" s="61"/>
      <c r="NI122" s="61"/>
      <c r="NJ122" s="61"/>
      <c r="NK122" s="61"/>
      <c r="NL122" s="61"/>
      <c r="NM122" s="61"/>
      <c r="NN122" s="61"/>
      <c r="NO122" s="61"/>
      <c r="NP122" s="61"/>
      <c r="NQ122" s="61"/>
      <c r="NR122" s="61"/>
      <c r="NS122" s="61"/>
      <c r="NT122" s="61"/>
      <c r="NU122" s="61"/>
      <c r="NV122" s="61"/>
      <c r="NW122" s="61"/>
      <c r="NX122" s="61"/>
      <c r="NY122" s="61"/>
      <c r="NZ122" s="61"/>
      <c r="OA122" s="61"/>
      <c r="OB122" s="61"/>
      <c r="OC122" s="61"/>
      <c r="OD122" s="61"/>
      <c r="OE122" s="61"/>
      <c r="OF122" s="61"/>
      <c r="OG122" s="61"/>
      <c r="OH122" s="61"/>
      <c r="OI122" s="61"/>
      <c r="OJ122" s="61"/>
      <c r="OK122" s="61"/>
      <c r="OL122" s="61"/>
      <c r="OM122" s="61"/>
      <c r="ON122" s="61"/>
      <c r="OO122" s="61"/>
      <c r="OP122" s="61"/>
      <c r="OQ122" s="61"/>
      <c r="OR122" s="61"/>
      <c r="OS122" s="61"/>
      <c r="OT122" s="61"/>
      <c r="OU122" s="61"/>
      <c r="OV122" s="61"/>
      <c r="OW122" s="61"/>
      <c r="OX122" s="61"/>
      <c r="OY122" s="61"/>
      <c r="OZ122" s="61"/>
      <c r="PA122" s="61"/>
      <c r="PB122" s="61"/>
      <c r="PC122" s="61"/>
      <c r="PD122" s="61"/>
      <c r="PE122" s="61"/>
      <c r="PF122" s="61"/>
      <c r="PG122" s="61"/>
      <c r="PH122" s="61"/>
      <c r="PI122" s="61"/>
      <c r="PJ122" s="61"/>
      <c r="PK122" s="61"/>
      <c r="PL122" s="61"/>
      <c r="PM122" s="61"/>
      <c r="PN122" s="61"/>
      <c r="PO122" s="61"/>
      <c r="PP122" s="61"/>
      <c r="PQ122" s="61"/>
      <c r="PR122" s="61"/>
      <c r="PS122" s="61"/>
      <c r="PT122" s="61"/>
      <c r="PU122" s="61"/>
      <c r="PV122" s="61"/>
      <c r="PW122" s="61"/>
      <c r="PX122" s="61"/>
      <c r="PY122" s="61"/>
      <c r="PZ122" s="61"/>
      <c r="QA122" s="61"/>
      <c r="QB122" s="61"/>
      <c r="QC122" s="61"/>
      <c r="QD122" s="61"/>
      <c r="QE122" s="61"/>
      <c r="QF122" s="61"/>
      <c r="QG122" s="61"/>
      <c r="QH122" s="61"/>
      <c r="QI122" s="61"/>
      <c r="QJ122" s="61"/>
      <c r="QK122" s="61"/>
      <c r="QL122" s="61"/>
      <c r="QM122" s="61"/>
      <c r="QN122" s="61"/>
      <c r="QO122" s="61"/>
      <c r="QP122" s="61"/>
      <c r="QQ122" s="61"/>
      <c r="QR122" s="61"/>
      <c r="QS122" s="61"/>
      <c r="QT122" s="61"/>
      <c r="QU122" s="61"/>
      <c r="QV122" s="61"/>
      <c r="QW122" s="61"/>
      <c r="QX122" s="61"/>
      <c r="QY122" s="61"/>
      <c r="QZ122" s="61"/>
      <c r="RA122" s="61"/>
      <c r="RB122" s="61"/>
      <c r="RC122" s="61"/>
      <c r="RD122" s="17"/>
    </row>
    <row r="123" spans="1:472" s="5" customFormat="1" ht="15" hidden="1" customHeight="1" x14ac:dyDescent="0.25">
      <c r="A123" s="5">
        <v>2047</v>
      </c>
      <c r="B123" s="5" t="s">
        <v>321</v>
      </c>
      <c r="C123" s="5" t="s">
        <v>369</v>
      </c>
      <c r="D123" s="5">
        <v>70</v>
      </c>
      <c r="E123" s="36">
        <v>43025</v>
      </c>
      <c r="F123" s="64" t="s">
        <v>216</v>
      </c>
      <c r="G123" s="65"/>
      <c r="H123" s="19"/>
      <c r="I123" s="61"/>
      <c r="J123" s="61"/>
      <c r="K123" s="61"/>
      <c r="L123" s="61"/>
      <c r="M123" s="61"/>
      <c r="N123" s="61"/>
      <c r="O123" s="61"/>
      <c r="P123" s="61"/>
      <c r="Q123" s="61"/>
      <c r="R123" s="61"/>
      <c r="S123" s="61"/>
      <c r="T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v>6</v>
      </c>
      <c r="CA123" s="61"/>
      <c r="CB123" s="61">
        <v>6</v>
      </c>
      <c r="CC123" s="61"/>
      <c r="CD123" s="61">
        <v>5</v>
      </c>
      <c r="CE123" s="61"/>
      <c r="CF123" s="61">
        <v>5</v>
      </c>
      <c r="CG123" s="61"/>
      <c r="CH123" s="61">
        <v>3</v>
      </c>
      <c r="CI123" s="61"/>
      <c r="CJ123" s="61">
        <v>4</v>
      </c>
      <c r="CK123" s="61"/>
      <c r="CL123" s="61">
        <v>1</v>
      </c>
      <c r="CM123" s="61"/>
      <c r="CN123" s="61">
        <v>2</v>
      </c>
      <c r="CO123" s="61"/>
      <c r="CP123" s="61">
        <v>1</v>
      </c>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1"/>
      <c r="DV123" s="61"/>
      <c r="DW123" s="61"/>
      <c r="DX123" s="61"/>
      <c r="DY123" s="61"/>
      <c r="DZ123" s="61"/>
      <c r="EA123" s="61"/>
      <c r="EB123" s="61"/>
      <c r="EC123" s="61"/>
      <c r="ED123" s="61"/>
      <c r="EE123" s="61"/>
      <c r="EF123" s="61"/>
      <c r="EG123" s="61"/>
      <c r="EH123" s="61"/>
      <c r="EI123" s="61"/>
      <c r="EJ123" s="61"/>
      <c r="EK123" s="61"/>
      <c r="EL123" s="61"/>
      <c r="EM123" s="61"/>
      <c r="EN123" s="61"/>
      <c r="EO123" s="61"/>
      <c r="EP123" s="61"/>
      <c r="EQ123" s="61"/>
      <c r="ER123" s="61"/>
      <c r="ES123" s="61"/>
      <c r="ET123" s="61"/>
      <c r="EU123" s="61"/>
      <c r="EV123" s="61"/>
      <c r="EW123" s="61"/>
      <c r="EX123" s="61"/>
      <c r="EY123" s="61"/>
      <c r="EZ123" s="61"/>
      <c r="FA123" s="61"/>
      <c r="FB123" s="61"/>
      <c r="FC123" s="61"/>
      <c r="FD123" s="61"/>
      <c r="FE123" s="61"/>
      <c r="FF123" s="61"/>
      <c r="FG123" s="61"/>
      <c r="FH123" s="61"/>
      <c r="FI123" s="61"/>
      <c r="FJ123" s="61"/>
      <c r="FK123" s="61"/>
      <c r="FL123" s="61"/>
      <c r="FM123" s="61"/>
      <c r="FN123" s="61"/>
      <c r="FO123" s="61"/>
      <c r="FP123" s="61"/>
      <c r="FQ123" s="61"/>
      <c r="FR123" s="61"/>
      <c r="FS123" s="61"/>
      <c r="FT123" s="61"/>
      <c r="FU123" s="61"/>
      <c r="FV123" s="61"/>
      <c r="FW123" s="61"/>
      <c r="FX123" s="61"/>
      <c r="FY123" s="61"/>
      <c r="FZ123" s="61"/>
      <c r="GA123" s="61"/>
      <c r="GB123" s="61"/>
      <c r="GC123" s="61"/>
      <c r="GD123" s="61"/>
      <c r="GE123" s="61"/>
      <c r="GF123" s="61"/>
      <c r="GG123" s="61"/>
      <c r="GH123" s="61"/>
      <c r="GI123" s="61"/>
      <c r="GJ123" s="61"/>
      <c r="GK123" s="61"/>
      <c r="GL123" s="61"/>
      <c r="GM123" s="61"/>
      <c r="GN123" s="61"/>
      <c r="GO123" s="61"/>
      <c r="GP123" s="61"/>
      <c r="GQ123" s="61"/>
      <c r="GR123" s="61"/>
      <c r="GS123" s="61"/>
      <c r="GT123" s="61"/>
      <c r="GU123" s="61"/>
      <c r="GV123" s="61"/>
      <c r="GW123" s="61"/>
      <c r="GX123" s="61"/>
      <c r="GY123" s="61"/>
      <c r="GZ123" s="61"/>
      <c r="HA123" s="61"/>
      <c r="HB123" s="61"/>
      <c r="HC123" s="61"/>
      <c r="HD123" s="61"/>
      <c r="HE123" s="61"/>
      <c r="HF123" s="61"/>
      <c r="HG123" s="61"/>
      <c r="HH123" s="61"/>
      <c r="HI123" s="61"/>
      <c r="HJ123" s="61"/>
      <c r="HK123" s="61"/>
      <c r="HL123" s="61"/>
      <c r="HM123" s="61"/>
      <c r="HN123" s="61"/>
      <c r="HO123" s="61"/>
      <c r="HP123" s="61"/>
      <c r="HQ123" s="61"/>
      <c r="HR123" s="61"/>
      <c r="HS123" s="61"/>
      <c r="HT123" s="61"/>
      <c r="HU123" s="61"/>
      <c r="HV123" s="61"/>
      <c r="HW123" s="61"/>
      <c r="HX123" s="61"/>
      <c r="HY123" s="61"/>
      <c r="HZ123" s="61"/>
      <c r="IA123" s="61"/>
      <c r="IB123" s="61"/>
      <c r="IC123" s="61"/>
      <c r="ID123" s="61"/>
      <c r="IE123" s="61"/>
      <c r="IF123" s="61"/>
      <c r="IG123" s="61"/>
      <c r="IH123" s="61"/>
      <c r="II123" s="61"/>
      <c r="IJ123" s="61"/>
      <c r="IK123" s="61"/>
      <c r="IL123" s="61"/>
      <c r="IM123" s="61"/>
      <c r="IN123" s="61"/>
      <c r="IO123" s="61"/>
      <c r="IP123" s="61"/>
      <c r="IQ123" s="61"/>
      <c r="IR123" s="61"/>
      <c r="IS123" s="61"/>
      <c r="IT123" s="61"/>
      <c r="IU123" s="61"/>
      <c r="IV123" s="61"/>
      <c r="IW123" s="61"/>
      <c r="IX123" s="61"/>
      <c r="IY123" s="61"/>
      <c r="IZ123" s="61"/>
      <c r="JA123" s="61"/>
      <c r="JB123" s="61"/>
      <c r="JC123" s="61"/>
      <c r="JD123" s="61"/>
      <c r="JE123" s="61"/>
      <c r="JF123" s="61"/>
      <c r="JG123" s="61"/>
      <c r="JH123" s="61"/>
      <c r="JI123" s="61"/>
      <c r="JJ123" s="61"/>
      <c r="JK123" s="61"/>
      <c r="JL123" s="61"/>
      <c r="JM123" s="61"/>
      <c r="JN123" s="61"/>
      <c r="JO123" s="61"/>
      <c r="JP123" s="61"/>
      <c r="JQ123" s="61"/>
      <c r="JR123" s="61"/>
      <c r="JS123" s="61"/>
      <c r="JT123" s="61"/>
      <c r="JU123" s="61"/>
      <c r="JV123" s="61"/>
      <c r="JW123" s="61"/>
      <c r="JX123" s="61"/>
      <c r="JY123" s="61"/>
      <c r="JZ123" s="61"/>
      <c r="KA123" s="61"/>
      <c r="KB123" s="61"/>
      <c r="KC123" s="61"/>
      <c r="KD123" s="61"/>
      <c r="KE123" s="61"/>
      <c r="KF123" s="61"/>
      <c r="KG123" s="61"/>
      <c r="KH123" s="61"/>
      <c r="KI123" s="61"/>
      <c r="KJ123" s="61"/>
      <c r="KK123" s="61"/>
      <c r="KL123" s="61"/>
      <c r="KM123" s="61"/>
      <c r="KN123" s="61"/>
      <c r="KO123" s="61"/>
      <c r="KP123" s="61"/>
      <c r="KQ123" s="61"/>
      <c r="KR123" s="61"/>
      <c r="KS123" s="61"/>
      <c r="KT123" s="61"/>
      <c r="KU123" s="61"/>
      <c r="KV123" s="61"/>
      <c r="KW123" s="61"/>
      <c r="KX123" s="61"/>
      <c r="KY123" s="61"/>
      <c r="KZ123" s="61"/>
      <c r="LA123" s="61"/>
      <c r="LB123" s="61"/>
      <c r="LC123" s="61"/>
      <c r="LD123" s="61"/>
      <c r="LE123" s="61"/>
      <c r="LF123" s="61"/>
      <c r="LG123" s="61"/>
      <c r="LH123" s="61"/>
      <c r="LI123" s="61"/>
      <c r="LJ123" s="61"/>
      <c r="LK123" s="61"/>
      <c r="LL123" s="61"/>
      <c r="LM123" s="61"/>
      <c r="LN123" s="61"/>
      <c r="LO123" s="61"/>
      <c r="LP123" s="61"/>
      <c r="LQ123" s="61"/>
      <c r="LR123" s="61"/>
      <c r="LS123" s="61"/>
      <c r="LT123" s="61"/>
      <c r="LU123" s="61"/>
      <c r="LV123" s="61"/>
      <c r="LW123" s="61"/>
      <c r="LX123" s="61"/>
      <c r="LY123" s="61"/>
      <c r="LZ123" s="61"/>
      <c r="MA123" s="61"/>
      <c r="MB123" s="61"/>
      <c r="MC123" s="61"/>
      <c r="MD123" s="61"/>
      <c r="ME123" s="61"/>
      <c r="MF123" s="61"/>
      <c r="MG123" s="61"/>
      <c r="MH123" s="61"/>
      <c r="MI123" s="61"/>
      <c r="MJ123" s="61"/>
      <c r="MK123" s="61"/>
      <c r="ML123" s="61"/>
      <c r="MM123" s="61"/>
      <c r="MN123" s="61"/>
      <c r="MO123" s="61"/>
      <c r="MP123" s="61"/>
      <c r="MQ123" s="61"/>
      <c r="MR123" s="61"/>
      <c r="MS123" s="61"/>
      <c r="MT123" s="61"/>
      <c r="MU123" s="61"/>
      <c r="MV123" s="61"/>
      <c r="MW123" s="61"/>
      <c r="MX123" s="61"/>
      <c r="MY123" s="61"/>
      <c r="MZ123" s="61"/>
      <c r="NA123" s="61"/>
      <c r="NB123" s="61"/>
      <c r="NC123" s="61"/>
      <c r="ND123" s="61"/>
      <c r="NE123" s="61"/>
      <c r="NF123" s="61"/>
      <c r="NG123" s="61"/>
      <c r="NH123" s="61"/>
      <c r="NI123" s="61"/>
      <c r="NJ123" s="61"/>
      <c r="NK123" s="61"/>
      <c r="NL123" s="61"/>
      <c r="NM123" s="61"/>
      <c r="NN123" s="61"/>
      <c r="NO123" s="61"/>
      <c r="NP123" s="61"/>
      <c r="NQ123" s="61"/>
      <c r="NR123" s="61"/>
      <c r="NS123" s="61"/>
      <c r="NT123" s="61"/>
      <c r="NU123" s="61"/>
      <c r="NV123" s="61"/>
      <c r="NW123" s="61"/>
      <c r="NX123" s="61"/>
      <c r="NY123" s="61"/>
      <c r="NZ123" s="61"/>
      <c r="OA123" s="61"/>
      <c r="OB123" s="61"/>
      <c r="OC123" s="61"/>
      <c r="OD123" s="61"/>
      <c r="OE123" s="61"/>
      <c r="OF123" s="61"/>
      <c r="OG123" s="61"/>
      <c r="OH123" s="61"/>
      <c r="OI123" s="61"/>
      <c r="OJ123" s="61"/>
      <c r="OK123" s="61"/>
      <c r="OL123" s="61"/>
      <c r="OM123" s="61"/>
      <c r="ON123" s="61"/>
      <c r="OO123" s="61"/>
      <c r="OP123" s="61"/>
      <c r="OQ123" s="61"/>
      <c r="OR123" s="61"/>
      <c r="OS123" s="61"/>
      <c r="OT123" s="61"/>
      <c r="OU123" s="61"/>
      <c r="OV123" s="61"/>
      <c r="OW123" s="61"/>
      <c r="OX123" s="61"/>
      <c r="OY123" s="61"/>
      <c r="OZ123" s="61"/>
      <c r="PA123" s="61"/>
      <c r="PB123" s="61"/>
      <c r="PC123" s="61"/>
      <c r="PD123" s="61"/>
      <c r="PE123" s="61"/>
      <c r="PF123" s="61"/>
      <c r="PG123" s="61"/>
      <c r="PH123" s="61"/>
      <c r="PI123" s="61"/>
      <c r="PJ123" s="61"/>
      <c r="PK123" s="61"/>
      <c r="PL123" s="61"/>
      <c r="PM123" s="61"/>
      <c r="PN123" s="61"/>
      <c r="PO123" s="61"/>
      <c r="PP123" s="61"/>
      <c r="PQ123" s="61"/>
      <c r="PR123" s="61"/>
      <c r="PS123" s="61"/>
      <c r="PT123" s="61"/>
      <c r="PU123" s="61"/>
      <c r="PV123" s="61"/>
      <c r="PW123" s="61"/>
      <c r="PX123" s="61"/>
      <c r="PY123" s="61"/>
      <c r="PZ123" s="61"/>
      <c r="QA123" s="61"/>
      <c r="QB123" s="61"/>
      <c r="QC123" s="61"/>
      <c r="QD123" s="61"/>
      <c r="QE123" s="61"/>
      <c r="QF123" s="61"/>
      <c r="QG123" s="61"/>
      <c r="QH123" s="61"/>
      <c r="QI123" s="61"/>
      <c r="QJ123" s="61"/>
      <c r="QK123" s="61"/>
      <c r="QL123" s="61"/>
      <c r="QM123" s="61"/>
      <c r="QN123" s="61"/>
      <c r="QO123" s="61"/>
      <c r="QP123" s="61"/>
      <c r="QQ123" s="61"/>
      <c r="QR123" s="61"/>
      <c r="QS123" s="61"/>
      <c r="QT123" s="61"/>
      <c r="QU123" s="61"/>
      <c r="QV123" s="61"/>
      <c r="QW123" s="61"/>
      <c r="QX123" s="61"/>
      <c r="QY123" s="61"/>
      <c r="QZ123" s="61"/>
      <c r="RA123" s="61"/>
      <c r="RB123" s="61"/>
      <c r="RC123" s="61"/>
      <c r="RD123" s="17"/>
    </row>
    <row r="124" spans="1:472" s="5" customFormat="1" ht="15" hidden="1" customHeight="1" x14ac:dyDescent="0.25">
      <c r="A124" s="5">
        <v>2033</v>
      </c>
      <c r="B124" s="5" t="s">
        <v>248</v>
      </c>
      <c r="C124" s="5" t="s">
        <v>230</v>
      </c>
      <c r="D124" s="5">
        <v>139</v>
      </c>
      <c r="E124" s="36">
        <v>42614</v>
      </c>
      <c r="F124" s="64" t="s">
        <v>216</v>
      </c>
      <c r="G124" s="65"/>
      <c r="H124" s="19"/>
      <c r="I124" s="61"/>
      <c r="J124" s="61"/>
      <c r="K124" s="61"/>
      <c r="L124" s="61"/>
      <c r="M124" s="61"/>
      <c r="N124" s="61"/>
      <c r="O124" s="61"/>
      <c r="P124" s="61"/>
      <c r="Q124" s="61"/>
      <c r="R124" s="61"/>
      <c r="S124" s="61"/>
      <c r="T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v>2</v>
      </c>
      <c r="BG124" s="61"/>
      <c r="BH124" s="61">
        <v>3</v>
      </c>
      <c r="BI124" s="61"/>
      <c r="BJ124" s="61">
        <v>5</v>
      </c>
      <c r="BK124" s="61"/>
      <c r="BL124" s="61">
        <v>6</v>
      </c>
      <c r="BM124" s="61"/>
      <c r="BN124" s="61">
        <v>8</v>
      </c>
      <c r="BO124" s="61"/>
      <c r="BP124" s="61">
        <v>11</v>
      </c>
      <c r="BQ124" s="61"/>
      <c r="BR124" s="61">
        <v>11</v>
      </c>
      <c r="BS124" s="61"/>
      <c r="BT124" s="61">
        <v>10</v>
      </c>
      <c r="BU124" s="61"/>
      <c r="BV124" s="61">
        <v>9</v>
      </c>
      <c r="BW124" s="61"/>
      <c r="BX124" s="61">
        <v>8</v>
      </c>
      <c r="BY124" s="61"/>
      <c r="BZ124" s="61">
        <v>8</v>
      </c>
      <c r="CA124" s="61"/>
      <c r="CB124" s="61">
        <v>3</v>
      </c>
      <c r="CC124" s="61"/>
      <c r="CD124" s="61">
        <v>3</v>
      </c>
      <c r="CE124" s="61"/>
      <c r="CF124" s="61">
        <v>5</v>
      </c>
      <c r="CG124" s="61"/>
      <c r="CH124" s="61">
        <v>2</v>
      </c>
      <c r="CI124" s="61"/>
      <c r="CJ124" s="61">
        <v>1</v>
      </c>
      <c r="CK124" s="61"/>
      <c r="CL124" s="61">
        <v>1</v>
      </c>
      <c r="CM124" s="61"/>
      <c r="CN124" s="61">
        <v>3</v>
      </c>
      <c r="CO124" s="61"/>
      <c r="CP124" s="61">
        <v>2</v>
      </c>
      <c r="CQ124" s="61"/>
      <c r="CR124" s="61">
        <v>1</v>
      </c>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1"/>
      <c r="DV124" s="61"/>
      <c r="DW124" s="61"/>
      <c r="DX124" s="61"/>
      <c r="DY124" s="61"/>
      <c r="DZ124" s="61"/>
      <c r="EA124" s="61"/>
      <c r="EB124" s="61"/>
      <c r="EC124" s="61"/>
      <c r="ED124" s="61"/>
      <c r="EE124" s="61"/>
      <c r="EF124" s="61"/>
      <c r="EG124" s="61"/>
      <c r="EH124" s="61"/>
      <c r="EI124" s="61"/>
      <c r="EJ124" s="61"/>
      <c r="EK124" s="61"/>
      <c r="EL124" s="61"/>
      <c r="EM124" s="61"/>
      <c r="EN124" s="61"/>
      <c r="EO124" s="61"/>
      <c r="EP124" s="61"/>
      <c r="EQ124" s="61"/>
      <c r="ER124" s="61"/>
      <c r="ES124" s="61"/>
      <c r="ET124" s="61"/>
      <c r="EU124" s="61"/>
      <c r="EV124" s="61"/>
      <c r="EW124" s="61"/>
      <c r="EX124" s="61"/>
      <c r="EY124" s="61"/>
      <c r="EZ124" s="61"/>
      <c r="FA124" s="61"/>
      <c r="FB124" s="61"/>
      <c r="FC124" s="61"/>
      <c r="FD124" s="61"/>
      <c r="FE124" s="61"/>
      <c r="FF124" s="61"/>
      <c r="FG124" s="61"/>
      <c r="FH124" s="61"/>
      <c r="FI124" s="61"/>
      <c r="FJ124" s="61"/>
      <c r="FK124" s="61"/>
      <c r="FL124" s="61"/>
      <c r="FM124" s="61"/>
      <c r="FN124" s="61"/>
      <c r="FO124" s="61"/>
      <c r="FP124" s="61"/>
      <c r="FQ124" s="61"/>
      <c r="FR124" s="61"/>
      <c r="FS124" s="61"/>
      <c r="FT124" s="61"/>
      <c r="FU124" s="61"/>
      <c r="FV124" s="61"/>
      <c r="FW124" s="61"/>
      <c r="FX124" s="61"/>
      <c r="FY124" s="61"/>
      <c r="FZ124" s="61"/>
      <c r="GA124" s="61"/>
      <c r="GB124" s="61"/>
      <c r="GC124" s="61"/>
      <c r="GD124" s="61"/>
      <c r="GE124" s="61"/>
      <c r="GF124" s="61"/>
      <c r="GG124" s="61"/>
      <c r="GH124" s="61"/>
      <c r="GI124" s="61"/>
      <c r="GJ124" s="61"/>
      <c r="GK124" s="61"/>
      <c r="GL124" s="61"/>
      <c r="GM124" s="61"/>
      <c r="GN124" s="61"/>
      <c r="GO124" s="61"/>
      <c r="GP124" s="61"/>
      <c r="GQ124" s="61"/>
      <c r="GR124" s="61"/>
      <c r="GS124" s="61"/>
      <c r="GT124" s="61"/>
      <c r="GU124" s="61"/>
      <c r="GV124" s="61"/>
      <c r="GW124" s="61"/>
      <c r="GX124" s="61"/>
      <c r="GY124" s="61"/>
      <c r="GZ124" s="61"/>
      <c r="HA124" s="61"/>
      <c r="HB124" s="61"/>
      <c r="HC124" s="61"/>
      <c r="HD124" s="61"/>
      <c r="HE124" s="61"/>
      <c r="HF124" s="61"/>
      <c r="HG124" s="61"/>
      <c r="HH124" s="61"/>
      <c r="HI124" s="61"/>
      <c r="HJ124" s="61"/>
      <c r="HK124" s="61"/>
      <c r="HL124" s="61"/>
      <c r="HM124" s="61"/>
      <c r="HN124" s="61"/>
      <c r="HO124" s="61"/>
      <c r="HP124" s="61"/>
      <c r="HQ124" s="61"/>
      <c r="HR124" s="61"/>
      <c r="HS124" s="61"/>
      <c r="HT124" s="61"/>
      <c r="HU124" s="61"/>
      <c r="HV124" s="61"/>
      <c r="HW124" s="61"/>
      <c r="HX124" s="61"/>
      <c r="HY124" s="61"/>
      <c r="HZ124" s="61"/>
      <c r="IA124" s="61"/>
      <c r="IB124" s="61"/>
      <c r="IC124" s="61"/>
      <c r="ID124" s="61"/>
      <c r="IE124" s="61"/>
      <c r="IF124" s="61"/>
      <c r="IG124" s="61"/>
      <c r="IH124" s="61"/>
      <c r="II124" s="61"/>
      <c r="IJ124" s="61"/>
      <c r="IK124" s="61"/>
      <c r="IL124" s="61"/>
      <c r="IM124" s="61"/>
      <c r="IN124" s="61"/>
      <c r="IO124" s="61"/>
      <c r="IP124" s="61"/>
      <c r="IQ124" s="61"/>
      <c r="IR124" s="61"/>
      <c r="IS124" s="61"/>
      <c r="IT124" s="61"/>
      <c r="IU124" s="61"/>
      <c r="IV124" s="61"/>
      <c r="IW124" s="61"/>
      <c r="IX124" s="61"/>
      <c r="IY124" s="61"/>
      <c r="IZ124" s="61"/>
      <c r="JA124" s="61"/>
      <c r="JB124" s="61"/>
      <c r="JC124" s="61"/>
      <c r="JD124" s="61"/>
      <c r="JE124" s="61"/>
      <c r="JF124" s="61"/>
      <c r="JG124" s="61"/>
      <c r="JH124" s="61"/>
      <c r="JI124" s="61"/>
      <c r="JJ124" s="61"/>
      <c r="JK124" s="61"/>
      <c r="JL124" s="61"/>
      <c r="JM124" s="61"/>
      <c r="JN124" s="61"/>
      <c r="JO124" s="61"/>
      <c r="JP124" s="61"/>
      <c r="JQ124" s="61"/>
      <c r="JR124" s="61"/>
      <c r="JS124" s="61"/>
      <c r="JT124" s="61"/>
      <c r="JU124" s="61"/>
      <c r="JV124" s="61"/>
      <c r="JW124" s="61"/>
      <c r="JX124" s="61"/>
      <c r="JY124" s="61"/>
      <c r="JZ124" s="61"/>
      <c r="KA124" s="61"/>
      <c r="KB124" s="61"/>
      <c r="KC124" s="61"/>
      <c r="KD124" s="61"/>
      <c r="KE124" s="61"/>
      <c r="KF124" s="61"/>
      <c r="KG124" s="61"/>
      <c r="KH124" s="61"/>
      <c r="KI124" s="61"/>
      <c r="KJ124" s="61"/>
      <c r="KK124" s="61"/>
      <c r="KL124" s="61"/>
      <c r="KM124" s="61"/>
      <c r="KN124" s="61"/>
      <c r="KO124" s="61"/>
      <c r="KP124" s="61"/>
      <c r="KQ124" s="61"/>
      <c r="KR124" s="61"/>
      <c r="KS124" s="61"/>
      <c r="KT124" s="61"/>
      <c r="KU124" s="61"/>
      <c r="KV124" s="61"/>
      <c r="KW124" s="61"/>
      <c r="KX124" s="61"/>
      <c r="KY124" s="61"/>
      <c r="KZ124" s="61"/>
      <c r="LA124" s="61"/>
      <c r="LB124" s="61"/>
      <c r="LC124" s="61"/>
      <c r="LD124" s="61"/>
      <c r="LE124" s="61"/>
      <c r="LF124" s="61"/>
      <c r="LG124" s="61"/>
      <c r="LH124" s="61"/>
      <c r="LI124" s="61"/>
      <c r="LJ124" s="61"/>
      <c r="LK124" s="61"/>
      <c r="LL124" s="61"/>
      <c r="LM124" s="61"/>
      <c r="LN124" s="61"/>
      <c r="LO124" s="61"/>
      <c r="LP124" s="61"/>
      <c r="LQ124" s="61"/>
      <c r="LR124" s="61"/>
      <c r="LS124" s="61"/>
      <c r="LT124" s="61"/>
      <c r="LU124" s="61"/>
      <c r="LV124" s="61"/>
      <c r="LW124" s="61"/>
      <c r="LX124" s="61"/>
      <c r="LY124" s="61"/>
      <c r="LZ124" s="61"/>
      <c r="MA124" s="61"/>
      <c r="MB124" s="61"/>
      <c r="MC124" s="61"/>
      <c r="MD124" s="61"/>
      <c r="ME124" s="61"/>
      <c r="MF124" s="61"/>
      <c r="MG124" s="61"/>
      <c r="MH124" s="61"/>
      <c r="MI124" s="61"/>
      <c r="MJ124" s="61"/>
      <c r="MK124" s="61"/>
      <c r="ML124" s="61"/>
      <c r="MM124" s="61"/>
      <c r="MN124" s="61"/>
      <c r="MO124" s="61"/>
      <c r="MP124" s="61"/>
      <c r="MQ124" s="61"/>
      <c r="MR124" s="61"/>
      <c r="MS124" s="61"/>
      <c r="MT124" s="61"/>
      <c r="MU124" s="61"/>
      <c r="MV124" s="61"/>
      <c r="MW124" s="61"/>
      <c r="MX124" s="61"/>
      <c r="MY124" s="61"/>
      <c r="MZ124" s="61"/>
      <c r="NA124" s="61"/>
      <c r="NB124" s="61"/>
      <c r="NC124" s="61"/>
      <c r="ND124" s="61"/>
      <c r="NE124" s="61"/>
      <c r="NF124" s="61"/>
      <c r="NG124" s="61"/>
      <c r="NH124" s="61"/>
      <c r="NI124" s="61"/>
      <c r="NJ124" s="61"/>
      <c r="NK124" s="61"/>
      <c r="NL124" s="61"/>
      <c r="NM124" s="61"/>
      <c r="NN124" s="61"/>
      <c r="NO124" s="61"/>
      <c r="NP124" s="61"/>
      <c r="NQ124" s="61"/>
      <c r="NR124" s="61"/>
      <c r="NS124" s="61"/>
      <c r="NT124" s="61"/>
      <c r="NU124" s="61"/>
      <c r="NV124" s="61"/>
      <c r="NW124" s="61"/>
      <c r="NX124" s="61"/>
      <c r="NY124" s="61"/>
      <c r="NZ124" s="61"/>
      <c r="OA124" s="61"/>
      <c r="OB124" s="61"/>
      <c r="OC124" s="61"/>
      <c r="OD124" s="61"/>
      <c r="OE124" s="61"/>
      <c r="OF124" s="61"/>
      <c r="OG124" s="61"/>
      <c r="OH124" s="61"/>
      <c r="OI124" s="61"/>
      <c r="OJ124" s="61"/>
      <c r="OK124" s="61"/>
      <c r="OL124" s="61"/>
      <c r="OM124" s="61"/>
      <c r="ON124" s="61"/>
      <c r="OO124" s="61"/>
      <c r="OP124" s="61"/>
      <c r="OQ124" s="61"/>
      <c r="OR124" s="61"/>
      <c r="OS124" s="61"/>
      <c r="OT124" s="61"/>
      <c r="OU124" s="61"/>
      <c r="OV124" s="61"/>
      <c r="OW124" s="61"/>
      <c r="OX124" s="61"/>
      <c r="OY124" s="61"/>
      <c r="OZ124" s="61"/>
      <c r="PA124" s="61"/>
      <c r="PB124" s="61"/>
      <c r="PC124" s="61"/>
      <c r="PD124" s="61"/>
      <c r="PE124" s="61"/>
      <c r="PF124" s="61"/>
      <c r="PG124" s="61"/>
      <c r="PH124" s="61"/>
      <c r="PI124" s="61"/>
      <c r="PJ124" s="61"/>
      <c r="PK124" s="61"/>
      <c r="PL124" s="61"/>
      <c r="PM124" s="61"/>
      <c r="PN124" s="61"/>
      <c r="PO124" s="61"/>
      <c r="PP124" s="61"/>
      <c r="PQ124" s="61"/>
      <c r="PR124" s="61"/>
      <c r="PS124" s="61"/>
      <c r="PT124" s="61"/>
      <c r="PU124" s="61"/>
      <c r="PV124" s="61"/>
      <c r="PW124" s="61"/>
      <c r="PX124" s="61"/>
      <c r="PY124" s="61"/>
      <c r="PZ124" s="61"/>
      <c r="QA124" s="61"/>
      <c r="QB124" s="61"/>
      <c r="QC124" s="61"/>
      <c r="QD124" s="61"/>
      <c r="QE124" s="61"/>
      <c r="QF124" s="61"/>
      <c r="QG124" s="61"/>
      <c r="QH124" s="61"/>
      <c r="QI124" s="61"/>
      <c r="QJ124" s="61"/>
      <c r="QK124" s="61"/>
      <c r="QL124" s="61"/>
      <c r="QM124" s="61"/>
      <c r="QN124" s="61"/>
      <c r="QO124" s="61"/>
      <c r="QP124" s="61"/>
      <c r="QQ124" s="61"/>
      <c r="QR124" s="61"/>
      <c r="QS124" s="61"/>
      <c r="QT124" s="61"/>
      <c r="QU124" s="61"/>
      <c r="QV124" s="61"/>
      <c r="QW124" s="61"/>
      <c r="QX124" s="61"/>
      <c r="QY124" s="61"/>
      <c r="QZ124" s="61"/>
      <c r="RA124" s="61"/>
      <c r="RB124" s="61"/>
      <c r="RC124" s="61"/>
      <c r="RD124" s="17"/>
    </row>
    <row r="125" spans="1:472" s="5" customFormat="1" ht="15" hidden="1" customHeight="1" x14ac:dyDescent="0.25">
      <c r="A125" s="5">
        <v>2030</v>
      </c>
      <c r="B125" s="5" t="s">
        <v>73</v>
      </c>
      <c r="C125" s="5" t="s">
        <v>4</v>
      </c>
      <c r="D125" s="5">
        <v>144</v>
      </c>
      <c r="E125" s="35">
        <v>42675</v>
      </c>
      <c r="F125" s="64" t="s">
        <v>216</v>
      </c>
      <c r="G125" s="65"/>
      <c r="H125" s="19"/>
      <c r="I125" s="61"/>
      <c r="J125" s="61"/>
      <c r="K125" s="61"/>
      <c r="L125" s="61"/>
      <c r="M125" s="61"/>
      <c r="N125" s="61"/>
      <c r="O125" s="61"/>
      <c r="P125" s="61"/>
      <c r="Q125" s="61"/>
      <c r="R125" s="61"/>
      <c r="S125" s="61"/>
      <c r="T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v>2</v>
      </c>
      <c r="BM125" s="61"/>
      <c r="BN125" s="61">
        <v>6</v>
      </c>
      <c r="BO125" s="61"/>
      <c r="BP125" s="61">
        <v>12</v>
      </c>
      <c r="BQ125" s="61"/>
      <c r="BR125" s="61">
        <v>4</v>
      </c>
      <c r="BS125" s="61"/>
      <c r="BT125" s="61">
        <v>8</v>
      </c>
      <c r="BU125" s="61"/>
      <c r="BV125" s="61">
        <v>10</v>
      </c>
      <c r="BW125" s="61"/>
      <c r="BX125" s="61">
        <v>10</v>
      </c>
      <c r="BY125" s="61"/>
      <c r="BZ125" s="61">
        <v>15</v>
      </c>
      <c r="CA125" s="61"/>
      <c r="CB125" s="61">
        <v>12</v>
      </c>
      <c r="CC125" s="61"/>
      <c r="CD125" s="61">
        <v>8</v>
      </c>
      <c r="CE125" s="61"/>
      <c r="CF125" s="61">
        <v>12</v>
      </c>
      <c r="CG125" s="61"/>
      <c r="CH125" s="61">
        <v>6</v>
      </c>
      <c r="CI125" s="61"/>
      <c r="CJ125" s="61">
        <v>5</v>
      </c>
      <c r="CK125" s="61"/>
      <c r="CL125" s="61">
        <v>2</v>
      </c>
      <c r="CM125" s="61"/>
      <c r="CN125" s="61">
        <v>5</v>
      </c>
      <c r="CO125" s="61"/>
      <c r="CP125" s="61">
        <v>1</v>
      </c>
      <c r="CQ125" s="61"/>
      <c r="CR125" s="61">
        <v>1</v>
      </c>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1"/>
      <c r="DV125" s="61"/>
      <c r="DW125" s="61"/>
      <c r="DX125" s="61"/>
      <c r="DY125" s="61"/>
      <c r="DZ125" s="61"/>
      <c r="EA125" s="61"/>
      <c r="EB125" s="61"/>
      <c r="EC125" s="61"/>
      <c r="ED125" s="61"/>
      <c r="EE125" s="61"/>
      <c r="EF125" s="61"/>
      <c r="EG125" s="61"/>
      <c r="EH125" s="61"/>
      <c r="EI125" s="61"/>
      <c r="EJ125" s="61"/>
      <c r="EK125" s="61"/>
      <c r="EL125" s="61"/>
      <c r="EM125" s="61"/>
      <c r="EN125" s="61"/>
      <c r="EO125" s="61"/>
      <c r="EP125" s="61"/>
      <c r="EQ125" s="61"/>
      <c r="ER125" s="61"/>
      <c r="ES125" s="61"/>
      <c r="ET125" s="61"/>
      <c r="EU125" s="61"/>
      <c r="EV125" s="61"/>
      <c r="EW125" s="61"/>
      <c r="EX125" s="61"/>
      <c r="EY125" s="61"/>
      <c r="EZ125" s="61"/>
      <c r="FA125" s="61"/>
      <c r="FB125" s="61"/>
      <c r="FC125" s="61"/>
      <c r="FD125" s="61"/>
      <c r="FE125" s="61"/>
      <c r="FF125" s="61"/>
      <c r="FG125" s="61"/>
      <c r="FH125" s="61"/>
      <c r="FI125" s="61"/>
      <c r="FJ125" s="61"/>
      <c r="FK125" s="61"/>
      <c r="FL125" s="61"/>
      <c r="FM125" s="61"/>
      <c r="FN125" s="61"/>
      <c r="FO125" s="61"/>
      <c r="FP125" s="61"/>
      <c r="FQ125" s="61"/>
      <c r="FR125" s="61"/>
      <c r="FS125" s="61"/>
      <c r="FT125" s="61"/>
      <c r="FU125" s="61"/>
      <c r="FV125" s="61"/>
      <c r="FW125" s="61"/>
      <c r="FX125" s="61"/>
      <c r="FY125" s="61"/>
      <c r="FZ125" s="61"/>
      <c r="GA125" s="61"/>
      <c r="GB125" s="61"/>
      <c r="GC125" s="61"/>
      <c r="GD125" s="61"/>
      <c r="GE125" s="61"/>
      <c r="GF125" s="61"/>
      <c r="GG125" s="61"/>
      <c r="GH125" s="61"/>
      <c r="GI125" s="61"/>
      <c r="GJ125" s="61"/>
      <c r="GK125" s="61"/>
      <c r="GL125" s="61"/>
      <c r="GM125" s="61"/>
      <c r="GN125" s="61"/>
      <c r="GO125" s="61"/>
      <c r="GP125" s="61"/>
      <c r="GQ125" s="61"/>
      <c r="GR125" s="61"/>
      <c r="GS125" s="61"/>
      <c r="GT125" s="61"/>
      <c r="GU125" s="61"/>
      <c r="GV125" s="61"/>
      <c r="GW125" s="61"/>
      <c r="GX125" s="61"/>
      <c r="GY125" s="61"/>
      <c r="GZ125" s="61"/>
      <c r="HA125" s="61"/>
      <c r="HB125" s="61"/>
      <c r="HC125" s="61"/>
      <c r="HD125" s="61"/>
      <c r="HE125" s="61"/>
      <c r="HF125" s="61"/>
      <c r="HG125" s="61"/>
      <c r="HH125" s="61"/>
      <c r="HI125" s="61"/>
      <c r="HJ125" s="61"/>
      <c r="HK125" s="61"/>
      <c r="HL125" s="61"/>
      <c r="HM125" s="61"/>
      <c r="HN125" s="61"/>
      <c r="HO125" s="61"/>
      <c r="HP125" s="61"/>
      <c r="HQ125" s="61"/>
      <c r="HR125" s="61"/>
      <c r="HS125" s="61"/>
      <c r="HT125" s="61"/>
      <c r="HU125" s="61"/>
      <c r="HV125" s="61"/>
      <c r="HW125" s="61"/>
      <c r="HX125" s="61"/>
      <c r="HY125" s="61"/>
      <c r="HZ125" s="61"/>
      <c r="IA125" s="61"/>
      <c r="IB125" s="61"/>
      <c r="IC125" s="61"/>
      <c r="ID125" s="61"/>
      <c r="IE125" s="61"/>
      <c r="IF125" s="61"/>
      <c r="IG125" s="61"/>
      <c r="IH125" s="61"/>
      <c r="II125" s="61"/>
      <c r="IJ125" s="61"/>
      <c r="IK125" s="61"/>
      <c r="IL125" s="61"/>
      <c r="IM125" s="61"/>
      <c r="IN125" s="61"/>
      <c r="IO125" s="61"/>
      <c r="IP125" s="61"/>
      <c r="IQ125" s="61"/>
      <c r="IR125" s="61"/>
      <c r="IS125" s="61"/>
      <c r="IT125" s="61"/>
      <c r="IU125" s="61"/>
      <c r="IV125" s="61"/>
      <c r="IW125" s="61"/>
      <c r="IX125" s="61"/>
      <c r="IY125" s="61"/>
      <c r="IZ125" s="61"/>
      <c r="JA125" s="61"/>
      <c r="JB125" s="61"/>
      <c r="JC125" s="61"/>
      <c r="JD125" s="61"/>
      <c r="JE125" s="61"/>
      <c r="JF125" s="61"/>
      <c r="JG125" s="61"/>
      <c r="JH125" s="61"/>
      <c r="JI125" s="61"/>
      <c r="JJ125" s="61"/>
      <c r="JK125" s="61"/>
      <c r="JL125" s="61"/>
      <c r="JM125" s="61"/>
      <c r="JN125" s="61"/>
      <c r="JO125" s="61"/>
      <c r="JP125" s="61"/>
      <c r="JQ125" s="61"/>
      <c r="JR125" s="61"/>
      <c r="JS125" s="61"/>
      <c r="JT125" s="61"/>
      <c r="JU125" s="61"/>
      <c r="JV125" s="61"/>
      <c r="JW125" s="61"/>
      <c r="JX125" s="61"/>
      <c r="JY125" s="61"/>
      <c r="JZ125" s="61"/>
      <c r="KA125" s="61"/>
      <c r="KB125" s="61"/>
      <c r="KC125" s="61"/>
      <c r="KD125" s="61"/>
      <c r="KE125" s="61"/>
      <c r="KF125" s="61"/>
      <c r="KG125" s="61"/>
      <c r="KH125" s="61"/>
      <c r="KI125" s="61"/>
      <c r="KJ125" s="61"/>
      <c r="KK125" s="61"/>
      <c r="KL125" s="61"/>
      <c r="KM125" s="61"/>
      <c r="KN125" s="61"/>
      <c r="KO125" s="61"/>
      <c r="KP125" s="61"/>
      <c r="KQ125" s="61"/>
      <c r="KR125" s="61"/>
      <c r="KS125" s="61"/>
      <c r="KT125" s="61"/>
      <c r="KU125" s="61"/>
      <c r="KV125" s="61"/>
      <c r="KW125" s="61"/>
      <c r="KX125" s="61"/>
      <c r="KY125" s="61"/>
      <c r="KZ125" s="61"/>
      <c r="LA125" s="61"/>
      <c r="LB125" s="61"/>
      <c r="LC125" s="61"/>
      <c r="LD125" s="61"/>
      <c r="LE125" s="61"/>
      <c r="LF125" s="61"/>
      <c r="LG125" s="61"/>
      <c r="LH125" s="61"/>
      <c r="LI125" s="61"/>
      <c r="LJ125" s="61"/>
      <c r="LK125" s="61"/>
      <c r="LL125" s="61"/>
      <c r="LM125" s="61"/>
      <c r="LN125" s="61"/>
      <c r="LO125" s="61"/>
      <c r="LP125" s="61"/>
      <c r="LQ125" s="61"/>
      <c r="LR125" s="61"/>
      <c r="LS125" s="61"/>
      <c r="LT125" s="61"/>
      <c r="LU125" s="61"/>
      <c r="LV125" s="61"/>
      <c r="LW125" s="61"/>
      <c r="LX125" s="61"/>
      <c r="LY125" s="61"/>
      <c r="LZ125" s="61"/>
      <c r="MA125" s="61"/>
      <c r="MB125" s="61"/>
      <c r="MC125" s="61"/>
      <c r="MD125" s="61"/>
      <c r="ME125" s="61"/>
      <c r="MF125" s="61"/>
      <c r="MG125" s="61"/>
      <c r="MH125" s="61"/>
      <c r="MI125" s="61"/>
      <c r="MJ125" s="61"/>
      <c r="MK125" s="61"/>
      <c r="ML125" s="61"/>
      <c r="MM125" s="61"/>
      <c r="MN125" s="61"/>
      <c r="MO125" s="61"/>
      <c r="MP125" s="61"/>
      <c r="MQ125" s="61"/>
      <c r="MR125" s="61"/>
      <c r="MS125" s="61"/>
      <c r="MT125" s="61"/>
      <c r="MU125" s="61"/>
      <c r="MV125" s="61"/>
      <c r="MW125" s="61"/>
      <c r="MX125" s="61"/>
      <c r="MY125" s="61"/>
      <c r="MZ125" s="61"/>
      <c r="NA125" s="61"/>
      <c r="NB125" s="61"/>
      <c r="NC125" s="61"/>
      <c r="ND125" s="61"/>
      <c r="NE125" s="61"/>
      <c r="NF125" s="61"/>
      <c r="NG125" s="61"/>
      <c r="NH125" s="61"/>
      <c r="NI125" s="61"/>
      <c r="NJ125" s="61"/>
      <c r="NK125" s="61"/>
      <c r="NL125" s="61"/>
      <c r="NM125" s="61"/>
      <c r="NN125" s="61"/>
      <c r="NO125" s="61"/>
      <c r="NP125" s="61"/>
      <c r="NQ125" s="61"/>
      <c r="NR125" s="61"/>
      <c r="NS125" s="61"/>
      <c r="NT125" s="61"/>
      <c r="NU125" s="61"/>
      <c r="NV125" s="61"/>
      <c r="NW125" s="61"/>
      <c r="NX125" s="61"/>
      <c r="NY125" s="61"/>
      <c r="NZ125" s="61"/>
      <c r="OA125" s="61"/>
      <c r="OB125" s="61"/>
      <c r="OC125" s="61"/>
      <c r="OD125" s="61"/>
      <c r="OE125" s="61"/>
      <c r="OF125" s="61"/>
      <c r="OG125" s="61"/>
      <c r="OH125" s="61"/>
      <c r="OI125" s="61"/>
      <c r="OJ125" s="61"/>
      <c r="OK125" s="61"/>
      <c r="OL125" s="61"/>
      <c r="OM125" s="61"/>
      <c r="ON125" s="61"/>
      <c r="OO125" s="61"/>
      <c r="OP125" s="61"/>
      <c r="OQ125" s="61"/>
      <c r="OR125" s="61"/>
      <c r="OS125" s="61"/>
      <c r="OT125" s="61"/>
      <c r="OU125" s="61"/>
      <c r="OV125" s="61"/>
      <c r="OW125" s="61"/>
      <c r="OX125" s="61"/>
      <c r="OY125" s="61"/>
      <c r="OZ125" s="61"/>
      <c r="PA125" s="61"/>
      <c r="PB125" s="61"/>
      <c r="PC125" s="61"/>
      <c r="PD125" s="61"/>
      <c r="PE125" s="61"/>
      <c r="PF125" s="61"/>
      <c r="PG125" s="61"/>
      <c r="PH125" s="61"/>
      <c r="PI125" s="61"/>
      <c r="PJ125" s="61"/>
      <c r="PK125" s="61"/>
      <c r="PL125" s="61"/>
      <c r="PM125" s="61"/>
      <c r="PN125" s="61"/>
      <c r="PO125" s="61"/>
      <c r="PP125" s="61"/>
      <c r="PQ125" s="61"/>
      <c r="PR125" s="61"/>
      <c r="PS125" s="61"/>
      <c r="PT125" s="61"/>
      <c r="PU125" s="61"/>
      <c r="PV125" s="61"/>
      <c r="PW125" s="61"/>
      <c r="PX125" s="61"/>
      <c r="PY125" s="61"/>
      <c r="PZ125" s="61"/>
      <c r="QA125" s="61"/>
      <c r="QB125" s="61"/>
      <c r="QC125" s="61"/>
      <c r="QD125" s="61"/>
      <c r="QE125" s="61"/>
      <c r="QF125" s="61"/>
      <c r="QG125" s="61"/>
      <c r="QH125" s="61"/>
      <c r="QI125" s="61"/>
      <c r="QJ125" s="61"/>
      <c r="QK125" s="61"/>
      <c r="QL125" s="61"/>
      <c r="QM125" s="61"/>
      <c r="QN125" s="61"/>
      <c r="QO125" s="61"/>
      <c r="QP125" s="61"/>
      <c r="QQ125" s="61"/>
      <c r="QR125" s="61"/>
      <c r="QS125" s="61"/>
      <c r="QT125" s="61"/>
      <c r="QU125" s="61"/>
      <c r="QV125" s="61"/>
      <c r="QW125" s="61"/>
      <c r="QX125" s="61"/>
      <c r="QY125" s="61"/>
      <c r="QZ125" s="61"/>
      <c r="RA125" s="61"/>
      <c r="RB125" s="61"/>
      <c r="RC125" s="61"/>
      <c r="RD125" s="17"/>
    </row>
    <row r="126" spans="1:472" s="5" customFormat="1" ht="15" hidden="1" customHeight="1" x14ac:dyDescent="0.25">
      <c r="A126" s="5">
        <v>2038</v>
      </c>
      <c r="B126" s="5" t="s">
        <v>258</v>
      </c>
      <c r="C126" s="5" t="s">
        <v>230</v>
      </c>
      <c r="D126" s="5">
        <v>80</v>
      </c>
      <c r="E126" s="36">
        <v>42783</v>
      </c>
      <c r="F126" s="64" t="s">
        <v>216</v>
      </c>
      <c r="G126" s="65"/>
      <c r="H126" s="19"/>
      <c r="I126" s="61"/>
      <c r="J126" s="61"/>
      <c r="K126" s="61"/>
      <c r="L126" s="61"/>
      <c r="M126" s="61"/>
      <c r="N126" s="61"/>
      <c r="O126" s="61"/>
      <c r="P126" s="61"/>
      <c r="Q126" s="61"/>
      <c r="R126" s="61"/>
      <c r="S126" s="61"/>
      <c r="T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v>2</v>
      </c>
      <c r="BO126" s="61"/>
      <c r="BP126" s="61">
        <v>2</v>
      </c>
      <c r="BQ126" s="61"/>
      <c r="BR126" s="61">
        <v>3</v>
      </c>
      <c r="BS126" s="61"/>
      <c r="BT126" s="61">
        <v>4</v>
      </c>
      <c r="BU126" s="61"/>
      <c r="BV126" s="61">
        <v>1</v>
      </c>
      <c r="BW126" s="61"/>
      <c r="BX126" s="61">
        <v>2</v>
      </c>
      <c r="BY126" s="61"/>
      <c r="BZ126" s="61">
        <v>2</v>
      </c>
      <c r="CA126" s="61"/>
      <c r="CB126" s="61">
        <v>2</v>
      </c>
      <c r="CC126" s="61"/>
      <c r="CD126" s="61">
        <v>7</v>
      </c>
      <c r="CE126" s="61"/>
      <c r="CF126" s="61">
        <v>8</v>
      </c>
      <c r="CG126" s="61"/>
      <c r="CH126" s="61">
        <v>10</v>
      </c>
      <c r="CI126" s="61"/>
      <c r="CJ126" s="61">
        <v>12</v>
      </c>
      <c r="CK126" s="61"/>
      <c r="CL126" s="61">
        <v>10</v>
      </c>
      <c r="CM126" s="61"/>
      <c r="CN126" s="61">
        <v>9</v>
      </c>
      <c r="CO126" s="61"/>
      <c r="CP126" s="61">
        <v>4</v>
      </c>
      <c r="CQ126" s="61"/>
      <c r="CR126" s="61">
        <v>2</v>
      </c>
      <c r="CS126" s="61"/>
      <c r="CT126" s="61">
        <v>2</v>
      </c>
      <c r="CU126" s="61"/>
      <c r="CV126" s="61">
        <v>1</v>
      </c>
      <c r="CW126" s="61"/>
      <c r="CX126" s="61">
        <v>1</v>
      </c>
      <c r="CY126" s="61"/>
      <c r="CZ126" s="61">
        <v>1</v>
      </c>
      <c r="DA126" s="61"/>
      <c r="DB126" s="61">
        <v>1</v>
      </c>
      <c r="DC126" s="61"/>
      <c r="DD126" s="61"/>
      <c r="DE126" s="61"/>
      <c r="DF126" s="61"/>
      <c r="DG126" s="61"/>
      <c r="DH126" s="61"/>
      <c r="DI126" s="61"/>
      <c r="DJ126" s="61"/>
      <c r="DK126" s="61"/>
      <c r="DL126" s="61"/>
      <c r="DM126" s="61"/>
      <c r="DN126" s="61"/>
      <c r="DO126" s="61"/>
      <c r="DP126" s="61"/>
      <c r="DQ126" s="61"/>
      <c r="DR126" s="61"/>
      <c r="DS126" s="61"/>
      <c r="DT126" s="61"/>
      <c r="DU126" s="61"/>
      <c r="DV126" s="61"/>
      <c r="DW126" s="61"/>
      <c r="DX126" s="61"/>
      <c r="DY126" s="61"/>
      <c r="DZ126" s="61"/>
      <c r="EA126" s="61"/>
      <c r="EB126" s="61"/>
      <c r="EC126" s="61"/>
      <c r="ED126" s="61"/>
      <c r="EE126" s="61"/>
      <c r="EF126" s="61"/>
      <c r="EG126" s="61"/>
      <c r="EH126" s="61"/>
      <c r="EI126" s="61"/>
      <c r="EJ126" s="61"/>
      <c r="EK126" s="61"/>
      <c r="EL126" s="61"/>
      <c r="EM126" s="61"/>
      <c r="EN126" s="61"/>
      <c r="EO126" s="61"/>
      <c r="EP126" s="61"/>
      <c r="EQ126" s="61"/>
      <c r="ER126" s="61"/>
      <c r="ES126" s="61"/>
      <c r="ET126" s="61"/>
      <c r="EU126" s="61"/>
      <c r="EV126" s="61"/>
      <c r="EW126" s="61"/>
      <c r="EX126" s="61"/>
      <c r="EY126" s="61"/>
      <c r="EZ126" s="61"/>
      <c r="FA126" s="61"/>
      <c r="FB126" s="61"/>
      <c r="FC126" s="61"/>
      <c r="FD126" s="61"/>
      <c r="FE126" s="61"/>
      <c r="FF126" s="61"/>
      <c r="FG126" s="61"/>
      <c r="FH126" s="61"/>
      <c r="FI126" s="61"/>
      <c r="FJ126" s="61"/>
      <c r="FK126" s="61"/>
      <c r="FL126" s="61"/>
      <c r="FM126" s="61"/>
      <c r="FN126" s="61"/>
      <c r="FO126" s="61"/>
      <c r="FP126" s="61"/>
      <c r="FQ126" s="61"/>
      <c r="FR126" s="61"/>
      <c r="FS126" s="61"/>
      <c r="FT126" s="61"/>
      <c r="FU126" s="61"/>
      <c r="FV126" s="61"/>
      <c r="FW126" s="61"/>
      <c r="FX126" s="61"/>
      <c r="FY126" s="61"/>
      <c r="FZ126" s="61"/>
      <c r="GA126" s="61"/>
      <c r="GB126" s="61"/>
      <c r="GC126" s="61"/>
      <c r="GD126" s="61"/>
      <c r="GE126" s="61"/>
      <c r="GF126" s="61"/>
      <c r="GG126" s="61"/>
      <c r="GH126" s="61"/>
      <c r="GI126" s="61"/>
      <c r="GJ126" s="61"/>
      <c r="GK126" s="61"/>
      <c r="GL126" s="61"/>
      <c r="GM126" s="61"/>
      <c r="GN126" s="61"/>
      <c r="GO126" s="61"/>
      <c r="GP126" s="61"/>
      <c r="GQ126" s="61"/>
      <c r="GR126" s="61"/>
      <c r="GS126" s="61"/>
      <c r="GT126" s="61"/>
      <c r="GU126" s="61"/>
      <c r="GV126" s="61"/>
      <c r="GW126" s="61"/>
      <c r="GX126" s="61"/>
      <c r="GY126" s="61"/>
      <c r="GZ126" s="61"/>
      <c r="HA126" s="61"/>
      <c r="HB126" s="61"/>
      <c r="HC126" s="61"/>
      <c r="HD126" s="61"/>
      <c r="HE126" s="61"/>
      <c r="HF126" s="61"/>
      <c r="HG126" s="61"/>
      <c r="HH126" s="61"/>
      <c r="HI126" s="61"/>
      <c r="HJ126" s="61"/>
      <c r="HK126" s="61"/>
      <c r="HL126" s="61"/>
      <c r="HM126" s="61"/>
      <c r="HN126" s="61"/>
      <c r="HO126" s="61"/>
      <c r="HP126" s="61"/>
      <c r="HQ126" s="61"/>
      <c r="HR126" s="61"/>
      <c r="HS126" s="61"/>
      <c r="HT126" s="61"/>
      <c r="HU126" s="61"/>
      <c r="HV126" s="61"/>
      <c r="HW126" s="61"/>
      <c r="HX126" s="61"/>
      <c r="HY126" s="61"/>
      <c r="HZ126" s="61"/>
      <c r="IA126" s="61"/>
      <c r="IB126" s="61"/>
      <c r="IC126" s="61"/>
      <c r="ID126" s="61"/>
      <c r="IE126" s="61"/>
      <c r="IF126" s="61"/>
      <c r="IG126" s="61"/>
      <c r="IH126" s="61"/>
      <c r="II126" s="61"/>
      <c r="IJ126" s="61"/>
      <c r="IK126" s="61"/>
      <c r="IL126" s="61"/>
      <c r="IM126" s="61"/>
      <c r="IN126" s="61"/>
      <c r="IO126" s="61"/>
      <c r="IP126" s="61"/>
      <c r="IQ126" s="61"/>
      <c r="IR126" s="61"/>
      <c r="IS126" s="61"/>
      <c r="IT126" s="61"/>
      <c r="IU126" s="61"/>
      <c r="IV126" s="61"/>
      <c r="IW126" s="61"/>
      <c r="IX126" s="61"/>
      <c r="IY126" s="61"/>
      <c r="IZ126" s="61"/>
      <c r="JA126" s="61"/>
      <c r="JB126" s="61"/>
      <c r="JC126" s="61"/>
      <c r="JD126" s="61"/>
      <c r="JE126" s="61"/>
      <c r="JF126" s="61"/>
      <c r="JG126" s="61"/>
      <c r="JH126" s="61"/>
      <c r="JI126" s="61"/>
      <c r="JJ126" s="61"/>
      <c r="JK126" s="61"/>
      <c r="JL126" s="61"/>
      <c r="JM126" s="61"/>
      <c r="JN126" s="61"/>
      <c r="JO126" s="61"/>
      <c r="JP126" s="61"/>
      <c r="JQ126" s="61"/>
      <c r="JR126" s="61"/>
      <c r="JS126" s="61"/>
      <c r="JT126" s="61"/>
      <c r="JU126" s="61"/>
      <c r="JV126" s="61"/>
      <c r="JW126" s="61"/>
      <c r="JX126" s="61"/>
      <c r="JY126" s="61"/>
      <c r="JZ126" s="61"/>
      <c r="KA126" s="61"/>
      <c r="KB126" s="61"/>
      <c r="KC126" s="61"/>
      <c r="KD126" s="61"/>
      <c r="KE126" s="61"/>
      <c r="KF126" s="61"/>
      <c r="KG126" s="61"/>
      <c r="KH126" s="61"/>
      <c r="KI126" s="61"/>
      <c r="KJ126" s="61"/>
      <c r="KK126" s="61"/>
      <c r="KL126" s="61"/>
      <c r="KM126" s="61"/>
      <c r="KN126" s="61"/>
      <c r="KO126" s="61"/>
      <c r="KP126" s="61"/>
      <c r="KQ126" s="61"/>
      <c r="KR126" s="61"/>
      <c r="KS126" s="61"/>
      <c r="KT126" s="61"/>
      <c r="KU126" s="61"/>
      <c r="KV126" s="61"/>
      <c r="KW126" s="61"/>
      <c r="KX126" s="61"/>
      <c r="KY126" s="61"/>
      <c r="KZ126" s="61"/>
      <c r="LA126" s="61"/>
      <c r="LB126" s="61"/>
      <c r="LC126" s="61"/>
      <c r="LD126" s="61"/>
      <c r="LE126" s="61"/>
      <c r="LF126" s="61"/>
      <c r="LG126" s="61"/>
      <c r="LH126" s="61"/>
      <c r="LI126" s="61"/>
      <c r="LJ126" s="61"/>
      <c r="LK126" s="61"/>
      <c r="LL126" s="61"/>
      <c r="LM126" s="61"/>
      <c r="LN126" s="61"/>
      <c r="LO126" s="61"/>
      <c r="LP126" s="61"/>
      <c r="LQ126" s="61"/>
      <c r="LR126" s="61"/>
      <c r="LS126" s="61"/>
      <c r="LT126" s="61"/>
      <c r="LU126" s="61"/>
      <c r="LV126" s="61"/>
      <c r="LW126" s="61"/>
      <c r="LX126" s="61"/>
      <c r="LY126" s="61"/>
      <c r="LZ126" s="61"/>
      <c r="MA126" s="61"/>
      <c r="MB126" s="61"/>
      <c r="MC126" s="61"/>
      <c r="MD126" s="61"/>
      <c r="ME126" s="61"/>
      <c r="MF126" s="61"/>
      <c r="MG126" s="61"/>
      <c r="MH126" s="61"/>
      <c r="MI126" s="61"/>
      <c r="MJ126" s="61"/>
      <c r="MK126" s="61"/>
      <c r="ML126" s="61"/>
      <c r="MM126" s="61"/>
      <c r="MN126" s="61"/>
      <c r="MO126" s="61"/>
      <c r="MP126" s="61"/>
      <c r="MQ126" s="61"/>
      <c r="MR126" s="61"/>
      <c r="MS126" s="61"/>
      <c r="MT126" s="61"/>
      <c r="MU126" s="61"/>
      <c r="MV126" s="61"/>
      <c r="MW126" s="61"/>
      <c r="MX126" s="61"/>
      <c r="MY126" s="61"/>
      <c r="MZ126" s="61"/>
      <c r="NA126" s="61"/>
      <c r="NB126" s="61"/>
      <c r="NC126" s="61"/>
      <c r="ND126" s="61"/>
      <c r="NE126" s="61"/>
      <c r="NF126" s="61"/>
      <c r="NG126" s="61"/>
      <c r="NH126" s="61"/>
      <c r="NI126" s="61"/>
      <c r="NJ126" s="61"/>
      <c r="NK126" s="61"/>
      <c r="NL126" s="61"/>
      <c r="NM126" s="61"/>
      <c r="NN126" s="61"/>
      <c r="NO126" s="61"/>
      <c r="NP126" s="61"/>
      <c r="NQ126" s="61"/>
      <c r="NR126" s="61"/>
      <c r="NS126" s="61"/>
      <c r="NT126" s="61"/>
      <c r="NU126" s="61"/>
      <c r="NV126" s="61"/>
      <c r="NW126" s="61"/>
      <c r="NX126" s="61"/>
      <c r="NY126" s="61"/>
      <c r="NZ126" s="61"/>
      <c r="OA126" s="61"/>
      <c r="OB126" s="61"/>
      <c r="OC126" s="61"/>
      <c r="OD126" s="61"/>
      <c r="OE126" s="61"/>
      <c r="OF126" s="61"/>
      <c r="OG126" s="61"/>
      <c r="OH126" s="61"/>
      <c r="OI126" s="61"/>
      <c r="OJ126" s="61"/>
      <c r="OK126" s="61"/>
      <c r="OL126" s="61"/>
      <c r="OM126" s="61"/>
      <c r="ON126" s="61"/>
      <c r="OO126" s="61"/>
      <c r="OP126" s="61"/>
      <c r="OQ126" s="61"/>
      <c r="OR126" s="61"/>
      <c r="OS126" s="61"/>
      <c r="OT126" s="61"/>
      <c r="OU126" s="61"/>
      <c r="OV126" s="61"/>
      <c r="OW126" s="61"/>
      <c r="OX126" s="61"/>
      <c r="OY126" s="61"/>
      <c r="OZ126" s="61"/>
      <c r="PA126" s="61"/>
      <c r="PB126" s="61"/>
      <c r="PC126" s="61"/>
      <c r="PD126" s="61"/>
      <c r="PE126" s="61"/>
      <c r="PF126" s="61"/>
      <c r="PG126" s="61"/>
      <c r="PH126" s="61"/>
      <c r="PI126" s="61"/>
      <c r="PJ126" s="61"/>
      <c r="PK126" s="61"/>
      <c r="PL126" s="61"/>
      <c r="PM126" s="61"/>
      <c r="PN126" s="61"/>
      <c r="PO126" s="61"/>
      <c r="PP126" s="61"/>
      <c r="PQ126" s="61"/>
      <c r="PR126" s="61"/>
      <c r="PS126" s="61"/>
      <c r="PT126" s="61"/>
      <c r="PU126" s="61"/>
      <c r="PV126" s="61"/>
      <c r="PW126" s="61"/>
      <c r="PX126" s="61"/>
      <c r="PY126" s="61"/>
      <c r="PZ126" s="61"/>
      <c r="QA126" s="61"/>
      <c r="QB126" s="61"/>
      <c r="QC126" s="61"/>
      <c r="QD126" s="61"/>
      <c r="QE126" s="61"/>
      <c r="QF126" s="61"/>
      <c r="QG126" s="61"/>
      <c r="QH126" s="61"/>
      <c r="QI126" s="61"/>
      <c r="QJ126" s="61"/>
      <c r="QK126" s="61"/>
      <c r="QL126" s="61"/>
      <c r="QM126" s="61"/>
      <c r="QN126" s="61"/>
      <c r="QO126" s="61"/>
      <c r="QP126" s="61"/>
      <c r="QQ126" s="61"/>
      <c r="QR126" s="61"/>
      <c r="QS126" s="61"/>
      <c r="QT126" s="61"/>
      <c r="QU126" s="61"/>
      <c r="QV126" s="61"/>
      <c r="QW126" s="61"/>
      <c r="QX126" s="61"/>
      <c r="QY126" s="61"/>
      <c r="QZ126" s="61"/>
      <c r="RA126" s="61"/>
      <c r="RB126" s="61"/>
      <c r="RC126" s="61"/>
      <c r="RD126" s="17"/>
    </row>
    <row r="127" spans="1:472" s="5" customFormat="1" ht="15" hidden="1" customHeight="1" x14ac:dyDescent="0.25">
      <c r="A127" s="5">
        <v>2040</v>
      </c>
      <c r="B127" s="5" t="s">
        <v>287</v>
      </c>
      <c r="C127" s="5" t="s">
        <v>165</v>
      </c>
      <c r="D127" s="5">
        <v>55</v>
      </c>
      <c r="E127" s="36">
        <v>42795</v>
      </c>
      <c r="F127" s="64" t="s">
        <v>216</v>
      </c>
      <c r="G127" s="65"/>
      <c r="H127" s="19"/>
      <c r="I127" s="61"/>
      <c r="J127" s="61"/>
      <c r="K127" s="61"/>
      <c r="L127" s="61"/>
      <c r="M127" s="61"/>
      <c r="N127" s="61"/>
      <c r="O127" s="61"/>
      <c r="P127" s="61"/>
      <c r="Q127" s="61"/>
      <c r="R127" s="61"/>
      <c r="S127" s="61"/>
      <c r="T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v>2</v>
      </c>
      <c r="BQ127" s="61"/>
      <c r="BR127" s="61"/>
      <c r="BS127" s="61"/>
      <c r="BT127" s="61">
        <v>3</v>
      </c>
      <c r="BU127" s="61"/>
      <c r="BV127" s="61"/>
      <c r="BW127" s="61"/>
      <c r="BX127" s="61">
        <v>2</v>
      </c>
      <c r="BY127" s="61"/>
      <c r="BZ127" s="61">
        <v>2</v>
      </c>
      <c r="CA127" s="61"/>
      <c r="CB127" s="61">
        <v>2</v>
      </c>
      <c r="CC127" s="61"/>
      <c r="CD127" s="61">
        <v>6</v>
      </c>
      <c r="CE127" s="61"/>
      <c r="CF127" s="61">
        <v>5</v>
      </c>
      <c r="CG127" s="61"/>
      <c r="CH127" s="61">
        <v>5</v>
      </c>
      <c r="CI127" s="61"/>
      <c r="CJ127" s="61">
        <v>2</v>
      </c>
      <c r="CK127" s="61"/>
      <c r="CL127" s="61">
        <v>6</v>
      </c>
      <c r="CM127" s="61"/>
      <c r="CN127" s="61">
        <v>4</v>
      </c>
      <c r="CO127" s="61"/>
      <c r="CP127" s="61">
        <v>4</v>
      </c>
      <c r="CQ127" s="61"/>
      <c r="CR127" s="61">
        <v>2</v>
      </c>
      <c r="CS127" s="61"/>
      <c r="CT127" s="61">
        <v>3</v>
      </c>
      <c r="CU127" s="61"/>
      <c r="CV127" s="61">
        <v>1</v>
      </c>
      <c r="CW127" s="61"/>
      <c r="CX127" s="61">
        <v>1</v>
      </c>
      <c r="CY127" s="61"/>
      <c r="CZ127" s="61">
        <v>1</v>
      </c>
      <c r="DA127" s="61"/>
      <c r="DB127" s="61">
        <v>1</v>
      </c>
      <c r="DC127" s="61"/>
      <c r="DD127" s="61"/>
      <c r="DE127" s="61"/>
      <c r="DF127" s="61"/>
      <c r="DG127" s="61"/>
      <c r="DH127" s="61"/>
      <c r="DI127" s="61"/>
      <c r="DJ127" s="61"/>
      <c r="DK127" s="61"/>
      <c r="DL127" s="61"/>
      <c r="DM127" s="61"/>
      <c r="DN127" s="61"/>
      <c r="DO127" s="61"/>
      <c r="DP127" s="61"/>
      <c r="DQ127" s="61"/>
      <c r="DR127" s="61"/>
      <c r="DS127" s="61"/>
      <c r="DT127" s="61"/>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1"/>
      <c r="EX127" s="61"/>
      <c r="EY127" s="61"/>
      <c r="EZ127" s="61"/>
      <c r="FA127" s="61"/>
      <c r="FB127" s="61"/>
      <c r="FC127" s="61"/>
      <c r="FD127" s="61"/>
      <c r="FE127" s="61"/>
      <c r="FF127" s="61"/>
      <c r="FG127" s="61"/>
      <c r="FH127" s="61"/>
      <c r="FI127" s="61"/>
      <c r="FJ127" s="61"/>
      <c r="FK127" s="61"/>
      <c r="FL127" s="61"/>
      <c r="FM127" s="61"/>
      <c r="FN127" s="61"/>
      <c r="FO127" s="61"/>
      <c r="FP127" s="61"/>
      <c r="FQ127" s="61"/>
      <c r="FR127" s="61"/>
      <c r="FS127" s="61"/>
      <c r="FT127" s="61"/>
      <c r="FU127" s="61"/>
      <c r="FV127" s="61"/>
      <c r="FW127" s="61"/>
      <c r="FX127" s="61"/>
      <c r="FY127" s="61"/>
      <c r="FZ127" s="61"/>
      <c r="GA127" s="61"/>
      <c r="GB127" s="61"/>
      <c r="GC127" s="61"/>
      <c r="GD127" s="61"/>
      <c r="GE127" s="61"/>
      <c r="GF127" s="61"/>
      <c r="GG127" s="61"/>
      <c r="GH127" s="61"/>
      <c r="GI127" s="61"/>
      <c r="GJ127" s="61"/>
      <c r="GK127" s="61"/>
      <c r="GL127" s="61"/>
      <c r="GM127" s="61"/>
      <c r="GN127" s="61"/>
      <c r="GO127" s="61"/>
      <c r="GP127" s="61"/>
      <c r="GQ127" s="61"/>
      <c r="GR127" s="61"/>
      <c r="GS127" s="61"/>
      <c r="GT127" s="61"/>
      <c r="GU127" s="61"/>
      <c r="GV127" s="61"/>
      <c r="GW127" s="61"/>
      <c r="GX127" s="61"/>
      <c r="GY127" s="61"/>
      <c r="GZ127" s="61"/>
      <c r="HA127" s="61"/>
      <c r="HB127" s="61"/>
      <c r="HC127" s="61"/>
      <c r="HD127" s="61"/>
      <c r="HE127" s="61"/>
      <c r="HF127" s="61"/>
      <c r="HG127" s="61"/>
      <c r="HH127" s="61"/>
      <c r="HI127" s="61"/>
      <c r="HJ127" s="61"/>
      <c r="HK127" s="61"/>
      <c r="HL127" s="61"/>
      <c r="HM127" s="61"/>
      <c r="HN127" s="61"/>
      <c r="HO127" s="61"/>
      <c r="HP127" s="61"/>
      <c r="HQ127" s="61"/>
      <c r="HR127" s="61"/>
      <c r="HS127" s="61"/>
      <c r="HT127" s="61"/>
      <c r="HU127" s="61"/>
      <c r="HV127" s="61"/>
      <c r="HW127" s="61"/>
      <c r="HX127" s="61"/>
      <c r="HY127" s="61"/>
      <c r="HZ127" s="61"/>
      <c r="IA127" s="61"/>
      <c r="IB127" s="61"/>
      <c r="IC127" s="61"/>
      <c r="ID127" s="61"/>
      <c r="IE127" s="61"/>
      <c r="IF127" s="61"/>
      <c r="IG127" s="61"/>
      <c r="IH127" s="61"/>
      <c r="II127" s="61"/>
      <c r="IJ127" s="61"/>
      <c r="IK127" s="61"/>
      <c r="IL127" s="61"/>
      <c r="IM127" s="61"/>
      <c r="IN127" s="61"/>
      <c r="IO127" s="61"/>
      <c r="IP127" s="61"/>
      <c r="IQ127" s="61"/>
      <c r="IR127" s="61"/>
      <c r="IS127" s="61"/>
      <c r="IT127" s="61"/>
      <c r="IU127" s="61"/>
      <c r="IV127" s="61"/>
      <c r="IW127" s="61"/>
      <c r="IX127" s="61"/>
      <c r="IY127" s="61"/>
      <c r="IZ127" s="61"/>
      <c r="JA127" s="61"/>
      <c r="JB127" s="61"/>
      <c r="JC127" s="61"/>
      <c r="JD127" s="61"/>
      <c r="JE127" s="61"/>
      <c r="JF127" s="61"/>
      <c r="JG127" s="61"/>
      <c r="JH127" s="61"/>
      <c r="JI127" s="61"/>
      <c r="JJ127" s="61"/>
      <c r="JK127" s="61"/>
      <c r="JL127" s="61"/>
      <c r="JM127" s="61"/>
      <c r="JN127" s="61"/>
      <c r="JO127" s="61"/>
      <c r="JP127" s="61"/>
      <c r="JQ127" s="61"/>
      <c r="JR127" s="61"/>
      <c r="JS127" s="61"/>
      <c r="JT127" s="61"/>
      <c r="JU127" s="61"/>
      <c r="JV127" s="61"/>
      <c r="JW127" s="61"/>
      <c r="JX127" s="61"/>
      <c r="JY127" s="61"/>
      <c r="JZ127" s="61"/>
      <c r="KA127" s="61"/>
      <c r="KB127" s="61"/>
      <c r="KC127" s="61"/>
      <c r="KD127" s="61"/>
      <c r="KE127" s="61"/>
      <c r="KF127" s="61"/>
      <c r="KG127" s="61"/>
      <c r="KH127" s="61"/>
      <c r="KI127" s="61"/>
      <c r="KJ127" s="61"/>
      <c r="KK127" s="61"/>
      <c r="KL127" s="61"/>
      <c r="KM127" s="61"/>
      <c r="KN127" s="61"/>
      <c r="KO127" s="61"/>
      <c r="KP127" s="61"/>
      <c r="KQ127" s="61"/>
      <c r="KR127" s="61"/>
      <c r="KS127" s="61"/>
      <c r="KT127" s="61"/>
      <c r="KU127" s="61"/>
      <c r="KV127" s="61"/>
      <c r="KW127" s="61"/>
      <c r="KX127" s="61"/>
      <c r="KY127" s="61"/>
      <c r="KZ127" s="61"/>
      <c r="LA127" s="61"/>
      <c r="LB127" s="61"/>
      <c r="LC127" s="61"/>
      <c r="LD127" s="61"/>
      <c r="LE127" s="61"/>
      <c r="LF127" s="61"/>
      <c r="LG127" s="61"/>
      <c r="LH127" s="61"/>
      <c r="LI127" s="61"/>
      <c r="LJ127" s="61"/>
      <c r="LK127" s="61"/>
      <c r="LL127" s="61"/>
      <c r="LM127" s="61"/>
      <c r="LN127" s="61"/>
      <c r="LO127" s="61"/>
      <c r="LP127" s="61"/>
      <c r="LQ127" s="61"/>
      <c r="LR127" s="61"/>
      <c r="LS127" s="61"/>
      <c r="LT127" s="61"/>
      <c r="LU127" s="61"/>
      <c r="LV127" s="61"/>
      <c r="LW127" s="61"/>
      <c r="LX127" s="61"/>
      <c r="LY127" s="61"/>
      <c r="LZ127" s="61"/>
      <c r="MA127" s="61"/>
      <c r="MB127" s="61"/>
      <c r="MC127" s="61"/>
      <c r="MD127" s="61"/>
      <c r="ME127" s="61"/>
      <c r="MF127" s="61"/>
      <c r="MG127" s="61"/>
      <c r="MH127" s="61"/>
      <c r="MI127" s="61"/>
      <c r="MJ127" s="61"/>
      <c r="MK127" s="61"/>
      <c r="ML127" s="61"/>
      <c r="MM127" s="61"/>
      <c r="MN127" s="61"/>
      <c r="MO127" s="61"/>
      <c r="MP127" s="61"/>
      <c r="MQ127" s="61"/>
      <c r="MR127" s="61"/>
      <c r="MS127" s="61"/>
      <c r="MT127" s="61"/>
      <c r="MU127" s="61"/>
      <c r="MV127" s="61"/>
      <c r="MW127" s="61"/>
      <c r="MX127" s="61"/>
      <c r="MY127" s="61"/>
      <c r="MZ127" s="61"/>
      <c r="NA127" s="61"/>
      <c r="NB127" s="61"/>
      <c r="NC127" s="61"/>
      <c r="ND127" s="61"/>
      <c r="NE127" s="61"/>
      <c r="NF127" s="61"/>
      <c r="NG127" s="61"/>
      <c r="NH127" s="61"/>
      <c r="NI127" s="61"/>
      <c r="NJ127" s="61"/>
      <c r="NK127" s="61"/>
      <c r="NL127" s="61"/>
      <c r="NM127" s="61"/>
      <c r="NN127" s="61"/>
      <c r="NO127" s="61"/>
      <c r="NP127" s="61"/>
      <c r="NQ127" s="61"/>
      <c r="NR127" s="61"/>
      <c r="NS127" s="61"/>
      <c r="NT127" s="61"/>
      <c r="NU127" s="61"/>
      <c r="NV127" s="61"/>
      <c r="NW127" s="61"/>
      <c r="NX127" s="61"/>
      <c r="NY127" s="61"/>
      <c r="NZ127" s="61"/>
      <c r="OA127" s="61"/>
      <c r="OB127" s="61"/>
      <c r="OC127" s="61"/>
      <c r="OD127" s="61"/>
      <c r="OE127" s="61"/>
      <c r="OF127" s="61"/>
      <c r="OG127" s="61"/>
      <c r="OH127" s="61"/>
      <c r="OI127" s="61"/>
      <c r="OJ127" s="61"/>
      <c r="OK127" s="61"/>
      <c r="OL127" s="61"/>
      <c r="OM127" s="61"/>
      <c r="ON127" s="61"/>
      <c r="OO127" s="61"/>
      <c r="OP127" s="61"/>
      <c r="OQ127" s="61"/>
      <c r="OR127" s="61"/>
      <c r="OS127" s="61"/>
      <c r="OT127" s="61"/>
      <c r="OU127" s="61"/>
      <c r="OV127" s="61"/>
      <c r="OW127" s="61"/>
      <c r="OX127" s="61"/>
      <c r="OY127" s="61"/>
      <c r="OZ127" s="61"/>
      <c r="PA127" s="61"/>
      <c r="PB127" s="61"/>
      <c r="PC127" s="61"/>
      <c r="PD127" s="61"/>
      <c r="PE127" s="61"/>
      <c r="PF127" s="61"/>
      <c r="PG127" s="61"/>
      <c r="PH127" s="61"/>
      <c r="PI127" s="61"/>
      <c r="PJ127" s="61"/>
      <c r="PK127" s="61"/>
      <c r="PL127" s="61"/>
      <c r="PM127" s="61"/>
      <c r="PN127" s="61"/>
      <c r="PO127" s="61"/>
      <c r="PP127" s="61"/>
      <c r="PQ127" s="61"/>
      <c r="PR127" s="61"/>
      <c r="PS127" s="61"/>
      <c r="PT127" s="61"/>
      <c r="PU127" s="61"/>
      <c r="PV127" s="61"/>
      <c r="PW127" s="61"/>
      <c r="PX127" s="61"/>
      <c r="PY127" s="61"/>
      <c r="PZ127" s="61"/>
      <c r="QA127" s="61"/>
      <c r="QB127" s="61"/>
      <c r="QC127" s="61"/>
      <c r="QD127" s="61"/>
      <c r="QE127" s="61"/>
      <c r="QF127" s="61"/>
      <c r="QG127" s="61"/>
      <c r="QH127" s="61"/>
      <c r="QI127" s="61"/>
      <c r="QJ127" s="61"/>
      <c r="QK127" s="61"/>
      <c r="QL127" s="61"/>
      <c r="QM127" s="61"/>
      <c r="QN127" s="61"/>
      <c r="QO127" s="61"/>
      <c r="QP127" s="61"/>
      <c r="QQ127" s="61"/>
      <c r="QR127" s="61"/>
      <c r="QS127" s="61"/>
      <c r="QT127" s="61"/>
      <c r="QU127" s="61"/>
      <c r="QV127" s="61"/>
      <c r="QW127" s="61"/>
      <c r="QX127" s="61"/>
      <c r="QY127" s="61"/>
      <c r="QZ127" s="61"/>
      <c r="RA127" s="61"/>
      <c r="RB127" s="61"/>
      <c r="RC127" s="61"/>
      <c r="RD127" s="17"/>
    </row>
    <row r="128" spans="1:472" s="5" customFormat="1" ht="15" hidden="1" customHeight="1" x14ac:dyDescent="0.25">
      <c r="A128" s="5">
        <v>2037</v>
      </c>
      <c r="B128" s="5" t="s">
        <v>359</v>
      </c>
      <c r="C128" s="5" t="s">
        <v>237</v>
      </c>
      <c r="D128" s="5">
        <v>122</v>
      </c>
      <c r="E128" s="36">
        <v>42744</v>
      </c>
      <c r="F128" s="64" t="s">
        <v>216</v>
      </c>
      <c r="G128" s="65"/>
      <c r="H128" s="19"/>
      <c r="I128" s="61"/>
      <c r="J128" s="61"/>
      <c r="K128" s="61"/>
      <c r="L128" s="61"/>
      <c r="M128" s="61"/>
      <c r="N128" s="61"/>
      <c r="O128" s="61"/>
      <c r="P128" s="61"/>
      <c r="Q128" s="61"/>
      <c r="R128" s="61"/>
      <c r="S128" s="61"/>
      <c r="T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v>2</v>
      </c>
      <c r="BQ128" s="61"/>
      <c r="BR128" s="61">
        <v>3</v>
      </c>
      <c r="BS128" s="61"/>
      <c r="BT128" s="61">
        <v>4</v>
      </c>
      <c r="BU128" s="61"/>
      <c r="BV128" s="61">
        <v>1</v>
      </c>
      <c r="BW128" s="61"/>
      <c r="BX128" s="61">
        <v>2</v>
      </c>
      <c r="BY128" s="61"/>
      <c r="BZ128" s="61">
        <v>2</v>
      </c>
      <c r="CA128" s="61"/>
      <c r="CB128" s="61">
        <v>2</v>
      </c>
      <c r="CC128" s="61"/>
      <c r="CD128" s="61">
        <v>8</v>
      </c>
      <c r="CE128" s="61"/>
      <c r="CF128" s="61">
        <v>2</v>
      </c>
      <c r="CG128" s="61"/>
      <c r="CH128" s="61">
        <v>8</v>
      </c>
      <c r="CI128" s="61"/>
      <c r="CJ128" s="61">
        <v>6</v>
      </c>
      <c r="CK128" s="61"/>
      <c r="CL128" s="61">
        <v>10</v>
      </c>
      <c r="CM128" s="61"/>
      <c r="CN128" s="61">
        <v>7</v>
      </c>
      <c r="CO128" s="61"/>
      <c r="CP128" s="61">
        <v>8</v>
      </c>
      <c r="CQ128" s="61"/>
      <c r="CR128" s="61">
        <v>7</v>
      </c>
      <c r="CS128" s="61"/>
      <c r="CT128" s="61">
        <v>6</v>
      </c>
      <c r="CU128" s="61"/>
      <c r="CV128" s="61">
        <v>3</v>
      </c>
      <c r="CW128" s="61"/>
      <c r="CX128" s="61">
        <v>2</v>
      </c>
      <c r="CY128" s="61"/>
      <c r="CZ128" s="61">
        <v>1</v>
      </c>
      <c r="DA128" s="61"/>
      <c r="DB128" s="61">
        <v>1</v>
      </c>
      <c r="DC128" s="61"/>
      <c r="DD128" s="61"/>
      <c r="DE128" s="61"/>
      <c r="DF128" s="61"/>
      <c r="DG128" s="61"/>
      <c r="DH128" s="61"/>
      <c r="DI128" s="61"/>
      <c r="DJ128" s="61"/>
      <c r="DK128" s="61"/>
      <c r="DL128" s="61"/>
      <c r="DM128" s="61"/>
      <c r="DN128" s="61"/>
      <c r="DO128" s="61"/>
      <c r="DP128" s="61"/>
      <c r="DQ128" s="61"/>
      <c r="DR128" s="61"/>
      <c r="DS128" s="61"/>
      <c r="DT128" s="61"/>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1"/>
      <c r="EX128" s="61"/>
      <c r="EY128" s="61"/>
      <c r="EZ128" s="61"/>
      <c r="FA128" s="61"/>
      <c r="FB128" s="61"/>
      <c r="FC128" s="61"/>
      <c r="FD128" s="61"/>
      <c r="FE128" s="61"/>
      <c r="FF128" s="61"/>
      <c r="FG128" s="61"/>
      <c r="FH128" s="61"/>
      <c r="FI128" s="61"/>
      <c r="FJ128" s="61"/>
      <c r="FK128" s="61"/>
      <c r="FL128" s="61"/>
      <c r="FM128" s="61"/>
      <c r="FN128" s="61"/>
      <c r="FO128" s="61"/>
      <c r="FP128" s="61"/>
      <c r="FQ128" s="61"/>
      <c r="FR128" s="61"/>
      <c r="FS128" s="61"/>
      <c r="FT128" s="61"/>
      <c r="FU128" s="61"/>
      <c r="FV128" s="61"/>
      <c r="FW128" s="61"/>
      <c r="FX128" s="61"/>
      <c r="FY128" s="61"/>
      <c r="FZ128" s="61"/>
      <c r="GA128" s="61"/>
      <c r="GB128" s="61"/>
      <c r="GC128" s="61"/>
      <c r="GD128" s="61"/>
      <c r="GE128" s="61"/>
      <c r="GF128" s="61"/>
      <c r="GG128" s="61"/>
      <c r="GH128" s="61"/>
      <c r="GI128" s="61"/>
      <c r="GJ128" s="61"/>
      <c r="GK128" s="61"/>
      <c r="GL128" s="61"/>
      <c r="GM128" s="61"/>
      <c r="GN128" s="61"/>
      <c r="GO128" s="61"/>
      <c r="GP128" s="61"/>
      <c r="GQ128" s="61"/>
      <c r="GR128" s="61"/>
      <c r="GS128" s="61"/>
      <c r="GT128" s="61"/>
      <c r="GU128" s="61"/>
      <c r="GV128" s="61"/>
      <c r="GW128" s="61"/>
      <c r="GX128" s="61"/>
      <c r="GY128" s="61"/>
      <c r="GZ128" s="61"/>
      <c r="HA128" s="61"/>
      <c r="HB128" s="61"/>
      <c r="HC128" s="61"/>
      <c r="HD128" s="61"/>
      <c r="HE128" s="61"/>
      <c r="HF128" s="61"/>
      <c r="HG128" s="61"/>
      <c r="HH128" s="61"/>
      <c r="HI128" s="61"/>
      <c r="HJ128" s="61"/>
      <c r="HK128" s="61"/>
      <c r="HL128" s="61"/>
      <c r="HM128" s="61"/>
      <c r="HN128" s="61"/>
      <c r="HO128" s="61"/>
      <c r="HP128" s="61"/>
      <c r="HQ128" s="61"/>
      <c r="HR128" s="61"/>
      <c r="HS128" s="61"/>
      <c r="HT128" s="61"/>
      <c r="HU128" s="61"/>
      <c r="HV128" s="61"/>
      <c r="HW128" s="61"/>
      <c r="HX128" s="61"/>
      <c r="HY128" s="61"/>
      <c r="HZ128" s="61"/>
      <c r="IA128" s="61"/>
      <c r="IB128" s="61"/>
      <c r="IC128" s="61"/>
      <c r="ID128" s="61"/>
      <c r="IE128" s="61"/>
      <c r="IF128" s="61"/>
      <c r="IG128" s="61"/>
      <c r="IH128" s="61"/>
      <c r="II128" s="61"/>
      <c r="IJ128" s="61"/>
      <c r="IK128" s="61"/>
      <c r="IL128" s="61"/>
      <c r="IM128" s="61"/>
      <c r="IN128" s="61"/>
      <c r="IO128" s="61"/>
      <c r="IP128" s="61"/>
      <c r="IQ128" s="61"/>
      <c r="IR128" s="61"/>
      <c r="IS128" s="61"/>
      <c r="IT128" s="61"/>
      <c r="IU128" s="61"/>
      <c r="IV128" s="61"/>
      <c r="IW128" s="61"/>
      <c r="IX128" s="61"/>
      <c r="IY128" s="61"/>
      <c r="IZ128" s="61"/>
      <c r="JA128" s="61"/>
      <c r="JB128" s="61"/>
      <c r="JC128" s="61"/>
      <c r="JD128" s="61"/>
      <c r="JE128" s="61"/>
      <c r="JF128" s="61"/>
      <c r="JG128" s="61"/>
      <c r="JH128" s="61"/>
      <c r="JI128" s="61"/>
      <c r="JJ128" s="61"/>
      <c r="JK128" s="61"/>
      <c r="JL128" s="61"/>
      <c r="JM128" s="61"/>
      <c r="JN128" s="61"/>
      <c r="JO128" s="61"/>
      <c r="JP128" s="61"/>
      <c r="JQ128" s="61"/>
      <c r="JR128" s="61"/>
      <c r="JS128" s="61"/>
      <c r="JT128" s="61"/>
      <c r="JU128" s="61"/>
      <c r="JV128" s="61"/>
      <c r="JW128" s="61"/>
      <c r="JX128" s="61"/>
      <c r="JY128" s="61"/>
      <c r="JZ128" s="61"/>
      <c r="KA128" s="61"/>
      <c r="KB128" s="61"/>
      <c r="KC128" s="61"/>
      <c r="KD128" s="61"/>
      <c r="KE128" s="61"/>
      <c r="KF128" s="61"/>
      <c r="KG128" s="61"/>
      <c r="KH128" s="61"/>
      <c r="KI128" s="61"/>
      <c r="KJ128" s="61"/>
      <c r="KK128" s="61"/>
      <c r="KL128" s="61"/>
      <c r="KM128" s="61"/>
      <c r="KN128" s="61"/>
      <c r="KO128" s="61"/>
      <c r="KP128" s="61"/>
      <c r="KQ128" s="61"/>
      <c r="KR128" s="61"/>
      <c r="KS128" s="61"/>
      <c r="KT128" s="61"/>
      <c r="KU128" s="61"/>
      <c r="KV128" s="61"/>
      <c r="KW128" s="61"/>
      <c r="KX128" s="61"/>
      <c r="KY128" s="61"/>
      <c r="KZ128" s="61"/>
      <c r="LA128" s="61"/>
      <c r="LB128" s="61"/>
      <c r="LC128" s="61"/>
      <c r="LD128" s="61"/>
      <c r="LE128" s="61"/>
      <c r="LF128" s="61"/>
      <c r="LG128" s="61"/>
      <c r="LH128" s="61"/>
      <c r="LI128" s="61"/>
      <c r="LJ128" s="61"/>
      <c r="LK128" s="61"/>
      <c r="LL128" s="61"/>
      <c r="LM128" s="61"/>
      <c r="LN128" s="61"/>
      <c r="LO128" s="61"/>
      <c r="LP128" s="61"/>
      <c r="LQ128" s="61"/>
      <c r="LR128" s="61"/>
      <c r="LS128" s="61"/>
      <c r="LT128" s="61"/>
      <c r="LU128" s="61"/>
      <c r="LV128" s="61"/>
      <c r="LW128" s="61"/>
      <c r="LX128" s="61"/>
      <c r="LY128" s="61"/>
      <c r="LZ128" s="61"/>
      <c r="MA128" s="61"/>
      <c r="MB128" s="61"/>
      <c r="MC128" s="61"/>
      <c r="MD128" s="61"/>
      <c r="ME128" s="61"/>
      <c r="MF128" s="61"/>
      <c r="MG128" s="61"/>
      <c r="MH128" s="61"/>
      <c r="MI128" s="61"/>
      <c r="MJ128" s="61"/>
      <c r="MK128" s="61"/>
      <c r="ML128" s="61"/>
      <c r="MM128" s="61"/>
      <c r="MN128" s="61"/>
      <c r="MO128" s="61"/>
      <c r="MP128" s="61"/>
      <c r="MQ128" s="61"/>
      <c r="MR128" s="61"/>
      <c r="MS128" s="61"/>
      <c r="MT128" s="61"/>
      <c r="MU128" s="61"/>
      <c r="MV128" s="61"/>
      <c r="MW128" s="61"/>
      <c r="MX128" s="61"/>
      <c r="MY128" s="61"/>
      <c r="MZ128" s="61"/>
      <c r="NA128" s="61"/>
      <c r="NB128" s="61"/>
      <c r="NC128" s="61"/>
      <c r="ND128" s="61"/>
      <c r="NE128" s="61"/>
      <c r="NF128" s="61"/>
      <c r="NG128" s="61"/>
      <c r="NH128" s="61"/>
      <c r="NI128" s="61"/>
      <c r="NJ128" s="61"/>
      <c r="NK128" s="61"/>
      <c r="NL128" s="61"/>
      <c r="NM128" s="61"/>
      <c r="NN128" s="61"/>
      <c r="NO128" s="61"/>
      <c r="NP128" s="61"/>
      <c r="NQ128" s="61"/>
      <c r="NR128" s="61"/>
      <c r="NS128" s="61"/>
      <c r="NT128" s="61"/>
      <c r="NU128" s="61"/>
      <c r="NV128" s="61"/>
      <c r="NW128" s="61"/>
      <c r="NX128" s="61"/>
      <c r="NY128" s="61"/>
      <c r="NZ128" s="61"/>
      <c r="OA128" s="61"/>
      <c r="OB128" s="61"/>
      <c r="OC128" s="61"/>
      <c r="OD128" s="61"/>
      <c r="OE128" s="61"/>
      <c r="OF128" s="61"/>
      <c r="OG128" s="61"/>
      <c r="OH128" s="61"/>
      <c r="OI128" s="61"/>
      <c r="OJ128" s="61"/>
      <c r="OK128" s="61"/>
      <c r="OL128" s="61"/>
      <c r="OM128" s="61"/>
      <c r="ON128" s="61"/>
      <c r="OO128" s="61"/>
      <c r="OP128" s="61"/>
      <c r="OQ128" s="61"/>
      <c r="OR128" s="61"/>
      <c r="OS128" s="61"/>
      <c r="OT128" s="61"/>
      <c r="OU128" s="61"/>
      <c r="OV128" s="61"/>
      <c r="OW128" s="61"/>
      <c r="OX128" s="61"/>
      <c r="OY128" s="61"/>
      <c r="OZ128" s="61"/>
      <c r="PA128" s="61"/>
      <c r="PB128" s="61"/>
      <c r="PC128" s="61"/>
      <c r="PD128" s="61"/>
      <c r="PE128" s="61"/>
      <c r="PF128" s="61"/>
      <c r="PG128" s="61"/>
      <c r="PH128" s="61"/>
      <c r="PI128" s="61"/>
      <c r="PJ128" s="61"/>
      <c r="PK128" s="61"/>
      <c r="PL128" s="61"/>
      <c r="PM128" s="61"/>
      <c r="PN128" s="61"/>
      <c r="PO128" s="61"/>
      <c r="PP128" s="61"/>
      <c r="PQ128" s="61"/>
      <c r="PR128" s="61"/>
      <c r="PS128" s="61"/>
      <c r="PT128" s="61"/>
      <c r="PU128" s="61"/>
      <c r="PV128" s="61"/>
      <c r="PW128" s="61"/>
      <c r="PX128" s="61"/>
      <c r="PY128" s="61"/>
      <c r="PZ128" s="61"/>
      <c r="QA128" s="61"/>
      <c r="QB128" s="61"/>
      <c r="QC128" s="61"/>
      <c r="QD128" s="61"/>
      <c r="QE128" s="61"/>
      <c r="QF128" s="61"/>
      <c r="QG128" s="61"/>
      <c r="QH128" s="61"/>
      <c r="QI128" s="61"/>
      <c r="QJ128" s="61"/>
      <c r="QK128" s="61"/>
      <c r="QL128" s="61"/>
      <c r="QM128" s="61"/>
      <c r="QN128" s="61"/>
      <c r="QO128" s="61"/>
      <c r="QP128" s="61"/>
      <c r="QQ128" s="61"/>
      <c r="QR128" s="61"/>
      <c r="QS128" s="61"/>
      <c r="QT128" s="61"/>
      <c r="QU128" s="61"/>
      <c r="QV128" s="61"/>
      <c r="QW128" s="61"/>
      <c r="QX128" s="61"/>
      <c r="QY128" s="61"/>
      <c r="QZ128" s="61"/>
      <c r="RA128" s="61"/>
      <c r="RB128" s="61"/>
      <c r="RC128" s="61"/>
      <c r="RD128" s="17"/>
    </row>
    <row r="129" spans="1:472" s="5" customFormat="1" ht="15" hidden="1" customHeight="1" x14ac:dyDescent="0.25">
      <c r="A129" s="5">
        <v>2042</v>
      </c>
      <c r="B129" s="5" t="s">
        <v>256</v>
      </c>
      <c r="C129" s="5" t="s">
        <v>209</v>
      </c>
      <c r="D129" s="5">
        <v>75</v>
      </c>
      <c r="E129" s="34" t="s">
        <v>280</v>
      </c>
      <c r="F129" s="64" t="s">
        <v>216</v>
      </c>
      <c r="G129" s="65"/>
      <c r="H129" s="19"/>
      <c r="I129" s="61"/>
      <c r="J129" s="61"/>
      <c r="K129" s="61"/>
      <c r="L129" s="61"/>
      <c r="M129" s="61"/>
      <c r="N129" s="61"/>
      <c r="O129" s="61"/>
      <c r="P129" s="61"/>
      <c r="Q129" s="61"/>
      <c r="R129" s="61"/>
      <c r="S129" s="61"/>
      <c r="T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v>2</v>
      </c>
      <c r="BY129" s="61"/>
      <c r="BZ129" s="61"/>
      <c r="CA129" s="61"/>
      <c r="CB129" s="61"/>
      <c r="CC129" s="61"/>
      <c r="CD129" s="61">
        <v>1</v>
      </c>
      <c r="CE129" s="61"/>
      <c r="CF129" s="61">
        <v>3</v>
      </c>
      <c r="CG129" s="61"/>
      <c r="CH129" s="61">
        <v>2</v>
      </c>
      <c r="CI129" s="61"/>
      <c r="CJ129" s="61">
        <v>1</v>
      </c>
      <c r="CK129" s="61"/>
      <c r="CL129" s="61">
        <v>6</v>
      </c>
      <c r="CM129" s="61"/>
      <c r="CN129" s="61">
        <v>8</v>
      </c>
      <c r="CO129" s="61"/>
      <c r="CP129" s="61">
        <v>6</v>
      </c>
      <c r="CQ129" s="61"/>
      <c r="CR129" s="61">
        <v>6</v>
      </c>
      <c r="CS129" s="61"/>
      <c r="CT129" s="61">
        <v>3</v>
      </c>
      <c r="CU129" s="61"/>
      <c r="CV129" s="61">
        <v>3</v>
      </c>
      <c r="CW129" s="61"/>
      <c r="CX129" s="61">
        <v>3</v>
      </c>
      <c r="CY129" s="61"/>
      <c r="CZ129" s="61">
        <v>1</v>
      </c>
      <c r="DA129" s="61"/>
      <c r="DB129" s="61">
        <v>1</v>
      </c>
      <c r="DC129" s="61"/>
      <c r="DD129" s="61">
        <v>1</v>
      </c>
      <c r="DE129" s="61"/>
      <c r="DF129" s="61">
        <v>1</v>
      </c>
      <c r="DG129" s="61"/>
      <c r="DH129" s="61">
        <v>1</v>
      </c>
      <c r="DI129" s="61"/>
      <c r="DJ129" s="61"/>
      <c r="DK129" s="61"/>
      <c r="DL129" s="61"/>
      <c r="DM129" s="61"/>
      <c r="DN129" s="61"/>
      <c r="DO129" s="61"/>
      <c r="DP129" s="61"/>
      <c r="DQ129" s="61"/>
      <c r="DR129" s="61"/>
      <c r="DS129" s="61"/>
      <c r="DT129" s="61"/>
      <c r="DU129" s="61"/>
      <c r="DV129" s="61"/>
      <c r="DW129" s="61"/>
      <c r="DX129" s="61"/>
      <c r="DY129" s="61"/>
      <c r="DZ129" s="61"/>
      <c r="EA129" s="61"/>
      <c r="EB129" s="61"/>
      <c r="EC129" s="61"/>
      <c r="ED129" s="61"/>
      <c r="EE129" s="61"/>
      <c r="EF129" s="61"/>
      <c r="EG129" s="61"/>
      <c r="EH129" s="61"/>
      <c r="EI129" s="61"/>
      <c r="EJ129" s="61"/>
      <c r="EK129" s="61"/>
      <c r="EL129" s="61"/>
      <c r="EM129" s="61"/>
      <c r="EN129" s="61"/>
      <c r="EO129" s="61"/>
      <c r="EP129" s="61"/>
      <c r="EQ129" s="61"/>
      <c r="ER129" s="61"/>
      <c r="ES129" s="61"/>
      <c r="ET129" s="61"/>
      <c r="EU129" s="61"/>
      <c r="EV129" s="61"/>
      <c r="EW129" s="61"/>
      <c r="EX129" s="61"/>
      <c r="EY129" s="61"/>
      <c r="EZ129" s="61"/>
      <c r="FA129" s="61"/>
      <c r="FB129" s="61"/>
      <c r="FC129" s="61"/>
      <c r="FD129" s="61"/>
      <c r="FE129" s="61"/>
      <c r="FF129" s="61"/>
      <c r="FG129" s="61"/>
      <c r="FH129" s="61"/>
      <c r="FI129" s="61"/>
      <c r="FJ129" s="61"/>
      <c r="FK129" s="61"/>
      <c r="FL129" s="61"/>
      <c r="FM129" s="61"/>
      <c r="FN129" s="61"/>
      <c r="FO129" s="61"/>
      <c r="FP129" s="61"/>
      <c r="FQ129" s="61"/>
      <c r="FR129" s="61"/>
      <c r="FS129" s="61"/>
      <c r="FT129" s="61"/>
      <c r="FU129" s="61"/>
      <c r="FV129" s="61"/>
      <c r="FW129" s="61"/>
      <c r="FX129" s="61"/>
      <c r="FY129" s="61"/>
      <c r="FZ129" s="61"/>
      <c r="GA129" s="61"/>
      <c r="GB129" s="61"/>
      <c r="GC129" s="61"/>
      <c r="GD129" s="61"/>
      <c r="GE129" s="61"/>
      <c r="GF129" s="61"/>
      <c r="GG129" s="61"/>
      <c r="GH129" s="61"/>
      <c r="GI129" s="61"/>
      <c r="GJ129" s="61"/>
      <c r="GK129" s="61"/>
      <c r="GL129" s="61"/>
      <c r="GM129" s="61"/>
      <c r="GN129" s="61"/>
      <c r="GO129" s="61"/>
      <c r="GP129" s="61"/>
      <c r="GQ129" s="61"/>
      <c r="GR129" s="61"/>
      <c r="GS129" s="61"/>
      <c r="GT129" s="61"/>
      <c r="GU129" s="61"/>
      <c r="GV129" s="61"/>
      <c r="GW129" s="61"/>
      <c r="GX129" s="61"/>
      <c r="GY129" s="61"/>
      <c r="GZ129" s="61"/>
      <c r="HA129" s="61"/>
      <c r="HB129" s="61"/>
      <c r="HC129" s="61"/>
      <c r="HD129" s="61"/>
      <c r="HE129" s="61"/>
      <c r="HF129" s="61"/>
      <c r="HG129" s="61"/>
      <c r="HH129" s="61"/>
      <c r="HI129" s="61"/>
      <c r="HJ129" s="61"/>
      <c r="HK129" s="61"/>
      <c r="HL129" s="61"/>
      <c r="HM129" s="61"/>
      <c r="HN129" s="61"/>
      <c r="HO129" s="61"/>
      <c r="HP129" s="61"/>
      <c r="HQ129" s="61"/>
      <c r="HR129" s="61"/>
      <c r="HS129" s="61"/>
      <c r="HT129" s="61"/>
      <c r="HU129" s="61"/>
      <c r="HV129" s="61"/>
      <c r="HW129" s="61"/>
      <c r="HX129" s="61"/>
      <c r="HY129" s="61"/>
      <c r="HZ129" s="61"/>
      <c r="IA129" s="61"/>
      <c r="IB129" s="61"/>
      <c r="IC129" s="61"/>
      <c r="ID129" s="61"/>
      <c r="IE129" s="61"/>
      <c r="IF129" s="61"/>
      <c r="IG129" s="61"/>
      <c r="IH129" s="61"/>
      <c r="II129" s="61"/>
      <c r="IJ129" s="61"/>
      <c r="IK129" s="61"/>
      <c r="IL129" s="61"/>
      <c r="IM129" s="61"/>
      <c r="IN129" s="61"/>
      <c r="IO129" s="61"/>
      <c r="IP129" s="61"/>
      <c r="IQ129" s="61"/>
      <c r="IR129" s="61"/>
      <c r="IS129" s="61"/>
      <c r="IT129" s="61"/>
      <c r="IU129" s="61"/>
      <c r="IV129" s="61"/>
      <c r="IW129" s="61"/>
      <c r="IX129" s="61"/>
      <c r="IY129" s="61"/>
      <c r="IZ129" s="61"/>
      <c r="JA129" s="61"/>
      <c r="JB129" s="61"/>
      <c r="JC129" s="61"/>
      <c r="JD129" s="61"/>
      <c r="JE129" s="61"/>
      <c r="JF129" s="61"/>
      <c r="JG129" s="61"/>
      <c r="JH129" s="61"/>
      <c r="JI129" s="61"/>
      <c r="JJ129" s="61"/>
      <c r="JK129" s="61"/>
      <c r="JL129" s="61"/>
      <c r="JM129" s="61"/>
      <c r="JN129" s="61"/>
      <c r="JO129" s="61"/>
      <c r="JP129" s="61"/>
      <c r="JQ129" s="61"/>
      <c r="JR129" s="61"/>
      <c r="JS129" s="61"/>
      <c r="JT129" s="61"/>
      <c r="JU129" s="61"/>
      <c r="JV129" s="61"/>
      <c r="JW129" s="61"/>
      <c r="JX129" s="61"/>
      <c r="JY129" s="61"/>
      <c r="JZ129" s="61"/>
      <c r="KA129" s="61"/>
      <c r="KB129" s="61"/>
      <c r="KC129" s="61"/>
      <c r="KD129" s="61"/>
      <c r="KE129" s="61"/>
      <c r="KF129" s="61"/>
      <c r="KG129" s="61"/>
      <c r="KH129" s="61"/>
      <c r="KI129" s="61"/>
      <c r="KJ129" s="61"/>
      <c r="KK129" s="61"/>
      <c r="KL129" s="61"/>
      <c r="KM129" s="61"/>
      <c r="KN129" s="61"/>
      <c r="KO129" s="61"/>
      <c r="KP129" s="61"/>
      <c r="KQ129" s="61"/>
      <c r="KR129" s="61"/>
      <c r="KS129" s="61"/>
      <c r="KT129" s="61"/>
      <c r="KU129" s="61"/>
      <c r="KV129" s="61"/>
      <c r="KW129" s="61"/>
      <c r="KX129" s="61"/>
      <c r="KY129" s="61"/>
      <c r="KZ129" s="61"/>
      <c r="LA129" s="61"/>
      <c r="LB129" s="61"/>
      <c r="LC129" s="61"/>
      <c r="LD129" s="61"/>
      <c r="LE129" s="61"/>
      <c r="LF129" s="61"/>
      <c r="LG129" s="61"/>
      <c r="LH129" s="61"/>
      <c r="LI129" s="61"/>
      <c r="LJ129" s="61"/>
      <c r="LK129" s="61"/>
      <c r="LL129" s="61"/>
      <c r="LM129" s="61"/>
      <c r="LN129" s="61"/>
      <c r="LO129" s="61"/>
      <c r="LP129" s="61"/>
      <c r="LQ129" s="61"/>
      <c r="LR129" s="61"/>
      <c r="LS129" s="61"/>
      <c r="LT129" s="61"/>
      <c r="LU129" s="61"/>
      <c r="LV129" s="61"/>
      <c r="LW129" s="61"/>
      <c r="LX129" s="61"/>
      <c r="LY129" s="61"/>
      <c r="LZ129" s="61"/>
      <c r="MA129" s="61"/>
      <c r="MB129" s="61"/>
      <c r="MC129" s="61"/>
      <c r="MD129" s="61"/>
      <c r="ME129" s="61"/>
      <c r="MF129" s="61"/>
      <c r="MG129" s="61"/>
      <c r="MH129" s="61"/>
      <c r="MI129" s="61"/>
      <c r="MJ129" s="61"/>
      <c r="MK129" s="61"/>
      <c r="ML129" s="61"/>
      <c r="MM129" s="61"/>
      <c r="MN129" s="61"/>
      <c r="MO129" s="61"/>
      <c r="MP129" s="61"/>
      <c r="MQ129" s="61"/>
      <c r="MR129" s="61"/>
      <c r="MS129" s="61"/>
      <c r="MT129" s="61"/>
      <c r="MU129" s="61"/>
      <c r="MV129" s="61"/>
      <c r="MW129" s="61"/>
      <c r="MX129" s="61"/>
      <c r="MY129" s="61"/>
      <c r="MZ129" s="61"/>
      <c r="NA129" s="61"/>
      <c r="NB129" s="61"/>
      <c r="NC129" s="61"/>
      <c r="ND129" s="61"/>
      <c r="NE129" s="61"/>
      <c r="NF129" s="61"/>
      <c r="NG129" s="61"/>
      <c r="NH129" s="61"/>
      <c r="NI129" s="61"/>
      <c r="NJ129" s="61"/>
      <c r="NK129" s="61"/>
      <c r="NL129" s="61"/>
      <c r="NM129" s="61"/>
      <c r="NN129" s="61"/>
      <c r="NO129" s="61"/>
      <c r="NP129" s="61"/>
      <c r="NQ129" s="61"/>
      <c r="NR129" s="61"/>
      <c r="NS129" s="61"/>
      <c r="NT129" s="61"/>
      <c r="NU129" s="61"/>
      <c r="NV129" s="61"/>
      <c r="NW129" s="61"/>
      <c r="NX129" s="61"/>
      <c r="NY129" s="61"/>
      <c r="NZ129" s="61"/>
      <c r="OA129" s="61"/>
      <c r="OB129" s="61"/>
      <c r="OC129" s="61"/>
      <c r="OD129" s="61"/>
      <c r="OE129" s="61"/>
      <c r="OF129" s="61"/>
      <c r="OG129" s="61"/>
      <c r="OH129" s="61"/>
      <c r="OI129" s="61"/>
      <c r="OJ129" s="61"/>
      <c r="OK129" s="61"/>
      <c r="OL129" s="61"/>
      <c r="OM129" s="61"/>
      <c r="ON129" s="61"/>
      <c r="OO129" s="61"/>
      <c r="OP129" s="61"/>
      <c r="OQ129" s="61"/>
      <c r="OR129" s="61"/>
      <c r="OS129" s="61"/>
      <c r="OT129" s="61"/>
      <c r="OU129" s="61"/>
      <c r="OV129" s="61"/>
      <c r="OW129" s="61"/>
      <c r="OX129" s="61"/>
      <c r="OY129" s="61"/>
      <c r="OZ129" s="61"/>
      <c r="PA129" s="61"/>
      <c r="PB129" s="61"/>
      <c r="PC129" s="61"/>
      <c r="PD129" s="61"/>
      <c r="PE129" s="61"/>
      <c r="PF129" s="61"/>
      <c r="PG129" s="61"/>
      <c r="PH129" s="61"/>
      <c r="PI129" s="61"/>
      <c r="PJ129" s="61"/>
      <c r="PK129" s="61"/>
      <c r="PL129" s="61"/>
      <c r="PM129" s="61"/>
      <c r="PN129" s="61"/>
      <c r="PO129" s="61"/>
      <c r="PP129" s="61"/>
      <c r="PQ129" s="61"/>
      <c r="PR129" s="61"/>
      <c r="PS129" s="61"/>
      <c r="PT129" s="61"/>
      <c r="PU129" s="61"/>
      <c r="PV129" s="61"/>
      <c r="PW129" s="61"/>
      <c r="PX129" s="61"/>
      <c r="PY129" s="61"/>
      <c r="PZ129" s="61"/>
      <c r="QA129" s="61"/>
      <c r="QB129" s="61"/>
      <c r="QC129" s="61"/>
      <c r="QD129" s="61"/>
      <c r="QE129" s="61"/>
      <c r="QF129" s="61"/>
      <c r="QG129" s="61"/>
      <c r="QH129" s="61"/>
      <c r="QI129" s="61"/>
      <c r="QJ129" s="61"/>
      <c r="QK129" s="61"/>
      <c r="QL129" s="61"/>
      <c r="QM129" s="61"/>
      <c r="QN129" s="61"/>
      <c r="QO129" s="61"/>
      <c r="QP129" s="61"/>
      <c r="QQ129" s="61"/>
      <c r="QR129" s="61"/>
      <c r="QS129" s="61"/>
      <c r="QT129" s="61"/>
      <c r="QU129" s="61"/>
      <c r="QV129" s="61"/>
      <c r="QW129" s="61"/>
      <c r="QX129" s="61"/>
      <c r="QY129" s="61"/>
      <c r="QZ129" s="61"/>
      <c r="RA129" s="61"/>
      <c r="RB129" s="61"/>
      <c r="RC129" s="61"/>
      <c r="RD129" s="17"/>
    </row>
    <row r="130" spans="1:472" s="5" customFormat="1" ht="15" hidden="1" customHeight="1" x14ac:dyDescent="0.25">
      <c r="A130" s="5">
        <v>2043</v>
      </c>
      <c r="B130" s="5" t="s">
        <v>294</v>
      </c>
      <c r="C130" s="5" t="s">
        <v>230</v>
      </c>
      <c r="D130" s="5">
        <v>89</v>
      </c>
      <c r="E130" s="36">
        <v>42795</v>
      </c>
      <c r="F130" s="64" t="s">
        <v>216</v>
      </c>
      <c r="G130" s="65"/>
      <c r="H130" s="19"/>
      <c r="I130" s="61"/>
      <c r="J130" s="61"/>
      <c r="K130" s="61"/>
      <c r="L130" s="61"/>
      <c r="M130" s="61"/>
      <c r="N130" s="61"/>
      <c r="O130" s="61"/>
      <c r="P130" s="61"/>
      <c r="Q130" s="61"/>
      <c r="R130" s="61"/>
      <c r="S130" s="61"/>
      <c r="T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v>2</v>
      </c>
      <c r="BY130" s="61"/>
      <c r="BZ130" s="61"/>
      <c r="CA130" s="61"/>
      <c r="CB130" s="61"/>
      <c r="CC130" s="61"/>
      <c r="CD130" s="61">
        <v>5</v>
      </c>
      <c r="CE130" s="61"/>
      <c r="CF130" s="61">
        <v>6</v>
      </c>
      <c r="CG130" s="61"/>
      <c r="CH130" s="61">
        <v>8</v>
      </c>
      <c r="CI130" s="61"/>
      <c r="CJ130" s="61">
        <v>2</v>
      </c>
      <c r="CK130" s="61"/>
      <c r="CL130" s="61">
        <v>9</v>
      </c>
      <c r="CM130" s="61"/>
      <c r="CN130" s="61">
        <v>7</v>
      </c>
      <c r="CO130" s="61"/>
      <c r="CP130" s="61">
        <v>8</v>
      </c>
      <c r="CQ130" s="61"/>
      <c r="CR130" s="61">
        <v>7</v>
      </c>
      <c r="CS130" s="61"/>
      <c r="CT130" s="61">
        <v>4</v>
      </c>
      <c r="CU130" s="61"/>
      <c r="CV130" s="61">
        <v>3</v>
      </c>
      <c r="CW130" s="61"/>
      <c r="CX130" s="61">
        <v>2</v>
      </c>
      <c r="CY130" s="61"/>
      <c r="CZ130" s="61">
        <v>1</v>
      </c>
      <c r="DA130" s="61"/>
      <c r="DB130" s="61">
        <v>1</v>
      </c>
      <c r="DC130" s="61"/>
      <c r="DD130" s="61">
        <v>4</v>
      </c>
      <c r="DE130" s="61"/>
      <c r="DF130" s="61">
        <v>1</v>
      </c>
      <c r="DG130" s="61"/>
      <c r="DH130" s="61">
        <v>1</v>
      </c>
      <c r="DI130" s="61"/>
      <c r="DJ130" s="61"/>
      <c r="DK130" s="61"/>
      <c r="DL130" s="61"/>
      <c r="DM130" s="61"/>
      <c r="DN130" s="61"/>
      <c r="DO130" s="61"/>
      <c r="DP130" s="61"/>
      <c r="DQ130" s="61"/>
      <c r="DR130" s="61"/>
      <c r="DS130" s="61"/>
      <c r="DT130" s="61"/>
      <c r="DU130" s="61"/>
      <c r="DV130" s="61"/>
      <c r="DW130" s="61"/>
      <c r="DX130" s="61"/>
      <c r="DY130" s="61"/>
      <c r="DZ130" s="61"/>
      <c r="EA130" s="61"/>
      <c r="EB130" s="61"/>
      <c r="EC130" s="61"/>
      <c r="ED130" s="61"/>
      <c r="EE130" s="61"/>
      <c r="EF130" s="61"/>
      <c r="EG130" s="61"/>
      <c r="EH130" s="61"/>
      <c r="EI130" s="61"/>
      <c r="EJ130" s="61"/>
      <c r="EK130" s="61"/>
      <c r="EL130" s="61"/>
      <c r="EM130" s="61"/>
      <c r="EN130" s="61"/>
      <c r="EO130" s="61"/>
      <c r="EP130" s="61"/>
      <c r="EQ130" s="61"/>
      <c r="ER130" s="61"/>
      <c r="ES130" s="61"/>
      <c r="ET130" s="61"/>
      <c r="EU130" s="61"/>
      <c r="EV130" s="61"/>
      <c r="EW130" s="61"/>
      <c r="EX130" s="61"/>
      <c r="EY130" s="61"/>
      <c r="EZ130" s="61"/>
      <c r="FA130" s="61"/>
      <c r="FB130" s="61"/>
      <c r="FC130" s="61"/>
      <c r="FD130" s="61"/>
      <c r="FE130" s="61"/>
      <c r="FF130" s="61"/>
      <c r="FG130" s="61"/>
      <c r="FH130" s="61"/>
      <c r="FI130" s="61"/>
      <c r="FJ130" s="61"/>
      <c r="FK130" s="61"/>
      <c r="FL130" s="61"/>
      <c r="FM130" s="61"/>
      <c r="FN130" s="61"/>
      <c r="FO130" s="61"/>
      <c r="FP130" s="61"/>
      <c r="FQ130" s="61"/>
      <c r="FR130" s="61"/>
      <c r="FS130" s="61"/>
      <c r="FT130" s="61"/>
      <c r="FU130" s="61"/>
      <c r="FV130" s="61"/>
      <c r="FW130" s="61"/>
      <c r="FX130" s="61"/>
      <c r="FY130" s="61"/>
      <c r="FZ130" s="61"/>
      <c r="GA130" s="61"/>
      <c r="GB130" s="61"/>
      <c r="GC130" s="61"/>
      <c r="GD130" s="61"/>
      <c r="GE130" s="61"/>
      <c r="GF130" s="61"/>
      <c r="GG130" s="61"/>
      <c r="GH130" s="61"/>
      <c r="GI130" s="61"/>
      <c r="GJ130" s="61"/>
      <c r="GK130" s="61"/>
      <c r="GL130" s="61"/>
      <c r="GM130" s="61"/>
      <c r="GN130" s="61"/>
      <c r="GO130" s="61"/>
      <c r="GP130" s="61"/>
      <c r="GQ130" s="61"/>
      <c r="GR130" s="61"/>
      <c r="GS130" s="61"/>
      <c r="GT130" s="61"/>
      <c r="GU130" s="61"/>
      <c r="GV130" s="61"/>
      <c r="GW130" s="61"/>
      <c r="GX130" s="61"/>
      <c r="GY130" s="61"/>
      <c r="GZ130" s="61"/>
      <c r="HA130" s="61"/>
      <c r="HB130" s="61"/>
      <c r="HC130" s="61"/>
      <c r="HD130" s="61"/>
      <c r="HE130" s="61"/>
      <c r="HF130" s="61"/>
      <c r="HG130" s="61"/>
      <c r="HH130" s="61"/>
      <c r="HI130" s="61"/>
      <c r="HJ130" s="61"/>
      <c r="HK130" s="61"/>
      <c r="HL130" s="61"/>
      <c r="HM130" s="61"/>
      <c r="HN130" s="61"/>
      <c r="HO130" s="61"/>
      <c r="HP130" s="61"/>
      <c r="HQ130" s="61"/>
      <c r="HR130" s="61"/>
      <c r="HS130" s="61"/>
      <c r="HT130" s="61"/>
      <c r="HU130" s="61"/>
      <c r="HV130" s="61"/>
      <c r="HW130" s="61"/>
      <c r="HX130" s="61"/>
      <c r="HY130" s="61"/>
      <c r="HZ130" s="61"/>
      <c r="IA130" s="61"/>
      <c r="IB130" s="61"/>
      <c r="IC130" s="61"/>
      <c r="ID130" s="61"/>
      <c r="IE130" s="61"/>
      <c r="IF130" s="61"/>
      <c r="IG130" s="61"/>
      <c r="IH130" s="61"/>
      <c r="II130" s="61"/>
      <c r="IJ130" s="61"/>
      <c r="IK130" s="61"/>
      <c r="IL130" s="61"/>
      <c r="IM130" s="61"/>
      <c r="IN130" s="61"/>
      <c r="IO130" s="61"/>
      <c r="IP130" s="61"/>
      <c r="IQ130" s="61"/>
      <c r="IR130" s="61"/>
      <c r="IS130" s="61"/>
      <c r="IT130" s="61"/>
      <c r="IU130" s="61"/>
      <c r="IV130" s="61"/>
      <c r="IW130" s="61"/>
      <c r="IX130" s="61"/>
      <c r="IY130" s="61"/>
      <c r="IZ130" s="61"/>
      <c r="JA130" s="61"/>
      <c r="JB130" s="61"/>
      <c r="JC130" s="61"/>
      <c r="JD130" s="61"/>
      <c r="JE130" s="61"/>
      <c r="JF130" s="61"/>
      <c r="JG130" s="61"/>
      <c r="JH130" s="61"/>
      <c r="JI130" s="61"/>
      <c r="JJ130" s="61"/>
      <c r="JK130" s="61"/>
      <c r="JL130" s="61"/>
      <c r="JM130" s="61"/>
      <c r="JN130" s="61"/>
      <c r="JO130" s="61"/>
      <c r="JP130" s="61"/>
      <c r="JQ130" s="61"/>
      <c r="JR130" s="61"/>
      <c r="JS130" s="61"/>
      <c r="JT130" s="61"/>
      <c r="JU130" s="61"/>
      <c r="JV130" s="61"/>
      <c r="JW130" s="61"/>
      <c r="JX130" s="61"/>
      <c r="JY130" s="61"/>
      <c r="JZ130" s="61"/>
      <c r="KA130" s="61"/>
      <c r="KB130" s="61"/>
      <c r="KC130" s="61"/>
      <c r="KD130" s="61"/>
      <c r="KE130" s="61"/>
      <c r="KF130" s="61"/>
      <c r="KG130" s="61"/>
      <c r="KH130" s="61"/>
      <c r="KI130" s="61"/>
      <c r="KJ130" s="61"/>
      <c r="KK130" s="61"/>
      <c r="KL130" s="61"/>
      <c r="KM130" s="61"/>
      <c r="KN130" s="61"/>
      <c r="KO130" s="61"/>
      <c r="KP130" s="61"/>
      <c r="KQ130" s="61"/>
      <c r="KR130" s="61"/>
      <c r="KS130" s="61"/>
      <c r="KT130" s="61"/>
      <c r="KU130" s="61"/>
      <c r="KV130" s="61"/>
      <c r="KW130" s="61"/>
      <c r="KX130" s="61"/>
      <c r="KY130" s="61"/>
      <c r="KZ130" s="61"/>
      <c r="LA130" s="61"/>
      <c r="LB130" s="61"/>
      <c r="LC130" s="61"/>
      <c r="LD130" s="61"/>
      <c r="LE130" s="61"/>
      <c r="LF130" s="61"/>
      <c r="LG130" s="61"/>
      <c r="LH130" s="61"/>
      <c r="LI130" s="61"/>
      <c r="LJ130" s="61"/>
      <c r="LK130" s="61"/>
      <c r="LL130" s="61"/>
      <c r="LM130" s="61"/>
      <c r="LN130" s="61"/>
      <c r="LO130" s="61"/>
      <c r="LP130" s="61"/>
      <c r="LQ130" s="61"/>
      <c r="LR130" s="61"/>
      <c r="LS130" s="61"/>
      <c r="LT130" s="61"/>
      <c r="LU130" s="61"/>
      <c r="LV130" s="61"/>
      <c r="LW130" s="61"/>
      <c r="LX130" s="61"/>
      <c r="LY130" s="61"/>
      <c r="LZ130" s="61"/>
      <c r="MA130" s="61"/>
      <c r="MB130" s="61"/>
      <c r="MC130" s="61"/>
      <c r="MD130" s="61"/>
      <c r="ME130" s="61"/>
      <c r="MF130" s="61"/>
      <c r="MG130" s="61"/>
      <c r="MH130" s="61"/>
      <c r="MI130" s="61"/>
      <c r="MJ130" s="61"/>
      <c r="MK130" s="61"/>
      <c r="ML130" s="61"/>
      <c r="MM130" s="61"/>
      <c r="MN130" s="61"/>
      <c r="MO130" s="61"/>
      <c r="MP130" s="61"/>
      <c r="MQ130" s="61"/>
      <c r="MR130" s="61"/>
      <c r="MS130" s="61"/>
      <c r="MT130" s="61"/>
      <c r="MU130" s="61"/>
      <c r="MV130" s="61"/>
      <c r="MW130" s="61"/>
      <c r="MX130" s="61"/>
      <c r="MY130" s="61"/>
      <c r="MZ130" s="61"/>
      <c r="NA130" s="61"/>
      <c r="NB130" s="61"/>
      <c r="NC130" s="61"/>
      <c r="ND130" s="61"/>
      <c r="NE130" s="61"/>
      <c r="NF130" s="61"/>
      <c r="NG130" s="61"/>
      <c r="NH130" s="61"/>
      <c r="NI130" s="61"/>
      <c r="NJ130" s="61"/>
      <c r="NK130" s="61"/>
      <c r="NL130" s="61"/>
      <c r="NM130" s="61"/>
      <c r="NN130" s="61"/>
      <c r="NO130" s="61"/>
      <c r="NP130" s="61"/>
      <c r="NQ130" s="61"/>
      <c r="NR130" s="61"/>
      <c r="NS130" s="61"/>
      <c r="NT130" s="61"/>
      <c r="NU130" s="61"/>
      <c r="NV130" s="61"/>
      <c r="NW130" s="61"/>
      <c r="NX130" s="61"/>
      <c r="NY130" s="61"/>
      <c r="NZ130" s="61"/>
      <c r="OA130" s="61"/>
      <c r="OB130" s="61"/>
      <c r="OC130" s="61"/>
      <c r="OD130" s="61"/>
      <c r="OE130" s="61"/>
      <c r="OF130" s="61"/>
      <c r="OG130" s="61"/>
      <c r="OH130" s="61"/>
      <c r="OI130" s="61"/>
      <c r="OJ130" s="61"/>
      <c r="OK130" s="61"/>
      <c r="OL130" s="61"/>
      <c r="OM130" s="61"/>
      <c r="ON130" s="61"/>
      <c r="OO130" s="61"/>
      <c r="OP130" s="61"/>
      <c r="OQ130" s="61"/>
      <c r="OR130" s="61"/>
      <c r="OS130" s="61"/>
      <c r="OT130" s="61"/>
      <c r="OU130" s="61"/>
      <c r="OV130" s="61"/>
      <c r="OW130" s="61"/>
      <c r="OX130" s="61"/>
      <c r="OY130" s="61"/>
      <c r="OZ130" s="61"/>
      <c r="PA130" s="61"/>
      <c r="PB130" s="61"/>
      <c r="PC130" s="61"/>
      <c r="PD130" s="61"/>
      <c r="PE130" s="61"/>
      <c r="PF130" s="61"/>
      <c r="PG130" s="61"/>
      <c r="PH130" s="61"/>
      <c r="PI130" s="61"/>
      <c r="PJ130" s="61"/>
      <c r="PK130" s="61"/>
      <c r="PL130" s="61"/>
      <c r="PM130" s="61"/>
      <c r="PN130" s="61"/>
      <c r="PO130" s="61"/>
      <c r="PP130" s="61"/>
      <c r="PQ130" s="61"/>
      <c r="PR130" s="61"/>
      <c r="PS130" s="61"/>
      <c r="PT130" s="61"/>
      <c r="PU130" s="61"/>
      <c r="PV130" s="61"/>
      <c r="PW130" s="61"/>
      <c r="PX130" s="61"/>
      <c r="PY130" s="61"/>
      <c r="PZ130" s="61"/>
      <c r="QA130" s="61"/>
      <c r="QB130" s="61"/>
      <c r="QC130" s="61"/>
      <c r="QD130" s="61"/>
      <c r="QE130" s="61"/>
      <c r="QF130" s="61"/>
      <c r="QG130" s="61"/>
      <c r="QH130" s="61"/>
      <c r="QI130" s="61"/>
      <c r="QJ130" s="61"/>
      <c r="QK130" s="61"/>
      <c r="QL130" s="61"/>
      <c r="QM130" s="61"/>
      <c r="QN130" s="61"/>
      <c r="QO130" s="61"/>
      <c r="QP130" s="61"/>
      <c r="QQ130" s="61"/>
      <c r="QR130" s="61"/>
      <c r="QS130" s="61"/>
      <c r="QT130" s="61"/>
      <c r="QU130" s="61"/>
      <c r="QV130" s="61"/>
      <c r="QW130" s="61"/>
      <c r="QX130" s="61"/>
      <c r="QY130" s="61"/>
      <c r="QZ130" s="61"/>
      <c r="RA130" s="61"/>
      <c r="RB130" s="61"/>
      <c r="RC130" s="61"/>
      <c r="RD130" s="17"/>
    </row>
    <row r="131" spans="1:472" s="5" customFormat="1" ht="15" hidden="1" customHeight="1" x14ac:dyDescent="0.25">
      <c r="A131" s="5">
        <v>2031</v>
      </c>
      <c r="B131" s="5" t="s">
        <v>177</v>
      </c>
      <c r="C131" s="5" t="s">
        <v>4</v>
      </c>
      <c r="D131" s="5">
        <v>398</v>
      </c>
      <c r="E131" s="36">
        <v>42598</v>
      </c>
      <c r="F131" s="64" t="s">
        <v>216</v>
      </c>
      <c r="G131" s="65"/>
      <c r="H131" s="19"/>
      <c r="I131" s="61"/>
      <c r="J131" s="61"/>
      <c r="K131" s="61"/>
      <c r="L131" s="61"/>
      <c r="M131" s="61"/>
      <c r="N131" s="61"/>
      <c r="O131" s="61"/>
      <c r="P131" s="61"/>
      <c r="Q131" s="61"/>
      <c r="R131" s="61"/>
      <c r="S131" s="61"/>
      <c r="T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v>3</v>
      </c>
      <c r="BC131" s="61"/>
      <c r="BD131" s="61"/>
      <c r="BE131" s="61"/>
      <c r="BF131" s="61">
        <v>5</v>
      </c>
      <c r="BG131" s="61"/>
      <c r="BH131" s="61">
        <v>10</v>
      </c>
      <c r="BI131" s="61"/>
      <c r="BJ131" s="61">
        <v>7</v>
      </c>
      <c r="BK131" s="61"/>
      <c r="BL131" s="61">
        <v>12</v>
      </c>
      <c r="BM131" s="61"/>
      <c r="BN131" s="61">
        <v>12</v>
      </c>
      <c r="BO131" s="61"/>
      <c r="BP131" s="61">
        <v>12</v>
      </c>
      <c r="BQ131" s="61"/>
      <c r="BR131" s="61">
        <v>12</v>
      </c>
      <c r="BS131" s="61"/>
      <c r="BT131" s="61">
        <v>12</v>
      </c>
      <c r="BU131" s="61"/>
      <c r="BV131" s="61">
        <v>12</v>
      </c>
      <c r="BW131" s="61"/>
      <c r="BX131" s="61">
        <v>12</v>
      </c>
      <c r="BY131" s="61"/>
      <c r="BZ131" s="61">
        <v>8</v>
      </c>
      <c r="CA131" s="61"/>
      <c r="CB131" s="61">
        <v>12</v>
      </c>
      <c r="CC131" s="61"/>
      <c r="CD131" s="61">
        <v>12</v>
      </c>
      <c r="CE131" s="61"/>
      <c r="CF131" s="61">
        <v>10</v>
      </c>
      <c r="CG131" s="61"/>
      <c r="CH131" s="61">
        <v>16</v>
      </c>
      <c r="CI131" s="61"/>
      <c r="CJ131" s="61">
        <v>23</v>
      </c>
      <c r="CK131" s="61"/>
      <c r="CL131" s="61">
        <v>20</v>
      </c>
      <c r="CM131" s="61"/>
      <c r="CN131" s="61">
        <v>15</v>
      </c>
      <c r="CO131" s="61"/>
      <c r="CP131" s="61">
        <v>15</v>
      </c>
      <c r="CQ131" s="61"/>
      <c r="CR131" s="61">
        <v>8</v>
      </c>
      <c r="CS131" s="61"/>
      <c r="CT131" s="61">
        <v>10</v>
      </c>
      <c r="CU131" s="61"/>
      <c r="CV131" s="61">
        <v>8</v>
      </c>
      <c r="CW131" s="61"/>
      <c r="CX131" s="61">
        <v>3</v>
      </c>
      <c r="CY131" s="61"/>
      <c r="CZ131" s="61">
        <v>1</v>
      </c>
      <c r="DA131" s="61"/>
      <c r="DB131" s="61">
        <v>1</v>
      </c>
      <c r="DC131" s="61"/>
      <c r="DD131" s="61">
        <v>2</v>
      </c>
      <c r="DE131" s="61"/>
      <c r="DF131" s="61">
        <v>2</v>
      </c>
      <c r="DG131" s="61"/>
      <c r="DH131" s="61">
        <v>2</v>
      </c>
      <c r="DI131" s="61"/>
      <c r="DJ131" s="61">
        <v>2</v>
      </c>
      <c r="DK131" s="61"/>
      <c r="DL131" s="61">
        <v>1</v>
      </c>
      <c r="DM131" s="61"/>
      <c r="DN131" s="61"/>
      <c r="DO131" s="61"/>
      <c r="DP131" s="61"/>
      <c r="DQ131" s="61"/>
      <c r="DR131" s="61"/>
      <c r="DS131" s="61"/>
      <c r="DT131" s="61"/>
      <c r="DU131" s="61"/>
      <c r="DV131" s="61"/>
      <c r="DW131" s="61"/>
      <c r="DX131" s="61"/>
      <c r="DY131" s="61"/>
      <c r="DZ131" s="61"/>
      <c r="EA131" s="61"/>
      <c r="EB131" s="61"/>
      <c r="EC131" s="61"/>
      <c r="ED131" s="61"/>
      <c r="EE131" s="61"/>
      <c r="EF131" s="61"/>
      <c r="EG131" s="61"/>
      <c r="EH131" s="61"/>
      <c r="EI131" s="61"/>
      <c r="EJ131" s="61"/>
      <c r="EK131" s="61"/>
      <c r="EL131" s="61"/>
      <c r="EM131" s="61"/>
      <c r="EN131" s="61"/>
      <c r="EO131" s="61"/>
      <c r="EP131" s="61"/>
      <c r="EQ131" s="61"/>
      <c r="ER131" s="61"/>
      <c r="ES131" s="61"/>
      <c r="ET131" s="61"/>
      <c r="EU131" s="61"/>
      <c r="EV131" s="61"/>
      <c r="EW131" s="61"/>
      <c r="EX131" s="61"/>
      <c r="EY131" s="61"/>
      <c r="EZ131" s="61"/>
      <c r="FA131" s="61"/>
      <c r="FB131" s="61"/>
      <c r="FC131" s="61"/>
      <c r="FD131" s="61"/>
      <c r="FE131" s="61"/>
      <c r="FF131" s="61"/>
      <c r="FG131" s="61"/>
      <c r="FH131" s="61"/>
      <c r="FI131" s="61"/>
      <c r="FJ131" s="61"/>
      <c r="FK131" s="61"/>
      <c r="FL131" s="61"/>
      <c r="FM131" s="61"/>
      <c r="FN131" s="61"/>
      <c r="FO131" s="61"/>
      <c r="FP131" s="61"/>
      <c r="FQ131" s="61"/>
      <c r="FR131" s="61"/>
      <c r="FS131" s="61"/>
      <c r="FT131" s="61"/>
      <c r="FU131" s="61"/>
      <c r="FV131" s="61"/>
      <c r="FW131" s="61"/>
      <c r="FX131" s="61"/>
      <c r="FY131" s="61"/>
      <c r="FZ131" s="61"/>
      <c r="GA131" s="61"/>
      <c r="GB131" s="61"/>
      <c r="GC131" s="61"/>
      <c r="GD131" s="61"/>
      <c r="GE131" s="61"/>
      <c r="GF131" s="61"/>
      <c r="GG131" s="61"/>
      <c r="GH131" s="61"/>
      <c r="GI131" s="61"/>
      <c r="GJ131" s="61"/>
      <c r="GK131" s="61"/>
      <c r="GL131" s="61"/>
      <c r="GM131" s="61"/>
      <c r="GN131" s="61"/>
      <c r="GO131" s="61"/>
      <c r="GP131" s="61"/>
      <c r="GQ131" s="61"/>
      <c r="GR131" s="61"/>
      <c r="GS131" s="61"/>
      <c r="GT131" s="61"/>
      <c r="GU131" s="61"/>
      <c r="GV131" s="61"/>
      <c r="GW131" s="61"/>
      <c r="GX131" s="61"/>
      <c r="GY131" s="61"/>
      <c r="GZ131" s="61"/>
      <c r="HA131" s="61"/>
      <c r="HB131" s="61"/>
      <c r="HC131" s="61"/>
      <c r="HD131" s="61"/>
      <c r="HE131" s="61"/>
      <c r="HF131" s="61"/>
      <c r="HG131" s="61"/>
      <c r="HH131" s="61"/>
      <c r="HI131" s="61"/>
      <c r="HJ131" s="61"/>
      <c r="HK131" s="61"/>
      <c r="HL131" s="61"/>
      <c r="HM131" s="61"/>
      <c r="HN131" s="61"/>
      <c r="HO131" s="61"/>
      <c r="HP131" s="61"/>
      <c r="HQ131" s="61"/>
      <c r="HR131" s="61"/>
      <c r="HS131" s="61"/>
      <c r="HT131" s="61"/>
      <c r="HU131" s="61"/>
      <c r="HV131" s="61"/>
      <c r="HW131" s="61"/>
      <c r="HX131" s="61"/>
      <c r="HY131" s="61"/>
      <c r="HZ131" s="61"/>
      <c r="IA131" s="61"/>
      <c r="IB131" s="61"/>
      <c r="IC131" s="61"/>
      <c r="ID131" s="61"/>
      <c r="IE131" s="61"/>
      <c r="IF131" s="61"/>
      <c r="IG131" s="61"/>
      <c r="IH131" s="61"/>
      <c r="II131" s="61"/>
      <c r="IJ131" s="61"/>
      <c r="IK131" s="61"/>
      <c r="IL131" s="61"/>
      <c r="IM131" s="61"/>
      <c r="IN131" s="61"/>
      <c r="IO131" s="61"/>
      <c r="IP131" s="61"/>
      <c r="IQ131" s="61"/>
      <c r="IR131" s="61"/>
      <c r="IS131" s="61"/>
      <c r="IT131" s="61"/>
      <c r="IU131" s="61"/>
      <c r="IV131" s="61"/>
      <c r="IW131" s="61"/>
      <c r="IX131" s="61"/>
      <c r="IY131" s="61"/>
      <c r="IZ131" s="61"/>
      <c r="JA131" s="61"/>
      <c r="JB131" s="61"/>
      <c r="JC131" s="61"/>
      <c r="JD131" s="61"/>
      <c r="JE131" s="61"/>
      <c r="JF131" s="61"/>
      <c r="JG131" s="61"/>
      <c r="JH131" s="61"/>
      <c r="JI131" s="61"/>
      <c r="JJ131" s="61"/>
      <c r="JK131" s="61"/>
      <c r="JL131" s="61"/>
      <c r="JM131" s="61"/>
      <c r="JN131" s="61"/>
      <c r="JO131" s="61"/>
      <c r="JP131" s="61"/>
      <c r="JQ131" s="61"/>
      <c r="JR131" s="61"/>
      <c r="JS131" s="61"/>
      <c r="JT131" s="61"/>
      <c r="JU131" s="61"/>
      <c r="JV131" s="61"/>
      <c r="JW131" s="61"/>
      <c r="JX131" s="61"/>
      <c r="JY131" s="61"/>
      <c r="JZ131" s="61"/>
      <c r="KA131" s="61"/>
      <c r="KB131" s="61"/>
      <c r="KC131" s="61"/>
      <c r="KD131" s="61"/>
      <c r="KE131" s="61"/>
      <c r="KF131" s="61"/>
      <c r="KG131" s="61"/>
      <c r="KH131" s="61"/>
      <c r="KI131" s="61"/>
      <c r="KJ131" s="61"/>
      <c r="KK131" s="61"/>
      <c r="KL131" s="61"/>
      <c r="KM131" s="61"/>
      <c r="KN131" s="61"/>
      <c r="KO131" s="61"/>
      <c r="KP131" s="61"/>
      <c r="KQ131" s="61"/>
      <c r="KR131" s="61"/>
      <c r="KS131" s="61"/>
      <c r="KT131" s="61"/>
      <c r="KU131" s="61"/>
      <c r="KV131" s="61"/>
      <c r="KW131" s="61"/>
      <c r="KX131" s="61"/>
      <c r="KY131" s="61"/>
      <c r="KZ131" s="61"/>
      <c r="LA131" s="61"/>
      <c r="LB131" s="61"/>
      <c r="LC131" s="61"/>
      <c r="LD131" s="61"/>
      <c r="LE131" s="61"/>
      <c r="LF131" s="61"/>
      <c r="LG131" s="61"/>
      <c r="LH131" s="61"/>
      <c r="LI131" s="61"/>
      <c r="LJ131" s="61"/>
      <c r="LK131" s="61"/>
      <c r="LL131" s="61"/>
      <c r="LM131" s="61"/>
      <c r="LN131" s="61"/>
      <c r="LO131" s="61"/>
      <c r="LP131" s="61"/>
      <c r="LQ131" s="61"/>
      <c r="LR131" s="61"/>
      <c r="LS131" s="61"/>
      <c r="LT131" s="61"/>
      <c r="LU131" s="61"/>
      <c r="LV131" s="61"/>
      <c r="LW131" s="61"/>
      <c r="LX131" s="61"/>
      <c r="LY131" s="61"/>
      <c r="LZ131" s="61"/>
      <c r="MA131" s="61"/>
      <c r="MB131" s="61"/>
      <c r="MC131" s="61"/>
      <c r="MD131" s="61"/>
      <c r="ME131" s="61"/>
      <c r="MF131" s="61"/>
      <c r="MG131" s="61"/>
      <c r="MH131" s="61"/>
      <c r="MI131" s="61"/>
      <c r="MJ131" s="61"/>
      <c r="MK131" s="61"/>
      <c r="ML131" s="61"/>
      <c r="MM131" s="61"/>
      <c r="MN131" s="61"/>
      <c r="MO131" s="61"/>
      <c r="MP131" s="61"/>
      <c r="MQ131" s="61"/>
      <c r="MR131" s="61"/>
      <c r="MS131" s="61"/>
      <c r="MT131" s="61"/>
      <c r="MU131" s="61"/>
      <c r="MV131" s="61"/>
      <c r="MW131" s="61"/>
      <c r="MX131" s="61"/>
      <c r="MY131" s="61"/>
      <c r="MZ131" s="61"/>
      <c r="NA131" s="61"/>
      <c r="NB131" s="61"/>
      <c r="NC131" s="61"/>
      <c r="ND131" s="61"/>
      <c r="NE131" s="61"/>
      <c r="NF131" s="61"/>
      <c r="NG131" s="61"/>
      <c r="NH131" s="61"/>
      <c r="NI131" s="61"/>
      <c r="NJ131" s="61"/>
      <c r="NK131" s="61"/>
      <c r="NL131" s="61"/>
      <c r="NM131" s="61"/>
      <c r="NN131" s="61"/>
      <c r="NO131" s="61"/>
      <c r="NP131" s="61"/>
      <c r="NQ131" s="61"/>
      <c r="NR131" s="61"/>
      <c r="NS131" s="61"/>
      <c r="NT131" s="61"/>
      <c r="NU131" s="61"/>
      <c r="NV131" s="61"/>
      <c r="NW131" s="61"/>
      <c r="NX131" s="61"/>
      <c r="NY131" s="61"/>
      <c r="NZ131" s="61"/>
      <c r="OA131" s="61"/>
      <c r="OB131" s="61"/>
      <c r="OC131" s="61"/>
      <c r="OD131" s="61"/>
      <c r="OE131" s="61"/>
      <c r="OF131" s="61"/>
      <c r="OG131" s="61"/>
      <c r="OH131" s="61"/>
      <c r="OI131" s="61"/>
      <c r="OJ131" s="61"/>
      <c r="OK131" s="61"/>
      <c r="OL131" s="61"/>
      <c r="OM131" s="61"/>
      <c r="ON131" s="61"/>
      <c r="OO131" s="61"/>
      <c r="OP131" s="61"/>
      <c r="OQ131" s="61"/>
      <c r="OR131" s="61"/>
      <c r="OS131" s="61"/>
      <c r="OT131" s="61"/>
      <c r="OU131" s="61"/>
      <c r="OV131" s="61"/>
      <c r="OW131" s="61"/>
      <c r="OX131" s="61"/>
      <c r="OY131" s="61"/>
      <c r="OZ131" s="61"/>
      <c r="PA131" s="61"/>
      <c r="PB131" s="61"/>
      <c r="PC131" s="61"/>
      <c r="PD131" s="61"/>
      <c r="PE131" s="61"/>
      <c r="PF131" s="61"/>
      <c r="PG131" s="61"/>
      <c r="PH131" s="61"/>
      <c r="PI131" s="61"/>
      <c r="PJ131" s="61"/>
      <c r="PK131" s="61"/>
      <c r="PL131" s="61"/>
      <c r="PM131" s="61"/>
      <c r="PN131" s="61"/>
      <c r="PO131" s="61"/>
      <c r="PP131" s="61"/>
      <c r="PQ131" s="61"/>
      <c r="PR131" s="61"/>
      <c r="PS131" s="61"/>
      <c r="PT131" s="61"/>
      <c r="PU131" s="61"/>
      <c r="PV131" s="61"/>
      <c r="PW131" s="61"/>
      <c r="PX131" s="61"/>
      <c r="PY131" s="61"/>
      <c r="PZ131" s="61"/>
      <c r="QA131" s="61"/>
      <c r="QB131" s="61"/>
      <c r="QC131" s="61"/>
      <c r="QD131" s="61"/>
      <c r="QE131" s="61"/>
      <c r="QF131" s="61"/>
      <c r="QG131" s="61"/>
      <c r="QH131" s="61"/>
      <c r="QI131" s="61"/>
      <c r="QJ131" s="61"/>
      <c r="QK131" s="61"/>
      <c r="QL131" s="61"/>
      <c r="QM131" s="61"/>
      <c r="QN131" s="61"/>
      <c r="QO131" s="61"/>
      <c r="QP131" s="61"/>
      <c r="QQ131" s="61"/>
      <c r="QR131" s="61"/>
      <c r="QS131" s="61"/>
      <c r="QT131" s="61"/>
      <c r="QU131" s="61"/>
      <c r="QV131" s="61"/>
      <c r="QW131" s="61"/>
      <c r="QX131" s="61"/>
      <c r="QY131" s="61"/>
      <c r="QZ131" s="61"/>
      <c r="RA131" s="61"/>
      <c r="RB131" s="61"/>
      <c r="RC131" s="61"/>
      <c r="RD131" s="17"/>
    </row>
    <row r="132" spans="1:472" s="5" customFormat="1" ht="15" hidden="1" customHeight="1" x14ac:dyDescent="0.25">
      <c r="A132" s="5">
        <v>2046</v>
      </c>
      <c r="B132" s="5" t="s">
        <v>347</v>
      </c>
      <c r="C132" s="5" t="s">
        <v>237</v>
      </c>
      <c r="D132" s="5">
        <v>110</v>
      </c>
      <c r="E132" s="34" t="s">
        <v>370</v>
      </c>
      <c r="F132" s="64" t="s">
        <v>216</v>
      </c>
      <c r="G132" s="65"/>
      <c r="H132" s="19"/>
      <c r="I132" s="61"/>
      <c r="J132" s="61"/>
      <c r="K132" s="61"/>
      <c r="L132" s="61"/>
      <c r="M132" s="61"/>
      <c r="N132" s="61"/>
      <c r="O132" s="61"/>
      <c r="P132" s="61"/>
      <c r="Q132" s="61"/>
      <c r="R132" s="61"/>
      <c r="S132" s="61"/>
      <c r="T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v>2</v>
      </c>
      <c r="CG132" s="61"/>
      <c r="CH132" s="61">
        <v>2</v>
      </c>
      <c r="CI132" s="61"/>
      <c r="CJ132" s="61">
        <v>2</v>
      </c>
      <c r="CK132" s="61"/>
      <c r="CL132" s="61">
        <v>2</v>
      </c>
      <c r="CM132" s="61"/>
      <c r="CN132" s="61">
        <v>2</v>
      </c>
      <c r="CO132" s="61"/>
      <c r="CP132" s="61">
        <v>6</v>
      </c>
      <c r="CQ132" s="61"/>
      <c r="CR132" s="61">
        <v>8</v>
      </c>
      <c r="CS132" s="61"/>
      <c r="CT132" s="61">
        <v>6</v>
      </c>
      <c r="CU132" s="61"/>
      <c r="CV132" s="61">
        <v>8</v>
      </c>
      <c r="CW132" s="61"/>
      <c r="CX132" s="61">
        <v>8</v>
      </c>
      <c r="CY132" s="61"/>
      <c r="CZ132" s="61">
        <v>6</v>
      </c>
      <c r="DA132" s="61"/>
      <c r="DB132" s="61">
        <v>4</v>
      </c>
      <c r="DC132" s="61"/>
      <c r="DD132" s="61">
        <v>5</v>
      </c>
      <c r="DE132" s="61"/>
      <c r="DF132" s="61">
        <v>4</v>
      </c>
      <c r="DG132" s="61"/>
      <c r="DH132" s="61">
        <v>3</v>
      </c>
      <c r="DI132" s="61"/>
      <c r="DJ132" s="61">
        <v>2</v>
      </c>
      <c r="DK132" s="61"/>
      <c r="DL132" s="61">
        <v>2</v>
      </c>
      <c r="DM132" s="61"/>
      <c r="DN132" s="61">
        <v>1</v>
      </c>
      <c r="DO132" s="61"/>
      <c r="DP132" s="61"/>
      <c r="DQ132" s="61"/>
      <c r="DR132" s="61"/>
      <c r="DS132" s="61"/>
      <c r="DT132" s="61"/>
      <c r="DU132" s="61"/>
      <c r="DV132" s="61"/>
      <c r="DW132" s="61"/>
      <c r="DX132" s="61"/>
      <c r="DY132" s="61"/>
      <c r="DZ132" s="61"/>
      <c r="EA132" s="61"/>
      <c r="EB132" s="61"/>
      <c r="EC132" s="61"/>
      <c r="ED132" s="61"/>
      <c r="EE132" s="61"/>
      <c r="EF132" s="61"/>
      <c r="EG132" s="61"/>
      <c r="EH132" s="61"/>
      <c r="EI132" s="61"/>
      <c r="EJ132" s="61"/>
      <c r="EK132" s="61"/>
      <c r="EL132" s="61"/>
      <c r="EM132" s="61"/>
      <c r="EN132" s="61"/>
      <c r="EO132" s="61"/>
      <c r="EP132" s="61"/>
      <c r="EQ132" s="61"/>
      <c r="ER132" s="61"/>
      <c r="ES132" s="61"/>
      <c r="ET132" s="61"/>
      <c r="EU132" s="61"/>
      <c r="EV132" s="61"/>
      <c r="EW132" s="61"/>
      <c r="EX132" s="61"/>
      <c r="EY132" s="61"/>
      <c r="EZ132" s="61"/>
      <c r="FA132" s="61"/>
      <c r="FB132" s="61"/>
      <c r="FC132" s="61"/>
      <c r="FD132" s="61"/>
      <c r="FE132" s="61"/>
      <c r="FF132" s="61"/>
      <c r="FG132" s="61"/>
      <c r="FH132" s="61"/>
      <c r="FI132" s="61"/>
      <c r="FJ132" s="61"/>
      <c r="FK132" s="61"/>
      <c r="FL132" s="61"/>
      <c r="FM132" s="61"/>
      <c r="FN132" s="61"/>
      <c r="FO132" s="61"/>
      <c r="FP132" s="61"/>
      <c r="FQ132" s="61"/>
      <c r="FR132" s="61"/>
      <c r="FS132" s="61"/>
      <c r="FT132" s="61"/>
      <c r="FU132" s="61"/>
      <c r="FV132" s="61"/>
      <c r="FW132" s="61"/>
      <c r="FX132" s="61"/>
      <c r="FY132" s="61"/>
      <c r="FZ132" s="61"/>
      <c r="GA132" s="61"/>
      <c r="GB132" s="61"/>
      <c r="GC132" s="61"/>
      <c r="GD132" s="61"/>
      <c r="GE132" s="61"/>
      <c r="GF132" s="61"/>
      <c r="GG132" s="61"/>
      <c r="GH132" s="61"/>
      <c r="GI132" s="61"/>
      <c r="GJ132" s="61"/>
      <c r="GK132" s="61"/>
      <c r="GL132" s="61"/>
      <c r="GM132" s="61"/>
      <c r="GN132" s="61"/>
      <c r="GO132" s="61"/>
      <c r="GP132" s="61"/>
      <c r="GQ132" s="61"/>
      <c r="GR132" s="61"/>
      <c r="GS132" s="61"/>
      <c r="GT132" s="61"/>
      <c r="GU132" s="61"/>
      <c r="GV132" s="61"/>
      <c r="GW132" s="61"/>
      <c r="GX132" s="61"/>
      <c r="GY132" s="61"/>
      <c r="GZ132" s="61"/>
      <c r="HA132" s="61"/>
      <c r="HB132" s="61"/>
      <c r="HC132" s="61"/>
      <c r="HD132" s="61"/>
      <c r="HE132" s="61"/>
      <c r="HF132" s="61"/>
      <c r="HG132" s="61"/>
      <c r="HH132" s="61"/>
      <c r="HI132" s="61"/>
      <c r="HJ132" s="61"/>
      <c r="HK132" s="61"/>
      <c r="HL132" s="61"/>
      <c r="HM132" s="61"/>
      <c r="HN132" s="61"/>
      <c r="HO132" s="61"/>
      <c r="HP132" s="61"/>
      <c r="HQ132" s="61"/>
      <c r="HR132" s="61"/>
      <c r="HS132" s="61"/>
      <c r="HT132" s="61"/>
      <c r="HU132" s="61"/>
      <c r="HV132" s="61"/>
      <c r="HW132" s="61"/>
      <c r="HX132" s="61"/>
      <c r="HY132" s="61"/>
      <c r="HZ132" s="61"/>
      <c r="IA132" s="61"/>
      <c r="IB132" s="61"/>
      <c r="IC132" s="61"/>
      <c r="ID132" s="61"/>
      <c r="IE132" s="61"/>
      <c r="IF132" s="61"/>
      <c r="IG132" s="61"/>
      <c r="IH132" s="61"/>
      <c r="II132" s="61"/>
      <c r="IJ132" s="61"/>
      <c r="IK132" s="61"/>
      <c r="IL132" s="61"/>
      <c r="IM132" s="61"/>
      <c r="IN132" s="61"/>
      <c r="IO132" s="61"/>
      <c r="IP132" s="61"/>
      <c r="IQ132" s="61"/>
      <c r="IR132" s="61"/>
      <c r="IS132" s="61"/>
      <c r="IT132" s="61"/>
      <c r="IU132" s="61"/>
      <c r="IV132" s="61"/>
      <c r="IW132" s="61"/>
      <c r="IX132" s="61"/>
      <c r="IY132" s="61"/>
      <c r="IZ132" s="61"/>
      <c r="JA132" s="61"/>
      <c r="JB132" s="61"/>
      <c r="JC132" s="61"/>
      <c r="JD132" s="61"/>
      <c r="JE132" s="61"/>
      <c r="JF132" s="61"/>
      <c r="JG132" s="61"/>
      <c r="JH132" s="61"/>
      <c r="JI132" s="61"/>
      <c r="JJ132" s="61"/>
      <c r="JK132" s="61"/>
      <c r="JL132" s="61"/>
      <c r="JM132" s="61"/>
      <c r="JN132" s="61"/>
      <c r="JO132" s="61"/>
      <c r="JP132" s="61"/>
      <c r="JQ132" s="61"/>
      <c r="JR132" s="61"/>
      <c r="JS132" s="61"/>
      <c r="JT132" s="61"/>
      <c r="JU132" s="61"/>
      <c r="JV132" s="61"/>
      <c r="JW132" s="61"/>
      <c r="JX132" s="61"/>
      <c r="JY132" s="61"/>
      <c r="JZ132" s="61"/>
      <c r="KA132" s="61"/>
      <c r="KB132" s="61"/>
      <c r="KC132" s="61"/>
      <c r="KD132" s="61"/>
      <c r="KE132" s="61"/>
      <c r="KF132" s="61"/>
      <c r="KG132" s="61"/>
      <c r="KH132" s="61"/>
      <c r="KI132" s="61"/>
      <c r="KJ132" s="61"/>
      <c r="KK132" s="61"/>
      <c r="KL132" s="61"/>
      <c r="KM132" s="61"/>
      <c r="KN132" s="61"/>
      <c r="KO132" s="61"/>
      <c r="KP132" s="61"/>
      <c r="KQ132" s="61"/>
      <c r="KR132" s="61"/>
      <c r="KS132" s="61"/>
      <c r="KT132" s="61"/>
      <c r="KU132" s="61"/>
      <c r="KV132" s="61"/>
      <c r="KW132" s="61"/>
      <c r="KX132" s="61"/>
      <c r="KY132" s="61"/>
      <c r="KZ132" s="61"/>
      <c r="LA132" s="61"/>
      <c r="LB132" s="61"/>
      <c r="LC132" s="61"/>
      <c r="LD132" s="61"/>
      <c r="LE132" s="61"/>
      <c r="LF132" s="61"/>
      <c r="LG132" s="61"/>
      <c r="LH132" s="61"/>
      <c r="LI132" s="61"/>
      <c r="LJ132" s="61"/>
      <c r="LK132" s="61"/>
      <c r="LL132" s="61"/>
      <c r="LM132" s="61"/>
      <c r="LN132" s="61"/>
      <c r="LO132" s="61"/>
      <c r="LP132" s="61"/>
      <c r="LQ132" s="61"/>
      <c r="LR132" s="61"/>
      <c r="LS132" s="61"/>
      <c r="LT132" s="61"/>
      <c r="LU132" s="61"/>
      <c r="LV132" s="61"/>
      <c r="LW132" s="61"/>
      <c r="LX132" s="61"/>
      <c r="LY132" s="61"/>
      <c r="LZ132" s="61"/>
      <c r="MA132" s="61"/>
      <c r="MB132" s="61"/>
      <c r="MC132" s="61"/>
      <c r="MD132" s="61"/>
      <c r="ME132" s="61"/>
      <c r="MF132" s="61"/>
      <c r="MG132" s="61"/>
      <c r="MH132" s="61"/>
      <c r="MI132" s="61"/>
      <c r="MJ132" s="61"/>
      <c r="MK132" s="61"/>
      <c r="ML132" s="61"/>
      <c r="MM132" s="61"/>
      <c r="MN132" s="61"/>
      <c r="MO132" s="61"/>
      <c r="MP132" s="61"/>
      <c r="MQ132" s="61"/>
      <c r="MR132" s="61"/>
      <c r="MS132" s="61"/>
      <c r="MT132" s="61"/>
      <c r="MU132" s="61"/>
      <c r="MV132" s="61"/>
      <c r="MW132" s="61"/>
      <c r="MX132" s="61"/>
      <c r="MY132" s="61"/>
      <c r="MZ132" s="61"/>
      <c r="NA132" s="61"/>
      <c r="NB132" s="61"/>
      <c r="NC132" s="61"/>
      <c r="ND132" s="61"/>
      <c r="NE132" s="61"/>
      <c r="NF132" s="61"/>
      <c r="NG132" s="61"/>
      <c r="NH132" s="61"/>
      <c r="NI132" s="61"/>
      <c r="NJ132" s="61"/>
      <c r="NK132" s="61"/>
      <c r="NL132" s="61"/>
      <c r="NM132" s="61"/>
      <c r="NN132" s="61"/>
      <c r="NO132" s="61"/>
      <c r="NP132" s="61"/>
      <c r="NQ132" s="61"/>
      <c r="NR132" s="61"/>
      <c r="NS132" s="61"/>
      <c r="NT132" s="61"/>
      <c r="NU132" s="61"/>
      <c r="NV132" s="61"/>
      <c r="NW132" s="61"/>
      <c r="NX132" s="61"/>
      <c r="NY132" s="61"/>
      <c r="NZ132" s="61"/>
      <c r="OA132" s="61"/>
      <c r="OB132" s="61"/>
      <c r="OC132" s="61"/>
      <c r="OD132" s="61"/>
      <c r="OE132" s="61"/>
      <c r="OF132" s="61"/>
      <c r="OG132" s="61"/>
      <c r="OH132" s="61"/>
      <c r="OI132" s="61"/>
      <c r="OJ132" s="61"/>
      <c r="OK132" s="61"/>
      <c r="OL132" s="61"/>
      <c r="OM132" s="61"/>
      <c r="ON132" s="61"/>
      <c r="OO132" s="61"/>
      <c r="OP132" s="61"/>
      <c r="OQ132" s="61"/>
      <c r="OR132" s="61"/>
      <c r="OS132" s="61"/>
      <c r="OT132" s="61"/>
      <c r="OU132" s="61"/>
      <c r="OV132" s="61"/>
      <c r="OW132" s="61"/>
      <c r="OX132" s="61"/>
      <c r="OY132" s="61"/>
      <c r="OZ132" s="61"/>
      <c r="PA132" s="61"/>
      <c r="PB132" s="61"/>
      <c r="PC132" s="61"/>
      <c r="PD132" s="61"/>
      <c r="PE132" s="61"/>
      <c r="PF132" s="61"/>
      <c r="PG132" s="61"/>
      <c r="PH132" s="61"/>
      <c r="PI132" s="61"/>
      <c r="PJ132" s="61"/>
      <c r="PK132" s="61"/>
      <c r="PL132" s="61"/>
      <c r="PM132" s="61"/>
      <c r="PN132" s="61"/>
      <c r="PO132" s="61"/>
      <c r="PP132" s="61"/>
      <c r="PQ132" s="61"/>
      <c r="PR132" s="61"/>
      <c r="PS132" s="61"/>
      <c r="PT132" s="61"/>
      <c r="PU132" s="61"/>
      <c r="PV132" s="61"/>
      <c r="PW132" s="61"/>
      <c r="PX132" s="61"/>
      <c r="PY132" s="61"/>
      <c r="PZ132" s="61"/>
      <c r="QA132" s="61"/>
      <c r="QB132" s="61"/>
      <c r="QC132" s="61"/>
      <c r="QD132" s="61"/>
      <c r="QE132" s="61"/>
      <c r="QF132" s="61"/>
      <c r="QG132" s="61"/>
      <c r="QH132" s="61"/>
      <c r="QI132" s="61"/>
      <c r="QJ132" s="61"/>
      <c r="QK132" s="61"/>
      <c r="QL132" s="61"/>
      <c r="QM132" s="61"/>
      <c r="QN132" s="61"/>
      <c r="QO132" s="61"/>
      <c r="QP132" s="61"/>
      <c r="QQ132" s="61"/>
      <c r="QR132" s="61"/>
      <c r="QS132" s="61"/>
      <c r="QT132" s="61"/>
      <c r="QU132" s="61"/>
      <c r="QV132" s="61"/>
      <c r="QW132" s="61"/>
      <c r="QX132" s="61"/>
      <c r="QY132" s="61"/>
      <c r="QZ132" s="61"/>
      <c r="RA132" s="61"/>
      <c r="RB132" s="61"/>
      <c r="RC132" s="61"/>
      <c r="RD132" s="17"/>
    </row>
    <row r="133" spans="1:472" s="5" customFormat="1" ht="15" hidden="1" customHeight="1" x14ac:dyDescent="0.25">
      <c r="A133" s="5">
        <v>2050</v>
      </c>
      <c r="B133" s="5" t="s">
        <v>417</v>
      </c>
      <c r="C133" s="5" t="s">
        <v>230</v>
      </c>
      <c r="D133" s="5">
        <v>50</v>
      </c>
      <c r="E133" s="36" t="s">
        <v>434</v>
      </c>
      <c r="F133" s="64" t="s">
        <v>216</v>
      </c>
      <c r="G133" s="65"/>
      <c r="H133" s="19"/>
      <c r="I133" s="61"/>
      <c r="J133" s="61"/>
      <c r="K133" s="61"/>
      <c r="L133" s="61"/>
      <c r="M133" s="61"/>
      <c r="N133" s="61"/>
      <c r="O133" s="61"/>
      <c r="P133" s="61"/>
      <c r="Q133" s="61"/>
      <c r="R133" s="61"/>
      <c r="S133" s="61"/>
      <c r="T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v>2</v>
      </c>
      <c r="CM133" s="61"/>
      <c r="CN133" s="61">
        <v>2</v>
      </c>
      <c r="CO133" s="61"/>
      <c r="CP133" s="61">
        <v>6</v>
      </c>
      <c r="CQ133" s="61"/>
      <c r="CR133" s="61">
        <v>6</v>
      </c>
      <c r="CS133" s="61"/>
      <c r="CT133" s="61">
        <v>4</v>
      </c>
      <c r="CU133" s="61"/>
      <c r="CV133" s="61">
        <v>5</v>
      </c>
      <c r="CW133" s="61"/>
      <c r="CX133" s="61">
        <v>5</v>
      </c>
      <c r="CY133" s="61"/>
      <c r="CZ133" s="61">
        <v>4</v>
      </c>
      <c r="DA133" s="61"/>
      <c r="DB133" s="61">
        <v>2</v>
      </c>
      <c r="DC133" s="61"/>
      <c r="DD133" s="61">
        <v>3</v>
      </c>
      <c r="DE133" s="61"/>
      <c r="DF133" s="61">
        <v>2</v>
      </c>
      <c r="DG133" s="61"/>
      <c r="DH133" s="61">
        <v>2</v>
      </c>
      <c r="DI133" s="61"/>
      <c r="DJ133" s="61">
        <v>1</v>
      </c>
      <c r="DK133" s="61"/>
      <c r="DL133" s="61">
        <v>1</v>
      </c>
      <c r="DM133" s="61"/>
      <c r="DN133" s="61"/>
      <c r="DO133" s="61"/>
      <c r="DP133" s="61"/>
      <c r="DQ133" s="61"/>
      <c r="DR133" s="61"/>
      <c r="DS133" s="61"/>
      <c r="DT133" s="61"/>
      <c r="DU133" s="61"/>
      <c r="DV133" s="61"/>
      <c r="DW133" s="61"/>
      <c r="DX133" s="61"/>
      <c r="DY133" s="61"/>
      <c r="DZ133" s="61"/>
      <c r="EA133" s="61"/>
      <c r="EB133" s="61"/>
      <c r="EC133" s="61"/>
      <c r="ED133" s="61"/>
      <c r="EE133" s="61"/>
      <c r="EF133" s="61"/>
      <c r="EG133" s="61"/>
      <c r="EH133" s="61"/>
      <c r="EI133" s="61"/>
      <c r="EJ133" s="61"/>
      <c r="EK133" s="61"/>
      <c r="EL133" s="61"/>
      <c r="EM133" s="61"/>
      <c r="EN133" s="61"/>
      <c r="EO133" s="61"/>
      <c r="EP133" s="61"/>
      <c r="EQ133" s="61"/>
      <c r="ER133" s="61"/>
      <c r="ES133" s="61"/>
      <c r="ET133" s="61"/>
      <c r="EU133" s="61"/>
      <c r="EV133" s="61"/>
      <c r="EW133" s="61"/>
      <c r="EX133" s="61"/>
      <c r="EY133" s="61"/>
      <c r="EZ133" s="61"/>
      <c r="FA133" s="61"/>
      <c r="FB133" s="61"/>
      <c r="FC133" s="61"/>
      <c r="FD133" s="61"/>
      <c r="FE133" s="61"/>
      <c r="FF133" s="61"/>
      <c r="FG133" s="61"/>
      <c r="FH133" s="61"/>
      <c r="FI133" s="61"/>
      <c r="FJ133" s="61"/>
      <c r="FK133" s="61"/>
      <c r="FL133" s="61"/>
      <c r="FM133" s="61"/>
      <c r="FN133" s="61"/>
      <c r="FO133" s="61"/>
      <c r="FP133" s="61"/>
      <c r="FQ133" s="61"/>
      <c r="FR133" s="61"/>
      <c r="FS133" s="61"/>
      <c r="FT133" s="61"/>
      <c r="FU133" s="61"/>
      <c r="FV133" s="61"/>
      <c r="FW133" s="61"/>
      <c r="FX133" s="61"/>
      <c r="FY133" s="61"/>
      <c r="FZ133" s="61"/>
      <c r="GA133" s="61"/>
      <c r="GB133" s="61"/>
      <c r="GC133" s="61"/>
      <c r="GD133" s="61"/>
      <c r="GE133" s="61"/>
      <c r="GF133" s="61"/>
      <c r="GG133" s="61"/>
      <c r="GH133" s="61"/>
      <c r="GI133" s="61"/>
      <c r="GJ133" s="61"/>
      <c r="GK133" s="61"/>
      <c r="GL133" s="61"/>
      <c r="GM133" s="61"/>
      <c r="GN133" s="61"/>
      <c r="GO133" s="61"/>
      <c r="GP133" s="61"/>
      <c r="GQ133" s="61"/>
      <c r="GR133" s="61"/>
      <c r="GS133" s="61"/>
      <c r="GT133" s="61"/>
      <c r="GU133" s="61"/>
      <c r="GV133" s="61"/>
      <c r="GW133" s="61"/>
      <c r="GX133" s="61"/>
      <c r="GY133" s="61"/>
      <c r="GZ133" s="61"/>
      <c r="HA133" s="61"/>
      <c r="HB133" s="61"/>
      <c r="HC133" s="61"/>
      <c r="HD133" s="61"/>
      <c r="HE133" s="61"/>
      <c r="HF133" s="61"/>
      <c r="HG133" s="61"/>
      <c r="HH133" s="61"/>
      <c r="HI133" s="61"/>
      <c r="HJ133" s="61"/>
      <c r="HK133" s="61"/>
      <c r="HL133" s="61"/>
      <c r="HM133" s="61"/>
      <c r="HN133" s="61"/>
      <c r="HO133" s="61"/>
      <c r="HP133" s="61"/>
      <c r="HQ133" s="61"/>
      <c r="HR133" s="61"/>
      <c r="HS133" s="61"/>
      <c r="HT133" s="61"/>
      <c r="HU133" s="61"/>
      <c r="HV133" s="61"/>
      <c r="HW133" s="61"/>
      <c r="HX133" s="61"/>
      <c r="HY133" s="61"/>
      <c r="HZ133" s="61"/>
      <c r="IA133" s="61"/>
      <c r="IB133" s="61"/>
      <c r="IC133" s="61"/>
      <c r="ID133" s="61"/>
      <c r="IE133" s="61"/>
      <c r="IF133" s="61"/>
      <c r="IG133" s="61"/>
      <c r="IH133" s="61"/>
      <c r="II133" s="61"/>
      <c r="IJ133" s="61"/>
      <c r="IK133" s="61"/>
      <c r="IL133" s="61"/>
      <c r="IM133" s="61"/>
      <c r="IN133" s="61"/>
      <c r="IO133" s="61"/>
      <c r="IP133" s="61"/>
      <c r="IQ133" s="61"/>
      <c r="IR133" s="61"/>
      <c r="IS133" s="61"/>
      <c r="IT133" s="61"/>
      <c r="IU133" s="61"/>
      <c r="IV133" s="61"/>
      <c r="IW133" s="61"/>
      <c r="IX133" s="61"/>
      <c r="IY133" s="61"/>
      <c r="IZ133" s="61"/>
      <c r="JA133" s="61"/>
      <c r="JB133" s="61"/>
      <c r="JC133" s="61"/>
      <c r="JD133" s="61"/>
      <c r="JE133" s="61"/>
      <c r="JF133" s="61"/>
      <c r="JG133" s="61"/>
      <c r="JH133" s="61"/>
      <c r="JI133" s="61"/>
      <c r="JJ133" s="61"/>
      <c r="JK133" s="61"/>
      <c r="JL133" s="61"/>
      <c r="JM133" s="61"/>
      <c r="JN133" s="61"/>
      <c r="JO133" s="61"/>
      <c r="JP133" s="61"/>
      <c r="JQ133" s="61"/>
      <c r="JR133" s="61"/>
      <c r="JS133" s="61"/>
      <c r="JT133" s="61"/>
      <c r="JU133" s="61"/>
      <c r="JV133" s="61"/>
      <c r="JW133" s="61"/>
      <c r="JX133" s="61"/>
      <c r="JY133" s="61"/>
      <c r="JZ133" s="61"/>
      <c r="KA133" s="61"/>
      <c r="KB133" s="61"/>
      <c r="KC133" s="61"/>
      <c r="KD133" s="61"/>
      <c r="KE133" s="61"/>
      <c r="KF133" s="61"/>
      <c r="KG133" s="61"/>
      <c r="KH133" s="61"/>
      <c r="KI133" s="61"/>
      <c r="KJ133" s="61"/>
      <c r="KK133" s="61"/>
      <c r="KL133" s="61"/>
      <c r="KM133" s="61"/>
      <c r="KN133" s="61"/>
      <c r="KO133" s="61"/>
      <c r="KP133" s="61"/>
      <c r="KQ133" s="61"/>
      <c r="KR133" s="61"/>
      <c r="KS133" s="61"/>
      <c r="KT133" s="61"/>
      <c r="KU133" s="61"/>
      <c r="KV133" s="61"/>
      <c r="KW133" s="61"/>
      <c r="KX133" s="61"/>
      <c r="KY133" s="61"/>
      <c r="KZ133" s="61"/>
      <c r="LA133" s="61"/>
      <c r="LB133" s="61"/>
      <c r="LC133" s="61"/>
      <c r="LD133" s="61"/>
      <c r="LE133" s="61"/>
      <c r="LF133" s="61"/>
      <c r="LG133" s="61"/>
      <c r="LH133" s="61"/>
      <c r="LI133" s="61"/>
      <c r="LJ133" s="61"/>
      <c r="LK133" s="61"/>
      <c r="LL133" s="61"/>
      <c r="LM133" s="61"/>
      <c r="LN133" s="61"/>
      <c r="LO133" s="61"/>
      <c r="LP133" s="61"/>
      <c r="LQ133" s="61"/>
      <c r="LR133" s="61"/>
      <c r="LS133" s="61"/>
      <c r="LT133" s="61"/>
      <c r="LU133" s="61"/>
      <c r="LV133" s="61"/>
      <c r="LW133" s="61"/>
      <c r="LX133" s="61"/>
      <c r="LY133" s="61"/>
      <c r="LZ133" s="61"/>
      <c r="MA133" s="61"/>
      <c r="MB133" s="61"/>
      <c r="MC133" s="61"/>
      <c r="MD133" s="61"/>
      <c r="ME133" s="61"/>
      <c r="MF133" s="61"/>
      <c r="MG133" s="61"/>
      <c r="MH133" s="61"/>
      <c r="MI133" s="61"/>
      <c r="MJ133" s="61"/>
      <c r="MK133" s="61"/>
      <c r="ML133" s="61"/>
      <c r="MM133" s="61"/>
      <c r="MN133" s="61"/>
      <c r="MO133" s="61"/>
      <c r="MP133" s="61"/>
      <c r="MQ133" s="61"/>
      <c r="MR133" s="61"/>
      <c r="MS133" s="61"/>
      <c r="MT133" s="61"/>
      <c r="MU133" s="61"/>
      <c r="MV133" s="61"/>
      <c r="MW133" s="61"/>
      <c r="MX133" s="61"/>
      <c r="MY133" s="61"/>
      <c r="MZ133" s="61"/>
      <c r="NA133" s="61"/>
      <c r="NB133" s="61"/>
      <c r="NC133" s="61"/>
      <c r="ND133" s="61"/>
      <c r="NE133" s="61"/>
      <c r="NF133" s="61"/>
      <c r="NG133" s="61"/>
      <c r="NH133" s="61"/>
      <c r="NI133" s="61"/>
      <c r="NJ133" s="61"/>
      <c r="NK133" s="61"/>
      <c r="NL133" s="61"/>
      <c r="NM133" s="61"/>
      <c r="NN133" s="61"/>
      <c r="NO133" s="61"/>
      <c r="NP133" s="61"/>
      <c r="NQ133" s="61"/>
      <c r="NR133" s="61"/>
      <c r="NS133" s="61"/>
      <c r="NT133" s="61"/>
      <c r="NU133" s="61"/>
      <c r="NV133" s="61"/>
      <c r="NW133" s="61"/>
      <c r="NX133" s="61"/>
      <c r="NY133" s="61"/>
      <c r="NZ133" s="61"/>
      <c r="OA133" s="61"/>
      <c r="OB133" s="61"/>
      <c r="OC133" s="61"/>
      <c r="OD133" s="61"/>
      <c r="OE133" s="61"/>
      <c r="OF133" s="61"/>
      <c r="OG133" s="61"/>
      <c r="OH133" s="61"/>
      <c r="OI133" s="61"/>
      <c r="OJ133" s="61"/>
      <c r="OK133" s="61"/>
      <c r="OL133" s="61"/>
      <c r="OM133" s="61"/>
      <c r="ON133" s="61"/>
      <c r="OO133" s="61"/>
      <c r="OP133" s="61"/>
      <c r="OQ133" s="61"/>
      <c r="OR133" s="61"/>
      <c r="OS133" s="61"/>
      <c r="OT133" s="61"/>
      <c r="OU133" s="61"/>
      <c r="OV133" s="61"/>
      <c r="OW133" s="61"/>
      <c r="OX133" s="61"/>
      <c r="OY133" s="61"/>
      <c r="OZ133" s="61"/>
      <c r="PA133" s="61"/>
      <c r="PB133" s="61"/>
      <c r="PC133" s="61"/>
      <c r="PD133" s="61"/>
      <c r="PE133" s="61"/>
      <c r="PF133" s="61"/>
      <c r="PG133" s="61"/>
      <c r="PH133" s="61"/>
      <c r="PI133" s="61"/>
      <c r="PJ133" s="61"/>
      <c r="PK133" s="61"/>
      <c r="PL133" s="61"/>
      <c r="PM133" s="61"/>
      <c r="PN133" s="61"/>
      <c r="PO133" s="61"/>
      <c r="PP133" s="61"/>
      <c r="PQ133" s="61"/>
      <c r="PR133" s="61"/>
      <c r="PS133" s="61"/>
      <c r="PT133" s="61"/>
      <c r="PU133" s="61"/>
      <c r="PV133" s="61"/>
      <c r="PW133" s="61"/>
      <c r="PX133" s="61"/>
      <c r="PY133" s="61"/>
      <c r="PZ133" s="61"/>
      <c r="QA133" s="61"/>
      <c r="QB133" s="61"/>
      <c r="QC133" s="61"/>
      <c r="QD133" s="61"/>
      <c r="QE133" s="61"/>
      <c r="QF133" s="61"/>
      <c r="QG133" s="61"/>
      <c r="QH133" s="61"/>
      <c r="QI133" s="61"/>
      <c r="QJ133" s="61"/>
      <c r="QK133" s="61"/>
      <c r="QL133" s="61"/>
      <c r="QM133" s="61"/>
      <c r="QN133" s="61"/>
      <c r="QO133" s="61"/>
      <c r="QP133" s="61"/>
      <c r="QQ133" s="61"/>
      <c r="QR133" s="61"/>
      <c r="QS133" s="61"/>
      <c r="QT133" s="61"/>
      <c r="QU133" s="61"/>
      <c r="QV133" s="61"/>
      <c r="QW133" s="61"/>
      <c r="QX133" s="61"/>
      <c r="QY133" s="61"/>
      <c r="QZ133" s="61"/>
      <c r="RA133" s="61"/>
      <c r="RB133" s="61"/>
      <c r="RC133" s="61"/>
      <c r="RD133" s="17"/>
    </row>
    <row r="134" spans="1:472" s="5" customFormat="1" ht="15" hidden="1" customHeight="1" x14ac:dyDescent="0.25">
      <c r="A134" s="5">
        <v>2044</v>
      </c>
      <c r="B134" s="5" t="s">
        <v>288</v>
      </c>
      <c r="C134" s="5" t="s">
        <v>165</v>
      </c>
      <c r="D134" s="5">
        <v>78</v>
      </c>
      <c r="E134" s="36">
        <v>42917</v>
      </c>
      <c r="F134" s="64" t="s">
        <v>216</v>
      </c>
      <c r="G134" s="65"/>
      <c r="H134" s="19"/>
      <c r="I134" s="61"/>
      <c r="J134" s="61"/>
      <c r="K134" s="61"/>
      <c r="L134" s="61"/>
      <c r="M134" s="61"/>
      <c r="N134" s="61"/>
      <c r="O134" s="61"/>
      <c r="P134" s="61"/>
      <c r="Q134" s="61"/>
      <c r="R134" s="61"/>
      <c r="S134" s="61"/>
      <c r="T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v>2</v>
      </c>
      <c r="CI134" s="61"/>
      <c r="CJ134" s="61">
        <v>2</v>
      </c>
      <c r="CK134" s="61"/>
      <c r="CL134" s="61">
        <v>2</v>
      </c>
      <c r="CM134" s="61"/>
      <c r="CN134" s="61">
        <v>2</v>
      </c>
      <c r="CO134" s="61"/>
      <c r="CP134" s="61">
        <v>6</v>
      </c>
      <c r="CQ134" s="61"/>
      <c r="CR134" s="61">
        <v>6</v>
      </c>
      <c r="CS134" s="61"/>
      <c r="CT134" s="61">
        <v>5</v>
      </c>
      <c r="CU134" s="61"/>
      <c r="CV134" s="61">
        <v>5</v>
      </c>
      <c r="CW134" s="61"/>
      <c r="CX134" s="61">
        <v>4</v>
      </c>
      <c r="CY134" s="61"/>
      <c r="CZ134" s="61">
        <v>2</v>
      </c>
      <c r="DA134" s="61"/>
      <c r="DB134" s="61">
        <v>2</v>
      </c>
      <c r="DC134" s="61"/>
      <c r="DD134" s="61">
        <v>3</v>
      </c>
      <c r="DE134" s="61"/>
      <c r="DF134" s="61">
        <v>2</v>
      </c>
      <c r="DG134" s="61"/>
      <c r="DH134" s="61">
        <v>2</v>
      </c>
      <c r="DI134" s="61"/>
      <c r="DJ134" s="61">
        <v>1</v>
      </c>
      <c r="DK134" s="61"/>
      <c r="DL134" s="61">
        <v>1</v>
      </c>
      <c r="DM134" s="61"/>
      <c r="DN134" s="61">
        <v>1</v>
      </c>
      <c r="DO134" s="61"/>
      <c r="DP134" s="61"/>
      <c r="DQ134" s="61"/>
      <c r="DR134" s="61"/>
      <c r="DS134" s="61"/>
      <c r="DT134" s="61"/>
      <c r="DU134" s="61"/>
      <c r="DV134" s="61"/>
      <c r="DW134" s="61"/>
      <c r="DX134" s="61"/>
      <c r="DY134" s="61"/>
      <c r="DZ134" s="61"/>
      <c r="EA134" s="61"/>
      <c r="EB134" s="61"/>
      <c r="EC134" s="61"/>
      <c r="ED134" s="61"/>
      <c r="EE134" s="61"/>
      <c r="EF134" s="61"/>
      <c r="EG134" s="61"/>
      <c r="EH134" s="61"/>
      <c r="EI134" s="61"/>
      <c r="EJ134" s="61"/>
      <c r="EK134" s="61"/>
      <c r="EL134" s="61"/>
      <c r="EM134" s="61"/>
      <c r="EN134" s="61"/>
      <c r="EO134" s="61"/>
      <c r="EP134" s="61"/>
      <c r="EQ134" s="61"/>
      <c r="ER134" s="61"/>
      <c r="ES134" s="61"/>
      <c r="ET134" s="61"/>
      <c r="EU134" s="61"/>
      <c r="EV134" s="61"/>
      <c r="EW134" s="61"/>
      <c r="EX134" s="61"/>
      <c r="EY134" s="61"/>
      <c r="EZ134" s="61"/>
      <c r="FA134" s="61"/>
      <c r="FB134" s="61"/>
      <c r="FC134" s="61"/>
      <c r="FD134" s="61"/>
      <c r="FE134" s="61"/>
      <c r="FF134" s="61"/>
      <c r="FG134" s="61"/>
      <c r="FH134" s="61"/>
      <c r="FI134" s="61"/>
      <c r="FJ134" s="61"/>
      <c r="FK134" s="61"/>
      <c r="FL134" s="61"/>
      <c r="FM134" s="61"/>
      <c r="FN134" s="61"/>
      <c r="FO134" s="61"/>
      <c r="FP134" s="61"/>
      <c r="FQ134" s="61"/>
      <c r="FR134" s="61"/>
      <c r="FS134" s="61"/>
      <c r="FT134" s="61"/>
      <c r="FU134" s="61"/>
      <c r="FV134" s="61"/>
      <c r="FW134" s="61"/>
      <c r="FX134" s="61"/>
      <c r="FY134" s="61"/>
      <c r="FZ134" s="61"/>
      <c r="GA134" s="61"/>
      <c r="GB134" s="61"/>
      <c r="GC134" s="61"/>
      <c r="GD134" s="61"/>
      <c r="GE134" s="61"/>
      <c r="GF134" s="61"/>
      <c r="GG134" s="61"/>
      <c r="GH134" s="61"/>
      <c r="GI134" s="61"/>
      <c r="GJ134" s="61"/>
      <c r="GK134" s="61"/>
      <c r="GL134" s="61"/>
      <c r="GM134" s="61"/>
      <c r="GN134" s="61"/>
      <c r="GO134" s="61"/>
      <c r="GP134" s="61"/>
      <c r="GQ134" s="61"/>
      <c r="GR134" s="61"/>
      <c r="GS134" s="61"/>
      <c r="GT134" s="61"/>
      <c r="GU134" s="61"/>
      <c r="GV134" s="61"/>
      <c r="GW134" s="61"/>
      <c r="GX134" s="61"/>
      <c r="GY134" s="61"/>
      <c r="GZ134" s="61"/>
      <c r="HA134" s="61"/>
      <c r="HB134" s="61"/>
      <c r="HC134" s="61"/>
      <c r="HD134" s="61"/>
      <c r="HE134" s="61"/>
      <c r="HF134" s="61"/>
      <c r="HG134" s="61"/>
      <c r="HH134" s="61"/>
      <c r="HI134" s="61"/>
      <c r="HJ134" s="61"/>
      <c r="HK134" s="61"/>
      <c r="HL134" s="61"/>
      <c r="HM134" s="61"/>
      <c r="HN134" s="61"/>
      <c r="HO134" s="61"/>
      <c r="HP134" s="61"/>
      <c r="HQ134" s="61"/>
      <c r="HR134" s="61"/>
      <c r="HS134" s="61"/>
      <c r="HT134" s="61"/>
      <c r="HU134" s="61"/>
      <c r="HV134" s="61"/>
      <c r="HW134" s="61"/>
      <c r="HX134" s="61"/>
      <c r="HY134" s="61"/>
      <c r="HZ134" s="61"/>
      <c r="IA134" s="61"/>
      <c r="IB134" s="61"/>
      <c r="IC134" s="61"/>
      <c r="ID134" s="61"/>
      <c r="IE134" s="61"/>
      <c r="IF134" s="61"/>
      <c r="IG134" s="61"/>
      <c r="IH134" s="61"/>
      <c r="II134" s="61"/>
      <c r="IJ134" s="61"/>
      <c r="IK134" s="61"/>
      <c r="IL134" s="61"/>
      <c r="IM134" s="61"/>
      <c r="IN134" s="61"/>
      <c r="IO134" s="61"/>
      <c r="IP134" s="61"/>
      <c r="IQ134" s="61"/>
      <c r="IR134" s="61"/>
      <c r="IS134" s="61"/>
      <c r="IT134" s="61"/>
      <c r="IU134" s="61"/>
      <c r="IV134" s="61"/>
      <c r="IW134" s="61"/>
      <c r="IX134" s="61"/>
      <c r="IY134" s="61"/>
      <c r="IZ134" s="61"/>
      <c r="JA134" s="61"/>
      <c r="JB134" s="61"/>
      <c r="JC134" s="61"/>
      <c r="JD134" s="61"/>
      <c r="JE134" s="61"/>
      <c r="JF134" s="61"/>
      <c r="JG134" s="61"/>
      <c r="JH134" s="61"/>
      <c r="JI134" s="61"/>
      <c r="JJ134" s="61"/>
      <c r="JK134" s="61"/>
      <c r="JL134" s="61"/>
      <c r="JM134" s="61"/>
      <c r="JN134" s="61"/>
      <c r="JO134" s="61"/>
      <c r="JP134" s="61"/>
      <c r="JQ134" s="61"/>
      <c r="JR134" s="61"/>
      <c r="JS134" s="61"/>
      <c r="JT134" s="61"/>
      <c r="JU134" s="61"/>
      <c r="JV134" s="61"/>
      <c r="JW134" s="61"/>
      <c r="JX134" s="61"/>
      <c r="JY134" s="61"/>
      <c r="JZ134" s="61"/>
      <c r="KA134" s="61"/>
      <c r="KB134" s="61"/>
      <c r="KC134" s="61"/>
      <c r="KD134" s="61"/>
      <c r="KE134" s="61"/>
      <c r="KF134" s="61"/>
      <c r="KG134" s="61"/>
      <c r="KH134" s="61"/>
      <c r="KI134" s="61"/>
      <c r="KJ134" s="61"/>
      <c r="KK134" s="61"/>
      <c r="KL134" s="61"/>
      <c r="KM134" s="61"/>
      <c r="KN134" s="61"/>
      <c r="KO134" s="61"/>
      <c r="KP134" s="61"/>
      <c r="KQ134" s="61"/>
      <c r="KR134" s="61"/>
      <c r="KS134" s="61"/>
      <c r="KT134" s="61"/>
      <c r="KU134" s="61"/>
      <c r="KV134" s="61"/>
      <c r="KW134" s="61"/>
      <c r="KX134" s="61"/>
      <c r="KY134" s="61"/>
      <c r="KZ134" s="61"/>
      <c r="LA134" s="61"/>
      <c r="LB134" s="61"/>
      <c r="LC134" s="61"/>
      <c r="LD134" s="61"/>
      <c r="LE134" s="61"/>
      <c r="LF134" s="61"/>
      <c r="LG134" s="61"/>
      <c r="LH134" s="61"/>
      <c r="LI134" s="61"/>
      <c r="LJ134" s="61"/>
      <c r="LK134" s="61"/>
      <c r="LL134" s="61"/>
      <c r="LM134" s="61"/>
      <c r="LN134" s="61"/>
      <c r="LO134" s="61"/>
      <c r="LP134" s="61"/>
      <c r="LQ134" s="61"/>
      <c r="LR134" s="61"/>
      <c r="LS134" s="61"/>
      <c r="LT134" s="61"/>
      <c r="LU134" s="61"/>
      <c r="LV134" s="61"/>
      <c r="LW134" s="61"/>
      <c r="LX134" s="61"/>
      <c r="LY134" s="61"/>
      <c r="LZ134" s="61"/>
      <c r="MA134" s="61"/>
      <c r="MB134" s="61"/>
      <c r="MC134" s="61"/>
      <c r="MD134" s="61"/>
      <c r="ME134" s="61"/>
      <c r="MF134" s="61"/>
      <c r="MG134" s="61"/>
      <c r="MH134" s="61"/>
      <c r="MI134" s="61"/>
      <c r="MJ134" s="61"/>
      <c r="MK134" s="61"/>
      <c r="ML134" s="61"/>
      <c r="MM134" s="61"/>
      <c r="MN134" s="61"/>
      <c r="MO134" s="61"/>
      <c r="MP134" s="61"/>
      <c r="MQ134" s="61"/>
      <c r="MR134" s="61"/>
      <c r="MS134" s="61"/>
      <c r="MT134" s="61"/>
      <c r="MU134" s="61"/>
      <c r="MV134" s="61"/>
      <c r="MW134" s="61"/>
      <c r="MX134" s="61"/>
      <c r="MY134" s="61"/>
      <c r="MZ134" s="61"/>
      <c r="NA134" s="61"/>
      <c r="NB134" s="61"/>
      <c r="NC134" s="61"/>
      <c r="ND134" s="61"/>
      <c r="NE134" s="61"/>
      <c r="NF134" s="61"/>
      <c r="NG134" s="61"/>
      <c r="NH134" s="61"/>
      <c r="NI134" s="61"/>
      <c r="NJ134" s="61"/>
      <c r="NK134" s="61"/>
      <c r="NL134" s="61"/>
      <c r="NM134" s="61"/>
      <c r="NN134" s="61"/>
      <c r="NO134" s="61"/>
      <c r="NP134" s="61"/>
      <c r="NQ134" s="61"/>
      <c r="NR134" s="61"/>
      <c r="NS134" s="61"/>
      <c r="NT134" s="61"/>
      <c r="NU134" s="61"/>
      <c r="NV134" s="61"/>
      <c r="NW134" s="61"/>
      <c r="NX134" s="61"/>
      <c r="NY134" s="61"/>
      <c r="NZ134" s="61"/>
      <c r="OA134" s="61"/>
      <c r="OB134" s="61"/>
      <c r="OC134" s="61"/>
      <c r="OD134" s="61"/>
      <c r="OE134" s="61"/>
      <c r="OF134" s="61"/>
      <c r="OG134" s="61"/>
      <c r="OH134" s="61"/>
      <c r="OI134" s="61"/>
      <c r="OJ134" s="61"/>
      <c r="OK134" s="61"/>
      <c r="OL134" s="61"/>
      <c r="OM134" s="61"/>
      <c r="ON134" s="61"/>
      <c r="OO134" s="61"/>
      <c r="OP134" s="61"/>
      <c r="OQ134" s="61"/>
      <c r="OR134" s="61"/>
      <c r="OS134" s="61"/>
      <c r="OT134" s="61"/>
      <c r="OU134" s="61"/>
      <c r="OV134" s="61"/>
      <c r="OW134" s="61"/>
      <c r="OX134" s="61"/>
      <c r="OY134" s="61"/>
      <c r="OZ134" s="61"/>
      <c r="PA134" s="61"/>
      <c r="PB134" s="61"/>
      <c r="PC134" s="61"/>
      <c r="PD134" s="61"/>
      <c r="PE134" s="61"/>
      <c r="PF134" s="61"/>
      <c r="PG134" s="61"/>
      <c r="PH134" s="61"/>
      <c r="PI134" s="61"/>
      <c r="PJ134" s="61"/>
      <c r="PK134" s="61"/>
      <c r="PL134" s="61"/>
      <c r="PM134" s="61"/>
      <c r="PN134" s="61"/>
      <c r="PO134" s="61"/>
      <c r="PP134" s="61"/>
      <c r="PQ134" s="61"/>
      <c r="PR134" s="61"/>
      <c r="PS134" s="61"/>
      <c r="PT134" s="61"/>
      <c r="PU134" s="61"/>
      <c r="PV134" s="61"/>
      <c r="PW134" s="61"/>
      <c r="PX134" s="61"/>
      <c r="PY134" s="61"/>
      <c r="PZ134" s="61"/>
      <c r="QA134" s="61"/>
      <c r="QB134" s="61"/>
      <c r="QC134" s="61"/>
      <c r="QD134" s="61"/>
      <c r="QE134" s="61"/>
      <c r="QF134" s="61"/>
      <c r="QG134" s="61"/>
      <c r="QH134" s="61"/>
      <c r="QI134" s="61"/>
      <c r="QJ134" s="61"/>
      <c r="QK134" s="61"/>
      <c r="QL134" s="61"/>
      <c r="QM134" s="61"/>
      <c r="QN134" s="61"/>
      <c r="QO134" s="61"/>
      <c r="QP134" s="61"/>
      <c r="QQ134" s="61"/>
      <c r="QR134" s="61"/>
      <c r="QS134" s="61"/>
      <c r="QT134" s="61"/>
      <c r="QU134" s="61"/>
      <c r="QV134" s="61"/>
      <c r="QW134" s="61"/>
      <c r="QX134" s="61"/>
      <c r="QY134" s="61"/>
      <c r="QZ134" s="61"/>
      <c r="RA134" s="61"/>
      <c r="RB134" s="61"/>
      <c r="RC134" s="61"/>
      <c r="RD134" s="17"/>
    </row>
    <row r="135" spans="1:472" s="5" customFormat="1" ht="15" hidden="1" customHeight="1" x14ac:dyDescent="0.25">
      <c r="A135" s="5">
        <v>2037</v>
      </c>
      <c r="B135" s="5" t="s">
        <v>522</v>
      </c>
      <c r="C135" s="5" t="s">
        <v>237</v>
      </c>
      <c r="D135" s="5">
        <v>5</v>
      </c>
      <c r="E135" s="36"/>
      <c r="F135" s="64" t="s">
        <v>216</v>
      </c>
      <c r="G135" s="65"/>
      <c r="H135" s="19"/>
      <c r="I135" s="61"/>
      <c r="J135" s="61"/>
      <c r="K135" s="61"/>
      <c r="L135" s="61"/>
      <c r="M135" s="61"/>
      <c r="N135" s="61"/>
      <c r="O135" s="61"/>
      <c r="P135" s="61"/>
      <c r="Q135" s="61"/>
      <c r="R135" s="61"/>
      <c r="S135" s="61"/>
      <c r="T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v>1</v>
      </c>
      <c r="DA135" s="61"/>
      <c r="DB135" s="61">
        <v>0</v>
      </c>
      <c r="DC135" s="61"/>
      <c r="DD135" s="61">
        <v>0</v>
      </c>
      <c r="DE135" s="61"/>
      <c r="DF135" s="61">
        <v>1</v>
      </c>
      <c r="DG135" s="61"/>
      <c r="DH135" s="61">
        <v>3</v>
      </c>
      <c r="DI135" s="61"/>
      <c r="DJ135" s="61">
        <v>3</v>
      </c>
      <c r="DK135" s="61"/>
      <c r="DL135" s="61">
        <v>3</v>
      </c>
      <c r="DM135" s="61"/>
      <c r="DN135" s="61">
        <v>2</v>
      </c>
      <c r="DO135" s="61"/>
      <c r="DP135" s="61">
        <v>1</v>
      </c>
      <c r="DQ135" s="61"/>
      <c r="DR135" s="61"/>
      <c r="DS135" s="61"/>
      <c r="DT135" s="61"/>
      <c r="DU135" s="61"/>
      <c r="DV135" s="61"/>
      <c r="DW135" s="61"/>
      <c r="DX135" s="61"/>
      <c r="DY135" s="61"/>
      <c r="DZ135" s="61"/>
      <c r="EA135" s="61"/>
      <c r="EB135" s="61"/>
      <c r="EC135" s="61"/>
      <c r="ED135" s="61"/>
      <c r="EE135" s="61"/>
      <c r="EF135" s="61"/>
      <c r="EG135" s="61"/>
      <c r="EH135" s="61"/>
      <c r="EI135" s="61"/>
      <c r="EJ135" s="61"/>
      <c r="EK135" s="61"/>
      <c r="EL135" s="61"/>
      <c r="EM135" s="61"/>
      <c r="EN135" s="61"/>
      <c r="EO135" s="61"/>
      <c r="EP135" s="61"/>
      <c r="EQ135" s="61"/>
      <c r="ER135" s="61"/>
      <c r="ES135" s="61"/>
      <c r="ET135" s="61"/>
      <c r="EU135" s="61"/>
      <c r="EV135" s="61"/>
      <c r="EW135" s="61"/>
      <c r="EX135" s="61"/>
      <c r="EY135" s="61"/>
      <c r="EZ135" s="61"/>
      <c r="FA135" s="61"/>
      <c r="FB135" s="61"/>
      <c r="FC135" s="61"/>
      <c r="FD135" s="61"/>
      <c r="FE135" s="61"/>
      <c r="FF135" s="61"/>
      <c r="FG135" s="61"/>
      <c r="FH135" s="61"/>
      <c r="FI135" s="61"/>
      <c r="FJ135" s="61"/>
      <c r="FK135" s="61"/>
      <c r="FL135" s="61"/>
      <c r="FM135" s="61"/>
      <c r="FN135" s="61"/>
      <c r="FO135" s="61"/>
      <c r="FP135" s="61"/>
      <c r="FQ135" s="61"/>
      <c r="FR135" s="61"/>
      <c r="FS135" s="61"/>
      <c r="FT135" s="61"/>
      <c r="FU135" s="61"/>
      <c r="FV135" s="61"/>
      <c r="FW135" s="61"/>
      <c r="FX135" s="61"/>
      <c r="FY135" s="61"/>
      <c r="FZ135" s="61"/>
      <c r="GA135" s="61"/>
      <c r="GB135" s="61"/>
      <c r="GC135" s="61"/>
      <c r="GD135" s="61"/>
      <c r="GE135" s="61"/>
      <c r="GF135" s="61"/>
      <c r="GG135" s="61"/>
      <c r="GH135" s="61"/>
      <c r="GI135" s="61"/>
      <c r="GJ135" s="61"/>
      <c r="GK135" s="61"/>
      <c r="GL135" s="61"/>
      <c r="GM135" s="61"/>
      <c r="GN135" s="61"/>
      <c r="GO135" s="61"/>
      <c r="GP135" s="61"/>
      <c r="GQ135" s="61"/>
      <c r="GR135" s="61"/>
      <c r="GS135" s="61"/>
      <c r="GT135" s="61"/>
      <c r="GU135" s="61"/>
      <c r="GV135" s="61"/>
      <c r="GW135" s="61"/>
      <c r="GX135" s="61"/>
      <c r="GY135" s="61"/>
      <c r="GZ135" s="61"/>
      <c r="HA135" s="61"/>
      <c r="HB135" s="61"/>
      <c r="HC135" s="61"/>
      <c r="HD135" s="61"/>
      <c r="HE135" s="61"/>
      <c r="HF135" s="61"/>
      <c r="HG135" s="61"/>
      <c r="HH135" s="61"/>
      <c r="HI135" s="61"/>
      <c r="HJ135" s="61"/>
      <c r="HK135" s="61"/>
      <c r="HL135" s="61"/>
      <c r="HM135" s="61"/>
      <c r="HN135" s="61"/>
      <c r="HO135" s="61"/>
      <c r="HP135" s="61"/>
      <c r="HQ135" s="61"/>
      <c r="HR135" s="61"/>
      <c r="HS135" s="61"/>
      <c r="HT135" s="61"/>
      <c r="HU135" s="61"/>
      <c r="HV135" s="61"/>
      <c r="HW135" s="61"/>
      <c r="HX135" s="61"/>
      <c r="HY135" s="61"/>
      <c r="HZ135" s="61"/>
      <c r="IA135" s="61"/>
      <c r="IB135" s="61"/>
      <c r="IC135" s="61"/>
      <c r="ID135" s="61"/>
      <c r="IE135" s="61"/>
      <c r="IF135" s="61"/>
      <c r="IG135" s="61"/>
      <c r="IH135" s="61"/>
      <c r="II135" s="61"/>
      <c r="IJ135" s="61"/>
      <c r="IK135" s="61"/>
      <c r="IL135" s="61"/>
      <c r="IM135" s="61"/>
      <c r="IN135" s="61"/>
      <c r="IO135" s="61"/>
      <c r="IP135" s="61"/>
      <c r="IQ135" s="61"/>
      <c r="IR135" s="61"/>
      <c r="IS135" s="61"/>
      <c r="IT135" s="61"/>
      <c r="IU135" s="61"/>
      <c r="IV135" s="61"/>
      <c r="IW135" s="61"/>
      <c r="IX135" s="61"/>
      <c r="IY135" s="61"/>
      <c r="IZ135" s="61"/>
      <c r="JA135" s="61"/>
      <c r="JB135" s="61"/>
      <c r="JC135" s="61"/>
      <c r="JD135" s="61"/>
      <c r="JE135" s="61"/>
      <c r="JF135" s="61"/>
      <c r="JG135" s="61"/>
      <c r="JH135" s="61"/>
      <c r="JI135" s="61"/>
      <c r="JJ135" s="61"/>
      <c r="JK135" s="61"/>
      <c r="JL135" s="61"/>
      <c r="JM135" s="61"/>
      <c r="JN135" s="61"/>
      <c r="JO135" s="61"/>
      <c r="JP135" s="61"/>
      <c r="JQ135" s="61"/>
      <c r="JR135" s="61"/>
      <c r="JS135" s="61"/>
      <c r="JT135" s="61"/>
      <c r="JU135" s="61"/>
      <c r="JV135" s="61"/>
      <c r="JW135" s="61"/>
      <c r="JX135" s="61"/>
      <c r="JY135" s="61"/>
      <c r="JZ135" s="61"/>
      <c r="KA135" s="61"/>
      <c r="KB135" s="61"/>
      <c r="KC135" s="61"/>
      <c r="KD135" s="61"/>
      <c r="KE135" s="61"/>
      <c r="KF135" s="61"/>
      <c r="KG135" s="61"/>
      <c r="KH135" s="61"/>
      <c r="KI135" s="61"/>
      <c r="KJ135" s="61"/>
      <c r="KK135" s="61"/>
      <c r="KL135" s="61"/>
      <c r="KM135" s="61"/>
      <c r="KN135" s="61"/>
      <c r="KO135" s="61"/>
      <c r="KP135" s="61"/>
      <c r="KQ135" s="61"/>
      <c r="KR135" s="61"/>
      <c r="KS135" s="61"/>
      <c r="KT135" s="61"/>
      <c r="KU135" s="61"/>
      <c r="KV135" s="61"/>
      <c r="KW135" s="61"/>
      <c r="KX135" s="61"/>
      <c r="KY135" s="61"/>
      <c r="KZ135" s="61"/>
      <c r="LA135" s="61"/>
      <c r="LB135" s="61"/>
      <c r="LC135" s="61"/>
      <c r="LD135" s="61"/>
      <c r="LE135" s="61"/>
      <c r="LF135" s="61"/>
      <c r="LG135" s="61"/>
      <c r="LH135" s="61"/>
      <c r="LI135" s="61"/>
      <c r="LJ135" s="61"/>
      <c r="LK135" s="61"/>
      <c r="LL135" s="61"/>
      <c r="LM135" s="61"/>
      <c r="LN135" s="61"/>
      <c r="LO135" s="61"/>
      <c r="LP135" s="61"/>
      <c r="LQ135" s="61"/>
      <c r="LR135" s="61"/>
      <c r="LS135" s="61"/>
      <c r="LT135" s="61"/>
      <c r="LU135" s="61"/>
      <c r="LV135" s="61"/>
      <c r="LW135" s="61"/>
      <c r="LX135" s="61"/>
      <c r="LY135" s="61"/>
      <c r="LZ135" s="61"/>
      <c r="MA135" s="61"/>
      <c r="MB135" s="61"/>
      <c r="MC135" s="61"/>
      <c r="MD135" s="61"/>
      <c r="ME135" s="61"/>
      <c r="MF135" s="61"/>
      <c r="MG135" s="61"/>
      <c r="MH135" s="61"/>
      <c r="MI135" s="61"/>
      <c r="MJ135" s="61"/>
      <c r="MK135" s="61"/>
      <c r="ML135" s="61"/>
      <c r="MM135" s="61"/>
      <c r="MN135" s="61"/>
      <c r="MO135" s="61"/>
      <c r="MP135" s="61"/>
      <c r="MQ135" s="61"/>
      <c r="MR135" s="61"/>
      <c r="MS135" s="61"/>
      <c r="MT135" s="61"/>
      <c r="MU135" s="61"/>
      <c r="MV135" s="61"/>
      <c r="MW135" s="61"/>
      <c r="MX135" s="61"/>
      <c r="MY135" s="61"/>
      <c r="MZ135" s="61"/>
      <c r="NA135" s="61"/>
      <c r="NB135" s="61"/>
      <c r="NC135" s="61"/>
      <c r="ND135" s="61"/>
      <c r="NE135" s="61"/>
      <c r="NF135" s="61"/>
      <c r="NG135" s="61"/>
      <c r="NH135" s="61"/>
      <c r="NI135" s="61"/>
      <c r="NJ135" s="61"/>
      <c r="NK135" s="61"/>
      <c r="NL135" s="61"/>
      <c r="NM135" s="61"/>
      <c r="NN135" s="61"/>
      <c r="NO135" s="61"/>
      <c r="NP135" s="61"/>
      <c r="NQ135" s="61"/>
      <c r="NR135" s="61"/>
      <c r="NS135" s="61"/>
      <c r="NT135" s="61"/>
      <c r="NU135" s="61"/>
      <c r="NV135" s="61"/>
      <c r="NW135" s="61"/>
      <c r="NX135" s="61"/>
      <c r="NY135" s="61"/>
      <c r="NZ135" s="61"/>
      <c r="OA135" s="61"/>
      <c r="OB135" s="61"/>
      <c r="OC135" s="61"/>
      <c r="OD135" s="61"/>
      <c r="OE135" s="61"/>
      <c r="OF135" s="61"/>
      <c r="OG135" s="61"/>
      <c r="OH135" s="61"/>
      <c r="OI135" s="61"/>
      <c r="OJ135" s="61"/>
      <c r="OK135" s="61"/>
      <c r="OL135" s="61"/>
      <c r="OM135" s="61"/>
      <c r="ON135" s="61"/>
      <c r="OO135" s="61"/>
      <c r="OP135" s="61"/>
      <c r="OQ135" s="61"/>
      <c r="OR135" s="61"/>
      <c r="OS135" s="61"/>
      <c r="OT135" s="61"/>
      <c r="OU135" s="61"/>
      <c r="OV135" s="61"/>
      <c r="OW135" s="61"/>
      <c r="OX135" s="61"/>
      <c r="OY135" s="61"/>
      <c r="OZ135" s="61"/>
      <c r="PA135" s="61"/>
      <c r="PB135" s="61"/>
      <c r="PC135" s="61"/>
      <c r="PD135" s="61"/>
      <c r="PE135" s="61"/>
      <c r="PF135" s="61"/>
      <c r="PG135" s="61"/>
      <c r="PH135" s="61"/>
      <c r="PI135" s="61"/>
      <c r="PJ135" s="61"/>
      <c r="PK135" s="61"/>
      <c r="PL135" s="61"/>
      <c r="PM135" s="61"/>
      <c r="PN135" s="61"/>
      <c r="PO135" s="61"/>
      <c r="PP135" s="61"/>
      <c r="PQ135" s="61"/>
      <c r="PR135" s="61"/>
      <c r="PS135" s="61"/>
      <c r="PT135" s="61"/>
      <c r="PU135" s="61"/>
      <c r="PV135" s="61"/>
      <c r="PW135" s="61"/>
      <c r="PX135" s="61"/>
      <c r="PY135" s="61"/>
      <c r="PZ135" s="61"/>
      <c r="QA135" s="61"/>
      <c r="QB135" s="61"/>
      <c r="QC135" s="61"/>
      <c r="QD135" s="61"/>
      <c r="QE135" s="61"/>
      <c r="QF135" s="61"/>
      <c r="QG135" s="61"/>
      <c r="QH135" s="61"/>
      <c r="QI135" s="61"/>
      <c r="QJ135" s="61"/>
      <c r="QK135" s="61"/>
      <c r="QL135" s="61"/>
      <c r="QM135" s="61"/>
      <c r="QN135" s="61"/>
      <c r="QO135" s="61"/>
      <c r="QP135" s="61"/>
      <c r="QQ135" s="61"/>
      <c r="QR135" s="61"/>
      <c r="QS135" s="61"/>
      <c r="QT135" s="61"/>
      <c r="QU135" s="61"/>
      <c r="QV135" s="61"/>
      <c r="QW135" s="61"/>
      <c r="QX135" s="61"/>
      <c r="QY135" s="61"/>
      <c r="QZ135" s="61"/>
      <c r="RA135" s="61"/>
      <c r="RB135" s="61"/>
      <c r="RC135" s="61"/>
      <c r="RD135" s="17"/>
    </row>
    <row r="136" spans="1:472" s="5" customFormat="1" ht="15" hidden="1" customHeight="1" x14ac:dyDescent="0.25">
      <c r="A136" s="5">
        <v>2049</v>
      </c>
      <c r="B136" s="5" t="s">
        <v>335</v>
      </c>
      <c r="C136" s="5" t="s">
        <v>4</v>
      </c>
      <c r="D136" s="5">
        <v>296</v>
      </c>
      <c r="E136" s="36" t="s">
        <v>334</v>
      </c>
      <c r="F136" s="64" t="s">
        <v>216</v>
      </c>
      <c r="G136" s="65"/>
      <c r="H136" s="19"/>
      <c r="I136" s="61"/>
      <c r="J136" s="61"/>
      <c r="K136" s="61"/>
      <c r="L136" s="61"/>
      <c r="M136" s="61"/>
      <c r="N136" s="61"/>
      <c r="O136" s="61"/>
      <c r="P136" s="61"/>
      <c r="Q136" s="61"/>
      <c r="R136" s="61"/>
      <c r="S136" s="61"/>
      <c r="T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v>6</v>
      </c>
      <c r="BU136" s="61"/>
      <c r="BV136" s="61"/>
      <c r="BW136" s="61"/>
      <c r="BX136" s="61">
        <v>4</v>
      </c>
      <c r="BY136" s="61"/>
      <c r="BZ136" s="61"/>
      <c r="CA136" s="61"/>
      <c r="CB136" s="61"/>
      <c r="CC136" s="61"/>
      <c r="CD136" s="61"/>
      <c r="CE136" s="61"/>
      <c r="CF136" s="61"/>
      <c r="CG136" s="61"/>
      <c r="CH136" s="61"/>
      <c r="CI136" s="61"/>
      <c r="CJ136" s="61"/>
      <c r="CK136" s="61"/>
      <c r="CL136" s="61">
        <v>3</v>
      </c>
      <c r="CM136" s="61"/>
      <c r="CN136" s="61">
        <v>1</v>
      </c>
      <c r="CO136" s="61"/>
      <c r="CP136" s="61">
        <v>3</v>
      </c>
      <c r="CQ136" s="61"/>
      <c r="CR136" s="61">
        <v>10</v>
      </c>
      <c r="CS136" s="61"/>
      <c r="CT136" s="61">
        <v>10</v>
      </c>
      <c r="CU136" s="61"/>
      <c r="CV136" s="61">
        <v>10</v>
      </c>
      <c r="CW136" s="61"/>
      <c r="CX136" s="61">
        <v>10</v>
      </c>
      <c r="CY136" s="61"/>
      <c r="CZ136" s="61">
        <v>6</v>
      </c>
      <c r="DA136" s="61"/>
      <c r="DB136" s="61">
        <v>5</v>
      </c>
      <c r="DC136" s="61"/>
      <c r="DD136" s="61">
        <v>8</v>
      </c>
      <c r="DE136" s="61"/>
      <c r="DF136" s="61">
        <v>9</v>
      </c>
      <c r="DG136" s="61"/>
      <c r="DH136" s="61">
        <v>8</v>
      </c>
      <c r="DI136" s="61"/>
      <c r="DJ136" s="61">
        <v>6</v>
      </c>
      <c r="DK136" s="61"/>
      <c r="DL136" s="61">
        <v>3</v>
      </c>
      <c r="DM136" s="61"/>
      <c r="DN136" s="61">
        <v>3</v>
      </c>
      <c r="DO136" s="61"/>
      <c r="DP136" s="61">
        <v>2</v>
      </c>
      <c r="DQ136" s="61"/>
      <c r="DR136" s="61">
        <v>1</v>
      </c>
      <c r="DS136" s="61"/>
      <c r="DT136" s="61"/>
      <c r="DU136" s="61"/>
      <c r="DV136" s="61"/>
      <c r="DW136" s="61"/>
      <c r="DX136" s="61"/>
      <c r="DY136" s="61"/>
      <c r="DZ136" s="61"/>
      <c r="EA136" s="61"/>
      <c r="EB136" s="61"/>
      <c r="EC136" s="61"/>
      <c r="ED136" s="61"/>
      <c r="EE136" s="61"/>
      <c r="EF136" s="61"/>
      <c r="EG136" s="61"/>
      <c r="EH136" s="61"/>
      <c r="EI136" s="61"/>
      <c r="EJ136" s="61"/>
      <c r="EK136" s="61"/>
      <c r="EL136" s="61"/>
      <c r="EM136" s="61"/>
      <c r="EN136" s="61"/>
      <c r="EO136" s="61"/>
      <c r="EP136" s="61"/>
      <c r="EQ136" s="61"/>
      <c r="ER136" s="61"/>
      <c r="ES136" s="61"/>
      <c r="ET136" s="61"/>
      <c r="EU136" s="61"/>
      <c r="EV136" s="61"/>
      <c r="EW136" s="61"/>
      <c r="EX136" s="61"/>
      <c r="EY136" s="61"/>
      <c r="EZ136" s="61"/>
      <c r="FA136" s="61"/>
      <c r="FB136" s="61"/>
      <c r="FC136" s="61"/>
      <c r="FD136" s="61"/>
      <c r="FE136" s="61"/>
      <c r="FF136" s="61"/>
      <c r="FG136" s="61"/>
      <c r="FH136" s="61"/>
      <c r="FI136" s="61"/>
      <c r="FJ136" s="61"/>
      <c r="FK136" s="61"/>
      <c r="FL136" s="61"/>
      <c r="FM136" s="61"/>
      <c r="FN136" s="61"/>
      <c r="FO136" s="61"/>
      <c r="FP136" s="61"/>
      <c r="FQ136" s="61"/>
      <c r="FR136" s="61"/>
      <c r="FS136" s="61"/>
      <c r="FT136" s="61"/>
      <c r="FU136" s="61"/>
      <c r="FV136" s="61"/>
      <c r="FW136" s="61"/>
      <c r="FX136" s="61"/>
      <c r="FY136" s="61"/>
      <c r="FZ136" s="61"/>
      <c r="GA136" s="61"/>
      <c r="GB136" s="61"/>
      <c r="GC136" s="61"/>
      <c r="GD136" s="61"/>
      <c r="GE136" s="61"/>
      <c r="GF136" s="61"/>
      <c r="GG136" s="61"/>
      <c r="GH136" s="61"/>
      <c r="GI136" s="61"/>
      <c r="GJ136" s="61"/>
      <c r="GK136" s="61"/>
      <c r="GL136" s="61"/>
      <c r="GM136" s="61"/>
      <c r="GN136" s="61"/>
      <c r="GO136" s="61"/>
      <c r="GP136" s="61"/>
      <c r="GQ136" s="61"/>
      <c r="GR136" s="61"/>
      <c r="GS136" s="61"/>
      <c r="GT136" s="61"/>
      <c r="GU136" s="61"/>
      <c r="GV136" s="61"/>
      <c r="GW136" s="61"/>
      <c r="GX136" s="61"/>
      <c r="GY136" s="61"/>
      <c r="GZ136" s="61"/>
      <c r="HA136" s="61"/>
      <c r="HB136" s="61"/>
      <c r="HC136" s="61"/>
      <c r="HD136" s="61"/>
      <c r="HE136" s="61"/>
      <c r="HF136" s="61"/>
      <c r="HG136" s="61"/>
      <c r="HH136" s="61"/>
      <c r="HI136" s="61"/>
      <c r="HJ136" s="61"/>
      <c r="HK136" s="61"/>
      <c r="HL136" s="61"/>
      <c r="HM136" s="61"/>
      <c r="HN136" s="61"/>
      <c r="HO136" s="61"/>
      <c r="HP136" s="61"/>
      <c r="HQ136" s="61"/>
      <c r="HR136" s="61"/>
      <c r="HS136" s="61"/>
      <c r="HT136" s="61"/>
      <c r="HU136" s="61"/>
      <c r="HV136" s="61"/>
      <c r="HW136" s="61"/>
      <c r="HX136" s="61"/>
      <c r="HY136" s="61"/>
      <c r="HZ136" s="61"/>
      <c r="IA136" s="61"/>
      <c r="IB136" s="61"/>
      <c r="IC136" s="61"/>
      <c r="ID136" s="61"/>
      <c r="IE136" s="61"/>
      <c r="IF136" s="61"/>
      <c r="IG136" s="61"/>
      <c r="IH136" s="61"/>
      <c r="II136" s="61"/>
      <c r="IJ136" s="61"/>
      <c r="IK136" s="61"/>
      <c r="IL136" s="61"/>
      <c r="IM136" s="61"/>
      <c r="IN136" s="61"/>
      <c r="IO136" s="61"/>
      <c r="IP136" s="61"/>
      <c r="IQ136" s="61"/>
      <c r="IR136" s="61"/>
      <c r="IS136" s="61"/>
      <c r="IT136" s="61"/>
      <c r="IU136" s="61"/>
      <c r="IV136" s="61"/>
      <c r="IW136" s="61"/>
      <c r="IX136" s="61"/>
      <c r="IY136" s="61"/>
      <c r="IZ136" s="61"/>
      <c r="JA136" s="61"/>
      <c r="JB136" s="61"/>
      <c r="JC136" s="61"/>
      <c r="JD136" s="61"/>
      <c r="JE136" s="61"/>
      <c r="JF136" s="61"/>
      <c r="JG136" s="61"/>
      <c r="JH136" s="61"/>
      <c r="JI136" s="61"/>
      <c r="JJ136" s="61"/>
      <c r="JK136" s="61"/>
      <c r="JL136" s="61"/>
      <c r="JM136" s="61"/>
      <c r="JN136" s="61"/>
      <c r="JO136" s="61"/>
      <c r="JP136" s="61"/>
      <c r="JQ136" s="61"/>
      <c r="JR136" s="61"/>
      <c r="JS136" s="61"/>
      <c r="JT136" s="61"/>
      <c r="JU136" s="61"/>
      <c r="JV136" s="61"/>
      <c r="JW136" s="61"/>
      <c r="JX136" s="61"/>
      <c r="JY136" s="61"/>
      <c r="JZ136" s="61"/>
      <c r="KA136" s="61"/>
      <c r="KB136" s="61"/>
      <c r="KC136" s="61"/>
      <c r="KD136" s="61"/>
      <c r="KE136" s="61"/>
      <c r="KF136" s="61"/>
      <c r="KG136" s="61"/>
      <c r="KH136" s="61"/>
      <c r="KI136" s="61"/>
      <c r="KJ136" s="61"/>
      <c r="KK136" s="61"/>
      <c r="KL136" s="61"/>
      <c r="KM136" s="61"/>
      <c r="KN136" s="61"/>
      <c r="KO136" s="61"/>
      <c r="KP136" s="61"/>
      <c r="KQ136" s="61"/>
      <c r="KR136" s="61"/>
      <c r="KS136" s="61"/>
      <c r="KT136" s="61"/>
      <c r="KU136" s="61"/>
      <c r="KV136" s="61"/>
      <c r="KW136" s="61"/>
      <c r="KX136" s="61"/>
      <c r="KY136" s="61"/>
      <c r="KZ136" s="61"/>
      <c r="LA136" s="61"/>
      <c r="LB136" s="61"/>
      <c r="LC136" s="61"/>
      <c r="LD136" s="61"/>
      <c r="LE136" s="61"/>
      <c r="LF136" s="61"/>
      <c r="LG136" s="61"/>
      <c r="LH136" s="61"/>
      <c r="LI136" s="61"/>
      <c r="LJ136" s="61"/>
      <c r="LK136" s="61"/>
      <c r="LL136" s="61"/>
      <c r="LM136" s="61"/>
      <c r="LN136" s="61"/>
      <c r="LO136" s="61"/>
      <c r="LP136" s="61"/>
      <c r="LQ136" s="61"/>
      <c r="LR136" s="61"/>
      <c r="LS136" s="61"/>
      <c r="LT136" s="61"/>
      <c r="LU136" s="61"/>
      <c r="LV136" s="61"/>
      <c r="LW136" s="61"/>
      <c r="LX136" s="61"/>
      <c r="LY136" s="61"/>
      <c r="LZ136" s="61"/>
      <c r="MA136" s="61"/>
      <c r="MB136" s="61"/>
      <c r="MC136" s="61"/>
      <c r="MD136" s="61"/>
      <c r="ME136" s="61"/>
      <c r="MF136" s="61"/>
      <c r="MG136" s="61"/>
      <c r="MH136" s="61"/>
      <c r="MI136" s="61"/>
      <c r="MJ136" s="61"/>
      <c r="MK136" s="61"/>
      <c r="ML136" s="61"/>
      <c r="MM136" s="61"/>
      <c r="MN136" s="61"/>
      <c r="MO136" s="61"/>
      <c r="MP136" s="61"/>
      <c r="MQ136" s="61"/>
      <c r="MR136" s="61"/>
      <c r="MS136" s="61"/>
      <c r="MT136" s="61"/>
      <c r="MU136" s="61"/>
      <c r="MV136" s="61"/>
      <c r="MW136" s="61"/>
      <c r="MX136" s="61"/>
      <c r="MY136" s="61"/>
      <c r="MZ136" s="61"/>
      <c r="NA136" s="61"/>
      <c r="NB136" s="61"/>
      <c r="NC136" s="61"/>
      <c r="ND136" s="61"/>
      <c r="NE136" s="61"/>
      <c r="NF136" s="61"/>
      <c r="NG136" s="61"/>
      <c r="NH136" s="61"/>
      <c r="NI136" s="61"/>
      <c r="NJ136" s="61"/>
      <c r="NK136" s="61"/>
      <c r="NL136" s="61"/>
      <c r="NM136" s="61"/>
      <c r="NN136" s="61"/>
      <c r="NO136" s="61"/>
      <c r="NP136" s="61"/>
      <c r="NQ136" s="61"/>
      <c r="NR136" s="61"/>
      <c r="NS136" s="61"/>
      <c r="NT136" s="61"/>
      <c r="NU136" s="61"/>
      <c r="NV136" s="61"/>
      <c r="NW136" s="61"/>
      <c r="NX136" s="61"/>
      <c r="NY136" s="61"/>
      <c r="NZ136" s="61"/>
      <c r="OA136" s="61"/>
      <c r="OB136" s="61"/>
      <c r="OC136" s="61"/>
      <c r="OD136" s="61"/>
      <c r="OE136" s="61"/>
      <c r="OF136" s="61"/>
      <c r="OG136" s="61"/>
      <c r="OH136" s="61"/>
      <c r="OI136" s="61"/>
      <c r="OJ136" s="61"/>
      <c r="OK136" s="61"/>
      <c r="OL136" s="61"/>
      <c r="OM136" s="61"/>
      <c r="ON136" s="61"/>
      <c r="OO136" s="61"/>
      <c r="OP136" s="61"/>
      <c r="OQ136" s="61"/>
      <c r="OR136" s="61"/>
      <c r="OS136" s="61"/>
      <c r="OT136" s="61"/>
      <c r="OU136" s="61"/>
      <c r="OV136" s="61"/>
      <c r="OW136" s="61"/>
      <c r="OX136" s="61"/>
      <c r="OY136" s="61"/>
      <c r="OZ136" s="61"/>
      <c r="PA136" s="61"/>
      <c r="PB136" s="61"/>
      <c r="PC136" s="61"/>
      <c r="PD136" s="61"/>
      <c r="PE136" s="61"/>
      <c r="PF136" s="61"/>
      <c r="PG136" s="61"/>
      <c r="PH136" s="61"/>
      <c r="PI136" s="61"/>
      <c r="PJ136" s="61"/>
      <c r="PK136" s="61"/>
      <c r="PL136" s="61"/>
      <c r="PM136" s="61"/>
      <c r="PN136" s="61"/>
      <c r="PO136" s="61"/>
      <c r="PP136" s="61"/>
      <c r="PQ136" s="61"/>
      <c r="PR136" s="61"/>
      <c r="PS136" s="61"/>
      <c r="PT136" s="61"/>
      <c r="PU136" s="61"/>
      <c r="PV136" s="61"/>
      <c r="PW136" s="61"/>
      <c r="PX136" s="61"/>
      <c r="PY136" s="61"/>
      <c r="PZ136" s="61"/>
      <c r="QA136" s="61"/>
      <c r="QB136" s="61"/>
      <c r="QC136" s="61"/>
      <c r="QD136" s="61"/>
      <c r="QE136" s="61"/>
      <c r="QF136" s="61"/>
      <c r="QG136" s="61"/>
      <c r="QH136" s="61"/>
      <c r="QI136" s="61"/>
      <c r="QJ136" s="61"/>
      <c r="QK136" s="61"/>
      <c r="QL136" s="61"/>
      <c r="QM136" s="61"/>
      <c r="QN136" s="61"/>
      <c r="QO136" s="61"/>
      <c r="QP136" s="61"/>
      <c r="QQ136" s="61"/>
      <c r="QR136" s="61"/>
      <c r="QS136" s="61"/>
      <c r="QT136" s="61"/>
      <c r="QU136" s="61"/>
      <c r="QV136" s="61"/>
      <c r="QW136" s="61"/>
      <c r="QX136" s="61"/>
      <c r="QY136" s="61"/>
      <c r="QZ136" s="61"/>
      <c r="RA136" s="61"/>
      <c r="RB136" s="61"/>
      <c r="RC136" s="61"/>
      <c r="RD136" s="17"/>
    </row>
    <row r="137" spans="1:472" s="5" customFormat="1" ht="15" hidden="1" customHeight="1" x14ac:dyDescent="0.25">
      <c r="A137" s="5">
        <v>2045</v>
      </c>
      <c r="B137" s="5" t="s">
        <v>367</v>
      </c>
      <c r="C137" s="5" t="s">
        <v>369</v>
      </c>
      <c r="D137" s="5">
        <v>158</v>
      </c>
      <c r="E137" s="36" t="s">
        <v>334</v>
      </c>
      <c r="F137" s="64" t="s">
        <v>216</v>
      </c>
      <c r="G137" s="65"/>
      <c r="H137" s="19"/>
      <c r="I137" s="61"/>
      <c r="J137" s="61"/>
      <c r="K137" s="61"/>
      <c r="L137" s="61"/>
      <c r="M137" s="61"/>
      <c r="N137" s="61"/>
      <c r="O137" s="61"/>
      <c r="P137" s="61"/>
      <c r="Q137" s="61"/>
      <c r="R137" s="61"/>
      <c r="S137" s="61"/>
      <c r="T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v>2</v>
      </c>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v>2</v>
      </c>
      <c r="CQ137" s="61"/>
      <c r="CR137" s="61">
        <v>3</v>
      </c>
      <c r="CS137" s="61"/>
      <c r="CT137" s="61">
        <v>5</v>
      </c>
      <c r="CU137" s="61"/>
      <c r="CV137" s="61">
        <v>8</v>
      </c>
      <c r="CW137" s="61"/>
      <c r="CX137" s="61">
        <v>10</v>
      </c>
      <c r="CY137" s="61"/>
      <c r="CZ137" s="61">
        <v>10</v>
      </c>
      <c r="DA137" s="61"/>
      <c r="DB137" s="61">
        <v>8</v>
      </c>
      <c r="DC137" s="61"/>
      <c r="DD137" s="61">
        <v>8</v>
      </c>
      <c r="DE137" s="61"/>
      <c r="DF137" s="61">
        <v>9</v>
      </c>
      <c r="DG137" s="61"/>
      <c r="DH137" s="61">
        <v>7</v>
      </c>
      <c r="DI137" s="61"/>
      <c r="DJ137" s="61">
        <v>5</v>
      </c>
      <c r="DK137" s="61"/>
      <c r="DL137" s="61">
        <v>3</v>
      </c>
      <c r="DM137" s="61"/>
      <c r="DN137" s="61">
        <v>2</v>
      </c>
      <c r="DO137" s="61"/>
      <c r="DP137" s="61">
        <v>3</v>
      </c>
      <c r="DQ137" s="61"/>
      <c r="DR137" s="61">
        <v>3</v>
      </c>
      <c r="DS137" s="61"/>
      <c r="DT137" s="61">
        <v>3</v>
      </c>
      <c r="DU137" s="61"/>
      <c r="DV137" s="61">
        <v>1</v>
      </c>
      <c r="DW137" s="61"/>
      <c r="DX137" s="61">
        <v>1</v>
      </c>
      <c r="DY137" s="61"/>
      <c r="DZ137" s="61"/>
      <c r="EA137" s="61"/>
      <c r="EB137" s="61"/>
      <c r="EC137" s="61"/>
      <c r="ED137" s="61"/>
      <c r="EE137" s="61"/>
      <c r="EF137" s="61"/>
      <c r="EG137" s="61"/>
      <c r="EH137" s="61"/>
      <c r="EI137" s="61"/>
      <c r="EJ137" s="61"/>
      <c r="EK137" s="61"/>
      <c r="EL137" s="61"/>
      <c r="EM137" s="61"/>
      <c r="EN137" s="61"/>
      <c r="EO137" s="61"/>
      <c r="EP137" s="61"/>
      <c r="EQ137" s="61"/>
      <c r="ER137" s="61"/>
      <c r="ES137" s="61"/>
      <c r="ET137" s="61"/>
      <c r="EU137" s="61"/>
      <c r="EV137" s="61"/>
      <c r="EW137" s="61"/>
      <c r="EX137" s="61"/>
      <c r="EY137" s="61"/>
      <c r="EZ137" s="61"/>
      <c r="FA137" s="61"/>
      <c r="FB137" s="61"/>
      <c r="FC137" s="61"/>
      <c r="FD137" s="61"/>
      <c r="FE137" s="61"/>
      <c r="FF137" s="61"/>
      <c r="FG137" s="61"/>
      <c r="FH137" s="61"/>
      <c r="FI137" s="61"/>
      <c r="FJ137" s="61"/>
      <c r="FK137" s="61"/>
      <c r="FL137" s="61"/>
      <c r="FM137" s="61"/>
      <c r="FN137" s="61"/>
      <c r="FO137" s="61"/>
      <c r="FP137" s="61"/>
      <c r="FQ137" s="61"/>
      <c r="FR137" s="61"/>
      <c r="FS137" s="61"/>
      <c r="FT137" s="61"/>
      <c r="FU137" s="61"/>
      <c r="FV137" s="61"/>
      <c r="FW137" s="61"/>
      <c r="FX137" s="61"/>
      <c r="FY137" s="61"/>
      <c r="FZ137" s="61"/>
      <c r="GA137" s="61"/>
      <c r="GB137" s="61"/>
      <c r="GC137" s="61"/>
      <c r="GD137" s="61"/>
      <c r="GE137" s="61"/>
      <c r="GF137" s="61"/>
      <c r="GG137" s="61"/>
      <c r="GH137" s="61"/>
      <c r="GI137" s="61"/>
      <c r="GJ137" s="61"/>
      <c r="GK137" s="61"/>
      <c r="GL137" s="61"/>
      <c r="GM137" s="61"/>
      <c r="GN137" s="61"/>
      <c r="GO137" s="61"/>
      <c r="GP137" s="61"/>
      <c r="GQ137" s="61"/>
      <c r="GR137" s="61"/>
      <c r="GS137" s="61"/>
      <c r="GT137" s="61"/>
      <c r="GU137" s="61"/>
      <c r="GV137" s="61"/>
      <c r="GW137" s="61"/>
      <c r="GX137" s="61"/>
      <c r="GY137" s="61"/>
      <c r="GZ137" s="61"/>
      <c r="HA137" s="61"/>
      <c r="HB137" s="61"/>
      <c r="HC137" s="61"/>
      <c r="HD137" s="61"/>
      <c r="HE137" s="61"/>
      <c r="HF137" s="61"/>
      <c r="HG137" s="61"/>
      <c r="HH137" s="61"/>
      <c r="HI137" s="61"/>
      <c r="HJ137" s="61"/>
      <c r="HK137" s="61"/>
      <c r="HL137" s="61"/>
      <c r="HM137" s="61"/>
      <c r="HN137" s="61"/>
      <c r="HO137" s="61"/>
      <c r="HP137" s="61"/>
      <c r="HQ137" s="61"/>
      <c r="HR137" s="61"/>
      <c r="HS137" s="61"/>
      <c r="HT137" s="61"/>
      <c r="HU137" s="61"/>
      <c r="HV137" s="61"/>
      <c r="HW137" s="61"/>
      <c r="HX137" s="61"/>
      <c r="HY137" s="61"/>
      <c r="HZ137" s="61"/>
      <c r="IA137" s="61"/>
      <c r="IB137" s="61"/>
      <c r="IC137" s="61"/>
      <c r="ID137" s="61"/>
      <c r="IE137" s="61"/>
      <c r="IF137" s="61"/>
      <c r="IG137" s="61"/>
      <c r="IH137" s="61"/>
      <c r="II137" s="61"/>
      <c r="IJ137" s="61"/>
      <c r="IK137" s="61"/>
      <c r="IL137" s="61"/>
      <c r="IM137" s="61"/>
      <c r="IN137" s="61"/>
      <c r="IO137" s="61"/>
      <c r="IP137" s="61"/>
      <c r="IQ137" s="61"/>
      <c r="IR137" s="61"/>
      <c r="IS137" s="61"/>
      <c r="IT137" s="61"/>
      <c r="IU137" s="61"/>
      <c r="IV137" s="61"/>
      <c r="IW137" s="61"/>
      <c r="IX137" s="61"/>
      <c r="IY137" s="61"/>
      <c r="IZ137" s="61"/>
      <c r="JA137" s="61"/>
      <c r="JB137" s="61"/>
      <c r="JC137" s="61"/>
      <c r="JD137" s="61"/>
      <c r="JE137" s="61"/>
      <c r="JF137" s="61"/>
      <c r="JG137" s="61"/>
      <c r="JH137" s="61"/>
      <c r="JI137" s="61"/>
      <c r="JJ137" s="61"/>
      <c r="JK137" s="61"/>
      <c r="JL137" s="61"/>
      <c r="JM137" s="61"/>
      <c r="JN137" s="61"/>
      <c r="JO137" s="61"/>
      <c r="JP137" s="61"/>
      <c r="JQ137" s="61"/>
      <c r="JR137" s="61"/>
      <c r="JS137" s="61"/>
      <c r="JT137" s="61"/>
      <c r="JU137" s="61"/>
      <c r="JV137" s="61"/>
      <c r="JW137" s="61"/>
      <c r="JX137" s="61"/>
      <c r="JY137" s="61"/>
      <c r="JZ137" s="61"/>
      <c r="KA137" s="61"/>
      <c r="KB137" s="61"/>
      <c r="KC137" s="61"/>
      <c r="KD137" s="61"/>
      <c r="KE137" s="61"/>
      <c r="KF137" s="61"/>
      <c r="KG137" s="61"/>
      <c r="KH137" s="61"/>
      <c r="KI137" s="61"/>
      <c r="KJ137" s="61"/>
      <c r="KK137" s="61"/>
      <c r="KL137" s="61"/>
      <c r="KM137" s="61"/>
      <c r="KN137" s="61"/>
      <c r="KO137" s="61"/>
      <c r="KP137" s="61"/>
      <c r="KQ137" s="61"/>
      <c r="KR137" s="61"/>
      <c r="KS137" s="61"/>
      <c r="KT137" s="61"/>
      <c r="KU137" s="61"/>
      <c r="KV137" s="61"/>
      <c r="KW137" s="61"/>
      <c r="KX137" s="61"/>
      <c r="KY137" s="61"/>
      <c r="KZ137" s="61"/>
      <c r="LA137" s="61"/>
      <c r="LB137" s="61"/>
      <c r="LC137" s="61"/>
      <c r="LD137" s="61"/>
      <c r="LE137" s="61"/>
      <c r="LF137" s="61"/>
      <c r="LG137" s="61"/>
      <c r="LH137" s="61"/>
      <c r="LI137" s="61"/>
      <c r="LJ137" s="61"/>
      <c r="LK137" s="61"/>
      <c r="LL137" s="61"/>
      <c r="LM137" s="61"/>
      <c r="LN137" s="61"/>
      <c r="LO137" s="61"/>
      <c r="LP137" s="61"/>
      <c r="LQ137" s="61"/>
      <c r="LR137" s="61"/>
      <c r="LS137" s="61"/>
      <c r="LT137" s="61"/>
      <c r="LU137" s="61"/>
      <c r="LV137" s="61"/>
      <c r="LW137" s="61"/>
      <c r="LX137" s="61"/>
      <c r="LY137" s="61"/>
      <c r="LZ137" s="61"/>
      <c r="MA137" s="61"/>
      <c r="MB137" s="61"/>
      <c r="MC137" s="61"/>
      <c r="MD137" s="61"/>
      <c r="ME137" s="61"/>
      <c r="MF137" s="61"/>
      <c r="MG137" s="61"/>
      <c r="MH137" s="61"/>
      <c r="MI137" s="61"/>
      <c r="MJ137" s="61"/>
      <c r="MK137" s="61"/>
      <c r="ML137" s="61"/>
      <c r="MM137" s="61"/>
      <c r="MN137" s="61"/>
      <c r="MO137" s="61"/>
      <c r="MP137" s="61"/>
      <c r="MQ137" s="61"/>
      <c r="MR137" s="61"/>
      <c r="MS137" s="61"/>
      <c r="MT137" s="61"/>
      <c r="MU137" s="61"/>
      <c r="MV137" s="61"/>
      <c r="MW137" s="61"/>
      <c r="MX137" s="61"/>
      <c r="MY137" s="61"/>
      <c r="MZ137" s="61"/>
      <c r="NA137" s="61"/>
      <c r="NB137" s="61"/>
      <c r="NC137" s="61"/>
      <c r="ND137" s="61"/>
      <c r="NE137" s="61"/>
      <c r="NF137" s="61"/>
      <c r="NG137" s="61"/>
      <c r="NH137" s="61"/>
      <c r="NI137" s="61"/>
      <c r="NJ137" s="61"/>
      <c r="NK137" s="61"/>
      <c r="NL137" s="61"/>
      <c r="NM137" s="61"/>
      <c r="NN137" s="61"/>
      <c r="NO137" s="61"/>
      <c r="NP137" s="61"/>
      <c r="NQ137" s="61"/>
      <c r="NR137" s="61"/>
      <c r="NS137" s="61"/>
      <c r="NT137" s="61"/>
      <c r="NU137" s="61"/>
      <c r="NV137" s="61"/>
      <c r="NW137" s="61"/>
      <c r="NX137" s="61"/>
      <c r="NY137" s="61"/>
      <c r="NZ137" s="61"/>
      <c r="OA137" s="61"/>
      <c r="OB137" s="61"/>
      <c r="OC137" s="61"/>
      <c r="OD137" s="61"/>
      <c r="OE137" s="61"/>
      <c r="OF137" s="61"/>
      <c r="OG137" s="61"/>
      <c r="OH137" s="61"/>
      <c r="OI137" s="61"/>
      <c r="OJ137" s="61"/>
      <c r="OK137" s="61"/>
      <c r="OL137" s="61"/>
      <c r="OM137" s="61"/>
      <c r="ON137" s="61"/>
      <c r="OO137" s="61"/>
      <c r="OP137" s="61"/>
      <c r="OQ137" s="61"/>
      <c r="OR137" s="61"/>
      <c r="OS137" s="61"/>
      <c r="OT137" s="61"/>
      <c r="OU137" s="61"/>
      <c r="OV137" s="61"/>
      <c r="OW137" s="61"/>
      <c r="OX137" s="61"/>
      <c r="OY137" s="61"/>
      <c r="OZ137" s="61"/>
      <c r="PA137" s="61"/>
      <c r="PB137" s="61"/>
      <c r="PC137" s="61"/>
      <c r="PD137" s="61"/>
      <c r="PE137" s="61"/>
      <c r="PF137" s="61"/>
      <c r="PG137" s="61"/>
      <c r="PH137" s="61"/>
      <c r="PI137" s="61"/>
      <c r="PJ137" s="61"/>
      <c r="PK137" s="61"/>
      <c r="PL137" s="61"/>
      <c r="PM137" s="61"/>
      <c r="PN137" s="61"/>
      <c r="PO137" s="61"/>
      <c r="PP137" s="61"/>
      <c r="PQ137" s="61"/>
      <c r="PR137" s="61"/>
      <c r="PS137" s="61"/>
      <c r="PT137" s="61"/>
      <c r="PU137" s="61"/>
      <c r="PV137" s="61"/>
      <c r="PW137" s="61"/>
      <c r="PX137" s="61"/>
      <c r="PY137" s="61"/>
      <c r="PZ137" s="61"/>
      <c r="QA137" s="61"/>
      <c r="QB137" s="61"/>
      <c r="QC137" s="61"/>
      <c r="QD137" s="61"/>
      <c r="QE137" s="61"/>
      <c r="QF137" s="61"/>
      <c r="QG137" s="61"/>
      <c r="QH137" s="61"/>
      <c r="QI137" s="61"/>
      <c r="QJ137" s="61"/>
      <c r="QK137" s="61"/>
      <c r="QL137" s="61"/>
      <c r="QM137" s="61"/>
      <c r="QN137" s="61"/>
      <c r="QO137" s="61"/>
      <c r="QP137" s="61"/>
      <c r="QQ137" s="61"/>
      <c r="QR137" s="61"/>
      <c r="QS137" s="61"/>
      <c r="QT137" s="61"/>
      <c r="QU137" s="61"/>
      <c r="QV137" s="61"/>
      <c r="QW137" s="61"/>
      <c r="QX137" s="61"/>
      <c r="QY137" s="61"/>
      <c r="QZ137" s="61"/>
      <c r="RA137" s="61"/>
      <c r="RB137" s="61"/>
      <c r="RC137" s="61"/>
      <c r="RD137" s="17"/>
    </row>
    <row r="138" spans="1:472" s="5" customFormat="1" ht="15" hidden="1" customHeight="1" x14ac:dyDescent="0.25">
      <c r="A138" s="5">
        <v>2057</v>
      </c>
      <c r="B138" s="5" t="s">
        <v>441</v>
      </c>
      <c r="C138" s="5" t="s">
        <v>257</v>
      </c>
      <c r="D138" s="5">
        <v>111</v>
      </c>
      <c r="E138" s="36"/>
      <c r="F138" s="64" t="s">
        <v>216</v>
      </c>
      <c r="G138" s="65"/>
      <c r="H138" s="19"/>
      <c r="I138" s="61"/>
      <c r="J138" s="61"/>
      <c r="K138" s="61"/>
      <c r="L138" s="61"/>
      <c r="M138" s="61"/>
      <c r="N138" s="61"/>
      <c r="O138" s="61"/>
      <c r="P138" s="61"/>
      <c r="Q138" s="61"/>
      <c r="R138" s="61"/>
      <c r="S138" s="61"/>
      <c r="T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v>1</v>
      </c>
      <c r="CU138" s="61"/>
      <c r="CV138" s="61">
        <v>3</v>
      </c>
      <c r="CW138" s="61"/>
      <c r="CX138" s="61">
        <v>5</v>
      </c>
      <c r="CY138" s="61"/>
      <c r="CZ138" s="61">
        <v>6</v>
      </c>
      <c r="DA138" s="61"/>
      <c r="DB138" s="61">
        <v>5</v>
      </c>
      <c r="DC138" s="61"/>
      <c r="DD138" s="61">
        <v>5</v>
      </c>
      <c r="DE138" s="61"/>
      <c r="DF138" s="61">
        <v>5</v>
      </c>
      <c r="DG138" s="61"/>
      <c r="DH138" s="61">
        <v>6</v>
      </c>
      <c r="DI138" s="61"/>
      <c r="DJ138" s="61">
        <v>5</v>
      </c>
      <c r="DK138" s="61"/>
      <c r="DL138" s="61">
        <v>6</v>
      </c>
      <c r="DM138" s="61"/>
      <c r="DN138" s="61">
        <v>4</v>
      </c>
      <c r="DO138" s="61"/>
      <c r="DP138" s="61">
        <v>2</v>
      </c>
      <c r="DQ138" s="61"/>
      <c r="DR138" s="61">
        <v>2</v>
      </c>
      <c r="DS138" s="61"/>
      <c r="DT138" s="61">
        <v>2</v>
      </c>
      <c r="DU138" s="61"/>
      <c r="DV138" s="61">
        <v>2</v>
      </c>
      <c r="DW138" s="61"/>
      <c r="DX138" s="61">
        <v>1</v>
      </c>
      <c r="DY138" s="61"/>
      <c r="DZ138" s="61"/>
      <c r="EA138" s="61"/>
      <c r="EB138" s="61"/>
      <c r="EC138" s="61"/>
      <c r="ED138" s="61"/>
      <c r="EE138" s="61"/>
      <c r="EF138" s="61"/>
      <c r="EG138" s="61"/>
      <c r="EH138" s="61"/>
      <c r="EI138" s="61"/>
      <c r="EJ138" s="61"/>
      <c r="EK138" s="61"/>
      <c r="EL138" s="61"/>
      <c r="EM138" s="61"/>
      <c r="EN138" s="61"/>
      <c r="EO138" s="61"/>
      <c r="EP138" s="61"/>
      <c r="EQ138" s="61"/>
      <c r="ER138" s="61"/>
      <c r="ES138" s="61"/>
      <c r="ET138" s="61"/>
      <c r="EU138" s="61"/>
      <c r="EV138" s="61"/>
      <c r="EW138" s="61"/>
      <c r="EX138" s="61"/>
      <c r="EY138" s="61"/>
      <c r="EZ138" s="61"/>
      <c r="FA138" s="61"/>
      <c r="FB138" s="61"/>
      <c r="FC138" s="61"/>
      <c r="FD138" s="61"/>
      <c r="FE138" s="61"/>
      <c r="FF138" s="61"/>
      <c r="FG138" s="61"/>
      <c r="FH138" s="61"/>
      <c r="FI138" s="61"/>
      <c r="FJ138" s="61"/>
      <c r="FK138" s="61"/>
      <c r="FL138" s="61"/>
      <c r="FM138" s="61"/>
      <c r="FN138" s="61"/>
      <c r="FO138" s="61"/>
      <c r="FP138" s="61"/>
      <c r="FQ138" s="61"/>
      <c r="FR138" s="61"/>
      <c r="FS138" s="61"/>
      <c r="FT138" s="61"/>
      <c r="FU138" s="61"/>
      <c r="FV138" s="61"/>
      <c r="FW138" s="61"/>
      <c r="FX138" s="61"/>
      <c r="FY138" s="61"/>
      <c r="FZ138" s="61"/>
      <c r="GA138" s="61"/>
      <c r="GB138" s="61"/>
      <c r="GC138" s="61"/>
      <c r="GD138" s="61"/>
      <c r="GE138" s="61"/>
      <c r="GF138" s="61"/>
      <c r="GG138" s="61"/>
      <c r="GH138" s="61"/>
      <c r="GI138" s="61"/>
      <c r="GJ138" s="61"/>
      <c r="GK138" s="61"/>
      <c r="GL138" s="61"/>
      <c r="GM138" s="61"/>
      <c r="GN138" s="61"/>
      <c r="GO138" s="61"/>
      <c r="GP138" s="61"/>
      <c r="GQ138" s="61"/>
      <c r="GR138" s="61"/>
      <c r="GS138" s="61"/>
      <c r="GT138" s="61"/>
      <c r="GU138" s="61"/>
      <c r="GV138" s="61"/>
      <c r="GW138" s="61"/>
      <c r="GX138" s="61"/>
      <c r="GY138" s="61"/>
      <c r="GZ138" s="61"/>
      <c r="HA138" s="61"/>
      <c r="HB138" s="61"/>
      <c r="HC138" s="61"/>
      <c r="HD138" s="61"/>
      <c r="HE138" s="61"/>
      <c r="HF138" s="61"/>
      <c r="HG138" s="61"/>
      <c r="HH138" s="61"/>
      <c r="HI138" s="61"/>
      <c r="HJ138" s="61"/>
      <c r="HK138" s="61"/>
      <c r="HL138" s="61"/>
      <c r="HM138" s="61"/>
      <c r="HN138" s="61"/>
      <c r="HO138" s="61"/>
      <c r="HP138" s="61"/>
      <c r="HQ138" s="61"/>
      <c r="HR138" s="61"/>
      <c r="HS138" s="61"/>
      <c r="HT138" s="61"/>
      <c r="HU138" s="61"/>
      <c r="HV138" s="61"/>
      <c r="HW138" s="61"/>
      <c r="HX138" s="61"/>
      <c r="HY138" s="61"/>
      <c r="HZ138" s="61"/>
      <c r="IA138" s="61"/>
      <c r="IB138" s="61"/>
      <c r="IC138" s="61"/>
      <c r="ID138" s="61"/>
      <c r="IE138" s="61"/>
      <c r="IF138" s="61"/>
      <c r="IG138" s="61"/>
      <c r="IH138" s="61"/>
      <c r="II138" s="61"/>
      <c r="IJ138" s="61"/>
      <c r="IK138" s="61"/>
      <c r="IL138" s="61"/>
      <c r="IM138" s="61"/>
      <c r="IN138" s="61"/>
      <c r="IO138" s="61"/>
      <c r="IP138" s="61"/>
      <c r="IQ138" s="61"/>
      <c r="IR138" s="61"/>
      <c r="IS138" s="61"/>
      <c r="IT138" s="61"/>
      <c r="IU138" s="61"/>
      <c r="IV138" s="61"/>
      <c r="IW138" s="61"/>
      <c r="IX138" s="61"/>
      <c r="IY138" s="61"/>
      <c r="IZ138" s="61"/>
      <c r="JA138" s="61"/>
      <c r="JB138" s="61"/>
      <c r="JC138" s="61"/>
      <c r="JD138" s="61"/>
      <c r="JE138" s="61"/>
      <c r="JF138" s="61"/>
      <c r="JG138" s="61"/>
      <c r="JH138" s="61"/>
      <c r="JI138" s="61"/>
      <c r="JJ138" s="61"/>
      <c r="JK138" s="61"/>
      <c r="JL138" s="61"/>
      <c r="JM138" s="61"/>
      <c r="JN138" s="61"/>
      <c r="JO138" s="61"/>
      <c r="JP138" s="61"/>
      <c r="JQ138" s="61"/>
      <c r="JR138" s="61"/>
      <c r="JS138" s="61"/>
      <c r="JT138" s="61"/>
      <c r="JU138" s="61"/>
      <c r="JV138" s="61"/>
      <c r="JW138" s="61"/>
      <c r="JX138" s="61"/>
      <c r="JY138" s="61"/>
      <c r="JZ138" s="61"/>
      <c r="KA138" s="61"/>
      <c r="KB138" s="61"/>
      <c r="KC138" s="61"/>
      <c r="KD138" s="61"/>
      <c r="KE138" s="61"/>
      <c r="KF138" s="61"/>
      <c r="KG138" s="61"/>
      <c r="KH138" s="61"/>
      <c r="KI138" s="61"/>
      <c r="KJ138" s="61"/>
      <c r="KK138" s="61"/>
      <c r="KL138" s="61"/>
      <c r="KM138" s="61"/>
      <c r="KN138" s="61"/>
      <c r="KO138" s="61"/>
      <c r="KP138" s="61"/>
      <c r="KQ138" s="61"/>
      <c r="KR138" s="61"/>
      <c r="KS138" s="61"/>
      <c r="KT138" s="61"/>
      <c r="KU138" s="61"/>
      <c r="KV138" s="61"/>
      <c r="KW138" s="61"/>
      <c r="KX138" s="61"/>
      <c r="KY138" s="61"/>
      <c r="KZ138" s="61"/>
      <c r="LA138" s="61"/>
      <c r="LB138" s="61"/>
      <c r="LC138" s="61"/>
      <c r="LD138" s="61"/>
      <c r="LE138" s="61"/>
      <c r="LF138" s="61"/>
      <c r="LG138" s="61"/>
      <c r="LH138" s="61"/>
      <c r="LI138" s="61"/>
      <c r="LJ138" s="61"/>
      <c r="LK138" s="61"/>
      <c r="LL138" s="61"/>
      <c r="LM138" s="61"/>
      <c r="LN138" s="61"/>
      <c r="LO138" s="61"/>
      <c r="LP138" s="61"/>
      <c r="LQ138" s="61"/>
      <c r="LR138" s="61"/>
      <c r="LS138" s="61"/>
      <c r="LT138" s="61"/>
      <c r="LU138" s="61"/>
      <c r="LV138" s="61"/>
      <c r="LW138" s="61"/>
      <c r="LX138" s="61"/>
      <c r="LY138" s="61"/>
      <c r="LZ138" s="61"/>
      <c r="MA138" s="61"/>
      <c r="MB138" s="61"/>
      <c r="MC138" s="61"/>
      <c r="MD138" s="61"/>
      <c r="ME138" s="61"/>
      <c r="MF138" s="61"/>
      <c r="MG138" s="61"/>
      <c r="MH138" s="61"/>
      <c r="MI138" s="61"/>
      <c r="MJ138" s="61"/>
      <c r="MK138" s="61"/>
      <c r="ML138" s="61"/>
      <c r="MM138" s="61"/>
      <c r="MN138" s="61"/>
      <c r="MO138" s="61"/>
      <c r="MP138" s="61"/>
      <c r="MQ138" s="61"/>
      <c r="MR138" s="61"/>
      <c r="MS138" s="61"/>
      <c r="MT138" s="61"/>
      <c r="MU138" s="61"/>
      <c r="MV138" s="61"/>
      <c r="MW138" s="61"/>
      <c r="MX138" s="61"/>
      <c r="MY138" s="61"/>
      <c r="MZ138" s="61"/>
      <c r="NA138" s="61"/>
      <c r="NB138" s="61"/>
      <c r="NC138" s="61"/>
      <c r="ND138" s="61"/>
      <c r="NE138" s="61"/>
      <c r="NF138" s="61"/>
      <c r="NG138" s="61"/>
      <c r="NH138" s="61"/>
      <c r="NI138" s="61"/>
      <c r="NJ138" s="61"/>
      <c r="NK138" s="61"/>
      <c r="NL138" s="61"/>
      <c r="NM138" s="61"/>
      <c r="NN138" s="61"/>
      <c r="NO138" s="61"/>
      <c r="NP138" s="61"/>
      <c r="NQ138" s="61"/>
      <c r="NR138" s="61"/>
      <c r="NS138" s="61"/>
      <c r="NT138" s="61"/>
      <c r="NU138" s="61"/>
      <c r="NV138" s="61"/>
      <c r="NW138" s="61"/>
      <c r="NX138" s="61"/>
      <c r="NY138" s="61"/>
      <c r="NZ138" s="61"/>
      <c r="OA138" s="61"/>
      <c r="OB138" s="61"/>
      <c r="OC138" s="61"/>
      <c r="OD138" s="61"/>
      <c r="OE138" s="61"/>
      <c r="OF138" s="61"/>
      <c r="OG138" s="61"/>
      <c r="OH138" s="61"/>
      <c r="OI138" s="61"/>
      <c r="OJ138" s="61"/>
      <c r="OK138" s="61"/>
      <c r="OL138" s="61"/>
      <c r="OM138" s="61"/>
      <c r="ON138" s="61"/>
      <c r="OO138" s="61"/>
      <c r="OP138" s="61"/>
      <c r="OQ138" s="61"/>
      <c r="OR138" s="61"/>
      <c r="OS138" s="61"/>
      <c r="OT138" s="61"/>
      <c r="OU138" s="61"/>
      <c r="OV138" s="61"/>
      <c r="OW138" s="61"/>
      <c r="OX138" s="61"/>
      <c r="OY138" s="61"/>
      <c r="OZ138" s="61"/>
      <c r="PA138" s="61"/>
      <c r="PB138" s="61"/>
      <c r="PC138" s="61"/>
      <c r="PD138" s="61"/>
      <c r="PE138" s="61"/>
      <c r="PF138" s="61"/>
      <c r="PG138" s="61"/>
      <c r="PH138" s="61"/>
      <c r="PI138" s="61"/>
      <c r="PJ138" s="61"/>
      <c r="PK138" s="61"/>
      <c r="PL138" s="61"/>
      <c r="PM138" s="61"/>
      <c r="PN138" s="61"/>
      <c r="PO138" s="61"/>
      <c r="PP138" s="61"/>
      <c r="PQ138" s="61"/>
      <c r="PR138" s="61"/>
      <c r="PS138" s="61"/>
      <c r="PT138" s="61"/>
      <c r="PU138" s="61"/>
      <c r="PV138" s="61"/>
      <c r="PW138" s="61"/>
      <c r="PX138" s="61"/>
      <c r="PY138" s="61"/>
      <c r="PZ138" s="61"/>
      <c r="QA138" s="61"/>
      <c r="QB138" s="61"/>
      <c r="QC138" s="61"/>
      <c r="QD138" s="61"/>
      <c r="QE138" s="61"/>
      <c r="QF138" s="61"/>
      <c r="QG138" s="61"/>
      <c r="QH138" s="61"/>
      <c r="QI138" s="61"/>
      <c r="QJ138" s="61"/>
      <c r="QK138" s="61"/>
      <c r="QL138" s="61"/>
      <c r="QM138" s="61"/>
      <c r="QN138" s="61"/>
      <c r="QO138" s="61"/>
      <c r="QP138" s="61"/>
      <c r="QQ138" s="61"/>
      <c r="QR138" s="61"/>
      <c r="QS138" s="61"/>
      <c r="QT138" s="61"/>
      <c r="QU138" s="61"/>
      <c r="QV138" s="61"/>
      <c r="QW138" s="61"/>
      <c r="QX138" s="61"/>
      <c r="QY138" s="61"/>
      <c r="QZ138" s="61"/>
      <c r="RA138" s="61"/>
      <c r="RB138" s="61"/>
      <c r="RC138" s="61"/>
      <c r="RD138" s="17"/>
    </row>
    <row r="139" spans="1:472" s="5" customFormat="1" ht="15" hidden="1" customHeight="1" x14ac:dyDescent="0.25">
      <c r="A139" s="5">
        <v>2041</v>
      </c>
      <c r="B139" s="5" t="s">
        <v>584</v>
      </c>
      <c r="C139" s="5" t="s">
        <v>5</v>
      </c>
      <c r="D139" s="5">
        <v>108</v>
      </c>
      <c r="E139" s="36" t="s">
        <v>334</v>
      </c>
      <c r="F139" s="64" t="s">
        <v>216</v>
      </c>
      <c r="G139" s="65"/>
      <c r="H139" s="19"/>
      <c r="I139" s="61"/>
      <c r="J139" s="61"/>
      <c r="K139" s="61"/>
      <c r="L139" s="61"/>
      <c r="M139" s="61"/>
      <c r="N139" s="61"/>
      <c r="O139" s="61"/>
      <c r="P139" s="61"/>
      <c r="Q139" s="61"/>
      <c r="R139" s="61"/>
      <c r="S139" s="61"/>
      <c r="T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v>2</v>
      </c>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v>2</v>
      </c>
      <c r="CO139" s="61"/>
      <c r="CP139" s="61">
        <v>3</v>
      </c>
      <c r="CQ139" s="61"/>
      <c r="CR139" s="61">
        <v>3</v>
      </c>
      <c r="CS139" s="61"/>
      <c r="CT139" s="61">
        <v>2</v>
      </c>
      <c r="CU139" s="61"/>
      <c r="CV139" s="61">
        <v>8</v>
      </c>
      <c r="CW139" s="61"/>
      <c r="CX139" s="61">
        <v>8</v>
      </c>
      <c r="CY139" s="61"/>
      <c r="CZ139" s="61">
        <v>8</v>
      </c>
      <c r="DA139" s="61"/>
      <c r="DB139" s="61">
        <v>8</v>
      </c>
      <c r="DC139" s="61"/>
      <c r="DD139" s="61">
        <v>8</v>
      </c>
      <c r="DE139" s="61"/>
      <c r="DF139" s="61">
        <v>9</v>
      </c>
      <c r="DG139" s="61"/>
      <c r="DH139" s="61">
        <v>8</v>
      </c>
      <c r="DI139" s="61"/>
      <c r="DJ139" s="61">
        <v>7</v>
      </c>
      <c r="DK139" s="61"/>
      <c r="DL139" s="61">
        <v>9</v>
      </c>
      <c r="DM139" s="61"/>
      <c r="DN139" s="61">
        <v>6</v>
      </c>
      <c r="DO139" s="61"/>
      <c r="DP139" s="61">
        <v>6</v>
      </c>
      <c r="DQ139" s="61"/>
      <c r="DR139" s="61">
        <v>3</v>
      </c>
      <c r="DS139" s="61"/>
      <c r="DT139" s="61">
        <v>3</v>
      </c>
      <c r="DU139" s="61"/>
      <c r="DV139" s="61">
        <v>2</v>
      </c>
      <c r="DW139" s="61"/>
      <c r="DX139" s="61">
        <v>1</v>
      </c>
      <c r="DY139" s="61"/>
      <c r="DZ139" s="61"/>
      <c r="EA139" s="61"/>
      <c r="EB139" s="61"/>
      <c r="EC139" s="61"/>
      <c r="ED139" s="61"/>
      <c r="EE139" s="61"/>
      <c r="EF139" s="61"/>
      <c r="EG139" s="61"/>
      <c r="EH139" s="61"/>
      <c r="EI139" s="61"/>
      <c r="EJ139" s="61"/>
      <c r="EK139" s="61"/>
      <c r="EL139" s="61"/>
      <c r="EM139" s="61"/>
      <c r="EN139" s="61"/>
      <c r="EO139" s="61"/>
      <c r="EP139" s="61"/>
      <c r="EQ139" s="61"/>
      <c r="ER139" s="61"/>
      <c r="ES139" s="61"/>
      <c r="ET139" s="61"/>
      <c r="EU139" s="61"/>
      <c r="EV139" s="61"/>
      <c r="EW139" s="61"/>
      <c r="EX139" s="61"/>
      <c r="EY139" s="61"/>
      <c r="EZ139" s="61"/>
      <c r="FA139" s="61"/>
      <c r="FB139" s="61"/>
      <c r="FC139" s="61"/>
      <c r="FD139" s="61"/>
      <c r="FE139" s="61"/>
      <c r="FF139" s="61"/>
      <c r="FG139" s="61"/>
      <c r="FH139" s="61"/>
      <c r="FI139" s="61"/>
      <c r="FJ139" s="61"/>
      <c r="FK139" s="61"/>
      <c r="FL139" s="61"/>
      <c r="FM139" s="61"/>
      <c r="FN139" s="61"/>
      <c r="FO139" s="61"/>
      <c r="FP139" s="61"/>
      <c r="FQ139" s="61"/>
      <c r="FR139" s="61"/>
      <c r="FS139" s="61"/>
      <c r="FT139" s="61"/>
      <c r="FU139" s="61"/>
      <c r="FV139" s="61"/>
      <c r="FW139" s="61"/>
      <c r="FX139" s="61"/>
      <c r="FY139" s="61"/>
      <c r="FZ139" s="61"/>
      <c r="GA139" s="61"/>
      <c r="GB139" s="61"/>
      <c r="GC139" s="61"/>
      <c r="GD139" s="61"/>
      <c r="GE139" s="61"/>
      <c r="GF139" s="61"/>
      <c r="GG139" s="61"/>
      <c r="GH139" s="61"/>
      <c r="GI139" s="61"/>
      <c r="GJ139" s="61"/>
      <c r="GK139" s="61"/>
      <c r="GL139" s="61"/>
      <c r="GM139" s="61"/>
      <c r="GN139" s="61"/>
      <c r="GO139" s="61"/>
      <c r="GP139" s="61"/>
      <c r="GQ139" s="61"/>
      <c r="GR139" s="61"/>
      <c r="GS139" s="61"/>
      <c r="GT139" s="61"/>
      <c r="GU139" s="61"/>
      <c r="GV139" s="61"/>
      <c r="GW139" s="61"/>
      <c r="GX139" s="61"/>
      <c r="GY139" s="61"/>
      <c r="GZ139" s="61"/>
      <c r="HA139" s="61"/>
      <c r="HB139" s="61"/>
      <c r="HC139" s="61"/>
      <c r="HD139" s="61"/>
      <c r="HE139" s="61"/>
      <c r="HF139" s="61"/>
      <c r="HG139" s="61"/>
      <c r="HH139" s="61"/>
      <c r="HI139" s="61"/>
      <c r="HJ139" s="61"/>
      <c r="HK139" s="61"/>
      <c r="HL139" s="61"/>
      <c r="HM139" s="61"/>
      <c r="HN139" s="61"/>
      <c r="HO139" s="61"/>
      <c r="HP139" s="61"/>
      <c r="HQ139" s="61"/>
      <c r="HR139" s="61"/>
      <c r="HS139" s="61"/>
      <c r="HT139" s="61"/>
      <c r="HU139" s="61"/>
      <c r="HV139" s="61"/>
      <c r="HW139" s="61"/>
      <c r="HX139" s="61"/>
      <c r="HY139" s="61"/>
      <c r="HZ139" s="61"/>
      <c r="IA139" s="61"/>
      <c r="IB139" s="61"/>
      <c r="IC139" s="61"/>
      <c r="ID139" s="61"/>
      <c r="IE139" s="61"/>
      <c r="IF139" s="61"/>
      <c r="IG139" s="61"/>
      <c r="IH139" s="61"/>
      <c r="II139" s="61"/>
      <c r="IJ139" s="61"/>
      <c r="IK139" s="61"/>
      <c r="IL139" s="61"/>
      <c r="IM139" s="61"/>
      <c r="IN139" s="61"/>
      <c r="IO139" s="61"/>
      <c r="IP139" s="61"/>
      <c r="IQ139" s="61"/>
      <c r="IR139" s="61"/>
      <c r="IS139" s="61"/>
      <c r="IT139" s="61"/>
      <c r="IU139" s="61"/>
      <c r="IV139" s="61"/>
      <c r="IW139" s="61"/>
      <c r="IX139" s="61"/>
      <c r="IY139" s="61"/>
      <c r="IZ139" s="61"/>
      <c r="JA139" s="61"/>
      <c r="JB139" s="61"/>
      <c r="JC139" s="61"/>
      <c r="JD139" s="61"/>
      <c r="JE139" s="61"/>
      <c r="JF139" s="61"/>
      <c r="JG139" s="61"/>
      <c r="JH139" s="61"/>
      <c r="JI139" s="61"/>
      <c r="JJ139" s="61"/>
      <c r="JK139" s="61"/>
      <c r="JL139" s="61"/>
      <c r="JM139" s="61"/>
      <c r="JN139" s="61"/>
      <c r="JO139" s="61"/>
      <c r="JP139" s="61"/>
      <c r="JQ139" s="61"/>
      <c r="JR139" s="61"/>
      <c r="JS139" s="61"/>
      <c r="JT139" s="61"/>
      <c r="JU139" s="61"/>
      <c r="JV139" s="61"/>
      <c r="JW139" s="61"/>
      <c r="JX139" s="61"/>
      <c r="JY139" s="61"/>
      <c r="JZ139" s="61"/>
      <c r="KA139" s="61"/>
      <c r="KB139" s="61"/>
      <c r="KC139" s="61"/>
      <c r="KD139" s="61"/>
      <c r="KE139" s="61"/>
      <c r="KF139" s="61"/>
      <c r="KG139" s="61"/>
      <c r="KH139" s="61"/>
      <c r="KI139" s="61"/>
      <c r="KJ139" s="61"/>
      <c r="KK139" s="61"/>
      <c r="KL139" s="61"/>
      <c r="KM139" s="61"/>
      <c r="KN139" s="61"/>
      <c r="KO139" s="61"/>
      <c r="KP139" s="61"/>
      <c r="KQ139" s="61"/>
      <c r="KR139" s="61"/>
      <c r="KS139" s="61"/>
      <c r="KT139" s="61"/>
      <c r="KU139" s="61"/>
      <c r="KV139" s="61"/>
      <c r="KW139" s="61"/>
      <c r="KX139" s="61"/>
      <c r="KY139" s="61"/>
      <c r="KZ139" s="61"/>
      <c r="LA139" s="61"/>
      <c r="LB139" s="61"/>
      <c r="LC139" s="61"/>
      <c r="LD139" s="61"/>
      <c r="LE139" s="61"/>
      <c r="LF139" s="61"/>
      <c r="LG139" s="61"/>
      <c r="LH139" s="61"/>
      <c r="LI139" s="61"/>
      <c r="LJ139" s="61"/>
      <c r="LK139" s="61"/>
      <c r="LL139" s="61"/>
      <c r="LM139" s="61"/>
      <c r="LN139" s="61"/>
      <c r="LO139" s="61"/>
      <c r="LP139" s="61"/>
      <c r="LQ139" s="61"/>
      <c r="LR139" s="61"/>
      <c r="LS139" s="61"/>
      <c r="LT139" s="61"/>
      <c r="LU139" s="61"/>
      <c r="LV139" s="61"/>
      <c r="LW139" s="61"/>
      <c r="LX139" s="61"/>
      <c r="LY139" s="61"/>
      <c r="LZ139" s="61"/>
      <c r="MA139" s="61"/>
      <c r="MB139" s="61"/>
      <c r="MC139" s="61"/>
      <c r="MD139" s="61"/>
      <c r="ME139" s="61"/>
      <c r="MF139" s="61"/>
      <c r="MG139" s="61"/>
      <c r="MH139" s="61"/>
      <c r="MI139" s="61"/>
      <c r="MJ139" s="61"/>
      <c r="MK139" s="61"/>
      <c r="ML139" s="61"/>
      <c r="MM139" s="61"/>
      <c r="MN139" s="61"/>
      <c r="MO139" s="61"/>
      <c r="MP139" s="61"/>
      <c r="MQ139" s="61"/>
      <c r="MR139" s="61"/>
      <c r="MS139" s="61"/>
      <c r="MT139" s="61"/>
      <c r="MU139" s="61"/>
      <c r="MV139" s="61"/>
      <c r="MW139" s="61"/>
      <c r="MX139" s="61"/>
      <c r="MY139" s="61"/>
      <c r="MZ139" s="61"/>
      <c r="NA139" s="61"/>
      <c r="NB139" s="61"/>
      <c r="NC139" s="61"/>
      <c r="ND139" s="61"/>
      <c r="NE139" s="61"/>
      <c r="NF139" s="61"/>
      <c r="NG139" s="61"/>
      <c r="NH139" s="61"/>
      <c r="NI139" s="61"/>
      <c r="NJ139" s="61"/>
      <c r="NK139" s="61"/>
      <c r="NL139" s="61"/>
      <c r="NM139" s="61"/>
      <c r="NN139" s="61"/>
      <c r="NO139" s="61"/>
      <c r="NP139" s="61"/>
      <c r="NQ139" s="61"/>
      <c r="NR139" s="61"/>
      <c r="NS139" s="61"/>
      <c r="NT139" s="61"/>
      <c r="NU139" s="61"/>
      <c r="NV139" s="61"/>
      <c r="NW139" s="61"/>
      <c r="NX139" s="61"/>
      <c r="NY139" s="61"/>
      <c r="NZ139" s="61"/>
      <c r="OA139" s="61"/>
      <c r="OB139" s="61"/>
      <c r="OC139" s="61"/>
      <c r="OD139" s="61"/>
      <c r="OE139" s="61"/>
      <c r="OF139" s="61"/>
      <c r="OG139" s="61"/>
      <c r="OH139" s="61"/>
      <c r="OI139" s="61"/>
      <c r="OJ139" s="61"/>
      <c r="OK139" s="61"/>
      <c r="OL139" s="61"/>
      <c r="OM139" s="61"/>
      <c r="ON139" s="61"/>
      <c r="OO139" s="61"/>
      <c r="OP139" s="61"/>
      <c r="OQ139" s="61"/>
      <c r="OR139" s="61"/>
      <c r="OS139" s="61"/>
      <c r="OT139" s="61"/>
      <c r="OU139" s="61"/>
      <c r="OV139" s="61"/>
      <c r="OW139" s="61"/>
      <c r="OX139" s="61"/>
      <c r="OY139" s="61"/>
      <c r="OZ139" s="61"/>
      <c r="PA139" s="61"/>
      <c r="PB139" s="61"/>
      <c r="PC139" s="61"/>
      <c r="PD139" s="61"/>
      <c r="PE139" s="61"/>
      <c r="PF139" s="61"/>
      <c r="PG139" s="61"/>
      <c r="PH139" s="61"/>
      <c r="PI139" s="61"/>
      <c r="PJ139" s="61"/>
      <c r="PK139" s="61"/>
      <c r="PL139" s="61"/>
      <c r="PM139" s="61"/>
      <c r="PN139" s="61"/>
      <c r="PO139" s="61"/>
      <c r="PP139" s="61"/>
      <c r="PQ139" s="61"/>
      <c r="PR139" s="61"/>
      <c r="PS139" s="61"/>
      <c r="PT139" s="61"/>
      <c r="PU139" s="61"/>
      <c r="PV139" s="61"/>
      <c r="PW139" s="61"/>
      <c r="PX139" s="61"/>
      <c r="PY139" s="61"/>
      <c r="PZ139" s="61"/>
      <c r="QA139" s="61"/>
      <c r="QB139" s="61"/>
      <c r="QC139" s="61"/>
      <c r="QD139" s="61"/>
      <c r="QE139" s="61"/>
      <c r="QF139" s="61"/>
      <c r="QG139" s="61"/>
      <c r="QH139" s="61"/>
      <c r="QI139" s="61"/>
      <c r="QJ139" s="61"/>
      <c r="QK139" s="61"/>
      <c r="QL139" s="61"/>
      <c r="QM139" s="61"/>
      <c r="QN139" s="61"/>
      <c r="QO139" s="61"/>
      <c r="QP139" s="61"/>
      <c r="QQ139" s="61"/>
      <c r="QR139" s="61"/>
      <c r="QS139" s="61"/>
      <c r="QT139" s="61"/>
      <c r="QU139" s="61"/>
      <c r="QV139" s="61"/>
      <c r="QW139" s="61"/>
      <c r="QX139" s="61"/>
      <c r="QY139" s="61"/>
      <c r="QZ139" s="61"/>
      <c r="RA139" s="61"/>
      <c r="RB139" s="61"/>
      <c r="RC139" s="61"/>
      <c r="RD139" s="17"/>
    </row>
    <row r="140" spans="1:472" s="5" customFormat="1" ht="15" hidden="1" customHeight="1" x14ac:dyDescent="0.25">
      <c r="A140" s="5">
        <v>2052</v>
      </c>
      <c r="B140" s="5" t="s">
        <v>375</v>
      </c>
      <c r="C140" s="5" t="s">
        <v>440</v>
      </c>
      <c r="D140" s="5">
        <v>107</v>
      </c>
      <c r="E140" s="36" t="s">
        <v>434</v>
      </c>
      <c r="F140" s="64" t="s">
        <v>216</v>
      </c>
      <c r="G140" s="65"/>
      <c r="H140" s="19"/>
      <c r="I140" s="17"/>
      <c r="J140" s="17"/>
      <c r="K140" s="17"/>
      <c r="L140" s="17"/>
      <c r="M140" s="17"/>
      <c r="N140" s="17"/>
      <c r="O140" s="17"/>
      <c r="P140" s="17"/>
      <c r="Q140" s="17"/>
      <c r="R140" s="17"/>
      <c r="S140" s="17"/>
      <c r="T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61"/>
      <c r="CI140" s="61"/>
      <c r="CJ140" s="61"/>
      <c r="CK140" s="61"/>
      <c r="CL140" s="61"/>
      <c r="CM140" s="61"/>
      <c r="CN140" s="61"/>
      <c r="CO140" s="61"/>
      <c r="CP140" s="61">
        <v>2</v>
      </c>
      <c r="CQ140" s="61"/>
      <c r="CR140" s="61">
        <v>3</v>
      </c>
      <c r="CS140" s="61"/>
      <c r="CT140" s="61">
        <v>2</v>
      </c>
      <c r="CU140" s="61"/>
      <c r="CV140" s="61">
        <v>8</v>
      </c>
      <c r="CW140" s="61"/>
      <c r="CX140" s="61">
        <v>10</v>
      </c>
      <c r="CY140" s="61"/>
      <c r="CZ140" s="61">
        <v>10</v>
      </c>
      <c r="DA140" s="61"/>
      <c r="DB140" s="61">
        <v>10</v>
      </c>
      <c r="DC140" s="61"/>
      <c r="DD140" s="61">
        <v>8</v>
      </c>
      <c r="DE140" s="61"/>
      <c r="DF140" s="61">
        <v>8</v>
      </c>
      <c r="DG140" s="61"/>
      <c r="DH140" s="61">
        <v>8</v>
      </c>
      <c r="DI140" s="61"/>
      <c r="DJ140" s="61">
        <v>7</v>
      </c>
      <c r="DK140" s="61"/>
      <c r="DL140" s="61">
        <v>9</v>
      </c>
      <c r="DM140" s="61"/>
      <c r="DN140" s="61">
        <v>6</v>
      </c>
      <c r="DO140" s="61"/>
      <c r="DP140" s="61">
        <v>5</v>
      </c>
      <c r="DQ140" s="61"/>
      <c r="DR140" s="61">
        <v>3</v>
      </c>
      <c r="DS140" s="61"/>
      <c r="DT140" s="61">
        <v>3</v>
      </c>
      <c r="DU140" s="61"/>
      <c r="DV140" s="61">
        <v>2</v>
      </c>
      <c r="DW140" s="61"/>
      <c r="DX140" s="61">
        <v>1</v>
      </c>
      <c r="DY140" s="61"/>
      <c r="DZ140" s="61">
        <v>1</v>
      </c>
      <c r="EA140" s="61"/>
      <c r="EB140" s="61"/>
      <c r="EC140" s="61"/>
      <c r="ED140" s="61"/>
      <c r="EE140" s="61"/>
      <c r="EF140" s="61"/>
      <c r="EG140" s="61"/>
      <c r="EH140" s="61"/>
      <c r="EI140" s="61"/>
      <c r="EJ140" s="61"/>
      <c r="EK140" s="61"/>
      <c r="EL140" s="61"/>
      <c r="EM140" s="61"/>
      <c r="EN140" s="61"/>
      <c r="EO140" s="61"/>
      <c r="EP140" s="61"/>
      <c r="EQ140" s="61"/>
      <c r="ER140" s="61"/>
      <c r="ES140" s="61"/>
      <c r="ET140" s="61"/>
      <c r="EU140" s="61"/>
      <c r="EV140" s="61"/>
      <c r="EW140" s="61"/>
      <c r="EX140" s="61"/>
      <c r="EY140" s="61"/>
      <c r="EZ140" s="61"/>
      <c r="FA140" s="61"/>
      <c r="FB140" s="61"/>
      <c r="FC140" s="61"/>
      <c r="FD140" s="61"/>
      <c r="FE140" s="61"/>
      <c r="FF140" s="61"/>
      <c r="FG140" s="61"/>
      <c r="FH140" s="61"/>
      <c r="FI140" s="61"/>
      <c r="FJ140" s="61"/>
      <c r="FK140" s="61"/>
      <c r="FL140" s="61"/>
      <c r="FM140" s="61"/>
      <c r="FN140" s="61"/>
      <c r="FO140" s="61"/>
      <c r="FP140" s="61"/>
      <c r="FQ140" s="61"/>
      <c r="FR140" s="61"/>
      <c r="FS140" s="61"/>
      <c r="FT140" s="61"/>
      <c r="FU140" s="61"/>
      <c r="FV140" s="61"/>
      <c r="FW140" s="61"/>
      <c r="FX140" s="61"/>
      <c r="FY140" s="61"/>
      <c r="FZ140" s="61"/>
      <c r="GA140" s="61"/>
      <c r="GB140" s="61"/>
      <c r="GC140" s="61"/>
      <c r="GD140" s="61"/>
      <c r="GE140" s="61"/>
      <c r="GF140" s="61"/>
      <c r="GG140" s="61"/>
      <c r="GH140" s="61"/>
      <c r="GI140" s="61"/>
      <c r="GJ140" s="61"/>
      <c r="GK140" s="61"/>
      <c r="GL140" s="61"/>
      <c r="GM140" s="61"/>
      <c r="GN140" s="61"/>
      <c r="GO140" s="61"/>
      <c r="GP140" s="61"/>
      <c r="GQ140" s="61"/>
      <c r="GR140" s="61"/>
      <c r="GS140" s="61"/>
      <c r="GT140" s="61"/>
      <c r="GU140" s="61"/>
      <c r="GV140" s="61"/>
      <c r="GW140" s="61"/>
      <c r="GX140" s="61"/>
      <c r="GY140" s="61"/>
      <c r="GZ140" s="61"/>
      <c r="HA140" s="61"/>
      <c r="HB140" s="61"/>
      <c r="HC140" s="61"/>
      <c r="HD140" s="61"/>
      <c r="HE140" s="61"/>
      <c r="HF140" s="61"/>
      <c r="HG140" s="61"/>
      <c r="HH140" s="61"/>
      <c r="HI140" s="61"/>
      <c r="HJ140" s="61"/>
      <c r="HK140" s="61"/>
      <c r="HL140" s="61"/>
      <c r="HM140" s="61"/>
      <c r="HN140" s="61"/>
      <c r="HO140" s="61"/>
      <c r="HP140" s="61"/>
      <c r="HQ140" s="61"/>
      <c r="HR140" s="61"/>
      <c r="HS140" s="61"/>
      <c r="HT140" s="61"/>
      <c r="HU140" s="61"/>
      <c r="HV140" s="61"/>
      <c r="HW140" s="61"/>
      <c r="HX140" s="61"/>
      <c r="HY140" s="61"/>
      <c r="HZ140" s="61"/>
      <c r="IA140" s="61"/>
      <c r="IB140" s="61"/>
      <c r="IC140" s="61"/>
      <c r="ID140" s="61"/>
      <c r="IE140" s="61"/>
      <c r="IF140" s="61"/>
      <c r="IG140" s="61"/>
      <c r="IH140" s="61"/>
      <c r="II140" s="61"/>
      <c r="IJ140" s="61"/>
      <c r="IK140" s="61"/>
      <c r="IL140" s="61"/>
      <c r="IM140" s="61"/>
      <c r="IN140" s="61"/>
      <c r="IO140" s="61"/>
      <c r="IP140" s="61"/>
      <c r="IQ140" s="61"/>
      <c r="IR140" s="61"/>
      <c r="IS140" s="61"/>
      <c r="IT140" s="61"/>
      <c r="IU140" s="61"/>
      <c r="IV140" s="61"/>
      <c r="IW140" s="61"/>
      <c r="IX140" s="61"/>
      <c r="IY140" s="61"/>
      <c r="IZ140" s="61"/>
      <c r="JA140" s="61"/>
      <c r="JB140" s="61"/>
      <c r="JC140" s="61"/>
      <c r="JD140" s="61"/>
      <c r="JE140" s="61"/>
      <c r="JF140" s="61"/>
      <c r="JG140" s="61"/>
      <c r="JH140" s="61"/>
      <c r="JI140" s="61"/>
      <c r="JJ140" s="61"/>
      <c r="JK140" s="61"/>
      <c r="JL140" s="61"/>
      <c r="JM140" s="61"/>
      <c r="JN140" s="61"/>
      <c r="JO140" s="61"/>
      <c r="JP140" s="61"/>
      <c r="JQ140" s="61"/>
      <c r="JR140" s="61"/>
      <c r="JS140" s="61"/>
      <c r="JT140" s="61"/>
      <c r="JU140" s="61"/>
      <c r="JV140" s="61"/>
      <c r="JW140" s="61"/>
      <c r="JX140" s="61"/>
      <c r="JY140" s="61"/>
      <c r="JZ140" s="61"/>
      <c r="KA140" s="61"/>
      <c r="KB140" s="61"/>
      <c r="KC140" s="61"/>
      <c r="KD140" s="61"/>
      <c r="KE140" s="61"/>
      <c r="KF140" s="61"/>
      <c r="KG140" s="61"/>
      <c r="KH140" s="61"/>
      <c r="KI140" s="61"/>
      <c r="KJ140" s="61"/>
      <c r="KK140" s="61"/>
      <c r="KL140" s="61"/>
      <c r="KM140" s="61"/>
      <c r="KN140" s="61"/>
      <c r="KO140" s="61"/>
      <c r="KP140" s="61"/>
      <c r="KQ140" s="61"/>
      <c r="KR140" s="61"/>
      <c r="KS140" s="61"/>
      <c r="KT140" s="61"/>
      <c r="KU140" s="61"/>
      <c r="KV140" s="61"/>
      <c r="KW140" s="61"/>
      <c r="KX140" s="61"/>
      <c r="KY140" s="61"/>
      <c r="KZ140" s="61"/>
      <c r="LA140" s="61"/>
      <c r="LB140" s="61"/>
      <c r="LC140" s="61"/>
      <c r="LD140" s="61"/>
      <c r="LE140" s="61"/>
      <c r="LF140" s="61"/>
      <c r="LG140" s="61"/>
      <c r="LH140" s="61"/>
      <c r="LI140" s="61"/>
      <c r="LJ140" s="61"/>
      <c r="LK140" s="61"/>
      <c r="LL140" s="61"/>
      <c r="LM140" s="61"/>
      <c r="LN140" s="61"/>
      <c r="LO140" s="61"/>
      <c r="LP140" s="61"/>
      <c r="LQ140" s="61"/>
      <c r="LR140" s="61"/>
      <c r="LS140" s="61"/>
      <c r="LT140" s="61"/>
      <c r="LU140" s="61"/>
      <c r="LV140" s="61"/>
      <c r="LW140" s="61"/>
      <c r="LX140" s="61"/>
      <c r="LY140" s="61"/>
      <c r="LZ140" s="61"/>
      <c r="MA140" s="61"/>
      <c r="MB140" s="61"/>
      <c r="MC140" s="61"/>
      <c r="MD140" s="61"/>
      <c r="ME140" s="61"/>
      <c r="MF140" s="61"/>
      <c r="MG140" s="61"/>
      <c r="MH140" s="61"/>
      <c r="MI140" s="61"/>
      <c r="MJ140" s="61"/>
      <c r="MK140" s="61"/>
      <c r="ML140" s="61"/>
      <c r="MM140" s="61"/>
      <c r="MN140" s="61"/>
      <c r="MO140" s="61"/>
      <c r="MP140" s="61"/>
      <c r="MQ140" s="61"/>
      <c r="MR140" s="61"/>
      <c r="MS140" s="61"/>
      <c r="MT140" s="61"/>
      <c r="MU140" s="61"/>
      <c r="MV140" s="61"/>
      <c r="MW140" s="61"/>
      <c r="MX140" s="61"/>
      <c r="MY140" s="61"/>
      <c r="MZ140" s="61"/>
      <c r="NA140" s="61"/>
      <c r="NB140" s="61"/>
      <c r="NC140" s="61"/>
      <c r="ND140" s="61"/>
      <c r="NE140" s="61"/>
      <c r="NF140" s="61"/>
      <c r="NG140" s="61"/>
      <c r="NH140" s="61"/>
      <c r="NI140" s="61"/>
      <c r="NJ140" s="61"/>
      <c r="NK140" s="61"/>
      <c r="NL140" s="61"/>
      <c r="NM140" s="61"/>
      <c r="NN140" s="61"/>
      <c r="NO140" s="61"/>
      <c r="NP140" s="61"/>
      <c r="NQ140" s="61"/>
      <c r="NR140" s="61"/>
      <c r="NS140" s="61"/>
      <c r="NT140" s="61"/>
      <c r="NU140" s="61"/>
      <c r="NV140" s="61"/>
      <c r="NW140" s="61"/>
      <c r="NX140" s="61"/>
      <c r="NY140" s="61"/>
      <c r="NZ140" s="61"/>
      <c r="OA140" s="61"/>
      <c r="OB140" s="61"/>
      <c r="OC140" s="61"/>
      <c r="OD140" s="61"/>
      <c r="OE140" s="61"/>
      <c r="OF140" s="61"/>
      <c r="OG140" s="61"/>
      <c r="OH140" s="61"/>
      <c r="OI140" s="61"/>
      <c r="OJ140" s="61"/>
      <c r="OK140" s="61"/>
      <c r="OL140" s="61"/>
      <c r="OM140" s="61"/>
      <c r="ON140" s="61"/>
      <c r="OO140" s="61"/>
      <c r="OP140" s="61"/>
      <c r="OQ140" s="61"/>
      <c r="OR140" s="61"/>
      <c r="OS140" s="61"/>
      <c r="OT140" s="61"/>
      <c r="OU140" s="61"/>
      <c r="OV140" s="61"/>
      <c r="OW140" s="61"/>
      <c r="OX140" s="61"/>
      <c r="OY140" s="61"/>
      <c r="OZ140" s="61"/>
      <c r="PA140" s="61"/>
      <c r="PB140" s="61"/>
      <c r="PC140" s="61"/>
      <c r="PD140" s="61"/>
      <c r="PE140" s="61"/>
      <c r="PF140" s="61"/>
      <c r="PG140" s="61"/>
      <c r="PH140" s="61"/>
      <c r="PI140" s="61"/>
      <c r="PJ140" s="61"/>
      <c r="PK140" s="61"/>
      <c r="PL140" s="61"/>
      <c r="PM140" s="61"/>
      <c r="PN140" s="61"/>
      <c r="PO140" s="61"/>
      <c r="PP140" s="61"/>
      <c r="PQ140" s="61"/>
      <c r="PR140" s="61"/>
      <c r="PS140" s="61"/>
      <c r="PT140" s="61"/>
      <c r="PU140" s="61"/>
      <c r="PV140" s="61"/>
      <c r="PW140" s="61"/>
      <c r="PX140" s="61"/>
      <c r="PY140" s="61"/>
      <c r="PZ140" s="61"/>
      <c r="QA140" s="61"/>
      <c r="QB140" s="61"/>
      <c r="QC140" s="61"/>
      <c r="QD140" s="61"/>
      <c r="QE140" s="61"/>
      <c r="QF140" s="61"/>
      <c r="QG140" s="61"/>
      <c r="QH140" s="61"/>
      <c r="QI140" s="61"/>
      <c r="QJ140" s="61"/>
      <c r="QK140" s="61"/>
      <c r="QL140" s="61"/>
      <c r="QM140" s="61"/>
      <c r="QN140" s="61"/>
      <c r="QO140" s="61"/>
      <c r="QP140" s="61"/>
      <c r="QQ140" s="61"/>
      <c r="QR140" s="61"/>
      <c r="QS140" s="61"/>
      <c r="QT140" s="61"/>
      <c r="QU140" s="61"/>
      <c r="QV140" s="61"/>
      <c r="QW140" s="61"/>
      <c r="QX140" s="61"/>
      <c r="QY140" s="61"/>
      <c r="QZ140" s="61"/>
      <c r="RA140" s="61"/>
      <c r="RB140" s="61"/>
      <c r="RC140" s="61"/>
      <c r="RD140" s="17"/>
    </row>
    <row r="141" spans="1:472" s="5" customFormat="1" ht="15" hidden="1" customHeight="1" x14ac:dyDescent="0.25">
      <c r="A141" s="5">
        <v>2053</v>
      </c>
      <c r="B141" s="5" t="s">
        <v>368</v>
      </c>
      <c r="C141" s="5" t="s">
        <v>230</v>
      </c>
      <c r="D141" s="5">
        <v>136</v>
      </c>
      <c r="E141" s="36">
        <v>43101</v>
      </c>
      <c r="F141" s="64" t="s">
        <v>216</v>
      </c>
      <c r="G141" s="65"/>
      <c r="H141" s="19"/>
      <c r="I141" s="61"/>
      <c r="J141" s="61"/>
      <c r="K141" s="61"/>
      <c r="L141" s="61"/>
      <c r="M141" s="61"/>
      <c r="N141" s="61"/>
      <c r="O141" s="61"/>
      <c r="P141" s="61"/>
      <c r="Q141" s="61"/>
      <c r="R141" s="61"/>
      <c r="S141" s="61"/>
      <c r="T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v>2</v>
      </c>
      <c r="CS141" s="61"/>
      <c r="CT141" s="61">
        <v>2</v>
      </c>
      <c r="CU141" s="61"/>
      <c r="CV141" s="61">
        <v>3</v>
      </c>
      <c r="CW141" s="61"/>
      <c r="CX141" s="61">
        <v>8</v>
      </c>
      <c r="CY141" s="61"/>
      <c r="CZ141" s="61">
        <v>10</v>
      </c>
      <c r="DA141" s="61"/>
      <c r="DB141" s="61">
        <v>10</v>
      </c>
      <c r="DC141" s="61"/>
      <c r="DD141" s="61">
        <v>2</v>
      </c>
      <c r="DE141" s="61"/>
      <c r="DF141" s="61">
        <v>8</v>
      </c>
      <c r="DG141" s="61"/>
      <c r="DH141" s="61">
        <v>9</v>
      </c>
      <c r="DI141" s="61"/>
      <c r="DJ141" s="61">
        <v>10</v>
      </c>
      <c r="DK141" s="61"/>
      <c r="DL141" s="61">
        <v>13</v>
      </c>
      <c r="DM141" s="61"/>
      <c r="DN141" s="61">
        <v>13</v>
      </c>
      <c r="DO141" s="61"/>
      <c r="DP141" s="61">
        <v>12</v>
      </c>
      <c r="DQ141" s="61"/>
      <c r="DR141" s="61">
        <v>8</v>
      </c>
      <c r="DS141" s="61"/>
      <c r="DT141" s="61">
        <v>7</v>
      </c>
      <c r="DU141" s="61"/>
      <c r="DV141" s="61">
        <v>4</v>
      </c>
      <c r="DW141" s="61"/>
      <c r="DX141" s="61">
        <v>4</v>
      </c>
      <c r="DY141" s="61"/>
      <c r="DZ141" s="61">
        <v>4</v>
      </c>
      <c r="EA141" s="61"/>
      <c r="EB141" s="61">
        <v>1</v>
      </c>
      <c r="EC141" s="61"/>
      <c r="ED141" s="61">
        <v>1</v>
      </c>
      <c r="EE141" s="61"/>
      <c r="EF141" s="61">
        <v>1</v>
      </c>
      <c r="EG141" s="61"/>
      <c r="EH141" s="61"/>
      <c r="EI141" s="61"/>
      <c r="EJ141" s="61"/>
      <c r="EK141" s="61"/>
      <c r="EL141" s="61"/>
      <c r="EM141" s="61"/>
      <c r="EN141" s="61"/>
      <c r="EO141" s="61"/>
      <c r="EP141" s="61"/>
      <c r="EQ141" s="61"/>
      <c r="ER141" s="61"/>
      <c r="ES141" s="61"/>
      <c r="ET141" s="61"/>
      <c r="EU141" s="61"/>
      <c r="EV141" s="61"/>
      <c r="EW141" s="61"/>
      <c r="EX141" s="61"/>
      <c r="EY141" s="61"/>
      <c r="EZ141" s="61"/>
      <c r="FA141" s="61"/>
      <c r="FB141" s="61"/>
      <c r="FC141" s="61"/>
      <c r="FD141" s="61"/>
      <c r="FE141" s="61"/>
      <c r="FF141" s="61"/>
      <c r="FG141" s="61"/>
      <c r="FH141" s="61"/>
      <c r="FI141" s="61"/>
      <c r="FJ141" s="61"/>
      <c r="FK141" s="61"/>
      <c r="FL141" s="61"/>
      <c r="FM141" s="61"/>
      <c r="FN141" s="61"/>
      <c r="FO141" s="61"/>
      <c r="FP141" s="61"/>
      <c r="FQ141" s="61"/>
      <c r="FR141" s="61"/>
      <c r="FS141" s="61"/>
      <c r="FT141" s="61"/>
      <c r="FU141" s="61"/>
      <c r="FV141" s="61"/>
      <c r="FW141" s="61"/>
      <c r="FX141" s="61"/>
      <c r="FY141" s="61"/>
      <c r="FZ141" s="61"/>
      <c r="GA141" s="61"/>
      <c r="GB141" s="61"/>
      <c r="GC141" s="61"/>
      <c r="GD141" s="61"/>
      <c r="GE141" s="61"/>
      <c r="GF141" s="61"/>
      <c r="GG141" s="61"/>
      <c r="GH141" s="61"/>
      <c r="GI141" s="61"/>
      <c r="GJ141" s="61"/>
      <c r="GK141" s="61"/>
      <c r="GL141" s="61"/>
      <c r="GM141" s="61"/>
      <c r="GN141" s="61"/>
      <c r="GO141" s="61"/>
      <c r="GP141" s="61"/>
      <c r="GQ141" s="61"/>
      <c r="GR141" s="61"/>
      <c r="GS141" s="61"/>
      <c r="GT141" s="61"/>
      <c r="GU141" s="61"/>
      <c r="GV141" s="61"/>
      <c r="GW141" s="61"/>
      <c r="GX141" s="61"/>
      <c r="GY141" s="61"/>
      <c r="GZ141" s="61"/>
      <c r="HA141" s="61"/>
      <c r="HB141" s="61"/>
      <c r="HC141" s="61"/>
      <c r="HD141" s="61"/>
      <c r="HE141" s="61"/>
      <c r="HF141" s="61"/>
      <c r="HG141" s="61"/>
      <c r="HH141" s="61"/>
      <c r="HI141" s="61"/>
      <c r="HJ141" s="61"/>
      <c r="HK141" s="61"/>
      <c r="HL141" s="61"/>
      <c r="HM141" s="61"/>
      <c r="HN141" s="61"/>
      <c r="HO141" s="61"/>
      <c r="HP141" s="61"/>
      <c r="HQ141" s="61"/>
      <c r="HR141" s="61"/>
      <c r="HS141" s="61"/>
      <c r="HT141" s="61"/>
      <c r="HU141" s="61"/>
      <c r="HV141" s="61"/>
      <c r="HW141" s="61"/>
      <c r="HX141" s="61"/>
      <c r="HY141" s="61"/>
      <c r="HZ141" s="61"/>
      <c r="IA141" s="61"/>
      <c r="IB141" s="61"/>
      <c r="IC141" s="61"/>
      <c r="ID141" s="61"/>
      <c r="IE141" s="61"/>
      <c r="IF141" s="61"/>
      <c r="IG141" s="61"/>
      <c r="IH141" s="61"/>
      <c r="II141" s="61"/>
      <c r="IJ141" s="61"/>
      <c r="IK141" s="61"/>
      <c r="IL141" s="61"/>
      <c r="IM141" s="61"/>
      <c r="IN141" s="61"/>
      <c r="IO141" s="61"/>
      <c r="IP141" s="61"/>
      <c r="IQ141" s="61"/>
      <c r="IR141" s="61"/>
      <c r="IS141" s="61"/>
      <c r="IT141" s="61"/>
      <c r="IU141" s="61"/>
      <c r="IV141" s="61"/>
      <c r="IW141" s="61"/>
      <c r="IX141" s="61"/>
      <c r="IY141" s="61"/>
      <c r="IZ141" s="61"/>
      <c r="JA141" s="61"/>
      <c r="JB141" s="61"/>
      <c r="JC141" s="61"/>
      <c r="JD141" s="61"/>
      <c r="JE141" s="61"/>
      <c r="JF141" s="61"/>
      <c r="JG141" s="61"/>
      <c r="JH141" s="61"/>
      <c r="JI141" s="61"/>
      <c r="JJ141" s="61"/>
      <c r="JK141" s="61"/>
      <c r="JL141" s="61"/>
      <c r="JM141" s="61"/>
      <c r="JN141" s="61"/>
      <c r="JO141" s="61"/>
      <c r="JP141" s="61"/>
      <c r="JQ141" s="61"/>
      <c r="JR141" s="61"/>
      <c r="JS141" s="61"/>
      <c r="JT141" s="61"/>
      <c r="JU141" s="61"/>
      <c r="JV141" s="61"/>
      <c r="JW141" s="61"/>
      <c r="JX141" s="61"/>
      <c r="JY141" s="61"/>
      <c r="JZ141" s="61"/>
      <c r="KA141" s="61"/>
      <c r="KB141" s="61"/>
      <c r="KC141" s="61"/>
      <c r="KD141" s="61"/>
      <c r="KE141" s="61"/>
      <c r="KF141" s="61"/>
      <c r="KG141" s="61"/>
      <c r="KH141" s="61"/>
      <c r="KI141" s="61"/>
      <c r="KJ141" s="61"/>
      <c r="KK141" s="61"/>
      <c r="KL141" s="61"/>
      <c r="KM141" s="61"/>
      <c r="KN141" s="61"/>
      <c r="KO141" s="61"/>
      <c r="KP141" s="61"/>
      <c r="KQ141" s="61"/>
      <c r="KR141" s="61"/>
      <c r="KS141" s="61"/>
      <c r="KT141" s="61"/>
      <c r="KU141" s="61"/>
      <c r="KV141" s="61"/>
      <c r="KW141" s="61"/>
      <c r="KX141" s="61"/>
      <c r="KY141" s="61"/>
      <c r="KZ141" s="61"/>
      <c r="LA141" s="61"/>
      <c r="LB141" s="61"/>
      <c r="LC141" s="61"/>
      <c r="LD141" s="61"/>
      <c r="LE141" s="61"/>
      <c r="LF141" s="61"/>
      <c r="LG141" s="61"/>
      <c r="LH141" s="61"/>
      <c r="LI141" s="61"/>
      <c r="LJ141" s="61"/>
      <c r="LK141" s="61"/>
      <c r="LL141" s="61"/>
      <c r="LM141" s="61"/>
      <c r="LN141" s="61"/>
      <c r="LO141" s="61"/>
      <c r="LP141" s="61"/>
      <c r="LQ141" s="61"/>
      <c r="LR141" s="61"/>
      <c r="LS141" s="61"/>
      <c r="LT141" s="61"/>
      <c r="LU141" s="61"/>
      <c r="LV141" s="61"/>
      <c r="LW141" s="61"/>
      <c r="LX141" s="61"/>
      <c r="LY141" s="61"/>
      <c r="LZ141" s="61"/>
      <c r="MA141" s="61"/>
      <c r="MB141" s="61"/>
      <c r="MC141" s="61"/>
      <c r="MD141" s="61"/>
      <c r="ME141" s="61"/>
      <c r="MF141" s="61"/>
      <c r="MG141" s="61"/>
      <c r="MH141" s="61"/>
      <c r="MI141" s="61"/>
      <c r="MJ141" s="61"/>
      <c r="MK141" s="61"/>
      <c r="ML141" s="61"/>
      <c r="MM141" s="61"/>
      <c r="MN141" s="61"/>
      <c r="MO141" s="61"/>
      <c r="MP141" s="61"/>
      <c r="MQ141" s="61"/>
      <c r="MR141" s="61"/>
      <c r="MS141" s="61"/>
      <c r="MT141" s="61"/>
      <c r="MU141" s="61"/>
      <c r="MV141" s="61"/>
      <c r="MW141" s="61"/>
      <c r="MX141" s="61"/>
      <c r="MY141" s="61"/>
      <c r="MZ141" s="61"/>
      <c r="NA141" s="61"/>
      <c r="NB141" s="61"/>
      <c r="NC141" s="61"/>
      <c r="ND141" s="61"/>
      <c r="NE141" s="61"/>
      <c r="NF141" s="61"/>
      <c r="NG141" s="61"/>
      <c r="NH141" s="61"/>
      <c r="NI141" s="61"/>
      <c r="NJ141" s="61"/>
      <c r="NK141" s="61"/>
      <c r="NL141" s="61"/>
      <c r="NM141" s="61"/>
      <c r="NN141" s="61"/>
      <c r="NO141" s="61"/>
      <c r="NP141" s="61"/>
      <c r="NQ141" s="61"/>
      <c r="NR141" s="61"/>
      <c r="NS141" s="61"/>
      <c r="NT141" s="61"/>
      <c r="NU141" s="61"/>
      <c r="NV141" s="61"/>
      <c r="NW141" s="61"/>
      <c r="NX141" s="61"/>
      <c r="NY141" s="61"/>
      <c r="NZ141" s="61"/>
      <c r="OA141" s="61"/>
      <c r="OB141" s="61"/>
      <c r="OC141" s="61"/>
      <c r="OD141" s="61"/>
      <c r="OE141" s="61"/>
      <c r="OF141" s="61"/>
      <c r="OG141" s="61"/>
      <c r="OH141" s="61"/>
      <c r="OI141" s="61"/>
      <c r="OJ141" s="61"/>
      <c r="OK141" s="61"/>
      <c r="OL141" s="61"/>
      <c r="OM141" s="61"/>
      <c r="ON141" s="61"/>
      <c r="OO141" s="61"/>
      <c r="OP141" s="61"/>
      <c r="OQ141" s="61"/>
      <c r="OR141" s="61"/>
      <c r="OS141" s="61"/>
      <c r="OT141" s="61"/>
      <c r="OU141" s="61"/>
      <c r="OV141" s="61"/>
      <c r="OW141" s="61"/>
      <c r="OX141" s="61"/>
      <c r="OY141" s="61"/>
      <c r="OZ141" s="61"/>
      <c r="PA141" s="61"/>
      <c r="PB141" s="61"/>
      <c r="PC141" s="61"/>
      <c r="PD141" s="61"/>
      <c r="PE141" s="61"/>
      <c r="PF141" s="61"/>
      <c r="PG141" s="61"/>
      <c r="PH141" s="61"/>
      <c r="PI141" s="61"/>
      <c r="PJ141" s="61"/>
      <c r="PK141" s="61"/>
      <c r="PL141" s="61"/>
      <c r="PM141" s="61"/>
      <c r="PN141" s="61"/>
      <c r="PO141" s="61"/>
      <c r="PP141" s="61"/>
      <c r="PQ141" s="61"/>
      <c r="PR141" s="61"/>
      <c r="PS141" s="61"/>
      <c r="PT141" s="61"/>
      <c r="PU141" s="61"/>
      <c r="PV141" s="61"/>
      <c r="PW141" s="61"/>
      <c r="PX141" s="61"/>
      <c r="PY141" s="61"/>
      <c r="PZ141" s="61"/>
      <c r="QA141" s="61"/>
      <c r="QB141" s="61"/>
      <c r="QC141" s="61"/>
      <c r="QD141" s="61"/>
      <c r="QE141" s="61"/>
      <c r="QF141" s="61"/>
      <c r="QG141" s="61"/>
      <c r="QH141" s="61"/>
      <c r="QI141" s="61"/>
      <c r="QJ141" s="61"/>
      <c r="QK141" s="61"/>
      <c r="QL141" s="61"/>
      <c r="QM141" s="61"/>
      <c r="QN141" s="61"/>
      <c r="QO141" s="61"/>
      <c r="QP141" s="61"/>
      <c r="QQ141" s="61"/>
      <c r="QR141" s="61"/>
      <c r="QS141" s="61"/>
      <c r="QT141" s="61"/>
      <c r="QU141" s="61"/>
      <c r="QV141" s="61"/>
      <c r="QW141" s="61"/>
      <c r="QX141" s="61"/>
      <c r="QY141" s="61"/>
      <c r="QZ141" s="61"/>
      <c r="RA141" s="61"/>
      <c r="RB141" s="61"/>
      <c r="RC141" s="61"/>
      <c r="RD141" s="17"/>
    </row>
    <row r="142" spans="1:472" s="5" customFormat="1" ht="15" hidden="1" customHeight="1" x14ac:dyDescent="0.25">
      <c r="A142" s="5">
        <v>2054</v>
      </c>
      <c r="B142" s="5" t="s">
        <v>426</v>
      </c>
      <c r="C142" s="5" t="s">
        <v>165</v>
      </c>
      <c r="D142" s="5">
        <v>68</v>
      </c>
      <c r="E142" s="36">
        <v>43177</v>
      </c>
      <c r="F142" s="64" t="s">
        <v>216</v>
      </c>
      <c r="G142" s="65"/>
      <c r="H142" s="19"/>
      <c r="I142" s="61"/>
      <c r="J142" s="61"/>
      <c r="K142" s="61"/>
      <c r="L142" s="61"/>
      <c r="M142" s="61"/>
      <c r="N142" s="61"/>
      <c r="O142" s="61"/>
      <c r="P142" s="61"/>
      <c r="Q142" s="61"/>
      <c r="R142" s="61"/>
      <c r="S142" s="61"/>
      <c r="T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v>1</v>
      </c>
      <c r="CW142" s="61"/>
      <c r="CX142" s="61">
        <v>2</v>
      </c>
      <c r="CY142" s="61"/>
      <c r="CZ142" s="61">
        <v>5</v>
      </c>
      <c r="DA142" s="61"/>
      <c r="DB142" s="61">
        <v>5</v>
      </c>
      <c r="DC142" s="61"/>
      <c r="DD142" s="61">
        <v>1</v>
      </c>
      <c r="DE142" s="61"/>
      <c r="DF142" s="61">
        <v>3</v>
      </c>
      <c r="DG142" s="61"/>
      <c r="DH142" s="61">
        <v>4</v>
      </c>
      <c r="DI142" s="61"/>
      <c r="DJ142" s="61">
        <v>4</v>
      </c>
      <c r="DK142" s="61"/>
      <c r="DL142" s="61">
        <v>5</v>
      </c>
      <c r="DM142" s="61"/>
      <c r="DN142" s="61">
        <v>6</v>
      </c>
      <c r="DO142" s="61"/>
      <c r="DP142" s="61">
        <v>5</v>
      </c>
      <c r="DQ142" s="61"/>
      <c r="DR142" s="61">
        <v>6</v>
      </c>
      <c r="DS142" s="61"/>
      <c r="DT142" s="61">
        <v>4</v>
      </c>
      <c r="DU142" s="61"/>
      <c r="DV142" s="61">
        <v>5</v>
      </c>
      <c r="DW142" s="61"/>
      <c r="DX142" s="61">
        <v>5</v>
      </c>
      <c r="DY142" s="61"/>
      <c r="DZ142" s="61">
        <v>3</v>
      </c>
      <c r="EA142" s="61"/>
      <c r="EB142" s="61">
        <v>2</v>
      </c>
      <c r="EC142" s="61"/>
      <c r="ED142" s="61">
        <v>2</v>
      </c>
      <c r="EE142" s="61"/>
      <c r="EF142" s="61">
        <v>1</v>
      </c>
      <c r="EG142" s="61"/>
      <c r="EH142" s="61"/>
      <c r="EI142" s="61"/>
      <c r="EJ142" s="61"/>
      <c r="EK142" s="61"/>
      <c r="EL142" s="61"/>
      <c r="EM142" s="61"/>
      <c r="EN142" s="61"/>
      <c r="EO142" s="61"/>
      <c r="EP142" s="61"/>
      <c r="EQ142" s="61"/>
      <c r="ER142" s="61"/>
      <c r="ES142" s="61"/>
      <c r="ET142" s="61"/>
      <c r="EU142" s="61"/>
      <c r="EV142" s="61"/>
      <c r="EW142" s="61"/>
      <c r="EX142" s="61"/>
      <c r="EY142" s="61"/>
      <c r="EZ142" s="61"/>
      <c r="FA142" s="61"/>
      <c r="FB142" s="61"/>
      <c r="FC142" s="61"/>
      <c r="FD142" s="61"/>
      <c r="FE142" s="61"/>
      <c r="FF142" s="61"/>
      <c r="FG142" s="61"/>
      <c r="FH142" s="61"/>
      <c r="FI142" s="61"/>
      <c r="FJ142" s="61"/>
      <c r="FK142" s="61"/>
      <c r="FL142" s="61"/>
      <c r="FM142" s="61"/>
      <c r="FN142" s="61"/>
      <c r="FO142" s="61"/>
      <c r="FP142" s="61"/>
      <c r="FQ142" s="61"/>
      <c r="FR142" s="61"/>
      <c r="FS142" s="61"/>
      <c r="FT142" s="61"/>
      <c r="FU142" s="61"/>
      <c r="FV142" s="61"/>
      <c r="FW142" s="61"/>
      <c r="FX142" s="61"/>
      <c r="FY142" s="61"/>
      <c r="FZ142" s="61"/>
      <c r="GA142" s="61"/>
      <c r="GB142" s="61"/>
      <c r="GC142" s="61"/>
      <c r="GD142" s="61"/>
      <c r="GE142" s="61"/>
      <c r="GF142" s="61"/>
      <c r="GG142" s="61"/>
      <c r="GH142" s="61"/>
      <c r="GI142" s="61"/>
      <c r="GJ142" s="61"/>
      <c r="GK142" s="61"/>
      <c r="GL142" s="61"/>
      <c r="GM142" s="61"/>
      <c r="GN142" s="61"/>
      <c r="GO142" s="61"/>
      <c r="GP142" s="61"/>
      <c r="GQ142" s="61"/>
      <c r="GR142" s="61"/>
      <c r="GS142" s="61"/>
      <c r="GT142" s="61"/>
      <c r="GU142" s="61"/>
      <c r="GV142" s="61"/>
      <c r="GW142" s="61"/>
      <c r="GX142" s="61"/>
      <c r="GY142" s="61"/>
      <c r="GZ142" s="61"/>
      <c r="HA142" s="61"/>
      <c r="HB142" s="61"/>
      <c r="HC142" s="61"/>
      <c r="HD142" s="61"/>
      <c r="HE142" s="61"/>
      <c r="HF142" s="61"/>
      <c r="HG142" s="61"/>
      <c r="HH142" s="61"/>
      <c r="HI142" s="61"/>
      <c r="HJ142" s="61"/>
      <c r="HK142" s="61"/>
      <c r="HL142" s="61"/>
      <c r="HM142" s="61"/>
      <c r="HN142" s="61"/>
      <c r="HO142" s="61"/>
      <c r="HP142" s="61"/>
      <c r="HQ142" s="61"/>
      <c r="HR142" s="61"/>
      <c r="HS142" s="61"/>
      <c r="HT142" s="61"/>
      <c r="HU142" s="61"/>
      <c r="HV142" s="61"/>
      <c r="HW142" s="61"/>
      <c r="HX142" s="61"/>
      <c r="HY142" s="61"/>
      <c r="HZ142" s="61"/>
      <c r="IA142" s="61"/>
      <c r="IB142" s="61"/>
      <c r="IC142" s="61"/>
      <c r="ID142" s="61"/>
      <c r="IE142" s="61"/>
      <c r="IF142" s="61"/>
      <c r="IG142" s="61"/>
      <c r="IH142" s="61"/>
      <c r="II142" s="61"/>
      <c r="IJ142" s="61"/>
      <c r="IK142" s="61"/>
      <c r="IL142" s="61"/>
      <c r="IM142" s="61"/>
      <c r="IN142" s="61"/>
      <c r="IO142" s="61"/>
      <c r="IP142" s="61"/>
      <c r="IQ142" s="61"/>
      <c r="IR142" s="61"/>
      <c r="IS142" s="61"/>
      <c r="IT142" s="61"/>
      <c r="IU142" s="61"/>
      <c r="IV142" s="61"/>
      <c r="IW142" s="61"/>
      <c r="IX142" s="61"/>
      <c r="IY142" s="61"/>
      <c r="IZ142" s="61"/>
      <c r="JA142" s="61"/>
      <c r="JB142" s="61"/>
      <c r="JC142" s="61"/>
      <c r="JD142" s="61"/>
      <c r="JE142" s="61"/>
      <c r="JF142" s="61"/>
      <c r="JG142" s="61"/>
      <c r="JH142" s="61"/>
      <c r="JI142" s="61"/>
      <c r="JJ142" s="61"/>
      <c r="JK142" s="61"/>
      <c r="JL142" s="61"/>
      <c r="JM142" s="61"/>
      <c r="JN142" s="61"/>
      <c r="JO142" s="61"/>
      <c r="JP142" s="61"/>
      <c r="JQ142" s="61"/>
      <c r="JR142" s="61"/>
      <c r="JS142" s="61"/>
      <c r="JT142" s="61"/>
      <c r="JU142" s="61"/>
      <c r="JV142" s="61"/>
      <c r="JW142" s="61"/>
      <c r="JX142" s="61"/>
      <c r="JY142" s="61"/>
      <c r="JZ142" s="61"/>
      <c r="KA142" s="61"/>
      <c r="KB142" s="61"/>
      <c r="KC142" s="61"/>
      <c r="KD142" s="61"/>
      <c r="KE142" s="61"/>
      <c r="KF142" s="61"/>
      <c r="KG142" s="61"/>
      <c r="KH142" s="61"/>
      <c r="KI142" s="61"/>
      <c r="KJ142" s="61"/>
      <c r="KK142" s="61"/>
      <c r="KL142" s="61"/>
      <c r="KM142" s="61"/>
      <c r="KN142" s="61"/>
      <c r="KO142" s="61"/>
      <c r="KP142" s="61"/>
      <c r="KQ142" s="61"/>
      <c r="KR142" s="61"/>
      <c r="KS142" s="61"/>
      <c r="KT142" s="61"/>
      <c r="KU142" s="61"/>
      <c r="KV142" s="61"/>
      <c r="KW142" s="61"/>
      <c r="KX142" s="61"/>
      <c r="KY142" s="61"/>
      <c r="KZ142" s="61"/>
      <c r="LA142" s="61"/>
      <c r="LB142" s="61"/>
      <c r="LC142" s="61"/>
      <c r="LD142" s="61"/>
      <c r="LE142" s="61"/>
      <c r="LF142" s="61"/>
      <c r="LG142" s="61"/>
      <c r="LH142" s="61"/>
      <c r="LI142" s="61"/>
      <c r="LJ142" s="61"/>
      <c r="LK142" s="61"/>
      <c r="LL142" s="61"/>
      <c r="LM142" s="61"/>
      <c r="LN142" s="61"/>
      <c r="LO142" s="61"/>
      <c r="LP142" s="61"/>
      <c r="LQ142" s="61"/>
      <c r="LR142" s="61"/>
      <c r="LS142" s="61"/>
      <c r="LT142" s="61"/>
      <c r="LU142" s="61"/>
      <c r="LV142" s="61"/>
      <c r="LW142" s="61"/>
      <c r="LX142" s="61"/>
      <c r="LY142" s="61"/>
      <c r="LZ142" s="61"/>
      <c r="MA142" s="61"/>
      <c r="MB142" s="61"/>
      <c r="MC142" s="61"/>
      <c r="MD142" s="61"/>
      <c r="ME142" s="61"/>
      <c r="MF142" s="61"/>
      <c r="MG142" s="61"/>
      <c r="MH142" s="61"/>
      <c r="MI142" s="61"/>
      <c r="MJ142" s="61"/>
      <c r="MK142" s="61"/>
      <c r="ML142" s="61"/>
      <c r="MM142" s="61"/>
      <c r="MN142" s="61"/>
      <c r="MO142" s="61"/>
      <c r="MP142" s="61"/>
      <c r="MQ142" s="61"/>
      <c r="MR142" s="61"/>
      <c r="MS142" s="61"/>
      <c r="MT142" s="61"/>
      <c r="MU142" s="61"/>
      <c r="MV142" s="61"/>
      <c r="MW142" s="61"/>
      <c r="MX142" s="61"/>
      <c r="MY142" s="61"/>
      <c r="MZ142" s="61"/>
      <c r="NA142" s="61"/>
      <c r="NB142" s="61"/>
      <c r="NC142" s="61"/>
      <c r="ND142" s="61"/>
      <c r="NE142" s="61"/>
      <c r="NF142" s="61"/>
      <c r="NG142" s="61"/>
      <c r="NH142" s="61"/>
      <c r="NI142" s="61"/>
      <c r="NJ142" s="61"/>
      <c r="NK142" s="61"/>
      <c r="NL142" s="61"/>
      <c r="NM142" s="61"/>
      <c r="NN142" s="61"/>
      <c r="NO142" s="61"/>
      <c r="NP142" s="61"/>
      <c r="NQ142" s="61"/>
      <c r="NR142" s="61"/>
      <c r="NS142" s="61"/>
      <c r="NT142" s="61"/>
      <c r="NU142" s="61"/>
      <c r="NV142" s="61"/>
      <c r="NW142" s="61"/>
      <c r="NX142" s="61"/>
      <c r="NY142" s="61"/>
      <c r="NZ142" s="61"/>
      <c r="OA142" s="61"/>
      <c r="OB142" s="61"/>
      <c r="OC142" s="61"/>
      <c r="OD142" s="61"/>
      <c r="OE142" s="61"/>
      <c r="OF142" s="61"/>
      <c r="OG142" s="61"/>
      <c r="OH142" s="61"/>
      <c r="OI142" s="61"/>
      <c r="OJ142" s="61"/>
      <c r="OK142" s="61"/>
      <c r="OL142" s="61"/>
      <c r="OM142" s="61"/>
      <c r="ON142" s="61"/>
      <c r="OO142" s="61"/>
      <c r="OP142" s="61"/>
      <c r="OQ142" s="61"/>
      <c r="OR142" s="61"/>
      <c r="OS142" s="61"/>
      <c r="OT142" s="61"/>
      <c r="OU142" s="61"/>
      <c r="OV142" s="61"/>
      <c r="OW142" s="61"/>
      <c r="OX142" s="61"/>
      <c r="OY142" s="61"/>
      <c r="OZ142" s="61"/>
      <c r="PA142" s="61"/>
      <c r="PB142" s="61"/>
      <c r="PC142" s="61"/>
      <c r="PD142" s="61"/>
      <c r="PE142" s="61"/>
      <c r="PF142" s="61"/>
      <c r="PG142" s="61"/>
      <c r="PH142" s="61"/>
      <c r="PI142" s="61"/>
      <c r="PJ142" s="61"/>
      <c r="PK142" s="61"/>
      <c r="PL142" s="61"/>
      <c r="PM142" s="61"/>
      <c r="PN142" s="61"/>
      <c r="PO142" s="61"/>
      <c r="PP142" s="61"/>
      <c r="PQ142" s="61"/>
      <c r="PR142" s="61"/>
      <c r="PS142" s="61"/>
      <c r="PT142" s="61"/>
      <c r="PU142" s="61"/>
      <c r="PV142" s="61"/>
      <c r="PW142" s="61"/>
      <c r="PX142" s="61"/>
      <c r="PY142" s="61"/>
      <c r="PZ142" s="61"/>
      <c r="QA142" s="61"/>
      <c r="QB142" s="61"/>
      <c r="QC142" s="61"/>
      <c r="QD142" s="61"/>
      <c r="QE142" s="61"/>
      <c r="QF142" s="61"/>
      <c r="QG142" s="61"/>
      <c r="QH142" s="61"/>
      <c r="QI142" s="61"/>
      <c r="QJ142" s="61"/>
      <c r="QK142" s="61"/>
      <c r="QL142" s="61"/>
      <c r="QM142" s="61"/>
      <c r="QN142" s="61"/>
      <c r="QO142" s="61"/>
      <c r="QP142" s="61"/>
      <c r="QQ142" s="61"/>
      <c r="QR142" s="61"/>
      <c r="QS142" s="61"/>
      <c r="QT142" s="61"/>
      <c r="QU142" s="61"/>
      <c r="QV142" s="61"/>
      <c r="QW142" s="61"/>
      <c r="QX142" s="61"/>
      <c r="QY142" s="61"/>
      <c r="QZ142" s="61"/>
      <c r="RA142" s="61"/>
      <c r="RB142" s="61"/>
      <c r="RC142" s="61"/>
      <c r="RD142" s="17"/>
    </row>
    <row r="143" spans="1:472" s="5" customFormat="1" ht="15" hidden="1" customHeight="1" x14ac:dyDescent="0.25">
      <c r="A143" s="5">
        <v>2051</v>
      </c>
      <c r="B143" s="5" t="s">
        <v>416</v>
      </c>
      <c r="C143" s="5" t="s">
        <v>230</v>
      </c>
      <c r="D143" s="5">
        <v>163</v>
      </c>
      <c r="E143" s="36" t="s">
        <v>434</v>
      </c>
      <c r="F143" s="64" t="s">
        <v>216</v>
      </c>
      <c r="G143" s="65"/>
      <c r="H143" s="19"/>
      <c r="I143" s="61"/>
      <c r="J143" s="61"/>
      <c r="K143" s="61"/>
      <c r="L143" s="61"/>
      <c r="M143" s="61"/>
      <c r="N143" s="61"/>
      <c r="O143" s="61"/>
      <c r="P143" s="61"/>
      <c r="Q143" s="61"/>
      <c r="R143" s="61"/>
      <c r="S143" s="61"/>
      <c r="T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v>1</v>
      </c>
      <c r="CW143" s="61"/>
      <c r="CX143" s="61">
        <v>5</v>
      </c>
      <c r="CY143" s="61"/>
      <c r="CZ143" s="61">
        <v>8</v>
      </c>
      <c r="DA143" s="61"/>
      <c r="DB143" s="61">
        <v>10</v>
      </c>
      <c r="DC143" s="61"/>
      <c r="DD143" s="61">
        <v>2</v>
      </c>
      <c r="DE143" s="61"/>
      <c r="DF143" s="61">
        <v>3</v>
      </c>
      <c r="DG143" s="61"/>
      <c r="DH143" s="61">
        <v>6</v>
      </c>
      <c r="DI143" s="61"/>
      <c r="DJ143" s="61">
        <v>10</v>
      </c>
      <c r="DK143" s="61"/>
      <c r="DL143" s="61">
        <v>7</v>
      </c>
      <c r="DM143" s="61"/>
      <c r="DN143" s="61">
        <v>12</v>
      </c>
      <c r="DO143" s="61"/>
      <c r="DP143" s="61">
        <v>14</v>
      </c>
      <c r="DQ143" s="61"/>
      <c r="DR143" s="61">
        <v>14</v>
      </c>
      <c r="DS143" s="61"/>
      <c r="DT143" s="61">
        <v>12</v>
      </c>
      <c r="DU143" s="61"/>
      <c r="DV143" s="61">
        <v>6</v>
      </c>
      <c r="DW143" s="61"/>
      <c r="DX143" s="61">
        <v>8</v>
      </c>
      <c r="DY143" s="61"/>
      <c r="DZ143" s="61">
        <v>4</v>
      </c>
      <c r="EA143" s="61"/>
      <c r="EB143" s="61">
        <v>3</v>
      </c>
      <c r="EC143" s="61"/>
      <c r="ED143" s="61">
        <v>3</v>
      </c>
      <c r="EE143" s="61"/>
      <c r="EF143" s="61">
        <v>1</v>
      </c>
      <c r="EG143" s="61"/>
      <c r="EH143" s="62" t="s">
        <v>707</v>
      </c>
      <c r="EI143" s="63"/>
      <c r="EJ143" s="61">
        <v>1</v>
      </c>
      <c r="EK143" s="61"/>
      <c r="EL143" s="61">
        <v>1</v>
      </c>
      <c r="EM143" s="61"/>
      <c r="EN143" s="61"/>
      <c r="EO143" s="61"/>
      <c r="EP143" s="61"/>
      <c r="EQ143" s="61"/>
      <c r="ER143" s="61"/>
      <c r="ES143" s="61"/>
      <c r="ET143" s="61"/>
      <c r="EU143" s="61"/>
      <c r="EV143" s="61"/>
      <c r="EW143" s="61"/>
      <c r="EX143" s="61"/>
      <c r="EY143" s="61"/>
      <c r="EZ143" s="61"/>
      <c r="FA143" s="61"/>
      <c r="FB143" s="61"/>
      <c r="FC143" s="61"/>
      <c r="FD143" s="61"/>
      <c r="FE143" s="61"/>
      <c r="FF143" s="61"/>
      <c r="FG143" s="61"/>
      <c r="FH143" s="61"/>
      <c r="FI143" s="61"/>
      <c r="FJ143" s="61"/>
      <c r="FK143" s="61"/>
      <c r="FL143" s="61"/>
      <c r="FM143" s="61"/>
      <c r="FN143" s="61"/>
      <c r="FO143" s="61"/>
      <c r="FP143" s="61"/>
      <c r="FQ143" s="61"/>
      <c r="FR143" s="61"/>
      <c r="FS143" s="61"/>
      <c r="FT143" s="61"/>
      <c r="FU143" s="61"/>
      <c r="FV143" s="61"/>
      <c r="FW143" s="61"/>
      <c r="FX143" s="61"/>
      <c r="FY143" s="61"/>
      <c r="FZ143" s="61"/>
      <c r="GA143" s="61"/>
      <c r="GB143" s="61"/>
      <c r="GC143" s="61"/>
      <c r="GD143" s="61"/>
      <c r="GE143" s="61"/>
      <c r="GF143" s="61"/>
      <c r="GG143" s="61"/>
      <c r="GH143" s="61"/>
      <c r="GI143" s="61"/>
      <c r="GJ143" s="61"/>
      <c r="GK143" s="61"/>
      <c r="GL143" s="61"/>
      <c r="GM143" s="61"/>
      <c r="GN143" s="61"/>
      <c r="GO143" s="61"/>
      <c r="GP143" s="61"/>
      <c r="GQ143" s="61"/>
      <c r="GR143" s="61"/>
      <c r="GS143" s="61"/>
      <c r="GT143" s="61"/>
      <c r="GU143" s="61"/>
      <c r="GV143" s="61"/>
      <c r="GW143" s="61"/>
      <c r="GX143" s="61"/>
      <c r="GY143" s="61"/>
      <c r="GZ143" s="61"/>
      <c r="HA143" s="61"/>
      <c r="HB143" s="61"/>
      <c r="HC143" s="61"/>
      <c r="HD143" s="61"/>
      <c r="HE143" s="61"/>
      <c r="HF143" s="61"/>
      <c r="HG143" s="61"/>
      <c r="HH143" s="61"/>
      <c r="HI143" s="61"/>
      <c r="HJ143" s="61"/>
      <c r="HK143" s="61"/>
      <c r="HL143" s="61"/>
      <c r="HM143" s="61"/>
      <c r="HN143" s="61"/>
      <c r="HO143" s="61"/>
      <c r="HP143" s="61"/>
      <c r="HQ143" s="61"/>
      <c r="HR143" s="61"/>
      <c r="HS143" s="61"/>
      <c r="HT143" s="61"/>
      <c r="HU143" s="61"/>
      <c r="HV143" s="61"/>
      <c r="HW143" s="61"/>
      <c r="HX143" s="61"/>
      <c r="HY143" s="61"/>
      <c r="HZ143" s="61"/>
      <c r="IA143" s="61"/>
      <c r="IB143" s="61"/>
      <c r="IC143" s="61"/>
      <c r="ID143" s="61"/>
      <c r="IE143" s="61"/>
      <c r="IF143" s="61"/>
      <c r="IG143" s="61"/>
      <c r="IH143" s="61"/>
      <c r="II143" s="61"/>
      <c r="IJ143" s="61"/>
      <c r="IK143" s="61"/>
      <c r="IL143" s="61"/>
      <c r="IM143" s="61"/>
      <c r="IN143" s="61"/>
      <c r="IO143" s="61"/>
      <c r="IP143" s="61"/>
      <c r="IQ143" s="61"/>
      <c r="IR143" s="61"/>
      <c r="IS143" s="61"/>
      <c r="IT143" s="61"/>
      <c r="IU143" s="61"/>
      <c r="IV143" s="61"/>
      <c r="IW143" s="61"/>
      <c r="IX143" s="61"/>
      <c r="IY143" s="61"/>
      <c r="IZ143" s="61"/>
      <c r="JA143" s="61"/>
      <c r="JB143" s="61"/>
      <c r="JC143" s="61"/>
      <c r="JD143" s="61"/>
      <c r="JE143" s="61"/>
      <c r="JF143" s="61"/>
      <c r="JG143" s="61"/>
      <c r="JH143" s="61"/>
      <c r="JI143" s="61"/>
      <c r="JJ143" s="61"/>
      <c r="JK143" s="61"/>
      <c r="JL143" s="61"/>
      <c r="JM143" s="61"/>
      <c r="JN143" s="61"/>
      <c r="JO143" s="61"/>
      <c r="JP143" s="61"/>
      <c r="JQ143" s="61"/>
      <c r="JR143" s="61"/>
      <c r="JS143" s="61"/>
      <c r="JT143" s="61"/>
      <c r="JU143" s="61"/>
      <c r="JV143" s="61"/>
      <c r="JW143" s="61"/>
      <c r="JX143" s="61"/>
      <c r="JY143" s="61"/>
      <c r="JZ143" s="61"/>
      <c r="KA143" s="61"/>
      <c r="KB143" s="61"/>
      <c r="KC143" s="61"/>
      <c r="KD143" s="61"/>
      <c r="KE143" s="61"/>
      <c r="KF143" s="61"/>
      <c r="KG143" s="61"/>
      <c r="KH143" s="61"/>
      <c r="KI143" s="61"/>
      <c r="KJ143" s="61"/>
      <c r="KK143" s="61"/>
      <c r="KL143" s="61"/>
      <c r="KM143" s="61"/>
      <c r="KN143" s="61"/>
      <c r="KO143" s="61"/>
      <c r="KP143" s="61"/>
      <c r="KQ143" s="61"/>
      <c r="KR143" s="61"/>
      <c r="KS143" s="61"/>
      <c r="KT143" s="61"/>
      <c r="KU143" s="61"/>
      <c r="KV143" s="61"/>
      <c r="KW143" s="61"/>
      <c r="KX143" s="61"/>
      <c r="KY143" s="61"/>
      <c r="KZ143" s="61"/>
      <c r="LA143" s="61"/>
      <c r="LB143" s="61"/>
      <c r="LC143" s="61"/>
      <c r="LD143" s="61"/>
      <c r="LE143" s="61"/>
      <c r="LF143" s="61"/>
      <c r="LG143" s="61"/>
      <c r="LH143" s="61"/>
      <c r="LI143" s="61"/>
      <c r="LJ143" s="61"/>
      <c r="LK143" s="61"/>
      <c r="LL143" s="61"/>
      <c r="LM143" s="61"/>
      <c r="LN143" s="61"/>
      <c r="LO143" s="61"/>
      <c r="LP143" s="61"/>
      <c r="LQ143" s="61"/>
      <c r="LR143" s="61"/>
      <c r="LS143" s="61"/>
      <c r="LT143" s="61"/>
      <c r="LU143" s="61"/>
      <c r="LV143" s="61"/>
      <c r="LW143" s="61"/>
      <c r="LX143" s="61"/>
      <c r="LY143" s="61"/>
      <c r="LZ143" s="61"/>
      <c r="MA143" s="61"/>
      <c r="MB143" s="61"/>
      <c r="MC143" s="61"/>
      <c r="MD143" s="61"/>
      <c r="ME143" s="61"/>
      <c r="MF143" s="61"/>
      <c r="MG143" s="61"/>
      <c r="MH143" s="61"/>
      <c r="MI143" s="61"/>
      <c r="MJ143" s="61"/>
      <c r="MK143" s="61"/>
      <c r="ML143" s="61"/>
      <c r="MM143" s="61"/>
      <c r="MN143" s="61"/>
      <c r="MO143" s="61"/>
      <c r="MP143" s="61"/>
      <c r="MQ143" s="61"/>
      <c r="MR143" s="61"/>
      <c r="MS143" s="61"/>
      <c r="MT143" s="61"/>
      <c r="MU143" s="61"/>
      <c r="MV143" s="61"/>
      <c r="MW143" s="61"/>
      <c r="MX143" s="61"/>
      <c r="MY143" s="61"/>
      <c r="MZ143" s="61"/>
      <c r="NA143" s="61"/>
      <c r="NB143" s="61"/>
      <c r="NC143" s="61"/>
      <c r="ND143" s="61"/>
      <c r="NE143" s="61"/>
      <c r="NF143" s="61"/>
      <c r="NG143" s="61"/>
      <c r="NH143" s="61"/>
      <c r="NI143" s="61"/>
      <c r="NJ143" s="61"/>
      <c r="NK143" s="61"/>
      <c r="NL143" s="61"/>
      <c r="NM143" s="61"/>
      <c r="NN143" s="61"/>
      <c r="NO143" s="61"/>
      <c r="NP143" s="61"/>
      <c r="NQ143" s="61"/>
      <c r="NR143" s="61"/>
      <c r="NS143" s="61"/>
      <c r="NT143" s="61"/>
      <c r="NU143" s="61"/>
      <c r="NV143" s="61"/>
      <c r="NW143" s="61"/>
      <c r="NX143" s="61"/>
      <c r="NY143" s="61"/>
      <c r="NZ143" s="61"/>
      <c r="OA143" s="61"/>
      <c r="OB143" s="61"/>
      <c r="OC143" s="61"/>
      <c r="OD143" s="61"/>
      <c r="OE143" s="61"/>
      <c r="OF143" s="61"/>
      <c r="OG143" s="61"/>
      <c r="OH143" s="61"/>
      <c r="OI143" s="61"/>
      <c r="OJ143" s="61"/>
      <c r="OK143" s="61"/>
      <c r="OL143" s="61"/>
      <c r="OM143" s="61"/>
      <c r="ON143" s="61"/>
      <c r="OO143" s="61"/>
      <c r="OP143" s="61"/>
      <c r="OQ143" s="61"/>
      <c r="OR143" s="61"/>
      <c r="OS143" s="61"/>
      <c r="OT143" s="61"/>
      <c r="OU143" s="61"/>
      <c r="OV143" s="61"/>
      <c r="OW143" s="61"/>
      <c r="OX143" s="61"/>
      <c r="OY143" s="61"/>
      <c r="OZ143" s="61"/>
      <c r="PA143" s="61"/>
      <c r="PB143" s="61"/>
      <c r="PC143" s="61"/>
      <c r="PD143" s="61"/>
      <c r="PE143" s="61"/>
      <c r="PF143" s="61"/>
      <c r="PG143" s="61"/>
      <c r="PH143" s="61"/>
      <c r="PI143" s="61"/>
      <c r="PJ143" s="61"/>
      <c r="PK143" s="61"/>
      <c r="PL143" s="61"/>
      <c r="PM143" s="61"/>
      <c r="PN143" s="61"/>
      <c r="PO143" s="61"/>
      <c r="PP143" s="61"/>
      <c r="PQ143" s="61"/>
      <c r="PR143" s="61"/>
      <c r="PS143" s="61"/>
      <c r="PT143" s="61"/>
      <c r="PU143" s="61"/>
      <c r="PV143" s="61"/>
      <c r="PW143" s="61"/>
      <c r="PX143" s="61"/>
      <c r="PY143" s="61"/>
      <c r="PZ143" s="61"/>
      <c r="QA143" s="61"/>
      <c r="QB143" s="61"/>
      <c r="QC143" s="61"/>
      <c r="QD143" s="61"/>
      <c r="QE143" s="61"/>
      <c r="QF143" s="61"/>
      <c r="QG143" s="61"/>
      <c r="QH143" s="61"/>
      <c r="QI143" s="61"/>
      <c r="QJ143" s="61"/>
      <c r="QK143" s="61"/>
      <c r="QL143" s="61"/>
      <c r="QM143" s="61"/>
      <c r="QN143" s="61"/>
      <c r="QO143" s="61"/>
      <c r="QP143" s="61"/>
      <c r="QQ143" s="61"/>
      <c r="QR143" s="61"/>
      <c r="QS143" s="61"/>
      <c r="QT143" s="61"/>
      <c r="QU143" s="61"/>
      <c r="QV143" s="61"/>
      <c r="QW143" s="61"/>
      <c r="QX143" s="61"/>
      <c r="QY143" s="61"/>
      <c r="QZ143" s="61"/>
      <c r="RA143" s="61"/>
      <c r="RB143" s="61"/>
      <c r="RC143" s="61"/>
      <c r="RD143" s="17"/>
    </row>
    <row r="144" spans="1:472" s="5" customFormat="1" ht="15" hidden="1" customHeight="1" x14ac:dyDescent="0.25">
      <c r="A144" s="5">
        <v>2058</v>
      </c>
      <c r="B144" s="5" t="s">
        <v>484</v>
      </c>
      <c r="C144" s="5" t="s">
        <v>165</v>
      </c>
      <c r="D144" s="5">
        <v>77</v>
      </c>
      <c r="E144" s="36"/>
      <c r="F144" s="64" t="s">
        <v>216</v>
      </c>
      <c r="G144" s="65"/>
      <c r="H144" s="19"/>
      <c r="I144" s="61"/>
      <c r="J144" s="61"/>
      <c r="K144" s="61"/>
      <c r="L144" s="61"/>
      <c r="M144" s="61"/>
      <c r="N144" s="61"/>
      <c r="O144" s="61"/>
      <c r="P144" s="61"/>
      <c r="Q144" s="61"/>
      <c r="R144" s="61"/>
      <c r="S144" s="61"/>
      <c r="T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v>2</v>
      </c>
      <c r="DC144" s="61"/>
      <c r="DD144" s="61"/>
      <c r="DE144" s="61"/>
      <c r="DF144" s="61"/>
      <c r="DG144" s="61"/>
      <c r="DH144" s="61"/>
      <c r="DI144" s="61"/>
      <c r="DJ144" s="61">
        <v>2</v>
      </c>
      <c r="DK144" s="61"/>
      <c r="DL144" s="61">
        <v>2</v>
      </c>
      <c r="DM144" s="61"/>
      <c r="DN144" s="61">
        <v>2</v>
      </c>
      <c r="DO144" s="61"/>
      <c r="DP144" s="61">
        <v>3</v>
      </c>
      <c r="DQ144" s="61"/>
      <c r="DR144" s="61">
        <v>5</v>
      </c>
      <c r="DS144" s="61"/>
      <c r="DT144" s="61">
        <v>7</v>
      </c>
      <c r="DU144" s="61"/>
      <c r="DV144" s="61">
        <v>7</v>
      </c>
      <c r="DW144" s="61"/>
      <c r="DX144" s="61">
        <v>7</v>
      </c>
      <c r="DY144" s="61"/>
      <c r="DZ144" s="61">
        <v>6</v>
      </c>
      <c r="EA144" s="61"/>
      <c r="EB144" s="61">
        <v>4</v>
      </c>
      <c r="EC144" s="61"/>
      <c r="ED144" s="61">
        <v>2</v>
      </c>
      <c r="EE144" s="61"/>
      <c r="EF144" s="61">
        <v>3</v>
      </c>
      <c r="EG144" s="61"/>
      <c r="EH144" s="62" t="s">
        <v>707</v>
      </c>
      <c r="EI144" s="63"/>
      <c r="EJ144" s="61">
        <v>1</v>
      </c>
      <c r="EK144" s="61"/>
      <c r="EL144" s="61">
        <v>1</v>
      </c>
      <c r="EM144" s="61"/>
      <c r="EN144" s="61">
        <v>1</v>
      </c>
      <c r="EO144" s="61"/>
      <c r="EP144" s="61">
        <v>1</v>
      </c>
      <c r="EQ144" s="61"/>
      <c r="ER144" s="61">
        <v>1</v>
      </c>
      <c r="ES144" s="61"/>
      <c r="ET144" s="61">
        <v>1</v>
      </c>
      <c r="EU144" s="61"/>
      <c r="EV144" s="61"/>
      <c r="EW144" s="61"/>
      <c r="EX144" s="61"/>
      <c r="EY144" s="61"/>
      <c r="EZ144" s="61"/>
      <c r="FA144" s="61"/>
      <c r="FB144" s="61"/>
      <c r="FC144" s="61"/>
      <c r="FD144" s="61"/>
      <c r="FE144" s="61"/>
      <c r="FF144" s="61"/>
      <c r="FG144" s="61"/>
      <c r="FH144" s="61"/>
      <c r="FI144" s="61"/>
      <c r="FJ144" s="61"/>
      <c r="FK144" s="61"/>
      <c r="FL144" s="61"/>
      <c r="FM144" s="61"/>
      <c r="FN144" s="61"/>
      <c r="FO144" s="61"/>
      <c r="FP144" s="61"/>
      <c r="FQ144" s="61"/>
      <c r="FR144" s="61"/>
      <c r="FS144" s="61"/>
      <c r="FT144" s="61"/>
      <c r="FU144" s="61"/>
      <c r="FV144" s="61"/>
      <c r="FW144" s="61"/>
      <c r="FX144" s="61"/>
      <c r="FY144" s="61"/>
      <c r="FZ144" s="61"/>
      <c r="GA144" s="61"/>
      <c r="GB144" s="61"/>
      <c r="GC144" s="61"/>
      <c r="GD144" s="61"/>
      <c r="GE144" s="61"/>
      <c r="GF144" s="61"/>
      <c r="GG144" s="61"/>
      <c r="GH144" s="61"/>
      <c r="GI144" s="61"/>
      <c r="GJ144" s="61"/>
      <c r="GK144" s="61"/>
      <c r="GL144" s="61"/>
      <c r="GM144" s="61"/>
      <c r="GN144" s="61"/>
      <c r="GO144" s="61"/>
      <c r="GP144" s="61"/>
      <c r="GQ144" s="61"/>
      <c r="GR144" s="61"/>
      <c r="GS144" s="61"/>
      <c r="GT144" s="61"/>
      <c r="GU144" s="61"/>
      <c r="GV144" s="61"/>
      <c r="GW144" s="61"/>
      <c r="GX144" s="61"/>
      <c r="GY144" s="61"/>
      <c r="GZ144" s="61"/>
      <c r="HA144" s="61"/>
      <c r="HB144" s="61"/>
      <c r="HC144" s="61"/>
      <c r="HD144" s="61"/>
      <c r="HE144" s="61"/>
      <c r="HF144" s="61"/>
      <c r="HG144" s="61"/>
      <c r="HH144" s="61"/>
      <c r="HI144" s="61"/>
      <c r="HJ144" s="61"/>
      <c r="HK144" s="61"/>
      <c r="HL144" s="61"/>
      <c r="HM144" s="61"/>
      <c r="HN144" s="61"/>
      <c r="HO144" s="61"/>
      <c r="HP144" s="61"/>
      <c r="HQ144" s="61"/>
      <c r="HR144" s="61"/>
      <c r="HS144" s="61"/>
      <c r="HT144" s="61"/>
      <c r="HU144" s="61"/>
      <c r="HV144" s="61"/>
      <c r="HW144" s="61"/>
      <c r="HX144" s="61"/>
      <c r="HY144" s="61"/>
      <c r="HZ144" s="61"/>
      <c r="IA144" s="61"/>
      <c r="IB144" s="61"/>
      <c r="IC144" s="61"/>
      <c r="ID144" s="61"/>
      <c r="IE144" s="61"/>
      <c r="IF144" s="61"/>
      <c r="IG144" s="61"/>
      <c r="IH144" s="61"/>
      <c r="II144" s="61"/>
      <c r="IJ144" s="61"/>
      <c r="IK144" s="61"/>
      <c r="IL144" s="61"/>
      <c r="IM144" s="61"/>
      <c r="IN144" s="61"/>
      <c r="IO144" s="61"/>
      <c r="IP144" s="61"/>
      <c r="IQ144" s="61"/>
      <c r="IR144" s="61"/>
      <c r="IS144" s="61"/>
      <c r="IT144" s="61"/>
      <c r="IU144" s="61"/>
      <c r="IV144" s="61"/>
      <c r="IW144" s="61"/>
      <c r="IX144" s="61"/>
      <c r="IY144" s="61"/>
      <c r="IZ144" s="61"/>
      <c r="JA144" s="61"/>
      <c r="JB144" s="61"/>
      <c r="JC144" s="61"/>
      <c r="JD144" s="61"/>
      <c r="JE144" s="61"/>
      <c r="JF144" s="61"/>
      <c r="JG144" s="61"/>
      <c r="JH144" s="61"/>
      <c r="JI144" s="61"/>
      <c r="JJ144" s="61"/>
      <c r="JK144" s="61"/>
      <c r="JL144" s="61"/>
      <c r="JM144" s="61"/>
      <c r="JN144" s="61"/>
      <c r="JO144" s="61"/>
      <c r="JP144" s="61"/>
      <c r="JQ144" s="61"/>
      <c r="JR144" s="61"/>
      <c r="JS144" s="61"/>
      <c r="JT144" s="61"/>
      <c r="JU144" s="61"/>
      <c r="JV144" s="61"/>
      <c r="JW144" s="61"/>
      <c r="JX144" s="61"/>
      <c r="JY144" s="61"/>
      <c r="JZ144" s="61"/>
      <c r="KA144" s="61"/>
      <c r="KB144" s="61"/>
      <c r="KC144" s="61"/>
      <c r="KD144" s="61"/>
      <c r="KE144" s="61"/>
      <c r="KF144" s="61"/>
      <c r="KG144" s="61"/>
      <c r="KH144" s="61"/>
      <c r="KI144" s="61"/>
      <c r="KJ144" s="61"/>
      <c r="KK144" s="61"/>
      <c r="KL144" s="61"/>
      <c r="KM144" s="61"/>
      <c r="KN144" s="61"/>
      <c r="KO144" s="61"/>
      <c r="KP144" s="61"/>
      <c r="KQ144" s="61"/>
      <c r="KR144" s="61"/>
      <c r="KS144" s="61"/>
      <c r="KT144" s="61"/>
      <c r="KU144" s="61"/>
      <c r="KV144" s="61"/>
      <c r="KW144" s="61"/>
      <c r="KX144" s="61"/>
      <c r="KY144" s="61"/>
      <c r="KZ144" s="61"/>
      <c r="LA144" s="61"/>
      <c r="LB144" s="61"/>
      <c r="LC144" s="61"/>
      <c r="LD144" s="61"/>
      <c r="LE144" s="61"/>
      <c r="LF144" s="61"/>
      <c r="LG144" s="61"/>
      <c r="LH144" s="61"/>
      <c r="LI144" s="61"/>
      <c r="LJ144" s="61"/>
      <c r="LK144" s="61"/>
      <c r="LL144" s="61"/>
      <c r="LM144" s="61"/>
      <c r="LN144" s="61"/>
      <c r="LO144" s="61"/>
      <c r="LP144" s="61"/>
      <c r="LQ144" s="61"/>
      <c r="LR144" s="61"/>
      <c r="LS144" s="61"/>
      <c r="LT144" s="61"/>
      <c r="LU144" s="61"/>
      <c r="LV144" s="61"/>
      <c r="LW144" s="61"/>
      <c r="LX144" s="61"/>
      <c r="LY144" s="61"/>
      <c r="LZ144" s="61"/>
      <c r="MA144" s="61"/>
      <c r="MB144" s="61"/>
      <c r="MC144" s="61"/>
      <c r="MD144" s="61"/>
      <c r="ME144" s="61"/>
      <c r="MF144" s="61"/>
      <c r="MG144" s="61"/>
      <c r="MH144" s="61"/>
      <c r="MI144" s="61"/>
      <c r="MJ144" s="61"/>
      <c r="MK144" s="61"/>
      <c r="ML144" s="61"/>
      <c r="MM144" s="61"/>
      <c r="MN144" s="61"/>
      <c r="MO144" s="61"/>
      <c r="MP144" s="61"/>
      <c r="MQ144" s="61"/>
      <c r="MR144" s="61"/>
      <c r="MS144" s="61"/>
      <c r="MT144" s="61"/>
      <c r="MU144" s="61"/>
      <c r="MV144" s="61"/>
      <c r="MW144" s="61"/>
      <c r="MX144" s="61"/>
      <c r="MY144" s="61"/>
      <c r="MZ144" s="61"/>
      <c r="NA144" s="61"/>
      <c r="NB144" s="61"/>
      <c r="NC144" s="61"/>
      <c r="ND144" s="61"/>
      <c r="NE144" s="61"/>
      <c r="NF144" s="61"/>
      <c r="NG144" s="61"/>
      <c r="NH144" s="61"/>
      <c r="NI144" s="61"/>
      <c r="NJ144" s="61"/>
      <c r="NK144" s="61"/>
      <c r="NL144" s="61"/>
      <c r="NM144" s="61"/>
      <c r="NN144" s="61"/>
      <c r="NO144" s="61"/>
      <c r="NP144" s="61"/>
      <c r="NQ144" s="61"/>
      <c r="NR144" s="61"/>
      <c r="NS144" s="61"/>
      <c r="NT144" s="61"/>
      <c r="NU144" s="61"/>
      <c r="NV144" s="61"/>
      <c r="NW144" s="61"/>
      <c r="NX144" s="61"/>
      <c r="NY144" s="61"/>
      <c r="NZ144" s="61"/>
      <c r="OA144" s="61"/>
      <c r="OB144" s="61"/>
      <c r="OC144" s="61"/>
      <c r="OD144" s="61"/>
      <c r="OE144" s="61"/>
      <c r="OF144" s="61"/>
      <c r="OG144" s="61"/>
      <c r="OH144" s="61"/>
      <c r="OI144" s="61"/>
      <c r="OJ144" s="61"/>
      <c r="OK144" s="61"/>
      <c r="OL144" s="61"/>
      <c r="OM144" s="61"/>
      <c r="ON144" s="61"/>
      <c r="OO144" s="61"/>
      <c r="OP144" s="61"/>
      <c r="OQ144" s="61"/>
      <c r="OR144" s="61"/>
      <c r="OS144" s="61"/>
      <c r="OT144" s="61"/>
      <c r="OU144" s="61"/>
      <c r="OV144" s="61"/>
      <c r="OW144" s="61"/>
      <c r="OX144" s="61"/>
      <c r="OY144" s="61"/>
      <c r="OZ144" s="61"/>
      <c r="PA144" s="61"/>
      <c r="PB144" s="61"/>
      <c r="PC144" s="61"/>
      <c r="PD144" s="61"/>
      <c r="PE144" s="61"/>
      <c r="PF144" s="61"/>
      <c r="PG144" s="61"/>
      <c r="PH144" s="61"/>
      <c r="PI144" s="61"/>
      <c r="PJ144" s="61"/>
      <c r="PK144" s="61"/>
      <c r="PL144" s="61"/>
      <c r="PM144" s="61"/>
      <c r="PN144" s="61"/>
      <c r="PO144" s="61"/>
      <c r="PP144" s="61"/>
      <c r="PQ144" s="61"/>
      <c r="PR144" s="61"/>
      <c r="PS144" s="61"/>
      <c r="PT144" s="61"/>
      <c r="PU144" s="61"/>
      <c r="PV144" s="61"/>
      <c r="PW144" s="61"/>
      <c r="PX144" s="61"/>
      <c r="PY144" s="61"/>
      <c r="PZ144" s="61"/>
      <c r="QA144" s="61"/>
      <c r="QB144" s="61"/>
      <c r="QC144" s="61"/>
      <c r="QD144" s="61"/>
      <c r="QE144" s="61"/>
      <c r="QF144" s="61"/>
      <c r="QG144" s="61"/>
      <c r="QH144" s="61"/>
      <c r="QI144" s="61"/>
      <c r="QJ144" s="61"/>
      <c r="QK144" s="61"/>
      <c r="QL144" s="61"/>
      <c r="QM144" s="61"/>
      <c r="QN144" s="61"/>
      <c r="QO144" s="61"/>
      <c r="QP144" s="61"/>
      <c r="QQ144" s="61"/>
      <c r="QR144" s="61"/>
      <c r="QS144" s="61"/>
      <c r="QT144" s="61"/>
      <c r="QU144" s="61"/>
      <c r="QV144" s="61"/>
      <c r="QW144" s="61"/>
      <c r="QX144" s="61"/>
      <c r="QY144" s="61"/>
      <c r="QZ144" s="61"/>
      <c r="RA144" s="61"/>
      <c r="RB144" s="61"/>
      <c r="RC144" s="61"/>
      <c r="RD144" s="17"/>
    </row>
    <row r="145" spans="1:472" s="5" customFormat="1" ht="15" hidden="1" customHeight="1" x14ac:dyDescent="0.25">
      <c r="A145" s="5">
        <v>2059</v>
      </c>
      <c r="B145" s="5" t="s">
        <v>483</v>
      </c>
      <c r="C145" s="5" t="s">
        <v>369</v>
      </c>
      <c r="D145" s="5">
        <v>365</v>
      </c>
      <c r="E145" s="36"/>
      <c r="F145" s="64" t="s">
        <v>216</v>
      </c>
      <c r="G145" s="65"/>
      <c r="H145" s="19"/>
      <c r="I145" s="61"/>
      <c r="J145" s="61"/>
      <c r="K145" s="61"/>
      <c r="L145" s="61"/>
      <c r="M145" s="61"/>
      <c r="N145" s="61"/>
      <c r="O145" s="61"/>
      <c r="P145" s="61"/>
      <c r="Q145" s="61"/>
      <c r="R145" s="61"/>
      <c r="S145" s="61"/>
      <c r="T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v>4</v>
      </c>
      <c r="DK145" s="61"/>
      <c r="DL145" s="61">
        <v>6</v>
      </c>
      <c r="DM145" s="61"/>
      <c r="DN145" s="61">
        <v>5</v>
      </c>
      <c r="DO145" s="61"/>
      <c r="DP145" s="61">
        <v>10</v>
      </c>
      <c r="DQ145" s="61"/>
      <c r="DR145" s="61">
        <v>15</v>
      </c>
      <c r="DS145" s="61"/>
      <c r="DT145" s="61">
        <v>18</v>
      </c>
      <c r="DU145" s="61"/>
      <c r="DV145" s="61">
        <v>20</v>
      </c>
      <c r="DW145" s="61"/>
      <c r="DX145" s="61">
        <v>20</v>
      </c>
      <c r="DY145" s="61"/>
      <c r="DZ145" s="61">
        <v>18</v>
      </c>
      <c r="EA145" s="61"/>
      <c r="EB145" s="61">
        <v>18</v>
      </c>
      <c r="EC145" s="61"/>
      <c r="ED145" s="61">
        <v>15</v>
      </c>
      <c r="EE145" s="61"/>
      <c r="EF145" s="61">
        <v>15</v>
      </c>
      <c r="EG145" s="61"/>
      <c r="EH145" s="62" t="s">
        <v>707</v>
      </c>
      <c r="EI145" s="63"/>
      <c r="EJ145" s="61">
        <v>10</v>
      </c>
      <c r="EK145" s="61"/>
      <c r="EL145" s="61">
        <v>14</v>
      </c>
      <c r="EM145" s="61"/>
      <c r="EN145" s="61">
        <v>13</v>
      </c>
      <c r="EO145" s="61"/>
      <c r="EP145" s="61">
        <v>8</v>
      </c>
      <c r="EQ145" s="61"/>
      <c r="ER145" s="61">
        <v>6</v>
      </c>
      <c r="ES145" s="61">
        <v>2</v>
      </c>
      <c r="ET145" s="61">
        <v>3</v>
      </c>
      <c r="EU145" s="61">
        <v>1</v>
      </c>
      <c r="EV145" s="61">
        <v>2</v>
      </c>
      <c r="EW145" s="61"/>
      <c r="EX145" s="61">
        <v>2</v>
      </c>
      <c r="EY145" s="61"/>
      <c r="EZ145" s="61">
        <v>1</v>
      </c>
      <c r="FA145" s="61"/>
      <c r="FB145" s="61">
        <v>1</v>
      </c>
      <c r="FC145" s="61"/>
      <c r="FD145" s="61">
        <v>1</v>
      </c>
      <c r="FE145" s="61"/>
      <c r="FF145" s="61"/>
      <c r="FG145" s="61"/>
      <c r="FH145" s="61"/>
      <c r="FI145" s="61"/>
      <c r="FJ145" s="61"/>
      <c r="FK145" s="61"/>
      <c r="FL145" s="61"/>
      <c r="FM145" s="61"/>
      <c r="FN145" s="61"/>
      <c r="FO145" s="61"/>
      <c r="FP145" s="61"/>
      <c r="FQ145" s="61"/>
      <c r="FR145" s="61"/>
      <c r="FS145" s="61"/>
      <c r="FT145" s="61"/>
      <c r="FU145" s="61"/>
      <c r="FV145" s="61"/>
      <c r="FW145" s="61"/>
      <c r="FX145" s="61"/>
      <c r="FY145" s="61"/>
      <c r="FZ145" s="61"/>
      <c r="GA145" s="61"/>
      <c r="GB145" s="61"/>
      <c r="GC145" s="61"/>
      <c r="GD145" s="61"/>
      <c r="GE145" s="61"/>
      <c r="GF145" s="61"/>
      <c r="GG145" s="61"/>
      <c r="GH145" s="61"/>
      <c r="GI145" s="61"/>
      <c r="GJ145" s="61"/>
      <c r="GK145" s="61"/>
      <c r="GL145" s="61"/>
      <c r="GM145" s="61"/>
      <c r="GN145" s="61"/>
      <c r="GO145" s="61"/>
      <c r="GP145" s="61"/>
      <c r="GQ145" s="61"/>
      <c r="GR145" s="61"/>
      <c r="GS145" s="61"/>
      <c r="GT145" s="61"/>
      <c r="GU145" s="61"/>
      <c r="GV145" s="61"/>
      <c r="GW145" s="61"/>
      <c r="GX145" s="61"/>
      <c r="GY145" s="61"/>
      <c r="GZ145" s="61"/>
      <c r="HA145" s="61"/>
      <c r="HB145" s="61"/>
      <c r="HC145" s="61"/>
      <c r="HD145" s="61"/>
      <c r="HE145" s="61"/>
      <c r="HF145" s="61"/>
      <c r="HG145" s="61"/>
      <c r="HH145" s="61"/>
      <c r="HI145" s="61"/>
      <c r="HJ145" s="61"/>
      <c r="HK145" s="61"/>
      <c r="HL145" s="61"/>
      <c r="HM145" s="61"/>
      <c r="HN145" s="61"/>
      <c r="HO145" s="61"/>
      <c r="HP145" s="61"/>
      <c r="HQ145" s="61"/>
      <c r="HR145" s="61"/>
      <c r="HS145" s="61"/>
      <c r="HT145" s="61"/>
      <c r="HU145" s="61"/>
      <c r="HV145" s="61"/>
      <c r="HW145" s="61"/>
      <c r="HX145" s="61"/>
      <c r="HY145" s="61"/>
      <c r="HZ145" s="61"/>
      <c r="IA145" s="61"/>
      <c r="IB145" s="61"/>
      <c r="IC145" s="61"/>
      <c r="ID145" s="61"/>
      <c r="IE145" s="61"/>
      <c r="IF145" s="61"/>
      <c r="IG145" s="61"/>
      <c r="IH145" s="61"/>
      <c r="II145" s="61"/>
      <c r="IJ145" s="61"/>
      <c r="IK145" s="61"/>
      <c r="IL145" s="61"/>
      <c r="IM145" s="61"/>
      <c r="IN145" s="61"/>
      <c r="IO145" s="61"/>
      <c r="IP145" s="61"/>
      <c r="IQ145" s="61"/>
      <c r="IR145" s="61"/>
      <c r="IS145" s="61"/>
      <c r="IT145" s="61"/>
      <c r="IU145" s="61"/>
      <c r="IV145" s="61"/>
      <c r="IW145" s="61"/>
      <c r="IX145" s="61"/>
      <c r="IY145" s="61"/>
      <c r="IZ145" s="61"/>
      <c r="JA145" s="61"/>
      <c r="JB145" s="61"/>
      <c r="JC145" s="61"/>
      <c r="JD145" s="61"/>
      <c r="JE145" s="61"/>
      <c r="JF145" s="61"/>
      <c r="JG145" s="61"/>
      <c r="JH145" s="61"/>
      <c r="JI145" s="61"/>
      <c r="JJ145" s="61"/>
      <c r="JK145" s="61"/>
      <c r="JL145" s="61"/>
      <c r="JM145" s="61"/>
      <c r="JN145" s="61"/>
      <c r="JO145" s="61"/>
      <c r="JP145" s="61"/>
      <c r="JQ145" s="61"/>
      <c r="JR145" s="61"/>
      <c r="JS145" s="61"/>
      <c r="JT145" s="61"/>
      <c r="JU145" s="61"/>
      <c r="JV145" s="61"/>
      <c r="JW145" s="61"/>
      <c r="JX145" s="61"/>
      <c r="JY145" s="61"/>
      <c r="JZ145" s="61"/>
      <c r="KA145" s="61"/>
      <c r="KB145" s="61"/>
      <c r="KC145" s="61"/>
      <c r="KD145" s="61"/>
      <c r="KE145" s="61"/>
      <c r="KF145" s="61"/>
      <c r="KG145" s="61"/>
      <c r="KH145" s="61"/>
      <c r="KI145" s="61"/>
      <c r="KJ145" s="61"/>
      <c r="KK145" s="61"/>
      <c r="KL145" s="61"/>
      <c r="KM145" s="61"/>
      <c r="KN145" s="61"/>
      <c r="KO145" s="61"/>
      <c r="KP145" s="61"/>
      <c r="KQ145" s="61"/>
      <c r="KR145" s="61"/>
      <c r="KS145" s="61"/>
      <c r="KT145" s="61"/>
      <c r="KU145" s="61"/>
      <c r="KV145" s="61"/>
      <c r="KW145" s="61"/>
      <c r="KX145" s="61"/>
      <c r="KY145" s="61"/>
      <c r="KZ145" s="61"/>
      <c r="LA145" s="61"/>
      <c r="LB145" s="61"/>
      <c r="LC145" s="61"/>
      <c r="LD145" s="61"/>
      <c r="LE145" s="61"/>
      <c r="LF145" s="61"/>
      <c r="LG145" s="61"/>
      <c r="LH145" s="61"/>
      <c r="LI145" s="61"/>
      <c r="LJ145" s="61"/>
      <c r="LK145" s="61"/>
      <c r="LL145" s="61"/>
      <c r="LM145" s="61"/>
      <c r="LN145" s="61"/>
      <c r="LO145" s="61"/>
      <c r="LP145" s="61"/>
      <c r="LQ145" s="61"/>
      <c r="LR145" s="61"/>
      <c r="LS145" s="61"/>
      <c r="LT145" s="61"/>
      <c r="LU145" s="61"/>
      <c r="LV145" s="61"/>
      <c r="LW145" s="61"/>
      <c r="LX145" s="61"/>
      <c r="LY145" s="61"/>
      <c r="LZ145" s="61"/>
      <c r="MA145" s="61"/>
      <c r="MB145" s="61"/>
      <c r="MC145" s="61"/>
      <c r="MD145" s="61"/>
      <c r="ME145" s="61"/>
      <c r="MF145" s="61"/>
      <c r="MG145" s="61"/>
      <c r="MH145" s="61"/>
      <c r="MI145" s="61"/>
      <c r="MJ145" s="61"/>
      <c r="MK145" s="61"/>
      <c r="ML145" s="61"/>
      <c r="MM145" s="61"/>
      <c r="MN145" s="61"/>
      <c r="MO145" s="61"/>
      <c r="MP145" s="61"/>
      <c r="MQ145" s="61"/>
      <c r="MR145" s="61"/>
      <c r="MS145" s="61"/>
      <c r="MT145" s="61"/>
      <c r="MU145" s="61"/>
      <c r="MV145" s="61"/>
      <c r="MW145" s="61"/>
      <c r="MX145" s="61"/>
      <c r="MY145" s="61"/>
      <c r="MZ145" s="61"/>
      <c r="NA145" s="61"/>
      <c r="NB145" s="61"/>
      <c r="NC145" s="61"/>
      <c r="ND145" s="61"/>
      <c r="NE145" s="61"/>
      <c r="NF145" s="61"/>
      <c r="NG145" s="61"/>
      <c r="NH145" s="61"/>
      <c r="NI145" s="61"/>
      <c r="NJ145" s="61"/>
      <c r="NK145" s="61"/>
      <c r="NL145" s="61"/>
      <c r="NM145" s="61"/>
      <c r="NN145" s="61"/>
      <c r="NO145" s="61"/>
      <c r="NP145" s="61"/>
      <c r="NQ145" s="61"/>
      <c r="NR145" s="61"/>
      <c r="NS145" s="61"/>
      <c r="NT145" s="61"/>
      <c r="NU145" s="61"/>
      <c r="NV145" s="61"/>
      <c r="NW145" s="61"/>
      <c r="NX145" s="61"/>
      <c r="NY145" s="61"/>
      <c r="NZ145" s="61"/>
      <c r="OA145" s="61"/>
      <c r="OB145" s="61"/>
      <c r="OC145" s="61"/>
      <c r="OD145" s="61"/>
      <c r="OE145" s="61"/>
      <c r="OF145" s="61"/>
      <c r="OG145" s="61"/>
      <c r="OH145" s="61"/>
      <c r="OI145" s="61"/>
      <c r="OJ145" s="61"/>
      <c r="OK145" s="61"/>
      <c r="OL145" s="61"/>
      <c r="OM145" s="61"/>
      <c r="ON145" s="61"/>
      <c r="OO145" s="61"/>
      <c r="OP145" s="61"/>
      <c r="OQ145" s="61"/>
      <c r="OR145" s="61"/>
      <c r="OS145" s="61"/>
      <c r="OT145" s="61"/>
      <c r="OU145" s="61"/>
      <c r="OV145" s="61"/>
      <c r="OW145" s="61"/>
      <c r="OX145" s="61"/>
      <c r="OY145" s="61"/>
      <c r="OZ145" s="61"/>
      <c r="PA145" s="61"/>
      <c r="PB145" s="61"/>
      <c r="PC145" s="61"/>
      <c r="PD145" s="61"/>
      <c r="PE145" s="61"/>
      <c r="PF145" s="61"/>
      <c r="PG145" s="61"/>
      <c r="PH145" s="61"/>
      <c r="PI145" s="61"/>
      <c r="PJ145" s="61"/>
      <c r="PK145" s="61"/>
      <c r="PL145" s="61"/>
      <c r="PM145" s="61"/>
      <c r="PN145" s="61"/>
      <c r="PO145" s="61"/>
      <c r="PP145" s="61"/>
      <c r="PQ145" s="61"/>
      <c r="PR145" s="61"/>
      <c r="PS145" s="61"/>
      <c r="PT145" s="61"/>
      <c r="PU145" s="61"/>
      <c r="PV145" s="61"/>
      <c r="PW145" s="61"/>
      <c r="PX145" s="61"/>
      <c r="PY145" s="61"/>
      <c r="PZ145" s="61"/>
      <c r="QA145" s="61"/>
      <c r="QB145" s="61"/>
      <c r="QC145" s="61"/>
      <c r="QD145" s="61"/>
      <c r="QE145" s="61"/>
      <c r="QF145" s="61"/>
      <c r="QG145" s="61"/>
      <c r="QH145" s="61"/>
      <c r="QI145" s="61"/>
      <c r="QJ145" s="61"/>
      <c r="QK145" s="61"/>
      <c r="QL145" s="61"/>
      <c r="QM145" s="61"/>
      <c r="QN145" s="61"/>
      <c r="QO145" s="61"/>
      <c r="QP145" s="61"/>
      <c r="QQ145" s="61"/>
      <c r="QR145" s="61"/>
      <c r="QS145" s="61"/>
      <c r="QT145" s="61"/>
      <c r="QU145" s="61"/>
      <c r="QV145" s="61"/>
      <c r="QW145" s="61"/>
      <c r="QX145" s="61"/>
      <c r="QY145" s="61"/>
      <c r="QZ145" s="61"/>
      <c r="RA145" s="61"/>
      <c r="RB145" s="61"/>
      <c r="RC145" s="61"/>
      <c r="RD145" s="17"/>
    </row>
    <row r="146" spans="1:472" s="5" customFormat="1" ht="15" hidden="1" customHeight="1" x14ac:dyDescent="0.25">
      <c r="A146" s="5">
        <v>2056</v>
      </c>
      <c r="B146" s="5" t="s">
        <v>460</v>
      </c>
      <c r="C146" s="5" t="s">
        <v>4</v>
      </c>
      <c r="D146" s="5">
        <v>321</v>
      </c>
      <c r="E146" s="36"/>
      <c r="F146" s="64" t="s">
        <v>216</v>
      </c>
      <c r="G146" s="65"/>
      <c r="H146" s="19"/>
      <c r="I146" s="61"/>
      <c r="J146" s="61"/>
      <c r="K146" s="61"/>
      <c r="L146" s="61"/>
      <c r="M146" s="61"/>
      <c r="N146" s="61"/>
      <c r="O146" s="61"/>
      <c r="P146" s="61"/>
      <c r="Q146" s="61"/>
      <c r="R146" s="61"/>
      <c r="S146" s="61"/>
      <c r="T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v>1</v>
      </c>
      <c r="DO146" s="61"/>
      <c r="DP146" s="61">
        <v>5</v>
      </c>
      <c r="DQ146" s="61"/>
      <c r="DR146" s="61">
        <v>5</v>
      </c>
      <c r="DS146" s="61"/>
      <c r="DT146" s="61">
        <v>5</v>
      </c>
      <c r="DU146" s="61"/>
      <c r="DV146" s="61">
        <v>12</v>
      </c>
      <c r="DW146" s="61"/>
      <c r="DX146" s="61">
        <v>13</v>
      </c>
      <c r="DY146" s="61"/>
      <c r="DZ146" s="61">
        <v>25</v>
      </c>
      <c r="EA146" s="61"/>
      <c r="EB146" s="61">
        <v>25</v>
      </c>
      <c r="EC146" s="61"/>
      <c r="ED146" s="61">
        <v>25</v>
      </c>
      <c r="EE146" s="61"/>
      <c r="EF146" s="61">
        <v>25</v>
      </c>
      <c r="EG146" s="61"/>
      <c r="EH146" s="62" t="s">
        <v>707</v>
      </c>
      <c r="EI146" s="63"/>
      <c r="EJ146" s="61">
        <v>12</v>
      </c>
      <c r="EK146" s="61"/>
      <c r="EL146" s="61">
        <v>16</v>
      </c>
      <c r="EM146" s="61"/>
      <c r="EN146" s="61">
        <v>15</v>
      </c>
      <c r="EO146" s="61"/>
      <c r="EP146" s="61">
        <v>11</v>
      </c>
      <c r="EQ146" s="61"/>
      <c r="ER146" s="61">
        <v>5</v>
      </c>
      <c r="ES146" s="61"/>
      <c r="ET146" s="61">
        <v>3</v>
      </c>
      <c r="EU146" s="61"/>
      <c r="EV146" s="61">
        <v>5</v>
      </c>
      <c r="EW146" s="61"/>
      <c r="EX146" s="61">
        <v>2</v>
      </c>
      <c r="EY146" s="61"/>
      <c r="EZ146" s="61">
        <v>1</v>
      </c>
      <c r="FA146" s="61"/>
      <c r="FB146" s="61">
        <v>3</v>
      </c>
      <c r="FC146" s="61"/>
      <c r="FD146" s="61">
        <v>1</v>
      </c>
      <c r="FE146" s="61"/>
      <c r="FF146" s="61">
        <v>1</v>
      </c>
      <c r="FG146" s="61"/>
      <c r="FH146" s="61">
        <v>1</v>
      </c>
      <c r="FI146" s="61"/>
      <c r="FJ146" s="61">
        <v>1</v>
      </c>
      <c r="FK146" s="61"/>
      <c r="FL146" s="61"/>
      <c r="FM146" s="61"/>
      <c r="FN146" s="61"/>
      <c r="FO146" s="61"/>
      <c r="FP146" s="61"/>
      <c r="FQ146" s="61"/>
      <c r="FR146" s="61"/>
      <c r="FS146" s="61"/>
      <c r="FT146" s="61"/>
      <c r="FU146" s="61"/>
      <c r="FV146" s="61"/>
      <c r="FW146" s="61"/>
      <c r="FX146" s="61"/>
      <c r="FY146" s="61"/>
      <c r="FZ146" s="61"/>
      <c r="GA146" s="61"/>
      <c r="GB146" s="61"/>
      <c r="GC146" s="61"/>
      <c r="GD146" s="61"/>
      <c r="GE146" s="61"/>
      <c r="GF146" s="61"/>
      <c r="GG146" s="61"/>
      <c r="GH146" s="61"/>
      <c r="GI146" s="61"/>
      <c r="GJ146" s="61"/>
      <c r="GK146" s="61"/>
      <c r="GL146" s="61"/>
      <c r="GM146" s="61"/>
      <c r="GN146" s="61"/>
      <c r="GO146" s="61"/>
      <c r="GP146" s="61"/>
      <c r="GQ146" s="61"/>
      <c r="GR146" s="61"/>
      <c r="GS146" s="61"/>
      <c r="GT146" s="61"/>
      <c r="GU146" s="61"/>
      <c r="GV146" s="61"/>
      <c r="GW146" s="61"/>
      <c r="GX146" s="61"/>
      <c r="GY146" s="61"/>
      <c r="GZ146" s="61"/>
      <c r="HA146" s="61"/>
      <c r="HB146" s="61"/>
      <c r="HC146" s="61"/>
      <c r="HD146" s="61"/>
      <c r="HE146" s="61"/>
      <c r="HF146" s="61"/>
      <c r="HG146" s="61"/>
      <c r="HH146" s="61"/>
      <c r="HI146" s="61"/>
      <c r="HJ146" s="61"/>
      <c r="HK146" s="61"/>
      <c r="HL146" s="61"/>
      <c r="HM146" s="61"/>
      <c r="HN146" s="61"/>
      <c r="HO146" s="61"/>
      <c r="HP146" s="61"/>
      <c r="HQ146" s="61"/>
      <c r="HR146" s="61"/>
      <c r="HS146" s="61"/>
      <c r="HT146" s="61"/>
      <c r="HU146" s="61"/>
      <c r="HV146" s="61"/>
      <c r="HW146" s="61"/>
      <c r="HX146" s="61"/>
      <c r="HY146" s="61"/>
      <c r="HZ146" s="61"/>
      <c r="IA146" s="61"/>
      <c r="IB146" s="61"/>
      <c r="IC146" s="61"/>
      <c r="ID146" s="61"/>
      <c r="IE146" s="61"/>
      <c r="IF146" s="61"/>
      <c r="IG146" s="61"/>
      <c r="IH146" s="61"/>
      <c r="II146" s="61"/>
      <c r="IJ146" s="61"/>
      <c r="IK146" s="61"/>
      <c r="IL146" s="61"/>
      <c r="IM146" s="61"/>
      <c r="IN146" s="61"/>
      <c r="IO146" s="61"/>
      <c r="IP146" s="61"/>
      <c r="IQ146" s="61"/>
      <c r="IR146" s="61"/>
      <c r="IS146" s="61"/>
      <c r="IT146" s="61"/>
      <c r="IU146" s="61"/>
      <c r="IV146" s="61"/>
      <c r="IW146" s="61"/>
      <c r="IX146" s="61"/>
      <c r="IY146" s="61"/>
      <c r="IZ146" s="61"/>
      <c r="JA146" s="61"/>
      <c r="JB146" s="61"/>
      <c r="JC146" s="61"/>
      <c r="JD146" s="61"/>
      <c r="JE146" s="61"/>
      <c r="JF146" s="61"/>
      <c r="JG146" s="61"/>
      <c r="JH146" s="61"/>
      <c r="JI146" s="61"/>
      <c r="JJ146" s="61"/>
      <c r="JK146" s="61"/>
      <c r="JL146" s="61"/>
      <c r="JM146" s="61"/>
      <c r="JN146" s="61"/>
      <c r="JO146" s="61"/>
      <c r="JP146" s="61"/>
      <c r="JQ146" s="61"/>
      <c r="JR146" s="61"/>
      <c r="JS146" s="61"/>
      <c r="JT146" s="61"/>
      <c r="JU146" s="61"/>
      <c r="JV146" s="61"/>
      <c r="JW146" s="61"/>
      <c r="JX146" s="61"/>
      <c r="JY146" s="61"/>
      <c r="JZ146" s="61"/>
      <c r="KA146" s="61"/>
      <c r="KB146" s="61"/>
      <c r="KC146" s="61"/>
      <c r="KD146" s="61"/>
      <c r="KE146" s="61"/>
      <c r="KF146" s="61"/>
      <c r="KG146" s="61"/>
      <c r="KH146" s="61"/>
      <c r="KI146" s="61"/>
      <c r="KJ146" s="61"/>
      <c r="KK146" s="61"/>
      <c r="KL146" s="61"/>
      <c r="KM146" s="61"/>
      <c r="KN146" s="61"/>
      <c r="KO146" s="61"/>
      <c r="KP146" s="61"/>
      <c r="KQ146" s="61"/>
      <c r="KR146" s="61"/>
      <c r="KS146" s="61"/>
      <c r="KT146" s="61"/>
      <c r="KU146" s="61"/>
      <c r="KV146" s="61"/>
      <c r="KW146" s="61"/>
      <c r="KX146" s="61"/>
      <c r="KY146" s="61"/>
      <c r="KZ146" s="61"/>
      <c r="LA146" s="61"/>
      <c r="LB146" s="61"/>
      <c r="LC146" s="61"/>
      <c r="LD146" s="61"/>
      <c r="LE146" s="61"/>
      <c r="LF146" s="61"/>
      <c r="LG146" s="61"/>
      <c r="LH146" s="61"/>
      <c r="LI146" s="61"/>
      <c r="LJ146" s="61"/>
      <c r="LK146" s="61"/>
      <c r="LL146" s="61"/>
      <c r="LM146" s="61"/>
      <c r="LN146" s="61"/>
      <c r="LO146" s="61"/>
      <c r="LP146" s="61"/>
      <c r="LQ146" s="61"/>
      <c r="LR146" s="61"/>
      <c r="LS146" s="61"/>
      <c r="LT146" s="61"/>
      <c r="LU146" s="61"/>
      <c r="LV146" s="61"/>
      <c r="LW146" s="61"/>
      <c r="LX146" s="61"/>
      <c r="LY146" s="61"/>
      <c r="LZ146" s="61"/>
      <c r="MA146" s="61"/>
      <c r="MB146" s="61"/>
      <c r="MC146" s="61"/>
      <c r="MD146" s="61"/>
      <c r="ME146" s="61"/>
      <c r="MF146" s="61"/>
      <c r="MG146" s="61"/>
      <c r="MH146" s="61"/>
      <c r="MI146" s="61"/>
      <c r="MJ146" s="61"/>
      <c r="MK146" s="61"/>
      <c r="ML146" s="61"/>
      <c r="MM146" s="61"/>
      <c r="MN146" s="61"/>
      <c r="MO146" s="61"/>
      <c r="MP146" s="61"/>
      <c r="MQ146" s="61"/>
      <c r="MR146" s="61"/>
      <c r="MS146" s="61"/>
      <c r="MT146" s="61"/>
      <c r="MU146" s="61"/>
      <c r="MV146" s="61"/>
      <c r="MW146" s="61"/>
      <c r="MX146" s="61"/>
      <c r="MY146" s="61"/>
      <c r="MZ146" s="61"/>
      <c r="NA146" s="61"/>
      <c r="NB146" s="61"/>
      <c r="NC146" s="61"/>
      <c r="ND146" s="61"/>
      <c r="NE146" s="61"/>
      <c r="NF146" s="61"/>
      <c r="NG146" s="61"/>
      <c r="NH146" s="61"/>
      <c r="NI146" s="61"/>
      <c r="NJ146" s="61"/>
      <c r="NK146" s="61"/>
      <c r="NL146" s="61"/>
      <c r="NM146" s="61"/>
      <c r="NN146" s="61"/>
      <c r="NO146" s="61"/>
      <c r="NP146" s="61"/>
      <c r="NQ146" s="61"/>
      <c r="NR146" s="61"/>
      <c r="NS146" s="61"/>
      <c r="NT146" s="61"/>
      <c r="NU146" s="61"/>
      <c r="NV146" s="61"/>
      <c r="NW146" s="61"/>
      <c r="NX146" s="61"/>
      <c r="NY146" s="61"/>
      <c r="NZ146" s="61"/>
      <c r="OA146" s="61"/>
      <c r="OB146" s="61"/>
      <c r="OC146" s="61"/>
      <c r="OD146" s="61"/>
      <c r="OE146" s="61"/>
      <c r="OF146" s="61"/>
      <c r="OG146" s="61"/>
      <c r="OH146" s="61"/>
      <c r="OI146" s="61"/>
      <c r="OJ146" s="61"/>
      <c r="OK146" s="61"/>
      <c r="OL146" s="61"/>
      <c r="OM146" s="61"/>
      <c r="ON146" s="61"/>
      <c r="OO146" s="61"/>
      <c r="OP146" s="61"/>
      <c r="OQ146" s="61"/>
      <c r="OR146" s="61"/>
      <c r="OS146" s="61"/>
      <c r="OT146" s="61"/>
      <c r="OU146" s="61"/>
      <c r="OV146" s="61"/>
      <c r="OW146" s="61"/>
      <c r="OX146" s="61"/>
      <c r="OY146" s="61"/>
      <c r="OZ146" s="61"/>
      <c r="PA146" s="61"/>
      <c r="PB146" s="61"/>
      <c r="PC146" s="61"/>
      <c r="PD146" s="61"/>
      <c r="PE146" s="61"/>
      <c r="PF146" s="61"/>
      <c r="PG146" s="61"/>
      <c r="PH146" s="61"/>
      <c r="PI146" s="61"/>
      <c r="PJ146" s="61"/>
      <c r="PK146" s="61"/>
      <c r="PL146" s="61"/>
      <c r="PM146" s="61"/>
      <c r="PN146" s="61"/>
      <c r="PO146" s="61"/>
      <c r="PP146" s="61"/>
      <c r="PQ146" s="61"/>
      <c r="PR146" s="61"/>
      <c r="PS146" s="61"/>
      <c r="PT146" s="61"/>
      <c r="PU146" s="61"/>
      <c r="PV146" s="61"/>
      <c r="PW146" s="61"/>
      <c r="PX146" s="61"/>
      <c r="PY146" s="61"/>
      <c r="PZ146" s="61"/>
      <c r="QA146" s="61"/>
      <c r="QB146" s="61"/>
      <c r="QC146" s="61"/>
      <c r="QD146" s="61"/>
      <c r="QE146" s="61"/>
      <c r="QF146" s="61"/>
      <c r="QG146" s="61"/>
      <c r="QH146" s="61"/>
      <c r="QI146" s="61"/>
      <c r="QJ146" s="61"/>
      <c r="QK146" s="61"/>
      <c r="QL146" s="61"/>
      <c r="QM146" s="61"/>
      <c r="QN146" s="61"/>
      <c r="QO146" s="61"/>
      <c r="QP146" s="61"/>
      <c r="QQ146" s="61"/>
      <c r="QR146" s="61"/>
      <c r="QS146" s="61"/>
      <c r="QT146" s="61"/>
      <c r="QU146" s="61"/>
      <c r="QV146" s="61"/>
      <c r="QW146" s="61"/>
      <c r="QX146" s="61"/>
      <c r="QY146" s="61"/>
      <c r="QZ146" s="61"/>
      <c r="RA146" s="61"/>
      <c r="RB146" s="61"/>
      <c r="RC146" s="61"/>
      <c r="RD146" s="17"/>
    </row>
    <row r="147" spans="1:472" s="5" customFormat="1" ht="15" hidden="1" customHeight="1" x14ac:dyDescent="0.25">
      <c r="A147" s="5">
        <v>2063</v>
      </c>
      <c r="B147" s="5" t="s">
        <v>567</v>
      </c>
      <c r="C147" s="5" t="s">
        <v>230</v>
      </c>
      <c r="D147" s="5">
        <v>102</v>
      </c>
      <c r="E147" s="36"/>
      <c r="F147" s="64" t="s">
        <v>216</v>
      </c>
      <c r="G147" s="65"/>
      <c r="H147" s="19"/>
      <c r="I147" s="61"/>
      <c r="J147" s="61"/>
      <c r="K147" s="61"/>
      <c r="L147" s="61"/>
      <c r="M147" s="61"/>
      <c r="N147" s="61"/>
      <c r="O147" s="61"/>
      <c r="P147" s="61"/>
      <c r="Q147" s="61"/>
      <c r="R147" s="61"/>
      <c r="S147" s="61"/>
      <c r="T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1"/>
      <c r="DV147" s="61">
        <v>2</v>
      </c>
      <c r="DW147" s="61"/>
      <c r="DX147" s="61">
        <v>3</v>
      </c>
      <c r="DY147" s="61"/>
      <c r="DZ147" s="61">
        <v>3</v>
      </c>
      <c r="EA147" s="61"/>
      <c r="EB147" s="61">
        <v>3</v>
      </c>
      <c r="EC147" s="61"/>
      <c r="ED147" s="61">
        <v>5</v>
      </c>
      <c r="EE147" s="61"/>
      <c r="EF147" s="61">
        <v>6</v>
      </c>
      <c r="EG147" s="61"/>
      <c r="EH147" s="62" t="s">
        <v>707</v>
      </c>
      <c r="EI147" s="63"/>
      <c r="EJ147" s="61">
        <v>6</v>
      </c>
      <c r="EK147" s="61"/>
      <c r="EL147" s="61">
        <v>7</v>
      </c>
      <c r="EM147" s="61"/>
      <c r="EN147" s="61">
        <v>8</v>
      </c>
      <c r="EO147" s="61"/>
      <c r="EP147" s="61">
        <v>9</v>
      </c>
      <c r="EQ147" s="61"/>
      <c r="ER147" s="61">
        <v>11</v>
      </c>
      <c r="ES147" s="61"/>
      <c r="ET147" s="61">
        <v>8</v>
      </c>
      <c r="EU147" s="61"/>
      <c r="EV147" s="61">
        <v>7</v>
      </c>
      <c r="EW147" s="61"/>
      <c r="EX147" s="61">
        <v>5</v>
      </c>
      <c r="EY147" s="61"/>
      <c r="EZ147" s="61">
        <v>3</v>
      </c>
      <c r="FA147" s="61"/>
      <c r="FB147" s="61">
        <v>3</v>
      </c>
      <c r="FC147" s="61"/>
      <c r="FD147" s="61">
        <v>2</v>
      </c>
      <c r="FE147" s="61"/>
      <c r="FF147" s="61">
        <v>2</v>
      </c>
      <c r="FG147" s="61"/>
      <c r="FH147" s="61">
        <v>1</v>
      </c>
      <c r="FI147" s="61"/>
      <c r="FJ147" s="61">
        <v>1</v>
      </c>
      <c r="FK147" s="61"/>
      <c r="FL147" s="61"/>
      <c r="FM147" s="61"/>
      <c r="FN147" s="61"/>
      <c r="FO147" s="61"/>
      <c r="FP147" s="61"/>
      <c r="FQ147" s="61"/>
      <c r="FR147" s="61"/>
      <c r="FS147" s="61"/>
      <c r="FT147" s="61"/>
      <c r="FU147" s="61"/>
      <c r="FV147" s="61"/>
      <c r="FW147" s="61"/>
      <c r="FX147" s="61"/>
      <c r="FY147" s="61"/>
      <c r="FZ147" s="61"/>
      <c r="GA147" s="61"/>
      <c r="GB147" s="61"/>
      <c r="GC147" s="61"/>
      <c r="GD147" s="61"/>
      <c r="GE147" s="61"/>
      <c r="GF147" s="61"/>
      <c r="GG147" s="61"/>
      <c r="GH147" s="61"/>
      <c r="GI147" s="61"/>
      <c r="GJ147" s="61"/>
      <c r="GK147" s="61"/>
      <c r="GL147" s="61"/>
      <c r="GM147" s="61"/>
      <c r="GN147" s="61"/>
      <c r="GO147" s="61"/>
      <c r="GP147" s="61"/>
      <c r="GQ147" s="61"/>
      <c r="GR147" s="61"/>
      <c r="GS147" s="61"/>
      <c r="GT147" s="61"/>
      <c r="GU147" s="61"/>
      <c r="GV147" s="61"/>
      <c r="GW147" s="61"/>
      <c r="GX147" s="61"/>
      <c r="GY147" s="61"/>
      <c r="GZ147" s="61"/>
      <c r="HA147" s="61"/>
      <c r="HB147" s="61"/>
      <c r="HC147" s="61"/>
      <c r="HD147" s="61"/>
      <c r="HE147" s="61"/>
      <c r="HF147" s="61"/>
      <c r="HG147" s="61"/>
      <c r="HH147" s="61"/>
      <c r="HI147" s="61"/>
      <c r="HJ147" s="61"/>
      <c r="HK147" s="61"/>
      <c r="HL147" s="61"/>
      <c r="HM147" s="61"/>
      <c r="HN147" s="61"/>
      <c r="HO147" s="61"/>
      <c r="HP147" s="61"/>
      <c r="HQ147" s="61"/>
      <c r="HR147" s="61"/>
      <c r="HS147" s="61"/>
      <c r="HT147" s="61"/>
      <c r="HU147" s="61"/>
      <c r="HV147" s="61"/>
      <c r="HW147" s="61"/>
      <c r="HX147" s="61"/>
      <c r="HY147" s="61"/>
      <c r="HZ147" s="61"/>
      <c r="IA147" s="61"/>
      <c r="IB147" s="61"/>
      <c r="IC147" s="61"/>
      <c r="ID147" s="61"/>
      <c r="IE147" s="61"/>
      <c r="IF147" s="61"/>
      <c r="IG147" s="61"/>
      <c r="IH147" s="61"/>
      <c r="II147" s="61"/>
      <c r="IJ147" s="61"/>
      <c r="IK147" s="61"/>
      <c r="IL147" s="61"/>
      <c r="IM147" s="61"/>
      <c r="IN147" s="61"/>
      <c r="IO147" s="61"/>
      <c r="IP147" s="61"/>
      <c r="IQ147" s="61"/>
      <c r="IR147" s="61"/>
      <c r="IS147" s="61"/>
      <c r="IT147" s="61"/>
      <c r="IU147" s="61"/>
      <c r="IV147" s="61"/>
      <c r="IW147" s="61"/>
      <c r="IX147" s="61"/>
      <c r="IY147" s="61"/>
      <c r="IZ147" s="61"/>
      <c r="JA147" s="61"/>
      <c r="JB147" s="61"/>
      <c r="JC147" s="61"/>
      <c r="JD147" s="61"/>
      <c r="JE147" s="61"/>
      <c r="JF147" s="61"/>
      <c r="JG147" s="61"/>
      <c r="JH147" s="61"/>
      <c r="JI147" s="61"/>
      <c r="JJ147" s="61"/>
      <c r="JK147" s="61"/>
      <c r="JL147" s="61"/>
      <c r="JM147" s="61"/>
      <c r="JN147" s="61"/>
      <c r="JO147" s="61"/>
      <c r="JP147" s="61"/>
      <c r="JQ147" s="61"/>
      <c r="JR147" s="61"/>
      <c r="JS147" s="61"/>
      <c r="JT147" s="61"/>
      <c r="JU147" s="61"/>
      <c r="JV147" s="61"/>
      <c r="JW147" s="61"/>
      <c r="JX147" s="61"/>
      <c r="JY147" s="61"/>
      <c r="JZ147" s="61"/>
      <c r="KA147" s="61"/>
      <c r="KB147" s="61"/>
      <c r="KC147" s="61"/>
      <c r="KD147" s="61"/>
      <c r="KE147" s="61"/>
      <c r="KF147" s="61"/>
      <c r="KG147" s="61"/>
      <c r="KH147" s="61"/>
      <c r="KI147" s="61"/>
      <c r="KJ147" s="61"/>
      <c r="KK147" s="61"/>
      <c r="KL147" s="61"/>
      <c r="KM147" s="61"/>
      <c r="KN147" s="61"/>
      <c r="KO147" s="61"/>
      <c r="KP147" s="61"/>
      <c r="KQ147" s="61"/>
      <c r="KR147" s="61"/>
      <c r="KS147" s="61"/>
      <c r="KT147" s="61"/>
      <c r="KU147" s="61"/>
      <c r="KV147" s="61"/>
      <c r="KW147" s="61"/>
      <c r="KX147" s="61"/>
      <c r="KY147" s="61"/>
      <c r="KZ147" s="61"/>
      <c r="LA147" s="61"/>
      <c r="LB147" s="61"/>
      <c r="LC147" s="61"/>
      <c r="LD147" s="61"/>
      <c r="LE147" s="61"/>
      <c r="LF147" s="61"/>
      <c r="LG147" s="61"/>
      <c r="LH147" s="61"/>
      <c r="LI147" s="61"/>
      <c r="LJ147" s="61"/>
      <c r="LK147" s="61"/>
      <c r="LL147" s="61"/>
      <c r="LM147" s="61"/>
      <c r="LN147" s="61"/>
      <c r="LO147" s="61"/>
      <c r="LP147" s="61"/>
      <c r="LQ147" s="61"/>
      <c r="LR147" s="61"/>
      <c r="LS147" s="61"/>
      <c r="LT147" s="61"/>
      <c r="LU147" s="61"/>
      <c r="LV147" s="61"/>
      <c r="LW147" s="61"/>
      <c r="LX147" s="61"/>
      <c r="LY147" s="61"/>
      <c r="LZ147" s="61"/>
      <c r="MA147" s="61"/>
      <c r="MB147" s="61"/>
      <c r="MC147" s="61"/>
      <c r="MD147" s="61"/>
      <c r="ME147" s="61"/>
      <c r="MF147" s="61"/>
      <c r="MG147" s="61"/>
      <c r="MH147" s="61"/>
      <c r="MI147" s="61"/>
      <c r="MJ147" s="61"/>
      <c r="MK147" s="61"/>
      <c r="ML147" s="61"/>
      <c r="MM147" s="61"/>
      <c r="MN147" s="61"/>
      <c r="MO147" s="61"/>
      <c r="MP147" s="61"/>
      <c r="MQ147" s="61"/>
      <c r="MR147" s="61"/>
      <c r="MS147" s="61"/>
      <c r="MT147" s="61"/>
      <c r="MU147" s="61"/>
      <c r="MV147" s="61"/>
      <c r="MW147" s="61"/>
      <c r="MX147" s="61"/>
      <c r="MY147" s="61"/>
      <c r="MZ147" s="61"/>
      <c r="NA147" s="61"/>
      <c r="NB147" s="61"/>
      <c r="NC147" s="61"/>
      <c r="ND147" s="61"/>
      <c r="NE147" s="61"/>
      <c r="NF147" s="61"/>
      <c r="NG147" s="61"/>
      <c r="NH147" s="61"/>
      <c r="NI147" s="61"/>
      <c r="NJ147" s="61"/>
      <c r="NK147" s="61"/>
      <c r="NL147" s="61"/>
      <c r="NM147" s="61"/>
      <c r="NN147" s="61"/>
      <c r="NO147" s="61"/>
      <c r="NP147" s="61"/>
      <c r="NQ147" s="61"/>
      <c r="NR147" s="61"/>
      <c r="NS147" s="61"/>
      <c r="NT147" s="61"/>
      <c r="NU147" s="61"/>
      <c r="NV147" s="61"/>
      <c r="NW147" s="61"/>
      <c r="NX147" s="61"/>
      <c r="NY147" s="61"/>
      <c r="NZ147" s="61"/>
      <c r="OA147" s="61"/>
      <c r="OB147" s="61"/>
      <c r="OC147" s="61"/>
      <c r="OD147" s="61"/>
      <c r="OE147" s="61"/>
      <c r="OF147" s="61"/>
      <c r="OG147" s="61"/>
      <c r="OH147" s="61"/>
      <c r="OI147" s="61"/>
      <c r="OJ147" s="61"/>
      <c r="OK147" s="61"/>
      <c r="OL147" s="61"/>
      <c r="OM147" s="61"/>
      <c r="ON147" s="61"/>
      <c r="OO147" s="61"/>
      <c r="OP147" s="61"/>
      <c r="OQ147" s="61"/>
      <c r="OR147" s="61"/>
      <c r="OS147" s="61"/>
      <c r="OT147" s="61"/>
      <c r="OU147" s="61"/>
      <c r="OV147" s="61"/>
      <c r="OW147" s="61"/>
      <c r="OX147" s="61"/>
      <c r="OY147" s="61"/>
      <c r="OZ147" s="61"/>
      <c r="PA147" s="61"/>
      <c r="PB147" s="61"/>
      <c r="PC147" s="61"/>
      <c r="PD147" s="61"/>
      <c r="PE147" s="61"/>
      <c r="PF147" s="61"/>
      <c r="PG147" s="61"/>
      <c r="PH147" s="61"/>
      <c r="PI147" s="61"/>
      <c r="PJ147" s="61"/>
      <c r="PK147" s="61"/>
      <c r="PL147" s="61"/>
      <c r="PM147" s="61"/>
      <c r="PN147" s="61"/>
      <c r="PO147" s="61"/>
      <c r="PP147" s="61"/>
      <c r="PQ147" s="61"/>
      <c r="PR147" s="61"/>
      <c r="PS147" s="61"/>
      <c r="PT147" s="61"/>
      <c r="PU147" s="61"/>
      <c r="PV147" s="61"/>
      <c r="PW147" s="61"/>
      <c r="PX147" s="61"/>
      <c r="PY147" s="61"/>
      <c r="PZ147" s="61"/>
      <c r="QA147" s="61"/>
      <c r="QB147" s="61"/>
      <c r="QC147" s="61"/>
      <c r="QD147" s="61"/>
      <c r="QE147" s="61"/>
      <c r="QF147" s="61"/>
      <c r="QG147" s="61"/>
      <c r="QH147" s="61"/>
      <c r="QI147" s="61"/>
      <c r="QJ147" s="61"/>
      <c r="QK147" s="61"/>
      <c r="QL147" s="61"/>
      <c r="QM147" s="61"/>
      <c r="QN147" s="61"/>
      <c r="QO147" s="61"/>
      <c r="QP147" s="61"/>
      <c r="QQ147" s="61"/>
      <c r="QR147" s="61"/>
      <c r="QS147" s="61"/>
      <c r="QT147" s="61"/>
      <c r="QU147" s="61"/>
      <c r="QV147" s="61"/>
      <c r="QW147" s="61"/>
      <c r="QX147" s="61"/>
      <c r="QY147" s="61"/>
      <c r="QZ147" s="61"/>
      <c r="RA147" s="61"/>
      <c r="RB147" s="61"/>
      <c r="RC147" s="61"/>
      <c r="RD147" s="17"/>
    </row>
    <row r="148" spans="1:472" s="5" customFormat="1" ht="15" hidden="1" customHeight="1" x14ac:dyDescent="0.25">
      <c r="A148" s="5">
        <v>2074</v>
      </c>
      <c r="B148" s="5" t="s">
        <v>788</v>
      </c>
      <c r="C148" s="5" t="s">
        <v>237</v>
      </c>
      <c r="D148" s="5" t="s">
        <v>789</v>
      </c>
      <c r="E148" s="36"/>
      <c r="F148" s="64" t="s">
        <v>216</v>
      </c>
      <c r="G148" s="65"/>
      <c r="H148" s="19"/>
      <c r="I148" s="61"/>
      <c r="J148" s="61"/>
      <c r="K148" s="61"/>
      <c r="L148" s="61"/>
      <c r="M148" s="61"/>
      <c r="N148" s="61"/>
      <c r="O148" s="61"/>
      <c r="P148" s="61"/>
      <c r="Q148" s="61"/>
      <c r="R148" s="61"/>
      <c r="S148" s="61"/>
      <c r="T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1"/>
      <c r="DV148" s="61"/>
      <c r="DW148" s="61"/>
      <c r="DX148" s="61"/>
      <c r="DY148" s="61"/>
      <c r="DZ148" s="61"/>
      <c r="EA148" s="61"/>
      <c r="EB148" s="61"/>
      <c r="EC148" s="61"/>
      <c r="ED148" s="61"/>
      <c r="EE148" s="61"/>
      <c r="EF148" s="61"/>
      <c r="EG148" s="61"/>
      <c r="EH148" s="62"/>
      <c r="EI148" s="63"/>
      <c r="EJ148" s="61"/>
      <c r="EK148" s="61"/>
      <c r="EL148" s="61"/>
      <c r="EM148" s="61"/>
      <c r="EN148" s="61"/>
      <c r="EO148" s="61"/>
      <c r="EP148" s="61"/>
      <c r="EQ148" s="61"/>
      <c r="ER148" s="61">
        <v>1</v>
      </c>
      <c r="ES148" s="61"/>
      <c r="ET148" s="61">
        <v>1</v>
      </c>
      <c r="EU148" s="61"/>
      <c r="EV148" s="61">
        <v>1</v>
      </c>
      <c r="EW148" s="61"/>
      <c r="EX148" s="61">
        <v>1</v>
      </c>
      <c r="EY148" s="61"/>
      <c r="EZ148" s="61">
        <v>1</v>
      </c>
      <c r="FA148" s="61"/>
      <c r="FB148" s="61">
        <v>1</v>
      </c>
      <c r="FC148" s="61"/>
      <c r="FD148" s="61"/>
      <c r="FE148" s="61"/>
      <c r="FF148" s="61">
        <v>1</v>
      </c>
      <c r="FG148" s="61"/>
      <c r="FH148" s="61">
        <v>1</v>
      </c>
      <c r="FI148" s="61"/>
      <c r="FJ148" s="61"/>
      <c r="FK148" s="61"/>
      <c r="FL148" s="61">
        <v>1</v>
      </c>
      <c r="FM148" s="61"/>
      <c r="FN148" s="61">
        <v>1</v>
      </c>
      <c r="FO148" s="61"/>
      <c r="FP148" s="61">
        <v>1</v>
      </c>
      <c r="FQ148" s="61"/>
      <c r="FR148" s="61">
        <v>1</v>
      </c>
      <c r="FS148" s="61"/>
      <c r="FT148" s="61"/>
      <c r="FU148" s="61"/>
      <c r="FV148" s="61">
        <v>1</v>
      </c>
      <c r="FW148" s="61"/>
      <c r="FX148" s="61"/>
      <c r="FY148" s="61"/>
      <c r="FZ148" s="61"/>
      <c r="GA148" s="61"/>
      <c r="GB148" s="61"/>
      <c r="GC148" s="61"/>
      <c r="GD148" s="61"/>
      <c r="GE148" s="61"/>
      <c r="GF148" s="61"/>
      <c r="GG148" s="61"/>
      <c r="GH148" s="61"/>
      <c r="GI148" s="61"/>
      <c r="GJ148" s="61"/>
      <c r="GK148" s="61"/>
      <c r="GL148" s="61"/>
      <c r="GM148" s="61"/>
      <c r="GN148" s="61"/>
      <c r="GO148" s="61"/>
      <c r="GP148" s="61"/>
      <c r="GQ148" s="61"/>
      <c r="GR148" s="61"/>
      <c r="GS148" s="61"/>
      <c r="GT148" s="61"/>
      <c r="GU148" s="61"/>
      <c r="GV148" s="61"/>
      <c r="GW148" s="61"/>
      <c r="GX148" s="61"/>
      <c r="GY148" s="61"/>
      <c r="GZ148" s="61"/>
      <c r="HA148" s="61"/>
      <c r="HB148" s="61"/>
      <c r="HC148" s="61"/>
      <c r="HD148" s="61"/>
      <c r="HE148" s="61"/>
      <c r="HF148" s="61"/>
      <c r="HG148" s="61"/>
      <c r="HH148" s="61"/>
      <c r="HI148" s="61"/>
      <c r="HJ148" s="61"/>
      <c r="HK148" s="61"/>
      <c r="HL148" s="61"/>
      <c r="HM148" s="61"/>
      <c r="HN148" s="61"/>
      <c r="HO148" s="61"/>
      <c r="HP148" s="61"/>
      <c r="HQ148" s="61"/>
      <c r="HR148" s="61"/>
      <c r="HS148" s="61"/>
      <c r="HT148" s="61"/>
      <c r="HU148" s="61"/>
      <c r="HV148" s="61"/>
      <c r="HW148" s="61"/>
      <c r="HX148" s="61"/>
      <c r="HY148" s="61"/>
      <c r="HZ148" s="61"/>
      <c r="IA148" s="61"/>
      <c r="IB148" s="61"/>
      <c r="IC148" s="61"/>
      <c r="ID148" s="61"/>
      <c r="IE148" s="61"/>
      <c r="IF148" s="61"/>
      <c r="IG148" s="61"/>
      <c r="IH148" s="61"/>
      <c r="II148" s="61"/>
      <c r="IJ148" s="61"/>
      <c r="IK148" s="61"/>
      <c r="IL148" s="61"/>
      <c r="IM148" s="61"/>
      <c r="IN148" s="61"/>
      <c r="IO148" s="61"/>
      <c r="IP148" s="61"/>
      <c r="IQ148" s="61"/>
      <c r="IR148" s="61"/>
      <c r="IS148" s="61"/>
      <c r="IT148" s="61"/>
      <c r="IU148" s="61"/>
      <c r="IV148" s="61"/>
      <c r="IW148" s="61"/>
      <c r="IX148" s="61"/>
      <c r="IY148" s="61"/>
      <c r="IZ148" s="61"/>
      <c r="JA148" s="61"/>
      <c r="JB148" s="61"/>
      <c r="JC148" s="61"/>
      <c r="JD148" s="61"/>
      <c r="JE148" s="61"/>
      <c r="JF148" s="61"/>
      <c r="JG148" s="61"/>
      <c r="JH148" s="61"/>
      <c r="JI148" s="61"/>
      <c r="JJ148" s="61"/>
      <c r="JK148" s="61"/>
      <c r="JL148" s="61"/>
      <c r="JM148" s="61"/>
      <c r="JN148" s="61"/>
      <c r="JO148" s="61"/>
      <c r="JP148" s="61"/>
      <c r="JQ148" s="61"/>
      <c r="JR148" s="61"/>
      <c r="JS148" s="61"/>
      <c r="JT148" s="61"/>
      <c r="JU148" s="61"/>
      <c r="JV148" s="61"/>
      <c r="JW148" s="61"/>
      <c r="JX148" s="61"/>
      <c r="JY148" s="61"/>
      <c r="JZ148" s="61"/>
      <c r="KA148" s="61"/>
      <c r="KB148" s="61"/>
      <c r="KC148" s="61"/>
      <c r="KD148" s="61"/>
      <c r="KE148" s="61"/>
      <c r="KF148" s="61"/>
      <c r="KG148" s="61"/>
      <c r="KH148" s="61"/>
      <c r="KI148" s="61"/>
      <c r="KJ148" s="61"/>
      <c r="KK148" s="61"/>
      <c r="KL148" s="61"/>
      <c r="KM148" s="61"/>
      <c r="KN148" s="61"/>
      <c r="KO148" s="61"/>
      <c r="KP148" s="61"/>
      <c r="KQ148" s="61"/>
      <c r="KR148" s="61"/>
      <c r="KS148" s="61"/>
      <c r="KT148" s="61"/>
      <c r="KU148" s="61"/>
      <c r="KV148" s="61"/>
      <c r="KW148" s="61"/>
      <c r="KX148" s="61"/>
      <c r="KY148" s="61"/>
      <c r="KZ148" s="61"/>
      <c r="LA148" s="61"/>
      <c r="LB148" s="61"/>
      <c r="LC148" s="61"/>
      <c r="LD148" s="61"/>
      <c r="LE148" s="61"/>
      <c r="LF148" s="61"/>
      <c r="LG148" s="61"/>
      <c r="LH148" s="61"/>
      <c r="LI148" s="61"/>
      <c r="LJ148" s="61"/>
      <c r="LK148" s="61"/>
      <c r="LL148" s="61"/>
      <c r="LM148" s="61"/>
      <c r="LN148" s="61"/>
      <c r="LO148" s="61"/>
      <c r="LP148" s="61"/>
      <c r="LQ148" s="61"/>
      <c r="LR148" s="61"/>
      <c r="LS148" s="61"/>
      <c r="LT148" s="61"/>
      <c r="LU148" s="61"/>
      <c r="LV148" s="61"/>
      <c r="LW148" s="61"/>
      <c r="LX148" s="61"/>
      <c r="LY148" s="61"/>
      <c r="LZ148" s="61"/>
      <c r="MA148" s="61"/>
      <c r="MB148" s="61"/>
      <c r="MC148" s="61"/>
      <c r="MD148" s="61"/>
      <c r="ME148" s="61"/>
      <c r="MF148" s="61"/>
      <c r="MG148" s="61"/>
      <c r="MH148" s="61"/>
      <c r="MI148" s="61"/>
      <c r="MJ148" s="61"/>
      <c r="MK148" s="61"/>
      <c r="ML148" s="61"/>
      <c r="MM148" s="61"/>
      <c r="MN148" s="61"/>
      <c r="MO148" s="61"/>
      <c r="MP148" s="61"/>
      <c r="MQ148" s="61"/>
      <c r="MR148" s="61"/>
      <c r="MS148" s="61"/>
      <c r="MT148" s="61"/>
      <c r="MU148" s="61"/>
      <c r="MV148" s="61"/>
      <c r="MW148" s="61"/>
      <c r="MX148" s="61"/>
      <c r="MY148" s="61"/>
      <c r="MZ148" s="61"/>
      <c r="NA148" s="61"/>
      <c r="NB148" s="61"/>
      <c r="NC148" s="61"/>
      <c r="ND148" s="61"/>
      <c r="NE148" s="61"/>
      <c r="NF148" s="61"/>
      <c r="NG148" s="61"/>
      <c r="NH148" s="61"/>
      <c r="NI148" s="61"/>
      <c r="NJ148" s="61"/>
      <c r="NK148" s="61"/>
      <c r="NL148" s="61"/>
      <c r="NM148" s="61"/>
      <c r="NN148" s="61"/>
      <c r="NO148" s="61"/>
      <c r="NP148" s="61"/>
      <c r="NQ148" s="61"/>
      <c r="NR148" s="61"/>
      <c r="NS148" s="61"/>
      <c r="NT148" s="61"/>
      <c r="NU148" s="61"/>
      <c r="NV148" s="61"/>
      <c r="NW148" s="61"/>
      <c r="NX148" s="61"/>
      <c r="NY148" s="61"/>
      <c r="NZ148" s="61"/>
      <c r="OA148" s="61"/>
      <c r="OB148" s="61"/>
      <c r="OC148" s="61"/>
      <c r="OD148" s="61"/>
      <c r="OE148" s="61"/>
      <c r="OF148" s="61"/>
      <c r="OG148" s="61"/>
      <c r="OH148" s="61"/>
      <c r="OI148" s="61"/>
      <c r="OJ148" s="61"/>
      <c r="OK148" s="61"/>
      <c r="OL148" s="61"/>
      <c r="OM148" s="61"/>
      <c r="ON148" s="61"/>
      <c r="OO148" s="61"/>
      <c r="OP148" s="61"/>
      <c r="OQ148" s="61"/>
      <c r="OR148" s="61"/>
      <c r="OS148" s="61"/>
      <c r="OT148" s="61"/>
      <c r="OU148" s="61"/>
      <c r="OV148" s="61"/>
      <c r="OW148" s="61"/>
      <c r="OX148" s="61"/>
      <c r="OY148" s="61"/>
      <c r="OZ148" s="61"/>
      <c r="PA148" s="61"/>
      <c r="PB148" s="61"/>
      <c r="PC148" s="61"/>
      <c r="PD148" s="61"/>
      <c r="PE148" s="61"/>
      <c r="PF148" s="61"/>
      <c r="PG148" s="61"/>
      <c r="PH148" s="61"/>
      <c r="PI148" s="61"/>
      <c r="PJ148" s="61"/>
      <c r="PK148" s="61"/>
      <c r="PL148" s="61"/>
      <c r="PM148" s="61"/>
      <c r="PN148" s="61"/>
      <c r="PO148" s="61"/>
      <c r="PP148" s="61"/>
      <c r="PQ148" s="61"/>
      <c r="PR148" s="61"/>
      <c r="PS148" s="61"/>
      <c r="PT148" s="61"/>
      <c r="PU148" s="61"/>
      <c r="PV148" s="61"/>
      <c r="PW148" s="61"/>
      <c r="PX148" s="61"/>
      <c r="PY148" s="61"/>
      <c r="PZ148" s="61"/>
      <c r="QA148" s="61"/>
      <c r="QB148" s="61"/>
      <c r="QC148" s="61"/>
      <c r="QD148" s="61"/>
      <c r="QE148" s="61"/>
      <c r="QF148" s="61"/>
      <c r="QG148" s="61"/>
      <c r="QH148" s="61"/>
      <c r="QI148" s="61"/>
      <c r="QJ148" s="61"/>
      <c r="QK148" s="61"/>
      <c r="QL148" s="61"/>
      <c r="QM148" s="61"/>
      <c r="QN148" s="61"/>
      <c r="QO148" s="61"/>
      <c r="QP148" s="61"/>
      <c r="QQ148" s="61"/>
      <c r="QR148" s="61"/>
      <c r="QS148" s="61"/>
      <c r="QT148" s="61"/>
      <c r="QU148" s="61"/>
      <c r="QV148" s="61"/>
      <c r="QW148" s="61"/>
      <c r="QX148" s="61"/>
      <c r="QY148" s="61"/>
      <c r="QZ148" s="61"/>
      <c r="RA148" s="61"/>
      <c r="RB148" s="61"/>
      <c r="RC148" s="61"/>
      <c r="RD148" s="17"/>
    </row>
    <row r="149" spans="1:472" s="5" customFormat="1" ht="15" hidden="1" customHeight="1" x14ac:dyDescent="0.25">
      <c r="A149" s="5">
        <v>2061</v>
      </c>
      <c r="B149" s="5" t="s">
        <v>364</v>
      </c>
      <c r="C149" s="5" t="s">
        <v>4</v>
      </c>
      <c r="D149" s="5">
        <v>242</v>
      </c>
      <c r="E149" s="36"/>
      <c r="F149" s="64" t="s">
        <v>216</v>
      </c>
      <c r="G149" s="65"/>
      <c r="H149" s="19"/>
      <c r="I149" s="61"/>
      <c r="J149" s="61"/>
      <c r="K149" s="61"/>
      <c r="L149" s="61"/>
      <c r="M149" s="61"/>
      <c r="N149" s="61"/>
      <c r="O149" s="61"/>
      <c r="P149" s="61"/>
      <c r="Q149" s="61"/>
      <c r="R149" s="61"/>
      <c r="S149" s="61"/>
      <c r="T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1"/>
      <c r="DV149" s="61"/>
      <c r="DW149" s="61"/>
      <c r="DX149" s="61"/>
      <c r="DY149" s="61"/>
      <c r="DZ149" s="61"/>
      <c r="EA149" s="61"/>
      <c r="EB149" s="61">
        <v>3</v>
      </c>
      <c r="EC149" s="61"/>
      <c r="ED149" s="61">
        <v>5</v>
      </c>
      <c r="EE149" s="61"/>
      <c r="EF149" s="61">
        <v>5</v>
      </c>
      <c r="EG149" s="61"/>
      <c r="EH149" s="62" t="s">
        <v>707</v>
      </c>
      <c r="EI149" s="63"/>
      <c r="EJ149" s="61">
        <v>5</v>
      </c>
      <c r="EK149" s="61"/>
      <c r="EL149" s="61">
        <v>4</v>
      </c>
      <c r="EM149" s="61"/>
      <c r="EN149" s="61">
        <v>4</v>
      </c>
      <c r="EO149" s="61"/>
      <c r="EP149" s="61">
        <v>6</v>
      </c>
      <c r="EQ149" s="61"/>
      <c r="ER149" s="61">
        <v>10</v>
      </c>
      <c r="ES149" s="61"/>
      <c r="ET149" s="61">
        <v>12</v>
      </c>
      <c r="EU149" s="61"/>
      <c r="EV149" s="61">
        <v>12</v>
      </c>
      <c r="EW149" s="61"/>
      <c r="EX149" s="61">
        <v>12</v>
      </c>
      <c r="EY149" s="61"/>
      <c r="EZ149" s="61">
        <v>12</v>
      </c>
      <c r="FA149" s="61"/>
      <c r="FB149" s="61">
        <v>13</v>
      </c>
      <c r="FC149" s="61"/>
      <c r="FD149" s="61">
        <v>13</v>
      </c>
      <c r="FE149" s="61"/>
      <c r="FF149" s="61">
        <v>12</v>
      </c>
      <c r="FG149" s="61"/>
      <c r="FH149" s="61">
        <v>8</v>
      </c>
      <c r="FI149" s="61"/>
      <c r="FJ149" s="61">
        <v>5</v>
      </c>
      <c r="FK149" s="61"/>
      <c r="FL149" s="61">
        <v>3</v>
      </c>
      <c r="FM149" s="61"/>
      <c r="FN149" s="61">
        <v>1</v>
      </c>
      <c r="FO149" s="61"/>
      <c r="FP149" s="61">
        <v>2</v>
      </c>
      <c r="FQ149" s="61"/>
      <c r="FR149" s="61">
        <v>1</v>
      </c>
      <c r="FS149" s="61"/>
      <c r="FT149" s="61">
        <v>1</v>
      </c>
      <c r="FU149" s="61"/>
      <c r="FV149" s="61">
        <v>1</v>
      </c>
      <c r="FW149" s="61"/>
      <c r="FX149" s="61">
        <v>1</v>
      </c>
      <c r="FY149" s="61"/>
      <c r="FZ149" s="61">
        <v>1</v>
      </c>
      <c r="GA149" s="61"/>
      <c r="GB149" s="61"/>
      <c r="GC149" s="61"/>
      <c r="GD149" s="61"/>
      <c r="GE149" s="61"/>
      <c r="GF149" s="61"/>
      <c r="GG149" s="61"/>
      <c r="GH149" s="61"/>
      <c r="GI149" s="61"/>
      <c r="GJ149" s="61"/>
      <c r="GK149" s="61"/>
      <c r="GL149" s="61"/>
      <c r="GM149" s="61"/>
      <c r="GN149" s="61"/>
      <c r="GO149" s="61"/>
      <c r="GP149" s="61"/>
      <c r="GQ149" s="61"/>
      <c r="GR149" s="61"/>
      <c r="GS149" s="61"/>
      <c r="GT149" s="61"/>
      <c r="GU149" s="61"/>
      <c r="GV149" s="61"/>
      <c r="GW149" s="61"/>
      <c r="GX149" s="61"/>
      <c r="GY149" s="61"/>
      <c r="GZ149" s="61"/>
      <c r="HA149" s="61"/>
      <c r="HB149" s="61"/>
      <c r="HC149" s="61"/>
      <c r="HD149" s="61"/>
      <c r="HE149" s="61"/>
      <c r="HF149" s="61"/>
      <c r="HG149" s="61"/>
      <c r="HH149" s="61"/>
      <c r="HI149" s="61"/>
      <c r="HJ149" s="61"/>
      <c r="HK149" s="61"/>
      <c r="HL149" s="61"/>
      <c r="HM149" s="61"/>
      <c r="HN149" s="61"/>
      <c r="HO149" s="61"/>
      <c r="HP149" s="61"/>
      <c r="HQ149" s="61"/>
      <c r="HR149" s="61"/>
      <c r="HS149" s="61"/>
      <c r="HT149" s="61"/>
      <c r="HU149" s="61"/>
      <c r="HV149" s="61"/>
      <c r="HW149" s="61"/>
      <c r="HX149" s="61"/>
      <c r="HY149" s="61"/>
      <c r="HZ149" s="61"/>
      <c r="IA149" s="61"/>
      <c r="IB149" s="61"/>
      <c r="IC149" s="61"/>
      <c r="ID149" s="61"/>
      <c r="IE149" s="61"/>
      <c r="IF149" s="61"/>
      <c r="IG149" s="61"/>
      <c r="IH149" s="61"/>
      <c r="II149" s="61"/>
      <c r="IJ149" s="61"/>
      <c r="IK149" s="61"/>
      <c r="IL149" s="61"/>
      <c r="IM149" s="61"/>
      <c r="IN149" s="61"/>
      <c r="IO149" s="61"/>
      <c r="IP149" s="61"/>
      <c r="IQ149" s="61"/>
      <c r="IR149" s="61"/>
      <c r="IS149" s="61"/>
      <c r="IT149" s="61"/>
      <c r="IU149" s="61"/>
      <c r="IV149" s="61"/>
      <c r="IW149" s="61"/>
      <c r="IX149" s="61"/>
      <c r="IY149" s="61"/>
      <c r="IZ149" s="61"/>
      <c r="JA149" s="61"/>
      <c r="JB149" s="61"/>
      <c r="JC149" s="61"/>
      <c r="JD149" s="61"/>
      <c r="JE149" s="61"/>
      <c r="JF149" s="61"/>
      <c r="JG149" s="61"/>
      <c r="JH149" s="61"/>
      <c r="JI149" s="61"/>
      <c r="JJ149" s="61"/>
      <c r="JK149" s="61"/>
      <c r="JL149" s="61"/>
      <c r="JM149" s="61"/>
      <c r="JN149" s="61"/>
      <c r="JO149" s="61"/>
      <c r="JP149" s="61"/>
      <c r="JQ149" s="61"/>
      <c r="JR149" s="61"/>
      <c r="JS149" s="61"/>
      <c r="JT149" s="61"/>
      <c r="JU149" s="61"/>
      <c r="JV149" s="61"/>
      <c r="JW149" s="61"/>
      <c r="JX149" s="61"/>
      <c r="JY149" s="61"/>
      <c r="JZ149" s="61"/>
      <c r="KA149" s="61"/>
      <c r="KB149" s="61"/>
      <c r="KC149" s="61"/>
      <c r="KD149" s="61"/>
      <c r="KE149" s="61"/>
      <c r="KF149" s="61"/>
      <c r="KG149" s="61"/>
      <c r="KH149" s="61"/>
      <c r="KI149" s="61"/>
      <c r="KJ149" s="61"/>
      <c r="KK149" s="61"/>
      <c r="KL149" s="61"/>
      <c r="KM149" s="61"/>
      <c r="KN149" s="61"/>
      <c r="KO149" s="61"/>
      <c r="KP149" s="61"/>
      <c r="KQ149" s="61"/>
      <c r="KR149" s="61"/>
      <c r="KS149" s="61"/>
      <c r="KT149" s="61"/>
      <c r="KU149" s="61"/>
      <c r="KV149" s="61"/>
      <c r="KW149" s="61"/>
      <c r="KX149" s="61"/>
      <c r="KY149" s="61"/>
      <c r="KZ149" s="61"/>
      <c r="LA149" s="61"/>
      <c r="LB149" s="61"/>
      <c r="LC149" s="61"/>
      <c r="LD149" s="61"/>
      <c r="LE149" s="61"/>
      <c r="LF149" s="61"/>
      <c r="LG149" s="61"/>
      <c r="LH149" s="61"/>
      <c r="LI149" s="61"/>
      <c r="LJ149" s="61"/>
      <c r="LK149" s="61"/>
      <c r="LL149" s="61"/>
      <c r="LM149" s="61"/>
      <c r="LN149" s="61"/>
      <c r="LO149" s="61"/>
      <c r="LP149" s="61"/>
      <c r="LQ149" s="61"/>
      <c r="LR149" s="61"/>
      <c r="LS149" s="61"/>
      <c r="LT149" s="61"/>
      <c r="LU149" s="61"/>
      <c r="LV149" s="61"/>
      <c r="LW149" s="61"/>
      <c r="LX149" s="61"/>
      <c r="LY149" s="61"/>
      <c r="LZ149" s="61"/>
      <c r="MA149" s="61"/>
      <c r="MB149" s="61"/>
      <c r="MC149" s="61"/>
      <c r="MD149" s="61"/>
      <c r="ME149" s="61"/>
      <c r="MF149" s="61"/>
      <c r="MG149" s="61"/>
      <c r="MH149" s="61"/>
      <c r="MI149" s="61"/>
      <c r="MJ149" s="61"/>
      <c r="MK149" s="61"/>
      <c r="ML149" s="61"/>
      <c r="MM149" s="61"/>
      <c r="MN149" s="61"/>
      <c r="MO149" s="61"/>
      <c r="MP149" s="61"/>
      <c r="MQ149" s="61"/>
      <c r="MR149" s="61"/>
      <c r="MS149" s="61"/>
      <c r="MT149" s="61"/>
      <c r="MU149" s="61"/>
      <c r="MV149" s="61"/>
      <c r="MW149" s="61"/>
      <c r="MX149" s="61"/>
      <c r="MY149" s="61"/>
      <c r="MZ149" s="61"/>
      <c r="NA149" s="61"/>
      <c r="NB149" s="61"/>
      <c r="NC149" s="61"/>
      <c r="ND149" s="61"/>
      <c r="NE149" s="61"/>
      <c r="NF149" s="61"/>
      <c r="NG149" s="61"/>
      <c r="NH149" s="61"/>
      <c r="NI149" s="61"/>
      <c r="NJ149" s="61"/>
      <c r="NK149" s="61"/>
      <c r="NL149" s="61"/>
      <c r="NM149" s="61"/>
      <c r="NN149" s="61"/>
      <c r="NO149" s="61"/>
      <c r="NP149" s="61"/>
      <c r="NQ149" s="61"/>
      <c r="NR149" s="61"/>
      <c r="NS149" s="61"/>
      <c r="NT149" s="61"/>
      <c r="NU149" s="61"/>
      <c r="NV149" s="61"/>
      <c r="NW149" s="61"/>
      <c r="NX149" s="61"/>
      <c r="NY149" s="61"/>
      <c r="NZ149" s="61"/>
      <c r="OA149" s="61"/>
      <c r="OB149" s="61"/>
      <c r="OC149" s="61"/>
      <c r="OD149" s="61"/>
      <c r="OE149" s="61"/>
      <c r="OF149" s="61"/>
      <c r="OG149" s="61"/>
      <c r="OH149" s="61"/>
      <c r="OI149" s="61"/>
      <c r="OJ149" s="61"/>
      <c r="OK149" s="61"/>
      <c r="OL149" s="61"/>
      <c r="OM149" s="61"/>
      <c r="ON149" s="61"/>
      <c r="OO149" s="61"/>
      <c r="OP149" s="61"/>
      <c r="OQ149" s="61"/>
      <c r="OR149" s="61"/>
      <c r="OS149" s="61"/>
      <c r="OT149" s="61"/>
      <c r="OU149" s="61"/>
      <c r="OV149" s="61"/>
      <c r="OW149" s="61"/>
      <c r="OX149" s="61"/>
      <c r="OY149" s="61"/>
      <c r="OZ149" s="61"/>
      <c r="PA149" s="61"/>
      <c r="PB149" s="61"/>
      <c r="PC149" s="61"/>
      <c r="PD149" s="61"/>
      <c r="PE149" s="61"/>
      <c r="PF149" s="61"/>
      <c r="PG149" s="61"/>
      <c r="PH149" s="61"/>
      <c r="PI149" s="61"/>
      <c r="PJ149" s="61"/>
      <c r="PK149" s="61"/>
      <c r="PL149" s="61"/>
      <c r="PM149" s="61"/>
      <c r="PN149" s="61"/>
      <c r="PO149" s="61"/>
      <c r="PP149" s="61"/>
      <c r="PQ149" s="61"/>
      <c r="PR149" s="61"/>
      <c r="PS149" s="61"/>
      <c r="PT149" s="61"/>
      <c r="PU149" s="61"/>
      <c r="PV149" s="61"/>
      <c r="PW149" s="61"/>
      <c r="PX149" s="61"/>
      <c r="PY149" s="61"/>
      <c r="PZ149" s="61"/>
      <c r="QA149" s="61"/>
      <c r="QB149" s="61"/>
      <c r="QC149" s="61"/>
      <c r="QD149" s="61"/>
      <c r="QE149" s="61"/>
      <c r="QF149" s="61"/>
      <c r="QG149" s="61"/>
      <c r="QH149" s="61"/>
      <c r="QI149" s="61"/>
      <c r="QJ149" s="61"/>
      <c r="QK149" s="61"/>
      <c r="QL149" s="61"/>
      <c r="QM149" s="61"/>
      <c r="QN149" s="61"/>
      <c r="QO149" s="61"/>
      <c r="QP149" s="61"/>
      <c r="QQ149" s="61"/>
      <c r="QR149" s="61"/>
      <c r="QS149" s="61"/>
      <c r="QT149" s="61"/>
      <c r="QU149" s="61"/>
      <c r="QV149" s="61"/>
      <c r="QW149" s="61"/>
      <c r="QX149" s="61"/>
      <c r="QY149" s="61"/>
      <c r="QZ149" s="61"/>
      <c r="RA149" s="61"/>
      <c r="RB149" s="61"/>
      <c r="RC149" s="61"/>
      <c r="RD149" s="17"/>
    </row>
    <row r="150" spans="1:472" s="5" customFormat="1" ht="15" hidden="1" customHeight="1" x14ac:dyDescent="0.25">
      <c r="A150" s="5">
        <v>2064</v>
      </c>
      <c r="B150" s="5" t="s">
        <v>598</v>
      </c>
      <c r="C150" s="5" t="s">
        <v>599</v>
      </c>
      <c r="D150" s="5">
        <v>186</v>
      </c>
      <c r="E150" s="36"/>
      <c r="F150" s="64" t="s">
        <v>216</v>
      </c>
      <c r="G150" s="65"/>
      <c r="H150" s="19"/>
      <c r="I150" s="61"/>
      <c r="J150" s="61"/>
      <c r="K150" s="61"/>
      <c r="L150" s="61"/>
      <c r="M150" s="61"/>
      <c r="N150" s="61"/>
      <c r="O150" s="61"/>
      <c r="P150" s="61"/>
      <c r="Q150" s="61"/>
      <c r="R150" s="61"/>
      <c r="S150" s="61"/>
      <c r="T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1"/>
      <c r="DV150" s="61"/>
      <c r="DW150" s="61"/>
      <c r="DX150" s="61"/>
      <c r="DY150" s="61"/>
      <c r="DZ150" s="61"/>
      <c r="EA150" s="61"/>
      <c r="EB150" s="61">
        <v>2</v>
      </c>
      <c r="EC150" s="61"/>
      <c r="ED150" s="61">
        <v>5</v>
      </c>
      <c r="EE150" s="61"/>
      <c r="EF150" s="61">
        <v>5</v>
      </c>
      <c r="EG150" s="61"/>
      <c r="EH150" s="62" t="s">
        <v>707</v>
      </c>
      <c r="EI150" s="63"/>
      <c r="EJ150" s="61">
        <v>6</v>
      </c>
      <c r="EK150" s="61"/>
      <c r="EL150" s="61">
        <v>3</v>
      </c>
      <c r="EM150" s="61"/>
      <c r="EN150" s="61">
        <v>4</v>
      </c>
      <c r="EO150" s="61"/>
      <c r="EP150" s="61">
        <v>6</v>
      </c>
      <c r="EQ150" s="61"/>
      <c r="ER150" s="61">
        <v>8</v>
      </c>
      <c r="ES150" s="61"/>
      <c r="ET150" s="61">
        <v>11</v>
      </c>
      <c r="EU150" s="61"/>
      <c r="EV150" s="61">
        <v>11</v>
      </c>
      <c r="EW150" s="61"/>
      <c r="EX150" s="61">
        <v>10</v>
      </c>
      <c r="EY150" s="61"/>
      <c r="EZ150" s="61">
        <v>10</v>
      </c>
      <c r="FA150" s="61"/>
      <c r="FB150" s="61">
        <v>10</v>
      </c>
      <c r="FC150" s="61"/>
      <c r="FD150" s="61">
        <v>5</v>
      </c>
      <c r="FE150" s="61"/>
      <c r="FF150" s="61">
        <v>10</v>
      </c>
      <c r="FG150" s="61"/>
      <c r="FH150" s="61">
        <v>6</v>
      </c>
      <c r="FI150" s="61"/>
      <c r="FJ150" s="61">
        <v>4</v>
      </c>
      <c r="FK150" s="61"/>
      <c r="FL150" s="61">
        <v>3</v>
      </c>
      <c r="FM150" s="61"/>
      <c r="FN150" s="61">
        <v>1</v>
      </c>
      <c r="FO150" s="61"/>
      <c r="FP150" s="61">
        <v>1</v>
      </c>
      <c r="FQ150" s="61"/>
      <c r="FR150" s="61">
        <v>1</v>
      </c>
      <c r="FS150" s="61"/>
      <c r="FT150" s="61">
        <v>1</v>
      </c>
      <c r="FU150" s="61"/>
      <c r="FV150" s="61">
        <v>1</v>
      </c>
      <c r="FW150" s="61"/>
      <c r="FX150" s="61">
        <v>1</v>
      </c>
      <c r="FY150" s="61"/>
      <c r="FZ150" s="61">
        <v>2</v>
      </c>
      <c r="GA150" s="61"/>
      <c r="GB150" s="61">
        <v>1</v>
      </c>
      <c r="GC150" s="61"/>
      <c r="GD150" s="61"/>
      <c r="GE150" s="61"/>
      <c r="GF150" s="61"/>
      <c r="GG150" s="61"/>
      <c r="GH150" s="61"/>
      <c r="GI150" s="61"/>
      <c r="GJ150" s="61"/>
      <c r="GK150" s="61"/>
      <c r="GL150" s="61"/>
      <c r="GM150" s="61"/>
      <c r="GN150" s="61"/>
      <c r="GO150" s="61"/>
      <c r="GP150" s="61"/>
      <c r="GQ150" s="61"/>
      <c r="GR150" s="61"/>
      <c r="GS150" s="61"/>
      <c r="GT150" s="61"/>
      <c r="GU150" s="61"/>
      <c r="GV150" s="61"/>
      <c r="GW150" s="61"/>
      <c r="GX150" s="61"/>
      <c r="GY150" s="61"/>
      <c r="GZ150" s="61"/>
      <c r="HA150" s="61"/>
      <c r="HB150" s="61"/>
      <c r="HC150" s="61"/>
      <c r="HD150" s="61"/>
      <c r="HE150" s="61"/>
      <c r="HF150" s="61"/>
      <c r="HG150" s="61"/>
      <c r="HH150" s="61"/>
      <c r="HI150" s="61"/>
      <c r="HJ150" s="61"/>
      <c r="HK150" s="61"/>
      <c r="HL150" s="61"/>
      <c r="HM150" s="61"/>
      <c r="HN150" s="61"/>
      <c r="HO150" s="61"/>
      <c r="HP150" s="61"/>
      <c r="HQ150" s="61"/>
      <c r="HR150" s="61"/>
      <c r="HS150" s="61"/>
      <c r="HT150" s="61"/>
      <c r="HU150" s="61"/>
      <c r="HV150" s="61"/>
      <c r="HW150" s="61"/>
      <c r="HX150" s="61"/>
      <c r="HY150" s="61"/>
      <c r="HZ150" s="61"/>
      <c r="IA150" s="61"/>
      <c r="IB150" s="61"/>
      <c r="IC150" s="61"/>
      <c r="ID150" s="61"/>
      <c r="IE150" s="61"/>
      <c r="IF150" s="61"/>
      <c r="IG150" s="61"/>
      <c r="IH150" s="61"/>
      <c r="II150" s="61"/>
      <c r="IJ150" s="61"/>
      <c r="IK150" s="61"/>
      <c r="IL150" s="61"/>
      <c r="IM150" s="61"/>
      <c r="IN150" s="61"/>
      <c r="IO150" s="61"/>
      <c r="IP150" s="61"/>
      <c r="IQ150" s="61"/>
      <c r="IR150" s="61"/>
      <c r="IS150" s="61"/>
      <c r="IT150" s="61"/>
      <c r="IU150" s="61"/>
      <c r="IV150" s="61"/>
      <c r="IW150" s="61"/>
      <c r="IX150" s="61"/>
      <c r="IY150" s="61"/>
      <c r="IZ150" s="61"/>
      <c r="JA150" s="61"/>
      <c r="JB150" s="61"/>
      <c r="JC150" s="61"/>
      <c r="JD150" s="61"/>
      <c r="JE150" s="61"/>
      <c r="JF150" s="61"/>
      <c r="JG150" s="61"/>
      <c r="JH150" s="61"/>
      <c r="JI150" s="61"/>
      <c r="JJ150" s="61"/>
      <c r="JK150" s="61"/>
      <c r="JL150" s="61"/>
      <c r="JM150" s="61"/>
      <c r="JN150" s="61"/>
      <c r="JO150" s="61"/>
      <c r="JP150" s="61"/>
      <c r="JQ150" s="61"/>
      <c r="JR150" s="61"/>
      <c r="JS150" s="61"/>
      <c r="JT150" s="61"/>
      <c r="JU150" s="61"/>
      <c r="JV150" s="61"/>
      <c r="JW150" s="61"/>
      <c r="JX150" s="61"/>
      <c r="JY150" s="61"/>
      <c r="JZ150" s="61"/>
      <c r="KA150" s="61"/>
      <c r="KB150" s="61"/>
      <c r="KC150" s="61"/>
      <c r="KD150" s="61"/>
      <c r="KE150" s="61"/>
      <c r="KF150" s="61"/>
      <c r="KG150" s="61"/>
      <c r="KH150" s="61"/>
      <c r="KI150" s="61"/>
      <c r="KJ150" s="61"/>
      <c r="KK150" s="61"/>
      <c r="KL150" s="61"/>
      <c r="KM150" s="61"/>
      <c r="KN150" s="61"/>
      <c r="KO150" s="61"/>
      <c r="KP150" s="61"/>
      <c r="KQ150" s="61"/>
      <c r="KR150" s="61"/>
      <c r="KS150" s="61"/>
      <c r="KT150" s="61"/>
      <c r="KU150" s="61"/>
      <c r="KV150" s="61"/>
      <c r="KW150" s="61"/>
      <c r="KX150" s="61"/>
      <c r="KY150" s="61"/>
      <c r="KZ150" s="61"/>
      <c r="LA150" s="61"/>
      <c r="LB150" s="61"/>
      <c r="LC150" s="61"/>
      <c r="LD150" s="61"/>
      <c r="LE150" s="61"/>
      <c r="LF150" s="61"/>
      <c r="LG150" s="61"/>
      <c r="LH150" s="61"/>
      <c r="LI150" s="61"/>
      <c r="LJ150" s="61"/>
      <c r="LK150" s="61"/>
      <c r="LL150" s="61"/>
      <c r="LM150" s="61"/>
      <c r="LN150" s="61"/>
      <c r="LO150" s="61"/>
      <c r="LP150" s="61"/>
      <c r="LQ150" s="61"/>
      <c r="LR150" s="61"/>
      <c r="LS150" s="61"/>
      <c r="LT150" s="61"/>
      <c r="LU150" s="61"/>
      <c r="LV150" s="61"/>
      <c r="LW150" s="61"/>
      <c r="LX150" s="61"/>
      <c r="LY150" s="61"/>
      <c r="LZ150" s="61"/>
      <c r="MA150" s="61"/>
      <c r="MB150" s="61"/>
      <c r="MC150" s="61"/>
      <c r="MD150" s="61"/>
      <c r="ME150" s="61"/>
      <c r="MF150" s="61"/>
      <c r="MG150" s="61"/>
      <c r="MH150" s="61"/>
      <c r="MI150" s="61"/>
      <c r="MJ150" s="61"/>
      <c r="MK150" s="61"/>
      <c r="ML150" s="61"/>
      <c r="MM150" s="61"/>
      <c r="MN150" s="61"/>
      <c r="MO150" s="61"/>
      <c r="MP150" s="61"/>
      <c r="MQ150" s="61"/>
      <c r="MR150" s="61"/>
      <c r="MS150" s="61"/>
      <c r="MT150" s="61"/>
      <c r="MU150" s="61"/>
      <c r="MV150" s="61"/>
      <c r="MW150" s="61"/>
      <c r="MX150" s="61"/>
      <c r="MY150" s="61"/>
      <c r="MZ150" s="61"/>
      <c r="NA150" s="61"/>
      <c r="NB150" s="61"/>
      <c r="NC150" s="61"/>
      <c r="ND150" s="61"/>
      <c r="NE150" s="61"/>
      <c r="NF150" s="61"/>
      <c r="NG150" s="61"/>
      <c r="NH150" s="61"/>
      <c r="NI150" s="61"/>
      <c r="NJ150" s="61"/>
      <c r="NK150" s="61"/>
      <c r="NL150" s="61"/>
      <c r="NM150" s="61"/>
      <c r="NN150" s="61"/>
      <c r="NO150" s="61"/>
      <c r="NP150" s="61"/>
      <c r="NQ150" s="61"/>
      <c r="NR150" s="61"/>
      <c r="NS150" s="61"/>
      <c r="NT150" s="61"/>
      <c r="NU150" s="61"/>
      <c r="NV150" s="61"/>
      <c r="NW150" s="61"/>
      <c r="NX150" s="61"/>
      <c r="NY150" s="61"/>
      <c r="NZ150" s="61"/>
      <c r="OA150" s="61"/>
      <c r="OB150" s="61"/>
      <c r="OC150" s="61"/>
      <c r="OD150" s="61"/>
      <c r="OE150" s="61"/>
      <c r="OF150" s="61"/>
      <c r="OG150" s="61"/>
      <c r="OH150" s="61"/>
      <c r="OI150" s="61"/>
      <c r="OJ150" s="61"/>
      <c r="OK150" s="61"/>
      <c r="OL150" s="61"/>
      <c r="OM150" s="61"/>
      <c r="ON150" s="61"/>
      <c r="OO150" s="61"/>
      <c r="OP150" s="61"/>
      <c r="OQ150" s="61"/>
      <c r="OR150" s="61"/>
      <c r="OS150" s="61"/>
      <c r="OT150" s="61"/>
      <c r="OU150" s="61"/>
      <c r="OV150" s="61"/>
      <c r="OW150" s="61"/>
      <c r="OX150" s="61"/>
      <c r="OY150" s="61"/>
      <c r="OZ150" s="61"/>
      <c r="PA150" s="61"/>
      <c r="PB150" s="61"/>
      <c r="PC150" s="61"/>
      <c r="PD150" s="61"/>
      <c r="PE150" s="61"/>
      <c r="PF150" s="61"/>
      <c r="PG150" s="61"/>
      <c r="PH150" s="61"/>
      <c r="PI150" s="61"/>
      <c r="PJ150" s="61"/>
      <c r="PK150" s="61"/>
      <c r="PL150" s="61"/>
      <c r="PM150" s="61"/>
      <c r="PN150" s="61"/>
      <c r="PO150" s="61"/>
      <c r="PP150" s="61"/>
      <c r="PQ150" s="61"/>
      <c r="PR150" s="61"/>
      <c r="PS150" s="61"/>
      <c r="PT150" s="61"/>
      <c r="PU150" s="61"/>
      <c r="PV150" s="61"/>
      <c r="PW150" s="61"/>
      <c r="PX150" s="61"/>
      <c r="PY150" s="61"/>
      <c r="PZ150" s="61"/>
      <c r="QA150" s="61"/>
      <c r="QB150" s="61"/>
      <c r="QC150" s="61"/>
      <c r="QD150" s="61"/>
      <c r="QE150" s="61"/>
      <c r="QF150" s="61"/>
      <c r="QG150" s="61"/>
      <c r="QH150" s="61"/>
      <c r="QI150" s="61"/>
      <c r="QJ150" s="61"/>
      <c r="QK150" s="61"/>
      <c r="QL150" s="61"/>
      <c r="QM150" s="61"/>
      <c r="QN150" s="61"/>
      <c r="QO150" s="61"/>
      <c r="QP150" s="61"/>
      <c r="QQ150" s="61"/>
      <c r="QR150" s="61"/>
      <c r="QS150" s="61"/>
      <c r="QT150" s="61"/>
      <c r="QU150" s="61"/>
      <c r="QV150" s="61"/>
      <c r="QW150" s="61"/>
      <c r="QX150" s="61"/>
      <c r="QY150" s="61"/>
      <c r="QZ150" s="61"/>
      <c r="RA150" s="61"/>
      <c r="RB150" s="61"/>
      <c r="RC150" s="61"/>
      <c r="RD150" s="17"/>
    </row>
    <row r="151" spans="1:472" s="5" customFormat="1" ht="15" hidden="1" customHeight="1" x14ac:dyDescent="0.25">
      <c r="A151" s="5">
        <v>2066</v>
      </c>
      <c r="B151" s="5" t="s">
        <v>590</v>
      </c>
      <c r="C151" s="5" t="s">
        <v>230</v>
      </c>
      <c r="D151" s="5">
        <v>102</v>
      </c>
      <c r="E151" s="36"/>
      <c r="F151" s="64" t="s">
        <v>216</v>
      </c>
      <c r="G151" s="65"/>
      <c r="H151" s="19"/>
      <c r="I151" s="61"/>
      <c r="J151" s="61"/>
      <c r="K151" s="61"/>
      <c r="L151" s="61"/>
      <c r="M151" s="61"/>
      <c r="N151" s="61"/>
      <c r="O151" s="61"/>
      <c r="P151" s="61"/>
      <c r="Q151" s="61"/>
      <c r="R151" s="61"/>
      <c r="S151" s="61"/>
      <c r="T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v>2</v>
      </c>
      <c r="DC151" s="61"/>
      <c r="DD151" s="61"/>
      <c r="DE151" s="61"/>
      <c r="DF151" s="61"/>
      <c r="DG151" s="61"/>
      <c r="DH151" s="61"/>
      <c r="DI151" s="61"/>
      <c r="DJ151" s="61"/>
      <c r="DK151" s="61"/>
      <c r="DL151" s="61"/>
      <c r="DM151" s="61"/>
      <c r="DN151" s="61"/>
      <c r="DO151" s="61"/>
      <c r="DP151" s="61"/>
      <c r="DQ151" s="61"/>
      <c r="DR151" s="61"/>
      <c r="DS151" s="61"/>
      <c r="DT151" s="61"/>
      <c r="DU151" s="61"/>
      <c r="DV151" s="61"/>
      <c r="DW151" s="61"/>
      <c r="DX151" s="61"/>
      <c r="DY151" s="61"/>
      <c r="DZ151" s="61"/>
      <c r="EA151" s="61"/>
      <c r="EB151" s="61"/>
      <c r="EC151" s="61"/>
      <c r="ED151" s="61"/>
      <c r="EE151" s="61"/>
      <c r="EF151" s="61"/>
      <c r="EG151" s="61"/>
      <c r="EH151" s="61"/>
      <c r="EI151" s="61"/>
      <c r="EJ151" s="61"/>
      <c r="EK151" s="61"/>
      <c r="EL151" s="61"/>
      <c r="EM151" s="61"/>
      <c r="EN151" s="61"/>
      <c r="EO151" s="61"/>
      <c r="EP151" s="61"/>
      <c r="EQ151" s="61"/>
      <c r="ER151" s="61"/>
      <c r="ES151" s="61"/>
      <c r="ET151" s="61"/>
      <c r="EU151" s="61"/>
      <c r="EV151" s="61"/>
      <c r="EW151" s="61"/>
      <c r="EX151" s="61"/>
      <c r="EY151" s="61"/>
      <c r="EZ151" s="61">
        <v>1</v>
      </c>
      <c r="FA151" s="61"/>
      <c r="FB151" s="61">
        <v>1</v>
      </c>
      <c r="FC151" s="61"/>
      <c r="FD151" s="61">
        <v>3</v>
      </c>
      <c r="FE151" s="61"/>
      <c r="FF151" s="61">
        <v>4</v>
      </c>
      <c r="FG151" s="61"/>
      <c r="FH151" s="61">
        <v>6</v>
      </c>
      <c r="FI151" s="61"/>
      <c r="FJ151" s="61">
        <v>9</v>
      </c>
      <c r="FK151" s="61"/>
      <c r="FL151" s="61">
        <v>6</v>
      </c>
      <c r="FM151" s="61"/>
      <c r="FN151" s="61">
        <v>7</v>
      </c>
      <c r="FO151" s="61"/>
      <c r="FP151" s="61">
        <v>7</v>
      </c>
      <c r="FQ151" s="61"/>
      <c r="FR151" s="61">
        <v>6</v>
      </c>
      <c r="FS151" s="61"/>
      <c r="FT151" s="61">
        <v>4</v>
      </c>
      <c r="FU151" s="61"/>
      <c r="FV151" s="61">
        <v>2</v>
      </c>
      <c r="FW151" s="61"/>
      <c r="FX151" s="61">
        <v>2</v>
      </c>
      <c r="FY151" s="61"/>
      <c r="FZ151" s="61">
        <v>2</v>
      </c>
      <c r="GA151" s="61"/>
      <c r="GB151" s="61">
        <v>1</v>
      </c>
      <c r="GC151" s="61"/>
      <c r="GD151" s="61"/>
      <c r="GE151" s="61"/>
      <c r="GF151" s="61"/>
      <c r="GG151" s="61"/>
      <c r="GH151" s="61"/>
      <c r="GI151" s="61"/>
      <c r="GJ151" s="61"/>
      <c r="GK151" s="61"/>
      <c r="GL151" s="61"/>
      <c r="GM151" s="61"/>
      <c r="GN151" s="61"/>
      <c r="GO151" s="61"/>
      <c r="GP151" s="61"/>
      <c r="GQ151" s="61"/>
      <c r="GR151" s="61"/>
      <c r="GS151" s="61"/>
      <c r="GT151" s="61"/>
      <c r="GU151" s="61"/>
      <c r="GV151" s="61"/>
      <c r="GW151" s="61"/>
      <c r="GX151" s="61"/>
      <c r="GY151" s="61"/>
      <c r="GZ151" s="61"/>
      <c r="HA151" s="61"/>
      <c r="HB151" s="61"/>
      <c r="HC151" s="61"/>
      <c r="HD151" s="61"/>
      <c r="HE151" s="61"/>
      <c r="HF151" s="61"/>
      <c r="HG151" s="61"/>
      <c r="HH151" s="61"/>
      <c r="HI151" s="61"/>
      <c r="HJ151" s="61"/>
      <c r="HK151" s="61"/>
      <c r="HL151" s="61"/>
      <c r="HM151" s="61"/>
      <c r="HN151" s="61"/>
      <c r="HO151" s="61"/>
      <c r="HP151" s="61"/>
      <c r="HQ151" s="61"/>
      <c r="HR151" s="61"/>
      <c r="HS151" s="61"/>
      <c r="HT151" s="61"/>
      <c r="HU151" s="61"/>
      <c r="HV151" s="61"/>
      <c r="HW151" s="61"/>
      <c r="HX151" s="61"/>
      <c r="HY151" s="61"/>
      <c r="HZ151" s="61"/>
      <c r="IA151" s="61"/>
      <c r="IB151" s="61"/>
      <c r="IC151" s="61"/>
      <c r="ID151" s="61"/>
      <c r="IE151" s="61"/>
      <c r="IF151" s="61"/>
      <c r="IG151" s="61"/>
      <c r="IH151" s="61"/>
      <c r="II151" s="61"/>
      <c r="IJ151" s="61"/>
      <c r="IK151" s="61"/>
      <c r="IL151" s="61"/>
      <c r="IM151" s="61"/>
      <c r="IN151" s="61"/>
      <c r="IO151" s="61"/>
      <c r="IP151" s="61"/>
      <c r="IQ151" s="61"/>
      <c r="IR151" s="61"/>
      <c r="IS151" s="61"/>
      <c r="IT151" s="61"/>
      <c r="IU151" s="61"/>
      <c r="IV151" s="61"/>
      <c r="IW151" s="61"/>
      <c r="IX151" s="61"/>
      <c r="IY151" s="61"/>
      <c r="IZ151" s="61"/>
      <c r="JA151" s="61"/>
      <c r="JB151" s="61"/>
      <c r="JC151" s="61"/>
      <c r="JD151" s="61"/>
      <c r="JE151" s="61"/>
      <c r="JF151" s="61"/>
      <c r="JG151" s="61"/>
      <c r="JH151" s="61"/>
      <c r="JI151" s="61"/>
      <c r="JJ151" s="61"/>
      <c r="JK151" s="61"/>
      <c r="JL151" s="61"/>
      <c r="JM151" s="61"/>
      <c r="JN151" s="61"/>
      <c r="JO151" s="61"/>
      <c r="JP151" s="61"/>
      <c r="JQ151" s="61"/>
      <c r="JR151" s="61"/>
      <c r="JS151" s="61"/>
      <c r="JT151" s="61"/>
      <c r="JU151" s="61"/>
      <c r="JV151" s="61"/>
      <c r="JW151" s="61"/>
      <c r="JX151" s="61"/>
      <c r="JY151" s="61"/>
      <c r="JZ151" s="61"/>
      <c r="KA151" s="61"/>
      <c r="KB151" s="61"/>
      <c r="KC151" s="61"/>
      <c r="KD151" s="61"/>
      <c r="KE151" s="61"/>
      <c r="KF151" s="61"/>
      <c r="KG151" s="61"/>
      <c r="KH151" s="61"/>
      <c r="KI151" s="61"/>
      <c r="KJ151" s="61"/>
      <c r="KK151" s="61"/>
      <c r="KL151" s="61"/>
      <c r="KM151" s="61"/>
      <c r="KN151" s="61"/>
      <c r="KO151" s="61"/>
      <c r="KP151" s="61"/>
      <c r="KQ151" s="61"/>
      <c r="KR151" s="61"/>
      <c r="KS151" s="61"/>
      <c r="KT151" s="61"/>
      <c r="KU151" s="61"/>
      <c r="KV151" s="61"/>
      <c r="KW151" s="61"/>
      <c r="KX151" s="61"/>
      <c r="KY151" s="61"/>
      <c r="KZ151" s="61"/>
      <c r="LA151" s="61"/>
      <c r="LB151" s="61"/>
      <c r="LC151" s="61"/>
      <c r="LD151" s="61"/>
      <c r="LE151" s="61"/>
      <c r="LF151" s="61"/>
      <c r="LG151" s="61"/>
      <c r="LH151" s="61"/>
      <c r="LI151" s="61"/>
      <c r="LJ151" s="61"/>
      <c r="LK151" s="61"/>
      <c r="LL151" s="61"/>
      <c r="LM151" s="61"/>
      <c r="LN151" s="61"/>
      <c r="LO151" s="61"/>
      <c r="LP151" s="61"/>
      <c r="LQ151" s="61"/>
      <c r="LR151" s="61"/>
      <c r="LS151" s="61"/>
      <c r="LT151" s="61"/>
      <c r="LU151" s="61"/>
      <c r="LV151" s="61"/>
      <c r="LW151" s="61"/>
      <c r="LX151" s="61"/>
      <c r="LY151" s="61"/>
      <c r="LZ151" s="61"/>
      <c r="MA151" s="61"/>
      <c r="MB151" s="61"/>
      <c r="MC151" s="61"/>
      <c r="MD151" s="61"/>
      <c r="ME151" s="61"/>
      <c r="MF151" s="61"/>
      <c r="MG151" s="61"/>
      <c r="MH151" s="61"/>
      <c r="MI151" s="61"/>
      <c r="MJ151" s="61"/>
      <c r="MK151" s="61"/>
      <c r="ML151" s="61"/>
      <c r="MM151" s="61"/>
      <c r="MN151" s="61"/>
      <c r="MO151" s="61"/>
      <c r="MP151" s="61"/>
      <c r="MQ151" s="61"/>
      <c r="MR151" s="61"/>
      <c r="MS151" s="61"/>
      <c r="MT151" s="61"/>
      <c r="MU151" s="61"/>
      <c r="MV151" s="61"/>
      <c r="MW151" s="61"/>
      <c r="MX151" s="61"/>
      <c r="MY151" s="61"/>
      <c r="MZ151" s="61"/>
      <c r="NA151" s="61"/>
      <c r="NB151" s="61"/>
      <c r="NC151" s="61"/>
      <c r="ND151" s="61"/>
      <c r="NE151" s="61"/>
      <c r="NF151" s="61"/>
      <c r="NG151" s="61"/>
      <c r="NH151" s="61"/>
      <c r="NI151" s="61"/>
      <c r="NJ151" s="61"/>
      <c r="NK151" s="61"/>
      <c r="NL151" s="61"/>
      <c r="NM151" s="61"/>
      <c r="NN151" s="61"/>
      <c r="NO151" s="61"/>
      <c r="NP151" s="61"/>
      <c r="NQ151" s="61"/>
      <c r="NR151" s="61"/>
      <c r="NS151" s="61"/>
      <c r="NT151" s="61"/>
      <c r="NU151" s="61"/>
      <c r="NV151" s="61"/>
      <c r="NW151" s="61"/>
      <c r="NX151" s="61"/>
      <c r="NY151" s="61"/>
      <c r="NZ151" s="61"/>
      <c r="OA151" s="61"/>
      <c r="OB151" s="61"/>
      <c r="OC151" s="61"/>
      <c r="OD151" s="61"/>
      <c r="OE151" s="61"/>
      <c r="OF151" s="61"/>
      <c r="OG151" s="61"/>
      <c r="OH151" s="61"/>
      <c r="OI151" s="61"/>
      <c r="OJ151" s="61"/>
      <c r="OK151" s="61"/>
      <c r="OL151" s="61"/>
      <c r="OM151" s="61"/>
      <c r="ON151" s="61"/>
      <c r="OO151" s="61"/>
      <c r="OP151" s="61"/>
      <c r="OQ151" s="61"/>
      <c r="OR151" s="61"/>
      <c r="OS151" s="61"/>
      <c r="OT151" s="61"/>
      <c r="OU151" s="61"/>
      <c r="OV151" s="61"/>
      <c r="OW151" s="61"/>
      <c r="OX151" s="61"/>
      <c r="OY151" s="61"/>
      <c r="OZ151" s="61"/>
      <c r="PA151" s="61"/>
      <c r="PB151" s="61"/>
      <c r="PC151" s="61"/>
      <c r="PD151" s="61"/>
      <c r="PE151" s="61"/>
      <c r="PF151" s="61"/>
      <c r="PG151" s="61"/>
      <c r="PH151" s="61"/>
      <c r="PI151" s="61"/>
      <c r="PJ151" s="61"/>
      <c r="PK151" s="61"/>
      <c r="PL151" s="61"/>
      <c r="PM151" s="61"/>
      <c r="PN151" s="61"/>
      <c r="PO151" s="61"/>
      <c r="PP151" s="61"/>
      <c r="PQ151" s="61"/>
      <c r="PR151" s="61"/>
      <c r="PS151" s="61"/>
      <c r="PT151" s="61"/>
      <c r="PU151" s="61"/>
      <c r="PV151" s="61"/>
      <c r="PW151" s="61"/>
      <c r="PX151" s="61"/>
      <c r="PY151" s="61"/>
      <c r="PZ151" s="61"/>
      <c r="QA151" s="61"/>
      <c r="QB151" s="61"/>
      <c r="QC151" s="61"/>
      <c r="QD151" s="61"/>
      <c r="QE151" s="61"/>
      <c r="QF151" s="61"/>
      <c r="QG151" s="61"/>
      <c r="QH151" s="61"/>
      <c r="QI151" s="61"/>
      <c r="QJ151" s="61"/>
      <c r="QK151" s="61"/>
      <c r="QL151" s="61"/>
      <c r="QM151" s="61"/>
      <c r="QN151" s="61"/>
      <c r="QO151" s="61"/>
      <c r="QP151" s="61"/>
      <c r="QQ151" s="61"/>
      <c r="QR151" s="61"/>
      <c r="QS151" s="61"/>
      <c r="QT151" s="61"/>
      <c r="QU151" s="61"/>
      <c r="QV151" s="61"/>
      <c r="QW151" s="61"/>
      <c r="QX151" s="61"/>
      <c r="QY151" s="61"/>
      <c r="QZ151" s="61"/>
      <c r="RA151" s="61"/>
      <c r="RB151" s="61"/>
      <c r="RC151" s="61"/>
      <c r="RD151" s="17"/>
    </row>
    <row r="152" spans="1:472" s="5" customFormat="1" ht="15" hidden="1" customHeight="1" x14ac:dyDescent="0.25">
      <c r="A152" s="5">
        <v>2055</v>
      </c>
      <c r="B152" s="5" t="s">
        <v>585</v>
      </c>
      <c r="C152" s="5" t="s">
        <v>165</v>
      </c>
      <c r="D152" s="5">
        <v>98</v>
      </c>
      <c r="E152" s="36"/>
      <c r="F152" s="64" t="s">
        <v>216</v>
      </c>
      <c r="G152" s="65"/>
      <c r="H152" s="19"/>
      <c r="I152" s="61"/>
      <c r="J152" s="61"/>
      <c r="K152" s="61"/>
      <c r="L152" s="61"/>
      <c r="M152" s="61"/>
      <c r="N152" s="61"/>
      <c r="O152" s="61"/>
      <c r="P152" s="61"/>
      <c r="Q152" s="61"/>
      <c r="R152" s="61"/>
      <c r="S152" s="61"/>
      <c r="T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v>2</v>
      </c>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v>1</v>
      </c>
      <c r="EY152" s="61"/>
      <c r="EZ152" s="61">
        <v>2</v>
      </c>
      <c r="FA152" s="61"/>
      <c r="FB152" s="61">
        <v>4</v>
      </c>
      <c r="FC152" s="61"/>
      <c r="FD152" s="61">
        <v>5</v>
      </c>
      <c r="FE152" s="61"/>
      <c r="FF152" s="61">
        <v>2</v>
      </c>
      <c r="FG152" s="61"/>
      <c r="FH152" s="61">
        <v>7</v>
      </c>
      <c r="FI152" s="61"/>
      <c r="FJ152" s="61">
        <v>7</v>
      </c>
      <c r="FK152" s="61"/>
      <c r="FL152" s="61">
        <v>6</v>
      </c>
      <c r="FM152" s="61"/>
      <c r="FN152" s="61">
        <v>5</v>
      </c>
      <c r="FO152" s="61"/>
      <c r="FP152" s="61">
        <v>5</v>
      </c>
      <c r="FQ152" s="61"/>
      <c r="FR152" s="61">
        <v>4</v>
      </c>
      <c r="FS152" s="61"/>
      <c r="FT152" s="61">
        <v>3</v>
      </c>
      <c r="FU152" s="61"/>
      <c r="FV152" s="61">
        <v>2</v>
      </c>
      <c r="FW152" s="61"/>
      <c r="FX152" s="61">
        <v>1</v>
      </c>
      <c r="FY152" s="61"/>
      <c r="FZ152" s="61">
        <v>2</v>
      </c>
      <c r="GA152" s="61"/>
      <c r="GB152" s="61">
        <v>1</v>
      </c>
      <c r="GC152" s="61"/>
      <c r="GD152" s="61">
        <v>1</v>
      </c>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c r="HS152" s="61"/>
      <c r="HT152" s="61"/>
      <c r="HU152" s="61"/>
      <c r="HV152" s="61"/>
      <c r="HW152" s="61"/>
      <c r="HX152" s="61"/>
      <c r="HY152" s="61"/>
      <c r="HZ152" s="61"/>
      <c r="IA152" s="61"/>
      <c r="IB152" s="61"/>
      <c r="IC152" s="61"/>
      <c r="ID152" s="61"/>
      <c r="IE152" s="61"/>
      <c r="IF152" s="61"/>
      <c r="IG152" s="61"/>
      <c r="IH152" s="61"/>
      <c r="II152" s="61"/>
      <c r="IJ152" s="61"/>
      <c r="IK152" s="61"/>
      <c r="IL152" s="61"/>
      <c r="IM152" s="61"/>
      <c r="IN152" s="61"/>
      <c r="IO152" s="61"/>
      <c r="IP152" s="61"/>
      <c r="IQ152" s="61"/>
      <c r="IR152" s="61"/>
      <c r="IS152" s="61"/>
      <c r="IT152" s="61"/>
      <c r="IU152" s="61"/>
      <c r="IV152" s="61"/>
      <c r="IW152" s="61"/>
      <c r="IX152" s="61"/>
      <c r="IY152" s="61"/>
      <c r="IZ152" s="61"/>
      <c r="JA152" s="61"/>
      <c r="JB152" s="61"/>
      <c r="JC152" s="61"/>
      <c r="JD152" s="61"/>
      <c r="JE152" s="61"/>
      <c r="JF152" s="61"/>
      <c r="JG152" s="61"/>
      <c r="JH152" s="61"/>
      <c r="JI152" s="61"/>
      <c r="JJ152" s="61"/>
      <c r="JK152" s="61"/>
      <c r="JL152" s="61"/>
      <c r="JM152" s="61"/>
      <c r="JN152" s="61"/>
      <c r="JO152" s="61"/>
      <c r="JP152" s="61"/>
      <c r="JQ152" s="61"/>
      <c r="JR152" s="61"/>
      <c r="JS152" s="61"/>
      <c r="JT152" s="61"/>
      <c r="JU152" s="61"/>
      <c r="JV152" s="61"/>
      <c r="JW152" s="61"/>
      <c r="JX152" s="61"/>
      <c r="JY152" s="61"/>
      <c r="JZ152" s="61"/>
      <c r="KA152" s="61"/>
      <c r="KB152" s="61"/>
      <c r="KC152" s="61"/>
      <c r="KD152" s="61"/>
      <c r="KE152" s="61"/>
      <c r="KF152" s="61"/>
      <c r="KG152" s="61"/>
      <c r="KH152" s="61"/>
      <c r="KI152" s="61"/>
      <c r="KJ152" s="61"/>
      <c r="KK152" s="61"/>
      <c r="KL152" s="61"/>
      <c r="KM152" s="61"/>
      <c r="KN152" s="61"/>
      <c r="KO152" s="61"/>
      <c r="KP152" s="61"/>
      <c r="KQ152" s="61"/>
      <c r="KR152" s="61"/>
      <c r="KS152" s="61"/>
      <c r="KT152" s="61"/>
      <c r="KU152" s="61"/>
      <c r="KV152" s="61"/>
      <c r="KW152" s="61"/>
      <c r="KX152" s="61"/>
      <c r="KY152" s="61"/>
      <c r="KZ152" s="61"/>
      <c r="LA152" s="61"/>
      <c r="LB152" s="61"/>
      <c r="LC152" s="61"/>
      <c r="LD152" s="61"/>
      <c r="LE152" s="61"/>
      <c r="LF152" s="61"/>
      <c r="LG152" s="61"/>
      <c r="LH152" s="61"/>
      <c r="LI152" s="61"/>
      <c r="LJ152" s="61"/>
      <c r="LK152" s="61"/>
      <c r="LL152" s="61"/>
      <c r="LM152" s="61"/>
      <c r="LN152" s="61"/>
      <c r="LO152" s="61"/>
      <c r="LP152" s="61"/>
      <c r="LQ152" s="61"/>
      <c r="LR152" s="61"/>
      <c r="LS152" s="61"/>
      <c r="LT152" s="61"/>
      <c r="LU152" s="61"/>
      <c r="LV152" s="61"/>
      <c r="LW152" s="61"/>
      <c r="LX152" s="61"/>
      <c r="LY152" s="61"/>
      <c r="LZ152" s="61"/>
      <c r="MA152" s="61"/>
      <c r="MB152" s="61"/>
      <c r="MC152" s="61"/>
      <c r="MD152" s="61"/>
      <c r="ME152" s="61"/>
      <c r="MF152" s="61"/>
      <c r="MG152" s="61"/>
      <c r="MH152" s="61"/>
      <c r="MI152" s="61"/>
      <c r="MJ152" s="61"/>
      <c r="MK152" s="61"/>
      <c r="ML152" s="61"/>
      <c r="MM152" s="61"/>
      <c r="MN152" s="61"/>
      <c r="MO152" s="61"/>
      <c r="MP152" s="61"/>
      <c r="MQ152" s="61"/>
      <c r="MR152" s="61"/>
      <c r="MS152" s="61"/>
      <c r="MT152" s="61"/>
      <c r="MU152" s="61"/>
      <c r="MV152" s="61"/>
      <c r="MW152" s="61"/>
      <c r="MX152" s="61"/>
      <c r="MY152" s="61"/>
      <c r="MZ152" s="61"/>
      <c r="NA152" s="61"/>
      <c r="NB152" s="61"/>
      <c r="NC152" s="61"/>
      <c r="ND152" s="61"/>
      <c r="NE152" s="61"/>
      <c r="NF152" s="61"/>
      <c r="NG152" s="61"/>
      <c r="NH152" s="61"/>
      <c r="NI152" s="61"/>
      <c r="NJ152" s="61"/>
      <c r="NK152" s="61"/>
      <c r="NL152" s="61"/>
      <c r="NM152" s="61"/>
      <c r="NN152" s="61"/>
      <c r="NO152" s="61"/>
      <c r="NP152" s="61"/>
      <c r="NQ152" s="61"/>
      <c r="NR152" s="61"/>
      <c r="NS152" s="61"/>
      <c r="NT152" s="61"/>
      <c r="NU152" s="61"/>
      <c r="NV152" s="61"/>
      <c r="NW152" s="61"/>
      <c r="NX152" s="61"/>
      <c r="NY152" s="61"/>
      <c r="NZ152" s="61"/>
      <c r="OA152" s="61"/>
      <c r="OB152" s="61"/>
      <c r="OC152" s="61"/>
      <c r="OD152" s="61"/>
      <c r="OE152" s="61"/>
      <c r="OF152" s="61"/>
      <c r="OG152" s="61"/>
      <c r="OH152" s="61"/>
      <c r="OI152" s="61"/>
      <c r="OJ152" s="61"/>
      <c r="OK152" s="61"/>
      <c r="OL152" s="61"/>
      <c r="OM152" s="61"/>
      <c r="ON152" s="61"/>
      <c r="OO152" s="61"/>
      <c r="OP152" s="61"/>
      <c r="OQ152" s="61"/>
      <c r="OR152" s="61"/>
      <c r="OS152" s="61"/>
      <c r="OT152" s="61"/>
      <c r="OU152" s="61"/>
      <c r="OV152" s="61"/>
      <c r="OW152" s="61"/>
      <c r="OX152" s="61"/>
      <c r="OY152" s="61"/>
      <c r="OZ152" s="61"/>
      <c r="PA152" s="61"/>
      <c r="PB152" s="61"/>
      <c r="PC152" s="61"/>
      <c r="PD152" s="61"/>
      <c r="PE152" s="61"/>
      <c r="PF152" s="61"/>
      <c r="PG152" s="61"/>
      <c r="PH152" s="61"/>
      <c r="PI152" s="61"/>
      <c r="PJ152" s="61"/>
      <c r="PK152" s="61"/>
      <c r="PL152" s="61"/>
      <c r="PM152" s="61"/>
      <c r="PN152" s="61"/>
      <c r="PO152" s="61"/>
      <c r="PP152" s="61"/>
      <c r="PQ152" s="61"/>
      <c r="PR152" s="61"/>
      <c r="PS152" s="61"/>
      <c r="PT152" s="61"/>
      <c r="PU152" s="61"/>
      <c r="PV152" s="61"/>
      <c r="PW152" s="61"/>
      <c r="PX152" s="61"/>
      <c r="PY152" s="61"/>
      <c r="PZ152" s="61"/>
      <c r="QA152" s="61"/>
      <c r="QB152" s="61"/>
      <c r="QC152" s="61"/>
      <c r="QD152" s="61"/>
      <c r="QE152" s="61"/>
      <c r="QF152" s="61"/>
      <c r="QG152" s="61"/>
      <c r="QH152" s="61"/>
      <c r="QI152" s="61"/>
      <c r="QJ152" s="61"/>
      <c r="QK152" s="61"/>
      <c r="QL152" s="61"/>
      <c r="QM152" s="61"/>
      <c r="QN152" s="61"/>
      <c r="QO152" s="61"/>
      <c r="QP152" s="61"/>
      <c r="QQ152" s="61"/>
      <c r="QR152" s="61"/>
      <c r="QS152" s="61"/>
      <c r="QT152" s="61"/>
      <c r="QU152" s="61"/>
      <c r="QV152" s="61"/>
      <c r="QW152" s="61"/>
      <c r="QX152" s="61"/>
      <c r="QY152" s="61"/>
      <c r="QZ152" s="61"/>
      <c r="RA152" s="61"/>
      <c r="RB152" s="61"/>
      <c r="RC152" s="61"/>
      <c r="RD152" s="17"/>
    </row>
    <row r="153" spans="1:472" s="5" customFormat="1" ht="15" hidden="1" customHeight="1" x14ac:dyDescent="0.25">
      <c r="A153" s="5">
        <v>2060</v>
      </c>
      <c r="B153" s="5" t="s">
        <v>472</v>
      </c>
      <c r="C153" s="5" t="s">
        <v>230</v>
      </c>
      <c r="D153" s="5">
        <v>270</v>
      </c>
      <c r="E153" s="36"/>
      <c r="F153" s="64" t="s">
        <v>216</v>
      </c>
      <c r="G153" s="65"/>
      <c r="H153" s="19"/>
      <c r="I153" s="61"/>
      <c r="J153" s="61"/>
      <c r="K153" s="61"/>
      <c r="L153" s="61"/>
      <c r="M153" s="61"/>
      <c r="N153" s="61"/>
      <c r="O153" s="61"/>
      <c r="P153" s="61"/>
      <c r="Q153" s="61"/>
      <c r="R153" s="61"/>
      <c r="S153" s="61"/>
      <c r="T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v>1</v>
      </c>
      <c r="DQ153" s="61"/>
      <c r="DR153" s="61">
        <v>2</v>
      </c>
      <c r="DS153" s="61"/>
      <c r="DT153" s="61">
        <v>4</v>
      </c>
      <c r="DU153" s="61"/>
      <c r="DV153" s="61">
        <v>7</v>
      </c>
      <c r="DW153" s="61"/>
      <c r="DX153" s="61">
        <v>6</v>
      </c>
      <c r="DY153" s="61"/>
      <c r="DZ153" s="61">
        <v>3</v>
      </c>
      <c r="EA153" s="61"/>
      <c r="EB153" s="61">
        <v>5</v>
      </c>
      <c r="EC153" s="61"/>
      <c r="ED153" s="61">
        <v>7</v>
      </c>
      <c r="EE153" s="61"/>
      <c r="EF153" s="61">
        <v>9</v>
      </c>
      <c r="EG153" s="61"/>
      <c r="EH153" s="62" t="s">
        <v>707</v>
      </c>
      <c r="EI153" s="63"/>
      <c r="EJ153" s="61" t="s">
        <v>704</v>
      </c>
      <c r="EK153" s="61"/>
      <c r="EL153" s="61" t="s">
        <v>704</v>
      </c>
      <c r="EM153" s="61"/>
      <c r="EN153" s="61"/>
      <c r="EO153" s="61"/>
      <c r="EP153" s="61"/>
      <c r="EQ153" s="61"/>
      <c r="ER153" s="61"/>
      <c r="ES153" s="61"/>
      <c r="ET153" s="61"/>
      <c r="EU153" s="61"/>
      <c r="EV153" s="61" t="s">
        <v>704</v>
      </c>
      <c r="EW153" s="61"/>
      <c r="EX153" s="61" t="s">
        <v>704</v>
      </c>
      <c r="EY153" s="61"/>
      <c r="EZ153" s="61">
        <v>3</v>
      </c>
      <c r="FA153" s="61"/>
      <c r="FB153" s="61">
        <v>6</v>
      </c>
      <c r="FC153" s="61"/>
      <c r="FD153" s="61">
        <v>6</v>
      </c>
      <c r="FE153" s="61"/>
      <c r="FF153" s="61">
        <v>5</v>
      </c>
      <c r="FG153" s="61"/>
      <c r="FH153" s="61">
        <v>6</v>
      </c>
      <c r="FI153" s="61"/>
      <c r="FJ153" s="61">
        <v>8</v>
      </c>
      <c r="FK153" s="61"/>
      <c r="FL153" s="61">
        <v>11</v>
      </c>
      <c r="FM153" s="61"/>
      <c r="FN153" s="61">
        <v>8</v>
      </c>
      <c r="FO153" s="61"/>
      <c r="FP153" s="61">
        <v>9</v>
      </c>
      <c r="FQ153" s="61"/>
      <c r="FR153" s="61">
        <v>8</v>
      </c>
      <c r="FS153" s="61"/>
      <c r="FT153" s="61">
        <v>6</v>
      </c>
      <c r="FU153" s="61"/>
      <c r="FV153" s="61">
        <v>8</v>
      </c>
      <c r="FW153" s="61"/>
      <c r="FX153" s="61">
        <v>5</v>
      </c>
      <c r="FY153" s="61"/>
      <c r="FZ153" s="61">
        <v>4</v>
      </c>
      <c r="GA153" s="61"/>
      <c r="GB153" s="61">
        <v>4</v>
      </c>
      <c r="GC153" s="61"/>
      <c r="GD153" s="61">
        <v>2</v>
      </c>
      <c r="GE153" s="61"/>
      <c r="GF153" s="61">
        <v>1</v>
      </c>
      <c r="GG153" s="61"/>
      <c r="GH153" s="61">
        <v>1</v>
      </c>
      <c r="GI153" s="61"/>
      <c r="GJ153" s="61">
        <v>1</v>
      </c>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c r="HS153" s="61"/>
      <c r="HT153" s="61"/>
      <c r="HU153" s="61"/>
      <c r="HV153" s="61"/>
      <c r="HW153" s="61"/>
      <c r="HX153" s="61"/>
      <c r="HY153" s="61"/>
      <c r="HZ153" s="61"/>
      <c r="IA153" s="61"/>
      <c r="IB153" s="61"/>
      <c r="IC153" s="61"/>
      <c r="ID153" s="61"/>
      <c r="IE153" s="61"/>
      <c r="IF153" s="61"/>
      <c r="IG153" s="61"/>
      <c r="IH153" s="61"/>
      <c r="II153" s="61"/>
      <c r="IJ153" s="61"/>
      <c r="IK153" s="61"/>
      <c r="IL153" s="61"/>
      <c r="IM153" s="61"/>
      <c r="IN153" s="61"/>
      <c r="IO153" s="61"/>
      <c r="IP153" s="61"/>
      <c r="IQ153" s="61"/>
      <c r="IR153" s="61"/>
      <c r="IS153" s="61"/>
      <c r="IT153" s="61"/>
      <c r="IU153" s="61"/>
      <c r="IV153" s="61"/>
      <c r="IW153" s="61"/>
      <c r="IX153" s="61"/>
      <c r="IY153" s="61"/>
      <c r="IZ153" s="61"/>
      <c r="JA153" s="61"/>
      <c r="JB153" s="61"/>
      <c r="JC153" s="61"/>
      <c r="JD153" s="61"/>
      <c r="JE153" s="61"/>
      <c r="JF153" s="61"/>
      <c r="JG153" s="61"/>
      <c r="JH153" s="61"/>
      <c r="JI153" s="61"/>
      <c r="JJ153" s="61"/>
      <c r="JK153" s="61"/>
      <c r="JL153" s="61"/>
      <c r="JM153" s="61"/>
      <c r="JN153" s="61"/>
      <c r="JO153" s="61"/>
      <c r="JP153" s="61"/>
      <c r="JQ153" s="61"/>
      <c r="JR153" s="61"/>
      <c r="JS153" s="61"/>
      <c r="JT153" s="61"/>
      <c r="JU153" s="61"/>
      <c r="JV153" s="61"/>
      <c r="JW153" s="61"/>
      <c r="JX153" s="61"/>
      <c r="JY153" s="61"/>
      <c r="JZ153" s="61"/>
      <c r="KA153" s="61"/>
      <c r="KB153" s="61"/>
      <c r="KC153" s="61"/>
      <c r="KD153" s="61"/>
      <c r="KE153" s="61"/>
      <c r="KF153" s="61"/>
      <c r="KG153" s="61"/>
      <c r="KH153" s="61"/>
      <c r="KI153" s="61"/>
      <c r="KJ153" s="61"/>
      <c r="KK153" s="61"/>
      <c r="KL153" s="61"/>
      <c r="KM153" s="61"/>
      <c r="KN153" s="61"/>
      <c r="KO153" s="61"/>
      <c r="KP153" s="61"/>
      <c r="KQ153" s="61"/>
      <c r="KR153" s="61"/>
      <c r="KS153" s="61"/>
      <c r="KT153" s="61"/>
      <c r="KU153" s="61"/>
      <c r="KV153" s="61"/>
      <c r="KW153" s="61"/>
      <c r="KX153" s="61"/>
      <c r="KY153" s="61"/>
      <c r="KZ153" s="61"/>
      <c r="LA153" s="61"/>
      <c r="LB153" s="61"/>
      <c r="LC153" s="61"/>
      <c r="LD153" s="61"/>
      <c r="LE153" s="61"/>
      <c r="LF153" s="61"/>
      <c r="LG153" s="61"/>
      <c r="LH153" s="61"/>
      <c r="LI153" s="61"/>
      <c r="LJ153" s="61"/>
      <c r="LK153" s="61"/>
      <c r="LL153" s="61"/>
      <c r="LM153" s="61"/>
      <c r="LN153" s="61"/>
      <c r="LO153" s="61"/>
      <c r="LP153" s="61"/>
      <c r="LQ153" s="61"/>
      <c r="LR153" s="61"/>
      <c r="LS153" s="61"/>
      <c r="LT153" s="61"/>
      <c r="LU153" s="61"/>
      <c r="LV153" s="61"/>
      <c r="LW153" s="61"/>
      <c r="LX153" s="61"/>
      <c r="LY153" s="61"/>
      <c r="LZ153" s="61"/>
      <c r="MA153" s="61"/>
      <c r="MB153" s="61"/>
      <c r="MC153" s="61"/>
      <c r="MD153" s="61"/>
      <c r="ME153" s="61"/>
      <c r="MF153" s="61"/>
      <c r="MG153" s="61"/>
      <c r="MH153" s="61"/>
      <c r="MI153" s="61"/>
      <c r="MJ153" s="61"/>
      <c r="MK153" s="61"/>
      <c r="ML153" s="61"/>
      <c r="MM153" s="61"/>
      <c r="MN153" s="61"/>
      <c r="MO153" s="61"/>
      <c r="MP153" s="61"/>
      <c r="MQ153" s="61"/>
      <c r="MR153" s="61"/>
      <c r="MS153" s="61"/>
      <c r="MT153" s="61"/>
      <c r="MU153" s="61"/>
      <c r="MV153" s="61"/>
      <c r="MW153" s="61"/>
      <c r="MX153" s="61"/>
      <c r="MY153" s="61"/>
      <c r="MZ153" s="61"/>
      <c r="NA153" s="61"/>
      <c r="NB153" s="61"/>
      <c r="NC153" s="61"/>
      <c r="ND153" s="61"/>
      <c r="NE153" s="61"/>
      <c r="NF153" s="61"/>
      <c r="NG153" s="61"/>
      <c r="NH153" s="61"/>
      <c r="NI153" s="61"/>
      <c r="NJ153" s="61"/>
      <c r="NK153" s="61"/>
      <c r="NL153" s="61"/>
      <c r="NM153" s="61"/>
      <c r="NN153" s="61"/>
      <c r="NO153" s="61"/>
      <c r="NP153" s="61"/>
      <c r="NQ153" s="61"/>
      <c r="NR153" s="61"/>
      <c r="NS153" s="61"/>
      <c r="NT153" s="61"/>
      <c r="NU153" s="61"/>
      <c r="NV153" s="61"/>
      <c r="NW153" s="61"/>
      <c r="NX153" s="61"/>
      <c r="NY153" s="61"/>
      <c r="NZ153" s="61"/>
      <c r="OA153" s="61"/>
      <c r="OB153" s="61"/>
      <c r="OC153" s="61"/>
      <c r="OD153" s="61"/>
      <c r="OE153" s="61"/>
      <c r="OF153" s="61"/>
      <c r="OG153" s="61"/>
      <c r="OH153" s="61"/>
      <c r="OI153" s="61"/>
      <c r="OJ153" s="61"/>
      <c r="OK153" s="61"/>
      <c r="OL153" s="61"/>
      <c r="OM153" s="61"/>
      <c r="ON153" s="61"/>
      <c r="OO153" s="61"/>
      <c r="OP153" s="61"/>
      <c r="OQ153" s="61"/>
      <c r="OR153" s="61"/>
      <c r="OS153" s="61"/>
      <c r="OT153" s="61"/>
      <c r="OU153" s="61"/>
      <c r="OV153" s="61"/>
      <c r="OW153" s="61"/>
      <c r="OX153" s="61"/>
      <c r="OY153" s="61"/>
      <c r="OZ153" s="61"/>
      <c r="PA153" s="61"/>
      <c r="PB153" s="61"/>
      <c r="PC153" s="61"/>
      <c r="PD153" s="61"/>
      <c r="PE153" s="61"/>
      <c r="PF153" s="61"/>
      <c r="PG153" s="61"/>
      <c r="PH153" s="61"/>
      <c r="PI153" s="61"/>
      <c r="PJ153" s="61"/>
      <c r="PK153" s="61"/>
      <c r="PL153" s="61"/>
      <c r="PM153" s="61"/>
      <c r="PN153" s="61"/>
      <c r="PO153" s="61"/>
      <c r="PP153" s="61"/>
      <c r="PQ153" s="61"/>
      <c r="PR153" s="61"/>
      <c r="PS153" s="61"/>
      <c r="PT153" s="61"/>
      <c r="PU153" s="61"/>
      <c r="PV153" s="61"/>
      <c r="PW153" s="61"/>
      <c r="PX153" s="61"/>
      <c r="PY153" s="61"/>
      <c r="PZ153" s="61"/>
      <c r="QA153" s="61"/>
      <c r="QB153" s="61"/>
      <c r="QC153" s="61"/>
      <c r="QD153" s="61"/>
      <c r="QE153" s="61"/>
      <c r="QF153" s="61"/>
      <c r="QG153" s="61"/>
      <c r="QH153" s="61"/>
      <c r="QI153" s="61"/>
      <c r="QJ153" s="61"/>
      <c r="QK153" s="61"/>
      <c r="QL153" s="61"/>
      <c r="QM153" s="61"/>
      <c r="QN153" s="61"/>
      <c r="QO153" s="61"/>
      <c r="QP153" s="61"/>
      <c r="QQ153" s="61"/>
      <c r="QR153" s="61"/>
      <c r="QS153" s="61"/>
      <c r="QT153" s="61"/>
      <c r="QU153" s="61"/>
      <c r="QV153" s="61"/>
      <c r="QW153" s="61"/>
      <c r="QX153" s="61"/>
      <c r="QY153" s="61"/>
      <c r="QZ153" s="61"/>
      <c r="RA153" s="61"/>
      <c r="RB153" s="61"/>
      <c r="RC153" s="61"/>
      <c r="RD153" s="17"/>
    </row>
    <row r="154" spans="1:472" s="5" customFormat="1" ht="15" hidden="1" customHeight="1" x14ac:dyDescent="0.25">
      <c r="A154" s="5">
        <v>2076</v>
      </c>
      <c r="B154" s="5" t="s">
        <v>722</v>
      </c>
      <c r="C154" s="5" t="s">
        <v>230</v>
      </c>
      <c r="D154" s="5">
        <v>215</v>
      </c>
      <c r="E154" s="36"/>
      <c r="F154" s="64" t="s">
        <v>216</v>
      </c>
      <c r="G154" s="65"/>
      <c r="H154" s="19"/>
      <c r="I154" s="61"/>
      <c r="J154" s="61"/>
      <c r="K154" s="61"/>
      <c r="L154" s="61"/>
      <c r="M154" s="61"/>
      <c r="N154" s="61"/>
      <c r="O154" s="61"/>
      <c r="P154" s="61"/>
      <c r="Q154" s="61"/>
      <c r="R154" s="61"/>
      <c r="S154" s="61"/>
      <c r="T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1"/>
      <c r="EX154" s="61">
        <v>2</v>
      </c>
      <c r="EY154" s="61"/>
      <c r="EZ154" s="61">
        <v>2</v>
      </c>
      <c r="FA154" s="61"/>
      <c r="FB154" s="61">
        <v>3</v>
      </c>
      <c r="FC154" s="61"/>
      <c r="FD154" s="61">
        <v>7</v>
      </c>
      <c r="FE154" s="61"/>
      <c r="FF154" s="61">
        <v>7</v>
      </c>
      <c r="FG154" s="61"/>
      <c r="FH154" s="61">
        <v>8</v>
      </c>
      <c r="FI154" s="61"/>
      <c r="FJ154" s="61">
        <v>10</v>
      </c>
      <c r="FK154" s="61"/>
      <c r="FL154" s="61">
        <v>11</v>
      </c>
      <c r="FM154" s="61"/>
      <c r="FN154" s="61">
        <v>12</v>
      </c>
      <c r="FO154" s="61"/>
      <c r="FP154" s="61">
        <v>10</v>
      </c>
      <c r="FQ154" s="61"/>
      <c r="FR154" s="61">
        <v>9</v>
      </c>
      <c r="FS154" s="61"/>
      <c r="FT154" s="61">
        <v>9</v>
      </c>
      <c r="FU154" s="61"/>
      <c r="FV154" s="61">
        <v>9</v>
      </c>
      <c r="FW154" s="61"/>
      <c r="FX154" s="61">
        <v>7</v>
      </c>
      <c r="FY154" s="61"/>
      <c r="FZ154" s="61">
        <v>9</v>
      </c>
      <c r="GA154" s="61"/>
      <c r="GB154" s="61">
        <v>7</v>
      </c>
      <c r="GC154" s="61"/>
      <c r="GD154" s="61">
        <v>4</v>
      </c>
      <c r="GE154" s="61"/>
      <c r="GF154" s="61">
        <v>3</v>
      </c>
      <c r="GG154" s="61"/>
      <c r="GH154" s="61">
        <v>1</v>
      </c>
      <c r="GI154" s="61"/>
      <c r="GJ154" s="61">
        <v>1</v>
      </c>
      <c r="GK154" s="61"/>
      <c r="GL154" s="61"/>
      <c r="GM154" s="61"/>
      <c r="GN154" s="61"/>
      <c r="GO154" s="61"/>
      <c r="GP154" s="61"/>
      <c r="GQ154" s="61"/>
      <c r="GR154" s="61"/>
      <c r="GS154" s="61"/>
      <c r="GT154" s="61"/>
      <c r="GU154" s="61"/>
      <c r="GV154" s="61"/>
      <c r="GW154" s="61"/>
      <c r="GX154" s="61"/>
      <c r="GY154" s="61"/>
      <c r="GZ154" s="61"/>
      <c r="HA154" s="61"/>
      <c r="HB154" s="61"/>
      <c r="HC154" s="61"/>
      <c r="HD154" s="61"/>
      <c r="HE154" s="61"/>
      <c r="HF154" s="61"/>
      <c r="HG154" s="61"/>
      <c r="HH154" s="61"/>
      <c r="HI154" s="61"/>
      <c r="HJ154" s="61"/>
      <c r="HK154" s="61"/>
      <c r="HL154" s="61"/>
      <c r="HM154" s="61"/>
      <c r="HN154" s="61"/>
      <c r="HO154" s="61"/>
      <c r="HP154" s="61"/>
      <c r="HQ154" s="61"/>
      <c r="HR154" s="61"/>
      <c r="HS154" s="61"/>
      <c r="HT154" s="61"/>
      <c r="HU154" s="61"/>
      <c r="HV154" s="61"/>
      <c r="HW154" s="61"/>
      <c r="HX154" s="61"/>
      <c r="HY154" s="61"/>
      <c r="HZ154" s="61"/>
      <c r="IA154" s="61"/>
      <c r="IB154" s="61"/>
      <c r="IC154" s="61"/>
      <c r="ID154" s="61"/>
      <c r="IE154" s="61"/>
      <c r="IF154" s="61"/>
      <c r="IG154" s="61"/>
      <c r="IH154" s="61"/>
      <c r="II154" s="61"/>
      <c r="IJ154" s="61"/>
      <c r="IK154" s="61"/>
      <c r="IL154" s="61"/>
      <c r="IM154" s="61"/>
      <c r="IN154" s="61"/>
      <c r="IO154" s="61"/>
      <c r="IP154" s="61"/>
      <c r="IQ154" s="61"/>
      <c r="IR154" s="61"/>
      <c r="IS154" s="61"/>
      <c r="IT154" s="61"/>
      <c r="IU154" s="61"/>
      <c r="IV154" s="61"/>
      <c r="IW154" s="61"/>
      <c r="IX154" s="61"/>
      <c r="IY154" s="61"/>
      <c r="IZ154" s="61"/>
      <c r="JA154" s="61"/>
      <c r="JB154" s="61"/>
      <c r="JC154" s="61"/>
      <c r="JD154" s="61"/>
      <c r="JE154" s="61"/>
      <c r="JF154" s="61"/>
      <c r="JG154" s="61"/>
      <c r="JH154" s="61"/>
      <c r="JI154" s="61"/>
      <c r="JJ154" s="61"/>
      <c r="JK154" s="61"/>
      <c r="JL154" s="61"/>
      <c r="JM154" s="61"/>
      <c r="JN154" s="61"/>
      <c r="JO154" s="61"/>
      <c r="JP154" s="61"/>
      <c r="JQ154" s="61"/>
      <c r="JR154" s="61"/>
      <c r="JS154" s="61"/>
      <c r="JT154" s="61"/>
      <c r="JU154" s="61"/>
      <c r="JV154" s="61"/>
      <c r="JW154" s="61"/>
      <c r="JX154" s="61"/>
      <c r="JY154" s="61"/>
      <c r="JZ154" s="61"/>
      <c r="KA154" s="61"/>
      <c r="KB154" s="61"/>
      <c r="KC154" s="61"/>
      <c r="KD154" s="61"/>
      <c r="KE154" s="61"/>
      <c r="KF154" s="61"/>
      <c r="KG154" s="61"/>
      <c r="KH154" s="61"/>
      <c r="KI154" s="61"/>
      <c r="KJ154" s="61"/>
      <c r="KK154" s="61"/>
      <c r="KL154" s="61"/>
      <c r="KM154" s="61"/>
      <c r="KN154" s="61"/>
      <c r="KO154" s="61"/>
      <c r="KP154" s="61"/>
      <c r="KQ154" s="61"/>
      <c r="KR154" s="61"/>
      <c r="KS154" s="61"/>
      <c r="KT154" s="61"/>
      <c r="KU154" s="61"/>
      <c r="KV154" s="61"/>
      <c r="KW154" s="61"/>
      <c r="KX154" s="61"/>
      <c r="KY154" s="61"/>
      <c r="KZ154" s="61"/>
      <c r="LA154" s="61"/>
      <c r="LB154" s="61"/>
      <c r="LC154" s="61"/>
      <c r="LD154" s="61"/>
      <c r="LE154" s="61"/>
      <c r="LF154" s="61"/>
      <c r="LG154" s="61"/>
      <c r="LH154" s="61"/>
      <c r="LI154" s="61"/>
      <c r="LJ154" s="61"/>
      <c r="LK154" s="61"/>
      <c r="LL154" s="61"/>
      <c r="LM154" s="61"/>
      <c r="LN154" s="61"/>
      <c r="LO154" s="61"/>
      <c r="LP154" s="61"/>
      <c r="LQ154" s="61"/>
      <c r="LR154" s="61"/>
      <c r="LS154" s="61"/>
      <c r="LT154" s="61"/>
      <c r="LU154" s="61"/>
      <c r="LV154" s="61"/>
      <c r="LW154" s="61"/>
      <c r="LX154" s="61"/>
      <c r="LY154" s="61"/>
      <c r="LZ154" s="61"/>
      <c r="MA154" s="61"/>
      <c r="MB154" s="61"/>
      <c r="MC154" s="61"/>
      <c r="MD154" s="61"/>
      <c r="ME154" s="61"/>
      <c r="MF154" s="61"/>
      <c r="MG154" s="61"/>
      <c r="MH154" s="61"/>
      <c r="MI154" s="61"/>
      <c r="MJ154" s="61"/>
      <c r="MK154" s="61"/>
      <c r="ML154" s="61"/>
      <c r="MM154" s="61"/>
      <c r="MN154" s="61"/>
      <c r="MO154" s="61"/>
      <c r="MP154" s="61"/>
      <c r="MQ154" s="61"/>
      <c r="MR154" s="61"/>
      <c r="MS154" s="61"/>
      <c r="MT154" s="61"/>
      <c r="MU154" s="61"/>
      <c r="MV154" s="61"/>
      <c r="MW154" s="61"/>
      <c r="MX154" s="61"/>
      <c r="MY154" s="61"/>
      <c r="MZ154" s="61"/>
      <c r="NA154" s="61"/>
      <c r="NB154" s="61"/>
      <c r="NC154" s="61"/>
      <c r="ND154" s="61"/>
      <c r="NE154" s="61"/>
      <c r="NF154" s="61"/>
      <c r="NG154" s="61"/>
      <c r="NH154" s="61"/>
      <c r="NI154" s="61"/>
      <c r="NJ154" s="61"/>
      <c r="NK154" s="61"/>
      <c r="NL154" s="61"/>
      <c r="NM154" s="61"/>
      <c r="NN154" s="61"/>
      <c r="NO154" s="61"/>
      <c r="NP154" s="61"/>
      <c r="NQ154" s="61"/>
      <c r="NR154" s="61"/>
      <c r="NS154" s="61"/>
      <c r="NT154" s="61"/>
      <c r="NU154" s="61"/>
      <c r="NV154" s="61"/>
      <c r="NW154" s="61"/>
      <c r="NX154" s="61"/>
      <c r="NY154" s="61"/>
      <c r="NZ154" s="61"/>
      <c r="OA154" s="61"/>
      <c r="OB154" s="61"/>
      <c r="OC154" s="61"/>
      <c r="OD154" s="61"/>
      <c r="OE154" s="61"/>
      <c r="OF154" s="61"/>
      <c r="OG154" s="61"/>
      <c r="OH154" s="61"/>
      <c r="OI154" s="61"/>
      <c r="OJ154" s="61"/>
      <c r="OK154" s="61"/>
      <c r="OL154" s="61"/>
      <c r="OM154" s="61"/>
      <c r="ON154" s="61"/>
      <c r="OO154" s="61"/>
      <c r="OP154" s="61"/>
      <c r="OQ154" s="61"/>
      <c r="OR154" s="61"/>
      <c r="OS154" s="61"/>
      <c r="OT154" s="61"/>
      <c r="OU154" s="61"/>
      <c r="OV154" s="61"/>
      <c r="OW154" s="61"/>
      <c r="OX154" s="61"/>
      <c r="OY154" s="61"/>
      <c r="OZ154" s="61"/>
      <c r="PA154" s="61"/>
      <c r="PB154" s="61"/>
      <c r="PC154" s="61"/>
      <c r="PD154" s="61"/>
      <c r="PE154" s="61"/>
      <c r="PF154" s="61"/>
      <c r="PG154" s="61"/>
      <c r="PH154" s="61"/>
      <c r="PI154" s="61"/>
      <c r="PJ154" s="61"/>
      <c r="PK154" s="61"/>
      <c r="PL154" s="61"/>
      <c r="PM154" s="61"/>
      <c r="PN154" s="61"/>
      <c r="PO154" s="61"/>
      <c r="PP154" s="61"/>
      <c r="PQ154" s="61"/>
      <c r="PR154" s="61"/>
      <c r="PS154" s="61"/>
      <c r="PT154" s="61"/>
      <c r="PU154" s="61"/>
      <c r="PV154" s="61"/>
      <c r="PW154" s="61"/>
      <c r="PX154" s="61"/>
      <c r="PY154" s="61"/>
      <c r="PZ154" s="61"/>
      <c r="QA154" s="61"/>
      <c r="QB154" s="61"/>
      <c r="QC154" s="61"/>
      <c r="QD154" s="61"/>
      <c r="QE154" s="61"/>
      <c r="QF154" s="61"/>
      <c r="QG154" s="61"/>
      <c r="QH154" s="61"/>
      <c r="QI154" s="61"/>
      <c r="QJ154" s="61"/>
      <c r="QK154" s="61"/>
      <c r="QL154" s="61"/>
      <c r="QM154" s="61"/>
      <c r="QN154" s="61"/>
      <c r="QO154" s="61"/>
      <c r="QP154" s="61"/>
      <c r="QQ154" s="61"/>
      <c r="QR154" s="61"/>
      <c r="QS154" s="61"/>
      <c r="QT154" s="61"/>
      <c r="QU154" s="61"/>
      <c r="QV154" s="61"/>
      <c r="QW154" s="61"/>
      <c r="QX154" s="61"/>
      <c r="QY154" s="61"/>
      <c r="QZ154" s="61"/>
      <c r="RA154" s="61"/>
      <c r="RB154" s="61"/>
      <c r="RC154" s="61"/>
      <c r="RD154" s="17"/>
    </row>
    <row r="155" spans="1:472" s="5" customFormat="1" ht="15" hidden="1" customHeight="1" x14ac:dyDescent="0.25">
      <c r="A155" s="5">
        <v>2075</v>
      </c>
      <c r="B155" s="5" t="s">
        <v>726</v>
      </c>
      <c r="C155" s="5" t="s">
        <v>527</v>
      </c>
      <c r="D155" s="5">
        <v>165</v>
      </c>
      <c r="E155" s="36"/>
      <c r="F155" s="64" t="s">
        <v>216</v>
      </c>
      <c r="G155" s="65"/>
      <c r="H155" s="19"/>
      <c r="I155" s="61"/>
      <c r="J155" s="61"/>
      <c r="K155" s="61"/>
      <c r="L155" s="61"/>
      <c r="M155" s="61"/>
      <c r="N155" s="61"/>
      <c r="O155" s="61"/>
      <c r="P155" s="61"/>
      <c r="Q155" s="61"/>
      <c r="R155" s="61"/>
      <c r="S155" s="61"/>
      <c r="T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1"/>
      <c r="EX155" s="61"/>
      <c r="EY155" s="61"/>
      <c r="EZ155" s="61"/>
      <c r="FA155" s="61"/>
      <c r="FB155" s="61"/>
      <c r="FC155" s="61"/>
      <c r="FD155" s="61">
        <v>2</v>
      </c>
      <c r="FE155" s="61"/>
      <c r="FF155" s="61">
        <v>3</v>
      </c>
      <c r="FG155" s="61"/>
      <c r="FH155" s="61">
        <v>3</v>
      </c>
      <c r="FI155" s="61"/>
      <c r="FJ155" s="61">
        <v>3</v>
      </c>
      <c r="FK155" s="61"/>
      <c r="FL155" s="61">
        <v>3</v>
      </c>
      <c r="FM155" s="61"/>
      <c r="FN155" s="61">
        <v>6</v>
      </c>
      <c r="FO155" s="61"/>
      <c r="FP155" s="61">
        <v>8</v>
      </c>
      <c r="FQ155" s="61"/>
      <c r="FR155" s="61">
        <v>9</v>
      </c>
      <c r="FS155" s="61"/>
      <c r="FT155" s="61">
        <v>9</v>
      </c>
      <c r="FU155" s="61"/>
      <c r="FV155" s="61">
        <v>10</v>
      </c>
      <c r="FW155" s="61"/>
      <c r="FX155" s="61">
        <v>8</v>
      </c>
      <c r="FY155" s="61"/>
      <c r="FZ155" s="61">
        <v>12</v>
      </c>
      <c r="GA155" s="61"/>
      <c r="GB155" s="61">
        <v>9</v>
      </c>
      <c r="GC155" s="61"/>
      <c r="GD155" s="61">
        <v>6</v>
      </c>
      <c r="GE155" s="61"/>
      <c r="GF155" s="61">
        <v>4</v>
      </c>
      <c r="GG155" s="61"/>
      <c r="GH155" s="61">
        <v>3</v>
      </c>
      <c r="GI155" s="61"/>
      <c r="GJ155" s="61">
        <v>2</v>
      </c>
      <c r="GK155" s="61"/>
      <c r="GL155" s="61">
        <v>1</v>
      </c>
      <c r="GM155" s="61"/>
      <c r="GN155" s="61"/>
      <c r="GO155" s="61"/>
      <c r="GP155" s="61"/>
      <c r="GQ155" s="61"/>
      <c r="GR155" s="61"/>
      <c r="GS155" s="61"/>
      <c r="GT155" s="61"/>
      <c r="GU155" s="61"/>
      <c r="GV155" s="61"/>
      <c r="GW155" s="61"/>
      <c r="GX155" s="61"/>
      <c r="GY155" s="61"/>
      <c r="GZ155" s="61"/>
      <c r="HA155" s="61"/>
      <c r="HB155" s="61"/>
      <c r="HC155" s="61"/>
      <c r="HD155" s="61"/>
      <c r="HE155" s="61"/>
      <c r="HF155" s="61"/>
      <c r="HG155" s="61"/>
      <c r="HH155" s="61"/>
      <c r="HI155" s="61"/>
      <c r="HJ155" s="61"/>
      <c r="HK155" s="61"/>
      <c r="HL155" s="61"/>
      <c r="HM155" s="61"/>
      <c r="HN155" s="61"/>
      <c r="HO155" s="61"/>
      <c r="HP155" s="61"/>
      <c r="HQ155" s="61"/>
      <c r="HR155" s="61"/>
      <c r="HS155" s="61"/>
      <c r="HT155" s="61"/>
      <c r="HU155" s="61"/>
      <c r="HV155" s="61"/>
      <c r="HW155" s="61"/>
      <c r="HX155" s="61"/>
      <c r="HY155" s="61"/>
      <c r="HZ155" s="61"/>
      <c r="IA155" s="61"/>
      <c r="IB155" s="61"/>
      <c r="IC155" s="61"/>
      <c r="ID155" s="61"/>
      <c r="IE155" s="61"/>
      <c r="IF155" s="61"/>
      <c r="IG155" s="61"/>
      <c r="IH155" s="61"/>
      <c r="II155" s="61"/>
      <c r="IJ155" s="61"/>
      <c r="IK155" s="61"/>
      <c r="IL155" s="61"/>
      <c r="IM155" s="61"/>
      <c r="IN155" s="61"/>
      <c r="IO155" s="61"/>
      <c r="IP155" s="61"/>
      <c r="IQ155" s="61"/>
      <c r="IR155" s="61"/>
      <c r="IS155" s="61"/>
      <c r="IT155" s="61"/>
      <c r="IU155" s="61"/>
      <c r="IV155" s="61"/>
      <c r="IW155" s="61"/>
      <c r="IX155" s="61"/>
      <c r="IY155" s="61"/>
      <c r="IZ155" s="61"/>
      <c r="JA155" s="61"/>
      <c r="JB155" s="61"/>
      <c r="JC155" s="61"/>
      <c r="JD155" s="61"/>
      <c r="JE155" s="61"/>
      <c r="JF155" s="61"/>
      <c r="JG155" s="61"/>
      <c r="JH155" s="61"/>
      <c r="JI155" s="61"/>
      <c r="JJ155" s="61"/>
      <c r="JK155" s="61"/>
      <c r="JL155" s="61"/>
      <c r="JM155" s="61"/>
      <c r="JN155" s="61"/>
      <c r="JO155" s="61"/>
      <c r="JP155" s="61"/>
      <c r="JQ155" s="61"/>
      <c r="JR155" s="61"/>
      <c r="JS155" s="61"/>
      <c r="JT155" s="61"/>
      <c r="JU155" s="61"/>
      <c r="JV155" s="61"/>
      <c r="JW155" s="61"/>
      <c r="JX155" s="61"/>
      <c r="JY155" s="61"/>
      <c r="JZ155" s="61"/>
      <c r="KA155" s="61"/>
      <c r="KB155" s="61"/>
      <c r="KC155" s="61"/>
      <c r="KD155" s="61"/>
      <c r="KE155" s="61"/>
      <c r="KF155" s="61"/>
      <c r="KG155" s="61"/>
      <c r="KH155" s="61"/>
      <c r="KI155" s="61"/>
      <c r="KJ155" s="61"/>
      <c r="KK155" s="61"/>
      <c r="KL155" s="61"/>
      <c r="KM155" s="61"/>
      <c r="KN155" s="61"/>
      <c r="KO155" s="61"/>
      <c r="KP155" s="61"/>
      <c r="KQ155" s="61"/>
      <c r="KR155" s="61"/>
      <c r="KS155" s="61"/>
      <c r="KT155" s="61"/>
      <c r="KU155" s="61"/>
      <c r="KV155" s="61"/>
      <c r="KW155" s="61"/>
      <c r="KX155" s="61"/>
      <c r="KY155" s="61"/>
      <c r="KZ155" s="61"/>
      <c r="LA155" s="61"/>
      <c r="LB155" s="61"/>
      <c r="LC155" s="61"/>
      <c r="LD155" s="61"/>
      <c r="LE155" s="61"/>
      <c r="LF155" s="61"/>
      <c r="LG155" s="61"/>
      <c r="LH155" s="61"/>
      <c r="LI155" s="61"/>
      <c r="LJ155" s="61"/>
      <c r="LK155" s="61"/>
      <c r="LL155" s="61"/>
      <c r="LM155" s="61"/>
      <c r="LN155" s="61"/>
      <c r="LO155" s="61"/>
      <c r="LP155" s="61"/>
      <c r="LQ155" s="61"/>
      <c r="LR155" s="61"/>
      <c r="LS155" s="61"/>
      <c r="LT155" s="61"/>
      <c r="LU155" s="61"/>
      <c r="LV155" s="61"/>
      <c r="LW155" s="61"/>
      <c r="LX155" s="61"/>
      <c r="LY155" s="61"/>
      <c r="LZ155" s="61"/>
      <c r="MA155" s="61"/>
      <c r="MB155" s="61"/>
      <c r="MC155" s="61"/>
      <c r="MD155" s="61"/>
      <c r="ME155" s="61"/>
      <c r="MF155" s="61"/>
      <c r="MG155" s="61"/>
      <c r="MH155" s="61"/>
      <c r="MI155" s="61"/>
      <c r="MJ155" s="61"/>
      <c r="MK155" s="61"/>
      <c r="ML155" s="61"/>
      <c r="MM155" s="61"/>
      <c r="MN155" s="61"/>
      <c r="MO155" s="61"/>
      <c r="MP155" s="61"/>
      <c r="MQ155" s="61"/>
      <c r="MR155" s="61"/>
      <c r="MS155" s="61"/>
      <c r="MT155" s="61"/>
      <c r="MU155" s="61"/>
      <c r="MV155" s="61"/>
      <c r="MW155" s="61"/>
      <c r="MX155" s="61"/>
      <c r="MY155" s="61"/>
      <c r="MZ155" s="61"/>
      <c r="NA155" s="61"/>
      <c r="NB155" s="61"/>
      <c r="NC155" s="61"/>
      <c r="ND155" s="61"/>
      <c r="NE155" s="61"/>
      <c r="NF155" s="61"/>
      <c r="NG155" s="61"/>
      <c r="NH155" s="61"/>
      <c r="NI155" s="61"/>
      <c r="NJ155" s="61"/>
      <c r="NK155" s="61"/>
      <c r="NL155" s="61"/>
      <c r="NM155" s="61"/>
      <c r="NN155" s="61"/>
      <c r="NO155" s="61"/>
      <c r="NP155" s="61"/>
      <c r="NQ155" s="61"/>
      <c r="NR155" s="61"/>
      <c r="NS155" s="61"/>
      <c r="NT155" s="61"/>
      <c r="NU155" s="61"/>
      <c r="NV155" s="61"/>
      <c r="NW155" s="61"/>
      <c r="NX155" s="61"/>
      <c r="NY155" s="61"/>
      <c r="NZ155" s="61"/>
      <c r="OA155" s="61"/>
      <c r="OB155" s="61"/>
      <c r="OC155" s="61"/>
      <c r="OD155" s="61"/>
      <c r="OE155" s="61"/>
      <c r="OF155" s="61"/>
      <c r="OG155" s="61"/>
      <c r="OH155" s="61"/>
      <c r="OI155" s="61"/>
      <c r="OJ155" s="61"/>
      <c r="OK155" s="61"/>
      <c r="OL155" s="61"/>
      <c r="OM155" s="61"/>
      <c r="ON155" s="61"/>
      <c r="OO155" s="61"/>
      <c r="OP155" s="61"/>
      <c r="OQ155" s="61"/>
      <c r="OR155" s="61"/>
      <c r="OS155" s="61"/>
      <c r="OT155" s="61"/>
      <c r="OU155" s="61"/>
      <c r="OV155" s="61"/>
      <c r="OW155" s="61"/>
      <c r="OX155" s="61"/>
      <c r="OY155" s="61"/>
      <c r="OZ155" s="61"/>
      <c r="PA155" s="61"/>
      <c r="PB155" s="61"/>
      <c r="PC155" s="61"/>
      <c r="PD155" s="61"/>
      <c r="PE155" s="61"/>
      <c r="PF155" s="61"/>
      <c r="PG155" s="61"/>
      <c r="PH155" s="61"/>
      <c r="PI155" s="61"/>
      <c r="PJ155" s="61"/>
      <c r="PK155" s="61"/>
      <c r="PL155" s="61"/>
      <c r="PM155" s="61"/>
      <c r="PN155" s="61"/>
      <c r="PO155" s="61"/>
      <c r="PP155" s="61"/>
      <c r="PQ155" s="61"/>
      <c r="PR155" s="61"/>
      <c r="PS155" s="61"/>
      <c r="PT155" s="61"/>
      <c r="PU155" s="61"/>
      <c r="PV155" s="61"/>
      <c r="PW155" s="61"/>
      <c r="PX155" s="61"/>
      <c r="PY155" s="61"/>
      <c r="PZ155" s="61"/>
      <c r="QA155" s="61"/>
      <c r="QB155" s="61"/>
      <c r="QC155" s="61"/>
      <c r="QD155" s="61"/>
      <c r="QE155" s="61"/>
      <c r="QF155" s="61"/>
      <c r="QG155" s="61"/>
      <c r="QH155" s="61"/>
      <c r="QI155" s="61"/>
      <c r="QJ155" s="61"/>
      <c r="QK155" s="61"/>
      <c r="QL155" s="61"/>
      <c r="QM155" s="61"/>
      <c r="QN155" s="61"/>
      <c r="QO155" s="61"/>
      <c r="QP155" s="61"/>
      <c r="QQ155" s="61"/>
      <c r="QR155" s="61"/>
      <c r="QS155" s="61"/>
      <c r="QT155" s="61"/>
      <c r="QU155" s="61"/>
      <c r="QV155" s="61"/>
      <c r="QW155" s="61"/>
      <c r="QX155" s="61"/>
      <c r="QY155" s="61"/>
      <c r="QZ155" s="61"/>
      <c r="RA155" s="61"/>
      <c r="RB155" s="61"/>
      <c r="RC155" s="61"/>
      <c r="RD155" s="17"/>
    </row>
    <row r="156" spans="1:472" s="5" customFormat="1" ht="15" hidden="1" customHeight="1" x14ac:dyDescent="0.25">
      <c r="A156" s="5">
        <v>2069</v>
      </c>
      <c r="B156" s="5" t="s">
        <v>714</v>
      </c>
      <c r="C156" s="5" t="s">
        <v>4</v>
      </c>
      <c r="D156" s="5">
        <v>171</v>
      </c>
      <c r="E156" s="36"/>
      <c r="F156" s="64" t="s">
        <v>216</v>
      </c>
      <c r="G156" s="65"/>
      <c r="H156" s="19"/>
      <c r="I156" s="61"/>
      <c r="J156" s="61"/>
      <c r="K156" s="61"/>
      <c r="L156" s="61"/>
      <c r="M156" s="61"/>
      <c r="N156" s="61"/>
      <c r="O156" s="61"/>
      <c r="P156" s="61"/>
      <c r="Q156" s="61"/>
      <c r="R156" s="61"/>
      <c r="S156" s="61"/>
      <c r="T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1"/>
      <c r="DV156" s="61"/>
      <c r="DW156" s="61"/>
      <c r="DX156" s="61"/>
      <c r="DY156" s="61"/>
      <c r="DZ156" s="61"/>
      <c r="EA156" s="61"/>
      <c r="EB156" s="61"/>
      <c r="EC156" s="61"/>
      <c r="ED156" s="61"/>
      <c r="EE156" s="61"/>
      <c r="EF156" s="61"/>
      <c r="EG156" s="61"/>
      <c r="EH156" s="61"/>
      <c r="EI156" s="61"/>
      <c r="EJ156" s="61"/>
      <c r="EK156" s="61"/>
      <c r="EL156" s="61"/>
      <c r="EM156" s="61"/>
      <c r="EN156" s="61"/>
      <c r="EO156" s="61"/>
      <c r="EP156" s="61"/>
      <c r="EQ156" s="61"/>
      <c r="ER156" s="61"/>
      <c r="ES156" s="61"/>
      <c r="ET156" s="61"/>
      <c r="EU156" s="61"/>
      <c r="EV156" s="61"/>
      <c r="EW156" s="61"/>
      <c r="EX156" s="61"/>
      <c r="EY156" s="61"/>
      <c r="EZ156" s="61"/>
      <c r="FA156" s="61"/>
      <c r="FB156" s="61"/>
      <c r="FC156" s="61"/>
      <c r="FD156" s="61">
        <v>2</v>
      </c>
      <c r="FE156" s="61"/>
      <c r="FF156" s="61">
        <v>5</v>
      </c>
      <c r="FG156" s="61"/>
      <c r="FH156" s="61">
        <v>6</v>
      </c>
      <c r="FI156" s="61"/>
      <c r="FJ156" s="61">
        <v>8</v>
      </c>
      <c r="FK156" s="61"/>
      <c r="FL156" s="61">
        <v>5</v>
      </c>
      <c r="FM156" s="61"/>
      <c r="FN156" s="61">
        <v>10</v>
      </c>
      <c r="FO156" s="61"/>
      <c r="FP156" s="61">
        <v>15</v>
      </c>
      <c r="FQ156" s="61"/>
      <c r="FR156" s="61">
        <v>15</v>
      </c>
      <c r="FS156" s="61"/>
      <c r="FT156" s="61">
        <v>15</v>
      </c>
      <c r="FU156" s="61"/>
      <c r="FV156" s="61">
        <v>14</v>
      </c>
      <c r="FW156" s="61"/>
      <c r="FX156" s="61">
        <v>10</v>
      </c>
      <c r="FY156" s="61"/>
      <c r="FZ156" s="61">
        <v>11</v>
      </c>
      <c r="GA156" s="61"/>
      <c r="GB156" s="61">
        <v>9</v>
      </c>
      <c r="GC156" s="61"/>
      <c r="GD156" s="61">
        <v>7</v>
      </c>
      <c r="GE156" s="61"/>
      <c r="GF156" s="61">
        <v>6</v>
      </c>
      <c r="GG156" s="61"/>
      <c r="GH156" s="61">
        <v>5</v>
      </c>
      <c r="GI156" s="61"/>
      <c r="GJ156" s="61">
        <v>4</v>
      </c>
      <c r="GK156" s="61"/>
      <c r="GL156" s="61">
        <v>2</v>
      </c>
      <c r="GM156" s="61"/>
      <c r="GN156" s="61"/>
      <c r="GO156" s="61"/>
      <c r="GP156" s="61"/>
      <c r="GQ156" s="61"/>
      <c r="GR156" s="61"/>
      <c r="GS156" s="61"/>
      <c r="GT156" s="61"/>
      <c r="GU156" s="61"/>
      <c r="GV156" s="61"/>
      <c r="GW156" s="61"/>
      <c r="GX156" s="61"/>
      <c r="GY156" s="61"/>
      <c r="GZ156" s="61"/>
      <c r="HA156" s="61"/>
      <c r="HB156" s="61"/>
      <c r="HC156" s="61"/>
      <c r="HD156" s="61"/>
      <c r="HE156" s="61"/>
      <c r="HF156" s="61"/>
      <c r="HG156" s="61"/>
      <c r="HH156" s="61"/>
      <c r="HI156" s="61"/>
      <c r="HJ156" s="61"/>
      <c r="HK156" s="61"/>
      <c r="HL156" s="61"/>
      <c r="HM156" s="61"/>
      <c r="HN156" s="61"/>
      <c r="HO156" s="61"/>
      <c r="HP156" s="61"/>
      <c r="HQ156" s="61"/>
      <c r="HR156" s="61"/>
      <c r="HS156" s="61"/>
      <c r="HT156" s="61"/>
      <c r="HU156" s="61"/>
      <c r="HV156" s="61"/>
      <c r="HW156" s="61"/>
      <c r="HX156" s="61"/>
      <c r="HY156" s="61"/>
      <c r="HZ156" s="61"/>
      <c r="IA156" s="61"/>
      <c r="IB156" s="61"/>
      <c r="IC156" s="61"/>
      <c r="ID156" s="61"/>
      <c r="IE156" s="61"/>
      <c r="IF156" s="61"/>
      <c r="IG156" s="61"/>
      <c r="IH156" s="61"/>
      <c r="II156" s="61"/>
      <c r="IJ156" s="61"/>
      <c r="IK156" s="61"/>
      <c r="IL156" s="61"/>
      <c r="IM156" s="61"/>
      <c r="IN156" s="61"/>
      <c r="IO156" s="61"/>
      <c r="IP156" s="61"/>
      <c r="IQ156" s="61"/>
      <c r="IR156" s="61"/>
      <c r="IS156" s="61"/>
      <c r="IT156" s="61"/>
      <c r="IU156" s="61"/>
      <c r="IV156" s="61"/>
      <c r="IW156" s="61"/>
      <c r="IX156" s="61"/>
      <c r="IY156" s="61"/>
      <c r="IZ156" s="61"/>
      <c r="JA156" s="61"/>
      <c r="JB156" s="61"/>
      <c r="JC156" s="61"/>
      <c r="JD156" s="61"/>
      <c r="JE156" s="61"/>
      <c r="JF156" s="61"/>
      <c r="JG156" s="61"/>
      <c r="JH156" s="61"/>
      <c r="JI156" s="61"/>
      <c r="JJ156" s="61"/>
      <c r="JK156" s="61"/>
      <c r="JL156" s="61"/>
      <c r="JM156" s="61"/>
      <c r="JN156" s="61"/>
      <c r="JO156" s="61"/>
      <c r="JP156" s="61"/>
      <c r="JQ156" s="61"/>
      <c r="JR156" s="61"/>
      <c r="JS156" s="61"/>
      <c r="JT156" s="61"/>
      <c r="JU156" s="61"/>
      <c r="JV156" s="61"/>
      <c r="JW156" s="61"/>
      <c r="JX156" s="61"/>
      <c r="JY156" s="61"/>
      <c r="JZ156" s="61"/>
      <c r="KA156" s="61"/>
      <c r="KB156" s="61"/>
      <c r="KC156" s="61"/>
      <c r="KD156" s="61"/>
      <c r="KE156" s="61"/>
      <c r="KF156" s="61"/>
      <c r="KG156" s="61"/>
      <c r="KH156" s="61"/>
      <c r="KI156" s="61"/>
      <c r="KJ156" s="61"/>
      <c r="KK156" s="61"/>
      <c r="KL156" s="61"/>
      <c r="KM156" s="61"/>
      <c r="KN156" s="61"/>
      <c r="KO156" s="61"/>
      <c r="KP156" s="61"/>
      <c r="KQ156" s="61"/>
      <c r="KR156" s="61"/>
      <c r="KS156" s="61"/>
      <c r="KT156" s="61"/>
      <c r="KU156" s="61"/>
      <c r="KV156" s="61"/>
      <c r="KW156" s="61"/>
      <c r="KX156" s="61"/>
      <c r="KY156" s="61"/>
      <c r="KZ156" s="61"/>
      <c r="LA156" s="61"/>
      <c r="LB156" s="61"/>
      <c r="LC156" s="61"/>
      <c r="LD156" s="61"/>
      <c r="LE156" s="61"/>
      <c r="LF156" s="61"/>
      <c r="LG156" s="61"/>
      <c r="LH156" s="61"/>
      <c r="LI156" s="61"/>
      <c r="LJ156" s="61"/>
      <c r="LK156" s="61"/>
      <c r="LL156" s="61"/>
      <c r="LM156" s="61"/>
      <c r="LN156" s="61"/>
      <c r="LO156" s="61"/>
      <c r="LP156" s="61"/>
      <c r="LQ156" s="61"/>
      <c r="LR156" s="61"/>
      <c r="LS156" s="61"/>
      <c r="LT156" s="61"/>
      <c r="LU156" s="61"/>
      <c r="LV156" s="61"/>
      <c r="LW156" s="61"/>
      <c r="LX156" s="61"/>
      <c r="LY156" s="61"/>
      <c r="LZ156" s="61"/>
      <c r="MA156" s="61"/>
      <c r="MB156" s="61"/>
      <c r="MC156" s="61"/>
      <c r="MD156" s="61"/>
      <c r="ME156" s="61"/>
      <c r="MF156" s="61"/>
      <c r="MG156" s="61"/>
      <c r="MH156" s="61"/>
      <c r="MI156" s="61"/>
      <c r="MJ156" s="61"/>
      <c r="MK156" s="61"/>
      <c r="ML156" s="61"/>
      <c r="MM156" s="61"/>
      <c r="MN156" s="61"/>
      <c r="MO156" s="61"/>
      <c r="MP156" s="61"/>
      <c r="MQ156" s="61"/>
      <c r="MR156" s="61"/>
      <c r="MS156" s="61"/>
      <c r="MT156" s="61"/>
      <c r="MU156" s="61"/>
      <c r="MV156" s="61"/>
      <c r="MW156" s="61"/>
      <c r="MX156" s="61"/>
      <c r="MY156" s="61"/>
      <c r="MZ156" s="61"/>
      <c r="NA156" s="61"/>
      <c r="NB156" s="61"/>
      <c r="NC156" s="61"/>
      <c r="ND156" s="61"/>
      <c r="NE156" s="61"/>
      <c r="NF156" s="61"/>
      <c r="NG156" s="61"/>
      <c r="NH156" s="61"/>
      <c r="NI156" s="61"/>
      <c r="NJ156" s="61"/>
      <c r="NK156" s="61"/>
      <c r="NL156" s="61"/>
      <c r="NM156" s="61"/>
      <c r="NN156" s="61"/>
      <c r="NO156" s="61"/>
      <c r="NP156" s="61"/>
      <c r="NQ156" s="61"/>
      <c r="NR156" s="61"/>
      <c r="NS156" s="61"/>
      <c r="NT156" s="61"/>
      <c r="NU156" s="61"/>
      <c r="NV156" s="61"/>
      <c r="NW156" s="61"/>
      <c r="NX156" s="61"/>
      <c r="NY156" s="61"/>
      <c r="NZ156" s="61"/>
      <c r="OA156" s="61"/>
      <c r="OB156" s="61"/>
      <c r="OC156" s="61"/>
      <c r="OD156" s="61"/>
      <c r="OE156" s="61"/>
      <c r="OF156" s="61"/>
      <c r="OG156" s="61"/>
      <c r="OH156" s="61"/>
      <c r="OI156" s="61"/>
      <c r="OJ156" s="61"/>
      <c r="OK156" s="61"/>
      <c r="OL156" s="61"/>
      <c r="OM156" s="61"/>
      <c r="ON156" s="61"/>
      <c r="OO156" s="61"/>
      <c r="OP156" s="61"/>
      <c r="OQ156" s="61"/>
      <c r="OR156" s="61"/>
      <c r="OS156" s="61"/>
      <c r="OT156" s="61"/>
      <c r="OU156" s="61"/>
      <c r="OV156" s="61"/>
      <c r="OW156" s="61"/>
      <c r="OX156" s="61"/>
      <c r="OY156" s="61"/>
      <c r="OZ156" s="61"/>
      <c r="PA156" s="61"/>
      <c r="PB156" s="61"/>
      <c r="PC156" s="61"/>
      <c r="PD156" s="61"/>
      <c r="PE156" s="61"/>
      <c r="PF156" s="61"/>
      <c r="PG156" s="61"/>
      <c r="PH156" s="61"/>
      <c r="PI156" s="61"/>
      <c r="PJ156" s="61"/>
      <c r="PK156" s="61"/>
      <c r="PL156" s="61"/>
      <c r="PM156" s="61"/>
      <c r="PN156" s="61"/>
      <c r="PO156" s="61"/>
      <c r="PP156" s="61"/>
      <c r="PQ156" s="61"/>
      <c r="PR156" s="61"/>
      <c r="PS156" s="61"/>
      <c r="PT156" s="61"/>
      <c r="PU156" s="61"/>
      <c r="PV156" s="61"/>
      <c r="PW156" s="61"/>
      <c r="PX156" s="61"/>
      <c r="PY156" s="61"/>
      <c r="PZ156" s="61"/>
      <c r="QA156" s="61"/>
      <c r="QB156" s="61"/>
      <c r="QC156" s="61"/>
      <c r="QD156" s="61"/>
      <c r="QE156" s="61"/>
      <c r="QF156" s="61"/>
      <c r="QG156" s="61"/>
      <c r="QH156" s="61"/>
      <c r="QI156" s="61"/>
      <c r="QJ156" s="61"/>
      <c r="QK156" s="61"/>
      <c r="QL156" s="61"/>
      <c r="QM156" s="61"/>
      <c r="QN156" s="61"/>
      <c r="QO156" s="61"/>
      <c r="QP156" s="61"/>
      <c r="QQ156" s="61"/>
      <c r="QR156" s="61"/>
      <c r="QS156" s="61"/>
      <c r="QT156" s="61"/>
      <c r="QU156" s="61"/>
      <c r="QV156" s="61"/>
      <c r="QW156" s="61"/>
      <c r="QX156" s="61"/>
      <c r="QY156" s="61"/>
      <c r="QZ156" s="61"/>
      <c r="RA156" s="61"/>
      <c r="RB156" s="61"/>
      <c r="RC156" s="61"/>
      <c r="RD156" s="17"/>
    </row>
    <row r="157" spans="1:472" s="5" customFormat="1" ht="15" hidden="1" customHeight="1" x14ac:dyDescent="0.25">
      <c r="A157" s="5">
        <v>2079</v>
      </c>
      <c r="B157" s="5" t="s">
        <v>812</v>
      </c>
      <c r="C157" s="5" t="s">
        <v>813</v>
      </c>
      <c r="D157" s="5">
        <v>54</v>
      </c>
      <c r="E157" s="36"/>
      <c r="F157" s="64" t="s">
        <v>216</v>
      </c>
      <c r="G157" s="65"/>
      <c r="H157" s="19"/>
      <c r="I157" s="61"/>
      <c r="J157" s="61"/>
      <c r="K157" s="61"/>
      <c r="L157" s="61"/>
      <c r="M157" s="61"/>
      <c r="N157" s="61"/>
      <c r="O157" s="61"/>
      <c r="P157" s="61"/>
      <c r="Q157" s="61"/>
      <c r="R157" s="61"/>
      <c r="S157" s="61"/>
      <c r="T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1"/>
      <c r="DV157" s="61"/>
      <c r="DW157" s="61"/>
      <c r="DX157" s="61"/>
      <c r="DY157" s="61"/>
      <c r="DZ157" s="61"/>
      <c r="EA157" s="61"/>
      <c r="EB157" s="61"/>
      <c r="EC157" s="61"/>
      <c r="ED157" s="61"/>
      <c r="EE157" s="61"/>
      <c r="EF157" s="61"/>
      <c r="EG157" s="61"/>
      <c r="EH157" s="61"/>
      <c r="EI157" s="61"/>
      <c r="EJ157" s="61"/>
      <c r="EK157" s="61"/>
      <c r="EL157" s="61"/>
      <c r="EM157" s="61"/>
      <c r="EN157" s="61"/>
      <c r="EO157" s="61"/>
      <c r="EP157" s="61"/>
      <c r="EQ157" s="61"/>
      <c r="ER157" s="61"/>
      <c r="ES157" s="61"/>
      <c r="ET157" s="61"/>
      <c r="EU157" s="61"/>
      <c r="EV157" s="61"/>
      <c r="EW157" s="61"/>
      <c r="EX157" s="61"/>
      <c r="EY157" s="61"/>
      <c r="EZ157" s="61"/>
      <c r="FA157" s="61"/>
      <c r="FB157" s="61"/>
      <c r="FC157" s="61"/>
      <c r="FD157" s="61"/>
      <c r="FE157" s="61"/>
      <c r="FF157" s="61">
        <v>2</v>
      </c>
      <c r="FG157" s="61"/>
      <c r="FH157" s="61">
        <v>2</v>
      </c>
      <c r="FI157" s="61"/>
      <c r="FJ157" s="61">
        <v>4</v>
      </c>
      <c r="FK157" s="61"/>
      <c r="FL157" s="61">
        <v>0</v>
      </c>
      <c r="FM157" s="61"/>
      <c r="FN157" s="61">
        <v>4</v>
      </c>
      <c r="FO157" s="61"/>
      <c r="FP157" s="61">
        <v>5</v>
      </c>
      <c r="FQ157" s="61"/>
      <c r="FR157" s="61">
        <v>5</v>
      </c>
      <c r="FS157" s="61"/>
      <c r="FT157" s="61">
        <v>4</v>
      </c>
      <c r="FU157" s="61"/>
      <c r="FV157" s="61">
        <v>5</v>
      </c>
      <c r="FW157" s="61"/>
      <c r="FX157" s="61">
        <v>4</v>
      </c>
      <c r="FY157" s="61"/>
      <c r="FZ157" s="61">
        <v>4</v>
      </c>
      <c r="GA157" s="61"/>
      <c r="GB157" s="61">
        <v>2</v>
      </c>
      <c r="GC157" s="61"/>
      <c r="GD157" s="61">
        <v>1</v>
      </c>
      <c r="GE157" s="61"/>
      <c r="GF157" s="61">
        <v>1</v>
      </c>
      <c r="GG157" s="61"/>
      <c r="GH157" s="61">
        <v>1</v>
      </c>
      <c r="GI157" s="61"/>
      <c r="GJ157" s="61">
        <v>1</v>
      </c>
      <c r="GK157" s="61"/>
      <c r="GL157" s="61">
        <v>1</v>
      </c>
      <c r="GM157" s="61"/>
      <c r="GN157" s="61">
        <v>1</v>
      </c>
      <c r="GO157" s="61"/>
      <c r="GP157" s="61"/>
      <c r="GQ157" s="61"/>
      <c r="GR157" s="61"/>
      <c r="GS157" s="61"/>
      <c r="GT157" s="61"/>
      <c r="GU157" s="61"/>
      <c r="GV157" s="61"/>
      <c r="GW157" s="61"/>
      <c r="GX157" s="61"/>
      <c r="GY157" s="61"/>
      <c r="GZ157" s="61"/>
      <c r="HA157" s="61"/>
      <c r="HB157" s="61"/>
      <c r="HC157" s="61"/>
      <c r="HD157" s="61"/>
      <c r="HE157" s="61"/>
      <c r="HF157" s="61"/>
      <c r="HG157" s="61"/>
      <c r="HH157" s="61"/>
      <c r="HI157" s="61"/>
      <c r="HJ157" s="61"/>
      <c r="HK157" s="61"/>
      <c r="HL157" s="61"/>
      <c r="HM157" s="61"/>
      <c r="HN157" s="61"/>
      <c r="HO157" s="61"/>
      <c r="HP157" s="61"/>
      <c r="HQ157" s="61"/>
      <c r="HR157" s="61"/>
      <c r="HS157" s="61"/>
      <c r="HT157" s="61"/>
      <c r="HU157" s="61"/>
      <c r="HV157" s="61"/>
      <c r="HW157" s="61"/>
      <c r="HX157" s="61"/>
      <c r="HY157" s="61"/>
      <c r="HZ157" s="61"/>
      <c r="IA157" s="61"/>
      <c r="IB157" s="61"/>
      <c r="IC157" s="61"/>
      <c r="ID157" s="61"/>
      <c r="IE157" s="61"/>
      <c r="IF157" s="61"/>
      <c r="IG157" s="61"/>
      <c r="IH157" s="61"/>
      <c r="II157" s="61"/>
      <c r="IJ157" s="61"/>
      <c r="IK157" s="61"/>
      <c r="IL157" s="61"/>
      <c r="IM157" s="61"/>
      <c r="IN157" s="61"/>
      <c r="IO157" s="61"/>
      <c r="IP157" s="61"/>
      <c r="IQ157" s="61"/>
      <c r="IR157" s="61"/>
      <c r="IS157" s="61"/>
      <c r="IT157" s="61"/>
      <c r="IU157" s="61"/>
      <c r="IV157" s="61"/>
      <c r="IW157" s="61"/>
      <c r="IX157" s="61"/>
      <c r="IY157" s="61"/>
      <c r="IZ157" s="61"/>
      <c r="JA157" s="61"/>
      <c r="JB157" s="61"/>
      <c r="JC157" s="61"/>
      <c r="JD157" s="61"/>
      <c r="JE157" s="61"/>
      <c r="JF157" s="61"/>
      <c r="JG157" s="61"/>
      <c r="JH157" s="61"/>
      <c r="JI157" s="61"/>
      <c r="JJ157" s="61"/>
      <c r="JK157" s="61"/>
      <c r="JL157" s="61"/>
      <c r="JM157" s="61"/>
      <c r="JN157" s="61"/>
      <c r="JO157" s="61"/>
      <c r="JP157" s="61"/>
      <c r="JQ157" s="61"/>
      <c r="JR157" s="61"/>
      <c r="JS157" s="61"/>
      <c r="JT157" s="61"/>
      <c r="JU157" s="61"/>
      <c r="JV157" s="61"/>
      <c r="JW157" s="61"/>
      <c r="JX157" s="61"/>
      <c r="JY157" s="61"/>
      <c r="JZ157" s="61"/>
      <c r="KA157" s="61"/>
      <c r="KB157" s="61"/>
      <c r="KC157" s="61"/>
      <c r="KD157" s="61"/>
      <c r="KE157" s="61"/>
      <c r="KF157" s="61"/>
      <c r="KG157" s="61"/>
      <c r="KH157" s="61"/>
      <c r="KI157" s="61"/>
      <c r="KJ157" s="61"/>
      <c r="KK157" s="61"/>
      <c r="KL157" s="61"/>
      <c r="KM157" s="61"/>
      <c r="KN157" s="61"/>
      <c r="KO157" s="61"/>
      <c r="KP157" s="61"/>
      <c r="KQ157" s="61"/>
      <c r="KR157" s="61"/>
      <c r="KS157" s="61"/>
      <c r="KT157" s="61"/>
      <c r="KU157" s="61"/>
      <c r="KV157" s="61"/>
      <c r="KW157" s="61"/>
      <c r="KX157" s="61"/>
      <c r="KY157" s="61"/>
      <c r="KZ157" s="61"/>
      <c r="LA157" s="61"/>
      <c r="LB157" s="61"/>
      <c r="LC157" s="61"/>
      <c r="LD157" s="61"/>
      <c r="LE157" s="61"/>
      <c r="LF157" s="61"/>
      <c r="LG157" s="61"/>
      <c r="LH157" s="61"/>
      <c r="LI157" s="61"/>
      <c r="LJ157" s="61"/>
      <c r="LK157" s="61"/>
      <c r="LL157" s="61"/>
      <c r="LM157" s="61"/>
      <c r="LN157" s="61"/>
      <c r="LO157" s="61"/>
      <c r="LP157" s="61"/>
      <c r="LQ157" s="61"/>
      <c r="LR157" s="61"/>
      <c r="LS157" s="61"/>
      <c r="LT157" s="61"/>
      <c r="LU157" s="61"/>
      <c r="LV157" s="61"/>
      <c r="LW157" s="61"/>
      <c r="LX157" s="61"/>
      <c r="LY157" s="61"/>
      <c r="LZ157" s="61"/>
      <c r="MA157" s="61"/>
      <c r="MB157" s="61"/>
      <c r="MC157" s="61"/>
      <c r="MD157" s="61"/>
      <c r="ME157" s="61"/>
      <c r="MF157" s="61"/>
      <c r="MG157" s="61"/>
      <c r="MH157" s="61"/>
      <c r="MI157" s="61"/>
      <c r="MJ157" s="61"/>
      <c r="MK157" s="61"/>
      <c r="ML157" s="61"/>
      <c r="MM157" s="61"/>
      <c r="MN157" s="61"/>
      <c r="MO157" s="61"/>
      <c r="MP157" s="61"/>
      <c r="MQ157" s="61"/>
      <c r="MR157" s="61"/>
      <c r="MS157" s="61"/>
      <c r="MT157" s="61"/>
      <c r="MU157" s="61"/>
      <c r="MV157" s="61"/>
      <c r="MW157" s="61"/>
      <c r="MX157" s="61"/>
      <c r="MY157" s="61"/>
      <c r="MZ157" s="61"/>
      <c r="NA157" s="61"/>
      <c r="NB157" s="61"/>
      <c r="NC157" s="61"/>
      <c r="ND157" s="61"/>
      <c r="NE157" s="61"/>
      <c r="NF157" s="61"/>
      <c r="NG157" s="61"/>
      <c r="NH157" s="61"/>
      <c r="NI157" s="61"/>
      <c r="NJ157" s="61"/>
      <c r="NK157" s="61"/>
      <c r="NL157" s="61"/>
      <c r="NM157" s="61"/>
      <c r="NN157" s="61"/>
      <c r="NO157" s="61"/>
      <c r="NP157" s="61"/>
      <c r="NQ157" s="61"/>
      <c r="NR157" s="61"/>
      <c r="NS157" s="61"/>
      <c r="NT157" s="61"/>
      <c r="NU157" s="61"/>
      <c r="NV157" s="61"/>
      <c r="NW157" s="61"/>
      <c r="NX157" s="61"/>
      <c r="NY157" s="61"/>
      <c r="NZ157" s="61"/>
      <c r="OA157" s="61"/>
      <c r="OB157" s="61"/>
      <c r="OC157" s="61"/>
      <c r="OD157" s="61"/>
      <c r="OE157" s="61"/>
      <c r="OF157" s="61"/>
      <c r="OG157" s="61"/>
      <c r="OH157" s="61"/>
      <c r="OI157" s="61"/>
      <c r="OJ157" s="61"/>
      <c r="OK157" s="61"/>
      <c r="OL157" s="61"/>
      <c r="OM157" s="61"/>
      <c r="ON157" s="61"/>
      <c r="OO157" s="61"/>
      <c r="OP157" s="61"/>
      <c r="OQ157" s="61"/>
      <c r="OR157" s="61"/>
      <c r="OS157" s="61"/>
      <c r="OT157" s="61"/>
      <c r="OU157" s="61"/>
      <c r="OV157" s="61"/>
      <c r="OW157" s="61"/>
      <c r="OX157" s="61"/>
      <c r="OY157" s="61"/>
      <c r="OZ157" s="61"/>
      <c r="PA157" s="61"/>
      <c r="PB157" s="61"/>
      <c r="PC157" s="61"/>
      <c r="PD157" s="61"/>
      <c r="PE157" s="61"/>
      <c r="PF157" s="61"/>
      <c r="PG157" s="61"/>
      <c r="PH157" s="61"/>
      <c r="PI157" s="61"/>
      <c r="PJ157" s="61"/>
      <c r="PK157" s="61"/>
      <c r="PL157" s="61"/>
      <c r="PM157" s="61"/>
      <c r="PN157" s="61"/>
      <c r="PO157" s="61"/>
      <c r="PP157" s="61"/>
      <c r="PQ157" s="61"/>
      <c r="PR157" s="61"/>
      <c r="PS157" s="61"/>
      <c r="PT157" s="61"/>
      <c r="PU157" s="61"/>
      <c r="PV157" s="61"/>
      <c r="PW157" s="61"/>
      <c r="PX157" s="61"/>
      <c r="PY157" s="61"/>
      <c r="PZ157" s="61"/>
      <c r="QA157" s="61"/>
      <c r="QB157" s="61"/>
      <c r="QC157" s="61"/>
      <c r="QD157" s="61"/>
      <c r="QE157" s="61"/>
      <c r="QF157" s="61"/>
      <c r="QG157" s="61"/>
      <c r="QH157" s="61"/>
      <c r="QI157" s="61"/>
      <c r="QJ157" s="61"/>
      <c r="QK157" s="61"/>
      <c r="QL157" s="61"/>
      <c r="QM157" s="61"/>
      <c r="QN157" s="61"/>
      <c r="QO157" s="61"/>
      <c r="QP157" s="61"/>
      <c r="QQ157" s="61"/>
      <c r="QR157" s="61"/>
      <c r="QS157" s="61"/>
      <c r="QT157" s="61"/>
      <c r="QU157" s="61"/>
      <c r="QV157" s="61"/>
      <c r="QW157" s="61"/>
      <c r="QX157" s="61"/>
      <c r="QY157" s="61"/>
      <c r="QZ157" s="61"/>
      <c r="RA157" s="61"/>
      <c r="RB157" s="61"/>
      <c r="RC157" s="61"/>
      <c r="RD157" s="17"/>
    </row>
    <row r="158" spans="1:472" s="5" customFormat="1" ht="15" hidden="1" customHeight="1" x14ac:dyDescent="0.25">
      <c r="A158" s="5">
        <v>2067</v>
      </c>
      <c r="B158" s="5" t="s">
        <v>566</v>
      </c>
      <c r="C158" s="5" t="s">
        <v>369</v>
      </c>
      <c r="D158" s="5">
        <v>192</v>
      </c>
      <c r="E158" s="36"/>
      <c r="F158" s="64" t="s">
        <v>216</v>
      </c>
      <c r="G158" s="65"/>
      <c r="H158" s="19"/>
      <c r="I158" s="61"/>
      <c r="J158" s="61"/>
      <c r="K158" s="61"/>
      <c r="L158" s="61"/>
      <c r="M158" s="61"/>
      <c r="N158" s="61"/>
      <c r="O158" s="61"/>
      <c r="P158" s="61"/>
      <c r="Q158" s="61"/>
      <c r="R158" s="61"/>
      <c r="S158" s="61"/>
      <c r="T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1"/>
      <c r="DV158" s="61"/>
      <c r="DW158" s="61"/>
      <c r="DX158" s="61"/>
      <c r="DY158" s="61"/>
      <c r="DZ158" s="61"/>
      <c r="EA158" s="61"/>
      <c r="EB158" s="61"/>
      <c r="EC158" s="61"/>
      <c r="ED158" s="61"/>
      <c r="EE158" s="61"/>
      <c r="EF158" s="61"/>
      <c r="EG158" s="61"/>
      <c r="EH158" s="61"/>
      <c r="EI158" s="61"/>
      <c r="EJ158" s="61"/>
      <c r="EK158" s="61"/>
      <c r="EL158" s="61"/>
      <c r="EM158" s="61"/>
      <c r="EN158" s="61"/>
      <c r="EO158" s="61"/>
      <c r="EP158" s="61"/>
      <c r="EQ158" s="61"/>
      <c r="ER158" s="61"/>
      <c r="ES158" s="61"/>
      <c r="ET158" s="61"/>
      <c r="EU158" s="61"/>
      <c r="EV158" s="61"/>
      <c r="EW158" s="61"/>
      <c r="EX158" s="61"/>
      <c r="EY158" s="61"/>
      <c r="EZ158" s="61"/>
      <c r="FA158" s="61"/>
      <c r="FB158" s="61"/>
      <c r="FC158" s="61"/>
      <c r="FD158" s="61">
        <v>2</v>
      </c>
      <c r="FE158" s="61"/>
      <c r="FF158" s="61">
        <v>4</v>
      </c>
      <c r="FG158" s="61"/>
      <c r="FH158" s="61">
        <v>7</v>
      </c>
      <c r="FI158" s="61"/>
      <c r="FJ158" s="61">
        <v>3</v>
      </c>
      <c r="FK158" s="61"/>
      <c r="FL158" s="61">
        <v>6</v>
      </c>
      <c r="FM158" s="61"/>
      <c r="FN158" s="61">
        <v>8</v>
      </c>
      <c r="FO158" s="61"/>
      <c r="FP158" s="61">
        <v>9</v>
      </c>
      <c r="FQ158" s="61"/>
      <c r="FR158" s="61">
        <v>9</v>
      </c>
      <c r="FS158" s="61"/>
      <c r="FT158" s="61">
        <v>9</v>
      </c>
      <c r="FU158" s="61"/>
      <c r="FV158" s="61">
        <v>12</v>
      </c>
      <c r="FW158" s="61"/>
      <c r="FX158" s="61">
        <v>10</v>
      </c>
      <c r="FY158" s="61"/>
      <c r="FZ158" s="61">
        <v>14</v>
      </c>
      <c r="GA158" s="61"/>
      <c r="GB158" s="61">
        <v>12</v>
      </c>
      <c r="GC158" s="61"/>
      <c r="GD158" s="61">
        <v>7</v>
      </c>
      <c r="GE158" s="61"/>
      <c r="GF158" s="61">
        <v>6</v>
      </c>
      <c r="GG158" s="61"/>
      <c r="GH158" s="61">
        <v>5</v>
      </c>
      <c r="GI158" s="61"/>
      <c r="GJ158" s="61">
        <v>3</v>
      </c>
      <c r="GK158" s="61"/>
      <c r="GL158" s="61">
        <v>2</v>
      </c>
      <c r="GM158" s="61"/>
      <c r="GN158" s="61">
        <v>5</v>
      </c>
      <c r="GO158" s="61"/>
      <c r="GP158" s="61"/>
      <c r="GQ158" s="61"/>
      <c r="GR158" s="61"/>
      <c r="GS158" s="61"/>
      <c r="GT158" s="61"/>
      <c r="GU158" s="61"/>
      <c r="GV158" s="61"/>
      <c r="GW158" s="61"/>
      <c r="GX158" s="61"/>
      <c r="GY158" s="61"/>
      <c r="GZ158" s="61"/>
      <c r="HA158" s="61"/>
      <c r="HB158" s="61"/>
      <c r="HC158" s="61"/>
      <c r="HD158" s="61"/>
      <c r="HE158" s="61"/>
      <c r="HF158" s="61"/>
      <c r="HG158" s="61"/>
      <c r="HH158" s="61"/>
      <c r="HI158" s="61"/>
      <c r="HJ158" s="61"/>
      <c r="HK158" s="61"/>
      <c r="HL158" s="61"/>
      <c r="HM158" s="61"/>
      <c r="HN158" s="61"/>
      <c r="HO158" s="61"/>
      <c r="HP158" s="61"/>
      <c r="HQ158" s="61"/>
      <c r="HR158" s="61"/>
      <c r="HS158" s="61"/>
      <c r="HT158" s="61"/>
      <c r="HU158" s="61"/>
      <c r="HV158" s="61"/>
      <c r="HW158" s="61"/>
      <c r="HX158" s="61"/>
      <c r="HY158" s="61"/>
      <c r="HZ158" s="61"/>
      <c r="IA158" s="61"/>
      <c r="IB158" s="61"/>
      <c r="IC158" s="61"/>
      <c r="ID158" s="61"/>
      <c r="IE158" s="61"/>
      <c r="IF158" s="61"/>
      <c r="IG158" s="61"/>
      <c r="IH158" s="61"/>
      <c r="II158" s="61"/>
      <c r="IJ158" s="61"/>
      <c r="IK158" s="61"/>
      <c r="IL158" s="61"/>
      <c r="IM158" s="61"/>
      <c r="IN158" s="61"/>
      <c r="IO158" s="61"/>
      <c r="IP158" s="61"/>
      <c r="IQ158" s="61"/>
      <c r="IR158" s="61"/>
      <c r="IS158" s="61"/>
      <c r="IT158" s="61"/>
      <c r="IU158" s="61"/>
      <c r="IV158" s="61"/>
      <c r="IW158" s="61"/>
      <c r="IX158" s="61"/>
      <c r="IY158" s="61"/>
      <c r="IZ158" s="61"/>
      <c r="JA158" s="61"/>
      <c r="JB158" s="61"/>
      <c r="JC158" s="61"/>
      <c r="JD158" s="61"/>
      <c r="JE158" s="61"/>
      <c r="JF158" s="61"/>
      <c r="JG158" s="61"/>
      <c r="JH158" s="61"/>
      <c r="JI158" s="61"/>
      <c r="JJ158" s="61"/>
      <c r="JK158" s="61"/>
      <c r="JL158" s="61"/>
      <c r="JM158" s="61"/>
      <c r="JN158" s="61"/>
      <c r="JO158" s="61"/>
      <c r="JP158" s="61"/>
      <c r="JQ158" s="61"/>
      <c r="JR158" s="61"/>
      <c r="JS158" s="61"/>
      <c r="JT158" s="61"/>
      <c r="JU158" s="61"/>
      <c r="JV158" s="61"/>
      <c r="JW158" s="61"/>
      <c r="JX158" s="61"/>
      <c r="JY158" s="61"/>
      <c r="JZ158" s="61"/>
      <c r="KA158" s="61"/>
      <c r="KB158" s="61"/>
      <c r="KC158" s="61"/>
      <c r="KD158" s="61"/>
      <c r="KE158" s="61"/>
      <c r="KF158" s="61"/>
      <c r="KG158" s="61"/>
      <c r="KH158" s="61"/>
      <c r="KI158" s="61"/>
      <c r="KJ158" s="61"/>
      <c r="KK158" s="61"/>
      <c r="KL158" s="61"/>
      <c r="KM158" s="61"/>
      <c r="KN158" s="61"/>
      <c r="KO158" s="61"/>
      <c r="KP158" s="61"/>
      <c r="KQ158" s="61"/>
      <c r="KR158" s="61"/>
      <c r="KS158" s="61"/>
      <c r="KT158" s="61"/>
      <c r="KU158" s="61"/>
      <c r="KV158" s="61"/>
      <c r="KW158" s="61"/>
      <c r="KX158" s="61"/>
      <c r="KY158" s="61"/>
      <c r="KZ158" s="61"/>
      <c r="LA158" s="61"/>
      <c r="LB158" s="61"/>
      <c r="LC158" s="61"/>
      <c r="LD158" s="61"/>
      <c r="LE158" s="61"/>
      <c r="LF158" s="61"/>
      <c r="LG158" s="61"/>
      <c r="LH158" s="61"/>
      <c r="LI158" s="61"/>
      <c r="LJ158" s="61"/>
      <c r="LK158" s="61"/>
      <c r="LL158" s="61"/>
      <c r="LM158" s="61"/>
      <c r="LN158" s="61"/>
      <c r="LO158" s="61"/>
      <c r="LP158" s="61"/>
      <c r="LQ158" s="61"/>
      <c r="LR158" s="61"/>
      <c r="LS158" s="61"/>
      <c r="LT158" s="61"/>
      <c r="LU158" s="61"/>
      <c r="LV158" s="61"/>
      <c r="LW158" s="61"/>
      <c r="LX158" s="61"/>
      <c r="LY158" s="61"/>
      <c r="LZ158" s="61"/>
      <c r="MA158" s="61"/>
      <c r="MB158" s="61"/>
      <c r="MC158" s="61"/>
      <c r="MD158" s="61"/>
      <c r="ME158" s="61"/>
      <c r="MF158" s="61"/>
      <c r="MG158" s="61"/>
      <c r="MH158" s="61"/>
      <c r="MI158" s="61"/>
      <c r="MJ158" s="61"/>
      <c r="MK158" s="61"/>
      <c r="ML158" s="61"/>
      <c r="MM158" s="61"/>
      <c r="MN158" s="61"/>
      <c r="MO158" s="61"/>
      <c r="MP158" s="61"/>
      <c r="MQ158" s="61"/>
      <c r="MR158" s="61"/>
      <c r="MS158" s="61"/>
      <c r="MT158" s="61"/>
      <c r="MU158" s="61"/>
      <c r="MV158" s="61"/>
      <c r="MW158" s="61"/>
      <c r="MX158" s="61"/>
      <c r="MY158" s="61"/>
      <c r="MZ158" s="61"/>
      <c r="NA158" s="61"/>
      <c r="NB158" s="61"/>
      <c r="NC158" s="61"/>
      <c r="ND158" s="61"/>
      <c r="NE158" s="61"/>
      <c r="NF158" s="61"/>
      <c r="NG158" s="61"/>
      <c r="NH158" s="61"/>
      <c r="NI158" s="61"/>
      <c r="NJ158" s="61"/>
      <c r="NK158" s="61"/>
      <c r="NL158" s="61"/>
      <c r="NM158" s="61"/>
      <c r="NN158" s="61"/>
      <c r="NO158" s="61"/>
      <c r="NP158" s="61"/>
      <c r="NQ158" s="61"/>
      <c r="NR158" s="61"/>
      <c r="NS158" s="61"/>
      <c r="NT158" s="61"/>
      <c r="NU158" s="61"/>
      <c r="NV158" s="61"/>
      <c r="NW158" s="61"/>
      <c r="NX158" s="61"/>
      <c r="NY158" s="61"/>
      <c r="NZ158" s="61"/>
      <c r="OA158" s="61"/>
      <c r="OB158" s="61"/>
      <c r="OC158" s="61"/>
      <c r="OD158" s="61"/>
      <c r="OE158" s="61"/>
      <c r="OF158" s="61"/>
      <c r="OG158" s="61"/>
      <c r="OH158" s="61"/>
      <c r="OI158" s="61"/>
      <c r="OJ158" s="61"/>
      <c r="OK158" s="61"/>
      <c r="OL158" s="61"/>
      <c r="OM158" s="61"/>
      <c r="ON158" s="61"/>
      <c r="OO158" s="61"/>
      <c r="OP158" s="61"/>
      <c r="OQ158" s="61"/>
      <c r="OR158" s="61"/>
      <c r="OS158" s="61"/>
      <c r="OT158" s="61"/>
      <c r="OU158" s="61"/>
      <c r="OV158" s="61"/>
      <c r="OW158" s="61"/>
      <c r="OX158" s="61"/>
      <c r="OY158" s="61"/>
      <c r="OZ158" s="61"/>
      <c r="PA158" s="61"/>
      <c r="PB158" s="61"/>
      <c r="PC158" s="61"/>
      <c r="PD158" s="61"/>
      <c r="PE158" s="61"/>
      <c r="PF158" s="61"/>
      <c r="PG158" s="61"/>
      <c r="PH158" s="61"/>
      <c r="PI158" s="61"/>
      <c r="PJ158" s="61"/>
      <c r="PK158" s="61"/>
      <c r="PL158" s="61"/>
      <c r="PM158" s="61"/>
      <c r="PN158" s="61"/>
      <c r="PO158" s="61"/>
      <c r="PP158" s="61"/>
      <c r="PQ158" s="61"/>
      <c r="PR158" s="61"/>
      <c r="PS158" s="61"/>
      <c r="PT158" s="61"/>
      <c r="PU158" s="61"/>
      <c r="PV158" s="61"/>
      <c r="PW158" s="61"/>
      <c r="PX158" s="61"/>
      <c r="PY158" s="61"/>
      <c r="PZ158" s="61"/>
      <c r="QA158" s="61"/>
      <c r="QB158" s="61"/>
      <c r="QC158" s="61"/>
      <c r="QD158" s="61"/>
      <c r="QE158" s="61"/>
      <c r="QF158" s="61"/>
      <c r="QG158" s="61"/>
      <c r="QH158" s="61"/>
      <c r="QI158" s="61"/>
      <c r="QJ158" s="61"/>
      <c r="QK158" s="61"/>
      <c r="QL158" s="61"/>
      <c r="QM158" s="61"/>
      <c r="QN158" s="61"/>
      <c r="QO158" s="61"/>
      <c r="QP158" s="61"/>
      <c r="QQ158" s="61"/>
      <c r="QR158" s="61"/>
      <c r="QS158" s="61"/>
      <c r="QT158" s="61"/>
      <c r="QU158" s="61"/>
      <c r="QV158" s="61"/>
      <c r="QW158" s="61"/>
      <c r="QX158" s="61"/>
      <c r="QY158" s="61"/>
      <c r="QZ158" s="61"/>
      <c r="RA158" s="61"/>
      <c r="RB158" s="61"/>
      <c r="RC158" s="61"/>
      <c r="RD158" s="17"/>
    </row>
    <row r="159" spans="1:472" s="5" customFormat="1" ht="15" hidden="1" customHeight="1" x14ac:dyDescent="0.25">
      <c r="A159" s="5">
        <v>2081</v>
      </c>
      <c r="B159" s="5" t="s">
        <v>701</v>
      </c>
      <c r="C159" s="5" t="s">
        <v>230</v>
      </c>
      <c r="D159" s="5">
        <v>143</v>
      </c>
      <c r="E159" s="36"/>
      <c r="F159" s="64" t="s">
        <v>216</v>
      </c>
      <c r="G159" s="65"/>
      <c r="H159" s="19"/>
      <c r="I159" s="61"/>
      <c r="J159" s="61"/>
      <c r="K159" s="61"/>
      <c r="L159" s="61"/>
      <c r="M159" s="61"/>
      <c r="N159" s="61"/>
      <c r="O159" s="61"/>
      <c r="P159" s="61"/>
      <c r="Q159" s="61"/>
      <c r="R159" s="61"/>
      <c r="S159" s="61"/>
      <c r="T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1"/>
      <c r="DV159" s="61"/>
      <c r="DW159" s="61"/>
      <c r="DX159" s="61"/>
      <c r="DY159" s="61"/>
      <c r="DZ159" s="61"/>
      <c r="EA159" s="61"/>
      <c r="EB159" s="61"/>
      <c r="EC159" s="61"/>
      <c r="ED159" s="61"/>
      <c r="EE159" s="61"/>
      <c r="EF159" s="61"/>
      <c r="EG159" s="61"/>
      <c r="EH159" s="61"/>
      <c r="EI159" s="61"/>
      <c r="EJ159" s="61"/>
      <c r="EK159" s="61"/>
      <c r="EL159" s="61"/>
      <c r="EM159" s="61"/>
      <c r="EN159" s="61"/>
      <c r="EO159" s="61"/>
      <c r="EP159" s="61"/>
      <c r="EQ159" s="61"/>
      <c r="ER159" s="61"/>
      <c r="ES159" s="61"/>
      <c r="ET159" s="61"/>
      <c r="EU159" s="61"/>
      <c r="EV159" s="61"/>
      <c r="EW159" s="61"/>
      <c r="EX159" s="61"/>
      <c r="EY159" s="61"/>
      <c r="EZ159" s="61"/>
      <c r="FA159" s="61"/>
      <c r="FB159" s="61"/>
      <c r="FC159" s="61"/>
      <c r="FD159" s="61"/>
      <c r="FE159" s="61"/>
      <c r="FF159" s="61"/>
      <c r="FG159" s="61"/>
      <c r="FH159" s="61"/>
      <c r="FI159" s="61"/>
      <c r="FJ159" s="61"/>
      <c r="FK159" s="61"/>
      <c r="FL159" s="61">
        <v>2</v>
      </c>
      <c r="FM159" s="61"/>
      <c r="FN159" s="61">
        <v>2</v>
      </c>
      <c r="FO159" s="61"/>
      <c r="FP159" s="61">
        <v>2</v>
      </c>
      <c r="FQ159" s="61"/>
      <c r="FR159" s="61">
        <v>4</v>
      </c>
      <c r="FS159" s="61"/>
      <c r="FT159" s="61">
        <v>8</v>
      </c>
      <c r="FU159" s="61"/>
      <c r="FV159" s="61">
        <v>6</v>
      </c>
      <c r="FW159" s="61"/>
      <c r="FX159" s="61">
        <v>9</v>
      </c>
      <c r="FY159" s="61"/>
      <c r="FZ159" s="61">
        <v>14</v>
      </c>
      <c r="GA159" s="61"/>
      <c r="GB159" s="61">
        <v>14</v>
      </c>
      <c r="GC159" s="61"/>
      <c r="GD159" s="61">
        <v>14</v>
      </c>
      <c r="GE159" s="61"/>
      <c r="GF159" s="61">
        <v>10</v>
      </c>
      <c r="GG159" s="61"/>
      <c r="GH159" s="61">
        <v>7</v>
      </c>
      <c r="GI159" s="61"/>
      <c r="GJ159" s="61">
        <v>5</v>
      </c>
      <c r="GK159" s="61"/>
      <c r="GL159" s="61">
        <v>4</v>
      </c>
      <c r="GM159" s="61"/>
      <c r="GN159" s="61">
        <v>4</v>
      </c>
      <c r="GO159" s="61"/>
      <c r="GP159" s="61">
        <v>3</v>
      </c>
      <c r="GQ159" s="61"/>
      <c r="GR159" s="61">
        <v>1</v>
      </c>
      <c r="GS159" s="61"/>
      <c r="GT159" s="61">
        <v>1</v>
      </c>
      <c r="GU159" s="61"/>
      <c r="GV159" s="61">
        <v>1</v>
      </c>
      <c r="GW159" s="61"/>
      <c r="GX159" s="61">
        <v>1</v>
      </c>
      <c r="GY159" s="61"/>
      <c r="GZ159" s="61"/>
      <c r="HA159" s="61"/>
      <c r="HB159" s="61"/>
      <c r="HC159" s="61"/>
      <c r="HD159" s="61"/>
      <c r="HE159" s="61"/>
      <c r="HF159" s="61"/>
      <c r="HG159" s="61"/>
      <c r="HH159" s="61"/>
      <c r="HI159" s="61"/>
      <c r="HJ159" s="61"/>
      <c r="HK159" s="61"/>
      <c r="HL159" s="61"/>
      <c r="HM159" s="61"/>
      <c r="HN159" s="61"/>
      <c r="HO159" s="61"/>
      <c r="HP159" s="61"/>
      <c r="HQ159" s="61"/>
      <c r="HR159" s="61"/>
      <c r="HS159" s="61"/>
      <c r="HT159" s="61"/>
      <c r="HU159" s="61"/>
      <c r="HV159" s="61"/>
      <c r="HW159" s="61"/>
      <c r="HX159" s="61"/>
      <c r="HY159" s="61"/>
      <c r="HZ159" s="61"/>
      <c r="IA159" s="61"/>
      <c r="IB159" s="61"/>
      <c r="IC159" s="61"/>
      <c r="ID159" s="61"/>
      <c r="IE159" s="61"/>
      <c r="IF159" s="61"/>
      <c r="IG159" s="61"/>
      <c r="IH159" s="61"/>
      <c r="II159" s="61"/>
      <c r="IJ159" s="61"/>
      <c r="IK159" s="61"/>
      <c r="IL159" s="61"/>
      <c r="IM159" s="61"/>
      <c r="IN159" s="61"/>
      <c r="IO159" s="61"/>
      <c r="IP159" s="61"/>
      <c r="IQ159" s="61"/>
      <c r="IR159" s="61"/>
      <c r="IS159" s="61"/>
      <c r="IT159" s="61"/>
      <c r="IU159" s="61"/>
      <c r="IV159" s="61"/>
      <c r="IW159" s="61"/>
      <c r="IX159" s="61"/>
      <c r="IY159" s="61"/>
      <c r="IZ159" s="61"/>
      <c r="JA159" s="61"/>
      <c r="JB159" s="61"/>
      <c r="JC159" s="61"/>
      <c r="JD159" s="61"/>
      <c r="JE159" s="61"/>
      <c r="JF159" s="61"/>
      <c r="JG159" s="61"/>
      <c r="JH159" s="61"/>
      <c r="JI159" s="61"/>
      <c r="JJ159" s="61"/>
      <c r="JK159" s="61"/>
      <c r="JL159" s="61"/>
      <c r="JM159" s="61"/>
      <c r="JN159" s="61"/>
      <c r="JO159" s="61"/>
      <c r="JP159" s="61"/>
      <c r="JQ159" s="61"/>
      <c r="JR159" s="61"/>
      <c r="JS159" s="61"/>
      <c r="JT159" s="61"/>
      <c r="JU159" s="61"/>
      <c r="JV159" s="61"/>
      <c r="JW159" s="61"/>
      <c r="JX159" s="61"/>
      <c r="JY159" s="61"/>
      <c r="JZ159" s="61"/>
      <c r="KA159" s="61"/>
      <c r="KB159" s="61"/>
      <c r="KC159" s="61"/>
      <c r="KD159" s="61"/>
      <c r="KE159" s="61"/>
      <c r="KF159" s="61"/>
      <c r="KG159" s="61"/>
      <c r="KH159" s="61"/>
      <c r="KI159" s="61"/>
      <c r="KJ159" s="61"/>
      <c r="KK159" s="61"/>
      <c r="KL159" s="61"/>
      <c r="KM159" s="61"/>
      <c r="KN159" s="61"/>
      <c r="KO159" s="61"/>
      <c r="KP159" s="61"/>
      <c r="KQ159" s="61"/>
      <c r="KR159" s="61"/>
      <c r="KS159" s="61"/>
      <c r="KT159" s="61"/>
      <c r="KU159" s="61"/>
      <c r="KV159" s="61"/>
      <c r="KW159" s="61"/>
      <c r="KX159" s="61"/>
      <c r="KY159" s="61"/>
      <c r="KZ159" s="61"/>
      <c r="LA159" s="61"/>
      <c r="LB159" s="61"/>
      <c r="LC159" s="61"/>
      <c r="LD159" s="61"/>
      <c r="LE159" s="61"/>
      <c r="LF159" s="61"/>
      <c r="LG159" s="61"/>
      <c r="LH159" s="61"/>
      <c r="LI159" s="61"/>
      <c r="LJ159" s="61"/>
      <c r="LK159" s="61"/>
      <c r="LL159" s="61"/>
      <c r="LM159" s="61"/>
      <c r="LN159" s="61"/>
      <c r="LO159" s="61"/>
      <c r="LP159" s="61"/>
      <c r="LQ159" s="61"/>
      <c r="LR159" s="61"/>
      <c r="LS159" s="61"/>
      <c r="LT159" s="61"/>
      <c r="LU159" s="61"/>
      <c r="LV159" s="61"/>
      <c r="LW159" s="61"/>
      <c r="LX159" s="61"/>
      <c r="LY159" s="61"/>
      <c r="LZ159" s="61"/>
      <c r="MA159" s="61"/>
      <c r="MB159" s="61"/>
      <c r="MC159" s="61"/>
      <c r="MD159" s="61"/>
      <c r="ME159" s="61"/>
      <c r="MF159" s="61"/>
      <c r="MG159" s="61"/>
      <c r="MH159" s="61"/>
      <c r="MI159" s="61"/>
      <c r="MJ159" s="61"/>
      <c r="MK159" s="61"/>
      <c r="ML159" s="61"/>
      <c r="MM159" s="61"/>
      <c r="MN159" s="61"/>
      <c r="MO159" s="61"/>
      <c r="MP159" s="61"/>
      <c r="MQ159" s="61"/>
      <c r="MR159" s="61"/>
      <c r="MS159" s="61"/>
      <c r="MT159" s="61"/>
      <c r="MU159" s="61"/>
      <c r="MV159" s="61"/>
      <c r="MW159" s="61"/>
      <c r="MX159" s="61"/>
      <c r="MY159" s="61"/>
      <c r="MZ159" s="61"/>
      <c r="NA159" s="61"/>
      <c r="NB159" s="61"/>
      <c r="NC159" s="61"/>
      <c r="ND159" s="61"/>
      <c r="NE159" s="61"/>
      <c r="NF159" s="61"/>
      <c r="NG159" s="61"/>
      <c r="NH159" s="61"/>
      <c r="NI159" s="61"/>
      <c r="NJ159" s="61"/>
      <c r="NK159" s="61"/>
      <c r="NL159" s="61"/>
      <c r="NM159" s="61"/>
      <c r="NN159" s="61"/>
      <c r="NO159" s="61"/>
      <c r="NP159" s="61"/>
      <c r="NQ159" s="61"/>
      <c r="NR159" s="61"/>
      <c r="NS159" s="61"/>
      <c r="NT159" s="61"/>
      <c r="NU159" s="61"/>
      <c r="NV159" s="61"/>
      <c r="NW159" s="61"/>
      <c r="NX159" s="61"/>
      <c r="NY159" s="61"/>
      <c r="NZ159" s="61"/>
      <c r="OA159" s="61"/>
      <c r="OB159" s="61"/>
      <c r="OC159" s="61"/>
      <c r="OD159" s="61"/>
      <c r="OE159" s="61"/>
      <c r="OF159" s="61"/>
      <c r="OG159" s="61"/>
      <c r="OH159" s="61"/>
      <c r="OI159" s="61"/>
      <c r="OJ159" s="61"/>
      <c r="OK159" s="61"/>
      <c r="OL159" s="61"/>
      <c r="OM159" s="61"/>
      <c r="ON159" s="61"/>
      <c r="OO159" s="61"/>
      <c r="OP159" s="61"/>
      <c r="OQ159" s="61"/>
      <c r="OR159" s="61"/>
      <c r="OS159" s="61"/>
      <c r="OT159" s="61"/>
      <c r="OU159" s="61"/>
      <c r="OV159" s="61"/>
      <c r="OW159" s="61"/>
      <c r="OX159" s="61"/>
      <c r="OY159" s="61"/>
      <c r="OZ159" s="61"/>
      <c r="PA159" s="61"/>
      <c r="PB159" s="61"/>
      <c r="PC159" s="61"/>
      <c r="PD159" s="61"/>
      <c r="PE159" s="61"/>
      <c r="PF159" s="61"/>
      <c r="PG159" s="61"/>
      <c r="PH159" s="61"/>
      <c r="PI159" s="61"/>
      <c r="PJ159" s="61"/>
      <c r="PK159" s="61"/>
      <c r="PL159" s="61"/>
      <c r="PM159" s="61"/>
      <c r="PN159" s="61"/>
      <c r="PO159" s="61"/>
      <c r="PP159" s="61"/>
      <c r="PQ159" s="61"/>
      <c r="PR159" s="61"/>
      <c r="PS159" s="61"/>
      <c r="PT159" s="61"/>
      <c r="PU159" s="61"/>
      <c r="PV159" s="61"/>
      <c r="PW159" s="61"/>
      <c r="PX159" s="61"/>
      <c r="PY159" s="61"/>
      <c r="PZ159" s="61"/>
      <c r="QA159" s="61"/>
      <c r="QB159" s="61"/>
      <c r="QC159" s="61"/>
      <c r="QD159" s="61"/>
      <c r="QE159" s="61"/>
      <c r="QF159" s="61"/>
      <c r="QG159" s="61"/>
      <c r="QH159" s="61"/>
      <c r="QI159" s="61"/>
      <c r="QJ159" s="61"/>
      <c r="QK159" s="61"/>
      <c r="QL159" s="61"/>
      <c r="QM159" s="61"/>
      <c r="QN159" s="61"/>
      <c r="QO159" s="61"/>
      <c r="QP159" s="61"/>
      <c r="QQ159" s="61"/>
      <c r="QR159" s="61"/>
      <c r="QS159" s="61"/>
      <c r="QT159" s="61"/>
      <c r="QU159" s="61"/>
      <c r="QV159" s="61"/>
      <c r="QW159" s="61"/>
      <c r="QX159" s="61"/>
      <c r="QY159" s="61"/>
      <c r="QZ159" s="61"/>
      <c r="RA159" s="61"/>
      <c r="RB159" s="61"/>
      <c r="RC159" s="61"/>
      <c r="RD159" s="17"/>
    </row>
    <row r="160" spans="1:472" s="5" customFormat="1" ht="15" hidden="1" customHeight="1" x14ac:dyDescent="0.25">
      <c r="A160" s="5">
        <v>2096</v>
      </c>
      <c r="B160" s="5" t="s">
        <v>915</v>
      </c>
      <c r="C160" s="5" t="s">
        <v>5</v>
      </c>
      <c r="D160" s="5">
        <v>27</v>
      </c>
      <c r="E160" s="36"/>
      <c r="F160" s="64" t="s">
        <v>216</v>
      </c>
      <c r="G160" s="65"/>
      <c r="H160" s="19"/>
      <c r="I160" s="61"/>
      <c r="J160" s="61"/>
      <c r="K160" s="61"/>
      <c r="L160" s="61"/>
      <c r="M160" s="61"/>
      <c r="N160" s="61"/>
      <c r="O160" s="61"/>
      <c r="P160" s="61"/>
      <c r="Q160" s="61"/>
      <c r="R160" s="61"/>
      <c r="S160" s="61"/>
      <c r="T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1"/>
      <c r="DV160" s="61"/>
      <c r="DW160" s="61"/>
      <c r="DX160" s="61"/>
      <c r="DY160" s="61"/>
      <c r="DZ160" s="61"/>
      <c r="EA160" s="61"/>
      <c r="EB160" s="61"/>
      <c r="EC160" s="61"/>
      <c r="ED160" s="61"/>
      <c r="EE160" s="61"/>
      <c r="EF160" s="61"/>
      <c r="EG160" s="61"/>
      <c r="EH160" s="61"/>
      <c r="EI160" s="61"/>
      <c r="EJ160" s="61"/>
      <c r="EK160" s="61"/>
      <c r="EL160" s="61"/>
      <c r="EM160" s="61"/>
      <c r="EN160" s="61"/>
      <c r="EO160" s="61"/>
      <c r="EP160" s="61"/>
      <c r="EQ160" s="61"/>
      <c r="ER160" s="61"/>
      <c r="ES160" s="61"/>
      <c r="ET160" s="61"/>
      <c r="EU160" s="61"/>
      <c r="EV160" s="61"/>
      <c r="EW160" s="61"/>
      <c r="EX160" s="61"/>
      <c r="EY160" s="61"/>
      <c r="EZ160" s="61"/>
      <c r="FA160" s="61"/>
      <c r="FB160" s="61"/>
      <c r="FC160" s="61"/>
      <c r="FD160" s="61"/>
      <c r="FE160" s="61"/>
      <c r="FF160" s="61"/>
      <c r="FG160" s="61"/>
      <c r="FH160" s="61"/>
      <c r="FI160" s="61"/>
      <c r="FJ160" s="61"/>
      <c r="FK160" s="61"/>
      <c r="FL160" s="61"/>
      <c r="FM160" s="61"/>
      <c r="FN160" s="61"/>
      <c r="FO160" s="61"/>
      <c r="FP160" s="61"/>
      <c r="FQ160" s="61"/>
      <c r="FR160" s="61"/>
      <c r="FS160" s="61"/>
      <c r="FT160" s="61"/>
      <c r="FU160" s="61"/>
      <c r="FV160" s="61"/>
      <c r="FW160" s="61"/>
      <c r="FX160" s="61"/>
      <c r="FY160" s="61"/>
      <c r="FZ160" s="61"/>
      <c r="GA160" s="61"/>
      <c r="GB160" s="61"/>
      <c r="GC160" s="61"/>
      <c r="GD160" s="61"/>
      <c r="GE160" s="61"/>
      <c r="GF160" s="61"/>
      <c r="GG160" s="61"/>
      <c r="GH160" s="61"/>
      <c r="GI160" s="61"/>
      <c r="GJ160" s="61"/>
      <c r="GK160" s="61"/>
      <c r="GL160" s="61"/>
      <c r="GM160" s="61"/>
      <c r="GN160" s="61">
        <v>2</v>
      </c>
      <c r="GO160" s="61"/>
      <c r="GP160" s="61">
        <v>3</v>
      </c>
      <c r="GQ160" s="61"/>
      <c r="GR160" s="61">
        <v>1</v>
      </c>
      <c r="GS160" s="61"/>
      <c r="GT160" s="61">
        <v>1</v>
      </c>
      <c r="GU160" s="61"/>
      <c r="GV160" s="61">
        <v>1</v>
      </c>
      <c r="GW160" s="61"/>
      <c r="GX160" s="61">
        <v>1</v>
      </c>
      <c r="GY160" s="61"/>
      <c r="GZ160" s="61">
        <v>1</v>
      </c>
      <c r="HA160" s="61"/>
      <c r="HB160" s="61">
        <v>1</v>
      </c>
      <c r="HC160" s="61"/>
      <c r="HD160" s="61"/>
      <c r="HE160" s="61"/>
      <c r="HF160" s="61"/>
      <c r="HG160" s="61"/>
      <c r="HH160" s="61"/>
      <c r="HI160" s="61"/>
      <c r="HJ160" s="61"/>
      <c r="HK160" s="61"/>
      <c r="HL160" s="61"/>
      <c r="HM160" s="61"/>
      <c r="HN160" s="61"/>
      <c r="HO160" s="61"/>
      <c r="HP160" s="61"/>
      <c r="HQ160" s="61"/>
      <c r="HR160" s="61"/>
      <c r="HS160" s="61"/>
      <c r="HT160" s="61"/>
      <c r="HU160" s="61"/>
      <c r="HV160" s="61"/>
      <c r="HW160" s="61"/>
      <c r="HX160" s="61"/>
      <c r="HY160" s="61"/>
      <c r="HZ160" s="61"/>
      <c r="IA160" s="61"/>
      <c r="IB160" s="61"/>
      <c r="IC160" s="61"/>
      <c r="ID160" s="61"/>
      <c r="IE160" s="61"/>
      <c r="IF160" s="61"/>
      <c r="IG160" s="61"/>
      <c r="IH160" s="61"/>
      <c r="II160" s="61"/>
      <c r="IJ160" s="61"/>
      <c r="IK160" s="61"/>
      <c r="IL160" s="61"/>
      <c r="IM160" s="61"/>
      <c r="IN160" s="61"/>
      <c r="IO160" s="61"/>
      <c r="IP160" s="61"/>
      <c r="IQ160" s="61"/>
      <c r="IR160" s="61"/>
      <c r="IS160" s="61"/>
      <c r="IT160" s="61"/>
      <c r="IU160" s="61"/>
      <c r="IV160" s="61"/>
      <c r="IW160" s="61"/>
      <c r="IX160" s="61"/>
      <c r="IY160" s="61"/>
      <c r="IZ160" s="61"/>
      <c r="JA160" s="61"/>
      <c r="JB160" s="61"/>
      <c r="JC160" s="61"/>
      <c r="JD160" s="61"/>
      <c r="JE160" s="61"/>
      <c r="JF160" s="61"/>
      <c r="JG160" s="61"/>
      <c r="JH160" s="61"/>
      <c r="JI160" s="61"/>
      <c r="JJ160" s="61"/>
      <c r="JK160" s="61"/>
      <c r="JL160" s="61"/>
      <c r="JM160" s="61"/>
      <c r="JN160" s="61"/>
      <c r="JO160" s="61"/>
      <c r="JP160" s="61"/>
      <c r="JQ160" s="61"/>
      <c r="JR160" s="61"/>
      <c r="JS160" s="61"/>
      <c r="JT160" s="61"/>
      <c r="JU160" s="61"/>
      <c r="JV160" s="61"/>
      <c r="JW160" s="61"/>
      <c r="JX160" s="61"/>
      <c r="JY160" s="61"/>
      <c r="JZ160" s="61"/>
      <c r="KA160" s="61"/>
      <c r="KB160" s="61"/>
      <c r="KC160" s="61"/>
      <c r="KD160" s="61"/>
      <c r="KE160" s="61"/>
      <c r="KF160" s="61"/>
      <c r="KG160" s="61"/>
      <c r="KH160" s="61"/>
      <c r="KI160" s="61"/>
      <c r="KJ160" s="61"/>
      <c r="KK160" s="61"/>
      <c r="KL160" s="61"/>
      <c r="KM160" s="61"/>
      <c r="KN160" s="61"/>
      <c r="KO160" s="61"/>
      <c r="KP160" s="61"/>
      <c r="KQ160" s="61"/>
      <c r="KR160" s="61"/>
      <c r="KS160" s="61"/>
      <c r="KT160" s="61"/>
      <c r="KU160" s="61"/>
      <c r="KV160" s="61"/>
      <c r="KW160" s="61"/>
      <c r="KX160" s="61"/>
      <c r="KY160" s="61"/>
      <c r="KZ160" s="61"/>
      <c r="LA160" s="61"/>
      <c r="LB160" s="61"/>
      <c r="LC160" s="61"/>
      <c r="LD160" s="61"/>
      <c r="LE160" s="61"/>
      <c r="LF160" s="61"/>
      <c r="LG160" s="61"/>
      <c r="LH160" s="61"/>
      <c r="LI160" s="61"/>
      <c r="LJ160" s="61"/>
      <c r="LK160" s="61"/>
      <c r="LL160" s="61"/>
      <c r="LM160" s="61"/>
      <c r="LN160" s="61"/>
      <c r="LO160" s="61"/>
      <c r="LP160" s="61"/>
      <c r="LQ160" s="61"/>
      <c r="LR160" s="61"/>
      <c r="LS160" s="61"/>
      <c r="LT160" s="61"/>
      <c r="LU160" s="61"/>
      <c r="LV160" s="61"/>
      <c r="LW160" s="61"/>
      <c r="LX160" s="61"/>
      <c r="LY160" s="61"/>
      <c r="LZ160" s="61"/>
      <c r="MA160" s="61"/>
      <c r="MB160" s="61"/>
      <c r="MC160" s="61"/>
      <c r="MD160" s="61"/>
      <c r="ME160" s="61"/>
      <c r="MF160" s="61"/>
      <c r="MG160" s="61"/>
      <c r="MH160" s="61"/>
      <c r="MI160" s="61"/>
      <c r="MJ160" s="61"/>
      <c r="MK160" s="61"/>
      <c r="ML160" s="61"/>
      <c r="MM160" s="61"/>
      <c r="MN160" s="61"/>
      <c r="MO160" s="61"/>
      <c r="MP160" s="61"/>
      <c r="MQ160" s="61"/>
      <c r="MR160" s="61"/>
      <c r="MS160" s="61"/>
      <c r="MT160" s="61"/>
      <c r="MU160" s="61"/>
      <c r="MV160" s="61"/>
      <c r="MW160" s="61"/>
      <c r="MX160" s="61"/>
      <c r="MY160" s="61"/>
      <c r="MZ160" s="61"/>
      <c r="NA160" s="61"/>
      <c r="NB160" s="61"/>
      <c r="NC160" s="61"/>
      <c r="ND160" s="61"/>
      <c r="NE160" s="61"/>
      <c r="NF160" s="61"/>
      <c r="NG160" s="61"/>
      <c r="NH160" s="61"/>
      <c r="NI160" s="61"/>
      <c r="NJ160" s="61"/>
      <c r="NK160" s="61"/>
      <c r="NL160" s="61"/>
      <c r="NM160" s="61"/>
      <c r="NN160" s="61"/>
      <c r="NO160" s="61"/>
      <c r="NP160" s="61"/>
      <c r="NQ160" s="61"/>
      <c r="NR160" s="61"/>
      <c r="NS160" s="61"/>
      <c r="NT160" s="61"/>
      <c r="NU160" s="61"/>
      <c r="NV160" s="61"/>
      <c r="NW160" s="61"/>
      <c r="NX160" s="61"/>
      <c r="NY160" s="61"/>
      <c r="NZ160" s="61"/>
      <c r="OA160" s="61"/>
      <c r="OB160" s="61"/>
      <c r="OC160" s="61"/>
      <c r="OD160" s="61"/>
      <c r="OE160" s="61"/>
      <c r="OF160" s="61"/>
      <c r="OG160" s="61"/>
      <c r="OH160" s="61"/>
      <c r="OI160" s="61"/>
      <c r="OJ160" s="61"/>
      <c r="OK160" s="61"/>
      <c r="OL160" s="61"/>
      <c r="OM160" s="61"/>
      <c r="ON160" s="61"/>
      <c r="OO160" s="61"/>
      <c r="OP160" s="61"/>
      <c r="OQ160" s="61"/>
      <c r="OR160" s="61"/>
      <c r="OS160" s="61"/>
      <c r="OT160" s="61"/>
      <c r="OU160" s="61"/>
      <c r="OV160" s="61"/>
      <c r="OW160" s="61"/>
      <c r="OX160" s="61"/>
      <c r="OY160" s="61"/>
      <c r="OZ160" s="61"/>
      <c r="PA160" s="61"/>
      <c r="PB160" s="61"/>
      <c r="PC160" s="61"/>
      <c r="PD160" s="61"/>
      <c r="PE160" s="61"/>
      <c r="PF160" s="61"/>
      <c r="PG160" s="61"/>
      <c r="PH160" s="61"/>
      <c r="PI160" s="61"/>
      <c r="PJ160" s="61"/>
      <c r="PK160" s="61"/>
      <c r="PL160" s="61"/>
      <c r="PM160" s="61"/>
      <c r="PN160" s="61"/>
      <c r="PO160" s="61"/>
      <c r="PP160" s="61"/>
      <c r="PQ160" s="61"/>
      <c r="PR160" s="61"/>
      <c r="PS160" s="61"/>
      <c r="PT160" s="61"/>
      <c r="PU160" s="61"/>
      <c r="PV160" s="61"/>
      <c r="PW160" s="61"/>
      <c r="PX160" s="61"/>
      <c r="PY160" s="61"/>
      <c r="PZ160" s="61"/>
      <c r="QA160" s="61"/>
      <c r="QB160" s="61"/>
      <c r="QC160" s="61"/>
      <c r="QD160" s="61"/>
      <c r="QE160" s="61"/>
      <c r="QF160" s="61"/>
      <c r="QG160" s="61"/>
      <c r="QH160" s="61"/>
      <c r="QI160" s="61"/>
      <c r="QJ160" s="61"/>
      <c r="QK160" s="61"/>
      <c r="QL160" s="61"/>
      <c r="QM160" s="61"/>
      <c r="QN160" s="61"/>
      <c r="QO160" s="61"/>
      <c r="QP160" s="61"/>
      <c r="QQ160" s="61"/>
      <c r="QR160" s="61"/>
      <c r="QS160" s="61"/>
      <c r="QT160" s="61"/>
      <c r="QU160" s="61"/>
      <c r="QV160" s="61"/>
      <c r="QW160" s="61"/>
      <c r="QX160" s="61"/>
      <c r="QY160" s="61"/>
      <c r="QZ160" s="61"/>
      <c r="RA160" s="61"/>
      <c r="RB160" s="61"/>
      <c r="RC160" s="61"/>
      <c r="RD160" s="17"/>
    </row>
    <row r="161" spans="1:472" s="5" customFormat="1" ht="15" hidden="1" customHeight="1" x14ac:dyDescent="0.25">
      <c r="A161" s="5">
        <v>2078</v>
      </c>
      <c r="B161" s="5" t="s">
        <v>580</v>
      </c>
      <c r="C161" s="5" t="s">
        <v>230</v>
      </c>
      <c r="D161" s="5">
        <v>141</v>
      </c>
      <c r="E161" s="36"/>
      <c r="F161" s="64" t="s">
        <v>216</v>
      </c>
      <c r="G161" s="65"/>
      <c r="H161" s="19"/>
      <c r="I161" s="61"/>
      <c r="J161" s="61"/>
      <c r="K161" s="61"/>
      <c r="L161" s="61"/>
      <c r="M161" s="61"/>
      <c r="N161" s="61"/>
      <c r="O161" s="61"/>
      <c r="P161" s="61"/>
      <c r="Q161" s="61"/>
      <c r="R161" s="61"/>
      <c r="S161" s="61"/>
      <c r="T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1"/>
      <c r="DV161" s="61"/>
      <c r="DW161" s="61"/>
      <c r="DX161" s="61"/>
      <c r="DY161" s="61"/>
      <c r="DZ161" s="61"/>
      <c r="EA161" s="61"/>
      <c r="EB161" s="61"/>
      <c r="EC161" s="61"/>
      <c r="ED161" s="61"/>
      <c r="EE161" s="61"/>
      <c r="EF161" s="61"/>
      <c r="EG161" s="61"/>
      <c r="EH161" s="61"/>
      <c r="EI161" s="61"/>
      <c r="EJ161" s="61"/>
      <c r="EK161" s="61"/>
      <c r="EL161" s="61"/>
      <c r="EM161" s="61"/>
      <c r="EN161" s="61"/>
      <c r="EO161" s="61"/>
      <c r="EP161" s="61"/>
      <c r="EQ161" s="61"/>
      <c r="ER161" s="61"/>
      <c r="ES161" s="61"/>
      <c r="ET161" s="61"/>
      <c r="EU161" s="61"/>
      <c r="EV161" s="61"/>
      <c r="EW161" s="61"/>
      <c r="EX161" s="61"/>
      <c r="EY161" s="61"/>
      <c r="EZ161" s="61"/>
      <c r="FA161" s="61"/>
      <c r="FB161" s="61"/>
      <c r="FC161" s="61"/>
      <c r="FD161" s="61"/>
      <c r="FE161" s="61"/>
      <c r="FF161" s="61"/>
      <c r="FG161" s="61"/>
      <c r="FH161" s="61"/>
      <c r="FI161" s="61"/>
      <c r="FJ161" s="61">
        <v>1</v>
      </c>
      <c r="FK161" s="61"/>
      <c r="FL161" s="61">
        <v>1</v>
      </c>
      <c r="FM161" s="61"/>
      <c r="FN161" s="61">
        <v>2</v>
      </c>
      <c r="FO161" s="61"/>
      <c r="FP161" s="61">
        <v>2</v>
      </c>
      <c r="FQ161" s="61"/>
      <c r="FR161" s="61">
        <v>4</v>
      </c>
      <c r="FS161" s="61"/>
      <c r="FT161" s="61">
        <v>5</v>
      </c>
      <c r="FU161" s="61"/>
      <c r="FV161" s="61">
        <v>6</v>
      </c>
      <c r="FW161" s="61"/>
      <c r="FX161" s="61">
        <v>9</v>
      </c>
      <c r="FY161" s="61"/>
      <c r="FZ161" s="61">
        <v>4</v>
      </c>
      <c r="GA161" s="61"/>
      <c r="GB161" s="61">
        <v>8</v>
      </c>
      <c r="GC161" s="61"/>
      <c r="GD161" s="61">
        <v>12</v>
      </c>
      <c r="GE161" s="61"/>
      <c r="GF161" s="61">
        <v>12</v>
      </c>
      <c r="GG161" s="61"/>
      <c r="GH161" s="61">
        <v>10</v>
      </c>
      <c r="GI161" s="61"/>
      <c r="GJ161" s="61">
        <v>8</v>
      </c>
      <c r="GK161" s="61"/>
      <c r="GL161" s="61">
        <v>7</v>
      </c>
      <c r="GM161" s="61"/>
      <c r="GN161" s="61">
        <v>13</v>
      </c>
      <c r="GO161" s="61"/>
      <c r="GP161" s="61">
        <v>5</v>
      </c>
      <c r="GQ161" s="61"/>
      <c r="GR161" s="61">
        <v>3</v>
      </c>
      <c r="GS161" s="61"/>
      <c r="GT161" s="61">
        <v>2</v>
      </c>
      <c r="GU161" s="61"/>
      <c r="GV161" s="61">
        <v>1</v>
      </c>
      <c r="GW161" s="61"/>
      <c r="GX161" s="61">
        <v>1</v>
      </c>
      <c r="GY161" s="61"/>
      <c r="GZ161" s="61">
        <v>1</v>
      </c>
      <c r="HA161" s="61"/>
      <c r="HB161" s="61">
        <v>1</v>
      </c>
      <c r="HC161" s="61"/>
      <c r="HD161" s="61">
        <v>1</v>
      </c>
      <c r="HE161" s="61"/>
      <c r="HF161" s="61">
        <v>1</v>
      </c>
      <c r="HG161" s="61"/>
      <c r="HH161" s="61"/>
      <c r="HI161" s="61"/>
      <c r="HJ161" s="61"/>
      <c r="HK161" s="61"/>
      <c r="HL161" s="61"/>
      <c r="HM161" s="61"/>
      <c r="HN161" s="61"/>
      <c r="HO161" s="61"/>
      <c r="HP161" s="61"/>
      <c r="HQ161" s="61"/>
      <c r="HR161" s="61"/>
      <c r="HS161" s="61"/>
      <c r="HT161" s="61"/>
      <c r="HU161" s="61"/>
      <c r="HV161" s="61"/>
      <c r="HW161" s="61"/>
      <c r="HX161" s="61"/>
      <c r="HY161" s="61"/>
      <c r="HZ161" s="61"/>
      <c r="IA161" s="61"/>
      <c r="IB161" s="61"/>
      <c r="IC161" s="61"/>
      <c r="ID161" s="61"/>
      <c r="IE161" s="61"/>
      <c r="IF161" s="61"/>
      <c r="IG161" s="61"/>
      <c r="IH161" s="61"/>
      <c r="II161" s="61"/>
      <c r="IJ161" s="61"/>
      <c r="IK161" s="61"/>
      <c r="IL161" s="61"/>
      <c r="IM161" s="61"/>
      <c r="IN161" s="61"/>
      <c r="IO161" s="61"/>
      <c r="IP161" s="61"/>
      <c r="IQ161" s="61"/>
      <c r="IR161" s="61"/>
      <c r="IS161" s="61"/>
      <c r="IT161" s="61"/>
      <c r="IU161" s="61"/>
      <c r="IV161" s="61"/>
      <c r="IW161" s="61"/>
      <c r="IX161" s="61"/>
      <c r="IY161" s="61"/>
      <c r="IZ161" s="61"/>
      <c r="JA161" s="61"/>
      <c r="JB161" s="61"/>
      <c r="JC161" s="61"/>
      <c r="JD161" s="61"/>
      <c r="JE161" s="61"/>
      <c r="JF161" s="61"/>
      <c r="JG161" s="61"/>
      <c r="JH161" s="61"/>
      <c r="JI161" s="61"/>
      <c r="JJ161" s="61"/>
      <c r="JK161" s="61"/>
      <c r="JL161" s="61"/>
      <c r="JM161" s="61"/>
      <c r="JN161" s="61"/>
      <c r="JO161" s="61"/>
      <c r="JP161" s="61"/>
      <c r="JQ161" s="61"/>
      <c r="JR161" s="61"/>
      <c r="JS161" s="61"/>
      <c r="JT161" s="61"/>
      <c r="JU161" s="61"/>
      <c r="JV161" s="61"/>
      <c r="JW161" s="61"/>
      <c r="JX161" s="61"/>
      <c r="JY161" s="61"/>
      <c r="JZ161" s="61"/>
      <c r="KA161" s="61"/>
      <c r="KB161" s="61"/>
      <c r="KC161" s="61"/>
      <c r="KD161" s="61"/>
      <c r="KE161" s="61"/>
      <c r="KF161" s="61"/>
      <c r="KG161" s="61"/>
      <c r="KH161" s="61"/>
      <c r="KI161" s="61"/>
      <c r="KJ161" s="61"/>
      <c r="KK161" s="61"/>
      <c r="KL161" s="61"/>
      <c r="KM161" s="61"/>
      <c r="KN161" s="61"/>
      <c r="KO161" s="61"/>
      <c r="KP161" s="61"/>
      <c r="KQ161" s="61"/>
      <c r="KR161" s="61"/>
      <c r="KS161" s="61"/>
      <c r="KT161" s="61"/>
      <c r="KU161" s="61"/>
      <c r="KV161" s="61"/>
      <c r="KW161" s="61"/>
      <c r="KX161" s="61"/>
      <c r="KY161" s="61"/>
      <c r="KZ161" s="61"/>
      <c r="LA161" s="61"/>
      <c r="LB161" s="61"/>
      <c r="LC161" s="61"/>
      <c r="LD161" s="61"/>
      <c r="LE161" s="61"/>
      <c r="LF161" s="61"/>
      <c r="LG161" s="61"/>
      <c r="LH161" s="61"/>
      <c r="LI161" s="61"/>
      <c r="LJ161" s="61"/>
      <c r="LK161" s="61"/>
      <c r="LL161" s="61"/>
      <c r="LM161" s="61"/>
      <c r="LN161" s="61"/>
      <c r="LO161" s="61"/>
      <c r="LP161" s="61"/>
      <c r="LQ161" s="61"/>
      <c r="LR161" s="61"/>
      <c r="LS161" s="61"/>
      <c r="LT161" s="61"/>
      <c r="LU161" s="61"/>
      <c r="LV161" s="61"/>
      <c r="LW161" s="61"/>
      <c r="LX161" s="61"/>
      <c r="LY161" s="61"/>
      <c r="LZ161" s="61"/>
      <c r="MA161" s="61"/>
      <c r="MB161" s="61"/>
      <c r="MC161" s="61"/>
      <c r="MD161" s="61"/>
      <c r="ME161" s="61"/>
      <c r="MF161" s="61"/>
      <c r="MG161" s="61"/>
      <c r="MH161" s="61"/>
      <c r="MI161" s="61"/>
      <c r="MJ161" s="61"/>
      <c r="MK161" s="61"/>
      <c r="ML161" s="61"/>
      <c r="MM161" s="61"/>
      <c r="MN161" s="61"/>
      <c r="MO161" s="61"/>
      <c r="MP161" s="61"/>
      <c r="MQ161" s="61"/>
      <c r="MR161" s="61"/>
      <c r="MS161" s="61"/>
      <c r="MT161" s="61"/>
      <c r="MU161" s="61"/>
      <c r="MV161" s="61"/>
      <c r="MW161" s="61"/>
      <c r="MX161" s="61"/>
      <c r="MY161" s="61"/>
      <c r="MZ161" s="61"/>
      <c r="NA161" s="61"/>
      <c r="NB161" s="61"/>
      <c r="NC161" s="61"/>
      <c r="ND161" s="61"/>
      <c r="NE161" s="61"/>
      <c r="NF161" s="61"/>
      <c r="NG161" s="61"/>
      <c r="NH161" s="61"/>
      <c r="NI161" s="61"/>
      <c r="NJ161" s="61"/>
      <c r="NK161" s="61"/>
      <c r="NL161" s="61"/>
      <c r="NM161" s="61"/>
      <c r="NN161" s="61"/>
      <c r="NO161" s="61"/>
      <c r="NP161" s="61"/>
      <c r="NQ161" s="61"/>
      <c r="NR161" s="61"/>
      <c r="NS161" s="61"/>
      <c r="NT161" s="61"/>
      <c r="NU161" s="61"/>
      <c r="NV161" s="61"/>
      <c r="NW161" s="61"/>
      <c r="NX161" s="61"/>
      <c r="NY161" s="61"/>
      <c r="NZ161" s="61"/>
      <c r="OA161" s="61"/>
      <c r="OB161" s="61"/>
      <c r="OC161" s="61"/>
      <c r="OD161" s="61"/>
      <c r="OE161" s="61"/>
      <c r="OF161" s="61"/>
      <c r="OG161" s="61"/>
      <c r="OH161" s="61"/>
      <c r="OI161" s="61"/>
      <c r="OJ161" s="61"/>
      <c r="OK161" s="61"/>
      <c r="OL161" s="61"/>
      <c r="OM161" s="61"/>
      <c r="ON161" s="61"/>
      <c r="OO161" s="61"/>
      <c r="OP161" s="61"/>
      <c r="OQ161" s="61"/>
      <c r="OR161" s="61"/>
      <c r="OS161" s="61"/>
      <c r="OT161" s="61"/>
      <c r="OU161" s="61"/>
      <c r="OV161" s="61"/>
      <c r="OW161" s="61"/>
      <c r="OX161" s="61"/>
      <c r="OY161" s="61"/>
      <c r="OZ161" s="61"/>
      <c r="PA161" s="61"/>
      <c r="PB161" s="61"/>
      <c r="PC161" s="61"/>
      <c r="PD161" s="61"/>
      <c r="PE161" s="61"/>
      <c r="PF161" s="61"/>
      <c r="PG161" s="61"/>
      <c r="PH161" s="61"/>
      <c r="PI161" s="61"/>
      <c r="PJ161" s="61"/>
      <c r="PK161" s="61"/>
      <c r="PL161" s="61"/>
      <c r="PM161" s="61"/>
      <c r="PN161" s="61"/>
      <c r="PO161" s="61"/>
      <c r="PP161" s="61"/>
      <c r="PQ161" s="61"/>
      <c r="PR161" s="61"/>
      <c r="PS161" s="61"/>
      <c r="PT161" s="61"/>
      <c r="PU161" s="61"/>
      <c r="PV161" s="61"/>
      <c r="PW161" s="61"/>
      <c r="PX161" s="61"/>
      <c r="PY161" s="61"/>
      <c r="PZ161" s="61"/>
      <c r="QA161" s="61"/>
      <c r="QB161" s="61"/>
      <c r="QC161" s="61"/>
      <c r="QD161" s="61"/>
      <c r="QE161" s="61"/>
      <c r="QF161" s="61"/>
      <c r="QG161" s="61"/>
      <c r="QH161" s="61"/>
      <c r="QI161" s="61"/>
      <c r="QJ161" s="61"/>
      <c r="QK161" s="61"/>
      <c r="QL161" s="61"/>
      <c r="QM161" s="61"/>
      <c r="QN161" s="61"/>
      <c r="QO161" s="61"/>
      <c r="QP161" s="61"/>
      <c r="QQ161" s="61"/>
      <c r="QR161" s="61"/>
      <c r="QS161" s="61"/>
      <c r="QT161" s="61"/>
      <c r="QU161" s="61"/>
      <c r="QV161" s="61"/>
      <c r="QW161" s="61"/>
      <c r="QX161" s="61"/>
      <c r="QY161" s="61"/>
      <c r="QZ161" s="61"/>
      <c r="RA161" s="61"/>
      <c r="RB161" s="61"/>
      <c r="RC161" s="61"/>
      <c r="RD161" s="17"/>
    </row>
    <row r="162" spans="1:472" s="5" customFormat="1" hidden="1" x14ac:dyDescent="0.25">
      <c r="A162" s="5">
        <v>2071</v>
      </c>
      <c r="B162" s="5" t="s">
        <v>634</v>
      </c>
      <c r="C162" s="5" t="s">
        <v>5</v>
      </c>
      <c r="D162" s="5">
        <v>160</v>
      </c>
      <c r="E162" s="36"/>
      <c r="F162" s="64" t="s">
        <v>216</v>
      </c>
      <c r="G162" s="65"/>
      <c r="H162" s="19"/>
      <c r="I162" s="61"/>
      <c r="J162" s="61"/>
      <c r="K162" s="61"/>
      <c r="L162" s="61"/>
      <c r="M162" s="61"/>
      <c r="N162" s="61"/>
      <c r="O162" s="61"/>
      <c r="P162" s="61"/>
      <c r="Q162" s="61"/>
      <c r="R162" s="61"/>
      <c r="S162" s="61"/>
      <c r="T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1"/>
      <c r="DV162" s="61"/>
      <c r="DW162" s="61"/>
      <c r="DX162" s="61"/>
      <c r="DY162" s="61"/>
      <c r="DZ162" s="61"/>
      <c r="EA162" s="61"/>
      <c r="EB162" s="61"/>
      <c r="EC162" s="61"/>
      <c r="ED162" s="61"/>
      <c r="EE162" s="61"/>
      <c r="EF162" s="61"/>
      <c r="EG162" s="61"/>
      <c r="EH162" s="61"/>
      <c r="EI162" s="61"/>
      <c r="EJ162" s="61"/>
      <c r="EK162" s="61"/>
      <c r="EL162" s="61"/>
      <c r="EM162" s="61"/>
      <c r="EN162" s="61"/>
      <c r="EO162" s="61"/>
      <c r="EP162" s="61"/>
      <c r="EQ162" s="61"/>
      <c r="ER162" s="61"/>
      <c r="ES162" s="61"/>
      <c r="ET162" s="61"/>
      <c r="EU162" s="61"/>
      <c r="EV162" s="61"/>
      <c r="EW162" s="61"/>
      <c r="EX162" s="61"/>
      <c r="EY162" s="61"/>
      <c r="EZ162" s="61"/>
      <c r="FA162" s="61"/>
      <c r="FB162" s="61"/>
      <c r="FC162" s="61"/>
      <c r="FD162" s="61"/>
      <c r="FE162" s="61"/>
      <c r="FF162" s="61"/>
      <c r="FG162" s="61"/>
      <c r="FH162" s="61"/>
      <c r="FI162" s="61"/>
      <c r="FJ162" s="61"/>
      <c r="FK162" s="61"/>
      <c r="FL162" s="61"/>
      <c r="FM162" s="61"/>
      <c r="FN162" s="61"/>
      <c r="FO162" s="61"/>
      <c r="FP162" s="61"/>
      <c r="FQ162" s="61"/>
      <c r="FR162" s="61"/>
      <c r="FS162" s="61"/>
      <c r="FT162" s="61"/>
      <c r="FU162" s="61"/>
      <c r="FV162" s="61"/>
      <c r="FW162" s="61"/>
      <c r="FX162" s="61"/>
      <c r="FY162" s="61"/>
      <c r="FZ162" s="61"/>
      <c r="GA162" s="61"/>
      <c r="GB162" s="61"/>
      <c r="GC162" s="61"/>
      <c r="GD162" s="61">
        <v>1</v>
      </c>
      <c r="GE162" s="61"/>
      <c r="GF162" s="61">
        <v>2</v>
      </c>
      <c r="GG162" s="61"/>
      <c r="GH162" s="61">
        <v>3</v>
      </c>
      <c r="GI162" s="61"/>
      <c r="GJ162" s="61">
        <v>4</v>
      </c>
      <c r="GK162" s="61"/>
      <c r="GL162" s="61">
        <v>6</v>
      </c>
      <c r="GM162" s="61"/>
      <c r="GN162" s="61">
        <v>7</v>
      </c>
      <c r="GO162" s="61"/>
      <c r="GP162" s="61">
        <v>9</v>
      </c>
      <c r="GQ162" s="61"/>
      <c r="GR162" s="61">
        <v>9</v>
      </c>
      <c r="GS162" s="61"/>
      <c r="GT162" s="61">
        <v>10</v>
      </c>
      <c r="GU162" s="61"/>
      <c r="GV162" s="61">
        <v>10</v>
      </c>
      <c r="GW162" s="61"/>
      <c r="GX162" s="61">
        <v>12</v>
      </c>
      <c r="GY162" s="61"/>
      <c r="GZ162" s="61">
        <v>8</v>
      </c>
      <c r="HA162" s="61"/>
      <c r="HB162" s="61">
        <v>5</v>
      </c>
      <c r="HC162" s="61"/>
      <c r="HD162" s="61">
        <v>3</v>
      </c>
      <c r="HE162" s="61"/>
      <c r="HF162" s="61">
        <v>2</v>
      </c>
      <c r="HG162" s="61"/>
      <c r="HH162" s="61">
        <v>1</v>
      </c>
      <c r="HI162" s="61"/>
      <c r="HJ162" s="61">
        <v>1</v>
      </c>
      <c r="HK162" s="61"/>
      <c r="HL162" s="61"/>
      <c r="HM162" s="61"/>
      <c r="HN162" s="61"/>
      <c r="HO162" s="61"/>
      <c r="HP162" s="61"/>
      <c r="HQ162" s="61"/>
      <c r="HR162" s="61"/>
      <c r="HS162" s="61"/>
      <c r="HT162" s="61"/>
      <c r="HU162" s="61"/>
      <c r="HV162" s="61"/>
      <c r="HW162" s="61"/>
      <c r="HX162" s="61"/>
      <c r="HY162" s="61"/>
      <c r="HZ162" s="61"/>
      <c r="IA162" s="61"/>
      <c r="IB162" s="61"/>
      <c r="IC162" s="61"/>
      <c r="ID162" s="61"/>
      <c r="IE162" s="61"/>
      <c r="IF162" s="61"/>
      <c r="IG162" s="61"/>
      <c r="IH162" s="61"/>
      <c r="II162" s="61"/>
      <c r="IJ162" s="61"/>
      <c r="IK162" s="61"/>
      <c r="IL162" s="61"/>
      <c r="IM162" s="61"/>
      <c r="IN162" s="61"/>
      <c r="IO162" s="61"/>
      <c r="IP162" s="61"/>
      <c r="IQ162" s="61"/>
      <c r="IR162" s="61"/>
      <c r="IS162" s="61"/>
      <c r="IT162" s="61"/>
      <c r="IU162" s="61"/>
      <c r="IV162" s="61"/>
      <c r="IW162" s="61"/>
      <c r="IX162" s="61"/>
      <c r="IY162" s="61"/>
      <c r="IZ162" s="61"/>
      <c r="JA162" s="61"/>
      <c r="JB162" s="61"/>
      <c r="JC162" s="61"/>
      <c r="JD162" s="61"/>
      <c r="JE162" s="61"/>
      <c r="JF162" s="61"/>
      <c r="JG162" s="61"/>
      <c r="JH162" s="61"/>
      <c r="JI162" s="61"/>
      <c r="JJ162" s="61"/>
      <c r="JK162" s="61"/>
      <c r="JL162" s="61"/>
      <c r="JM162" s="61"/>
      <c r="JN162" s="61"/>
      <c r="JO162" s="61"/>
      <c r="JP162" s="61"/>
      <c r="JQ162" s="61"/>
      <c r="JR162" s="61"/>
      <c r="JS162" s="61"/>
      <c r="JT162" s="61"/>
      <c r="JU162" s="61"/>
      <c r="JV162" s="61"/>
      <c r="JW162" s="61"/>
      <c r="JX162" s="61"/>
      <c r="JY162" s="61"/>
      <c r="JZ162" s="61"/>
      <c r="KA162" s="61"/>
      <c r="KB162" s="61"/>
      <c r="KC162" s="61"/>
      <c r="KD162" s="61"/>
      <c r="KE162" s="61"/>
      <c r="KF162" s="61"/>
      <c r="KG162" s="61"/>
      <c r="KH162" s="61"/>
      <c r="KI162" s="61"/>
      <c r="KJ162" s="61"/>
      <c r="KK162" s="61"/>
      <c r="KL162" s="61"/>
      <c r="KM162" s="61"/>
      <c r="KN162" s="61"/>
      <c r="KO162" s="61"/>
      <c r="KP162" s="61"/>
      <c r="KQ162" s="61"/>
      <c r="KR162" s="61"/>
      <c r="KS162" s="61"/>
      <c r="KT162" s="61"/>
      <c r="KU162" s="61"/>
      <c r="KV162" s="61"/>
      <c r="KW162" s="61"/>
      <c r="KX162" s="61"/>
      <c r="KY162" s="61"/>
      <c r="KZ162" s="61"/>
      <c r="LA162" s="61"/>
      <c r="LB162" s="61"/>
      <c r="LC162" s="61"/>
      <c r="LD162" s="61"/>
      <c r="LE162" s="61"/>
      <c r="LF162" s="61"/>
      <c r="LG162" s="61"/>
      <c r="LH162" s="61"/>
      <c r="LI162" s="61"/>
      <c r="LJ162" s="61"/>
      <c r="LK162" s="61"/>
      <c r="LL162" s="61"/>
      <c r="LM162" s="61"/>
      <c r="LN162" s="61"/>
      <c r="LO162" s="61"/>
      <c r="LP162" s="61"/>
      <c r="LQ162" s="61"/>
      <c r="LR162" s="61"/>
      <c r="LS162" s="61"/>
      <c r="LT162" s="61"/>
      <c r="LU162" s="61"/>
      <c r="LV162" s="61"/>
      <c r="LW162" s="61"/>
      <c r="LX162" s="61"/>
      <c r="LY162" s="61"/>
      <c r="LZ162" s="61"/>
      <c r="MA162" s="61"/>
      <c r="MB162" s="61"/>
      <c r="MC162" s="61"/>
      <c r="MD162" s="61"/>
      <c r="ME162" s="61"/>
      <c r="MF162" s="61"/>
      <c r="MG162" s="61"/>
      <c r="MH162" s="61"/>
      <c r="MI162" s="61"/>
      <c r="MJ162" s="61"/>
      <c r="MK162" s="61"/>
      <c r="ML162" s="61"/>
      <c r="MM162" s="61"/>
      <c r="MN162" s="61"/>
      <c r="MO162" s="61"/>
      <c r="MP162" s="61"/>
      <c r="MQ162" s="61"/>
      <c r="MR162" s="61"/>
      <c r="MS162" s="61"/>
      <c r="MT162" s="61"/>
      <c r="MU162" s="61"/>
      <c r="MV162" s="61"/>
      <c r="MW162" s="61"/>
      <c r="MX162" s="61"/>
      <c r="MY162" s="61"/>
      <c r="MZ162" s="61"/>
      <c r="NA162" s="61"/>
      <c r="NB162" s="61"/>
      <c r="NC162" s="61"/>
      <c r="ND162" s="61"/>
      <c r="NE162" s="61"/>
      <c r="NF162" s="61"/>
      <c r="NG162" s="61"/>
      <c r="NH162" s="61"/>
      <c r="NI162" s="61"/>
      <c r="NJ162" s="61"/>
      <c r="NK162" s="61"/>
      <c r="NL162" s="61"/>
      <c r="NM162" s="61"/>
      <c r="NN162" s="61"/>
      <c r="NO162" s="61"/>
      <c r="NP162" s="61"/>
      <c r="NQ162" s="61"/>
      <c r="NR162" s="61"/>
      <c r="NS162" s="61"/>
      <c r="NT162" s="61"/>
      <c r="NU162" s="61"/>
      <c r="NV162" s="61"/>
      <c r="NW162" s="61"/>
      <c r="NX162" s="61"/>
      <c r="NY162" s="61"/>
      <c r="NZ162" s="61"/>
      <c r="OA162" s="61"/>
      <c r="OB162" s="61"/>
      <c r="OC162" s="61"/>
      <c r="OD162" s="61"/>
      <c r="OE162" s="61"/>
      <c r="OF162" s="61"/>
      <c r="OG162" s="61"/>
      <c r="OH162" s="61"/>
      <c r="OI162" s="61"/>
      <c r="OJ162" s="61"/>
      <c r="OK162" s="61"/>
      <c r="OL162" s="61"/>
      <c r="OM162" s="61"/>
      <c r="ON162" s="61"/>
      <c r="OO162" s="61"/>
      <c r="OP162" s="61"/>
      <c r="OQ162" s="61"/>
      <c r="OR162" s="61"/>
      <c r="OS162" s="61"/>
      <c r="OT162" s="61"/>
      <c r="OU162" s="61"/>
      <c r="OV162" s="61"/>
      <c r="OW162" s="61"/>
      <c r="OX162" s="61"/>
      <c r="OY162" s="61"/>
      <c r="OZ162" s="61"/>
      <c r="PA162" s="61"/>
      <c r="PB162" s="61"/>
      <c r="PC162" s="61"/>
      <c r="PD162" s="61"/>
      <c r="PE162" s="61"/>
      <c r="PF162" s="61"/>
      <c r="PG162" s="61"/>
      <c r="PH162" s="61"/>
      <c r="PI162" s="61"/>
      <c r="PJ162" s="61"/>
      <c r="PK162" s="61"/>
      <c r="PL162" s="61"/>
      <c r="PM162" s="61"/>
      <c r="PN162" s="61"/>
      <c r="PO162" s="61"/>
      <c r="PP162" s="61"/>
      <c r="PQ162" s="61"/>
      <c r="PR162" s="61"/>
      <c r="PS162" s="61"/>
      <c r="PT162" s="61"/>
      <c r="PU162" s="61"/>
      <c r="PV162" s="61"/>
      <c r="PW162" s="61"/>
      <c r="PX162" s="61"/>
      <c r="PY162" s="61"/>
      <c r="PZ162" s="61"/>
      <c r="QA162" s="61"/>
      <c r="QB162" s="61"/>
      <c r="QC162" s="61"/>
      <c r="QD162" s="61"/>
      <c r="QE162" s="61"/>
      <c r="QF162" s="61"/>
      <c r="QG162" s="61"/>
      <c r="QH162" s="61"/>
      <c r="QI162" s="61"/>
      <c r="QJ162" s="61"/>
      <c r="QK162" s="61"/>
      <c r="QL162" s="61"/>
      <c r="QM162" s="61"/>
      <c r="QN162" s="61"/>
      <c r="QO162" s="61"/>
      <c r="QP162" s="61"/>
      <c r="QQ162" s="61"/>
      <c r="QR162" s="61"/>
      <c r="QS162" s="61"/>
      <c r="QT162" s="61"/>
      <c r="QU162" s="61"/>
      <c r="QV162" s="61"/>
      <c r="QW162" s="61"/>
      <c r="QX162" s="61"/>
      <c r="QY162" s="61"/>
      <c r="QZ162" s="61"/>
      <c r="RA162" s="61"/>
      <c r="RB162" s="61"/>
      <c r="RC162" s="61"/>
      <c r="RD162" s="17"/>
    </row>
    <row r="163" spans="1:472" s="5" customFormat="1" hidden="1" x14ac:dyDescent="0.25">
      <c r="A163" s="5">
        <v>2085</v>
      </c>
      <c r="B163" s="5" t="s">
        <v>826</v>
      </c>
      <c r="C163" s="5" t="s">
        <v>165</v>
      </c>
      <c r="D163" s="5">
        <v>77</v>
      </c>
      <c r="E163" s="36"/>
      <c r="F163" s="64" t="s">
        <v>216</v>
      </c>
      <c r="G163" s="65"/>
      <c r="H163" s="19"/>
      <c r="I163" s="17"/>
      <c r="J163" s="17"/>
      <c r="K163" s="17"/>
      <c r="L163" s="17"/>
      <c r="M163" s="17"/>
      <c r="N163" s="17"/>
      <c r="O163" s="17"/>
      <c r="P163" s="17"/>
      <c r="Q163" s="17"/>
      <c r="R163" s="17"/>
      <c r="S163" s="17"/>
      <c r="T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c r="EC163" s="17"/>
      <c r="ED163" s="17"/>
      <c r="EE163" s="17"/>
      <c r="EF163" s="17"/>
      <c r="EG163" s="17"/>
      <c r="EH163" s="17"/>
      <c r="EI163" s="17"/>
      <c r="EJ163" s="17"/>
      <c r="EK163" s="17"/>
      <c r="EL163" s="17"/>
      <c r="EM163" s="17"/>
      <c r="EN163" s="17"/>
      <c r="EO163" s="17"/>
      <c r="EP163" s="17"/>
      <c r="EQ163" s="17"/>
      <c r="ER163" s="17"/>
      <c r="ES163" s="17"/>
      <c r="ET163" s="17"/>
      <c r="EU163" s="17"/>
      <c r="EV163" s="17"/>
      <c r="EW163" s="17"/>
      <c r="EX163" s="17"/>
      <c r="EY163" s="17"/>
      <c r="EZ163" s="17"/>
      <c r="FA163" s="17"/>
      <c r="FB163" s="17"/>
      <c r="FC163" s="17"/>
      <c r="FD163" s="17"/>
      <c r="FE163" s="17"/>
      <c r="FF163" s="61"/>
      <c r="FG163" s="61"/>
      <c r="FH163" s="61"/>
      <c r="FI163" s="61"/>
      <c r="FJ163" s="61"/>
      <c r="FK163" s="61"/>
      <c r="FL163" s="61"/>
      <c r="FM163" s="61"/>
      <c r="FN163" s="61"/>
      <c r="FO163" s="61"/>
      <c r="FP163" s="61"/>
      <c r="FQ163" s="61"/>
      <c r="FR163" s="61"/>
      <c r="FS163" s="61"/>
      <c r="FT163" s="61"/>
      <c r="FU163" s="61"/>
      <c r="FV163" s="61"/>
      <c r="FW163" s="61"/>
      <c r="FX163" s="61"/>
      <c r="FY163" s="61"/>
      <c r="FZ163" s="61"/>
      <c r="GA163" s="61"/>
      <c r="GB163" s="61"/>
      <c r="GC163" s="61"/>
      <c r="GD163" s="61">
        <v>2</v>
      </c>
      <c r="GE163" s="61"/>
      <c r="GF163" s="61">
        <v>2</v>
      </c>
      <c r="GG163" s="61"/>
      <c r="GH163" s="61">
        <v>5</v>
      </c>
      <c r="GI163" s="61"/>
      <c r="GJ163" s="61">
        <v>5</v>
      </c>
      <c r="GK163" s="61"/>
      <c r="GL163" s="61">
        <v>5</v>
      </c>
      <c r="GM163" s="61"/>
      <c r="GN163" s="61">
        <v>2</v>
      </c>
      <c r="GO163" s="61"/>
      <c r="GP163" s="61">
        <v>5</v>
      </c>
      <c r="GQ163" s="61"/>
      <c r="GR163" s="61">
        <v>5</v>
      </c>
      <c r="GS163" s="61"/>
      <c r="GT163" s="61">
        <v>5</v>
      </c>
      <c r="GU163" s="61"/>
      <c r="GV163" s="61">
        <v>5</v>
      </c>
      <c r="GW163" s="61"/>
      <c r="GX163" s="61">
        <v>7</v>
      </c>
      <c r="GY163" s="61"/>
      <c r="GZ163" s="61">
        <v>5</v>
      </c>
      <c r="HA163" s="61"/>
      <c r="HB163" s="61">
        <v>4</v>
      </c>
      <c r="HC163" s="61"/>
      <c r="HD163" s="61">
        <v>2</v>
      </c>
      <c r="HE163" s="61"/>
      <c r="HF163" s="61">
        <v>2</v>
      </c>
      <c r="HG163" s="61"/>
      <c r="HH163" s="61">
        <v>1</v>
      </c>
      <c r="HI163" s="61"/>
      <c r="HJ163" s="61">
        <v>2</v>
      </c>
      <c r="HK163" s="61"/>
      <c r="HL163" s="61">
        <v>1</v>
      </c>
      <c r="HM163" s="61"/>
      <c r="HN163" s="61">
        <v>2</v>
      </c>
      <c r="HO163" s="61"/>
      <c r="HP163" s="61">
        <v>1</v>
      </c>
      <c r="HQ163" s="61"/>
      <c r="HR163" s="61"/>
      <c r="HS163" s="61"/>
      <c r="HT163" s="61"/>
      <c r="HU163" s="61"/>
      <c r="HV163" s="61"/>
      <c r="HW163" s="61"/>
      <c r="HX163" s="61"/>
      <c r="HY163" s="61"/>
      <c r="HZ163" s="61"/>
      <c r="IA163" s="61"/>
      <c r="IB163" s="61"/>
      <c r="IC163" s="61"/>
      <c r="ID163" s="61"/>
      <c r="IE163" s="61"/>
      <c r="IF163" s="61"/>
      <c r="IG163" s="61"/>
      <c r="IH163" s="61"/>
      <c r="II163" s="61"/>
      <c r="IJ163" s="61"/>
      <c r="IK163" s="61"/>
      <c r="IL163" s="61"/>
      <c r="IM163" s="61"/>
      <c r="IN163" s="61"/>
      <c r="IO163" s="61"/>
      <c r="IP163" s="61"/>
      <c r="IQ163" s="61"/>
      <c r="IR163" s="61"/>
      <c r="IS163" s="61"/>
      <c r="IT163" s="61"/>
      <c r="IU163" s="61"/>
      <c r="IV163" s="61"/>
      <c r="IW163" s="61"/>
      <c r="IX163" s="61"/>
      <c r="IY163" s="61"/>
      <c r="IZ163" s="61"/>
      <c r="JA163" s="61"/>
      <c r="JB163" s="61"/>
      <c r="JC163" s="61"/>
      <c r="JD163" s="61"/>
      <c r="JE163" s="61"/>
      <c r="JF163" s="61"/>
      <c r="JG163" s="61"/>
      <c r="JH163" s="61"/>
      <c r="JI163" s="61"/>
      <c r="JJ163" s="61"/>
      <c r="JK163" s="61"/>
      <c r="JL163" s="61"/>
      <c r="JM163" s="61"/>
      <c r="JN163" s="61"/>
      <c r="JO163" s="61"/>
      <c r="JP163" s="61"/>
      <c r="JQ163" s="61"/>
      <c r="JR163" s="61"/>
      <c r="JS163" s="61"/>
      <c r="JT163" s="61"/>
      <c r="JU163" s="61"/>
      <c r="JV163" s="61"/>
      <c r="JW163" s="61"/>
      <c r="JX163" s="61"/>
      <c r="JY163" s="61"/>
      <c r="JZ163" s="61"/>
      <c r="KA163" s="61"/>
      <c r="KB163" s="61"/>
      <c r="KC163" s="61"/>
      <c r="KD163" s="61"/>
      <c r="KE163" s="61"/>
      <c r="KF163" s="61"/>
      <c r="KG163" s="61"/>
      <c r="KH163" s="61"/>
      <c r="KI163" s="61"/>
      <c r="KJ163" s="61"/>
      <c r="KK163" s="61"/>
      <c r="KL163" s="61"/>
      <c r="KM163" s="61"/>
      <c r="KN163" s="61"/>
      <c r="KO163" s="61"/>
      <c r="KP163" s="61"/>
      <c r="KQ163" s="61"/>
      <c r="KR163" s="61"/>
      <c r="KS163" s="61"/>
      <c r="KT163" s="61"/>
      <c r="KU163" s="61"/>
      <c r="KV163" s="61"/>
      <c r="KW163" s="61"/>
      <c r="KX163" s="61"/>
      <c r="KY163" s="61"/>
      <c r="KZ163" s="61"/>
      <c r="LA163" s="61"/>
      <c r="LB163" s="61"/>
      <c r="LC163" s="61"/>
      <c r="LD163" s="61"/>
      <c r="LE163" s="61"/>
      <c r="LF163" s="61"/>
      <c r="LG163" s="61"/>
      <c r="LH163" s="61"/>
      <c r="LI163" s="61"/>
      <c r="LJ163" s="61"/>
      <c r="LK163" s="61"/>
      <c r="LL163" s="61"/>
      <c r="LM163" s="61"/>
      <c r="LN163" s="61"/>
      <c r="LO163" s="61"/>
      <c r="LP163" s="61"/>
      <c r="LQ163" s="61"/>
      <c r="LR163" s="61"/>
      <c r="LS163" s="61"/>
      <c r="LT163" s="61"/>
      <c r="LU163" s="61"/>
      <c r="LV163" s="61"/>
      <c r="LW163" s="61"/>
      <c r="LX163" s="61"/>
      <c r="LY163" s="61"/>
      <c r="LZ163" s="61"/>
      <c r="MA163" s="61"/>
      <c r="MB163" s="61"/>
      <c r="MC163" s="61"/>
      <c r="MD163" s="61"/>
      <c r="ME163" s="61"/>
      <c r="MF163" s="61"/>
      <c r="MG163" s="61"/>
      <c r="MH163" s="61"/>
      <c r="MI163" s="61"/>
      <c r="MJ163" s="61"/>
      <c r="MK163" s="61"/>
      <c r="ML163" s="61"/>
      <c r="MM163" s="61"/>
      <c r="MN163" s="61"/>
      <c r="MO163" s="61"/>
      <c r="MP163" s="61"/>
      <c r="MQ163" s="61"/>
      <c r="MR163" s="61"/>
      <c r="MS163" s="61"/>
      <c r="MT163" s="61"/>
      <c r="MU163" s="61"/>
      <c r="MV163" s="61"/>
      <c r="MW163" s="61"/>
      <c r="MX163" s="61"/>
      <c r="MY163" s="61"/>
      <c r="MZ163" s="61"/>
      <c r="NA163" s="61"/>
      <c r="NB163" s="61"/>
      <c r="NC163" s="61"/>
      <c r="ND163" s="61"/>
      <c r="NE163" s="61"/>
      <c r="NF163" s="61"/>
      <c r="NG163" s="61"/>
      <c r="NH163" s="61"/>
      <c r="NI163" s="61"/>
      <c r="NJ163" s="61"/>
      <c r="NK163" s="61"/>
      <c r="NL163" s="61"/>
      <c r="NM163" s="61"/>
      <c r="NN163" s="61"/>
      <c r="NO163" s="61"/>
      <c r="NP163" s="61"/>
      <c r="NQ163" s="61"/>
      <c r="NR163" s="61"/>
      <c r="NS163" s="61"/>
      <c r="NT163" s="61"/>
      <c r="NU163" s="61"/>
      <c r="NV163" s="61"/>
      <c r="NW163" s="61"/>
      <c r="NX163" s="61"/>
      <c r="NY163" s="61"/>
      <c r="NZ163" s="61"/>
      <c r="OA163" s="61"/>
      <c r="OB163" s="61"/>
      <c r="OC163" s="61"/>
      <c r="OD163" s="61"/>
      <c r="OE163" s="61"/>
      <c r="OF163" s="61"/>
      <c r="OG163" s="61"/>
      <c r="OH163" s="61"/>
      <c r="OI163" s="61"/>
      <c r="OJ163" s="61"/>
      <c r="OK163" s="61"/>
      <c r="OL163" s="61"/>
      <c r="OM163" s="61"/>
      <c r="ON163" s="61"/>
      <c r="OO163" s="61"/>
      <c r="OP163" s="61"/>
      <c r="OQ163" s="61"/>
      <c r="OR163" s="61"/>
      <c r="OS163" s="61"/>
      <c r="OT163" s="61"/>
      <c r="OU163" s="61"/>
      <c r="OV163" s="61"/>
      <c r="OW163" s="61"/>
      <c r="OX163" s="61"/>
      <c r="OY163" s="61"/>
      <c r="OZ163" s="61"/>
      <c r="PA163" s="61"/>
      <c r="PB163" s="61"/>
      <c r="PC163" s="61"/>
      <c r="PD163" s="61"/>
      <c r="PE163" s="61"/>
      <c r="PF163" s="61"/>
      <c r="PG163" s="61"/>
      <c r="PH163" s="61"/>
      <c r="PI163" s="61"/>
      <c r="PJ163" s="61"/>
      <c r="PK163" s="61"/>
      <c r="PL163" s="61"/>
      <c r="PM163" s="61"/>
      <c r="PN163" s="61"/>
      <c r="PO163" s="61"/>
      <c r="PP163" s="61"/>
      <c r="PQ163" s="61"/>
      <c r="PR163" s="61"/>
      <c r="PS163" s="61"/>
      <c r="PT163" s="61"/>
      <c r="PU163" s="61"/>
      <c r="PV163" s="61"/>
      <c r="PW163" s="61"/>
      <c r="PX163" s="61"/>
      <c r="PY163" s="61"/>
      <c r="PZ163" s="61"/>
      <c r="QA163" s="61"/>
      <c r="QB163" s="61"/>
      <c r="QC163" s="61"/>
      <c r="QD163" s="61"/>
      <c r="QE163" s="61"/>
      <c r="QF163" s="61"/>
      <c r="QG163" s="61"/>
      <c r="QH163" s="61"/>
      <c r="QI163" s="61"/>
      <c r="QJ163" s="61"/>
      <c r="QK163" s="61"/>
      <c r="QL163" s="61"/>
      <c r="QM163" s="61"/>
      <c r="QN163" s="61"/>
      <c r="QO163" s="61"/>
      <c r="QP163" s="61"/>
      <c r="QQ163" s="61"/>
      <c r="QR163" s="61"/>
      <c r="QS163" s="61"/>
      <c r="QT163" s="61"/>
      <c r="QU163" s="61"/>
      <c r="QV163" s="61"/>
      <c r="QW163" s="61"/>
      <c r="QX163" s="61"/>
      <c r="QY163" s="61"/>
      <c r="QZ163" s="61"/>
      <c r="RA163" s="61"/>
      <c r="RB163" s="61"/>
      <c r="RC163" s="61"/>
      <c r="RD163" s="17"/>
    </row>
    <row r="164" spans="1:472" s="5" customFormat="1" hidden="1" x14ac:dyDescent="0.25">
      <c r="A164" s="5">
        <v>2080</v>
      </c>
      <c r="B164" s="5" t="s">
        <v>829</v>
      </c>
      <c r="C164" s="5" t="s">
        <v>230</v>
      </c>
      <c r="D164" s="5">
        <v>311</v>
      </c>
      <c r="E164" s="36"/>
      <c r="F164" s="64" t="s">
        <v>216</v>
      </c>
      <c r="G164" s="65"/>
      <c r="H164" s="19"/>
      <c r="I164" s="61"/>
      <c r="J164" s="61"/>
      <c r="K164" s="61"/>
      <c r="L164" s="61"/>
      <c r="M164" s="61"/>
      <c r="N164" s="61"/>
      <c r="O164" s="61"/>
      <c r="P164" s="61"/>
      <c r="Q164" s="61"/>
      <c r="R164" s="61"/>
      <c r="S164" s="61"/>
      <c r="T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1"/>
      <c r="DV164" s="61"/>
      <c r="DW164" s="61"/>
      <c r="DX164" s="61"/>
      <c r="DY164" s="61"/>
      <c r="DZ164" s="61"/>
      <c r="EA164" s="61"/>
      <c r="EB164" s="61"/>
      <c r="EC164" s="61"/>
      <c r="ED164" s="61"/>
      <c r="EE164" s="61"/>
      <c r="EF164" s="61"/>
      <c r="EG164" s="61"/>
      <c r="EH164" s="61"/>
      <c r="EI164" s="61"/>
      <c r="EJ164" s="61"/>
      <c r="EK164" s="61"/>
      <c r="EL164" s="61"/>
      <c r="EM164" s="61"/>
      <c r="EN164" s="61"/>
      <c r="EO164" s="61"/>
      <c r="EP164" s="61"/>
      <c r="EQ164" s="61"/>
      <c r="ER164" s="61"/>
      <c r="ES164" s="61"/>
      <c r="ET164" s="61"/>
      <c r="EU164" s="61"/>
      <c r="EV164" s="61"/>
      <c r="EW164" s="61"/>
      <c r="EX164" s="61"/>
      <c r="EY164" s="61"/>
      <c r="EZ164" s="61"/>
      <c r="FA164" s="61"/>
      <c r="FB164" s="61"/>
      <c r="FC164" s="61"/>
      <c r="FD164" s="61"/>
      <c r="FE164" s="61"/>
      <c r="FF164" s="61"/>
      <c r="FG164" s="61"/>
      <c r="FH164" s="61"/>
      <c r="FI164" s="61"/>
      <c r="FJ164" s="61"/>
      <c r="FK164" s="61"/>
      <c r="FL164" s="61"/>
      <c r="FM164" s="61"/>
      <c r="FN164" s="61"/>
      <c r="FO164" s="61"/>
      <c r="FP164" s="61"/>
      <c r="FQ164" s="61"/>
      <c r="FR164" s="61"/>
      <c r="FS164" s="61"/>
      <c r="FT164" s="61"/>
      <c r="FU164" s="61"/>
      <c r="FV164" s="61"/>
      <c r="FW164" s="61"/>
      <c r="FX164" s="61"/>
      <c r="FY164" s="61"/>
      <c r="FZ164" s="61"/>
      <c r="GA164" s="61"/>
      <c r="GB164" s="61"/>
      <c r="GC164" s="61"/>
      <c r="GD164" s="61">
        <v>1</v>
      </c>
      <c r="GE164" s="61"/>
      <c r="GF164" s="61">
        <v>3</v>
      </c>
      <c r="GG164" s="61"/>
      <c r="GH164" s="61">
        <v>5</v>
      </c>
      <c r="GI164" s="61"/>
      <c r="GJ164" s="61">
        <v>8</v>
      </c>
      <c r="GK164" s="61"/>
      <c r="GL164" s="61">
        <v>10</v>
      </c>
      <c r="GM164" s="61"/>
      <c r="GN164" s="61">
        <v>6</v>
      </c>
      <c r="GO164" s="61"/>
      <c r="GP164" s="61">
        <v>12</v>
      </c>
      <c r="GQ164" s="61"/>
      <c r="GR164" s="61">
        <v>15</v>
      </c>
      <c r="GS164" s="61"/>
      <c r="GT164" s="61">
        <v>15</v>
      </c>
      <c r="GU164" s="61"/>
      <c r="GV164" s="61">
        <v>17</v>
      </c>
      <c r="GW164" s="61"/>
      <c r="GX164" s="61">
        <v>15</v>
      </c>
      <c r="GY164" s="61"/>
      <c r="GZ164" s="61">
        <v>14</v>
      </c>
      <c r="HA164" s="61"/>
      <c r="HB164" s="61">
        <v>11</v>
      </c>
      <c r="HC164" s="61"/>
      <c r="HD164" s="61">
        <v>8</v>
      </c>
      <c r="HE164" s="61"/>
      <c r="HF164" s="61">
        <v>8</v>
      </c>
      <c r="HG164" s="61"/>
      <c r="HH164" s="61">
        <v>7</v>
      </c>
      <c r="HI164" s="61"/>
      <c r="HJ164" s="61">
        <v>10</v>
      </c>
      <c r="HK164" s="61"/>
      <c r="HL164" s="61">
        <v>8</v>
      </c>
      <c r="HM164" s="61"/>
      <c r="HN164" s="61">
        <v>7</v>
      </c>
      <c r="HO164" s="61"/>
      <c r="HP164" s="61">
        <v>4</v>
      </c>
      <c r="HQ164" s="61"/>
      <c r="HR164" s="61">
        <v>2</v>
      </c>
      <c r="HS164" s="61"/>
      <c r="HT164" s="61">
        <v>1</v>
      </c>
      <c r="HU164" s="61"/>
      <c r="HV164" s="61">
        <v>1</v>
      </c>
      <c r="HW164" s="61"/>
      <c r="HX164" s="61"/>
      <c r="HY164" s="61"/>
      <c r="HZ164" s="61"/>
      <c r="IA164" s="61"/>
      <c r="IB164" s="61"/>
      <c r="IC164" s="61"/>
      <c r="ID164" s="61"/>
      <c r="IE164" s="61"/>
      <c r="IF164" s="61"/>
      <c r="IG164" s="61"/>
      <c r="IH164" s="61"/>
      <c r="II164" s="61"/>
      <c r="IJ164" s="61"/>
      <c r="IK164" s="61"/>
      <c r="IL164" s="61"/>
      <c r="IM164" s="61"/>
      <c r="IN164" s="61"/>
      <c r="IO164" s="61"/>
      <c r="IP164" s="61"/>
      <c r="IQ164" s="61"/>
      <c r="IR164" s="61"/>
      <c r="IS164" s="61"/>
      <c r="IT164" s="61"/>
      <c r="IU164" s="61"/>
      <c r="IV164" s="61"/>
      <c r="IW164" s="61"/>
      <c r="IX164" s="61"/>
      <c r="IY164" s="61"/>
      <c r="IZ164" s="61"/>
      <c r="JA164" s="61"/>
      <c r="JB164" s="61"/>
      <c r="JC164" s="61"/>
      <c r="JD164" s="61"/>
      <c r="JE164" s="61"/>
      <c r="JF164" s="61"/>
      <c r="JG164" s="61"/>
      <c r="JH164" s="61"/>
      <c r="JI164" s="61"/>
      <c r="JJ164" s="61"/>
      <c r="JK164" s="61"/>
      <c r="JL164" s="61"/>
      <c r="JM164" s="61"/>
      <c r="JN164" s="61"/>
      <c r="JO164" s="61"/>
      <c r="JP164" s="61"/>
      <c r="JQ164" s="61"/>
      <c r="JR164" s="61"/>
      <c r="JS164" s="61"/>
      <c r="JT164" s="61"/>
      <c r="JU164" s="61"/>
      <c r="JV164" s="61"/>
      <c r="JW164" s="61"/>
      <c r="JX164" s="61"/>
      <c r="JY164" s="61"/>
      <c r="JZ164" s="61"/>
      <c r="KA164" s="61"/>
      <c r="KB164" s="61"/>
      <c r="KC164" s="61"/>
      <c r="KD164" s="61"/>
      <c r="KE164" s="61"/>
      <c r="KF164" s="61"/>
      <c r="KG164" s="61"/>
      <c r="KH164" s="61"/>
      <c r="KI164" s="61"/>
      <c r="KJ164" s="61"/>
      <c r="KK164" s="61"/>
      <c r="KL164" s="61"/>
      <c r="KM164" s="61"/>
      <c r="KN164" s="61"/>
      <c r="KO164" s="61"/>
      <c r="KP164" s="61"/>
      <c r="KQ164" s="61"/>
      <c r="KR164" s="61"/>
      <c r="KS164" s="61"/>
      <c r="KT164" s="61"/>
      <c r="KU164" s="61"/>
      <c r="KV164" s="61"/>
      <c r="KW164" s="61"/>
      <c r="KX164" s="61"/>
      <c r="KY164" s="61"/>
      <c r="KZ164" s="61"/>
      <c r="LA164" s="61"/>
      <c r="LB164" s="61"/>
      <c r="LC164" s="61"/>
      <c r="LD164" s="61"/>
      <c r="LE164" s="61"/>
      <c r="LF164" s="61"/>
      <c r="LG164" s="61"/>
      <c r="LH164" s="61"/>
      <c r="LI164" s="61"/>
      <c r="LJ164" s="61"/>
      <c r="LK164" s="61"/>
      <c r="LL164" s="61"/>
      <c r="LM164" s="61"/>
      <c r="LN164" s="61"/>
      <c r="LO164" s="61"/>
      <c r="LP164" s="61"/>
      <c r="LQ164" s="61"/>
      <c r="LR164" s="61"/>
      <c r="LS164" s="61"/>
      <c r="LT164" s="61"/>
      <c r="LU164" s="61"/>
      <c r="LV164" s="61"/>
      <c r="LW164" s="61"/>
      <c r="LX164" s="61"/>
      <c r="LY164" s="61"/>
      <c r="LZ164" s="61"/>
      <c r="MA164" s="61"/>
      <c r="MB164" s="61"/>
      <c r="MC164" s="61"/>
      <c r="MD164" s="61"/>
      <c r="ME164" s="61"/>
      <c r="MF164" s="61"/>
      <c r="MG164" s="61"/>
      <c r="MH164" s="61"/>
      <c r="MI164" s="61"/>
      <c r="MJ164" s="61"/>
      <c r="MK164" s="61"/>
      <c r="ML164" s="61"/>
      <c r="MM164" s="61"/>
      <c r="MN164" s="61"/>
      <c r="MO164" s="61"/>
      <c r="MP164" s="61"/>
      <c r="MQ164" s="61"/>
      <c r="MR164" s="61"/>
      <c r="MS164" s="61"/>
      <c r="MT164" s="61"/>
      <c r="MU164" s="61"/>
      <c r="MV164" s="61"/>
      <c r="MW164" s="61"/>
      <c r="MX164" s="61"/>
      <c r="MY164" s="61"/>
      <c r="MZ164" s="61"/>
      <c r="NA164" s="61"/>
      <c r="NB164" s="61"/>
      <c r="NC164" s="61"/>
      <c r="ND164" s="61"/>
      <c r="NE164" s="61"/>
      <c r="NF164" s="61"/>
      <c r="NG164" s="61"/>
      <c r="NH164" s="61"/>
      <c r="NI164" s="61"/>
      <c r="NJ164" s="61"/>
      <c r="NK164" s="61"/>
      <c r="NL164" s="61"/>
      <c r="NM164" s="61"/>
      <c r="NN164" s="61"/>
      <c r="NO164" s="61"/>
      <c r="NP164" s="61"/>
      <c r="NQ164" s="61"/>
      <c r="NR164" s="61"/>
      <c r="NS164" s="61"/>
      <c r="NT164" s="61"/>
      <c r="NU164" s="61"/>
      <c r="NV164" s="61"/>
      <c r="NW164" s="61"/>
      <c r="NX164" s="61"/>
      <c r="NY164" s="61"/>
      <c r="NZ164" s="61"/>
      <c r="OA164" s="61"/>
      <c r="OB164" s="61"/>
      <c r="OC164" s="61"/>
      <c r="OD164" s="61"/>
      <c r="OE164" s="61"/>
      <c r="OF164" s="61"/>
      <c r="OG164" s="61"/>
      <c r="OH164" s="61"/>
      <c r="OI164" s="61"/>
      <c r="OJ164" s="61"/>
      <c r="OK164" s="61"/>
      <c r="OL164" s="61"/>
      <c r="OM164" s="61"/>
      <c r="ON164" s="61"/>
      <c r="OO164" s="61"/>
      <c r="OP164" s="61"/>
      <c r="OQ164" s="61"/>
      <c r="OR164" s="61"/>
      <c r="OS164" s="61"/>
      <c r="OT164" s="61"/>
      <c r="OU164" s="61"/>
      <c r="OV164" s="61"/>
      <c r="OW164" s="61"/>
      <c r="OX164" s="61"/>
      <c r="OY164" s="61"/>
      <c r="OZ164" s="61"/>
      <c r="PA164" s="61"/>
      <c r="PB164" s="61"/>
      <c r="PC164" s="61"/>
      <c r="PD164" s="61"/>
      <c r="PE164" s="61"/>
      <c r="PF164" s="61"/>
      <c r="PG164" s="61"/>
      <c r="PH164" s="61"/>
      <c r="PI164" s="61"/>
      <c r="PJ164" s="61"/>
      <c r="PK164" s="61"/>
      <c r="PL164" s="61"/>
      <c r="PM164" s="61"/>
      <c r="PN164" s="61"/>
      <c r="PO164" s="61"/>
      <c r="PP164" s="61"/>
      <c r="PQ164" s="61"/>
      <c r="PR164" s="61"/>
      <c r="PS164" s="61"/>
      <c r="PT164" s="61"/>
      <c r="PU164" s="61"/>
      <c r="PV164" s="61"/>
      <c r="PW164" s="61"/>
      <c r="PX164" s="61"/>
      <c r="PY164" s="61"/>
      <c r="PZ164" s="61"/>
      <c r="QA164" s="61"/>
      <c r="QB164" s="61"/>
      <c r="QC164" s="61"/>
      <c r="QD164" s="61"/>
      <c r="QE164" s="61"/>
      <c r="QF164" s="61"/>
      <c r="QG164" s="61"/>
      <c r="QH164" s="61"/>
      <c r="QI164" s="61"/>
      <c r="QJ164" s="61"/>
      <c r="QK164" s="61"/>
      <c r="QL164" s="61"/>
      <c r="QM164" s="61"/>
      <c r="QN164" s="61"/>
      <c r="QO164" s="61"/>
      <c r="QP164" s="61"/>
      <c r="QQ164" s="61"/>
      <c r="QR164" s="61"/>
      <c r="QS164" s="61"/>
      <c r="QT164" s="61"/>
      <c r="QU164" s="61"/>
      <c r="QV164" s="61"/>
      <c r="QW164" s="61"/>
      <c r="QX164" s="61"/>
      <c r="QY164" s="61"/>
      <c r="QZ164" s="61"/>
      <c r="RA164" s="61"/>
      <c r="RB164" s="61"/>
      <c r="RC164" s="61"/>
      <c r="RD164" s="17"/>
    </row>
    <row r="165" spans="1:472" s="5" customFormat="1" hidden="1" x14ac:dyDescent="0.25">
      <c r="A165" s="5">
        <v>2088</v>
      </c>
      <c r="B165" s="5" t="s">
        <v>889</v>
      </c>
      <c r="C165" s="5" t="s">
        <v>3</v>
      </c>
      <c r="D165" s="5">
        <v>178</v>
      </c>
      <c r="E165" s="36"/>
      <c r="F165" s="64" t="s">
        <v>216</v>
      </c>
      <c r="G165" s="65"/>
      <c r="H165" s="19"/>
      <c r="I165" s="61"/>
      <c r="J165" s="61"/>
      <c r="K165" s="61"/>
      <c r="L165" s="61"/>
      <c r="M165" s="61"/>
      <c r="N165" s="61"/>
      <c r="O165" s="61"/>
      <c r="P165" s="61"/>
      <c r="Q165" s="61"/>
      <c r="R165" s="61"/>
      <c r="S165" s="61"/>
      <c r="T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1"/>
      <c r="DV165" s="61"/>
      <c r="DW165" s="61"/>
      <c r="DX165" s="61"/>
      <c r="DY165" s="61"/>
      <c r="DZ165" s="61"/>
      <c r="EA165" s="61"/>
      <c r="EB165" s="61"/>
      <c r="EC165" s="61"/>
      <c r="ED165" s="61"/>
      <c r="EE165" s="61"/>
      <c r="EF165" s="61"/>
      <c r="EG165" s="61"/>
      <c r="EH165" s="61"/>
      <c r="EI165" s="61"/>
      <c r="EJ165" s="61"/>
      <c r="EK165" s="61"/>
      <c r="EL165" s="61"/>
      <c r="EM165" s="61"/>
      <c r="EN165" s="61"/>
      <c r="EO165" s="61"/>
      <c r="EP165" s="61"/>
      <c r="EQ165" s="61"/>
      <c r="ER165" s="61"/>
      <c r="ES165" s="61"/>
      <c r="ET165" s="61"/>
      <c r="EU165" s="61"/>
      <c r="EV165" s="61"/>
      <c r="EW165" s="61"/>
      <c r="EX165" s="61"/>
      <c r="EY165" s="61"/>
      <c r="EZ165" s="61"/>
      <c r="FA165" s="61"/>
      <c r="FB165" s="61"/>
      <c r="FC165" s="61"/>
      <c r="FD165" s="61"/>
      <c r="FE165" s="61"/>
      <c r="FF165" s="61"/>
      <c r="FG165" s="61"/>
      <c r="FH165" s="61"/>
      <c r="FI165" s="61"/>
      <c r="FJ165" s="61"/>
      <c r="FK165" s="61"/>
      <c r="FL165" s="61"/>
      <c r="FM165" s="61"/>
      <c r="FN165" s="61"/>
      <c r="FO165" s="61"/>
      <c r="FP165" s="61"/>
      <c r="FQ165" s="61"/>
      <c r="FR165" s="61"/>
      <c r="FS165" s="61"/>
      <c r="FT165" s="61"/>
      <c r="FU165" s="61"/>
      <c r="FV165" s="61"/>
      <c r="FW165" s="61"/>
      <c r="FX165" s="61"/>
      <c r="FY165" s="61"/>
      <c r="FZ165" s="61"/>
      <c r="GA165" s="61"/>
      <c r="GB165" s="61"/>
      <c r="GC165" s="61"/>
      <c r="GD165" s="61"/>
      <c r="GE165" s="61"/>
      <c r="GF165" s="61"/>
      <c r="GG165" s="61"/>
      <c r="GH165" s="61">
        <v>1</v>
      </c>
      <c r="GI165" s="61"/>
      <c r="GJ165" s="61">
        <v>2</v>
      </c>
      <c r="GK165" s="61"/>
      <c r="GL165" s="61">
        <v>2</v>
      </c>
      <c r="GM165" s="61"/>
      <c r="GN165" s="61">
        <v>3</v>
      </c>
      <c r="GO165" s="61"/>
      <c r="GP165" s="61">
        <v>7</v>
      </c>
      <c r="GQ165" s="61"/>
      <c r="GR165" s="61">
        <v>10</v>
      </c>
      <c r="GS165" s="61"/>
      <c r="GT165" s="61">
        <v>12</v>
      </c>
      <c r="GU165" s="61"/>
      <c r="GV165" s="61">
        <v>12</v>
      </c>
      <c r="GW165" s="61"/>
      <c r="GX165" s="61">
        <v>16</v>
      </c>
      <c r="GY165" s="61"/>
      <c r="GZ165" s="61">
        <v>14</v>
      </c>
      <c r="HA165" s="61"/>
      <c r="HB165" s="61">
        <v>11</v>
      </c>
      <c r="HC165" s="61"/>
      <c r="HD165" s="61">
        <v>9</v>
      </c>
      <c r="HE165" s="61"/>
      <c r="HF165" s="61">
        <v>9</v>
      </c>
      <c r="HG165" s="61"/>
      <c r="HH165" s="61">
        <v>8</v>
      </c>
      <c r="HI165" s="61"/>
      <c r="HJ165" s="61">
        <v>7</v>
      </c>
      <c r="HK165" s="61"/>
      <c r="HL165" s="61">
        <v>7</v>
      </c>
      <c r="HM165" s="61"/>
      <c r="HN165" s="61">
        <v>7</v>
      </c>
      <c r="HO165" s="61"/>
      <c r="HP165" s="61">
        <v>4</v>
      </c>
      <c r="HQ165" s="61"/>
      <c r="HR165" s="61">
        <v>5</v>
      </c>
      <c r="HS165" s="61"/>
      <c r="HT165" s="61">
        <v>2</v>
      </c>
      <c r="HU165" s="61"/>
      <c r="HV165" s="61">
        <v>1</v>
      </c>
      <c r="HW165" s="61"/>
      <c r="HX165" s="61"/>
      <c r="HY165" s="61"/>
      <c r="HZ165" s="61"/>
      <c r="IA165" s="61"/>
      <c r="IB165" s="61"/>
      <c r="IC165" s="61"/>
      <c r="ID165" s="61"/>
      <c r="IE165" s="61"/>
      <c r="IF165" s="61"/>
      <c r="IG165" s="61"/>
      <c r="IH165" s="61"/>
      <c r="II165" s="61"/>
      <c r="IJ165" s="61"/>
      <c r="IK165" s="61"/>
      <c r="IL165" s="61"/>
      <c r="IM165" s="61"/>
      <c r="IN165" s="61"/>
      <c r="IO165" s="61"/>
      <c r="IP165" s="61"/>
      <c r="IQ165" s="61"/>
      <c r="IR165" s="61"/>
      <c r="IS165" s="61"/>
      <c r="IT165" s="61"/>
      <c r="IU165" s="61"/>
      <c r="IV165" s="61"/>
      <c r="IW165" s="61"/>
      <c r="IX165" s="61"/>
      <c r="IY165" s="61"/>
      <c r="IZ165" s="61"/>
      <c r="JA165" s="61"/>
      <c r="JB165" s="61"/>
      <c r="JC165" s="61"/>
      <c r="JD165" s="61"/>
      <c r="JE165" s="61"/>
      <c r="JF165" s="61"/>
      <c r="JG165" s="61"/>
      <c r="JH165" s="61"/>
      <c r="JI165" s="61"/>
      <c r="JJ165" s="61"/>
      <c r="JK165" s="61"/>
      <c r="JL165" s="61"/>
      <c r="JM165" s="61"/>
      <c r="JN165" s="61"/>
      <c r="JO165" s="61"/>
      <c r="JP165" s="61"/>
      <c r="JQ165" s="61"/>
      <c r="JR165" s="61"/>
      <c r="JS165" s="61"/>
      <c r="JT165" s="61"/>
      <c r="JU165" s="61"/>
      <c r="JV165" s="61"/>
      <c r="JW165" s="61"/>
      <c r="JX165" s="61"/>
      <c r="JY165" s="61"/>
      <c r="JZ165" s="61"/>
      <c r="KA165" s="61"/>
      <c r="KB165" s="61"/>
      <c r="KC165" s="61"/>
      <c r="KD165" s="61"/>
      <c r="KE165" s="61"/>
      <c r="KF165" s="61"/>
      <c r="KG165" s="61"/>
      <c r="KH165" s="61"/>
      <c r="KI165" s="61"/>
      <c r="KJ165" s="61"/>
      <c r="KK165" s="61"/>
      <c r="KL165" s="61"/>
      <c r="KM165" s="61"/>
      <c r="KN165" s="61"/>
      <c r="KO165" s="61"/>
      <c r="KP165" s="61"/>
      <c r="KQ165" s="61"/>
      <c r="KR165" s="61"/>
      <c r="KS165" s="61"/>
      <c r="KT165" s="61"/>
      <c r="KU165" s="61"/>
      <c r="KV165" s="61"/>
      <c r="KW165" s="61"/>
      <c r="KX165" s="61"/>
      <c r="KY165" s="61"/>
      <c r="KZ165" s="61"/>
      <c r="LA165" s="61"/>
      <c r="LB165" s="61"/>
      <c r="LC165" s="61"/>
      <c r="LD165" s="61"/>
      <c r="LE165" s="61"/>
      <c r="LF165" s="61"/>
      <c r="LG165" s="61"/>
      <c r="LH165" s="61"/>
      <c r="LI165" s="61"/>
      <c r="LJ165" s="61"/>
      <c r="LK165" s="61"/>
      <c r="LL165" s="61"/>
      <c r="LM165" s="61"/>
      <c r="LN165" s="61"/>
      <c r="LO165" s="61"/>
      <c r="LP165" s="61"/>
      <c r="LQ165" s="61"/>
      <c r="LR165" s="61"/>
      <c r="LS165" s="61"/>
      <c r="LT165" s="61"/>
      <c r="LU165" s="61"/>
      <c r="LV165" s="61"/>
      <c r="LW165" s="61"/>
      <c r="LX165" s="61"/>
      <c r="LY165" s="61"/>
      <c r="LZ165" s="61"/>
      <c r="MA165" s="61"/>
      <c r="MB165" s="61"/>
      <c r="MC165" s="61"/>
      <c r="MD165" s="61"/>
      <c r="ME165" s="61"/>
      <c r="MF165" s="61"/>
      <c r="MG165" s="61"/>
      <c r="MH165" s="61"/>
      <c r="MI165" s="61"/>
      <c r="MJ165" s="61"/>
      <c r="MK165" s="61"/>
      <c r="ML165" s="61"/>
      <c r="MM165" s="61"/>
      <c r="MN165" s="61"/>
      <c r="MO165" s="61"/>
      <c r="MP165" s="61"/>
      <c r="MQ165" s="61"/>
      <c r="MR165" s="61"/>
      <c r="MS165" s="61"/>
      <c r="MT165" s="61"/>
      <c r="MU165" s="61"/>
      <c r="MV165" s="61"/>
      <c r="MW165" s="61"/>
      <c r="MX165" s="61"/>
      <c r="MY165" s="61"/>
      <c r="MZ165" s="61"/>
      <c r="NA165" s="61"/>
      <c r="NB165" s="61"/>
      <c r="NC165" s="61"/>
      <c r="ND165" s="61"/>
      <c r="NE165" s="61"/>
      <c r="NF165" s="61"/>
      <c r="NG165" s="61"/>
      <c r="NH165" s="61"/>
      <c r="NI165" s="61"/>
      <c r="NJ165" s="61"/>
      <c r="NK165" s="61"/>
      <c r="NL165" s="61"/>
      <c r="NM165" s="61"/>
      <c r="NN165" s="61"/>
      <c r="NO165" s="61"/>
      <c r="NP165" s="61"/>
      <c r="NQ165" s="61"/>
      <c r="NR165" s="61"/>
      <c r="NS165" s="61"/>
      <c r="NT165" s="61"/>
      <c r="NU165" s="61"/>
      <c r="NV165" s="61"/>
      <c r="NW165" s="61"/>
      <c r="NX165" s="61"/>
      <c r="NY165" s="61"/>
      <c r="NZ165" s="61"/>
      <c r="OA165" s="61"/>
      <c r="OB165" s="61"/>
      <c r="OC165" s="61"/>
      <c r="OD165" s="61"/>
      <c r="OE165" s="61"/>
      <c r="OF165" s="61"/>
      <c r="OG165" s="61"/>
      <c r="OH165" s="61"/>
      <c r="OI165" s="61"/>
      <c r="OJ165" s="61"/>
      <c r="OK165" s="61"/>
      <c r="OL165" s="61"/>
      <c r="OM165" s="61"/>
      <c r="ON165" s="61"/>
      <c r="OO165" s="61"/>
      <c r="OP165" s="61"/>
      <c r="OQ165" s="61"/>
      <c r="OR165" s="61"/>
      <c r="OS165" s="61"/>
      <c r="OT165" s="61"/>
      <c r="OU165" s="61"/>
      <c r="OV165" s="61"/>
      <c r="OW165" s="61"/>
      <c r="OX165" s="61"/>
      <c r="OY165" s="61"/>
      <c r="OZ165" s="61"/>
      <c r="PA165" s="61"/>
      <c r="PB165" s="61"/>
      <c r="PC165" s="61"/>
      <c r="PD165" s="61"/>
      <c r="PE165" s="61"/>
      <c r="PF165" s="61"/>
      <c r="PG165" s="61"/>
      <c r="PH165" s="61"/>
      <c r="PI165" s="61"/>
      <c r="PJ165" s="61"/>
      <c r="PK165" s="61"/>
      <c r="PL165" s="61"/>
      <c r="PM165" s="61"/>
      <c r="PN165" s="61"/>
      <c r="PO165" s="61"/>
      <c r="PP165" s="61"/>
      <c r="PQ165" s="61"/>
      <c r="PR165" s="61"/>
      <c r="PS165" s="61"/>
      <c r="PT165" s="61"/>
      <c r="PU165" s="61"/>
      <c r="PV165" s="61"/>
      <c r="PW165" s="61"/>
      <c r="PX165" s="61"/>
      <c r="PY165" s="61"/>
      <c r="PZ165" s="61"/>
      <c r="QA165" s="61"/>
      <c r="QB165" s="61"/>
      <c r="QC165" s="61"/>
      <c r="QD165" s="61"/>
      <c r="QE165" s="61"/>
      <c r="QF165" s="61"/>
      <c r="QG165" s="61"/>
      <c r="QH165" s="61"/>
      <c r="QI165" s="61"/>
      <c r="QJ165" s="61"/>
      <c r="QK165" s="61"/>
      <c r="QL165" s="61"/>
      <c r="QM165" s="61"/>
      <c r="QN165" s="61"/>
      <c r="QO165" s="61"/>
      <c r="QP165" s="61"/>
      <c r="QQ165" s="61"/>
      <c r="QR165" s="61"/>
      <c r="QS165" s="61"/>
      <c r="QT165" s="61"/>
      <c r="QU165" s="61"/>
      <c r="QV165" s="61"/>
      <c r="QW165" s="61"/>
      <c r="QX165" s="61"/>
      <c r="QY165" s="61"/>
      <c r="QZ165" s="61"/>
      <c r="RA165" s="61"/>
      <c r="RB165" s="61"/>
      <c r="RC165" s="61"/>
      <c r="RD165" s="17"/>
    </row>
    <row r="166" spans="1:472" s="5" customFormat="1" hidden="1" x14ac:dyDescent="0.25">
      <c r="A166" s="5">
        <v>2086</v>
      </c>
      <c r="B166" s="5" t="s">
        <v>832</v>
      </c>
      <c r="C166" s="5" t="s">
        <v>230</v>
      </c>
      <c r="D166" s="5">
        <v>207</v>
      </c>
      <c r="E166" s="36"/>
      <c r="F166" s="64" t="s">
        <v>216</v>
      </c>
      <c r="G166" s="65"/>
      <c r="H166" s="19"/>
      <c r="I166" s="17"/>
      <c r="J166" s="17"/>
      <c r="K166" s="17"/>
      <c r="L166" s="17"/>
      <c r="M166" s="17"/>
      <c r="N166" s="17"/>
      <c r="O166" s="17"/>
      <c r="P166" s="17"/>
      <c r="Q166" s="17"/>
      <c r="R166" s="17"/>
      <c r="S166" s="17"/>
      <c r="T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c r="ER166" s="17"/>
      <c r="ES166" s="17"/>
      <c r="ET166" s="17"/>
      <c r="EU166" s="17"/>
      <c r="EV166" s="17"/>
      <c r="EW166" s="17"/>
      <c r="EX166" s="17"/>
      <c r="EY166" s="17"/>
      <c r="EZ166" s="17"/>
      <c r="FA166" s="17"/>
      <c r="FB166" s="17"/>
      <c r="FC166" s="17"/>
      <c r="FD166" s="17"/>
      <c r="FE166" s="17"/>
      <c r="FF166" s="61"/>
      <c r="FG166" s="61"/>
      <c r="FH166" s="61"/>
      <c r="FI166" s="61"/>
      <c r="FJ166" s="61"/>
      <c r="FK166" s="61"/>
      <c r="FL166" s="61"/>
      <c r="FM166" s="61"/>
      <c r="FN166" s="61"/>
      <c r="FO166" s="61"/>
      <c r="FP166" s="61"/>
      <c r="FQ166" s="61"/>
      <c r="FR166" s="61"/>
      <c r="FS166" s="61"/>
      <c r="FT166" s="61"/>
      <c r="FU166" s="61"/>
      <c r="FV166" s="61"/>
      <c r="FW166" s="61"/>
      <c r="FX166" s="61"/>
      <c r="FY166" s="61"/>
      <c r="FZ166" s="61"/>
      <c r="GA166" s="61"/>
      <c r="GB166" s="61"/>
      <c r="GC166" s="61"/>
      <c r="GD166" s="61">
        <v>2</v>
      </c>
      <c r="GE166" s="61"/>
      <c r="GF166" s="61">
        <v>3</v>
      </c>
      <c r="GG166" s="61"/>
      <c r="GH166" s="61">
        <v>4</v>
      </c>
      <c r="GI166" s="61"/>
      <c r="GJ166" s="61">
        <v>6</v>
      </c>
      <c r="GK166" s="61"/>
      <c r="GL166" s="61">
        <v>9</v>
      </c>
      <c r="GM166" s="61"/>
      <c r="GN166" s="61">
        <v>4</v>
      </c>
      <c r="GO166" s="61"/>
      <c r="GP166" s="61">
        <v>10</v>
      </c>
      <c r="GQ166" s="61"/>
      <c r="GR166" s="61">
        <v>12</v>
      </c>
      <c r="GS166" s="61"/>
      <c r="GT166" s="61">
        <v>12</v>
      </c>
      <c r="GU166" s="61"/>
      <c r="GV166" s="61">
        <v>14</v>
      </c>
      <c r="GW166" s="61"/>
      <c r="GX166" s="61">
        <v>16</v>
      </c>
      <c r="GY166" s="61"/>
      <c r="GZ166" s="61">
        <v>14</v>
      </c>
      <c r="HA166" s="61"/>
      <c r="HB166" s="61">
        <v>12</v>
      </c>
      <c r="HC166" s="61"/>
      <c r="HD166" s="61">
        <v>10</v>
      </c>
      <c r="HE166" s="61"/>
      <c r="HF166" s="61">
        <v>15</v>
      </c>
      <c r="HG166" s="61"/>
      <c r="HH166" s="61">
        <v>15</v>
      </c>
      <c r="HI166" s="61"/>
      <c r="HJ166" s="61">
        <v>11</v>
      </c>
      <c r="HK166" s="61"/>
      <c r="HL166" s="61">
        <v>9</v>
      </c>
      <c r="HM166" s="61"/>
      <c r="HN166" s="61">
        <v>8</v>
      </c>
      <c r="HO166" s="61"/>
      <c r="HP166" s="61">
        <v>7</v>
      </c>
      <c r="HQ166" s="61"/>
      <c r="HR166" s="61">
        <v>2</v>
      </c>
      <c r="HS166" s="61"/>
      <c r="HT166" s="61">
        <v>2</v>
      </c>
      <c r="HU166" s="61"/>
      <c r="HV166" s="61">
        <v>1</v>
      </c>
      <c r="HW166" s="61"/>
      <c r="HX166" s="61">
        <v>1</v>
      </c>
      <c r="HY166" s="61"/>
      <c r="HZ166" s="61"/>
      <c r="IA166" s="61"/>
      <c r="IB166" s="61"/>
      <c r="IC166" s="61"/>
      <c r="ID166" s="61"/>
      <c r="IE166" s="61"/>
      <c r="IF166" s="61"/>
      <c r="IG166" s="61"/>
      <c r="IH166" s="61"/>
      <c r="II166" s="61"/>
      <c r="IJ166" s="61"/>
      <c r="IK166" s="61"/>
      <c r="IL166" s="61"/>
      <c r="IM166" s="61"/>
      <c r="IN166" s="61"/>
      <c r="IO166" s="61"/>
      <c r="IP166" s="61"/>
      <c r="IQ166" s="61"/>
      <c r="IR166" s="61"/>
      <c r="IS166" s="61"/>
      <c r="IT166" s="61"/>
      <c r="IU166" s="61"/>
      <c r="IV166" s="61"/>
      <c r="IW166" s="61"/>
      <c r="IX166" s="61"/>
      <c r="IY166" s="61"/>
      <c r="IZ166" s="61"/>
      <c r="JA166" s="61"/>
      <c r="JB166" s="61"/>
      <c r="JC166" s="61"/>
      <c r="JD166" s="61"/>
      <c r="JE166" s="61"/>
      <c r="JF166" s="61"/>
      <c r="JG166" s="61"/>
      <c r="JH166" s="61"/>
      <c r="JI166" s="61"/>
      <c r="JJ166" s="61"/>
      <c r="JK166" s="61"/>
      <c r="JL166" s="61"/>
      <c r="JM166" s="61"/>
      <c r="JN166" s="61"/>
      <c r="JO166" s="61"/>
      <c r="JP166" s="61"/>
      <c r="JQ166" s="61"/>
      <c r="JR166" s="61"/>
      <c r="JS166" s="61"/>
      <c r="JT166" s="61"/>
      <c r="JU166" s="61"/>
      <c r="JV166" s="61"/>
      <c r="JW166" s="61"/>
      <c r="JX166" s="61"/>
      <c r="JY166" s="61"/>
      <c r="JZ166" s="61"/>
      <c r="KA166" s="61"/>
      <c r="KB166" s="61"/>
      <c r="KC166" s="61"/>
      <c r="KD166" s="61"/>
      <c r="KE166" s="61"/>
      <c r="KF166" s="61"/>
      <c r="KG166" s="61"/>
      <c r="KH166" s="61"/>
      <c r="KI166" s="61"/>
      <c r="KJ166" s="61"/>
      <c r="KK166" s="61"/>
      <c r="KL166" s="61"/>
      <c r="KM166" s="61"/>
      <c r="KN166" s="61"/>
      <c r="KO166" s="61"/>
      <c r="KP166" s="61"/>
      <c r="KQ166" s="61"/>
      <c r="KR166" s="61"/>
      <c r="KS166" s="61"/>
      <c r="KT166" s="61"/>
      <c r="KU166" s="61"/>
      <c r="KV166" s="61"/>
      <c r="KW166" s="61"/>
      <c r="KX166" s="61"/>
      <c r="KY166" s="61"/>
      <c r="KZ166" s="61"/>
      <c r="LA166" s="61"/>
      <c r="LB166" s="61"/>
      <c r="LC166" s="61"/>
      <c r="LD166" s="61"/>
      <c r="LE166" s="61"/>
      <c r="LF166" s="61"/>
      <c r="LG166" s="61"/>
      <c r="LH166" s="61"/>
      <c r="LI166" s="61"/>
      <c r="LJ166" s="61"/>
      <c r="LK166" s="61"/>
      <c r="LL166" s="61"/>
      <c r="LM166" s="61"/>
      <c r="LN166" s="61"/>
      <c r="LO166" s="61"/>
      <c r="LP166" s="61"/>
      <c r="LQ166" s="61"/>
      <c r="LR166" s="61"/>
      <c r="LS166" s="61"/>
      <c r="LT166" s="61"/>
      <c r="LU166" s="61"/>
      <c r="LV166" s="61"/>
      <c r="LW166" s="61"/>
      <c r="LX166" s="61"/>
      <c r="LY166" s="61"/>
      <c r="LZ166" s="61"/>
      <c r="MA166" s="61"/>
      <c r="MB166" s="61"/>
      <c r="MC166" s="61"/>
      <c r="MD166" s="61"/>
      <c r="ME166" s="61"/>
      <c r="MF166" s="61"/>
      <c r="MG166" s="61"/>
      <c r="MH166" s="61"/>
      <c r="MI166" s="61"/>
      <c r="MJ166" s="61"/>
      <c r="MK166" s="61"/>
      <c r="ML166" s="61"/>
      <c r="MM166" s="61"/>
      <c r="MN166" s="61"/>
      <c r="MO166" s="61"/>
      <c r="MP166" s="61"/>
      <c r="MQ166" s="61"/>
      <c r="MR166" s="61"/>
      <c r="MS166" s="61"/>
      <c r="MT166" s="61"/>
      <c r="MU166" s="61"/>
      <c r="MV166" s="61"/>
      <c r="MW166" s="61"/>
      <c r="MX166" s="61"/>
      <c r="MY166" s="61"/>
      <c r="MZ166" s="61"/>
      <c r="NA166" s="61"/>
      <c r="NB166" s="61"/>
      <c r="NC166" s="61"/>
      <c r="ND166" s="61"/>
      <c r="NE166" s="61"/>
      <c r="NF166" s="61"/>
      <c r="NG166" s="61"/>
      <c r="NH166" s="61"/>
      <c r="NI166" s="61"/>
      <c r="NJ166" s="61"/>
      <c r="NK166" s="61"/>
      <c r="NL166" s="61"/>
      <c r="NM166" s="61"/>
      <c r="NN166" s="61"/>
      <c r="NO166" s="61"/>
      <c r="NP166" s="61"/>
      <c r="NQ166" s="61"/>
      <c r="NR166" s="61"/>
      <c r="NS166" s="61"/>
      <c r="NT166" s="61"/>
      <c r="NU166" s="61"/>
      <c r="NV166" s="61"/>
      <c r="NW166" s="61"/>
      <c r="NX166" s="61"/>
      <c r="NY166" s="61"/>
      <c r="NZ166" s="61"/>
      <c r="OA166" s="61"/>
      <c r="OB166" s="61"/>
      <c r="OC166" s="61"/>
      <c r="OD166" s="61"/>
      <c r="OE166" s="61"/>
      <c r="OF166" s="61"/>
      <c r="OG166" s="61"/>
      <c r="OH166" s="61"/>
      <c r="OI166" s="61"/>
      <c r="OJ166" s="61"/>
      <c r="OK166" s="61"/>
      <c r="OL166" s="61"/>
      <c r="OM166" s="61"/>
      <c r="ON166" s="61"/>
      <c r="OO166" s="61"/>
      <c r="OP166" s="61"/>
      <c r="OQ166" s="61"/>
      <c r="OR166" s="61"/>
      <c r="OS166" s="61"/>
      <c r="OT166" s="61"/>
      <c r="OU166" s="61"/>
      <c r="OV166" s="61"/>
      <c r="OW166" s="61"/>
      <c r="OX166" s="61"/>
      <c r="OY166" s="61"/>
      <c r="OZ166" s="61"/>
      <c r="PA166" s="61"/>
      <c r="PB166" s="61"/>
      <c r="PC166" s="61"/>
      <c r="PD166" s="61"/>
      <c r="PE166" s="61"/>
      <c r="PF166" s="61"/>
      <c r="PG166" s="61"/>
      <c r="PH166" s="61"/>
      <c r="PI166" s="61"/>
      <c r="PJ166" s="61"/>
      <c r="PK166" s="61"/>
      <c r="PL166" s="61"/>
      <c r="PM166" s="61"/>
      <c r="PN166" s="61"/>
      <c r="PO166" s="61"/>
      <c r="PP166" s="61"/>
      <c r="PQ166" s="61"/>
      <c r="PR166" s="61"/>
      <c r="PS166" s="61"/>
      <c r="PT166" s="61"/>
      <c r="PU166" s="61"/>
      <c r="PV166" s="61"/>
      <c r="PW166" s="61"/>
      <c r="PX166" s="61"/>
      <c r="PY166" s="61"/>
      <c r="PZ166" s="61"/>
      <c r="QA166" s="61"/>
      <c r="QB166" s="61"/>
      <c r="QC166" s="61"/>
      <c r="QD166" s="61"/>
      <c r="QE166" s="61"/>
      <c r="QF166" s="61"/>
      <c r="QG166" s="61"/>
      <c r="QH166" s="61"/>
      <c r="QI166" s="61"/>
      <c r="QJ166" s="61"/>
      <c r="QK166" s="61"/>
      <c r="QL166" s="61"/>
      <c r="QM166" s="61"/>
      <c r="QN166" s="61"/>
      <c r="QO166" s="61"/>
      <c r="QP166" s="61"/>
      <c r="QQ166" s="61"/>
      <c r="QR166" s="61"/>
      <c r="QS166" s="61"/>
      <c r="QT166" s="61"/>
      <c r="QU166" s="61"/>
      <c r="QV166" s="61"/>
      <c r="QW166" s="61"/>
      <c r="QX166" s="61"/>
      <c r="QY166" s="61"/>
      <c r="QZ166" s="61"/>
      <c r="RA166" s="61"/>
      <c r="RB166" s="61"/>
      <c r="RC166" s="61"/>
      <c r="RD166" s="17"/>
    </row>
    <row r="167" spans="1:472" s="5" customFormat="1" hidden="1" x14ac:dyDescent="0.25">
      <c r="A167" s="5">
        <v>2082</v>
      </c>
      <c r="B167" s="5" t="s">
        <v>696</v>
      </c>
      <c r="C167" s="5" t="s">
        <v>369</v>
      </c>
      <c r="D167" s="5">
        <v>235</v>
      </c>
      <c r="E167" s="36"/>
      <c r="F167" s="64" t="s">
        <v>216</v>
      </c>
      <c r="G167" s="65"/>
      <c r="H167" s="19"/>
      <c r="I167" s="61"/>
      <c r="J167" s="61"/>
      <c r="K167" s="61"/>
      <c r="L167" s="61"/>
      <c r="M167" s="61"/>
      <c r="N167" s="61"/>
      <c r="O167" s="61"/>
      <c r="P167" s="61"/>
      <c r="Q167" s="61"/>
      <c r="R167" s="61"/>
      <c r="S167" s="61"/>
      <c r="T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1"/>
      <c r="DV167" s="61"/>
      <c r="DW167" s="61"/>
      <c r="DX167" s="61"/>
      <c r="DY167" s="61"/>
      <c r="DZ167" s="61"/>
      <c r="EA167" s="61"/>
      <c r="EB167" s="61"/>
      <c r="EC167" s="61"/>
      <c r="ED167" s="61"/>
      <c r="EE167" s="61"/>
      <c r="EF167" s="61"/>
      <c r="EG167" s="61"/>
      <c r="EH167" s="61"/>
      <c r="EI167" s="61"/>
      <c r="EJ167" s="61"/>
      <c r="EK167" s="61"/>
      <c r="EL167" s="61"/>
      <c r="EM167" s="61"/>
      <c r="EN167" s="61"/>
      <c r="EO167" s="61"/>
      <c r="EP167" s="61"/>
      <c r="EQ167" s="61"/>
      <c r="ER167" s="61"/>
      <c r="ES167" s="61"/>
      <c r="ET167" s="61"/>
      <c r="EU167" s="61"/>
      <c r="EV167" s="61"/>
      <c r="EW167" s="61"/>
      <c r="EX167" s="61"/>
      <c r="EY167" s="61"/>
      <c r="EZ167" s="61"/>
      <c r="FA167" s="61"/>
      <c r="FB167" s="61"/>
      <c r="FC167" s="61"/>
      <c r="FD167" s="61"/>
      <c r="FE167" s="61"/>
      <c r="FF167" s="61"/>
      <c r="FG167" s="61"/>
      <c r="FH167" s="61"/>
      <c r="FI167" s="61"/>
      <c r="FJ167" s="61">
        <v>1</v>
      </c>
      <c r="FK167" s="61"/>
      <c r="FL167" s="61">
        <v>2</v>
      </c>
      <c r="FM167" s="61"/>
      <c r="FN167" s="61">
        <v>2</v>
      </c>
      <c r="FO167" s="61"/>
      <c r="FP167" s="61">
        <v>2</v>
      </c>
      <c r="FQ167" s="61"/>
      <c r="FR167" s="61">
        <v>4</v>
      </c>
      <c r="FS167" s="61"/>
      <c r="FT167" s="61">
        <v>8</v>
      </c>
      <c r="FU167" s="61"/>
      <c r="FV167" s="61">
        <v>5</v>
      </c>
      <c r="FW167" s="61"/>
      <c r="FX167" s="61">
        <v>9</v>
      </c>
      <c r="FY167" s="61"/>
      <c r="FZ167" s="61"/>
      <c r="GA167" s="61"/>
      <c r="GB167" s="61"/>
      <c r="GC167" s="61"/>
      <c r="GD167" s="61">
        <v>3</v>
      </c>
      <c r="GE167" s="61"/>
      <c r="GF167" s="61">
        <v>10</v>
      </c>
      <c r="GG167" s="61"/>
      <c r="GH167" s="61">
        <v>10</v>
      </c>
      <c r="GI167" s="61"/>
      <c r="GJ167" s="61">
        <v>9</v>
      </c>
      <c r="GK167" s="61"/>
      <c r="GL167" s="61">
        <v>6</v>
      </c>
      <c r="GM167" s="61"/>
      <c r="GN167" s="61">
        <v>16</v>
      </c>
      <c r="GO167" s="61"/>
      <c r="GP167" s="61">
        <v>15</v>
      </c>
      <c r="GQ167" s="61"/>
      <c r="GR167" s="61">
        <v>15</v>
      </c>
      <c r="GS167" s="61"/>
      <c r="GT167" s="61">
        <v>11</v>
      </c>
      <c r="GU167" s="61"/>
      <c r="GV167" s="61">
        <v>8</v>
      </c>
      <c r="GW167" s="61"/>
      <c r="GX167" s="61">
        <v>6</v>
      </c>
      <c r="GY167" s="61"/>
      <c r="GZ167" s="61">
        <v>5</v>
      </c>
      <c r="HA167" s="61"/>
      <c r="HB167" s="61">
        <v>4</v>
      </c>
      <c r="HC167" s="61"/>
      <c r="HD167" s="61">
        <v>3</v>
      </c>
      <c r="HE167" s="61"/>
      <c r="HF167" s="61">
        <v>3</v>
      </c>
      <c r="HG167" s="61"/>
      <c r="HH167" s="61">
        <v>2</v>
      </c>
      <c r="HI167" s="61"/>
      <c r="HJ167" s="61">
        <v>6</v>
      </c>
      <c r="HK167" s="61"/>
      <c r="HL167" s="61">
        <v>8</v>
      </c>
      <c r="HM167" s="61"/>
      <c r="HN167" s="61">
        <v>5</v>
      </c>
      <c r="HO167" s="61"/>
      <c r="HP167" s="61">
        <v>4</v>
      </c>
      <c r="HQ167" s="61"/>
      <c r="HR167" s="61">
        <v>3</v>
      </c>
      <c r="HS167" s="61"/>
      <c r="HT167" s="61">
        <v>1</v>
      </c>
      <c r="HU167" s="61"/>
      <c r="HV167" s="61">
        <v>2</v>
      </c>
      <c r="HW167" s="61"/>
      <c r="HX167" s="61">
        <v>1</v>
      </c>
      <c r="HY167" s="61"/>
      <c r="HZ167" s="61">
        <v>1</v>
      </c>
      <c r="IA167" s="61"/>
      <c r="IB167" s="61"/>
      <c r="IC167" s="61"/>
      <c r="ID167" s="61"/>
      <c r="IE167" s="61"/>
      <c r="IF167" s="61"/>
      <c r="IG167" s="61"/>
      <c r="IH167" s="61"/>
      <c r="II167" s="61"/>
      <c r="IJ167" s="61"/>
      <c r="IK167" s="61"/>
      <c r="IL167" s="61"/>
      <c r="IM167" s="61"/>
      <c r="IN167" s="61"/>
      <c r="IO167" s="61"/>
      <c r="IP167" s="61"/>
      <c r="IQ167" s="61"/>
      <c r="IR167" s="61"/>
      <c r="IS167" s="61"/>
      <c r="IT167" s="61"/>
      <c r="IU167" s="61"/>
      <c r="IV167" s="61"/>
      <c r="IW167" s="61"/>
      <c r="IX167" s="61"/>
      <c r="IY167" s="61"/>
      <c r="IZ167" s="61"/>
      <c r="JA167" s="61"/>
      <c r="JB167" s="61"/>
      <c r="JC167" s="61"/>
      <c r="JD167" s="61"/>
      <c r="JE167" s="61"/>
      <c r="JF167" s="61"/>
      <c r="JG167" s="61"/>
      <c r="JH167" s="61"/>
      <c r="JI167" s="61"/>
      <c r="JJ167" s="61"/>
      <c r="JK167" s="61"/>
      <c r="JL167" s="61"/>
      <c r="JM167" s="61"/>
      <c r="JN167" s="61"/>
      <c r="JO167" s="61"/>
      <c r="JP167" s="61"/>
      <c r="JQ167" s="61"/>
      <c r="JR167" s="61"/>
      <c r="JS167" s="61"/>
      <c r="JT167" s="61"/>
      <c r="JU167" s="61"/>
      <c r="JV167" s="61"/>
      <c r="JW167" s="61"/>
      <c r="JX167" s="61"/>
      <c r="JY167" s="61"/>
      <c r="JZ167" s="61"/>
      <c r="KA167" s="61"/>
      <c r="KB167" s="61"/>
      <c r="KC167" s="61"/>
      <c r="KD167" s="61"/>
      <c r="KE167" s="61"/>
      <c r="KF167" s="61"/>
      <c r="KG167" s="61"/>
      <c r="KH167" s="61"/>
      <c r="KI167" s="61"/>
      <c r="KJ167" s="61"/>
      <c r="KK167" s="61"/>
      <c r="KL167" s="61"/>
      <c r="KM167" s="61"/>
      <c r="KN167" s="61"/>
      <c r="KO167" s="61"/>
      <c r="KP167" s="61"/>
      <c r="KQ167" s="61"/>
      <c r="KR167" s="61"/>
      <c r="KS167" s="61"/>
      <c r="KT167" s="61"/>
      <c r="KU167" s="61"/>
      <c r="KV167" s="61"/>
      <c r="KW167" s="61"/>
      <c r="KX167" s="61"/>
      <c r="KY167" s="61"/>
      <c r="KZ167" s="61"/>
      <c r="LA167" s="61"/>
      <c r="LB167" s="61"/>
      <c r="LC167" s="61"/>
      <c r="LD167" s="61"/>
      <c r="LE167" s="61"/>
      <c r="LF167" s="61"/>
      <c r="LG167" s="61"/>
      <c r="LH167" s="61"/>
      <c r="LI167" s="61"/>
      <c r="LJ167" s="61"/>
      <c r="LK167" s="61"/>
      <c r="LL167" s="61"/>
      <c r="LM167" s="61"/>
      <c r="LN167" s="61"/>
      <c r="LO167" s="61"/>
      <c r="LP167" s="61"/>
      <c r="LQ167" s="61"/>
      <c r="LR167" s="61"/>
      <c r="LS167" s="61"/>
      <c r="LT167" s="61"/>
      <c r="LU167" s="61"/>
      <c r="LV167" s="61"/>
      <c r="LW167" s="61"/>
      <c r="LX167" s="61"/>
      <c r="LY167" s="61"/>
      <c r="LZ167" s="61"/>
      <c r="MA167" s="61"/>
      <c r="MB167" s="61"/>
      <c r="MC167" s="61"/>
      <c r="MD167" s="61"/>
      <c r="ME167" s="61"/>
      <c r="MF167" s="61"/>
      <c r="MG167" s="61"/>
      <c r="MH167" s="61"/>
      <c r="MI167" s="61"/>
      <c r="MJ167" s="61"/>
      <c r="MK167" s="61"/>
      <c r="ML167" s="61"/>
      <c r="MM167" s="61"/>
      <c r="MN167" s="61"/>
      <c r="MO167" s="61"/>
      <c r="MP167" s="61"/>
      <c r="MQ167" s="61"/>
      <c r="MR167" s="61"/>
      <c r="MS167" s="61"/>
      <c r="MT167" s="61"/>
      <c r="MU167" s="61"/>
      <c r="MV167" s="61"/>
      <c r="MW167" s="61"/>
      <c r="MX167" s="61"/>
      <c r="MY167" s="61"/>
      <c r="MZ167" s="61"/>
      <c r="NA167" s="61"/>
      <c r="NB167" s="61"/>
      <c r="NC167" s="61"/>
      <c r="ND167" s="61"/>
      <c r="NE167" s="61"/>
      <c r="NF167" s="61"/>
      <c r="NG167" s="61"/>
      <c r="NH167" s="61"/>
      <c r="NI167" s="61"/>
      <c r="NJ167" s="61"/>
      <c r="NK167" s="61"/>
      <c r="NL167" s="61"/>
      <c r="NM167" s="61"/>
      <c r="NN167" s="61"/>
      <c r="NO167" s="61"/>
      <c r="NP167" s="61"/>
      <c r="NQ167" s="61"/>
      <c r="NR167" s="61"/>
      <c r="NS167" s="61"/>
      <c r="NT167" s="61"/>
      <c r="NU167" s="61"/>
      <c r="NV167" s="61"/>
      <c r="NW167" s="61"/>
      <c r="NX167" s="61"/>
      <c r="NY167" s="61"/>
      <c r="NZ167" s="61"/>
      <c r="OA167" s="61"/>
      <c r="OB167" s="61"/>
      <c r="OC167" s="61"/>
      <c r="OD167" s="61"/>
      <c r="OE167" s="61"/>
      <c r="OF167" s="61"/>
      <c r="OG167" s="61"/>
      <c r="OH167" s="61"/>
      <c r="OI167" s="61"/>
      <c r="OJ167" s="61"/>
      <c r="OK167" s="61"/>
      <c r="OL167" s="61"/>
      <c r="OM167" s="61"/>
      <c r="ON167" s="61"/>
      <c r="OO167" s="61"/>
      <c r="OP167" s="61"/>
      <c r="OQ167" s="61"/>
      <c r="OR167" s="61"/>
      <c r="OS167" s="61"/>
      <c r="OT167" s="61"/>
      <c r="OU167" s="61"/>
      <c r="OV167" s="61"/>
      <c r="OW167" s="61"/>
      <c r="OX167" s="61"/>
      <c r="OY167" s="61"/>
      <c r="OZ167" s="61"/>
      <c r="PA167" s="61"/>
      <c r="PB167" s="61"/>
      <c r="PC167" s="61"/>
      <c r="PD167" s="61"/>
      <c r="PE167" s="61"/>
      <c r="PF167" s="61"/>
      <c r="PG167" s="61"/>
      <c r="PH167" s="61"/>
      <c r="PI167" s="61"/>
      <c r="PJ167" s="61"/>
      <c r="PK167" s="61"/>
      <c r="PL167" s="61"/>
      <c r="PM167" s="61"/>
      <c r="PN167" s="61"/>
      <c r="PO167" s="61"/>
      <c r="PP167" s="61"/>
      <c r="PQ167" s="61"/>
      <c r="PR167" s="61"/>
      <c r="PS167" s="61"/>
      <c r="PT167" s="61"/>
      <c r="PU167" s="61"/>
      <c r="PV167" s="61"/>
      <c r="PW167" s="61"/>
      <c r="PX167" s="61"/>
      <c r="PY167" s="61"/>
      <c r="PZ167" s="61"/>
      <c r="QA167" s="61"/>
      <c r="QB167" s="61"/>
      <c r="QC167" s="61"/>
      <c r="QD167" s="61"/>
      <c r="QE167" s="61"/>
      <c r="QF167" s="61"/>
      <c r="QG167" s="61"/>
      <c r="QH167" s="61"/>
      <c r="QI167" s="61"/>
      <c r="QJ167" s="61"/>
      <c r="QK167" s="61"/>
      <c r="QL167" s="61"/>
      <c r="QM167" s="61"/>
      <c r="QN167" s="61"/>
      <c r="QO167" s="61"/>
      <c r="QP167" s="61"/>
      <c r="QQ167" s="61"/>
      <c r="QR167" s="61"/>
      <c r="QS167" s="61"/>
      <c r="QT167" s="61"/>
      <c r="QU167" s="61"/>
      <c r="QV167" s="61"/>
      <c r="QW167" s="61"/>
      <c r="QX167" s="61"/>
      <c r="QY167" s="61"/>
      <c r="QZ167" s="61"/>
      <c r="RA167" s="61"/>
      <c r="RB167" s="61"/>
      <c r="RC167" s="61"/>
      <c r="RD167" s="17"/>
    </row>
    <row r="168" spans="1:472" s="5" customFormat="1" hidden="1" x14ac:dyDescent="0.25">
      <c r="A168" s="5">
        <v>2090</v>
      </c>
      <c r="B168" s="5" t="s">
        <v>866</v>
      </c>
      <c r="C168" s="5" t="s">
        <v>165</v>
      </c>
      <c r="D168" s="5">
        <v>78</v>
      </c>
      <c r="E168" s="36"/>
      <c r="F168" s="44" t="s">
        <v>216</v>
      </c>
      <c r="G168" s="45"/>
      <c r="H168" s="19"/>
      <c r="I168" s="17"/>
      <c r="J168" s="17"/>
      <c r="K168" s="17"/>
      <c r="L168" s="17"/>
      <c r="M168" s="17"/>
      <c r="N168" s="17"/>
      <c r="O168" s="17"/>
      <c r="P168" s="17"/>
      <c r="Q168" s="17"/>
      <c r="R168" s="17"/>
      <c r="S168" s="17"/>
      <c r="T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c r="EC168" s="17"/>
      <c r="ED168" s="17"/>
      <c r="EE168" s="17"/>
      <c r="EF168" s="17"/>
      <c r="EG168" s="17"/>
      <c r="EH168" s="17"/>
      <c r="EI168" s="17"/>
      <c r="EJ168" s="17"/>
      <c r="EK168" s="17"/>
      <c r="EL168" s="17"/>
      <c r="EM168" s="17"/>
      <c r="EN168" s="17"/>
      <c r="EO168" s="17"/>
      <c r="EP168" s="17"/>
      <c r="EQ168" s="17"/>
      <c r="ER168" s="17"/>
      <c r="ES168" s="17"/>
      <c r="ET168" s="17"/>
      <c r="EU168" s="17"/>
      <c r="EV168" s="17"/>
      <c r="EW168" s="17"/>
      <c r="EX168" s="17"/>
      <c r="EY168" s="17"/>
      <c r="EZ168" s="17"/>
      <c r="FA168" s="17"/>
      <c r="FB168" s="17"/>
      <c r="FC168" s="17"/>
      <c r="FD168" s="17"/>
      <c r="FE168" s="17"/>
      <c r="FF168" s="17"/>
      <c r="FG168" s="17"/>
      <c r="FH168" s="17"/>
      <c r="FI168" s="17"/>
      <c r="FJ168" s="17"/>
      <c r="FK168" s="17"/>
      <c r="FL168" s="17"/>
      <c r="FM168" s="17"/>
      <c r="FN168" s="17"/>
      <c r="FO168" s="17"/>
      <c r="FP168" s="17"/>
      <c r="FQ168" s="17"/>
      <c r="FR168" s="17"/>
      <c r="FS168" s="17"/>
      <c r="FT168" s="17"/>
      <c r="FU168" s="17"/>
      <c r="FV168" s="17"/>
      <c r="FW168" s="17"/>
      <c r="FX168" s="17"/>
      <c r="FY168" s="17"/>
      <c r="FZ168" s="61"/>
      <c r="GA168" s="61"/>
      <c r="GB168" s="61"/>
      <c r="GC168" s="61"/>
      <c r="GD168" s="61"/>
      <c r="GE168" s="61"/>
      <c r="GF168" s="61"/>
      <c r="GG168" s="61"/>
      <c r="GH168" s="61"/>
      <c r="GI168" s="61"/>
      <c r="GJ168" s="61"/>
      <c r="GK168" s="61"/>
      <c r="GL168" s="61"/>
      <c r="GM168" s="61"/>
      <c r="GN168" s="61"/>
      <c r="GO168" s="61"/>
      <c r="GP168" s="61"/>
      <c r="GQ168" s="61"/>
      <c r="GR168" s="61"/>
      <c r="GS168" s="61"/>
      <c r="GT168" s="61">
        <v>1</v>
      </c>
      <c r="GU168" s="61"/>
      <c r="GV168" s="61">
        <v>2</v>
      </c>
      <c r="GW168" s="61"/>
      <c r="GX168" s="61">
        <v>2</v>
      </c>
      <c r="GY168" s="61"/>
      <c r="GZ168" s="61">
        <v>4</v>
      </c>
      <c r="HA168" s="61"/>
      <c r="HB168" s="61">
        <v>4</v>
      </c>
      <c r="HC168" s="61"/>
      <c r="HD168" s="61">
        <v>4</v>
      </c>
      <c r="HE168" s="61"/>
      <c r="HF168" s="61">
        <v>4</v>
      </c>
      <c r="HG168" s="61"/>
      <c r="HH168" s="61">
        <v>6</v>
      </c>
      <c r="HI168" s="61"/>
      <c r="HJ168" s="61">
        <v>7</v>
      </c>
      <c r="HK168" s="61"/>
      <c r="HL168" s="61">
        <v>4</v>
      </c>
      <c r="HM168" s="61"/>
      <c r="HN168" s="61">
        <v>4</v>
      </c>
      <c r="HO168" s="61"/>
      <c r="HP168" s="61">
        <v>5</v>
      </c>
      <c r="HQ168" s="61"/>
      <c r="HR168" s="61">
        <v>3</v>
      </c>
      <c r="HS168" s="61"/>
      <c r="HT168" s="61">
        <v>3</v>
      </c>
      <c r="HU168" s="61"/>
      <c r="HV168" s="61">
        <v>2</v>
      </c>
      <c r="HW168" s="61"/>
      <c r="HX168" s="61">
        <v>2</v>
      </c>
      <c r="HY168" s="61"/>
      <c r="HZ168" s="61">
        <v>2</v>
      </c>
      <c r="IA168" s="61"/>
      <c r="IB168" s="61">
        <v>1</v>
      </c>
      <c r="IC168" s="61"/>
      <c r="ID168" s="61">
        <v>1</v>
      </c>
      <c r="IE168" s="61"/>
      <c r="IF168" s="61">
        <v>1</v>
      </c>
      <c r="IG168" s="61"/>
      <c r="IH168" s="61"/>
      <c r="II168" s="61"/>
      <c r="IJ168" s="61"/>
      <c r="IK168" s="61"/>
      <c r="IL168" s="61"/>
      <c r="IM168" s="61"/>
      <c r="IN168" s="61"/>
      <c r="IO168" s="61"/>
      <c r="IP168" s="61"/>
      <c r="IQ168" s="61"/>
      <c r="IR168" s="61"/>
      <c r="IS168" s="61"/>
      <c r="IT168" s="61"/>
      <c r="IU168" s="61"/>
      <c r="IV168" s="61"/>
      <c r="IW168" s="61"/>
      <c r="IX168" s="61"/>
      <c r="IY168" s="61"/>
      <c r="IZ168" s="61"/>
      <c r="JA168" s="61"/>
      <c r="JB168" s="61"/>
      <c r="JC168" s="61"/>
      <c r="JD168" s="61"/>
      <c r="JE168" s="61"/>
      <c r="JF168" s="61"/>
      <c r="JG168" s="61"/>
      <c r="JH168" s="61"/>
      <c r="JI168" s="61"/>
      <c r="JJ168" s="61"/>
      <c r="JK168" s="61"/>
      <c r="JL168" s="61"/>
      <c r="JM168" s="61"/>
      <c r="JN168" s="61"/>
      <c r="JO168" s="61"/>
      <c r="JP168" s="61"/>
      <c r="JQ168" s="61"/>
      <c r="JR168" s="61"/>
      <c r="JS168" s="61"/>
      <c r="JT168" s="61"/>
      <c r="JU168" s="61"/>
      <c r="JV168" s="61"/>
      <c r="JW168" s="61"/>
      <c r="JX168" s="61"/>
      <c r="JY168" s="61"/>
      <c r="JZ168" s="61"/>
      <c r="KA168" s="61"/>
      <c r="KB168" s="61"/>
      <c r="KC168" s="61"/>
      <c r="KD168" s="61"/>
      <c r="KE168" s="61"/>
      <c r="KF168" s="61"/>
      <c r="KG168" s="61"/>
      <c r="KH168" s="61"/>
      <c r="KI168" s="61"/>
      <c r="KJ168" s="61"/>
      <c r="KK168" s="61"/>
      <c r="KL168" s="61"/>
      <c r="KM168" s="61"/>
      <c r="KN168" s="61"/>
      <c r="KO168" s="61"/>
      <c r="KP168" s="61"/>
      <c r="KQ168" s="61"/>
      <c r="KR168" s="61"/>
      <c r="KS168" s="61"/>
      <c r="KT168" s="61"/>
      <c r="KU168" s="61"/>
      <c r="KV168" s="61"/>
      <c r="KW168" s="61"/>
      <c r="KX168" s="61"/>
      <c r="KY168" s="61"/>
      <c r="KZ168" s="61"/>
      <c r="LA168" s="61"/>
      <c r="LB168" s="61"/>
      <c r="LC168" s="61"/>
      <c r="LD168" s="61"/>
      <c r="LE168" s="61"/>
      <c r="LF168" s="61"/>
      <c r="LG168" s="61"/>
      <c r="LH168" s="61"/>
      <c r="LI168" s="61"/>
      <c r="LJ168" s="61"/>
      <c r="LK168" s="61"/>
      <c r="LL168" s="61"/>
      <c r="LM168" s="61"/>
      <c r="LN168" s="61"/>
      <c r="LO168" s="61"/>
      <c r="LP168" s="61"/>
      <c r="LQ168" s="61"/>
      <c r="LR168" s="61"/>
      <c r="LS168" s="61"/>
      <c r="LT168" s="61"/>
      <c r="LU168" s="61"/>
      <c r="LV168" s="61"/>
      <c r="LW168" s="61"/>
      <c r="LX168" s="61"/>
      <c r="LY168" s="61"/>
      <c r="LZ168" s="61"/>
      <c r="MA168" s="61"/>
      <c r="MB168" s="61"/>
      <c r="MC168" s="61"/>
      <c r="MD168" s="61"/>
      <c r="ME168" s="61"/>
      <c r="MF168" s="61"/>
      <c r="MG168" s="61"/>
      <c r="MH168" s="61"/>
      <c r="MI168" s="61"/>
      <c r="MJ168" s="61"/>
      <c r="MK168" s="61"/>
      <c r="ML168" s="61"/>
      <c r="MM168" s="61"/>
      <c r="MN168" s="61"/>
      <c r="MO168" s="61"/>
      <c r="MP168" s="61"/>
      <c r="MQ168" s="61"/>
      <c r="MR168" s="61"/>
      <c r="MS168" s="61"/>
      <c r="MT168" s="61"/>
      <c r="MU168" s="61"/>
      <c r="MV168" s="61"/>
      <c r="MW168" s="61"/>
      <c r="MX168" s="61"/>
      <c r="MY168" s="61"/>
      <c r="MZ168" s="61"/>
      <c r="NA168" s="61"/>
      <c r="NB168" s="61"/>
      <c r="NC168" s="61"/>
      <c r="ND168" s="61"/>
      <c r="NE168" s="61"/>
      <c r="NF168" s="61"/>
      <c r="NG168" s="61"/>
      <c r="NH168" s="61"/>
      <c r="NI168" s="61"/>
      <c r="NJ168" s="61"/>
      <c r="NK168" s="61"/>
      <c r="NL168" s="61"/>
      <c r="NM168" s="61"/>
      <c r="NN168" s="61"/>
      <c r="NO168" s="61"/>
      <c r="NP168" s="61"/>
      <c r="NQ168" s="61"/>
      <c r="NR168" s="61"/>
      <c r="NS168" s="61"/>
      <c r="NT168" s="61"/>
      <c r="NU168" s="61"/>
      <c r="NV168" s="61"/>
      <c r="NW168" s="61"/>
      <c r="NX168" s="61"/>
      <c r="NY168" s="61"/>
      <c r="NZ168" s="61"/>
      <c r="OA168" s="61"/>
      <c r="OB168" s="61"/>
      <c r="OC168" s="61"/>
      <c r="OD168" s="61"/>
      <c r="OE168" s="61"/>
      <c r="OF168" s="61"/>
      <c r="OG168" s="61"/>
      <c r="OH168" s="61"/>
      <c r="OI168" s="61"/>
      <c r="OJ168" s="61"/>
      <c r="OK168" s="61"/>
      <c r="OL168" s="61"/>
      <c r="OM168" s="61"/>
      <c r="ON168" s="61"/>
      <c r="OO168" s="61"/>
      <c r="OP168" s="61"/>
      <c r="OQ168" s="61"/>
      <c r="OR168" s="61"/>
      <c r="OS168" s="61"/>
      <c r="OT168" s="61"/>
      <c r="OU168" s="61"/>
      <c r="OV168" s="61"/>
      <c r="OW168" s="61"/>
      <c r="OX168" s="61"/>
      <c r="OY168" s="61"/>
      <c r="OZ168" s="61"/>
      <c r="PA168" s="61"/>
      <c r="PB168" s="61"/>
      <c r="PC168" s="61"/>
      <c r="PD168" s="61"/>
      <c r="PE168" s="61"/>
      <c r="PF168" s="61"/>
      <c r="PG168" s="61"/>
      <c r="PH168" s="61"/>
      <c r="PI168" s="61"/>
      <c r="PJ168" s="61"/>
      <c r="PK168" s="61"/>
      <c r="PL168" s="61"/>
      <c r="PM168" s="61"/>
      <c r="PN168" s="61"/>
      <c r="PO168" s="61"/>
      <c r="PP168" s="61"/>
      <c r="PQ168" s="61"/>
      <c r="PR168" s="61"/>
      <c r="PS168" s="61"/>
      <c r="PT168" s="61"/>
      <c r="PU168" s="61"/>
      <c r="PV168" s="61"/>
      <c r="PW168" s="61"/>
      <c r="PX168" s="61"/>
      <c r="PY168" s="61"/>
      <c r="PZ168" s="61"/>
      <c r="QA168" s="61"/>
      <c r="QB168" s="61"/>
      <c r="QC168" s="61"/>
      <c r="QD168" s="61"/>
      <c r="QE168" s="61"/>
      <c r="QF168" s="61"/>
      <c r="QG168" s="61"/>
      <c r="QH168" s="61"/>
      <c r="QI168" s="61"/>
      <c r="QJ168" s="61"/>
      <c r="QK168" s="61"/>
      <c r="QL168" s="61"/>
      <c r="QM168" s="61"/>
      <c r="QN168" s="61"/>
      <c r="QO168" s="61"/>
      <c r="QP168" s="61"/>
      <c r="QQ168" s="61"/>
      <c r="QR168" s="61"/>
      <c r="QS168" s="61"/>
      <c r="QT168" s="61"/>
      <c r="QU168" s="61"/>
      <c r="QV168" s="61"/>
      <c r="QW168" s="61"/>
      <c r="QX168" s="61"/>
      <c r="QY168" s="61"/>
      <c r="QZ168" s="61"/>
      <c r="RA168" s="61"/>
      <c r="RB168" s="61"/>
      <c r="RC168" s="61"/>
      <c r="RD168" s="17"/>
    </row>
    <row r="169" spans="1:472" s="5" customFormat="1" hidden="1" x14ac:dyDescent="0.25">
      <c r="A169" s="5">
        <v>2084</v>
      </c>
      <c r="B169" s="5" t="s">
        <v>792</v>
      </c>
      <c r="C169" s="5" t="s">
        <v>369</v>
      </c>
      <c r="D169" s="5">
        <v>195</v>
      </c>
      <c r="E169" s="36"/>
      <c r="F169" s="64" t="s">
        <v>216</v>
      </c>
      <c r="G169" s="65"/>
      <c r="H169" s="19"/>
      <c r="I169" s="61"/>
      <c r="J169" s="61"/>
      <c r="K169" s="61"/>
      <c r="L169" s="61"/>
      <c r="M169" s="61"/>
      <c r="N169" s="61"/>
      <c r="O169" s="61"/>
      <c r="P169" s="61"/>
      <c r="Q169" s="61"/>
      <c r="R169" s="61"/>
      <c r="S169" s="61"/>
      <c r="T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1"/>
      <c r="DV169" s="61"/>
      <c r="DW169" s="61"/>
      <c r="DX169" s="61"/>
      <c r="DY169" s="61"/>
      <c r="DZ169" s="61"/>
      <c r="EA169" s="61"/>
      <c r="EB169" s="61"/>
      <c r="EC169" s="61"/>
      <c r="ED169" s="61"/>
      <c r="EE169" s="61"/>
      <c r="EF169" s="61"/>
      <c r="EG169" s="61"/>
      <c r="EH169" s="61"/>
      <c r="EI169" s="61"/>
      <c r="EJ169" s="61"/>
      <c r="EK169" s="61"/>
      <c r="EL169" s="61"/>
      <c r="EM169" s="61"/>
      <c r="EN169" s="61"/>
      <c r="EO169" s="61"/>
      <c r="EP169" s="61"/>
      <c r="EQ169" s="61"/>
      <c r="ER169" s="61"/>
      <c r="ES169" s="61"/>
      <c r="ET169" s="61"/>
      <c r="EU169" s="61"/>
      <c r="EV169" s="61"/>
      <c r="EW169" s="61"/>
      <c r="EX169" s="61"/>
      <c r="EY169" s="61"/>
      <c r="EZ169" s="61"/>
      <c r="FA169" s="61"/>
      <c r="FB169" s="61"/>
      <c r="FC169" s="61"/>
      <c r="FD169" s="61"/>
      <c r="FE169" s="61"/>
      <c r="FF169" s="61"/>
      <c r="FG169" s="61"/>
      <c r="FH169" s="61"/>
      <c r="FI169" s="61"/>
      <c r="FJ169" s="61"/>
      <c r="FK169" s="61"/>
      <c r="FL169" s="61"/>
      <c r="FM169" s="61"/>
      <c r="FN169" s="61"/>
      <c r="FO169" s="61"/>
      <c r="FP169" s="61"/>
      <c r="FQ169" s="61"/>
      <c r="FR169" s="61"/>
      <c r="FS169" s="61"/>
      <c r="FT169" s="61"/>
      <c r="FU169" s="61"/>
      <c r="FV169" s="61"/>
      <c r="FW169" s="61"/>
      <c r="FX169" s="61"/>
      <c r="FY169" s="61"/>
      <c r="FZ169" s="61"/>
      <c r="GA169" s="61"/>
      <c r="GB169" s="61"/>
      <c r="GC169" s="61"/>
      <c r="GD169" s="61">
        <v>1</v>
      </c>
      <c r="GE169" s="61"/>
      <c r="GF169" s="61">
        <v>3</v>
      </c>
      <c r="GG169" s="61"/>
      <c r="GH169" s="61">
        <v>3</v>
      </c>
      <c r="GI169" s="61"/>
      <c r="GJ169" s="61">
        <v>4</v>
      </c>
      <c r="GK169" s="61"/>
      <c r="GL169" s="61">
        <v>6</v>
      </c>
      <c r="GM169" s="61"/>
      <c r="GN169" s="61">
        <v>1</v>
      </c>
      <c r="GO169" s="61"/>
      <c r="GP169" s="61">
        <v>2</v>
      </c>
      <c r="GQ169" s="61"/>
      <c r="GR169" s="61">
        <v>4</v>
      </c>
      <c r="GS169" s="61"/>
      <c r="GT169" s="61">
        <v>5</v>
      </c>
      <c r="GU169" s="61"/>
      <c r="GV169" s="61">
        <v>5</v>
      </c>
      <c r="GW169" s="61"/>
      <c r="GX169" s="61">
        <v>5</v>
      </c>
      <c r="GY169" s="61"/>
      <c r="GZ169" s="61">
        <v>10</v>
      </c>
      <c r="HA169" s="61"/>
      <c r="HB169" s="61">
        <v>11</v>
      </c>
      <c r="HC169" s="61"/>
      <c r="HD169" s="61">
        <v>11</v>
      </c>
      <c r="HE169" s="61"/>
      <c r="HF169" s="61">
        <v>15</v>
      </c>
      <c r="HG169" s="61"/>
      <c r="HH169" s="61">
        <v>12</v>
      </c>
      <c r="HI169" s="61"/>
      <c r="HJ169" s="61">
        <v>12</v>
      </c>
      <c r="HK169" s="61"/>
      <c r="HL169" s="61">
        <v>10</v>
      </c>
      <c r="HM169" s="61"/>
      <c r="HN169" s="61">
        <v>11</v>
      </c>
      <c r="HO169" s="61"/>
      <c r="HP169" s="61">
        <v>11</v>
      </c>
      <c r="HQ169" s="61"/>
      <c r="HR169" s="61">
        <v>10</v>
      </c>
      <c r="HS169" s="61"/>
      <c r="HT169" s="61">
        <v>7</v>
      </c>
      <c r="HU169" s="61"/>
      <c r="HV169" s="61">
        <v>7</v>
      </c>
      <c r="HW169" s="61"/>
      <c r="HX169" s="61">
        <v>4</v>
      </c>
      <c r="HY169" s="61"/>
      <c r="HZ169" s="61">
        <v>5</v>
      </c>
      <c r="IA169" s="61"/>
      <c r="IB169" s="61">
        <v>5</v>
      </c>
      <c r="IC169" s="61"/>
      <c r="ID169" s="61">
        <v>5</v>
      </c>
      <c r="IE169" s="61"/>
      <c r="IF169" s="61">
        <v>1</v>
      </c>
      <c r="IG169" s="61"/>
      <c r="IH169" s="61"/>
      <c r="II169" s="61"/>
      <c r="IJ169" s="61"/>
      <c r="IK169" s="61"/>
      <c r="IL169" s="61"/>
      <c r="IM169" s="61"/>
      <c r="IN169" s="61"/>
      <c r="IO169" s="61"/>
      <c r="IP169" s="61"/>
      <c r="IQ169" s="61"/>
      <c r="IR169" s="61"/>
      <c r="IS169" s="61"/>
      <c r="IT169" s="61"/>
      <c r="IU169" s="61"/>
      <c r="IV169" s="61"/>
      <c r="IW169" s="61"/>
      <c r="IX169" s="61"/>
      <c r="IY169" s="61"/>
      <c r="IZ169" s="61"/>
      <c r="JA169" s="61"/>
      <c r="JB169" s="61"/>
      <c r="JC169" s="61"/>
      <c r="JD169" s="61"/>
      <c r="JE169" s="61"/>
      <c r="JF169" s="61"/>
      <c r="JG169" s="61"/>
      <c r="JH169" s="61"/>
      <c r="JI169" s="61"/>
      <c r="JJ169" s="61"/>
      <c r="JK169" s="61"/>
      <c r="JL169" s="61"/>
      <c r="JM169" s="61"/>
      <c r="JN169" s="61"/>
      <c r="JO169" s="61"/>
      <c r="JP169" s="61"/>
      <c r="JQ169" s="61"/>
      <c r="JR169" s="61"/>
      <c r="JS169" s="61"/>
      <c r="JT169" s="61"/>
      <c r="JU169" s="61"/>
      <c r="JV169" s="61"/>
      <c r="JW169" s="61"/>
      <c r="JX169" s="61"/>
      <c r="JY169" s="61"/>
      <c r="JZ169" s="61"/>
      <c r="KA169" s="61"/>
      <c r="KB169" s="61"/>
      <c r="KC169" s="61"/>
      <c r="KD169" s="61"/>
      <c r="KE169" s="61"/>
      <c r="KF169" s="61"/>
      <c r="KG169" s="61"/>
      <c r="KH169" s="61"/>
      <c r="KI169" s="61"/>
      <c r="KJ169" s="61"/>
      <c r="KK169" s="61"/>
      <c r="KL169" s="61"/>
      <c r="KM169" s="61"/>
      <c r="KN169" s="61"/>
      <c r="KO169" s="61"/>
      <c r="KP169" s="61"/>
      <c r="KQ169" s="61"/>
      <c r="KR169" s="61"/>
      <c r="KS169" s="61"/>
      <c r="KT169" s="61"/>
      <c r="KU169" s="61"/>
      <c r="KV169" s="61"/>
      <c r="KW169" s="61"/>
      <c r="KX169" s="61"/>
      <c r="KY169" s="61"/>
      <c r="KZ169" s="61"/>
      <c r="LA169" s="61"/>
      <c r="LB169" s="61"/>
      <c r="LC169" s="61"/>
      <c r="LD169" s="61"/>
      <c r="LE169" s="61"/>
      <c r="LF169" s="61"/>
      <c r="LG169" s="61"/>
      <c r="LH169" s="61"/>
      <c r="LI169" s="61"/>
      <c r="LJ169" s="61"/>
      <c r="LK169" s="61"/>
      <c r="LL169" s="61"/>
      <c r="LM169" s="61"/>
      <c r="LN169" s="61"/>
      <c r="LO169" s="61"/>
      <c r="LP169" s="61"/>
      <c r="LQ169" s="61"/>
      <c r="LR169" s="61"/>
      <c r="LS169" s="61"/>
      <c r="LT169" s="61"/>
      <c r="LU169" s="61"/>
      <c r="LV169" s="61"/>
      <c r="LW169" s="61"/>
      <c r="LX169" s="61"/>
      <c r="LY169" s="61"/>
      <c r="LZ169" s="61"/>
      <c r="MA169" s="61"/>
      <c r="MB169" s="61"/>
      <c r="MC169" s="61"/>
      <c r="MD169" s="61"/>
      <c r="ME169" s="61"/>
      <c r="MF169" s="61"/>
      <c r="MG169" s="61"/>
      <c r="MH169" s="61"/>
      <c r="MI169" s="61"/>
      <c r="MJ169" s="61"/>
      <c r="MK169" s="61"/>
      <c r="ML169" s="61"/>
      <c r="MM169" s="61"/>
      <c r="MN169" s="61"/>
      <c r="MO169" s="61"/>
      <c r="MP169" s="61"/>
      <c r="MQ169" s="61"/>
      <c r="MR169" s="61"/>
      <c r="MS169" s="61"/>
      <c r="MT169" s="61"/>
      <c r="MU169" s="61"/>
      <c r="MV169" s="61"/>
      <c r="MW169" s="61"/>
      <c r="MX169" s="61"/>
      <c r="MY169" s="61"/>
      <c r="MZ169" s="61"/>
      <c r="NA169" s="61"/>
      <c r="NB169" s="61"/>
      <c r="NC169" s="61"/>
      <c r="ND169" s="61"/>
      <c r="NE169" s="61"/>
      <c r="NF169" s="61"/>
      <c r="NG169" s="61"/>
      <c r="NH169" s="61"/>
      <c r="NI169" s="61"/>
      <c r="NJ169" s="61"/>
      <c r="NK169" s="61"/>
      <c r="NL169" s="61"/>
      <c r="NM169" s="61"/>
      <c r="NN169" s="61"/>
      <c r="NO169" s="61"/>
      <c r="NP169" s="61"/>
      <c r="NQ169" s="61"/>
      <c r="NR169" s="61"/>
      <c r="NS169" s="61"/>
      <c r="NT169" s="61"/>
      <c r="NU169" s="61"/>
      <c r="NV169" s="61"/>
      <c r="NW169" s="61"/>
      <c r="NX169" s="61"/>
      <c r="NY169" s="61"/>
      <c r="NZ169" s="61"/>
      <c r="OA169" s="61"/>
      <c r="OB169" s="61"/>
      <c r="OC169" s="61"/>
      <c r="OD169" s="61"/>
      <c r="OE169" s="61"/>
      <c r="OF169" s="61"/>
      <c r="OG169" s="61"/>
      <c r="OH169" s="61"/>
      <c r="OI169" s="61"/>
      <c r="OJ169" s="61"/>
      <c r="OK169" s="61"/>
      <c r="OL169" s="61"/>
      <c r="OM169" s="61"/>
      <c r="ON169" s="61"/>
      <c r="OO169" s="61"/>
      <c r="OP169" s="61"/>
      <c r="OQ169" s="61"/>
      <c r="OR169" s="61"/>
      <c r="OS169" s="61"/>
      <c r="OT169" s="61"/>
      <c r="OU169" s="61"/>
      <c r="OV169" s="61"/>
      <c r="OW169" s="61"/>
      <c r="OX169" s="61"/>
      <c r="OY169" s="61"/>
      <c r="OZ169" s="61"/>
      <c r="PA169" s="61"/>
      <c r="PB169" s="61"/>
      <c r="PC169" s="61"/>
      <c r="PD169" s="61"/>
      <c r="PE169" s="61"/>
      <c r="PF169" s="61"/>
      <c r="PG169" s="61"/>
      <c r="PH169" s="61"/>
      <c r="PI169" s="61"/>
      <c r="PJ169" s="61"/>
      <c r="PK169" s="61"/>
      <c r="PL169" s="61"/>
      <c r="PM169" s="61"/>
      <c r="PN169" s="61"/>
      <c r="PO169" s="61"/>
      <c r="PP169" s="61"/>
      <c r="PQ169" s="61"/>
      <c r="PR169" s="61"/>
      <c r="PS169" s="61"/>
      <c r="PT169" s="61"/>
      <c r="PU169" s="61"/>
      <c r="PV169" s="61"/>
      <c r="PW169" s="61"/>
      <c r="PX169" s="61"/>
      <c r="PY169" s="61"/>
      <c r="PZ169" s="61"/>
      <c r="QA169" s="61"/>
      <c r="QB169" s="61"/>
      <c r="QC169" s="61"/>
      <c r="QD169" s="61"/>
      <c r="QE169" s="61"/>
      <c r="QF169" s="61"/>
      <c r="QG169" s="61"/>
      <c r="QH169" s="61"/>
      <c r="QI169" s="61"/>
      <c r="QJ169" s="61"/>
      <c r="QK169" s="61"/>
      <c r="QL169" s="61"/>
      <c r="QM169" s="61"/>
      <c r="QN169" s="61"/>
      <c r="QO169" s="61"/>
      <c r="QP169" s="61"/>
      <c r="QQ169" s="61"/>
      <c r="QR169" s="61"/>
      <c r="QS169" s="61"/>
      <c r="QT169" s="61"/>
      <c r="QU169" s="61"/>
      <c r="QV169" s="61"/>
      <c r="QW169" s="61"/>
      <c r="QX169" s="61"/>
      <c r="QY169" s="61"/>
      <c r="QZ169" s="61"/>
      <c r="RA169" s="61"/>
      <c r="RB169" s="61"/>
      <c r="RC169" s="61"/>
      <c r="RD169" s="17"/>
    </row>
    <row r="170" spans="1:472" s="5" customFormat="1" hidden="1" x14ac:dyDescent="0.25">
      <c r="A170" s="5">
        <v>2077</v>
      </c>
      <c r="B170" s="5" t="s">
        <v>422</v>
      </c>
      <c r="C170" s="5" t="s">
        <v>444</v>
      </c>
      <c r="D170" s="5">
        <v>299</v>
      </c>
      <c r="E170" s="36"/>
      <c r="F170" s="64" t="s">
        <v>216</v>
      </c>
      <c r="G170" s="65"/>
      <c r="H170" s="19"/>
      <c r="I170" s="61"/>
      <c r="J170" s="61"/>
      <c r="K170" s="61"/>
      <c r="L170" s="61"/>
      <c r="M170" s="61"/>
      <c r="N170" s="61"/>
      <c r="O170" s="61"/>
      <c r="P170" s="61"/>
      <c r="Q170" s="61"/>
      <c r="R170" s="61"/>
      <c r="S170" s="61"/>
      <c r="T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1"/>
      <c r="DV170" s="61"/>
      <c r="DW170" s="61"/>
      <c r="DX170" s="61"/>
      <c r="DY170" s="61"/>
      <c r="DZ170" s="61"/>
      <c r="EA170" s="61"/>
      <c r="EB170" s="61"/>
      <c r="EC170" s="61"/>
      <c r="ED170" s="61"/>
      <c r="EE170" s="61"/>
      <c r="EF170" s="61"/>
      <c r="EG170" s="61"/>
      <c r="EH170" s="61"/>
      <c r="EI170" s="61"/>
      <c r="EJ170" s="61"/>
      <c r="EK170" s="61"/>
      <c r="EL170" s="61"/>
      <c r="EM170" s="61"/>
      <c r="EN170" s="61"/>
      <c r="EO170" s="61"/>
      <c r="EP170" s="61"/>
      <c r="EQ170" s="61"/>
      <c r="ER170" s="61"/>
      <c r="ES170" s="61"/>
      <c r="ET170" s="61"/>
      <c r="EU170" s="61"/>
      <c r="EV170" s="61"/>
      <c r="EW170" s="61"/>
      <c r="EX170" s="61"/>
      <c r="EY170" s="61"/>
      <c r="EZ170" s="61"/>
      <c r="FA170" s="61"/>
      <c r="FB170" s="61"/>
      <c r="FC170" s="61"/>
      <c r="FD170" s="61"/>
      <c r="FE170" s="61"/>
      <c r="FF170" s="61"/>
      <c r="FG170" s="61"/>
      <c r="FH170" s="61"/>
      <c r="FI170" s="61"/>
      <c r="FJ170" s="61"/>
      <c r="FK170" s="61"/>
      <c r="FL170" s="61"/>
      <c r="FM170" s="61"/>
      <c r="FN170" s="61"/>
      <c r="FO170" s="61"/>
      <c r="FP170" s="61"/>
      <c r="FQ170" s="61"/>
      <c r="FR170" s="61"/>
      <c r="FS170" s="61"/>
      <c r="FT170" s="61"/>
      <c r="FU170" s="61"/>
      <c r="FV170" s="61"/>
      <c r="FW170" s="61"/>
      <c r="FX170" s="61"/>
      <c r="FY170" s="61"/>
      <c r="FZ170" s="61"/>
      <c r="GA170" s="61"/>
      <c r="GB170" s="61"/>
      <c r="GC170" s="61"/>
      <c r="GD170" s="61"/>
      <c r="GE170" s="61"/>
      <c r="GF170" s="61"/>
      <c r="GG170" s="61"/>
      <c r="GH170" s="61"/>
      <c r="GI170" s="61"/>
      <c r="GJ170" s="61"/>
      <c r="GK170" s="61"/>
      <c r="GL170" s="61"/>
      <c r="GM170" s="61"/>
      <c r="GN170" s="61"/>
      <c r="GO170" s="61"/>
      <c r="GP170" s="61">
        <v>2</v>
      </c>
      <c r="GQ170" s="61"/>
      <c r="GR170" s="61">
        <v>2</v>
      </c>
      <c r="GS170" s="61"/>
      <c r="GT170" s="61">
        <v>1</v>
      </c>
      <c r="GU170" s="61"/>
      <c r="GV170" s="61">
        <v>2</v>
      </c>
      <c r="GW170" s="61"/>
      <c r="GX170" s="61">
        <v>2</v>
      </c>
      <c r="GY170" s="61"/>
      <c r="GZ170" s="61">
        <v>4</v>
      </c>
      <c r="HA170" s="61"/>
      <c r="HB170" s="61">
        <v>7</v>
      </c>
      <c r="HC170" s="61"/>
      <c r="HD170" s="61">
        <v>8</v>
      </c>
      <c r="HE170" s="61"/>
      <c r="HF170" s="61">
        <v>8</v>
      </c>
      <c r="HG170" s="61"/>
      <c r="HH170" s="61">
        <v>13</v>
      </c>
      <c r="HI170" s="61"/>
      <c r="HJ170" s="61">
        <v>25</v>
      </c>
      <c r="HK170" s="61"/>
      <c r="HL170" s="61">
        <v>28</v>
      </c>
      <c r="HM170" s="61"/>
      <c r="HN170" s="61">
        <v>27</v>
      </c>
      <c r="HO170" s="61"/>
      <c r="HP170" s="61">
        <v>21</v>
      </c>
      <c r="HQ170" s="61"/>
      <c r="HR170" s="61">
        <v>22</v>
      </c>
      <c r="HS170" s="61"/>
      <c r="HT170" s="61">
        <v>19</v>
      </c>
      <c r="HU170" s="61"/>
      <c r="HV170" s="61">
        <v>15</v>
      </c>
      <c r="HW170" s="61"/>
      <c r="HX170" s="61">
        <v>8</v>
      </c>
      <c r="HY170" s="61"/>
      <c r="HZ170" s="61">
        <v>5</v>
      </c>
      <c r="IA170" s="61"/>
      <c r="IB170" s="61">
        <v>4</v>
      </c>
      <c r="IC170" s="61"/>
      <c r="ID170" s="61">
        <v>6</v>
      </c>
      <c r="IE170" s="61"/>
      <c r="IF170" s="61"/>
      <c r="IG170" s="61"/>
      <c r="IH170" s="61"/>
      <c r="II170" s="61"/>
      <c r="IJ170" s="61"/>
      <c r="IK170" s="61"/>
      <c r="IL170" s="61"/>
      <c r="IM170" s="61"/>
      <c r="IN170" s="61"/>
      <c r="IO170" s="61"/>
      <c r="IP170" s="61"/>
      <c r="IQ170" s="61"/>
      <c r="IR170" s="61"/>
      <c r="IS170" s="61"/>
      <c r="IT170" s="61"/>
      <c r="IU170" s="61"/>
      <c r="IV170" s="61"/>
      <c r="IW170" s="61"/>
      <c r="IX170" s="61"/>
      <c r="IY170" s="61"/>
      <c r="IZ170" s="61"/>
      <c r="JA170" s="61"/>
      <c r="JB170" s="61"/>
      <c r="JC170" s="61"/>
      <c r="JD170" s="61"/>
      <c r="JE170" s="61"/>
      <c r="JF170" s="61"/>
      <c r="JG170" s="61"/>
      <c r="JH170" s="61"/>
      <c r="JI170" s="61"/>
      <c r="JJ170" s="61"/>
      <c r="JK170" s="61"/>
      <c r="JL170" s="61"/>
      <c r="JM170" s="61"/>
      <c r="JN170" s="61"/>
      <c r="JO170" s="61"/>
      <c r="JP170" s="61"/>
      <c r="JQ170" s="61"/>
      <c r="JR170" s="61"/>
      <c r="JS170" s="61"/>
      <c r="JT170" s="61"/>
      <c r="JU170" s="61"/>
      <c r="JV170" s="61"/>
      <c r="JW170" s="61"/>
      <c r="JX170" s="61"/>
      <c r="JY170" s="61"/>
      <c r="JZ170" s="61"/>
      <c r="KA170" s="61"/>
      <c r="KB170" s="61"/>
      <c r="KC170" s="61"/>
      <c r="KD170" s="61"/>
      <c r="KE170" s="61"/>
      <c r="KF170" s="61"/>
      <c r="KG170" s="61"/>
      <c r="KH170" s="61"/>
      <c r="KI170" s="61"/>
      <c r="KJ170" s="61"/>
      <c r="KK170" s="61"/>
      <c r="KL170" s="61"/>
      <c r="KM170" s="61"/>
      <c r="KN170" s="61"/>
      <c r="KO170" s="61"/>
      <c r="KP170" s="61"/>
      <c r="KQ170" s="61"/>
      <c r="KR170" s="61"/>
      <c r="KS170" s="61"/>
      <c r="KT170" s="61"/>
      <c r="KU170" s="61"/>
      <c r="KV170" s="61"/>
      <c r="KW170" s="61"/>
      <c r="KX170" s="61"/>
      <c r="KY170" s="61"/>
      <c r="KZ170" s="61"/>
      <c r="LA170" s="61"/>
      <c r="LB170" s="61"/>
      <c r="LC170" s="61"/>
      <c r="LD170" s="61"/>
      <c r="LE170" s="61"/>
      <c r="LF170" s="61"/>
      <c r="LG170" s="61"/>
      <c r="LH170" s="61"/>
      <c r="LI170" s="61"/>
      <c r="LJ170" s="61"/>
      <c r="LK170" s="61"/>
      <c r="LL170" s="61"/>
      <c r="LM170" s="61"/>
      <c r="LN170" s="61"/>
      <c r="LO170" s="61"/>
      <c r="LP170" s="61"/>
      <c r="LQ170" s="61"/>
      <c r="LR170" s="61"/>
      <c r="LS170" s="61"/>
      <c r="LT170" s="61"/>
      <c r="LU170" s="61"/>
      <c r="LV170" s="61"/>
      <c r="LW170" s="61"/>
      <c r="LX170" s="61"/>
      <c r="LY170" s="61"/>
      <c r="LZ170" s="61"/>
      <c r="MA170" s="61"/>
      <c r="MB170" s="61"/>
      <c r="MC170" s="61"/>
      <c r="MD170" s="61"/>
      <c r="ME170" s="61"/>
      <c r="MF170" s="61"/>
      <c r="MG170" s="61"/>
      <c r="MH170" s="61"/>
      <c r="MI170" s="61"/>
      <c r="MJ170" s="61"/>
      <c r="MK170" s="61"/>
      <c r="ML170" s="61"/>
      <c r="MM170" s="61"/>
      <c r="MN170" s="61"/>
      <c r="MO170" s="61"/>
      <c r="MP170" s="61"/>
      <c r="MQ170" s="61"/>
      <c r="MR170" s="61"/>
      <c r="MS170" s="61"/>
      <c r="MT170" s="61"/>
      <c r="MU170" s="61"/>
      <c r="MV170" s="61"/>
      <c r="MW170" s="61"/>
      <c r="MX170" s="61"/>
      <c r="MY170" s="61"/>
      <c r="MZ170" s="61"/>
      <c r="NA170" s="61"/>
      <c r="NB170" s="61"/>
      <c r="NC170" s="61"/>
      <c r="ND170" s="61"/>
      <c r="NE170" s="61"/>
      <c r="NF170" s="61"/>
      <c r="NG170" s="61"/>
      <c r="NH170" s="61"/>
      <c r="NI170" s="61"/>
      <c r="NJ170" s="61"/>
      <c r="NK170" s="61"/>
      <c r="NL170" s="61"/>
      <c r="NM170" s="61"/>
      <c r="NN170" s="61"/>
      <c r="NO170" s="61"/>
      <c r="NP170" s="61"/>
      <c r="NQ170" s="61"/>
      <c r="NR170" s="61"/>
      <c r="NS170" s="61"/>
      <c r="NT170" s="61"/>
      <c r="NU170" s="61"/>
      <c r="NV170" s="61"/>
      <c r="NW170" s="61"/>
      <c r="NX170" s="61"/>
      <c r="NY170" s="61"/>
      <c r="NZ170" s="61"/>
      <c r="OA170" s="61"/>
      <c r="OB170" s="61"/>
      <c r="OC170" s="61"/>
      <c r="OD170" s="61"/>
      <c r="OE170" s="61"/>
      <c r="OF170" s="61"/>
      <c r="OG170" s="61"/>
      <c r="OH170" s="61"/>
      <c r="OI170" s="61"/>
      <c r="OJ170" s="61"/>
      <c r="OK170" s="61"/>
      <c r="OL170" s="61"/>
      <c r="OM170" s="61"/>
      <c r="ON170" s="61"/>
      <c r="OO170" s="61"/>
      <c r="OP170" s="61"/>
      <c r="OQ170" s="61"/>
      <c r="OR170" s="61"/>
      <c r="OS170" s="61"/>
      <c r="OT170" s="61"/>
      <c r="OU170" s="61"/>
      <c r="OV170" s="61"/>
      <c r="OW170" s="61"/>
      <c r="OX170" s="61"/>
      <c r="OY170" s="61"/>
      <c r="OZ170" s="61"/>
      <c r="PA170" s="61"/>
      <c r="PB170" s="61"/>
      <c r="PC170" s="61"/>
      <c r="PD170" s="61"/>
      <c r="PE170" s="61"/>
      <c r="PF170" s="61"/>
      <c r="PG170" s="61"/>
      <c r="PH170" s="61"/>
      <c r="PI170" s="61"/>
      <c r="PJ170" s="61"/>
      <c r="PK170" s="61"/>
      <c r="PL170" s="61"/>
      <c r="PM170" s="61"/>
      <c r="PN170" s="61"/>
      <c r="PO170" s="61"/>
      <c r="PP170" s="61"/>
      <c r="PQ170" s="61"/>
      <c r="PR170" s="61"/>
      <c r="PS170" s="61"/>
      <c r="PT170" s="61"/>
      <c r="PU170" s="61"/>
      <c r="PV170" s="61"/>
      <c r="PW170" s="61"/>
      <c r="PX170" s="61"/>
      <c r="PY170" s="61"/>
      <c r="PZ170" s="61"/>
      <c r="QA170" s="61"/>
      <c r="QB170" s="61"/>
      <c r="QC170" s="61"/>
      <c r="QD170" s="61"/>
      <c r="QE170" s="61"/>
      <c r="QF170" s="61"/>
      <c r="QG170" s="61"/>
      <c r="QH170" s="61"/>
      <c r="QI170" s="61"/>
      <c r="QJ170" s="61"/>
      <c r="QK170" s="61"/>
      <c r="QL170" s="61"/>
      <c r="QM170" s="61"/>
      <c r="QN170" s="61"/>
      <c r="QO170" s="61"/>
      <c r="QP170" s="61"/>
      <c r="QQ170" s="61"/>
      <c r="QR170" s="61"/>
      <c r="QS170" s="61"/>
      <c r="QT170" s="61"/>
      <c r="QU170" s="61"/>
      <c r="QV170" s="61"/>
      <c r="QW170" s="61"/>
      <c r="QX170" s="61"/>
      <c r="QY170" s="61"/>
      <c r="QZ170" s="61"/>
      <c r="RA170" s="61"/>
      <c r="RB170" s="61"/>
      <c r="RC170" s="61"/>
      <c r="RD170" s="17"/>
    </row>
    <row r="171" spans="1:472" s="5" customFormat="1" hidden="1" x14ac:dyDescent="0.25">
      <c r="A171" s="5">
        <v>2093</v>
      </c>
      <c r="B171" s="5" t="s">
        <v>1064</v>
      </c>
      <c r="C171" s="5" t="s">
        <v>599</v>
      </c>
      <c r="D171" s="5">
        <v>51</v>
      </c>
      <c r="E171" s="36"/>
      <c r="F171" s="44" t="s">
        <v>216</v>
      </c>
      <c r="G171" s="45"/>
      <c r="H171" s="19"/>
      <c r="I171" s="17"/>
      <c r="J171" s="17"/>
      <c r="K171" s="17"/>
      <c r="L171" s="17"/>
      <c r="M171" s="17"/>
      <c r="N171" s="17"/>
      <c r="O171" s="17"/>
      <c r="P171" s="17"/>
      <c r="Q171" s="17"/>
      <c r="R171" s="17"/>
      <c r="S171" s="17"/>
      <c r="T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c r="ED171" s="17"/>
      <c r="EE171" s="17"/>
      <c r="EF171" s="17"/>
      <c r="EG171" s="17"/>
      <c r="EH171" s="17"/>
      <c r="EI171" s="17"/>
      <c r="EJ171" s="17"/>
      <c r="EK171" s="17"/>
      <c r="EL171" s="17"/>
      <c r="EM171" s="17"/>
      <c r="EN171" s="17"/>
      <c r="EO171" s="17"/>
      <c r="EP171" s="17"/>
      <c r="EQ171" s="17"/>
      <c r="ER171" s="17"/>
      <c r="ES171" s="17"/>
      <c r="ET171" s="17"/>
      <c r="EU171" s="17"/>
      <c r="EV171" s="17"/>
      <c r="EW171" s="17"/>
      <c r="EX171" s="17"/>
      <c r="EY171" s="17"/>
      <c r="EZ171" s="17"/>
      <c r="FA171" s="17"/>
      <c r="FB171" s="17"/>
      <c r="FC171" s="17"/>
      <c r="FD171" s="17"/>
      <c r="FE171" s="17"/>
      <c r="FF171" s="17"/>
      <c r="FG171" s="17"/>
      <c r="FH171" s="17"/>
      <c r="FI171" s="17"/>
      <c r="FJ171" s="17"/>
      <c r="FK171" s="17"/>
      <c r="FL171" s="17"/>
      <c r="FM171" s="17"/>
      <c r="FN171" s="17"/>
      <c r="FO171" s="17"/>
      <c r="FP171" s="17"/>
      <c r="FQ171" s="17"/>
      <c r="FR171" s="17"/>
      <c r="FS171" s="17"/>
      <c r="FT171" s="17"/>
      <c r="FU171" s="17"/>
      <c r="FV171" s="17"/>
      <c r="FW171" s="17"/>
      <c r="FX171" s="17"/>
      <c r="FY171" s="17"/>
      <c r="FZ171" s="61"/>
      <c r="GA171" s="61"/>
      <c r="GB171" s="61"/>
      <c r="GC171" s="61"/>
      <c r="GD171" s="61"/>
      <c r="GE171" s="61"/>
      <c r="GF171" s="61"/>
      <c r="GG171" s="61"/>
      <c r="GH171" s="61"/>
      <c r="GI171" s="61"/>
      <c r="GJ171" s="61"/>
      <c r="GK171" s="61"/>
      <c r="GL171" s="61"/>
      <c r="GM171" s="61"/>
      <c r="GN171" s="61"/>
      <c r="GO171" s="61"/>
      <c r="GP171" s="61"/>
      <c r="GQ171" s="61"/>
      <c r="GR171" s="61"/>
      <c r="GS171" s="61"/>
      <c r="GT171" s="61">
        <v>1</v>
      </c>
      <c r="GU171" s="61"/>
      <c r="GV171" s="61">
        <v>2</v>
      </c>
      <c r="GW171" s="61"/>
      <c r="GX171" s="61"/>
      <c r="GY171" s="61"/>
      <c r="GZ171" s="61">
        <v>1</v>
      </c>
      <c r="HA171" s="61"/>
      <c r="HB171" s="61"/>
      <c r="HC171" s="61"/>
      <c r="HD171" s="61">
        <v>3</v>
      </c>
      <c r="HE171" s="61"/>
      <c r="HF171" s="61">
        <v>2</v>
      </c>
      <c r="HG171" s="61"/>
      <c r="HH171" s="61">
        <v>5</v>
      </c>
      <c r="HI171" s="61"/>
      <c r="HJ171" s="61">
        <v>6</v>
      </c>
      <c r="HK171" s="61"/>
      <c r="HL171" s="61">
        <v>2</v>
      </c>
      <c r="HM171" s="61"/>
      <c r="HN171" s="61">
        <v>4</v>
      </c>
      <c r="HO171" s="61"/>
      <c r="HP171" s="61">
        <v>4</v>
      </c>
      <c r="HQ171" s="61"/>
      <c r="HR171" s="61">
        <v>5</v>
      </c>
      <c r="HS171" s="61"/>
      <c r="HT171" s="61">
        <v>5</v>
      </c>
      <c r="HU171" s="61"/>
      <c r="HV171" s="61">
        <v>7</v>
      </c>
      <c r="HW171" s="61"/>
      <c r="HX171" s="61">
        <v>5</v>
      </c>
      <c r="HY171" s="61"/>
      <c r="HZ171" s="61">
        <v>2</v>
      </c>
      <c r="IA171" s="61"/>
      <c r="IB171" s="61">
        <v>2</v>
      </c>
      <c r="IC171" s="61"/>
      <c r="ID171" s="61">
        <v>2</v>
      </c>
      <c r="IE171" s="61"/>
      <c r="IF171" s="61">
        <v>2</v>
      </c>
      <c r="IG171" s="61"/>
      <c r="IH171" s="61">
        <v>1</v>
      </c>
      <c r="II171" s="61"/>
      <c r="IJ171" s="61">
        <v>1</v>
      </c>
      <c r="IK171" s="61"/>
      <c r="IL171" s="61">
        <v>1</v>
      </c>
      <c r="IM171" s="61"/>
      <c r="IN171" s="61">
        <v>1</v>
      </c>
      <c r="IO171" s="61"/>
      <c r="IP171" s="61"/>
      <c r="IQ171" s="61"/>
      <c r="IR171" s="61"/>
      <c r="IS171" s="61"/>
      <c r="IT171" s="61"/>
      <c r="IU171" s="61"/>
      <c r="IV171" s="61"/>
      <c r="IW171" s="61"/>
      <c r="IX171" s="61"/>
      <c r="IY171" s="61"/>
      <c r="IZ171" s="61"/>
      <c r="JA171" s="61"/>
      <c r="JB171" s="61"/>
      <c r="JC171" s="61"/>
      <c r="JD171" s="61"/>
      <c r="JE171" s="61"/>
      <c r="JF171" s="61"/>
      <c r="JG171" s="61"/>
      <c r="JH171" s="61"/>
      <c r="JI171" s="61"/>
      <c r="JJ171" s="61"/>
      <c r="JK171" s="61"/>
      <c r="JL171" s="61"/>
      <c r="JM171" s="61"/>
      <c r="JN171" s="61"/>
      <c r="JO171" s="61"/>
      <c r="JP171" s="61"/>
      <c r="JQ171" s="61"/>
      <c r="JR171" s="61"/>
      <c r="JS171" s="61"/>
      <c r="JT171" s="61"/>
      <c r="JU171" s="61"/>
      <c r="JV171" s="61"/>
      <c r="JW171" s="61"/>
      <c r="JX171" s="61"/>
      <c r="JY171" s="61"/>
      <c r="JZ171" s="61"/>
      <c r="KA171" s="61"/>
      <c r="KB171" s="61"/>
      <c r="KC171" s="61"/>
      <c r="KD171" s="61"/>
      <c r="KE171" s="61"/>
      <c r="KF171" s="61"/>
      <c r="KG171" s="61"/>
      <c r="KH171" s="61"/>
      <c r="KI171" s="61"/>
      <c r="KJ171" s="61"/>
      <c r="KK171" s="61"/>
      <c r="KL171" s="61"/>
      <c r="KM171" s="61"/>
      <c r="KN171" s="61"/>
      <c r="KO171" s="61"/>
      <c r="KP171" s="61"/>
      <c r="KQ171" s="61"/>
      <c r="KR171" s="61"/>
      <c r="KS171" s="61"/>
      <c r="KT171" s="61"/>
      <c r="KU171" s="61"/>
      <c r="KV171" s="61"/>
      <c r="KW171" s="61"/>
      <c r="KX171" s="61"/>
      <c r="KY171" s="61"/>
      <c r="KZ171" s="61"/>
      <c r="LA171" s="61"/>
      <c r="LB171" s="61"/>
      <c r="LC171" s="61"/>
      <c r="LD171" s="61"/>
      <c r="LE171" s="61"/>
      <c r="LF171" s="61"/>
      <c r="LG171" s="61"/>
      <c r="LH171" s="61"/>
      <c r="LI171" s="61"/>
      <c r="LJ171" s="61"/>
      <c r="LK171" s="61"/>
      <c r="LL171" s="61"/>
      <c r="LM171" s="61"/>
      <c r="LN171" s="61"/>
      <c r="LO171" s="61"/>
      <c r="LP171" s="61"/>
      <c r="LQ171" s="61"/>
      <c r="LR171" s="61"/>
      <c r="LS171" s="61"/>
      <c r="LT171" s="61"/>
      <c r="LU171" s="61"/>
      <c r="LV171" s="61"/>
      <c r="LW171" s="61"/>
      <c r="LX171" s="61"/>
      <c r="LY171" s="61"/>
      <c r="LZ171" s="61"/>
      <c r="MA171" s="61"/>
      <c r="MB171" s="61"/>
      <c r="MC171" s="61"/>
      <c r="MD171" s="61"/>
      <c r="ME171" s="61"/>
      <c r="MF171" s="61"/>
      <c r="MG171" s="61"/>
      <c r="MH171" s="61"/>
      <c r="MI171" s="61"/>
      <c r="MJ171" s="61"/>
      <c r="MK171" s="61"/>
      <c r="ML171" s="61"/>
      <c r="MM171" s="61"/>
      <c r="MN171" s="61"/>
      <c r="MO171" s="61"/>
      <c r="MP171" s="61"/>
      <c r="MQ171" s="61"/>
      <c r="MR171" s="61"/>
      <c r="MS171" s="61"/>
      <c r="MT171" s="61"/>
      <c r="MU171" s="61"/>
      <c r="MV171" s="61"/>
      <c r="MW171" s="61"/>
      <c r="MX171" s="61"/>
      <c r="MY171" s="61"/>
      <c r="MZ171" s="61"/>
      <c r="NA171" s="61"/>
      <c r="NB171" s="61"/>
      <c r="NC171" s="61"/>
      <c r="ND171" s="61"/>
      <c r="NE171" s="61"/>
      <c r="NF171" s="61"/>
      <c r="NG171" s="61"/>
      <c r="NH171" s="61"/>
      <c r="NI171" s="61"/>
      <c r="NJ171" s="61"/>
      <c r="NK171" s="61"/>
      <c r="NL171" s="61"/>
      <c r="NM171" s="61"/>
      <c r="NN171" s="61"/>
      <c r="NO171" s="61"/>
      <c r="NP171" s="61"/>
      <c r="NQ171" s="61"/>
      <c r="NR171" s="61"/>
      <c r="NS171" s="61"/>
      <c r="NT171" s="61"/>
      <c r="NU171" s="61"/>
      <c r="NV171" s="61"/>
      <c r="NW171" s="61"/>
      <c r="NX171" s="61"/>
      <c r="NY171" s="61"/>
      <c r="NZ171" s="61"/>
      <c r="OA171" s="61"/>
      <c r="OB171" s="61"/>
      <c r="OC171" s="61"/>
      <c r="OD171" s="61"/>
      <c r="OE171" s="61"/>
      <c r="OF171" s="61"/>
      <c r="OG171" s="61"/>
      <c r="OH171" s="61"/>
      <c r="OI171" s="61"/>
      <c r="OJ171" s="61"/>
      <c r="OK171" s="61"/>
      <c r="OL171" s="61"/>
      <c r="OM171" s="61"/>
      <c r="ON171" s="61"/>
      <c r="OO171" s="61"/>
      <c r="OP171" s="61"/>
      <c r="OQ171" s="61"/>
      <c r="OR171" s="61"/>
      <c r="OS171" s="61"/>
      <c r="OT171" s="61"/>
      <c r="OU171" s="61"/>
      <c r="OV171" s="61"/>
      <c r="OW171" s="61"/>
      <c r="OX171" s="61"/>
      <c r="OY171" s="61"/>
      <c r="OZ171" s="61"/>
      <c r="PA171" s="61"/>
      <c r="PB171" s="61"/>
      <c r="PC171" s="61"/>
      <c r="PD171" s="61"/>
      <c r="PE171" s="61"/>
      <c r="PF171" s="61"/>
      <c r="PG171" s="61"/>
      <c r="PH171" s="61"/>
      <c r="PI171" s="61"/>
      <c r="PJ171" s="61"/>
      <c r="PK171" s="61"/>
      <c r="PL171" s="61"/>
      <c r="PM171" s="61"/>
      <c r="PN171" s="61"/>
      <c r="PO171" s="61"/>
      <c r="PP171" s="61"/>
      <c r="PQ171" s="61"/>
      <c r="PR171" s="61"/>
      <c r="PS171" s="61"/>
      <c r="PT171" s="61"/>
      <c r="PU171" s="61"/>
      <c r="PV171" s="61"/>
      <c r="PW171" s="61"/>
      <c r="PX171" s="61"/>
      <c r="PY171" s="61"/>
      <c r="PZ171" s="61"/>
      <c r="QA171" s="61"/>
      <c r="QB171" s="61"/>
      <c r="QC171" s="61"/>
      <c r="QD171" s="61"/>
      <c r="QE171" s="61"/>
      <c r="QF171" s="61"/>
      <c r="QG171" s="61"/>
      <c r="QH171" s="61"/>
      <c r="QI171" s="61"/>
      <c r="QJ171" s="61"/>
      <c r="QK171" s="61"/>
      <c r="QL171" s="61"/>
      <c r="QM171" s="61"/>
      <c r="QN171" s="61"/>
      <c r="QO171" s="61"/>
      <c r="QP171" s="61"/>
      <c r="QQ171" s="61"/>
      <c r="QR171" s="61"/>
      <c r="QS171" s="61"/>
      <c r="QT171" s="61"/>
      <c r="QU171" s="61"/>
      <c r="QV171" s="61"/>
      <c r="QW171" s="61"/>
      <c r="QX171" s="61"/>
      <c r="QY171" s="61"/>
      <c r="QZ171" s="61"/>
      <c r="RA171" s="61"/>
      <c r="RB171" s="61"/>
      <c r="RC171" s="61"/>
      <c r="RD171" s="17"/>
    </row>
    <row r="172" spans="1:472" s="5" customFormat="1" hidden="1" x14ac:dyDescent="0.25">
      <c r="A172" s="5">
        <v>2094</v>
      </c>
      <c r="B172" s="5" t="s">
        <v>914</v>
      </c>
      <c r="C172" s="5" t="s">
        <v>165</v>
      </c>
      <c r="D172" s="5">
        <v>86</v>
      </c>
      <c r="E172" s="36"/>
      <c r="F172" s="44" t="s">
        <v>216</v>
      </c>
      <c r="G172" s="45"/>
      <c r="H172" s="19"/>
      <c r="I172" s="17"/>
      <c r="J172" s="17"/>
      <c r="K172" s="17"/>
      <c r="L172" s="17"/>
      <c r="M172" s="17"/>
      <c r="N172" s="17"/>
      <c r="O172" s="17"/>
      <c r="P172" s="17"/>
      <c r="Q172" s="17"/>
      <c r="R172" s="17"/>
      <c r="S172" s="17"/>
      <c r="T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c r="ED172" s="17"/>
      <c r="EE172" s="17"/>
      <c r="EF172" s="17"/>
      <c r="EG172" s="17"/>
      <c r="EH172" s="17"/>
      <c r="EI172" s="17"/>
      <c r="EJ172" s="17"/>
      <c r="EK172" s="17"/>
      <c r="EL172" s="17"/>
      <c r="EM172" s="17"/>
      <c r="EN172" s="17"/>
      <c r="EO172" s="17"/>
      <c r="EP172" s="17"/>
      <c r="EQ172" s="17"/>
      <c r="ER172" s="17"/>
      <c r="ES172" s="17"/>
      <c r="ET172" s="17"/>
      <c r="EU172" s="17"/>
      <c r="EV172" s="17"/>
      <c r="EW172" s="17"/>
      <c r="EX172" s="17"/>
      <c r="EY172" s="17"/>
      <c r="EZ172" s="17"/>
      <c r="FA172" s="17"/>
      <c r="FB172" s="17"/>
      <c r="FC172" s="17"/>
      <c r="FD172" s="17"/>
      <c r="FE172" s="17"/>
      <c r="FF172" s="17"/>
      <c r="FG172" s="17"/>
      <c r="FH172" s="17"/>
      <c r="FI172" s="17"/>
      <c r="FJ172" s="17"/>
      <c r="FK172" s="17"/>
      <c r="FL172" s="17"/>
      <c r="FM172" s="17"/>
      <c r="FN172" s="17"/>
      <c r="FO172" s="17"/>
      <c r="FP172" s="17"/>
      <c r="FQ172" s="17"/>
      <c r="FR172" s="17"/>
      <c r="FS172" s="17"/>
      <c r="FT172" s="17"/>
      <c r="FU172" s="17"/>
      <c r="FV172" s="17"/>
      <c r="FW172" s="17"/>
      <c r="FX172" s="17"/>
      <c r="FY172" s="17"/>
      <c r="FZ172" s="61"/>
      <c r="GA172" s="61"/>
      <c r="GB172" s="61"/>
      <c r="GC172" s="61"/>
      <c r="GD172" s="61"/>
      <c r="GE172" s="61"/>
      <c r="GF172" s="61"/>
      <c r="GG172" s="61"/>
      <c r="GH172" s="61"/>
      <c r="GI172" s="61"/>
      <c r="GJ172" s="61"/>
      <c r="GK172" s="61"/>
      <c r="GL172" s="61"/>
      <c r="GM172" s="61"/>
      <c r="GN172" s="61"/>
      <c r="GO172" s="61"/>
      <c r="GP172" s="61"/>
      <c r="GQ172" s="61"/>
      <c r="GR172" s="61"/>
      <c r="GS172" s="61"/>
      <c r="GT172" s="61"/>
      <c r="GU172" s="61"/>
      <c r="GV172" s="61"/>
      <c r="GW172" s="61"/>
      <c r="GX172" s="61">
        <v>2</v>
      </c>
      <c r="GY172" s="61"/>
      <c r="GZ172" s="61">
        <v>2</v>
      </c>
      <c r="HA172" s="61"/>
      <c r="HB172" s="61">
        <v>4</v>
      </c>
      <c r="HC172" s="61"/>
      <c r="HD172" s="61">
        <v>5</v>
      </c>
      <c r="HE172" s="61"/>
      <c r="HF172" s="61">
        <v>6</v>
      </c>
      <c r="HG172" s="61"/>
      <c r="HH172" s="61">
        <v>6</v>
      </c>
      <c r="HI172" s="61"/>
      <c r="HJ172" s="61">
        <v>6</v>
      </c>
      <c r="HK172" s="61"/>
      <c r="HL172" s="61">
        <v>3</v>
      </c>
      <c r="HM172" s="61"/>
      <c r="HN172" s="61">
        <v>4</v>
      </c>
      <c r="HO172" s="61"/>
      <c r="HP172" s="61">
        <v>4</v>
      </c>
      <c r="HQ172" s="61"/>
      <c r="HR172" s="61">
        <v>6</v>
      </c>
      <c r="HS172" s="61"/>
      <c r="HT172" s="61">
        <v>6</v>
      </c>
      <c r="HU172" s="61"/>
      <c r="HV172" s="61">
        <v>6</v>
      </c>
      <c r="HW172" s="61"/>
      <c r="HX172" s="61">
        <v>4</v>
      </c>
      <c r="HY172" s="61"/>
      <c r="HZ172" s="61">
        <v>4</v>
      </c>
      <c r="IA172" s="61"/>
      <c r="IB172" s="61">
        <v>3</v>
      </c>
      <c r="IC172" s="61"/>
      <c r="ID172" s="61">
        <v>3</v>
      </c>
      <c r="IE172" s="61"/>
      <c r="IF172" s="61">
        <v>3</v>
      </c>
      <c r="IG172" s="61"/>
      <c r="IH172" s="61">
        <v>2</v>
      </c>
      <c r="II172" s="61"/>
      <c r="IJ172" s="61">
        <v>1</v>
      </c>
      <c r="IK172" s="61"/>
      <c r="IL172" s="61">
        <v>1</v>
      </c>
      <c r="IM172" s="61"/>
      <c r="IN172" s="61">
        <v>1</v>
      </c>
      <c r="IO172" s="61"/>
      <c r="IP172" s="61"/>
      <c r="IQ172" s="61"/>
      <c r="IR172" s="61"/>
      <c r="IS172" s="61"/>
      <c r="IT172" s="61"/>
      <c r="IU172" s="61"/>
      <c r="IV172" s="61"/>
      <c r="IW172" s="61"/>
      <c r="IX172" s="61"/>
      <c r="IY172" s="61"/>
      <c r="IZ172" s="61"/>
      <c r="JA172" s="61"/>
      <c r="JB172" s="61"/>
      <c r="JC172" s="61"/>
      <c r="JD172" s="61"/>
      <c r="JE172" s="61"/>
      <c r="JF172" s="61"/>
      <c r="JG172" s="61"/>
      <c r="JH172" s="61"/>
      <c r="JI172" s="61"/>
      <c r="JJ172" s="61"/>
      <c r="JK172" s="61"/>
      <c r="JL172" s="61"/>
      <c r="JM172" s="61"/>
      <c r="JN172" s="61"/>
      <c r="JO172" s="61"/>
      <c r="JP172" s="61"/>
      <c r="JQ172" s="61"/>
      <c r="JR172" s="61"/>
      <c r="JS172" s="61"/>
      <c r="JT172" s="61"/>
      <c r="JU172" s="61"/>
      <c r="JV172" s="61"/>
      <c r="JW172" s="61"/>
      <c r="JX172" s="61"/>
      <c r="JY172" s="61"/>
      <c r="JZ172" s="61"/>
      <c r="KA172" s="61"/>
      <c r="KB172" s="61"/>
      <c r="KC172" s="61"/>
      <c r="KD172" s="61"/>
      <c r="KE172" s="61"/>
      <c r="KF172" s="61"/>
      <c r="KG172" s="61"/>
      <c r="KH172" s="61"/>
      <c r="KI172" s="61"/>
      <c r="KJ172" s="61"/>
      <c r="KK172" s="61"/>
      <c r="KL172" s="61"/>
      <c r="KM172" s="61"/>
      <c r="KN172" s="61"/>
      <c r="KO172" s="61"/>
      <c r="KP172" s="61"/>
      <c r="KQ172" s="61"/>
      <c r="KR172" s="61"/>
      <c r="KS172" s="61"/>
      <c r="KT172" s="61"/>
      <c r="KU172" s="61"/>
      <c r="KV172" s="61"/>
      <c r="KW172" s="61"/>
      <c r="KX172" s="61"/>
      <c r="KY172" s="61"/>
      <c r="KZ172" s="61"/>
      <c r="LA172" s="61"/>
      <c r="LB172" s="61"/>
      <c r="LC172" s="61"/>
      <c r="LD172" s="61"/>
      <c r="LE172" s="61"/>
      <c r="LF172" s="61"/>
      <c r="LG172" s="61"/>
      <c r="LH172" s="61"/>
      <c r="LI172" s="61"/>
      <c r="LJ172" s="61"/>
      <c r="LK172" s="61"/>
      <c r="LL172" s="61"/>
      <c r="LM172" s="61"/>
      <c r="LN172" s="61"/>
      <c r="LO172" s="61"/>
      <c r="LP172" s="61"/>
      <c r="LQ172" s="61"/>
      <c r="LR172" s="61"/>
      <c r="LS172" s="61"/>
      <c r="LT172" s="61"/>
      <c r="LU172" s="61"/>
      <c r="LV172" s="61"/>
      <c r="LW172" s="61"/>
      <c r="LX172" s="61"/>
      <c r="LY172" s="61"/>
      <c r="LZ172" s="61"/>
      <c r="MA172" s="61"/>
      <c r="MB172" s="61"/>
      <c r="MC172" s="61"/>
      <c r="MD172" s="61"/>
      <c r="ME172" s="61"/>
      <c r="MF172" s="61"/>
      <c r="MG172" s="61"/>
      <c r="MH172" s="61"/>
      <c r="MI172" s="61"/>
      <c r="MJ172" s="61"/>
      <c r="MK172" s="61"/>
      <c r="ML172" s="61"/>
      <c r="MM172" s="61"/>
      <c r="MN172" s="61"/>
      <c r="MO172" s="61"/>
      <c r="MP172" s="61"/>
      <c r="MQ172" s="61"/>
      <c r="MR172" s="61"/>
      <c r="MS172" s="61"/>
      <c r="MT172" s="61"/>
      <c r="MU172" s="61"/>
      <c r="MV172" s="61"/>
      <c r="MW172" s="61"/>
      <c r="MX172" s="61"/>
      <c r="MY172" s="61"/>
      <c r="MZ172" s="61"/>
      <c r="NA172" s="61"/>
      <c r="NB172" s="61"/>
      <c r="NC172" s="61"/>
      <c r="ND172" s="61"/>
      <c r="NE172" s="61"/>
      <c r="NF172" s="61"/>
      <c r="NG172" s="61"/>
      <c r="NH172" s="61"/>
      <c r="NI172" s="61"/>
      <c r="NJ172" s="61"/>
      <c r="NK172" s="61"/>
      <c r="NL172" s="61"/>
      <c r="NM172" s="61"/>
      <c r="NN172" s="61"/>
      <c r="NO172" s="61"/>
      <c r="NP172" s="61"/>
      <c r="NQ172" s="61"/>
      <c r="NR172" s="61"/>
      <c r="NS172" s="61"/>
      <c r="NT172" s="61"/>
      <c r="NU172" s="61"/>
      <c r="NV172" s="61"/>
      <c r="NW172" s="61"/>
      <c r="NX172" s="61"/>
      <c r="NY172" s="61"/>
      <c r="NZ172" s="61"/>
      <c r="OA172" s="61"/>
      <c r="OB172" s="61"/>
      <c r="OC172" s="61"/>
      <c r="OD172" s="61"/>
      <c r="OE172" s="61"/>
      <c r="OF172" s="61"/>
      <c r="OG172" s="61"/>
      <c r="OH172" s="61"/>
      <c r="OI172" s="61"/>
      <c r="OJ172" s="61"/>
      <c r="OK172" s="61"/>
      <c r="OL172" s="61"/>
      <c r="OM172" s="61"/>
      <c r="ON172" s="61"/>
      <c r="OO172" s="61"/>
      <c r="OP172" s="61"/>
      <c r="OQ172" s="61"/>
      <c r="OR172" s="61"/>
      <c r="OS172" s="61"/>
      <c r="OT172" s="61"/>
      <c r="OU172" s="61"/>
      <c r="OV172" s="61"/>
      <c r="OW172" s="61"/>
      <c r="OX172" s="61"/>
      <c r="OY172" s="61"/>
      <c r="OZ172" s="61"/>
      <c r="PA172" s="61"/>
      <c r="PB172" s="61"/>
      <c r="PC172" s="61"/>
      <c r="PD172" s="61"/>
      <c r="PE172" s="61"/>
      <c r="PF172" s="61"/>
      <c r="PG172" s="61"/>
      <c r="PH172" s="61"/>
      <c r="PI172" s="61"/>
      <c r="PJ172" s="61"/>
      <c r="PK172" s="61"/>
      <c r="PL172" s="61"/>
      <c r="PM172" s="61"/>
      <c r="PN172" s="61"/>
      <c r="PO172" s="61"/>
      <c r="PP172" s="61"/>
      <c r="PQ172" s="61"/>
      <c r="PR172" s="61"/>
      <c r="PS172" s="61"/>
      <c r="PT172" s="61"/>
      <c r="PU172" s="61"/>
      <c r="PV172" s="61"/>
      <c r="PW172" s="61"/>
      <c r="PX172" s="61"/>
      <c r="PY172" s="61"/>
      <c r="PZ172" s="61"/>
      <c r="QA172" s="61"/>
      <c r="QB172" s="61"/>
      <c r="QC172" s="61"/>
      <c r="QD172" s="61"/>
      <c r="QE172" s="61"/>
      <c r="QF172" s="61"/>
      <c r="QG172" s="61"/>
      <c r="QH172" s="61"/>
      <c r="QI172" s="61"/>
      <c r="QJ172" s="61"/>
      <c r="QK172" s="61"/>
      <c r="QL172" s="61"/>
      <c r="QM172" s="61"/>
      <c r="QN172" s="61"/>
      <c r="QO172" s="61"/>
      <c r="QP172" s="61"/>
      <c r="QQ172" s="61"/>
      <c r="QR172" s="61"/>
      <c r="QS172" s="61"/>
      <c r="QT172" s="61"/>
      <c r="QU172" s="61"/>
      <c r="QV172" s="61"/>
      <c r="QW172" s="61"/>
      <c r="QX172" s="61"/>
      <c r="QY172" s="61"/>
      <c r="QZ172" s="61"/>
      <c r="RA172" s="61"/>
      <c r="RB172" s="61"/>
      <c r="RC172" s="61"/>
      <c r="RD172" s="17"/>
    </row>
    <row r="173" spans="1:472" s="5" customFormat="1" hidden="1" x14ac:dyDescent="0.25">
      <c r="A173" s="5">
        <v>2087</v>
      </c>
      <c r="B173" s="5" t="s">
        <v>865</v>
      </c>
      <c r="C173" s="5" t="s">
        <v>4</v>
      </c>
      <c r="D173" s="5">
        <v>295</v>
      </c>
      <c r="E173" s="36"/>
      <c r="F173" s="64" t="s">
        <v>216</v>
      </c>
      <c r="G173" s="65"/>
      <c r="H173" s="19"/>
      <c r="I173" s="17"/>
      <c r="J173" s="17"/>
      <c r="K173" s="17"/>
      <c r="L173" s="17"/>
      <c r="M173" s="17"/>
      <c r="N173" s="17"/>
      <c r="O173" s="17"/>
      <c r="P173" s="17"/>
      <c r="Q173" s="17"/>
      <c r="R173" s="17"/>
      <c r="S173" s="17"/>
      <c r="T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c r="ED173" s="17"/>
      <c r="EE173" s="17"/>
      <c r="EF173" s="17"/>
      <c r="EG173" s="17"/>
      <c r="EH173" s="17"/>
      <c r="EI173" s="17"/>
      <c r="EJ173" s="17"/>
      <c r="EK173" s="17"/>
      <c r="EL173" s="17"/>
      <c r="EM173" s="17"/>
      <c r="EN173" s="17"/>
      <c r="EO173" s="17"/>
      <c r="EP173" s="17"/>
      <c r="EQ173" s="17"/>
      <c r="ER173" s="17"/>
      <c r="ES173" s="17"/>
      <c r="ET173" s="17"/>
      <c r="EU173" s="17"/>
      <c r="EV173" s="17"/>
      <c r="EW173" s="17"/>
      <c r="EX173" s="17"/>
      <c r="EY173" s="17"/>
      <c r="EZ173" s="17"/>
      <c r="FA173" s="17"/>
      <c r="FB173" s="17"/>
      <c r="FC173" s="17"/>
      <c r="FD173" s="17"/>
      <c r="FE173" s="17"/>
      <c r="FF173" s="61"/>
      <c r="FG173" s="61"/>
      <c r="FH173" s="61"/>
      <c r="FI173" s="61"/>
      <c r="FJ173" s="61"/>
      <c r="FK173" s="61"/>
      <c r="FL173" s="61"/>
      <c r="FM173" s="61"/>
      <c r="FN173" s="61"/>
      <c r="FO173" s="61"/>
      <c r="FP173" s="61"/>
      <c r="FQ173" s="61"/>
      <c r="FR173" s="61"/>
      <c r="FS173" s="61"/>
      <c r="FT173" s="61"/>
      <c r="FU173" s="61"/>
      <c r="FV173" s="61"/>
      <c r="FW173" s="61"/>
      <c r="FX173" s="61"/>
      <c r="FY173" s="61"/>
      <c r="FZ173" s="61"/>
      <c r="GA173" s="61"/>
      <c r="GB173" s="61"/>
      <c r="GC173" s="61"/>
      <c r="GD173" s="61"/>
      <c r="GE173" s="61"/>
      <c r="GF173" s="61"/>
      <c r="GG173" s="61"/>
      <c r="GH173" s="61"/>
      <c r="GI173" s="61"/>
      <c r="GJ173" s="61"/>
      <c r="GK173" s="61"/>
      <c r="GL173" s="61"/>
      <c r="GM173" s="61"/>
      <c r="GN173" s="61"/>
      <c r="GO173" s="61"/>
      <c r="GP173" s="61"/>
      <c r="GQ173" s="61"/>
      <c r="GR173" s="61"/>
      <c r="GS173" s="61"/>
      <c r="GT173" s="61">
        <v>2</v>
      </c>
      <c r="GU173" s="61"/>
      <c r="GV173" s="61">
        <v>2</v>
      </c>
      <c r="GW173" s="61"/>
      <c r="GX173" s="61">
        <v>2</v>
      </c>
      <c r="GY173" s="61"/>
      <c r="GZ173" s="61">
        <v>3</v>
      </c>
      <c r="HA173" s="61"/>
      <c r="HB173" s="61">
        <v>5</v>
      </c>
      <c r="HC173" s="61"/>
      <c r="HD173" s="61">
        <v>7</v>
      </c>
      <c r="HE173" s="61"/>
      <c r="HF173" s="61">
        <v>4</v>
      </c>
      <c r="HG173" s="61"/>
      <c r="HH173" s="61">
        <v>8</v>
      </c>
      <c r="HI173" s="61"/>
      <c r="HJ173" s="61">
        <v>8</v>
      </c>
      <c r="HK173" s="61"/>
      <c r="HL173" s="61">
        <v>11</v>
      </c>
      <c r="HM173" s="61"/>
      <c r="HN173" s="61">
        <v>11</v>
      </c>
      <c r="HO173" s="61"/>
      <c r="HP173" s="61">
        <v>18</v>
      </c>
      <c r="HQ173" s="61"/>
      <c r="HR173" s="61">
        <v>23</v>
      </c>
      <c r="HS173" s="61"/>
      <c r="HT173" s="61">
        <v>23</v>
      </c>
      <c r="HU173" s="61"/>
      <c r="HV173" s="61">
        <v>18</v>
      </c>
      <c r="HW173" s="61"/>
      <c r="HX173" s="61">
        <v>18</v>
      </c>
      <c r="HY173" s="61"/>
      <c r="HZ173" s="61">
        <v>15</v>
      </c>
      <c r="IA173" s="61"/>
      <c r="IB173" s="61">
        <v>12</v>
      </c>
      <c r="IC173" s="61"/>
      <c r="ID173" s="61">
        <v>8</v>
      </c>
      <c r="IE173" s="61"/>
      <c r="IF173" s="61">
        <v>6</v>
      </c>
      <c r="IG173" s="61"/>
      <c r="IH173" s="61">
        <v>5</v>
      </c>
      <c r="II173" s="61"/>
      <c r="IJ173" s="61">
        <v>2</v>
      </c>
      <c r="IK173" s="61"/>
      <c r="IL173" s="61">
        <v>2</v>
      </c>
      <c r="IM173" s="61"/>
      <c r="IN173" s="61">
        <v>1</v>
      </c>
      <c r="IO173" s="61"/>
      <c r="IP173" s="61"/>
      <c r="IQ173" s="61"/>
      <c r="IR173" s="61"/>
      <c r="IS173" s="61"/>
      <c r="IT173" s="61"/>
      <c r="IU173" s="61"/>
      <c r="IV173" s="61"/>
      <c r="IW173" s="61"/>
      <c r="IX173" s="61"/>
      <c r="IY173" s="61"/>
      <c r="IZ173" s="61"/>
      <c r="JA173" s="61"/>
      <c r="JB173" s="61"/>
      <c r="JC173" s="61"/>
      <c r="JD173" s="61"/>
      <c r="JE173" s="61"/>
      <c r="JF173" s="61"/>
      <c r="JG173" s="61"/>
      <c r="JH173" s="61"/>
      <c r="JI173" s="61"/>
      <c r="JJ173" s="61"/>
      <c r="JK173" s="61"/>
      <c r="JL173" s="61"/>
      <c r="JM173" s="61"/>
      <c r="JN173" s="61"/>
      <c r="JO173" s="61"/>
      <c r="JP173" s="61"/>
      <c r="JQ173" s="61"/>
      <c r="JR173" s="61"/>
      <c r="JS173" s="61"/>
      <c r="JT173" s="61"/>
      <c r="JU173" s="61"/>
      <c r="JV173" s="61"/>
      <c r="JW173" s="61"/>
      <c r="JX173" s="61"/>
      <c r="JY173" s="61"/>
      <c r="JZ173" s="61"/>
      <c r="KA173" s="61"/>
      <c r="KB173" s="61"/>
      <c r="KC173" s="61"/>
      <c r="KD173" s="61"/>
      <c r="KE173" s="61"/>
      <c r="KF173" s="61"/>
      <c r="KG173" s="61"/>
      <c r="KH173" s="61"/>
      <c r="KI173" s="61"/>
      <c r="KJ173" s="61"/>
      <c r="KK173" s="61"/>
      <c r="KL173" s="61"/>
      <c r="KM173" s="61"/>
      <c r="KN173" s="61"/>
      <c r="KO173" s="61"/>
      <c r="KP173" s="61"/>
      <c r="KQ173" s="61"/>
      <c r="KR173" s="61"/>
      <c r="KS173" s="61"/>
      <c r="KT173" s="61"/>
      <c r="KU173" s="61"/>
      <c r="KV173" s="61"/>
      <c r="KW173" s="61"/>
      <c r="KX173" s="61"/>
      <c r="KY173" s="61"/>
      <c r="KZ173" s="61"/>
      <c r="LA173" s="61"/>
      <c r="LB173" s="61"/>
      <c r="LC173" s="61"/>
      <c r="LD173" s="61"/>
      <c r="LE173" s="61"/>
      <c r="LF173" s="61"/>
      <c r="LG173" s="61"/>
      <c r="LH173" s="61"/>
      <c r="LI173" s="61"/>
      <c r="LJ173" s="61"/>
      <c r="LK173" s="61"/>
      <c r="LL173" s="61"/>
      <c r="LM173" s="61"/>
      <c r="LN173" s="61"/>
      <c r="LO173" s="61"/>
      <c r="LP173" s="61"/>
      <c r="LQ173" s="61"/>
      <c r="LR173" s="61"/>
      <c r="LS173" s="61"/>
      <c r="LT173" s="61"/>
      <c r="LU173" s="61"/>
      <c r="LV173" s="61"/>
      <c r="LW173" s="61"/>
      <c r="LX173" s="61"/>
      <c r="LY173" s="61"/>
      <c r="LZ173" s="61"/>
      <c r="MA173" s="61"/>
      <c r="MB173" s="61"/>
      <c r="MC173" s="61"/>
      <c r="MD173" s="61"/>
      <c r="ME173" s="61"/>
      <c r="MF173" s="61"/>
      <c r="MG173" s="61"/>
      <c r="MH173" s="61"/>
      <c r="MI173" s="61"/>
      <c r="MJ173" s="61"/>
      <c r="MK173" s="61"/>
      <c r="ML173" s="61"/>
      <c r="MM173" s="61"/>
      <c r="MN173" s="61"/>
      <c r="MO173" s="61"/>
      <c r="MP173" s="61"/>
      <c r="MQ173" s="61"/>
      <c r="MR173" s="61"/>
      <c r="MS173" s="61"/>
      <c r="MT173" s="61"/>
      <c r="MU173" s="61"/>
      <c r="MV173" s="61"/>
      <c r="MW173" s="61"/>
      <c r="MX173" s="61"/>
      <c r="MY173" s="61"/>
      <c r="MZ173" s="61"/>
      <c r="NA173" s="61"/>
      <c r="NB173" s="61"/>
      <c r="NC173" s="61"/>
      <c r="ND173" s="61"/>
      <c r="NE173" s="61"/>
      <c r="NF173" s="61"/>
      <c r="NG173" s="61"/>
      <c r="NH173" s="61"/>
      <c r="NI173" s="61"/>
      <c r="NJ173" s="61"/>
      <c r="NK173" s="61"/>
      <c r="NL173" s="61"/>
      <c r="NM173" s="61"/>
      <c r="NN173" s="61"/>
      <c r="NO173" s="61"/>
      <c r="NP173" s="61"/>
      <c r="NQ173" s="61"/>
      <c r="NR173" s="61"/>
      <c r="NS173" s="61"/>
      <c r="NT173" s="61"/>
      <c r="NU173" s="61"/>
      <c r="NV173" s="61"/>
      <c r="NW173" s="61"/>
      <c r="NX173" s="61"/>
      <c r="NY173" s="61"/>
      <c r="NZ173" s="61"/>
      <c r="OA173" s="61"/>
      <c r="OB173" s="61"/>
      <c r="OC173" s="61"/>
      <c r="OD173" s="61"/>
      <c r="OE173" s="61"/>
      <c r="OF173" s="61"/>
      <c r="OG173" s="61"/>
      <c r="OH173" s="61"/>
      <c r="OI173" s="61"/>
      <c r="OJ173" s="61"/>
      <c r="OK173" s="61"/>
      <c r="OL173" s="61"/>
      <c r="OM173" s="61"/>
      <c r="ON173" s="61"/>
      <c r="OO173" s="61"/>
      <c r="OP173" s="61"/>
      <c r="OQ173" s="61"/>
      <c r="OR173" s="61"/>
      <c r="OS173" s="61"/>
      <c r="OT173" s="61"/>
      <c r="OU173" s="61"/>
      <c r="OV173" s="61"/>
      <c r="OW173" s="61"/>
      <c r="OX173" s="61"/>
      <c r="OY173" s="61"/>
      <c r="OZ173" s="61"/>
      <c r="PA173" s="61"/>
      <c r="PB173" s="61"/>
      <c r="PC173" s="61"/>
      <c r="PD173" s="61"/>
      <c r="PE173" s="61"/>
      <c r="PF173" s="61"/>
      <c r="PG173" s="61"/>
      <c r="PH173" s="61"/>
      <c r="PI173" s="61"/>
      <c r="PJ173" s="61"/>
      <c r="PK173" s="61"/>
      <c r="PL173" s="61"/>
      <c r="PM173" s="61"/>
      <c r="PN173" s="61"/>
      <c r="PO173" s="61"/>
      <c r="PP173" s="61"/>
      <c r="PQ173" s="61"/>
      <c r="PR173" s="61"/>
      <c r="PS173" s="61"/>
      <c r="PT173" s="61"/>
      <c r="PU173" s="61"/>
      <c r="PV173" s="61"/>
      <c r="PW173" s="61"/>
      <c r="PX173" s="61"/>
      <c r="PY173" s="61"/>
      <c r="PZ173" s="61"/>
      <c r="QA173" s="61"/>
      <c r="QB173" s="61"/>
      <c r="QC173" s="61"/>
      <c r="QD173" s="61"/>
      <c r="QE173" s="61"/>
      <c r="QF173" s="61"/>
      <c r="QG173" s="61"/>
      <c r="QH173" s="61"/>
      <c r="QI173" s="61"/>
      <c r="QJ173" s="61"/>
      <c r="QK173" s="61"/>
      <c r="QL173" s="61"/>
      <c r="QM173" s="61"/>
      <c r="QN173" s="61"/>
      <c r="QO173" s="61"/>
      <c r="QP173" s="61"/>
      <c r="QQ173" s="61"/>
      <c r="QR173" s="61"/>
      <c r="QS173" s="61"/>
      <c r="QT173" s="61"/>
      <c r="QU173" s="61"/>
      <c r="QV173" s="61"/>
      <c r="QW173" s="61"/>
      <c r="QX173" s="61"/>
      <c r="QY173" s="61"/>
      <c r="QZ173" s="61"/>
      <c r="RA173" s="61"/>
      <c r="RB173" s="61"/>
      <c r="RC173" s="61"/>
      <c r="RD173" s="17"/>
    </row>
    <row r="174" spans="1:472" s="5" customFormat="1" hidden="1" x14ac:dyDescent="0.25">
      <c r="A174" s="5">
        <v>2089</v>
      </c>
      <c r="B174" s="5" t="s">
        <v>863</v>
      </c>
      <c r="C174" s="5" t="s">
        <v>626</v>
      </c>
      <c r="D174" s="5">
        <v>238</v>
      </c>
      <c r="E174" s="36"/>
      <c r="F174" s="64" t="s">
        <v>216</v>
      </c>
      <c r="G174" s="65"/>
      <c r="H174" s="19"/>
      <c r="I174" s="17"/>
      <c r="J174" s="17"/>
      <c r="K174" s="17"/>
      <c r="L174" s="17"/>
      <c r="M174" s="17"/>
      <c r="N174" s="17"/>
      <c r="O174" s="17"/>
      <c r="P174" s="17"/>
      <c r="Q174" s="17"/>
      <c r="R174" s="17"/>
      <c r="S174" s="17"/>
      <c r="T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c r="ED174" s="17"/>
      <c r="EE174" s="17"/>
      <c r="EF174" s="17"/>
      <c r="EG174" s="17"/>
      <c r="EH174" s="17"/>
      <c r="EI174" s="17"/>
      <c r="EJ174" s="17"/>
      <c r="EK174" s="17"/>
      <c r="EL174" s="17"/>
      <c r="EM174" s="17"/>
      <c r="EN174" s="17"/>
      <c r="EO174" s="17"/>
      <c r="EP174" s="17"/>
      <c r="EQ174" s="17"/>
      <c r="ER174" s="17"/>
      <c r="ES174" s="17"/>
      <c r="ET174" s="17"/>
      <c r="EU174" s="17"/>
      <c r="EV174" s="17"/>
      <c r="EW174" s="17"/>
      <c r="EX174" s="17"/>
      <c r="EY174" s="17"/>
      <c r="EZ174" s="17"/>
      <c r="FA174" s="17"/>
      <c r="FB174" s="17"/>
      <c r="FC174" s="17"/>
      <c r="FD174" s="17"/>
      <c r="FE174" s="17"/>
      <c r="FF174" s="61"/>
      <c r="FG174" s="61"/>
      <c r="FH174" s="61"/>
      <c r="FI174" s="61"/>
      <c r="FJ174" s="61"/>
      <c r="FK174" s="61"/>
      <c r="FL174" s="61"/>
      <c r="FM174" s="61"/>
      <c r="FN174" s="61"/>
      <c r="FO174" s="61"/>
      <c r="FP174" s="61"/>
      <c r="FQ174" s="61"/>
      <c r="FR174" s="61"/>
      <c r="FS174" s="61"/>
      <c r="FT174" s="61"/>
      <c r="FU174" s="61"/>
      <c r="FV174" s="61"/>
      <c r="FW174" s="61"/>
      <c r="FX174" s="61"/>
      <c r="FY174" s="61"/>
      <c r="FZ174" s="61"/>
      <c r="GA174" s="61"/>
      <c r="GB174" s="61"/>
      <c r="GC174" s="61"/>
      <c r="GD174" s="61"/>
      <c r="GE174" s="61"/>
      <c r="GF174" s="61"/>
      <c r="GG174" s="61"/>
      <c r="GH174" s="61"/>
      <c r="GI174" s="61"/>
      <c r="GJ174" s="61"/>
      <c r="GK174" s="61"/>
      <c r="GL174" s="61"/>
      <c r="GM174" s="61"/>
      <c r="GN174" s="61"/>
      <c r="GO174" s="61"/>
      <c r="GP174" s="61"/>
      <c r="GQ174" s="61"/>
      <c r="GR174" s="61"/>
      <c r="GS174" s="61"/>
      <c r="GT174" s="61"/>
      <c r="GU174" s="61"/>
      <c r="GV174" s="61"/>
      <c r="GW174" s="61"/>
      <c r="GX174" s="61"/>
      <c r="GY174" s="61"/>
      <c r="GZ174" s="61"/>
      <c r="HA174" s="61"/>
      <c r="HB174" s="61">
        <v>2</v>
      </c>
      <c r="HC174" s="61"/>
      <c r="HD174" s="61">
        <v>2</v>
      </c>
      <c r="HE174" s="61"/>
      <c r="HF174" s="61">
        <v>4</v>
      </c>
      <c r="HG174" s="61"/>
      <c r="HH174" s="61">
        <v>5</v>
      </c>
      <c r="HI174" s="61"/>
      <c r="HJ174" s="61">
        <v>3</v>
      </c>
      <c r="HK174" s="61"/>
      <c r="HL174" s="61">
        <v>8</v>
      </c>
      <c r="HM174" s="61"/>
      <c r="HN174" s="61">
        <v>12</v>
      </c>
      <c r="HO174" s="61"/>
      <c r="HP174" s="61">
        <v>15</v>
      </c>
      <c r="HQ174" s="61"/>
      <c r="HR174" s="61">
        <v>21</v>
      </c>
      <c r="HS174" s="61"/>
      <c r="HT174" s="61">
        <v>22</v>
      </c>
      <c r="HU174" s="61"/>
      <c r="HV174" s="61">
        <v>25</v>
      </c>
      <c r="HW174" s="61"/>
      <c r="HX174" s="61">
        <v>24</v>
      </c>
      <c r="HY174" s="61"/>
      <c r="HZ174" s="61">
        <v>16</v>
      </c>
      <c r="IA174" s="61"/>
      <c r="IB174" s="61">
        <v>15</v>
      </c>
      <c r="IC174" s="61"/>
      <c r="ID174" s="61">
        <v>12</v>
      </c>
      <c r="IE174" s="61"/>
      <c r="IF174" s="61">
        <v>8</v>
      </c>
      <c r="IG174" s="61"/>
      <c r="IH174" s="61">
        <v>6</v>
      </c>
      <c r="II174" s="61"/>
      <c r="IJ174" s="61">
        <v>6</v>
      </c>
      <c r="IK174" s="61"/>
      <c r="IL174" s="61">
        <v>5</v>
      </c>
      <c r="IM174" s="61"/>
      <c r="IN174" s="61">
        <v>1</v>
      </c>
      <c r="IO174" s="61"/>
      <c r="IP174" s="61">
        <v>2</v>
      </c>
      <c r="IQ174" s="61"/>
      <c r="IR174" s="61">
        <v>2</v>
      </c>
      <c r="IS174" s="61"/>
      <c r="IT174" s="61"/>
      <c r="IU174" s="61"/>
      <c r="IV174" s="61"/>
      <c r="IW174" s="61"/>
      <c r="IX174" s="61"/>
      <c r="IY174" s="61"/>
      <c r="IZ174" s="61"/>
      <c r="JA174" s="61"/>
      <c r="JB174" s="61"/>
      <c r="JC174" s="61"/>
      <c r="JD174" s="61"/>
      <c r="JE174" s="61"/>
      <c r="JF174" s="61"/>
      <c r="JG174" s="61"/>
      <c r="JH174" s="61"/>
      <c r="JI174" s="61"/>
      <c r="JJ174" s="61"/>
      <c r="JK174" s="61"/>
      <c r="JL174" s="61"/>
      <c r="JM174" s="61"/>
      <c r="JN174" s="61"/>
      <c r="JO174" s="61"/>
      <c r="JP174" s="61"/>
      <c r="JQ174" s="61"/>
      <c r="JR174" s="61"/>
      <c r="JS174" s="61"/>
      <c r="JT174" s="61"/>
      <c r="JU174" s="61"/>
      <c r="JV174" s="61"/>
      <c r="JW174" s="61"/>
      <c r="JX174" s="61"/>
      <c r="JY174" s="61"/>
      <c r="JZ174" s="61"/>
      <c r="KA174" s="61"/>
      <c r="KB174" s="61"/>
      <c r="KC174" s="61"/>
      <c r="KD174" s="61"/>
      <c r="KE174" s="61"/>
      <c r="KF174" s="61"/>
      <c r="KG174" s="61"/>
      <c r="KH174" s="61"/>
      <c r="KI174" s="61"/>
      <c r="KJ174" s="61"/>
      <c r="KK174" s="61"/>
      <c r="KL174" s="61"/>
      <c r="KM174" s="61"/>
      <c r="KN174" s="61"/>
      <c r="KO174" s="61"/>
      <c r="KP174" s="61"/>
      <c r="KQ174" s="61"/>
      <c r="KR174" s="61"/>
      <c r="KS174" s="61"/>
      <c r="KT174" s="61"/>
      <c r="KU174" s="61"/>
      <c r="KV174" s="61"/>
      <c r="KW174" s="61"/>
      <c r="KX174" s="61"/>
      <c r="KY174" s="61"/>
      <c r="KZ174" s="61"/>
      <c r="LA174" s="61"/>
      <c r="LB174" s="61"/>
      <c r="LC174" s="61"/>
      <c r="LD174" s="61"/>
      <c r="LE174" s="61"/>
      <c r="LF174" s="61"/>
      <c r="LG174" s="61"/>
      <c r="LH174" s="61"/>
      <c r="LI174" s="61"/>
      <c r="LJ174" s="61"/>
      <c r="LK174" s="61"/>
      <c r="LL174" s="61"/>
      <c r="LM174" s="61"/>
      <c r="LN174" s="61"/>
      <c r="LO174" s="61"/>
      <c r="LP174" s="61"/>
      <c r="LQ174" s="61"/>
      <c r="LR174" s="61"/>
      <c r="LS174" s="61"/>
      <c r="LT174" s="61"/>
      <c r="LU174" s="61"/>
      <c r="LV174" s="61"/>
      <c r="LW174" s="61"/>
      <c r="LX174" s="61"/>
      <c r="LY174" s="61"/>
      <c r="LZ174" s="61"/>
      <c r="MA174" s="61"/>
      <c r="MB174" s="61"/>
      <c r="MC174" s="61"/>
      <c r="MD174" s="61"/>
      <c r="ME174" s="61"/>
      <c r="MF174" s="61"/>
      <c r="MG174" s="61"/>
      <c r="MH174" s="61"/>
      <c r="MI174" s="61"/>
      <c r="MJ174" s="61"/>
      <c r="MK174" s="61"/>
      <c r="ML174" s="61"/>
      <c r="MM174" s="61"/>
      <c r="MN174" s="61"/>
      <c r="MO174" s="61"/>
      <c r="MP174" s="61"/>
      <c r="MQ174" s="61"/>
      <c r="MR174" s="61"/>
      <c r="MS174" s="61"/>
      <c r="MT174" s="61"/>
      <c r="MU174" s="61"/>
      <c r="MV174" s="61"/>
      <c r="MW174" s="61"/>
      <c r="MX174" s="61"/>
      <c r="MY174" s="61"/>
      <c r="MZ174" s="61"/>
      <c r="NA174" s="61"/>
      <c r="NB174" s="61"/>
      <c r="NC174" s="61"/>
      <c r="ND174" s="61"/>
      <c r="NE174" s="61"/>
      <c r="NF174" s="61"/>
      <c r="NG174" s="61"/>
      <c r="NH174" s="61"/>
      <c r="NI174" s="61"/>
      <c r="NJ174" s="61"/>
      <c r="NK174" s="61"/>
      <c r="NL174" s="61"/>
      <c r="NM174" s="61"/>
      <c r="NN174" s="61"/>
      <c r="NO174" s="61"/>
      <c r="NP174" s="61"/>
      <c r="NQ174" s="61"/>
      <c r="NR174" s="61"/>
      <c r="NS174" s="61"/>
      <c r="NT174" s="61"/>
      <c r="NU174" s="61"/>
      <c r="NV174" s="61"/>
      <c r="NW174" s="61"/>
      <c r="NX174" s="61"/>
      <c r="NY174" s="61"/>
      <c r="NZ174" s="61"/>
      <c r="OA174" s="61"/>
      <c r="OB174" s="61"/>
      <c r="OC174" s="61"/>
      <c r="OD174" s="61"/>
      <c r="OE174" s="61"/>
      <c r="OF174" s="61"/>
      <c r="OG174" s="61"/>
      <c r="OH174" s="61"/>
      <c r="OI174" s="61"/>
      <c r="OJ174" s="61"/>
      <c r="OK174" s="61"/>
      <c r="OL174" s="61"/>
      <c r="OM174" s="61"/>
      <c r="ON174" s="61"/>
      <c r="OO174" s="61"/>
      <c r="OP174" s="61"/>
      <c r="OQ174" s="61"/>
      <c r="OR174" s="61"/>
      <c r="OS174" s="61"/>
      <c r="OT174" s="61"/>
      <c r="OU174" s="61"/>
      <c r="OV174" s="61"/>
      <c r="OW174" s="61"/>
      <c r="OX174" s="61"/>
      <c r="OY174" s="61"/>
      <c r="OZ174" s="61"/>
      <c r="PA174" s="61"/>
      <c r="PB174" s="61"/>
      <c r="PC174" s="61"/>
      <c r="PD174" s="61"/>
      <c r="PE174" s="61"/>
      <c r="PF174" s="61"/>
      <c r="PG174" s="61"/>
      <c r="PH174" s="61"/>
      <c r="PI174" s="61"/>
      <c r="PJ174" s="61"/>
      <c r="PK174" s="61"/>
      <c r="PL174" s="61"/>
      <c r="PM174" s="61"/>
      <c r="PN174" s="61"/>
      <c r="PO174" s="61"/>
      <c r="PP174" s="61"/>
      <c r="PQ174" s="61"/>
      <c r="PR174" s="61"/>
      <c r="PS174" s="61"/>
      <c r="PT174" s="61"/>
      <c r="PU174" s="61"/>
      <c r="PV174" s="61"/>
      <c r="PW174" s="61"/>
      <c r="PX174" s="61"/>
      <c r="PY174" s="61"/>
      <c r="PZ174" s="61"/>
      <c r="QA174" s="61"/>
      <c r="QB174" s="61"/>
      <c r="QC174" s="61"/>
      <c r="QD174" s="61"/>
      <c r="QE174" s="61"/>
      <c r="QF174" s="61"/>
      <c r="QG174" s="61"/>
      <c r="QH174" s="61"/>
      <c r="QI174" s="61"/>
      <c r="QJ174" s="61"/>
      <c r="QK174" s="61"/>
      <c r="QL174" s="61"/>
      <c r="QM174" s="61"/>
      <c r="QN174" s="61"/>
      <c r="QO174" s="61"/>
      <c r="QP174" s="61"/>
      <c r="QQ174" s="61"/>
      <c r="QR174" s="61"/>
      <c r="QS174" s="61"/>
      <c r="QT174" s="61"/>
      <c r="QU174" s="61"/>
      <c r="QV174" s="61"/>
      <c r="QW174" s="61"/>
      <c r="QX174" s="61"/>
      <c r="QY174" s="61"/>
      <c r="QZ174" s="61"/>
      <c r="RA174" s="61"/>
      <c r="RB174" s="61"/>
      <c r="RC174" s="61"/>
      <c r="RD174" s="17"/>
    </row>
    <row r="175" spans="1:472" s="5" customFormat="1" hidden="1" x14ac:dyDescent="0.25">
      <c r="A175" s="5">
        <v>2098</v>
      </c>
      <c r="B175" s="5" t="s">
        <v>944</v>
      </c>
      <c r="C175" s="5" t="s">
        <v>5</v>
      </c>
      <c r="D175" s="5">
        <v>170</v>
      </c>
      <c r="E175" s="36"/>
      <c r="F175" s="64" t="s">
        <v>216</v>
      </c>
      <c r="G175" s="65"/>
      <c r="H175" s="19"/>
      <c r="I175" s="17"/>
      <c r="J175" s="17"/>
      <c r="K175" s="17"/>
      <c r="L175" s="17"/>
      <c r="M175" s="17"/>
      <c r="N175" s="17"/>
      <c r="O175" s="17"/>
      <c r="P175" s="17"/>
      <c r="Q175" s="17"/>
      <c r="R175" s="17"/>
      <c r="S175" s="17"/>
      <c r="T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c r="ED175" s="17"/>
      <c r="EE175" s="17"/>
      <c r="EF175" s="17"/>
      <c r="EG175" s="17"/>
      <c r="EH175" s="17"/>
      <c r="EI175" s="17"/>
      <c r="EJ175" s="17"/>
      <c r="EK175" s="17"/>
      <c r="EL175" s="17"/>
      <c r="EM175" s="17"/>
      <c r="EN175" s="17"/>
      <c r="EO175" s="17"/>
      <c r="EP175" s="17"/>
      <c r="EQ175" s="17"/>
      <c r="ER175" s="17"/>
      <c r="ES175" s="17"/>
      <c r="ET175" s="17"/>
      <c r="EU175" s="17"/>
      <c r="EV175" s="17"/>
      <c r="EW175" s="17"/>
      <c r="EX175" s="17"/>
      <c r="EY175" s="17"/>
      <c r="EZ175" s="17"/>
      <c r="FA175" s="17"/>
      <c r="FB175" s="17"/>
      <c r="FC175" s="17"/>
      <c r="FD175" s="17"/>
      <c r="FE175" s="17"/>
      <c r="FF175" s="61"/>
      <c r="FG175" s="61"/>
      <c r="FH175" s="61"/>
      <c r="FI175" s="61"/>
      <c r="FJ175" s="61"/>
      <c r="FK175" s="61"/>
      <c r="FL175" s="61"/>
      <c r="FM175" s="61"/>
      <c r="FN175" s="61"/>
      <c r="FO175" s="61"/>
      <c r="FP175" s="61"/>
      <c r="FQ175" s="61"/>
      <c r="FR175" s="61"/>
      <c r="FS175" s="61"/>
      <c r="FT175" s="61"/>
      <c r="FU175" s="61"/>
      <c r="FV175" s="61"/>
      <c r="FW175" s="61"/>
      <c r="FX175" s="61"/>
      <c r="FY175" s="61"/>
      <c r="FZ175" s="61"/>
      <c r="GA175" s="61"/>
      <c r="GB175" s="61"/>
      <c r="GC175" s="61"/>
      <c r="GD175" s="61"/>
      <c r="GE175" s="61"/>
      <c r="GF175" s="61"/>
      <c r="GG175" s="61"/>
      <c r="GH175" s="61"/>
      <c r="GI175" s="61"/>
      <c r="GJ175" s="61"/>
      <c r="GK175" s="61"/>
      <c r="GL175" s="61"/>
      <c r="GM175" s="61"/>
      <c r="GN175" s="61"/>
      <c r="GO175" s="61"/>
      <c r="GP175" s="61"/>
      <c r="GQ175" s="61"/>
      <c r="GR175" s="61"/>
      <c r="GS175" s="61"/>
      <c r="GT175" s="61"/>
      <c r="GU175" s="61"/>
      <c r="GV175" s="61"/>
      <c r="GW175" s="61"/>
      <c r="GX175" s="61"/>
      <c r="GY175" s="61"/>
      <c r="GZ175" s="61"/>
      <c r="HA175" s="61"/>
      <c r="HB175" s="61"/>
      <c r="HC175" s="61"/>
      <c r="HD175" s="61"/>
      <c r="HE175" s="61"/>
      <c r="HF175" s="61"/>
      <c r="HG175" s="61"/>
      <c r="HH175" s="61"/>
      <c r="HI175" s="61"/>
      <c r="HJ175" s="61"/>
      <c r="HK175" s="61"/>
      <c r="HL175" s="61">
        <v>2</v>
      </c>
      <c r="HM175" s="61"/>
      <c r="HN175" s="61">
        <v>3</v>
      </c>
      <c r="HO175" s="61"/>
      <c r="HP175" s="61">
        <v>5</v>
      </c>
      <c r="HQ175" s="61"/>
      <c r="HR175" s="61">
        <v>3</v>
      </c>
      <c r="HS175" s="61"/>
      <c r="HT175" s="61">
        <v>10</v>
      </c>
      <c r="HU175" s="61"/>
      <c r="HV175" s="61">
        <v>12</v>
      </c>
      <c r="HW175" s="61"/>
      <c r="HX175" s="61">
        <v>22</v>
      </c>
      <c r="HY175" s="61"/>
      <c r="HZ175" s="61">
        <v>24</v>
      </c>
      <c r="IA175" s="61"/>
      <c r="IB175" s="61">
        <v>31</v>
      </c>
      <c r="IC175" s="61"/>
      <c r="ID175" s="61">
        <v>28</v>
      </c>
      <c r="IE175" s="61"/>
      <c r="IF175" s="61">
        <v>10</v>
      </c>
      <c r="IG175" s="61"/>
      <c r="IH175" s="61">
        <v>12</v>
      </c>
      <c r="II175" s="61"/>
      <c r="IJ175" s="61">
        <v>12</v>
      </c>
      <c r="IK175" s="61"/>
      <c r="IL175" s="61">
        <v>8</v>
      </c>
      <c r="IM175" s="61"/>
      <c r="IN175" s="61">
        <v>7</v>
      </c>
      <c r="IO175" s="61"/>
      <c r="IP175" s="61">
        <v>6</v>
      </c>
      <c r="IQ175" s="61"/>
      <c r="IR175" s="61">
        <v>5</v>
      </c>
      <c r="IS175" s="61"/>
      <c r="IT175" s="61">
        <v>5</v>
      </c>
      <c r="IU175" s="61"/>
      <c r="IV175" s="61">
        <v>4</v>
      </c>
      <c r="IW175" s="61"/>
      <c r="IX175" s="61">
        <v>2</v>
      </c>
      <c r="IY175" s="61"/>
      <c r="IZ175" s="61">
        <v>1</v>
      </c>
      <c r="JA175" s="61"/>
      <c r="JB175" s="61">
        <v>1</v>
      </c>
      <c r="JC175" s="61"/>
      <c r="JD175" s="61"/>
      <c r="JE175" s="61"/>
      <c r="JF175" s="61"/>
      <c r="JG175" s="61"/>
      <c r="JH175" s="61"/>
      <c r="JI175" s="61"/>
      <c r="JJ175" s="61"/>
      <c r="JK175" s="61"/>
      <c r="JL175" s="61"/>
      <c r="JM175" s="61"/>
      <c r="JN175" s="61"/>
      <c r="JO175" s="61"/>
      <c r="JP175" s="61"/>
      <c r="JQ175" s="61"/>
      <c r="JR175" s="61"/>
      <c r="JS175" s="61"/>
      <c r="JT175" s="61"/>
      <c r="JU175" s="61"/>
      <c r="JV175" s="61"/>
      <c r="JW175" s="61"/>
      <c r="JX175" s="61"/>
      <c r="JY175" s="61"/>
      <c r="JZ175" s="61"/>
      <c r="KA175" s="61"/>
      <c r="KB175" s="61"/>
      <c r="KC175" s="61"/>
      <c r="KD175" s="61"/>
      <c r="KE175" s="61"/>
      <c r="KF175" s="61"/>
      <c r="KG175" s="61"/>
      <c r="KH175" s="61"/>
      <c r="KI175" s="61"/>
      <c r="KJ175" s="61"/>
      <c r="KK175" s="61"/>
      <c r="KL175" s="61"/>
      <c r="KM175" s="61"/>
      <c r="KN175" s="61"/>
      <c r="KO175" s="61"/>
      <c r="KP175" s="61"/>
      <c r="KQ175" s="61"/>
      <c r="KR175" s="61"/>
      <c r="KS175" s="61"/>
      <c r="KT175" s="61"/>
      <c r="KU175" s="61"/>
      <c r="KV175" s="61"/>
      <c r="KW175" s="61"/>
      <c r="KX175" s="61"/>
      <c r="KY175" s="61"/>
      <c r="KZ175" s="61"/>
      <c r="LA175" s="61"/>
      <c r="LB175" s="61"/>
      <c r="LC175" s="61"/>
      <c r="LD175" s="61"/>
      <c r="LE175" s="61"/>
      <c r="LF175" s="61"/>
      <c r="LG175" s="61"/>
      <c r="LH175" s="61"/>
      <c r="LI175" s="61"/>
      <c r="LJ175" s="61"/>
      <c r="LK175" s="61"/>
      <c r="LL175" s="61"/>
      <c r="LM175" s="61"/>
      <c r="LN175" s="61"/>
      <c r="LO175" s="61"/>
      <c r="LP175" s="61"/>
      <c r="LQ175" s="61"/>
      <c r="LR175" s="61"/>
      <c r="LS175" s="61"/>
      <c r="LT175" s="61"/>
      <c r="LU175" s="61"/>
      <c r="LV175" s="61"/>
      <c r="LW175" s="61"/>
      <c r="LX175" s="61"/>
      <c r="LY175" s="61"/>
      <c r="LZ175" s="61"/>
      <c r="MA175" s="61"/>
      <c r="MB175" s="61"/>
      <c r="MC175" s="61"/>
      <c r="MD175" s="61"/>
      <c r="ME175" s="61"/>
      <c r="MF175" s="61"/>
      <c r="MG175" s="61"/>
      <c r="MH175" s="61"/>
      <c r="MI175" s="61"/>
      <c r="MJ175" s="61"/>
      <c r="MK175" s="61"/>
      <c r="ML175" s="61"/>
      <c r="MM175" s="61"/>
      <c r="MN175" s="61"/>
      <c r="MO175" s="61"/>
      <c r="MP175" s="61"/>
      <c r="MQ175" s="61"/>
      <c r="MR175" s="61"/>
      <c r="MS175" s="61"/>
      <c r="MT175" s="61"/>
      <c r="MU175" s="61"/>
      <c r="MV175" s="61"/>
      <c r="MW175" s="61"/>
      <c r="MX175" s="61"/>
      <c r="MY175" s="61"/>
      <c r="MZ175" s="61"/>
      <c r="NA175" s="61"/>
      <c r="NB175" s="61"/>
      <c r="NC175" s="61"/>
      <c r="ND175" s="61"/>
      <c r="NE175" s="61"/>
      <c r="NF175" s="61"/>
      <c r="NG175" s="61"/>
      <c r="NH175" s="61"/>
      <c r="NI175" s="61"/>
      <c r="NJ175" s="61"/>
      <c r="NK175" s="61"/>
      <c r="NL175" s="61"/>
      <c r="NM175" s="61"/>
      <c r="NN175" s="61"/>
      <c r="NO175" s="61"/>
      <c r="NP175" s="61"/>
      <c r="NQ175" s="61"/>
      <c r="NR175" s="61"/>
      <c r="NS175" s="61"/>
      <c r="NT175" s="61"/>
      <c r="NU175" s="61"/>
      <c r="NV175" s="61"/>
      <c r="NW175" s="61"/>
      <c r="NX175" s="61"/>
      <c r="NY175" s="61"/>
      <c r="NZ175" s="61"/>
      <c r="OA175" s="61"/>
      <c r="OB175" s="61"/>
      <c r="OC175" s="61"/>
      <c r="OD175" s="61"/>
      <c r="OE175" s="61"/>
      <c r="OF175" s="61"/>
      <c r="OG175" s="61"/>
      <c r="OH175" s="61"/>
      <c r="OI175" s="61"/>
      <c r="OJ175" s="61"/>
      <c r="OK175" s="61"/>
      <c r="OL175" s="61"/>
      <c r="OM175" s="61"/>
      <c r="ON175" s="61"/>
      <c r="OO175" s="61"/>
      <c r="OP175" s="61"/>
      <c r="OQ175" s="61"/>
      <c r="OR175" s="61"/>
      <c r="OS175" s="61"/>
      <c r="OT175" s="61"/>
      <c r="OU175" s="61"/>
      <c r="OV175" s="61"/>
      <c r="OW175" s="61"/>
      <c r="OX175" s="61"/>
      <c r="OY175" s="61"/>
      <c r="OZ175" s="61"/>
      <c r="PA175" s="61"/>
      <c r="PB175" s="61"/>
      <c r="PC175" s="61"/>
      <c r="PD175" s="61"/>
      <c r="PE175" s="61"/>
      <c r="PF175" s="61"/>
      <c r="PG175" s="61"/>
      <c r="PH175" s="61"/>
      <c r="PI175" s="61"/>
      <c r="PJ175" s="61"/>
      <c r="PK175" s="61"/>
      <c r="PL175" s="61"/>
      <c r="PM175" s="61"/>
      <c r="PN175" s="61"/>
      <c r="PO175" s="61"/>
      <c r="PP175" s="61"/>
      <c r="PQ175" s="61"/>
      <c r="PR175" s="61"/>
      <c r="PS175" s="61"/>
      <c r="PT175" s="61"/>
      <c r="PU175" s="61"/>
      <c r="PV175" s="61"/>
      <c r="PW175" s="61"/>
      <c r="PX175" s="61"/>
      <c r="PY175" s="61"/>
      <c r="PZ175" s="61"/>
      <c r="QA175" s="61"/>
      <c r="QB175" s="61"/>
      <c r="QC175" s="61"/>
      <c r="QD175" s="61"/>
      <c r="QE175" s="61"/>
      <c r="QF175" s="61"/>
      <c r="QG175" s="61"/>
      <c r="QH175" s="61"/>
      <c r="QI175" s="61"/>
      <c r="QJ175" s="61"/>
      <c r="QK175" s="61"/>
      <c r="QL175" s="61"/>
      <c r="QM175" s="61"/>
      <c r="QN175" s="61"/>
      <c r="QO175" s="61"/>
      <c r="QP175" s="61"/>
      <c r="QQ175" s="61"/>
      <c r="QR175" s="61"/>
      <c r="QS175" s="61"/>
      <c r="QT175" s="61"/>
      <c r="QU175" s="61"/>
      <c r="QV175" s="61"/>
      <c r="QW175" s="61"/>
      <c r="QX175" s="61"/>
      <c r="QY175" s="61"/>
      <c r="QZ175" s="61"/>
      <c r="RA175" s="61"/>
      <c r="RB175" s="61"/>
      <c r="RC175" s="61"/>
      <c r="RD175" s="17"/>
    </row>
    <row r="176" spans="1:472" s="5" customFormat="1" hidden="1" x14ac:dyDescent="0.25">
      <c r="A176" s="5">
        <v>2092</v>
      </c>
      <c r="B176" s="5" t="s">
        <v>890</v>
      </c>
      <c r="C176" s="5" t="s">
        <v>165</v>
      </c>
      <c r="D176" s="5">
        <v>125</v>
      </c>
      <c r="E176" s="36"/>
      <c r="F176" s="44" t="s">
        <v>216</v>
      </c>
      <c r="G176" s="45"/>
      <c r="H176" s="19"/>
      <c r="I176" s="17"/>
      <c r="J176" s="17"/>
      <c r="K176" s="17"/>
      <c r="L176" s="17"/>
      <c r="M176" s="17"/>
      <c r="N176" s="17"/>
      <c r="O176" s="17"/>
      <c r="P176" s="17"/>
      <c r="Q176" s="17"/>
      <c r="R176" s="17"/>
      <c r="S176" s="17"/>
      <c r="T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c r="ED176" s="17"/>
      <c r="EE176" s="17"/>
      <c r="EF176" s="17"/>
      <c r="EG176" s="17"/>
      <c r="EH176" s="17"/>
      <c r="EI176" s="17"/>
      <c r="EJ176" s="17"/>
      <c r="EK176" s="17"/>
      <c r="EL176" s="17"/>
      <c r="EM176" s="17"/>
      <c r="EN176" s="17"/>
      <c r="EO176" s="17"/>
      <c r="EP176" s="17"/>
      <c r="EQ176" s="17"/>
      <c r="ER176" s="17"/>
      <c r="ES176" s="17"/>
      <c r="ET176" s="17"/>
      <c r="EU176" s="17"/>
      <c r="EV176" s="17"/>
      <c r="EW176" s="17"/>
      <c r="EX176" s="17"/>
      <c r="EY176" s="17"/>
      <c r="EZ176" s="17"/>
      <c r="FA176" s="17"/>
      <c r="FB176" s="17"/>
      <c r="FC176" s="17"/>
      <c r="FD176" s="17"/>
      <c r="FE176" s="17"/>
      <c r="FF176" s="17"/>
      <c r="FG176" s="17"/>
      <c r="FH176" s="17"/>
      <c r="FI176" s="17"/>
      <c r="FJ176" s="17"/>
      <c r="FK176" s="17"/>
      <c r="FL176" s="17"/>
      <c r="FM176" s="17"/>
      <c r="FN176" s="17"/>
      <c r="FO176" s="17"/>
      <c r="FP176" s="17"/>
      <c r="FQ176" s="17"/>
      <c r="FR176" s="17"/>
      <c r="FS176" s="17"/>
      <c r="FT176" s="17"/>
      <c r="FU176" s="17"/>
      <c r="FV176" s="17"/>
      <c r="FW176" s="17"/>
      <c r="FX176" s="17"/>
      <c r="FY176" s="17"/>
      <c r="FZ176" s="61"/>
      <c r="GA176" s="61"/>
      <c r="GB176" s="61"/>
      <c r="GC176" s="61"/>
      <c r="GD176" s="61"/>
      <c r="GE176" s="61"/>
      <c r="GF176" s="61"/>
      <c r="GG176" s="61"/>
      <c r="GH176" s="61"/>
      <c r="GI176" s="61"/>
      <c r="GJ176" s="61"/>
      <c r="GK176" s="61"/>
      <c r="GL176" s="61"/>
      <c r="GM176" s="61"/>
      <c r="GN176" s="61"/>
      <c r="GO176" s="61"/>
      <c r="GP176" s="61"/>
      <c r="GQ176" s="61"/>
      <c r="GR176" s="61"/>
      <c r="GS176" s="61"/>
      <c r="GT176" s="61"/>
      <c r="GU176" s="61"/>
      <c r="GV176" s="61"/>
      <c r="GW176" s="61"/>
      <c r="GX176" s="61"/>
      <c r="GY176" s="61"/>
      <c r="GZ176" s="61">
        <v>1</v>
      </c>
      <c r="HA176" s="61"/>
      <c r="HB176" s="61"/>
      <c r="HC176" s="61"/>
      <c r="HD176" s="61"/>
      <c r="HE176" s="61"/>
      <c r="HF176" s="61"/>
      <c r="HG176" s="61"/>
      <c r="HH176" s="61">
        <v>1</v>
      </c>
      <c r="HI176" s="61"/>
      <c r="HJ176" s="61">
        <v>2</v>
      </c>
      <c r="HK176" s="61"/>
      <c r="HL176" s="61">
        <v>3</v>
      </c>
      <c r="HM176" s="61"/>
      <c r="HN176" s="61">
        <v>3</v>
      </c>
      <c r="HO176" s="61"/>
      <c r="HP176" s="61">
        <v>3</v>
      </c>
      <c r="HQ176" s="61"/>
      <c r="HR176" s="61">
        <v>2</v>
      </c>
      <c r="HS176" s="61"/>
      <c r="HT176" s="61">
        <v>4</v>
      </c>
      <c r="HU176" s="61"/>
      <c r="HV176" s="61">
        <v>5</v>
      </c>
      <c r="HW176" s="61"/>
      <c r="HX176" s="61">
        <v>8</v>
      </c>
      <c r="HY176" s="61"/>
      <c r="HZ176" s="61">
        <v>4</v>
      </c>
      <c r="IA176" s="61"/>
      <c r="IB176" s="61">
        <v>6</v>
      </c>
      <c r="IC176" s="61"/>
      <c r="ID176" s="61">
        <v>6</v>
      </c>
      <c r="IE176" s="61"/>
      <c r="IF176" s="61">
        <v>7</v>
      </c>
      <c r="IG176" s="61"/>
      <c r="IH176" s="61">
        <v>5</v>
      </c>
      <c r="II176" s="61"/>
      <c r="IJ176" s="61">
        <v>7</v>
      </c>
      <c r="IK176" s="61"/>
      <c r="IL176" s="61">
        <v>6</v>
      </c>
      <c r="IM176" s="61"/>
      <c r="IN176" s="61">
        <v>7</v>
      </c>
      <c r="IO176" s="61"/>
      <c r="IP176" s="61">
        <v>4</v>
      </c>
      <c r="IQ176" s="61"/>
      <c r="IR176" s="61">
        <v>2</v>
      </c>
      <c r="IS176" s="61"/>
      <c r="IT176" s="61">
        <v>1</v>
      </c>
      <c r="IU176" s="61"/>
      <c r="IV176" s="61">
        <v>2</v>
      </c>
      <c r="IW176" s="61"/>
      <c r="IX176" s="61">
        <v>2</v>
      </c>
      <c r="IY176" s="61"/>
      <c r="IZ176" s="61">
        <v>1</v>
      </c>
      <c r="JA176" s="61"/>
      <c r="JB176" s="61">
        <v>1</v>
      </c>
      <c r="JC176" s="61"/>
      <c r="JD176" s="61"/>
      <c r="JE176" s="61"/>
      <c r="JF176" s="61"/>
      <c r="JG176" s="61"/>
      <c r="JH176" s="61"/>
      <c r="JI176" s="61"/>
      <c r="JJ176" s="61"/>
      <c r="JK176" s="61"/>
      <c r="JL176" s="61"/>
      <c r="JM176" s="61"/>
      <c r="JN176" s="61"/>
      <c r="JO176" s="61"/>
      <c r="JP176" s="61"/>
      <c r="JQ176" s="61"/>
      <c r="JR176" s="61"/>
      <c r="JS176" s="61"/>
      <c r="JT176" s="61"/>
      <c r="JU176" s="61"/>
      <c r="JV176" s="61"/>
      <c r="JW176" s="61"/>
      <c r="JX176" s="61"/>
      <c r="JY176" s="61"/>
      <c r="JZ176" s="61"/>
      <c r="KA176" s="61"/>
      <c r="KB176" s="61"/>
      <c r="KC176" s="61"/>
      <c r="KD176" s="61"/>
      <c r="KE176" s="61"/>
      <c r="KF176" s="61"/>
      <c r="KG176" s="61"/>
      <c r="KH176" s="61"/>
      <c r="KI176" s="61"/>
      <c r="KJ176" s="61"/>
      <c r="KK176" s="61"/>
      <c r="KL176" s="61"/>
      <c r="KM176" s="61"/>
      <c r="KN176" s="61"/>
      <c r="KO176" s="61"/>
      <c r="KP176" s="61"/>
      <c r="KQ176" s="61"/>
      <c r="KR176" s="61"/>
      <c r="KS176" s="61"/>
      <c r="KT176" s="61"/>
      <c r="KU176" s="61"/>
      <c r="KV176" s="61"/>
      <c r="KW176" s="61"/>
      <c r="KX176" s="61"/>
      <c r="KY176" s="61"/>
      <c r="KZ176" s="61"/>
      <c r="LA176" s="61"/>
      <c r="LB176" s="61"/>
      <c r="LC176" s="61"/>
      <c r="LD176" s="61"/>
      <c r="LE176" s="61"/>
      <c r="LF176" s="61"/>
      <c r="LG176" s="61"/>
      <c r="LH176" s="61"/>
      <c r="LI176" s="61"/>
      <c r="LJ176" s="61"/>
      <c r="LK176" s="61"/>
      <c r="LL176" s="61"/>
      <c r="LM176" s="61"/>
      <c r="LN176" s="61"/>
      <c r="LO176" s="61"/>
      <c r="LP176" s="61"/>
      <c r="LQ176" s="61"/>
      <c r="LR176" s="61"/>
      <c r="LS176" s="61"/>
      <c r="LT176" s="61"/>
      <c r="LU176" s="61"/>
      <c r="LV176" s="61"/>
      <c r="LW176" s="61"/>
      <c r="LX176" s="61"/>
      <c r="LY176" s="61"/>
      <c r="LZ176" s="61"/>
      <c r="MA176" s="61"/>
      <c r="MB176" s="61"/>
      <c r="MC176" s="61"/>
      <c r="MD176" s="61"/>
      <c r="ME176" s="61"/>
      <c r="MF176" s="61"/>
      <c r="MG176" s="61"/>
      <c r="MH176" s="61"/>
      <c r="MI176" s="61"/>
      <c r="MJ176" s="61"/>
      <c r="MK176" s="61"/>
      <c r="ML176" s="61"/>
      <c r="MM176" s="61"/>
      <c r="MN176" s="61"/>
      <c r="MO176" s="61"/>
      <c r="MP176" s="61"/>
      <c r="MQ176" s="61"/>
      <c r="MR176" s="61"/>
      <c r="MS176" s="61"/>
      <c r="MT176" s="61"/>
      <c r="MU176" s="61"/>
      <c r="MV176" s="61"/>
      <c r="MW176" s="61"/>
      <c r="MX176" s="61"/>
      <c r="MY176" s="61"/>
      <c r="MZ176" s="61"/>
      <c r="NA176" s="61"/>
      <c r="NB176" s="61"/>
      <c r="NC176" s="61"/>
      <c r="ND176" s="61"/>
      <c r="NE176" s="61"/>
      <c r="NF176" s="61"/>
      <c r="NG176" s="61"/>
      <c r="NH176" s="61"/>
      <c r="NI176" s="61"/>
      <c r="NJ176" s="61"/>
      <c r="NK176" s="61"/>
      <c r="NL176" s="61"/>
      <c r="NM176" s="61"/>
      <c r="NN176" s="61"/>
      <c r="NO176" s="61"/>
      <c r="NP176" s="61"/>
      <c r="NQ176" s="61"/>
      <c r="NR176" s="61"/>
      <c r="NS176" s="61"/>
      <c r="NT176" s="61"/>
      <c r="NU176" s="61"/>
      <c r="NV176" s="61"/>
      <c r="NW176" s="61"/>
      <c r="NX176" s="61"/>
      <c r="NY176" s="61"/>
      <c r="NZ176" s="61"/>
      <c r="OA176" s="61"/>
      <c r="OB176" s="61"/>
      <c r="OC176" s="61"/>
      <c r="OD176" s="61"/>
      <c r="OE176" s="61"/>
      <c r="OF176" s="61"/>
      <c r="OG176" s="61"/>
      <c r="OH176" s="61"/>
      <c r="OI176" s="61"/>
      <c r="OJ176" s="61"/>
      <c r="OK176" s="61"/>
      <c r="OL176" s="61"/>
      <c r="OM176" s="61"/>
      <c r="ON176" s="61"/>
      <c r="OO176" s="61"/>
      <c r="OP176" s="61"/>
      <c r="OQ176" s="61"/>
      <c r="OR176" s="61"/>
      <c r="OS176" s="61"/>
      <c r="OT176" s="61"/>
      <c r="OU176" s="61"/>
      <c r="OV176" s="61"/>
      <c r="OW176" s="61"/>
      <c r="OX176" s="61"/>
      <c r="OY176" s="61"/>
      <c r="OZ176" s="61"/>
      <c r="PA176" s="61"/>
      <c r="PB176" s="61"/>
      <c r="PC176" s="61"/>
      <c r="PD176" s="61"/>
      <c r="PE176" s="61"/>
      <c r="PF176" s="61"/>
      <c r="PG176" s="61"/>
      <c r="PH176" s="61"/>
      <c r="PI176" s="61"/>
      <c r="PJ176" s="61"/>
      <c r="PK176" s="61"/>
      <c r="PL176" s="61"/>
      <c r="PM176" s="61"/>
      <c r="PN176" s="61"/>
      <c r="PO176" s="61"/>
      <c r="PP176" s="61"/>
      <c r="PQ176" s="61"/>
      <c r="PR176" s="61"/>
      <c r="PS176" s="61"/>
      <c r="PT176" s="61"/>
      <c r="PU176" s="61"/>
      <c r="PV176" s="61"/>
      <c r="PW176" s="61"/>
      <c r="PX176" s="61"/>
      <c r="PY176" s="61"/>
      <c r="PZ176" s="61"/>
      <c r="QA176" s="61"/>
      <c r="QB176" s="61"/>
      <c r="QC176" s="61"/>
      <c r="QD176" s="61"/>
      <c r="QE176" s="61"/>
      <c r="QF176" s="61"/>
      <c r="QG176" s="61"/>
      <c r="QH176" s="61"/>
      <c r="QI176" s="61"/>
      <c r="QJ176" s="61"/>
      <c r="QK176" s="61"/>
      <c r="QL176" s="61"/>
      <c r="QM176" s="61"/>
      <c r="QN176" s="61"/>
      <c r="QO176" s="61"/>
      <c r="QP176" s="61"/>
      <c r="QQ176" s="61"/>
      <c r="QR176" s="61"/>
      <c r="QS176" s="61"/>
      <c r="QT176" s="61"/>
      <c r="QU176" s="61"/>
      <c r="QV176" s="61"/>
      <c r="QW176" s="61"/>
      <c r="QX176" s="61"/>
      <c r="QY176" s="61"/>
      <c r="QZ176" s="61"/>
      <c r="RA176" s="61"/>
      <c r="RB176" s="61"/>
      <c r="RC176" s="61"/>
      <c r="RD176" s="17"/>
    </row>
    <row r="177" spans="1:472" s="5" customFormat="1" hidden="1" x14ac:dyDescent="0.25">
      <c r="A177" s="5">
        <v>2097</v>
      </c>
      <c r="B177" s="5" t="s">
        <v>1113</v>
      </c>
      <c r="C177" s="5" t="s">
        <v>444</v>
      </c>
      <c r="D177" s="5">
        <v>474</v>
      </c>
      <c r="E177" s="36"/>
      <c r="F177" s="64" t="s">
        <v>216</v>
      </c>
      <c r="G177" s="65"/>
      <c r="H177" s="19"/>
      <c r="I177" s="17"/>
      <c r="J177" s="17"/>
      <c r="K177" s="17"/>
      <c r="L177" s="17"/>
      <c r="M177" s="17"/>
      <c r="N177" s="17"/>
      <c r="O177" s="17"/>
      <c r="P177" s="17"/>
      <c r="Q177" s="17"/>
      <c r="R177" s="17"/>
      <c r="S177" s="17"/>
      <c r="T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c r="ED177" s="17"/>
      <c r="EE177" s="17"/>
      <c r="EF177" s="17"/>
      <c r="EG177" s="17"/>
      <c r="EH177" s="17"/>
      <c r="EI177" s="17"/>
      <c r="EJ177" s="17"/>
      <c r="EK177" s="17"/>
      <c r="EL177" s="17"/>
      <c r="EM177" s="17"/>
      <c r="EN177" s="17"/>
      <c r="EO177" s="17"/>
      <c r="EP177" s="17"/>
      <c r="EQ177" s="17"/>
      <c r="ER177" s="17"/>
      <c r="ES177" s="17"/>
      <c r="ET177" s="17"/>
      <c r="EU177" s="17"/>
      <c r="EV177" s="17"/>
      <c r="EW177" s="17"/>
      <c r="EX177" s="17"/>
      <c r="EY177" s="17"/>
      <c r="EZ177" s="17"/>
      <c r="FA177" s="17"/>
      <c r="FB177" s="17"/>
      <c r="FC177" s="17"/>
      <c r="FD177" s="17"/>
      <c r="FE177" s="17"/>
      <c r="FF177" s="61"/>
      <c r="FG177" s="61"/>
      <c r="FH177" s="61"/>
      <c r="FI177" s="61"/>
      <c r="FJ177" s="61"/>
      <c r="FK177" s="61"/>
      <c r="FL177" s="61"/>
      <c r="FM177" s="61"/>
      <c r="FN177" s="61"/>
      <c r="FO177" s="61"/>
      <c r="FP177" s="61"/>
      <c r="FQ177" s="61"/>
      <c r="FR177" s="61"/>
      <c r="FS177" s="61"/>
      <c r="FT177" s="61"/>
      <c r="FU177" s="61"/>
      <c r="FV177" s="61"/>
      <c r="FW177" s="61"/>
      <c r="FX177" s="61"/>
      <c r="FY177" s="61"/>
      <c r="FZ177" s="61"/>
      <c r="GA177" s="61"/>
      <c r="GB177" s="61"/>
      <c r="GC177" s="61"/>
      <c r="GD177" s="61"/>
      <c r="GE177" s="61"/>
      <c r="GF177" s="61"/>
      <c r="GG177" s="61"/>
      <c r="GH177" s="61"/>
      <c r="GI177" s="61"/>
      <c r="GJ177" s="61"/>
      <c r="GK177" s="61"/>
      <c r="GL177" s="61"/>
      <c r="GM177" s="61"/>
      <c r="GN177" s="61"/>
      <c r="GO177" s="61"/>
      <c r="GP177" s="61"/>
      <c r="GQ177" s="61"/>
      <c r="GR177" s="61"/>
      <c r="GS177" s="61"/>
      <c r="GT177" s="61"/>
      <c r="GU177" s="61"/>
      <c r="GV177" s="61"/>
      <c r="GW177" s="61"/>
      <c r="GX177" s="61"/>
      <c r="GY177" s="61"/>
      <c r="GZ177" s="61"/>
      <c r="HA177" s="61"/>
      <c r="HB177" s="61"/>
      <c r="HC177" s="61"/>
      <c r="HD177" s="61"/>
      <c r="HE177" s="61"/>
      <c r="HF177" s="61"/>
      <c r="HG177" s="61"/>
      <c r="HH177" s="61"/>
      <c r="HI177" s="61"/>
      <c r="HJ177" s="61"/>
      <c r="HK177" s="61"/>
      <c r="HL177" s="61"/>
      <c r="HM177" s="61"/>
      <c r="HN177" s="61"/>
      <c r="HO177" s="61"/>
      <c r="HP177" s="61"/>
      <c r="HQ177" s="61"/>
      <c r="HR177" s="61"/>
      <c r="HS177" s="61"/>
      <c r="HT177" s="61"/>
      <c r="HU177" s="61"/>
      <c r="HV177" s="61">
        <v>2</v>
      </c>
      <c r="HW177" s="61"/>
      <c r="HX177" s="61">
        <v>3</v>
      </c>
      <c r="HY177" s="61"/>
      <c r="HZ177" s="61">
        <v>8</v>
      </c>
      <c r="IA177" s="61"/>
      <c r="IB177" s="61">
        <v>13</v>
      </c>
      <c r="IC177" s="61"/>
      <c r="ID177" s="61">
        <v>13</v>
      </c>
      <c r="IE177" s="61"/>
      <c r="IF177" s="61">
        <v>12</v>
      </c>
      <c r="IG177" s="61"/>
      <c r="IH177" s="61">
        <v>19</v>
      </c>
      <c r="II177" s="61"/>
      <c r="IJ177" s="61">
        <v>18</v>
      </c>
      <c r="IK177" s="61"/>
      <c r="IL177" s="61">
        <v>12</v>
      </c>
      <c r="IM177" s="61"/>
      <c r="IN177" s="61">
        <v>19</v>
      </c>
      <c r="IO177" s="61"/>
      <c r="IP177" s="61">
        <v>19</v>
      </c>
      <c r="IQ177" s="61"/>
      <c r="IR177" s="61">
        <v>15</v>
      </c>
      <c r="IS177" s="61"/>
      <c r="IT177" s="61">
        <v>12</v>
      </c>
      <c r="IU177" s="61"/>
      <c r="IV177" s="61">
        <v>10</v>
      </c>
      <c r="IW177" s="61"/>
      <c r="IX177" s="61">
        <v>5</v>
      </c>
      <c r="IY177" s="61"/>
      <c r="IZ177" s="61">
        <v>4</v>
      </c>
      <c r="JA177" s="61"/>
      <c r="JB177" s="61">
        <v>3</v>
      </c>
      <c r="JC177" s="61"/>
      <c r="JD177" s="61"/>
      <c r="JE177" s="61"/>
      <c r="JF177" s="61"/>
      <c r="JG177" s="61"/>
      <c r="JH177" s="61"/>
      <c r="JI177" s="61"/>
      <c r="JJ177" s="61"/>
      <c r="JK177" s="61"/>
      <c r="JL177" s="61"/>
      <c r="JM177" s="61"/>
      <c r="JN177" s="61"/>
      <c r="JO177" s="61"/>
      <c r="JP177" s="61"/>
      <c r="JQ177" s="61"/>
      <c r="JR177" s="61"/>
      <c r="JS177" s="61"/>
      <c r="JT177" s="61"/>
      <c r="JU177" s="61"/>
      <c r="JV177" s="61"/>
      <c r="JW177" s="61"/>
      <c r="JX177" s="61"/>
      <c r="JY177" s="61"/>
      <c r="JZ177" s="61"/>
      <c r="KA177" s="61"/>
      <c r="KB177" s="61"/>
      <c r="KC177" s="61"/>
      <c r="KD177" s="61"/>
      <c r="KE177" s="61"/>
      <c r="KF177" s="61"/>
      <c r="KG177" s="61"/>
      <c r="KH177" s="61"/>
      <c r="KI177" s="61"/>
      <c r="KJ177" s="61"/>
      <c r="KK177" s="61"/>
      <c r="KL177" s="61"/>
      <c r="KM177" s="61"/>
      <c r="KN177" s="61"/>
      <c r="KO177" s="61"/>
      <c r="KP177" s="61"/>
      <c r="KQ177" s="61"/>
      <c r="KR177" s="61"/>
      <c r="KS177" s="61"/>
      <c r="KT177" s="61"/>
      <c r="KU177" s="61"/>
      <c r="KV177" s="61"/>
      <c r="KW177" s="61"/>
      <c r="KX177" s="61"/>
      <c r="KY177" s="61"/>
      <c r="KZ177" s="61"/>
      <c r="LA177" s="61"/>
      <c r="LB177" s="61"/>
      <c r="LC177" s="61"/>
      <c r="LD177" s="61"/>
      <c r="LE177" s="61"/>
      <c r="LF177" s="61"/>
      <c r="LG177" s="61"/>
      <c r="LH177" s="61"/>
      <c r="LI177" s="61"/>
      <c r="LJ177" s="61"/>
      <c r="LK177" s="61"/>
      <c r="LL177" s="61"/>
      <c r="LM177" s="61"/>
      <c r="LN177" s="61"/>
      <c r="LO177" s="61"/>
      <c r="LP177" s="61"/>
      <c r="LQ177" s="61"/>
      <c r="LR177" s="61"/>
      <c r="LS177" s="61"/>
      <c r="LT177" s="61"/>
      <c r="LU177" s="61"/>
      <c r="LV177" s="61"/>
      <c r="LW177" s="61"/>
      <c r="LX177" s="61"/>
      <c r="LY177" s="61"/>
      <c r="LZ177" s="61"/>
      <c r="MA177" s="61"/>
      <c r="MB177" s="61"/>
      <c r="MC177" s="61"/>
      <c r="MD177" s="61"/>
      <c r="ME177" s="61"/>
      <c r="MF177" s="61"/>
      <c r="MG177" s="61"/>
      <c r="MH177" s="61"/>
      <c r="MI177" s="61"/>
      <c r="MJ177" s="61"/>
      <c r="MK177" s="61"/>
      <c r="ML177" s="61"/>
      <c r="MM177" s="61"/>
      <c r="MN177" s="61"/>
      <c r="MO177" s="61"/>
      <c r="MP177" s="61"/>
      <c r="MQ177" s="61"/>
      <c r="MR177" s="61"/>
      <c r="MS177" s="61"/>
      <c r="MT177" s="61"/>
      <c r="MU177" s="61"/>
      <c r="MV177" s="61"/>
      <c r="MW177" s="61"/>
      <c r="MX177" s="61"/>
      <c r="MY177" s="61"/>
      <c r="MZ177" s="61"/>
      <c r="NA177" s="61"/>
      <c r="NB177" s="61"/>
      <c r="NC177" s="61"/>
      <c r="ND177" s="61"/>
      <c r="NE177" s="61"/>
      <c r="NF177" s="61"/>
      <c r="NG177" s="61"/>
      <c r="NH177" s="61"/>
      <c r="NI177" s="61"/>
      <c r="NJ177" s="61"/>
      <c r="NK177" s="61"/>
      <c r="NL177" s="61"/>
      <c r="NM177" s="61"/>
      <c r="NN177" s="61"/>
      <c r="NO177" s="61"/>
      <c r="NP177" s="61"/>
      <c r="NQ177" s="61"/>
      <c r="NR177" s="61"/>
      <c r="NS177" s="61"/>
      <c r="NT177" s="61"/>
      <c r="NU177" s="61"/>
      <c r="NV177" s="61"/>
      <c r="NW177" s="61"/>
      <c r="NX177" s="61"/>
      <c r="NY177" s="61"/>
      <c r="NZ177" s="61"/>
      <c r="OA177" s="61"/>
      <c r="OB177" s="61"/>
      <c r="OC177" s="61"/>
      <c r="OD177" s="61"/>
      <c r="OE177" s="61"/>
      <c r="OF177" s="61"/>
      <c r="OG177" s="61"/>
      <c r="OH177" s="61"/>
      <c r="OI177" s="61"/>
      <c r="OJ177" s="61"/>
      <c r="OK177" s="61"/>
      <c r="OL177" s="61"/>
      <c r="OM177" s="61"/>
      <c r="ON177" s="61"/>
      <c r="OO177" s="61"/>
      <c r="OP177" s="61"/>
      <c r="OQ177" s="61"/>
      <c r="OR177" s="61"/>
      <c r="OS177" s="61"/>
      <c r="OT177" s="61"/>
      <c r="OU177" s="61"/>
      <c r="OV177" s="61"/>
      <c r="OW177" s="61"/>
      <c r="OX177" s="61"/>
      <c r="OY177" s="61"/>
      <c r="OZ177" s="61"/>
      <c r="PA177" s="61"/>
      <c r="PB177" s="61"/>
      <c r="PC177" s="61"/>
      <c r="PD177" s="61"/>
      <c r="PE177" s="61"/>
      <c r="PF177" s="61"/>
      <c r="PG177" s="61"/>
      <c r="PH177" s="61"/>
      <c r="PI177" s="61"/>
      <c r="PJ177" s="61"/>
      <c r="PK177" s="61"/>
      <c r="PL177" s="61"/>
      <c r="PM177" s="61"/>
      <c r="PN177" s="61"/>
      <c r="PO177" s="61"/>
      <c r="PP177" s="61"/>
      <c r="PQ177" s="61"/>
      <c r="PR177" s="61"/>
      <c r="PS177" s="61"/>
      <c r="PT177" s="61"/>
      <c r="PU177" s="61"/>
      <c r="PV177" s="61"/>
      <c r="PW177" s="61"/>
      <c r="PX177" s="61"/>
      <c r="PY177" s="61"/>
      <c r="PZ177" s="61"/>
      <c r="QA177" s="61"/>
      <c r="QB177" s="61"/>
      <c r="QC177" s="61"/>
      <c r="QD177" s="61"/>
      <c r="QE177" s="61"/>
      <c r="QF177" s="61"/>
      <c r="QG177" s="61"/>
      <c r="QH177" s="61"/>
      <c r="QI177" s="61"/>
      <c r="QJ177" s="61"/>
      <c r="QK177" s="61"/>
      <c r="QL177" s="61"/>
      <c r="QM177" s="61"/>
      <c r="QN177" s="61"/>
      <c r="QO177" s="61"/>
      <c r="QP177" s="61"/>
      <c r="QQ177" s="61"/>
      <c r="QR177" s="61"/>
      <c r="QS177" s="61"/>
      <c r="QT177" s="61"/>
      <c r="QU177" s="61"/>
      <c r="QV177" s="61"/>
      <c r="QW177" s="61"/>
      <c r="QX177" s="61"/>
      <c r="QY177" s="61"/>
      <c r="QZ177" s="61"/>
      <c r="RA177" s="61"/>
      <c r="RB177" s="61"/>
      <c r="RC177" s="61"/>
      <c r="RD177" s="17"/>
    </row>
    <row r="178" spans="1:472" s="5" customFormat="1" hidden="1" x14ac:dyDescent="0.25">
      <c r="A178" s="5">
        <v>2101</v>
      </c>
      <c r="B178" s="5" t="s">
        <v>1080</v>
      </c>
      <c r="C178" s="5" t="s">
        <v>625</v>
      </c>
      <c r="D178" s="5" t="s">
        <v>388</v>
      </c>
      <c r="E178" s="36"/>
      <c r="F178" s="64" t="s">
        <v>216</v>
      </c>
      <c r="G178" s="65"/>
      <c r="H178" s="19"/>
      <c r="I178" s="17"/>
      <c r="J178" s="17"/>
      <c r="K178" s="17"/>
      <c r="L178" s="17"/>
      <c r="M178" s="17"/>
      <c r="N178" s="17"/>
      <c r="O178" s="17"/>
      <c r="P178" s="17"/>
      <c r="Q178" s="17"/>
      <c r="R178" s="17"/>
      <c r="S178" s="17"/>
      <c r="T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c r="ED178" s="17"/>
      <c r="EE178" s="17"/>
      <c r="EF178" s="17"/>
      <c r="EG178" s="17"/>
      <c r="EH178" s="17"/>
      <c r="EI178" s="17"/>
      <c r="EJ178" s="17"/>
      <c r="EK178" s="17"/>
      <c r="EL178" s="17"/>
      <c r="EM178" s="17"/>
      <c r="EN178" s="17"/>
      <c r="EO178" s="17"/>
      <c r="EP178" s="17"/>
      <c r="EQ178" s="17"/>
      <c r="ER178" s="17"/>
      <c r="ES178" s="17"/>
      <c r="ET178" s="17"/>
      <c r="EU178" s="17"/>
      <c r="EV178" s="17"/>
      <c r="EW178" s="17"/>
      <c r="EX178" s="17"/>
      <c r="EY178" s="17"/>
      <c r="EZ178" s="17"/>
      <c r="FA178" s="17"/>
      <c r="FB178" s="17"/>
      <c r="FC178" s="17"/>
      <c r="FD178" s="17"/>
      <c r="FE178" s="17"/>
      <c r="FF178" s="61"/>
      <c r="FG178" s="61"/>
      <c r="FH178" s="61"/>
      <c r="FI178" s="61"/>
      <c r="FJ178" s="61"/>
      <c r="FK178" s="61"/>
      <c r="FL178" s="61"/>
      <c r="FM178" s="61"/>
      <c r="FN178" s="61"/>
      <c r="FO178" s="61"/>
      <c r="FP178" s="61"/>
      <c r="FQ178" s="61"/>
      <c r="FR178" s="61"/>
      <c r="FS178" s="61"/>
      <c r="FT178" s="61"/>
      <c r="FU178" s="61"/>
      <c r="FV178" s="61"/>
      <c r="FW178" s="61"/>
      <c r="FX178" s="61"/>
      <c r="FY178" s="61"/>
      <c r="FZ178" s="61"/>
      <c r="GA178" s="61"/>
      <c r="GB178" s="61"/>
      <c r="GC178" s="61"/>
      <c r="GD178" s="61"/>
      <c r="GE178" s="61"/>
      <c r="GF178" s="61"/>
      <c r="GG178" s="61"/>
      <c r="GH178" s="61"/>
      <c r="GI178" s="61"/>
      <c r="GJ178" s="61"/>
      <c r="GK178" s="61"/>
      <c r="GL178" s="61"/>
      <c r="GM178" s="61"/>
      <c r="GN178" s="61"/>
      <c r="GO178" s="61"/>
      <c r="GP178" s="61"/>
      <c r="GQ178" s="61"/>
      <c r="GR178" s="61"/>
      <c r="GS178" s="61"/>
      <c r="GT178" s="61"/>
      <c r="GU178" s="61"/>
      <c r="GV178" s="61"/>
      <c r="GW178" s="61"/>
      <c r="GX178" s="61"/>
      <c r="GY178" s="61"/>
      <c r="GZ178" s="61"/>
      <c r="HA178" s="61"/>
      <c r="HB178" s="61"/>
      <c r="HC178" s="61"/>
      <c r="HD178" s="61"/>
      <c r="HE178" s="61"/>
      <c r="HF178" s="61"/>
      <c r="HG178" s="61"/>
      <c r="HH178" s="61"/>
      <c r="HI178" s="61"/>
      <c r="HJ178" s="61"/>
      <c r="HK178" s="61"/>
      <c r="HL178" s="61"/>
      <c r="HM178" s="61"/>
      <c r="HN178" s="61"/>
      <c r="HO178" s="61"/>
      <c r="HP178" s="61"/>
      <c r="HQ178" s="61"/>
      <c r="HR178" s="61"/>
      <c r="HS178" s="61"/>
      <c r="HT178" s="61"/>
      <c r="HU178" s="61"/>
      <c r="HV178" s="61"/>
      <c r="HW178" s="61"/>
      <c r="HX178" s="61"/>
      <c r="HY178" s="61"/>
      <c r="HZ178" s="61">
        <v>4</v>
      </c>
      <c r="IA178" s="61"/>
      <c r="IB178" s="61">
        <v>4</v>
      </c>
      <c r="IC178" s="61"/>
      <c r="ID178" s="61"/>
      <c r="IE178" s="61"/>
      <c r="IF178" s="61"/>
      <c r="IG178" s="61"/>
      <c r="IH178" s="61"/>
      <c r="II178" s="61"/>
      <c r="IJ178" s="61"/>
      <c r="IK178" s="61"/>
      <c r="IL178" s="61"/>
      <c r="IM178" s="61"/>
      <c r="IN178" s="61"/>
      <c r="IO178" s="61"/>
      <c r="IP178" s="61"/>
      <c r="IQ178" s="61"/>
      <c r="IR178" s="61"/>
      <c r="IS178" s="61"/>
      <c r="IT178" s="61"/>
      <c r="IU178" s="61"/>
      <c r="IV178" s="61"/>
      <c r="IW178" s="61"/>
      <c r="IX178" s="61"/>
      <c r="IY178" s="61"/>
      <c r="IZ178" s="61"/>
      <c r="JA178" s="61"/>
      <c r="JB178" s="61"/>
      <c r="JC178" s="61"/>
      <c r="JD178" s="61"/>
      <c r="JE178" s="61"/>
      <c r="JF178" s="61"/>
      <c r="JG178" s="61"/>
      <c r="JH178" s="61"/>
      <c r="JI178" s="61"/>
      <c r="JJ178" s="61"/>
      <c r="JK178" s="61"/>
      <c r="JL178" s="61"/>
      <c r="JM178" s="61"/>
      <c r="JN178" s="61"/>
      <c r="JO178" s="61"/>
      <c r="JP178" s="61"/>
      <c r="JQ178" s="61"/>
      <c r="JR178" s="61"/>
      <c r="JS178" s="61"/>
      <c r="JT178" s="61"/>
      <c r="JU178" s="61"/>
      <c r="JV178" s="61"/>
      <c r="JW178" s="61"/>
      <c r="JX178" s="61"/>
      <c r="JY178" s="61"/>
      <c r="JZ178" s="61"/>
      <c r="KA178" s="61"/>
      <c r="KB178" s="61"/>
      <c r="KC178" s="61"/>
      <c r="KD178" s="61"/>
      <c r="KE178" s="61"/>
      <c r="KF178" s="61"/>
      <c r="KG178" s="61"/>
      <c r="KH178" s="61"/>
      <c r="KI178" s="61"/>
      <c r="KJ178" s="61"/>
      <c r="KK178" s="61"/>
      <c r="KL178" s="61"/>
      <c r="KM178" s="61"/>
      <c r="KN178" s="61"/>
      <c r="KO178" s="61"/>
      <c r="KP178" s="61"/>
      <c r="KQ178" s="61"/>
      <c r="KR178" s="61"/>
      <c r="KS178" s="61"/>
      <c r="KT178" s="61"/>
      <c r="KU178" s="61"/>
      <c r="KV178" s="61"/>
      <c r="KW178" s="61"/>
      <c r="KX178" s="61"/>
      <c r="KY178" s="61"/>
      <c r="KZ178" s="61"/>
      <c r="LA178" s="61"/>
      <c r="LB178" s="61"/>
      <c r="LC178" s="61"/>
      <c r="LD178" s="61"/>
      <c r="LE178" s="61"/>
      <c r="LF178" s="61"/>
      <c r="LG178" s="61"/>
      <c r="LH178" s="61"/>
      <c r="LI178" s="61"/>
      <c r="LJ178" s="61"/>
      <c r="LK178" s="61"/>
      <c r="LL178" s="61"/>
      <c r="LM178" s="61"/>
      <c r="LN178" s="61"/>
      <c r="LO178" s="61"/>
      <c r="LP178" s="61"/>
      <c r="LQ178" s="61"/>
      <c r="LR178" s="61"/>
      <c r="LS178" s="61"/>
      <c r="LT178" s="61"/>
      <c r="LU178" s="61"/>
      <c r="LV178" s="61"/>
      <c r="LW178" s="61"/>
      <c r="LX178" s="61"/>
      <c r="LY178" s="61"/>
      <c r="LZ178" s="61"/>
      <c r="MA178" s="61"/>
      <c r="MB178" s="61"/>
      <c r="MC178" s="61"/>
      <c r="MD178" s="61"/>
      <c r="ME178" s="61"/>
      <c r="MF178" s="61"/>
      <c r="MG178" s="61"/>
      <c r="MH178" s="61"/>
      <c r="MI178" s="61"/>
      <c r="MJ178" s="61"/>
      <c r="MK178" s="61"/>
      <c r="ML178" s="61"/>
      <c r="MM178" s="61"/>
      <c r="MN178" s="61"/>
      <c r="MO178" s="61"/>
      <c r="MP178" s="61"/>
      <c r="MQ178" s="61"/>
      <c r="MR178" s="61"/>
      <c r="MS178" s="61"/>
      <c r="MT178" s="61"/>
      <c r="MU178" s="61"/>
      <c r="MV178" s="61"/>
      <c r="MW178" s="61"/>
      <c r="MX178" s="61"/>
      <c r="MY178" s="61"/>
      <c r="MZ178" s="61"/>
      <c r="NA178" s="61"/>
      <c r="NB178" s="61"/>
      <c r="NC178" s="61"/>
      <c r="ND178" s="61"/>
      <c r="NE178" s="61"/>
      <c r="NF178" s="61"/>
      <c r="NG178" s="61"/>
      <c r="NH178" s="61"/>
      <c r="NI178" s="61"/>
      <c r="NJ178" s="61"/>
      <c r="NK178" s="61"/>
      <c r="NL178" s="61"/>
      <c r="NM178" s="61"/>
      <c r="NN178" s="61"/>
      <c r="NO178" s="61"/>
      <c r="NP178" s="61"/>
      <c r="NQ178" s="61"/>
      <c r="NR178" s="61"/>
      <c r="NS178" s="61"/>
      <c r="NT178" s="61"/>
      <c r="NU178" s="61"/>
      <c r="NV178" s="61"/>
      <c r="NW178" s="61"/>
      <c r="NX178" s="61"/>
      <c r="NY178" s="61"/>
      <c r="NZ178" s="61"/>
      <c r="OA178" s="61"/>
      <c r="OB178" s="61"/>
      <c r="OC178" s="61"/>
      <c r="OD178" s="61"/>
      <c r="OE178" s="61"/>
      <c r="OF178" s="61"/>
      <c r="OG178" s="61"/>
      <c r="OH178" s="61"/>
      <c r="OI178" s="61"/>
      <c r="OJ178" s="61"/>
      <c r="OK178" s="61"/>
      <c r="OL178" s="61"/>
      <c r="OM178" s="61"/>
      <c r="ON178" s="61"/>
      <c r="OO178" s="61"/>
      <c r="OP178" s="61"/>
      <c r="OQ178" s="61"/>
      <c r="OR178" s="61"/>
      <c r="OS178" s="61"/>
      <c r="OT178" s="61"/>
      <c r="OU178" s="61"/>
      <c r="OV178" s="61"/>
      <c r="OW178" s="61"/>
      <c r="OX178" s="61"/>
      <c r="OY178" s="61"/>
      <c r="OZ178" s="61"/>
      <c r="PA178" s="61"/>
      <c r="PB178" s="61"/>
      <c r="PC178" s="61"/>
      <c r="PD178" s="61"/>
      <c r="PE178" s="61"/>
      <c r="PF178" s="61"/>
      <c r="PG178" s="61"/>
      <c r="PH178" s="61"/>
      <c r="PI178" s="61"/>
      <c r="PJ178" s="61"/>
      <c r="PK178" s="61"/>
      <c r="PL178" s="61"/>
      <c r="PM178" s="61"/>
      <c r="PN178" s="61"/>
      <c r="PO178" s="61"/>
      <c r="PP178" s="61"/>
      <c r="PQ178" s="61"/>
      <c r="PR178" s="61"/>
      <c r="PS178" s="61"/>
      <c r="PT178" s="61"/>
      <c r="PU178" s="61"/>
      <c r="PV178" s="61"/>
      <c r="PW178" s="61"/>
      <c r="PX178" s="61"/>
      <c r="PY178" s="61"/>
      <c r="PZ178" s="61"/>
      <c r="QA178" s="61"/>
      <c r="QB178" s="61"/>
      <c r="QC178" s="61"/>
      <c r="QD178" s="61"/>
      <c r="QE178" s="61"/>
      <c r="QF178" s="61"/>
      <c r="QG178" s="61"/>
      <c r="QH178" s="61"/>
      <c r="QI178" s="61"/>
      <c r="QJ178" s="61"/>
      <c r="QK178" s="61"/>
      <c r="QL178" s="61"/>
      <c r="QM178" s="61"/>
      <c r="QN178" s="61"/>
      <c r="QO178" s="61"/>
      <c r="QP178" s="61"/>
      <c r="QQ178" s="61"/>
      <c r="QR178" s="61"/>
      <c r="QS178" s="61"/>
      <c r="QT178" s="61"/>
      <c r="QU178" s="61"/>
      <c r="QV178" s="61"/>
      <c r="QW178" s="61"/>
      <c r="QX178" s="61"/>
      <c r="QY178" s="61"/>
      <c r="QZ178" s="61"/>
      <c r="RA178" s="61"/>
      <c r="RB178" s="61"/>
      <c r="RC178" s="61"/>
      <c r="RD178" s="17"/>
    </row>
    <row r="179" spans="1:472" s="5" customFormat="1" hidden="1" x14ac:dyDescent="0.25">
      <c r="A179" s="5">
        <v>2105</v>
      </c>
      <c r="B179" s="5" t="s">
        <v>1160</v>
      </c>
      <c r="C179" s="5" t="s">
        <v>230</v>
      </c>
      <c r="D179" s="5">
        <v>219</v>
      </c>
      <c r="E179" s="36"/>
      <c r="F179" s="64" t="s">
        <v>1514</v>
      </c>
      <c r="G179" s="65"/>
      <c r="H179" s="19"/>
      <c r="I179" s="17"/>
      <c r="J179" s="17"/>
      <c r="K179" s="17"/>
      <c r="L179" s="17"/>
      <c r="M179" s="17"/>
      <c r="N179" s="17"/>
      <c r="O179" s="17"/>
      <c r="P179" s="17"/>
      <c r="Q179" s="17"/>
      <c r="R179" s="17"/>
      <c r="S179" s="17"/>
      <c r="T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61"/>
      <c r="FG179" s="61"/>
      <c r="FH179" s="61"/>
      <c r="FI179" s="61"/>
      <c r="FJ179" s="61"/>
      <c r="FK179" s="61"/>
      <c r="FL179" s="61"/>
      <c r="FM179" s="61"/>
      <c r="FN179" s="61"/>
      <c r="FO179" s="61"/>
      <c r="FP179" s="61"/>
      <c r="FQ179" s="61"/>
      <c r="FR179" s="61"/>
      <c r="FS179" s="61"/>
      <c r="FT179" s="61"/>
      <c r="FU179" s="61"/>
      <c r="FV179" s="61"/>
      <c r="FW179" s="61"/>
      <c r="FX179" s="61"/>
      <c r="FY179" s="61"/>
      <c r="FZ179" s="61"/>
      <c r="GA179" s="61"/>
      <c r="GB179" s="61"/>
      <c r="GC179" s="61"/>
      <c r="GD179" s="61"/>
      <c r="GE179" s="61"/>
      <c r="GF179" s="61"/>
      <c r="GG179" s="61"/>
      <c r="GH179" s="61"/>
      <c r="GI179" s="61"/>
      <c r="GJ179" s="61"/>
      <c r="GK179" s="61"/>
      <c r="GL179" s="61"/>
      <c r="GM179" s="61"/>
      <c r="GN179" s="61"/>
      <c r="GO179" s="61"/>
      <c r="GP179" s="61"/>
      <c r="GQ179" s="61"/>
      <c r="GR179" s="61"/>
      <c r="GS179" s="61"/>
      <c r="GT179" s="61"/>
      <c r="GU179" s="61"/>
      <c r="GV179" s="61"/>
      <c r="GW179" s="61"/>
      <c r="GX179" s="61"/>
      <c r="GY179" s="61"/>
      <c r="GZ179" s="61"/>
      <c r="HA179" s="61"/>
      <c r="HB179" s="61"/>
      <c r="HC179" s="61"/>
      <c r="HD179" s="61"/>
      <c r="HE179" s="61"/>
      <c r="HF179" s="61"/>
      <c r="HG179" s="61"/>
      <c r="HH179" s="61"/>
      <c r="HI179" s="61"/>
      <c r="HJ179" s="61"/>
      <c r="HK179" s="61"/>
      <c r="HL179" s="61"/>
      <c r="HM179" s="61"/>
      <c r="HN179" s="61"/>
      <c r="HO179" s="61"/>
      <c r="HP179" s="61"/>
      <c r="HQ179" s="61"/>
      <c r="HR179" s="61"/>
      <c r="HS179" s="61"/>
      <c r="HT179" s="61"/>
      <c r="HU179" s="61"/>
      <c r="HV179" s="61"/>
      <c r="HW179" s="61"/>
      <c r="HX179" s="61"/>
      <c r="HY179" s="61"/>
      <c r="HZ179" s="61"/>
      <c r="IA179" s="61"/>
      <c r="IB179" s="61"/>
      <c r="IC179" s="61"/>
      <c r="ID179" s="61"/>
      <c r="IE179" s="61"/>
      <c r="IF179" s="61"/>
      <c r="IG179" s="61"/>
      <c r="IH179" s="61"/>
      <c r="II179" s="61"/>
      <c r="IJ179" s="61"/>
      <c r="IK179" s="61"/>
      <c r="IL179" s="61"/>
      <c r="IM179" s="61"/>
      <c r="IN179" s="61"/>
      <c r="IO179" s="61"/>
      <c r="IP179" s="61"/>
      <c r="IQ179" s="61"/>
      <c r="IR179" s="61"/>
      <c r="IS179" s="61"/>
      <c r="IT179" s="61"/>
      <c r="IU179" s="61"/>
      <c r="IV179" s="61"/>
      <c r="IW179" s="61"/>
      <c r="IX179" s="61"/>
      <c r="IY179" s="61"/>
      <c r="IZ179" s="61"/>
      <c r="JA179" s="61"/>
      <c r="JB179" s="61"/>
      <c r="JC179" s="61"/>
      <c r="JD179" s="61"/>
      <c r="JE179" s="61"/>
      <c r="JF179" s="61"/>
      <c r="JG179" s="61"/>
      <c r="JH179" s="61"/>
      <c r="JI179" s="61"/>
      <c r="JJ179" s="61"/>
      <c r="JK179" s="61"/>
      <c r="JL179" s="61"/>
      <c r="JM179" s="61"/>
      <c r="JN179" s="61"/>
      <c r="JO179" s="61"/>
      <c r="JP179" s="61"/>
      <c r="JQ179" s="61"/>
      <c r="JR179" s="61"/>
      <c r="JS179" s="61"/>
      <c r="JT179" s="61"/>
      <c r="JU179" s="61"/>
      <c r="JV179" s="61"/>
      <c r="JW179" s="61"/>
      <c r="JX179" s="61"/>
      <c r="JY179" s="61"/>
      <c r="JZ179" s="61"/>
      <c r="KA179" s="61"/>
      <c r="KB179" s="61"/>
      <c r="KC179" s="61"/>
      <c r="KD179" s="61"/>
      <c r="KE179" s="61"/>
      <c r="KF179" s="61"/>
      <c r="KG179" s="61"/>
      <c r="KH179" s="61"/>
      <c r="KI179" s="61"/>
      <c r="KJ179" s="61"/>
      <c r="KK179" s="61"/>
      <c r="KL179" s="61"/>
      <c r="KM179" s="61"/>
      <c r="KN179" s="61"/>
      <c r="KO179" s="61"/>
      <c r="KP179" s="61"/>
      <c r="KQ179" s="61"/>
      <c r="KR179" s="61"/>
      <c r="KS179" s="61"/>
      <c r="KT179" s="61"/>
      <c r="KU179" s="61"/>
      <c r="KV179" s="61"/>
      <c r="KW179" s="61"/>
      <c r="KX179" s="61"/>
      <c r="KY179" s="61"/>
      <c r="KZ179" s="61"/>
      <c r="LA179" s="61"/>
      <c r="LB179" s="61"/>
      <c r="LC179" s="61"/>
      <c r="LD179" s="61"/>
      <c r="LE179" s="61"/>
      <c r="LF179" s="61"/>
      <c r="LG179" s="61"/>
      <c r="LH179" s="61"/>
      <c r="LI179" s="61"/>
      <c r="LJ179" s="61"/>
      <c r="LK179" s="61"/>
      <c r="LL179" s="61"/>
      <c r="LM179" s="61"/>
      <c r="LN179" s="61"/>
      <c r="LO179" s="61"/>
      <c r="LP179" s="61"/>
      <c r="LQ179" s="61"/>
      <c r="LR179" s="61"/>
      <c r="LS179" s="61"/>
      <c r="LT179" s="61"/>
      <c r="LU179" s="61"/>
      <c r="LV179" s="61"/>
      <c r="LW179" s="61"/>
      <c r="LX179" s="61"/>
      <c r="LY179" s="61"/>
      <c r="LZ179" s="61"/>
      <c r="MA179" s="61"/>
      <c r="MB179" s="61"/>
      <c r="MC179" s="61"/>
      <c r="MD179" s="61"/>
      <c r="ME179" s="61"/>
      <c r="MF179" s="61"/>
      <c r="MG179" s="61"/>
      <c r="MH179" s="61"/>
      <c r="MI179" s="61"/>
      <c r="MJ179" s="61"/>
      <c r="MK179" s="61"/>
      <c r="ML179" s="61"/>
      <c r="MM179" s="61"/>
      <c r="MN179" s="61"/>
      <c r="MO179" s="61"/>
      <c r="MP179" s="61"/>
      <c r="MQ179" s="61"/>
      <c r="MR179" s="61"/>
      <c r="MS179" s="61"/>
      <c r="MT179" s="61"/>
      <c r="MU179" s="61"/>
      <c r="MV179" s="61"/>
      <c r="MW179" s="61"/>
      <c r="MX179" s="61"/>
      <c r="MY179" s="61"/>
      <c r="MZ179" s="61"/>
      <c r="NA179" s="61"/>
      <c r="NB179" s="61"/>
      <c r="NC179" s="61"/>
      <c r="ND179" s="61"/>
      <c r="NE179" s="61"/>
      <c r="NF179" s="61"/>
      <c r="NG179" s="61"/>
      <c r="NH179" s="61"/>
      <c r="NI179" s="61"/>
      <c r="NJ179" s="61"/>
      <c r="NK179" s="61"/>
      <c r="NL179" s="61"/>
      <c r="NM179" s="61"/>
      <c r="NN179" s="61"/>
      <c r="NO179" s="61"/>
      <c r="NP179" s="61"/>
      <c r="NQ179" s="61"/>
      <c r="NR179" s="61"/>
      <c r="NS179" s="61"/>
      <c r="NT179" s="61"/>
      <c r="NU179" s="61"/>
      <c r="NV179" s="61"/>
      <c r="NW179" s="61"/>
      <c r="NX179" s="61"/>
      <c r="NY179" s="61"/>
      <c r="NZ179" s="61"/>
      <c r="OA179" s="61"/>
      <c r="OB179" s="61"/>
      <c r="OC179" s="61"/>
      <c r="OD179" s="61"/>
      <c r="OE179" s="61"/>
      <c r="OF179" s="61"/>
      <c r="OG179" s="61"/>
      <c r="OH179" s="61"/>
      <c r="OI179" s="61"/>
      <c r="OJ179" s="61"/>
      <c r="OK179" s="61"/>
      <c r="OL179" s="61"/>
      <c r="OM179" s="61"/>
      <c r="ON179" s="61"/>
      <c r="OO179" s="61"/>
      <c r="OP179" s="61"/>
      <c r="OQ179" s="61"/>
      <c r="OR179" s="61"/>
      <c r="OS179" s="61"/>
      <c r="OT179" s="61"/>
      <c r="OU179" s="61"/>
      <c r="OV179" s="61"/>
      <c r="OW179" s="61"/>
      <c r="OX179" s="61"/>
      <c r="OY179" s="61"/>
      <c r="OZ179" s="61"/>
      <c r="PA179" s="61"/>
      <c r="PB179" s="61"/>
      <c r="PC179" s="61"/>
      <c r="PD179" s="61"/>
      <c r="PE179" s="61"/>
      <c r="PF179" s="61"/>
      <c r="PG179" s="61"/>
      <c r="PH179" s="61"/>
      <c r="PI179" s="61"/>
      <c r="PJ179" s="61"/>
      <c r="PK179" s="61"/>
      <c r="PL179" s="61"/>
      <c r="PM179" s="61"/>
      <c r="PN179" s="61"/>
      <c r="PO179" s="61"/>
      <c r="PP179" s="61"/>
      <c r="PQ179" s="61"/>
      <c r="PR179" s="61"/>
      <c r="PS179" s="61"/>
      <c r="PT179" s="61"/>
      <c r="PU179" s="61"/>
      <c r="PV179" s="61"/>
      <c r="PW179" s="61"/>
      <c r="PX179" s="61"/>
      <c r="PY179" s="61"/>
      <c r="PZ179" s="61"/>
      <c r="QA179" s="61"/>
      <c r="QB179" s="61"/>
      <c r="QC179" s="61"/>
      <c r="QD179" s="61"/>
      <c r="QE179" s="61"/>
      <c r="QF179" s="61"/>
      <c r="QG179" s="61"/>
      <c r="QH179" s="61"/>
      <c r="QI179" s="61"/>
      <c r="QJ179" s="61"/>
      <c r="QK179" s="61"/>
      <c r="QL179" s="61"/>
      <c r="QM179" s="61"/>
      <c r="QN179" s="61"/>
      <c r="QO179" s="61"/>
      <c r="QP179" s="61"/>
      <c r="QQ179" s="61"/>
      <c r="QR179" s="61"/>
      <c r="QS179" s="61"/>
      <c r="QT179" s="61"/>
      <c r="QU179" s="61"/>
      <c r="QV179" s="61"/>
      <c r="QW179" s="61"/>
      <c r="QX179" s="61"/>
      <c r="QY179" s="61"/>
      <c r="QZ179" s="61"/>
      <c r="RA179" s="61"/>
      <c r="RB179" s="61"/>
      <c r="RC179" s="61"/>
      <c r="RD179" s="17"/>
    </row>
    <row r="180" spans="1:472" s="5" customFormat="1" hidden="1" x14ac:dyDescent="0.25">
      <c r="A180" s="5">
        <v>2099</v>
      </c>
      <c r="B180" s="5" t="s">
        <v>1067</v>
      </c>
      <c r="C180" s="5" t="s">
        <v>720</v>
      </c>
      <c r="D180" s="5">
        <v>169</v>
      </c>
      <c r="E180" s="36"/>
      <c r="F180" s="64" t="s">
        <v>216</v>
      </c>
      <c r="G180" s="65"/>
      <c r="H180" s="19"/>
      <c r="I180" s="17"/>
      <c r="J180" s="17"/>
      <c r="K180" s="17"/>
      <c r="L180" s="17"/>
      <c r="M180" s="17"/>
      <c r="N180" s="17"/>
      <c r="O180" s="17"/>
      <c r="P180" s="17"/>
      <c r="Q180" s="17"/>
      <c r="R180" s="17"/>
      <c r="S180" s="17"/>
      <c r="T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c r="ER180" s="17"/>
      <c r="ES180" s="17"/>
      <c r="ET180" s="17"/>
      <c r="EU180" s="17"/>
      <c r="EV180" s="17"/>
      <c r="EW180" s="17"/>
      <c r="EX180" s="17"/>
      <c r="EY180" s="17"/>
      <c r="EZ180" s="17"/>
      <c r="FA180" s="17"/>
      <c r="FB180" s="17"/>
      <c r="FC180" s="17"/>
      <c r="FD180" s="17"/>
      <c r="FE180" s="17"/>
      <c r="FF180" s="61"/>
      <c r="FG180" s="61"/>
      <c r="FH180" s="61"/>
      <c r="FI180" s="61"/>
      <c r="FJ180" s="61"/>
      <c r="FK180" s="61"/>
      <c r="FL180" s="61"/>
      <c r="FM180" s="61"/>
      <c r="FN180" s="61"/>
      <c r="FO180" s="61"/>
      <c r="FP180" s="61"/>
      <c r="FQ180" s="61"/>
      <c r="FR180" s="61"/>
      <c r="FS180" s="61"/>
      <c r="FT180" s="61"/>
      <c r="FU180" s="61"/>
      <c r="FV180" s="61"/>
      <c r="FW180" s="61"/>
      <c r="FX180" s="61"/>
      <c r="FY180" s="61"/>
      <c r="FZ180" s="61"/>
      <c r="GA180" s="61"/>
      <c r="GB180" s="61"/>
      <c r="GC180" s="61"/>
      <c r="GD180" s="61"/>
      <c r="GE180" s="61"/>
      <c r="GF180" s="61"/>
      <c r="GG180" s="61"/>
      <c r="GH180" s="61"/>
      <c r="GI180" s="61"/>
      <c r="GJ180" s="61"/>
      <c r="GK180" s="61"/>
      <c r="GL180" s="61"/>
      <c r="GM180" s="61"/>
      <c r="GN180" s="61"/>
      <c r="GO180" s="61"/>
      <c r="GP180" s="61"/>
      <c r="GQ180" s="61"/>
      <c r="GR180" s="61"/>
      <c r="GS180" s="61"/>
      <c r="GT180" s="61"/>
      <c r="GU180" s="61"/>
      <c r="GV180" s="61"/>
      <c r="GW180" s="61"/>
      <c r="GX180" s="61"/>
      <c r="GY180" s="61"/>
      <c r="GZ180" s="61"/>
      <c r="HA180" s="61"/>
      <c r="HB180" s="61"/>
      <c r="HC180" s="61"/>
      <c r="HD180" s="61"/>
      <c r="HE180" s="61"/>
      <c r="HF180" s="61"/>
      <c r="HG180" s="61"/>
      <c r="HH180" s="61"/>
      <c r="HI180" s="61"/>
      <c r="HJ180" s="61"/>
      <c r="HK180" s="61"/>
      <c r="HL180" s="61"/>
      <c r="HM180" s="61"/>
      <c r="HN180" s="61"/>
      <c r="HO180" s="61"/>
      <c r="HP180" s="61"/>
      <c r="HQ180" s="61"/>
      <c r="HR180" s="61"/>
      <c r="HS180" s="61"/>
      <c r="HT180" s="61"/>
      <c r="HU180" s="61"/>
      <c r="HV180" s="61"/>
      <c r="HW180" s="61"/>
      <c r="HX180" s="61"/>
      <c r="HY180" s="61"/>
      <c r="HZ180" s="61"/>
      <c r="IA180" s="61"/>
      <c r="IB180" s="61"/>
      <c r="IC180" s="61"/>
      <c r="ID180" s="61">
        <v>2</v>
      </c>
      <c r="IE180" s="61"/>
      <c r="IF180" s="61">
        <v>4</v>
      </c>
      <c r="IG180" s="61"/>
      <c r="IH180" s="61">
        <v>3</v>
      </c>
      <c r="II180" s="61"/>
      <c r="IJ180" s="61">
        <v>5</v>
      </c>
      <c r="IK180" s="61"/>
      <c r="IL180" s="61">
        <v>12</v>
      </c>
      <c r="IM180" s="61"/>
      <c r="IN180" s="61">
        <v>12</v>
      </c>
      <c r="IO180" s="61"/>
      <c r="IP180" s="61">
        <v>19</v>
      </c>
      <c r="IQ180" s="61"/>
      <c r="IR180" s="61">
        <v>15</v>
      </c>
      <c r="IS180" s="61"/>
      <c r="IT180" s="61">
        <v>12</v>
      </c>
      <c r="IU180" s="61"/>
      <c r="IV180" s="61">
        <v>10</v>
      </c>
      <c r="IW180" s="61"/>
      <c r="IX180" s="61">
        <v>8</v>
      </c>
      <c r="IY180" s="61"/>
      <c r="IZ180" s="61">
        <v>5</v>
      </c>
      <c r="JA180" s="61"/>
      <c r="JB180" s="61">
        <v>5</v>
      </c>
      <c r="JC180" s="61"/>
      <c r="JD180" s="61">
        <v>4</v>
      </c>
      <c r="JE180" s="61"/>
      <c r="JF180" s="61">
        <v>3</v>
      </c>
      <c r="JG180" s="61"/>
      <c r="JH180" s="61">
        <v>2</v>
      </c>
      <c r="JI180" s="61"/>
      <c r="JJ180" s="61"/>
      <c r="JK180" s="61"/>
      <c r="JL180" s="61"/>
      <c r="JM180" s="61"/>
      <c r="JN180" s="61"/>
      <c r="JO180" s="61"/>
      <c r="JP180" s="61"/>
      <c r="JQ180" s="61"/>
      <c r="JR180" s="61"/>
      <c r="JS180" s="61"/>
      <c r="JT180" s="61"/>
      <c r="JU180" s="61"/>
      <c r="JV180" s="61"/>
      <c r="JW180" s="61"/>
      <c r="JX180" s="61"/>
      <c r="JY180" s="61"/>
      <c r="JZ180" s="61"/>
      <c r="KA180" s="61"/>
      <c r="KB180" s="61"/>
      <c r="KC180" s="61"/>
      <c r="KD180" s="61"/>
      <c r="KE180" s="61"/>
      <c r="KF180" s="61"/>
      <c r="KG180" s="61"/>
      <c r="KH180" s="61"/>
      <c r="KI180" s="61"/>
      <c r="KJ180" s="61"/>
      <c r="KK180" s="61"/>
      <c r="KL180" s="61"/>
      <c r="KM180" s="61"/>
      <c r="KN180" s="61"/>
      <c r="KO180" s="61"/>
      <c r="KP180" s="61"/>
      <c r="KQ180" s="61"/>
      <c r="KR180" s="61"/>
      <c r="KS180" s="61"/>
      <c r="KT180" s="61"/>
      <c r="KU180" s="61"/>
      <c r="KV180" s="61"/>
      <c r="KW180" s="61"/>
      <c r="KX180" s="61"/>
      <c r="KY180" s="61"/>
      <c r="KZ180" s="61"/>
      <c r="LA180" s="61"/>
      <c r="LB180" s="61"/>
      <c r="LC180" s="61"/>
      <c r="LD180" s="61"/>
      <c r="LE180" s="61"/>
      <c r="LF180" s="61"/>
      <c r="LG180" s="61"/>
      <c r="LH180" s="61"/>
      <c r="LI180" s="61"/>
      <c r="LJ180" s="61"/>
      <c r="LK180" s="61"/>
      <c r="LL180" s="61"/>
      <c r="LM180" s="61"/>
      <c r="LN180" s="61"/>
      <c r="LO180" s="61"/>
      <c r="LP180" s="61"/>
      <c r="LQ180" s="61"/>
      <c r="LR180" s="61"/>
      <c r="LS180" s="61"/>
      <c r="LT180" s="61"/>
      <c r="LU180" s="61"/>
      <c r="LV180" s="61"/>
      <c r="LW180" s="61"/>
      <c r="LX180" s="61"/>
      <c r="LY180" s="61"/>
      <c r="LZ180" s="61"/>
      <c r="MA180" s="61"/>
      <c r="MB180" s="61"/>
      <c r="MC180" s="61"/>
      <c r="MD180" s="61"/>
      <c r="ME180" s="61"/>
      <c r="MF180" s="61"/>
      <c r="MG180" s="61"/>
      <c r="MH180" s="61"/>
      <c r="MI180" s="61"/>
      <c r="MJ180" s="61"/>
      <c r="MK180" s="61"/>
      <c r="ML180" s="61"/>
      <c r="MM180" s="61"/>
      <c r="MN180" s="61"/>
      <c r="MO180" s="61"/>
      <c r="MP180" s="61"/>
      <c r="MQ180" s="61"/>
      <c r="MR180" s="61"/>
      <c r="MS180" s="61"/>
      <c r="MT180" s="61"/>
      <c r="MU180" s="61"/>
      <c r="MV180" s="61"/>
      <c r="MW180" s="61"/>
      <c r="MX180" s="61"/>
      <c r="MY180" s="61"/>
      <c r="MZ180" s="61"/>
      <c r="NA180" s="61"/>
      <c r="NB180" s="61"/>
      <c r="NC180" s="61"/>
      <c r="ND180" s="61"/>
      <c r="NE180" s="61"/>
      <c r="NF180" s="61"/>
      <c r="NG180" s="61"/>
      <c r="NH180" s="61"/>
      <c r="NI180" s="61"/>
      <c r="NJ180" s="61"/>
      <c r="NK180" s="61"/>
      <c r="NL180" s="61"/>
      <c r="NM180" s="61"/>
      <c r="NN180" s="61"/>
      <c r="NO180" s="61"/>
      <c r="NP180" s="61"/>
      <c r="NQ180" s="61"/>
      <c r="NR180" s="61"/>
      <c r="NS180" s="61"/>
      <c r="NT180" s="61"/>
      <c r="NU180" s="61"/>
      <c r="NV180" s="61"/>
      <c r="NW180" s="61"/>
      <c r="NX180" s="61"/>
      <c r="NY180" s="61"/>
      <c r="NZ180" s="61"/>
      <c r="OA180" s="61"/>
      <c r="OB180" s="61"/>
      <c r="OC180" s="61"/>
      <c r="OD180" s="61"/>
      <c r="OE180" s="61"/>
      <c r="OF180" s="61"/>
      <c r="OG180" s="61"/>
      <c r="OH180" s="61"/>
      <c r="OI180" s="61"/>
      <c r="OJ180" s="61"/>
      <c r="OK180" s="61"/>
      <c r="OL180" s="61"/>
      <c r="OM180" s="61"/>
      <c r="ON180" s="61"/>
      <c r="OO180" s="61"/>
      <c r="OP180" s="61"/>
      <c r="OQ180" s="61"/>
      <c r="OR180" s="61"/>
      <c r="OS180" s="61"/>
      <c r="OT180" s="61"/>
      <c r="OU180" s="61"/>
      <c r="OV180" s="61"/>
      <c r="OW180" s="61"/>
      <c r="OX180" s="61"/>
      <c r="OY180" s="61"/>
      <c r="OZ180" s="61"/>
      <c r="PA180" s="61"/>
      <c r="PB180" s="61"/>
      <c r="PC180" s="61"/>
      <c r="PD180" s="61"/>
      <c r="PE180" s="61"/>
      <c r="PF180" s="61"/>
      <c r="PG180" s="61"/>
      <c r="PH180" s="61"/>
      <c r="PI180" s="61"/>
      <c r="PJ180" s="61"/>
      <c r="PK180" s="61"/>
      <c r="PL180" s="61"/>
      <c r="PM180" s="61"/>
      <c r="PN180" s="61"/>
      <c r="PO180" s="61"/>
      <c r="PP180" s="61"/>
      <c r="PQ180" s="61"/>
      <c r="PR180" s="61"/>
      <c r="PS180" s="61"/>
      <c r="PT180" s="61"/>
      <c r="PU180" s="61"/>
      <c r="PV180" s="61"/>
      <c r="PW180" s="61"/>
      <c r="PX180" s="61"/>
      <c r="PY180" s="61"/>
      <c r="PZ180" s="61"/>
      <c r="QA180" s="61"/>
      <c r="QB180" s="61"/>
      <c r="QC180" s="61"/>
      <c r="QD180" s="61"/>
      <c r="QE180" s="61"/>
      <c r="QF180" s="61"/>
      <c r="QG180" s="61"/>
      <c r="QH180" s="61"/>
      <c r="QI180" s="61"/>
      <c r="QJ180" s="61"/>
      <c r="QK180" s="61"/>
      <c r="QL180" s="61"/>
      <c r="QM180" s="61"/>
      <c r="QN180" s="61"/>
      <c r="QO180" s="61"/>
      <c r="QP180" s="61"/>
      <c r="QQ180" s="61"/>
      <c r="QR180" s="61"/>
      <c r="QS180" s="61"/>
      <c r="QT180" s="61"/>
      <c r="QU180" s="61"/>
      <c r="QV180" s="61"/>
      <c r="QW180" s="61"/>
      <c r="QX180" s="61"/>
      <c r="QY180" s="61"/>
      <c r="QZ180" s="61"/>
      <c r="RA180" s="61"/>
      <c r="RB180" s="61"/>
      <c r="RC180" s="61"/>
      <c r="RD180" s="17"/>
    </row>
    <row r="181" spans="1:472" s="5" customFormat="1" x14ac:dyDescent="0.25">
      <c r="A181" s="5">
        <v>2104</v>
      </c>
      <c r="B181" s="5" t="s">
        <v>1115</v>
      </c>
      <c r="C181" s="5" t="s">
        <v>813</v>
      </c>
      <c r="D181" s="5">
        <v>24</v>
      </c>
      <c r="E181" s="36"/>
      <c r="F181" s="64" t="s">
        <v>216</v>
      </c>
      <c r="G181" s="65"/>
      <c r="H181" s="19"/>
      <c r="I181" s="17"/>
      <c r="J181" s="17"/>
      <c r="K181" s="17"/>
      <c r="L181" s="17"/>
      <c r="M181" s="17"/>
      <c r="N181" s="17"/>
      <c r="O181" s="17"/>
      <c r="P181" s="17"/>
      <c r="Q181" s="17"/>
      <c r="R181" s="17"/>
      <c r="S181" s="17"/>
      <c r="T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c r="ER181" s="17"/>
      <c r="ES181" s="17"/>
      <c r="ET181" s="17"/>
      <c r="EU181" s="17"/>
      <c r="EV181" s="17"/>
      <c r="EW181" s="17"/>
      <c r="EX181" s="17"/>
      <c r="EY181" s="17"/>
      <c r="EZ181" s="17"/>
      <c r="FA181" s="17"/>
      <c r="FB181" s="17"/>
      <c r="FC181" s="17"/>
      <c r="FD181" s="17"/>
      <c r="FE181" s="17"/>
      <c r="FF181" s="61"/>
      <c r="FG181" s="61"/>
      <c r="FH181" s="61"/>
      <c r="FI181" s="61"/>
      <c r="FJ181" s="61"/>
      <c r="FK181" s="61"/>
      <c r="FL181" s="61"/>
      <c r="FM181" s="61"/>
      <c r="FN181" s="61"/>
      <c r="FO181" s="61"/>
      <c r="FP181" s="61"/>
      <c r="FQ181" s="61"/>
      <c r="FR181" s="61"/>
      <c r="FS181" s="61"/>
      <c r="FT181" s="61"/>
      <c r="FU181" s="61"/>
      <c r="FV181" s="61"/>
      <c r="FW181" s="61"/>
      <c r="FX181" s="61"/>
      <c r="FY181" s="61"/>
      <c r="FZ181" s="61"/>
      <c r="GA181" s="61"/>
      <c r="GB181" s="61"/>
      <c r="GC181" s="61"/>
      <c r="GD181" s="61"/>
      <c r="GE181" s="61"/>
      <c r="GF181" s="61"/>
      <c r="GG181" s="61"/>
      <c r="GH181" s="61"/>
      <c r="GI181" s="61"/>
      <c r="GJ181" s="61"/>
      <c r="GK181" s="61"/>
      <c r="GL181" s="61"/>
      <c r="GM181" s="61"/>
      <c r="GN181" s="61"/>
      <c r="GO181" s="61"/>
      <c r="GP181" s="61"/>
      <c r="GQ181" s="61"/>
      <c r="GR181" s="61"/>
      <c r="GS181" s="61"/>
      <c r="GT181" s="61"/>
      <c r="GU181" s="61"/>
      <c r="GV181" s="61"/>
      <c r="GW181" s="61"/>
      <c r="GX181" s="61"/>
      <c r="GY181" s="61"/>
      <c r="GZ181" s="61"/>
      <c r="HA181" s="61"/>
      <c r="HB181" s="61"/>
      <c r="HC181" s="61"/>
      <c r="HD181" s="61"/>
      <c r="HE181" s="61"/>
      <c r="HF181" s="61"/>
      <c r="HG181" s="61"/>
      <c r="HH181" s="61"/>
      <c r="HI181" s="61"/>
      <c r="HJ181" s="61"/>
      <c r="HK181" s="61"/>
      <c r="HL181" s="61"/>
      <c r="HM181" s="61"/>
      <c r="HN181" s="61"/>
      <c r="HO181" s="61"/>
      <c r="HP181" s="61"/>
      <c r="HQ181" s="61"/>
      <c r="HR181" s="61"/>
      <c r="HS181" s="61"/>
      <c r="HT181" s="61"/>
      <c r="HU181" s="61"/>
      <c r="HV181" s="61"/>
      <c r="HW181" s="61"/>
      <c r="HX181" s="61"/>
      <c r="HY181" s="61"/>
      <c r="HZ181" s="61"/>
      <c r="IA181" s="61"/>
      <c r="IB181" s="61"/>
      <c r="IC181" s="61"/>
      <c r="ID181" s="61"/>
      <c r="IE181" s="61"/>
      <c r="IF181" s="61">
        <v>2</v>
      </c>
      <c r="IG181" s="61"/>
      <c r="IH181" s="61">
        <v>2</v>
      </c>
      <c r="II181" s="61"/>
      <c r="IJ181" s="61">
        <v>2</v>
      </c>
      <c r="IK181" s="61"/>
      <c r="IL181" s="61">
        <v>3</v>
      </c>
      <c r="IM181" s="61"/>
      <c r="IN181" s="61">
        <v>4</v>
      </c>
      <c r="IO181" s="61"/>
      <c r="IP181" s="61">
        <v>5</v>
      </c>
      <c r="IQ181" s="61"/>
      <c r="IR181" s="61">
        <v>5</v>
      </c>
      <c r="IS181" s="61"/>
      <c r="IT181" s="61">
        <v>5</v>
      </c>
      <c r="IU181" s="61"/>
      <c r="IV181" s="61">
        <v>5</v>
      </c>
      <c r="IW181" s="61"/>
      <c r="IX181" s="61">
        <v>5</v>
      </c>
      <c r="IY181" s="61"/>
      <c r="IZ181" s="61">
        <v>3</v>
      </c>
      <c r="JA181" s="61"/>
      <c r="JB181" s="61">
        <v>3</v>
      </c>
      <c r="JC181" s="61"/>
      <c r="JD181" s="61">
        <v>3</v>
      </c>
      <c r="JE181" s="61"/>
      <c r="JF181" s="61">
        <v>2</v>
      </c>
      <c r="JG181" s="61"/>
      <c r="JH181" s="61">
        <v>2</v>
      </c>
      <c r="JI181" s="61"/>
      <c r="JJ181" s="61">
        <v>2</v>
      </c>
      <c r="JK181" s="61"/>
      <c r="JL181" s="61">
        <v>1</v>
      </c>
      <c r="JM181" s="61"/>
      <c r="JN181" s="61">
        <v>1</v>
      </c>
      <c r="JO181" s="61"/>
      <c r="JP181" s="61">
        <v>1</v>
      </c>
      <c r="JQ181" s="61"/>
      <c r="JR181" s="61">
        <v>1</v>
      </c>
      <c r="JS181" s="61"/>
      <c r="JT181" s="61">
        <v>1</v>
      </c>
      <c r="JU181" s="61"/>
      <c r="JV181" s="61">
        <v>1</v>
      </c>
      <c r="JW181" s="61"/>
      <c r="JX181" s="61"/>
      <c r="JY181" s="61"/>
      <c r="JZ181" s="61"/>
      <c r="KA181" s="61"/>
      <c r="KB181" s="61"/>
      <c r="KC181" s="61"/>
      <c r="KD181" s="61"/>
      <c r="KE181" s="61"/>
      <c r="KF181" s="61"/>
      <c r="KG181" s="61"/>
      <c r="KH181" s="61"/>
      <c r="KI181" s="61"/>
      <c r="KJ181" s="61"/>
      <c r="KK181" s="61"/>
      <c r="KL181" s="61"/>
      <c r="KM181" s="61"/>
      <c r="KN181" s="61"/>
      <c r="KO181" s="61"/>
      <c r="KP181" s="61"/>
      <c r="KQ181" s="61"/>
      <c r="KR181" s="61"/>
      <c r="KS181" s="61"/>
      <c r="KT181" s="61"/>
      <c r="KU181" s="61"/>
      <c r="KV181" s="61"/>
      <c r="KW181" s="61"/>
      <c r="KX181" s="61"/>
      <c r="KY181" s="61"/>
      <c r="KZ181" s="61"/>
      <c r="LA181" s="61"/>
      <c r="LB181" s="61"/>
      <c r="LC181" s="61"/>
      <c r="LD181" s="61"/>
      <c r="LE181" s="61"/>
      <c r="LF181" s="61"/>
      <c r="LG181" s="61"/>
      <c r="LH181" s="61"/>
      <c r="LI181" s="61"/>
      <c r="LJ181" s="61"/>
      <c r="LK181" s="61"/>
      <c r="LL181" s="61"/>
      <c r="LM181" s="61"/>
      <c r="LN181" s="61"/>
      <c r="LO181" s="61"/>
      <c r="LP181" s="61"/>
      <c r="LQ181" s="61"/>
      <c r="LR181" s="61"/>
      <c r="LS181" s="61"/>
      <c r="LT181" s="61"/>
      <c r="LU181" s="61"/>
      <c r="LV181" s="61"/>
      <c r="LW181" s="61"/>
      <c r="LX181" s="61"/>
      <c r="LY181" s="61"/>
      <c r="LZ181" s="61"/>
      <c r="MA181" s="61"/>
      <c r="MB181" s="61"/>
      <c r="MC181" s="61"/>
      <c r="MD181" s="61"/>
      <c r="ME181" s="61"/>
      <c r="MF181" s="61"/>
      <c r="MG181" s="61"/>
      <c r="MH181" s="61"/>
      <c r="MI181" s="61"/>
      <c r="MJ181" s="61"/>
      <c r="MK181" s="61"/>
      <c r="ML181" s="61"/>
      <c r="MM181" s="61"/>
      <c r="MN181" s="61"/>
      <c r="MO181" s="61"/>
      <c r="MP181" s="61"/>
      <c r="MQ181" s="61"/>
      <c r="MR181" s="61"/>
      <c r="MS181" s="61"/>
      <c r="MT181" s="61"/>
      <c r="MU181" s="61"/>
      <c r="MV181" s="61"/>
      <c r="MW181" s="61"/>
      <c r="MX181" s="61"/>
      <c r="MY181" s="61"/>
      <c r="MZ181" s="61"/>
      <c r="NA181" s="61"/>
      <c r="NB181" s="61"/>
      <c r="NC181" s="61"/>
      <c r="ND181" s="61"/>
      <c r="NE181" s="61"/>
      <c r="NF181" s="61"/>
      <c r="NG181" s="61"/>
      <c r="NH181" s="61"/>
      <c r="NI181" s="61"/>
      <c r="NJ181" s="61"/>
      <c r="NK181" s="61"/>
      <c r="NL181" s="61"/>
      <c r="NM181" s="61"/>
      <c r="NN181" s="61"/>
      <c r="NO181" s="61"/>
      <c r="NP181" s="61"/>
      <c r="NQ181" s="61"/>
      <c r="NR181" s="61"/>
      <c r="NS181" s="61"/>
      <c r="NT181" s="61"/>
      <c r="NU181" s="61"/>
      <c r="NV181" s="61"/>
      <c r="NW181" s="61"/>
      <c r="NX181" s="61"/>
      <c r="NY181" s="61"/>
      <c r="NZ181" s="61"/>
      <c r="OA181" s="61"/>
      <c r="OB181" s="61"/>
      <c r="OC181" s="61"/>
      <c r="OD181" s="61"/>
      <c r="OE181" s="61"/>
      <c r="OF181" s="61"/>
      <c r="OG181" s="61"/>
      <c r="OH181" s="61"/>
      <c r="OI181" s="61"/>
      <c r="OJ181" s="61"/>
      <c r="OK181" s="61"/>
      <c r="OL181" s="61"/>
      <c r="OM181" s="61"/>
      <c r="ON181" s="61"/>
      <c r="OO181" s="61"/>
      <c r="OP181" s="61"/>
      <c r="OQ181" s="61"/>
      <c r="OR181" s="61"/>
      <c r="OS181" s="61"/>
      <c r="OT181" s="61"/>
      <c r="OU181" s="61"/>
      <c r="OV181" s="61"/>
      <c r="OW181" s="61"/>
      <c r="OX181" s="61"/>
      <c r="OY181" s="61"/>
      <c r="OZ181" s="61"/>
      <c r="PA181" s="61"/>
      <c r="PB181" s="61"/>
      <c r="PC181" s="61"/>
      <c r="PD181" s="61"/>
      <c r="PE181" s="61"/>
      <c r="PF181" s="61"/>
      <c r="PG181" s="61"/>
      <c r="PH181" s="61"/>
      <c r="PI181" s="61"/>
      <c r="PJ181" s="61"/>
      <c r="PK181" s="61"/>
      <c r="PL181" s="61"/>
      <c r="PM181" s="61"/>
      <c r="PN181" s="61"/>
      <c r="PO181" s="61"/>
      <c r="PP181" s="61"/>
      <c r="PQ181" s="61"/>
      <c r="PR181" s="61"/>
      <c r="PS181" s="61"/>
      <c r="PT181" s="61"/>
      <c r="PU181" s="61"/>
      <c r="PV181" s="61"/>
      <c r="PW181" s="61"/>
      <c r="PX181" s="61"/>
      <c r="PY181" s="61"/>
      <c r="PZ181" s="61"/>
      <c r="QA181" s="61"/>
      <c r="QB181" s="61"/>
      <c r="QC181" s="61"/>
      <c r="QD181" s="61"/>
      <c r="QE181" s="61"/>
      <c r="QF181" s="61"/>
      <c r="QG181" s="61"/>
      <c r="QH181" s="61"/>
      <c r="QI181" s="61"/>
      <c r="QJ181" s="61"/>
      <c r="QK181" s="61"/>
      <c r="QL181" s="61"/>
      <c r="QM181" s="61"/>
      <c r="QN181" s="61"/>
      <c r="QO181" s="61"/>
      <c r="QP181" s="61"/>
      <c r="QQ181" s="61"/>
      <c r="QR181" s="61"/>
      <c r="QS181" s="61"/>
      <c r="QT181" s="61"/>
      <c r="QU181" s="61"/>
      <c r="QV181" s="61"/>
      <c r="QW181" s="61"/>
      <c r="QX181" s="61"/>
      <c r="QY181" s="61"/>
      <c r="QZ181" s="61"/>
      <c r="RA181" s="61"/>
      <c r="RB181" s="61"/>
      <c r="RC181" s="61"/>
      <c r="RD181" s="17"/>
    </row>
    <row r="182" spans="1:472" s="5" customFormat="1" x14ac:dyDescent="0.25">
      <c r="A182" s="5">
        <v>2103</v>
      </c>
      <c r="B182" s="5" t="s">
        <v>1039</v>
      </c>
      <c r="C182" s="5" t="s">
        <v>230</v>
      </c>
      <c r="D182" s="5">
        <v>234</v>
      </c>
      <c r="E182" s="36"/>
      <c r="F182" s="64" t="s">
        <v>216</v>
      </c>
      <c r="G182" s="65"/>
      <c r="H182" s="19"/>
      <c r="I182" s="17"/>
      <c r="J182" s="17"/>
      <c r="K182" s="17"/>
      <c r="L182" s="17"/>
      <c r="M182" s="17"/>
      <c r="N182" s="17"/>
      <c r="O182" s="17"/>
      <c r="P182" s="17"/>
      <c r="Q182" s="17"/>
      <c r="R182" s="17"/>
      <c r="S182" s="17"/>
      <c r="T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c r="ER182" s="17"/>
      <c r="ES182" s="17"/>
      <c r="ET182" s="17"/>
      <c r="EU182" s="17"/>
      <c r="EV182" s="17"/>
      <c r="EW182" s="17"/>
      <c r="EX182" s="17"/>
      <c r="EY182" s="17"/>
      <c r="EZ182" s="17"/>
      <c r="FA182" s="17"/>
      <c r="FB182" s="17"/>
      <c r="FC182" s="17"/>
      <c r="FD182" s="17"/>
      <c r="FE182" s="17"/>
      <c r="FF182" s="61"/>
      <c r="FG182" s="61"/>
      <c r="FH182" s="61"/>
      <c r="FI182" s="61"/>
      <c r="FJ182" s="61"/>
      <c r="FK182" s="61"/>
      <c r="FL182" s="61"/>
      <c r="FM182" s="61"/>
      <c r="FN182" s="61"/>
      <c r="FO182" s="61"/>
      <c r="FP182" s="61"/>
      <c r="FQ182" s="61"/>
      <c r="FR182" s="61"/>
      <c r="FS182" s="61"/>
      <c r="FT182" s="61"/>
      <c r="FU182" s="61"/>
      <c r="FV182" s="61"/>
      <c r="FW182" s="61"/>
      <c r="FX182" s="61"/>
      <c r="FY182" s="61"/>
      <c r="FZ182" s="61"/>
      <c r="GA182" s="61"/>
      <c r="GB182" s="61"/>
      <c r="GC182" s="61"/>
      <c r="GD182" s="61"/>
      <c r="GE182" s="61"/>
      <c r="GF182" s="61"/>
      <c r="GG182" s="61"/>
      <c r="GH182" s="61"/>
      <c r="GI182" s="61"/>
      <c r="GJ182" s="61"/>
      <c r="GK182" s="61"/>
      <c r="GL182" s="61"/>
      <c r="GM182" s="61"/>
      <c r="GN182" s="61"/>
      <c r="GO182" s="61"/>
      <c r="GP182" s="61"/>
      <c r="GQ182" s="61"/>
      <c r="GR182" s="61"/>
      <c r="GS182" s="61"/>
      <c r="GT182" s="61"/>
      <c r="GU182" s="61"/>
      <c r="GV182" s="61"/>
      <c r="GW182" s="61"/>
      <c r="GX182" s="61"/>
      <c r="GY182" s="61"/>
      <c r="GZ182" s="61"/>
      <c r="HA182" s="61"/>
      <c r="HB182" s="61"/>
      <c r="HC182" s="61"/>
      <c r="HD182" s="61"/>
      <c r="HE182" s="61"/>
      <c r="HF182" s="61"/>
      <c r="HG182" s="61"/>
      <c r="HH182" s="61"/>
      <c r="HI182" s="61"/>
      <c r="HJ182" s="61"/>
      <c r="HK182" s="61"/>
      <c r="HL182" s="61"/>
      <c r="HM182" s="61"/>
      <c r="HN182" s="61"/>
      <c r="HO182" s="61"/>
      <c r="HP182" s="61"/>
      <c r="HQ182" s="61"/>
      <c r="HR182" s="61"/>
      <c r="HS182" s="61"/>
      <c r="HT182" s="61"/>
      <c r="HU182" s="61"/>
      <c r="HV182" s="61"/>
      <c r="HW182" s="61"/>
      <c r="HX182" s="61"/>
      <c r="HY182" s="61"/>
      <c r="HZ182" s="61"/>
      <c r="IA182" s="61"/>
      <c r="IB182" s="61"/>
      <c r="IC182" s="61"/>
      <c r="ID182" s="62"/>
      <c r="IE182" s="63"/>
      <c r="IF182" s="61">
        <v>2</v>
      </c>
      <c r="IG182" s="61"/>
      <c r="IH182" s="61">
        <v>4</v>
      </c>
      <c r="II182" s="61"/>
      <c r="IJ182" s="61">
        <v>5</v>
      </c>
      <c r="IK182" s="61"/>
      <c r="IL182" s="61">
        <v>8</v>
      </c>
      <c r="IM182" s="61"/>
      <c r="IN182" s="61">
        <v>12</v>
      </c>
      <c r="IO182" s="61"/>
      <c r="IP182" s="61">
        <v>6</v>
      </c>
      <c r="IQ182" s="61"/>
      <c r="IR182" s="61">
        <v>11</v>
      </c>
      <c r="IS182" s="61"/>
      <c r="IT182" s="61">
        <v>16</v>
      </c>
      <c r="IU182" s="61"/>
      <c r="IV182" s="61">
        <v>22</v>
      </c>
      <c r="IW182" s="61"/>
      <c r="IX182" s="61">
        <v>30</v>
      </c>
      <c r="IY182" s="61"/>
      <c r="IZ182" s="61">
        <v>32</v>
      </c>
      <c r="JA182" s="61"/>
      <c r="JB182" s="61">
        <v>25</v>
      </c>
      <c r="JC182" s="61"/>
      <c r="JD182" s="61">
        <v>25</v>
      </c>
      <c r="JE182" s="61"/>
      <c r="JF182" s="61">
        <v>12</v>
      </c>
      <c r="JG182" s="61"/>
      <c r="JH182" s="61">
        <v>9</v>
      </c>
      <c r="JI182" s="61"/>
      <c r="JJ182" s="61">
        <v>8</v>
      </c>
      <c r="JK182" s="61"/>
      <c r="JL182" s="61">
        <v>7</v>
      </c>
      <c r="JM182" s="61"/>
      <c r="JN182" s="61">
        <v>6</v>
      </c>
      <c r="JO182" s="61"/>
      <c r="JP182" s="61">
        <v>5</v>
      </c>
      <c r="JQ182" s="61"/>
      <c r="JR182" s="61">
        <v>4</v>
      </c>
      <c r="JS182" s="61"/>
      <c r="JT182" s="61">
        <v>3</v>
      </c>
      <c r="JU182" s="61"/>
      <c r="JV182" s="61">
        <v>2</v>
      </c>
      <c r="JW182" s="61"/>
      <c r="JX182" s="61">
        <v>1</v>
      </c>
      <c r="JY182" s="61"/>
      <c r="JZ182" s="61"/>
      <c r="KA182" s="61"/>
      <c r="KB182" s="61"/>
      <c r="KC182" s="61"/>
      <c r="KD182" s="61"/>
      <c r="KE182" s="61"/>
      <c r="KF182" s="61"/>
      <c r="KG182" s="61"/>
      <c r="KH182" s="61"/>
      <c r="KI182" s="61"/>
      <c r="KJ182" s="61"/>
      <c r="KK182" s="61"/>
      <c r="KL182" s="61"/>
      <c r="KM182" s="61"/>
      <c r="KN182" s="61"/>
      <c r="KO182" s="61"/>
      <c r="KP182" s="61"/>
      <c r="KQ182" s="61"/>
      <c r="KR182" s="61"/>
      <c r="KS182" s="61"/>
      <c r="KT182" s="61"/>
      <c r="KU182" s="61"/>
      <c r="KV182" s="61"/>
      <c r="KW182" s="61"/>
      <c r="KX182" s="61"/>
      <c r="KY182" s="61"/>
      <c r="KZ182" s="61"/>
      <c r="LA182" s="61"/>
      <c r="LB182" s="61"/>
      <c r="LC182" s="61"/>
      <c r="LD182" s="61"/>
      <c r="LE182" s="61"/>
      <c r="LF182" s="61"/>
      <c r="LG182" s="61"/>
      <c r="LH182" s="61"/>
      <c r="LI182" s="61"/>
      <c r="LJ182" s="61"/>
      <c r="LK182" s="61"/>
      <c r="LL182" s="61"/>
      <c r="LM182" s="61"/>
      <c r="LN182" s="61"/>
      <c r="LO182" s="61"/>
      <c r="LP182" s="61"/>
      <c r="LQ182" s="61"/>
      <c r="LR182" s="61"/>
      <c r="LS182" s="61"/>
      <c r="LT182" s="61"/>
      <c r="LU182" s="61"/>
      <c r="LV182" s="61"/>
      <c r="LW182" s="61"/>
      <c r="LX182" s="61"/>
      <c r="LY182" s="61"/>
      <c r="LZ182" s="61"/>
      <c r="MA182" s="61"/>
      <c r="MB182" s="61"/>
      <c r="MC182" s="61"/>
      <c r="MD182" s="61"/>
      <c r="ME182" s="61"/>
      <c r="MF182" s="61"/>
      <c r="MG182" s="61"/>
      <c r="MH182" s="61"/>
      <c r="MI182" s="61"/>
      <c r="MJ182" s="61"/>
      <c r="MK182" s="61"/>
      <c r="ML182" s="61"/>
      <c r="MM182" s="61"/>
      <c r="MN182" s="61"/>
      <c r="MO182" s="61"/>
      <c r="MP182" s="61"/>
      <c r="MQ182" s="61"/>
      <c r="MR182" s="61"/>
      <c r="MS182" s="61"/>
      <c r="MT182" s="61"/>
      <c r="MU182" s="61"/>
      <c r="MV182" s="61"/>
      <c r="MW182" s="61"/>
      <c r="MX182" s="61"/>
      <c r="MY182" s="61"/>
      <c r="MZ182" s="61"/>
      <c r="NA182" s="61"/>
      <c r="NB182" s="61"/>
      <c r="NC182" s="61"/>
      <c r="ND182" s="61"/>
      <c r="NE182" s="61"/>
      <c r="NF182" s="61"/>
      <c r="NG182" s="61"/>
      <c r="NH182" s="61"/>
      <c r="NI182" s="61"/>
      <c r="NJ182" s="61"/>
      <c r="NK182" s="61"/>
      <c r="NL182" s="61"/>
      <c r="NM182" s="61"/>
      <c r="NN182" s="61"/>
      <c r="NO182" s="61"/>
      <c r="NP182" s="61"/>
      <c r="NQ182" s="61"/>
      <c r="NR182" s="61"/>
      <c r="NS182" s="61"/>
      <c r="NT182" s="61"/>
      <c r="NU182" s="61"/>
      <c r="NV182" s="61"/>
      <c r="NW182" s="61"/>
      <c r="NX182" s="61"/>
      <c r="NY182" s="61"/>
      <c r="NZ182" s="61"/>
      <c r="OA182" s="61"/>
      <c r="OB182" s="61"/>
      <c r="OC182" s="61"/>
      <c r="OD182" s="61"/>
      <c r="OE182" s="61"/>
      <c r="OF182" s="61"/>
      <c r="OG182" s="61"/>
      <c r="OH182" s="61"/>
      <c r="OI182" s="61"/>
      <c r="OJ182" s="61"/>
      <c r="OK182" s="61"/>
      <c r="OL182" s="61"/>
      <c r="OM182" s="61"/>
      <c r="ON182" s="61"/>
      <c r="OO182" s="61"/>
      <c r="OP182" s="61"/>
      <c r="OQ182" s="61"/>
      <c r="OR182" s="61"/>
      <c r="OS182" s="61"/>
      <c r="OT182" s="61"/>
      <c r="OU182" s="61"/>
      <c r="OV182" s="61"/>
      <c r="OW182" s="61"/>
      <c r="OX182" s="61"/>
      <c r="OY182" s="61"/>
      <c r="OZ182" s="61"/>
      <c r="PA182" s="61"/>
      <c r="PB182" s="61"/>
      <c r="PC182" s="61"/>
      <c r="PD182" s="61"/>
      <c r="PE182" s="61"/>
      <c r="PF182" s="61"/>
      <c r="PG182" s="61"/>
      <c r="PH182" s="61"/>
      <c r="PI182" s="61"/>
      <c r="PJ182" s="61"/>
      <c r="PK182" s="61"/>
      <c r="PL182" s="61"/>
      <c r="PM182" s="61"/>
      <c r="PN182" s="61"/>
      <c r="PO182" s="61"/>
      <c r="PP182" s="61"/>
      <c r="PQ182" s="61"/>
      <c r="PR182" s="61"/>
      <c r="PS182" s="61"/>
      <c r="PT182" s="61"/>
      <c r="PU182" s="61"/>
      <c r="PV182" s="61"/>
      <c r="PW182" s="61"/>
      <c r="PX182" s="61"/>
      <c r="PY182" s="61"/>
      <c r="PZ182" s="61"/>
      <c r="QA182" s="61"/>
      <c r="QB182" s="61"/>
      <c r="QC182" s="61"/>
      <c r="QD182" s="61"/>
      <c r="QE182" s="61"/>
      <c r="QF182" s="61"/>
      <c r="QG182" s="61"/>
      <c r="QH182" s="61"/>
      <c r="QI182" s="61"/>
      <c r="QJ182" s="61"/>
      <c r="QK182" s="61"/>
      <c r="QL182" s="61"/>
      <c r="QM182" s="61"/>
      <c r="QN182" s="61"/>
      <c r="QO182" s="61"/>
      <c r="QP182" s="61"/>
      <c r="QQ182" s="61"/>
      <c r="QR182" s="61"/>
      <c r="QS182" s="61"/>
      <c r="QT182" s="61"/>
      <c r="QU182" s="61"/>
      <c r="QV182" s="61"/>
      <c r="QW182" s="61"/>
      <c r="QX182" s="61"/>
      <c r="QY182" s="61"/>
      <c r="QZ182" s="61"/>
      <c r="RA182" s="61"/>
      <c r="RB182" s="61"/>
      <c r="RC182" s="61"/>
      <c r="RD182" s="17"/>
    </row>
    <row r="183" spans="1:472" s="5" customFormat="1" x14ac:dyDescent="0.25">
      <c r="A183" s="5">
        <v>2107</v>
      </c>
      <c r="B183" s="5" t="s">
        <v>921</v>
      </c>
      <c r="C183" s="5" t="s">
        <v>5</v>
      </c>
      <c r="D183" s="5">
        <v>244</v>
      </c>
      <c r="E183" s="36"/>
      <c r="F183" s="64" t="s">
        <v>216</v>
      </c>
      <c r="G183" s="65"/>
      <c r="H183" s="19"/>
      <c r="I183" s="17"/>
      <c r="J183" s="17"/>
      <c r="K183" s="17"/>
      <c r="L183" s="17"/>
      <c r="M183" s="17"/>
      <c r="N183" s="17"/>
      <c r="O183" s="17"/>
      <c r="P183" s="17"/>
      <c r="Q183" s="17"/>
      <c r="R183" s="17"/>
      <c r="S183" s="17"/>
      <c r="T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c r="ED183" s="17"/>
      <c r="EE183" s="17"/>
      <c r="EF183" s="17"/>
      <c r="EG183" s="17"/>
      <c r="EH183" s="17"/>
      <c r="EI183" s="17"/>
      <c r="EJ183" s="17"/>
      <c r="EK183" s="17"/>
      <c r="EL183" s="17"/>
      <c r="EM183" s="17"/>
      <c r="EN183" s="17"/>
      <c r="EO183" s="17"/>
      <c r="EP183" s="17"/>
      <c r="EQ183" s="17"/>
      <c r="ER183" s="17"/>
      <c r="ES183" s="17"/>
      <c r="ET183" s="17"/>
      <c r="EU183" s="17"/>
      <c r="EV183" s="17"/>
      <c r="EW183" s="17"/>
      <c r="EX183" s="17"/>
      <c r="EY183" s="17"/>
      <c r="EZ183" s="17"/>
      <c r="FA183" s="17"/>
      <c r="FB183" s="17"/>
      <c r="FC183" s="17"/>
      <c r="FD183" s="17"/>
      <c r="FE183" s="17"/>
      <c r="FF183" s="61"/>
      <c r="FG183" s="61"/>
      <c r="FH183" s="61"/>
      <c r="FI183" s="61"/>
      <c r="FJ183" s="61"/>
      <c r="FK183" s="61"/>
      <c r="FL183" s="61"/>
      <c r="FM183" s="61"/>
      <c r="FN183" s="61"/>
      <c r="FO183" s="61"/>
      <c r="FP183" s="61"/>
      <c r="FQ183" s="61"/>
      <c r="FR183" s="61"/>
      <c r="FS183" s="61"/>
      <c r="FT183" s="61"/>
      <c r="FU183" s="61"/>
      <c r="FV183" s="61"/>
      <c r="FW183" s="61"/>
      <c r="FX183" s="61"/>
      <c r="FY183" s="61"/>
      <c r="FZ183" s="61"/>
      <c r="GA183" s="61"/>
      <c r="GB183" s="61"/>
      <c r="GC183" s="61"/>
      <c r="GD183" s="61"/>
      <c r="GE183" s="61"/>
      <c r="GF183" s="61"/>
      <c r="GG183" s="61"/>
      <c r="GH183" s="61"/>
      <c r="GI183" s="61"/>
      <c r="GJ183" s="61"/>
      <c r="GK183" s="61"/>
      <c r="GL183" s="61"/>
      <c r="GM183" s="61"/>
      <c r="GN183" s="61"/>
      <c r="GO183" s="61"/>
      <c r="GP183" s="61"/>
      <c r="GQ183" s="61"/>
      <c r="GR183" s="61"/>
      <c r="GS183" s="61"/>
      <c r="GT183" s="61"/>
      <c r="GU183" s="61"/>
      <c r="GV183" s="61"/>
      <c r="GW183" s="61"/>
      <c r="GX183" s="61"/>
      <c r="GY183" s="61"/>
      <c r="GZ183" s="61"/>
      <c r="HA183" s="61"/>
      <c r="HB183" s="61"/>
      <c r="HC183" s="61"/>
      <c r="HD183" s="61"/>
      <c r="HE183" s="61"/>
      <c r="HF183" s="61"/>
      <c r="HG183" s="61"/>
      <c r="HH183" s="61"/>
      <c r="HI183" s="61"/>
      <c r="HJ183" s="61"/>
      <c r="HK183" s="61"/>
      <c r="HL183" s="61"/>
      <c r="HM183" s="61"/>
      <c r="HN183" s="61"/>
      <c r="HO183" s="61"/>
      <c r="HP183" s="61"/>
      <c r="HQ183" s="61"/>
      <c r="HR183" s="61"/>
      <c r="HS183" s="61"/>
      <c r="HT183" s="61"/>
      <c r="HU183" s="61"/>
      <c r="HV183" s="61"/>
      <c r="HW183" s="61"/>
      <c r="HX183" s="61"/>
      <c r="HY183" s="61"/>
      <c r="HZ183" s="61"/>
      <c r="IA183" s="61"/>
      <c r="IB183" s="61"/>
      <c r="IC183" s="61"/>
      <c r="ID183" s="61"/>
      <c r="IE183" s="61"/>
      <c r="IF183" s="61"/>
      <c r="IG183" s="61"/>
      <c r="IH183" s="61"/>
      <c r="II183" s="61"/>
      <c r="IJ183" s="61"/>
      <c r="IK183" s="61"/>
      <c r="IL183" s="61"/>
      <c r="IM183" s="61"/>
      <c r="IN183" s="61"/>
      <c r="IO183" s="61"/>
      <c r="IP183" s="61"/>
      <c r="IQ183" s="61"/>
      <c r="IR183" s="61"/>
      <c r="IS183" s="61"/>
      <c r="IT183" s="61"/>
      <c r="IU183" s="61"/>
      <c r="IV183" s="61">
        <v>3</v>
      </c>
      <c r="IW183" s="61"/>
      <c r="IX183" s="61">
        <v>4</v>
      </c>
      <c r="IY183" s="61"/>
      <c r="IZ183" s="61">
        <v>3</v>
      </c>
      <c r="JA183" s="61"/>
      <c r="JB183" s="61">
        <v>8</v>
      </c>
      <c r="JC183" s="61"/>
      <c r="JD183" s="61">
        <v>8</v>
      </c>
      <c r="JE183" s="61"/>
      <c r="JF183" s="61">
        <v>15</v>
      </c>
      <c r="JG183" s="61"/>
      <c r="JH183" s="61">
        <v>18</v>
      </c>
      <c r="JI183" s="61"/>
      <c r="JJ183" s="61">
        <v>18</v>
      </c>
      <c r="JK183" s="61"/>
      <c r="JL183" s="61">
        <v>18</v>
      </c>
      <c r="JM183" s="61"/>
      <c r="JN183" s="61">
        <v>16</v>
      </c>
      <c r="JO183" s="61"/>
      <c r="JP183" s="61">
        <v>16</v>
      </c>
      <c r="JQ183" s="61"/>
      <c r="JR183" s="61">
        <v>14</v>
      </c>
      <c r="JS183" s="61"/>
      <c r="JT183" s="61">
        <v>12</v>
      </c>
      <c r="JU183" s="61"/>
      <c r="JV183" s="61">
        <v>10</v>
      </c>
      <c r="JW183" s="61"/>
      <c r="JX183" s="61">
        <v>8</v>
      </c>
      <c r="JY183" s="61"/>
      <c r="JZ183" s="61">
        <v>6</v>
      </c>
      <c r="KA183" s="61"/>
      <c r="KB183" s="61">
        <v>5</v>
      </c>
      <c r="KC183" s="61"/>
      <c r="KD183" s="61">
        <v>4</v>
      </c>
      <c r="KE183" s="61"/>
      <c r="KF183" s="61">
        <v>3</v>
      </c>
      <c r="KG183" s="61"/>
      <c r="KH183" s="61">
        <v>2</v>
      </c>
      <c r="KI183" s="61"/>
      <c r="KJ183" s="61">
        <v>1</v>
      </c>
      <c r="KK183" s="61"/>
      <c r="KL183" s="61">
        <v>1</v>
      </c>
      <c r="KM183" s="61"/>
      <c r="KN183" s="61">
        <v>1</v>
      </c>
      <c r="KO183" s="61"/>
      <c r="KP183" s="61"/>
      <c r="KQ183" s="61"/>
      <c r="KR183" s="61"/>
      <c r="KS183" s="61"/>
      <c r="KT183" s="61"/>
      <c r="KU183" s="61"/>
      <c r="KV183" s="61"/>
      <c r="KW183" s="61"/>
      <c r="KX183" s="61"/>
      <c r="KY183" s="61"/>
      <c r="KZ183" s="61"/>
      <c r="LA183" s="61"/>
      <c r="LB183" s="61"/>
      <c r="LC183" s="61"/>
      <c r="LD183" s="61"/>
      <c r="LE183" s="61"/>
      <c r="LF183" s="61"/>
      <c r="LG183" s="61"/>
      <c r="LH183" s="61"/>
      <c r="LI183" s="61"/>
      <c r="LJ183" s="61"/>
      <c r="LK183" s="61"/>
      <c r="LL183" s="61"/>
      <c r="LM183" s="61"/>
      <c r="LN183" s="61"/>
      <c r="LO183" s="61"/>
      <c r="LP183" s="61"/>
      <c r="LQ183" s="61"/>
      <c r="LR183" s="61"/>
      <c r="LS183" s="61"/>
      <c r="LT183" s="61"/>
      <c r="LU183" s="61"/>
      <c r="LV183" s="61"/>
      <c r="LW183" s="61"/>
      <c r="LX183" s="61"/>
      <c r="LY183" s="61"/>
      <c r="LZ183" s="61"/>
      <c r="MA183" s="61"/>
      <c r="MB183" s="61"/>
      <c r="MC183" s="61"/>
      <c r="MD183" s="61"/>
      <c r="ME183" s="61"/>
      <c r="MF183" s="61"/>
      <c r="MG183" s="61"/>
      <c r="MH183" s="61"/>
      <c r="MI183" s="61"/>
      <c r="MJ183" s="61"/>
      <c r="MK183" s="61"/>
      <c r="ML183" s="61"/>
      <c r="MM183" s="61"/>
      <c r="MN183" s="61"/>
      <c r="MO183" s="61"/>
      <c r="MP183" s="61"/>
      <c r="MQ183" s="61"/>
      <c r="MR183" s="61"/>
      <c r="MS183" s="61"/>
      <c r="MT183" s="61"/>
      <c r="MU183" s="61"/>
      <c r="MV183" s="61"/>
      <c r="MW183" s="61"/>
      <c r="MX183" s="61"/>
      <c r="MY183" s="61"/>
      <c r="MZ183" s="61"/>
      <c r="NA183" s="61"/>
      <c r="NB183" s="61"/>
      <c r="NC183" s="61"/>
      <c r="ND183" s="61"/>
      <c r="NE183" s="61"/>
      <c r="NF183" s="61"/>
      <c r="NG183" s="61"/>
      <c r="NH183" s="61"/>
      <c r="NI183" s="61"/>
      <c r="NJ183" s="61"/>
      <c r="NK183" s="61"/>
      <c r="NL183" s="61"/>
      <c r="NM183" s="61"/>
      <c r="NN183" s="61"/>
      <c r="NO183" s="61"/>
      <c r="NP183" s="61"/>
      <c r="NQ183" s="61"/>
      <c r="NR183" s="61"/>
      <c r="NS183" s="61"/>
      <c r="NT183" s="61"/>
      <c r="NU183" s="61"/>
      <c r="NV183" s="61"/>
      <c r="NW183" s="61"/>
      <c r="NX183" s="61"/>
      <c r="NY183" s="61"/>
      <c r="NZ183" s="61"/>
      <c r="OA183" s="61"/>
      <c r="OB183" s="61"/>
      <c r="OC183" s="61"/>
      <c r="OD183" s="61"/>
      <c r="OE183" s="61"/>
      <c r="OF183" s="61"/>
      <c r="OG183" s="61"/>
      <c r="OH183" s="61"/>
      <c r="OI183" s="61"/>
      <c r="OJ183" s="61"/>
      <c r="OK183" s="61"/>
      <c r="OL183" s="61"/>
      <c r="OM183" s="61"/>
      <c r="ON183" s="61"/>
      <c r="OO183" s="61"/>
      <c r="OP183" s="61"/>
      <c r="OQ183" s="61"/>
      <c r="OR183" s="61"/>
      <c r="OS183" s="61"/>
      <c r="OT183" s="61"/>
      <c r="OU183" s="61"/>
      <c r="OV183" s="61"/>
      <c r="OW183" s="61"/>
      <c r="OX183" s="61"/>
      <c r="OY183" s="61"/>
      <c r="OZ183" s="61"/>
      <c r="PA183" s="61"/>
      <c r="PB183" s="61"/>
      <c r="PC183" s="61"/>
      <c r="PD183" s="61"/>
      <c r="PE183" s="61"/>
      <c r="PF183" s="61"/>
      <c r="PG183" s="61"/>
      <c r="PH183" s="61"/>
      <c r="PI183" s="61"/>
      <c r="PJ183" s="61"/>
      <c r="PK183" s="61"/>
      <c r="PL183" s="61"/>
      <c r="PM183" s="61"/>
      <c r="PN183" s="61"/>
      <c r="PO183" s="61"/>
      <c r="PP183" s="61"/>
      <c r="PQ183" s="61"/>
      <c r="PR183" s="61"/>
      <c r="PS183" s="61"/>
      <c r="PT183" s="61"/>
      <c r="PU183" s="61"/>
      <c r="PV183" s="61"/>
      <c r="PW183" s="61"/>
      <c r="PX183" s="61"/>
      <c r="PY183" s="61"/>
      <c r="PZ183" s="61"/>
      <c r="QA183" s="61"/>
      <c r="QB183" s="61"/>
      <c r="QC183" s="61"/>
      <c r="QD183" s="61"/>
      <c r="QE183" s="61"/>
      <c r="QF183" s="61"/>
      <c r="QG183" s="61"/>
      <c r="QH183" s="61"/>
      <c r="QI183" s="61"/>
      <c r="QJ183" s="61"/>
      <c r="QK183" s="61"/>
      <c r="QL183" s="61"/>
      <c r="QM183" s="61"/>
      <c r="QN183" s="61"/>
      <c r="QO183" s="61"/>
      <c r="QP183" s="61"/>
      <c r="QQ183" s="61"/>
      <c r="QR183" s="61"/>
      <c r="QS183" s="61"/>
      <c r="QT183" s="61"/>
      <c r="QU183" s="61"/>
      <c r="QV183" s="61"/>
      <c r="QW183" s="61"/>
      <c r="QX183" s="61"/>
      <c r="QY183" s="61"/>
      <c r="QZ183" s="61"/>
      <c r="RA183" s="61"/>
      <c r="RB183" s="61"/>
      <c r="RC183" s="61"/>
      <c r="RD183" s="17"/>
    </row>
    <row r="184" spans="1:472" s="5" customFormat="1" x14ac:dyDescent="0.25">
      <c r="A184" s="5">
        <v>2109</v>
      </c>
      <c r="B184" s="5" t="s">
        <v>1477</v>
      </c>
      <c r="C184" s="5" t="s">
        <v>444</v>
      </c>
      <c r="D184" s="5">
        <v>246</v>
      </c>
      <c r="E184" s="36"/>
      <c r="F184" s="64" t="s">
        <v>216</v>
      </c>
      <c r="G184" s="65"/>
      <c r="H184" s="19"/>
      <c r="I184" s="17"/>
      <c r="J184" s="17"/>
      <c r="K184" s="17"/>
      <c r="L184" s="17"/>
      <c r="M184" s="17"/>
      <c r="N184" s="17"/>
      <c r="O184" s="17"/>
      <c r="P184" s="17"/>
      <c r="Q184" s="17"/>
      <c r="R184" s="17"/>
      <c r="S184" s="17"/>
      <c r="T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c r="ED184" s="17"/>
      <c r="EE184" s="17"/>
      <c r="EF184" s="17"/>
      <c r="EG184" s="17"/>
      <c r="EH184" s="17"/>
      <c r="EI184" s="17"/>
      <c r="EJ184" s="17"/>
      <c r="EK184" s="17"/>
      <c r="EL184" s="17"/>
      <c r="EM184" s="17"/>
      <c r="EN184" s="17"/>
      <c r="EO184" s="17"/>
      <c r="EP184" s="17"/>
      <c r="EQ184" s="17"/>
      <c r="ER184" s="17"/>
      <c r="ES184" s="17"/>
      <c r="ET184" s="17"/>
      <c r="EU184" s="17"/>
      <c r="EV184" s="17"/>
      <c r="EW184" s="17"/>
      <c r="EX184" s="17"/>
      <c r="EY184" s="17"/>
      <c r="EZ184" s="17"/>
      <c r="FA184" s="17"/>
      <c r="FB184" s="17"/>
      <c r="FC184" s="17"/>
      <c r="FD184" s="17"/>
      <c r="FE184" s="17"/>
      <c r="FF184" s="61"/>
      <c r="FG184" s="61"/>
      <c r="FH184" s="61"/>
      <c r="FI184" s="61"/>
      <c r="FJ184" s="61"/>
      <c r="FK184" s="61"/>
      <c r="FL184" s="61"/>
      <c r="FM184" s="61"/>
      <c r="FN184" s="61"/>
      <c r="FO184" s="61"/>
      <c r="FP184" s="61"/>
      <c r="FQ184" s="61"/>
      <c r="FR184" s="61"/>
      <c r="FS184" s="61"/>
      <c r="FT184" s="61"/>
      <c r="FU184" s="61"/>
      <c r="FV184" s="61"/>
      <c r="FW184" s="61"/>
      <c r="FX184" s="61"/>
      <c r="FY184" s="61"/>
      <c r="FZ184" s="61"/>
      <c r="GA184" s="61"/>
      <c r="GB184" s="61"/>
      <c r="GC184" s="61"/>
      <c r="GD184" s="61"/>
      <c r="GE184" s="61"/>
      <c r="GF184" s="61"/>
      <c r="GG184" s="61"/>
      <c r="GH184" s="61"/>
      <c r="GI184" s="61"/>
      <c r="GJ184" s="61"/>
      <c r="GK184" s="61"/>
      <c r="GL184" s="61"/>
      <c r="GM184" s="61"/>
      <c r="GN184" s="61"/>
      <c r="GO184" s="61"/>
      <c r="GP184" s="61"/>
      <c r="GQ184" s="61"/>
      <c r="GR184" s="61"/>
      <c r="GS184" s="61"/>
      <c r="GT184" s="61"/>
      <c r="GU184" s="61"/>
      <c r="GV184" s="61"/>
      <c r="GW184" s="61"/>
      <c r="GX184" s="61"/>
      <c r="GY184" s="61"/>
      <c r="GZ184" s="61"/>
      <c r="HA184" s="61"/>
      <c r="HB184" s="61"/>
      <c r="HC184" s="61"/>
      <c r="HD184" s="61"/>
      <c r="HE184" s="61"/>
      <c r="HF184" s="61"/>
      <c r="HG184" s="61"/>
      <c r="HH184" s="61"/>
      <c r="HI184" s="61"/>
      <c r="HJ184" s="61"/>
      <c r="HK184" s="61"/>
      <c r="HL184" s="61"/>
      <c r="HM184" s="61"/>
      <c r="HN184" s="61"/>
      <c r="HO184" s="61"/>
      <c r="HP184" s="61"/>
      <c r="HQ184" s="61"/>
      <c r="HR184" s="61"/>
      <c r="HS184" s="61"/>
      <c r="HT184" s="61"/>
      <c r="HU184" s="61"/>
      <c r="HV184" s="61"/>
      <c r="HW184" s="61"/>
      <c r="HX184" s="61"/>
      <c r="HY184" s="61"/>
      <c r="HZ184" s="61"/>
      <c r="IA184" s="61"/>
      <c r="IB184" s="61"/>
      <c r="IC184" s="61"/>
      <c r="ID184" s="61"/>
      <c r="IE184" s="61"/>
      <c r="IF184" s="61"/>
      <c r="IG184" s="61"/>
      <c r="IH184" s="61"/>
      <c r="II184" s="61"/>
      <c r="IJ184" s="61"/>
      <c r="IK184" s="61"/>
      <c r="IL184" s="61"/>
      <c r="IM184" s="61"/>
      <c r="IN184" s="61"/>
      <c r="IO184" s="61"/>
      <c r="IP184" s="61"/>
      <c r="IQ184" s="61"/>
      <c r="IR184" s="61"/>
      <c r="IS184" s="61"/>
      <c r="IT184" s="61"/>
      <c r="IU184" s="61"/>
      <c r="IV184" s="61"/>
      <c r="IW184" s="61"/>
      <c r="IX184" s="61"/>
      <c r="IY184" s="61"/>
      <c r="IZ184" s="61">
        <v>3</v>
      </c>
      <c r="JA184" s="61"/>
      <c r="JB184" s="61">
        <v>6</v>
      </c>
      <c r="JC184" s="61"/>
      <c r="JD184" s="61">
        <v>13</v>
      </c>
      <c r="JE184" s="61"/>
      <c r="JF184" s="61">
        <v>18</v>
      </c>
      <c r="JG184" s="61"/>
      <c r="JH184" s="61">
        <v>18</v>
      </c>
      <c r="JI184" s="61"/>
      <c r="JJ184" s="61">
        <v>18</v>
      </c>
      <c r="JK184" s="61"/>
      <c r="JL184" s="61">
        <v>18</v>
      </c>
      <c r="JM184" s="61"/>
      <c r="JN184" s="61">
        <v>23</v>
      </c>
      <c r="JO184" s="61"/>
      <c r="JP184" s="61">
        <v>20</v>
      </c>
      <c r="JQ184" s="61"/>
      <c r="JR184" s="61">
        <v>18</v>
      </c>
      <c r="JS184" s="61"/>
      <c r="JT184" s="61">
        <v>15</v>
      </c>
      <c r="JU184" s="61"/>
      <c r="JV184" s="61">
        <v>10</v>
      </c>
      <c r="JW184" s="61"/>
      <c r="JX184" s="61">
        <v>8</v>
      </c>
      <c r="JY184" s="61"/>
      <c r="JZ184" s="61">
        <v>7</v>
      </c>
      <c r="KA184" s="61"/>
      <c r="KB184" s="61">
        <v>6</v>
      </c>
      <c r="KC184" s="61"/>
      <c r="KD184" s="61">
        <v>5</v>
      </c>
      <c r="KE184" s="61"/>
      <c r="KF184" s="61">
        <v>4</v>
      </c>
      <c r="KG184" s="61"/>
      <c r="KH184" s="61">
        <v>3</v>
      </c>
      <c r="KI184" s="61"/>
      <c r="KJ184" s="61">
        <v>2</v>
      </c>
      <c r="KK184" s="61"/>
      <c r="KL184" s="61">
        <v>2</v>
      </c>
      <c r="KM184" s="61"/>
      <c r="KN184" s="61"/>
      <c r="KO184" s="61"/>
      <c r="KP184" s="61"/>
      <c r="KQ184" s="61"/>
      <c r="KR184" s="61"/>
      <c r="KS184" s="61"/>
      <c r="KT184" s="61"/>
      <c r="KU184" s="61"/>
      <c r="KV184" s="61"/>
      <c r="KW184" s="61"/>
      <c r="KX184" s="61"/>
      <c r="KY184" s="61"/>
      <c r="KZ184" s="61"/>
      <c r="LA184" s="61"/>
      <c r="LB184" s="61"/>
      <c r="LC184" s="61"/>
      <c r="LD184" s="61"/>
      <c r="LE184" s="61"/>
      <c r="LF184" s="61"/>
      <c r="LG184" s="61"/>
      <c r="LH184" s="61"/>
      <c r="LI184" s="61"/>
      <c r="LJ184" s="61"/>
      <c r="LK184" s="61"/>
      <c r="LL184" s="61"/>
      <c r="LM184" s="61"/>
      <c r="LN184" s="61"/>
      <c r="LO184" s="61"/>
      <c r="LP184" s="61"/>
      <c r="LQ184" s="61"/>
      <c r="LR184" s="61"/>
      <c r="LS184" s="61"/>
      <c r="LT184" s="61"/>
      <c r="LU184" s="61"/>
      <c r="LV184" s="61"/>
      <c r="LW184" s="61"/>
      <c r="LX184" s="61"/>
      <c r="LY184" s="61"/>
      <c r="LZ184" s="61"/>
      <c r="MA184" s="61"/>
      <c r="MB184" s="61"/>
      <c r="MC184" s="61"/>
      <c r="MD184" s="61"/>
      <c r="ME184" s="61"/>
      <c r="MF184" s="61"/>
      <c r="MG184" s="61"/>
      <c r="MH184" s="61"/>
      <c r="MI184" s="61"/>
      <c r="MJ184" s="61"/>
      <c r="MK184" s="61"/>
      <c r="ML184" s="61"/>
      <c r="MM184" s="61"/>
      <c r="MN184" s="61"/>
      <c r="MO184" s="61"/>
      <c r="MP184" s="61"/>
      <c r="MQ184" s="61"/>
      <c r="MR184" s="61"/>
      <c r="MS184" s="61"/>
      <c r="MT184" s="61"/>
      <c r="MU184" s="61"/>
      <c r="MV184" s="61"/>
      <c r="MW184" s="61"/>
      <c r="MX184" s="61"/>
      <c r="MY184" s="61"/>
      <c r="MZ184" s="61"/>
      <c r="NA184" s="61"/>
      <c r="NB184" s="61"/>
      <c r="NC184" s="61"/>
      <c r="ND184" s="61"/>
      <c r="NE184" s="61"/>
      <c r="NF184" s="61"/>
      <c r="NG184" s="61"/>
      <c r="NH184" s="61"/>
      <c r="NI184" s="61"/>
      <c r="NJ184" s="61"/>
      <c r="NK184" s="61"/>
      <c r="NL184" s="61"/>
      <c r="NM184" s="61"/>
      <c r="NN184" s="61"/>
      <c r="NO184" s="61"/>
      <c r="NP184" s="61"/>
      <c r="NQ184" s="61"/>
      <c r="NR184" s="61"/>
      <c r="NS184" s="61"/>
      <c r="NT184" s="61"/>
      <c r="NU184" s="61"/>
      <c r="NV184" s="61"/>
      <c r="NW184" s="61"/>
      <c r="NX184" s="61"/>
      <c r="NY184" s="61"/>
      <c r="NZ184" s="61"/>
      <c r="OA184" s="61"/>
      <c r="OB184" s="61"/>
      <c r="OC184" s="61"/>
      <c r="OD184" s="61"/>
      <c r="OE184" s="61"/>
      <c r="OF184" s="61"/>
      <c r="OG184" s="61"/>
      <c r="OH184" s="61"/>
      <c r="OI184" s="61"/>
      <c r="OJ184" s="61"/>
      <c r="OK184" s="61"/>
      <c r="OL184" s="61"/>
      <c r="OM184" s="61"/>
      <c r="ON184" s="61"/>
      <c r="OO184" s="61"/>
      <c r="OP184" s="61"/>
      <c r="OQ184" s="61"/>
      <c r="OR184" s="61"/>
      <c r="OS184" s="61"/>
      <c r="OT184" s="61"/>
      <c r="OU184" s="61"/>
      <c r="OV184" s="61"/>
      <c r="OW184" s="61"/>
      <c r="OX184" s="61"/>
      <c r="OY184" s="61"/>
      <c r="OZ184" s="61"/>
      <c r="PA184" s="61"/>
      <c r="PB184" s="61"/>
      <c r="PC184" s="61"/>
      <c r="PD184" s="61"/>
      <c r="PE184" s="61"/>
      <c r="PF184" s="61"/>
      <c r="PG184" s="61"/>
      <c r="PH184" s="61"/>
      <c r="PI184" s="61"/>
      <c r="PJ184" s="61"/>
      <c r="PK184" s="61"/>
      <c r="PL184" s="61"/>
      <c r="PM184" s="61"/>
      <c r="PN184" s="61"/>
      <c r="PO184" s="61"/>
      <c r="PP184" s="61"/>
      <c r="PQ184" s="61"/>
      <c r="PR184" s="61"/>
      <c r="PS184" s="61"/>
      <c r="PT184" s="61"/>
      <c r="PU184" s="61"/>
      <c r="PV184" s="61"/>
      <c r="PW184" s="61"/>
      <c r="PX184" s="61"/>
      <c r="PY184" s="61"/>
      <c r="PZ184" s="61"/>
      <c r="QA184" s="61"/>
      <c r="QB184" s="61"/>
      <c r="QC184" s="61"/>
      <c r="QD184" s="61"/>
      <c r="QE184" s="61"/>
      <c r="QF184" s="61"/>
      <c r="QG184" s="61"/>
      <c r="QH184" s="61"/>
      <c r="QI184" s="61"/>
      <c r="QJ184" s="61"/>
      <c r="QK184" s="61"/>
      <c r="QL184" s="61"/>
      <c r="QM184" s="61"/>
      <c r="QN184" s="61"/>
      <c r="QO184" s="61"/>
      <c r="QP184" s="61"/>
      <c r="QQ184" s="61"/>
      <c r="QR184" s="61"/>
      <c r="QS184" s="61"/>
      <c r="QT184" s="61"/>
      <c r="QU184" s="61"/>
      <c r="QV184" s="61"/>
      <c r="QW184" s="61"/>
      <c r="QX184" s="61"/>
      <c r="QY184" s="61"/>
      <c r="QZ184" s="61"/>
      <c r="RA184" s="61"/>
      <c r="RB184" s="61"/>
      <c r="RC184" s="61"/>
      <c r="RD184" s="17"/>
    </row>
    <row r="185" spans="1:472" s="5" customFormat="1" x14ac:dyDescent="0.25">
      <c r="A185" s="5">
        <v>2112</v>
      </c>
      <c r="B185" s="5" t="s">
        <v>1495</v>
      </c>
      <c r="C185" s="5" t="s">
        <v>813</v>
      </c>
      <c r="D185" s="5">
        <v>20</v>
      </c>
      <c r="E185" s="36"/>
      <c r="F185" s="64" t="s">
        <v>216</v>
      </c>
      <c r="G185" s="65"/>
      <c r="H185" s="19"/>
      <c r="I185" s="17"/>
      <c r="J185" s="17"/>
      <c r="K185" s="17"/>
      <c r="L185" s="17"/>
      <c r="M185" s="17"/>
      <c r="N185" s="17"/>
      <c r="O185" s="17"/>
      <c r="P185" s="17"/>
      <c r="Q185" s="17"/>
      <c r="R185" s="17"/>
      <c r="S185" s="17"/>
      <c r="T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c r="ED185" s="17"/>
      <c r="EE185" s="17"/>
      <c r="EF185" s="17"/>
      <c r="EG185" s="17"/>
      <c r="EH185" s="17"/>
      <c r="EI185" s="17"/>
      <c r="EJ185" s="17"/>
      <c r="EK185" s="17"/>
      <c r="EL185" s="17"/>
      <c r="EM185" s="17"/>
      <c r="EN185" s="17"/>
      <c r="EO185" s="17"/>
      <c r="EP185" s="17"/>
      <c r="EQ185" s="17"/>
      <c r="ER185" s="17"/>
      <c r="ES185" s="17"/>
      <c r="ET185" s="17"/>
      <c r="EU185" s="17"/>
      <c r="EV185" s="17"/>
      <c r="EW185" s="17"/>
      <c r="EX185" s="17"/>
      <c r="EY185" s="17"/>
      <c r="EZ185" s="17"/>
      <c r="FA185" s="17"/>
      <c r="FB185" s="17"/>
      <c r="FC185" s="17"/>
      <c r="FD185" s="17"/>
      <c r="FE185" s="17"/>
      <c r="FF185" s="61"/>
      <c r="FG185" s="61"/>
      <c r="FH185" s="61"/>
      <c r="FI185" s="61"/>
      <c r="FJ185" s="61"/>
      <c r="FK185" s="61"/>
      <c r="FL185" s="61"/>
      <c r="FM185" s="61"/>
      <c r="FN185" s="61"/>
      <c r="FO185" s="61"/>
      <c r="FP185" s="61"/>
      <c r="FQ185" s="61"/>
      <c r="FR185" s="61"/>
      <c r="FS185" s="61"/>
      <c r="FT185" s="61"/>
      <c r="FU185" s="61"/>
      <c r="FV185" s="61"/>
      <c r="FW185" s="61"/>
      <c r="FX185" s="61"/>
      <c r="FY185" s="61"/>
      <c r="FZ185" s="61"/>
      <c r="GA185" s="61"/>
      <c r="GB185" s="61"/>
      <c r="GC185" s="61"/>
      <c r="GD185" s="61"/>
      <c r="GE185" s="61"/>
      <c r="GF185" s="61"/>
      <c r="GG185" s="61"/>
      <c r="GH185" s="61"/>
      <c r="GI185" s="61"/>
      <c r="GJ185" s="61"/>
      <c r="GK185" s="61"/>
      <c r="GL185" s="61"/>
      <c r="GM185" s="61"/>
      <c r="GN185" s="61"/>
      <c r="GO185" s="61"/>
      <c r="GP185" s="61"/>
      <c r="GQ185" s="61"/>
      <c r="GR185" s="61"/>
      <c r="GS185" s="61"/>
      <c r="GT185" s="61"/>
      <c r="GU185" s="61"/>
      <c r="GV185" s="61"/>
      <c r="GW185" s="61"/>
      <c r="GX185" s="61"/>
      <c r="GY185" s="61"/>
      <c r="GZ185" s="61"/>
      <c r="HA185" s="61"/>
      <c r="HB185" s="61"/>
      <c r="HC185" s="61"/>
      <c r="HD185" s="61"/>
      <c r="HE185" s="61"/>
      <c r="HF185" s="61"/>
      <c r="HG185" s="61"/>
      <c r="HH185" s="61"/>
      <c r="HI185" s="61"/>
      <c r="HJ185" s="61"/>
      <c r="HK185" s="61"/>
      <c r="HL185" s="61"/>
      <c r="HM185" s="61"/>
      <c r="HN185" s="61"/>
      <c r="HO185" s="61"/>
      <c r="HP185" s="61"/>
      <c r="HQ185" s="61"/>
      <c r="HR185" s="61"/>
      <c r="HS185" s="61"/>
      <c r="HT185" s="61"/>
      <c r="HU185" s="61"/>
      <c r="HV185" s="61"/>
      <c r="HW185" s="61"/>
      <c r="HX185" s="61"/>
      <c r="HY185" s="61"/>
      <c r="HZ185" s="61"/>
      <c r="IA185" s="61"/>
      <c r="IB185" s="61"/>
      <c r="IC185" s="61"/>
      <c r="ID185" s="61"/>
      <c r="IE185" s="61"/>
      <c r="IF185" s="61"/>
      <c r="IG185" s="61"/>
      <c r="IH185" s="61"/>
      <c r="II185" s="61"/>
      <c r="IJ185" s="61"/>
      <c r="IK185" s="61"/>
      <c r="IL185" s="61"/>
      <c r="IM185" s="61"/>
      <c r="IN185" s="61"/>
      <c r="IO185" s="61"/>
      <c r="IP185" s="61"/>
      <c r="IQ185" s="61"/>
      <c r="IR185" s="61"/>
      <c r="IS185" s="61"/>
      <c r="IT185" s="61"/>
      <c r="IU185" s="61"/>
      <c r="IV185" s="61"/>
      <c r="IW185" s="61"/>
      <c r="IX185" s="61"/>
      <c r="IY185" s="61"/>
      <c r="IZ185" s="61"/>
      <c r="JA185" s="61"/>
      <c r="JB185" s="61"/>
      <c r="JC185" s="61"/>
      <c r="JD185" s="61">
        <v>2</v>
      </c>
      <c r="JE185" s="61"/>
      <c r="JF185" s="61">
        <v>3</v>
      </c>
      <c r="JG185" s="61"/>
      <c r="JH185" s="61">
        <v>3</v>
      </c>
      <c r="JI185" s="61"/>
      <c r="JJ185" s="61">
        <v>4</v>
      </c>
      <c r="JK185" s="61"/>
      <c r="JL185" s="61">
        <v>4</v>
      </c>
      <c r="JM185" s="61"/>
      <c r="JN185" s="61">
        <v>3</v>
      </c>
      <c r="JO185" s="61"/>
      <c r="JP185" s="61">
        <v>3</v>
      </c>
      <c r="JQ185" s="61"/>
      <c r="JR185" s="61">
        <v>3</v>
      </c>
      <c r="JS185" s="61"/>
      <c r="JT185" s="61">
        <v>2</v>
      </c>
      <c r="JU185" s="61"/>
      <c r="JV185" s="61">
        <v>2</v>
      </c>
      <c r="JW185" s="61"/>
      <c r="JX185" s="61">
        <v>1</v>
      </c>
      <c r="JY185" s="61"/>
      <c r="JZ185" s="61">
        <v>1</v>
      </c>
      <c r="KA185" s="61"/>
      <c r="KB185" s="61">
        <v>1</v>
      </c>
      <c r="KC185" s="61"/>
      <c r="KD185" s="61">
        <v>1</v>
      </c>
      <c r="KE185" s="61"/>
      <c r="KF185" s="61">
        <v>1</v>
      </c>
      <c r="KG185" s="61"/>
      <c r="KH185" s="61">
        <v>1</v>
      </c>
      <c r="KI185" s="61"/>
      <c r="KJ185" s="61"/>
      <c r="KK185" s="61"/>
      <c r="KL185" s="61"/>
      <c r="KM185" s="61"/>
      <c r="KN185" s="61"/>
      <c r="KO185" s="61"/>
      <c r="KP185" s="61"/>
      <c r="KQ185" s="61"/>
      <c r="KR185" s="61"/>
      <c r="KS185" s="61"/>
      <c r="KT185" s="61"/>
      <c r="KU185" s="61"/>
      <c r="KV185" s="61"/>
      <c r="KW185" s="61"/>
      <c r="KX185" s="61"/>
      <c r="KY185" s="61"/>
      <c r="KZ185" s="61"/>
      <c r="LA185" s="61"/>
      <c r="LB185" s="61"/>
      <c r="LC185" s="61"/>
      <c r="LD185" s="61"/>
      <c r="LE185" s="61"/>
      <c r="LF185" s="61"/>
      <c r="LG185" s="61"/>
      <c r="LH185" s="61"/>
      <c r="LI185" s="61"/>
      <c r="LJ185" s="61"/>
      <c r="LK185" s="61"/>
      <c r="LL185" s="61"/>
      <c r="LM185" s="61"/>
      <c r="LN185" s="61"/>
      <c r="LO185" s="61"/>
      <c r="LP185" s="61"/>
      <c r="LQ185" s="61"/>
      <c r="LR185" s="61"/>
      <c r="LS185" s="61"/>
      <c r="LT185" s="61"/>
      <c r="LU185" s="61"/>
      <c r="LV185" s="61"/>
      <c r="LW185" s="61"/>
      <c r="LX185" s="61"/>
      <c r="LY185" s="61"/>
      <c r="LZ185" s="61"/>
      <c r="MA185" s="61"/>
      <c r="MB185" s="61"/>
      <c r="MC185" s="61"/>
      <c r="MD185" s="61"/>
      <c r="ME185" s="61"/>
      <c r="MF185" s="61"/>
      <c r="MG185" s="61"/>
      <c r="MH185" s="61"/>
      <c r="MI185" s="61"/>
      <c r="MJ185" s="61"/>
      <c r="MK185" s="61"/>
      <c r="ML185" s="61"/>
      <c r="MM185" s="61"/>
      <c r="MN185" s="61"/>
      <c r="MO185" s="61"/>
      <c r="MP185" s="61"/>
      <c r="MQ185" s="61"/>
      <c r="MR185" s="61"/>
      <c r="MS185" s="61"/>
      <c r="MT185" s="61"/>
      <c r="MU185" s="61"/>
      <c r="MV185" s="61"/>
      <c r="MW185" s="61"/>
      <c r="MX185" s="61"/>
      <c r="MY185" s="61"/>
      <c r="MZ185" s="61"/>
      <c r="NA185" s="61"/>
      <c r="NB185" s="61"/>
      <c r="NC185" s="61"/>
      <c r="ND185" s="61"/>
      <c r="NE185" s="61"/>
      <c r="NF185" s="61"/>
      <c r="NG185" s="61"/>
      <c r="NH185" s="61"/>
      <c r="NI185" s="61"/>
      <c r="NJ185" s="61"/>
      <c r="NK185" s="61"/>
      <c r="NL185" s="61"/>
      <c r="NM185" s="61"/>
      <c r="NN185" s="61"/>
      <c r="NO185" s="61"/>
      <c r="NP185" s="61"/>
      <c r="NQ185" s="61"/>
      <c r="NR185" s="61"/>
      <c r="NS185" s="61"/>
      <c r="NT185" s="61"/>
      <c r="NU185" s="61"/>
      <c r="NV185" s="61"/>
      <c r="NW185" s="61"/>
      <c r="NX185" s="61"/>
      <c r="NY185" s="61"/>
      <c r="NZ185" s="61"/>
      <c r="OA185" s="61"/>
      <c r="OB185" s="61"/>
      <c r="OC185" s="61"/>
      <c r="OD185" s="61"/>
      <c r="OE185" s="61"/>
      <c r="OF185" s="61"/>
      <c r="OG185" s="61"/>
      <c r="OH185" s="61"/>
      <c r="OI185" s="61"/>
      <c r="OJ185" s="61"/>
      <c r="OK185" s="61"/>
      <c r="OL185" s="61"/>
      <c r="OM185" s="61"/>
      <c r="ON185" s="61"/>
      <c r="OO185" s="61"/>
      <c r="OP185" s="61"/>
      <c r="OQ185" s="61"/>
      <c r="OR185" s="61"/>
      <c r="OS185" s="61"/>
      <c r="OT185" s="61"/>
      <c r="OU185" s="61"/>
      <c r="OV185" s="61"/>
      <c r="OW185" s="61"/>
      <c r="OX185" s="61"/>
      <c r="OY185" s="61"/>
      <c r="OZ185" s="61"/>
      <c r="PA185" s="61"/>
      <c r="PB185" s="61"/>
      <c r="PC185" s="61"/>
      <c r="PD185" s="61"/>
      <c r="PE185" s="61"/>
      <c r="PF185" s="61"/>
      <c r="PG185" s="61"/>
      <c r="PH185" s="61"/>
      <c r="PI185" s="61"/>
      <c r="PJ185" s="61"/>
      <c r="PK185" s="61"/>
      <c r="PL185" s="61"/>
      <c r="PM185" s="61"/>
      <c r="PN185" s="61"/>
      <c r="PO185" s="61"/>
      <c r="PP185" s="61"/>
      <c r="PQ185" s="61"/>
      <c r="PR185" s="61"/>
      <c r="PS185" s="61"/>
      <c r="PT185" s="61"/>
      <c r="PU185" s="61"/>
      <c r="PV185" s="61"/>
      <c r="PW185" s="61"/>
      <c r="PX185" s="61"/>
      <c r="PY185" s="61"/>
      <c r="PZ185" s="61"/>
      <c r="QA185" s="61"/>
      <c r="QB185" s="61"/>
      <c r="QC185" s="61"/>
      <c r="QD185" s="61"/>
      <c r="QE185" s="61"/>
      <c r="QF185" s="61"/>
      <c r="QG185" s="61"/>
      <c r="QH185" s="61"/>
      <c r="QI185" s="61"/>
      <c r="QJ185" s="61"/>
      <c r="QK185" s="61"/>
      <c r="QL185" s="61"/>
      <c r="QM185" s="61"/>
      <c r="QN185" s="61"/>
      <c r="QO185" s="61"/>
      <c r="QP185" s="61"/>
      <c r="QQ185" s="61"/>
      <c r="QR185" s="61"/>
      <c r="QS185" s="61"/>
      <c r="QT185" s="61"/>
      <c r="QU185" s="61"/>
      <c r="QV185" s="61"/>
      <c r="QW185" s="61"/>
      <c r="QX185" s="61"/>
      <c r="QY185" s="61"/>
      <c r="QZ185" s="61"/>
      <c r="RA185" s="61"/>
      <c r="RB185" s="61"/>
      <c r="RC185" s="61"/>
      <c r="RD185" s="17"/>
    </row>
    <row r="186" spans="1:472" s="5" customFormat="1" x14ac:dyDescent="0.25">
      <c r="A186" s="5">
        <v>2111</v>
      </c>
      <c r="B186" s="5" t="s">
        <v>1041</v>
      </c>
      <c r="C186" s="5" t="s">
        <v>230</v>
      </c>
      <c r="D186" s="5">
        <v>186</v>
      </c>
      <c r="E186" s="36"/>
      <c r="F186" s="64" t="s">
        <v>216</v>
      </c>
      <c r="G186" s="65"/>
      <c r="H186" s="19"/>
      <c r="I186" s="17"/>
      <c r="J186" s="17"/>
      <c r="K186" s="17"/>
      <c r="L186" s="17"/>
      <c r="M186" s="17"/>
      <c r="N186" s="17"/>
      <c r="O186" s="17"/>
      <c r="P186" s="17"/>
      <c r="Q186" s="17"/>
      <c r="R186" s="17"/>
      <c r="S186" s="17"/>
      <c r="T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c r="ED186" s="17"/>
      <c r="EE186" s="17"/>
      <c r="EF186" s="17"/>
      <c r="EG186" s="17"/>
      <c r="EH186" s="17"/>
      <c r="EI186" s="17"/>
      <c r="EJ186" s="17"/>
      <c r="EK186" s="17"/>
      <c r="EL186" s="17"/>
      <c r="EM186" s="17"/>
      <c r="EN186" s="17"/>
      <c r="EO186" s="17"/>
      <c r="EP186" s="17"/>
      <c r="EQ186" s="17"/>
      <c r="ER186" s="17"/>
      <c r="ES186" s="17"/>
      <c r="ET186" s="17"/>
      <c r="EU186" s="17"/>
      <c r="EV186" s="17"/>
      <c r="EW186" s="17"/>
      <c r="EX186" s="17"/>
      <c r="EY186" s="17"/>
      <c r="EZ186" s="17"/>
      <c r="FA186" s="17"/>
      <c r="FB186" s="17"/>
      <c r="FC186" s="17"/>
      <c r="FD186" s="17"/>
      <c r="FE186" s="17"/>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c r="HS186" s="61"/>
      <c r="HT186" s="61"/>
      <c r="HU186" s="61"/>
      <c r="HV186" s="61"/>
      <c r="HW186" s="61"/>
      <c r="HX186" s="61"/>
      <c r="HY186" s="61"/>
      <c r="HZ186" s="61"/>
      <c r="IA186" s="61"/>
      <c r="IB186" s="61"/>
      <c r="IC186" s="61"/>
      <c r="ID186" s="61"/>
      <c r="IE186" s="61"/>
      <c r="IF186" s="61"/>
      <c r="IG186" s="61"/>
      <c r="IH186" s="61"/>
      <c r="II186" s="61"/>
      <c r="IJ186" s="61"/>
      <c r="IK186" s="61"/>
      <c r="IL186" s="61"/>
      <c r="IM186" s="61"/>
      <c r="IN186" s="61"/>
      <c r="IO186" s="61"/>
      <c r="IP186" s="61"/>
      <c r="IQ186" s="61"/>
      <c r="IR186" s="61"/>
      <c r="IS186" s="61"/>
      <c r="IT186" s="61"/>
      <c r="IU186" s="61"/>
      <c r="IV186" s="61"/>
      <c r="IW186" s="61"/>
      <c r="IX186" s="61"/>
      <c r="IY186" s="61"/>
      <c r="IZ186" s="61"/>
      <c r="JA186" s="61"/>
      <c r="JB186" s="61"/>
      <c r="JC186" s="61"/>
      <c r="JD186" s="61"/>
      <c r="JE186" s="61"/>
      <c r="JF186" s="61"/>
      <c r="JG186" s="61"/>
      <c r="JH186" s="61"/>
      <c r="JI186" s="61"/>
      <c r="JJ186" s="61">
        <v>2</v>
      </c>
      <c r="JK186" s="61"/>
      <c r="JL186" s="61">
        <v>3</v>
      </c>
      <c r="JM186" s="61"/>
      <c r="JN186" s="61">
        <v>6</v>
      </c>
      <c r="JO186" s="61"/>
      <c r="JP186" s="61">
        <v>10</v>
      </c>
      <c r="JQ186" s="61"/>
      <c r="JR186" s="61">
        <v>12</v>
      </c>
      <c r="JS186" s="61"/>
      <c r="JT186" s="61">
        <v>18</v>
      </c>
      <c r="JU186" s="61"/>
      <c r="JV186" s="61">
        <v>25</v>
      </c>
      <c r="JW186" s="61"/>
      <c r="JX186" s="61">
        <v>25</v>
      </c>
      <c r="JY186" s="61"/>
      <c r="JZ186" s="61">
        <v>22</v>
      </c>
      <c r="KA186" s="61"/>
      <c r="KB186" s="61">
        <v>15</v>
      </c>
      <c r="KC186" s="61"/>
      <c r="KD186" s="61">
        <v>13</v>
      </c>
      <c r="KE186" s="61"/>
      <c r="KF186" s="61">
        <v>12</v>
      </c>
      <c r="KG186" s="61"/>
      <c r="KH186" s="61">
        <v>11</v>
      </c>
      <c r="KI186" s="61"/>
      <c r="KJ186" s="61">
        <v>10</v>
      </c>
      <c r="KK186" s="61"/>
      <c r="KL186" s="61">
        <v>8</v>
      </c>
      <c r="KM186" s="61"/>
      <c r="KN186" s="61">
        <v>7</v>
      </c>
      <c r="KO186" s="61"/>
      <c r="KP186" s="61">
        <v>6</v>
      </c>
      <c r="KQ186" s="61"/>
      <c r="KR186" s="61">
        <v>5</v>
      </c>
      <c r="KS186" s="61"/>
      <c r="KT186" s="61">
        <v>4</v>
      </c>
      <c r="KU186" s="61"/>
      <c r="KV186" s="61">
        <v>3</v>
      </c>
      <c r="KW186" s="61"/>
      <c r="KX186" s="61">
        <v>2</v>
      </c>
      <c r="KY186" s="61"/>
      <c r="KZ186" s="61">
        <v>1</v>
      </c>
      <c r="LA186" s="61"/>
      <c r="LB186" s="61">
        <v>1</v>
      </c>
      <c r="LC186" s="61"/>
      <c r="LD186" s="61">
        <v>1</v>
      </c>
      <c r="LE186" s="61"/>
      <c r="LF186" s="61"/>
      <c r="LG186" s="61"/>
      <c r="LH186" s="61"/>
      <c r="LI186" s="61"/>
      <c r="LJ186" s="61"/>
      <c r="LK186" s="61"/>
      <c r="LL186" s="61"/>
      <c r="LM186" s="61"/>
      <c r="LN186" s="61"/>
      <c r="LO186" s="61"/>
      <c r="LP186" s="61"/>
      <c r="LQ186" s="61"/>
      <c r="LR186" s="61"/>
      <c r="LS186" s="61"/>
      <c r="LT186" s="61"/>
      <c r="LU186" s="61"/>
      <c r="LV186" s="61"/>
      <c r="LW186" s="61"/>
      <c r="LX186" s="61"/>
      <c r="LY186" s="61"/>
      <c r="LZ186" s="61"/>
      <c r="MA186" s="61"/>
      <c r="MB186" s="61"/>
      <c r="MC186" s="61"/>
      <c r="MD186" s="61"/>
      <c r="ME186" s="61"/>
      <c r="MF186" s="61"/>
      <c r="MG186" s="61"/>
      <c r="MH186" s="61"/>
      <c r="MI186" s="61"/>
      <c r="MJ186" s="61"/>
      <c r="MK186" s="61"/>
      <c r="ML186" s="61"/>
      <c r="MM186" s="61"/>
      <c r="MN186" s="61"/>
      <c r="MO186" s="61"/>
      <c r="MP186" s="61"/>
      <c r="MQ186" s="61"/>
      <c r="MR186" s="61"/>
      <c r="MS186" s="61"/>
      <c r="MT186" s="61"/>
      <c r="MU186" s="61"/>
      <c r="MV186" s="61"/>
      <c r="MW186" s="61"/>
      <c r="MX186" s="61"/>
      <c r="MY186" s="61"/>
      <c r="MZ186" s="61"/>
      <c r="NA186" s="61"/>
      <c r="NB186" s="61"/>
      <c r="NC186" s="61"/>
      <c r="ND186" s="61"/>
      <c r="NE186" s="61"/>
      <c r="NF186" s="61"/>
      <c r="NG186" s="61"/>
      <c r="NH186" s="61"/>
      <c r="NI186" s="61"/>
      <c r="NJ186" s="61"/>
      <c r="NK186" s="61"/>
      <c r="NL186" s="61"/>
      <c r="NM186" s="61"/>
      <c r="NN186" s="61"/>
      <c r="NO186" s="61"/>
      <c r="NP186" s="61"/>
      <c r="NQ186" s="61"/>
      <c r="NR186" s="61"/>
      <c r="NS186" s="61"/>
      <c r="NT186" s="61"/>
      <c r="NU186" s="61"/>
      <c r="NV186" s="61"/>
      <c r="NW186" s="61"/>
      <c r="NX186" s="61"/>
      <c r="NY186" s="61"/>
      <c r="NZ186" s="61"/>
      <c r="OA186" s="61"/>
      <c r="OB186" s="61"/>
      <c r="OC186" s="61"/>
      <c r="OD186" s="61"/>
      <c r="OE186" s="61"/>
      <c r="OF186" s="61"/>
      <c r="OG186" s="61"/>
      <c r="OH186" s="61"/>
      <c r="OI186" s="61"/>
      <c r="OJ186" s="61"/>
      <c r="OK186" s="61"/>
      <c r="OL186" s="61"/>
      <c r="OM186" s="61"/>
      <c r="ON186" s="61"/>
      <c r="OO186" s="61"/>
      <c r="OP186" s="61"/>
      <c r="OQ186" s="61"/>
      <c r="OR186" s="61"/>
      <c r="OS186" s="61"/>
      <c r="OT186" s="61"/>
      <c r="OU186" s="61"/>
      <c r="OV186" s="61"/>
      <c r="OW186" s="61"/>
      <c r="OX186" s="61"/>
      <c r="OY186" s="61"/>
      <c r="OZ186" s="61"/>
      <c r="PA186" s="61"/>
      <c r="PB186" s="61"/>
      <c r="PC186" s="61"/>
      <c r="PD186" s="61"/>
      <c r="PE186" s="61"/>
      <c r="PF186" s="61"/>
      <c r="PG186" s="61"/>
      <c r="PH186" s="61"/>
      <c r="PI186" s="61"/>
      <c r="PJ186" s="61"/>
      <c r="PK186" s="61"/>
      <c r="PL186" s="61"/>
      <c r="PM186" s="61"/>
      <c r="PN186" s="61"/>
      <c r="PO186" s="61"/>
      <c r="PP186" s="61"/>
      <c r="PQ186" s="61"/>
      <c r="PR186" s="61"/>
      <c r="PS186" s="61"/>
      <c r="PT186" s="61"/>
      <c r="PU186" s="61"/>
      <c r="PV186" s="61"/>
      <c r="PW186" s="61"/>
      <c r="PX186" s="61"/>
      <c r="PY186" s="61"/>
      <c r="PZ186" s="61"/>
      <c r="QA186" s="61"/>
      <c r="QB186" s="61"/>
      <c r="QC186" s="61"/>
      <c r="QD186" s="61"/>
      <c r="QE186" s="61"/>
      <c r="QF186" s="61"/>
      <c r="QG186" s="61"/>
      <c r="QH186" s="61"/>
      <c r="QI186" s="61"/>
      <c r="QJ186" s="61"/>
      <c r="QK186" s="61"/>
      <c r="QL186" s="61"/>
      <c r="QM186" s="61"/>
      <c r="QN186" s="61"/>
      <c r="QO186" s="61"/>
      <c r="QP186" s="61"/>
      <c r="QQ186" s="61"/>
      <c r="QR186" s="61"/>
      <c r="QS186" s="61"/>
      <c r="QT186" s="61"/>
      <c r="QU186" s="61"/>
      <c r="QV186" s="61"/>
      <c r="QW186" s="61"/>
      <c r="QX186" s="61"/>
      <c r="QY186" s="61"/>
      <c r="QZ186" s="61"/>
      <c r="RA186" s="61"/>
      <c r="RB186" s="61"/>
      <c r="RC186" s="61"/>
      <c r="RD186" s="17"/>
    </row>
    <row r="187" spans="1:472" s="5" customFormat="1" x14ac:dyDescent="0.25">
      <c r="A187" s="5">
        <v>2116</v>
      </c>
      <c r="B187" s="5" t="s">
        <v>1528</v>
      </c>
      <c r="C187" s="5" t="s">
        <v>3</v>
      </c>
      <c r="D187" s="5">
        <v>166</v>
      </c>
      <c r="E187" s="36"/>
      <c r="F187" s="64" t="s">
        <v>216</v>
      </c>
      <c r="G187" s="65"/>
      <c r="H187" s="19"/>
      <c r="I187" s="17"/>
      <c r="J187" s="17"/>
      <c r="K187" s="17"/>
      <c r="L187" s="17"/>
      <c r="M187" s="17"/>
      <c r="N187" s="17"/>
      <c r="O187" s="17"/>
      <c r="P187" s="17"/>
      <c r="Q187" s="17"/>
      <c r="R187" s="17"/>
      <c r="S187" s="17"/>
      <c r="T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c r="ED187" s="17"/>
      <c r="EE187" s="17"/>
      <c r="EF187" s="17"/>
      <c r="EG187" s="17"/>
      <c r="EH187" s="17"/>
      <c r="EI187" s="17"/>
      <c r="EJ187" s="17"/>
      <c r="EK187" s="17"/>
      <c r="EL187" s="17"/>
      <c r="EM187" s="17"/>
      <c r="EN187" s="17"/>
      <c r="EO187" s="17"/>
      <c r="EP187" s="17"/>
      <c r="EQ187" s="17"/>
      <c r="ER187" s="17"/>
      <c r="ES187" s="17"/>
      <c r="ET187" s="17"/>
      <c r="EU187" s="17"/>
      <c r="EV187" s="17"/>
      <c r="EW187" s="17"/>
      <c r="EX187" s="17"/>
      <c r="EY187" s="17"/>
      <c r="EZ187" s="17"/>
      <c r="FA187" s="17"/>
      <c r="FB187" s="17"/>
      <c r="FC187" s="17"/>
      <c r="FD187" s="17"/>
      <c r="FE187" s="17"/>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c r="HS187" s="61"/>
      <c r="HT187" s="61"/>
      <c r="HU187" s="61"/>
      <c r="HV187" s="61"/>
      <c r="HW187" s="61"/>
      <c r="HX187" s="61"/>
      <c r="HY187" s="61"/>
      <c r="HZ187" s="61"/>
      <c r="IA187" s="61"/>
      <c r="IB187" s="61"/>
      <c r="IC187" s="61"/>
      <c r="ID187" s="61"/>
      <c r="IE187" s="61"/>
      <c r="IF187" s="61"/>
      <c r="IG187" s="61"/>
      <c r="IH187" s="61"/>
      <c r="II187" s="61"/>
      <c r="IJ187" s="61"/>
      <c r="IK187" s="61"/>
      <c r="IL187" s="61"/>
      <c r="IM187" s="61"/>
      <c r="IN187" s="61"/>
      <c r="IO187" s="61"/>
      <c r="IP187" s="61"/>
      <c r="IQ187" s="61"/>
      <c r="IR187" s="61"/>
      <c r="IS187" s="61"/>
      <c r="IT187" s="61"/>
      <c r="IU187" s="61"/>
      <c r="IV187" s="61"/>
      <c r="IW187" s="61"/>
      <c r="IX187" s="61"/>
      <c r="IY187" s="61"/>
      <c r="IZ187" s="61"/>
      <c r="JA187" s="61"/>
      <c r="JB187" s="61"/>
      <c r="JC187" s="61"/>
      <c r="JD187" s="61"/>
      <c r="JE187" s="61"/>
      <c r="JF187" s="61"/>
      <c r="JG187" s="61"/>
      <c r="JH187" s="61"/>
      <c r="JI187" s="61"/>
      <c r="JJ187" s="61"/>
      <c r="JK187" s="61"/>
      <c r="JL187" s="61"/>
      <c r="JM187" s="61"/>
      <c r="JN187" s="61"/>
      <c r="JO187" s="61"/>
      <c r="JP187" s="61"/>
      <c r="JQ187" s="61"/>
      <c r="JR187" s="61"/>
      <c r="JS187" s="61"/>
      <c r="JT187" s="61"/>
      <c r="JU187" s="61"/>
      <c r="JV187" s="61"/>
      <c r="JW187" s="61"/>
      <c r="JX187" s="61">
        <v>3</v>
      </c>
      <c r="JY187" s="61"/>
      <c r="JZ187" s="61">
        <v>5</v>
      </c>
      <c r="KA187" s="61"/>
      <c r="KB187" s="61">
        <v>8</v>
      </c>
      <c r="KC187" s="61"/>
      <c r="KD187" s="61">
        <v>10</v>
      </c>
      <c r="KE187" s="61"/>
      <c r="KF187" s="61">
        <v>12</v>
      </c>
      <c r="KG187" s="61"/>
      <c r="KH187" s="61">
        <v>15</v>
      </c>
      <c r="KI187" s="61"/>
      <c r="KJ187" s="61">
        <v>15</v>
      </c>
      <c r="KK187" s="61"/>
      <c r="KL187" s="61">
        <v>15</v>
      </c>
      <c r="KM187" s="61"/>
      <c r="KN187" s="61">
        <v>15</v>
      </c>
      <c r="KO187" s="61"/>
      <c r="KP187" s="61">
        <v>15</v>
      </c>
      <c r="KQ187" s="61"/>
      <c r="KR187" s="61">
        <v>13</v>
      </c>
      <c r="KS187" s="61"/>
      <c r="KT187" s="61">
        <v>12</v>
      </c>
      <c r="KU187" s="61"/>
      <c r="KV187" s="61">
        <v>10</v>
      </c>
      <c r="KW187" s="61"/>
      <c r="KX187" s="61">
        <v>8</v>
      </c>
      <c r="KY187" s="61"/>
      <c r="KZ187" s="61">
        <v>7</v>
      </c>
      <c r="LA187" s="61"/>
      <c r="LB187" s="61">
        <v>6</v>
      </c>
      <c r="LC187" s="61"/>
      <c r="LD187" s="61">
        <v>5</v>
      </c>
      <c r="LE187" s="61"/>
      <c r="LF187" s="61">
        <v>4</v>
      </c>
      <c r="LG187" s="61"/>
      <c r="LH187" s="61">
        <v>3</v>
      </c>
      <c r="LI187" s="61"/>
      <c r="LJ187" s="61">
        <v>2</v>
      </c>
      <c r="LK187" s="61"/>
      <c r="LL187" s="61">
        <v>1</v>
      </c>
      <c r="LM187" s="61"/>
      <c r="LN187" s="61">
        <v>1</v>
      </c>
      <c r="LO187" s="61"/>
      <c r="LP187" s="61">
        <v>1</v>
      </c>
      <c r="LQ187" s="61"/>
      <c r="LR187" s="61"/>
      <c r="LS187" s="61"/>
      <c r="LT187" s="61"/>
      <c r="LU187" s="61"/>
      <c r="LV187" s="61"/>
      <c r="LW187" s="61"/>
      <c r="LX187" s="61"/>
      <c r="LY187" s="61"/>
      <c r="LZ187" s="61"/>
      <c r="MA187" s="61"/>
      <c r="MB187" s="61"/>
      <c r="MC187" s="61"/>
      <c r="MD187" s="61"/>
      <c r="ME187" s="61"/>
      <c r="MF187" s="61"/>
      <c r="MG187" s="61"/>
      <c r="MH187" s="61"/>
      <c r="MI187" s="61"/>
      <c r="MJ187" s="61"/>
      <c r="MK187" s="61"/>
      <c r="ML187" s="61"/>
      <c r="MM187" s="61"/>
      <c r="MN187" s="61"/>
      <c r="MO187" s="61"/>
      <c r="MP187" s="61"/>
      <c r="MQ187" s="61"/>
      <c r="MR187" s="61"/>
      <c r="MS187" s="61"/>
      <c r="MT187" s="61"/>
      <c r="MU187" s="61"/>
      <c r="MV187" s="61"/>
      <c r="MW187" s="61"/>
      <c r="MX187" s="61"/>
      <c r="MY187" s="61"/>
      <c r="MZ187" s="61"/>
      <c r="NA187" s="61"/>
      <c r="NB187" s="61"/>
      <c r="NC187" s="61"/>
      <c r="ND187" s="61"/>
      <c r="NE187" s="61"/>
      <c r="NF187" s="61"/>
      <c r="NG187" s="61"/>
      <c r="NH187" s="61"/>
      <c r="NI187" s="61"/>
      <c r="NJ187" s="61"/>
      <c r="NK187" s="61"/>
      <c r="NL187" s="61"/>
      <c r="NM187" s="61"/>
      <c r="NN187" s="61"/>
      <c r="NO187" s="61"/>
      <c r="NP187" s="61"/>
      <c r="NQ187" s="61"/>
      <c r="NR187" s="61"/>
      <c r="NS187" s="61"/>
      <c r="NT187" s="61"/>
      <c r="NU187" s="61"/>
      <c r="NV187" s="61"/>
      <c r="NW187" s="61"/>
      <c r="NX187" s="61"/>
      <c r="NY187" s="61"/>
      <c r="NZ187" s="61"/>
      <c r="OA187" s="61"/>
      <c r="OB187" s="61"/>
      <c r="OC187" s="61"/>
      <c r="OD187" s="61"/>
      <c r="OE187" s="61"/>
      <c r="OF187" s="61"/>
      <c r="OG187" s="61"/>
      <c r="OH187" s="61"/>
      <c r="OI187" s="61"/>
      <c r="OJ187" s="61"/>
      <c r="OK187" s="61"/>
      <c r="OL187" s="61"/>
      <c r="OM187" s="61"/>
      <c r="ON187" s="61"/>
      <c r="OO187" s="61"/>
      <c r="OP187" s="61"/>
      <c r="OQ187" s="61"/>
      <c r="OR187" s="61"/>
      <c r="OS187" s="61"/>
      <c r="OT187" s="61"/>
      <c r="OU187" s="61"/>
      <c r="OV187" s="61"/>
      <c r="OW187" s="61"/>
      <c r="OX187" s="61"/>
      <c r="OY187" s="61"/>
      <c r="OZ187" s="61"/>
      <c r="PA187" s="61"/>
      <c r="PB187" s="61"/>
      <c r="PC187" s="61"/>
      <c r="PD187" s="61"/>
      <c r="PE187" s="61"/>
      <c r="PF187" s="61"/>
      <c r="PG187" s="61"/>
      <c r="PH187" s="61"/>
      <c r="PI187" s="61"/>
      <c r="PJ187" s="61"/>
      <c r="PK187" s="61"/>
      <c r="PL187" s="61"/>
      <c r="PM187" s="61"/>
      <c r="PN187" s="61"/>
      <c r="PO187" s="61"/>
      <c r="PP187" s="61"/>
      <c r="PQ187" s="61"/>
      <c r="PR187" s="61"/>
      <c r="PS187" s="61"/>
      <c r="PT187" s="61"/>
      <c r="PU187" s="61"/>
      <c r="PV187" s="61"/>
      <c r="PW187" s="61"/>
      <c r="PX187" s="61"/>
      <c r="PY187" s="61"/>
      <c r="PZ187" s="61"/>
      <c r="QA187" s="61"/>
      <c r="QB187" s="61"/>
      <c r="QC187" s="61"/>
      <c r="QD187" s="61"/>
      <c r="QE187" s="61"/>
      <c r="QF187" s="61"/>
      <c r="QG187" s="61"/>
      <c r="QH187" s="61"/>
      <c r="QI187" s="61"/>
      <c r="QJ187" s="61"/>
      <c r="QK187" s="61"/>
      <c r="QL187" s="61"/>
      <c r="QM187" s="61"/>
      <c r="QN187" s="61"/>
      <c r="QO187" s="61"/>
      <c r="QP187" s="61"/>
      <c r="QQ187" s="61"/>
      <c r="QR187" s="61"/>
      <c r="QS187" s="61"/>
      <c r="QT187" s="61"/>
      <c r="QU187" s="61"/>
      <c r="QV187" s="61"/>
      <c r="QW187" s="61"/>
      <c r="QX187" s="61"/>
      <c r="QY187" s="61"/>
      <c r="QZ187" s="61"/>
      <c r="RA187" s="61"/>
      <c r="RB187" s="61"/>
      <c r="RC187" s="61"/>
      <c r="RD187" s="17"/>
    </row>
    <row r="188" spans="1:472" s="5" customFormat="1" x14ac:dyDescent="0.25">
      <c r="A188" s="5">
        <v>2114</v>
      </c>
      <c r="B188" s="5" t="s">
        <v>1496</v>
      </c>
      <c r="C188" s="5" t="s">
        <v>626</v>
      </c>
      <c r="D188" s="5">
        <v>239</v>
      </c>
      <c r="E188" s="36"/>
      <c r="F188" s="64" t="s">
        <v>216</v>
      </c>
      <c r="G188" s="65"/>
      <c r="H188" s="19"/>
      <c r="I188" s="17"/>
      <c r="J188" s="17"/>
      <c r="K188" s="17"/>
      <c r="L188" s="17"/>
      <c r="M188" s="17"/>
      <c r="N188" s="17"/>
      <c r="O188" s="17"/>
      <c r="P188" s="17"/>
      <c r="Q188" s="17"/>
      <c r="R188" s="17"/>
      <c r="S188" s="17"/>
      <c r="T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c r="ED188" s="17"/>
      <c r="EE188" s="17"/>
      <c r="EF188" s="17"/>
      <c r="EG188" s="17"/>
      <c r="EH188" s="17"/>
      <c r="EI188" s="17"/>
      <c r="EJ188" s="17"/>
      <c r="EK188" s="17"/>
      <c r="EL188" s="17"/>
      <c r="EM188" s="17"/>
      <c r="EN188" s="17"/>
      <c r="EO188" s="17"/>
      <c r="EP188" s="17"/>
      <c r="EQ188" s="17"/>
      <c r="ER188" s="17"/>
      <c r="ES188" s="17"/>
      <c r="ET188" s="17"/>
      <c r="EU188" s="17"/>
      <c r="EV188" s="17"/>
      <c r="EW188" s="17"/>
      <c r="EX188" s="17"/>
      <c r="EY188" s="17"/>
      <c r="EZ188" s="17"/>
      <c r="FA188" s="17"/>
      <c r="FB188" s="17"/>
      <c r="FC188" s="17"/>
      <c r="FD188" s="17"/>
      <c r="FE188" s="17"/>
      <c r="FF188" s="61"/>
      <c r="FG188" s="61"/>
      <c r="FH188" s="61"/>
      <c r="FI188" s="61"/>
      <c r="FJ188" s="61"/>
      <c r="FK188" s="61"/>
      <c r="FL188" s="61"/>
      <c r="FM188" s="61"/>
      <c r="FN188" s="61"/>
      <c r="FO188" s="61"/>
      <c r="FP188" s="61"/>
      <c r="FQ188" s="61"/>
      <c r="FR188" s="61"/>
      <c r="FS188" s="61"/>
      <c r="FT188" s="61"/>
      <c r="FU188" s="61"/>
      <c r="FV188" s="61"/>
      <c r="FW188" s="61"/>
      <c r="FX188" s="61"/>
      <c r="FY188" s="61"/>
      <c r="FZ188" s="61"/>
      <c r="GA188" s="61"/>
      <c r="GB188" s="61"/>
      <c r="GC188" s="61"/>
      <c r="GD188" s="61"/>
      <c r="GE188" s="61"/>
      <c r="GF188" s="61"/>
      <c r="GG188" s="61"/>
      <c r="GH188" s="61"/>
      <c r="GI188" s="61"/>
      <c r="GJ188" s="61"/>
      <c r="GK188" s="61"/>
      <c r="GL188" s="61"/>
      <c r="GM188" s="61"/>
      <c r="GN188" s="61"/>
      <c r="GO188" s="61"/>
      <c r="GP188" s="61"/>
      <c r="GQ188" s="61"/>
      <c r="GR188" s="61"/>
      <c r="GS188" s="61"/>
      <c r="GT188" s="61"/>
      <c r="GU188" s="61"/>
      <c r="GV188" s="61"/>
      <c r="GW188" s="61"/>
      <c r="GX188" s="61"/>
      <c r="GY188" s="61"/>
      <c r="GZ188" s="61"/>
      <c r="HA188" s="61"/>
      <c r="HB188" s="61"/>
      <c r="HC188" s="61"/>
      <c r="HD188" s="61"/>
      <c r="HE188" s="61"/>
      <c r="HF188" s="61"/>
      <c r="HG188" s="61"/>
      <c r="HH188" s="61"/>
      <c r="HI188" s="61"/>
      <c r="HJ188" s="61"/>
      <c r="HK188" s="61"/>
      <c r="HL188" s="61"/>
      <c r="HM188" s="61"/>
      <c r="HN188" s="61"/>
      <c r="HO188" s="61"/>
      <c r="HP188" s="61"/>
      <c r="HQ188" s="61"/>
      <c r="HR188" s="61"/>
      <c r="HS188" s="61"/>
      <c r="HT188" s="61"/>
      <c r="HU188" s="61"/>
      <c r="HV188" s="61"/>
      <c r="HW188" s="61"/>
      <c r="HX188" s="61"/>
      <c r="HY188" s="61"/>
      <c r="HZ188" s="61"/>
      <c r="IA188" s="61"/>
      <c r="IB188" s="61"/>
      <c r="IC188" s="61"/>
      <c r="ID188" s="61"/>
      <c r="IE188" s="61"/>
      <c r="IF188" s="61"/>
      <c r="IG188" s="61"/>
      <c r="IH188" s="61"/>
      <c r="II188" s="61"/>
      <c r="IJ188" s="61"/>
      <c r="IK188" s="61"/>
      <c r="IL188" s="61"/>
      <c r="IM188" s="61"/>
      <c r="IN188" s="61"/>
      <c r="IO188" s="61"/>
      <c r="IP188" s="61"/>
      <c r="IQ188" s="61"/>
      <c r="IR188" s="61"/>
      <c r="IS188" s="61"/>
      <c r="IT188" s="61"/>
      <c r="IU188" s="61"/>
      <c r="IV188" s="61"/>
      <c r="IW188" s="61"/>
      <c r="IX188" s="61"/>
      <c r="IY188" s="61"/>
      <c r="IZ188" s="61"/>
      <c r="JA188" s="61"/>
      <c r="JB188" s="61"/>
      <c r="JC188" s="61"/>
      <c r="JD188" s="61"/>
      <c r="JE188" s="61"/>
      <c r="JF188" s="61"/>
      <c r="JG188" s="61"/>
      <c r="JH188" s="61"/>
      <c r="JI188" s="61"/>
      <c r="JJ188" s="61"/>
      <c r="JK188" s="61"/>
      <c r="JL188" s="61"/>
      <c r="JM188" s="61"/>
      <c r="JN188" s="61"/>
      <c r="JO188" s="61"/>
      <c r="JP188" s="61"/>
      <c r="JQ188" s="61"/>
      <c r="JR188" s="61"/>
      <c r="JS188" s="61"/>
      <c r="JT188" s="61"/>
      <c r="JU188" s="61"/>
      <c r="JV188" s="61"/>
      <c r="JW188" s="61"/>
      <c r="JX188" s="61">
        <v>2</v>
      </c>
      <c r="JY188" s="61"/>
      <c r="JZ188" s="61">
        <v>3</v>
      </c>
      <c r="KA188" s="61"/>
      <c r="KB188" s="61">
        <v>5</v>
      </c>
      <c r="KC188" s="61"/>
      <c r="KD188" s="61">
        <v>8</v>
      </c>
      <c r="KE188" s="61"/>
      <c r="KF188" s="61">
        <v>10</v>
      </c>
      <c r="KG188" s="61"/>
      <c r="KH188" s="61">
        <v>12</v>
      </c>
      <c r="KI188" s="61"/>
      <c r="KJ188" s="61">
        <v>15</v>
      </c>
      <c r="KK188" s="61"/>
      <c r="KL188" s="61">
        <v>18</v>
      </c>
      <c r="KM188" s="61"/>
      <c r="KN188" s="61">
        <v>18</v>
      </c>
      <c r="KO188" s="61"/>
      <c r="KP188" s="61">
        <v>15</v>
      </c>
      <c r="KQ188" s="61"/>
      <c r="KR188" s="61">
        <v>15</v>
      </c>
      <c r="KS188" s="61"/>
      <c r="KT188" s="61">
        <v>13</v>
      </c>
      <c r="KU188" s="61"/>
      <c r="KV188" s="61">
        <v>12</v>
      </c>
      <c r="KW188" s="61"/>
      <c r="KX188" s="61">
        <v>10</v>
      </c>
      <c r="KY188" s="61"/>
      <c r="KZ188" s="61">
        <v>8</v>
      </c>
      <c r="LA188" s="61"/>
      <c r="LB188" s="61">
        <v>7</v>
      </c>
      <c r="LC188" s="61"/>
      <c r="LD188" s="61">
        <v>6</v>
      </c>
      <c r="LE188" s="61"/>
      <c r="LF188" s="61">
        <v>5</v>
      </c>
      <c r="LG188" s="61"/>
      <c r="LH188" s="61">
        <v>4</v>
      </c>
      <c r="LI188" s="61"/>
      <c r="LJ188" s="61">
        <v>3</v>
      </c>
      <c r="LK188" s="61"/>
      <c r="LL188" s="61">
        <v>2</v>
      </c>
      <c r="LM188" s="61"/>
      <c r="LN188" s="61">
        <v>1</v>
      </c>
      <c r="LO188" s="61"/>
      <c r="LP188" s="61">
        <v>1</v>
      </c>
      <c r="LQ188" s="61"/>
      <c r="LR188" s="61">
        <v>1</v>
      </c>
      <c r="LS188" s="61"/>
      <c r="LT188" s="61"/>
      <c r="LU188" s="61"/>
      <c r="LV188" s="61"/>
      <c r="LW188" s="61"/>
      <c r="LX188" s="61"/>
      <c r="LY188" s="61"/>
      <c r="LZ188" s="61"/>
      <c r="MA188" s="61"/>
      <c r="MB188" s="61"/>
      <c r="MC188" s="61"/>
      <c r="MD188" s="61"/>
      <c r="ME188" s="61"/>
      <c r="MF188" s="61"/>
      <c r="MG188" s="61"/>
      <c r="MH188" s="61"/>
      <c r="MI188" s="61"/>
      <c r="MJ188" s="61"/>
      <c r="MK188" s="61"/>
      <c r="ML188" s="61"/>
      <c r="MM188" s="61"/>
      <c r="MN188" s="61"/>
      <c r="MO188" s="61"/>
      <c r="MP188" s="61"/>
      <c r="MQ188" s="61"/>
      <c r="MR188" s="61"/>
      <c r="MS188" s="61"/>
      <c r="MT188" s="61"/>
      <c r="MU188" s="61"/>
      <c r="MV188" s="61"/>
      <c r="MW188" s="61"/>
      <c r="MX188" s="61"/>
      <c r="MY188" s="61"/>
      <c r="MZ188" s="61"/>
      <c r="NA188" s="61"/>
      <c r="NB188" s="61"/>
      <c r="NC188" s="61"/>
      <c r="ND188" s="61"/>
      <c r="NE188" s="61"/>
      <c r="NF188" s="61"/>
      <c r="NG188" s="61"/>
      <c r="NH188" s="61"/>
      <c r="NI188" s="61"/>
      <c r="NJ188" s="61"/>
      <c r="NK188" s="61"/>
      <c r="NL188" s="61"/>
      <c r="NM188" s="61"/>
      <c r="NN188" s="61"/>
      <c r="NO188" s="61"/>
      <c r="NP188" s="61"/>
      <c r="NQ188" s="61"/>
      <c r="NR188" s="61"/>
      <c r="NS188" s="61"/>
      <c r="NT188" s="61"/>
      <c r="NU188" s="61"/>
      <c r="NV188" s="61"/>
      <c r="NW188" s="61"/>
      <c r="NX188" s="61"/>
      <c r="NY188" s="61"/>
      <c r="NZ188" s="61"/>
      <c r="OA188" s="61"/>
      <c r="OB188" s="61"/>
      <c r="OC188" s="61"/>
      <c r="OD188" s="61"/>
      <c r="OE188" s="61"/>
      <c r="OF188" s="61"/>
      <c r="OG188" s="61"/>
      <c r="OH188" s="61"/>
      <c r="OI188" s="61"/>
      <c r="OJ188" s="61"/>
      <c r="OK188" s="61"/>
      <c r="OL188" s="61"/>
      <c r="OM188" s="61"/>
      <c r="ON188" s="61"/>
      <c r="OO188" s="61"/>
      <c r="OP188" s="61"/>
      <c r="OQ188" s="61"/>
      <c r="OR188" s="61"/>
      <c r="OS188" s="61"/>
      <c r="OT188" s="61"/>
      <c r="OU188" s="61"/>
      <c r="OV188" s="61"/>
      <c r="OW188" s="61"/>
      <c r="OX188" s="61"/>
      <c r="OY188" s="61"/>
      <c r="OZ188" s="61"/>
      <c r="PA188" s="61"/>
      <c r="PB188" s="61"/>
      <c r="PC188" s="61"/>
      <c r="PD188" s="61"/>
      <c r="PE188" s="61"/>
      <c r="PF188" s="61"/>
      <c r="PG188" s="61"/>
      <c r="PH188" s="61"/>
      <c r="PI188" s="61"/>
      <c r="PJ188" s="61"/>
      <c r="PK188" s="61"/>
      <c r="PL188" s="61"/>
      <c r="PM188" s="61"/>
      <c r="PN188" s="61"/>
      <c r="PO188" s="61"/>
      <c r="PP188" s="61"/>
      <c r="PQ188" s="61"/>
      <c r="PR188" s="61"/>
      <c r="PS188" s="61"/>
      <c r="PT188" s="61"/>
      <c r="PU188" s="61"/>
      <c r="PV188" s="61"/>
      <c r="PW188" s="61"/>
      <c r="PX188" s="61"/>
      <c r="PY188" s="61"/>
      <c r="PZ188" s="61"/>
      <c r="QA188" s="61"/>
      <c r="QB188" s="61"/>
      <c r="QC188" s="61"/>
      <c r="QD188" s="61"/>
      <c r="QE188" s="61"/>
      <c r="QF188" s="61"/>
      <c r="QG188" s="61"/>
      <c r="QH188" s="61"/>
      <c r="QI188" s="61"/>
      <c r="QJ188" s="61"/>
      <c r="QK188" s="61"/>
      <c r="QL188" s="61"/>
      <c r="QM188" s="61"/>
      <c r="QN188" s="61"/>
      <c r="QO188" s="61"/>
      <c r="QP188" s="61"/>
      <c r="QQ188" s="61"/>
      <c r="QR188" s="61"/>
      <c r="QS188" s="61"/>
      <c r="QT188" s="61"/>
      <c r="QU188" s="61"/>
      <c r="QV188" s="61"/>
      <c r="QW188" s="61"/>
      <c r="QX188" s="61"/>
      <c r="QY188" s="61"/>
      <c r="QZ188" s="61"/>
      <c r="RA188" s="61"/>
      <c r="RB188" s="61"/>
      <c r="RC188" s="61"/>
      <c r="RD188" s="17"/>
    </row>
    <row r="189" spans="1:472" s="5" customFormat="1" x14ac:dyDescent="0.25">
      <c r="A189" s="5">
        <v>2110</v>
      </c>
      <c r="B189" s="5" t="s">
        <v>1444</v>
      </c>
      <c r="C189" s="5" t="s">
        <v>1443</v>
      </c>
      <c r="D189" s="5">
        <v>137</v>
      </c>
      <c r="E189" s="36"/>
      <c r="F189" s="64" t="s">
        <v>216</v>
      </c>
      <c r="G189" s="65"/>
      <c r="H189" s="19"/>
      <c r="I189" s="17"/>
      <c r="J189" s="17"/>
      <c r="K189" s="17"/>
      <c r="L189" s="17"/>
      <c r="M189" s="17"/>
      <c r="N189" s="17"/>
      <c r="O189" s="17"/>
      <c r="P189" s="17"/>
      <c r="Q189" s="17"/>
      <c r="R189" s="17"/>
      <c r="S189" s="17"/>
      <c r="T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c r="ED189" s="17"/>
      <c r="EE189" s="17"/>
      <c r="EF189" s="17"/>
      <c r="EG189" s="17"/>
      <c r="EH189" s="17"/>
      <c r="EI189" s="17"/>
      <c r="EJ189" s="17"/>
      <c r="EK189" s="17"/>
      <c r="EL189" s="17"/>
      <c r="EM189" s="17"/>
      <c r="EN189" s="17"/>
      <c r="EO189" s="17"/>
      <c r="EP189" s="17"/>
      <c r="EQ189" s="17"/>
      <c r="ER189" s="17"/>
      <c r="ES189" s="17"/>
      <c r="ET189" s="17"/>
      <c r="EU189" s="17"/>
      <c r="EV189" s="17"/>
      <c r="EW189" s="17"/>
      <c r="EX189" s="17"/>
      <c r="EY189" s="17"/>
      <c r="EZ189" s="17"/>
      <c r="FA189" s="17"/>
      <c r="FB189" s="17"/>
      <c r="FC189" s="17"/>
      <c r="FD189" s="17"/>
      <c r="FE189" s="17"/>
      <c r="FF189" s="61"/>
      <c r="FG189" s="61"/>
      <c r="FH189" s="61"/>
      <c r="FI189" s="61"/>
      <c r="FJ189" s="61"/>
      <c r="FK189" s="61"/>
      <c r="FL189" s="61"/>
      <c r="FM189" s="61"/>
      <c r="FN189" s="61"/>
      <c r="FO189" s="61"/>
      <c r="FP189" s="61"/>
      <c r="FQ189" s="61"/>
      <c r="FR189" s="61"/>
      <c r="FS189" s="61"/>
      <c r="FT189" s="61"/>
      <c r="FU189" s="61"/>
      <c r="FV189" s="61"/>
      <c r="FW189" s="61"/>
      <c r="FX189" s="61"/>
      <c r="FY189" s="61"/>
      <c r="FZ189" s="61"/>
      <c r="GA189" s="61"/>
      <c r="GB189" s="61"/>
      <c r="GC189" s="61"/>
      <c r="GD189" s="61"/>
      <c r="GE189" s="61"/>
      <c r="GF189" s="61"/>
      <c r="GG189" s="61"/>
      <c r="GH189" s="61"/>
      <c r="GI189" s="61"/>
      <c r="GJ189" s="61"/>
      <c r="GK189" s="61"/>
      <c r="GL189" s="61"/>
      <c r="GM189" s="61"/>
      <c r="GN189" s="61"/>
      <c r="GO189" s="61"/>
      <c r="GP189" s="61"/>
      <c r="GQ189" s="61"/>
      <c r="GR189" s="61"/>
      <c r="GS189" s="61"/>
      <c r="GT189" s="61"/>
      <c r="GU189" s="61"/>
      <c r="GV189" s="61"/>
      <c r="GW189" s="61"/>
      <c r="GX189" s="61"/>
      <c r="GY189" s="61"/>
      <c r="GZ189" s="61"/>
      <c r="HA189" s="61"/>
      <c r="HB189" s="61"/>
      <c r="HC189" s="61"/>
      <c r="HD189" s="61"/>
      <c r="HE189" s="61"/>
      <c r="HF189" s="61"/>
      <c r="HG189" s="61"/>
      <c r="HH189" s="61"/>
      <c r="HI189" s="61"/>
      <c r="HJ189" s="61"/>
      <c r="HK189" s="61"/>
      <c r="HL189" s="61"/>
      <c r="HM189" s="61"/>
      <c r="HN189" s="61"/>
      <c r="HO189" s="61"/>
      <c r="HP189" s="61"/>
      <c r="HQ189" s="61"/>
      <c r="HR189" s="61"/>
      <c r="HS189" s="61"/>
      <c r="HT189" s="61"/>
      <c r="HU189" s="61"/>
      <c r="HV189" s="61"/>
      <c r="HW189" s="61"/>
      <c r="HX189" s="61"/>
      <c r="HY189" s="61"/>
      <c r="HZ189" s="61"/>
      <c r="IA189" s="61"/>
      <c r="IB189" s="61"/>
      <c r="IC189" s="61"/>
      <c r="ID189" s="61"/>
      <c r="IE189" s="61"/>
      <c r="IF189" s="61"/>
      <c r="IG189" s="61"/>
      <c r="IH189" s="61"/>
      <c r="II189" s="61"/>
      <c r="IJ189" s="61"/>
      <c r="IK189" s="61"/>
      <c r="IL189" s="61"/>
      <c r="IM189" s="61"/>
      <c r="IN189" s="61"/>
      <c r="IO189" s="61"/>
      <c r="IP189" s="61"/>
      <c r="IQ189" s="61"/>
      <c r="IR189" s="61"/>
      <c r="IS189" s="61"/>
      <c r="IT189" s="61"/>
      <c r="IU189" s="61"/>
      <c r="IV189" s="61"/>
      <c r="IW189" s="61"/>
      <c r="IX189" s="61"/>
      <c r="IY189" s="61"/>
      <c r="IZ189" s="61"/>
      <c r="JA189" s="61"/>
      <c r="JB189" s="61"/>
      <c r="JC189" s="61"/>
      <c r="JD189" s="61"/>
      <c r="JE189" s="61"/>
      <c r="JF189" s="61"/>
      <c r="JG189" s="61"/>
      <c r="JH189" s="61"/>
      <c r="JI189" s="61"/>
      <c r="JJ189" s="61"/>
      <c r="JK189" s="61"/>
      <c r="JL189" s="61"/>
      <c r="JM189" s="61"/>
      <c r="JN189" s="61"/>
      <c r="JO189" s="61"/>
      <c r="JP189" s="61"/>
      <c r="JQ189" s="61"/>
      <c r="JR189" s="61"/>
      <c r="JS189" s="61"/>
      <c r="JT189" s="61"/>
      <c r="JU189" s="61"/>
      <c r="JV189" s="61"/>
      <c r="JW189" s="61"/>
      <c r="JX189" s="61"/>
      <c r="JY189" s="61"/>
      <c r="JZ189" s="61">
        <v>2</v>
      </c>
      <c r="KA189" s="61"/>
      <c r="KB189" s="61">
        <v>3</v>
      </c>
      <c r="KC189" s="61"/>
      <c r="KD189" s="61">
        <v>5</v>
      </c>
      <c r="KE189" s="61"/>
      <c r="KF189" s="61">
        <v>8</v>
      </c>
      <c r="KG189" s="61"/>
      <c r="KH189" s="61">
        <v>10</v>
      </c>
      <c r="KI189" s="61"/>
      <c r="KJ189" s="61">
        <v>12</v>
      </c>
      <c r="KK189" s="61"/>
      <c r="KL189" s="61">
        <v>15</v>
      </c>
      <c r="KM189" s="61"/>
      <c r="KN189" s="61">
        <v>15</v>
      </c>
      <c r="KO189" s="61"/>
      <c r="KP189" s="61">
        <v>15</v>
      </c>
      <c r="KQ189" s="61"/>
      <c r="KR189" s="61">
        <v>15</v>
      </c>
      <c r="KS189" s="61"/>
      <c r="KT189" s="61">
        <v>15</v>
      </c>
      <c r="KU189" s="61"/>
      <c r="KV189" s="61">
        <v>13</v>
      </c>
      <c r="KW189" s="61"/>
      <c r="KX189" s="61">
        <v>12</v>
      </c>
      <c r="KY189" s="61"/>
      <c r="KZ189" s="61">
        <v>10</v>
      </c>
      <c r="LA189" s="61"/>
      <c r="LB189" s="61">
        <v>8</v>
      </c>
      <c r="LC189" s="61"/>
      <c r="LD189" s="61">
        <v>7</v>
      </c>
      <c r="LE189" s="61"/>
      <c r="LF189" s="61">
        <v>6</v>
      </c>
      <c r="LG189" s="61"/>
      <c r="LH189" s="61">
        <v>5</v>
      </c>
      <c r="LI189" s="61"/>
      <c r="LJ189" s="61">
        <v>4</v>
      </c>
      <c r="LK189" s="61"/>
      <c r="LL189" s="61">
        <v>3</v>
      </c>
      <c r="LM189" s="61"/>
      <c r="LN189" s="61">
        <v>2</v>
      </c>
      <c r="LO189" s="61"/>
      <c r="LP189" s="61">
        <v>1</v>
      </c>
      <c r="LQ189" s="61"/>
      <c r="LR189" s="61">
        <v>1</v>
      </c>
      <c r="LS189" s="61"/>
      <c r="LT189" s="61">
        <v>1</v>
      </c>
      <c r="LU189" s="61"/>
      <c r="LV189" s="61"/>
      <c r="LW189" s="61"/>
      <c r="LX189" s="61"/>
      <c r="LY189" s="61"/>
      <c r="LZ189" s="61"/>
      <c r="MA189" s="61"/>
      <c r="MB189" s="61"/>
      <c r="MC189" s="61"/>
      <c r="MD189" s="61"/>
      <c r="ME189" s="61"/>
      <c r="MF189" s="61"/>
      <c r="MG189" s="61"/>
      <c r="MH189" s="61"/>
      <c r="MI189" s="61"/>
      <c r="MJ189" s="61"/>
      <c r="MK189" s="61"/>
      <c r="ML189" s="61"/>
      <c r="MM189" s="61"/>
      <c r="MN189" s="61"/>
      <c r="MO189" s="61"/>
      <c r="MP189" s="61"/>
      <c r="MQ189" s="61"/>
      <c r="MR189" s="61"/>
      <c r="MS189" s="61"/>
      <c r="MT189" s="61"/>
      <c r="MU189" s="61"/>
      <c r="MV189" s="61"/>
      <c r="MW189" s="61"/>
      <c r="MX189" s="61"/>
      <c r="MY189" s="61"/>
      <c r="MZ189" s="61"/>
      <c r="NA189" s="61"/>
      <c r="NB189" s="61"/>
      <c r="NC189" s="61"/>
      <c r="ND189" s="61"/>
      <c r="NE189" s="61"/>
      <c r="NF189" s="61"/>
      <c r="NG189" s="61"/>
      <c r="NH189" s="61"/>
      <c r="NI189" s="61"/>
      <c r="NJ189" s="61"/>
      <c r="NK189" s="61"/>
      <c r="NL189" s="61"/>
      <c r="NM189" s="61"/>
      <c r="NN189" s="61"/>
      <c r="NO189" s="61"/>
      <c r="NP189" s="61"/>
      <c r="NQ189" s="61"/>
      <c r="NR189" s="61"/>
      <c r="NS189" s="61"/>
      <c r="NT189" s="61"/>
      <c r="NU189" s="61"/>
      <c r="NV189" s="61"/>
      <c r="NW189" s="61"/>
      <c r="NX189" s="61"/>
      <c r="NY189" s="61"/>
      <c r="NZ189" s="61"/>
      <c r="OA189" s="61"/>
      <c r="OB189" s="61"/>
      <c r="OC189" s="61"/>
      <c r="OD189" s="61"/>
      <c r="OE189" s="61"/>
      <c r="OF189" s="61"/>
      <c r="OG189" s="61"/>
      <c r="OH189" s="61"/>
      <c r="OI189" s="61"/>
      <c r="OJ189" s="61"/>
      <c r="OK189" s="61"/>
      <c r="OL189" s="61"/>
      <c r="OM189" s="61"/>
      <c r="ON189" s="61"/>
      <c r="OO189" s="61"/>
      <c r="OP189" s="61"/>
      <c r="OQ189" s="61"/>
      <c r="OR189" s="61"/>
      <c r="OS189" s="61"/>
      <c r="OT189" s="61"/>
      <c r="OU189" s="61"/>
      <c r="OV189" s="61"/>
      <c r="OW189" s="61"/>
      <c r="OX189" s="61"/>
      <c r="OY189" s="61"/>
      <c r="OZ189" s="61"/>
      <c r="PA189" s="61"/>
      <c r="PB189" s="61"/>
      <c r="PC189" s="61"/>
      <c r="PD189" s="61"/>
      <c r="PE189" s="61"/>
      <c r="PF189" s="61"/>
      <c r="PG189" s="61"/>
      <c r="PH189" s="61"/>
      <c r="PI189" s="61"/>
      <c r="PJ189" s="61"/>
      <c r="PK189" s="61"/>
      <c r="PL189" s="61"/>
      <c r="PM189" s="61"/>
      <c r="PN189" s="61"/>
      <c r="PO189" s="61"/>
      <c r="PP189" s="61"/>
      <c r="PQ189" s="61"/>
      <c r="PR189" s="61"/>
      <c r="PS189" s="61"/>
      <c r="PT189" s="61"/>
      <c r="PU189" s="61"/>
      <c r="PV189" s="61"/>
      <c r="PW189" s="61"/>
      <c r="PX189" s="61"/>
      <c r="PY189" s="61"/>
      <c r="PZ189" s="61"/>
      <c r="QA189" s="61"/>
      <c r="QB189" s="61"/>
      <c r="QC189" s="61"/>
      <c r="QD189" s="61"/>
      <c r="QE189" s="61"/>
      <c r="QF189" s="61"/>
      <c r="QG189" s="61"/>
      <c r="QH189" s="61"/>
      <c r="QI189" s="61"/>
      <c r="QJ189" s="61"/>
      <c r="QK189" s="61"/>
      <c r="QL189" s="61"/>
      <c r="QM189" s="61"/>
      <c r="QN189" s="61"/>
      <c r="QO189" s="61"/>
      <c r="QP189" s="61"/>
      <c r="QQ189" s="61"/>
      <c r="QR189" s="61"/>
      <c r="QS189" s="61"/>
      <c r="QT189" s="61"/>
      <c r="QU189" s="61"/>
      <c r="QV189" s="61"/>
      <c r="QW189" s="61"/>
      <c r="QX189" s="61"/>
      <c r="QY189" s="61"/>
      <c r="QZ189" s="61"/>
      <c r="RA189" s="61"/>
      <c r="RB189" s="61"/>
      <c r="RC189" s="61"/>
      <c r="RD189" s="17"/>
    </row>
    <row r="190" spans="1:472" s="5" customFormat="1" x14ac:dyDescent="0.25">
      <c r="A190" s="5">
        <v>2117</v>
      </c>
      <c r="B190" s="5" t="s">
        <v>1585</v>
      </c>
      <c r="C190" s="5" t="s">
        <v>1562</v>
      </c>
      <c r="D190" s="5">
        <v>104</v>
      </c>
      <c r="E190" s="36"/>
      <c r="F190" s="64" t="s">
        <v>216</v>
      </c>
      <c r="G190" s="65"/>
      <c r="H190" s="19"/>
      <c r="I190" s="17"/>
      <c r="J190" s="17"/>
      <c r="K190" s="17"/>
      <c r="L190" s="17"/>
      <c r="M190" s="17"/>
      <c r="N190" s="17"/>
      <c r="O190" s="17"/>
      <c r="P190" s="17"/>
      <c r="Q190" s="17"/>
      <c r="R190" s="17"/>
      <c r="S190" s="17"/>
      <c r="T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61"/>
      <c r="FG190" s="61"/>
      <c r="FH190" s="61"/>
      <c r="FI190" s="61"/>
      <c r="FJ190" s="61"/>
      <c r="FK190" s="61"/>
      <c r="FL190" s="61"/>
      <c r="FM190" s="61"/>
      <c r="FN190" s="61"/>
      <c r="FO190" s="61"/>
      <c r="FP190" s="61"/>
      <c r="FQ190" s="61"/>
      <c r="FR190" s="61"/>
      <c r="FS190" s="61"/>
      <c r="FT190" s="61"/>
      <c r="FU190" s="61"/>
      <c r="FV190" s="61"/>
      <c r="FW190" s="61"/>
      <c r="FX190" s="61"/>
      <c r="FY190" s="61"/>
      <c r="FZ190" s="61"/>
      <c r="GA190" s="61"/>
      <c r="GB190" s="61"/>
      <c r="GC190" s="61"/>
      <c r="GD190" s="61"/>
      <c r="GE190" s="61"/>
      <c r="GF190" s="61"/>
      <c r="GG190" s="61"/>
      <c r="GH190" s="61"/>
      <c r="GI190" s="61"/>
      <c r="GJ190" s="61"/>
      <c r="GK190" s="61"/>
      <c r="GL190" s="61"/>
      <c r="GM190" s="61"/>
      <c r="GN190" s="61"/>
      <c r="GO190" s="61"/>
      <c r="GP190" s="61"/>
      <c r="GQ190" s="61"/>
      <c r="GR190" s="61"/>
      <c r="GS190" s="61"/>
      <c r="GT190" s="61"/>
      <c r="GU190" s="61"/>
      <c r="GV190" s="61"/>
      <c r="GW190" s="61"/>
      <c r="GX190" s="61"/>
      <c r="GY190" s="61"/>
      <c r="GZ190" s="61"/>
      <c r="HA190" s="61"/>
      <c r="HB190" s="61"/>
      <c r="HC190" s="61"/>
      <c r="HD190" s="61"/>
      <c r="HE190" s="61"/>
      <c r="HF190" s="61"/>
      <c r="HG190" s="61"/>
      <c r="HH190" s="61"/>
      <c r="HI190" s="61"/>
      <c r="HJ190" s="61"/>
      <c r="HK190" s="61"/>
      <c r="HL190" s="61"/>
      <c r="HM190" s="61"/>
      <c r="HN190" s="61"/>
      <c r="HO190" s="61"/>
      <c r="HP190" s="61"/>
      <c r="HQ190" s="61"/>
      <c r="HR190" s="61"/>
      <c r="HS190" s="61"/>
      <c r="HT190" s="61"/>
      <c r="HU190" s="61"/>
      <c r="HV190" s="61"/>
      <c r="HW190" s="61"/>
      <c r="HX190" s="61"/>
      <c r="HY190" s="61"/>
      <c r="HZ190" s="61"/>
      <c r="IA190" s="61"/>
      <c r="IB190" s="61"/>
      <c r="IC190" s="61"/>
      <c r="ID190" s="61"/>
      <c r="IE190" s="61"/>
      <c r="IF190" s="61"/>
      <c r="IG190" s="61"/>
      <c r="IH190" s="61"/>
      <c r="II190" s="61"/>
      <c r="IJ190" s="61"/>
      <c r="IK190" s="61"/>
      <c r="IL190" s="61"/>
      <c r="IM190" s="61"/>
      <c r="IN190" s="61"/>
      <c r="IO190" s="61"/>
      <c r="IP190" s="61"/>
      <c r="IQ190" s="61"/>
      <c r="IR190" s="61"/>
      <c r="IS190" s="61"/>
      <c r="IT190" s="61"/>
      <c r="IU190" s="61"/>
      <c r="IV190" s="61"/>
      <c r="IW190" s="61"/>
      <c r="IX190" s="61"/>
      <c r="IY190" s="61"/>
      <c r="IZ190" s="61"/>
      <c r="JA190" s="61"/>
      <c r="JB190" s="61"/>
      <c r="JC190" s="61"/>
      <c r="JD190" s="61"/>
      <c r="JE190" s="61"/>
      <c r="JF190" s="61"/>
      <c r="JG190" s="61"/>
      <c r="JH190" s="61"/>
      <c r="JI190" s="61"/>
      <c r="JJ190" s="61"/>
      <c r="JK190" s="61"/>
      <c r="JL190" s="61"/>
      <c r="JM190" s="61"/>
      <c r="JN190" s="61"/>
      <c r="JO190" s="61"/>
      <c r="JP190" s="61"/>
      <c r="JQ190" s="61"/>
      <c r="JR190" s="61"/>
      <c r="JS190" s="61"/>
      <c r="JT190" s="61"/>
      <c r="JU190" s="61"/>
      <c r="JV190" s="61"/>
      <c r="JW190" s="61"/>
      <c r="JX190" s="61"/>
      <c r="JY190" s="61"/>
      <c r="JZ190" s="61"/>
      <c r="KA190" s="61"/>
      <c r="KB190" s="61">
        <v>2</v>
      </c>
      <c r="KC190" s="61"/>
      <c r="KD190" s="61">
        <v>3</v>
      </c>
      <c r="KE190" s="61"/>
      <c r="KF190" s="61">
        <v>5</v>
      </c>
      <c r="KG190" s="61"/>
      <c r="KH190" s="61">
        <v>8</v>
      </c>
      <c r="KI190" s="61"/>
      <c r="KJ190" s="61">
        <v>10</v>
      </c>
      <c r="KK190" s="61"/>
      <c r="KL190" s="61">
        <v>10</v>
      </c>
      <c r="KM190" s="61"/>
      <c r="KN190" s="61">
        <v>12</v>
      </c>
      <c r="KO190" s="61"/>
      <c r="KP190" s="61">
        <v>12</v>
      </c>
      <c r="KQ190" s="61"/>
      <c r="KR190" s="61">
        <v>12</v>
      </c>
      <c r="KS190" s="61"/>
      <c r="KT190" s="61">
        <v>12</v>
      </c>
      <c r="KU190" s="61"/>
      <c r="KV190" s="61">
        <v>12</v>
      </c>
      <c r="KW190" s="61"/>
      <c r="KX190" s="61">
        <v>10</v>
      </c>
      <c r="KY190" s="61"/>
      <c r="KZ190" s="61">
        <v>10</v>
      </c>
      <c r="LA190" s="61"/>
      <c r="LB190" s="61">
        <v>9</v>
      </c>
      <c r="LC190" s="61"/>
      <c r="LD190" s="61">
        <v>8</v>
      </c>
      <c r="LE190" s="61"/>
      <c r="LF190" s="61">
        <v>7</v>
      </c>
      <c r="LG190" s="61"/>
      <c r="LH190" s="61">
        <v>6</v>
      </c>
      <c r="LI190" s="61"/>
      <c r="LJ190" s="61">
        <v>5</v>
      </c>
      <c r="LK190" s="61"/>
      <c r="LL190" s="61">
        <v>4</v>
      </c>
      <c r="LM190" s="61"/>
      <c r="LN190" s="61">
        <v>3</v>
      </c>
      <c r="LO190" s="61"/>
      <c r="LP190" s="61">
        <v>2</v>
      </c>
      <c r="LQ190" s="61"/>
      <c r="LR190" s="61">
        <v>1</v>
      </c>
      <c r="LS190" s="61"/>
      <c r="LT190" s="61">
        <v>1</v>
      </c>
      <c r="LU190" s="61"/>
      <c r="LV190" s="61">
        <v>1</v>
      </c>
      <c r="LW190" s="61"/>
      <c r="LX190" s="61"/>
      <c r="LY190" s="61"/>
      <c r="LZ190" s="61"/>
      <c r="MA190" s="61"/>
      <c r="MB190" s="61"/>
      <c r="MC190" s="61"/>
      <c r="MD190" s="61"/>
      <c r="ME190" s="61"/>
      <c r="MF190" s="61"/>
      <c r="MG190" s="61"/>
      <c r="MH190" s="61"/>
      <c r="MI190" s="61"/>
      <c r="MJ190" s="61"/>
      <c r="MK190" s="61"/>
      <c r="ML190" s="61"/>
      <c r="MM190" s="61"/>
      <c r="MN190" s="61"/>
      <c r="MO190" s="61"/>
      <c r="MP190" s="61"/>
      <c r="MQ190" s="61"/>
      <c r="MR190" s="61"/>
      <c r="MS190" s="61"/>
      <c r="MT190" s="61"/>
      <c r="MU190" s="61"/>
      <c r="MV190" s="61"/>
      <c r="MW190" s="61"/>
      <c r="MX190" s="61"/>
      <c r="MY190" s="61"/>
      <c r="MZ190" s="61"/>
      <c r="NA190" s="61"/>
      <c r="NB190" s="61"/>
      <c r="NC190" s="61"/>
      <c r="ND190" s="61"/>
      <c r="NE190" s="61"/>
      <c r="NF190" s="61"/>
      <c r="NG190" s="61"/>
      <c r="NH190" s="61"/>
      <c r="NI190" s="61"/>
      <c r="NJ190" s="61"/>
      <c r="NK190" s="61"/>
      <c r="NL190" s="61"/>
      <c r="NM190" s="61"/>
      <c r="NN190" s="61"/>
      <c r="NO190" s="61"/>
      <c r="NP190" s="61"/>
      <c r="NQ190" s="61"/>
      <c r="NR190" s="61"/>
      <c r="NS190" s="61"/>
      <c r="NT190" s="61"/>
      <c r="NU190" s="61"/>
      <c r="NV190" s="61"/>
      <c r="NW190" s="61"/>
      <c r="NX190" s="61"/>
      <c r="NY190" s="61"/>
      <c r="NZ190" s="61"/>
      <c r="OA190" s="61"/>
      <c r="OB190" s="61"/>
      <c r="OC190" s="61"/>
      <c r="OD190" s="61"/>
      <c r="OE190" s="61"/>
      <c r="OF190" s="61"/>
      <c r="OG190" s="61"/>
      <c r="OH190" s="61"/>
      <c r="OI190" s="61"/>
      <c r="OJ190" s="61"/>
      <c r="OK190" s="61"/>
      <c r="OL190" s="61"/>
      <c r="OM190" s="61"/>
      <c r="ON190" s="61"/>
      <c r="OO190" s="61"/>
      <c r="OP190" s="61"/>
      <c r="OQ190" s="61"/>
      <c r="OR190" s="61"/>
      <c r="OS190" s="61"/>
      <c r="OT190" s="61"/>
      <c r="OU190" s="61"/>
      <c r="OV190" s="61"/>
      <c r="OW190" s="61"/>
      <c r="OX190" s="61"/>
      <c r="OY190" s="61"/>
      <c r="OZ190" s="61"/>
      <c r="PA190" s="61"/>
      <c r="PB190" s="61"/>
      <c r="PC190" s="61"/>
      <c r="PD190" s="61"/>
      <c r="PE190" s="61"/>
      <c r="PF190" s="61"/>
      <c r="PG190" s="61"/>
      <c r="PH190" s="61"/>
      <c r="PI190" s="61"/>
      <c r="PJ190" s="61"/>
      <c r="PK190" s="61"/>
      <c r="PL190" s="61"/>
      <c r="PM190" s="61"/>
      <c r="PN190" s="61"/>
      <c r="PO190" s="61"/>
      <c r="PP190" s="61"/>
      <c r="PQ190" s="61"/>
      <c r="PR190" s="61"/>
      <c r="PS190" s="61"/>
      <c r="PT190" s="61"/>
      <c r="PU190" s="61"/>
      <c r="PV190" s="61"/>
      <c r="PW190" s="61"/>
      <c r="PX190" s="61"/>
      <c r="PY190" s="61"/>
      <c r="PZ190" s="61"/>
      <c r="QA190" s="61"/>
      <c r="QB190" s="61"/>
      <c r="QC190" s="61"/>
      <c r="QD190" s="61"/>
      <c r="QE190" s="61"/>
      <c r="QF190" s="61"/>
      <c r="QG190" s="61"/>
      <c r="QH190" s="61"/>
      <c r="QI190" s="61"/>
      <c r="QJ190" s="61"/>
      <c r="QK190" s="61"/>
      <c r="QL190" s="61"/>
      <c r="QM190" s="61"/>
      <c r="QN190" s="61"/>
      <c r="QO190" s="61"/>
      <c r="QP190" s="61"/>
      <c r="QQ190" s="61"/>
      <c r="QR190" s="61"/>
      <c r="QS190" s="61"/>
      <c r="QT190" s="61"/>
      <c r="QU190" s="61"/>
      <c r="QV190" s="61"/>
      <c r="QW190" s="61"/>
      <c r="QX190" s="61"/>
      <c r="QY190" s="61"/>
      <c r="QZ190" s="61"/>
      <c r="RA190" s="61"/>
      <c r="RB190" s="61"/>
      <c r="RC190" s="61"/>
      <c r="RD190" s="17"/>
    </row>
    <row r="191" spans="1:472" s="5" customFormat="1" x14ac:dyDescent="0.25">
      <c r="A191" s="5">
        <v>2106</v>
      </c>
      <c r="B191" s="5" t="s">
        <v>1342</v>
      </c>
      <c r="C191" s="5" t="s">
        <v>5</v>
      </c>
      <c r="D191" s="5">
        <v>146</v>
      </c>
      <c r="E191" s="36"/>
      <c r="F191" s="64" t="s">
        <v>216</v>
      </c>
      <c r="G191" s="65"/>
      <c r="H191" s="19"/>
      <c r="I191" s="17"/>
      <c r="J191" s="17"/>
      <c r="K191" s="17"/>
      <c r="L191" s="17"/>
      <c r="M191" s="17"/>
      <c r="N191" s="17"/>
      <c r="O191" s="17"/>
      <c r="P191" s="17"/>
      <c r="Q191" s="17"/>
      <c r="R191" s="17"/>
      <c r="S191" s="17"/>
      <c r="T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c r="ED191" s="17"/>
      <c r="EE191" s="17"/>
      <c r="EF191" s="17"/>
      <c r="EG191" s="17"/>
      <c r="EH191" s="17"/>
      <c r="EI191" s="17"/>
      <c r="EJ191" s="17"/>
      <c r="EK191" s="17"/>
      <c r="EL191" s="17"/>
      <c r="EM191" s="17"/>
      <c r="EN191" s="17"/>
      <c r="EO191" s="17"/>
      <c r="EP191" s="17"/>
      <c r="EQ191" s="17"/>
      <c r="ER191" s="17"/>
      <c r="ES191" s="17"/>
      <c r="ET191" s="17"/>
      <c r="EU191" s="17"/>
      <c r="EV191" s="17"/>
      <c r="EW191" s="17"/>
      <c r="EX191" s="17"/>
      <c r="EY191" s="17"/>
      <c r="EZ191" s="17"/>
      <c r="FA191" s="17"/>
      <c r="FB191" s="17"/>
      <c r="FC191" s="17"/>
      <c r="FD191" s="17"/>
      <c r="FE191" s="17"/>
      <c r="FF191" s="61"/>
      <c r="FG191" s="61"/>
      <c r="FH191" s="61"/>
      <c r="FI191" s="61"/>
      <c r="FJ191" s="61"/>
      <c r="FK191" s="61"/>
      <c r="FL191" s="61"/>
      <c r="FM191" s="61"/>
      <c r="FN191" s="61"/>
      <c r="FO191" s="61"/>
      <c r="FP191" s="61"/>
      <c r="FQ191" s="61"/>
      <c r="FR191" s="61"/>
      <c r="FS191" s="61"/>
      <c r="FT191" s="61"/>
      <c r="FU191" s="61"/>
      <c r="FV191" s="61"/>
      <c r="FW191" s="61"/>
      <c r="FX191" s="61"/>
      <c r="FY191" s="61"/>
      <c r="FZ191" s="61"/>
      <c r="GA191" s="61"/>
      <c r="GB191" s="61"/>
      <c r="GC191" s="61"/>
      <c r="GD191" s="61"/>
      <c r="GE191" s="61"/>
      <c r="GF191" s="61"/>
      <c r="GG191" s="61"/>
      <c r="GH191" s="61"/>
      <c r="GI191" s="61"/>
      <c r="GJ191" s="61"/>
      <c r="GK191" s="61"/>
      <c r="GL191" s="61"/>
      <c r="GM191" s="61"/>
      <c r="GN191" s="61"/>
      <c r="GO191" s="61"/>
      <c r="GP191" s="61"/>
      <c r="GQ191" s="61"/>
      <c r="GR191" s="61"/>
      <c r="GS191" s="61"/>
      <c r="GT191" s="61"/>
      <c r="GU191" s="61"/>
      <c r="GV191" s="61"/>
      <c r="GW191" s="61"/>
      <c r="GX191" s="61"/>
      <c r="GY191" s="61"/>
      <c r="GZ191" s="61"/>
      <c r="HA191" s="61"/>
      <c r="HB191" s="61"/>
      <c r="HC191" s="61"/>
      <c r="HD191" s="61"/>
      <c r="HE191" s="61"/>
      <c r="HF191" s="61"/>
      <c r="HG191" s="61"/>
      <c r="HH191" s="61"/>
      <c r="HI191" s="61"/>
      <c r="HJ191" s="61"/>
      <c r="HK191" s="61"/>
      <c r="HL191" s="61"/>
      <c r="HM191" s="61"/>
      <c r="HN191" s="61"/>
      <c r="HO191" s="61"/>
      <c r="HP191" s="61"/>
      <c r="HQ191" s="61"/>
      <c r="HR191" s="61"/>
      <c r="HS191" s="61"/>
      <c r="HT191" s="61"/>
      <c r="HU191" s="61"/>
      <c r="HV191" s="61"/>
      <c r="HW191" s="61"/>
      <c r="HX191" s="61"/>
      <c r="HY191" s="61"/>
      <c r="HZ191" s="61"/>
      <c r="IA191" s="61"/>
      <c r="IB191" s="61"/>
      <c r="IC191" s="61"/>
      <c r="ID191" s="61"/>
      <c r="IE191" s="61"/>
      <c r="IF191" s="61"/>
      <c r="IG191" s="61"/>
      <c r="IH191" s="61"/>
      <c r="II191" s="61"/>
      <c r="IJ191" s="61"/>
      <c r="IK191" s="61"/>
      <c r="IL191" s="61"/>
      <c r="IM191" s="61"/>
      <c r="IN191" s="61"/>
      <c r="IO191" s="61"/>
      <c r="IP191" s="61"/>
      <c r="IQ191" s="61"/>
      <c r="IR191" s="61"/>
      <c r="IS191" s="61"/>
      <c r="IT191" s="61"/>
      <c r="IU191" s="61"/>
      <c r="IV191" s="61"/>
      <c r="IW191" s="61"/>
      <c r="IX191" s="61"/>
      <c r="IY191" s="61"/>
      <c r="IZ191" s="61"/>
      <c r="JA191" s="61"/>
      <c r="JB191" s="61"/>
      <c r="JC191" s="61"/>
      <c r="JD191" s="61"/>
      <c r="JE191" s="61"/>
      <c r="JF191" s="61"/>
      <c r="JG191" s="61"/>
      <c r="JH191" s="61"/>
      <c r="JI191" s="61"/>
      <c r="JJ191" s="61"/>
      <c r="JK191" s="61"/>
      <c r="JL191" s="61"/>
      <c r="JM191" s="61"/>
      <c r="JN191" s="61"/>
      <c r="JO191" s="61"/>
      <c r="JP191" s="61"/>
      <c r="JQ191" s="61"/>
      <c r="JR191" s="61"/>
      <c r="JS191" s="61"/>
      <c r="JT191" s="61"/>
      <c r="JU191" s="61"/>
      <c r="JV191" s="61"/>
      <c r="JW191" s="61"/>
      <c r="JX191" s="61"/>
      <c r="JY191" s="61"/>
      <c r="JZ191" s="61"/>
      <c r="KA191" s="61"/>
      <c r="KB191" s="61"/>
      <c r="KC191" s="61"/>
      <c r="KD191" s="61">
        <v>2</v>
      </c>
      <c r="KE191" s="61"/>
      <c r="KF191" s="61">
        <v>3</v>
      </c>
      <c r="KG191" s="61"/>
      <c r="KH191" s="61">
        <v>5</v>
      </c>
      <c r="KI191" s="61"/>
      <c r="KJ191" s="61">
        <v>8</v>
      </c>
      <c r="KK191" s="61"/>
      <c r="KL191" s="61">
        <v>10</v>
      </c>
      <c r="KM191" s="61"/>
      <c r="KN191" s="61">
        <v>12</v>
      </c>
      <c r="KO191" s="61"/>
      <c r="KP191" s="61">
        <v>15</v>
      </c>
      <c r="KQ191" s="61"/>
      <c r="KR191" s="61">
        <v>15</v>
      </c>
      <c r="KS191" s="61"/>
      <c r="KT191" s="61">
        <v>15</v>
      </c>
      <c r="KU191" s="61"/>
      <c r="KV191" s="61">
        <v>15</v>
      </c>
      <c r="KW191" s="61"/>
      <c r="KX191" s="61">
        <v>15</v>
      </c>
      <c r="KY191" s="61"/>
      <c r="KZ191" s="61">
        <v>13</v>
      </c>
      <c r="LA191" s="61"/>
      <c r="LB191" s="61">
        <v>12</v>
      </c>
      <c r="LC191" s="61"/>
      <c r="LD191" s="61">
        <v>10</v>
      </c>
      <c r="LE191" s="61"/>
      <c r="LF191" s="61">
        <v>8</v>
      </c>
      <c r="LG191" s="61"/>
      <c r="LH191" s="61">
        <v>7</v>
      </c>
      <c r="LI191" s="61"/>
      <c r="LJ191" s="61">
        <v>6</v>
      </c>
      <c r="LK191" s="61"/>
      <c r="LL191" s="61">
        <v>5</v>
      </c>
      <c r="LM191" s="61"/>
      <c r="LN191" s="61">
        <v>4</v>
      </c>
      <c r="LO191" s="61"/>
      <c r="LP191" s="61">
        <v>3</v>
      </c>
      <c r="LQ191" s="61"/>
      <c r="LR191" s="61">
        <v>2</v>
      </c>
      <c r="LS191" s="61"/>
      <c r="LT191" s="61">
        <v>1</v>
      </c>
      <c r="LU191" s="61"/>
      <c r="LV191" s="61">
        <v>1</v>
      </c>
      <c r="LW191" s="61"/>
      <c r="LX191" s="61">
        <v>1</v>
      </c>
      <c r="LY191" s="61"/>
      <c r="LZ191" s="61"/>
      <c r="MA191" s="61"/>
      <c r="MB191" s="61"/>
      <c r="MC191" s="61"/>
      <c r="MD191" s="61"/>
      <c r="ME191" s="61"/>
      <c r="MF191" s="61"/>
      <c r="MG191" s="61"/>
      <c r="MH191" s="61"/>
      <c r="MI191" s="61"/>
      <c r="MJ191" s="61"/>
      <c r="MK191" s="61"/>
      <c r="ML191" s="61"/>
      <c r="MM191" s="61"/>
      <c r="MN191" s="61"/>
      <c r="MO191" s="61"/>
      <c r="MP191" s="61"/>
      <c r="MQ191" s="61"/>
      <c r="MR191" s="61"/>
      <c r="MS191" s="61"/>
      <c r="MT191" s="61"/>
      <c r="MU191" s="61"/>
      <c r="MV191" s="61"/>
      <c r="MW191" s="61"/>
      <c r="MX191" s="61"/>
      <c r="MY191" s="61"/>
      <c r="MZ191" s="61"/>
      <c r="NA191" s="61"/>
      <c r="NB191" s="61"/>
      <c r="NC191" s="61"/>
      <c r="ND191" s="61"/>
      <c r="NE191" s="61"/>
      <c r="NF191" s="61"/>
      <c r="NG191" s="61"/>
      <c r="NH191" s="61"/>
      <c r="NI191" s="61"/>
      <c r="NJ191" s="61"/>
      <c r="NK191" s="61"/>
      <c r="NL191" s="61"/>
      <c r="NM191" s="61"/>
      <c r="NN191" s="61"/>
      <c r="NO191" s="61"/>
      <c r="NP191" s="61"/>
      <c r="NQ191" s="61"/>
      <c r="NR191" s="61"/>
      <c r="NS191" s="61"/>
      <c r="NT191" s="61"/>
      <c r="NU191" s="61"/>
      <c r="NV191" s="61"/>
      <c r="NW191" s="61"/>
      <c r="NX191" s="61"/>
      <c r="NY191" s="61"/>
      <c r="NZ191" s="61"/>
      <c r="OA191" s="61"/>
      <c r="OB191" s="61"/>
      <c r="OC191" s="61"/>
      <c r="OD191" s="61"/>
      <c r="OE191" s="61"/>
      <c r="OF191" s="61"/>
      <c r="OG191" s="61"/>
      <c r="OH191" s="61"/>
      <c r="OI191" s="61"/>
      <c r="OJ191" s="61"/>
      <c r="OK191" s="61"/>
      <c r="OL191" s="61"/>
      <c r="OM191" s="61"/>
      <c r="ON191" s="61"/>
      <c r="OO191" s="61"/>
      <c r="OP191" s="61"/>
      <c r="OQ191" s="61"/>
      <c r="OR191" s="61"/>
      <c r="OS191" s="61"/>
      <c r="OT191" s="61"/>
      <c r="OU191" s="61"/>
      <c r="OV191" s="61"/>
      <c r="OW191" s="61"/>
      <c r="OX191" s="61"/>
      <c r="OY191" s="61"/>
      <c r="OZ191" s="61"/>
      <c r="PA191" s="61"/>
      <c r="PB191" s="61"/>
      <c r="PC191" s="61"/>
      <c r="PD191" s="61"/>
      <c r="PE191" s="61"/>
      <c r="PF191" s="61"/>
      <c r="PG191" s="61"/>
      <c r="PH191" s="61"/>
      <c r="PI191" s="61"/>
      <c r="PJ191" s="61"/>
      <c r="PK191" s="61"/>
      <c r="PL191" s="61"/>
      <c r="PM191" s="61"/>
      <c r="PN191" s="61"/>
      <c r="PO191" s="61"/>
      <c r="PP191" s="61"/>
      <c r="PQ191" s="61"/>
      <c r="PR191" s="61"/>
      <c r="PS191" s="61"/>
      <c r="PT191" s="61"/>
      <c r="PU191" s="61"/>
      <c r="PV191" s="61"/>
      <c r="PW191" s="61"/>
      <c r="PX191" s="61"/>
      <c r="PY191" s="61"/>
      <c r="PZ191" s="61"/>
      <c r="QA191" s="61"/>
      <c r="QB191" s="61"/>
      <c r="QC191" s="61"/>
      <c r="QD191" s="61"/>
      <c r="QE191" s="61"/>
      <c r="QF191" s="61"/>
      <c r="QG191" s="61"/>
      <c r="QH191" s="61"/>
      <c r="QI191" s="61"/>
      <c r="QJ191" s="61"/>
      <c r="QK191" s="61"/>
      <c r="QL191" s="61"/>
      <c r="QM191" s="61"/>
      <c r="QN191" s="61"/>
      <c r="QO191" s="61"/>
      <c r="QP191" s="61"/>
      <c r="QQ191" s="61"/>
      <c r="QR191" s="61"/>
      <c r="QS191" s="61"/>
      <c r="QT191" s="61"/>
      <c r="QU191" s="61"/>
      <c r="QV191" s="61"/>
      <c r="QW191" s="61"/>
      <c r="QX191" s="61"/>
      <c r="QY191" s="61"/>
      <c r="QZ191" s="61"/>
      <c r="RA191" s="61"/>
      <c r="RB191" s="61"/>
      <c r="RC191" s="61"/>
      <c r="RD191" s="17"/>
    </row>
    <row r="192" spans="1:472" s="5" customFormat="1" x14ac:dyDescent="0.25">
      <c r="A192" s="5">
        <v>2115</v>
      </c>
      <c r="B192" s="5" t="s">
        <v>1545</v>
      </c>
      <c r="C192" s="5" t="s">
        <v>5</v>
      </c>
      <c r="D192" s="5">
        <v>201</v>
      </c>
      <c r="E192" s="36"/>
      <c r="F192" s="64" t="s">
        <v>216</v>
      </c>
      <c r="G192" s="65"/>
      <c r="H192" s="19"/>
      <c r="I192" s="17"/>
      <c r="J192" s="17"/>
      <c r="K192" s="17"/>
      <c r="L192" s="17"/>
      <c r="M192" s="17"/>
      <c r="N192" s="17"/>
      <c r="O192" s="17"/>
      <c r="P192" s="17"/>
      <c r="Q192" s="17"/>
      <c r="R192" s="17"/>
      <c r="S192" s="17"/>
      <c r="T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c r="ED192" s="17"/>
      <c r="EE192" s="17"/>
      <c r="EF192" s="17"/>
      <c r="EG192" s="17"/>
      <c r="EH192" s="17"/>
      <c r="EI192" s="17"/>
      <c r="EJ192" s="17"/>
      <c r="EK192" s="17"/>
      <c r="EL192" s="17"/>
      <c r="EM192" s="17"/>
      <c r="EN192" s="17"/>
      <c r="EO192" s="17"/>
      <c r="EP192" s="17"/>
      <c r="EQ192" s="17"/>
      <c r="ER192" s="17"/>
      <c r="ES192" s="17"/>
      <c r="ET192" s="17"/>
      <c r="EU192" s="17"/>
      <c r="EV192" s="17"/>
      <c r="EW192" s="17"/>
      <c r="EX192" s="17"/>
      <c r="EY192" s="17"/>
      <c r="EZ192" s="17"/>
      <c r="FA192" s="17"/>
      <c r="FB192" s="17"/>
      <c r="FC192" s="17"/>
      <c r="FD192" s="17"/>
      <c r="FE192" s="17"/>
      <c r="FF192" s="61"/>
      <c r="FG192" s="61"/>
      <c r="FH192" s="61"/>
      <c r="FI192" s="61"/>
      <c r="FJ192" s="61"/>
      <c r="FK192" s="61"/>
      <c r="FL192" s="61"/>
      <c r="FM192" s="61"/>
      <c r="FN192" s="61"/>
      <c r="FO192" s="61"/>
      <c r="FP192" s="61"/>
      <c r="FQ192" s="61"/>
      <c r="FR192" s="61"/>
      <c r="FS192" s="61"/>
      <c r="FT192" s="61"/>
      <c r="FU192" s="61"/>
      <c r="FV192" s="61"/>
      <c r="FW192" s="61"/>
      <c r="FX192" s="61"/>
      <c r="FY192" s="61"/>
      <c r="FZ192" s="61"/>
      <c r="GA192" s="61"/>
      <c r="GB192" s="61"/>
      <c r="GC192" s="61"/>
      <c r="GD192" s="61"/>
      <c r="GE192" s="61"/>
      <c r="GF192" s="61"/>
      <c r="GG192" s="61"/>
      <c r="GH192" s="61"/>
      <c r="GI192" s="61"/>
      <c r="GJ192" s="61"/>
      <c r="GK192" s="61"/>
      <c r="GL192" s="61"/>
      <c r="GM192" s="61"/>
      <c r="GN192" s="61"/>
      <c r="GO192" s="61"/>
      <c r="GP192" s="61"/>
      <c r="GQ192" s="61"/>
      <c r="GR192" s="61"/>
      <c r="GS192" s="61"/>
      <c r="GT192" s="61"/>
      <c r="GU192" s="61"/>
      <c r="GV192" s="61"/>
      <c r="GW192" s="61"/>
      <c r="GX192" s="61"/>
      <c r="GY192" s="61"/>
      <c r="GZ192" s="61"/>
      <c r="HA192" s="61"/>
      <c r="HB192" s="61"/>
      <c r="HC192" s="61"/>
      <c r="HD192" s="61"/>
      <c r="HE192" s="61"/>
      <c r="HF192" s="61"/>
      <c r="HG192" s="61"/>
      <c r="HH192" s="61"/>
      <c r="HI192" s="61"/>
      <c r="HJ192" s="61"/>
      <c r="HK192" s="61"/>
      <c r="HL192" s="61"/>
      <c r="HM192" s="61"/>
      <c r="HN192" s="61"/>
      <c r="HO192" s="61"/>
      <c r="HP192" s="61"/>
      <c r="HQ192" s="61"/>
      <c r="HR192" s="61"/>
      <c r="HS192" s="61"/>
      <c r="HT192" s="61"/>
      <c r="HU192" s="61"/>
      <c r="HV192" s="61"/>
      <c r="HW192" s="61"/>
      <c r="HX192" s="61"/>
      <c r="HY192" s="61"/>
      <c r="HZ192" s="61"/>
      <c r="IA192" s="61"/>
      <c r="IB192" s="61"/>
      <c r="IC192" s="61"/>
      <c r="ID192" s="61"/>
      <c r="IE192" s="61"/>
      <c r="IF192" s="61"/>
      <c r="IG192" s="61"/>
      <c r="IH192" s="61"/>
      <c r="II192" s="61"/>
      <c r="IJ192" s="61"/>
      <c r="IK192" s="61"/>
      <c r="IL192" s="61"/>
      <c r="IM192" s="61"/>
      <c r="IN192" s="61"/>
      <c r="IO192" s="61"/>
      <c r="IP192" s="61"/>
      <c r="IQ192" s="61"/>
      <c r="IR192" s="61"/>
      <c r="IS192" s="61"/>
      <c r="IT192" s="61"/>
      <c r="IU192" s="61"/>
      <c r="IV192" s="61"/>
      <c r="IW192" s="61"/>
      <c r="IX192" s="61"/>
      <c r="IY192" s="61"/>
      <c r="IZ192" s="61"/>
      <c r="JA192" s="61"/>
      <c r="JB192" s="61"/>
      <c r="JC192" s="61"/>
      <c r="JD192" s="61"/>
      <c r="JE192" s="61"/>
      <c r="JF192" s="61"/>
      <c r="JG192" s="61"/>
      <c r="JH192" s="61"/>
      <c r="JI192" s="61"/>
      <c r="JJ192" s="61"/>
      <c r="JK192" s="61"/>
      <c r="JL192" s="61"/>
      <c r="JM192" s="61"/>
      <c r="JN192" s="61"/>
      <c r="JO192" s="61"/>
      <c r="JP192" s="61"/>
      <c r="JQ192" s="61"/>
      <c r="JR192" s="61"/>
      <c r="JS192" s="61"/>
      <c r="JT192" s="61"/>
      <c r="JU192" s="61"/>
      <c r="JV192" s="61"/>
      <c r="JW192" s="61"/>
      <c r="JX192" s="61"/>
      <c r="JY192" s="61"/>
      <c r="JZ192" s="61"/>
      <c r="KA192" s="61"/>
      <c r="KB192" s="61"/>
      <c r="KC192" s="61"/>
      <c r="KD192" s="61"/>
      <c r="KE192" s="61"/>
      <c r="KF192" s="61">
        <v>2</v>
      </c>
      <c r="KG192" s="61"/>
      <c r="KH192" s="61">
        <v>3</v>
      </c>
      <c r="KI192" s="61"/>
      <c r="KJ192" s="61">
        <v>5</v>
      </c>
      <c r="KK192" s="61"/>
      <c r="KL192" s="61">
        <v>8</v>
      </c>
      <c r="KM192" s="61"/>
      <c r="KN192" s="61">
        <v>10</v>
      </c>
      <c r="KO192" s="61"/>
      <c r="KP192" s="61">
        <v>12</v>
      </c>
      <c r="KQ192" s="61"/>
      <c r="KR192" s="61">
        <v>15</v>
      </c>
      <c r="KS192" s="61"/>
      <c r="KT192" s="61">
        <v>18</v>
      </c>
      <c r="KU192" s="61"/>
      <c r="KV192" s="61">
        <v>18</v>
      </c>
      <c r="KW192" s="61"/>
      <c r="KX192" s="61">
        <v>15</v>
      </c>
      <c r="KY192" s="61"/>
      <c r="KZ192" s="61">
        <v>15</v>
      </c>
      <c r="LA192" s="61"/>
      <c r="LB192" s="61">
        <v>13</v>
      </c>
      <c r="LC192" s="61"/>
      <c r="LD192" s="61">
        <v>12</v>
      </c>
      <c r="LE192" s="61"/>
      <c r="LF192" s="61">
        <v>10</v>
      </c>
      <c r="LG192" s="61"/>
      <c r="LH192" s="61">
        <v>8</v>
      </c>
      <c r="LI192" s="61"/>
      <c r="LJ192" s="61">
        <v>7</v>
      </c>
      <c r="LK192" s="61"/>
      <c r="LL192" s="61">
        <v>6</v>
      </c>
      <c r="LM192" s="61"/>
      <c r="LN192" s="61">
        <v>5</v>
      </c>
      <c r="LO192" s="61"/>
      <c r="LP192" s="61">
        <v>4</v>
      </c>
      <c r="LQ192" s="61"/>
      <c r="LR192" s="61">
        <v>3</v>
      </c>
      <c r="LS192" s="61"/>
      <c r="LT192" s="61">
        <v>2</v>
      </c>
      <c r="LU192" s="61"/>
      <c r="LV192" s="61">
        <v>1</v>
      </c>
      <c r="LW192" s="61"/>
      <c r="LX192" s="61">
        <v>1</v>
      </c>
      <c r="LY192" s="61"/>
      <c r="LZ192" s="61">
        <v>1</v>
      </c>
      <c r="MA192" s="61"/>
      <c r="MB192" s="61"/>
      <c r="MC192" s="61"/>
      <c r="MD192" s="61"/>
      <c r="ME192" s="61"/>
      <c r="MF192" s="61"/>
      <c r="MG192" s="61"/>
      <c r="MH192" s="61"/>
      <c r="MI192" s="61"/>
      <c r="MJ192" s="61"/>
      <c r="MK192" s="61"/>
      <c r="ML192" s="61"/>
      <c r="MM192" s="61"/>
      <c r="MN192" s="61"/>
      <c r="MO192" s="61"/>
      <c r="MP192" s="61"/>
      <c r="MQ192" s="61"/>
      <c r="MR192" s="61"/>
      <c r="MS192" s="61"/>
      <c r="MT192" s="61"/>
      <c r="MU192" s="61"/>
      <c r="MV192" s="61"/>
      <c r="MW192" s="61"/>
      <c r="MX192" s="61"/>
      <c r="MY192" s="61"/>
      <c r="MZ192" s="61"/>
      <c r="NA192" s="61"/>
      <c r="NB192" s="61"/>
      <c r="NC192" s="61"/>
      <c r="ND192" s="61"/>
      <c r="NE192" s="61"/>
      <c r="NF192" s="61"/>
      <c r="NG192" s="61"/>
      <c r="NH192" s="61"/>
      <c r="NI192" s="61"/>
      <c r="NJ192" s="61"/>
      <c r="NK192" s="61"/>
      <c r="NL192" s="61"/>
      <c r="NM192" s="61"/>
      <c r="NN192" s="61"/>
      <c r="NO192" s="61"/>
      <c r="NP192" s="61"/>
      <c r="NQ192" s="61"/>
      <c r="NR192" s="61"/>
      <c r="NS192" s="61"/>
      <c r="NT192" s="61"/>
      <c r="NU192" s="61"/>
      <c r="NV192" s="61"/>
      <c r="NW192" s="61"/>
      <c r="NX192" s="61"/>
      <c r="NY192" s="61"/>
      <c r="NZ192" s="61"/>
      <c r="OA192" s="61"/>
      <c r="OB192" s="61"/>
      <c r="OC192" s="61"/>
      <c r="OD192" s="61"/>
      <c r="OE192" s="61"/>
      <c r="OF192" s="61"/>
      <c r="OG192" s="61"/>
      <c r="OH192" s="61"/>
      <c r="OI192" s="61"/>
      <c r="OJ192" s="61"/>
      <c r="OK192" s="61"/>
      <c r="OL192" s="61"/>
      <c r="OM192" s="61"/>
      <c r="ON192" s="61"/>
      <c r="OO192" s="61"/>
      <c r="OP192" s="61"/>
      <c r="OQ192" s="61"/>
      <c r="OR192" s="61"/>
      <c r="OS192" s="61"/>
      <c r="OT192" s="61"/>
      <c r="OU192" s="61"/>
      <c r="OV192" s="61"/>
      <c r="OW192" s="61"/>
      <c r="OX192" s="61"/>
      <c r="OY192" s="61"/>
      <c r="OZ192" s="61"/>
      <c r="PA192" s="61"/>
      <c r="PB192" s="61"/>
      <c r="PC192" s="61"/>
      <c r="PD192" s="61"/>
      <c r="PE192" s="61"/>
      <c r="PF192" s="61"/>
      <c r="PG192" s="61"/>
      <c r="PH192" s="61"/>
      <c r="PI192" s="61"/>
      <c r="PJ192" s="61"/>
      <c r="PK192" s="61"/>
      <c r="PL192" s="61"/>
      <c r="PM192" s="61"/>
      <c r="PN192" s="61"/>
      <c r="PO192" s="61"/>
      <c r="PP192" s="61"/>
      <c r="PQ192" s="61"/>
      <c r="PR192" s="61"/>
      <c r="PS192" s="61"/>
      <c r="PT192" s="61"/>
      <c r="PU192" s="61"/>
      <c r="PV192" s="61"/>
      <c r="PW192" s="61"/>
      <c r="PX192" s="61"/>
      <c r="PY192" s="61"/>
      <c r="PZ192" s="61"/>
      <c r="QA192" s="61"/>
      <c r="QB192" s="61"/>
      <c r="QC192" s="61"/>
      <c r="QD192" s="61"/>
      <c r="QE192" s="61"/>
      <c r="QF192" s="61"/>
      <c r="QG192" s="61"/>
      <c r="QH192" s="61"/>
      <c r="QI192" s="61"/>
      <c r="QJ192" s="61"/>
      <c r="QK192" s="61"/>
      <c r="QL192" s="61"/>
      <c r="QM192" s="61"/>
      <c r="QN192" s="61"/>
      <c r="QO192" s="61"/>
      <c r="QP192" s="61"/>
      <c r="QQ192" s="61"/>
      <c r="QR192" s="61"/>
      <c r="QS192" s="61"/>
      <c r="QT192" s="61"/>
      <c r="QU192" s="61"/>
      <c r="QV192" s="61"/>
      <c r="QW192" s="61"/>
      <c r="QX192" s="61"/>
      <c r="QY192" s="61"/>
      <c r="QZ192" s="61"/>
      <c r="RA192" s="61"/>
      <c r="RB192" s="61"/>
      <c r="RC192" s="61"/>
      <c r="RD192" s="17"/>
    </row>
    <row r="193" spans="1:472" s="5" customFormat="1" x14ac:dyDescent="0.25">
      <c r="A193" s="5">
        <v>2118</v>
      </c>
      <c r="B193" s="5" t="s">
        <v>1174</v>
      </c>
      <c r="C193" s="5" t="s">
        <v>4</v>
      </c>
      <c r="D193" s="5">
        <v>406</v>
      </c>
      <c r="E193" s="36"/>
      <c r="F193" s="64" t="s">
        <v>216</v>
      </c>
      <c r="G193" s="65"/>
      <c r="H193" s="19"/>
      <c r="I193" s="17"/>
      <c r="J193" s="17"/>
      <c r="K193" s="17"/>
      <c r="L193" s="17"/>
      <c r="M193" s="17"/>
      <c r="N193" s="17"/>
      <c r="O193" s="17"/>
      <c r="P193" s="17"/>
      <c r="Q193" s="17"/>
      <c r="R193" s="17"/>
      <c r="S193" s="17"/>
      <c r="T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61"/>
      <c r="FG193" s="61"/>
      <c r="FH193" s="61"/>
      <c r="FI193" s="61"/>
      <c r="FJ193" s="61"/>
      <c r="FK193" s="61"/>
      <c r="FL193" s="61"/>
      <c r="FM193" s="61"/>
      <c r="FN193" s="61"/>
      <c r="FO193" s="61"/>
      <c r="FP193" s="61"/>
      <c r="FQ193" s="61"/>
      <c r="FR193" s="61"/>
      <c r="FS193" s="61"/>
      <c r="FT193" s="61"/>
      <c r="FU193" s="61"/>
      <c r="FV193" s="61"/>
      <c r="FW193" s="61"/>
      <c r="FX193" s="61"/>
      <c r="FY193" s="61"/>
      <c r="FZ193" s="61"/>
      <c r="GA193" s="61"/>
      <c r="GB193" s="61"/>
      <c r="GC193" s="61"/>
      <c r="GD193" s="61"/>
      <c r="GE193" s="61"/>
      <c r="GF193" s="61"/>
      <c r="GG193" s="61"/>
      <c r="GH193" s="61"/>
      <c r="GI193" s="61"/>
      <c r="GJ193" s="61"/>
      <c r="GK193" s="61"/>
      <c r="GL193" s="61"/>
      <c r="GM193" s="61"/>
      <c r="GN193" s="61"/>
      <c r="GO193" s="61"/>
      <c r="GP193" s="61"/>
      <c r="GQ193" s="61"/>
      <c r="GR193" s="61"/>
      <c r="GS193" s="61"/>
      <c r="GT193" s="61"/>
      <c r="GU193" s="61"/>
      <c r="GV193" s="61"/>
      <c r="GW193" s="61"/>
      <c r="GX193" s="61"/>
      <c r="GY193" s="61"/>
      <c r="GZ193" s="61"/>
      <c r="HA193" s="61"/>
      <c r="HB193" s="61"/>
      <c r="HC193" s="61"/>
      <c r="HD193" s="61"/>
      <c r="HE193" s="61"/>
      <c r="HF193" s="61"/>
      <c r="HG193" s="61"/>
      <c r="HH193" s="61"/>
      <c r="HI193" s="61"/>
      <c r="HJ193" s="61"/>
      <c r="HK193" s="61"/>
      <c r="HL193" s="61"/>
      <c r="HM193" s="61"/>
      <c r="HN193" s="61"/>
      <c r="HO193" s="61"/>
      <c r="HP193" s="61"/>
      <c r="HQ193" s="61"/>
      <c r="HR193" s="61"/>
      <c r="HS193" s="61"/>
      <c r="HT193" s="61"/>
      <c r="HU193" s="61"/>
      <c r="HV193" s="61"/>
      <c r="HW193" s="61"/>
      <c r="HX193" s="61"/>
      <c r="HY193" s="61"/>
      <c r="HZ193" s="61"/>
      <c r="IA193" s="61"/>
      <c r="IB193" s="61"/>
      <c r="IC193" s="61"/>
      <c r="ID193" s="61"/>
      <c r="IE193" s="61"/>
      <c r="IF193" s="61"/>
      <c r="IG193" s="61"/>
      <c r="IH193" s="61"/>
      <c r="II193" s="61"/>
      <c r="IJ193" s="61"/>
      <c r="IK193" s="61"/>
      <c r="IL193" s="61"/>
      <c r="IM193" s="61"/>
      <c r="IN193" s="61"/>
      <c r="IO193" s="61"/>
      <c r="IP193" s="61"/>
      <c r="IQ193" s="61"/>
      <c r="IR193" s="61"/>
      <c r="IS193" s="61"/>
      <c r="IT193" s="61"/>
      <c r="IU193" s="61"/>
      <c r="IV193" s="61"/>
      <c r="IW193" s="61"/>
      <c r="IX193" s="61"/>
      <c r="IY193" s="61"/>
      <c r="IZ193" s="61"/>
      <c r="JA193" s="61"/>
      <c r="JB193" s="61"/>
      <c r="JC193" s="61"/>
      <c r="JD193" s="61"/>
      <c r="JE193" s="61"/>
      <c r="JF193" s="61"/>
      <c r="JG193" s="61"/>
      <c r="JH193" s="61"/>
      <c r="JI193" s="61"/>
      <c r="JJ193" s="61"/>
      <c r="JK193" s="61"/>
      <c r="JL193" s="61"/>
      <c r="JM193" s="61"/>
      <c r="JN193" s="61"/>
      <c r="JO193" s="61"/>
      <c r="JP193" s="61"/>
      <c r="JQ193" s="61"/>
      <c r="JR193" s="61"/>
      <c r="JS193" s="61"/>
      <c r="JT193" s="61"/>
      <c r="JU193" s="61"/>
      <c r="JV193" s="61"/>
      <c r="JW193" s="61"/>
      <c r="JX193" s="61"/>
      <c r="JY193" s="61"/>
      <c r="JZ193" s="61"/>
      <c r="KA193" s="61"/>
      <c r="KB193" s="61"/>
      <c r="KC193" s="61"/>
      <c r="KD193" s="61"/>
      <c r="KE193" s="61"/>
      <c r="KF193" s="61">
        <v>2</v>
      </c>
      <c r="KG193" s="61"/>
      <c r="KH193" s="61">
        <v>3</v>
      </c>
      <c r="KI193" s="61"/>
      <c r="KJ193" s="61">
        <v>5</v>
      </c>
      <c r="KK193" s="61"/>
      <c r="KL193" s="61">
        <v>10</v>
      </c>
      <c r="KM193" s="61"/>
      <c r="KN193" s="61">
        <v>12</v>
      </c>
      <c r="KO193" s="61"/>
      <c r="KP193" s="61">
        <v>15</v>
      </c>
      <c r="KQ193" s="61"/>
      <c r="KR193" s="61">
        <v>18</v>
      </c>
      <c r="KS193" s="61"/>
      <c r="KT193" s="61">
        <v>20</v>
      </c>
      <c r="KU193" s="61"/>
      <c r="KV193" s="61">
        <v>24</v>
      </c>
      <c r="KW193" s="61"/>
      <c r="KX193" s="61">
        <v>24</v>
      </c>
      <c r="KY193" s="61"/>
      <c r="KZ193" s="61">
        <v>24</v>
      </c>
      <c r="LA193" s="61"/>
      <c r="LB193" s="61">
        <v>20</v>
      </c>
      <c r="LC193" s="61"/>
      <c r="LD193" s="61">
        <v>18</v>
      </c>
      <c r="LE193" s="61"/>
      <c r="LF193" s="61">
        <v>15</v>
      </c>
      <c r="LG193" s="61"/>
      <c r="LH193" s="61">
        <v>10</v>
      </c>
      <c r="LI193" s="61"/>
      <c r="LJ193" s="61">
        <v>8</v>
      </c>
      <c r="LK193" s="61"/>
      <c r="LL193" s="61">
        <v>7</v>
      </c>
      <c r="LM193" s="61"/>
      <c r="LN193" s="61">
        <v>6</v>
      </c>
      <c r="LO193" s="61"/>
      <c r="LP193" s="61">
        <v>5</v>
      </c>
      <c r="LQ193" s="61"/>
      <c r="LR193" s="61">
        <v>4</v>
      </c>
      <c r="LS193" s="61"/>
      <c r="LT193" s="61">
        <v>3</v>
      </c>
      <c r="LU193" s="61"/>
      <c r="LV193" s="61">
        <v>2</v>
      </c>
      <c r="LW193" s="61"/>
      <c r="LX193" s="61">
        <v>1</v>
      </c>
      <c r="LY193" s="61"/>
      <c r="LZ193" s="61">
        <v>1</v>
      </c>
      <c r="MA193" s="61"/>
      <c r="MB193" s="61"/>
      <c r="MC193" s="61"/>
      <c r="MD193" s="61"/>
      <c r="ME193" s="61"/>
      <c r="MF193" s="61"/>
      <c r="MG193" s="61"/>
      <c r="MH193" s="61"/>
      <c r="MI193" s="61"/>
      <c r="MJ193" s="61"/>
      <c r="MK193" s="61"/>
      <c r="ML193" s="61"/>
      <c r="MM193" s="61"/>
      <c r="MN193" s="61"/>
      <c r="MO193" s="61"/>
      <c r="MP193" s="61"/>
      <c r="MQ193" s="61"/>
      <c r="MR193" s="61"/>
      <c r="MS193" s="61"/>
      <c r="MT193" s="61"/>
      <c r="MU193" s="61"/>
      <c r="MV193" s="61"/>
      <c r="MW193" s="61"/>
      <c r="MX193" s="61"/>
      <c r="MY193" s="61"/>
      <c r="MZ193" s="61"/>
      <c r="NA193" s="61"/>
      <c r="NB193" s="61"/>
      <c r="NC193" s="61"/>
      <c r="ND193" s="61"/>
      <c r="NE193" s="61"/>
      <c r="NF193" s="61"/>
      <c r="NG193" s="61"/>
      <c r="NH193" s="61"/>
      <c r="NI193" s="61"/>
      <c r="NJ193" s="61"/>
      <c r="NK193" s="61"/>
      <c r="NL193" s="61"/>
      <c r="NM193" s="61"/>
      <c r="NN193" s="61"/>
      <c r="NO193" s="61"/>
      <c r="NP193" s="61"/>
      <c r="NQ193" s="61"/>
      <c r="NR193" s="61"/>
      <c r="NS193" s="61"/>
      <c r="NT193" s="61"/>
      <c r="NU193" s="61"/>
      <c r="NV193" s="61"/>
      <c r="NW193" s="61"/>
      <c r="NX193" s="61"/>
      <c r="NY193" s="61"/>
      <c r="NZ193" s="61"/>
      <c r="OA193" s="61"/>
      <c r="OB193" s="61"/>
      <c r="OC193" s="61"/>
      <c r="OD193" s="61"/>
      <c r="OE193" s="61"/>
      <c r="OF193" s="61"/>
      <c r="OG193" s="61"/>
      <c r="OH193" s="61"/>
      <c r="OI193" s="61"/>
      <c r="OJ193" s="61"/>
      <c r="OK193" s="61"/>
      <c r="OL193" s="61"/>
      <c r="OM193" s="61"/>
      <c r="ON193" s="61"/>
      <c r="OO193" s="61"/>
      <c r="OP193" s="61"/>
      <c r="OQ193" s="61"/>
      <c r="OR193" s="61"/>
      <c r="OS193" s="61"/>
      <c r="OT193" s="61"/>
      <c r="OU193" s="61"/>
      <c r="OV193" s="61"/>
      <c r="OW193" s="61"/>
      <c r="OX193" s="61"/>
      <c r="OY193" s="61"/>
      <c r="OZ193" s="61"/>
      <c r="PA193" s="61"/>
      <c r="PB193" s="61"/>
      <c r="PC193" s="61"/>
      <c r="PD193" s="61"/>
      <c r="PE193" s="61"/>
      <c r="PF193" s="61"/>
      <c r="PG193" s="61"/>
      <c r="PH193" s="61"/>
      <c r="PI193" s="61"/>
      <c r="PJ193" s="61"/>
      <c r="PK193" s="61"/>
      <c r="PL193" s="61"/>
      <c r="PM193" s="61"/>
      <c r="PN193" s="61"/>
      <c r="PO193" s="61"/>
      <c r="PP193" s="61"/>
      <c r="PQ193" s="61"/>
      <c r="PR193" s="61"/>
      <c r="PS193" s="61"/>
      <c r="PT193" s="61"/>
      <c r="PU193" s="61"/>
      <c r="PV193" s="61"/>
      <c r="PW193" s="61"/>
      <c r="PX193" s="61"/>
      <c r="PY193" s="61"/>
      <c r="PZ193" s="61"/>
      <c r="QA193" s="61"/>
      <c r="QB193" s="61"/>
      <c r="QC193" s="61"/>
      <c r="QD193" s="61"/>
      <c r="QE193" s="61"/>
      <c r="QF193" s="61"/>
      <c r="QG193" s="61"/>
      <c r="QH193" s="61"/>
      <c r="QI193" s="61"/>
      <c r="QJ193" s="61"/>
      <c r="QK193" s="61"/>
      <c r="QL193" s="61"/>
      <c r="QM193" s="61"/>
      <c r="QN193" s="61"/>
      <c r="QO193" s="61"/>
      <c r="QP193" s="61"/>
      <c r="QQ193" s="61"/>
      <c r="QR193" s="61"/>
      <c r="QS193" s="61"/>
      <c r="QT193" s="61"/>
      <c r="QU193" s="61"/>
      <c r="QV193" s="61"/>
      <c r="QW193" s="61"/>
      <c r="QX193" s="61"/>
      <c r="QY193" s="61"/>
      <c r="QZ193" s="61"/>
      <c r="RA193" s="61"/>
      <c r="RB193" s="61"/>
      <c r="RC193" s="61"/>
      <c r="RD193" s="17"/>
    </row>
    <row r="194" spans="1:472" s="5" customFormat="1" x14ac:dyDescent="0.25">
      <c r="B194" s="5" t="s">
        <v>1601</v>
      </c>
      <c r="C194" s="5" t="s">
        <v>4</v>
      </c>
      <c r="D194" s="5">
        <v>169</v>
      </c>
      <c r="E194" s="36"/>
      <c r="F194" s="64" t="s">
        <v>216</v>
      </c>
      <c r="G194" s="65"/>
      <c r="H194" s="19"/>
      <c r="I194" s="17"/>
      <c r="J194" s="17"/>
      <c r="K194" s="17"/>
      <c r="L194" s="17"/>
      <c r="M194" s="17"/>
      <c r="N194" s="17"/>
      <c r="O194" s="17"/>
      <c r="P194" s="17"/>
      <c r="Q194" s="17"/>
      <c r="R194" s="17"/>
      <c r="S194" s="17"/>
      <c r="T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c r="ED194" s="17"/>
      <c r="EE194" s="17"/>
      <c r="EF194" s="17"/>
      <c r="EG194" s="17"/>
      <c r="EH194" s="17"/>
      <c r="EI194" s="17"/>
      <c r="EJ194" s="17"/>
      <c r="EK194" s="17"/>
      <c r="EL194" s="17"/>
      <c r="EM194" s="17"/>
      <c r="EN194" s="17"/>
      <c r="EO194" s="17"/>
      <c r="EP194" s="17"/>
      <c r="EQ194" s="17"/>
      <c r="ER194" s="17"/>
      <c r="ES194" s="17"/>
      <c r="ET194" s="17"/>
      <c r="EU194" s="17"/>
      <c r="EV194" s="17"/>
      <c r="EW194" s="17"/>
      <c r="EX194" s="17"/>
      <c r="EY194" s="17"/>
      <c r="EZ194" s="17"/>
      <c r="FA194" s="17"/>
      <c r="FB194" s="17"/>
      <c r="FC194" s="17"/>
      <c r="FD194" s="17"/>
      <c r="FE194" s="17"/>
      <c r="FF194" s="61"/>
      <c r="FG194" s="61"/>
      <c r="FH194" s="61"/>
      <c r="FI194" s="61"/>
      <c r="FJ194" s="61"/>
      <c r="FK194" s="61"/>
      <c r="FL194" s="61"/>
      <c r="FM194" s="61"/>
      <c r="FN194" s="61"/>
      <c r="FO194" s="61"/>
      <c r="FP194" s="61"/>
      <c r="FQ194" s="61"/>
      <c r="FR194" s="61"/>
      <c r="FS194" s="61"/>
      <c r="FT194" s="61"/>
      <c r="FU194" s="61"/>
      <c r="FV194" s="61"/>
      <c r="FW194" s="61"/>
      <c r="FX194" s="61"/>
      <c r="FY194" s="61"/>
      <c r="FZ194" s="61"/>
      <c r="GA194" s="61"/>
      <c r="GB194" s="61"/>
      <c r="GC194" s="61"/>
      <c r="GD194" s="61"/>
      <c r="GE194" s="61"/>
      <c r="GF194" s="61"/>
      <c r="GG194" s="61"/>
      <c r="GH194" s="61"/>
      <c r="GI194" s="61"/>
      <c r="GJ194" s="61"/>
      <c r="GK194" s="61"/>
      <c r="GL194" s="61"/>
      <c r="GM194" s="61"/>
      <c r="GN194" s="61"/>
      <c r="GO194" s="61"/>
      <c r="GP194" s="61"/>
      <c r="GQ194" s="61"/>
      <c r="GR194" s="61"/>
      <c r="GS194" s="61"/>
      <c r="GT194" s="61"/>
      <c r="GU194" s="61"/>
      <c r="GV194" s="61"/>
      <c r="GW194" s="61"/>
      <c r="GX194" s="61"/>
      <c r="GY194" s="61"/>
      <c r="GZ194" s="61"/>
      <c r="HA194" s="61"/>
      <c r="HB194" s="61"/>
      <c r="HC194" s="61"/>
      <c r="HD194" s="61"/>
      <c r="HE194" s="61"/>
      <c r="HF194" s="61"/>
      <c r="HG194" s="61"/>
      <c r="HH194" s="61"/>
      <c r="HI194" s="61"/>
      <c r="HJ194" s="61"/>
      <c r="HK194" s="61"/>
      <c r="HL194" s="61"/>
      <c r="HM194" s="61"/>
      <c r="HN194" s="61"/>
      <c r="HO194" s="61"/>
      <c r="HP194" s="61"/>
      <c r="HQ194" s="61"/>
      <c r="HR194" s="61"/>
      <c r="HS194" s="61"/>
      <c r="HT194" s="61"/>
      <c r="HU194" s="61"/>
      <c r="HV194" s="61"/>
      <c r="HW194" s="61"/>
      <c r="HX194" s="61"/>
      <c r="HY194" s="61"/>
      <c r="HZ194" s="61"/>
      <c r="IA194" s="61"/>
      <c r="IB194" s="61"/>
      <c r="IC194" s="61"/>
      <c r="ID194" s="61"/>
      <c r="IE194" s="61"/>
      <c r="IF194" s="61"/>
      <c r="IG194" s="61"/>
      <c r="IH194" s="61"/>
      <c r="II194" s="61"/>
      <c r="IJ194" s="61"/>
      <c r="IK194" s="61"/>
      <c r="IL194" s="61"/>
      <c r="IM194" s="61"/>
      <c r="IN194" s="61"/>
      <c r="IO194" s="61"/>
      <c r="IP194" s="61"/>
      <c r="IQ194" s="61"/>
      <c r="IR194" s="61"/>
      <c r="IS194" s="61"/>
      <c r="IT194" s="61"/>
      <c r="IU194" s="61"/>
      <c r="IV194" s="61"/>
      <c r="IW194" s="61"/>
      <c r="IX194" s="61"/>
      <c r="IY194" s="61"/>
      <c r="IZ194" s="61"/>
      <c r="JA194" s="61"/>
      <c r="JB194" s="61"/>
      <c r="JC194" s="61"/>
      <c r="JD194" s="61"/>
      <c r="JE194" s="61"/>
      <c r="JF194" s="61"/>
      <c r="JG194" s="61"/>
      <c r="JH194" s="61"/>
      <c r="JI194" s="61"/>
      <c r="JJ194" s="61"/>
      <c r="JK194" s="61"/>
      <c r="JL194" s="61"/>
      <c r="JM194" s="61"/>
      <c r="JN194" s="61"/>
      <c r="JO194" s="61"/>
      <c r="JP194" s="61"/>
      <c r="JQ194" s="61"/>
      <c r="JR194" s="61"/>
      <c r="JS194" s="61"/>
      <c r="JT194" s="61"/>
      <c r="JU194" s="61"/>
      <c r="JV194" s="61"/>
      <c r="JW194" s="61"/>
      <c r="JX194" s="61"/>
      <c r="JY194" s="61"/>
      <c r="JZ194" s="61"/>
      <c r="KA194" s="61"/>
      <c r="KB194" s="61"/>
      <c r="KC194" s="61"/>
      <c r="KD194" s="61"/>
      <c r="KE194" s="61"/>
      <c r="KF194" s="61"/>
      <c r="KG194" s="61"/>
      <c r="KH194" s="61">
        <v>2</v>
      </c>
      <c r="KI194" s="61"/>
      <c r="KJ194" s="61">
        <v>3</v>
      </c>
      <c r="KK194" s="61"/>
      <c r="KL194" s="61">
        <v>5</v>
      </c>
      <c r="KM194" s="61"/>
      <c r="KN194" s="61">
        <v>8</v>
      </c>
      <c r="KO194" s="61"/>
      <c r="KP194" s="61">
        <v>10</v>
      </c>
      <c r="KQ194" s="61"/>
      <c r="KR194" s="61">
        <v>12</v>
      </c>
      <c r="KS194" s="61"/>
      <c r="KT194" s="61">
        <v>15</v>
      </c>
      <c r="KU194" s="61"/>
      <c r="KV194" s="61">
        <v>18</v>
      </c>
      <c r="KW194" s="61"/>
      <c r="KX194" s="61">
        <v>18</v>
      </c>
      <c r="KY194" s="61"/>
      <c r="KZ194" s="61">
        <v>15</v>
      </c>
      <c r="LA194" s="61"/>
      <c r="LB194" s="61">
        <v>15</v>
      </c>
      <c r="LC194" s="61"/>
      <c r="LD194" s="61">
        <v>13</v>
      </c>
      <c r="LE194" s="61"/>
      <c r="LF194" s="61">
        <v>12</v>
      </c>
      <c r="LG194" s="61"/>
      <c r="LH194" s="61">
        <v>10</v>
      </c>
      <c r="LI194" s="61"/>
      <c r="LJ194" s="61">
        <v>8</v>
      </c>
      <c r="LK194" s="61"/>
      <c r="LL194" s="61">
        <v>7</v>
      </c>
      <c r="LM194" s="61"/>
      <c r="LN194" s="61">
        <v>6</v>
      </c>
      <c r="LO194" s="61"/>
      <c r="LP194" s="61">
        <v>5</v>
      </c>
      <c r="LQ194" s="61"/>
      <c r="LR194" s="61">
        <v>4</v>
      </c>
      <c r="LS194" s="61"/>
      <c r="LT194" s="61">
        <v>3</v>
      </c>
      <c r="LU194" s="61"/>
      <c r="LV194" s="61">
        <v>2</v>
      </c>
      <c r="LW194" s="61"/>
      <c r="LX194" s="61">
        <v>1</v>
      </c>
      <c r="LY194" s="61"/>
      <c r="LZ194" s="61">
        <v>1</v>
      </c>
      <c r="MA194" s="61"/>
      <c r="MB194" s="61">
        <v>1</v>
      </c>
      <c r="MC194" s="61"/>
      <c r="MD194" s="61"/>
      <c r="ME194" s="61"/>
      <c r="MF194" s="61"/>
      <c r="MG194" s="61"/>
      <c r="MH194" s="61"/>
      <c r="MI194" s="61"/>
      <c r="MJ194" s="61"/>
      <c r="MK194" s="61"/>
      <c r="ML194" s="61"/>
      <c r="MM194" s="61"/>
      <c r="MN194" s="61"/>
      <c r="MO194" s="61"/>
      <c r="MP194" s="61"/>
      <c r="MQ194" s="61"/>
      <c r="MR194" s="61"/>
      <c r="MS194" s="61"/>
      <c r="MT194" s="61"/>
      <c r="MU194" s="61"/>
      <c r="MV194" s="61"/>
      <c r="MW194" s="61"/>
      <c r="MX194" s="61"/>
      <c r="MY194" s="61"/>
      <c r="MZ194" s="61"/>
      <c r="NA194" s="61"/>
      <c r="NB194" s="61"/>
      <c r="NC194" s="61"/>
      <c r="ND194" s="61"/>
      <c r="NE194" s="61"/>
      <c r="NF194" s="61"/>
      <c r="NG194" s="61"/>
      <c r="NH194" s="61"/>
      <c r="NI194" s="61"/>
      <c r="NJ194" s="61"/>
      <c r="NK194" s="61"/>
      <c r="NL194" s="61"/>
      <c r="NM194" s="61"/>
      <c r="NN194" s="61"/>
      <c r="NO194" s="61"/>
      <c r="NP194" s="61"/>
      <c r="NQ194" s="61"/>
      <c r="NR194" s="61"/>
      <c r="NS194" s="61"/>
      <c r="NT194" s="61"/>
      <c r="NU194" s="61"/>
      <c r="NV194" s="61"/>
      <c r="NW194" s="61"/>
      <c r="NX194" s="61"/>
      <c r="NY194" s="61"/>
      <c r="NZ194" s="61"/>
      <c r="OA194" s="61"/>
      <c r="OB194" s="61"/>
      <c r="OC194" s="61"/>
      <c r="OD194" s="61"/>
      <c r="OE194" s="61"/>
      <c r="OF194" s="61"/>
      <c r="OG194" s="61"/>
      <c r="OH194" s="61"/>
      <c r="OI194" s="61"/>
      <c r="OJ194" s="61"/>
      <c r="OK194" s="61"/>
      <c r="OL194" s="61"/>
      <c r="OM194" s="61"/>
      <c r="ON194" s="61"/>
      <c r="OO194" s="61"/>
      <c r="OP194" s="61"/>
      <c r="OQ194" s="61"/>
      <c r="OR194" s="61"/>
      <c r="OS194" s="61"/>
      <c r="OT194" s="61"/>
      <c r="OU194" s="61"/>
      <c r="OV194" s="61"/>
      <c r="OW194" s="61"/>
      <c r="OX194" s="61"/>
      <c r="OY194" s="61"/>
      <c r="OZ194" s="61"/>
      <c r="PA194" s="61"/>
      <c r="PB194" s="61"/>
      <c r="PC194" s="61"/>
      <c r="PD194" s="61"/>
      <c r="PE194" s="61"/>
      <c r="PF194" s="61"/>
      <c r="PG194" s="61"/>
      <c r="PH194" s="61"/>
      <c r="PI194" s="61"/>
      <c r="PJ194" s="61"/>
      <c r="PK194" s="61"/>
      <c r="PL194" s="61"/>
      <c r="PM194" s="61"/>
      <c r="PN194" s="61"/>
      <c r="PO194" s="61"/>
      <c r="PP194" s="61"/>
      <c r="PQ194" s="61"/>
      <c r="PR194" s="61"/>
      <c r="PS194" s="61"/>
      <c r="PT194" s="61"/>
      <c r="PU194" s="61"/>
      <c r="PV194" s="61"/>
      <c r="PW194" s="61"/>
      <c r="PX194" s="61"/>
      <c r="PY194" s="61"/>
      <c r="PZ194" s="61"/>
      <c r="QA194" s="61"/>
      <c r="QB194" s="61"/>
      <c r="QC194" s="61"/>
      <c r="QD194" s="61"/>
      <c r="QE194" s="61"/>
      <c r="QF194" s="61"/>
      <c r="QG194" s="61"/>
      <c r="QH194" s="61"/>
      <c r="QI194" s="61"/>
      <c r="QJ194" s="61"/>
      <c r="QK194" s="61"/>
      <c r="QL194" s="61"/>
      <c r="QM194" s="61"/>
      <c r="QN194" s="61"/>
      <c r="QO194" s="61"/>
      <c r="QP194" s="61"/>
      <c r="QQ194" s="61"/>
      <c r="QR194" s="61"/>
      <c r="QS194" s="61"/>
      <c r="QT194" s="61"/>
      <c r="QU194" s="61"/>
      <c r="QV194" s="61"/>
      <c r="QW194" s="61"/>
      <c r="QX194" s="61"/>
      <c r="QY194" s="61"/>
      <c r="QZ194" s="61"/>
      <c r="RA194" s="61"/>
      <c r="RB194" s="61"/>
      <c r="RC194" s="61"/>
      <c r="RD194" s="17"/>
    </row>
    <row r="195" spans="1:472" s="5" customFormat="1" x14ac:dyDescent="0.25">
      <c r="A195" s="5">
        <v>2108</v>
      </c>
      <c r="B195" s="5" t="s">
        <v>1388</v>
      </c>
      <c r="C195" s="5" t="s">
        <v>527</v>
      </c>
      <c r="D195" s="5">
        <v>263</v>
      </c>
      <c r="E195" s="36"/>
      <c r="F195" s="64" t="s">
        <v>867</v>
      </c>
      <c r="G195" s="65"/>
      <c r="H195" s="19"/>
      <c r="I195" s="17"/>
      <c r="J195" s="17"/>
      <c r="K195" s="17"/>
      <c r="L195" s="17"/>
      <c r="M195" s="17"/>
      <c r="N195" s="17"/>
      <c r="O195" s="17"/>
      <c r="P195" s="17"/>
      <c r="Q195" s="17"/>
      <c r="R195" s="17"/>
      <c r="S195" s="17"/>
      <c r="T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c r="EC195" s="17"/>
      <c r="ED195" s="17"/>
      <c r="EE195" s="17"/>
      <c r="EF195" s="17"/>
      <c r="EG195" s="17"/>
      <c r="EH195" s="17"/>
      <c r="EI195" s="17"/>
      <c r="EJ195" s="17"/>
      <c r="EK195" s="17"/>
      <c r="EL195" s="17"/>
      <c r="EM195" s="17"/>
      <c r="EN195" s="17"/>
      <c r="EO195" s="17"/>
      <c r="EP195" s="17"/>
      <c r="EQ195" s="17"/>
      <c r="ER195" s="17"/>
      <c r="ES195" s="17"/>
      <c r="ET195" s="17"/>
      <c r="EU195" s="17"/>
      <c r="EV195" s="17"/>
      <c r="EW195" s="17"/>
      <c r="EX195" s="17"/>
      <c r="EY195" s="17"/>
      <c r="EZ195" s="17"/>
      <c r="FA195" s="17"/>
      <c r="FB195" s="17"/>
      <c r="FC195" s="17"/>
      <c r="FD195" s="17"/>
      <c r="FE195" s="17"/>
      <c r="FF195" s="61"/>
      <c r="FG195" s="61"/>
      <c r="FH195" s="61"/>
      <c r="FI195" s="61"/>
      <c r="FJ195" s="61"/>
      <c r="FK195" s="61"/>
      <c r="FL195" s="61"/>
      <c r="FM195" s="61"/>
      <c r="FN195" s="61"/>
      <c r="FO195" s="61"/>
      <c r="FP195" s="61"/>
      <c r="FQ195" s="61"/>
      <c r="FR195" s="61"/>
      <c r="FS195" s="61"/>
      <c r="FT195" s="61"/>
      <c r="FU195" s="61"/>
      <c r="FV195" s="61"/>
      <c r="FW195" s="61"/>
      <c r="FX195" s="61"/>
      <c r="FY195" s="61"/>
      <c r="FZ195" s="61"/>
      <c r="GA195" s="61"/>
      <c r="GB195" s="61"/>
      <c r="GC195" s="61"/>
      <c r="GD195" s="61"/>
      <c r="GE195" s="61"/>
      <c r="GF195" s="61"/>
      <c r="GG195" s="61"/>
      <c r="GH195" s="61"/>
      <c r="GI195" s="61"/>
      <c r="GJ195" s="61"/>
      <c r="GK195" s="61"/>
      <c r="GL195" s="61"/>
      <c r="GM195" s="61"/>
      <c r="GN195" s="61"/>
      <c r="GO195" s="61"/>
      <c r="GP195" s="61"/>
      <c r="GQ195" s="61"/>
      <c r="GR195" s="61"/>
      <c r="GS195" s="61"/>
      <c r="GT195" s="61"/>
      <c r="GU195" s="61"/>
      <c r="GV195" s="61"/>
      <c r="GW195" s="61"/>
      <c r="GX195" s="61"/>
      <c r="GY195" s="61"/>
      <c r="GZ195" s="61"/>
      <c r="HA195" s="61"/>
      <c r="HB195" s="61"/>
      <c r="HC195" s="61"/>
      <c r="HD195" s="61"/>
      <c r="HE195" s="61"/>
      <c r="HF195" s="61"/>
      <c r="HG195" s="61"/>
      <c r="HH195" s="61"/>
      <c r="HI195" s="61"/>
      <c r="HJ195" s="61"/>
      <c r="HK195" s="61"/>
      <c r="HL195" s="61"/>
      <c r="HM195" s="61"/>
      <c r="HN195" s="61"/>
      <c r="HO195" s="61"/>
      <c r="HP195" s="61"/>
      <c r="HQ195" s="61"/>
      <c r="HR195" s="61"/>
      <c r="HS195" s="61"/>
      <c r="HT195" s="61"/>
      <c r="HU195" s="61"/>
      <c r="HV195" s="61"/>
      <c r="HW195" s="61"/>
      <c r="HX195" s="61"/>
      <c r="HY195" s="61"/>
      <c r="HZ195" s="61"/>
      <c r="IA195" s="61"/>
      <c r="IB195" s="61"/>
      <c r="IC195" s="61"/>
      <c r="ID195" s="61"/>
      <c r="IE195" s="61"/>
      <c r="IF195" s="61"/>
      <c r="IG195" s="61"/>
      <c r="IH195" s="61"/>
      <c r="II195" s="61"/>
      <c r="IJ195" s="61"/>
      <c r="IK195" s="61"/>
      <c r="IL195" s="61"/>
      <c r="IM195" s="61"/>
      <c r="IN195" s="61"/>
      <c r="IO195" s="61"/>
      <c r="IP195" s="61"/>
      <c r="IQ195" s="61"/>
      <c r="IR195" s="61"/>
      <c r="IS195" s="61"/>
      <c r="IT195" s="61"/>
      <c r="IU195" s="61"/>
      <c r="IV195" s="61"/>
      <c r="IW195" s="61"/>
      <c r="IX195" s="61"/>
      <c r="IY195" s="61"/>
      <c r="IZ195" s="61"/>
      <c r="JA195" s="61"/>
      <c r="JB195" s="61"/>
      <c r="JC195" s="61"/>
      <c r="JD195" s="61"/>
      <c r="JE195" s="61"/>
      <c r="JF195" s="61"/>
      <c r="JG195" s="61"/>
      <c r="JH195" s="61"/>
      <c r="JI195" s="61"/>
      <c r="JJ195" s="61"/>
      <c r="JK195" s="61"/>
      <c r="JL195" s="61"/>
      <c r="JM195" s="61"/>
      <c r="JN195" s="61"/>
      <c r="JO195" s="61"/>
      <c r="JP195" s="61"/>
      <c r="JQ195" s="61"/>
      <c r="JR195" s="61"/>
      <c r="JS195" s="61"/>
      <c r="JT195" s="61"/>
      <c r="JU195" s="61"/>
      <c r="JV195" s="61"/>
      <c r="JW195" s="61"/>
      <c r="JX195" s="61"/>
      <c r="JY195" s="61"/>
      <c r="JZ195" s="61"/>
      <c r="KA195" s="61"/>
      <c r="KB195" s="61"/>
      <c r="KC195" s="61"/>
      <c r="KD195" s="61"/>
      <c r="KE195" s="61"/>
      <c r="KF195" s="61"/>
      <c r="KG195" s="61"/>
      <c r="KH195" s="61"/>
      <c r="KI195" s="61"/>
      <c r="KJ195" s="61"/>
      <c r="KK195" s="61"/>
      <c r="KL195" s="61"/>
      <c r="KM195" s="61"/>
      <c r="KN195" s="61"/>
      <c r="KO195" s="61"/>
      <c r="KP195" s="61"/>
      <c r="KQ195" s="61"/>
      <c r="KR195" s="61"/>
      <c r="KS195" s="61"/>
      <c r="KT195" s="61"/>
      <c r="KU195" s="61"/>
      <c r="KV195" s="61"/>
      <c r="KW195" s="61"/>
      <c r="KX195" s="61"/>
      <c r="KY195" s="61"/>
      <c r="KZ195" s="61"/>
      <c r="LA195" s="61"/>
      <c r="LB195" s="61"/>
      <c r="LC195" s="61"/>
      <c r="LD195" s="61"/>
      <c r="LE195" s="61"/>
      <c r="LF195" s="61"/>
      <c r="LG195" s="61"/>
      <c r="LH195" s="61"/>
      <c r="LI195" s="61"/>
      <c r="LJ195" s="61"/>
      <c r="LK195" s="61"/>
      <c r="LL195" s="61"/>
      <c r="LM195" s="61"/>
      <c r="LN195" s="61"/>
      <c r="LO195" s="61"/>
      <c r="LP195" s="61"/>
      <c r="LQ195" s="61"/>
      <c r="LR195" s="61"/>
      <c r="LS195" s="61"/>
      <c r="LT195" s="61"/>
      <c r="LU195" s="61"/>
      <c r="LV195" s="61"/>
      <c r="LW195" s="61"/>
      <c r="LX195" s="61"/>
      <c r="LY195" s="61"/>
      <c r="LZ195" s="61"/>
      <c r="MA195" s="61"/>
      <c r="MB195" s="61"/>
      <c r="MC195" s="61"/>
      <c r="MD195" s="61"/>
      <c r="ME195" s="61"/>
      <c r="MF195" s="61"/>
      <c r="MG195" s="61"/>
      <c r="MH195" s="61"/>
      <c r="MI195" s="61"/>
      <c r="MJ195" s="61"/>
      <c r="MK195" s="61"/>
      <c r="ML195" s="61"/>
      <c r="MM195" s="61"/>
      <c r="MN195" s="61"/>
      <c r="MO195" s="61"/>
      <c r="MP195" s="61"/>
      <c r="MQ195" s="61"/>
      <c r="MR195" s="61"/>
      <c r="MS195" s="61"/>
      <c r="MT195" s="61"/>
      <c r="MU195" s="61"/>
      <c r="MV195" s="61"/>
      <c r="MW195" s="61"/>
      <c r="MX195" s="61"/>
      <c r="MY195" s="61"/>
      <c r="MZ195" s="61"/>
      <c r="NA195" s="61"/>
      <c r="NB195" s="61"/>
      <c r="NC195" s="61"/>
      <c r="ND195" s="61"/>
      <c r="NE195" s="61"/>
      <c r="NF195" s="61"/>
      <c r="NG195" s="61"/>
      <c r="NH195" s="61"/>
      <c r="NI195" s="61"/>
      <c r="NJ195" s="61"/>
      <c r="NK195" s="61"/>
      <c r="NL195" s="61"/>
      <c r="NM195" s="61"/>
      <c r="NN195" s="61"/>
      <c r="NO195" s="61"/>
      <c r="NP195" s="61"/>
      <c r="NQ195" s="61"/>
      <c r="NR195" s="61"/>
      <c r="NS195" s="61"/>
      <c r="NT195" s="61"/>
      <c r="NU195" s="61"/>
      <c r="NV195" s="61"/>
      <c r="NW195" s="61"/>
      <c r="NX195" s="61"/>
      <c r="NY195" s="61"/>
      <c r="NZ195" s="61"/>
      <c r="OA195" s="61"/>
      <c r="OB195" s="61"/>
      <c r="OC195" s="61"/>
      <c r="OD195" s="61"/>
      <c r="OE195" s="61"/>
      <c r="OF195" s="61"/>
      <c r="OG195" s="61"/>
      <c r="OH195" s="61"/>
      <c r="OI195" s="61"/>
      <c r="OJ195" s="61"/>
      <c r="OK195" s="61"/>
      <c r="OL195" s="61"/>
      <c r="OM195" s="61"/>
      <c r="ON195" s="61"/>
      <c r="OO195" s="61"/>
      <c r="OP195" s="61"/>
      <c r="OQ195" s="61"/>
      <c r="OR195" s="61"/>
      <c r="OS195" s="61"/>
      <c r="OT195" s="61"/>
      <c r="OU195" s="61"/>
      <c r="OV195" s="61"/>
      <c r="OW195" s="61"/>
      <c r="OX195" s="61"/>
      <c r="OY195" s="61"/>
      <c r="OZ195" s="61"/>
      <c r="PA195" s="61"/>
      <c r="PB195" s="61"/>
      <c r="PC195" s="61"/>
      <c r="PD195" s="61"/>
      <c r="PE195" s="61"/>
      <c r="PF195" s="61"/>
      <c r="PG195" s="61"/>
      <c r="PH195" s="61"/>
      <c r="PI195" s="61"/>
      <c r="PJ195" s="61"/>
      <c r="PK195" s="61"/>
      <c r="PL195" s="61"/>
      <c r="PM195" s="61"/>
      <c r="PN195" s="61"/>
      <c r="PO195" s="61"/>
      <c r="PP195" s="61"/>
      <c r="PQ195" s="61"/>
      <c r="PR195" s="61"/>
      <c r="PS195" s="61"/>
      <c r="PT195" s="61"/>
      <c r="PU195" s="61"/>
      <c r="PV195" s="61"/>
      <c r="PW195" s="61"/>
      <c r="PX195" s="61"/>
      <c r="PY195" s="61"/>
      <c r="PZ195" s="61"/>
      <c r="QA195" s="61"/>
      <c r="QB195" s="61"/>
      <c r="QC195" s="61"/>
      <c r="QD195" s="61"/>
      <c r="QE195" s="61"/>
      <c r="QF195" s="61"/>
      <c r="QG195" s="61"/>
      <c r="QH195" s="61"/>
      <c r="QI195" s="61"/>
      <c r="QJ195" s="61"/>
      <c r="QK195" s="61"/>
      <c r="QL195" s="61"/>
      <c r="QM195" s="61"/>
      <c r="QN195" s="61"/>
      <c r="QO195" s="61"/>
      <c r="QP195" s="61"/>
      <c r="QQ195" s="61"/>
      <c r="QR195" s="61"/>
      <c r="QS195" s="61"/>
      <c r="QT195" s="61"/>
      <c r="QU195" s="61"/>
      <c r="QV195" s="61"/>
      <c r="QW195" s="61"/>
      <c r="QX195" s="61"/>
      <c r="QY195" s="61"/>
      <c r="QZ195" s="61"/>
      <c r="RA195" s="61"/>
      <c r="RB195" s="61"/>
      <c r="RC195" s="61"/>
      <c r="RD195" s="17"/>
    </row>
    <row r="196" spans="1:472" x14ac:dyDescent="0.25">
      <c r="A196" s="20"/>
      <c r="B196" s="20" t="s">
        <v>217</v>
      </c>
      <c r="C196" s="20"/>
      <c r="D196" s="20"/>
      <c r="E196" s="20"/>
      <c r="F196" s="20"/>
      <c r="G196" s="20"/>
      <c r="H196" s="20"/>
      <c r="I196" s="4"/>
      <c r="J196" s="4"/>
      <c r="K196" s="4"/>
      <c r="L196" s="4"/>
      <c r="M196" s="4"/>
      <c r="N196" s="4"/>
      <c r="O196" s="4"/>
      <c r="P196" s="4"/>
      <c r="Q196" s="4"/>
      <c r="R196" s="4"/>
      <c r="S196" s="4"/>
      <c r="T196" s="4"/>
      <c r="X196" s="4"/>
      <c r="Y196" s="4"/>
      <c r="Z196" s="4"/>
      <c r="AA196" s="4"/>
      <c r="AB196" s="4"/>
      <c r="AC196" s="4"/>
      <c r="AD196" s="4"/>
      <c r="AE196" s="4"/>
      <c r="AF196" s="4"/>
      <c r="AG196" s="4"/>
      <c r="AH196" s="4"/>
      <c r="AI196" s="4"/>
      <c r="AJ196" s="4"/>
      <c r="AK196" s="4"/>
      <c r="AL196" s="4"/>
      <c r="AM196" s="4"/>
      <c r="AN196" s="4"/>
      <c r="AO196" s="4"/>
      <c r="AP196" s="4"/>
      <c r="AQ196" s="4"/>
      <c r="AR196" s="61" t="e">
        <f>SUM(AR111,AR112,AR113,AR114,#REF!,AR116,AR115,AR131,AR117,AR125,#REF!)</f>
        <v>#REF!</v>
      </c>
      <c r="AS196" s="61"/>
      <c r="AT196" s="61">
        <f>SUM(AT111:AU131)</f>
        <v>19</v>
      </c>
      <c r="AU196" s="61"/>
      <c r="AV196" s="61">
        <f>SUM(AV111:AW131)</f>
        <v>23</v>
      </c>
      <c r="AW196" s="61"/>
      <c r="AX196" s="61">
        <f>SUM(AX111:AY128)</f>
        <v>34</v>
      </c>
      <c r="AY196" s="61"/>
      <c r="AZ196" s="61">
        <f>SUM(AZ111:BA128)</f>
        <v>34</v>
      </c>
      <c r="BA196" s="61"/>
      <c r="BB196" s="61">
        <f>SUM(BB111:BC128)</f>
        <v>42</v>
      </c>
      <c r="BC196" s="61"/>
      <c r="BD196" s="61">
        <f>SUM(BD111:BE126)</f>
        <v>36</v>
      </c>
      <c r="BE196" s="61"/>
      <c r="BF196" s="61">
        <f>SUM(BF111:BG126)</f>
        <v>37</v>
      </c>
      <c r="BG196" s="61"/>
      <c r="BH196" s="61">
        <f>SUM(BH111:BI126)</f>
        <v>39</v>
      </c>
      <c r="BI196" s="61"/>
      <c r="BJ196" s="61">
        <f>SUM(BJ111:BK134)</f>
        <v>45</v>
      </c>
      <c r="BK196" s="61"/>
      <c r="BL196" s="61">
        <f>SUM(BL111:BM134)</f>
        <v>55</v>
      </c>
      <c r="BM196" s="61"/>
      <c r="BN196" s="61">
        <f>SUM(BN111:BO134)</f>
        <v>70</v>
      </c>
      <c r="BO196" s="61"/>
      <c r="BP196" s="61">
        <f>SUM(BP111:BQ134)</f>
        <v>79</v>
      </c>
      <c r="BQ196" s="61"/>
      <c r="BR196" s="61">
        <f>SUM(BR111:BS134)</f>
        <v>61</v>
      </c>
      <c r="BS196" s="61"/>
      <c r="BT196" s="61">
        <f>SUM(BT111:BU134)</f>
        <v>69</v>
      </c>
      <c r="BU196" s="61"/>
      <c r="BV196" s="61">
        <f>SUM(BV111:BW134)</f>
        <v>52</v>
      </c>
      <c r="BW196" s="61"/>
      <c r="BX196" s="61">
        <f>SUM(BX111:BY134)</f>
        <v>59</v>
      </c>
      <c r="BY196" s="61"/>
      <c r="BZ196" s="61">
        <f>SUM(BZ111:CA134)</f>
        <v>61</v>
      </c>
      <c r="CA196" s="61"/>
      <c r="CB196" s="61">
        <f>SUM(CB111:CC134)</f>
        <v>53</v>
      </c>
      <c r="CC196" s="61"/>
      <c r="CD196" s="61">
        <f>SUM(CD111:CE143)</f>
        <v>67</v>
      </c>
      <c r="CE196" s="61"/>
      <c r="CF196" s="61">
        <f>SUM(CF111:CG143)</f>
        <v>70</v>
      </c>
      <c r="CG196" s="61"/>
      <c r="CH196" s="61">
        <f>SUM(CH111:CI143)</f>
        <v>72</v>
      </c>
      <c r="CI196" s="61"/>
      <c r="CJ196" s="61">
        <f>SUM(CJ111:CK143)</f>
        <v>65</v>
      </c>
      <c r="CK196" s="61"/>
      <c r="CL196" s="61">
        <f>SUM(CL111:CM146)</f>
        <v>77</v>
      </c>
      <c r="CM196" s="61"/>
      <c r="CN196" s="61">
        <f>SUM(CN111:CO146)</f>
        <v>72</v>
      </c>
      <c r="CO196" s="61"/>
      <c r="CP196" s="61">
        <f>SUM(CP111:CQ146)</f>
        <v>79</v>
      </c>
      <c r="CQ196" s="61"/>
      <c r="CR196" s="61">
        <f>SUM(CR111:CS146)</f>
        <v>76</v>
      </c>
      <c r="CS196" s="61"/>
      <c r="CT196" s="61">
        <f>SUM(CT111:CU146)</f>
        <v>65</v>
      </c>
      <c r="CU196" s="61"/>
      <c r="CV196" s="61">
        <f>SUM(CV111:CW146)</f>
        <v>79</v>
      </c>
      <c r="CW196" s="61"/>
      <c r="CX196" s="61">
        <f>SUM(CX111:CY146)</f>
        <v>87</v>
      </c>
      <c r="CY196" s="61"/>
      <c r="CZ196" s="61">
        <f>SUM(CZ111:DA146)</f>
        <v>82</v>
      </c>
      <c r="DA196" s="61"/>
      <c r="DB196" s="61">
        <f>SUM(DB111:DC146)</f>
        <v>77</v>
      </c>
      <c r="DC196" s="61"/>
      <c r="DD196" s="61">
        <f>SUM(DD111:DE146)</f>
        <v>60</v>
      </c>
      <c r="DE196" s="61"/>
      <c r="DF196" s="61">
        <f>SUM(DF111:DG149)</f>
        <v>67</v>
      </c>
      <c r="DG196" s="61"/>
      <c r="DH196" s="61">
        <f>SUM(DH111:DI149)</f>
        <v>70</v>
      </c>
      <c r="DI196" s="61"/>
      <c r="DJ196" s="61">
        <f>SUM(DJ111:DK191)</f>
        <v>69</v>
      </c>
      <c r="DK196" s="61"/>
      <c r="DL196" s="61">
        <f>SUM(DL111:DM191)</f>
        <v>71</v>
      </c>
      <c r="DM196" s="61"/>
      <c r="DN196" s="61">
        <f>SUM(DN111:DO191)</f>
        <v>64</v>
      </c>
      <c r="DO196" s="61"/>
      <c r="DP196" s="61">
        <f>SUM(DP111:DQ191)</f>
        <v>69</v>
      </c>
      <c r="DQ196" s="61"/>
      <c r="DR196" s="61">
        <f>SUM(DR111:DS191)</f>
        <v>67</v>
      </c>
      <c r="DS196" s="61"/>
      <c r="DT196" s="61">
        <f>SUM(DT111:DU191)</f>
        <v>68</v>
      </c>
      <c r="DU196" s="61"/>
      <c r="DV196" s="61">
        <f>SUM(DV111:DW191)</f>
        <v>70</v>
      </c>
      <c r="DW196" s="61"/>
      <c r="DX196" s="61">
        <f>SUM(DX111:DY191)</f>
        <v>70</v>
      </c>
      <c r="DY196" s="61"/>
      <c r="DZ196" s="61">
        <f>SUM(DZ111:EA191)</f>
        <v>67</v>
      </c>
      <c r="EA196" s="61"/>
      <c r="EB196" s="61">
        <f>SUM(EB111:EC191)</f>
        <v>66</v>
      </c>
      <c r="EC196" s="61"/>
      <c r="ED196" s="61">
        <f>SUM(ED111:EE191)</f>
        <v>70</v>
      </c>
      <c r="EE196" s="61"/>
      <c r="EF196" s="61">
        <f>SUM(EF111:EG191)</f>
        <v>71</v>
      </c>
      <c r="EG196" s="61"/>
      <c r="EH196" s="61">
        <f>SUM(EH111:EI191)</f>
        <v>0</v>
      </c>
      <c r="EI196" s="61"/>
      <c r="EJ196" s="61">
        <f>SUM(EJ111:EK191)</f>
        <v>41</v>
      </c>
      <c r="EK196" s="61"/>
      <c r="EL196" s="61">
        <f>SUM(EL111:EM191)</f>
        <v>46</v>
      </c>
      <c r="EM196" s="61"/>
      <c r="EN196" s="61">
        <f>SUM(EN111:EO191)</f>
        <v>45</v>
      </c>
      <c r="EO196" s="61"/>
      <c r="EP196" s="61">
        <f>SUM(EP111:EQ191)</f>
        <v>41</v>
      </c>
      <c r="EQ196" s="61"/>
      <c r="ER196" s="61">
        <f>SUM(ER111:ES191)</f>
        <v>44</v>
      </c>
      <c r="ES196" s="61"/>
      <c r="ET196" s="61">
        <f>SUM(ET111:EU191)</f>
        <v>40</v>
      </c>
      <c r="EU196" s="61"/>
      <c r="EV196" s="61">
        <f>SUM(EV111:EW191)</f>
        <v>38</v>
      </c>
      <c r="EW196" s="61"/>
      <c r="EX196" s="61">
        <f>SUM(EX111:EY191)</f>
        <v>35</v>
      </c>
      <c r="EY196" s="61"/>
      <c r="EZ196" s="61">
        <f>SUM(EZ111:FA191)</f>
        <v>36</v>
      </c>
      <c r="FA196" s="61"/>
      <c r="FB196" s="61">
        <f>SUM(FB111:FC191)</f>
        <v>45</v>
      </c>
      <c r="FC196" s="61"/>
      <c r="FD196" s="61">
        <f>SUM(FD111:FE191)</f>
        <v>49</v>
      </c>
      <c r="FE196" s="61"/>
      <c r="FF196" s="61">
        <f>SUM(FF111:FG191)</f>
        <v>58</v>
      </c>
      <c r="FG196" s="61"/>
      <c r="FH196" s="61">
        <f>SUM(FH111:FI191)</f>
        <v>62</v>
      </c>
      <c r="FI196" s="61"/>
      <c r="FJ196" s="61">
        <f>SUM(FJ111:FK191)</f>
        <v>65</v>
      </c>
      <c r="FK196" s="61"/>
      <c r="FL196" s="61">
        <f>SUM(FL111:FM191)</f>
        <v>60</v>
      </c>
      <c r="FM196" s="61"/>
      <c r="FN196" s="61">
        <f>SUM(FN111:FO191)</f>
        <v>69</v>
      </c>
      <c r="FO196" s="61"/>
      <c r="FP196" s="61">
        <f>SUM(FP111:FQ191)</f>
        <v>78</v>
      </c>
      <c r="FQ196" s="61"/>
      <c r="FR196" s="61">
        <f>SUM(FR111:FS191)</f>
        <v>80</v>
      </c>
      <c r="FS196" s="61"/>
      <c r="FT196" s="61">
        <f>SUM(FT111:FU191)</f>
        <v>82</v>
      </c>
      <c r="FU196" s="61"/>
      <c r="FV196" s="61">
        <f>SUM(FV111:FW191)</f>
        <v>82</v>
      </c>
      <c r="FW196" s="61"/>
      <c r="FX196" s="61">
        <f>SUM(FX111:FY191)</f>
        <v>76</v>
      </c>
      <c r="FY196" s="61"/>
      <c r="FZ196" s="61">
        <f>SUM(FZ111:GA191)</f>
        <v>79</v>
      </c>
      <c r="GA196" s="61"/>
      <c r="GB196" s="61">
        <f>SUM(GB111:GC191)</f>
        <v>68</v>
      </c>
      <c r="GC196" s="61"/>
      <c r="GD196" s="61">
        <f>SUM(GD111:GE191)</f>
        <v>64</v>
      </c>
      <c r="GE196" s="61"/>
      <c r="GF196" s="61">
        <f>SUM(GF111:GG191)</f>
        <v>66</v>
      </c>
      <c r="GG196" s="61"/>
      <c r="GH196" s="61">
        <f>SUM(GH111:GI191)</f>
        <v>64</v>
      </c>
      <c r="GI196" s="61"/>
      <c r="GJ196" s="61">
        <f>SUM(GJ111:GK191)</f>
        <v>63</v>
      </c>
      <c r="GK196" s="61"/>
      <c r="GL196" s="61">
        <f>SUM(GL111:GM191)</f>
        <v>61</v>
      </c>
      <c r="GM196" s="61"/>
      <c r="GN196" s="61">
        <f>SUM(GN111:GO191)</f>
        <v>64</v>
      </c>
      <c r="GO196" s="61"/>
      <c r="GP196" s="61">
        <f>SUM(GP111:GQ191)</f>
        <v>73</v>
      </c>
      <c r="GQ196" s="61"/>
      <c r="GR196" s="61">
        <f>SUM(GR111:GS191)</f>
        <v>77</v>
      </c>
      <c r="GS196" s="61"/>
      <c r="GT196" s="61">
        <f>SUM(GT111:GU177)</f>
        <v>79</v>
      </c>
      <c r="GU196" s="61"/>
      <c r="GV196" s="61">
        <f>SUM(GV111:GW177)</f>
        <v>82</v>
      </c>
      <c r="GW196" s="61"/>
      <c r="GX196" s="61">
        <f>SUM(GX111:GY177)</f>
        <v>88</v>
      </c>
      <c r="GY196" s="61"/>
      <c r="GZ196" s="61">
        <f>SUM(GZ111:HA177)</f>
        <v>87</v>
      </c>
      <c r="HA196" s="61"/>
      <c r="HB196" s="61">
        <f>SUM(HB111:HC177)</f>
        <v>82</v>
      </c>
      <c r="HC196" s="61"/>
      <c r="HD196" s="61">
        <f>SUM(HD111:HE177)</f>
        <v>76</v>
      </c>
      <c r="HE196" s="61"/>
      <c r="HF196" s="61">
        <f>SUM(HF111:HG177)</f>
        <v>83</v>
      </c>
      <c r="HG196" s="61"/>
      <c r="HH196" s="61">
        <f>SUM(HH111:HI177)</f>
        <v>90</v>
      </c>
      <c r="HI196" s="61"/>
      <c r="HJ196" s="61">
        <f>SUM(HJ111:HK181)</f>
        <v>106</v>
      </c>
      <c r="HK196" s="61"/>
      <c r="HL196" s="61">
        <f>SUM(HL111:HM181)</f>
        <v>104</v>
      </c>
      <c r="HM196" s="61"/>
      <c r="HN196" s="61">
        <f>SUM(HN111:HO181)</f>
        <v>108</v>
      </c>
      <c r="HO196" s="61"/>
      <c r="HP196" s="61">
        <f>SUM(HP111:HQ191)</f>
        <v>106</v>
      </c>
      <c r="HQ196" s="61"/>
      <c r="HR196" s="61">
        <f>SUM(HR111:HS191)</f>
        <v>107</v>
      </c>
      <c r="HS196" s="61"/>
      <c r="HT196" s="61">
        <f>SUM(HT111:HU191)</f>
        <v>105</v>
      </c>
      <c r="HU196" s="61"/>
      <c r="HV196" s="61">
        <f>SUM(HV111:HW191)</f>
        <v>104</v>
      </c>
      <c r="HW196" s="61"/>
      <c r="HX196" s="61">
        <f>SUM(HX111:HY191)</f>
        <v>100</v>
      </c>
      <c r="HY196" s="61"/>
      <c r="HZ196" s="61">
        <f>SUM(HZ111:IA191)</f>
        <v>90</v>
      </c>
      <c r="IA196" s="61"/>
      <c r="IB196" s="61">
        <f>SUM(IB111:IC191)</f>
        <v>96</v>
      </c>
      <c r="IC196" s="61"/>
      <c r="ID196" s="61">
        <f>SUM(ID111:IE191)</f>
        <v>86</v>
      </c>
      <c r="IE196" s="61"/>
      <c r="IF196" s="61">
        <f>SUM(IF111:IG191)</f>
        <v>58</v>
      </c>
      <c r="IG196" s="61"/>
      <c r="IH196" s="61">
        <f>SUM(IH111:II191)</f>
        <v>59</v>
      </c>
      <c r="II196" s="61"/>
      <c r="IJ196" s="61">
        <f>SUM(IJ111:IK191)</f>
        <v>59</v>
      </c>
      <c r="IK196" s="61"/>
      <c r="IL196" s="61">
        <f>SUM(IL111:IM191)</f>
        <v>58</v>
      </c>
      <c r="IM196" s="61"/>
      <c r="IN196" s="61">
        <f>SUM(IN111:IO191)</f>
        <v>65</v>
      </c>
      <c r="IO196" s="61"/>
      <c r="IP196" s="61">
        <f>SUM(IP111:IQ191)</f>
        <v>61</v>
      </c>
      <c r="IQ196" s="61"/>
      <c r="IR196" s="61">
        <f>SUM(IR111:IS191)</f>
        <v>55</v>
      </c>
      <c r="IS196" s="61"/>
      <c r="IT196" s="61">
        <f>SUM(IT111:IU191)</f>
        <v>51</v>
      </c>
      <c r="IU196" s="61"/>
      <c r="IV196" s="61">
        <f>SUM(IV111:IW191)</f>
        <v>56</v>
      </c>
      <c r="IW196" s="61"/>
      <c r="IX196" s="61">
        <f>SUM(IX111:IY191)</f>
        <v>56</v>
      </c>
      <c r="IY196" s="61"/>
      <c r="IZ196" s="61">
        <f>SUM(IZ111:JA191)</f>
        <v>52</v>
      </c>
      <c r="JA196" s="61"/>
      <c r="JB196" s="61">
        <f>SUM(JB111:JC191)</f>
        <v>52</v>
      </c>
      <c r="JC196" s="61"/>
      <c r="JD196" s="61">
        <f>SUM(JD111:JE191)</f>
        <v>55</v>
      </c>
      <c r="JE196" s="61"/>
      <c r="JF196" s="61">
        <f>SUM(JF111:JG191)</f>
        <v>53</v>
      </c>
      <c r="JG196" s="61"/>
      <c r="JH196" s="61">
        <f>SUM(JH111:JI191)</f>
        <v>52</v>
      </c>
      <c r="JI196" s="61"/>
      <c r="JJ196" s="61">
        <f>SUM(JJ111:JK195)</f>
        <v>52</v>
      </c>
      <c r="JK196" s="61"/>
      <c r="JL196" s="61">
        <f>SUM(JL111:JM195)</f>
        <v>51</v>
      </c>
      <c r="JM196" s="61"/>
      <c r="JN196" s="61">
        <f>SUM(JN111:JO195)</f>
        <v>55</v>
      </c>
      <c r="JO196" s="61"/>
      <c r="JP196" s="61">
        <f>SUM(JP111:JQ195)</f>
        <v>55</v>
      </c>
      <c r="JQ196" s="61"/>
      <c r="JR196" s="61">
        <f>SUM(JR111:JS195)</f>
        <v>52</v>
      </c>
      <c r="JS196" s="61"/>
      <c r="JT196" s="61">
        <f>SUM(JT111:JU195)</f>
        <v>51</v>
      </c>
      <c r="JU196" s="61"/>
      <c r="JV196" s="61">
        <f>SUM(JV111:JW195)</f>
        <v>50</v>
      </c>
      <c r="JW196" s="61"/>
      <c r="JX196" s="61">
        <f>SUM(JX111:JY195)</f>
        <v>48</v>
      </c>
      <c r="JY196" s="61"/>
      <c r="JZ196" s="61">
        <f>SUM(JZ111:KA195)</f>
        <v>46</v>
      </c>
      <c r="KA196" s="61"/>
      <c r="KB196" s="61">
        <f>SUM(KB111:KC195)</f>
        <v>45</v>
      </c>
      <c r="KC196" s="61"/>
      <c r="KD196" s="61">
        <f>SUM(KD111:KE195)</f>
        <v>51</v>
      </c>
      <c r="KE196" s="61"/>
      <c r="KF196" s="61">
        <f>SUM(KF111:KG195)</f>
        <v>62</v>
      </c>
      <c r="KG196" s="61"/>
      <c r="KH196" s="61">
        <f>SUM(KH111:KI195)</f>
        <v>75</v>
      </c>
      <c r="KI196" s="61"/>
      <c r="KJ196" s="61">
        <f>SUM(KJ111:KK195)</f>
        <v>86</v>
      </c>
      <c r="KK196" s="61"/>
      <c r="KL196" s="61">
        <f>SUM(KL111:KM195)</f>
        <v>102</v>
      </c>
      <c r="KM196" s="61"/>
      <c r="KN196" s="61">
        <f>SUM(KN111:KO195)</f>
        <v>110</v>
      </c>
      <c r="KO196" s="61"/>
      <c r="KP196" s="61">
        <f>SUM(KP111:KQ195)</f>
        <v>115</v>
      </c>
      <c r="KQ196" s="61"/>
      <c r="KR196" s="61">
        <f>SUM(KR111:KS195)</f>
        <v>120</v>
      </c>
      <c r="KS196" s="61"/>
      <c r="KT196" s="61">
        <f>SUM(KT111:KU195)</f>
        <v>124</v>
      </c>
      <c r="KU196" s="61"/>
      <c r="KV196" s="61">
        <f>SUM(KV111:KW195)</f>
        <v>125</v>
      </c>
      <c r="KW196" s="61"/>
      <c r="KX196" s="61">
        <f>SUM(KX111:KY195)</f>
        <v>114</v>
      </c>
      <c r="KY196" s="61"/>
      <c r="KZ196" s="61">
        <f>SUM(KZ111:LA195)</f>
        <v>103</v>
      </c>
      <c r="LA196" s="61"/>
      <c r="LB196" s="61">
        <f>SUM(LB111:LC195)</f>
        <v>91</v>
      </c>
      <c r="LC196" s="61"/>
      <c r="LD196" s="61">
        <f>SUM(LD111:LE195)</f>
        <v>80</v>
      </c>
      <c r="LE196" s="61"/>
      <c r="LF196" s="61">
        <f>SUM(LF111:LG195)</f>
        <v>67</v>
      </c>
      <c r="LG196" s="61"/>
      <c r="LH196" s="61">
        <f>SUM(LH111:LI195)</f>
        <v>53</v>
      </c>
      <c r="LI196" s="61"/>
      <c r="LJ196" s="61">
        <f>SUM(LJ111:LK195)</f>
        <v>43</v>
      </c>
      <c r="LK196" s="61"/>
      <c r="LL196" s="61">
        <f>SUM(LL111:LM195)</f>
        <v>35</v>
      </c>
      <c r="LM196" s="61"/>
      <c r="LN196" s="61">
        <f>SUM(LN111:LO195)</f>
        <v>28</v>
      </c>
      <c r="LO196" s="61"/>
      <c r="LP196" s="61">
        <f>SUM(LP111:LQ195)</f>
        <v>22</v>
      </c>
      <c r="LQ196" s="61"/>
      <c r="LR196" s="61">
        <f>SUM(LR111:LS195)</f>
        <v>16</v>
      </c>
      <c r="LS196" s="61"/>
      <c r="LT196" s="61">
        <f>SUM(LT111:LU195)</f>
        <v>11</v>
      </c>
      <c r="LU196" s="61"/>
      <c r="LV196" s="61">
        <f>SUM(LV111:LW195)</f>
        <v>7</v>
      </c>
      <c r="LW196" s="61"/>
      <c r="LX196" s="61">
        <f>SUM(LX111:LY195)</f>
        <v>4</v>
      </c>
      <c r="LY196" s="61"/>
      <c r="LZ196" s="61">
        <f>SUM(LZ111:MA195)</f>
        <v>3</v>
      </c>
      <c r="MA196" s="61"/>
      <c r="MB196" s="61">
        <f>SUM(MB111:MC195)</f>
        <v>1</v>
      </c>
      <c r="MC196" s="61"/>
      <c r="MD196" s="61">
        <f>SUM(MD111:ME195)</f>
        <v>0</v>
      </c>
      <c r="ME196" s="61"/>
      <c r="MF196" s="61">
        <f>SUM(MF111:MG195)</f>
        <v>0</v>
      </c>
      <c r="MG196" s="61"/>
      <c r="MH196" s="61">
        <f>SUM(MH111:MI195)</f>
        <v>0</v>
      </c>
      <c r="MI196" s="61"/>
      <c r="MJ196" s="61">
        <f>SUM(MJ111:MK195)</f>
        <v>0</v>
      </c>
      <c r="MK196" s="61"/>
      <c r="ML196" s="61">
        <f>SUM(ML111:MM195)</f>
        <v>0</v>
      </c>
      <c r="MM196" s="61"/>
      <c r="MN196" s="61">
        <f>SUM(MN111:MO195)</f>
        <v>0</v>
      </c>
      <c r="MO196" s="61"/>
      <c r="MP196" s="61">
        <f>SUM(MP111:MQ195)</f>
        <v>0</v>
      </c>
      <c r="MQ196" s="61"/>
      <c r="MR196" s="61">
        <f>SUM(MR111:MS195)</f>
        <v>0</v>
      </c>
      <c r="MS196" s="61"/>
      <c r="MT196" s="61">
        <f>SUM(MT111:MU195)</f>
        <v>0</v>
      </c>
      <c r="MU196" s="61"/>
      <c r="MV196" s="61">
        <f>SUM(MV111:MW195)</f>
        <v>0</v>
      </c>
      <c r="MW196" s="61"/>
      <c r="MX196" s="61">
        <f>SUM(MX111:MY191)</f>
        <v>0</v>
      </c>
      <c r="MY196" s="61"/>
      <c r="MZ196" s="61"/>
      <c r="NA196" s="61"/>
      <c r="NB196" s="61"/>
      <c r="NC196" s="61"/>
      <c r="ND196" s="61"/>
      <c r="NE196" s="61"/>
      <c r="NF196" s="61"/>
      <c r="NG196" s="61"/>
      <c r="NH196" s="61"/>
      <c r="NI196" s="61"/>
      <c r="NJ196" s="61"/>
      <c r="NK196" s="61"/>
      <c r="NL196" s="61"/>
      <c r="NM196" s="61"/>
      <c r="NN196" s="61"/>
      <c r="NO196" s="61"/>
      <c r="NP196" s="61"/>
      <c r="NQ196" s="61"/>
      <c r="NR196" s="61"/>
      <c r="NS196" s="61"/>
      <c r="NT196" s="61"/>
      <c r="NU196" s="61"/>
      <c r="NV196" s="61"/>
      <c r="NW196" s="61"/>
      <c r="NX196" s="61"/>
      <c r="NY196" s="61"/>
      <c r="NZ196" s="61"/>
      <c r="OA196" s="61"/>
      <c r="OB196" s="61"/>
      <c r="OC196" s="61"/>
      <c r="OD196" s="61"/>
      <c r="OE196" s="61"/>
      <c r="OF196" s="61"/>
      <c r="OG196" s="61"/>
      <c r="OH196" s="61"/>
      <c r="OI196" s="61"/>
      <c r="OJ196" s="61"/>
      <c r="OK196" s="61"/>
      <c r="OL196" s="61"/>
      <c r="OM196" s="61"/>
      <c r="ON196" s="61"/>
      <c r="OO196" s="61"/>
      <c r="OP196" s="61"/>
      <c r="OQ196" s="61"/>
      <c r="OR196" s="61"/>
      <c r="OS196" s="61"/>
      <c r="OT196" s="61"/>
      <c r="OU196" s="61"/>
      <c r="OV196" s="61"/>
      <c r="OW196" s="61"/>
      <c r="OX196" s="61"/>
      <c r="OY196" s="61"/>
      <c r="OZ196" s="61"/>
      <c r="PA196" s="61"/>
      <c r="PB196" s="61"/>
      <c r="PC196" s="61"/>
      <c r="PD196" s="61"/>
      <c r="PE196" s="61"/>
      <c r="PF196" s="61"/>
      <c r="PG196" s="61"/>
      <c r="PH196" s="61"/>
      <c r="PI196" s="61"/>
      <c r="PJ196" s="61"/>
      <c r="PK196" s="61"/>
      <c r="PL196" s="61"/>
      <c r="PM196" s="61"/>
      <c r="PN196" s="61"/>
      <c r="PO196" s="61"/>
      <c r="PP196" s="61"/>
      <c r="PQ196" s="61"/>
      <c r="PR196" s="61"/>
      <c r="PS196" s="61"/>
      <c r="PT196" s="61"/>
      <c r="PU196" s="61"/>
      <c r="PV196" s="61"/>
      <c r="PW196" s="61"/>
      <c r="PX196" s="61"/>
      <c r="PY196" s="61"/>
      <c r="PZ196" s="61"/>
      <c r="QA196" s="61"/>
      <c r="QB196" s="61"/>
      <c r="QC196" s="61"/>
      <c r="QD196" s="61"/>
      <c r="QE196" s="61"/>
      <c r="QF196" s="61"/>
      <c r="QG196" s="61"/>
      <c r="QH196" s="61"/>
      <c r="QI196" s="61"/>
      <c r="QJ196" s="61"/>
      <c r="QK196" s="61"/>
      <c r="QL196" s="61"/>
      <c r="QM196" s="61"/>
      <c r="QN196" s="61"/>
      <c r="QO196" s="61"/>
      <c r="QP196" s="61"/>
      <c r="QQ196" s="61"/>
      <c r="QR196" s="61"/>
      <c r="QS196" s="61"/>
      <c r="QT196" s="61"/>
      <c r="QU196" s="61"/>
      <c r="QV196" s="61"/>
      <c r="QW196" s="61"/>
      <c r="QX196" s="61"/>
      <c r="QY196" s="61"/>
      <c r="QZ196" s="61"/>
      <c r="RA196" s="61"/>
      <c r="RB196" s="61"/>
      <c r="RC196" s="61"/>
      <c r="RD196" s="17"/>
    </row>
    <row r="198" spans="1:472" ht="18.75" x14ac:dyDescent="0.3">
      <c r="A198" s="70" t="s">
        <v>398</v>
      </c>
      <c r="B198" s="70"/>
      <c r="C198" s="70"/>
      <c r="D198" s="70"/>
      <c r="E198" s="70"/>
      <c r="F198" s="70"/>
    </row>
    <row r="199" spans="1:472" ht="30" x14ac:dyDescent="0.25">
      <c r="A199" s="8" t="s">
        <v>371</v>
      </c>
      <c r="B199" s="8" t="s">
        <v>32</v>
      </c>
      <c r="C199" s="8" t="s">
        <v>0</v>
      </c>
      <c r="D199" s="8" t="s">
        <v>30</v>
      </c>
      <c r="E199" s="15" t="s">
        <v>255</v>
      </c>
      <c r="F199" s="8" t="s">
        <v>224</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row>
    <row r="200" spans="1:472" x14ac:dyDescent="0.25">
      <c r="A200" s="5" t="s">
        <v>272</v>
      </c>
      <c r="B200" s="5" t="s">
        <v>1055</v>
      </c>
      <c r="C200" s="5" t="s">
        <v>1558</v>
      </c>
      <c r="D200" s="5">
        <v>274</v>
      </c>
      <c r="E200" s="5"/>
      <c r="F200" s="5" t="s">
        <v>1563</v>
      </c>
      <c r="I200" s="4"/>
      <c r="J200" s="4"/>
      <c r="K200" s="4"/>
      <c r="L200" s="4"/>
      <c r="M200" s="4"/>
      <c r="N200" s="4"/>
      <c r="O200" s="4"/>
      <c r="P200" s="4"/>
      <c r="Q200" s="4"/>
      <c r="R200" s="4"/>
      <c r="S200" s="4"/>
      <c r="T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c r="JT200" s="4"/>
      <c r="JU200" s="4"/>
      <c r="JV200" s="4"/>
      <c r="JW200" s="4"/>
      <c r="JX200" s="4"/>
      <c r="JY200" s="4"/>
      <c r="JZ200" s="4"/>
      <c r="KA200" s="4"/>
      <c r="KB200" s="4"/>
      <c r="KC200" s="4"/>
      <c r="KD200" s="4"/>
      <c r="KE200" s="4"/>
      <c r="KF200" s="4"/>
      <c r="KG200" s="4"/>
      <c r="KH200" s="4"/>
      <c r="KI200" s="4"/>
      <c r="KJ200" s="4"/>
      <c r="KK200" s="4"/>
      <c r="KL200" s="4"/>
      <c r="KM200" s="4"/>
      <c r="KN200" s="4"/>
      <c r="KO200" s="4"/>
      <c r="KP200" s="4"/>
      <c r="KQ200" s="4"/>
      <c r="KR200" s="4"/>
      <c r="KS200" s="4"/>
      <c r="KT200" s="4"/>
      <c r="KU200" s="4"/>
      <c r="KV200" s="4"/>
      <c r="KW200" s="4"/>
      <c r="KX200" s="4"/>
      <c r="KY200" s="4"/>
      <c r="KZ200" s="4"/>
      <c r="LA200" s="4"/>
      <c r="LB200" s="4"/>
      <c r="LC200" s="4"/>
      <c r="LD200" s="4"/>
      <c r="LE200" s="4"/>
      <c r="LF200" s="4"/>
      <c r="LG200" s="4"/>
      <c r="LH200" s="4"/>
      <c r="LI200" s="4"/>
      <c r="LJ200" s="4"/>
      <c r="LK200" s="4"/>
      <c r="LL200" s="4"/>
      <c r="LM200" s="4"/>
      <c r="LN200" s="4"/>
      <c r="LO200" s="4"/>
      <c r="LP200" s="4"/>
      <c r="LQ200" s="4"/>
      <c r="LR200" s="4"/>
      <c r="LS200" s="4"/>
      <c r="LT200" s="4"/>
      <c r="LU200" s="4"/>
      <c r="LV200" s="4"/>
      <c r="LW200" s="4"/>
      <c r="LX200" s="4"/>
      <c r="LY200" s="4"/>
      <c r="LZ200" s="4"/>
      <c r="MA200" s="4"/>
      <c r="MB200" s="4"/>
      <c r="MC200" s="4"/>
      <c r="MD200" s="4"/>
      <c r="ME200" s="4"/>
      <c r="MF200" s="4"/>
      <c r="MG200" s="4"/>
      <c r="MH200" s="4"/>
      <c r="MI200" s="4"/>
      <c r="MJ200" s="4"/>
      <c r="MK200" s="4"/>
      <c r="ML200" s="4"/>
      <c r="MM200" s="4"/>
      <c r="MN200" s="4"/>
      <c r="MO200" s="4"/>
      <c r="MP200" s="4"/>
      <c r="MQ200" s="4"/>
      <c r="MR200" s="4"/>
      <c r="MS200" s="4"/>
      <c r="MT200" s="4"/>
      <c r="MU200" s="4"/>
      <c r="MV200" s="4"/>
      <c r="MW200" s="4"/>
      <c r="MX200" s="4"/>
      <c r="MY200" s="4"/>
      <c r="MZ200" s="4"/>
      <c r="NA200" s="4"/>
      <c r="NB200" s="4"/>
      <c r="NC200" s="4"/>
      <c r="ND200" s="4"/>
      <c r="NE200" s="4"/>
      <c r="NF200" s="4"/>
      <c r="NG200" s="4"/>
      <c r="NH200" s="4"/>
      <c r="NI200" s="4"/>
      <c r="NJ200" s="4"/>
      <c r="NK200" s="4"/>
      <c r="NL200" s="4"/>
      <c r="NM200" s="4"/>
      <c r="NN200" s="4"/>
      <c r="NO200" s="4"/>
      <c r="NP200" s="4"/>
      <c r="NQ200" s="4"/>
      <c r="NR200" s="4"/>
      <c r="NS200" s="4"/>
      <c r="NT200" s="4"/>
      <c r="NU200" s="4"/>
      <c r="NV200" s="4"/>
      <c r="NW200" s="4"/>
      <c r="NX200" s="4"/>
      <c r="NY200" s="4"/>
      <c r="NZ200" s="4"/>
      <c r="OA200" s="4"/>
      <c r="OB200" s="4"/>
      <c r="OC200" s="4"/>
      <c r="OD200" s="4"/>
      <c r="OE200" s="4"/>
      <c r="OF200" s="4"/>
      <c r="OG200" s="4"/>
      <c r="OH200" s="4"/>
      <c r="OI200" s="4"/>
      <c r="OJ200" s="4"/>
      <c r="OK200" s="4"/>
      <c r="OL200" s="4"/>
      <c r="OM200" s="4"/>
      <c r="ON200" s="4"/>
      <c r="OO200" s="4"/>
      <c r="OP200" s="4"/>
      <c r="OQ200" s="4"/>
      <c r="OR200" s="4"/>
      <c r="OS200" s="4"/>
      <c r="OT200" s="4"/>
      <c r="OU200" s="4"/>
      <c r="OV200" s="4"/>
      <c r="OW200" s="4"/>
      <c r="OX200" s="4"/>
      <c r="OY200" s="4"/>
      <c r="OZ200" s="4"/>
      <c r="PA200" s="4"/>
      <c r="PB200" s="4"/>
      <c r="PC200" s="4"/>
      <c r="PD200" s="4"/>
      <c r="PE200" s="4"/>
      <c r="PF200" s="4"/>
      <c r="PG200" s="4"/>
      <c r="PH200" s="4"/>
      <c r="PI200" s="4"/>
      <c r="PJ200" s="4"/>
      <c r="PK200" s="4"/>
      <c r="PL200" s="4"/>
      <c r="PM200" s="4"/>
      <c r="PN200" s="4"/>
      <c r="PO200" s="4"/>
      <c r="PP200" s="4"/>
      <c r="PQ200" s="4"/>
      <c r="PR200" s="4"/>
      <c r="PS200" s="4"/>
      <c r="PT200" s="4"/>
      <c r="PU200" s="4"/>
      <c r="PV200" s="4"/>
      <c r="PW200" s="4"/>
      <c r="PX200" s="4"/>
      <c r="PY200" s="4"/>
      <c r="PZ200" s="4"/>
      <c r="QA200" s="4"/>
      <c r="QB200" s="4"/>
      <c r="QC200" s="4"/>
      <c r="QD200" s="4"/>
      <c r="QE200" s="4"/>
      <c r="QF200" s="4"/>
      <c r="QG200" s="4"/>
      <c r="QH200" s="4"/>
      <c r="QI200" s="4"/>
      <c r="QJ200" s="4"/>
      <c r="QK200" s="4"/>
      <c r="QL200" s="4"/>
      <c r="QM200" s="4"/>
      <c r="QN200" s="4"/>
      <c r="QO200" s="4"/>
      <c r="QP200" s="4"/>
      <c r="QQ200" s="4"/>
      <c r="QR200" s="4"/>
      <c r="QS200" s="4"/>
      <c r="QT200" s="4"/>
      <c r="QU200" s="4"/>
      <c r="QV200" s="4"/>
      <c r="QW200" s="4"/>
      <c r="QX200" s="4"/>
      <c r="QY200" s="4"/>
      <c r="QZ200" s="4"/>
      <c r="RA200" s="4"/>
      <c r="RB200" s="4"/>
      <c r="RC200" s="4"/>
      <c r="RD200" s="4"/>
    </row>
    <row r="201" spans="1:472" x14ac:dyDescent="0.25">
      <c r="A201" s="5" t="s">
        <v>71</v>
      </c>
      <c r="B201" s="5" t="s">
        <v>1009</v>
      </c>
      <c r="C201" s="5" t="s">
        <v>527</v>
      </c>
      <c r="D201" s="5">
        <v>204</v>
      </c>
      <c r="E201" s="36"/>
      <c r="F201" s="5" t="s">
        <v>1571</v>
      </c>
      <c r="I201" s="4"/>
      <c r="J201" s="4"/>
      <c r="K201" s="4"/>
      <c r="L201" s="4"/>
      <c r="M201" s="4"/>
      <c r="N201" s="4"/>
      <c r="O201" s="4"/>
      <c r="P201" s="4"/>
      <c r="Q201" s="4"/>
      <c r="R201" s="4"/>
      <c r="S201" s="4"/>
      <c r="T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c r="JC201" s="4"/>
      <c r="JD201" s="4"/>
      <c r="JE201" s="4"/>
      <c r="JF201" s="4"/>
      <c r="JG201" s="4"/>
      <c r="JH201" s="4"/>
      <c r="JI201" s="4"/>
      <c r="JJ201" s="4"/>
      <c r="JK201" s="4"/>
      <c r="JL201" s="4"/>
      <c r="JM201" s="4"/>
      <c r="JN201" s="4"/>
      <c r="JO201" s="4"/>
      <c r="JP201" s="4"/>
      <c r="JQ201" s="4"/>
      <c r="JR201" s="4"/>
      <c r="JS201" s="4"/>
      <c r="JT201" s="4"/>
      <c r="JU201" s="4"/>
      <c r="JV201" s="4"/>
      <c r="JW201" s="4"/>
      <c r="JX201" s="4"/>
      <c r="JY201" s="4"/>
      <c r="JZ201" s="4"/>
      <c r="KA201" s="4"/>
      <c r="KB201" s="4"/>
      <c r="KC201" s="4"/>
      <c r="KD201" s="4"/>
      <c r="KE201" s="4"/>
      <c r="KF201" s="4"/>
      <c r="KG201" s="4"/>
      <c r="KH201" s="4"/>
      <c r="KI201" s="4"/>
      <c r="KJ201" s="4"/>
      <c r="KK201" s="4"/>
      <c r="KL201" s="4"/>
      <c r="KM201" s="4"/>
      <c r="KN201" s="4"/>
      <c r="KO201" s="4"/>
      <c r="KP201" s="4"/>
      <c r="KQ201" s="4"/>
      <c r="KR201" s="4"/>
      <c r="KS201" s="4"/>
      <c r="KT201" s="4"/>
      <c r="KU201" s="4"/>
      <c r="KV201" s="4"/>
      <c r="KW201" s="4"/>
      <c r="KX201" s="4"/>
      <c r="KY201" s="4"/>
      <c r="KZ201" s="4"/>
      <c r="LA201" s="4"/>
      <c r="LB201" s="4"/>
      <c r="LC201" s="4"/>
      <c r="LD201" s="4"/>
      <c r="LE201" s="4"/>
      <c r="LF201" s="4"/>
      <c r="LG201" s="4"/>
      <c r="LH201" s="4"/>
      <c r="LI201" s="4"/>
      <c r="LJ201" s="4"/>
      <c r="LK201" s="4"/>
      <c r="LL201" s="4"/>
      <c r="LM201" s="4"/>
      <c r="LN201" s="4"/>
      <c r="LO201" s="4"/>
      <c r="LP201" s="4"/>
      <c r="LQ201" s="4"/>
      <c r="LR201" s="4"/>
      <c r="LS201" s="4"/>
      <c r="LT201" s="4"/>
      <c r="LU201" s="4"/>
      <c r="LV201" s="4"/>
      <c r="LW201" s="4"/>
      <c r="LX201" s="4"/>
      <c r="LY201" s="4"/>
      <c r="LZ201" s="4"/>
      <c r="MA201" s="4"/>
      <c r="MB201" s="4"/>
      <c r="MC201" s="4"/>
      <c r="MD201" s="4"/>
      <c r="ME201" s="4"/>
      <c r="MF201" s="4"/>
      <c r="MG201" s="4"/>
      <c r="MH201" s="4"/>
      <c r="MI201" s="4"/>
      <c r="MJ201" s="4"/>
      <c r="MK201" s="4"/>
      <c r="ML201" s="4"/>
      <c r="MM201" s="4"/>
      <c r="MN201" s="4"/>
      <c r="MO201" s="4"/>
      <c r="MP201" s="4"/>
      <c r="MQ201" s="4"/>
      <c r="MR201" s="4"/>
      <c r="MS201" s="4"/>
      <c r="MT201" s="4"/>
      <c r="MU201" s="4"/>
      <c r="MV201" s="4"/>
      <c r="MW201" s="4"/>
      <c r="MX201" s="4"/>
      <c r="MY201" s="4"/>
      <c r="MZ201" s="4"/>
      <c r="NA201" s="4"/>
      <c r="NB201" s="4"/>
      <c r="NC201" s="4"/>
      <c r="ND201" s="4"/>
      <c r="NE201" s="4"/>
      <c r="NF201" s="4"/>
      <c r="NG201" s="4"/>
      <c r="NH201" s="4"/>
      <c r="NI201" s="4"/>
      <c r="NJ201" s="4"/>
      <c r="NK201" s="4"/>
      <c r="NL201" s="4"/>
      <c r="NM201" s="4"/>
      <c r="NN201" s="4"/>
      <c r="NO201" s="4"/>
      <c r="NP201" s="4"/>
      <c r="NQ201" s="4"/>
      <c r="NR201" s="4"/>
      <c r="NS201" s="4"/>
      <c r="NT201" s="4"/>
      <c r="NU201" s="4"/>
      <c r="NV201" s="4"/>
      <c r="NW201" s="4"/>
      <c r="NX201" s="4"/>
      <c r="NY201" s="4"/>
      <c r="NZ201" s="4"/>
      <c r="OA201" s="4"/>
      <c r="OB201" s="4"/>
      <c r="OC201" s="4"/>
      <c r="OD201" s="4"/>
      <c r="OE201" s="4"/>
      <c r="OF201" s="4"/>
      <c r="OG201" s="4"/>
      <c r="OH201" s="4"/>
      <c r="OI201" s="4"/>
      <c r="OJ201" s="4"/>
      <c r="OK201" s="4"/>
      <c r="OL201" s="4"/>
      <c r="OM201" s="4"/>
      <c r="ON201" s="4"/>
      <c r="OO201" s="4"/>
      <c r="OP201" s="4"/>
      <c r="OQ201" s="4"/>
      <c r="OR201" s="4"/>
      <c r="OS201" s="4"/>
      <c r="OT201" s="4"/>
      <c r="OU201" s="4"/>
      <c r="OV201" s="4"/>
      <c r="OW201" s="4"/>
      <c r="OX201" s="4"/>
      <c r="OY201" s="4"/>
      <c r="OZ201" s="4"/>
      <c r="PA201" s="4"/>
      <c r="PB201" s="4"/>
      <c r="PC201" s="4"/>
      <c r="PD201" s="4"/>
      <c r="PE201" s="4"/>
      <c r="PF201" s="4"/>
      <c r="PG201" s="4"/>
      <c r="PH201" s="4"/>
      <c r="PI201" s="4"/>
      <c r="PJ201" s="4"/>
      <c r="PK201" s="4"/>
      <c r="PL201" s="4"/>
      <c r="PM201" s="4"/>
      <c r="PN201" s="4"/>
      <c r="PO201" s="4"/>
      <c r="PP201" s="4"/>
      <c r="PQ201" s="4"/>
      <c r="PR201" s="4"/>
      <c r="PS201" s="4"/>
      <c r="PT201" s="4"/>
      <c r="PU201" s="4"/>
      <c r="PV201" s="4"/>
      <c r="PW201" s="4"/>
      <c r="PX201" s="4"/>
      <c r="PY201" s="4"/>
      <c r="PZ201" s="4"/>
      <c r="QA201" s="4"/>
      <c r="QB201" s="4"/>
      <c r="QC201" s="4"/>
      <c r="QD201" s="4"/>
      <c r="QE201" s="4"/>
      <c r="QF201" s="4"/>
      <c r="QG201" s="4"/>
      <c r="QH201" s="4"/>
      <c r="QI201" s="4"/>
      <c r="QJ201" s="4"/>
      <c r="QK201" s="4"/>
      <c r="QL201" s="4"/>
      <c r="QM201" s="4"/>
      <c r="QN201" s="4"/>
      <c r="QO201" s="4"/>
      <c r="QP201" s="4"/>
      <c r="QQ201" s="4"/>
      <c r="QR201" s="4"/>
      <c r="QS201" s="4"/>
      <c r="QT201" s="4"/>
      <c r="QU201" s="4"/>
      <c r="QV201" s="4"/>
      <c r="QW201" s="4"/>
      <c r="QX201" s="4"/>
      <c r="QY201" s="4"/>
      <c r="QZ201" s="4"/>
      <c r="RA201" s="4"/>
      <c r="RB201" s="4"/>
      <c r="RC201" s="4"/>
      <c r="RD201" s="4"/>
    </row>
    <row r="202" spans="1:472" x14ac:dyDescent="0.25">
      <c r="A202" s="41" t="s">
        <v>71</v>
      </c>
      <c r="B202" s="41" t="s">
        <v>1424</v>
      </c>
      <c r="C202" s="41" t="s">
        <v>813</v>
      </c>
      <c r="D202" s="41">
        <v>70</v>
      </c>
      <c r="E202" s="41"/>
      <c r="F202" s="41" t="s">
        <v>1561</v>
      </c>
      <c r="I202" s="4"/>
      <c r="J202" s="4"/>
      <c r="K202" s="4"/>
      <c r="L202" s="4"/>
      <c r="M202" s="4"/>
      <c r="N202" s="4"/>
      <c r="O202" s="4"/>
      <c r="P202" s="4"/>
      <c r="Q202" s="4"/>
      <c r="R202" s="4"/>
      <c r="S202" s="4"/>
      <c r="T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c r="JM202" s="4"/>
      <c r="JN202" s="4"/>
      <c r="JO202" s="4"/>
      <c r="JP202" s="4"/>
      <c r="JQ202" s="4"/>
      <c r="JR202" s="4"/>
      <c r="JS202" s="4"/>
      <c r="JT202" s="4"/>
      <c r="JU202" s="4"/>
      <c r="JV202" s="4"/>
      <c r="JW202" s="4"/>
      <c r="JX202" s="4"/>
      <c r="JY202" s="4"/>
      <c r="JZ202" s="4"/>
      <c r="KA202" s="4"/>
      <c r="KB202" s="4"/>
      <c r="KC202" s="4"/>
      <c r="KD202" s="4"/>
      <c r="KE202" s="4"/>
      <c r="KF202" s="4"/>
      <c r="KG202" s="4"/>
      <c r="KH202" s="4"/>
      <c r="KI202" s="4"/>
      <c r="KJ202" s="4"/>
      <c r="KK202" s="4"/>
      <c r="KL202" s="4"/>
      <c r="KM202" s="4"/>
      <c r="KN202" s="4"/>
      <c r="KO202" s="4"/>
      <c r="KP202" s="4"/>
      <c r="KQ202" s="4"/>
      <c r="KR202" s="4"/>
      <c r="KS202" s="4"/>
      <c r="KT202" s="4"/>
      <c r="KU202" s="4"/>
      <c r="KV202" s="4"/>
      <c r="KW202" s="4"/>
      <c r="KX202" s="4"/>
      <c r="KY202" s="4"/>
      <c r="KZ202" s="4"/>
      <c r="LA202" s="4"/>
      <c r="LB202" s="4"/>
      <c r="LC202" s="4"/>
      <c r="LD202" s="4"/>
      <c r="LE202" s="4"/>
      <c r="LF202" s="4"/>
      <c r="LG202" s="4"/>
      <c r="LH202" s="4"/>
      <c r="LI202" s="4"/>
      <c r="LJ202" s="4"/>
      <c r="LK202" s="4"/>
      <c r="LL202" s="4"/>
      <c r="LM202" s="4"/>
      <c r="LN202" s="4"/>
      <c r="LO202" s="4"/>
      <c r="LP202" s="4"/>
      <c r="LQ202" s="4"/>
      <c r="LR202" s="4"/>
      <c r="LS202" s="4"/>
      <c r="LT202" s="4"/>
      <c r="LU202" s="4"/>
      <c r="LV202" s="4"/>
      <c r="LW202" s="4"/>
      <c r="LX202" s="4"/>
      <c r="LY202" s="4"/>
      <c r="LZ202" s="4"/>
      <c r="MA202" s="4"/>
      <c r="MB202" s="4"/>
      <c r="MC202" s="4"/>
      <c r="MD202" s="4"/>
      <c r="ME202" s="4"/>
      <c r="MF202" s="4"/>
      <c r="MG202" s="4"/>
      <c r="MH202" s="4"/>
      <c r="MI202" s="4"/>
      <c r="MJ202" s="4"/>
      <c r="MK202" s="4"/>
      <c r="ML202" s="4"/>
      <c r="MM202" s="4"/>
      <c r="MN202" s="4"/>
      <c r="MO202" s="4"/>
      <c r="MP202" s="4"/>
      <c r="MQ202" s="4"/>
      <c r="MR202" s="4"/>
      <c r="MS202" s="4"/>
      <c r="MT202" s="4"/>
      <c r="MU202" s="4"/>
      <c r="MV202" s="4"/>
      <c r="MW202" s="4"/>
      <c r="MX202" s="4"/>
      <c r="MY202" s="4"/>
      <c r="MZ202" s="4"/>
      <c r="NA202" s="4"/>
      <c r="NB202" s="4"/>
      <c r="NC202" s="4"/>
      <c r="ND202" s="4"/>
      <c r="NE202" s="4"/>
      <c r="NF202" s="4"/>
      <c r="NG202" s="4"/>
      <c r="NH202" s="4"/>
      <c r="NI202" s="4"/>
      <c r="NJ202" s="4"/>
      <c r="NK202" s="4"/>
      <c r="NL202" s="4"/>
      <c r="NM202" s="4"/>
      <c r="NN202" s="4"/>
      <c r="NO202" s="4"/>
      <c r="NP202" s="4"/>
      <c r="NQ202" s="4"/>
      <c r="NR202" s="4"/>
      <c r="NS202" s="4"/>
      <c r="NT202" s="4"/>
      <c r="NU202" s="4"/>
      <c r="NV202" s="4"/>
      <c r="NW202" s="4"/>
      <c r="NX202" s="4"/>
      <c r="NY202" s="4"/>
      <c r="NZ202" s="4"/>
      <c r="OA202" s="4"/>
      <c r="OB202" s="4"/>
      <c r="OC202" s="4"/>
      <c r="OD202" s="4"/>
      <c r="OE202" s="4"/>
      <c r="OF202" s="4"/>
      <c r="OG202" s="4"/>
      <c r="OH202" s="4"/>
      <c r="OI202" s="4"/>
      <c r="OJ202" s="4"/>
      <c r="OK202" s="4"/>
      <c r="OL202" s="4"/>
      <c r="OM202" s="4"/>
      <c r="ON202" s="4"/>
      <c r="OO202" s="4"/>
      <c r="OP202" s="4"/>
      <c r="OQ202" s="4"/>
      <c r="OR202" s="4"/>
      <c r="OS202" s="4"/>
      <c r="OT202" s="4"/>
      <c r="OU202" s="4"/>
      <c r="OV202" s="4"/>
      <c r="OW202" s="4"/>
      <c r="OX202" s="4"/>
      <c r="OY202" s="4"/>
      <c r="OZ202" s="4"/>
      <c r="PA202" s="4"/>
      <c r="PB202" s="4"/>
      <c r="PC202" s="4"/>
      <c r="PD202" s="4"/>
      <c r="PE202" s="4"/>
      <c r="PF202" s="4"/>
      <c r="PG202" s="4"/>
      <c r="PH202" s="4"/>
      <c r="PI202" s="4"/>
      <c r="PJ202" s="4"/>
      <c r="PK202" s="4"/>
      <c r="PL202" s="4"/>
      <c r="PM202" s="4"/>
      <c r="PN202" s="4"/>
      <c r="PO202" s="4"/>
      <c r="PP202" s="4"/>
      <c r="PQ202" s="4"/>
      <c r="PR202" s="4"/>
      <c r="PS202" s="4"/>
      <c r="PT202" s="4"/>
      <c r="PU202" s="4"/>
      <c r="PV202" s="4"/>
      <c r="PW202" s="4"/>
      <c r="PX202" s="4"/>
      <c r="PY202" s="4"/>
      <c r="PZ202" s="4"/>
      <c r="QA202" s="4"/>
      <c r="QB202" s="4"/>
      <c r="QC202" s="4"/>
      <c r="QD202" s="4"/>
      <c r="QE202" s="4"/>
      <c r="QF202" s="4"/>
      <c r="QG202" s="4"/>
      <c r="QH202" s="4"/>
      <c r="QI202" s="4"/>
      <c r="QJ202" s="4"/>
      <c r="QK202" s="4"/>
      <c r="QL202" s="4"/>
      <c r="QM202" s="4"/>
      <c r="QN202" s="4"/>
      <c r="QO202" s="4"/>
      <c r="QP202" s="4"/>
      <c r="QQ202" s="4"/>
      <c r="QR202" s="4"/>
      <c r="QS202" s="4"/>
      <c r="QT202" s="4"/>
      <c r="QU202" s="4"/>
      <c r="QV202" s="4"/>
      <c r="QW202" s="4"/>
      <c r="QX202" s="4"/>
      <c r="QY202" s="4"/>
      <c r="QZ202" s="4"/>
      <c r="RA202" s="4"/>
      <c r="RB202" s="4"/>
      <c r="RC202" s="4"/>
      <c r="RD202" s="4"/>
    </row>
    <row r="203" spans="1:472" x14ac:dyDescent="0.25">
      <c r="A203" s="5" t="s">
        <v>71</v>
      </c>
      <c r="B203" s="5" t="s">
        <v>1422</v>
      </c>
      <c r="C203" s="5" t="s">
        <v>3</v>
      </c>
      <c r="D203" s="5">
        <v>376</v>
      </c>
      <c r="E203" s="5"/>
      <c r="F203" s="5"/>
      <c r="I203" s="4"/>
      <c r="J203" s="4"/>
      <c r="K203" s="4"/>
      <c r="L203" s="4"/>
      <c r="M203" s="4"/>
      <c r="N203" s="4"/>
      <c r="O203" s="4"/>
      <c r="P203" s="4"/>
      <c r="Q203" s="4"/>
      <c r="R203" s="4"/>
      <c r="S203" s="4"/>
      <c r="T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c r="IX203" s="4"/>
      <c r="IY203" s="4"/>
      <c r="IZ203" s="4"/>
      <c r="JA203" s="4"/>
      <c r="JB203" s="4"/>
      <c r="JC203" s="4"/>
      <c r="JD203" s="4"/>
      <c r="JE203" s="4"/>
      <c r="JF203" s="4"/>
      <c r="JG203" s="4"/>
      <c r="JH203" s="4"/>
      <c r="JI203" s="4"/>
      <c r="JJ203" s="4"/>
      <c r="JK203" s="4"/>
      <c r="JL203" s="4"/>
      <c r="JM203" s="4"/>
      <c r="JN203" s="4"/>
      <c r="JO203" s="4"/>
      <c r="JP203" s="4"/>
      <c r="JQ203" s="4"/>
      <c r="JR203" s="4"/>
      <c r="JS203" s="4"/>
      <c r="JT203" s="4"/>
      <c r="JU203" s="4"/>
      <c r="JV203" s="4"/>
      <c r="JW203" s="4"/>
      <c r="JX203" s="4"/>
      <c r="JY203" s="4"/>
      <c r="JZ203" s="4"/>
      <c r="KA203" s="4"/>
      <c r="KB203" s="4"/>
      <c r="KC203" s="4"/>
      <c r="KD203" s="4"/>
      <c r="KE203" s="4"/>
      <c r="KF203" s="4"/>
      <c r="KG203" s="4"/>
      <c r="KH203" s="4"/>
      <c r="KI203" s="4"/>
      <c r="KJ203" s="4"/>
      <c r="KK203" s="4"/>
      <c r="KL203" s="4"/>
      <c r="KM203" s="4"/>
      <c r="KN203" s="4"/>
      <c r="KO203" s="4"/>
      <c r="KP203" s="4"/>
      <c r="KQ203" s="4"/>
      <c r="KR203" s="4"/>
      <c r="KS203" s="4"/>
      <c r="KT203" s="4"/>
      <c r="KU203" s="4"/>
      <c r="KV203" s="4"/>
      <c r="KW203" s="4"/>
      <c r="KX203" s="4"/>
      <c r="KY203" s="4"/>
      <c r="KZ203" s="4"/>
      <c r="LA203" s="4"/>
      <c r="LB203" s="4"/>
      <c r="LC203" s="4"/>
      <c r="LD203" s="4"/>
      <c r="LE203" s="4"/>
      <c r="LF203" s="4"/>
      <c r="LG203" s="4"/>
      <c r="LH203" s="4"/>
      <c r="LI203" s="4"/>
      <c r="LJ203" s="4"/>
      <c r="LK203" s="4"/>
      <c r="LL203" s="4"/>
      <c r="LM203" s="4"/>
      <c r="LN203" s="4"/>
      <c r="LO203" s="4"/>
      <c r="LP203" s="4"/>
      <c r="LQ203" s="4"/>
      <c r="LR203" s="4"/>
      <c r="LS203" s="4"/>
      <c r="LT203" s="4"/>
      <c r="LU203" s="4"/>
      <c r="LV203" s="4"/>
      <c r="LW203" s="4"/>
      <c r="LX203" s="4"/>
      <c r="LY203" s="4"/>
      <c r="LZ203" s="4"/>
      <c r="MA203" s="4"/>
      <c r="MB203" s="4"/>
      <c r="MC203" s="4"/>
      <c r="MD203" s="4"/>
      <c r="ME203" s="4"/>
      <c r="MF203" s="4"/>
      <c r="MG203" s="4"/>
      <c r="MH203" s="4"/>
      <c r="MI203" s="4"/>
      <c r="MJ203" s="4"/>
      <c r="MK203" s="4"/>
      <c r="ML203" s="4"/>
      <c r="MM203" s="4"/>
      <c r="MN203" s="4"/>
      <c r="MO203" s="4"/>
      <c r="MP203" s="4"/>
      <c r="MQ203" s="4"/>
      <c r="MR203" s="4"/>
      <c r="MS203" s="4"/>
      <c r="MT203" s="4"/>
      <c r="MU203" s="4"/>
      <c r="MV203" s="4"/>
      <c r="MW203" s="4"/>
      <c r="MX203" s="4"/>
      <c r="MY203" s="4"/>
      <c r="MZ203" s="4"/>
      <c r="NA203" s="4"/>
      <c r="NB203" s="4"/>
      <c r="NC203" s="4"/>
      <c r="ND203" s="4"/>
      <c r="NE203" s="4"/>
      <c r="NF203" s="4"/>
      <c r="NG203" s="4"/>
      <c r="NH203" s="4"/>
      <c r="NI203" s="4"/>
      <c r="NJ203" s="4"/>
      <c r="NK203" s="4"/>
      <c r="NL203" s="4"/>
      <c r="NM203" s="4"/>
      <c r="NN203" s="4"/>
      <c r="NO203" s="4"/>
      <c r="NP203" s="4"/>
      <c r="NQ203" s="4"/>
      <c r="NR203" s="4"/>
      <c r="NS203" s="4"/>
      <c r="NT203" s="4"/>
      <c r="NU203" s="4"/>
      <c r="NV203" s="4"/>
      <c r="NW203" s="4"/>
      <c r="NX203" s="4"/>
      <c r="NY203" s="4"/>
      <c r="NZ203" s="4"/>
      <c r="OA203" s="4"/>
      <c r="OB203" s="4"/>
      <c r="OC203" s="4"/>
      <c r="OD203" s="4"/>
      <c r="OE203" s="4"/>
      <c r="OF203" s="4"/>
      <c r="OG203" s="4"/>
      <c r="OH203" s="4"/>
      <c r="OI203" s="4"/>
      <c r="OJ203" s="4"/>
      <c r="OK203" s="4"/>
      <c r="OL203" s="4"/>
      <c r="OM203" s="4"/>
      <c r="ON203" s="4"/>
      <c r="OO203" s="4"/>
      <c r="OP203" s="4"/>
      <c r="OQ203" s="4"/>
      <c r="OR203" s="4"/>
      <c r="OS203" s="4"/>
      <c r="OT203" s="4"/>
      <c r="OU203" s="4"/>
      <c r="OV203" s="4"/>
      <c r="OW203" s="4"/>
      <c r="OX203" s="4"/>
      <c r="OY203" s="4"/>
      <c r="OZ203" s="4"/>
      <c r="PA203" s="4"/>
      <c r="PB203" s="4"/>
      <c r="PC203" s="4"/>
      <c r="PD203" s="4"/>
      <c r="PE203" s="4"/>
      <c r="PF203" s="4"/>
      <c r="PG203" s="4"/>
      <c r="PH203" s="4"/>
      <c r="PI203" s="4"/>
      <c r="PJ203" s="4"/>
      <c r="PK203" s="4"/>
      <c r="PL203" s="4"/>
      <c r="PM203" s="4"/>
      <c r="PN203" s="4"/>
      <c r="PO203" s="4"/>
      <c r="PP203" s="4"/>
      <c r="PQ203" s="4"/>
      <c r="PR203" s="4"/>
      <c r="PS203" s="4"/>
      <c r="PT203" s="4"/>
      <c r="PU203" s="4"/>
      <c r="PV203" s="4"/>
      <c r="PW203" s="4"/>
      <c r="PX203" s="4"/>
      <c r="PY203" s="4"/>
      <c r="PZ203" s="4"/>
      <c r="QA203" s="4"/>
      <c r="QB203" s="4"/>
      <c r="QC203" s="4"/>
      <c r="QD203" s="4"/>
      <c r="QE203" s="4"/>
      <c r="QF203" s="4"/>
      <c r="QG203" s="4"/>
      <c r="QH203" s="4"/>
      <c r="QI203" s="4"/>
      <c r="QJ203" s="4"/>
      <c r="QK203" s="4"/>
      <c r="QL203" s="4"/>
      <c r="QM203" s="4"/>
      <c r="QN203" s="4"/>
      <c r="QO203" s="4"/>
      <c r="QP203" s="4"/>
      <c r="QQ203" s="4"/>
      <c r="QR203" s="4"/>
      <c r="QS203" s="4"/>
      <c r="QT203" s="4"/>
      <c r="QU203" s="4"/>
      <c r="QV203" s="4"/>
      <c r="QW203" s="4"/>
      <c r="QX203" s="4"/>
      <c r="QY203" s="4"/>
      <c r="QZ203" s="4"/>
      <c r="RA203" s="4"/>
      <c r="RB203" s="4"/>
      <c r="RC203" s="4"/>
      <c r="RD203" s="4"/>
    </row>
    <row r="204" spans="1:472" x14ac:dyDescent="0.25">
      <c r="A204" s="5" t="s">
        <v>71</v>
      </c>
      <c r="B204" s="5" t="s">
        <v>1438</v>
      </c>
      <c r="C204" s="5" t="s">
        <v>4</v>
      </c>
      <c r="D204" s="5">
        <v>152</v>
      </c>
      <c r="E204" s="5"/>
      <c r="F204" s="5" t="s">
        <v>1511</v>
      </c>
      <c r="I204" s="4"/>
      <c r="J204" s="4"/>
      <c r="K204" s="4"/>
      <c r="L204" s="4"/>
      <c r="M204" s="4"/>
      <c r="N204" s="4"/>
      <c r="O204" s="4"/>
      <c r="P204" s="4"/>
      <c r="Q204" s="4"/>
      <c r="R204" s="4"/>
      <c r="S204" s="4"/>
      <c r="T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c r="JL204" s="4"/>
      <c r="JM204" s="4"/>
      <c r="JN204" s="4"/>
      <c r="JO204" s="4"/>
      <c r="JP204" s="4"/>
      <c r="JQ204" s="4"/>
      <c r="JR204" s="4"/>
      <c r="JS204" s="4"/>
      <c r="JT204" s="4"/>
      <c r="JU204" s="4"/>
      <c r="JV204" s="4"/>
      <c r="JW204" s="4"/>
      <c r="JX204" s="4"/>
      <c r="JY204" s="4"/>
      <c r="JZ204" s="4"/>
      <c r="KA204" s="4"/>
      <c r="KB204" s="4"/>
      <c r="KC204" s="4"/>
      <c r="KD204" s="4"/>
      <c r="KE204" s="4"/>
      <c r="KF204" s="4"/>
      <c r="KG204" s="4"/>
      <c r="KH204" s="4"/>
      <c r="KI204" s="4"/>
      <c r="KJ204" s="4"/>
      <c r="KK204" s="4"/>
      <c r="KL204" s="4"/>
      <c r="KM204" s="4"/>
      <c r="KN204" s="4"/>
      <c r="KO204" s="4"/>
      <c r="KP204" s="4"/>
      <c r="KQ204" s="4"/>
      <c r="KR204" s="4"/>
      <c r="KS204" s="4"/>
      <c r="KT204" s="4"/>
      <c r="KU204" s="4"/>
      <c r="KV204" s="4"/>
      <c r="KW204" s="4"/>
      <c r="KX204" s="4"/>
      <c r="KY204" s="4"/>
      <c r="KZ204" s="4"/>
      <c r="LA204" s="4"/>
      <c r="LB204" s="4"/>
      <c r="LC204" s="4"/>
      <c r="LD204" s="4"/>
      <c r="LE204" s="4"/>
      <c r="LF204" s="4"/>
      <c r="LG204" s="4"/>
      <c r="LH204" s="4"/>
      <c r="LI204" s="4"/>
      <c r="LJ204" s="4"/>
      <c r="LK204" s="4"/>
      <c r="LL204" s="4"/>
      <c r="LM204" s="4"/>
      <c r="LN204" s="4"/>
      <c r="LO204" s="4"/>
      <c r="LP204" s="4"/>
      <c r="LQ204" s="4"/>
      <c r="LR204" s="4"/>
      <c r="LS204" s="4"/>
      <c r="LT204" s="4"/>
      <c r="LU204" s="4"/>
      <c r="LV204" s="4"/>
      <c r="LW204" s="4"/>
      <c r="LX204" s="4"/>
      <c r="LY204" s="4"/>
      <c r="LZ204" s="4"/>
      <c r="MA204" s="4"/>
      <c r="MB204" s="4"/>
      <c r="MC204" s="4"/>
      <c r="MD204" s="4"/>
      <c r="ME204" s="4"/>
      <c r="MF204" s="4"/>
      <c r="MG204" s="4"/>
      <c r="MH204" s="4"/>
      <c r="MI204" s="4"/>
      <c r="MJ204" s="4"/>
      <c r="MK204" s="4"/>
      <c r="ML204" s="4"/>
      <c r="MM204" s="4"/>
      <c r="MN204" s="4"/>
      <c r="MO204" s="4"/>
      <c r="MP204" s="4"/>
      <c r="MQ204" s="4"/>
      <c r="MR204" s="4"/>
      <c r="MS204" s="4"/>
      <c r="MT204" s="4"/>
      <c r="MU204" s="4"/>
      <c r="MV204" s="4"/>
      <c r="MW204" s="4"/>
      <c r="MX204" s="4"/>
      <c r="MY204" s="4"/>
      <c r="MZ204" s="4"/>
      <c r="NA204" s="4"/>
      <c r="NB204" s="4"/>
      <c r="NC204" s="4"/>
      <c r="ND204" s="4"/>
      <c r="NE204" s="4"/>
      <c r="NF204" s="4"/>
      <c r="NG204" s="4"/>
      <c r="NH204" s="4"/>
      <c r="NI204" s="4"/>
      <c r="NJ204" s="4"/>
      <c r="NK204" s="4"/>
      <c r="NL204" s="4"/>
      <c r="NM204" s="4"/>
      <c r="NN204" s="4"/>
      <c r="NO204" s="4"/>
      <c r="NP204" s="4"/>
      <c r="NQ204" s="4"/>
      <c r="NR204" s="4"/>
      <c r="NS204" s="4"/>
      <c r="NT204" s="4"/>
      <c r="NU204" s="4"/>
      <c r="NV204" s="4"/>
      <c r="NW204" s="4"/>
      <c r="NX204" s="4"/>
      <c r="NY204" s="4"/>
      <c r="NZ204" s="4"/>
      <c r="OA204" s="4"/>
      <c r="OB204" s="4"/>
      <c r="OC204" s="4"/>
      <c r="OD204" s="4"/>
      <c r="OE204" s="4"/>
      <c r="OF204" s="4"/>
      <c r="OG204" s="4"/>
      <c r="OH204" s="4"/>
      <c r="OI204" s="4"/>
      <c r="OJ204" s="4"/>
      <c r="OK204" s="4"/>
      <c r="OL204" s="4"/>
      <c r="OM204" s="4"/>
      <c r="ON204" s="4"/>
      <c r="OO204" s="4"/>
      <c r="OP204" s="4"/>
      <c r="OQ204" s="4"/>
      <c r="OR204" s="4"/>
      <c r="OS204" s="4"/>
      <c r="OT204" s="4"/>
      <c r="OU204" s="4"/>
      <c r="OV204" s="4"/>
      <c r="OW204" s="4"/>
      <c r="OX204" s="4"/>
      <c r="OY204" s="4"/>
      <c r="OZ204" s="4"/>
      <c r="PA204" s="4"/>
      <c r="PB204" s="4"/>
      <c r="PC204" s="4"/>
      <c r="PD204" s="4"/>
      <c r="PE204" s="4"/>
      <c r="PF204" s="4"/>
      <c r="PG204" s="4"/>
      <c r="PH204" s="4"/>
      <c r="PI204" s="4"/>
      <c r="PJ204" s="4"/>
      <c r="PK204" s="4"/>
      <c r="PL204" s="4"/>
      <c r="PM204" s="4"/>
      <c r="PN204" s="4"/>
      <c r="PO204" s="4"/>
      <c r="PP204" s="4"/>
      <c r="PQ204" s="4"/>
      <c r="PR204" s="4"/>
      <c r="PS204" s="4"/>
      <c r="PT204" s="4"/>
      <c r="PU204" s="4"/>
      <c r="PV204" s="4"/>
      <c r="PW204" s="4"/>
      <c r="PX204" s="4"/>
      <c r="PY204" s="4"/>
      <c r="PZ204" s="4"/>
      <c r="QA204" s="4"/>
      <c r="QB204" s="4"/>
      <c r="QC204" s="4"/>
      <c r="QD204" s="4"/>
      <c r="QE204" s="4"/>
      <c r="QF204" s="4"/>
      <c r="QG204" s="4"/>
      <c r="QH204" s="4"/>
      <c r="QI204" s="4"/>
      <c r="QJ204" s="4"/>
      <c r="QK204" s="4"/>
      <c r="QL204" s="4"/>
      <c r="QM204" s="4"/>
      <c r="QN204" s="4"/>
      <c r="QO204" s="4"/>
      <c r="QP204" s="4"/>
      <c r="QQ204" s="4"/>
      <c r="QR204" s="4"/>
      <c r="QS204" s="4"/>
      <c r="QT204" s="4"/>
      <c r="QU204" s="4"/>
      <c r="QV204" s="4"/>
      <c r="QW204" s="4"/>
      <c r="QX204" s="4"/>
      <c r="QY204" s="4"/>
      <c r="QZ204" s="4"/>
      <c r="RA204" s="4"/>
      <c r="RB204" s="4"/>
      <c r="RC204" s="4"/>
      <c r="RD204" s="4"/>
    </row>
    <row r="205" spans="1:472" x14ac:dyDescent="0.25">
      <c r="A205" s="5" t="s">
        <v>71</v>
      </c>
      <c r="B205" s="5" t="s">
        <v>1476</v>
      </c>
      <c r="C205" s="5" t="s">
        <v>813</v>
      </c>
      <c r="D205" s="5">
        <v>40</v>
      </c>
      <c r="E205" s="5"/>
      <c r="F205" s="5" t="s">
        <v>1510</v>
      </c>
      <c r="I205" s="4"/>
      <c r="J205" s="4"/>
      <c r="K205" s="4"/>
      <c r="L205" s="4"/>
      <c r="M205" s="4"/>
      <c r="N205" s="4"/>
      <c r="O205" s="4"/>
      <c r="P205" s="4"/>
      <c r="Q205" s="4"/>
      <c r="R205" s="4"/>
      <c r="S205" s="4"/>
      <c r="T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c r="JM205" s="4"/>
      <c r="JN205" s="4"/>
      <c r="JO205" s="4"/>
      <c r="JP205" s="4"/>
      <c r="JQ205" s="4"/>
      <c r="JR205" s="4"/>
      <c r="JS205" s="4"/>
      <c r="JT205" s="4"/>
      <c r="JU205" s="4"/>
      <c r="JV205" s="4"/>
      <c r="JW205" s="4"/>
      <c r="JX205" s="4"/>
      <c r="JY205" s="4"/>
      <c r="JZ205" s="4"/>
      <c r="KA205" s="4"/>
      <c r="KB205" s="4"/>
      <c r="KC205" s="4"/>
      <c r="KD205" s="4"/>
      <c r="KE205" s="4"/>
      <c r="KF205" s="4"/>
      <c r="KG205" s="4"/>
      <c r="KH205" s="4"/>
      <c r="KI205" s="4"/>
      <c r="KJ205" s="4"/>
      <c r="KK205" s="4"/>
      <c r="KL205" s="4"/>
      <c r="KM205" s="4"/>
      <c r="KN205" s="4"/>
      <c r="KO205" s="4"/>
      <c r="KP205" s="4"/>
      <c r="KQ205" s="4"/>
      <c r="KR205" s="4"/>
      <c r="KS205" s="4"/>
      <c r="KT205" s="4"/>
      <c r="KU205" s="4"/>
      <c r="KV205" s="4"/>
      <c r="KW205" s="4"/>
      <c r="KX205" s="4"/>
      <c r="KY205" s="4"/>
      <c r="KZ205" s="4"/>
      <c r="LA205" s="4"/>
      <c r="LB205" s="4"/>
      <c r="LC205" s="4"/>
      <c r="LD205" s="4"/>
      <c r="LE205" s="4"/>
      <c r="LF205" s="4"/>
      <c r="LG205" s="4"/>
      <c r="LH205" s="4"/>
      <c r="LI205" s="4"/>
      <c r="LJ205" s="4"/>
      <c r="LK205" s="4"/>
      <c r="LL205" s="4"/>
      <c r="LM205" s="4"/>
      <c r="LN205" s="4"/>
      <c r="LO205" s="4"/>
      <c r="LP205" s="4"/>
      <c r="LQ205" s="4"/>
      <c r="LR205" s="4"/>
      <c r="LS205" s="4"/>
      <c r="LT205" s="4"/>
      <c r="LU205" s="4"/>
      <c r="LV205" s="4"/>
      <c r="LW205" s="4"/>
      <c r="LX205" s="4"/>
      <c r="LY205" s="4"/>
      <c r="LZ205" s="4"/>
      <c r="MA205" s="4"/>
      <c r="MB205" s="4"/>
      <c r="MC205" s="4"/>
      <c r="MD205" s="4"/>
      <c r="ME205" s="4"/>
      <c r="MF205" s="4"/>
      <c r="MG205" s="4"/>
      <c r="MH205" s="4"/>
      <c r="MI205" s="4"/>
      <c r="MJ205" s="4"/>
      <c r="MK205" s="4"/>
      <c r="ML205" s="4"/>
      <c r="MM205" s="4"/>
      <c r="MN205" s="4"/>
      <c r="MO205" s="4"/>
      <c r="MP205" s="4"/>
      <c r="MQ205" s="4"/>
      <c r="MR205" s="4"/>
      <c r="MS205" s="4"/>
      <c r="MT205" s="4"/>
      <c r="MU205" s="4"/>
      <c r="MV205" s="4"/>
      <c r="MW205" s="4"/>
      <c r="MX205" s="4"/>
      <c r="MY205" s="4"/>
      <c r="MZ205" s="4"/>
      <c r="NA205" s="4"/>
      <c r="NB205" s="4"/>
      <c r="NC205" s="4"/>
      <c r="ND205" s="4"/>
      <c r="NE205" s="4"/>
      <c r="NF205" s="4"/>
      <c r="NG205" s="4"/>
      <c r="NH205" s="4"/>
      <c r="NI205" s="4"/>
      <c r="NJ205" s="4"/>
      <c r="NK205" s="4"/>
      <c r="NL205" s="4"/>
      <c r="NM205" s="4"/>
      <c r="NN205" s="4"/>
      <c r="NO205" s="4"/>
      <c r="NP205" s="4"/>
      <c r="NQ205" s="4"/>
      <c r="NR205" s="4"/>
      <c r="NS205" s="4"/>
      <c r="NT205" s="4"/>
      <c r="NU205" s="4"/>
      <c r="NV205" s="4"/>
      <c r="NW205" s="4"/>
      <c r="NX205" s="4"/>
      <c r="NY205" s="4"/>
      <c r="NZ205" s="4"/>
      <c r="OA205" s="4"/>
      <c r="OB205" s="4"/>
      <c r="OC205" s="4"/>
      <c r="OD205" s="4"/>
      <c r="OE205" s="4"/>
      <c r="OF205" s="4"/>
      <c r="OG205" s="4"/>
      <c r="OH205" s="4"/>
      <c r="OI205" s="4"/>
      <c r="OJ205" s="4"/>
      <c r="OK205" s="4"/>
      <c r="OL205" s="4"/>
      <c r="OM205" s="4"/>
      <c r="ON205" s="4"/>
      <c r="OO205" s="4"/>
      <c r="OP205" s="4"/>
      <c r="OQ205" s="4"/>
      <c r="OR205" s="4"/>
      <c r="OS205" s="4"/>
      <c r="OT205" s="4"/>
      <c r="OU205" s="4"/>
      <c r="OV205" s="4"/>
      <c r="OW205" s="4"/>
      <c r="OX205" s="4"/>
      <c r="OY205" s="4"/>
      <c r="OZ205" s="4"/>
      <c r="PA205" s="4"/>
      <c r="PB205" s="4"/>
      <c r="PC205" s="4"/>
      <c r="PD205" s="4"/>
      <c r="PE205" s="4"/>
      <c r="PF205" s="4"/>
      <c r="PG205" s="4"/>
      <c r="PH205" s="4"/>
      <c r="PI205" s="4"/>
      <c r="PJ205" s="4"/>
      <c r="PK205" s="4"/>
      <c r="PL205" s="4"/>
      <c r="PM205" s="4"/>
      <c r="PN205" s="4"/>
      <c r="PO205" s="4"/>
      <c r="PP205" s="4"/>
      <c r="PQ205" s="4"/>
      <c r="PR205" s="4"/>
      <c r="PS205" s="4"/>
      <c r="PT205" s="4"/>
      <c r="PU205" s="4"/>
      <c r="PV205" s="4"/>
      <c r="PW205" s="4"/>
      <c r="PX205" s="4"/>
      <c r="PY205" s="4"/>
      <c r="PZ205" s="4"/>
      <c r="QA205" s="4"/>
      <c r="QB205" s="4"/>
      <c r="QC205" s="4"/>
      <c r="QD205" s="4"/>
      <c r="QE205" s="4"/>
      <c r="QF205" s="4"/>
      <c r="QG205" s="4"/>
      <c r="QH205" s="4"/>
      <c r="QI205" s="4"/>
      <c r="QJ205" s="4"/>
      <c r="QK205" s="4"/>
      <c r="QL205" s="4"/>
      <c r="QM205" s="4"/>
      <c r="QN205" s="4"/>
      <c r="QO205" s="4"/>
      <c r="QP205" s="4"/>
      <c r="QQ205" s="4"/>
      <c r="QR205" s="4"/>
      <c r="QS205" s="4"/>
      <c r="QT205" s="4"/>
      <c r="QU205" s="4"/>
      <c r="QV205" s="4"/>
      <c r="QW205" s="4"/>
      <c r="QX205" s="4"/>
      <c r="QY205" s="4"/>
      <c r="QZ205" s="4"/>
      <c r="RA205" s="4"/>
      <c r="RB205" s="4"/>
      <c r="RC205" s="4"/>
      <c r="RD205" s="4"/>
    </row>
    <row r="206" spans="1:472" x14ac:dyDescent="0.25">
      <c r="A206" s="5" t="s">
        <v>71</v>
      </c>
      <c r="B206" s="5" t="s">
        <v>1479</v>
      </c>
      <c r="C206" s="5" t="s">
        <v>3</v>
      </c>
      <c r="D206" s="5">
        <v>220</v>
      </c>
      <c r="E206" s="5"/>
      <c r="F206" s="5"/>
      <c r="I206" s="4"/>
      <c r="J206" s="4"/>
      <c r="K206" s="4"/>
      <c r="L206" s="4"/>
      <c r="M206" s="4"/>
      <c r="N206" s="4"/>
      <c r="O206" s="4"/>
      <c r="P206" s="4"/>
      <c r="Q206" s="4"/>
      <c r="R206" s="4"/>
      <c r="S206" s="4"/>
      <c r="T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c r="JM206" s="4"/>
      <c r="JN206" s="4"/>
      <c r="JO206" s="4"/>
      <c r="JP206" s="4"/>
      <c r="JQ206" s="4"/>
      <c r="JR206" s="4"/>
      <c r="JS206" s="4"/>
      <c r="JT206" s="4"/>
      <c r="JU206" s="4"/>
      <c r="JV206" s="4"/>
      <c r="JW206" s="4"/>
      <c r="JX206" s="4"/>
      <c r="JY206" s="4"/>
      <c r="JZ206" s="4"/>
      <c r="KA206" s="4"/>
      <c r="KB206" s="4"/>
      <c r="KC206" s="4"/>
      <c r="KD206" s="4"/>
      <c r="KE206" s="4"/>
      <c r="KF206" s="4"/>
      <c r="KG206" s="4"/>
      <c r="KH206" s="4"/>
      <c r="KI206" s="4"/>
      <c r="KJ206" s="4"/>
      <c r="KK206" s="4"/>
      <c r="KL206" s="4"/>
      <c r="KM206" s="4"/>
      <c r="KN206" s="4"/>
      <c r="KO206" s="4"/>
      <c r="KP206" s="4"/>
      <c r="KQ206" s="4"/>
      <c r="KR206" s="4"/>
      <c r="KS206" s="4"/>
      <c r="KT206" s="4"/>
      <c r="KU206" s="4"/>
      <c r="KV206" s="4"/>
      <c r="KW206" s="4"/>
      <c r="KX206" s="4"/>
      <c r="KY206" s="4"/>
      <c r="KZ206" s="4"/>
      <c r="LA206" s="4"/>
      <c r="LB206" s="4"/>
      <c r="LC206" s="4"/>
      <c r="LD206" s="4"/>
      <c r="LE206" s="4"/>
      <c r="LF206" s="4"/>
      <c r="LG206" s="4"/>
      <c r="LH206" s="4"/>
      <c r="LI206" s="4"/>
      <c r="LJ206" s="4"/>
      <c r="LK206" s="4"/>
      <c r="LL206" s="4"/>
      <c r="LM206" s="4"/>
      <c r="LN206" s="4"/>
      <c r="LO206" s="4"/>
      <c r="LP206" s="4"/>
      <c r="LQ206" s="4"/>
      <c r="LR206" s="4"/>
      <c r="LS206" s="4"/>
      <c r="LT206" s="4"/>
      <c r="LU206" s="4"/>
      <c r="LV206" s="4"/>
      <c r="LW206" s="4"/>
      <c r="LX206" s="4"/>
      <c r="LY206" s="4"/>
      <c r="LZ206" s="4"/>
      <c r="MA206" s="4"/>
      <c r="MB206" s="4"/>
      <c r="MC206" s="4"/>
      <c r="MD206" s="4"/>
      <c r="ME206" s="4"/>
      <c r="MF206" s="4"/>
      <c r="MG206" s="4"/>
      <c r="MH206" s="4"/>
      <c r="MI206" s="4"/>
      <c r="MJ206" s="4"/>
      <c r="MK206" s="4"/>
      <c r="ML206" s="4"/>
      <c r="MM206" s="4"/>
      <c r="MN206" s="4"/>
      <c r="MO206" s="4"/>
      <c r="MP206" s="4"/>
      <c r="MQ206" s="4"/>
      <c r="MR206" s="4"/>
      <c r="MS206" s="4"/>
      <c r="MT206" s="4"/>
      <c r="MU206" s="4"/>
      <c r="MV206" s="4"/>
      <c r="MW206" s="4"/>
      <c r="MX206" s="4"/>
      <c r="MY206" s="4"/>
      <c r="MZ206" s="4"/>
      <c r="NA206" s="4"/>
      <c r="NB206" s="4"/>
      <c r="NC206" s="4"/>
      <c r="ND206" s="4"/>
      <c r="NE206" s="4"/>
      <c r="NF206" s="4"/>
      <c r="NG206" s="4"/>
      <c r="NH206" s="4"/>
      <c r="NI206" s="4"/>
      <c r="NJ206" s="4"/>
      <c r="NK206" s="4"/>
      <c r="NL206" s="4"/>
      <c r="NM206" s="4"/>
      <c r="NN206" s="4"/>
      <c r="NO206" s="4"/>
      <c r="NP206" s="4"/>
      <c r="NQ206" s="4"/>
      <c r="NR206" s="4"/>
      <c r="NS206" s="4"/>
      <c r="NT206" s="4"/>
      <c r="NU206" s="4"/>
      <c r="NV206" s="4"/>
      <c r="NW206" s="4"/>
      <c r="NX206" s="4"/>
      <c r="NY206" s="4"/>
      <c r="NZ206" s="4"/>
      <c r="OA206" s="4"/>
      <c r="OB206" s="4"/>
      <c r="OC206" s="4"/>
      <c r="OD206" s="4"/>
      <c r="OE206" s="4"/>
      <c r="OF206" s="4"/>
      <c r="OG206" s="4"/>
      <c r="OH206" s="4"/>
      <c r="OI206" s="4"/>
      <c r="OJ206" s="4"/>
      <c r="OK206" s="4"/>
      <c r="OL206" s="4"/>
      <c r="OM206" s="4"/>
      <c r="ON206" s="4"/>
      <c r="OO206" s="4"/>
      <c r="OP206" s="4"/>
      <c r="OQ206" s="4"/>
      <c r="OR206" s="4"/>
      <c r="OS206" s="4"/>
      <c r="OT206" s="4"/>
      <c r="OU206" s="4"/>
      <c r="OV206" s="4"/>
      <c r="OW206" s="4"/>
      <c r="OX206" s="4"/>
      <c r="OY206" s="4"/>
      <c r="OZ206" s="4"/>
      <c r="PA206" s="4"/>
      <c r="PB206" s="4"/>
      <c r="PC206" s="4"/>
      <c r="PD206" s="4"/>
      <c r="PE206" s="4"/>
      <c r="PF206" s="4"/>
      <c r="PG206" s="4"/>
      <c r="PH206" s="4"/>
      <c r="PI206" s="4"/>
      <c r="PJ206" s="4"/>
      <c r="PK206" s="4"/>
      <c r="PL206" s="4"/>
      <c r="PM206" s="4"/>
      <c r="PN206" s="4"/>
      <c r="PO206" s="4"/>
      <c r="PP206" s="4"/>
      <c r="PQ206" s="4"/>
      <c r="PR206" s="4"/>
      <c r="PS206" s="4"/>
      <c r="PT206" s="4"/>
      <c r="PU206" s="4"/>
      <c r="PV206" s="4"/>
      <c r="PW206" s="4"/>
      <c r="PX206" s="4"/>
      <c r="PY206" s="4"/>
      <c r="PZ206" s="4"/>
      <c r="QA206" s="4"/>
      <c r="QB206" s="4"/>
      <c r="QC206" s="4"/>
      <c r="QD206" s="4"/>
      <c r="QE206" s="4"/>
      <c r="QF206" s="4"/>
      <c r="QG206" s="4"/>
      <c r="QH206" s="4"/>
      <c r="QI206" s="4"/>
      <c r="QJ206" s="4"/>
      <c r="QK206" s="4"/>
      <c r="QL206" s="4"/>
      <c r="QM206" s="4"/>
      <c r="QN206" s="4"/>
      <c r="QO206" s="4"/>
      <c r="QP206" s="4"/>
      <c r="QQ206" s="4"/>
      <c r="QR206" s="4"/>
      <c r="QS206" s="4"/>
      <c r="QT206" s="4"/>
      <c r="QU206" s="4"/>
      <c r="QV206" s="4"/>
      <c r="QW206" s="4"/>
      <c r="QX206" s="4"/>
      <c r="QY206" s="4"/>
      <c r="QZ206" s="4"/>
      <c r="RA206" s="4"/>
      <c r="RB206" s="4"/>
      <c r="RC206" s="4"/>
      <c r="RD206" s="4"/>
    </row>
    <row r="207" spans="1:472" x14ac:dyDescent="0.25">
      <c r="A207" s="5" t="s">
        <v>71</v>
      </c>
      <c r="B207" s="5" t="s">
        <v>1519</v>
      </c>
      <c r="C207" s="5" t="s">
        <v>1520</v>
      </c>
      <c r="D207" s="5">
        <v>110</v>
      </c>
      <c r="E207" s="5"/>
      <c r="F207" s="5"/>
      <c r="I207" s="4"/>
      <c r="J207" s="4"/>
      <c r="K207" s="4"/>
      <c r="L207" s="4"/>
      <c r="M207" s="4"/>
      <c r="N207" s="4"/>
      <c r="O207" s="4"/>
      <c r="P207" s="4"/>
      <c r="Q207" s="4"/>
      <c r="R207" s="4"/>
      <c r="S207" s="4"/>
      <c r="T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c r="IX207" s="4"/>
      <c r="IY207" s="4"/>
      <c r="IZ207" s="4"/>
      <c r="JA207" s="4"/>
      <c r="JB207" s="4"/>
      <c r="JC207" s="4"/>
      <c r="JD207" s="4"/>
      <c r="JE207" s="4"/>
      <c r="JF207" s="4"/>
      <c r="JG207" s="4"/>
      <c r="JH207" s="4"/>
      <c r="JI207" s="4"/>
      <c r="JJ207" s="4"/>
      <c r="JK207" s="4"/>
      <c r="JL207" s="4"/>
      <c r="JM207" s="4"/>
      <c r="JN207" s="4"/>
      <c r="JO207" s="4"/>
      <c r="JP207" s="4"/>
      <c r="JQ207" s="4"/>
      <c r="JR207" s="4"/>
      <c r="JS207" s="4"/>
      <c r="JT207" s="4"/>
      <c r="JU207" s="4"/>
      <c r="JV207" s="4"/>
      <c r="JW207" s="4"/>
      <c r="JX207" s="4"/>
      <c r="JY207" s="4"/>
      <c r="JZ207" s="4"/>
      <c r="KA207" s="4"/>
      <c r="KB207" s="4"/>
      <c r="KC207" s="4"/>
      <c r="KD207" s="4"/>
      <c r="KE207" s="4"/>
      <c r="KF207" s="4"/>
      <c r="KG207" s="4"/>
      <c r="KH207" s="4"/>
      <c r="KI207" s="4"/>
      <c r="KJ207" s="4"/>
      <c r="KK207" s="4"/>
      <c r="KL207" s="4"/>
      <c r="KM207" s="4"/>
      <c r="KN207" s="4"/>
      <c r="KO207" s="4"/>
      <c r="KP207" s="4"/>
      <c r="KQ207" s="4"/>
      <c r="KR207" s="4"/>
      <c r="KS207" s="4"/>
      <c r="KT207" s="4"/>
      <c r="KU207" s="4"/>
      <c r="KV207" s="4"/>
      <c r="KW207" s="4"/>
      <c r="KX207" s="4"/>
      <c r="KY207" s="4"/>
      <c r="KZ207" s="4"/>
      <c r="LA207" s="4"/>
      <c r="LB207" s="4"/>
      <c r="LC207" s="4"/>
      <c r="LD207" s="4"/>
      <c r="LE207" s="4"/>
      <c r="LF207" s="4"/>
      <c r="LG207" s="4"/>
      <c r="LH207" s="4"/>
      <c r="LI207" s="4"/>
      <c r="LJ207" s="4"/>
      <c r="LK207" s="4"/>
      <c r="LL207" s="4"/>
      <c r="LM207" s="4"/>
      <c r="LN207" s="4"/>
      <c r="LO207" s="4"/>
      <c r="LP207" s="4"/>
      <c r="LQ207" s="4"/>
      <c r="LR207" s="4"/>
      <c r="LS207" s="4"/>
      <c r="LT207" s="4"/>
      <c r="LU207" s="4"/>
      <c r="LV207" s="4"/>
      <c r="LW207" s="4"/>
      <c r="LX207" s="4"/>
      <c r="LY207" s="4"/>
      <c r="LZ207" s="4"/>
      <c r="MA207" s="4"/>
      <c r="MB207" s="4"/>
      <c r="MC207" s="4"/>
      <c r="MD207" s="4"/>
      <c r="ME207" s="4"/>
      <c r="MF207" s="4"/>
      <c r="MG207" s="4"/>
      <c r="MH207" s="4"/>
      <c r="MI207" s="4"/>
      <c r="MJ207" s="4"/>
      <c r="MK207" s="4"/>
      <c r="ML207" s="4"/>
      <c r="MM207" s="4"/>
      <c r="MN207" s="4"/>
      <c r="MO207" s="4"/>
      <c r="MP207" s="4"/>
      <c r="MQ207" s="4"/>
      <c r="MR207" s="4"/>
      <c r="MS207" s="4"/>
      <c r="MT207" s="4"/>
      <c r="MU207" s="4"/>
      <c r="MV207" s="4"/>
      <c r="MW207" s="4"/>
      <c r="MX207" s="4"/>
      <c r="MY207" s="4"/>
      <c r="MZ207" s="4"/>
      <c r="NA207" s="4"/>
      <c r="NB207" s="4"/>
      <c r="NC207" s="4"/>
      <c r="ND207" s="4"/>
      <c r="NE207" s="4"/>
      <c r="NF207" s="4"/>
      <c r="NG207" s="4"/>
      <c r="NH207" s="4"/>
      <c r="NI207" s="4"/>
      <c r="NJ207" s="4"/>
      <c r="NK207" s="4"/>
      <c r="NL207" s="4"/>
      <c r="NM207" s="4"/>
      <c r="NN207" s="4"/>
      <c r="NO207" s="4"/>
      <c r="NP207" s="4"/>
      <c r="NQ207" s="4"/>
      <c r="NR207" s="4"/>
      <c r="NS207" s="4"/>
      <c r="NT207" s="4"/>
      <c r="NU207" s="4"/>
      <c r="NV207" s="4"/>
      <c r="NW207" s="4"/>
      <c r="NX207" s="4"/>
      <c r="NY207" s="4"/>
      <c r="NZ207" s="4"/>
      <c r="OA207" s="4"/>
      <c r="OB207" s="4"/>
      <c r="OC207" s="4"/>
      <c r="OD207" s="4"/>
      <c r="OE207" s="4"/>
      <c r="OF207" s="4"/>
      <c r="OG207" s="4"/>
      <c r="OH207" s="4"/>
      <c r="OI207" s="4"/>
      <c r="OJ207" s="4"/>
      <c r="OK207" s="4"/>
      <c r="OL207" s="4"/>
      <c r="OM207" s="4"/>
      <c r="ON207" s="4"/>
      <c r="OO207" s="4"/>
      <c r="OP207" s="4"/>
      <c r="OQ207" s="4"/>
      <c r="OR207" s="4"/>
      <c r="OS207" s="4"/>
      <c r="OT207" s="4"/>
      <c r="OU207" s="4"/>
      <c r="OV207" s="4"/>
      <c r="OW207" s="4"/>
      <c r="OX207" s="4"/>
      <c r="OY207" s="4"/>
      <c r="OZ207" s="4"/>
      <c r="PA207" s="4"/>
      <c r="PB207" s="4"/>
      <c r="PC207" s="4"/>
      <c r="PD207" s="4"/>
      <c r="PE207" s="4"/>
      <c r="PF207" s="4"/>
      <c r="PG207" s="4"/>
      <c r="PH207" s="4"/>
      <c r="PI207" s="4"/>
      <c r="PJ207" s="4"/>
      <c r="PK207" s="4"/>
      <c r="PL207" s="4"/>
      <c r="PM207" s="4"/>
      <c r="PN207" s="4"/>
      <c r="PO207" s="4"/>
      <c r="PP207" s="4"/>
      <c r="PQ207" s="4"/>
      <c r="PR207" s="4"/>
      <c r="PS207" s="4"/>
      <c r="PT207" s="4"/>
      <c r="PU207" s="4"/>
      <c r="PV207" s="4"/>
      <c r="PW207" s="4"/>
      <c r="PX207" s="4"/>
      <c r="PY207" s="4"/>
      <c r="PZ207" s="4"/>
      <c r="QA207" s="4"/>
      <c r="QB207" s="4"/>
      <c r="QC207" s="4"/>
      <c r="QD207" s="4"/>
      <c r="QE207" s="4"/>
      <c r="QF207" s="4"/>
      <c r="QG207" s="4"/>
      <c r="QH207" s="4"/>
      <c r="QI207" s="4"/>
      <c r="QJ207" s="4"/>
      <c r="QK207" s="4"/>
      <c r="QL207" s="4"/>
      <c r="QM207" s="4"/>
      <c r="QN207" s="4"/>
      <c r="QO207" s="4"/>
      <c r="QP207" s="4"/>
      <c r="QQ207" s="4"/>
      <c r="QR207" s="4"/>
      <c r="QS207" s="4"/>
      <c r="QT207" s="4"/>
      <c r="QU207" s="4"/>
      <c r="QV207" s="4"/>
      <c r="QW207" s="4"/>
      <c r="QX207" s="4"/>
      <c r="QY207" s="4"/>
      <c r="QZ207" s="4"/>
      <c r="RA207" s="4"/>
      <c r="RB207" s="4"/>
      <c r="RC207" s="4"/>
      <c r="RD207" s="4"/>
    </row>
    <row r="208" spans="1:472" x14ac:dyDescent="0.25">
      <c r="A208" s="5" t="s">
        <v>272</v>
      </c>
      <c r="B208" s="5" t="s">
        <v>1544</v>
      </c>
      <c r="C208" s="5" t="s">
        <v>1443</v>
      </c>
      <c r="D208" s="5">
        <v>302</v>
      </c>
      <c r="E208" s="5"/>
      <c r="F208" s="5" t="s">
        <v>102</v>
      </c>
      <c r="I208" s="4"/>
      <c r="J208" s="4"/>
      <c r="K208" s="4"/>
      <c r="L208" s="4"/>
      <c r="M208" s="4"/>
      <c r="N208" s="4"/>
      <c r="O208" s="4"/>
      <c r="P208" s="4"/>
      <c r="Q208" s="4"/>
      <c r="R208" s="4"/>
      <c r="S208" s="4"/>
      <c r="T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4"/>
      <c r="JU208" s="4"/>
      <c r="JV208" s="4"/>
      <c r="JW208" s="4"/>
      <c r="JX208" s="4"/>
      <c r="JY208" s="4"/>
      <c r="JZ208" s="4"/>
      <c r="KA208" s="4"/>
      <c r="KB208" s="4"/>
      <c r="KC208" s="4"/>
      <c r="KD208" s="4"/>
      <c r="KE208" s="4"/>
      <c r="KF208" s="4"/>
      <c r="KG208" s="4"/>
      <c r="KH208" s="4"/>
      <c r="KI208" s="4"/>
      <c r="KJ208" s="4"/>
      <c r="KK208" s="4"/>
      <c r="KL208" s="4"/>
      <c r="KM208" s="4"/>
      <c r="KN208" s="4"/>
      <c r="KO208" s="4"/>
      <c r="KP208" s="4"/>
      <c r="KQ208" s="4"/>
      <c r="KR208" s="4"/>
      <c r="KS208" s="4"/>
      <c r="KT208" s="4"/>
      <c r="KU208" s="4"/>
      <c r="KV208" s="4"/>
      <c r="KW208" s="4"/>
      <c r="KX208" s="4"/>
      <c r="KY208" s="4"/>
      <c r="KZ208" s="4"/>
      <c r="LA208" s="4"/>
      <c r="LB208" s="4"/>
      <c r="LC208" s="4"/>
      <c r="LD208" s="4"/>
      <c r="LE208" s="4"/>
      <c r="LF208" s="4"/>
      <c r="LG208" s="4"/>
      <c r="LH208" s="4"/>
      <c r="LI208" s="4"/>
      <c r="LJ208" s="4"/>
      <c r="LK208" s="4"/>
      <c r="LL208" s="4"/>
      <c r="LM208" s="4"/>
      <c r="LN208" s="4"/>
      <c r="LO208" s="4"/>
      <c r="LP208" s="4"/>
      <c r="LQ208" s="4"/>
      <c r="LR208" s="4"/>
      <c r="LS208" s="4"/>
      <c r="LT208" s="4"/>
      <c r="LU208" s="4"/>
      <c r="LV208" s="4"/>
      <c r="LW208" s="4"/>
      <c r="LX208" s="4"/>
      <c r="LY208" s="4"/>
      <c r="LZ208" s="4"/>
      <c r="MA208" s="4"/>
      <c r="MB208" s="4"/>
      <c r="MC208" s="4"/>
      <c r="MD208" s="4"/>
      <c r="ME208" s="4"/>
      <c r="MF208" s="4"/>
      <c r="MG208" s="4"/>
      <c r="MH208" s="4"/>
      <c r="MI208" s="4"/>
      <c r="MJ208" s="4"/>
      <c r="MK208" s="4"/>
      <c r="ML208" s="4"/>
      <c r="MM208" s="4"/>
      <c r="MN208" s="4"/>
      <c r="MO208" s="4"/>
      <c r="MP208" s="4"/>
      <c r="MQ208" s="4"/>
      <c r="MR208" s="4"/>
      <c r="MS208" s="4"/>
      <c r="MT208" s="4"/>
      <c r="MU208" s="4"/>
      <c r="MV208" s="4"/>
      <c r="MW208" s="4"/>
      <c r="MX208" s="4"/>
      <c r="MY208" s="4"/>
      <c r="MZ208" s="4"/>
      <c r="NA208" s="4"/>
      <c r="NB208" s="4"/>
      <c r="NC208" s="4"/>
      <c r="ND208" s="4"/>
      <c r="NE208" s="4"/>
      <c r="NF208" s="4"/>
      <c r="NG208" s="4"/>
      <c r="NH208" s="4"/>
      <c r="NI208" s="4"/>
      <c r="NJ208" s="4"/>
      <c r="NK208" s="4"/>
      <c r="NL208" s="4"/>
      <c r="NM208" s="4"/>
      <c r="NN208" s="4"/>
      <c r="NO208" s="4"/>
      <c r="NP208" s="4"/>
      <c r="NQ208" s="4"/>
      <c r="NR208" s="4"/>
      <c r="NS208" s="4"/>
      <c r="NT208" s="4"/>
      <c r="NU208" s="4"/>
      <c r="NV208" s="4"/>
      <c r="NW208" s="4"/>
      <c r="NX208" s="4"/>
      <c r="NY208" s="4"/>
      <c r="NZ208" s="4"/>
      <c r="OA208" s="4"/>
      <c r="OB208" s="4"/>
      <c r="OC208" s="4"/>
      <c r="OD208" s="4"/>
      <c r="OE208" s="4"/>
      <c r="OF208" s="4"/>
      <c r="OG208" s="4"/>
      <c r="OH208" s="4"/>
      <c r="OI208" s="4"/>
      <c r="OJ208" s="4"/>
      <c r="OK208" s="4"/>
      <c r="OL208" s="4"/>
      <c r="OM208" s="4"/>
      <c r="ON208" s="4"/>
      <c r="OO208" s="4"/>
      <c r="OP208" s="4"/>
      <c r="OQ208" s="4"/>
      <c r="OR208" s="4"/>
      <c r="OS208" s="4"/>
      <c r="OT208" s="4"/>
      <c r="OU208" s="4"/>
      <c r="OV208" s="4"/>
      <c r="OW208" s="4"/>
      <c r="OX208" s="4"/>
      <c r="OY208" s="4"/>
      <c r="OZ208" s="4"/>
      <c r="PA208" s="4"/>
      <c r="PB208" s="4"/>
      <c r="PC208" s="4"/>
      <c r="PD208" s="4"/>
      <c r="PE208" s="4"/>
      <c r="PF208" s="4"/>
      <c r="PG208" s="4"/>
      <c r="PH208" s="4"/>
      <c r="PI208" s="4"/>
      <c r="PJ208" s="4"/>
      <c r="PK208" s="4"/>
      <c r="PL208" s="4"/>
      <c r="PM208" s="4"/>
      <c r="PN208" s="4"/>
      <c r="PO208" s="4"/>
      <c r="PP208" s="4"/>
      <c r="PQ208" s="4"/>
      <c r="PR208" s="4"/>
      <c r="PS208" s="4"/>
      <c r="PT208" s="4"/>
      <c r="PU208" s="4"/>
      <c r="PV208" s="4"/>
      <c r="PW208" s="4"/>
      <c r="PX208" s="4"/>
      <c r="PY208" s="4"/>
      <c r="PZ208" s="4"/>
      <c r="QA208" s="4"/>
      <c r="QB208" s="4"/>
      <c r="QC208" s="4"/>
      <c r="QD208" s="4"/>
      <c r="QE208" s="4"/>
      <c r="QF208" s="4"/>
      <c r="QG208" s="4"/>
      <c r="QH208" s="4"/>
      <c r="QI208" s="4"/>
      <c r="QJ208" s="4"/>
      <c r="QK208" s="4"/>
      <c r="QL208" s="4"/>
      <c r="QM208" s="4"/>
      <c r="QN208" s="4"/>
      <c r="QO208" s="4"/>
      <c r="QP208" s="4"/>
      <c r="QQ208" s="4"/>
      <c r="QR208" s="4"/>
      <c r="QS208" s="4"/>
      <c r="QT208" s="4"/>
      <c r="QU208" s="4"/>
      <c r="QV208" s="4"/>
      <c r="QW208" s="4"/>
      <c r="QX208" s="4"/>
      <c r="QY208" s="4"/>
      <c r="QZ208" s="4"/>
      <c r="RA208" s="4"/>
      <c r="RB208" s="4"/>
      <c r="RC208" s="4"/>
      <c r="RD208" s="4"/>
    </row>
    <row r="209" spans="1:472" x14ac:dyDescent="0.25">
      <c r="A209" s="5" t="s">
        <v>272</v>
      </c>
      <c r="B209" s="5" t="s">
        <v>1549</v>
      </c>
      <c r="C209" s="5" t="s">
        <v>4</v>
      </c>
      <c r="D209" s="5">
        <v>394</v>
      </c>
      <c r="E209" s="5"/>
      <c r="F209" s="5"/>
      <c r="I209" s="4"/>
      <c r="J209" s="4"/>
      <c r="K209" s="4"/>
      <c r="L209" s="4"/>
      <c r="M209" s="4"/>
      <c r="N209" s="4"/>
      <c r="O209" s="4"/>
      <c r="P209" s="4"/>
      <c r="Q209" s="4"/>
      <c r="R209" s="4"/>
      <c r="S209" s="4"/>
      <c r="T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4"/>
      <c r="JU209" s="4"/>
      <c r="JV209" s="4"/>
      <c r="JW209" s="4"/>
      <c r="JX209" s="4"/>
      <c r="JY209" s="4"/>
      <c r="JZ209" s="4"/>
      <c r="KA209" s="4"/>
      <c r="KB209" s="4"/>
      <c r="KC209" s="4"/>
      <c r="KD209" s="4"/>
      <c r="KE209" s="4"/>
      <c r="KF209" s="4"/>
      <c r="KG209" s="4"/>
      <c r="KH209" s="4"/>
      <c r="KI209" s="4"/>
      <c r="KJ209" s="4"/>
      <c r="KK209" s="4"/>
      <c r="KL209" s="4"/>
      <c r="KM209" s="4"/>
      <c r="KN209" s="4"/>
      <c r="KO209" s="4"/>
      <c r="KP209" s="4"/>
      <c r="KQ209" s="4"/>
      <c r="KR209" s="4"/>
      <c r="KS209" s="4"/>
      <c r="KT209" s="4"/>
      <c r="KU209" s="4"/>
      <c r="KV209" s="4"/>
      <c r="KW209" s="4"/>
      <c r="KX209" s="4"/>
      <c r="KY209" s="4"/>
      <c r="KZ209" s="4"/>
      <c r="LA209" s="4"/>
      <c r="LB209" s="4"/>
      <c r="LC209" s="4"/>
      <c r="LD209" s="4"/>
      <c r="LE209" s="4"/>
      <c r="LF209" s="4"/>
      <c r="LG209" s="4"/>
      <c r="LH209" s="4"/>
      <c r="LI209" s="4"/>
      <c r="LJ209" s="4"/>
      <c r="LK209" s="4"/>
      <c r="LL209" s="4"/>
      <c r="LM209" s="4"/>
      <c r="LN209" s="4"/>
      <c r="LO209" s="4"/>
      <c r="LP209" s="4"/>
      <c r="LQ209" s="4"/>
      <c r="LR209" s="4"/>
      <c r="LS209" s="4"/>
      <c r="LT209" s="4"/>
      <c r="LU209" s="4"/>
      <c r="LV209" s="4"/>
      <c r="LW209" s="4"/>
      <c r="LX209" s="4"/>
      <c r="LY209" s="4"/>
      <c r="LZ209" s="4"/>
      <c r="MA209" s="4"/>
      <c r="MB209" s="4"/>
      <c r="MC209" s="4"/>
      <c r="MD209" s="4"/>
      <c r="ME209" s="4"/>
      <c r="MF209" s="4"/>
      <c r="MG209" s="4"/>
      <c r="MH209" s="4"/>
      <c r="MI209" s="4"/>
      <c r="MJ209" s="4"/>
      <c r="MK209" s="4"/>
      <c r="ML209" s="4"/>
      <c r="MM209" s="4"/>
      <c r="MN209" s="4"/>
      <c r="MO209" s="4"/>
      <c r="MP209" s="4"/>
      <c r="MQ209" s="4"/>
      <c r="MR209" s="4"/>
      <c r="MS209" s="4"/>
      <c r="MT209" s="4"/>
      <c r="MU209" s="4"/>
      <c r="MV209" s="4"/>
      <c r="MW209" s="4"/>
      <c r="MX209" s="4"/>
      <c r="MY209" s="4"/>
      <c r="MZ209" s="4"/>
      <c r="NA209" s="4"/>
      <c r="NB209" s="4"/>
      <c r="NC209" s="4"/>
      <c r="ND209" s="4"/>
      <c r="NE209" s="4"/>
      <c r="NF209" s="4"/>
      <c r="NG209" s="4"/>
      <c r="NH209" s="4"/>
      <c r="NI209" s="4"/>
      <c r="NJ209" s="4"/>
      <c r="NK209" s="4"/>
      <c r="NL209" s="4"/>
      <c r="NM209" s="4"/>
      <c r="NN209" s="4"/>
      <c r="NO209" s="4"/>
      <c r="NP209" s="4"/>
      <c r="NQ209" s="4"/>
      <c r="NR209" s="4"/>
      <c r="NS209" s="4"/>
      <c r="NT209" s="4"/>
      <c r="NU209" s="4"/>
      <c r="NV209" s="4"/>
      <c r="NW209" s="4"/>
      <c r="NX209" s="4"/>
      <c r="NY209" s="4"/>
      <c r="NZ209" s="4"/>
      <c r="OA209" s="4"/>
      <c r="OB209" s="4"/>
      <c r="OC209" s="4"/>
      <c r="OD209" s="4"/>
      <c r="OE209" s="4"/>
      <c r="OF209" s="4"/>
      <c r="OG209" s="4"/>
      <c r="OH209" s="4"/>
      <c r="OI209" s="4"/>
      <c r="OJ209" s="4"/>
      <c r="OK209" s="4"/>
      <c r="OL209" s="4"/>
      <c r="OM209" s="4"/>
      <c r="ON209" s="4"/>
      <c r="OO209" s="4"/>
      <c r="OP209" s="4"/>
      <c r="OQ209" s="4"/>
      <c r="OR209" s="4"/>
      <c r="OS209" s="4"/>
      <c r="OT209" s="4"/>
      <c r="OU209" s="4"/>
      <c r="OV209" s="4"/>
      <c r="OW209" s="4"/>
      <c r="OX209" s="4"/>
      <c r="OY209" s="4"/>
      <c r="OZ209" s="4"/>
      <c r="PA209" s="4"/>
      <c r="PB209" s="4"/>
      <c r="PC209" s="4"/>
      <c r="PD209" s="4"/>
      <c r="PE209" s="4"/>
      <c r="PF209" s="4"/>
      <c r="PG209" s="4"/>
      <c r="PH209" s="4"/>
      <c r="PI209" s="4"/>
      <c r="PJ209" s="4"/>
      <c r="PK209" s="4"/>
      <c r="PL209" s="4"/>
      <c r="PM209" s="4"/>
      <c r="PN209" s="4"/>
      <c r="PO209" s="4"/>
      <c r="PP209" s="4"/>
      <c r="PQ209" s="4"/>
      <c r="PR209" s="4"/>
      <c r="PS209" s="4"/>
      <c r="PT209" s="4"/>
      <c r="PU209" s="4"/>
      <c r="PV209" s="4"/>
      <c r="PW209" s="4"/>
      <c r="PX209" s="4"/>
      <c r="PY209" s="4"/>
      <c r="PZ209" s="4"/>
      <c r="QA209" s="4"/>
      <c r="QB209" s="4"/>
      <c r="QC209" s="4"/>
      <c r="QD209" s="4"/>
      <c r="QE209" s="4"/>
      <c r="QF209" s="4"/>
      <c r="QG209" s="4"/>
      <c r="QH209" s="4"/>
      <c r="QI209" s="4"/>
      <c r="QJ209" s="4"/>
      <c r="QK209" s="4"/>
      <c r="QL209" s="4"/>
      <c r="QM209" s="4"/>
      <c r="QN209" s="4"/>
      <c r="QO209" s="4"/>
      <c r="QP209" s="4"/>
      <c r="QQ209" s="4"/>
      <c r="QR209" s="4"/>
      <c r="QS209" s="4"/>
      <c r="QT209" s="4"/>
      <c r="QU209" s="4"/>
      <c r="QV209" s="4"/>
      <c r="QW209" s="4"/>
      <c r="QX209" s="4"/>
      <c r="QY209" s="4"/>
      <c r="QZ209" s="4"/>
      <c r="RA209" s="4"/>
      <c r="RB209" s="4"/>
      <c r="RC209" s="4"/>
      <c r="RD209" s="4"/>
    </row>
    <row r="210" spans="1:472" ht="30" x14ac:dyDescent="0.25">
      <c r="A210" s="5" t="s">
        <v>71</v>
      </c>
      <c r="B210" s="1" t="s">
        <v>1550</v>
      </c>
      <c r="C210" s="5" t="s">
        <v>230</v>
      </c>
      <c r="D210" s="5">
        <v>290</v>
      </c>
      <c r="E210" s="5"/>
      <c r="F210" s="5"/>
      <c r="I210" s="4"/>
      <c r="J210" s="4"/>
      <c r="K210" s="4"/>
      <c r="L210" s="4"/>
      <c r="M210" s="4"/>
      <c r="N210" s="4"/>
      <c r="O210" s="4"/>
      <c r="P210" s="4"/>
      <c r="Q210" s="4"/>
      <c r="R210" s="4"/>
      <c r="S210" s="4"/>
      <c r="T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c r="JC210" s="4"/>
      <c r="JD210" s="4"/>
      <c r="JE210" s="4"/>
      <c r="JF210" s="4"/>
      <c r="JG210" s="4"/>
      <c r="JH210" s="4"/>
      <c r="JI210" s="4"/>
      <c r="JJ210" s="4"/>
      <c r="JK210" s="4"/>
      <c r="JL210" s="4"/>
      <c r="JM210" s="4"/>
      <c r="JN210" s="4"/>
      <c r="JO210" s="4"/>
      <c r="JP210" s="4"/>
      <c r="JQ210" s="4"/>
      <c r="JR210" s="4"/>
      <c r="JS210" s="4"/>
      <c r="JT210" s="4"/>
      <c r="JU210" s="4"/>
      <c r="JV210" s="4"/>
      <c r="JW210" s="4"/>
      <c r="JX210" s="4"/>
      <c r="JY210" s="4"/>
      <c r="JZ210" s="4"/>
      <c r="KA210" s="4"/>
      <c r="KB210" s="4"/>
      <c r="KC210" s="4"/>
      <c r="KD210" s="4"/>
      <c r="KE210" s="4"/>
      <c r="KF210" s="4"/>
      <c r="KG210" s="4"/>
      <c r="KH210" s="4"/>
      <c r="KI210" s="4"/>
      <c r="KJ210" s="4"/>
      <c r="KK210" s="4"/>
      <c r="KL210" s="4"/>
      <c r="KM210" s="4"/>
      <c r="KN210" s="4"/>
      <c r="KO210" s="4"/>
      <c r="KP210" s="4"/>
      <c r="KQ210" s="4"/>
      <c r="KR210" s="4"/>
      <c r="KS210" s="4"/>
      <c r="KT210" s="4"/>
      <c r="KU210" s="4"/>
      <c r="KV210" s="4"/>
      <c r="KW210" s="4"/>
      <c r="KX210" s="4"/>
      <c r="KY210" s="4"/>
      <c r="KZ210" s="4"/>
      <c r="LA210" s="4"/>
      <c r="LB210" s="4"/>
      <c r="LC210" s="4"/>
      <c r="LD210" s="4"/>
      <c r="LE210" s="4"/>
      <c r="LF210" s="4"/>
      <c r="LG210" s="4"/>
      <c r="LH210" s="4"/>
      <c r="LI210" s="4"/>
      <c r="LJ210" s="4"/>
      <c r="LK210" s="4"/>
      <c r="LL210" s="4"/>
      <c r="LM210" s="4"/>
      <c r="LN210" s="4"/>
      <c r="LO210" s="4"/>
      <c r="LP210" s="4"/>
      <c r="LQ210" s="4"/>
      <c r="LR210" s="4"/>
      <c r="LS210" s="4"/>
      <c r="LT210" s="4"/>
      <c r="LU210" s="4"/>
      <c r="LV210" s="4"/>
      <c r="LW210" s="4"/>
      <c r="LX210" s="4"/>
      <c r="LY210" s="4"/>
      <c r="LZ210" s="4"/>
      <c r="MA210" s="4"/>
      <c r="MB210" s="4"/>
      <c r="MC210" s="4"/>
      <c r="MD210" s="4"/>
      <c r="ME210" s="4"/>
      <c r="MF210" s="4"/>
      <c r="MG210" s="4"/>
      <c r="MH210" s="4"/>
      <c r="MI210" s="4"/>
      <c r="MJ210" s="4"/>
      <c r="MK210" s="4"/>
      <c r="ML210" s="4"/>
      <c r="MM210" s="4"/>
      <c r="MN210" s="4"/>
      <c r="MO210" s="4"/>
      <c r="MP210" s="4"/>
      <c r="MQ210" s="4"/>
      <c r="MR210" s="4"/>
      <c r="MS210" s="4"/>
      <c r="MT210" s="4"/>
      <c r="MU210" s="4"/>
      <c r="MV210" s="4"/>
      <c r="MW210" s="4"/>
      <c r="MX210" s="4"/>
      <c r="MY210" s="4"/>
      <c r="MZ210" s="4"/>
      <c r="NA210" s="4"/>
      <c r="NB210" s="4"/>
      <c r="NC210" s="4"/>
      <c r="ND210" s="4"/>
      <c r="NE210" s="4"/>
      <c r="NF210" s="4"/>
      <c r="NG210" s="4"/>
      <c r="NH210" s="4"/>
      <c r="NI210" s="4"/>
      <c r="NJ210" s="4"/>
      <c r="NK210" s="4"/>
      <c r="NL210" s="4"/>
      <c r="NM210" s="4"/>
      <c r="NN210" s="4"/>
      <c r="NO210" s="4"/>
      <c r="NP210" s="4"/>
      <c r="NQ210" s="4"/>
      <c r="NR210" s="4"/>
      <c r="NS210" s="4"/>
      <c r="NT210" s="4"/>
      <c r="NU210" s="4"/>
      <c r="NV210" s="4"/>
      <c r="NW210" s="4"/>
      <c r="NX210" s="4"/>
      <c r="NY210" s="4"/>
      <c r="NZ210" s="4"/>
      <c r="OA210" s="4"/>
      <c r="OB210" s="4"/>
      <c r="OC210" s="4"/>
      <c r="OD210" s="4"/>
      <c r="OE210" s="4"/>
      <c r="OF210" s="4"/>
      <c r="OG210" s="4"/>
      <c r="OH210" s="4"/>
      <c r="OI210" s="4"/>
      <c r="OJ210" s="4"/>
      <c r="OK210" s="4"/>
      <c r="OL210" s="4"/>
      <c r="OM210" s="4"/>
      <c r="ON210" s="4"/>
      <c r="OO210" s="4"/>
      <c r="OP210" s="4"/>
      <c r="OQ210" s="4"/>
      <c r="OR210" s="4"/>
      <c r="OS210" s="4"/>
      <c r="OT210" s="4"/>
      <c r="OU210" s="4"/>
      <c r="OV210" s="4"/>
      <c r="OW210" s="4"/>
      <c r="OX210" s="4"/>
      <c r="OY210" s="4"/>
      <c r="OZ210" s="4"/>
      <c r="PA210" s="4"/>
      <c r="PB210" s="4"/>
      <c r="PC210" s="4"/>
      <c r="PD210" s="4"/>
      <c r="PE210" s="4"/>
      <c r="PF210" s="4"/>
      <c r="PG210" s="4"/>
      <c r="PH210" s="4"/>
      <c r="PI210" s="4"/>
      <c r="PJ210" s="4"/>
      <c r="PK210" s="4"/>
      <c r="PL210" s="4"/>
      <c r="PM210" s="4"/>
      <c r="PN210" s="4"/>
      <c r="PO210" s="4"/>
      <c r="PP210" s="4"/>
      <c r="PQ210" s="4"/>
      <c r="PR210" s="4"/>
      <c r="PS210" s="4"/>
      <c r="PT210" s="4"/>
      <c r="PU210" s="4"/>
      <c r="PV210" s="4"/>
      <c r="PW210" s="4"/>
      <c r="PX210" s="4"/>
      <c r="PY210" s="4"/>
      <c r="PZ210" s="4"/>
      <c r="QA210" s="4"/>
      <c r="QB210" s="4"/>
      <c r="QC210" s="4"/>
      <c r="QD210" s="4"/>
      <c r="QE210" s="4"/>
      <c r="QF210" s="4"/>
      <c r="QG210" s="4"/>
      <c r="QH210" s="4"/>
      <c r="QI210" s="4"/>
      <c r="QJ210" s="4"/>
      <c r="QK210" s="4"/>
      <c r="QL210" s="4"/>
      <c r="QM210" s="4"/>
      <c r="QN210" s="4"/>
      <c r="QO210" s="4"/>
      <c r="QP210" s="4"/>
      <c r="QQ210" s="4"/>
      <c r="QR210" s="4"/>
      <c r="QS210" s="4"/>
      <c r="QT210" s="4"/>
      <c r="QU210" s="4"/>
      <c r="QV210" s="4"/>
      <c r="QW210" s="4"/>
      <c r="QX210" s="4"/>
      <c r="QY210" s="4"/>
      <c r="QZ210" s="4"/>
      <c r="RA210" s="4"/>
      <c r="RB210" s="4"/>
      <c r="RC210" s="4"/>
      <c r="RD210" s="4"/>
    </row>
    <row r="211" spans="1:472" x14ac:dyDescent="0.25">
      <c r="A211" s="5" t="s">
        <v>272</v>
      </c>
      <c r="B211" s="1" t="s">
        <v>1567</v>
      </c>
      <c r="C211" s="5" t="s">
        <v>5</v>
      </c>
      <c r="D211" s="5">
        <v>215</v>
      </c>
      <c r="E211" s="5"/>
      <c r="F211" s="60"/>
      <c r="I211" s="4"/>
      <c r="J211" s="4"/>
      <c r="K211" s="4"/>
      <c r="L211" s="4"/>
      <c r="M211" s="4"/>
      <c r="N211" s="4"/>
      <c r="O211" s="4"/>
      <c r="P211" s="4"/>
      <c r="Q211" s="4"/>
      <c r="R211" s="4"/>
      <c r="S211" s="4"/>
      <c r="T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c r="JN211" s="4"/>
      <c r="JO211" s="4"/>
      <c r="JP211" s="4"/>
      <c r="JQ211" s="4"/>
      <c r="JR211" s="4"/>
      <c r="JS211" s="4"/>
      <c r="JT211" s="4"/>
      <c r="JU211" s="4"/>
      <c r="JV211" s="4"/>
      <c r="JW211" s="4"/>
      <c r="JX211" s="4"/>
      <c r="JY211" s="4"/>
      <c r="JZ211" s="4"/>
      <c r="KA211" s="4"/>
      <c r="KB211" s="4"/>
      <c r="KC211" s="4"/>
      <c r="KD211" s="4"/>
      <c r="KE211" s="4"/>
      <c r="KF211" s="4"/>
      <c r="KG211" s="4"/>
      <c r="KH211" s="4"/>
      <c r="KI211" s="4"/>
      <c r="KJ211" s="4"/>
      <c r="KK211" s="4"/>
      <c r="KL211" s="4"/>
      <c r="KM211" s="4"/>
      <c r="KN211" s="4"/>
      <c r="KO211" s="4"/>
      <c r="KP211" s="4"/>
      <c r="KQ211" s="4"/>
      <c r="KR211" s="4"/>
      <c r="KS211" s="4"/>
      <c r="KT211" s="4"/>
      <c r="KU211" s="4"/>
      <c r="KV211" s="4"/>
      <c r="KW211" s="4"/>
      <c r="KX211" s="4"/>
      <c r="KY211" s="4"/>
      <c r="KZ211" s="4"/>
      <c r="LA211" s="4"/>
      <c r="LB211" s="4"/>
      <c r="LC211" s="4"/>
      <c r="LD211" s="4"/>
      <c r="LE211" s="4"/>
      <c r="LF211" s="4"/>
      <c r="LG211" s="4"/>
      <c r="LH211" s="4"/>
      <c r="LI211" s="4"/>
      <c r="LJ211" s="4"/>
      <c r="LK211" s="4"/>
      <c r="LL211" s="4"/>
      <c r="LM211" s="4"/>
      <c r="LN211" s="4"/>
      <c r="LO211" s="4"/>
      <c r="LP211" s="4"/>
      <c r="LQ211" s="4"/>
      <c r="LR211" s="4"/>
      <c r="LS211" s="4"/>
      <c r="LT211" s="4"/>
      <c r="LU211" s="4"/>
      <c r="LV211" s="4"/>
      <c r="LW211" s="4"/>
      <c r="LX211" s="4"/>
      <c r="LY211" s="4"/>
      <c r="LZ211" s="4"/>
      <c r="MA211" s="4"/>
      <c r="MB211" s="4"/>
      <c r="MC211" s="4"/>
      <c r="MD211" s="4"/>
      <c r="ME211" s="4"/>
      <c r="MF211" s="4"/>
      <c r="MG211" s="4"/>
      <c r="MH211" s="4"/>
      <c r="MI211" s="4"/>
      <c r="MJ211" s="4"/>
      <c r="MK211" s="4"/>
      <c r="ML211" s="4"/>
      <c r="MM211" s="4"/>
      <c r="MN211" s="4"/>
      <c r="MO211" s="4"/>
      <c r="MP211" s="4"/>
      <c r="MQ211" s="4"/>
      <c r="MR211" s="4"/>
      <c r="MS211" s="4"/>
      <c r="MT211" s="4"/>
      <c r="MU211" s="4"/>
      <c r="MV211" s="4"/>
      <c r="MW211" s="4"/>
      <c r="MX211" s="4"/>
      <c r="MY211" s="4"/>
      <c r="MZ211" s="4"/>
      <c r="NA211" s="4"/>
      <c r="NB211" s="4"/>
      <c r="NC211" s="4"/>
      <c r="ND211" s="4"/>
      <c r="NE211" s="4"/>
      <c r="NF211" s="4"/>
      <c r="NG211" s="4"/>
      <c r="NH211" s="4"/>
      <c r="NI211" s="4"/>
      <c r="NJ211" s="4"/>
      <c r="NK211" s="4"/>
      <c r="NL211" s="4"/>
      <c r="NM211" s="4"/>
      <c r="NN211" s="4"/>
      <c r="NO211" s="4"/>
      <c r="NP211" s="4"/>
      <c r="NQ211" s="4"/>
      <c r="NR211" s="4"/>
      <c r="NS211" s="4"/>
      <c r="NT211" s="4"/>
      <c r="NU211" s="4"/>
      <c r="NV211" s="4"/>
      <c r="NW211" s="4"/>
      <c r="NX211" s="4"/>
      <c r="NY211" s="4"/>
      <c r="NZ211" s="4"/>
      <c r="OA211" s="4"/>
      <c r="OB211" s="4"/>
      <c r="OC211" s="4"/>
      <c r="OD211" s="4"/>
      <c r="OE211" s="4"/>
      <c r="OF211" s="4"/>
      <c r="OG211" s="4"/>
      <c r="OH211" s="4"/>
      <c r="OI211" s="4"/>
      <c r="OJ211" s="4"/>
      <c r="OK211" s="4"/>
      <c r="OL211" s="4"/>
      <c r="OM211" s="4"/>
      <c r="ON211" s="4"/>
      <c r="OO211" s="4"/>
      <c r="OP211" s="4"/>
      <c r="OQ211" s="4"/>
      <c r="OR211" s="4"/>
      <c r="OS211" s="4"/>
      <c r="OT211" s="4"/>
      <c r="OU211" s="4"/>
      <c r="OV211" s="4"/>
      <c r="OW211" s="4"/>
      <c r="OX211" s="4"/>
      <c r="OY211" s="4"/>
      <c r="OZ211" s="4"/>
      <c r="PA211" s="4"/>
      <c r="PB211" s="4"/>
      <c r="PC211" s="4"/>
      <c r="PD211" s="4"/>
      <c r="PE211" s="4"/>
      <c r="PF211" s="4"/>
      <c r="PG211" s="4"/>
      <c r="PH211" s="4"/>
      <c r="PI211" s="4"/>
      <c r="PJ211" s="4"/>
      <c r="PK211" s="4"/>
      <c r="PL211" s="4"/>
      <c r="PM211" s="4"/>
      <c r="PN211" s="4"/>
      <c r="PO211" s="4"/>
      <c r="PP211" s="4"/>
      <c r="PQ211" s="4"/>
      <c r="PR211" s="4"/>
      <c r="PS211" s="4"/>
      <c r="PT211" s="4"/>
      <c r="PU211" s="4"/>
      <c r="PV211" s="4"/>
      <c r="PW211" s="4"/>
      <c r="PX211" s="4"/>
      <c r="PY211" s="4"/>
      <c r="PZ211" s="4"/>
      <c r="QA211" s="4"/>
      <c r="QB211" s="4"/>
      <c r="QC211" s="4"/>
      <c r="QD211" s="4"/>
      <c r="QE211" s="4"/>
      <c r="QF211" s="4"/>
      <c r="QG211" s="4"/>
      <c r="QH211" s="4"/>
      <c r="QI211" s="4"/>
      <c r="QJ211" s="4"/>
      <c r="QK211" s="4"/>
      <c r="QL211" s="4"/>
      <c r="QM211" s="4"/>
      <c r="QN211" s="4"/>
      <c r="QO211" s="4"/>
      <c r="QP211" s="4"/>
      <c r="QQ211" s="4"/>
      <c r="QR211" s="4"/>
      <c r="QS211" s="4"/>
      <c r="QT211" s="4"/>
      <c r="QU211" s="4"/>
      <c r="QV211" s="4"/>
      <c r="QW211" s="4"/>
      <c r="QX211" s="4"/>
      <c r="QY211" s="4"/>
      <c r="QZ211" s="4"/>
      <c r="RA211" s="4"/>
      <c r="RB211" s="4"/>
      <c r="RC211" s="4"/>
      <c r="RD211" s="4"/>
    </row>
    <row r="212" spans="1:472" x14ac:dyDescent="0.25">
      <c r="A212" s="5" t="s">
        <v>71</v>
      </c>
      <c r="B212" s="1" t="s">
        <v>1575</v>
      </c>
      <c r="C212" s="5" t="s">
        <v>1576</v>
      </c>
      <c r="D212" s="5">
        <v>30</v>
      </c>
      <c r="E212" s="5"/>
      <c r="F212" s="60"/>
      <c r="I212" s="4"/>
      <c r="J212" s="4"/>
      <c r="K212" s="4"/>
      <c r="L212" s="4"/>
      <c r="M212" s="4"/>
      <c r="N212" s="4"/>
      <c r="O212" s="4"/>
      <c r="P212" s="4"/>
      <c r="Q212" s="4"/>
      <c r="R212" s="4"/>
      <c r="S212" s="4"/>
      <c r="T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4"/>
      <c r="JU212" s="4"/>
      <c r="JV212" s="4"/>
      <c r="JW212" s="4"/>
      <c r="JX212" s="4"/>
      <c r="JY212" s="4"/>
      <c r="JZ212" s="4"/>
      <c r="KA212" s="4"/>
      <c r="KB212" s="4"/>
      <c r="KC212" s="4"/>
      <c r="KD212" s="4"/>
      <c r="KE212" s="4"/>
      <c r="KF212" s="4"/>
      <c r="KG212" s="4"/>
      <c r="KH212" s="4"/>
      <c r="KI212" s="4"/>
      <c r="KJ212" s="4"/>
      <c r="KK212" s="4"/>
      <c r="KL212" s="4"/>
      <c r="KM212" s="4"/>
      <c r="KN212" s="4"/>
      <c r="KO212" s="4"/>
      <c r="KP212" s="4"/>
      <c r="KQ212" s="4"/>
      <c r="KR212" s="4"/>
      <c r="KS212" s="4"/>
      <c r="KT212" s="4"/>
      <c r="KU212" s="4"/>
      <c r="KV212" s="4"/>
      <c r="KW212" s="4"/>
      <c r="KX212" s="4"/>
      <c r="KY212" s="4"/>
      <c r="KZ212" s="4"/>
      <c r="LA212" s="4"/>
      <c r="LB212" s="4"/>
      <c r="LC212" s="4"/>
      <c r="LD212" s="4"/>
      <c r="LE212" s="4"/>
      <c r="LF212" s="4"/>
      <c r="LG212" s="4"/>
      <c r="LH212" s="4"/>
      <c r="LI212" s="4"/>
      <c r="LJ212" s="4"/>
      <c r="LK212" s="4"/>
      <c r="LL212" s="4"/>
      <c r="LM212" s="4"/>
      <c r="LN212" s="4"/>
      <c r="LO212" s="4"/>
      <c r="LP212" s="4"/>
      <c r="LQ212" s="4"/>
      <c r="LR212" s="4"/>
      <c r="LS212" s="4"/>
      <c r="LT212" s="4"/>
      <c r="LU212" s="4"/>
      <c r="LV212" s="4"/>
      <c r="LW212" s="4"/>
      <c r="LX212" s="4"/>
      <c r="LY212" s="4"/>
      <c r="LZ212" s="4"/>
      <c r="MA212" s="4"/>
      <c r="MB212" s="4"/>
      <c r="MC212" s="4"/>
      <c r="MD212" s="4"/>
      <c r="ME212" s="4"/>
      <c r="MF212" s="4"/>
      <c r="MG212" s="4"/>
      <c r="MH212" s="4"/>
      <c r="MI212" s="4"/>
      <c r="MJ212" s="4"/>
      <c r="MK212" s="4"/>
      <c r="ML212" s="4"/>
      <c r="MM212" s="4"/>
      <c r="MN212" s="4"/>
      <c r="MO212" s="4"/>
      <c r="MP212" s="4"/>
      <c r="MQ212" s="4"/>
      <c r="MR212" s="4"/>
      <c r="MS212" s="4"/>
      <c r="MT212" s="4"/>
      <c r="MU212" s="4"/>
      <c r="MV212" s="4"/>
      <c r="MW212" s="4"/>
      <c r="MX212" s="4"/>
      <c r="MY212" s="4"/>
      <c r="MZ212" s="4"/>
      <c r="NA212" s="4"/>
      <c r="NB212" s="4"/>
      <c r="NC212" s="4"/>
      <c r="ND212" s="4"/>
      <c r="NE212" s="4"/>
      <c r="NF212" s="4"/>
      <c r="NG212" s="4"/>
      <c r="NH212" s="4"/>
      <c r="NI212" s="4"/>
      <c r="NJ212" s="4"/>
      <c r="NK212" s="4"/>
      <c r="NL212" s="4"/>
      <c r="NM212" s="4"/>
      <c r="NN212" s="4"/>
      <c r="NO212" s="4"/>
      <c r="NP212" s="4"/>
      <c r="NQ212" s="4"/>
      <c r="NR212" s="4"/>
      <c r="NS212" s="4"/>
      <c r="NT212" s="4"/>
      <c r="NU212" s="4"/>
      <c r="NV212" s="4"/>
      <c r="NW212" s="4"/>
      <c r="NX212" s="4"/>
      <c r="NY212" s="4"/>
      <c r="NZ212" s="4"/>
      <c r="OA212" s="4"/>
      <c r="OB212" s="4"/>
      <c r="OC212" s="4"/>
      <c r="OD212" s="4"/>
      <c r="OE212" s="4"/>
      <c r="OF212" s="4"/>
      <c r="OG212" s="4"/>
      <c r="OH212" s="4"/>
      <c r="OI212" s="4"/>
      <c r="OJ212" s="4"/>
      <c r="OK212" s="4"/>
      <c r="OL212" s="4"/>
      <c r="OM212" s="4"/>
      <c r="ON212" s="4"/>
      <c r="OO212" s="4"/>
      <c r="OP212" s="4"/>
      <c r="OQ212" s="4"/>
      <c r="OR212" s="4"/>
      <c r="OS212" s="4"/>
      <c r="OT212" s="4"/>
      <c r="OU212" s="4"/>
      <c r="OV212" s="4"/>
      <c r="OW212" s="4"/>
      <c r="OX212" s="4"/>
      <c r="OY212" s="4"/>
      <c r="OZ212" s="4"/>
      <c r="PA212" s="4"/>
      <c r="PB212" s="4"/>
      <c r="PC212" s="4"/>
      <c r="PD212" s="4"/>
      <c r="PE212" s="4"/>
      <c r="PF212" s="4"/>
      <c r="PG212" s="4"/>
      <c r="PH212" s="4"/>
      <c r="PI212" s="4"/>
      <c r="PJ212" s="4"/>
      <c r="PK212" s="4"/>
      <c r="PL212" s="4"/>
      <c r="PM212" s="4"/>
      <c r="PN212" s="4"/>
      <c r="PO212" s="4"/>
      <c r="PP212" s="4"/>
      <c r="PQ212" s="4"/>
      <c r="PR212" s="4"/>
      <c r="PS212" s="4"/>
      <c r="PT212" s="4"/>
      <c r="PU212" s="4"/>
      <c r="PV212" s="4"/>
      <c r="PW212" s="4"/>
      <c r="PX212" s="4"/>
      <c r="PY212" s="4"/>
      <c r="PZ212" s="4"/>
      <c r="QA212" s="4"/>
      <c r="QB212" s="4"/>
      <c r="QC212" s="4"/>
      <c r="QD212" s="4"/>
      <c r="QE212" s="4"/>
      <c r="QF212" s="4"/>
      <c r="QG212" s="4"/>
      <c r="QH212" s="4"/>
      <c r="QI212" s="4"/>
      <c r="QJ212" s="4"/>
      <c r="QK212" s="4"/>
      <c r="QL212" s="4"/>
      <c r="QM212" s="4"/>
      <c r="QN212" s="4"/>
      <c r="QO212" s="4"/>
      <c r="QP212" s="4"/>
      <c r="QQ212" s="4"/>
      <c r="QR212" s="4"/>
      <c r="QS212" s="4"/>
      <c r="QT212" s="4"/>
      <c r="QU212" s="4"/>
      <c r="QV212" s="4"/>
      <c r="QW212" s="4"/>
      <c r="QX212" s="4"/>
      <c r="QY212" s="4"/>
      <c r="QZ212" s="4"/>
      <c r="RA212" s="4"/>
      <c r="RB212" s="4"/>
      <c r="RC212" s="4"/>
      <c r="RD212" s="4"/>
    </row>
    <row r="213" spans="1:472" x14ac:dyDescent="0.25">
      <c r="A213" s="5" t="s">
        <v>272</v>
      </c>
      <c r="B213" s="1" t="s">
        <v>1566</v>
      </c>
      <c r="C213" s="5" t="s">
        <v>230</v>
      </c>
      <c r="D213" s="5">
        <v>126</v>
      </c>
      <c r="E213" s="5"/>
      <c r="F213" s="60"/>
      <c r="I213" s="4"/>
      <c r="J213" s="4"/>
      <c r="K213" s="4"/>
      <c r="L213" s="4"/>
      <c r="M213" s="4"/>
      <c r="N213" s="4"/>
      <c r="O213" s="4"/>
      <c r="P213" s="4"/>
      <c r="Q213" s="4"/>
      <c r="R213" s="4"/>
      <c r="S213" s="4"/>
      <c r="T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4"/>
      <c r="JU213" s="4"/>
      <c r="JV213" s="4"/>
      <c r="JW213" s="4"/>
      <c r="JX213" s="4"/>
      <c r="JY213" s="4"/>
      <c r="JZ213" s="4"/>
      <c r="KA213" s="4"/>
      <c r="KB213" s="4"/>
      <c r="KC213" s="4"/>
      <c r="KD213" s="4"/>
      <c r="KE213" s="4"/>
      <c r="KF213" s="4"/>
      <c r="KG213" s="4"/>
      <c r="KH213" s="4"/>
      <c r="KI213" s="4"/>
      <c r="KJ213" s="4"/>
      <c r="KK213" s="4"/>
      <c r="KL213" s="4"/>
      <c r="KM213" s="4"/>
      <c r="KN213" s="4"/>
      <c r="KO213" s="4"/>
      <c r="KP213" s="4"/>
      <c r="KQ213" s="4"/>
      <c r="KR213" s="4"/>
      <c r="KS213" s="4"/>
      <c r="KT213" s="4"/>
      <c r="KU213" s="4"/>
      <c r="KV213" s="4"/>
      <c r="KW213" s="4"/>
      <c r="KX213" s="4"/>
      <c r="KY213" s="4"/>
      <c r="KZ213" s="4"/>
      <c r="LA213" s="4"/>
      <c r="LB213" s="4"/>
      <c r="LC213" s="4"/>
      <c r="LD213" s="4"/>
      <c r="LE213" s="4"/>
      <c r="LF213" s="4"/>
      <c r="LG213" s="4"/>
      <c r="LH213" s="4"/>
      <c r="LI213" s="4"/>
      <c r="LJ213" s="4"/>
      <c r="LK213" s="4"/>
      <c r="LL213" s="4"/>
      <c r="LM213" s="4"/>
      <c r="LN213" s="4"/>
      <c r="LO213" s="4"/>
      <c r="LP213" s="4"/>
      <c r="LQ213" s="4"/>
      <c r="LR213" s="4"/>
      <c r="LS213" s="4"/>
      <c r="LT213" s="4"/>
      <c r="LU213" s="4"/>
      <c r="LV213" s="4"/>
      <c r="LW213" s="4"/>
      <c r="LX213" s="4"/>
      <c r="LY213" s="4"/>
      <c r="LZ213" s="4"/>
      <c r="MA213" s="4"/>
      <c r="MB213" s="4"/>
      <c r="MC213" s="4"/>
      <c r="MD213" s="4"/>
      <c r="ME213" s="4"/>
      <c r="MF213" s="4"/>
      <c r="MG213" s="4"/>
      <c r="MH213" s="4"/>
      <c r="MI213" s="4"/>
      <c r="MJ213" s="4"/>
      <c r="MK213" s="4"/>
      <c r="ML213" s="4"/>
      <c r="MM213" s="4"/>
      <c r="MN213" s="4"/>
      <c r="MO213" s="4"/>
      <c r="MP213" s="4"/>
      <c r="MQ213" s="4"/>
      <c r="MR213" s="4"/>
      <c r="MS213" s="4"/>
      <c r="MT213" s="4"/>
      <c r="MU213" s="4"/>
      <c r="MV213" s="4"/>
      <c r="MW213" s="4"/>
      <c r="MX213" s="4"/>
      <c r="MY213" s="4"/>
      <c r="MZ213" s="4"/>
      <c r="NA213" s="4"/>
      <c r="NB213" s="4"/>
      <c r="NC213" s="4"/>
      <c r="ND213" s="4"/>
      <c r="NE213" s="4"/>
      <c r="NF213" s="4"/>
      <c r="NG213" s="4"/>
      <c r="NH213" s="4"/>
      <c r="NI213" s="4"/>
      <c r="NJ213" s="4"/>
      <c r="NK213" s="4"/>
      <c r="NL213" s="4"/>
      <c r="NM213" s="4"/>
      <c r="NN213" s="4"/>
      <c r="NO213" s="4"/>
      <c r="NP213" s="4"/>
      <c r="NQ213" s="4"/>
      <c r="NR213" s="4"/>
      <c r="NS213" s="4"/>
      <c r="NT213" s="4"/>
      <c r="NU213" s="4"/>
      <c r="NV213" s="4"/>
      <c r="NW213" s="4"/>
      <c r="NX213" s="4"/>
      <c r="NY213" s="4"/>
      <c r="NZ213" s="4"/>
      <c r="OA213" s="4"/>
      <c r="OB213" s="4"/>
      <c r="OC213" s="4"/>
      <c r="OD213" s="4"/>
      <c r="OE213" s="4"/>
      <c r="OF213" s="4"/>
      <c r="OG213" s="4"/>
      <c r="OH213" s="4"/>
      <c r="OI213" s="4"/>
      <c r="OJ213" s="4"/>
      <c r="OK213" s="4"/>
      <c r="OL213" s="4"/>
      <c r="OM213" s="4"/>
      <c r="ON213" s="4"/>
      <c r="OO213" s="4"/>
      <c r="OP213" s="4"/>
      <c r="OQ213" s="4"/>
      <c r="OR213" s="4"/>
      <c r="OS213" s="4"/>
      <c r="OT213" s="4"/>
      <c r="OU213" s="4"/>
      <c r="OV213" s="4"/>
      <c r="OW213" s="4"/>
      <c r="OX213" s="4"/>
      <c r="OY213" s="4"/>
      <c r="OZ213" s="4"/>
      <c r="PA213" s="4"/>
      <c r="PB213" s="4"/>
      <c r="PC213" s="4"/>
      <c r="PD213" s="4"/>
      <c r="PE213" s="4"/>
      <c r="PF213" s="4"/>
      <c r="PG213" s="4"/>
      <c r="PH213" s="4"/>
      <c r="PI213" s="4"/>
      <c r="PJ213" s="4"/>
      <c r="PK213" s="4"/>
      <c r="PL213" s="4"/>
      <c r="PM213" s="4"/>
      <c r="PN213" s="4"/>
      <c r="PO213" s="4"/>
      <c r="PP213" s="4"/>
      <c r="PQ213" s="4"/>
      <c r="PR213" s="4"/>
      <c r="PS213" s="4"/>
      <c r="PT213" s="4"/>
      <c r="PU213" s="4"/>
      <c r="PV213" s="4"/>
      <c r="PW213" s="4"/>
      <c r="PX213" s="4"/>
      <c r="PY213" s="4"/>
      <c r="PZ213" s="4"/>
      <c r="QA213" s="4"/>
      <c r="QB213" s="4"/>
      <c r="QC213" s="4"/>
      <c r="QD213" s="4"/>
      <c r="QE213" s="4"/>
      <c r="QF213" s="4"/>
      <c r="QG213" s="4"/>
      <c r="QH213" s="4"/>
      <c r="QI213" s="4"/>
      <c r="QJ213" s="4"/>
      <c r="QK213" s="4"/>
      <c r="QL213" s="4"/>
      <c r="QM213" s="4"/>
      <c r="QN213" s="4"/>
      <c r="QO213" s="4"/>
      <c r="QP213" s="4"/>
      <c r="QQ213" s="4"/>
      <c r="QR213" s="4"/>
      <c r="QS213" s="4"/>
      <c r="QT213" s="4"/>
      <c r="QU213" s="4"/>
      <c r="QV213" s="4"/>
      <c r="QW213" s="4"/>
      <c r="QX213" s="4"/>
      <c r="QY213" s="4"/>
      <c r="QZ213" s="4"/>
      <c r="RA213" s="4"/>
      <c r="RB213" s="4"/>
      <c r="RC213" s="4"/>
      <c r="RD213" s="4"/>
    </row>
    <row r="214" spans="1:472" x14ac:dyDescent="0.25">
      <c r="A214" s="5" t="s">
        <v>71</v>
      </c>
      <c r="B214" s="1" t="s">
        <v>1160</v>
      </c>
      <c r="C214" s="5" t="s">
        <v>1312</v>
      </c>
      <c r="D214" s="5">
        <v>219</v>
      </c>
      <c r="E214" s="5"/>
      <c r="F214" s="60"/>
      <c r="I214" s="4"/>
      <c r="J214" s="4"/>
      <c r="K214" s="4"/>
      <c r="L214" s="4"/>
      <c r="M214" s="4"/>
      <c r="N214" s="4"/>
      <c r="O214" s="4"/>
      <c r="P214" s="4"/>
      <c r="Q214" s="4"/>
      <c r="R214" s="4"/>
      <c r="S214" s="4"/>
      <c r="T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4"/>
      <c r="JU214" s="4"/>
      <c r="JV214" s="4"/>
      <c r="JW214" s="4"/>
      <c r="JX214" s="4"/>
      <c r="JY214" s="4"/>
      <c r="JZ214" s="4"/>
      <c r="KA214" s="4"/>
      <c r="KB214" s="4"/>
      <c r="KC214" s="4"/>
      <c r="KD214" s="4"/>
      <c r="KE214" s="4"/>
      <c r="KF214" s="4"/>
      <c r="KG214" s="4"/>
      <c r="KH214" s="4"/>
      <c r="KI214" s="4"/>
      <c r="KJ214" s="4"/>
      <c r="KK214" s="4"/>
      <c r="KL214" s="4"/>
      <c r="KM214" s="4"/>
      <c r="KN214" s="4"/>
      <c r="KO214" s="4"/>
      <c r="KP214" s="4"/>
      <c r="KQ214" s="4"/>
      <c r="KR214" s="4"/>
      <c r="KS214" s="4"/>
      <c r="KT214" s="4"/>
      <c r="KU214" s="4"/>
      <c r="KV214" s="4"/>
      <c r="KW214" s="4"/>
      <c r="KX214" s="4"/>
      <c r="KY214" s="4"/>
      <c r="KZ214" s="4"/>
      <c r="LA214" s="4"/>
      <c r="LB214" s="4"/>
      <c r="LC214" s="4"/>
      <c r="LD214" s="4"/>
      <c r="LE214" s="4"/>
      <c r="LF214" s="4"/>
      <c r="LG214" s="4"/>
      <c r="LH214" s="4"/>
      <c r="LI214" s="4"/>
      <c r="LJ214" s="4"/>
      <c r="LK214" s="4"/>
      <c r="LL214" s="4"/>
      <c r="LM214" s="4"/>
      <c r="LN214" s="4"/>
      <c r="LO214" s="4"/>
      <c r="LP214" s="4"/>
      <c r="LQ214" s="4"/>
      <c r="LR214" s="4"/>
      <c r="LS214" s="4"/>
      <c r="LT214" s="4"/>
      <c r="LU214" s="4"/>
      <c r="LV214" s="4"/>
      <c r="LW214" s="4"/>
      <c r="LX214" s="4"/>
      <c r="LY214" s="4"/>
      <c r="LZ214" s="4"/>
      <c r="MA214" s="4"/>
      <c r="MB214" s="4"/>
      <c r="MC214" s="4"/>
      <c r="MD214" s="4"/>
      <c r="ME214" s="4"/>
      <c r="MF214" s="4"/>
      <c r="MG214" s="4"/>
      <c r="MH214" s="4"/>
      <c r="MI214" s="4"/>
      <c r="MJ214" s="4"/>
      <c r="MK214" s="4"/>
      <c r="ML214" s="4"/>
      <c r="MM214" s="4"/>
      <c r="MN214" s="4"/>
      <c r="MO214" s="4"/>
      <c r="MP214" s="4"/>
      <c r="MQ214" s="4"/>
      <c r="MR214" s="4"/>
      <c r="MS214" s="4"/>
      <c r="MT214" s="4"/>
      <c r="MU214" s="4"/>
      <c r="MV214" s="4"/>
      <c r="MW214" s="4"/>
      <c r="MX214" s="4"/>
      <c r="MY214" s="4"/>
      <c r="MZ214" s="4"/>
      <c r="NA214" s="4"/>
      <c r="NB214" s="4"/>
      <c r="NC214" s="4"/>
      <c r="ND214" s="4"/>
      <c r="NE214" s="4"/>
      <c r="NF214" s="4"/>
      <c r="NG214" s="4"/>
      <c r="NH214" s="4"/>
      <c r="NI214" s="4"/>
      <c r="NJ214" s="4"/>
      <c r="NK214" s="4"/>
      <c r="NL214" s="4"/>
      <c r="NM214" s="4"/>
      <c r="NN214" s="4"/>
      <c r="NO214" s="4"/>
      <c r="NP214" s="4"/>
      <c r="NQ214" s="4"/>
      <c r="NR214" s="4"/>
      <c r="NS214" s="4"/>
      <c r="NT214" s="4"/>
      <c r="NU214" s="4"/>
      <c r="NV214" s="4"/>
      <c r="NW214" s="4"/>
      <c r="NX214" s="4"/>
      <c r="NY214" s="4"/>
      <c r="NZ214" s="4"/>
      <c r="OA214" s="4"/>
      <c r="OB214" s="4"/>
      <c r="OC214" s="4"/>
      <c r="OD214" s="4"/>
      <c r="OE214" s="4"/>
      <c r="OF214" s="4"/>
      <c r="OG214" s="4"/>
      <c r="OH214" s="4"/>
      <c r="OI214" s="4"/>
      <c r="OJ214" s="4"/>
      <c r="OK214" s="4"/>
      <c r="OL214" s="4"/>
      <c r="OM214" s="4"/>
      <c r="ON214" s="4"/>
      <c r="OO214" s="4"/>
      <c r="OP214" s="4"/>
      <c r="OQ214" s="4"/>
      <c r="OR214" s="4"/>
      <c r="OS214" s="4"/>
      <c r="OT214" s="4"/>
      <c r="OU214" s="4"/>
      <c r="OV214" s="4"/>
      <c r="OW214" s="4"/>
      <c r="OX214" s="4"/>
      <c r="OY214" s="4"/>
      <c r="OZ214" s="4"/>
      <c r="PA214" s="4"/>
      <c r="PB214" s="4"/>
      <c r="PC214" s="4"/>
      <c r="PD214" s="4"/>
      <c r="PE214" s="4"/>
      <c r="PF214" s="4"/>
      <c r="PG214" s="4"/>
      <c r="PH214" s="4"/>
      <c r="PI214" s="4"/>
      <c r="PJ214" s="4"/>
      <c r="PK214" s="4"/>
      <c r="PL214" s="4"/>
      <c r="PM214" s="4"/>
      <c r="PN214" s="4"/>
      <c r="PO214" s="4"/>
      <c r="PP214" s="4"/>
      <c r="PQ214" s="4"/>
      <c r="PR214" s="4"/>
      <c r="PS214" s="4"/>
      <c r="PT214" s="4"/>
      <c r="PU214" s="4"/>
      <c r="PV214" s="4"/>
      <c r="PW214" s="4"/>
      <c r="PX214" s="4"/>
      <c r="PY214" s="4"/>
      <c r="PZ214" s="4"/>
      <c r="QA214" s="4"/>
      <c r="QB214" s="4"/>
      <c r="QC214" s="4"/>
      <c r="QD214" s="4"/>
      <c r="QE214" s="4"/>
      <c r="QF214" s="4"/>
      <c r="QG214" s="4"/>
      <c r="QH214" s="4"/>
      <c r="QI214" s="4"/>
      <c r="QJ214" s="4"/>
      <c r="QK214" s="4"/>
      <c r="QL214" s="4"/>
      <c r="QM214" s="4"/>
      <c r="QN214" s="4"/>
      <c r="QO214" s="4"/>
      <c r="QP214" s="4"/>
      <c r="QQ214" s="4"/>
      <c r="QR214" s="4"/>
      <c r="QS214" s="4"/>
      <c r="QT214" s="4"/>
      <c r="QU214" s="4"/>
      <c r="QV214" s="4"/>
      <c r="QW214" s="4"/>
      <c r="QX214" s="4"/>
      <c r="QY214" s="4"/>
      <c r="QZ214" s="4"/>
      <c r="RA214" s="4"/>
      <c r="RB214" s="4"/>
      <c r="RC214" s="4"/>
      <c r="RD214" s="4"/>
    </row>
    <row r="215" spans="1:472" x14ac:dyDescent="0.25">
      <c r="A215" s="5" t="s">
        <v>71</v>
      </c>
      <c r="B215" s="5" t="s">
        <v>1591</v>
      </c>
      <c r="C215" s="5" t="s">
        <v>626</v>
      </c>
      <c r="D215" s="5">
        <v>294</v>
      </c>
      <c r="E215" s="5"/>
      <c r="F215" s="5"/>
      <c r="I215" s="4"/>
      <c r="J215" s="4"/>
      <c r="K215" s="4"/>
      <c r="L215" s="4"/>
      <c r="M215" s="4"/>
      <c r="N215" s="4"/>
      <c r="O215" s="4"/>
      <c r="P215" s="4"/>
      <c r="Q215" s="4"/>
      <c r="R215" s="4"/>
      <c r="S215" s="4"/>
      <c r="T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4"/>
      <c r="JU215" s="4"/>
      <c r="JV215" s="4"/>
      <c r="JW215" s="4"/>
      <c r="JX215" s="4"/>
      <c r="JY215" s="4"/>
      <c r="JZ215" s="4"/>
      <c r="KA215" s="4"/>
      <c r="KB215" s="4"/>
      <c r="KC215" s="4"/>
      <c r="KD215" s="4"/>
      <c r="KE215" s="4"/>
      <c r="KF215" s="4"/>
      <c r="KG215" s="4"/>
      <c r="KH215" s="4"/>
      <c r="KI215" s="4"/>
      <c r="KJ215" s="4"/>
      <c r="KK215" s="4"/>
      <c r="KL215" s="4"/>
      <c r="KM215" s="4"/>
      <c r="KN215" s="4"/>
      <c r="KO215" s="4"/>
      <c r="KP215" s="4"/>
      <c r="KQ215" s="4"/>
      <c r="KR215" s="4"/>
      <c r="KS215" s="4"/>
      <c r="KT215" s="4"/>
      <c r="KU215" s="4"/>
      <c r="KV215" s="4"/>
      <c r="KW215" s="4"/>
      <c r="KX215" s="4"/>
      <c r="KY215" s="4"/>
      <c r="KZ215" s="4"/>
      <c r="LA215" s="4"/>
      <c r="LB215" s="4"/>
      <c r="LC215" s="4"/>
      <c r="LD215" s="4"/>
      <c r="LE215" s="4"/>
      <c r="LF215" s="4"/>
      <c r="LG215" s="4"/>
      <c r="LH215" s="4"/>
      <c r="LI215" s="4"/>
      <c r="LJ215" s="4"/>
      <c r="LK215" s="4"/>
      <c r="LL215" s="4"/>
      <c r="LM215" s="4"/>
      <c r="LN215" s="4"/>
      <c r="LO215" s="4"/>
      <c r="LP215" s="4"/>
      <c r="LQ215" s="4"/>
      <c r="LR215" s="4"/>
      <c r="LS215" s="4"/>
      <c r="LT215" s="4"/>
      <c r="LU215" s="4"/>
      <c r="LV215" s="4"/>
      <c r="LW215" s="4"/>
      <c r="LX215" s="4"/>
      <c r="LY215" s="4"/>
      <c r="LZ215" s="4"/>
      <c r="MA215" s="4"/>
      <c r="MB215" s="4"/>
      <c r="MC215" s="4"/>
      <c r="MD215" s="4"/>
      <c r="ME215" s="4"/>
      <c r="MF215" s="4"/>
      <c r="MG215" s="4"/>
      <c r="MH215" s="4"/>
      <c r="MI215" s="4"/>
      <c r="MJ215" s="4"/>
      <c r="MK215" s="4"/>
      <c r="ML215" s="4"/>
      <c r="MM215" s="4"/>
      <c r="MN215" s="4"/>
      <c r="MO215" s="4"/>
      <c r="MP215" s="4"/>
      <c r="MQ215" s="4"/>
      <c r="MR215" s="4"/>
      <c r="MS215" s="4"/>
      <c r="MT215" s="4"/>
      <c r="MU215" s="4"/>
      <c r="MV215" s="4"/>
      <c r="MW215" s="4"/>
      <c r="MX215" s="4"/>
      <c r="MY215" s="4"/>
      <c r="MZ215" s="4"/>
      <c r="NA215" s="4"/>
      <c r="NB215" s="4"/>
      <c r="NC215" s="4"/>
      <c r="ND215" s="4"/>
      <c r="NE215" s="4"/>
      <c r="NF215" s="4"/>
      <c r="NG215" s="4"/>
      <c r="NH215" s="4"/>
      <c r="NI215" s="4"/>
      <c r="NJ215" s="4"/>
      <c r="NK215" s="4"/>
      <c r="NL215" s="4"/>
      <c r="NM215" s="4"/>
      <c r="NN215" s="4"/>
      <c r="NO215" s="4"/>
      <c r="NP215" s="4"/>
      <c r="NQ215" s="4"/>
      <c r="NR215" s="4"/>
      <c r="NS215" s="4"/>
      <c r="NT215" s="4"/>
      <c r="NU215" s="4"/>
      <c r="NV215" s="4"/>
      <c r="NW215" s="4"/>
      <c r="NX215" s="4"/>
      <c r="NY215" s="4"/>
      <c r="NZ215" s="4"/>
      <c r="OA215" s="4"/>
      <c r="OB215" s="4"/>
      <c r="OC215" s="4"/>
      <c r="OD215" s="4"/>
      <c r="OE215" s="4"/>
      <c r="OF215" s="4"/>
      <c r="OG215" s="4"/>
      <c r="OH215" s="4"/>
      <c r="OI215" s="4"/>
      <c r="OJ215" s="4"/>
      <c r="OK215" s="4"/>
      <c r="OL215" s="4"/>
      <c r="OM215" s="4"/>
      <c r="ON215" s="4"/>
      <c r="OO215" s="4"/>
      <c r="OP215" s="4"/>
      <c r="OQ215" s="4"/>
      <c r="OR215" s="4"/>
      <c r="OS215" s="4"/>
      <c r="OT215" s="4"/>
      <c r="OU215" s="4"/>
      <c r="OV215" s="4"/>
      <c r="OW215" s="4"/>
      <c r="OX215" s="4"/>
      <c r="OY215" s="4"/>
      <c r="OZ215" s="4"/>
      <c r="PA215" s="4"/>
      <c r="PB215" s="4"/>
      <c r="PC215" s="4"/>
      <c r="PD215" s="4"/>
      <c r="PE215" s="4"/>
      <c r="PF215" s="4"/>
      <c r="PG215" s="4"/>
      <c r="PH215" s="4"/>
      <c r="PI215" s="4"/>
      <c r="PJ215" s="4"/>
      <c r="PK215" s="4"/>
      <c r="PL215" s="4"/>
      <c r="PM215" s="4"/>
      <c r="PN215" s="4"/>
      <c r="PO215" s="4"/>
      <c r="PP215" s="4"/>
      <c r="PQ215" s="4"/>
      <c r="PR215" s="4"/>
      <c r="PS215" s="4"/>
      <c r="PT215" s="4"/>
      <c r="PU215" s="4"/>
      <c r="PV215" s="4"/>
      <c r="PW215" s="4"/>
      <c r="PX215" s="4"/>
      <c r="PY215" s="4"/>
      <c r="PZ215" s="4"/>
      <c r="QA215" s="4"/>
      <c r="QB215" s="4"/>
      <c r="QC215" s="4"/>
      <c r="QD215" s="4"/>
      <c r="QE215" s="4"/>
      <c r="QF215" s="4"/>
      <c r="QG215" s="4"/>
      <c r="QH215" s="4"/>
      <c r="QI215" s="4"/>
      <c r="QJ215" s="4"/>
      <c r="QK215" s="4"/>
      <c r="QL215" s="4"/>
      <c r="QM215" s="4"/>
      <c r="QN215" s="4"/>
      <c r="QO215" s="4"/>
      <c r="QP215" s="4"/>
      <c r="QQ215" s="4"/>
      <c r="QR215" s="4"/>
      <c r="QS215" s="4"/>
      <c r="QT215" s="4"/>
      <c r="QU215" s="4"/>
      <c r="QV215" s="4"/>
      <c r="QW215" s="4"/>
      <c r="QX215" s="4"/>
      <c r="QY215" s="4"/>
      <c r="QZ215" s="4"/>
      <c r="RA215" s="4"/>
      <c r="RB215" s="4"/>
      <c r="RC215" s="4"/>
      <c r="RD215" s="4"/>
    </row>
    <row r="216" spans="1:472" x14ac:dyDescent="0.25">
      <c r="A216" s="5" t="s">
        <v>272</v>
      </c>
      <c r="B216" s="5" t="s">
        <v>1608</v>
      </c>
      <c r="C216" s="5" t="s">
        <v>1609</v>
      </c>
      <c r="D216" s="5">
        <v>174</v>
      </c>
      <c r="E216" s="5"/>
      <c r="F216" s="5"/>
      <c r="I216" s="4"/>
      <c r="J216" s="4"/>
      <c r="K216" s="4"/>
      <c r="L216" s="4"/>
      <c r="M216" s="4"/>
      <c r="N216" s="4"/>
      <c r="O216" s="4"/>
      <c r="P216" s="4"/>
      <c r="Q216" s="4"/>
      <c r="R216" s="4"/>
      <c r="S216" s="4"/>
      <c r="T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4"/>
      <c r="JU216" s="4"/>
      <c r="JV216" s="4"/>
      <c r="JW216" s="4"/>
      <c r="JX216" s="4"/>
      <c r="JY216" s="4"/>
      <c r="JZ216" s="4"/>
      <c r="KA216" s="4"/>
      <c r="KB216" s="4"/>
      <c r="KC216" s="4"/>
      <c r="KD216" s="4"/>
      <c r="KE216" s="4"/>
      <c r="KF216" s="4"/>
      <c r="KG216" s="4"/>
      <c r="KH216" s="4"/>
      <c r="KI216" s="4"/>
      <c r="KJ216" s="4"/>
      <c r="KK216" s="4"/>
      <c r="KL216" s="4"/>
      <c r="KM216" s="4"/>
      <c r="KN216" s="4"/>
      <c r="KO216" s="4"/>
      <c r="KP216" s="4"/>
      <c r="KQ216" s="4"/>
      <c r="KR216" s="4"/>
      <c r="KS216" s="4"/>
      <c r="KT216" s="4"/>
      <c r="KU216" s="4"/>
      <c r="KV216" s="4"/>
      <c r="KW216" s="4"/>
      <c r="KX216" s="4"/>
      <c r="KY216" s="4"/>
      <c r="KZ216" s="4"/>
      <c r="LA216" s="4"/>
      <c r="LB216" s="4"/>
      <c r="LC216" s="4"/>
      <c r="LD216" s="4"/>
      <c r="LE216" s="4"/>
      <c r="LF216" s="4"/>
      <c r="LG216" s="4"/>
      <c r="LH216" s="4"/>
      <c r="LI216" s="4"/>
      <c r="LJ216" s="4"/>
      <c r="LK216" s="4"/>
      <c r="LL216" s="4"/>
      <c r="LM216" s="4"/>
      <c r="LN216" s="4"/>
      <c r="LO216" s="4"/>
      <c r="LP216" s="4"/>
      <c r="LQ216" s="4"/>
      <c r="LR216" s="4"/>
      <c r="LS216" s="4"/>
      <c r="LT216" s="4"/>
      <c r="LU216" s="4"/>
      <c r="LV216" s="4"/>
      <c r="LW216" s="4"/>
      <c r="LX216" s="4"/>
      <c r="LY216" s="4"/>
      <c r="LZ216" s="4"/>
      <c r="MA216" s="4"/>
      <c r="MB216" s="4"/>
      <c r="MC216" s="4"/>
      <c r="MD216" s="4"/>
      <c r="ME216" s="4"/>
      <c r="MF216" s="4"/>
      <c r="MG216" s="4"/>
      <c r="MH216" s="4"/>
      <c r="MI216" s="4"/>
      <c r="MJ216" s="4"/>
      <c r="MK216" s="4"/>
      <c r="ML216" s="4"/>
      <c r="MM216" s="4"/>
      <c r="MN216" s="4"/>
      <c r="MO216" s="4"/>
      <c r="MP216" s="4"/>
      <c r="MQ216" s="4"/>
      <c r="MR216" s="4"/>
      <c r="MS216" s="4"/>
      <c r="MT216" s="4"/>
      <c r="MU216" s="4"/>
      <c r="MV216" s="4"/>
      <c r="MW216" s="4"/>
      <c r="MX216" s="4"/>
      <c r="MY216" s="4"/>
      <c r="MZ216" s="4"/>
      <c r="NA216" s="4"/>
      <c r="NB216" s="4"/>
      <c r="NC216" s="4"/>
      <c r="ND216" s="4"/>
      <c r="NE216" s="4"/>
      <c r="NF216" s="4"/>
      <c r="NG216" s="4"/>
      <c r="NH216" s="4"/>
      <c r="NI216" s="4"/>
      <c r="NJ216" s="4"/>
      <c r="NK216" s="4"/>
      <c r="NL216" s="4"/>
      <c r="NM216" s="4"/>
      <c r="NN216" s="4"/>
      <c r="NO216" s="4"/>
      <c r="NP216" s="4"/>
      <c r="NQ216" s="4"/>
      <c r="NR216" s="4"/>
      <c r="NS216" s="4"/>
      <c r="NT216" s="4"/>
      <c r="NU216" s="4"/>
      <c r="NV216" s="4"/>
      <c r="NW216" s="4"/>
      <c r="NX216" s="4"/>
      <c r="NY216" s="4"/>
      <c r="NZ216" s="4"/>
      <c r="OA216" s="4"/>
      <c r="OB216" s="4"/>
      <c r="OC216" s="4"/>
      <c r="OD216" s="4"/>
      <c r="OE216" s="4"/>
      <c r="OF216" s="4"/>
      <c r="OG216" s="4"/>
      <c r="OH216" s="4"/>
      <c r="OI216" s="4"/>
      <c r="OJ216" s="4"/>
      <c r="OK216" s="4"/>
      <c r="OL216" s="4"/>
      <c r="OM216" s="4"/>
      <c r="ON216" s="4"/>
      <c r="OO216" s="4"/>
      <c r="OP216" s="4"/>
      <c r="OQ216" s="4"/>
      <c r="OR216" s="4"/>
      <c r="OS216" s="4"/>
      <c r="OT216" s="4"/>
      <c r="OU216" s="4"/>
      <c r="OV216" s="4"/>
      <c r="OW216" s="4"/>
      <c r="OX216" s="4"/>
      <c r="OY216" s="4"/>
      <c r="OZ216" s="4"/>
      <c r="PA216" s="4"/>
      <c r="PB216" s="4"/>
      <c r="PC216" s="4"/>
      <c r="PD216" s="4"/>
      <c r="PE216" s="4"/>
      <c r="PF216" s="4"/>
      <c r="PG216" s="4"/>
      <c r="PH216" s="4"/>
      <c r="PI216" s="4"/>
      <c r="PJ216" s="4"/>
      <c r="PK216" s="4"/>
      <c r="PL216" s="4"/>
      <c r="PM216" s="4"/>
      <c r="PN216" s="4"/>
      <c r="PO216" s="4"/>
      <c r="PP216" s="4"/>
      <c r="PQ216" s="4"/>
      <c r="PR216" s="4"/>
      <c r="PS216" s="4"/>
      <c r="PT216" s="4"/>
      <c r="PU216" s="4"/>
      <c r="PV216" s="4"/>
      <c r="PW216" s="4"/>
      <c r="PX216" s="4"/>
      <c r="PY216" s="4"/>
      <c r="PZ216" s="4"/>
      <c r="QA216" s="4"/>
      <c r="QB216" s="4"/>
      <c r="QC216" s="4"/>
      <c r="QD216" s="4"/>
      <c r="QE216" s="4"/>
      <c r="QF216" s="4"/>
      <c r="QG216" s="4"/>
      <c r="QH216" s="4"/>
      <c r="QI216" s="4"/>
      <c r="QJ216" s="4"/>
      <c r="QK216" s="4"/>
      <c r="QL216" s="4"/>
      <c r="QM216" s="4"/>
      <c r="QN216" s="4"/>
      <c r="QO216" s="4"/>
      <c r="QP216" s="4"/>
      <c r="QQ216" s="4"/>
      <c r="QR216" s="4"/>
      <c r="QS216" s="4"/>
      <c r="QT216" s="4"/>
      <c r="QU216" s="4"/>
      <c r="QV216" s="4"/>
      <c r="QW216" s="4"/>
      <c r="QX216" s="4"/>
      <c r="QY216" s="4"/>
      <c r="QZ216" s="4"/>
      <c r="RA216" s="4"/>
      <c r="RB216" s="4"/>
      <c r="RC216" s="4"/>
      <c r="RD216" s="4"/>
    </row>
    <row r="217" spans="1:472" x14ac:dyDescent="0.25">
      <c r="A217" s="5" t="s">
        <v>71</v>
      </c>
      <c r="B217" s="5" t="s">
        <v>1515</v>
      </c>
      <c r="C217" s="5" t="s">
        <v>689</v>
      </c>
      <c r="D217" s="5">
        <v>258</v>
      </c>
      <c r="E217" s="5"/>
      <c r="F217" s="5"/>
      <c r="I217" s="4"/>
      <c r="J217" s="4"/>
      <c r="K217" s="4"/>
      <c r="L217" s="4"/>
      <c r="M217" s="4"/>
      <c r="N217" s="4"/>
      <c r="O217" s="4"/>
      <c r="P217" s="4"/>
      <c r="Q217" s="4"/>
      <c r="R217" s="4"/>
      <c r="S217" s="4"/>
      <c r="T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4"/>
      <c r="JU217" s="4"/>
      <c r="JV217" s="4"/>
      <c r="JW217" s="4"/>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c r="LL217" s="4"/>
      <c r="LM217" s="4"/>
      <c r="LN217" s="4"/>
      <c r="LO217" s="4"/>
      <c r="LP217" s="4"/>
      <c r="LQ217" s="4"/>
      <c r="LR217" s="4"/>
      <c r="LS217" s="4"/>
      <c r="LT217" s="4"/>
      <c r="LU217" s="4"/>
      <c r="LV217" s="4"/>
      <c r="LW217" s="4"/>
      <c r="LX217" s="4"/>
      <c r="LY217" s="4"/>
      <c r="LZ217" s="4"/>
      <c r="MA217" s="4"/>
      <c r="MB217" s="4"/>
      <c r="MC217" s="4"/>
      <c r="MD217" s="4"/>
      <c r="ME217" s="4"/>
      <c r="MF217" s="4"/>
      <c r="MG217" s="4"/>
      <c r="MH217" s="4"/>
      <c r="MI217" s="4"/>
      <c r="MJ217" s="4"/>
      <c r="MK217" s="4"/>
      <c r="ML217" s="4"/>
      <c r="MM217" s="4"/>
      <c r="MN217" s="4"/>
      <c r="MO217" s="4"/>
      <c r="MP217" s="4"/>
      <c r="MQ217" s="4"/>
      <c r="MR217" s="4"/>
      <c r="MS217" s="4"/>
      <c r="MT217" s="4"/>
      <c r="MU217" s="4"/>
      <c r="MV217" s="4"/>
      <c r="MW217" s="4"/>
      <c r="MX217" s="4"/>
      <c r="MY217" s="4"/>
      <c r="MZ217" s="4"/>
      <c r="NA217" s="4"/>
      <c r="NB217" s="4"/>
      <c r="NC217" s="4"/>
      <c r="ND217" s="4"/>
      <c r="NE217" s="4"/>
      <c r="NF217" s="4"/>
      <c r="NG217" s="4"/>
      <c r="NH217" s="4"/>
      <c r="NI217" s="4"/>
      <c r="NJ217" s="4"/>
      <c r="NK217" s="4"/>
      <c r="NL217" s="4"/>
      <c r="NM217" s="4"/>
      <c r="NN217" s="4"/>
      <c r="NO217" s="4"/>
      <c r="NP217" s="4"/>
      <c r="NQ217" s="4"/>
      <c r="NR217" s="4"/>
      <c r="NS217" s="4"/>
      <c r="NT217" s="4"/>
      <c r="NU217" s="4"/>
      <c r="NV217" s="4"/>
      <c r="NW217" s="4"/>
      <c r="NX217" s="4"/>
      <c r="NY217" s="4"/>
      <c r="NZ217" s="4"/>
      <c r="OA217" s="4"/>
      <c r="OB217" s="4"/>
      <c r="OC217" s="4"/>
      <c r="OD217" s="4"/>
      <c r="OE217" s="4"/>
      <c r="OF217" s="4"/>
      <c r="OG217" s="4"/>
      <c r="OH217" s="4"/>
      <c r="OI217" s="4"/>
      <c r="OJ217" s="4"/>
      <c r="OK217" s="4"/>
      <c r="OL217" s="4"/>
      <c r="OM217" s="4"/>
      <c r="ON217" s="4"/>
      <c r="OO217" s="4"/>
      <c r="OP217" s="4"/>
      <c r="OQ217" s="4"/>
      <c r="OR217" s="4"/>
      <c r="OS217" s="4"/>
      <c r="OT217" s="4"/>
      <c r="OU217" s="4"/>
      <c r="OV217" s="4"/>
      <c r="OW217" s="4"/>
      <c r="OX217" s="4"/>
      <c r="OY217" s="4"/>
      <c r="OZ217" s="4"/>
      <c r="PA217" s="4"/>
      <c r="PB217" s="4"/>
      <c r="PC217" s="4"/>
      <c r="PD217" s="4"/>
      <c r="PE217" s="4"/>
      <c r="PF217" s="4"/>
      <c r="PG217" s="4"/>
      <c r="PH217" s="4"/>
      <c r="PI217" s="4"/>
      <c r="PJ217" s="4"/>
      <c r="PK217" s="4"/>
      <c r="PL217" s="4"/>
      <c r="PM217" s="4"/>
      <c r="PN217" s="4"/>
      <c r="PO217" s="4"/>
      <c r="PP217" s="4"/>
      <c r="PQ217" s="4"/>
      <c r="PR217" s="4"/>
      <c r="PS217" s="4"/>
      <c r="PT217" s="4"/>
      <c r="PU217" s="4"/>
      <c r="PV217" s="4"/>
      <c r="PW217" s="4"/>
      <c r="PX217" s="4"/>
      <c r="PY217" s="4"/>
      <c r="PZ217" s="4"/>
      <c r="QA217" s="4"/>
      <c r="QB217" s="4"/>
      <c r="QC217" s="4"/>
      <c r="QD217" s="4"/>
      <c r="QE217" s="4"/>
      <c r="QF217" s="4"/>
      <c r="QG217" s="4"/>
      <c r="QH217" s="4"/>
      <c r="QI217" s="4"/>
      <c r="QJ217" s="4"/>
      <c r="QK217" s="4"/>
      <c r="QL217" s="4"/>
      <c r="QM217" s="4"/>
      <c r="QN217" s="4"/>
      <c r="QO217" s="4"/>
      <c r="QP217" s="4"/>
      <c r="QQ217" s="4"/>
      <c r="QR217" s="4"/>
      <c r="QS217" s="4"/>
      <c r="QT217" s="4"/>
      <c r="QU217" s="4"/>
      <c r="QV217" s="4"/>
      <c r="QW217" s="4"/>
      <c r="QX217" s="4"/>
      <c r="QY217" s="4"/>
      <c r="QZ217" s="4"/>
      <c r="RA217" s="4"/>
      <c r="RB217" s="4"/>
      <c r="RC217" s="4"/>
      <c r="RD217" s="4"/>
    </row>
    <row r="218" spans="1:472" x14ac:dyDescent="0.25">
      <c r="A218" s="5" t="s">
        <v>71</v>
      </c>
      <c r="B218" s="5" t="s">
        <v>1616</v>
      </c>
      <c r="C218" s="5" t="s">
        <v>599</v>
      </c>
      <c r="D218" s="5">
        <v>130</v>
      </c>
      <c r="E218" s="5"/>
      <c r="F218" s="60"/>
      <c r="I218" s="4"/>
      <c r="J218" s="4"/>
      <c r="K218" s="4"/>
      <c r="L218" s="4"/>
      <c r="M218" s="4"/>
      <c r="N218" s="4"/>
      <c r="O218" s="4"/>
      <c r="P218" s="4"/>
      <c r="Q218" s="4"/>
      <c r="R218" s="4"/>
      <c r="S218" s="4"/>
      <c r="T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4"/>
      <c r="JU218" s="4"/>
      <c r="JV218" s="4"/>
      <c r="JW218" s="4"/>
      <c r="JX218" s="4"/>
      <c r="JY218" s="4"/>
      <c r="JZ218" s="4"/>
      <c r="KA218" s="4"/>
      <c r="KB218" s="4"/>
      <c r="KC218" s="4"/>
      <c r="KD218" s="4"/>
      <c r="KE218" s="4"/>
      <c r="KF218" s="4"/>
      <c r="KG218" s="4"/>
      <c r="KH218" s="4"/>
      <c r="KI218" s="4"/>
      <c r="KJ218" s="4"/>
      <c r="KK218" s="4"/>
      <c r="KL218" s="4"/>
      <c r="KM218" s="4"/>
      <c r="KN218" s="4"/>
      <c r="KO218" s="4"/>
      <c r="KP218" s="4"/>
      <c r="KQ218" s="4"/>
      <c r="KR218" s="4"/>
      <c r="KS218" s="4"/>
      <c r="KT218" s="4"/>
      <c r="KU218" s="4"/>
      <c r="KV218" s="4"/>
      <c r="KW218" s="4"/>
      <c r="KX218" s="4"/>
      <c r="KY218" s="4"/>
      <c r="KZ218" s="4"/>
      <c r="LA218" s="4"/>
      <c r="LB218" s="4"/>
      <c r="LC218" s="4"/>
      <c r="LD218" s="4"/>
      <c r="LE218" s="4"/>
      <c r="LF218" s="4"/>
      <c r="LG218" s="4"/>
      <c r="LH218" s="4"/>
      <c r="LI218" s="4"/>
      <c r="LJ218" s="4"/>
      <c r="LK218" s="4"/>
      <c r="LL218" s="4"/>
      <c r="LM218" s="4"/>
      <c r="LN218" s="4"/>
      <c r="LO218" s="4"/>
      <c r="LP218" s="4"/>
      <c r="LQ218" s="4"/>
      <c r="LR218" s="4"/>
      <c r="LS218" s="4"/>
      <c r="LT218" s="4"/>
      <c r="LU218" s="4"/>
      <c r="LV218" s="4"/>
      <c r="LW218" s="4"/>
      <c r="LX218" s="4"/>
      <c r="LY218" s="4"/>
      <c r="LZ218" s="4"/>
      <c r="MA218" s="4"/>
      <c r="MB218" s="4"/>
      <c r="MC218" s="4"/>
      <c r="MD218" s="4"/>
      <c r="ME218" s="4"/>
      <c r="MF218" s="4"/>
      <c r="MG218" s="4"/>
      <c r="MH218" s="4"/>
      <c r="MI218" s="4"/>
      <c r="MJ218" s="4"/>
      <c r="MK218" s="4"/>
      <c r="ML218" s="4"/>
      <c r="MM218" s="4"/>
      <c r="MN218" s="4"/>
      <c r="MO218" s="4"/>
      <c r="MP218" s="4"/>
      <c r="MQ218" s="4"/>
      <c r="MR218" s="4"/>
      <c r="MS218" s="4"/>
      <c r="MT218" s="4"/>
      <c r="MU218" s="4"/>
      <c r="MV218" s="4"/>
      <c r="MW218" s="4"/>
      <c r="MX218" s="4"/>
      <c r="MY218" s="4"/>
      <c r="MZ218" s="4"/>
      <c r="NA218" s="4"/>
      <c r="NB218" s="4"/>
      <c r="NC218" s="4"/>
      <c r="ND218" s="4"/>
      <c r="NE218" s="4"/>
      <c r="NF218" s="4"/>
      <c r="NG218" s="4"/>
      <c r="NH218" s="4"/>
      <c r="NI218" s="4"/>
      <c r="NJ218" s="4"/>
      <c r="NK218" s="4"/>
      <c r="NL218" s="4"/>
      <c r="NM218" s="4"/>
      <c r="NN218" s="4"/>
      <c r="NO218" s="4"/>
      <c r="NP218" s="4"/>
      <c r="NQ218" s="4"/>
      <c r="NR218" s="4"/>
      <c r="NS218" s="4"/>
      <c r="NT218" s="4"/>
      <c r="NU218" s="4"/>
      <c r="NV218" s="4"/>
      <c r="NW218" s="4"/>
      <c r="NX218" s="4"/>
      <c r="NY218" s="4"/>
      <c r="NZ218" s="4"/>
      <c r="OA218" s="4"/>
      <c r="OB218" s="4"/>
      <c r="OC218" s="4"/>
      <c r="OD218" s="4"/>
      <c r="OE218" s="4"/>
      <c r="OF218" s="4"/>
      <c r="OG218" s="4"/>
      <c r="OH218" s="4"/>
      <c r="OI218" s="4"/>
      <c r="OJ218" s="4"/>
      <c r="OK218" s="4"/>
      <c r="OL218" s="4"/>
      <c r="OM218" s="4"/>
      <c r="ON218" s="4"/>
      <c r="OO218" s="4"/>
      <c r="OP218" s="4"/>
      <c r="OQ218" s="4"/>
      <c r="OR218" s="4"/>
      <c r="OS218" s="4"/>
      <c r="OT218" s="4"/>
      <c r="OU218" s="4"/>
      <c r="OV218" s="4"/>
      <c r="OW218" s="4"/>
      <c r="OX218" s="4"/>
      <c r="OY218" s="4"/>
      <c r="OZ218" s="4"/>
      <c r="PA218" s="4"/>
      <c r="PB218" s="4"/>
      <c r="PC218" s="4"/>
      <c r="PD218" s="4"/>
      <c r="PE218" s="4"/>
      <c r="PF218" s="4"/>
      <c r="PG218" s="4"/>
      <c r="PH218" s="4"/>
      <c r="PI218" s="4"/>
      <c r="PJ218" s="4"/>
      <c r="PK218" s="4"/>
      <c r="PL218" s="4"/>
      <c r="PM218" s="4"/>
      <c r="PN218" s="4"/>
      <c r="PO218" s="4"/>
      <c r="PP218" s="4"/>
      <c r="PQ218" s="4"/>
      <c r="PR218" s="4"/>
      <c r="PS218" s="4"/>
      <c r="PT218" s="4"/>
      <c r="PU218" s="4"/>
      <c r="PV218" s="4"/>
      <c r="PW218" s="4"/>
      <c r="PX218" s="4"/>
      <c r="PY218" s="4"/>
      <c r="PZ218" s="4"/>
      <c r="QA218" s="4"/>
      <c r="QB218" s="4"/>
      <c r="QC218" s="4"/>
      <c r="QD218" s="4"/>
      <c r="QE218" s="4"/>
      <c r="QF218" s="4"/>
      <c r="QG218" s="4"/>
      <c r="QH218" s="4"/>
      <c r="QI218" s="4"/>
      <c r="QJ218" s="4"/>
      <c r="QK218" s="4"/>
      <c r="QL218" s="4"/>
      <c r="QM218" s="4"/>
      <c r="QN218" s="4"/>
      <c r="QO218" s="4"/>
      <c r="QP218" s="4"/>
      <c r="QQ218" s="4"/>
      <c r="QR218" s="4"/>
      <c r="QS218" s="4"/>
      <c r="QT218" s="4"/>
      <c r="QU218" s="4"/>
      <c r="QV218" s="4"/>
      <c r="QW218" s="4"/>
      <c r="QX218" s="4"/>
      <c r="QY218" s="4"/>
      <c r="QZ218" s="4"/>
      <c r="RA218" s="4"/>
      <c r="RB218" s="4"/>
      <c r="RC218" s="4"/>
      <c r="RD218" s="4"/>
    </row>
    <row r="219" spans="1:472" x14ac:dyDescent="0.25">
      <c r="A219" s="5" t="s">
        <v>71</v>
      </c>
      <c r="B219" s="5" t="s">
        <v>1611</v>
      </c>
      <c r="C219" s="5" t="s">
        <v>230</v>
      </c>
      <c r="D219" s="5">
        <v>152</v>
      </c>
      <c r="E219" s="5"/>
      <c r="F219" s="60"/>
      <c r="I219" s="4"/>
      <c r="J219" s="4"/>
      <c r="K219" s="4"/>
      <c r="L219" s="4"/>
      <c r="M219" s="4"/>
      <c r="N219" s="4"/>
      <c r="O219" s="4"/>
      <c r="P219" s="4"/>
      <c r="Q219" s="4"/>
      <c r="R219" s="4"/>
      <c r="S219" s="4"/>
      <c r="T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c r="JM219" s="4"/>
      <c r="JN219" s="4"/>
      <c r="JO219" s="4"/>
      <c r="JP219" s="4"/>
      <c r="JQ219" s="4"/>
      <c r="JR219" s="4"/>
      <c r="JS219" s="4"/>
      <c r="JT219" s="4"/>
      <c r="JU219" s="4"/>
      <c r="JV219" s="4"/>
      <c r="JW219" s="4"/>
      <c r="JX219" s="4"/>
      <c r="JY219" s="4"/>
      <c r="JZ219" s="4"/>
      <c r="KA219" s="4"/>
      <c r="KB219" s="4"/>
      <c r="KC219" s="4"/>
      <c r="KD219" s="4"/>
      <c r="KE219" s="4"/>
      <c r="KF219" s="4"/>
      <c r="KG219" s="4"/>
      <c r="KH219" s="4"/>
      <c r="KI219" s="4"/>
      <c r="KJ219" s="4"/>
      <c r="KK219" s="4"/>
      <c r="KL219" s="4"/>
      <c r="KM219" s="4"/>
      <c r="KN219" s="4"/>
      <c r="KO219" s="4"/>
      <c r="KP219" s="4"/>
      <c r="KQ219" s="4"/>
      <c r="KR219" s="4"/>
      <c r="KS219" s="4"/>
      <c r="KT219" s="4"/>
      <c r="KU219" s="4"/>
      <c r="KV219" s="4"/>
      <c r="KW219" s="4"/>
      <c r="KX219" s="4"/>
      <c r="KY219" s="4"/>
      <c r="KZ219" s="4"/>
      <c r="LA219" s="4"/>
      <c r="LB219" s="4"/>
      <c r="LC219" s="4"/>
      <c r="LD219" s="4"/>
      <c r="LE219" s="4"/>
      <c r="LF219" s="4"/>
      <c r="LG219" s="4"/>
      <c r="LH219" s="4"/>
      <c r="LI219" s="4"/>
      <c r="LJ219" s="4"/>
      <c r="LK219" s="4"/>
      <c r="LL219" s="4"/>
      <c r="LM219" s="4"/>
      <c r="LN219" s="4"/>
      <c r="LO219" s="4"/>
      <c r="LP219" s="4"/>
      <c r="LQ219" s="4"/>
      <c r="LR219" s="4"/>
      <c r="LS219" s="4"/>
      <c r="LT219" s="4"/>
      <c r="LU219" s="4"/>
      <c r="LV219" s="4"/>
      <c r="LW219" s="4"/>
      <c r="LX219" s="4"/>
      <c r="LY219" s="4"/>
      <c r="LZ219" s="4"/>
      <c r="MA219" s="4"/>
      <c r="MB219" s="4"/>
      <c r="MC219" s="4"/>
      <c r="MD219" s="4"/>
      <c r="ME219" s="4"/>
      <c r="MF219" s="4"/>
      <c r="MG219" s="4"/>
      <c r="MH219" s="4"/>
      <c r="MI219" s="4"/>
      <c r="MJ219" s="4"/>
      <c r="MK219" s="4"/>
      <c r="ML219" s="4"/>
      <c r="MM219" s="4"/>
      <c r="MN219" s="4"/>
      <c r="MO219" s="4"/>
      <c r="MP219" s="4"/>
      <c r="MQ219" s="4"/>
      <c r="MR219" s="4"/>
      <c r="MS219" s="4"/>
      <c r="MT219" s="4"/>
      <c r="MU219" s="4"/>
      <c r="MV219" s="4"/>
      <c r="MW219" s="4"/>
      <c r="MX219" s="4"/>
      <c r="MY219" s="4"/>
      <c r="MZ219" s="4"/>
      <c r="NA219" s="4"/>
      <c r="NB219" s="4"/>
      <c r="NC219" s="4"/>
      <c r="ND219" s="4"/>
      <c r="NE219" s="4"/>
      <c r="NF219" s="4"/>
      <c r="NG219" s="4"/>
      <c r="NH219" s="4"/>
      <c r="NI219" s="4"/>
      <c r="NJ219" s="4"/>
      <c r="NK219" s="4"/>
      <c r="NL219" s="4"/>
      <c r="NM219" s="4"/>
      <c r="NN219" s="4"/>
      <c r="NO219" s="4"/>
      <c r="NP219" s="4"/>
      <c r="NQ219" s="4"/>
      <c r="NR219" s="4"/>
      <c r="NS219" s="4"/>
      <c r="NT219" s="4"/>
      <c r="NU219" s="4"/>
      <c r="NV219" s="4"/>
      <c r="NW219" s="4"/>
      <c r="NX219" s="4"/>
      <c r="NY219" s="4"/>
      <c r="NZ219" s="4"/>
      <c r="OA219" s="4"/>
      <c r="OB219" s="4"/>
      <c r="OC219" s="4"/>
      <c r="OD219" s="4"/>
      <c r="OE219" s="4"/>
      <c r="OF219" s="4"/>
      <c r="OG219" s="4"/>
      <c r="OH219" s="4"/>
      <c r="OI219" s="4"/>
      <c r="OJ219" s="4"/>
      <c r="OK219" s="4"/>
      <c r="OL219" s="4"/>
      <c r="OM219" s="4"/>
      <c r="ON219" s="4"/>
      <c r="OO219" s="4"/>
      <c r="OP219" s="4"/>
      <c r="OQ219" s="4"/>
      <c r="OR219" s="4"/>
      <c r="OS219" s="4"/>
      <c r="OT219" s="4"/>
      <c r="OU219" s="4"/>
      <c r="OV219" s="4"/>
      <c r="OW219" s="4"/>
      <c r="OX219" s="4"/>
      <c r="OY219" s="4"/>
      <c r="OZ219" s="4"/>
      <c r="PA219" s="4"/>
      <c r="PB219" s="4"/>
      <c r="PC219" s="4"/>
      <c r="PD219" s="4"/>
      <c r="PE219" s="4"/>
      <c r="PF219" s="4"/>
      <c r="PG219" s="4"/>
      <c r="PH219" s="4"/>
      <c r="PI219" s="4"/>
      <c r="PJ219" s="4"/>
      <c r="PK219" s="4"/>
      <c r="PL219" s="4"/>
      <c r="PM219" s="4"/>
      <c r="PN219" s="4"/>
      <c r="PO219" s="4"/>
      <c r="PP219" s="4"/>
      <c r="PQ219" s="4"/>
      <c r="PR219" s="4"/>
      <c r="PS219" s="4"/>
      <c r="PT219" s="4"/>
      <c r="PU219" s="4"/>
      <c r="PV219" s="4"/>
      <c r="PW219" s="4"/>
      <c r="PX219" s="4"/>
      <c r="PY219" s="4"/>
      <c r="PZ219" s="4"/>
      <c r="QA219" s="4"/>
      <c r="QB219" s="4"/>
      <c r="QC219" s="4"/>
      <c r="QD219" s="4"/>
      <c r="QE219" s="4"/>
      <c r="QF219" s="4"/>
      <c r="QG219" s="4"/>
      <c r="QH219" s="4"/>
      <c r="QI219" s="4"/>
      <c r="QJ219" s="4"/>
      <c r="QK219" s="4"/>
      <c r="QL219" s="4"/>
      <c r="QM219" s="4"/>
      <c r="QN219" s="4"/>
      <c r="QO219" s="4"/>
      <c r="QP219" s="4"/>
      <c r="QQ219" s="4"/>
      <c r="QR219" s="4"/>
      <c r="QS219" s="4"/>
      <c r="QT219" s="4"/>
      <c r="QU219" s="4"/>
      <c r="QV219" s="4"/>
      <c r="QW219" s="4"/>
      <c r="QX219" s="4"/>
      <c r="QY219" s="4"/>
      <c r="QZ219" s="4"/>
      <c r="RA219" s="4"/>
      <c r="RB219" s="4"/>
      <c r="RC219" s="4"/>
      <c r="RD219" s="4"/>
    </row>
    <row r="220" spans="1:472" x14ac:dyDescent="0.25">
      <c r="I220" s="4"/>
      <c r="J220" s="4"/>
      <c r="K220" s="4"/>
      <c r="L220" s="4"/>
      <c r="M220" s="4"/>
      <c r="N220" s="4"/>
      <c r="O220" s="4"/>
      <c r="P220" s="4"/>
      <c r="Q220" s="4"/>
      <c r="R220" s="4"/>
      <c r="S220" s="4"/>
      <c r="T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4"/>
      <c r="JU220" s="4"/>
      <c r="JV220" s="4"/>
      <c r="JW220" s="4"/>
      <c r="JX220" s="4"/>
      <c r="JY220" s="4"/>
      <c r="JZ220" s="4"/>
      <c r="KA220" s="4"/>
      <c r="KB220" s="4"/>
      <c r="KC220" s="4"/>
      <c r="KD220" s="4"/>
      <c r="KE220" s="4"/>
      <c r="KF220" s="4"/>
      <c r="KG220" s="4"/>
      <c r="KH220" s="4"/>
      <c r="KI220" s="4"/>
      <c r="KJ220" s="4"/>
      <c r="KK220" s="4"/>
      <c r="KL220" s="4"/>
      <c r="KM220" s="4"/>
      <c r="KN220" s="4"/>
      <c r="KO220" s="4"/>
      <c r="KP220" s="4"/>
      <c r="KQ220" s="4"/>
      <c r="KR220" s="4"/>
      <c r="KS220" s="4"/>
      <c r="KT220" s="4"/>
      <c r="KU220" s="4"/>
      <c r="KV220" s="4"/>
      <c r="KW220" s="4"/>
      <c r="KX220" s="4"/>
      <c r="KY220" s="4"/>
      <c r="KZ220" s="4"/>
      <c r="LA220" s="4"/>
      <c r="LB220" s="4"/>
      <c r="LC220" s="4"/>
      <c r="LD220" s="4"/>
      <c r="LE220" s="4"/>
      <c r="LF220" s="4"/>
      <c r="LG220" s="4"/>
      <c r="LH220" s="4"/>
      <c r="LI220" s="4"/>
      <c r="LJ220" s="4"/>
      <c r="LK220" s="4"/>
      <c r="LL220" s="4"/>
      <c r="LM220" s="4"/>
      <c r="LN220" s="4"/>
      <c r="LO220" s="4"/>
      <c r="LP220" s="4"/>
      <c r="LQ220" s="4"/>
      <c r="LR220" s="4"/>
      <c r="LS220" s="4"/>
      <c r="LT220" s="4"/>
      <c r="LU220" s="4"/>
      <c r="LV220" s="4"/>
      <c r="LW220" s="4"/>
      <c r="LX220" s="4"/>
      <c r="LY220" s="4"/>
      <c r="LZ220" s="4"/>
      <c r="MA220" s="4"/>
      <c r="MB220" s="4"/>
      <c r="MC220" s="4"/>
      <c r="MD220" s="4"/>
      <c r="ME220" s="4"/>
      <c r="MF220" s="4"/>
      <c r="MG220" s="4"/>
      <c r="MH220" s="4"/>
      <c r="MI220" s="4"/>
      <c r="MJ220" s="4"/>
      <c r="MK220" s="4"/>
      <c r="ML220" s="4"/>
      <c r="MM220" s="4"/>
      <c r="MN220" s="4"/>
      <c r="MO220" s="4"/>
      <c r="MP220" s="4"/>
      <c r="MQ220" s="4"/>
      <c r="MR220" s="4"/>
      <c r="MS220" s="4"/>
      <c r="MT220" s="4"/>
      <c r="MU220" s="4"/>
      <c r="MV220" s="4"/>
      <c r="MW220" s="4"/>
      <c r="MX220" s="4"/>
      <c r="MY220" s="4"/>
      <c r="MZ220" s="4"/>
      <c r="NA220" s="4"/>
      <c r="NB220" s="4"/>
      <c r="NC220" s="4"/>
      <c r="ND220" s="4"/>
      <c r="NE220" s="4"/>
      <c r="NF220" s="4"/>
      <c r="NG220" s="4"/>
      <c r="NH220" s="4"/>
      <c r="NI220" s="4"/>
      <c r="NJ220" s="4"/>
      <c r="NK220" s="4"/>
      <c r="NL220" s="4"/>
      <c r="NM220" s="4"/>
      <c r="NN220" s="4"/>
      <c r="NO220" s="4"/>
      <c r="NP220" s="4"/>
      <c r="NQ220" s="4"/>
      <c r="NR220" s="4"/>
      <c r="NS220" s="4"/>
      <c r="NT220" s="4"/>
      <c r="NU220" s="4"/>
      <c r="NV220" s="4"/>
      <c r="NW220" s="4"/>
      <c r="NX220" s="4"/>
      <c r="NY220" s="4"/>
      <c r="NZ220" s="4"/>
      <c r="OA220" s="4"/>
      <c r="OB220" s="4"/>
      <c r="OC220" s="4"/>
      <c r="OD220" s="4"/>
      <c r="OE220" s="4"/>
      <c r="OF220" s="4"/>
      <c r="OG220" s="4"/>
      <c r="OH220" s="4"/>
      <c r="OI220" s="4"/>
      <c r="OJ220" s="4"/>
      <c r="OK220" s="4"/>
      <c r="OL220" s="4"/>
      <c r="OM220" s="4"/>
      <c r="ON220" s="4"/>
      <c r="OO220" s="4"/>
      <c r="OP220" s="4"/>
      <c r="OQ220" s="4"/>
      <c r="OR220" s="4"/>
      <c r="OS220" s="4"/>
      <c r="OT220" s="4"/>
      <c r="OU220" s="4"/>
      <c r="OV220" s="4"/>
      <c r="OW220" s="4"/>
      <c r="OX220" s="4"/>
      <c r="OY220" s="4"/>
      <c r="OZ220" s="4"/>
      <c r="PA220" s="4"/>
      <c r="PB220" s="4"/>
      <c r="PC220" s="4"/>
      <c r="PD220" s="4"/>
      <c r="PE220" s="4"/>
      <c r="PF220" s="4"/>
      <c r="PG220" s="4"/>
      <c r="PH220" s="4"/>
      <c r="PI220" s="4"/>
      <c r="PJ220" s="4"/>
      <c r="PK220" s="4"/>
      <c r="PL220" s="4"/>
      <c r="PM220" s="4"/>
      <c r="PN220" s="4"/>
      <c r="PO220" s="4"/>
      <c r="PP220" s="4"/>
      <c r="PQ220" s="4"/>
      <c r="PR220" s="4"/>
      <c r="PS220" s="4"/>
      <c r="PT220" s="4"/>
      <c r="PU220" s="4"/>
      <c r="PV220" s="4"/>
      <c r="PW220" s="4"/>
      <c r="PX220" s="4"/>
      <c r="PY220" s="4"/>
      <c r="PZ220" s="4"/>
      <c r="QA220" s="4"/>
      <c r="QB220" s="4"/>
      <c r="QC220" s="4"/>
      <c r="QD220" s="4"/>
      <c r="QE220" s="4"/>
      <c r="QF220" s="4"/>
      <c r="QG220" s="4"/>
      <c r="QH220" s="4"/>
      <c r="QI220" s="4"/>
      <c r="QJ220" s="4"/>
      <c r="QK220" s="4"/>
      <c r="QL220" s="4"/>
      <c r="QM220" s="4"/>
      <c r="QN220" s="4"/>
      <c r="QO220" s="4"/>
      <c r="QP220" s="4"/>
      <c r="QQ220" s="4"/>
      <c r="QR220" s="4"/>
      <c r="QS220" s="4"/>
      <c r="QT220" s="4"/>
      <c r="QU220" s="4"/>
      <c r="QV220" s="4"/>
      <c r="QW220" s="4"/>
      <c r="QX220" s="4"/>
      <c r="QY220" s="4"/>
      <c r="QZ220" s="4"/>
      <c r="RA220" s="4"/>
      <c r="RB220" s="4"/>
      <c r="RC220" s="4"/>
      <c r="RD220" s="4"/>
    </row>
    <row r="221" spans="1:472" x14ac:dyDescent="0.25">
      <c r="I221" s="67"/>
      <c r="J221" s="67"/>
      <c r="K221" s="67"/>
      <c r="L221" s="67"/>
      <c r="M221" s="67"/>
      <c r="N221" s="67"/>
      <c r="O221" s="67"/>
      <c r="P221" s="67"/>
      <c r="Q221" s="67"/>
      <c r="R221" s="67"/>
      <c r="S221" s="67"/>
      <c r="T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c r="BJ221" s="67"/>
      <c r="BK221" s="67"/>
      <c r="BL221" s="67"/>
      <c r="BM221" s="67"/>
      <c r="BN221" s="67"/>
      <c r="BO221" s="67"/>
      <c r="BP221" s="67"/>
      <c r="BQ221" s="67"/>
      <c r="BR221" s="67"/>
      <c r="BS221" s="67"/>
      <c r="BT221" s="67"/>
      <c r="BU221" s="67"/>
      <c r="BV221" s="67"/>
      <c r="BW221" s="67"/>
      <c r="BX221" s="67"/>
      <c r="BY221" s="67"/>
      <c r="BZ221" s="67"/>
      <c r="CA221" s="67"/>
      <c r="CB221" s="67"/>
      <c r="CC221" s="67"/>
      <c r="CD221" s="67"/>
      <c r="CE221" s="67"/>
      <c r="CF221" s="67"/>
      <c r="CG221" s="67"/>
      <c r="CH221" s="67"/>
      <c r="CI221" s="67"/>
      <c r="CJ221" s="67"/>
      <c r="CK221" s="67"/>
      <c r="CL221" s="67"/>
      <c r="CM221" s="67"/>
      <c r="CN221" s="67"/>
      <c r="CO221" s="67"/>
      <c r="CP221" s="67"/>
      <c r="CQ221" s="67"/>
      <c r="CR221" s="67"/>
      <c r="CS221" s="67"/>
      <c r="CT221" s="67"/>
      <c r="CU221" s="67"/>
      <c r="CV221" s="67"/>
      <c r="CW221" s="67"/>
      <c r="CX221" s="67"/>
      <c r="CY221" s="67"/>
      <c r="CZ221" s="67"/>
      <c r="DA221" s="67"/>
      <c r="DB221" s="67"/>
      <c r="DC221" s="67"/>
      <c r="DD221" s="67"/>
      <c r="DE221" s="67"/>
      <c r="DF221" s="67"/>
      <c r="DG221" s="67"/>
      <c r="DH221" s="67"/>
      <c r="DI221" s="67"/>
      <c r="DJ221" s="67"/>
      <c r="DK221" s="67"/>
      <c r="DL221" s="67"/>
      <c r="DM221" s="67"/>
      <c r="DN221" s="67"/>
      <c r="DO221" s="67"/>
      <c r="DP221" s="67"/>
      <c r="DQ221" s="67"/>
      <c r="DR221" s="67"/>
      <c r="DS221" s="67"/>
      <c r="DT221" s="67"/>
      <c r="DU221" s="67"/>
      <c r="DV221" s="67"/>
      <c r="DW221" s="67"/>
      <c r="DX221" s="67"/>
      <c r="DY221" s="67"/>
      <c r="DZ221" s="67"/>
      <c r="EA221" s="67"/>
      <c r="EB221" s="67"/>
      <c r="EC221" s="67"/>
      <c r="ED221" s="67"/>
      <c r="EE221" s="67"/>
      <c r="EF221" s="67"/>
      <c r="EG221" s="67"/>
      <c r="EH221" s="67"/>
      <c r="EI221" s="67"/>
      <c r="EJ221" s="67"/>
      <c r="EK221" s="67"/>
      <c r="EL221" s="67"/>
      <c r="EM221" s="67"/>
      <c r="EN221" s="67"/>
      <c r="EO221" s="67"/>
      <c r="EP221" s="67"/>
      <c r="EQ221" s="67"/>
      <c r="ER221" s="67"/>
      <c r="ES221" s="67"/>
      <c r="ET221" s="67"/>
      <c r="EU221" s="67"/>
      <c r="EV221" s="67"/>
      <c r="EW221" s="67"/>
      <c r="EX221" s="67"/>
      <c r="EY221" s="67"/>
      <c r="EZ221" s="67"/>
      <c r="FA221" s="67"/>
      <c r="FB221" s="67"/>
      <c r="FC221" s="67"/>
      <c r="FD221" s="67"/>
      <c r="FE221" s="67"/>
      <c r="FF221" s="67"/>
      <c r="FG221" s="67"/>
      <c r="FH221" s="67"/>
      <c r="FI221" s="67"/>
      <c r="FJ221" s="67"/>
      <c r="FK221" s="67"/>
      <c r="FL221" s="67"/>
      <c r="FM221" s="67"/>
      <c r="FN221" s="67"/>
      <c r="FO221" s="67"/>
      <c r="FP221" s="67"/>
      <c r="FQ221" s="67"/>
      <c r="FR221" s="67"/>
      <c r="FS221" s="67"/>
      <c r="FT221" s="67"/>
      <c r="FU221" s="67"/>
      <c r="FV221" s="67"/>
      <c r="FW221" s="67"/>
      <c r="FX221" s="67"/>
      <c r="FY221" s="67"/>
      <c r="FZ221" s="67"/>
      <c r="GA221" s="67"/>
      <c r="GB221" s="67"/>
      <c r="GC221" s="67"/>
      <c r="GD221" s="67"/>
      <c r="GE221" s="67"/>
      <c r="GF221" s="67"/>
      <c r="GG221" s="67"/>
      <c r="GH221" s="67"/>
      <c r="GI221" s="67"/>
      <c r="GJ221" s="67"/>
      <c r="GK221" s="67"/>
      <c r="GL221" s="66"/>
      <c r="GM221" s="66"/>
      <c r="GN221" s="66"/>
      <c r="GO221" s="66"/>
      <c r="GP221" s="66"/>
      <c r="GQ221" s="66"/>
      <c r="GR221" s="66"/>
      <c r="GS221" s="66"/>
      <c r="GT221" s="66"/>
      <c r="GU221" s="66"/>
      <c r="GV221" s="66"/>
      <c r="GW221" s="66"/>
      <c r="GX221" s="66"/>
      <c r="GY221" s="66"/>
      <c r="GZ221" s="66"/>
      <c r="HA221" s="66"/>
      <c r="HB221" s="66"/>
      <c r="HC221" s="66"/>
      <c r="HD221" s="66"/>
      <c r="HE221" s="66"/>
      <c r="HF221" s="66"/>
      <c r="HG221" s="66"/>
      <c r="HH221" s="66"/>
      <c r="HI221" s="66"/>
      <c r="HJ221" s="66"/>
      <c r="HK221" s="66"/>
      <c r="HL221" s="66"/>
      <c r="HM221" s="66"/>
      <c r="HN221" s="66"/>
      <c r="HO221" s="66"/>
      <c r="HP221" s="66"/>
      <c r="HQ221" s="66"/>
      <c r="HR221" s="66"/>
      <c r="HS221" s="66"/>
      <c r="HT221" s="66"/>
      <c r="HU221" s="66"/>
      <c r="HV221" s="66"/>
      <c r="HW221" s="66"/>
      <c r="HX221" s="66"/>
      <c r="HY221" s="66"/>
      <c r="HZ221" s="66"/>
      <c r="IA221" s="66"/>
      <c r="IB221" s="66"/>
      <c r="IC221" s="66"/>
      <c r="ID221" s="66"/>
      <c r="IE221" s="66"/>
      <c r="IF221" s="66"/>
      <c r="IG221" s="66"/>
      <c r="IH221" s="66"/>
      <c r="II221" s="66"/>
      <c r="IJ221" s="66"/>
      <c r="IK221" s="66"/>
      <c r="IL221" s="66"/>
      <c r="IM221" s="66"/>
      <c r="IN221" s="66"/>
      <c r="IO221" s="66"/>
      <c r="IP221" s="66"/>
      <c r="IQ221" s="66"/>
      <c r="IR221" s="66"/>
      <c r="IS221" s="66"/>
      <c r="IT221" s="66"/>
      <c r="IU221" s="66"/>
      <c r="IV221" s="66"/>
      <c r="IW221" s="66"/>
      <c r="IX221" s="66"/>
      <c r="IY221" s="66"/>
      <c r="IZ221" s="66"/>
      <c r="JA221" s="66"/>
      <c r="JB221" s="66"/>
      <c r="JC221" s="66"/>
      <c r="JD221" s="66"/>
      <c r="JE221" s="66"/>
      <c r="JF221" s="66"/>
      <c r="JG221" s="66"/>
      <c r="JH221" s="66"/>
      <c r="JI221" s="66"/>
      <c r="JJ221" s="66"/>
      <c r="JK221" s="66"/>
      <c r="JL221" s="66"/>
      <c r="JM221" s="66"/>
      <c r="JN221" s="66"/>
      <c r="JO221" s="66"/>
      <c r="JP221" s="66"/>
      <c r="JQ221" s="66"/>
      <c r="JR221" s="66"/>
      <c r="JS221" s="66"/>
      <c r="JT221" s="66"/>
      <c r="JU221" s="66"/>
      <c r="JV221" s="66"/>
      <c r="JW221" s="66"/>
      <c r="JX221" s="66"/>
      <c r="JY221" s="66"/>
      <c r="JZ221" s="66"/>
      <c r="KA221" s="66"/>
      <c r="KB221" s="66"/>
      <c r="KC221" s="66"/>
      <c r="KD221" s="66"/>
      <c r="KE221" s="66"/>
      <c r="KF221" s="66"/>
      <c r="KG221" s="66"/>
      <c r="KH221" s="66"/>
      <c r="KI221" s="66"/>
      <c r="KJ221" s="66"/>
      <c r="KK221" s="66"/>
      <c r="KL221" s="66"/>
      <c r="KM221" s="66"/>
      <c r="KN221" s="66"/>
      <c r="KO221" s="66"/>
      <c r="KP221" s="66"/>
      <c r="KQ221" s="66"/>
      <c r="KR221" s="66"/>
      <c r="KS221" s="66"/>
      <c r="KT221" s="66"/>
      <c r="KU221" s="66"/>
      <c r="KV221" s="66"/>
      <c r="KW221" s="66"/>
      <c r="KX221" s="66"/>
      <c r="KY221" s="66"/>
      <c r="KZ221" s="66"/>
      <c r="LA221" s="66"/>
      <c r="LB221" s="66"/>
      <c r="LC221" s="66"/>
      <c r="LD221" s="66"/>
      <c r="LE221" s="66"/>
      <c r="LF221" s="66"/>
      <c r="LG221" s="66"/>
      <c r="LH221" s="66"/>
      <c r="LI221" s="66"/>
      <c r="LJ221" s="66"/>
      <c r="LK221" s="66"/>
      <c r="LL221" s="66"/>
      <c r="LM221" s="66"/>
      <c r="LN221" s="66"/>
      <c r="LO221" s="66"/>
      <c r="LP221" s="66"/>
      <c r="LQ221" s="66"/>
      <c r="LR221" s="66"/>
      <c r="LS221" s="66"/>
      <c r="LT221" s="66"/>
      <c r="LU221" s="66"/>
      <c r="LV221" s="66"/>
      <c r="LW221" s="66"/>
      <c r="LX221" s="66"/>
      <c r="LY221" s="66"/>
      <c r="LZ221" s="66"/>
      <c r="MA221" s="66"/>
      <c r="MB221" s="66"/>
      <c r="MC221" s="66"/>
      <c r="MD221" s="66"/>
      <c r="ME221" s="66"/>
      <c r="MF221" s="66"/>
      <c r="MG221" s="66"/>
      <c r="MH221" s="66"/>
      <c r="MI221" s="66"/>
      <c r="MJ221" s="66"/>
      <c r="MK221" s="66"/>
      <c r="ML221" s="66"/>
      <c r="MM221" s="66"/>
      <c r="MN221" s="66"/>
      <c r="MO221" s="66"/>
      <c r="MP221" s="66"/>
      <c r="MQ221" s="66"/>
      <c r="MR221" s="66"/>
      <c r="MS221" s="66"/>
      <c r="MT221" s="66"/>
      <c r="MU221" s="66"/>
      <c r="MV221" s="66"/>
      <c r="MW221" s="66"/>
      <c r="MX221" s="66"/>
      <c r="MY221" s="66"/>
      <c r="MZ221" s="66"/>
      <c r="NA221" s="66"/>
      <c r="NB221" s="66"/>
      <c r="NC221" s="66"/>
      <c r="ND221" s="66"/>
      <c r="NE221" s="66"/>
      <c r="NF221" s="66"/>
      <c r="NG221" s="66"/>
      <c r="NH221" s="66"/>
      <c r="NI221" s="66"/>
      <c r="NJ221" s="66"/>
      <c r="NK221" s="66"/>
      <c r="NL221" s="66"/>
      <c r="NM221" s="66"/>
      <c r="NN221" s="66"/>
      <c r="NO221" s="66"/>
      <c r="NP221" s="66"/>
      <c r="NQ221" s="66"/>
      <c r="NR221" s="66"/>
      <c r="NS221" s="66"/>
      <c r="NT221" s="66"/>
      <c r="NU221" s="66"/>
      <c r="NV221" s="66"/>
      <c r="NW221" s="66"/>
      <c r="NX221" s="66"/>
      <c r="NY221" s="66"/>
      <c r="NZ221" s="66"/>
      <c r="OA221" s="66"/>
      <c r="OB221" s="66"/>
      <c r="OC221" s="66"/>
      <c r="OD221" s="66"/>
      <c r="OE221" s="66"/>
      <c r="OF221" s="66"/>
      <c r="OG221" s="66"/>
      <c r="OH221" s="66"/>
      <c r="OI221" s="66"/>
      <c r="OJ221" s="66"/>
      <c r="OK221" s="66"/>
      <c r="OL221" s="66"/>
      <c r="OM221" s="66"/>
      <c r="ON221" s="66"/>
      <c r="OO221" s="66"/>
      <c r="OP221" s="66"/>
      <c r="OQ221" s="66"/>
      <c r="OR221" s="66"/>
      <c r="OS221" s="66"/>
      <c r="OT221" s="66"/>
      <c r="OU221" s="66"/>
      <c r="OV221" s="66"/>
      <c r="OW221" s="66"/>
      <c r="OX221" s="66"/>
      <c r="OY221" s="66"/>
      <c r="OZ221" s="66"/>
      <c r="PA221" s="66"/>
      <c r="PB221" s="66"/>
      <c r="PC221" s="66"/>
      <c r="PD221" s="66"/>
      <c r="PE221" s="66"/>
      <c r="PF221" s="66"/>
      <c r="PG221" s="66"/>
      <c r="PH221" s="66"/>
      <c r="PI221" s="66"/>
      <c r="PJ221" s="66"/>
      <c r="PK221" s="66"/>
      <c r="PL221" s="66"/>
      <c r="PM221" s="66"/>
      <c r="PN221" s="66"/>
      <c r="PO221" s="66"/>
      <c r="PP221" s="66"/>
      <c r="PQ221" s="66"/>
      <c r="PR221" s="66"/>
      <c r="PS221" s="66"/>
      <c r="PT221" s="66"/>
      <c r="PU221" s="66"/>
      <c r="PV221" s="66"/>
      <c r="PW221" s="66"/>
      <c r="PX221" s="66"/>
      <c r="PY221" s="66"/>
      <c r="PZ221" s="66"/>
      <c r="QA221" s="66"/>
      <c r="QB221" s="66"/>
      <c r="QC221" s="66"/>
      <c r="QD221" s="66"/>
      <c r="QE221" s="66"/>
      <c r="QF221" s="66"/>
      <c r="QG221" s="66"/>
      <c r="QH221" s="66"/>
      <c r="QI221" s="66"/>
      <c r="QJ221" s="66"/>
      <c r="QK221" s="66"/>
      <c r="QL221" s="66"/>
      <c r="QM221" s="66"/>
      <c r="QN221" s="66"/>
      <c r="QO221" s="66"/>
      <c r="QP221" s="66"/>
      <c r="QQ221" s="66"/>
      <c r="QR221" s="66"/>
      <c r="QS221" s="66"/>
      <c r="QT221" s="66"/>
      <c r="QU221" s="66"/>
      <c r="QV221" s="66"/>
      <c r="QW221" s="66"/>
      <c r="QX221" s="66"/>
      <c r="QY221" s="66"/>
      <c r="QZ221" s="66"/>
      <c r="RA221" s="66"/>
      <c r="RB221" s="66"/>
      <c r="RC221" s="66"/>
      <c r="RD221" s="4"/>
    </row>
    <row r="222" spans="1:472" ht="18.75" x14ac:dyDescent="0.3">
      <c r="A222" s="69" t="s">
        <v>881</v>
      </c>
      <c r="B222" s="69"/>
      <c r="C222" s="69"/>
      <c r="D222" s="69"/>
      <c r="E222" s="69"/>
      <c r="F222" s="69"/>
    </row>
    <row r="223" spans="1:472" ht="30" x14ac:dyDescent="0.25">
      <c r="A223" s="8" t="s">
        <v>371</v>
      </c>
      <c r="B223" s="8" t="s">
        <v>32</v>
      </c>
      <c r="C223" s="8" t="s">
        <v>0</v>
      </c>
      <c r="D223" s="8" t="s">
        <v>30</v>
      </c>
      <c r="E223" s="15" t="s">
        <v>255</v>
      </c>
      <c r="F223" s="8" t="s">
        <v>224</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row>
    <row r="224" spans="1:472" x14ac:dyDescent="0.25">
      <c r="A224" s="5" t="s">
        <v>71</v>
      </c>
      <c r="B224" s="5" t="s">
        <v>1615</v>
      </c>
      <c r="C224" s="5" t="s">
        <v>1443</v>
      </c>
      <c r="D224" s="5">
        <v>302</v>
      </c>
      <c r="E224" s="5"/>
      <c r="F224" s="60">
        <v>46122</v>
      </c>
      <c r="I224" s="4"/>
      <c r="J224" s="4"/>
      <c r="K224" s="4"/>
      <c r="L224" s="4"/>
      <c r="M224" s="4"/>
      <c r="N224" s="4"/>
      <c r="O224" s="4"/>
      <c r="P224" s="4"/>
      <c r="Q224" s="4"/>
      <c r="R224" s="4"/>
      <c r="S224" s="4"/>
      <c r="T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c r="JM224" s="4"/>
      <c r="JN224" s="4"/>
      <c r="JO224" s="4"/>
      <c r="JP224" s="4"/>
      <c r="JQ224" s="4"/>
      <c r="JR224" s="4"/>
      <c r="JS224" s="4"/>
      <c r="JT224" s="4"/>
      <c r="JU224" s="4"/>
      <c r="JV224" s="4"/>
      <c r="JW224" s="4"/>
      <c r="JX224" s="4"/>
      <c r="JY224" s="4"/>
      <c r="JZ224" s="4"/>
      <c r="KA224" s="4"/>
      <c r="KB224" s="4"/>
      <c r="KC224" s="4"/>
      <c r="KD224" s="4"/>
      <c r="KE224" s="4"/>
      <c r="KF224" s="4"/>
      <c r="KG224" s="4"/>
      <c r="KH224" s="4"/>
      <c r="KI224" s="4"/>
      <c r="KJ224" s="4"/>
      <c r="KK224" s="4"/>
      <c r="KL224" s="4"/>
      <c r="KM224" s="4"/>
      <c r="KN224" s="4"/>
      <c r="KO224" s="4"/>
      <c r="KP224" s="4"/>
      <c r="KQ224" s="4"/>
      <c r="KR224" s="4"/>
      <c r="KS224" s="4"/>
      <c r="KT224" s="4"/>
      <c r="KU224" s="4"/>
      <c r="KV224" s="4"/>
      <c r="KW224" s="4"/>
      <c r="KX224" s="4"/>
      <c r="KY224" s="4"/>
      <c r="KZ224" s="4"/>
      <c r="LA224" s="4"/>
      <c r="LB224" s="4"/>
      <c r="LC224" s="4"/>
      <c r="LD224" s="4"/>
      <c r="LE224" s="4"/>
      <c r="LF224" s="4"/>
      <c r="LG224" s="4"/>
      <c r="LH224" s="4"/>
      <c r="LI224" s="4"/>
      <c r="LJ224" s="4"/>
      <c r="LK224" s="4"/>
      <c r="LL224" s="4"/>
      <c r="LM224" s="4"/>
      <c r="LN224" s="4"/>
      <c r="LO224" s="4"/>
      <c r="LP224" s="4"/>
      <c r="LQ224" s="4"/>
      <c r="LR224" s="4"/>
      <c r="LS224" s="4"/>
      <c r="LT224" s="4"/>
      <c r="LU224" s="4"/>
      <c r="LV224" s="4"/>
      <c r="LW224" s="4"/>
      <c r="LX224" s="4"/>
      <c r="LY224" s="4"/>
      <c r="LZ224" s="4"/>
      <c r="MA224" s="4"/>
      <c r="MB224" s="4"/>
      <c r="MC224" s="4"/>
      <c r="MD224" s="4"/>
      <c r="ME224" s="4"/>
      <c r="MF224" s="4"/>
      <c r="MG224" s="4"/>
      <c r="MH224" s="4"/>
      <c r="MI224" s="4"/>
      <c r="MJ224" s="4"/>
      <c r="MK224" s="4"/>
      <c r="ML224" s="4"/>
      <c r="MM224" s="4"/>
      <c r="MN224" s="4"/>
      <c r="MO224" s="4"/>
      <c r="MP224" s="4"/>
      <c r="MQ224" s="4"/>
      <c r="MR224" s="4"/>
      <c r="MS224" s="4"/>
      <c r="MT224" s="4"/>
      <c r="MU224" s="4"/>
      <c r="MV224" s="4"/>
      <c r="MW224" s="4"/>
      <c r="MX224" s="4"/>
      <c r="MY224" s="4"/>
      <c r="MZ224" s="4"/>
      <c r="NA224" s="4"/>
      <c r="NB224" s="4"/>
      <c r="NC224" s="4"/>
      <c r="ND224" s="4"/>
      <c r="NE224" s="4"/>
      <c r="NF224" s="4"/>
      <c r="NG224" s="4"/>
      <c r="NH224" s="4"/>
      <c r="NI224" s="4"/>
      <c r="NJ224" s="4"/>
      <c r="NK224" s="4"/>
      <c r="NL224" s="4"/>
      <c r="NM224" s="4"/>
      <c r="NN224" s="4"/>
      <c r="NO224" s="4"/>
      <c r="NP224" s="4"/>
      <c r="NQ224" s="4"/>
      <c r="NR224" s="4"/>
      <c r="NS224" s="4"/>
      <c r="NT224" s="4"/>
      <c r="NU224" s="4"/>
      <c r="NV224" s="4"/>
      <c r="NW224" s="4"/>
      <c r="NX224" s="4"/>
      <c r="NY224" s="4"/>
      <c r="NZ224" s="4"/>
      <c r="OA224" s="4"/>
      <c r="OB224" s="4"/>
      <c r="OC224" s="4"/>
      <c r="OD224" s="4"/>
      <c r="OE224" s="4"/>
      <c r="OF224" s="4"/>
      <c r="OG224" s="4"/>
      <c r="OH224" s="4"/>
      <c r="OI224" s="4"/>
      <c r="OJ224" s="4"/>
      <c r="OK224" s="4"/>
      <c r="OL224" s="4"/>
      <c r="OM224" s="4"/>
      <c r="ON224" s="4"/>
      <c r="OO224" s="4"/>
      <c r="OP224" s="4"/>
      <c r="OQ224" s="4"/>
      <c r="OR224" s="4"/>
      <c r="OS224" s="4"/>
      <c r="OT224" s="4"/>
      <c r="OU224" s="4"/>
      <c r="OV224" s="4"/>
      <c r="OW224" s="4"/>
      <c r="OX224" s="4"/>
      <c r="OY224" s="4"/>
      <c r="OZ224" s="4"/>
      <c r="PA224" s="4"/>
      <c r="PB224" s="4"/>
      <c r="PC224" s="4"/>
      <c r="PD224" s="4"/>
      <c r="PE224" s="4"/>
      <c r="PF224" s="4"/>
      <c r="PG224" s="4"/>
      <c r="PH224" s="4"/>
      <c r="PI224" s="4"/>
      <c r="PJ224" s="4"/>
      <c r="PK224" s="4"/>
      <c r="PL224" s="4"/>
      <c r="PM224" s="4"/>
      <c r="PN224" s="4"/>
      <c r="PO224" s="4"/>
      <c r="PP224" s="4"/>
      <c r="PQ224" s="4"/>
      <c r="PR224" s="4"/>
      <c r="PS224" s="4"/>
      <c r="PT224" s="4"/>
      <c r="PU224" s="4"/>
      <c r="PV224" s="4"/>
      <c r="PW224" s="4"/>
      <c r="PX224" s="4"/>
      <c r="PY224" s="4"/>
      <c r="PZ224" s="4"/>
      <c r="QA224" s="4"/>
      <c r="QB224" s="4"/>
      <c r="QC224" s="4"/>
      <c r="QD224" s="4"/>
      <c r="QE224" s="4"/>
      <c r="QF224" s="4"/>
      <c r="QG224" s="4"/>
      <c r="QH224" s="4"/>
      <c r="QI224" s="4"/>
      <c r="QJ224" s="4"/>
      <c r="QK224" s="4"/>
      <c r="QL224" s="4"/>
      <c r="QM224" s="4"/>
      <c r="QN224" s="4"/>
      <c r="QO224" s="4"/>
      <c r="QP224" s="4"/>
      <c r="QQ224" s="4"/>
      <c r="QR224" s="4"/>
      <c r="QS224" s="4"/>
      <c r="QT224" s="4"/>
      <c r="QU224" s="4"/>
      <c r="QV224" s="4"/>
      <c r="QW224" s="4"/>
      <c r="QX224" s="4"/>
      <c r="QY224" s="4"/>
      <c r="QZ224" s="4"/>
      <c r="RA224" s="4"/>
      <c r="RB224" s="4"/>
      <c r="RC224" s="4"/>
      <c r="RD224" s="4"/>
    </row>
    <row r="225" spans="1:472" x14ac:dyDescent="0.25">
      <c r="A225" s="5" t="s">
        <v>71</v>
      </c>
      <c r="B225" s="5" t="s">
        <v>1619</v>
      </c>
      <c r="C225" s="5" t="s">
        <v>230</v>
      </c>
      <c r="D225" s="5">
        <v>123</v>
      </c>
      <c r="E225" s="5"/>
      <c r="F225" s="60">
        <v>46122</v>
      </c>
      <c r="I225" s="4"/>
      <c r="J225" s="4"/>
      <c r="K225" s="4"/>
      <c r="L225" s="4"/>
      <c r="M225" s="4"/>
      <c r="N225" s="4"/>
      <c r="O225" s="4"/>
      <c r="P225" s="4"/>
      <c r="Q225" s="4"/>
      <c r="R225" s="4"/>
      <c r="S225" s="4"/>
      <c r="T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4"/>
      <c r="JU225" s="4"/>
      <c r="JV225" s="4"/>
      <c r="JW225" s="4"/>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c r="LL225" s="4"/>
      <c r="LM225" s="4"/>
      <c r="LN225" s="4"/>
      <c r="LO225" s="4"/>
      <c r="LP225" s="4"/>
      <c r="LQ225" s="4"/>
      <c r="LR225" s="4"/>
      <c r="LS225" s="4"/>
      <c r="LT225" s="4"/>
      <c r="LU225" s="4"/>
      <c r="LV225" s="4"/>
      <c r="LW225" s="4"/>
      <c r="LX225" s="4"/>
      <c r="LY225" s="4"/>
      <c r="LZ225" s="4"/>
      <c r="MA225" s="4"/>
      <c r="MB225" s="4"/>
      <c r="MC225" s="4"/>
      <c r="MD225" s="4"/>
      <c r="ME225" s="4"/>
      <c r="MF225" s="4"/>
      <c r="MG225" s="4"/>
      <c r="MH225" s="4"/>
      <c r="MI225" s="4"/>
      <c r="MJ225" s="4"/>
      <c r="MK225" s="4"/>
      <c r="ML225" s="4"/>
      <c r="MM225" s="4"/>
      <c r="MN225" s="4"/>
      <c r="MO225" s="4"/>
      <c r="MP225" s="4"/>
      <c r="MQ225" s="4"/>
      <c r="MR225" s="4"/>
      <c r="MS225" s="4"/>
      <c r="MT225" s="4"/>
      <c r="MU225" s="4"/>
      <c r="MV225" s="4"/>
      <c r="MW225" s="4"/>
      <c r="MX225" s="4"/>
      <c r="MY225" s="4"/>
      <c r="MZ225" s="4"/>
      <c r="NA225" s="4"/>
      <c r="NB225" s="4"/>
      <c r="NC225" s="4"/>
      <c r="ND225" s="4"/>
      <c r="NE225" s="4"/>
      <c r="NF225" s="4"/>
      <c r="NG225" s="4"/>
      <c r="NH225" s="4"/>
      <c r="NI225" s="4"/>
      <c r="NJ225" s="4"/>
      <c r="NK225" s="4"/>
      <c r="NL225" s="4"/>
      <c r="NM225" s="4"/>
      <c r="NN225" s="4"/>
      <c r="NO225" s="4"/>
      <c r="NP225" s="4"/>
      <c r="NQ225" s="4"/>
      <c r="NR225" s="4"/>
      <c r="NS225" s="4"/>
      <c r="NT225" s="4"/>
      <c r="NU225" s="4"/>
      <c r="NV225" s="4"/>
      <c r="NW225" s="4"/>
      <c r="NX225" s="4"/>
      <c r="NY225" s="4"/>
      <c r="NZ225" s="4"/>
      <c r="OA225" s="4"/>
      <c r="OB225" s="4"/>
      <c r="OC225" s="4"/>
      <c r="OD225" s="4"/>
      <c r="OE225" s="4"/>
      <c r="OF225" s="4"/>
      <c r="OG225" s="4"/>
      <c r="OH225" s="4"/>
      <c r="OI225" s="4"/>
      <c r="OJ225" s="4"/>
      <c r="OK225" s="4"/>
      <c r="OL225" s="4"/>
      <c r="OM225" s="4"/>
      <c r="ON225" s="4"/>
      <c r="OO225" s="4"/>
      <c r="OP225" s="4"/>
      <c r="OQ225" s="4"/>
      <c r="OR225" s="4"/>
      <c r="OS225" s="4"/>
      <c r="OT225" s="4"/>
      <c r="OU225" s="4"/>
      <c r="OV225" s="4"/>
      <c r="OW225" s="4"/>
      <c r="OX225" s="4"/>
      <c r="OY225" s="4"/>
      <c r="OZ225" s="4"/>
      <c r="PA225" s="4"/>
      <c r="PB225" s="4"/>
      <c r="PC225" s="4"/>
      <c r="PD225" s="4"/>
      <c r="PE225" s="4"/>
      <c r="PF225" s="4"/>
      <c r="PG225" s="4"/>
      <c r="PH225" s="4"/>
      <c r="PI225" s="4"/>
      <c r="PJ225" s="4"/>
      <c r="PK225" s="4"/>
      <c r="PL225" s="4"/>
      <c r="PM225" s="4"/>
      <c r="PN225" s="4"/>
      <c r="PO225" s="4"/>
      <c r="PP225" s="4"/>
      <c r="PQ225" s="4"/>
      <c r="PR225" s="4"/>
      <c r="PS225" s="4"/>
      <c r="PT225" s="4"/>
      <c r="PU225" s="4"/>
      <c r="PV225" s="4"/>
      <c r="PW225" s="4"/>
      <c r="PX225" s="4"/>
      <c r="PY225" s="4"/>
      <c r="PZ225" s="4"/>
      <c r="QA225" s="4"/>
      <c r="QB225" s="4"/>
      <c r="QC225" s="4"/>
      <c r="QD225" s="4"/>
      <c r="QE225" s="4"/>
      <c r="QF225" s="4"/>
      <c r="QG225" s="4"/>
      <c r="QH225" s="4"/>
      <c r="QI225" s="4"/>
      <c r="QJ225" s="4"/>
      <c r="QK225" s="4"/>
      <c r="QL225" s="4"/>
      <c r="QM225" s="4"/>
      <c r="QN225" s="4"/>
      <c r="QO225" s="4"/>
      <c r="QP225" s="4"/>
      <c r="QQ225" s="4"/>
      <c r="QR225" s="4"/>
      <c r="QS225" s="4"/>
      <c r="QT225" s="4"/>
      <c r="QU225" s="4"/>
      <c r="QV225" s="4"/>
      <c r="QW225" s="4"/>
      <c r="QX225" s="4"/>
      <c r="QY225" s="4"/>
      <c r="QZ225" s="4"/>
      <c r="RA225" s="4"/>
      <c r="RB225" s="4"/>
      <c r="RC225" s="4"/>
      <c r="RD225" s="4"/>
    </row>
    <row r="226" spans="1:472" x14ac:dyDescent="0.25">
      <c r="A226" s="5" t="s">
        <v>71</v>
      </c>
      <c r="B226" s="5" t="s">
        <v>1628</v>
      </c>
      <c r="C226" s="5" t="s">
        <v>1443</v>
      </c>
      <c r="D226" s="5">
        <v>172</v>
      </c>
      <c r="E226" s="5"/>
      <c r="F226" s="60">
        <v>46142</v>
      </c>
      <c r="I226" s="4"/>
      <c r="J226" s="4"/>
      <c r="K226" s="4"/>
      <c r="L226" s="4"/>
      <c r="M226" s="4"/>
      <c r="N226" s="4"/>
      <c r="O226" s="4"/>
      <c r="P226" s="4"/>
      <c r="Q226" s="4"/>
      <c r="R226" s="4"/>
      <c r="S226" s="4"/>
      <c r="T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c r="LL226" s="4"/>
      <c r="LM226" s="4"/>
      <c r="LN226" s="4"/>
      <c r="LO226" s="4"/>
      <c r="LP226" s="4"/>
      <c r="LQ226" s="4"/>
      <c r="LR226" s="4"/>
      <c r="LS226" s="4"/>
      <c r="LT226" s="4"/>
      <c r="LU226" s="4"/>
      <c r="LV226" s="4"/>
      <c r="LW226" s="4"/>
      <c r="LX226" s="4"/>
      <c r="LY226" s="4"/>
      <c r="LZ226" s="4"/>
      <c r="MA226" s="4"/>
      <c r="MB226" s="4"/>
      <c r="MC226" s="4"/>
      <c r="MD226" s="4"/>
      <c r="ME226" s="4"/>
      <c r="MF226" s="4"/>
      <c r="MG226" s="4"/>
      <c r="MH226" s="4"/>
      <c r="MI226" s="4"/>
      <c r="MJ226" s="4"/>
      <c r="MK226" s="4"/>
      <c r="ML226" s="4"/>
      <c r="MM226" s="4"/>
      <c r="MN226" s="4"/>
      <c r="MO226" s="4"/>
      <c r="MP226" s="4"/>
      <c r="MQ226" s="4"/>
      <c r="MR226" s="4"/>
      <c r="MS226" s="4"/>
      <c r="MT226" s="4"/>
      <c r="MU226" s="4"/>
      <c r="MV226" s="4"/>
      <c r="MW226" s="4"/>
      <c r="MX226" s="4"/>
      <c r="MY226" s="4"/>
      <c r="MZ226" s="4"/>
      <c r="NA226" s="4"/>
      <c r="NB226" s="4"/>
      <c r="NC226" s="4"/>
      <c r="ND226" s="4"/>
      <c r="NE226" s="4"/>
      <c r="NF226" s="4"/>
      <c r="NG226" s="4"/>
      <c r="NH226" s="4"/>
      <c r="NI226" s="4"/>
      <c r="NJ226" s="4"/>
      <c r="NK226" s="4"/>
      <c r="NL226" s="4"/>
      <c r="NM226" s="4"/>
      <c r="NN226" s="4"/>
      <c r="NO226" s="4"/>
      <c r="NP226" s="4"/>
      <c r="NQ226" s="4"/>
      <c r="NR226" s="4"/>
      <c r="NS226" s="4"/>
      <c r="NT226" s="4"/>
      <c r="NU226" s="4"/>
      <c r="NV226" s="4"/>
      <c r="NW226" s="4"/>
      <c r="NX226" s="4"/>
      <c r="NY226" s="4"/>
      <c r="NZ226" s="4"/>
      <c r="OA226" s="4"/>
      <c r="OB226" s="4"/>
      <c r="OC226" s="4"/>
      <c r="OD226" s="4"/>
      <c r="OE226" s="4"/>
      <c r="OF226" s="4"/>
      <c r="OG226" s="4"/>
      <c r="OH226" s="4"/>
      <c r="OI226" s="4"/>
      <c r="OJ226" s="4"/>
      <c r="OK226" s="4"/>
      <c r="OL226" s="4"/>
      <c r="OM226" s="4"/>
      <c r="ON226" s="4"/>
      <c r="OO226" s="4"/>
      <c r="OP226" s="4"/>
      <c r="OQ226" s="4"/>
      <c r="OR226" s="4"/>
      <c r="OS226" s="4"/>
      <c r="OT226" s="4"/>
      <c r="OU226" s="4"/>
      <c r="OV226" s="4"/>
      <c r="OW226" s="4"/>
      <c r="OX226" s="4"/>
      <c r="OY226" s="4"/>
      <c r="OZ226" s="4"/>
      <c r="PA226" s="4"/>
      <c r="PB226" s="4"/>
      <c r="PC226" s="4"/>
      <c r="PD226" s="4"/>
      <c r="PE226" s="4"/>
      <c r="PF226" s="4"/>
      <c r="PG226" s="4"/>
      <c r="PH226" s="4"/>
      <c r="PI226" s="4"/>
      <c r="PJ226" s="4"/>
      <c r="PK226" s="4"/>
      <c r="PL226" s="4"/>
      <c r="PM226" s="4"/>
      <c r="PN226" s="4"/>
      <c r="PO226" s="4"/>
      <c r="PP226" s="4"/>
      <c r="PQ226" s="4"/>
      <c r="PR226" s="4"/>
      <c r="PS226" s="4"/>
      <c r="PT226" s="4"/>
      <c r="PU226" s="4"/>
      <c r="PV226" s="4"/>
      <c r="PW226" s="4"/>
      <c r="PX226" s="4"/>
      <c r="PY226" s="4"/>
      <c r="PZ226" s="4"/>
      <c r="QA226" s="4"/>
      <c r="QB226" s="4"/>
      <c r="QC226" s="4"/>
      <c r="QD226" s="4"/>
      <c r="QE226" s="4"/>
      <c r="QF226" s="4"/>
      <c r="QG226" s="4"/>
      <c r="QH226" s="4"/>
      <c r="QI226" s="4"/>
      <c r="QJ226" s="4"/>
      <c r="QK226" s="4"/>
      <c r="QL226" s="4"/>
      <c r="QM226" s="4"/>
      <c r="QN226" s="4"/>
      <c r="QO226" s="4"/>
      <c r="QP226" s="4"/>
      <c r="QQ226" s="4"/>
      <c r="QR226" s="4"/>
      <c r="QS226" s="4"/>
      <c r="QT226" s="4"/>
      <c r="QU226" s="4"/>
      <c r="QV226" s="4"/>
      <c r="QW226" s="4"/>
      <c r="QX226" s="4"/>
      <c r="QY226" s="4"/>
      <c r="QZ226" s="4"/>
      <c r="RA226" s="4"/>
      <c r="RB226" s="4"/>
      <c r="RC226" s="4"/>
      <c r="RD226" s="4"/>
    </row>
    <row r="227" spans="1:472" x14ac:dyDescent="0.25">
      <c r="A227" s="5" t="s">
        <v>71</v>
      </c>
      <c r="B227" s="5" t="s">
        <v>1630</v>
      </c>
      <c r="C227" s="5" t="s">
        <v>1453</v>
      </c>
      <c r="D227" s="5">
        <v>144</v>
      </c>
      <c r="E227" s="5"/>
      <c r="F227" s="60" t="s">
        <v>1629</v>
      </c>
      <c r="I227" s="4"/>
      <c r="J227" s="4"/>
      <c r="K227" s="4"/>
      <c r="L227" s="4"/>
      <c r="M227" s="4"/>
      <c r="N227" s="4"/>
      <c r="O227" s="4"/>
      <c r="P227" s="4"/>
      <c r="Q227" s="4"/>
      <c r="R227" s="4"/>
      <c r="S227" s="4"/>
      <c r="T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c r="LL227" s="4"/>
      <c r="LM227" s="4"/>
      <c r="LN227" s="4"/>
      <c r="LO227" s="4"/>
      <c r="LP227" s="4"/>
      <c r="LQ227" s="4"/>
      <c r="LR227" s="4"/>
      <c r="LS227" s="4"/>
      <c r="LT227" s="4"/>
      <c r="LU227" s="4"/>
      <c r="LV227" s="4"/>
      <c r="LW227" s="4"/>
      <c r="LX227" s="4"/>
      <c r="LY227" s="4"/>
      <c r="LZ227" s="4"/>
      <c r="MA227" s="4"/>
      <c r="MB227" s="4"/>
      <c r="MC227" s="4"/>
      <c r="MD227" s="4"/>
      <c r="ME227" s="4"/>
      <c r="MF227" s="4"/>
      <c r="MG227" s="4"/>
      <c r="MH227" s="4"/>
      <c r="MI227" s="4"/>
      <c r="MJ227" s="4"/>
      <c r="MK227" s="4"/>
      <c r="ML227" s="4"/>
      <c r="MM227" s="4"/>
      <c r="MN227" s="4"/>
      <c r="MO227" s="4"/>
      <c r="MP227" s="4"/>
      <c r="MQ227" s="4"/>
      <c r="MR227" s="4"/>
      <c r="MS227" s="4"/>
      <c r="MT227" s="4"/>
      <c r="MU227" s="4"/>
      <c r="MV227" s="4"/>
      <c r="MW227" s="4"/>
      <c r="MX227" s="4"/>
      <c r="MY227" s="4"/>
      <c r="MZ227" s="4"/>
      <c r="NA227" s="4"/>
      <c r="NB227" s="4"/>
      <c r="NC227" s="4"/>
      <c r="ND227" s="4"/>
      <c r="NE227" s="4"/>
      <c r="NF227" s="4"/>
      <c r="NG227" s="4"/>
      <c r="NH227" s="4"/>
      <c r="NI227" s="4"/>
      <c r="NJ227" s="4"/>
      <c r="NK227" s="4"/>
      <c r="NL227" s="4"/>
      <c r="NM227" s="4"/>
      <c r="NN227" s="4"/>
      <c r="NO227" s="4"/>
      <c r="NP227" s="4"/>
      <c r="NQ227" s="4"/>
      <c r="NR227" s="4"/>
      <c r="NS227" s="4"/>
      <c r="NT227" s="4"/>
      <c r="NU227" s="4"/>
      <c r="NV227" s="4"/>
      <c r="NW227" s="4"/>
      <c r="NX227" s="4"/>
      <c r="NY227" s="4"/>
      <c r="NZ227" s="4"/>
      <c r="OA227" s="4"/>
      <c r="OB227" s="4"/>
      <c r="OC227" s="4"/>
      <c r="OD227" s="4"/>
      <c r="OE227" s="4"/>
      <c r="OF227" s="4"/>
      <c r="OG227" s="4"/>
      <c r="OH227" s="4"/>
      <c r="OI227" s="4"/>
      <c r="OJ227" s="4"/>
      <c r="OK227" s="4"/>
      <c r="OL227" s="4"/>
      <c r="OM227" s="4"/>
      <c r="ON227" s="4"/>
      <c r="OO227" s="4"/>
      <c r="OP227" s="4"/>
      <c r="OQ227" s="4"/>
      <c r="OR227" s="4"/>
      <c r="OS227" s="4"/>
      <c r="OT227" s="4"/>
      <c r="OU227" s="4"/>
      <c r="OV227" s="4"/>
      <c r="OW227" s="4"/>
      <c r="OX227" s="4"/>
      <c r="OY227" s="4"/>
      <c r="OZ227" s="4"/>
      <c r="PA227" s="4"/>
      <c r="PB227" s="4"/>
      <c r="PC227" s="4"/>
      <c r="PD227" s="4"/>
      <c r="PE227" s="4"/>
      <c r="PF227" s="4"/>
      <c r="PG227" s="4"/>
      <c r="PH227" s="4"/>
      <c r="PI227" s="4"/>
      <c r="PJ227" s="4"/>
      <c r="PK227" s="4"/>
      <c r="PL227" s="4"/>
      <c r="PM227" s="4"/>
      <c r="PN227" s="4"/>
      <c r="PO227" s="4"/>
      <c r="PP227" s="4"/>
      <c r="PQ227" s="4"/>
      <c r="PR227" s="4"/>
      <c r="PS227" s="4"/>
      <c r="PT227" s="4"/>
      <c r="PU227" s="4"/>
      <c r="PV227" s="4"/>
      <c r="PW227" s="4"/>
      <c r="PX227" s="4"/>
      <c r="PY227" s="4"/>
      <c r="PZ227" s="4"/>
      <c r="QA227" s="4"/>
      <c r="QB227" s="4"/>
      <c r="QC227" s="4"/>
      <c r="QD227" s="4"/>
      <c r="QE227" s="4"/>
      <c r="QF227" s="4"/>
      <c r="QG227" s="4"/>
      <c r="QH227" s="4"/>
      <c r="QI227" s="4"/>
      <c r="QJ227" s="4"/>
      <c r="QK227" s="4"/>
      <c r="QL227" s="4"/>
      <c r="QM227" s="4"/>
      <c r="QN227" s="4"/>
      <c r="QO227" s="4"/>
      <c r="QP227" s="4"/>
      <c r="QQ227" s="4"/>
      <c r="QR227" s="4"/>
      <c r="QS227" s="4"/>
      <c r="QT227" s="4"/>
      <c r="QU227" s="4"/>
      <c r="QV227" s="4"/>
      <c r="QW227" s="4"/>
      <c r="QX227" s="4"/>
      <c r="QY227" s="4"/>
      <c r="QZ227" s="4"/>
      <c r="RA227" s="4"/>
      <c r="RB227" s="4"/>
      <c r="RC227" s="4"/>
      <c r="RD227" s="4"/>
    </row>
    <row r="228" spans="1:472" x14ac:dyDescent="0.25">
      <c r="I228" s="66"/>
      <c r="J228" s="66"/>
      <c r="K228" s="66"/>
      <c r="L228" s="66"/>
      <c r="M228" s="66"/>
      <c r="N228" s="66"/>
      <c r="O228" s="66"/>
      <c r="P228" s="66"/>
      <c r="Q228" s="66"/>
      <c r="R228" s="66"/>
      <c r="S228" s="66"/>
      <c r="T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c r="DA228" s="66"/>
      <c r="DB228" s="66"/>
      <c r="DC228" s="66"/>
      <c r="DD228" s="66"/>
      <c r="DE228" s="66"/>
      <c r="DF228" s="66"/>
      <c r="DG228" s="66"/>
      <c r="DH228" s="66"/>
      <c r="DI228" s="66"/>
      <c r="DJ228" s="66"/>
      <c r="DK228" s="66"/>
      <c r="DL228" s="66"/>
      <c r="DM228" s="66"/>
      <c r="DN228" s="66"/>
      <c r="DO228" s="66"/>
      <c r="DP228" s="66"/>
      <c r="DQ228" s="66"/>
      <c r="DR228" s="66"/>
      <c r="DS228" s="66"/>
      <c r="DT228" s="66"/>
      <c r="DU228" s="66"/>
      <c r="DV228" s="66"/>
      <c r="DW228" s="66"/>
      <c r="DX228" s="66"/>
      <c r="DY228" s="66"/>
      <c r="DZ228" s="66"/>
      <c r="EA228" s="66"/>
      <c r="EB228" s="66"/>
      <c r="EC228" s="66"/>
      <c r="ED228" s="66"/>
      <c r="EE228" s="66"/>
      <c r="EF228" s="66"/>
      <c r="EG228" s="66"/>
      <c r="EH228" s="66"/>
      <c r="EI228" s="66"/>
      <c r="EJ228" s="66"/>
      <c r="EK228" s="66"/>
      <c r="EL228" s="66"/>
      <c r="EM228" s="66"/>
      <c r="EN228" s="66"/>
      <c r="EO228" s="66"/>
      <c r="EP228" s="66"/>
      <c r="EQ228" s="66"/>
      <c r="ER228" s="66"/>
      <c r="ES228" s="66"/>
      <c r="ET228" s="66"/>
      <c r="EU228" s="66"/>
      <c r="EV228" s="66"/>
      <c r="EW228" s="66"/>
      <c r="EX228" s="66"/>
      <c r="EY228" s="66"/>
      <c r="EZ228" s="66"/>
      <c r="FA228" s="66"/>
      <c r="FB228" s="66"/>
      <c r="FC228" s="66"/>
      <c r="FD228" s="66"/>
      <c r="FE228" s="66"/>
      <c r="FF228" s="66"/>
      <c r="FG228" s="66"/>
      <c r="FH228" s="66"/>
      <c r="FI228" s="66"/>
      <c r="FJ228" s="66"/>
      <c r="FK228" s="66"/>
      <c r="FL228" s="66"/>
      <c r="FM228" s="66"/>
      <c r="FN228" s="66"/>
      <c r="FO228" s="66"/>
      <c r="FP228" s="66"/>
      <c r="FQ228" s="66"/>
      <c r="FR228" s="66"/>
      <c r="FS228" s="66"/>
      <c r="FT228" s="66"/>
      <c r="FU228" s="66"/>
      <c r="FV228" s="66"/>
      <c r="FW228" s="66"/>
      <c r="FX228" s="66"/>
      <c r="FY228" s="66"/>
      <c r="FZ228" s="66"/>
      <c r="GA228" s="66"/>
      <c r="GB228" s="66"/>
      <c r="GC228" s="66"/>
      <c r="GD228" s="66"/>
      <c r="GE228" s="66"/>
      <c r="GF228" s="66"/>
      <c r="GG228" s="66"/>
      <c r="GH228" s="66"/>
      <c r="GI228" s="66"/>
      <c r="GJ228" s="66"/>
      <c r="GK228" s="66"/>
      <c r="GL228" s="66"/>
      <c r="GM228" s="66"/>
      <c r="GN228" s="66"/>
      <c r="GO228" s="66"/>
      <c r="GP228" s="66"/>
      <c r="GQ228" s="66"/>
      <c r="GR228" s="66"/>
      <c r="GS228" s="66"/>
      <c r="GT228" s="66"/>
      <c r="GU228" s="66"/>
      <c r="GV228" s="66"/>
      <c r="GW228" s="66"/>
      <c r="GX228" s="66"/>
      <c r="GY228" s="66"/>
      <c r="GZ228" s="66"/>
      <c r="HA228" s="66"/>
      <c r="HB228" s="66"/>
      <c r="HC228" s="66"/>
      <c r="HD228" s="66"/>
      <c r="HE228" s="66"/>
      <c r="HF228" s="66"/>
      <c r="HG228" s="66"/>
      <c r="HH228" s="66"/>
      <c r="HI228" s="66"/>
      <c r="HJ228" s="66"/>
      <c r="HK228" s="66"/>
      <c r="HL228" s="66"/>
      <c r="HM228" s="66"/>
      <c r="HN228" s="66"/>
      <c r="HO228" s="66"/>
      <c r="HP228" s="66"/>
      <c r="HQ228" s="66"/>
      <c r="HR228" s="66"/>
      <c r="HS228" s="66"/>
      <c r="HT228" s="66"/>
      <c r="HU228" s="66"/>
      <c r="HV228" s="66"/>
      <c r="HW228" s="66"/>
      <c r="HX228" s="66"/>
      <c r="HY228" s="66"/>
      <c r="HZ228" s="66"/>
      <c r="IA228" s="66"/>
      <c r="IB228" s="66"/>
      <c r="IC228" s="66"/>
      <c r="ID228" s="66"/>
      <c r="IE228" s="66"/>
      <c r="IF228" s="66"/>
      <c r="IG228" s="66"/>
      <c r="IH228" s="66"/>
      <c r="II228" s="66"/>
      <c r="IJ228" s="66"/>
      <c r="IK228" s="66"/>
      <c r="IL228" s="66"/>
      <c r="IM228" s="66"/>
      <c r="IN228" s="66"/>
      <c r="IO228" s="66"/>
      <c r="IP228" s="66"/>
      <c r="IQ228" s="66"/>
      <c r="IR228" s="66"/>
      <c r="IS228" s="66"/>
      <c r="IT228" s="66"/>
      <c r="IU228" s="66"/>
      <c r="IV228" s="66"/>
      <c r="IW228" s="66"/>
      <c r="IX228" s="66"/>
      <c r="IY228" s="66"/>
      <c r="IZ228" s="66"/>
      <c r="JA228" s="66"/>
      <c r="JB228" s="66"/>
      <c r="JC228" s="66"/>
      <c r="JD228" s="66"/>
      <c r="JE228" s="66"/>
      <c r="JF228" s="66"/>
      <c r="JG228" s="66"/>
      <c r="JH228" s="66"/>
      <c r="JI228" s="66"/>
      <c r="JJ228" s="66"/>
      <c r="JK228" s="66"/>
      <c r="JL228" s="66"/>
      <c r="JM228" s="66"/>
      <c r="JN228" s="66"/>
      <c r="JO228" s="66"/>
      <c r="JP228" s="66"/>
      <c r="JQ228" s="66"/>
      <c r="JR228" s="66"/>
      <c r="JS228" s="66"/>
      <c r="JT228" s="66"/>
      <c r="JU228" s="66"/>
      <c r="JV228" s="66"/>
      <c r="JW228" s="66"/>
      <c r="JX228" s="66"/>
      <c r="JY228" s="66"/>
      <c r="JZ228" s="66"/>
      <c r="KA228" s="66"/>
      <c r="KB228" s="66"/>
      <c r="KC228" s="66"/>
      <c r="KD228" s="66"/>
      <c r="KE228" s="66"/>
      <c r="KF228" s="66"/>
      <c r="KG228" s="66"/>
      <c r="KH228" s="66"/>
      <c r="KI228" s="66"/>
      <c r="KJ228" s="66"/>
      <c r="KK228" s="66"/>
      <c r="KL228" s="66"/>
      <c r="KM228" s="66"/>
      <c r="KN228" s="66"/>
      <c r="KO228" s="66"/>
      <c r="KP228" s="66"/>
      <c r="KQ228" s="66"/>
      <c r="KR228" s="66"/>
      <c r="KS228" s="66"/>
      <c r="KT228" s="66"/>
      <c r="KU228" s="66"/>
      <c r="KV228" s="66"/>
      <c r="KW228" s="66"/>
      <c r="KX228" s="66"/>
      <c r="KY228" s="66"/>
      <c r="KZ228" s="66"/>
      <c r="LA228" s="66"/>
      <c r="LB228" s="66"/>
      <c r="LC228" s="66"/>
      <c r="LD228" s="66"/>
      <c r="LE228" s="66"/>
      <c r="LF228" s="66"/>
      <c r="LG228" s="66"/>
      <c r="LH228" s="66"/>
      <c r="LI228" s="66"/>
      <c r="LJ228" s="66"/>
      <c r="LK228" s="66"/>
      <c r="LL228" s="66"/>
      <c r="LM228" s="66"/>
      <c r="LN228" s="66"/>
      <c r="LO228" s="66"/>
      <c r="LP228" s="66"/>
      <c r="LQ228" s="66"/>
      <c r="LR228" s="66"/>
      <c r="LS228" s="66"/>
      <c r="LT228" s="66"/>
      <c r="LU228" s="66"/>
      <c r="LV228" s="66"/>
      <c r="LW228" s="66"/>
      <c r="LX228" s="66"/>
      <c r="LY228" s="66"/>
      <c r="LZ228" s="66"/>
      <c r="MA228" s="66"/>
      <c r="MB228" s="66"/>
      <c r="MC228" s="66"/>
      <c r="MD228" s="66"/>
      <c r="ME228" s="66"/>
      <c r="MF228" s="66"/>
      <c r="MG228" s="66"/>
      <c r="MH228" s="66"/>
      <c r="MI228" s="66"/>
      <c r="MJ228" s="66"/>
      <c r="MK228" s="66"/>
      <c r="ML228" s="66"/>
      <c r="MM228" s="66"/>
      <c r="MN228" s="66"/>
      <c r="MO228" s="66"/>
      <c r="MP228" s="66"/>
      <c r="MQ228" s="66"/>
      <c r="MR228" s="66"/>
      <c r="MS228" s="66"/>
      <c r="MT228" s="66"/>
      <c r="MU228" s="66"/>
      <c r="MV228" s="66"/>
      <c r="MW228" s="66"/>
      <c r="MX228" s="66"/>
      <c r="MY228" s="66"/>
      <c r="MZ228" s="66"/>
      <c r="NA228" s="66"/>
      <c r="NB228" s="66"/>
      <c r="NC228" s="66"/>
      <c r="ND228" s="66"/>
      <c r="NE228" s="66"/>
      <c r="NF228" s="66"/>
      <c r="NG228" s="66"/>
      <c r="NH228" s="66"/>
      <c r="NI228" s="66"/>
      <c r="NJ228" s="66"/>
      <c r="NK228" s="66"/>
      <c r="NL228" s="66"/>
      <c r="NM228" s="66"/>
      <c r="NN228" s="66"/>
      <c r="NO228" s="66"/>
      <c r="NP228" s="66"/>
      <c r="NQ228" s="66"/>
      <c r="NR228" s="66"/>
      <c r="NS228" s="66"/>
      <c r="NT228" s="66"/>
      <c r="NU228" s="66"/>
      <c r="NV228" s="66"/>
      <c r="NW228" s="66"/>
      <c r="NX228" s="66"/>
      <c r="NY228" s="66"/>
      <c r="NZ228" s="66"/>
      <c r="OA228" s="66"/>
      <c r="OB228" s="66"/>
      <c r="OC228" s="66"/>
      <c r="OD228" s="66"/>
      <c r="OE228" s="66"/>
      <c r="OF228" s="66"/>
      <c r="OG228" s="66"/>
      <c r="OH228" s="66"/>
      <c r="OI228" s="66"/>
      <c r="OJ228" s="66"/>
      <c r="OK228" s="66"/>
      <c r="OL228" s="66"/>
      <c r="OM228" s="66"/>
      <c r="ON228" s="66"/>
      <c r="OO228" s="66"/>
      <c r="OP228" s="66"/>
      <c r="OQ228" s="66"/>
      <c r="OR228" s="66"/>
      <c r="OS228" s="66"/>
      <c r="OT228" s="66"/>
      <c r="OU228" s="66"/>
      <c r="OV228" s="66"/>
      <c r="OW228" s="66"/>
      <c r="OX228" s="66"/>
      <c r="OY228" s="66"/>
      <c r="OZ228" s="66"/>
      <c r="PA228" s="66"/>
      <c r="PB228" s="66"/>
      <c r="PC228" s="66"/>
      <c r="PD228" s="66"/>
      <c r="PE228" s="66"/>
      <c r="PF228" s="66"/>
      <c r="PG228" s="66"/>
      <c r="PH228" s="66"/>
      <c r="PI228" s="66"/>
      <c r="PJ228" s="66"/>
      <c r="PK228" s="66"/>
      <c r="PL228" s="66"/>
      <c r="PM228" s="66"/>
      <c r="PN228" s="66"/>
      <c r="PO228" s="66"/>
      <c r="PP228" s="66"/>
      <c r="PQ228" s="66"/>
      <c r="PR228" s="66"/>
      <c r="PS228" s="66"/>
      <c r="PT228" s="66"/>
      <c r="PU228" s="66"/>
      <c r="PV228" s="66"/>
      <c r="PW228" s="66"/>
      <c r="PX228" s="66"/>
      <c r="PY228" s="66"/>
      <c r="PZ228" s="66"/>
      <c r="QA228" s="66"/>
      <c r="QB228" s="66"/>
      <c r="QC228" s="66"/>
      <c r="QD228" s="66"/>
      <c r="QE228" s="66"/>
      <c r="QF228" s="66"/>
      <c r="QG228" s="66"/>
      <c r="QH228" s="66"/>
      <c r="QI228" s="66"/>
      <c r="QJ228" s="66"/>
      <c r="QK228" s="66"/>
      <c r="QL228" s="66"/>
      <c r="QM228" s="66"/>
      <c r="QN228" s="66"/>
      <c r="QO228" s="66"/>
      <c r="QP228" s="66"/>
      <c r="QQ228" s="66"/>
      <c r="QR228" s="66"/>
      <c r="QS228" s="66"/>
      <c r="QT228" s="66"/>
      <c r="QU228" s="66"/>
      <c r="QV228" s="66"/>
      <c r="QW228" s="66"/>
      <c r="QX228" s="66"/>
      <c r="QY228" s="66"/>
      <c r="QZ228" s="66"/>
      <c r="RA228" s="66"/>
      <c r="RB228" s="66"/>
      <c r="RC228" s="66"/>
      <c r="RD228" s="4"/>
    </row>
    <row r="229" spans="1:472" x14ac:dyDescent="0.25">
      <c r="I229" s="4"/>
      <c r="J229" s="4"/>
      <c r="K229" s="4"/>
      <c r="L229" s="4"/>
      <c r="M229" s="4"/>
      <c r="N229" s="4"/>
      <c r="O229" s="4"/>
      <c r="P229" s="4"/>
      <c r="Q229" s="4"/>
      <c r="R229" s="4"/>
      <c r="S229" s="4"/>
      <c r="T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c r="LL229" s="4"/>
      <c r="LM229" s="4"/>
      <c r="LN229" s="4"/>
      <c r="LO229" s="4"/>
      <c r="LP229" s="4"/>
      <c r="LQ229" s="4"/>
      <c r="LR229" s="4"/>
      <c r="LS229" s="4"/>
      <c r="LT229" s="4"/>
      <c r="LU229" s="4"/>
      <c r="LV229" s="4"/>
      <c r="LW229" s="4"/>
      <c r="LX229" s="4"/>
      <c r="LY229" s="4"/>
      <c r="LZ229" s="4"/>
      <c r="MA229" s="4"/>
      <c r="MB229" s="4"/>
      <c r="MC229" s="4"/>
      <c r="MD229" s="4"/>
      <c r="ME229" s="4"/>
      <c r="MF229" s="4"/>
      <c r="MG229" s="4"/>
      <c r="MH229" s="4"/>
      <c r="MI229" s="4"/>
      <c r="MJ229" s="4"/>
      <c r="MK229" s="4"/>
      <c r="ML229" s="4"/>
      <c r="MM229" s="4"/>
      <c r="MN229" s="4"/>
      <c r="MO229" s="4"/>
      <c r="MP229" s="4"/>
      <c r="MQ229" s="4"/>
      <c r="MR229" s="4"/>
      <c r="MS229" s="4"/>
      <c r="MT229" s="4"/>
      <c r="MU229" s="4"/>
      <c r="MV229" s="4"/>
      <c r="MW229" s="4"/>
      <c r="MX229" s="4"/>
      <c r="MY229" s="4"/>
      <c r="MZ229" s="4"/>
      <c r="NA229" s="4"/>
      <c r="NB229" s="4"/>
      <c r="NC229" s="4"/>
      <c r="ND229" s="4"/>
      <c r="NE229" s="4"/>
      <c r="NF229" s="4"/>
      <c r="NG229" s="4"/>
      <c r="NH229" s="4"/>
      <c r="NI229" s="4"/>
      <c r="NJ229" s="4"/>
      <c r="NK229" s="4"/>
      <c r="NL229" s="4"/>
      <c r="NM229" s="4"/>
      <c r="NN229" s="4"/>
      <c r="NO229" s="4"/>
      <c r="NP229" s="4"/>
      <c r="NQ229" s="4"/>
      <c r="NR229" s="4"/>
      <c r="NS229" s="4"/>
      <c r="NT229" s="4"/>
      <c r="NU229" s="4"/>
      <c r="NV229" s="4"/>
      <c r="NW229" s="4"/>
      <c r="NX229" s="4"/>
      <c r="NY229" s="4"/>
      <c r="NZ229" s="4"/>
      <c r="OA229" s="4"/>
      <c r="OB229" s="4"/>
      <c r="OC229" s="4"/>
      <c r="OD229" s="4"/>
      <c r="OE229" s="4"/>
      <c r="OF229" s="4"/>
      <c r="OG229" s="4"/>
      <c r="OH229" s="4"/>
      <c r="OI229" s="4"/>
      <c r="OJ229" s="4"/>
      <c r="OK229" s="4"/>
      <c r="OL229" s="4"/>
      <c r="OM229" s="4"/>
      <c r="ON229" s="4"/>
      <c r="OO229" s="4"/>
      <c r="OP229" s="4"/>
      <c r="OQ229" s="4"/>
      <c r="OR229" s="4"/>
      <c r="OS229" s="4"/>
      <c r="OT229" s="4"/>
      <c r="OU229" s="4"/>
      <c r="OV229" s="4"/>
      <c r="OW229" s="4"/>
      <c r="OX229" s="4"/>
      <c r="OY229" s="4"/>
      <c r="OZ229" s="4"/>
      <c r="PA229" s="4"/>
      <c r="PB229" s="4"/>
      <c r="PC229" s="4"/>
      <c r="PD229" s="4"/>
      <c r="PE229" s="4"/>
      <c r="PF229" s="4"/>
      <c r="PG229" s="4"/>
      <c r="PH229" s="4"/>
      <c r="PI229" s="4"/>
      <c r="PJ229" s="4"/>
      <c r="PK229" s="4"/>
      <c r="PL229" s="4"/>
      <c r="PM229" s="4"/>
      <c r="PN229" s="4"/>
      <c r="PO229" s="4"/>
      <c r="PP229" s="4"/>
      <c r="PQ229" s="4"/>
      <c r="PR229" s="4"/>
      <c r="PS229" s="4"/>
      <c r="PT229" s="4"/>
      <c r="PU229" s="4"/>
      <c r="PV229" s="4"/>
      <c r="PW229" s="4"/>
      <c r="PX229" s="4"/>
      <c r="PY229" s="4"/>
      <c r="PZ229" s="4"/>
      <c r="QA229" s="4"/>
      <c r="QB229" s="4"/>
      <c r="QC229" s="4"/>
      <c r="QD229" s="4"/>
      <c r="QE229" s="4"/>
      <c r="QF229" s="4"/>
      <c r="QG229" s="4"/>
      <c r="QH229" s="4"/>
      <c r="QI229" s="4"/>
      <c r="QJ229" s="4"/>
      <c r="QK229" s="4"/>
      <c r="QL229" s="4"/>
      <c r="QM229" s="4"/>
      <c r="QN229" s="4"/>
      <c r="QO229" s="4"/>
      <c r="QP229" s="4"/>
      <c r="QQ229" s="4"/>
      <c r="QR229" s="4"/>
      <c r="QS229" s="4"/>
      <c r="QT229" s="4"/>
      <c r="QU229" s="4"/>
      <c r="QV229" s="4"/>
      <c r="QW229" s="4"/>
      <c r="QX229" s="4"/>
      <c r="QY229" s="4"/>
      <c r="QZ229" s="4"/>
      <c r="RA229" s="4"/>
      <c r="RB229" s="4"/>
      <c r="RC229" s="4"/>
      <c r="RD229" s="4"/>
    </row>
    <row r="230" spans="1:472" ht="18.75" x14ac:dyDescent="0.3">
      <c r="A230" s="71" t="s">
        <v>977</v>
      </c>
      <c r="B230" s="71"/>
      <c r="C230" s="71"/>
      <c r="D230" s="71"/>
      <c r="E230" s="71"/>
      <c r="F230" s="71"/>
    </row>
    <row r="231" spans="1:472" ht="30" x14ac:dyDescent="0.25">
      <c r="A231" s="8" t="s">
        <v>371</v>
      </c>
      <c r="B231" s="8" t="s">
        <v>32</v>
      </c>
      <c r="C231" s="8" t="s">
        <v>0</v>
      </c>
      <c r="D231" s="8" t="s">
        <v>30</v>
      </c>
      <c r="E231" s="15" t="s">
        <v>255</v>
      </c>
      <c r="F231" s="8" t="s">
        <v>224</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row>
    <row r="232" spans="1:472" x14ac:dyDescent="0.25">
      <c r="A232" s="5" t="s">
        <v>978</v>
      </c>
      <c r="B232" s="5" t="s">
        <v>979</v>
      </c>
      <c r="C232" s="5" t="s">
        <v>230</v>
      </c>
      <c r="D232" s="5" t="s">
        <v>279</v>
      </c>
      <c r="E232" s="5"/>
      <c r="F232" s="5"/>
      <c r="I232" s="66"/>
      <c r="J232" s="66"/>
      <c r="K232" s="66"/>
      <c r="L232" s="66"/>
      <c r="M232" s="66"/>
      <c r="N232" s="66"/>
      <c r="O232" s="66"/>
      <c r="P232" s="66"/>
      <c r="Q232" s="66"/>
      <c r="R232" s="66"/>
      <c r="S232" s="66"/>
      <c r="T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c r="DA232" s="66"/>
      <c r="DB232" s="66"/>
      <c r="DC232" s="66"/>
      <c r="DD232" s="66"/>
      <c r="DE232" s="66"/>
      <c r="DF232" s="66"/>
      <c r="DG232" s="66"/>
      <c r="DH232" s="66"/>
      <c r="DI232" s="66"/>
      <c r="DJ232" s="66"/>
      <c r="DK232" s="66"/>
      <c r="DL232" s="66"/>
      <c r="DM232" s="66"/>
      <c r="DN232" s="66"/>
      <c r="DO232" s="66"/>
      <c r="DP232" s="66"/>
      <c r="DQ232" s="66"/>
      <c r="DR232" s="66"/>
      <c r="DS232" s="66"/>
      <c r="DT232" s="66"/>
      <c r="DU232" s="66"/>
      <c r="DV232" s="66"/>
      <c r="DW232" s="66"/>
      <c r="DX232" s="66"/>
      <c r="DY232" s="66"/>
      <c r="DZ232" s="66"/>
      <c r="EA232" s="66"/>
      <c r="EB232" s="66"/>
      <c r="EC232" s="66"/>
      <c r="ED232" s="66"/>
      <c r="EE232" s="66"/>
      <c r="EF232" s="66"/>
      <c r="EG232" s="66"/>
      <c r="EH232" s="66"/>
      <c r="EI232" s="66"/>
      <c r="EJ232" s="66"/>
      <c r="EK232" s="66"/>
      <c r="EL232" s="66"/>
      <c r="EM232" s="66"/>
      <c r="EN232" s="66"/>
      <c r="EO232" s="66"/>
      <c r="EP232" s="66"/>
      <c r="EQ232" s="66"/>
      <c r="ER232" s="66"/>
      <c r="ES232" s="66"/>
      <c r="ET232" s="66"/>
      <c r="EU232" s="66"/>
      <c r="EV232" s="66"/>
      <c r="EW232" s="66"/>
      <c r="EX232" s="66"/>
      <c r="EY232" s="66"/>
      <c r="EZ232" s="66"/>
      <c r="FA232" s="66"/>
      <c r="FB232" s="66"/>
      <c r="FC232" s="66"/>
      <c r="FD232" s="66"/>
      <c r="FE232" s="66"/>
      <c r="FF232" s="66"/>
      <c r="FG232" s="66"/>
      <c r="FH232" s="66"/>
      <c r="FI232" s="66"/>
      <c r="FJ232" s="66"/>
      <c r="FK232" s="66"/>
      <c r="FL232" s="66"/>
      <c r="FM232" s="66"/>
      <c r="FN232" s="66"/>
      <c r="FO232" s="66"/>
      <c r="FP232" s="66"/>
      <c r="FQ232" s="66"/>
      <c r="FR232" s="66"/>
      <c r="FS232" s="66"/>
      <c r="FT232" s="66"/>
      <c r="FU232" s="66"/>
      <c r="FV232" s="66"/>
      <c r="FW232" s="66"/>
      <c r="FX232" s="66"/>
      <c r="FY232" s="66"/>
      <c r="FZ232" s="66"/>
      <c r="GA232" s="66"/>
      <c r="GB232" s="66"/>
      <c r="GC232" s="66"/>
      <c r="GD232" s="66"/>
      <c r="GE232" s="66"/>
      <c r="GF232" s="66"/>
      <c r="GG232" s="66"/>
      <c r="GH232" s="66"/>
      <c r="GI232" s="66"/>
      <c r="GJ232" s="66"/>
      <c r="GK232" s="66"/>
      <c r="GL232" s="66"/>
      <c r="GM232" s="66"/>
      <c r="GN232" s="66"/>
      <c r="GO232" s="66"/>
      <c r="GP232" s="66"/>
      <c r="GQ232" s="66"/>
      <c r="GR232" s="66"/>
      <c r="GS232" s="66"/>
      <c r="GT232" s="66"/>
      <c r="GU232" s="66"/>
      <c r="GV232" s="66"/>
      <c r="GW232" s="66"/>
      <c r="GX232" s="66"/>
      <c r="GY232" s="66"/>
      <c r="GZ232" s="66"/>
      <c r="HA232" s="66"/>
      <c r="HB232" s="66"/>
      <c r="HC232" s="66"/>
      <c r="HD232" s="66"/>
      <c r="HE232" s="66"/>
      <c r="HF232" s="66"/>
      <c r="HG232" s="66"/>
      <c r="HH232" s="66"/>
      <c r="HI232" s="66"/>
      <c r="HJ232" s="66"/>
      <c r="HK232" s="66"/>
      <c r="HL232" s="66"/>
      <c r="HM232" s="66"/>
      <c r="HN232" s="66"/>
      <c r="HO232" s="66"/>
      <c r="HP232" s="66"/>
      <c r="HQ232" s="66"/>
      <c r="HR232" s="66"/>
      <c r="HS232" s="66"/>
      <c r="HT232" s="66"/>
      <c r="HU232" s="66"/>
      <c r="HV232" s="66"/>
      <c r="HW232" s="66"/>
      <c r="HX232" s="66"/>
      <c r="HY232" s="66"/>
      <c r="HZ232" s="66"/>
      <c r="IA232" s="66"/>
      <c r="IB232" s="66"/>
      <c r="IC232" s="66"/>
      <c r="ID232" s="66"/>
      <c r="IE232" s="66"/>
      <c r="IF232" s="66"/>
      <c r="IG232" s="66"/>
      <c r="IH232" s="66"/>
      <c r="II232" s="66"/>
      <c r="IJ232" s="66"/>
      <c r="IK232" s="66"/>
      <c r="IL232" s="66"/>
      <c r="IM232" s="66"/>
      <c r="IN232" s="66"/>
      <c r="IO232" s="66"/>
      <c r="IP232" s="66"/>
      <c r="IQ232" s="66"/>
      <c r="IR232" s="66"/>
      <c r="IS232" s="66"/>
      <c r="IT232" s="66"/>
      <c r="IU232" s="66"/>
      <c r="IV232" s="66"/>
      <c r="IW232" s="66"/>
      <c r="IX232" s="66"/>
      <c r="IY232" s="66"/>
      <c r="IZ232" s="66"/>
      <c r="JA232" s="66"/>
      <c r="JB232" s="66"/>
      <c r="JC232" s="66"/>
      <c r="JD232" s="66"/>
      <c r="JE232" s="66"/>
      <c r="JF232" s="66"/>
      <c r="JG232" s="66"/>
      <c r="JH232" s="66"/>
      <c r="JI232" s="66"/>
      <c r="JJ232" s="66"/>
      <c r="JK232" s="66"/>
      <c r="JL232" s="66"/>
      <c r="JM232" s="66"/>
      <c r="JN232" s="66"/>
      <c r="JO232" s="66"/>
      <c r="JP232" s="66"/>
      <c r="JQ232" s="66"/>
      <c r="JR232" s="66"/>
      <c r="JS232" s="66"/>
      <c r="JT232" s="66"/>
      <c r="JU232" s="66"/>
      <c r="JV232" s="66"/>
      <c r="JW232" s="66"/>
      <c r="JX232" s="66"/>
      <c r="JY232" s="66"/>
      <c r="JZ232" s="66"/>
      <c r="KA232" s="66"/>
      <c r="KB232" s="66"/>
      <c r="KC232" s="66"/>
      <c r="KD232" s="66"/>
      <c r="KE232" s="66"/>
      <c r="KF232" s="66"/>
      <c r="KG232" s="66"/>
      <c r="KH232" s="66"/>
      <c r="KI232" s="66"/>
      <c r="KJ232" s="66"/>
      <c r="KK232" s="66"/>
      <c r="KL232" s="66"/>
      <c r="KM232" s="66"/>
      <c r="KN232" s="66"/>
      <c r="KO232" s="66"/>
      <c r="KP232" s="66"/>
      <c r="KQ232" s="66"/>
      <c r="KR232" s="66"/>
      <c r="KS232" s="66"/>
      <c r="KT232" s="66"/>
      <c r="KU232" s="66"/>
      <c r="KV232" s="66"/>
      <c r="KW232" s="66"/>
      <c r="KX232" s="66"/>
      <c r="KY232" s="66"/>
      <c r="KZ232" s="66"/>
      <c r="LA232" s="66"/>
      <c r="LB232" s="66"/>
      <c r="LC232" s="66"/>
      <c r="LD232" s="66"/>
      <c r="LE232" s="66"/>
      <c r="LF232" s="66"/>
      <c r="LG232" s="66"/>
      <c r="LH232" s="66"/>
      <c r="LI232" s="66"/>
      <c r="LJ232" s="66"/>
      <c r="LK232" s="66"/>
      <c r="LL232" s="66"/>
      <c r="LM232" s="66"/>
      <c r="LN232" s="66"/>
      <c r="LO232" s="66"/>
      <c r="LP232" s="66"/>
      <c r="LQ232" s="66"/>
      <c r="LR232" s="66"/>
      <c r="LS232" s="66"/>
      <c r="LT232" s="66"/>
      <c r="LU232" s="66"/>
      <c r="LV232" s="66"/>
      <c r="LW232" s="66"/>
      <c r="LX232" s="66"/>
      <c r="LY232" s="66"/>
      <c r="LZ232" s="66"/>
      <c r="MA232" s="66"/>
      <c r="MB232" s="66"/>
      <c r="MC232" s="66"/>
      <c r="MD232" s="66"/>
      <c r="ME232" s="66"/>
      <c r="MF232" s="66"/>
      <c r="MG232" s="66"/>
      <c r="MH232" s="66"/>
      <c r="MI232" s="66"/>
      <c r="MJ232" s="66"/>
      <c r="MK232" s="66"/>
      <c r="ML232" s="66"/>
      <c r="MM232" s="66"/>
      <c r="MN232" s="66"/>
      <c r="MO232" s="66"/>
      <c r="MP232" s="66"/>
      <c r="MQ232" s="66"/>
      <c r="MR232" s="66"/>
      <c r="MS232" s="66"/>
      <c r="MT232" s="66"/>
      <c r="MU232" s="66"/>
      <c r="MV232" s="66"/>
      <c r="MW232" s="66"/>
      <c r="MX232" s="66"/>
      <c r="MY232" s="66"/>
      <c r="MZ232" s="66"/>
      <c r="NA232" s="66"/>
      <c r="NB232" s="66"/>
      <c r="NC232" s="66"/>
      <c r="ND232" s="66"/>
      <c r="NE232" s="66"/>
      <c r="NF232" s="66"/>
      <c r="NG232" s="66"/>
      <c r="NH232" s="66"/>
      <c r="NI232" s="66"/>
      <c r="NJ232" s="66"/>
      <c r="NK232" s="66"/>
      <c r="NL232" s="66"/>
      <c r="NM232" s="66"/>
      <c r="NN232" s="66"/>
      <c r="NO232" s="66"/>
      <c r="NP232" s="66"/>
      <c r="NQ232" s="66"/>
      <c r="NR232" s="66"/>
      <c r="NS232" s="66"/>
      <c r="NT232" s="66"/>
      <c r="NU232" s="66"/>
      <c r="NV232" s="66"/>
      <c r="NW232" s="66"/>
      <c r="NX232" s="66"/>
      <c r="NY232" s="66"/>
      <c r="NZ232" s="66"/>
      <c r="OA232" s="66"/>
      <c r="OB232" s="66"/>
      <c r="OC232" s="66"/>
      <c r="OD232" s="66"/>
      <c r="OE232" s="66"/>
      <c r="OF232" s="66"/>
      <c r="OG232" s="66"/>
      <c r="OH232" s="66"/>
      <c r="OI232" s="66"/>
      <c r="OJ232" s="66"/>
      <c r="OK232" s="66"/>
      <c r="OL232" s="66"/>
      <c r="OM232" s="66"/>
      <c r="ON232" s="66"/>
      <c r="OO232" s="66"/>
      <c r="OP232" s="66"/>
      <c r="OQ232" s="66"/>
      <c r="OR232" s="66"/>
      <c r="OS232" s="66"/>
      <c r="OT232" s="66"/>
      <c r="OU232" s="66"/>
      <c r="OV232" s="66"/>
      <c r="OW232" s="66"/>
      <c r="OX232" s="66"/>
      <c r="OY232" s="66"/>
      <c r="OZ232" s="66"/>
      <c r="PA232" s="66"/>
      <c r="PB232" s="66"/>
      <c r="PC232" s="66"/>
      <c r="PD232" s="66"/>
      <c r="PE232" s="66"/>
      <c r="PF232" s="66"/>
      <c r="PG232" s="66"/>
      <c r="PH232" s="66"/>
      <c r="PI232" s="66"/>
      <c r="PJ232" s="66"/>
      <c r="PK232" s="66"/>
      <c r="PL232" s="66"/>
      <c r="PM232" s="66"/>
      <c r="PN232" s="66"/>
      <c r="PO232" s="66"/>
      <c r="PP232" s="66"/>
      <c r="PQ232" s="66"/>
      <c r="PR232" s="66"/>
      <c r="PS232" s="66"/>
      <c r="PT232" s="66"/>
      <c r="PU232" s="66"/>
      <c r="PV232" s="66"/>
      <c r="PW232" s="66"/>
      <c r="PX232" s="66"/>
      <c r="PY232" s="66"/>
      <c r="PZ232" s="66"/>
      <c r="QA232" s="66"/>
      <c r="QB232" s="66"/>
      <c r="QC232" s="66"/>
      <c r="QD232" s="66"/>
      <c r="QE232" s="66"/>
      <c r="QF232" s="66"/>
      <c r="QG232" s="66"/>
      <c r="QH232" s="66"/>
      <c r="QI232" s="66"/>
      <c r="QJ232" s="66"/>
      <c r="QK232" s="66"/>
      <c r="QL232" s="66"/>
      <c r="QM232" s="66"/>
      <c r="QN232" s="66"/>
      <c r="QO232" s="66"/>
      <c r="QP232" s="66"/>
      <c r="QQ232" s="66"/>
      <c r="QR232" s="66"/>
      <c r="QS232" s="66"/>
      <c r="QT232" s="66"/>
      <c r="QU232" s="66"/>
      <c r="QV232" s="66"/>
      <c r="QW232" s="66"/>
      <c r="QX232" s="66"/>
      <c r="QY232" s="66"/>
      <c r="QZ232" s="66"/>
      <c r="RA232" s="66"/>
      <c r="RB232" s="66"/>
      <c r="RC232" s="66"/>
      <c r="RD232" s="4"/>
    </row>
    <row r="233" spans="1:472" x14ac:dyDescent="0.25">
      <c r="A233" s="5" t="s">
        <v>978</v>
      </c>
      <c r="B233" s="5" t="s">
        <v>1518</v>
      </c>
      <c r="C233" s="5" t="s">
        <v>3</v>
      </c>
      <c r="D233" s="5">
        <v>168</v>
      </c>
      <c r="E233" s="5"/>
      <c r="F233" s="5" t="s">
        <v>1114</v>
      </c>
      <c r="I233" s="66"/>
      <c r="J233" s="66"/>
      <c r="K233" s="66"/>
      <c r="L233" s="66"/>
      <c r="M233" s="66"/>
      <c r="N233" s="66"/>
      <c r="O233" s="66"/>
      <c r="P233" s="66"/>
      <c r="Q233" s="66"/>
      <c r="R233" s="66"/>
      <c r="S233" s="66"/>
      <c r="T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c r="DA233" s="66"/>
      <c r="DB233" s="66"/>
      <c r="DC233" s="66"/>
      <c r="DD233" s="66"/>
      <c r="DE233" s="66"/>
      <c r="DF233" s="66"/>
      <c r="DG233" s="66"/>
      <c r="DH233" s="66"/>
      <c r="DI233" s="66"/>
      <c r="DJ233" s="66"/>
      <c r="DK233" s="66"/>
      <c r="DL233" s="66"/>
      <c r="DM233" s="66"/>
      <c r="DN233" s="66"/>
      <c r="DO233" s="66"/>
      <c r="DP233" s="66"/>
      <c r="DQ233" s="66"/>
      <c r="DR233" s="66"/>
      <c r="DS233" s="66"/>
      <c r="DT233" s="66"/>
      <c r="DU233" s="66"/>
      <c r="DV233" s="66"/>
      <c r="DW233" s="66"/>
      <c r="DX233" s="66"/>
      <c r="DY233" s="66"/>
      <c r="DZ233" s="66"/>
      <c r="EA233" s="66"/>
      <c r="EB233" s="66"/>
      <c r="EC233" s="66"/>
      <c r="ED233" s="66"/>
      <c r="EE233" s="66"/>
      <c r="EF233" s="66"/>
      <c r="EG233" s="66"/>
      <c r="EH233" s="66"/>
      <c r="EI233" s="66"/>
      <c r="EJ233" s="66"/>
      <c r="EK233" s="66"/>
      <c r="EL233" s="66"/>
      <c r="EM233" s="66"/>
      <c r="EN233" s="66"/>
      <c r="EO233" s="66"/>
      <c r="EP233" s="66"/>
      <c r="EQ233" s="66"/>
      <c r="ER233" s="66"/>
      <c r="ES233" s="66"/>
      <c r="ET233" s="66"/>
      <c r="EU233" s="66"/>
      <c r="EV233" s="66"/>
      <c r="EW233" s="66"/>
      <c r="EX233" s="66"/>
      <c r="EY233" s="66"/>
      <c r="EZ233" s="66"/>
      <c r="FA233" s="66"/>
      <c r="FB233" s="66"/>
      <c r="FC233" s="66"/>
      <c r="FD233" s="66"/>
      <c r="FE233" s="66"/>
      <c r="FF233" s="66"/>
      <c r="FG233" s="66"/>
      <c r="FH233" s="66"/>
      <c r="FI233" s="66"/>
      <c r="FJ233" s="66"/>
      <c r="FK233" s="66"/>
      <c r="FL233" s="66"/>
      <c r="FM233" s="66"/>
      <c r="FN233" s="66"/>
      <c r="FO233" s="66"/>
      <c r="FP233" s="66"/>
      <c r="FQ233" s="66"/>
      <c r="FR233" s="66"/>
      <c r="FS233" s="66"/>
      <c r="FT233" s="66"/>
      <c r="FU233" s="66"/>
      <c r="FV233" s="66"/>
      <c r="FW233" s="66"/>
      <c r="FX233" s="66"/>
      <c r="FY233" s="66"/>
      <c r="FZ233" s="66"/>
      <c r="GA233" s="66"/>
      <c r="GB233" s="66"/>
      <c r="GC233" s="66"/>
      <c r="GD233" s="66"/>
      <c r="GE233" s="66"/>
      <c r="GF233" s="66"/>
      <c r="GG233" s="66"/>
      <c r="GH233" s="66"/>
      <c r="GI233" s="66"/>
      <c r="GJ233" s="66"/>
      <c r="GK233" s="66"/>
      <c r="GL233" s="66"/>
      <c r="GM233" s="66"/>
      <c r="GN233" s="66"/>
      <c r="GO233" s="66"/>
      <c r="GP233" s="66"/>
      <c r="GQ233" s="66"/>
      <c r="GR233" s="66"/>
      <c r="GS233" s="66"/>
      <c r="GT233" s="66"/>
      <c r="GU233" s="66"/>
      <c r="GV233" s="66"/>
      <c r="GW233" s="66"/>
      <c r="GX233" s="66"/>
      <c r="GY233" s="66"/>
      <c r="GZ233" s="66"/>
      <c r="HA233" s="66"/>
      <c r="HB233" s="66"/>
      <c r="HC233" s="66"/>
      <c r="HD233" s="66"/>
      <c r="HE233" s="66"/>
      <c r="HF233" s="66"/>
      <c r="HG233" s="66"/>
      <c r="HH233" s="66"/>
      <c r="HI233" s="66"/>
      <c r="HJ233" s="66"/>
      <c r="HK233" s="66"/>
      <c r="HL233" s="66"/>
      <c r="HM233" s="66"/>
      <c r="HN233" s="66"/>
      <c r="HO233" s="66"/>
      <c r="HP233" s="66"/>
      <c r="HQ233" s="66"/>
      <c r="HR233" s="66"/>
      <c r="HS233" s="66"/>
      <c r="HT233" s="66"/>
      <c r="HU233" s="66"/>
      <c r="HV233" s="66"/>
      <c r="HW233" s="66"/>
      <c r="HX233" s="66"/>
      <c r="HY233" s="66"/>
      <c r="HZ233" s="66"/>
      <c r="IA233" s="66"/>
      <c r="IB233" s="66"/>
      <c r="IC233" s="66"/>
      <c r="ID233" s="66"/>
      <c r="IE233" s="66"/>
      <c r="IF233" s="66"/>
      <c r="IG233" s="66"/>
      <c r="IH233" s="66"/>
      <c r="II233" s="66"/>
      <c r="IJ233" s="66"/>
      <c r="IK233" s="66"/>
      <c r="IL233" s="66"/>
      <c r="IM233" s="66"/>
      <c r="IN233" s="66"/>
      <c r="IO233" s="66"/>
      <c r="IP233" s="66"/>
      <c r="IQ233" s="66"/>
      <c r="IR233" s="66"/>
      <c r="IS233" s="66"/>
      <c r="IT233" s="66"/>
      <c r="IU233" s="66"/>
      <c r="IV233" s="66"/>
      <c r="IW233" s="66"/>
      <c r="IX233" s="66"/>
      <c r="IY233" s="66"/>
      <c r="IZ233" s="66"/>
      <c r="JA233" s="66"/>
      <c r="JB233" s="66"/>
      <c r="JC233" s="66"/>
      <c r="JD233" s="66"/>
      <c r="JE233" s="66"/>
      <c r="JF233" s="66"/>
      <c r="JG233" s="66"/>
      <c r="JH233" s="66"/>
      <c r="JI233" s="66"/>
      <c r="JJ233" s="66"/>
      <c r="JK233" s="66"/>
      <c r="JL233" s="66"/>
      <c r="JM233" s="66"/>
      <c r="JN233" s="66"/>
      <c r="JO233" s="66"/>
      <c r="JP233" s="66"/>
      <c r="JQ233" s="66"/>
      <c r="JR233" s="66"/>
      <c r="JS233" s="66"/>
      <c r="JT233" s="66"/>
      <c r="JU233" s="66"/>
      <c r="JV233" s="66"/>
      <c r="JW233" s="66"/>
      <c r="JX233" s="66"/>
      <c r="JY233" s="66"/>
      <c r="JZ233" s="66"/>
      <c r="KA233" s="66"/>
      <c r="KB233" s="66"/>
      <c r="KC233" s="66"/>
      <c r="KD233" s="66"/>
      <c r="KE233" s="66"/>
      <c r="KF233" s="66"/>
      <c r="KG233" s="66"/>
      <c r="KH233" s="66"/>
      <c r="KI233" s="66"/>
      <c r="KJ233" s="66"/>
      <c r="KK233" s="66"/>
      <c r="KL233" s="66"/>
      <c r="KM233" s="66"/>
      <c r="KN233" s="66"/>
      <c r="KO233" s="66"/>
      <c r="KP233" s="66"/>
      <c r="KQ233" s="66"/>
      <c r="KR233" s="66"/>
      <c r="KS233" s="66"/>
      <c r="KT233" s="66"/>
      <c r="KU233" s="66"/>
      <c r="KV233" s="66"/>
      <c r="KW233" s="66"/>
      <c r="KX233" s="66"/>
      <c r="KY233" s="66"/>
      <c r="KZ233" s="66"/>
      <c r="LA233" s="66"/>
      <c r="LB233" s="66"/>
      <c r="LC233" s="66"/>
      <c r="LD233" s="66"/>
      <c r="LE233" s="66"/>
      <c r="LF233" s="66"/>
      <c r="LG233" s="66"/>
      <c r="LH233" s="66"/>
      <c r="LI233" s="66"/>
      <c r="LJ233" s="66"/>
      <c r="LK233" s="66"/>
      <c r="LL233" s="66"/>
      <c r="LM233" s="66"/>
      <c r="LN233" s="66"/>
      <c r="LO233" s="66"/>
      <c r="LP233" s="66"/>
      <c r="LQ233" s="66"/>
      <c r="LR233" s="66"/>
      <c r="LS233" s="66"/>
      <c r="LT233" s="66"/>
      <c r="LU233" s="66"/>
      <c r="LV233" s="66"/>
      <c r="LW233" s="66"/>
      <c r="LX233" s="66"/>
      <c r="LY233" s="66"/>
      <c r="LZ233" s="66"/>
      <c r="MA233" s="66"/>
      <c r="MB233" s="66"/>
      <c r="MC233" s="66"/>
      <c r="MD233" s="66"/>
      <c r="ME233" s="66"/>
      <c r="MF233" s="66"/>
      <c r="MG233" s="66"/>
      <c r="MH233" s="66"/>
      <c r="MI233" s="66"/>
      <c r="MJ233" s="66"/>
      <c r="MK233" s="66"/>
      <c r="ML233" s="66"/>
      <c r="MM233" s="66"/>
      <c r="MN233" s="66"/>
      <c r="MO233" s="66"/>
      <c r="MP233" s="66"/>
      <c r="MQ233" s="66"/>
      <c r="MR233" s="66"/>
      <c r="MS233" s="66"/>
      <c r="MT233" s="66"/>
      <c r="MU233" s="66"/>
      <c r="MV233" s="66"/>
      <c r="MW233" s="66"/>
      <c r="MX233" s="66"/>
      <c r="MY233" s="66"/>
      <c r="MZ233" s="66"/>
      <c r="NA233" s="66"/>
      <c r="NB233" s="66"/>
      <c r="NC233" s="66"/>
      <c r="ND233" s="66"/>
      <c r="NE233" s="66"/>
      <c r="NF233" s="66"/>
      <c r="NG233" s="66"/>
      <c r="NH233" s="66"/>
      <c r="NI233" s="66"/>
      <c r="NJ233" s="66"/>
      <c r="NK233" s="66"/>
      <c r="NL233" s="66"/>
      <c r="NM233" s="66"/>
      <c r="NN233" s="66"/>
      <c r="NO233" s="66"/>
      <c r="NP233" s="66"/>
      <c r="NQ233" s="66"/>
      <c r="NR233" s="66"/>
      <c r="NS233" s="66"/>
      <c r="NT233" s="66"/>
      <c r="NU233" s="66"/>
      <c r="NV233" s="66"/>
      <c r="NW233" s="66"/>
      <c r="NX233" s="66"/>
      <c r="NY233" s="66"/>
      <c r="NZ233" s="66"/>
      <c r="OA233" s="66"/>
      <c r="OB233" s="66"/>
      <c r="OC233" s="66"/>
      <c r="OD233" s="66"/>
      <c r="OE233" s="66"/>
      <c r="OF233" s="66"/>
      <c r="OG233" s="66"/>
      <c r="OH233" s="66"/>
      <c r="OI233" s="66"/>
      <c r="OJ233" s="66"/>
      <c r="OK233" s="66"/>
      <c r="OL233" s="66"/>
      <c r="OM233" s="66"/>
      <c r="ON233" s="66"/>
      <c r="OO233" s="66"/>
      <c r="OP233" s="66"/>
      <c r="OQ233" s="66"/>
      <c r="OR233" s="66"/>
      <c r="OS233" s="66"/>
      <c r="OT233" s="66"/>
      <c r="OU233" s="66"/>
      <c r="OV233" s="66"/>
      <c r="OW233" s="66"/>
      <c r="OX233" s="66"/>
      <c r="OY233" s="66"/>
      <c r="OZ233" s="66"/>
      <c r="PA233" s="66"/>
      <c r="PB233" s="66"/>
      <c r="PC233" s="66"/>
      <c r="PD233" s="66"/>
      <c r="PE233" s="66"/>
      <c r="PF233" s="66"/>
      <c r="PG233" s="66"/>
      <c r="PH233" s="66"/>
      <c r="PI233" s="66"/>
      <c r="PJ233" s="66"/>
      <c r="PK233" s="66"/>
      <c r="PL233" s="66"/>
      <c r="PM233" s="66"/>
      <c r="PN233" s="66"/>
      <c r="PO233" s="66"/>
      <c r="PP233" s="66"/>
      <c r="PQ233" s="66"/>
      <c r="PR233" s="66"/>
      <c r="PS233" s="66"/>
      <c r="PT233" s="66"/>
      <c r="PU233" s="66"/>
      <c r="PV233" s="66"/>
      <c r="PW233" s="66"/>
      <c r="PX233" s="66"/>
      <c r="PY233" s="66"/>
      <c r="PZ233" s="66"/>
      <c r="QA233" s="66"/>
      <c r="QB233" s="66"/>
      <c r="QC233" s="66"/>
      <c r="QD233" s="66"/>
      <c r="QE233" s="66"/>
      <c r="QF233" s="66"/>
      <c r="QG233" s="66"/>
      <c r="QH233" s="66"/>
      <c r="QI233" s="66"/>
      <c r="QJ233" s="66"/>
      <c r="QK233" s="66"/>
      <c r="QL233" s="66"/>
      <c r="QM233" s="66"/>
      <c r="QN233" s="66"/>
      <c r="QO233" s="66"/>
      <c r="QP233" s="66"/>
      <c r="QQ233" s="66"/>
      <c r="QR233" s="66"/>
      <c r="QS233" s="66"/>
      <c r="QT233" s="66"/>
      <c r="QU233" s="66"/>
      <c r="QV233" s="66"/>
      <c r="QW233" s="66"/>
      <c r="QX233" s="66"/>
      <c r="QY233" s="66"/>
      <c r="QZ233" s="66"/>
      <c r="RA233" s="66"/>
      <c r="RB233" s="66"/>
      <c r="RC233" s="66"/>
      <c r="RD233" s="4"/>
    </row>
    <row r="234" spans="1:472" x14ac:dyDescent="0.25">
      <c r="A234" s="5" t="s">
        <v>978</v>
      </c>
      <c r="B234" s="5" t="s">
        <v>1003</v>
      </c>
      <c r="C234" s="5" t="s">
        <v>230</v>
      </c>
      <c r="D234" s="5">
        <v>123</v>
      </c>
      <c r="E234" s="5"/>
      <c r="F234" s="5" t="s">
        <v>1006</v>
      </c>
      <c r="I234" s="66"/>
      <c r="J234" s="66"/>
      <c r="K234" s="66"/>
      <c r="L234" s="66"/>
      <c r="M234" s="66"/>
      <c r="N234" s="66"/>
      <c r="O234" s="66"/>
      <c r="P234" s="66"/>
      <c r="Q234" s="66"/>
      <c r="R234" s="66"/>
      <c r="S234" s="66"/>
      <c r="T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c r="DA234" s="66"/>
      <c r="DB234" s="66"/>
      <c r="DC234" s="66"/>
      <c r="DD234" s="66"/>
      <c r="DE234" s="66"/>
      <c r="DF234" s="66"/>
      <c r="DG234" s="66"/>
      <c r="DH234" s="66"/>
      <c r="DI234" s="66"/>
      <c r="DJ234" s="66"/>
      <c r="DK234" s="66"/>
      <c r="DL234" s="66"/>
      <c r="DM234" s="66"/>
      <c r="DN234" s="66"/>
      <c r="DO234" s="66"/>
      <c r="DP234" s="66"/>
      <c r="DQ234" s="66"/>
      <c r="DR234" s="66"/>
      <c r="DS234" s="66"/>
      <c r="DT234" s="66"/>
      <c r="DU234" s="66"/>
      <c r="DV234" s="66"/>
      <c r="DW234" s="66"/>
      <c r="DX234" s="66"/>
      <c r="DY234" s="66"/>
      <c r="DZ234" s="66"/>
      <c r="EA234" s="66"/>
      <c r="EB234" s="66"/>
      <c r="EC234" s="66"/>
      <c r="ED234" s="66"/>
      <c r="EE234" s="66"/>
      <c r="EF234" s="66"/>
      <c r="EG234" s="66"/>
      <c r="EH234" s="66"/>
      <c r="EI234" s="66"/>
      <c r="EJ234" s="66"/>
      <c r="EK234" s="66"/>
      <c r="EL234" s="66"/>
      <c r="EM234" s="66"/>
      <c r="EN234" s="66"/>
      <c r="EO234" s="66"/>
      <c r="EP234" s="66"/>
      <c r="EQ234" s="66"/>
      <c r="ER234" s="66"/>
      <c r="ES234" s="66"/>
      <c r="ET234" s="66"/>
      <c r="EU234" s="66"/>
      <c r="EV234" s="66"/>
      <c r="EW234" s="66"/>
      <c r="EX234" s="66"/>
      <c r="EY234" s="66"/>
      <c r="EZ234" s="66"/>
      <c r="FA234" s="66"/>
      <c r="FB234" s="66"/>
      <c r="FC234" s="66"/>
      <c r="FD234" s="66"/>
      <c r="FE234" s="66"/>
      <c r="FF234" s="66"/>
      <c r="FG234" s="66"/>
      <c r="FH234" s="66"/>
      <c r="FI234" s="66"/>
      <c r="FJ234" s="66"/>
      <c r="FK234" s="66"/>
      <c r="FL234" s="66"/>
      <c r="FM234" s="66"/>
      <c r="FN234" s="66"/>
      <c r="FO234" s="66"/>
      <c r="FP234" s="66"/>
      <c r="FQ234" s="66"/>
      <c r="FR234" s="66"/>
      <c r="FS234" s="66"/>
      <c r="FT234" s="66"/>
      <c r="FU234" s="66"/>
      <c r="FV234" s="66"/>
      <c r="FW234" s="66"/>
      <c r="FX234" s="66"/>
      <c r="FY234" s="66"/>
      <c r="FZ234" s="66"/>
      <c r="GA234" s="66"/>
      <c r="GB234" s="66"/>
      <c r="GC234" s="66"/>
      <c r="GD234" s="66"/>
      <c r="GE234" s="66"/>
      <c r="GF234" s="66"/>
      <c r="GG234" s="66"/>
      <c r="GH234" s="66"/>
      <c r="GI234" s="66"/>
      <c r="GJ234" s="66"/>
      <c r="GK234" s="66"/>
      <c r="GL234" s="66"/>
      <c r="GM234" s="66"/>
      <c r="GN234" s="66"/>
      <c r="GO234" s="66"/>
      <c r="GP234" s="66"/>
      <c r="GQ234" s="66"/>
      <c r="GR234" s="66"/>
      <c r="GS234" s="66"/>
      <c r="GT234" s="66"/>
      <c r="GU234" s="66"/>
      <c r="GV234" s="66"/>
      <c r="GW234" s="66"/>
      <c r="GX234" s="66"/>
      <c r="GY234" s="66"/>
      <c r="GZ234" s="66"/>
      <c r="HA234" s="66"/>
      <c r="HB234" s="66"/>
      <c r="HC234" s="66"/>
      <c r="HD234" s="66"/>
      <c r="HE234" s="66"/>
      <c r="HF234" s="66"/>
      <c r="HG234" s="66"/>
      <c r="HH234" s="66"/>
      <c r="HI234" s="66"/>
      <c r="HJ234" s="66"/>
      <c r="HK234" s="66"/>
      <c r="HL234" s="66"/>
      <c r="HM234" s="66"/>
      <c r="HN234" s="66"/>
      <c r="HO234" s="66"/>
      <c r="HP234" s="66"/>
      <c r="HQ234" s="66"/>
      <c r="HR234" s="66"/>
      <c r="HS234" s="66"/>
      <c r="HT234" s="66"/>
      <c r="HU234" s="66"/>
      <c r="HV234" s="66"/>
      <c r="HW234" s="66"/>
      <c r="HX234" s="66"/>
      <c r="HY234" s="66"/>
      <c r="HZ234" s="66"/>
      <c r="IA234" s="66"/>
      <c r="IB234" s="66"/>
      <c r="IC234" s="66"/>
      <c r="ID234" s="66"/>
      <c r="IE234" s="66"/>
      <c r="IF234" s="66"/>
      <c r="IG234" s="66"/>
      <c r="IH234" s="66"/>
      <c r="II234" s="66"/>
      <c r="IJ234" s="66"/>
      <c r="IK234" s="66"/>
      <c r="IL234" s="66"/>
      <c r="IM234" s="66"/>
      <c r="IN234" s="66"/>
      <c r="IO234" s="66"/>
      <c r="IP234" s="66"/>
      <c r="IQ234" s="66"/>
      <c r="IR234" s="66"/>
      <c r="IS234" s="66"/>
      <c r="IT234" s="66"/>
      <c r="IU234" s="66"/>
      <c r="IV234" s="66"/>
      <c r="IW234" s="66"/>
      <c r="IX234" s="66"/>
      <c r="IY234" s="66"/>
      <c r="IZ234" s="66"/>
      <c r="JA234" s="66"/>
      <c r="JB234" s="66"/>
      <c r="JC234" s="66"/>
      <c r="JD234" s="66"/>
      <c r="JE234" s="66"/>
      <c r="JF234" s="66"/>
      <c r="JG234" s="66"/>
      <c r="JH234" s="66"/>
      <c r="JI234" s="66"/>
      <c r="JJ234" s="66"/>
      <c r="JK234" s="66"/>
      <c r="JL234" s="66"/>
      <c r="JM234" s="66"/>
      <c r="JN234" s="66"/>
      <c r="JO234" s="66"/>
      <c r="JP234" s="66"/>
      <c r="JQ234" s="66"/>
      <c r="JR234" s="66"/>
      <c r="JS234" s="66"/>
      <c r="JT234" s="66"/>
      <c r="JU234" s="66"/>
      <c r="JV234" s="66"/>
      <c r="JW234" s="66"/>
      <c r="JX234" s="66"/>
      <c r="JY234" s="66"/>
      <c r="JZ234" s="66"/>
      <c r="KA234" s="66"/>
      <c r="KB234" s="66"/>
      <c r="KC234" s="66"/>
      <c r="KD234" s="66"/>
      <c r="KE234" s="66"/>
      <c r="KF234" s="66"/>
      <c r="KG234" s="66"/>
      <c r="KH234" s="66"/>
      <c r="KI234" s="66"/>
      <c r="KJ234" s="66"/>
      <c r="KK234" s="66"/>
      <c r="KL234" s="66"/>
      <c r="KM234" s="66"/>
      <c r="KN234" s="66"/>
      <c r="KO234" s="66"/>
      <c r="KP234" s="66"/>
      <c r="KQ234" s="66"/>
      <c r="KR234" s="66"/>
      <c r="KS234" s="66"/>
      <c r="KT234" s="66"/>
      <c r="KU234" s="66"/>
      <c r="KV234" s="66"/>
      <c r="KW234" s="66"/>
      <c r="KX234" s="66"/>
      <c r="KY234" s="66"/>
      <c r="KZ234" s="66"/>
      <c r="LA234" s="66"/>
      <c r="LB234" s="66"/>
      <c r="LC234" s="66"/>
      <c r="LD234" s="66"/>
      <c r="LE234" s="66"/>
      <c r="LF234" s="66"/>
      <c r="LG234" s="66"/>
      <c r="LH234" s="66"/>
      <c r="LI234" s="66"/>
      <c r="LJ234" s="66"/>
      <c r="LK234" s="66"/>
      <c r="LL234" s="66"/>
      <c r="LM234" s="66"/>
      <c r="LN234" s="66"/>
      <c r="LO234" s="66"/>
      <c r="LP234" s="66"/>
      <c r="LQ234" s="66"/>
      <c r="LR234" s="66"/>
      <c r="LS234" s="66"/>
      <c r="LT234" s="66"/>
      <c r="LU234" s="66"/>
      <c r="LV234" s="66"/>
      <c r="LW234" s="66"/>
      <c r="LX234" s="66"/>
      <c r="LY234" s="66"/>
      <c r="LZ234" s="66"/>
      <c r="MA234" s="66"/>
      <c r="MB234" s="66"/>
      <c r="MC234" s="66"/>
      <c r="MD234" s="66"/>
      <c r="ME234" s="66"/>
      <c r="MF234" s="66"/>
      <c r="MG234" s="66"/>
      <c r="MH234" s="66"/>
      <c r="MI234" s="66"/>
      <c r="MJ234" s="66"/>
      <c r="MK234" s="66"/>
      <c r="ML234" s="66"/>
      <c r="MM234" s="66"/>
      <c r="MN234" s="66"/>
      <c r="MO234" s="66"/>
      <c r="MP234" s="66"/>
      <c r="MQ234" s="66"/>
      <c r="MR234" s="66"/>
      <c r="MS234" s="66"/>
      <c r="MT234" s="66"/>
      <c r="MU234" s="66"/>
      <c r="MV234" s="66"/>
      <c r="MW234" s="66"/>
      <c r="MX234" s="66"/>
      <c r="MY234" s="66"/>
      <c r="MZ234" s="66"/>
      <c r="NA234" s="66"/>
      <c r="NB234" s="66"/>
      <c r="NC234" s="66"/>
      <c r="ND234" s="66"/>
      <c r="NE234" s="66"/>
      <c r="NF234" s="66"/>
      <c r="NG234" s="66"/>
      <c r="NH234" s="66"/>
      <c r="NI234" s="66"/>
      <c r="NJ234" s="66"/>
      <c r="NK234" s="66"/>
      <c r="NL234" s="66"/>
      <c r="NM234" s="66"/>
      <c r="NN234" s="66"/>
      <c r="NO234" s="66"/>
      <c r="NP234" s="66"/>
      <c r="NQ234" s="66"/>
      <c r="NR234" s="66"/>
      <c r="NS234" s="66"/>
      <c r="NT234" s="66"/>
      <c r="NU234" s="66"/>
      <c r="NV234" s="66"/>
      <c r="NW234" s="66"/>
      <c r="NX234" s="66"/>
      <c r="NY234" s="66"/>
      <c r="NZ234" s="66"/>
      <c r="OA234" s="66"/>
      <c r="OB234" s="66"/>
      <c r="OC234" s="66"/>
      <c r="OD234" s="66"/>
      <c r="OE234" s="66"/>
      <c r="OF234" s="66"/>
      <c r="OG234" s="66"/>
      <c r="OH234" s="66"/>
      <c r="OI234" s="66"/>
      <c r="OJ234" s="66"/>
      <c r="OK234" s="66"/>
      <c r="OL234" s="66"/>
      <c r="OM234" s="66"/>
      <c r="ON234" s="66"/>
      <c r="OO234" s="66"/>
      <c r="OP234" s="66"/>
      <c r="OQ234" s="66"/>
      <c r="OR234" s="66"/>
      <c r="OS234" s="66"/>
      <c r="OT234" s="66"/>
      <c r="OU234" s="66"/>
      <c r="OV234" s="66"/>
      <c r="OW234" s="66"/>
      <c r="OX234" s="66"/>
      <c r="OY234" s="66"/>
      <c r="OZ234" s="66"/>
      <c r="PA234" s="66"/>
      <c r="PB234" s="66"/>
      <c r="PC234" s="66"/>
      <c r="PD234" s="66"/>
      <c r="PE234" s="66"/>
      <c r="PF234" s="66"/>
      <c r="PG234" s="66"/>
      <c r="PH234" s="66"/>
      <c r="PI234" s="66"/>
      <c r="PJ234" s="66"/>
      <c r="PK234" s="66"/>
      <c r="PL234" s="66"/>
      <c r="PM234" s="66"/>
      <c r="PN234" s="66"/>
      <c r="PO234" s="66"/>
      <c r="PP234" s="66"/>
      <c r="PQ234" s="66"/>
      <c r="PR234" s="66"/>
      <c r="PS234" s="66"/>
      <c r="PT234" s="66"/>
      <c r="PU234" s="66"/>
      <c r="PV234" s="66"/>
      <c r="PW234" s="66"/>
      <c r="PX234" s="66"/>
      <c r="PY234" s="66"/>
      <c r="PZ234" s="66"/>
      <c r="QA234" s="66"/>
      <c r="QB234" s="66"/>
      <c r="QC234" s="66"/>
      <c r="QD234" s="66"/>
      <c r="QE234" s="66"/>
      <c r="QF234" s="66"/>
      <c r="QG234" s="66"/>
      <c r="QH234" s="66"/>
      <c r="QI234" s="66"/>
      <c r="QJ234" s="66"/>
      <c r="QK234" s="66"/>
      <c r="QL234" s="66"/>
      <c r="QM234" s="66"/>
      <c r="QN234" s="66"/>
      <c r="QO234" s="66"/>
      <c r="QP234" s="66"/>
      <c r="QQ234" s="66"/>
      <c r="QR234" s="66"/>
      <c r="QS234" s="66"/>
      <c r="QT234" s="66"/>
      <c r="QU234" s="66"/>
      <c r="QV234" s="66"/>
      <c r="QW234" s="66"/>
      <c r="QX234" s="66"/>
      <c r="QY234" s="66"/>
      <c r="QZ234" s="66"/>
      <c r="RA234" s="66"/>
      <c r="RB234" s="66"/>
      <c r="RC234" s="66"/>
      <c r="RD234" s="4"/>
    </row>
    <row r="235" spans="1:472" x14ac:dyDescent="0.25">
      <c r="A235" s="5" t="s">
        <v>978</v>
      </c>
      <c r="B235" s="5" t="s">
        <v>1004</v>
      </c>
      <c r="C235" s="5" t="s">
        <v>230</v>
      </c>
      <c r="D235" s="5">
        <v>184</v>
      </c>
      <c r="E235" s="5"/>
      <c r="F235" s="5" t="s">
        <v>1006</v>
      </c>
      <c r="I235" s="66"/>
      <c r="J235" s="66"/>
      <c r="K235" s="66"/>
      <c r="L235" s="66"/>
      <c r="M235" s="66"/>
      <c r="N235" s="66"/>
      <c r="O235" s="66"/>
      <c r="P235" s="66"/>
      <c r="Q235" s="66"/>
      <c r="R235" s="66"/>
      <c r="S235" s="66"/>
      <c r="T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c r="DA235" s="66"/>
      <c r="DB235" s="66"/>
      <c r="DC235" s="66"/>
      <c r="DD235" s="66"/>
      <c r="DE235" s="66"/>
      <c r="DF235" s="66"/>
      <c r="DG235" s="66"/>
      <c r="DH235" s="66"/>
      <c r="DI235" s="66"/>
      <c r="DJ235" s="66"/>
      <c r="DK235" s="66"/>
      <c r="DL235" s="66"/>
      <c r="DM235" s="66"/>
      <c r="DN235" s="66"/>
      <c r="DO235" s="66"/>
      <c r="DP235" s="66"/>
      <c r="DQ235" s="66"/>
      <c r="DR235" s="66"/>
      <c r="DS235" s="66"/>
      <c r="DT235" s="66"/>
      <c r="DU235" s="66"/>
      <c r="DV235" s="66"/>
      <c r="DW235" s="66"/>
      <c r="DX235" s="66"/>
      <c r="DY235" s="66"/>
      <c r="DZ235" s="66"/>
      <c r="EA235" s="66"/>
      <c r="EB235" s="66"/>
      <c r="EC235" s="66"/>
      <c r="ED235" s="66"/>
      <c r="EE235" s="66"/>
      <c r="EF235" s="66"/>
      <c r="EG235" s="66"/>
      <c r="EH235" s="66"/>
      <c r="EI235" s="66"/>
      <c r="EJ235" s="66"/>
      <c r="EK235" s="66"/>
      <c r="EL235" s="66"/>
      <c r="EM235" s="66"/>
      <c r="EN235" s="66"/>
      <c r="EO235" s="66"/>
      <c r="EP235" s="66"/>
      <c r="EQ235" s="66"/>
      <c r="ER235" s="66"/>
      <c r="ES235" s="66"/>
      <c r="ET235" s="66"/>
      <c r="EU235" s="66"/>
      <c r="EV235" s="66"/>
      <c r="EW235" s="66"/>
      <c r="EX235" s="66"/>
      <c r="EY235" s="66"/>
      <c r="EZ235" s="66"/>
      <c r="FA235" s="66"/>
      <c r="FB235" s="66"/>
      <c r="FC235" s="66"/>
      <c r="FD235" s="66"/>
      <c r="FE235" s="66"/>
      <c r="FF235" s="66"/>
      <c r="FG235" s="66"/>
      <c r="FH235" s="66"/>
      <c r="FI235" s="66"/>
      <c r="FJ235" s="66"/>
      <c r="FK235" s="66"/>
      <c r="FL235" s="66"/>
      <c r="FM235" s="66"/>
      <c r="FN235" s="66"/>
      <c r="FO235" s="66"/>
      <c r="FP235" s="66"/>
      <c r="FQ235" s="66"/>
      <c r="FR235" s="66"/>
      <c r="FS235" s="66"/>
      <c r="FT235" s="66"/>
      <c r="FU235" s="66"/>
      <c r="FV235" s="66"/>
      <c r="FW235" s="66"/>
      <c r="FX235" s="66"/>
      <c r="FY235" s="66"/>
      <c r="FZ235" s="66"/>
      <c r="GA235" s="66"/>
      <c r="GB235" s="66"/>
      <c r="GC235" s="66"/>
      <c r="GD235" s="66"/>
      <c r="GE235" s="66"/>
      <c r="GF235" s="66"/>
      <c r="GG235" s="66"/>
      <c r="GH235" s="66"/>
      <c r="GI235" s="66"/>
      <c r="GJ235" s="66"/>
      <c r="GK235" s="66"/>
      <c r="GL235" s="66"/>
      <c r="GM235" s="66"/>
      <c r="GN235" s="66"/>
      <c r="GO235" s="66"/>
      <c r="GP235" s="66"/>
      <c r="GQ235" s="66"/>
      <c r="GR235" s="66"/>
      <c r="GS235" s="66"/>
      <c r="GT235" s="66"/>
      <c r="GU235" s="66"/>
      <c r="GV235" s="66"/>
      <c r="GW235" s="66"/>
      <c r="GX235" s="66"/>
      <c r="GY235" s="66"/>
      <c r="GZ235" s="66"/>
      <c r="HA235" s="66"/>
      <c r="HB235" s="66"/>
      <c r="HC235" s="66"/>
      <c r="HD235" s="66"/>
      <c r="HE235" s="66"/>
      <c r="HF235" s="66"/>
      <c r="HG235" s="66"/>
      <c r="HH235" s="66"/>
      <c r="HI235" s="66"/>
      <c r="HJ235" s="66"/>
      <c r="HK235" s="66"/>
      <c r="HL235" s="66"/>
      <c r="HM235" s="66"/>
      <c r="HN235" s="66"/>
      <c r="HO235" s="66"/>
      <c r="HP235" s="66"/>
      <c r="HQ235" s="66"/>
      <c r="HR235" s="66"/>
      <c r="HS235" s="66"/>
      <c r="HT235" s="66"/>
      <c r="HU235" s="66"/>
      <c r="HV235" s="66"/>
      <c r="HW235" s="66"/>
      <c r="HX235" s="66"/>
      <c r="HY235" s="66"/>
      <c r="HZ235" s="66"/>
      <c r="IA235" s="66"/>
      <c r="IB235" s="66"/>
      <c r="IC235" s="66"/>
      <c r="ID235" s="66"/>
      <c r="IE235" s="66"/>
      <c r="IF235" s="66"/>
      <c r="IG235" s="66"/>
      <c r="IH235" s="66"/>
      <c r="II235" s="66"/>
      <c r="IJ235" s="66"/>
      <c r="IK235" s="66"/>
      <c r="IL235" s="66"/>
      <c r="IM235" s="66"/>
      <c r="IN235" s="66"/>
      <c r="IO235" s="66"/>
      <c r="IP235" s="66"/>
      <c r="IQ235" s="66"/>
      <c r="IR235" s="66"/>
      <c r="IS235" s="66"/>
      <c r="IT235" s="66"/>
      <c r="IU235" s="66"/>
      <c r="IV235" s="66"/>
      <c r="IW235" s="66"/>
      <c r="IX235" s="66"/>
      <c r="IY235" s="66"/>
      <c r="IZ235" s="66"/>
      <c r="JA235" s="66"/>
      <c r="JB235" s="66"/>
      <c r="JC235" s="66"/>
      <c r="JD235" s="66"/>
      <c r="JE235" s="66"/>
      <c r="JF235" s="66"/>
      <c r="JG235" s="66"/>
      <c r="JH235" s="66"/>
      <c r="JI235" s="66"/>
      <c r="JJ235" s="66"/>
      <c r="JK235" s="66"/>
      <c r="JL235" s="66"/>
      <c r="JM235" s="66"/>
      <c r="JN235" s="66"/>
      <c r="JO235" s="66"/>
      <c r="JP235" s="66"/>
      <c r="JQ235" s="66"/>
      <c r="JR235" s="66"/>
      <c r="JS235" s="66"/>
      <c r="JT235" s="66"/>
      <c r="JU235" s="66"/>
      <c r="JV235" s="66"/>
      <c r="JW235" s="66"/>
      <c r="JX235" s="66"/>
      <c r="JY235" s="66"/>
      <c r="JZ235" s="66"/>
      <c r="KA235" s="66"/>
      <c r="KB235" s="66"/>
      <c r="KC235" s="66"/>
      <c r="KD235" s="66"/>
      <c r="KE235" s="66"/>
      <c r="KF235" s="66"/>
      <c r="KG235" s="66"/>
      <c r="KH235" s="66"/>
      <c r="KI235" s="66"/>
      <c r="KJ235" s="66"/>
      <c r="KK235" s="66"/>
      <c r="KL235" s="66"/>
      <c r="KM235" s="66"/>
      <c r="KN235" s="66"/>
      <c r="KO235" s="66"/>
      <c r="KP235" s="66"/>
      <c r="KQ235" s="66"/>
      <c r="KR235" s="66"/>
      <c r="KS235" s="66"/>
      <c r="KT235" s="66"/>
      <c r="KU235" s="66"/>
      <c r="KV235" s="66"/>
      <c r="KW235" s="66"/>
      <c r="KX235" s="66"/>
      <c r="KY235" s="66"/>
      <c r="KZ235" s="66"/>
      <c r="LA235" s="66"/>
      <c r="LB235" s="66"/>
      <c r="LC235" s="66"/>
      <c r="LD235" s="66"/>
      <c r="LE235" s="66"/>
      <c r="LF235" s="66"/>
      <c r="LG235" s="66"/>
      <c r="LH235" s="66"/>
      <c r="LI235" s="66"/>
      <c r="LJ235" s="66"/>
      <c r="LK235" s="66"/>
      <c r="LL235" s="66"/>
      <c r="LM235" s="66"/>
      <c r="LN235" s="66"/>
      <c r="LO235" s="66"/>
      <c r="LP235" s="66"/>
      <c r="LQ235" s="66"/>
      <c r="LR235" s="66"/>
      <c r="LS235" s="66"/>
      <c r="LT235" s="66"/>
      <c r="LU235" s="66"/>
      <c r="LV235" s="66"/>
      <c r="LW235" s="66"/>
      <c r="LX235" s="66"/>
      <c r="LY235" s="66"/>
      <c r="LZ235" s="66"/>
      <c r="MA235" s="66"/>
      <c r="MB235" s="66"/>
      <c r="MC235" s="66"/>
      <c r="MD235" s="66"/>
      <c r="ME235" s="66"/>
      <c r="MF235" s="66"/>
      <c r="MG235" s="66"/>
      <c r="MH235" s="66"/>
      <c r="MI235" s="66"/>
      <c r="MJ235" s="66"/>
      <c r="MK235" s="66"/>
      <c r="ML235" s="66"/>
      <c r="MM235" s="66"/>
      <c r="MN235" s="66"/>
      <c r="MO235" s="66"/>
      <c r="MP235" s="66"/>
      <c r="MQ235" s="66"/>
      <c r="MR235" s="66"/>
      <c r="MS235" s="66"/>
      <c r="MT235" s="66"/>
      <c r="MU235" s="66"/>
      <c r="MV235" s="66"/>
      <c r="MW235" s="66"/>
      <c r="MX235" s="66"/>
      <c r="MY235" s="66"/>
      <c r="MZ235" s="66"/>
      <c r="NA235" s="66"/>
      <c r="NB235" s="66"/>
      <c r="NC235" s="66"/>
      <c r="ND235" s="66"/>
      <c r="NE235" s="66"/>
      <c r="NF235" s="66"/>
      <c r="NG235" s="66"/>
      <c r="NH235" s="66"/>
      <c r="NI235" s="66"/>
      <c r="NJ235" s="66"/>
      <c r="NK235" s="66"/>
      <c r="NL235" s="66"/>
      <c r="NM235" s="66"/>
      <c r="NN235" s="66"/>
      <c r="NO235" s="66"/>
      <c r="NP235" s="66"/>
      <c r="NQ235" s="66"/>
      <c r="NR235" s="66"/>
      <c r="NS235" s="66"/>
      <c r="NT235" s="66"/>
      <c r="NU235" s="66"/>
      <c r="NV235" s="66"/>
      <c r="NW235" s="66"/>
      <c r="NX235" s="66"/>
      <c r="NY235" s="66"/>
      <c r="NZ235" s="66"/>
      <c r="OA235" s="66"/>
      <c r="OB235" s="66"/>
      <c r="OC235" s="66"/>
      <c r="OD235" s="66"/>
      <c r="OE235" s="66"/>
      <c r="OF235" s="66"/>
      <c r="OG235" s="66"/>
      <c r="OH235" s="66"/>
      <c r="OI235" s="66"/>
      <c r="OJ235" s="66"/>
      <c r="OK235" s="66"/>
      <c r="OL235" s="66"/>
      <c r="OM235" s="66"/>
      <c r="ON235" s="66"/>
      <c r="OO235" s="66"/>
      <c r="OP235" s="66"/>
      <c r="OQ235" s="66"/>
      <c r="OR235" s="66"/>
      <c r="OS235" s="66"/>
      <c r="OT235" s="66"/>
      <c r="OU235" s="66"/>
      <c r="OV235" s="66"/>
      <c r="OW235" s="66"/>
      <c r="OX235" s="66"/>
      <c r="OY235" s="66"/>
      <c r="OZ235" s="66"/>
      <c r="PA235" s="66"/>
      <c r="PB235" s="66"/>
      <c r="PC235" s="66"/>
      <c r="PD235" s="66"/>
      <c r="PE235" s="66"/>
      <c r="PF235" s="66"/>
      <c r="PG235" s="66"/>
      <c r="PH235" s="66"/>
      <c r="PI235" s="66"/>
      <c r="PJ235" s="66"/>
      <c r="PK235" s="66"/>
      <c r="PL235" s="66"/>
      <c r="PM235" s="66"/>
      <c r="PN235" s="66"/>
      <c r="PO235" s="66"/>
      <c r="PP235" s="66"/>
      <c r="PQ235" s="66"/>
      <c r="PR235" s="66"/>
      <c r="PS235" s="66"/>
      <c r="PT235" s="66"/>
      <c r="PU235" s="66"/>
      <c r="PV235" s="66"/>
      <c r="PW235" s="66"/>
      <c r="PX235" s="66"/>
      <c r="PY235" s="66"/>
      <c r="PZ235" s="66"/>
      <c r="QA235" s="66"/>
      <c r="QB235" s="66"/>
      <c r="QC235" s="66"/>
      <c r="QD235" s="66"/>
      <c r="QE235" s="66"/>
      <c r="QF235" s="66"/>
      <c r="QG235" s="66"/>
      <c r="QH235" s="66"/>
      <c r="QI235" s="66"/>
      <c r="QJ235" s="66"/>
      <c r="QK235" s="66"/>
      <c r="QL235" s="66"/>
      <c r="QM235" s="66"/>
      <c r="QN235" s="66"/>
      <c r="QO235" s="66"/>
      <c r="QP235" s="66"/>
      <c r="QQ235" s="66"/>
      <c r="QR235" s="66"/>
      <c r="QS235" s="66"/>
      <c r="QT235" s="66"/>
      <c r="QU235" s="66"/>
      <c r="QV235" s="66"/>
      <c r="QW235" s="66"/>
      <c r="QX235" s="66"/>
      <c r="QY235" s="66"/>
      <c r="QZ235" s="66"/>
      <c r="RA235" s="66"/>
      <c r="RB235" s="66"/>
      <c r="RC235" s="66"/>
      <c r="RD235" s="4"/>
    </row>
    <row r="236" spans="1:472" x14ac:dyDescent="0.25">
      <c r="A236" s="5" t="s">
        <v>978</v>
      </c>
      <c r="B236" s="5" t="s">
        <v>1005</v>
      </c>
      <c r="C236" s="5" t="s">
        <v>230</v>
      </c>
      <c r="D236" s="5">
        <v>408</v>
      </c>
      <c r="E236" s="5"/>
      <c r="F236" s="5" t="s">
        <v>1006</v>
      </c>
      <c r="I236" s="66"/>
      <c r="J236" s="66"/>
      <c r="K236" s="66"/>
      <c r="L236" s="66"/>
      <c r="M236" s="66"/>
      <c r="N236" s="66"/>
      <c r="O236" s="66"/>
      <c r="P236" s="66"/>
      <c r="Q236" s="66"/>
      <c r="R236" s="66"/>
      <c r="S236" s="66"/>
      <c r="T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K236" s="66"/>
      <c r="DL236" s="66"/>
      <c r="DM236" s="66"/>
      <c r="DN236" s="66"/>
      <c r="DO236" s="66"/>
      <c r="DP236" s="66"/>
      <c r="DQ236" s="66"/>
      <c r="DR236" s="66"/>
      <c r="DS236" s="66"/>
      <c r="DT236" s="66"/>
      <c r="DU236" s="66"/>
      <c r="DV236" s="66"/>
      <c r="DW236" s="66"/>
      <c r="DX236" s="66"/>
      <c r="DY236" s="66"/>
      <c r="DZ236" s="66"/>
      <c r="EA236" s="66"/>
      <c r="EB236" s="66"/>
      <c r="EC236" s="66"/>
      <c r="ED236" s="66"/>
      <c r="EE236" s="66"/>
      <c r="EF236" s="66"/>
      <c r="EG236" s="66"/>
      <c r="EH236" s="66"/>
      <c r="EI236" s="66"/>
      <c r="EJ236" s="66"/>
      <c r="EK236" s="66"/>
      <c r="EL236" s="66"/>
      <c r="EM236" s="66"/>
      <c r="EN236" s="66"/>
      <c r="EO236" s="66"/>
      <c r="EP236" s="66"/>
      <c r="EQ236" s="66"/>
      <c r="ER236" s="66"/>
      <c r="ES236" s="66"/>
      <c r="ET236" s="66"/>
      <c r="EU236" s="66"/>
      <c r="EV236" s="66"/>
      <c r="EW236" s="66"/>
      <c r="EX236" s="66"/>
      <c r="EY236" s="66"/>
      <c r="EZ236" s="66"/>
      <c r="FA236" s="66"/>
      <c r="FB236" s="66"/>
      <c r="FC236" s="66"/>
      <c r="FD236" s="66"/>
      <c r="FE236" s="66"/>
      <c r="FF236" s="66"/>
      <c r="FG236" s="66"/>
      <c r="FH236" s="66"/>
      <c r="FI236" s="66"/>
      <c r="FJ236" s="66"/>
      <c r="FK236" s="66"/>
      <c r="FL236" s="66"/>
      <c r="FM236" s="66"/>
      <c r="FN236" s="66"/>
      <c r="FO236" s="66"/>
      <c r="FP236" s="66"/>
      <c r="FQ236" s="66"/>
      <c r="FR236" s="66"/>
      <c r="FS236" s="66"/>
      <c r="FT236" s="66"/>
      <c r="FU236" s="66"/>
      <c r="FV236" s="66"/>
      <c r="FW236" s="66"/>
      <c r="FX236" s="66"/>
      <c r="FY236" s="66"/>
      <c r="FZ236" s="66"/>
      <c r="GA236" s="66"/>
      <c r="GB236" s="66"/>
      <c r="GC236" s="66"/>
      <c r="GD236" s="66"/>
      <c r="GE236" s="66"/>
      <c r="GF236" s="66"/>
      <c r="GG236" s="66"/>
      <c r="GH236" s="66"/>
      <c r="GI236" s="66"/>
      <c r="GJ236" s="66"/>
      <c r="GK236" s="66"/>
      <c r="GL236" s="66"/>
      <c r="GM236" s="66"/>
      <c r="GN236" s="66"/>
      <c r="GO236" s="66"/>
      <c r="GP236" s="66"/>
      <c r="GQ236" s="66"/>
      <c r="GR236" s="66"/>
      <c r="GS236" s="66"/>
      <c r="GT236" s="66"/>
      <c r="GU236" s="66"/>
      <c r="GV236" s="66"/>
      <c r="GW236" s="66"/>
      <c r="GX236" s="66"/>
      <c r="GY236" s="66"/>
      <c r="GZ236" s="66"/>
      <c r="HA236" s="66"/>
      <c r="HB236" s="66"/>
      <c r="HC236" s="66"/>
      <c r="HD236" s="66"/>
      <c r="HE236" s="66"/>
      <c r="HF236" s="66"/>
      <c r="HG236" s="66"/>
      <c r="HH236" s="66"/>
      <c r="HI236" s="66"/>
      <c r="HJ236" s="66"/>
      <c r="HK236" s="66"/>
      <c r="HL236" s="66"/>
      <c r="HM236" s="66"/>
      <c r="HN236" s="66"/>
      <c r="HO236" s="66"/>
      <c r="HP236" s="66"/>
      <c r="HQ236" s="66"/>
      <c r="HR236" s="66"/>
      <c r="HS236" s="66"/>
      <c r="HT236" s="66"/>
      <c r="HU236" s="66"/>
      <c r="HV236" s="66"/>
      <c r="HW236" s="66"/>
      <c r="HX236" s="66"/>
      <c r="HY236" s="66"/>
      <c r="HZ236" s="66"/>
      <c r="IA236" s="66"/>
      <c r="IB236" s="66"/>
      <c r="IC236" s="66"/>
      <c r="ID236" s="66"/>
      <c r="IE236" s="66"/>
      <c r="IF236" s="66"/>
      <c r="IG236" s="66"/>
      <c r="IH236" s="66"/>
      <c r="II236" s="66"/>
      <c r="IJ236" s="66"/>
      <c r="IK236" s="66"/>
      <c r="IL236" s="66"/>
      <c r="IM236" s="66"/>
      <c r="IN236" s="66"/>
      <c r="IO236" s="66"/>
      <c r="IP236" s="66"/>
      <c r="IQ236" s="66"/>
      <c r="IR236" s="66"/>
      <c r="IS236" s="66"/>
      <c r="IT236" s="66"/>
      <c r="IU236" s="66"/>
      <c r="IV236" s="66"/>
      <c r="IW236" s="66"/>
      <c r="IX236" s="66"/>
      <c r="IY236" s="66"/>
      <c r="IZ236" s="66"/>
      <c r="JA236" s="66"/>
      <c r="JB236" s="66"/>
      <c r="JC236" s="66"/>
      <c r="JD236" s="66"/>
      <c r="JE236" s="66"/>
      <c r="JF236" s="66"/>
      <c r="JG236" s="66"/>
      <c r="JH236" s="66"/>
      <c r="JI236" s="66"/>
      <c r="JJ236" s="66"/>
      <c r="JK236" s="66"/>
      <c r="JL236" s="66"/>
      <c r="JM236" s="66"/>
      <c r="JN236" s="66"/>
      <c r="JO236" s="66"/>
      <c r="JP236" s="66"/>
      <c r="JQ236" s="66"/>
      <c r="JR236" s="66"/>
      <c r="JS236" s="66"/>
      <c r="JT236" s="66"/>
      <c r="JU236" s="66"/>
      <c r="JV236" s="66"/>
      <c r="JW236" s="66"/>
      <c r="JX236" s="66"/>
      <c r="JY236" s="66"/>
      <c r="JZ236" s="66"/>
      <c r="KA236" s="66"/>
      <c r="KB236" s="66"/>
      <c r="KC236" s="66"/>
      <c r="KD236" s="66"/>
      <c r="KE236" s="66"/>
      <c r="KF236" s="66"/>
      <c r="KG236" s="66"/>
      <c r="KH236" s="66"/>
      <c r="KI236" s="66"/>
      <c r="KJ236" s="66"/>
      <c r="KK236" s="66"/>
      <c r="KL236" s="66"/>
      <c r="KM236" s="66"/>
      <c r="KN236" s="66"/>
      <c r="KO236" s="66"/>
      <c r="KP236" s="66"/>
      <c r="KQ236" s="66"/>
      <c r="KR236" s="66"/>
      <c r="KS236" s="66"/>
      <c r="KT236" s="66"/>
      <c r="KU236" s="66"/>
      <c r="KV236" s="66"/>
      <c r="KW236" s="66"/>
      <c r="KX236" s="66"/>
      <c r="KY236" s="66"/>
      <c r="KZ236" s="66"/>
      <c r="LA236" s="66"/>
      <c r="LB236" s="66"/>
      <c r="LC236" s="66"/>
      <c r="LD236" s="66"/>
      <c r="LE236" s="66"/>
      <c r="LF236" s="66"/>
      <c r="LG236" s="66"/>
      <c r="LH236" s="66"/>
      <c r="LI236" s="66"/>
      <c r="LJ236" s="66"/>
      <c r="LK236" s="66"/>
      <c r="LL236" s="66"/>
      <c r="LM236" s="66"/>
      <c r="LN236" s="66"/>
      <c r="LO236" s="66"/>
      <c r="LP236" s="66"/>
      <c r="LQ236" s="66"/>
      <c r="LR236" s="66"/>
      <c r="LS236" s="66"/>
      <c r="LT236" s="66"/>
      <c r="LU236" s="66"/>
      <c r="LV236" s="66"/>
      <c r="LW236" s="66"/>
      <c r="LX236" s="66"/>
      <c r="LY236" s="66"/>
      <c r="LZ236" s="66"/>
      <c r="MA236" s="66"/>
      <c r="MB236" s="66"/>
      <c r="MC236" s="66"/>
      <c r="MD236" s="66"/>
      <c r="ME236" s="66"/>
      <c r="MF236" s="66"/>
      <c r="MG236" s="66"/>
      <c r="MH236" s="66"/>
      <c r="MI236" s="66"/>
      <c r="MJ236" s="66"/>
      <c r="MK236" s="66"/>
      <c r="ML236" s="66"/>
      <c r="MM236" s="66"/>
      <c r="MN236" s="66"/>
      <c r="MO236" s="66"/>
      <c r="MP236" s="66"/>
      <c r="MQ236" s="66"/>
      <c r="MR236" s="66"/>
      <c r="MS236" s="66"/>
      <c r="MT236" s="66"/>
      <c r="MU236" s="66"/>
      <c r="MV236" s="66"/>
      <c r="MW236" s="66"/>
      <c r="MX236" s="66"/>
      <c r="MY236" s="66"/>
      <c r="MZ236" s="66"/>
      <c r="NA236" s="66"/>
      <c r="NB236" s="66"/>
      <c r="NC236" s="66"/>
      <c r="ND236" s="66"/>
      <c r="NE236" s="66"/>
      <c r="NF236" s="66"/>
      <c r="NG236" s="66"/>
      <c r="NH236" s="66"/>
      <c r="NI236" s="66"/>
      <c r="NJ236" s="66"/>
      <c r="NK236" s="66"/>
      <c r="NL236" s="66"/>
      <c r="NM236" s="66"/>
      <c r="NN236" s="66"/>
      <c r="NO236" s="66"/>
      <c r="NP236" s="66"/>
      <c r="NQ236" s="66"/>
      <c r="NR236" s="66"/>
      <c r="NS236" s="66"/>
      <c r="NT236" s="66"/>
      <c r="NU236" s="66"/>
      <c r="NV236" s="66"/>
      <c r="NW236" s="66"/>
      <c r="NX236" s="66"/>
      <c r="NY236" s="66"/>
      <c r="NZ236" s="66"/>
      <c r="OA236" s="66"/>
      <c r="OB236" s="66"/>
      <c r="OC236" s="66"/>
      <c r="OD236" s="66"/>
      <c r="OE236" s="66"/>
      <c r="OF236" s="66"/>
      <c r="OG236" s="66"/>
      <c r="OH236" s="66"/>
      <c r="OI236" s="66"/>
      <c r="OJ236" s="66"/>
      <c r="OK236" s="66"/>
      <c r="OL236" s="66"/>
      <c r="OM236" s="66"/>
      <c r="ON236" s="66"/>
      <c r="OO236" s="66"/>
      <c r="OP236" s="66"/>
      <c r="OQ236" s="66"/>
      <c r="OR236" s="66"/>
      <c r="OS236" s="66"/>
      <c r="OT236" s="66"/>
      <c r="OU236" s="66"/>
      <c r="OV236" s="66"/>
      <c r="OW236" s="66"/>
      <c r="OX236" s="66"/>
      <c r="OY236" s="66"/>
      <c r="OZ236" s="66"/>
      <c r="PA236" s="66"/>
      <c r="PB236" s="66"/>
      <c r="PC236" s="66"/>
      <c r="PD236" s="66"/>
      <c r="PE236" s="66"/>
      <c r="PF236" s="66"/>
      <c r="PG236" s="66"/>
      <c r="PH236" s="66"/>
      <c r="PI236" s="66"/>
      <c r="PJ236" s="66"/>
      <c r="PK236" s="66"/>
      <c r="PL236" s="66"/>
      <c r="PM236" s="66"/>
      <c r="PN236" s="66"/>
      <c r="PO236" s="66"/>
      <c r="PP236" s="66"/>
      <c r="PQ236" s="66"/>
      <c r="PR236" s="66"/>
      <c r="PS236" s="66"/>
      <c r="PT236" s="66"/>
      <c r="PU236" s="66"/>
      <c r="PV236" s="66"/>
      <c r="PW236" s="66"/>
      <c r="PX236" s="66"/>
      <c r="PY236" s="66"/>
      <c r="PZ236" s="66"/>
      <c r="QA236" s="66"/>
      <c r="QB236" s="66"/>
      <c r="QC236" s="66"/>
      <c r="QD236" s="66"/>
      <c r="QE236" s="66"/>
      <c r="QF236" s="66"/>
      <c r="QG236" s="66"/>
      <c r="QH236" s="66"/>
      <c r="QI236" s="66"/>
      <c r="QJ236" s="66"/>
      <c r="QK236" s="66"/>
      <c r="QL236" s="66"/>
      <c r="QM236" s="66"/>
      <c r="QN236" s="66"/>
      <c r="QO236" s="66"/>
      <c r="QP236" s="66"/>
      <c r="QQ236" s="66"/>
      <c r="QR236" s="66"/>
      <c r="QS236" s="66"/>
      <c r="QT236" s="66"/>
      <c r="QU236" s="66"/>
      <c r="QV236" s="66"/>
      <c r="QW236" s="66"/>
      <c r="QX236" s="66"/>
      <c r="QY236" s="66"/>
      <c r="QZ236" s="66"/>
      <c r="RA236" s="66"/>
      <c r="RB236" s="66"/>
      <c r="RC236" s="66"/>
      <c r="RD236" s="4"/>
    </row>
    <row r="237" spans="1:472" x14ac:dyDescent="0.25">
      <c r="A237" s="46" t="s">
        <v>978</v>
      </c>
      <c r="B237" s="46" t="s">
        <v>1010</v>
      </c>
      <c r="C237" s="46" t="s">
        <v>230</v>
      </c>
      <c r="D237" s="46">
        <v>264</v>
      </c>
      <c r="F237" s="46" t="s">
        <v>1011</v>
      </c>
      <c r="I237" s="66"/>
      <c r="J237" s="66"/>
      <c r="K237" s="66"/>
      <c r="L237" s="66"/>
      <c r="M237" s="66"/>
      <c r="N237" s="66"/>
      <c r="O237" s="66"/>
      <c r="P237" s="66"/>
      <c r="Q237" s="66"/>
      <c r="R237" s="66"/>
      <c r="S237" s="66"/>
      <c r="T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K237" s="66"/>
      <c r="DL237" s="66"/>
      <c r="DM237" s="66"/>
      <c r="DN237" s="66"/>
      <c r="DO237" s="66"/>
      <c r="DP237" s="66"/>
      <c r="DQ237" s="66"/>
      <c r="DR237" s="66"/>
      <c r="DS237" s="66"/>
      <c r="DT237" s="66"/>
      <c r="DU237" s="66"/>
      <c r="DV237" s="66"/>
      <c r="DW237" s="66"/>
      <c r="DX237" s="66"/>
      <c r="DY237" s="66"/>
      <c r="DZ237" s="66"/>
      <c r="EA237" s="66"/>
      <c r="EB237" s="66"/>
      <c r="EC237" s="66"/>
      <c r="ED237" s="66"/>
      <c r="EE237" s="66"/>
      <c r="EF237" s="66"/>
      <c r="EG237" s="66"/>
      <c r="EH237" s="66"/>
      <c r="EI237" s="66"/>
      <c r="EJ237" s="66"/>
      <c r="EK237" s="66"/>
      <c r="EL237" s="66"/>
      <c r="EM237" s="66"/>
      <c r="EN237" s="66"/>
      <c r="EO237" s="66"/>
      <c r="EP237" s="66"/>
      <c r="EQ237" s="66"/>
      <c r="ER237" s="66"/>
      <c r="ES237" s="66"/>
      <c r="ET237" s="66"/>
      <c r="EU237" s="66"/>
      <c r="EV237" s="66"/>
      <c r="EW237" s="66"/>
      <c r="EX237" s="66"/>
      <c r="EY237" s="66"/>
      <c r="EZ237" s="66"/>
      <c r="FA237" s="66"/>
      <c r="FB237" s="66"/>
      <c r="FC237" s="66"/>
      <c r="FD237" s="66"/>
      <c r="FE237" s="66"/>
      <c r="FF237" s="66"/>
      <c r="FG237" s="66"/>
      <c r="FH237" s="66"/>
      <c r="FI237" s="66"/>
      <c r="FJ237" s="66"/>
      <c r="FK237" s="66"/>
      <c r="FL237" s="66"/>
      <c r="FM237" s="66"/>
      <c r="FN237" s="66"/>
      <c r="FO237" s="66"/>
      <c r="FP237" s="66"/>
      <c r="FQ237" s="66"/>
      <c r="FR237" s="66"/>
      <c r="FS237" s="66"/>
      <c r="FT237" s="66"/>
      <c r="FU237" s="66"/>
      <c r="FV237" s="66"/>
      <c r="FW237" s="66"/>
      <c r="FX237" s="66"/>
      <c r="FY237" s="66"/>
      <c r="FZ237" s="66"/>
      <c r="GA237" s="66"/>
      <c r="GB237" s="66"/>
      <c r="GC237" s="66"/>
      <c r="GD237" s="66"/>
      <c r="GE237" s="66"/>
      <c r="GF237" s="66"/>
      <c r="GG237" s="66"/>
      <c r="GH237" s="66"/>
      <c r="GI237" s="66"/>
      <c r="GJ237" s="66"/>
      <c r="GK237" s="66"/>
      <c r="GL237" s="66"/>
      <c r="GM237" s="66"/>
      <c r="GN237" s="66"/>
      <c r="GO237" s="66"/>
      <c r="GP237" s="66"/>
      <c r="GQ237" s="66"/>
      <c r="GR237" s="66"/>
      <c r="GS237" s="66"/>
      <c r="GT237" s="66"/>
      <c r="GU237" s="66"/>
      <c r="GV237" s="66"/>
      <c r="GW237" s="66"/>
      <c r="GX237" s="66"/>
      <c r="GY237" s="66"/>
      <c r="GZ237" s="66"/>
      <c r="HA237" s="66"/>
      <c r="HB237" s="66"/>
      <c r="HC237" s="66"/>
      <c r="HD237" s="66"/>
      <c r="HE237" s="66"/>
      <c r="HF237" s="66"/>
      <c r="HG237" s="66"/>
      <c r="HH237" s="66"/>
      <c r="HI237" s="66"/>
      <c r="HJ237" s="66"/>
      <c r="HK237" s="66"/>
      <c r="HL237" s="66"/>
      <c r="HM237" s="66"/>
      <c r="HN237" s="66"/>
      <c r="HO237" s="66"/>
      <c r="HP237" s="66"/>
      <c r="HQ237" s="66"/>
      <c r="HR237" s="66"/>
      <c r="HS237" s="66"/>
      <c r="HT237" s="66"/>
      <c r="HU237" s="66"/>
      <c r="HV237" s="66"/>
      <c r="HW237" s="66"/>
      <c r="HX237" s="66"/>
      <c r="HY237" s="66"/>
      <c r="HZ237" s="66"/>
      <c r="IA237" s="66"/>
      <c r="IB237" s="66"/>
      <c r="IC237" s="66"/>
      <c r="ID237" s="66"/>
      <c r="IE237" s="66"/>
      <c r="IF237" s="66"/>
      <c r="IG237" s="66"/>
      <c r="IH237" s="66"/>
      <c r="II237" s="66"/>
      <c r="IJ237" s="66"/>
      <c r="IK237" s="66"/>
      <c r="IL237" s="66"/>
      <c r="IM237" s="66"/>
      <c r="IN237" s="66"/>
      <c r="IO237" s="66"/>
      <c r="IP237" s="66"/>
      <c r="IQ237" s="66"/>
      <c r="IR237" s="66"/>
      <c r="IS237" s="66"/>
      <c r="IT237" s="66"/>
      <c r="IU237" s="66"/>
      <c r="IV237" s="66"/>
      <c r="IW237" s="66"/>
      <c r="IX237" s="66"/>
      <c r="IY237" s="66"/>
      <c r="IZ237" s="66"/>
      <c r="JA237" s="66"/>
      <c r="JB237" s="66"/>
      <c r="JC237" s="66"/>
      <c r="JD237" s="66"/>
      <c r="JE237" s="66"/>
      <c r="JF237" s="66"/>
      <c r="JG237" s="66"/>
      <c r="JH237" s="66"/>
      <c r="JI237" s="66"/>
      <c r="JJ237" s="66"/>
      <c r="JK237" s="66"/>
      <c r="JL237" s="66"/>
      <c r="JM237" s="66"/>
      <c r="JN237" s="66"/>
      <c r="JO237" s="66"/>
      <c r="JP237" s="66"/>
      <c r="JQ237" s="66"/>
      <c r="JR237" s="66"/>
      <c r="JS237" s="66"/>
      <c r="JT237" s="66"/>
      <c r="JU237" s="66"/>
      <c r="JV237" s="66"/>
      <c r="JW237" s="66"/>
      <c r="JX237" s="66"/>
      <c r="JY237" s="66"/>
      <c r="JZ237" s="66"/>
      <c r="KA237" s="66"/>
      <c r="KB237" s="66"/>
      <c r="KC237" s="66"/>
      <c r="KD237" s="66"/>
      <c r="KE237" s="66"/>
      <c r="KF237" s="66"/>
      <c r="KG237" s="66"/>
      <c r="KH237" s="66"/>
      <c r="KI237" s="66"/>
      <c r="KJ237" s="66"/>
      <c r="KK237" s="66"/>
      <c r="KL237" s="66"/>
      <c r="KM237" s="66"/>
      <c r="KN237" s="66"/>
      <c r="KO237" s="66"/>
      <c r="KP237" s="66"/>
      <c r="KQ237" s="66"/>
      <c r="KR237" s="66"/>
      <c r="KS237" s="66"/>
      <c r="KT237" s="66"/>
      <c r="KU237" s="66"/>
      <c r="KV237" s="66"/>
      <c r="KW237" s="66"/>
      <c r="KX237" s="66"/>
      <c r="KY237" s="66"/>
      <c r="KZ237" s="66"/>
      <c r="LA237" s="66"/>
      <c r="LB237" s="66"/>
      <c r="LC237" s="66"/>
      <c r="LD237" s="66"/>
      <c r="LE237" s="66"/>
      <c r="LF237" s="66"/>
      <c r="LG237" s="66"/>
      <c r="LH237" s="66"/>
      <c r="LI237" s="66"/>
      <c r="LJ237" s="66"/>
      <c r="LK237" s="66"/>
      <c r="LL237" s="66"/>
      <c r="LM237" s="66"/>
      <c r="LN237" s="66"/>
      <c r="LO237" s="66"/>
      <c r="LP237" s="66"/>
      <c r="LQ237" s="66"/>
      <c r="LR237" s="66"/>
      <c r="LS237" s="66"/>
      <c r="LT237" s="66"/>
      <c r="LU237" s="66"/>
      <c r="LV237" s="66"/>
      <c r="LW237" s="66"/>
      <c r="LX237" s="66"/>
      <c r="LY237" s="66"/>
      <c r="LZ237" s="66"/>
      <c r="MA237" s="66"/>
      <c r="MB237" s="66"/>
      <c r="MC237" s="66"/>
      <c r="MD237" s="66"/>
      <c r="ME237" s="66"/>
      <c r="MF237" s="66"/>
      <c r="MG237" s="66"/>
      <c r="MH237" s="66"/>
      <c r="MI237" s="66"/>
      <c r="MJ237" s="66"/>
      <c r="MK237" s="66"/>
      <c r="ML237" s="66"/>
      <c r="MM237" s="66"/>
      <c r="MN237" s="66"/>
      <c r="MO237" s="66"/>
      <c r="MP237" s="66"/>
      <c r="MQ237" s="66"/>
      <c r="MR237" s="66"/>
      <c r="MS237" s="66"/>
      <c r="MT237" s="66"/>
      <c r="MU237" s="66"/>
      <c r="MV237" s="66"/>
      <c r="MW237" s="66"/>
      <c r="MX237" s="66"/>
      <c r="MY237" s="66"/>
      <c r="MZ237" s="66"/>
      <c r="NA237" s="66"/>
      <c r="NB237" s="66"/>
      <c r="NC237" s="66"/>
      <c r="ND237" s="66"/>
      <c r="NE237" s="66"/>
      <c r="NF237" s="66"/>
      <c r="NG237" s="66"/>
      <c r="NH237" s="66"/>
      <c r="NI237" s="66"/>
      <c r="NJ237" s="66"/>
      <c r="NK237" s="66"/>
      <c r="NL237" s="66"/>
      <c r="NM237" s="66"/>
      <c r="NN237" s="66"/>
      <c r="NO237" s="66"/>
      <c r="NP237" s="66"/>
      <c r="NQ237" s="66"/>
      <c r="NR237" s="66"/>
      <c r="NS237" s="66"/>
      <c r="NT237" s="66"/>
      <c r="NU237" s="66"/>
      <c r="NV237" s="66"/>
      <c r="NW237" s="66"/>
      <c r="NX237" s="66"/>
      <c r="NY237" s="66"/>
      <c r="NZ237" s="66"/>
      <c r="OA237" s="66"/>
      <c r="OB237" s="66"/>
      <c r="OC237" s="66"/>
      <c r="OD237" s="66"/>
      <c r="OE237" s="66"/>
      <c r="OF237" s="66"/>
      <c r="OG237" s="66"/>
      <c r="OH237" s="66"/>
      <c r="OI237" s="66"/>
      <c r="OJ237" s="66"/>
      <c r="OK237" s="66"/>
      <c r="OL237" s="66"/>
      <c r="OM237" s="66"/>
      <c r="ON237" s="66"/>
      <c r="OO237" s="66"/>
      <c r="OP237" s="66"/>
      <c r="OQ237" s="66"/>
      <c r="OR237" s="66"/>
      <c r="OS237" s="66"/>
      <c r="OT237" s="66"/>
      <c r="OU237" s="66"/>
      <c r="OV237" s="66"/>
      <c r="OW237" s="66"/>
      <c r="OX237" s="66"/>
      <c r="OY237" s="66"/>
      <c r="OZ237" s="66"/>
      <c r="PA237" s="66"/>
      <c r="PB237" s="66"/>
      <c r="PC237" s="66"/>
      <c r="PD237" s="66"/>
      <c r="PE237" s="66"/>
      <c r="PF237" s="66"/>
      <c r="PG237" s="66"/>
      <c r="PH237" s="66"/>
      <c r="PI237" s="66"/>
      <c r="PJ237" s="66"/>
      <c r="PK237" s="66"/>
      <c r="PL237" s="66"/>
      <c r="PM237" s="66"/>
      <c r="PN237" s="66"/>
      <c r="PO237" s="66"/>
      <c r="PP237" s="66"/>
      <c r="PQ237" s="66"/>
      <c r="PR237" s="66"/>
      <c r="PS237" s="66"/>
      <c r="PT237" s="66"/>
      <c r="PU237" s="66"/>
      <c r="PV237" s="66"/>
      <c r="PW237" s="66"/>
      <c r="PX237" s="66"/>
      <c r="PY237" s="66"/>
      <c r="PZ237" s="66"/>
      <c r="QA237" s="66"/>
      <c r="QB237" s="66"/>
      <c r="QC237" s="66"/>
      <c r="QD237" s="66"/>
      <c r="QE237" s="66"/>
      <c r="QF237" s="66"/>
      <c r="QG237" s="66"/>
      <c r="QH237" s="66"/>
      <c r="QI237" s="66"/>
      <c r="QJ237" s="66"/>
      <c r="QK237" s="66"/>
      <c r="QL237" s="66"/>
      <c r="QM237" s="66"/>
      <c r="QN237" s="66"/>
      <c r="QO237" s="66"/>
      <c r="QP237" s="66"/>
      <c r="QQ237" s="66"/>
      <c r="QR237" s="66"/>
      <c r="QS237" s="66"/>
      <c r="QT237" s="66"/>
      <c r="QU237" s="66"/>
      <c r="QV237" s="66"/>
      <c r="QW237" s="66"/>
      <c r="QX237" s="66"/>
      <c r="QY237" s="66"/>
      <c r="QZ237" s="66"/>
      <c r="RA237" s="66"/>
      <c r="RB237" s="66"/>
      <c r="RC237" s="66"/>
      <c r="RD237" s="4"/>
    </row>
    <row r="238" spans="1:472" x14ac:dyDescent="0.25">
      <c r="A238" s="5" t="s">
        <v>978</v>
      </c>
      <c r="B238" s="5" t="s">
        <v>1319</v>
      </c>
      <c r="C238" s="5" t="s">
        <v>5</v>
      </c>
      <c r="D238" s="5" t="s">
        <v>279</v>
      </c>
      <c r="E238" s="5"/>
      <c r="F238" s="5"/>
      <c r="I238" s="66"/>
      <c r="J238" s="66"/>
      <c r="K238" s="66"/>
      <c r="L238" s="66"/>
      <c r="M238" s="66"/>
      <c r="N238" s="66"/>
      <c r="O238" s="66"/>
      <c r="P238" s="66"/>
      <c r="Q238" s="66"/>
      <c r="R238" s="66"/>
      <c r="S238" s="66"/>
      <c r="T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c r="DA238" s="66"/>
      <c r="DB238" s="66"/>
      <c r="DC238" s="66"/>
      <c r="DD238" s="66"/>
      <c r="DE238" s="66"/>
      <c r="DF238" s="66"/>
      <c r="DG238" s="66"/>
      <c r="DH238" s="66"/>
      <c r="DI238" s="66"/>
      <c r="DJ238" s="66"/>
      <c r="DK238" s="66"/>
      <c r="DL238" s="66"/>
      <c r="DM238" s="66"/>
      <c r="DN238" s="66"/>
      <c r="DO238" s="66"/>
      <c r="DP238" s="66"/>
      <c r="DQ238" s="66"/>
      <c r="DR238" s="66"/>
      <c r="DS238" s="66"/>
      <c r="DT238" s="66"/>
      <c r="DU238" s="66"/>
      <c r="DV238" s="66"/>
      <c r="DW238" s="66"/>
      <c r="DX238" s="66"/>
      <c r="DY238" s="66"/>
      <c r="DZ238" s="66"/>
      <c r="EA238" s="66"/>
      <c r="EB238" s="66"/>
      <c r="EC238" s="66"/>
      <c r="ED238" s="66"/>
      <c r="EE238" s="66"/>
      <c r="EF238" s="66"/>
      <c r="EG238" s="66"/>
      <c r="EH238" s="66"/>
      <c r="EI238" s="66"/>
      <c r="EJ238" s="66"/>
      <c r="EK238" s="66"/>
      <c r="EL238" s="66"/>
      <c r="EM238" s="66"/>
      <c r="EN238" s="66"/>
      <c r="EO238" s="66"/>
      <c r="EP238" s="66"/>
      <c r="EQ238" s="66"/>
      <c r="ER238" s="66"/>
      <c r="ES238" s="66"/>
      <c r="ET238" s="66"/>
      <c r="EU238" s="66"/>
      <c r="EV238" s="66"/>
      <c r="EW238" s="66"/>
      <c r="EX238" s="66"/>
      <c r="EY238" s="66"/>
      <c r="EZ238" s="66"/>
      <c r="FA238" s="66"/>
      <c r="FB238" s="66"/>
      <c r="FC238" s="66"/>
      <c r="FD238" s="66"/>
      <c r="FE238" s="66"/>
      <c r="FF238" s="66"/>
      <c r="FG238" s="66"/>
      <c r="FH238" s="66"/>
      <c r="FI238" s="66"/>
      <c r="FJ238" s="66"/>
      <c r="FK238" s="66"/>
      <c r="FL238" s="66"/>
      <c r="FM238" s="66"/>
      <c r="FN238" s="66"/>
      <c r="FO238" s="66"/>
      <c r="FP238" s="66"/>
      <c r="FQ238" s="66"/>
      <c r="FR238" s="66"/>
      <c r="FS238" s="66"/>
      <c r="FT238" s="66"/>
      <c r="FU238" s="66"/>
      <c r="FV238" s="66"/>
      <c r="FW238" s="66"/>
      <c r="FX238" s="66"/>
      <c r="FY238" s="66"/>
      <c r="FZ238" s="66"/>
      <c r="GA238" s="66"/>
      <c r="GB238" s="66"/>
      <c r="GC238" s="66"/>
      <c r="GD238" s="66"/>
      <c r="GE238" s="66"/>
      <c r="GF238" s="66"/>
      <c r="GG238" s="66"/>
      <c r="GH238" s="66"/>
      <c r="GI238" s="66"/>
      <c r="GJ238" s="66"/>
      <c r="GK238" s="66"/>
      <c r="GL238" s="66"/>
      <c r="GM238" s="66"/>
      <c r="GN238" s="66"/>
      <c r="GO238" s="66"/>
      <c r="GP238" s="66"/>
      <c r="GQ238" s="66"/>
      <c r="GR238" s="66"/>
      <c r="GS238" s="66"/>
      <c r="GT238" s="66"/>
      <c r="GU238" s="66"/>
      <c r="GV238" s="66"/>
      <c r="GW238" s="66"/>
      <c r="GX238" s="66"/>
      <c r="GY238" s="66"/>
      <c r="GZ238" s="66"/>
      <c r="HA238" s="66"/>
      <c r="HB238" s="66"/>
      <c r="HC238" s="66"/>
      <c r="HD238" s="66"/>
      <c r="HE238" s="66"/>
      <c r="HF238" s="66"/>
      <c r="HG238" s="66"/>
      <c r="HH238" s="66"/>
      <c r="HI238" s="66"/>
      <c r="HJ238" s="66"/>
      <c r="HK238" s="66"/>
      <c r="HL238" s="66"/>
      <c r="HM238" s="66"/>
      <c r="HN238" s="66"/>
      <c r="HO238" s="66"/>
      <c r="HP238" s="66"/>
      <c r="HQ238" s="66"/>
      <c r="HR238" s="66"/>
      <c r="HS238" s="66"/>
      <c r="HT238" s="66"/>
      <c r="HU238" s="66"/>
      <c r="HV238" s="66"/>
      <c r="HW238" s="66"/>
      <c r="HX238" s="66"/>
      <c r="HY238" s="66"/>
      <c r="HZ238" s="66"/>
      <c r="IA238" s="66"/>
      <c r="IB238" s="66"/>
      <c r="IC238" s="66"/>
      <c r="ID238" s="66"/>
      <c r="IE238" s="66"/>
      <c r="IF238" s="66"/>
      <c r="IG238" s="66"/>
      <c r="IH238" s="66"/>
      <c r="II238" s="66"/>
      <c r="IJ238" s="66"/>
      <c r="IK238" s="66"/>
      <c r="IL238" s="66"/>
      <c r="IM238" s="66"/>
      <c r="IN238" s="66"/>
      <c r="IO238" s="66"/>
      <c r="IP238" s="66"/>
      <c r="IQ238" s="66"/>
      <c r="IR238" s="66"/>
      <c r="IS238" s="66"/>
      <c r="IT238" s="66"/>
      <c r="IU238" s="66"/>
      <c r="IV238" s="66"/>
      <c r="IW238" s="66"/>
      <c r="IX238" s="66"/>
      <c r="IY238" s="66"/>
      <c r="IZ238" s="66"/>
      <c r="JA238" s="66"/>
      <c r="JB238" s="66"/>
      <c r="JC238" s="66"/>
      <c r="JD238" s="66"/>
      <c r="JE238" s="66"/>
      <c r="JF238" s="66"/>
      <c r="JG238" s="66"/>
      <c r="JH238" s="66"/>
      <c r="JI238" s="66"/>
      <c r="JJ238" s="66"/>
      <c r="JK238" s="66"/>
      <c r="JL238" s="66"/>
      <c r="JM238" s="66"/>
      <c r="JN238" s="66"/>
      <c r="JO238" s="66"/>
      <c r="JP238" s="66"/>
      <c r="JQ238" s="66"/>
      <c r="JR238" s="66"/>
      <c r="JS238" s="66"/>
      <c r="JT238" s="66"/>
      <c r="JU238" s="66"/>
      <c r="JV238" s="66"/>
      <c r="JW238" s="66"/>
      <c r="JX238" s="66"/>
      <c r="JY238" s="66"/>
      <c r="JZ238" s="66"/>
      <c r="KA238" s="66"/>
      <c r="KB238" s="66"/>
      <c r="KC238" s="66"/>
      <c r="KD238" s="66"/>
      <c r="KE238" s="66"/>
      <c r="KF238" s="66"/>
      <c r="KG238" s="66"/>
      <c r="KH238" s="66"/>
      <c r="KI238" s="66"/>
      <c r="KJ238" s="66"/>
      <c r="KK238" s="66"/>
      <c r="KL238" s="66"/>
      <c r="KM238" s="66"/>
      <c r="KN238" s="66"/>
      <c r="KO238" s="66"/>
      <c r="KP238" s="66"/>
      <c r="KQ238" s="66"/>
      <c r="KR238" s="66"/>
      <c r="KS238" s="66"/>
      <c r="KT238" s="66"/>
      <c r="KU238" s="66"/>
      <c r="KV238" s="66"/>
      <c r="KW238" s="66"/>
      <c r="KX238" s="66"/>
      <c r="KY238" s="66"/>
      <c r="KZ238" s="66"/>
      <c r="LA238" s="66"/>
      <c r="LB238" s="66"/>
      <c r="LC238" s="66"/>
      <c r="LD238" s="66"/>
      <c r="LE238" s="66"/>
      <c r="LF238" s="66"/>
      <c r="LG238" s="66"/>
      <c r="LH238" s="66"/>
      <c r="LI238" s="66"/>
      <c r="LJ238" s="66"/>
      <c r="LK238" s="66"/>
      <c r="LL238" s="66"/>
      <c r="LM238" s="66"/>
      <c r="LN238" s="66"/>
      <c r="LO238" s="66"/>
      <c r="LP238" s="66"/>
      <c r="LQ238" s="66"/>
      <c r="LR238" s="66"/>
      <c r="LS238" s="66"/>
      <c r="LT238" s="66"/>
      <c r="LU238" s="66"/>
      <c r="LV238" s="66"/>
      <c r="LW238" s="66"/>
      <c r="LX238" s="66"/>
      <c r="LY238" s="66"/>
      <c r="LZ238" s="66"/>
      <c r="MA238" s="66"/>
      <c r="MB238" s="66"/>
      <c r="MC238" s="66"/>
      <c r="MD238" s="66"/>
      <c r="ME238" s="66"/>
      <c r="MF238" s="66"/>
      <c r="MG238" s="66"/>
      <c r="MH238" s="66"/>
      <c r="MI238" s="66"/>
      <c r="MJ238" s="66"/>
      <c r="MK238" s="66"/>
      <c r="ML238" s="66"/>
      <c r="MM238" s="66"/>
      <c r="MN238" s="66"/>
      <c r="MO238" s="66"/>
      <c r="MP238" s="66"/>
      <c r="MQ238" s="66"/>
      <c r="MR238" s="66"/>
      <c r="MS238" s="66"/>
      <c r="MT238" s="66"/>
      <c r="MU238" s="66"/>
      <c r="MV238" s="66"/>
      <c r="MW238" s="66"/>
      <c r="MX238" s="66"/>
      <c r="MY238" s="66"/>
      <c r="MZ238" s="66"/>
      <c r="NA238" s="66"/>
      <c r="NB238" s="66"/>
      <c r="NC238" s="66"/>
      <c r="ND238" s="66"/>
      <c r="NE238" s="66"/>
      <c r="NF238" s="66"/>
      <c r="NG238" s="66"/>
      <c r="NH238" s="66"/>
      <c r="NI238" s="66"/>
      <c r="NJ238" s="66"/>
      <c r="NK238" s="66"/>
      <c r="NL238" s="66"/>
      <c r="NM238" s="66"/>
      <c r="NN238" s="66"/>
      <c r="NO238" s="66"/>
      <c r="NP238" s="66"/>
      <c r="NQ238" s="66"/>
      <c r="NR238" s="66"/>
      <c r="NS238" s="66"/>
      <c r="NT238" s="66"/>
      <c r="NU238" s="66"/>
      <c r="NV238" s="66"/>
      <c r="NW238" s="66"/>
      <c r="NX238" s="66"/>
      <c r="NY238" s="66"/>
      <c r="NZ238" s="66"/>
      <c r="OA238" s="66"/>
      <c r="OB238" s="66"/>
      <c r="OC238" s="66"/>
      <c r="OD238" s="66"/>
      <c r="OE238" s="66"/>
      <c r="OF238" s="66"/>
      <c r="OG238" s="66"/>
      <c r="OH238" s="66"/>
      <c r="OI238" s="66"/>
      <c r="OJ238" s="66"/>
      <c r="OK238" s="66"/>
      <c r="OL238" s="66"/>
      <c r="OM238" s="66"/>
      <c r="ON238" s="66"/>
      <c r="OO238" s="66"/>
      <c r="OP238" s="66"/>
      <c r="OQ238" s="66"/>
      <c r="OR238" s="66"/>
      <c r="OS238" s="66"/>
      <c r="OT238" s="66"/>
      <c r="OU238" s="66"/>
      <c r="OV238" s="66"/>
      <c r="OW238" s="66"/>
      <c r="OX238" s="66"/>
      <c r="OY238" s="66"/>
      <c r="OZ238" s="66"/>
      <c r="PA238" s="66"/>
      <c r="PB238" s="66"/>
      <c r="PC238" s="66"/>
      <c r="PD238" s="66"/>
      <c r="PE238" s="66"/>
      <c r="PF238" s="66"/>
      <c r="PG238" s="66"/>
      <c r="PH238" s="66"/>
      <c r="PI238" s="66"/>
      <c r="PJ238" s="66"/>
      <c r="PK238" s="66"/>
      <c r="PL238" s="66"/>
      <c r="PM238" s="66"/>
      <c r="PN238" s="66"/>
      <c r="PO238" s="66"/>
      <c r="PP238" s="66"/>
      <c r="PQ238" s="66"/>
      <c r="PR238" s="66"/>
      <c r="PS238" s="66"/>
      <c r="PT238" s="66"/>
      <c r="PU238" s="66"/>
      <c r="PV238" s="66"/>
      <c r="PW238" s="66"/>
      <c r="PX238" s="66"/>
      <c r="PY238" s="66"/>
      <c r="PZ238" s="66"/>
      <c r="QA238" s="66"/>
      <c r="QB238" s="66"/>
      <c r="QC238" s="66"/>
      <c r="QD238" s="66"/>
      <c r="QE238" s="66"/>
      <c r="QF238" s="66"/>
      <c r="QG238" s="66"/>
      <c r="QH238" s="66"/>
      <c r="QI238" s="66"/>
      <c r="QJ238" s="66"/>
      <c r="QK238" s="66"/>
      <c r="QL238" s="66"/>
      <c r="QM238" s="66"/>
      <c r="QN238" s="66"/>
      <c r="QO238" s="66"/>
      <c r="QP238" s="66"/>
      <c r="QQ238" s="66"/>
      <c r="QR238" s="66"/>
      <c r="QS238" s="66"/>
      <c r="QT238" s="66"/>
      <c r="QU238" s="66"/>
      <c r="QV238" s="66"/>
      <c r="QW238" s="66"/>
      <c r="QX238" s="66"/>
      <c r="QY238" s="66"/>
      <c r="QZ238" s="66"/>
      <c r="RA238" s="66"/>
      <c r="RB238" s="66"/>
      <c r="RC238" s="66"/>
      <c r="RD238" s="4"/>
    </row>
    <row r="239" spans="1:472" x14ac:dyDescent="0.25">
      <c r="A239" s="5" t="s">
        <v>978</v>
      </c>
      <c r="B239" s="5" t="s">
        <v>1163</v>
      </c>
      <c r="C239" s="5" t="s">
        <v>1483</v>
      </c>
      <c r="D239" s="5">
        <v>470</v>
      </c>
      <c r="E239" s="5"/>
      <c r="F239" s="5"/>
      <c r="I239" s="4"/>
      <c r="J239" s="4"/>
      <c r="K239" s="4"/>
      <c r="L239" s="4"/>
      <c r="M239" s="4"/>
      <c r="N239" s="4"/>
      <c r="O239" s="4"/>
      <c r="P239" s="4"/>
      <c r="Q239" s="4"/>
      <c r="R239" s="4"/>
      <c r="S239" s="4"/>
      <c r="T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c r="JM239" s="4"/>
      <c r="JN239" s="4"/>
      <c r="JO239" s="4"/>
      <c r="JP239" s="4"/>
      <c r="JQ239" s="4"/>
      <c r="JR239" s="4"/>
      <c r="JS239" s="4"/>
      <c r="JT239" s="4"/>
      <c r="JU239" s="4"/>
      <c r="JV239" s="4"/>
      <c r="JW239" s="4"/>
      <c r="JX239" s="4"/>
      <c r="JY239" s="4"/>
      <c r="JZ239" s="4"/>
      <c r="KA239" s="4"/>
      <c r="KB239" s="4"/>
      <c r="KC239" s="4"/>
      <c r="KD239" s="4"/>
      <c r="KE239" s="4"/>
      <c r="KF239" s="4"/>
      <c r="KG239" s="4"/>
      <c r="KH239" s="4"/>
      <c r="KI239" s="4"/>
      <c r="KJ239" s="4"/>
      <c r="KK239" s="4"/>
      <c r="KL239" s="4"/>
      <c r="KM239" s="4"/>
      <c r="KN239" s="4"/>
      <c r="KO239" s="4"/>
      <c r="KP239" s="4"/>
      <c r="KQ239" s="4"/>
      <c r="KR239" s="4"/>
      <c r="KS239" s="4"/>
      <c r="KT239" s="4"/>
      <c r="KU239" s="4"/>
      <c r="KV239" s="4"/>
      <c r="KW239" s="4"/>
      <c r="KX239" s="4"/>
      <c r="KY239" s="4"/>
      <c r="KZ239" s="4"/>
      <c r="LA239" s="4"/>
      <c r="LB239" s="4"/>
      <c r="LC239" s="4"/>
      <c r="LD239" s="4"/>
      <c r="LE239" s="4"/>
      <c r="LF239" s="4"/>
      <c r="LG239" s="4"/>
      <c r="LH239" s="4"/>
      <c r="LI239" s="4"/>
      <c r="LJ239" s="4"/>
      <c r="LK239" s="4"/>
      <c r="LL239" s="4"/>
      <c r="LM239" s="4"/>
      <c r="LN239" s="4"/>
      <c r="LO239" s="4"/>
      <c r="LP239" s="4"/>
      <c r="LQ239" s="4"/>
      <c r="LR239" s="4"/>
      <c r="LS239" s="4"/>
      <c r="LT239" s="4"/>
      <c r="LU239" s="4"/>
      <c r="LV239" s="4"/>
      <c r="LW239" s="4"/>
      <c r="LX239" s="4"/>
      <c r="LY239" s="4"/>
      <c r="LZ239" s="4"/>
      <c r="MA239" s="4"/>
      <c r="MB239" s="4"/>
      <c r="MC239" s="4"/>
      <c r="MD239" s="4"/>
      <c r="ME239" s="4"/>
      <c r="MF239" s="4"/>
      <c r="MG239" s="4"/>
      <c r="MH239" s="4"/>
      <c r="MI239" s="4"/>
      <c r="MJ239" s="4"/>
      <c r="MK239" s="4"/>
      <c r="ML239" s="4"/>
      <c r="MM239" s="4"/>
      <c r="MN239" s="4"/>
      <c r="MO239" s="4"/>
      <c r="MP239" s="4"/>
      <c r="MQ239" s="4"/>
      <c r="MR239" s="4"/>
      <c r="MS239" s="4"/>
      <c r="MT239" s="4"/>
      <c r="MU239" s="4"/>
      <c r="MV239" s="4"/>
      <c r="MW239" s="4"/>
      <c r="MX239" s="4"/>
      <c r="MY239" s="4"/>
      <c r="MZ239" s="4"/>
      <c r="NA239" s="4"/>
      <c r="NB239" s="4"/>
      <c r="NC239" s="4"/>
      <c r="ND239" s="4"/>
      <c r="NE239" s="4"/>
      <c r="NF239" s="4"/>
      <c r="NG239" s="4"/>
      <c r="NH239" s="4"/>
      <c r="NI239" s="4"/>
      <c r="NJ239" s="4"/>
      <c r="NK239" s="4"/>
      <c r="NL239" s="4"/>
      <c r="NM239" s="4"/>
      <c r="NN239" s="4"/>
      <c r="NO239" s="4"/>
      <c r="NP239" s="4"/>
      <c r="NQ239" s="4"/>
      <c r="NR239" s="4"/>
      <c r="NS239" s="4"/>
      <c r="NT239" s="4"/>
      <c r="NU239" s="4"/>
      <c r="NV239" s="4"/>
      <c r="NW239" s="4"/>
      <c r="NX239" s="4"/>
      <c r="NY239" s="4"/>
      <c r="NZ239" s="4"/>
      <c r="OA239" s="4"/>
      <c r="OB239" s="4"/>
      <c r="OC239" s="4"/>
      <c r="OD239" s="4"/>
      <c r="OE239" s="4"/>
      <c r="OF239" s="4"/>
      <c r="OG239" s="4"/>
      <c r="OH239" s="4"/>
      <c r="OI239" s="4"/>
      <c r="OJ239" s="4"/>
      <c r="OK239" s="4"/>
      <c r="OL239" s="4"/>
      <c r="OM239" s="4"/>
      <c r="ON239" s="4"/>
      <c r="OO239" s="4"/>
      <c r="OP239" s="4"/>
      <c r="OQ239" s="4"/>
      <c r="OR239" s="4"/>
      <c r="OS239" s="4"/>
      <c r="OT239" s="4"/>
      <c r="OU239" s="4"/>
      <c r="OV239" s="4"/>
      <c r="OW239" s="4"/>
      <c r="OX239" s="4"/>
      <c r="OY239" s="4"/>
      <c r="OZ239" s="4"/>
      <c r="PA239" s="4"/>
      <c r="PB239" s="4"/>
      <c r="PC239" s="4"/>
      <c r="PD239" s="4"/>
      <c r="PE239" s="4"/>
      <c r="PF239" s="4"/>
      <c r="PG239" s="4"/>
      <c r="PH239" s="4"/>
      <c r="PI239" s="4"/>
      <c r="PJ239" s="4"/>
      <c r="PK239" s="4"/>
      <c r="PL239" s="4"/>
      <c r="PM239" s="4"/>
      <c r="PN239" s="4"/>
      <c r="PO239" s="4"/>
      <c r="PP239" s="4"/>
      <c r="PQ239" s="4"/>
      <c r="PR239" s="4"/>
      <c r="PS239" s="4"/>
      <c r="PT239" s="4"/>
      <c r="PU239" s="4"/>
      <c r="PV239" s="4"/>
      <c r="PW239" s="4"/>
      <c r="PX239" s="4"/>
      <c r="PY239" s="4"/>
      <c r="PZ239" s="4"/>
      <c r="QA239" s="4"/>
      <c r="QB239" s="4"/>
      <c r="QC239" s="4"/>
      <c r="QD239" s="4"/>
      <c r="QE239" s="4"/>
      <c r="QF239" s="4"/>
      <c r="QG239" s="4"/>
      <c r="QH239" s="4"/>
      <c r="QI239" s="4"/>
      <c r="QJ239" s="4"/>
      <c r="QK239" s="4"/>
      <c r="QL239" s="4"/>
      <c r="QM239" s="4"/>
      <c r="QN239" s="4"/>
      <c r="QO239" s="4"/>
      <c r="QP239" s="4"/>
      <c r="QQ239" s="4"/>
      <c r="QR239" s="4"/>
      <c r="QS239" s="4"/>
      <c r="QT239" s="4"/>
      <c r="QU239" s="4"/>
      <c r="QV239" s="4"/>
      <c r="QW239" s="4"/>
      <c r="QX239" s="4"/>
      <c r="QY239" s="4"/>
      <c r="QZ239" s="4"/>
      <c r="RA239" s="4"/>
      <c r="RB239" s="4"/>
      <c r="RC239" s="4"/>
      <c r="RD239" s="4"/>
    </row>
    <row r="240" spans="1:472" x14ac:dyDescent="0.25">
      <c r="A240" s="5" t="s">
        <v>978</v>
      </c>
      <c r="B240" s="5" t="s">
        <v>1160</v>
      </c>
      <c r="C240" s="5" t="s">
        <v>230</v>
      </c>
      <c r="D240" s="5">
        <v>219</v>
      </c>
      <c r="E240" s="5"/>
      <c r="F240" s="5"/>
      <c r="I240" s="4"/>
      <c r="J240" s="4"/>
      <c r="K240" s="4"/>
      <c r="L240" s="4"/>
      <c r="M240" s="4"/>
      <c r="N240" s="4"/>
      <c r="O240" s="4"/>
      <c r="P240" s="4"/>
      <c r="Q240" s="4"/>
      <c r="R240" s="4"/>
      <c r="S240" s="4"/>
      <c r="T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c r="JC240" s="4"/>
      <c r="JD240" s="4"/>
      <c r="JE240" s="4"/>
      <c r="JF240" s="4"/>
      <c r="JG240" s="4"/>
      <c r="JH240" s="4"/>
      <c r="JI240" s="4"/>
      <c r="JJ240" s="4"/>
      <c r="JK240" s="4"/>
      <c r="JL240" s="4"/>
      <c r="JM240" s="4"/>
      <c r="JN240" s="4"/>
      <c r="JO240" s="4"/>
      <c r="JP240" s="4"/>
      <c r="JQ240" s="4"/>
      <c r="JR240" s="4"/>
      <c r="JS240" s="4"/>
      <c r="JT240" s="4"/>
      <c r="JU240" s="4"/>
      <c r="JV240" s="4"/>
      <c r="JW240" s="4"/>
      <c r="JX240" s="4"/>
      <c r="JY240" s="4"/>
      <c r="JZ240" s="4"/>
      <c r="KA240" s="4"/>
      <c r="KB240" s="4"/>
      <c r="KC240" s="4"/>
      <c r="KD240" s="4"/>
      <c r="KE240" s="4"/>
      <c r="KF240" s="4"/>
      <c r="KG240" s="4"/>
      <c r="KH240" s="4"/>
      <c r="KI240" s="4"/>
      <c r="KJ240" s="4"/>
      <c r="KK240" s="4"/>
      <c r="KL240" s="4"/>
      <c r="KM240" s="4"/>
      <c r="KN240" s="4"/>
      <c r="KO240" s="4"/>
      <c r="KP240" s="4"/>
      <c r="KQ240" s="4"/>
      <c r="KR240" s="4"/>
      <c r="KS240" s="4"/>
      <c r="KT240" s="4"/>
      <c r="KU240" s="4"/>
      <c r="KV240" s="4"/>
      <c r="KW240" s="4"/>
      <c r="KX240" s="4"/>
      <c r="KY240" s="4"/>
      <c r="KZ240" s="4"/>
      <c r="LA240" s="4"/>
      <c r="LB240" s="4"/>
      <c r="LC240" s="4"/>
      <c r="LD240" s="4"/>
      <c r="LE240" s="4"/>
      <c r="LF240" s="4"/>
      <c r="LG240" s="4"/>
      <c r="LH240" s="4"/>
      <c r="LI240" s="4"/>
      <c r="LJ240" s="4"/>
      <c r="LK240" s="4"/>
      <c r="LL240" s="4"/>
      <c r="LM240" s="4"/>
      <c r="LN240" s="4"/>
      <c r="LO240" s="4"/>
      <c r="LP240" s="4"/>
      <c r="LQ240" s="4"/>
      <c r="LR240" s="4"/>
      <c r="LS240" s="4"/>
      <c r="LT240" s="4"/>
      <c r="LU240" s="4"/>
      <c r="LV240" s="4"/>
      <c r="LW240" s="4"/>
      <c r="LX240" s="4"/>
      <c r="LY240" s="4"/>
      <c r="LZ240" s="4"/>
      <c r="MA240" s="4"/>
      <c r="MB240" s="4"/>
      <c r="MC240" s="4"/>
      <c r="MD240" s="4"/>
      <c r="ME240" s="4"/>
      <c r="MF240" s="4"/>
      <c r="MG240" s="4"/>
      <c r="MH240" s="4"/>
      <c r="MI240" s="4"/>
      <c r="MJ240" s="4"/>
      <c r="MK240" s="4"/>
      <c r="ML240" s="4"/>
      <c r="MM240" s="4"/>
      <c r="MN240" s="4"/>
      <c r="MO240" s="4"/>
      <c r="MP240" s="4"/>
      <c r="MQ240" s="4"/>
      <c r="MR240" s="4"/>
      <c r="MS240" s="4"/>
      <c r="MT240" s="4"/>
      <c r="MU240" s="4"/>
      <c r="MV240" s="4"/>
      <c r="MW240" s="4"/>
      <c r="MX240" s="4"/>
      <c r="MY240" s="4"/>
      <c r="MZ240" s="4"/>
      <c r="NA240" s="4"/>
      <c r="NB240" s="4"/>
      <c r="NC240" s="4"/>
      <c r="ND240" s="4"/>
      <c r="NE240" s="4"/>
      <c r="NF240" s="4"/>
      <c r="NG240" s="4"/>
      <c r="NH240" s="4"/>
      <c r="NI240" s="4"/>
      <c r="NJ240" s="4"/>
      <c r="NK240" s="4"/>
      <c r="NL240" s="4"/>
      <c r="NM240" s="4"/>
      <c r="NN240" s="4"/>
      <c r="NO240" s="4"/>
      <c r="NP240" s="4"/>
      <c r="NQ240" s="4"/>
      <c r="NR240" s="4"/>
      <c r="NS240" s="4"/>
      <c r="NT240" s="4"/>
      <c r="NU240" s="4"/>
      <c r="NV240" s="4"/>
      <c r="NW240" s="4"/>
      <c r="NX240" s="4"/>
      <c r="NY240" s="4"/>
      <c r="NZ240" s="4"/>
      <c r="OA240" s="4"/>
      <c r="OB240" s="4"/>
      <c r="OC240" s="4"/>
      <c r="OD240" s="4"/>
      <c r="OE240" s="4"/>
      <c r="OF240" s="4"/>
      <c r="OG240" s="4"/>
      <c r="OH240" s="4"/>
      <c r="OI240" s="4"/>
      <c r="OJ240" s="4"/>
      <c r="OK240" s="4"/>
      <c r="OL240" s="4"/>
      <c r="OM240" s="4"/>
      <c r="ON240" s="4"/>
      <c r="OO240" s="4"/>
      <c r="OP240" s="4"/>
      <c r="OQ240" s="4"/>
      <c r="OR240" s="4"/>
      <c r="OS240" s="4"/>
      <c r="OT240" s="4"/>
      <c r="OU240" s="4"/>
      <c r="OV240" s="4"/>
      <c r="OW240" s="4"/>
      <c r="OX240" s="4"/>
      <c r="OY240" s="4"/>
      <c r="OZ240" s="4"/>
      <c r="PA240" s="4"/>
      <c r="PB240" s="4"/>
      <c r="PC240" s="4"/>
      <c r="PD240" s="4"/>
      <c r="PE240" s="4"/>
      <c r="PF240" s="4"/>
      <c r="PG240" s="4"/>
      <c r="PH240" s="4"/>
      <c r="PI240" s="4"/>
      <c r="PJ240" s="4"/>
      <c r="PK240" s="4"/>
      <c r="PL240" s="4"/>
      <c r="PM240" s="4"/>
      <c r="PN240" s="4"/>
      <c r="PO240" s="4"/>
      <c r="PP240" s="4"/>
      <c r="PQ240" s="4"/>
      <c r="PR240" s="4"/>
      <c r="PS240" s="4"/>
      <c r="PT240" s="4"/>
      <c r="PU240" s="4"/>
      <c r="PV240" s="4"/>
      <c r="PW240" s="4"/>
      <c r="PX240" s="4"/>
      <c r="PY240" s="4"/>
      <c r="PZ240" s="4"/>
      <c r="QA240" s="4"/>
      <c r="QB240" s="4"/>
      <c r="QC240" s="4"/>
      <c r="QD240" s="4"/>
      <c r="QE240" s="4"/>
      <c r="QF240" s="4"/>
      <c r="QG240" s="4"/>
      <c r="QH240" s="4"/>
      <c r="QI240" s="4"/>
      <c r="QJ240" s="4"/>
      <c r="QK240" s="4"/>
      <c r="QL240" s="4"/>
      <c r="QM240" s="4"/>
      <c r="QN240" s="4"/>
      <c r="QO240" s="4"/>
      <c r="QP240" s="4"/>
      <c r="QQ240" s="4"/>
      <c r="QR240" s="4"/>
      <c r="QS240" s="4"/>
      <c r="QT240" s="4"/>
      <c r="QU240" s="4"/>
      <c r="QV240" s="4"/>
      <c r="QW240" s="4"/>
      <c r="QX240" s="4"/>
      <c r="QY240" s="4"/>
      <c r="QZ240" s="4"/>
      <c r="RA240" s="4"/>
      <c r="RB240" s="4"/>
      <c r="RC240" s="4"/>
      <c r="RD240" s="4"/>
    </row>
    <row r="241" spans="1:472" x14ac:dyDescent="0.25">
      <c r="A241" s="5" t="s">
        <v>978</v>
      </c>
      <c r="B241" s="5" t="s">
        <v>1367</v>
      </c>
      <c r="C241" s="5" t="s">
        <v>527</v>
      </c>
      <c r="D241" s="5">
        <v>197</v>
      </c>
      <c r="E241" s="5"/>
      <c r="F241" s="5" t="s">
        <v>1570</v>
      </c>
      <c r="I241" s="4"/>
      <c r="J241" s="4"/>
      <c r="K241" s="4"/>
      <c r="L241" s="4"/>
      <c r="M241" s="4"/>
      <c r="N241" s="4"/>
      <c r="O241" s="4"/>
      <c r="P241" s="4"/>
      <c r="Q241" s="4"/>
      <c r="R241" s="4"/>
      <c r="S241" s="4"/>
      <c r="T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c r="JC241" s="4"/>
      <c r="JD241" s="4"/>
      <c r="JE241" s="4"/>
      <c r="JF241" s="4"/>
      <c r="JG241" s="4"/>
      <c r="JH241" s="4"/>
      <c r="JI241" s="4"/>
      <c r="JJ241" s="4"/>
      <c r="JK241" s="4"/>
      <c r="JL241" s="4"/>
      <c r="JM241" s="4"/>
      <c r="JN241" s="4"/>
      <c r="JO241" s="4"/>
      <c r="JP241" s="4"/>
      <c r="JQ241" s="4"/>
      <c r="JR241" s="4"/>
      <c r="JS241" s="4"/>
      <c r="JT241" s="4"/>
      <c r="JU241" s="4"/>
      <c r="JV241" s="4"/>
      <c r="JW241" s="4"/>
      <c r="JX241" s="4"/>
      <c r="JY241" s="4"/>
      <c r="JZ241" s="4"/>
      <c r="KA241" s="4"/>
      <c r="KB241" s="4"/>
      <c r="KC241" s="4"/>
      <c r="KD241" s="4"/>
      <c r="KE241" s="4"/>
      <c r="KF241" s="4"/>
      <c r="KG241" s="4"/>
      <c r="KH241" s="4"/>
      <c r="KI241" s="4"/>
      <c r="KJ241" s="4"/>
      <c r="KK241" s="4"/>
      <c r="KL241" s="4"/>
      <c r="KM241" s="4"/>
      <c r="KN241" s="4"/>
      <c r="KO241" s="4"/>
      <c r="KP241" s="4"/>
      <c r="KQ241" s="4"/>
      <c r="KR241" s="4"/>
      <c r="KS241" s="4"/>
      <c r="KT241" s="4"/>
      <c r="KU241" s="4"/>
      <c r="KV241" s="4"/>
      <c r="KW241" s="4"/>
      <c r="KX241" s="4"/>
      <c r="KY241" s="4"/>
      <c r="KZ241" s="4"/>
      <c r="LA241" s="4"/>
      <c r="LB241" s="4"/>
      <c r="LC241" s="4"/>
      <c r="LD241" s="4"/>
      <c r="LE241" s="4"/>
      <c r="LF241" s="4"/>
      <c r="LG241" s="4"/>
      <c r="LH241" s="4"/>
      <c r="LI241" s="4"/>
      <c r="LJ241" s="4"/>
      <c r="LK241" s="4"/>
      <c r="LL241" s="4"/>
      <c r="LM241" s="4"/>
      <c r="LN241" s="4"/>
      <c r="LO241" s="4"/>
      <c r="LP241" s="4"/>
      <c r="LQ241" s="4"/>
      <c r="LR241" s="4"/>
      <c r="LS241" s="4"/>
      <c r="LT241" s="4"/>
      <c r="LU241" s="4"/>
      <c r="LV241" s="4"/>
      <c r="LW241" s="4"/>
      <c r="LX241" s="4"/>
      <c r="LY241" s="4"/>
      <c r="LZ241" s="4"/>
      <c r="MA241" s="4"/>
      <c r="MB241" s="4"/>
      <c r="MC241" s="4"/>
      <c r="MD241" s="4"/>
      <c r="ME241" s="4"/>
      <c r="MF241" s="4"/>
      <c r="MG241" s="4"/>
      <c r="MH241" s="4"/>
      <c r="MI241" s="4"/>
      <c r="MJ241" s="4"/>
      <c r="MK241" s="4"/>
      <c r="ML241" s="4"/>
      <c r="MM241" s="4"/>
      <c r="MN241" s="4"/>
      <c r="MO241" s="4"/>
      <c r="MP241" s="4"/>
      <c r="MQ241" s="4"/>
      <c r="MR241" s="4"/>
      <c r="MS241" s="4"/>
      <c r="MT241" s="4"/>
      <c r="MU241" s="4"/>
      <c r="MV241" s="4"/>
      <c r="MW241" s="4"/>
      <c r="MX241" s="4"/>
      <c r="MY241" s="4"/>
      <c r="MZ241" s="4"/>
      <c r="NA241" s="4"/>
      <c r="NB241" s="4"/>
      <c r="NC241" s="4"/>
      <c r="ND241" s="4"/>
      <c r="NE241" s="4"/>
      <c r="NF241" s="4"/>
      <c r="NG241" s="4"/>
      <c r="NH241" s="4"/>
      <c r="NI241" s="4"/>
      <c r="NJ241" s="4"/>
      <c r="NK241" s="4"/>
      <c r="NL241" s="4"/>
      <c r="NM241" s="4"/>
      <c r="NN241" s="4"/>
      <c r="NO241" s="4"/>
      <c r="NP241" s="4"/>
      <c r="NQ241" s="4"/>
      <c r="NR241" s="4"/>
      <c r="NS241" s="4"/>
      <c r="NT241" s="4"/>
      <c r="NU241" s="4"/>
      <c r="NV241" s="4"/>
      <c r="NW241" s="4"/>
      <c r="NX241" s="4"/>
      <c r="NY241" s="4"/>
      <c r="NZ241" s="4"/>
      <c r="OA241" s="4"/>
      <c r="OB241" s="4"/>
      <c r="OC241" s="4"/>
      <c r="OD241" s="4"/>
      <c r="OE241" s="4"/>
      <c r="OF241" s="4"/>
      <c r="OG241" s="4"/>
      <c r="OH241" s="4"/>
      <c r="OI241" s="4"/>
      <c r="OJ241" s="4"/>
      <c r="OK241" s="4"/>
      <c r="OL241" s="4"/>
      <c r="OM241" s="4"/>
      <c r="ON241" s="4"/>
      <c r="OO241" s="4"/>
      <c r="OP241" s="4"/>
      <c r="OQ241" s="4"/>
      <c r="OR241" s="4"/>
      <c r="OS241" s="4"/>
      <c r="OT241" s="4"/>
      <c r="OU241" s="4"/>
      <c r="OV241" s="4"/>
      <c r="OW241" s="4"/>
      <c r="OX241" s="4"/>
      <c r="OY241" s="4"/>
      <c r="OZ241" s="4"/>
      <c r="PA241" s="4"/>
      <c r="PB241" s="4"/>
      <c r="PC241" s="4"/>
      <c r="PD241" s="4"/>
      <c r="PE241" s="4"/>
      <c r="PF241" s="4"/>
      <c r="PG241" s="4"/>
      <c r="PH241" s="4"/>
      <c r="PI241" s="4"/>
      <c r="PJ241" s="4"/>
      <c r="PK241" s="4"/>
      <c r="PL241" s="4"/>
      <c r="PM241" s="4"/>
      <c r="PN241" s="4"/>
      <c r="PO241" s="4"/>
      <c r="PP241" s="4"/>
      <c r="PQ241" s="4"/>
      <c r="PR241" s="4"/>
      <c r="PS241" s="4"/>
      <c r="PT241" s="4"/>
      <c r="PU241" s="4"/>
      <c r="PV241" s="4"/>
      <c r="PW241" s="4"/>
      <c r="PX241" s="4"/>
      <c r="PY241" s="4"/>
      <c r="PZ241" s="4"/>
      <c r="QA241" s="4"/>
      <c r="QB241" s="4"/>
      <c r="QC241" s="4"/>
      <c r="QD241" s="4"/>
      <c r="QE241" s="4"/>
      <c r="QF241" s="4"/>
      <c r="QG241" s="4"/>
      <c r="QH241" s="4"/>
      <c r="QI241" s="4"/>
      <c r="QJ241" s="4"/>
      <c r="QK241" s="4"/>
      <c r="QL241" s="4"/>
      <c r="QM241" s="4"/>
      <c r="QN241" s="4"/>
      <c r="QO241" s="4"/>
      <c r="QP241" s="4"/>
      <c r="QQ241" s="4"/>
      <c r="QR241" s="4"/>
      <c r="QS241" s="4"/>
      <c r="QT241" s="4"/>
      <c r="QU241" s="4"/>
      <c r="QV241" s="4"/>
      <c r="QW241" s="4"/>
      <c r="QX241" s="4"/>
      <c r="QY241" s="4"/>
      <c r="QZ241" s="4"/>
      <c r="RA241" s="4"/>
      <c r="RB241" s="4"/>
      <c r="RC241" s="4"/>
      <c r="RD241" s="4"/>
    </row>
    <row r="242" spans="1:472" x14ac:dyDescent="0.25">
      <c r="I242" s="66"/>
      <c r="J242" s="66"/>
      <c r="K242" s="66"/>
      <c r="L242" s="66"/>
      <c r="M242" s="66"/>
      <c r="N242" s="66"/>
      <c r="O242" s="66"/>
      <c r="P242" s="66"/>
      <c r="Q242" s="66"/>
      <c r="R242" s="66"/>
      <c r="S242" s="66"/>
      <c r="T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c r="DA242" s="66"/>
      <c r="DB242" s="66"/>
      <c r="DC242" s="66"/>
      <c r="DD242" s="66"/>
      <c r="DE242" s="66"/>
      <c r="DF242" s="66"/>
      <c r="DG242" s="66"/>
      <c r="DH242" s="66"/>
      <c r="DI242" s="66"/>
      <c r="DJ242" s="66"/>
      <c r="DK242" s="66"/>
      <c r="DL242" s="66"/>
      <c r="DM242" s="66"/>
      <c r="DN242" s="66"/>
      <c r="DO242" s="66"/>
      <c r="DP242" s="66"/>
      <c r="DQ242" s="66"/>
      <c r="DR242" s="66"/>
      <c r="DS242" s="66"/>
      <c r="DT242" s="66"/>
      <c r="DU242" s="66"/>
      <c r="DV242" s="66"/>
      <c r="DW242" s="66"/>
      <c r="DX242" s="66"/>
      <c r="DY242" s="66"/>
      <c r="DZ242" s="66"/>
      <c r="EA242" s="66"/>
      <c r="EB242" s="66"/>
      <c r="EC242" s="66"/>
      <c r="ED242" s="66"/>
      <c r="EE242" s="66"/>
      <c r="EF242" s="66"/>
      <c r="EG242" s="66"/>
      <c r="EH242" s="66"/>
      <c r="EI242" s="66"/>
      <c r="EJ242" s="66"/>
      <c r="EK242" s="66"/>
      <c r="EL242" s="66"/>
      <c r="EM242" s="66"/>
      <c r="EN242" s="66"/>
      <c r="EO242" s="66"/>
      <c r="EP242" s="66"/>
      <c r="EQ242" s="66"/>
      <c r="ER242" s="66"/>
      <c r="ES242" s="66"/>
      <c r="ET242" s="66"/>
      <c r="EU242" s="66"/>
      <c r="EV242" s="66"/>
      <c r="EW242" s="66"/>
      <c r="EX242" s="66"/>
      <c r="EY242" s="66"/>
      <c r="EZ242" s="66"/>
      <c r="FA242" s="66"/>
      <c r="FB242" s="66"/>
      <c r="FC242" s="66"/>
      <c r="FD242" s="66"/>
      <c r="FE242" s="66"/>
      <c r="FF242" s="66"/>
      <c r="FG242" s="66"/>
      <c r="FH242" s="66"/>
      <c r="FI242" s="66"/>
      <c r="FJ242" s="66"/>
      <c r="FK242" s="66"/>
      <c r="FL242" s="66"/>
      <c r="FM242" s="66"/>
      <c r="FN242" s="66"/>
      <c r="FO242" s="66"/>
      <c r="FP242" s="66"/>
      <c r="FQ242" s="66"/>
      <c r="FR242" s="66"/>
      <c r="FS242" s="66"/>
      <c r="FT242" s="66"/>
      <c r="FU242" s="66"/>
      <c r="FV242" s="66"/>
      <c r="FW242" s="66"/>
      <c r="FX242" s="66"/>
      <c r="FY242" s="66"/>
      <c r="FZ242" s="66"/>
      <c r="GA242" s="66"/>
      <c r="GB242" s="66"/>
      <c r="GC242" s="66"/>
      <c r="GD242" s="66"/>
      <c r="GE242" s="66"/>
      <c r="GF242" s="66"/>
      <c r="GG242" s="66"/>
      <c r="GH242" s="66"/>
      <c r="GI242" s="66"/>
      <c r="GJ242" s="66"/>
      <c r="GK242" s="66"/>
      <c r="GL242" s="66"/>
      <c r="GM242" s="66"/>
      <c r="GN242" s="66"/>
      <c r="GO242" s="66"/>
      <c r="GP242" s="66"/>
      <c r="GQ242" s="66"/>
      <c r="GR242" s="66"/>
      <c r="GS242" s="66"/>
      <c r="GT242" s="66"/>
      <c r="GU242" s="66"/>
      <c r="GV242" s="66"/>
      <c r="GW242" s="66"/>
      <c r="GX242" s="66"/>
      <c r="GY242" s="66"/>
      <c r="GZ242" s="66"/>
      <c r="HA242" s="66"/>
      <c r="HB242" s="66"/>
      <c r="HC242" s="66"/>
      <c r="HD242" s="66"/>
      <c r="HE242" s="66"/>
      <c r="HF242" s="66"/>
      <c r="HG242" s="66"/>
      <c r="HH242" s="66"/>
      <c r="HI242" s="66"/>
      <c r="HJ242" s="66"/>
      <c r="HK242" s="66"/>
      <c r="HL242" s="66"/>
      <c r="HM242" s="66"/>
      <c r="HN242" s="66"/>
      <c r="HO242" s="66"/>
      <c r="HP242" s="66"/>
      <c r="HQ242" s="66"/>
      <c r="HR242" s="66"/>
      <c r="HS242" s="66"/>
      <c r="HT242" s="66"/>
      <c r="HU242" s="66"/>
      <c r="HV242" s="66"/>
      <c r="HW242" s="66"/>
      <c r="HX242" s="66"/>
      <c r="HY242" s="66"/>
      <c r="HZ242" s="66"/>
      <c r="IA242" s="66"/>
      <c r="IB242" s="66"/>
      <c r="IC242" s="66"/>
      <c r="ID242" s="66"/>
      <c r="IE242" s="66"/>
      <c r="IF242" s="66"/>
      <c r="IG242" s="66"/>
      <c r="IH242" s="66"/>
      <c r="II242" s="66"/>
      <c r="IJ242" s="66"/>
      <c r="IK242" s="66"/>
      <c r="IL242" s="66"/>
      <c r="IM242" s="66"/>
      <c r="IN242" s="66"/>
      <c r="IO242" s="66"/>
      <c r="IP242" s="66"/>
      <c r="IQ242" s="66"/>
      <c r="IR242" s="66"/>
      <c r="IS242" s="66"/>
      <c r="IT242" s="66"/>
      <c r="IU242" s="66"/>
      <c r="IV242" s="66"/>
      <c r="IW242" s="66"/>
      <c r="IX242" s="66"/>
      <c r="IY242" s="66"/>
      <c r="IZ242" s="66"/>
      <c r="JA242" s="66"/>
      <c r="JB242" s="66"/>
      <c r="JC242" s="66"/>
      <c r="JD242" s="66"/>
      <c r="JE242" s="66"/>
      <c r="JF242" s="66"/>
      <c r="JG242" s="66"/>
      <c r="JH242" s="66"/>
      <c r="JI242" s="66"/>
      <c r="JJ242" s="66"/>
      <c r="JK242" s="66"/>
      <c r="JL242" s="66"/>
      <c r="JM242" s="66"/>
      <c r="JN242" s="66"/>
      <c r="JO242" s="66"/>
      <c r="JP242" s="66"/>
      <c r="JQ242" s="66"/>
      <c r="JR242" s="66"/>
      <c r="JS242" s="66"/>
      <c r="JT242" s="66"/>
      <c r="JU242" s="66"/>
      <c r="JV242" s="66"/>
      <c r="JW242" s="66"/>
      <c r="JX242" s="66"/>
      <c r="JY242" s="66"/>
      <c r="JZ242" s="66"/>
      <c r="KA242" s="66"/>
      <c r="KB242" s="66"/>
      <c r="KC242" s="66"/>
      <c r="KD242" s="66"/>
      <c r="KE242" s="66"/>
      <c r="KF242" s="66"/>
      <c r="KG242" s="66"/>
      <c r="KH242" s="66"/>
      <c r="KI242" s="66"/>
      <c r="KJ242" s="66"/>
      <c r="KK242" s="66"/>
      <c r="KL242" s="66"/>
      <c r="KM242" s="66"/>
      <c r="KN242" s="66"/>
      <c r="KO242" s="66"/>
      <c r="KP242" s="66"/>
      <c r="KQ242" s="66"/>
      <c r="KR242" s="66"/>
      <c r="KS242" s="66"/>
      <c r="KT242" s="66"/>
      <c r="KU242" s="66"/>
      <c r="KV242" s="66"/>
      <c r="KW242" s="66"/>
      <c r="KX242" s="66"/>
      <c r="KY242" s="66"/>
      <c r="KZ242" s="66"/>
      <c r="LA242" s="66"/>
      <c r="LB242" s="66"/>
      <c r="LC242" s="66"/>
      <c r="LD242" s="66"/>
      <c r="LE242" s="66"/>
      <c r="LF242" s="66"/>
      <c r="LG242" s="66"/>
      <c r="LH242" s="66"/>
      <c r="LI242" s="66"/>
      <c r="LJ242" s="66"/>
      <c r="LK242" s="66"/>
      <c r="LL242" s="66"/>
      <c r="LM242" s="66"/>
      <c r="LN242" s="66"/>
      <c r="LO242" s="66"/>
      <c r="LP242" s="66"/>
      <c r="LQ242" s="66"/>
      <c r="LR242" s="66"/>
      <c r="LS242" s="66"/>
      <c r="LT242" s="66"/>
      <c r="LU242" s="66"/>
      <c r="LV242" s="66"/>
      <c r="LW242" s="66"/>
      <c r="LX242" s="66"/>
      <c r="LY242" s="66"/>
      <c r="LZ242" s="66"/>
      <c r="MA242" s="66"/>
      <c r="MB242" s="66"/>
      <c r="MC242" s="66"/>
      <c r="MD242" s="66"/>
      <c r="ME242" s="66"/>
      <c r="MF242" s="66"/>
      <c r="MG242" s="66"/>
      <c r="MH242" s="66"/>
      <c r="MI242" s="66"/>
      <c r="MJ242" s="66"/>
      <c r="MK242" s="66"/>
      <c r="ML242" s="66"/>
      <c r="MM242" s="66"/>
      <c r="MN242" s="66"/>
      <c r="MO242" s="66"/>
      <c r="MP242" s="66"/>
      <c r="MQ242" s="66"/>
      <c r="MR242" s="66"/>
      <c r="MS242" s="66"/>
      <c r="MT242" s="66"/>
      <c r="MU242" s="66"/>
      <c r="MV242" s="66"/>
      <c r="MW242" s="66"/>
      <c r="MX242" s="66"/>
      <c r="MY242" s="66"/>
      <c r="MZ242" s="66"/>
      <c r="NA242" s="66"/>
      <c r="NB242" s="66"/>
      <c r="NC242" s="66"/>
      <c r="ND242" s="66"/>
      <c r="NE242" s="66"/>
      <c r="NF242" s="66"/>
      <c r="NG242" s="66"/>
      <c r="NH242" s="66"/>
      <c r="NI242" s="66"/>
      <c r="NJ242" s="66"/>
      <c r="NK242" s="66"/>
      <c r="NL242" s="66"/>
      <c r="NM242" s="66"/>
      <c r="NN242" s="66"/>
      <c r="NO242" s="66"/>
      <c r="NP242" s="66"/>
      <c r="NQ242" s="66"/>
      <c r="NR242" s="66"/>
      <c r="NS242" s="66"/>
      <c r="NT242" s="66"/>
      <c r="NU242" s="66"/>
      <c r="NV242" s="66"/>
      <c r="NW242" s="66"/>
      <c r="NX242" s="66"/>
      <c r="NY242" s="66"/>
      <c r="NZ242" s="66"/>
      <c r="OA242" s="66"/>
      <c r="OB242" s="66"/>
      <c r="OC242" s="66"/>
      <c r="OD242" s="66"/>
      <c r="OE242" s="66"/>
      <c r="OF242" s="66"/>
      <c r="OG242" s="66"/>
      <c r="OH242" s="66"/>
      <c r="OI242" s="66"/>
      <c r="OJ242" s="66"/>
      <c r="OK242" s="66"/>
      <c r="OL242" s="66"/>
      <c r="OM242" s="66"/>
      <c r="ON242" s="66"/>
      <c r="OO242" s="66"/>
      <c r="OP242" s="66"/>
      <c r="OQ242" s="66"/>
      <c r="OR242" s="66"/>
      <c r="OS242" s="66"/>
      <c r="OT242" s="66"/>
      <c r="OU242" s="66"/>
      <c r="OV242" s="66"/>
      <c r="OW242" s="66"/>
      <c r="OX242" s="66"/>
      <c r="OY242" s="66"/>
      <c r="OZ242" s="66"/>
      <c r="PA242" s="66"/>
      <c r="PB242" s="66"/>
      <c r="PC242" s="66"/>
      <c r="PD242" s="66"/>
      <c r="PE242" s="66"/>
      <c r="PF242" s="66"/>
      <c r="PG242" s="66"/>
      <c r="PH242" s="66"/>
      <c r="PI242" s="66"/>
      <c r="PJ242" s="66"/>
      <c r="PK242" s="66"/>
      <c r="PL242" s="66"/>
      <c r="PM242" s="66"/>
      <c r="PN242" s="66"/>
      <c r="PO242" s="66"/>
      <c r="PP242" s="66"/>
      <c r="PQ242" s="66"/>
      <c r="PR242" s="66"/>
      <c r="PS242" s="66"/>
      <c r="PT242" s="66"/>
      <c r="PU242" s="66"/>
      <c r="PV242" s="66"/>
      <c r="PW242" s="66"/>
      <c r="PX242" s="66"/>
      <c r="PY242" s="66"/>
      <c r="PZ242" s="66"/>
      <c r="QA242" s="66"/>
      <c r="QB242" s="66"/>
      <c r="QC242" s="66"/>
      <c r="QD242" s="66"/>
      <c r="QE242" s="66"/>
      <c r="QF242" s="66"/>
      <c r="QG242" s="66"/>
      <c r="QH242" s="66"/>
      <c r="QI242" s="66"/>
      <c r="QJ242" s="66"/>
      <c r="QK242" s="66"/>
      <c r="QL242" s="66"/>
      <c r="QM242" s="66"/>
      <c r="QN242" s="66"/>
      <c r="QO242" s="66"/>
      <c r="QP242" s="66"/>
      <c r="QQ242" s="66"/>
      <c r="QR242" s="66"/>
      <c r="QS242" s="66"/>
      <c r="QT242" s="66"/>
      <c r="QU242" s="66"/>
      <c r="QV242" s="66"/>
      <c r="QW242" s="66"/>
      <c r="QX242" s="66"/>
      <c r="QY242" s="66"/>
      <c r="QZ242" s="66"/>
      <c r="RA242" s="66"/>
      <c r="RB242" s="66"/>
      <c r="RC242" s="66"/>
      <c r="RD242" s="4"/>
    </row>
    <row r="243" spans="1:472" x14ac:dyDescent="0.25">
      <c r="I243" s="66"/>
      <c r="J243" s="66"/>
      <c r="K243" s="66"/>
      <c r="L243" s="66"/>
      <c r="M243" s="66"/>
      <c r="N243" s="66"/>
      <c r="O243" s="66"/>
      <c r="P243" s="66"/>
      <c r="Q243" s="66"/>
      <c r="R243" s="66"/>
      <c r="S243" s="66"/>
      <c r="T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6"/>
      <c r="DI243" s="66"/>
      <c r="DJ243" s="66"/>
      <c r="DK243" s="66"/>
      <c r="DL243" s="66"/>
      <c r="DM243" s="66"/>
      <c r="DN243" s="66"/>
      <c r="DO243" s="66"/>
      <c r="DP243" s="66"/>
      <c r="DQ243" s="66"/>
      <c r="DR243" s="66"/>
      <c r="DS243" s="66"/>
      <c r="DT243" s="66"/>
      <c r="DU243" s="66"/>
      <c r="DV243" s="66"/>
      <c r="DW243" s="66"/>
      <c r="DX243" s="66"/>
      <c r="DY243" s="66"/>
      <c r="DZ243" s="66"/>
      <c r="EA243" s="66"/>
      <c r="EB243" s="66"/>
      <c r="EC243" s="66"/>
      <c r="ED243" s="66"/>
      <c r="EE243" s="66"/>
      <c r="EF243" s="66"/>
      <c r="EG243" s="66"/>
      <c r="EH243" s="66"/>
      <c r="EI243" s="66"/>
      <c r="EJ243" s="66"/>
      <c r="EK243" s="66"/>
      <c r="EL243" s="66"/>
      <c r="EM243" s="66"/>
      <c r="EN243" s="66"/>
      <c r="EO243" s="66"/>
      <c r="EP243" s="66"/>
      <c r="EQ243" s="66"/>
      <c r="ER243" s="66"/>
      <c r="ES243" s="66"/>
      <c r="ET243" s="66"/>
      <c r="EU243" s="66"/>
      <c r="EV243" s="66"/>
      <c r="EW243" s="66"/>
      <c r="EX243" s="66"/>
      <c r="EY243" s="66"/>
      <c r="EZ243" s="66"/>
      <c r="FA243" s="66"/>
      <c r="FB243" s="66"/>
      <c r="FC243" s="66"/>
      <c r="FD243" s="66"/>
      <c r="FE243" s="66"/>
      <c r="FF243" s="66"/>
      <c r="FG243" s="66"/>
      <c r="FH243" s="66"/>
      <c r="FI243" s="66"/>
      <c r="FJ243" s="66"/>
      <c r="FK243" s="66"/>
      <c r="FL243" s="66"/>
      <c r="FM243" s="66"/>
      <c r="FN243" s="66"/>
      <c r="FO243" s="66"/>
      <c r="FP243" s="66"/>
      <c r="FQ243" s="66"/>
      <c r="FR243" s="66"/>
      <c r="FS243" s="66"/>
      <c r="FT243" s="66"/>
      <c r="FU243" s="66"/>
      <c r="FV243" s="66"/>
      <c r="FW243" s="66"/>
      <c r="FX243" s="66"/>
      <c r="FY243" s="66"/>
      <c r="FZ243" s="66"/>
      <c r="GA243" s="66"/>
      <c r="GB243" s="66"/>
      <c r="GC243" s="66"/>
      <c r="GD243" s="66"/>
      <c r="GE243" s="66"/>
      <c r="GF243" s="66"/>
      <c r="GG243" s="66"/>
      <c r="GH243" s="66"/>
      <c r="GI243" s="66"/>
      <c r="GJ243" s="66"/>
      <c r="GK243" s="66"/>
      <c r="GL243" s="66"/>
      <c r="GM243" s="66"/>
      <c r="GN243" s="66"/>
      <c r="GO243" s="66"/>
      <c r="GP243" s="66"/>
      <c r="GQ243" s="66"/>
      <c r="GR243" s="66"/>
      <c r="GS243" s="66"/>
      <c r="GT243" s="66"/>
      <c r="GU243" s="66"/>
      <c r="GV243" s="66"/>
      <c r="GW243" s="66"/>
      <c r="GX243" s="66"/>
      <c r="GY243" s="66"/>
      <c r="GZ243" s="66"/>
      <c r="HA243" s="66"/>
      <c r="HB243" s="66"/>
      <c r="HC243" s="66"/>
      <c r="HD243" s="66"/>
      <c r="HE243" s="66"/>
      <c r="HF243" s="66"/>
      <c r="HG243" s="66"/>
      <c r="HH243" s="66"/>
      <c r="HI243" s="66"/>
      <c r="HJ243" s="66"/>
      <c r="HK243" s="66"/>
      <c r="HL243" s="66"/>
      <c r="HM243" s="66"/>
      <c r="HN243" s="66"/>
      <c r="HO243" s="66"/>
      <c r="HP243" s="66"/>
      <c r="HQ243" s="66"/>
      <c r="HR243" s="66"/>
      <c r="HS243" s="66"/>
      <c r="HT243" s="66"/>
      <c r="HU243" s="66"/>
      <c r="HV243" s="66"/>
      <c r="HW243" s="66"/>
      <c r="HX243" s="66"/>
      <c r="HY243" s="66"/>
      <c r="HZ243" s="66"/>
      <c r="IA243" s="66"/>
      <c r="IB243" s="66"/>
      <c r="IC243" s="66"/>
      <c r="ID243" s="66"/>
      <c r="IE243" s="66"/>
      <c r="IF243" s="66"/>
      <c r="IG243" s="66"/>
      <c r="IH243" s="66"/>
      <c r="II243" s="66"/>
      <c r="IJ243" s="66"/>
      <c r="IK243" s="66"/>
      <c r="IL243" s="66"/>
      <c r="IM243" s="66"/>
      <c r="IN243" s="66"/>
      <c r="IO243" s="66"/>
      <c r="IP243" s="66"/>
      <c r="IQ243" s="66"/>
      <c r="IR243" s="66"/>
      <c r="IS243" s="66"/>
      <c r="IT243" s="66"/>
      <c r="IU243" s="66"/>
      <c r="IV243" s="66"/>
      <c r="IW243" s="66"/>
      <c r="IX243" s="66"/>
      <c r="IY243" s="66"/>
      <c r="IZ243" s="66"/>
      <c r="JA243" s="66"/>
      <c r="JB243" s="66"/>
      <c r="JC243" s="66"/>
      <c r="JD243" s="66"/>
      <c r="JE243" s="66"/>
      <c r="JF243" s="66"/>
      <c r="JG243" s="66"/>
      <c r="JH243" s="66"/>
      <c r="JI243" s="66"/>
      <c r="JJ243" s="66"/>
      <c r="JK243" s="66"/>
      <c r="JL243" s="66"/>
      <c r="JM243" s="66"/>
      <c r="JN243" s="66"/>
      <c r="JO243" s="66"/>
      <c r="JP243" s="66"/>
      <c r="JQ243" s="66"/>
      <c r="JR243" s="66"/>
      <c r="JS243" s="66"/>
      <c r="JT243" s="66"/>
      <c r="JU243" s="66"/>
      <c r="JV243" s="66"/>
      <c r="JW243" s="66"/>
      <c r="JX243" s="66"/>
      <c r="JY243" s="66"/>
      <c r="JZ243" s="66"/>
      <c r="KA243" s="66"/>
      <c r="KB243" s="66"/>
      <c r="KC243" s="66"/>
      <c r="KD243" s="66"/>
      <c r="KE243" s="66"/>
      <c r="KF243" s="66"/>
      <c r="KG243" s="66"/>
      <c r="KH243" s="66"/>
      <c r="KI243" s="66"/>
      <c r="KJ243" s="66"/>
      <c r="KK243" s="66"/>
      <c r="KL243" s="66"/>
      <c r="KM243" s="66"/>
      <c r="KN243" s="66"/>
      <c r="KO243" s="66"/>
      <c r="KP243" s="66"/>
      <c r="KQ243" s="66"/>
      <c r="KR243" s="66"/>
      <c r="KS243" s="66"/>
      <c r="KT243" s="66"/>
      <c r="KU243" s="66"/>
      <c r="KV243" s="66"/>
      <c r="KW243" s="66"/>
      <c r="KX243" s="66"/>
      <c r="KY243" s="66"/>
      <c r="KZ243" s="66"/>
      <c r="LA243" s="66"/>
      <c r="LB243" s="66"/>
      <c r="LC243" s="66"/>
      <c r="LD243" s="66"/>
      <c r="LE243" s="66"/>
      <c r="LF243" s="66"/>
      <c r="LG243" s="66"/>
      <c r="LH243" s="66"/>
      <c r="LI243" s="66"/>
      <c r="LJ243" s="66"/>
      <c r="LK243" s="66"/>
      <c r="LL243" s="66"/>
      <c r="LM243" s="66"/>
      <c r="LN243" s="66"/>
      <c r="LO243" s="66"/>
      <c r="LP243" s="66"/>
      <c r="LQ243" s="66"/>
      <c r="LR243" s="66"/>
      <c r="LS243" s="66"/>
      <c r="LT243" s="66"/>
      <c r="LU243" s="66"/>
      <c r="LV243" s="66"/>
      <c r="LW243" s="66"/>
      <c r="LX243" s="66"/>
      <c r="LY243" s="66"/>
      <c r="LZ243" s="66"/>
      <c r="MA243" s="66"/>
      <c r="MB243" s="66"/>
      <c r="MC243" s="66"/>
      <c r="MD243" s="66"/>
      <c r="ME243" s="66"/>
      <c r="MF243" s="66"/>
      <c r="MG243" s="66"/>
      <c r="MH243" s="66"/>
      <c r="MI243" s="66"/>
      <c r="MJ243" s="66"/>
      <c r="MK243" s="66"/>
      <c r="ML243" s="66"/>
      <c r="MM243" s="66"/>
      <c r="MN243" s="66"/>
      <c r="MO243" s="66"/>
      <c r="MP243" s="66"/>
      <c r="MQ243" s="66"/>
      <c r="MR243" s="66"/>
      <c r="MS243" s="66"/>
      <c r="MT243" s="66"/>
      <c r="MU243" s="66"/>
      <c r="MV243" s="66"/>
      <c r="MW243" s="66"/>
      <c r="MX243" s="66"/>
      <c r="MY243" s="66"/>
      <c r="MZ243" s="66"/>
      <c r="NA243" s="66"/>
      <c r="NB243" s="66"/>
      <c r="NC243" s="66"/>
      <c r="ND243" s="66"/>
      <c r="NE243" s="66"/>
      <c r="NF243" s="66"/>
      <c r="NG243" s="66"/>
      <c r="NH243" s="66"/>
      <c r="NI243" s="66"/>
      <c r="NJ243" s="66"/>
      <c r="NK243" s="66"/>
      <c r="NL243" s="66"/>
      <c r="NM243" s="66"/>
      <c r="NN243" s="66"/>
      <c r="NO243" s="66"/>
      <c r="NP243" s="66"/>
      <c r="NQ243" s="66"/>
      <c r="NR243" s="66"/>
      <c r="NS243" s="66"/>
      <c r="NT243" s="66"/>
      <c r="NU243" s="66"/>
      <c r="NV243" s="66"/>
      <c r="NW243" s="66"/>
      <c r="NX243" s="66"/>
      <c r="NY243" s="66"/>
      <c r="NZ243" s="66"/>
      <c r="OA243" s="66"/>
      <c r="OB243" s="66"/>
      <c r="OC243" s="66"/>
      <c r="OD243" s="66"/>
      <c r="OE243" s="66"/>
      <c r="OF243" s="66"/>
      <c r="OG243" s="66"/>
      <c r="OH243" s="66"/>
      <c r="OI243" s="66"/>
      <c r="OJ243" s="66"/>
      <c r="OK243" s="66"/>
      <c r="OL243" s="66"/>
      <c r="OM243" s="66"/>
      <c r="ON243" s="66"/>
      <c r="OO243" s="66"/>
      <c r="OP243" s="66"/>
      <c r="OQ243" s="66"/>
      <c r="OR243" s="66"/>
      <c r="OS243" s="66"/>
      <c r="OT243" s="66"/>
      <c r="OU243" s="66"/>
      <c r="OV243" s="66"/>
      <c r="OW243" s="66"/>
      <c r="OX243" s="66"/>
      <c r="OY243" s="66"/>
      <c r="OZ243" s="66"/>
      <c r="PA243" s="66"/>
      <c r="PB243" s="66"/>
      <c r="PC243" s="66"/>
      <c r="PD243" s="66"/>
      <c r="PE243" s="66"/>
      <c r="PF243" s="66"/>
      <c r="PG243" s="66"/>
      <c r="PH243" s="66"/>
      <c r="PI243" s="66"/>
      <c r="PJ243" s="66"/>
      <c r="PK243" s="66"/>
      <c r="PL243" s="66"/>
      <c r="PM243" s="66"/>
      <c r="PN243" s="66"/>
      <c r="PO243" s="66"/>
      <c r="PP243" s="66"/>
      <c r="PQ243" s="66"/>
      <c r="PR243" s="66"/>
      <c r="PS243" s="66"/>
      <c r="PT243" s="66"/>
      <c r="PU243" s="66"/>
      <c r="PV243" s="66"/>
      <c r="PW243" s="66"/>
      <c r="PX243" s="66"/>
      <c r="PY243" s="66"/>
      <c r="PZ243" s="66"/>
      <c r="QA243" s="66"/>
      <c r="QB243" s="66"/>
      <c r="QC243" s="66"/>
      <c r="QD243" s="66"/>
      <c r="QE243" s="66"/>
      <c r="QF243" s="66"/>
      <c r="QG243" s="66"/>
      <c r="QH243" s="66"/>
      <c r="QI243" s="66"/>
      <c r="QJ243" s="66"/>
      <c r="QK243" s="66"/>
      <c r="QL243" s="66"/>
      <c r="QM243" s="66"/>
      <c r="QN243" s="66"/>
      <c r="QO243" s="66"/>
      <c r="QP243" s="66"/>
      <c r="QQ243" s="66"/>
      <c r="QR243" s="66"/>
      <c r="QS243" s="66"/>
      <c r="QT243" s="66"/>
      <c r="QU243" s="66"/>
      <c r="QV243" s="66"/>
      <c r="QW243" s="66"/>
      <c r="QX243" s="66"/>
      <c r="QY243" s="66"/>
      <c r="QZ243" s="66"/>
      <c r="RA243" s="66"/>
      <c r="RB243" s="66"/>
      <c r="RC243" s="66"/>
      <c r="RD243" s="4"/>
    </row>
    <row r="244" spans="1:472" x14ac:dyDescent="0.25">
      <c r="I244" s="66"/>
      <c r="J244" s="66"/>
      <c r="K244" s="66"/>
      <c r="L244" s="66"/>
      <c r="M244" s="66"/>
      <c r="N244" s="66"/>
      <c r="O244" s="66"/>
      <c r="P244" s="66"/>
      <c r="Q244" s="66"/>
      <c r="R244" s="66"/>
      <c r="S244" s="66"/>
      <c r="T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c r="DA244" s="66"/>
      <c r="DB244" s="66"/>
      <c r="DC244" s="66"/>
      <c r="DD244" s="66"/>
      <c r="DE244" s="66"/>
      <c r="DF244" s="66"/>
      <c r="DG244" s="66"/>
      <c r="DH244" s="66"/>
      <c r="DI244" s="66"/>
      <c r="DJ244" s="66"/>
      <c r="DK244" s="66"/>
      <c r="DL244" s="66"/>
      <c r="DM244" s="66"/>
      <c r="DN244" s="66"/>
      <c r="DO244" s="66"/>
      <c r="DP244" s="66"/>
      <c r="DQ244" s="66"/>
      <c r="DR244" s="66"/>
      <c r="DS244" s="66"/>
      <c r="DT244" s="66"/>
      <c r="DU244" s="66"/>
      <c r="DV244" s="66"/>
      <c r="DW244" s="66"/>
      <c r="DX244" s="66"/>
      <c r="DY244" s="66"/>
      <c r="DZ244" s="66"/>
      <c r="EA244" s="66"/>
      <c r="EB244" s="66"/>
      <c r="EC244" s="66"/>
      <c r="ED244" s="66"/>
      <c r="EE244" s="66"/>
      <c r="EF244" s="66"/>
      <c r="EG244" s="66"/>
      <c r="EH244" s="66"/>
      <c r="EI244" s="66"/>
      <c r="EJ244" s="66"/>
      <c r="EK244" s="66"/>
      <c r="EL244" s="66"/>
      <c r="EM244" s="66"/>
      <c r="EN244" s="66"/>
      <c r="EO244" s="66"/>
      <c r="EP244" s="66"/>
      <c r="EQ244" s="66"/>
      <c r="ER244" s="66"/>
      <c r="ES244" s="66"/>
      <c r="ET244" s="66"/>
      <c r="EU244" s="66"/>
      <c r="EV244" s="66"/>
      <c r="EW244" s="66"/>
      <c r="EX244" s="66"/>
      <c r="EY244" s="66"/>
      <c r="EZ244" s="66"/>
      <c r="FA244" s="66"/>
      <c r="FB244" s="66"/>
      <c r="FC244" s="66"/>
      <c r="FD244" s="66"/>
      <c r="FE244" s="66"/>
      <c r="FF244" s="66"/>
      <c r="FG244" s="66"/>
      <c r="FH244" s="66"/>
      <c r="FI244" s="66"/>
      <c r="FJ244" s="66"/>
      <c r="FK244" s="66"/>
      <c r="FL244" s="66"/>
      <c r="FM244" s="66"/>
      <c r="FN244" s="66"/>
      <c r="FO244" s="66"/>
      <c r="FP244" s="66"/>
      <c r="FQ244" s="66"/>
      <c r="FR244" s="66"/>
      <c r="FS244" s="66"/>
      <c r="FT244" s="66"/>
      <c r="FU244" s="66"/>
      <c r="FV244" s="66"/>
      <c r="FW244" s="66"/>
      <c r="FX244" s="66"/>
      <c r="FY244" s="66"/>
      <c r="FZ244" s="66"/>
      <c r="GA244" s="66"/>
      <c r="GB244" s="66"/>
      <c r="GC244" s="66"/>
      <c r="GD244" s="66"/>
      <c r="GE244" s="66"/>
      <c r="GF244" s="66"/>
      <c r="GG244" s="66"/>
      <c r="GH244" s="66"/>
      <c r="GI244" s="66"/>
      <c r="GJ244" s="66"/>
      <c r="GK244" s="66"/>
      <c r="GL244" s="66"/>
      <c r="GM244" s="66"/>
      <c r="GN244" s="66"/>
      <c r="GO244" s="66"/>
      <c r="GP244" s="66"/>
      <c r="GQ244" s="66"/>
      <c r="GR244" s="66"/>
      <c r="GS244" s="66"/>
      <c r="GT244" s="66"/>
      <c r="GU244" s="66"/>
      <c r="GV244" s="66"/>
      <c r="GW244" s="66"/>
      <c r="GX244" s="66"/>
      <c r="GY244" s="66"/>
      <c r="GZ244" s="66"/>
      <c r="HA244" s="66"/>
      <c r="HB244" s="66"/>
      <c r="HC244" s="66"/>
      <c r="HD244" s="66"/>
      <c r="HE244" s="66"/>
      <c r="HF244" s="66"/>
      <c r="HG244" s="66"/>
      <c r="HH244" s="66"/>
      <c r="HI244" s="66"/>
      <c r="HJ244" s="66"/>
      <c r="HK244" s="66"/>
      <c r="HL244" s="66"/>
      <c r="HM244" s="66"/>
      <c r="HN244" s="66"/>
      <c r="HO244" s="66"/>
      <c r="HP244" s="66"/>
      <c r="HQ244" s="66"/>
      <c r="HR244" s="66"/>
      <c r="HS244" s="66"/>
      <c r="HT244" s="66"/>
      <c r="HU244" s="66"/>
      <c r="HV244" s="66"/>
      <c r="HW244" s="66"/>
      <c r="HX244" s="66"/>
      <c r="HY244" s="66"/>
      <c r="HZ244" s="66"/>
      <c r="IA244" s="66"/>
      <c r="IB244" s="66"/>
      <c r="IC244" s="66"/>
      <c r="ID244" s="66"/>
      <c r="IE244" s="66"/>
      <c r="IF244" s="66"/>
      <c r="IG244" s="66"/>
      <c r="IH244" s="66"/>
      <c r="II244" s="66"/>
      <c r="IJ244" s="66"/>
      <c r="IK244" s="66"/>
      <c r="IL244" s="66"/>
      <c r="IM244" s="66"/>
      <c r="IN244" s="66"/>
      <c r="IO244" s="66"/>
      <c r="IP244" s="66"/>
      <c r="IQ244" s="66"/>
      <c r="IR244" s="66"/>
      <c r="IS244" s="66"/>
      <c r="IT244" s="66"/>
      <c r="IU244" s="66"/>
      <c r="IV244" s="66"/>
      <c r="IW244" s="66"/>
      <c r="IX244" s="66"/>
      <c r="IY244" s="66"/>
      <c r="IZ244" s="66"/>
      <c r="JA244" s="66"/>
      <c r="JB244" s="66"/>
      <c r="JC244" s="66"/>
      <c r="JD244" s="66"/>
      <c r="JE244" s="66"/>
      <c r="JF244" s="66"/>
      <c r="JG244" s="66"/>
      <c r="JH244" s="66"/>
      <c r="JI244" s="66"/>
      <c r="JJ244" s="66"/>
      <c r="JK244" s="66"/>
      <c r="JL244" s="66"/>
      <c r="JM244" s="66"/>
      <c r="JN244" s="66"/>
      <c r="JO244" s="66"/>
      <c r="JP244" s="66"/>
      <c r="JQ244" s="66"/>
      <c r="JR244" s="66"/>
      <c r="JS244" s="66"/>
      <c r="JT244" s="66"/>
      <c r="JU244" s="66"/>
      <c r="JV244" s="66"/>
      <c r="JW244" s="66"/>
      <c r="JX244" s="66"/>
      <c r="JY244" s="66"/>
      <c r="JZ244" s="66"/>
      <c r="KA244" s="66"/>
      <c r="KB244" s="66"/>
      <c r="KC244" s="66"/>
      <c r="KD244" s="66"/>
      <c r="KE244" s="66"/>
      <c r="KF244" s="66"/>
      <c r="KG244" s="66"/>
      <c r="KH244" s="66"/>
      <c r="KI244" s="66"/>
      <c r="KJ244" s="66"/>
      <c r="KK244" s="66"/>
      <c r="KL244" s="66"/>
      <c r="KM244" s="66"/>
      <c r="KN244" s="66"/>
      <c r="KO244" s="66"/>
      <c r="KP244" s="66"/>
      <c r="KQ244" s="66"/>
      <c r="KR244" s="66"/>
      <c r="KS244" s="66"/>
      <c r="KT244" s="66"/>
      <c r="KU244" s="66"/>
      <c r="KV244" s="66"/>
      <c r="KW244" s="66"/>
      <c r="KX244" s="66"/>
      <c r="KY244" s="66"/>
      <c r="KZ244" s="66"/>
      <c r="LA244" s="66"/>
      <c r="LB244" s="66"/>
      <c r="LC244" s="66"/>
      <c r="LD244" s="66"/>
      <c r="LE244" s="66"/>
      <c r="LF244" s="66"/>
      <c r="LG244" s="66"/>
      <c r="LH244" s="66"/>
      <c r="LI244" s="66"/>
      <c r="LJ244" s="66"/>
      <c r="LK244" s="66"/>
      <c r="LL244" s="66"/>
      <c r="LM244" s="66"/>
      <c r="LN244" s="66"/>
      <c r="LO244" s="66"/>
      <c r="LP244" s="66"/>
      <c r="LQ244" s="66"/>
      <c r="LR244" s="66"/>
      <c r="LS244" s="66"/>
      <c r="LT244" s="66"/>
      <c r="LU244" s="66"/>
      <c r="LV244" s="66"/>
      <c r="LW244" s="66"/>
      <c r="LX244" s="66"/>
      <c r="LY244" s="66"/>
      <c r="LZ244" s="66"/>
      <c r="MA244" s="66"/>
      <c r="MB244" s="66"/>
      <c r="MC244" s="66"/>
      <c r="MD244" s="66"/>
      <c r="ME244" s="66"/>
      <c r="MF244" s="66"/>
      <c r="MG244" s="66"/>
      <c r="MH244" s="66"/>
      <c r="MI244" s="66"/>
      <c r="MJ244" s="66"/>
      <c r="MK244" s="66"/>
      <c r="ML244" s="66"/>
      <c r="MM244" s="66"/>
      <c r="MN244" s="66"/>
      <c r="MO244" s="66"/>
      <c r="MP244" s="66"/>
      <c r="MQ244" s="66"/>
      <c r="MR244" s="66"/>
      <c r="MS244" s="66"/>
      <c r="MT244" s="66"/>
      <c r="MU244" s="66"/>
      <c r="MV244" s="66"/>
      <c r="MW244" s="66"/>
      <c r="MX244" s="66"/>
      <c r="MY244" s="66"/>
      <c r="MZ244" s="66"/>
      <c r="NA244" s="66"/>
      <c r="NB244" s="66"/>
      <c r="NC244" s="66"/>
      <c r="ND244" s="66"/>
      <c r="NE244" s="66"/>
      <c r="NF244" s="66"/>
      <c r="NG244" s="66"/>
      <c r="NH244" s="66"/>
      <c r="NI244" s="66"/>
      <c r="NJ244" s="66"/>
      <c r="NK244" s="66"/>
      <c r="NL244" s="66"/>
      <c r="NM244" s="66"/>
      <c r="NN244" s="66"/>
      <c r="NO244" s="66"/>
      <c r="NP244" s="66"/>
      <c r="NQ244" s="66"/>
      <c r="NR244" s="66"/>
      <c r="NS244" s="66"/>
      <c r="NT244" s="66"/>
      <c r="NU244" s="66"/>
      <c r="NV244" s="66"/>
      <c r="NW244" s="66"/>
      <c r="NX244" s="66"/>
      <c r="NY244" s="66"/>
      <c r="NZ244" s="66"/>
      <c r="OA244" s="66"/>
      <c r="OB244" s="66"/>
      <c r="OC244" s="66"/>
      <c r="OD244" s="66"/>
      <c r="OE244" s="66"/>
      <c r="OF244" s="66"/>
      <c r="OG244" s="66"/>
      <c r="OH244" s="66"/>
      <c r="OI244" s="66"/>
      <c r="OJ244" s="66"/>
      <c r="OK244" s="66"/>
      <c r="OL244" s="66"/>
      <c r="OM244" s="66"/>
      <c r="ON244" s="66"/>
      <c r="OO244" s="66"/>
      <c r="OP244" s="66"/>
      <c r="OQ244" s="66"/>
      <c r="OR244" s="66"/>
      <c r="OS244" s="66"/>
      <c r="OT244" s="66"/>
      <c r="OU244" s="66"/>
      <c r="OV244" s="66"/>
      <c r="OW244" s="66"/>
      <c r="OX244" s="66"/>
      <c r="OY244" s="66"/>
      <c r="OZ244" s="66"/>
      <c r="PA244" s="66"/>
      <c r="PB244" s="66"/>
      <c r="PC244" s="66"/>
      <c r="PD244" s="66"/>
      <c r="PE244" s="66"/>
      <c r="PF244" s="66"/>
      <c r="PG244" s="66"/>
      <c r="PH244" s="66"/>
      <c r="PI244" s="66"/>
      <c r="PJ244" s="66"/>
      <c r="PK244" s="66"/>
      <c r="PL244" s="66"/>
      <c r="PM244" s="66"/>
      <c r="PN244" s="66"/>
      <c r="PO244" s="66"/>
      <c r="PP244" s="66"/>
      <c r="PQ244" s="66"/>
      <c r="PR244" s="66"/>
      <c r="PS244" s="66"/>
      <c r="PT244" s="66"/>
      <c r="PU244" s="66"/>
      <c r="PV244" s="66"/>
      <c r="PW244" s="66"/>
      <c r="PX244" s="66"/>
      <c r="PY244" s="66"/>
      <c r="PZ244" s="66"/>
      <c r="QA244" s="66"/>
      <c r="QB244" s="66"/>
      <c r="QC244" s="66"/>
      <c r="QD244" s="66"/>
      <c r="QE244" s="66"/>
      <c r="QF244" s="66"/>
      <c r="QG244" s="66"/>
      <c r="QH244" s="66"/>
      <c r="QI244" s="66"/>
      <c r="QJ244" s="66"/>
      <c r="QK244" s="66"/>
      <c r="QL244" s="66"/>
      <c r="QM244" s="66"/>
      <c r="QN244" s="66"/>
      <c r="QO244" s="66"/>
      <c r="QP244" s="66"/>
      <c r="QQ244" s="66"/>
      <c r="QR244" s="66"/>
      <c r="QS244" s="66"/>
      <c r="QT244" s="66"/>
      <c r="QU244" s="66"/>
      <c r="QV244" s="66"/>
      <c r="QW244" s="66"/>
      <c r="QX244" s="66"/>
      <c r="QY244" s="66"/>
      <c r="QZ244" s="66"/>
      <c r="RA244" s="66"/>
      <c r="RB244" s="66"/>
      <c r="RC244" s="66"/>
      <c r="RD244" s="4"/>
    </row>
    <row r="245" spans="1:472" x14ac:dyDescent="0.25">
      <c r="I245" s="66"/>
      <c r="J245" s="66"/>
      <c r="K245" s="66"/>
      <c r="L245" s="66"/>
      <c r="M245" s="66"/>
      <c r="N245" s="66"/>
      <c r="O245" s="66"/>
      <c r="P245" s="66"/>
      <c r="Q245" s="66"/>
      <c r="R245" s="66"/>
      <c r="S245" s="66"/>
      <c r="T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6"/>
      <c r="DI245" s="66"/>
      <c r="DJ245" s="66"/>
      <c r="DK245" s="66"/>
      <c r="DL245" s="66"/>
      <c r="DM245" s="66"/>
      <c r="DN245" s="66"/>
      <c r="DO245" s="66"/>
      <c r="DP245" s="66"/>
      <c r="DQ245" s="66"/>
      <c r="DR245" s="66"/>
      <c r="DS245" s="66"/>
      <c r="DT245" s="66"/>
      <c r="DU245" s="66"/>
      <c r="DV245" s="66"/>
      <c r="DW245" s="66"/>
      <c r="DX245" s="66"/>
      <c r="DY245" s="66"/>
      <c r="DZ245" s="66"/>
      <c r="EA245" s="66"/>
      <c r="EB245" s="66"/>
      <c r="EC245" s="66"/>
      <c r="ED245" s="66"/>
      <c r="EE245" s="66"/>
      <c r="EF245" s="66"/>
      <c r="EG245" s="66"/>
      <c r="EH245" s="66"/>
      <c r="EI245" s="66"/>
      <c r="EJ245" s="66"/>
      <c r="EK245" s="66"/>
      <c r="EL245" s="66"/>
      <c r="EM245" s="66"/>
      <c r="EN245" s="66"/>
      <c r="EO245" s="66"/>
      <c r="EP245" s="66"/>
      <c r="EQ245" s="66"/>
      <c r="ER245" s="66"/>
      <c r="ES245" s="66"/>
      <c r="ET245" s="66"/>
      <c r="EU245" s="66"/>
      <c r="EV245" s="66"/>
      <c r="EW245" s="66"/>
      <c r="EX245" s="66"/>
      <c r="EY245" s="66"/>
      <c r="EZ245" s="66"/>
      <c r="FA245" s="66"/>
      <c r="FB245" s="66"/>
      <c r="FC245" s="66"/>
      <c r="FD245" s="66"/>
      <c r="FE245" s="66"/>
      <c r="FF245" s="66"/>
      <c r="FG245" s="66"/>
      <c r="FH245" s="66"/>
      <c r="FI245" s="66"/>
      <c r="FJ245" s="66"/>
      <c r="FK245" s="66"/>
      <c r="FL245" s="66"/>
      <c r="FM245" s="66"/>
      <c r="FN245" s="66"/>
      <c r="FO245" s="66"/>
      <c r="FP245" s="66"/>
      <c r="FQ245" s="66"/>
      <c r="FR245" s="66"/>
      <c r="FS245" s="66"/>
      <c r="FT245" s="66"/>
      <c r="FU245" s="66"/>
      <c r="FV245" s="66"/>
      <c r="FW245" s="66"/>
      <c r="FX245" s="66"/>
      <c r="FY245" s="66"/>
      <c r="FZ245" s="66"/>
      <c r="GA245" s="66"/>
      <c r="GB245" s="66"/>
      <c r="GC245" s="66"/>
      <c r="GD245" s="66"/>
      <c r="GE245" s="66"/>
      <c r="GF245" s="66"/>
      <c r="GG245" s="66"/>
      <c r="GH245" s="66"/>
      <c r="GI245" s="66"/>
      <c r="GJ245" s="66"/>
      <c r="GK245" s="66"/>
      <c r="GL245" s="66"/>
      <c r="GM245" s="66"/>
      <c r="GN245" s="66"/>
      <c r="GO245" s="66"/>
      <c r="GP245" s="66"/>
      <c r="GQ245" s="66"/>
      <c r="GR245" s="66"/>
      <c r="GS245" s="66"/>
      <c r="GT245" s="66"/>
      <c r="GU245" s="66"/>
      <c r="GV245" s="66"/>
      <c r="GW245" s="66"/>
      <c r="GX245" s="66"/>
      <c r="GY245" s="66"/>
      <c r="GZ245" s="66"/>
      <c r="HA245" s="66"/>
      <c r="HB245" s="66"/>
      <c r="HC245" s="66"/>
      <c r="HD245" s="66"/>
      <c r="HE245" s="66"/>
      <c r="HF245" s="66"/>
      <c r="HG245" s="66"/>
      <c r="HH245" s="66"/>
      <c r="HI245" s="66"/>
      <c r="HJ245" s="66"/>
      <c r="HK245" s="66"/>
      <c r="HL245" s="66"/>
      <c r="HM245" s="66"/>
      <c r="HN245" s="66"/>
      <c r="HO245" s="66"/>
      <c r="HP245" s="66"/>
      <c r="HQ245" s="66"/>
      <c r="HR245" s="66"/>
      <c r="HS245" s="66"/>
      <c r="HT245" s="66"/>
      <c r="HU245" s="66"/>
      <c r="HV245" s="66"/>
      <c r="HW245" s="66"/>
      <c r="HX245" s="66"/>
      <c r="HY245" s="66"/>
      <c r="HZ245" s="66"/>
      <c r="IA245" s="66"/>
      <c r="IB245" s="66"/>
      <c r="IC245" s="66"/>
      <c r="ID245" s="66"/>
      <c r="IE245" s="66"/>
      <c r="IF245" s="66"/>
      <c r="IG245" s="66"/>
      <c r="IH245" s="66"/>
      <c r="II245" s="66"/>
      <c r="IJ245" s="66"/>
      <c r="IK245" s="66"/>
      <c r="IL245" s="66"/>
      <c r="IM245" s="66"/>
      <c r="IN245" s="66"/>
      <c r="IO245" s="66"/>
      <c r="IP245" s="66"/>
      <c r="IQ245" s="66"/>
      <c r="IR245" s="66"/>
      <c r="IS245" s="66"/>
      <c r="IT245" s="66"/>
      <c r="IU245" s="66"/>
      <c r="IV245" s="66"/>
      <c r="IW245" s="66"/>
      <c r="IX245" s="66"/>
      <c r="IY245" s="66"/>
      <c r="IZ245" s="66"/>
      <c r="JA245" s="66"/>
      <c r="JB245" s="66"/>
      <c r="JC245" s="66"/>
      <c r="JD245" s="66"/>
      <c r="JE245" s="66"/>
      <c r="JF245" s="66"/>
      <c r="JG245" s="66"/>
      <c r="JH245" s="66"/>
      <c r="JI245" s="66"/>
      <c r="JJ245" s="66"/>
      <c r="JK245" s="66"/>
      <c r="JL245" s="66"/>
      <c r="JM245" s="66"/>
      <c r="JN245" s="66"/>
      <c r="JO245" s="66"/>
      <c r="JP245" s="66"/>
      <c r="JQ245" s="66"/>
      <c r="JR245" s="66"/>
      <c r="JS245" s="66"/>
      <c r="JT245" s="66"/>
      <c r="JU245" s="66"/>
      <c r="JV245" s="66"/>
      <c r="JW245" s="66"/>
      <c r="JX245" s="66"/>
      <c r="JY245" s="66"/>
      <c r="JZ245" s="66"/>
      <c r="KA245" s="66"/>
      <c r="KB245" s="66"/>
      <c r="KC245" s="66"/>
      <c r="KD245" s="66"/>
      <c r="KE245" s="66"/>
      <c r="KF245" s="66"/>
      <c r="KG245" s="66"/>
      <c r="KH245" s="66"/>
      <c r="KI245" s="66"/>
      <c r="KJ245" s="66"/>
      <c r="KK245" s="66"/>
      <c r="KL245" s="66"/>
      <c r="KM245" s="66"/>
      <c r="KN245" s="66"/>
      <c r="KO245" s="66"/>
      <c r="KP245" s="66"/>
      <c r="KQ245" s="66"/>
      <c r="KR245" s="66"/>
      <c r="KS245" s="66"/>
      <c r="KT245" s="66"/>
      <c r="KU245" s="66"/>
      <c r="KV245" s="66"/>
      <c r="KW245" s="66"/>
      <c r="KX245" s="66"/>
      <c r="KY245" s="66"/>
      <c r="KZ245" s="66"/>
      <c r="LA245" s="66"/>
      <c r="LB245" s="66"/>
      <c r="LC245" s="66"/>
      <c r="LD245" s="66"/>
      <c r="LE245" s="66"/>
      <c r="LF245" s="66"/>
      <c r="LG245" s="66"/>
      <c r="LH245" s="66"/>
      <c r="LI245" s="66"/>
      <c r="LJ245" s="66"/>
      <c r="LK245" s="66"/>
      <c r="LL245" s="66"/>
      <c r="LM245" s="66"/>
      <c r="LN245" s="66"/>
      <c r="LO245" s="66"/>
      <c r="LP245" s="66"/>
      <c r="LQ245" s="66"/>
      <c r="LR245" s="66"/>
      <c r="LS245" s="66"/>
      <c r="LT245" s="66"/>
      <c r="LU245" s="66"/>
      <c r="LV245" s="66"/>
      <c r="LW245" s="66"/>
      <c r="LX245" s="66"/>
      <c r="LY245" s="66"/>
      <c r="LZ245" s="66"/>
      <c r="MA245" s="66"/>
      <c r="MB245" s="66"/>
      <c r="MC245" s="66"/>
      <c r="MD245" s="66"/>
      <c r="ME245" s="66"/>
      <c r="MF245" s="66"/>
      <c r="MG245" s="66"/>
      <c r="MH245" s="66"/>
      <c r="MI245" s="66"/>
      <c r="MJ245" s="66"/>
      <c r="MK245" s="66"/>
      <c r="ML245" s="66"/>
      <c r="MM245" s="66"/>
      <c r="MN245" s="66"/>
      <c r="MO245" s="66"/>
      <c r="MP245" s="66"/>
      <c r="MQ245" s="66"/>
      <c r="MR245" s="66"/>
      <c r="MS245" s="66"/>
      <c r="MT245" s="66"/>
      <c r="MU245" s="66"/>
      <c r="MV245" s="66"/>
      <c r="MW245" s="66"/>
      <c r="MX245" s="66"/>
      <c r="MY245" s="66"/>
      <c r="MZ245" s="66"/>
      <c r="NA245" s="66"/>
      <c r="NB245" s="66"/>
      <c r="NC245" s="66"/>
      <c r="ND245" s="66"/>
      <c r="NE245" s="66"/>
      <c r="NF245" s="66"/>
      <c r="NG245" s="66"/>
      <c r="NH245" s="66"/>
      <c r="NI245" s="66"/>
      <c r="NJ245" s="66"/>
      <c r="NK245" s="66"/>
      <c r="NL245" s="66"/>
      <c r="NM245" s="66"/>
      <c r="NN245" s="66"/>
      <c r="NO245" s="66"/>
      <c r="NP245" s="66"/>
      <c r="NQ245" s="66"/>
      <c r="NR245" s="66"/>
      <c r="NS245" s="66"/>
      <c r="NT245" s="66"/>
      <c r="NU245" s="66"/>
      <c r="NV245" s="66"/>
      <c r="NW245" s="66"/>
      <c r="NX245" s="66"/>
      <c r="NY245" s="66"/>
      <c r="NZ245" s="66"/>
      <c r="OA245" s="66"/>
      <c r="OB245" s="66"/>
      <c r="OC245" s="66"/>
      <c r="OD245" s="66"/>
      <c r="OE245" s="66"/>
      <c r="OF245" s="66"/>
      <c r="OG245" s="66"/>
      <c r="OH245" s="66"/>
      <c r="OI245" s="66"/>
      <c r="OJ245" s="66"/>
      <c r="OK245" s="66"/>
      <c r="OL245" s="66"/>
      <c r="OM245" s="66"/>
      <c r="ON245" s="66"/>
      <c r="OO245" s="66"/>
      <c r="OP245" s="66"/>
      <c r="OQ245" s="66"/>
      <c r="OR245" s="66"/>
      <c r="OS245" s="66"/>
      <c r="OT245" s="66"/>
      <c r="OU245" s="66"/>
      <c r="OV245" s="66"/>
      <c r="OW245" s="66"/>
      <c r="OX245" s="66"/>
      <c r="OY245" s="66"/>
      <c r="OZ245" s="66"/>
      <c r="PA245" s="66"/>
      <c r="PB245" s="66"/>
      <c r="PC245" s="66"/>
      <c r="PD245" s="66"/>
      <c r="PE245" s="66"/>
      <c r="PF245" s="66"/>
      <c r="PG245" s="66"/>
      <c r="PH245" s="66"/>
      <c r="PI245" s="66"/>
      <c r="PJ245" s="66"/>
      <c r="PK245" s="66"/>
      <c r="PL245" s="66"/>
      <c r="PM245" s="66"/>
      <c r="PN245" s="66"/>
      <c r="PO245" s="66"/>
      <c r="PP245" s="66"/>
      <c r="PQ245" s="66"/>
      <c r="PR245" s="66"/>
      <c r="PS245" s="66"/>
      <c r="PT245" s="66"/>
      <c r="PU245" s="66"/>
      <c r="PV245" s="66"/>
      <c r="PW245" s="66"/>
      <c r="PX245" s="66"/>
      <c r="PY245" s="66"/>
      <c r="PZ245" s="66"/>
      <c r="QA245" s="66"/>
      <c r="QB245" s="66"/>
      <c r="QC245" s="66"/>
      <c r="QD245" s="66"/>
      <c r="QE245" s="66"/>
      <c r="QF245" s="66"/>
      <c r="QG245" s="66"/>
      <c r="QH245" s="66"/>
      <c r="QI245" s="66"/>
      <c r="QJ245" s="66"/>
      <c r="QK245" s="66"/>
      <c r="QL245" s="66"/>
      <c r="QM245" s="66"/>
      <c r="QN245" s="66"/>
      <c r="QO245" s="66"/>
      <c r="QP245" s="66"/>
      <c r="QQ245" s="66"/>
      <c r="QR245" s="66"/>
      <c r="QS245" s="66"/>
      <c r="QT245" s="66"/>
      <c r="QU245" s="66"/>
      <c r="QV245" s="66"/>
      <c r="QW245" s="66"/>
      <c r="QX245" s="66"/>
      <c r="QY245" s="66"/>
      <c r="QZ245" s="66"/>
      <c r="RA245" s="66"/>
      <c r="RB245" s="66"/>
      <c r="RC245" s="66"/>
      <c r="RD245" s="4"/>
    </row>
    <row r="246" spans="1:472" x14ac:dyDescent="0.25">
      <c r="I246" s="66"/>
      <c r="J246" s="66"/>
      <c r="K246" s="66"/>
      <c r="L246" s="66"/>
      <c r="M246" s="66"/>
      <c r="N246" s="66"/>
      <c r="O246" s="66"/>
      <c r="P246" s="66"/>
      <c r="Q246" s="66"/>
      <c r="R246" s="66"/>
      <c r="S246" s="66"/>
      <c r="T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c r="DA246" s="66"/>
      <c r="DB246" s="66"/>
      <c r="DC246" s="66"/>
      <c r="DD246" s="66"/>
      <c r="DE246" s="66"/>
      <c r="DF246" s="66"/>
      <c r="DG246" s="66"/>
      <c r="DH246" s="66"/>
      <c r="DI246" s="66"/>
      <c r="DJ246" s="66"/>
      <c r="DK246" s="66"/>
      <c r="DL246" s="66"/>
      <c r="DM246" s="66"/>
      <c r="DN246" s="66"/>
      <c r="DO246" s="66"/>
      <c r="DP246" s="66"/>
      <c r="DQ246" s="66"/>
      <c r="DR246" s="66"/>
      <c r="DS246" s="66"/>
      <c r="DT246" s="66"/>
      <c r="DU246" s="66"/>
      <c r="DV246" s="66"/>
      <c r="DW246" s="66"/>
      <c r="DX246" s="66"/>
      <c r="DY246" s="66"/>
      <c r="DZ246" s="66"/>
      <c r="EA246" s="66"/>
      <c r="EB246" s="66"/>
      <c r="EC246" s="66"/>
      <c r="ED246" s="66"/>
      <c r="EE246" s="66"/>
      <c r="EF246" s="66"/>
      <c r="EG246" s="66"/>
      <c r="EH246" s="66"/>
      <c r="EI246" s="66"/>
      <c r="EJ246" s="66"/>
      <c r="EK246" s="66"/>
      <c r="EL246" s="66"/>
      <c r="EM246" s="66"/>
      <c r="EN246" s="66"/>
      <c r="EO246" s="66"/>
      <c r="EP246" s="66"/>
      <c r="EQ246" s="66"/>
      <c r="ER246" s="66"/>
      <c r="ES246" s="66"/>
      <c r="ET246" s="66"/>
      <c r="EU246" s="66"/>
      <c r="EV246" s="66"/>
      <c r="EW246" s="66"/>
      <c r="EX246" s="66"/>
      <c r="EY246" s="66"/>
      <c r="EZ246" s="66"/>
      <c r="FA246" s="66"/>
      <c r="FB246" s="66"/>
      <c r="FC246" s="66"/>
      <c r="FD246" s="66"/>
      <c r="FE246" s="66"/>
      <c r="FF246" s="66"/>
      <c r="FG246" s="66"/>
      <c r="FH246" s="66"/>
      <c r="FI246" s="66"/>
      <c r="FJ246" s="66"/>
      <c r="FK246" s="66"/>
      <c r="FL246" s="66"/>
      <c r="FM246" s="66"/>
      <c r="FN246" s="66"/>
      <c r="FO246" s="66"/>
      <c r="FP246" s="66"/>
      <c r="FQ246" s="66"/>
      <c r="FR246" s="66"/>
      <c r="FS246" s="66"/>
      <c r="FT246" s="66"/>
      <c r="FU246" s="66"/>
      <c r="FV246" s="66"/>
      <c r="FW246" s="66"/>
      <c r="FX246" s="66"/>
      <c r="FY246" s="66"/>
      <c r="FZ246" s="66"/>
      <c r="GA246" s="66"/>
      <c r="GB246" s="66"/>
      <c r="GC246" s="66"/>
      <c r="GD246" s="66"/>
      <c r="GE246" s="66"/>
      <c r="GF246" s="66"/>
      <c r="GG246" s="66"/>
      <c r="GH246" s="66"/>
      <c r="GI246" s="66"/>
      <c r="GJ246" s="66"/>
      <c r="GK246" s="66"/>
      <c r="GL246" s="66"/>
      <c r="GM246" s="66"/>
      <c r="GN246" s="66"/>
      <c r="GO246" s="66"/>
      <c r="GP246" s="66"/>
      <c r="GQ246" s="66"/>
      <c r="GR246" s="66"/>
      <c r="GS246" s="66"/>
      <c r="GT246" s="66"/>
      <c r="GU246" s="66"/>
      <c r="GV246" s="66"/>
      <c r="GW246" s="66"/>
      <c r="GX246" s="66"/>
      <c r="GY246" s="66"/>
      <c r="GZ246" s="66"/>
      <c r="HA246" s="66"/>
      <c r="HB246" s="66"/>
      <c r="HC246" s="66"/>
      <c r="HD246" s="66"/>
      <c r="HE246" s="66"/>
      <c r="HF246" s="66"/>
      <c r="HG246" s="66"/>
      <c r="HH246" s="66"/>
      <c r="HI246" s="66"/>
      <c r="HJ246" s="66"/>
      <c r="HK246" s="66"/>
      <c r="HL246" s="66"/>
      <c r="HM246" s="66"/>
      <c r="HN246" s="66"/>
      <c r="HO246" s="66"/>
      <c r="HP246" s="66"/>
      <c r="HQ246" s="66"/>
      <c r="HR246" s="66"/>
      <c r="HS246" s="66"/>
      <c r="HT246" s="66"/>
      <c r="HU246" s="66"/>
      <c r="HV246" s="66"/>
      <c r="HW246" s="66"/>
      <c r="HX246" s="66"/>
      <c r="HY246" s="66"/>
      <c r="HZ246" s="66"/>
      <c r="IA246" s="66"/>
      <c r="IB246" s="66"/>
      <c r="IC246" s="66"/>
      <c r="ID246" s="66"/>
      <c r="IE246" s="66"/>
      <c r="IF246" s="66"/>
      <c r="IG246" s="66"/>
      <c r="IH246" s="66"/>
      <c r="II246" s="66"/>
      <c r="IJ246" s="66"/>
      <c r="IK246" s="66"/>
      <c r="IL246" s="66"/>
      <c r="IM246" s="66"/>
      <c r="IN246" s="66"/>
      <c r="IO246" s="66"/>
      <c r="IP246" s="66"/>
      <c r="IQ246" s="66"/>
      <c r="IR246" s="66"/>
      <c r="IS246" s="66"/>
      <c r="IT246" s="66"/>
      <c r="IU246" s="66"/>
      <c r="IV246" s="66"/>
      <c r="IW246" s="66"/>
      <c r="IX246" s="66"/>
      <c r="IY246" s="66"/>
      <c r="IZ246" s="66"/>
      <c r="JA246" s="66"/>
      <c r="JB246" s="66"/>
      <c r="JC246" s="66"/>
      <c r="JD246" s="66"/>
      <c r="JE246" s="66"/>
      <c r="JF246" s="66"/>
      <c r="JG246" s="66"/>
      <c r="JH246" s="66"/>
      <c r="JI246" s="66"/>
      <c r="JJ246" s="66"/>
      <c r="JK246" s="66"/>
      <c r="JL246" s="66"/>
      <c r="JM246" s="66"/>
      <c r="JN246" s="66"/>
      <c r="JO246" s="66"/>
      <c r="JP246" s="66"/>
      <c r="JQ246" s="66"/>
      <c r="JR246" s="66"/>
      <c r="JS246" s="66"/>
      <c r="JT246" s="66"/>
      <c r="JU246" s="66"/>
      <c r="JV246" s="66"/>
      <c r="JW246" s="66"/>
      <c r="JX246" s="66"/>
      <c r="JY246" s="66"/>
      <c r="JZ246" s="66"/>
      <c r="KA246" s="66"/>
      <c r="KB246" s="66"/>
      <c r="KC246" s="66"/>
      <c r="KD246" s="66"/>
      <c r="KE246" s="66"/>
      <c r="KF246" s="66"/>
      <c r="KG246" s="66"/>
      <c r="KH246" s="66"/>
      <c r="KI246" s="66"/>
      <c r="KJ246" s="66"/>
      <c r="KK246" s="66"/>
      <c r="KL246" s="66"/>
      <c r="KM246" s="66"/>
      <c r="KN246" s="66"/>
      <c r="KO246" s="66"/>
      <c r="KP246" s="66"/>
      <c r="KQ246" s="66"/>
      <c r="KR246" s="66"/>
      <c r="KS246" s="66"/>
      <c r="KT246" s="66"/>
      <c r="KU246" s="66"/>
      <c r="KV246" s="66"/>
      <c r="KW246" s="66"/>
      <c r="KX246" s="66"/>
      <c r="KY246" s="66"/>
      <c r="KZ246" s="66"/>
      <c r="LA246" s="66"/>
      <c r="LB246" s="66"/>
      <c r="LC246" s="66"/>
      <c r="LD246" s="66"/>
      <c r="LE246" s="66"/>
      <c r="LF246" s="66"/>
      <c r="LG246" s="66"/>
      <c r="LH246" s="66"/>
      <c r="LI246" s="66"/>
      <c r="LJ246" s="66"/>
      <c r="LK246" s="66"/>
      <c r="LL246" s="66"/>
      <c r="LM246" s="66"/>
      <c r="LN246" s="66"/>
      <c r="LO246" s="66"/>
      <c r="LP246" s="66"/>
      <c r="LQ246" s="66"/>
      <c r="LR246" s="66"/>
      <c r="LS246" s="66"/>
      <c r="LT246" s="66"/>
      <c r="LU246" s="66"/>
      <c r="LV246" s="66"/>
      <c r="LW246" s="66"/>
      <c r="LX246" s="66"/>
      <c r="LY246" s="66"/>
      <c r="LZ246" s="66"/>
      <c r="MA246" s="66"/>
      <c r="MB246" s="66"/>
      <c r="MC246" s="66"/>
      <c r="MD246" s="66"/>
      <c r="ME246" s="66"/>
      <c r="MF246" s="66"/>
      <c r="MG246" s="66"/>
      <c r="MH246" s="66"/>
      <c r="MI246" s="66"/>
      <c r="MJ246" s="66"/>
      <c r="MK246" s="66"/>
      <c r="ML246" s="66"/>
      <c r="MM246" s="66"/>
      <c r="MN246" s="66"/>
      <c r="MO246" s="66"/>
      <c r="MP246" s="66"/>
      <c r="MQ246" s="66"/>
      <c r="MR246" s="66"/>
      <c r="MS246" s="66"/>
      <c r="MT246" s="66"/>
      <c r="MU246" s="66"/>
      <c r="MV246" s="66"/>
      <c r="MW246" s="66"/>
      <c r="MX246" s="66"/>
      <c r="MY246" s="66"/>
      <c r="MZ246" s="66"/>
      <c r="NA246" s="66"/>
      <c r="NB246" s="66"/>
      <c r="NC246" s="66"/>
      <c r="ND246" s="66"/>
      <c r="NE246" s="66"/>
      <c r="NF246" s="66"/>
      <c r="NG246" s="66"/>
      <c r="NH246" s="66"/>
      <c r="NI246" s="66"/>
      <c r="NJ246" s="66"/>
      <c r="NK246" s="66"/>
      <c r="NL246" s="66"/>
      <c r="NM246" s="66"/>
      <c r="NN246" s="66"/>
      <c r="NO246" s="66"/>
      <c r="NP246" s="66"/>
      <c r="NQ246" s="66"/>
      <c r="NR246" s="66"/>
      <c r="NS246" s="66"/>
      <c r="NT246" s="66"/>
      <c r="NU246" s="66"/>
      <c r="NV246" s="66"/>
      <c r="NW246" s="66"/>
      <c r="NX246" s="66"/>
      <c r="NY246" s="66"/>
      <c r="NZ246" s="66"/>
      <c r="OA246" s="66"/>
      <c r="OB246" s="66"/>
      <c r="OC246" s="66"/>
      <c r="OD246" s="66"/>
      <c r="OE246" s="66"/>
      <c r="OF246" s="66"/>
      <c r="OG246" s="66"/>
      <c r="OH246" s="66"/>
      <c r="OI246" s="66"/>
      <c r="OJ246" s="66"/>
      <c r="OK246" s="66"/>
      <c r="OL246" s="66"/>
      <c r="OM246" s="66"/>
      <c r="ON246" s="66"/>
      <c r="OO246" s="66"/>
      <c r="OP246" s="66"/>
      <c r="OQ246" s="66"/>
      <c r="OR246" s="66"/>
      <c r="OS246" s="66"/>
      <c r="OT246" s="66"/>
      <c r="OU246" s="66"/>
      <c r="OV246" s="66"/>
      <c r="OW246" s="66"/>
      <c r="OX246" s="66"/>
      <c r="OY246" s="66"/>
      <c r="OZ246" s="66"/>
      <c r="PA246" s="66"/>
      <c r="PB246" s="66"/>
      <c r="PC246" s="66"/>
      <c r="PD246" s="66"/>
      <c r="PE246" s="66"/>
      <c r="PF246" s="66"/>
      <c r="PG246" s="66"/>
      <c r="PH246" s="66"/>
      <c r="PI246" s="66"/>
      <c r="PJ246" s="66"/>
      <c r="PK246" s="66"/>
      <c r="PL246" s="66"/>
      <c r="PM246" s="66"/>
      <c r="PN246" s="66"/>
      <c r="PO246" s="66"/>
      <c r="PP246" s="66"/>
      <c r="PQ246" s="66"/>
      <c r="PR246" s="66"/>
      <c r="PS246" s="66"/>
      <c r="PT246" s="66"/>
      <c r="PU246" s="66"/>
      <c r="PV246" s="66"/>
      <c r="PW246" s="66"/>
      <c r="PX246" s="66"/>
      <c r="PY246" s="66"/>
      <c r="PZ246" s="66"/>
      <c r="QA246" s="66"/>
      <c r="QB246" s="66"/>
      <c r="QC246" s="66"/>
      <c r="QD246" s="66"/>
      <c r="QE246" s="66"/>
      <c r="QF246" s="66"/>
      <c r="QG246" s="66"/>
      <c r="QH246" s="66"/>
      <c r="QI246" s="66"/>
      <c r="QJ246" s="66"/>
      <c r="QK246" s="66"/>
      <c r="QL246" s="66"/>
      <c r="QM246" s="66"/>
      <c r="QN246" s="66"/>
      <c r="QO246" s="66"/>
      <c r="QP246" s="66"/>
      <c r="QQ246" s="66"/>
      <c r="QR246" s="66"/>
      <c r="QS246" s="66"/>
      <c r="QT246" s="66"/>
      <c r="QU246" s="66"/>
      <c r="QV246" s="66"/>
      <c r="QW246" s="66"/>
      <c r="QX246" s="66"/>
      <c r="QY246" s="66"/>
      <c r="QZ246" s="66"/>
      <c r="RA246" s="66"/>
      <c r="RB246" s="66"/>
      <c r="RC246" s="66"/>
      <c r="RD246" s="4"/>
    </row>
    <row r="247" spans="1:472" x14ac:dyDescent="0.25">
      <c r="I247" s="66"/>
      <c r="J247" s="66"/>
      <c r="K247" s="66"/>
      <c r="L247" s="66"/>
      <c r="M247" s="66"/>
      <c r="N247" s="66"/>
      <c r="O247" s="66"/>
      <c r="P247" s="66"/>
      <c r="Q247" s="66"/>
      <c r="R247" s="66"/>
      <c r="S247" s="66"/>
      <c r="T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6"/>
      <c r="DI247" s="66"/>
      <c r="DJ247" s="66"/>
      <c r="DK247" s="66"/>
      <c r="DL247" s="66"/>
      <c r="DM247" s="66"/>
      <c r="DN247" s="66"/>
      <c r="DO247" s="66"/>
      <c r="DP247" s="66"/>
      <c r="DQ247" s="66"/>
      <c r="DR247" s="66"/>
      <c r="DS247" s="66"/>
      <c r="DT247" s="66"/>
      <c r="DU247" s="66"/>
      <c r="DV247" s="66"/>
      <c r="DW247" s="66"/>
      <c r="DX247" s="66"/>
      <c r="DY247" s="66"/>
      <c r="DZ247" s="66"/>
      <c r="EA247" s="66"/>
      <c r="EB247" s="66"/>
      <c r="EC247" s="66"/>
      <c r="ED247" s="66"/>
      <c r="EE247" s="66"/>
      <c r="EF247" s="66"/>
      <c r="EG247" s="66"/>
      <c r="EH247" s="66"/>
      <c r="EI247" s="66"/>
      <c r="EJ247" s="66"/>
      <c r="EK247" s="66"/>
      <c r="EL247" s="66"/>
      <c r="EM247" s="66"/>
      <c r="EN247" s="66"/>
      <c r="EO247" s="66"/>
      <c r="EP247" s="66"/>
      <c r="EQ247" s="66"/>
      <c r="ER247" s="66"/>
      <c r="ES247" s="66"/>
      <c r="ET247" s="66"/>
      <c r="EU247" s="66"/>
      <c r="EV247" s="66"/>
      <c r="EW247" s="66"/>
      <c r="EX247" s="66"/>
      <c r="EY247" s="66"/>
      <c r="EZ247" s="66"/>
      <c r="FA247" s="66"/>
      <c r="FB247" s="66"/>
      <c r="FC247" s="66"/>
      <c r="FD247" s="66"/>
      <c r="FE247" s="66"/>
      <c r="FF247" s="66"/>
      <c r="FG247" s="66"/>
      <c r="FH247" s="66"/>
      <c r="FI247" s="66"/>
      <c r="FJ247" s="66"/>
      <c r="FK247" s="66"/>
      <c r="FL247" s="66"/>
      <c r="FM247" s="66"/>
      <c r="FN247" s="66"/>
      <c r="FO247" s="66"/>
      <c r="FP247" s="66"/>
      <c r="FQ247" s="66"/>
      <c r="FR247" s="66"/>
      <c r="FS247" s="66"/>
      <c r="FT247" s="66"/>
      <c r="FU247" s="66"/>
      <c r="FV247" s="66"/>
      <c r="FW247" s="66"/>
      <c r="FX247" s="66"/>
      <c r="FY247" s="66"/>
      <c r="FZ247" s="66"/>
      <c r="GA247" s="66"/>
      <c r="GB247" s="66"/>
      <c r="GC247" s="66"/>
      <c r="GD247" s="66"/>
      <c r="GE247" s="66"/>
      <c r="GF247" s="66"/>
      <c r="GG247" s="66"/>
      <c r="GH247" s="66"/>
      <c r="GI247" s="66"/>
      <c r="GJ247" s="66"/>
      <c r="GK247" s="66"/>
      <c r="GL247" s="66"/>
      <c r="GM247" s="66"/>
      <c r="GN247" s="66"/>
      <c r="GO247" s="66"/>
      <c r="GP247" s="66"/>
      <c r="GQ247" s="66"/>
      <c r="GR247" s="66"/>
      <c r="GS247" s="66"/>
      <c r="GT247" s="66"/>
      <c r="GU247" s="66"/>
      <c r="GV247" s="66"/>
      <c r="GW247" s="66"/>
      <c r="GX247" s="66"/>
      <c r="GY247" s="66"/>
      <c r="GZ247" s="66"/>
      <c r="HA247" s="66"/>
      <c r="HB247" s="66"/>
      <c r="HC247" s="66"/>
      <c r="HD247" s="66"/>
      <c r="HE247" s="66"/>
      <c r="HF247" s="66"/>
      <c r="HG247" s="66"/>
      <c r="HH247" s="66"/>
      <c r="HI247" s="66"/>
      <c r="HJ247" s="66"/>
      <c r="HK247" s="66"/>
      <c r="HL247" s="66"/>
      <c r="HM247" s="66"/>
      <c r="HN247" s="66"/>
      <c r="HO247" s="66"/>
      <c r="HP247" s="66"/>
      <c r="HQ247" s="66"/>
      <c r="HR247" s="66"/>
      <c r="HS247" s="66"/>
      <c r="HT247" s="66"/>
      <c r="HU247" s="66"/>
      <c r="HV247" s="66"/>
      <c r="HW247" s="66"/>
      <c r="HX247" s="66"/>
      <c r="HY247" s="66"/>
      <c r="HZ247" s="66"/>
      <c r="IA247" s="66"/>
      <c r="IB247" s="66"/>
      <c r="IC247" s="66"/>
      <c r="ID247" s="66"/>
      <c r="IE247" s="66"/>
      <c r="IF247" s="66"/>
      <c r="IG247" s="66"/>
      <c r="IH247" s="66"/>
      <c r="II247" s="66"/>
      <c r="IJ247" s="66"/>
      <c r="IK247" s="66"/>
      <c r="IL247" s="66"/>
      <c r="IM247" s="66"/>
      <c r="IN247" s="66"/>
      <c r="IO247" s="66"/>
      <c r="IP247" s="66"/>
      <c r="IQ247" s="66"/>
      <c r="IR247" s="66"/>
      <c r="IS247" s="66"/>
      <c r="IT247" s="66"/>
      <c r="IU247" s="66"/>
      <c r="IV247" s="66"/>
      <c r="IW247" s="66"/>
      <c r="IX247" s="66"/>
      <c r="IY247" s="66"/>
      <c r="IZ247" s="66"/>
      <c r="JA247" s="66"/>
      <c r="JB247" s="66"/>
      <c r="JC247" s="66"/>
      <c r="JD247" s="66"/>
      <c r="JE247" s="66"/>
      <c r="JF247" s="66"/>
      <c r="JG247" s="66"/>
      <c r="JH247" s="66"/>
      <c r="JI247" s="66"/>
      <c r="JJ247" s="66"/>
      <c r="JK247" s="66"/>
      <c r="JL247" s="66"/>
      <c r="JM247" s="66"/>
      <c r="JN247" s="66"/>
      <c r="JO247" s="66"/>
      <c r="JP247" s="66"/>
      <c r="JQ247" s="66"/>
      <c r="JR247" s="66"/>
      <c r="JS247" s="66"/>
      <c r="JT247" s="66"/>
      <c r="JU247" s="66"/>
      <c r="JV247" s="66"/>
      <c r="JW247" s="66"/>
      <c r="JX247" s="66"/>
      <c r="JY247" s="66"/>
      <c r="JZ247" s="66"/>
      <c r="KA247" s="66"/>
      <c r="KB247" s="66"/>
      <c r="KC247" s="66"/>
      <c r="KD247" s="66"/>
      <c r="KE247" s="66"/>
      <c r="KF247" s="66"/>
      <c r="KG247" s="66"/>
      <c r="KH247" s="66"/>
      <c r="KI247" s="66"/>
      <c r="KJ247" s="66"/>
      <c r="KK247" s="66"/>
      <c r="KL247" s="66"/>
      <c r="KM247" s="66"/>
      <c r="KN247" s="66"/>
      <c r="KO247" s="66"/>
      <c r="KP247" s="66"/>
      <c r="KQ247" s="66"/>
      <c r="KR247" s="66"/>
      <c r="KS247" s="66"/>
      <c r="KT247" s="66"/>
      <c r="KU247" s="66"/>
      <c r="KV247" s="66"/>
      <c r="KW247" s="66"/>
      <c r="KX247" s="66"/>
      <c r="KY247" s="66"/>
      <c r="KZ247" s="66"/>
      <c r="LA247" s="66"/>
      <c r="LB247" s="66"/>
      <c r="LC247" s="66"/>
      <c r="LD247" s="66"/>
      <c r="LE247" s="66"/>
      <c r="LF247" s="66"/>
      <c r="LG247" s="66"/>
      <c r="LH247" s="66"/>
      <c r="LI247" s="66"/>
      <c r="LJ247" s="66"/>
      <c r="LK247" s="66"/>
      <c r="LL247" s="66"/>
      <c r="LM247" s="66"/>
      <c r="LN247" s="66"/>
      <c r="LO247" s="66"/>
      <c r="LP247" s="66"/>
      <c r="LQ247" s="66"/>
      <c r="LR247" s="66"/>
      <c r="LS247" s="66"/>
      <c r="LT247" s="66"/>
      <c r="LU247" s="66"/>
      <c r="LV247" s="66"/>
      <c r="LW247" s="66"/>
      <c r="LX247" s="66"/>
      <c r="LY247" s="66"/>
      <c r="LZ247" s="66"/>
      <c r="MA247" s="66"/>
      <c r="MB247" s="66"/>
      <c r="MC247" s="66"/>
      <c r="MD247" s="66"/>
      <c r="ME247" s="66"/>
      <c r="MF247" s="66"/>
      <c r="MG247" s="66"/>
      <c r="MH247" s="66"/>
      <c r="MI247" s="66"/>
      <c r="MJ247" s="66"/>
      <c r="MK247" s="66"/>
      <c r="ML247" s="66"/>
      <c r="MM247" s="66"/>
      <c r="MN247" s="66"/>
      <c r="MO247" s="66"/>
      <c r="MP247" s="66"/>
      <c r="MQ247" s="66"/>
      <c r="MR247" s="66"/>
      <c r="MS247" s="66"/>
      <c r="MT247" s="66"/>
      <c r="MU247" s="66"/>
      <c r="MV247" s="66"/>
      <c r="MW247" s="66"/>
      <c r="MX247" s="66"/>
      <c r="MY247" s="66"/>
      <c r="MZ247" s="66"/>
      <c r="NA247" s="66"/>
      <c r="NB247" s="66"/>
      <c r="NC247" s="66"/>
      <c r="ND247" s="66"/>
      <c r="NE247" s="66"/>
      <c r="NF247" s="66"/>
      <c r="NG247" s="66"/>
      <c r="NH247" s="66"/>
      <c r="NI247" s="66"/>
      <c r="NJ247" s="66"/>
      <c r="NK247" s="66"/>
      <c r="NL247" s="66"/>
      <c r="NM247" s="66"/>
      <c r="NN247" s="66"/>
      <c r="NO247" s="66"/>
      <c r="NP247" s="66"/>
      <c r="NQ247" s="66"/>
      <c r="NR247" s="66"/>
      <c r="NS247" s="66"/>
      <c r="NT247" s="66"/>
      <c r="NU247" s="66"/>
      <c r="NV247" s="66"/>
      <c r="NW247" s="66"/>
      <c r="NX247" s="66"/>
      <c r="NY247" s="66"/>
      <c r="NZ247" s="66"/>
      <c r="OA247" s="66"/>
      <c r="OB247" s="66"/>
      <c r="OC247" s="66"/>
      <c r="OD247" s="66"/>
      <c r="OE247" s="66"/>
      <c r="OF247" s="66"/>
      <c r="OG247" s="66"/>
      <c r="OH247" s="66"/>
      <c r="OI247" s="66"/>
      <c r="OJ247" s="66"/>
      <c r="OK247" s="66"/>
      <c r="OL247" s="66"/>
      <c r="OM247" s="66"/>
      <c r="ON247" s="66"/>
      <c r="OO247" s="66"/>
      <c r="OP247" s="66"/>
      <c r="OQ247" s="66"/>
      <c r="OR247" s="66"/>
      <c r="OS247" s="66"/>
      <c r="OT247" s="66"/>
      <c r="OU247" s="66"/>
      <c r="OV247" s="66"/>
      <c r="OW247" s="66"/>
      <c r="OX247" s="66"/>
      <c r="OY247" s="66"/>
      <c r="OZ247" s="66"/>
      <c r="PA247" s="66"/>
      <c r="PB247" s="66"/>
      <c r="PC247" s="66"/>
      <c r="PD247" s="66"/>
      <c r="PE247" s="66"/>
      <c r="PF247" s="66"/>
      <c r="PG247" s="66"/>
      <c r="PH247" s="66"/>
      <c r="PI247" s="66"/>
      <c r="PJ247" s="66"/>
      <c r="PK247" s="66"/>
      <c r="PL247" s="66"/>
      <c r="PM247" s="66"/>
      <c r="PN247" s="66"/>
      <c r="PO247" s="66"/>
      <c r="PP247" s="66"/>
      <c r="PQ247" s="66"/>
      <c r="PR247" s="66"/>
      <c r="PS247" s="66"/>
      <c r="PT247" s="66"/>
      <c r="PU247" s="66"/>
      <c r="PV247" s="66"/>
      <c r="PW247" s="66"/>
      <c r="PX247" s="66"/>
      <c r="PY247" s="66"/>
      <c r="PZ247" s="66"/>
      <c r="QA247" s="66"/>
      <c r="QB247" s="66"/>
      <c r="QC247" s="66"/>
      <c r="QD247" s="66"/>
      <c r="QE247" s="66"/>
      <c r="QF247" s="66"/>
      <c r="QG247" s="66"/>
      <c r="QH247" s="66"/>
      <c r="QI247" s="66"/>
      <c r="QJ247" s="66"/>
      <c r="QK247" s="66"/>
      <c r="QL247" s="66"/>
      <c r="QM247" s="66"/>
      <c r="QN247" s="66"/>
      <c r="QO247" s="66"/>
      <c r="QP247" s="66"/>
      <c r="QQ247" s="66"/>
      <c r="QR247" s="66"/>
      <c r="QS247" s="66"/>
      <c r="QT247" s="66"/>
      <c r="QU247" s="66"/>
      <c r="QV247" s="66"/>
      <c r="QW247" s="66"/>
      <c r="QX247" s="66"/>
      <c r="QY247" s="66"/>
      <c r="QZ247" s="66"/>
      <c r="RA247" s="66"/>
      <c r="RB247" s="66"/>
      <c r="RC247" s="66"/>
      <c r="RD247" s="4"/>
    </row>
    <row r="248" spans="1:472" x14ac:dyDescent="0.25">
      <c r="I248" s="66"/>
      <c r="J248" s="66"/>
      <c r="K248" s="66"/>
      <c r="L248" s="66"/>
      <c r="M248" s="66"/>
      <c r="N248" s="66"/>
      <c r="O248" s="66"/>
      <c r="P248" s="66"/>
      <c r="Q248" s="66"/>
      <c r="R248" s="66"/>
      <c r="S248" s="66"/>
      <c r="T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K248" s="66"/>
      <c r="DL248" s="66"/>
      <c r="DM248" s="66"/>
      <c r="DN248" s="66"/>
      <c r="DO248" s="66"/>
      <c r="DP248" s="66"/>
      <c r="DQ248" s="66"/>
      <c r="DR248" s="66"/>
      <c r="DS248" s="66"/>
      <c r="DT248" s="66"/>
      <c r="DU248" s="66"/>
      <c r="DV248" s="66"/>
      <c r="DW248" s="66"/>
      <c r="DX248" s="66"/>
      <c r="DY248" s="66"/>
      <c r="DZ248" s="66"/>
      <c r="EA248" s="66"/>
      <c r="EB248" s="66"/>
      <c r="EC248" s="66"/>
      <c r="ED248" s="66"/>
      <c r="EE248" s="66"/>
      <c r="EF248" s="66"/>
      <c r="EG248" s="66"/>
      <c r="EH248" s="66"/>
      <c r="EI248" s="66"/>
      <c r="EJ248" s="66"/>
      <c r="EK248" s="66"/>
      <c r="EL248" s="66"/>
      <c r="EM248" s="66"/>
      <c r="EN248" s="66"/>
      <c r="EO248" s="66"/>
      <c r="EP248" s="66"/>
      <c r="EQ248" s="66"/>
      <c r="ER248" s="66"/>
      <c r="ES248" s="66"/>
      <c r="ET248" s="66"/>
      <c r="EU248" s="66"/>
      <c r="EV248" s="66"/>
      <c r="EW248" s="66"/>
      <c r="EX248" s="66"/>
      <c r="EY248" s="66"/>
      <c r="EZ248" s="66"/>
      <c r="FA248" s="66"/>
      <c r="FB248" s="66"/>
      <c r="FC248" s="66"/>
      <c r="FD248" s="66"/>
      <c r="FE248" s="66"/>
      <c r="FF248" s="66"/>
      <c r="FG248" s="66"/>
      <c r="FH248" s="66"/>
      <c r="FI248" s="66"/>
      <c r="FJ248" s="66"/>
      <c r="FK248" s="66"/>
      <c r="FL248" s="66"/>
      <c r="FM248" s="66"/>
      <c r="FN248" s="66"/>
      <c r="FO248" s="66"/>
      <c r="FP248" s="66"/>
      <c r="FQ248" s="66"/>
      <c r="FR248" s="66"/>
      <c r="FS248" s="66"/>
      <c r="FT248" s="66"/>
      <c r="FU248" s="66"/>
      <c r="FV248" s="66"/>
      <c r="FW248" s="66"/>
      <c r="FX248" s="66"/>
      <c r="FY248" s="66"/>
      <c r="FZ248" s="66"/>
      <c r="GA248" s="66"/>
      <c r="GB248" s="66"/>
      <c r="GC248" s="66"/>
      <c r="GD248" s="66"/>
      <c r="GE248" s="66"/>
      <c r="GF248" s="66"/>
      <c r="GG248" s="66"/>
      <c r="GH248" s="66"/>
      <c r="GI248" s="66"/>
      <c r="GJ248" s="66"/>
      <c r="GK248" s="66"/>
      <c r="GL248" s="66"/>
      <c r="GM248" s="66"/>
      <c r="GN248" s="66"/>
      <c r="GO248" s="66"/>
      <c r="GP248" s="66"/>
      <c r="GQ248" s="66"/>
      <c r="GR248" s="66"/>
      <c r="GS248" s="66"/>
      <c r="GT248" s="66"/>
      <c r="GU248" s="66"/>
      <c r="GV248" s="66"/>
      <c r="GW248" s="66"/>
      <c r="GX248" s="66"/>
      <c r="GY248" s="66"/>
      <c r="GZ248" s="66"/>
      <c r="HA248" s="66"/>
      <c r="HB248" s="66"/>
      <c r="HC248" s="66"/>
      <c r="HD248" s="66"/>
      <c r="HE248" s="66"/>
      <c r="HF248" s="66"/>
      <c r="HG248" s="66"/>
      <c r="HH248" s="66"/>
      <c r="HI248" s="66"/>
      <c r="HJ248" s="66"/>
      <c r="HK248" s="66"/>
      <c r="HL248" s="66"/>
      <c r="HM248" s="66"/>
      <c r="HN248" s="66"/>
      <c r="HO248" s="66"/>
      <c r="HP248" s="66"/>
      <c r="HQ248" s="66"/>
      <c r="HR248" s="66"/>
      <c r="HS248" s="66"/>
      <c r="HT248" s="66"/>
      <c r="HU248" s="66"/>
      <c r="HV248" s="66"/>
      <c r="HW248" s="66"/>
      <c r="HX248" s="66"/>
      <c r="HY248" s="66"/>
      <c r="HZ248" s="66"/>
      <c r="IA248" s="66"/>
      <c r="IB248" s="66"/>
      <c r="IC248" s="66"/>
      <c r="ID248" s="66"/>
      <c r="IE248" s="66"/>
      <c r="IF248" s="66"/>
      <c r="IG248" s="66"/>
      <c r="IH248" s="66"/>
      <c r="II248" s="66"/>
      <c r="IJ248" s="66"/>
      <c r="IK248" s="66"/>
      <c r="IL248" s="66"/>
      <c r="IM248" s="66"/>
      <c r="IN248" s="66"/>
      <c r="IO248" s="66"/>
      <c r="IP248" s="66"/>
      <c r="IQ248" s="66"/>
      <c r="IR248" s="66"/>
      <c r="IS248" s="66"/>
      <c r="IT248" s="66"/>
      <c r="IU248" s="66"/>
      <c r="IV248" s="66"/>
      <c r="IW248" s="66"/>
      <c r="IX248" s="66"/>
      <c r="IY248" s="66"/>
      <c r="IZ248" s="66"/>
      <c r="JA248" s="66"/>
      <c r="JB248" s="66"/>
      <c r="JC248" s="66"/>
      <c r="JD248" s="66"/>
      <c r="JE248" s="66"/>
      <c r="JF248" s="66"/>
      <c r="JG248" s="66"/>
      <c r="JH248" s="66"/>
      <c r="JI248" s="66"/>
      <c r="JJ248" s="66"/>
      <c r="JK248" s="66"/>
      <c r="JL248" s="66"/>
      <c r="JM248" s="66"/>
      <c r="JN248" s="66"/>
      <c r="JO248" s="66"/>
      <c r="JP248" s="66"/>
      <c r="JQ248" s="66"/>
      <c r="JR248" s="66"/>
      <c r="JS248" s="66"/>
      <c r="JT248" s="66"/>
      <c r="JU248" s="66"/>
      <c r="JV248" s="66"/>
      <c r="JW248" s="66"/>
      <c r="JX248" s="66"/>
      <c r="JY248" s="66"/>
      <c r="JZ248" s="66"/>
      <c r="KA248" s="66"/>
      <c r="KB248" s="66"/>
      <c r="KC248" s="66"/>
      <c r="KD248" s="66"/>
      <c r="KE248" s="66"/>
      <c r="KF248" s="66"/>
      <c r="KG248" s="66"/>
      <c r="KH248" s="66"/>
      <c r="KI248" s="66"/>
      <c r="KJ248" s="66"/>
      <c r="KK248" s="66"/>
      <c r="KL248" s="66"/>
      <c r="KM248" s="66"/>
      <c r="KN248" s="66"/>
      <c r="KO248" s="66"/>
      <c r="KP248" s="66"/>
      <c r="KQ248" s="66"/>
      <c r="KR248" s="66"/>
      <c r="KS248" s="66"/>
      <c r="KT248" s="66"/>
      <c r="KU248" s="66"/>
      <c r="KV248" s="66"/>
      <c r="KW248" s="66"/>
      <c r="KX248" s="66"/>
      <c r="KY248" s="66"/>
      <c r="KZ248" s="66"/>
      <c r="LA248" s="66"/>
      <c r="LB248" s="66"/>
      <c r="LC248" s="66"/>
      <c r="LD248" s="66"/>
      <c r="LE248" s="66"/>
      <c r="LF248" s="66"/>
      <c r="LG248" s="66"/>
      <c r="LH248" s="66"/>
      <c r="LI248" s="66"/>
      <c r="LJ248" s="66"/>
      <c r="LK248" s="66"/>
      <c r="LL248" s="66"/>
      <c r="LM248" s="66"/>
      <c r="LN248" s="66"/>
      <c r="LO248" s="66"/>
      <c r="LP248" s="66"/>
      <c r="LQ248" s="66"/>
      <c r="LR248" s="66"/>
      <c r="LS248" s="66"/>
      <c r="LT248" s="66"/>
      <c r="LU248" s="66"/>
      <c r="LV248" s="66"/>
      <c r="LW248" s="66"/>
      <c r="LX248" s="66"/>
      <c r="LY248" s="66"/>
      <c r="LZ248" s="66"/>
      <c r="MA248" s="66"/>
      <c r="MB248" s="66"/>
      <c r="MC248" s="66"/>
      <c r="MD248" s="66"/>
      <c r="ME248" s="66"/>
      <c r="MF248" s="66"/>
      <c r="MG248" s="66"/>
      <c r="MH248" s="66"/>
      <c r="MI248" s="66"/>
      <c r="MJ248" s="66"/>
      <c r="MK248" s="66"/>
      <c r="ML248" s="66"/>
      <c r="MM248" s="66"/>
      <c r="MN248" s="66"/>
      <c r="MO248" s="66"/>
      <c r="MP248" s="66"/>
      <c r="MQ248" s="66"/>
      <c r="MR248" s="66"/>
      <c r="MS248" s="66"/>
      <c r="MT248" s="66"/>
      <c r="MU248" s="66"/>
      <c r="MV248" s="66"/>
      <c r="MW248" s="66"/>
      <c r="MX248" s="66"/>
      <c r="MY248" s="66"/>
      <c r="MZ248" s="66"/>
      <c r="NA248" s="66"/>
      <c r="NB248" s="66"/>
      <c r="NC248" s="66"/>
      <c r="ND248" s="66"/>
      <c r="NE248" s="66"/>
      <c r="NF248" s="66"/>
      <c r="NG248" s="66"/>
      <c r="NH248" s="66"/>
      <c r="NI248" s="66"/>
      <c r="NJ248" s="66"/>
      <c r="NK248" s="66"/>
      <c r="NL248" s="66"/>
      <c r="NM248" s="66"/>
      <c r="NN248" s="66"/>
      <c r="NO248" s="66"/>
      <c r="NP248" s="66"/>
      <c r="NQ248" s="66"/>
      <c r="NR248" s="66"/>
      <c r="NS248" s="66"/>
      <c r="NT248" s="66"/>
      <c r="NU248" s="66"/>
      <c r="NV248" s="66"/>
      <c r="NW248" s="66"/>
      <c r="NX248" s="66"/>
      <c r="NY248" s="66"/>
      <c r="NZ248" s="66"/>
      <c r="OA248" s="66"/>
      <c r="OB248" s="66"/>
      <c r="OC248" s="66"/>
      <c r="OD248" s="66"/>
      <c r="OE248" s="66"/>
      <c r="OF248" s="66"/>
      <c r="OG248" s="66"/>
      <c r="OH248" s="66"/>
      <c r="OI248" s="66"/>
      <c r="OJ248" s="66"/>
      <c r="OK248" s="66"/>
      <c r="OL248" s="66"/>
      <c r="OM248" s="66"/>
      <c r="ON248" s="66"/>
      <c r="OO248" s="66"/>
      <c r="OP248" s="66"/>
      <c r="OQ248" s="66"/>
      <c r="OR248" s="66"/>
      <c r="OS248" s="66"/>
      <c r="OT248" s="66"/>
      <c r="OU248" s="66"/>
      <c r="OV248" s="66"/>
      <c r="OW248" s="66"/>
      <c r="OX248" s="66"/>
      <c r="OY248" s="66"/>
      <c r="OZ248" s="66"/>
      <c r="PA248" s="66"/>
      <c r="PB248" s="66"/>
      <c r="PC248" s="66"/>
      <c r="PD248" s="66"/>
      <c r="PE248" s="66"/>
      <c r="PF248" s="66"/>
      <c r="PG248" s="66"/>
      <c r="PH248" s="66"/>
      <c r="PI248" s="66"/>
      <c r="PJ248" s="66"/>
      <c r="PK248" s="66"/>
      <c r="PL248" s="66"/>
      <c r="PM248" s="66"/>
      <c r="PN248" s="66"/>
      <c r="PO248" s="66"/>
      <c r="PP248" s="66"/>
      <c r="PQ248" s="66"/>
      <c r="PR248" s="66"/>
      <c r="PS248" s="66"/>
      <c r="PT248" s="66"/>
      <c r="PU248" s="66"/>
      <c r="PV248" s="66"/>
      <c r="PW248" s="66"/>
      <c r="PX248" s="66"/>
      <c r="PY248" s="66"/>
      <c r="PZ248" s="66"/>
      <c r="QA248" s="66"/>
      <c r="QB248" s="66"/>
      <c r="QC248" s="66"/>
      <c r="QD248" s="66"/>
      <c r="QE248" s="66"/>
      <c r="QF248" s="66"/>
      <c r="QG248" s="66"/>
      <c r="QH248" s="66"/>
      <c r="QI248" s="66"/>
      <c r="QJ248" s="66"/>
      <c r="QK248" s="66"/>
      <c r="QL248" s="66"/>
      <c r="QM248" s="66"/>
      <c r="QN248" s="66"/>
      <c r="QO248" s="66"/>
      <c r="QP248" s="66"/>
      <c r="QQ248" s="66"/>
      <c r="QR248" s="66"/>
      <c r="QS248" s="66"/>
      <c r="QT248" s="66"/>
      <c r="QU248" s="66"/>
      <c r="QV248" s="66"/>
      <c r="QW248" s="66"/>
      <c r="QX248" s="66"/>
      <c r="QY248" s="66"/>
      <c r="QZ248" s="66"/>
      <c r="RA248" s="66"/>
      <c r="RB248" s="66"/>
      <c r="RC248" s="66"/>
      <c r="RD248" s="4"/>
    </row>
    <row r="249" spans="1:472" x14ac:dyDescent="0.25">
      <c r="I249" s="66"/>
      <c r="J249" s="66"/>
      <c r="K249" s="66"/>
      <c r="L249" s="66"/>
      <c r="M249" s="66"/>
      <c r="N249" s="66"/>
      <c r="O249" s="66"/>
      <c r="P249" s="66"/>
      <c r="Q249" s="66"/>
      <c r="R249" s="66"/>
      <c r="S249" s="66"/>
      <c r="T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6"/>
      <c r="DI249" s="66"/>
      <c r="DJ249" s="66"/>
      <c r="DK249" s="66"/>
      <c r="DL249" s="66"/>
      <c r="DM249" s="66"/>
      <c r="DN249" s="66"/>
      <c r="DO249" s="66"/>
      <c r="DP249" s="66"/>
      <c r="DQ249" s="66"/>
      <c r="DR249" s="66"/>
      <c r="DS249" s="66"/>
      <c r="DT249" s="66"/>
      <c r="DU249" s="66"/>
      <c r="DV249" s="66"/>
      <c r="DW249" s="66"/>
      <c r="DX249" s="66"/>
      <c r="DY249" s="66"/>
      <c r="DZ249" s="66"/>
      <c r="EA249" s="66"/>
      <c r="EB249" s="66"/>
      <c r="EC249" s="66"/>
      <c r="ED249" s="66"/>
      <c r="EE249" s="66"/>
      <c r="EF249" s="66"/>
      <c r="EG249" s="66"/>
      <c r="EH249" s="66"/>
      <c r="EI249" s="66"/>
      <c r="EJ249" s="66"/>
      <c r="EK249" s="66"/>
      <c r="EL249" s="66"/>
      <c r="EM249" s="66"/>
      <c r="EN249" s="66"/>
      <c r="EO249" s="66"/>
      <c r="EP249" s="66"/>
      <c r="EQ249" s="66"/>
      <c r="ER249" s="66"/>
      <c r="ES249" s="66"/>
      <c r="ET249" s="66"/>
      <c r="EU249" s="66"/>
      <c r="EV249" s="66"/>
      <c r="EW249" s="66"/>
      <c r="EX249" s="66"/>
      <c r="EY249" s="66"/>
      <c r="EZ249" s="66"/>
      <c r="FA249" s="66"/>
      <c r="FB249" s="66"/>
      <c r="FC249" s="66"/>
      <c r="FD249" s="66"/>
      <c r="FE249" s="66"/>
      <c r="FF249" s="66"/>
      <c r="FG249" s="66"/>
      <c r="FH249" s="66"/>
      <c r="FI249" s="66"/>
      <c r="FJ249" s="66"/>
      <c r="FK249" s="66"/>
      <c r="FL249" s="66"/>
      <c r="FM249" s="66"/>
      <c r="FN249" s="66"/>
      <c r="FO249" s="66"/>
      <c r="FP249" s="66"/>
      <c r="FQ249" s="66"/>
      <c r="FR249" s="66"/>
      <c r="FS249" s="66"/>
      <c r="FT249" s="66"/>
      <c r="FU249" s="66"/>
      <c r="FV249" s="66"/>
      <c r="FW249" s="66"/>
      <c r="FX249" s="66"/>
      <c r="FY249" s="66"/>
      <c r="FZ249" s="66"/>
      <c r="GA249" s="66"/>
      <c r="GB249" s="66"/>
      <c r="GC249" s="66"/>
      <c r="GD249" s="66"/>
      <c r="GE249" s="66"/>
      <c r="GF249" s="66"/>
      <c r="GG249" s="66"/>
      <c r="GH249" s="66"/>
      <c r="GI249" s="66"/>
      <c r="GJ249" s="66"/>
      <c r="GK249" s="66"/>
      <c r="GL249" s="66"/>
      <c r="GM249" s="66"/>
      <c r="GN249" s="66"/>
      <c r="GO249" s="66"/>
      <c r="GP249" s="66"/>
      <c r="GQ249" s="66"/>
      <c r="GR249" s="66"/>
      <c r="GS249" s="66"/>
      <c r="GT249" s="66"/>
      <c r="GU249" s="66"/>
      <c r="GV249" s="66"/>
      <c r="GW249" s="66"/>
      <c r="GX249" s="66"/>
      <c r="GY249" s="66"/>
      <c r="GZ249" s="66"/>
      <c r="HA249" s="66"/>
      <c r="HB249" s="66"/>
      <c r="HC249" s="66"/>
      <c r="HD249" s="66"/>
      <c r="HE249" s="66"/>
      <c r="HF249" s="66"/>
      <c r="HG249" s="66"/>
      <c r="HH249" s="66"/>
      <c r="HI249" s="66"/>
      <c r="HJ249" s="66"/>
      <c r="HK249" s="66"/>
      <c r="HL249" s="66"/>
      <c r="HM249" s="66"/>
      <c r="HN249" s="66"/>
      <c r="HO249" s="66"/>
      <c r="HP249" s="66"/>
      <c r="HQ249" s="66"/>
      <c r="HR249" s="66"/>
      <c r="HS249" s="66"/>
      <c r="HT249" s="66"/>
      <c r="HU249" s="66"/>
      <c r="HV249" s="66"/>
      <c r="HW249" s="66"/>
      <c r="HX249" s="66"/>
      <c r="HY249" s="66"/>
      <c r="HZ249" s="66"/>
      <c r="IA249" s="66"/>
      <c r="IB249" s="66"/>
      <c r="IC249" s="66"/>
      <c r="ID249" s="66"/>
      <c r="IE249" s="66"/>
      <c r="IF249" s="66"/>
      <c r="IG249" s="66"/>
      <c r="IH249" s="66"/>
      <c r="II249" s="66"/>
      <c r="IJ249" s="66"/>
      <c r="IK249" s="66"/>
      <c r="IL249" s="66"/>
      <c r="IM249" s="66"/>
      <c r="IN249" s="66"/>
      <c r="IO249" s="66"/>
      <c r="IP249" s="66"/>
      <c r="IQ249" s="66"/>
      <c r="IR249" s="66"/>
      <c r="IS249" s="66"/>
      <c r="IT249" s="66"/>
      <c r="IU249" s="66"/>
      <c r="IV249" s="66"/>
      <c r="IW249" s="66"/>
      <c r="IX249" s="66"/>
      <c r="IY249" s="66"/>
      <c r="IZ249" s="66"/>
      <c r="JA249" s="66"/>
      <c r="JB249" s="66"/>
      <c r="JC249" s="66"/>
      <c r="JD249" s="66"/>
      <c r="JE249" s="66"/>
      <c r="JF249" s="66"/>
      <c r="JG249" s="66"/>
      <c r="JH249" s="66"/>
      <c r="JI249" s="66"/>
      <c r="JJ249" s="66"/>
      <c r="JK249" s="66"/>
      <c r="JL249" s="66"/>
      <c r="JM249" s="66"/>
      <c r="JN249" s="66"/>
      <c r="JO249" s="66"/>
      <c r="JP249" s="66"/>
      <c r="JQ249" s="66"/>
      <c r="JR249" s="66"/>
      <c r="JS249" s="66"/>
      <c r="JT249" s="66"/>
      <c r="JU249" s="66"/>
      <c r="JV249" s="66"/>
      <c r="JW249" s="66"/>
      <c r="JX249" s="66"/>
      <c r="JY249" s="66"/>
      <c r="JZ249" s="66"/>
      <c r="KA249" s="66"/>
      <c r="KB249" s="66"/>
      <c r="KC249" s="66"/>
      <c r="KD249" s="66"/>
      <c r="KE249" s="66"/>
      <c r="KF249" s="66"/>
      <c r="KG249" s="66"/>
      <c r="KH249" s="66"/>
      <c r="KI249" s="66"/>
      <c r="KJ249" s="66"/>
      <c r="KK249" s="66"/>
      <c r="KL249" s="66"/>
      <c r="KM249" s="66"/>
      <c r="KN249" s="66"/>
      <c r="KO249" s="66"/>
      <c r="KP249" s="66"/>
      <c r="KQ249" s="66"/>
      <c r="KR249" s="66"/>
      <c r="KS249" s="66"/>
      <c r="KT249" s="66"/>
      <c r="KU249" s="66"/>
      <c r="KV249" s="66"/>
      <c r="KW249" s="66"/>
      <c r="KX249" s="66"/>
      <c r="KY249" s="66"/>
      <c r="KZ249" s="66"/>
      <c r="LA249" s="66"/>
      <c r="LB249" s="66"/>
      <c r="LC249" s="66"/>
      <c r="LD249" s="66"/>
      <c r="LE249" s="66"/>
      <c r="LF249" s="66"/>
      <c r="LG249" s="66"/>
      <c r="LH249" s="66"/>
      <c r="LI249" s="66"/>
      <c r="LJ249" s="66"/>
      <c r="LK249" s="66"/>
      <c r="LL249" s="66"/>
      <c r="LM249" s="66"/>
      <c r="LN249" s="66"/>
      <c r="LO249" s="66"/>
      <c r="LP249" s="66"/>
      <c r="LQ249" s="66"/>
      <c r="LR249" s="66"/>
      <c r="LS249" s="66"/>
      <c r="LT249" s="66"/>
      <c r="LU249" s="66"/>
      <c r="LV249" s="66"/>
      <c r="LW249" s="66"/>
      <c r="LX249" s="66"/>
      <c r="LY249" s="66"/>
      <c r="LZ249" s="66"/>
      <c r="MA249" s="66"/>
      <c r="MB249" s="66"/>
      <c r="MC249" s="66"/>
      <c r="MD249" s="66"/>
      <c r="ME249" s="66"/>
      <c r="MF249" s="66"/>
      <c r="MG249" s="66"/>
      <c r="MH249" s="66"/>
      <c r="MI249" s="66"/>
      <c r="MJ249" s="66"/>
      <c r="MK249" s="66"/>
      <c r="ML249" s="66"/>
      <c r="MM249" s="66"/>
      <c r="MN249" s="66"/>
      <c r="MO249" s="66"/>
      <c r="MP249" s="66"/>
      <c r="MQ249" s="66"/>
      <c r="MR249" s="66"/>
      <c r="MS249" s="66"/>
      <c r="MT249" s="66"/>
      <c r="MU249" s="66"/>
      <c r="MV249" s="66"/>
      <c r="MW249" s="66"/>
      <c r="MX249" s="66"/>
      <c r="MY249" s="66"/>
      <c r="MZ249" s="66"/>
      <c r="NA249" s="66"/>
      <c r="NB249" s="66"/>
      <c r="NC249" s="66"/>
      <c r="ND249" s="66"/>
      <c r="NE249" s="66"/>
      <c r="NF249" s="66"/>
      <c r="NG249" s="66"/>
      <c r="NH249" s="66"/>
      <c r="NI249" s="66"/>
      <c r="NJ249" s="66"/>
      <c r="NK249" s="66"/>
      <c r="NL249" s="66"/>
      <c r="NM249" s="66"/>
      <c r="NN249" s="66"/>
      <c r="NO249" s="66"/>
      <c r="NP249" s="66"/>
      <c r="NQ249" s="66"/>
      <c r="NR249" s="66"/>
      <c r="NS249" s="66"/>
      <c r="NT249" s="66"/>
      <c r="NU249" s="66"/>
      <c r="NV249" s="66"/>
      <c r="NW249" s="66"/>
      <c r="NX249" s="66"/>
      <c r="NY249" s="66"/>
      <c r="NZ249" s="66"/>
      <c r="OA249" s="66"/>
      <c r="OB249" s="66"/>
      <c r="OC249" s="66"/>
      <c r="OD249" s="66"/>
      <c r="OE249" s="66"/>
      <c r="OF249" s="66"/>
      <c r="OG249" s="66"/>
      <c r="OH249" s="66"/>
      <c r="OI249" s="66"/>
      <c r="OJ249" s="66"/>
      <c r="OK249" s="66"/>
      <c r="OL249" s="66"/>
      <c r="OM249" s="66"/>
      <c r="ON249" s="66"/>
      <c r="OO249" s="66"/>
      <c r="OP249" s="66"/>
      <c r="OQ249" s="66"/>
      <c r="OR249" s="66"/>
      <c r="OS249" s="66"/>
      <c r="OT249" s="66"/>
      <c r="OU249" s="66"/>
      <c r="OV249" s="66"/>
      <c r="OW249" s="66"/>
      <c r="OX249" s="66"/>
      <c r="OY249" s="66"/>
      <c r="OZ249" s="66"/>
      <c r="PA249" s="66"/>
      <c r="PB249" s="66"/>
      <c r="PC249" s="66"/>
      <c r="PD249" s="66"/>
      <c r="PE249" s="66"/>
      <c r="PF249" s="66"/>
      <c r="PG249" s="66"/>
      <c r="PH249" s="66"/>
      <c r="PI249" s="66"/>
      <c r="PJ249" s="66"/>
      <c r="PK249" s="66"/>
      <c r="PL249" s="66"/>
      <c r="PM249" s="66"/>
      <c r="PN249" s="66"/>
      <c r="PO249" s="66"/>
      <c r="PP249" s="66"/>
      <c r="PQ249" s="66"/>
      <c r="PR249" s="66"/>
      <c r="PS249" s="66"/>
      <c r="PT249" s="66"/>
      <c r="PU249" s="66"/>
      <c r="PV249" s="66"/>
      <c r="PW249" s="66"/>
      <c r="PX249" s="66"/>
      <c r="PY249" s="66"/>
      <c r="PZ249" s="66"/>
      <c r="QA249" s="66"/>
      <c r="QB249" s="66"/>
      <c r="QC249" s="66"/>
      <c r="QD249" s="66"/>
      <c r="QE249" s="66"/>
      <c r="QF249" s="66"/>
      <c r="QG249" s="66"/>
      <c r="QH249" s="66"/>
      <c r="QI249" s="66"/>
      <c r="QJ249" s="66"/>
      <c r="QK249" s="66"/>
      <c r="QL249" s="66"/>
      <c r="QM249" s="66"/>
      <c r="QN249" s="66"/>
      <c r="QO249" s="66"/>
      <c r="QP249" s="66"/>
      <c r="QQ249" s="66"/>
      <c r="QR249" s="66"/>
      <c r="QS249" s="66"/>
      <c r="QT249" s="66"/>
      <c r="QU249" s="66"/>
      <c r="QV249" s="66"/>
      <c r="QW249" s="66"/>
      <c r="QX249" s="66"/>
      <c r="QY249" s="66"/>
      <c r="QZ249" s="66"/>
      <c r="RA249" s="66"/>
      <c r="RB249" s="66"/>
      <c r="RC249" s="66"/>
      <c r="RD249" s="4"/>
    </row>
    <row r="250" spans="1:472" x14ac:dyDescent="0.25">
      <c r="I250" s="66"/>
      <c r="J250" s="66"/>
      <c r="K250" s="66"/>
      <c r="L250" s="66"/>
      <c r="M250" s="66"/>
      <c r="N250" s="66"/>
      <c r="O250" s="66"/>
      <c r="P250" s="66"/>
      <c r="Q250" s="66"/>
      <c r="R250" s="66"/>
      <c r="S250" s="66"/>
      <c r="T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c r="DA250" s="66"/>
      <c r="DB250" s="66"/>
      <c r="DC250" s="66"/>
      <c r="DD250" s="66"/>
      <c r="DE250" s="66"/>
      <c r="DF250" s="66"/>
      <c r="DG250" s="66"/>
      <c r="DH250" s="66"/>
      <c r="DI250" s="66"/>
      <c r="DJ250" s="66"/>
      <c r="DK250" s="66"/>
      <c r="DL250" s="66"/>
      <c r="DM250" s="66"/>
      <c r="DN250" s="66"/>
      <c r="DO250" s="66"/>
      <c r="DP250" s="66"/>
      <c r="DQ250" s="66"/>
      <c r="DR250" s="66"/>
      <c r="DS250" s="66"/>
      <c r="DT250" s="66"/>
      <c r="DU250" s="66"/>
      <c r="DV250" s="66"/>
      <c r="DW250" s="66"/>
      <c r="DX250" s="66"/>
      <c r="DY250" s="66"/>
      <c r="DZ250" s="66"/>
      <c r="EA250" s="66"/>
      <c r="EB250" s="66"/>
      <c r="EC250" s="66"/>
      <c r="ED250" s="66"/>
      <c r="EE250" s="66"/>
      <c r="EF250" s="66"/>
      <c r="EG250" s="66"/>
      <c r="EH250" s="66"/>
      <c r="EI250" s="66"/>
      <c r="EJ250" s="66"/>
      <c r="EK250" s="66"/>
      <c r="EL250" s="66"/>
      <c r="EM250" s="66"/>
      <c r="EN250" s="66"/>
      <c r="EO250" s="66"/>
      <c r="EP250" s="66"/>
      <c r="EQ250" s="66"/>
      <c r="ER250" s="66"/>
      <c r="ES250" s="66"/>
      <c r="ET250" s="66"/>
      <c r="EU250" s="66"/>
      <c r="EV250" s="66"/>
      <c r="EW250" s="66"/>
      <c r="EX250" s="66"/>
      <c r="EY250" s="66"/>
      <c r="EZ250" s="66"/>
      <c r="FA250" s="66"/>
      <c r="FB250" s="66"/>
      <c r="FC250" s="66"/>
      <c r="FD250" s="66"/>
      <c r="FE250" s="66"/>
      <c r="FF250" s="66"/>
      <c r="FG250" s="66"/>
      <c r="FH250" s="66"/>
      <c r="FI250" s="66"/>
      <c r="FJ250" s="66"/>
      <c r="FK250" s="66"/>
      <c r="FL250" s="66"/>
      <c r="FM250" s="66"/>
      <c r="FN250" s="66"/>
      <c r="FO250" s="66"/>
      <c r="FP250" s="66"/>
      <c r="FQ250" s="66"/>
      <c r="FR250" s="66"/>
      <c r="FS250" s="66"/>
      <c r="FT250" s="66"/>
      <c r="FU250" s="66"/>
      <c r="FV250" s="66"/>
      <c r="FW250" s="66"/>
      <c r="FX250" s="66"/>
      <c r="FY250" s="66"/>
      <c r="FZ250" s="66"/>
      <c r="GA250" s="66"/>
      <c r="GB250" s="66"/>
      <c r="GC250" s="66"/>
      <c r="GD250" s="66"/>
      <c r="GE250" s="66"/>
      <c r="GF250" s="66"/>
      <c r="GG250" s="66"/>
      <c r="GH250" s="66"/>
      <c r="GI250" s="66"/>
      <c r="GJ250" s="66"/>
      <c r="GK250" s="66"/>
      <c r="GL250" s="66"/>
      <c r="GM250" s="66"/>
      <c r="GN250" s="66"/>
      <c r="GO250" s="66"/>
      <c r="GP250" s="66"/>
      <c r="GQ250" s="66"/>
      <c r="GR250" s="66"/>
      <c r="GS250" s="66"/>
      <c r="GT250" s="66"/>
      <c r="GU250" s="66"/>
      <c r="GV250" s="66"/>
      <c r="GW250" s="66"/>
      <c r="GX250" s="66"/>
      <c r="GY250" s="66"/>
      <c r="GZ250" s="66"/>
      <c r="HA250" s="66"/>
      <c r="HB250" s="66"/>
      <c r="HC250" s="66"/>
      <c r="HD250" s="66"/>
      <c r="HE250" s="66"/>
      <c r="HF250" s="66"/>
      <c r="HG250" s="66"/>
      <c r="HH250" s="66"/>
      <c r="HI250" s="66"/>
      <c r="HJ250" s="66"/>
      <c r="HK250" s="66"/>
      <c r="HL250" s="66"/>
      <c r="HM250" s="66"/>
      <c r="HN250" s="66"/>
      <c r="HO250" s="66"/>
      <c r="HP250" s="66"/>
      <c r="HQ250" s="66"/>
      <c r="HR250" s="66"/>
      <c r="HS250" s="66"/>
      <c r="HT250" s="66"/>
      <c r="HU250" s="66"/>
      <c r="HV250" s="66"/>
      <c r="HW250" s="66"/>
      <c r="HX250" s="66"/>
      <c r="HY250" s="66"/>
      <c r="HZ250" s="66"/>
      <c r="IA250" s="66"/>
      <c r="IB250" s="66"/>
      <c r="IC250" s="66"/>
      <c r="ID250" s="66"/>
      <c r="IE250" s="66"/>
      <c r="IF250" s="66"/>
      <c r="IG250" s="66"/>
      <c r="IH250" s="66"/>
      <c r="II250" s="66"/>
      <c r="IJ250" s="66"/>
      <c r="IK250" s="66"/>
      <c r="IL250" s="66"/>
      <c r="IM250" s="66"/>
      <c r="IN250" s="66"/>
      <c r="IO250" s="66"/>
      <c r="IP250" s="66"/>
      <c r="IQ250" s="66"/>
      <c r="IR250" s="66"/>
      <c r="IS250" s="66"/>
      <c r="IT250" s="66"/>
      <c r="IU250" s="66"/>
      <c r="IV250" s="66"/>
      <c r="IW250" s="66"/>
      <c r="IX250" s="66"/>
      <c r="IY250" s="66"/>
      <c r="IZ250" s="66"/>
      <c r="JA250" s="66"/>
      <c r="JB250" s="66"/>
      <c r="JC250" s="66"/>
      <c r="JD250" s="66"/>
      <c r="JE250" s="66"/>
      <c r="JF250" s="66"/>
      <c r="JG250" s="66"/>
      <c r="JH250" s="66"/>
      <c r="JI250" s="66"/>
      <c r="JJ250" s="66"/>
      <c r="JK250" s="66"/>
      <c r="JL250" s="66"/>
      <c r="JM250" s="66"/>
      <c r="JN250" s="66"/>
      <c r="JO250" s="66"/>
      <c r="JP250" s="66"/>
      <c r="JQ250" s="66"/>
      <c r="JR250" s="66"/>
      <c r="JS250" s="66"/>
      <c r="JT250" s="66"/>
      <c r="JU250" s="66"/>
      <c r="JV250" s="66"/>
      <c r="JW250" s="66"/>
      <c r="JX250" s="66"/>
      <c r="JY250" s="66"/>
      <c r="JZ250" s="66"/>
      <c r="KA250" s="66"/>
      <c r="KB250" s="66"/>
      <c r="KC250" s="66"/>
      <c r="KD250" s="66"/>
      <c r="KE250" s="66"/>
      <c r="KF250" s="66"/>
      <c r="KG250" s="66"/>
      <c r="KH250" s="66"/>
      <c r="KI250" s="66"/>
      <c r="KJ250" s="66"/>
      <c r="KK250" s="66"/>
      <c r="KL250" s="66"/>
      <c r="KM250" s="66"/>
      <c r="KN250" s="66"/>
      <c r="KO250" s="66"/>
      <c r="KP250" s="66"/>
      <c r="KQ250" s="66"/>
      <c r="KR250" s="66"/>
      <c r="KS250" s="66"/>
      <c r="KT250" s="66"/>
      <c r="KU250" s="66"/>
      <c r="KV250" s="66"/>
      <c r="KW250" s="66"/>
      <c r="KX250" s="66"/>
      <c r="KY250" s="66"/>
      <c r="KZ250" s="66"/>
      <c r="LA250" s="66"/>
      <c r="LB250" s="66"/>
      <c r="LC250" s="66"/>
      <c r="LD250" s="66"/>
      <c r="LE250" s="66"/>
      <c r="LF250" s="66"/>
      <c r="LG250" s="66"/>
      <c r="LH250" s="66"/>
      <c r="LI250" s="66"/>
      <c r="LJ250" s="66"/>
      <c r="LK250" s="66"/>
      <c r="LL250" s="66"/>
      <c r="LM250" s="66"/>
      <c r="LN250" s="66"/>
      <c r="LO250" s="66"/>
      <c r="LP250" s="66"/>
      <c r="LQ250" s="66"/>
      <c r="LR250" s="66"/>
      <c r="LS250" s="66"/>
      <c r="LT250" s="66"/>
      <c r="LU250" s="66"/>
      <c r="LV250" s="66"/>
      <c r="LW250" s="66"/>
      <c r="LX250" s="66"/>
      <c r="LY250" s="66"/>
      <c r="LZ250" s="66"/>
      <c r="MA250" s="66"/>
      <c r="MB250" s="66"/>
      <c r="MC250" s="66"/>
      <c r="MD250" s="66"/>
      <c r="ME250" s="66"/>
      <c r="MF250" s="66"/>
      <c r="MG250" s="66"/>
      <c r="MH250" s="66"/>
      <c r="MI250" s="66"/>
      <c r="MJ250" s="66"/>
      <c r="MK250" s="66"/>
      <c r="ML250" s="66"/>
      <c r="MM250" s="66"/>
      <c r="MN250" s="66"/>
      <c r="MO250" s="66"/>
      <c r="MP250" s="66"/>
      <c r="MQ250" s="66"/>
      <c r="MR250" s="66"/>
      <c r="MS250" s="66"/>
      <c r="MT250" s="66"/>
      <c r="MU250" s="66"/>
      <c r="MV250" s="66"/>
      <c r="MW250" s="66"/>
      <c r="MX250" s="66"/>
      <c r="MY250" s="66"/>
      <c r="MZ250" s="66"/>
      <c r="NA250" s="66"/>
      <c r="NB250" s="66"/>
      <c r="NC250" s="66"/>
      <c r="ND250" s="66"/>
      <c r="NE250" s="66"/>
      <c r="NF250" s="66"/>
      <c r="NG250" s="66"/>
      <c r="NH250" s="66"/>
      <c r="NI250" s="66"/>
      <c r="NJ250" s="66"/>
      <c r="NK250" s="66"/>
      <c r="NL250" s="66"/>
      <c r="NM250" s="66"/>
      <c r="NN250" s="66"/>
      <c r="NO250" s="66"/>
      <c r="NP250" s="66"/>
      <c r="NQ250" s="66"/>
      <c r="NR250" s="66"/>
      <c r="NS250" s="66"/>
      <c r="NT250" s="66"/>
      <c r="NU250" s="66"/>
      <c r="NV250" s="66"/>
      <c r="NW250" s="66"/>
      <c r="NX250" s="66"/>
      <c r="NY250" s="66"/>
      <c r="NZ250" s="66"/>
      <c r="OA250" s="66"/>
      <c r="OB250" s="66"/>
      <c r="OC250" s="66"/>
      <c r="OD250" s="66"/>
      <c r="OE250" s="66"/>
      <c r="OF250" s="66"/>
      <c r="OG250" s="66"/>
      <c r="OH250" s="66"/>
      <c r="OI250" s="66"/>
      <c r="OJ250" s="66"/>
      <c r="OK250" s="66"/>
      <c r="OL250" s="66"/>
      <c r="OM250" s="66"/>
      <c r="ON250" s="66"/>
      <c r="OO250" s="66"/>
      <c r="OP250" s="66"/>
      <c r="OQ250" s="66"/>
      <c r="OR250" s="66"/>
      <c r="OS250" s="66"/>
      <c r="OT250" s="66"/>
      <c r="OU250" s="66"/>
      <c r="OV250" s="66"/>
      <c r="OW250" s="66"/>
      <c r="OX250" s="66"/>
      <c r="OY250" s="66"/>
      <c r="OZ250" s="66"/>
      <c r="PA250" s="66"/>
      <c r="PB250" s="66"/>
      <c r="PC250" s="66"/>
      <c r="PD250" s="66"/>
      <c r="PE250" s="66"/>
      <c r="PF250" s="66"/>
      <c r="PG250" s="66"/>
      <c r="PH250" s="66"/>
      <c r="PI250" s="66"/>
      <c r="PJ250" s="66"/>
      <c r="PK250" s="66"/>
      <c r="PL250" s="66"/>
      <c r="PM250" s="66"/>
      <c r="PN250" s="66"/>
      <c r="PO250" s="66"/>
      <c r="PP250" s="66"/>
      <c r="PQ250" s="66"/>
      <c r="PR250" s="66"/>
      <c r="PS250" s="66"/>
      <c r="PT250" s="66"/>
      <c r="PU250" s="66"/>
      <c r="PV250" s="66"/>
      <c r="PW250" s="66"/>
      <c r="PX250" s="66"/>
      <c r="PY250" s="66"/>
      <c r="PZ250" s="66"/>
      <c r="QA250" s="66"/>
      <c r="QB250" s="66"/>
      <c r="QC250" s="66"/>
      <c r="QD250" s="66"/>
      <c r="QE250" s="66"/>
      <c r="QF250" s="66"/>
      <c r="QG250" s="66"/>
      <c r="QH250" s="66"/>
      <c r="QI250" s="66"/>
      <c r="QJ250" s="66"/>
      <c r="QK250" s="66"/>
      <c r="QL250" s="66"/>
      <c r="QM250" s="66"/>
      <c r="QN250" s="66"/>
      <c r="QO250" s="66"/>
      <c r="QP250" s="66"/>
      <c r="QQ250" s="66"/>
      <c r="QR250" s="66"/>
      <c r="QS250" s="66"/>
      <c r="QT250" s="66"/>
      <c r="QU250" s="66"/>
      <c r="QV250" s="66"/>
      <c r="QW250" s="66"/>
      <c r="QX250" s="66"/>
      <c r="QY250" s="66"/>
      <c r="QZ250" s="66"/>
      <c r="RA250" s="66"/>
      <c r="RB250" s="66"/>
      <c r="RC250" s="66"/>
      <c r="RD250" s="4"/>
    </row>
    <row r="251" spans="1:472" x14ac:dyDescent="0.25">
      <c r="I251" s="66"/>
      <c r="J251" s="66"/>
      <c r="K251" s="66"/>
      <c r="L251" s="66"/>
      <c r="M251" s="66"/>
      <c r="N251" s="66"/>
      <c r="O251" s="66"/>
      <c r="P251" s="66"/>
      <c r="Q251" s="66"/>
      <c r="R251" s="66"/>
      <c r="S251" s="66"/>
      <c r="T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c r="DA251" s="66"/>
      <c r="DB251" s="66"/>
      <c r="DC251" s="66"/>
      <c r="DD251" s="66"/>
      <c r="DE251" s="66"/>
      <c r="DF251" s="66"/>
      <c r="DG251" s="66"/>
      <c r="DH251" s="66"/>
      <c r="DI251" s="66"/>
      <c r="DJ251" s="66"/>
      <c r="DK251" s="66"/>
      <c r="DL251" s="66"/>
      <c r="DM251" s="66"/>
      <c r="DN251" s="66"/>
      <c r="DO251" s="66"/>
      <c r="DP251" s="66"/>
      <c r="DQ251" s="66"/>
      <c r="DR251" s="66"/>
      <c r="DS251" s="66"/>
      <c r="DT251" s="66"/>
      <c r="DU251" s="66"/>
      <c r="DV251" s="66"/>
      <c r="DW251" s="66"/>
      <c r="DX251" s="66"/>
      <c r="DY251" s="66"/>
      <c r="DZ251" s="66"/>
      <c r="EA251" s="66"/>
      <c r="EB251" s="66"/>
      <c r="EC251" s="66"/>
      <c r="ED251" s="66"/>
      <c r="EE251" s="66"/>
      <c r="EF251" s="66"/>
      <c r="EG251" s="66"/>
      <c r="EH251" s="66"/>
      <c r="EI251" s="66"/>
      <c r="EJ251" s="66"/>
      <c r="EK251" s="66"/>
      <c r="EL251" s="66"/>
      <c r="EM251" s="66"/>
      <c r="EN251" s="66"/>
      <c r="EO251" s="66"/>
      <c r="EP251" s="66"/>
      <c r="EQ251" s="66"/>
      <c r="ER251" s="66"/>
      <c r="ES251" s="66"/>
      <c r="ET251" s="66"/>
      <c r="EU251" s="66"/>
      <c r="EV251" s="66"/>
      <c r="EW251" s="66"/>
      <c r="EX251" s="66"/>
      <c r="EY251" s="66"/>
      <c r="EZ251" s="66"/>
      <c r="FA251" s="66"/>
      <c r="FB251" s="66"/>
      <c r="FC251" s="66"/>
      <c r="FD251" s="66"/>
      <c r="FE251" s="66"/>
      <c r="FF251" s="66"/>
      <c r="FG251" s="66"/>
      <c r="FH251" s="66"/>
      <c r="FI251" s="66"/>
      <c r="FJ251" s="66"/>
      <c r="FK251" s="66"/>
      <c r="FL251" s="66"/>
      <c r="FM251" s="66"/>
      <c r="FN251" s="66"/>
      <c r="FO251" s="66"/>
      <c r="FP251" s="66"/>
      <c r="FQ251" s="66"/>
      <c r="FR251" s="66"/>
      <c r="FS251" s="66"/>
      <c r="FT251" s="66"/>
      <c r="FU251" s="66"/>
      <c r="FV251" s="66"/>
      <c r="FW251" s="66"/>
      <c r="FX251" s="66"/>
      <c r="FY251" s="66"/>
      <c r="FZ251" s="66"/>
      <c r="GA251" s="66"/>
      <c r="GB251" s="66"/>
      <c r="GC251" s="66"/>
      <c r="GD251" s="66"/>
      <c r="GE251" s="66"/>
      <c r="GF251" s="66"/>
      <c r="GG251" s="66"/>
      <c r="GH251" s="66"/>
      <c r="GI251" s="66"/>
      <c r="GJ251" s="66"/>
      <c r="GK251" s="66"/>
      <c r="GL251" s="66"/>
      <c r="GM251" s="66"/>
      <c r="GN251" s="66"/>
      <c r="GO251" s="66"/>
      <c r="GP251" s="66"/>
      <c r="GQ251" s="66"/>
      <c r="GR251" s="66"/>
      <c r="GS251" s="66"/>
      <c r="GT251" s="66"/>
      <c r="GU251" s="66"/>
      <c r="GV251" s="66"/>
      <c r="GW251" s="66"/>
      <c r="GX251" s="66"/>
      <c r="GY251" s="66"/>
      <c r="GZ251" s="66"/>
      <c r="HA251" s="66"/>
      <c r="HB251" s="66"/>
      <c r="HC251" s="66"/>
      <c r="HD251" s="66"/>
      <c r="HE251" s="66"/>
      <c r="HF251" s="66"/>
      <c r="HG251" s="66"/>
      <c r="HH251" s="66"/>
      <c r="HI251" s="66"/>
      <c r="HJ251" s="66"/>
      <c r="HK251" s="66"/>
      <c r="HL251" s="66"/>
      <c r="HM251" s="66"/>
      <c r="HN251" s="66"/>
      <c r="HO251" s="66"/>
      <c r="HP251" s="66"/>
      <c r="HQ251" s="66"/>
      <c r="HR251" s="66"/>
      <c r="HS251" s="66"/>
      <c r="HT251" s="66"/>
      <c r="HU251" s="66"/>
      <c r="HV251" s="66"/>
      <c r="HW251" s="66"/>
      <c r="HX251" s="66"/>
      <c r="HY251" s="66"/>
      <c r="HZ251" s="66"/>
      <c r="IA251" s="66"/>
      <c r="IB251" s="66"/>
      <c r="IC251" s="66"/>
      <c r="ID251" s="66"/>
      <c r="IE251" s="66"/>
      <c r="IF251" s="66"/>
      <c r="IG251" s="66"/>
      <c r="IH251" s="66"/>
      <c r="II251" s="66"/>
      <c r="IJ251" s="66"/>
      <c r="IK251" s="66"/>
      <c r="IL251" s="66"/>
      <c r="IM251" s="66"/>
      <c r="IN251" s="66"/>
      <c r="IO251" s="66"/>
      <c r="IP251" s="66"/>
      <c r="IQ251" s="66"/>
      <c r="IR251" s="66"/>
      <c r="IS251" s="66"/>
      <c r="IT251" s="66"/>
      <c r="IU251" s="66"/>
      <c r="IV251" s="66"/>
      <c r="IW251" s="66"/>
      <c r="IX251" s="66"/>
      <c r="IY251" s="66"/>
      <c r="IZ251" s="66"/>
      <c r="JA251" s="66"/>
      <c r="JB251" s="66"/>
      <c r="JC251" s="66"/>
      <c r="JD251" s="66"/>
      <c r="JE251" s="66"/>
      <c r="JF251" s="66"/>
      <c r="JG251" s="66"/>
      <c r="JH251" s="66"/>
      <c r="JI251" s="66"/>
      <c r="JJ251" s="66"/>
      <c r="JK251" s="66"/>
      <c r="JL251" s="66"/>
      <c r="JM251" s="66"/>
      <c r="JN251" s="66"/>
      <c r="JO251" s="66"/>
      <c r="JP251" s="66"/>
      <c r="JQ251" s="66"/>
      <c r="JR251" s="66"/>
      <c r="JS251" s="66"/>
      <c r="JT251" s="66"/>
      <c r="JU251" s="66"/>
      <c r="JV251" s="66"/>
      <c r="JW251" s="66"/>
      <c r="JX251" s="66"/>
      <c r="JY251" s="66"/>
      <c r="JZ251" s="66"/>
      <c r="KA251" s="66"/>
      <c r="KB251" s="66"/>
      <c r="KC251" s="66"/>
      <c r="KD251" s="66"/>
      <c r="KE251" s="66"/>
      <c r="KF251" s="66"/>
      <c r="KG251" s="66"/>
      <c r="KH251" s="66"/>
      <c r="KI251" s="66"/>
      <c r="KJ251" s="66"/>
      <c r="KK251" s="66"/>
      <c r="KL251" s="66"/>
      <c r="KM251" s="66"/>
      <c r="KN251" s="66"/>
      <c r="KO251" s="66"/>
      <c r="KP251" s="66"/>
      <c r="KQ251" s="66"/>
      <c r="KR251" s="66"/>
      <c r="KS251" s="66"/>
      <c r="KT251" s="66"/>
      <c r="KU251" s="66"/>
      <c r="KV251" s="66"/>
      <c r="KW251" s="66"/>
      <c r="KX251" s="66"/>
      <c r="KY251" s="66"/>
      <c r="KZ251" s="66"/>
      <c r="LA251" s="66"/>
      <c r="LB251" s="66"/>
      <c r="LC251" s="66"/>
      <c r="LD251" s="66"/>
      <c r="LE251" s="66"/>
      <c r="LF251" s="66"/>
      <c r="LG251" s="66"/>
      <c r="LH251" s="66"/>
      <c r="LI251" s="66"/>
      <c r="LJ251" s="66"/>
      <c r="LK251" s="66"/>
      <c r="LL251" s="66"/>
      <c r="LM251" s="66"/>
      <c r="LN251" s="66"/>
      <c r="LO251" s="66"/>
      <c r="LP251" s="66"/>
      <c r="LQ251" s="66"/>
      <c r="LR251" s="66"/>
      <c r="LS251" s="66"/>
      <c r="LT251" s="66"/>
      <c r="LU251" s="66"/>
      <c r="LV251" s="66"/>
      <c r="LW251" s="66"/>
      <c r="LX251" s="66"/>
      <c r="LY251" s="66"/>
      <c r="LZ251" s="66"/>
      <c r="MA251" s="66"/>
      <c r="MB251" s="66"/>
      <c r="MC251" s="66"/>
      <c r="MD251" s="66"/>
      <c r="ME251" s="66"/>
      <c r="MF251" s="66"/>
      <c r="MG251" s="66"/>
      <c r="MH251" s="66"/>
      <c r="MI251" s="66"/>
      <c r="MJ251" s="66"/>
      <c r="MK251" s="66"/>
      <c r="ML251" s="66"/>
      <c r="MM251" s="66"/>
      <c r="MN251" s="66"/>
      <c r="MO251" s="66"/>
      <c r="MP251" s="66"/>
      <c r="MQ251" s="66"/>
      <c r="MR251" s="66"/>
      <c r="MS251" s="66"/>
      <c r="MT251" s="66"/>
      <c r="MU251" s="66"/>
      <c r="MV251" s="66"/>
      <c r="MW251" s="66"/>
      <c r="MX251" s="66"/>
      <c r="MY251" s="66"/>
      <c r="MZ251" s="66"/>
      <c r="NA251" s="66"/>
      <c r="NB251" s="66"/>
      <c r="NC251" s="66"/>
      <c r="ND251" s="66"/>
      <c r="NE251" s="66"/>
      <c r="NF251" s="66"/>
      <c r="NG251" s="66"/>
      <c r="NH251" s="66"/>
      <c r="NI251" s="66"/>
      <c r="NJ251" s="66"/>
      <c r="NK251" s="66"/>
      <c r="NL251" s="66"/>
      <c r="NM251" s="66"/>
      <c r="NN251" s="66"/>
      <c r="NO251" s="66"/>
      <c r="NP251" s="66"/>
      <c r="NQ251" s="66"/>
      <c r="NR251" s="66"/>
      <c r="NS251" s="66"/>
      <c r="NT251" s="66"/>
      <c r="NU251" s="66"/>
      <c r="NV251" s="66"/>
      <c r="NW251" s="66"/>
      <c r="NX251" s="66"/>
      <c r="NY251" s="66"/>
      <c r="NZ251" s="66"/>
      <c r="OA251" s="66"/>
      <c r="OB251" s="66"/>
      <c r="OC251" s="66"/>
      <c r="OD251" s="66"/>
      <c r="OE251" s="66"/>
      <c r="OF251" s="66"/>
      <c r="OG251" s="66"/>
      <c r="OH251" s="66"/>
      <c r="OI251" s="66"/>
      <c r="OJ251" s="66"/>
      <c r="OK251" s="66"/>
      <c r="OL251" s="66"/>
      <c r="OM251" s="66"/>
      <c r="ON251" s="66"/>
      <c r="OO251" s="66"/>
      <c r="OP251" s="66"/>
      <c r="OQ251" s="66"/>
      <c r="OR251" s="66"/>
      <c r="OS251" s="66"/>
      <c r="OT251" s="66"/>
      <c r="OU251" s="66"/>
      <c r="OV251" s="66"/>
      <c r="OW251" s="66"/>
      <c r="OX251" s="66"/>
      <c r="OY251" s="66"/>
      <c r="OZ251" s="66"/>
      <c r="PA251" s="66"/>
      <c r="PB251" s="66"/>
      <c r="PC251" s="66"/>
      <c r="PD251" s="66"/>
      <c r="PE251" s="66"/>
      <c r="PF251" s="66"/>
      <c r="PG251" s="66"/>
      <c r="PH251" s="66"/>
      <c r="PI251" s="66"/>
      <c r="PJ251" s="66"/>
      <c r="PK251" s="66"/>
      <c r="PL251" s="66"/>
      <c r="PM251" s="66"/>
      <c r="PN251" s="66"/>
      <c r="PO251" s="66"/>
      <c r="PP251" s="66"/>
      <c r="PQ251" s="66"/>
      <c r="PR251" s="66"/>
      <c r="PS251" s="66"/>
      <c r="PT251" s="66"/>
      <c r="PU251" s="66"/>
      <c r="PV251" s="66"/>
      <c r="PW251" s="66"/>
      <c r="PX251" s="66"/>
      <c r="PY251" s="66"/>
      <c r="PZ251" s="66"/>
      <c r="QA251" s="66"/>
      <c r="QB251" s="66"/>
      <c r="QC251" s="66"/>
      <c r="QD251" s="66"/>
      <c r="QE251" s="66"/>
      <c r="QF251" s="66"/>
      <c r="QG251" s="66"/>
      <c r="QH251" s="66"/>
      <c r="QI251" s="66"/>
      <c r="QJ251" s="66"/>
      <c r="QK251" s="66"/>
      <c r="QL251" s="66"/>
      <c r="QM251" s="66"/>
      <c r="QN251" s="66"/>
      <c r="QO251" s="66"/>
      <c r="QP251" s="66"/>
      <c r="QQ251" s="66"/>
      <c r="QR251" s="66"/>
      <c r="QS251" s="66"/>
      <c r="QT251" s="66"/>
      <c r="QU251" s="66"/>
      <c r="QV251" s="66"/>
      <c r="QW251" s="66"/>
      <c r="QX251" s="66"/>
      <c r="QY251" s="66"/>
      <c r="QZ251" s="66"/>
      <c r="RA251" s="66"/>
      <c r="RB251" s="66"/>
      <c r="RC251" s="66"/>
      <c r="RD251" s="4"/>
    </row>
    <row r="252" spans="1:472" x14ac:dyDescent="0.25">
      <c r="I252" s="66"/>
      <c r="J252" s="66"/>
      <c r="K252" s="66"/>
      <c r="L252" s="66"/>
      <c r="M252" s="66"/>
      <c r="N252" s="66"/>
      <c r="O252" s="66"/>
      <c r="P252" s="66"/>
      <c r="Q252" s="66"/>
      <c r="R252" s="66"/>
      <c r="S252" s="66"/>
      <c r="T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c r="DA252" s="66"/>
      <c r="DB252" s="66"/>
      <c r="DC252" s="66"/>
      <c r="DD252" s="66"/>
      <c r="DE252" s="66"/>
      <c r="DF252" s="66"/>
      <c r="DG252" s="66"/>
      <c r="DH252" s="66"/>
      <c r="DI252" s="66"/>
      <c r="DJ252" s="66"/>
      <c r="DK252" s="66"/>
      <c r="DL252" s="66"/>
      <c r="DM252" s="66"/>
      <c r="DN252" s="66"/>
      <c r="DO252" s="66"/>
      <c r="DP252" s="66"/>
      <c r="DQ252" s="66"/>
      <c r="DR252" s="66"/>
      <c r="DS252" s="66"/>
      <c r="DT252" s="66"/>
      <c r="DU252" s="66"/>
      <c r="DV252" s="66"/>
      <c r="DW252" s="66"/>
      <c r="DX252" s="66"/>
      <c r="DY252" s="66"/>
      <c r="DZ252" s="66"/>
      <c r="EA252" s="66"/>
      <c r="EB252" s="66"/>
      <c r="EC252" s="66"/>
      <c r="ED252" s="66"/>
      <c r="EE252" s="66"/>
      <c r="EF252" s="66"/>
      <c r="EG252" s="66"/>
      <c r="EH252" s="66"/>
      <c r="EI252" s="66"/>
      <c r="EJ252" s="66"/>
      <c r="EK252" s="66"/>
      <c r="EL252" s="66"/>
      <c r="EM252" s="66"/>
      <c r="EN252" s="66"/>
      <c r="EO252" s="66"/>
      <c r="EP252" s="66"/>
      <c r="EQ252" s="66"/>
      <c r="ER252" s="66"/>
      <c r="ES252" s="66"/>
      <c r="ET252" s="66"/>
      <c r="EU252" s="66"/>
      <c r="EV252" s="66"/>
      <c r="EW252" s="66"/>
      <c r="EX252" s="66"/>
      <c r="EY252" s="66"/>
      <c r="EZ252" s="66"/>
      <c r="FA252" s="66"/>
      <c r="FB252" s="66"/>
      <c r="FC252" s="66"/>
      <c r="FD252" s="66"/>
      <c r="FE252" s="66"/>
      <c r="FF252" s="66"/>
      <c r="FG252" s="66"/>
      <c r="FH252" s="66"/>
      <c r="FI252" s="66"/>
      <c r="FJ252" s="66"/>
      <c r="FK252" s="66"/>
      <c r="FL252" s="66"/>
      <c r="FM252" s="66"/>
      <c r="FN252" s="66"/>
      <c r="FO252" s="66"/>
      <c r="FP252" s="66"/>
      <c r="FQ252" s="66"/>
      <c r="FR252" s="66"/>
      <c r="FS252" s="66"/>
      <c r="FT252" s="66"/>
      <c r="FU252" s="66"/>
      <c r="FV252" s="66"/>
      <c r="FW252" s="66"/>
      <c r="FX252" s="66"/>
      <c r="FY252" s="66"/>
      <c r="FZ252" s="66"/>
      <c r="GA252" s="66"/>
      <c r="GB252" s="66"/>
      <c r="GC252" s="66"/>
      <c r="GD252" s="66"/>
      <c r="GE252" s="66"/>
      <c r="GF252" s="66"/>
      <c r="GG252" s="66"/>
      <c r="GH252" s="66"/>
      <c r="GI252" s="66"/>
      <c r="GJ252" s="66"/>
      <c r="GK252" s="66"/>
      <c r="GL252" s="66"/>
      <c r="GM252" s="66"/>
      <c r="GN252" s="66"/>
      <c r="GO252" s="66"/>
      <c r="GP252" s="66"/>
      <c r="GQ252" s="66"/>
      <c r="GR252" s="66"/>
      <c r="GS252" s="66"/>
      <c r="GT252" s="66"/>
      <c r="GU252" s="66"/>
      <c r="GV252" s="66"/>
      <c r="GW252" s="66"/>
      <c r="GX252" s="66"/>
      <c r="GY252" s="66"/>
      <c r="GZ252" s="66"/>
      <c r="HA252" s="66"/>
      <c r="HB252" s="66"/>
      <c r="HC252" s="66"/>
      <c r="HD252" s="66"/>
      <c r="HE252" s="66"/>
      <c r="HF252" s="66"/>
      <c r="HG252" s="66"/>
      <c r="HH252" s="66"/>
      <c r="HI252" s="66"/>
      <c r="HJ252" s="66"/>
      <c r="HK252" s="66"/>
      <c r="HL252" s="66"/>
      <c r="HM252" s="66"/>
      <c r="HN252" s="66"/>
      <c r="HO252" s="66"/>
      <c r="HP252" s="66"/>
      <c r="HQ252" s="66"/>
      <c r="HR252" s="66"/>
      <c r="HS252" s="66"/>
      <c r="HT252" s="66"/>
      <c r="HU252" s="66"/>
      <c r="HV252" s="66"/>
      <c r="HW252" s="66"/>
      <c r="HX252" s="66"/>
      <c r="HY252" s="66"/>
      <c r="HZ252" s="66"/>
      <c r="IA252" s="66"/>
      <c r="IB252" s="66"/>
      <c r="IC252" s="66"/>
      <c r="ID252" s="66"/>
      <c r="IE252" s="66"/>
      <c r="IF252" s="66"/>
      <c r="IG252" s="66"/>
      <c r="IH252" s="66"/>
      <c r="II252" s="66"/>
      <c r="IJ252" s="66"/>
      <c r="IK252" s="66"/>
      <c r="IL252" s="66"/>
      <c r="IM252" s="66"/>
      <c r="IN252" s="66"/>
      <c r="IO252" s="66"/>
      <c r="IP252" s="66"/>
      <c r="IQ252" s="66"/>
      <c r="IR252" s="66"/>
      <c r="IS252" s="66"/>
      <c r="IT252" s="66"/>
      <c r="IU252" s="66"/>
      <c r="IV252" s="66"/>
      <c r="IW252" s="66"/>
      <c r="IX252" s="66"/>
      <c r="IY252" s="66"/>
      <c r="IZ252" s="66"/>
      <c r="JA252" s="66"/>
      <c r="JB252" s="66"/>
      <c r="JC252" s="66"/>
      <c r="JD252" s="66"/>
      <c r="JE252" s="66"/>
      <c r="JF252" s="66"/>
      <c r="JG252" s="66"/>
      <c r="JH252" s="66"/>
      <c r="JI252" s="66"/>
      <c r="JJ252" s="66"/>
      <c r="JK252" s="66"/>
      <c r="JL252" s="66"/>
      <c r="JM252" s="66"/>
      <c r="JN252" s="66"/>
      <c r="JO252" s="66"/>
      <c r="JP252" s="66"/>
      <c r="JQ252" s="66"/>
      <c r="JR252" s="66"/>
      <c r="JS252" s="66"/>
      <c r="JT252" s="66"/>
      <c r="JU252" s="66"/>
      <c r="JV252" s="66"/>
      <c r="JW252" s="66"/>
      <c r="JX252" s="66"/>
      <c r="JY252" s="66"/>
      <c r="JZ252" s="66"/>
      <c r="KA252" s="66"/>
      <c r="KB252" s="66"/>
      <c r="KC252" s="66"/>
      <c r="KD252" s="66"/>
      <c r="KE252" s="66"/>
      <c r="KF252" s="66"/>
      <c r="KG252" s="66"/>
      <c r="KH252" s="66"/>
      <c r="KI252" s="66"/>
      <c r="KJ252" s="66"/>
      <c r="KK252" s="66"/>
      <c r="KL252" s="66"/>
      <c r="KM252" s="66"/>
      <c r="KN252" s="66"/>
      <c r="KO252" s="66"/>
      <c r="KP252" s="66"/>
      <c r="KQ252" s="66"/>
      <c r="KR252" s="66"/>
      <c r="KS252" s="66"/>
      <c r="KT252" s="66"/>
      <c r="KU252" s="66"/>
      <c r="KV252" s="66"/>
      <c r="KW252" s="66"/>
      <c r="KX252" s="66"/>
      <c r="KY252" s="66"/>
      <c r="KZ252" s="66"/>
      <c r="LA252" s="66"/>
      <c r="LB252" s="66"/>
      <c r="LC252" s="66"/>
      <c r="LD252" s="66"/>
      <c r="LE252" s="66"/>
      <c r="LF252" s="66"/>
      <c r="LG252" s="66"/>
      <c r="LH252" s="66"/>
      <c r="LI252" s="66"/>
      <c r="LJ252" s="66"/>
      <c r="LK252" s="66"/>
      <c r="LL252" s="66"/>
      <c r="LM252" s="66"/>
      <c r="LN252" s="66"/>
      <c r="LO252" s="66"/>
      <c r="LP252" s="66"/>
      <c r="LQ252" s="66"/>
      <c r="LR252" s="66"/>
      <c r="LS252" s="66"/>
      <c r="LT252" s="66"/>
      <c r="LU252" s="66"/>
      <c r="LV252" s="66"/>
      <c r="LW252" s="66"/>
      <c r="LX252" s="66"/>
      <c r="LY252" s="66"/>
      <c r="LZ252" s="66"/>
      <c r="MA252" s="66"/>
      <c r="MB252" s="66"/>
      <c r="MC252" s="66"/>
      <c r="MD252" s="66"/>
      <c r="ME252" s="66"/>
      <c r="MF252" s="66"/>
      <c r="MG252" s="66"/>
      <c r="MH252" s="66"/>
      <c r="MI252" s="66"/>
      <c r="MJ252" s="66"/>
      <c r="MK252" s="66"/>
      <c r="ML252" s="66"/>
      <c r="MM252" s="66"/>
      <c r="MN252" s="66"/>
      <c r="MO252" s="66"/>
      <c r="MP252" s="66"/>
      <c r="MQ252" s="66"/>
      <c r="MR252" s="66"/>
      <c r="MS252" s="66"/>
      <c r="MT252" s="66"/>
      <c r="MU252" s="66"/>
      <c r="MV252" s="66"/>
      <c r="MW252" s="66"/>
      <c r="MX252" s="66"/>
      <c r="MY252" s="66"/>
      <c r="MZ252" s="66"/>
      <c r="NA252" s="66"/>
      <c r="NB252" s="66"/>
      <c r="NC252" s="66"/>
      <c r="ND252" s="66"/>
      <c r="NE252" s="66"/>
      <c r="NF252" s="66"/>
      <c r="NG252" s="66"/>
      <c r="NH252" s="66"/>
      <c r="NI252" s="66"/>
      <c r="NJ252" s="66"/>
      <c r="NK252" s="66"/>
      <c r="NL252" s="66"/>
      <c r="NM252" s="66"/>
      <c r="NN252" s="66"/>
      <c r="NO252" s="66"/>
      <c r="NP252" s="66"/>
      <c r="NQ252" s="66"/>
      <c r="NR252" s="66"/>
      <c r="NS252" s="66"/>
      <c r="NT252" s="66"/>
      <c r="NU252" s="66"/>
      <c r="NV252" s="66"/>
      <c r="NW252" s="66"/>
      <c r="NX252" s="66"/>
      <c r="NY252" s="66"/>
      <c r="NZ252" s="66"/>
      <c r="OA252" s="66"/>
      <c r="OB252" s="66"/>
      <c r="OC252" s="66"/>
      <c r="OD252" s="66"/>
      <c r="OE252" s="66"/>
      <c r="OF252" s="66"/>
      <c r="OG252" s="66"/>
      <c r="OH252" s="66"/>
      <c r="OI252" s="66"/>
      <c r="OJ252" s="66"/>
      <c r="OK252" s="66"/>
      <c r="OL252" s="66"/>
      <c r="OM252" s="66"/>
      <c r="ON252" s="66"/>
      <c r="OO252" s="66"/>
      <c r="OP252" s="66"/>
      <c r="OQ252" s="66"/>
      <c r="OR252" s="66"/>
      <c r="OS252" s="66"/>
      <c r="OT252" s="66"/>
      <c r="OU252" s="66"/>
      <c r="OV252" s="66"/>
      <c r="OW252" s="66"/>
      <c r="OX252" s="66"/>
      <c r="OY252" s="66"/>
      <c r="OZ252" s="66"/>
      <c r="PA252" s="66"/>
      <c r="PB252" s="66"/>
      <c r="PC252" s="66"/>
      <c r="PD252" s="66"/>
      <c r="PE252" s="66"/>
      <c r="PF252" s="66"/>
      <c r="PG252" s="66"/>
      <c r="PH252" s="66"/>
      <c r="PI252" s="66"/>
      <c r="PJ252" s="66"/>
      <c r="PK252" s="66"/>
      <c r="PL252" s="66"/>
      <c r="PM252" s="66"/>
      <c r="PN252" s="66"/>
      <c r="PO252" s="66"/>
      <c r="PP252" s="66"/>
      <c r="PQ252" s="66"/>
      <c r="PR252" s="66"/>
      <c r="PS252" s="66"/>
      <c r="PT252" s="66"/>
      <c r="PU252" s="66"/>
      <c r="PV252" s="66"/>
      <c r="PW252" s="66"/>
      <c r="PX252" s="66"/>
      <c r="PY252" s="66"/>
      <c r="PZ252" s="66"/>
      <c r="QA252" s="66"/>
      <c r="QB252" s="66"/>
      <c r="QC252" s="66"/>
      <c r="QD252" s="66"/>
      <c r="QE252" s="66"/>
      <c r="QF252" s="66"/>
      <c r="QG252" s="66"/>
      <c r="QH252" s="66"/>
      <c r="QI252" s="66"/>
      <c r="QJ252" s="66"/>
      <c r="QK252" s="66"/>
      <c r="QL252" s="66"/>
      <c r="QM252" s="66"/>
      <c r="QN252" s="66"/>
      <c r="QO252" s="66"/>
      <c r="QP252" s="66"/>
      <c r="QQ252" s="66"/>
      <c r="QR252" s="66"/>
      <c r="QS252" s="66"/>
      <c r="QT252" s="66"/>
      <c r="QU252" s="66"/>
      <c r="QV252" s="66"/>
      <c r="QW252" s="66"/>
      <c r="QX252" s="66"/>
      <c r="QY252" s="66"/>
      <c r="QZ252" s="66"/>
      <c r="RA252" s="66"/>
      <c r="RB252" s="66"/>
      <c r="RC252" s="66"/>
      <c r="RD252" s="4"/>
    </row>
    <row r="253" spans="1:472" x14ac:dyDescent="0.25">
      <c r="I253" s="66"/>
      <c r="J253" s="66"/>
      <c r="K253" s="66"/>
      <c r="L253" s="66"/>
      <c r="M253" s="66"/>
      <c r="N253" s="66"/>
      <c r="O253" s="66"/>
      <c r="P253" s="66"/>
      <c r="Q253" s="66"/>
      <c r="R253" s="66"/>
      <c r="S253" s="66"/>
      <c r="T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c r="CY253" s="66"/>
      <c r="CZ253" s="66"/>
      <c r="DA253" s="66"/>
      <c r="DB253" s="66"/>
      <c r="DC253" s="66"/>
      <c r="DD253" s="66"/>
      <c r="DE253" s="66"/>
      <c r="DF253" s="66"/>
      <c r="DG253" s="66"/>
      <c r="DH253" s="66"/>
      <c r="DI253" s="66"/>
      <c r="DJ253" s="66"/>
      <c r="DK253" s="66"/>
      <c r="DL253" s="66"/>
      <c r="DM253" s="66"/>
      <c r="DN253" s="66"/>
      <c r="DO253" s="66"/>
      <c r="DP253" s="66"/>
      <c r="DQ253" s="66"/>
      <c r="DR253" s="66"/>
      <c r="DS253" s="66"/>
      <c r="DT253" s="66"/>
      <c r="DU253" s="66"/>
      <c r="DV253" s="66"/>
      <c r="DW253" s="66"/>
      <c r="DX253" s="66"/>
      <c r="DY253" s="66"/>
      <c r="DZ253" s="66"/>
      <c r="EA253" s="66"/>
      <c r="EB253" s="66"/>
      <c r="EC253" s="66"/>
      <c r="ED253" s="66"/>
      <c r="EE253" s="66"/>
      <c r="EF253" s="66"/>
      <c r="EG253" s="66"/>
      <c r="EH253" s="66"/>
      <c r="EI253" s="66"/>
      <c r="EJ253" s="66"/>
      <c r="EK253" s="66"/>
      <c r="EL253" s="66"/>
      <c r="EM253" s="66"/>
      <c r="EN253" s="66"/>
      <c r="EO253" s="66"/>
      <c r="EP253" s="66"/>
      <c r="EQ253" s="66"/>
      <c r="ER253" s="66"/>
      <c r="ES253" s="66"/>
      <c r="ET253" s="66"/>
      <c r="EU253" s="66"/>
      <c r="EV253" s="66"/>
      <c r="EW253" s="66"/>
      <c r="EX253" s="66"/>
      <c r="EY253" s="66"/>
      <c r="EZ253" s="66"/>
      <c r="FA253" s="66"/>
      <c r="FB253" s="66"/>
      <c r="FC253" s="66"/>
      <c r="FD253" s="66"/>
      <c r="FE253" s="66"/>
      <c r="FF253" s="66"/>
      <c r="FG253" s="66"/>
      <c r="FH253" s="66"/>
      <c r="FI253" s="66"/>
      <c r="FJ253" s="66"/>
      <c r="FK253" s="66"/>
      <c r="FL253" s="66"/>
      <c r="FM253" s="66"/>
      <c r="FN253" s="66"/>
      <c r="FO253" s="66"/>
      <c r="FP253" s="66"/>
      <c r="FQ253" s="66"/>
      <c r="FR253" s="66"/>
      <c r="FS253" s="66"/>
      <c r="FT253" s="66"/>
      <c r="FU253" s="66"/>
      <c r="FV253" s="66"/>
      <c r="FW253" s="66"/>
      <c r="FX253" s="66"/>
      <c r="FY253" s="66"/>
      <c r="FZ253" s="66"/>
      <c r="GA253" s="66"/>
      <c r="GB253" s="66"/>
      <c r="GC253" s="66"/>
      <c r="GD253" s="66"/>
      <c r="GE253" s="66"/>
      <c r="GF253" s="66"/>
      <c r="GG253" s="66"/>
      <c r="GH253" s="66"/>
      <c r="GI253" s="66"/>
      <c r="GJ253" s="66"/>
      <c r="GK253" s="66"/>
      <c r="GL253" s="66"/>
      <c r="GM253" s="66"/>
      <c r="GN253" s="66"/>
      <c r="GO253" s="66"/>
      <c r="GP253" s="66"/>
      <c r="GQ253" s="66"/>
      <c r="GR253" s="66"/>
      <c r="GS253" s="66"/>
      <c r="GT253" s="66"/>
      <c r="GU253" s="66"/>
      <c r="GV253" s="66"/>
      <c r="GW253" s="66"/>
      <c r="GX253" s="66"/>
      <c r="GY253" s="66"/>
      <c r="GZ253" s="66"/>
      <c r="HA253" s="66"/>
      <c r="HB253" s="66"/>
      <c r="HC253" s="66"/>
      <c r="HD253" s="66"/>
      <c r="HE253" s="66"/>
      <c r="HF253" s="66"/>
      <c r="HG253" s="66"/>
      <c r="HH253" s="66"/>
      <c r="HI253" s="66"/>
      <c r="HJ253" s="66"/>
      <c r="HK253" s="66"/>
      <c r="HL253" s="66"/>
      <c r="HM253" s="66"/>
      <c r="HN253" s="66"/>
      <c r="HO253" s="66"/>
      <c r="HP253" s="66"/>
      <c r="HQ253" s="66"/>
      <c r="HR253" s="66"/>
      <c r="HS253" s="66"/>
      <c r="HT253" s="66"/>
      <c r="HU253" s="66"/>
      <c r="HV253" s="66"/>
      <c r="HW253" s="66"/>
      <c r="HX253" s="66"/>
      <c r="HY253" s="66"/>
      <c r="HZ253" s="66"/>
      <c r="IA253" s="66"/>
      <c r="IB253" s="66"/>
      <c r="IC253" s="66"/>
      <c r="ID253" s="66"/>
      <c r="IE253" s="66"/>
      <c r="IF253" s="66"/>
      <c r="IG253" s="66"/>
      <c r="IH253" s="66"/>
      <c r="II253" s="66"/>
      <c r="IJ253" s="66"/>
      <c r="IK253" s="66"/>
      <c r="IL253" s="66"/>
      <c r="IM253" s="66"/>
      <c r="IN253" s="66"/>
      <c r="IO253" s="66"/>
      <c r="IP253" s="66"/>
      <c r="IQ253" s="66"/>
      <c r="IR253" s="66"/>
      <c r="IS253" s="66"/>
      <c r="IT253" s="66"/>
      <c r="IU253" s="66"/>
      <c r="IV253" s="66"/>
      <c r="IW253" s="66"/>
      <c r="IX253" s="66"/>
      <c r="IY253" s="66"/>
      <c r="IZ253" s="66"/>
      <c r="JA253" s="66"/>
      <c r="JB253" s="66"/>
      <c r="JC253" s="66"/>
      <c r="JD253" s="66"/>
      <c r="JE253" s="66"/>
      <c r="JF253" s="66"/>
      <c r="JG253" s="66"/>
      <c r="JH253" s="66"/>
      <c r="JI253" s="66"/>
      <c r="JJ253" s="66"/>
      <c r="JK253" s="66"/>
      <c r="JL253" s="66"/>
      <c r="JM253" s="66"/>
      <c r="JN253" s="66"/>
      <c r="JO253" s="66"/>
      <c r="JP253" s="66"/>
      <c r="JQ253" s="66"/>
      <c r="JR253" s="66"/>
      <c r="JS253" s="66"/>
      <c r="JT253" s="66"/>
      <c r="JU253" s="66"/>
      <c r="JV253" s="66"/>
      <c r="JW253" s="66"/>
      <c r="JX253" s="66"/>
      <c r="JY253" s="66"/>
      <c r="JZ253" s="66"/>
      <c r="KA253" s="66"/>
      <c r="KB253" s="66"/>
      <c r="KC253" s="66"/>
      <c r="KD253" s="66"/>
      <c r="KE253" s="66"/>
      <c r="KF253" s="66"/>
      <c r="KG253" s="66"/>
      <c r="KH253" s="66"/>
      <c r="KI253" s="66"/>
      <c r="KJ253" s="66"/>
      <c r="KK253" s="66"/>
      <c r="KL253" s="66"/>
      <c r="KM253" s="66"/>
      <c r="KN253" s="66"/>
      <c r="KO253" s="66"/>
      <c r="KP253" s="66"/>
      <c r="KQ253" s="66"/>
      <c r="KR253" s="66"/>
      <c r="KS253" s="66"/>
      <c r="KT253" s="66"/>
      <c r="KU253" s="66"/>
      <c r="KV253" s="66"/>
      <c r="KW253" s="66"/>
      <c r="KX253" s="66"/>
      <c r="KY253" s="66"/>
      <c r="KZ253" s="66"/>
      <c r="LA253" s="66"/>
      <c r="LB253" s="66"/>
      <c r="LC253" s="66"/>
      <c r="LD253" s="66"/>
      <c r="LE253" s="66"/>
      <c r="LF253" s="66"/>
      <c r="LG253" s="66"/>
      <c r="LH253" s="66"/>
      <c r="LI253" s="66"/>
      <c r="LJ253" s="66"/>
      <c r="LK253" s="66"/>
      <c r="LL253" s="66"/>
      <c r="LM253" s="66"/>
      <c r="LN253" s="66"/>
      <c r="LO253" s="66"/>
      <c r="LP253" s="66"/>
      <c r="LQ253" s="66"/>
      <c r="LR253" s="66"/>
      <c r="LS253" s="66"/>
      <c r="LT253" s="66"/>
      <c r="LU253" s="66"/>
      <c r="LV253" s="66"/>
      <c r="LW253" s="66"/>
      <c r="LX253" s="66"/>
      <c r="LY253" s="66"/>
      <c r="LZ253" s="66"/>
      <c r="MA253" s="66"/>
      <c r="MB253" s="66"/>
      <c r="MC253" s="66"/>
      <c r="MD253" s="66"/>
      <c r="ME253" s="66"/>
      <c r="MF253" s="66"/>
      <c r="MG253" s="66"/>
      <c r="MH253" s="66"/>
      <c r="MI253" s="66"/>
      <c r="MJ253" s="66"/>
      <c r="MK253" s="66"/>
      <c r="ML253" s="66"/>
      <c r="MM253" s="66"/>
      <c r="MN253" s="66"/>
      <c r="MO253" s="66"/>
      <c r="MP253" s="66"/>
      <c r="MQ253" s="66"/>
      <c r="MR253" s="66"/>
      <c r="MS253" s="66"/>
      <c r="MT253" s="66"/>
      <c r="MU253" s="66"/>
      <c r="MV253" s="66"/>
      <c r="MW253" s="66"/>
      <c r="MX253" s="66"/>
      <c r="MY253" s="66"/>
      <c r="MZ253" s="66"/>
      <c r="NA253" s="66"/>
      <c r="NB253" s="66"/>
      <c r="NC253" s="66"/>
      <c r="ND253" s="66"/>
      <c r="NE253" s="66"/>
      <c r="NF253" s="66"/>
      <c r="NG253" s="66"/>
      <c r="NH253" s="66"/>
      <c r="NI253" s="66"/>
      <c r="NJ253" s="66"/>
      <c r="NK253" s="66"/>
      <c r="NL253" s="66"/>
      <c r="NM253" s="66"/>
      <c r="NN253" s="66"/>
      <c r="NO253" s="66"/>
      <c r="NP253" s="66"/>
      <c r="NQ253" s="66"/>
      <c r="NR253" s="66"/>
      <c r="NS253" s="66"/>
      <c r="NT253" s="66"/>
      <c r="NU253" s="66"/>
      <c r="NV253" s="66"/>
      <c r="NW253" s="66"/>
      <c r="NX253" s="66"/>
      <c r="NY253" s="66"/>
      <c r="NZ253" s="66"/>
      <c r="OA253" s="66"/>
      <c r="OB253" s="66"/>
      <c r="OC253" s="66"/>
      <c r="OD253" s="66"/>
      <c r="OE253" s="66"/>
      <c r="OF253" s="66"/>
      <c r="OG253" s="66"/>
      <c r="OH253" s="66"/>
      <c r="OI253" s="66"/>
      <c r="OJ253" s="66"/>
      <c r="OK253" s="66"/>
      <c r="OL253" s="66"/>
      <c r="OM253" s="66"/>
      <c r="ON253" s="66"/>
      <c r="OO253" s="66"/>
      <c r="OP253" s="66"/>
      <c r="OQ253" s="66"/>
      <c r="OR253" s="66"/>
      <c r="OS253" s="66"/>
      <c r="OT253" s="66"/>
      <c r="OU253" s="66"/>
      <c r="OV253" s="66"/>
      <c r="OW253" s="66"/>
      <c r="OX253" s="66"/>
      <c r="OY253" s="66"/>
      <c r="OZ253" s="66"/>
      <c r="PA253" s="66"/>
      <c r="PB253" s="66"/>
      <c r="PC253" s="66"/>
      <c r="PD253" s="66"/>
      <c r="PE253" s="66"/>
      <c r="PF253" s="66"/>
      <c r="PG253" s="66"/>
      <c r="PH253" s="66"/>
      <c r="PI253" s="66"/>
      <c r="PJ253" s="66"/>
      <c r="PK253" s="66"/>
      <c r="PL253" s="66"/>
      <c r="PM253" s="66"/>
      <c r="PN253" s="66"/>
      <c r="PO253" s="66"/>
      <c r="PP253" s="66"/>
      <c r="PQ253" s="66"/>
      <c r="PR253" s="66"/>
      <c r="PS253" s="66"/>
      <c r="PT253" s="66"/>
      <c r="PU253" s="66"/>
      <c r="PV253" s="66"/>
      <c r="PW253" s="66"/>
      <c r="PX253" s="66"/>
      <c r="PY253" s="66"/>
      <c r="PZ253" s="66"/>
      <c r="QA253" s="66"/>
      <c r="QB253" s="66"/>
      <c r="QC253" s="66"/>
      <c r="QD253" s="66"/>
      <c r="QE253" s="66"/>
      <c r="QF253" s="66"/>
      <c r="QG253" s="66"/>
      <c r="QH253" s="66"/>
      <c r="QI253" s="66"/>
      <c r="QJ253" s="66"/>
      <c r="QK253" s="66"/>
      <c r="QL253" s="66"/>
      <c r="QM253" s="66"/>
      <c r="QN253" s="66"/>
      <c r="QO253" s="66"/>
      <c r="QP253" s="66"/>
      <c r="QQ253" s="66"/>
      <c r="QR253" s="66"/>
      <c r="QS253" s="66"/>
      <c r="QT253" s="66"/>
      <c r="QU253" s="66"/>
      <c r="QV253" s="66"/>
      <c r="QW253" s="66"/>
      <c r="QX253" s="66"/>
      <c r="QY253" s="66"/>
      <c r="QZ253" s="66"/>
      <c r="RA253" s="66"/>
      <c r="RB253" s="66"/>
      <c r="RC253" s="66"/>
      <c r="RD253" s="4"/>
    </row>
    <row r="254" spans="1:472" x14ac:dyDescent="0.25">
      <c r="I254" s="66"/>
      <c r="J254" s="66"/>
      <c r="K254" s="66"/>
      <c r="L254" s="66"/>
      <c r="M254" s="66"/>
      <c r="N254" s="66"/>
      <c r="O254" s="66"/>
      <c r="P254" s="66"/>
      <c r="Q254" s="66"/>
      <c r="R254" s="66"/>
      <c r="S254" s="66"/>
      <c r="T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c r="CY254" s="66"/>
      <c r="CZ254" s="66"/>
      <c r="DA254" s="66"/>
      <c r="DB254" s="66"/>
      <c r="DC254" s="66"/>
      <c r="DD254" s="66"/>
      <c r="DE254" s="66"/>
      <c r="DF254" s="66"/>
      <c r="DG254" s="66"/>
      <c r="DH254" s="66"/>
      <c r="DI254" s="66"/>
      <c r="DJ254" s="66"/>
      <c r="DK254" s="66"/>
      <c r="DL254" s="66"/>
      <c r="DM254" s="66"/>
      <c r="DN254" s="66"/>
      <c r="DO254" s="66"/>
      <c r="DP254" s="66"/>
      <c r="DQ254" s="66"/>
      <c r="DR254" s="66"/>
      <c r="DS254" s="66"/>
      <c r="DT254" s="66"/>
      <c r="DU254" s="66"/>
      <c r="DV254" s="66"/>
      <c r="DW254" s="66"/>
      <c r="DX254" s="66"/>
      <c r="DY254" s="66"/>
      <c r="DZ254" s="66"/>
      <c r="EA254" s="66"/>
      <c r="EB254" s="66"/>
      <c r="EC254" s="66"/>
      <c r="ED254" s="66"/>
      <c r="EE254" s="66"/>
      <c r="EF254" s="66"/>
      <c r="EG254" s="66"/>
      <c r="EH254" s="66"/>
      <c r="EI254" s="66"/>
      <c r="EJ254" s="66"/>
      <c r="EK254" s="66"/>
      <c r="EL254" s="66"/>
      <c r="EM254" s="66"/>
      <c r="EN254" s="66"/>
      <c r="EO254" s="66"/>
      <c r="EP254" s="66"/>
      <c r="EQ254" s="66"/>
      <c r="ER254" s="66"/>
      <c r="ES254" s="66"/>
      <c r="ET254" s="66"/>
      <c r="EU254" s="66"/>
      <c r="EV254" s="66"/>
      <c r="EW254" s="66"/>
      <c r="EX254" s="66"/>
      <c r="EY254" s="66"/>
      <c r="EZ254" s="66"/>
      <c r="FA254" s="66"/>
      <c r="FB254" s="66"/>
      <c r="FC254" s="66"/>
      <c r="FD254" s="66"/>
      <c r="FE254" s="66"/>
      <c r="FF254" s="66"/>
      <c r="FG254" s="66"/>
      <c r="FH254" s="66"/>
      <c r="FI254" s="66"/>
      <c r="FJ254" s="66"/>
      <c r="FK254" s="66"/>
      <c r="FL254" s="66"/>
      <c r="FM254" s="66"/>
      <c r="FN254" s="66"/>
      <c r="FO254" s="66"/>
      <c r="FP254" s="66"/>
      <c r="FQ254" s="66"/>
      <c r="FR254" s="66"/>
      <c r="FS254" s="66"/>
      <c r="FT254" s="66"/>
      <c r="FU254" s="66"/>
      <c r="FV254" s="66"/>
      <c r="FW254" s="66"/>
      <c r="FX254" s="66"/>
      <c r="FY254" s="66"/>
      <c r="FZ254" s="66"/>
      <c r="GA254" s="66"/>
      <c r="GB254" s="66"/>
      <c r="GC254" s="66"/>
      <c r="GD254" s="66"/>
      <c r="GE254" s="66"/>
      <c r="GF254" s="66"/>
      <c r="GG254" s="66"/>
      <c r="GH254" s="66"/>
      <c r="GI254" s="66"/>
      <c r="GJ254" s="66"/>
      <c r="GK254" s="66"/>
      <c r="GL254" s="66"/>
      <c r="GM254" s="66"/>
      <c r="GN254" s="66"/>
      <c r="GO254" s="66"/>
      <c r="GP254" s="66"/>
      <c r="GQ254" s="66"/>
      <c r="GR254" s="66"/>
      <c r="GS254" s="66"/>
      <c r="GT254" s="66"/>
      <c r="GU254" s="66"/>
      <c r="GV254" s="66"/>
      <c r="GW254" s="66"/>
      <c r="GX254" s="66"/>
      <c r="GY254" s="66"/>
      <c r="GZ254" s="66"/>
      <c r="HA254" s="66"/>
      <c r="HB254" s="66"/>
      <c r="HC254" s="66"/>
      <c r="HD254" s="66"/>
      <c r="HE254" s="66"/>
      <c r="HF254" s="66"/>
      <c r="HG254" s="66"/>
      <c r="HH254" s="66"/>
      <c r="HI254" s="66"/>
      <c r="HJ254" s="66"/>
      <c r="HK254" s="66"/>
      <c r="HL254" s="66"/>
      <c r="HM254" s="66"/>
      <c r="HN254" s="66"/>
      <c r="HO254" s="66"/>
      <c r="HP254" s="66"/>
      <c r="HQ254" s="66"/>
      <c r="HR254" s="66"/>
      <c r="HS254" s="66"/>
      <c r="HT254" s="66"/>
      <c r="HU254" s="66"/>
      <c r="HV254" s="66"/>
      <c r="HW254" s="66"/>
      <c r="HX254" s="66"/>
      <c r="HY254" s="66"/>
      <c r="HZ254" s="66"/>
      <c r="IA254" s="66"/>
      <c r="IB254" s="66"/>
      <c r="IC254" s="66"/>
      <c r="ID254" s="66"/>
      <c r="IE254" s="66"/>
      <c r="IF254" s="66"/>
      <c r="IG254" s="66"/>
      <c r="IH254" s="66"/>
      <c r="II254" s="66"/>
      <c r="IJ254" s="66"/>
      <c r="IK254" s="66"/>
      <c r="IL254" s="66"/>
      <c r="IM254" s="66"/>
      <c r="IN254" s="66"/>
      <c r="IO254" s="66"/>
      <c r="IP254" s="66"/>
      <c r="IQ254" s="66"/>
      <c r="IR254" s="66"/>
      <c r="IS254" s="66"/>
      <c r="IT254" s="66"/>
      <c r="IU254" s="66"/>
      <c r="IV254" s="66"/>
      <c r="IW254" s="66"/>
      <c r="IX254" s="66"/>
      <c r="IY254" s="66"/>
      <c r="IZ254" s="66"/>
      <c r="JA254" s="66"/>
      <c r="JB254" s="66"/>
      <c r="JC254" s="66"/>
      <c r="JD254" s="66"/>
      <c r="JE254" s="66"/>
      <c r="JF254" s="66"/>
      <c r="JG254" s="66"/>
      <c r="JH254" s="66"/>
      <c r="JI254" s="66"/>
      <c r="JJ254" s="66"/>
      <c r="JK254" s="66"/>
      <c r="JL254" s="66"/>
      <c r="JM254" s="66"/>
      <c r="JN254" s="66"/>
      <c r="JO254" s="66"/>
      <c r="JP254" s="66"/>
      <c r="JQ254" s="66"/>
      <c r="JR254" s="66"/>
      <c r="JS254" s="66"/>
      <c r="JT254" s="66"/>
      <c r="JU254" s="66"/>
      <c r="JV254" s="66"/>
      <c r="JW254" s="66"/>
      <c r="JX254" s="66"/>
      <c r="JY254" s="66"/>
      <c r="JZ254" s="66"/>
      <c r="KA254" s="66"/>
      <c r="KB254" s="66"/>
      <c r="KC254" s="66"/>
      <c r="KD254" s="66"/>
      <c r="KE254" s="66"/>
      <c r="KF254" s="66"/>
      <c r="KG254" s="66"/>
      <c r="KH254" s="66"/>
      <c r="KI254" s="66"/>
      <c r="KJ254" s="66"/>
      <c r="KK254" s="66"/>
      <c r="KL254" s="66"/>
      <c r="KM254" s="66"/>
      <c r="KN254" s="66"/>
      <c r="KO254" s="66"/>
      <c r="KP254" s="66"/>
      <c r="KQ254" s="66"/>
      <c r="KR254" s="66"/>
      <c r="KS254" s="66"/>
      <c r="KT254" s="66"/>
      <c r="KU254" s="66"/>
      <c r="KV254" s="66"/>
      <c r="KW254" s="66"/>
      <c r="KX254" s="66"/>
      <c r="KY254" s="66"/>
      <c r="KZ254" s="66"/>
      <c r="LA254" s="66"/>
      <c r="LB254" s="66"/>
      <c r="LC254" s="66"/>
      <c r="LD254" s="66"/>
      <c r="LE254" s="66"/>
      <c r="LF254" s="66"/>
      <c r="LG254" s="66"/>
      <c r="LH254" s="66"/>
      <c r="LI254" s="66"/>
      <c r="LJ254" s="66"/>
      <c r="LK254" s="66"/>
      <c r="LL254" s="66"/>
      <c r="LM254" s="66"/>
      <c r="LN254" s="66"/>
      <c r="LO254" s="66"/>
      <c r="LP254" s="66"/>
      <c r="LQ254" s="66"/>
      <c r="LR254" s="66"/>
      <c r="LS254" s="66"/>
      <c r="LT254" s="66"/>
      <c r="LU254" s="66"/>
      <c r="LV254" s="66"/>
      <c r="LW254" s="66"/>
      <c r="LX254" s="66"/>
      <c r="LY254" s="66"/>
      <c r="LZ254" s="66"/>
      <c r="MA254" s="66"/>
      <c r="MB254" s="66"/>
      <c r="MC254" s="66"/>
      <c r="MD254" s="66"/>
      <c r="ME254" s="66"/>
      <c r="MF254" s="66"/>
      <c r="MG254" s="66"/>
      <c r="MH254" s="66"/>
      <c r="MI254" s="66"/>
      <c r="MJ254" s="66"/>
      <c r="MK254" s="66"/>
      <c r="ML254" s="66"/>
      <c r="MM254" s="66"/>
      <c r="MN254" s="66"/>
      <c r="MO254" s="66"/>
      <c r="MP254" s="66"/>
      <c r="MQ254" s="66"/>
      <c r="MR254" s="66"/>
      <c r="MS254" s="66"/>
      <c r="MT254" s="66"/>
      <c r="MU254" s="66"/>
      <c r="MV254" s="66"/>
      <c r="MW254" s="66"/>
      <c r="MX254" s="66"/>
      <c r="MY254" s="66"/>
      <c r="MZ254" s="66"/>
      <c r="NA254" s="66"/>
      <c r="NB254" s="66"/>
      <c r="NC254" s="66"/>
      <c r="ND254" s="66"/>
      <c r="NE254" s="66"/>
      <c r="NF254" s="66"/>
      <c r="NG254" s="66"/>
      <c r="NH254" s="66"/>
      <c r="NI254" s="66"/>
      <c r="NJ254" s="66"/>
      <c r="NK254" s="66"/>
      <c r="NL254" s="66"/>
      <c r="NM254" s="66"/>
      <c r="NN254" s="66"/>
      <c r="NO254" s="66"/>
      <c r="NP254" s="66"/>
      <c r="NQ254" s="66"/>
      <c r="NR254" s="66"/>
      <c r="NS254" s="66"/>
      <c r="NT254" s="66"/>
      <c r="NU254" s="66"/>
      <c r="NV254" s="66"/>
      <c r="NW254" s="66"/>
      <c r="NX254" s="66"/>
      <c r="NY254" s="66"/>
      <c r="NZ254" s="66"/>
      <c r="OA254" s="66"/>
      <c r="OB254" s="66"/>
      <c r="OC254" s="66"/>
      <c r="OD254" s="66"/>
      <c r="OE254" s="66"/>
      <c r="OF254" s="66"/>
      <c r="OG254" s="66"/>
      <c r="OH254" s="66"/>
      <c r="OI254" s="66"/>
      <c r="OJ254" s="66"/>
      <c r="OK254" s="66"/>
      <c r="OL254" s="66"/>
      <c r="OM254" s="66"/>
      <c r="ON254" s="66"/>
      <c r="OO254" s="66"/>
      <c r="OP254" s="66"/>
      <c r="OQ254" s="66"/>
      <c r="OR254" s="66"/>
      <c r="OS254" s="66"/>
      <c r="OT254" s="66"/>
      <c r="OU254" s="66"/>
      <c r="OV254" s="66"/>
      <c r="OW254" s="66"/>
      <c r="OX254" s="66"/>
      <c r="OY254" s="66"/>
      <c r="OZ254" s="66"/>
      <c r="PA254" s="66"/>
      <c r="PB254" s="66"/>
      <c r="PC254" s="66"/>
      <c r="PD254" s="66"/>
      <c r="PE254" s="66"/>
      <c r="PF254" s="66"/>
      <c r="PG254" s="66"/>
      <c r="PH254" s="66"/>
      <c r="PI254" s="66"/>
      <c r="PJ254" s="66"/>
      <c r="PK254" s="66"/>
      <c r="PL254" s="66"/>
      <c r="PM254" s="66"/>
      <c r="PN254" s="66"/>
      <c r="PO254" s="66"/>
      <c r="PP254" s="66"/>
      <c r="PQ254" s="66"/>
      <c r="PR254" s="66"/>
      <c r="PS254" s="66"/>
      <c r="PT254" s="66"/>
      <c r="PU254" s="66"/>
      <c r="PV254" s="66"/>
      <c r="PW254" s="66"/>
      <c r="PX254" s="66"/>
      <c r="PY254" s="66"/>
      <c r="PZ254" s="66"/>
      <c r="QA254" s="66"/>
      <c r="QB254" s="66"/>
      <c r="QC254" s="66"/>
      <c r="QD254" s="66"/>
      <c r="QE254" s="66"/>
      <c r="QF254" s="66"/>
      <c r="QG254" s="66"/>
      <c r="QH254" s="66"/>
      <c r="QI254" s="66"/>
      <c r="QJ254" s="66"/>
      <c r="QK254" s="66"/>
      <c r="QL254" s="66"/>
      <c r="QM254" s="66"/>
      <c r="QN254" s="66"/>
      <c r="QO254" s="66"/>
      <c r="QP254" s="66"/>
      <c r="QQ254" s="66"/>
      <c r="QR254" s="66"/>
      <c r="QS254" s="66"/>
      <c r="QT254" s="66"/>
      <c r="QU254" s="66"/>
      <c r="QV254" s="66"/>
      <c r="QW254" s="66"/>
      <c r="QX254" s="66"/>
      <c r="QY254" s="66"/>
      <c r="QZ254" s="66"/>
      <c r="RA254" s="66"/>
      <c r="RB254" s="66"/>
      <c r="RC254" s="66"/>
      <c r="RD254" s="4"/>
    </row>
    <row r="255" spans="1:472" x14ac:dyDescent="0.25">
      <c r="I255" s="66"/>
      <c r="J255" s="66"/>
      <c r="K255" s="66"/>
      <c r="L255" s="66"/>
      <c r="M255" s="66"/>
      <c r="N255" s="66"/>
      <c r="O255" s="66"/>
      <c r="P255" s="66"/>
      <c r="Q255" s="66"/>
      <c r="R255" s="66"/>
      <c r="S255" s="66"/>
      <c r="T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6"/>
      <c r="DI255" s="66"/>
      <c r="DJ255" s="66"/>
      <c r="DK255" s="66"/>
      <c r="DL255" s="66"/>
      <c r="DM255" s="66"/>
      <c r="DN255" s="66"/>
      <c r="DO255" s="66"/>
      <c r="DP255" s="66"/>
      <c r="DQ255" s="66"/>
      <c r="DR255" s="66"/>
      <c r="DS255" s="66"/>
      <c r="DT255" s="66"/>
      <c r="DU255" s="66"/>
      <c r="DV255" s="66"/>
      <c r="DW255" s="66"/>
      <c r="DX255" s="66"/>
      <c r="DY255" s="66"/>
      <c r="DZ255" s="66"/>
      <c r="EA255" s="66"/>
      <c r="EB255" s="66"/>
      <c r="EC255" s="66"/>
      <c r="ED255" s="66"/>
      <c r="EE255" s="66"/>
      <c r="EF255" s="66"/>
      <c r="EG255" s="66"/>
      <c r="EH255" s="66"/>
      <c r="EI255" s="66"/>
      <c r="EJ255" s="66"/>
      <c r="EK255" s="66"/>
      <c r="EL255" s="66"/>
      <c r="EM255" s="66"/>
      <c r="EN255" s="66"/>
      <c r="EO255" s="66"/>
      <c r="EP255" s="66"/>
      <c r="EQ255" s="66"/>
      <c r="ER255" s="66"/>
      <c r="ES255" s="66"/>
      <c r="ET255" s="66"/>
      <c r="EU255" s="66"/>
      <c r="EV255" s="66"/>
      <c r="EW255" s="66"/>
      <c r="EX255" s="66"/>
      <c r="EY255" s="66"/>
      <c r="EZ255" s="66"/>
      <c r="FA255" s="66"/>
      <c r="FB255" s="66"/>
      <c r="FC255" s="66"/>
      <c r="FD255" s="66"/>
      <c r="FE255" s="66"/>
      <c r="FF255" s="66"/>
      <c r="FG255" s="66"/>
      <c r="FH255" s="66"/>
      <c r="FI255" s="66"/>
      <c r="FJ255" s="66"/>
      <c r="FK255" s="66"/>
      <c r="FL255" s="66"/>
      <c r="FM255" s="66"/>
      <c r="FN255" s="66"/>
      <c r="FO255" s="66"/>
      <c r="FP255" s="66"/>
      <c r="FQ255" s="66"/>
      <c r="FR255" s="66"/>
      <c r="FS255" s="66"/>
      <c r="FT255" s="66"/>
      <c r="FU255" s="66"/>
      <c r="FV255" s="66"/>
      <c r="FW255" s="66"/>
      <c r="FX255" s="66"/>
      <c r="FY255" s="66"/>
      <c r="FZ255" s="66"/>
      <c r="GA255" s="66"/>
      <c r="GB255" s="66"/>
      <c r="GC255" s="66"/>
      <c r="GD255" s="66"/>
      <c r="GE255" s="66"/>
      <c r="GF255" s="66"/>
      <c r="GG255" s="66"/>
      <c r="GH255" s="66"/>
      <c r="GI255" s="66"/>
      <c r="GJ255" s="66"/>
      <c r="GK255" s="66"/>
      <c r="GL255" s="66"/>
      <c r="GM255" s="66"/>
      <c r="GN255" s="66"/>
      <c r="GO255" s="66"/>
      <c r="GP255" s="66"/>
      <c r="GQ255" s="66"/>
      <c r="GR255" s="66"/>
      <c r="GS255" s="66"/>
      <c r="GT255" s="66"/>
      <c r="GU255" s="66"/>
      <c r="GV255" s="66"/>
      <c r="GW255" s="66"/>
      <c r="GX255" s="66"/>
      <c r="GY255" s="66"/>
      <c r="GZ255" s="66"/>
      <c r="HA255" s="66"/>
      <c r="HB255" s="66"/>
      <c r="HC255" s="66"/>
      <c r="HD255" s="66"/>
      <c r="HE255" s="66"/>
      <c r="HF255" s="66"/>
      <c r="HG255" s="66"/>
      <c r="HH255" s="66"/>
      <c r="HI255" s="66"/>
      <c r="HJ255" s="66"/>
      <c r="HK255" s="66"/>
      <c r="HL255" s="66"/>
      <c r="HM255" s="66"/>
      <c r="HN255" s="66"/>
      <c r="HO255" s="66"/>
      <c r="HP255" s="66"/>
      <c r="HQ255" s="66"/>
      <c r="HR255" s="66"/>
      <c r="HS255" s="66"/>
      <c r="HT255" s="66"/>
      <c r="HU255" s="66"/>
      <c r="HV255" s="66"/>
      <c r="HW255" s="66"/>
      <c r="HX255" s="66"/>
      <c r="HY255" s="66"/>
      <c r="HZ255" s="66"/>
      <c r="IA255" s="66"/>
      <c r="IB255" s="66"/>
      <c r="IC255" s="66"/>
      <c r="ID255" s="66"/>
      <c r="IE255" s="66"/>
      <c r="IF255" s="66"/>
      <c r="IG255" s="66"/>
      <c r="IH255" s="66"/>
      <c r="II255" s="66"/>
      <c r="IJ255" s="66"/>
      <c r="IK255" s="66"/>
      <c r="IL255" s="66"/>
      <c r="IM255" s="66"/>
      <c r="IN255" s="66"/>
      <c r="IO255" s="66"/>
      <c r="IP255" s="66"/>
      <c r="IQ255" s="66"/>
      <c r="IR255" s="66"/>
      <c r="IS255" s="66"/>
      <c r="IT255" s="66"/>
      <c r="IU255" s="66"/>
      <c r="IV255" s="66"/>
      <c r="IW255" s="66"/>
      <c r="IX255" s="66"/>
      <c r="IY255" s="66"/>
      <c r="IZ255" s="66"/>
      <c r="JA255" s="66"/>
      <c r="JB255" s="66"/>
      <c r="JC255" s="66"/>
      <c r="JD255" s="66"/>
      <c r="JE255" s="66"/>
      <c r="JF255" s="66"/>
      <c r="JG255" s="66"/>
      <c r="JH255" s="66"/>
      <c r="JI255" s="66"/>
      <c r="JJ255" s="66"/>
      <c r="JK255" s="66"/>
      <c r="JL255" s="66"/>
      <c r="JM255" s="66"/>
      <c r="JN255" s="66"/>
      <c r="JO255" s="66"/>
      <c r="JP255" s="66"/>
      <c r="JQ255" s="66"/>
      <c r="JR255" s="66"/>
      <c r="JS255" s="66"/>
      <c r="JT255" s="66"/>
      <c r="JU255" s="66"/>
      <c r="JV255" s="66"/>
      <c r="JW255" s="66"/>
      <c r="JX255" s="66"/>
      <c r="JY255" s="66"/>
      <c r="JZ255" s="66"/>
      <c r="KA255" s="66"/>
      <c r="KB255" s="66"/>
      <c r="KC255" s="66"/>
      <c r="KD255" s="66"/>
      <c r="KE255" s="66"/>
      <c r="KF255" s="66"/>
      <c r="KG255" s="66"/>
      <c r="KH255" s="66"/>
      <c r="KI255" s="66"/>
      <c r="KJ255" s="66"/>
      <c r="KK255" s="66"/>
      <c r="KL255" s="66"/>
      <c r="KM255" s="66"/>
      <c r="KN255" s="66"/>
      <c r="KO255" s="66"/>
      <c r="KP255" s="66"/>
      <c r="KQ255" s="66"/>
      <c r="KR255" s="66"/>
      <c r="KS255" s="66"/>
      <c r="KT255" s="66"/>
      <c r="KU255" s="66"/>
      <c r="KV255" s="66"/>
      <c r="KW255" s="66"/>
      <c r="KX255" s="66"/>
      <c r="KY255" s="66"/>
      <c r="KZ255" s="66"/>
      <c r="LA255" s="66"/>
      <c r="LB255" s="66"/>
      <c r="LC255" s="66"/>
      <c r="LD255" s="66"/>
      <c r="LE255" s="66"/>
      <c r="LF255" s="66"/>
      <c r="LG255" s="66"/>
      <c r="LH255" s="66"/>
      <c r="LI255" s="66"/>
      <c r="LJ255" s="66"/>
      <c r="LK255" s="66"/>
      <c r="LL255" s="66"/>
      <c r="LM255" s="66"/>
      <c r="LN255" s="66"/>
      <c r="LO255" s="66"/>
      <c r="LP255" s="66"/>
      <c r="LQ255" s="66"/>
      <c r="LR255" s="66"/>
      <c r="LS255" s="66"/>
      <c r="LT255" s="66"/>
      <c r="LU255" s="66"/>
      <c r="LV255" s="66"/>
      <c r="LW255" s="66"/>
      <c r="LX255" s="66"/>
      <c r="LY255" s="66"/>
      <c r="LZ255" s="66"/>
      <c r="MA255" s="66"/>
      <c r="MB255" s="66"/>
      <c r="MC255" s="66"/>
      <c r="MD255" s="66"/>
      <c r="ME255" s="66"/>
      <c r="MF255" s="66"/>
      <c r="MG255" s="66"/>
      <c r="MH255" s="66"/>
      <c r="MI255" s="66"/>
      <c r="MJ255" s="66"/>
      <c r="MK255" s="66"/>
      <c r="ML255" s="66"/>
      <c r="MM255" s="66"/>
      <c r="MN255" s="66"/>
      <c r="MO255" s="66"/>
      <c r="MP255" s="66"/>
      <c r="MQ255" s="66"/>
      <c r="MR255" s="66"/>
      <c r="MS255" s="66"/>
      <c r="MT255" s="66"/>
      <c r="MU255" s="66"/>
      <c r="MV255" s="66"/>
      <c r="MW255" s="66"/>
      <c r="MX255" s="66"/>
      <c r="MY255" s="66"/>
      <c r="MZ255" s="66"/>
      <c r="NA255" s="66"/>
      <c r="NB255" s="66"/>
      <c r="NC255" s="66"/>
      <c r="ND255" s="66"/>
      <c r="NE255" s="66"/>
      <c r="NF255" s="66"/>
      <c r="NG255" s="66"/>
      <c r="NH255" s="66"/>
      <c r="NI255" s="66"/>
      <c r="NJ255" s="66"/>
      <c r="NK255" s="66"/>
      <c r="NL255" s="66"/>
      <c r="NM255" s="66"/>
      <c r="NN255" s="66"/>
      <c r="NO255" s="66"/>
      <c r="NP255" s="66"/>
      <c r="NQ255" s="66"/>
      <c r="NR255" s="66"/>
      <c r="NS255" s="66"/>
      <c r="NT255" s="66"/>
      <c r="NU255" s="66"/>
      <c r="NV255" s="66"/>
      <c r="NW255" s="66"/>
      <c r="NX255" s="66"/>
      <c r="NY255" s="66"/>
      <c r="NZ255" s="66"/>
      <c r="OA255" s="66"/>
      <c r="OB255" s="66"/>
      <c r="OC255" s="66"/>
      <c r="OD255" s="66"/>
      <c r="OE255" s="66"/>
      <c r="OF255" s="66"/>
      <c r="OG255" s="66"/>
      <c r="OH255" s="66"/>
      <c r="OI255" s="66"/>
      <c r="OJ255" s="66"/>
      <c r="OK255" s="66"/>
      <c r="OL255" s="66"/>
      <c r="OM255" s="66"/>
      <c r="ON255" s="66"/>
      <c r="OO255" s="66"/>
      <c r="OP255" s="66"/>
      <c r="OQ255" s="66"/>
      <c r="OR255" s="66"/>
      <c r="OS255" s="66"/>
      <c r="OT255" s="66"/>
      <c r="OU255" s="66"/>
      <c r="OV255" s="66"/>
      <c r="OW255" s="66"/>
      <c r="OX255" s="66"/>
      <c r="OY255" s="66"/>
      <c r="OZ255" s="66"/>
      <c r="PA255" s="66"/>
      <c r="PB255" s="66"/>
      <c r="PC255" s="66"/>
      <c r="PD255" s="66"/>
      <c r="PE255" s="66"/>
      <c r="PF255" s="66"/>
      <c r="PG255" s="66"/>
      <c r="PH255" s="66"/>
      <c r="PI255" s="66"/>
      <c r="PJ255" s="66"/>
      <c r="PK255" s="66"/>
      <c r="PL255" s="66"/>
      <c r="PM255" s="66"/>
      <c r="PN255" s="66"/>
      <c r="PO255" s="66"/>
      <c r="PP255" s="66"/>
      <c r="PQ255" s="66"/>
      <c r="PR255" s="66"/>
      <c r="PS255" s="66"/>
      <c r="PT255" s="66"/>
      <c r="PU255" s="66"/>
      <c r="PV255" s="66"/>
      <c r="PW255" s="66"/>
      <c r="PX255" s="66"/>
      <c r="PY255" s="66"/>
      <c r="PZ255" s="66"/>
      <c r="QA255" s="66"/>
      <c r="QB255" s="66"/>
      <c r="QC255" s="66"/>
      <c r="QD255" s="66"/>
      <c r="QE255" s="66"/>
      <c r="QF255" s="66"/>
      <c r="QG255" s="66"/>
      <c r="QH255" s="66"/>
      <c r="QI255" s="66"/>
      <c r="QJ255" s="66"/>
      <c r="QK255" s="66"/>
      <c r="QL255" s="66"/>
      <c r="QM255" s="66"/>
      <c r="QN255" s="66"/>
      <c r="QO255" s="66"/>
      <c r="QP255" s="66"/>
      <c r="QQ255" s="66"/>
      <c r="QR255" s="66"/>
      <c r="QS255" s="66"/>
      <c r="QT255" s="66"/>
      <c r="QU255" s="66"/>
      <c r="QV255" s="66"/>
      <c r="QW255" s="66"/>
      <c r="QX255" s="66"/>
      <c r="QY255" s="66"/>
      <c r="QZ255" s="66"/>
      <c r="RA255" s="66"/>
      <c r="RB255" s="66"/>
      <c r="RC255" s="66"/>
      <c r="RD255" s="4"/>
    </row>
    <row r="256" spans="1:472" x14ac:dyDescent="0.25">
      <c r="I256" s="66"/>
      <c r="J256" s="66"/>
      <c r="K256" s="66"/>
      <c r="L256" s="66"/>
      <c r="M256" s="66"/>
      <c r="N256" s="66"/>
      <c r="O256" s="66"/>
      <c r="P256" s="66"/>
      <c r="Q256" s="66"/>
      <c r="R256" s="66"/>
      <c r="S256" s="66"/>
      <c r="T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c r="CY256" s="66"/>
      <c r="CZ256" s="66"/>
      <c r="DA256" s="66"/>
      <c r="DB256" s="66"/>
      <c r="DC256" s="66"/>
      <c r="DD256" s="66"/>
      <c r="DE256" s="66"/>
      <c r="DF256" s="66"/>
      <c r="DG256" s="66"/>
      <c r="DH256" s="66"/>
      <c r="DI256" s="66"/>
      <c r="DJ256" s="66"/>
      <c r="DK256" s="66"/>
      <c r="DL256" s="66"/>
      <c r="DM256" s="66"/>
      <c r="DN256" s="66"/>
      <c r="DO256" s="66"/>
      <c r="DP256" s="66"/>
      <c r="DQ256" s="66"/>
      <c r="DR256" s="66"/>
      <c r="DS256" s="66"/>
      <c r="DT256" s="66"/>
      <c r="DU256" s="66"/>
      <c r="DV256" s="66"/>
      <c r="DW256" s="66"/>
      <c r="DX256" s="66"/>
      <c r="DY256" s="66"/>
      <c r="DZ256" s="66"/>
      <c r="EA256" s="66"/>
      <c r="EB256" s="66"/>
      <c r="EC256" s="66"/>
      <c r="ED256" s="66"/>
      <c r="EE256" s="66"/>
      <c r="EF256" s="66"/>
      <c r="EG256" s="66"/>
      <c r="EH256" s="66"/>
      <c r="EI256" s="66"/>
      <c r="EJ256" s="66"/>
      <c r="EK256" s="66"/>
      <c r="EL256" s="66"/>
      <c r="EM256" s="66"/>
      <c r="EN256" s="66"/>
      <c r="EO256" s="66"/>
      <c r="EP256" s="66"/>
      <c r="EQ256" s="66"/>
      <c r="ER256" s="66"/>
      <c r="ES256" s="66"/>
      <c r="ET256" s="66"/>
      <c r="EU256" s="66"/>
      <c r="EV256" s="66"/>
      <c r="EW256" s="66"/>
      <c r="EX256" s="66"/>
      <c r="EY256" s="66"/>
      <c r="EZ256" s="66"/>
      <c r="FA256" s="66"/>
      <c r="FB256" s="66"/>
      <c r="FC256" s="66"/>
      <c r="FD256" s="66"/>
      <c r="FE256" s="66"/>
      <c r="FF256" s="66"/>
      <c r="FG256" s="66"/>
      <c r="FH256" s="66"/>
      <c r="FI256" s="66"/>
      <c r="FJ256" s="66"/>
      <c r="FK256" s="66"/>
      <c r="FL256" s="66"/>
      <c r="FM256" s="66"/>
      <c r="FN256" s="66"/>
      <c r="FO256" s="66"/>
      <c r="FP256" s="66"/>
      <c r="FQ256" s="66"/>
      <c r="FR256" s="66"/>
      <c r="FS256" s="66"/>
      <c r="FT256" s="66"/>
      <c r="FU256" s="66"/>
      <c r="FV256" s="66"/>
      <c r="FW256" s="66"/>
      <c r="FX256" s="66"/>
      <c r="FY256" s="66"/>
      <c r="FZ256" s="66"/>
      <c r="GA256" s="66"/>
      <c r="GB256" s="66"/>
      <c r="GC256" s="66"/>
      <c r="GD256" s="66"/>
      <c r="GE256" s="66"/>
      <c r="GF256" s="66"/>
      <c r="GG256" s="66"/>
      <c r="GH256" s="66"/>
      <c r="GI256" s="66"/>
      <c r="GJ256" s="66"/>
      <c r="GK256" s="66"/>
      <c r="GL256" s="66"/>
      <c r="GM256" s="66"/>
      <c r="GN256" s="66"/>
      <c r="GO256" s="66"/>
      <c r="GP256" s="66"/>
      <c r="GQ256" s="66"/>
      <c r="GR256" s="66"/>
      <c r="GS256" s="66"/>
      <c r="GT256" s="66"/>
      <c r="GU256" s="66"/>
      <c r="GV256" s="66"/>
      <c r="GW256" s="66"/>
      <c r="GX256" s="66"/>
      <c r="GY256" s="66"/>
      <c r="GZ256" s="66"/>
      <c r="HA256" s="66"/>
      <c r="HB256" s="66"/>
      <c r="HC256" s="66"/>
      <c r="HD256" s="66"/>
      <c r="HE256" s="66"/>
      <c r="HF256" s="66"/>
      <c r="HG256" s="66"/>
      <c r="HH256" s="66"/>
      <c r="HI256" s="66"/>
      <c r="HJ256" s="66"/>
      <c r="HK256" s="66"/>
      <c r="HL256" s="66"/>
      <c r="HM256" s="66"/>
      <c r="HN256" s="66"/>
      <c r="HO256" s="66"/>
      <c r="HP256" s="66"/>
      <c r="HQ256" s="66"/>
      <c r="HR256" s="66"/>
      <c r="HS256" s="66"/>
      <c r="HT256" s="66"/>
      <c r="HU256" s="66"/>
      <c r="HV256" s="66"/>
      <c r="HW256" s="66"/>
      <c r="HX256" s="66"/>
      <c r="HY256" s="66"/>
      <c r="HZ256" s="66"/>
      <c r="IA256" s="66"/>
      <c r="IB256" s="66"/>
      <c r="IC256" s="66"/>
      <c r="ID256" s="66"/>
      <c r="IE256" s="66"/>
      <c r="IF256" s="66"/>
      <c r="IG256" s="66"/>
      <c r="IH256" s="66"/>
      <c r="II256" s="66"/>
      <c r="IJ256" s="66"/>
      <c r="IK256" s="66"/>
      <c r="IL256" s="66"/>
      <c r="IM256" s="66"/>
      <c r="IN256" s="66"/>
      <c r="IO256" s="66"/>
      <c r="IP256" s="66"/>
      <c r="IQ256" s="66"/>
      <c r="IR256" s="66"/>
      <c r="IS256" s="66"/>
      <c r="IT256" s="66"/>
      <c r="IU256" s="66"/>
      <c r="IV256" s="66"/>
      <c r="IW256" s="66"/>
      <c r="IX256" s="66"/>
      <c r="IY256" s="66"/>
      <c r="IZ256" s="66"/>
      <c r="JA256" s="66"/>
      <c r="JB256" s="66"/>
      <c r="JC256" s="66"/>
      <c r="JD256" s="66"/>
      <c r="JE256" s="66"/>
      <c r="JF256" s="66"/>
      <c r="JG256" s="66"/>
      <c r="JH256" s="66"/>
      <c r="JI256" s="66"/>
      <c r="JJ256" s="66"/>
      <c r="JK256" s="66"/>
      <c r="JL256" s="66"/>
      <c r="JM256" s="66"/>
      <c r="JN256" s="66"/>
      <c r="JO256" s="66"/>
      <c r="JP256" s="66"/>
      <c r="JQ256" s="66"/>
      <c r="JR256" s="66"/>
      <c r="JS256" s="66"/>
      <c r="JT256" s="66"/>
      <c r="JU256" s="66"/>
      <c r="JV256" s="66"/>
      <c r="JW256" s="66"/>
      <c r="JX256" s="66"/>
      <c r="JY256" s="66"/>
      <c r="JZ256" s="66"/>
      <c r="KA256" s="66"/>
      <c r="KB256" s="66"/>
      <c r="KC256" s="66"/>
      <c r="KD256" s="66"/>
      <c r="KE256" s="66"/>
      <c r="KF256" s="66"/>
      <c r="KG256" s="66"/>
      <c r="KH256" s="66"/>
      <c r="KI256" s="66"/>
      <c r="KJ256" s="66"/>
      <c r="KK256" s="66"/>
      <c r="KL256" s="66"/>
      <c r="KM256" s="66"/>
      <c r="KN256" s="66"/>
      <c r="KO256" s="66"/>
      <c r="KP256" s="66"/>
      <c r="KQ256" s="66"/>
      <c r="KR256" s="66"/>
      <c r="KS256" s="66"/>
      <c r="KT256" s="66"/>
      <c r="KU256" s="66"/>
      <c r="KV256" s="66"/>
      <c r="KW256" s="66"/>
      <c r="KX256" s="66"/>
      <c r="KY256" s="66"/>
      <c r="KZ256" s="66"/>
      <c r="LA256" s="66"/>
      <c r="LB256" s="66"/>
      <c r="LC256" s="66"/>
      <c r="LD256" s="66"/>
      <c r="LE256" s="66"/>
      <c r="LF256" s="66"/>
      <c r="LG256" s="66"/>
      <c r="LH256" s="66"/>
      <c r="LI256" s="66"/>
      <c r="LJ256" s="66"/>
      <c r="LK256" s="66"/>
      <c r="LL256" s="66"/>
      <c r="LM256" s="66"/>
      <c r="LN256" s="66"/>
      <c r="LO256" s="66"/>
      <c r="LP256" s="66"/>
      <c r="LQ256" s="66"/>
      <c r="LR256" s="66"/>
      <c r="LS256" s="66"/>
      <c r="LT256" s="66"/>
      <c r="LU256" s="66"/>
      <c r="LV256" s="66"/>
      <c r="LW256" s="66"/>
      <c r="LX256" s="66"/>
      <c r="LY256" s="66"/>
      <c r="LZ256" s="66"/>
      <c r="MA256" s="66"/>
      <c r="MB256" s="66"/>
      <c r="MC256" s="66"/>
      <c r="MD256" s="66"/>
      <c r="ME256" s="66"/>
      <c r="MF256" s="66"/>
      <c r="MG256" s="66"/>
      <c r="MH256" s="66"/>
      <c r="MI256" s="66"/>
      <c r="MJ256" s="66"/>
      <c r="MK256" s="66"/>
      <c r="ML256" s="66"/>
      <c r="MM256" s="66"/>
      <c r="MN256" s="66"/>
      <c r="MO256" s="66"/>
      <c r="MP256" s="66"/>
      <c r="MQ256" s="66"/>
      <c r="MR256" s="66"/>
      <c r="MS256" s="66"/>
      <c r="MT256" s="66"/>
      <c r="MU256" s="66"/>
      <c r="MV256" s="66"/>
      <c r="MW256" s="66"/>
      <c r="MX256" s="66"/>
      <c r="MY256" s="66"/>
      <c r="MZ256" s="66"/>
      <c r="NA256" s="66"/>
      <c r="NB256" s="66"/>
      <c r="NC256" s="66"/>
      <c r="ND256" s="66"/>
      <c r="NE256" s="66"/>
      <c r="NF256" s="66"/>
      <c r="NG256" s="66"/>
      <c r="NH256" s="66"/>
      <c r="NI256" s="66"/>
      <c r="NJ256" s="66"/>
      <c r="NK256" s="66"/>
      <c r="NL256" s="66"/>
      <c r="NM256" s="66"/>
      <c r="NN256" s="66"/>
      <c r="NO256" s="66"/>
      <c r="NP256" s="66"/>
      <c r="NQ256" s="66"/>
      <c r="NR256" s="66"/>
      <c r="NS256" s="66"/>
      <c r="NT256" s="66"/>
      <c r="NU256" s="66"/>
      <c r="NV256" s="66"/>
      <c r="NW256" s="66"/>
      <c r="NX256" s="66"/>
      <c r="NY256" s="66"/>
      <c r="NZ256" s="66"/>
      <c r="OA256" s="66"/>
      <c r="OB256" s="66"/>
      <c r="OC256" s="66"/>
      <c r="OD256" s="66"/>
      <c r="OE256" s="66"/>
      <c r="OF256" s="66"/>
      <c r="OG256" s="66"/>
      <c r="OH256" s="66"/>
      <c r="OI256" s="66"/>
      <c r="OJ256" s="66"/>
      <c r="OK256" s="66"/>
      <c r="OL256" s="66"/>
      <c r="OM256" s="66"/>
      <c r="ON256" s="66"/>
      <c r="OO256" s="66"/>
      <c r="OP256" s="66"/>
      <c r="OQ256" s="66"/>
      <c r="OR256" s="66"/>
      <c r="OS256" s="66"/>
      <c r="OT256" s="66"/>
      <c r="OU256" s="66"/>
      <c r="OV256" s="66"/>
      <c r="OW256" s="66"/>
      <c r="OX256" s="66"/>
      <c r="OY256" s="66"/>
      <c r="OZ256" s="66"/>
      <c r="PA256" s="66"/>
      <c r="PB256" s="66"/>
      <c r="PC256" s="66"/>
      <c r="PD256" s="66"/>
      <c r="PE256" s="66"/>
      <c r="PF256" s="66"/>
      <c r="PG256" s="66"/>
      <c r="PH256" s="66"/>
      <c r="PI256" s="66"/>
      <c r="PJ256" s="66"/>
      <c r="PK256" s="66"/>
      <c r="PL256" s="66"/>
      <c r="PM256" s="66"/>
      <c r="PN256" s="66"/>
      <c r="PO256" s="66"/>
      <c r="PP256" s="66"/>
      <c r="PQ256" s="66"/>
      <c r="PR256" s="66"/>
      <c r="PS256" s="66"/>
      <c r="PT256" s="66"/>
      <c r="PU256" s="66"/>
      <c r="PV256" s="66"/>
      <c r="PW256" s="66"/>
      <c r="PX256" s="66"/>
      <c r="PY256" s="66"/>
      <c r="PZ256" s="66"/>
      <c r="QA256" s="66"/>
      <c r="QB256" s="66"/>
      <c r="QC256" s="66"/>
      <c r="QD256" s="66"/>
      <c r="QE256" s="66"/>
      <c r="QF256" s="66"/>
      <c r="QG256" s="66"/>
      <c r="QH256" s="66"/>
      <c r="QI256" s="66"/>
      <c r="QJ256" s="66"/>
      <c r="QK256" s="66"/>
      <c r="QL256" s="66"/>
      <c r="QM256" s="66"/>
      <c r="QN256" s="66"/>
      <c r="QO256" s="66"/>
      <c r="QP256" s="66"/>
      <c r="QQ256" s="66"/>
      <c r="QR256" s="66"/>
      <c r="QS256" s="66"/>
      <c r="QT256" s="66"/>
      <c r="QU256" s="66"/>
      <c r="QV256" s="66"/>
      <c r="QW256" s="66"/>
      <c r="QX256" s="66"/>
      <c r="QY256" s="66"/>
      <c r="QZ256" s="66"/>
      <c r="RA256" s="66"/>
      <c r="RB256" s="66"/>
      <c r="RC256" s="66"/>
      <c r="RD256" s="4"/>
    </row>
    <row r="257" spans="9:472" x14ac:dyDescent="0.25">
      <c r="I257" s="66"/>
      <c r="J257" s="66"/>
      <c r="K257" s="66"/>
      <c r="L257" s="66"/>
      <c r="M257" s="66"/>
      <c r="N257" s="66"/>
      <c r="O257" s="66"/>
      <c r="P257" s="66"/>
      <c r="Q257" s="66"/>
      <c r="R257" s="66"/>
      <c r="S257" s="66"/>
      <c r="T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c r="CY257" s="66"/>
      <c r="CZ257" s="66"/>
      <c r="DA257" s="66"/>
      <c r="DB257" s="66"/>
      <c r="DC257" s="66"/>
      <c r="DD257" s="66"/>
      <c r="DE257" s="66"/>
      <c r="DF257" s="66"/>
      <c r="DG257" s="66"/>
      <c r="DH257" s="66"/>
      <c r="DI257" s="66"/>
      <c r="DJ257" s="66"/>
      <c r="DK257" s="66"/>
      <c r="DL257" s="66"/>
      <c r="DM257" s="66"/>
      <c r="DN257" s="66"/>
      <c r="DO257" s="66"/>
      <c r="DP257" s="66"/>
      <c r="DQ257" s="66"/>
      <c r="DR257" s="66"/>
      <c r="DS257" s="66"/>
      <c r="DT257" s="66"/>
      <c r="DU257" s="66"/>
      <c r="DV257" s="66"/>
      <c r="DW257" s="66"/>
      <c r="DX257" s="66"/>
      <c r="DY257" s="66"/>
      <c r="DZ257" s="66"/>
      <c r="EA257" s="66"/>
      <c r="EB257" s="66"/>
      <c r="EC257" s="66"/>
      <c r="ED257" s="66"/>
      <c r="EE257" s="66"/>
      <c r="EF257" s="66"/>
      <c r="EG257" s="66"/>
      <c r="EH257" s="66"/>
      <c r="EI257" s="66"/>
      <c r="EJ257" s="66"/>
      <c r="EK257" s="66"/>
      <c r="EL257" s="66"/>
      <c r="EM257" s="66"/>
      <c r="EN257" s="66"/>
      <c r="EO257" s="66"/>
      <c r="EP257" s="66"/>
      <c r="EQ257" s="66"/>
      <c r="ER257" s="66"/>
      <c r="ES257" s="66"/>
      <c r="ET257" s="66"/>
      <c r="EU257" s="66"/>
      <c r="EV257" s="66"/>
      <c r="EW257" s="66"/>
      <c r="EX257" s="66"/>
      <c r="EY257" s="66"/>
      <c r="EZ257" s="66"/>
      <c r="FA257" s="66"/>
      <c r="FB257" s="66"/>
      <c r="FC257" s="66"/>
      <c r="FD257" s="66"/>
      <c r="FE257" s="66"/>
      <c r="FF257" s="66"/>
      <c r="FG257" s="66"/>
      <c r="FH257" s="66"/>
      <c r="FI257" s="66"/>
      <c r="FJ257" s="66"/>
      <c r="FK257" s="66"/>
      <c r="FL257" s="66"/>
      <c r="FM257" s="66"/>
      <c r="FN257" s="66"/>
      <c r="FO257" s="66"/>
      <c r="FP257" s="66"/>
      <c r="FQ257" s="66"/>
      <c r="FR257" s="66"/>
      <c r="FS257" s="66"/>
      <c r="FT257" s="66"/>
      <c r="FU257" s="66"/>
      <c r="FV257" s="66"/>
      <c r="FW257" s="66"/>
      <c r="FX257" s="66"/>
      <c r="FY257" s="66"/>
      <c r="FZ257" s="66"/>
      <c r="GA257" s="66"/>
      <c r="GB257" s="66"/>
      <c r="GC257" s="66"/>
      <c r="GD257" s="66"/>
      <c r="GE257" s="66"/>
      <c r="GF257" s="66"/>
      <c r="GG257" s="66"/>
      <c r="GH257" s="66"/>
      <c r="GI257" s="66"/>
      <c r="GJ257" s="66"/>
      <c r="GK257" s="66"/>
      <c r="GL257" s="66"/>
      <c r="GM257" s="66"/>
      <c r="GN257" s="66"/>
      <c r="GO257" s="66"/>
      <c r="GP257" s="66"/>
      <c r="GQ257" s="66"/>
      <c r="GR257" s="66"/>
      <c r="GS257" s="66"/>
      <c r="GT257" s="66"/>
      <c r="GU257" s="66"/>
      <c r="GV257" s="66"/>
      <c r="GW257" s="66"/>
      <c r="GX257" s="66"/>
      <c r="GY257" s="66"/>
      <c r="GZ257" s="66"/>
      <c r="HA257" s="66"/>
      <c r="HB257" s="66"/>
      <c r="HC257" s="66"/>
      <c r="HD257" s="66"/>
      <c r="HE257" s="66"/>
      <c r="HF257" s="66"/>
      <c r="HG257" s="66"/>
      <c r="HH257" s="66"/>
      <c r="HI257" s="66"/>
      <c r="HJ257" s="66"/>
      <c r="HK257" s="66"/>
      <c r="HL257" s="66"/>
      <c r="HM257" s="66"/>
      <c r="HN257" s="66"/>
      <c r="HO257" s="66"/>
      <c r="HP257" s="66"/>
      <c r="HQ257" s="66"/>
      <c r="HR257" s="66"/>
      <c r="HS257" s="66"/>
      <c r="HT257" s="66"/>
      <c r="HU257" s="66"/>
      <c r="HV257" s="66"/>
      <c r="HW257" s="66"/>
      <c r="HX257" s="66"/>
      <c r="HY257" s="66"/>
      <c r="HZ257" s="66"/>
      <c r="IA257" s="66"/>
      <c r="IB257" s="66"/>
      <c r="IC257" s="66"/>
      <c r="ID257" s="66"/>
      <c r="IE257" s="66"/>
      <c r="IF257" s="66"/>
      <c r="IG257" s="66"/>
      <c r="IH257" s="66"/>
      <c r="II257" s="66"/>
      <c r="IJ257" s="66"/>
      <c r="IK257" s="66"/>
      <c r="IL257" s="66"/>
      <c r="IM257" s="66"/>
      <c r="IN257" s="66"/>
      <c r="IO257" s="66"/>
      <c r="IP257" s="66"/>
      <c r="IQ257" s="66"/>
      <c r="IR257" s="66"/>
      <c r="IS257" s="66"/>
      <c r="IT257" s="66"/>
      <c r="IU257" s="66"/>
      <c r="IV257" s="66"/>
      <c r="IW257" s="66"/>
      <c r="IX257" s="66"/>
      <c r="IY257" s="66"/>
      <c r="IZ257" s="66"/>
      <c r="JA257" s="66"/>
      <c r="JB257" s="66"/>
      <c r="JC257" s="66"/>
      <c r="JD257" s="66"/>
      <c r="JE257" s="66"/>
      <c r="JF257" s="66"/>
      <c r="JG257" s="66"/>
      <c r="JH257" s="66"/>
      <c r="JI257" s="66"/>
      <c r="JJ257" s="66"/>
      <c r="JK257" s="66"/>
      <c r="JL257" s="66"/>
      <c r="JM257" s="66"/>
      <c r="JN257" s="66"/>
      <c r="JO257" s="66"/>
      <c r="JP257" s="66"/>
      <c r="JQ257" s="66"/>
      <c r="JR257" s="66"/>
      <c r="JS257" s="66"/>
      <c r="JT257" s="66"/>
      <c r="JU257" s="66"/>
      <c r="JV257" s="66"/>
      <c r="JW257" s="66"/>
      <c r="JX257" s="66"/>
      <c r="JY257" s="66"/>
      <c r="JZ257" s="66"/>
      <c r="KA257" s="66"/>
      <c r="KB257" s="66"/>
      <c r="KC257" s="66"/>
      <c r="KD257" s="66"/>
      <c r="KE257" s="66"/>
      <c r="KF257" s="66"/>
      <c r="KG257" s="66"/>
      <c r="KH257" s="66"/>
      <c r="KI257" s="66"/>
      <c r="KJ257" s="66"/>
      <c r="KK257" s="66"/>
      <c r="KL257" s="66"/>
      <c r="KM257" s="66"/>
      <c r="KN257" s="66"/>
      <c r="KO257" s="66"/>
      <c r="KP257" s="66"/>
      <c r="KQ257" s="66"/>
      <c r="KR257" s="66"/>
      <c r="KS257" s="66"/>
      <c r="KT257" s="66"/>
      <c r="KU257" s="66"/>
      <c r="KV257" s="66"/>
      <c r="KW257" s="66"/>
      <c r="KX257" s="66"/>
      <c r="KY257" s="66"/>
      <c r="KZ257" s="66"/>
      <c r="LA257" s="66"/>
      <c r="LB257" s="66"/>
      <c r="LC257" s="66"/>
      <c r="LD257" s="66"/>
      <c r="LE257" s="66"/>
      <c r="LF257" s="66"/>
      <c r="LG257" s="66"/>
      <c r="LH257" s="66"/>
      <c r="LI257" s="66"/>
      <c r="LJ257" s="66"/>
      <c r="LK257" s="66"/>
      <c r="LL257" s="66"/>
      <c r="LM257" s="66"/>
      <c r="LN257" s="66"/>
      <c r="LO257" s="66"/>
      <c r="LP257" s="66"/>
      <c r="LQ257" s="66"/>
      <c r="LR257" s="66"/>
      <c r="LS257" s="66"/>
      <c r="LT257" s="66"/>
      <c r="LU257" s="66"/>
      <c r="LV257" s="66"/>
      <c r="LW257" s="66"/>
      <c r="LX257" s="66"/>
      <c r="LY257" s="66"/>
      <c r="LZ257" s="66"/>
      <c r="MA257" s="66"/>
      <c r="MB257" s="66"/>
      <c r="MC257" s="66"/>
      <c r="MD257" s="66"/>
      <c r="ME257" s="66"/>
      <c r="MF257" s="66"/>
      <c r="MG257" s="66"/>
      <c r="MH257" s="66"/>
      <c r="MI257" s="66"/>
      <c r="MJ257" s="66"/>
      <c r="MK257" s="66"/>
      <c r="ML257" s="66"/>
      <c r="MM257" s="66"/>
      <c r="MN257" s="66"/>
      <c r="MO257" s="66"/>
      <c r="MP257" s="66"/>
      <c r="MQ257" s="66"/>
      <c r="MR257" s="66"/>
      <c r="MS257" s="66"/>
      <c r="MT257" s="66"/>
      <c r="MU257" s="66"/>
      <c r="MV257" s="66"/>
      <c r="MW257" s="66"/>
      <c r="MX257" s="66"/>
      <c r="MY257" s="66"/>
      <c r="MZ257" s="66"/>
      <c r="NA257" s="66"/>
      <c r="NB257" s="66"/>
      <c r="NC257" s="66"/>
      <c r="ND257" s="66"/>
      <c r="NE257" s="66"/>
      <c r="NF257" s="66"/>
      <c r="NG257" s="66"/>
      <c r="NH257" s="66"/>
      <c r="NI257" s="66"/>
      <c r="NJ257" s="66"/>
      <c r="NK257" s="66"/>
      <c r="NL257" s="66"/>
      <c r="NM257" s="66"/>
      <c r="NN257" s="66"/>
      <c r="NO257" s="66"/>
      <c r="NP257" s="66"/>
      <c r="NQ257" s="66"/>
      <c r="NR257" s="66"/>
      <c r="NS257" s="66"/>
      <c r="NT257" s="66"/>
      <c r="NU257" s="66"/>
      <c r="NV257" s="66"/>
      <c r="NW257" s="66"/>
      <c r="NX257" s="66"/>
      <c r="NY257" s="66"/>
      <c r="NZ257" s="66"/>
      <c r="OA257" s="66"/>
      <c r="OB257" s="66"/>
      <c r="OC257" s="66"/>
      <c r="OD257" s="66"/>
      <c r="OE257" s="66"/>
      <c r="OF257" s="66"/>
      <c r="OG257" s="66"/>
      <c r="OH257" s="66"/>
      <c r="OI257" s="66"/>
      <c r="OJ257" s="66"/>
      <c r="OK257" s="66"/>
      <c r="OL257" s="66"/>
      <c r="OM257" s="66"/>
      <c r="ON257" s="66"/>
      <c r="OO257" s="66"/>
      <c r="OP257" s="66"/>
      <c r="OQ257" s="66"/>
      <c r="OR257" s="66"/>
      <c r="OS257" s="66"/>
      <c r="OT257" s="66"/>
      <c r="OU257" s="66"/>
      <c r="OV257" s="66"/>
      <c r="OW257" s="66"/>
      <c r="OX257" s="66"/>
      <c r="OY257" s="66"/>
      <c r="OZ257" s="66"/>
      <c r="PA257" s="66"/>
      <c r="PB257" s="66"/>
      <c r="PC257" s="66"/>
      <c r="PD257" s="66"/>
      <c r="PE257" s="66"/>
      <c r="PF257" s="66"/>
      <c r="PG257" s="66"/>
      <c r="PH257" s="66"/>
      <c r="PI257" s="66"/>
      <c r="PJ257" s="66"/>
      <c r="PK257" s="66"/>
      <c r="PL257" s="66"/>
      <c r="PM257" s="66"/>
      <c r="PN257" s="66"/>
      <c r="PO257" s="66"/>
      <c r="PP257" s="66"/>
      <c r="PQ257" s="66"/>
      <c r="PR257" s="66"/>
      <c r="PS257" s="66"/>
      <c r="PT257" s="66"/>
      <c r="PU257" s="66"/>
      <c r="PV257" s="66"/>
      <c r="PW257" s="66"/>
      <c r="PX257" s="66"/>
      <c r="PY257" s="66"/>
      <c r="PZ257" s="66"/>
      <c r="QA257" s="66"/>
      <c r="QB257" s="66"/>
      <c r="QC257" s="66"/>
      <c r="QD257" s="66"/>
      <c r="QE257" s="66"/>
      <c r="QF257" s="66"/>
      <c r="QG257" s="66"/>
      <c r="QH257" s="66"/>
      <c r="QI257" s="66"/>
      <c r="QJ257" s="66"/>
      <c r="QK257" s="66"/>
      <c r="QL257" s="66"/>
      <c r="QM257" s="66"/>
      <c r="QN257" s="66"/>
      <c r="QO257" s="66"/>
      <c r="QP257" s="66"/>
      <c r="QQ257" s="66"/>
      <c r="QR257" s="66"/>
      <c r="QS257" s="66"/>
      <c r="QT257" s="66"/>
      <c r="QU257" s="66"/>
      <c r="QV257" s="66"/>
      <c r="QW257" s="66"/>
      <c r="QX257" s="66"/>
      <c r="QY257" s="66"/>
      <c r="QZ257" s="66"/>
      <c r="RA257" s="66"/>
      <c r="RB257" s="66"/>
      <c r="RC257" s="66"/>
      <c r="RD257" s="4"/>
    </row>
    <row r="258" spans="9:472" x14ac:dyDescent="0.25">
      <c r="I258" s="66"/>
      <c r="J258" s="66"/>
      <c r="K258" s="66"/>
      <c r="L258" s="66"/>
      <c r="M258" s="66"/>
      <c r="N258" s="66"/>
      <c r="O258" s="66"/>
      <c r="P258" s="66"/>
      <c r="Q258" s="66"/>
      <c r="R258" s="66"/>
      <c r="S258" s="66"/>
      <c r="T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c r="CY258" s="66"/>
      <c r="CZ258" s="66"/>
      <c r="DA258" s="66"/>
      <c r="DB258" s="66"/>
      <c r="DC258" s="66"/>
      <c r="DD258" s="66"/>
      <c r="DE258" s="66"/>
      <c r="DF258" s="66"/>
      <c r="DG258" s="66"/>
      <c r="DH258" s="66"/>
      <c r="DI258" s="66"/>
      <c r="DJ258" s="66"/>
      <c r="DK258" s="66"/>
      <c r="DL258" s="66"/>
      <c r="DM258" s="66"/>
      <c r="DN258" s="66"/>
      <c r="DO258" s="66"/>
      <c r="DP258" s="66"/>
      <c r="DQ258" s="66"/>
      <c r="DR258" s="66"/>
      <c r="DS258" s="66"/>
      <c r="DT258" s="66"/>
      <c r="DU258" s="66"/>
      <c r="DV258" s="66"/>
      <c r="DW258" s="66"/>
      <c r="DX258" s="66"/>
      <c r="DY258" s="66"/>
      <c r="DZ258" s="66"/>
      <c r="EA258" s="66"/>
      <c r="EB258" s="66"/>
      <c r="EC258" s="66"/>
      <c r="ED258" s="66"/>
      <c r="EE258" s="66"/>
      <c r="EF258" s="66"/>
      <c r="EG258" s="66"/>
      <c r="EH258" s="66"/>
      <c r="EI258" s="66"/>
      <c r="EJ258" s="66"/>
      <c r="EK258" s="66"/>
      <c r="EL258" s="66"/>
      <c r="EM258" s="66"/>
      <c r="EN258" s="66"/>
      <c r="EO258" s="66"/>
      <c r="EP258" s="66"/>
      <c r="EQ258" s="66"/>
      <c r="ER258" s="66"/>
      <c r="ES258" s="66"/>
      <c r="ET258" s="66"/>
      <c r="EU258" s="66"/>
      <c r="EV258" s="66"/>
      <c r="EW258" s="66"/>
      <c r="EX258" s="66"/>
      <c r="EY258" s="66"/>
      <c r="EZ258" s="66"/>
      <c r="FA258" s="66"/>
      <c r="FB258" s="66"/>
      <c r="FC258" s="66"/>
      <c r="FD258" s="66"/>
      <c r="FE258" s="66"/>
      <c r="FF258" s="66"/>
      <c r="FG258" s="66"/>
      <c r="FH258" s="66"/>
      <c r="FI258" s="66"/>
      <c r="FJ258" s="66"/>
      <c r="FK258" s="66"/>
      <c r="FL258" s="66"/>
      <c r="FM258" s="66"/>
      <c r="FN258" s="66"/>
      <c r="FO258" s="66"/>
      <c r="FP258" s="66"/>
      <c r="FQ258" s="66"/>
      <c r="FR258" s="66"/>
      <c r="FS258" s="66"/>
      <c r="FT258" s="66"/>
      <c r="FU258" s="66"/>
      <c r="FV258" s="66"/>
      <c r="FW258" s="66"/>
      <c r="FX258" s="66"/>
      <c r="FY258" s="66"/>
      <c r="FZ258" s="66"/>
      <c r="GA258" s="66"/>
      <c r="GB258" s="66"/>
      <c r="GC258" s="66"/>
      <c r="GD258" s="66"/>
      <c r="GE258" s="66"/>
      <c r="GF258" s="66"/>
      <c r="GG258" s="66"/>
      <c r="GH258" s="66"/>
      <c r="GI258" s="66"/>
      <c r="GJ258" s="66"/>
      <c r="GK258" s="66"/>
      <c r="GL258" s="66"/>
      <c r="GM258" s="66"/>
      <c r="GN258" s="66"/>
      <c r="GO258" s="66"/>
      <c r="GP258" s="66"/>
      <c r="GQ258" s="66"/>
      <c r="GR258" s="66"/>
      <c r="GS258" s="66"/>
      <c r="GT258" s="66"/>
      <c r="GU258" s="66"/>
      <c r="GV258" s="66"/>
      <c r="GW258" s="66"/>
      <c r="GX258" s="66"/>
      <c r="GY258" s="66"/>
      <c r="GZ258" s="66"/>
      <c r="HA258" s="66"/>
      <c r="HB258" s="66"/>
      <c r="HC258" s="66"/>
      <c r="HD258" s="66"/>
      <c r="HE258" s="66"/>
      <c r="HF258" s="66"/>
      <c r="HG258" s="66"/>
      <c r="HH258" s="66"/>
      <c r="HI258" s="66"/>
      <c r="HJ258" s="66"/>
      <c r="HK258" s="66"/>
      <c r="HL258" s="66"/>
      <c r="HM258" s="66"/>
      <c r="HN258" s="66"/>
      <c r="HO258" s="66"/>
      <c r="HP258" s="66"/>
      <c r="HQ258" s="66"/>
      <c r="HR258" s="66"/>
      <c r="HS258" s="66"/>
      <c r="HT258" s="66"/>
      <c r="HU258" s="66"/>
      <c r="HV258" s="66"/>
      <c r="HW258" s="66"/>
      <c r="HX258" s="66"/>
      <c r="HY258" s="66"/>
      <c r="HZ258" s="66"/>
      <c r="IA258" s="66"/>
      <c r="IB258" s="66"/>
      <c r="IC258" s="66"/>
      <c r="ID258" s="66"/>
      <c r="IE258" s="66"/>
      <c r="IF258" s="66"/>
      <c r="IG258" s="66"/>
      <c r="IH258" s="66"/>
      <c r="II258" s="66"/>
      <c r="IJ258" s="66"/>
      <c r="IK258" s="66"/>
      <c r="IL258" s="66"/>
      <c r="IM258" s="66"/>
      <c r="IN258" s="66"/>
      <c r="IO258" s="66"/>
      <c r="IP258" s="66"/>
      <c r="IQ258" s="66"/>
      <c r="IR258" s="66"/>
      <c r="IS258" s="66"/>
      <c r="IT258" s="66"/>
      <c r="IU258" s="66"/>
      <c r="IV258" s="66"/>
      <c r="IW258" s="66"/>
      <c r="IX258" s="66"/>
      <c r="IY258" s="66"/>
      <c r="IZ258" s="66"/>
      <c r="JA258" s="66"/>
      <c r="JB258" s="66"/>
      <c r="JC258" s="66"/>
      <c r="JD258" s="66"/>
      <c r="JE258" s="66"/>
      <c r="JF258" s="66"/>
      <c r="JG258" s="66"/>
      <c r="JH258" s="66"/>
      <c r="JI258" s="66"/>
      <c r="JJ258" s="66"/>
      <c r="JK258" s="66"/>
      <c r="JL258" s="66"/>
      <c r="JM258" s="66"/>
      <c r="JN258" s="66"/>
      <c r="JO258" s="66"/>
      <c r="JP258" s="66"/>
      <c r="JQ258" s="66"/>
      <c r="JR258" s="66"/>
      <c r="JS258" s="66"/>
      <c r="JT258" s="66"/>
      <c r="JU258" s="66"/>
      <c r="JV258" s="66"/>
      <c r="JW258" s="66"/>
      <c r="JX258" s="66"/>
      <c r="JY258" s="66"/>
      <c r="JZ258" s="66"/>
      <c r="KA258" s="66"/>
      <c r="KB258" s="66"/>
      <c r="KC258" s="66"/>
      <c r="KD258" s="66"/>
      <c r="KE258" s="66"/>
      <c r="KF258" s="66"/>
      <c r="KG258" s="66"/>
      <c r="KH258" s="66"/>
      <c r="KI258" s="66"/>
      <c r="KJ258" s="66"/>
      <c r="KK258" s="66"/>
      <c r="KL258" s="66"/>
      <c r="KM258" s="66"/>
      <c r="KN258" s="66"/>
      <c r="KO258" s="66"/>
      <c r="KP258" s="66"/>
      <c r="KQ258" s="66"/>
      <c r="KR258" s="66"/>
      <c r="KS258" s="66"/>
      <c r="KT258" s="66"/>
      <c r="KU258" s="66"/>
      <c r="KV258" s="66"/>
      <c r="KW258" s="66"/>
      <c r="KX258" s="66"/>
      <c r="KY258" s="66"/>
      <c r="KZ258" s="66"/>
      <c r="LA258" s="66"/>
      <c r="LB258" s="66"/>
      <c r="LC258" s="66"/>
      <c r="LD258" s="66"/>
      <c r="LE258" s="66"/>
      <c r="LF258" s="66"/>
      <c r="LG258" s="66"/>
      <c r="LH258" s="66"/>
      <c r="LI258" s="66"/>
      <c r="LJ258" s="66"/>
      <c r="LK258" s="66"/>
      <c r="LL258" s="66"/>
      <c r="LM258" s="66"/>
      <c r="LN258" s="66"/>
      <c r="LO258" s="66"/>
      <c r="LP258" s="66"/>
      <c r="LQ258" s="66"/>
      <c r="LR258" s="66"/>
      <c r="LS258" s="66"/>
      <c r="LT258" s="66"/>
      <c r="LU258" s="66"/>
      <c r="LV258" s="66"/>
      <c r="LW258" s="66"/>
      <c r="LX258" s="66"/>
      <c r="LY258" s="66"/>
      <c r="LZ258" s="66"/>
      <c r="MA258" s="66"/>
      <c r="MB258" s="66"/>
      <c r="MC258" s="66"/>
      <c r="MD258" s="66"/>
      <c r="ME258" s="66"/>
      <c r="MF258" s="66"/>
      <c r="MG258" s="66"/>
      <c r="MH258" s="66"/>
      <c r="MI258" s="66"/>
      <c r="MJ258" s="66"/>
      <c r="MK258" s="66"/>
      <c r="ML258" s="66"/>
      <c r="MM258" s="66"/>
      <c r="MN258" s="66"/>
      <c r="MO258" s="66"/>
      <c r="MP258" s="66"/>
      <c r="MQ258" s="66"/>
      <c r="MR258" s="66"/>
      <c r="MS258" s="66"/>
      <c r="MT258" s="66"/>
      <c r="MU258" s="66"/>
      <c r="MV258" s="66"/>
      <c r="MW258" s="66"/>
      <c r="MX258" s="66"/>
      <c r="MY258" s="66"/>
      <c r="MZ258" s="66"/>
      <c r="NA258" s="66"/>
      <c r="NB258" s="66"/>
      <c r="NC258" s="66"/>
      <c r="ND258" s="66"/>
      <c r="NE258" s="66"/>
      <c r="NF258" s="66"/>
      <c r="NG258" s="66"/>
      <c r="NH258" s="66"/>
      <c r="NI258" s="66"/>
      <c r="NJ258" s="66"/>
      <c r="NK258" s="66"/>
      <c r="NL258" s="66"/>
      <c r="NM258" s="66"/>
      <c r="NN258" s="66"/>
      <c r="NO258" s="66"/>
      <c r="NP258" s="66"/>
      <c r="NQ258" s="66"/>
      <c r="NR258" s="66"/>
      <c r="NS258" s="66"/>
      <c r="NT258" s="66"/>
      <c r="NU258" s="66"/>
      <c r="NV258" s="66"/>
      <c r="NW258" s="66"/>
      <c r="NX258" s="66"/>
      <c r="NY258" s="66"/>
      <c r="NZ258" s="66"/>
      <c r="OA258" s="66"/>
      <c r="OB258" s="66"/>
      <c r="OC258" s="66"/>
      <c r="OD258" s="66"/>
      <c r="OE258" s="66"/>
      <c r="OF258" s="66"/>
      <c r="OG258" s="66"/>
      <c r="OH258" s="66"/>
      <c r="OI258" s="66"/>
      <c r="OJ258" s="66"/>
      <c r="OK258" s="66"/>
      <c r="OL258" s="66"/>
      <c r="OM258" s="66"/>
      <c r="ON258" s="66"/>
      <c r="OO258" s="66"/>
      <c r="OP258" s="66"/>
      <c r="OQ258" s="66"/>
      <c r="OR258" s="66"/>
      <c r="OS258" s="66"/>
      <c r="OT258" s="66"/>
      <c r="OU258" s="66"/>
      <c r="OV258" s="66"/>
      <c r="OW258" s="66"/>
      <c r="OX258" s="66"/>
      <c r="OY258" s="66"/>
      <c r="OZ258" s="66"/>
      <c r="PA258" s="66"/>
      <c r="PB258" s="66"/>
      <c r="PC258" s="66"/>
      <c r="PD258" s="66"/>
      <c r="PE258" s="66"/>
      <c r="PF258" s="66"/>
      <c r="PG258" s="66"/>
      <c r="PH258" s="66"/>
      <c r="PI258" s="66"/>
      <c r="PJ258" s="66"/>
      <c r="PK258" s="66"/>
      <c r="PL258" s="66"/>
      <c r="PM258" s="66"/>
      <c r="PN258" s="66"/>
      <c r="PO258" s="66"/>
      <c r="PP258" s="66"/>
      <c r="PQ258" s="66"/>
      <c r="PR258" s="66"/>
      <c r="PS258" s="66"/>
      <c r="PT258" s="66"/>
      <c r="PU258" s="66"/>
      <c r="PV258" s="66"/>
      <c r="PW258" s="66"/>
      <c r="PX258" s="66"/>
      <c r="PY258" s="66"/>
      <c r="PZ258" s="66"/>
      <c r="QA258" s="66"/>
      <c r="QB258" s="66"/>
      <c r="QC258" s="66"/>
      <c r="QD258" s="66"/>
      <c r="QE258" s="66"/>
      <c r="QF258" s="66"/>
      <c r="QG258" s="66"/>
      <c r="QH258" s="66"/>
      <c r="QI258" s="66"/>
      <c r="QJ258" s="66"/>
      <c r="QK258" s="66"/>
      <c r="QL258" s="66"/>
      <c r="QM258" s="66"/>
      <c r="QN258" s="66"/>
      <c r="QO258" s="66"/>
      <c r="QP258" s="66"/>
      <c r="QQ258" s="66"/>
      <c r="QR258" s="66"/>
      <c r="QS258" s="66"/>
      <c r="QT258" s="66"/>
      <c r="QU258" s="66"/>
      <c r="QV258" s="66"/>
      <c r="QW258" s="66"/>
      <c r="QX258" s="66"/>
      <c r="QY258" s="66"/>
      <c r="QZ258" s="66"/>
      <c r="RA258" s="66"/>
      <c r="RB258" s="66"/>
      <c r="RC258" s="66"/>
      <c r="RD258" s="4"/>
    </row>
    <row r="259" spans="9:472" x14ac:dyDescent="0.25">
      <c r="I259" s="66"/>
      <c r="J259" s="66"/>
      <c r="K259" s="66"/>
      <c r="L259" s="66"/>
      <c r="M259" s="66"/>
      <c r="N259" s="66"/>
      <c r="O259" s="66"/>
      <c r="P259" s="66"/>
      <c r="Q259" s="66"/>
      <c r="R259" s="66"/>
      <c r="S259" s="66"/>
      <c r="T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c r="CY259" s="66"/>
      <c r="CZ259" s="66"/>
      <c r="DA259" s="66"/>
      <c r="DB259" s="66"/>
      <c r="DC259" s="66"/>
      <c r="DD259" s="66"/>
      <c r="DE259" s="66"/>
      <c r="DF259" s="66"/>
      <c r="DG259" s="66"/>
      <c r="DH259" s="66"/>
      <c r="DI259" s="66"/>
      <c r="DJ259" s="66"/>
      <c r="DK259" s="66"/>
      <c r="DL259" s="66"/>
      <c r="DM259" s="66"/>
      <c r="DN259" s="66"/>
      <c r="DO259" s="66"/>
      <c r="DP259" s="66"/>
      <c r="DQ259" s="66"/>
      <c r="DR259" s="66"/>
      <c r="DS259" s="66"/>
      <c r="DT259" s="66"/>
      <c r="DU259" s="66"/>
      <c r="DV259" s="66"/>
      <c r="DW259" s="66"/>
      <c r="DX259" s="66"/>
      <c r="DY259" s="66"/>
      <c r="DZ259" s="66"/>
      <c r="EA259" s="66"/>
      <c r="EB259" s="66"/>
      <c r="EC259" s="66"/>
      <c r="ED259" s="66"/>
      <c r="EE259" s="66"/>
      <c r="EF259" s="66"/>
      <c r="EG259" s="66"/>
      <c r="EH259" s="66"/>
      <c r="EI259" s="66"/>
      <c r="EJ259" s="66"/>
      <c r="EK259" s="66"/>
      <c r="EL259" s="66"/>
      <c r="EM259" s="66"/>
      <c r="EN259" s="66"/>
      <c r="EO259" s="66"/>
      <c r="EP259" s="66"/>
      <c r="EQ259" s="66"/>
      <c r="ER259" s="66"/>
      <c r="ES259" s="66"/>
      <c r="ET259" s="66"/>
      <c r="EU259" s="66"/>
      <c r="EV259" s="66"/>
      <c r="EW259" s="66"/>
      <c r="EX259" s="66"/>
      <c r="EY259" s="66"/>
      <c r="EZ259" s="66"/>
      <c r="FA259" s="66"/>
      <c r="FB259" s="66"/>
      <c r="FC259" s="66"/>
      <c r="FD259" s="66"/>
      <c r="FE259" s="66"/>
      <c r="FF259" s="66"/>
      <c r="FG259" s="66"/>
      <c r="FH259" s="66"/>
      <c r="FI259" s="66"/>
      <c r="FJ259" s="66"/>
      <c r="FK259" s="66"/>
      <c r="FL259" s="66"/>
      <c r="FM259" s="66"/>
      <c r="FN259" s="66"/>
      <c r="FO259" s="66"/>
      <c r="FP259" s="66"/>
      <c r="FQ259" s="66"/>
      <c r="FR259" s="66"/>
      <c r="FS259" s="66"/>
      <c r="FT259" s="66"/>
      <c r="FU259" s="66"/>
      <c r="FV259" s="66"/>
      <c r="FW259" s="66"/>
      <c r="FX259" s="66"/>
      <c r="FY259" s="66"/>
      <c r="FZ259" s="66"/>
      <c r="GA259" s="66"/>
      <c r="GB259" s="66"/>
      <c r="GC259" s="66"/>
      <c r="GD259" s="66"/>
      <c r="GE259" s="66"/>
      <c r="GF259" s="66"/>
      <c r="GG259" s="66"/>
      <c r="GH259" s="66"/>
      <c r="GI259" s="66"/>
      <c r="GJ259" s="66"/>
      <c r="GK259" s="66"/>
      <c r="GL259" s="66"/>
      <c r="GM259" s="66"/>
      <c r="GN259" s="66"/>
      <c r="GO259" s="66"/>
      <c r="GP259" s="66"/>
      <c r="GQ259" s="66"/>
      <c r="GR259" s="66"/>
      <c r="GS259" s="66"/>
      <c r="GT259" s="66"/>
      <c r="GU259" s="66"/>
      <c r="GV259" s="66"/>
      <c r="GW259" s="66"/>
      <c r="GX259" s="66"/>
      <c r="GY259" s="66"/>
      <c r="GZ259" s="66"/>
      <c r="HA259" s="66"/>
      <c r="HB259" s="66"/>
      <c r="HC259" s="66"/>
      <c r="HD259" s="66"/>
      <c r="HE259" s="66"/>
      <c r="HF259" s="66"/>
      <c r="HG259" s="66"/>
      <c r="HH259" s="66"/>
      <c r="HI259" s="66"/>
      <c r="HJ259" s="66"/>
      <c r="HK259" s="66"/>
      <c r="HL259" s="66"/>
      <c r="HM259" s="66"/>
      <c r="HN259" s="66"/>
      <c r="HO259" s="66"/>
      <c r="HP259" s="66"/>
      <c r="HQ259" s="66"/>
      <c r="HR259" s="66"/>
      <c r="HS259" s="66"/>
      <c r="HT259" s="66"/>
      <c r="HU259" s="66"/>
      <c r="HV259" s="66"/>
      <c r="HW259" s="66"/>
      <c r="HX259" s="66"/>
      <c r="HY259" s="66"/>
      <c r="HZ259" s="66"/>
      <c r="IA259" s="66"/>
      <c r="IB259" s="66"/>
      <c r="IC259" s="66"/>
      <c r="ID259" s="66"/>
      <c r="IE259" s="66"/>
      <c r="IF259" s="66"/>
      <c r="IG259" s="66"/>
      <c r="IH259" s="66"/>
      <c r="II259" s="66"/>
      <c r="IJ259" s="66"/>
      <c r="IK259" s="66"/>
      <c r="IL259" s="66"/>
      <c r="IM259" s="66"/>
      <c r="IN259" s="66"/>
      <c r="IO259" s="66"/>
      <c r="IP259" s="66"/>
      <c r="IQ259" s="66"/>
      <c r="IR259" s="66"/>
      <c r="IS259" s="66"/>
      <c r="IT259" s="66"/>
      <c r="IU259" s="66"/>
      <c r="IV259" s="66"/>
      <c r="IW259" s="66"/>
      <c r="IX259" s="66"/>
      <c r="IY259" s="66"/>
      <c r="IZ259" s="66"/>
      <c r="JA259" s="66"/>
      <c r="JB259" s="66"/>
      <c r="JC259" s="66"/>
      <c r="JD259" s="66"/>
      <c r="JE259" s="66"/>
      <c r="JF259" s="66"/>
      <c r="JG259" s="66"/>
      <c r="JH259" s="66"/>
      <c r="JI259" s="66"/>
      <c r="JJ259" s="66"/>
      <c r="JK259" s="66"/>
      <c r="JL259" s="66"/>
      <c r="JM259" s="66"/>
      <c r="JN259" s="66"/>
      <c r="JO259" s="66"/>
      <c r="JP259" s="66"/>
      <c r="JQ259" s="66"/>
      <c r="JR259" s="66"/>
      <c r="JS259" s="66"/>
      <c r="JT259" s="66"/>
      <c r="JU259" s="66"/>
      <c r="JV259" s="66"/>
      <c r="JW259" s="66"/>
      <c r="JX259" s="66"/>
      <c r="JY259" s="66"/>
      <c r="JZ259" s="66"/>
      <c r="KA259" s="66"/>
      <c r="KB259" s="66"/>
      <c r="KC259" s="66"/>
      <c r="KD259" s="66"/>
      <c r="KE259" s="66"/>
      <c r="KF259" s="66"/>
      <c r="KG259" s="66"/>
      <c r="KH259" s="66"/>
      <c r="KI259" s="66"/>
      <c r="KJ259" s="66"/>
      <c r="KK259" s="66"/>
      <c r="KL259" s="66"/>
      <c r="KM259" s="66"/>
      <c r="KN259" s="66"/>
      <c r="KO259" s="66"/>
      <c r="KP259" s="66"/>
      <c r="KQ259" s="66"/>
      <c r="KR259" s="66"/>
      <c r="KS259" s="66"/>
      <c r="KT259" s="66"/>
      <c r="KU259" s="66"/>
      <c r="KV259" s="66"/>
      <c r="KW259" s="66"/>
      <c r="KX259" s="66"/>
      <c r="KY259" s="66"/>
      <c r="KZ259" s="66"/>
      <c r="LA259" s="66"/>
      <c r="LB259" s="66"/>
      <c r="LC259" s="66"/>
      <c r="LD259" s="66"/>
      <c r="LE259" s="66"/>
      <c r="LF259" s="66"/>
      <c r="LG259" s="66"/>
      <c r="LH259" s="66"/>
      <c r="LI259" s="66"/>
      <c r="LJ259" s="66"/>
      <c r="LK259" s="66"/>
      <c r="LL259" s="66"/>
      <c r="LM259" s="66"/>
      <c r="LN259" s="66"/>
      <c r="LO259" s="66"/>
      <c r="LP259" s="66"/>
      <c r="LQ259" s="66"/>
      <c r="LR259" s="66"/>
      <c r="LS259" s="66"/>
      <c r="LT259" s="66"/>
      <c r="LU259" s="66"/>
      <c r="LV259" s="66"/>
      <c r="LW259" s="66"/>
      <c r="LX259" s="66"/>
      <c r="LY259" s="66"/>
      <c r="LZ259" s="66"/>
      <c r="MA259" s="66"/>
      <c r="MB259" s="66"/>
      <c r="MC259" s="66"/>
      <c r="MD259" s="66"/>
      <c r="ME259" s="66"/>
      <c r="MF259" s="66"/>
      <c r="MG259" s="66"/>
      <c r="MH259" s="66"/>
      <c r="MI259" s="66"/>
      <c r="MJ259" s="66"/>
      <c r="MK259" s="66"/>
      <c r="ML259" s="66"/>
      <c r="MM259" s="66"/>
      <c r="MN259" s="66"/>
      <c r="MO259" s="66"/>
      <c r="MP259" s="66"/>
      <c r="MQ259" s="66"/>
      <c r="MR259" s="66"/>
      <c r="MS259" s="66"/>
      <c r="MT259" s="66"/>
      <c r="MU259" s="66"/>
      <c r="MV259" s="66"/>
      <c r="MW259" s="66"/>
      <c r="MX259" s="66"/>
      <c r="MY259" s="66"/>
      <c r="MZ259" s="66"/>
      <c r="NA259" s="66"/>
      <c r="NB259" s="66"/>
      <c r="NC259" s="66"/>
      <c r="ND259" s="66"/>
      <c r="NE259" s="66"/>
      <c r="NF259" s="66"/>
      <c r="NG259" s="66"/>
      <c r="NH259" s="66"/>
      <c r="NI259" s="66"/>
      <c r="NJ259" s="66"/>
      <c r="NK259" s="66"/>
      <c r="NL259" s="66"/>
      <c r="NM259" s="66"/>
      <c r="NN259" s="66"/>
      <c r="NO259" s="66"/>
      <c r="NP259" s="66"/>
      <c r="NQ259" s="66"/>
      <c r="NR259" s="66"/>
      <c r="NS259" s="66"/>
      <c r="NT259" s="66"/>
      <c r="NU259" s="66"/>
      <c r="NV259" s="66"/>
      <c r="NW259" s="66"/>
      <c r="NX259" s="66"/>
      <c r="NY259" s="66"/>
      <c r="NZ259" s="66"/>
      <c r="OA259" s="66"/>
      <c r="OB259" s="66"/>
      <c r="OC259" s="66"/>
      <c r="OD259" s="66"/>
      <c r="OE259" s="66"/>
      <c r="OF259" s="66"/>
      <c r="OG259" s="66"/>
      <c r="OH259" s="66"/>
      <c r="OI259" s="66"/>
      <c r="OJ259" s="66"/>
      <c r="OK259" s="66"/>
      <c r="OL259" s="66"/>
      <c r="OM259" s="66"/>
      <c r="ON259" s="66"/>
      <c r="OO259" s="66"/>
      <c r="OP259" s="66"/>
      <c r="OQ259" s="66"/>
      <c r="OR259" s="66"/>
      <c r="OS259" s="66"/>
      <c r="OT259" s="66"/>
      <c r="OU259" s="66"/>
      <c r="OV259" s="66"/>
      <c r="OW259" s="66"/>
      <c r="OX259" s="66"/>
      <c r="OY259" s="66"/>
      <c r="OZ259" s="66"/>
      <c r="PA259" s="66"/>
      <c r="PB259" s="66"/>
      <c r="PC259" s="66"/>
      <c r="PD259" s="66"/>
      <c r="PE259" s="66"/>
      <c r="PF259" s="66"/>
      <c r="PG259" s="66"/>
      <c r="PH259" s="66"/>
      <c r="PI259" s="66"/>
      <c r="PJ259" s="66"/>
      <c r="PK259" s="66"/>
      <c r="PL259" s="66"/>
      <c r="PM259" s="66"/>
      <c r="PN259" s="66"/>
      <c r="PO259" s="66"/>
      <c r="PP259" s="66"/>
      <c r="PQ259" s="66"/>
      <c r="PR259" s="66"/>
      <c r="PS259" s="66"/>
      <c r="PT259" s="66"/>
      <c r="PU259" s="66"/>
      <c r="PV259" s="66"/>
      <c r="PW259" s="66"/>
      <c r="PX259" s="66"/>
      <c r="PY259" s="66"/>
      <c r="PZ259" s="66"/>
      <c r="QA259" s="66"/>
      <c r="QB259" s="66"/>
      <c r="QC259" s="66"/>
      <c r="QD259" s="66"/>
      <c r="QE259" s="66"/>
      <c r="QF259" s="66"/>
      <c r="QG259" s="66"/>
      <c r="QH259" s="66"/>
      <c r="QI259" s="66"/>
      <c r="QJ259" s="66"/>
      <c r="QK259" s="66"/>
      <c r="QL259" s="66"/>
      <c r="QM259" s="66"/>
      <c r="QN259" s="66"/>
      <c r="QO259" s="66"/>
      <c r="QP259" s="66"/>
      <c r="QQ259" s="66"/>
      <c r="QR259" s="66"/>
      <c r="QS259" s="66"/>
      <c r="QT259" s="66"/>
      <c r="QU259" s="66"/>
      <c r="QV259" s="66"/>
      <c r="QW259" s="66"/>
      <c r="QX259" s="66"/>
      <c r="QY259" s="66"/>
      <c r="QZ259" s="66"/>
      <c r="RA259" s="66"/>
      <c r="RB259" s="66"/>
      <c r="RC259" s="66"/>
      <c r="RD259" s="4"/>
    </row>
    <row r="260" spans="9:472" x14ac:dyDescent="0.25">
      <c r="I260" s="66"/>
      <c r="J260" s="66"/>
      <c r="K260" s="66"/>
      <c r="L260" s="66"/>
      <c r="M260" s="66"/>
      <c r="N260" s="66"/>
      <c r="O260" s="66"/>
      <c r="P260" s="66"/>
      <c r="Q260" s="66"/>
      <c r="R260" s="66"/>
      <c r="S260" s="66"/>
      <c r="T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c r="CY260" s="66"/>
      <c r="CZ260" s="66"/>
      <c r="DA260" s="66"/>
      <c r="DB260" s="66"/>
      <c r="DC260" s="66"/>
      <c r="DD260" s="66"/>
      <c r="DE260" s="66"/>
      <c r="DF260" s="66"/>
      <c r="DG260" s="66"/>
      <c r="DH260" s="66"/>
      <c r="DI260" s="66"/>
      <c r="DJ260" s="66"/>
      <c r="DK260" s="66"/>
      <c r="DL260" s="66"/>
      <c r="DM260" s="66"/>
      <c r="DN260" s="66"/>
      <c r="DO260" s="66"/>
      <c r="DP260" s="66"/>
      <c r="DQ260" s="66"/>
      <c r="DR260" s="66"/>
      <c r="DS260" s="66"/>
      <c r="DT260" s="66"/>
      <c r="DU260" s="66"/>
      <c r="DV260" s="66"/>
      <c r="DW260" s="66"/>
      <c r="DX260" s="66"/>
      <c r="DY260" s="66"/>
      <c r="DZ260" s="66"/>
      <c r="EA260" s="66"/>
      <c r="EB260" s="66"/>
      <c r="EC260" s="66"/>
      <c r="ED260" s="66"/>
      <c r="EE260" s="66"/>
      <c r="EF260" s="66"/>
      <c r="EG260" s="66"/>
      <c r="EH260" s="66"/>
      <c r="EI260" s="66"/>
      <c r="EJ260" s="66"/>
      <c r="EK260" s="66"/>
      <c r="EL260" s="66"/>
      <c r="EM260" s="66"/>
      <c r="EN260" s="66"/>
      <c r="EO260" s="66"/>
      <c r="EP260" s="66"/>
      <c r="EQ260" s="66"/>
      <c r="ER260" s="66"/>
      <c r="ES260" s="66"/>
      <c r="ET260" s="66"/>
      <c r="EU260" s="66"/>
      <c r="EV260" s="66"/>
      <c r="EW260" s="66"/>
      <c r="EX260" s="66"/>
      <c r="EY260" s="66"/>
      <c r="EZ260" s="66"/>
      <c r="FA260" s="66"/>
      <c r="FB260" s="66"/>
      <c r="FC260" s="66"/>
      <c r="FD260" s="66"/>
      <c r="FE260" s="66"/>
      <c r="FF260" s="66"/>
      <c r="FG260" s="66"/>
      <c r="FH260" s="66"/>
      <c r="FI260" s="66"/>
      <c r="FJ260" s="66"/>
      <c r="FK260" s="66"/>
      <c r="FL260" s="66"/>
      <c r="FM260" s="66"/>
      <c r="FN260" s="66"/>
      <c r="FO260" s="66"/>
      <c r="FP260" s="66"/>
      <c r="FQ260" s="66"/>
      <c r="FR260" s="66"/>
      <c r="FS260" s="66"/>
      <c r="FT260" s="66"/>
      <c r="FU260" s="66"/>
      <c r="FV260" s="66"/>
      <c r="FW260" s="66"/>
      <c r="FX260" s="66"/>
      <c r="FY260" s="66"/>
      <c r="FZ260" s="66"/>
      <c r="GA260" s="66"/>
      <c r="GB260" s="66"/>
      <c r="GC260" s="66"/>
      <c r="GD260" s="66"/>
      <c r="GE260" s="66"/>
      <c r="GF260" s="66"/>
      <c r="GG260" s="66"/>
      <c r="GH260" s="66"/>
      <c r="GI260" s="66"/>
      <c r="GJ260" s="66"/>
      <c r="GK260" s="66"/>
      <c r="GL260" s="66"/>
      <c r="GM260" s="66"/>
      <c r="GN260" s="66"/>
      <c r="GO260" s="66"/>
      <c r="GP260" s="66"/>
      <c r="GQ260" s="66"/>
      <c r="GR260" s="66"/>
      <c r="GS260" s="66"/>
      <c r="GT260" s="66"/>
      <c r="GU260" s="66"/>
      <c r="GV260" s="66"/>
      <c r="GW260" s="66"/>
      <c r="GX260" s="66"/>
      <c r="GY260" s="66"/>
      <c r="GZ260" s="66"/>
      <c r="HA260" s="66"/>
      <c r="HB260" s="66"/>
      <c r="HC260" s="66"/>
      <c r="HD260" s="66"/>
      <c r="HE260" s="66"/>
      <c r="HF260" s="66"/>
      <c r="HG260" s="66"/>
      <c r="HH260" s="66"/>
      <c r="HI260" s="66"/>
      <c r="HJ260" s="66"/>
      <c r="HK260" s="66"/>
      <c r="HL260" s="66"/>
      <c r="HM260" s="66"/>
      <c r="HN260" s="66"/>
      <c r="HO260" s="66"/>
      <c r="HP260" s="66"/>
      <c r="HQ260" s="66"/>
      <c r="HR260" s="66"/>
      <c r="HS260" s="66"/>
      <c r="HT260" s="66"/>
      <c r="HU260" s="66"/>
      <c r="HV260" s="66"/>
      <c r="HW260" s="66"/>
      <c r="HX260" s="66"/>
      <c r="HY260" s="66"/>
      <c r="HZ260" s="66"/>
      <c r="IA260" s="66"/>
      <c r="IB260" s="66"/>
      <c r="IC260" s="66"/>
      <c r="ID260" s="66"/>
      <c r="IE260" s="66"/>
      <c r="IF260" s="66"/>
      <c r="IG260" s="66"/>
      <c r="IH260" s="66"/>
      <c r="II260" s="66"/>
      <c r="IJ260" s="66"/>
      <c r="IK260" s="66"/>
      <c r="IL260" s="66"/>
      <c r="IM260" s="66"/>
      <c r="IN260" s="66"/>
      <c r="IO260" s="66"/>
      <c r="IP260" s="66"/>
      <c r="IQ260" s="66"/>
      <c r="IR260" s="66"/>
      <c r="IS260" s="66"/>
      <c r="IT260" s="66"/>
      <c r="IU260" s="66"/>
      <c r="IV260" s="66"/>
      <c r="IW260" s="66"/>
      <c r="IX260" s="66"/>
      <c r="IY260" s="66"/>
      <c r="IZ260" s="66"/>
      <c r="JA260" s="66"/>
      <c r="JB260" s="66"/>
      <c r="JC260" s="66"/>
      <c r="JD260" s="66"/>
      <c r="JE260" s="66"/>
      <c r="JF260" s="66"/>
      <c r="JG260" s="66"/>
      <c r="JH260" s="66"/>
      <c r="JI260" s="66"/>
      <c r="JJ260" s="66"/>
      <c r="JK260" s="66"/>
      <c r="JL260" s="66"/>
      <c r="JM260" s="66"/>
      <c r="JN260" s="66"/>
      <c r="JO260" s="66"/>
      <c r="JP260" s="66"/>
      <c r="JQ260" s="66"/>
      <c r="JR260" s="66"/>
      <c r="JS260" s="66"/>
      <c r="JT260" s="66"/>
      <c r="JU260" s="66"/>
      <c r="JV260" s="66"/>
      <c r="JW260" s="66"/>
      <c r="JX260" s="66"/>
      <c r="JY260" s="66"/>
      <c r="JZ260" s="66"/>
      <c r="KA260" s="66"/>
      <c r="KB260" s="66"/>
      <c r="KC260" s="66"/>
      <c r="KD260" s="66"/>
      <c r="KE260" s="66"/>
      <c r="KF260" s="66"/>
      <c r="KG260" s="66"/>
      <c r="KH260" s="66"/>
      <c r="KI260" s="66"/>
      <c r="KJ260" s="66"/>
      <c r="KK260" s="66"/>
      <c r="KL260" s="66"/>
      <c r="KM260" s="66"/>
      <c r="KN260" s="66"/>
      <c r="KO260" s="66"/>
      <c r="KP260" s="66"/>
      <c r="KQ260" s="66"/>
      <c r="KR260" s="66"/>
      <c r="KS260" s="66"/>
      <c r="KT260" s="66"/>
      <c r="KU260" s="66"/>
      <c r="KV260" s="66"/>
      <c r="KW260" s="66"/>
      <c r="KX260" s="66"/>
      <c r="KY260" s="66"/>
      <c r="KZ260" s="66"/>
      <c r="LA260" s="66"/>
      <c r="LB260" s="66"/>
      <c r="LC260" s="66"/>
      <c r="LD260" s="66"/>
      <c r="LE260" s="66"/>
      <c r="LF260" s="66"/>
      <c r="LG260" s="66"/>
      <c r="LH260" s="66"/>
      <c r="LI260" s="66"/>
      <c r="LJ260" s="66"/>
      <c r="LK260" s="66"/>
      <c r="LL260" s="66"/>
      <c r="LM260" s="66"/>
      <c r="LN260" s="66"/>
      <c r="LO260" s="66"/>
      <c r="LP260" s="66"/>
      <c r="LQ260" s="66"/>
      <c r="LR260" s="66"/>
      <c r="LS260" s="66"/>
      <c r="LT260" s="66"/>
      <c r="LU260" s="66"/>
      <c r="LV260" s="66"/>
      <c r="LW260" s="66"/>
      <c r="LX260" s="66"/>
      <c r="LY260" s="66"/>
      <c r="LZ260" s="66"/>
      <c r="MA260" s="66"/>
      <c r="MB260" s="66"/>
      <c r="MC260" s="66"/>
      <c r="MD260" s="66"/>
      <c r="ME260" s="66"/>
      <c r="MF260" s="66"/>
      <c r="MG260" s="66"/>
      <c r="MH260" s="66"/>
      <c r="MI260" s="66"/>
      <c r="MJ260" s="66"/>
      <c r="MK260" s="66"/>
      <c r="ML260" s="66"/>
      <c r="MM260" s="66"/>
      <c r="MN260" s="66"/>
      <c r="MO260" s="66"/>
      <c r="MP260" s="66"/>
      <c r="MQ260" s="66"/>
      <c r="MR260" s="66"/>
      <c r="MS260" s="66"/>
      <c r="MT260" s="66"/>
      <c r="MU260" s="66"/>
      <c r="MV260" s="66"/>
      <c r="MW260" s="66"/>
      <c r="MX260" s="66"/>
      <c r="MY260" s="66"/>
      <c r="MZ260" s="66"/>
      <c r="NA260" s="66"/>
      <c r="NB260" s="66"/>
      <c r="NC260" s="66"/>
      <c r="ND260" s="66"/>
      <c r="NE260" s="66"/>
      <c r="NF260" s="66"/>
      <c r="NG260" s="66"/>
      <c r="NH260" s="66"/>
      <c r="NI260" s="66"/>
      <c r="NJ260" s="66"/>
      <c r="NK260" s="66"/>
      <c r="NL260" s="66"/>
      <c r="NM260" s="66"/>
      <c r="NN260" s="66"/>
      <c r="NO260" s="66"/>
      <c r="NP260" s="66"/>
      <c r="NQ260" s="66"/>
      <c r="NR260" s="66"/>
      <c r="NS260" s="66"/>
      <c r="NT260" s="66"/>
      <c r="NU260" s="66"/>
      <c r="NV260" s="66"/>
      <c r="NW260" s="66"/>
      <c r="NX260" s="66"/>
      <c r="NY260" s="66"/>
      <c r="NZ260" s="66"/>
      <c r="OA260" s="66"/>
      <c r="OB260" s="66"/>
      <c r="OC260" s="66"/>
      <c r="OD260" s="66"/>
      <c r="OE260" s="66"/>
      <c r="OF260" s="66"/>
      <c r="OG260" s="66"/>
      <c r="OH260" s="66"/>
      <c r="OI260" s="66"/>
      <c r="OJ260" s="66"/>
      <c r="OK260" s="66"/>
      <c r="OL260" s="66"/>
      <c r="OM260" s="66"/>
      <c r="ON260" s="66"/>
      <c r="OO260" s="66"/>
      <c r="OP260" s="66"/>
      <c r="OQ260" s="66"/>
      <c r="OR260" s="66"/>
      <c r="OS260" s="66"/>
      <c r="OT260" s="66"/>
      <c r="OU260" s="66"/>
      <c r="OV260" s="66"/>
      <c r="OW260" s="66"/>
      <c r="OX260" s="66"/>
      <c r="OY260" s="66"/>
      <c r="OZ260" s="66"/>
      <c r="PA260" s="66"/>
      <c r="PB260" s="66"/>
      <c r="PC260" s="66"/>
      <c r="PD260" s="66"/>
      <c r="PE260" s="66"/>
      <c r="PF260" s="66"/>
      <c r="PG260" s="66"/>
      <c r="PH260" s="66"/>
      <c r="PI260" s="66"/>
      <c r="PJ260" s="66"/>
      <c r="PK260" s="66"/>
      <c r="PL260" s="66"/>
      <c r="PM260" s="66"/>
      <c r="PN260" s="66"/>
      <c r="PO260" s="66"/>
      <c r="PP260" s="66"/>
      <c r="PQ260" s="66"/>
      <c r="PR260" s="66"/>
      <c r="PS260" s="66"/>
      <c r="PT260" s="66"/>
      <c r="PU260" s="66"/>
      <c r="PV260" s="66"/>
      <c r="PW260" s="66"/>
      <c r="PX260" s="66"/>
      <c r="PY260" s="66"/>
      <c r="PZ260" s="66"/>
      <c r="QA260" s="66"/>
      <c r="QB260" s="66"/>
      <c r="QC260" s="66"/>
      <c r="QD260" s="66"/>
      <c r="QE260" s="66"/>
      <c r="QF260" s="66"/>
      <c r="QG260" s="66"/>
      <c r="QH260" s="66"/>
      <c r="QI260" s="66"/>
      <c r="QJ260" s="66"/>
      <c r="QK260" s="66"/>
      <c r="QL260" s="66"/>
      <c r="QM260" s="66"/>
      <c r="QN260" s="66"/>
      <c r="QO260" s="66"/>
      <c r="QP260" s="66"/>
      <c r="QQ260" s="66"/>
      <c r="QR260" s="66"/>
      <c r="QS260" s="66"/>
      <c r="QT260" s="66"/>
      <c r="QU260" s="66"/>
      <c r="QV260" s="66"/>
      <c r="QW260" s="66"/>
      <c r="QX260" s="66"/>
      <c r="QY260" s="66"/>
      <c r="QZ260" s="66"/>
      <c r="RA260" s="66"/>
      <c r="RB260" s="66"/>
      <c r="RC260" s="66"/>
      <c r="RD260" s="4"/>
    </row>
    <row r="261" spans="9:472" x14ac:dyDescent="0.25">
      <c r="I261" s="66"/>
      <c r="J261" s="66"/>
      <c r="K261" s="66"/>
      <c r="L261" s="66"/>
      <c r="M261" s="66"/>
      <c r="N261" s="66"/>
      <c r="O261" s="66"/>
      <c r="P261" s="66"/>
      <c r="Q261" s="66"/>
      <c r="R261" s="66"/>
      <c r="S261" s="66"/>
      <c r="T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c r="CY261" s="66"/>
      <c r="CZ261" s="66"/>
      <c r="DA261" s="66"/>
      <c r="DB261" s="66"/>
      <c r="DC261" s="66"/>
      <c r="DD261" s="66"/>
      <c r="DE261" s="66"/>
      <c r="DF261" s="66"/>
      <c r="DG261" s="66"/>
      <c r="DH261" s="66"/>
      <c r="DI261" s="66"/>
      <c r="DJ261" s="66"/>
      <c r="DK261" s="66"/>
      <c r="DL261" s="66"/>
      <c r="DM261" s="66"/>
      <c r="DN261" s="66"/>
      <c r="DO261" s="66"/>
      <c r="DP261" s="66"/>
      <c r="DQ261" s="66"/>
      <c r="DR261" s="66"/>
      <c r="DS261" s="66"/>
      <c r="DT261" s="66"/>
      <c r="DU261" s="66"/>
      <c r="DV261" s="66"/>
      <c r="DW261" s="66"/>
      <c r="DX261" s="66"/>
      <c r="DY261" s="66"/>
      <c r="DZ261" s="66"/>
      <c r="EA261" s="66"/>
      <c r="EB261" s="66"/>
      <c r="EC261" s="66"/>
      <c r="ED261" s="66"/>
      <c r="EE261" s="66"/>
      <c r="EF261" s="66"/>
      <c r="EG261" s="66"/>
      <c r="EH261" s="66"/>
      <c r="EI261" s="66"/>
      <c r="EJ261" s="66"/>
      <c r="EK261" s="66"/>
      <c r="EL261" s="66"/>
      <c r="EM261" s="66"/>
      <c r="EN261" s="66"/>
      <c r="EO261" s="66"/>
      <c r="EP261" s="66"/>
      <c r="EQ261" s="66"/>
      <c r="ER261" s="66"/>
      <c r="ES261" s="66"/>
      <c r="ET261" s="66"/>
      <c r="EU261" s="66"/>
      <c r="EV261" s="66"/>
      <c r="EW261" s="66"/>
      <c r="EX261" s="66"/>
      <c r="EY261" s="66"/>
      <c r="EZ261" s="66"/>
      <c r="FA261" s="66"/>
      <c r="FB261" s="66"/>
      <c r="FC261" s="66"/>
      <c r="FD261" s="66"/>
      <c r="FE261" s="66"/>
      <c r="FF261" s="66"/>
      <c r="FG261" s="66"/>
      <c r="FH261" s="66"/>
      <c r="FI261" s="66"/>
      <c r="FJ261" s="66"/>
      <c r="FK261" s="66"/>
      <c r="FL261" s="66"/>
      <c r="FM261" s="66"/>
      <c r="FN261" s="66"/>
      <c r="FO261" s="66"/>
      <c r="FP261" s="66"/>
      <c r="FQ261" s="66"/>
      <c r="FR261" s="66"/>
      <c r="FS261" s="66"/>
      <c r="FT261" s="66"/>
      <c r="FU261" s="66"/>
      <c r="FV261" s="66"/>
      <c r="FW261" s="66"/>
      <c r="FX261" s="66"/>
      <c r="FY261" s="66"/>
      <c r="FZ261" s="66"/>
      <c r="GA261" s="66"/>
      <c r="GB261" s="66"/>
      <c r="GC261" s="66"/>
      <c r="GD261" s="66"/>
      <c r="GE261" s="66"/>
      <c r="GF261" s="66"/>
      <c r="GG261" s="66"/>
      <c r="GH261" s="66"/>
      <c r="GI261" s="66"/>
      <c r="GJ261" s="66"/>
      <c r="GK261" s="66"/>
      <c r="GL261" s="66"/>
      <c r="GM261" s="66"/>
      <c r="GN261" s="66"/>
      <c r="GO261" s="66"/>
      <c r="GP261" s="66"/>
      <c r="GQ261" s="66"/>
      <c r="GR261" s="66"/>
      <c r="GS261" s="66"/>
      <c r="GT261" s="66"/>
      <c r="GU261" s="66"/>
      <c r="GV261" s="66"/>
      <c r="GW261" s="66"/>
      <c r="GX261" s="66"/>
      <c r="GY261" s="66"/>
      <c r="GZ261" s="66"/>
      <c r="HA261" s="66"/>
      <c r="HB261" s="66"/>
      <c r="HC261" s="66"/>
      <c r="HD261" s="66"/>
      <c r="HE261" s="66"/>
      <c r="HF261" s="66"/>
      <c r="HG261" s="66"/>
      <c r="HH261" s="66"/>
      <c r="HI261" s="66"/>
      <c r="HJ261" s="66"/>
      <c r="HK261" s="66"/>
      <c r="HL261" s="66"/>
      <c r="HM261" s="66"/>
      <c r="HN261" s="66"/>
      <c r="HO261" s="66"/>
      <c r="HP261" s="66"/>
      <c r="HQ261" s="66"/>
      <c r="HR261" s="66"/>
      <c r="HS261" s="66"/>
      <c r="HT261" s="66"/>
      <c r="HU261" s="66"/>
      <c r="HV261" s="66"/>
      <c r="HW261" s="66"/>
      <c r="HX261" s="66"/>
      <c r="HY261" s="66"/>
      <c r="HZ261" s="66"/>
      <c r="IA261" s="66"/>
      <c r="IB261" s="66"/>
      <c r="IC261" s="66"/>
      <c r="ID261" s="66"/>
      <c r="IE261" s="66"/>
      <c r="IF261" s="66"/>
      <c r="IG261" s="66"/>
      <c r="IH261" s="66"/>
      <c r="II261" s="66"/>
      <c r="IJ261" s="66"/>
      <c r="IK261" s="66"/>
      <c r="IL261" s="66"/>
      <c r="IM261" s="66"/>
      <c r="IN261" s="66"/>
      <c r="IO261" s="66"/>
      <c r="IP261" s="66"/>
      <c r="IQ261" s="66"/>
      <c r="IR261" s="66"/>
      <c r="IS261" s="66"/>
      <c r="IT261" s="66"/>
      <c r="IU261" s="66"/>
      <c r="IV261" s="66"/>
      <c r="IW261" s="66"/>
      <c r="IX261" s="66"/>
      <c r="IY261" s="66"/>
      <c r="IZ261" s="66"/>
      <c r="JA261" s="66"/>
      <c r="JB261" s="66"/>
      <c r="JC261" s="66"/>
      <c r="JD261" s="66"/>
      <c r="JE261" s="66"/>
      <c r="JF261" s="66"/>
      <c r="JG261" s="66"/>
      <c r="JH261" s="66"/>
      <c r="JI261" s="66"/>
      <c r="JJ261" s="66"/>
      <c r="JK261" s="66"/>
      <c r="JL261" s="66"/>
      <c r="JM261" s="66"/>
      <c r="JN261" s="66"/>
      <c r="JO261" s="66"/>
      <c r="JP261" s="66"/>
      <c r="JQ261" s="66"/>
      <c r="JR261" s="66"/>
      <c r="JS261" s="66"/>
      <c r="JT261" s="66"/>
      <c r="JU261" s="66"/>
      <c r="JV261" s="66"/>
      <c r="JW261" s="66"/>
      <c r="JX261" s="66"/>
      <c r="JY261" s="66"/>
      <c r="JZ261" s="66"/>
      <c r="KA261" s="66"/>
      <c r="KB261" s="66"/>
      <c r="KC261" s="66"/>
      <c r="KD261" s="66"/>
      <c r="KE261" s="66"/>
      <c r="KF261" s="66"/>
      <c r="KG261" s="66"/>
      <c r="KH261" s="66"/>
      <c r="KI261" s="66"/>
      <c r="KJ261" s="66"/>
      <c r="KK261" s="66"/>
      <c r="KL261" s="66"/>
      <c r="KM261" s="66"/>
      <c r="KN261" s="66"/>
      <c r="KO261" s="66"/>
      <c r="KP261" s="66"/>
      <c r="KQ261" s="66"/>
      <c r="KR261" s="66"/>
      <c r="KS261" s="66"/>
      <c r="KT261" s="66"/>
      <c r="KU261" s="66"/>
      <c r="KV261" s="66"/>
      <c r="KW261" s="66"/>
      <c r="KX261" s="66"/>
      <c r="KY261" s="66"/>
      <c r="KZ261" s="66"/>
      <c r="LA261" s="66"/>
      <c r="LB261" s="66"/>
      <c r="LC261" s="66"/>
      <c r="LD261" s="66"/>
      <c r="LE261" s="66"/>
      <c r="LF261" s="66"/>
      <c r="LG261" s="66"/>
      <c r="LH261" s="66"/>
      <c r="LI261" s="66"/>
      <c r="LJ261" s="66"/>
      <c r="LK261" s="66"/>
      <c r="LL261" s="66"/>
      <c r="LM261" s="66"/>
      <c r="LN261" s="66"/>
      <c r="LO261" s="66"/>
      <c r="LP261" s="66"/>
      <c r="LQ261" s="66"/>
      <c r="LR261" s="66"/>
      <c r="LS261" s="66"/>
      <c r="LT261" s="66"/>
      <c r="LU261" s="66"/>
      <c r="LV261" s="66"/>
      <c r="LW261" s="66"/>
      <c r="LX261" s="66"/>
      <c r="LY261" s="66"/>
      <c r="LZ261" s="66"/>
      <c r="MA261" s="66"/>
      <c r="MB261" s="66"/>
      <c r="MC261" s="66"/>
      <c r="MD261" s="66"/>
      <c r="ME261" s="66"/>
      <c r="MF261" s="66"/>
      <c r="MG261" s="66"/>
      <c r="MH261" s="66"/>
      <c r="MI261" s="66"/>
      <c r="MJ261" s="66"/>
      <c r="MK261" s="66"/>
      <c r="ML261" s="66"/>
      <c r="MM261" s="66"/>
      <c r="MN261" s="66"/>
      <c r="MO261" s="66"/>
      <c r="MP261" s="66"/>
      <c r="MQ261" s="66"/>
      <c r="MR261" s="66"/>
      <c r="MS261" s="66"/>
      <c r="MT261" s="66"/>
      <c r="MU261" s="66"/>
      <c r="MV261" s="66"/>
      <c r="MW261" s="66"/>
      <c r="MX261" s="66"/>
      <c r="MY261" s="66"/>
      <c r="MZ261" s="66"/>
      <c r="NA261" s="66"/>
      <c r="NB261" s="66"/>
      <c r="NC261" s="66"/>
      <c r="ND261" s="66"/>
      <c r="NE261" s="66"/>
      <c r="NF261" s="66"/>
      <c r="NG261" s="66"/>
      <c r="NH261" s="66"/>
      <c r="NI261" s="66"/>
      <c r="NJ261" s="66"/>
      <c r="NK261" s="66"/>
      <c r="NL261" s="66"/>
      <c r="NM261" s="66"/>
      <c r="NN261" s="66"/>
      <c r="NO261" s="66"/>
      <c r="NP261" s="66"/>
      <c r="NQ261" s="66"/>
      <c r="NR261" s="66"/>
      <c r="NS261" s="66"/>
      <c r="NT261" s="66"/>
      <c r="NU261" s="66"/>
      <c r="NV261" s="66"/>
      <c r="NW261" s="66"/>
      <c r="NX261" s="66"/>
      <c r="NY261" s="66"/>
      <c r="NZ261" s="66"/>
      <c r="OA261" s="66"/>
      <c r="OB261" s="66"/>
      <c r="OC261" s="66"/>
      <c r="OD261" s="66"/>
      <c r="OE261" s="66"/>
      <c r="OF261" s="66"/>
      <c r="OG261" s="66"/>
      <c r="OH261" s="66"/>
      <c r="OI261" s="66"/>
      <c r="OJ261" s="66"/>
      <c r="OK261" s="66"/>
      <c r="OL261" s="66"/>
      <c r="OM261" s="66"/>
      <c r="ON261" s="66"/>
      <c r="OO261" s="66"/>
      <c r="OP261" s="66"/>
      <c r="OQ261" s="66"/>
      <c r="OR261" s="66"/>
      <c r="OS261" s="66"/>
      <c r="OT261" s="66"/>
      <c r="OU261" s="66"/>
      <c r="OV261" s="66"/>
      <c r="OW261" s="66"/>
      <c r="OX261" s="66"/>
      <c r="OY261" s="66"/>
      <c r="OZ261" s="66"/>
      <c r="PA261" s="66"/>
      <c r="PB261" s="66"/>
      <c r="PC261" s="66"/>
      <c r="PD261" s="66"/>
      <c r="PE261" s="66"/>
      <c r="PF261" s="66"/>
      <c r="PG261" s="66"/>
      <c r="PH261" s="66"/>
      <c r="PI261" s="66"/>
      <c r="PJ261" s="66"/>
      <c r="PK261" s="66"/>
      <c r="PL261" s="66"/>
      <c r="PM261" s="66"/>
      <c r="PN261" s="66"/>
      <c r="PO261" s="66"/>
      <c r="PP261" s="66"/>
      <c r="PQ261" s="66"/>
      <c r="PR261" s="66"/>
      <c r="PS261" s="66"/>
      <c r="PT261" s="66"/>
      <c r="PU261" s="66"/>
      <c r="PV261" s="66"/>
      <c r="PW261" s="66"/>
      <c r="PX261" s="66"/>
      <c r="PY261" s="66"/>
      <c r="PZ261" s="66"/>
      <c r="QA261" s="66"/>
      <c r="QB261" s="66"/>
      <c r="QC261" s="66"/>
      <c r="QD261" s="66"/>
      <c r="QE261" s="66"/>
      <c r="QF261" s="66"/>
      <c r="QG261" s="66"/>
      <c r="QH261" s="66"/>
      <c r="QI261" s="66"/>
      <c r="QJ261" s="66"/>
      <c r="QK261" s="66"/>
      <c r="QL261" s="66"/>
      <c r="QM261" s="66"/>
      <c r="QN261" s="66"/>
      <c r="QO261" s="66"/>
      <c r="QP261" s="66"/>
      <c r="QQ261" s="66"/>
      <c r="QR261" s="66"/>
      <c r="QS261" s="66"/>
      <c r="QT261" s="66"/>
      <c r="QU261" s="66"/>
      <c r="QV261" s="66"/>
      <c r="QW261" s="66"/>
      <c r="QX261" s="66"/>
      <c r="QY261" s="66"/>
      <c r="QZ261" s="66"/>
      <c r="RA261" s="66"/>
      <c r="RB261" s="66"/>
      <c r="RC261" s="66"/>
      <c r="RD261" s="4"/>
    </row>
    <row r="262" spans="9:472" x14ac:dyDescent="0.25">
      <c r="I262" s="66"/>
      <c r="J262" s="66"/>
      <c r="K262" s="66"/>
      <c r="L262" s="66"/>
      <c r="M262" s="66"/>
      <c r="N262" s="66"/>
      <c r="O262" s="66"/>
      <c r="P262" s="66"/>
      <c r="Q262" s="66"/>
      <c r="R262" s="66"/>
      <c r="S262" s="66"/>
      <c r="T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c r="CY262" s="66"/>
      <c r="CZ262" s="66"/>
      <c r="DA262" s="66"/>
      <c r="DB262" s="66"/>
      <c r="DC262" s="66"/>
      <c r="DD262" s="66"/>
      <c r="DE262" s="66"/>
      <c r="DF262" s="66"/>
      <c r="DG262" s="66"/>
      <c r="DH262" s="66"/>
      <c r="DI262" s="66"/>
      <c r="DJ262" s="66"/>
      <c r="DK262" s="66"/>
      <c r="DL262" s="66"/>
      <c r="DM262" s="66"/>
      <c r="DN262" s="66"/>
      <c r="DO262" s="66"/>
      <c r="DP262" s="66"/>
      <c r="DQ262" s="66"/>
      <c r="DR262" s="66"/>
      <c r="DS262" s="66"/>
      <c r="DT262" s="66"/>
      <c r="DU262" s="66"/>
      <c r="DV262" s="66"/>
      <c r="DW262" s="66"/>
      <c r="DX262" s="66"/>
      <c r="DY262" s="66"/>
      <c r="DZ262" s="66"/>
      <c r="EA262" s="66"/>
      <c r="EB262" s="66"/>
      <c r="EC262" s="66"/>
      <c r="ED262" s="66"/>
      <c r="EE262" s="66"/>
      <c r="EF262" s="66"/>
      <c r="EG262" s="66"/>
      <c r="EH262" s="66"/>
      <c r="EI262" s="66"/>
      <c r="EJ262" s="66"/>
      <c r="EK262" s="66"/>
      <c r="EL262" s="66"/>
      <c r="EM262" s="66"/>
      <c r="EN262" s="66"/>
      <c r="EO262" s="66"/>
      <c r="EP262" s="66"/>
      <c r="EQ262" s="66"/>
      <c r="ER262" s="66"/>
      <c r="ES262" s="66"/>
      <c r="ET262" s="66"/>
      <c r="EU262" s="66"/>
      <c r="EV262" s="66"/>
      <c r="EW262" s="66"/>
      <c r="EX262" s="66"/>
      <c r="EY262" s="66"/>
      <c r="EZ262" s="66"/>
      <c r="FA262" s="66"/>
      <c r="FB262" s="66"/>
      <c r="FC262" s="66"/>
      <c r="FD262" s="66"/>
      <c r="FE262" s="66"/>
      <c r="FF262" s="66"/>
      <c r="FG262" s="66"/>
      <c r="FH262" s="66"/>
      <c r="FI262" s="66"/>
      <c r="FJ262" s="66"/>
      <c r="FK262" s="66"/>
      <c r="FL262" s="66"/>
      <c r="FM262" s="66"/>
      <c r="FN262" s="66"/>
      <c r="FO262" s="66"/>
      <c r="FP262" s="66"/>
      <c r="FQ262" s="66"/>
      <c r="FR262" s="66"/>
      <c r="FS262" s="66"/>
      <c r="FT262" s="66"/>
      <c r="FU262" s="66"/>
      <c r="FV262" s="66"/>
      <c r="FW262" s="66"/>
      <c r="FX262" s="66"/>
      <c r="FY262" s="66"/>
      <c r="FZ262" s="66"/>
      <c r="GA262" s="66"/>
      <c r="GB262" s="66"/>
      <c r="GC262" s="66"/>
      <c r="GD262" s="66"/>
      <c r="GE262" s="66"/>
      <c r="GF262" s="66"/>
      <c r="GG262" s="66"/>
      <c r="GH262" s="66"/>
      <c r="GI262" s="66"/>
      <c r="GJ262" s="66"/>
      <c r="GK262" s="66"/>
      <c r="GL262" s="66"/>
      <c r="GM262" s="66"/>
      <c r="GN262" s="66"/>
      <c r="GO262" s="66"/>
      <c r="GP262" s="66"/>
      <c r="GQ262" s="66"/>
      <c r="GR262" s="66"/>
      <c r="GS262" s="66"/>
      <c r="GT262" s="66"/>
      <c r="GU262" s="66"/>
      <c r="GV262" s="66"/>
      <c r="GW262" s="66"/>
      <c r="GX262" s="66"/>
      <c r="GY262" s="66"/>
      <c r="GZ262" s="66"/>
      <c r="HA262" s="66"/>
      <c r="HB262" s="66"/>
      <c r="HC262" s="66"/>
      <c r="HD262" s="66"/>
      <c r="HE262" s="66"/>
      <c r="HF262" s="66"/>
      <c r="HG262" s="66"/>
      <c r="HH262" s="66"/>
      <c r="HI262" s="66"/>
      <c r="HJ262" s="66"/>
      <c r="HK262" s="66"/>
      <c r="HL262" s="66"/>
      <c r="HM262" s="66"/>
      <c r="HN262" s="66"/>
      <c r="HO262" s="66"/>
      <c r="HP262" s="66"/>
      <c r="HQ262" s="66"/>
      <c r="HR262" s="66"/>
      <c r="HS262" s="66"/>
      <c r="HT262" s="66"/>
      <c r="HU262" s="66"/>
      <c r="HV262" s="66"/>
      <c r="HW262" s="66"/>
      <c r="HX262" s="66"/>
      <c r="HY262" s="66"/>
      <c r="HZ262" s="66"/>
      <c r="IA262" s="66"/>
      <c r="IB262" s="66"/>
      <c r="IC262" s="66"/>
      <c r="ID262" s="66"/>
      <c r="IE262" s="66"/>
      <c r="IF262" s="66"/>
      <c r="IG262" s="66"/>
      <c r="IH262" s="66"/>
      <c r="II262" s="66"/>
      <c r="IJ262" s="66"/>
      <c r="IK262" s="66"/>
      <c r="IL262" s="66"/>
      <c r="IM262" s="66"/>
      <c r="IN262" s="66"/>
      <c r="IO262" s="66"/>
      <c r="IP262" s="66"/>
      <c r="IQ262" s="66"/>
      <c r="IR262" s="66"/>
      <c r="IS262" s="66"/>
      <c r="IT262" s="66"/>
      <c r="IU262" s="66"/>
      <c r="IV262" s="66"/>
      <c r="IW262" s="66"/>
      <c r="IX262" s="66"/>
      <c r="IY262" s="66"/>
      <c r="IZ262" s="66"/>
      <c r="JA262" s="66"/>
      <c r="JB262" s="66"/>
      <c r="JC262" s="66"/>
      <c r="JD262" s="66"/>
      <c r="JE262" s="66"/>
      <c r="JF262" s="66"/>
      <c r="JG262" s="66"/>
      <c r="JH262" s="66"/>
      <c r="JI262" s="66"/>
      <c r="JJ262" s="66"/>
      <c r="JK262" s="66"/>
      <c r="JL262" s="66"/>
      <c r="JM262" s="66"/>
      <c r="JN262" s="66"/>
      <c r="JO262" s="66"/>
      <c r="JP262" s="66"/>
      <c r="JQ262" s="66"/>
      <c r="JR262" s="66"/>
      <c r="JS262" s="66"/>
      <c r="JT262" s="66"/>
      <c r="JU262" s="66"/>
      <c r="JV262" s="66"/>
      <c r="JW262" s="66"/>
      <c r="JX262" s="66"/>
      <c r="JY262" s="66"/>
      <c r="JZ262" s="66"/>
      <c r="KA262" s="66"/>
      <c r="KB262" s="66"/>
      <c r="KC262" s="66"/>
      <c r="KD262" s="66"/>
      <c r="KE262" s="66"/>
      <c r="KF262" s="66"/>
      <c r="KG262" s="66"/>
      <c r="KH262" s="66"/>
      <c r="KI262" s="66"/>
      <c r="KJ262" s="66"/>
      <c r="KK262" s="66"/>
      <c r="KL262" s="66"/>
      <c r="KM262" s="66"/>
      <c r="KN262" s="66"/>
      <c r="KO262" s="66"/>
      <c r="KP262" s="66"/>
      <c r="KQ262" s="66"/>
      <c r="KR262" s="66"/>
      <c r="KS262" s="66"/>
      <c r="KT262" s="66"/>
      <c r="KU262" s="66"/>
      <c r="KV262" s="66"/>
      <c r="KW262" s="66"/>
      <c r="KX262" s="66"/>
      <c r="KY262" s="66"/>
      <c r="KZ262" s="66"/>
      <c r="LA262" s="66"/>
      <c r="LB262" s="66"/>
      <c r="LC262" s="66"/>
      <c r="LD262" s="66"/>
      <c r="LE262" s="66"/>
      <c r="LF262" s="66"/>
      <c r="LG262" s="66"/>
      <c r="LH262" s="66"/>
      <c r="LI262" s="66"/>
      <c r="LJ262" s="66"/>
      <c r="LK262" s="66"/>
      <c r="LL262" s="66"/>
      <c r="LM262" s="66"/>
      <c r="LN262" s="66"/>
      <c r="LO262" s="66"/>
      <c r="LP262" s="66"/>
      <c r="LQ262" s="66"/>
      <c r="LR262" s="66"/>
      <c r="LS262" s="66"/>
      <c r="LT262" s="66"/>
      <c r="LU262" s="66"/>
      <c r="LV262" s="66"/>
      <c r="LW262" s="66"/>
      <c r="LX262" s="66"/>
      <c r="LY262" s="66"/>
      <c r="LZ262" s="66"/>
      <c r="MA262" s="66"/>
      <c r="MB262" s="66"/>
      <c r="MC262" s="66"/>
      <c r="MD262" s="66"/>
      <c r="ME262" s="66"/>
      <c r="MF262" s="66"/>
      <c r="MG262" s="66"/>
      <c r="MH262" s="66"/>
      <c r="MI262" s="66"/>
      <c r="MJ262" s="66"/>
      <c r="MK262" s="66"/>
      <c r="ML262" s="66"/>
      <c r="MM262" s="66"/>
      <c r="MN262" s="66"/>
      <c r="MO262" s="66"/>
      <c r="MP262" s="66"/>
      <c r="MQ262" s="66"/>
      <c r="MR262" s="66"/>
      <c r="MS262" s="66"/>
      <c r="MT262" s="66"/>
      <c r="MU262" s="66"/>
      <c r="MV262" s="66"/>
      <c r="MW262" s="66"/>
      <c r="MX262" s="66"/>
      <c r="MY262" s="66"/>
      <c r="MZ262" s="66"/>
      <c r="NA262" s="66"/>
      <c r="NB262" s="66"/>
      <c r="NC262" s="66"/>
      <c r="ND262" s="66"/>
      <c r="NE262" s="66"/>
      <c r="NF262" s="66"/>
      <c r="NG262" s="66"/>
      <c r="NH262" s="66"/>
      <c r="NI262" s="66"/>
      <c r="NJ262" s="66"/>
      <c r="NK262" s="66"/>
      <c r="NL262" s="66"/>
      <c r="NM262" s="66"/>
      <c r="NN262" s="66"/>
      <c r="NO262" s="66"/>
      <c r="NP262" s="66"/>
      <c r="NQ262" s="66"/>
      <c r="NR262" s="66"/>
      <c r="NS262" s="66"/>
      <c r="NT262" s="66"/>
      <c r="NU262" s="66"/>
      <c r="NV262" s="66"/>
      <c r="NW262" s="66"/>
      <c r="NX262" s="66"/>
      <c r="NY262" s="66"/>
      <c r="NZ262" s="66"/>
      <c r="OA262" s="66"/>
      <c r="OB262" s="66"/>
      <c r="OC262" s="66"/>
      <c r="OD262" s="66"/>
      <c r="OE262" s="66"/>
      <c r="OF262" s="66"/>
      <c r="OG262" s="66"/>
      <c r="OH262" s="66"/>
      <c r="OI262" s="66"/>
      <c r="OJ262" s="66"/>
      <c r="OK262" s="66"/>
      <c r="OL262" s="66"/>
      <c r="OM262" s="66"/>
      <c r="ON262" s="66"/>
      <c r="OO262" s="66"/>
      <c r="OP262" s="66"/>
      <c r="OQ262" s="66"/>
      <c r="OR262" s="66"/>
      <c r="OS262" s="66"/>
      <c r="OT262" s="66"/>
      <c r="OU262" s="66"/>
      <c r="OV262" s="66"/>
      <c r="OW262" s="66"/>
      <c r="OX262" s="66"/>
      <c r="OY262" s="66"/>
      <c r="OZ262" s="66"/>
      <c r="PA262" s="66"/>
      <c r="PB262" s="66"/>
      <c r="PC262" s="66"/>
      <c r="PD262" s="66"/>
      <c r="PE262" s="66"/>
      <c r="PF262" s="66"/>
      <c r="PG262" s="66"/>
      <c r="PH262" s="66"/>
      <c r="PI262" s="66"/>
      <c r="PJ262" s="66"/>
      <c r="PK262" s="66"/>
      <c r="PL262" s="66"/>
      <c r="PM262" s="66"/>
      <c r="PN262" s="66"/>
      <c r="PO262" s="66"/>
      <c r="PP262" s="66"/>
      <c r="PQ262" s="66"/>
      <c r="PR262" s="66"/>
      <c r="PS262" s="66"/>
      <c r="PT262" s="66"/>
      <c r="PU262" s="66"/>
      <c r="PV262" s="66"/>
      <c r="PW262" s="66"/>
      <c r="PX262" s="66"/>
      <c r="PY262" s="66"/>
      <c r="PZ262" s="66"/>
      <c r="QA262" s="66"/>
      <c r="QB262" s="66"/>
      <c r="QC262" s="66"/>
      <c r="QD262" s="66"/>
      <c r="QE262" s="66"/>
      <c r="QF262" s="66"/>
      <c r="QG262" s="66"/>
      <c r="QH262" s="66"/>
      <c r="QI262" s="66"/>
      <c r="QJ262" s="66"/>
      <c r="QK262" s="66"/>
      <c r="QL262" s="66"/>
      <c r="QM262" s="66"/>
      <c r="QN262" s="66"/>
      <c r="QO262" s="66"/>
      <c r="QP262" s="66"/>
      <c r="QQ262" s="66"/>
      <c r="QR262" s="66"/>
      <c r="QS262" s="66"/>
      <c r="QT262" s="66"/>
      <c r="QU262" s="66"/>
      <c r="QV262" s="66"/>
      <c r="QW262" s="66"/>
      <c r="QX262" s="66"/>
      <c r="QY262" s="66"/>
      <c r="QZ262" s="66"/>
      <c r="RA262" s="66"/>
      <c r="RB262" s="66"/>
      <c r="RC262" s="66"/>
      <c r="RD262" s="4"/>
    </row>
    <row r="263" spans="9:472" x14ac:dyDescent="0.25">
      <c r="I263" s="66"/>
      <c r="J263" s="66"/>
      <c r="K263" s="66"/>
      <c r="L263" s="66"/>
      <c r="M263" s="66"/>
      <c r="N263" s="66"/>
      <c r="O263" s="66"/>
      <c r="P263" s="66"/>
      <c r="Q263" s="66"/>
      <c r="R263" s="66"/>
      <c r="S263" s="66"/>
      <c r="T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c r="CY263" s="66"/>
      <c r="CZ263" s="66"/>
      <c r="DA263" s="66"/>
      <c r="DB263" s="66"/>
      <c r="DC263" s="66"/>
      <c r="DD263" s="66"/>
      <c r="DE263" s="66"/>
      <c r="DF263" s="66"/>
      <c r="DG263" s="66"/>
      <c r="DH263" s="66"/>
      <c r="DI263" s="66"/>
      <c r="DJ263" s="66"/>
      <c r="DK263" s="66"/>
      <c r="DL263" s="66"/>
      <c r="DM263" s="66"/>
      <c r="DN263" s="66"/>
      <c r="DO263" s="66"/>
      <c r="DP263" s="66"/>
      <c r="DQ263" s="66"/>
      <c r="DR263" s="66"/>
      <c r="DS263" s="66"/>
      <c r="DT263" s="66"/>
      <c r="DU263" s="66"/>
      <c r="DV263" s="66"/>
      <c r="DW263" s="66"/>
      <c r="DX263" s="66"/>
      <c r="DY263" s="66"/>
      <c r="DZ263" s="66"/>
      <c r="EA263" s="66"/>
      <c r="EB263" s="66"/>
      <c r="EC263" s="66"/>
      <c r="ED263" s="66"/>
      <c r="EE263" s="66"/>
      <c r="EF263" s="66"/>
      <c r="EG263" s="66"/>
      <c r="EH263" s="66"/>
      <c r="EI263" s="66"/>
      <c r="EJ263" s="66"/>
      <c r="EK263" s="66"/>
      <c r="EL263" s="66"/>
      <c r="EM263" s="66"/>
      <c r="EN263" s="66"/>
      <c r="EO263" s="66"/>
      <c r="EP263" s="66"/>
      <c r="EQ263" s="66"/>
      <c r="ER263" s="66"/>
      <c r="ES263" s="66"/>
      <c r="ET263" s="66"/>
      <c r="EU263" s="66"/>
      <c r="EV263" s="66"/>
      <c r="EW263" s="66"/>
      <c r="EX263" s="66"/>
      <c r="EY263" s="66"/>
      <c r="EZ263" s="66"/>
      <c r="FA263" s="66"/>
      <c r="FB263" s="66"/>
      <c r="FC263" s="66"/>
      <c r="FD263" s="66"/>
      <c r="FE263" s="66"/>
      <c r="FF263" s="66"/>
      <c r="FG263" s="66"/>
      <c r="FH263" s="66"/>
      <c r="FI263" s="66"/>
      <c r="FJ263" s="66"/>
      <c r="FK263" s="66"/>
      <c r="FL263" s="66"/>
      <c r="FM263" s="66"/>
      <c r="FN263" s="66"/>
      <c r="FO263" s="66"/>
      <c r="FP263" s="66"/>
      <c r="FQ263" s="66"/>
      <c r="FR263" s="66"/>
      <c r="FS263" s="66"/>
      <c r="FT263" s="66"/>
      <c r="FU263" s="66"/>
      <c r="FV263" s="66"/>
      <c r="FW263" s="66"/>
      <c r="FX263" s="66"/>
      <c r="FY263" s="66"/>
      <c r="FZ263" s="66"/>
      <c r="GA263" s="66"/>
      <c r="GB263" s="66"/>
      <c r="GC263" s="66"/>
      <c r="GD263" s="66"/>
      <c r="GE263" s="66"/>
      <c r="GF263" s="66"/>
      <c r="GG263" s="66"/>
      <c r="GH263" s="66"/>
      <c r="GI263" s="66"/>
      <c r="GJ263" s="66"/>
      <c r="GK263" s="66"/>
      <c r="GL263" s="66"/>
      <c r="GM263" s="66"/>
      <c r="GN263" s="66"/>
      <c r="GO263" s="66"/>
      <c r="GP263" s="66"/>
      <c r="GQ263" s="66"/>
      <c r="GR263" s="66"/>
      <c r="GS263" s="66"/>
      <c r="GT263" s="66"/>
      <c r="GU263" s="66"/>
      <c r="GV263" s="66"/>
      <c r="GW263" s="66"/>
      <c r="GX263" s="66"/>
      <c r="GY263" s="66"/>
      <c r="GZ263" s="66"/>
      <c r="HA263" s="66"/>
      <c r="HB263" s="66"/>
      <c r="HC263" s="66"/>
      <c r="HD263" s="66"/>
      <c r="HE263" s="66"/>
      <c r="HF263" s="66"/>
      <c r="HG263" s="66"/>
      <c r="HH263" s="66"/>
      <c r="HI263" s="66"/>
      <c r="HJ263" s="66"/>
      <c r="HK263" s="66"/>
      <c r="HL263" s="66"/>
      <c r="HM263" s="66"/>
      <c r="HN263" s="66"/>
      <c r="HO263" s="66"/>
      <c r="HP263" s="66"/>
      <c r="HQ263" s="66"/>
      <c r="HR263" s="66"/>
      <c r="HS263" s="66"/>
      <c r="HT263" s="66"/>
      <c r="HU263" s="66"/>
      <c r="HV263" s="66"/>
      <c r="HW263" s="66"/>
      <c r="HX263" s="66"/>
      <c r="HY263" s="66"/>
      <c r="HZ263" s="66"/>
      <c r="IA263" s="66"/>
      <c r="IB263" s="66"/>
      <c r="IC263" s="66"/>
      <c r="ID263" s="66"/>
      <c r="IE263" s="66"/>
      <c r="IF263" s="66"/>
      <c r="IG263" s="66"/>
      <c r="IH263" s="66"/>
      <c r="II263" s="66"/>
      <c r="IJ263" s="66"/>
      <c r="IK263" s="66"/>
      <c r="IL263" s="66"/>
      <c r="IM263" s="66"/>
      <c r="IN263" s="66"/>
      <c r="IO263" s="66"/>
      <c r="IP263" s="66"/>
      <c r="IQ263" s="66"/>
      <c r="IR263" s="66"/>
      <c r="IS263" s="66"/>
      <c r="IT263" s="66"/>
      <c r="IU263" s="66"/>
      <c r="IV263" s="66"/>
      <c r="IW263" s="66"/>
      <c r="IX263" s="66"/>
      <c r="IY263" s="66"/>
      <c r="IZ263" s="66"/>
      <c r="JA263" s="66"/>
      <c r="JB263" s="66"/>
      <c r="JC263" s="66"/>
      <c r="JD263" s="66"/>
      <c r="JE263" s="66"/>
      <c r="JF263" s="66"/>
      <c r="JG263" s="66"/>
      <c r="JH263" s="66"/>
      <c r="JI263" s="66"/>
      <c r="JJ263" s="66"/>
      <c r="JK263" s="66"/>
      <c r="JL263" s="66"/>
      <c r="JM263" s="66"/>
      <c r="JN263" s="66"/>
      <c r="JO263" s="66"/>
      <c r="JP263" s="66"/>
      <c r="JQ263" s="66"/>
      <c r="JR263" s="66"/>
      <c r="JS263" s="66"/>
      <c r="JT263" s="66"/>
      <c r="JU263" s="66"/>
      <c r="JV263" s="66"/>
      <c r="JW263" s="66"/>
      <c r="JX263" s="66"/>
      <c r="JY263" s="66"/>
      <c r="JZ263" s="66"/>
      <c r="KA263" s="66"/>
      <c r="KB263" s="66"/>
      <c r="KC263" s="66"/>
      <c r="KD263" s="66"/>
      <c r="KE263" s="66"/>
      <c r="KF263" s="66"/>
      <c r="KG263" s="66"/>
      <c r="KH263" s="66"/>
      <c r="KI263" s="66"/>
      <c r="KJ263" s="66"/>
      <c r="KK263" s="66"/>
      <c r="KL263" s="66"/>
      <c r="KM263" s="66"/>
      <c r="KN263" s="66"/>
      <c r="KO263" s="66"/>
      <c r="KP263" s="66"/>
      <c r="KQ263" s="66"/>
      <c r="KR263" s="66"/>
      <c r="KS263" s="66"/>
      <c r="KT263" s="66"/>
      <c r="KU263" s="66"/>
      <c r="KV263" s="66"/>
      <c r="KW263" s="66"/>
      <c r="KX263" s="66"/>
      <c r="KY263" s="66"/>
      <c r="KZ263" s="66"/>
      <c r="LA263" s="66"/>
      <c r="LB263" s="66"/>
      <c r="LC263" s="66"/>
      <c r="LD263" s="66"/>
      <c r="LE263" s="66"/>
      <c r="LF263" s="66"/>
      <c r="LG263" s="66"/>
      <c r="LH263" s="66"/>
      <c r="LI263" s="66"/>
      <c r="LJ263" s="66"/>
      <c r="LK263" s="66"/>
      <c r="LL263" s="66"/>
      <c r="LM263" s="66"/>
      <c r="LN263" s="66"/>
      <c r="LO263" s="66"/>
      <c r="LP263" s="66"/>
      <c r="LQ263" s="66"/>
      <c r="LR263" s="66"/>
      <c r="LS263" s="66"/>
      <c r="LT263" s="66"/>
      <c r="LU263" s="66"/>
      <c r="LV263" s="66"/>
      <c r="LW263" s="66"/>
      <c r="LX263" s="66"/>
      <c r="LY263" s="66"/>
      <c r="LZ263" s="66"/>
      <c r="MA263" s="66"/>
      <c r="MB263" s="66"/>
      <c r="MC263" s="66"/>
      <c r="MD263" s="66"/>
      <c r="ME263" s="66"/>
      <c r="MF263" s="66"/>
      <c r="MG263" s="66"/>
      <c r="MH263" s="66"/>
      <c r="MI263" s="66"/>
      <c r="MJ263" s="66"/>
      <c r="MK263" s="66"/>
      <c r="ML263" s="66"/>
      <c r="MM263" s="66"/>
      <c r="MN263" s="66"/>
      <c r="MO263" s="66"/>
      <c r="MP263" s="66"/>
      <c r="MQ263" s="66"/>
      <c r="MR263" s="66"/>
      <c r="MS263" s="66"/>
      <c r="MT263" s="66"/>
      <c r="MU263" s="66"/>
      <c r="MV263" s="66"/>
      <c r="MW263" s="66"/>
      <c r="MX263" s="66"/>
      <c r="MY263" s="66"/>
      <c r="MZ263" s="66"/>
      <c r="NA263" s="66"/>
      <c r="NB263" s="66"/>
      <c r="NC263" s="66"/>
      <c r="ND263" s="66"/>
      <c r="NE263" s="66"/>
      <c r="NF263" s="66"/>
      <c r="NG263" s="66"/>
      <c r="NH263" s="66"/>
      <c r="NI263" s="66"/>
      <c r="NJ263" s="66"/>
      <c r="NK263" s="66"/>
      <c r="NL263" s="66"/>
      <c r="NM263" s="66"/>
      <c r="NN263" s="66"/>
      <c r="NO263" s="66"/>
      <c r="NP263" s="66"/>
      <c r="NQ263" s="66"/>
      <c r="NR263" s="66"/>
      <c r="NS263" s="66"/>
      <c r="NT263" s="66"/>
      <c r="NU263" s="66"/>
      <c r="NV263" s="66"/>
      <c r="NW263" s="66"/>
      <c r="NX263" s="66"/>
      <c r="NY263" s="66"/>
      <c r="NZ263" s="66"/>
      <c r="OA263" s="66"/>
      <c r="OB263" s="66"/>
      <c r="OC263" s="66"/>
      <c r="OD263" s="66"/>
      <c r="OE263" s="66"/>
      <c r="OF263" s="66"/>
      <c r="OG263" s="66"/>
      <c r="OH263" s="66"/>
      <c r="OI263" s="66"/>
      <c r="OJ263" s="66"/>
      <c r="OK263" s="66"/>
      <c r="OL263" s="66"/>
      <c r="OM263" s="66"/>
      <c r="ON263" s="66"/>
      <c r="OO263" s="66"/>
      <c r="OP263" s="66"/>
      <c r="OQ263" s="66"/>
      <c r="OR263" s="66"/>
      <c r="OS263" s="66"/>
      <c r="OT263" s="66"/>
      <c r="OU263" s="66"/>
      <c r="OV263" s="66"/>
      <c r="OW263" s="66"/>
      <c r="OX263" s="66"/>
      <c r="OY263" s="66"/>
      <c r="OZ263" s="66"/>
      <c r="PA263" s="66"/>
      <c r="PB263" s="66"/>
      <c r="PC263" s="66"/>
      <c r="PD263" s="66"/>
      <c r="PE263" s="66"/>
      <c r="PF263" s="66"/>
      <c r="PG263" s="66"/>
      <c r="PH263" s="66"/>
      <c r="PI263" s="66"/>
      <c r="PJ263" s="66"/>
      <c r="PK263" s="66"/>
      <c r="PL263" s="66"/>
      <c r="PM263" s="66"/>
      <c r="PN263" s="66"/>
      <c r="PO263" s="66"/>
      <c r="PP263" s="66"/>
      <c r="PQ263" s="66"/>
      <c r="PR263" s="66"/>
      <c r="PS263" s="66"/>
      <c r="PT263" s="66"/>
      <c r="PU263" s="66"/>
      <c r="PV263" s="66"/>
      <c r="PW263" s="66"/>
      <c r="PX263" s="66"/>
      <c r="PY263" s="66"/>
      <c r="PZ263" s="66"/>
      <c r="QA263" s="66"/>
      <c r="QB263" s="66"/>
      <c r="QC263" s="66"/>
      <c r="QD263" s="66"/>
      <c r="QE263" s="66"/>
      <c r="QF263" s="66"/>
      <c r="QG263" s="66"/>
      <c r="QH263" s="66"/>
      <c r="QI263" s="66"/>
      <c r="QJ263" s="66"/>
      <c r="QK263" s="66"/>
      <c r="QL263" s="66"/>
      <c r="QM263" s="66"/>
      <c r="QN263" s="66"/>
      <c r="QO263" s="66"/>
      <c r="QP263" s="66"/>
      <c r="QQ263" s="66"/>
      <c r="QR263" s="66"/>
      <c r="QS263" s="66"/>
      <c r="QT263" s="66"/>
      <c r="QU263" s="66"/>
      <c r="QV263" s="66"/>
      <c r="QW263" s="66"/>
      <c r="QX263" s="66"/>
      <c r="QY263" s="66"/>
      <c r="QZ263" s="66"/>
      <c r="RA263" s="66"/>
      <c r="RB263" s="66"/>
      <c r="RC263" s="66"/>
      <c r="RD263" s="4"/>
    </row>
    <row r="264" spans="9:472" x14ac:dyDescent="0.25">
      <c r="I264" s="66"/>
      <c r="J264" s="66"/>
      <c r="K264" s="66"/>
      <c r="L264" s="66"/>
      <c r="M264" s="66"/>
      <c r="N264" s="66"/>
      <c r="O264" s="66"/>
      <c r="P264" s="66"/>
      <c r="Q264" s="66"/>
      <c r="R264" s="66"/>
      <c r="S264" s="66"/>
      <c r="T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c r="CY264" s="66"/>
      <c r="CZ264" s="66"/>
      <c r="DA264" s="66"/>
      <c r="DB264" s="66"/>
      <c r="DC264" s="66"/>
      <c r="DD264" s="66"/>
      <c r="DE264" s="66"/>
      <c r="DF264" s="66"/>
      <c r="DG264" s="66"/>
      <c r="DH264" s="66"/>
      <c r="DI264" s="66"/>
      <c r="DJ264" s="66"/>
      <c r="DK264" s="66"/>
      <c r="DL264" s="66"/>
      <c r="DM264" s="66"/>
      <c r="DN264" s="66"/>
      <c r="DO264" s="66"/>
      <c r="DP264" s="66"/>
      <c r="DQ264" s="66"/>
      <c r="DR264" s="66"/>
      <c r="DS264" s="66"/>
      <c r="DT264" s="66"/>
      <c r="DU264" s="66"/>
      <c r="DV264" s="66"/>
      <c r="DW264" s="66"/>
      <c r="DX264" s="66"/>
      <c r="DY264" s="66"/>
      <c r="DZ264" s="66"/>
      <c r="EA264" s="66"/>
      <c r="EB264" s="66"/>
      <c r="EC264" s="66"/>
      <c r="ED264" s="66"/>
      <c r="EE264" s="66"/>
      <c r="EF264" s="66"/>
      <c r="EG264" s="66"/>
      <c r="EH264" s="66"/>
      <c r="EI264" s="66"/>
      <c r="EJ264" s="66"/>
      <c r="EK264" s="66"/>
      <c r="EL264" s="66"/>
      <c r="EM264" s="66"/>
      <c r="EN264" s="66"/>
      <c r="EO264" s="66"/>
      <c r="EP264" s="66"/>
      <c r="EQ264" s="66"/>
      <c r="ER264" s="66"/>
      <c r="ES264" s="66"/>
      <c r="ET264" s="66"/>
      <c r="EU264" s="66"/>
      <c r="EV264" s="66"/>
      <c r="EW264" s="66"/>
      <c r="EX264" s="66"/>
      <c r="EY264" s="66"/>
      <c r="EZ264" s="66"/>
      <c r="FA264" s="66"/>
      <c r="FB264" s="66"/>
      <c r="FC264" s="66"/>
      <c r="FD264" s="66"/>
      <c r="FE264" s="66"/>
      <c r="FF264" s="66"/>
      <c r="FG264" s="66"/>
      <c r="FH264" s="66"/>
      <c r="FI264" s="66"/>
      <c r="FJ264" s="66"/>
      <c r="FK264" s="66"/>
      <c r="FL264" s="66"/>
      <c r="FM264" s="66"/>
      <c r="FN264" s="66"/>
      <c r="FO264" s="66"/>
      <c r="FP264" s="66"/>
      <c r="FQ264" s="66"/>
      <c r="FR264" s="66"/>
      <c r="FS264" s="66"/>
      <c r="FT264" s="66"/>
      <c r="FU264" s="66"/>
      <c r="FV264" s="66"/>
      <c r="FW264" s="66"/>
      <c r="FX264" s="66"/>
      <c r="FY264" s="66"/>
      <c r="FZ264" s="66"/>
      <c r="GA264" s="66"/>
      <c r="GB264" s="66"/>
      <c r="GC264" s="66"/>
      <c r="GD264" s="66"/>
      <c r="GE264" s="66"/>
      <c r="GF264" s="66"/>
      <c r="GG264" s="66"/>
      <c r="GH264" s="66"/>
      <c r="GI264" s="66"/>
      <c r="GJ264" s="66"/>
      <c r="GK264" s="66"/>
      <c r="GL264" s="66"/>
      <c r="GM264" s="66"/>
      <c r="GN264" s="66"/>
      <c r="GO264" s="66"/>
      <c r="GP264" s="66"/>
      <c r="GQ264" s="66"/>
      <c r="GR264" s="66"/>
      <c r="GS264" s="66"/>
      <c r="GT264" s="66"/>
      <c r="GU264" s="66"/>
      <c r="GV264" s="66"/>
      <c r="GW264" s="66"/>
      <c r="GX264" s="66"/>
      <c r="GY264" s="66"/>
      <c r="GZ264" s="66"/>
      <c r="HA264" s="66"/>
      <c r="HB264" s="66"/>
      <c r="HC264" s="66"/>
      <c r="HD264" s="66"/>
      <c r="HE264" s="66"/>
      <c r="HF264" s="66"/>
      <c r="HG264" s="66"/>
      <c r="HH264" s="66"/>
      <c r="HI264" s="66"/>
      <c r="HJ264" s="66"/>
      <c r="HK264" s="66"/>
      <c r="HL264" s="66"/>
      <c r="HM264" s="66"/>
      <c r="HN264" s="66"/>
      <c r="HO264" s="66"/>
      <c r="HP264" s="66"/>
      <c r="HQ264" s="66"/>
      <c r="HR264" s="66"/>
      <c r="HS264" s="66"/>
      <c r="HT264" s="66"/>
      <c r="HU264" s="66"/>
      <c r="HV264" s="66"/>
      <c r="HW264" s="66"/>
      <c r="HX264" s="66"/>
      <c r="HY264" s="66"/>
      <c r="HZ264" s="66"/>
      <c r="IA264" s="66"/>
      <c r="IB264" s="66"/>
      <c r="IC264" s="66"/>
      <c r="ID264" s="66"/>
      <c r="IE264" s="66"/>
      <c r="IF264" s="66"/>
      <c r="IG264" s="66"/>
      <c r="IH264" s="66"/>
      <c r="II264" s="66"/>
      <c r="IJ264" s="66"/>
      <c r="IK264" s="66"/>
      <c r="IL264" s="66"/>
      <c r="IM264" s="66"/>
      <c r="IN264" s="66"/>
      <c r="IO264" s="66"/>
      <c r="IP264" s="66"/>
      <c r="IQ264" s="66"/>
      <c r="IR264" s="66"/>
      <c r="IS264" s="66"/>
      <c r="IT264" s="66"/>
      <c r="IU264" s="66"/>
      <c r="IV264" s="66"/>
      <c r="IW264" s="66"/>
      <c r="IX264" s="66"/>
      <c r="IY264" s="66"/>
      <c r="IZ264" s="66"/>
      <c r="JA264" s="66"/>
      <c r="JB264" s="66"/>
      <c r="JC264" s="66"/>
      <c r="JD264" s="66"/>
      <c r="JE264" s="66"/>
      <c r="JF264" s="66"/>
      <c r="JG264" s="66"/>
      <c r="JH264" s="66"/>
      <c r="JI264" s="66"/>
      <c r="JJ264" s="66"/>
      <c r="JK264" s="66"/>
      <c r="JL264" s="66"/>
      <c r="JM264" s="66"/>
      <c r="JN264" s="66"/>
      <c r="JO264" s="66"/>
      <c r="JP264" s="66"/>
      <c r="JQ264" s="66"/>
      <c r="JR264" s="66"/>
      <c r="JS264" s="66"/>
      <c r="JT264" s="66"/>
      <c r="JU264" s="66"/>
      <c r="JV264" s="66"/>
      <c r="JW264" s="66"/>
      <c r="JX264" s="66"/>
      <c r="JY264" s="66"/>
      <c r="JZ264" s="66"/>
      <c r="KA264" s="66"/>
      <c r="KB264" s="66"/>
      <c r="KC264" s="66"/>
      <c r="KD264" s="66"/>
      <c r="KE264" s="66"/>
      <c r="KF264" s="66"/>
      <c r="KG264" s="66"/>
      <c r="KH264" s="66"/>
      <c r="KI264" s="66"/>
      <c r="KJ264" s="66"/>
      <c r="KK264" s="66"/>
      <c r="KL264" s="66"/>
      <c r="KM264" s="66"/>
      <c r="KN264" s="66"/>
      <c r="KO264" s="66"/>
      <c r="KP264" s="66"/>
      <c r="KQ264" s="66"/>
      <c r="KR264" s="66"/>
      <c r="KS264" s="66"/>
      <c r="KT264" s="66"/>
      <c r="KU264" s="66"/>
      <c r="KV264" s="66"/>
      <c r="KW264" s="66"/>
      <c r="KX264" s="66"/>
      <c r="KY264" s="66"/>
      <c r="KZ264" s="66"/>
      <c r="LA264" s="66"/>
      <c r="LB264" s="66"/>
      <c r="LC264" s="66"/>
      <c r="LD264" s="66"/>
      <c r="LE264" s="66"/>
      <c r="LF264" s="66"/>
      <c r="LG264" s="66"/>
      <c r="LH264" s="66"/>
      <c r="LI264" s="66"/>
      <c r="LJ264" s="66"/>
      <c r="LK264" s="66"/>
      <c r="LL264" s="66"/>
      <c r="LM264" s="66"/>
      <c r="LN264" s="66"/>
      <c r="LO264" s="66"/>
      <c r="LP264" s="66"/>
      <c r="LQ264" s="66"/>
      <c r="LR264" s="66"/>
      <c r="LS264" s="66"/>
      <c r="LT264" s="66"/>
      <c r="LU264" s="66"/>
      <c r="LV264" s="66"/>
      <c r="LW264" s="66"/>
      <c r="LX264" s="66"/>
      <c r="LY264" s="66"/>
      <c r="LZ264" s="66"/>
      <c r="MA264" s="66"/>
      <c r="MB264" s="66"/>
      <c r="MC264" s="66"/>
      <c r="MD264" s="66"/>
      <c r="ME264" s="66"/>
      <c r="MF264" s="66"/>
      <c r="MG264" s="66"/>
      <c r="MH264" s="66"/>
      <c r="MI264" s="66"/>
      <c r="MJ264" s="66"/>
      <c r="MK264" s="66"/>
      <c r="ML264" s="66"/>
      <c r="MM264" s="66"/>
      <c r="MN264" s="66"/>
      <c r="MO264" s="66"/>
      <c r="MP264" s="66"/>
      <c r="MQ264" s="66"/>
      <c r="MR264" s="66"/>
      <c r="MS264" s="66"/>
      <c r="MT264" s="66"/>
      <c r="MU264" s="66"/>
      <c r="MV264" s="66"/>
      <c r="MW264" s="66"/>
      <c r="MX264" s="66"/>
      <c r="MY264" s="66"/>
      <c r="MZ264" s="66"/>
      <c r="NA264" s="66"/>
      <c r="NB264" s="66"/>
      <c r="NC264" s="66"/>
      <c r="ND264" s="66"/>
      <c r="NE264" s="66"/>
      <c r="NF264" s="66"/>
      <c r="NG264" s="66"/>
      <c r="NH264" s="66"/>
      <c r="NI264" s="66"/>
      <c r="NJ264" s="66"/>
      <c r="NK264" s="66"/>
      <c r="NL264" s="66"/>
      <c r="NM264" s="66"/>
      <c r="NN264" s="66"/>
      <c r="NO264" s="66"/>
      <c r="NP264" s="66"/>
      <c r="NQ264" s="66"/>
      <c r="NR264" s="66"/>
      <c r="NS264" s="66"/>
      <c r="NT264" s="66"/>
      <c r="NU264" s="66"/>
      <c r="NV264" s="66"/>
      <c r="NW264" s="66"/>
      <c r="NX264" s="66"/>
      <c r="NY264" s="66"/>
      <c r="NZ264" s="66"/>
      <c r="OA264" s="66"/>
      <c r="OB264" s="66"/>
      <c r="OC264" s="66"/>
      <c r="OD264" s="66"/>
      <c r="OE264" s="66"/>
      <c r="OF264" s="66"/>
      <c r="OG264" s="66"/>
      <c r="OH264" s="66"/>
      <c r="OI264" s="66"/>
      <c r="OJ264" s="66"/>
      <c r="OK264" s="66"/>
      <c r="OL264" s="66"/>
      <c r="OM264" s="66"/>
      <c r="ON264" s="66"/>
      <c r="OO264" s="66"/>
      <c r="OP264" s="66"/>
      <c r="OQ264" s="66"/>
      <c r="OR264" s="66"/>
      <c r="OS264" s="66"/>
      <c r="OT264" s="66"/>
      <c r="OU264" s="66"/>
      <c r="OV264" s="66"/>
      <c r="OW264" s="66"/>
      <c r="OX264" s="66"/>
      <c r="OY264" s="66"/>
      <c r="OZ264" s="66"/>
      <c r="PA264" s="66"/>
      <c r="PB264" s="66"/>
      <c r="PC264" s="66"/>
      <c r="PD264" s="66"/>
      <c r="PE264" s="66"/>
      <c r="PF264" s="66"/>
      <c r="PG264" s="66"/>
      <c r="PH264" s="66"/>
      <c r="PI264" s="66"/>
      <c r="PJ264" s="66"/>
      <c r="PK264" s="66"/>
      <c r="PL264" s="66"/>
      <c r="PM264" s="66"/>
      <c r="PN264" s="66"/>
      <c r="PO264" s="66"/>
      <c r="PP264" s="66"/>
      <c r="PQ264" s="66"/>
      <c r="PR264" s="66"/>
      <c r="PS264" s="66"/>
      <c r="PT264" s="66"/>
      <c r="PU264" s="66"/>
      <c r="PV264" s="66"/>
      <c r="PW264" s="66"/>
      <c r="PX264" s="66"/>
      <c r="PY264" s="66"/>
      <c r="PZ264" s="66"/>
      <c r="QA264" s="66"/>
      <c r="QB264" s="66"/>
      <c r="QC264" s="66"/>
      <c r="QD264" s="66"/>
      <c r="QE264" s="66"/>
      <c r="QF264" s="66"/>
      <c r="QG264" s="66"/>
      <c r="QH264" s="66"/>
      <c r="QI264" s="66"/>
      <c r="QJ264" s="66"/>
      <c r="QK264" s="66"/>
      <c r="QL264" s="66"/>
      <c r="QM264" s="66"/>
      <c r="QN264" s="66"/>
      <c r="QO264" s="66"/>
      <c r="QP264" s="66"/>
      <c r="QQ264" s="66"/>
      <c r="QR264" s="66"/>
      <c r="QS264" s="66"/>
      <c r="QT264" s="66"/>
      <c r="QU264" s="66"/>
      <c r="QV264" s="66"/>
      <c r="QW264" s="66"/>
      <c r="QX264" s="66"/>
      <c r="QY264" s="66"/>
      <c r="QZ264" s="66"/>
      <c r="RA264" s="66"/>
      <c r="RB264" s="66"/>
      <c r="RC264" s="66"/>
      <c r="RD264" s="4"/>
    </row>
    <row r="265" spans="9:472" x14ac:dyDescent="0.25">
      <c r="I265" s="66"/>
      <c r="J265" s="66"/>
      <c r="K265" s="66"/>
      <c r="L265" s="66"/>
      <c r="M265" s="66"/>
      <c r="N265" s="66"/>
      <c r="O265" s="66"/>
      <c r="P265" s="66"/>
      <c r="Q265" s="66"/>
      <c r="R265" s="66"/>
      <c r="S265" s="66"/>
      <c r="T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c r="CY265" s="66"/>
      <c r="CZ265" s="66"/>
      <c r="DA265" s="66"/>
      <c r="DB265" s="66"/>
      <c r="DC265" s="66"/>
      <c r="DD265" s="66"/>
      <c r="DE265" s="66"/>
      <c r="DF265" s="66"/>
      <c r="DG265" s="66"/>
      <c r="DH265" s="66"/>
      <c r="DI265" s="66"/>
      <c r="DJ265" s="66"/>
      <c r="DK265" s="66"/>
      <c r="DL265" s="66"/>
      <c r="DM265" s="66"/>
      <c r="DN265" s="66"/>
      <c r="DO265" s="66"/>
      <c r="DP265" s="66"/>
      <c r="DQ265" s="66"/>
      <c r="DR265" s="66"/>
      <c r="DS265" s="66"/>
      <c r="DT265" s="66"/>
      <c r="DU265" s="66"/>
      <c r="DV265" s="66"/>
      <c r="DW265" s="66"/>
      <c r="DX265" s="66"/>
      <c r="DY265" s="66"/>
      <c r="DZ265" s="66"/>
      <c r="EA265" s="66"/>
      <c r="EB265" s="66"/>
      <c r="EC265" s="66"/>
      <c r="ED265" s="66"/>
      <c r="EE265" s="66"/>
      <c r="EF265" s="66"/>
      <c r="EG265" s="66"/>
      <c r="EH265" s="66"/>
      <c r="EI265" s="66"/>
      <c r="EJ265" s="66"/>
      <c r="EK265" s="66"/>
      <c r="EL265" s="66"/>
      <c r="EM265" s="66"/>
      <c r="EN265" s="66"/>
      <c r="EO265" s="66"/>
      <c r="EP265" s="66"/>
      <c r="EQ265" s="66"/>
      <c r="ER265" s="66"/>
      <c r="ES265" s="66"/>
      <c r="ET265" s="66"/>
      <c r="EU265" s="66"/>
      <c r="EV265" s="66"/>
      <c r="EW265" s="66"/>
      <c r="EX265" s="66"/>
      <c r="EY265" s="66"/>
      <c r="EZ265" s="66"/>
      <c r="FA265" s="66"/>
      <c r="FB265" s="66"/>
      <c r="FC265" s="66"/>
      <c r="FD265" s="66"/>
      <c r="FE265" s="66"/>
      <c r="FF265" s="66"/>
      <c r="FG265" s="66"/>
      <c r="FH265" s="66"/>
      <c r="FI265" s="66"/>
      <c r="FJ265" s="66"/>
      <c r="FK265" s="66"/>
      <c r="FL265" s="66"/>
      <c r="FM265" s="66"/>
      <c r="FN265" s="66"/>
      <c r="FO265" s="66"/>
      <c r="FP265" s="66"/>
      <c r="FQ265" s="66"/>
      <c r="FR265" s="66"/>
      <c r="FS265" s="66"/>
      <c r="FT265" s="66"/>
      <c r="FU265" s="66"/>
      <c r="FV265" s="66"/>
      <c r="FW265" s="66"/>
      <c r="FX265" s="66"/>
      <c r="FY265" s="66"/>
      <c r="FZ265" s="66"/>
      <c r="GA265" s="66"/>
      <c r="GB265" s="66"/>
      <c r="GC265" s="66"/>
      <c r="GD265" s="66"/>
      <c r="GE265" s="66"/>
      <c r="GF265" s="66"/>
      <c r="GG265" s="66"/>
      <c r="GH265" s="66"/>
      <c r="GI265" s="66"/>
      <c r="GJ265" s="66"/>
      <c r="GK265" s="66"/>
      <c r="GL265" s="66"/>
      <c r="GM265" s="66"/>
      <c r="GN265" s="66"/>
      <c r="GO265" s="66"/>
      <c r="GP265" s="66"/>
      <c r="GQ265" s="66"/>
      <c r="GR265" s="66"/>
      <c r="GS265" s="66"/>
      <c r="GT265" s="66"/>
      <c r="GU265" s="66"/>
      <c r="GV265" s="66"/>
      <c r="GW265" s="66"/>
      <c r="GX265" s="66"/>
      <c r="GY265" s="66"/>
      <c r="GZ265" s="66"/>
      <c r="HA265" s="66"/>
      <c r="HB265" s="66"/>
      <c r="HC265" s="66"/>
      <c r="HD265" s="66"/>
      <c r="HE265" s="66"/>
      <c r="HF265" s="66"/>
      <c r="HG265" s="66"/>
      <c r="HH265" s="66"/>
      <c r="HI265" s="66"/>
      <c r="HJ265" s="66"/>
      <c r="HK265" s="66"/>
      <c r="HL265" s="66"/>
      <c r="HM265" s="66"/>
      <c r="HN265" s="66"/>
      <c r="HO265" s="66"/>
      <c r="HP265" s="66"/>
      <c r="HQ265" s="66"/>
      <c r="HR265" s="66"/>
      <c r="HS265" s="66"/>
      <c r="HT265" s="66"/>
      <c r="HU265" s="66"/>
      <c r="HV265" s="66"/>
      <c r="HW265" s="66"/>
      <c r="HX265" s="66"/>
      <c r="HY265" s="66"/>
      <c r="HZ265" s="66"/>
      <c r="IA265" s="66"/>
      <c r="IB265" s="66"/>
      <c r="IC265" s="66"/>
      <c r="ID265" s="66"/>
      <c r="IE265" s="66"/>
      <c r="IF265" s="66"/>
      <c r="IG265" s="66"/>
      <c r="IH265" s="66"/>
      <c r="II265" s="66"/>
      <c r="IJ265" s="66"/>
      <c r="IK265" s="66"/>
      <c r="IL265" s="66"/>
      <c r="IM265" s="66"/>
      <c r="IN265" s="66"/>
      <c r="IO265" s="66"/>
      <c r="IP265" s="66"/>
      <c r="IQ265" s="66"/>
      <c r="IR265" s="66"/>
      <c r="IS265" s="66"/>
      <c r="IT265" s="66"/>
      <c r="IU265" s="66"/>
      <c r="IV265" s="66"/>
      <c r="IW265" s="66"/>
      <c r="IX265" s="66"/>
      <c r="IY265" s="66"/>
      <c r="IZ265" s="66"/>
      <c r="JA265" s="66"/>
      <c r="JB265" s="66"/>
      <c r="JC265" s="66"/>
      <c r="JD265" s="66"/>
      <c r="JE265" s="66"/>
      <c r="JF265" s="66"/>
      <c r="JG265" s="66"/>
      <c r="JH265" s="66"/>
      <c r="JI265" s="66"/>
      <c r="JJ265" s="66"/>
      <c r="JK265" s="66"/>
      <c r="JL265" s="66"/>
      <c r="JM265" s="66"/>
      <c r="JN265" s="66"/>
      <c r="JO265" s="66"/>
      <c r="JP265" s="66"/>
      <c r="JQ265" s="66"/>
      <c r="JR265" s="66"/>
      <c r="JS265" s="66"/>
      <c r="JT265" s="66"/>
      <c r="JU265" s="66"/>
      <c r="JV265" s="66"/>
      <c r="JW265" s="66"/>
      <c r="JX265" s="66"/>
      <c r="JY265" s="66"/>
      <c r="JZ265" s="66"/>
      <c r="KA265" s="66"/>
      <c r="KB265" s="66"/>
      <c r="KC265" s="66"/>
      <c r="KD265" s="66"/>
      <c r="KE265" s="66"/>
      <c r="KF265" s="66"/>
      <c r="KG265" s="66"/>
      <c r="KH265" s="66"/>
      <c r="KI265" s="66"/>
      <c r="KJ265" s="66"/>
      <c r="KK265" s="66"/>
      <c r="KL265" s="66"/>
      <c r="KM265" s="66"/>
      <c r="KN265" s="66"/>
      <c r="KO265" s="66"/>
      <c r="KP265" s="66"/>
      <c r="KQ265" s="66"/>
      <c r="KR265" s="66"/>
      <c r="KS265" s="66"/>
      <c r="KT265" s="66"/>
      <c r="KU265" s="66"/>
      <c r="KV265" s="66"/>
      <c r="KW265" s="66"/>
      <c r="KX265" s="66"/>
      <c r="KY265" s="66"/>
      <c r="KZ265" s="66"/>
      <c r="LA265" s="66"/>
      <c r="LB265" s="66"/>
      <c r="LC265" s="66"/>
      <c r="LD265" s="66"/>
      <c r="LE265" s="66"/>
      <c r="LF265" s="66"/>
      <c r="LG265" s="66"/>
      <c r="LH265" s="66"/>
      <c r="LI265" s="66"/>
      <c r="LJ265" s="66"/>
      <c r="LK265" s="66"/>
      <c r="LL265" s="66"/>
      <c r="LM265" s="66"/>
      <c r="LN265" s="66"/>
      <c r="LO265" s="66"/>
      <c r="LP265" s="66"/>
      <c r="LQ265" s="66"/>
      <c r="LR265" s="66"/>
      <c r="LS265" s="66"/>
      <c r="LT265" s="66"/>
      <c r="LU265" s="66"/>
      <c r="LV265" s="66"/>
      <c r="LW265" s="66"/>
      <c r="LX265" s="66"/>
      <c r="LY265" s="66"/>
      <c r="LZ265" s="66"/>
      <c r="MA265" s="66"/>
      <c r="MB265" s="66"/>
      <c r="MC265" s="66"/>
      <c r="MD265" s="66"/>
      <c r="ME265" s="66"/>
      <c r="MF265" s="66"/>
      <c r="MG265" s="66"/>
      <c r="MH265" s="66"/>
      <c r="MI265" s="66"/>
      <c r="MJ265" s="66"/>
      <c r="MK265" s="66"/>
      <c r="ML265" s="66"/>
      <c r="MM265" s="66"/>
      <c r="MN265" s="66"/>
      <c r="MO265" s="66"/>
      <c r="MP265" s="66"/>
      <c r="MQ265" s="66"/>
      <c r="MR265" s="66"/>
      <c r="MS265" s="66"/>
      <c r="MT265" s="66"/>
      <c r="MU265" s="66"/>
      <c r="MV265" s="66"/>
      <c r="MW265" s="66"/>
      <c r="MX265" s="66"/>
      <c r="MY265" s="66"/>
      <c r="MZ265" s="66"/>
      <c r="NA265" s="66"/>
      <c r="NB265" s="66"/>
      <c r="NC265" s="66"/>
      <c r="ND265" s="66"/>
      <c r="NE265" s="66"/>
      <c r="NF265" s="66"/>
      <c r="NG265" s="66"/>
      <c r="NH265" s="66"/>
      <c r="NI265" s="66"/>
      <c r="NJ265" s="66"/>
      <c r="NK265" s="66"/>
      <c r="NL265" s="66"/>
      <c r="NM265" s="66"/>
      <c r="NN265" s="66"/>
      <c r="NO265" s="66"/>
      <c r="NP265" s="66"/>
      <c r="NQ265" s="66"/>
      <c r="NR265" s="66"/>
      <c r="NS265" s="66"/>
      <c r="NT265" s="66"/>
      <c r="NU265" s="66"/>
      <c r="NV265" s="66"/>
      <c r="NW265" s="66"/>
      <c r="NX265" s="66"/>
      <c r="NY265" s="66"/>
      <c r="NZ265" s="66"/>
      <c r="OA265" s="66"/>
      <c r="OB265" s="66"/>
      <c r="OC265" s="66"/>
      <c r="OD265" s="66"/>
      <c r="OE265" s="66"/>
      <c r="OF265" s="66"/>
      <c r="OG265" s="66"/>
      <c r="OH265" s="66"/>
      <c r="OI265" s="66"/>
      <c r="OJ265" s="66"/>
      <c r="OK265" s="66"/>
      <c r="OL265" s="66"/>
      <c r="OM265" s="66"/>
      <c r="ON265" s="66"/>
      <c r="OO265" s="66"/>
      <c r="OP265" s="66"/>
      <c r="OQ265" s="66"/>
      <c r="OR265" s="66"/>
      <c r="OS265" s="66"/>
      <c r="OT265" s="66"/>
      <c r="OU265" s="66"/>
      <c r="OV265" s="66"/>
      <c r="OW265" s="66"/>
      <c r="OX265" s="66"/>
      <c r="OY265" s="66"/>
      <c r="OZ265" s="66"/>
      <c r="PA265" s="66"/>
      <c r="PB265" s="66"/>
      <c r="PC265" s="66"/>
      <c r="PD265" s="66"/>
      <c r="PE265" s="66"/>
      <c r="PF265" s="66"/>
      <c r="PG265" s="66"/>
      <c r="PH265" s="66"/>
      <c r="PI265" s="66"/>
      <c r="PJ265" s="66"/>
      <c r="PK265" s="66"/>
      <c r="PL265" s="66"/>
      <c r="PM265" s="66"/>
      <c r="PN265" s="66"/>
      <c r="PO265" s="66"/>
      <c r="PP265" s="66"/>
      <c r="PQ265" s="66"/>
      <c r="PR265" s="66"/>
      <c r="PS265" s="66"/>
      <c r="PT265" s="66"/>
      <c r="PU265" s="66"/>
      <c r="PV265" s="66"/>
      <c r="PW265" s="66"/>
      <c r="PX265" s="66"/>
      <c r="PY265" s="66"/>
      <c r="PZ265" s="66"/>
      <c r="QA265" s="66"/>
      <c r="QB265" s="66"/>
      <c r="QC265" s="66"/>
      <c r="QD265" s="66"/>
      <c r="QE265" s="66"/>
      <c r="QF265" s="66"/>
      <c r="QG265" s="66"/>
      <c r="QH265" s="66"/>
      <c r="QI265" s="66"/>
      <c r="QJ265" s="66"/>
      <c r="QK265" s="66"/>
      <c r="QL265" s="66"/>
      <c r="QM265" s="66"/>
      <c r="QN265" s="66"/>
      <c r="QO265" s="66"/>
      <c r="QP265" s="66"/>
      <c r="QQ265" s="66"/>
      <c r="QR265" s="66"/>
      <c r="QS265" s="66"/>
      <c r="QT265" s="66"/>
      <c r="QU265" s="66"/>
      <c r="QV265" s="66"/>
      <c r="QW265" s="66"/>
      <c r="QX265" s="66"/>
      <c r="QY265" s="66"/>
      <c r="QZ265" s="66"/>
      <c r="RA265" s="66"/>
      <c r="RB265" s="66"/>
      <c r="RC265" s="66"/>
      <c r="RD265" s="4"/>
    </row>
    <row r="266" spans="9:472" x14ac:dyDescent="0.25">
      <c r="I266" s="66"/>
      <c r="J266" s="66"/>
      <c r="K266" s="66"/>
      <c r="L266" s="66"/>
      <c r="M266" s="66"/>
      <c r="N266" s="66"/>
      <c r="O266" s="66"/>
      <c r="P266" s="66"/>
      <c r="Q266" s="66"/>
      <c r="R266" s="66"/>
      <c r="S266" s="66"/>
      <c r="T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c r="CY266" s="66"/>
      <c r="CZ266" s="66"/>
      <c r="DA266" s="66"/>
      <c r="DB266" s="66"/>
      <c r="DC266" s="66"/>
      <c r="DD266" s="66"/>
      <c r="DE266" s="66"/>
      <c r="DF266" s="66"/>
      <c r="DG266" s="66"/>
      <c r="DH266" s="66"/>
      <c r="DI266" s="66"/>
      <c r="DJ266" s="66"/>
      <c r="DK266" s="66"/>
      <c r="DL266" s="66"/>
      <c r="DM266" s="66"/>
      <c r="DN266" s="66"/>
      <c r="DO266" s="66"/>
      <c r="DP266" s="66"/>
      <c r="DQ266" s="66"/>
      <c r="DR266" s="66"/>
      <c r="DS266" s="66"/>
      <c r="DT266" s="66"/>
      <c r="DU266" s="66"/>
      <c r="DV266" s="66"/>
      <c r="DW266" s="66"/>
      <c r="DX266" s="66"/>
      <c r="DY266" s="66"/>
      <c r="DZ266" s="66"/>
      <c r="EA266" s="66"/>
      <c r="EB266" s="66"/>
      <c r="EC266" s="66"/>
      <c r="ED266" s="66"/>
      <c r="EE266" s="66"/>
      <c r="EF266" s="66"/>
      <c r="EG266" s="66"/>
      <c r="EH266" s="66"/>
      <c r="EI266" s="66"/>
      <c r="EJ266" s="66"/>
      <c r="EK266" s="66"/>
      <c r="EL266" s="66"/>
      <c r="EM266" s="66"/>
      <c r="EN266" s="66"/>
      <c r="EO266" s="66"/>
      <c r="EP266" s="66"/>
      <c r="EQ266" s="66"/>
      <c r="ER266" s="66"/>
      <c r="ES266" s="66"/>
      <c r="ET266" s="66"/>
      <c r="EU266" s="66"/>
      <c r="EV266" s="66"/>
      <c r="EW266" s="66"/>
      <c r="EX266" s="66"/>
      <c r="EY266" s="66"/>
      <c r="EZ266" s="66"/>
      <c r="FA266" s="66"/>
      <c r="FB266" s="66"/>
      <c r="FC266" s="66"/>
      <c r="FD266" s="66"/>
      <c r="FE266" s="66"/>
      <c r="FF266" s="66"/>
      <c r="FG266" s="66"/>
      <c r="FH266" s="66"/>
      <c r="FI266" s="66"/>
      <c r="FJ266" s="66"/>
      <c r="FK266" s="66"/>
      <c r="FL266" s="66"/>
      <c r="FM266" s="66"/>
      <c r="FN266" s="66"/>
      <c r="FO266" s="66"/>
      <c r="FP266" s="66"/>
      <c r="FQ266" s="66"/>
      <c r="FR266" s="66"/>
      <c r="FS266" s="66"/>
      <c r="FT266" s="66"/>
      <c r="FU266" s="66"/>
      <c r="FV266" s="66"/>
      <c r="FW266" s="66"/>
      <c r="FX266" s="66"/>
      <c r="FY266" s="66"/>
      <c r="FZ266" s="66"/>
      <c r="GA266" s="66"/>
      <c r="GB266" s="66"/>
      <c r="GC266" s="66"/>
      <c r="GD266" s="66"/>
      <c r="GE266" s="66"/>
      <c r="GF266" s="66"/>
      <c r="GG266" s="66"/>
      <c r="GH266" s="66"/>
      <c r="GI266" s="66"/>
      <c r="GJ266" s="66"/>
      <c r="GK266" s="66"/>
      <c r="GL266" s="66"/>
      <c r="GM266" s="66"/>
      <c r="GN266" s="66"/>
      <c r="GO266" s="66"/>
      <c r="GP266" s="66"/>
      <c r="GQ266" s="66"/>
      <c r="GR266" s="66"/>
      <c r="GS266" s="66"/>
      <c r="GT266" s="66"/>
      <c r="GU266" s="66"/>
      <c r="GV266" s="66"/>
      <c r="GW266" s="66"/>
      <c r="GX266" s="66"/>
      <c r="GY266" s="66"/>
      <c r="GZ266" s="66"/>
      <c r="HA266" s="66"/>
      <c r="HB266" s="66"/>
      <c r="HC266" s="66"/>
      <c r="HD266" s="66"/>
      <c r="HE266" s="66"/>
      <c r="HF266" s="66"/>
      <c r="HG266" s="66"/>
      <c r="HH266" s="66"/>
      <c r="HI266" s="66"/>
      <c r="HJ266" s="66"/>
      <c r="HK266" s="66"/>
      <c r="HL266" s="66"/>
      <c r="HM266" s="66"/>
      <c r="HN266" s="66"/>
      <c r="HO266" s="66"/>
      <c r="HP266" s="66"/>
      <c r="HQ266" s="66"/>
      <c r="HR266" s="66"/>
      <c r="HS266" s="66"/>
      <c r="HT266" s="66"/>
      <c r="HU266" s="66"/>
      <c r="HV266" s="66"/>
      <c r="HW266" s="66"/>
      <c r="HX266" s="66"/>
      <c r="HY266" s="66"/>
      <c r="HZ266" s="66"/>
      <c r="IA266" s="66"/>
      <c r="IB266" s="66"/>
      <c r="IC266" s="66"/>
      <c r="ID266" s="66"/>
      <c r="IE266" s="66"/>
      <c r="IF266" s="66"/>
      <c r="IG266" s="66"/>
      <c r="IH266" s="66"/>
      <c r="II266" s="66"/>
      <c r="IJ266" s="66"/>
      <c r="IK266" s="66"/>
      <c r="IL266" s="66"/>
      <c r="IM266" s="66"/>
      <c r="IN266" s="66"/>
      <c r="IO266" s="66"/>
      <c r="IP266" s="66"/>
      <c r="IQ266" s="66"/>
      <c r="IR266" s="66"/>
      <c r="IS266" s="66"/>
      <c r="IT266" s="66"/>
      <c r="IU266" s="66"/>
      <c r="IV266" s="66"/>
      <c r="IW266" s="66"/>
      <c r="IX266" s="66"/>
      <c r="IY266" s="66"/>
      <c r="IZ266" s="66"/>
      <c r="JA266" s="66"/>
      <c r="JB266" s="66"/>
      <c r="JC266" s="66"/>
      <c r="JD266" s="66"/>
      <c r="JE266" s="66"/>
      <c r="JF266" s="66"/>
      <c r="JG266" s="66"/>
      <c r="JH266" s="66"/>
      <c r="JI266" s="66"/>
      <c r="JJ266" s="66"/>
      <c r="JK266" s="66"/>
      <c r="JL266" s="66"/>
      <c r="JM266" s="66"/>
      <c r="JN266" s="66"/>
      <c r="JO266" s="66"/>
      <c r="JP266" s="66"/>
      <c r="JQ266" s="66"/>
      <c r="JR266" s="66"/>
      <c r="JS266" s="66"/>
      <c r="JT266" s="66"/>
      <c r="JU266" s="66"/>
      <c r="JV266" s="66"/>
      <c r="JW266" s="66"/>
      <c r="JX266" s="66"/>
      <c r="JY266" s="66"/>
      <c r="JZ266" s="66"/>
      <c r="KA266" s="66"/>
      <c r="KB266" s="66"/>
      <c r="KC266" s="66"/>
      <c r="KD266" s="66"/>
      <c r="KE266" s="66"/>
      <c r="KF266" s="66"/>
      <c r="KG266" s="66"/>
      <c r="KH266" s="66"/>
      <c r="KI266" s="66"/>
      <c r="KJ266" s="66"/>
      <c r="KK266" s="66"/>
      <c r="KL266" s="66"/>
      <c r="KM266" s="66"/>
      <c r="KN266" s="66"/>
      <c r="KO266" s="66"/>
      <c r="KP266" s="66"/>
      <c r="KQ266" s="66"/>
      <c r="KR266" s="66"/>
      <c r="KS266" s="66"/>
      <c r="KT266" s="66"/>
      <c r="KU266" s="66"/>
      <c r="KV266" s="66"/>
      <c r="KW266" s="66"/>
      <c r="KX266" s="66"/>
      <c r="KY266" s="66"/>
      <c r="KZ266" s="66"/>
      <c r="LA266" s="66"/>
      <c r="LB266" s="66"/>
      <c r="LC266" s="66"/>
      <c r="LD266" s="66"/>
      <c r="LE266" s="66"/>
      <c r="LF266" s="66"/>
      <c r="LG266" s="66"/>
      <c r="LH266" s="66"/>
      <c r="LI266" s="66"/>
      <c r="LJ266" s="66"/>
      <c r="LK266" s="66"/>
      <c r="LL266" s="66"/>
      <c r="LM266" s="66"/>
      <c r="LN266" s="66"/>
      <c r="LO266" s="66"/>
      <c r="LP266" s="66"/>
      <c r="LQ266" s="66"/>
      <c r="LR266" s="66"/>
      <c r="LS266" s="66"/>
      <c r="LT266" s="66"/>
      <c r="LU266" s="66"/>
      <c r="LV266" s="66"/>
      <c r="LW266" s="66"/>
      <c r="LX266" s="66"/>
      <c r="LY266" s="66"/>
      <c r="LZ266" s="66"/>
      <c r="MA266" s="66"/>
      <c r="MB266" s="66"/>
      <c r="MC266" s="66"/>
      <c r="MD266" s="66"/>
      <c r="ME266" s="66"/>
      <c r="MF266" s="66"/>
      <c r="MG266" s="66"/>
      <c r="MH266" s="66"/>
      <c r="MI266" s="66"/>
      <c r="MJ266" s="66"/>
      <c r="MK266" s="66"/>
      <c r="ML266" s="66"/>
      <c r="MM266" s="66"/>
      <c r="MN266" s="66"/>
      <c r="MO266" s="66"/>
      <c r="MP266" s="66"/>
      <c r="MQ266" s="66"/>
      <c r="MR266" s="66"/>
      <c r="MS266" s="66"/>
      <c r="MT266" s="66"/>
      <c r="MU266" s="66"/>
      <c r="MV266" s="66"/>
      <c r="MW266" s="66"/>
      <c r="MX266" s="66"/>
      <c r="MY266" s="66"/>
      <c r="MZ266" s="66"/>
      <c r="NA266" s="66"/>
      <c r="NB266" s="66"/>
      <c r="NC266" s="66"/>
      <c r="ND266" s="66"/>
      <c r="NE266" s="66"/>
      <c r="NF266" s="66"/>
      <c r="NG266" s="66"/>
      <c r="NH266" s="66"/>
      <c r="NI266" s="66"/>
      <c r="NJ266" s="66"/>
      <c r="NK266" s="66"/>
      <c r="NL266" s="66"/>
      <c r="NM266" s="66"/>
      <c r="NN266" s="66"/>
      <c r="NO266" s="66"/>
      <c r="NP266" s="66"/>
      <c r="NQ266" s="66"/>
      <c r="NR266" s="66"/>
      <c r="NS266" s="66"/>
      <c r="NT266" s="66"/>
      <c r="NU266" s="66"/>
      <c r="NV266" s="66"/>
      <c r="NW266" s="66"/>
      <c r="NX266" s="66"/>
      <c r="NY266" s="66"/>
      <c r="NZ266" s="66"/>
      <c r="OA266" s="66"/>
      <c r="OB266" s="66"/>
      <c r="OC266" s="66"/>
      <c r="OD266" s="66"/>
      <c r="OE266" s="66"/>
      <c r="OF266" s="66"/>
      <c r="OG266" s="66"/>
      <c r="OH266" s="66"/>
      <c r="OI266" s="66"/>
      <c r="OJ266" s="66"/>
      <c r="OK266" s="66"/>
      <c r="OL266" s="66"/>
      <c r="OM266" s="66"/>
      <c r="ON266" s="66"/>
      <c r="OO266" s="66"/>
      <c r="OP266" s="66"/>
      <c r="OQ266" s="66"/>
      <c r="OR266" s="66"/>
      <c r="OS266" s="66"/>
      <c r="OT266" s="66"/>
      <c r="OU266" s="66"/>
      <c r="OV266" s="66"/>
      <c r="OW266" s="66"/>
      <c r="OX266" s="66"/>
      <c r="OY266" s="66"/>
      <c r="OZ266" s="66"/>
      <c r="PA266" s="66"/>
      <c r="PB266" s="66"/>
      <c r="PC266" s="66"/>
      <c r="PD266" s="66"/>
      <c r="PE266" s="66"/>
      <c r="PF266" s="66"/>
      <c r="PG266" s="66"/>
      <c r="PH266" s="66"/>
      <c r="PI266" s="66"/>
      <c r="PJ266" s="66"/>
      <c r="PK266" s="66"/>
      <c r="PL266" s="66"/>
      <c r="PM266" s="66"/>
      <c r="PN266" s="66"/>
      <c r="PO266" s="66"/>
      <c r="PP266" s="66"/>
      <c r="PQ266" s="66"/>
      <c r="PR266" s="66"/>
      <c r="PS266" s="66"/>
      <c r="PT266" s="66"/>
      <c r="PU266" s="66"/>
      <c r="PV266" s="66"/>
      <c r="PW266" s="66"/>
      <c r="PX266" s="66"/>
      <c r="PY266" s="66"/>
      <c r="PZ266" s="66"/>
      <c r="QA266" s="66"/>
      <c r="QB266" s="66"/>
      <c r="QC266" s="66"/>
      <c r="QD266" s="66"/>
      <c r="QE266" s="66"/>
      <c r="QF266" s="66"/>
      <c r="QG266" s="66"/>
      <c r="QH266" s="66"/>
      <c r="QI266" s="66"/>
      <c r="QJ266" s="66"/>
      <c r="QK266" s="66"/>
      <c r="QL266" s="66"/>
      <c r="QM266" s="66"/>
      <c r="QN266" s="66"/>
      <c r="QO266" s="66"/>
      <c r="QP266" s="66"/>
      <c r="QQ266" s="66"/>
      <c r="QR266" s="66"/>
      <c r="QS266" s="66"/>
      <c r="QT266" s="66"/>
      <c r="QU266" s="66"/>
      <c r="QV266" s="66"/>
      <c r="QW266" s="66"/>
      <c r="QX266" s="66"/>
      <c r="QY266" s="66"/>
      <c r="QZ266" s="66"/>
      <c r="RA266" s="66"/>
      <c r="RB266" s="66"/>
      <c r="RC266" s="66"/>
      <c r="RD266" s="4"/>
    </row>
    <row r="267" spans="9:472" x14ac:dyDescent="0.25">
      <c r="I267" s="66"/>
      <c r="J267" s="66"/>
      <c r="K267" s="66"/>
      <c r="L267" s="66"/>
      <c r="M267" s="66"/>
      <c r="N267" s="66"/>
      <c r="O267" s="66"/>
      <c r="P267" s="66"/>
      <c r="Q267" s="66"/>
      <c r="R267" s="66"/>
      <c r="S267" s="66"/>
      <c r="T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c r="CY267" s="66"/>
      <c r="CZ267" s="66"/>
      <c r="DA267" s="66"/>
      <c r="DB267" s="66"/>
      <c r="DC267" s="66"/>
      <c r="DD267" s="66"/>
      <c r="DE267" s="66"/>
      <c r="DF267" s="66"/>
      <c r="DG267" s="66"/>
      <c r="DH267" s="66"/>
      <c r="DI267" s="66"/>
      <c r="DJ267" s="66"/>
      <c r="DK267" s="66"/>
      <c r="DL267" s="66"/>
      <c r="DM267" s="66"/>
      <c r="DN267" s="66"/>
      <c r="DO267" s="66"/>
      <c r="DP267" s="66"/>
      <c r="DQ267" s="66"/>
      <c r="DR267" s="66"/>
      <c r="DS267" s="66"/>
      <c r="DT267" s="66"/>
      <c r="DU267" s="66"/>
      <c r="DV267" s="66"/>
      <c r="DW267" s="66"/>
      <c r="DX267" s="66"/>
      <c r="DY267" s="66"/>
      <c r="DZ267" s="66"/>
      <c r="EA267" s="66"/>
      <c r="EB267" s="66"/>
      <c r="EC267" s="66"/>
      <c r="ED267" s="66"/>
      <c r="EE267" s="66"/>
      <c r="EF267" s="66"/>
      <c r="EG267" s="66"/>
      <c r="EH267" s="66"/>
      <c r="EI267" s="66"/>
      <c r="EJ267" s="66"/>
      <c r="EK267" s="66"/>
      <c r="EL267" s="66"/>
      <c r="EM267" s="66"/>
      <c r="EN267" s="66"/>
      <c r="EO267" s="66"/>
      <c r="EP267" s="66"/>
      <c r="EQ267" s="66"/>
      <c r="ER267" s="66"/>
      <c r="ES267" s="66"/>
      <c r="ET267" s="66"/>
      <c r="EU267" s="66"/>
      <c r="EV267" s="66"/>
      <c r="EW267" s="66"/>
      <c r="EX267" s="66"/>
      <c r="EY267" s="66"/>
      <c r="EZ267" s="66"/>
      <c r="FA267" s="66"/>
      <c r="FB267" s="66"/>
      <c r="FC267" s="66"/>
      <c r="FD267" s="66"/>
      <c r="FE267" s="66"/>
      <c r="FF267" s="66"/>
      <c r="FG267" s="66"/>
      <c r="FH267" s="66"/>
      <c r="FI267" s="66"/>
      <c r="FJ267" s="66"/>
      <c r="FK267" s="66"/>
      <c r="FL267" s="66"/>
      <c r="FM267" s="66"/>
      <c r="FN267" s="66"/>
      <c r="FO267" s="66"/>
      <c r="FP267" s="66"/>
      <c r="FQ267" s="66"/>
      <c r="FR267" s="66"/>
      <c r="FS267" s="66"/>
      <c r="FT267" s="66"/>
      <c r="FU267" s="66"/>
      <c r="FV267" s="66"/>
      <c r="FW267" s="66"/>
      <c r="FX267" s="66"/>
      <c r="FY267" s="66"/>
      <c r="FZ267" s="66"/>
      <c r="GA267" s="66"/>
      <c r="GB267" s="66"/>
      <c r="GC267" s="66"/>
      <c r="GD267" s="66"/>
      <c r="GE267" s="66"/>
      <c r="GF267" s="66"/>
      <c r="GG267" s="66"/>
      <c r="GH267" s="66"/>
      <c r="GI267" s="66"/>
      <c r="GJ267" s="66"/>
      <c r="GK267" s="66"/>
      <c r="GL267" s="66"/>
      <c r="GM267" s="66"/>
      <c r="GN267" s="66"/>
      <c r="GO267" s="66"/>
      <c r="GP267" s="66"/>
      <c r="GQ267" s="66"/>
      <c r="GR267" s="66"/>
      <c r="GS267" s="66"/>
      <c r="GT267" s="66"/>
      <c r="GU267" s="66"/>
      <c r="GV267" s="66"/>
      <c r="GW267" s="66"/>
      <c r="GX267" s="66"/>
      <c r="GY267" s="66"/>
      <c r="GZ267" s="66"/>
      <c r="HA267" s="66"/>
      <c r="HB267" s="66"/>
      <c r="HC267" s="66"/>
      <c r="HD267" s="66"/>
      <c r="HE267" s="66"/>
      <c r="HF267" s="66"/>
      <c r="HG267" s="66"/>
      <c r="HH267" s="66"/>
      <c r="HI267" s="66"/>
      <c r="HJ267" s="66"/>
      <c r="HK267" s="66"/>
      <c r="HL267" s="66"/>
      <c r="HM267" s="66"/>
      <c r="HN267" s="66"/>
      <c r="HO267" s="66"/>
      <c r="HP267" s="66"/>
      <c r="HQ267" s="66"/>
      <c r="HR267" s="66"/>
      <c r="HS267" s="66"/>
      <c r="HT267" s="66"/>
      <c r="HU267" s="66"/>
      <c r="HV267" s="66"/>
      <c r="HW267" s="66"/>
      <c r="HX267" s="66"/>
      <c r="HY267" s="66"/>
      <c r="HZ267" s="66"/>
      <c r="IA267" s="66"/>
      <c r="IB267" s="66"/>
      <c r="IC267" s="66"/>
      <c r="ID267" s="66"/>
      <c r="IE267" s="66"/>
      <c r="IF267" s="66"/>
      <c r="IG267" s="66"/>
      <c r="IH267" s="66"/>
      <c r="II267" s="66"/>
      <c r="IJ267" s="66"/>
      <c r="IK267" s="66"/>
      <c r="IL267" s="66"/>
      <c r="IM267" s="66"/>
      <c r="IN267" s="66"/>
      <c r="IO267" s="66"/>
      <c r="IP267" s="66"/>
      <c r="IQ267" s="66"/>
      <c r="IR267" s="66"/>
      <c r="IS267" s="66"/>
      <c r="IT267" s="66"/>
      <c r="IU267" s="66"/>
      <c r="IV267" s="66"/>
      <c r="IW267" s="66"/>
      <c r="IX267" s="66"/>
      <c r="IY267" s="66"/>
      <c r="IZ267" s="66"/>
      <c r="JA267" s="66"/>
      <c r="JB267" s="66"/>
      <c r="JC267" s="66"/>
      <c r="JD267" s="66"/>
      <c r="JE267" s="66"/>
      <c r="JF267" s="66"/>
      <c r="JG267" s="66"/>
      <c r="JH267" s="66"/>
      <c r="JI267" s="66"/>
      <c r="JJ267" s="66"/>
      <c r="JK267" s="66"/>
      <c r="JL267" s="66"/>
      <c r="JM267" s="66"/>
      <c r="JN267" s="66"/>
      <c r="JO267" s="66"/>
      <c r="JP267" s="66"/>
      <c r="JQ267" s="66"/>
      <c r="JR267" s="66"/>
      <c r="JS267" s="66"/>
      <c r="JT267" s="66"/>
      <c r="JU267" s="66"/>
      <c r="JV267" s="66"/>
      <c r="JW267" s="66"/>
      <c r="JX267" s="66"/>
      <c r="JY267" s="66"/>
      <c r="JZ267" s="66"/>
      <c r="KA267" s="66"/>
      <c r="KB267" s="66"/>
      <c r="KC267" s="66"/>
      <c r="KD267" s="66"/>
      <c r="KE267" s="66"/>
      <c r="KF267" s="66"/>
      <c r="KG267" s="66"/>
      <c r="KH267" s="66"/>
      <c r="KI267" s="66"/>
      <c r="KJ267" s="66"/>
      <c r="KK267" s="66"/>
      <c r="KL267" s="66"/>
      <c r="KM267" s="66"/>
      <c r="KN267" s="66"/>
      <c r="KO267" s="66"/>
      <c r="KP267" s="66"/>
      <c r="KQ267" s="66"/>
      <c r="KR267" s="66"/>
      <c r="KS267" s="66"/>
      <c r="KT267" s="66"/>
      <c r="KU267" s="66"/>
      <c r="KV267" s="66"/>
      <c r="KW267" s="66"/>
      <c r="KX267" s="66"/>
      <c r="KY267" s="66"/>
      <c r="KZ267" s="66"/>
      <c r="LA267" s="66"/>
      <c r="LB267" s="66"/>
      <c r="LC267" s="66"/>
      <c r="LD267" s="66"/>
      <c r="LE267" s="66"/>
      <c r="LF267" s="66"/>
      <c r="LG267" s="66"/>
      <c r="LH267" s="66"/>
      <c r="LI267" s="66"/>
      <c r="LJ267" s="66"/>
      <c r="LK267" s="66"/>
      <c r="LL267" s="66"/>
      <c r="LM267" s="66"/>
      <c r="LN267" s="66"/>
      <c r="LO267" s="66"/>
      <c r="LP267" s="66"/>
      <c r="LQ267" s="66"/>
      <c r="LR267" s="66"/>
      <c r="LS267" s="66"/>
      <c r="LT267" s="66"/>
      <c r="LU267" s="66"/>
      <c r="LV267" s="66"/>
      <c r="LW267" s="66"/>
      <c r="LX267" s="66"/>
      <c r="LY267" s="66"/>
      <c r="LZ267" s="66"/>
      <c r="MA267" s="66"/>
      <c r="MB267" s="66"/>
      <c r="MC267" s="66"/>
      <c r="MD267" s="66"/>
      <c r="ME267" s="66"/>
      <c r="MF267" s="66"/>
      <c r="MG267" s="66"/>
      <c r="MH267" s="66"/>
      <c r="MI267" s="66"/>
      <c r="MJ267" s="66"/>
      <c r="MK267" s="66"/>
      <c r="ML267" s="66"/>
      <c r="MM267" s="66"/>
      <c r="MN267" s="66"/>
      <c r="MO267" s="66"/>
      <c r="MP267" s="66"/>
      <c r="MQ267" s="66"/>
      <c r="MR267" s="66"/>
      <c r="MS267" s="66"/>
      <c r="MT267" s="66"/>
      <c r="MU267" s="66"/>
      <c r="MV267" s="66"/>
      <c r="MW267" s="66"/>
      <c r="MX267" s="66"/>
      <c r="MY267" s="66"/>
      <c r="MZ267" s="66"/>
      <c r="NA267" s="66"/>
      <c r="NB267" s="66"/>
      <c r="NC267" s="66"/>
      <c r="ND267" s="66"/>
      <c r="NE267" s="66"/>
      <c r="NF267" s="66"/>
      <c r="NG267" s="66"/>
      <c r="NH267" s="66"/>
      <c r="NI267" s="66"/>
      <c r="NJ267" s="66"/>
      <c r="NK267" s="66"/>
      <c r="NL267" s="66"/>
      <c r="NM267" s="66"/>
      <c r="NN267" s="66"/>
      <c r="NO267" s="66"/>
      <c r="NP267" s="66"/>
      <c r="NQ267" s="66"/>
      <c r="NR267" s="66"/>
      <c r="NS267" s="66"/>
      <c r="NT267" s="66"/>
      <c r="NU267" s="66"/>
      <c r="NV267" s="66"/>
      <c r="NW267" s="66"/>
      <c r="NX267" s="66"/>
      <c r="NY267" s="66"/>
      <c r="NZ267" s="66"/>
      <c r="OA267" s="66"/>
      <c r="OB267" s="66"/>
      <c r="OC267" s="66"/>
      <c r="OD267" s="66"/>
      <c r="OE267" s="66"/>
      <c r="OF267" s="66"/>
      <c r="OG267" s="66"/>
      <c r="OH267" s="66"/>
      <c r="OI267" s="66"/>
      <c r="OJ267" s="66"/>
      <c r="OK267" s="66"/>
      <c r="OL267" s="66"/>
      <c r="OM267" s="66"/>
      <c r="ON267" s="66"/>
      <c r="OO267" s="66"/>
      <c r="OP267" s="66"/>
      <c r="OQ267" s="66"/>
      <c r="OR267" s="66"/>
      <c r="OS267" s="66"/>
      <c r="OT267" s="66"/>
      <c r="OU267" s="66"/>
      <c r="OV267" s="66"/>
      <c r="OW267" s="66"/>
      <c r="OX267" s="66"/>
      <c r="OY267" s="66"/>
      <c r="OZ267" s="66"/>
      <c r="PA267" s="66"/>
      <c r="PB267" s="66"/>
      <c r="PC267" s="66"/>
      <c r="PD267" s="66"/>
      <c r="PE267" s="66"/>
      <c r="PF267" s="66"/>
      <c r="PG267" s="66"/>
      <c r="PH267" s="66"/>
      <c r="PI267" s="66"/>
      <c r="PJ267" s="66"/>
      <c r="PK267" s="66"/>
      <c r="PL267" s="66"/>
      <c r="PM267" s="66"/>
      <c r="PN267" s="66"/>
      <c r="PO267" s="66"/>
      <c r="PP267" s="66"/>
      <c r="PQ267" s="66"/>
      <c r="PR267" s="66"/>
      <c r="PS267" s="66"/>
      <c r="PT267" s="66"/>
      <c r="PU267" s="66"/>
      <c r="PV267" s="66"/>
      <c r="PW267" s="66"/>
      <c r="PX267" s="66"/>
      <c r="PY267" s="66"/>
      <c r="PZ267" s="66"/>
      <c r="QA267" s="66"/>
      <c r="QB267" s="66"/>
      <c r="QC267" s="66"/>
      <c r="QD267" s="66"/>
      <c r="QE267" s="66"/>
      <c r="QF267" s="66"/>
      <c r="QG267" s="66"/>
      <c r="QH267" s="66"/>
      <c r="QI267" s="66"/>
      <c r="QJ267" s="66"/>
      <c r="QK267" s="66"/>
      <c r="QL267" s="66"/>
      <c r="QM267" s="66"/>
      <c r="QN267" s="66"/>
      <c r="QO267" s="66"/>
      <c r="QP267" s="66"/>
      <c r="QQ267" s="66"/>
      <c r="QR267" s="66"/>
      <c r="QS267" s="66"/>
      <c r="QT267" s="66"/>
      <c r="QU267" s="66"/>
      <c r="QV267" s="66"/>
      <c r="QW267" s="66"/>
      <c r="QX267" s="66"/>
      <c r="QY267" s="66"/>
      <c r="QZ267" s="66"/>
      <c r="RA267" s="66"/>
      <c r="RB267" s="66"/>
      <c r="RC267" s="66"/>
      <c r="RD267" s="4"/>
    </row>
    <row r="268" spans="9:472" x14ac:dyDescent="0.25">
      <c r="I268" s="66"/>
      <c r="J268" s="66"/>
      <c r="K268" s="66"/>
      <c r="L268" s="66"/>
      <c r="M268" s="66"/>
      <c r="N268" s="66"/>
      <c r="O268" s="66"/>
      <c r="P268" s="66"/>
      <c r="Q268" s="66"/>
      <c r="R268" s="66"/>
      <c r="S268" s="66"/>
      <c r="T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6"/>
      <c r="DI268" s="66"/>
      <c r="DJ268" s="66"/>
      <c r="DK268" s="66"/>
      <c r="DL268" s="66"/>
      <c r="DM268" s="66"/>
      <c r="DN268" s="66"/>
      <c r="DO268" s="66"/>
      <c r="DP268" s="66"/>
      <c r="DQ268" s="66"/>
      <c r="DR268" s="66"/>
      <c r="DS268" s="66"/>
      <c r="DT268" s="66"/>
      <c r="DU268" s="66"/>
      <c r="DV268" s="66"/>
      <c r="DW268" s="66"/>
      <c r="DX268" s="66"/>
      <c r="DY268" s="66"/>
      <c r="DZ268" s="66"/>
      <c r="EA268" s="66"/>
      <c r="EB268" s="66"/>
      <c r="EC268" s="66"/>
      <c r="ED268" s="66"/>
      <c r="EE268" s="66"/>
      <c r="EF268" s="66"/>
      <c r="EG268" s="66"/>
      <c r="EH268" s="66"/>
      <c r="EI268" s="66"/>
      <c r="EJ268" s="66"/>
      <c r="EK268" s="66"/>
      <c r="EL268" s="66"/>
      <c r="EM268" s="66"/>
      <c r="EN268" s="66"/>
      <c r="EO268" s="66"/>
      <c r="EP268" s="66"/>
      <c r="EQ268" s="66"/>
      <c r="ER268" s="66"/>
      <c r="ES268" s="66"/>
      <c r="ET268" s="66"/>
      <c r="EU268" s="66"/>
      <c r="EV268" s="66"/>
      <c r="EW268" s="66"/>
      <c r="EX268" s="66"/>
      <c r="EY268" s="66"/>
      <c r="EZ268" s="66"/>
      <c r="FA268" s="66"/>
      <c r="FB268" s="66"/>
      <c r="FC268" s="66"/>
      <c r="FD268" s="66"/>
      <c r="FE268" s="66"/>
      <c r="FF268" s="66"/>
      <c r="FG268" s="66"/>
      <c r="FH268" s="66"/>
      <c r="FI268" s="66"/>
      <c r="FJ268" s="66"/>
      <c r="FK268" s="66"/>
      <c r="FL268" s="66"/>
      <c r="FM268" s="66"/>
      <c r="FN268" s="66"/>
      <c r="FO268" s="66"/>
      <c r="FP268" s="66"/>
      <c r="FQ268" s="66"/>
      <c r="FR268" s="66"/>
      <c r="FS268" s="66"/>
      <c r="FT268" s="66"/>
      <c r="FU268" s="66"/>
      <c r="FV268" s="66"/>
      <c r="FW268" s="66"/>
      <c r="FX268" s="66"/>
      <c r="FY268" s="66"/>
      <c r="FZ268" s="66"/>
      <c r="GA268" s="66"/>
      <c r="GB268" s="66"/>
      <c r="GC268" s="66"/>
      <c r="GD268" s="66"/>
      <c r="GE268" s="66"/>
      <c r="GF268" s="66"/>
      <c r="GG268" s="66"/>
      <c r="GH268" s="66"/>
      <c r="GI268" s="66"/>
      <c r="GJ268" s="66"/>
      <c r="GK268" s="66"/>
      <c r="GL268" s="66"/>
      <c r="GM268" s="66"/>
      <c r="GN268" s="66"/>
      <c r="GO268" s="66"/>
      <c r="GP268" s="66"/>
      <c r="GQ268" s="66"/>
      <c r="GR268" s="66"/>
      <c r="GS268" s="66"/>
      <c r="GT268" s="66"/>
      <c r="GU268" s="66"/>
      <c r="GV268" s="66"/>
      <c r="GW268" s="66"/>
      <c r="GX268" s="66"/>
      <c r="GY268" s="66"/>
      <c r="GZ268" s="66"/>
      <c r="HA268" s="66"/>
      <c r="HB268" s="66"/>
      <c r="HC268" s="66"/>
      <c r="HD268" s="66"/>
      <c r="HE268" s="66"/>
      <c r="HF268" s="66"/>
      <c r="HG268" s="66"/>
      <c r="HH268" s="66"/>
      <c r="HI268" s="66"/>
      <c r="HJ268" s="66"/>
      <c r="HK268" s="66"/>
      <c r="HL268" s="66"/>
      <c r="HM268" s="66"/>
      <c r="HN268" s="66"/>
      <c r="HO268" s="66"/>
      <c r="HP268" s="66"/>
      <c r="HQ268" s="66"/>
      <c r="HR268" s="66"/>
      <c r="HS268" s="66"/>
      <c r="HT268" s="66"/>
      <c r="HU268" s="66"/>
      <c r="HV268" s="66"/>
      <c r="HW268" s="66"/>
      <c r="HX268" s="66"/>
      <c r="HY268" s="66"/>
      <c r="HZ268" s="66"/>
      <c r="IA268" s="66"/>
      <c r="IB268" s="66"/>
      <c r="IC268" s="66"/>
      <c r="ID268" s="66"/>
      <c r="IE268" s="66"/>
      <c r="IF268" s="66"/>
      <c r="IG268" s="66"/>
      <c r="IH268" s="66"/>
      <c r="II268" s="66"/>
      <c r="IJ268" s="66"/>
      <c r="IK268" s="66"/>
      <c r="IL268" s="66"/>
      <c r="IM268" s="66"/>
      <c r="IN268" s="66"/>
      <c r="IO268" s="66"/>
      <c r="IP268" s="66"/>
      <c r="IQ268" s="66"/>
      <c r="IR268" s="66"/>
      <c r="IS268" s="66"/>
      <c r="IT268" s="66"/>
      <c r="IU268" s="66"/>
      <c r="IV268" s="66"/>
      <c r="IW268" s="66"/>
      <c r="IX268" s="66"/>
      <c r="IY268" s="66"/>
      <c r="IZ268" s="66"/>
      <c r="JA268" s="66"/>
      <c r="JB268" s="66"/>
      <c r="JC268" s="66"/>
      <c r="JD268" s="66"/>
      <c r="JE268" s="66"/>
      <c r="JF268" s="66"/>
      <c r="JG268" s="66"/>
      <c r="JH268" s="66"/>
      <c r="JI268" s="66"/>
      <c r="JJ268" s="66"/>
      <c r="JK268" s="66"/>
      <c r="JL268" s="66"/>
      <c r="JM268" s="66"/>
      <c r="JN268" s="66"/>
      <c r="JO268" s="66"/>
      <c r="JP268" s="66"/>
      <c r="JQ268" s="66"/>
      <c r="JR268" s="66"/>
      <c r="JS268" s="66"/>
      <c r="JT268" s="66"/>
      <c r="JU268" s="66"/>
      <c r="JV268" s="66"/>
      <c r="JW268" s="66"/>
      <c r="JX268" s="66"/>
      <c r="JY268" s="66"/>
      <c r="JZ268" s="66"/>
      <c r="KA268" s="66"/>
      <c r="KB268" s="66"/>
      <c r="KC268" s="66"/>
      <c r="KD268" s="66"/>
      <c r="KE268" s="66"/>
      <c r="KF268" s="66"/>
      <c r="KG268" s="66"/>
      <c r="KH268" s="66"/>
      <c r="KI268" s="66"/>
      <c r="KJ268" s="66"/>
      <c r="KK268" s="66"/>
      <c r="KL268" s="66"/>
      <c r="KM268" s="66"/>
      <c r="KN268" s="66"/>
      <c r="KO268" s="66"/>
      <c r="KP268" s="66"/>
      <c r="KQ268" s="66"/>
      <c r="KR268" s="66"/>
      <c r="KS268" s="66"/>
      <c r="KT268" s="66"/>
      <c r="KU268" s="66"/>
      <c r="KV268" s="66"/>
      <c r="KW268" s="66"/>
      <c r="KX268" s="66"/>
      <c r="KY268" s="66"/>
      <c r="KZ268" s="66"/>
      <c r="LA268" s="66"/>
      <c r="LB268" s="66"/>
      <c r="LC268" s="66"/>
      <c r="LD268" s="66"/>
      <c r="LE268" s="66"/>
      <c r="LF268" s="66"/>
      <c r="LG268" s="66"/>
      <c r="LH268" s="66"/>
      <c r="LI268" s="66"/>
      <c r="LJ268" s="66"/>
      <c r="LK268" s="66"/>
      <c r="LL268" s="66"/>
      <c r="LM268" s="66"/>
      <c r="LN268" s="66"/>
      <c r="LO268" s="66"/>
      <c r="LP268" s="66"/>
      <c r="LQ268" s="66"/>
      <c r="LR268" s="66"/>
      <c r="LS268" s="66"/>
      <c r="LT268" s="66"/>
      <c r="LU268" s="66"/>
      <c r="LV268" s="66"/>
      <c r="LW268" s="66"/>
      <c r="LX268" s="66"/>
      <c r="LY268" s="66"/>
      <c r="LZ268" s="66"/>
      <c r="MA268" s="66"/>
      <c r="MB268" s="66"/>
      <c r="MC268" s="66"/>
      <c r="MD268" s="66"/>
      <c r="ME268" s="66"/>
      <c r="MF268" s="66"/>
      <c r="MG268" s="66"/>
      <c r="MH268" s="66"/>
      <c r="MI268" s="66"/>
      <c r="MJ268" s="66"/>
      <c r="MK268" s="66"/>
      <c r="ML268" s="66"/>
      <c r="MM268" s="66"/>
      <c r="MN268" s="66"/>
      <c r="MO268" s="66"/>
      <c r="MP268" s="66"/>
      <c r="MQ268" s="66"/>
      <c r="MR268" s="66"/>
      <c r="MS268" s="66"/>
      <c r="MT268" s="66"/>
      <c r="MU268" s="66"/>
      <c r="MV268" s="66"/>
      <c r="MW268" s="66"/>
      <c r="MX268" s="66"/>
      <c r="MY268" s="66"/>
      <c r="MZ268" s="66"/>
      <c r="NA268" s="66"/>
      <c r="NB268" s="66"/>
      <c r="NC268" s="66"/>
      <c r="ND268" s="66"/>
      <c r="NE268" s="66"/>
      <c r="NF268" s="66"/>
      <c r="NG268" s="66"/>
      <c r="NH268" s="66"/>
      <c r="NI268" s="66"/>
      <c r="NJ268" s="66"/>
      <c r="NK268" s="66"/>
      <c r="NL268" s="66"/>
      <c r="NM268" s="66"/>
      <c r="NN268" s="66"/>
      <c r="NO268" s="66"/>
      <c r="NP268" s="66"/>
      <c r="NQ268" s="66"/>
      <c r="NR268" s="66"/>
      <c r="NS268" s="66"/>
      <c r="NT268" s="66"/>
      <c r="NU268" s="66"/>
      <c r="NV268" s="66"/>
      <c r="NW268" s="66"/>
      <c r="NX268" s="66"/>
      <c r="NY268" s="66"/>
      <c r="NZ268" s="66"/>
      <c r="OA268" s="66"/>
      <c r="OB268" s="66"/>
      <c r="OC268" s="66"/>
      <c r="OD268" s="66"/>
      <c r="OE268" s="66"/>
      <c r="OF268" s="66"/>
      <c r="OG268" s="66"/>
      <c r="OH268" s="66"/>
      <c r="OI268" s="66"/>
      <c r="OJ268" s="66"/>
      <c r="OK268" s="66"/>
      <c r="OL268" s="66"/>
      <c r="OM268" s="66"/>
      <c r="ON268" s="66"/>
      <c r="OO268" s="66"/>
      <c r="OP268" s="66"/>
      <c r="OQ268" s="66"/>
      <c r="OR268" s="66"/>
      <c r="OS268" s="66"/>
      <c r="OT268" s="66"/>
      <c r="OU268" s="66"/>
      <c r="OV268" s="66"/>
      <c r="OW268" s="66"/>
      <c r="OX268" s="66"/>
      <c r="OY268" s="66"/>
      <c r="OZ268" s="66"/>
      <c r="PA268" s="66"/>
      <c r="PB268" s="66"/>
      <c r="PC268" s="66"/>
      <c r="PD268" s="66"/>
      <c r="PE268" s="66"/>
      <c r="PF268" s="66"/>
      <c r="PG268" s="66"/>
      <c r="PH268" s="66"/>
      <c r="PI268" s="66"/>
      <c r="PJ268" s="66"/>
      <c r="PK268" s="66"/>
      <c r="PL268" s="66"/>
      <c r="PM268" s="66"/>
      <c r="PN268" s="66"/>
      <c r="PO268" s="66"/>
      <c r="PP268" s="66"/>
      <c r="PQ268" s="66"/>
      <c r="PR268" s="66"/>
      <c r="PS268" s="66"/>
      <c r="PT268" s="66"/>
      <c r="PU268" s="66"/>
      <c r="PV268" s="66"/>
      <c r="PW268" s="66"/>
      <c r="PX268" s="66"/>
      <c r="PY268" s="66"/>
      <c r="PZ268" s="66"/>
      <c r="QA268" s="66"/>
      <c r="QB268" s="66"/>
      <c r="QC268" s="66"/>
      <c r="QD268" s="66"/>
      <c r="QE268" s="66"/>
      <c r="QF268" s="66"/>
      <c r="QG268" s="66"/>
      <c r="QH268" s="66"/>
      <c r="QI268" s="66"/>
      <c r="QJ268" s="66"/>
      <c r="QK268" s="66"/>
      <c r="QL268" s="66"/>
      <c r="QM268" s="66"/>
      <c r="QN268" s="66"/>
      <c r="QO268" s="66"/>
      <c r="QP268" s="66"/>
      <c r="QQ268" s="66"/>
      <c r="QR268" s="66"/>
      <c r="QS268" s="66"/>
      <c r="QT268" s="66"/>
      <c r="QU268" s="66"/>
      <c r="QV268" s="66"/>
      <c r="QW268" s="66"/>
      <c r="QX268" s="66"/>
      <c r="QY268" s="66"/>
      <c r="QZ268" s="66"/>
      <c r="RA268" s="66"/>
      <c r="RB268" s="66"/>
      <c r="RC268" s="66"/>
      <c r="RD268" s="4"/>
    </row>
    <row r="269" spans="9:472" x14ac:dyDescent="0.25">
      <c r="I269" s="66"/>
      <c r="J269" s="66"/>
      <c r="K269" s="66"/>
      <c r="L269" s="66"/>
      <c r="M269" s="66"/>
      <c r="N269" s="66"/>
      <c r="O269" s="66"/>
      <c r="P269" s="66"/>
      <c r="Q269" s="66"/>
      <c r="R269" s="66"/>
      <c r="S269" s="66"/>
      <c r="T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c r="CY269" s="66"/>
      <c r="CZ269" s="66"/>
      <c r="DA269" s="66"/>
      <c r="DB269" s="66"/>
      <c r="DC269" s="66"/>
      <c r="DD269" s="66"/>
      <c r="DE269" s="66"/>
      <c r="DF269" s="66"/>
      <c r="DG269" s="66"/>
      <c r="DH269" s="66"/>
      <c r="DI269" s="66"/>
      <c r="DJ269" s="66"/>
      <c r="DK269" s="66"/>
      <c r="DL269" s="66"/>
      <c r="DM269" s="66"/>
      <c r="DN269" s="66"/>
      <c r="DO269" s="66"/>
      <c r="DP269" s="66"/>
      <c r="DQ269" s="66"/>
      <c r="DR269" s="66"/>
      <c r="DS269" s="66"/>
      <c r="DT269" s="66"/>
      <c r="DU269" s="66"/>
      <c r="DV269" s="66"/>
      <c r="DW269" s="66"/>
      <c r="DX269" s="66"/>
      <c r="DY269" s="66"/>
      <c r="DZ269" s="66"/>
      <c r="EA269" s="66"/>
      <c r="EB269" s="66"/>
      <c r="EC269" s="66"/>
      <c r="ED269" s="66"/>
      <c r="EE269" s="66"/>
      <c r="EF269" s="66"/>
      <c r="EG269" s="66"/>
      <c r="EH269" s="66"/>
      <c r="EI269" s="66"/>
      <c r="EJ269" s="66"/>
      <c r="EK269" s="66"/>
      <c r="EL269" s="66"/>
      <c r="EM269" s="66"/>
      <c r="EN269" s="66"/>
      <c r="EO269" s="66"/>
      <c r="EP269" s="66"/>
      <c r="EQ269" s="66"/>
      <c r="ER269" s="66"/>
      <c r="ES269" s="66"/>
      <c r="ET269" s="66"/>
      <c r="EU269" s="66"/>
      <c r="EV269" s="66"/>
      <c r="EW269" s="66"/>
      <c r="EX269" s="66"/>
      <c r="EY269" s="66"/>
      <c r="EZ269" s="66"/>
      <c r="FA269" s="66"/>
      <c r="FB269" s="66"/>
      <c r="FC269" s="66"/>
      <c r="FD269" s="66"/>
      <c r="FE269" s="66"/>
      <c r="FF269" s="66"/>
      <c r="FG269" s="66"/>
      <c r="FH269" s="66"/>
      <c r="FI269" s="66"/>
      <c r="FJ269" s="66"/>
      <c r="FK269" s="66"/>
      <c r="FL269" s="66"/>
      <c r="FM269" s="66"/>
      <c r="FN269" s="66"/>
      <c r="FO269" s="66"/>
      <c r="FP269" s="66"/>
      <c r="FQ269" s="66"/>
      <c r="FR269" s="66"/>
      <c r="FS269" s="66"/>
      <c r="FT269" s="66"/>
      <c r="FU269" s="66"/>
      <c r="FV269" s="66"/>
      <c r="FW269" s="66"/>
      <c r="FX269" s="66"/>
      <c r="FY269" s="66"/>
      <c r="FZ269" s="66"/>
      <c r="GA269" s="66"/>
      <c r="GB269" s="66"/>
      <c r="GC269" s="66"/>
      <c r="GD269" s="66"/>
      <c r="GE269" s="66"/>
      <c r="GF269" s="66"/>
      <c r="GG269" s="66"/>
      <c r="GH269" s="66"/>
      <c r="GI269" s="66"/>
      <c r="GJ269" s="66"/>
      <c r="GK269" s="66"/>
      <c r="GL269" s="66"/>
      <c r="GM269" s="66"/>
      <c r="GN269" s="66"/>
      <c r="GO269" s="66"/>
      <c r="GP269" s="66"/>
      <c r="GQ269" s="66"/>
      <c r="GR269" s="66"/>
      <c r="GS269" s="66"/>
      <c r="GT269" s="66"/>
      <c r="GU269" s="66"/>
      <c r="GV269" s="66"/>
      <c r="GW269" s="66"/>
      <c r="GX269" s="66"/>
      <c r="GY269" s="66"/>
      <c r="GZ269" s="66"/>
      <c r="HA269" s="66"/>
      <c r="HB269" s="66"/>
      <c r="HC269" s="66"/>
      <c r="HD269" s="66"/>
      <c r="HE269" s="66"/>
      <c r="HF269" s="66"/>
      <c r="HG269" s="66"/>
      <c r="HH269" s="66"/>
      <c r="HI269" s="66"/>
      <c r="HJ269" s="66"/>
      <c r="HK269" s="66"/>
      <c r="HL269" s="66"/>
      <c r="HM269" s="66"/>
      <c r="HN269" s="66"/>
      <c r="HO269" s="66"/>
      <c r="HP269" s="66"/>
      <c r="HQ269" s="66"/>
      <c r="HR269" s="66"/>
      <c r="HS269" s="66"/>
      <c r="HT269" s="66"/>
      <c r="HU269" s="66"/>
      <c r="HV269" s="66"/>
      <c r="HW269" s="66"/>
      <c r="HX269" s="66"/>
      <c r="HY269" s="66"/>
      <c r="HZ269" s="66"/>
      <c r="IA269" s="66"/>
      <c r="IB269" s="66"/>
      <c r="IC269" s="66"/>
      <c r="ID269" s="66"/>
      <c r="IE269" s="66"/>
      <c r="IF269" s="66"/>
      <c r="IG269" s="66"/>
      <c r="IH269" s="66"/>
      <c r="II269" s="66"/>
      <c r="IJ269" s="66"/>
      <c r="IK269" s="66"/>
      <c r="IL269" s="66"/>
      <c r="IM269" s="66"/>
      <c r="IN269" s="66"/>
      <c r="IO269" s="66"/>
      <c r="IP269" s="66"/>
      <c r="IQ269" s="66"/>
      <c r="IR269" s="66"/>
      <c r="IS269" s="66"/>
      <c r="IT269" s="66"/>
      <c r="IU269" s="66"/>
      <c r="IV269" s="66"/>
      <c r="IW269" s="66"/>
      <c r="IX269" s="66"/>
      <c r="IY269" s="66"/>
      <c r="IZ269" s="66"/>
      <c r="JA269" s="66"/>
      <c r="JB269" s="66"/>
      <c r="JC269" s="66"/>
      <c r="JD269" s="66"/>
      <c r="JE269" s="66"/>
      <c r="JF269" s="66"/>
      <c r="JG269" s="66"/>
      <c r="JH269" s="66"/>
      <c r="JI269" s="66"/>
      <c r="JJ269" s="66"/>
      <c r="JK269" s="66"/>
      <c r="JL269" s="66"/>
      <c r="JM269" s="66"/>
      <c r="JN269" s="66"/>
      <c r="JO269" s="66"/>
      <c r="JP269" s="66"/>
      <c r="JQ269" s="66"/>
      <c r="JR269" s="66"/>
      <c r="JS269" s="66"/>
      <c r="JT269" s="66"/>
      <c r="JU269" s="66"/>
      <c r="JV269" s="66"/>
      <c r="JW269" s="66"/>
      <c r="JX269" s="66"/>
      <c r="JY269" s="66"/>
      <c r="JZ269" s="66"/>
      <c r="KA269" s="66"/>
      <c r="KB269" s="66"/>
      <c r="KC269" s="66"/>
      <c r="KD269" s="66"/>
      <c r="KE269" s="66"/>
      <c r="KF269" s="66"/>
      <c r="KG269" s="66"/>
      <c r="KH269" s="66"/>
      <c r="KI269" s="66"/>
      <c r="KJ269" s="66"/>
      <c r="KK269" s="66"/>
      <c r="KL269" s="66"/>
      <c r="KM269" s="66"/>
      <c r="KN269" s="66"/>
      <c r="KO269" s="66"/>
      <c r="KP269" s="66"/>
      <c r="KQ269" s="66"/>
      <c r="KR269" s="66"/>
      <c r="KS269" s="66"/>
      <c r="KT269" s="66"/>
      <c r="KU269" s="66"/>
      <c r="KV269" s="66"/>
      <c r="KW269" s="66"/>
      <c r="KX269" s="66"/>
      <c r="KY269" s="66"/>
      <c r="KZ269" s="66"/>
      <c r="LA269" s="66"/>
      <c r="LB269" s="66"/>
      <c r="LC269" s="66"/>
      <c r="LD269" s="66"/>
      <c r="LE269" s="66"/>
      <c r="LF269" s="66"/>
      <c r="LG269" s="66"/>
      <c r="LH269" s="66"/>
      <c r="LI269" s="66"/>
      <c r="LJ269" s="66"/>
      <c r="LK269" s="66"/>
      <c r="LL269" s="66"/>
      <c r="LM269" s="66"/>
      <c r="LN269" s="66"/>
      <c r="LO269" s="66"/>
      <c r="LP269" s="66"/>
      <c r="LQ269" s="66"/>
      <c r="LR269" s="66"/>
      <c r="LS269" s="66"/>
      <c r="LT269" s="66"/>
      <c r="LU269" s="66"/>
      <c r="LV269" s="66"/>
      <c r="LW269" s="66"/>
      <c r="LX269" s="66"/>
      <c r="LY269" s="66"/>
      <c r="LZ269" s="66"/>
      <c r="MA269" s="66"/>
      <c r="MB269" s="66"/>
      <c r="MC269" s="66"/>
      <c r="MD269" s="66"/>
      <c r="ME269" s="66"/>
      <c r="MF269" s="66"/>
      <c r="MG269" s="66"/>
      <c r="MH269" s="66"/>
      <c r="MI269" s="66"/>
      <c r="MJ269" s="66"/>
      <c r="MK269" s="66"/>
      <c r="ML269" s="66"/>
      <c r="MM269" s="66"/>
      <c r="MN269" s="66"/>
      <c r="MO269" s="66"/>
      <c r="MP269" s="66"/>
      <c r="MQ269" s="66"/>
      <c r="MR269" s="66"/>
      <c r="MS269" s="66"/>
      <c r="MT269" s="66"/>
      <c r="MU269" s="66"/>
      <c r="MV269" s="66"/>
      <c r="MW269" s="66"/>
      <c r="MX269" s="66"/>
      <c r="MY269" s="66"/>
      <c r="MZ269" s="66"/>
      <c r="NA269" s="66"/>
      <c r="NB269" s="66"/>
      <c r="NC269" s="66"/>
      <c r="ND269" s="66"/>
      <c r="NE269" s="66"/>
      <c r="NF269" s="66"/>
      <c r="NG269" s="66"/>
      <c r="NH269" s="66"/>
      <c r="NI269" s="66"/>
      <c r="NJ269" s="66"/>
      <c r="NK269" s="66"/>
      <c r="NL269" s="66"/>
      <c r="NM269" s="66"/>
      <c r="NN269" s="66"/>
      <c r="NO269" s="66"/>
      <c r="NP269" s="66"/>
      <c r="NQ269" s="66"/>
      <c r="NR269" s="66"/>
      <c r="NS269" s="66"/>
      <c r="NT269" s="66"/>
      <c r="NU269" s="66"/>
      <c r="NV269" s="66"/>
      <c r="NW269" s="66"/>
      <c r="NX269" s="66"/>
      <c r="NY269" s="66"/>
      <c r="NZ269" s="66"/>
      <c r="OA269" s="66"/>
      <c r="OB269" s="66"/>
      <c r="OC269" s="66"/>
      <c r="OD269" s="66"/>
      <c r="OE269" s="66"/>
      <c r="OF269" s="66"/>
      <c r="OG269" s="66"/>
      <c r="OH269" s="66"/>
      <c r="OI269" s="66"/>
      <c r="OJ269" s="66"/>
      <c r="OK269" s="66"/>
      <c r="OL269" s="66"/>
      <c r="OM269" s="66"/>
      <c r="ON269" s="66"/>
      <c r="OO269" s="66"/>
      <c r="OP269" s="66"/>
      <c r="OQ269" s="66"/>
      <c r="OR269" s="66"/>
      <c r="OS269" s="66"/>
      <c r="OT269" s="66"/>
      <c r="OU269" s="66"/>
      <c r="OV269" s="66"/>
      <c r="OW269" s="66"/>
      <c r="OX269" s="66"/>
      <c r="OY269" s="66"/>
      <c r="OZ269" s="66"/>
      <c r="PA269" s="66"/>
      <c r="PB269" s="66"/>
      <c r="PC269" s="66"/>
      <c r="PD269" s="66"/>
      <c r="PE269" s="66"/>
      <c r="PF269" s="66"/>
      <c r="PG269" s="66"/>
      <c r="PH269" s="66"/>
      <c r="PI269" s="66"/>
      <c r="PJ269" s="66"/>
      <c r="PK269" s="66"/>
      <c r="PL269" s="66"/>
      <c r="PM269" s="66"/>
      <c r="PN269" s="66"/>
      <c r="PO269" s="66"/>
      <c r="PP269" s="66"/>
      <c r="PQ269" s="66"/>
      <c r="PR269" s="66"/>
      <c r="PS269" s="66"/>
      <c r="PT269" s="66"/>
      <c r="PU269" s="66"/>
      <c r="PV269" s="66"/>
      <c r="PW269" s="66"/>
      <c r="PX269" s="66"/>
      <c r="PY269" s="66"/>
      <c r="PZ269" s="66"/>
      <c r="QA269" s="66"/>
      <c r="QB269" s="66"/>
      <c r="QC269" s="66"/>
      <c r="QD269" s="66"/>
      <c r="QE269" s="66"/>
      <c r="QF269" s="66"/>
      <c r="QG269" s="66"/>
      <c r="QH269" s="66"/>
      <c r="QI269" s="66"/>
      <c r="QJ269" s="66"/>
      <c r="QK269" s="66"/>
      <c r="QL269" s="66"/>
      <c r="QM269" s="66"/>
      <c r="QN269" s="66"/>
      <c r="QO269" s="66"/>
      <c r="QP269" s="66"/>
      <c r="QQ269" s="66"/>
      <c r="QR269" s="66"/>
      <c r="QS269" s="66"/>
      <c r="QT269" s="66"/>
      <c r="QU269" s="66"/>
      <c r="QV269" s="66"/>
      <c r="QW269" s="66"/>
      <c r="QX269" s="66"/>
      <c r="QY269" s="66"/>
      <c r="QZ269" s="66"/>
      <c r="RA269" s="66"/>
      <c r="RB269" s="66"/>
      <c r="RC269" s="66"/>
      <c r="RD269" s="4"/>
    </row>
    <row r="270" spans="9:472" x14ac:dyDescent="0.25">
      <c r="I270" s="66"/>
      <c r="J270" s="66"/>
      <c r="K270" s="66"/>
      <c r="L270" s="66"/>
      <c r="M270" s="66"/>
      <c r="N270" s="66"/>
      <c r="O270" s="66"/>
      <c r="P270" s="66"/>
      <c r="Q270" s="66"/>
      <c r="R270" s="66"/>
      <c r="S270" s="66"/>
      <c r="T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c r="CY270" s="66"/>
      <c r="CZ270" s="66"/>
      <c r="DA270" s="66"/>
      <c r="DB270" s="66"/>
      <c r="DC270" s="66"/>
      <c r="DD270" s="66"/>
      <c r="DE270" s="66"/>
      <c r="DF270" s="66"/>
      <c r="DG270" s="66"/>
      <c r="DH270" s="66"/>
      <c r="DI270" s="66"/>
      <c r="DJ270" s="66"/>
      <c r="DK270" s="66"/>
      <c r="DL270" s="66"/>
      <c r="DM270" s="66"/>
      <c r="DN270" s="66"/>
      <c r="DO270" s="66"/>
      <c r="DP270" s="66"/>
      <c r="DQ270" s="66"/>
      <c r="DR270" s="66"/>
      <c r="DS270" s="66"/>
      <c r="DT270" s="66"/>
      <c r="DU270" s="66"/>
      <c r="DV270" s="66"/>
      <c r="DW270" s="66"/>
      <c r="DX270" s="66"/>
      <c r="DY270" s="66"/>
      <c r="DZ270" s="66"/>
      <c r="EA270" s="66"/>
      <c r="EB270" s="66"/>
      <c r="EC270" s="66"/>
      <c r="ED270" s="66"/>
      <c r="EE270" s="66"/>
      <c r="EF270" s="66"/>
      <c r="EG270" s="66"/>
      <c r="EH270" s="66"/>
      <c r="EI270" s="66"/>
      <c r="EJ270" s="66"/>
      <c r="EK270" s="66"/>
      <c r="EL270" s="66"/>
      <c r="EM270" s="66"/>
      <c r="EN270" s="66"/>
      <c r="EO270" s="66"/>
      <c r="EP270" s="66"/>
      <c r="EQ270" s="66"/>
      <c r="ER270" s="66"/>
      <c r="ES270" s="66"/>
      <c r="ET270" s="66"/>
      <c r="EU270" s="66"/>
      <c r="EV270" s="66"/>
      <c r="EW270" s="66"/>
      <c r="EX270" s="66"/>
      <c r="EY270" s="66"/>
      <c r="EZ270" s="66"/>
      <c r="FA270" s="66"/>
      <c r="FB270" s="66"/>
      <c r="FC270" s="66"/>
      <c r="FD270" s="66"/>
      <c r="FE270" s="66"/>
      <c r="FF270" s="66"/>
      <c r="FG270" s="66"/>
      <c r="FH270" s="66"/>
      <c r="FI270" s="66"/>
      <c r="FJ270" s="66"/>
      <c r="FK270" s="66"/>
      <c r="FL270" s="66"/>
      <c r="FM270" s="66"/>
      <c r="FN270" s="66"/>
      <c r="FO270" s="66"/>
      <c r="FP270" s="66"/>
      <c r="FQ270" s="66"/>
      <c r="FR270" s="66"/>
      <c r="FS270" s="66"/>
      <c r="FT270" s="66"/>
      <c r="FU270" s="66"/>
      <c r="FV270" s="66"/>
      <c r="FW270" s="66"/>
      <c r="FX270" s="66"/>
      <c r="FY270" s="66"/>
      <c r="FZ270" s="66"/>
      <c r="GA270" s="66"/>
      <c r="GB270" s="66"/>
      <c r="GC270" s="66"/>
      <c r="GD270" s="66"/>
      <c r="GE270" s="66"/>
      <c r="GF270" s="66"/>
      <c r="GG270" s="66"/>
      <c r="GH270" s="66"/>
      <c r="GI270" s="66"/>
      <c r="GJ270" s="66"/>
      <c r="GK270" s="66"/>
      <c r="GL270" s="66"/>
      <c r="GM270" s="66"/>
      <c r="GN270" s="66"/>
      <c r="GO270" s="66"/>
      <c r="GP270" s="66"/>
      <c r="GQ270" s="66"/>
      <c r="GR270" s="66"/>
      <c r="GS270" s="66"/>
      <c r="GT270" s="66"/>
      <c r="GU270" s="66"/>
      <c r="GV270" s="66"/>
      <c r="GW270" s="66"/>
      <c r="GX270" s="66"/>
      <c r="GY270" s="66"/>
      <c r="GZ270" s="66"/>
      <c r="HA270" s="66"/>
      <c r="HB270" s="66"/>
      <c r="HC270" s="66"/>
      <c r="HD270" s="66"/>
      <c r="HE270" s="66"/>
      <c r="HF270" s="66"/>
      <c r="HG270" s="66"/>
      <c r="HH270" s="66"/>
      <c r="HI270" s="66"/>
      <c r="HJ270" s="66"/>
      <c r="HK270" s="66"/>
      <c r="HL270" s="66"/>
      <c r="HM270" s="66"/>
      <c r="HN270" s="66"/>
      <c r="HO270" s="66"/>
      <c r="HP270" s="66"/>
      <c r="HQ270" s="66"/>
      <c r="HR270" s="66"/>
      <c r="HS270" s="66"/>
      <c r="HT270" s="66"/>
      <c r="HU270" s="66"/>
      <c r="HV270" s="66"/>
      <c r="HW270" s="66"/>
      <c r="HX270" s="66"/>
      <c r="HY270" s="66"/>
      <c r="HZ270" s="66"/>
      <c r="IA270" s="66"/>
      <c r="IB270" s="66"/>
      <c r="IC270" s="66"/>
      <c r="ID270" s="66"/>
      <c r="IE270" s="66"/>
      <c r="IF270" s="66"/>
      <c r="IG270" s="66"/>
      <c r="IH270" s="66"/>
      <c r="II270" s="66"/>
      <c r="IJ270" s="66"/>
      <c r="IK270" s="66"/>
      <c r="IL270" s="66"/>
      <c r="IM270" s="66"/>
      <c r="IN270" s="66"/>
      <c r="IO270" s="66"/>
      <c r="IP270" s="66"/>
      <c r="IQ270" s="66"/>
      <c r="IR270" s="66"/>
      <c r="IS270" s="66"/>
      <c r="IT270" s="66"/>
      <c r="IU270" s="66"/>
      <c r="IV270" s="66"/>
      <c r="IW270" s="66"/>
      <c r="IX270" s="66"/>
      <c r="IY270" s="66"/>
      <c r="IZ270" s="66"/>
      <c r="JA270" s="66"/>
      <c r="JB270" s="66"/>
      <c r="JC270" s="66"/>
      <c r="JD270" s="66"/>
      <c r="JE270" s="66"/>
      <c r="JF270" s="66"/>
      <c r="JG270" s="66"/>
      <c r="JH270" s="66"/>
      <c r="JI270" s="66"/>
      <c r="JJ270" s="66"/>
      <c r="JK270" s="66"/>
      <c r="JL270" s="66"/>
      <c r="JM270" s="66"/>
      <c r="JN270" s="66"/>
      <c r="JO270" s="66"/>
      <c r="JP270" s="66"/>
      <c r="JQ270" s="66"/>
      <c r="JR270" s="66"/>
      <c r="JS270" s="66"/>
      <c r="JT270" s="66"/>
      <c r="JU270" s="66"/>
      <c r="JV270" s="66"/>
      <c r="JW270" s="66"/>
      <c r="JX270" s="66"/>
      <c r="JY270" s="66"/>
      <c r="JZ270" s="66"/>
      <c r="KA270" s="66"/>
      <c r="KB270" s="66"/>
      <c r="KC270" s="66"/>
      <c r="KD270" s="66"/>
      <c r="KE270" s="66"/>
      <c r="KF270" s="66"/>
      <c r="KG270" s="66"/>
      <c r="KH270" s="66"/>
      <c r="KI270" s="66"/>
      <c r="KJ270" s="66"/>
      <c r="KK270" s="66"/>
      <c r="KL270" s="66"/>
      <c r="KM270" s="66"/>
      <c r="KN270" s="66"/>
      <c r="KO270" s="66"/>
      <c r="KP270" s="66"/>
      <c r="KQ270" s="66"/>
      <c r="KR270" s="66"/>
      <c r="KS270" s="66"/>
      <c r="KT270" s="66"/>
      <c r="KU270" s="66"/>
      <c r="KV270" s="66"/>
      <c r="KW270" s="66"/>
      <c r="KX270" s="66"/>
      <c r="KY270" s="66"/>
      <c r="KZ270" s="66"/>
      <c r="LA270" s="66"/>
      <c r="LB270" s="66"/>
      <c r="LC270" s="66"/>
      <c r="LD270" s="66"/>
      <c r="LE270" s="66"/>
      <c r="LF270" s="66"/>
      <c r="LG270" s="66"/>
      <c r="LH270" s="66"/>
      <c r="LI270" s="66"/>
      <c r="LJ270" s="66"/>
      <c r="LK270" s="66"/>
      <c r="LL270" s="66"/>
      <c r="LM270" s="66"/>
      <c r="LN270" s="66"/>
      <c r="LO270" s="66"/>
      <c r="LP270" s="66"/>
      <c r="LQ270" s="66"/>
      <c r="LR270" s="66"/>
      <c r="LS270" s="66"/>
      <c r="LT270" s="66"/>
      <c r="LU270" s="66"/>
      <c r="LV270" s="66"/>
      <c r="LW270" s="66"/>
      <c r="LX270" s="66"/>
      <c r="LY270" s="66"/>
      <c r="LZ270" s="66"/>
      <c r="MA270" s="66"/>
      <c r="MB270" s="66"/>
      <c r="MC270" s="66"/>
      <c r="MD270" s="66"/>
      <c r="ME270" s="66"/>
      <c r="MF270" s="66"/>
      <c r="MG270" s="66"/>
      <c r="MH270" s="66"/>
      <c r="MI270" s="66"/>
      <c r="MJ270" s="66"/>
      <c r="MK270" s="66"/>
      <c r="ML270" s="66"/>
      <c r="MM270" s="66"/>
      <c r="MN270" s="66"/>
      <c r="MO270" s="66"/>
      <c r="MP270" s="66"/>
      <c r="MQ270" s="66"/>
      <c r="MR270" s="66"/>
      <c r="MS270" s="66"/>
      <c r="MT270" s="66"/>
      <c r="MU270" s="66"/>
      <c r="MV270" s="66"/>
      <c r="MW270" s="66"/>
      <c r="MX270" s="66"/>
      <c r="MY270" s="66"/>
      <c r="MZ270" s="66"/>
      <c r="NA270" s="66"/>
      <c r="NB270" s="66"/>
      <c r="NC270" s="66"/>
      <c r="ND270" s="66"/>
      <c r="NE270" s="66"/>
      <c r="NF270" s="66"/>
      <c r="NG270" s="66"/>
      <c r="NH270" s="66"/>
      <c r="NI270" s="66"/>
      <c r="NJ270" s="66"/>
      <c r="NK270" s="66"/>
      <c r="NL270" s="66"/>
      <c r="NM270" s="66"/>
      <c r="NN270" s="66"/>
      <c r="NO270" s="66"/>
      <c r="NP270" s="66"/>
      <c r="NQ270" s="66"/>
      <c r="NR270" s="66"/>
      <c r="NS270" s="66"/>
      <c r="NT270" s="66"/>
      <c r="NU270" s="66"/>
      <c r="NV270" s="66"/>
      <c r="NW270" s="66"/>
      <c r="NX270" s="66"/>
      <c r="NY270" s="66"/>
      <c r="NZ270" s="66"/>
      <c r="OA270" s="66"/>
      <c r="OB270" s="66"/>
      <c r="OC270" s="66"/>
      <c r="OD270" s="66"/>
      <c r="OE270" s="66"/>
      <c r="OF270" s="66"/>
      <c r="OG270" s="66"/>
      <c r="OH270" s="66"/>
      <c r="OI270" s="66"/>
      <c r="OJ270" s="66"/>
      <c r="OK270" s="66"/>
      <c r="OL270" s="66"/>
      <c r="OM270" s="66"/>
      <c r="ON270" s="66"/>
      <c r="OO270" s="66"/>
      <c r="OP270" s="66"/>
      <c r="OQ270" s="66"/>
      <c r="OR270" s="66"/>
      <c r="OS270" s="66"/>
      <c r="OT270" s="66"/>
      <c r="OU270" s="66"/>
      <c r="OV270" s="66"/>
      <c r="OW270" s="66"/>
      <c r="OX270" s="66"/>
      <c r="OY270" s="66"/>
      <c r="OZ270" s="66"/>
      <c r="PA270" s="66"/>
      <c r="PB270" s="66"/>
      <c r="PC270" s="66"/>
      <c r="PD270" s="66"/>
      <c r="PE270" s="66"/>
      <c r="PF270" s="66"/>
      <c r="PG270" s="66"/>
      <c r="PH270" s="66"/>
      <c r="PI270" s="66"/>
      <c r="PJ270" s="66"/>
      <c r="PK270" s="66"/>
      <c r="PL270" s="66"/>
      <c r="PM270" s="66"/>
      <c r="PN270" s="66"/>
      <c r="PO270" s="66"/>
      <c r="PP270" s="66"/>
      <c r="PQ270" s="66"/>
      <c r="PR270" s="66"/>
      <c r="PS270" s="66"/>
      <c r="PT270" s="66"/>
      <c r="PU270" s="66"/>
      <c r="PV270" s="66"/>
      <c r="PW270" s="66"/>
      <c r="PX270" s="66"/>
      <c r="PY270" s="66"/>
      <c r="PZ270" s="66"/>
      <c r="QA270" s="66"/>
      <c r="QB270" s="66"/>
      <c r="QC270" s="66"/>
      <c r="QD270" s="66"/>
      <c r="QE270" s="66"/>
      <c r="QF270" s="66"/>
      <c r="QG270" s="66"/>
      <c r="QH270" s="66"/>
      <c r="QI270" s="66"/>
      <c r="QJ270" s="66"/>
      <c r="QK270" s="66"/>
      <c r="QL270" s="66"/>
      <c r="QM270" s="66"/>
      <c r="QN270" s="66"/>
      <c r="QO270" s="66"/>
      <c r="QP270" s="66"/>
      <c r="QQ270" s="66"/>
      <c r="QR270" s="66"/>
      <c r="QS270" s="66"/>
      <c r="QT270" s="66"/>
      <c r="QU270" s="66"/>
      <c r="QV270" s="66"/>
      <c r="QW270" s="66"/>
      <c r="QX270" s="66"/>
      <c r="QY270" s="66"/>
      <c r="QZ270" s="66"/>
      <c r="RA270" s="66"/>
      <c r="RB270" s="66"/>
      <c r="RC270" s="66"/>
      <c r="RD270" s="4"/>
    </row>
    <row r="271" spans="9:472" x14ac:dyDescent="0.25">
      <c r="I271" s="66"/>
      <c r="J271" s="66"/>
      <c r="K271" s="66"/>
      <c r="L271" s="66"/>
      <c r="M271" s="66"/>
      <c r="N271" s="66"/>
      <c r="O271" s="66"/>
      <c r="P271" s="66"/>
      <c r="Q271" s="66"/>
      <c r="R271" s="66"/>
      <c r="S271" s="66"/>
      <c r="T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c r="CY271" s="66"/>
      <c r="CZ271" s="66"/>
      <c r="DA271" s="66"/>
      <c r="DB271" s="66"/>
      <c r="DC271" s="66"/>
      <c r="DD271" s="66"/>
      <c r="DE271" s="66"/>
      <c r="DF271" s="66"/>
      <c r="DG271" s="66"/>
      <c r="DH271" s="66"/>
      <c r="DI271" s="66"/>
      <c r="DJ271" s="66"/>
      <c r="DK271" s="66"/>
      <c r="DL271" s="66"/>
      <c r="DM271" s="66"/>
      <c r="DN271" s="66"/>
      <c r="DO271" s="66"/>
      <c r="DP271" s="66"/>
      <c r="DQ271" s="66"/>
      <c r="DR271" s="66"/>
      <c r="DS271" s="66"/>
      <c r="DT271" s="66"/>
      <c r="DU271" s="66"/>
      <c r="DV271" s="66"/>
      <c r="DW271" s="66"/>
      <c r="DX271" s="66"/>
      <c r="DY271" s="66"/>
      <c r="DZ271" s="66"/>
      <c r="EA271" s="66"/>
      <c r="EB271" s="66"/>
      <c r="EC271" s="66"/>
      <c r="ED271" s="66"/>
      <c r="EE271" s="66"/>
      <c r="EF271" s="66"/>
      <c r="EG271" s="66"/>
      <c r="EH271" s="66"/>
      <c r="EI271" s="66"/>
      <c r="EJ271" s="66"/>
      <c r="EK271" s="66"/>
      <c r="EL271" s="66"/>
      <c r="EM271" s="66"/>
      <c r="EN271" s="66"/>
      <c r="EO271" s="66"/>
      <c r="EP271" s="66"/>
      <c r="EQ271" s="66"/>
      <c r="ER271" s="66"/>
      <c r="ES271" s="66"/>
      <c r="ET271" s="66"/>
      <c r="EU271" s="66"/>
      <c r="EV271" s="66"/>
      <c r="EW271" s="66"/>
      <c r="EX271" s="66"/>
      <c r="EY271" s="66"/>
      <c r="EZ271" s="66"/>
      <c r="FA271" s="66"/>
      <c r="FB271" s="66"/>
      <c r="FC271" s="66"/>
      <c r="FD271" s="66"/>
      <c r="FE271" s="66"/>
      <c r="FF271" s="66"/>
      <c r="FG271" s="66"/>
      <c r="FH271" s="66"/>
      <c r="FI271" s="66"/>
      <c r="FJ271" s="66"/>
      <c r="FK271" s="66"/>
      <c r="FL271" s="66"/>
      <c r="FM271" s="66"/>
      <c r="FN271" s="66"/>
      <c r="FO271" s="66"/>
      <c r="FP271" s="66"/>
      <c r="FQ271" s="66"/>
      <c r="FR271" s="66"/>
      <c r="FS271" s="66"/>
      <c r="FT271" s="66"/>
      <c r="FU271" s="66"/>
      <c r="FV271" s="66"/>
      <c r="FW271" s="66"/>
      <c r="FX271" s="66"/>
      <c r="FY271" s="66"/>
      <c r="FZ271" s="66"/>
      <c r="GA271" s="66"/>
      <c r="GB271" s="66"/>
      <c r="GC271" s="66"/>
      <c r="GD271" s="66"/>
      <c r="GE271" s="66"/>
      <c r="GF271" s="66"/>
      <c r="GG271" s="66"/>
      <c r="GH271" s="66"/>
      <c r="GI271" s="66"/>
      <c r="GJ271" s="66"/>
      <c r="GK271" s="66"/>
      <c r="GL271" s="66"/>
      <c r="GM271" s="66"/>
      <c r="GN271" s="66"/>
      <c r="GO271" s="66"/>
      <c r="GP271" s="66"/>
      <c r="GQ271" s="66"/>
      <c r="GR271" s="66"/>
      <c r="GS271" s="66"/>
      <c r="GT271" s="66"/>
      <c r="GU271" s="66"/>
      <c r="GV271" s="66"/>
      <c r="GW271" s="66"/>
      <c r="GX271" s="66"/>
      <c r="GY271" s="66"/>
      <c r="GZ271" s="66"/>
      <c r="HA271" s="66"/>
      <c r="HB271" s="66"/>
      <c r="HC271" s="66"/>
      <c r="HD271" s="66"/>
      <c r="HE271" s="66"/>
      <c r="HF271" s="66"/>
      <c r="HG271" s="66"/>
      <c r="HH271" s="66"/>
      <c r="HI271" s="66"/>
      <c r="HJ271" s="66"/>
      <c r="HK271" s="66"/>
      <c r="HL271" s="66"/>
      <c r="HM271" s="66"/>
      <c r="HN271" s="66"/>
      <c r="HO271" s="66"/>
      <c r="HP271" s="66"/>
      <c r="HQ271" s="66"/>
      <c r="HR271" s="66"/>
      <c r="HS271" s="66"/>
      <c r="HT271" s="66"/>
      <c r="HU271" s="66"/>
      <c r="HV271" s="66"/>
      <c r="HW271" s="66"/>
      <c r="HX271" s="66"/>
      <c r="HY271" s="66"/>
      <c r="HZ271" s="66"/>
      <c r="IA271" s="66"/>
      <c r="IB271" s="66"/>
      <c r="IC271" s="66"/>
      <c r="ID271" s="66"/>
      <c r="IE271" s="66"/>
      <c r="IF271" s="66"/>
      <c r="IG271" s="66"/>
      <c r="IH271" s="66"/>
      <c r="II271" s="66"/>
      <c r="IJ271" s="66"/>
      <c r="IK271" s="66"/>
      <c r="IL271" s="66"/>
      <c r="IM271" s="66"/>
      <c r="IN271" s="66"/>
      <c r="IO271" s="66"/>
      <c r="IP271" s="66"/>
      <c r="IQ271" s="66"/>
      <c r="IR271" s="66"/>
      <c r="IS271" s="66"/>
      <c r="IT271" s="66"/>
      <c r="IU271" s="66"/>
      <c r="IV271" s="66"/>
      <c r="IW271" s="66"/>
      <c r="IX271" s="66"/>
      <c r="IY271" s="66"/>
      <c r="IZ271" s="66"/>
      <c r="JA271" s="66"/>
      <c r="JB271" s="66"/>
      <c r="JC271" s="66"/>
      <c r="JD271" s="66"/>
      <c r="JE271" s="66"/>
      <c r="JF271" s="66"/>
      <c r="JG271" s="66"/>
      <c r="JH271" s="66"/>
      <c r="JI271" s="66"/>
      <c r="JJ271" s="66"/>
      <c r="JK271" s="66"/>
      <c r="JL271" s="66"/>
      <c r="JM271" s="66"/>
      <c r="JN271" s="66"/>
      <c r="JO271" s="66"/>
      <c r="JP271" s="66"/>
      <c r="JQ271" s="66"/>
      <c r="JR271" s="66"/>
      <c r="JS271" s="66"/>
      <c r="JT271" s="66"/>
      <c r="JU271" s="66"/>
      <c r="JV271" s="66"/>
      <c r="JW271" s="66"/>
      <c r="JX271" s="66"/>
      <c r="JY271" s="66"/>
      <c r="JZ271" s="66"/>
      <c r="KA271" s="66"/>
      <c r="KB271" s="66"/>
      <c r="KC271" s="66"/>
      <c r="KD271" s="66"/>
      <c r="KE271" s="66"/>
      <c r="KF271" s="66"/>
      <c r="KG271" s="66"/>
      <c r="KH271" s="66"/>
      <c r="KI271" s="66"/>
      <c r="KJ271" s="66"/>
      <c r="KK271" s="66"/>
      <c r="KL271" s="66"/>
      <c r="KM271" s="66"/>
      <c r="KN271" s="66"/>
      <c r="KO271" s="66"/>
      <c r="KP271" s="66"/>
      <c r="KQ271" s="66"/>
      <c r="KR271" s="66"/>
      <c r="KS271" s="66"/>
      <c r="KT271" s="66"/>
      <c r="KU271" s="66"/>
      <c r="KV271" s="66"/>
      <c r="KW271" s="66"/>
      <c r="KX271" s="66"/>
      <c r="KY271" s="66"/>
      <c r="KZ271" s="66"/>
      <c r="LA271" s="66"/>
      <c r="LB271" s="66"/>
      <c r="LC271" s="66"/>
      <c r="LD271" s="66"/>
      <c r="LE271" s="66"/>
      <c r="LF271" s="66"/>
      <c r="LG271" s="66"/>
      <c r="LH271" s="66"/>
      <c r="LI271" s="66"/>
      <c r="LJ271" s="66"/>
      <c r="LK271" s="66"/>
      <c r="LL271" s="66"/>
      <c r="LM271" s="66"/>
      <c r="LN271" s="66"/>
      <c r="LO271" s="66"/>
      <c r="LP271" s="66"/>
      <c r="LQ271" s="66"/>
      <c r="LR271" s="66"/>
      <c r="LS271" s="66"/>
      <c r="LT271" s="66"/>
      <c r="LU271" s="66"/>
      <c r="LV271" s="66"/>
      <c r="LW271" s="66"/>
      <c r="LX271" s="66"/>
      <c r="LY271" s="66"/>
      <c r="LZ271" s="66"/>
      <c r="MA271" s="66"/>
      <c r="MB271" s="66"/>
      <c r="MC271" s="66"/>
      <c r="MD271" s="66"/>
      <c r="ME271" s="66"/>
      <c r="MF271" s="66"/>
      <c r="MG271" s="66"/>
      <c r="MH271" s="66"/>
      <c r="MI271" s="66"/>
      <c r="MJ271" s="66"/>
      <c r="MK271" s="66"/>
      <c r="ML271" s="66"/>
      <c r="MM271" s="66"/>
      <c r="MN271" s="66"/>
      <c r="MO271" s="66"/>
      <c r="MP271" s="66"/>
      <c r="MQ271" s="66"/>
      <c r="MR271" s="66"/>
      <c r="MS271" s="66"/>
      <c r="MT271" s="66"/>
      <c r="MU271" s="66"/>
      <c r="MV271" s="66"/>
      <c r="MW271" s="66"/>
      <c r="MX271" s="66"/>
      <c r="MY271" s="66"/>
      <c r="MZ271" s="66"/>
      <c r="NA271" s="66"/>
      <c r="NB271" s="66"/>
      <c r="NC271" s="66"/>
      <c r="ND271" s="66"/>
      <c r="NE271" s="66"/>
      <c r="NF271" s="66"/>
      <c r="NG271" s="66"/>
      <c r="NH271" s="66"/>
      <c r="NI271" s="66"/>
      <c r="NJ271" s="66"/>
      <c r="NK271" s="66"/>
      <c r="NL271" s="66"/>
      <c r="NM271" s="66"/>
      <c r="NN271" s="66"/>
      <c r="NO271" s="66"/>
      <c r="NP271" s="66"/>
      <c r="NQ271" s="66"/>
      <c r="NR271" s="66"/>
      <c r="NS271" s="66"/>
      <c r="NT271" s="66"/>
      <c r="NU271" s="66"/>
      <c r="NV271" s="66"/>
      <c r="NW271" s="66"/>
      <c r="NX271" s="66"/>
      <c r="NY271" s="66"/>
      <c r="NZ271" s="66"/>
      <c r="OA271" s="66"/>
      <c r="OB271" s="66"/>
      <c r="OC271" s="66"/>
      <c r="OD271" s="66"/>
      <c r="OE271" s="66"/>
      <c r="OF271" s="66"/>
      <c r="OG271" s="66"/>
      <c r="OH271" s="66"/>
      <c r="OI271" s="66"/>
      <c r="OJ271" s="66"/>
      <c r="OK271" s="66"/>
      <c r="OL271" s="66"/>
      <c r="OM271" s="66"/>
      <c r="ON271" s="66"/>
      <c r="OO271" s="66"/>
      <c r="OP271" s="66"/>
      <c r="OQ271" s="66"/>
      <c r="OR271" s="66"/>
      <c r="OS271" s="66"/>
      <c r="OT271" s="66"/>
      <c r="OU271" s="66"/>
      <c r="OV271" s="66"/>
      <c r="OW271" s="66"/>
      <c r="OX271" s="66"/>
      <c r="OY271" s="66"/>
      <c r="OZ271" s="66"/>
      <c r="PA271" s="66"/>
      <c r="PB271" s="66"/>
      <c r="PC271" s="66"/>
      <c r="PD271" s="66"/>
      <c r="PE271" s="66"/>
      <c r="PF271" s="66"/>
      <c r="PG271" s="66"/>
      <c r="PH271" s="66"/>
      <c r="PI271" s="66"/>
      <c r="PJ271" s="66"/>
      <c r="PK271" s="66"/>
      <c r="PL271" s="66"/>
      <c r="PM271" s="66"/>
      <c r="PN271" s="66"/>
      <c r="PO271" s="66"/>
      <c r="PP271" s="66"/>
      <c r="PQ271" s="66"/>
      <c r="PR271" s="66"/>
      <c r="PS271" s="66"/>
      <c r="PT271" s="66"/>
      <c r="PU271" s="66"/>
      <c r="PV271" s="66"/>
      <c r="PW271" s="66"/>
      <c r="PX271" s="66"/>
      <c r="PY271" s="66"/>
      <c r="PZ271" s="66"/>
      <c r="QA271" s="66"/>
      <c r="QB271" s="66"/>
      <c r="QC271" s="66"/>
      <c r="QD271" s="66"/>
      <c r="QE271" s="66"/>
      <c r="QF271" s="66"/>
      <c r="QG271" s="66"/>
      <c r="QH271" s="66"/>
      <c r="QI271" s="66"/>
      <c r="QJ271" s="66"/>
      <c r="QK271" s="66"/>
      <c r="QL271" s="66"/>
      <c r="QM271" s="66"/>
      <c r="QN271" s="66"/>
      <c r="QO271" s="66"/>
      <c r="QP271" s="66"/>
      <c r="QQ271" s="66"/>
      <c r="QR271" s="66"/>
      <c r="QS271" s="66"/>
      <c r="QT271" s="66"/>
      <c r="QU271" s="66"/>
      <c r="QV271" s="66"/>
      <c r="QW271" s="66"/>
      <c r="QX271" s="66"/>
      <c r="QY271" s="66"/>
      <c r="QZ271" s="66"/>
      <c r="RA271" s="66"/>
      <c r="RB271" s="66"/>
      <c r="RC271" s="66"/>
      <c r="RD271" s="4"/>
    </row>
    <row r="272" spans="9:472" x14ac:dyDescent="0.25">
      <c r="I272" s="66"/>
      <c r="J272" s="66"/>
      <c r="K272" s="66"/>
      <c r="L272" s="66"/>
      <c r="M272" s="66"/>
      <c r="N272" s="66"/>
      <c r="O272" s="66"/>
      <c r="P272" s="66"/>
      <c r="Q272" s="66"/>
      <c r="R272" s="66"/>
      <c r="S272" s="66"/>
      <c r="T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c r="CY272" s="66"/>
      <c r="CZ272" s="66"/>
      <c r="DA272" s="66"/>
      <c r="DB272" s="66"/>
      <c r="DC272" s="66"/>
      <c r="DD272" s="66"/>
      <c r="DE272" s="66"/>
      <c r="DF272" s="66"/>
      <c r="DG272" s="66"/>
      <c r="DH272" s="66"/>
      <c r="DI272" s="66"/>
      <c r="DJ272" s="66"/>
      <c r="DK272" s="66"/>
      <c r="DL272" s="66"/>
      <c r="DM272" s="66"/>
      <c r="DN272" s="66"/>
      <c r="DO272" s="66"/>
      <c r="DP272" s="66"/>
      <c r="DQ272" s="66"/>
      <c r="DR272" s="66"/>
      <c r="DS272" s="66"/>
      <c r="DT272" s="66"/>
      <c r="DU272" s="66"/>
      <c r="DV272" s="66"/>
      <c r="DW272" s="66"/>
      <c r="DX272" s="66"/>
      <c r="DY272" s="66"/>
      <c r="DZ272" s="66"/>
      <c r="EA272" s="66"/>
      <c r="EB272" s="66"/>
      <c r="EC272" s="66"/>
      <c r="ED272" s="66"/>
      <c r="EE272" s="66"/>
      <c r="EF272" s="66"/>
      <c r="EG272" s="66"/>
      <c r="EH272" s="66"/>
      <c r="EI272" s="66"/>
      <c r="EJ272" s="66"/>
      <c r="EK272" s="66"/>
      <c r="EL272" s="66"/>
      <c r="EM272" s="66"/>
      <c r="EN272" s="66"/>
      <c r="EO272" s="66"/>
      <c r="EP272" s="66"/>
      <c r="EQ272" s="66"/>
      <c r="ER272" s="66"/>
      <c r="ES272" s="66"/>
      <c r="ET272" s="66"/>
      <c r="EU272" s="66"/>
      <c r="EV272" s="66"/>
      <c r="EW272" s="66"/>
      <c r="EX272" s="66"/>
      <c r="EY272" s="66"/>
      <c r="EZ272" s="66"/>
      <c r="FA272" s="66"/>
      <c r="FB272" s="66"/>
      <c r="FC272" s="66"/>
      <c r="FD272" s="66"/>
      <c r="FE272" s="66"/>
      <c r="FF272" s="66"/>
      <c r="FG272" s="66"/>
      <c r="FH272" s="66"/>
      <c r="FI272" s="66"/>
      <c r="FJ272" s="66"/>
      <c r="FK272" s="66"/>
      <c r="FL272" s="66"/>
      <c r="FM272" s="66"/>
      <c r="FN272" s="66"/>
      <c r="FO272" s="66"/>
      <c r="FP272" s="66"/>
      <c r="FQ272" s="66"/>
      <c r="FR272" s="66"/>
      <c r="FS272" s="66"/>
      <c r="FT272" s="66"/>
      <c r="FU272" s="66"/>
      <c r="FV272" s="66"/>
      <c r="FW272" s="66"/>
      <c r="FX272" s="66"/>
      <c r="FY272" s="66"/>
      <c r="FZ272" s="66"/>
      <c r="GA272" s="66"/>
      <c r="GB272" s="66"/>
      <c r="GC272" s="66"/>
      <c r="GD272" s="66"/>
      <c r="GE272" s="66"/>
      <c r="GF272" s="66"/>
      <c r="GG272" s="66"/>
      <c r="GH272" s="66"/>
      <c r="GI272" s="66"/>
      <c r="GJ272" s="66"/>
      <c r="GK272" s="66"/>
      <c r="GL272" s="66"/>
      <c r="GM272" s="66"/>
      <c r="GN272" s="66"/>
      <c r="GO272" s="66"/>
      <c r="GP272" s="66"/>
      <c r="GQ272" s="66"/>
      <c r="GR272" s="66"/>
      <c r="GS272" s="66"/>
      <c r="GT272" s="66"/>
      <c r="GU272" s="66"/>
      <c r="GV272" s="66"/>
      <c r="GW272" s="66"/>
      <c r="GX272" s="66"/>
      <c r="GY272" s="66"/>
      <c r="GZ272" s="66"/>
      <c r="HA272" s="66"/>
      <c r="HB272" s="66"/>
      <c r="HC272" s="66"/>
      <c r="HD272" s="66"/>
      <c r="HE272" s="66"/>
      <c r="HF272" s="66"/>
      <c r="HG272" s="66"/>
      <c r="HH272" s="66"/>
      <c r="HI272" s="66"/>
      <c r="HJ272" s="66"/>
      <c r="HK272" s="66"/>
      <c r="HL272" s="66"/>
      <c r="HM272" s="66"/>
      <c r="HN272" s="66"/>
      <c r="HO272" s="66"/>
      <c r="HP272" s="66"/>
      <c r="HQ272" s="66"/>
      <c r="HR272" s="66"/>
      <c r="HS272" s="66"/>
      <c r="HT272" s="66"/>
      <c r="HU272" s="66"/>
      <c r="HV272" s="66"/>
      <c r="HW272" s="66"/>
      <c r="HX272" s="66"/>
      <c r="HY272" s="66"/>
      <c r="HZ272" s="66"/>
      <c r="IA272" s="66"/>
      <c r="IB272" s="66"/>
      <c r="IC272" s="66"/>
      <c r="ID272" s="66"/>
      <c r="IE272" s="66"/>
      <c r="IF272" s="66"/>
      <c r="IG272" s="66"/>
      <c r="IH272" s="66"/>
      <c r="II272" s="66"/>
      <c r="IJ272" s="66"/>
      <c r="IK272" s="66"/>
      <c r="IL272" s="66"/>
      <c r="IM272" s="66"/>
      <c r="IN272" s="66"/>
      <c r="IO272" s="66"/>
      <c r="IP272" s="66"/>
      <c r="IQ272" s="66"/>
      <c r="IR272" s="66"/>
      <c r="IS272" s="66"/>
      <c r="IT272" s="66"/>
      <c r="IU272" s="66"/>
      <c r="IV272" s="66"/>
      <c r="IW272" s="66"/>
      <c r="IX272" s="66"/>
      <c r="IY272" s="66"/>
      <c r="IZ272" s="66"/>
      <c r="JA272" s="66"/>
      <c r="JB272" s="66"/>
      <c r="JC272" s="66"/>
      <c r="JD272" s="66"/>
      <c r="JE272" s="66"/>
      <c r="JF272" s="66"/>
      <c r="JG272" s="66"/>
      <c r="JH272" s="66"/>
      <c r="JI272" s="66"/>
      <c r="JJ272" s="66"/>
      <c r="JK272" s="66"/>
      <c r="JL272" s="66"/>
      <c r="JM272" s="66"/>
      <c r="JN272" s="66"/>
      <c r="JO272" s="66"/>
      <c r="JP272" s="66"/>
      <c r="JQ272" s="66"/>
      <c r="JR272" s="66"/>
      <c r="JS272" s="66"/>
      <c r="JT272" s="66"/>
      <c r="JU272" s="66"/>
      <c r="JV272" s="66"/>
      <c r="JW272" s="66"/>
      <c r="JX272" s="66"/>
      <c r="JY272" s="66"/>
      <c r="JZ272" s="66"/>
      <c r="KA272" s="66"/>
      <c r="KB272" s="66"/>
      <c r="KC272" s="66"/>
      <c r="KD272" s="66"/>
      <c r="KE272" s="66"/>
      <c r="KF272" s="66"/>
      <c r="KG272" s="66"/>
      <c r="KH272" s="66"/>
      <c r="KI272" s="66"/>
      <c r="KJ272" s="66"/>
      <c r="KK272" s="66"/>
      <c r="KL272" s="66"/>
      <c r="KM272" s="66"/>
      <c r="KN272" s="66"/>
      <c r="KO272" s="66"/>
      <c r="KP272" s="66"/>
      <c r="KQ272" s="66"/>
      <c r="KR272" s="66"/>
      <c r="KS272" s="66"/>
      <c r="KT272" s="66"/>
      <c r="KU272" s="66"/>
      <c r="KV272" s="66"/>
      <c r="KW272" s="66"/>
      <c r="KX272" s="66"/>
      <c r="KY272" s="66"/>
      <c r="KZ272" s="66"/>
      <c r="LA272" s="66"/>
      <c r="LB272" s="66"/>
      <c r="LC272" s="66"/>
      <c r="LD272" s="66"/>
      <c r="LE272" s="66"/>
      <c r="LF272" s="66"/>
      <c r="LG272" s="66"/>
      <c r="LH272" s="66"/>
      <c r="LI272" s="66"/>
      <c r="LJ272" s="66"/>
      <c r="LK272" s="66"/>
      <c r="LL272" s="66"/>
      <c r="LM272" s="66"/>
      <c r="LN272" s="66"/>
      <c r="LO272" s="66"/>
      <c r="LP272" s="66"/>
      <c r="LQ272" s="66"/>
      <c r="LR272" s="66"/>
      <c r="LS272" s="66"/>
      <c r="LT272" s="66"/>
      <c r="LU272" s="66"/>
      <c r="LV272" s="66"/>
      <c r="LW272" s="66"/>
      <c r="LX272" s="66"/>
      <c r="LY272" s="66"/>
      <c r="LZ272" s="66"/>
      <c r="MA272" s="66"/>
      <c r="MB272" s="66"/>
      <c r="MC272" s="66"/>
      <c r="MD272" s="66"/>
      <c r="ME272" s="66"/>
      <c r="MF272" s="66"/>
      <c r="MG272" s="66"/>
      <c r="MH272" s="66"/>
      <c r="MI272" s="66"/>
      <c r="MJ272" s="66"/>
      <c r="MK272" s="66"/>
      <c r="ML272" s="66"/>
      <c r="MM272" s="66"/>
      <c r="MN272" s="66"/>
      <c r="MO272" s="66"/>
      <c r="MP272" s="66"/>
      <c r="MQ272" s="66"/>
      <c r="MR272" s="66"/>
      <c r="MS272" s="66"/>
      <c r="MT272" s="66"/>
      <c r="MU272" s="66"/>
      <c r="MV272" s="66"/>
      <c r="MW272" s="66"/>
      <c r="MX272" s="66"/>
      <c r="MY272" s="66"/>
      <c r="MZ272" s="66"/>
      <c r="NA272" s="66"/>
      <c r="NB272" s="66"/>
      <c r="NC272" s="66"/>
      <c r="ND272" s="66"/>
      <c r="NE272" s="66"/>
      <c r="NF272" s="66"/>
      <c r="NG272" s="66"/>
      <c r="NH272" s="66"/>
      <c r="NI272" s="66"/>
      <c r="NJ272" s="66"/>
      <c r="NK272" s="66"/>
      <c r="NL272" s="66"/>
      <c r="NM272" s="66"/>
      <c r="NN272" s="66"/>
      <c r="NO272" s="66"/>
      <c r="NP272" s="66"/>
      <c r="NQ272" s="66"/>
      <c r="NR272" s="66"/>
      <c r="NS272" s="66"/>
      <c r="NT272" s="66"/>
      <c r="NU272" s="66"/>
      <c r="NV272" s="66"/>
      <c r="NW272" s="66"/>
      <c r="NX272" s="66"/>
      <c r="NY272" s="66"/>
      <c r="NZ272" s="66"/>
      <c r="OA272" s="66"/>
      <c r="OB272" s="66"/>
      <c r="OC272" s="66"/>
      <c r="OD272" s="66"/>
      <c r="OE272" s="66"/>
      <c r="OF272" s="66"/>
      <c r="OG272" s="66"/>
      <c r="OH272" s="66"/>
      <c r="OI272" s="66"/>
      <c r="OJ272" s="66"/>
      <c r="OK272" s="66"/>
      <c r="OL272" s="66"/>
      <c r="OM272" s="66"/>
      <c r="ON272" s="66"/>
      <c r="OO272" s="66"/>
      <c r="OP272" s="66"/>
      <c r="OQ272" s="66"/>
      <c r="OR272" s="66"/>
      <c r="OS272" s="66"/>
      <c r="OT272" s="66"/>
      <c r="OU272" s="66"/>
      <c r="OV272" s="66"/>
      <c r="OW272" s="66"/>
      <c r="OX272" s="66"/>
      <c r="OY272" s="66"/>
      <c r="OZ272" s="66"/>
      <c r="PA272" s="66"/>
      <c r="PB272" s="66"/>
      <c r="PC272" s="66"/>
      <c r="PD272" s="66"/>
      <c r="PE272" s="66"/>
      <c r="PF272" s="66"/>
      <c r="PG272" s="66"/>
      <c r="PH272" s="66"/>
      <c r="PI272" s="66"/>
      <c r="PJ272" s="66"/>
      <c r="PK272" s="66"/>
      <c r="PL272" s="66"/>
      <c r="PM272" s="66"/>
      <c r="PN272" s="66"/>
      <c r="PO272" s="66"/>
      <c r="PP272" s="66"/>
      <c r="PQ272" s="66"/>
      <c r="PR272" s="66"/>
      <c r="PS272" s="66"/>
      <c r="PT272" s="66"/>
      <c r="PU272" s="66"/>
      <c r="PV272" s="66"/>
      <c r="PW272" s="66"/>
      <c r="PX272" s="66"/>
      <c r="PY272" s="66"/>
      <c r="PZ272" s="66"/>
      <c r="QA272" s="66"/>
      <c r="QB272" s="66"/>
      <c r="QC272" s="66"/>
      <c r="QD272" s="66"/>
      <c r="QE272" s="66"/>
      <c r="QF272" s="66"/>
      <c r="QG272" s="66"/>
      <c r="QH272" s="66"/>
      <c r="QI272" s="66"/>
      <c r="QJ272" s="66"/>
      <c r="QK272" s="66"/>
      <c r="QL272" s="66"/>
      <c r="QM272" s="66"/>
      <c r="QN272" s="66"/>
      <c r="QO272" s="66"/>
      <c r="QP272" s="66"/>
      <c r="QQ272" s="66"/>
      <c r="QR272" s="66"/>
      <c r="QS272" s="66"/>
      <c r="QT272" s="66"/>
      <c r="QU272" s="66"/>
      <c r="QV272" s="66"/>
      <c r="QW272" s="66"/>
      <c r="QX272" s="66"/>
      <c r="QY272" s="66"/>
      <c r="QZ272" s="66"/>
      <c r="RA272" s="66"/>
      <c r="RB272" s="66"/>
      <c r="RC272" s="66"/>
      <c r="RD272" s="4"/>
    </row>
    <row r="273" spans="9:472" x14ac:dyDescent="0.25">
      <c r="I273" s="66"/>
      <c r="J273" s="66"/>
      <c r="K273" s="66"/>
      <c r="L273" s="66"/>
      <c r="M273" s="66"/>
      <c r="N273" s="66"/>
      <c r="O273" s="66"/>
      <c r="P273" s="66"/>
      <c r="Q273" s="66"/>
      <c r="R273" s="66"/>
      <c r="S273" s="66"/>
      <c r="T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c r="CY273" s="66"/>
      <c r="CZ273" s="66"/>
      <c r="DA273" s="66"/>
      <c r="DB273" s="66"/>
      <c r="DC273" s="66"/>
      <c r="DD273" s="66"/>
      <c r="DE273" s="66"/>
      <c r="DF273" s="66"/>
      <c r="DG273" s="66"/>
      <c r="DH273" s="66"/>
      <c r="DI273" s="66"/>
      <c r="DJ273" s="66"/>
      <c r="DK273" s="66"/>
      <c r="DL273" s="66"/>
      <c r="DM273" s="66"/>
      <c r="DN273" s="66"/>
      <c r="DO273" s="66"/>
      <c r="DP273" s="66"/>
      <c r="DQ273" s="66"/>
      <c r="DR273" s="66"/>
      <c r="DS273" s="66"/>
      <c r="DT273" s="66"/>
      <c r="DU273" s="66"/>
      <c r="DV273" s="66"/>
      <c r="DW273" s="66"/>
      <c r="DX273" s="66"/>
      <c r="DY273" s="66"/>
      <c r="DZ273" s="66"/>
      <c r="EA273" s="66"/>
      <c r="EB273" s="66"/>
      <c r="EC273" s="66"/>
      <c r="ED273" s="66"/>
      <c r="EE273" s="66"/>
      <c r="EF273" s="66"/>
      <c r="EG273" s="66"/>
      <c r="EH273" s="66"/>
      <c r="EI273" s="66"/>
      <c r="EJ273" s="66"/>
      <c r="EK273" s="66"/>
      <c r="EL273" s="66"/>
      <c r="EM273" s="66"/>
      <c r="EN273" s="66"/>
      <c r="EO273" s="66"/>
      <c r="EP273" s="66"/>
      <c r="EQ273" s="66"/>
      <c r="ER273" s="66"/>
      <c r="ES273" s="66"/>
      <c r="ET273" s="66"/>
      <c r="EU273" s="66"/>
      <c r="EV273" s="66"/>
      <c r="EW273" s="66"/>
      <c r="EX273" s="66"/>
      <c r="EY273" s="66"/>
      <c r="EZ273" s="66"/>
      <c r="FA273" s="66"/>
      <c r="FB273" s="66"/>
      <c r="FC273" s="66"/>
      <c r="FD273" s="66"/>
      <c r="FE273" s="66"/>
      <c r="FF273" s="66"/>
      <c r="FG273" s="66"/>
      <c r="FH273" s="66"/>
      <c r="FI273" s="66"/>
      <c r="FJ273" s="66"/>
      <c r="FK273" s="66"/>
      <c r="FL273" s="66"/>
      <c r="FM273" s="66"/>
      <c r="FN273" s="66"/>
      <c r="FO273" s="66"/>
      <c r="FP273" s="66"/>
      <c r="FQ273" s="66"/>
      <c r="FR273" s="66"/>
      <c r="FS273" s="66"/>
      <c r="FT273" s="66"/>
      <c r="FU273" s="66"/>
      <c r="FV273" s="66"/>
      <c r="FW273" s="66"/>
      <c r="FX273" s="66"/>
      <c r="FY273" s="66"/>
      <c r="FZ273" s="66"/>
      <c r="GA273" s="66"/>
      <c r="GB273" s="66"/>
      <c r="GC273" s="66"/>
      <c r="GD273" s="66"/>
      <c r="GE273" s="66"/>
      <c r="GF273" s="66"/>
      <c r="GG273" s="66"/>
      <c r="GH273" s="66"/>
      <c r="GI273" s="66"/>
      <c r="GJ273" s="66"/>
      <c r="GK273" s="66"/>
      <c r="GL273" s="66"/>
      <c r="GM273" s="66"/>
      <c r="GN273" s="66"/>
      <c r="GO273" s="66"/>
      <c r="GP273" s="66"/>
      <c r="GQ273" s="66"/>
      <c r="GR273" s="66"/>
      <c r="GS273" s="66"/>
      <c r="GT273" s="66"/>
      <c r="GU273" s="66"/>
      <c r="GV273" s="66"/>
      <c r="GW273" s="66"/>
      <c r="GX273" s="66"/>
      <c r="GY273" s="66"/>
      <c r="GZ273" s="66"/>
      <c r="HA273" s="66"/>
      <c r="HB273" s="66"/>
      <c r="HC273" s="66"/>
      <c r="HD273" s="66"/>
      <c r="HE273" s="66"/>
      <c r="HF273" s="66"/>
      <c r="HG273" s="66"/>
      <c r="HH273" s="66"/>
      <c r="HI273" s="66"/>
      <c r="HJ273" s="66"/>
      <c r="HK273" s="66"/>
      <c r="HL273" s="66"/>
      <c r="HM273" s="66"/>
      <c r="HN273" s="66"/>
      <c r="HO273" s="66"/>
      <c r="HP273" s="66"/>
      <c r="HQ273" s="66"/>
      <c r="HR273" s="66"/>
      <c r="HS273" s="66"/>
      <c r="HT273" s="66"/>
      <c r="HU273" s="66"/>
      <c r="HV273" s="66"/>
      <c r="HW273" s="66"/>
      <c r="HX273" s="66"/>
      <c r="HY273" s="66"/>
      <c r="HZ273" s="66"/>
      <c r="IA273" s="66"/>
      <c r="IB273" s="66"/>
      <c r="IC273" s="66"/>
      <c r="ID273" s="66"/>
      <c r="IE273" s="66"/>
      <c r="IF273" s="66"/>
      <c r="IG273" s="66"/>
      <c r="IH273" s="66"/>
      <c r="II273" s="66"/>
      <c r="IJ273" s="66"/>
      <c r="IK273" s="66"/>
      <c r="IL273" s="66"/>
      <c r="IM273" s="66"/>
      <c r="IN273" s="66"/>
      <c r="IO273" s="66"/>
      <c r="IP273" s="66"/>
      <c r="IQ273" s="66"/>
      <c r="IR273" s="66"/>
      <c r="IS273" s="66"/>
      <c r="IT273" s="66"/>
      <c r="IU273" s="66"/>
      <c r="IV273" s="66"/>
      <c r="IW273" s="66"/>
      <c r="IX273" s="66"/>
      <c r="IY273" s="66"/>
      <c r="IZ273" s="66"/>
      <c r="JA273" s="66"/>
      <c r="JB273" s="66"/>
      <c r="JC273" s="66"/>
      <c r="JD273" s="66"/>
      <c r="JE273" s="66"/>
      <c r="JF273" s="66"/>
      <c r="JG273" s="66"/>
      <c r="JH273" s="66"/>
      <c r="JI273" s="66"/>
      <c r="JJ273" s="66"/>
      <c r="JK273" s="66"/>
      <c r="JL273" s="66"/>
      <c r="JM273" s="66"/>
      <c r="JN273" s="66"/>
      <c r="JO273" s="66"/>
      <c r="JP273" s="66"/>
      <c r="JQ273" s="66"/>
      <c r="JR273" s="66"/>
      <c r="JS273" s="66"/>
      <c r="JT273" s="66"/>
      <c r="JU273" s="66"/>
      <c r="JV273" s="66"/>
      <c r="JW273" s="66"/>
      <c r="JX273" s="66"/>
      <c r="JY273" s="66"/>
      <c r="JZ273" s="66"/>
      <c r="KA273" s="66"/>
      <c r="KB273" s="66"/>
      <c r="KC273" s="66"/>
      <c r="KD273" s="66"/>
      <c r="KE273" s="66"/>
      <c r="KF273" s="66"/>
      <c r="KG273" s="66"/>
      <c r="KH273" s="66"/>
      <c r="KI273" s="66"/>
      <c r="KJ273" s="66"/>
      <c r="KK273" s="66"/>
      <c r="KL273" s="66"/>
      <c r="KM273" s="66"/>
      <c r="KN273" s="66"/>
      <c r="KO273" s="66"/>
      <c r="KP273" s="66"/>
      <c r="KQ273" s="66"/>
      <c r="KR273" s="66"/>
      <c r="KS273" s="66"/>
      <c r="KT273" s="66"/>
      <c r="KU273" s="66"/>
      <c r="KV273" s="66"/>
      <c r="KW273" s="66"/>
      <c r="KX273" s="66"/>
      <c r="KY273" s="66"/>
      <c r="KZ273" s="66"/>
      <c r="LA273" s="66"/>
      <c r="LB273" s="66"/>
      <c r="LC273" s="66"/>
      <c r="LD273" s="66"/>
      <c r="LE273" s="66"/>
      <c r="LF273" s="66"/>
      <c r="LG273" s="66"/>
      <c r="LH273" s="66"/>
      <c r="LI273" s="66"/>
      <c r="LJ273" s="66"/>
      <c r="LK273" s="66"/>
      <c r="LL273" s="66"/>
      <c r="LM273" s="66"/>
      <c r="LN273" s="66"/>
      <c r="LO273" s="66"/>
      <c r="LP273" s="66"/>
      <c r="LQ273" s="66"/>
      <c r="LR273" s="66"/>
      <c r="LS273" s="66"/>
      <c r="LT273" s="66"/>
      <c r="LU273" s="66"/>
      <c r="LV273" s="66"/>
      <c r="LW273" s="66"/>
      <c r="LX273" s="66"/>
      <c r="LY273" s="66"/>
      <c r="LZ273" s="66"/>
      <c r="MA273" s="66"/>
      <c r="MB273" s="66"/>
      <c r="MC273" s="66"/>
      <c r="MD273" s="66"/>
      <c r="ME273" s="66"/>
      <c r="MF273" s="66"/>
      <c r="MG273" s="66"/>
      <c r="MH273" s="66"/>
      <c r="MI273" s="66"/>
      <c r="MJ273" s="66"/>
      <c r="MK273" s="66"/>
      <c r="ML273" s="66"/>
      <c r="MM273" s="66"/>
      <c r="MN273" s="66"/>
      <c r="MO273" s="66"/>
      <c r="MP273" s="66"/>
      <c r="MQ273" s="66"/>
      <c r="MR273" s="66"/>
      <c r="MS273" s="66"/>
      <c r="MT273" s="66"/>
      <c r="MU273" s="66"/>
      <c r="MV273" s="66"/>
      <c r="MW273" s="66"/>
      <c r="MX273" s="66"/>
      <c r="MY273" s="66"/>
      <c r="MZ273" s="66"/>
      <c r="NA273" s="66"/>
      <c r="NB273" s="66"/>
      <c r="NC273" s="66"/>
      <c r="ND273" s="66"/>
      <c r="NE273" s="66"/>
      <c r="NF273" s="66"/>
      <c r="NG273" s="66"/>
      <c r="NH273" s="66"/>
      <c r="NI273" s="66"/>
      <c r="NJ273" s="66"/>
      <c r="NK273" s="66"/>
      <c r="NL273" s="66"/>
      <c r="NM273" s="66"/>
      <c r="NN273" s="66"/>
      <c r="NO273" s="66"/>
      <c r="NP273" s="66"/>
      <c r="NQ273" s="66"/>
      <c r="NR273" s="66"/>
      <c r="NS273" s="66"/>
      <c r="NT273" s="66"/>
      <c r="NU273" s="66"/>
      <c r="NV273" s="66"/>
      <c r="NW273" s="66"/>
      <c r="NX273" s="66"/>
      <c r="NY273" s="66"/>
      <c r="NZ273" s="66"/>
      <c r="OA273" s="66"/>
      <c r="OB273" s="66"/>
      <c r="OC273" s="66"/>
      <c r="OD273" s="66"/>
      <c r="OE273" s="66"/>
      <c r="OF273" s="66"/>
      <c r="OG273" s="66"/>
      <c r="OH273" s="66"/>
      <c r="OI273" s="66"/>
      <c r="OJ273" s="66"/>
      <c r="OK273" s="66"/>
      <c r="OL273" s="66"/>
      <c r="OM273" s="66"/>
      <c r="ON273" s="66"/>
      <c r="OO273" s="66"/>
      <c r="OP273" s="66"/>
      <c r="OQ273" s="66"/>
      <c r="OR273" s="66"/>
      <c r="OS273" s="66"/>
      <c r="OT273" s="66"/>
      <c r="OU273" s="66"/>
      <c r="OV273" s="66"/>
      <c r="OW273" s="66"/>
      <c r="OX273" s="66"/>
      <c r="OY273" s="66"/>
      <c r="OZ273" s="66"/>
      <c r="PA273" s="66"/>
      <c r="PB273" s="66"/>
      <c r="PC273" s="66"/>
      <c r="PD273" s="66"/>
      <c r="PE273" s="66"/>
      <c r="PF273" s="66"/>
      <c r="PG273" s="66"/>
      <c r="PH273" s="66"/>
      <c r="PI273" s="66"/>
      <c r="PJ273" s="66"/>
      <c r="PK273" s="66"/>
      <c r="PL273" s="66"/>
      <c r="PM273" s="66"/>
      <c r="PN273" s="66"/>
      <c r="PO273" s="66"/>
      <c r="PP273" s="66"/>
      <c r="PQ273" s="66"/>
      <c r="PR273" s="66"/>
      <c r="PS273" s="66"/>
      <c r="PT273" s="66"/>
      <c r="PU273" s="66"/>
      <c r="PV273" s="66"/>
      <c r="PW273" s="66"/>
      <c r="PX273" s="66"/>
      <c r="PY273" s="66"/>
      <c r="PZ273" s="66"/>
      <c r="QA273" s="66"/>
      <c r="QB273" s="66"/>
      <c r="QC273" s="66"/>
      <c r="QD273" s="66"/>
      <c r="QE273" s="66"/>
      <c r="QF273" s="66"/>
      <c r="QG273" s="66"/>
      <c r="QH273" s="66"/>
      <c r="QI273" s="66"/>
      <c r="QJ273" s="66"/>
      <c r="QK273" s="66"/>
      <c r="QL273" s="66"/>
      <c r="QM273" s="66"/>
      <c r="QN273" s="66"/>
      <c r="QO273" s="66"/>
      <c r="QP273" s="66"/>
      <c r="QQ273" s="66"/>
      <c r="QR273" s="66"/>
      <c r="QS273" s="66"/>
      <c r="QT273" s="66"/>
      <c r="QU273" s="66"/>
      <c r="QV273" s="66"/>
      <c r="QW273" s="66"/>
      <c r="QX273" s="66"/>
      <c r="QY273" s="66"/>
      <c r="QZ273" s="66"/>
      <c r="RA273" s="66"/>
      <c r="RB273" s="66"/>
      <c r="RC273" s="66"/>
      <c r="RD273" s="4"/>
    </row>
    <row r="274" spans="9:472" x14ac:dyDescent="0.25">
      <c r="I274" s="66"/>
      <c r="J274" s="66"/>
      <c r="K274" s="66"/>
      <c r="L274" s="66"/>
      <c r="M274" s="66"/>
      <c r="N274" s="66"/>
      <c r="O274" s="66"/>
      <c r="P274" s="66"/>
      <c r="Q274" s="66"/>
      <c r="R274" s="66"/>
      <c r="S274" s="66"/>
      <c r="T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c r="CY274" s="66"/>
      <c r="CZ274" s="66"/>
      <c r="DA274" s="66"/>
      <c r="DB274" s="66"/>
      <c r="DC274" s="66"/>
      <c r="DD274" s="66"/>
      <c r="DE274" s="66"/>
      <c r="DF274" s="66"/>
      <c r="DG274" s="66"/>
      <c r="DH274" s="66"/>
      <c r="DI274" s="66"/>
      <c r="DJ274" s="66"/>
      <c r="DK274" s="66"/>
      <c r="DL274" s="66"/>
      <c r="DM274" s="66"/>
      <c r="DN274" s="66"/>
      <c r="DO274" s="66"/>
      <c r="DP274" s="66"/>
      <c r="DQ274" s="66"/>
      <c r="DR274" s="66"/>
      <c r="DS274" s="66"/>
      <c r="DT274" s="66"/>
      <c r="DU274" s="66"/>
      <c r="DV274" s="66"/>
      <c r="DW274" s="66"/>
      <c r="DX274" s="66"/>
      <c r="DY274" s="66"/>
      <c r="DZ274" s="66"/>
      <c r="EA274" s="66"/>
      <c r="EB274" s="66"/>
      <c r="EC274" s="66"/>
      <c r="ED274" s="66"/>
      <c r="EE274" s="66"/>
      <c r="EF274" s="66"/>
      <c r="EG274" s="66"/>
      <c r="EH274" s="66"/>
      <c r="EI274" s="66"/>
      <c r="EJ274" s="66"/>
      <c r="EK274" s="66"/>
      <c r="EL274" s="66"/>
      <c r="EM274" s="66"/>
      <c r="EN274" s="66"/>
      <c r="EO274" s="66"/>
      <c r="EP274" s="66"/>
      <c r="EQ274" s="66"/>
      <c r="ER274" s="66"/>
      <c r="ES274" s="66"/>
      <c r="ET274" s="66"/>
      <c r="EU274" s="66"/>
      <c r="EV274" s="66"/>
      <c r="EW274" s="66"/>
      <c r="EX274" s="66"/>
      <c r="EY274" s="66"/>
      <c r="EZ274" s="66"/>
      <c r="FA274" s="66"/>
      <c r="FB274" s="66"/>
      <c r="FC274" s="66"/>
      <c r="FD274" s="66"/>
      <c r="FE274" s="66"/>
      <c r="FF274" s="66"/>
      <c r="FG274" s="66"/>
      <c r="FH274" s="66"/>
      <c r="FI274" s="66"/>
      <c r="FJ274" s="66"/>
      <c r="FK274" s="66"/>
      <c r="FL274" s="66"/>
      <c r="FM274" s="66"/>
      <c r="FN274" s="66"/>
      <c r="FO274" s="66"/>
      <c r="FP274" s="66"/>
      <c r="FQ274" s="66"/>
      <c r="FR274" s="66"/>
      <c r="FS274" s="66"/>
      <c r="FT274" s="66"/>
      <c r="FU274" s="66"/>
      <c r="FV274" s="66"/>
      <c r="FW274" s="66"/>
      <c r="FX274" s="66"/>
      <c r="FY274" s="66"/>
      <c r="FZ274" s="66"/>
      <c r="GA274" s="66"/>
      <c r="GB274" s="66"/>
      <c r="GC274" s="66"/>
      <c r="GD274" s="66"/>
      <c r="GE274" s="66"/>
      <c r="GF274" s="66"/>
      <c r="GG274" s="66"/>
      <c r="GH274" s="66"/>
      <c r="GI274" s="66"/>
      <c r="GJ274" s="66"/>
      <c r="GK274" s="66"/>
      <c r="GL274" s="66"/>
      <c r="GM274" s="66"/>
      <c r="GN274" s="66"/>
      <c r="GO274" s="66"/>
      <c r="GP274" s="66"/>
      <c r="GQ274" s="66"/>
      <c r="GR274" s="66"/>
      <c r="GS274" s="66"/>
      <c r="GT274" s="66"/>
      <c r="GU274" s="66"/>
      <c r="GV274" s="66"/>
      <c r="GW274" s="66"/>
      <c r="GX274" s="66"/>
      <c r="GY274" s="66"/>
      <c r="GZ274" s="66"/>
      <c r="HA274" s="66"/>
      <c r="HB274" s="66"/>
      <c r="HC274" s="66"/>
      <c r="HD274" s="66"/>
      <c r="HE274" s="66"/>
      <c r="HF274" s="66"/>
      <c r="HG274" s="66"/>
      <c r="HH274" s="66"/>
      <c r="HI274" s="66"/>
      <c r="HJ274" s="66"/>
      <c r="HK274" s="66"/>
      <c r="HL274" s="66"/>
      <c r="HM274" s="66"/>
      <c r="HN274" s="66"/>
      <c r="HO274" s="66"/>
      <c r="HP274" s="66"/>
      <c r="HQ274" s="66"/>
      <c r="HR274" s="66"/>
      <c r="HS274" s="66"/>
      <c r="HT274" s="66"/>
      <c r="HU274" s="66"/>
      <c r="HV274" s="66"/>
      <c r="HW274" s="66"/>
      <c r="HX274" s="66"/>
      <c r="HY274" s="66"/>
      <c r="HZ274" s="66"/>
      <c r="IA274" s="66"/>
      <c r="IB274" s="66"/>
      <c r="IC274" s="66"/>
      <c r="ID274" s="66"/>
      <c r="IE274" s="66"/>
      <c r="IF274" s="66"/>
      <c r="IG274" s="66"/>
      <c r="IH274" s="66"/>
      <c r="II274" s="66"/>
      <c r="IJ274" s="66"/>
      <c r="IK274" s="66"/>
      <c r="IL274" s="66"/>
      <c r="IM274" s="66"/>
      <c r="IN274" s="66"/>
      <c r="IO274" s="66"/>
      <c r="IP274" s="66"/>
      <c r="IQ274" s="66"/>
      <c r="IR274" s="66"/>
      <c r="IS274" s="66"/>
      <c r="IT274" s="66"/>
      <c r="IU274" s="66"/>
      <c r="IV274" s="66"/>
      <c r="IW274" s="66"/>
      <c r="IX274" s="66"/>
      <c r="IY274" s="66"/>
      <c r="IZ274" s="66"/>
      <c r="JA274" s="66"/>
      <c r="JB274" s="66"/>
      <c r="JC274" s="66"/>
      <c r="JD274" s="66"/>
      <c r="JE274" s="66"/>
      <c r="JF274" s="66"/>
      <c r="JG274" s="66"/>
      <c r="JH274" s="66"/>
      <c r="JI274" s="66"/>
      <c r="JJ274" s="66"/>
      <c r="JK274" s="66"/>
      <c r="JL274" s="66"/>
      <c r="JM274" s="66"/>
      <c r="JN274" s="66"/>
      <c r="JO274" s="66"/>
      <c r="JP274" s="66"/>
      <c r="JQ274" s="66"/>
      <c r="JR274" s="66"/>
      <c r="JS274" s="66"/>
      <c r="JT274" s="66"/>
      <c r="JU274" s="66"/>
      <c r="JV274" s="66"/>
      <c r="JW274" s="66"/>
      <c r="JX274" s="66"/>
      <c r="JY274" s="66"/>
      <c r="JZ274" s="66"/>
      <c r="KA274" s="66"/>
      <c r="KB274" s="66"/>
      <c r="KC274" s="66"/>
      <c r="KD274" s="66"/>
      <c r="KE274" s="66"/>
      <c r="KF274" s="66"/>
      <c r="KG274" s="66"/>
      <c r="KH274" s="66"/>
      <c r="KI274" s="66"/>
      <c r="KJ274" s="66"/>
      <c r="KK274" s="66"/>
      <c r="KL274" s="66"/>
      <c r="KM274" s="66"/>
      <c r="KN274" s="66"/>
      <c r="KO274" s="66"/>
      <c r="KP274" s="66"/>
      <c r="KQ274" s="66"/>
      <c r="KR274" s="66"/>
      <c r="KS274" s="66"/>
      <c r="KT274" s="66"/>
      <c r="KU274" s="66"/>
      <c r="KV274" s="66"/>
      <c r="KW274" s="66"/>
      <c r="KX274" s="66"/>
      <c r="KY274" s="66"/>
      <c r="KZ274" s="66"/>
      <c r="LA274" s="66"/>
      <c r="LB274" s="66"/>
      <c r="LC274" s="66"/>
      <c r="LD274" s="66"/>
      <c r="LE274" s="66"/>
      <c r="LF274" s="66"/>
      <c r="LG274" s="66"/>
      <c r="LH274" s="66"/>
      <c r="LI274" s="66"/>
      <c r="LJ274" s="66"/>
      <c r="LK274" s="66"/>
      <c r="LL274" s="66"/>
      <c r="LM274" s="66"/>
      <c r="LN274" s="66"/>
      <c r="LO274" s="66"/>
      <c r="LP274" s="66"/>
      <c r="LQ274" s="66"/>
      <c r="LR274" s="66"/>
      <c r="LS274" s="66"/>
      <c r="LT274" s="66"/>
      <c r="LU274" s="66"/>
      <c r="LV274" s="66"/>
      <c r="LW274" s="66"/>
      <c r="LX274" s="66"/>
      <c r="LY274" s="66"/>
      <c r="LZ274" s="66"/>
      <c r="MA274" s="66"/>
      <c r="MB274" s="66"/>
      <c r="MC274" s="66"/>
      <c r="MD274" s="66"/>
      <c r="ME274" s="66"/>
      <c r="MF274" s="66"/>
      <c r="MG274" s="66"/>
      <c r="MH274" s="66"/>
      <c r="MI274" s="66"/>
      <c r="MJ274" s="66"/>
      <c r="MK274" s="66"/>
      <c r="ML274" s="66"/>
      <c r="MM274" s="66"/>
      <c r="MN274" s="66"/>
      <c r="MO274" s="66"/>
      <c r="MP274" s="66"/>
      <c r="MQ274" s="66"/>
      <c r="MR274" s="66"/>
      <c r="MS274" s="66"/>
      <c r="MT274" s="66"/>
      <c r="MU274" s="66"/>
      <c r="MV274" s="66"/>
      <c r="MW274" s="66"/>
      <c r="MX274" s="66"/>
      <c r="MY274" s="66"/>
      <c r="MZ274" s="66"/>
      <c r="NA274" s="66"/>
      <c r="NB274" s="66"/>
      <c r="NC274" s="66"/>
      <c r="ND274" s="66"/>
      <c r="NE274" s="66"/>
      <c r="NF274" s="66"/>
      <c r="NG274" s="66"/>
      <c r="NH274" s="66"/>
      <c r="NI274" s="66"/>
      <c r="NJ274" s="66"/>
      <c r="NK274" s="66"/>
      <c r="NL274" s="66"/>
      <c r="NM274" s="66"/>
      <c r="NN274" s="66"/>
      <c r="NO274" s="66"/>
      <c r="NP274" s="66"/>
      <c r="NQ274" s="66"/>
      <c r="NR274" s="66"/>
      <c r="NS274" s="66"/>
      <c r="NT274" s="66"/>
      <c r="NU274" s="66"/>
      <c r="NV274" s="66"/>
      <c r="NW274" s="66"/>
      <c r="NX274" s="66"/>
      <c r="NY274" s="66"/>
      <c r="NZ274" s="66"/>
      <c r="OA274" s="66"/>
      <c r="OB274" s="66"/>
      <c r="OC274" s="66"/>
      <c r="OD274" s="66"/>
      <c r="OE274" s="66"/>
      <c r="OF274" s="66"/>
      <c r="OG274" s="66"/>
      <c r="OH274" s="66"/>
      <c r="OI274" s="66"/>
      <c r="OJ274" s="66"/>
      <c r="OK274" s="66"/>
      <c r="OL274" s="66"/>
      <c r="OM274" s="66"/>
      <c r="ON274" s="66"/>
      <c r="OO274" s="66"/>
      <c r="OP274" s="66"/>
      <c r="OQ274" s="66"/>
      <c r="OR274" s="66"/>
      <c r="OS274" s="66"/>
      <c r="OT274" s="66"/>
      <c r="OU274" s="66"/>
      <c r="OV274" s="66"/>
      <c r="OW274" s="66"/>
      <c r="OX274" s="66"/>
      <c r="OY274" s="66"/>
      <c r="OZ274" s="66"/>
      <c r="PA274" s="66"/>
      <c r="PB274" s="66"/>
      <c r="PC274" s="66"/>
      <c r="PD274" s="66"/>
      <c r="PE274" s="66"/>
      <c r="PF274" s="66"/>
      <c r="PG274" s="66"/>
      <c r="PH274" s="66"/>
      <c r="PI274" s="66"/>
      <c r="PJ274" s="66"/>
      <c r="PK274" s="66"/>
      <c r="PL274" s="66"/>
      <c r="PM274" s="66"/>
      <c r="PN274" s="66"/>
      <c r="PO274" s="66"/>
      <c r="PP274" s="66"/>
      <c r="PQ274" s="66"/>
      <c r="PR274" s="66"/>
      <c r="PS274" s="66"/>
      <c r="PT274" s="66"/>
      <c r="PU274" s="66"/>
      <c r="PV274" s="66"/>
      <c r="PW274" s="66"/>
      <c r="PX274" s="66"/>
      <c r="PY274" s="66"/>
      <c r="PZ274" s="66"/>
      <c r="QA274" s="66"/>
      <c r="QB274" s="66"/>
      <c r="QC274" s="66"/>
      <c r="QD274" s="66"/>
      <c r="QE274" s="66"/>
      <c r="QF274" s="66"/>
      <c r="QG274" s="66"/>
      <c r="QH274" s="66"/>
      <c r="QI274" s="66"/>
      <c r="QJ274" s="66"/>
      <c r="QK274" s="66"/>
      <c r="QL274" s="66"/>
      <c r="QM274" s="66"/>
      <c r="QN274" s="66"/>
      <c r="QO274" s="66"/>
      <c r="QP274" s="66"/>
      <c r="QQ274" s="66"/>
      <c r="QR274" s="66"/>
      <c r="QS274" s="66"/>
      <c r="QT274" s="66"/>
      <c r="QU274" s="66"/>
      <c r="QV274" s="66"/>
      <c r="QW274" s="66"/>
      <c r="QX274" s="66"/>
      <c r="QY274" s="66"/>
      <c r="QZ274" s="66"/>
      <c r="RA274" s="66"/>
      <c r="RB274" s="66"/>
      <c r="RC274" s="66"/>
      <c r="RD274" s="4"/>
    </row>
    <row r="275" spans="9:472" x14ac:dyDescent="0.25">
      <c r="I275" s="66"/>
      <c r="J275" s="66"/>
      <c r="K275" s="66"/>
      <c r="L275" s="66"/>
      <c r="M275" s="66"/>
      <c r="N275" s="66"/>
      <c r="O275" s="66"/>
      <c r="P275" s="66"/>
      <c r="Q275" s="66"/>
      <c r="R275" s="66"/>
      <c r="S275" s="66"/>
      <c r="T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c r="CY275" s="66"/>
      <c r="CZ275" s="66"/>
      <c r="DA275" s="66"/>
      <c r="DB275" s="66"/>
      <c r="DC275" s="66"/>
      <c r="DD275" s="66"/>
      <c r="DE275" s="66"/>
      <c r="DF275" s="66"/>
      <c r="DG275" s="66"/>
      <c r="DH275" s="66"/>
      <c r="DI275" s="66"/>
      <c r="DJ275" s="66"/>
      <c r="DK275" s="66"/>
      <c r="DL275" s="66"/>
      <c r="DM275" s="66"/>
      <c r="DN275" s="66"/>
      <c r="DO275" s="66"/>
      <c r="DP275" s="66"/>
      <c r="DQ275" s="66"/>
      <c r="DR275" s="66"/>
      <c r="DS275" s="66"/>
      <c r="DT275" s="66"/>
      <c r="DU275" s="66"/>
      <c r="DV275" s="66"/>
      <c r="DW275" s="66"/>
      <c r="DX275" s="66"/>
      <c r="DY275" s="66"/>
      <c r="DZ275" s="66"/>
      <c r="EA275" s="66"/>
      <c r="EB275" s="66"/>
      <c r="EC275" s="66"/>
      <c r="ED275" s="66"/>
      <c r="EE275" s="66"/>
      <c r="EF275" s="66"/>
      <c r="EG275" s="66"/>
      <c r="EH275" s="66"/>
      <c r="EI275" s="66"/>
      <c r="EJ275" s="66"/>
      <c r="EK275" s="66"/>
      <c r="EL275" s="66"/>
      <c r="EM275" s="66"/>
      <c r="EN275" s="66"/>
      <c r="EO275" s="66"/>
      <c r="EP275" s="66"/>
      <c r="EQ275" s="66"/>
      <c r="ER275" s="66"/>
      <c r="ES275" s="66"/>
      <c r="ET275" s="66"/>
      <c r="EU275" s="66"/>
      <c r="EV275" s="66"/>
      <c r="EW275" s="66"/>
      <c r="EX275" s="66"/>
      <c r="EY275" s="66"/>
      <c r="EZ275" s="66"/>
      <c r="FA275" s="66"/>
      <c r="FB275" s="66"/>
      <c r="FC275" s="66"/>
      <c r="FD275" s="66"/>
      <c r="FE275" s="66"/>
      <c r="FF275" s="66"/>
      <c r="FG275" s="66"/>
      <c r="FH275" s="66"/>
      <c r="FI275" s="66"/>
      <c r="FJ275" s="66"/>
      <c r="FK275" s="66"/>
      <c r="FL275" s="66"/>
      <c r="FM275" s="66"/>
      <c r="FN275" s="66"/>
      <c r="FO275" s="66"/>
      <c r="FP275" s="66"/>
      <c r="FQ275" s="66"/>
      <c r="FR275" s="66"/>
      <c r="FS275" s="66"/>
      <c r="FT275" s="66"/>
      <c r="FU275" s="66"/>
      <c r="FV275" s="66"/>
      <c r="FW275" s="66"/>
      <c r="FX275" s="66"/>
      <c r="FY275" s="66"/>
      <c r="FZ275" s="66"/>
      <c r="GA275" s="66"/>
      <c r="GB275" s="66"/>
      <c r="GC275" s="66"/>
      <c r="GD275" s="66"/>
      <c r="GE275" s="66"/>
      <c r="GF275" s="66"/>
      <c r="GG275" s="66"/>
      <c r="GH275" s="66"/>
      <c r="GI275" s="66"/>
      <c r="GJ275" s="66"/>
      <c r="GK275" s="66"/>
      <c r="GL275" s="66"/>
      <c r="GM275" s="66"/>
      <c r="GN275" s="66"/>
      <c r="GO275" s="66"/>
      <c r="GP275" s="66"/>
      <c r="GQ275" s="66"/>
      <c r="GR275" s="66"/>
      <c r="GS275" s="66"/>
      <c r="GT275" s="66"/>
      <c r="GU275" s="66"/>
      <c r="GV275" s="66"/>
      <c r="GW275" s="66"/>
      <c r="GX275" s="66"/>
      <c r="GY275" s="66"/>
      <c r="GZ275" s="66"/>
      <c r="HA275" s="66"/>
      <c r="HB275" s="66"/>
      <c r="HC275" s="66"/>
      <c r="HD275" s="66"/>
      <c r="HE275" s="66"/>
      <c r="HF275" s="66"/>
      <c r="HG275" s="66"/>
      <c r="HH275" s="66"/>
      <c r="HI275" s="66"/>
      <c r="HJ275" s="66"/>
      <c r="HK275" s="66"/>
      <c r="HL275" s="66"/>
      <c r="HM275" s="66"/>
      <c r="HN275" s="66"/>
      <c r="HO275" s="66"/>
      <c r="HP275" s="66"/>
      <c r="HQ275" s="66"/>
      <c r="HR275" s="66"/>
      <c r="HS275" s="66"/>
      <c r="HT275" s="66"/>
      <c r="HU275" s="66"/>
      <c r="HV275" s="66"/>
      <c r="HW275" s="66"/>
      <c r="HX275" s="66"/>
      <c r="HY275" s="66"/>
      <c r="HZ275" s="66"/>
      <c r="IA275" s="66"/>
      <c r="IB275" s="66"/>
      <c r="IC275" s="66"/>
      <c r="ID275" s="66"/>
      <c r="IE275" s="66"/>
      <c r="IF275" s="66"/>
      <c r="IG275" s="66"/>
      <c r="IH275" s="66"/>
      <c r="II275" s="66"/>
      <c r="IJ275" s="66"/>
      <c r="IK275" s="66"/>
      <c r="IL275" s="66"/>
      <c r="IM275" s="66"/>
      <c r="IN275" s="66"/>
      <c r="IO275" s="66"/>
      <c r="IP275" s="66"/>
      <c r="IQ275" s="66"/>
      <c r="IR275" s="66"/>
      <c r="IS275" s="66"/>
      <c r="IT275" s="66"/>
      <c r="IU275" s="66"/>
      <c r="IV275" s="66"/>
      <c r="IW275" s="66"/>
      <c r="IX275" s="66"/>
      <c r="IY275" s="66"/>
      <c r="IZ275" s="66"/>
      <c r="JA275" s="66"/>
      <c r="JB275" s="66"/>
      <c r="JC275" s="66"/>
      <c r="JD275" s="66"/>
      <c r="JE275" s="66"/>
      <c r="JF275" s="66"/>
      <c r="JG275" s="66"/>
      <c r="JH275" s="66"/>
      <c r="JI275" s="66"/>
      <c r="JJ275" s="66"/>
      <c r="JK275" s="66"/>
      <c r="JL275" s="66"/>
      <c r="JM275" s="66"/>
      <c r="JN275" s="66"/>
      <c r="JO275" s="66"/>
      <c r="JP275" s="66"/>
      <c r="JQ275" s="66"/>
      <c r="JR275" s="66"/>
      <c r="JS275" s="66"/>
      <c r="JT275" s="66"/>
      <c r="JU275" s="66"/>
      <c r="JV275" s="66"/>
      <c r="JW275" s="66"/>
      <c r="JX275" s="66"/>
      <c r="JY275" s="66"/>
      <c r="JZ275" s="66"/>
      <c r="KA275" s="66"/>
      <c r="KB275" s="66"/>
      <c r="KC275" s="66"/>
      <c r="KD275" s="66"/>
      <c r="KE275" s="66"/>
      <c r="KF275" s="66"/>
      <c r="KG275" s="66"/>
      <c r="KH275" s="66"/>
      <c r="KI275" s="66"/>
      <c r="KJ275" s="66"/>
      <c r="KK275" s="66"/>
      <c r="KL275" s="66"/>
      <c r="KM275" s="66"/>
      <c r="KN275" s="66"/>
      <c r="KO275" s="66"/>
      <c r="KP275" s="66"/>
      <c r="KQ275" s="66"/>
      <c r="KR275" s="66"/>
      <c r="KS275" s="66"/>
      <c r="KT275" s="66"/>
      <c r="KU275" s="66"/>
      <c r="KV275" s="66"/>
      <c r="KW275" s="66"/>
      <c r="KX275" s="66"/>
      <c r="KY275" s="66"/>
      <c r="KZ275" s="66"/>
      <c r="LA275" s="66"/>
      <c r="LB275" s="66"/>
      <c r="LC275" s="66"/>
      <c r="LD275" s="66"/>
      <c r="LE275" s="66"/>
      <c r="LF275" s="66"/>
      <c r="LG275" s="66"/>
      <c r="LH275" s="66"/>
      <c r="LI275" s="66"/>
      <c r="LJ275" s="66"/>
      <c r="LK275" s="66"/>
      <c r="LL275" s="66"/>
      <c r="LM275" s="66"/>
      <c r="LN275" s="66"/>
      <c r="LO275" s="66"/>
      <c r="LP275" s="66"/>
      <c r="LQ275" s="66"/>
      <c r="LR275" s="66"/>
      <c r="LS275" s="66"/>
      <c r="LT275" s="66"/>
      <c r="LU275" s="66"/>
      <c r="LV275" s="66"/>
      <c r="LW275" s="66"/>
      <c r="LX275" s="66"/>
      <c r="LY275" s="66"/>
      <c r="LZ275" s="66"/>
      <c r="MA275" s="66"/>
      <c r="MB275" s="66"/>
      <c r="MC275" s="66"/>
      <c r="MD275" s="66"/>
      <c r="ME275" s="66"/>
      <c r="MF275" s="66"/>
      <c r="MG275" s="66"/>
      <c r="MH275" s="66"/>
      <c r="MI275" s="66"/>
      <c r="MJ275" s="66"/>
      <c r="MK275" s="66"/>
      <c r="ML275" s="66"/>
      <c r="MM275" s="66"/>
      <c r="MN275" s="66"/>
      <c r="MO275" s="66"/>
      <c r="MP275" s="66"/>
      <c r="MQ275" s="66"/>
      <c r="MR275" s="66"/>
      <c r="MS275" s="66"/>
      <c r="MT275" s="66"/>
      <c r="MU275" s="66"/>
      <c r="MV275" s="66"/>
      <c r="MW275" s="66"/>
      <c r="MX275" s="66"/>
      <c r="MY275" s="66"/>
      <c r="MZ275" s="66"/>
      <c r="NA275" s="66"/>
      <c r="NB275" s="66"/>
      <c r="NC275" s="66"/>
      <c r="ND275" s="66"/>
      <c r="NE275" s="66"/>
      <c r="NF275" s="66"/>
      <c r="NG275" s="66"/>
      <c r="NH275" s="66"/>
      <c r="NI275" s="66"/>
      <c r="NJ275" s="66"/>
      <c r="NK275" s="66"/>
      <c r="NL275" s="66"/>
      <c r="NM275" s="66"/>
      <c r="NN275" s="66"/>
      <c r="NO275" s="66"/>
      <c r="NP275" s="66"/>
      <c r="NQ275" s="66"/>
      <c r="NR275" s="66"/>
      <c r="NS275" s="66"/>
      <c r="NT275" s="66"/>
      <c r="NU275" s="66"/>
      <c r="NV275" s="66"/>
      <c r="NW275" s="66"/>
      <c r="NX275" s="66"/>
      <c r="NY275" s="66"/>
      <c r="NZ275" s="66"/>
      <c r="OA275" s="66"/>
      <c r="OB275" s="66"/>
      <c r="OC275" s="66"/>
      <c r="OD275" s="66"/>
      <c r="OE275" s="66"/>
      <c r="OF275" s="66"/>
      <c r="OG275" s="66"/>
      <c r="OH275" s="66"/>
      <c r="OI275" s="66"/>
      <c r="OJ275" s="66"/>
      <c r="OK275" s="66"/>
      <c r="OL275" s="66"/>
      <c r="OM275" s="66"/>
      <c r="ON275" s="66"/>
      <c r="OO275" s="66"/>
      <c r="OP275" s="66"/>
      <c r="OQ275" s="66"/>
      <c r="OR275" s="66"/>
      <c r="OS275" s="66"/>
      <c r="OT275" s="66"/>
      <c r="OU275" s="66"/>
      <c r="OV275" s="66"/>
      <c r="OW275" s="66"/>
      <c r="OX275" s="66"/>
      <c r="OY275" s="66"/>
      <c r="OZ275" s="66"/>
      <c r="PA275" s="66"/>
      <c r="PB275" s="66"/>
      <c r="PC275" s="66"/>
      <c r="PD275" s="66"/>
      <c r="PE275" s="66"/>
      <c r="PF275" s="66"/>
      <c r="PG275" s="66"/>
      <c r="PH275" s="66"/>
      <c r="PI275" s="66"/>
      <c r="PJ275" s="66"/>
      <c r="PK275" s="66"/>
      <c r="PL275" s="66"/>
      <c r="PM275" s="66"/>
      <c r="PN275" s="66"/>
      <c r="PO275" s="66"/>
      <c r="PP275" s="66"/>
      <c r="PQ275" s="66"/>
      <c r="PR275" s="66"/>
      <c r="PS275" s="66"/>
      <c r="PT275" s="66"/>
      <c r="PU275" s="66"/>
      <c r="PV275" s="66"/>
      <c r="PW275" s="66"/>
      <c r="PX275" s="66"/>
      <c r="PY275" s="66"/>
      <c r="PZ275" s="66"/>
      <c r="QA275" s="66"/>
      <c r="QB275" s="66"/>
      <c r="QC275" s="66"/>
      <c r="QD275" s="66"/>
      <c r="QE275" s="66"/>
      <c r="QF275" s="66"/>
      <c r="QG275" s="66"/>
      <c r="QH275" s="66"/>
      <c r="QI275" s="66"/>
      <c r="QJ275" s="66"/>
      <c r="QK275" s="66"/>
      <c r="QL275" s="66"/>
      <c r="QM275" s="66"/>
      <c r="QN275" s="66"/>
      <c r="QO275" s="66"/>
      <c r="QP275" s="66"/>
      <c r="QQ275" s="66"/>
      <c r="QR275" s="66"/>
      <c r="QS275" s="66"/>
      <c r="QT275" s="66"/>
      <c r="QU275" s="66"/>
      <c r="QV275" s="66"/>
      <c r="QW275" s="66"/>
      <c r="QX275" s="66"/>
      <c r="QY275" s="66"/>
      <c r="QZ275" s="66"/>
      <c r="RA275" s="66"/>
      <c r="RB275" s="66"/>
      <c r="RC275" s="66"/>
      <c r="RD275" s="4"/>
    </row>
    <row r="276" spans="9:472" x14ac:dyDescent="0.25">
      <c r="I276" s="66"/>
      <c r="J276" s="66"/>
      <c r="K276" s="66"/>
      <c r="L276" s="66"/>
      <c r="M276" s="66"/>
      <c r="N276" s="66"/>
      <c r="O276" s="66"/>
      <c r="P276" s="66"/>
      <c r="Q276" s="66"/>
      <c r="R276" s="66"/>
      <c r="S276" s="66"/>
      <c r="T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c r="CY276" s="66"/>
      <c r="CZ276" s="66"/>
      <c r="DA276" s="66"/>
      <c r="DB276" s="66"/>
      <c r="DC276" s="66"/>
      <c r="DD276" s="66"/>
      <c r="DE276" s="66"/>
      <c r="DF276" s="66"/>
      <c r="DG276" s="66"/>
      <c r="DH276" s="66"/>
      <c r="DI276" s="66"/>
      <c r="DJ276" s="66"/>
      <c r="DK276" s="66"/>
      <c r="DL276" s="66"/>
      <c r="DM276" s="66"/>
      <c r="DN276" s="66"/>
      <c r="DO276" s="66"/>
      <c r="DP276" s="66"/>
      <c r="DQ276" s="66"/>
      <c r="DR276" s="66"/>
      <c r="DS276" s="66"/>
      <c r="DT276" s="66"/>
      <c r="DU276" s="66"/>
      <c r="DV276" s="66"/>
      <c r="DW276" s="66"/>
      <c r="DX276" s="66"/>
      <c r="DY276" s="66"/>
      <c r="DZ276" s="66"/>
      <c r="EA276" s="66"/>
      <c r="EB276" s="66"/>
      <c r="EC276" s="66"/>
      <c r="ED276" s="66"/>
      <c r="EE276" s="66"/>
      <c r="EF276" s="66"/>
      <c r="EG276" s="66"/>
      <c r="EH276" s="66"/>
      <c r="EI276" s="66"/>
      <c r="EJ276" s="66"/>
      <c r="EK276" s="66"/>
      <c r="EL276" s="66"/>
      <c r="EM276" s="66"/>
      <c r="EN276" s="66"/>
      <c r="EO276" s="66"/>
      <c r="EP276" s="66"/>
      <c r="EQ276" s="66"/>
      <c r="ER276" s="66"/>
      <c r="ES276" s="66"/>
      <c r="ET276" s="66"/>
      <c r="EU276" s="66"/>
      <c r="EV276" s="66"/>
      <c r="EW276" s="66"/>
      <c r="EX276" s="66"/>
      <c r="EY276" s="66"/>
      <c r="EZ276" s="66"/>
      <c r="FA276" s="66"/>
      <c r="FB276" s="66"/>
      <c r="FC276" s="66"/>
      <c r="FD276" s="66"/>
      <c r="FE276" s="66"/>
      <c r="FF276" s="66"/>
      <c r="FG276" s="66"/>
      <c r="FH276" s="66"/>
      <c r="FI276" s="66"/>
      <c r="FJ276" s="66"/>
      <c r="FK276" s="66"/>
      <c r="FL276" s="66"/>
      <c r="FM276" s="66"/>
      <c r="FN276" s="66"/>
      <c r="FO276" s="66"/>
      <c r="FP276" s="66"/>
      <c r="FQ276" s="66"/>
      <c r="FR276" s="66"/>
      <c r="FS276" s="66"/>
      <c r="FT276" s="66"/>
      <c r="FU276" s="66"/>
      <c r="FV276" s="66"/>
      <c r="FW276" s="66"/>
      <c r="FX276" s="66"/>
      <c r="FY276" s="66"/>
      <c r="FZ276" s="66"/>
      <c r="GA276" s="66"/>
      <c r="GB276" s="66"/>
      <c r="GC276" s="66"/>
      <c r="GD276" s="66"/>
      <c r="GE276" s="66"/>
      <c r="GF276" s="66"/>
      <c r="GG276" s="66"/>
      <c r="GH276" s="66"/>
      <c r="GI276" s="66"/>
      <c r="GJ276" s="66"/>
      <c r="GK276" s="66"/>
      <c r="GL276" s="66"/>
      <c r="GM276" s="66"/>
      <c r="GN276" s="66"/>
      <c r="GO276" s="66"/>
      <c r="GP276" s="66"/>
      <c r="GQ276" s="66"/>
      <c r="GR276" s="66"/>
      <c r="GS276" s="66"/>
      <c r="GT276" s="66"/>
      <c r="GU276" s="66"/>
      <c r="GV276" s="66"/>
      <c r="GW276" s="66"/>
      <c r="GX276" s="66"/>
      <c r="GY276" s="66"/>
      <c r="GZ276" s="66"/>
      <c r="HA276" s="66"/>
      <c r="HB276" s="66"/>
      <c r="HC276" s="66"/>
      <c r="HD276" s="66"/>
      <c r="HE276" s="66"/>
      <c r="HF276" s="66"/>
      <c r="HG276" s="66"/>
      <c r="HH276" s="66"/>
      <c r="HI276" s="66"/>
      <c r="HJ276" s="66"/>
      <c r="HK276" s="66"/>
      <c r="HL276" s="66"/>
      <c r="HM276" s="66"/>
      <c r="HN276" s="66"/>
      <c r="HO276" s="66"/>
      <c r="HP276" s="66"/>
      <c r="HQ276" s="66"/>
      <c r="HR276" s="66"/>
      <c r="HS276" s="66"/>
      <c r="HT276" s="66"/>
      <c r="HU276" s="66"/>
      <c r="HV276" s="66"/>
      <c r="HW276" s="66"/>
      <c r="HX276" s="66"/>
      <c r="HY276" s="66"/>
      <c r="HZ276" s="66"/>
      <c r="IA276" s="66"/>
      <c r="IB276" s="66"/>
      <c r="IC276" s="66"/>
      <c r="ID276" s="66"/>
      <c r="IE276" s="66"/>
      <c r="IF276" s="66"/>
      <c r="IG276" s="66"/>
      <c r="IH276" s="66"/>
      <c r="II276" s="66"/>
      <c r="IJ276" s="66"/>
      <c r="IK276" s="66"/>
      <c r="IL276" s="66"/>
      <c r="IM276" s="66"/>
      <c r="IN276" s="66"/>
      <c r="IO276" s="66"/>
      <c r="IP276" s="66"/>
      <c r="IQ276" s="66"/>
      <c r="IR276" s="66"/>
      <c r="IS276" s="66"/>
      <c r="IT276" s="66"/>
      <c r="IU276" s="66"/>
      <c r="IV276" s="66"/>
      <c r="IW276" s="66"/>
      <c r="IX276" s="66"/>
      <c r="IY276" s="66"/>
      <c r="IZ276" s="66"/>
      <c r="JA276" s="66"/>
      <c r="JB276" s="66"/>
      <c r="JC276" s="66"/>
      <c r="JD276" s="66"/>
      <c r="JE276" s="66"/>
      <c r="JF276" s="66"/>
      <c r="JG276" s="66"/>
      <c r="JH276" s="66"/>
      <c r="JI276" s="66"/>
      <c r="JJ276" s="66"/>
      <c r="JK276" s="66"/>
      <c r="JL276" s="66"/>
      <c r="JM276" s="66"/>
      <c r="JN276" s="66"/>
      <c r="JO276" s="66"/>
      <c r="JP276" s="66"/>
      <c r="JQ276" s="66"/>
      <c r="JR276" s="66"/>
      <c r="JS276" s="66"/>
      <c r="JT276" s="66"/>
      <c r="JU276" s="66"/>
      <c r="JV276" s="66"/>
      <c r="JW276" s="66"/>
      <c r="JX276" s="66"/>
      <c r="JY276" s="66"/>
      <c r="JZ276" s="66"/>
      <c r="KA276" s="66"/>
      <c r="KB276" s="66"/>
      <c r="KC276" s="66"/>
      <c r="KD276" s="66"/>
      <c r="KE276" s="66"/>
      <c r="KF276" s="66"/>
      <c r="KG276" s="66"/>
      <c r="KH276" s="66"/>
      <c r="KI276" s="66"/>
      <c r="KJ276" s="66"/>
      <c r="KK276" s="66"/>
      <c r="KL276" s="66"/>
      <c r="KM276" s="66"/>
      <c r="KN276" s="66"/>
      <c r="KO276" s="66"/>
      <c r="KP276" s="66"/>
      <c r="KQ276" s="66"/>
      <c r="KR276" s="66"/>
      <c r="KS276" s="66"/>
      <c r="KT276" s="66"/>
      <c r="KU276" s="66"/>
      <c r="KV276" s="66"/>
      <c r="KW276" s="66"/>
      <c r="KX276" s="66"/>
      <c r="KY276" s="66"/>
      <c r="KZ276" s="66"/>
      <c r="LA276" s="66"/>
      <c r="LB276" s="66"/>
      <c r="LC276" s="66"/>
      <c r="LD276" s="66"/>
      <c r="LE276" s="66"/>
      <c r="LF276" s="66"/>
      <c r="LG276" s="66"/>
      <c r="LH276" s="66"/>
      <c r="LI276" s="66"/>
      <c r="LJ276" s="66"/>
      <c r="LK276" s="66"/>
      <c r="LL276" s="66"/>
      <c r="LM276" s="66"/>
      <c r="LN276" s="66"/>
      <c r="LO276" s="66"/>
      <c r="LP276" s="66"/>
      <c r="LQ276" s="66"/>
      <c r="LR276" s="66"/>
      <c r="LS276" s="66"/>
      <c r="LT276" s="66"/>
      <c r="LU276" s="66"/>
      <c r="LV276" s="66"/>
      <c r="LW276" s="66"/>
      <c r="LX276" s="66"/>
      <c r="LY276" s="66"/>
      <c r="LZ276" s="66"/>
      <c r="MA276" s="66"/>
      <c r="MB276" s="66"/>
      <c r="MC276" s="66"/>
      <c r="MD276" s="66"/>
      <c r="ME276" s="66"/>
      <c r="MF276" s="66"/>
      <c r="MG276" s="66"/>
      <c r="MH276" s="66"/>
      <c r="MI276" s="66"/>
      <c r="MJ276" s="66"/>
      <c r="MK276" s="66"/>
      <c r="ML276" s="66"/>
      <c r="MM276" s="66"/>
      <c r="MN276" s="66"/>
      <c r="MO276" s="66"/>
      <c r="MP276" s="66"/>
      <c r="MQ276" s="66"/>
      <c r="MR276" s="66"/>
      <c r="MS276" s="66"/>
      <c r="MT276" s="66"/>
      <c r="MU276" s="66"/>
      <c r="MV276" s="66"/>
      <c r="MW276" s="66"/>
      <c r="MX276" s="66"/>
      <c r="MY276" s="66"/>
      <c r="MZ276" s="66"/>
      <c r="NA276" s="66"/>
      <c r="NB276" s="66"/>
      <c r="NC276" s="66"/>
      <c r="ND276" s="66"/>
      <c r="NE276" s="66"/>
      <c r="NF276" s="66"/>
      <c r="NG276" s="66"/>
      <c r="NH276" s="66"/>
      <c r="NI276" s="66"/>
      <c r="NJ276" s="66"/>
      <c r="NK276" s="66"/>
      <c r="NL276" s="66"/>
      <c r="NM276" s="66"/>
      <c r="NN276" s="66"/>
      <c r="NO276" s="66"/>
      <c r="NP276" s="66"/>
      <c r="NQ276" s="66"/>
      <c r="NR276" s="66"/>
      <c r="NS276" s="66"/>
      <c r="NT276" s="66"/>
      <c r="NU276" s="66"/>
      <c r="NV276" s="66"/>
      <c r="NW276" s="66"/>
      <c r="NX276" s="66"/>
      <c r="NY276" s="66"/>
      <c r="NZ276" s="66"/>
      <c r="OA276" s="66"/>
      <c r="OB276" s="66"/>
      <c r="OC276" s="66"/>
      <c r="OD276" s="66"/>
      <c r="OE276" s="66"/>
      <c r="OF276" s="66"/>
      <c r="OG276" s="66"/>
      <c r="OH276" s="66"/>
      <c r="OI276" s="66"/>
      <c r="OJ276" s="66"/>
      <c r="OK276" s="66"/>
      <c r="OL276" s="66"/>
      <c r="OM276" s="66"/>
      <c r="ON276" s="66"/>
      <c r="OO276" s="66"/>
      <c r="OP276" s="66"/>
      <c r="OQ276" s="66"/>
      <c r="OR276" s="66"/>
      <c r="OS276" s="66"/>
      <c r="OT276" s="66"/>
      <c r="OU276" s="66"/>
      <c r="OV276" s="66"/>
      <c r="OW276" s="66"/>
      <c r="OX276" s="66"/>
      <c r="OY276" s="66"/>
      <c r="OZ276" s="66"/>
      <c r="PA276" s="66"/>
      <c r="PB276" s="66"/>
      <c r="PC276" s="66"/>
      <c r="PD276" s="66"/>
      <c r="PE276" s="66"/>
      <c r="PF276" s="66"/>
      <c r="PG276" s="66"/>
      <c r="PH276" s="66"/>
      <c r="PI276" s="66"/>
      <c r="PJ276" s="66"/>
      <c r="PK276" s="66"/>
      <c r="PL276" s="66"/>
      <c r="PM276" s="66"/>
      <c r="PN276" s="66"/>
      <c r="PO276" s="66"/>
      <c r="PP276" s="66"/>
      <c r="PQ276" s="66"/>
      <c r="PR276" s="66"/>
      <c r="PS276" s="66"/>
      <c r="PT276" s="66"/>
      <c r="PU276" s="66"/>
      <c r="PV276" s="66"/>
      <c r="PW276" s="66"/>
      <c r="PX276" s="66"/>
      <c r="PY276" s="66"/>
      <c r="PZ276" s="66"/>
      <c r="QA276" s="66"/>
      <c r="QB276" s="66"/>
      <c r="QC276" s="66"/>
      <c r="QD276" s="66"/>
      <c r="QE276" s="66"/>
      <c r="QF276" s="66"/>
      <c r="QG276" s="66"/>
      <c r="QH276" s="66"/>
      <c r="QI276" s="66"/>
      <c r="QJ276" s="66"/>
      <c r="QK276" s="66"/>
      <c r="QL276" s="66"/>
      <c r="QM276" s="66"/>
      <c r="QN276" s="66"/>
      <c r="QO276" s="66"/>
      <c r="QP276" s="66"/>
      <c r="QQ276" s="66"/>
      <c r="QR276" s="66"/>
      <c r="QS276" s="66"/>
      <c r="QT276" s="66"/>
      <c r="QU276" s="66"/>
      <c r="QV276" s="66"/>
      <c r="QW276" s="66"/>
      <c r="QX276" s="66"/>
      <c r="QY276" s="66"/>
      <c r="QZ276" s="66"/>
      <c r="RA276" s="66"/>
      <c r="RB276" s="66"/>
      <c r="RC276" s="66"/>
      <c r="RD276" s="4"/>
    </row>
    <row r="277" spans="9:472" x14ac:dyDescent="0.25">
      <c r="I277" s="66"/>
      <c r="J277" s="66"/>
      <c r="K277" s="66"/>
      <c r="L277" s="66"/>
      <c r="M277" s="66"/>
      <c r="N277" s="66"/>
      <c r="O277" s="66"/>
      <c r="P277" s="66"/>
      <c r="Q277" s="66"/>
      <c r="R277" s="66"/>
      <c r="S277" s="66"/>
      <c r="T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c r="CY277" s="66"/>
      <c r="CZ277" s="66"/>
      <c r="DA277" s="66"/>
      <c r="DB277" s="66"/>
      <c r="DC277" s="66"/>
      <c r="DD277" s="66"/>
      <c r="DE277" s="66"/>
      <c r="DF277" s="66"/>
      <c r="DG277" s="66"/>
      <c r="DH277" s="66"/>
      <c r="DI277" s="66"/>
      <c r="DJ277" s="66"/>
      <c r="DK277" s="66"/>
      <c r="DL277" s="66"/>
      <c r="DM277" s="66"/>
      <c r="DN277" s="66"/>
      <c r="DO277" s="66"/>
      <c r="DP277" s="66"/>
      <c r="DQ277" s="66"/>
      <c r="DR277" s="66"/>
      <c r="DS277" s="66"/>
      <c r="DT277" s="66"/>
      <c r="DU277" s="66"/>
      <c r="DV277" s="66"/>
      <c r="DW277" s="66"/>
      <c r="DX277" s="66"/>
      <c r="DY277" s="66"/>
      <c r="DZ277" s="66"/>
      <c r="EA277" s="66"/>
      <c r="EB277" s="66"/>
      <c r="EC277" s="66"/>
      <c r="ED277" s="66"/>
      <c r="EE277" s="66"/>
      <c r="EF277" s="66"/>
      <c r="EG277" s="66"/>
      <c r="EH277" s="66"/>
      <c r="EI277" s="66"/>
      <c r="EJ277" s="66"/>
      <c r="EK277" s="66"/>
      <c r="EL277" s="66"/>
      <c r="EM277" s="66"/>
      <c r="EN277" s="66"/>
      <c r="EO277" s="66"/>
      <c r="EP277" s="66"/>
      <c r="EQ277" s="66"/>
      <c r="ER277" s="66"/>
      <c r="ES277" s="66"/>
      <c r="ET277" s="66"/>
      <c r="EU277" s="66"/>
      <c r="EV277" s="66"/>
      <c r="EW277" s="66"/>
      <c r="EX277" s="66"/>
      <c r="EY277" s="66"/>
      <c r="EZ277" s="66"/>
      <c r="FA277" s="66"/>
      <c r="FB277" s="66"/>
      <c r="FC277" s="66"/>
      <c r="FD277" s="66"/>
      <c r="FE277" s="66"/>
      <c r="FF277" s="66"/>
      <c r="FG277" s="66"/>
      <c r="FH277" s="66"/>
      <c r="FI277" s="66"/>
      <c r="FJ277" s="66"/>
      <c r="FK277" s="66"/>
      <c r="FL277" s="66"/>
      <c r="FM277" s="66"/>
      <c r="FN277" s="66"/>
      <c r="FO277" s="66"/>
      <c r="FP277" s="66"/>
      <c r="FQ277" s="66"/>
      <c r="FR277" s="66"/>
      <c r="FS277" s="66"/>
      <c r="FT277" s="66"/>
      <c r="FU277" s="66"/>
      <c r="FV277" s="66"/>
      <c r="FW277" s="66"/>
      <c r="FX277" s="66"/>
      <c r="FY277" s="66"/>
      <c r="FZ277" s="66"/>
      <c r="GA277" s="66"/>
      <c r="GB277" s="66"/>
      <c r="GC277" s="66"/>
      <c r="GD277" s="66"/>
      <c r="GE277" s="66"/>
      <c r="GF277" s="66"/>
      <c r="GG277" s="66"/>
      <c r="GH277" s="66"/>
      <c r="GI277" s="66"/>
      <c r="GJ277" s="66"/>
      <c r="GK277" s="66"/>
      <c r="GL277" s="66"/>
      <c r="GM277" s="66"/>
      <c r="GN277" s="66"/>
      <c r="GO277" s="66"/>
      <c r="GP277" s="66"/>
      <c r="GQ277" s="66"/>
      <c r="GR277" s="66"/>
      <c r="GS277" s="66"/>
      <c r="GT277" s="66"/>
      <c r="GU277" s="66"/>
      <c r="GV277" s="66"/>
      <c r="GW277" s="66"/>
      <c r="GX277" s="66"/>
      <c r="GY277" s="66"/>
      <c r="GZ277" s="66"/>
      <c r="HA277" s="66"/>
      <c r="HB277" s="66"/>
      <c r="HC277" s="66"/>
      <c r="HD277" s="66"/>
      <c r="HE277" s="66"/>
      <c r="HF277" s="66"/>
      <c r="HG277" s="66"/>
      <c r="HH277" s="66"/>
      <c r="HI277" s="66"/>
      <c r="HJ277" s="66"/>
      <c r="HK277" s="66"/>
      <c r="HL277" s="66"/>
      <c r="HM277" s="66"/>
      <c r="HN277" s="66"/>
      <c r="HO277" s="66"/>
      <c r="HP277" s="66"/>
      <c r="HQ277" s="66"/>
      <c r="HR277" s="66"/>
      <c r="HS277" s="66"/>
      <c r="HT277" s="66"/>
      <c r="HU277" s="66"/>
      <c r="HV277" s="66"/>
      <c r="HW277" s="66"/>
      <c r="HX277" s="66"/>
      <c r="HY277" s="66"/>
      <c r="HZ277" s="66"/>
      <c r="IA277" s="66"/>
      <c r="IB277" s="66"/>
      <c r="IC277" s="66"/>
      <c r="ID277" s="66"/>
      <c r="IE277" s="66"/>
      <c r="IF277" s="66"/>
      <c r="IG277" s="66"/>
      <c r="IH277" s="66"/>
      <c r="II277" s="66"/>
      <c r="IJ277" s="66"/>
      <c r="IK277" s="66"/>
      <c r="IL277" s="66"/>
      <c r="IM277" s="66"/>
      <c r="IN277" s="66"/>
      <c r="IO277" s="66"/>
      <c r="IP277" s="66"/>
      <c r="IQ277" s="66"/>
      <c r="IR277" s="66"/>
      <c r="IS277" s="66"/>
      <c r="IT277" s="66"/>
      <c r="IU277" s="66"/>
      <c r="IV277" s="66"/>
      <c r="IW277" s="66"/>
      <c r="IX277" s="66"/>
      <c r="IY277" s="66"/>
      <c r="IZ277" s="66"/>
      <c r="JA277" s="66"/>
      <c r="JB277" s="66"/>
      <c r="JC277" s="66"/>
      <c r="JD277" s="66"/>
      <c r="JE277" s="66"/>
      <c r="JF277" s="66"/>
      <c r="JG277" s="66"/>
      <c r="JH277" s="66"/>
      <c r="JI277" s="66"/>
      <c r="JJ277" s="66"/>
      <c r="JK277" s="66"/>
      <c r="JL277" s="66"/>
      <c r="JM277" s="66"/>
      <c r="JN277" s="66"/>
      <c r="JO277" s="66"/>
      <c r="JP277" s="66"/>
      <c r="JQ277" s="66"/>
      <c r="JR277" s="66"/>
      <c r="JS277" s="66"/>
      <c r="JT277" s="66"/>
      <c r="JU277" s="66"/>
      <c r="JV277" s="66"/>
      <c r="JW277" s="66"/>
      <c r="JX277" s="66"/>
      <c r="JY277" s="66"/>
      <c r="JZ277" s="66"/>
      <c r="KA277" s="66"/>
      <c r="KB277" s="66"/>
      <c r="KC277" s="66"/>
      <c r="KD277" s="66"/>
      <c r="KE277" s="66"/>
      <c r="KF277" s="66"/>
      <c r="KG277" s="66"/>
      <c r="KH277" s="66"/>
      <c r="KI277" s="66"/>
      <c r="KJ277" s="66"/>
      <c r="KK277" s="66"/>
      <c r="KL277" s="66"/>
      <c r="KM277" s="66"/>
      <c r="KN277" s="66"/>
      <c r="KO277" s="66"/>
      <c r="KP277" s="66"/>
      <c r="KQ277" s="66"/>
      <c r="KR277" s="66"/>
      <c r="KS277" s="66"/>
      <c r="KT277" s="66"/>
      <c r="KU277" s="66"/>
      <c r="KV277" s="66"/>
      <c r="KW277" s="66"/>
      <c r="KX277" s="66"/>
      <c r="KY277" s="66"/>
      <c r="KZ277" s="66"/>
      <c r="LA277" s="66"/>
      <c r="LB277" s="66"/>
      <c r="LC277" s="66"/>
      <c r="LD277" s="66"/>
      <c r="LE277" s="66"/>
      <c r="LF277" s="66"/>
      <c r="LG277" s="66"/>
      <c r="LH277" s="66"/>
      <c r="LI277" s="66"/>
      <c r="LJ277" s="66"/>
      <c r="LK277" s="66"/>
      <c r="LL277" s="66"/>
      <c r="LM277" s="66"/>
      <c r="LN277" s="66"/>
      <c r="LO277" s="66"/>
      <c r="LP277" s="66"/>
      <c r="LQ277" s="66"/>
      <c r="LR277" s="66"/>
      <c r="LS277" s="66"/>
      <c r="LT277" s="66"/>
      <c r="LU277" s="66"/>
      <c r="LV277" s="66"/>
      <c r="LW277" s="66"/>
      <c r="LX277" s="66"/>
      <c r="LY277" s="66"/>
      <c r="LZ277" s="66"/>
      <c r="MA277" s="66"/>
      <c r="MB277" s="66"/>
      <c r="MC277" s="66"/>
      <c r="MD277" s="66"/>
      <c r="ME277" s="66"/>
      <c r="MF277" s="66"/>
      <c r="MG277" s="66"/>
      <c r="MH277" s="66"/>
      <c r="MI277" s="66"/>
      <c r="MJ277" s="66"/>
      <c r="MK277" s="66"/>
      <c r="ML277" s="66"/>
      <c r="MM277" s="66"/>
      <c r="MN277" s="66"/>
      <c r="MO277" s="66"/>
      <c r="MP277" s="66"/>
      <c r="MQ277" s="66"/>
      <c r="MR277" s="66"/>
      <c r="MS277" s="66"/>
      <c r="MT277" s="66"/>
      <c r="MU277" s="66"/>
      <c r="MV277" s="66"/>
      <c r="MW277" s="66"/>
      <c r="MX277" s="66"/>
      <c r="MY277" s="66"/>
      <c r="MZ277" s="66"/>
      <c r="NA277" s="66"/>
      <c r="NB277" s="66"/>
      <c r="NC277" s="66"/>
      <c r="ND277" s="66"/>
      <c r="NE277" s="66"/>
      <c r="NF277" s="66"/>
      <c r="NG277" s="66"/>
      <c r="NH277" s="66"/>
      <c r="NI277" s="66"/>
      <c r="NJ277" s="66"/>
      <c r="NK277" s="66"/>
      <c r="NL277" s="66"/>
      <c r="NM277" s="66"/>
      <c r="NN277" s="66"/>
      <c r="NO277" s="66"/>
      <c r="NP277" s="66"/>
      <c r="NQ277" s="66"/>
      <c r="NR277" s="66"/>
      <c r="NS277" s="66"/>
      <c r="NT277" s="66"/>
      <c r="NU277" s="66"/>
      <c r="NV277" s="66"/>
      <c r="NW277" s="66"/>
      <c r="NX277" s="66"/>
      <c r="NY277" s="66"/>
      <c r="NZ277" s="66"/>
      <c r="OA277" s="66"/>
      <c r="OB277" s="66"/>
      <c r="OC277" s="66"/>
      <c r="OD277" s="66"/>
      <c r="OE277" s="66"/>
      <c r="OF277" s="66"/>
      <c r="OG277" s="66"/>
      <c r="OH277" s="66"/>
      <c r="OI277" s="66"/>
      <c r="OJ277" s="66"/>
      <c r="OK277" s="66"/>
      <c r="OL277" s="66"/>
      <c r="OM277" s="66"/>
      <c r="ON277" s="66"/>
      <c r="OO277" s="66"/>
      <c r="OP277" s="66"/>
      <c r="OQ277" s="66"/>
      <c r="OR277" s="66"/>
      <c r="OS277" s="66"/>
      <c r="OT277" s="66"/>
      <c r="OU277" s="66"/>
      <c r="OV277" s="66"/>
      <c r="OW277" s="66"/>
      <c r="OX277" s="66"/>
      <c r="OY277" s="66"/>
      <c r="OZ277" s="66"/>
      <c r="PA277" s="66"/>
      <c r="PB277" s="66"/>
      <c r="PC277" s="66"/>
      <c r="PD277" s="66"/>
      <c r="PE277" s="66"/>
      <c r="PF277" s="66"/>
      <c r="PG277" s="66"/>
      <c r="PH277" s="66"/>
      <c r="PI277" s="66"/>
      <c r="PJ277" s="66"/>
      <c r="PK277" s="66"/>
      <c r="PL277" s="66"/>
      <c r="PM277" s="66"/>
      <c r="PN277" s="66"/>
      <c r="PO277" s="66"/>
      <c r="PP277" s="66"/>
      <c r="PQ277" s="66"/>
      <c r="PR277" s="66"/>
      <c r="PS277" s="66"/>
      <c r="PT277" s="66"/>
      <c r="PU277" s="66"/>
      <c r="PV277" s="66"/>
      <c r="PW277" s="66"/>
      <c r="PX277" s="66"/>
      <c r="PY277" s="66"/>
      <c r="PZ277" s="66"/>
      <c r="QA277" s="66"/>
      <c r="QB277" s="66"/>
      <c r="QC277" s="66"/>
      <c r="QD277" s="66"/>
      <c r="QE277" s="66"/>
      <c r="QF277" s="66"/>
      <c r="QG277" s="66"/>
      <c r="QH277" s="66"/>
      <c r="QI277" s="66"/>
      <c r="QJ277" s="66"/>
      <c r="QK277" s="66"/>
      <c r="QL277" s="66"/>
      <c r="QM277" s="66"/>
      <c r="QN277" s="66"/>
      <c r="QO277" s="66"/>
      <c r="QP277" s="66"/>
      <c r="QQ277" s="66"/>
      <c r="QR277" s="66"/>
      <c r="QS277" s="66"/>
      <c r="QT277" s="66"/>
      <c r="QU277" s="66"/>
      <c r="QV277" s="66"/>
      <c r="QW277" s="66"/>
      <c r="QX277" s="66"/>
      <c r="QY277" s="66"/>
      <c r="QZ277" s="66"/>
      <c r="RA277" s="66"/>
      <c r="RB277" s="66"/>
      <c r="RC277" s="66"/>
      <c r="RD277" s="4"/>
    </row>
    <row r="278" spans="9:472" x14ac:dyDescent="0.25">
      <c r="I278" s="66"/>
      <c r="J278" s="66"/>
      <c r="K278" s="66"/>
      <c r="L278" s="66"/>
      <c r="M278" s="66"/>
      <c r="N278" s="66"/>
      <c r="O278" s="66"/>
      <c r="P278" s="66"/>
      <c r="Q278" s="66"/>
      <c r="R278" s="66"/>
      <c r="S278" s="66"/>
      <c r="T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c r="CY278" s="66"/>
      <c r="CZ278" s="66"/>
      <c r="DA278" s="66"/>
      <c r="DB278" s="66"/>
      <c r="DC278" s="66"/>
      <c r="DD278" s="66"/>
      <c r="DE278" s="66"/>
      <c r="DF278" s="66"/>
      <c r="DG278" s="66"/>
      <c r="DH278" s="66"/>
      <c r="DI278" s="66"/>
      <c r="DJ278" s="66"/>
      <c r="DK278" s="66"/>
      <c r="DL278" s="66"/>
      <c r="DM278" s="66"/>
      <c r="DN278" s="66"/>
      <c r="DO278" s="66"/>
      <c r="DP278" s="66"/>
      <c r="DQ278" s="66"/>
      <c r="DR278" s="66"/>
      <c r="DS278" s="66"/>
      <c r="DT278" s="66"/>
      <c r="DU278" s="66"/>
      <c r="DV278" s="66"/>
      <c r="DW278" s="66"/>
      <c r="DX278" s="66"/>
      <c r="DY278" s="66"/>
      <c r="DZ278" s="66"/>
      <c r="EA278" s="66"/>
      <c r="EB278" s="66"/>
      <c r="EC278" s="66"/>
      <c r="ED278" s="66"/>
      <c r="EE278" s="66"/>
      <c r="EF278" s="66"/>
      <c r="EG278" s="66"/>
      <c r="EH278" s="66"/>
      <c r="EI278" s="66"/>
      <c r="EJ278" s="66"/>
      <c r="EK278" s="66"/>
      <c r="EL278" s="66"/>
      <c r="EM278" s="66"/>
      <c r="EN278" s="66"/>
      <c r="EO278" s="66"/>
      <c r="EP278" s="66"/>
      <c r="EQ278" s="66"/>
      <c r="ER278" s="66"/>
      <c r="ES278" s="66"/>
      <c r="ET278" s="66"/>
      <c r="EU278" s="66"/>
      <c r="EV278" s="66"/>
      <c r="EW278" s="66"/>
      <c r="EX278" s="66"/>
      <c r="EY278" s="66"/>
      <c r="EZ278" s="66"/>
      <c r="FA278" s="66"/>
      <c r="FB278" s="66"/>
      <c r="FC278" s="66"/>
      <c r="FD278" s="66"/>
      <c r="FE278" s="66"/>
      <c r="FF278" s="66"/>
      <c r="FG278" s="66"/>
      <c r="FH278" s="66"/>
      <c r="FI278" s="66"/>
      <c r="FJ278" s="66"/>
      <c r="FK278" s="66"/>
      <c r="FL278" s="66"/>
      <c r="FM278" s="66"/>
      <c r="FN278" s="66"/>
      <c r="FO278" s="66"/>
      <c r="FP278" s="66"/>
      <c r="FQ278" s="66"/>
      <c r="FR278" s="66"/>
      <c r="FS278" s="66"/>
      <c r="FT278" s="66"/>
      <c r="FU278" s="66"/>
      <c r="FV278" s="66"/>
      <c r="FW278" s="66"/>
      <c r="FX278" s="66"/>
      <c r="FY278" s="66"/>
      <c r="FZ278" s="66"/>
      <c r="GA278" s="66"/>
      <c r="GB278" s="66"/>
      <c r="GC278" s="66"/>
      <c r="GD278" s="66"/>
      <c r="GE278" s="66"/>
      <c r="GF278" s="66"/>
      <c r="GG278" s="66"/>
      <c r="GH278" s="66"/>
      <c r="GI278" s="66"/>
      <c r="GJ278" s="66"/>
      <c r="GK278" s="66"/>
      <c r="GL278" s="66"/>
      <c r="GM278" s="66"/>
      <c r="GN278" s="66"/>
      <c r="GO278" s="66"/>
      <c r="GP278" s="66"/>
      <c r="GQ278" s="66"/>
      <c r="GR278" s="66"/>
      <c r="GS278" s="66"/>
      <c r="GT278" s="66"/>
      <c r="GU278" s="66"/>
      <c r="GV278" s="66"/>
      <c r="GW278" s="66"/>
      <c r="GX278" s="66"/>
      <c r="GY278" s="66"/>
      <c r="GZ278" s="66"/>
      <c r="HA278" s="66"/>
      <c r="HB278" s="66"/>
      <c r="HC278" s="66"/>
      <c r="HD278" s="66"/>
      <c r="HE278" s="66"/>
      <c r="HF278" s="66"/>
      <c r="HG278" s="66"/>
      <c r="HH278" s="66"/>
      <c r="HI278" s="66"/>
      <c r="HJ278" s="66"/>
      <c r="HK278" s="66"/>
      <c r="HL278" s="66"/>
      <c r="HM278" s="66"/>
      <c r="HN278" s="66"/>
      <c r="HO278" s="66"/>
      <c r="HP278" s="66"/>
      <c r="HQ278" s="66"/>
      <c r="HR278" s="66"/>
      <c r="HS278" s="66"/>
      <c r="HT278" s="66"/>
      <c r="HU278" s="66"/>
      <c r="HV278" s="66"/>
      <c r="HW278" s="66"/>
      <c r="HX278" s="66"/>
      <c r="HY278" s="66"/>
      <c r="HZ278" s="66"/>
      <c r="IA278" s="66"/>
      <c r="IB278" s="66"/>
      <c r="IC278" s="66"/>
      <c r="ID278" s="66"/>
      <c r="IE278" s="66"/>
      <c r="IF278" s="66"/>
      <c r="IG278" s="66"/>
      <c r="IH278" s="66"/>
      <c r="II278" s="66"/>
      <c r="IJ278" s="66"/>
      <c r="IK278" s="66"/>
      <c r="IL278" s="66"/>
      <c r="IM278" s="66"/>
      <c r="IN278" s="66"/>
      <c r="IO278" s="66"/>
      <c r="IP278" s="66"/>
      <c r="IQ278" s="66"/>
      <c r="IR278" s="66"/>
      <c r="IS278" s="66"/>
      <c r="IT278" s="66"/>
      <c r="IU278" s="66"/>
      <c r="IV278" s="66"/>
      <c r="IW278" s="66"/>
      <c r="IX278" s="66"/>
      <c r="IY278" s="66"/>
      <c r="IZ278" s="66"/>
      <c r="JA278" s="66"/>
      <c r="JB278" s="66"/>
      <c r="JC278" s="66"/>
      <c r="JD278" s="66"/>
      <c r="JE278" s="66"/>
      <c r="JF278" s="66"/>
      <c r="JG278" s="66"/>
      <c r="JH278" s="66"/>
      <c r="JI278" s="66"/>
      <c r="JJ278" s="66"/>
      <c r="JK278" s="66"/>
      <c r="JL278" s="66"/>
      <c r="JM278" s="66"/>
      <c r="JN278" s="66"/>
      <c r="JO278" s="66"/>
      <c r="JP278" s="66"/>
      <c r="JQ278" s="66"/>
      <c r="JR278" s="66"/>
      <c r="JS278" s="66"/>
      <c r="JT278" s="66"/>
      <c r="JU278" s="66"/>
      <c r="JV278" s="66"/>
      <c r="JW278" s="66"/>
      <c r="JX278" s="66"/>
      <c r="JY278" s="66"/>
      <c r="JZ278" s="66"/>
      <c r="KA278" s="66"/>
      <c r="KB278" s="66"/>
      <c r="KC278" s="66"/>
      <c r="KD278" s="66"/>
      <c r="KE278" s="66"/>
      <c r="KF278" s="66"/>
      <c r="KG278" s="66"/>
      <c r="KH278" s="66"/>
      <c r="KI278" s="66"/>
      <c r="KJ278" s="66"/>
      <c r="KK278" s="66"/>
      <c r="KL278" s="66"/>
      <c r="KM278" s="66"/>
      <c r="KN278" s="66"/>
      <c r="KO278" s="66"/>
      <c r="KP278" s="66"/>
      <c r="KQ278" s="66"/>
      <c r="KR278" s="66"/>
      <c r="KS278" s="66"/>
      <c r="KT278" s="66"/>
      <c r="KU278" s="66"/>
      <c r="KV278" s="66"/>
      <c r="KW278" s="66"/>
      <c r="KX278" s="66"/>
      <c r="KY278" s="66"/>
      <c r="KZ278" s="66"/>
      <c r="LA278" s="66"/>
      <c r="LB278" s="66"/>
      <c r="LC278" s="66"/>
      <c r="LD278" s="66"/>
      <c r="LE278" s="66"/>
      <c r="LF278" s="66"/>
      <c r="LG278" s="66"/>
      <c r="LH278" s="66"/>
      <c r="LI278" s="66"/>
      <c r="LJ278" s="66"/>
      <c r="LK278" s="66"/>
      <c r="LL278" s="66"/>
      <c r="LM278" s="66"/>
      <c r="LN278" s="66"/>
      <c r="LO278" s="66"/>
      <c r="LP278" s="66"/>
      <c r="LQ278" s="66"/>
      <c r="LR278" s="66"/>
      <c r="LS278" s="66"/>
      <c r="LT278" s="66"/>
      <c r="LU278" s="66"/>
      <c r="LV278" s="66"/>
      <c r="LW278" s="66"/>
      <c r="LX278" s="66"/>
      <c r="LY278" s="66"/>
      <c r="LZ278" s="66"/>
      <c r="MA278" s="66"/>
      <c r="MB278" s="66"/>
      <c r="MC278" s="66"/>
      <c r="MD278" s="66"/>
      <c r="ME278" s="66"/>
      <c r="MF278" s="66"/>
      <c r="MG278" s="66"/>
      <c r="MH278" s="66"/>
      <c r="MI278" s="66"/>
      <c r="MJ278" s="66"/>
      <c r="MK278" s="66"/>
      <c r="ML278" s="66"/>
      <c r="MM278" s="66"/>
      <c r="MN278" s="66"/>
      <c r="MO278" s="66"/>
      <c r="MP278" s="66"/>
      <c r="MQ278" s="66"/>
      <c r="MR278" s="66"/>
      <c r="MS278" s="66"/>
      <c r="MT278" s="66"/>
      <c r="MU278" s="66"/>
      <c r="MV278" s="66"/>
      <c r="MW278" s="66"/>
      <c r="MX278" s="66"/>
      <c r="MY278" s="66"/>
      <c r="MZ278" s="66"/>
      <c r="NA278" s="66"/>
      <c r="NB278" s="66"/>
      <c r="NC278" s="66"/>
      <c r="ND278" s="66"/>
      <c r="NE278" s="66"/>
      <c r="NF278" s="66"/>
      <c r="NG278" s="66"/>
      <c r="NH278" s="66"/>
      <c r="NI278" s="66"/>
      <c r="NJ278" s="66"/>
      <c r="NK278" s="66"/>
      <c r="NL278" s="66"/>
      <c r="NM278" s="66"/>
      <c r="NN278" s="66"/>
      <c r="NO278" s="66"/>
      <c r="NP278" s="66"/>
      <c r="NQ278" s="66"/>
      <c r="NR278" s="66"/>
      <c r="NS278" s="66"/>
      <c r="NT278" s="66"/>
      <c r="NU278" s="66"/>
      <c r="NV278" s="66"/>
      <c r="NW278" s="66"/>
      <c r="NX278" s="66"/>
      <c r="NY278" s="66"/>
      <c r="NZ278" s="66"/>
      <c r="OA278" s="66"/>
      <c r="OB278" s="66"/>
      <c r="OC278" s="66"/>
      <c r="OD278" s="66"/>
      <c r="OE278" s="66"/>
      <c r="OF278" s="66"/>
      <c r="OG278" s="66"/>
      <c r="OH278" s="66"/>
      <c r="OI278" s="66"/>
      <c r="OJ278" s="66"/>
      <c r="OK278" s="66"/>
      <c r="OL278" s="66"/>
      <c r="OM278" s="66"/>
      <c r="ON278" s="66"/>
      <c r="OO278" s="66"/>
      <c r="OP278" s="66"/>
      <c r="OQ278" s="66"/>
      <c r="OR278" s="66"/>
      <c r="OS278" s="66"/>
      <c r="OT278" s="66"/>
      <c r="OU278" s="66"/>
      <c r="OV278" s="66"/>
      <c r="OW278" s="66"/>
      <c r="OX278" s="66"/>
      <c r="OY278" s="66"/>
      <c r="OZ278" s="66"/>
      <c r="PA278" s="66"/>
      <c r="PB278" s="66"/>
      <c r="PC278" s="66"/>
      <c r="PD278" s="66"/>
      <c r="PE278" s="66"/>
      <c r="PF278" s="66"/>
      <c r="PG278" s="66"/>
      <c r="PH278" s="66"/>
      <c r="PI278" s="66"/>
      <c r="PJ278" s="66"/>
      <c r="PK278" s="66"/>
      <c r="PL278" s="66"/>
      <c r="PM278" s="66"/>
      <c r="PN278" s="66"/>
      <c r="PO278" s="66"/>
      <c r="PP278" s="66"/>
      <c r="PQ278" s="66"/>
      <c r="PR278" s="66"/>
      <c r="PS278" s="66"/>
      <c r="PT278" s="66"/>
      <c r="PU278" s="66"/>
      <c r="PV278" s="66"/>
      <c r="PW278" s="66"/>
      <c r="PX278" s="66"/>
      <c r="PY278" s="66"/>
      <c r="PZ278" s="66"/>
      <c r="QA278" s="66"/>
      <c r="QB278" s="66"/>
      <c r="QC278" s="66"/>
      <c r="QD278" s="66"/>
      <c r="QE278" s="66"/>
      <c r="QF278" s="66"/>
      <c r="QG278" s="66"/>
      <c r="QH278" s="66"/>
      <c r="QI278" s="66"/>
      <c r="QJ278" s="66"/>
      <c r="QK278" s="66"/>
      <c r="QL278" s="66"/>
      <c r="QM278" s="66"/>
      <c r="QN278" s="66"/>
      <c r="QO278" s="66"/>
      <c r="QP278" s="66"/>
      <c r="QQ278" s="66"/>
      <c r="QR278" s="66"/>
      <c r="QS278" s="66"/>
      <c r="QT278" s="66"/>
      <c r="QU278" s="66"/>
      <c r="QV278" s="66"/>
      <c r="QW278" s="66"/>
      <c r="QX278" s="66"/>
      <c r="QY278" s="66"/>
      <c r="QZ278" s="66"/>
      <c r="RA278" s="66"/>
      <c r="RB278" s="66"/>
      <c r="RC278" s="66"/>
      <c r="RD278" s="4"/>
    </row>
    <row r="279" spans="9:472" x14ac:dyDescent="0.25">
      <c r="I279" s="66"/>
      <c r="J279" s="66"/>
      <c r="K279" s="66"/>
      <c r="L279" s="66"/>
      <c r="M279" s="66"/>
      <c r="N279" s="66"/>
      <c r="O279" s="66"/>
      <c r="P279" s="66"/>
      <c r="Q279" s="66"/>
      <c r="R279" s="66"/>
      <c r="S279" s="66"/>
      <c r="T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c r="CY279" s="66"/>
      <c r="CZ279" s="66"/>
      <c r="DA279" s="66"/>
      <c r="DB279" s="66"/>
      <c r="DC279" s="66"/>
      <c r="DD279" s="66"/>
      <c r="DE279" s="66"/>
      <c r="DF279" s="66"/>
      <c r="DG279" s="66"/>
      <c r="DH279" s="66"/>
      <c r="DI279" s="66"/>
      <c r="DJ279" s="66"/>
      <c r="DK279" s="66"/>
      <c r="DL279" s="66"/>
      <c r="DM279" s="66"/>
      <c r="DN279" s="66"/>
      <c r="DO279" s="66"/>
      <c r="DP279" s="66"/>
      <c r="DQ279" s="66"/>
      <c r="DR279" s="66"/>
      <c r="DS279" s="66"/>
      <c r="DT279" s="66"/>
      <c r="DU279" s="66"/>
      <c r="DV279" s="66"/>
      <c r="DW279" s="66"/>
      <c r="DX279" s="66"/>
      <c r="DY279" s="66"/>
      <c r="DZ279" s="66"/>
      <c r="EA279" s="66"/>
      <c r="EB279" s="66"/>
      <c r="EC279" s="66"/>
      <c r="ED279" s="66"/>
      <c r="EE279" s="66"/>
      <c r="EF279" s="66"/>
      <c r="EG279" s="66"/>
      <c r="EH279" s="66"/>
      <c r="EI279" s="66"/>
      <c r="EJ279" s="66"/>
      <c r="EK279" s="66"/>
      <c r="EL279" s="66"/>
      <c r="EM279" s="66"/>
      <c r="EN279" s="66"/>
      <c r="EO279" s="66"/>
      <c r="EP279" s="66"/>
      <c r="EQ279" s="66"/>
      <c r="ER279" s="66"/>
      <c r="ES279" s="66"/>
      <c r="ET279" s="66"/>
      <c r="EU279" s="66"/>
      <c r="EV279" s="66"/>
      <c r="EW279" s="66"/>
      <c r="EX279" s="66"/>
      <c r="EY279" s="66"/>
      <c r="EZ279" s="66"/>
      <c r="FA279" s="66"/>
      <c r="FB279" s="66"/>
      <c r="FC279" s="66"/>
      <c r="FD279" s="66"/>
      <c r="FE279" s="66"/>
      <c r="FF279" s="66"/>
      <c r="FG279" s="66"/>
      <c r="FH279" s="66"/>
      <c r="FI279" s="66"/>
      <c r="FJ279" s="66"/>
      <c r="FK279" s="66"/>
      <c r="FL279" s="66"/>
      <c r="FM279" s="66"/>
      <c r="FN279" s="66"/>
      <c r="FO279" s="66"/>
      <c r="FP279" s="66"/>
      <c r="FQ279" s="66"/>
      <c r="FR279" s="66"/>
      <c r="FS279" s="66"/>
      <c r="FT279" s="66"/>
      <c r="FU279" s="66"/>
      <c r="FV279" s="66"/>
      <c r="FW279" s="66"/>
      <c r="FX279" s="66"/>
      <c r="FY279" s="66"/>
      <c r="FZ279" s="66"/>
      <c r="GA279" s="66"/>
      <c r="GB279" s="66"/>
      <c r="GC279" s="66"/>
      <c r="GD279" s="66"/>
      <c r="GE279" s="66"/>
      <c r="GF279" s="66"/>
      <c r="GG279" s="66"/>
      <c r="GH279" s="66"/>
      <c r="GI279" s="66"/>
      <c r="GJ279" s="66"/>
      <c r="GK279" s="66"/>
      <c r="GL279" s="66"/>
      <c r="GM279" s="66"/>
      <c r="GN279" s="66"/>
      <c r="GO279" s="66"/>
      <c r="GP279" s="66"/>
      <c r="GQ279" s="66"/>
      <c r="GR279" s="66"/>
      <c r="GS279" s="66"/>
      <c r="GT279" s="66"/>
      <c r="GU279" s="66"/>
      <c r="GV279" s="66"/>
      <c r="GW279" s="66"/>
      <c r="GX279" s="66"/>
      <c r="GY279" s="66"/>
      <c r="GZ279" s="66"/>
      <c r="HA279" s="66"/>
      <c r="HB279" s="66"/>
      <c r="HC279" s="66"/>
      <c r="HD279" s="66"/>
      <c r="HE279" s="66"/>
      <c r="HF279" s="66"/>
      <c r="HG279" s="66"/>
      <c r="HH279" s="66"/>
      <c r="HI279" s="66"/>
      <c r="HJ279" s="66"/>
      <c r="HK279" s="66"/>
      <c r="HL279" s="66"/>
      <c r="HM279" s="66"/>
      <c r="HN279" s="66"/>
      <c r="HO279" s="66"/>
      <c r="HP279" s="66"/>
      <c r="HQ279" s="66"/>
      <c r="HR279" s="66"/>
      <c r="HS279" s="66"/>
      <c r="HT279" s="66"/>
      <c r="HU279" s="66"/>
      <c r="HV279" s="66"/>
      <c r="HW279" s="66"/>
      <c r="HX279" s="66"/>
      <c r="HY279" s="66"/>
      <c r="HZ279" s="66"/>
      <c r="IA279" s="66"/>
      <c r="IB279" s="66"/>
      <c r="IC279" s="66"/>
      <c r="ID279" s="66"/>
      <c r="IE279" s="66"/>
      <c r="IF279" s="66"/>
      <c r="IG279" s="66"/>
      <c r="IH279" s="66"/>
      <c r="II279" s="66"/>
      <c r="IJ279" s="66"/>
      <c r="IK279" s="66"/>
      <c r="IL279" s="66"/>
      <c r="IM279" s="66"/>
      <c r="IN279" s="66"/>
      <c r="IO279" s="66"/>
      <c r="IP279" s="66"/>
      <c r="IQ279" s="66"/>
      <c r="IR279" s="66"/>
      <c r="IS279" s="66"/>
      <c r="IT279" s="66"/>
      <c r="IU279" s="66"/>
      <c r="IV279" s="66"/>
      <c r="IW279" s="66"/>
      <c r="IX279" s="66"/>
      <c r="IY279" s="66"/>
      <c r="IZ279" s="66"/>
      <c r="JA279" s="66"/>
      <c r="JB279" s="66"/>
      <c r="JC279" s="66"/>
      <c r="JD279" s="66"/>
      <c r="JE279" s="66"/>
      <c r="JF279" s="66"/>
      <c r="JG279" s="66"/>
      <c r="JH279" s="66"/>
      <c r="JI279" s="66"/>
      <c r="JJ279" s="66"/>
      <c r="JK279" s="66"/>
      <c r="JL279" s="66"/>
      <c r="JM279" s="66"/>
      <c r="JN279" s="66"/>
      <c r="JO279" s="66"/>
      <c r="JP279" s="66"/>
      <c r="JQ279" s="66"/>
      <c r="JR279" s="66"/>
      <c r="JS279" s="66"/>
      <c r="JT279" s="66"/>
      <c r="JU279" s="66"/>
      <c r="JV279" s="66"/>
      <c r="JW279" s="66"/>
      <c r="JX279" s="66"/>
      <c r="JY279" s="66"/>
      <c r="JZ279" s="66"/>
      <c r="KA279" s="66"/>
      <c r="KB279" s="66"/>
      <c r="KC279" s="66"/>
      <c r="KD279" s="66"/>
      <c r="KE279" s="66"/>
      <c r="KF279" s="66"/>
      <c r="KG279" s="66"/>
      <c r="KH279" s="66"/>
      <c r="KI279" s="66"/>
      <c r="KJ279" s="66"/>
      <c r="KK279" s="66"/>
      <c r="KL279" s="66"/>
      <c r="KM279" s="66"/>
      <c r="KN279" s="66"/>
      <c r="KO279" s="66"/>
      <c r="KP279" s="66"/>
      <c r="KQ279" s="66"/>
      <c r="KR279" s="66"/>
      <c r="KS279" s="66"/>
      <c r="KT279" s="66"/>
      <c r="KU279" s="66"/>
      <c r="KV279" s="66"/>
      <c r="KW279" s="66"/>
      <c r="KX279" s="66"/>
      <c r="KY279" s="66"/>
      <c r="KZ279" s="66"/>
      <c r="LA279" s="66"/>
      <c r="LB279" s="66"/>
      <c r="LC279" s="66"/>
      <c r="LD279" s="66"/>
      <c r="LE279" s="66"/>
      <c r="LF279" s="66"/>
      <c r="LG279" s="66"/>
      <c r="LH279" s="66"/>
      <c r="LI279" s="66"/>
      <c r="LJ279" s="66"/>
      <c r="LK279" s="66"/>
      <c r="LL279" s="66"/>
      <c r="LM279" s="66"/>
      <c r="LN279" s="66"/>
      <c r="LO279" s="66"/>
      <c r="LP279" s="66"/>
      <c r="LQ279" s="66"/>
      <c r="LR279" s="66"/>
      <c r="LS279" s="66"/>
      <c r="LT279" s="66"/>
      <c r="LU279" s="66"/>
      <c r="LV279" s="66"/>
      <c r="LW279" s="66"/>
      <c r="LX279" s="66"/>
      <c r="LY279" s="66"/>
      <c r="LZ279" s="66"/>
      <c r="MA279" s="66"/>
      <c r="MB279" s="66"/>
      <c r="MC279" s="66"/>
      <c r="MD279" s="66"/>
      <c r="ME279" s="66"/>
      <c r="MF279" s="66"/>
      <c r="MG279" s="66"/>
      <c r="MH279" s="66"/>
      <c r="MI279" s="66"/>
      <c r="MJ279" s="66"/>
      <c r="MK279" s="66"/>
      <c r="ML279" s="66"/>
      <c r="MM279" s="66"/>
      <c r="MN279" s="66"/>
      <c r="MO279" s="66"/>
      <c r="MP279" s="66"/>
      <c r="MQ279" s="66"/>
      <c r="MR279" s="66"/>
      <c r="MS279" s="66"/>
      <c r="MT279" s="66"/>
      <c r="MU279" s="66"/>
      <c r="MV279" s="66"/>
      <c r="MW279" s="66"/>
      <c r="MX279" s="66"/>
      <c r="MY279" s="66"/>
      <c r="MZ279" s="66"/>
      <c r="NA279" s="66"/>
      <c r="NB279" s="66"/>
      <c r="NC279" s="66"/>
      <c r="ND279" s="66"/>
      <c r="NE279" s="66"/>
      <c r="NF279" s="66"/>
      <c r="NG279" s="66"/>
      <c r="NH279" s="66"/>
      <c r="NI279" s="66"/>
      <c r="NJ279" s="66"/>
      <c r="NK279" s="66"/>
      <c r="NL279" s="66"/>
      <c r="NM279" s="66"/>
      <c r="NN279" s="66"/>
      <c r="NO279" s="66"/>
      <c r="NP279" s="66"/>
      <c r="NQ279" s="66"/>
      <c r="NR279" s="66"/>
      <c r="NS279" s="66"/>
      <c r="NT279" s="66"/>
      <c r="NU279" s="66"/>
      <c r="NV279" s="66"/>
      <c r="NW279" s="66"/>
      <c r="NX279" s="66"/>
      <c r="NY279" s="66"/>
      <c r="NZ279" s="66"/>
      <c r="OA279" s="66"/>
      <c r="OB279" s="66"/>
      <c r="OC279" s="66"/>
      <c r="OD279" s="66"/>
      <c r="OE279" s="66"/>
      <c r="OF279" s="66"/>
      <c r="OG279" s="66"/>
      <c r="OH279" s="66"/>
      <c r="OI279" s="66"/>
      <c r="OJ279" s="66"/>
      <c r="OK279" s="66"/>
      <c r="OL279" s="66"/>
      <c r="OM279" s="66"/>
      <c r="ON279" s="66"/>
      <c r="OO279" s="66"/>
      <c r="OP279" s="66"/>
      <c r="OQ279" s="66"/>
      <c r="OR279" s="66"/>
      <c r="OS279" s="66"/>
      <c r="OT279" s="66"/>
      <c r="OU279" s="66"/>
      <c r="OV279" s="66"/>
      <c r="OW279" s="66"/>
      <c r="OX279" s="66"/>
      <c r="OY279" s="66"/>
      <c r="OZ279" s="66"/>
      <c r="PA279" s="66"/>
      <c r="PB279" s="66"/>
      <c r="PC279" s="66"/>
      <c r="PD279" s="66"/>
      <c r="PE279" s="66"/>
      <c r="PF279" s="66"/>
      <c r="PG279" s="66"/>
      <c r="PH279" s="66"/>
      <c r="PI279" s="66"/>
      <c r="PJ279" s="66"/>
      <c r="PK279" s="66"/>
      <c r="PL279" s="66"/>
      <c r="PM279" s="66"/>
      <c r="PN279" s="66"/>
      <c r="PO279" s="66"/>
      <c r="PP279" s="66"/>
      <c r="PQ279" s="66"/>
      <c r="PR279" s="66"/>
      <c r="PS279" s="66"/>
      <c r="PT279" s="66"/>
      <c r="PU279" s="66"/>
      <c r="PV279" s="66"/>
      <c r="PW279" s="66"/>
      <c r="PX279" s="66"/>
      <c r="PY279" s="66"/>
      <c r="PZ279" s="66"/>
      <c r="QA279" s="66"/>
      <c r="QB279" s="66"/>
      <c r="QC279" s="66"/>
      <c r="QD279" s="66"/>
      <c r="QE279" s="66"/>
      <c r="QF279" s="66"/>
      <c r="QG279" s="66"/>
      <c r="QH279" s="66"/>
      <c r="QI279" s="66"/>
      <c r="QJ279" s="66"/>
      <c r="QK279" s="66"/>
      <c r="QL279" s="66"/>
      <c r="QM279" s="66"/>
      <c r="QN279" s="66"/>
      <c r="QO279" s="66"/>
      <c r="QP279" s="66"/>
      <c r="QQ279" s="66"/>
      <c r="QR279" s="66"/>
      <c r="QS279" s="66"/>
      <c r="QT279" s="66"/>
      <c r="QU279" s="66"/>
      <c r="QV279" s="66"/>
      <c r="QW279" s="66"/>
      <c r="QX279" s="66"/>
      <c r="QY279" s="66"/>
      <c r="QZ279" s="66"/>
      <c r="RA279" s="66"/>
      <c r="RB279" s="66"/>
      <c r="RC279" s="66"/>
      <c r="RD279" s="4"/>
    </row>
    <row r="280" spans="9:472" x14ac:dyDescent="0.25">
      <c r="I280" s="66"/>
      <c r="J280" s="66"/>
      <c r="K280" s="66"/>
      <c r="L280" s="66"/>
      <c r="M280" s="66"/>
      <c r="N280" s="66"/>
      <c r="O280" s="66"/>
      <c r="P280" s="66"/>
      <c r="Q280" s="66"/>
      <c r="R280" s="66"/>
      <c r="S280" s="66"/>
      <c r="T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c r="CY280" s="66"/>
      <c r="CZ280" s="66"/>
      <c r="DA280" s="66"/>
      <c r="DB280" s="66"/>
      <c r="DC280" s="66"/>
      <c r="DD280" s="66"/>
      <c r="DE280" s="66"/>
      <c r="DF280" s="66"/>
      <c r="DG280" s="66"/>
      <c r="DH280" s="66"/>
      <c r="DI280" s="66"/>
      <c r="DJ280" s="66"/>
      <c r="DK280" s="66"/>
      <c r="DL280" s="66"/>
      <c r="DM280" s="66"/>
      <c r="DN280" s="66"/>
      <c r="DO280" s="66"/>
      <c r="DP280" s="66"/>
      <c r="DQ280" s="66"/>
      <c r="DR280" s="66"/>
      <c r="DS280" s="66"/>
      <c r="DT280" s="66"/>
      <c r="DU280" s="66"/>
      <c r="DV280" s="66"/>
      <c r="DW280" s="66"/>
      <c r="DX280" s="66"/>
      <c r="DY280" s="66"/>
      <c r="DZ280" s="66"/>
      <c r="EA280" s="66"/>
      <c r="EB280" s="66"/>
      <c r="EC280" s="66"/>
      <c r="ED280" s="66"/>
      <c r="EE280" s="66"/>
      <c r="EF280" s="66"/>
      <c r="EG280" s="66"/>
      <c r="EH280" s="66"/>
      <c r="EI280" s="66"/>
      <c r="EJ280" s="66"/>
      <c r="EK280" s="66"/>
      <c r="EL280" s="66"/>
      <c r="EM280" s="66"/>
      <c r="EN280" s="66"/>
      <c r="EO280" s="66"/>
      <c r="EP280" s="66"/>
      <c r="EQ280" s="66"/>
      <c r="ER280" s="66"/>
      <c r="ES280" s="66"/>
      <c r="ET280" s="66"/>
      <c r="EU280" s="66"/>
      <c r="EV280" s="66"/>
      <c r="EW280" s="66"/>
      <c r="EX280" s="66"/>
      <c r="EY280" s="66"/>
      <c r="EZ280" s="66"/>
      <c r="FA280" s="66"/>
      <c r="FB280" s="66"/>
      <c r="FC280" s="66"/>
      <c r="FD280" s="66"/>
      <c r="FE280" s="66"/>
      <c r="FF280" s="66"/>
      <c r="FG280" s="66"/>
      <c r="FH280" s="66"/>
      <c r="FI280" s="66"/>
      <c r="FJ280" s="66"/>
      <c r="FK280" s="66"/>
      <c r="FL280" s="66"/>
      <c r="FM280" s="66"/>
      <c r="FN280" s="66"/>
      <c r="FO280" s="66"/>
      <c r="FP280" s="66"/>
      <c r="FQ280" s="66"/>
      <c r="FR280" s="66"/>
      <c r="FS280" s="66"/>
      <c r="FT280" s="66"/>
      <c r="FU280" s="66"/>
      <c r="FV280" s="66"/>
      <c r="FW280" s="66"/>
      <c r="FX280" s="66"/>
      <c r="FY280" s="66"/>
      <c r="FZ280" s="66"/>
      <c r="GA280" s="66"/>
      <c r="GB280" s="66"/>
      <c r="GC280" s="66"/>
      <c r="GD280" s="66"/>
      <c r="GE280" s="66"/>
      <c r="GF280" s="66"/>
      <c r="GG280" s="66"/>
      <c r="GH280" s="66"/>
      <c r="GI280" s="66"/>
      <c r="GJ280" s="66"/>
      <c r="GK280" s="66"/>
      <c r="GL280" s="66"/>
      <c r="GM280" s="66"/>
      <c r="GN280" s="66"/>
      <c r="GO280" s="66"/>
      <c r="GP280" s="66"/>
      <c r="GQ280" s="66"/>
      <c r="GR280" s="66"/>
      <c r="GS280" s="66"/>
      <c r="GT280" s="66"/>
      <c r="GU280" s="66"/>
      <c r="GV280" s="66"/>
      <c r="GW280" s="66"/>
      <c r="GX280" s="66"/>
      <c r="GY280" s="66"/>
      <c r="GZ280" s="66"/>
      <c r="HA280" s="66"/>
      <c r="HB280" s="66"/>
      <c r="HC280" s="66"/>
      <c r="HD280" s="66"/>
      <c r="HE280" s="66"/>
      <c r="HF280" s="66"/>
      <c r="HG280" s="66"/>
      <c r="HH280" s="66"/>
      <c r="HI280" s="66"/>
      <c r="HJ280" s="66"/>
      <c r="HK280" s="66"/>
      <c r="HL280" s="66"/>
      <c r="HM280" s="66"/>
      <c r="HN280" s="66"/>
      <c r="HO280" s="66"/>
      <c r="HP280" s="66"/>
      <c r="HQ280" s="66"/>
      <c r="HR280" s="66"/>
      <c r="HS280" s="66"/>
      <c r="HT280" s="66"/>
      <c r="HU280" s="66"/>
      <c r="HV280" s="66"/>
      <c r="HW280" s="66"/>
      <c r="HX280" s="66"/>
      <c r="HY280" s="66"/>
      <c r="HZ280" s="66"/>
      <c r="IA280" s="66"/>
      <c r="IB280" s="66"/>
      <c r="IC280" s="66"/>
      <c r="ID280" s="66"/>
      <c r="IE280" s="66"/>
      <c r="IF280" s="66"/>
      <c r="IG280" s="66"/>
      <c r="IH280" s="66"/>
      <c r="II280" s="66"/>
      <c r="IJ280" s="66"/>
      <c r="IK280" s="66"/>
      <c r="IL280" s="66"/>
      <c r="IM280" s="66"/>
      <c r="IN280" s="66"/>
      <c r="IO280" s="66"/>
      <c r="IP280" s="66"/>
      <c r="IQ280" s="66"/>
      <c r="IR280" s="66"/>
      <c r="IS280" s="66"/>
      <c r="IT280" s="66"/>
      <c r="IU280" s="66"/>
      <c r="IV280" s="66"/>
      <c r="IW280" s="66"/>
      <c r="IX280" s="66"/>
      <c r="IY280" s="66"/>
      <c r="IZ280" s="66"/>
      <c r="JA280" s="66"/>
      <c r="JB280" s="66"/>
      <c r="JC280" s="66"/>
      <c r="JD280" s="66"/>
      <c r="JE280" s="66"/>
      <c r="JF280" s="66"/>
      <c r="JG280" s="66"/>
      <c r="JH280" s="66"/>
      <c r="JI280" s="66"/>
      <c r="JJ280" s="66"/>
      <c r="JK280" s="66"/>
      <c r="JL280" s="66"/>
      <c r="JM280" s="66"/>
      <c r="JN280" s="66"/>
      <c r="JO280" s="66"/>
      <c r="JP280" s="66"/>
      <c r="JQ280" s="66"/>
      <c r="JR280" s="66"/>
      <c r="JS280" s="66"/>
      <c r="JT280" s="66"/>
      <c r="JU280" s="66"/>
      <c r="JV280" s="66"/>
      <c r="JW280" s="66"/>
      <c r="JX280" s="66"/>
      <c r="JY280" s="66"/>
      <c r="JZ280" s="66"/>
      <c r="KA280" s="66"/>
      <c r="KB280" s="66"/>
      <c r="KC280" s="66"/>
      <c r="KD280" s="66"/>
      <c r="KE280" s="66"/>
      <c r="KF280" s="66"/>
      <c r="KG280" s="66"/>
      <c r="KH280" s="66"/>
      <c r="KI280" s="66"/>
      <c r="KJ280" s="66"/>
      <c r="KK280" s="66"/>
      <c r="KL280" s="66"/>
      <c r="KM280" s="66"/>
      <c r="KN280" s="66"/>
      <c r="KO280" s="66"/>
      <c r="KP280" s="66"/>
      <c r="KQ280" s="66"/>
      <c r="KR280" s="66"/>
      <c r="KS280" s="66"/>
      <c r="KT280" s="66"/>
      <c r="KU280" s="66"/>
      <c r="KV280" s="66"/>
      <c r="KW280" s="66"/>
      <c r="KX280" s="66"/>
      <c r="KY280" s="66"/>
      <c r="KZ280" s="66"/>
      <c r="LA280" s="66"/>
      <c r="LB280" s="66"/>
      <c r="LC280" s="66"/>
      <c r="LD280" s="66"/>
      <c r="LE280" s="66"/>
      <c r="LF280" s="66"/>
      <c r="LG280" s="66"/>
      <c r="LH280" s="66"/>
      <c r="LI280" s="66"/>
      <c r="LJ280" s="66"/>
      <c r="LK280" s="66"/>
      <c r="LL280" s="66"/>
      <c r="LM280" s="66"/>
      <c r="LN280" s="66"/>
      <c r="LO280" s="66"/>
      <c r="LP280" s="66"/>
      <c r="LQ280" s="66"/>
      <c r="LR280" s="66"/>
      <c r="LS280" s="66"/>
      <c r="LT280" s="66"/>
      <c r="LU280" s="66"/>
      <c r="LV280" s="66"/>
      <c r="LW280" s="66"/>
      <c r="LX280" s="66"/>
      <c r="LY280" s="66"/>
      <c r="LZ280" s="66"/>
      <c r="MA280" s="66"/>
      <c r="MB280" s="66"/>
      <c r="MC280" s="66"/>
      <c r="MD280" s="66"/>
      <c r="ME280" s="66"/>
      <c r="MF280" s="66"/>
      <c r="MG280" s="66"/>
      <c r="MH280" s="66"/>
      <c r="MI280" s="66"/>
      <c r="MJ280" s="66"/>
      <c r="MK280" s="66"/>
      <c r="ML280" s="66"/>
      <c r="MM280" s="66"/>
      <c r="MN280" s="66"/>
      <c r="MO280" s="66"/>
      <c r="MP280" s="66"/>
      <c r="MQ280" s="66"/>
      <c r="MR280" s="66"/>
      <c r="MS280" s="66"/>
      <c r="MT280" s="66"/>
      <c r="MU280" s="66"/>
      <c r="MV280" s="66"/>
      <c r="MW280" s="66"/>
      <c r="MX280" s="66"/>
      <c r="MY280" s="66"/>
      <c r="MZ280" s="66"/>
      <c r="NA280" s="66"/>
      <c r="NB280" s="66"/>
      <c r="NC280" s="66"/>
      <c r="ND280" s="66"/>
      <c r="NE280" s="66"/>
      <c r="NF280" s="66"/>
      <c r="NG280" s="66"/>
      <c r="NH280" s="66"/>
      <c r="NI280" s="66"/>
      <c r="NJ280" s="66"/>
      <c r="NK280" s="66"/>
      <c r="NL280" s="66"/>
      <c r="NM280" s="66"/>
      <c r="NN280" s="66"/>
      <c r="NO280" s="66"/>
      <c r="NP280" s="66"/>
      <c r="NQ280" s="66"/>
      <c r="NR280" s="66"/>
      <c r="NS280" s="66"/>
      <c r="NT280" s="66"/>
      <c r="NU280" s="66"/>
      <c r="NV280" s="66"/>
      <c r="NW280" s="66"/>
      <c r="NX280" s="66"/>
      <c r="NY280" s="66"/>
      <c r="NZ280" s="66"/>
      <c r="OA280" s="66"/>
      <c r="OB280" s="66"/>
      <c r="OC280" s="66"/>
      <c r="OD280" s="66"/>
      <c r="OE280" s="66"/>
      <c r="OF280" s="66"/>
      <c r="OG280" s="66"/>
      <c r="OH280" s="66"/>
      <c r="OI280" s="66"/>
      <c r="OJ280" s="66"/>
      <c r="OK280" s="66"/>
      <c r="OL280" s="66"/>
      <c r="OM280" s="66"/>
      <c r="ON280" s="66"/>
      <c r="OO280" s="66"/>
      <c r="OP280" s="66"/>
      <c r="OQ280" s="66"/>
      <c r="OR280" s="66"/>
      <c r="OS280" s="66"/>
      <c r="OT280" s="66"/>
      <c r="OU280" s="66"/>
      <c r="OV280" s="66"/>
      <c r="OW280" s="66"/>
      <c r="OX280" s="66"/>
      <c r="OY280" s="66"/>
      <c r="OZ280" s="66"/>
      <c r="PA280" s="66"/>
      <c r="PB280" s="66"/>
      <c r="PC280" s="66"/>
      <c r="PD280" s="66"/>
      <c r="PE280" s="66"/>
      <c r="PF280" s="66"/>
      <c r="PG280" s="66"/>
      <c r="PH280" s="66"/>
      <c r="PI280" s="66"/>
      <c r="PJ280" s="66"/>
      <c r="PK280" s="66"/>
      <c r="PL280" s="66"/>
      <c r="PM280" s="66"/>
      <c r="PN280" s="66"/>
      <c r="PO280" s="66"/>
      <c r="PP280" s="66"/>
      <c r="PQ280" s="66"/>
      <c r="PR280" s="66"/>
      <c r="PS280" s="66"/>
      <c r="PT280" s="66"/>
      <c r="PU280" s="66"/>
      <c r="PV280" s="66"/>
      <c r="PW280" s="66"/>
      <c r="PX280" s="66"/>
      <c r="PY280" s="66"/>
      <c r="PZ280" s="66"/>
      <c r="QA280" s="66"/>
      <c r="QB280" s="66"/>
      <c r="QC280" s="66"/>
      <c r="QD280" s="66"/>
      <c r="QE280" s="66"/>
      <c r="QF280" s="66"/>
      <c r="QG280" s="66"/>
      <c r="QH280" s="66"/>
      <c r="QI280" s="66"/>
      <c r="QJ280" s="66"/>
      <c r="QK280" s="66"/>
      <c r="QL280" s="66"/>
      <c r="QM280" s="66"/>
      <c r="QN280" s="66"/>
      <c r="QO280" s="66"/>
      <c r="QP280" s="66"/>
      <c r="QQ280" s="66"/>
      <c r="QR280" s="66"/>
      <c r="QS280" s="66"/>
      <c r="QT280" s="66"/>
      <c r="QU280" s="66"/>
      <c r="QV280" s="66"/>
      <c r="QW280" s="66"/>
      <c r="QX280" s="66"/>
      <c r="QY280" s="66"/>
      <c r="QZ280" s="66"/>
      <c r="RA280" s="66"/>
      <c r="RB280" s="66"/>
      <c r="RC280" s="66"/>
      <c r="RD280" s="4"/>
    </row>
    <row r="281" spans="9:472" x14ac:dyDescent="0.25">
      <c r="I281" s="66"/>
      <c r="J281" s="66"/>
      <c r="K281" s="66"/>
      <c r="L281" s="66"/>
      <c r="M281" s="66"/>
      <c r="N281" s="66"/>
      <c r="O281" s="66"/>
      <c r="P281" s="66"/>
      <c r="Q281" s="66"/>
      <c r="R281" s="66"/>
      <c r="S281" s="66"/>
      <c r="T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c r="CY281" s="66"/>
      <c r="CZ281" s="66"/>
      <c r="DA281" s="66"/>
      <c r="DB281" s="66"/>
      <c r="DC281" s="66"/>
      <c r="DD281" s="66"/>
      <c r="DE281" s="66"/>
      <c r="DF281" s="66"/>
      <c r="DG281" s="66"/>
      <c r="DH281" s="66"/>
      <c r="DI281" s="66"/>
      <c r="DJ281" s="66"/>
      <c r="DK281" s="66"/>
      <c r="DL281" s="66"/>
      <c r="DM281" s="66"/>
      <c r="DN281" s="66"/>
      <c r="DO281" s="66"/>
      <c r="DP281" s="66"/>
      <c r="DQ281" s="66"/>
      <c r="DR281" s="66"/>
      <c r="DS281" s="66"/>
      <c r="DT281" s="66"/>
      <c r="DU281" s="66"/>
      <c r="DV281" s="66"/>
      <c r="DW281" s="66"/>
      <c r="DX281" s="66"/>
      <c r="DY281" s="66"/>
      <c r="DZ281" s="66"/>
      <c r="EA281" s="66"/>
      <c r="EB281" s="66"/>
      <c r="EC281" s="66"/>
      <c r="ED281" s="66"/>
      <c r="EE281" s="66"/>
      <c r="EF281" s="66"/>
      <c r="EG281" s="66"/>
      <c r="EH281" s="66"/>
      <c r="EI281" s="66"/>
      <c r="EJ281" s="66"/>
      <c r="EK281" s="66"/>
      <c r="EL281" s="66"/>
      <c r="EM281" s="66"/>
      <c r="EN281" s="66"/>
      <c r="EO281" s="66"/>
      <c r="EP281" s="66"/>
      <c r="EQ281" s="66"/>
      <c r="ER281" s="66"/>
      <c r="ES281" s="66"/>
      <c r="ET281" s="66"/>
      <c r="EU281" s="66"/>
      <c r="EV281" s="66"/>
      <c r="EW281" s="66"/>
      <c r="EX281" s="66"/>
      <c r="EY281" s="66"/>
      <c r="EZ281" s="66"/>
      <c r="FA281" s="66"/>
      <c r="FB281" s="66"/>
      <c r="FC281" s="66"/>
      <c r="FD281" s="66"/>
      <c r="FE281" s="66"/>
      <c r="FF281" s="66"/>
      <c r="FG281" s="66"/>
      <c r="FH281" s="66"/>
      <c r="FI281" s="66"/>
      <c r="FJ281" s="66"/>
      <c r="FK281" s="66"/>
      <c r="FL281" s="66"/>
      <c r="FM281" s="66"/>
      <c r="FN281" s="66"/>
      <c r="FO281" s="66"/>
      <c r="FP281" s="66"/>
      <c r="FQ281" s="66"/>
      <c r="FR281" s="66"/>
      <c r="FS281" s="66"/>
      <c r="FT281" s="66"/>
      <c r="FU281" s="66"/>
      <c r="FV281" s="66"/>
      <c r="FW281" s="66"/>
      <c r="FX281" s="66"/>
      <c r="FY281" s="66"/>
      <c r="FZ281" s="66"/>
      <c r="GA281" s="66"/>
      <c r="GB281" s="66"/>
      <c r="GC281" s="66"/>
      <c r="GD281" s="66"/>
      <c r="GE281" s="66"/>
      <c r="GF281" s="66"/>
      <c r="GG281" s="66"/>
      <c r="GH281" s="66"/>
      <c r="GI281" s="66"/>
      <c r="GJ281" s="66"/>
      <c r="GK281" s="66"/>
      <c r="GL281" s="66"/>
      <c r="GM281" s="66"/>
      <c r="GN281" s="66"/>
      <c r="GO281" s="66"/>
      <c r="GP281" s="66"/>
      <c r="GQ281" s="66"/>
      <c r="GR281" s="66"/>
      <c r="GS281" s="66"/>
      <c r="GT281" s="66"/>
      <c r="GU281" s="66"/>
      <c r="GV281" s="66"/>
      <c r="GW281" s="66"/>
      <c r="GX281" s="66"/>
      <c r="GY281" s="66"/>
      <c r="GZ281" s="66"/>
      <c r="HA281" s="66"/>
      <c r="HB281" s="66"/>
      <c r="HC281" s="66"/>
      <c r="HD281" s="66"/>
      <c r="HE281" s="66"/>
      <c r="HF281" s="66"/>
      <c r="HG281" s="66"/>
      <c r="HH281" s="66"/>
      <c r="HI281" s="66"/>
      <c r="HJ281" s="66"/>
      <c r="HK281" s="66"/>
      <c r="HL281" s="66"/>
      <c r="HM281" s="66"/>
      <c r="HN281" s="66"/>
      <c r="HO281" s="66"/>
      <c r="HP281" s="66"/>
      <c r="HQ281" s="66"/>
      <c r="HR281" s="66"/>
      <c r="HS281" s="66"/>
      <c r="HT281" s="66"/>
      <c r="HU281" s="66"/>
      <c r="HV281" s="66"/>
      <c r="HW281" s="66"/>
      <c r="HX281" s="66"/>
      <c r="HY281" s="66"/>
      <c r="HZ281" s="66"/>
      <c r="IA281" s="66"/>
      <c r="IB281" s="66"/>
      <c r="IC281" s="66"/>
      <c r="ID281" s="66"/>
      <c r="IE281" s="66"/>
      <c r="IF281" s="66"/>
      <c r="IG281" s="66"/>
      <c r="IH281" s="66"/>
      <c r="II281" s="66"/>
      <c r="IJ281" s="66"/>
      <c r="IK281" s="66"/>
      <c r="IL281" s="66"/>
      <c r="IM281" s="66"/>
      <c r="IN281" s="66"/>
      <c r="IO281" s="66"/>
      <c r="IP281" s="66"/>
      <c r="IQ281" s="66"/>
      <c r="IR281" s="66"/>
      <c r="IS281" s="66"/>
      <c r="IT281" s="66"/>
      <c r="IU281" s="66"/>
      <c r="IV281" s="66"/>
      <c r="IW281" s="66"/>
      <c r="IX281" s="66"/>
      <c r="IY281" s="66"/>
      <c r="IZ281" s="66"/>
      <c r="JA281" s="66"/>
      <c r="JB281" s="66"/>
      <c r="JC281" s="66"/>
      <c r="JD281" s="66"/>
      <c r="JE281" s="66"/>
      <c r="JF281" s="66"/>
      <c r="JG281" s="66"/>
      <c r="JH281" s="66"/>
      <c r="JI281" s="66"/>
      <c r="JJ281" s="66"/>
      <c r="JK281" s="66"/>
      <c r="JL281" s="66"/>
      <c r="JM281" s="66"/>
      <c r="JN281" s="66"/>
      <c r="JO281" s="66"/>
      <c r="JP281" s="66"/>
      <c r="JQ281" s="66"/>
      <c r="JR281" s="66"/>
      <c r="JS281" s="66"/>
      <c r="JT281" s="66"/>
      <c r="JU281" s="66"/>
      <c r="JV281" s="66"/>
      <c r="JW281" s="66"/>
      <c r="JX281" s="66"/>
      <c r="JY281" s="66"/>
      <c r="JZ281" s="66"/>
      <c r="KA281" s="66"/>
      <c r="KB281" s="66"/>
      <c r="KC281" s="66"/>
      <c r="KD281" s="66"/>
      <c r="KE281" s="66"/>
      <c r="KF281" s="66"/>
      <c r="KG281" s="66"/>
      <c r="KH281" s="66"/>
      <c r="KI281" s="66"/>
      <c r="KJ281" s="66"/>
      <c r="KK281" s="66"/>
      <c r="KL281" s="66"/>
      <c r="KM281" s="66"/>
      <c r="KN281" s="66"/>
      <c r="KO281" s="66"/>
      <c r="KP281" s="66"/>
      <c r="KQ281" s="66"/>
      <c r="KR281" s="66"/>
      <c r="KS281" s="66"/>
      <c r="KT281" s="66"/>
      <c r="KU281" s="66"/>
      <c r="KV281" s="66"/>
      <c r="KW281" s="66"/>
      <c r="KX281" s="66"/>
      <c r="KY281" s="66"/>
      <c r="KZ281" s="66"/>
      <c r="LA281" s="66"/>
      <c r="LB281" s="66"/>
      <c r="LC281" s="66"/>
      <c r="LD281" s="66"/>
      <c r="LE281" s="66"/>
      <c r="LF281" s="66"/>
      <c r="LG281" s="66"/>
      <c r="LH281" s="66"/>
      <c r="LI281" s="66"/>
      <c r="LJ281" s="66"/>
      <c r="LK281" s="66"/>
      <c r="LL281" s="66"/>
      <c r="LM281" s="66"/>
      <c r="LN281" s="66"/>
      <c r="LO281" s="66"/>
      <c r="LP281" s="66"/>
      <c r="LQ281" s="66"/>
      <c r="LR281" s="66"/>
      <c r="LS281" s="66"/>
      <c r="LT281" s="66"/>
      <c r="LU281" s="66"/>
      <c r="LV281" s="66"/>
      <c r="LW281" s="66"/>
      <c r="LX281" s="66"/>
      <c r="LY281" s="66"/>
      <c r="LZ281" s="66"/>
      <c r="MA281" s="66"/>
      <c r="MB281" s="66"/>
      <c r="MC281" s="66"/>
      <c r="MD281" s="66"/>
      <c r="ME281" s="66"/>
      <c r="MF281" s="66"/>
      <c r="MG281" s="66"/>
      <c r="MH281" s="66"/>
      <c r="MI281" s="66"/>
      <c r="MJ281" s="66"/>
      <c r="MK281" s="66"/>
      <c r="ML281" s="66"/>
      <c r="MM281" s="66"/>
      <c r="MN281" s="66"/>
      <c r="MO281" s="66"/>
      <c r="MP281" s="66"/>
      <c r="MQ281" s="66"/>
      <c r="MR281" s="66"/>
      <c r="MS281" s="66"/>
      <c r="MT281" s="66"/>
      <c r="MU281" s="66"/>
      <c r="MV281" s="66"/>
      <c r="MW281" s="66"/>
      <c r="MX281" s="66"/>
      <c r="MY281" s="66"/>
      <c r="MZ281" s="66"/>
      <c r="NA281" s="66"/>
      <c r="NB281" s="66"/>
      <c r="NC281" s="66"/>
      <c r="ND281" s="66"/>
      <c r="NE281" s="66"/>
      <c r="NF281" s="66"/>
      <c r="NG281" s="66"/>
      <c r="NH281" s="66"/>
      <c r="NI281" s="66"/>
      <c r="NJ281" s="66"/>
      <c r="NK281" s="66"/>
      <c r="NL281" s="66"/>
      <c r="NM281" s="66"/>
      <c r="NN281" s="66"/>
      <c r="NO281" s="66"/>
      <c r="NP281" s="66"/>
      <c r="NQ281" s="66"/>
      <c r="NR281" s="66"/>
      <c r="NS281" s="66"/>
      <c r="NT281" s="66"/>
      <c r="NU281" s="66"/>
      <c r="NV281" s="66"/>
      <c r="NW281" s="66"/>
      <c r="NX281" s="66"/>
      <c r="NY281" s="66"/>
      <c r="NZ281" s="66"/>
      <c r="OA281" s="66"/>
      <c r="OB281" s="66"/>
      <c r="OC281" s="66"/>
      <c r="OD281" s="66"/>
      <c r="OE281" s="66"/>
      <c r="OF281" s="66"/>
      <c r="OG281" s="66"/>
      <c r="OH281" s="66"/>
      <c r="OI281" s="66"/>
      <c r="OJ281" s="66"/>
      <c r="OK281" s="66"/>
      <c r="OL281" s="66"/>
      <c r="OM281" s="66"/>
      <c r="ON281" s="66"/>
      <c r="OO281" s="66"/>
      <c r="OP281" s="66"/>
      <c r="OQ281" s="66"/>
      <c r="OR281" s="66"/>
      <c r="OS281" s="66"/>
      <c r="OT281" s="66"/>
      <c r="OU281" s="66"/>
      <c r="OV281" s="66"/>
      <c r="OW281" s="66"/>
      <c r="OX281" s="66"/>
      <c r="OY281" s="66"/>
      <c r="OZ281" s="66"/>
      <c r="PA281" s="66"/>
      <c r="PB281" s="66"/>
      <c r="PC281" s="66"/>
      <c r="PD281" s="66"/>
      <c r="PE281" s="66"/>
      <c r="PF281" s="66"/>
      <c r="PG281" s="66"/>
      <c r="PH281" s="66"/>
      <c r="PI281" s="66"/>
      <c r="PJ281" s="66"/>
      <c r="PK281" s="66"/>
      <c r="PL281" s="66"/>
      <c r="PM281" s="66"/>
      <c r="PN281" s="66"/>
      <c r="PO281" s="66"/>
      <c r="PP281" s="66"/>
      <c r="PQ281" s="66"/>
      <c r="PR281" s="66"/>
      <c r="PS281" s="66"/>
      <c r="PT281" s="66"/>
      <c r="PU281" s="66"/>
      <c r="PV281" s="66"/>
      <c r="PW281" s="66"/>
      <c r="PX281" s="66"/>
      <c r="PY281" s="66"/>
      <c r="PZ281" s="66"/>
      <c r="QA281" s="66"/>
      <c r="QB281" s="66"/>
      <c r="QC281" s="66"/>
      <c r="QD281" s="66"/>
      <c r="QE281" s="66"/>
      <c r="QF281" s="66"/>
      <c r="QG281" s="66"/>
      <c r="QH281" s="66"/>
      <c r="QI281" s="66"/>
      <c r="QJ281" s="66"/>
      <c r="QK281" s="66"/>
      <c r="QL281" s="66"/>
      <c r="QM281" s="66"/>
      <c r="QN281" s="66"/>
      <c r="QO281" s="66"/>
      <c r="QP281" s="66"/>
      <c r="QQ281" s="66"/>
      <c r="QR281" s="66"/>
      <c r="QS281" s="66"/>
      <c r="QT281" s="66"/>
      <c r="QU281" s="66"/>
      <c r="QV281" s="66"/>
      <c r="QW281" s="66"/>
      <c r="QX281" s="66"/>
      <c r="QY281" s="66"/>
      <c r="QZ281" s="66"/>
      <c r="RA281" s="66"/>
      <c r="RB281" s="66"/>
      <c r="RC281" s="66"/>
      <c r="RD281" s="4"/>
    </row>
    <row r="282" spans="9:472" x14ac:dyDescent="0.25">
      <c r="I282" s="66"/>
      <c r="J282" s="66"/>
      <c r="K282" s="66"/>
      <c r="L282" s="66"/>
      <c r="M282" s="66"/>
      <c r="N282" s="66"/>
      <c r="O282" s="66"/>
      <c r="P282" s="66"/>
      <c r="Q282" s="66"/>
      <c r="R282" s="66"/>
      <c r="S282" s="66"/>
      <c r="T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c r="CY282" s="66"/>
      <c r="CZ282" s="66"/>
      <c r="DA282" s="66"/>
      <c r="DB282" s="66"/>
      <c r="DC282" s="66"/>
      <c r="DD282" s="66"/>
      <c r="DE282" s="66"/>
      <c r="DF282" s="66"/>
      <c r="DG282" s="66"/>
      <c r="DH282" s="66"/>
      <c r="DI282" s="66"/>
      <c r="DJ282" s="66"/>
      <c r="DK282" s="66"/>
      <c r="DL282" s="66"/>
      <c r="DM282" s="66"/>
      <c r="DN282" s="66"/>
      <c r="DO282" s="66"/>
      <c r="DP282" s="66"/>
      <c r="DQ282" s="66"/>
      <c r="DR282" s="66"/>
      <c r="DS282" s="66"/>
      <c r="DT282" s="66"/>
      <c r="DU282" s="66"/>
      <c r="DV282" s="66"/>
      <c r="DW282" s="66"/>
      <c r="DX282" s="66"/>
      <c r="DY282" s="66"/>
      <c r="DZ282" s="66"/>
      <c r="EA282" s="66"/>
      <c r="EB282" s="66"/>
      <c r="EC282" s="66"/>
      <c r="ED282" s="66"/>
      <c r="EE282" s="66"/>
      <c r="EF282" s="66"/>
      <c r="EG282" s="66"/>
      <c r="EH282" s="66"/>
      <c r="EI282" s="66"/>
      <c r="EJ282" s="66"/>
      <c r="EK282" s="66"/>
      <c r="EL282" s="66"/>
      <c r="EM282" s="66"/>
      <c r="EN282" s="66"/>
      <c r="EO282" s="66"/>
      <c r="EP282" s="66"/>
      <c r="EQ282" s="66"/>
      <c r="ER282" s="66"/>
      <c r="ES282" s="66"/>
      <c r="ET282" s="66"/>
      <c r="EU282" s="66"/>
      <c r="EV282" s="66"/>
      <c r="EW282" s="66"/>
      <c r="EX282" s="66"/>
      <c r="EY282" s="66"/>
      <c r="EZ282" s="66"/>
      <c r="FA282" s="66"/>
      <c r="FB282" s="66"/>
      <c r="FC282" s="66"/>
      <c r="FD282" s="66"/>
      <c r="FE282" s="66"/>
      <c r="FF282" s="66"/>
      <c r="FG282" s="66"/>
      <c r="FH282" s="66"/>
      <c r="FI282" s="66"/>
      <c r="FJ282" s="66"/>
      <c r="FK282" s="66"/>
      <c r="FL282" s="66"/>
      <c r="FM282" s="66"/>
      <c r="FN282" s="66"/>
      <c r="FO282" s="66"/>
      <c r="FP282" s="66"/>
      <c r="FQ282" s="66"/>
      <c r="FR282" s="66"/>
      <c r="FS282" s="66"/>
      <c r="FT282" s="66"/>
      <c r="FU282" s="66"/>
      <c r="FV282" s="66"/>
      <c r="FW282" s="66"/>
      <c r="FX282" s="66"/>
      <c r="FY282" s="66"/>
      <c r="FZ282" s="66"/>
      <c r="GA282" s="66"/>
      <c r="GB282" s="66"/>
      <c r="GC282" s="66"/>
      <c r="GD282" s="66"/>
      <c r="GE282" s="66"/>
      <c r="GF282" s="66"/>
      <c r="GG282" s="66"/>
      <c r="GH282" s="66"/>
      <c r="GI282" s="66"/>
      <c r="GJ282" s="66"/>
      <c r="GK282" s="66"/>
      <c r="GL282" s="66"/>
      <c r="GM282" s="66"/>
      <c r="GN282" s="66"/>
      <c r="GO282" s="66"/>
      <c r="GP282" s="66"/>
      <c r="GQ282" s="66"/>
      <c r="GR282" s="66"/>
      <c r="GS282" s="66"/>
      <c r="GT282" s="66"/>
      <c r="GU282" s="66"/>
      <c r="GV282" s="66"/>
      <c r="GW282" s="66"/>
      <c r="GX282" s="66"/>
      <c r="GY282" s="66"/>
      <c r="GZ282" s="66"/>
      <c r="HA282" s="66"/>
      <c r="HB282" s="66"/>
      <c r="HC282" s="66"/>
      <c r="HD282" s="66"/>
      <c r="HE282" s="66"/>
      <c r="HF282" s="66"/>
      <c r="HG282" s="66"/>
      <c r="HH282" s="66"/>
      <c r="HI282" s="66"/>
      <c r="HJ282" s="66"/>
      <c r="HK282" s="66"/>
      <c r="HL282" s="66"/>
      <c r="HM282" s="66"/>
      <c r="HN282" s="66"/>
      <c r="HO282" s="66"/>
      <c r="HP282" s="66"/>
      <c r="HQ282" s="66"/>
      <c r="HR282" s="66"/>
      <c r="HS282" s="66"/>
      <c r="HT282" s="66"/>
      <c r="HU282" s="66"/>
      <c r="HV282" s="66"/>
      <c r="HW282" s="66"/>
      <c r="HX282" s="66"/>
      <c r="HY282" s="66"/>
      <c r="HZ282" s="66"/>
      <c r="IA282" s="66"/>
      <c r="IB282" s="66"/>
      <c r="IC282" s="66"/>
      <c r="ID282" s="66"/>
      <c r="IE282" s="66"/>
      <c r="IF282" s="66"/>
      <c r="IG282" s="66"/>
      <c r="IH282" s="66"/>
      <c r="II282" s="66"/>
      <c r="IJ282" s="66"/>
      <c r="IK282" s="66"/>
      <c r="IL282" s="66"/>
      <c r="IM282" s="66"/>
      <c r="IN282" s="66"/>
      <c r="IO282" s="66"/>
      <c r="IP282" s="66"/>
      <c r="IQ282" s="66"/>
      <c r="IR282" s="66"/>
      <c r="IS282" s="66"/>
      <c r="IT282" s="66"/>
      <c r="IU282" s="66"/>
      <c r="IV282" s="66"/>
      <c r="IW282" s="66"/>
      <c r="IX282" s="66"/>
      <c r="IY282" s="66"/>
      <c r="IZ282" s="66"/>
      <c r="JA282" s="66"/>
      <c r="JB282" s="66"/>
      <c r="JC282" s="66"/>
      <c r="JD282" s="66"/>
      <c r="JE282" s="66"/>
      <c r="JF282" s="66"/>
      <c r="JG282" s="66"/>
      <c r="JH282" s="66"/>
      <c r="JI282" s="66"/>
      <c r="JJ282" s="66"/>
      <c r="JK282" s="66"/>
      <c r="JL282" s="66"/>
      <c r="JM282" s="66"/>
      <c r="JN282" s="66"/>
      <c r="JO282" s="66"/>
      <c r="JP282" s="66"/>
      <c r="JQ282" s="66"/>
      <c r="JR282" s="66"/>
      <c r="JS282" s="66"/>
      <c r="JT282" s="66"/>
      <c r="JU282" s="66"/>
      <c r="JV282" s="66"/>
      <c r="JW282" s="66"/>
      <c r="JX282" s="66"/>
      <c r="JY282" s="66"/>
      <c r="JZ282" s="66"/>
      <c r="KA282" s="66"/>
      <c r="KB282" s="66"/>
      <c r="KC282" s="66"/>
      <c r="KD282" s="66"/>
      <c r="KE282" s="66"/>
      <c r="KF282" s="66"/>
      <c r="KG282" s="66"/>
      <c r="KH282" s="66"/>
      <c r="KI282" s="66"/>
      <c r="KJ282" s="66"/>
      <c r="KK282" s="66"/>
      <c r="KL282" s="66"/>
      <c r="KM282" s="66"/>
      <c r="KN282" s="66"/>
      <c r="KO282" s="66"/>
      <c r="KP282" s="66"/>
      <c r="KQ282" s="66"/>
      <c r="KR282" s="66"/>
      <c r="KS282" s="66"/>
      <c r="KT282" s="66"/>
      <c r="KU282" s="66"/>
      <c r="KV282" s="66"/>
      <c r="KW282" s="66"/>
      <c r="KX282" s="66"/>
      <c r="KY282" s="66"/>
      <c r="KZ282" s="66"/>
      <c r="LA282" s="66"/>
      <c r="LB282" s="66"/>
      <c r="LC282" s="66"/>
      <c r="LD282" s="66"/>
      <c r="LE282" s="66"/>
      <c r="LF282" s="66"/>
      <c r="LG282" s="66"/>
      <c r="LH282" s="66"/>
      <c r="LI282" s="66"/>
      <c r="LJ282" s="66"/>
      <c r="LK282" s="66"/>
      <c r="LL282" s="66"/>
      <c r="LM282" s="66"/>
      <c r="LN282" s="66"/>
      <c r="LO282" s="66"/>
      <c r="LP282" s="66"/>
      <c r="LQ282" s="66"/>
      <c r="LR282" s="66"/>
      <c r="LS282" s="66"/>
      <c r="LT282" s="66"/>
      <c r="LU282" s="66"/>
      <c r="LV282" s="66"/>
      <c r="LW282" s="66"/>
      <c r="LX282" s="66"/>
      <c r="LY282" s="66"/>
      <c r="LZ282" s="66"/>
      <c r="MA282" s="66"/>
      <c r="MB282" s="66"/>
      <c r="MC282" s="66"/>
      <c r="MD282" s="66"/>
      <c r="ME282" s="66"/>
      <c r="MF282" s="66"/>
      <c r="MG282" s="66"/>
      <c r="MH282" s="66"/>
      <c r="MI282" s="66"/>
      <c r="MJ282" s="66"/>
      <c r="MK282" s="66"/>
      <c r="ML282" s="66"/>
      <c r="MM282" s="66"/>
      <c r="MN282" s="66"/>
      <c r="MO282" s="66"/>
      <c r="MP282" s="66"/>
      <c r="MQ282" s="66"/>
      <c r="MR282" s="66"/>
      <c r="MS282" s="66"/>
      <c r="MT282" s="66"/>
      <c r="MU282" s="66"/>
      <c r="MV282" s="66"/>
      <c r="MW282" s="66"/>
      <c r="MX282" s="66"/>
      <c r="MY282" s="66"/>
      <c r="MZ282" s="66"/>
      <c r="NA282" s="66"/>
      <c r="NB282" s="66"/>
      <c r="NC282" s="66"/>
      <c r="ND282" s="66"/>
      <c r="NE282" s="66"/>
      <c r="NF282" s="66"/>
      <c r="NG282" s="66"/>
      <c r="NH282" s="66"/>
      <c r="NI282" s="66"/>
      <c r="NJ282" s="66"/>
      <c r="NK282" s="66"/>
      <c r="NL282" s="66"/>
      <c r="NM282" s="66"/>
      <c r="NN282" s="66"/>
      <c r="NO282" s="66"/>
      <c r="NP282" s="66"/>
      <c r="NQ282" s="66"/>
      <c r="NR282" s="66"/>
      <c r="NS282" s="66"/>
      <c r="NT282" s="66"/>
      <c r="NU282" s="66"/>
      <c r="NV282" s="66"/>
      <c r="NW282" s="66"/>
      <c r="NX282" s="66"/>
      <c r="NY282" s="66"/>
      <c r="NZ282" s="66"/>
      <c r="OA282" s="66"/>
      <c r="OB282" s="66"/>
      <c r="OC282" s="66"/>
      <c r="OD282" s="66"/>
      <c r="OE282" s="66"/>
      <c r="OF282" s="66"/>
      <c r="OG282" s="66"/>
      <c r="OH282" s="66"/>
      <c r="OI282" s="66"/>
      <c r="OJ282" s="66"/>
      <c r="OK282" s="66"/>
      <c r="OL282" s="66"/>
      <c r="OM282" s="66"/>
      <c r="ON282" s="66"/>
      <c r="OO282" s="66"/>
      <c r="OP282" s="66"/>
      <c r="OQ282" s="66"/>
      <c r="OR282" s="66"/>
      <c r="OS282" s="66"/>
      <c r="OT282" s="66"/>
      <c r="OU282" s="66"/>
      <c r="OV282" s="66"/>
      <c r="OW282" s="66"/>
      <c r="OX282" s="66"/>
      <c r="OY282" s="66"/>
      <c r="OZ282" s="66"/>
      <c r="PA282" s="66"/>
      <c r="PB282" s="66"/>
      <c r="PC282" s="66"/>
      <c r="PD282" s="66"/>
      <c r="PE282" s="66"/>
      <c r="PF282" s="66"/>
      <c r="PG282" s="66"/>
      <c r="PH282" s="66"/>
      <c r="PI282" s="66"/>
      <c r="PJ282" s="66"/>
      <c r="PK282" s="66"/>
      <c r="PL282" s="66"/>
      <c r="PM282" s="66"/>
      <c r="PN282" s="66"/>
      <c r="PO282" s="66"/>
      <c r="PP282" s="66"/>
      <c r="PQ282" s="66"/>
      <c r="PR282" s="66"/>
      <c r="PS282" s="66"/>
      <c r="PT282" s="66"/>
      <c r="PU282" s="66"/>
      <c r="PV282" s="66"/>
      <c r="PW282" s="66"/>
      <c r="PX282" s="66"/>
      <c r="PY282" s="66"/>
      <c r="PZ282" s="66"/>
      <c r="QA282" s="66"/>
      <c r="QB282" s="66"/>
      <c r="QC282" s="66"/>
      <c r="QD282" s="66"/>
      <c r="QE282" s="66"/>
      <c r="QF282" s="66"/>
      <c r="QG282" s="66"/>
      <c r="QH282" s="66"/>
      <c r="QI282" s="66"/>
      <c r="QJ282" s="66"/>
      <c r="QK282" s="66"/>
      <c r="QL282" s="66"/>
      <c r="QM282" s="66"/>
      <c r="QN282" s="66"/>
      <c r="QO282" s="66"/>
      <c r="QP282" s="66"/>
      <c r="QQ282" s="66"/>
      <c r="QR282" s="66"/>
      <c r="QS282" s="66"/>
      <c r="QT282" s="66"/>
      <c r="QU282" s="66"/>
      <c r="QV282" s="66"/>
      <c r="QW282" s="66"/>
      <c r="QX282" s="66"/>
      <c r="QY282" s="66"/>
      <c r="QZ282" s="66"/>
      <c r="RA282" s="66"/>
      <c r="RB282" s="66"/>
      <c r="RC282" s="66"/>
      <c r="RD282" s="4"/>
    </row>
    <row r="283" spans="9:472" x14ac:dyDescent="0.25">
      <c r="I283" s="66"/>
      <c r="J283" s="66"/>
      <c r="K283" s="66"/>
      <c r="L283" s="66"/>
      <c r="M283" s="66"/>
      <c r="N283" s="66"/>
      <c r="O283" s="66"/>
      <c r="P283" s="66"/>
      <c r="Q283" s="66"/>
      <c r="R283" s="66"/>
      <c r="S283" s="66"/>
      <c r="T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c r="CY283" s="66"/>
      <c r="CZ283" s="66"/>
      <c r="DA283" s="66"/>
      <c r="DB283" s="66"/>
      <c r="DC283" s="66"/>
      <c r="DD283" s="66"/>
      <c r="DE283" s="66"/>
      <c r="DF283" s="66"/>
      <c r="DG283" s="66"/>
      <c r="DH283" s="66"/>
      <c r="DI283" s="66"/>
      <c r="DJ283" s="66"/>
      <c r="DK283" s="66"/>
      <c r="DL283" s="66"/>
      <c r="DM283" s="66"/>
      <c r="DN283" s="66"/>
      <c r="DO283" s="66"/>
      <c r="DP283" s="66"/>
      <c r="DQ283" s="66"/>
      <c r="DR283" s="66"/>
      <c r="DS283" s="66"/>
      <c r="DT283" s="66"/>
      <c r="DU283" s="66"/>
      <c r="DV283" s="66"/>
      <c r="DW283" s="66"/>
      <c r="DX283" s="66"/>
      <c r="DY283" s="66"/>
      <c r="DZ283" s="66"/>
      <c r="EA283" s="66"/>
      <c r="EB283" s="66"/>
      <c r="EC283" s="66"/>
      <c r="ED283" s="66"/>
      <c r="EE283" s="66"/>
      <c r="EF283" s="66"/>
      <c r="EG283" s="66"/>
      <c r="EH283" s="66"/>
      <c r="EI283" s="66"/>
      <c r="EJ283" s="66"/>
      <c r="EK283" s="66"/>
      <c r="EL283" s="66"/>
      <c r="EM283" s="66"/>
      <c r="EN283" s="66"/>
      <c r="EO283" s="66"/>
      <c r="EP283" s="66"/>
      <c r="EQ283" s="66"/>
      <c r="ER283" s="66"/>
      <c r="ES283" s="66"/>
      <c r="ET283" s="66"/>
      <c r="EU283" s="66"/>
      <c r="EV283" s="66"/>
      <c r="EW283" s="66"/>
      <c r="EX283" s="66"/>
      <c r="EY283" s="66"/>
      <c r="EZ283" s="66"/>
      <c r="FA283" s="66"/>
      <c r="FB283" s="66"/>
      <c r="FC283" s="66"/>
      <c r="FD283" s="66"/>
      <c r="FE283" s="66"/>
      <c r="FF283" s="66"/>
      <c r="FG283" s="66"/>
      <c r="FH283" s="66"/>
      <c r="FI283" s="66"/>
      <c r="FJ283" s="66"/>
      <c r="FK283" s="66"/>
      <c r="FL283" s="66"/>
      <c r="FM283" s="66"/>
      <c r="FN283" s="66"/>
      <c r="FO283" s="66"/>
      <c r="FP283" s="66"/>
      <c r="FQ283" s="66"/>
      <c r="FR283" s="66"/>
      <c r="FS283" s="66"/>
      <c r="FT283" s="66"/>
      <c r="FU283" s="66"/>
      <c r="FV283" s="66"/>
      <c r="FW283" s="66"/>
      <c r="FX283" s="66"/>
      <c r="FY283" s="66"/>
      <c r="FZ283" s="66"/>
      <c r="GA283" s="66"/>
      <c r="GB283" s="66"/>
      <c r="GC283" s="66"/>
      <c r="GD283" s="66"/>
      <c r="GE283" s="66"/>
      <c r="GF283" s="66"/>
      <c r="GG283" s="66"/>
      <c r="GH283" s="66"/>
      <c r="GI283" s="66"/>
      <c r="GJ283" s="66"/>
      <c r="GK283" s="66"/>
      <c r="GL283" s="66"/>
      <c r="GM283" s="66"/>
      <c r="GN283" s="66"/>
      <c r="GO283" s="66"/>
      <c r="GP283" s="66"/>
      <c r="GQ283" s="66"/>
      <c r="GR283" s="66"/>
      <c r="GS283" s="66"/>
      <c r="GT283" s="66"/>
      <c r="GU283" s="66"/>
      <c r="GV283" s="66"/>
      <c r="GW283" s="66"/>
      <c r="GX283" s="66"/>
      <c r="GY283" s="66"/>
      <c r="GZ283" s="66"/>
      <c r="HA283" s="66"/>
      <c r="HB283" s="66"/>
      <c r="HC283" s="66"/>
      <c r="HD283" s="66"/>
      <c r="HE283" s="66"/>
      <c r="HF283" s="66"/>
      <c r="HG283" s="66"/>
      <c r="HH283" s="66"/>
      <c r="HI283" s="66"/>
      <c r="HJ283" s="66"/>
      <c r="HK283" s="66"/>
      <c r="HL283" s="66"/>
      <c r="HM283" s="66"/>
      <c r="HN283" s="66"/>
      <c r="HO283" s="66"/>
      <c r="HP283" s="66"/>
      <c r="HQ283" s="66"/>
      <c r="HR283" s="66"/>
      <c r="HS283" s="66"/>
      <c r="HT283" s="66"/>
      <c r="HU283" s="66"/>
      <c r="HV283" s="66"/>
      <c r="HW283" s="66"/>
      <c r="HX283" s="66"/>
      <c r="HY283" s="66"/>
      <c r="HZ283" s="66"/>
      <c r="IA283" s="66"/>
      <c r="IB283" s="66"/>
      <c r="IC283" s="66"/>
      <c r="ID283" s="66"/>
      <c r="IE283" s="66"/>
      <c r="IF283" s="66"/>
      <c r="IG283" s="66"/>
      <c r="IH283" s="66"/>
      <c r="II283" s="66"/>
      <c r="IJ283" s="66"/>
      <c r="IK283" s="66"/>
      <c r="IL283" s="66"/>
      <c r="IM283" s="66"/>
      <c r="IN283" s="66"/>
      <c r="IO283" s="66"/>
      <c r="IP283" s="66"/>
      <c r="IQ283" s="66"/>
      <c r="IR283" s="66"/>
      <c r="IS283" s="66"/>
      <c r="IT283" s="66"/>
      <c r="IU283" s="66"/>
      <c r="IV283" s="66"/>
      <c r="IW283" s="66"/>
      <c r="IX283" s="66"/>
      <c r="IY283" s="66"/>
      <c r="IZ283" s="66"/>
      <c r="JA283" s="66"/>
      <c r="JB283" s="66"/>
      <c r="JC283" s="66"/>
      <c r="JD283" s="66"/>
      <c r="JE283" s="66"/>
      <c r="JF283" s="66"/>
      <c r="JG283" s="66"/>
      <c r="JH283" s="66"/>
      <c r="JI283" s="66"/>
      <c r="JJ283" s="66"/>
      <c r="JK283" s="66"/>
      <c r="JL283" s="66"/>
      <c r="JM283" s="66"/>
      <c r="JN283" s="66"/>
      <c r="JO283" s="66"/>
      <c r="JP283" s="66"/>
      <c r="JQ283" s="66"/>
      <c r="JR283" s="66"/>
      <c r="JS283" s="66"/>
      <c r="JT283" s="66"/>
      <c r="JU283" s="66"/>
      <c r="JV283" s="66"/>
      <c r="JW283" s="66"/>
      <c r="JX283" s="66"/>
      <c r="JY283" s="66"/>
      <c r="JZ283" s="66"/>
      <c r="KA283" s="66"/>
      <c r="KB283" s="66"/>
      <c r="KC283" s="66"/>
      <c r="KD283" s="66"/>
      <c r="KE283" s="66"/>
      <c r="KF283" s="66"/>
      <c r="KG283" s="66"/>
      <c r="KH283" s="66"/>
      <c r="KI283" s="66"/>
      <c r="KJ283" s="66"/>
      <c r="KK283" s="66"/>
      <c r="KL283" s="66"/>
      <c r="KM283" s="66"/>
      <c r="KN283" s="66"/>
      <c r="KO283" s="66"/>
      <c r="KP283" s="66"/>
      <c r="KQ283" s="66"/>
      <c r="KR283" s="66"/>
      <c r="KS283" s="66"/>
      <c r="KT283" s="66"/>
      <c r="KU283" s="66"/>
      <c r="KV283" s="66"/>
      <c r="KW283" s="66"/>
      <c r="KX283" s="66"/>
      <c r="KY283" s="66"/>
      <c r="KZ283" s="66"/>
      <c r="LA283" s="66"/>
      <c r="LB283" s="66"/>
      <c r="LC283" s="66"/>
      <c r="LD283" s="66"/>
      <c r="LE283" s="66"/>
      <c r="LF283" s="66"/>
      <c r="LG283" s="66"/>
      <c r="LH283" s="66"/>
      <c r="LI283" s="66"/>
      <c r="LJ283" s="66"/>
      <c r="LK283" s="66"/>
      <c r="LL283" s="66"/>
      <c r="LM283" s="66"/>
      <c r="LN283" s="66"/>
      <c r="LO283" s="66"/>
      <c r="LP283" s="66"/>
      <c r="LQ283" s="66"/>
      <c r="LR283" s="66"/>
      <c r="LS283" s="66"/>
      <c r="LT283" s="66"/>
      <c r="LU283" s="66"/>
      <c r="LV283" s="66"/>
      <c r="LW283" s="66"/>
      <c r="LX283" s="66"/>
      <c r="LY283" s="66"/>
      <c r="LZ283" s="66"/>
      <c r="MA283" s="66"/>
      <c r="MB283" s="66"/>
      <c r="MC283" s="66"/>
      <c r="MD283" s="66"/>
      <c r="ME283" s="66"/>
      <c r="MF283" s="66"/>
      <c r="MG283" s="66"/>
      <c r="MH283" s="66"/>
      <c r="MI283" s="66"/>
      <c r="MJ283" s="66"/>
      <c r="MK283" s="66"/>
      <c r="ML283" s="66"/>
      <c r="MM283" s="66"/>
      <c r="MN283" s="66"/>
      <c r="MO283" s="66"/>
      <c r="MP283" s="66"/>
      <c r="MQ283" s="66"/>
      <c r="MR283" s="66"/>
      <c r="MS283" s="66"/>
      <c r="MT283" s="66"/>
      <c r="MU283" s="66"/>
      <c r="MV283" s="66"/>
      <c r="MW283" s="66"/>
      <c r="MX283" s="66"/>
      <c r="MY283" s="66"/>
      <c r="MZ283" s="66"/>
      <c r="NA283" s="66"/>
      <c r="NB283" s="66"/>
      <c r="NC283" s="66"/>
      <c r="ND283" s="66"/>
      <c r="NE283" s="66"/>
      <c r="NF283" s="66"/>
      <c r="NG283" s="66"/>
      <c r="NH283" s="66"/>
      <c r="NI283" s="66"/>
      <c r="NJ283" s="66"/>
      <c r="NK283" s="66"/>
      <c r="NL283" s="66"/>
      <c r="NM283" s="66"/>
      <c r="NN283" s="66"/>
      <c r="NO283" s="66"/>
      <c r="NP283" s="66"/>
      <c r="NQ283" s="66"/>
      <c r="NR283" s="66"/>
      <c r="NS283" s="66"/>
      <c r="NT283" s="66"/>
      <c r="NU283" s="66"/>
      <c r="NV283" s="66"/>
      <c r="NW283" s="66"/>
      <c r="NX283" s="66"/>
      <c r="NY283" s="66"/>
      <c r="NZ283" s="66"/>
      <c r="OA283" s="66"/>
      <c r="OB283" s="66"/>
      <c r="OC283" s="66"/>
      <c r="OD283" s="66"/>
      <c r="OE283" s="66"/>
      <c r="OF283" s="66"/>
      <c r="OG283" s="66"/>
      <c r="OH283" s="66"/>
      <c r="OI283" s="66"/>
      <c r="OJ283" s="66"/>
      <c r="OK283" s="66"/>
      <c r="OL283" s="66"/>
      <c r="OM283" s="66"/>
      <c r="ON283" s="66"/>
      <c r="OO283" s="66"/>
      <c r="OP283" s="66"/>
      <c r="OQ283" s="66"/>
      <c r="OR283" s="66"/>
      <c r="OS283" s="66"/>
      <c r="OT283" s="66"/>
      <c r="OU283" s="66"/>
      <c r="OV283" s="66"/>
      <c r="OW283" s="66"/>
      <c r="OX283" s="66"/>
      <c r="OY283" s="66"/>
      <c r="OZ283" s="66"/>
      <c r="PA283" s="66"/>
      <c r="PB283" s="66"/>
      <c r="PC283" s="66"/>
      <c r="PD283" s="66"/>
      <c r="PE283" s="66"/>
      <c r="PF283" s="66"/>
      <c r="PG283" s="66"/>
      <c r="PH283" s="66"/>
      <c r="PI283" s="66"/>
      <c r="PJ283" s="66"/>
      <c r="PK283" s="66"/>
      <c r="PL283" s="66"/>
      <c r="PM283" s="66"/>
      <c r="PN283" s="66"/>
      <c r="PO283" s="66"/>
      <c r="PP283" s="66"/>
      <c r="PQ283" s="66"/>
      <c r="PR283" s="66"/>
      <c r="PS283" s="66"/>
      <c r="PT283" s="66"/>
      <c r="PU283" s="66"/>
      <c r="PV283" s="66"/>
      <c r="PW283" s="66"/>
      <c r="PX283" s="66"/>
      <c r="PY283" s="66"/>
      <c r="PZ283" s="66"/>
      <c r="QA283" s="66"/>
      <c r="QB283" s="66"/>
      <c r="QC283" s="66"/>
      <c r="QD283" s="66"/>
      <c r="QE283" s="66"/>
      <c r="QF283" s="66"/>
      <c r="QG283" s="66"/>
      <c r="QH283" s="66"/>
      <c r="QI283" s="66"/>
      <c r="QJ283" s="66"/>
      <c r="QK283" s="66"/>
      <c r="QL283" s="66"/>
      <c r="QM283" s="66"/>
      <c r="QN283" s="66"/>
      <c r="QO283" s="66"/>
      <c r="QP283" s="66"/>
      <c r="QQ283" s="66"/>
      <c r="QR283" s="66"/>
      <c r="QS283" s="66"/>
      <c r="QT283" s="66"/>
      <c r="QU283" s="66"/>
      <c r="QV283" s="66"/>
      <c r="QW283" s="66"/>
      <c r="QX283" s="66"/>
      <c r="QY283" s="66"/>
      <c r="QZ283" s="66"/>
      <c r="RA283" s="66"/>
      <c r="RB283" s="66"/>
      <c r="RC283" s="66"/>
      <c r="RD283" s="4"/>
    </row>
    <row r="284" spans="9:472" x14ac:dyDescent="0.25">
      <c r="I284" s="66"/>
      <c r="J284" s="66"/>
      <c r="K284" s="66"/>
      <c r="L284" s="66"/>
      <c r="M284" s="66"/>
      <c r="N284" s="66"/>
      <c r="O284" s="66"/>
      <c r="P284" s="66"/>
      <c r="Q284" s="66"/>
      <c r="R284" s="66"/>
      <c r="S284" s="66"/>
      <c r="T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c r="CY284" s="66"/>
      <c r="CZ284" s="66"/>
      <c r="DA284" s="66"/>
      <c r="DB284" s="66"/>
      <c r="DC284" s="66"/>
      <c r="DD284" s="66"/>
      <c r="DE284" s="66"/>
      <c r="DF284" s="66"/>
      <c r="DG284" s="66"/>
      <c r="DH284" s="66"/>
      <c r="DI284" s="66"/>
      <c r="DJ284" s="66"/>
      <c r="DK284" s="66"/>
      <c r="DL284" s="66"/>
      <c r="DM284" s="66"/>
      <c r="DN284" s="66"/>
      <c r="DO284" s="66"/>
      <c r="DP284" s="66"/>
      <c r="DQ284" s="66"/>
      <c r="DR284" s="66"/>
      <c r="DS284" s="66"/>
      <c r="DT284" s="66"/>
      <c r="DU284" s="66"/>
      <c r="DV284" s="66"/>
      <c r="DW284" s="66"/>
      <c r="DX284" s="66"/>
      <c r="DY284" s="66"/>
      <c r="DZ284" s="66"/>
      <c r="EA284" s="66"/>
      <c r="EB284" s="66"/>
      <c r="EC284" s="66"/>
      <c r="ED284" s="66"/>
      <c r="EE284" s="66"/>
      <c r="EF284" s="66"/>
      <c r="EG284" s="66"/>
      <c r="EH284" s="66"/>
      <c r="EI284" s="66"/>
      <c r="EJ284" s="66"/>
      <c r="EK284" s="66"/>
      <c r="EL284" s="66"/>
      <c r="EM284" s="66"/>
      <c r="EN284" s="66"/>
      <c r="EO284" s="66"/>
      <c r="EP284" s="66"/>
      <c r="EQ284" s="66"/>
      <c r="ER284" s="66"/>
      <c r="ES284" s="66"/>
      <c r="ET284" s="66"/>
      <c r="EU284" s="66"/>
      <c r="EV284" s="66"/>
      <c r="EW284" s="66"/>
      <c r="EX284" s="66"/>
      <c r="EY284" s="66"/>
      <c r="EZ284" s="66"/>
      <c r="FA284" s="66"/>
      <c r="FB284" s="66"/>
      <c r="FC284" s="66"/>
      <c r="FD284" s="66"/>
      <c r="FE284" s="66"/>
      <c r="FF284" s="66"/>
      <c r="FG284" s="66"/>
      <c r="FH284" s="66"/>
      <c r="FI284" s="66"/>
      <c r="FJ284" s="66"/>
      <c r="FK284" s="66"/>
      <c r="FL284" s="66"/>
      <c r="FM284" s="66"/>
      <c r="FN284" s="66"/>
      <c r="FO284" s="66"/>
      <c r="FP284" s="66"/>
      <c r="FQ284" s="66"/>
      <c r="FR284" s="66"/>
      <c r="FS284" s="66"/>
      <c r="FT284" s="66"/>
      <c r="FU284" s="66"/>
      <c r="FV284" s="66"/>
      <c r="FW284" s="66"/>
      <c r="FX284" s="66"/>
      <c r="FY284" s="66"/>
      <c r="FZ284" s="66"/>
      <c r="GA284" s="66"/>
      <c r="GB284" s="66"/>
      <c r="GC284" s="66"/>
      <c r="GD284" s="66"/>
      <c r="GE284" s="66"/>
      <c r="GF284" s="66"/>
      <c r="GG284" s="66"/>
      <c r="GH284" s="66"/>
      <c r="GI284" s="66"/>
      <c r="GJ284" s="66"/>
      <c r="GK284" s="66"/>
      <c r="GL284" s="66"/>
      <c r="GM284" s="66"/>
      <c r="GN284" s="66"/>
      <c r="GO284" s="66"/>
      <c r="GP284" s="66"/>
      <c r="GQ284" s="66"/>
      <c r="GR284" s="66"/>
      <c r="GS284" s="66"/>
      <c r="GT284" s="66"/>
      <c r="GU284" s="66"/>
      <c r="GV284" s="66"/>
      <c r="GW284" s="66"/>
      <c r="GX284" s="66"/>
      <c r="GY284" s="66"/>
      <c r="GZ284" s="66"/>
      <c r="HA284" s="66"/>
      <c r="HB284" s="66"/>
      <c r="HC284" s="66"/>
      <c r="HD284" s="66"/>
      <c r="HE284" s="66"/>
      <c r="HF284" s="66"/>
      <c r="HG284" s="66"/>
      <c r="HH284" s="66"/>
      <c r="HI284" s="66"/>
      <c r="HJ284" s="66"/>
      <c r="HK284" s="66"/>
      <c r="HL284" s="66"/>
      <c r="HM284" s="66"/>
      <c r="HN284" s="66"/>
      <c r="HO284" s="66"/>
      <c r="HP284" s="66"/>
      <c r="HQ284" s="66"/>
      <c r="HR284" s="66"/>
      <c r="HS284" s="66"/>
      <c r="HT284" s="66"/>
      <c r="HU284" s="66"/>
      <c r="HV284" s="66"/>
      <c r="HW284" s="66"/>
      <c r="HX284" s="66"/>
      <c r="HY284" s="66"/>
      <c r="HZ284" s="66"/>
      <c r="IA284" s="66"/>
      <c r="IB284" s="66"/>
      <c r="IC284" s="66"/>
      <c r="ID284" s="66"/>
      <c r="IE284" s="66"/>
      <c r="IF284" s="66"/>
      <c r="IG284" s="66"/>
      <c r="IH284" s="66"/>
      <c r="II284" s="66"/>
      <c r="IJ284" s="66"/>
      <c r="IK284" s="66"/>
      <c r="IL284" s="66"/>
      <c r="IM284" s="66"/>
      <c r="IN284" s="66"/>
      <c r="IO284" s="66"/>
      <c r="IP284" s="66"/>
      <c r="IQ284" s="66"/>
      <c r="IR284" s="66"/>
      <c r="IS284" s="66"/>
      <c r="IT284" s="66"/>
      <c r="IU284" s="66"/>
      <c r="IV284" s="66"/>
      <c r="IW284" s="66"/>
      <c r="IX284" s="66"/>
      <c r="IY284" s="66"/>
      <c r="IZ284" s="66"/>
      <c r="JA284" s="66"/>
      <c r="JB284" s="66"/>
      <c r="JC284" s="66"/>
      <c r="JD284" s="66"/>
      <c r="JE284" s="66"/>
      <c r="JF284" s="66"/>
      <c r="JG284" s="66"/>
      <c r="JH284" s="66"/>
      <c r="JI284" s="66"/>
      <c r="JJ284" s="66"/>
      <c r="JK284" s="66"/>
      <c r="JL284" s="66"/>
      <c r="JM284" s="66"/>
      <c r="JN284" s="66"/>
      <c r="JO284" s="66"/>
      <c r="JP284" s="66"/>
      <c r="JQ284" s="66"/>
      <c r="JR284" s="66"/>
      <c r="JS284" s="66"/>
      <c r="JT284" s="66"/>
      <c r="JU284" s="66"/>
      <c r="JV284" s="66"/>
      <c r="JW284" s="66"/>
      <c r="JX284" s="66"/>
      <c r="JY284" s="66"/>
      <c r="JZ284" s="66"/>
      <c r="KA284" s="66"/>
      <c r="KB284" s="66"/>
      <c r="KC284" s="66"/>
      <c r="KD284" s="66"/>
      <c r="KE284" s="66"/>
      <c r="KF284" s="66"/>
      <c r="KG284" s="66"/>
      <c r="KH284" s="66"/>
      <c r="KI284" s="66"/>
      <c r="KJ284" s="66"/>
      <c r="KK284" s="66"/>
      <c r="KL284" s="66"/>
      <c r="KM284" s="66"/>
      <c r="KN284" s="66"/>
      <c r="KO284" s="66"/>
      <c r="KP284" s="66"/>
      <c r="KQ284" s="66"/>
      <c r="KR284" s="66"/>
      <c r="KS284" s="66"/>
      <c r="KT284" s="66"/>
      <c r="KU284" s="66"/>
      <c r="KV284" s="66"/>
      <c r="KW284" s="66"/>
      <c r="KX284" s="66"/>
      <c r="KY284" s="66"/>
      <c r="KZ284" s="66"/>
      <c r="LA284" s="66"/>
      <c r="LB284" s="66"/>
      <c r="LC284" s="66"/>
      <c r="LD284" s="66"/>
      <c r="LE284" s="66"/>
      <c r="LF284" s="66"/>
      <c r="LG284" s="66"/>
      <c r="LH284" s="66"/>
      <c r="LI284" s="66"/>
      <c r="LJ284" s="66"/>
      <c r="LK284" s="66"/>
      <c r="LL284" s="66"/>
      <c r="LM284" s="66"/>
      <c r="LN284" s="66"/>
      <c r="LO284" s="66"/>
      <c r="LP284" s="66"/>
      <c r="LQ284" s="66"/>
      <c r="LR284" s="66"/>
      <c r="LS284" s="66"/>
      <c r="LT284" s="66"/>
      <c r="LU284" s="66"/>
      <c r="LV284" s="66"/>
      <c r="LW284" s="66"/>
      <c r="LX284" s="66"/>
      <c r="LY284" s="66"/>
      <c r="LZ284" s="66"/>
      <c r="MA284" s="66"/>
      <c r="MB284" s="66"/>
      <c r="MC284" s="66"/>
      <c r="MD284" s="66"/>
      <c r="ME284" s="66"/>
      <c r="MF284" s="66"/>
      <c r="MG284" s="66"/>
      <c r="MH284" s="66"/>
      <c r="MI284" s="66"/>
      <c r="MJ284" s="66"/>
      <c r="MK284" s="66"/>
      <c r="ML284" s="66"/>
      <c r="MM284" s="66"/>
      <c r="MN284" s="66"/>
      <c r="MO284" s="66"/>
      <c r="MP284" s="66"/>
      <c r="MQ284" s="66"/>
      <c r="MR284" s="66"/>
      <c r="MS284" s="66"/>
      <c r="MT284" s="66"/>
      <c r="MU284" s="66"/>
      <c r="MV284" s="66"/>
      <c r="MW284" s="66"/>
      <c r="MX284" s="66"/>
      <c r="MY284" s="66"/>
      <c r="MZ284" s="66"/>
      <c r="NA284" s="66"/>
      <c r="NB284" s="66"/>
      <c r="NC284" s="66"/>
      <c r="ND284" s="66"/>
      <c r="NE284" s="66"/>
      <c r="NF284" s="66"/>
      <c r="NG284" s="66"/>
      <c r="NH284" s="66"/>
      <c r="NI284" s="66"/>
      <c r="NJ284" s="66"/>
      <c r="NK284" s="66"/>
      <c r="NL284" s="66"/>
      <c r="NM284" s="66"/>
      <c r="NN284" s="66"/>
      <c r="NO284" s="66"/>
      <c r="NP284" s="66"/>
      <c r="NQ284" s="66"/>
      <c r="NR284" s="66"/>
      <c r="NS284" s="66"/>
      <c r="NT284" s="66"/>
      <c r="NU284" s="66"/>
      <c r="NV284" s="66"/>
      <c r="NW284" s="66"/>
      <c r="NX284" s="66"/>
      <c r="NY284" s="66"/>
      <c r="NZ284" s="66"/>
      <c r="OA284" s="66"/>
      <c r="OB284" s="66"/>
      <c r="OC284" s="66"/>
      <c r="OD284" s="66"/>
      <c r="OE284" s="66"/>
      <c r="OF284" s="66"/>
      <c r="OG284" s="66"/>
      <c r="OH284" s="66"/>
      <c r="OI284" s="66"/>
      <c r="OJ284" s="66"/>
      <c r="OK284" s="66"/>
      <c r="OL284" s="66"/>
      <c r="OM284" s="66"/>
      <c r="ON284" s="66"/>
      <c r="OO284" s="66"/>
      <c r="OP284" s="66"/>
      <c r="OQ284" s="66"/>
      <c r="OR284" s="66"/>
      <c r="OS284" s="66"/>
      <c r="OT284" s="66"/>
      <c r="OU284" s="66"/>
      <c r="OV284" s="66"/>
      <c r="OW284" s="66"/>
      <c r="OX284" s="66"/>
      <c r="OY284" s="66"/>
      <c r="OZ284" s="66"/>
      <c r="PA284" s="66"/>
      <c r="PB284" s="66"/>
      <c r="PC284" s="66"/>
      <c r="PD284" s="66"/>
      <c r="PE284" s="66"/>
      <c r="PF284" s="66"/>
      <c r="PG284" s="66"/>
      <c r="PH284" s="66"/>
      <c r="PI284" s="66"/>
      <c r="PJ284" s="66"/>
      <c r="PK284" s="66"/>
      <c r="PL284" s="66"/>
      <c r="PM284" s="66"/>
      <c r="PN284" s="66"/>
      <c r="PO284" s="66"/>
      <c r="PP284" s="66"/>
      <c r="PQ284" s="66"/>
      <c r="PR284" s="66"/>
      <c r="PS284" s="66"/>
      <c r="PT284" s="66"/>
      <c r="PU284" s="66"/>
      <c r="PV284" s="66"/>
      <c r="PW284" s="66"/>
      <c r="PX284" s="66"/>
      <c r="PY284" s="66"/>
      <c r="PZ284" s="66"/>
      <c r="QA284" s="66"/>
      <c r="QB284" s="66"/>
      <c r="QC284" s="66"/>
      <c r="QD284" s="66"/>
      <c r="QE284" s="66"/>
      <c r="QF284" s="66"/>
      <c r="QG284" s="66"/>
      <c r="QH284" s="66"/>
      <c r="QI284" s="66"/>
      <c r="QJ284" s="66"/>
      <c r="QK284" s="66"/>
      <c r="QL284" s="66"/>
      <c r="QM284" s="66"/>
      <c r="QN284" s="66"/>
      <c r="QO284" s="66"/>
      <c r="QP284" s="66"/>
      <c r="QQ284" s="66"/>
      <c r="QR284" s="66"/>
      <c r="QS284" s="66"/>
      <c r="QT284" s="66"/>
      <c r="QU284" s="66"/>
      <c r="QV284" s="66"/>
      <c r="QW284" s="66"/>
      <c r="QX284" s="66"/>
      <c r="QY284" s="66"/>
      <c r="QZ284" s="66"/>
      <c r="RA284" s="66"/>
      <c r="RB284" s="66"/>
      <c r="RC284" s="66"/>
      <c r="RD284" s="4"/>
    </row>
    <row r="285" spans="9:472" x14ac:dyDescent="0.25">
      <c r="I285" s="66"/>
      <c r="J285" s="66"/>
      <c r="K285" s="66"/>
      <c r="L285" s="66"/>
      <c r="M285" s="66"/>
      <c r="N285" s="66"/>
      <c r="O285" s="66"/>
      <c r="P285" s="66"/>
      <c r="Q285" s="66"/>
      <c r="R285" s="66"/>
      <c r="S285" s="66"/>
      <c r="T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c r="CY285" s="66"/>
      <c r="CZ285" s="66"/>
      <c r="DA285" s="66"/>
      <c r="DB285" s="66"/>
      <c r="DC285" s="66"/>
      <c r="DD285" s="66"/>
      <c r="DE285" s="66"/>
      <c r="DF285" s="66"/>
      <c r="DG285" s="66"/>
      <c r="DH285" s="66"/>
      <c r="DI285" s="66"/>
      <c r="DJ285" s="66"/>
      <c r="DK285" s="66"/>
      <c r="DL285" s="66"/>
      <c r="DM285" s="66"/>
      <c r="DN285" s="66"/>
      <c r="DO285" s="66"/>
      <c r="DP285" s="66"/>
      <c r="DQ285" s="66"/>
      <c r="DR285" s="66"/>
      <c r="DS285" s="66"/>
      <c r="DT285" s="66"/>
      <c r="DU285" s="66"/>
      <c r="DV285" s="66"/>
      <c r="DW285" s="66"/>
      <c r="DX285" s="66"/>
      <c r="DY285" s="66"/>
      <c r="DZ285" s="66"/>
      <c r="EA285" s="66"/>
      <c r="EB285" s="66"/>
      <c r="EC285" s="66"/>
      <c r="ED285" s="66"/>
      <c r="EE285" s="66"/>
      <c r="EF285" s="66"/>
      <c r="EG285" s="66"/>
      <c r="EH285" s="66"/>
      <c r="EI285" s="66"/>
      <c r="EJ285" s="66"/>
      <c r="EK285" s="66"/>
      <c r="EL285" s="66"/>
      <c r="EM285" s="66"/>
      <c r="EN285" s="66"/>
      <c r="EO285" s="66"/>
      <c r="EP285" s="66"/>
      <c r="EQ285" s="66"/>
      <c r="ER285" s="66"/>
      <c r="ES285" s="66"/>
      <c r="ET285" s="66"/>
      <c r="EU285" s="66"/>
      <c r="EV285" s="66"/>
      <c r="EW285" s="66"/>
      <c r="EX285" s="66"/>
      <c r="EY285" s="66"/>
      <c r="EZ285" s="66"/>
      <c r="FA285" s="66"/>
      <c r="FB285" s="66"/>
      <c r="FC285" s="66"/>
      <c r="FD285" s="66"/>
      <c r="FE285" s="66"/>
      <c r="FF285" s="66"/>
      <c r="FG285" s="66"/>
      <c r="FH285" s="66"/>
      <c r="FI285" s="66"/>
      <c r="FJ285" s="66"/>
      <c r="FK285" s="66"/>
      <c r="FL285" s="66"/>
      <c r="FM285" s="66"/>
      <c r="FN285" s="66"/>
      <c r="FO285" s="66"/>
      <c r="FP285" s="66"/>
      <c r="FQ285" s="66"/>
      <c r="FR285" s="66"/>
      <c r="FS285" s="66"/>
      <c r="FT285" s="66"/>
      <c r="FU285" s="66"/>
      <c r="FV285" s="66"/>
      <c r="FW285" s="66"/>
      <c r="FX285" s="66"/>
      <c r="FY285" s="66"/>
      <c r="FZ285" s="66"/>
      <c r="GA285" s="66"/>
      <c r="GB285" s="66"/>
      <c r="GC285" s="66"/>
      <c r="GD285" s="66"/>
      <c r="GE285" s="66"/>
      <c r="GF285" s="66"/>
      <c r="GG285" s="66"/>
      <c r="GH285" s="66"/>
      <c r="GI285" s="66"/>
      <c r="GJ285" s="66"/>
      <c r="GK285" s="66"/>
      <c r="GL285" s="66"/>
      <c r="GM285" s="66"/>
      <c r="GN285" s="66"/>
      <c r="GO285" s="66"/>
      <c r="GP285" s="66"/>
      <c r="GQ285" s="66"/>
      <c r="GR285" s="66"/>
      <c r="GS285" s="66"/>
      <c r="GT285" s="66"/>
      <c r="GU285" s="66"/>
      <c r="GV285" s="66"/>
      <c r="GW285" s="66"/>
      <c r="GX285" s="66"/>
      <c r="GY285" s="66"/>
      <c r="GZ285" s="66"/>
      <c r="HA285" s="66"/>
      <c r="HB285" s="66"/>
      <c r="HC285" s="66"/>
      <c r="HD285" s="66"/>
      <c r="HE285" s="66"/>
      <c r="HF285" s="66"/>
      <c r="HG285" s="66"/>
      <c r="HH285" s="66"/>
      <c r="HI285" s="66"/>
      <c r="HJ285" s="66"/>
      <c r="HK285" s="66"/>
      <c r="HL285" s="66"/>
      <c r="HM285" s="66"/>
      <c r="HN285" s="66"/>
      <c r="HO285" s="66"/>
      <c r="HP285" s="66"/>
      <c r="HQ285" s="66"/>
      <c r="HR285" s="66"/>
      <c r="HS285" s="66"/>
      <c r="HT285" s="66"/>
      <c r="HU285" s="66"/>
      <c r="HV285" s="66"/>
      <c r="HW285" s="66"/>
      <c r="HX285" s="66"/>
      <c r="HY285" s="66"/>
      <c r="HZ285" s="66"/>
      <c r="IA285" s="66"/>
      <c r="IB285" s="66"/>
      <c r="IC285" s="66"/>
      <c r="ID285" s="66"/>
      <c r="IE285" s="66"/>
      <c r="IF285" s="66"/>
      <c r="IG285" s="66"/>
      <c r="IH285" s="66"/>
      <c r="II285" s="66"/>
      <c r="IJ285" s="66"/>
      <c r="IK285" s="66"/>
      <c r="IL285" s="66"/>
      <c r="IM285" s="66"/>
      <c r="IN285" s="66"/>
      <c r="IO285" s="66"/>
      <c r="IP285" s="66"/>
      <c r="IQ285" s="66"/>
      <c r="IR285" s="66"/>
      <c r="IS285" s="66"/>
      <c r="IT285" s="66"/>
      <c r="IU285" s="66"/>
      <c r="IV285" s="66"/>
      <c r="IW285" s="66"/>
      <c r="IX285" s="66"/>
      <c r="IY285" s="66"/>
      <c r="IZ285" s="66"/>
      <c r="JA285" s="66"/>
      <c r="JB285" s="66"/>
      <c r="JC285" s="66"/>
      <c r="JD285" s="66"/>
      <c r="JE285" s="66"/>
      <c r="JF285" s="66"/>
      <c r="JG285" s="66"/>
      <c r="JH285" s="66"/>
      <c r="JI285" s="66"/>
      <c r="JJ285" s="66"/>
      <c r="JK285" s="66"/>
      <c r="JL285" s="66"/>
      <c r="JM285" s="66"/>
      <c r="JN285" s="66"/>
      <c r="JO285" s="66"/>
      <c r="JP285" s="66"/>
      <c r="JQ285" s="66"/>
      <c r="JR285" s="66"/>
      <c r="JS285" s="66"/>
      <c r="JT285" s="66"/>
      <c r="JU285" s="66"/>
      <c r="JV285" s="66"/>
      <c r="JW285" s="66"/>
      <c r="JX285" s="66"/>
      <c r="JY285" s="66"/>
      <c r="JZ285" s="66"/>
      <c r="KA285" s="66"/>
      <c r="KB285" s="66"/>
      <c r="KC285" s="66"/>
      <c r="KD285" s="66"/>
      <c r="KE285" s="66"/>
      <c r="KF285" s="66"/>
      <c r="KG285" s="66"/>
      <c r="KH285" s="66"/>
      <c r="KI285" s="66"/>
      <c r="KJ285" s="66"/>
      <c r="KK285" s="66"/>
      <c r="KL285" s="66"/>
      <c r="KM285" s="66"/>
      <c r="KN285" s="66"/>
      <c r="KO285" s="66"/>
      <c r="KP285" s="66"/>
      <c r="KQ285" s="66"/>
      <c r="KR285" s="66"/>
      <c r="KS285" s="66"/>
      <c r="KT285" s="66"/>
      <c r="KU285" s="66"/>
      <c r="KV285" s="66"/>
      <c r="KW285" s="66"/>
      <c r="KX285" s="66"/>
      <c r="KY285" s="66"/>
      <c r="KZ285" s="66"/>
      <c r="LA285" s="66"/>
      <c r="LB285" s="66"/>
      <c r="LC285" s="66"/>
      <c r="LD285" s="66"/>
      <c r="LE285" s="66"/>
      <c r="LF285" s="66"/>
      <c r="LG285" s="66"/>
      <c r="LH285" s="66"/>
      <c r="LI285" s="66"/>
      <c r="LJ285" s="66"/>
      <c r="LK285" s="66"/>
      <c r="LL285" s="66"/>
      <c r="LM285" s="66"/>
      <c r="LN285" s="66"/>
      <c r="LO285" s="66"/>
      <c r="LP285" s="66"/>
      <c r="LQ285" s="66"/>
      <c r="LR285" s="66"/>
      <c r="LS285" s="66"/>
      <c r="LT285" s="66"/>
      <c r="LU285" s="66"/>
      <c r="LV285" s="66"/>
      <c r="LW285" s="66"/>
      <c r="LX285" s="66"/>
      <c r="LY285" s="66"/>
      <c r="LZ285" s="66"/>
      <c r="MA285" s="66"/>
      <c r="MB285" s="66"/>
      <c r="MC285" s="66"/>
      <c r="MD285" s="66"/>
      <c r="ME285" s="66"/>
      <c r="MF285" s="66"/>
      <c r="MG285" s="66"/>
      <c r="MH285" s="66"/>
      <c r="MI285" s="66"/>
      <c r="MJ285" s="66"/>
      <c r="MK285" s="66"/>
      <c r="ML285" s="66"/>
      <c r="MM285" s="66"/>
      <c r="MN285" s="66"/>
      <c r="MO285" s="66"/>
      <c r="MP285" s="66"/>
      <c r="MQ285" s="66"/>
      <c r="MR285" s="66"/>
      <c r="MS285" s="66"/>
      <c r="MT285" s="66"/>
      <c r="MU285" s="66"/>
      <c r="MV285" s="66"/>
      <c r="MW285" s="66"/>
      <c r="MX285" s="66"/>
      <c r="MY285" s="66"/>
      <c r="MZ285" s="66"/>
      <c r="NA285" s="66"/>
      <c r="NB285" s="66"/>
      <c r="NC285" s="66"/>
      <c r="ND285" s="66"/>
      <c r="NE285" s="66"/>
      <c r="NF285" s="66"/>
      <c r="NG285" s="66"/>
      <c r="NH285" s="66"/>
      <c r="NI285" s="66"/>
      <c r="NJ285" s="66"/>
      <c r="NK285" s="66"/>
      <c r="NL285" s="66"/>
      <c r="NM285" s="66"/>
      <c r="NN285" s="66"/>
      <c r="NO285" s="66"/>
      <c r="NP285" s="66"/>
      <c r="NQ285" s="66"/>
      <c r="NR285" s="66"/>
      <c r="NS285" s="66"/>
      <c r="NT285" s="66"/>
      <c r="NU285" s="66"/>
      <c r="NV285" s="66"/>
      <c r="NW285" s="66"/>
      <c r="NX285" s="66"/>
      <c r="NY285" s="66"/>
      <c r="NZ285" s="66"/>
      <c r="OA285" s="66"/>
      <c r="OB285" s="66"/>
      <c r="OC285" s="66"/>
      <c r="OD285" s="66"/>
      <c r="OE285" s="66"/>
      <c r="OF285" s="66"/>
      <c r="OG285" s="66"/>
      <c r="OH285" s="66"/>
      <c r="OI285" s="66"/>
      <c r="OJ285" s="66"/>
      <c r="OK285" s="66"/>
      <c r="OL285" s="66"/>
      <c r="OM285" s="66"/>
      <c r="ON285" s="66"/>
      <c r="OO285" s="66"/>
      <c r="OP285" s="66"/>
      <c r="OQ285" s="66"/>
      <c r="OR285" s="66"/>
      <c r="OS285" s="66"/>
      <c r="OT285" s="66"/>
      <c r="OU285" s="66"/>
      <c r="OV285" s="66"/>
      <c r="OW285" s="66"/>
      <c r="OX285" s="66"/>
      <c r="OY285" s="66"/>
      <c r="OZ285" s="66"/>
      <c r="PA285" s="66"/>
      <c r="PB285" s="66"/>
      <c r="PC285" s="66"/>
      <c r="PD285" s="66"/>
      <c r="PE285" s="66"/>
      <c r="PF285" s="66"/>
      <c r="PG285" s="66"/>
      <c r="PH285" s="66"/>
      <c r="PI285" s="66"/>
      <c r="PJ285" s="66"/>
      <c r="PK285" s="66"/>
      <c r="PL285" s="66"/>
      <c r="PM285" s="66"/>
      <c r="PN285" s="66"/>
      <c r="PO285" s="66"/>
      <c r="PP285" s="66"/>
      <c r="PQ285" s="66"/>
      <c r="PR285" s="66"/>
      <c r="PS285" s="66"/>
      <c r="PT285" s="66"/>
      <c r="PU285" s="66"/>
      <c r="PV285" s="66"/>
      <c r="PW285" s="66"/>
      <c r="PX285" s="66"/>
      <c r="PY285" s="66"/>
      <c r="PZ285" s="66"/>
      <c r="QA285" s="66"/>
      <c r="QB285" s="66"/>
      <c r="QC285" s="66"/>
      <c r="QD285" s="66"/>
      <c r="QE285" s="66"/>
      <c r="QF285" s="66"/>
      <c r="QG285" s="66"/>
      <c r="QH285" s="66"/>
      <c r="QI285" s="66"/>
      <c r="QJ285" s="66"/>
      <c r="QK285" s="66"/>
      <c r="QL285" s="66"/>
      <c r="QM285" s="66"/>
      <c r="QN285" s="66"/>
      <c r="QO285" s="66"/>
      <c r="QP285" s="66"/>
      <c r="QQ285" s="66"/>
      <c r="QR285" s="66"/>
      <c r="QS285" s="66"/>
      <c r="QT285" s="66"/>
      <c r="QU285" s="66"/>
      <c r="QV285" s="66"/>
      <c r="QW285" s="66"/>
      <c r="QX285" s="66"/>
      <c r="QY285" s="66"/>
      <c r="QZ285" s="66"/>
      <c r="RA285" s="66"/>
      <c r="RB285" s="66"/>
      <c r="RC285" s="66"/>
      <c r="RD285" s="4"/>
    </row>
    <row r="286" spans="9:472" x14ac:dyDescent="0.25">
      <c r="I286" s="66"/>
      <c r="J286" s="66"/>
      <c r="K286" s="66"/>
      <c r="L286" s="66"/>
      <c r="M286" s="66"/>
      <c r="N286" s="66"/>
      <c r="O286" s="66"/>
      <c r="P286" s="66"/>
      <c r="Q286" s="66"/>
      <c r="R286" s="66"/>
      <c r="S286" s="66"/>
      <c r="T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c r="CY286" s="66"/>
      <c r="CZ286" s="66"/>
      <c r="DA286" s="66"/>
      <c r="DB286" s="66"/>
      <c r="DC286" s="66"/>
      <c r="DD286" s="66"/>
      <c r="DE286" s="66"/>
      <c r="DF286" s="66"/>
      <c r="DG286" s="66"/>
      <c r="DH286" s="66"/>
      <c r="DI286" s="66"/>
      <c r="DJ286" s="66"/>
      <c r="DK286" s="66"/>
      <c r="DL286" s="66"/>
      <c r="DM286" s="66"/>
      <c r="DN286" s="66"/>
      <c r="DO286" s="66"/>
      <c r="DP286" s="66"/>
      <c r="DQ286" s="66"/>
      <c r="DR286" s="66"/>
      <c r="DS286" s="66"/>
      <c r="DT286" s="66"/>
      <c r="DU286" s="66"/>
      <c r="DV286" s="66"/>
      <c r="DW286" s="66"/>
      <c r="DX286" s="66"/>
      <c r="DY286" s="66"/>
      <c r="DZ286" s="66"/>
      <c r="EA286" s="66"/>
      <c r="EB286" s="66"/>
      <c r="EC286" s="66"/>
      <c r="ED286" s="66"/>
      <c r="EE286" s="66"/>
      <c r="EF286" s="66"/>
      <c r="EG286" s="66"/>
      <c r="EH286" s="66"/>
      <c r="EI286" s="66"/>
      <c r="EJ286" s="66"/>
      <c r="EK286" s="66"/>
      <c r="EL286" s="66"/>
      <c r="EM286" s="66"/>
      <c r="EN286" s="66"/>
      <c r="EO286" s="66"/>
      <c r="EP286" s="66"/>
      <c r="EQ286" s="66"/>
      <c r="ER286" s="66"/>
      <c r="ES286" s="66"/>
      <c r="ET286" s="66"/>
      <c r="EU286" s="66"/>
      <c r="EV286" s="66"/>
      <c r="EW286" s="66"/>
      <c r="EX286" s="66"/>
      <c r="EY286" s="66"/>
      <c r="EZ286" s="66"/>
      <c r="FA286" s="66"/>
      <c r="FB286" s="66"/>
      <c r="FC286" s="66"/>
      <c r="FD286" s="66"/>
      <c r="FE286" s="66"/>
      <c r="FF286" s="66"/>
      <c r="FG286" s="66"/>
      <c r="FH286" s="66"/>
      <c r="FI286" s="66"/>
      <c r="FJ286" s="66"/>
      <c r="FK286" s="66"/>
      <c r="FL286" s="66"/>
      <c r="FM286" s="66"/>
      <c r="FN286" s="66"/>
      <c r="FO286" s="66"/>
      <c r="FP286" s="66"/>
      <c r="FQ286" s="66"/>
      <c r="FR286" s="66"/>
      <c r="FS286" s="66"/>
      <c r="FT286" s="66"/>
      <c r="FU286" s="66"/>
      <c r="FV286" s="66"/>
      <c r="FW286" s="66"/>
      <c r="FX286" s="66"/>
      <c r="FY286" s="66"/>
      <c r="FZ286" s="66"/>
      <c r="GA286" s="66"/>
      <c r="GB286" s="66"/>
      <c r="GC286" s="66"/>
      <c r="GD286" s="66"/>
      <c r="GE286" s="66"/>
      <c r="GF286" s="66"/>
      <c r="GG286" s="66"/>
      <c r="GH286" s="66"/>
      <c r="GI286" s="66"/>
      <c r="GJ286" s="66"/>
      <c r="GK286" s="66"/>
      <c r="GL286" s="66"/>
      <c r="GM286" s="66"/>
      <c r="GN286" s="66"/>
      <c r="GO286" s="66"/>
      <c r="GP286" s="66"/>
      <c r="GQ286" s="66"/>
      <c r="GR286" s="66"/>
      <c r="GS286" s="66"/>
      <c r="GT286" s="66"/>
      <c r="GU286" s="66"/>
      <c r="GV286" s="66"/>
      <c r="GW286" s="66"/>
      <c r="GX286" s="66"/>
      <c r="GY286" s="66"/>
      <c r="GZ286" s="66"/>
      <c r="HA286" s="66"/>
      <c r="HB286" s="66"/>
      <c r="HC286" s="66"/>
      <c r="HD286" s="66"/>
      <c r="HE286" s="66"/>
      <c r="HF286" s="66"/>
      <c r="HG286" s="66"/>
      <c r="HH286" s="66"/>
      <c r="HI286" s="66"/>
      <c r="HJ286" s="66"/>
      <c r="HK286" s="66"/>
      <c r="HL286" s="66"/>
      <c r="HM286" s="66"/>
      <c r="HN286" s="66"/>
      <c r="HO286" s="66"/>
      <c r="HP286" s="66"/>
      <c r="HQ286" s="66"/>
      <c r="HR286" s="66"/>
      <c r="HS286" s="66"/>
      <c r="HT286" s="66"/>
      <c r="HU286" s="66"/>
      <c r="HV286" s="66"/>
      <c r="HW286" s="66"/>
      <c r="HX286" s="66"/>
      <c r="HY286" s="66"/>
      <c r="HZ286" s="66"/>
      <c r="IA286" s="66"/>
      <c r="IB286" s="66"/>
      <c r="IC286" s="66"/>
      <c r="ID286" s="66"/>
      <c r="IE286" s="66"/>
      <c r="IF286" s="66"/>
      <c r="IG286" s="66"/>
      <c r="IH286" s="66"/>
      <c r="II286" s="66"/>
      <c r="IJ286" s="66"/>
      <c r="IK286" s="66"/>
      <c r="IL286" s="66"/>
      <c r="IM286" s="66"/>
      <c r="IN286" s="66"/>
      <c r="IO286" s="66"/>
      <c r="IP286" s="66"/>
      <c r="IQ286" s="66"/>
      <c r="IR286" s="66"/>
      <c r="IS286" s="66"/>
      <c r="IT286" s="66"/>
      <c r="IU286" s="66"/>
      <c r="IV286" s="66"/>
      <c r="IW286" s="66"/>
      <c r="IX286" s="66"/>
      <c r="IY286" s="66"/>
      <c r="IZ286" s="66"/>
      <c r="JA286" s="66"/>
      <c r="JB286" s="66"/>
      <c r="JC286" s="66"/>
      <c r="JD286" s="66"/>
      <c r="JE286" s="66"/>
      <c r="JF286" s="66"/>
      <c r="JG286" s="66"/>
      <c r="JH286" s="66"/>
      <c r="JI286" s="66"/>
      <c r="JJ286" s="66"/>
      <c r="JK286" s="66"/>
      <c r="JL286" s="66"/>
      <c r="JM286" s="66"/>
      <c r="JN286" s="66"/>
      <c r="JO286" s="66"/>
      <c r="JP286" s="66"/>
      <c r="JQ286" s="66"/>
      <c r="JR286" s="66"/>
      <c r="JS286" s="66"/>
      <c r="JT286" s="66"/>
      <c r="JU286" s="66"/>
      <c r="JV286" s="66"/>
      <c r="JW286" s="66"/>
      <c r="JX286" s="66"/>
      <c r="JY286" s="66"/>
      <c r="JZ286" s="66"/>
      <c r="KA286" s="66"/>
      <c r="KB286" s="66"/>
      <c r="KC286" s="66"/>
      <c r="KD286" s="66"/>
      <c r="KE286" s="66"/>
      <c r="KF286" s="66"/>
      <c r="KG286" s="66"/>
      <c r="KH286" s="66"/>
      <c r="KI286" s="66"/>
      <c r="KJ286" s="66"/>
      <c r="KK286" s="66"/>
      <c r="KL286" s="66"/>
      <c r="KM286" s="66"/>
      <c r="KN286" s="66"/>
      <c r="KO286" s="66"/>
      <c r="KP286" s="66"/>
      <c r="KQ286" s="66"/>
      <c r="KR286" s="66"/>
      <c r="KS286" s="66"/>
      <c r="KT286" s="66"/>
      <c r="KU286" s="66"/>
      <c r="KV286" s="66"/>
      <c r="KW286" s="66"/>
      <c r="KX286" s="66"/>
      <c r="KY286" s="66"/>
      <c r="KZ286" s="66"/>
      <c r="LA286" s="66"/>
      <c r="LB286" s="66"/>
      <c r="LC286" s="66"/>
      <c r="LD286" s="66"/>
      <c r="LE286" s="66"/>
      <c r="LF286" s="66"/>
      <c r="LG286" s="66"/>
      <c r="LH286" s="66"/>
      <c r="LI286" s="66"/>
      <c r="LJ286" s="66"/>
      <c r="LK286" s="66"/>
      <c r="LL286" s="66"/>
      <c r="LM286" s="66"/>
      <c r="LN286" s="66"/>
      <c r="LO286" s="66"/>
      <c r="LP286" s="66"/>
      <c r="LQ286" s="66"/>
      <c r="LR286" s="66"/>
      <c r="LS286" s="66"/>
      <c r="LT286" s="66"/>
      <c r="LU286" s="66"/>
      <c r="LV286" s="66"/>
      <c r="LW286" s="66"/>
      <c r="LX286" s="66"/>
      <c r="LY286" s="66"/>
      <c r="LZ286" s="66"/>
      <c r="MA286" s="66"/>
      <c r="MB286" s="66"/>
      <c r="MC286" s="66"/>
      <c r="MD286" s="66"/>
      <c r="ME286" s="66"/>
      <c r="MF286" s="66"/>
      <c r="MG286" s="66"/>
      <c r="MH286" s="66"/>
      <c r="MI286" s="66"/>
      <c r="MJ286" s="66"/>
      <c r="MK286" s="66"/>
      <c r="ML286" s="66"/>
      <c r="MM286" s="66"/>
      <c r="MN286" s="66"/>
      <c r="MO286" s="66"/>
      <c r="MP286" s="66"/>
      <c r="MQ286" s="66"/>
      <c r="MR286" s="66"/>
      <c r="MS286" s="66"/>
      <c r="MT286" s="66"/>
      <c r="MU286" s="66"/>
      <c r="MV286" s="66"/>
      <c r="MW286" s="66"/>
      <c r="MX286" s="66"/>
      <c r="MY286" s="66"/>
      <c r="MZ286" s="66"/>
      <c r="NA286" s="66"/>
      <c r="NB286" s="66"/>
      <c r="NC286" s="66"/>
      <c r="ND286" s="66"/>
      <c r="NE286" s="66"/>
      <c r="NF286" s="66"/>
      <c r="NG286" s="66"/>
      <c r="NH286" s="66"/>
      <c r="NI286" s="66"/>
      <c r="NJ286" s="66"/>
      <c r="NK286" s="66"/>
      <c r="NL286" s="66"/>
      <c r="NM286" s="66"/>
      <c r="NN286" s="66"/>
      <c r="NO286" s="66"/>
      <c r="NP286" s="66"/>
      <c r="NQ286" s="66"/>
      <c r="NR286" s="66"/>
      <c r="NS286" s="66"/>
      <c r="NT286" s="66"/>
      <c r="NU286" s="66"/>
      <c r="NV286" s="66"/>
      <c r="NW286" s="66"/>
      <c r="NX286" s="66"/>
      <c r="NY286" s="66"/>
      <c r="NZ286" s="66"/>
      <c r="OA286" s="66"/>
      <c r="OB286" s="66"/>
      <c r="OC286" s="66"/>
      <c r="OD286" s="66"/>
      <c r="OE286" s="66"/>
      <c r="OF286" s="66"/>
      <c r="OG286" s="66"/>
      <c r="OH286" s="66"/>
      <c r="OI286" s="66"/>
      <c r="OJ286" s="66"/>
      <c r="OK286" s="66"/>
      <c r="OL286" s="66"/>
      <c r="OM286" s="66"/>
      <c r="ON286" s="66"/>
      <c r="OO286" s="66"/>
      <c r="OP286" s="66"/>
      <c r="OQ286" s="66"/>
      <c r="OR286" s="66"/>
      <c r="OS286" s="66"/>
      <c r="OT286" s="66"/>
      <c r="OU286" s="66"/>
      <c r="OV286" s="66"/>
      <c r="OW286" s="66"/>
      <c r="OX286" s="66"/>
      <c r="OY286" s="66"/>
      <c r="OZ286" s="66"/>
      <c r="PA286" s="66"/>
      <c r="PB286" s="66"/>
      <c r="PC286" s="66"/>
      <c r="PD286" s="66"/>
      <c r="PE286" s="66"/>
      <c r="PF286" s="66"/>
      <c r="PG286" s="66"/>
      <c r="PH286" s="66"/>
      <c r="PI286" s="66"/>
      <c r="PJ286" s="66"/>
      <c r="PK286" s="66"/>
      <c r="PL286" s="66"/>
      <c r="PM286" s="66"/>
      <c r="PN286" s="66"/>
      <c r="PO286" s="66"/>
      <c r="PP286" s="66"/>
      <c r="PQ286" s="66"/>
      <c r="PR286" s="66"/>
      <c r="PS286" s="66"/>
      <c r="PT286" s="66"/>
      <c r="PU286" s="66"/>
      <c r="PV286" s="66"/>
      <c r="PW286" s="66"/>
      <c r="PX286" s="66"/>
      <c r="PY286" s="66"/>
      <c r="PZ286" s="66"/>
      <c r="QA286" s="66"/>
      <c r="QB286" s="66"/>
      <c r="QC286" s="66"/>
      <c r="QD286" s="66"/>
      <c r="QE286" s="66"/>
      <c r="QF286" s="66"/>
      <c r="QG286" s="66"/>
      <c r="QH286" s="66"/>
      <c r="QI286" s="66"/>
      <c r="QJ286" s="66"/>
      <c r="QK286" s="66"/>
      <c r="QL286" s="66"/>
      <c r="QM286" s="66"/>
      <c r="QN286" s="66"/>
      <c r="QO286" s="66"/>
      <c r="QP286" s="66"/>
      <c r="QQ286" s="66"/>
      <c r="QR286" s="66"/>
      <c r="QS286" s="66"/>
      <c r="QT286" s="66"/>
      <c r="QU286" s="66"/>
      <c r="QV286" s="66"/>
      <c r="QW286" s="66"/>
      <c r="QX286" s="66"/>
      <c r="QY286" s="66"/>
      <c r="QZ286" s="66"/>
      <c r="RA286" s="66"/>
      <c r="RB286" s="66"/>
      <c r="RC286" s="66"/>
      <c r="RD286" s="4"/>
    </row>
    <row r="287" spans="9:472" x14ac:dyDescent="0.25">
      <c r="I287" s="66"/>
      <c r="J287" s="66"/>
      <c r="K287" s="66"/>
      <c r="L287" s="66"/>
      <c r="M287" s="66"/>
      <c r="N287" s="66"/>
      <c r="O287" s="66"/>
      <c r="P287" s="66"/>
      <c r="Q287" s="66"/>
      <c r="R287" s="66"/>
      <c r="S287" s="66"/>
      <c r="T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c r="CY287" s="66"/>
      <c r="CZ287" s="66"/>
      <c r="DA287" s="66"/>
      <c r="DB287" s="66"/>
      <c r="DC287" s="66"/>
      <c r="DD287" s="66"/>
      <c r="DE287" s="66"/>
      <c r="DF287" s="66"/>
      <c r="DG287" s="66"/>
      <c r="DH287" s="66"/>
      <c r="DI287" s="66"/>
      <c r="DJ287" s="66"/>
      <c r="DK287" s="66"/>
      <c r="DL287" s="66"/>
      <c r="DM287" s="66"/>
      <c r="DN287" s="66"/>
      <c r="DO287" s="66"/>
      <c r="DP287" s="66"/>
      <c r="DQ287" s="66"/>
      <c r="DR287" s="66"/>
      <c r="DS287" s="66"/>
      <c r="DT287" s="66"/>
      <c r="DU287" s="66"/>
      <c r="DV287" s="66"/>
      <c r="DW287" s="66"/>
      <c r="DX287" s="66"/>
      <c r="DY287" s="66"/>
      <c r="DZ287" s="66"/>
      <c r="EA287" s="66"/>
      <c r="EB287" s="66"/>
      <c r="EC287" s="66"/>
      <c r="ED287" s="66"/>
      <c r="EE287" s="66"/>
      <c r="EF287" s="66"/>
      <c r="EG287" s="66"/>
      <c r="EH287" s="66"/>
      <c r="EI287" s="66"/>
      <c r="EJ287" s="66"/>
      <c r="EK287" s="66"/>
      <c r="EL287" s="66"/>
      <c r="EM287" s="66"/>
      <c r="EN287" s="66"/>
      <c r="EO287" s="66"/>
      <c r="EP287" s="66"/>
      <c r="EQ287" s="66"/>
      <c r="ER287" s="66"/>
      <c r="ES287" s="66"/>
      <c r="ET287" s="66"/>
      <c r="EU287" s="66"/>
      <c r="EV287" s="66"/>
      <c r="EW287" s="66"/>
      <c r="EX287" s="66"/>
      <c r="EY287" s="66"/>
      <c r="EZ287" s="66"/>
      <c r="FA287" s="66"/>
      <c r="FB287" s="66"/>
      <c r="FC287" s="66"/>
      <c r="FD287" s="66"/>
      <c r="FE287" s="66"/>
      <c r="FF287" s="66"/>
      <c r="FG287" s="66"/>
      <c r="FH287" s="66"/>
      <c r="FI287" s="66"/>
      <c r="FJ287" s="66"/>
      <c r="FK287" s="66"/>
      <c r="FL287" s="66"/>
      <c r="FM287" s="66"/>
      <c r="FN287" s="66"/>
      <c r="FO287" s="66"/>
      <c r="FP287" s="66"/>
      <c r="FQ287" s="66"/>
      <c r="FR287" s="66"/>
      <c r="FS287" s="66"/>
      <c r="FT287" s="66"/>
      <c r="FU287" s="66"/>
      <c r="FV287" s="66"/>
      <c r="FW287" s="66"/>
      <c r="FX287" s="66"/>
      <c r="FY287" s="66"/>
      <c r="FZ287" s="66"/>
      <c r="GA287" s="66"/>
      <c r="GB287" s="66"/>
      <c r="GC287" s="66"/>
      <c r="GD287" s="66"/>
      <c r="GE287" s="66"/>
      <c r="GF287" s="66"/>
      <c r="GG287" s="66"/>
      <c r="GH287" s="66"/>
      <c r="GI287" s="66"/>
      <c r="GJ287" s="66"/>
      <c r="GK287" s="66"/>
      <c r="GL287" s="66"/>
      <c r="GM287" s="66"/>
      <c r="GN287" s="66"/>
      <c r="GO287" s="66"/>
      <c r="GP287" s="66"/>
      <c r="GQ287" s="66"/>
      <c r="GR287" s="66"/>
      <c r="GS287" s="66"/>
      <c r="GT287" s="66"/>
      <c r="GU287" s="66"/>
      <c r="GV287" s="66"/>
      <c r="GW287" s="66"/>
      <c r="GX287" s="66"/>
      <c r="GY287" s="66"/>
      <c r="GZ287" s="66"/>
      <c r="HA287" s="66"/>
      <c r="HB287" s="66"/>
      <c r="HC287" s="66"/>
      <c r="HD287" s="66"/>
      <c r="HE287" s="66"/>
      <c r="HF287" s="66"/>
      <c r="HG287" s="66"/>
      <c r="HH287" s="66"/>
      <c r="HI287" s="66"/>
      <c r="HJ287" s="66"/>
      <c r="HK287" s="66"/>
      <c r="HL287" s="66"/>
      <c r="HM287" s="66"/>
      <c r="HN287" s="66"/>
      <c r="HO287" s="66"/>
      <c r="HP287" s="66"/>
      <c r="HQ287" s="66"/>
      <c r="HR287" s="66"/>
      <c r="HS287" s="66"/>
      <c r="HT287" s="66"/>
      <c r="HU287" s="66"/>
      <c r="HV287" s="66"/>
      <c r="HW287" s="66"/>
      <c r="HX287" s="66"/>
      <c r="HY287" s="66"/>
      <c r="HZ287" s="66"/>
      <c r="IA287" s="66"/>
      <c r="IB287" s="66"/>
      <c r="IC287" s="66"/>
      <c r="ID287" s="66"/>
      <c r="IE287" s="66"/>
      <c r="IF287" s="66"/>
      <c r="IG287" s="66"/>
      <c r="IH287" s="66"/>
      <c r="II287" s="66"/>
      <c r="IJ287" s="66"/>
      <c r="IK287" s="66"/>
      <c r="IL287" s="66"/>
      <c r="IM287" s="66"/>
      <c r="IN287" s="66"/>
      <c r="IO287" s="66"/>
      <c r="IP287" s="66"/>
      <c r="IQ287" s="66"/>
      <c r="IR287" s="66"/>
      <c r="IS287" s="66"/>
      <c r="IT287" s="66"/>
      <c r="IU287" s="66"/>
      <c r="IV287" s="66"/>
      <c r="IW287" s="66"/>
      <c r="IX287" s="66"/>
      <c r="IY287" s="66"/>
      <c r="IZ287" s="66"/>
      <c r="JA287" s="66"/>
      <c r="JB287" s="66"/>
      <c r="JC287" s="66"/>
      <c r="JD287" s="66"/>
      <c r="JE287" s="66"/>
      <c r="JF287" s="66"/>
      <c r="JG287" s="66"/>
      <c r="JH287" s="66"/>
      <c r="JI287" s="66"/>
      <c r="JJ287" s="66"/>
      <c r="JK287" s="66"/>
      <c r="JL287" s="66"/>
      <c r="JM287" s="66"/>
      <c r="JN287" s="66"/>
      <c r="JO287" s="66"/>
      <c r="JP287" s="66"/>
      <c r="JQ287" s="66"/>
      <c r="JR287" s="66"/>
      <c r="JS287" s="66"/>
      <c r="JT287" s="66"/>
      <c r="JU287" s="66"/>
      <c r="JV287" s="66"/>
      <c r="JW287" s="66"/>
      <c r="JX287" s="66"/>
      <c r="JY287" s="66"/>
      <c r="JZ287" s="66"/>
      <c r="KA287" s="66"/>
      <c r="KB287" s="66"/>
      <c r="KC287" s="66"/>
      <c r="KD287" s="66"/>
      <c r="KE287" s="66"/>
      <c r="KF287" s="66"/>
      <c r="KG287" s="66"/>
      <c r="KH287" s="66"/>
      <c r="KI287" s="66"/>
      <c r="KJ287" s="66"/>
      <c r="KK287" s="66"/>
      <c r="KL287" s="66"/>
      <c r="KM287" s="66"/>
      <c r="KN287" s="66"/>
      <c r="KO287" s="66"/>
      <c r="KP287" s="66"/>
      <c r="KQ287" s="66"/>
      <c r="KR287" s="66"/>
      <c r="KS287" s="66"/>
      <c r="KT287" s="66"/>
      <c r="KU287" s="66"/>
      <c r="KV287" s="66"/>
      <c r="KW287" s="66"/>
      <c r="KX287" s="66"/>
      <c r="KY287" s="66"/>
      <c r="KZ287" s="66"/>
      <c r="LA287" s="66"/>
      <c r="LB287" s="66"/>
      <c r="LC287" s="66"/>
      <c r="LD287" s="66"/>
      <c r="LE287" s="66"/>
      <c r="LF287" s="66"/>
      <c r="LG287" s="66"/>
      <c r="LH287" s="66"/>
      <c r="LI287" s="66"/>
      <c r="LJ287" s="66"/>
      <c r="LK287" s="66"/>
      <c r="LL287" s="66"/>
      <c r="LM287" s="66"/>
      <c r="LN287" s="66"/>
      <c r="LO287" s="66"/>
      <c r="LP287" s="66"/>
      <c r="LQ287" s="66"/>
      <c r="LR287" s="66"/>
      <c r="LS287" s="66"/>
      <c r="LT287" s="66"/>
      <c r="LU287" s="66"/>
      <c r="LV287" s="66"/>
      <c r="LW287" s="66"/>
      <c r="LX287" s="66"/>
      <c r="LY287" s="66"/>
      <c r="LZ287" s="66"/>
      <c r="MA287" s="66"/>
      <c r="MB287" s="66"/>
      <c r="MC287" s="66"/>
      <c r="MD287" s="66"/>
      <c r="ME287" s="66"/>
      <c r="MF287" s="66"/>
      <c r="MG287" s="66"/>
      <c r="MH287" s="66"/>
      <c r="MI287" s="66"/>
      <c r="MJ287" s="66"/>
      <c r="MK287" s="66"/>
      <c r="ML287" s="66"/>
      <c r="MM287" s="66"/>
      <c r="MN287" s="66"/>
      <c r="MO287" s="66"/>
      <c r="MP287" s="66"/>
      <c r="MQ287" s="66"/>
      <c r="MR287" s="66"/>
      <c r="MS287" s="66"/>
      <c r="MT287" s="66"/>
      <c r="MU287" s="66"/>
      <c r="MV287" s="66"/>
      <c r="MW287" s="66"/>
      <c r="MX287" s="66"/>
      <c r="MY287" s="66"/>
      <c r="MZ287" s="66"/>
      <c r="NA287" s="66"/>
      <c r="NB287" s="66"/>
      <c r="NC287" s="66"/>
      <c r="ND287" s="66"/>
      <c r="NE287" s="66"/>
      <c r="NF287" s="66"/>
      <c r="NG287" s="66"/>
      <c r="NH287" s="66"/>
      <c r="NI287" s="66"/>
      <c r="NJ287" s="66"/>
      <c r="NK287" s="66"/>
      <c r="NL287" s="66"/>
      <c r="NM287" s="66"/>
      <c r="NN287" s="66"/>
      <c r="NO287" s="66"/>
      <c r="NP287" s="66"/>
      <c r="NQ287" s="66"/>
      <c r="NR287" s="66"/>
      <c r="NS287" s="66"/>
      <c r="NT287" s="66"/>
      <c r="NU287" s="66"/>
      <c r="NV287" s="66"/>
      <c r="NW287" s="66"/>
      <c r="NX287" s="66"/>
      <c r="NY287" s="66"/>
      <c r="NZ287" s="66"/>
      <c r="OA287" s="66"/>
      <c r="OB287" s="66"/>
      <c r="OC287" s="66"/>
      <c r="OD287" s="66"/>
      <c r="OE287" s="66"/>
      <c r="OF287" s="66"/>
      <c r="OG287" s="66"/>
      <c r="OH287" s="66"/>
      <c r="OI287" s="66"/>
      <c r="OJ287" s="66"/>
      <c r="OK287" s="66"/>
      <c r="OL287" s="66"/>
      <c r="OM287" s="66"/>
      <c r="ON287" s="66"/>
      <c r="OO287" s="66"/>
      <c r="OP287" s="66"/>
      <c r="OQ287" s="66"/>
      <c r="OR287" s="66"/>
      <c r="OS287" s="66"/>
      <c r="OT287" s="66"/>
      <c r="OU287" s="66"/>
      <c r="OV287" s="66"/>
      <c r="OW287" s="66"/>
      <c r="OX287" s="66"/>
      <c r="OY287" s="66"/>
      <c r="OZ287" s="66"/>
      <c r="PA287" s="66"/>
      <c r="PB287" s="66"/>
      <c r="PC287" s="66"/>
      <c r="PD287" s="66"/>
      <c r="PE287" s="66"/>
      <c r="PF287" s="66"/>
      <c r="PG287" s="66"/>
      <c r="PH287" s="66"/>
      <c r="PI287" s="66"/>
      <c r="PJ287" s="66"/>
      <c r="PK287" s="66"/>
      <c r="PL287" s="66"/>
      <c r="PM287" s="66"/>
      <c r="PN287" s="66"/>
      <c r="PO287" s="66"/>
      <c r="PP287" s="66"/>
      <c r="PQ287" s="66"/>
      <c r="PR287" s="66"/>
      <c r="PS287" s="66"/>
      <c r="PT287" s="66"/>
      <c r="PU287" s="66"/>
      <c r="PV287" s="66"/>
      <c r="PW287" s="66"/>
      <c r="PX287" s="66"/>
      <c r="PY287" s="66"/>
      <c r="PZ287" s="66"/>
      <c r="QA287" s="66"/>
      <c r="QB287" s="66"/>
      <c r="QC287" s="66"/>
      <c r="QD287" s="66"/>
      <c r="QE287" s="66"/>
      <c r="QF287" s="66"/>
      <c r="QG287" s="66"/>
      <c r="QH287" s="66"/>
      <c r="QI287" s="66"/>
      <c r="QJ287" s="66"/>
      <c r="QK287" s="66"/>
      <c r="QL287" s="66"/>
      <c r="QM287" s="66"/>
      <c r="QN287" s="66"/>
      <c r="QO287" s="66"/>
      <c r="QP287" s="66"/>
      <c r="QQ287" s="66"/>
      <c r="QR287" s="66"/>
      <c r="QS287" s="66"/>
      <c r="QT287" s="66"/>
      <c r="QU287" s="66"/>
      <c r="QV287" s="66"/>
      <c r="QW287" s="66"/>
      <c r="QX287" s="66"/>
      <c r="QY287" s="66"/>
      <c r="QZ287" s="66"/>
      <c r="RA287" s="66"/>
      <c r="RB287" s="66"/>
      <c r="RC287" s="66"/>
      <c r="RD287" s="4"/>
    </row>
    <row r="288" spans="9:472" x14ac:dyDescent="0.25">
      <c r="I288" s="66"/>
      <c r="J288" s="66"/>
      <c r="K288" s="66"/>
      <c r="L288" s="66"/>
      <c r="M288" s="66"/>
      <c r="N288" s="66"/>
      <c r="O288" s="66"/>
      <c r="P288" s="66"/>
      <c r="Q288" s="66"/>
      <c r="R288" s="66"/>
      <c r="S288" s="66"/>
      <c r="T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c r="CY288" s="66"/>
      <c r="CZ288" s="66"/>
      <c r="DA288" s="66"/>
      <c r="DB288" s="66"/>
      <c r="DC288" s="66"/>
      <c r="DD288" s="66"/>
      <c r="DE288" s="66"/>
      <c r="DF288" s="66"/>
      <c r="DG288" s="66"/>
      <c r="DH288" s="66"/>
      <c r="DI288" s="66"/>
      <c r="DJ288" s="66"/>
      <c r="DK288" s="66"/>
      <c r="DL288" s="66"/>
      <c r="DM288" s="66"/>
      <c r="DN288" s="66"/>
      <c r="DO288" s="66"/>
      <c r="DP288" s="66"/>
      <c r="DQ288" s="66"/>
      <c r="DR288" s="66"/>
      <c r="DS288" s="66"/>
      <c r="DT288" s="66"/>
      <c r="DU288" s="66"/>
      <c r="DV288" s="66"/>
      <c r="DW288" s="66"/>
      <c r="DX288" s="66"/>
      <c r="DY288" s="66"/>
      <c r="DZ288" s="66"/>
      <c r="EA288" s="66"/>
      <c r="EB288" s="66"/>
      <c r="EC288" s="66"/>
      <c r="ED288" s="66"/>
      <c r="EE288" s="66"/>
      <c r="EF288" s="66"/>
      <c r="EG288" s="66"/>
      <c r="EH288" s="66"/>
      <c r="EI288" s="66"/>
      <c r="EJ288" s="66"/>
      <c r="EK288" s="66"/>
      <c r="EL288" s="66"/>
      <c r="EM288" s="66"/>
      <c r="EN288" s="66"/>
      <c r="EO288" s="66"/>
      <c r="EP288" s="66"/>
      <c r="EQ288" s="66"/>
      <c r="ER288" s="66"/>
      <c r="ES288" s="66"/>
      <c r="ET288" s="66"/>
      <c r="EU288" s="66"/>
      <c r="EV288" s="66"/>
      <c r="EW288" s="66"/>
      <c r="EX288" s="66"/>
      <c r="EY288" s="66"/>
      <c r="EZ288" s="66"/>
      <c r="FA288" s="66"/>
      <c r="FB288" s="66"/>
      <c r="FC288" s="66"/>
      <c r="FD288" s="66"/>
      <c r="FE288" s="66"/>
      <c r="FF288" s="66"/>
      <c r="FG288" s="66"/>
      <c r="FH288" s="66"/>
      <c r="FI288" s="66"/>
      <c r="FJ288" s="66"/>
      <c r="FK288" s="66"/>
      <c r="FL288" s="66"/>
      <c r="FM288" s="66"/>
      <c r="FN288" s="66"/>
      <c r="FO288" s="66"/>
      <c r="FP288" s="66"/>
      <c r="FQ288" s="66"/>
      <c r="FR288" s="66"/>
      <c r="FS288" s="66"/>
      <c r="FT288" s="66"/>
      <c r="FU288" s="66"/>
      <c r="FV288" s="66"/>
      <c r="FW288" s="66"/>
      <c r="FX288" s="66"/>
      <c r="FY288" s="66"/>
      <c r="FZ288" s="66"/>
      <c r="GA288" s="66"/>
      <c r="GB288" s="66"/>
      <c r="GC288" s="66"/>
      <c r="GD288" s="66"/>
      <c r="GE288" s="66"/>
      <c r="GF288" s="66"/>
      <c r="GG288" s="66"/>
      <c r="GH288" s="66"/>
      <c r="GI288" s="66"/>
      <c r="GJ288" s="66"/>
      <c r="GK288" s="66"/>
      <c r="GL288" s="66"/>
      <c r="GM288" s="66"/>
      <c r="GN288" s="66"/>
      <c r="GO288" s="66"/>
      <c r="GP288" s="66"/>
      <c r="GQ288" s="66"/>
      <c r="GR288" s="66"/>
      <c r="GS288" s="66"/>
      <c r="GT288" s="66"/>
      <c r="GU288" s="66"/>
      <c r="GV288" s="66"/>
      <c r="GW288" s="66"/>
      <c r="GX288" s="66"/>
      <c r="GY288" s="66"/>
      <c r="GZ288" s="66"/>
      <c r="HA288" s="66"/>
      <c r="HB288" s="66"/>
      <c r="HC288" s="66"/>
      <c r="HD288" s="66"/>
      <c r="HE288" s="66"/>
      <c r="HF288" s="66"/>
      <c r="HG288" s="66"/>
      <c r="HH288" s="66"/>
      <c r="HI288" s="66"/>
      <c r="HJ288" s="66"/>
      <c r="HK288" s="66"/>
      <c r="HL288" s="66"/>
      <c r="HM288" s="66"/>
      <c r="HN288" s="66"/>
      <c r="HO288" s="66"/>
      <c r="HP288" s="66"/>
      <c r="HQ288" s="66"/>
      <c r="HR288" s="66"/>
      <c r="HS288" s="66"/>
      <c r="HT288" s="66"/>
      <c r="HU288" s="66"/>
      <c r="HV288" s="66"/>
      <c r="HW288" s="66"/>
      <c r="HX288" s="66"/>
      <c r="HY288" s="66"/>
      <c r="HZ288" s="66"/>
      <c r="IA288" s="66"/>
      <c r="IB288" s="66"/>
      <c r="IC288" s="66"/>
      <c r="ID288" s="66"/>
      <c r="IE288" s="66"/>
      <c r="IF288" s="66"/>
      <c r="IG288" s="66"/>
      <c r="IH288" s="66"/>
      <c r="II288" s="66"/>
      <c r="IJ288" s="66"/>
      <c r="IK288" s="66"/>
      <c r="IL288" s="66"/>
      <c r="IM288" s="66"/>
      <c r="IN288" s="66"/>
      <c r="IO288" s="66"/>
      <c r="IP288" s="66"/>
      <c r="IQ288" s="66"/>
      <c r="IR288" s="66"/>
      <c r="IS288" s="66"/>
      <c r="IT288" s="66"/>
      <c r="IU288" s="66"/>
      <c r="IV288" s="66"/>
      <c r="IW288" s="66"/>
      <c r="IX288" s="66"/>
      <c r="IY288" s="66"/>
      <c r="IZ288" s="66"/>
      <c r="JA288" s="66"/>
      <c r="JB288" s="66"/>
      <c r="JC288" s="66"/>
      <c r="JD288" s="66"/>
      <c r="JE288" s="66"/>
      <c r="JF288" s="66"/>
      <c r="JG288" s="66"/>
      <c r="JH288" s="66"/>
      <c r="JI288" s="66"/>
      <c r="JJ288" s="66"/>
      <c r="JK288" s="66"/>
      <c r="JL288" s="66"/>
      <c r="JM288" s="66"/>
      <c r="JN288" s="66"/>
      <c r="JO288" s="66"/>
      <c r="JP288" s="66"/>
      <c r="JQ288" s="66"/>
      <c r="JR288" s="66"/>
      <c r="JS288" s="66"/>
      <c r="JT288" s="66"/>
      <c r="JU288" s="66"/>
      <c r="JV288" s="66"/>
      <c r="JW288" s="66"/>
      <c r="JX288" s="66"/>
      <c r="JY288" s="66"/>
      <c r="JZ288" s="66"/>
      <c r="KA288" s="66"/>
      <c r="KB288" s="66"/>
      <c r="KC288" s="66"/>
      <c r="KD288" s="66"/>
      <c r="KE288" s="66"/>
      <c r="KF288" s="66"/>
      <c r="KG288" s="66"/>
      <c r="KH288" s="66"/>
      <c r="KI288" s="66"/>
      <c r="KJ288" s="66"/>
      <c r="KK288" s="66"/>
      <c r="KL288" s="66"/>
      <c r="KM288" s="66"/>
      <c r="KN288" s="66"/>
      <c r="KO288" s="66"/>
      <c r="KP288" s="66"/>
      <c r="KQ288" s="66"/>
      <c r="KR288" s="66"/>
      <c r="KS288" s="66"/>
      <c r="KT288" s="66"/>
      <c r="KU288" s="66"/>
      <c r="KV288" s="66"/>
      <c r="KW288" s="66"/>
      <c r="KX288" s="66"/>
      <c r="KY288" s="66"/>
      <c r="KZ288" s="66"/>
      <c r="LA288" s="66"/>
      <c r="LB288" s="66"/>
      <c r="LC288" s="66"/>
      <c r="LD288" s="66"/>
      <c r="LE288" s="66"/>
      <c r="LF288" s="66"/>
      <c r="LG288" s="66"/>
      <c r="LH288" s="66"/>
      <c r="LI288" s="66"/>
      <c r="LJ288" s="66"/>
      <c r="LK288" s="66"/>
      <c r="LL288" s="66"/>
      <c r="LM288" s="66"/>
      <c r="LN288" s="66"/>
      <c r="LO288" s="66"/>
      <c r="LP288" s="66"/>
      <c r="LQ288" s="66"/>
      <c r="LR288" s="66"/>
      <c r="LS288" s="66"/>
      <c r="LT288" s="66"/>
      <c r="LU288" s="66"/>
      <c r="LV288" s="66"/>
      <c r="LW288" s="66"/>
      <c r="LX288" s="66"/>
      <c r="LY288" s="66"/>
      <c r="LZ288" s="66"/>
      <c r="MA288" s="66"/>
      <c r="MB288" s="66"/>
      <c r="MC288" s="66"/>
      <c r="MD288" s="66"/>
      <c r="ME288" s="66"/>
      <c r="MF288" s="66"/>
      <c r="MG288" s="66"/>
      <c r="MH288" s="66"/>
      <c r="MI288" s="66"/>
      <c r="MJ288" s="66"/>
      <c r="MK288" s="66"/>
      <c r="ML288" s="66"/>
      <c r="MM288" s="66"/>
      <c r="MN288" s="66"/>
      <c r="MO288" s="66"/>
      <c r="MP288" s="66"/>
      <c r="MQ288" s="66"/>
      <c r="MR288" s="66"/>
      <c r="MS288" s="66"/>
      <c r="MT288" s="66"/>
      <c r="MU288" s="66"/>
      <c r="MV288" s="66"/>
      <c r="MW288" s="66"/>
      <c r="MX288" s="66"/>
      <c r="MY288" s="66"/>
      <c r="MZ288" s="66"/>
      <c r="NA288" s="66"/>
      <c r="NB288" s="66"/>
      <c r="NC288" s="66"/>
      <c r="ND288" s="66"/>
      <c r="NE288" s="66"/>
      <c r="NF288" s="66"/>
      <c r="NG288" s="66"/>
      <c r="NH288" s="66"/>
      <c r="NI288" s="66"/>
      <c r="NJ288" s="66"/>
      <c r="NK288" s="66"/>
      <c r="NL288" s="66"/>
      <c r="NM288" s="66"/>
      <c r="NN288" s="66"/>
      <c r="NO288" s="66"/>
      <c r="NP288" s="66"/>
      <c r="NQ288" s="66"/>
      <c r="NR288" s="66"/>
      <c r="NS288" s="66"/>
      <c r="NT288" s="66"/>
      <c r="NU288" s="66"/>
      <c r="NV288" s="66"/>
      <c r="NW288" s="66"/>
      <c r="NX288" s="66"/>
      <c r="NY288" s="66"/>
      <c r="NZ288" s="66"/>
      <c r="OA288" s="66"/>
      <c r="OB288" s="66"/>
      <c r="OC288" s="66"/>
      <c r="OD288" s="66"/>
      <c r="OE288" s="66"/>
      <c r="OF288" s="66"/>
      <c r="OG288" s="66"/>
      <c r="OH288" s="66"/>
      <c r="OI288" s="66"/>
      <c r="OJ288" s="66"/>
      <c r="OK288" s="66"/>
      <c r="OL288" s="66"/>
      <c r="OM288" s="66"/>
      <c r="ON288" s="66"/>
      <c r="OO288" s="66"/>
      <c r="OP288" s="66"/>
      <c r="OQ288" s="66"/>
      <c r="OR288" s="66"/>
      <c r="OS288" s="66"/>
      <c r="OT288" s="66"/>
      <c r="OU288" s="66"/>
      <c r="OV288" s="66"/>
      <c r="OW288" s="66"/>
      <c r="OX288" s="66"/>
      <c r="OY288" s="66"/>
      <c r="OZ288" s="66"/>
      <c r="PA288" s="66"/>
      <c r="PB288" s="66"/>
      <c r="PC288" s="66"/>
      <c r="PD288" s="66"/>
      <c r="PE288" s="66"/>
      <c r="PF288" s="66"/>
      <c r="PG288" s="66"/>
      <c r="PH288" s="66"/>
      <c r="PI288" s="66"/>
      <c r="PJ288" s="66"/>
      <c r="PK288" s="66"/>
      <c r="PL288" s="66"/>
      <c r="PM288" s="66"/>
      <c r="PN288" s="66"/>
      <c r="PO288" s="66"/>
      <c r="PP288" s="66"/>
      <c r="PQ288" s="66"/>
      <c r="PR288" s="66"/>
      <c r="PS288" s="66"/>
      <c r="PT288" s="66"/>
      <c r="PU288" s="66"/>
      <c r="PV288" s="66"/>
      <c r="PW288" s="66"/>
      <c r="PX288" s="66"/>
      <c r="PY288" s="66"/>
      <c r="PZ288" s="66"/>
      <c r="QA288" s="66"/>
      <c r="QB288" s="66"/>
      <c r="QC288" s="66"/>
      <c r="QD288" s="66"/>
      <c r="QE288" s="66"/>
      <c r="QF288" s="66"/>
      <c r="QG288" s="66"/>
      <c r="QH288" s="66"/>
      <c r="QI288" s="66"/>
      <c r="QJ288" s="66"/>
      <c r="QK288" s="66"/>
      <c r="QL288" s="66"/>
      <c r="QM288" s="66"/>
      <c r="QN288" s="66"/>
      <c r="QO288" s="66"/>
      <c r="QP288" s="66"/>
      <c r="QQ288" s="66"/>
      <c r="QR288" s="66"/>
      <c r="QS288" s="66"/>
      <c r="QT288" s="66"/>
      <c r="QU288" s="66"/>
      <c r="QV288" s="66"/>
      <c r="QW288" s="66"/>
      <c r="QX288" s="66"/>
      <c r="QY288" s="66"/>
      <c r="QZ288" s="66"/>
      <c r="RA288" s="66"/>
      <c r="RB288" s="66"/>
      <c r="RC288" s="66"/>
      <c r="RD288" s="4"/>
    </row>
    <row r="289" spans="9:472" x14ac:dyDescent="0.25">
      <c r="I289" s="66"/>
      <c r="J289" s="66"/>
      <c r="K289" s="66"/>
      <c r="L289" s="66"/>
      <c r="M289" s="66"/>
      <c r="N289" s="66"/>
      <c r="O289" s="66"/>
      <c r="P289" s="66"/>
      <c r="Q289" s="66"/>
      <c r="R289" s="66"/>
      <c r="S289" s="66"/>
      <c r="T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c r="CY289" s="66"/>
      <c r="CZ289" s="66"/>
      <c r="DA289" s="66"/>
      <c r="DB289" s="66"/>
      <c r="DC289" s="66"/>
      <c r="DD289" s="66"/>
      <c r="DE289" s="66"/>
      <c r="DF289" s="66"/>
      <c r="DG289" s="66"/>
      <c r="DH289" s="66"/>
      <c r="DI289" s="66"/>
      <c r="DJ289" s="66"/>
      <c r="DK289" s="66"/>
      <c r="DL289" s="66"/>
      <c r="DM289" s="66"/>
      <c r="DN289" s="66"/>
      <c r="DO289" s="66"/>
      <c r="DP289" s="66"/>
      <c r="DQ289" s="66"/>
      <c r="DR289" s="66"/>
      <c r="DS289" s="66"/>
      <c r="DT289" s="66"/>
      <c r="DU289" s="66"/>
      <c r="DV289" s="66"/>
      <c r="DW289" s="66"/>
      <c r="DX289" s="66"/>
      <c r="DY289" s="66"/>
      <c r="DZ289" s="66"/>
      <c r="EA289" s="66"/>
      <c r="EB289" s="66"/>
      <c r="EC289" s="66"/>
      <c r="ED289" s="66"/>
      <c r="EE289" s="66"/>
      <c r="EF289" s="66"/>
      <c r="EG289" s="66"/>
      <c r="EH289" s="66"/>
      <c r="EI289" s="66"/>
      <c r="EJ289" s="66"/>
      <c r="EK289" s="66"/>
      <c r="EL289" s="66"/>
      <c r="EM289" s="66"/>
      <c r="EN289" s="66"/>
      <c r="EO289" s="66"/>
      <c r="EP289" s="66"/>
      <c r="EQ289" s="66"/>
      <c r="ER289" s="66"/>
      <c r="ES289" s="66"/>
      <c r="ET289" s="66"/>
      <c r="EU289" s="66"/>
      <c r="EV289" s="66"/>
      <c r="EW289" s="66"/>
      <c r="EX289" s="66"/>
      <c r="EY289" s="66"/>
      <c r="EZ289" s="66"/>
      <c r="FA289" s="66"/>
      <c r="FB289" s="66"/>
      <c r="FC289" s="66"/>
      <c r="FD289" s="66"/>
      <c r="FE289" s="66"/>
      <c r="FF289" s="66"/>
      <c r="FG289" s="66"/>
      <c r="FH289" s="66"/>
      <c r="FI289" s="66"/>
      <c r="FJ289" s="66"/>
      <c r="FK289" s="66"/>
      <c r="FL289" s="66"/>
      <c r="FM289" s="66"/>
      <c r="FN289" s="66"/>
      <c r="FO289" s="66"/>
      <c r="FP289" s="66"/>
      <c r="FQ289" s="66"/>
      <c r="FR289" s="66"/>
      <c r="FS289" s="66"/>
      <c r="FT289" s="66"/>
      <c r="FU289" s="66"/>
      <c r="FV289" s="66"/>
      <c r="FW289" s="66"/>
      <c r="FX289" s="66"/>
      <c r="FY289" s="66"/>
      <c r="FZ289" s="66"/>
      <c r="GA289" s="66"/>
      <c r="GB289" s="66"/>
      <c r="GC289" s="66"/>
      <c r="GD289" s="66"/>
      <c r="GE289" s="66"/>
      <c r="GF289" s="66"/>
      <c r="GG289" s="66"/>
      <c r="GH289" s="66"/>
      <c r="GI289" s="66"/>
      <c r="GJ289" s="66"/>
      <c r="GK289" s="66"/>
      <c r="GL289" s="66"/>
      <c r="GM289" s="66"/>
      <c r="GN289" s="66"/>
      <c r="GO289" s="66"/>
      <c r="GP289" s="66"/>
      <c r="GQ289" s="66"/>
      <c r="GR289" s="66"/>
      <c r="GS289" s="66"/>
      <c r="GT289" s="66"/>
      <c r="GU289" s="66"/>
      <c r="GV289" s="66"/>
      <c r="GW289" s="66"/>
      <c r="GX289" s="66"/>
      <c r="GY289" s="66"/>
      <c r="GZ289" s="66"/>
      <c r="HA289" s="66"/>
      <c r="HB289" s="66"/>
      <c r="HC289" s="66"/>
      <c r="HD289" s="66"/>
      <c r="HE289" s="66"/>
      <c r="HF289" s="66"/>
      <c r="HG289" s="66"/>
      <c r="HH289" s="66"/>
      <c r="HI289" s="66"/>
      <c r="HJ289" s="66"/>
      <c r="HK289" s="66"/>
      <c r="HL289" s="66"/>
      <c r="HM289" s="66"/>
      <c r="HN289" s="66"/>
      <c r="HO289" s="66"/>
      <c r="HP289" s="66"/>
      <c r="HQ289" s="66"/>
      <c r="HR289" s="66"/>
      <c r="HS289" s="66"/>
      <c r="HT289" s="66"/>
      <c r="HU289" s="66"/>
      <c r="HV289" s="66"/>
      <c r="HW289" s="66"/>
      <c r="HX289" s="66"/>
      <c r="HY289" s="66"/>
      <c r="HZ289" s="66"/>
      <c r="IA289" s="66"/>
      <c r="IB289" s="66"/>
      <c r="IC289" s="66"/>
      <c r="ID289" s="66"/>
      <c r="IE289" s="66"/>
      <c r="IF289" s="66"/>
      <c r="IG289" s="66"/>
      <c r="IH289" s="66"/>
      <c r="II289" s="66"/>
      <c r="IJ289" s="66"/>
      <c r="IK289" s="66"/>
      <c r="IL289" s="66"/>
      <c r="IM289" s="66"/>
      <c r="IN289" s="66"/>
      <c r="IO289" s="66"/>
      <c r="IP289" s="66"/>
      <c r="IQ289" s="66"/>
      <c r="IR289" s="66"/>
      <c r="IS289" s="66"/>
      <c r="IT289" s="66"/>
      <c r="IU289" s="66"/>
      <c r="IV289" s="66"/>
      <c r="IW289" s="66"/>
      <c r="IX289" s="66"/>
      <c r="IY289" s="66"/>
      <c r="IZ289" s="66"/>
      <c r="JA289" s="66"/>
      <c r="JB289" s="66"/>
      <c r="JC289" s="66"/>
      <c r="JD289" s="66"/>
      <c r="JE289" s="66"/>
      <c r="JF289" s="66"/>
      <c r="JG289" s="66"/>
      <c r="JH289" s="66"/>
      <c r="JI289" s="66"/>
      <c r="JJ289" s="66"/>
      <c r="JK289" s="66"/>
      <c r="JL289" s="66"/>
      <c r="JM289" s="66"/>
      <c r="JN289" s="66"/>
      <c r="JO289" s="66"/>
      <c r="JP289" s="66"/>
      <c r="JQ289" s="66"/>
      <c r="JR289" s="66"/>
      <c r="JS289" s="66"/>
      <c r="JT289" s="66"/>
      <c r="JU289" s="66"/>
      <c r="JV289" s="66"/>
      <c r="JW289" s="66"/>
      <c r="JX289" s="66"/>
      <c r="JY289" s="66"/>
      <c r="JZ289" s="66"/>
      <c r="KA289" s="66"/>
      <c r="KB289" s="66"/>
      <c r="KC289" s="66"/>
      <c r="KD289" s="66"/>
      <c r="KE289" s="66"/>
      <c r="KF289" s="66"/>
      <c r="KG289" s="66"/>
      <c r="KH289" s="66"/>
      <c r="KI289" s="66"/>
      <c r="KJ289" s="66"/>
      <c r="KK289" s="66"/>
      <c r="KL289" s="66"/>
      <c r="KM289" s="66"/>
      <c r="KN289" s="66"/>
      <c r="KO289" s="66"/>
      <c r="KP289" s="66"/>
      <c r="KQ289" s="66"/>
      <c r="KR289" s="66"/>
      <c r="KS289" s="66"/>
      <c r="KT289" s="66"/>
      <c r="KU289" s="66"/>
      <c r="KV289" s="66"/>
      <c r="KW289" s="66"/>
      <c r="KX289" s="66"/>
      <c r="KY289" s="66"/>
      <c r="KZ289" s="66"/>
      <c r="LA289" s="66"/>
      <c r="LB289" s="66"/>
      <c r="LC289" s="66"/>
      <c r="LD289" s="66"/>
      <c r="LE289" s="66"/>
      <c r="LF289" s="66"/>
      <c r="LG289" s="66"/>
      <c r="LH289" s="66"/>
      <c r="LI289" s="66"/>
      <c r="LJ289" s="66"/>
      <c r="LK289" s="66"/>
      <c r="LL289" s="66"/>
      <c r="LM289" s="66"/>
      <c r="LN289" s="66"/>
      <c r="LO289" s="66"/>
      <c r="LP289" s="66"/>
      <c r="LQ289" s="66"/>
      <c r="LR289" s="66"/>
      <c r="LS289" s="66"/>
      <c r="LT289" s="66"/>
      <c r="LU289" s="66"/>
      <c r="LV289" s="66"/>
      <c r="LW289" s="66"/>
      <c r="LX289" s="66"/>
      <c r="LY289" s="66"/>
      <c r="LZ289" s="66"/>
      <c r="MA289" s="66"/>
      <c r="MB289" s="66"/>
      <c r="MC289" s="66"/>
      <c r="MD289" s="66"/>
      <c r="ME289" s="66"/>
      <c r="MF289" s="66"/>
      <c r="MG289" s="66"/>
      <c r="MH289" s="66"/>
      <c r="MI289" s="66"/>
      <c r="MJ289" s="66"/>
      <c r="MK289" s="66"/>
      <c r="ML289" s="66"/>
      <c r="MM289" s="66"/>
      <c r="MN289" s="66"/>
      <c r="MO289" s="66"/>
      <c r="MP289" s="66"/>
      <c r="MQ289" s="66"/>
      <c r="MR289" s="66"/>
      <c r="MS289" s="66"/>
      <c r="MT289" s="66"/>
      <c r="MU289" s="66"/>
      <c r="MV289" s="66"/>
      <c r="MW289" s="66"/>
      <c r="MX289" s="66"/>
      <c r="MY289" s="66"/>
      <c r="MZ289" s="66"/>
      <c r="NA289" s="66"/>
      <c r="NB289" s="66"/>
      <c r="NC289" s="66"/>
      <c r="ND289" s="66"/>
      <c r="NE289" s="66"/>
      <c r="NF289" s="66"/>
      <c r="NG289" s="66"/>
      <c r="NH289" s="66"/>
      <c r="NI289" s="66"/>
      <c r="NJ289" s="66"/>
      <c r="NK289" s="66"/>
      <c r="NL289" s="66"/>
      <c r="NM289" s="66"/>
      <c r="NN289" s="66"/>
      <c r="NO289" s="66"/>
      <c r="NP289" s="66"/>
      <c r="NQ289" s="66"/>
      <c r="NR289" s="66"/>
      <c r="NS289" s="66"/>
      <c r="NT289" s="66"/>
      <c r="NU289" s="66"/>
      <c r="NV289" s="66"/>
      <c r="NW289" s="66"/>
      <c r="NX289" s="66"/>
      <c r="NY289" s="66"/>
      <c r="NZ289" s="66"/>
      <c r="OA289" s="66"/>
      <c r="OB289" s="66"/>
      <c r="OC289" s="66"/>
      <c r="OD289" s="66"/>
      <c r="OE289" s="66"/>
      <c r="OF289" s="66"/>
      <c r="OG289" s="66"/>
      <c r="OH289" s="66"/>
      <c r="OI289" s="66"/>
      <c r="OJ289" s="66"/>
      <c r="OK289" s="66"/>
      <c r="OL289" s="66"/>
      <c r="OM289" s="66"/>
      <c r="ON289" s="66"/>
      <c r="OO289" s="66"/>
      <c r="OP289" s="66"/>
      <c r="OQ289" s="66"/>
      <c r="OR289" s="66"/>
      <c r="OS289" s="66"/>
      <c r="OT289" s="66"/>
      <c r="OU289" s="66"/>
      <c r="OV289" s="66"/>
      <c r="OW289" s="66"/>
      <c r="OX289" s="66"/>
      <c r="OY289" s="66"/>
      <c r="OZ289" s="66"/>
      <c r="PA289" s="66"/>
      <c r="PB289" s="66"/>
      <c r="PC289" s="66"/>
      <c r="PD289" s="66"/>
      <c r="PE289" s="66"/>
      <c r="PF289" s="66"/>
      <c r="PG289" s="66"/>
      <c r="PH289" s="66"/>
      <c r="PI289" s="66"/>
      <c r="PJ289" s="66"/>
      <c r="PK289" s="66"/>
      <c r="PL289" s="66"/>
      <c r="PM289" s="66"/>
      <c r="PN289" s="66"/>
      <c r="PO289" s="66"/>
      <c r="PP289" s="66"/>
      <c r="PQ289" s="66"/>
      <c r="PR289" s="66"/>
      <c r="PS289" s="66"/>
      <c r="PT289" s="66"/>
      <c r="PU289" s="66"/>
      <c r="PV289" s="66"/>
      <c r="PW289" s="66"/>
      <c r="PX289" s="66"/>
      <c r="PY289" s="66"/>
      <c r="PZ289" s="66"/>
      <c r="QA289" s="66"/>
      <c r="QB289" s="66"/>
      <c r="QC289" s="66"/>
      <c r="QD289" s="66"/>
      <c r="QE289" s="66"/>
      <c r="QF289" s="66"/>
      <c r="QG289" s="66"/>
      <c r="QH289" s="66"/>
      <c r="QI289" s="66"/>
      <c r="QJ289" s="66"/>
      <c r="QK289" s="66"/>
      <c r="QL289" s="66"/>
      <c r="QM289" s="66"/>
      <c r="QN289" s="66"/>
      <c r="QO289" s="66"/>
      <c r="QP289" s="66"/>
      <c r="QQ289" s="66"/>
      <c r="QR289" s="66"/>
      <c r="QS289" s="66"/>
      <c r="QT289" s="66"/>
      <c r="QU289" s="66"/>
      <c r="QV289" s="66"/>
      <c r="QW289" s="66"/>
      <c r="QX289" s="66"/>
      <c r="QY289" s="66"/>
      <c r="QZ289" s="66"/>
      <c r="RA289" s="66"/>
      <c r="RB289" s="66"/>
      <c r="RC289" s="66"/>
      <c r="RD289" s="4"/>
    </row>
    <row r="290" spans="9:472" x14ac:dyDescent="0.25">
      <c r="I290" s="66"/>
      <c r="J290" s="66"/>
      <c r="K290" s="66"/>
      <c r="L290" s="66"/>
      <c r="M290" s="66"/>
      <c r="N290" s="66"/>
      <c r="O290" s="66"/>
      <c r="P290" s="66"/>
      <c r="Q290" s="66"/>
      <c r="R290" s="66"/>
      <c r="S290" s="66"/>
      <c r="T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c r="CY290" s="66"/>
      <c r="CZ290" s="66"/>
      <c r="DA290" s="66"/>
      <c r="DB290" s="66"/>
      <c r="DC290" s="66"/>
      <c r="DD290" s="66"/>
      <c r="DE290" s="66"/>
      <c r="DF290" s="66"/>
      <c r="DG290" s="66"/>
      <c r="DH290" s="66"/>
      <c r="DI290" s="66"/>
      <c r="DJ290" s="66"/>
      <c r="DK290" s="66"/>
      <c r="DL290" s="66"/>
      <c r="DM290" s="66"/>
      <c r="DN290" s="66"/>
      <c r="DO290" s="66"/>
      <c r="DP290" s="66"/>
      <c r="DQ290" s="66"/>
      <c r="DR290" s="66"/>
      <c r="DS290" s="66"/>
      <c r="DT290" s="66"/>
      <c r="DU290" s="66"/>
      <c r="DV290" s="66"/>
      <c r="DW290" s="66"/>
      <c r="DX290" s="66"/>
      <c r="DY290" s="66"/>
      <c r="DZ290" s="66"/>
      <c r="EA290" s="66"/>
      <c r="EB290" s="66"/>
      <c r="EC290" s="66"/>
      <c r="ED290" s="66"/>
      <c r="EE290" s="66"/>
      <c r="EF290" s="66"/>
      <c r="EG290" s="66"/>
      <c r="EH290" s="66"/>
      <c r="EI290" s="66"/>
      <c r="EJ290" s="66"/>
      <c r="EK290" s="66"/>
      <c r="EL290" s="66"/>
      <c r="EM290" s="66"/>
      <c r="EN290" s="66"/>
      <c r="EO290" s="66"/>
      <c r="EP290" s="66"/>
      <c r="EQ290" s="66"/>
      <c r="ER290" s="66"/>
      <c r="ES290" s="66"/>
      <c r="ET290" s="66"/>
      <c r="EU290" s="66"/>
      <c r="EV290" s="66"/>
      <c r="EW290" s="66"/>
      <c r="EX290" s="66"/>
      <c r="EY290" s="66"/>
      <c r="EZ290" s="66"/>
      <c r="FA290" s="66"/>
      <c r="FB290" s="66"/>
      <c r="FC290" s="66"/>
      <c r="FD290" s="66"/>
      <c r="FE290" s="66"/>
      <c r="FF290" s="66"/>
      <c r="FG290" s="66"/>
      <c r="FH290" s="66"/>
      <c r="FI290" s="66"/>
      <c r="FJ290" s="66"/>
      <c r="FK290" s="66"/>
      <c r="FL290" s="66"/>
      <c r="FM290" s="66"/>
      <c r="FN290" s="66"/>
      <c r="FO290" s="66"/>
      <c r="FP290" s="66"/>
      <c r="FQ290" s="66"/>
      <c r="FR290" s="66"/>
      <c r="FS290" s="66"/>
      <c r="FT290" s="66"/>
      <c r="FU290" s="66"/>
      <c r="FV290" s="66"/>
      <c r="FW290" s="66"/>
      <c r="FX290" s="66"/>
      <c r="FY290" s="66"/>
      <c r="FZ290" s="66"/>
      <c r="GA290" s="66"/>
      <c r="GB290" s="66"/>
      <c r="GC290" s="66"/>
      <c r="GD290" s="66"/>
      <c r="GE290" s="66"/>
      <c r="GF290" s="66"/>
      <c r="GG290" s="66"/>
      <c r="GH290" s="66"/>
      <c r="GI290" s="66"/>
      <c r="GJ290" s="66"/>
      <c r="GK290" s="66"/>
      <c r="GL290" s="66"/>
      <c r="GM290" s="66"/>
      <c r="GN290" s="66"/>
      <c r="GO290" s="66"/>
      <c r="GP290" s="66"/>
      <c r="GQ290" s="66"/>
      <c r="GR290" s="66"/>
      <c r="GS290" s="66"/>
      <c r="GT290" s="66"/>
      <c r="GU290" s="66"/>
      <c r="GV290" s="66"/>
      <c r="GW290" s="66"/>
      <c r="GX290" s="66"/>
      <c r="GY290" s="66"/>
      <c r="GZ290" s="66"/>
      <c r="HA290" s="66"/>
      <c r="HB290" s="66"/>
      <c r="HC290" s="66"/>
      <c r="HD290" s="66"/>
      <c r="HE290" s="66"/>
      <c r="HF290" s="66"/>
      <c r="HG290" s="66"/>
      <c r="HH290" s="66"/>
      <c r="HI290" s="66"/>
      <c r="HJ290" s="66"/>
      <c r="HK290" s="66"/>
      <c r="HL290" s="66"/>
      <c r="HM290" s="66"/>
      <c r="HN290" s="66"/>
      <c r="HO290" s="66"/>
      <c r="HP290" s="66"/>
      <c r="HQ290" s="66"/>
      <c r="HR290" s="66"/>
      <c r="HS290" s="66"/>
      <c r="HT290" s="66"/>
      <c r="HU290" s="66"/>
      <c r="HV290" s="66"/>
      <c r="HW290" s="66"/>
      <c r="HX290" s="66"/>
      <c r="HY290" s="66"/>
      <c r="HZ290" s="66"/>
      <c r="IA290" s="66"/>
      <c r="IB290" s="66"/>
      <c r="IC290" s="66"/>
      <c r="ID290" s="66"/>
      <c r="IE290" s="66"/>
      <c r="IF290" s="66"/>
      <c r="IG290" s="66"/>
      <c r="IH290" s="66"/>
      <c r="II290" s="66"/>
      <c r="IJ290" s="66"/>
      <c r="IK290" s="66"/>
      <c r="IL290" s="66"/>
      <c r="IM290" s="66"/>
      <c r="IN290" s="66"/>
      <c r="IO290" s="66"/>
      <c r="IP290" s="66"/>
      <c r="IQ290" s="66"/>
      <c r="IR290" s="66"/>
      <c r="IS290" s="66"/>
      <c r="IT290" s="66"/>
      <c r="IU290" s="66"/>
      <c r="IV290" s="66"/>
      <c r="IW290" s="66"/>
      <c r="IX290" s="66"/>
      <c r="IY290" s="66"/>
      <c r="IZ290" s="66"/>
      <c r="JA290" s="66"/>
      <c r="JB290" s="66"/>
      <c r="JC290" s="66"/>
      <c r="JD290" s="66"/>
      <c r="JE290" s="66"/>
      <c r="JF290" s="66"/>
      <c r="JG290" s="66"/>
      <c r="JH290" s="66"/>
      <c r="JI290" s="66"/>
      <c r="JJ290" s="66"/>
      <c r="JK290" s="66"/>
      <c r="JL290" s="66"/>
      <c r="JM290" s="66"/>
      <c r="JN290" s="66"/>
      <c r="JO290" s="66"/>
      <c r="JP290" s="66"/>
      <c r="JQ290" s="66"/>
      <c r="JR290" s="66"/>
      <c r="JS290" s="66"/>
      <c r="JT290" s="66"/>
      <c r="JU290" s="66"/>
      <c r="JV290" s="66"/>
      <c r="JW290" s="66"/>
      <c r="JX290" s="66"/>
      <c r="JY290" s="66"/>
      <c r="JZ290" s="66"/>
      <c r="KA290" s="66"/>
      <c r="KB290" s="66"/>
      <c r="KC290" s="66"/>
      <c r="KD290" s="66"/>
      <c r="KE290" s="66"/>
      <c r="KF290" s="66"/>
      <c r="KG290" s="66"/>
      <c r="KH290" s="66"/>
      <c r="KI290" s="66"/>
      <c r="KJ290" s="66"/>
      <c r="KK290" s="66"/>
      <c r="KL290" s="66"/>
      <c r="KM290" s="66"/>
      <c r="KN290" s="66"/>
      <c r="KO290" s="66"/>
      <c r="KP290" s="66"/>
      <c r="KQ290" s="66"/>
      <c r="KR290" s="66"/>
      <c r="KS290" s="66"/>
      <c r="KT290" s="66"/>
      <c r="KU290" s="66"/>
      <c r="KV290" s="66"/>
      <c r="KW290" s="66"/>
      <c r="KX290" s="66"/>
      <c r="KY290" s="66"/>
      <c r="KZ290" s="66"/>
      <c r="LA290" s="66"/>
      <c r="LB290" s="66"/>
      <c r="LC290" s="66"/>
      <c r="LD290" s="66"/>
      <c r="LE290" s="66"/>
      <c r="LF290" s="66"/>
      <c r="LG290" s="66"/>
      <c r="LH290" s="66"/>
      <c r="LI290" s="66"/>
      <c r="LJ290" s="66"/>
      <c r="LK290" s="66"/>
      <c r="LL290" s="66"/>
      <c r="LM290" s="66"/>
      <c r="LN290" s="66"/>
      <c r="LO290" s="66"/>
      <c r="LP290" s="66"/>
      <c r="LQ290" s="66"/>
      <c r="LR290" s="66"/>
      <c r="LS290" s="66"/>
      <c r="LT290" s="66"/>
      <c r="LU290" s="66"/>
      <c r="LV290" s="66"/>
      <c r="LW290" s="66"/>
      <c r="LX290" s="66"/>
      <c r="LY290" s="66"/>
      <c r="LZ290" s="66"/>
      <c r="MA290" s="66"/>
      <c r="MB290" s="66"/>
      <c r="MC290" s="66"/>
      <c r="MD290" s="66"/>
      <c r="ME290" s="66"/>
      <c r="MF290" s="66"/>
      <c r="MG290" s="66"/>
      <c r="MH290" s="66"/>
      <c r="MI290" s="66"/>
      <c r="MJ290" s="66"/>
      <c r="MK290" s="66"/>
      <c r="ML290" s="66"/>
      <c r="MM290" s="66"/>
      <c r="MN290" s="66"/>
      <c r="MO290" s="66"/>
      <c r="MP290" s="66"/>
      <c r="MQ290" s="66"/>
      <c r="MR290" s="66"/>
      <c r="MS290" s="66"/>
      <c r="MT290" s="66"/>
      <c r="MU290" s="66"/>
      <c r="MV290" s="66"/>
      <c r="MW290" s="66"/>
      <c r="MX290" s="66"/>
      <c r="MY290" s="66"/>
      <c r="MZ290" s="66"/>
      <c r="NA290" s="66"/>
      <c r="NB290" s="66"/>
      <c r="NC290" s="66"/>
      <c r="ND290" s="66"/>
      <c r="NE290" s="66"/>
      <c r="NF290" s="66"/>
      <c r="NG290" s="66"/>
      <c r="NH290" s="66"/>
      <c r="NI290" s="66"/>
      <c r="NJ290" s="66"/>
      <c r="NK290" s="66"/>
      <c r="NL290" s="66"/>
      <c r="NM290" s="66"/>
      <c r="NN290" s="66"/>
      <c r="NO290" s="66"/>
      <c r="NP290" s="66"/>
      <c r="NQ290" s="66"/>
      <c r="NR290" s="66"/>
      <c r="NS290" s="66"/>
      <c r="NT290" s="66"/>
      <c r="NU290" s="66"/>
      <c r="NV290" s="66"/>
      <c r="NW290" s="66"/>
      <c r="NX290" s="66"/>
      <c r="NY290" s="66"/>
      <c r="NZ290" s="66"/>
      <c r="OA290" s="66"/>
      <c r="OB290" s="66"/>
      <c r="OC290" s="66"/>
      <c r="OD290" s="66"/>
      <c r="OE290" s="66"/>
      <c r="OF290" s="66"/>
      <c r="OG290" s="66"/>
      <c r="OH290" s="66"/>
      <c r="OI290" s="66"/>
      <c r="OJ290" s="66"/>
      <c r="OK290" s="66"/>
      <c r="OL290" s="66"/>
      <c r="OM290" s="66"/>
      <c r="ON290" s="66"/>
      <c r="OO290" s="66"/>
      <c r="OP290" s="66"/>
      <c r="OQ290" s="66"/>
      <c r="OR290" s="66"/>
      <c r="OS290" s="66"/>
      <c r="OT290" s="66"/>
      <c r="OU290" s="66"/>
      <c r="OV290" s="66"/>
      <c r="OW290" s="66"/>
      <c r="OX290" s="66"/>
      <c r="OY290" s="66"/>
      <c r="OZ290" s="66"/>
      <c r="PA290" s="66"/>
      <c r="PB290" s="66"/>
      <c r="PC290" s="66"/>
      <c r="PD290" s="66"/>
      <c r="PE290" s="66"/>
      <c r="PF290" s="66"/>
      <c r="PG290" s="66"/>
      <c r="PH290" s="66"/>
      <c r="PI290" s="66"/>
      <c r="PJ290" s="66"/>
      <c r="PK290" s="66"/>
      <c r="PL290" s="66"/>
      <c r="PM290" s="66"/>
      <c r="PN290" s="66"/>
      <c r="PO290" s="66"/>
      <c r="PP290" s="66"/>
      <c r="PQ290" s="66"/>
      <c r="PR290" s="66"/>
      <c r="PS290" s="66"/>
      <c r="PT290" s="66"/>
      <c r="PU290" s="66"/>
      <c r="PV290" s="66"/>
      <c r="PW290" s="66"/>
      <c r="PX290" s="66"/>
      <c r="PY290" s="66"/>
      <c r="PZ290" s="66"/>
      <c r="QA290" s="66"/>
      <c r="QB290" s="66"/>
      <c r="QC290" s="66"/>
      <c r="QD290" s="66"/>
      <c r="QE290" s="66"/>
      <c r="QF290" s="66"/>
      <c r="QG290" s="66"/>
      <c r="QH290" s="66"/>
      <c r="QI290" s="66"/>
      <c r="QJ290" s="66"/>
      <c r="QK290" s="66"/>
      <c r="QL290" s="66"/>
      <c r="QM290" s="66"/>
      <c r="QN290" s="66"/>
      <c r="QO290" s="66"/>
      <c r="QP290" s="66"/>
      <c r="QQ290" s="66"/>
      <c r="QR290" s="66"/>
      <c r="QS290" s="66"/>
      <c r="QT290" s="66"/>
      <c r="QU290" s="66"/>
      <c r="QV290" s="66"/>
      <c r="QW290" s="66"/>
      <c r="QX290" s="66"/>
      <c r="QY290" s="66"/>
      <c r="QZ290" s="66"/>
      <c r="RA290" s="66"/>
      <c r="RB290" s="66"/>
      <c r="RC290" s="66"/>
      <c r="RD290" s="4"/>
    </row>
    <row r="291" spans="9:472" x14ac:dyDescent="0.25">
      <c r="I291" s="66"/>
      <c r="J291" s="66"/>
      <c r="K291" s="66"/>
      <c r="L291" s="66"/>
      <c r="M291" s="66"/>
      <c r="N291" s="66"/>
      <c r="O291" s="66"/>
      <c r="P291" s="66"/>
      <c r="Q291" s="66"/>
      <c r="R291" s="66"/>
      <c r="S291" s="66"/>
      <c r="T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c r="CY291" s="66"/>
      <c r="CZ291" s="66"/>
      <c r="DA291" s="66"/>
      <c r="DB291" s="66"/>
      <c r="DC291" s="66"/>
      <c r="DD291" s="66"/>
      <c r="DE291" s="66"/>
      <c r="DF291" s="66"/>
      <c r="DG291" s="66"/>
      <c r="DH291" s="66"/>
      <c r="DI291" s="66"/>
      <c r="DJ291" s="66"/>
      <c r="DK291" s="66"/>
      <c r="DL291" s="66"/>
      <c r="DM291" s="66"/>
      <c r="DN291" s="66"/>
      <c r="DO291" s="66"/>
      <c r="DP291" s="66"/>
      <c r="DQ291" s="66"/>
      <c r="DR291" s="66"/>
      <c r="DS291" s="66"/>
      <c r="DT291" s="66"/>
      <c r="DU291" s="66"/>
      <c r="DV291" s="66"/>
      <c r="DW291" s="66"/>
      <c r="DX291" s="66"/>
      <c r="DY291" s="66"/>
      <c r="DZ291" s="66"/>
      <c r="EA291" s="66"/>
      <c r="EB291" s="66"/>
      <c r="EC291" s="66"/>
      <c r="ED291" s="66"/>
      <c r="EE291" s="66"/>
      <c r="EF291" s="66"/>
      <c r="EG291" s="66"/>
      <c r="EH291" s="66"/>
      <c r="EI291" s="66"/>
      <c r="EJ291" s="66"/>
      <c r="EK291" s="66"/>
      <c r="EL291" s="66"/>
      <c r="EM291" s="66"/>
      <c r="EN291" s="66"/>
      <c r="EO291" s="66"/>
      <c r="EP291" s="66"/>
      <c r="EQ291" s="66"/>
      <c r="ER291" s="66"/>
      <c r="ES291" s="66"/>
      <c r="ET291" s="66"/>
      <c r="EU291" s="66"/>
      <c r="EV291" s="66"/>
      <c r="EW291" s="66"/>
      <c r="EX291" s="66"/>
      <c r="EY291" s="66"/>
      <c r="EZ291" s="66"/>
      <c r="FA291" s="66"/>
      <c r="FB291" s="66"/>
      <c r="FC291" s="66"/>
      <c r="FD291" s="66"/>
      <c r="FE291" s="66"/>
      <c r="FF291" s="66"/>
      <c r="FG291" s="66"/>
      <c r="FH291" s="66"/>
      <c r="FI291" s="66"/>
      <c r="FJ291" s="66"/>
      <c r="FK291" s="66"/>
      <c r="FL291" s="66"/>
      <c r="FM291" s="66"/>
      <c r="FN291" s="66"/>
      <c r="FO291" s="66"/>
      <c r="FP291" s="66"/>
      <c r="FQ291" s="66"/>
      <c r="FR291" s="66"/>
      <c r="FS291" s="66"/>
      <c r="FT291" s="66"/>
      <c r="FU291" s="66"/>
      <c r="FV291" s="66"/>
      <c r="FW291" s="66"/>
      <c r="FX291" s="66"/>
      <c r="FY291" s="66"/>
      <c r="FZ291" s="66"/>
      <c r="GA291" s="66"/>
      <c r="GB291" s="66"/>
      <c r="GC291" s="66"/>
      <c r="GD291" s="66"/>
      <c r="GE291" s="66"/>
      <c r="GF291" s="66"/>
      <c r="GG291" s="66"/>
      <c r="GH291" s="66"/>
      <c r="GI291" s="66"/>
      <c r="GJ291" s="66"/>
      <c r="GK291" s="66"/>
      <c r="GL291" s="66"/>
      <c r="GM291" s="66"/>
      <c r="GN291" s="66"/>
      <c r="GO291" s="66"/>
      <c r="GP291" s="66"/>
      <c r="GQ291" s="66"/>
      <c r="GR291" s="66"/>
      <c r="GS291" s="66"/>
      <c r="GT291" s="66"/>
      <c r="GU291" s="66"/>
      <c r="GV291" s="66"/>
      <c r="GW291" s="66"/>
      <c r="GX291" s="66"/>
      <c r="GY291" s="66"/>
      <c r="GZ291" s="66"/>
      <c r="HA291" s="66"/>
      <c r="HB291" s="66"/>
      <c r="HC291" s="66"/>
      <c r="HD291" s="66"/>
      <c r="HE291" s="66"/>
      <c r="HF291" s="66"/>
      <c r="HG291" s="66"/>
      <c r="HH291" s="66"/>
      <c r="HI291" s="66"/>
      <c r="HJ291" s="66"/>
      <c r="HK291" s="66"/>
      <c r="HL291" s="66"/>
      <c r="HM291" s="66"/>
      <c r="HN291" s="66"/>
      <c r="HO291" s="66"/>
      <c r="HP291" s="66"/>
      <c r="HQ291" s="66"/>
      <c r="HR291" s="66"/>
      <c r="HS291" s="66"/>
      <c r="HT291" s="66"/>
      <c r="HU291" s="66"/>
      <c r="HV291" s="66"/>
      <c r="HW291" s="66"/>
      <c r="HX291" s="66"/>
      <c r="HY291" s="66"/>
      <c r="HZ291" s="66"/>
      <c r="IA291" s="66"/>
      <c r="IB291" s="66"/>
      <c r="IC291" s="66"/>
      <c r="ID291" s="66"/>
      <c r="IE291" s="66"/>
      <c r="IF291" s="66"/>
      <c r="IG291" s="66"/>
      <c r="IH291" s="66"/>
      <c r="II291" s="66"/>
      <c r="IJ291" s="66"/>
      <c r="IK291" s="66"/>
      <c r="IL291" s="66"/>
      <c r="IM291" s="66"/>
      <c r="IN291" s="66"/>
      <c r="IO291" s="66"/>
      <c r="IP291" s="66"/>
      <c r="IQ291" s="66"/>
      <c r="IR291" s="66"/>
      <c r="IS291" s="66"/>
      <c r="IT291" s="66"/>
      <c r="IU291" s="66"/>
      <c r="IV291" s="66"/>
      <c r="IW291" s="66"/>
      <c r="IX291" s="66"/>
      <c r="IY291" s="66"/>
      <c r="IZ291" s="66"/>
      <c r="JA291" s="66"/>
      <c r="JB291" s="66"/>
      <c r="JC291" s="66"/>
      <c r="JD291" s="66"/>
      <c r="JE291" s="66"/>
      <c r="JF291" s="66"/>
      <c r="JG291" s="66"/>
      <c r="JH291" s="66"/>
      <c r="JI291" s="66"/>
      <c r="JJ291" s="66"/>
      <c r="JK291" s="66"/>
      <c r="JL291" s="66"/>
      <c r="JM291" s="66"/>
      <c r="JN291" s="66"/>
      <c r="JO291" s="66"/>
      <c r="JP291" s="66"/>
      <c r="JQ291" s="66"/>
      <c r="JR291" s="66"/>
      <c r="JS291" s="66"/>
      <c r="JT291" s="66"/>
      <c r="JU291" s="66"/>
      <c r="JV291" s="66"/>
      <c r="JW291" s="66"/>
      <c r="JX291" s="66"/>
      <c r="JY291" s="66"/>
      <c r="JZ291" s="66"/>
      <c r="KA291" s="66"/>
      <c r="KB291" s="66"/>
      <c r="KC291" s="66"/>
      <c r="KD291" s="66"/>
      <c r="KE291" s="66"/>
      <c r="KF291" s="66"/>
      <c r="KG291" s="66"/>
      <c r="KH291" s="66"/>
      <c r="KI291" s="66"/>
      <c r="KJ291" s="66"/>
      <c r="KK291" s="66"/>
      <c r="KL291" s="66"/>
      <c r="KM291" s="66"/>
      <c r="KN291" s="66"/>
      <c r="KO291" s="66"/>
      <c r="KP291" s="66"/>
      <c r="KQ291" s="66"/>
      <c r="KR291" s="66"/>
      <c r="KS291" s="66"/>
      <c r="KT291" s="66"/>
      <c r="KU291" s="66"/>
      <c r="KV291" s="66"/>
      <c r="KW291" s="66"/>
      <c r="KX291" s="66"/>
      <c r="KY291" s="66"/>
      <c r="KZ291" s="66"/>
      <c r="LA291" s="66"/>
      <c r="LB291" s="66"/>
      <c r="LC291" s="66"/>
      <c r="LD291" s="66"/>
      <c r="LE291" s="66"/>
      <c r="LF291" s="66"/>
      <c r="LG291" s="66"/>
      <c r="LH291" s="66"/>
      <c r="LI291" s="66"/>
      <c r="LJ291" s="66"/>
      <c r="LK291" s="66"/>
      <c r="LL291" s="66"/>
      <c r="LM291" s="66"/>
      <c r="LN291" s="66"/>
      <c r="LO291" s="66"/>
      <c r="LP291" s="66"/>
      <c r="LQ291" s="66"/>
      <c r="LR291" s="66"/>
      <c r="LS291" s="66"/>
      <c r="LT291" s="66"/>
      <c r="LU291" s="66"/>
      <c r="LV291" s="66"/>
      <c r="LW291" s="66"/>
      <c r="LX291" s="66"/>
      <c r="LY291" s="66"/>
      <c r="LZ291" s="66"/>
      <c r="MA291" s="66"/>
      <c r="MB291" s="66"/>
      <c r="MC291" s="66"/>
      <c r="MD291" s="66"/>
      <c r="ME291" s="66"/>
      <c r="MF291" s="66"/>
      <c r="MG291" s="66"/>
      <c r="MH291" s="66"/>
      <c r="MI291" s="66"/>
      <c r="MJ291" s="66"/>
      <c r="MK291" s="66"/>
      <c r="ML291" s="66"/>
      <c r="MM291" s="66"/>
      <c r="MN291" s="66"/>
      <c r="MO291" s="66"/>
      <c r="MP291" s="66"/>
      <c r="MQ291" s="66"/>
      <c r="MR291" s="66"/>
      <c r="MS291" s="66"/>
      <c r="MT291" s="66"/>
      <c r="MU291" s="66"/>
      <c r="MV291" s="66"/>
      <c r="MW291" s="66"/>
      <c r="MX291" s="66"/>
      <c r="MY291" s="66"/>
      <c r="MZ291" s="66"/>
      <c r="NA291" s="66"/>
      <c r="NB291" s="66"/>
      <c r="NC291" s="66"/>
      <c r="ND291" s="66"/>
      <c r="NE291" s="66"/>
      <c r="NF291" s="66"/>
      <c r="NG291" s="66"/>
      <c r="NH291" s="66"/>
      <c r="NI291" s="66"/>
      <c r="NJ291" s="66"/>
      <c r="NK291" s="66"/>
      <c r="NL291" s="66"/>
      <c r="NM291" s="66"/>
      <c r="NN291" s="66"/>
      <c r="NO291" s="66"/>
      <c r="NP291" s="66"/>
      <c r="NQ291" s="66"/>
      <c r="NR291" s="66"/>
      <c r="NS291" s="66"/>
      <c r="NT291" s="66"/>
      <c r="NU291" s="66"/>
      <c r="NV291" s="66"/>
      <c r="NW291" s="66"/>
      <c r="NX291" s="66"/>
      <c r="NY291" s="66"/>
      <c r="NZ291" s="66"/>
      <c r="OA291" s="66"/>
      <c r="OB291" s="66"/>
      <c r="OC291" s="66"/>
      <c r="OD291" s="66"/>
      <c r="OE291" s="66"/>
      <c r="OF291" s="66"/>
      <c r="OG291" s="66"/>
      <c r="OH291" s="66"/>
      <c r="OI291" s="66"/>
      <c r="OJ291" s="66"/>
      <c r="OK291" s="66"/>
      <c r="OL291" s="66"/>
      <c r="OM291" s="66"/>
      <c r="ON291" s="66"/>
      <c r="OO291" s="66"/>
      <c r="OP291" s="66"/>
      <c r="OQ291" s="66"/>
      <c r="OR291" s="66"/>
      <c r="OS291" s="66"/>
      <c r="OT291" s="66"/>
      <c r="OU291" s="66"/>
      <c r="OV291" s="66"/>
      <c r="OW291" s="66"/>
      <c r="OX291" s="66"/>
      <c r="OY291" s="66"/>
      <c r="OZ291" s="66"/>
      <c r="PA291" s="66"/>
      <c r="PB291" s="66"/>
      <c r="PC291" s="66"/>
      <c r="PD291" s="66"/>
      <c r="PE291" s="66"/>
      <c r="PF291" s="66"/>
      <c r="PG291" s="66"/>
      <c r="PH291" s="66"/>
      <c r="PI291" s="66"/>
      <c r="PJ291" s="66"/>
      <c r="PK291" s="66"/>
      <c r="PL291" s="66"/>
      <c r="PM291" s="66"/>
      <c r="PN291" s="66"/>
      <c r="PO291" s="66"/>
      <c r="PP291" s="66"/>
      <c r="PQ291" s="66"/>
      <c r="PR291" s="66"/>
      <c r="PS291" s="66"/>
      <c r="PT291" s="66"/>
      <c r="PU291" s="66"/>
      <c r="PV291" s="66"/>
      <c r="PW291" s="66"/>
      <c r="PX291" s="66"/>
      <c r="PY291" s="66"/>
      <c r="PZ291" s="66"/>
      <c r="QA291" s="66"/>
      <c r="QB291" s="66"/>
      <c r="QC291" s="66"/>
      <c r="QD291" s="66"/>
      <c r="QE291" s="66"/>
      <c r="QF291" s="66"/>
      <c r="QG291" s="66"/>
      <c r="QH291" s="66"/>
      <c r="QI291" s="66"/>
      <c r="QJ291" s="66"/>
      <c r="QK291" s="66"/>
      <c r="QL291" s="66"/>
      <c r="QM291" s="66"/>
      <c r="QN291" s="66"/>
      <c r="QO291" s="66"/>
      <c r="QP291" s="66"/>
      <c r="QQ291" s="66"/>
      <c r="QR291" s="66"/>
      <c r="QS291" s="66"/>
      <c r="QT291" s="66"/>
      <c r="QU291" s="66"/>
      <c r="QV291" s="66"/>
      <c r="QW291" s="66"/>
      <c r="QX291" s="66"/>
      <c r="QY291" s="66"/>
      <c r="QZ291" s="66"/>
      <c r="RA291" s="66"/>
      <c r="RB291" s="66"/>
      <c r="RC291" s="66"/>
      <c r="RD291" s="4"/>
    </row>
    <row r="292" spans="9:472" x14ac:dyDescent="0.25">
      <c r="I292" s="66"/>
      <c r="J292" s="66"/>
      <c r="K292" s="66"/>
      <c r="L292" s="66"/>
      <c r="M292" s="66"/>
      <c r="N292" s="66"/>
      <c r="O292" s="66"/>
      <c r="P292" s="66"/>
      <c r="Q292" s="66"/>
      <c r="R292" s="66"/>
      <c r="S292" s="66"/>
      <c r="T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c r="CY292" s="66"/>
      <c r="CZ292" s="66"/>
      <c r="DA292" s="66"/>
      <c r="DB292" s="66"/>
      <c r="DC292" s="66"/>
      <c r="DD292" s="66"/>
      <c r="DE292" s="66"/>
      <c r="DF292" s="66"/>
      <c r="DG292" s="66"/>
      <c r="DH292" s="66"/>
      <c r="DI292" s="66"/>
      <c r="DJ292" s="66"/>
      <c r="DK292" s="66"/>
      <c r="DL292" s="66"/>
      <c r="DM292" s="66"/>
      <c r="DN292" s="66"/>
      <c r="DO292" s="66"/>
      <c r="DP292" s="66"/>
      <c r="DQ292" s="66"/>
      <c r="DR292" s="66"/>
      <c r="DS292" s="66"/>
      <c r="DT292" s="66"/>
      <c r="DU292" s="66"/>
      <c r="DV292" s="66"/>
      <c r="DW292" s="66"/>
      <c r="DX292" s="66"/>
      <c r="DY292" s="66"/>
      <c r="DZ292" s="66"/>
      <c r="EA292" s="66"/>
      <c r="EB292" s="66"/>
      <c r="EC292" s="66"/>
      <c r="ED292" s="66"/>
      <c r="EE292" s="66"/>
      <c r="EF292" s="66"/>
      <c r="EG292" s="66"/>
      <c r="EH292" s="66"/>
      <c r="EI292" s="66"/>
      <c r="EJ292" s="66"/>
      <c r="EK292" s="66"/>
      <c r="EL292" s="66"/>
      <c r="EM292" s="66"/>
      <c r="EN292" s="66"/>
      <c r="EO292" s="66"/>
      <c r="EP292" s="66"/>
      <c r="EQ292" s="66"/>
      <c r="ER292" s="66"/>
      <c r="ES292" s="66"/>
      <c r="ET292" s="66"/>
      <c r="EU292" s="66"/>
      <c r="EV292" s="66"/>
      <c r="EW292" s="66"/>
      <c r="EX292" s="66"/>
      <c r="EY292" s="66"/>
      <c r="EZ292" s="66"/>
      <c r="FA292" s="66"/>
      <c r="FB292" s="66"/>
      <c r="FC292" s="66"/>
      <c r="FD292" s="66"/>
      <c r="FE292" s="66"/>
      <c r="FF292" s="66"/>
      <c r="FG292" s="66"/>
      <c r="FH292" s="66"/>
      <c r="FI292" s="66"/>
      <c r="FJ292" s="66"/>
      <c r="FK292" s="66"/>
      <c r="FL292" s="66"/>
      <c r="FM292" s="66"/>
      <c r="FN292" s="66"/>
      <c r="FO292" s="66"/>
      <c r="FP292" s="66"/>
      <c r="FQ292" s="66"/>
      <c r="FR292" s="66"/>
      <c r="FS292" s="66"/>
      <c r="FT292" s="66"/>
      <c r="FU292" s="66"/>
      <c r="FV292" s="66"/>
      <c r="FW292" s="66"/>
      <c r="FX292" s="66"/>
      <c r="FY292" s="66"/>
      <c r="FZ292" s="66"/>
      <c r="GA292" s="66"/>
      <c r="GB292" s="66"/>
      <c r="GC292" s="66"/>
      <c r="GD292" s="66"/>
      <c r="GE292" s="66"/>
      <c r="GF292" s="66"/>
      <c r="GG292" s="66"/>
      <c r="GH292" s="66"/>
      <c r="GI292" s="66"/>
      <c r="GJ292" s="66"/>
      <c r="GK292" s="66"/>
      <c r="GL292" s="66"/>
      <c r="GM292" s="66"/>
      <c r="GN292" s="66"/>
      <c r="GO292" s="66"/>
      <c r="GP292" s="66"/>
      <c r="GQ292" s="66"/>
      <c r="GR292" s="66"/>
      <c r="GS292" s="66"/>
      <c r="GT292" s="66"/>
      <c r="GU292" s="66"/>
      <c r="GV292" s="66"/>
      <c r="GW292" s="66"/>
      <c r="GX292" s="66"/>
      <c r="GY292" s="66"/>
      <c r="GZ292" s="66"/>
      <c r="HA292" s="66"/>
      <c r="HB292" s="66"/>
      <c r="HC292" s="66"/>
      <c r="HD292" s="66"/>
      <c r="HE292" s="66"/>
      <c r="HF292" s="66"/>
      <c r="HG292" s="66"/>
      <c r="HH292" s="66"/>
      <c r="HI292" s="66"/>
      <c r="HJ292" s="66"/>
      <c r="HK292" s="66"/>
      <c r="HL292" s="66"/>
      <c r="HM292" s="66"/>
      <c r="HN292" s="66"/>
      <c r="HO292" s="66"/>
      <c r="HP292" s="66"/>
      <c r="HQ292" s="66"/>
      <c r="HR292" s="66"/>
      <c r="HS292" s="66"/>
      <c r="HT292" s="66"/>
      <c r="HU292" s="66"/>
      <c r="HV292" s="66"/>
      <c r="HW292" s="66"/>
      <c r="HX292" s="66"/>
      <c r="HY292" s="66"/>
      <c r="HZ292" s="66"/>
      <c r="IA292" s="66"/>
      <c r="IB292" s="66"/>
      <c r="IC292" s="66"/>
      <c r="ID292" s="66"/>
      <c r="IE292" s="66"/>
      <c r="IF292" s="66"/>
      <c r="IG292" s="66"/>
      <c r="IH292" s="66"/>
      <c r="II292" s="66"/>
      <c r="IJ292" s="66"/>
      <c r="IK292" s="66"/>
      <c r="IL292" s="66"/>
      <c r="IM292" s="66"/>
      <c r="IN292" s="66"/>
      <c r="IO292" s="66"/>
      <c r="IP292" s="66"/>
      <c r="IQ292" s="66"/>
      <c r="IR292" s="66"/>
      <c r="IS292" s="66"/>
      <c r="IT292" s="66"/>
      <c r="IU292" s="66"/>
      <c r="IV292" s="66"/>
      <c r="IW292" s="66"/>
      <c r="IX292" s="66"/>
      <c r="IY292" s="66"/>
      <c r="IZ292" s="66"/>
      <c r="JA292" s="66"/>
      <c r="JB292" s="66"/>
      <c r="JC292" s="66"/>
      <c r="JD292" s="66"/>
      <c r="JE292" s="66"/>
      <c r="JF292" s="66"/>
      <c r="JG292" s="66"/>
      <c r="JH292" s="66"/>
      <c r="JI292" s="66"/>
      <c r="JJ292" s="66"/>
      <c r="JK292" s="66"/>
      <c r="JL292" s="66"/>
      <c r="JM292" s="66"/>
      <c r="JN292" s="66"/>
      <c r="JO292" s="66"/>
      <c r="JP292" s="66"/>
      <c r="JQ292" s="66"/>
      <c r="JR292" s="66"/>
      <c r="JS292" s="66"/>
      <c r="JT292" s="66"/>
      <c r="JU292" s="66"/>
      <c r="JV292" s="66"/>
      <c r="JW292" s="66"/>
      <c r="JX292" s="66"/>
      <c r="JY292" s="66"/>
      <c r="JZ292" s="66"/>
      <c r="KA292" s="66"/>
      <c r="KB292" s="66"/>
      <c r="KC292" s="66"/>
      <c r="KD292" s="66"/>
      <c r="KE292" s="66"/>
      <c r="KF292" s="66"/>
      <c r="KG292" s="66"/>
      <c r="KH292" s="66"/>
      <c r="KI292" s="66"/>
      <c r="KJ292" s="66"/>
      <c r="KK292" s="66"/>
      <c r="KL292" s="66"/>
      <c r="KM292" s="66"/>
      <c r="KN292" s="66"/>
      <c r="KO292" s="66"/>
      <c r="KP292" s="66"/>
      <c r="KQ292" s="66"/>
      <c r="KR292" s="66"/>
      <c r="KS292" s="66"/>
      <c r="KT292" s="66"/>
      <c r="KU292" s="66"/>
      <c r="KV292" s="66"/>
      <c r="KW292" s="66"/>
      <c r="KX292" s="66"/>
      <c r="KY292" s="66"/>
      <c r="KZ292" s="66"/>
      <c r="LA292" s="66"/>
      <c r="LB292" s="66"/>
      <c r="LC292" s="66"/>
      <c r="LD292" s="66"/>
      <c r="LE292" s="66"/>
      <c r="LF292" s="66"/>
      <c r="LG292" s="66"/>
      <c r="LH292" s="66"/>
      <c r="LI292" s="66"/>
      <c r="LJ292" s="66"/>
      <c r="LK292" s="66"/>
      <c r="LL292" s="66"/>
      <c r="LM292" s="66"/>
      <c r="LN292" s="66"/>
      <c r="LO292" s="66"/>
      <c r="LP292" s="66"/>
      <c r="LQ292" s="66"/>
      <c r="LR292" s="66"/>
      <c r="LS292" s="66"/>
      <c r="LT292" s="66"/>
      <c r="LU292" s="66"/>
      <c r="LV292" s="66"/>
      <c r="LW292" s="66"/>
      <c r="LX292" s="66"/>
      <c r="LY292" s="66"/>
      <c r="LZ292" s="66"/>
      <c r="MA292" s="66"/>
      <c r="MB292" s="66"/>
      <c r="MC292" s="66"/>
      <c r="MD292" s="66"/>
      <c r="ME292" s="66"/>
      <c r="MF292" s="66"/>
      <c r="MG292" s="66"/>
      <c r="MH292" s="66"/>
      <c r="MI292" s="66"/>
      <c r="MJ292" s="66"/>
      <c r="MK292" s="66"/>
      <c r="ML292" s="66"/>
      <c r="MM292" s="66"/>
      <c r="MN292" s="66"/>
      <c r="MO292" s="66"/>
      <c r="MP292" s="66"/>
      <c r="MQ292" s="66"/>
      <c r="MR292" s="66"/>
      <c r="MS292" s="66"/>
      <c r="MT292" s="66"/>
      <c r="MU292" s="66"/>
      <c r="MV292" s="66"/>
      <c r="MW292" s="66"/>
      <c r="MX292" s="66"/>
      <c r="MY292" s="66"/>
      <c r="MZ292" s="66"/>
      <c r="NA292" s="66"/>
      <c r="NB292" s="66"/>
      <c r="NC292" s="66"/>
      <c r="ND292" s="66"/>
      <c r="NE292" s="66"/>
      <c r="NF292" s="66"/>
      <c r="NG292" s="66"/>
      <c r="NH292" s="66"/>
      <c r="NI292" s="66"/>
      <c r="NJ292" s="66"/>
      <c r="NK292" s="66"/>
      <c r="NL292" s="66"/>
      <c r="NM292" s="66"/>
      <c r="NN292" s="66"/>
      <c r="NO292" s="66"/>
      <c r="NP292" s="66"/>
      <c r="NQ292" s="66"/>
      <c r="NR292" s="66"/>
      <c r="NS292" s="66"/>
      <c r="NT292" s="66"/>
      <c r="NU292" s="66"/>
      <c r="NV292" s="66"/>
      <c r="NW292" s="66"/>
      <c r="NX292" s="66"/>
      <c r="NY292" s="66"/>
      <c r="NZ292" s="66"/>
      <c r="OA292" s="66"/>
      <c r="OB292" s="66"/>
      <c r="OC292" s="66"/>
      <c r="OD292" s="66"/>
      <c r="OE292" s="66"/>
      <c r="OF292" s="66"/>
      <c r="OG292" s="66"/>
      <c r="OH292" s="66"/>
      <c r="OI292" s="66"/>
      <c r="OJ292" s="66"/>
      <c r="OK292" s="66"/>
      <c r="OL292" s="66"/>
      <c r="OM292" s="66"/>
      <c r="ON292" s="66"/>
      <c r="OO292" s="66"/>
      <c r="OP292" s="66"/>
      <c r="OQ292" s="66"/>
      <c r="OR292" s="66"/>
      <c r="OS292" s="66"/>
      <c r="OT292" s="66"/>
      <c r="OU292" s="66"/>
      <c r="OV292" s="66"/>
      <c r="OW292" s="66"/>
      <c r="OX292" s="66"/>
      <c r="OY292" s="66"/>
      <c r="OZ292" s="66"/>
      <c r="PA292" s="66"/>
      <c r="PB292" s="66"/>
      <c r="PC292" s="66"/>
      <c r="PD292" s="66"/>
      <c r="PE292" s="66"/>
      <c r="PF292" s="66"/>
      <c r="PG292" s="66"/>
      <c r="PH292" s="66"/>
      <c r="PI292" s="66"/>
      <c r="PJ292" s="66"/>
      <c r="PK292" s="66"/>
      <c r="PL292" s="66"/>
      <c r="PM292" s="66"/>
      <c r="PN292" s="66"/>
      <c r="PO292" s="66"/>
      <c r="PP292" s="66"/>
      <c r="PQ292" s="66"/>
      <c r="PR292" s="66"/>
      <c r="PS292" s="66"/>
      <c r="PT292" s="66"/>
      <c r="PU292" s="66"/>
      <c r="PV292" s="66"/>
      <c r="PW292" s="66"/>
      <c r="PX292" s="66"/>
      <c r="PY292" s="66"/>
      <c r="PZ292" s="66"/>
      <c r="QA292" s="66"/>
      <c r="QB292" s="66"/>
      <c r="QC292" s="66"/>
      <c r="QD292" s="66"/>
      <c r="QE292" s="66"/>
      <c r="QF292" s="66"/>
      <c r="QG292" s="66"/>
      <c r="QH292" s="66"/>
      <c r="QI292" s="66"/>
      <c r="QJ292" s="66"/>
      <c r="QK292" s="66"/>
      <c r="QL292" s="66"/>
      <c r="QM292" s="66"/>
      <c r="QN292" s="66"/>
      <c r="QO292" s="66"/>
      <c r="QP292" s="66"/>
      <c r="QQ292" s="66"/>
      <c r="QR292" s="66"/>
      <c r="QS292" s="66"/>
      <c r="QT292" s="66"/>
      <c r="QU292" s="66"/>
      <c r="QV292" s="66"/>
      <c r="QW292" s="66"/>
      <c r="QX292" s="66"/>
      <c r="QY292" s="66"/>
      <c r="QZ292" s="66"/>
      <c r="RA292" s="66"/>
      <c r="RB292" s="66"/>
      <c r="RC292" s="66"/>
      <c r="RD292" s="4"/>
    </row>
    <row r="293" spans="9:472" x14ac:dyDescent="0.25">
      <c r="I293" s="66"/>
      <c r="J293" s="66"/>
      <c r="K293" s="66"/>
      <c r="L293" s="66"/>
      <c r="M293" s="66"/>
      <c r="N293" s="66"/>
      <c r="O293" s="66"/>
      <c r="P293" s="66"/>
      <c r="Q293" s="66"/>
      <c r="R293" s="66"/>
      <c r="S293" s="66"/>
      <c r="T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c r="CY293" s="66"/>
      <c r="CZ293" s="66"/>
      <c r="DA293" s="66"/>
      <c r="DB293" s="66"/>
      <c r="DC293" s="66"/>
      <c r="DD293" s="66"/>
      <c r="DE293" s="66"/>
      <c r="DF293" s="66"/>
      <c r="DG293" s="66"/>
      <c r="DH293" s="66"/>
      <c r="DI293" s="66"/>
      <c r="DJ293" s="66"/>
      <c r="DK293" s="66"/>
      <c r="DL293" s="66"/>
      <c r="DM293" s="66"/>
      <c r="DN293" s="66"/>
      <c r="DO293" s="66"/>
      <c r="DP293" s="66"/>
      <c r="DQ293" s="66"/>
      <c r="DR293" s="66"/>
      <c r="DS293" s="66"/>
      <c r="DT293" s="66"/>
      <c r="DU293" s="66"/>
      <c r="DV293" s="66"/>
      <c r="DW293" s="66"/>
      <c r="DX293" s="66"/>
      <c r="DY293" s="66"/>
      <c r="DZ293" s="66"/>
      <c r="EA293" s="66"/>
      <c r="EB293" s="66"/>
      <c r="EC293" s="66"/>
      <c r="ED293" s="66"/>
      <c r="EE293" s="66"/>
      <c r="EF293" s="66"/>
      <c r="EG293" s="66"/>
      <c r="EH293" s="66"/>
      <c r="EI293" s="66"/>
      <c r="EJ293" s="66"/>
      <c r="EK293" s="66"/>
      <c r="EL293" s="66"/>
      <c r="EM293" s="66"/>
      <c r="EN293" s="66"/>
      <c r="EO293" s="66"/>
      <c r="EP293" s="66"/>
      <c r="EQ293" s="66"/>
      <c r="ER293" s="66"/>
      <c r="ES293" s="66"/>
      <c r="ET293" s="66"/>
      <c r="EU293" s="66"/>
      <c r="EV293" s="66"/>
      <c r="EW293" s="66"/>
      <c r="EX293" s="66"/>
      <c r="EY293" s="66"/>
      <c r="EZ293" s="66"/>
      <c r="FA293" s="66"/>
      <c r="FB293" s="66"/>
      <c r="FC293" s="66"/>
      <c r="FD293" s="66"/>
      <c r="FE293" s="66"/>
      <c r="FF293" s="66"/>
      <c r="FG293" s="66"/>
      <c r="FH293" s="66"/>
      <c r="FI293" s="66"/>
      <c r="FJ293" s="66"/>
      <c r="FK293" s="66"/>
      <c r="FL293" s="66"/>
      <c r="FM293" s="66"/>
      <c r="FN293" s="66"/>
      <c r="FO293" s="66"/>
      <c r="FP293" s="66"/>
      <c r="FQ293" s="66"/>
      <c r="FR293" s="66"/>
      <c r="FS293" s="66"/>
      <c r="FT293" s="66"/>
      <c r="FU293" s="66"/>
      <c r="FV293" s="66"/>
      <c r="FW293" s="66"/>
      <c r="FX293" s="66"/>
      <c r="FY293" s="66"/>
      <c r="FZ293" s="66"/>
      <c r="GA293" s="66"/>
      <c r="GB293" s="66"/>
      <c r="GC293" s="66"/>
      <c r="GD293" s="66"/>
      <c r="GE293" s="66"/>
      <c r="GF293" s="66"/>
      <c r="GG293" s="66"/>
      <c r="GH293" s="66"/>
      <c r="GI293" s="66"/>
      <c r="GJ293" s="66"/>
      <c r="GK293" s="66"/>
      <c r="GL293" s="66"/>
      <c r="GM293" s="66"/>
      <c r="GN293" s="66"/>
      <c r="GO293" s="66"/>
      <c r="GP293" s="66"/>
      <c r="GQ293" s="66"/>
      <c r="GR293" s="66"/>
      <c r="GS293" s="66"/>
      <c r="GT293" s="66"/>
      <c r="GU293" s="66"/>
      <c r="GV293" s="66"/>
      <c r="GW293" s="66"/>
      <c r="GX293" s="66"/>
      <c r="GY293" s="66"/>
      <c r="GZ293" s="66"/>
      <c r="HA293" s="66"/>
      <c r="HB293" s="66"/>
      <c r="HC293" s="66"/>
      <c r="HD293" s="66"/>
      <c r="HE293" s="66"/>
      <c r="HF293" s="66"/>
      <c r="HG293" s="66"/>
      <c r="HH293" s="66"/>
      <c r="HI293" s="66"/>
      <c r="HJ293" s="66"/>
      <c r="HK293" s="66"/>
      <c r="HL293" s="66"/>
      <c r="HM293" s="66"/>
      <c r="HN293" s="66"/>
      <c r="HO293" s="66"/>
      <c r="HP293" s="66"/>
      <c r="HQ293" s="66"/>
      <c r="HR293" s="66"/>
      <c r="HS293" s="66"/>
      <c r="HT293" s="66"/>
      <c r="HU293" s="66"/>
      <c r="HV293" s="66"/>
      <c r="HW293" s="66"/>
      <c r="HX293" s="66"/>
      <c r="HY293" s="66"/>
      <c r="HZ293" s="66"/>
      <c r="IA293" s="66"/>
      <c r="IB293" s="66"/>
      <c r="IC293" s="66"/>
      <c r="ID293" s="66"/>
      <c r="IE293" s="66"/>
      <c r="IF293" s="66"/>
      <c r="IG293" s="66"/>
      <c r="IH293" s="66"/>
      <c r="II293" s="66"/>
      <c r="IJ293" s="66"/>
      <c r="IK293" s="66"/>
      <c r="IL293" s="66"/>
      <c r="IM293" s="66"/>
      <c r="IN293" s="66"/>
      <c r="IO293" s="66"/>
      <c r="IP293" s="66"/>
      <c r="IQ293" s="66"/>
      <c r="IR293" s="66"/>
      <c r="IS293" s="66"/>
      <c r="IT293" s="66"/>
      <c r="IU293" s="66"/>
      <c r="IV293" s="66"/>
      <c r="IW293" s="66"/>
      <c r="IX293" s="66"/>
      <c r="IY293" s="66"/>
      <c r="IZ293" s="66"/>
      <c r="JA293" s="66"/>
      <c r="JB293" s="66"/>
      <c r="JC293" s="66"/>
      <c r="JD293" s="66"/>
      <c r="JE293" s="66"/>
      <c r="JF293" s="66"/>
      <c r="JG293" s="66"/>
      <c r="JH293" s="66"/>
      <c r="JI293" s="66"/>
      <c r="JJ293" s="66"/>
      <c r="JK293" s="66"/>
      <c r="JL293" s="66"/>
      <c r="JM293" s="66"/>
      <c r="JN293" s="66"/>
      <c r="JO293" s="66"/>
      <c r="JP293" s="66"/>
      <c r="JQ293" s="66"/>
      <c r="JR293" s="66"/>
      <c r="JS293" s="66"/>
      <c r="JT293" s="66"/>
      <c r="JU293" s="66"/>
      <c r="JV293" s="66"/>
      <c r="JW293" s="66"/>
      <c r="JX293" s="66"/>
      <c r="JY293" s="66"/>
      <c r="JZ293" s="66"/>
      <c r="KA293" s="66"/>
      <c r="KB293" s="66"/>
      <c r="KC293" s="66"/>
      <c r="KD293" s="66"/>
      <c r="KE293" s="66"/>
      <c r="KF293" s="66"/>
      <c r="KG293" s="66"/>
      <c r="KH293" s="66"/>
      <c r="KI293" s="66"/>
      <c r="KJ293" s="66"/>
      <c r="KK293" s="66"/>
      <c r="KL293" s="66"/>
      <c r="KM293" s="66"/>
      <c r="KN293" s="66"/>
      <c r="KO293" s="66"/>
      <c r="KP293" s="66"/>
      <c r="KQ293" s="66"/>
      <c r="KR293" s="66"/>
      <c r="KS293" s="66"/>
      <c r="KT293" s="66"/>
      <c r="KU293" s="66"/>
      <c r="KV293" s="66"/>
      <c r="KW293" s="66"/>
      <c r="KX293" s="66"/>
      <c r="KY293" s="66"/>
      <c r="KZ293" s="66"/>
      <c r="LA293" s="66"/>
      <c r="LB293" s="66"/>
      <c r="LC293" s="66"/>
      <c r="LD293" s="66"/>
      <c r="LE293" s="66"/>
      <c r="LF293" s="66"/>
      <c r="LG293" s="66"/>
      <c r="LH293" s="66"/>
      <c r="LI293" s="66"/>
      <c r="LJ293" s="66"/>
      <c r="LK293" s="66"/>
      <c r="LL293" s="66"/>
      <c r="LM293" s="66"/>
      <c r="LN293" s="66"/>
      <c r="LO293" s="66"/>
      <c r="LP293" s="66"/>
      <c r="LQ293" s="66"/>
      <c r="LR293" s="66"/>
      <c r="LS293" s="66"/>
      <c r="LT293" s="66"/>
      <c r="LU293" s="66"/>
      <c r="LV293" s="66"/>
      <c r="LW293" s="66"/>
      <c r="LX293" s="66"/>
      <c r="LY293" s="66"/>
      <c r="LZ293" s="66"/>
      <c r="MA293" s="66"/>
      <c r="MB293" s="66"/>
      <c r="MC293" s="66"/>
      <c r="MD293" s="66"/>
      <c r="ME293" s="66"/>
      <c r="MF293" s="66"/>
      <c r="MG293" s="66"/>
      <c r="MH293" s="66"/>
      <c r="MI293" s="66"/>
      <c r="MJ293" s="66"/>
      <c r="MK293" s="66"/>
      <c r="ML293" s="66"/>
      <c r="MM293" s="66"/>
      <c r="MN293" s="66"/>
      <c r="MO293" s="66"/>
      <c r="MP293" s="66"/>
      <c r="MQ293" s="66"/>
      <c r="MR293" s="66"/>
      <c r="MS293" s="66"/>
      <c r="MT293" s="66"/>
      <c r="MU293" s="66"/>
      <c r="MV293" s="66"/>
      <c r="MW293" s="66"/>
      <c r="MX293" s="66"/>
      <c r="MY293" s="66"/>
      <c r="MZ293" s="66"/>
      <c r="NA293" s="66"/>
      <c r="NB293" s="66"/>
      <c r="NC293" s="66"/>
      <c r="ND293" s="66"/>
      <c r="NE293" s="66"/>
      <c r="NF293" s="66"/>
      <c r="NG293" s="66"/>
      <c r="NH293" s="66"/>
      <c r="NI293" s="66"/>
      <c r="NJ293" s="66"/>
      <c r="NK293" s="66"/>
      <c r="NL293" s="66"/>
      <c r="NM293" s="66"/>
      <c r="NN293" s="66"/>
      <c r="NO293" s="66"/>
      <c r="NP293" s="66"/>
      <c r="NQ293" s="66"/>
      <c r="NR293" s="66"/>
      <c r="NS293" s="66"/>
      <c r="NT293" s="66"/>
      <c r="NU293" s="66"/>
      <c r="NV293" s="66"/>
      <c r="NW293" s="66"/>
      <c r="NX293" s="66"/>
      <c r="NY293" s="66"/>
      <c r="NZ293" s="66"/>
      <c r="OA293" s="66"/>
      <c r="OB293" s="66"/>
      <c r="OC293" s="66"/>
      <c r="OD293" s="66"/>
      <c r="OE293" s="66"/>
      <c r="OF293" s="66"/>
      <c r="OG293" s="66"/>
      <c r="OH293" s="66"/>
      <c r="OI293" s="66"/>
      <c r="OJ293" s="66"/>
      <c r="OK293" s="66"/>
      <c r="OL293" s="66"/>
      <c r="OM293" s="66"/>
      <c r="ON293" s="66"/>
      <c r="OO293" s="66"/>
      <c r="OP293" s="66"/>
      <c r="OQ293" s="66"/>
      <c r="OR293" s="66"/>
      <c r="OS293" s="66"/>
      <c r="OT293" s="66"/>
      <c r="OU293" s="66"/>
      <c r="OV293" s="66"/>
      <c r="OW293" s="66"/>
      <c r="OX293" s="66"/>
      <c r="OY293" s="66"/>
      <c r="OZ293" s="66"/>
      <c r="PA293" s="66"/>
      <c r="PB293" s="66"/>
      <c r="PC293" s="66"/>
      <c r="PD293" s="66"/>
      <c r="PE293" s="66"/>
      <c r="PF293" s="66"/>
      <c r="PG293" s="66"/>
      <c r="PH293" s="66"/>
      <c r="PI293" s="66"/>
      <c r="PJ293" s="66"/>
      <c r="PK293" s="66"/>
      <c r="PL293" s="66"/>
      <c r="PM293" s="66"/>
      <c r="PN293" s="66"/>
      <c r="PO293" s="66"/>
      <c r="PP293" s="66"/>
      <c r="PQ293" s="66"/>
      <c r="PR293" s="66"/>
      <c r="PS293" s="66"/>
      <c r="PT293" s="66"/>
      <c r="PU293" s="66"/>
      <c r="PV293" s="66"/>
      <c r="PW293" s="66"/>
      <c r="PX293" s="66"/>
      <c r="PY293" s="66"/>
      <c r="PZ293" s="66"/>
      <c r="QA293" s="66"/>
      <c r="QB293" s="66"/>
      <c r="QC293" s="66"/>
      <c r="QD293" s="66"/>
      <c r="QE293" s="66"/>
      <c r="QF293" s="66"/>
      <c r="QG293" s="66"/>
      <c r="QH293" s="66"/>
      <c r="QI293" s="66"/>
      <c r="QJ293" s="66"/>
      <c r="QK293" s="66"/>
      <c r="QL293" s="66"/>
      <c r="QM293" s="66"/>
      <c r="QN293" s="66"/>
      <c r="QO293" s="66"/>
      <c r="QP293" s="66"/>
      <c r="QQ293" s="66"/>
      <c r="QR293" s="66"/>
      <c r="QS293" s="66"/>
      <c r="QT293" s="66"/>
      <c r="QU293" s="66"/>
      <c r="QV293" s="66"/>
      <c r="QW293" s="66"/>
      <c r="QX293" s="66"/>
      <c r="QY293" s="66"/>
      <c r="QZ293" s="66"/>
      <c r="RA293" s="66"/>
      <c r="RB293" s="66"/>
      <c r="RC293" s="66"/>
      <c r="RD293" s="4"/>
    </row>
    <row r="294" spans="9:472" x14ac:dyDescent="0.25">
      <c r="I294" s="66"/>
      <c r="J294" s="66"/>
      <c r="K294" s="66"/>
      <c r="L294" s="66"/>
      <c r="M294" s="66"/>
      <c r="N294" s="66"/>
      <c r="O294" s="66"/>
      <c r="P294" s="66"/>
      <c r="Q294" s="66"/>
      <c r="R294" s="66"/>
      <c r="S294" s="66"/>
      <c r="T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c r="CY294" s="66"/>
      <c r="CZ294" s="66"/>
      <c r="DA294" s="66"/>
      <c r="DB294" s="66"/>
      <c r="DC294" s="66"/>
      <c r="DD294" s="66"/>
      <c r="DE294" s="66"/>
      <c r="DF294" s="66"/>
      <c r="DG294" s="66"/>
      <c r="DH294" s="66"/>
      <c r="DI294" s="66"/>
      <c r="DJ294" s="66"/>
      <c r="DK294" s="66"/>
      <c r="DL294" s="66"/>
      <c r="DM294" s="66"/>
      <c r="DN294" s="66"/>
      <c r="DO294" s="66"/>
      <c r="DP294" s="66"/>
      <c r="DQ294" s="66"/>
      <c r="DR294" s="66"/>
      <c r="DS294" s="66"/>
      <c r="DT294" s="66"/>
      <c r="DU294" s="66"/>
      <c r="DV294" s="66"/>
      <c r="DW294" s="66"/>
      <c r="DX294" s="66"/>
      <c r="DY294" s="66"/>
      <c r="DZ294" s="66"/>
      <c r="EA294" s="66"/>
      <c r="EB294" s="66"/>
      <c r="EC294" s="66"/>
      <c r="ED294" s="66"/>
      <c r="EE294" s="66"/>
      <c r="EF294" s="66"/>
      <c r="EG294" s="66"/>
      <c r="EH294" s="66"/>
      <c r="EI294" s="66"/>
      <c r="EJ294" s="66"/>
      <c r="EK294" s="66"/>
      <c r="EL294" s="66"/>
      <c r="EM294" s="66"/>
      <c r="EN294" s="66"/>
      <c r="EO294" s="66"/>
      <c r="EP294" s="66"/>
      <c r="EQ294" s="66"/>
      <c r="ER294" s="66"/>
      <c r="ES294" s="66"/>
      <c r="ET294" s="66"/>
      <c r="EU294" s="66"/>
      <c r="EV294" s="66"/>
      <c r="EW294" s="66"/>
      <c r="EX294" s="66"/>
      <c r="EY294" s="66"/>
      <c r="EZ294" s="66"/>
      <c r="FA294" s="66"/>
      <c r="FB294" s="66"/>
      <c r="FC294" s="66"/>
      <c r="FD294" s="66"/>
      <c r="FE294" s="66"/>
      <c r="FF294" s="66"/>
      <c r="FG294" s="66"/>
      <c r="FH294" s="66"/>
      <c r="FI294" s="66"/>
      <c r="FJ294" s="66"/>
      <c r="FK294" s="66"/>
      <c r="FL294" s="66"/>
      <c r="FM294" s="66"/>
      <c r="FN294" s="66"/>
      <c r="FO294" s="66"/>
      <c r="FP294" s="66"/>
      <c r="FQ294" s="66"/>
      <c r="FR294" s="66"/>
      <c r="FS294" s="66"/>
      <c r="FT294" s="66"/>
      <c r="FU294" s="66"/>
      <c r="FV294" s="66"/>
      <c r="FW294" s="66"/>
      <c r="FX294" s="66"/>
      <c r="FY294" s="66"/>
      <c r="FZ294" s="66"/>
      <c r="GA294" s="66"/>
      <c r="GB294" s="66"/>
      <c r="GC294" s="66"/>
      <c r="GD294" s="66"/>
      <c r="GE294" s="66"/>
      <c r="GF294" s="66"/>
      <c r="GG294" s="66"/>
      <c r="GH294" s="66"/>
      <c r="GI294" s="66"/>
      <c r="GJ294" s="66"/>
      <c r="GK294" s="66"/>
      <c r="GL294" s="66"/>
      <c r="GM294" s="66"/>
      <c r="GN294" s="66"/>
      <c r="GO294" s="66"/>
      <c r="GP294" s="66"/>
      <c r="GQ294" s="66"/>
      <c r="GR294" s="66"/>
      <c r="GS294" s="66"/>
      <c r="GT294" s="66"/>
      <c r="GU294" s="66"/>
      <c r="GV294" s="66"/>
      <c r="GW294" s="66"/>
      <c r="GX294" s="66"/>
      <c r="GY294" s="66"/>
      <c r="GZ294" s="66"/>
      <c r="HA294" s="66"/>
      <c r="HB294" s="66"/>
      <c r="HC294" s="66"/>
      <c r="HD294" s="66"/>
      <c r="HE294" s="66"/>
      <c r="HF294" s="66"/>
      <c r="HG294" s="66"/>
      <c r="HH294" s="66"/>
      <c r="HI294" s="66"/>
      <c r="HJ294" s="66"/>
      <c r="HK294" s="66"/>
      <c r="HL294" s="66"/>
      <c r="HM294" s="66"/>
      <c r="HN294" s="66"/>
      <c r="HO294" s="66"/>
      <c r="HP294" s="66"/>
      <c r="HQ294" s="66"/>
      <c r="HR294" s="66"/>
      <c r="HS294" s="66"/>
      <c r="HT294" s="66"/>
      <c r="HU294" s="66"/>
      <c r="HV294" s="66"/>
      <c r="HW294" s="66"/>
      <c r="HX294" s="66"/>
      <c r="HY294" s="66"/>
      <c r="HZ294" s="66"/>
      <c r="IA294" s="66"/>
      <c r="IB294" s="66"/>
      <c r="IC294" s="66"/>
      <c r="ID294" s="66"/>
      <c r="IE294" s="66"/>
      <c r="IF294" s="66"/>
      <c r="IG294" s="66"/>
      <c r="IH294" s="66"/>
      <c r="II294" s="66"/>
      <c r="IJ294" s="66"/>
      <c r="IK294" s="66"/>
      <c r="IL294" s="66"/>
      <c r="IM294" s="66"/>
      <c r="IN294" s="66"/>
      <c r="IO294" s="66"/>
      <c r="IP294" s="66"/>
      <c r="IQ294" s="66"/>
      <c r="IR294" s="66"/>
      <c r="IS294" s="66"/>
      <c r="IT294" s="66"/>
      <c r="IU294" s="66"/>
      <c r="IV294" s="66"/>
      <c r="IW294" s="66"/>
      <c r="IX294" s="66"/>
      <c r="IY294" s="66"/>
      <c r="IZ294" s="66"/>
      <c r="JA294" s="66"/>
      <c r="JB294" s="66"/>
      <c r="JC294" s="66"/>
      <c r="JD294" s="66"/>
      <c r="JE294" s="66"/>
      <c r="JF294" s="66"/>
      <c r="JG294" s="66"/>
      <c r="JH294" s="66"/>
      <c r="JI294" s="66"/>
      <c r="JJ294" s="66"/>
      <c r="JK294" s="66"/>
      <c r="JL294" s="66"/>
      <c r="JM294" s="66"/>
      <c r="JN294" s="66"/>
      <c r="JO294" s="66"/>
      <c r="JP294" s="66"/>
      <c r="JQ294" s="66"/>
      <c r="JR294" s="66"/>
      <c r="JS294" s="66"/>
      <c r="JT294" s="66"/>
      <c r="JU294" s="66"/>
      <c r="JV294" s="66"/>
      <c r="JW294" s="66"/>
      <c r="JX294" s="66"/>
      <c r="JY294" s="66"/>
      <c r="JZ294" s="66"/>
      <c r="KA294" s="66"/>
      <c r="KB294" s="66"/>
      <c r="KC294" s="66"/>
      <c r="KD294" s="66"/>
      <c r="KE294" s="66"/>
      <c r="KF294" s="66"/>
      <c r="KG294" s="66"/>
      <c r="KH294" s="66"/>
      <c r="KI294" s="66"/>
      <c r="KJ294" s="66"/>
      <c r="KK294" s="66"/>
      <c r="KL294" s="66"/>
      <c r="KM294" s="66"/>
      <c r="KN294" s="66"/>
      <c r="KO294" s="66"/>
      <c r="KP294" s="66"/>
      <c r="KQ294" s="66"/>
      <c r="KR294" s="66"/>
      <c r="KS294" s="66"/>
      <c r="KT294" s="66"/>
      <c r="KU294" s="66"/>
      <c r="KV294" s="66"/>
      <c r="KW294" s="66"/>
      <c r="KX294" s="66"/>
      <c r="KY294" s="66"/>
      <c r="KZ294" s="66"/>
      <c r="LA294" s="66"/>
      <c r="LB294" s="66"/>
      <c r="LC294" s="66"/>
      <c r="LD294" s="66"/>
      <c r="LE294" s="66"/>
      <c r="LF294" s="66"/>
      <c r="LG294" s="66"/>
      <c r="LH294" s="66"/>
      <c r="LI294" s="66"/>
      <c r="LJ294" s="66"/>
      <c r="LK294" s="66"/>
      <c r="LL294" s="66"/>
      <c r="LM294" s="66"/>
      <c r="LN294" s="66"/>
      <c r="LO294" s="66"/>
      <c r="LP294" s="66"/>
      <c r="LQ294" s="66"/>
      <c r="LR294" s="66"/>
      <c r="LS294" s="66"/>
      <c r="LT294" s="66"/>
      <c r="LU294" s="66"/>
      <c r="LV294" s="66"/>
      <c r="LW294" s="66"/>
      <c r="LX294" s="66"/>
      <c r="LY294" s="66"/>
      <c r="LZ294" s="66"/>
      <c r="MA294" s="66"/>
      <c r="MB294" s="66"/>
      <c r="MC294" s="66"/>
      <c r="MD294" s="66"/>
      <c r="ME294" s="66"/>
      <c r="MF294" s="66"/>
      <c r="MG294" s="66"/>
      <c r="MH294" s="66"/>
      <c r="MI294" s="66"/>
      <c r="MJ294" s="66"/>
      <c r="MK294" s="66"/>
      <c r="ML294" s="66"/>
      <c r="MM294" s="66"/>
      <c r="MN294" s="66"/>
      <c r="MO294" s="66"/>
      <c r="MP294" s="66"/>
      <c r="MQ294" s="66"/>
      <c r="MR294" s="66"/>
      <c r="MS294" s="66"/>
      <c r="MT294" s="66"/>
      <c r="MU294" s="66"/>
      <c r="MV294" s="66"/>
      <c r="MW294" s="66"/>
      <c r="MX294" s="66"/>
      <c r="MY294" s="66"/>
      <c r="MZ294" s="66"/>
      <c r="NA294" s="66"/>
      <c r="NB294" s="66"/>
      <c r="NC294" s="66"/>
      <c r="ND294" s="66"/>
      <c r="NE294" s="66"/>
      <c r="NF294" s="66"/>
      <c r="NG294" s="66"/>
      <c r="NH294" s="66"/>
      <c r="NI294" s="66"/>
      <c r="NJ294" s="66"/>
      <c r="NK294" s="66"/>
      <c r="NL294" s="66"/>
      <c r="NM294" s="66"/>
      <c r="NN294" s="66"/>
      <c r="NO294" s="66"/>
      <c r="NP294" s="66"/>
      <c r="NQ294" s="66"/>
      <c r="NR294" s="66"/>
      <c r="NS294" s="66"/>
      <c r="NT294" s="66"/>
      <c r="NU294" s="66"/>
      <c r="NV294" s="66"/>
      <c r="NW294" s="66"/>
      <c r="NX294" s="66"/>
      <c r="NY294" s="66"/>
      <c r="NZ294" s="66"/>
      <c r="OA294" s="66"/>
      <c r="OB294" s="66"/>
      <c r="OC294" s="66"/>
      <c r="OD294" s="66"/>
      <c r="OE294" s="66"/>
      <c r="OF294" s="66"/>
      <c r="OG294" s="66"/>
      <c r="OH294" s="66"/>
      <c r="OI294" s="66"/>
      <c r="OJ294" s="66"/>
      <c r="OK294" s="66"/>
      <c r="OL294" s="66"/>
      <c r="OM294" s="66"/>
      <c r="ON294" s="66"/>
      <c r="OO294" s="66"/>
      <c r="OP294" s="66"/>
      <c r="OQ294" s="66"/>
      <c r="OR294" s="66"/>
      <c r="OS294" s="66"/>
      <c r="OT294" s="66"/>
      <c r="OU294" s="66"/>
      <c r="OV294" s="66"/>
      <c r="OW294" s="66"/>
      <c r="OX294" s="66"/>
      <c r="OY294" s="66"/>
      <c r="OZ294" s="66"/>
      <c r="PA294" s="66"/>
      <c r="PB294" s="66"/>
      <c r="PC294" s="66"/>
      <c r="PD294" s="66"/>
      <c r="PE294" s="66"/>
      <c r="PF294" s="66"/>
      <c r="PG294" s="66"/>
      <c r="PH294" s="66"/>
      <c r="PI294" s="66"/>
      <c r="PJ294" s="66"/>
      <c r="PK294" s="66"/>
      <c r="PL294" s="66"/>
      <c r="PM294" s="66"/>
      <c r="PN294" s="66"/>
      <c r="PO294" s="66"/>
      <c r="PP294" s="66"/>
      <c r="PQ294" s="66"/>
      <c r="PR294" s="66"/>
      <c r="PS294" s="66"/>
      <c r="PT294" s="66"/>
      <c r="PU294" s="66"/>
      <c r="PV294" s="66"/>
      <c r="PW294" s="66"/>
      <c r="PX294" s="66"/>
      <c r="PY294" s="66"/>
      <c r="PZ294" s="66"/>
      <c r="QA294" s="66"/>
      <c r="QB294" s="66"/>
      <c r="QC294" s="66"/>
      <c r="QD294" s="66"/>
      <c r="QE294" s="66"/>
      <c r="QF294" s="66"/>
      <c r="QG294" s="66"/>
      <c r="QH294" s="66"/>
      <c r="QI294" s="66"/>
      <c r="QJ294" s="66"/>
      <c r="QK294" s="66"/>
      <c r="QL294" s="66"/>
      <c r="QM294" s="66"/>
      <c r="QN294" s="66"/>
      <c r="QO294" s="66"/>
      <c r="QP294" s="66"/>
      <c r="QQ294" s="66"/>
      <c r="QR294" s="66"/>
      <c r="QS294" s="66"/>
      <c r="QT294" s="66"/>
      <c r="QU294" s="66"/>
      <c r="QV294" s="66"/>
      <c r="QW294" s="66"/>
      <c r="QX294" s="66"/>
      <c r="QY294" s="66"/>
      <c r="QZ294" s="66"/>
      <c r="RA294" s="66"/>
      <c r="RB294" s="66"/>
      <c r="RC294" s="66"/>
      <c r="RD294" s="4"/>
    </row>
    <row r="295" spans="9:472" x14ac:dyDescent="0.25">
      <c r="I295" s="66"/>
      <c r="J295" s="66"/>
      <c r="K295" s="66"/>
      <c r="L295" s="66"/>
      <c r="M295" s="66"/>
      <c r="N295" s="66"/>
      <c r="O295" s="66"/>
      <c r="P295" s="66"/>
      <c r="Q295" s="66"/>
      <c r="R295" s="66"/>
      <c r="S295" s="66"/>
      <c r="T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c r="CY295" s="66"/>
      <c r="CZ295" s="66"/>
      <c r="DA295" s="66"/>
      <c r="DB295" s="66"/>
      <c r="DC295" s="66"/>
      <c r="DD295" s="66"/>
      <c r="DE295" s="66"/>
      <c r="DF295" s="66"/>
      <c r="DG295" s="66"/>
      <c r="DH295" s="66"/>
      <c r="DI295" s="66"/>
      <c r="DJ295" s="66"/>
      <c r="DK295" s="66"/>
      <c r="DL295" s="66"/>
      <c r="DM295" s="66"/>
      <c r="DN295" s="66"/>
      <c r="DO295" s="66"/>
      <c r="DP295" s="66"/>
      <c r="DQ295" s="66"/>
      <c r="DR295" s="66"/>
      <c r="DS295" s="66"/>
      <c r="DT295" s="66"/>
      <c r="DU295" s="66"/>
      <c r="DV295" s="66"/>
      <c r="DW295" s="66"/>
      <c r="DX295" s="66"/>
      <c r="DY295" s="66"/>
      <c r="DZ295" s="66"/>
      <c r="EA295" s="66"/>
      <c r="EB295" s="66"/>
      <c r="EC295" s="66"/>
      <c r="ED295" s="66"/>
      <c r="EE295" s="66"/>
      <c r="EF295" s="66"/>
      <c r="EG295" s="66"/>
      <c r="EH295" s="66"/>
      <c r="EI295" s="66"/>
      <c r="EJ295" s="66"/>
      <c r="EK295" s="66"/>
      <c r="EL295" s="66"/>
      <c r="EM295" s="66"/>
      <c r="EN295" s="66"/>
      <c r="EO295" s="66"/>
      <c r="EP295" s="66"/>
      <c r="EQ295" s="66"/>
      <c r="ER295" s="66"/>
      <c r="ES295" s="66"/>
      <c r="ET295" s="66"/>
      <c r="EU295" s="66"/>
      <c r="EV295" s="66"/>
      <c r="EW295" s="66"/>
      <c r="EX295" s="66"/>
      <c r="EY295" s="66"/>
      <c r="EZ295" s="66"/>
      <c r="FA295" s="66"/>
      <c r="FB295" s="66"/>
      <c r="FC295" s="66"/>
      <c r="FD295" s="66"/>
      <c r="FE295" s="66"/>
      <c r="FF295" s="66"/>
      <c r="FG295" s="66"/>
      <c r="FH295" s="66"/>
      <c r="FI295" s="66"/>
      <c r="FJ295" s="66"/>
      <c r="FK295" s="66"/>
      <c r="FL295" s="66"/>
      <c r="FM295" s="66"/>
      <c r="FN295" s="66"/>
      <c r="FO295" s="66"/>
      <c r="FP295" s="66"/>
      <c r="FQ295" s="66"/>
      <c r="FR295" s="66"/>
      <c r="FS295" s="66"/>
      <c r="FT295" s="66"/>
      <c r="FU295" s="66"/>
      <c r="FV295" s="66"/>
      <c r="FW295" s="66"/>
      <c r="FX295" s="66"/>
      <c r="FY295" s="66"/>
      <c r="FZ295" s="66"/>
      <c r="GA295" s="66"/>
      <c r="GB295" s="66"/>
      <c r="GC295" s="66"/>
      <c r="GD295" s="66"/>
      <c r="GE295" s="66"/>
      <c r="GF295" s="66"/>
      <c r="GG295" s="66"/>
      <c r="GH295" s="66"/>
      <c r="GI295" s="66"/>
      <c r="GJ295" s="66"/>
      <c r="GK295" s="66"/>
      <c r="GL295" s="66"/>
      <c r="GM295" s="66"/>
      <c r="GN295" s="66"/>
      <c r="GO295" s="66"/>
      <c r="GP295" s="66"/>
      <c r="GQ295" s="66"/>
      <c r="GR295" s="66"/>
      <c r="GS295" s="66"/>
      <c r="GT295" s="66"/>
      <c r="GU295" s="66"/>
      <c r="GV295" s="66"/>
      <c r="GW295" s="66"/>
      <c r="GX295" s="66"/>
      <c r="GY295" s="66"/>
      <c r="GZ295" s="66"/>
      <c r="HA295" s="66"/>
      <c r="HB295" s="66"/>
      <c r="HC295" s="66"/>
      <c r="HD295" s="66"/>
      <c r="HE295" s="66"/>
      <c r="HF295" s="66"/>
      <c r="HG295" s="66"/>
      <c r="HH295" s="66"/>
      <c r="HI295" s="66"/>
      <c r="HJ295" s="66"/>
      <c r="HK295" s="66"/>
      <c r="HL295" s="66"/>
      <c r="HM295" s="66"/>
      <c r="HN295" s="66"/>
      <c r="HO295" s="66"/>
      <c r="HP295" s="66"/>
      <c r="HQ295" s="66"/>
      <c r="HR295" s="66"/>
      <c r="HS295" s="66"/>
      <c r="HT295" s="66"/>
      <c r="HU295" s="66"/>
      <c r="HV295" s="66"/>
      <c r="HW295" s="66"/>
      <c r="HX295" s="66"/>
      <c r="HY295" s="66"/>
      <c r="HZ295" s="66"/>
      <c r="IA295" s="66"/>
      <c r="IB295" s="66"/>
      <c r="IC295" s="66"/>
      <c r="ID295" s="66"/>
      <c r="IE295" s="66"/>
      <c r="IF295" s="66"/>
      <c r="IG295" s="66"/>
      <c r="IH295" s="66"/>
      <c r="II295" s="66"/>
      <c r="IJ295" s="66"/>
      <c r="IK295" s="66"/>
      <c r="IL295" s="66"/>
      <c r="IM295" s="66"/>
      <c r="IN295" s="66"/>
      <c r="IO295" s="66"/>
      <c r="IP295" s="66"/>
      <c r="IQ295" s="66"/>
      <c r="IR295" s="66"/>
      <c r="IS295" s="66"/>
      <c r="IT295" s="66"/>
      <c r="IU295" s="66"/>
      <c r="IV295" s="66"/>
      <c r="IW295" s="66"/>
      <c r="IX295" s="66"/>
      <c r="IY295" s="66"/>
      <c r="IZ295" s="66"/>
      <c r="JA295" s="66"/>
      <c r="JB295" s="66"/>
      <c r="JC295" s="66"/>
      <c r="JD295" s="66"/>
      <c r="JE295" s="66"/>
      <c r="JF295" s="66"/>
      <c r="JG295" s="66"/>
      <c r="JH295" s="66"/>
      <c r="JI295" s="66"/>
      <c r="JJ295" s="66"/>
      <c r="JK295" s="66"/>
      <c r="JL295" s="66"/>
      <c r="JM295" s="66"/>
      <c r="JN295" s="66"/>
      <c r="JO295" s="66"/>
      <c r="JP295" s="66"/>
      <c r="JQ295" s="66"/>
      <c r="JR295" s="66"/>
      <c r="JS295" s="66"/>
      <c r="JT295" s="66"/>
      <c r="JU295" s="66"/>
      <c r="JV295" s="66"/>
      <c r="JW295" s="66"/>
      <c r="JX295" s="66"/>
      <c r="JY295" s="66"/>
      <c r="JZ295" s="66"/>
      <c r="KA295" s="66"/>
      <c r="KB295" s="66"/>
      <c r="KC295" s="66"/>
      <c r="KD295" s="66"/>
      <c r="KE295" s="66"/>
      <c r="KF295" s="66"/>
      <c r="KG295" s="66"/>
      <c r="KH295" s="66"/>
      <c r="KI295" s="66"/>
      <c r="KJ295" s="66"/>
      <c r="KK295" s="66"/>
      <c r="KL295" s="66"/>
      <c r="KM295" s="66"/>
      <c r="KN295" s="66"/>
      <c r="KO295" s="66"/>
      <c r="KP295" s="66"/>
      <c r="KQ295" s="66"/>
      <c r="KR295" s="66"/>
      <c r="KS295" s="66"/>
      <c r="KT295" s="66"/>
      <c r="KU295" s="66"/>
      <c r="KV295" s="66"/>
      <c r="KW295" s="66"/>
      <c r="KX295" s="66"/>
      <c r="KY295" s="66"/>
      <c r="KZ295" s="66"/>
      <c r="LA295" s="66"/>
      <c r="LB295" s="66"/>
      <c r="LC295" s="66"/>
      <c r="LD295" s="66"/>
      <c r="LE295" s="66"/>
      <c r="LF295" s="66"/>
      <c r="LG295" s="66"/>
      <c r="LH295" s="66"/>
      <c r="LI295" s="66"/>
      <c r="LJ295" s="66"/>
      <c r="LK295" s="66"/>
      <c r="LL295" s="66"/>
      <c r="LM295" s="66"/>
      <c r="LN295" s="66"/>
      <c r="LO295" s="66"/>
      <c r="LP295" s="66"/>
      <c r="LQ295" s="66"/>
      <c r="LR295" s="66"/>
      <c r="LS295" s="66"/>
      <c r="LT295" s="66"/>
      <c r="LU295" s="66"/>
      <c r="LV295" s="66"/>
      <c r="LW295" s="66"/>
      <c r="LX295" s="66"/>
      <c r="LY295" s="66"/>
      <c r="LZ295" s="66"/>
      <c r="MA295" s="66"/>
      <c r="MB295" s="66"/>
      <c r="MC295" s="66"/>
      <c r="MD295" s="66"/>
      <c r="ME295" s="66"/>
      <c r="MF295" s="66"/>
      <c r="MG295" s="66"/>
      <c r="MH295" s="66"/>
      <c r="MI295" s="66"/>
      <c r="MJ295" s="66"/>
      <c r="MK295" s="66"/>
      <c r="ML295" s="66"/>
      <c r="MM295" s="66"/>
      <c r="MN295" s="66"/>
      <c r="MO295" s="66"/>
      <c r="MP295" s="66"/>
      <c r="MQ295" s="66"/>
      <c r="MR295" s="66"/>
      <c r="MS295" s="66"/>
      <c r="MT295" s="66"/>
      <c r="MU295" s="66"/>
      <c r="MV295" s="66"/>
      <c r="MW295" s="66"/>
      <c r="MX295" s="66"/>
      <c r="MY295" s="66"/>
      <c r="MZ295" s="66"/>
      <c r="NA295" s="66"/>
      <c r="NB295" s="66"/>
      <c r="NC295" s="66"/>
      <c r="ND295" s="66"/>
      <c r="NE295" s="66"/>
      <c r="NF295" s="66"/>
      <c r="NG295" s="66"/>
      <c r="NH295" s="66"/>
      <c r="NI295" s="66"/>
      <c r="NJ295" s="66"/>
      <c r="NK295" s="66"/>
      <c r="NL295" s="66"/>
      <c r="NM295" s="66"/>
      <c r="NN295" s="66"/>
      <c r="NO295" s="66"/>
      <c r="NP295" s="66"/>
      <c r="NQ295" s="66"/>
      <c r="NR295" s="66"/>
      <c r="NS295" s="66"/>
      <c r="NT295" s="66"/>
      <c r="NU295" s="66"/>
      <c r="NV295" s="66"/>
      <c r="NW295" s="66"/>
      <c r="NX295" s="66"/>
      <c r="NY295" s="66"/>
      <c r="NZ295" s="66"/>
      <c r="OA295" s="66"/>
      <c r="OB295" s="66"/>
      <c r="OC295" s="66"/>
      <c r="OD295" s="66"/>
      <c r="OE295" s="66"/>
      <c r="OF295" s="66"/>
      <c r="OG295" s="66"/>
      <c r="OH295" s="66"/>
      <c r="OI295" s="66"/>
      <c r="OJ295" s="66"/>
      <c r="OK295" s="66"/>
      <c r="OL295" s="66"/>
      <c r="OM295" s="66"/>
      <c r="ON295" s="66"/>
      <c r="OO295" s="66"/>
      <c r="OP295" s="66"/>
      <c r="OQ295" s="66"/>
      <c r="OR295" s="66"/>
      <c r="OS295" s="66"/>
      <c r="OT295" s="66"/>
      <c r="OU295" s="66"/>
      <c r="OV295" s="66"/>
      <c r="OW295" s="66"/>
      <c r="OX295" s="66"/>
      <c r="OY295" s="66"/>
      <c r="OZ295" s="66"/>
      <c r="PA295" s="66"/>
      <c r="PB295" s="66"/>
      <c r="PC295" s="66"/>
      <c r="PD295" s="66"/>
      <c r="PE295" s="66"/>
      <c r="PF295" s="66"/>
      <c r="PG295" s="66"/>
      <c r="PH295" s="66"/>
      <c r="PI295" s="66"/>
      <c r="PJ295" s="66"/>
      <c r="PK295" s="66"/>
      <c r="PL295" s="66"/>
      <c r="PM295" s="66"/>
      <c r="PN295" s="66"/>
      <c r="PO295" s="66"/>
      <c r="PP295" s="66"/>
      <c r="PQ295" s="66"/>
      <c r="PR295" s="66"/>
      <c r="PS295" s="66"/>
      <c r="PT295" s="66"/>
      <c r="PU295" s="66"/>
      <c r="PV295" s="66"/>
      <c r="PW295" s="66"/>
      <c r="PX295" s="66"/>
      <c r="PY295" s="66"/>
      <c r="PZ295" s="66"/>
      <c r="QA295" s="66"/>
      <c r="QB295" s="66"/>
      <c r="QC295" s="66"/>
      <c r="QD295" s="66"/>
      <c r="QE295" s="66"/>
      <c r="QF295" s="66"/>
      <c r="QG295" s="66"/>
      <c r="QH295" s="66"/>
      <c r="QI295" s="66"/>
      <c r="QJ295" s="66"/>
      <c r="QK295" s="66"/>
      <c r="QL295" s="66"/>
      <c r="QM295" s="66"/>
      <c r="QN295" s="66"/>
      <c r="QO295" s="66"/>
      <c r="QP295" s="66"/>
      <c r="QQ295" s="66"/>
      <c r="QR295" s="66"/>
      <c r="QS295" s="66"/>
      <c r="QT295" s="66"/>
      <c r="QU295" s="66"/>
      <c r="QV295" s="66"/>
      <c r="QW295" s="66"/>
      <c r="QX295" s="66"/>
      <c r="QY295" s="66"/>
      <c r="QZ295" s="66"/>
      <c r="RA295" s="66"/>
      <c r="RB295" s="66"/>
      <c r="RC295" s="66"/>
      <c r="RD295" s="4"/>
    </row>
    <row r="296" spans="9:472" x14ac:dyDescent="0.25">
      <c r="I296" s="66"/>
      <c r="J296" s="66"/>
      <c r="K296" s="66"/>
      <c r="L296" s="66"/>
      <c r="M296" s="66"/>
      <c r="N296" s="66"/>
      <c r="O296" s="66"/>
      <c r="P296" s="66"/>
      <c r="Q296" s="66"/>
      <c r="R296" s="66"/>
      <c r="S296" s="66"/>
      <c r="T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c r="CY296" s="66"/>
      <c r="CZ296" s="66"/>
      <c r="DA296" s="66"/>
      <c r="DB296" s="66"/>
      <c r="DC296" s="66"/>
      <c r="DD296" s="66"/>
      <c r="DE296" s="66"/>
      <c r="DF296" s="66"/>
      <c r="DG296" s="66"/>
      <c r="DH296" s="66"/>
      <c r="DI296" s="66"/>
      <c r="DJ296" s="66"/>
      <c r="DK296" s="66"/>
      <c r="DL296" s="66"/>
      <c r="DM296" s="66"/>
      <c r="DN296" s="66"/>
      <c r="DO296" s="66"/>
      <c r="DP296" s="66"/>
      <c r="DQ296" s="66"/>
      <c r="DR296" s="66"/>
      <c r="DS296" s="66"/>
      <c r="DT296" s="66"/>
      <c r="DU296" s="66"/>
      <c r="DV296" s="66"/>
      <c r="DW296" s="66"/>
      <c r="DX296" s="66"/>
      <c r="DY296" s="66"/>
      <c r="DZ296" s="66"/>
      <c r="EA296" s="66"/>
      <c r="EB296" s="66"/>
      <c r="EC296" s="66"/>
      <c r="ED296" s="66"/>
      <c r="EE296" s="66"/>
      <c r="EF296" s="66"/>
      <c r="EG296" s="66"/>
      <c r="EH296" s="66"/>
      <c r="EI296" s="66"/>
      <c r="EJ296" s="66"/>
      <c r="EK296" s="66"/>
      <c r="EL296" s="66"/>
      <c r="EM296" s="66"/>
      <c r="EN296" s="66"/>
      <c r="EO296" s="66"/>
      <c r="EP296" s="66"/>
      <c r="EQ296" s="66"/>
      <c r="ER296" s="66"/>
      <c r="ES296" s="66"/>
      <c r="ET296" s="66"/>
      <c r="EU296" s="66"/>
      <c r="EV296" s="66"/>
      <c r="EW296" s="66"/>
      <c r="EX296" s="66"/>
      <c r="EY296" s="66"/>
      <c r="EZ296" s="66"/>
      <c r="FA296" s="66"/>
      <c r="FB296" s="66"/>
      <c r="FC296" s="66"/>
      <c r="FD296" s="66"/>
      <c r="FE296" s="66"/>
      <c r="FF296" s="66"/>
      <c r="FG296" s="66"/>
      <c r="FH296" s="66"/>
      <c r="FI296" s="66"/>
      <c r="FJ296" s="66"/>
      <c r="FK296" s="66"/>
      <c r="FL296" s="66"/>
      <c r="FM296" s="66"/>
      <c r="FN296" s="66"/>
      <c r="FO296" s="66"/>
      <c r="FP296" s="66"/>
      <c r="FQ296" s="66"/>
      <c r="FR296" s="66"/>
      <c r="FS296" s="66"/>
      <c r="FT296" s="66"/>
      <c r="FU296" s="66"/>
      <c r="FV296" s="66"/>
      <c r="FW296" s="66"/>
      <c r="FX296" s="66"/>
      <c r="FY296" s="66"/>
      <c r="FZ296" s="66"/>
      <c r="GA296" s="66"/>
      <c r="GB296" s="66"/>
      <c r="GC296" s="66"/>
      <c r="GD296" s="66"/>
      <c r="GE296" s="66"/>
      <c r="GF296" s="66"/>
      <c r="GG296" s="66"/>
      <c r="GH296" s="66"/>
      <c r="GI296" s="66"/>
      <c r="GJ296" s="66"/>
      <c r="GK296" s="66"/>
      <c r="GL296" s="66"/>
      <c r="GM296" s="66"/>
      <c r="GN296" s="66"/>
      <c r="GO296" s="66"/>
      <c r="GP296" s="66"/>
      <c r="GQ296" s="66"/>
      <c r="GR296" s="66"/>
      <c r="GS296" s="66"/>
      <c r="GT296" s="66"/>
      <c r="GU296" s="66"/>
      <c r="GV296" s="66"/>
      <c r="GW296" s="66"/>
      <c r="GX296" s="66"/>
      <c r="GY296" s="66"/>
      <c r="GZ296" s="66"/>
      <c r="HA296" s="66"/>
      <c r="HB296" s="66"/>
      <c r="HC296" s="66"/>
      <c r="HD296" s="66"/>
      <c r="HE296" s="66"/>
      <c r="HF296" s="66"/>
      <c r="HG296" s="66"/>
      <c r="HH296" s="66"/>
      <c r="HI296" s="66"/>
      <c r="HJ296" s="66"/>
      <c r="HK296" s="66"/>
      <c r="HL296" s="66"/>
      <c r="HM296" s="66"/>
      <c r="HN296" s="66"/>
      <c r="HO296" s="66"/>
      <c r="HP296" s="66"/>
      <c r="HQ296" s="66"/>
      <c r="HR296" s="66"/>
      <c r="HS296" s="66"/>
      <c r="HT296" s="66"/>
      <c r="HU296" s="66"/>
      <c r="HV296" s="66"/>
      <c r="HW296" s="66"/>
      <c r="HX296" s="66"/>
      <c r="HY296" s="66"/>
      <c r="HZ296" s="66"/>
      <c r="IA296" s="66"/>
      <c r="IB296" s="66"/>
      <c r="IC296" s="66"/>
      <c r="ID296" s="66"/>
      <c r="IE296" s="66"/>
      <c r="IF296" s="66"/>
      <c r="IG296" s="66"/>
      <c r="IH296" s="66"/>
      <c r="II296" s="66"/>
      <c r="IJ296" s="66"/>
      <c r="IK296" s="66"/>
      <c r="IL296" s="66"/>
      <c r="IM296" s="66"/>
      <c r="IN296" s="66"/>
      <c r="IO296" s="66"/>
      <c r="IP296" s="66"/>
      <c r="IQ296" s="66"/>
      <c r="IR296" s="66"/>
      <c r="IS296" s="66"/>
      <c r="IT296" s="66"/>
      <c r="IU296" s="66"/>
      <c r="IV296" s="66"/>
      <c r="IW296" s="66"/>
      <c r="IX296" s="66"/>
      <c r="IY296" s="66"/>
      <c r="IZ296" s="66"/>
      <c r="JA296" s="66"/>
      <c r="JB296" s="66"/>
      <c r="JC296" s="66"/>
      <c r="JD296" s="66"/>
      <c r="JE296" s="66"/>
      <c r="JF296" s="66"/>
      <c r="JG296" s="66"/>
      <c r="JH296" s="66"/>
      <c r="JI296" s="66"/>
      <c r="JJ296" s="66"/>
      <c r="JK296" s="66"/>
      <c r="JL296" s="66"/>
      <c r="JM296" s="66"/>
      <c r="JN296" s="66"/>
      <c r="JO296" s="66"/>
      <c r="JP296" s="66"/>
      <c r="JQ296" s="66"/>
      <c r="JR296" s="66"/>
      <c r="JS296" s="66"/>
      <c r="JT296" s="66"/>
      <c r="JU296" s="66"/>
      <c r="JV296" s="66"/>
      <c r="JW296" s="66"/>
      <c r="JX296" s="66"/>
      <c r="JY296" s="66"/>
      <c r="JZ296" s="66"/>
      <c r="KA296" s="66"/>
      <c r="KB296" s="66"/>
      <c r="KC296" s="66"/>
      <c r="KD296" s="66"/>
      <c r="KE296" s="66"/>
      <c r="KF296" s="66"/>
      <c r="KG296" s="66"/>
      <c r="KH296" s="66"/>
      <c r="KI296" s="66"/>
      <c r="KJ296" s="66"/>
      <c r="KK296" s="66"/>
      <c r="KL296" s="66"/>
      <c r="KM296" s="66"/>
      <c r="KN296" s="66"/>
      <c r="KO296" s="66"/>
      <c r="KP296" s="66"/>
      <c r="KQ296" s="66"/>
      <c r="KR296" s="66"/>
      <c r="KS296" s="66"/>
      <c r="KT296" s="66"/>
      <c r="KU296" s="66"/>
      <c r="KV296" s="66"/>
      <c r="KW296" s="66"/>
      <c r="KX296" s="66"/>
      <c r="KY296" s="66"/>
      <c r="KZ296" s="66"/>
      <c r="LA296" s="66"/>
      <c r="LB296" s="66"/>
      <c r="LC296" s="66"/>
      <c r="LD296" s="66"/>
      <c r="LE296" s="66"/>
      <c r="LF296" s="66"/>
      <c r="LG296" s="66"/>
      <c r="LH296" s="66"/>
      <c r="LI296" s="66"/>
      <c r="LJ296" s="66"/>
      <c r="LK296" s="66"/>
      <c r="LL296" s="66"/>
      <c r="LM296" s="66"/>
      <c r="LN296" s="66"/>
      <c r="LO296" s="66"/>
      <c r="LP296" s="66"/>
      <c r="LQ296" s="66"/>
      <c r="LR296" s="66"/>
      <c r="LS296" s="66"/>
      <c r="LT296" s="66"/>
      <c r="LU296" s="66"/>
      <c r="LV296" s="66"/>
      <c r="LW296" s="66"/>
      <c r="LX296" s="66"/>
      <c r="LY296" s="66"/>
      <c r="LZ296" s="66"/>
      <c r="MA296" s="66"/>
      <c r="MB296" s="66"/>
      <c r="MC296" s="66"/>
      <c r="MD296" s="66"/>
      <c r="ME296" s="66"/>
      <c r="MF296" s="66"/>
      <c r="MG296" s="66"/>
      <c r="MH296" s="66"/>
      <c r="MI296" s="66"/>
      <c r="MJ296" s="66"/>
      <c r="MK296" s="66"/>
      <c r="ML296" s="66"/>
      <c r="MM296" s="66"/>
      <c r="MN296" s="66"/>
      <c r="MO296" s="66"/>
      <c r="MP296" s="66"/>
      <c r="MQ296" s="66"/>
      <c r="MR296" s="66"/>
      <c r="MS296" s="66"/>
      <c r="MT296" s="66"/>
      <c r="MU296" s="66"/>
      <c r="MV296" s="66"/>
      <c r="MW296" s="66"/>
      <c r="MX296" s="66"/>
      <c r="MY296" s="66"/>
      <c r="MZ296" s="66"/>
      <c r="NA296" s="66"/>
      <c r="NB296" s="66"/>
      <c r="NC296" s="66"/>
      <c r="ND296" s="66"/>
      <c r="NE296" s="66"/>
      <c r="NF296" s="66"/>
      <c r="NG296" s="66"/>
      <c r="NH296" s="66"/>
      <c r="NI296" s="66"/>
      <c r="NJ296" s="66"/>
      <c r="NK296" s="66"/>
      <c r="NL296" s="66"/>
      <c r="NM296" s="66"/>
      <c r="NN296" s="66"/>
      <c r="NO296" s="66"/>
      <c r="NP296" s="66"/>
      <c r="NQ296" s="66"/>
      <c r="NR296" s="66"/>
      <c r="NS296" s="66"/>
      <c r="NT296" s="66"/>
      <c r="NU296" s="66"/>
      <c r="NV296" s="66"/>
      <c r="NW296" s="66"/>
      <c r="NX296" s="66"/>
      <c r="NY296" s="66"/>
      <c r="NZ296" s="66"/>
      <c r="OA296" s="66"/>
      <c r="OB296" s="66"/>
      <c r="OC296" s="66"/>
      <c r="OD296" s="66"/>
      <c r="OE296" s="66"/>
      <c r="OF296" s="66"/>
      <c r="OG296" s="66"/>
      <c r="OH296" s="66"/>
      <c r="OI296" s="66"/>
      <c r="OJ296" s="66"/>
      <c r="OK296" s="66"/>
      <c r="OL296" s="66"/>
      <c r="OM296" s="66"/>
      <c r="ON296" s="66"/>
      <c r="OO296" s="66"/>
      <c r="OP296" s="66"/>
      <c r="OQ296" s="66"/>
      <c r="OR296" s="66"/>
      <c r="OS296" s="66"/>
      <c r="OT296" s="66"/>
      <c r="OU296" s="66"/>
      <c r="OV296" s="66"/>
      <c r="OW296" s="66"/>
      <c r="OX296" s="66"/>
      <c r="OY296" s="66"/>
      <c r="OZ296" s="66"/>
      <c r="PA296" s="66"/>
      <c r="PB296" s="66"/>
      <c r="PC296" s="66"/>
      <c r="PD296" s="66"/>
      <c r="PE296" s="66"/>
      <c r="PF296" s="66"/>
      <c r="PG296" s="66"/>
      <c r="PH296" s="66"/>
      <c r="PI296" s="66"/>
      <c r="PJ296" s="66"/>
      <c r="PK296" s="66"/>
      <c r="PL296" s="66"/>
      <c r="PM296" s="66"/>
      <c r="PN296" s="66"/>
      <c r="PO296" s="66"/>
      <c r="PP296" s="66"/>
      <c r="PQ296" s="66"/>
      <c r="PR296" s="66"/>
      <c r="PS296" s="66"/>
      <c r="PT296" s="66"/>
      <c r="PU296" s="66"/>
      <c r="PV296" s="66"/>
      <c r="PW296" s="66"/>
      <c r="PX296" s="66"/>
      <c r="PY296" s="66"/>
      <c r="PZ296" s="66"/>
      <c r="QA296" s="66"/>
      <c r="QB296" s="66"/>
      <c r="QC296" s="66"/>
      <c r="QD296" s="66"/>
      <c r="QE296" s="66"/>
      <c r="QF296" s="66"/>
      <c r="QG296" s="66"/>
      <c r="QH296" s="66"/>
      <c r="QI296" s="66"/>
      <c r="QJ296" s="66"/>
      <c r="QK296" s="66"/>
      <c r="QL296" s="66"/>
      <c r="QM296" s="66"/>
      <c r="QN296" s="66"/>
      <c r="QO296" s="66"/>
      <c r="QP296" s="66"/>
      <c r="QQ296" s="66"/>
      <c r="QR296" s="66"/>
      <c r="QS296" s="66"/>
      <c r="QT296" s="66"/>
      <c r="QU296" s="66"/>
      <c r="QV296" s="66"/>
      <c r="QW296" s="66"/>
      <c r="QX296" s="66"/>
      <c r="QY296" s="66"/>
      <c r="QZ296" s="66"/>
      <c r="RA296" s="66"/>
      <c r="RB296" s="66"/>
      <c r="RC296" s="66"/>
      <c r="RD296" s="4"/>
    </row>
    <row r="297" spans="9:472" x14ac:dyDescent="0.25">
      <c r="I297" s="66"/>
      <c r="J297" s="66"/>
      <c r="K297" s="66"/>
      <c r="L297" s="66"/>
      <c r="M297" s="66"/>
      <c r="N297" s="66"/>
      <c r="O297" s="66"/>
      <c r="P297" s="66"/>
      <c r="Q297" s="66"/>
      <c r="R297" s="66"/>
      <c r="S297" s="66"/>
      <c r="T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c r="CY297" s="66"/>
      <c r="CZ297" s="66"/>
      <c r="DA297" s="66"/>
      <c r="DB297" s="66"/>
      <c r="DC297" s="66"/>
      <c r="DD297" s="66"/>
      <c r="DE297" s="66"/>
      <c r="DF297" s="66"/>
      <c r="DG297" s="66"/>
      <c r="DH297" s="66"/>
      <c r="DI297" s="66"/>
      <c r="DJ297" s="66"/>
      <c r="DK297" s="66"/>
      <c r="DL297" s="66"/>
      <c r="DM297" s="66"/>
      <c r="DN297" s="66"/>
      <c r="DO297" s="66"/>
      <c r="DP297" s="66"/>
      <c r="DQ297" s="66"/>
      <c r="DR297" s="66"/>
      <c r="DS297" s="66"/>
      <c r="DT297" s="66"/>
      <c r="DU297" s="66"/>
      <c r="DV297" s="66"/>
      <c r="DW297" s="66"/>
      <c r="DX297" s="66"/>
      <c r="DY297" s="66"/>
      <c r="DZ297" s="66"/>
      <c r="EA297" s="66"/>
      <c r="EB297" s="66"/>
      <c r="EC297" s="66"/>
      <c r="ED297" s="66"/>
      <c r="EE297" s="66"/>
      <c r="EF297" s="66"/>
      <c r="EG297" s="66"/>
      <c r="EH297" s="66"/>
      <c r="EI297" s="66"/>
      <c r="EJ297" s="66"/>
      <c r="EK297" s="66"/>
      <c r="EL297" s="66"/>
      <c r="EM297" s="66"/>
      <c r="EN297" s="66"/>
      <c r="EO297" s="66"/>
      <c r="EP297" s="66"/>
      <c r="EQ297" s="66"/>
      <c r="ER297" s="66"/>
      <c r="ES297" s="66"/>
      <c r="ET297" s="66"/>
      <c r="EU297" s="66"/>
      <c r="EV297" s="66"/>
      <c r="EW297" s="66"/>
      <c r="EX297" s="66"/>
      <c r="EY297" s="66"/>
      <c r="EZ297" s="66"/>
      <c r="FA297" s="66"/>
      <c r="FB297" s="66"/>
      <c r="FC297" s="66"/>
      <c r="FD297" s="66"/>
      <c r="FE297" s="66"/>
      <c r="FF297" s="66"/>
      <c r="FG297" s="66"/>
      <c r="FH297" s="66"/>
      <c r="FI297" s="66"/>
      <c r="FJ297" s="66"/>
      <c r="FK297" s="66"/>
      <c r="FL297" s="66"/>
      <c r="FM297" s="66"/>
      <c r="FN297" s="66"/>
      <c r="FO297" s="66"/>
      <c r="FP297" s="66"/>
      <c r="FQ297" s="66"/>
      <c r="FR297" s="66"/>
      <c r="FS297" s="66"/>
      <c r="FT297" s="66"/>
      <c r="FU297" s="66"/>
      <c r="FV297" s="66"/>
      <c r="FW297" s="66"/>
      <c r="FX297" s="66"/>
      <c r="FY297" s="66"/>
      <c r="FZ297" s="66"/>
      <c r="GA297" s="66"/>
      <c r="GB297" s="66"/>
      <c r="GC297" s="66"/>
      <c r="GD297" s="66"/>
      <c r="GE297" s="66"/>
      <c r="GF297" s="66"/>
      <c r="GG297" s="66"/>
      <c r="GH297" s="66"/>
      <c r="GI297" s="66"/>
      <c r="GJ297" s="66"/>
      <c r="GK297" s="66"/>
      <c r="GL297" s="66"/>
      <c r="GM297" s="66"/>
      <c r="GN297" s="66"/>
      <c r="GO297" s="66"/>
      <c r="GP297" s="66"/>
      <c r="GQ297" s="66"/>
      <c r="GR297" s="66"/>
      <c r="GS297" s="66"/>
      <c r="GT297" s="66"/>
      <c r="GU297" s="66"/>
      <c r="GV297" s="66"/>
      <c r="GW297" s="66"/>
      <c r="GX297" s="66"/>
      <c r="GY297" s="66"/>
      <c r="GZ297" s="66"/>
      <c r="HA297" s="66"/>
      <c r="HB297" s="66"/>
      <c r="HC297" s="66"/>
      <c r="HD297" s="66"/>
      <c r="HE297" s="66"/>
      <c r="HF297" s="66"/>
      <c r="HG297" s="66"/>
      <c r="HH297" s="66"/>
      <c r="HI297" s="66"/>
      <c r="HJ297" s="66"/>
      <c r="HK297" s="66"/>
      <c r="HL297" s="66"/>
      <c r="HM297" s="66"/>
      <c r="HN297" s="66"/>
      <c r="HO297" s="66"/>
      <c r="HP297" s="66"/>
      <c r="HQ297" s="66"/>
      <c r="HR297" s="66"/>
      <c r="HS297" s="66"/>
      <c r="HT297" s="66"/>
      <c r="HU297" s="66"/>
      <c r="HV297" s="66"/>
      <c r="HW297" s="66"/>
      <c r="HX297" s="66"/>
      <c r="HY297" s="66"/>
      <c r="HZ297" s="66"/>
      <c r="IA297" s="66"/>
      <c r="IB297" s="66"/>
      <c r="IC297" s="66"/>
      <c r="ID297" s="66"/>
      <c r="IE297" s="66"/>
      <c r="IF297" s="66"/>
      <c r="IG297" s="66"/>
      <c r="IH297" s="66"/>
      <c r="II297" s="66"/>
      <c r="IJ297" s="66"/>
      <c r="IK297" s="66"/>
      <c r="IL297" s="66"/>
      <c r="IM297" s="66"/>
      <c r="IN297" s="66"/>
      <c r="IO297" s="66"/>
      <c r="IP297" s="66"/>
      <c r="IQ297" s="66"/>
      <c r="IR297" s="66"/>
      <c r="IS297" s="66"/>
      <c r="IT297" s="66"/>
      <c r="IU297" s="66"/>
      <c r="IV297" s="66"/>
      <c r="IW297" s="66"/>
      <c r="IX297" s="66"/>
      <c r="IY297" s="66"/>
      <c r="IZ297" s="66"/>
      <c r="JA297" s="66"/>
      <c r="JB297" s="66"/>
      <c r="JC297" s="66"/>
      <c r="JD297" s="66"/>
      <c r="JE297" s="66"/>
      <c r="JF297" s="66"/>
      <c r="JG297" s="66"/>
      <c r="JH297" s="66"/>
      <c r="JI297" s="66"/>
      <c r="JJ297" s="66"/>
      <c r="JK297" s="66"/>
      <c r="JL297" s="66"/>
      <c r="JM297" s="66"/>
      <c r="JN297" s="66"/>
      <c r="JO297" s="66"/>
      <c r="JP297" s="66"/>
      <c r="JQ297" s="66"/>
      <c r="JR297" s="66"/>
      <c r="JS297" s="66"/>
      <c r="JT297" s="66"/>
      <c r="JU297" s="66"/>
      <c r="JV297" s="66"/>
      <c r="JW297" s="66"/>
      <c r="JX297" s="66"/>
      <c r="JY297" s="66"/>
      <c r="JZ297" s="66"/>
      <c r="KA297" s="66"/>
      <c r="KB297" s="66"/>
      <c r="KC297" s="66"/>
      <c r="KD297" s="66"/>
      <c r="KE297" s="66"/>
      <c r="KF297" s="66"/>
      <c r="KG297" s="66"/>
      <c r="KH297" s="66"/>
      <c r="KI297" s="66"/>
      <c r="KJ297" s="66"/>
      <c r="KK297" s="66"/>
      <c r="KL297" s="66"/>
      <c r="KM297" s="66"/>
      <c r="KN297" s="66"/>
      <c r="KO297" s="66"/>
      <c r="KP297" s="66"/>
      <c r="KQ297" s="66"/>
      <c r="KR297" s="66"/>
      <c r="KS297" s="66"/>
      <c r="KT297" s="66"/>
      <c r="KU297" s="66"/>
      <c r="KV297" s="66"/>
      <c r="KW297" s="66"/>
      <c r="KX297" s="66"/>
      <c r="KY297" s="66"/>
      <c r="KZ297" s="66"/>
      <c r="LA297" s="66"/>
      <c r="LB297" s="66"/>
      <c r="LC297" s="66"/>
      <c r="LD297" s="66"/>
      <c r="LE297" s="66"/>
      <c r="LF297" s="66"/>
      <c r="LG297" s="66"/>
      <c r="LH297" s="66"/>
      <c r="LI297" s="66"/>
      <c r="LJ297" s="66"/>
      <c r="LK297" s="66"/>
      <c r="LL297" s="66"/>
      <c r="LM297" s="66"/>
      <c r="LN297" s="66"/>
      <c r="LO297" s="66"/>
      <c r="LP297" s="66"/>
      <c r="LQ297" s="66"/>
      <c r="LR297" s="66"/>
      <c r="LS297" s="66"/>
      <c r="LT297" s="66"/>
      <c r="LU297" s="66"/>
      <c r="LV297" s="66"/>
      <c r="LW297" s="66"/>
      <c r="LX297" s="66"/>
      <c r="LY297" s="66"/>
      <c r="LZ297" s="66"/>
      <c r="MA297" s="66"/>
      <c r="MB297" s="66"/>
      <c r="MC297" s="66"/>
      <c r="MD297" s="66"/>
      <c r="ME297" s="66"/>
      <c r="MF297" s="66"/>
      <c r="MG297" s="66"/>
      <c r="MH297" s="66"/>
      <c r="MI297" s="66"/>
      <c r="MJ297" s="66"/>
      <c r="MK297" s="66"/>
      <c r="ML297" s="66"/>
      <c r="MM297" s="66"/>
      <c r="MN297" s="66"/>
      <c r="MO297" s="66"/>
      <c r="MP297" s="66"/>
      <c r="MQ297" s="66"/>
      <c r="MR297" s="66"/>
      <c r="MS297" s="66"/>
      <c r="MT297" s="66"/>
      <c r="MU297" s="66"/>
      <c r="MV297" s="66"/>
      <c r="MW297" s="66"/>
      <c r="MX297" s="66"/>
      <c r="MY297" s="66"/>
      <c r="MZ297" s="66"/>
      <c r="NA297" s="66"/>
      <c r="NB297" s="66"/>
      <c r="NC297" s="66"/>
      <c r="ND297" s="66"/>
      <c r="NE297" s="66"/>
      <c r="NF297" s="66"/>
      <c r="NG297" s="66"/>
      <c r="NH297" s="66"/>
      <c r="NI297" s="66"/>
      <c r="NJ297" s="66"/>
      <c r="NK297" s="66"/>
      <c r="NL297" s="66"/>
      <c r="NM297" s="66"/>
      <c r="NN297" s="66"/>
      <c r="NO297" s="66"/>
      <c r="NP297" s="66"/>
      <c r="NQ297" s="66"/>
      <c r="NR297" s="66"/>
      <c r="NS297" s="66"/>
      <c r="NT297" s="66"/>
      <c r="NU297" s="66"/>
      <c r="NV297" s="66"/>
      <c r="NW297" s="66"/>
      <c r="NX297" s="66"/>
      <c r="NY297" s="66"/>
      <c r="NZ297" s="66"/>
      <c r="OA297" s="66"/>
      <c r="OB297" s="66"/>
      <c r="OC297" s="66"/>
      <c r="OD297" s="66"/>
      <c r="OE297" s="66"/>
      <c r="OF297" s="66"/>
      <c r="OG297" s="66"/>
      <c r="OH297" s="66"/>
      <c r="OI297" s="66"/>
      <c r="OJ297" s="66"/>
      <c r="OK297" s="66"/>
      <c r="OL297" s="66"/>
      <c r="OM297" s="66"/>
      <c r="ON297" s="66"/>
      <c r="OO297" s="66"/>
      <c r="OP297" s="66"/>
      <c r="OQ297" s="66"/>
      <c r="OR297" s="66"/>
      <c r="OS297" s="66"/>
      <c r="OT297" s="66"/>
      <c r="OU297" s="66"/>
      <c r="OV297" s="66"/>
      <c r="OW297" s="66"/>
      <c r="OX297" s="66"/>
      <c r="OY297" s="66"/>
      <c r="OZ297" s="66"/>
      <c r="PA297" s="66"/>
      <c r="PB297" s="66"/>
      <c r="PC297" s="66"/>
      <c r="PD297" s="66"/>
      <c r="PE297" s="66"/>
      <c r="PF297" s="66"/>
      <c r="PG297" s="66"/>
      <c r="PH297" s="66"/>
      <c r="PI297" s="66"/>
      <c r="PJ297" s="66"/>
      <c r="PK297" s="66"/>
      <c r="PL297" s="66"/>
      <c r="PM297" s="66"/>
      <c r="PN297" s="66"/>
      <c r="PO297" s="66"/>
      <c r="PP297" s="66"/>
      <c r="PQ297" s="66"/>
      <c r="PR297" s="66"/>
      <c r="PS297" s="66"/>
      <c r="PT297" s="66"/>
      <c r="PU297" s="66"/>
      <c r="PV297" s="66"/>
      <c r="PW297" s="66"/>
      <c r="PX297" s="66"/>
      <c r="PY297" s="66"/>
      <c r="PZ297" s="66"/>
      <c r="QA297" s="66"/>
      <c r="QB297" s="66"/>
      <c r="QC297" s="66"/>
      <c r="QD297" s="66"/>
      <c r="QE297" s="66"/>
      <c r="QF297" s="66"/>
      <c r="QG297" s="66"/>
      <c r="QH297" s="66"/>
      <c r="QI297" s="66"/>
      <c r="QJ297" s="66"/>
      <c r="QK297" s="66"/>
      <c r="QL297" s="66"/>
      <c r="QM297" s="66"/>
      <c r="QN297" s="66"/>
      <c r="QO297" s="66"/>
      <c r="QP297" s="66"/>
      <c r="QQ297" s="66"/>
      <c r="QR297" s="66"/>
      <c r="QS297" s="66"/>
      <c r="QT297" s="66"/>
      <c r="QU297" s="66"/>
      <c r="QV297" s="66"/>
      <c r="QW297" s="66"/>
      <c r="QX297" s="66"/>
      <c r="QY297" s="66"/>
      <c r="QZ297" s="66"/>
      <c r="RA297" s="66"/>
      <c r="RB297" s="66"/>
      <c r="RC297" s="66"/>
      <c r="RD297" s="4"/>
    </row>
    <row r="298" spans="9:472" x14ac:dyDescent="0.25">
      <c r="I298" s="66"/>
      <c r="J298" s="66"/>
      <c r="K298" s="66"/>
      <c r="L298" s="66"/>
      <c r="M298" s="66"/>
      <c r="N298" s="66"/>
      <c r="O298" s="66"/>
      <c r="P298" s="66"/>
      <c r="Q298" s="66"/>
      <c r="R298" s="66"/>
      <c r="S298" s="66"/>
      <c r="T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c r="CY298" s="66"/>
      <c r="CZ298" s="66"/>
      <c r="DA298" s="66"/>
      <c r="DB298" s="66"/>
      <c r="DC298" s="66"/>
      <c r="DD298" s="66"/>
      <c r="DE298" s="66"/>
      <c r="DF298" s="66"/>
      <c r="DG298" s="66"/>
      <c r="DH298" s="66"/>
      <c r="DI298" s="66"/>
      <c r="DJ298" s="66"/>
      <c r="DK298" s="66"/>
      <c r="DL298" s="66"/>
      <c r="DM298" s="66"/>
      <c r="DN298" s="66"/>
      <c r="DO298" s="66"/>
      <c r="DP298" s="66"/>
      <c r="DQ298" s="66"/>
      <c r="DR298" s="66"/>
      <c r="DS298" s="66"/>
      <c r="DT298" s="66"/>
      <c r="DU298" s="66"/>
      <c r="DV298" s="66"/>
      <c r="DW298" s="66"/>
      <c r="DX298" s="66"/>
      <c r="DY298" s="66"/>
      <c r="DZ298" s="66"/>
      <c r="EA298" s="66"/>
      <c r="EB298" s="66"/>
      <c r="EC298" s="66"/>
      <c r="ED298" s="66"/>
      <c r="EE298" s="66"/>
      <c r="EF298" s="66"/>
      <c r="EG298" s="66"/>
      <c r="EH298" s="66"/>
      <c r="EI298" s="66"/>
      <c r="EJ298" s="66"/>
      <c r="EK298" s="66"/>
      <c r="EL298" s="66"/>
      <c r="EM298" s="66"/>
      <c r="EN298" s="66"/>
      <c r="EO298" s="66"/>
      <c r="EP298" s="66"/>
      <c r="EQ298" s="66"/>
      <c r="ER298" s="66"/>
      <c r="ES298" s="66"/>
      <c r="ET298" s="66"/>
      <c r="EU298" s="66"/>
      <c r="EV298" s="66"/>
      <c r="EW298" s="66"/>
      <c r="EX298" s="66"/>
      <c r="EY298" s="66"/>
      <c r="EZ298" s="66"/>
      <c r="FA298" s="66"/>
      <c r="FB298" s="66"/>
      <c r="FC298" s="66"/>
      <c r="FD298" s="66"/>
      <c r="FE298" s="66"/>
      <c r="FF298" s="66"/>
      <c r="FG298" s="66"/>
      <c r="FH298" s="66"/>
      <c r="FI298" s="66"/>
      <c r="FJ298" s="66"/>
      <c r="FK298" s="66"/>
      <c r="FL298" s="66"/>
      <c r="FM298" s="66"/>
      <c r="FN298" s="66"/>
      <c r="FO298" s="66"/>
      <c r="FP298" s="66"/>
      <c r="FQ298" s="66"/>
      <c r="FR298" s="66"/>
      <c r="FS298" s="66"/>
      <c r="FT298" s="66"/>
      <c r="FU298" s="66"/>
      <c r="FV298" s="66"/>
      <c r="FW298" s="66"/>
      <c r="FX298" s="66"/>
      <c r="FY298" s="66"/>
      <c r="FZ298" s="66"/>
      <c r="GA298" s="66"/>
      <c r="GB298" s="66"/>
      <c r="GC298" s="66"/>
      <c r="GD298" s="66"/>
      <c r="GE298" s="66"/>
      <c r="GF298" s="66"/>
      <c r="GG298" s="66"/>
      <c r="GH298" s="66"/>
      <c r="GI298" s="66"/>
      <c r="GJ298" s="66"/>
      <c r="GK298" s="66"/>
      <c r="GL298" s="66"/>
      <c r="GM298" s="66"/>
      <c r="GN298" s="66"/>
      <c r="GO298" s="66"/>
      <c r="GP298" s="66"/>
      <c r="GQ298" s="66"/>
      <c r="GR298" s="66"/>
      <c r="GS298" s="66"/>
      <c r="GT298" s="66"/>
      <c r="GU298" s="66"/>
      <c r="GV298" s="66"/>
      <c r="GW298" s="66"/>
      <c r="GX298" s="66"/>
      <c r="GY298" s="66"/>
      <c r="GZ298" s="66"/>
      <c r="HA298" s="66"/>
      <c r="HB298" s="66"/>
      <c r="HC298" s="66"/>
      <c r="HD298" s="66"/>
      <c r="HE298" s="66"/>
      <c r="HF298" s="66"/>
      <c r="HG298" s="66"/>
      <c r="HH298" s="66"/>
      <c r="HI298" s="66"/>
      <c r="HJ298" s="66"/>
      <c r="HK298" s="66"/>
      <c r="HL298" s="66"/>
      <c r="HM298" s="66"/>
      <c r="HN298" s="66"/>
      <c r="HO298" s="66"/>
      <c r="HP298" s="66"/>
      <c r="HQ298" s="66"/>
      <c r="HR298" s="66"/>
      <c r="HS298" s="66"/>
      <c r="HT298" s="66"/>
      <c r="HU298" s="66"/>
      <c r="HV298" s="66"/>
      <c r="HW298" s="66"/>
      <c r="HX298" s="66"/>
      <c r="HY298" s="66"/>
      <c r="HZ298" s="66"/>
      <c r="IA298" s="66"/>
      <c r="IB298" s="66"/>
      <c r="IC298" s="66"/>
      <c r="ID298" s="66"/>
      <c r="IE298" s="66"/>
      <c r="IF298" s="66"/>
      <c r="IG298" s="66"/>
      <c r="IH298" s="66"/>
      <c r="II298" s="66"/>
      <c r="IJ298" s="66"/>
      <c r="IK298" s="66"/>
      <c r="IL298" s="66"/>
      <c r="IM298" s="66"/>
      <c r="IN298" s="66"/>
      <c r="IO298" s="66"/>
      <c r="IP298" s="66"/>
      <c r="IQ298" s="66"/>
      <c r="IR298" s="66"/>
      <c r="IS298" s="66"/>
      <c r="IT298" s="66"/>
      <c r="IU298" s="66"/>
      <c r="IV298" s="66"/>
      <c r="IW298" s="66"/>
      <c r="IX298" s="66"/>
      <c r="IY298" s="66"/>
      <c r="IZ298" s="66"/>
      <c r="JA298" s="66"/>
      <c r="JB298" s="66"/>
      <c r="JC298" s="66"/>
      <c r="JD298" s="66"/>
      <c r="JE298" s="66"/>
      <c r="JF298" s="66"/>
      <c r="JG298" s="66"/>
      <c r="JH298" s="66"/>
      <c r="JI298" s="66"/>
      <c r="JJ298" s="66"/>
      <c r="JK298" s="66"/>
      <c r="JL298" s="66"/>
      <c r="JM298" s="66"/>
      <c r="JN298" s="66"/>
      <c r="JO298" s="66"/>
      <c r="JP298" s="66"/>
      <c r="JQ298" s="66"/>
      <c r="JR298" s="66"/>
      <c r="JS298" s="66"/>
      <c r="JT298" s="66"/>
      <c r="JU298" s="66"/>
      <c r="JV298" s="66"/>
      <c r="JW298" s="66"/>
      <c r="JX298" s="66"/>
      <c r="JY298" s="66"/>
      <c r="JZ298" s="66"/>
      <c r="KA298" s="66"/>
      <c r="KB298" s="66"/>
      <c r="KC298" s="66"/>
      <c r="KD298" s="66"/>
      <c r="KE298" s="66"/>
      <c r="KF298" s="66"/>
      <c r="KG298" s="66"/>
      <c r="KH298" s="66"/>
      <c r="KI298" s="66"/>
      <c r="KJ298" s="66"/>
      <c r="KK298" s="66"/>
      <c r="KL298" s="66"/>
      <c r="KM298" s="66"/>
      <c r="KN298" s="66"/>
      <c r="KO298" s="66"/>
      <c r="KP298" s="66"/>
      <c r="KQ298" s="66"/>
      <c r="KR298" s="66"/>
      <c r="KS298" s="66"/>
      <c r="KT298" s="66"/>
      <c r="KU298" s="66"/>
      <c r="KV298" s="66"/>
      <c r="KW298" s="66"/>
      <c r="KX298" s="66"/>
      <c r="KY298" s="66"/>
      <c r="KZ298" s="66"/>
      <c r="LA298" s="66"/>
      <c r="LB298" s="66"/>
      <c r="LC298" s="66"/>
      <c r="LD298" s="66"/>
      <c r="LE298" s="66"/>
      <c r="LF298" s="66"/>
      <c r="LG298" s="66"/>
      <c r="LH298" s="66"/>
      <c r="LI298" s="66"/>
      <c r="LJ298" s="66"/>
      <c r="LK298" s="66"/>
      <c r="LL298" s="66"/>
      <c r="LM298" s="66"/>
      <c r="LN298" s="66"/>
      <c r="LO298" s="66"/>
      <c r="LP298" s="66"/>
      <c r="LQ298" s="66"/>
      <c r="LR298" s="66"/>
      <c r="LS298" s="66"/>
      <c r="LT298" s="66"/>
      <c r="LU298" s="66"/>
      <c r="LV298" s="66"/>
      <c r="LW298" s="66"/>
      <c r="LX298" s="66"/>
      <c r="LY298" s="66"/>
      <c r="LZ298" s="66"/>
      <c r="MA298" s="66"/>
      <c r="MB298" s="66"/>
      <c r="MC298" s="66"/>
      <c r="MD298" s="66"/>
      <c r="ME298" s="66"/>
      <c r="MF298" s="66"/>
      <c r="MG298" s="66"/>
      <c r="MH298" s="66"/>
      <c r="MI298" s="66"/>
      <c r="MJ298" s="66"/>
      <c r="MK298" s="66"/>
      <c r="ML298" s="66"/>
      <c r="MM298" s="66"/>
      <c r="MN298" s="66"/>
      <c r="MO298" s="66"/>
      <c r="MP298" s="66"/>
      <c r="MQ298" s="66"/>
      <c r="MR298" s="66"/>
      <c r="MS298" s="66"/>
      <c r="MT298" s="66"/>
      <c r="MU298" s="66"/>
      <c r="MV298" s="66"/>
      <c r="MW298" s="66"/>
      <c r="MX298" s="66"/>
      <c r="MY298" s="66"/>
      <c r="MZ298" s="66"/>
      <c r="NA298" s="66"/>
      <c r="NB298" s="66"/>
      <c r="NC298" s="66"/>
      <c r="ND298" s="66"/>
      <c r="NE298" s="66"/>
      <c r="NF298" s="66"/>
      <c r="NG298" s="66"/>
      <c r="NH298" s="66"/>
      <c r="NI298" s="66"/>
      <c r="NJ298" s="66"/>
      <c r="NK298" s="66"/>
      <c r="NL298" s="66"/>
      <c r="NM298" s="66"/>
      <c r="NN298" s="66"/>
      <c r="NO298" s="66"/>
      <c r="NP298" s="66"/>
      <c r="NQ298" s="66"/>
      <c r="NR298" s="66"/>
      <c r="NS298" s="66"/>
      <c r="NT298" s="66"/>
      <c r="NU298" s="66"/>
      <c r="NV298" s="66"/>
      <c r="NW298" s="66"/>
      <c r="NX298" s="66"/>
      <c r="NY298" s="66"/>
      <c r="NZ298" s="66"/>
      <c r="OA298" s="66"/>
      <c r="OB298" s="66"/>
      <c r="OC298" s="66"/>
      <c r="OD298" s="66"/>
      <c r="OE298" s="66"/>
      <c r="OF298" s="66"/>
      <c r="OG298" s="66"/>
      <c r="OH298" s="66"/>
      <c r="OI298" s="66"/>
      <c r="OJ298" s="66"/>
      <c r="OK298" s="66"/>
      <c r="OL298" s="66"/>
      <c r="OM298" s="66"/>
      <c r="ON298" s="66"/>
      <c r="OO298" s="66"/>
      <c r="OP298" s="66"/>
      <c r="OQ298" s="66"/>
      <c r="OR298" s="66"/>
      <c r="OS298" s="66"/>
      <c r="OT298" s="66"/>
      <c r="OU298" s="66"/>
      <c r="OV298" s="66"/>
      <c r="OW298" s="66"/>
      <c r="OX298" s="66"/>
      <c r="OY298" s="66"/>
      <c r="OZ298" s="66"/>
      <c r="PA298" s="66"/>
      <c r="PB298" s="66"/>
      <c r="PC298" s="66"/>
      <c r="PD298" s="66"/>
      <c r="PE298" s="66"/>
      <c r="PF298" s="66"/>
      <c r="PG298" s="66"/>
      <c r="PH298" s="66"/>
      <c r="PI298" s="66"/>
      <c r="PJ298" s="66"/>
      <c r="PK298" s="66"/>
      <c r="PL298" s="66"/>
      <c r="PM298" s="66"/>
      <c r="PN298" s="66"/>
      <c r="PO298" s="66"/>
      <c r="PP298" s="66"/>
      <c r="PQ298" s="66"/>
      <c r="PR298" s="66"/>
      <c r="PS298" s="66"/>
      <c r="PT298" s="66"/>
      <c r="PU298" s="66"/>
      <c r="PV298" s="66"/>
      <c r="PW298" s="66"/>
      <c r="PX298" s="66"/>
      <c r="PY298" s="66"/>
      <c r="PZ298" s="66"/>
      <c r="QA298" s="66"/>
      <c r="QB298" s="66"/>
      <c r="QC298" s="66"/>
      <c r="QD298" s="66"/>
      <c r="QE298" s="66"/>
      <c r="QF298" s="66"/>
      <c r="QG298" s="66"/>
      <c r="QH298" s="66"/>
      <c r="QI298" s="66"/>
      <c r="QJ298" s="66"/>
      <c r="QK298" s="66"/>
      <c r="QL298" s="66"/>
      <c r="QM298" s="66"/>
      <c r="QN298" s="66"/>
      <c r="QO298" s="66"/>
      <c r="QP298" s="66"/>
      <c r="QQ298" s="66"/>
      <c r="QR298" s="66"/>
      <c r="QS298" s="66"/>
      <c r="QT298" s="66"/>
      <c r="QU298" s="66"/>
      <c r="QV298" s="66"/>
      <c r="QW298" s="66"/>
      <c r="QX298" s="66"/>
      <c r="QY298" s="66"/>
      <c r="QZ298" s="66"/>
      <c r="RA298" s="66"/>
      <c r="RB298" s="66"/>
      <c r="RC298" s="66"/>
      <c r="RD298" s="4"/>
    </row>
    <row r="299" spans="9:472" x14ac:dyDescent="0.25">
      <c r="I299" s="66"/>
      <c r="J299" s="66"/>
      <c r="K299" s="66"/>
      <c r="L299" s="66"/>
      <c r="M299" s="66"/>
      <c r="N299" s="66"/>
      <c r="O299" s="66"/>
      <c r="P299" s="66"/>
      <c r="Q299" s="66"/>
      <c r="R299" s="66"/>
      <c r="S299" s="66"/>
      <c r="T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c r="CY299" s="66"/>
      <c r="CZ299" s="66"/>
      <c r="DA299" s="66"/>
      <c r="DB299" s="66"/>
      <c r="DC299" s="66"/>
      <c r="DD299" s="66"/>
      <c r="DE299" s="66"/>
      <c r="DF299" s="66"/>
      <c r="DG299" s="66"/>
      <c r="DH299" s="66"/>
      <c r="DI299" s="66"/>
      <c r="DJ299" s="66"/>
      <c r="DK299" s="66"/>
      <c r="DL299" s="66"/>
      <c r="DM299" s="66"/>
      <c r="DN299" s="66"/>
      <c r="DO299" s="66"/>
      <c r="DP299" s="66"/>
      <c r="DQ299" s="66"/>
      <c r="DR299" s="66"/>
      <c r="DS299" s="66"/>
      <c r="DT299" s="66"/>
      <c r="DU299" s="66"/>
      <c r="DV299" s="66"/>
      <c r="DW299" s="66"/>
      <c r="DX299" s="66"/>
      <c r="DY299" s="66"/>
      <c r="DZ299" s="66"/>
      <c r="EA299" s="66"/>
      <c r="EB299" s="66"/>
      <c r="EC299" s="66"/>
      <c r="ED299" s="66"/>
      <c r="EE299" s="66"/>
      <c r="EF299" s="66"/>
      <c r="EG299" s="66"/>
      <c r="EH299" s="66"/>
      <c r="EI299" s="66"/>
      <c r="EJ299" s="66"/>
      <c r="EK299" s="66"/>
      <c r="EL299" s="66"/>
      <c r="EM299" s="66"/>
      <c r="EN299" s="66"/>
      <c r="EO299" s="66"/>
      <c r="EP299" s="66"/>
      <c r="EQ299" s="66"/>
      <c r="ER299" s="66"/>
      <c r="ES299" s="66"/>
      <c r="ET299" s="66"/>
      <c r="EU299" s="66"/>
      <c r="EV299" s="66"/>
      <c r="EW299" s="66"/>
      <c r="EX299" s="66"/>
      <c r="EY299" s="66"/>
      <c r="EZ299" s="66"/>
      <c r="FA299" s="66"/>
      <c r="FB299" s="66"/>
      <c r="FC299" s="66"/>
      <c r="FD299" s="66"/>
      <c r="FE299" s="66"/>
      <c r="FF299" s="66"/>
      <c r="FG299" s="66"/>
      <c r="FH299" s="66"/>
      <c r="FI299" s="66"/>
      <c r="FJ299" s="66"/>
      <c r="FK299" s="66"/>
      <c r="FL299" s="66"/>
      <c r="FM299" s="66"/>
      <c r="FN299" s="66"/>
      <c r="FO299" s="66"/>
      <c r="FP299" s="66"/>
      <c r="FQ299" s="66"/>
      <c r="FR299" s="66"/>
      <c r="FS299" s="66"/>
      <c r="FT299" s="66"/>
      <c r="FU299" s="66"/>
      <c r="FV299" s="66"/>
      <c r="FW299" s="66"/>
      <c r="FX299" s="66"/>
      <c r="FY299" s="66"/>
      <c r="FZ299" s="66"/>
      <c r="GA299" s="66"/>
      <c r="GB299" s="66"/>
      <c r="GC299" s="66"/>
      <c r="GD299" s="66"/>
      <c r="GE299" s="66"/>
      <c r="GF299" s="66"/>
      <c r="GG299" s="66"/>
      <c r="GH299" s="66"/>
      <c r="GI299" s="66"/>
      <c r="GJ299" s="66"/>
      <c r="GK299" s="66"/>
      <c r="GL299" s="66"/>
      <c r="GM299" s="66"/>
      <c r="GN299" s="66"/>
      <c r="GO299" s="66"/>
      <c r="GP299" s="66"/>
      <c r="GQ299" s="66"/>
      <c r="GR299" s="66"/>
      <c r="GS299" s="66"/>
      <c r="GT299" s="66"/>
      <c r="GU299" s="66"/>
      <c r="GV299" s="66"/>
      <c r="GW299" s="66"/>
      <c r="GX299" s="66"/>
      <c r="GY299" s="66"/>
      <c r="GZ299" s="66"/>
      <c r="HA299" s="66"/>
      <c r="HB299" s="66"/>
      <c r="HC299" s="66"/>
      <c r="HD299" s="66"/>
      <c r="HE299" s="66"/>
      <c r="HF299" s="66"/>
      <c r="HG299" s="66"/>
      <c r="HH299" s="66"/>
      <c r="HI299" s="66"/>
      <c r="HJ299" s="66"/>
      <c r="HK299" s="66"/>
      <c r="HL299" s="66"/>
      <c r="HM299" s="66"/>
      <c r="HN299" s="66"/>
      <c r="HO299" s="66"/>
      <c r="HP299" s="66"/>
      <c r="HQ299" s="66"/>
      <c r="HR299" s="66"/>
      <c r="HS299" s="66"/>
      <c r="HT299" s="66"/>
      <c r="HU299" s="66"/>
      <c r="HV299" s="66"/>
      <c r="HW299" s="66"/>
      <c r="HX299" s="66"/>
      <c r="HY299" s="66"/>
      <c r="HZ299" s="66"/>
      <c r="IA299" s="66"/>
      <c r="IB299" s="66"/>
      <c r="IC299" s="66"/>
      <c r="ID299" s="66"/>
      <c r="IE299" s="66"/>
      <c r="IF299" s="66"/>
      <c r="IG299" s="66"/>
      <c r="IH299" s="66"/>
      <c r="II299" s="66"/>
      <c r="IJ299" s="66"/>
      <c r="IK299" s="66"/>
      <c r="IL299" s="66"/>
      <c r="IM299" s="66"/>
      <c r="IN299" s="66"/>
      <c r="IO299" s="66"/>
      <c r="IP299" s="66"/>
      <c r="IQ299" s="66"/>
      <c r="IR299" s="66"/>
      <c r="IS299" s="66"/>
      <c r="IT299" s="66"/>
      <c r="IU299" s="66"/>
      <c r="IV299" s="66"/>
      <c r="IW299" s="66"/>
      <c r="IX299" s="66"/>
      <c r="IY299" s="66"/>
      <c r="IZ299" s="66"/>
      <c r="JA299" s="66"/>
      <c r="JB299" s="66"/>
      <c r="JC299" s="66"/>
      <c r="JD299" s="66"/>
      <c r="JE299" s="66"/>
      <c r="JF299" s="66"/>
      <c r="JG299" s="66"/>
      <c r="JH299" s="66"/>
      <c r="JI299" s="66"/>
      <c r="JJ299" s="66"/>
      <c r="JK299" s="66"/>
      <c r="JL299" s="66"/>
      <c r="JM299" s="66"/>
      <c r="JN299" s="66"/>
      <c r="JO299" s="66"/>
      <c r="JP299" s="66"/>
      <c r="JQ299" s="66"/>
      <c r="JR299" s="66"/>
      <c r="JS299" s="66"/>
      <c r="JT299" s="66"/>
      <c r="JU299" s="66"/>
      <c r="JV299" s="66"/>
      <c r="JW299" s="66"/>
      <c r="JX299" s="66"/>
      <c r="JY299" s="66"/>
      <c r="JZ299" s="66"/>
      <c r="KA299" s="66"/>
      <c r="KB299" s="66"/>
      <c r="KC299" s="66"/>
      <c r="KD299" s="66"/>
      <c r="KE299" s="66"/>
      <c r="KF299" s="66"/>
      <c r="KG299" s="66"/>
      <c r="KH299" s="66"/>
      <c r="KI299" s="66"/>
      <c r="KJ299" s="66"/>
      <c r="KK299" s="66"/>
      <c r="KL299" s="66"/>
      <c r="KM299" s="66"/>
      <c r="KN299" s="66"/>
      <c r="KO299" s="66"/>
      <c r="KP299" s="66"/>
      <c r="KQ299" s="66"/>
      <c r="KR299" s="66"/>
      <c r="KS299" s="66"/>
      <c r="KT299" s="66"/>
      <c r="KU299" s="66"/>
      <c r="KV299" s="66"/>
      <c r="KW299" s="66"/>
      <c r="KX299" s="66"/>
      <c r="KY299" s="66"/>
      <c r="KZ299" s="66"/>
      <c r="LA299" s="66"/>
      <c r="LB299" s="66"/>
      <c r="LC299" s="66"/>
      <c r="LD299" s="66"/>
      <c r="LE299" s="66"/>
      <c r="LF299" s="66"/>
      <c r="LG299" s="66"/>
      <c r="LH299" s="66"/>
      <c r="LI299" s="66"/>
      <c r="LJ299" s="66"/>
      <c r="LK299" s="66"/>
      <c r="LL299" s="66"/>
      <c r="LM299" s="66"/>
      <c r="LN299" s="66"/>
      <c r="LO299" s="66"/>
      <c r="LP299" s="66"/>
      <c r="LQ299" s="66"/>
      <c r="LR299" s="66"/>
      <c r="LS299" s="66"/>
      <c r="LT299" s="66"/>
      <c r="LU299" s="66"/>
      <c r="LV299" s="66"/>
      <c r="LW299" s="66"/>
      <c r="LX299" s="66"/>
      <c r="LY299" s="66"/>
      <c r="LZ299" s="66"/>
      <c r="MA299" s="66"/>
      <c r="MB299" s="66"/>
      <c r="MC299" s="66"/>
      <c r="MD299" s="66"/>
      <c r="ME299" s="66"/>
      <c r="MF299" s="66"/>
      <c r="MG299" s="66"/>
      <c r="MH299" s="66"/>
      <c r="MI299" s="66"/>
      <c r="MJ299" s="66"/>
      <c r="MK299" s="66"/>
      <c r="ML299" s="66"/>
      <c r="MM299" s="66"/>
      <c r="MN299" s="66"/>
      <c r="MO299" s="66"/>
      <c r="MP299" s="66"/>
      <c r="MQ299" s="66"/>
      <c r="MR299" s="66"/>
      <c r="MS299" s="66"/>
      <c r="MT299" s="66"/>
      <c r="MU299" s="66"/>
      <c r="MV299" s="66"/>
      <c r="MW299" s="66"/>
      <c r="MX299" s="66"/>
      <c r="MY299" s="66"/>
      <c r="MZ299" s="66"/>
      <c r="NA299" s="66"/>
      <c r="NB299" s="66"/>
      <c r="NC299" s="66"/>
      <c r="ND299" s="66"/>
      <c r="NE299" s="66"/>
      <c r="NF299" s="66"/>
      <c r="NG299" s="66"/>
      <c r="NH299" s="66"/>
      <c r="NI299" s="66"/>
      <c r="NJ299" s="66"/>
      <c r="NK299" s="66"/>
      <c r="NL299" s="66"/>
      <c r="NM299" s="66"/>
      <c r="NN299" s="66"/>
      <c r="NO299" s="66"/>
      <c r="NP299" s="66"/>
      <c r="NQ299" s="66"/>
      <c r="NR299" s="66"/>
      <c r="NS299" s="66"/>
      <c r="NT299" s="66"/>
      <c r="NU299" s="66"/>
      <c r="NV299" s="66"/>
      <c r="NW299" s="66"/>
      <c r="NX299" s="66"/>
      <c r="NY299" s="66"/>
      <c r="NZ299" s="66"/>
      <c r="OA299" s="66"/>
      <c r="OB299" s="66"/>
      <c r="OC299" s="66"/>
      <c r="OD299" s="66"/>
      <c r="OE299" s="66"/>
      <c r="OF299" s="66"/>
      <c r="OG299" s="66"/>
      <c r="OH299" s="66"/>
      <c r="OI299" s="66"/>
      <c r="OJ299" s="66"/>
      <c r="OK299" s="66"/>
      <c r="OL299" s="66"/>
      <c r="OM299" s="66"/>
      <c r="ON299" s="66"/>
      <c r="OO299" s="66"/>
      <c r="OP299" s="66"/>
      <c r="OQ299" s="66"/>
      <c r="OR299" s="66"/>
      <c r="OS299" s="66"/>
      <c r="OT299" s="66"/>
      <c r="OU299" s="66"/>
      <c r="OV299" s="66"/>
      <c r="OW299" s="66"/>
      <c r="OX299" s="66"/>
      <c r="OY299" s="66"/>
      <c r="OZ299" s="66"/>
      <c r="PA299" s="66"/>
      <c r="PB299" s="66"/>
      <c r="PC299" s="66"/>
      <c r="PD299" s="66"/>
      <c r="PE299" s="66"/>
      <c r="PF299" s="66"/>
      <c r="PG299" s="66"/>
      <c r="PH299" s="66"/>
      <c r="PI299" s="66"/>
      <c r="PJ299" s="66"/>
      <c r="PK299" s="66"/>
      <c r="PL299" s="66"/>
      <c r="PM299" s="66"/>
      <c r="PN299" s="66"/>
      <c r="PO299" s="66"/>
      <c r="PP299" s="66"/>
      <c r="PQ299" s="66"/>
      <c r="PR299" s="66"/>
      <c r="PS299" s="66"/>
      <c r="PT299" s="66"/>
      <c r="PU299" s="66"/>
      <c r="PV299" s="66"/>
      <c r="PW299" s="66"/>
      <c r="PX299" s="66"/>
      <c r="PY299" s="66"/>
      <c r="PZ299" s="66"/>
      <c r="QA299" s="66"/>
      <c r="QB299" s="66"/>
      <c r="QC299" s="66"/>
      <c r="QD299" s="66"/>
      <c r="QE299" s="66"/>
      <c r="QF299" s="66"/>
      <c r="QG299" s="66"/>
      <c r="QH299" s="66"/>
      <c r="QI299" s="66"/>
      <c r="QJ299" s="66"/>
      <c r="QK299" s="66"/>
      <c r="QL299" s="66"/>
      <c r="QM299" s="66"/>
      <c r="QN299" s="66"/>
      <c r="QO299" s="66"/>
      <c r="QP299" s="66"/>
      <c r="QQ299" s="66"/>
      <c r="QR299" s="66"/>
      <c r="QS299" s="66"/>
      <c r="QT299" s="66"/>
      <c r="QU299" s="66"/>
      <c r="QV299" s="66"/>
      <c r="QW299" s="66"/>
      <c r="QX299" s="66"/>
      <c r="QY299" s="66"/>
      <c r="QZ299" s="66"/>
      <c r="RA299" s="66"/>
      <c r="RB299" s="66"/>
      <c r="RC299" s="66"/>
      <c r="RD299" s="4"/>
    </row>
    <row r="300" spans="9:472" x14ac:dyDescent="0.25">
      <c r="I300" s="66"/>
      <c r="J300" s="66"/>
      <c r="K300" s="66"/>
      <c r="L300" s="66"/>
      <c r="M300" s="66"/>
      <c r="N300" s="66"/>
      <c r="O300" s="66"/>
      <c r="P300" s="66"/>
      <c r="Q300" s="66"/>
      <c r="R300" s="66"/>
      <c r="S300" s="66"/>
      <c r="T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c r="CY300" s="66"/>
      <c r="CZ300" s="66"/>
      <c r="DA300" s="66"/>
      <c r="DB300" s="66"/>
      <c r="DC300" s="66"/>
      <c r="DD300" s="66"/>
      <c r="DE300" s="66"/>
      <c r="DF300" s="66"/>
      <c r="DG300" s="66"/>
      <c r="DH300" s="66"/>
      <c r="DI300" s="66"/>
      <c r="DJ300" s="66"/>
      <c r="DK300" s="66"/>
      <c r="DL300" s="66"/>
      <c r="DM300" s="66"/>
      <c r="DN300" s="66"/>
      <c r="DO300" s="66"/>
      <c r="DP300" s="66"/>
      <c r="DQ300" s="66"/>
      <c r="DR300" s="66"/>
      <c r="DS300" s="66"/>
      <c r="DT300" s="66"/>
      <c r="DU300" s="66"/>
      <c r="DV300" s="66"/>
      <c r="DW300" s="66"/>
      <c r="DX300" s="66"/>
      <c r="DY300" s="66"/>
      <c r="DZ300" s="66"/>
      <c r="EA300" s="66"/>
      <c r="EB300" s="66"/>
      <c r="EC300" s="66"/>
      <c r="ED300" s="66"/>
      <c r="EE300" s="66"/>
      <c r="EF300" s="66"/>
      <c r="EG300" s="66"/>
      <c r="EH300" s="66"/>
      <c r="EI300" s="66"/>
      <c r="EJ300" s="66"/>
      <c r="EK300" s="66"/>
      <c r="EL300" s="66"/>
      <c r="EM300" s="66"/>
      <c r="EN300" s="66"/>
      <c r="EO300" s="66"/>
      <c r="EP300" s="66"/>
      <c r="EQ300" s="66"/>
      <c r="ER300" s="66"/>
      <c r="ES300" s="66"/>
      <c r="ET300" s="66"/>
      <c r="EU300" s="66"/>
      <c r="EV300" s="66"/>
      <c r="EW300" s="66"/>
      <c r="EX300" s="66"/>
      <c r="EY300" s="66"/>
      <c r="EZ300" s="66"/>
      <c r="FA300" s="66"/>
      <c r="FB300" s="66"/>
      <c r="FC300" s="66"/>
      <c r="FD300" s="66"/>
      <c r="FE300" s="66"/>
      <c r="FF300" s="66"/>
      <c r="FG300" s="66"/>
      <c r="FH300" s="66"/>
      <c r="FI300" s="66"/>
      <c r="FJ300" s="66"/>
      <c r="FK300" s="66"/>
      <c r="FL300" s="66"/>
      <c r="FM300" s="66"/>
      <c r="FN300" s="66"/>
      <c r="FO300" s="66"/>
      <c r="FP300" s="66"/>
      <c r="FQ300" s="66"/>
      <c r="FR300" s="66"/>
      <c r="FS300" s="66"/>
      <c r="FT300" s="66"/>
      <c r="FU300" s="66"/>
      <c r="FV300" s="66"/>
      <c r="FW300" s="66"/>
      <c r="FX300" s="66"/>
      <c r="FY300" s="66"/>
      <c r="FZ300" s="66"/>
      <c r="GA300" s="66"/>
      <c r="GB300" s="66"/>
      <c r="GC300" s="66"/>
      <c r="GD300" s="66"/>
      <c r="GE300" s="66"/>
      <c r="GF300" s="66"/>
      <c r="GG300" s="66"/>
      <c r="GH300" s="66"/>
      <c r="GI300" s="66"/>
      <c r="GJ300" s="66"/>
      <c r="GK300" s="66"/>
      <c r="GL300" s="66"/>
      <c r="GM300" s="66"/>
      <c r="GN300" s="66"/>
      <c r="GO300" s="66"/>
      <c r="GP300" s="66"/>
      <c r="GQ300" s="66"/>
      <c r="GR300" s="66"/>
      <c r="GS300" s="66"/>
      <c r="GT300" s="66"/>
      <c r="GU300" s="66"/>
      <c r="GV300" s="66"/>
      <c r="GW300" s="66"/>
      <c r="GX300" s="66"/>
      <c r="GY300" s="66"/>
      <c r="GZ300" s="66"/>
      <c r="HA300" s="66"/>
      <c r="HB300" s="66"/>
      <c r="HC300" s="66"/>
      <c r="HD300" s="66"/>
      <c r="HE300" s="66"/>
      <c r="HF300" s="66"/>
      <c r="HG300" s="66"/>
      <c r="HH300" s="66"/>
      <c r="HI300" s="66"/>
      <c r="HJ300" s="66"/>
      <c r="HK300" s="66"/>
      <c r="HL300" s="66"/>
      <c r="HM300" s="66"/>
      <c r="HN300" s="66"/>
      <c r="HO300" s="66"/>
      <c r="HP300" s="66"/>
      <c r="HQ300" s="66"/>
      <c r="HR300" s="66"/>
      <c r="HS300" s="66"/>
      <c r="HT300" s="66"/>
      <c r="HU300" s="66"/>
      <c r="HV300" s="66"/>
      <c r="HW300" s="66"/>
      <c r="HX300" s="66"/>
      <c r="HY300" s="66"/>
      <c r="HZ300" s="66"/>
      <c r="IA300" s="66"/>
      <c r="IB300" s="66"/>
      <c r="IC300" s="66"/>
      <c r="ID300" s="66"/>
      <c r="IE300" s="66"/>
      <c r="IF300" s="66"/>
      <c r="IG300" s="66"/>
      <c r="IH300" s="66"/>
      <c r="II300" s="66"/>
      <c r="IJ300" s="66"/>
      <c r="IK300" s="66"/>
      <c r="IL300" s="66"/>
      <c r="IM300" s="66"/>
      <c r="IN300" s="66"/>
      <c r="IO300" s="66"/>
      <c r="IP300" s="66"/>
      <c r="IQ300" s="66"/>
      <c r="IR300" s="66"/>
      <c r="IS300" s="66"/>
      <c r="IT300" s="66"/>
      <c r="IU300" s="66"/>
      <c r="IV300" s="66"/>
      <c r="IW300" s="66"/>
      <c r="IX300" s="66"/>
      <c r="IY300" s="66"/>
      <c r="IZ300" s="66"/>
      <c r="JA300" s="66"/>
      <c r="JB300" s="66"/>
      <c r="JC300" s="66"/>
      <c r="JD300" s="66"/>
      <c r="JE300" s="66"/>
      <c r="JF300" s="66"/>
      <c r="JG300" s="66"/>
      <c r="JH300" s="66"/>
      <c r="JI300" s="66"/>
      <c r="JJ300" s="66"/>
      <c r="JK300" s="66"/>
      <c r="JL300" s="66"/>
      <c r="JM300" s="66"/>
      <c r="JN300" s="66"/>
      <c r="JO300" s="66"/>
      <c r="JP300" s="66"/>
      <c r="JQ300" s="66"/>
      <c r="JR300" s="66"/>
      <c r="JS300" s="66"/>
      <c r="JT300" s="66"/>
      <c r="JU300" s="66"/>
      <c r="JV300" s="66"/>
      <c r="JW300" s="66"/>
      <c r="JX300" s="66"/>
      <c r="JY300" s="66"/>
      <c r="JZ300" s="66"/>
      <c r="KA300" s="66"/>
      <c r="KB300" s="66"/>
      <c r="KC300" s="66"/>
      <c r="KD300" s="66"/>
      <c r="KE300" s="66"/>
      <c r="KF300" s="66"/>
      <c r="KG300" s="66"/>
      <c r="KH300" s="66"/>
      <c r="KI300" s="66"/>
      <c r="KJ300" s="66"/>
      <c r="KK300" s="66"/>
      <c r="KL300" s="66"/>
      <c r="KM300" s="66"/>
      <c r="KN300" s="66"/>
      <c r="KO300" s="66"/>
      <c r="KP300" s="66"/>
      <c r="KQ300" s="66"/>
      <c r="KR300" s="66"/>
      <c r="KS300" s="66"/>
      <c r="KT300" s="66"/>
      <c r="KU300" s="66"/>
      <c r="KV300" s="66"/>
      <c r="KW300" s="66"/>
      <c r="KX300" s="66"/>
      <c r="KY300" s="66"/>
      <c r="KZ300" s="66"/>
      <c r="LA300" s="66"/>
      <c r="LB300" s="66"/>
      <c r="LC300" s="66"/>
      <c r="LD300" s="66"/>
      <c r="LE300" s="66"/>
      <c r="LF300" s="66"/>
      <c r="LG300" s="66"/>
      <c r="LH300" s="66"/>
      <c r="LI300" s="66"/>
      <c r="LJ300" s="66"/>
      <c r="LK300" s="66"/>
      <c r="LL300" s="66"/>
      <c r="LM300" s="66"/>
      <c r="LN300" s="66"/>
      <c r="LO300" s="66"/>
      <c r="LP300" s="66"/>
      <c r="LQ300" s="66"/>
      <c r="LR300" s="66"/>
      <c r="LS300" s="66"/>
      <c r="LT300" s="66"/>
      <c r="LU300" s="66"/>
      <c r="LV300" s="66"/>
      <c r="LW300" s="66"/>
      <c r="LX300" s="66"/>
      <c r="LY300" s="66"/>
      <c r="LZ300" s="66"/>
      <c r="MA300" s="66"/>
      <c r="MB300" s="66"/>
      <c r="MC300" s="66"/>
      <c r="MD300" s="66"/>
      <c r="ME300" s="66"/>
      <c r="MF300" s="66"/>
      <c r="MG300" s="66"/>
      <c r="MH300" s="66"/>
      <c r="MI300" s="66"/>
      <c r="MJ300" s="66"/>
      <c r="MK300" s="66"/>
      <c r="ML300" s="66"/>
      <c r="MM300" s="66"/>
      <c r="MN300" s="66"/>
      <c r="MO300" s="66"/>
      <c r="MP300" s="66"/>
      <c r="MQ300" s="66"/>
      <c r="MR300" s="66"/>
      <c r="MS300" s="66"/>
      <c r="MT300" s="66"/>
      <c r="MU300" s="66"/>
      <c r="MV300" s="66"/>
      <c r="MW300" s="66"/>
      <c r="MX300" s="66"/>
      <c r="MY300" s="66"/>
      <c r="MZ300" s="66"/>
      <c r="NA300" s="66"/>
      <c r="NB300" s="66"/>
      <c r="NC300" s="66"/>
      <c r="ND300" s="66"/>
      <c r="NE300" s="66"/>
      <c r="NF300" s="66"/>
      <c r="NG300" s="66"/>
      <c r="NH300" s="66"/>
      <c r="NI300" s="66"/>
      <c r="NJ300" s="66"/>
      <c r="NK300" s="66"/>
      <c r="NL300" s="66"/>
      <c r="NM300" s="66"/>
      <c r="NN300" s="66"/>
      <c r="NO300" s="66"/>
      <c r="NP300" s="66"/>
      <c r="NQ300" s="66"/>
      <c r="NR300" s="66"/>
      <c r="NS300" s="66"/>
      <c r="NT300" s="66"/>
      <c r="NU300" s="66"/>
      <c r="NV300" s="66"/>
      <c r="NW300" s="66"/>
      <c r="NX300" s="66"/>
      <c r="NY300" s="66"/>
      <c r="NZ300" s="66"/>
      <c r="OA300" s="66"/>
      <c r="OB300" s="66"/>
      <c r="OC300" s="66"/>
      <c r="OD300" s="66"/>
      <c r="OE300" s="66"/>
      <c r="OF300" s="66"/>
      <c r="OG300" s="66"/>
      <c r="OH300" s="66"/>
      <c r="OI300" s="66"/>
      <c r="OJ300" s="66"/>
      <c r="OK300" s="66"/>
      <c r="OL300" s="66"/>
      <c r="OM300" s="66"/>
      <c r="ON300" s="66"/>
      <c r="OO300" s="66"/>
      <c r="OP300" s="66"/>
      <c r="OQ300" s="66"/>
      <c r="OR300" s="66"/>
      <c r="OS300" s="66"/>
      <c r="OT300" s="66"/>
      <c r="OU300" s="66"/>
      <c r="OV300" s="66"/>
      <c r="OW300" s="66"/>
      <c r="OX300" s="66"/>
      <c r="OY300" s="66"/>
      <c r="OZ300" s="66"/>
      <c r="PA300" s="66"/>
      <c r="PB300" s="66"/>
      <c r="PC300" s="66"/>
      <c r="PD300" s="66"/>
      <c r="PE300" s="66"/>
      <c r="PF300" s="66"/>
      <c r="PG300" s="66"/>
      <c r="PH300" s="66"/>
      <c r="PI300" s="66"/>
      <c r="PJ300" s="66"/>
      <c r="PK300" s="66"/>
      <c r="PL300" s="66"/>
      <c r="PM300" s="66"/>
      <c r="PN300" s="66"/>
      <c r="PO300" s="66"/>
      <c r="PP300" s="66"/>
      <c r="PQ300" s="66"/>
      <c r="PR300" s="66"/>
      <c r="PS300" s="66"/>
      <c r="PT300" s="66"/>
      <c r="PU300" s="66"/>
      <c r="PV300" s="66"/>
      <c r="PW300" s="66"/>
      <c r="PX300" s="66"/>
      <c r="PY300" s="66"/>
      <c r="PZ300" s="66"/>
      <c r="QA300" s="66"/>
      <c r="QB300" s="66"/>
      <c r="QC300" s="66"/>
      <c r="QD300" s="66"/>
      <c r="QE300" s="66"/>
      <c r="QF300" s="66"/>
      <c r="QG300" s="66"/>
      <c r="QH300" s="66"/>
      <c r="QI300" s="66"/>
      <c r="QJ300" s="66"/>
      <c r="QK300" s="66"/>
      <c r="QL300" s="66"/>
      <c r="QM300" s="66"/>
      <c r="QN300" s="66"/>
      <c r="QO300" s="66"/>
      <c r="QP300" s="66"/>
      <c r="QQ300" s="66"/>
      <c r="QR300" s="66"/>
      <c r="QS300" s="66"/>
      <c r="QT300" s="66"/>
      <c r="QU300" s="66"/>
      <c r="QV300" s="66"/>
      <c r="QW300" s="66"/>
      <c r="QX300" s="66"/>
      <c r="QY300" s="66"/>
      <c r="QZ300" s="66"/>
      <c r="RA300" s="66"/>
      <c r="RB300" s="66"/>
      <c r="RC300" s="66"/>
      <c r="RD300" s="4"/>
    </row>
    <row r="301" spans="9:472" x14ac:dyDescent="0.25">
      <c r="I301" s="66"/>
      <c r="J301" s="66"/>
      <c r="K301" s="66"/>
      <c r="L301" s="66"/>
      <c r="M301" s="66"/>
      <c r="N301" s="66"/>
      <c r="O301" s="66"/>
      <c r="P301" s="66"/>
      <c r="Q301" s="66"/>
      <c r="R301" s="66"/>
      <c r="S301" s="66"/>
      <c r="T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c r="CY301" s="66"/>
      <c r="CZ301" s="66"/>
      <c r="DA301" s="66"/>
      <c r="DB301" s="66"/>
      <c r="DC301" s="66"/>
      <c r="DD301" s="66"/>
      <c r="DE301" s="66"/>
      <c r="DF301" s="66"/>
      <c r="DG301" s="66"/>
      <c r="DH301" s="66"/>
      <c r="DI301" s="66"/>
      <c r="DJ301" s="66"/>
      <c r="DK301" s="66"/>
      <c r="DL301" s="66"/>
      <c r="DM301" s="66"/>
      <c r="DN301" s="66"/>
      <c r="DO301" s="66"/>
      <c r="DP301" s="66"/>
      <c r="DQ301" s="66"/>
      <c r="DR301" s="66"/>
      <c r="DS301" s="66"/>
      <c r="DT301" s="66"/>
      <c r="DU301" s="66"/>
      <c r="DV301" s="66"/>
      <c r="DW301" s="66"/>
      <c r="DX301" s="66"/>
      <c r="DY301" s="66"/>
      <c r="DZ301" s="66"/>
      <c r="EA301" s="66"/>
      <c r="EB301" s="66"/>
      <c r="EC301" s="66"/>
      <c r="ED301" s="66"/>
      <c r="EE301" s="66"/>
      <c r="EF301" s="66"/>
      <c r="EG301" s="66"/>
      <c r="EH301" s="66"/>
      <c r="EI301" s="66"/>
      <c r="EJ301" s="66"/>
      <c r="EK301" s="66"/>
      <c r="EL301" s="66"/>
      <c r="EM301" s="66"/>
      <c r="EN301" s="66"/>
      <c r="EO301" s="66"/>
      <c r="EP301" s="66"/>
      <c r="EQ301" s="66"/>
      <c r="ER301" s="66"/>
      <c r="ES301" s="66"/>
      <c r="ET301" s="66"/>
      <c r="EU301" s="66"/>
      <c r="EV301" s="66"/>
      <c r="EW301" s="66"/>
      <c r="EX301" s="66"/>
      <c r="EY301" s="66"/>
      <c r="EZ301" s="66"/>
      <c r="FA301" s="66"/>
      <c r="FB301" s="66"/>
      <c r="FC301" s="66"/>
      <c r="FD301" s="66"/>
      <c r="FE301" s="66"/>
      <c r="FF301" s="66"/>
      <c r="FG301" s="66"/>
      <c r="FH301" s="66"/>
      <c r="FI301" s="66"/>
      <c r="FJ301" s="66"/>
      <c r="FK301" s="66"/>
      <c r="FL301" s="66"/>
      <c r="FM301" s="66"/>
      <c r="FN301" s="66"/>
      <c r="FO301" s="66"/>
      <c r="FP301" s="66"/>
      <c r="FQ301" s="66"/>
      <c r="FR301" s="66"/>
      <c r="FS301" s="66"/>
      <c r="FT301" s="66"/>
      <c r="FU301" s="66"/>
      <c r="FV301" s="66"/>
      <c r="FW301" s="66"/>
      <c r="FX301" s="66"/>
      <c r="FY301" s="66"/>
      <c r="FZ301" s="66"/>
      <c r="GA301" s="66"/>
      <c r="GB301" s="66"/>
      <c r="GC301" s="66"/>
      <c r="GD301" s="66"/>
      <c r="GE301" s="66"/>
      <c r="GF301" s="66"/>
      <c r="GG301" s="66"/>
      <c r="GH301" s="66"/>
      <c r="GI301" s="66"/>
      <c r="GJ301" s="66"/>
      <c r="GK301" s="66"/>
      <c r="GL301" s="66"/>
      <c r="GM301" s="66"/>
      <c r="GN301" s="66"/>
      <c r="GO301" s="66"/>
      <c r="GP301" s="66"/>
      <c r="GQ301" s="66"/>
      <c r="GR301" s="66"/>
      <c r="GS301" s="66"/>
      <c r="GT301" s="66"/>
      <c r="GU301" s="66"/>
      <c r="GV301" s="66"/>
      <c r="GW301" s="66"/>
      <c r="GX301" s="66"/>
      <c r="GY301" s="66"/>
      <c r="GZ301" s="66"/>
      <c r="HA301" s="66"/>
      <c r="HB301" s="66"/>
      <c r="HC301" s="66"/>
      <c r="HD301" s="66"/>
      <c r="HE301" s="66"/>
      <c r="HF301" s="66"/>
      <c r="HG301" s="66"/>
      <c r="HH301" s="66"/>
      <c r="HI301" s="66"/>
      <c r="HJ301" s="66"/>
      <c r="HK301" s="66"/>
      <c r="HL301" s="66"/>
      <c r="HM301" s="66"/>
      <c r="HN301" s="66"/>
      <c r="HO301" s="66"/>
      <c r="HP301" s="66"/>
      <c r="HQ301" s="66"/>
      <c r="HR301" s="66"/>
      <c r="HS301" s="66"/>
      <c r="HT301" s="66"/>
      <c r="HU301" s="66"/>
      <c r="HV301" s="66"/>
      <c r="HW301" s="66"/>
      <c r="HX301" s="66"/>
      <c r="HY301" s="66"/>
      <c r="HZ301" s="66"/>
      <c r="IA301" s="66"/>
      <c r="IB301" s="66"/>
      <c r="IC301" s="66"/>
      <c r="ID301" s="66"/>
      <c r="IE301" s="66"/>
      <c r="IF301" s="66"/>
      <c r="IG301" s="66"/>
      <c r="IH301" s="66"/>
      <c r="II301" s="66"/>
      <c r="IJ301" s="66"/>
      <c r="IK301" s="66"/>
      <c r="IL301" s="66"/>
      <c r="IM301" s="66"/>
      <c r="IN301" s="66"/>
      <c r="IO301" s="66"/>
      <c r="IP301" s="66"/>
      <c r="IQ301" s="66"/>
      <c r="IR301" s="66"/>
      <c r="IS301" s="66"/>
      <c r="IT301" s="66"/>
      <c r="IU301" s="66"/>
      <c r="IV301" s="66"/>
      <c r="IW301" s="66"/>
      <c r="IX301" s="66"/>
      <c r="IY301" s="66"/>
      <c r="IZ301" s="66"/>
      <c r="JA301" s="66"/>
      <c r="JB301" s="66"/>
      <c r="JC301" s="66"/>
      <c r="JD301" s="66"/>
      <c r="JE301" s="66"/>
      <c r="JF301" s="66"/>
      <c r="JG301" s="66"/>
      <c r="JH301" s="66"/>
      <c r="JI301" s="66"/>
      <c r="JJ301" s="66"/>
      <c r="JK301" s="66"/>
      <c r="JL301" s="66"/>
      <c r="JM301" s="66"/>
      <c r="JN301" s="66"/>
      <c r="JO301" s="66"/>
      <c r="JP301" s="66"/>
      <c r="JQ301" s="66"/>
      <c r="JR301" s="66"/>
      <c r="JS301" s="66"/>
      <c r="JT301" s="66"/>
      <c r="JU301" s="66"/>
      <c r="JV301" s="66"/>
      <c r="JW301" s="66"/>
      <c r="JX301" s="66"/>
      <c r="JY301" s="66"/>
      <c r="JZ301" s="66"/>
      <c r="KA301" s="66"/>
      <c r="KB301" s="66"/>
      <c r="KC301" s="66"/>
      <c r="KD301" s="66"/>
      <c r="KE301" s="66"/>
      <c r="KF301" s="66"/>
      <c r="KG301" s="66"/>
      <c r="KH301" s="66"/>
      <c r="KI301" s="66"/>
      <c r="KJ301" s="66"/>
      <c r="KK301" s="66"/>
      <c r="KL301" s="66"/>
      <c r="KM301" s="66"/>
      <c r="KN301" s="66"/>
      <c r="KO301" s="66"/>
      <c r="KP301" s="66"/>
      <c r="KQ301" s="66"/>
      <c r="KR301" s="66"/>
      <c r="KS301" s="66"/>
      <c r="KT301" s="66"/>
      <c r="KU301" s="66"/>
      <c r="KV301" s="66"/>
      <c r="KW301" s="66"/>
      <c r="KX301" s="66"/>
      <c r="KY301" s="66"/>
      <c r="KZ301" s="66"/>
      <c r="LA301" s="66"/>
      <c r="LB301" s="66"/>
      <c r="LC301" s="66"/>
      <c r="LD301" s="66"/>
      <c r="LE301" s="66"/>
      <c r="LF301" s="66"/>
      <c r="LG301" s="66"/>
      <c r="LH301" s="66"/>
      <c r="LI301" s="66"/>
      <c r="LJ301" s="66"/>
      <c r="LK301" s="66"/>
      <c r="LL301" s="66"/>
      <c r="LM301" s="66"/>
      <c r="LN301" s="66"/>
      <c r="LO301" s="66"/>
      <c r="LP301" s="66"/>
      <c r="LQ301" s="66"/>
      <c r="LR301" s="66"/>
      <c r="LS301" s="66"/>
      <c r="LT301" s="66"/>
      <c r="LU301" s="66"/>
      <c r="LV301" s="66"/>
      <c r="LW301" s="66"/>
      <c r="LX301" s="66"/>
      <c r="LY301" s="66"/>
      <c r="LZ301" s="66"/>
      <c r="MA301" s="66"/>
      <c r="MB301" s="66"/>
      <c r="MC301" s="66"/>
      <c r="MD301" s="66"/>
      <c r="ME301" s="66"/>
      <c r="MF301" s="66"/>
      <c r="MG301" s="66"/>
      <c r="MH301" s="66"/>
      <c r="MI301" s="66"/>
      <c r="MJ301" s="66"/>
      <c r="MK301" s="66"/>
      <c r="ML301" s="66"/>
      <c r="MM301" s="66"/>
      <c r="MN301" s="66"/>
      <c r="MO301" s="66"/>
      <c r="MP301" s="66"/>
      <c r="MQ301" s="66"/>
      <c r="MR301" s="66"/>
      <c r="MS301" s="66"/>
      <c r="MT301" s="66"/>
      <c r="MU301" s="66"/>
      <c r="MV301" s="66"/>
      <c r="MW301" s="66"/>
      <c r="MX301" s="66"/>
      <c r="MY301" s="66"/>
      <c r="MZ301" s="66"/>
      <c r="NA301" s="66"/>
      <c r="NB301" s="66"/>
      <c r="NC301" s="66"/>
      <c r="ND301" s="66"/>
      <c r="NE301" s="66"/>
      <c r="NF301" s="66"/>
      <c r="NG301" s="66"/>
      <c r="NH301" s="66"/>
      <c r="NI301" s="66"/>
      <c r="NJ301" s="66"/>
      <c r="NK301" s="66"/>
      <c r="NL301" s="66"/>
      <c r="NM301" s="66"/>
      <c r="NN301" s="66"/>
      <c r="NO301" s="66"/>
      <c r="NP301" s="66"/>
      <c r="NQ301" s="66"/>
      <c r="NR301" s="66"/>
      <c r="NS301" s="66"/>
      <c r="NT301" s="66"/>
      <c r="NU301" s="66"/>
      <c r="NV301" s="66"/>
      <c r="NW301" s="66"/>
      <c r="NX301" s="66"/>
      <c r="NY301" s="66"/>
      <c r="NZ301" s="66"/>
      <c r="OA301" s="66"/>
      <c r="OB301" s="66"/>
      <c r="OC301" s="66"/>
      <c r="OD301" s="66"/>
      <c r="OE301" s="66"/>
      <c r="OF301" s="66"/>
      <c r="OG301" s="66"/>
      <c r="OH301" s="66"/>
      <c r="OI301" s="66"/>
      <c r="OJ301" s="66"/>
      <c r="OK301" s="66"/>
      <c r="OL301" s="66"/>
      <c r="OM301" s="66"/>
      <c r="ON301" s="66"/>
      <c r="OO301" s="66"/>
      <c r="OP301" s="66"/>
      <c r="OQ301" s="66"/>
      <c r="OR301" s="66"/>
      <c r="OS301" s="66"/>
      <c r="OT301" s="66"/>
      <c r="OU301" s="66"/>
      <c r="OV301" s="66"/>
      <c r="OW301" s="66"/>
      <c r="OX301" s="66"/>
      <c r="OY301" s="66"/>
      <c r="OZ301" s="66"/>
      <c r="PA301" s="66"/>
      <c r="PB301" s="66"/>
      <c r="PC301" s="66"/>
      <c r="PD301" s="66"/>
      <c r="PE301" s="66"/>
      <c r="PF301" s="66"/>
      <c r="PG301" s="66"/>
      <c r="PH301" s="66"/>
      <c r="PI301" s="66"/>
      <c r="PJ301" s="66"/>
      <c r="PK301" s="66"/>
      <c r="PL301" s="66"/>
      <c r="PM301" s="66"/>
      <c r="PN301" s="66"/>
      <c r="PO301" s="66"/>
      <c r="PP301" s="66"/>
      <c r="PQ301" s="66"/>
      <c r="PR301" s="66"/>
      <c r="PS301" s="66"/>
      <c r="PT301" s="66"/>
      <c r="PU301" s="66"/>
      <c r="PV301" s="66"/>
      <c r="PW301" s="66"/>
      <c r="PX301" s="66"/>
      <c r="PY301" s="66"/>
      <c r="PZ301" s="66"/>
      <c r="QA301" s="66"/>
      <c r="QB301" s="66"/>
      <c r="QC301" s="66"/>
      <c r="QD301" s="66"/>
      <c r="QE301" s="66"/>
      <c r="QF301" s="66"/>
      <c r="QG301" s="66"/>
      <c r="QH301" s="66"/>
      <c r="QI301" s="66"/>
      <c r="QJ301" s="66"/>
      <c r="QK301" s="66"/>
      <c r="QL301" s="66"/>
      <c r="QM301" s="66"/>
      <c r="QN301" s="66"/>
      <c r="QO301" s="66"/>
      <c r="QP301" s="66"/>
      <c r="QQ301" s="66"/>
      <c r="QR301" s="66"/>
      <c r="QS301" s="66"/>
      <c r="QT301" s="66"/>
      <c r="QU301" s="66"/>
      <c r="QV301" s="66"/>
      <c r="QW301" s="66"/>
      <c r="QX301" s="66"/>
      <c r="QY301" s="66"/>
      <c r="QZ301" s="66"/>
      <c r="RA301" s="66"/>
      <c r="RB301" s="66"/>
      <c r="RC301" s="66"/>
      <c r="RD301" s="4"/>
    </row>
    <row r="302" spans="9:472" x14ac:dyDescent="0.25">
      <c r="I302" s="66"/>
      <c r="J302" s="66"/>
      <c r="K302" s="66"/>
      <c r="L302" s="66"/>
      <c r="M302" s="66"/>
      <c r="N302" s="66"/>
      <c r="O302" s="66"/>
      <c r="P302" s="66"/>
      <c r="Q302" s="66"/>
      <c r="R302" s="66"/>
      <c r="S302" s="66"/>
      <c r="T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c r="CY302" s="66"/>
      <c r="CZ302" s="66"/>
      <c r="DA302" s="66"/>
      <c r="DB302" s="66"/>
      <c r="DC302" s="66"/>
      <c r="DD302" s="66"/>
      <c r="DE302" s="66"/>
      <c r="DF302" s="66"/>
      <c r="DG302" s="66"/>
      <c r="DH302" s="66"/>
      <c r="DI302" s="66"/>
      <c r="DJ302" s="66"/>
      <c r="DK302" s="66"/>
      <c r="DL302" s="66"/>
      <c r="DM302" s="66"/>
      <c r="DN302" s="66"/>
      <c r="DO302" s="66"/>
      <c r="DP302" s="66"/>
      <c r="DQ302" s="66"/>
      <c r="DR302" s="66"/>
      <c r="DS302" s="66"/>
      <c r="DT302" s="66"/>
      <c r="DU302" s="66"/>
      <c r="DV302" s="66"/>
      <c r="DW302" s="66"/>
      <c r="DX302" s="66"/>
      <c r="DY302" s="66"/>
      <c r="DZ302" s="66"/>
      <c r="EA302" s="66"/>
      <c r="EB302" s="66"/>
      <c r="EC302" s="66"/>
      <c r="ED302" s="66"/>
      <c r="EE302" s="66"/>
      <c r="EF302" s="66"/>
      <c r="EG302" s="66"/>
      <c r="EH302" s="66"/>
      <c r="EI302" s="66"/>
      <c r="EJ302" s="66"/>
      <c r="EK302" s="66"/>
      <c r="EL302" s="66"/>
      <c r="EM302" s="66"/>
      <c r="EN302" s="66"/>
      <c r="EO302" s="66"/>
      <c r="EP302" s="66"/>
      <c r="EQ302" s="66"/>
      <c r="ER302" s="66"/>
      <c r="ES302" s="66"/>
      <c r="ET302" s="66"/>
      <c r="EU302" s="66"/>
      <c r="EV302" s="66"/>
      <c r="EW302" s="66"/>
      <c r="EX302" s="66"/>
      <c r="EY302" s="66"/>
      <c r="EZ302" s="66"/>
      <c r="FA302" s="66"/>
      <c r="FB302" s="66"/>
      <c r="FC302" s="66"/>
      <c r="FD302" s="66"/>
      <c r="FE302" s="66"/>
      <c r="FF302" s="66"/>
      <c r="FG302" s="66"/>
      <c r="FH302" s="66"/>
      <c r="FI302" s="66"/>
      <c r="FJ302" s="66"/>
      <c r="FK302" s="66"/>
      <c r="FL302" s="66"/>
      <c r="FM302" s="66"/>
      <c r="FN302" s="66"/>
      <c r="FO302" s="66"/>
      <c r="FP302" s="66"/>
      <c r="FQ302" s="66"/>
      <c r="FR302" s="66"/>
      <c r="FS302" s="66"/>
      <c r="FT302" s="66"/>
      <c r="FU302" s="66"/>
      <c r="FV302" s="66"/>
      <c r="FW302" s="66"/>
      <c r="FX302" s="66"/>
      <c r="FY302" s="66"/>
      <c r="FZ302" s="66"/>
      <c r="GA302" s="66"/>
      <c r="GB302" s="66"/>
      <c r="GC302" s="66"/>
      <c r="GD302" s="66"/>
      <c r="GE302" s="66"/>
      <c r="GF302" s="66"/>
      <c r="GG302" s="66"/>
      <c r="GH302" s="66"/>
      <c r="GI302" s="66"/>
      <c r="GJ302" s="66"/>
      <c r="GK302" s="66"/>
      <c r="GL302" s="66"/>
      <c r="GM302" s="66"/>
      <c r="GN302" s="66"/>
      <c r="GO302" s="66"/>
      <c r="GP302" s="66"/>
      <c r="GQ302" s="66"/>
      <c r="GR302" s="66"/>
      <c r="GS302" s="66"/>
      <c r="GT302" s="66"/>
      <c r="GU302" s="66"/>
      <c r="GV302" s="66"/>
      <c r="GW302" s="66"/>
      <c r="GX302" s="66"/>
      <c r="GY302" s="66"/>
      <c r="GZ302" s="66"/>
      <c r="HA302" s="66"/>
      <c r="HB302" s="66"/>
      <c r="HC302" s="66"/>
      <c r="HD302" s="66"/>
      <c r="HE302" s="66"/>
      <c r="HF302" s="66"/>
      <c r="HG302" s="66"/>
      <c r="HH302" s="66"/>
      <c r="HI302" s="66"/>
      <c r="HJ302" s="66"/>
      <c r="HK302" s="66"/>
      <c r="HL302" s="66"/>
      <c r="HM302" s="66"/>
      <c r="HN302" s="66"/>
      <c r="HO302" s="66"/>
      <c r="HP302" s="66"/>
      <c r="HQ302" s="66"/>
      <c r="HR302" s="66"/>
      <c r="HS302" s="66"/>
      <c r="HT302" s="66"/>
      <c r="HU302" s="66"/>
      <c r="HV302" s="66"/>
      <c r="HW302" s="66"/>
      <c r="HX302" s="66"/>
      <c r="HY302" s="66"/>
      <c r="HZ302" s="66"/>
      <c r="IA302" s="66"/>
      <c r="IB302" s="66"/>
      <c r="IC302" s="66"/>
      <c r="ID302" s="66"/>
      <c r="IE302" s="66"/>
      <c r="IF302" s="66"/>
      <c r="IG302" s="66"/>
      <c r="IH302" s="66"/>
      <c r="II302" s="66"/>
      <c r="IJ302" s="66"/>
      <c r="IK302" s="66"/>
      <c r="IL302" s="66"/>
      <c r="IM302" s="66"/>
      <c r="IN302" s="66"/>
      <c r="IO302" s="66"/>
      <c r="IP302" s="66"/>
      <c r="IQ302" s="66"/>
      <c r="IR302" s="66"/>
      <c r="IS302" s="66"/>
      <c r="IT302" s="66"/>
      <c r="IU302" s="66"/>
      <c r="IV302" s="66"/>
      <c r="IW302" s="66"/>
      <c r="IX302" s="66"/>
      <c r="IY302" s="66"/>
      <c r="IZ302" s="66"/>
      <c r="JA302" s="66"/>
      <c r="JB302" s="66"/>
      <c r="JC302" s="66"/>
      <c r="JD302" s="66"/>
      <c r="JE302" s="66"/>
      <c r="JF302" s="66"/>
      <c r="JG302" s="66"/>
      <c r="JH302" s="66"/>
      <c r="JI302" s="66"/>
      <c r="JJ302" s="66"/>
      <c r="JK302" s="66"/>
      <c r="JL302" s="66"/>
      <c r="JM302" s="66"/>
      <c r="JN302" s="66"/>
      <c r="JO302" s="66"/>
      <c r="JP302" s="66"/>
      <c r="JQ302" s="66"/>
      <c r="JR302" s="66"/>
      <c r="JS302" s="66"/>
      <c r="JT302" s="66"/>
      <c r="JU302" s="66"/>
      <c r="JV302" s="66"/>
      <c r="JW302" s="66"/>
      <c r="JX302" s="66"/>
      <c r="JY302" s="66"/>
      <c r="JZ302" s="66"/>
      <c r="KA302" s="66"/>
      <c r="KB302" s="66"/>
      <c r="KC302" s="66"/>
      <c r="KD302" s="66"/>
      <c r="KE302" s="66"/>
      <c r="KF302" s="66"/>
      <c r="KG302" s="66"/>
      <c r="KH302" s="66"/>
      <c r="KI302" s="66"/>
      <c r="KJ302" s="66"/>
      <c r="KK302" s="66"/>
      <c r="KL302" s="66"/>
      <c r="KM302" s="66"/>
      <c r="KN302" s="66"/>
      <c r="KO302" s="66"/>
      <c r="KP302" s="66"/>
      <c r="KQ302" s="66"/>
      <c r="KR302" s="66"/>
      <c r="KS302" s="66"/>
      <c r="KT302" s="66"/>
      <c r="KU302" s="66"/>
      <c r="KV302" s="66"/>
      <c r="KW302" s="66"/>
      <c r="KX302" s="66"/>
      <c r="KY302" s="66"/>
      <c r="KZ302" s="66"/>
      <c r="LA302" s="66"/>
      <c r="LB302" s="66"/>
      <c r="LC302" s="66"/>
      <c r="LD302" s="66"/>
      <c r="LE302" s="66"/>
      <c r="LF302" s="66"/>
      <c r="LG302" s="66"/>
      <c r="LH302" s="66"/>
      <c r="LI302" s="66"/>
      <c r="LJ302" s="66"/>
      <c r="LK302" s="66"/>
      <c r="LL302" s="66"/>
      <c r="LM302" s="66"/>
      <c r="LN302" s="66"/>
      <c r="LO302" s="66"/>
      <c r="LP302" s="66"/>
      <c r="LQ302" s="66"/>
      <c r="LR302" s="66"/>
      <c r="LS302" s="66"/>
      <c r="LT302" s="66"/>
      <c r="LU302" s="66"/>
      <c r="LV302" s="66"/>
      <c r="LW302" s="66"/>
      <c r="LX302" s="66"/>
      <c r="LY302" s="66"/>
      <c r="LZ302" s="66"/>
      <c r="MA302" s="66"/>
      <c r="MB302" s="66"/>
      <c r="MC302" s="66"/>
      <c r="MD302" s="66"/>
      <c r="ME302" s="66"/>
      <c r="MF302" s="66"/>
      <c r="MG302" s="66"/>
      <c r="MH302" s="66"/>
      <c r="MI302" s="66"/>
      <c r="MJ302" s="66"/>
      <c r="MK302" s="66"/>
      <c r="ML302" s="66"/>
      <c r="MM302" s="66"/>
      <c r="MN302" s="66"/>
      <c r="MO302" s="66"/>
      <c r="MP302" s="66"/>
      <c r="MQ302" s="66"/>
      <c r="MR302" s="66"/>
      <c r="MS302" s="66"/>
      <c r="MT302" s="66"/>
      <c r="MU302" s="66"/>
      <c r="MV302" s="66"/>
      <c r="MW302" s="66"/>
      <c r="MX302" s="66"/>
      <c r="MY302" s="66"/>
      <c r="MZ302" s="66"/>
      <c r="NA302" s="66"/>
      <c r="NB302" s="66"/>
      <c r="NC302" s="66"/>
      <c r="ND302" s="66"/>
      <c r="NE302" s="66"/>
      <c r="NF302" s="66"/>
      <c r="NG302" s="66"/>
      <c r="NH302" s="66"/>
      <c r="NI302" s="66"/>
      <c r="NJ302" s="66"/>
      <c r="NK302" s="66"/>
      <c r="NL302" s="66"/>
      <c r="NM302" s="66"/>
      <c r="NN302" s="66"/>
      <c r="NO302" s="66"/>
      <c r="NP302" s="66"/>
      <c r="NQ302" s="66"/>
      <c r="NR302" s="66"/>
      <c r="NS302" s="66"/>
      <c r="NT302" s="66"/>
      <c r="NU302" s="66"/>
      <c r="NV302" s="66"/>
      <c r="NW302" s="66"/>
      <c r="NX302" s="66"/>
      <c r="NY302" s="66"/>
      <c r="NZ302" s="66"/>
      <c r="OA302" s="66"/>
      <c r="OB302" s="66"/>
      <c r="OC302" s="66"/>
      <c r="OD302" s="66"/>
      <c r="OE302" s="66"/>
      <c r="OF302" s="66"/>
      <c r="OG302" s="66"/>
      <c r="OH302" s="66"/>
      <c r="OI302" s="66"/>
      <c r="OJ302" s="66"/>
      <c r="OK302" s="66"/>
      <c r="OL302" s="66"/>
      <c r="OM302" s="66"/>
      <c r="ON302" s="66"/>
      <c r="OO302" s="66"/>
      <c r="OP302" s="66"/>
      <c r="OQ302" s="66"/>
      <c r="OR302" s="66"/>
      <c r="OS302" s="66"/>
      <c r="OT302" s="66"/>
      <c r="OU302" s="66"/>
      <c r="OV302" s="66"/>
      <c r="OW302" s="66"/>
      <c r="OX302" s="66"/>
      <c r="OY302" s="66"/>
      <c r="OZ302" s="66"/>
      <c r="PA302" s="66"/>
      <c r="PB302" s="66"/>
      <c r="PC302" s="66"/>
      <c r="PD302" s="66"/>
      <c r="PE302" s="66"/>
      <c r="PF302" s="66"/>
      <c r="PG302" s="66"/>
      <c r="PH302" s="66"/>
      <c r="PI302" s="66"/>
      <c r="PJ302" s="66"/>
      <c r="PK302" s="66"/>
      <c r="PL302" s="66"/>
      <c r="PM302" s="66"/>
      <c r="PN302" s="66"/>
      <c r="PO302" s="66"/>
      <c r="PP302" s="66"/>
      <c r="PQ302" s="66"/>
      <c r="PR302" s="66"/>
      <c r="PS302" s="66"/>
      <c r="PT302" s="66"/>
      <c r="PU302" s="66"/>
      <c r="PV302" s="66"/>
      <c r="PW302" s="66"/>
      <c r="PX302" s="66"/>
      <c r="PY302" s="66"/>
      <c r="PZ302" s="66"/>
      <c r="QA302" s="66"/>
      <c r="QB302" s="66"/>
      <c r="QC302" s="66"/>
      <c r="QD302" s="66"/>
      <c r="QE302" s="66"/>
      <c r="QF302" s="66"/>
      <c r="QG302" s="66"/>
      <c r="QH302" s="66"/>
      <c r="QI302" s="66"/>
      <c r="QJ302" s="66"/>
      <c r="QK302" s="66"/>
      <c r="QL302" s="66"/>
      <c r="QM302" s="66"/>
      <c r="QN302" s="66"/>
      <c r="QO302" s="66"/>
      <c r="QP302" s="66"/>
      <c r="QQ302" s="66"/>
      <c r="QR302" s="66"/>
      <c r="QS302" s="66"/>
      <c r="QT302" s="66"/>
      <c r="QU302" s="66"/>
      <c r="QV302" s="66"/>
      <c r="QW302" s="66"/>
      <c r="QX302" s="66"/>
      <c r="QY302" s="66"/>
      <c r="QZ302" s="66"/>
      <c r="RA302" s="66"/>
      <c r="RB302" s="66"/>
      <c r="RC302" s="66"/>
      <c r="RD302" s="4"/>
    </row>
    <row r="303" spans="9:472" x14ac:dyDescent="0.25">
      <c r="I303" s="66"/>
      <c r="J303" s="66"/>
      <c r="K303" s="66"/>
      <c r="L303" s="66"/>
      <c r="M303" s="66"/>
      <c r="N303" s="66"/>
      <c r="O303" s="66"/>
      <c r="P303" s="66"/>
      <c r="Q303" s="66"/>
      <c r="R303" s="66"/>
      <c r="S303" s="66"/>
      <c r="T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6"/>
      <c r="DI303" s="66"/>
      <c r="DJ303" s="66"/>
      <c r="DK303" s="66"/>
      <c r="DL303" s="66"/>
      <c r="DM303" s="66"/>
      <c r="DN303" s="66"/>
      <c r="DO303" s="66"/>
      <c r="DP303" s="66"/>
      <c r="DQ303" s="66"/>
      <c r="DR303" s="66"/>
      <c r="DS303" s="66"/>
      <c r="DT303" s="66"/>
      <c r="DU303" s="66"/>
      <c r="DV303" s="66"/>
      <c r="DW303" s="66"/>
      <c r="DX303" s="66"/>
      <c r="DY303" s="66"/>
      <c r="DZ303" s="66"/>
      <c r="EA303" s="66"/>
      <c r="EB303" s="66"/>
      <c r="EC303" s="66"/>
      <c r="ED303" s="66"/>
      <c r="EE303" s="66"/>
      <c r="EF303" s="66"/>
      <c r="EG303" s="66"/>
      <c r="EH303" s="66"/>
      <c r="EI303" s="66"/>
      <c r="EJ303" s="66"/>
      <c r="EK303" s="66"/>
      <c r="EL303" s="66"/>
      <c r="EM303" s="66"/>
      <c r="EN303" s="66"/>
      <c r="EO303" s="66"/>
      <c r="EP303" s="66"/>
      <c r="EQ303" s="66"/>
      <c r="ER303" s="66"/>
      <c r="ES303" s="66"/>
      <c r="ET303" s="66"/>
      <c r="EU303" s="66"/>
      <c r="EV303" s="66"/>
      <c r="EW303" s="66"/>
      <c r="EX303" s="66"/>
      <c r="EY303" s="66"/>
      <c r="EZ303" s="66"/>
      <c r="FA303" s="66"/>
      <c r="FB303" s="66"/>
      <c r="FC303" s="66"/>
      <c r="FD303" s="66"/>
      <c r="FE303" s="66"/>
      <c r="FF303" s="66"/>
      <c r="FG303" s="66"/>
      <c r="FH303" s="66"/>
      <c r="FI303" s="66"/>
      <c r="FJ303" s="66"/>
      <c r="FK303" s="66"/>
      <c r="FL303" s="66"/>
      <c r="FM303" s="66"/>
      <c r="FN303" s="66"/>
      <c r="FO303" s="66"/>
      <c r="FP303" s="66"/>
      <c r="FQ303" s="66"/>
      <c r="FR303" s="66"/>
      <c r="FS303" s="66"/>
      <c r="FT303" s="66"/>
      <c r="FU303" s="66"/>
      <c r="FV303" s="66"/>
      <c r="FW303" s="66"/>
      <c r="FX303" s="66"/>
      <c r="FY303" s="66"/>
      <c r="FZ303" s="66"/>
      <c r="GA303" s="66"/>
      <c r="GB303" s="66"/>
      <c r="GC303" s="66"/>
      <c r="GD303" s="66"/>
      <c r="GE303" s="66"/>
      <c r="GF303" s="66"/>
      <c r="GG303" s="66"/>
      <c r="GH303" s="66"/>
      <c r="GI303" s="66"/>
      <c r="GJ303" s="66"/>
      <c r="GK303" s="66"/>
      <c r="GL303" s="66"/>
      <c r="GM303" s="66"/>
      <c r="GN303" s="66"/>
      <c r="GO303" s="66"/>
      <c r="GP303" s="66"/>
      <c r="GQ303" s="66"/>
      <c r="GR303" s="66"/>
      <c r="GS303" s="66"/>
      <c r="GT303" s="66"/>
      <c r="GU303" s="66"/>
      <c r="GV303" s="66"/>
      <c r="GW303" s="66"/>
      <c r="GX303" s="66"/>
      <c r="GY303" s="66"/>
      <c r="GZ303" s="66"/>
      <c r="HA303" s="66"/>
      <c r="HB303" s="66"/>
      <c r="HC303" s="66"/>
      <c r="HD303" s="66"/>
      <c r="HE303" s="66"/>
      <c r="HF303" s="66"/>
      <c r="HG303" s="66"/>
      <c r="HH303" s="66"/>
      <c r="HI303" s="66"/>
      <c r="HJ303" s="66"/>
      <c r="HK303" s="66"/>
      <c r="HL303" s="66"/>
      <c r="HM303" s="66"/>
      <c r="HN303" s="66"/>
      <c r="HO303" s="66"/>
      <c r="HP303" s="66"/>
      <c r="HQ303" s="66"/>
      <c r="HR303" s="66"/>
      <c r="HS303" s="66"/>
      <c r="HT303" s="66"/>
      <c r="HU303" s="66"/>
      <c r="HV303" s="66"/>
      <c r="HW303" s="66"/>
      <c r="HX303" s="66"/>
      <c r="HY303" s="66"/>
      <c r="HZ303" s="66"/>
      <c r="IA303" s="66"/>
      <c r="IB303" s="66"/>
      <c r="IC303" s="66"/>
      <c r="ID303" s="66"/>
      <c r="IE303" s="66"/>
      <c r="IF303" s="66"/>
      <c r="IG303" s="66"/>
      <c r="IH303" s="66"/>
      <c r="II303" s="66"/>
      <c r="IJ303" s="66"/>
      <c r="IK303" s="66"/>
      <c r="IL303" s="66"/>
      <c r="IM303" s="66"/>
      <c r="IN303" s="66"/>
      <c r="IO303" s="66"/>
      <c r="IP303" s="66"/>
      <c r="IQ303" s="66"/>
      <c r="IR303" s="66"/>
      <c r="IS303" s="66"/>
      <c r="IT303" s="66"/>
      <c r="IU303" s="66"/>
      <c r="IV303" s="66"/>
      <c r="IW303" s="66"/>
      <c r="IX303" s="66"/>
      <c r="IY303" s="66"/>
      <c r="IZ303" s="66"/>
      <c r="JA303" s="66"/>
      <c r="JB303" s="66"/>
      <c r="JC303" s="66"/>
      <c r="JD303" s="66"/>
      <c r="JE303" s="66"/>
      <c r="JF303" s="66"/>
      <c r="JG303" s="66"/>
      <c r="JH303" s="66"/>
      <c r="JI303" s="66"/>
      <c r="JJ303" s="66"/>
      <c r="JK303" s="66"/>
      <c r="JL303" s="66"/>
      <c r="JM303" s="66"/>
      <c r="JN303" s="66"/>
      <c r="JO303" s="66"/>
      <c r="JP303" s="66"/>
      <c r="JQ303" s="66"/>
      <c r="JR303" s="66"/>
      <c r="JS303" s="66"/>
      <c r="JT303" s="66"/>
      <c r="JU303" s="66"/>
      <c r="JV303" s="66"/>
      <c r="JW303" s="66"/>
      <c r="JX303" s="66"/>
      <c r="JY303" s="66"/>
      <c r="JZ303" s="66"/>
      <c r="KA303" s="66"/>
      <c r="KB303" s="66"/>
      <c r="KC303" s="66"/>
      <c r="KD303" s="66"/>
      <c r="KE303" s="66"/>
      <c r="KF303" s="66"/>
      <c r="KG303" s="66"/>
      <c r="KH303" s="66"/>
      <c r="KI303" s="66"/>
      <c r="KJ303" s="66"/>
      <c r="KK303" s="66"/>
      <c r="KL303" s="66"/>
      <c r="KM303" s="66"/>
      <c r="KN303" s="66"/>
      <c r="KO303" s="66"/>
      <c r="KP303" s="66"/>
      <c r="KQ303" s="66"/>
      <c r="KR303" s="66"/>
      <c r="KS303" s="66"/>
      <c r="KT303" s="66"/>
      <c r="KU303" s="66"/>
      <c r="KV303" s="66"/>
      <c r="KW303" s="66"/>
      <c r="KX303" s="66"/>
      <c r="KY303" s="66"/>
      <c r="KZ303" s="66"/>
      <c r="LA303" s="66"/>
      <c r="LB303" s="66"/>
      <c r="LC303" s="66"/>
      <c r="LD303" s="66"/>
      <c r="LE303" s="66"/>
      <c r="LF303" s="66"/>
      <c r="LG303" s="66"/>
      <c r="LH303" s="66"/>
      <c r="LI303" s="66"/>
      <c r="LJ303" s="66"/>
      <c r="LK303" s="66"/>
      <c r="LL303" s="66"/>
      <c r="LM303" s="66"/>
      <c r="LN303" s="66"/>
      <c r="LO303" s="66"/>
      <c r="LP303" s="66"/>
      <c r="LQ303" s="66"/>
      <c r="LR303" s="66"/>
      <c r="LS303" s="66"/>
      <c r="LT303" s="66"/>
      <c r="LU303" s="66"/>
      <c r="LV303" s="66"/>
      <c r="LW303" s="66"/>
      <c r="LX303" s="66"/>
      <c r="LY303" s="66"/>
      <c r="LZ303" s="66"/>
      <c r="MA303" s="66"/>
      <c r="MB303" s="66"/>
      <c r="MC303" s="66"/>
      <c r="MD303" s="66"/>
      <c r="ME303" s="66"/>
      <c r="MF303" s="66"/>
      <c r="MG303" s="66"/>
      <c r="MH303" s="66"/>
      <c r="MI303" s="66"/>
      <c r="MJ303" s="66"/>
      <c r="MK303" s="66"/>
      <c r="ML303" s="66"/>
      <c r="MM303" s="66"/>
      <c r="MN303" s="66"/>
      <c r="MO303" s="66"/>
      <c r="MP303" s="66"/>
      <c r="MQ303" s="66"/>
      <c r="MR303" s="66"/>
      <c r="MS303" s="66"/>
      <c r="MT303" s="66"/>
      <c r="MU303" s="66"/>
      <c r="MV303" s="66"/>
      <c r="MW303" s="66"/>
      <c r="MX303" s="66"/>
      <c r="MY303" s="66"/>
      <c r="MZ303" s="66"/>
      <c r="NA303" s="66"/>
      <c r="NB303" s="66"/>
      <c r="NC303" s="66"/>
      <c r="ND303" s="66"/>
      <c r="NE303" s="66"/>
      <c r="NF303" s="66"/>
      <c r="NG303" s="66"/>
      <c r="NH303" s="66"/>
      <c r="NI303" s="66"/>
      <c r="NJ303" s="66"/>
      <c r="NK303" s="66"/>
      <c r="NL303" s="66"/>
      <c r="NM303" s="66"/>
      <c r="NN303" s="66"/>
      <c r="NO303" s="66"/>
      <c r="NP303" s="66"/>
      <c r="NQ303" s="66"/>
      <c r="NR303" s="66"/>
      <c r="NS303" s="66"/>
      <c r="NT303" s="66"/>
      <c r="NU303" s="66"/>
      <c r="NV303" s="66"/>
      <c r="NW303" s="66"/>
      <c r="NX303" s="66"/>
      <c r="NY303" s="66"/>
      <c r="NZ303" s="66"/>
      <c r="OA303" s="66"/>
      <c r="OB303" s="66"/>
      <c r="OC303" s="66"/>
      <c r="OD303" s="66"/>
      <c r="OE303" s="66"/>
      <c r="OF303" s="66"/>
      <c r="OG303" s="66"/>
      <c r="OH303" s="66"/>
      <c r="OI303" s="66"/>
      <c r="OJ303" s="66"/>
      <c r="OK303" s="66"/>
      <c r="OL303" s="66"/>
      <c r="OM303" s="66"/>
      <c r="ON303" s="66"/>
      <c r="OO303" s="66"/>
      <c r="OP303" s="66"/>
      <c r="OQ303" s="66"/>
      <c r="OR303" s="66"/>
      <c r="OS303" s="66"/>
      <c r="OT303" s="66"/>
      <c r="OU303" s="66"/>
      <c r="OV303" s="66"/>
      <c r="OW303" s="66"/>
      <c r="OX303" s="66"/>
      <c r="OY303" s="66"/>
      <c r="OZ303" s="66"/>
      <c r="PA303" s="66"/>
      <c r="PB303" s="66"/>
      <c r="PC303" s="66"/>
      <c r="PD303" s="66"/>
      <c r="PE303" s="66"/>
      <c r="PF303" s="66"/>
      <c r="PG303" s="66"/>
      <c r="PH303" s="66"/>
      <c r="PI303" s="66"/>
      <c r="PJ303" s="66"/>
      <c r="PK303" s="66"/>
      <c r="PL303" s="66"/>
      <c r="PM303" s="66"/>
      <c r="PN303" s="66"/>
      <c r="PO303" s="66"/>
      <c r="PP303" s="66"/>
      <c r="PQ303" s="66"/>
      <c r="PR303" s="66"/>
      <c r="PS303" s="66"/>
      <c r="PT303" s="66"/>
      <c r="PU303" s="66"/>
      <c r="PV303" s="66"/>
      <c r="PW303" s="66"/>
      <c r="PX303" s="66"/>
      <c r="PY303" s="66"/>
      <c r="PZ303" s="66"/>
      <c r="QA303" s="66"/>
      <c r="QB303" s="66"/>
      <c r="QC303" s="66"/>
      <c r="QD303" s="66"/>
      <c r="QE303" s="66"/>
      <c r="QF303" s="66"/>
      <c r="QG303" s="66"/>
      <c r="QH303" s="66"/>
      <c r="QI303" s="66"/>
      <c r="QJ303" s="66"/>
      <c r="QK303" s="66"/>
      <c r="QL303" s="66"/>
      <c r="QM303" s="66"/>
      <c r="QN303" s="66"/>
      <c r="QO303" s="66"/>
      <c r="QP303" s="66"/>
      <c r="QQ303" s="66"/>
      <c r="QR303" s="66"/>
      <c r="QS303" s="66"/>
      <c r="QT303" s="66"/>
      <c r="QU303" s="66"/>
      <c r="QV303" s="66"/>
      <c r="QW303" s="66"/>
      <c r="QX303" s="66"/>
      <c r="QY303" s="66"/>
      <c r="QZ303" s="66"/>
      <c r="RA303" s="66"/>
      <c r="RB303" s="66"/>
      <c r="RC303" s="66"/>
      <c r="RD303" s="4"/>
    </row>
    <row r="304" spans="9:472" x14ac:dyDescent="0.25">
      <c r="I304" s="66"/>
      <c r="J304" s="66"/>
      <c r="K304" s="66"/>
      <c r="L304" s="66"/>
      <c r="M304" s="66"/>
      <c r="N304" s="66"/>
      <c r="O304" s="66"/>
      <c r="P304" s="66"/>
      <c r="Q304" s="66"/>
      <c r="R304" s="66"/>
      <c r="S304" s="66"/>
      <c r="T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c r="CD304" s="66"/>
      <c r="CE304" s="66"/>
      <c r="CF304" s="66"/>
      <c r="CG304" s="66"/>
      <c r="CH304" s="66"/>
      <c r="CI304" s="66"/>
      <c r="CJ304" s="66"/>
      <c r="CK304" s="66"/>
      <c r="CL304" s="66"/>
      <c r="CM304" s="66"/>
      <c r="CN304" s="66"/>
      <c r="CO304" s="66"/>
      <c r="CP304" s="66"/>
      <c r="CQ304" s="66"/>
      <c r="CR304" s="66"/>
      <c r="CS304" s="66"/>
      <c r="CT304" s="66"/>
      <c r="CU304" s="66"/>
      <c r="CV304" s="66"/>
      <c r="CW304" s="66"/>
      <c r="CX304" s="66"/>
      <c r="CY304" s="66"/>
      <c r="CZ304" s="66"/>
      <c r="DA304" s="66"/>
      <c r="DB304" s="66"/>
      <c r="DC304" s="66"/>
      <c r="DD304" s="66"/>
      <c r="DE304" s="66"/>
      <c r="DF304" s="66"/>
      <c r="DG304" s="66"/>
      <c r="DH304" s="66"/>
      <c r="DI304" s="66"/>
      <c r="DJ304" s="66"/>
      <c r="DK304" s="66"/>
      <c r="DL304" s="66"/>
      <c r="DM304" s="66"/>
      <c r="DN304" s="66"/>
      <c r="DO304" s="66"/>
      <c r="DP304" s="66"/>
      <c r="DQ304" s="66"/>
      <c r="DR304" s="66"/>
      <c r="DS304" s="66"/>
      <c r="DT304" s="66"/>
      <c r="DU304" s="66"/>
      <c r="DV304" s="66"/>
      <c r="DW304" s="66"/>
      <c r="DX304" s="66"/>
      <c r="DY304" s="66"/>
      <c r="DZ304" s="66"/>
      <c r="EA304" s="66"/>
      <c r="EB304" s="66"/>
      <c r="EC304" s="66"/>
      <c r="ED304" s="66"/>
      <c r="EE304" s="66"/>
      <c r="EF304" s="66"/>
      <c r="EG304" s="66"/>
      <c r="EH304" s="66"/>
      <c r="EI304" s="66"/>
      <c r="EJ304" s="66"/>
      <c r="EK304" s="66"/>
      <c r="EL304" s="66"/>
      <c r="EM304" s="66"/>
      <c r="EN304" s="66"/>
      <c r="EO304" s="66"/>
      <c r="EP304" s="66"/>
      <c r="EQ304" s="66"/>
      <c r="ER304" s="66"/>
      <c r="ES304" s="66"/>
      <c r="ET304" s="66"/>
      <c r="EU304" s="66"/>
      <c r="EV304" s="66"/>
      <c r="EW304" s="66"/>
      <c r="EX304" s="66"/>
      <c r="EY304" s="66"/>
      <c r="EZ304" s="66"/>
      <c r="FA304" s="66"/>
      <c r="FB304" s="66"/>
      <c r="FC304" s="66"/>
      <c r="FD304" s="66"/>
      <c r="FE304" s="66"/>
      <c r="FF304" s="66"/>
      <c r="FG304" s="66"/>
      <c r="FH304" s="66"/>
      <c r="FI304" s="66"/>
      <c r="FJ304" s="66"/>
      <c r="FK304" s="66"/>
      <c r="FL304" s="66"/>
      <c r="FM304" s="66"/>
      <c r="FN304" s="66"/>
      <c r="FO304" s="66"/>
      <c r="FP304" s="66"/>
      <c r="FQ304" s="66"/>
      <c r="FR304" s="66"/>
      <c r="FS304" s="66"/>
      <c r="FT304" s="66"/>
      <c r="FU304" s="66"/>
      <c r="FV304" s="66"/>
      <c r="FW304" s="66"/>
      <c r="FX304" s="66"/>
      <c r="FY304" s="66"/>
      <c r="FZ304" s="66"/>
      <c r="GA304" s="66"/>
      <c r="GB304" s="66"/>
      <c r="GC304" s="66"/>
      <c r="GD304" s="66"/>
      <c r="GE304" s="66"/>
      <c r="GF304" s="66"/>
      <c r="GG304" s="66"/>
      <c r="GH304" s="66"/>
      <c r="GI304" s="66"/>
      <c r="GJ304" s="66"/>
      <c r="GK304" s="66"/>
      <c r="GL304" s="66"/>
      <c r="GM304" s="66"/>
      <c r="GN304" s="66"/>
      <c r="GO304" s="66"/>
      <c r="GP304" s="66"/>
      <c r="GQ304" s="66"/>
      <c r="GR304" s="66"/>
      <c r="GS304" s="66"/>
      <c r="GT304" s="66"/>
      <c r="GU304" s="66"/>
      <c r="GV304" s="66"/>
      <c r="GW304" s="66"/>
      <c r="GX304" s="66"/>
      <c r="GY304" s="66"/>
      <c r="GZ304" s="66"/>
      <c r="HA304" s="66"/>
      <c r="HB304" s="66"/>
      <c r="HC304" s="66"/>
      <c r="HD304" s="66"/>
      <c r="HE304" s="66"/>
      <c r="HF304" s="66"/>
      <c r="HG304" s="66"/>
      <c r="HH304" s="66"/>
      <c r="HI304" s="66"/>
      <c r="HJ304" s="66"/>
      <c r="HK304" s="66"/>
      <c r="HL304" s="66"/>
      <c r="HM304" s="66"/>
      <c r="HN304" s="66"/>
      <c r="HO304" s="66"/>
      <c r="HP304" s="66"/>
      <c r="HQ304" s="66"/>
      <c r="HR304" s="66"/>
      <c r="HS304" s="66"/>
      <c r="HT304" s="66"/>
      <c r="HU304" s="66"/>
      <c r="HV304" s="66"/>
      <c r="HW304" s="66"/>
      <c r="HX304" s="66"/>
      <c r="HY304" s="66"/>
      <c r="HZ304" s="66"/>
      <c r="IA304" s="66"/>
      <c r="IB304" s="66"/>
      <c r="IC304" s="66"/>
      <c r="ID304" s="66"/>
      <c r="IE304" s="66"/>
      <c r="IF304" s="66"/>
      <c r="IG304" s="66"/>
      <c r="IH304" s="66"/>
      <c r="II304" s="66"/>
      <c r="IJ304" s="66"/>
      <c r="IK304" s="66"/>
      <c r="IL304" s="66"/>
      <c r="IM304" s="66"/>
      <c r="IN304" s="66"/>
      <c r="IO304" s="66"/>
      <c r="IP304" s="66"/>
      <c r="IQ304" s="66"/>
      <c r="IR304" s="66"/>
      <c r="IS304" s="66"/>
      <c r="IT304" s="66"/>
      <c r="IU304" s="66"/>
      <c r="IV304" s="66"/>
      <c r="IW304" s="66"/>
      <c r="IX304" s="66"/>
      <c r="IY304" s="66"/>
      <c r="IZ304" s="66"/>
      <c r="JA304" s="66"/>
      <c r="JB304" s="66"/>
      <c r="JC304" s="66"/>
      <c r="JD304" s="66"/>
      <c r="JE304" s="66"/>
      <c r="JF304" s="66"/>
      <c r="JG304" s="66"/>
      <c r="JH304" s="66"/>
      <c r="JI304" s="66"/>
      <c r="JJ304" s="66"/>
      <c r="JK304" s="66"/>
      <c r="JL304" s="66"/>
      <c r="JM304" s="66"/>
      <c r="JN304" s="66"/>
      <c r="JO304" s="66"/>
      <c r="JP304" s="66"/>
      <c r="JQ304" s="66"/>
      <c r="JR304" s="66"/>
      <c r="JS304" s="66"/>
      <c r="JT304" s="66"/>
      <c r="JU304" s="66"/>
      <c r="JV304" s="66"/>
      <c r="JW304" s="66"/>
      <c r="JX304" s="66"/>
      <c r="JY304" s="66"/>
      <c r="JZ304" s="66"/>
      <c r="KA304" s="66"/>
      <c r="KB304" s="66"/>
      <c r="KC304" s="66"/>
      <c r="KD304" s="66"/>
      <c r="KE304" s="66"/>
      <c r="KF304" s="66"/>
      <c r="KG304" s="66"/>
      <c r="KH304" s="66"/>
      <c r="KI304" s="66"/>
      <c r="KJ304" s="66"/>
      <c r="KK304" s="66"/>
      <c r="KL304" s="66"/>
      <c r="KM304" s="66"/>
      <c r="KN304" s="66"/>
      <c r="KO304" s="66"/>
      <c r="KP304" s="66"/>
      <c r="KQ304" s="66"/>
      <c r="KR304" s="66"/>
      <c r="KS304" s="66"/>
      <c r="KT304" s="66"/>
      <c r="KU304" s="66"/>
      <c r="KV304" s="66"/>
      <c r="KW304" s="66"/>
      <c r="KX304" s="66"/>
      <c r="KY304" s="66"/>
      <c r="KZ304" s="66"/>
      <c r="LA304" s="66"/>
      <c r="LB304" s="66"/>
      <c r="LC304" s="66"/>
      <c r="LD304" s="66"/>
      <c r="LE304" s="66"/>
      <c r="LF304" s="66"/>
      <c r="LG304" s="66"/>
      <c r="LH304" s="66"/>
      <c r="LI304" s="66"/>
      <c r="LJ304" s="66"/>
      <c r="LK304" s="66"/>
      <c r="LL304" s="66"/>
      <c r="LM304" s="66"/>
      <c r="LN304" s="66"/>
      <c r="LO304" s="66"/>
      <c r="LP304" s="66"/>
      <c r="LQ304" s="66"/>
      <c r="LR304" s="66"/>
      <c r="LS304" s="66"/>
      <c r="LT304" s="66"/>
      <c r="LU304" s="66"/>
      <c r="LV304" s="66"/>
      <c r="LW304" s="66"/>
      <c r="LX304" s="66"/>
      <c r="LY304" s="66"/>
      <c r="LZ304" s="66"/>
      <c r="MA304" s="66"/>
      <c r="MB304" s="66"/>
      <c r="MC304" s="66"/>
      <c r="MD304" s="66"/>
      <c r="ME304" s="66"/>
      <c r="MF304" s="66"/>
      <c r="MG304" s="66"/>
      <c r="MH304" s="66"/>
      <c r="MI304" s="66"/>
      <c r="MJ304" s="66"/>
      <c r="MK304" s="66"/>
      <c r="ML304" s="66"/>
      <c r="MM304" s="66"/>
      <c r="MN304" s="66"/>
      <c r="MO304" s="66"/>
      <c r="MP304" s="66"/>
      <c r="MQ304" s="66"/>
      <c r="MR304" s="66"/>
      <c r="MS304" s="66"/>
      <c r="MT304" s="66"/>
      <c r="MU304" s="66"/>
      <c r="MV304" s="66"/>
      <c r="MW304" s="66"/>
      <c r="MX304" s="66"/>
      <c r="MY304" s="66"/>
      <c r="MZ304" s="66"/>
      <c r="NA304" s="66"/>
      <c r="NB304" s="66"/>
      <c r="NC304" s="66"/>
      <c r="ND304" s="66"/>
      <c r="NE304" s="66"/>
      <c r="NF304" s="66"/>
      <c r="NG304" s="66"/>
      <c r="NH304" s="66"/>
      <c r="NI304" s="66"/>
      <c r="NJ304" s="66"/>
      <c r="NK304" s="66"/>
      <c r="NL304" s="66"/>
      <c r="NM304" s="66"/>
      <c r="NN304" s="66"/>
      <c r="NO304" s="66"/>
      <c r="NP304" s="66"/>
      <c r="NQ304" s="66"/>
      <c r="NR304" s="66"/>
      <c r="NS304" s="66"/>
      <c r="NT304" s="66"/>
      <c r="NU304" s="66"/>
      <c r="NV304" s="66"/>
      <c r="NW304" s="66"/>
      <c r="NX304" s="66"/>
      <c r="NY304" s="66"/>
      <c r="NZ304" s="66"/>
      <c r="OA304" s="66"/>
      <c r="OB304" s="66"/>
      <c r="OC304" s="66"/>
      <c r="OD304" s="66"/>
      <c r="OE304" s="66"/>
      <c r="OF304" s="66"/>
      <c r="OG304" s="66"/>
      <c r="OH304" s="66"/>
      <c r="OI304" s="66"/>
      <c r="OJ304" s="66"/>
      <c r="OK304" s="66"/>
      <c r="OL304" s="66"/>
      <c r="OM304" s="66"/>
      <c r="ON304" s="66"/>
      <c r="OO304" s="66"/>
      <c r="OP304" s="66"/>
      <c r="OQ304" s="66"/>
      <c r="OR304" s="66"/>
      <c r="OS304" s="66"/>
      <c r="OT304" s="66"/>
      <c r="OU304" s="66"/>
      <c r="OV304" s="66"/>
      <c r="OW304" s="66"/>
      <c r="OX304" s="66"/>
      <c r="OY304" s="66"/>
      <c r="OZ304" s="66"/>
      <c r="PA304" s="66"/>
      <c r="PB304" s="66"/>
      <c r="PC304" s="66"/>
      <c r="PD304" s="66"/>
      <c r="PE304" s="66"/>
      <c r="PF304" s="66"/>
      <c r="PG304" s="66"/>
      <c r="PH304" s="66"/>
      <c r="PI304" s="66"/>
      <c r="PJ304" s="66"/>
      <c r="PK304" s="66"/>
      <c r="PL304" s="66"/>
      <c r="PM304" s="66"/>
      <c r="PN304" s="66"/>
      <c r="PO304" s="66"/>
      <c r="PP304" s="66"/>
      <c r="PQ304" s="66"/>
      <c r="PR304" s="66"/>
      <c r="PS304" s="66"/>
      <c r="PT304" s="66"/>
      <c r="PU304" s="66"/>
      <c r="PV304" s="66"/>
      <c r="PW304" s="66"/>
      <c r="PX304" s="66"/>
      <c r="PY304" s="66"/>
      <c r="PZ304" s="66"/>
      <c r="QA304" s="66"/>
      <c r="QB304" s="66"/>
      <c r="QC304" s="66"/>
      <c r="QD304" s="66"/>
      <c r="QE304" s="66"/>
      <c r="QF304" s="66"/>
      <c r="QG304" s="66"/>
      <c r="QH304" s="66"/>
      <c r="QI304" s="66"/>
      <c r="QJ304" s="66"/>
      <c r="QK304" s="66"/>
      <c r="QL304" s="66"/>
      <c r="QM304" s="66"/>
      <c r="QN304" s="66"/>
      <c r="QO304" s="66"/>
      <c r="QP304" s="66"/>
      <c r="QQ304" s="66"/>
      <c r="QR304" s="66"/>
      <c r="QS304" s="66"/>
      <c r="QT304" s="66"/>
      <c r="QU304" s="66"/>
      <c r="QV304" s="66"/>
      <c r="QW304" s="66"/>
      <c r="QX304" s="66"/>
      <c r="QY304" s="66"/>
      <c r="QZ304" s="66"/>
      <c r="RA304" s="66"/>
      <c r="RB304" s="66"/>
      <c r="RC304" s="66"/>
      <c r="RD304" s="4"/>
    </row>
    <row r="305" spans="9:472" x14ac:dyDescent="0.25">
      <c r="I305" s="66"/>
      <c r="J305" s="66"/>
      <c r="K305" s="66"/>
      <c r="L305" s="66"/>
      <c r="M305" s="66"/>
      <c r="N305" s="66"/>
      <c r="O305" s="66"/>
      <c r="P305" s="66"/>
      <c r="Q305" s="66"/>
      <c r="R305" s="66"/>
      <c r="S305" s="66"/>
      <c r="T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c r="CD305" s="66"/>
      <c r="CE305" s="66"/>
      <c r="CF305" s="66"/>
      <c r="CG305" s="66"/>
      <c r="CH305" s="66"/>
      <c r="CI305" s="66"/>
      <c r="CJ305" s="66"/>
      <c r="CK305" s="66"/>
      <c r="CL305" s="66"/>
      <c r="CM305" s="66"/>
      <c r="CN305" s="66"/>
      <c r="CO305" s="66"/>
      <c r="CP305" s="66"/>
      <c r="CQ305" s="66"/>
      <c r="CR305" s="66"/>
      <c r="CS305" s="66"/>
      <c r="CT305" s="66"/>
      <c r="CU305" s="66"/>
      <c r="CV305" s="66"/>
      <c r="CW305" s="66"/>
      <c r="CX305" s="66"/>
      <c r="CY305" s="66"/>
      <c r="CZ305" s="66"/>
      <c r="DA305" s="66"/>
      <c r="DB305" s="66"/>
      <c r="DC305" s="66"/>
      <c r="DD305" s="66"/>
      <c r="DE305" s="66"/>
      <c r="DF305" s="66"/>
      <c r="DG305" s="66"/>
      <c r="DH305" s="66"/>
      <c r="DI305" s="66"/>
      <c r="DJ305" s="66"/>
      <c r="DK305" s="66"/>
      <c r="DL305" s="66"/>
      <c r="DM305" s="66"/>
      <c r="DN305" s="66"/>
      <c r="DO305" s="66"/>
      <c r="DP305" s="66"/>
      <c r="DQ305" s="66"/>
      <c r="DR305" s="66"/>
      <c r="DS305" s="66"/>
      <c r="DT305" s="66"/>
      <c r="DU305" s="66"/>
      <c r="DV305" s="66"/>
      <c r="DW305" s="66"/>
      <c r="DX305" s="66"/>
      <c r="DY305" s="66"/>
      <c r="DZ305" s="66"/>
      <c r="EA305" s="66"/>
      <c r="EB305" s="66"/>
      <c r="EC305" s="66"/>
      <c r="ED305" s="66"/>
      <c r="EE305" s="66"/>
      <c r="EF305" s="66"/>
      <c r="EG305" s="66"/>
      <c r="EH305" s="66"/>
      <c r="EI305" s="66"/>
      <c r="EJ305" s="66"/>
      <c r="EK305" s="66"/>
      <c r="EL305" s="66"/>
      <c r="EM305" s="66"/>
      <c r="EN305" s="66"/>
      <c r="EO305" s="66"/>
      <c r="EP305" s="66"/>
      <c r="EQ305" s="66"/>
      <c r="ER305" s="66"/>
      <c r="ES305" s="66"/>
      <c r="ET305" s="66"/>
      <c r="EU305" s="66"/>
      <c r="EV305" s="66"/>
      <c r="EW305" s="66"/>
      <c r="EX305" s="66"/>
      <c r="EY305" s="66"/>
      <c r="EZ305" s="66"/>
      <c r="FA305" s="66"/>
      <c r="FB305" s="66"/>
      <c r="FC305" s="66"/>
      <c r="FD305" s="66"/>
      <c r="FE305" s="66"/>
      <c r="FF305" s="66"/>
      <c r="FG305" s="66"/>
      <c r="FH305" s="66"/>
      <c r="FI305" s="66"/>
      <c r="FJ305" s="66"/>
      <c r="FK305" s="66"/>
      <c r="FL305" s="66"/>
      <c r="FM305" s="66"/>
      <c r="FN305" s="66"/>
      <c r="FO305" s="66"/>
      <c r="FP305" s="66"/>
      <c r="FQ305" s="66"/>
      <c r="FR305" s="66"/>
      <c r="FS305" s="66"/>
      <c r="FT305" s="66"/>
      <c r="FU305" s="66"/>
      <c r="FV305" s="66"/>
      <c r="FW305" s="66"/>
      <c r="FX305" s="66"/>
      <c r="FY305" s="66"/>
      <c r="FZ305" s="66"/>
      <c r="GA305" s="66"/>
      <c r="GB305" s="66"/>
      <c r="GC305" s="66"/>
      <c r="GD305" s="66"/>
      <c r="GE305" s="66"/>
      <c r="GF305" s="66"/>
      <c r="GG305" s="66"/>
      <c r="GH305" s="66"/>
      <c r="GI305" s="66"/>
      <c r="GJ305" s="66"/>
      <c r="GK305" s="66"/>
      <c r="GL305" s="66"/>
      <c r="GM305" s="66"/>
      <c r="GN305" s="66"/>
      <c r="GO305" s="66"/>
      <c r="GP305" s="66"/>
      <c r="GQ305" s="66"/>
      <c r="GR305" s="66"/>
      <c r="GS305" s="66"/>
      <c r="GT305" s="66"/>
      <c r="GU305" s="66"/>
      <c r="GV305" s="66"/>
      <c r="GW305" s="66"/>
      <c r="GX305" s="66"/>
      <c r="GY305" s="66"/>
      <c r="GZ305" s="66"/>
      <c r="HA305" s="66"/>
      <c r="HB305" s="66"/>
      <c r="HC305" s="66"/>
      <c r="HD305" s="66"/>
      <c r="HE305" s="66"/>
      <c r="HF305" s="66"/>
      <c r="HG305" s="66"/>
      <c r="HH305" s="66"/>
      <c r="HI305" s="66"/>
      <c r="HJ305" s="66"/>
      <c r="HK305" s="66"/>
      <c r="HL305" s="66"/>
      <c r="HM305" s="66"/>
      <c r="HN305" s="66"/>
      <c r="HO305" s="66"/>
      <c r="HP305" s="66"/>
      <c r="HQ305" s="66"/>
      <c r="HR305" s="66"/>
      <c r="HS305" s="66"/>
      <c r="HT305" s="66"/>
      <c r="HU305" s="66"/>
      <c r="HV305" s="66"/>
      <c r="HW305" s="66"/>
      <c r="HX305" s="66"/>
      <c r="HY305" s="66"/>
      <c r="HZ305" s="66"/>
      <c r="IA305" s="66"/>
      <c r="IB305" s="66"/>
      <c r="IC305" s="66"/>
      <c r="ID305" s="66"/>
      <c r="IE305" s="66"/>
      <c r="IF305" s="66"/>
      <c r="IG305" s="66"/>
      <c r="IH305" s="66"/>
      <c r="II305" s="66"/>
      <c r="IJ305" s="66"/>
      <c r="IK305" s="66"/>
      <c r="IL305" s="66"/>
      <c r="IM305" s="66"/>
      <c r="IN305" s="66"/>
      <c r="IO305" s="66"/>
      <c r="IP305" s="66"/>
      <c r="IQ305" s="66"/>
      <c r="IR305" s="66"/>
      <c r="IS305" s="66"/>
      <c r="IT305" s="66"/>
      <c r="IU305" s="66"/>
      <c r="IV305" s="66"/>
      <c r="IW305" s="66"/>
      <c r="IX305" s="66"/>
      <c r="IY305" s="66"/>
      <c r="IZ305" s="66"/>
      <c r="JA305" s="66"/>
      <c r="JB305" s="66"/>
      <c r="JC305" s="66"/>
      <c r="JD305" s="66"/>
      <c r="JE305" s="66"/>
      <c r="JF305" s="66"/>
      <c r="JG305" s="66"/>
      <c r="JH305" s="66"/>
      <c r="JI305" s="66"/>
      <c r="JJ305" s="66"/>
      <c r="JK305" s="66"/>
      <c r="JL305" s="66"/>
      <c r="JM305" s="66"/>
      <c r="JN305" s="66"/>
      <c r="JO305" s="66"/>
      <c r="JP305" s="66"/>
      <c r="JQ305" s="66"/>
      <c r="JR305" s="66"/>
      <c r="JS305" s="66"/>
      <c r="JT305" s="66"/>
      <c r="JU305" s="66"/>
      <c r="JV305" s="66"/>
      <c r="JW305" s="66"/>
      <c r="JX305" s="66"/>
      <c r="JY305" s="66"/>
      <c r="JZ305" s="66"/>
      <c r="KA305" s="66"/>
      <c r="KB305" s="66"/>
      <c r="KC305" s="66"/>
      <c r="KD305" s="66"/>
      <c r="KE305" s="66"/>
      <c r="KF305" s="66"/>
      <c r="KG305" s="66"/>
      <c r="KH305" s="66"/>
      <c r="KI305" s="66"/>
      <c r="KJ305" s="66"/>
      <c r="KK305" s="66"/>
      <c r="KL305" s="66"/>
      <c r="KM305" s="66"/>
      <c r="KN305" s="66"/>
      <c r="KO305" s="66"/>
      <c r="KP305" s="66"/>
      <c r="KQ305" s="66"/>
      <c r="KR305" s="66"/>
      <c r="KS305" s="66"/>
      <c r="KT305" s="66"/>
      <c r="KU305" s="66"/>
      <c r="KV305" s="66"/>
      <c r="KW305" s="66"/>
      <c r="KX305" s="66"/>
      <c r="KY305" s="66"/>
      <c r="KZ305" s="66"/>
      <c r="LA305" s="66"/>
      <c r="LB305" s="66"/>
      <c r="LC305" s="66"/>
      <c r="LD305" s="66"/>
      <c r="LE305" s="66"/>
      <c r="LF305" s="66"/>
      <c r="LG305" s="66"/>
      <c r="LH305" s="66"/>
      <c r="LI305" s="66"/>
      <c r="LJ305" s="66"/>
      <c r="LK305" s="66"/>
      <c r="LL305" s="66"/>
      <c r="LM305" s="66"/>
      <c r="LN305" s="66"/>
      <c r="LO305" s="66"/>
      <c r="LP305" s="66"/>
      <c r="LQ305" s="66"/>
      <c r="LR305" s="66"/>
      <c r="LS305" s="66"/>
      <c r="LT305" s="66"/>
      <c r="LU305" s="66"/>
      <c r="LV305" s="66"/>
      <c r="LW305" s="66"/>
      <c r="LX305" s="66"/>
      <c r="LY305" s="66"/>
      <c r="LZ305" s="66"/>
      <c r="MA305" s="66"/>
      <c r="MB305" s="66"/>
      <c r="MC305" s="66"/>
      <c r="MD305" s="66"/>
      <c r="ME305" s="66"/>
      <c r="MF305" s="66"/>
      <c r="MG305" s="66"/>
      <c r="MH305" s="66"/>
      <c r="MI305" s="66"/>
      <c r="MJ305" s="66"/>
      <c r="MK305" s="66"/>
      <c r="ML305" s="66"/>
      <c r="MM305" s="66"/>
      <c r="MN305" s="66"/>
      <c r="MO305" s="66"/>
      <c r="MP305" s="66"/>
      <c r="MQ305" s="66"/>
      <c r="MR305" s="66"/>
      <c r="MS305" s="66"/>
      <c r="MT305" s="66"/>
      <c r="MU305" s="66"/>
      <c r="MV305" s="66"/>
      <c r="MW305" s="66"/>
      <c r="MX305" s="66"/>
      <c r="MY305" s="66"/>
      <c r="MZ305" s="66"/>
      <c r="NA305" s="66"/>
      <c r="NB305" s="66"/>
      <c r="NC305" s="66"/>
      <c r="ND305" s="66"/>
      <c r="NE305" s="66"/>
      <c r="NF305" s="66"/>
      <c r="NG305" s="66"/>
      <c r="NH305" s="66"/>
      <c r="NI305" s="66"/>
      <c r="NJ305" s="66"/>
      <c r="NK305" s="66"/>
      <c r="NL305" s="66"/>
      <c r="NM305" s="66"/>
      <c r="NN305" s="66"/>
      <c r="NO305" s="66"/>
      <c r="NP305" s="66"/>
      <c r="NQ305" s="66"/>
      <c r="NR305" s="66"/>
      <c r="NS305" s="66"/>
      <c r="NT305" s="66"/>
      <c r="NU305" s="66"/>
      <c r="NV305" s="66"/>
      <c r="NW305" s="66"/>
      <c r="NX305" s="66"/>
      <c r="NY305" s="66"/>
      <c r="NZ305" s="66"/>
      <c r="OA305" s="66"/>
      <c r="OB305" s="66"/>
      <c r="OC305" s="66"/>
      <c r="OD305" s="66"/>
      <c r="OE305" s="66"/>
      <c r="OF305" s="66"/>
      <c r="OG305" s="66"/>
      <c r="OH305" s="66"/>
      <c r="OI305" s="66"/>
      <c r="OJ305" s="66"/>
      <c r="OK305" s="66"/>
      <c r="OL305" s="66"/>
      <c r="OM305" s="66"/>
      <c r="ON305" s="66"/>
      <c r="OO305" s="66"/>
      <c r="OP305" s="66"/>
      <c r="OQ305" s="66"/>
      <c r="OR305" s="66"/>
      <c r="OS305" s="66"/>
      <c r="OT305" s="66"/>
      <c r="OU305" s="66"/>
      <c r="OV305" s="66"/>
      <c r="OW305" s="66"/>
      <c r="OX305" s="66"/>
      <c r="OY305" s="66"/>
      <c r="OZ305" s="66"/>
      <c r="PA305" s="66"/>
      <c r="PB305" s="66"/>
      <c r="PC305" s="66"/>
      <c r="PD305" s="66"/>
      <c r="PE305" s="66"/>
      <c r="PF305" s="66"/>
      <c r="PG305" s="66"/>
      <c r="PH305" s="66"/>
      <c r="PI305" s="66"/>
      <c r="PJ305" s="66"/>
      <c r="PK305" s="66"/>
      <c r="PL305" s="66"/>
      <c r="PM305" s="66"/>
      <c r="PN305" s="66"/>
      <c r="PO305" s="66"/>
      <c r="PP305" s="66"/>
      <c r="PQ305" s="66"/>
      <c r="PR305" s="66"/>
      <c r="PS305" s="66"/>
      <c r="PT305" s="66"/>
      <c r="PU305" s="66"/>
      <c r="PV305" s="66"/>
      <c r="PW305" s="66"/>
      <c r="PX305" s="66"/>
      <c r="PY305" s="66"/>
      <c r="PZ305" s="66"/>
      <c r="QA305" s="66"/>
      <c r="QB305" s="66"/>
      <c r="QC305" s="66"/>
      <c r="QD305" s="66"/>
      <c r="QE305" s="66"/>
      <c r="QF305" s="66"/>
      <c r="QG305" s="66"/>
      <c r="QH305" s="66"/>
      <c r="QI305" s="66"/>
      <c r="QJ305" s="66"/>
      <c r="QK305" s="66"/>
      <c r="QL305" s="66"/>
      <c r="QM305" s="66"/>
      <c r="QN305" s="66"/>
      <c r="QO305" s="66"/>
      <c r="QP305" s="66"/>
      <c r="QQ305" s="66"/>
      <c r="QR305" s="66"/>
      <c r="QS305" s="66"/>
      <c r="QT305" s="66"/>
      <c r="QU305" s="66"/>
      <c r="QV305" s="66"/>
      <c r="QW305" s="66"/>
      <c r="QX305" s="66"/>
      <c r="QY305" s="66"/>
      <c r="QZ305" s="66"/>
      <c r="RA305" s="66"/>
      <c r="RB305" s="66"/>
      <c r="RC305" s="66"/>
      <c r="RD305" s="4"/>
    </row>
    <row r="306" spans="9:472" x14ac:dyDescent="0.25">
      <c r="I306" s="66"/>
      <c r="J306" s="66"/>
      <c r="K306" s="66"/>
      <c r="L306" s="66"/>
      <c r="M306" s="66"/>
      <c r="N306" s="66"/>
      <c r="O306" s="66"/>
      <c r="P306" s="66"/>
      <c r="Q306" s="66"/>
      <c r="R306" s="66"/>
      <c r="S306" s="66"/>
      <c r="T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c r="CD306" s="66"/>
      <c r="CE306" s="66"/>
      <c r="CF306" s="66"/>
      <c r="CG306" s="66"/>
      <c r="CH306" s="66"/>
      <c r="CI306" s="66"/>
      <c r="CJ306" s="66"/>
      <c r="CK306" s="66"/>
      <c r="CL306" s="66"/>
      <c r="CM306" s="66"/>
      <c r="CN306" s="66"/>
      <c r="CO306" s="66"/>
      <c r="CP306" s="66"/>
      <c r="CQ306" s="66"/>
      <c r="CR306" s="66"/>
      <c r="CS306" s="66"/>
      <c r="CT306" s="66"/>
      <c r="CU306" s="66"/>
      <c r="CV306" s="66"/>
      <c r="CW306" s="66"/>
      <c r="CX306" s="66"/>
      <c r="CY306" s="66"/>
      <c r="CZ306" s="66"/>
      <c r="DA306" s="66"/>
      <c r="DB306" s="66"/>
      <c r="DC306" s="66"/>
      <c r="DD306" s="66"/>
      <c r="DE306" s="66"/>
      <c r="DF306" s="66"/>
      <c r="DG306" s="66"/>
      <c r="DH306" s="66"/>
      <c r="DI306" s="66"/>
      <c r="DJ306" s="66"/>
      <c r="DK306" s="66"/>
      <c r="DL306" s="66"/>
      <c r="DM306" s="66"/>
      <c r="DN306" s="66"/>
      <c r="DO306" s="66"/>
      <c r="DP306" s="66"/>
      <c r="DQ306" s="66"/>
      <c r="DR306" s="66"/>
      <c r="DS306" s="66"/>
      <c r="DT306" s="66"/>
      <c r="DU306" s="66"/>
      <c r="DV306" s="66"/>
      <c r="DW306" s="66"/>
      <c r="DX306" s="66"/>
      <c r="DY306" s="66"/>
      <c r="DZ306" s="66"/>
      <c r="EA306" s="66"/>
      <c r="EB306" s="66"/>
      <c r="EC306" s="66"/>
      <c r="ED306" s="66"/>
      <c r="EE306" s="66"/>
      <c r="EF306" s="66"/>
      <c r="EG306" s="66"/>
      <c r="EH306" s="66"/>
      <c r="EI306" s="66"/>
      <c r="EJ306" s="66"/>
      <c r="EK306" s="66"/>
      <c r="EL306" s="66"/>
      <c r="EM306" s="66"/>
      <c r="EN306" s="66"/>
      <c r="EO306" s="66"/>
      <c r="EP306" s="66"/>
      <c r="EQ306" s="66"/>
      <c r="ER306" s="66"/>
      <c r="ES306" s="66"/>
      <c r="ET306" s="66"/>
      <c r="EU306" s="66"/>
      <c r="EV306" s="66"/>
      <c r="EW306" s="66"/>
      <c r="EX306" s="66"/>
      <c r="EY306" s="66"/>
      <c r="EZ306" s="66"/>
      <c r="FA306" s="66"/>
      <c r="FB306" s="66"/>
      <c r="FC306" s="66"/>
      <c r="FD306" s="66"/>
      <c r="FE306" s="66"/>
      <c r="FF306" s="66"/>
      <c r="FG306" s="66"/>
      <c r="FH306" s="66"/>
      <c r="FI306" s="66"/>
      <c r="FJ306" s="66"/>
      <c r="FK306" s="66"/>
      <c r="FL306" s="66"/>
      <c r="FM306" s="66"/>
      <c r="FN306" s="66"/>
      <c r="FO306" s="66"/>
      <c r="FP306" s="66"/>
      <c r="FQ306" s="66"/>
      <c r="FR306" s="66"/>
      <c r="FS306" s="66"/>
      <c r="FT306" s="66"/>
      <c r="FU306" s="66"/>
      <c r="FV306" s="66"/>
      <c r="FW306" s="66"/>
      <c r="FX306" s="66"/>
      <c r="FY306" s="66"/>
      <c r="FZ306" s="66"/>
      <c r="GA306" s="66"/>
      <c r="GB306" s="66"/>
      <c r="GC306" s="66"/>
      <c r="GD306" s="66"/>
      <c r="GE306" s="66"/>
      <c r="GF306" s="66"/>
      <c r="GG306" s="66"/>
      <c r="GH306" s="66"/>
      <c r="GI306" s="66"/>
      <c r="GJ306" s="66"/>
      <c r="GK306" s="66"/>
      <c r="GL306" s="66"/>
      <c r="GM306" s="66"/>
      <c r="GN306" s="66"/>
      <c r="GO306" s="66"/>
      <c r="GP306" s="66"/>
      <c r="GQ306" s="66"/>
      <c r="GR306" s="66"/>
      <c r="GS306" s="66"/>
      <c r="GT306" s="66"/>
      <c r="GU306" s="66"/>
      <c r="GV306" s="66"/>
      <c r="GW306" s="66"/>
      <c r="GX306" s="66"/>
      <c r="GY306" s="66"/>
      <c r="GZ306" s="66"/>
      <c r="HA306" s="66"/>
      <c r="HB306" s="66"/>
      <c r="HC306" s="66"/>
      <c r="HD306" s="66"/>
      <c r="HE306" s="66"/>
      <c r="HF306" s="66"/>
      <c r="HG306" s="66"/>
      <c r="HH306" s="66"/>
      <c r="HI306" s="66"/>
      <c r="HJ306" s="66"/>
      <c r="HK306" s="66"/>
      <c r="HL306" s="66"/>
      <c r="HM306" s="66"/>
      <c r="HN306" s="66"/>
      <c r="HO306" s="66"/>
      <c r="HP306" s="66"/>
      <c r="HQ306" s="66"/>
      <c r="HR306" s="66"/>
      <c r="HS306" s="66"/>
      <c r="HT306" s="66"/>
      <c r="HU306" s="66"/>
      <c r="HV306" s="66"/>
      <c r="HW306" s="66"/>
      <c r="HX306" s="66"/>
      <c r="HY306" s="66"/>
      <c r="HZ306" s="66"/>
      <c r="IA306" s="66"/>
      <c r="IB306" s="66"/>
      <c r="IC306" s="66"/>
      <c r="ID306" s="66"/>
      <c r="IE306" s="66"/>
      <c r="IF306" s="66"/>
      <c r="IG306" s="66"/>
      <c r="IH306" s="66"/>
      <c r="II306" s="66"/>
      <c r="IJ306" s="66"/>
      <c r="IK306" s="66"/>
      <c r="IL306" s="66"/>
      <c r="IM306" s="66"/>
      <c r="IN306" s="66"/>
      <c r="IO306" s="66"/>
      <c r="IP306" s="66"/>
      <c r="IQ306" s="66"/>
      <c r="IR306" s="66"/>
      <c r="IS306" s="66"/>
      <c r="IT306" s="66"/>
      <c r="IU306" s="66"/>
      <c r="IV306" s="66"/>
      <c r="IW306" s="66"/>
      <c r="IX306" s="66"/>
      <c r="IY306" s="66"/>
      <c r="IZ306" s="66"/>
      <c r="JA306" s="66"/>
      <c r="JB306" s="66"/>
      <c r="JC306" s="66"/>
      <c r="JD306" s="66"/>
      <c r="JE306" s="66"/>
      <c r="JF306" s="66"/>
      <c r="JG306" s="66"/>
      <c r="JH306" s="66"/>
      <c r="JI306" s="66"/>
      <c r="JJ306" s="66"/>
      <c r="JK306" s="66"/>
      <c r="JL306" s="66"/>
      <c r="JM306" s="66"/>
      <c r="JN306" s="66"/>
      <c r="JO306" s="66"/>
      <c r="JP306" s="66"/>
      <c r="JQ306" s="66"/>
      <c r="JR306" s="66"/>
      <c r="JS306" s="66"/>
      <c r="JT306" s="66"/>
      <c r="JU306" s="66"/>
      <c r="JV306" s="66"/>
      <c r="JW306" s="66"/>
      <c r="JX306" s="66"/>
      <c r="JY306" s="66"/>
      <c r="JZ306" s="66"/>
      <c r="KA306" s="66"/>
      <c r="KB306" s="66"/>
      <c r="KC306" s="66"/>
      <c r="KD306" s="66"/>
      <c r="KE306" s="66"/>
      <c r="KF306" s="66"/>
      <c r="KG306" s="66"/>
      <c r="KH306" s="66"/>
      <c r="KI306" s="66"/>
      <c r="KJ306" s="66"/>
      <c r="KK306" s="66"/>
      <c r="KL306" s="66"/>
      <c r="KM306" s="66"/>
      <c r="KN306" s="66"/>
      <c r="KO306" s="66"/>
      <c r="KP306" s="66"/>
      <c r="KQ306" s="66"/>
      <c r="KR306" s="66"/>
      <c r="KS306" s="66"/>
      <c r="KT306" s="66"/>
      <c r="KU306" s="66"/>
      <c r="KV306" s="66"/>
      <c r="KW306" s="66"/>
      <c r="KX306" s="66"/>
      <c r="KY306" s="66"/>
      <c r="KZ306" s="66"/>
      <c r="LA306" s="66"/>
      <c r="LB306" s="66"/>
      <c r="LC306" s="66"/>
      <c r="LD306" s="66"/>
      <c r="LE306" s="66"/>
      <c r="LF306" s="66"/>
      <c r="LG306" s="66"/>
      <c r="LH306" s="66"/>
      <c r="LI306" s="66"/>
      <c r="LJ306" s="66"/>
      <c r="LK306" s="66"/>
      <c r="LL306" s="66"/>
      <c r="LM306" s="66"/>
      <c r="LN306" s="66"/>
      <c r="LO306" s="66"/>
      <c r="LP306" s="66"/>
      <c r="LQ306" s="66"/>
      <c r="LR306" s="66"/>
      <c r="LS306" s="66"/>
      <c r="LT306" s="66"/>
      <c r="LU306" s="66"/>
      <c r="LV306" s="66"/>
      <c r="LW306" s="66"/>
      <c r="LX306" s="66"/>
      <c r="LY306" s="66"/>
      <c r="LZ306" s="66"/>
      <c r="MA306" s="66"/>
      <c r="MB306" s="66"/>
      <c r="MC306" s="66"/>
      <c r="MD306" s="66"/>
      <c r="ME306" s="66"/>
      <c r="MF306" s="66"/>
      <c r="MG306" s="66"/>
      <c r="MH306" s="66"/>
      <c r="MI306" s="66"/>
      <c r="MJ306" s="66"/>
      <c r="MK306" s="66"/>
      <c r="ML306" s="66"/>
      <c r="MM306" s="66"/>
      <c r="MN306" s="66"/>
      <c r="MO306" s="66"/>
      <c r="MP306" s="66"/>
      <c r="MQ306" s="66"/>
      <c r="MR306" s="66"/>
      <c r="MS306" s="66"/>
      <c r="MT306" s="66"/>
      <c r="MU306" s="66"/>
      <c r="MV306" s="66"/>
      <c r="MW306" s="66"/>
      <c r="MX306" s="66"/>
      <c r="MY306" s="66"/>
      <c r="MZ306" s="66"/>
      <c r="NA306" s="66"/>
      <c r="NB306" s="66"/>
      <c r="NC306" s="66"/>
      <c r="ND306" s="66"/>
      <c r="NE306" s="66"/>
      <c r="NF306" s="66"/>
      <c r="NG306" s="66"/>
      <c r="NH306" s="66"/>
      <c r="NI306" s="66"/>
      <c r="NJ306" s="66"/>
      <c r="NK306" s="66"/>
      <c r="NL306" s="66"/>
      <c r="NM306" s="66"/>
      <c r="NN306" s="66"/>
      <c r="NO306" s="66"/>
      <c r="NP306" s="66"/>
      <c r="NQ306" s="66"/>
      <c r="NR306" s="66"/>
      <c r="NS306" s="66"/>
      <c r="NT306" s="66"/>
      <c r="NU306" s="66"/>
      <c r="NV306" s="66"/>
      <c r="NW306" s="66"/>
      <c r="NX306" s="66"/>
      <c r="NY306" s="66"/>
      <c r="NZ306" s="66"/>
      <c r="OA306" s="66"/>
      <c r="OB306" s="66"/>
      <c r="OC306" s="66"/>
      <c r="OD306" s="66"/>
      <c r="OE306" s="66"/>
      <c r="OF306" s="66"/>
      <c r="OG306" s="66"/>
      <c r="OH306" s="66"/>
      <c r="OI306" s="66"/>
      <c r="OJ306" s="66"/>
      <c r="OK306" s="66"/>
      <c r="OL306" s="66"/>
      <c r="OM306" s="66"/>
      <c r="ON306" s="66"/>
      <c r="OO306" s="66"/>
      <c r="OP306" s="66"/>
      <c r="OQ306" s="66"/>
      <c r="OR306" s="66"/>
      <c r="OS306" s="66"/>
      <c r="OT306" s="66"/>
      <c r="OU306" s="66"/>
      <c r="OV306" s="66"/>
      <c r="OW306" s="66"/>
      <c r="OX306" s="66"/>
      <c r="OY306" s="66"/>
      <c r="OZ306" s="66"/>
      <c r="PA306" s="66"/>
      <c r="PB306" s="66"/>
      <c r="PC306" s="66"/>
      <c r="PD306" s="66"/>
      <c r="PE306" s="66"/>
      <c r="PF306" s="66"/>
      <c r="PG306" s="66"/>
      <c r="PH306" s="66"/>
      <c r="PI306" s="66"/>
      <c r="PJ306" s="66"/>
      <c r="PK306" s="66"/>
      <c r="PL306" s="66"/>
      <c r="PM306" s="66"/>
      <c r="PN306" s="66"/>
      <c r="PO306" s="66"/>
      <c r="PP306" s="66"/>
      <c r="PQ306" s="66"/>
      <c r="PR306" s="66"/>
      <c r="PS306" s="66"/>
      <c r="PT306" s="66"/>
      <c r="PU306" s="66"/>
      <c r="PV306" s="66"/>
      <c r="PW306" s="66"/>
      <c r="PX306" s="66"/>
      <c r="PY306" s="66"/>
      <c r="PZ306" s="66"/>
      <c r="QA306" s="66"/>
      <c r="QB306" s="66"/>
      <c r="QC306" s="66"/>
      <c r="QD306" s="66"/>
      <c r="QE306" s="66"/>
      <c r="QF306" s="66"/>
      <c r="QG306" s="66"/>
      <c r="QH306" s="66"/>
      <c r="QI306" s="66"/>
      <c r="QJ306" s="66"/>
      <c r="QK306" s="66"/>
      <c r="QL306" s="66"/>
      <c r="QM306" s="66"/>
      <c r="QN306" s="66"/>
      <c r="QO306" s="66"/>
      <c r="QP306" s="66"/>
      <c r="QQ306" s="66"/>
      <c r="QR306" s="66"/>
      <c r="QS306" s="66"/>
      <c r="QT306" s="66"/>
      <c r="QU306" s="66"/>
      <c r="QV306" s="66"/>
      <c r="QW306" s="66"/>
      <c r="QX306" s="66"/>
      <c r="QY306" s="66"/>
      <c r="QZ306" s="66"/>
      <c r="RA306" s="66"/>
      <c r="RB306" s="66"/>
      <c r="RC306" s="66"/>
      <c r="RD306" s="4"/>
    </row>
    <row r="307" spans="9:472" x14ac:dyDescent="0.25">
      <c r="I307" s="66"/>
      <c r="J307" s="66"/>
      <c r="K307" s="66"/>
      <c r="L307" s="66"/>
      <c r="M307" s="66"/>
      <c r="N307" s="66"/>
      <c r="O307" s="66"/>
      <c r="P307" s="66"/>
      <c r="Q307" s="66"/>
      <c r="R307" s="66"/>
      <c r="S307" s="66"/>
      <c r="T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c r="CY307" s="66"/>
      <c r="CZ307" s="66"/>
      <c r="DA307" s="66"/>
      <c r="DB307" s="66"/>
      <c r="DC307" s="66"/>
      <c r="DD307" s="66"/>
      <c r="DE307" s="66"/>
      <c r="DF307" s="66"/>
      <c r="DG307" s="66"/>
      <c r="DH307" s="66"/>
      <c r="DI307" s="66"/>
      <c r="DJ307" s="66"/>
      <c r="DK307" s="66"/>
      <c r="DL307" s="66"/>
      <c r="DM307" s="66"/>
      <c r="DN307" s="66"/>
      <c r="DO307" s="66"/>
      <c r="DP307" s="66"/>
      <c r="DQ307" s="66"/>
      <c r="DR307" s="66"/>
      <c r="DS307" s="66"/>
      <c r="DT307" s="66"/>
      <c r="DU307" s="66"/>
      <c r="DV307" s="66"/>
      <c r="DW307" s="66"/>
      <c r="DX307" s="66"/>
      <c r="DY307" s="66"/>
      <c r="DZ307" s="66"/>
      <c r="EA307" s="66"/>
      <c r="EB307" s="66"/>
      <c r="EC307" s="66"/>
      <c r="ED307" s="66"/>
      <c r="EE307" s="66"/>
      <c r="EF307" s="66"/>
      <c r="EG307" s="66"/>
      <c r="EH307" s="66"/>
      <c r="EI307" s="66"/>
      <c r="EJ307" s="66"/>
      <c r="EK307" s="66"/>
      <c r="EL307" s="66"/>
      <c r="EM307" s="66"/>
      <c r="EN307" s="66"/>
      <c r="EO307" s="66"/>
      <c r="EP307" s="66"/>
      <c r="EQ307" s="66"/>
      <c r="ER307" s="66"/>
      <c r="ES307" s="66"/>
      <c r="ET307" s="66"/>
      <c r="EU307" s="66"/>
      <c r="EV307" s="66"/>
      <c r="EW307" s="66"/>
      <c r="EX307" s="66"/>
      <c r="EY307" s="66"/>
      <c r="EZ307" s="66"/>
      <c r="FA307" s="66"/>
      <c r="FB307" s="66"/>
      <c r="FC307" s="66"/>
      <c r="FD307" s="66"/>
      <c r="FE307" s="66"/>
      <c r="FF307" s="66"/>
      <c r="FG307" s="66"/>
      <c r="FH307" s="66"/>
      <c r="FI307" s="66"/>
      <c r="FJ307" s="66"/>
      <c r="FK307" s="66"/>
      <c r="FL307" s="66"/>
      <c r="FM307" s="66"/>
      <c r="FN307" s="66"/>
      <c r="FO307" s="66"/>
      <c r="FP307" s="66"/>
      <c r="FQ307" s="66"/>
      <c r="FR307" s="66"/>
      <c r="FS307" s="66"/>
      <c r="FT307" s="66"/>
      <c r="FU307" s="66"/>
      <c r="FV307" s="66"/>
      <c r="FW307" s="66"/>
      <c r="FX307" s="66"/>
      <c r="FY307" s="66"/>
      <c r="FZ307" s="66"/>
      <c r="GA307" s="66"/>
      <c r="GB307" s="66"/>
      <c r="GC307" s="66"/>
      <c r="GD307" s="66"/>
      <c r="GE307" s="66"/>
      <c r="GF307" s="66"/>
      <c r="GG307" s="66"/>
      <c r="GH307" s="66"/>
      <c r="GI307" s="66"/>
      <c r="GJ307" s="66"/>
      <c r="GK307" s="66"/>
      <c r="GL307" s="66"/>
      <c r="GM307" s="66"/>
      <c r="GN307" s="66"/>
      <c r="GO307" s="66"/>
      <c r="GP307" s="66"/>
      <c r="GQ307" s="66"/>
      <c r="GR307" s="66"/>
      <c r="GS307" s="66"/>
      <c r="GT307" s="66"/>
      <c r="GU307" s="66"/>
      <c r="GV307" s="66"/>
      <c r="GW307" s="66"/>
      <c r="GX307" s="66"/>
      <c r="GY307" s="66"/>
      <c r="GZ307" s="66"/>
      <c r="HA307" s="66"/>
      <c r="HB307" s="66"/>
      <c r="HC307" s="66"/>
      <c r="HD307" s="66"/>
      <c r="HE307" s="66"/>
      <c r="HF307" s="66"/>
      <c r="HG307" s="66"/>
      <c r="HH307" s="66"/>
      <c r="HI307" s="66"/>
      <c r="HJ307" s="66"/>
      <c r="HK307" s="66"/>
      <c r="HL307" s="66"/>
      <c r="HM307" s="66"/>
      <c r="HN307" s="66"/>
      <c r="HO307" s="66"/>
      <c r="HP307" s="66"/>
      <c r="HQ307" s="66"/>
      <c r="HR307" s="66"/>
      <c r="HS307" s="66"/>
      <c r="HT307" s="66"/>
      <c r="HU307" s="66"/>
      <c r="HV307" s="66"/>
      <c r="HW307" s="66"/>
      <c r="HX307" s="66"/>
      <c r="HY307" s="66"/>
      <c r="HZ307" s="66"/>
      <c r="IA307" s="66"/>
      <c r="IB307" s="66"/>
      <c r="IC307" s="66"/>
      <c r="ID307" s="66"/>
      <c r="IE307" s="66"/>
      <c r="IF307" s="66"/>
      <c r="IG307" s="66"/>
      <c r="IH307" s="66"/>
      <c r="II307" s="66"/>
      <c r="IJ307" s="66"/>
      <c r="IK307" s="66"/>
      <c r="IL307" s="66"/>
      <c r="IM307" s="66"/>
      <c r="IN307" s="66"/>
      <c r="IO307" s="66"/>
      <c r="IP307" s="66"/>
      <c r="IQ307" s="66"/>
      <c r="IR307" s="66"/>
      <c r="IS307" s="66"/>
      <c r="IT307" s="66"/>
      <c r="IU307" s="66"/>
      <c r="IV307" s="66"/>
      <c r="IW307" s="66"/>
      <c r="IX307" s="66"/>
      <c r="IY307" s="66"/>
      <c r="IZ307" s="66"/>
      <c r="JA307" s="66"/>
      <c r="JB307" s="66"/>
      <c r="JC307" s="66"/>
      <c r="JD307" s="66"/>
      <c r="JE307" s="66"/>
      <c r="JF307" s="66"/>
      <c r="JG307" s="66"/>
      <c r="JH307" s="66"/>
      <c r="JI307" s="66"/>
      <c r="JJ307" s="66"/>
      <c r="JK307" s="66"/>
      <c r="JL307" s="66"/>
      <c r="JM307" s="66"/>
      <c r="JN307" s="66"/>
      <c r="JO307" s="66"/>
      <c r="JP307" s="66"/>
      <c r="JQ307" s="66"/>
      <c r="JR307" s="66"/>
      <c r="JS307" s="66"/>
      <c r="JT307" s="66"/>
      <c r="JU307" s="66"/>
      <c r="JV307" s="66"/>
      <c r="JW307" s="66"/>
      <c r="JX307" s="66"/>
      <c r="JY307" s="66"/>
      <c r="JZ307" s="66"/>
      <c r="KA307" s="66"/>
      <c r="KB307" s="66"/>
      <c r="KC307" s="66"/>
      <c r="KD307" s="66"/>
      <c r="KE307" s="66"/>
      <c r="KF307" s="66"/>
      <c r="KG307" s="66"/>
      <c r="KH307" s="66"/>
      <c r="KI307" s="66"/>
      <c r="KJ307" s="66"/>
      <c r="KK307" s="66"/>
      <c r="KL307" s="66"/>
      <c r="KM307" s="66"/>
      <c r="KN307" s="66"/>
      <c r="KO307" s="66"/>
      <c r="KP307" s="66"/>
      <c r="KQ307" s="66"/>
      <c r="KR307" s="66"/>
      <c r="KS307" s="66"/>
      <c r="KT307" s="66"/>
      <c r="KU307" s="66"/>
      <c r="KV307" s="66"/>
      <c r="KW307" s="66"/>
      <c r="KX307" s="66"/>
      <c r="KY307" s="66"/>
      <c r="KZ307" s="66"/>
      <c r="LA307" s="66"/>
      <c r="LB307" s="66"/>
      <c r="LC307" s="66"/>
      <c r="LD307" s="66"/>
      <c r="LE307" s="66"/>
      <c r="LF307" s="66"/>
      <c r="LG307" s="66"/>
      <c r="LH307" s="66"/>
      <c r="LI307" s="66"/>
      <c r="LJ307" s="66"/>
      <c r="LK307" s="66"/>
      <c r="LL307" s="66"/>
      <c r="LM307" s="66"/>
      <c r="LN307" s="66"/>
      <c r="LO307" s="66"/>
      <c r="LP307" s="66"/>
      <c r="LQ307" s="66"/>
      <c r="LR307" s="66"/>
      <c r="LS307" s="66"/>
      <c r="LT307" s="66"/>
      <c r="LU307" s="66"/>
      <c r="LV307" s="66"/>
      <c r="LW307" s="66"/>
      <c r="LX307" s="66"/>
      <c r="LY307" s="66"/>
      <c r="LZ307" s="66"/>
      <c r="MA307" s="66"/>
      <c r="MB307" s="66"/>
      <c r="MC307" s="66"/>
      <c r="MD307" s="66"/>
      <c r="ME307" s="66"/>
      <c r="MF307" s="66"/>
      <c r="MG307" s="66"/>
      <c r="MH307" s="66"/>
      <c r="MI307" s="66"/>
      <c r="MJ307" s="66"/>
      <c r="MK307" s="66"/>
      <c r="ML307" s="66"/>
      <c r="MM307" s="66"/>
      <c r="MN307" s="66"/>
      <c r="MO307" s="66"/>
      <c r="MP307" s="66"/>
      <c r="MQ307" s="66"/>
      <c r="MR307" s="66"/>
      <c r="MS307" s="66"/>
      <c r="MT307" s="66"/>
      <c r="MU307" s="66"/>
      <c r="MV307" s="66"/>
      <c r="MW307" s="66"/>
      <c r="MX307" s="66"/>
      <c r="MY307" s="66"/>
      <c r="MZ307" s="66"/>
      <c r="NA307" s="66"/>
      <c r="NB307" s="66"/>
      <c r="NC307" s="66"/>
      <c r="ND307" s="66"/>
      <c r="NE307" s="66"/>
      <c r="NF307" s="66"/>
      <c r="NG307" s="66"/>
      <c r="NH307" s="66"/>
      <c r="NI307" s="66"/>
      <c r="NJ307" s="66"/>
      <c r="NK307" s="66"/>
      <c r="NL307" s="66"/>
      <c r="NM307" s="66"/>
      <c r="NN307" s="66"/>
      <c r="NO307" s="66"/>
      <c r="NP307" s="66"/>
      <c r="NQ307" s="66"/>
      <c r="NR307" s="66"/>
      <c r="NS307" s="66"/>
      <c r="NT307" s="66"/>
      <c r="NU307" s="66"/>
      <c r="NV307" s="66"/>
      <c r="NW307" s="66"/>
      <c r="NX307" s="66"/>
      <c r="NY307" s="66"/>
      <c r="NZ307" s="66"/>
      <c r="OA307" s="66"/>
      <c r="OB307" s="66"/>
      <c r="OC307" s="66"/>
      <c r="OD307" s="66"/>
      <c r="OE307" s="66"/>
      <c r="OF307" s="66"/>
      <c r="OG307" s="66"/>
      <c r="OH307" s="66"/>
      <c r="OI307" s="66"/>
      <c r="OJ307" s="66"/>
      <c r="OK307" s="66"/>
      <c r="OL307" s="66"/>
      <c r="OM307" s="66"/>
      <c r="ON307" s="66"/>
      <c r="OO307" s="66"/>
      <c r="OP307" s="66"/>
      <c r="OQ307" s="66"/>
      <c r="OR307" s="66"/>
      <c r="OS307" s="66"/>
      <c r="OT307" s="66"/>
      <c r="OU307" s="66"/>
      <c r="OV307" s="66"/>
      <c r="OW307" s="66"/>
      <c r="OX307" s="66"/>
      <c r="OY307" s="66"/>
      <c r="OZ307" s="66"/>
      <c r="PA307" s="66"/>
      <c r="PB307" s="66"/>
      <c r="PC307" s="66"/>
      <c r="PD307" s="66"/>
      <c r="PE307" s="66"/>
      <c r="PF307" s="66"/>
      <c r="PG307" s="66"/>
      <c r="PH307" s="66"/>
      <c r="PI307" s="66"/>
      <c r="PJ307" s="66"/>
      <c r="PK307" s="66"/>
      <c r="PL307" s="66"/>
      <c r="PM307" s="66"/>
      <c r="PN307" s="66"/>
      <c r="PO307" s="66"/>
      <c r="PP307" s="66"/>
      <c r="PQ307" s="66"/>
      <c r="PR307" s="66"/>
      <c r="PS307" s="66"/>
      <c r="PT307" s="66"/>
      <c r="PU307" s="66"/>
      <c r="PV307" s="66"/>
      <c r="PW307" s="66"/>
      <c r="PX307" s="66"/>
      <c r="PY307" s="66"/>
      <c r="PZ307" s="66"/>
      <c r="QA307" s="66"/>
      <c r="QB307" s="66"/>
      <c r="QC307" s="66"/>
      <c r="QD307" s="66"/>
      <c r="QE307" s="66"/>
      <c r="QF307" s="66"/>
      <c r="QG307" s="66"/>
      <c r="QH307" s="66"/>
      <c r="QI307" s="66"/>
      <c r="QJ307" s="66"/>
      <c r="QK307" s="66"/>
      <c r="QL307" s="66"/>
      <c r="QM307" s="66"/>
      <c r="QN307" s="66"/>
      <c r="QO307" s="66"/>
      <c r="QP307" s="66"/>
      <c r="QQ307" s="66"/>
      <c r="QR307" s="66"/>
      <c r="QS307" s="66"/>
      <c r="QT307" s="66"/>
      <c r="QU307" s="66"/>
      <c r="QV307" s="66"/>
      <c r="QW307" s="66"/>
      <c r="QX307" s="66"/>
      <c r="QY307" s="66"/>
      <c r="QZ307" s="66"/>
      <c r="RA307" s="66"/>
      <c r="RB307" s="66"/>
      <c r="RC307" s="66"/>
      <c r="RD307" s="4"/>
    </row>
    <row r="308" spans="9:472" x14ac:dyDescent="0.25">
      <c r="I308" s="66"/>
      <c r="J308" s="66"/>
      <c r="K308" s="66"/>
      <c r="L308" s="66"/>
      <c r="M308" s="66"/>
      <c r="N308" s="66"/>
      <c r="O308" s="66"/>
      <c r="P308" s="66"/>
      <c r="Q308" s="66"/>
      <c r="R308" s="66"/>
      <c r="S308" s="66"/>
      <c r="T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6"/>
      <c r="BZ308" s="66"/>
      <c r="CA308" s="66"/>
      <c r="CB308" s="66"/>
      <c r="CC308" s="66"/>
      <c r="CD308" s="66"/>
      <c r="CE308" s="66"/>
      <c r="CF308" s="66"/>
      <c r="CG308" s="66"/>
      <c r="CH308" s="66"/>
      <c r="CI308" s="66"/>
      <c r="CJ308" s="66"/>
      <c r="CK308" s="66"/>
      <c r="CL308" s="66"/>
      <c r="CM308" s="66"/>
      <c r="CN308" s="66"/>
      <c r="CO308" s="66"/>
      <c r="CP308" s="66"/>
      <c r="CQ308" s="66"/>
      <c r="CR308" s="66"/>
      <c r="CS308" s="66"/>
      <c r="CT308" s="66"/>
      <c r="CU308" s="66"/>
      <c r="CV308" s="66"/>
      <c r="CW308" s="66"/>
      <c r="CX308" s="66"/>
      <c r="CY308" s="66"/>
      <c r="CZ308" s="66"/>
      <c r="DA308" s="66"/>
      <c r="DB308" s="66"/>
      <c r="DC308" s="66"/>
      <c r="DD308" s="66"/>
      <c r="DE308" s="66"/>
      <c r="DF308" s="66"/>
      <c r="DG308" s="66"/>
      <c r="DH308" s="66"/>
      <c r="DI308" s="66"/>
      <c r="DJ308" s="66"/>
      <c r="DK308" s="66"/>
      <c r="DL308" s="66"/>
      <c r="DM308" s="66"/>
      <c r="DN308" s="66"/>
      <c r="DO308" s="66"/>
      <c r="DP308" s="66"/>
      <c r="DQ308" s="66"/>
      <c r="DR308" s="66"/>
      <c r="DS308" s="66"/>
      <c r="DT308" s="66"/>
      <c r="DU308" s="66"/>
      <c r="DV308" s="66"/>
      <c r="DW308" s="66"/>
      <c r="DX308" s="66"/>
      <c r="DY308" s="66"/>
      <c r="DZ308" s="66"/>
      <c r="EA308" s="66"/>
      <c r="EB308" s="66"/>
      <c r="EC308" s="66"/>
      <c r="ED308" s="66"/>
      <c r="EE308" s="66"/>
      <c r="EF308" s="66"/>
      <c r="EG308" s="66"/>
      <c r="EH308" s="66"/>
      <c r="EI308" s="66"/>
      <c r="EJ308" s="66"/>
      <c r="EK308" s="66"/>
      <c r="EL308" s="66"/>
      <c r="EM308" s="66"/>
      <c r="EN308" s="66"/>
      <c r="EO308" s="66"/>
      <c r="EP308" s="66"/>
      <c r="EQ308" s="66"/>
      <c r="ER308" s="66"/>
      <c r="ES308" s="66"/>
      <c r="ET308" s="66"/>
      <c r="EU308" s="66"/>
      <c r="EV308" s="66"/>
      <c r="EW308" s="66"/>
      <c r="EX308" s="66"/>
      <c r="EY308" s="66"/>
      <c r="EZ308" s="66"/>
      <c r="FA308" s="66"/>
      <c r="FB308" s="66"/>
      <c r="FC308" s="66"/>
      <c r="FD308" s="66"/>
      <c r="FE308" s="66"/>
      <c r="FF308" s="66"/>
      <c r="FG308" s="66"/>
      <c r="FH308" s="66"/>
      <c r="FI308" s="66"/>
      <c r="FJ308" s="66"/>
      <c r="FK308" s="66"/>
      <c r="FL308" s="66"/>
      <c r="FM308" s="66"/>
      <c r="FN308" s="66"/>
      <c r="FO308" s="66"/>
      <c r="FP308" s="66"/>
      <c r="FQ308" s="66"/>
      <c r="FR308" s="66"/>
      <c r="FS308" s="66"/>
      <c r="FT308" s="66"/>
      <c r="FU308" s="66"/>
      <c r="FV308" s="66"/>
      <c r="FW308" s="66"/>
      <c r="FX308" s="66"/>
      <c r="FY308" s="66"/>
      <c r="FZ308" s="66"/>
      <c r="GA308" s="66"/>
      <c r="GB308" s="66"/>
      <c r="GC308" s="66"/>
      <c r="GD308" s="66"/>
      <c r="GE308" s="66"/>
      <c r="GF308" s="66"/>
      <c r="GG308" s="66"/>
      <c r="GH308" s="66"/>
      <c r="GI308" s="66"/>
      <c r="GJ308" s="66"/>
      <c r="GK308" s="66"/>
      <c r="GL308" s="66"/>
      <c r="GM308" s="66"/>
      <c r="GN308" s="66"/>
      <c r="GO308" s="66"/>
      <c r="GP308" s="66"/>
      <c r="GQ308" s="66"/>
      <c r="GR308" s="66"/>
      <c r="GS308" s="66"/>
      <c r="GT308" s="66"/>
      <c r="GU308" s="66"/>
      <c r="GV308" s="66"/>
      <c r="GW308" s="66"/>
      <c r="GX308" s="66"/>
      <c r="GY308" s="66"/>
      <c r="GZ308" s="66"/>
      <c r="HA308" s="66"/>
      <c r="HB308" s="66"/>
      <c r="HC308" s="66"/>
      <c r="HD308" s="66"/>
      <c r="HE308" s="66"/>
      <c r="HF308" s="66"/>
      <c r="HG308" s="66"/>
      <c r="HH308" s="66"/>
      <c r="HI308" s="66"/>
      <c r="HJ308" s="66"/>
      <c r="HK308" s="66"/>
      <c r="HL308" s="66"/>
      <c r="HM308" s="66"/>
      <c r="HN308" s="66"/>
      <c r="HO308" s="66"/>
      <c r="HP308" s="66"/>
      <c r="HQ308" s="66"/>
      <c r="HR308" s="66"/>
      <c r="HS308" s="66"/>
      <c r="HT308" s="66"/>
      <c r="HU308" s="66"/>
      <c r="HV308" s="66"/>
      <c r="HW308" s="66"/>
      <c r="HX308" s="66"/>
      <c r="HY308" s="66"/>
      <c r="HZ308" s="66"/>
      <c r="IA308" s="66"/>
      <c r="IB308" s="66"/>
      <c r="IC308" s="66"/>
      <c r="ID308" s="66"/>
      <c r="IE308" s="66"/>
      <c r="IF308" s="66"/>
      <c r="IG308" s="66"/>
      <c r="IH308" s="66"/>
      <c r="II308" s="66"/>
      <c r="IJ308" s="66"/>
      <c r="IK308" s="66"/>
      <c r="IL308" s="66"/>
      <c r="IM308" s="66"/>
      <c r="IN308" s="66"/>
      <c r="IO308" s="66"/>
      <c r="IP308" s="66"/>
      <c r="IQ308" s="66"/>
      <c r="IR308" s="66"/>
      <c r="IS308" s="66"/>
      <c r="IT308" s="66"/>
      <c r="IU308" s="66"/>
      <c r="IV308" s="66"/>
      <c r="IW308" s="66"/>
      <c r="IX308" s="66"/>
      <c r="IY308" s="66"/>
      <c r="IZ308" s="66"/>
      <c r="JA308" s="66"/>
      <c r="JB308" s="66"/>
      <c r="JC308" s="66"/>
      <c r="JD308" s="66"/>
      <c r="JE308" s="66"/>
      <c r="JF308" s="66"/>
      <c r="JG308" s="66"/>
      <c r="JH308" s="66"/>
      <c r="JI308" s="66"/>
      <c r="JJ308" s="66"/>
      <c r="JK308" s="66"/>
      <c r="JL308" s="66"/>
      <c r="JM308" s="66"/>
      <c r="JN308" s="66"/>
      <c r="JO308" s="66"/>
      <c r="JP308" s="66"/>
      <c r="JQ308" s="66"/>
      <c r="JR308" s="66"/>
      <c r="JS308" s="66"/>
      <c r="JT308" s="66"/>
      <c r="JU308" s="66"/>
      <c r="JV308" s="66"/>
      <c r="JW308" s="66"/>
      <c r="JX308" s="66"/>
      <c r="JY308" s="66"/>
      <c r="JZ308" s="66"/>
      <c r="KA308" s="66"/>
      <c r="KB308" s="66"/>
      <c r="KC308" s="66"/>
      <c r="KD308" s="66"/>
      <c r="KE308" s="66"/>
      <c r="KF308" s="66"/>
      <c r="KG308" s="66"/>
      <c r="KH308" s="66"/>
      <c r="KI308" s="66"/>
      <c r="KJ308" s="66"/>
      <c r="KK308" s="66"/>
      <c r="KL308" s="66"/>
      <c r="KM308" s="66"/>
      <c r="KN308" s="66"/>
      <c r="KO308" s="66"/>
      <c r="KP308" s="66"/>
      <c r="KQ308" s="66"/>
      <c r="KR308" s="66"/>
      <c r="KS308" s="66"/>
      <c r="KT308" s="66"/>
      <c r="KU308" s="66"/>
      <c r="KV308" s="66"/>
      <c r="KW308" s="66"/>
      <c r="KX308" s="66"/>
      <c r="KY308" s="66"/>
      <c r="KZ308" s="66"/>
      <c r="LA308" s="66"/>
      <c r="LB308" s="66"/>
      <c r="LC308" s="66"/>
      <c r="LD308" s="66"/>
      <c r="LE308" s="66"/>
      <c r="LF308" s="66"/>
      <c r="LG308" s="66"/>
      <c r="LH308" s="66"/>
      <c r="LI308" s="66"/>
      <c r="LJ308" s="66"/>
      <c r="LK308" s="66"/>
      <c r="LL308" s="66"/>
      <c r="LM308" s="66"/>
      <c r="LN308" s="66"/>
      <c r="LO308" s="66"/>
      <c r="LP308" s="66"/>
      <c r="LQ308" s="66"/>
      <c r="LR308" s="66"/>
      <c r="LS308" s="66"/>
      <c r="LT308" s="66"/>
      <c r="LU308" s="66"/>
      <c r="LV308" s="66"/>
      <c r="LW308" s="66"/>
      <c r="LX308" s="66"/>
      <c r="LY308" s="66"/>
      <c r="LZ308" s="66"/>
      <c r="MA308" s="66"/>
      <c r="MB308" s="66"/>
      <c r="MC308" s="66"/>
      <c r="MD308" s="66"/>
      <c r="ME308" s="66"/>
      <c r="MF308" s="66"/>
      <c r="MG308" s="66"/>
      <c r="MH308" s="66"/>
      <c r="MI308" s="66"/>
      <c r="MJ308" s="66"/>
      <c r="MK308" s="66"/>
      <c r="ML308" s="66"/>
      <c r="MM308" s="66"/>
      <c r="MN308" s="66"/>
      <c r="MO308" s="66"/>
      <c r="MP308" s="66"/>
      <c r="MQ308" s="66"/>
      <c r="MR308" s="66"/>
      <c r="MS308" s="66"/>
      <c r="MT308" s="66"/>
      <c r="MU308" s="66"/>
      <c r="MV308" s="66"/>
      <c r="MW308" s="66"/>
      <c r="MX308" s="66"/>
      <c r="MY308" s="66"/>
      <c r="MZ308" s="66"/>
      <c r="NA308" s="66"/>
      <c r="NB308" s="66"/>
      <c r="NC308" s="66"/>
      <c r="ND308" s="66"/>
      <c r="NE308" s="66"/>
      <c r="NF308" s="66"/>
      <c r="NG308" s="66"/>
      <c r="NH308" s="66"/>
      <c r="NI308" s="66"/>
      <c r="NJ308" s="66"/>
      <c r="NK308" s="66"/>
      <c r="NL308" s="66"/>
      <c r="NM308" s="66"/>
      <c r="NN308" s="66"/>
      <c r="NO308" s="66"/>
      <c r="NP308" s="66"/>
      <c r="NQ308" s="66"/>
      <c r="NR308" s="66"/>
      <c r="NS308" s="66"/>
      <c r="NT308" s="66"/>
      <c r="NU308" s="66"/>
      <c r="NV308" s="66"/>
      <c r="NW308" s="66"/>
      <c r="NX308" s="66"/>
      <c r="NY308" s="66"/>
      <c r="NZ308" s="66"/>
      <c r="OA308" s="66"/>
      <c r="OB308" s="66"/>
      <c r="OC308" s="66"/>
      <c r="OD308" s="66"/>
      <c r="OE308" s="66"/>
      <c r="OF308" s="66"/>
      <c r="OG308" s="66"/>
      <c r="OH308" s="66"/>
      <c r="OI308" s="66"/>
      <c r="OJ308" s="66"/>
      <c r="OK308" s="66"/>
      <c r="OL308" s="66"/>
      <c r="OM308" s="66"/>
      <c r="ON308" s="66"/>
      <c r="OO308" s="66"/>
      <c r="OP308" s="66"/>
      <c r="OQ308" s="66"/>
      <c r="OR308" s="66"/>
      <c r="OS308" s="66"/>
      <c r="OT308" s="66"/>
      <c r="OU308" s="66"/>
      <c r="OV308" s="66"/>
      <c r="OW308" s="66"/>
      <c r="OX308" s="66"/>
      <c r="OY308" s="66"/>
      <c r="OZ308" s="66"/>
      <c r="PA308" s="66"/>
      <c r="PB308" s="66"/>
      <c r="PC308" s="66"/>
      <c r="PD308" s="66"/>
      <c r="PE308" s="66"/>
      <c r="PF308" s="66"/>
      <c r="PG308" s="66"/>
      <c r="PH308" s="66"/>
      <c r="PI308" s="66"/>
      <c r="PJ308" s="66"/>
      <c r="PK308" s="66"/>
      <c r="PL308" s="66"/>
      <c r="PM308" s="66"/>
      <c r="PN308" s="66"/>
      <c r="PO308" s="66"/>
      <c r="PP308" s="66"/>
      <c r="PQ308" s="66"/>
      <c r="PR308" s="66"/>
      <c r="PS308" s="66"/>
      <c r="PT308" s="66"/>
      <c r="PU308" s="66"/>
      <c r="PV308" s="66"/>
      <c r="PW308" s="66"/>
      <c r="PX308" s="66"/>
      <c r="PY308" s="66"/>
      <c r="PZ308" s="66"/>
      <c r="QA308" s="66"/>
      <c r="QB308" s="66"/>
      <c r="QC308" s="66"/>
      <c r="QD308" s="66"/>
      <c r="QE308" s="66"/>
      <c r="QF308" s="66"/>
      <c r="QG308" s="66"/>
      <c r="QH308" s="66"/>
      <c r="QI308" s="66"/>
      <c r="QJ308" s="66"/>
      <c r="QK308" s="66"/>
      <c r="QL308" s="66"/>
      <c r="QM308" s="66"/>
      <c r="QN308" s="66"/>
      <c r="QO308" s="66"/>
      <c r="QP308" s="66"/>
      <c r="QQ308" s="66"/>
      <c r="QR308" s="66"/>
      <c r="QS308" s="66"/>
      <c r="QT308" s="66"/>
      <c r="QU308" s="66"/>
      <c r="QV308" s="66"/>
      <c r="QW308" s="66"/>
      <c r="QX308" s="66"/>
      <c r="QY308" s="66"/>
      <c r="QZ308" s="66"/>
      <c r="RA308" s="66"/>
      <c r="RB308" s="66"/>
      <c r="RC308" s="66"/>
      <c r="RD308" s="4"/>
    </row>
    <row r="309" spans="9:472" x14ac:dyDescent="0.25">
      <c r="I309" s="66"/>
      <c r="J309" s="66"/>
      <c r="K309" s="66"/>
      <c r="L309" s="66"/>
      <c r="M309" s="66"/>
      <c r="N309" s="66"/>
      <c r="O309" s="66"/>
      <c r="P309" s="66"/>
      <c r="Q309" s="66"/>
      <c r="R309" s="66"/>
      <c r="S309" s="66"/>
      <c r="T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6"/>
      <c r="BZ309" s="66"/>
      <c r="CA309" s="66"/>
      <c r="CB309" s="66"/>
      <c r="CC309" s="66"/>
      <c r="CD309" s="66"/>
      <c r="CE309" s="66"/>
      <c r="CF309" s="66"/>
      <c r="CG309" s="66"/>
      <c r="CH309" s="66"/>
      <c r="CI309" s="66"/>
      <c r="CJ309" s="66"/>
      <c r="CK309" s="66"/>
      <c r="CL309" s="66"/>
      <c r="CM309" s="66"/>
      <c r="CN309" s="66"/>
      <c r="CO309" s="66"/>
      <c r="CP309" s="66"/>
      <c r="CQ309" s="66"/>
      <c r="CR309" s="66"/>
      <c r="CS309" s="66"/>
      <c r="CT309" s="66"/>
      <c r="CU309" s="66"/>
      <c r="CV309" s="66"/>
      <c r="CW309" s="66"/>
      <c r="CX309" s="66"/>
      <c r="CY309" s="66"/>
      <c r="CZ309" s="66"/>
      <c r="DA309" s="66"/>
      <c r="DB309" s="66"/>
      <c r="DC309" s="66"/>
      <c r="DD309" s="66"/>
      <c r="DE309" s="66"/>
      <c r="DF309" s="66"/>
      <c r="DG309" s="66"/>
      <c r="DH309" s="66"/>
      <c r="DI309" s="66"/>
      <c r="DJ309" s="66"/>
      <c r="DK309" s="66"/>
      <c r="DL309" s="66"/>
      <c r="DM309" s="66"/>
      <c r="DN309" s="66"/>
      <c r="DO309" s="66"/>
      <c r="DP309" s="66"/>
      <c r="DQ309" s="66"/>
      <c r="DR309" s="66"/>
      <c r="DS309" s="66"/>
      <c r="DT309" s="66"/>
      <c r="DU309" s="66"/>
      <c r="DV309" s="66"/>
      <c r="DW309" s="66"/>
      <c r="DX309" s="66"/>
      <c r="DY309" s="66"/>
      <c r="DZ309" s="66"/>
      <c r="EA309" s="66"/>
      <c r="EB309" s="66"/>
      <c r="EC309" s="66"/>
      <c r="ED309" s="66"/>
      <c r="EE309" s="66"/>
      <c r="EF309" s="66"/>
      <c r="EG309" s="66"/>
      <c r="EH309" s="66"/>
      <c r="EI309" s="66"/>
      <c r="EJ309" s="66"/>
      <c r="EK309" s="66"/>
      <c r="EL309" s="66"/>
      <c r="EM309" s="66"/>
      <c r="EN309" s="66"/>
      <c r="EO309" s="66"/>
      <c r="EP309" s="66"/>
      <c r="EQ309" s="66"/>
      <c r="ER309" s="66"/>
      <c r="ES309" s="66"/>
      <c r="ET309" s="66"/>
      <c r="EU309" s="66"/>
      <c r="EV309" s="66"/>
      <c r="EW309" s="66"/>
      <c r="EX309" s="66"/>
      <c r="EY309" s="66"/>
      <c r="EZ309" s="66"/>
      <c r="FA309" s="66"/>
      <c r="FB309" s="66"/>
      <c r="FC309" s="66"/>
      <c r="FD309" s="66"/>
      <c r="FE309" s="66"/>
      <c r="FF309" s="66"/>
      <c r="FG309" s="66"/>
      <c r="FH309" s="66"/>
      <c r="FI309" s="66"/>
      <c r="FJ309" s="66"/>
      <c r="FK309" s="66"/>
      <c r="FL309" s="66"/>
      <c r="FM309" s="66"/>
      <c r="FN309" s="66"/>
      <c r="FO309" s="66"/>
      <c r="FP309" s="66"/>
      <c r="FQ309" s="66"/>
      <c r="FR309" s="66"/>
      <c r="FS309" s="66"/>
      <c r="FT309" s="66"/>
      <c r="FU309" s="66"/>
      <c r="FV309" s="66"/>
      <c r="FW309" s="66"/>
      <c r="FX309" s="66"/>
      <c r="FY309" s="66"/>
      <c r="FZ309" s="66"/>
      <c r="GA309" s="66"/>
      <c r="GB309" s="66"/>
      <c r="GC309" s="66"/>
      <c r="GD309" s="66"/>
      <c r="GE309" s="66"/>
      <c r="GF309" s="66"/>
      <c r="GG309" s="66"/>
      <c r="GH309" s="66"/>
      <c r="GI309" s="66"/>
      <c r="GJ309" s="66"/>
      <c r="GK309" s="66"/>
      <c r="GL309" s="66"/>
      <c r="GM309" s="66"/>
      <c r="GN309" s="66"/>
      <c r="GO309" s="66"/>
      <c r="GP309" s="66"/>
      <c r="GQ309" s="66"/>
      <c r="GR309" s="66"/>
      <c r="GS309" s="66"/>
      <c r="GT309" s="66"/>
      <c r="GU309" s="66"/>
      <c r="GV309" s="66"/>
      <c r="GW309" s="66"/>
      <c r="GX309" s="66"/>
      <c r="GY309" s="66"/>
      <c r="GZ309" s="66"/>
      <c r="HA309" s="66"/>
      <c r="HB309" s="66"/>
      <c r="HC309" s="66"/>
      <c r="HD309" s="66"/>
      <c r="HE309" s="66"/>
      <c r="HF309" s="66"/>
      <c r="HG309" s="66"/>
      <c r="HH309" s="66"/>
      <c r="HI309" s="66"/>
      <c r="HJ309" s="66"/>
      <c r="HK309" s="66"/>
      <c r="HL309" s="66"/>
      <c r="HM309" s="66"/>
      <c r="HN309" s="66"/>
      <c r="HO309" s="66"/>
      <c r="HP309" s="66"/>
      <c r="HQ309" s="66"/>
      <c r="HR309" s="66"/>
      <c r="HS309" s="66"/>
      <c r="HT309" s="66"/>
      <c r="HU309" s="66"/>
      <c r="HV309" s="66"/>
      <c r="HW309" s="66"/>
      <c r="HX309" s="66"/>
      <c r="HY309" s="66"/>
      <c r="HZ309" s="66"/>
      <c r="IA309" s="66"/>
      <c r="IB309" s="66"/>
      <c r="IC309" s="66"/>
      <c r="ID309" s="66"/>
      <c r="IE309" s="66"/>
      <c r="IF309" s="66"/>
      <c r="IG309" s="66"/>
      <c r="IH309" s="66"/>
      <c r="II309" s="66"/>
      <c r="IJ309" s="66"/>
      <c r="IK309" s="66"/>
      <c r="IL309" s="66"/>
      <c r="IM309" s="66"/>
      <c r="IN309" s="66"/>
      <c r="IO309" s="66"/>
      <c r="IP309" s="66"/>
      <c r="IQ309" s="66"/>
      <c r="IR309" s="66"/>
      <c r="IS309" s="66"/>
      <c r="IT309" s="66"/>
      <c r="IU309" s="66"/>
      <c r="IV309" s="66"/>
      <c r="IW309" s="66"/>
      <c r="IX309" s="66"/>
      <c r="IY309" s="66"/>
      <c r="IZ309" s="66"/>
      <c r="JA309" s="66"/>
      <c r="JB309" s="66"/>
      <c r="JC309" s="66"/>
      <c r="JD309" s="66"/>
      <c r="JE309" s="66"/>
      <c r="JF309" s="66"/>
      <c r="JG309" s="66"/>
      <c r="JH309" s="66"/>
      <c r="JI309" s="66"/>
      <c r="JJ309" s="66"/>
      <c r="JK309" s="66"/>
      <c r="JL309" s="66"/>
      <c r="JM309" s="66"/>
      <c r="JN309" s="66"/>
      <c r="JO309" s="66"/>
      <c r="JP309" s="66"/>
      <c r="JQ309" s="66"/>
      <c r="JR309" s="66"/>
      <c r="JS309" s="66"/>
      <c r="JT309" s="66"/>
      <c r="JU309" s="66"/>
      <c r="JV309" s="66"/>
      <c r="JW309" s="66"/>
      <c r="JX309" s="66"/>
      <c r="JY309" s="66"/>
      <c r="JZ309" s="66"/>
      <c r="KA309" s="66"/>
      <c r="KB309" s="66"/>
      <c r="KC309" s="66"/>
      <c r="KD309" s="66"/>
      <c r="KE309" s="66"/>
      <c r="KF309" s="66"/>
      <c r="KG309" s="66"/>
      <c r="KH309" s="66"/>
      <c r="KI309" s="66"/>
      <c r="KJ309" s="66"/>
      <c r="KK309" s="66"/>
      <c r="KL309" s="66"/>
      <c r="KM309" s="66"/>
      <c r="KN309" s="66"/>
      <c r="KO309" s="66"/>
      <c r="KP309" s="66"/>
      <c r="KQ309" s="66"/>
      <c r="KR309" s="66"/>
      <c r="KS309" s="66"/>
      <c r="KT309" s="66"/>
      <c r="KU309" s="66"/>
      <c r="KV309" s="66"/>
      <c r="KW309" s="66"/>
      <c r="KX309" s="66"/>
      <c r="KY309" s="66"/>
      <c r="KZ309" s="66"/>
      <c r="LA309" s="66"/>
      <c r="LB309" s="66"/>
      <c r="LC309" s="66"/>
      <c r="LD309" s="66"/>
      <c r="LE309" s="66"/>
      <c r="LF309" s="66"/>
      <c r="LG309" s="66"/>
      <c r="LH309" s="66"/>
      <c r="LI309" s="66"/>
      <c r="LJ309" s="66"/>
      <c r="LK309" s="66"/>
      <c r="LL309" s="66"/>
      <c r="LM309" s="66"/>
      <c r="LN309" s="66"/>
      <c r="LO309" s="66"/>
      <c r="LP309" s="66"/>
      <c r="LQ309" s="66"/>
      <c r="LR309" s="66"/>
      <c r="LS309" s="66"/>
      <c r="LT309" s="66"/>
      <c r="LU309" s="66"/>
      <c r="LV309" s="66"/>
      <c r="LW309" s="66"/>
      <c r="LX309" s="66"/>
      <c r="LY309" s="66"/>
      <c r="LZ309" s="66"/>
      <c r="MA309" s="66"/>
      <c r="MB309" s="66"/>
      <c r="MC309" s="66"/>
      <c r="MD309" s="66"/>
      <c r="ME309" s="66"/>
      <c r="MF309" s="66"/>
      <c r="MG309" s="66"/>
      <c r="MH309" s="66"/>
      <c r="MI309" s="66"/>
      <c r="MJ309" s="66"/>
      <c r="MK309" s="66"/>
      <c r="ML309" s="66"/>
      <c r="MM309" s="66"/>
      <c r="MN309" s="66"/>
      <c r="MO309" s="66"/>
      <c r="MP309" s="66"/>
      <c r="MQ309" s="66"/>
      <c r="MR309" s="66"/>
      <c r="MS309" s="66"/>
      <c r="MT309" s="66"/>
      <c r="MU309" s="66"/>
      <c r="MV309" s="66"/>
      <c r="MW309" s="66"/>
      <c r="MX309" s="66"/>
      <c r="MY309" s="66"/>
      <c r="MZ309" s="66"/>
      <c r="NA309" s="66"/>
      <c r="NB309" s="66"/>
      <c r="NC309" s="66"/>
      <c r="ND309" s="66"/>
      <c r="NE309" s="66"/>
      <c r="NF309" s="66"/>
      <c r="NG309" s="66"/>
      <c r="NH309" s="66"/>
      <c r="NI309" s="66"/>
      <c r="NJ309" s="66"/>
      <c r="NK309" s="66"/>
      <c r="NL309" s="66"/>
      <c r="NM309" s="66"/>
      <c r="NN309" s="66"/>
      <c r="NO309" s="66"/>
      <c r="NP309" s="66"/>
      <c r="NQ309" s="66"/>
      <c r="NR309" s="66"/>
      <c r="NS309" s="66"/>
      <c r="NT309" s="66"/>
      <c r="NU309" s="66"/>
      <c r="NV309" s="66"/>
      <c r="NW309" s="66"/>
      <c r="NX309" s="66"/>
      <c r="NY309" s="66"/>
      <c r="NZ309" s="66"/>
      <c r="OA309" s="66"/>
      <c r="OB309" s="66"/>
      <c r="OC309" s="66"/>
      <c r="OD309" s="66"/>
      <c r="OE309" s="66"/>
      <c r="OF309" s="66"/>
      <c r="OG309" s="66"/>
      <c r="OH309" s="66"/>
      <c r="OI309" s="66"/>
      <c r="OJ309" s="66"/>
      <c r="OK309" s="66"/>
      <c r="OL309" s="66"/>
      <c r="OM309" s="66"/>
      <c r="ON309" s="66"/>
      <c r="OO309" s="66"/>
      <c r="OP309" s="66"/>
      <c r="OQ309" s="66"/>
      <c r="OR309" s="66"/>
      <c r="OS309" s="66"/>
      <c r="OT309" s="66"/>
      <c r="OU309" s="66"/>
      <c r="OV309" s="66"/>
      <c r="OW309" s="66"/>
      <c r="OX309" s="66"/>
      <c r="OY309" s="66"/>
      <c r="OZ309" s="66"/>
      <c r="PA309" s="66"/>
      <c r="PB309" s="66"/>
      <c r="PC309" s="66"/>
      <c r="PD309" s="66"/>
      <c r="PE309" s="66"/>
      <c r="PF309" s="66"/>
      <c r="PG309" s="66"/>
      <c r="PH309" s="66"/>
      <c r="PI309" s="66"/>
      <c r="PJ309" s="66"/>
      <c r="PK309" s="66"/>
      <c r="PL309" s="66"/>
      <c r="PM309" s="66"/>
      <c r="PN309" s="66"/>
      <c r="PO309" s="66"/>
      <c r="PP309" s="66"/>
      <c r="PQ309" s="66"/>
      <c r="PR309" s="66"/>
      <c r="PS309" s="66"/>
      <c r="PT309" s="66"/>
      <c r="PU309" s="66"/>
      <c r="PV309" s="66"/>
      <c r="PW309" s="66"/>
      <c r="PX309" s="66"/>
      <c r="PY309" s="66"/>
      <c r="PZ309" s="66"/>
      <c r="QA309" s="66"/>
      <c r="QB309" s="66"/>
      <c r="QC309" s="66"/>
      <c r="QD309" s="66"/>
      <c r="QE309" s="66"/>
      <c r="QF309" s="66"/>
      <c r="QG309" s="66"/>
      <c r="QH309" s="66"/>
      <c r="QI309" s="66"/>
      <c r="QJ309" s="66"/>
      <c r="QK309" s="66"/>
      <c r="QL309" s="66"/>
      <c r="QM309" s="66"/>
      <c r="QN309" s="66"/>
      <c r="QO309" s="66"/>
      <c r="QP309" s="66"/>
      <c r="QQ309" s="66"/>
      <c r="QR309" s="66"/>
      <c r="QS309" s="66"/>
      <c r="QT309" s="66"/>
      <c r="QU309" s="66"/>
      <c r="QV309" s="66"/>
      <c r="QW309" s="66"/>
      <c r="QX309" s="66"/>
      <c r="QY309" s="66"/>
      <c r="QZ309" s="66"/>
      <c r="RA309" s="66"/>
      <c r="RB309" s="66"/>
      <c r="RC309" s="66"/>
      <c r="RD309" s="4"/>
    </row>
    <row r="310" spans="9:472" x14ac:dyDescent="0.25">
      <c r="I310" s="66"/>
      <c r="J310" s="66"/>
      <c r="K310" s="66"/>
      <c r="L310" s="66"/>
      <c r="M310" s="66"/>
      <c r="N310" s="66"/>
      <c r="O310" s="66"/>
      <c r="P310" s="66"/>
      <c r="Q310" s="66"/>
      <c r="R310" s="66"/>
      <c r="S310" s="66"/>
      <c r="T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6"/>
      <c r="BZ310" s="66"/>
      <c r="CA310" s="66"/>
      <c r="CB310" s="66"/>
      <c r="CC310" s="66"/>
      <c r="CD310" s="66"/>
      <c r="CE310" s="66"/>
      <c r="CF310" s="66"/>
      <c r="CG310" s="66"/>
      <c r="CH310" s="66"/>
      <c r="CI310" s="66"/>
      <c r="CJ310" s="66"/>
      <c r="CK310" s="66"/>
      <c r="CL310" s="66"/>
      <c r="CM310" s="66"/>
      <c r="CN310" s="66"/>
      <c r="CO310" s="66"/>
      <c r="CP310" s="66"/>
      <c r="CQ310" s="66"/>
      <c r="CR310" s="66"/>
      <c r="CS310" s="66"/>
      <c r="CT310" s="66"/>
      <c r="CU310" s="66"/>
      <c r="CV310" s="66"/>
      <c r="CW310" s="66"/>
      <c r="CX310" s="66"/>
      <c r="CY310" s="66"/>
      <c r="CZ310" s="66"/>
      <c r="DA310" s="66"/>
      <c r="DB310" s="66"/>
      <c r="DC310" s="66"/>
      <c r="DD310" s="66"/>
      <c r="DE310" s="66"/>
      <c r="DF310" s="66"/>
      <c r="DG310" s="66"/>
      <c r="DH310" s="66"/>
      <c r="DI310" s="66"/>
      <c r="DJ310" s="66"/>
      <c r="DK310" s="66"/>
      <c r="DL310" s="66"/>
      <c r="DM310" s="66"/>
      <c r="DN310" s="66"/>
      <c r="DO310" s="66"/>
      <c r="DP310" s="66"/>
      <c r="DQ310" s="66"/>
      <c r="DR310" s="66"/>
      <c r="DS310" s="66"/>
      <c r="DT310" s="66"/>
      <c r="DU310" s="66"/>
      <c r="DV310" s="66"/>
      <c r="DW310" s="66"/>
      <c r="DX310" s="66"/>
      <c r="DY310" s="66"/>
      <c r="DZ310" s="66"/>
      <c r="EA310" s="66"/>
      <c r="EB310" s="66"/>
      <c r="EC310" s="66"/>
      <c r="ED310" s="66"/>
      <c r="EE310" s="66"/>
      <c r="EF310" s="66"/>
      <c r="EG310" s="66"/>
      <c r="EH310" s="66"/>
      <c r="EI310" s="66"/>
      <c r="EJ310" s="66"/>
      <c r="EK310" s="66"/>
      <c r="EL310" s="66"/>
      <c r="EM310" s="66"/>
      <c r="EN310" s="66"/>
      <c r="EO310" s="66"/>
      <c r="EP310" s="66"/>
      <c r="EQ310" s="66"/>
      <c r="ER310" s="66"/>
      <c r="ES310" s="66"/>
      <c r="ET310" s="66"/>
      <c r="EU310" s="66"/>
      <c r="EV310" s="66"/>
      <c r="EW310" s="66"/>
      <c r="EX310" s="66"/>
      <c r="EY310" s="66"/>
      <c r="EZ310" s="66"/>
      <c r="FA310" s="66"/>
      <c r="FB310" s="66"/>
      <c r="FC310" s="66"/>
      <c r="FD310" s="66"/>
      <c r="FE310" s="66"/>
      <c r="FF310" s="66"/>
      <c r="FG310" s="66"/>
      <c r="FH310" s="66"/>
      <c r="FI310" s="66"/>
      <c r="FJ310" s="66"/>
      <c r="FK310" s="66"/>
      <c r="FL310" s="66"/>
      <c r="FM310" s="66"/>
      <c r="FN310" s="66"/>
      <c r="FO310" s="66"/>
      <c r="FP310" s="66"/>
      <c r="FQ310" s="66"/>
      <c r="FR310" s="66"/>
      <c r="FS310" s="66"/>
      <c r="FT310" s="66"/>
      <c r="FU310" s="66"/>
      <c r="FV310" s="66"/>
      <c r="FW310" s="66"/>
      <c r="FX310" s="66"/>
      <c r="FY310" s="66"/>
      <c r="FZ310" s="66"/>
      <c r="GA310" s="66"/>
      <c r="GB310" s="66"/>
      <c r="GC310" s="66"/>
      <c r="GD310" s="66"/>
      <c r="GE310" s="66"/>
      <c r="GF310" s="66"/>
      <c r="GG310" s="66"/>
      <c r="GH310" s="66"/>
      <c r="GI310" s="66"/>
      <c r="GJ310" s="66"/>
      <c r="GK310" s="66"/>
      <c r="GL310" s="66"/>
      <c r="GM310" s="66"/>
      <c r="GN310" s="66"/>
      <c r="GO310" s="66"/>
      <c r="GP310" s="66"/>
      <c r="GQ310" s="66"/>
      <c r="GR310" s="66"/>
      <c r="GS310" s="66"/>
      <c r="GT310" s="66"/>
      <c r="GU310" s="66"/>
      <c r="GV310" s="66"/>
      <c r="GW310" s="66"/>
      <c r="GX310" s="66"/>
      <c r="GY310" s="66"/>
      <c r="GZ310" s="66"/>
      <c r="HA310" s="66"/>
      <c r="HB310" s="66"/>
      <c r="HC310" s="66"/>
      <c r="HD310" s="66"/>
      <c r="HE310" s="66"/>
      <c r="HF310" s="66"/>
      <c r="HG310" s="66"/>
      <c r="HH310" s="66"/>
      <c r="HI310" s="66"/>
      <c r="HJ310" s="66"/>
      <c r="HK310" s="66"/>
      <c r="HL310" s="66"/>
      <c r="HM310" s="66"/>
      <c r="HN310" s="66"/>
      <c r="HO310" s="66"/>
      <c r="HP310" s="66"/>
      <c r="HQ310" s="66"/>
      <c r="HR310" s="66"/>
      <c r="HS310" s="66"/>
      <c r="HT310" s="66"/>
      <c r="HU310" s="66"/>
      <c r="HV310" s="66"/>
      <c r="HW310" s="66"/>
      <c r="HX310" s="66"/>
      <c r="HY310" s="66"/>
      <c r="HZ310" s="66"/>
      <c r="IA310" s="66"/>
      <c r="IB310" s="66"/>
      <c r="IC310" s="66"/>
      <c r="ID310" s="66"/>
      <c r="IE310" s="66"/>
      <c r="IF310" s="66"/>
      <c r="IG310" s="66"/>
      <c r="IH310" s="66"/>
      <c r="II310" s="66"/>
      <c r="IJ310" s="66"/>
      <c r="IK310" s="66"/>
      <c r="IL310" s="66"/>
      <c r="IM310" s="66"/>
      <c r="IN310" s="66"/>
      <c r="IO310" s="66"/>
      <c r="IP310" s="66"/>
      <c r="IQ310" s="66"/>
      <c r="IR310" s="66"/>
      <c r="IS310" s="66"/>
      <c r="IT310" s="66"/>
      <c r="IU310" s="66"/>
      <c r="IV310" s="66"/>
      <c r="IW310" s="66"/>
      <c r="IX310" s="66"/>
      <c r="IY310" s="66"/>
      <c r="IZ310" s="66"/>
      <c r="JA310" s="66"/>
      <c r="JB310" s="66"/>
      <c r="JC310" s="66"/>
      <c r="JD310" s="66"/>
      <c r="JE310" s="66"/>
      <c r="JF310" s="66"/>
      <c r="JG310" s="66"/>
      <c r="JH310" s="66"/>
      <c r="JI310" s="66"/>
      <c r="JJ310" s="66"/>
      <c r="JK310" s="66"/>
      <c r="JL310" s="66"/>
      <c r="JM310" s="66"/>
      <c r="JN310" s="66"/>
      <c r="JO310" s="66"/>
      <c r="JP310" s="66"/>
      <c r="JQ310" s="66"/>
      <c r="JR310" s="66"/>
      <c r="JS310" s="66"/>
      <c r="JT310" s="66"/>
      <c r="JU310" s="66"/>
      <c r="JV310" s="66"/>
      <c r="JW310" s="66"/>
      <c r="JX310" s="66"/>
      <c r="JY310" s="66"/>
      <c r="JZ310" s="66"/>
      <c r="KA310" s="66"/>
      <c r="KB310" s="66"/>
      <c r="KC310" s="66"/>
      <c r="KD310" s="66"/>
      <c r="KE310" s="66"/>
      <c r="KF310" s="66"/>
      <c r="KG310" s="66"/>
      <c r="KH310" s="66"/>
      <c r="KI310" s="66"/>
      <c r="KJ310" s="66"/>
      <c r="KK310" s="66"/>
      <c r="KL310" s="66"/>
      <c r="KM310" s="66"/>
      <c r="KN310" s="66"/>
      <c r="KO310" s="66"/>
      <c r="KP310" s="66"/>
      <c r="KQ310" s="66"/>
      <c r="KR310" s="66"/>
      <c r="KS310" s="66"/>
      <c r="KT310" s="66"/>
      <c r="KU310" s="66"/>
      <c r="KV310" s="66"/>
      <c r="KW310" s="66"/>
      <c r="KX310" s="66"/>
      <c r="KY310" s="66"/>
      <c r="KZ310" s="66"/>
      <c r="LA310" s="66"/>
      <c r="LB310" s="66"/>
      <c r="LC310" s="66"/>
      <c r="LD310" s="66"/>
      <c r="LE310" s="66"/>
      <c r="LF310" s="66"/>
      <c r="LG310" s="66"/>
      <c r="LH310" s="66"/>
      <c r="LI310" s="66"/>
      <c r="LJ310" s="66"/>
      <c r="LK310" s="66"/>
      <c r="LL310" s="66"/>
      <c r="LM310" s="66"/>
      <c r="LN310" s="66"/>
      <c r="LO310" s="66"/>
      <c r="LP310" s="66"/>
      <c r="LQ310" s="66"/>
      <c r="LR310" s="66"/>
      <c r="LS310" s="66"/>
      <c r="LT310" s="66"/>
      <c r="LU310" s="66"/>
      <c r="LV310" s="66"/>
      <c r="LW310" s="66"/>
      <c r="LX310" s="66"/>
      <c r="LY310" s="66"/>
      <c r="LZ310" s="66"/>
      <c r="MA310" s="66"/>
      <c r="MB310" s="66"/>
      <c r="MC310" s="66"/>
      <c r="MD310" s="66"/>
      <c r="ME310" s="66"/>
      <c r="MF310" s="66"/>
      <c r="MG310" s="66"/>
      <c r="MH310" s="66"/>
      <c r="MI310" s="66"/>
      <c r="MJ310" s="66"/>
      <c r="MK310" s="66"/>
      <c r="ML310" s="66"/>
      <c r="MM310" s="66"/>
      <c r="MN310" s="66"/>
      <c r="MO310" s="66"/>
      <c r="MP310" s="66"/>
      <c r="MQ310" s="66"/>
      <c r="MR310" s="66"/>
      <c r="MS310" s="66"/>
      <c r="MT310" s="66"/>
      <c r="MU310" s="66"/>
      <c r="MV310" s="66"/>
      <c r="MW310" s="66"/>
      <c r="MX310" s="66"/>
      <c r="MY310" s="66"/>
      <c r="MZ310" s="66"/>
      <c r="NA310" s="66"/>
      <c r="NB310" s="66"/>
      <c r="NC310" s="66"/>
      <c r="ND310" s="66"/>
      <c r="NE310" s="66"/>
      <c r="NF310" s="66"/>
      <c r="NG310" s="66"/>
      <c r="NH310" s="66"/>
      <c r="NI310" s="66"/>
      <c r="NJ310" s="66"/>
      <c r="NK310" s="66"/>
      <c r="NL310" s="66"/>
      <c r="NM310" s="66"/>
      <c r="NN310" s="66"/>
      <c r="NO310" s="66"/>
      <c r="NP310" s="66"/>
      <c r="NQ310" s="66"/>
      <c r="NR310" s="66"/>
      <c r="NS310" s="66"/>
      <c r="NT310" s="66"/>
      <c r="NU310" s="66"/>
      <c r="NV310" s="66"/>
      <c r="NW310" s="66"/>
      <c r="NX310" s="66"/>
      <c r="NY310" s="66"/>
      <c r="NZ310" s="66"/>
      <c r="OA310" s="66"/>
      <c r="OB310" s="66"/>
      <c r="OC310" s="66"/>
      <c r="OD310" s="66"/>
      <c r="OE310" s="66"/>
      <c r="OF310" s="66"/>
      <c r="OG310" s="66"/>
      <c r="OH310" s="66"/>
      <c r="OI310" s="66"/>
      <c r="OJ310" s="66"/>
      <c r="OK310" s="66"/>
      <c r="OL310" s="66"/>
      <c r="OM310" s="66"/>
      <c r="ON310" s="66"/>
      <c r="OO310" s="66"/>
      <c r="OP310" s="66"/>
      <c r="OQ310" s="66"/>
      <c r="OR310" s="66"/>
      <c r="OS310" s="66"/>
      <c r="OT310" s="66"/>
      <c r="OU310" s="66"/>
      <c r="OV310" s="66"/>
      <c r="OW310" s="66"/>
      <c r="OX310" s="66"/>
      <c r="OY310" s="66"/>
      <c r="OZ310" s="66"/>
      <c r="PA310" s="66"/>
      <c r="PB310" s="66"/>
      <c r="PC310" s="66"/>
      <c r="PD310" s="66"/>
      <c r="PE310" s="66"/>
      <c r="PF310" s="66"/>
      <c r="PG310" s="66"/>
      <c r="PH310" s="66"/>
      <c r="PI310" s="66"/>
      <c r="PJ310" s="66"/>
      <c r="PK310" s="66"/>
      <c r="PL310" s="66"/>
      <c r="PM310" s="66"/>
      <c r="PN310" s="66"/>
      <c r="PO310" s="66"/>
      <c r="PP310" s="66"/>
      <c r="PQ310" s="66"/>
      <c r="PR310" s="66"/>
      <c r="PS310" s="66"/>
      <c r="PT310" s="66"/>
      <c r="PU310" s="66"/>
      <c r="PV310" s="66"/>
      <c r="PW310" s="66"/>
      <c r="PX310" s="66"/>
      <c r="PY310" s="66"/>
      <c r="PZ310" s="66"/>
      <c r="QA310" s="66"/>
      <c r="QB310" s="66"/>
      <c r="QC310" s="66"/>
      <c r="QD310" s="66"/>
      <c r="QE310" s="66"/>
      <c r="QF310" s="66"/>
      <c r="QG310" s="66"/>
      <c r="QH310" s="66"/>
      <c r="QI310" s="66"/>
      <c r="QJ310" s="66"/>
      <c r="QK310" s="66"/>
      <c r="QL310" s="66"/>
      <c r="QM310" s="66"/>
      <c r="QN310" s="66"/>
      <c r="QO310" s="66"/>
      <c r="QP310" s="66"/>
      <c r="QQ310" s="66"/>
      <c r="QR310" s="66"/>
      <c r="QS310" s="66"/>
      <c r="QT310" s="66"/>
      <c r="QU310" s="66"/>
      <c r="QV310" s="66"/>
      <c r="QW310" s="66"/>
      <c r="QX310" s="66"/>
      <c r="QY310" s="66"/>
      <c r="QZ310" s="66"/>
      <c r="RA310" s="66"/>
      <c r="RB310" s="66"/>
      <c r="RC310" s="66"/>
      <c r="RD310" s="4"/>
    </row>
    <row r="311" spans="9:472" x14ac:dyDescent="0.25">
      <c r="I311" s="66"/>
      <c r="J311" s="66"/>
      <c r="K311" s="66"/>
      <c r="L311" s="66"/>
      <c r="M311" s="66"/>
      <c r="N311" s="66"/>
      <c r="O311" s="66"/>
      <c r="P311" s="66"/>
      <c r="Q311" s="66"/>
      <c r="R311" s="66"/>
      <c r="S311" s="66"/>
      <c r="T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6"/>
      <c r="BZ311" s="66"/>
      <c r="CA311" s="66"/>
      <c r="CB311" s="66"/>
      <c r="CC311" s="66"/>
      <c r="CD311" s="66"/>
      <c r="CE311" s="66"/>
      <c r="CF311" s="66"/>
      <c r="CG311" s="66"/>
      <c r="CH311" s="66"/>
      <c r="CI311" s="66"/>
      <c r="CJ311" s="66"/>
      <c r="CK311" s="66"/>
      <c r="CL311" s="66"/>
      <c r="CM311" s="66"/>
      <c r="CN311" s="66"/>
      <c r="CO311" s="66"/>
      <c r="CP311" s="66"/>
      <c r="CQ311" s="66"/>
      <c r="CR311" s="66"/>
      <c r="CS311" s="66"/>
      <c r="CT311" s="66"/>
      <c r="CU311" s="66"/>
      <c r="CV311" s="66"/>
      <c r="CW311" s="66"/>
      <c r="CX311" s="66"/>
      <c r="CY311" s="66"/>
      <c r="CZ311" s="66"/>
      <c r="DA311" s="66"/>
      <c r="DB311" s="66"/>
      <c r="DC311" s="66"/>
      <c r="DD311" s="66"/>
      <c r="DE311" s="66"/>
      <c r="DF311" s="66"/>
      <c r="DG311" s="66"/>
      <c r="DH311" s="66"/>
      <c r="DI311" s="66"/>
      <c r="DJ311" s="66"/>
      <c r="DK311" s="66"/>
      <c r="DL311" s="66"/>
      <c r="DM311" s="66"/>
      <c r="DN311" s="66"/>
      <c r="DO311" s="66"/>
      <c r="DP311" s="66"/>
      <c r="DQ311" s="66"/>
      <c r="DR311" s="66"/>
      <c r="DS311" s="66"/>
      <c r="DT311" s="66"/>
      <c r="DU311" s="66"/>
      <c r="DV311" s="66"/>
      <c r="DW311" s="66"/>
      <c r="DX311" s="66"/>
      <c r="DY311" s="66"/>
      <c r="DZ311" s="66"/>
      <c r="EA311" s="66"/>
      <c r="EB311" s="66"/>
      <c r="EC311" s="66"/>
      <c r="ED311" s="66"/>
      <c r="EE311" s="66"/>
      <c r="EF311" s="66"/>
      <c r="EG311" s="66"/>
      <c r="EH311" s="66"/>
      <c r="EI311" s="66"/>
      <c r="EJ311" s="66"/>
      <c r="EK311" s="66"/>
      <c r="EL311" s="66"/>
      <c r="EM311" s="66"/>
      <c r="EN311" s="66"/>
      <c r="EO311" s="66"/>
      <c r="EP311" s="66"/>
      <c r="EQ311" s="66"/>
      <c r="ER311" s="66"/>
      <c r="ES311" s="66"/>
      <c r="ET311" s="66"/>
      <c r="EU311" s="66"/>
      <c r="EV311" s="66"/>
      <c r="EW311" s="66"/>
      <c r="EX311" s="66"/>
      <c r="EY311" s="66"/>
      <c r="EZ311" s="66"/>
      <c r="FA311" s="66"/>
      <c r="FB311" s="66"/>
      <c r="FC311" s="66"/>
      <c r="FD311" s="66"/>
      <c r="FE311" s="66"/>
      <c r="FF311" s="66"/>
      <c r="FG311" s="66"/>
      <c r="FH311" s="66"/>
      <c r="FI311" s="66"/>
      <c r="FJ311" s="66"/>
      <c r="FK311" s="66"/>
      <c r="FL311" s="66"/>
      <c r="FM311" s="66"/>
      <c r="FN311" s="66"/>
      <c r="FO311" s="66"/>
      <c r="FP311" s="66"/>
      <c r="FQ311" s="66"/>
      <c r="FR311" s="66"/>
      <c r="FS311" s="66"/>
      <c r="FT311" s="66"/>
      <c r="FU311" s="66"/>
      <c r="FV311" s="66"/>
      <c r="FW311" s="66"/>
      <c r="FX311" s="66"/>
      <c r="FY311" s="66"/>
      <c r="FZ311" s="66"/>
      <c r="GA311" s="66"/>
      <c r="GB311" s="66"/>
      <c r="GC311" s="66"/>
      <c r="GD311" s="66"/>
      <c r="GE311" s="66"/>
      <c r="GF311" s="66"/>
      <c r="GG311" s="66"/>
      <c r="GH311" s="66"/>
      <c r="GI311" s="66"/>
      <c r="GJ311" s="66"/>
      <c r="GK311" s="66"/>
      <c r="GL311" s="66"/>
      <c r="GM311" s="66"/>
      <c r="GN311" s="66"/>
      <c r="GO311" s="66"/>
      <c r="GP311" s="66"/>
      <c r="GQ311" s="66"/>
      <c r="GR311" s="66"/>
      <c r="GS311" s="66"/>
      <c r="GT311" s="66"/>
      <c r="GU311" s="66"/>
      <c r="GV311" s="66"/>
      <c r="GW311" s="66"/>
      <c r="GX311" s="66"/>
      <c r="GY311" s="66"/>
      <c r="GZ311" s="66"/>
      <c r="HA311" s="66"/>
      <c r="HB311" s="66"/>
      <c r="HC311" s="66"/>
      <c r="HD311" s="66"/>
      <c r="HE311" s="66"/>
      <c r="HF311" s="66"/>
      <c r="HG311" s="66"/>
      <c r="HH311" s="66"/>
      <c r="HI311" s="66"/>
      <c r="HJ311" s="66"/>
      <c r="HK311" s="66"/>
      <c r="HL311" s="66"/>
      <c r="HM311" s="66"/>
      <c r="HN311" s="66"/>
      <c r="HO311" s="66"/>
      <c r="HP311" s="66"/>
      <c r="HQ311" s="66"/>
      <c r="HR311" s="66"/>
      <c r="HS311" s="66"/>
      <c r="HT311" s="66"/>
      <c r="HU311" s="66"/>
      <c r="HV311" s="66"/>
      <c r="HW311" s="66"/>
      <c r="HX311" s="66"/>
      <c r="HY311" s="66"/>
      <c r="HZ311" s="66"/>
      <c r="IA311" s="66"/>
      <c r="IB311" s="66"/>
      <c r="IC311" s="66"/>
      <c r="ID311" s="66"/>
      <c r="IE311" s="66"/>
      <c r="IF311" s="66"/>
      <c r="IG311" s="66"/>
      <c r="IH311" s="66"/>
      <c r="II311" s="66"/>
      <c r="IJ311" s="66"/>
      <c r="IK311" s="66"/>
      <c r="IL311" s="66"/>
      <c r="IM311" s="66"/>
      <c r="IN311" s="66"/>
      <c r="IO311" s="66"/>
      <c r="IP311" s="66"/>
      <c r="IQ311" s="66"/>
      <c r="IR311" s="66"/>
      <c r="IS311" s="66"/>
      <c r="IT311" s="66"/>
      <c r="IU311" s="66"/>
      <c r="IV311" s="66"/>
      <c r="IW311" s="66"/>
      <c r="IX311" s="66"/>
      <c r="IY311" s="66"/>
      <c r="IZ311" s="66"/>
      <c r="JA311" s="66"/>
      <c r="JB311" s="66"/>
      <c r="JC311" s="66"/>
      <c r="JD311" s="66"/>
      <c r="JE311" s="66"/>
      <c r="JF311" s="66"/>
      <c r="JG311" s="66"/>
      <c r="JH311" s="66"/>
      <c r="JI311" s="66"/>
      <c r="JJ311" s="66"/>
      <c r="JK311" s="66"/>
      <c r="JL311" s="66"/>
      <c r="JM311" s="66"/>
      <c r="JN311" s="66"/>
      <c r="JO311" s="66"/>
      <c r="JP311" s="66"/>
      <c r="JQ311" s="66"/>
      <c r="JR311" s="66"/>
      <c r="JS311" s="66"/>
      <c r="JT311" s="66"/>
      <c r="JU311" s="66"/>
      <c r="JV311" s="66"/>
      <c r="JW311" s="66"/>
      <c r="JX311" s="66"/>
      <c r="JY311" s="66"/>
      <c r="JZ311" s="66"/>
      <c r="KA311" s="66"/>
      <c r="KB311" s="66"/>
      <c r="KC311" s="66"/>
      <c r="KD311" s="66"/>
      <c r="KE311" s="66"/>
      <c r="KF311" s="66"/>
      <c r="KG311" s="66"/>
      <c r="KH311" s="66"/>
      <c r="KI311" s="66"/>
      <c r="KJ311" s="66"/>
      <c r="KK311" s="66"/>
      <c r="KL311" s="66"/>
      <c r="KM311" s="66"/>
      <c r="KN311" s="66"/>
      <c r="KO311" s="66"/>
      <c r="KP311" s="66"/>
      <c r="KQ311" s="66"/>
      <c r="KR311" s="66"/>
      <c r="KS311" s="66"/>
      <c r="KT311" s="66"/>
      <c r="KU311" s="66"/>
      <c r="KV311" s="66"/>
      <c r="KW311" s="66"/>
      <c r="KX311" s="66"/>
      <c r="KY311" s="66"/>
      <c r="KZ311" s="66"/>
      <c r="LA311" s="66"/>
      <c r="LB311" s="66"/>
      <c r="LC311" s="66"/>
      <c r="LD311" s="66"/>
      <c r="LE311" s="66"/>
      <c r="LF311" s="66"/>
      <c r="LG311" s="66"/>
      <c r="LH311" s="66"/>
      <c r="LI311" s="66"/>
      <c r="LJ311" s="66"/>
      <c r="LK311" s="66"/>
      <c r="LL311" s="66"/>
      <c r="LM311" s="66"/>
      <c r="LN311" s="66"/>
      <c r="LO311" s="66"/>
      <c r="LP311" s="66"/>
      <c r="LQ311" s="66"/>
      <c r="LR311" s="66"/>
      <c r="LS311" s="66"/>
      <c r="LT311" s="66"/>
      <c r="LU311" s="66"/>
      <c r="LV311" s="66"/>
      <c r="LW311" s="66"/>
      <c r="LX311" s="66"/>
      <c r="LY311" s="66"/>
      <c r="LZ311" s="66"/>
      <c r="MA311" s="66"/>
      <c r="MB311" s="66"/>
      <c r="MC311" s="66"/>
      <c r="MD311" s="66"/>
      <c r="ME311" s="66"/>
      <c r="MF311" s="66"/>
      <c r="MG311" s="66"/>
      <c r="MH311" s="66"/>
      <c r="MI311" s="66"/>
      <c r="MJ311" s="66"/>
      <c r="MK311" s="66"/>
      <c r="ML311" s="66"/>
      <c r="MM311" s="66"/>
      <c r="MN311" s="66"/>
      <c r="MO311" s="66"/>
      <c r="MP311" s="66"/>
      <c r="MQ311" s="66"/>
      <c r="MR311" s="66"/>
      <c r="MS311" s="66"/>
      <c r="MT311" s="66"/>
      <c r="MU311" s="66"/>
      <c r="MV311" s="66"/>
      <c r="MW311" s="66"/>
      <c r="MX311" s="66"/>
      <c r="MY311" s="66"/>
      <c r="MZ311" s="66"/>
      <c r="NA311" s="66"/>
      <c r="NB311" s="66"/>
      <c r="NC311" s="66"/>
      <c r="ND311" s="66"/>
      <c r="NE311" s="66"/>
      <c r="NF311" s="66"/>
      <c r="NG311" s="66"/>
      <c r="NH311" s="66"/>
      <c r="NI311" s="66"/>
      <c r="NJ311" s="66"/>
      <c r="NK311" s="66"/>
      <c r="NL311" s="66"/>
      <c r="NM311" s="66"/>
      <c r="NN311" s="66"/>
      <c r="NO311" s="66"/>
      <c r="NP311" s="66"/>
      <c r="NQ311" s="66"/>
      <c r="NR311" s="66"/>
      <c r="NS311" s="66"/>
      <c r="NT311" s="66"/>
      <c r="NU311" s="66"/>
      <c r="NV311" s="66"/>
      <c r="NW311" s="66"/>
      <c r="NX311" s="66"/>
      <c r="NY311" s="66"/>
      <c r="NZ311" s="66"/>
      <c r="OA311" s="66"/>
      <c r="OB311" s="66"/>
      <c r="OC311" s="66"/>
      <c r="OD311" s="66"/>
      <c r="OE311" s="66"/>
      <c r="OF311" s="66"/>
      <c r="OG311" s="66"/>
      <c r="OH311" s="66"/>
      <c r="OI311" s="66"/>
      <c r="OJ311" s="66"/>
      <c r="OK311" s="66"/>
      <c r="OL311" s="66"/>
      <c r="OM311" s="66"/>
      <c r="ON311" s="66"/>
      <c r="OO311" s="66"/>
      <c r="OP311" s="66"/>
      <c r="OQ311" s="66"/>
      <c r="OR311" s="66"/>
      <c r="OS311" s="66"/>
      <c r="OT311" s="66"/>
      <c r="OU311" s="66"/>
      <c r="OV311" s="66"/>
      <c r="OW311" s="66"/>
      <c r="OX311" s="66"/>
      <c r="OY311" s="66"/>
      <c r="OZ311" s="66"/>
      <c r="PA311" s="66"/>
      <c r="PB311" s="66"/>
      <c r="PC311" s="66"/>
      <c r="PD311" s="66"/>
      <c r="PE311" s="66"/>
      <c r="PF311" s="66"/>
      <c r="PG311" s="66"/>
      <c r="PH311" s="66"/>
      <c r="PI311" s="66"/>
      <c r="PJ311" s="66"/>
      <c r="PK311" s="66"/>
      <c r="PL311" s="66"/>
      <c r="PM311" s="66"/>
      <c r="PN311" s="66"/>
      <c r="PO311" s="66"/>
      <c r="PP311" s="66"/>
      <c r="PQ311" s="66"/>
      <c r="PR311" s="66"/>
      <c r="PS311" s="66"/>
      <c r="PT311" s="66"/>
      <c r="PU311" s="66"/>
      <c r="PV311" s="66"/>
      <c r="PW311" s="66"/>
      <c r="PX311" s="66"/>
      <c r="PY311" s="66"/>
      <c r="PZ311" s="66"/>
      <c r="QA311" s="66"/>
      <c r="QB311" s="66"/>
      <c r="QC311" s="66"/>
      <c r="QD311" s="66"/>
      <c r="QE311" s="66"/>
      <c r="QF311" s="66"/>
      <c r="QG311" s="66"/>
      <c r="QH311" s="66"/>
      <c r="QI311" s="66"/>
      <c r="QJ311" s="66"/>
      <c r="QK311" s="66"/>
      <c r="QL311" s="66"/>
      <c r="QM311" s="66"/>
      <c r="QN311" s="66"/>
      <c r="QO311" s="66"/>
      <c r="QP311" s="66"/>
      <c r="QQ311" s="66"/>
      <c r="QR311" s="66"/>
      <c r="QS311" s="66"/>
      <c r="QT311" s="66"/>
      <c r="QU311" s="66"/>
      <c r="QV311" s="66"/>
      <c r="QW311" s="66"/>
      <c r="QX311" s="66"/>
      <c r="QY311" s="66"/>
      <c r="QZ311" s="66"/>
      <c r="RA311" s="66"/>
      <c r="RB311" s="66"/>
      <c r="RC311" s="66"/>
      <c r="RD311" s="4"/>
    </row>
    <row r="312" spans="9:472" x14ac:dyDescent="0.25">
      <c r="I312" s="66"/>
      <c r="J312" s="66"/>
      <c r="K312" s="66"/>
      <c r="L312" s="66"/>
      <c r="M312" s="66"/>
      <c r="N312" s="66"/>
      <c r="O312" s="66"/>
      <c r="P312" s="66"/>
      <c r="Q312" s="66"/>
      <c r="R312" s="66"/>
      <c r="S312" s="66"/>
      <c r="T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6"/>
      <c r="BZ312" s="66"/>
      <c r="CA312" s="66"/>
      <c r="CB312" s="66"/>
      <c r="CC312" s="66"/>
      <c r="CD312" s="66"/>
      <c r="CE312" s="66"/>
      <c r="CF312" s="66"/>
      <c r="CG312" s="66"/>
      <c r="CH312" s="66"/>
      <c r="CI312" s="66"/>
      <c r="CJ312" s="66"/>
      <c r="CK312" s="66"/>
      <c r="CL312" s="66"/>
      <c r="CM312" s="66"/>
      <c r="CN312" s="66"/>
      <c r="CO312" s="66"/>
      <c r="CP312" s="66"/>
      <c r="CQ312" s="66"/>
      <c r="CR312" s="66"/>
      <c r="CS312" s="66"/>
      <c r="CT312" s="66"/>
      <c r="CU312" s="66"/>
      <c r="CV312" s="66"/>
      <c r="CW312" s="66"/>
      <c r="CX312" s="66"/>
      <c r="CY312" s="66"/>
      <c r="CZ312" s="66"/>
      <c r="DA312" s="66"/>
      <c r="DB312" s="66"/>
      <c r="DC312" s="66"/>
      <c r="DD312" s="66"/>
      <c r="DE312" s="66"/>
      <c r="DF312" s="66"/>
      <c r="DG312" s="66"/>
      <c r="DH312" s="66"/>
      <c r="DI312" s="66"/>
      <c r="DJ312" s="66"/>
      <c r="DK312" s="66"/>
      <c r="DL312" s="66"/>
      <c r="DM312" s="66"/>
      <c r="DN312" s="66"/>
      <c r="DO312" s="66"/>
      <c r="DP312" s="66"/>
      <c r="DQ312" s="66"/>
      <c r="DR312" s="66"/>
      <c r="DS312" s="66"/>
      <c r="DT312" s="66"/>
      <c r="DU312" s="66"/>
      <c r="DV312" s="66"/>
      <c r="DW312" s="66"/>
      <c r="DX312" s="66"/>
      <c r="DY312" s="66"/>
      <c r="DZ312" s="66"/>
      <c r="EA312" s="66"/>
      <c r="EB312" s="66"/>
      <c r="EC312" s="66"/>
      <c r="ED312" s="66"/>
      <c r="EE312" s="66"/>
      <c r="EF312" s="66"/>
      <c r="EG312" s="66"/>
      <c r="EH312" s="66"/>
      <c r="EI312" s="66"/>
      <c r="EJ312" s="66"/>
      <c r="EK312" s="66"/>
      <c r="EL312" s="66"/>
      <c r="EM312" s="66"/>
      <c r="EN312" s="66"/>
      <c r="EO312" s="66"/>
      <c r="EP312" s="66"/>
      <c r="EQ312" s="66"/>
      <c r="ER312" s="66"/>
      <c r="ES312" s="66"/>
      <c r="ET312" s="66"/>
      <c r="EU312" s="66"/>
      <c r="EV312" s="66"/>
      <c r="EW312" s="66"/>
      <c r="EX312" s="66"/>
      <c r="EY312" s="66"/>
      <c r="EZ312" s="66"/>
      <c r="FA312" s="66"/>
      <c r="FB312" s="66"/>
      <c r="FC312" s="66"/>
      <c r="FD312" s="66"/>
      <c r="FE312" s="66"/>
      <c r="FF312" s="66"/>
      <c r="FG312" s="66"/>
      <c r="FH312" s="66"/>
      <c r="FI312" s="66"/>
      <c r="FJ312" s="66"/>
      <c r="FK312" s="66"/>
      <c r="FL312" s="66"/>
      <c r="FM312" s="66"/>
      <c r="FN312" s="66"/>
      <c r="FO312" s="66"/>
      <c r="FP312" s="66"/>
      <c r="FQ312" s="66"/>
      <c r="FR312" s="66"/>
      <c r="FS312" s="66"/>
      <c r="FT312" s="66"/>
      <c r="FU312" s="66"/>
      <c r="FV312" s="66"/>
      <c r="FW312" s="66"/>
      <c r="FX312" s="66"/>
      <c r="FY312" s="66"/>
      <c r="FZ312" s="66"/>
      <c r="GA312" s="66"/>
      <c r="GB312" s="66"/>
      <c r="GC312" s="66"/>
      <c r="GD312" s="66"/>
      <c r="GE312" s="66"/>
      <c r="GF312" s="66"/>
      <c r="GG312" s="66"/>
      <c r="GH312" s="66"/>
      <c r="GI312" s="66"/>
      <c r="GJ312" s="66"/>
      <c r="GK312" s="66"/>
      <c r="GL312" s="66"/>
      <c r="GM312" s="66"/>
      <c r="GN312" s="66"/>
      <c r="GO312" s="66"/>
      <c r="GP312" s="66"/>
      <c r="GQ312" s="66"/>
      <c r="GR312" s="66"/>
      <c r="GS312" s="66"/>
      <c r="GT312" s="66"/>
      <c r="GU312" s="66"/>
      <c r="GV312" s="66"/>
      <c r="GW312" s="66"/>
      <c r="GX312" s="66"/>
      <c r="GY312" s="66"/>
      <c r="GZ312" s="66"/>
      <c r="HA312" s="66"/>
      <c r="HB312" s="66"/>
      <c r="HC312" s="66"/>
      <c r="HD312" s="66"/>
      <c r="HE312" s="66"/>
      <c r="HF312" s="66"/>
      <c r="HG312" s="66"/>
      <c r="HH312" s="66"/>
      <c r="HI312" s="66"/>
      <c r="HJ312" s="66"/>
      <c r="HK312" s="66"/>
      <c r="HL312" s="66"/>
      <c r="HM312" s="66"/>
      <c r="HN312" s="66"/>
      <c r="HO312" s="66"/>
      <c r="HP312" s="66"/>
      <c r="HQ312" s="66"/>
      <c r="HR312" s="66"/>
      <c r="HS312" s="66"/>
      <c r="HT312" s="66"/>
      <c r="HU312" s="66"/>
      <c r="HV312" s="66"/>
      <c r="HW312" s="66"/>
      <c r="HX312" s="66"/>
      <c r="HY312" s="66"/>
      <c r="HZ312" s="66"/>
      <c r="IA312" s="66"/>
      <c r="IB312" s="66"/>
      <c r="IC312" s="66"/>
      <c r="ID312" s="66"/>
      <c r="IE312" s="66"/>
      <c r="IF312" s="66"/>
      <c r="IG312" s="66"/>
      <c r="IH312" s="66"/>
      <c r="II312" s="66"/>
      <c r="IJ312" s="66"/>
      <c r="IK312" s="66"/>
      <c r="IL312" s="66"/>
      <c r="IM312" s="66"/>
      <c r="IN312" s="66"/>
      <c r="IO312" s="66"/>
      <c r="IP312" s="66"/>
      <c r="IQ312" s="66"/>
      <c r="IR312" s="66"/>
      <c r="IS312" s="66"/>
      <c r="IT312" s="66"/>
      <c r="IU312" s="66"/>
      <c r="IV312" s="66"/>
      <c r="IW312" s="66"/>
      <c r="IX312" s="66"/>
      <c r="IY312" s="66"/>
      <c r="IZ312" s="66"/>
      <c r="JA312" s="66"/>
      <c r="JB312" s="66"/>
      <c r="JC312" s="66"/>
      <c r="JD312" s="66"/>
      <c r="JE312" s="66"/>
      <c r="JF312" s="66"/>
      <c r="JG312" s="66"/>
      <c r="JH312" s="66"/>
      <c r="JI312" s="66"/>
      <c r="JJ312" s="66"/>
      <c r="JK312" s="66"/>
      <c r="JL312" s="66"/>
      <c r="JM312" s="66"/>
      <c r="JN312" s="66"/>
      <c r="JO312" s="66"/>
      <c r="JP312" s="66"/>
      <c r="JQ312" s="66"/>
      <c r="JR312" s="66"/>
      <c r="JS312" s="66"/>
      <c r="JT312" s="66"/>
      <c r="JU312" s="66"/>
      <c r="JV312" s="66"/>
      <c r="JW312" s="66"/>
      <c r="JX312" s="66"/>
      <c r="JY312" s="66"/>
      <c r="JZ312" s="66"/>
      <c r="KA312" s="66"/>
      <c r="KB312" s="66"/>
      <c r="KC312" s="66"/>
      <c r="KD312" s="66"/>
      <c r="KE312" s="66"/>
      <c r="KF312" s="66"/>
      <c r="KG312" s="66"/>
      <c r="KH312" s="66"/>
      <c r="KI312" s="66"/>
      <c r="KJ312" s="66"/>
      <c r="KK312" s="66"/>
      <c r="KL312" s="66"/>
      <c r="KM312" s="66"/>
      <c r="KN312" s="66"/>
      <c r="KO312" s="66"/>
      <c r="KP312" s="66"/>
      <c r="KQ312" s="66"/>
      <c r="KR312" s="66"/>
      <c r="KS312" s="66"/>
      <c r="KT312" s="66"/>
      <c r="KU312" s="66"/>
      <c r="KV312" s="66"/>
      <c r="KW312" s="66"/>
      <c r="KX312" s="66"/>
      <c r="KY312" s="66"/>
      <c r="KZ312" s="66"/>
      <c r="LA312" s="66"/>
      <c r="LB312" s="66"/>
      <c r="LC312" s="66"/>
      <c r="LD312" s="66"/>
      <c r="LE312" s="66"/>
      <c r="LF312" s="66"/>
      <c r="LG312" s="66"/>
      <c r="LH312" s="66"/>
      <c r="LI312" s="66"/>
      <c r="LJ312" s="66"/>
      <c r="LK312" s="66"/>
      <c r="LL312" s="66"/>
      <c r="LM312" s="66"/>
      <c r="LN312" s="66"/>
      <c r="LO312" s="66"/>
      <c r="LP312" s="66"/>
      <c r="LQ312" s="66"/>
      <c r="LR312" s="66"/>
      <c r="LS312" s="66"/>
      <c r="LT312" s="66"/>
      <c r="LU312" s="66"/>
      <c r="LV312" s="66"/>
      <c r="LW312" s="66"/>
      <c r="LX312" s="66"/>
      <c r="LY312" s="66"/>
      <c r="LZ312" s="66"/>
      <c r="MA312" s="66"/>
      <c r="MB312" s="66"/>
      <c r="MC312" s="66"/>
      <c r="MD312" s="66"/>
      <c r="ME312" s="66"/>
      <c r="MF312" s="66"/>
      <c r="MG312" s="66"/>
      <c r="MH312" s="66"/>
      <c r="MI312" s="66"/>
      <c r="MJ312" s="66"/>
      <c r="MK312" s="66"/>
      <c r="ML312" s="66"/>
      <c r="MM312" s="66"/>
      <c r="MN312" s="66"/>
      <c r="MO312" s="66"/>
      <c r="MP312" s="66"/>
      <c r="MQ312" s="66"/>
      <c r="MR312" s="66"/>
      <c r="MS312" s="66"/>
      <c r="MT312" s="66"/>
      <c r="MU312" s="66"/>
      <c r="MV312" s="66"/>
      <c r="MW312" s="66"/>
      <c r="MX312" s="66"/>
      <c r="MY312" s="66"/>
      <c r="MZ312" s="66"/>
      <c r="NA312" s="66"/>
      <c r="NB312" s="66"/>
      <c r="NC312" s="66"/>
      <c r="ND312" s="66"/>
      <c r="NE312" s="66"/>
      <c r="NF312" s="66"/>
      <c r="NG312" s="66"/>
      <c r="NH312" s="66"/>
      <c r="NI312" s="66"/>
      <c r="NJ312" s="66"/>
      <c r="NK312" s="66"/>
      <c r="NL312" s="66"/>
      <c r="NM312" s="66"/>
      <c r="NN312" s="66"/>
      <c r="NO312" s="66"/>
      <c r="NP312" s="66"/>
      <c r="NQ312" s="66"/>
      <c r="NR312" s="66"/>
      <c r="NS312" s="66"/>
      <c r="NT312" s="66"/>
      <c r="NU312" s="66"/>
      <c r="NV312" s="66"/>
      <c r="NW312" s="66"/>
      <c r="NX312" s="66"/>
      <c r="NY312" s="66"/>
      <c r="NZ312" s="66"/>
      <c r="OA312" s="66"/>
      <c r="OB312" s="66"/>
      <c r="OC312" s="66"/>
      <c r="OD312" s="66"/>
      <c r="OE312" s="66"/>
      <c r="OF312" s="66"/>
      <c r="OG312" s="66"/>
      <c r="OH312" s="66"/>
      <c r="OI312" s="66"/>
      <c r="OJ312" s="66"/>
      <c r="OK312" s="66"/>
      <c r="OL312" s="66"/>
      <c r="OM312" s="66"/>
      <c r="ON312" s="66"/>
      <c r="OO312" s="66"/>
      <c r="OP312" s="66"/>
      <c r="OQ312" s="66"/>
      <c r="OR312" s="66"/>
      <c r="OS312" s="66"/>
      <c r="OT312" s="66"/>
      <c r="OU312" s="66"/>
      <c r="OV312" s="66"/>
      <c r="OW312" s="66"/>
      <c r="OX312" s="66"/>
      <c r="OY312" s="66"/>
      <c r="OZ312" s="66"/>
      <c r="PA312" s="66"/>
      <c r="PB312" s="66"/>
      <c r="PC312" s="66"/>
      <c r="PD312" s="66"/>
      <c r="PE312" s="66"/>
      <c r="PF312" s="66"/>
      <c r="PG312" s="66"/>
      <c r="PH312" s="66"/>
      <c r="PI312" s="66"/>
      <c r="PJ312" s="66"/>
      <c r="PK312" s="66"/>
      <c r="PL312" s="66"/>
      <c r="PM312" s="66"/>
      <c r="PN312" s="66"/>
      <c r="PO312" s="66"/>
      <c r="PP312" s="66"/>
      <c r="PQ312" s="66"/>
      <c r="PR312" s="66"/>
      <c r="PS312" s="66"/>
      <c r="PT312" s="66"/>
      <c r="PU312" s="66"/>
      <c r="PV312" s="66"/>
      <c r="PW312" s="66"/>
      <c r="PX312" s="66"/>
      <c r="PY312" s="66"/>
      <c r="PZ312" s="66"/>
      <c r="QA312" s="66"/>
      <c r="QB312" s="66"/>
      <c r="QC312" s="66"/>
      <c r="QD312" s="66"/>
      <c r="QE312" s="66"/>
      <c r="QF312" s="66"/>
      <c r="QG312" s="66"/>
      <c r="QH312" s="66"/>
      <c r="QI312" s="66"/>
      <c r="QJ312" s="66"/>
      <c r="QK312" s="66"/>
      <c r="QL312" s="66"/>
      <c r="QM312" s="66"/>
      <c r="QN312" s="66"/>
      <c r="QO312" s="66"/>
      <c r="QP312" s="66"/>
      <c r="QQ312" s="66"/>
      <c r="QR312" s="66"/>
      <c r="QS312" s="66"/>
      <c r="QT312" s="66"/>
      <c r="QU312" s="66"/>
      <c r="QV312" s="66"/>
      <c r="QW312" s="66"/>
      <c r="QX312" s="66"/>
      <c r="QY312" s="66"/>
      <c r="QZ312" s="66"/>
      <c r="RA312" s="66"/>
      <c r="RB312" s="66"/>
      <c r="RC312" s="66"/>
      <c r="RD312" s="4"/>
    </row>
    <row r="313" spans="9:472" x14ac:dyDescent="0.25">
      <c r="I313" s="66"/>
      <c r="J313" s="66"/>
      <c r="K313" s="66"/>
      <c r="L313" s="66"/>
      <c r="M313" s="66"/>
      <c r="N313" s="66"/>
      <c r="O313" s="66"/>
      <c r="P313" s="66"/>
      <c r="Q313" s="66"/>
      <c r="R313" s="66"/>
      <c r="S313" s="66"/>
      <c r="T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6"/>
      <c r="BZ313" s="66"/>
      <c r="CA313" s="66"/>
      <c r="CB313" s="66"/>
      <c r="CC313" s="66"/>
      <c r="CD313" s="66"/>
      <c r="CE313" s="66"/>
      <c r="CF313" s="66"/>
      <c r="CG313" s="66"/>
      <c r="CH313" s="66"/>
      <c r="CI313" s="66"/>
      <c r="CJ313" s="66"/>
      <c r="CK313" s="66"/>
      <c r="CL313" s="66"/>
      <c r="CM313" s="66"/>
      <c r="CN313" s="66"/>
      <c r="CO313" s="66"/>
      <c r="CP313" s="66"/>
      <c r="CQ313" s="66"/>
      <c r="CR313" s="66"/>
      <c r="CS313" s="66"/>
      <c r="CT313" s="66"/>
      <c r="CU313" s="66"/>
      <c r="CV313" s="66"/>
      <c r="CW313" s="66"/>
      <c r="CX313" s="66"/>
      <c r="CY313" s="66"/>
      <c r="CZ313" s="66"/>
      <c r="DA313" s="66"/>
      <c r="DB313" s="66"/>
      <c r="DC313" s="66"/>
      <c r="DD313" s="66"/>
      <c r="DE313" s="66"/>
      <c r="DF313" s="66"/>
      <c r="DG313" s="66"/>
      <c r="DH313" s="66"/>
      <c r="DI313" s="66"/>
      <c r="DJ313" s="66"/>
      <c r="DK313" s="66"/>
      <c r="DL313" s="66"/>
      <c r="DM313" s="66"/>
      <c r="DN313" s="66"/>
      <c r="DO313" s="66"/>
      <c r="DP313" s="66"/>
      <c r="DQ313" s="66"/>
      <c r="DR313" s="66"/>
      <c r="DS313" s="66"/>
      <c r="DT313" s="66"/>
      <c r="DU313" s="66"/>
      <c r="DV313" s="66"/>
      <c r="DW313" s="66"/>
      <c r="DX313" s="66"/>
      <c r="DY313" s="66"/>
      <c r="DZ313" s="66"/>
      <c r="EA313" s="66"/>
      <c r="EB313" s="66"/>
      <c r="EC313" s="66"/>
      <c r="ED313" s="66"/>
      <c r="EE313" s="66"/>
      <c r="EF313" s="66"/>
      <c r="EG313" s="66"/>
      <c r="EH313" s="66"/>
      <c r="EI313" s="66"/>
      <c r="EJ313" s="66"/>
      <c r="EK313" s="66"/>
      <c r="EL313" s="66"/>
      <c r="EM313" s="66"/>
      <c r="EN313" s="66"/>
      <c r="EO313" s="66"/>
      <c r="EP313" s="66"/>
      <c r="EQ313" s="66"/>
      <c r="ER313" s="66"/>
      <c r="ES313" s="66"/>
      <c r="ET313" s="66"/>
      <c r="EU313" s="66"/>
      <c r="EV313" s="66"/>
      <c r="EW313" s="66"/>
      <c r="EX313" s="66"/>
      <c r="EY313" s="66"/>
      <c r="EZ313" s="66"/>
      <c r="FA313" s="66"/>
      <c r="FB313" s="66"/>
      <c r="FC313" s="66"/>
      <c r="FD313" s="66"/>
      <c r="FE313" s="66"/>
      <c r="FF313" s="66"/>
      <c r="FG313" s="66"/>
      <c r="FH313" s="66"/>
      <c r="FI313" s="66"/>
      <c r="FJ313" s="66"/>
      <c r="FK313" s="66"/>
      <c r="FL313" s="66"/>
      <c r="FM313" s="66"/>
      <c r="FN313" s="66"/>
      <c r="FO313" s="66"/>
      <c r="FP313" s="66"/>
      <c r="FQ313" s="66"/>
      <c r="FR313" s="66"/>
      <c r="FS313" s="66"/>
      <c r="FT313" s="66"/>
      <c r="FU313" s="66"/>
      <c r="FV313" s="66"/>
      <c r="FW313" s="66"/>
      <c r="FX313" s="66"/>
      <c r="FY313" s="66"/>
      <c r="FZ313" s="66"/>
      <c r="GA313" s="66"/>
      <c r="GB313" s="66"/>
      <c r="GC313" s="66"/>
      <c r="GD313" s="66"/>
      <c r="GE313" s="66"/>
      <c r="GF313" s="66"/>
      <c r="GG313" s="66"/>
      <c r="GH313" s="66"/>
      <c r="GI313" s="66"/>
      <c r="GJ313" s="66"/>
      <c r="GK313" s="66"/>
      <c r="GL313" s="66"/>
      <c r="GM313" s="66"/>
      <c r="GN313" s="66"/>
      <c r="GO313" s="66"/>
      <c r="GP313" s="66"/>
      <c r="GQ313" s="66"/>
      <c r="GR313" s="66"/>
      <c r="GS313" s="66"/>
      <c r="GT313" s="66"/>
      <c r="GU313" s="66"/>
      <c r="GV313" s="66"/>
      <c r="GW313" s="66"/>
      <c r="GX313" s="66"/>
      <c r="GY313" s="66"/>
      <c r="GZ313" s="66"/>
      <c r="HA313" s="66"/>
      <c r="HB313" s="66"/>
      <c r="HC313" s="66"/>
      <c r="HD313" s="66"/>
      <c r="HE313" s="66"/>
      <c r="HF313" s="66"/>
      <c r="HG313" s="66"/>
      <c r="HH313" s="66"/>
      <c r="HI313" s="66"/>
      <c r="HJ313" s="66"/>
      <c r="HK313" s="66"/>
      <c r="HL313" s="66"/>
      <c r="HM313" s="66"/>
      <c r="HN313" s="66"/>
      <c r="HO313" s="66"/>
      <c r="HP313" s="66"/>
      <c r="HQ313" s="66"/>
      <c r="HR313" s="66"/>
      <c r="HS313" s="66"/>
      <c r="HT313" s="66"/>
      <c r="HU313" s="66"/>
      <c r="HV313" s="66"/>
      <c r="HW313" s="66"/>
      <c r="HX313" s="66"/>
      <c r="HY313" s="66"/>
      <c r="HZ313" s="66"/>
      <c r="IA313" s="66"/>
      <c r="IB313" s="66"/>
      <c r="IC313" s="66"/>
      <c r="ID313" s="66"/>
      <c r="IE313" s="66"/>
      <c r="IF313" s="66"/>
      <c r="IG313" s="66"/>
      <c r="IH313" s="66"/>
      <c r="II313" s="66"/>
      <c r="IJ313" s="66"/>
      <c r="IK313" s="66"/>
      <c r="IL313" s="66"/>
      <c r="IM313" s="66"/>
      <c r="IN313" s="66"/>
      <c r="IO313" s="66"/>
      <c r="IP313" s="66"/>
      <c r="IQ313" s="66"/>
      <c r="IR313" s="66"/>
      <c r="IS313" s="66"/>
      <c r="IT313" s="66"/>
      <c r="IU313" s="66"/>
      <c r="IV313" s="66"/>
      <c r="IW313" s="66"/>
      <c r="IX313" s="66"/>
      <c r="IY313" s="66"/>
      <c r="IZ313" s="66"/>
      <c r="JA313" s="66"/>
      <c r="JB313" s="66"/>
      <c r="JC313" s="66"/>
      <c r="JD313" s="66"/>
      <c r="JE313" s="66"/>
      <c r="JF313" s="66"/>
      <c r="JG313" s="66"/>
      <c r="JH313" s="66"/>
      <c r="JI313" s="66"/>
      <c r="JJ313" s="66"/>
      <c r="JK313" s="66"/>
      <c r="JL313" s="66"/>
      <c r="JM313" s="66"/>
      <c r="JN313" s="66"/>
      <c r="JO313" s="66"/>
      <c r="JP313" s="66"/>
      <c r="JQ313" s="66"/>
      <c r="JR313" s="66"/>
      <c r="JS313" s="66"/>
      <c r="JT313" s="66"/>
      <c r="JU313" s="66"/>
      <c r="JV313" s="66"/>
      <c r="JW313" s="66"/>
      <c r="JX313" s="66"/>
      <c r="JY313" s="66"/>
      <c r="JZ313" s="66"/>
      <c r="KA313" s="66"/>
      <c r="KB313" s="66"/>
      <c r="KC313" s="66"/>
      <c r="KD313" s="66"/>
      <c r="KE313" s="66"/>
      <c r="KF313" s="66"/>
      <c r="KG313" s="66"/>
      <c r="KH313" s="66"/>
      <c r="KI313" s="66"/>
      <c r="KJ313" s="66"/>
      <c r="KK313" s="66"/>
      <c r="KL313" s="66"/>
      <c r="KM313" s="66"/>
      <c r="KN313" s="66"/>
      <c r="KO313" s="66"/>
      <c r="KP313" s="66"/>
      <c r="KQ313" s="66"/>
      <c r="KR313" s="66"/>
      <c r="KS313" s="66"/>
      <c r="KT313" s="66"/>
      <c r="KU313" s="66"/>
      <c r="KV313" s="66"/>
      <c r="KW313" s="66"/>
      <c r="KX313" s="66"/>
      <c r="KY313" s="66"/>
      <c r="KZ313" s="66"/>
      <c r="LA313" s="66"/>
      <c r="LB313" s="66"/>
      <c r="LC313" s="66"/>
      <c r="LD313" s="66"/>
      <c r="LE313" s="66"/>
      <c r="LF313" s="66"/>
      <c r="LG313" s="66"/>
      <c r="LH313" s="66"/>
      <c r="LI313" s="66"/>
      <c r="LJ313" s="66"/>
      <c r="LK313" s="66"/>
      <c r="LL313" s="66"/>
      <c r="LM313" s="66"/>
      <c r="LN313" s="66"/>
      <c r="LO313" s="66"/>
      <c r="LP313" s="66"/>
      <c r="LQ313" s="66"/>
      <c r="LR313" s="66"/>
      <c r="LS313" s="66"/>
      <c r="LT313" s="66"/>
      <c r="LU313" s="66"/>
      <c r="LV313" s="66"/>
      <c r="LW313" s="66"/>
      <c r="LX313" s="66"/>
      <c r="LY313" s="66"/>
      <c r="LZ313" s="66"/>
      <c r="MA313" s="66"/>
      <c r="MB313" s="66"/>
      <c r="MC313" s="66"/>
      <c r="MD313" s="66"/>
      <c r="ME313" s="66"/>
      <c r="MF313" s="66"/>
      <c r="MG313" s="66"/>
      <c r="MH313" s="66"/>
      <c r="MI313" s="66"/>
      <c r="MJ313" s="66"/>
      <c r="MK313" s="66"/>
      <c r="ML313" s="66"/>
      <c r="MM313" s="66"/>
      <c r="MN313" s="66"/>
      <c r="MO313" s="66"/>
      <c r="MP313" s="66"/>
      <c r="MQ313" s="66"/>
      <c r="MR313" s="66"/>
      <c r="MS313" s="66"/>
      <c r="MT313" s="66"/>
      <c r="MU313" s="66"/>
      <c r="MV313" s="66"/>
      <c r="MW313" s="66"/>
      <c r="MX313" s="66"/>
      <c r="MY313" s="66"/>
      <c r="MZ313" s="66"/>
      <c r="NA313" s="66"/>
      <c r="NB313" s="66"/>
      <c r="NC313" s="66"/>
      <c r="ND313" s="66"/>
      <c r="NE313" s="66"/>
      <c r="NF313" s="66"/>
      <c r="NG313" s="66"/>
      <c r="NH313" s="66"/>
      <c r="NI313" s="66"/>
      <c r="NJ313" s="66"/>
      <c r="NK313" s="66"/>
      <c r="NL313" s="66"/>
      <c r="NM313" s="66"/>
      <c r="NN313" s="66"/>
      <c r="NO313" s="66"/>
      <c r="NP313" s="66"/>
      <c r="NQ313" s="66"/>
      <c r="NR313" s="66"/>
      <c r="NS313" s="66"/>
      <c r="NT313" s="66"/>
      <c r="NU313" s="66"/>
      <c r="NV313" s="66"/>
      <c r="NW313" s="66"/>
      <c r="NX313" s="66"/>
      <c r="NY313" s="66"/>
      <c r="NZ313" s="66"/>
      <c r="OA313" s="66"/>
      <c r="OB313" s="66"/>
      <c r="OC313" s="66"/>
      <c r="OD313" s="66"/>
      <c r="OE313" s="66"/>
      <c r="OF313" s="66"/>
      <c r="OG313" s="66"/>
      <c r="OH313" s="66"/>
      <c r="OI313" s="66"/>
      <c r="OJ313" s="66"/>
      <c r="OK313" s="66"/>
      <c r="OL313" s="66"/>
      <c r="OM313" s="66"/>
      <c r="ON313" s="66"/>
      <c r="OO313" s="66"/>
      <c r="OP313" s="66"/>
      <c r="OQ313" s="66"/>
      <c r="OR313" s="66"/>
      <c r="OS313" s="66"/>
      <c r="OT313" s="66"/>
      <c r="OU313" s="66"/>
      <c r="OV313" s="66"/>
      <c r="OW313" s="66"/>
      <c r="OX313" s="66"/>
      <c r="OY313" s="66"/>
      <c r="OZ313" s="66"/>
      <c r="PA313" s="66"/>
      <c r="PB313" s="66"/>
      <c r="PC313" s="66"/>
      <c r="PD313" s="66"/>
      <c r="PE313" s="66"/>
      <c r="PF313" s="66"/>
      <c r="PG313" s="66"/>
      <c r="PH313" s="66"/>
      <c r="PI313" s="66"/>
      <c r="PJ313" s="66"/>
      <c r="PK313" s="66"/>
      <c r="PL313" s="66"/>
      <c r="PM313" s="66"/>
      <c r="PN313" s="66"/>
      <c r="PO313" s="66"/>
      <c r="PP313" s="66"/>
      <c r="PQ313" s="66"/>
      <c r="PR313" s="66"/>
      <c r="PS313" s="66"/>
      <c r="PT313" s="66"/>
      <c r="PU313" s="66"/>
      <c r="PV313" s="66"/>
      <c r="PW313" s="66"/>
      <c r="PX313" s="66"/>
      <c r="PY313" s="66"/>
      <c r="PZ313" s="66"/>
      <c r="QA313" s="66"/>
      <c r="QB313" s="66"/>
      <c r="QC313" s="66"/>
      <c r="QD313" s="66"/>
      <c r="QE313" s="66"/>
      <c r="QF313" s="66"/>
      <c r="QG313" s="66"/>
      <c r="QH313" s="66"/>
      <c r="QI313" s="66"/>
      <c r="QJ313" s="66"/>
      <c r="QK313" s="66"/>
      <c r="QL313" s="66"/>
      <c r="QM313" s="66"/>
      <c r="QN313" s="66"/>
      <c r="QO313" s="66"/>
      <c r="QP313" s="66"/>
      <c r="QQ313" s="66"/>
      <c r="QR313" s="66"/>
      <c r="QS313" s="66"/>
      <c r="QT313" s="66"/>
      <c r="QU313" s="66"/>
      <c r="QV313" s="66"/>
      <c r="QW313" s="66"/>
      <c r="QX313" s="66"/>
      <c r="QY313" s="66"/>
      <c r="QZ313" s="66"/>
      <c r="RA313" s="66"/>
      <c r="RB313" s="66"/>
      <c r="RC313" s="66"/>
      <c r="RD313" s="4"/>
    </row>
    <row r="314" spans="9:472" x14ac:dyDescent="0.25">
      <c r="I314" s="66"/>
      <c r="J314" s="66"/>
      <c r="K314" s="66"/>
      <c r="L314" s="66"/>
      <c r="M314" s="66"/>
      <c r="N314" s="66"/>
      <c r="O314" s="66"/>
      <c r="P314" s="66"/>
      <c r="Q314" s="66"/>
      <c r="R314" s="66"/>
      <c r="S314" s="66"/>
      <c r="T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6"/>
      <c r="BZ314" s="66"/>
      <c r="CA314" s="66"/>
      <c r="CB314" s="66"/>
      <c r="CC314" s="66"/>
      <c r="CD314" s="66"/>
      <c r="CE314" s="66"/>
      <c r="CF314" s="66"/>
      <c r="CG314" s="66"/>
      <c r="CH314" s="66"/>
      <c r="CI314" s="66"/>
      <c r="CJ314" s="66"/>
      <c r="CK314" s="66"/>
      <c r="CL314" s="66"/>
      <c r="CM314" s="66"/>
      <c r="CN314" s="66"/>
      <c r="CO314" s="66"/>
      <c r="CP314" s="66"/>
      <c r="CQ314" s="66"/>
      <c r="CR314" s="66"/>
      <c r="CS314" s="66"/>
      <c r="CT314" s="66"/>
      <c r="CU314" s="66"/>
      <c r="CV314" s="66"/>
      <c r="CW314" s="66"/>
      <c r="CX314" s="66"/>
      <c r="CY314" s="66"/>
      <c r="CZ314" s="66"/>
      <c r="DA314" s="66"/>
      <c r="DB314" s="66"/>
      <c r="DC314" s="66"/>
      <c r="DD314" s="66"/>
      <c r="DE314" s="66"/>
      <c r="DF314" s="66"/>
      <c r="DG314" s="66"/>
      <c r="DH314" s="66"/>
      <c r="DI314" s="66"/>
      <c r="DJ314" s="66"/>
      <c r="DK314" s="66"/>
      <c r="DL314" s="66"/>
      <c r="DM314" s="66"/>
      <c r="DN314" s="66"/>
      <c r="DO314" s="66"/>
      <c r="DP314" s="66"/>
      <c r="DQ314" s="66"/>
      <c r="DR314" s="66"/>
      <c r="DS314" s="66"/>
      <c r="DT314" s="66"/>
      <c r="DU314" s="66"/>
      <c r="DV314" s="66"/>
      <c r="DW314" s="66"/>
      <c r="DX314" s="66"/>
      <c r="DY314" s="66"/>
      <c r="DZ314" s="66"/>
      <c r="EA314" s="66"/>
      <c r="EB314" s="66"/>
      <c r="EC314" s="66"/>
      <c r="ED314" s="66"/>
      <c r="EE314" s="66"/>
      <c r="EF314" s="66"/>
      <c r="EG314" s="66"/>
      <c r="EH314" s="66"/>
      <c r="EI314" s="66"/>
      <c r="EJ314" s="66"/>
      <c r="EK314" s="66"/>
      <c r="EL314" s="66"/>
      <c r="EM314" s="66"/>
      <c r="EN314" s="66"/>
      <c r="EO314" s="66"/>
      <c r="EP314" s="66"/>
      <c r="EQ314" s="66"/>
      <c r="ER314" s="66"/>
      <c r="ES314" s="66"/>
      <c r="ET314" s="66"/>
      <c r="EU314" s="66"/>
      <c r="EV314" s="66"/>
      <c r="EW314" s="66"/>
      <c r="EX314" s="66"/>
      <c r="EY314" s="66"/>
      <c r="EZ314" s="66"/>
      <c r="FA314" s="66"/>
      <c r="FB314" s="66"/>
      <c r="FC314" s="66"/>
      <c r="FD314" s="66"/>
      <c r="FE314" s="66"/>
      <c r="FF314" s="66"/>
      <c r="FG314" s="66"/>
      <c r="FH314" s="66"/>
      <c r="FI314" s="66"/>
      <c r="FJ314" s="66"/>
      <c r="FK314" s="66"/>
      <c r="FL314" s="66"/>
      <c r="FM314" s="66"/>
      <c r="FN314" s="66"/>
      <c r="FO314" s="66"/>
      <c r="FP314" s="66"/>
      <c r="FQ314" s="66"/>
      <c r="FR314" s="66"/>
      <c r="FS314" s="66"/>
      <c r="FT314" s="66"/>
      <c r="FU314" s="66"/>
      <c r="FV314" s="66"/>
      <c r="FW314" s="66"/>
      <c r="FX314" s="66"/>
      <c r="FY314" s="66"/>
      <c r="FZ314" s="66"/>
      <c r="GA314" s="66"/>
      <c r="GB314" s="66"/>
      <c r="GC314" s="66"/>
      <c r="GD314" s="66"/>
      <c r="GE314" s="66"/>
      <c r="GF314" s="66"/>
      <c r="GG314" s="66"/>
      <c r="GH314" s="66"/>
      <c r="GI314" s="66"/>
      <c r="GJ314" s="66"/>
      <c r="GK314" s="66"/>
      <c r="GL314" s="66"/>
      <c r="GM314" s="66"/>
      <c r="GN314" s="66"/>
      <c r="GO314" s="66"/>
      <c r="GP314" s="66"/>
      <c r="GQ314" s="66"/>
      <c r="GR314" s="66"/>
      <c r="GS314" s="66"/>
      <c r="GT314" s="66"/>
      <c r="GU314" s="66"/>
      <c r="GV314" s="66"/>
      <c r="GW314" s="66"/>
      <c r="GX314" s="66"/>
      <c r="GY314" s="66"/>
      <c r="GZ314" s="66"/>
      <c r="HA314" s="66"/>
      <c r="HB314" s="66"/>
      <c r="HC314" s="66"/>
      <c r="HD314" s="66"/>
      <c r="HE314" s="66"/>
      <c r="HF314" s="66"/>
      <c r="HG314" s="66"/>
      <c r="HH314" s="66"/>
      <c r="HI314" s="66"/>
      <c r="HJ314" s="66"/>
      <c r="HK314" s="66"/>
      <c r="HL314" s="66"/>
      <c r="HM314" s="66"/>
      <c r="HN314" s="66"/>
      <c r="HO314" s="66"/>
      <c r="HP314" s="66"/>
      <c r="HQ314" s="66"/>
      <c r="HR314" s="66"/>
      <c r="HS314" s="66"/>
      <c r="HT314" s="66"/>
      <c r="HU314" s="66"/>
      <c r="HV314" s="66"/>
      <c r="HW314" s="66"/>
      <c r="HX314" s="66"/>
      <c r="HY314" s="66"/>
      <c r="HZ314" s="66"/>
      <c r="IA314" s="66"/>
      <c r="IB314" s="66"/>
      <c r="IC314" s="66"/>
      <c r="ID314" s="66"/>
      <c r="IE314" s="66"/>
      <c r="IF314" s="66"/>
      <c r="IG314" s="66"/>
      <c r="IH314" s="66"/>
      <c r="II314" s="66"/>
      <c r="IJ314" s="66"/>
      <c r="IK314" s="66"/>
      <c r="IL314" s="66"/>
      <c r="IM314" s="66"/>
      <c r="IN314" s="66"/>
      <c r="IO314" s="66"/>
      <c r="IP314" s="66"/>
      <c r="IQ314" s="66"/>
      <c r="IR314" s="66"/>
      <c r="IS314" s="66"/>
      <c r="IT314" s="66"/>
      <c r="IU314" s="66"/>
      <c r="IV314" s="66"/>
      <c r="IW314" s="66"/>
      <c r="IX314" s="66"/>
      <c r="IY314" s="66"/>
      <c r="IZ314" s="66"/>
      <c r="JA314" s="66"/>
      <c r="JB314" s="66"/>
      <c r="JC314" s="66"/>
      <c r="JD314" s="66"/>
      <c r="JE314" s="66"/>
      <c r="JF314" s="66"/>
      <c r="JG314" s="66"/>
      <c r="JH314" s="66"/>
      <c r="JI314" s="66"/>
      <c r="JJ314" s="66"/>
      <c r="JK314" s="66"/>
      <c r="JL314" s="66"/>
      <c r="JM314" s="66"/>
      <c r="JN314" s="66"/>
      <c r="JO314" s="66"/>
      <c r="JP314" s="66"/>
      <c r="JQ314" s="66"/>
      <c r="JR314" s="66"/>
      <c r="JS314" s="66"/>
      <c r="JT314" s="66"/>
      <c r="JU314" s="66"/>
      <c r="JV314" s="66"/>
      <c r="JW314" s="66"/>
      <c r="JX314" s="66"/>
      <c r="JY314" s="66"/>
      <c r="JZ314" s="66"/>
      <c r="KA314" s="66"/>
      <c r="KB314" s="66"/>
      <c r="KC314" s="66"/>
      <c r="KD314" s="66"/>
      <c r="KE314" s="66"/>
      <c r="KF314" s="66"/>
      <c r="KG314" s="66"/>
      <c r="KH314" s="66"/>
      <c r="KI314" s="66"/>
      <c r="KJ314" s="66"/>
      <c r="KK314" s="66"/>
      <c r="KL314" s="66"/>
      <c r="KM314" s="66"/>
      <c r="KN314" s="66"/>
      <c r="KO314" s="66"/>
      <c r="KP314" s="66"/>
      <c r="KQ314" s="66"/>
      <c r="KR314" s="66"/>
      <c r="KS314" s="66"/>
      <c r="KT314" s="66"/>
      <c r="KU314" s="66"/>
      <c r="KV314" s="66"/>
      <c r="KW314" s="66"/>
      <c r="KX314" s="66"/>
      <c r="KY314" s="66"/>
      <c r="KZ314" s="66"/>
      <c r="LA314" s="66"/>
      <c r="LB314" s="66"/>
      <c r="LC314" s="66"/>
      <c r="LD314" s="66"/>
      <c r="LE314" s="66"/>
      <c r="LF314" s="66"/>
      <c r="LG314" s="66"/>
      <c r="LH314" s="66"/>
      <c r="LI314" s="66"/>
      <c r="LJ314" s="66"/>
      <c r="LK314" s="66"/>
      <c r="LL314" s="66"/>
      <c r="LM314" s="66"/>
      <c r="LN314" s="66"/>
      <c r="LO314" s="66"/>
      <c r="LP314" s="66"/>
      <c r="LQ314" s="66"/>
      <c r="LR314" s="66"/>
      <c r="LS314" s="66"/>
      <c r="LT314" s="66"/>
      <c r="LU314" s="66"/>
      <c r="LV314" s="66"/>
      <c r="LW314" s="66"/>
      <c r="LX314" s="66"/>
      <c r="LY314" s="66"/>
      <c r="LZ314" s="66"/>
      <c r="MA314" s="66"/>
      <c r="MB314" s="66"/>
      <c r="MC314" s="66"/>
      <c r="MD314" s="66"/>
      <c r="ME314" s="66"/>
      <c r="MF314" s="66"/>
      <c r="MG314" s="66"/>
      <c r="MH314" s="66"/>
      <c r="MI314" s="66"/>
      <c r="MJ314" s="66"/>
      <c r="MK314" s="66"/>
      <c r="ML314" s="66"/>
      <c r="MM314" s="66"/>
      <c r="MN314" s="66"/>
      <c r="MO314" s="66"/>
      <c r="MP314" s="66"/>
      <c r="MQ314" s="66"/>
      <c r="MR314" s="66"/>
      <c r="MS314" s="66"/>
      <c r="MT314" s="66"/>
      <c r="MU314" s="66"/>
      <c r="MV314" s="66"/>
      <c r="MW314" s="66"/>
      <c r="MX314" s="66"/>
      <c r="MY314" s="66"/>
      <c r="MZ314" s="66"/>
      <c r="NA314" s="66"/>
      <c r="NB314" s="66"/>
      <c r="NC314" s="66"/>
      <c r="ND314" s="66"/>
      <c r="NE314" s="66"/>
      <c r="NF314" s="66"/>
      <c r="NG314" s="66"/>
      <c r="NH314" s="66"/>
      <c r="NI314" s="66"/>
      <c r="NJ314" s="66"/>
      <c r="NK314" s="66"/>
      <c r="NL314" s="66"/>
      <c r="NM314" s="66"/>
      <c r="NN314" s="66"/>
      <c r="NO314" s="66"/>
      <c r="NP314" s="66"/>
      <c r="NQ314" s="66"/>
      <c r="NR314" s="66"/>
      <c r="NS314" s="66"/>
      <c r="NT314" s="66"/>
      <c r="NU314" s="66"/>
      <c r="NV314" s="66"/>
      <c r="NW314" s="66"/>
      <c r="NX314" s="66"/>
      <c r="NY314" s="66"/>
      <c r="NZ314" s="66"/>
      <c r="OA314" s="66"/>
      <c r="OB314" s="66"/>
      <c r="OC314" s="66"/>
      <c r="OD314" s="66"/>
      <c r="OE314" s="66"/>
      <c r="OF314" s="66"/>
      <c r="OG314" s="66"/>
      <c r="OH314" s="66"/>
      <c r="OI314" s="66"/>
      <c r="OJ314" s="66"/>
      <c r="OK314" s="66"/>
      <c r="OL314" s="66"/>
      <c r="OM314" s="66"/>
      <c r="ON314" s="66"/>
      <c r="OO314" s="66"/>
      <c r="OP314" s="66"/>
      <c r="OQ314" s="66"/>
      <c r="OR314" s="66"/>
      <c r="OS314" s="66"/>
      <c r="OT314" s="66"/>
      <c r="OU314" s="66"/>
      <c r="OV314" s="66"/>
      <c r="OW314" s="66"/>
      <c r="OX314" s="66"/>
      <c r="OY314" s="66"/>
      <c r="OZ314" s="66"/>
      <c r="PA314" s="66"/>
      <c r="PB314" s="66"/>
      <c r="PC314" s="66"/>
      <c r="PD314" s="66"/>
      <c r="PE314" s="66"/>
      <c r="PF314" s="66"/>
      <c r="PG314" s="66"/>
      <c r="PH314" s="66"/>
      <c r="PI314" s="66"/>
      <c r="PJ314" s="66"/>
      <c r="PK314" s="66"/>
      <c r="PL314" s="66"/>
      <c r="PM314" s="66"/>
      <c r="PN314" s="66"/>
      <c r="PO314" s="66"/>
      <c r="PP314" s="66"/>
      <c r="PQ314" s="66"/>
      <c r="PR314" s="66"/>
      <c r="PS314" s="66"/>
      <c r="PT314" s="66"/>
      <c r="PU314" s="66"/>
      <c r="PV314" s="66"/>
      <c r="PW314" s="66"/>
      <c r="PX314" s="66"/>
      <c r="PY314" s="66"/>
      <c r="PZ314" s="66"/>
      <c r="QA314" s="66"/>
      <c r="QB314" s="66"/>
      <c r="QC314" s="66"/>
      <c r="QD314" s="66"/>
      <c r="QE314" s="66"/>
      <c r="QF314" s="66"/>
      <c r="QG314" s="66"/>
      <c r="QH314" s="66"/>
      <c r="QI314" s="66"/>
      <c r="QJ314" s="66"/>
      <c r="QK314" s="66"/>
      <c r="QL314" s="66"/>
      <c r="QM314" s="66"/>
      <c r="QN314" s="66"/>
      <c r="QO314" s="66"/>
      <c r="QP314" s="66"/>
      <c r="QQ314" s="66"/>
      <c r="QR314" s="66"/>
      <c r="QS314" s="66"/>
      <c r="QT314" s="66"/>
      <c r="QU314" s="66"/>
      <c r="QV314" s="66"/>
      <c r="QW314" s="66"/>
      <c r="QX314" s="66"/>
      <c r="QY314" s="66"/>
      <c r="QZ314" s="66"/>
      <c r="RA314" s="66"/>
      <c r="RB314" s="66"/>
      <c r="RC314" s="66"/>
      <c r="RD314" s="4"/>
    </row>
    <row r="315" spans="9:472" x14ac:dyDescent="0.25">
      <c r="I315" s="66"/>
      <c r="J315" s="66"/>
      <c r="K315" s="66"/>
      <c r="L315" s="66"/>
      <c r="M315" s="66"/>
      <c r="N315" s="66"/>
      <c r="O315" s="66"/>
      <c r="P315" s="66"/>
      <c r="Q315" s="66"/>
      <c r="R315" s="66"/>
      <c r="S315" s="66"/>
      <c r="T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6"/>
      <c r="BZ315" s="66"/>
      <c r="CA315" s="66"/>
      <c r="CB315" s="66"/>
      <c r="CC315" s="66"/>
      <c r="CD315" s="66"/>
      <c r="CE315" s="66"/>
      <c r="CF315" s="66"/>
      <c r="CG315" s="66"/>
      <c r="CH315" s="66"/>
      <c r="CI315" s="66"/>
      <c r="CJ315" s="66"/>
      <c r="CK315" s="66"/>
      <c r="CL315" s="66"/>
      <c r="CM315" s="66"/>
      <c r="CN315" s="66"/>
      <c r="CO315" s="66"/>
      <c r="CP315" s="66"/>
      <c r="CQ315" s="66"/>
      <c r="CR315" s="66"/>
      <c r="CS315" s="66"/>
      <c r="CT315" s="66"/>
      <c r="CU315" s="66"/>
      <c r="CV315" s="66"/>
      <c r="CW315" s="66"/>
      <c r="CX315" s="66"/>
      <c r="CY315" s="66"/>
      <c r="CZ315" s="66"/>
      <c r="DA315" s="66"/>
      <c r="DB315" s="66"/>
      <c r="DC315" s="66"/>
      <c r="DD315" s="66"/>
      <c r="DE315" s="66"/>
      <c r="DF315" s="66"/>
      <c r="DG315" s="66"/>
      <c r="DH315" s="66"/>
      <c r="DI315" s="66"/>
      <c r="DJ315" s="66"/>
      <c r="DK315" s="66"/>
      <c r="DL315" s="66"/>
      <c r="DM315" s="66"/>
      <c r="DN315" s="66"/>
      <c r="DO315" s="66"/>
      <c r="DP315" s="66"/>
      <c r="DQ315" s="66"/>
      <c r="DR315" s="66"/>
      <c r="DS315" s="66"/>
      <c r="DT315" s="66"/>
      <c r="DU315" s="66"/>
      <c r="DV315" s="66"/>
      <c r="DW315" s="66"/>
      <c r="DX315" s="66"/>
      <c r="DY315" s="66"/>
      <c r="DZ315" s="66"/>
      <c r="EA315" s="66"/>
      <c r="EB315" s="66"/>
      <c r="EC315" s="66"/>
      <c r="ED315" s="66"/>
      <c r="EE315" s="66"/>
      <c r="EF315" s="66"/>
      <c r="EG315" s="66"/>
      <c r="EH315" s="66"/>
      <c r="EI315" s="66"/>
      <c r="EJ315" s="66"/>
      <c r="EK315" s="66"/>
      <c r="EL315" s="66"/>
      <c r="EM315" s="66"/>
      <c r="EN315" s="66"/>
      <c r="EO315" s="66"/>
      <c r="EP315" s="66"/>
      <c r="EQ315" s="66"/>
      <c r="ER315" s="66"/>
      <c r="ES315" s="66"/>
      <c r="ET315" s="66"/>
      <c r="EU315" s="66"/>
      <c r="EV315" s="66"/>
      <c r="EW315" s="66"/>
      <c r="EX315" s="66"/>
      <c r="EY315" s="66"/>
      <c r="EZ315" s="66"/>
      <c r="FA315" s="66"/>
      <c r="FB315" s="66"/>
      <c r="FC315" s="66"/>
      <c r="FD315" s="66"/>
      <c r="FE315" s="66"/>
      <c r="FF315" s="66"/>
      <c r="FG315" s="66"/>
      <c r="FH315" s="66"/>
      <c r="FI315" s="66"/>
      <c r="FJ315" s="66"/>
      <c r="FK315" s="66"/>
      <c r="FL315" s="66"/>
      <c r="FM315" s="66"/>
      <c r="FN315" s="66"/>
      <c r="FO315" s="66"/>
      <c r="FP315" s="66"/>
      <c r="FQ315" s="66"/>
      <c r="FR315" s="66"/>
      <c r="FS315" s="66"/>
      <c r="FT315" s="66"/>
      <c r="FU315" s="66"/>
      <c r="FV315" s="66"/>
      <c r="FW315" s="66"/>
      <c r="FX315" s="66"/>
      <c r="FY315" s="66"/>
      <c r="FZ315" s="66"/>
      <c r="GA315" s="66"/>
      <c r="GB315" s="66"/>
      <c r="GC315" s="66"/>
      <c r="GD315" s="66"/>
      <c r="GE315" s="66"/>
      <c r="GF315" s="66"/>
      <c r="GG315" s="66"/>
      <c r="GH315" s="66"/>
      <c r="GI315" s="66"/>
      <c r="GJ315" s="66"/>
      <c r="GK315" s="66"/>
      <c r="GL315" s="66"/>
      <c r="GM315" s="66"/>
      <c r="GN315" s="66"/>
      <c r="GO315" s="66"/>
      <c r="GP315" s="66"/>
      <c r="GQ315" s="66"/>
      <c r="GR315" s="66"/>
      <c r="GS315" s="66"/>
      <c r="GT315" s="66"/>
      <c r="GU315" s="66"/>
      <c r="GV315" s="66"/>
      <c r="GW315" s="66"/>
      <c r="GX315" s="66"/>
      <c r="GY315" s="66"/>
      <c r="GZ315" s="66"/>
      <c r="HA315" s="66"/>
      <c r="HB315" s="66"/>
      <c r="HC315" s="66"/>
      <c r="HD315" s="66"/>
      <c r="HE315" s="66"/>
      <c r="HF315" s="66"/>
      <c r="HG315" s="66"/>
      <c r="HH315" s="66"/>
      <c r="HI315" s="66"/>
      <c r="HJ315" s="66"/>
      <c r="HK315" s="66"/>
      <c r="HL315" s="66"/>
      <c r="HM315" s="66"/>
      <c r="HN315" s="66"/>
      <c r="HO315" s="66"/>
      <c r="HP315" s="66"/>
      <c r="HQ315" s="66"/>
      <c r="HR315" s="66"/>
      <c r="HS315" s="66"/>
      <c r="HT315" s="66"/>
      <c r="HU315" s="66"/>
      <c r="HV315" s="66"/>
      <c r="HW315" s="66"/>
      <c r="HX315" s="66"/>
      <c r="HY315" s="66"/>
      <c r="HZ315" s="66"/>
      <c r="IA315" s="66"/>
      <c r="IB315" s="66"/>
      <c r="IC315" s="66"/>
      <c r="ID315" s="66"/>
      <c r="IE315" s="66"/>
      <c r="IF315" s="66"/>
      <c r="IG315" s="66"/>
      <c r="IH315" s="66"/>
      <c r="II315" s="66"/>
      <c r="IJ315" s="66"/>
      <c r="IK315" s="66"/>
      <c r="IL315" s="66"/>
      <c r="IM315" s="66"/>
      <c r="IN315" s="66"/>
      <c r="IO315" s="66"/>
      <c r="IP315" s="66"/>
      <c r="IQ315" s="66"/>
      <c r="IR315" s="66"/>
      <c r="IS315" s="66"/>
      <c r="IT315" s="66"/>
      <c r="IU315" s="66"/>
      <c r="IV315" s="66"/>
      <c r="IW315" s="66"/>
      <c r="IX315" s="66"/>
      <c r="IY315" s="66"/>
      <c r="IZ315" s="66"/>
      <c r="JA315" s="66"/>
      <c r="JB315" s="66"/>
      <c r="JC315" s="66"/>
      <c r="JD315" s="66"/>
      <c r="JE315" s="66"/>
      <c r="JF315" s="66"/>
      <c r="JG315" s="66"/>
      <c r="JH315" s="66"/>
      <c r="JI315" s="66"/>
      <c r="JJ315" s="66"/>
      <c r="JK315" s="66"/>
      <c r="JL315" s="66"/>
      <c r="JM315" s="66"/>
      <c r="JN315" s="66"/>
      <c r="JO315" s="66"/>
      <c r="JP315" s="66"/>
      <c r="JQ315" s="66"/>
      <c r="JR315" s="66"/>
      <c r="JS315" s="66"/>
      <c r="JT315" s="66"/>
      <c r="JU315" s="66"/>
      <c r="JV315" s="66"/>
      <c r="JW315" s="66"/>
      <c r="JX315" s="66"/>
      <c r="JY315" s="66"/>
      <c r="JZ315" s="66"/>
      <c r="KA315" s="66"/>
      <c r="KB315" s="66"/>
      <c r="KC315" s="66"/>
      <c r="KD315" s="66"/>
      <c r="KE315" s="66"/>
      <c r="KF315" s="66"/>
      <c r="KG315" s="66"/>
      <c r="KH315" s="66"/>
      <c r="KI315" s="66"/>
      <c r="KJ315" s="66"/>
      <c r="KK315" s="66"/>
      <c r="KL315" s="66"/>
      <c r="KM315" s="66"/>
      <c r="KN315" s="66"/>
      <c r="KO315" s="66"/>
      <c r="KP315" s="66"/>
      <c r="KQ315" s="66"/>
      <c r="KR315" s="66"/>
      <c r="KS315" s="66"/>
      <c r="KT315" s="66"/>
      <c r="KU315" s="66"/>
      <c r="KV315" s="66"/>
      <c r="KW315" s="66"/>
      <c r="KX315" s="66"/>
      <c r="KY315" s="66"/>
      <c r="KZ315" s="66"/>
      <c r="LA315" s="66"/>
      <c r="LB315" s="66"/>
      <c r="LC315" s="66"/>
      <c r="LD315" s="66"/>
      <c r="LE315" s="66"/>
      <c r="LF315" s="66"/>
      <c r="LG315" s="66"/>
      <c r="LH315" s="66"/>
      <c r="LI315" s="66"/>
      <c r="LJ315" s="66"/>
      <c r="LK315" s="66"/>
      <c r="LL315" s="66"/>
      <c r="LM315" s="66"/>
      <c r="LN315" s="66"/>
      <c r="LO315" s="66"/>
      <c r="LP315" s="66"/>
      <c r="LQ315" s="66"/>
      <c r="LR315" s="66"/>
      <c r="LS315" s="66"/>
      <c r="LT315" s="66"/>
      <c r="LU315" s="66"/>
      <c r="LV315" s="66"/>
      <c r="LW315" s="66"/>
      <c r="LX315" s="66"/>
      <c r="LY315" s="66"/>
      <c r="LZ315" s="66"/>
      <c r="MA315" s="66"/>
      <c r="MB315" s="66"/>
      <c r="MC315" s="66"/>
      <c r="MD315" s="66"/>
      <c r="ME315" s="66"/>
      <c r="MF315" s="66"/>
      <c r="MG315" s="66"/>
      <c r="MH315" s="66"/>
      <c r="MI315" s="66"/>
      <c r="MJ315" s="66"/>
      <c r="MK315" s="66"/>
      <c r="ML315" s="66"/>
      <c r="MM315" s="66"/>
      <c r="MN315" s="66"/>
      <c r="MO315" s="66"/>
      <c r="MP315" s="66"/>
      <c r="MQ315" s="66"/>
      <c r="MR315" s="66"/>
      <c r="MS315" s="66"/>
      <c r="MT315" s="66"/>
      <c r="MU315" s="66"/>
      <c r="MV315" s="66"/>
      <c r="MW315" s="66"/>
      <c r="MX315" s="66"/>
      <c r="MY315" s="66"/>
      <c r="MZ315" s="66"/>
      <c r="NA315" s="66"/>
      <c r="NB315" s="66"/>
      <c r="NC315" s="66"/>
      <c r="ND315" s="66"/>
      <c r="NE315" s="66"/>
      <c r="NF315" s="66"/>
      <c r="NG315" s="66"/>
      <c r="NH315" s="66"/>
      <c r="NI315" s="66"/>
      <c r="NJ315" s="66"/>
      <c r="NK315" s="66"/>
      <c r="NL315" s="66"/>
      <c r="NM315" s="66"/>
      <c r="NN315" s="66"/>
      <c r="NO315" s="66"/>
      <c r="NP315" s="66"/>
      <c r="NQ315" s="66"/>
      <c r="NR315" s="66"/>
      <c r="NS315" s="66"/>
      <c r="NT315" s="66"/>
      <c r="NU315" s="66"/>
      <c r="NV315" s="66"/>
      <c r="NW315" s="66"/>
      <c r="NX315" s="66"/>
      <c r="NY315" s="66"/>
      <c r="NZ315" s="66"/>
      <c r="OA315" s="66"/>
      <c r="OB315" s="66"/>
      <c r="OC315" s="66"/>
      <c r="OD315" s="66"/>
      <c r="OE315" s="66"/>
      <c r="OF315" s="66"/>
      <c r="OG315" s="66"/>
      <c r="OH315" s="66"/>
      <c r="OI315" s="66"/>
      <c r="OJ315" s="66"/>
      <c r="OK315" s="66"/>
      <c r="OL315" s="66"/>
      <c r="OM315" s="66"/>
      <c r="ON315" s="66"/>
      <c r="OO315" s="66"/>
      <c r="OP315" s="66"/>
      <c r="OQ315" s="66"/>
      <c r="OR315" s="66"/>
      <c r="OS315" s="66"/>
      <c r="OT315" s="66"/>
      <c r="OU315" s="66"/>
      <c r="OV315" s="66"/>
      <c r="OW315" s="66"/>
      <c r="OX315" s="66"/>
      <c r="OY315" s="66"/>
      <c r="OZ315" s="66"/>
      <c r="PA315" s="66"/>
      <c r="PB315" s="66"/>
      <c r="PC315" s="66"/>
      <c r="PD315" s="66"/>
      <c r="PE315" s="66"/>
      <c r="PF315" s="66"/>
      <c r="PG315" s="66"/>
      <c r="PH315" s="66"/>
      <c r="PI315" s="66"/>
      <c r="PJ315" s="66"/>
      <c r="PK315" s="66"/>
      <c r="PL315" s="66"/>
      <c r="PM315" s="66"/>
      <c r="PN315" s="66"/>
      <c r="PO315" s="66"/>
      <c r="PP315" s="66"/>
      <c r="PQ315" s="66"/>
      <c r="PR315" s="66"/>
      <c r="PS315" s="66"/>
      <c r="PT315" s="66"/>
      <c r="PU315" s="66"/>
      <c r="PV315" s="66"/>
      <c r="PW315" s="66"/>
      <c r="PX315" s="66"/>
      <c r="PY315" s="66"/>
      <c r="PZ315" s="66"/>
      <c r="QA315" s="66"/>
      <c r="QB315" s="66"/>
      <c r="QC315" s="66"/>
      <c r="QD315" s="66"/>
      <c r="QE315" s="66"/>
      <c r="QF315" s="66"/>
      <c r="QG315" s="66"/>
      <c r="QH315" s="66"/>
      <c r="QI315" s="66"/>
      <c r="QJ315" s="66"/>
      <c r="QK315" s="66"/>
      <c r="QL315" s="66"/>
      <c r="QM315" s="66"/>
      <c r="QN315" s="66"/>
      <c r="QO315" s="66"/>
      <c r="QP315" s="66"/>
      <c r="QQ315" s="66"/>
      <c r="QR315" s="66"/>
      <c r="QS315" s="66"/>
      <c r="QT315" s="66"/>
      <c r="QU315" s="66"/>
      <c r="QV315" s="66"/>
      <c r="QW315" s="66"/>
      <c r="QX315" s="66"/>
      <c r="QY315" s="66"/>
      <c r="QZ315" s="66"/>
      <c r="RA315" s="66"/>
      <c r="RB315" s="66"/>
      <c r="RC315" s="66"/>
      <c r="RD315" s="4"/>
    </row>
    <row r="316" spans="9:472" x14ac:dyDescent="0.25">
      <c r="I316" s="66"/>
      <c r="J316" s="66"/>
      <c r="K316" s="66"/>
      <c r="L316" s="66"/>
      <c r="M316" s="66"/>
      <c r="N316" s="66"/>
      <c r="O316" s="66"/>
      <c r="P316" s="66"/>
      <c r="Q316" s="66"/>
      <c r="R316" s="66"/>
      <c r="S316" s="66"/>
      <c r="T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6"/>
      <c r="BZ316" s="66"/>
      <c r="CA316" s="66"/>
      <c r="CB316" s="66"/>
      <c r="CC316" s="66"/>
      <c r="CD316" s="66"/>
      <c r="CE316" s="66"/>
      <c r="CF316" s="66"/>
      <c r="CG316" s="66"/>
      <c r="CH316" s="66"/>
      <c r="CI316" s="66"/>
      <c r="CJ316" s="66"/>
      <c r="CK316" s="66"/>
      <c r="CL316" s="66"/>
      <c r="CM316" s="66"/>
      <c r="CN316" s="66"/>
      <c r="CO316" s="66"/>
      <c r="CP316" s="66"/>
      <c r="CQ316" s="66"/>
      <c r="CR316" s="66"/>
      <c r="CS316" s="66"/>
      <c r="CT316" s="66"/>
      <c r="CU316" s="66"/>
      <c r="CV316" s="66"/>
      <c r="CW316" s="66"/>
      <c r="CX316" s="66"/>
      <c r="CY316" s="66"/>
      <c r="CZ316" s="66"/>
      <c r="DA316" s="66"/>
      <c r="DB316" s="66"/>
      <c r="DC316" s="66"/>
      <c r="DD316" s="66"/>
      <c r="DE316" s="66"/>
      <c r="DF316" s="66"/>
      <c r="DG316" s="66"/>
      <c r="DH316" s="66"/>
      <c r="DI316" s="66"/>
      <c r="DJ316" s="66"/>
      <c r="DK316" s="66"/>
      <c r="DL316" s="66"/>
      <c r="DM316" s="66"/>
      <c r="DN316" s="66"/>
      <c r="DO316" s="66"/>
      <c r="DP316" s="66"/>
      <c r="DQ316" s="66"/>
      <c r="DR316" s="66"/>
      <c r="DS316" s="66"/>
      <c r="DT316" s="66"/>
      <c r="DU316" s="66"/>
      <c r="DV316" s="66"/>
      <c r="DW316" s="66"/>
      <c r="DX316" s="66"/>
      <c r="DY316" s="66"/>
      <c r="DZ316" s="66"/>
      <c r="EA316" s="66"/>
      <c r="EB316" s="66"/>
      <c r="EC316" s="66"/>
      <c r="ED316" s="66"/>
      <c r="EE316" s="66"/>
      <c r="EF316" s="66"/>
      <c r="EG316" s="66"/>
      <c r="EH316" s="66"/>
      <c r="EI316" s="66"/>
      <c r="EJ316" s="66"/>
      <c r="EK316" s="66"/>
      <c r="EL316" s="66"/>
      <c r="EM316" s="66"/>
      <c r="EN316" s="66"/>
      <c r="EO316" s="66"/>
      <c r="EP316" s="66"/>
      <c r="EQ316" s="66"/>
      <c r="ER316" s="66"/>
      <c r="ES316" s="66"/>
      <c r="ET316" s="66"/>
      <c r="EU316" s="66"/>
      <c r="EV316" s="66"/>
      <c r="EW316" s="66"/>
      <c r="EX316" s="66"/>
      <c r="EY316" s="66"/>
      <c r="EZ316" s="66"/>
      <c r="FA316" s="66"/>
      <c r="FB316" s="66"/>
      <c r="FC316" s="66"/>
      <c r="FD316" s="66"/>
      <c r="FE316" s="66"/>
      <c r="FF316" s="66"/>
      <c r="FG316" s="66"/>
      <c r="FH316" s="66"/>
      <c r="FI316" s="66"/>
      <c r="FJ316" s="66"/>
      <c r="FK316" s="66"/>
      <c r="FL316" s="66"/>
      <c r="FM316" s="66"/>
      <c r="FN316" s="66"/>
      <c r="FO316" s="66"/>
      <c r="FP316" s="66"/>
      <c r="FQ316" s="66"/>
      <c r="FR316" s="66"/>
      <c r="FS316" s="66"/>
      <c r="FT316" s="66"/>
      <c r="FU316" s="66"/>
      <c r="FV316" s="66"/>
      <c r="FW316" s="66"/>
      <c r="FX316" s="66"/>
      <c r="FY316" s="66"/>
      <c r="FZ316" s="66"/>
      <c r="GA316" s="66"/>
      <c r="GB316" s="66"/>
      <c r="GC316" s="66"/>
      <c r="GD316" s="66"/>
      <c r="GE316" s="66"/>
      <c r="GF316" s="66"/>
      <c r="GG316" s="66"/>
      <c r="GH316" s="66"/>
      <c r="GI316" s="66"/>
      <c r="GJ316" s="66"/>
      <c r="GK316" s="66"/>
      <c r="GL316" s="66"/>
      <c r="GM316" s="66"/>
      <c r="GN316" s="66"/>
      <c r="GO316" s="66"/>
      <c r="GP316" s="66"/>
      <c r="GQ316" s="66"/>
      <c r="GR316" s="66"/>
      <c r="GS316" s="66"/>
      <c r="GT316" s="66"/>
      <c r="GU316" s="66"/>
      <c r="GV316" s="66"/>
      <c r="GW316" s="66"/>
      <c r="GX316" s="66"/>
      <c r="GY316" s="66"/>
      <c r="GZ316" s="66"/>
      <c r="HA316" s="66"/>
      <c r="HB316" s="66"/>
      <c r="HC316" s="66"/>
      <c r="HD316" s="66"/>
      <c r="HE316" s="66"/>
      <c r="HF316" s="66"/>
      <c r="HG316" s="66"/>
      <c r="HH316" s="66"/>
      <c r="HI316" s="66"/>
      <c r="HJ316" s="66"/>
      <c r="HK316" s="66"/>
      <c r="HL316" s="66"/>
      <c r="HM316" s="66"/>
      <c r="HN316" s="66"/>
      <c r="HO316" s="66"/>
      <c r="HP316" s="66"/>
      <c r="HQ316" s="66"/>
      <c r="HR316" s="66"/>
      <c r="HS316" s="66"/>
      <c r="HT316" s="66"/>
      <c r="HU316" s="66"/>
      <c r="HV316" s="66"/>
      <c r="HW316" s="66"/>
      <c r="HX316" s="66"/>
      <c r="HY316" s="66"/>
      <c r="HZ316" s="66"/>
      <c r="IA316" s="66"/>
      <c r="IB316" s="66"/>
      <c r="IC316" s="66"/>
      <c r="ID316" s="66"/>
      <c r="IE316" s="66"/>
      <c r="IF316" s="66"/>
      <c r="IG316" s="66"/>
      <c r="IH316" s="66"/>
      <c r="II316" s="66"/>
      <c r="IJ316" s="66"/>
      <c r="IK316" s="66"/>
      <c r="IL316" s="66"/>
      <c r="IM316" s="66"/>
      <c r="IN316" s="66"/>
      <c r="IO316" s="66"/>
      <c r="IP316" s="66"/>
      <c r="IQ316" s="66"/>
      <c r="IR316" s="66"/>
      <c r="IS316" s="66"/>
      <c r="IT316" s="66"/>
      <c r="IU316" s="66"/>
      <c r="IV316" s="66"/>
      <c r="IW316" s="66"/>
      <c r="IX316" s="66"/>
      <c r="IY316" s="66"/>
      <c r="IZ316" s="66"/>
      <c r="JA316" s="66"/>
      <c r="JB316" s="66"/>
      <c r="JC316" s="66"/>
      <c r="JD316" s="66"/>
      <c r="JE316" s="66"/>
      <c r="JF316" s="66"/>
      <c r="JG316" s="66"/>
      <c r="JH316" s="66"/>
      <c r="JI316" s="66"/>
      <c r="JJ316" s="66"/>
      <c r="JK316" s="66"/>
      <c r="JL316" s="66"/>
      <c r="JM316" s="66"/>
      <c r="JN316" s="66"/>
      <c r="JO316" s="66"/>
      <c r="JP316" s="66"/>
      <c r="JQ316" s="66"/>
      <c r="JR316" s="66"/>
      <c r="JS316" s="66"/>
      <c r="JT316" s="66"/>
      <c r="JU316" s="66"/>
      <c r="JV316" s="66"/>
      <c r="JW316" s="66"/>
      <c r="JX316" s="66"/>
      <c r="JY316" s="66"/>
      <c r="JZ316" s="66"/>
      <c r="KA316" s="66"/>
      <c r="KB316" s="66"/>
      <c r="KC316" s="66"/>
      <c r="KD316" s="66"/>
      <c r="KE316" s="66"/>
      <c r="KF316" s="66"/>
      <c r="KG316" s="66"/>
      <c r="KH316" s="66"/>
      <c r="KI316" s="66"/>
      <c r="KJ316" s="66"/>
      <c r="KK316" s="66"/>
      <c r="KL316" s="66"/>
      <c r="KM316" s="66"/>
      <c r="KN316" s="66"/>
      <c r="KO316" s="66"/>
      <c r="KP316" s="66"/>
      <c r="KQ316" s="66"/>
      <c r="KR316" s="66"/>
      <c r="KS316" s="66"/>
      <c r="KT316" s="66"/>
      <c r="KU316" s="66"/>
      <c r="KV316" s="66"/>
      <c r="KW316" s="66"/>
      <c r="KX316" s="66"/>
      <c r="KY316" s="66"/>
      <c r="KZ316" s="66"/>
      <c r="LA316" s="66"/>
      <c r="LB316" s="66"/>
      <c r="LC316" s="66"/>
      <c r="LD316" s="66"/>
      <c r="LE316" s="66"/>
      <c r="LF316" s="66"/>
      <c r="LG316" s="66"/>
      <c r="LH316" s="66"/>
      <c r="LI316" s="66"/>
      <c r="LJ316" s="66"/>
      <c r="LK316" s="66"/>
      <c r="LL316" s="66"/>
      <c r="LM316" s="66"/>
      <c r="LN316" s="66"/>
      <c r="LO316" s="66"/>
      <c r="LP316" s="66"/>
      <c r="LQ316" s="66"/>
      <c r="LR316" s="66"/>
      <c r="LS316" s="66"/>
      <c r="LT316" s="66"/>
      <c r="LU316" s="66"/>
      <c r="LV316" s="66"/>
      <c r="LW316" s="66"/>
      <c r="LX316" s="66"/>
      <c r="LY316" s="66"/>
      <c r="LZ316" s="66"/>
      <c r="MA316" s="66"/>
      <c r="MB316" s="66"/>
      <c r="MC316" s="66"/>
      <c r="MD316" s="66"/>
      <c r="ME316" s="66"/>
      <c r="MF316" s="66"/>
      <c r="MG316" s="66"/>
      <c r="MH316" s="66"/>
      <c r="MI316" s="66"/>
      <c r="MJ316" s="66"/>
      <c r="MK316" s="66"/>
      <c r="ML316" s="66"/>
      <c r="MM316" s="66"/>
      <c r="MN316" s="66"/>
      <c r="MO316" s="66"/>
      <c r="MP316" s="66"/>
      <c r="MQ316" s="66"/>
      <c r="MR316" s="66"/>
      <c r="MS316" s="66"/>
      <c r="MT316" s="66"/>
      <c r="MU316" s="66"/>
      <c r="MV316" s="66"/>
      <c r="MW316" s="66"/>
      <c r="MX316" s="66"/>
      <c r="MY316" s="66"/>
      <c r="MZ316" s="66"/>
      <c r="NA316" s="66"/>
      <c r="NB316" s="66"/>
      <c r="NC316" s="66"/>
      <c r="ND316" s="66"/>
      <c r="NE316" s="66"/>
      <c r="NF316" s="66"/>
      <c r="NG316" s="66"/>
      <c r="NH316" s="66"/>
      <c r="NI316" s="66"/>
      <c r="NJ316" s="66"/>
      <c r="NK316" s="66"/>
      <c r="NL316" s="66"/>
      <c r="NM316" s="66"/>
      <c r="NN316" s="66"/>
      <c r="NO316" s="66"/>
      <c r="NP316" s="66"/>
      <c r="NQ316" s="66"/>
      <c r="NR316" s="66"/>
      <c r="NS316" s="66"/>
      <c r="NT316" s="66"/>
      <c r="NU316" s="66"/>
      <c r="NV316" s="66"/>
      <c r="NW316" s="66"/>
      <c r="NX316" s="66"/>
      <c r="NY316" s="66"/>
      <c r="NZ316" s="66"/>
      <c r="OA316" s="66"/>
      <c r="OB316" s="66"/>
      <c r="OC316" s="66"/>
      <c r="OD316" s="66"/>
      <c r="OE316" s="66"/>
      <c r="OF316" s="66"/>
      <c r="OG316" s="66"/>
      <c r="OH316" s="66"/>
      <c r="OI316" s="66"/>
      <c r="OJ316" s="66"/>
      <c r="OK316" s="66"/>
      <c r="OL316" s="66"/>
      <c r="OM316" s="66"/>
      <c r="ON316" s="66"/>
      <c r="OO316" s="66"/>
      <c r="OP316" s="66"/>
      <c r="OQ316" s="66"/>
      <c r="OR316" s="66"/>
      <c r="OS316" s="66"/>
      <c r="OT316" s="66"/>
      <c r="OU316" s="66"/>
      <c r="OV316" s="66"/>
      <c r="OW316" s="66"/>
      <c r="OX316" s="66"/>
      <c r="OY316" s="66"/>
      <c r="OZ316" s="66"/>
      <c r="PA316" s="66"/>
      <c r="PB316" s="66"/>
      <c r="PC316" s="66"/>
      <c r="PD316" s="66"/>
      <c r="PE316" s="66"/>
      <c r="PF316" s="66"/>
      <c r="PG316" s="66"/>
      <c r="PH316" s="66"/>
      <c r="PI316" s="66"/>
      <c r="PJ316" s="66"/>
      <c r="PK316" s="66"/>
      <c r="PL316" s="66"/>
      <c r="PM316" s="66"/>
      <c r="PN316" s="66"/>
      <c r="PO316" s="66"/>
      <c r="PP316" s="66"/>
      <c r="PQ316" s="66"/>
      <c r="PR316" s="66"/>
      <c r="PS316" s="66"/>
      <c r="PT316" s="66"/>
      <c r="PU316" s="66"/>
      <c r="PV316" s="66"/>
      <c r="PW316" s="66"/>
      <c r="PX316" s="66"/>
      <c r="PY316" s="66"/>
      <c r="PZ316" s="66"/>
      <c r="QA316" s="66"/>
      <c r="QB316" s="66"/>
      <c r="QC316" s="66"/>
      <c r="QD316" s="66"/>
      <c r="QE316" s="66"/>
      <c r="QF316" s="66"/>
      <c r="QG316" s="66"/>
      <c r="QH316" s="66"/>
      <c r="QI316" s="66"/>
      <c r="QJ316" s="66"/>
      <c r="QK316" s="66"/>
      <c r="QL316" s="66"/>
      <c r="QM316" s="66"/>
      <c r="QN316" s="66"/>
      <c r="QO316" s="66"/>
      <c r="QP316" s="66"/>
      <c r="QQ316" s="66"/>
      <c r="QR316" s="66"/>
      <c r="QS316" s="66"/>
      <c r="QT316" s="66"/>
      <c r="QU316" s="66"/>
      <c r="QV316" s="66"/>
      <c r="QW316" s="66"/>
      <c r="QX316" s="66"/>
      <c r="QY316" s="66"/>
      <c r="QZ316" s="66"/>
      <c r="RA316" s="66"/>
      <c r="RB316" s="66"/>
      <c r="RC316" s="66"/>
      <c r="RD316" s="4"/>
    </row>
    <row r="317" spans="9:472" x14ac:dyDescent="0.25">
      <c r="I317" s="66"/>
      <c r="J317" s="66"/>
      <c r="K317" s="66"/>
      <c r="L317" s="66"/>
      <c r="M317" s="66"/>
      <c r="N317" s="66"/>
      <c r="O317" s="66"/>
      <c r="P317" s="66"/>
      <c r="Q317" s="66"/>
      <c r="R317" s="66"/>
      <c r="S317" s="66"/>
      <c r="T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c r="BC317" s="66"/>
      <c r="BD317" s="66"/>
      <c r="BE317" s="66"/>
      <c r="BF317" s="66"/>
      <c r="BG317" s="66"/>
      <c r="BH317" s="66"/>
      <c r="BI317" s="66"/>
      <c r="BJ317" s="66"/>
      <c r="BK317" s="66"/>
      <c r="BL317" s="66"/>
      <c r="BM317" s="66"/>
      <c r="BN317" s="66"/>
      <c r="BO317" s="66"/>
      <c r="BP317" s="66"/>
      <c r="BQ317" s="66"/>
      <c r="BR317" s="66"/>
      <c r="BS317" s="66"/>
      <c r="BT317" s="66"/>
      <c r="BU317" s="66"/>
      <c r="BV317" s="66"/>
      <c r="BW317" s="66"/>
      <c r="BX317" s="66"/>
      <c r="BY317" s="66"/>
      <c r="BZ317" s="66"/>
      <c r="CA317" s="66"/>
      <c r="CB317" s="66"/>
      <c r="CC317" s="66"/>
      <c r="CD317" s="66"/>
      <c r="CE317" s="66"/>
      <c r="CF317" s="66"/>
      <c r="CG317" s="66"/>
      <c r="CH317" s="66"/>
      <c r="CI317" s="66"/>
      <c r="CJ317" s="66"/>
      <c r="CK317" s="66"/>
      <c r="CL317" s="66"/>
      <c r="CM317" s="66"/>
      <c r="CN317" s="66"/>
      <c r="CO317" s="66"/>
      <c r="CP317" s="66"/>
      <c r="CQ317" s="66"/>
      <c r="CR317" s="66"/>
      <c r="CS317" s="66"/>
      <c r="CT317" s="66"/>
      <c r="CU317" s="66"/>
      <c r="CV317" s="66"/>
      <c r="CW317" s="66"/>
      <c r="CX317" s="66"/>
      <c r="CY317" s="66"/>
      <c r="CZ317" s="66"/>
      <c r="DA317" s="66"/>
      <c r="DB317" s="66"/>
      <c r="DC317" s="66"/>
      <c r="DD317" s="66"/>
      <c r="DE317" s="66"/>
      <c r="DF317" s="66"/>
      <c r="DG317" s="66"/>
      <c r="DH317" s="66"/>
      <c r="DI317" s="66"/>
      <c r="DJ317" s="66"/>
      <c r="DK317" s="66"/>
      <c r="DL317" s="66"/>
      <c r="DM317" s="66"/>
      <c r="DN317" s="66"/>
      <c r="DO317" s="66"/>
      <c r="DP317" s="66"/>
      <c r="DQ317" s="66"/>
      <c r="DR317" s="66"/>
      <c r="DS317" s="66"/>
      <c r="DT317" s="66"/>
      <c r="DU317" s="66"/>
      <c r="DV317" s="66"/>
      <c r="DW317" s="66"/>
      <c r="DX317" s="66"/>
      <c r="DY317" s="66"/>
      <c r="DZ317" s="66"/>
      <c r="EA317" s="66"/>
      <c r="EB317" s="66"/>
      <c r="EC317" s="66"/>
      <c r="ED317" s="66"/>
      <c r="EE317" s="66"/>
      <c r="EF317" s="66"/>
      <c r="EG317" s="66"/>
      <c r="EH317" s="66"/>
      <c r="EI317" s="66"/>
      <c r="EJ317" s="66"/>
      <c r="EK317" s="66"/>
      <c r="EL317" s="66"/>
      <c r="EM317" s="66"/>
      <c r="EN317" s="66"/>
      <c r="EO317" s="66"/>
      <c r="EP317" s="66"/>
      <c r="EQ317" s="66"/>
      <c r="ER317" s="66"/>
      <c r="ES317" s="66"/>
      <c r="ET317" s="66"/>
      <c r="EU317" s="66"/>
      <c r="EV317" s="66"/>
      <c r="EW317" s="66"/>
      <c r="EX317" s="66"/>
      <c r="EY317" s="66"/>
      <c r="EZ317" s="66"/>
      <c r="FA317" s="66"/>
      <c r="FB317" s="66"/>
      <c r="FC317" s="66"/>
      <c r="FD317" s="66"/>
      <c r="FE317" s="66"/>
      <c r="FF317" s="66"/>
      <c r="FG317" s="66"/>
      <c r="FH317" s="66"/>
      <c r="FI317" s="66"/>
      <c r="FJ317" s="66"/>
      <c r="FK317" s="66"/>
      <c r="FL317" s="66"/>
      <c r="FM317" s="66"/>
      <c r="FN317" s="66"/>
      <c r="FO317" s="66"/>
      <c r="FP317" s="66"/>
      <c r="FQ317" s="66"/>
      <c r="FR317" s="66"/>
      <c r="FS317" s="66"/>
      <c r="FT317" s="66"/>
      <c r="FU317" s="66"/>
      <c r="FV317" s="66"/>
      <c r="FW317" s="66"/>
      <c r="FX317" s="66"/>
      <c r="FY317" s="66"/>
      <c r="FZ317" s="66"/>
      <c r="GA317" s="66"/>
      <c r="GB317" s="66"/>
      <c r="GC317" s="66"/>
      <c r="GD317" s="66"/>
      <c r="GE317" s="66"/>
      <c r="GF317" s="66"/>
      <c r="GG317" s="66"/>
      <c r="GH317" s="66"/>
      <c r="GI317" s="66"/>
      <c r="GJ317" s="66"/>
      <c r="GK317" s="66"/>
      <c r="GL317" s="66"/>
      <c r="GM317" s="66"/>
      <c r="GN317" s="66"/>
      <c r="GO317" s="66"/>
      <c r="GP317" s="66"/>
      <c r="GQ317" s="66"/>
      <c r="GR317" s="66"/>
      <c r="GS317" s="66"/>
      <c r="GT317" s="66"/>
      <c r="GU317" s="66"/>
      <c r="GV317" s="66"/>
      <c r="GW317" s="66"/>
      <c r="GX317" s="66"/>
      <c r="GY317" s="66"/>
      <c r="GZ317" s="66"/>
      <c r="HA317" s="66"/>
      <c r="HB317" s="66"/>
      <c r="HC317" s="66"/>
      <c r="HD317" s="66"/>
      <c r="HE317" s="66"/>
      <c r="HF317" s="66"/>
      <c r="HG317" s="66"/>
      <c r="HH317" s="66"/>
      <c r="HI317" s="66"/>
      <c r="HJ317" s="66"/>
      <c r="HK317" s="66"/>
      <c r="HL317" s="66"/>
      <c r="HM317" s="66"/>
      <c r="HN317" s="66"/>
      <c r="HO317" s="66"/>
      <c r="HP317" s="66"/>
      <c r="HQ317" s="66"/>
      <c r="HR317" s="66"/>
      <c r="HS317" s="66"/>
      <c r="HT317" s="66"/>
      <c r="HU317" s="66"/>
      <c r="HV317" s="66"/>
      <c r="HW317" s="66"/>
      <c r="HX317" s="66"/>
      <c r="HY317" s="66"/>
      <c r="HZ317" s="66"/>
      <c r="IA317" s="66"/>
      <c r="IB317" s="66"/>
      <c r="IC317" s="66"/>
      <c r="ID317" s="66"/>
      <c r="IE317" s="66"/>
      <c r="IF317" s="66"/>
      <c r="IG317" s="66"/>
      <c r="IH317" s="66"/>
      <c r="II317" s="66"/>
      <c r="IJ317" s="66"/>
      <c r="IK317" s="66"/>
      <c r="IL317" s="66"/>
      <c r="IM317" s="66"/>
      <c r="IN317" s="66"/>
      <c r="IO317" s="66"/>
      <c r="IP317" s="66"/>
      <c r="IQ317" s="66"/>
      <c r="IR317" s="66"/>
      <c r="IS317" s="66"/>
      <c r="IT317" s="66"/>
      <c r="IU317" s="66"/>
      <c r="IV317" s="66"/>
      <c r="IW317" s="66"/>
      <c r="IX317" s="66"/>
      <c r="IY317" s="66"/>
      <c r="IZ317" s="66"/>
      <c r="JA317" s="66"/>
      <c r="JB317" s="66"/>
      <c r="JC317" s="66"/>
      <c r="JD317" s="66"/>
      <c r="JE317" s="66"/>
      <c r="JF317" s="66"/>
      <c r="JG317" s="66"/>
      <c r="JH317" s="66"/>
      <c r="JI317" s="66"/>
      <c r="JJ317" s="66"/>
      <c r="JK317" s="66"/>
      <c r="JL317" s="66"/>
      <c r="JM317" s="66"/>
      <c r="JN317" s="66"/>
      <c r="JO317" s="66"/>
      <c r="JP317" s="66"/>
      <c r="JQ317" s="66"/>
      <c r="JR317" s="66"/>
      <c r="JS317" s="66"/>
      <c r="JT317" s="66"/>
      <c r="JU317" s="66"/>
      <c r="JV317" s="66"/>
      <c r="JW317" s="66"/>
      <c r="JX317" s="66"/>
      <c r="JY317" s="66"/>
      <c r="JZ317" s="66"/>
      <c r="KA317" s="66"/>
      <c r="KB317" s="66"/>
      <c r="KC317" s="66"/>
      <c r="KD317" s="66"/>
      <c r="KE317" s="66"/>
      <c r="KF317" s="66"/>
      <c r="KG317" s="66"/>
      <c r="KH317" s="66"/>
      <c r="KI317" s="66"/>
      <c r="KJ317" s="66"/>
      <c r="KK317" s="66"/>
      <c r="KL317" s="66"/>
      <c r="KM317" s="66"/>
      <c r="KN317" s="66"/>
      <c r="KO317" s="66"/>
      <c r="KP317" s="66"/>
      <c r="KQ317" s="66"/>
      <c r="KR317" s="66"/>
      <c r="KS317" s="66"/>
      <c r="KT317" s="66"/>
      <c r="KU317" s="66"/>
      <c r="KV317" s="66"/>
      <c r="KW317" s="66"/>
      <c r="KX317" s="66"/>
      <c r="KY317" s="66"/>
      <c r="KZ317" s="66"/>
      <c r="LA317" s="66"/>
      <c r="LB317" s="66"/>
      <c r="LC317" s="66"/>
      <c r="LD317" s="66"/>
      <c r="LE317" s="66"/>
      <c r="LF317" s="66"/>
      <c r="LG317" s="66"/>
      <c r="LH317" s="66"/>
      <c r="LI317" s="66"/>
      <c r="LJ317" s="66"/>
      <c r="LK317" s="66"/>
      <c r="LL317" s="66"/>
      <c r="LM317" s="66"/>
      <c r="LN317" s="66"/>
      <c r="LO317" s="66"/>
      <c r="LP317" s="66"/>
      <c r="LQ317" s="66"/>
      <c r="LR317" s="66"/>
      <c r="LS317" s="66"/>
      <c r="LT317" s="66"/>
      <c r="LU317" s="66"/>
      <c r="LV317" s="66"/>
      <c r="LW317" s="66"/>
      <c r="LX317" s="66"/>
      <c r="LY317" s="66"/>
      <c r="LZ317" s="66"/>
      <c r="MA317" s="66"/>
      <c r="MB317" s="66"/>
      <c r="MC317" s="66"/>
      <c r="MD317" s="66"/>
      <c r="ME317" s="66"/>
      <c r="MF317" s="66"/>
      <c r="MG317" s="66"/>
      <c r="MH317" s="66"/>
      <c r="MI317" s="66"/>
      <c r="MJ317" s="66"/>
      <c r="MK317" s="66"/>
      <c r="ML317" s="66"/>
      <c r="MM317" s="66"/>
      <c r="MN317" s="66"/>
      <c r="MO317" s="66"/>
      <c r="MP317" s="66"/>
      <c r="MQ317" s="66"/>
      <c r="MR317" s="66"/>
      <c r="MS317" s="66"/>
      <c r="MT317" s="66"/>
      <c r="MU317" s="66"/>
      <c r="MV317" s="66"/>
      <c r="MW317" s="66"/>
      <c r="MX317" s="66"/>
      <c r="MY317" s="66"/>
      <c r="MZ317" s="66"/>
      <c r="NA317" s="66"/>
      <c r="NB317" s="66"/>
      <c r="NC317" s="66"/>
      <c r="ND317" s="66"/>
      <c r="NE317" s="66"/>
      <c r="NF317" s="66"/>
      <c r="NG317" s="66"/>
      <c r="NH317" s="66"/>
      <c r="NI317" s="66"/>
      <c r="NJ317" s="66"/>
      <c r="NK317" s="66"/>
      <c r="NL317" s="66"/>
      <c r="NM317" s="66"/>
      <c r="NN317" s="66"/>
      <c r="NO317" s="66"/>
      <c r="NP317" s="66"/>
      <c r="NQ317" s="66"/>
      <c r="NR317" s="66"/>
      <c r="NS317" s="66"/>
      <c r="NT317" s="66"/>
      <c r="NU317" s="66"/>
      <c r="NV317" s="66"/>
      <c r="NW317" s="66"/>
      <c r="NX317" s="66"/>
      <c r="NY317" s="66"/>
      <c r="NZ317" s="66"/>
      <c r="OA317" s="66"/>
      <c r="OB317" s="66"/>
      <c r="OC317" s="66"/>
      <c r="OD317" s="66"/>
      <c r="OE317" s="66"/>
      <c r="OF317" s="66"/>
      <c r="OG317" s="66"/>
      <c r="OH317" s="66"/>
      <c r="OI317" s="66"/>
      <c r="OJ317" s="66"/>
      <c r="OK317" s="66"/>
      <c r="OL317" s="66"/>
      <c r="OM317" s="66"/>
      <c r="ON317" s="66"/>
      <c r="OO317" s="66"/>
      <c r="OP317" s="66"/>
      <c r="OQ317" s="66"/>
      <c r="OR317" s="66"/>
      <c r="OS317" s="66"/>
      <c r="OT317" s="66"/>
      <c r="OU317" s="66"/>
      <c r="OV317" s="66"/>
      <c r="OW317" s="66"/>
      <c r="OX317" s="66"/>
      <c r="OY317" s="66"/>
      <c r="OZ317" s="66"/>
      <c r="PA317" s="66"/>
      <c r="PB317" s="66"/>
      <c r="PC317" s="66"/>
      <c r="PD317" s="66"/>
      <c r="PE317" s="66"/>
      <c r="PF317" s="66"/>
      <c r="PG317" s="66"/>
      <c r="PH317" s="66"/>
      <c r="PI317" s="66"/>
      <c r="PJ317" s="66"/>
      <c r="PK317" s="66"/>
      <c r="PL317" s="66"/>
      <c r="PM317" s="66"/>
      <c r="PN317" s="66"/>
      <c r="PO317" s="66"/>
      <c r="PP317" s="66"/>
      <c r="PQ317" s="66"/>
      <c r="PR317" s="66"/>
      <c r="PS317" s="66"/>
      <c r="PT317" s="66"/>
      <c r="PU317" s="66"/>
      <c r="PV317" s="66"/>
      <c r="PW317" s="66"/>
      <c r="PX317" s="66"/>
      <c r="PY317" s="66"/>
      <c r="PZ317" s="66"/>
      <c r="QA317" s="66"/>
      <c r="QB317" s="66"/>
      <c r="QC317" s="66"/>
      <c r="QD317" s="66"/>
      <c r="QE317" s="66"/>
      <c r="QF317" s="66"/>
      <c r="QG317" s="66"/>
      <c r="QH317" s="66"/>
      <c r="QI317" s="66"/>
      <c r="QJ317" s="66"/>
      <c r="QK317" s="66"/>
      <c r="QL317" s="66"/>
      <c r="QM317" s="66"/>
      <c r="QN317" s="66"/>
      <c r="QO317" s="66"/>
      <c r="QP317" s="66"/>
      <c r="QQ317" s="66"/>
      <c r="QR317" s="66"/>
      <c r="QS317" s="66"/>
      <c r="QT317" s="66"/>
      <c r="QU317" s="66"/>
      <c r="QV317" s="66"/>
      <c r="QW317" s="66"/>
      <c r="QX317" s="66"/>
      <c r="QY317" s="66"/>
      <c r="QZ317" s="66"/>
      <c r="RA317" s="66"/>
      <c r="RB317" s="66"/>
      <c r="RC317" s="66"/>
      <c r="RD317" s="4"/>
    </row>
    <row r="318" spans="9:472" x14ac:dyDescent="0.25">
      <c r="I318" s="66"/>
      <c r="J318" s="66"/>
      <c r="K318" s="66"/>
      <c r="L318" s="66"/>
      <c r="M318" s="66"/>
      <c r="N318" s="66"/>
      <c r="O318" s="66"/>
      <c r="P318" s="66"/>
      <c r="Q318" s="66"/>
      <c r="R318" s="66"/>
      <c r="S318" s="66"/>
      <c r="T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c r="CD318" s="66"/>
      <c r="CE318" s="66"/>
      <c r="CF318" s="66"/>
      <c r="CG318" s="66"/>
      <c r="CH318" s="66"/>
      <c r="CI318" s="66"/>
      <c r="CJ318" s="66"/>
      <c r="CK318" s="66"/>
      <c r="CL318" s="66"/>
      <c r="CM318" s="66"/>
      <c r="CN318" s="66"/>
      <c r="CO318" s="66"/>
      <c r="CP318" s="66"/>
      <c r="CQ318" s="66"/>
      <c r="CR318" s="66"/>
      <c r="CS318" s="66"/>
      <c r="CT318" s="66"/>
      <c r="CU318" s="66"/>
      <c r="CV318" s="66"/>
      <c r="CW318" s="66"/>
      <c r="CX318" s="66"/>
      <c r="CY318" s="66"/>
      <c r="CZ318" s="66"/>
      <c r="DA318" s="66"/>
      <c r="DB318" s="66"/>
      <c r="DC318" s="66"/>
      <c r="DD318" s="66"/>
      <c r="DE318" s="66"/>
      <c r="DF318" s="66"/>
      <c r="DG318" s="66"/>
      <c r="DH318" s="66"/>
      <c r="DI318" s="66"/>
      <c r="DJ318" s="66"/>
      <c r="DK318" s="66"/>
      <c r="DL318" s="66"/>
      <c r="DM318" s="66"/>
      <c r="DN318" s="66"/>
      <c r="DO318" s="66"/>
      <c r="DP318" s="66"/>
      <c r="DQ318" s="66"/>
      <c r="DR318" s="66"/>
      <c r="DS318" s="66"/>
      <c r="DT318" s="66"/>
      <c r="DU318" s="66"/>
      <c r="DV318" s="66"/>
      <c r="DW318" s="66"/>
      <c r="DX318" s="66"/>
      <c r="DY318" s="66"/>
      <c r="DZ318" s="66"/>
      <c r="EA318" s="66"/>
      <c r="EB318" s="66"/>
      <c r="EC318" s="66"/>
      <c r="ED318" s="66"/>
      <c r="EE318" s="66"/>
      <c r="EF318" s="66"/>
      <c r="EG318" s="66"/>
      <c r="EH318" s="66"/>
      <c r="EI318" s="66"/>
      <c r="EJ318" s="66"/>
      <c r="EK318" s="66"/>
      <c r="EL318" s="66"/>
      <c r="EM318" s="66"/>
      <c r="EN318" s="66"/>
      <c r="EO318" s="66"/>
      <c r="EP318" s="66"/>
      <c r="EQ318" s="66"/>
      <c r="ER318" s="66"/>
      <c r="ES318" s="66"/>
      <c r="ET318" s="66"/>
      <c r="EU318" s="66"/>
      <c r="EV318" s="66"/>
      <c r="EW318" s="66"/>
      <c r="EX318" s="66"/>
      <c r="EY318" s="66"/>
      <c r="EZ318" s="66"/>
      <c r="FA318" s="66"/>
      <c r="FB318" s="66"/>
      <c r="FC318" s="66"/>
      <c r="FD318" s="66"/>
      <c r="FE318" s="66"/>
      <c r="FF318" s="66"/>
      <c r="FG318" s="66"/>
      <c r="FH318" s="66"/>
      <c r="FI318" s="66"/>
      <c r="FJ318" s="66"/>
      <c r="FK318" s="66"/>
      <c r="FL318" s="66"/>
      <c r="FM318" s="66"/>
      <c r="FN318" s="66"/>
      <c r="FO318" s="66"/>
      <c r="FP318" s="66"/>
      <c r="FQ318" s="66"/>
      <c r="FR318" s="66"/>
      <c r="FS318" s="66"/>
      <c r="FT318" s="66"/>
      <c r="FU318" s="66"/>
      <c r="FV318" s="66"/>
      <c r="FW318" s="66"/>
      <c r="FX318" s="66"/>
      <c r="FY318" s="66"/>
      <c r="FZ318" s="66"/>
      <c r="GA318" s="66"/>
      <c r="GB318" s="66"/>
      <c r="GC318" s="66"/>
      <c r="GD318" s="66"/>
      <c r="GE318" s="66"/>
      <c r="GF318" s="66"/>
      <c r="GG318" s="66"/>
      <c r="GH318" s="66"/>
      <c r="GI318" s="66"/>
      <c r="GJ318" s="66"/>
      <c r="GK318" s="66"/>
      <c r="GL318" s="66"/>
      <c r="GM318" s="66"/>
      <c r="GN318" s="66"/>
      <c r="GO318" s="66"/>
      <c r="GP318" s="66"/>
      <c r="GQ318" s="66"/>
      <c r="GR318" s="66"/>
      <c r="GS318" s="66"/>
      <c r="GT318" s="66"/>
      <c r="GU318" s="66"/>
      <c r="GV318" s="66"/>
      <c r="GW318" s="66"/>
      <c r="GX318" s="66"/>
      <c r="GY318" s="66"/>
      <c r="GZ318" s="66"/>
      <c r="HA318" s="66"/>
      <c r="HB318" s="66"/>
      <c r="HC318" s="66"/>
      <c r="HD318" s="66"/>
      <c r="HE318" s="66"/>
      <c r="HF318" s="66"/>
      <c r="HG318" s="66"/>
      <c r="HH318" s="66"/>
      <c r="HI318" s="66"/>
      <c r="HJ318" s="66"/>
      <c r="HK318" s="66"/>
      <c r="HL318" s="66"/>
      <c r="HM318" s="66"/>
      <c r="HN318" s="66"/>
      <c r="HO318" s="66"/>
      <c r="HP318" s="66"/>
      <c r="HQ318" s="66"/>
      <c r="HR318" s="66"/>
      <c r="HS318" s="66"/>
      <c r="HT318" s="66"/>
      <c r="HU318" s="66"/>
      <c r="HV318" s="66"/>
      <c r="HW318" s="66"/>
      <c r="HX318" s="66"/>
      <c r="HY318" s="66"/>
      <c r="HZ318" s="66"/>
      <c r="IA318" s="66"/>
      <c r="IB318" s="66"/>
      <c r="IC318" s="66"/>
      <c r="ID318" s="66"/>
      <c r="IE318" s="66"/>
      <c r="IF318" s="66"/>
      <c r="IG318" s="66"/>
      <c r="IH318" s="66"/>
      <c r="II318" s="66"/>
      <c r="IJ318" s="66"/>
      <c r="IK318" s="66"/>
      <c r="IL318" s="66"/>
      <c r="IM318" s="66"/>
      <c r="IN318" s="66"/>
      <c r="IO318" s="66"/>
      <c r="IP318" s="66"/>
      <c r="IQ318" s="66"/>
      <c r="IR318" s="66"/>
      <c r="IS318" s="66"/>
      <c r="IT318" s="66"/>
      <c r="IU318" s="66"/>
      <c r="IV318" s="66"/>
      <c r="IW318" s="66"/>
      <c r="IX318" s="66"/>
      <c r="IY318" s="66"/>
      <c r="IZ318" s="66"/>
      <c r="JA318" s="66"/>
      <c r="JB318" s="66"/>
      <c r="JC318" s="66"/>
      <c r="JD318" s="66"/>
      <c r="JE318" s="66"/>
      <c r="JF318" s="66"/>
      <c r="JG318" s="66"/>
      <c r="JH318" s="66"/>
      <c r="JI318" s="66"/>
      <c r="JJ318" s="66"/>
      <c r="JK318" s="66"/>
      <c r="JL318" s="66"/>
      <c r="JM318" s="66"/>
      <c r="JN318" s="66"/>
      <c r="JO318" s="66"/>
      <c r="JP318" s="66"/>
      <c r="JQ318" s="66"/>
      <c r="JR318" s="66"/>
      <c r="JS318" s="66"/>
      <c r="JT318" s="66"/>
      <c r="JU318" s="66"/>
      <c r="JV318" s="66"/>
      <c r="JW318" s="66"/>
      <c r="JX318" s="66"/>
      <c r="JY318" s="66"/>
      <c r="JZ318" s="66"/>
      <c r="KA318" s="66"/>
      <c r="KB318" s="66"/>
      <c r="KC318" s="66"/>
      <c r="KD318" s="66"/>
      <c r="KE318" s="66"/>
      <c r="KF318" s="66"/>
      <c r="KG318" s="66"/>
      <c r="KH318" s="66"/>
      <c r="KI318" s="66"/>
      <c r="KJ318" s="66"/>
      <c r="KK318" s="66"/>
      <c r="KL318" s="66"/>
      <c r="KM318" s="66"/>
      <c r="KN318" s="66"/>
      <c r="KO318" s="66"/>
      <c r="KP318" s="66"/>
      <c r="KQ318" s="66"/>
      <c r="KR318" s="66"/>
      <c r="KS318" s="66"/>
      <c r="KT318" s="66"/>
      <c r="KU318" s="66"/>
      <c r="KV318" s="66"/>
      <c r="KW318" s="66"/>
      <c r="KX318" s="66"/>
      <c r="KY318" s="66"/>
      <c r="KZ318" s="66"/>
      <c r="LA318" s="66"/>
      <c r="LB318" s="66"/>
      <c r="LC318" s="66"/>
      <c r="LD318" s="66"/>
      <c r="LE318" s="66"/>
      <c r="LF318" s="66"/>
      <c r="LG318" s="66"/>
      <c r="LH318" s="66"/>
      <c r="LI318" s="66"/>
      <c r="LJ318" s="66"/>
      <c r="LK318" s="66"/>
      <c r="LL318" s="66"/>
      <c r="LM318" s="66"/>
      <c r="LN318" s="66"/>
      <c r="LO318" s="66"/>
      <c r="LP318" s="66"/>
      <c r="LQ318" s="66"/>
      <c r="LR318" s="66"/>
      <c r="LS318" s="66"/>
      <c r="LT318" s="66"/>
      <c r="LU318" s="66"/>
      <c r="LV318" s="66"/>
      <c r="LW318" s="66"/>
      <c r="LX318" s="66"/>
      <c r="LY318" s="66"/>
      <c r="LZ318" s="66"/>
      <c r="MA318" s="66"/>
      <c r="MB318" s="66"/>
      <c r="MC318" s="66"/>
      <c r="MD318" s="66"/>
      <c r="ME318" s="66"/>
      <c r="MF318" s="66"/>
      <c r="MG318" s="66"/>
      <c r="MH318" s="66"/>
      <c r="MI318" s="66"/>
      <c r="MJ318" s="66"/>
      <c r="MK318" s="66"/>
      <c r="ML318" s="66"/>
      <c r="MM318" s="66"/>
      <c r="MN318" s="66"/>
      <c r="MO318" s="66"/>
      <c r="MP318" s="66"/>
      <c r="MQ318" s="66"/>
      <c r="MR318" s="66"/>
      <c r="MS318" s="66"/>
      <c r="MT318" s="66"/>
      <c r="MU318" s="66"/>
      <c r="MV318" s="66"/>
      <c r="MW318" s="66"/>
      <c r="MX318" s="66"/>
      <c r="MY318" s="66"/>
      <c r="MZ318" s="66"/>
      <c r="NA318" s="66"/>
      <c r="NB318" s="66"/>
      <c r="NC318" s="66"/>
      <c r="ND318" s="66"/>
      <c r="NE318" s="66"/>
      <c r="NF318" s="66"/>
      <c r="NG318" s="66"/>
      <c r="NH318" s="66"/>
      <c r="NI318" s="66"/>
      <c r="NJ318" s="66"/>
      <c r="NK318" s="66"/>
      <c r="NL318" s="66"/>
      <c r="NM318" s="66"/>
      <c r="NN318" s="66"/>
      <c r="NO318" s="66"/>
      <c r="NP318" s="66"/>
      <c r="NQ318" s="66"/>
      <c r="NR318" s="66"/>
      <c r="NS318" s="66"/>
      <c r="NT318" s="66"/>
      <c r="NU318" s="66"/>
      <c r="NV318" s="66"/>
      <c r="NW318" s="66"/>
      <c r="NX318" s="66"/>
      <c r="NY318" s="66"/>
      <c r="NZ318" s="66"/>
      <c r="OA318" s="66"/>
      <c r="OB318" s="66"/>
      <c r="OC318" s="66"/>
      <c r="OD318" s="66"/>
      <c r="OE318" s="66"/>
      <c r="OF318" s="66"/>
      <c r="OG318" s="66"/>
      <c r="OH318" s="66"/>
      <c r="OI318" s="66"/>
      <c r="OJ318" s="66"/>
      <c r="OK318" s="66"/>
      <c r="OL318" s="66"/>
      <c r="OM318" s="66"/>
      <c r="ON318" s="66"/>
      <c r="OO318" s="66"/>
      <c r="OP318" s="66"/>
      <c r="OQ318" s="66"/>
      <c r="OR318" s="66"/>
      <c r="OS318" s="66"/>
      <c r="OT318" s="66"/>
      <c r="OU318" s="66"/>
      <c r="OV318" s="66"/>
      <c r="OW318" s="66"/>
      <c r="OX318" s="66"/>
      <c r="OY318" s="66"/>
      <c r="OZ318" s="66"/>
      <c r="PA318" s="66"/>
      <c r="PB318" s="66"/>
      <c r="PC318" s="66"/>
      <c r="PD318" s="66"/>
      <c r="PE318" s="66"/>
      <c r="PF318" s="66"/>
      <c r="PG318" s="66"/>
      <c r="PH318" s="66"/>
      <c r="PI318" s="66"/>
      <c r="PJ318" s="66"/>
      <c r="PK318" s="66"/>
      <c r="PL318" s="66"/>
      <c r="PM318" s="66"/>
      <c r="PN318" s="66"/>
      <c r="PO318" s="66"/>
      <c r="PP318" s="66"/>
      <c r="PQ318" s="66"/>
      <c r="PR318" s="66"/>
      <c r="PS318" s="66"/>
      <c r="PT318" s="66"/>
      <c r="PU318" s="66"/>
      <c r="PV318" s="66"/>
      <c r="PW318" s="66"/>
      <c r="PX318" s="66"/>
      <c r="PY318" s="66"/>
      <c r="PZ318" s="66"/>
      <c r="QA318" s="66"/>
      <c r="QB318" s="66"/>
      <c r="QC318" s="66"/>
      <c r="QD318" s="66"/>
      <c r="QE318" s="66"/>
      <c r="QF318" s="66"/>
      <c r="QG318" s="66"/>
      <c r="QH318" s="66"/>
      <c r="QI318" s="66"/>
      <c r="QJ318" s="66"/>
      <c r="QK318" s="66"/>
      <c r="QL318" s="66"/>
      <c r="QM318" s="66"/>
      <c r="QN318" s="66"/>
      <c r="QO318" s="66"/>
      <c r="QP318" s="66"/>
      <c r="QQ318" s="66"/>
      <c r="QR318" s="66"/>
      <c r="QS318" s="66"/>
      <c r="QT318" s="66"/>
      <c r="QU318" s="66"/>
      <c r="QV318" s="66"/>
      <c r="QW318" s="66"/>
      <c r="QX318" s="66"/>
      <c r="QY318" s="66"/>
      <c r="QZ318" s="66"/>
      <c r="RA318" s="66"/>
      <c r="RB318" s="66"/>
      <c r="RC318" s="66"/>
      <c r="RD318" s="4"/>
    </row>
    <row r="319" spans="9:472" x14ac:dyDescent="0.25">
      <c r="I319" s="66"/>
      <c r="J319" s="66"/>
      <c r="K319" s="66"/>
      <c r="L319" s="66"/>
      <c r="M319" s="66"/>
      <c r="N319" s="66"/>
      <c r="O319" s="66"/>
      <c r="P319" s="66"/>
      <c r="Q319" s="66"/>
      <c r="R319" s="66"/>
      <c r="S319" s="66"/>
      <c r="T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c r="BC319" s="66"/>
      <c r="BD319" s="66"/>
      <c r="BE319" s="66"/>
      <c r="BF319" s="66"/>
      <c r="BG319" s="66"/>
      <c r="BH319" s="66"/>
      <c r="BI319" s="66"/>
      <c r="BJ319" s="66"/>
      <c r="BK319" s="66"/>
      <c r="BL319" s="66"/>
      <c r="BM319" s="66"/>
      <c r="BN319" s="66"/>
      <c r="BO319" s="66"/>
      <c r="BP319" s="66"/>
      <c r="BQ319" s="66"/>
      <c r="BR319" s="66"/>
      <c r="BS319" s="66"/>
      <c r="BT319" s="66"/>
      <c r="BU319" s="66"/>
      <c r="BV319" s="66"/>
      <c r="BW319" s="66"/>
      <c r="BX319" s="66"/>
      <c r="BY319" s="66"/>
      <c r="BZ319" s="66"/>
      <c r="CA319" s="66"/>
      <c r="CB319" s="66"/>
      <c r="CC319" s="66"/>
      <c r="CD319" s="66"/>
      <c r="CE319" s="66"/>
      <c r="CF319" s="66"/>
      <c r="CG319" s="66"/>
      <c r="CH319" s="66"/>
      <c r="CI319" s="66"/>
      <c r="CJ319" s="66"/>
      <c r="CK319" s="66"/>
      <c r="CL319" s="66"/>
      <c r="CM319" s="66"/>
      <c r="CN319" s="66"/>
      <c r="CO319" s="66"/>
      <c r="CP319" s="66"/>
      <c r="CQ319" s="66"/>
      <c r="CR319" s="66"/>
      <c r="CS319" s="66"/>
      <c r="CT319" s="66"/>
      <c r="CU319" s="66"/>
      <c r="CV319" s="66"/>
      <c r="CW319" s="66"/>
      <c r="CX319" s="66"/>
      <c r="CY319" s="66"/>
      <c r="CZ319" s="66"/>
      <c r="DA319" s="66"/>
      <c r="DB319" s="66"/>
      <c r="DC319" s="66"/>
      <c r="DD319" s="66"/>
      <c r="DE319" s="66"/>
      <c r="DF319" s="66"/>
      <c r="DG319" s="66"/>
      <c r="DH319" s="66"/>
      <c r="DI319" s="66"/>
      <c r="DJ319" s="66"/>
      <c r="DK319" s="66"/>
      <c r="DL319" s="66"/>
      <c r="DM319" s="66"/>
      <c r="DN319" s="66"/>
      <c r="DO319" s="66"/>
      <c r="DP319" s="66"/>
      <c r="DQ319" s="66"/>
      <c r="DR319" s="66"/>
      <c r="DS319" s="66"/>
      <c r="DT319" s="66"/>
      <c r="DU319" s="66"/>
      <c r="DV319" s="66"/>
      <c r="DW319" s="66"/>
      <c r="DX319" s="66"/>
      <c r="DY319" s="66"/>
      <c r="DZ319" s="66"/>
      <c r="EA319" s="66"/>
      <c r="EB319" s="66"/>
      <c r="EC319" s="66"/>
      <c r="ED319" s="66"/>
      <c r="EE319" s="66"/>
      <c r="EF319" s="66"/>
      <c r="EG319" s="66"/>
      <c r="EH319" s="66"/>
      <c r="EI319" s="66"/>
      <c r="EJ319" s="66"/>
      <c r="EK319" s="66"/>
      <c r="EL319" s="66"/>
      <c r="EM319" s="66"/>
      <c r="EN319" s="66"/>
      <c r="EO319" s="66"/>
      <c r="EP319" s="66"/>
      <c r="EQ319" s="66"/>
      <c r="ER319" s="66"/>
      <c r="ES319" s="66"/>
      <c r="ET319" s="66"/>
      <c r="EU319" s="66"/>
      <c r="EV319" s="66"/>
      <c r="EW319" s="66"/>
      <c r="EX319" s="66"/>
      <c r="EY319" s="66"/>
      <c r="EZ319" s="66"/>
      <c r="FA319" s="66"/>
      <c r="FB319" s="66"/>
      <c r="FC319" s="66"/>
      <c r="FD319" s="66"/>
      <c r="FE319" s="66"/>
      <c r="FF319" s="66"/>
      <c r="FG319" s="66"/>
      <c r="FH319" s="66"/>
      <c r="FI319" s="66"/>
      <c r="FJ319" s="66"/>
      <c r="FK319" s="66"/>
      <c r="FL319" s="66"/>
      <c r="FM319" s="66"/>
      <c r="FN319" s="66"/>
      <c r="FO319" s="66"/>
      <c r="FP319" s="66"/>
      <c r="FQ319" s="66"/>
      <c r="FR319" s="66"/>
      <c r="FS319" s="66"/>
      <c r="FT319" s="66"/>
      <c r="FU319" s="66"/>
      <c r="FV319" s="66"/>
      <c r="FW319" s="66"/>
      <c r="FX319" s="66"/>
      <c r="FY319" s="66"/>
      <c r="FZ319" s="66"/>
      <c r="GA319" s="66"/>
      <c r="GB319" s="66"/>
      <c r="GC319" s="66"/>
      <c r="GD319" s="66"/>
      <c r="GE319" s="66"/>
      <c r="GF319" s="66"/>
      <c r="GG319" s="66"/>
      <c r="GH319" s="66"/>
      <c r="GI319" s="66"/>
      <c r="GJ319" s="66"/>
      <c r="GK319" s="66"/>
      <c r="GL319" s="66"/>
      <c r="GM319" s="66"/>
      <c r="GN319" s="66"/>
      <c r="GO319" s="66"/>
      <c r="GP319" s="66"/>
      <c r="GQ319" s="66"/>
      <c r="GR319" s="66"/>
      <c r="GS319" s="66"/>
      <c r="GT319" s="66"/>
      <c r="GU319" s="66"/>
      <c r="GV319" s="66"/>
      <c r="GW319" s="66"/>
      <c r="GX319" s="66"/>
      <c r="GY319" s="66"/>
      <c r="GZ319" s="66"/>
      <c r="HA319" s="66"/>
      <c r="HB319" s="66"/>
      <c r="HC319" s="66"/>
      <c r="HD319" s="66"/>
      <c r="HE319" s="66"/>
      <c r="HF319" s="66"/>
      <c r="HG319" s="66"/>
      <c r="HH319" s="66"/>
      <c r="HI319" s="66"/>
      <c r="HJ319" s="66"/>
      <c r="HK319" s="66"/>
      <c r="HL319" s="66"/>
      <c r="HM319" s="66"/>
      <c r="HN319" s="66"/>
      <c r="HO319" s="66"/>
      <c r="HP319" s="66"/>
      <c r="HQ319" s="66"/>
      <c r="HR319" s="66"/>
      <c r="HS319" s="66"/>
      <c r="HT319" s="66"/>
      <c r="HU319" s="66"/>
      <c r="HV319" s="66"/>
      <c r="HW319" s="66"/>
      <c r="HX319" s="66"/>
      <c r="HY319" s="66"/>
      <c r="HZ319" s="66"/>
      <c r="IA319" s="66"/>
      <c r="IB319" s="66"/>
      <c r="IC319" s="66"/>
      <c r="ID319" s="66"/>
      <c r="IE319" s="66"/>
      <c r="IF319" s="66"/>
      <c r="IG319" s="66"/>
      <c r="IH319" s="66"/>
      <c r="II319" s="66"/>
      <c r="IJ319" s="66"/>
      <c r="IK319" s="66"/>
      <c r="IL319" s="66"/>
      <c r="IM319" s="66"/>
      <c r="IN319" s="66"/>
      <c r="IO319" s="66"/>
      <c r="IP319" s="66"/>
      <c r="IQ319" s="66"/>
      <c r="IR319" s="66"/>
      <c r="IS319" s="66"/>
      <c r="IT319" s="66"/>
      <c r="IU319" s="66"/>
      <c r="IV319" s="66"/>
      <c r="IW319" s="66"/>
      <c r="IX319" s="66"/>
      <c r="IY319" s="66"/>
      <c r="IZ319" s="66"/>
      <c r="JA319" s="66"/>
      <c r="JB319" s="66"/>
      <c r="JC319" s="66"/>
      <c r="JD319" s="66"/>
      <c r="JE319" s="66"/>
      <c r="JF319" s="66"/>
      <c r="JG319" s="66"/>
      <c r="JH319" s="66"/>
      <c r="JI319" s="66"/>
      <c r="JJ319" s="66"/>
      <c r="JK319" s="66"/>
      <c r="JL319" s="66"/>
      <c r="JM319" s="66"/>
      <c r="JN319" s="66"/>
      <c r="JO319" s="66"/>
      <c r="JP319" s="66"/>
      <c r="JQ319" s="66"/>
      <c r="JR319" s="66"/>
      <c r="JS319" s="66"/>
      <c r="JT319" s="66"/>
      <c r="JU319" s="66"/>
      <c r="JV319" s="66"/>
      <c r="JW319" s="66"/>
      <c r="JX319" s="66"/>
      <c r="JY319" s="66"/>
      <c r="JZ319" s="66"/>
      <c r="KA319" s="66"/>
      <c r="KB319" s="66"/>
      <c r="KC319" s="66"/>
      <c r="KD319" s="66"/>
      <c r="KE319" s="66"/>
      <c r="KF319" s="66"/>
      <c r="KG319" s="66"/>
      <c r="KH319" s="66"/>
      <c r="KI319" s="66"/>
      <c r="KJ319" s="66"/>
      <c r="KK319" s="66"/>
      <c r="KL319" s="66"/>
      <c r="KM319" s="66"/>
      <c r="KN319" s="66"/>
      <c r="KO319" s="66"/>
      <c r="KP319" s="66"/>
      <c r="KQ319" s="66"/>
      <c r="KR319" s="66"/>
      <c r="KS319" s="66"/>
      <c r="KT319" s="66"/>
      <c r="KU319" s="66"/>
      <c r="KV319" s="66"/>
      <c r="KW319" s="66"/>
      <c r="KX319" s="66"/>
      <c r="KY319" s="66"/>
      <c r="KZ319" s="66"/>
      <c r="LA319" s="66"/>
      <c r="LB319" s="66"/>
      <c r="LC319" s="66"/>
      <c r="LD319" s="66"/>
      <c r="LE319" s="66"/>
      <c r="LF319" s="66"/>
      <c r="LG319" s="66"/>
      <c r="LH319" s="66"/>
      <c r="LI319" s="66"/>
      <c r="LJ319" s="66"/>
      <c r="LK319" s="66"/>
      <c r="LL319" s="66"/>
      <c r="LM319" s="66"/>
      <c r="LN319" s="66"/>
      <c r="LO319" s="66"/>
      <c r="LP319" s="66"/>
      <c r="LQ319" s="66"/>
      <c r="LR319" s="66"/>
      <c r="LS319" s="66"/>
      <c r="LT319" s="66"/>
      <c r="LU319" s="66"/>
      <c r="LV319" s="66"/>
      <c r="LW319" s="66"/>
      <c r="LX319" s="66"/>
      <c r="LY319" s="66"/>
      <c r="LZ319" s="66"/>
      <c r="MA319" s="66"/>
      <c r="MB319" s="66"/>
      <c r="MC319" s="66"/>
      <c r="MD319" s="66"/>
      <c r="ME319" s="66"/>
      <c r="MF319" s="66"/>
      <c r="MG319" s="66"/>
      <c r="MH319" s="66"/>
      <c r="MI319" s="66"/>
      <c r="MJ319" s="66"/>
      <c r="MK319" s="66"/>
      <c r="ML319" s="66"/>
      <c r="MM319" s="66"/>
      <c r="MN319" s="66"/>
      <c r="MO319" s="66"/>
      <c r="MP319" s="66"/>
      <c r="MQ319" s="66"/>
      <c r="MR319" s="66"/>
      <c r="MS319" s="66"/>
      <c r="MT319" s="66"/>
      <c r="MU319" s="66"/>
      <c r="MV319" s="66"/>
      <c r="MW319" s="66"/>
      <c r="MX319" s="66"/>
      <c r="MY319" s="66"/>
      <c r="MZ319" s="66"/>
      <c r="NA319" s="66"/>
      <c r="NB319" s="66"/>
      <c r="NC319" s="66"/>
      <c r="ND319" s="66"/>
      <c r="NE319" s="66"/>
      <c r="NF319" s="66"/>
      <c r="NG319" s="66"/>
      <c r="NH319" s="66"/>
      <c r="NI319" s="66"/>
      <c r="NJ319" s="66"/>
      <c r="NK319" s="66"/>
      <c r="NL319" s="66"/>
      <c r="NM319" s="66"/>
      <c r="NN319" s="66"/>
      <c r="NO319" s="66"/>
      <c r="NP319" s="66"/>
      <c r="NQ319" s="66"/>
      <c r="NR319" s="66"/>
      <c r="NS319" s="66"/>
      <c r="NT319" s="66"/>
      <c r="NU319" s="66"/>
      <c r="NV319" s="66"/>
      <c r="NW319" s="66"/>
      <c r="NX319" s="66"/>
      <c r="NY319" s="66"/>
      <c r="NZ319" s="66"/>
      <c r="OA319" s="66"/>
      <c r="OB319" s="66"/>
      <c r="OC319" s="66"/>
      <c r="OD319" s="66"/>
      <c r="OE319" s="66"/>
      <c r="OF319" s="66"/>
      <c r="OG319" s="66"/>
      <c r="OH319" s="66"/>
      <c r="OI319" s="66"/>
      <c r="OJ319" s="66"/>
      <c r="OK319" s="66"/>
      <c r="OL319" s="66"/>
      <c r="OM319" s="66"/>
      <c r="ON319" s="66"/>
      <c r="OO319" s="66"/>
      <c r="OP319" s="66"/>
      <c r="OQ319" s="66"/>
      <c r="OR319" s="66"/>
      <c r="OS319" s="66"/>
      <c r="OT319" s="66"/>
      <c r="OU319" s="66"/>
      <c r="OV319" s="66"/>
      <c r="OW319" s="66"/>
      <c r="OX319" s="66"/>
      <c r="OY319" s="66"/>
      <c r="OZ319" s="66"/>
      <c r="PA319" s="66"/>
      <c r="PB319" s="66"/>
      <c r="PC319" s="66"/>
      <c r="PD319" s="66"/>
      <c r="PE319" s="66"/>
      <c r="PF319" s="66"/>
      <c r="PG319" s="66"/>
      <c r="PH319" s="66"/>
      <c r="PI319" s="66"/>
      <c r="PJ319" s="66"/>
      <c r="PK319" s="66"/>
      <c r="PL319" s="66"/>
      <c r="PM319" s="66"/>
      <c r="PN319" s="66"/>
      <c r="PO319" s="66"/>
      <c r="PP319" s="66"/>
      <c r="PQ319" s="66"/>
      <c r="PR319" s="66"/>
      <c r="PS319" s="66"/>
      <c r="PT319" s="66"/>
      <c r="PU319" s="66"/>
      <c r="PV319" s="66"/>
      <c r="PW319" s="66"/>
      <c r="PX319" s="66"/>
      <c r="PY319" s="66"/>
      <c r="PZ319" s="66"/>
      <c r="QA319" s="66"/>
      <c r="QB319" s="66"/>
      <c r="QC319" s="66"/>
      <c r="QD319" s="66"/>
      <c r="QE319" s="66"/>
      <c r="QF319" s="66"/>
      <c r="QG319" s="66"/>
      <c r="QH319" s="66"/>
      <c r="QI319" s="66"/>
      <c r="QJ319" s="66"/>
      <c r="QK319" s="66"/>
      <c r="QL319" s="66"/>
      <c r="QM319" s="66"/>
      <c r="QN319" s="66"/>
      <c r="QO319" s="66"/>
      <c r="QP319" s="66"/>
      <c r="QQ319" s="66"/>
      <c r="QR319" s="66"/>
      <c r="QS319" s="66"/>
      <c r="QT319" s="66"/>
      <c r="QU319" s="66"/>
      <c r="QV319" s="66"/>
      <c r="QW319" s="66"/>
      <c r="QX319" s="66"/>
      <c r="QY319" s="66"/>
      <c r="QZ319" s="66"/>
      <c r="RA319" s="66"/>
      <c r="RB319" s="66"/>
      <c r="RC319" s="66"/>
      <c r="RD319" s="4"/>
    </row>
    <row r="320" spans="9:472" x14ac:dyDescent="0.25">
      <c r="I320" s="66"/>
      <c r="J320" s="66"/>
      <c r="K320" s="66"/>
      <c r="L320" s="66"/>
      <c r="M320" s="66"/>
      <c r="N320" s="66"/>
      <c r="O320" s="66"/>
      <c r="P320" s="66"/>
      <c r="Q320" s="66"/>
      <c r="R320" s="66"/>
      <c r="S320" s="66"/>
      <c r="T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c r="BC320" s="66"/>
      <c r="BD320" s="66"/>
      <c r="BE320" s="66"/>
      <c r="BF320" s="66"/>
      <c r="BG320" s="66"/>
      <c r="BH320" s="66"/>
      <c r="BI320" s="66"/>
      <c r="BJ320" s="66"/>
      <c r="BK320" s="66"/>
      <c r="BL320" s="66"/>
      <c r="BM320" s="66"/>
      <c r="BN320" s="66"/>
      <c r="BO320" s="66"/>
      <c r="BP320" s="66"/>
      <c r="BQ320" s="66"/>
      <c r="BR320" s="66"/>
      <c r="BS320" s="66"/>
      <c r="BT320" s="66"/>
      <c r="BU320" s="66"/>
      <c r="BV320" s="66"/>
      <c r="BW320" s="66"/>
      <c r="BX320" s="66"/>
      <c r="BY320" s="66"/>
      <c r="BZ320" s="66"/>
      <c r="CA320" s="66"/>
      <c r="CB320" s="66"/>
      <c r="CC320" s="66"/>
      <c r="CD320" s="66"/>
      <c r="CE320" s="66"/>
      <c r="CF320" s="66"/>
      <c r="CG320" s="66"/>
      <c r="CH320" s="66"/>
      <c r="CI320" s="66"/>
      <c r="CJ320" s="66"/>
      <c r="CK320" s="66"/>
      <c r="CL320" s="66"/>
      <c r="CM320" s="66"/>
      <c r="CN320" s="66"/>
      <c r="CO320" s="66"/>
      <c r="CP320" s="66"/>
      <c r="CQ320" s="66"/>
      <c r="CR320" s="66"/>
      <c r="CS320" s="66"/>
      <c r="CT320" s="66"/>
      <c r="CU320" s="66"/>
      <c r="CV320" s="66"/>
      <c r="CW320" s="66"/>
      <c r="CX320" s="66"/>
      <c r="CY320" s="66"/>
      <c r="CZ320" s="66"/>
      <c r="DA320" s="66"/>
      <c r="DB320" s="66"/>
      <c r="DC320" s="66"/>
      <c r="DD320" s="66"/>
      <c r="DE320" s="66"/>
      <c r="DF320" s="66"/>
      <c r="DG320" s="66"/>
      <c r="DH320" s="66"/>
      <c r="DI320" s="66"/>
      <c r="DJ320" s="66"/>
      <c r="DK320" s="66"/>
      <c r="DL320" s="66"/>
      <c r="DM320" s="66"/>
      <c r="DN320" s="66"/>
      <c r="DO320" s="66"/>
      <c r="DP320" s="66"/>
      <c r="DQ320" s="66"/>
      <c r="DR320" s="66"/>
      <c r="DS320" s="66"/>
      <c r="DT320" s="66"/>
      <c r="DU320" s="66"/>
      <c r="DV320" s="66"/>
      <c r="DW320" s="66"/>
      <c r="DX320" s="66"/>
      <c r="DY320" s="66"/>
      <c r="DZ320" s="66"/>
      <c r="EA320" s="66"/>
      <c r="EB320" s="66"/>
      <c r="EC320" s="66"/>
      <c r="ED320" s="66"/>
      <c r="EE320" s="66"/>
      <c r="EF320" s="66"/>
      <c r="EG320" s="66"/>
      <c r="EH320" s="66"/>
      <c r="EI320" s="66"/>
      <c r="EJ320" s="66"/>
      <c r="EK320" s="66"/>
      <c r="EL320" s="66"/>
      <c r="EM320" s="66"/>
      <c r="EN320" s="66"/>
      <c r="EO320" s="66"/>
      <c r="EP320" s="66"/>
      <c r="EQ320" s="66"/>
      <c r="ER320" s="66"/>
      <c r="ES320" s="66"/>
      <c r="ET320" s="66"/>
      <c r="EU320" s="66"/>
      <c r="EV320" s="66"/>
      <c r="EW320" s="66"/>
      <c r="EX320" s="66"/>
      <c r="EY320" s="66"/>
      <c r="EZ320" s="66"/>
      <c r="FA320" s="66"/>
      <c r="FB320" s="66"/>
      <c r="FC320" s="66"/>
      <c r="FD320" s="66"/>
      <c r="FE320" s="66"/>
      <c r="FF320" s="66"/>
      <c r="FG320" s="66"/>
      <c r="FH320" s="66"/>
      <c r="FI320" s="66"/>
      <c r="FJ320" s="66"/>
      <c r="FK320" s="66"/>
      <c r="FL320" s="66"/>
      <c r="FM320" s="66"/>
      <c r="FN320" s="66"/>
      <c r="FO320" s="66"/>
      <c r="FP320" s="66"/>
      <c r="FQ320" s="66"/>
      <c r="FR320" s="66"/>
      <c r="FS320" s="66"/>
      <c r="FT320" s="66"/>
      <c r="FU320" s="66"/>
      <c r="FV320" s="66"/>
      <c r="FW320" s="66"/>
      <c r="FX320" s="66"/>
      <c r="FY320" s="66"/>
      <c r="FZ320" s="66"/>
      <c r="GA320" s="66"/>
      <c r="GB320" s="66"/>
      <c r="GC320" s="66"/>
      <c r="GD320" s="66"/>
      <c r="GE320" s="66"/>
      <c r="GF320" s="66"/>
      <c r="GG320" s="66"/>
      <c r="GH320" s="66"/>
      <c r="GI320" s="66"/>
      <c r="GJ320" s="66"/>
      <c r="GK320" s="66"/>
      <c r="GL320" s="66"/>
      <c r="GM320" s="66"/>
      <c r="GN320" s="66"/>
      <c r="GO320" s="66"/>
      <c r="GP320" s="66"/>
      <c r="GQ320" s="66"/>
      <c r="GR320" s="66"/>
      <c r="GS320" s="66"/>
      <c r="GT320" s="66"/>
      <c r="GU320" s="66"/>
      <c r="GV320" s="66"/>
      <c r="GW320" s="66"/>
      <c r="GX320" s="66"/>
      <c r="GY320" s="66"/>
      <c r="GZ320" s="66"/>
      <c r="HA320" s="66"/>
      <c r="HB320" s="66"/>
      <c r="HC320" s="66"/>
      <c r="HD320" s="66"/>
      <c r="HE320" s="66"/>
      <c r="HF320" s="66"/>
      <c r="HG320" s="66"/>
      <c r="HH320" s="66"/>
      <c r="HI320" s="66"/>
      <c r="HJ320" s="66"/>
      <c r="HK320" s="66"/>
      <c r="HL320" s="66"/>
      <c r="HM320" s="66"/>
      <c r="HN320" s="66"/>
      <c r="HO320" s="66"/>
      <c r="HP320" s="66"/>
      <c r="HQ320" s="66"/>
      <c r="HR320" s="66"/>
      <c r="HS320" s="66"/>
      <c r="HT320" s="66"/>
      <c r="HU320" s="66"/>
      <c r="HV320" s="66"/>
      <c r="HW320" s="66"/>
      <c r="HX320" s="66"/>
      <c r="HY320" s="66"/>
      <c r="HZ320" s="66"/>
      <c r="IA320" s="66"/>
      <c r="IB320" s="66"/>
      <c r="IC320" s="66"/>
      <c r="ID320" s="66"/>
      <c r="IE320" s="66"/>
      <c r="IF320" s="66"/>
      <c r="IG320" s="66"/>
      <c r="IH320" s="66"/>
      <c r="II320" s="66"/>
      <c r="IJ320" s="66"/>
      <c r="IK320" s="66"/>
      <c r="IL320" s="66"/>
      <c r="IM320" s="66"/>
      <c r="IN320" s="66"/>
      <c r="IO320" s="66"/>
      <c r="IP320" s="66"/>
      <c r="IQ320" s="66"/>
      <c r="IR320" s="66"/>
      <c r="IS320" s="66"/>
      <c r="IT320" s="66"/>
      <c r="IU320" s="66"/>
      <c r="IV320" s="66"/>
      <c r="IW320" s="66"/>
      <c r="IX320" s="66"/>
      <c r="IY320" s="66"/>
      <c r="IZ320" s="66"/>
      <c r="JA320" s="66"/>
      <c r="JB320" s="66"/>
      <c r="JC320" s="66"/>
      <c r="JD320" s="66"/>
      <c r="JE320" s="66"/>
      <c r="JF320" s="66"/>
      <c r="JG320" s="66"/>
      <c r="JH320" s="66"/>
      <c r="JI320" s="66"/>
      <c r="JJ320" s="66"/>
      <c r="JK320" s="66"/>
      <c r="JL320" s="66"/>
      <c r="JM320" s="66"/>
      <c r="JN320" s="66"/>
      <c r="JO320" s="66"/>
      <c r="JP320" s="66"/>
      <c r="JQ320" s="66"/>
      <c r="JR320" s="66"/>
      <c r="JS320" s="66"/>
      <c r="JT320" s="66"/>
      <c r="JU320" s="66"/>
      <c r="JV320" s="66"/>
      <c r="JW320" s="66"/>
      <c r="JX320" s="66"/>
      <c r="JY320" s="66"/>
      <c r="JZ320" s="66"/>
      <c r="KA320" s="66"/>
      <c r="KB320" s="66"/>
      <c r="KC320" s="66"/>
      <c r="KD320" s="66"/>
      <c r="KE320" s="66"/>
      <c r="KF320" s="66"/>
      <c r="KG320" s="66"/>
      <c r="KH320" s="66"/>
      <c r="KI320" s="66"/>
      <c r="KJ320" s="66"/>
      <c r="KK320" s="66"/>
      <c r="KL320" s="66"/>
      <c r="KM320" s="66"/>
      <c r="KN320" s="66"/>
      <c r="KO320" s="66"/>
      <c r="KP320" s="66"/>
      <c r="KQ320" s="66"/>
      <c r="KR320" s="66"/>
      <c r="KS320" s="66"/>
      <c r="KT320" s="66"/>
      <c r="KU320" s="66"/>
      <c r="KV320" s="66"/>
      <c r="KW320" s="66"/>
      <c r="KX320" s="66"/>
      <c r="KY320" s="66"/>
      <c r="KZ320" s="66"/>
      <c r="LA320" s="66"/>
      <c r="LB320" s="66"/>
      <c r="LC320" s="66"/>
      <c r="LD320" s="66"/>
      <c r="LE320" s="66"/>
      <c r="LF320" s="66"/>
      <c r="LG320" s="66"/>
      <c r="LH320" s="66"/>
      <c r="LI320" s="66"/>
      <c r="LJ320" s="66"/>
      <c r="LK320" s="66"/>
      <c r="LL320" s="66"/>
      <c r="LM320" s="66"/>
      <c r="LN320" s="66"/>
      <c r="LO320" s="66"/>
      <c r="LP320" s="66"/>
      <c r="LQ320" s="66"/>
      <c r="LR320" s="66"/>
      <c r="LS320" s="66"/>
      <c r="LT320" s="66"/>
      <c r="LU320" s="66"/>
      <c r="LV320" s="66"/>
      <c r="LW320" s="66"/>
      <c r="LX320" s="66"/>
      <c r="LY320" s="66"/>
      <c r="LZ320" s="66"/>
      <c r="MA320" s="66"/>
      <c r="MB320" s="66"/>
      <c r="MC320" s="66"/>
      <c r="MD320" s="66"/>
      <c r="ME320" s="66"/>
      <c r="MF320" s="66"/>
      <c r="MG320" s="66"/>
      <c r="MH320" s="66"/>
      <c r="MI320" s="66"/>
      <c r="MJ320" s="66"/>
      <c r="MK320" s="66"/>
      <c r="ML320" s="66"/>
      <c r="MM320" s="66"/>
      <c r="MN320" s="66"/>
      <c r="MO320" s="66"/>
      <c r="MP320" s="66"/>
      <c r="MQ320" s="66"/>
      <c r="MR320" s="66"/>
      <c r="MS320" s="66"/>
      <c r="MT320" s="66"/>
      <c r="MU320" s="66"/>
      <c r="MV320" s="66"/>
      <c r="MW320" s="66"/>
      <c r="MX320" s="66"/>
      <c r="MY320" s="66"/>
      <c r="MZ320" s="66"/>
      <c r="NA320" s="66"/>
      <c r="NB320" s="66"/>
      <c r="NC320" s="66"/>
      <c r="ND320" s="66"/>
      <c r="NE320" s="66"/>
      <c r="NF320" s="66"/>
      <c r="NG320" s="66"/>
      <c r="NH320" s="66"/>
      <c r="NI320" s="66"/>
      <c r="NJ320" s="66"/>
      <c r="NK320" s="66"/>
      <c r="NL320" s="66"/>
      <c r="NM320" s="66"/>
      <c r="NN320" s="66"/>
      <c r="NO320" s="66"/>
      <c r="NP320" s="66"/>
      <c r="NQ320" s="66"/>
      <c r="NR320" s="66"/>
      <c r="NS320" s="66"/>
      <c r="NT320" s="66"/>
      <c r="NU320" s="66"/>
      <c r="NV320" s="66"/>
      <c r="NW320" s="66"/>
      <c r="NX320" s="66"/>
      <c r="NY320" s="66"/>
      <c r="NZ320" s="66"/>
      <c r="OA320" s="66"/>
      <c r="OB320" s="66"/>
      <c r="OC320" s="66"/>
      <c r="OD320" s="66"/>
      <c r="OE320" s="66"/>
      <c r="OF320" s="66"/>
      <c r="OG320" s="66"/>
      <c r="OH320" s="66"/>
      <c r="OI320" s="66"/>
      <c r="OJ320" s="66"/>
      <c r="OK320" s="66"/>
      <c r="OL320" s="66"/>
      <c r="OM320" s="66"/>
      <c r="ON320" s="66"/>
      <c r="OO320" s="66"/>
      <c r="OP320" s="66"/>
      <c r="OQ320" s="66"/>
      <c r="OR320" s="66"/>
      <c r="OS320" s="66"/>
      <c r="OT320" s="66"/>
      <c r="OU320" s="66"/>
      <c r="OV320" s="66"/>
      <c r="OW320" s="66"/>
      <c r="OX320" s="66"/>
      <c r="OY320" s="66"/>
      <c r="OZ320" s="66"/>
      <c r="PA320" s="66"/>
      <c r="PB320" s="66"/>
      <c r="PC320" s="66"/>
      <c r="PD320" s="66"/>
      <c r="PE320" s="66"/>
      <c r="PF320" s="66"/>
      <c r="PG320" s="66"/>
      <c r="PH320" s="66"/>
      <c r="PI320" s="66"/>
      <c r="PJ320" s="66"/>
      <c r="PK320" s="66"/>
      <c r="PL320" s="66"/>
      <c r="PM320" s="66"/>
      <c r="PN320" s="66"/>
      <c r="PO320" s="66"/>
      <c r="PP320" s="66"/>
      <c r="PQ320" s="66"/>
      <c r="PR320" s="66"/>
      <c r="PS320" s="66"/>
      <c r="PT320" s="66"/>
      <c r="PU320" s="66"/>
      <c r="PV320" s="66"/>
      <c r="PW320" s="66"/>
      <c r="PX320" s="66"/>
      <c r="PY320" s="66"/>
      <c r="PZ320" s="66"/>
      <c r="QA320" s="66"/>
      <c r="QB320" s="66"/>
      <c r="QC320" s="66"/>
      <c r="QD320" s="66"/>
      <c r="QE320" s="66"/>
      <c r="QF320" s="66"/>
      <c r="QG320" s="66"/>
      <c r="QH320" s="66"/>
      <c r="QI320" s="66"/>
      <c r="QJ320" s="66"/>
      <c r="QK320" s="66"/>
      <c r="QL320" s="66"/>
      <c r="QM320" s="66"/>
      <c r="QN320" s="66"/>
      <c r="QO320" s="66"/>
      <c r="QP320" s="66"/>
      <c r="QQ320" s="66"/>
      <c r="QR320" s="66"/>
      <c r="QS320" s="66"/>
      <c r="QT320" s="66"/>
      <c r="QU320" s="66"/>
      <c r="QV320" s="66"/>
      <c r="QW320" s="66"/>
      <c r="QX320" s="66"/>
      <c r="QY320" s="66"/>
      <c r="QZ320" s="66"/>
      <c r="RA320" s="66"/>
      <c r="RB320" s="66"/>
      <c r="RC320" s="66"/>
      <c r="RD320" s="4"/>
    </row>
    <row r="321" spans="9:472" x14ac:dyDescent="0.25">
      <c r="I321" s="66"/>
      <c r="J321" s="66"/>
      <c r="K321" s="66"/>
      <c r="L321" s="66"/>
      <c r="M321" s="66"/>
      <c r="N321" s="66"/>
      <c r="O321" s="66"/>
      <c r="P321" s="66"/>
      <c r="Q321" s="66"/>
      <c r="R321" s="66"/>
      <c r="S321" s="66"/>
      <c r="T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c r="BO321" s="66"/>
      <c r="BP321" s="66"/>
      <c r="BQ321" s="66"/>
      <c r="BR321" s="66"/>
      <c r="BS321" s="66"/>
      <c r="BT321" s="66"/>
      <c r="BU321" s="66"/>
      <c r="BV321" s="66"/>
      <c r="BW321" s="66"/>
      <c r="BX321" s="66"/>
      <c r="BY321" s="66"/>
      <c r="BZ321" s="66"/>
      <c r="CA321" s="66"/>
      <c r="CB321" s="66"/>
      <c r="CC321" s="66"/>
      <c r="CD321" s="66"/>
      <c r="CE321" s="66"/>
      <c r="CF321" s="66"/>
      <c r="CG321" s="66"/>
      <c r="CH321" s="66"/>
      <c r="CI321" s="66"/>
      <c r="CJ321" s="66"/>
      <c r="CK321" s="66"/>
      <c r="CL321" s="66"/>
      <c r="CM321" s="66"/>
      <c r="CN321" s="66"/>
      <c r="CO321" s="66"/>
      <c r="CP321" s="66"/>
      <c r="CQ321" s="66"/>
      <c r="CR321" s="66"/>
      <c r="CS321" s="66"/>
      <c r="CT321" s="66"/>
      <c r="CU321" s="66"/>
      <c r="CV321" s="66"/>
      <c r="CW321" s="66"/>
      <c r="CX321" s="66"/>
      <c r="CY321" s="66"/>
      <c r="CZ321" s="66"/>
      <c r="DA321" s="66"/>
      <c r="DB321" s="66"/>
      <c r="DC321" s="66"/>
      <c r="DD321" s="66"/>
      <c r="DE321" s="66"/>
      <c r="DF321" s="66"/>
      <c r="DG321" s="66"/>
      <c r="DH321" s="66"/>
      <c r="DI321" s="66"/>
      <c r="DJ321" s="66"/>
      <c r="DK321" s="66"/>
      <c r="DL321" s="66"/>
      <c r="DM321" s="66"/>
      <c r="DN321" s="66"/>
      <c r="DO321" s="66"/>
      <c r="DP321" s="66"/>
      <c r="DQ321" s="66"/>
      <c r="DR321" s="66"/>
      <c r="DS321" s="66"/>
      <c r="DT321" s="66"/>
      <c r="DU321" s="66"/>
      <c r="DV321" s="66"/>
      <c r="DW321" s="66"/>
      <c r="DX321" s="66"/>
      <c r="DY321" s="66"/>
      <c r="DZ321" s="66"/>
      <c r="EA321" s="66"/>
      <c r="EB321" s="66"/>
      <c r="EC321" s="66"/>
      <c r="ED321" s="66"/>
      <c r="EE321" s="66"/>
      <c r="EF321" s="66"/>
      <c r="EG321" s="66"/>
      <c r="EH321" s="66"/>
      <c r="EI321" s="66"/>
      <c r="EJ321" s="66"/>
      <c r="EK321" s="66"/>
      <c r="EL321" s="66"/>
      <c r="EM321" s="66"/>
      <c r="EN321" s="66"/>
      <c r="EO321" s="66"/>
      <c r="EP321" s="66"/>
      <c r="EQ321" s="66"/>
      <c r="ER321" s="66"/>
      <c r="ES321" s="66"/>
      <c r="ET321" s="66"/>
      <c r="EU321" s="66"/>
      <c r="EV321" s="66"/>
      <c r="EW321" s="66"/>
      <c r="EX321" s="66"/>
      <c r="EY321" s="66"/>
      <c r="EZ321" s="66"/>
      <c r="FA321" s="66"/>
      <c r="FB321" s="66"/>
      <c r="FC321" s="66"/>
      <c r="FD321" s="66"/>
      <c r="FE321" s="66"/>
      <c r="FF321" s="66"/>
      <c r="FG321" s="66"/>
      <c r="FH321" s="66"/>
      <c r="FI321" s="66"/>
      <c r="FJ321" s="66"/>
      <c r="FK321" s="66"/>
      <c r="FL321" s="66"/>
      <c r="FM321" s="66"/>
      <c r="FN321" s="66"/>
      <c r="FO321" s="66"/>
      <c r="FP321" s="66"/>
      <c r="FQ321" s="66"/>
      <c r="FR321" s="66"/>
      <c r="FS321" s="66"/>
      <c r="FT321" s="66"/>
      <c r="FU321" s="66"/>
      <c r="FV321" s="66"/>
      <c r="FW321" s="66"/>
      <c r="FX321" s="66"/>
      <c r="FY321" s="66"/>
      <c r="FZ321" s="66"/>
      <c r="GA321" s="66"/>
      <c r="GB321" s="66"/>
      <c r="GC321" s="66"/>
      <c r="GD321" s="66"/>
      <c r="GE321" s="66"/>
      <c r="GF321" s="66"/>
      <c r="GG321" s="66"/>
      <c r="GH321" s="66"/>
      <c r="GI321" s="66"/>
      <c r="GJ321" s="66"/>
      <c r="GK321" s="66"/>
      <c r="GL321" s="66"/>
      <c r="GM321" s="66"/>
      <c r="GN321" s="66"/>
      <c r="GO321" s="66"/>
      <c r="GP321" s="66"/>
      <c r="GQ321" s="66"/>
      <c r="GR321" s="66"/>
      <c r="GS321" s="66"/>
      <c r="GT321" s="66"/>
      <c r="GU321" s="66"/>
      <c r="GV321" s="66"/>
      <c r="GW321" s="66"/>
      <c r="GX321" s="66"/>
      <c r="GY321" s="66"/>
      <c r="GZ321" s="66"/>
      <c r="HA321" s="66"/>
      <c r="HB321" s="66"/>
      <c r="HC321" s="66"/>
      <c r="HD321" s="66"/>
      <c r="HE321" s="66"/>
      <c r="HF321" s="66"/>
      <c r="HG321" s="66"/>
      <c r="HH321" s="66"/>
      <c r="HI321" s="66"/>
      <c r="HJ321" s="66"/>
      <c r="HK321" s="66"/>
      <c r="HL321" s="66"/>
      <c r="HM321" s="66"/>
      <c r="HN321" s="66"/>
      <c r="HO321" s="66"/>
      <c r="HP321" s="66"/>
      <c r="HQ321" s="66"/>
      <c r="HR321" s="66"/>
      <c r="HS321" s="66"/>
      <c r="HT321" s="66"/>
      <c r="HU321" s="66"/>
      <c r="HV321" s="66"/>
      <c r="HW321" s="66"/>
      <c r="HX321" s="66"/>
      <c r="HY321" s="66"/>
      <c r="HZ321" s="66"/>
      <c r="IA321" s="66"/>
      <c r="IB321" s="66"/>
      <c r="IC321" s="66"/>
      <c r="ID321" s="66"/>
      <c r="IE321" s="66"/>
      <c r="IF321" s="66"/>
      <c r="IG321" s="66"/>
      <c r="IH321" s="66"/>
      <c r="II321" s="66"/>
      <c r="IJ321" s="66"/>
      <c r="IK321" s="66"/>
      <c r="IL321" s="66"/>
      <c r="IM321" s="66"/>
      <c r="IN321" s="66"/>
      <c r="IO321" s="66"/>
      <c r="IP321" s="66"/>
      <c r="IQ321" s="66"/>
      <c r="IR321" s="66"/>
      <c r="IS321" s="66"/>
      <c r="IT321" s="66"/>
      <c r="IU321" s="66"/>
      <c r="IV321" s="66"/>
      <c r="IW321" s="66"/>
      <c r="IX321" s="66"/>
      <c r="IY321" s="66"/>
      <c r="IZ321" s="66"/>
      <c r="JA321" s="66"/>
      <c r="JB321" s="66"/>
      <c r="JC321" s="66"/>
      <c r="JD321" s="66"/>
      <c r="JE321" s="66"/>
      <c r="JF321" s="66"/>
      <c r="JG321" s="66"/>
      <c r="JH321" s="66"/>
      <c r="JI321" s="66"/>
      <c r="JJ321" s="66"/>
      <c r="JK321" s="66"/>
      <c r="JL321" s="66"/>
      <c r="JM321" s="66"/>
      <c r="JN321" s="66"/>
      <c r="JO321" s="66"/>
      <c r="JP321" s="66"/>
      <c r="JQ321" s="66"/>
      <c r="JR321" s="66"/>
      <c r="JS321" s="66"/>
      <c r="JT321" s="66"/>
      <c r="JU321" s="66"/>
      <c r="JV321" s="66"/>
      <c r="JW321" s="66"/>
      <c r="JX321" s="66"/>
      <c r="JY321" s="66"/>
      <c r="JZ321" s="66"/>
      <c r="KA321" s="66"/>
      <c r="KB321" s="66"/>
      <c r="KC321" s="66"/>
      <c r="KD321" s="66"/>
      <c r="KE321" s="66"/>
      <c r="KF321" s="66"/>
      <c r="KG321" s="66"/>
      <c r="KH321" s="66"/>
      <c r="KI321" s="66"/>
      <c r="KJ321" s="66"/>
      <c r="KK321" s="66"/>
      <c r="KL321" s="66"/>
      <c r="KM321" s="66"/>
      <c r="KN321" s="66"/>
      <c r="KO321" s="66"/>
      <c r="KP321" s="66"/>
      <c r="KQ321" s="66"/>
      <c r="KR321" s="66"/>
      <c r="KS321" s="66"/>
      <c r="KT321" s="66"/>
      <c r="KU321" s="66"/>
      <c r="KV321" s="66"/>
      <c r="KW321" s="66"/>
      <c r="KX321" s="66"/>
      <c r="KY321" s="66"/>
      <c r="KZ321" s="66"/>
      <c r="LA321" s="66"/>
      <c r="LB321" s="66"/>
      <c r="LC321" s="66"/>
      <c r="LD321" s="66"/>
      <c r="LE321" s="66"/>
      <c r="LF321" s="66"/>
      <c r="LG321" s="66"/>
      <c r="LH321" s="66"/>
      <c r="LI321" s="66"/>
      <c r="LJ321" s="66"/>
      <c r="LK321" s="66"/>
      <c r="LL321" s="66"/>
      <c r="LM321" s="66"/>
      <c r="LN321" s="66"/>
      <c r="LO321" s="66"/>
      <c r="LP321" s="66"/>
      <c r="LQ321" s="66"/>
      <c r="LR321" s="66"/>
      <c r="LS321" s="66"/>
      <c r="LT321" s="66"/>
      <c r="LU321" s="66"/>
      <c r="LV321" s="66"/>
      <c r="LW321" s="66"/>
      <c r="LX321" s="66"/>
      <c r="LY321" s="66"/>
      <c r="LZ321" s="66"/>
      <c r="MA321" s="66"/>
      <c r="MB321" s="66"/>
      <c r="MC321" s="66"/>
      <c r="MD321" s="66"/>
      <c r="ME321" s="66"/>
      <c r="MF321" s="66"/>
      <c r="MG321" s="66"/>
      <c r="MH321" s="66"/>
      <c r="MI321" s="66"/>
      <c r="MJ321" s="66"/>
      <c r="MK321" s="66"/>
      <c r="ML321" s="66"/>
      <c r="MM321" s="66"/>
      <c r="MN321" s="66"/>
      <c r="MO321" s="66"/>
      <c r="MP321" s="66"/>
      <c r="MQ321" s="66"/>
      <c r="MR321" s="66"/>
      <c r="MS321" s="66"/>
      <c r="MT321" s="66"/>
      <c r="MU321" s="66"/>
      <c r="MV321" s="66"/>
      <c r="MW321" s="66"/>
      <c r="MX321" s="66"/>
      <c r="MY321" s="66"/>
      <c r="MZ321" s="66"/>
      <c r="NA321" s="66"/>
      <c r="NB321" s="66"/>
      <c r="NC321" s="66"/>
      <c r="ND321" s="66"/>
      <c r="NE321" s="66"/>
      <c r="NF321" s="66"/>
      <c r="NG321" s="66"/>
      <c r="NH321" s="66"/>
      <c r="NI321" s="66"/>
      <c r="NJ321" s="66"/>
      <c r="NK321" s="66"/>
      <c r="NL321" s="66"/>
      <c r="NM321" s="66"/>
      <c r="NN321" s="66"/>
      <c r="NO321" s="66"/>
      <c r="NP321" s="66"/>
      <c r="NQ321" s="66"/>
      <c r="NR321" s="66"/>
      <c r="NS321" s="66"/>
      <c r="NT321" s="66"/>
      <c r="NU321" s="66"/>
      <c r="NV321" s="66"/>
      <c r="NW321" s="66"/>
      <c r="NX321" s="66"/>
      <c r="NY321" s="66"/>
      <c r="NZ321" s="66"/>
      <c r="OA321" s="66"/>
      <c r="OB321" s="66"/>
      <c r="OC321" s="66"/>
      <c r="OD321" s="66"/>
      <c r="OE321" s="66"/>
      <c r="OF321" s="66"/>
      <c r="OG321" s="66"/>
      <c r="OH321" s="66"/>
      <c r="OI321" s="66"/>
      <c r="OJ321" s="66"/>
      <c r="OK321" s="66"/>
      <c r="OL321" s="66"/>
      <c r="OM321" s="66"/>
      <c r="ON321" s="66"/>
      <c r="OO321" s="66"/>
      <c r="OP321" s="66"/>
      <c r="OQ321" s="66"/>
      <c r="OR321" s="66"/>
      <c r="OS321" s="66"/>
      <c r="OT321" s="66"/>
      <c r="OU321" s="66"/>
      <c r="OV321" s="66"/>
      <c r="OW321" s="66"/>
      <c r="OX321" s="66"/>
      <c r="OY321" s="66"/>
      <c r="OZ321" s="66"/>
      <c r="PA321" s="66"/>
      <c r="PB321" s="66"/>
      <c r="PC321" s="66"/>
      <c r="PD321" s="66"/>
      <c r="PE321" s="66"/>
      <c r="PF321" s="66"/>
      <c r="PG321" s="66"/>
      <c r="PH321" s="66"/>
      <c r="PI321" s="66"/>
      <c r="PJ321" s="66"/>
      <c r="PK321" s="66"/>
      <c r="PL321" s="66"/>
      <c r="PM321" s="66"/>
      <c r="PN321" s="66"/>
      <c r="PO321" s="66"/>
      <c r="PP321" s="66"/>
      <c r="PQ321" s="66"/>
      <c r="PR321" s="66"/>
      <c r="PS321" s="66"/>
      <c r="PT321" s="66"/>
      <c r="PU321" s="66"/>
      <c r="PV321" s="66"/>
      <c r="PW321" s="66"/>
      <c r="PX321" s="66"/>
      <c r="PY321" s="66"/>
      <c r="PZ321" s="66"/>
      <c r="QA321" s="66"/>
      <c r="QB321" s="66"/>
      <c r="QC321" s="66"/>
      <c r="QD321" s="66"/>
      <c r="QE321" s="66"/>
      <c r="QF321" s="66"/>
      <c r="QG321" s="66"/>
      <c r="QH321" s="66"/>
      <c r="QI321" s="66"/>
      <c r="QJ321" s="66"/>
      <c r="QK321" s="66"/>
      <c r="QL321" s="66"/>
      <c r="QM321" s="66"/>
      <c r="QN321" s="66"/>
      <c r="QO321" s="66"/>
      <c r="QP321" s="66"/>
      <c r="QQ321" s="66"/>
      <c r="QR321" s="66"/>
      <c r="QS321" s="66"/>
      <c r="QT321" s="66"/>
      <c r="QU321" s="66"/>
      <c r="QV321" s="66"/>
      <c r="QW321" s="66"/>
      <c r="QX321" s="66"/>
      <c r="QY321" s="66"/>
      <c r="QZ321" s="66"/>
      <c r="RA321" s="66"/>
      <c r="RB321" s="66"/>
      <c r="RC321" s="66"/>
      <c r="RD321" s="4"/>
    </row>
    <row r="322" spans="9:472" x14ac:dyDescent="0.25">
      <c r="I322" s="66"/>
      <c r="J322" s="66"/>
      <c r="K322" s="66"/>
      <c r="L322" s="66"/>
      <c r="M322" s="66"/>
      <c r="N322" s="66"/>
      <c r="O322" s="66"/>
      <c r="P322" s="66"/>
      <c r="Q322" s="66"/>
      <c r="R322" s="66"/>
      <c r="S322" s="66"/>
      <c r="T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c r="BC322" s="66"/>
      <c r="BD322" s="66"/>
      <c r="BE322" s="66"/>
      <c r="BF322" s="66"/>
      <c r="BG322" s="66"/>
      <c r="BH322" s="66"/>
      <c r="BI322" s="66"/>
      <c r="BJ322" s="66"/>
      <c r="BK322" s="66"/>
      <c r="BL322" s="66"/>
      <c r="BM322" s="66"/>
      <c r="BN322" s="66"/>
      <c r="BO322" s="66"/>
      <c r="BP322" s="66"/>
      <c r="BQ322" s="66"/>
      <c r="BR322" s="66"/>
      <c r="BS322" s="66"/>
      <c r="BT322" s="66"/>
      <c r="BU322" s="66"/>
      <c r="BV322" s="66"/>
      <c r="BW322" s="66"/>
      <c r="BX322" s="66"/>
      <c r="BY322" s="66"/>
      <c r="BZ322" s="66"/>
      <c r="CA322" s="66"/>
      <c r="CB322" s="66"/>
      <c r="CC322" s="66"/>
      <c r="CD322" s="66"/>
      <c r="CE322" s="66"/>
      <c r="CF322" s="66"/>
      <c r="CG322" s="66"/>
      <c r="CH322" s="66"/>
      <c r="CI322" s="66"/>
      <c r="CJ322" s="66"/>
      <c r="CK322" s="66"/>
      <c r="CL322" s="66"/>
      <c r="CM322" s="66"/>
      <c r="CN322" s="66"/>
      <c r="CO322" s="66"/>
      <c r="CP322" s="66"/>
      <c r="CQ322" s="66"/>
      <c r="CR322" s="66"/>
      <c r="CS322" s="66"/>
      <c r="CT322" s="66"/>
      <c r="CU322" s="66"/>
      <c r="CV322" s="66"/>
      <c r="CW322" s="66"/>
      <c r="CX322" s="66"/>
      <c r="CY322" s="66"/>
      <c r="CZ322" s="66"/>
      <c r="DA322" s="66"/>
      <c r="DB322" s="66"/>
      <c r="DC322" s="66"/>
      <c r="DD322" s="66"/>
      <c r="DE322" s="66"/>
      <c r="DF322" s="66"/>
      <c r="DG322" s="66"/>
      <c r="DH322" s="66"/>
      <c r="DI322" s="66"/>
      <c r="DJ322" s="66"/>
      <c r="DK322" s="66"/>
      <c r="DL322" s="66"/>
      <c r="DM322" s="66"/>
      <c r="DN322" s="66"/>
      <c r="DO322" s="66"/>
      <c r="DP322" s="66"/>
      <c r="DQ322" s="66"/>
      <c r="DR322" s="66"/>
      <c r="DS322" s="66"/>
      <c r="DT322" s="66"/>
      <c r="DU322" s="66"/>
      <c r="DV322" s="66"/>
      <c r="DW322" s="66"/>
      <c r="DX322" s="66"/>
      <c r="DY322" s="66"/>
      <c r="DZ322" s="66"/>
      <c r="EA322" s="66"/>
      <c r="EB322" s="66"/>
      <c r="EC322" s="66"/>
      <c r="ED322" s="66"/>
      <c r="EE322" s="66"/>
      <c r="EF322" s="66"/>
      <c r="EG322" s="66"/>
      <c r="EH322" s="66"/>
      <c r="EI322" s="66"/>
      <c r="EJ322" s="66"/>
      <c r="EK322" s="66"/>
      <c r="EL322" s="66"/>
      <c r="EM322" s="66"/>
      <c r="EN322" s="66"/>
      <c r="EO322" s="66"/>
      <c r="EP322" s="66"/>
      <c r="EQ322" s="66"/>
      <c r="ER322" s="66"/>
      <c r="ES322" s="66"/>
      <c r="ET322" s="66"/>
      <c r="EU322" s="66"/>
      <c r="EV322" s="66"/>
      <c r="EW322" s="66"/>
      <c r="EX322" s="66"/>
      <c r="EY322" s="66"/>
      <c r="EZ322" s="66"/>
      <c r="FA322" s="66"/>
      <c r="FB322" s="66"/>
      <c r="FC322" s="66"/>
      <c r="FD322" s="66"/>
      <c r="FE322" s="66"/>
      <c r="FF322" s="66"/>
      <c r="FG322" s="66"/>
      <c r="FH322" s="66"/>
      <c r="FI322" s="66"/>
      <c r="FJ322" s="66"/>
      <c r="FK322" s="66"/>
      <c r="FL322" s="66"/>
      <c r="FM322" s="66"/>
      <c r="FN322" s="66"/>
      <c r="FO322" s="66"/>
      <c r="FP322" s="66"/>
      <c r="FQ322" s="66"/>
      <c r="FR322" s="66"/>
      <c r="FS322" s="66"/>
      <c r="FT322" s="66"/>
      <c r="FU322" s="66"/>
      <c r="FV322" s="66"/>
      <c r="FW322" s="66"/>
      <c r="FX322" s="66"/>
      <c r="FY322" s="66"/>
      <c r="FZ322" s="66"/>
      <c r="GA322" s="66"/>
      <c r="GB322" s="66"/>
      <c r="GC322" s="66"/>
      <c r="GD322" s="66"/>
      <c r="GE322" s="66"/>
      <c r="GF322" s="66"/>
      <c r="GG322" s="66"/>
      <c r="GH322" s="66"/>
      <c r="GI322" s="66"/>
      <c r="GJ322" s="66"/>
      <c r="GK322" s="66"/>
      <c r="GL322" s="66"/>
      <c r="GM322" s="66"/>
      <c r="GN322" s="66"/>
      <c r="GO322" s="66"/>
      <c r="GP322" s="66"/>
      <c r="GQ322" s="66"/>
      <c r="GR322" s="66"/>
      <c r="GS322" s="66"/>
      <c r="GT322" s="66"/>
      <c r="GU322" s="66"/>
      <c r="GV322" s="66"/>
      <c r="GW322" s="66"/>
      <c r="GX322" s="66"/>
      <c r="GY322" s="66"/>
      <c r="GZ322" s="66"/>
      <c r="HA322" s="66"/>
      <c r="HB322" s="66"/>
      <c r="HC322" s="66"/>
      <c r="HD322" s="66"/>
      <c r="HE322" s="66"/>
      <c r="HF322" s="66"/>
      <c r="HG322" s="66"/>
      <c r="HH322" s="66"/>
      <c r="HI322" s="66"/>
      <c r="HJ322" s="66"/>
      <c r="HK322" s="66"/>
      <c r="HL322" s="66"/>
      <c r="HM322" s="66"/>
      <c r="HN322" s="66"/>
      <c r="HO322" s="66"/>
      <c r="HP322" s="66"/>
      <c r="HQ322" s="66"/>
      <c r="HR322" s="66"/>
      <c r="HS322" s="66"/>
      <c r="HT322" s="66"/>
      <c r="HU322" s="66"/>
      <c r="HV322" s="66"/>
      <c r="HW322" s="66"/>
      <c r="HX322" s="66"/>
      <c r="HY322" s="66"/>
      <c r="HZ322" s="66"/>
      <c r="IA322" s="66"/>
      <c r="IB322" s="66"/>
      <c r="IC322" s="66"/>
      <c r="ID322" s="66"/>
      <c r="IE322" s="66"/>
      <c r="IF322" s="66"/>
      <c r="IG322" s="66"/>
      <c r="IH322" s="66"/>
      <c r="II322" s="66"/>
      <c r="IJ322" s="66"/>
      <c r="IK322" s="66"/>
      <c r="IL322" s="66"/>
      <c r="IM322" s="66"/>
      <c r="IN322" s="66"/>
      <c r="IO322" s="66"/>
      <c r="IP322" s="66"/>
      <c r="IQ322" s="66"/>
      <c r="IR322" s="66"/>
      <c r="IS322" s="66"/>
      <c r="IT322" s="66"/>
      <c r="IU322" s="66"/>
      <c r="IV322" s="66"/>
      <c r="IW322" s="66"/>
      <c r="IX322" s="66"/>
      <c r="IY322" s="66"/>
      <c r="IZ322" s="66"/>
      <c r="JA322" s="66"/>
      <c r="JB322" s="66"/>
      <c r="JC322" s="66"/>
      <c r="JD322" s="66"/>
      <c r="JE322" s="66"/>
      <c r="JF322" s="66"/>
      <c r="JG322" s="66"/>
      <c r="JH322" s="66"/>
      <c r="JI322" s="66"/>
      <c r="JJ322" s="66"/>
      <c r="JK322" s="66"/>
      <c r="JL322" s="66"/>
      <c r="JM322" s="66"/>
      <c r="JN322" s="66"/>
      <c r="JO322" s="66"/>
      <c r="JP322" s="66"/>
      <c r="JQ322" s="66"/>
      <c r="JR322" s="66"/>
      <c r="JS322" s="66"/>
      <c r="JT322" s="66"/>
      <c r="JU322" s="66"/>
      <c r="JV322" s="66"/>
      <c r="JW322" s="66"/>
      <c r="JX322" s="66"/>
      <c r="JY322" s="66"/>
      <c r="JZ322" s="66"/>
      <c r="KA322" s="66"/>
      <c r="KB322" s="66"/>
      <c r="KC322" s="66"/>
      <c r="KD322" s="66"/>
      <c r="KE322" s="66"/>
      <c r="KF322" s="66"/>
      <c r="KG322" s="66"/>
      <c r="KH322" s="66"/>
      <c r="KI322" s="66"/>
      <c r="KJ322" s="66"/>
      <c r="KK322" s="66"/>
      <c r="KL322" s="66"/>
      <c r="KM322" s="66"/>
      <c r="KN322" s="66"/>
      <c r="KO322" s="66"/>
      <c r="KP322" s="66"/>
      <c r="KQ322" s="66"/>
      <c r="KR322" s="66"/>
      <c r="KS322" s="66"/>
      <c r="KT322" s="66"/>
      <c r="KU322" s="66"/>
      <c r="KV322" s="66"/>
      <c r="KW322" s="66"/>
      <c r="KX322" s="66"/>
      <c r="KY322" s="66"/>
      <c r="KZ322" s="66"/>
      <c r="LA322" s="66"/>
      <c r="LB322" s="66"/>
      <c r="LC322" s="66"/>
      <c r="LD322" s="66"/>
      <c r="LE322" s="66"/>
      <c r="LF322" s="66"/>
      <c r="LG322" s="66"/>
      <c r="LH322" s="66"/>
      <c r="LI322" s="66"/>
      <c r="LJ322" s="66"/>
      <c r="LK322" s="66"/>
      <c r="LL322" s="66"/>
      <c r="LM322" s="66"/>
      <c r="LN322" s="66"/>
      <c r="LO322" s="66"/>
      <c r="LP322" s="66"/>
      <c r="LQ322" s="66"/>
      <c r="LR322" s="66"/>
      <c r="LS322" s="66"/>
      <c r="LT322" s="66"/>
      <c r="LU322" s="66"/>
      <c r="LV322" s="66"/>
      <c r="LW322" s="66"/>
      <c r="LX322" s="66"/>
      <c r="LY322" s="66"/>
      <c r="LZ322" s="66"/>
      <c r="MA322" s="66"/>
      <c r="MB322" s="66"/>
      <c r="MC322" s="66"/>
      <c r="MD322" s="66"/>
      <c r="ME322" s="66"/>
      <c r="MF322" s="66"/>
      <c r="MG322" s="66"/>
      <c r="MH322" s="66"/>
      <c r="MI322" s="66"/>
      <c r="MJ322" s="66"/>
      <c r="MK322" s="66"/>
      <c r="ML322" s="66"/>
      <c r="MM322" s="66"/>
      <c r="MN322" s="66"/>
      <c r="MO322" s="66"/>
      <c r="MP322" s="66"/>
      <c r="MQ322" s="66"/>
      <c r="MR322" s="66"/>
      <c r="MS322" s="66"/>
      <c r="MT322" s="66"/>
      <c r="MU322" s="66"/>
      <c r="MV322" s="66"/>
      <c r="MW322" s="66"/>
      <c r="MX322" s="66"/>
      <c r="MY322" s="66"/>
      <c r="MZ322" s="66"/>
      <c r="NA322" s="66"/>
      <c r="NB322" s="66"/>
      <c r="NC322" s="66"/>
      <c r="ND322" s="66"/>
      <c r="NE322" s="66"/>
      <c r="NF322" s="66"/>
      <c r="NG322" s="66"/>
      <c r="NH322" s="66"/>
      <c r="NI322" s="66"/>
      <c r="NJ322" s="66"/>
      <c r="NK322" s="66"/>
      <c r="NL322" s="66"/>
      <c r="NM322" s="66"/>
      <c r="NN322" s="66"/>
      <c r="NO322" s="66"/>
      <c r="NP322" s="66"/>
      <c r="NQ322" s="66"/>
      <c r="NR322" s="66"/>
      <c r="NS322" s="66"/>
      <c r="NT322" s="66"/>
      <c r="NU322" s="66"/>
      <c r="NV322" s="66"/>
      <c r="NW322" s="66"/>
      <c r="NX322" s="66"/>
      <c r="NY322" s="66"/>
      <c r="NZ322" s="66"/>
      <c r="OA322" s="66"/>
      <c r="OB322" s="66"/>
      <c r="OC322" s="66"/>
      <c r="OD322" s="66"/>
      <c r="OE322" s="66"/>
      <c r="OF322" s="66"/>
      <c r="OG322" s="66"/>
      <c r="OH322" s="66"/>
      <c r="OI322" s="66"/>
      <c r="OJ322" s="66"/>
      <c r="OK322" s="66"/>
      <c r="OL322" s="66"/>
      <c r="OM322" s="66"/>
      <c r="ON322" s="66"/>
      <c r="OO322" s="66"/>
      <c r="OP322" s="66"/>
      <c r="OQ322" s="66"/>
      <c r="OR322" s="66"/>
      <c r="OS322" s="66"/>
      <c r="OT322" s="66"/>
      <c r="OU322" s="66"/>
      <c r="OV322" s="66"/>
      <c r="OW322" s="66"/>
      <c r="OX322" s="66"/>
      <c r="OY322" s="66"/>
      <c r="OZ322" s="66"/>
      <c r="PA322" s="66"/>
      <c r="PB322" s="66"/>
      <c r="PC322" s="66"/>
      <c r="PD322" s="66"/>
      <c r="PE322" s="66"/>
      <c r="PF322" s="66"/>
      <c r="PG322" s="66"/>
      <c r="PH322" s="66"/>
      <c r="PI322" s="66"/>
      <c r="PJ322" s="66"/>
      <c r="PK322" s="66"/>
      <c r="PL322" s="66"/>
      <c r="PM322" s="66"/>
      <c r="PN322" s="66"/>
      <c r="PO322" s="66"/>
      <c r="PP322" s="66"/>
      <c r="PQ322" s="66"/>
      <c r="PR322" s="66"/>
      <c r="PS322" s="66"/>
      <c r="PT322" s="66"/>
      <c r="PU322" s="66"/>
      <c r="PV322" s="66"/>
      <c r="PW322" s="66"/>
      <c r="PX322" s="66"/>
      <c r="PY322" s="66"/>
      <c r="PZ322" s="66"/>
      <c r="QA322" s="66"/>
      <c r="QB322" s="66"/>
      <c r="QC322" s="66"/>
      <c r="QD322" s="66"/>
      <c r="QE322" s="66"/>
      <c r="QF322" s="66"/>
      <c r="QG322" s="66"/>
      <c r="QH322" s="66"/>
      <c r="QI322" s="66"/>
      <c r="QJ322" s="66"/>
      <c r="QK322" s="66"/>
      <c r="QL322" s="66"/>
      <c r="QM322" s="66"/>
      <c r="QN322" s="66"/>
      <c r="QO322" s="66"/>
      <c r="QP322" s="66"/>
      <c r="QQ322" s="66"/>
      <c r="QR322" s="66"/>
      <c r="QS322" s="66"/>
      <c r="QT322" s="66"/>
      <c r="QU322" s="66"/>
      <c r="QV322" s="66"/>
      <c r="QW322" s="66"/>
      <c r="QX322" s="66"/>
      <c r="QY322" s="66"/>
      <c r="QZ322" s="66"/>
      <c r="RA322" s="66"/>
      <c r="RB322" s="66"/>
      <c r="RC322" s="66"/>
      <c r="RD322" s="4"/>
    </row>
    <row r="323" spans="9:472" x14ac:dyDescent="0.25">
      <c r="I323" s="66"/>
      <c r="J323" s="66"/>
      <c r="K323" s="66"/>
      <c r="L323" s="66"/>
      <c r="M323" s="66"/>
      <c r="N323" s="66"/>
      <c r="O323" s="66"/>
      <c r="P323" s="66"/>
      <c r="Q323" s="66"/>
      <c r="R323" s="66"/>
      <c r="S323" s="66"/>
      <c r="T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c r="BO323" s="66"/>
      <c r="BP323" s="66"/>
      <c r="BQ323" s="66"/>
      <c r="BR323" s="66"/>
      <c r="BS323" s="66"/>
      <c r="BT323" s="66"/>
      <c r="BU323" s="66"/>
      <c r="BV323" s="66"/>
      <c r="BW323" s="66"/>
      <c r="BX323" s="66"/>
      <c r="BY323" s="66"/>
      <c r="BZ323" s="66"/>
      <c r="CA323" s="66"/>
      <c r="CB323" s="66"/>
      <c r="CC323" s="66"/>
      <c r="CD323" s="66"/>
      <c r="CE323" s="66"/>
      <c r="CF323" s="66"/>
      <c r="CG323" s="66"/>
      <c r="CH323" s="66"/>
      <c r="CI323" s="66"/>
      <c r="CJ323" s="66"/>
      <c r="CK323" s="66"/>
      <c r="CL323" s="66"/>
      <c r="CM323" s="66"/>
      <c r="CN323" s="66"/>
      <c r="CO323" s="66"/>
      <c r="CP323" s="66"/>
      <c r="CQ323" s="66"/>
      <c r="CR323" s="66"/>
      <c r="CS323" s="66"/>
      <c r="CT323" s="66"/>
      <c r="CU323" s="66"/>
      <c r="CV323" s="66"/>
      <c r="CW323" s="66"/>
      <c r="CX323" s="66"/>
      <c r="CY323" s="66"/>
      <c r="CZ323" s="66"/>
      <c r="DA323" s="66"/>
      <c r="DB323" s="66"/>
      <c r="DC323" s="66"/>
      <c r="DD323" s="66"/>
      <c r="DE323" s="66"/>
      <c r="DF323" s="66"/>
      <c r="DG323" s="66"/>
      <c r="DH323" s="66"/>
      <c r="DI323" s="66"/>
      <c r="DJ323" s="66"/>
      <c r="DK323" s="66"/>
      <c r="DL323" s="66"/>
      <c r="DM323" s="66"/>
      <c r="DN323" s="66"/>
      <c r="DO323" s="66"/>
      <c r="DP323" s="66"/>
      <c r="DQ323" s="66"/>
      <c r="DR323" s="66"/>
      <c r="DS323" s="66"/>
      <c r="DT323" s="66"/>
      <c r="DU323" s="66"/>
      <c r="DV323" s="66"/>
      <c r="DW323" s="66"/>
      <c r="DX323" s="66"/>
      <c r="DY323" s="66"/>
      <c r="DZ323" s="66"/>
      <c r="EA323" s="66"/>
      <c r="EB323" s="66"/>
      <c r="EC323" s="66"/>
      <c r="ED323" s="66"/>
      <c r="EE323" s="66"/>
      <c r="EF323" s="66"/>
      <c r="EG323" s="66"/>
      <c r="EH323" s="66"/>
      <c r="EI323" s="66"/>
      <c r="EJ323" s="66"/>
      <c r="EK323" s="66"/>
      <c r="EL323" s="66"/>
      <c r="EM323" s="66"/>
      <c r="EN323" s="66"/>
      <c r="EO323" s="66"/>
      <c r="EP323" s="66"/>
      <c r="EQ323" s="66"/>
      <c r="ER323" s="66"/>
      <c r="ES323" s="66"/>
      <c r="ET323" s="66"/>
      <c r="EU323" s="66"/>
      <c r="EV323" s="66"/>
      <c r="EW323" s="66"/>
      <c r="EX323" s="66"/>
      <c r="EY323" s="66"/>
      <c r="EZ323" s="66"/>
      <c r="FA323" s="66"/>
      <c r="FB323" s="66"/>
      <c r="FC323" s="66"/>
      <c r="FD323" s="66"/>
      <c r="FE323" s="66"/>
      <c r="FF323" s="66"/>
      <c r="FG323" s="66"/>
      <c r="FH323" s="66"/>
      <c r="FI323" s="66"/>
      <c r="FJ323" s="66"/>
      <c r="FK323" s="66"/>
      <c r="FL323" s="66"/>
      <c r="FM323" s="66"/>
      <c r="FN323" s="66"/>
      <c r="FO323" s="66"/>
      <c r="FP323" s="66"/>
      <c r="FQ323" s="66"/>
      <c r="FR323" s="66"/>
      <c r="FS323" s="66"/>
      <c r="FT323" s="66"/>
      <c r="FU323" s="66"/>
      <c r="FV323" s="66"/>
      <c r="FW323" s="66"/>
      <c r="FX323" s="66"/>
      <c r="FY323" s="66"/>
      <c r="FZ323" s="66"/>
      <c r="GA323" s="66"/>
      <c r="GB323" s="66"/>
      <c r="GC323" s="66"/>
      <c r="GD323" s="66"/>
      <c r="GE323" s="66"/>
      <c r="GF323" s="66"/>
      <c r="GG323" s="66"/>
      <c r="GH323" s="66"/>
      <c r="GI323" s="66"/>
      <c r="GJ323" s="66"/>
      <c r="GK323" s="66"/>
      <c r="GL323" s="66"/>
      <c r="GM323" s="66"/>
      <c r="GN323" s="66"/>
      <c r="GO323" s="66"/>
      <c r="GP323" s="66"/>
      <c r="GQ323" s="66"/>
      <c r="GR323" s="66"/>
      <c r="GS323" s="66"/>
      <c r="GT323" s="66"/>
      <c r="GU323" s="66"/>
      <c r="GV323" s="66"/>
      <c r="GW323" s="66"/>
      <c r="GX323" s="66"/>
      <c r="GY323" s="66"/>
      <c r="GZ323" s="66"/>
      <c r="HA323" s="66"/>
      <c r="HB323" s="66"/>
      <c r="HC323" s="66"/>
      <c r="HD323" s="66"/>
      <c r="HE323" s="66"/>
      <c r="HF323" s="66"/>
      <c r="HG323" s="66"/>
      <c r="HH323" s="66"/>
      <c r="HI323" s="66"/>
      <c r="HJ323" s="66"/>
      <c r="HK323" s="66"/>
      <c r="HL323" s="66"/>
      <c r="HM323" s="66"/>
      <c r="HN323" s="66"/>
      <c r="HO323" s="66"/>
      <c r="HP323" s="66"/>
      <c r="HQ323" s="66"/>
      <c r="HR323" s="66"/>
      <c r="HS323" s="66"/>
      <c r="HT323" s="66"/>
      <c r="HU323" s="66"/>
      <c r="HV323" s="66"/>
      <c r="HW323" s="66"/>
      <c r="HX323" s="66"/>
      <c r="HY323" s="66"/>
      <c r="HZ323" s="66"/>
      <c r="IA323" s="66"/>
      <c r="IB323" s="66"/>
      <c r="IC323" s="66"/>
      <c r="ID323" s="66"/>
      <c r="IE323" s="66"/>
      <c r="IF323" s="66"/>
      <c r="IG323" s="66"/>
      <c r="IH323" s="66"/>
      <c r="II323" s="66"/>
      <c r="IJ323" s="66"/>
      <c r="IK323" s="66"/>
      <c r="IL323" s="66"/>
      <c r="IM323" s="66"/>
      <c r="IN323" s="66"/>
      <c r="IO323" s="66"/>
      <c r="IP323" s="66"/>
      <c r="IQ323" s="66"/>
      <c r="IR323" s="66"/>
      <c r="IS323" s="66"/>
      <c r="IT323" s="66"/>
      <c r="IU323" s="66"/>
      <c r="IV323" s="66"/>
      <c r="IW323" s="66"/>
      <c r="IX323" s="66"/>
      <c r="IY323" s="66"/>
      <c r="IZ323" s="66"/>
      <c r="JA323" s="66"/>
      <c r="JB323" s="66"/>
      <c r="JC323" s="66"/>
      <c r="JD323" s="66"/>
      <c r="JE323" s="66"/>
      <c r="JF323" s="66"/>
      <c r="JG323" s="66"/>
      <c r="JH323" s="66"/>
      <c r="JI323" s="66"/>
      <c r="JJ323" s="66"/>
      <c r="JK323" s="66"/>
      <c r="JL323" s="66"/>
      <c r="JM323" s="66"/>
      <c r="JN323" s="66"/>
      <c r="JO323" s="66"/>
      <c r="JP323" s="66"/>
      <c r="JQ323" s="66"/>
      <c r="JR323" s="66"/>
      <c r="JS323" s="66"/>
      <c r="JT323" s="66"/>
      <c r="JU323" s="66"/>
      <c r="JV323" s="66"/>
      <c r="JW323" s="66"/>
      <c r="JX323" s="66"/>
      <c r="JY323" s="66"/>
      <c r="JZ323" s="66"/>
      <c r="KA323" s="66"/>
      <c r="KB323" s="66"/>
      <c r="KC323" s="66"/>
      <c r="KD323" s="66"/>
      <c r="KE323" s="66"/>
      <c r="KF323" s="66"/>
      <c r="KG323" s="66"/>
      <c r="KH323" s="66"/>
      <c r="KI323" s="66"/>
      <c r="KJ323" s="66"/>
      <c r="KK323" s="66"/>
      <c r="KL323" s="66"/>
      <c r="KM323" s="66"/>
      <c r="KN323" s="66"/>
      <c r="KO323" s="66"/>
      <c r="KP323" s="66"/>
      <c r="KQ323" s="66"/>
      <c r="KR323" s="66"/>
      <c r="KS323" s="66"/>
      <c r="KT323" s="66"/>
      <c r="KU323" s="66"/>
      <c r="KV323" s="66"/>
      <c r="KW323" s="66"/>
      <c r="KX323" s="66"/>
      <c r="KY323" s="66"/>
      <c r="KZ323" s="66"/>
      <c r="LA323" s="66"/>
      <c r="LB323" s="66"/>
      <c r="LC323" s="66"/>
      <c r="LD323" s="66"/>
      <c r="LE323" s="66"/>
      <c r="LF323" s="66"/>
      <c r="LG323" s="66"/>
      <c r="LH323" s="66"/>
      <c r="LI323" s="66"/>
      <c r="LJ323" s="66"/>
      <c r="LK323" s="66"/>
      <c r="LL323" s="66"/>
      <c r="LM323" s="66"/>
      <c r="LN323" s="66"/>
      <c r="LO323" s="66"/>
      <c r="LP323" s="66"/>
      <c r="LQ323" s="66"/>
      <c r="LR323" s="66"/>
      <c r="LS323" s="66"/>
      <c r="LT323" s="66"/>
      <c r="LU323" s="66"/>
      <c r="LV323" s="66"/>
      <c r="LW323" s="66"/>
      <c r="LX323" s="66"/>
      <c r="LY323" s="66"/>
      <c r="LZ323" s="66"/>
      <c r="MA323" s="66"/>
      <c r="MB323" s="66"/>
      <c r="MC323" s="66"/>
      <c r="MD323" s="66"/>
      <c r="ME323" s="66"/>
      <c r="MF323" s="66"/>
      <c r="MG323" s="66"/>
      <c r="MH323" s="66"/>
      <c r="MI323" s="66"/>
      <c r="MJ323" s="66"/>
      <c r="MK323" s="66"/>
      <c r="ML323" s="66"/>
      <c r="MM323" s="66"/>
      <c r="MN323" s="66"/>
      <c r="MO323" s="66"/>
      <c r="MP323" s="66"/>
      <c r="MQ323" s="66"/>
      <c r="MR323" s="66"/>
      <c r="MS323" s="66"/>
      <c r="MT323" s="66"/>
      <c r="MU323" s="66"/>
      <c r="MV323" s="66"/>
      <c r="MW323" s="66"/>
      <c r="MX323" s="66"/>
      <c r="MY323" s="66"/>
      <c r="MZ323" s="66"/>
      <c r="NA323" s="66"/>
      <c r="NB323" s="66"/>
      <c r="NC323" s="66"/>
      <c r="ND323" s="66"/>
      <c r="NE323" s="66"/>
      <c r="NF323" s="66"/>
      <c r="NG323" s="66"/>
      <c r="NH323" s="66"/>
      <c r="NI323" s="66"/>
      <c r="NJ323" s="66"/>
      <c r="NK323" s="66"/>
      <c r="NL323" s="66"/>
      <c r="NM323" s="66"/>
      <c r="NN323" s="66"/>
      <c r="NO323" s="66"/>
      <c r="NP323" s="66"/>
      <c r="NQ323" s="66"/>
      <c r="NR323" s="66"/>
      <c r="NS323" s="66"/>
      <c r="NT323" s="66"/>
      <c r="NU323" s="66"/>
      <c r="NV323" s="66"/>
      <c r="NW323" s="66"/>
      <c r="NX323" s="66"/>
      <c r="NY323" s="66"/>
      <c r="NZ323" s="66"/>
      <c r="OA323" s="66"/>
      <c r="OB323" s="66"/>
      <c r="OC323" s="66"/>
      <c r="OD323" s="66"/>
      <c r="OE323" s="66"/>
      <c r="OF323" s="66"/>
      <c r="OG323" s="66"/>
      <c r="OH323" s="66"/>
      <c r="OI323" s="66"/>
      <c r="OJ323" s="66"/>
      <c r="OK323" s="66"/>
      <c r="OL323" s="66"/>
      <c r="OM323" s="66"/>
      <c r="ON323" s="66"/>
      <c r="OO323" s="66"/>
      <c r="OP323" s="66"/>
      <c r="OQ323" s="66"/>
      <c r="OR323" s="66"/>
      <c r="OS323" s="66"/>
      <c r="OT323" s="66"/>
      <c r="OU323" s="66"/>
      <c r="OV323" s="66"/>
      <c r="OW323" s="66"/>
      <c r="OX323" s="66"/>
      <c r="OY323" s="66"/>
      <c r="OZ323" s="66"/>
      <c r="PA323" s="66"/>
      <c r="PB323" s="66"/>
      <c r="PC323" s="66"/>
      <c r="PD323" s="66"/>
      <c r="PE323" s="66"/>
      <c r="PF323" s="66"/>
      <c r="PG323" s="66"/>
      <c r="PH323" s="66"/>
      <c r="PI323" s="66"/>
      <c r="PJ323" s="66"/>
      <c r="PK323" s="66"/>
      <c r="PL323" s="66"/>
      <c r="PM323" s="66"/>
      <c r="PN323" s="66"/>
      <c r="PO323" s="66"/>
      <c r="PP323" s="66"/>
      <c r="PQ323" s="66"/>
      <c r="PR323" s="66"/>
      <c r="PS323" s="66"/>
      <c r="PT323" s="66"/>
      <c r="PU323" s="66"/>
      <c r="PV323" s="66"/>
      <c r="PW323" s="66"/>
      <c r="PX323" s="66"/>
      <c r="PY323" s="66"/>
      <c r="PZ323" s="66"/>
      <c r="QA323" s="66"/>
      <c r="QB323" s="66"/>
      <c r="QC323" s="66"/>
      <c r="QD323" s="66"/>
      <c r="QE323" s="66"/>
      <c r="QF323" s="66"/>
      <c r="QG323" s="66"/>
      <c r="QH323" s="66"/>
      <c r="QI323" s="66"/>
      <c r="QJ323" s="66"/>
      <c r="QK323" s="66"/>
      <c r="QL323" s="66"/>
      <c r="QM323" s="66"/>
      <c r="QN323" s="66"/>
      <c r="QO323" s="66"/>
      <c r="QP323" s="66"/>
      <c r="QQ323" s="66"/>
      <c r="QR323" s="66"/>
      <c r="QS323" s="66"/>
      <c r="QT323" s="66"/>
      <c r="QU323" s="66"/>
      <c r="QV323" s="66"/>
      <c r="QW323" s="66"/>
      <c r="QX323" s="66"/>
      <c r="QY323" s="66"/>
      <c r="QZ323" s="66"/>
      <c r="RA323" s="66"/>
      <c r="RB323" s="66"/>
      <c r="RC323" s="66"/>
      <c r="RD323" s="4"/>
    </row>
    <row r="324" spans="9:472" x14ac:dyDescent="0.25">
      <c r="I324" s="66"/>
      <c r="J324" s="66"/>
      <c r="K324" s="66"/>
      <c r="L324" s="66"/>
      <c r="M324" s="66"/>
      <c r="N324" s="66"/>
      <c r="O324" s="66"/>
      <c r="P324" s="66"/>
      <c r="Q324" s="66"/>
      <c r="R324" s="66"/>
      <c r="S324" s="66"/>
      <c r="T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c r="BO324" s="66"/>
      <c r="BP324" s="66"/>
      <c r="BQ324" s="66"/>
      <c r="BR324" s="66"/>
      <c r="BS324" s="66"/>
      <c r="BT324" s="66"/>
      <c r="BU324" s="66"/>
      <c r="BV324" s="66"/>
      <c r="BW324" s="66"/>
      <c r="BX324" s="66"/>
      <c r="BY324" s="66"/>
      <c r="BZ324" s="66"/>
      <c r="CA324" s="66"/>
      <c r="CB324" s="66"/>
      <c r="CC324" s="66"/>
      <c r="CD324" s="66"/>
      <c r="CE324" s="66"/>
      <c r="CF324" s="66"/>
      <c r="CG324" s="66"/>
      <c r="CH324" s="66"/>
      <c r="CI324" s="66"/>
      <c r="CJ324" s="66"/>
      <c r="CK324" s="66"/>
      <c r="CL324" s="66"/>
      <c r="CM324" s="66"/>
      <c r="CN324" s="66"/>
      <c r="CO324" s="66"/>
      <c r="CP324" s="66"/>
      <c r="CQ324" s="66"/>
      <c r="CR324" s="66"/>
      <c r="CS324" s="66"/>
      <c r="CT324" s="66"/>
      <c r="CU324" s="66"/>
      <c r="CV324" s="66"/>
      <c r="CW324" s="66"/>
      <c r="CX324" s="66"/>
      <c r="CY324" s="66"/>
      <c r="CZ324" s="66"/>
      <c r="DA324" s="66"/>
      <c r="DB324" s="66"/>
      <c r="DC324" s="66"/>
      <c r="DD324" s="66"/>
      <c r="DE324" s="66"/>
      <c r="DF324" s="66"/>
      <c r="DG324" s="66"/>
      <c r="DH324" s="66"/>
      <c r="DI324" s="66"/>
      <c r="DJ324" s="66"/>
      <c r="DK324" s="66"/>
      <c r="DL324" s="66"/>
      <c r="DM324" s="66"/>
      <c r="DN324" s="66"/>
      <c r="DO324" s="66"/>
      <c r="DP324" s="66"/>
      <c r="DQ324" s="66"/>
      <c r="DR324" s="66"/>
      <c r="DS324" s="66"/>
      <c r="DT324" s="66"/>
      <c r="DU324" s="66"/>
      <c r="DV324" s="66"/>
      <c r="DW324" s="66"/>
      <c r="DX324" s="66"/>
      <c r="DY324" s="66"/>
      <c r="DZ324" s="66"/>
      <c r="EA324" s="66"/>
      <c r="EB324" s="66"/>
      <c r="EC324" s="66"/>
      <c r="ED324" s="66"/>
      <c r="EE324" s="66"/>
      <c r="EF324" s="66"/>
      <c r="EG324" s="66"/>
      <c r="EH324" s="66"/>
      <c r="EI324" s="66"/>
      <c r="EJ324" s="66"/>
      <c r="EK324" s="66"/>
      <c r="EL324" s="66"/>
      <c r="EM324" s="66"/>
      <c r="EN324" s="66"/>
      <c r="EO324" s="66"/>
      <c r="EP324" s="66"/>
      <c r="EQ324" s="66"/>
      <c r="ER324" s="66"/>
      <c r="ES324" s="66"/>
      <c r="ET324" s="66"/>
      <c r="EU324" s="66"/>
      <c r="EV324" s="66"/>
      <c r="EW324" s="66"/>
      <c r="EX324" s="66"/>
      <c r="EY324" s="66"/>
      <c r="EZ324" s="66"/>
      <c r="FA324" s="66"/>
      <c r="FB324" s="66"/>
      <c r="FC324" s="66"/>
      <c r="FD324" s="66"/>
      <c r="FE324" s="66"/>
      <c r="FF324" s="66"/>
      <c r="FG324" s="66"/>
      <c r="FH324" s="66"/>
      <c r="FI324" s="66"/>
      <c r="FJ324" s="66"/>
      <c r="FK324" s="66"/>
      <c r="FL324" s="66"/>
      <c r="FM324" s="66"/>
      <c r="FN324" s="66"/>
      <c r="FO324" s="66"/>
      <c r="FP324" s="66"/>
      <c r="FQ324" s="66"/>
      <c r="FR324" s="66"/>
      <c r="FS324" s="66"/>
      <c r="FT324" s="66"/>
      <c r="FU324" s="66"/>
      <c r="FV324" s="66"/>
      <c r="FW324" s="66"/>
      <c r="FX324" s="66"/>
      <c r="FY324" s="66"/>
      <c r="FZ324" s="66"/>
      <c r="GA324" s="66"/>
      <c r="GB324" s="66"/>
      <c r="GC324" s="66"/>
      <c r="GD324" s="66"/>
      <c r="GE324" s="66"/>
      <c r="GF324" s="66"/>
      <c r="GG324" s="66"/>
      <c r="GH324" s="66"/>
      <c r="GI324" s="66"/>
      <c r="GJ324" s="66"/>
      <c r="GK324" s="66"/>
      <c r="GL324" s="66"/>
      <c r="GM324" s="66"/>
      <c r="GN324" s="66"/>
      <c r="GO324" s="66"/>
      <c r="GP324" s="66"/>
      <c r="GQ324" s="66"/>
      <c r="GR324" s="66"/>
      <c r="GS324" s="66"/>
      <c r="GT324" s="66"/>
      <c r="GU324" s="66"/>
      <c r="GV324" s="66"/>
      <c r="GW324" s="66"/>
      <c r="GX324" s="66"/>
      <c r="GY324" s="66"/>
      <c r="GZ324" s="66"/>
      <c r="HA324" s="66"/>
      <c r="HB324" s="66"/>
      <c r="HC324" s="66"/>
      <c r="HD324" s="66"/>
      <c r="HE324" s="66"/>
      <c r="HF324" s="66"/>
      <c r="HG324" s="66"/>
      <c r="HH324" s="66"/>
      <c r="HI324" s="66"/>
      <c r="HJ324" s="66"/>
      <c r="HK324" s="66"/>
      <c r="HL324" s="66"/>
      <c r="HM324" s="66"/>
      <c r="HN324" s="66"/>
      <c r="HO324" s="66"/>
      <c r="HP324" s="66"/>
      <c r="HQ324" s="66"/>
      <c r="HR324" s="66"/>
      <c r="HS324" s="66"/>
      <c r="HT324" s="66"/>
      <c r="HU324" s="66"/>
      <c r="HV324" s="66"/>
      <c r="HW324" s="66"/>
      <c r="HX324" s="66"/>
      <c r="HY324" s="66"/>
      <c r="HZ324" s="66"/>
      <c r="IA324" s="66"/>
      <c r="IB324" s="66"/>
      <c r="IC324" s="66"/>
      <c r="ID324" s="66"/>
      <c r="IE324" s="66"/>
      <c r="IF324" s="66"/>
      <c r="IG324" s="66"/>
      <c r="IH324" s="66"/>
      <c r="II324" s="66"/>
      <c r="IJ324" s="66"/>
      <c r="IK324" s="66"/>
      <c r="IL324" s="66"/>
      <c r="IM324" s="66"/>
      <c r="IN324" s="66"/>
      <c r="IO324" s="66"/>
      <c r="IP324" s="66"/>
      <c r="IQ324" s="66"/>
      <c r="IR324" s="66"/>
      <c r="IS324" s="66"/>
      <c r="IT324" s="66"/>
      <c r="IU324" s="66"/>
      <c r="IV324" s="66"/>
      <c r="IW324" s="66"/>
      <c r="IX324" s="66"/>
      <c r="IY324" s="66"/>
      <c r="IZ324" s="66"/>
      <c r="JA324" s="66"/>
      <c r="JB324" s="66"/>
      <c r="JC324" s="66"/>
      <c r="JD324" s="66"/>
      <c r="JE324" s="66"/>
      <c r="JF324" s="66"/>
      <c r="JG324" s="66"/>
      <c r="JH324" s="66"/>
      <c r="JI324" s="66"/>
      <c r="JJ324" s="66"/>
      <c r="JK324" s="66"/>
      <c r="JL324" s="66"/>
      <c r="JM324" s="66"/>
      <c r="JN324" s="66"/>
      <c r="JO324" s="66"/>
      <c r="JP324" s="66"/>
      <c r="JQ324" s="66"/>
      <c r="JR324" s="66"/>
      <c r="JS324" s="66"/>
      <c r="JT324" s="66"/>
      <c r="JU324" s="66"/>
      <c r="JV324" s="66"/>
      <c r="JW324" s="66"/>
      <c r="JX324" s="66"/>
      <c r="JY324" s="66"/>
      <c r="JZ324" s="66"/>
      <c r="KA324" s="66"/>
      <c r="KB324" s="66"/>
      <c r="KC324" s="66"/>
      <c r="KD324" s="66"/>
      <c r="KE324" s="66"/>
      <c r="KF324" s="66"/>
      <c r="KG324" s="66"/>
      <c r="KH324" s="66"/>
      <c r="KI324" s="66"/>
      <c r="KJ324" s="66"/>
      <c r="KK324" s="66"/>
      <c r="KL324" s="66"/>
      <c r="KM324" s="66"/>
      <c r="KN324" s="66"/>
      <c r="KO324" s="66"/>
      <c r="KP324" s="66"/>
      <c r="KQ324" s="66"/>
      <c r="KR324" s="66"/>
      <c r="KS324" s="66"/>
      <c r="KT324" s="66"/>
      <c r="KU324" s="66"/>
      <c r="KV324" s="66"/>
      <c r="KW324" s="66"/>
      <c r="KX324" s="66"/>
      <c r="KY324" s="66"/>
      <c r="KZ324" s="66"/>
      <c r="LA324" s="66"/>
      <c r="LB324" s="66"/>
      <c r="LC324" s="66"/>
      <c r="LD324" s="66"/>
      <c r="LE324" s="66"/>
      <c r="LF324" s="66"/>
      <c r="LG324" s="66"/>
      <c r="LH324" s="66"/>
      <c r="LI324" s="66"/>
      <c r="LJ324" s="66"/>
      <c r="LK324" s="66"/>
      <c r="LL324" s="66"/>
      <c r="LM324" s="66"/>
      <c r="LN324" s="66"/>
      <c r="LO324" s="66"/>
      <c r="LP324" s="66"/>
      <c r="LQ324" s="66"/>
      <c r="LR324" s="66"/>
      <c r="LS324" s="66"/>
      <c r="LT324" s="66"/>
      <c r="LU324" s="66"/>
      <c r="LV324" s="66"/>
      <c r="LW324" s="66"/>
      <c r="LX324" s="66"/>
      <c r="LY324" s="66"/>
      <c r="LZ324" s="66"/>
      <c r="MA324" s="66"/>
      <c r="MB324" s="66"/>
      <c r="MC324" s="66"/>
      <c r="MD324" s="66"/>
      <c r="ME324" s="66"/>
      <c r="MF324" s="66"/>
      <c r="MG324" s="66"/>
      <c r="MH324" s="66"/>
      <c r="MI324" s="66"/>
      <c r="MJ324" s="66"/>
      <c r="MK324" s="66"/>
      <c r="ML324" s="66"/>
      <c r="MM324" s="66"/>
      <c r="MN324" s="66"/>
      <c r="MO324" s="66"/>
      <c r="MP324" s="66"/>
      <c r="MQ324" s="66"/>
      <c r="MR324" s="66"/>
      <c r="MS324" s="66"/>
      <c r="MT324" s="66"/>
      <c r="MU324" s="66"/>
      <c r="MV324" s="66"/>
      <c r="MW324" s="66"/>
      <c r="MX324" s="66"/>
      <c r="MY324" s="66"/>
      <c r="MZ324" s="66"/>
      <c r="NA324" s="66"/>
      <c r="NB324" s="66"/>
      <c r="NC324" s="66"/>
      <c r="ND324" s="66"/>
      <c r="NE324" s="66"/>
      <c r="NF324" s="66"/>
      <c r="NG324" s="66"/>
      <c r="NH324" s="66"/>
      <c r="NI324" s="66"/>
      <c r="NJ324" s="66"/>
      <c r="NK324" s="66"/>
      <c r="NL324" s="66"/>
      <c r="NM324" s="66"/>
      <c r="NN324" s="66"/>
      <c r="NO324" s="66"/>
      <c r="NP324" s="66"/>
      <c r="NQ324" s="66"/>
      <c r="NR324" s="66"/>
      <c r="NS324" s="66"/>
      <c r="NT324" s="66"/>
      <c r="NU324" s="66"/>
      <c r="NV324" s="66"/>
      <c r="NW324" s="66"/>
      <c r="NX324" s="66"/>
      <c r="NY324" s="66"/>
      <c r="NZ324" s="66"/>
      <c r="OA324" s="66"/>
      <c r="OB324" s="66"/>
      <c r="OC324" s="66"/>
      <c r="OD324" s="66"/>
      <c r="OE324" s="66"/>
      <c r="OF324" s="66"/>
      <c r="OG324" s="66"/>
      <c r="OH324" s="66"/>
      <c r="OI324" s="66"/>
      <c r="OJ324" s="66"/>
      <c r="OK324" s="66"/>
      <c r="OL324" s="66"/>
      <c r="OM324" s="66"/>
      <c r="ON324" s="66"/>
      <c r="OO324" s="66"/>
      <c r="OP324" s="66"/>
      <c r="OQ324" s="66"/>
      <c r="OR324" s="66"/>
      <c r="OS324" s="66"/>
      <c r="OT324" s="66"/>
      <c r="OU324" s="66"/>
      <c r="OV324" s="66"/>
      <c r="OW324" s="66"/>
      <c r="OX324" s="66"/>
      <c r="OY324" s="66"/>
      <c r="OZ324" s="66"/>
      <c r="PA324" s="66"/>
      <c r="PB324" s="66"/>
      <c r="PC324" s="66"/>
      <c r="PD324" s="66"/>
      <c r="PE324" s="66"/>
      <c r="PF324" s="66"/>
      <c r="PG324" s="66"/>
      <c r="PH324" s="66"/>
      <c r="PI324" s="66"/>
      <c r="PJ324" s="66"/>
      <c r="PK324" s="66"/>
      <c r="PL324" s="66"/>
      <c r="PM324" s="66"/>
      <c r="PN324" s="66"/>
      <c r="PO324" s="66"/>
      <c r="PP324" s="66"/>
      <c r="PQ324" s="66"/>
      <c r="PR324" s="66"/>
      <c r="PS324" s="66"/>
      <c r="PT324" s="66"/>
      <c r="PU324" s="66"/>
      <c r="PV324" s="66"/>
      <c r="PW324" s="66"/>
      <c r="PX324" s="66"/>
      <c r="PY324" s="66"/>
      <c r="PZ324" s="66"/>
      <c r="QA324" s="66"/>
      <c r="QB324" s="66"/>
      <c r="QC324" s="66"/>
      <c r="QD324" s="66"/>
      <c r="QE324" s="66"/>
      <c r="QF324" s="66"/>
      <c r="QG324" s="66"/>
      <c r="QH324" s="66"/>
      <c r="QI324" s="66"/>
      <c r="QJ324" s="66"/>
      <c r="QK324" s="66"/>
      <c r="QL324" s="66"/>
      <c r="QM324" s="66"/>
      <c r="QN324" s="66"/>
      <c r="QO324" s="66"/>
      <c r="QP324" s="66"/>
      <c r="QQ324" s="66"/>
      <c r="QR324" s="66"/>
      <c r="QS324" s="66"/>
      <c r="QT324" s="66"/>
      <c r="QU324" s="66"/>
      <c r="QV324" s="66"/>
      <c r="QW324" s="66"/>
      <c r="QX324" s="66"/>
      <c r="QY324" s="66"/>
      <c r="QZ324" s="66"/>
      <c r="RA324" s="66"/>
      <c r="RB324" s="66"/>
      <c r="RC324" s="66"/>
      <c r="RD324" s="4"/>
    </row>
  </sheetData>
  <mergeCells count="57709">
    <mergeCell ref="ML190:MM190"/>
    <mergeCell ref="MN190:MO190"/>
    <mergeCell ref="MP190:MQ190"/>
    <mergeCell ref="MR190:MS190"/>
    <mergeCell ref="MT190:MU190"/>
    <mergeCell ref="MV190:MW190"/>
    <mergeCell ref="PL190:PM190"/>
    <mergeCell ref="PN190:PO190"/>
    <mergeCell ref="PP190:PQ190"/>
    <mergeCell ref="PR190:PS190"/>
    <mergeCell ref="PT190:PU190"/>
    <mergeCell ref="PV190:PW190"/>
    <mergeCell ref="PX190:PY190"/>
    <mergeCell ref="PZ190:QA190"/>
    <mergeCell ref="QB190:QC190"/>
    <mergeCell ref="QD190:QE190"/>
    <mergeCell ref="QF190:QG190"/>
    <mergeCell ref="QH190:QI190"/>
    <mergeCell ref="QJ190:QK190"/>
    <mergeCell ref="QL190:QM190"/>
    <mergeCell ref="QN190:QO190"/>
    <mergeCell ref="QP190:QQ190"/>
    <mergeCell ref="QR190:QS190"/>
    <mergeCell ref="QT190:QU190"/>
    <mergeCell ref="QV190:QW190"/>
    <mergeCell ref="QX190:QY190"/>
    <mergeCell ref="QZ190:RA190"/>
    <mergeCell ref="RB190:RC190"/>
    <mergeCell ref="MX190:MY190"/>
    <mergeCell ref="MZ190:NA190"/>
    <mergeCell ref="NB190:NC190"/>
    <mergeCell ref="ND190:NE190"/>
    <mergeCell ref="NF190:NG190"/>
    <mergeCell ref="NH190:NI190"/>
    <mergeCell ref="NJ190:NK190"/>
    <mergeCell ref="NL190:NM190"/>
    <mergeCell ref="NN190:NO190"/>
    <mergeCell ref="NP190:NQ190"/>
    <mergeCell ref="NR190:NS190"/>
    <mergeCell ref="NT190:NU190"/>
    <mergeCell ref="NV190:NW190"/>
    <mergeCell ref="NX190:NY190"/>
    <mergeCell ref="NZ190:OA190"/>
    <mergeCell ref="OB190:OC190"/>
    <mergeCell ref="OD190:OE190"/>
    <mergeCell ref="OF190:OG190"/>
    <mergeCell ref="OH190:OI190"/>
    <mergeCell ref="OJ190:OK190"/>
    <mergeCell ref="OL190:OM190"/>
    <mergeCell ref="ON190:OO190"/>
    <mergeCell ref="OP190:OQ190"/>
    <mergeCell ref="OR190:OS190"/>
    <mergeCell ref="OT190:OU190"/>
    <mergeCell ref="OV190:OW190"/>
    <mergeCell ref="OX190:OY190"/>
    <mergeCell ref="OZ190:PA190"/>
    <mergeCell ref="PB190:PC190"/>
    <mergeCell ref="PD190:PE190"/>
    <mergeCell ref="PF190:PG190"/>
    <mergeCell ref="JP190:JQ190"/>
    <mergeCell ref="JR190:JS190"/>
    <mergeCell ref="JT190:JU190"/>
    <mergeCell ref="JV190:JW190"/>
    <mergeCell ref="JX190:JY190"/>
    <mergeCell ref="JZ190:KA190"/>
    <mergeCell ref="KB190:KC190"/>
    <mergeCell ref="KD190:KE190"/>
    <mergeCell ref="KF190:KG190"/>
    <mergeCell ref="KH190:KI190"/>
    <mergeCell ref="KJ190:KK190"/>
    <mergeCell ref="KL190:KM190"/>
    <mergeCell ref="KN190:KO190"/>
    <mergeCell ref="KP190:KQ190"/>
    <mergeCell ref="KR190:KS190"/>
    <mergeCell ref="KT190:KU190"/>
    <mergeCell ref="KV190:KW190"/>
    <mergeCell ref="KX190:KY190"/>
    <mergeCell ref="KZ190:LA190"/>
    <mergeCell ref="LB190:LC190"/>
    <mergeCell ref="LD190:LE190"/>
    <mergeCell ref="LF190:LG190"/>
    <mergeCell ref="LH190:LI190"/>
    <mergeCell ref="LJ190:LK190"/>
    <mergeCell ref="LL190:LM190"/>
    <mergeCell ref="LN190:LO190"/>
    <mergeCell ref="LP190:LQ190"/>
    <mergeCell ref="LR190:LS190"/>
    <mergeCell ref="LT190:LU190"/>
    <mergeCell ref="LV190:LW190"/>
    <mergeCell ref="LX190:LY190"/>
    <mergeCell ref="LZ190:MA190"/>
    <mergeCell ref="MB190:MC190"/>
    <mergeCell ref="GX190:GY190"/>
    <mergeCell ref="GZ190:HA190"/>
    <mergeCell ref="HB190:HC190"/>
    <mergeCell ref="HD190:HE190"/>
    <mergeCell ref="HF190:HG190"/>
    <mergeCell ref="HH190:HI190"/>
    <mergeCell ref="HJ190:HK190"/>
    <mergeCell ref="HL190:HM190"/>
    <mergeCell ref="HN190:HO190"/>
    <mergeCell ref="HP190:HQ190"/>
    <mergeCell ref="HV190:HW190"/>
    <mergeCell ref="HX190:HY190"/>
    <mergeCell ref="HZ190:IA190"/>
    <mergeCell ref="IB190:IC190"/>
    <mergeCell ref="ID190:IE190"/>
    <mergeCell ref="IF190:IG190"/>
    <mergeCell ref="IH190:II190"/>
    <mergeCell ref="IJ190:IK190"/>
    <mergeCell ref="IL190:IM190"/>
    <mergeCell ref="IN190:IO190"/>
    <mergeCell ref="IP190:IQ190"/>
    <mergeCell ref="IR190:IS190"/>
    <mergeCell ref="IT190:IU190"/>
    <mergeCell ref="IV190:IW190"/>
    <mergeCell ref="IX190:IY190"/>
    <mergeCell ref="IZ190:JA190"/>
    <mergeCell ref="JB190:JC190"/>
    <mergeCell ref="JD190:JE190"/>
    <mergeCell ref="JF190:JG190"/>
    <mergeCell ref="JH190:JI190"/>
    <mergeCell ref="JJ190:JK190"/>
    <mergeCell ref="JL190:JM190"/>
    <mergeCell ref="JN190:JO190"/>
    <mergeCell ref="LV101:LW101"/>
    <mergeCell ref="LX101:LY101"/>
    <mergeCell ref="LZ101:MA101"/>
    <mergeCell ref="MB101:MC101"/>
    <mergeCell ref="MD101:ME101"/>
    <mergeCell ref="MF101:MG101"/>
    <mergeCell ref="MH101:MI101"/>
    <mergeCell ref="MJ101:MK101"/>
    <mergeCell ref="ML101:MM101"/>
    <mergeCell ref="MN101:MO101"/>
    <mergeCell ref="MP101:MQ101"/>
    <mergeCell ref="MR101:MS101"/>
    <mergeCell ref="MT101:MU101"/>
    <mergeCell ref="MV101:MW101"/>
    <mergeCell ref="NN101:NO101"/>
    <mergeCell ref="NP101:NQ101"/>
    <mergeCell ref="NR101:NS101"/>
    <mergeCell ref="NT101:NU101"/>
    <mergeCell ref="NV101:NW101"/>
    <mergeCell ref="NX101:NY101"/>
    <mergeCell ref="QN101:QO101"/>
    <mergeCell ref="QP101:QQ101"/>
    <mergeCell ref="QR101:QS101"/>
    <mergeCell ref="QT101:QU101"/>
    <mergeCell ref="QV101:QW101"/>
    <mergeCell ref="QX101:QY101"/>
    <mergeCell ref="QZ101:RA101"/>
    <mergeCell ref="RB101:RC101"/>
    <mergeCell ref="NZ101:OA101"/>
    <mergeCell ref="OB101:OC101"/>
    <mergeCell ref="OD101:OE101"/>
    <mergeCell ref="OF101:OG101"/>
    <mergeCell ref="OH101:OI101"/>
    <mergeCell ref="OJ101:OK101"/>
    <mergeCell ref="OL101:OM101"/>
    <mergeCell ref="ON101:OO101"/>
    <mergeCell ref="OP101:OQ101"/>
    <mergeCell ref="OR101:OS101"/>
    <mergeCell ref="OT101:OU101"/>
    <mergeCell ref="OV101:OW101"/>
    <mergeCell ref="OX101:OY101"/>
    <mergeCell ref="OZ101:PA101"/>
    <mergeCell ref="PB101:PC101"/>
    <mergeCell ref="PD101:PE101"/>
    <mergeCell ref="PF101:PG101"/>
    <mergeCell ref="PH101:PI101"/>
    <mergeCell ref="PJ101:PK101"/>
    <mergeCell ref="PL101:PM101"/>
    <mergeCell ref="PN101:PO101"/>
    <mergeCell ref="PP101:PQ101"/>
    <mergeCell ref="PR101:PS101"/>
    <mergeCell ref="PT101:PU101"/>
    <mergeCell ref="PV101:PW101"/>
    <mergeCell ref="PX101:PY101"/>
    <mergeCell ref="PZ101:QA101"/>
    <mergeCell ref="QB101:QC101"/>
    <mergeCell ref="QD101:QE101"/>
    <mergeCell ref="QF101:QG101"/>
    <mergeCell ref="QH101:QI101"/>
    <mergeCell ref="QJ101:QK101"/>
    <mergeCell ref="QX179:QY179"/>
    <mergeCell ref="OF179:OG179"/>
    <mergeCell ref="OH179:OI179"/>
    <mergeCell ref="OJ179:OK179"/>
    <mergeCell ref="OL179:OM179"/>
    <mergeCell ref="ON179:OO179"/>
    <mergeCell ref="OP179:OQ179"/>
    <mergeCell ref="OR179:OS179"/>
    <mergeCell ref="OT179:OU179"/>
    <mergeCell ref="OV179:OW179"/>
    <mergeCell ref="OX179:OY179"/>
    <mergeCell ref="OZ179:PA179"/>
    <mergeCell ref="PB179:PC179"/>
    <mergeCell ref="PD179:PE179"/>
    <mergeCell ref="PF179:PG179"/>
    <mergeCell ref="QJ179:QK179"/>
    <mergeCell ref="QL179:QM179"/>
    <mergeCell ref="QN179:QO179"/>
    <mergeCell ref="QP179:QQ179"/>
    <mergeCell ref="QR179:QS179"/>
    <mergeCell ref="QT179:QU179"/>
    <mergeCell ref="JL179:JM179"/>
    <mergeCell ref="JN179:JO179"/>
    <mergeCell ref="JP179:JQ179"/>
    <mergeCell ref="JR179:JS179"/>
    <mergeCell ref="JT179:JU179"/>
    <mergeCell ref="JV179:JW179"/>
    <mergeCell ref="JX179:JY179"/>
    <mergeCell ref="JZ179:KA179"/>
    <mergeCell ref="KB179:KC179"/>
    <mergeCell ref="KD179:KE179"/>
    <mergeCell ref="KF179:KG179"/>
    <mergeCell ref="KH179:KI179"/>
    <mergeCell ref="KJ179:KK179"/>
    <mergeCell ref="KL179:KM179"/>
    <mergeCell ref="KN179:KO179"/>
    <mergeCell ref="KP179:KQ179"/>
    <mergeCell ref="KR179:KS179"/>
    <mergeCell ref="KT179:KU179"/>
    <mergeCell ref="KV179:KW179"/>
    <mergeCell ref="KX179:KY179"/>
    <mergeCell ref="KZ179:LA179"/>
    <mergeCell ref="LB179:LC179"/>
    <mergeCell ref="LD179:LE179"/>
    <mergeCell ref="LF179:LG179"/>
    <mergeCell ref="LH179:LI179"/>
    <mergeCell ref="LJ179:LK179"/>
    <mergeCell ref="LL179:LM179"/>
    <mergeCell ref="QV179:QW179"/>
    <mergeCell ref="PJ179:PK179"/>
    <mergeCell ref="PL179:PM179"/>
    <mergeCell ref="PN179:PO179"/>
    <mergeCell ref="PP179:PQ179"/>
    <mergeCell ref="QJ90:QK90"/>
    <mergeCell ref="QL90:QM90"/>
    <mergeCell ref="QN90:QO90"/>
    <mergeCell ref="QP90:QQ90"/>
    <mergeCell ref="QR90:QS90"/>
    <mergeCell ref="QT90:QU90"/>
    <mergeCell ref="QV90:QW90"/>
    <mergeCell ref="QX90:QY90"/>
    <mergeCell ref="QZ90:RA90"/>
    <mergeCell ref="RB90:RC90"/>
    <mergeCell ref="F179:G179"/>
    <mergeCell ref="FF179:FG179"/>
    <mergeCell ref="FH179:FI179"/>
    <mergeCell ref="FJ179:FK179"/>
    <mergeCell ref="FL179:FM179"/>
    <mergeCell ref="FN179:FO179"/>
    <mergeCell ref="FP179:FQ179"/>
    <mergeCell ref="FR179:FS179"/>
    <mergeCell ref="FT179:FU179"/>
    <mergeCell ref="FV179:FW179"/>
    <mergeCell ref="FX179:FY179"/>
    <mergeCell ref="FZ179:GA179"/>
    <mergeCell ref="GB179:GC179"/>
    <mergeCell ref="GD179:GE179"/>
    <mergeCell ref="GF179:GG179"/>
    <mergeCell ref="GH179:GI179"/>
    <mergeCell ref="GJ179:GK179"/>
    <mergeCell ref="GL179:GM179"/>
    <mergeCell ref="GN179:GO179"/>
    <mergeCell ref="GP179:GQ179"/>
    <mergeCell ref="GR179:GS179"/>
    <mergeCell ref="GT179:GU179"/>
    <mergeCell ref="GV179:GW179"/>
    <mergeCell ref="GX179:GY179"/>
    <mergeCell ref="GZ179:HA179"/>
    <mergeCell ref="HB179:HC179"/>
    <mergeCell ref="HD179:HE179"/>
    <mergeCell ref="HF179:HG179"/>
    <mergeCell ref="HH179:HI179"/>
    <mergeCell ref="HJ179:HK179"/>
    <mergeCell ref="HL179:HM179"/>
    <mergeCell ref="HN179:HO179"/>
    <mergeCell ref="HP179:HQ179"/>
    <mergeCell ref="QZ179:RA179"/>
    <mergeCell ref="RB179:RC179"/>
    <mergeCell ref="MT179:MU179"/>
    <mergeCell ref="MV179:MW179"/>
    <mergeCell ref="MX179:MY179"/>
    <mergeCell ref="MZ179:NA179"/>
    <mergeCell ref="NB179:NC179"/>
    <mergeCell ref="ND179:NE179"/>
    <mergeCell ref="NF179:NG179"/>
    <mergeCell ref="NH179:NI179"/>
    <mergeCell ref="NJ179:NK179"/>
    <mergeCell ref="NL179:NM179"/>
    <mergeCell ref="NN179:NO179"/>
    <mergeCell ref="NP179:NQ179"/>
    <mergeCell ref="NR179:NS179"/>
    <mergeCell ref="NT179:NU179"/>
    <mergeCell ref="NV179:NW179"/>
    <mergeCell ref="NX179:NY179"/>
    <mergeCell ref="NZ179:OA179"/>
    <mergeCell ref="OB179:OC179"/>
    <mergeCell ref="OD179:OE179"/>
    <mergeCell ref="NZ90:OA90"/>
    <mergeCell ref="OB90:OC90"/>
    <mergeCell ref="OD90:OE90"/>
    <mergeCell ref="OF90:OG90"/>
    <mergeCell ref="OH90:OI90"/>
    <mergeCell ref="OJ90:OK90"/>
    <mergeCell ref="OL90:OM90"/>
    <mergeCell ref="ON90:OO90"/>
    <mergeCell ref="MT90:MU90"/>
    <mergeCell ref="MV90:MW90"/>
    <mergeCell ref="OP90:OQ90"/>
    <mergeCell ref="OR90:OS90"/>
    <mergeCell ref="OT90:OU90"/>
    <mergeCell ref="OV90:OW90"/>
    <mergeCell ref="OX90:OY90"/>
    <mergeCell ref="OZ90:PA90"/>
    <mergeCell ref="PB90:PC90"/>
    <mergeCell ref="PD90:PE90"/>
    <mergeCell ref="PF90:PG90"/>
    <mergeCell ref="PH90:PI90"/>
    <mergeCell ref="PJ90:PK90"/>
    <mergeCell ref="PL90:PM90"/>
    <mergeCell ref="PN90:PO90"/>
    <mergeCell ref="PP90:PQ90"/>
    <mergeCell ref="PR90:PS90"/>
    <mergeCell ref="PT90:PU90"/>
    <mergeCell ref="PV90:PW90"/>
    <mergeCell ref="PX90:PY90"/>
    <mergeCell ref="PZ90:QA90"/>
    <mergeCell ref="QB90:QC90"/>
    <mergeCell ref="QD90:QE90"/>
    <mergeCell ref="QF90:QG90"/>
    <mergeCell ref="QH90:QI90"/>
    <mergeCell ref="LH90:LI90"/>
    <mergeCell ref="LJ90:LK90"/>
    <mergeCell ref="LL90:LM90"/>
    <mergeCell ref="LN90:LO90"/>
    <mergeCell ref="LP90:LQ90"/>
    <mergeCell ref="LR90:LS90"/>
    <mergeCell ref="LT90:LU90"/>
    <mergeCell ref="LV90:LW90"/>
    <mergeCell ref="LX90:LY90"/>
    <mergeCell ref="LZ90:MA90"/>
    <mergeCell ref="MB90:MC90"/>
    <mergeCell ref="MD90:ME90"/>
    <mergeCell ref="MF90:MG90"/>
    <mergeCell ref="MH90:MI90"/>
    <mergeCell ref="MJ90:MK90"/>
    <mergeCell ref="ML90:MM90"/>
    <mergeCell ref="MN90:MO90"/>
    <mergeCell ref="MP90:MQ90"/>
    <mergeCell ref="MR90:MS90"/>
    <mergeCell ref="MX90:MY90"/>
    <mergeCell ref="MZ90:NA90"/>
    <mergeCell ref="NB90:NC90"/>
    <mergeCell ref="ND90:NE90"/>
    <mergeCell ref="NF90:NG90"/>
    <mergeCell ref="NH90:NI90"/>
    <mergeCell ref="NJ90:NK90"/>
    <mergeCell ref="NL90:NM90"/>
    <mergeCell ref="NN90:NO90"/>
    <mergeCell ref="NP90:NQ90"/>
    <mergeCell ref="NR90:NS90"/>
    <mergeCell ref="NT90:NU90"/>
    <mergeCell ref="NV90:NW90"/>
    <mergeCell ref="NX90:NY90"/>
    <mergeCell ref="IT90:IU90"/>
    <mergeCell ref="IV90:IW90"/>
    <mergeCell ref="IX90:IY90"/>
    <mergeCell ref="IZ90:JA90"/>
    <mergeCell ref="JB90:JC90"/>
    <mergeCell ref="JD90:JE90"/>
    <mergeCell ref="JF90:JG90"/>
    <mergeCell ref="JH90:JI90"/>
    <mergeCell ref="JJ90:JK90"/>
    <mergeCell ref="JL90:JM90"/>
    <mergeCell ref="JN90:JO90"/>
    <mergeCell ref="KF90:KG90"/>
    <mergeCell ref="JP90:JQ90"/>
    <mergeCell ref="JR90:JS90"/>
    <mergeCell ref="JT90:JU90"/>
    <mergeCell ref="JV90:JW90"/>
    <mergeCell ref="JX90:JY90"/>
    <mergeCell ref="JZ90:KA90"/>
    <mergeCell ref="KB90:KC90"/>
    <mergeCell ref="KD90:KE90"/>
    <mergeCell ref="KH90:KI90"/>
    <mergeCell ref="KJ90:KK90"/>
    <mergeCell ref="KL90:KM90"/>
    <mergeCell ref="KN90:KO90"/>
    <mergeCell ref="KP90:KQ90"/>
    <mergeCell ref="KR90:KS90"/>
    <mergeCell ref="KT90:KU90"/>
    <mergeCell ref="KV90:KW90"/>
    <mergeCell ref="KX90:KY90"/>
    <mergeCell ref="KZ90:LA90"/>
    <mergeCell ref="LB90:LC90"/>
    <mergeCell ref="LD90:LE90"/>
    <mergeCell ref="LF90:LG90"/>
    <mergeCell ref="QX188:QY188"/>
    <mergeCell ref="QZ188:RA188"/>
    <mergeCell ref="RB188:RC188"/>
    <mergeCell ref="MN188:MO188"/>
    <mergeCell ref="MP188:MQ188"/>
    <mergeCell ref="MR188:MS188"/>
    <mergeCell ref="MT188:MU188"/>
    <mergeCell ref="MV188:MW188"/>
    <mergeCell ref="MX188:MY188"/>
    <mergeCell ref="MZ188:NA188"/>
    <mergeCell ref="NB188:NC188"/>
    <mergeCell ref="ND188:NE188"/>
    <mergeCell ref="NF188:NG188"/>
    <mergeCell ref="NH188:NI188"/>
    <mergeCell ref="NJ188:NK188"/>
    <mergeCell ref="NL188:NM188"/>
    <mergeCell ref="NN188:NO188"/>
    <mergeCell ref="NP188:NQ188"/>
    <mergeCell ref="NR188:NS188"/>
    <mergeCell ref="NT188:NU188"/>
    <mergeCell ref="NV188:NW188"/>
    <mergeCell ref="NX188:NY188"/>
    <mergeCell ref="NZ188:OA188"/>
    <mergeCell ref="OB188:OC188"/>
    <mergeCell ref="OD188:OE188"/>
    <mergeCell ref="OF188:OG188"/>
    <mergeCell ref="OH188:OI188"/>
    <mergeCell ref="OJ188:OK188"/>
    <mergeCell ref="OL188:OM188"/>
    <mergeCell ref="ON188:OO188"/>
    <mergeCell ref="OP188:OQ188"/>
    <mergeCell ref="OR188:OS188"/>
    <mergeCell ref="OT188:OU188"/>
    <mergeCell ref="OV188:OW188"/>
    <mergeCell ref="OX188:OY188"/>
    <mergeCell ref="OZ188:PA188"/>
    <mergeCell ref="QZ99:RA99"/>
    <mergeCell ref="RB99:RC99"/>
    <mergeCell ref="F188:G188"/>
    <mergeCell ref="FF188:FG188"/>
    <mergeCell ref="FH188:FI188"/>
    <mergeCell ref="FJ188:FK188"/>
    <mergeCell ref="FL188:FM188"/>
    <mergeCell ref="FN188:FO188"/>
    <mergeCell ref="FP188:FQ188"/>
    <mergeCell ref="FR188:FS188"/>
    <mergeCell ref="FT188:FU188"/>
    <mergeCell ref="FV188:FW188"/>
    <mergeCell ref="FX188:FY188"/>
    <mergeCell ref="FZ188:GA188"/>
    <mergeCell ref="GB188:GC188"/>
    <mergeCell ref="GD188:GE188"/>
    <mergeCell ref="GF188:GG188"/>
    <mergeCell ref="GH188:GI188"/>
    <mergeCell ref="GJ188:GK188"/>
    <mergeCell ref="GL188:GM188"/>
    <mergeCell ref="GN188:GO188"/>
    <mergeCell ref="GP188:GQ188"/>
    <mergeCell ref="GR188:GS188"/>
    <mergeCell ref="GT188:GU188"/>
    <mergeCell ref="GV188:GW188"/>
    <mergeCell ref="GX188:GY188"/>
    <mergeCell ref="GZ188:HA188"/>
    <mergeCell ref="HB188:HC188"/>
    <mergeCell ref="HD188:HE188"/>
    <mergeCell ref="HF188:HG188"/>
    <mergeCell ref="HH188:HI188"/>
    <mergeCell ref="HJ188:HK188"/>
    <mergeCell ref="HL188:HM188"/>
    <mergeCell ref="HN188:HO188"/>
    <mergeCell ref="JN188:JO188"/>
    <mergeCell ref="JP188:JQ188"/>
    <mergeCell ref="JR188:JS188"/>
    <mergeCell ref="JT188:JU188"/>
    <mergeCell ref="JV188:JW188"/>
    <mergeCell ref="JX188:JY188"/>
    <mergeCell ref="JZ188:KA188"/>
    <mergeCell ref="KB188:KC188"/>
    <mergeCell ref="KD188:KE188"/>
    <mergeCell ref="KF188:KG188"/>
    <mergeCell ref="KH188:KI188"/>
    <mergeCell ref="KJ188:KK188"/>
    <mergeCell ref="KL188:KM188"/>
    <mergeCell ref="ML188:MM188"/>
    <mergeCell ref="PB188:PC188"/>
    <mergeCell ref="PD188:PE188"/>
    <mergeCell ref="PF188:PG188"/>
    <mergeCell ref="PH188:PI188"/>
    <mergeCell ref="PJ188:PK188"/>
    <mergeCell ref="PL188:PM188"/>
    <mergeCell ref="PN188:PO188"/>
    <mergeCell ref="PP188:PQ188"/>
    <mergeCell ref="PR188:PS188"/>
    <mergeCell ref="PT188:PU188"/>
    <mergeCell ref="PV188:PW188"/>
    <mergeCell ref="PX188:PY188"/>
    <mergeCell ref="PZ188:QA188"/>
    <mergeCell ref="QB188:QC188"/>
    <mergeCell ref="QD188:QE188"/>
    <mergeCell ref="QF188:QG188"/>
    <mergeCell ref="RB96:RC96"/>
    <mergeCell ref="F185:G185"/>
    <mergeCell ref="FF185:FG185"/>
    <mergeCell ref="FH185:FI185"/>
    <mergeCell ref="FJ185:FK185"/>
    <mergeCell ref="FL185:FM185"/>
    <mergeCell ref="FN185:FO185"/>
    <mergeCell ref="FP185:FQ185"/>
    <mergeCell ref="FR185:FS185"/>
    <mergeCell ref="FT185:FU185"/>
    <mergeCell ref="FV185:FW185"/>
    <mergeCell ref="FX185:FY185"/>
    <mergeCell ref="FZ185:GA185"/>
    <mergeCell ref="GB185:GC185"/>
    <mergeCell ref="GD185:GE185"/>
    <mergeCell ref="GF185:GG185"/>
    <mergeCell ref="GH185:GI185"/>
    <mergeCell ref="GJ185:GK185"/>
    <mergeCell ref="GL185:GM185"/>
    <mergeCell ref="GN185:GO185"/>
    <mergeCell ref="GP185:GQ185"/>
    <mergeCell ref="GR185:GS185"/>
    <mergeCell ref="GT185:GU185"/>
    <mergeCell ref="GV185:GW185"/>
    <mergeCell ref="GX185:GY185"/>
    <mergeCell ref="GZ185:HA185"/>
    <mergeCell ref="HB185:HC185"/>
    <mergeCell ref="HD185:HE185"/>
    <mergeCell ref="HF185:HG185"/>
    <mergeCell ref="HH185:HI185"/>
    <mergeCell ref="HJ185:HK185"/>
    <mergeCell ref="HL185:HM185"/>
    <mergeCell ref="HN185:HO185"/>
    <mergeCell ref="HP185:HQ185"/>
    <mergeCell ref="HR185:HS185"/>
    <mergeCell ref="HT185:HU185"/>
    <mergeCell ref="HV185:HW185"/>
    <mergeCell ref="HX185:HY185"/>
    <mergeCell ref="HZ185:IA185"/>
    <mergeCell ref="IB185:IC185"/>
    <mergeCell ref="ID185:IE185"/>
    <mergeCell ref="QV185:QW185"/>
    <mergeCell ref="QX185:QY185"/>
    <mergeCell ref="QZ185:RA185"/>
    <mergeCell ref="RB185:RC185"/>
    <mergeCell ref="NL185:NM185"/>
    <mergeCell ref="NN185:NO185"/>
    <mergeCell ref="KD99:KE99"/>
    <mergeCell ref="KF99:KG99"/>
    <mergeCell ref="KH99:KI99"/>
    <mergeCell ref="KJ99:KK99"/>
    <mergeCell ref="KL99:KM99"/>
    <mergeCell ref="KN99:KO99"/>
    <mergeCell ref="KP99:KQ99"/>
    <mergeCell ref="KR99:KS99"/>
    <mergeCell ref="KT99:KU99"/>
    <mergeCell ref="KV99:KW99"/>
    <mergeCell ref="KX99:KY99"/>
    <mergeCell ref="KZ99:LA99"/>
    <mergeCell ref="LB99:LC99"/>
    <mergeCell ref="LD99:LE99"/>
    <mergeCell ref="LF99:LG99"/>
    <mergeCell ref="QV99:QW99"/>
    <mergeCell ref="QX99:QY99"/>
    <mergeCell ref="QR96:QS96"/>
    <mergeCell ref="QT96:QU96"/>
    <mergeCell ref="QV96:QW96"/>
    <mergeCell ref="QX96:QY96"/>
    <mergeCell ref="QZ96:RA96"/>
    <mergeCell ref="PJ97:PK97"/>
    <mergeCell ref="PL97:PM97"/>
    <mergeCell ref="PN97:PO97"/>
    <mergeCell ref="PP97:PQ97"/>
    <mergeCell ref="PR97:PS97"/>
    <mergeCell ref="PT97:PU97"/>
    <mergeCell ref="PV97:PW97"/>
    <mergeCell ref="PX97:PY97"/>
    <mergeCell ref="PZ97:QA97"/>
    <mergeCell ref="QB97:QC97"/>
    <mergeCell ref="QD97:QE97"/>
    <mergeCell ref="QF97:QG97"/>
    <mergeCell ref="QH97:QI97"/>
    <mergeCell ref="QJ97:QK97"/>
    <mergeCell ref="QL97:QM97"/>
    <mergeCell ref="QN97:QO97"/>
    <mergeCell ref="QP97:QQ97"/>
    <mergeCell ref="QR97:QS97"/>
    <mergeCell ref="QT97:QU97"/>
    <mergeCell ref="QV97:QW97"/>
    <mergeCell ref="QX97:QY97"/>
    <mergeCell ref="QZ97:RA97"/>
    <mergeCell ref="OF96:OG96"/>
    <mergeCell ref="OH96:OI96"/>
    <mergeCell ref="OJ96:OK96"/>
    <mergeCell ref="OL96:OM96"/>
    <mergeCell ref="ON96:OO96"/>
    <mergeCell ref="OP96:OQ96"/>
    <mergeCell ref="OR96:OS96"/>
    <mergeCell ref="OT96:OU96"/>
    <mergeCell ref="OV96:OW96"/>
    <mergeCell ref="OX96:OY96"/>
    <mergeCell ref="OZ96:PA96"/>
    <mergeCell ref="PB96:PC96"/>
    <mergeCell ref="PD96:PE96"/>
    <mergeCell ref="PF96:PG96"/>
    <mergeCell ref="OX97:OY97"/>
    <mergeCell ref="OZ97:PA97"/>
    <mergeCell ref="PB97:PC97"/>
    <mergeCell ref="NZ100:OA100"/>
    <mergeCell ref="OB100:OC100"/>
    <mergeCell ref="OD100:OE100"/>
    <mergeCell ref="OF100:OG100"/>
    <mergeCell ref="OH100:OI100"/>
    <mergeCell ref="ND97:NE97"/>
    <mergeCell ref="NF97:NG97"/>
    <mergeCell ref="LZ96:MA96"/>
    <mergeCell ref="MB96:MC96"/>
    <mergeCell ref="MD96:ME96"/>
    <mergeCell ref="MF96:MG96"/>
    <mergeCell ref="MH96:MI96"/>
    <mergeCell ref="MJ96:MK96"/>
    <mergeCell ref="ML96:MM96"/>
    <mergeCell ref="MN96:MO96"/>
    <mergeCell ref="MP96:MQ96"/>
    <mergeCell ref="MR96:MS96"/>
    <mergeCell ref="MT96:MU96"/>
    <mergeCell ref="MV96:MW96"/>
    <mergeCell ref="JL96:JM96"/>
    <mergeCell ref="JN96:JO96"/>
    <mergeCell ref="JP96:JQ96"/>
    <mergeCell ref="JR96:JS96"/>
    <mergeCell ref="JT96:JU96"/>
    <mergeCell ref="JV96:JW96"/>
    <mergeCell ref="JX96:JY96"/>
    <mergeCell ref="JZ96:KA96"/>
    <mergeCell ref="KB96:KC96"/>
    <mergeCell ref="KD96:KE96"/>
    <mergeCell ref="KF96:KG96"/>
    <mergeCell ref="KH96:KI96"/>
    <mergeCell ref="KJ96:KK96"/>
    <mergeCell ref="KL96:KM96"/>
    <mergeCell ref="KN96:KO96"/>
    <mergeCell ref="KP96:KQ96"/>
    <mergeCell ref="KR96:KS96"/>
    <mergeCell ref="KT96:KU96"/>
    <mergeCell ref="KV96:KW96"/>
    <mergeCell ref="NR97:NS97"/>
    <mergeCell ref="NT97:NU97"/>
    <mergeCell ref="NP96:NQ96"/>
    <mergeCell ref="NR96:NS96"/>
    <mergeCell ref="NT96:NU96"/>
    <mergeCell ref="NH97:NI97"/>
    <mergeCell ref="NJ97:NK97"/>
    <mergeCell ref="NL97:NM97"/>
    <mergeCell ref="NN97:NO97"/>
    <mergeCell ref="NP97:NQ97"/>
    <mergeCell ref="NH96:NI96"/>
    <mergeCell ref="NJ96:NK96"/>
    <mergeCell ref="NL96:NM96"/>
    <mergeCell ref="NN96:NO96"/>
    <mergeCell ref="MT97:MU97"/>
    <mergeCell ref="MV97:MW97"/>
    <mergeCell ref="MX97:MY97"/>
    <mergeCell ref="MX96:MY96"/>
    <mergeCell ref="MV100:MW100"/>
    <mergeCell ref="MX100:MY100"/>
    <mergeCell ref="MN100:MO100"/>
    <mergeCell ref="MP100:MQ100"/>
    <mergeCell ref="MX98:MY98"/>
    <mergeCell ref="MZ98:NA98"/>
    <mergeCell ref="NB98:NC98"/>
    <mergeCell ref="ND98:NE98"/>
    <mergeCell ref="IX96:IY96"/>
    <mergeCell ref="IZ96:JA96"/>
    <mergeCell ref="KX96:KY96"/>
    <mergeCell ref="KZ96:LA96"/>
    <mergeCell ref="LB96:LC96"/>
    <mergeCell ref="LD96:LE96"/>
    <mergeCell ref="LF96:LG96"/>
    <mergeCell ref="LH96:LI96"/>
    <mergeCell ref="HT96:HU96"/>
    <mergeCell ref="HV96:HW96"/>
    <mergeCell ref="HX96:HY96"/>
    <mergeCell ref="HZ96:IA96"/>
    <mergeCell ref="IB96:IC96"/>
    <mergeCell ref="ID96:IE96"/>
    <mergeCell ref="IF96:IG96"/>
    <mergeCell ref="IH96:II96"/>
    <mergeCell ref="IJ96:IK96"/>
    <mergeCell ref="IL96:IM96"/>
    <mergeCell ref="PT99:PU99"/>
    <mergeCell ref="PV99:PW99"/>
    <mergeCell ref="PX99:PY99"/>
    <mergeCell ref="PZ99:QA99"/>
    <mergeCell ref="QB99:QC99"/>
    <mergeCell ref="QD99:QE99"/>
    <mergeCell ref="QF99:QG99"/>
    <mergeCell ref="NZ99:OA99"/>
    <mergeCell ref="OB99:OC99"/>
    <mergeCell ref="OD99:OE99"/>
    <mergeCell ref="OF99:OG99"/>
    <mergeCell ref="OH99:OI99"/>
    <mergeCell ref="OJ99:OK99"/>
    <mergeCell ref="OL99:OM99"/>
    <mergeCell ref="ON99:OO99"/>
    <mergeCell ref="OP99:OQ99"/>
    <mergeCell ref="OR99:OS99"/>
    <mergeCell ref="OT99:OU99"/>
    <mergeCell ref="OV99:OW99"/>
    <mergeCell ref="OX99:OY99"/>
    <mergeCell ref="OZ99:PA99"/>
    <mergeCell ref="PB99:PC99"/>
    <mergeCell ref="PD99:PE99"/>
    <mergeCell ref="PF99:PG99"/>
    <mergeCell ref="PH99:PI99"/>
    <mergeCell ref="PJ99:PK99"/>
    <mergeCell ref="PL99:PM99"/>
    <mergeCell ref="PN99:PO99"/>
    <mergeCell ref="PP99:PQ99"/>
    <mergeCell ref="PR99:PS99"/>
    <mergeCell ref="PZ98:QA98"/>
    <mergeCell ref="QB98:QC98"/>
    <mergeCell ref="QD98:QE98"/>
    <mergeCell ref="QF98:QG98"/>
    <mergeCell ref="LH99:LI99"/>
    <mergeCell ref="LJ99:LK99"/>
    <mergeCell ref="LL99:LM99"/>
    <mergeCell ref="MF98:MG98"/>
    <mergeCell ref="MH98:MI98"/>
    <mergeCell ref="MJ98:MK98"/>
    <mergeCell ref="ML98:MM98"/>
    <mergeCell ref="MN98:MO98"/>
    <mergeCell ref="MP98:MQ98"/>
    <mergeCell ref="MR98:MS98"/>
    <mergeCell ref="MT98:MU98"/>
    <mergeCell ref="MV98:MW98"/>
    <mergeCell ref="QR99:QS99"/>
    <mergeCell ref="QT99:QU99"/>
    <mergeCell ref="QF102:QG102"/>
    <mergeCell ref="LH106:LI106"/>
    <mergeCell ref="HT97:HU97"/>
    <mergeCell ref="HV97:HW97"/>
    <mergeCell ref="HX97:HY97"/>
    <mergeCell ref="HZ97:IA97"/>
    <mergeCell ref="IB97:IC97"/>
    <mergeCell ref="ID97:IE97"/>
    <mergeCell ref="IF97:IG97"/>
    <mergeCell ref="IH97:II97"/>
    <mergeCell ref="IJ97:IK97"/>
    <mergeCell ref="IL97:IM97"/>
    <mergeCell ref="IN97:IO97"/>
    <mergeCell ref="IP97:IQ97"/>
    <mergeCell ref="IR97:IS97"/>
    <mergeCell ref="IT97:IU97"/>
    <mergeCell ref="IV97:IW97"/>
    <mergeCell ref="IX97:IY97"/>
    <mergeCell ref="JN97:JO97"/>
    <mergeCell ref="IX106:IY106"/>
    <mergeCell ref="IZ106:JA106"/>
    <mergeCell ref="JB106:JC106"/>
    <mergeCell ref="JD106:JE106"/>
    <mergeCell ref="JF106:JG106"/>
    <mergeCell ref="JH106:JI106"/>
    <mergeCell ref="JJ106:JK106"/>
    <mergeCell ref="JL106:JM106"/>
    <mergeCell ref="JN106:JO106"/>
    <mergeCell ref="JP106:JQ106"/>
    <mergeCell ref="JR106:JS106"/>
    <mergeCell ref="JT106:JU106"/>
    <mergeCell ref="JV106:JW106"/>
    <mergeCell ref="KL106:KM106"/>
    <mergeCell ref="KR106:KS106"/>
    <mergeCell ref="KT106:KU106"/>
    <mergeCell ref="KV106:KW106"/>
    <mergeCell ref="KX106:KY106"/>
    <mergeCell ref="KZ106:LA106"/>
    <mergeCell ref="JP97:JQ97"/>
    <mergeCell ref="JR97:JS97"/>
    <mergeCell ref="JT97:JU97"/>
    <mergeCell ref="JV97:JW97"/>
    <mergeCell ref="MZ97:NA97"/>
    <mergeCell ref="PB106:PC106"/>
    <mergeCell ref="PD106:PE106"/>
    <mergeCell ref="PF106:PG106"/>
    <mergeCell ref="PH106:PI106"/>
    <mergeCell ref="PJ106:PK106"/>
    <mergeCell ref="PL106:PM106"/>
    <mergeCell ref="PN106:PO106"/>
    <mergeCell ref="PP106:PQ106"/>
    <mergeCell ref="PR106:PS106"/>
    <mergeCell ref="NP99:NQ99"/>
    <mergeCell ref="NR99:NS99"/>
    <mergeCell ref="NT99:NU99"/>
    <mergeCell ref="NV99:NW99"/>
    <mergeCell ref="NX99:NY99"/>
    <mergeCell ref="KB99:KC99"/>
    <mergeCell ref="HV101:HW101"/>
    <mergeCell ref="HX101:HY101"/>
    <mergeCell ref="HZ101:IA101"/>
    <mergeCell ref="NR100:NS100"/>
    <mergeCell ref="NN106:NO106"/>
    <mergeCell ref="OD95:OE95"/>
    <mergeCell ref="OF95:OG95"/>
    <mergeCell ref="OH95:OI95"/>
    <mergeCell ref="PZ106:QA106"/>
    <mergeCell ref="QB106:QC106"/>
    <mergeCell ref="QD106:QE106"/>
    <mergeCell ref="QH102:QI102"/>
    <mergeCell ref="QJ102:QK102"/>
    <mergeCell ref="QL102:QM102"/>
    <mergeCell ref="QN102:QO102"/>
    <mergeCell ref="PL100:PM100"/>
    <mergeCell ref="PN100:PO100"/>
    <mergeCell ref="PP100:PQ100"/>
    <mergeCell ref="PR100:PS100"/>
    <mergeCell ref="PT100:PU100"/>
    <mergeCell ref="PV100:PW100"/>
    <mergeCell ref="PX100:PY100"/>
    <mergeCell ref="PZ100:QA100"/>
    <mergeCell ref="QB100:QC100"/>
    <mergeCell ref="OH97:OI97"/>
    <mergeCell ref="OJ97:OK97"/>
    <mergeCell ref="OL97:OM97"/>
    <mergeCell ref="ON97:OO97"/>
    <mergeCell ref="OP97:OQ97"/>
    <mergeCell ref="OR97:OS97"/>
    <mergeCell ref="OT97:OU97"/>
    <mergeCell ref="OV97:OW97"/>
    <mergeCell ref="PD97:PE97"/>
    <mergeCell ref="PF97:PG97"/>
    <mergeCell ref="PH97:PI97"/>
    <mergeCell ref="QD100:QE100"/>
    <mergeCell ref="QF100:QG100"/>
    <mergeCell ref="QH100:QI100"/>
    <mergeCell ref="QJ100:QK100"/>
    <mergeCell ref="QL100:QM100"/>
    <mergeCell ref="QH99:QI99"/>
    <mergeCell ref="QJ99:QK99"/>
    <mergeCell ref="QL99:QM99"/>
    <mergeCell ref="QN99:QO99"/>
    <mergeCell ref="NV96:NW96"/>
    <mergeCell ref="NX96:NY96"/>
    <mergeCell ref="NZ96:OA96"/>
    <mergeCell ref="OB96:OC96"/>
    <mergeCell ref="OD96:OE96"/>
    <mergeCell ref="PV96:PW96"/>
    <mergeCell ref="PX96:PY96"/>
    <mergeCell ref="PZ96:QA96"/>
    <mergeCell ref="QB96:QC96"/>
    <mergeCell ref="QD96:QE96"/>
    <mergeCell ref="QF96:QG96"/>
    <mergeCell ref="QH96:QI96"/>
    <mergeCell ref="QJ96:QK96"/>
    <mergeCell ref="QL96:QM96"/>
    <mergeCell ref="QN96:QO96"/>
    <mergeCell ref="QL101:QM101"/>
    <mergeCell ref="OP98:OQ98"/>
    <mergeCell ref="OR98:OS98"/>
    <mergeCell ref="OT98:OU98"/>
    <mergeCell ref="OV98:OW98"/>
    <mergeCell ref="OX98:OY98"/>
    <mergeCell ref="NT100:NU100"/>
    <mergeCell ref="NV100:NW100"/>
    <mergeCell ref="NX100:NY100"/>
    <mergeCell ref="QX95:QY95"/>
    <mergeCell ref="QZ95:RA95"/>
    <mergeCell ref="RB95:RC95"/>
    <mergeCell ref="GZ184:HA184"/>
    <mergeCell ref="HB184:HC184"/>
    <mergeCell ref="HD184:HE184"/>
    <mergeCell ref="HF184:HG184"/>
    <mergeCell ref="HH184:HI184"/>
    <mergeCell ref="HJ184:HK184"/>
    <mergeCell ref="HL184:HM184"/>
    <mergeCell ref="HN184:HO184"/>
    <mergeCell ref="HP184:HQ184"/>
    <mergeCell ref="HR184:HS184"/>
    <mergeCell ref="HT184:HU184"/>
    <mergeCell ref="HV184:HW184"/>
    <mergeCell ref="IX184:IY184"/>
    <mergeCell ref="IZ184:JA184"/>
    <mergeCell ref="JB184:JC184"/>
    <mergeCell ref="JD184:JE184"/>
    <mergeCell ref="JF184:JG184"/>
    <mergeCell ref="JH184:JI184"/>
    <mergeCell ref="JJ184:JK184"/>
    <mergeCell ref="JL184:JM184"/>
    <mergeCell ref="JN184:JO184"/>
    <mergeCell ref="JP184:JQ184"/>
    <mergeCell ref="JR184:JS184"/>
    <mergeCell ref="JT184:JU184"/>
    <mergeCell ref="JV184:JW184"/>
    <mergeCell ref="JX184:JY184"/>
    <mergeCell ref="JZ184:KA184"/>
    <mergeCell ref="KB184:KC184"/>
    <mergeCell ref="KD184:KE184"/>
    <mergeCell ref="KF184:KG184"/>
    <mergeCell ref="KH184:KI184"/>
    <mergeCell ref="KJ184:KK184"/>
    <mergeCell ref="KL184:KM184"/>
    <mergeCell ref="QV184:QW184"/>
    <mergeCell ref="QX184:QY184"/>
    <mergeCell ref="OT106:OU106"/>
    <mergeCell ref="OV106:OW106"/>
    <mergeCell ref="QF106:QG106"/>
    <mergeCell ref="QH106:QI106"/>
    <mergeCell ref="QJ106:QK106"/>
    <mergeCell ref="QL106:QM106"/>
    <mergeCell ref="QN106:QO106"/>
    <mergeCell ref="QP106:QQ106"/>
    <mergeCell ref="IX95:IY95"/>
    <mergeCell ref="IZ95:JA95"/>
    <mergeCell ref="JB95:JC95"/>
    <mergeCell ref="JD95:JE95"/>
    <mergeCell ref="JF95:JG95"/>
    <mergeCell ref="JH95:JI95"/>
    <mergeCell ref="JJ95:JK95"/>
    <mergeCell ref="JN95:JO95"/>
    <mergeCell ref="JP95:JQ95"/>
    <mergeCell ref="JR95:JS95"/>
    <mergeCell ref="JT95:JU95"/>
    <mergeCell ref="JV95:JW95"/>
    <mergeCell ref="JX95:JY95"/>
    <mergeCell ref="JZ95:KA95"/>
    <mergeCell ref="KB95:KC95"/>
    <mergeCell ref="KD95:KE95"/>
    <mergeCell ref="KF95:KG95"/>
    <mergeCell ref="OJ100:OK100"/>
    <mergeCell ref="KH95:KI95"/>
    <mergeCell ref="KJ95:KK95"/>
    <mergeCell ref="KL95:KM95"/>
    <mergeCell ref="KN95:KO95"/>
    <mergeCell ref="KP95:KQ95"/>
    <mergeCell ref="KR95:KS95"/>
    <mergeCell ref="KT95:KU95"/>
    <mergeCell ref="KV95:KW95"/>
    <mergeCell ref="KX95:KY95"/>
    <mergeCell ref="KZ95:LA95"/>
    <mergeCell ref="LB95:LC95"/>
    <mergeCell ref="LD95:LE95"/>
    <mergeCell ref="LF95:LG95"/>
    <mergeCell ref="LH95:LI95"/>
    <mergeCell ref="LJ95:LK95"/>
    <mergeCell ref="LL95:LM95"/>
    <mergeCell ref="LN95:LO95"/>
    <mergeCell ref="LP95:LQ95"/>
    <mergeCell ref="LR95:LS95"/>
    <mergeCell ref="LT95:LU95"/>
    <mergeCell ref="LV95:LW95"/>
    <mergeCell ref="LX95:LY95"/>
    <mergeCell ref="LZ95:MA95"/>
    <mergeCell ref="MB95:MC95"/>
    <mergeCell ref="MD95:ME95"/>
    <mergeCell ref="MF95:MG95"/>
    <mergeCell ref="MH95:MI95"/>
    <mergeCell ref="MJ95:MK95"/>
    <mergeCell ref="ML95:MM95"/>
    <mergeCell ref="MN95:MO95"/>
    <mergeCell ref="MP95:MQ95"/>
    <mergeCell ref="MR95:MS95"/>
    <mergeCell ref="JX106:JY106"/>
    <mergeCell ref="JZ106:KA106"/>
    <mergeCell ref="KB106:KC106"/>
    <mergeCell ref="KD106:KE106"/>
    <mergeCell ref="KF106:KG106"/>
    <mergeCell ref="KH106:KI106"/>
    <mergeCell ref="KJ106:KK106"/>
    <mergeCell ref="MJ106:MK106"/>
    <mergeCell ref="ML106:MM106"/>
    <mergeCell ref="MN106:MO106"/>
    <mergeCell ref="MP106:MQ106"/>
    <mergeCell ref="MR106:MS106"/>
    <mergeCell ref="KN106:KO106"/>
    <mergeCell ref="KP106:KQ106"/>
    <mergeCell ref="LB106:LC106"/>
    <mergeCell ref="LD106:LE106"/>
    <mergeCell ref="LF106:LG106"/>
    <mergeCell ref="MF97:MG97"/>
    <mergeCell ref="MH97:MI97"/>
    <mergeCell ref="MJ97:MK97"/>
    <mergeCell ref="ML97:MM97"/>
    <mergeCell ref="MN97:MO97"/>
    <mergeCell ref="MP97:MQ97"/>
    <mergeCell ref="MR97:MS97"/>
    <mergeCell ref="LJ96:LK96"/>
    <mergeCell ref="LL96:LM96"/>
    <mergeCell ref="LN96:LO96"/>
    <mergeCell ref="LP96:LQ96"/>
    <mergeCell ref="LR96:LS96"/>
    <mergeCell ref="LT96:LU96"/>
    <mergeCell ref="LV96:LW96"/>
    <mergeCell ref="LX96:LY96"/>
    <mergeCell ref="RB195:RC195"/>
    <mergeCell ref="MR195:MS195"/>
    <mergeCell ref="MT195:MU195"/>
    <mergeCell ref="MV195:MW195"/>
    <mergeCell ref="MX195:MY195"/>
    <mergeCell ref="MZ195:NA195"/>
    <mergeCell ref="NB195:NC195"/>
    <mergeCell ref="ND195:NE195"/>
    <mergeCell ref="NF195:NG195"/>
    <mergeCell ref="NH195:NI195"/>
    <mergeCell ref="NJ195:NK195"/>
    <mergeCell ref="NL195:NM195"/>
    <mergeCell ref="NN195:NO195"/>
    <mergeCell ref="NP195:NQ195"/>
    <mergeCell ref="NR195:NS195"/>
    <mergeCell ref="NT195:NU195"/>
    <mergeCell ref="NV195:NW195"/>
    <mergeCell ref="NX195:NY195"/>
    <mergeCell ref="NZ195:OA195"/>
    <mergeCell ref="OB195:OC195"/>
    <mergeCell ref="OD195:OE195"/>
    <mergeCell ref="OF195:OG195"/>
    <mergeCell ref="OH195:OI195"/>
    <mergeCell ref="OJ195:OK195"/>
    <mergeCell ref="OL195:OM195"/>
    <mergeCell ref="ON195:OO195"/>
    <mergeCell ref="OP195:OQ195"/>
    <mergeCell ref="OR195:OS195"/>
    <mergeCell ref="OT195:OU195"/>
    <mergeCell ref="OV195:OW195"/>
    <mergeCell ref="OX195:OY195"/>
    <mergeCell ref="OZ195:PA195"/>
    <mergeCell ref="PB195:PC195"/>
    <mergeCell ref="QR195:QS195"/>
    <mergeCell ref="QT195:QU195"/>
    <mergeCell ref="QJ195:QK195"/>
    <mergeCell ref="QL195:QM195"/>
    <mergeCell ref="QN195:QO195"/>
    <mergeCell ref="QP195:QQ195"/>
    <mergeCell ref="PH195:PI195"/>
    <mergeCell ref="PJ195:PK195"/>
    <mergeCell ref="PL195:PM195"/>
    <mergeCell ref="PN195:PO195"/>
    <mergeCell ref="QF195:QG195"/>
    <mergeCell ref="QH195:QI195"/>
    <mergeCell ref="QX106:QY106"/>
    <mergeCell ref="QZ106:RA106"/>
    <mergeCell ref="RB106:RC106"/>
    <mergeCell ref="NH99:NI99"/>
    <mergeCell ref="NJ99:NK99"/>
    <mergeCell ref="MT106:MU106"/>
    <mergeCell ref="MV106:MW106"/>
    <mergeCell ref="ND100:NE100"/>
    <mergeCell ref="NF100:NG100"/>
    <mergeCell ref="NH100:NI100"/>
    <mergeCell ref="NJ100:NK100"/>
    <mergeCell ref="NL100:NM100"/>
    <mergeCell ref="QZ184:RA184"/>
    <mergeCell ref="RB184:RC184"/>
    <mergeCell ref="QR106:QS106"/>
    <mergeCell ref="QT106:QU106"/>
    <mergeCell ref="OH106:OI106"/>
    <mergeCell ref="OJ106:OK106"/>
    <mergeCell ref="F195:G195"/>
    <mergeCell ref="FF195:FG195"/>
    <mergeCell ref="FH195:FI195"/>
    <mergeCell ref="FJ195:FK195"/>
    <mergeCell ref="FL195:FM195"/>
    <mergeCell ref="FN195:FO195"/>
    <mergeCell ref="FP195:FQ195"/>
    <mergeCell ref="FR195:FS195"/>
    <mergeCell ref="FT195:FU195"/>
    <mergeCell ref="FV195:FW195"/>
    <mergeCell ref="FX195:FY195"/>
    <mergeCell ref="FZ195:GA195"/>
    <mergeCell ref="GB195:GC195"/>
    <mergeCell ref="GD195:GE195"/>
    <mergeCell ref="GF195:GG195"/>
    <mergeCell ref="GH195:GI195"/>
    <mergeCell ref="GJ195:GK195"/>
    <mergeCell ref="GL195:GM195"/>
    <mergeCell ref="GN195:GO195"/>
    <mergeCell ref="GP195:GQ195"/>
    <mergeCell ref="GR195:GS195"/>
    <mergeCell ref="GT195:GU195"/>
    <mergeCell ref="GV195:GW195"/>
    <mergeCell ref="GX195:GY195"/>
    <mergeCell ref="GZ195:HA195"/>
    <mergeCell ref="HB195:HC195"/>
    <mergeCell ref="HD195:HE195"/>
    <mergeCell ref="HF195:HG195"/>
    <mergeCell ref="HH195:HI195"/>
    <mergeCell ref="HJ195:HK195"/>
    <mergeCell ref="HL195:HM195"/>
    <mergeCell ref="HN195:HO195"/>
    <mergeCell ref="HP195:HQ195"/>
    <mergeCell ref="LJ106:LK106"/>
    <mergeCell ref="LL106:LM106"/>
    <mergeCell ref="LN106:LO106"/>
    <mergeCell ref="LP106:LQ106"/>
    <mergeCell ref="LR106:LS106"/>
    <mergeCell ref="LT106:LU106"/>
    <mergeCell ref="LV106:LW106"/>
    <mergeCell ref="LX106:LY106"/>
    <mergeCell ref="LZ106:MA106"/>
    <mergeCell ref="MB106:MC106"/>
    <mergeCell ref="MD106:ME106"/>
    <mergeCell ref="MF106:MG106"/>
    <mergeCell ref="MH106:MI106"/>
    <mergeCell ref="NF98:NG98"/>
    <mergeCell ref="NH98:NI98"/>
    <mergeCell ref="NJ98:NK98"/>
    <mergeCell ref="NL98:NM98"/>
    <mergeCell ref="MN103:MO103"/>
    <mergeCell ref="MP103:MQ103"/>
    <mergeCell ref="MR103:MS103"/>
    <mergeCell ref="MT103:MU103"/>
    <mergeCell ref="MV103:MW103"/>
    <mergeCell ref="MX103:MY103"/>
    <mergeCell ref="MZ103:NA103"/>
    <mergeCell ref="NB103:NC103"/>
    <mergeCell ref="ND103:NE103"/>
    <mergeCell ref="NF103:NG103"/>
    <mergeCell ref="NH103:NI103"/>
    <mergeCell ref="NJ103:NK103"/>
    <mergeCell ref="NL103:NM103"/>
    <mergeCell ref="MX101:MY101"/>
    <mergeCell ref="MZ101:NA101"/>
    <mergeCell ref="NB101:NC101"/>
    <mergeCell ref="ND101:NE101"/>
    <mergeCell ref="NF101:NG101"/>
    <mergeCell ref="NH101:NI101"/>
    <mergeCell ref="NJ101:NK101"/>
    <mergeCell ref="NL101:NM101"/>
    <mergeCell ref="MP102:MQ102"/>
    <mergeCell ref="QT102:QU102"/>
    <mergeCell ref="QV102:QW102"/>
    <mergeCell ref="OJ102:OK102"/>
    <mergeCell ref="OL102:OM102"/>
    <mergeCell ref="ON102:OO102"/>
    <mergeCell ref="OP102:OQ102"/>
    <mergeCell ref="OR102:OS102"/>
    <mergeCell ref="OT102:OU102"/>
    <mergeCell ref="OV102:OW102"/>
    <mergeCell ref="OX102:OY102"/>
    <mergeCell ref="OZ102:PA102"/>
    <mergeCell ref="PB102:PC102"/>
    <mergeCell ref="PD102:PE102"/>
    <mergeCell ref="PF102:PG102"/>
    <mergeCell ref="PH102:PI102"/>
    <mergeCell ref="PJ102:PK102"/>
    <mergeCell ref="PL102:PM102"/>
    <mergeCell ref="PN102:PO102"/>
    <mergeCell ref="PP102:PQ102"/>
    <mergeCell ref="PR102:PS102"/>
    <mergeCell ref="PT102:PU102"/>
    <mergeCell ref="PV102:PW102"/>
    <mergeCell ref="PX102:PY102"/>
    <mergeCell ref="PZ102:QA102"/>
    <mergeCell ref="QB102:QC102"/>
    <mergeCell ref="QD102:QE102"/>
    <mergeCell ref="QR98:QS98"/>
    <mergeCell ref="QT98:QU98"/>
    <mergeCell ref="QV98:QW98"/>
    <mergeCell ref="PD103:PE103"/>
    <mergeCell ref="PF103:PG103"/>
    <mergeCell ref="PH103:PI103"/>
    <mergeCell ref="PJ103:PK103"/>
    <mergeCell ref="PL103:PM103"/>
    <mergeCell ref="PN103:PO103"/>
    <mergeCell ref="PP103:PQ103"/>
    <mergeCell ref="PR103:PS103"/>
    <mergeCell ref="PT103:PU103"/>
    <mergeCell ref="PB94:PC94"/>
    <mergeCell ref="PD94:PE94"/>
    <mergeCell ref="PF94:PG94"/>
    <mergeCell ref="PH94:PI94"/>
    <mergeCell ref="PJ94:PK94"/>
    <mergeCell ref="PL94:PM94"/>
    <mergeCell ref="QP95:QQ95"/>
    <mergeCell ref="PH96:PI96"/>
    <mergeCell ref="PJ96:PK96"/>
    <mergeCell ref="PL96:PM96"/>
    <mergeCell ref="PN96:PO96"/>
    <mergeCell ref="PP96:PQ96"/>
    <mergeCell ref="PR96:PS96"/>
    <mergeCell ref="PT96:PU96"/>
    <mergeCell ref="OL100:OM100"/>
    <mergeCell ref="ON100:OO100"/>
    <mergeCell ref="OP100:OQ100"/>
    <mergeCell ref="OR100:OS100"/>
    <mergeCell ref="OT100:OU100"/>
    <mergeCell ref="OV100:OW100"/>
    <mergeCell ref="OX100:OY100"/>
    <mergeCell ref="OZ100:PA100"/>
    <mergeCell ref="PJ95:PK95"/>
    <mergeCell ref="PL95:PM95"/>
    <mergeCell ref="PN95:PO95"/>
    <mergeCell ref="PP95:PQ95"/>
    <mergeCell ref="PR95:PS95"/>
    <mergeCell ref="PT95:PU95"/>
    <mergeCell ref="PV95:PW95"/>
    <mergeCell ref="PX95:PY95"/>
    <mergeCell ref="PZ95:QA95"/>
    <mergeCell ref="QB95:QC95"/>
    <mergeCell ref="QD95:QE95"/>
    <mergeCell ref="QF95:QG95"/>
    <mergeCell ref="QH95:QI95"/>
    <mergeCell ref="QJ95:QK95"/>
    <mergeCell ref="QL95:QM95"/>
    <mergeCell ref="QN95:QO95"/>
    <mergeCell ref="QH98:QI98"/>
    <mergeCell ref="QJ98:QK98"/>
    <mergeCell ref="QL98:QM98"/>
    <mergeCell ref="QN98:QO98"/>
    <mergeCell ref="QP98:QQ98"/>
    <mergeCell ref="PD95:PE95"/>
    <mergeCell ref="PF95:PG95"/>
    <mergeCell ref="PH95:PI95"/>
    <mergeCell ref="QP99:QQ99"/>
    <mergeCell ref="QP96:QQ96"/>
    <mergeCell ref="MX106:MY106"/>
    <mergeCell ref="MZ106:NA106"/>
    <mergeCell ref="NB106:NC106"/>
    <mergeCell ref="ND106:NE106"/>
    <mergeCell ref="NP106:NQ106"/>
    <mergeCell ref="NR106:NS106"/>
    <mergeCell ref="NT106:NU106"/>
    <mergeCell ref="NV106:NW106"/>
    <mergeCell ref="NX106:NY106"/>
    <mergeCell ref="NZ106:OA106"/>
    <mergeCell ref="OB106:OC106"/>
    <mergeCell ref="OD106:OE106"/>
    <mergeCell ref="OF106:OG106"/>
    <mergeCell ref="MT95:MU95"/>
    <mergeCell ref="MV95:MW95"/>
    <mergeCell ref="MX95:MY95"/>
    <mergeCell ref="MZ95:NA95"/>
    <mergeCell ref="NB95:NC95"/>
    <mergeCell ref="ND95:NE95"/>
    <mergeCell ref="NF95:NG95"/>
    <mergeCell ref="NH95:NI95"/>
    <mergeCell ref="NJ95:NK95"/>
    <mergeCell ref="NL95:NM95"/>
    <mergeCell ref="NN95:NO95"/>
    <mergeCell ref="NP95:NQ95"/>
    <mergeCell ref="NR95:NS95"/>
    <mergeCell ref="NT95:NU95"/>
    <mergeCell ref="NV95:NW95"/>
    <mergeCell ref="NX95:NY95"/>
    <mergeCell ref="NZ95:OA95"/>
    <mergeCell ref="OB95:OC95"/>
    <mergeCell ref="OJ95:OK95"/>
    <mergeCell ref="OL95:OM95"/>
    <mergeCell ref="NB97:NC97"/>
    <mergeCell ref="MZ96:NA96"/>
    <mergeCell ref="NB96:NC96"/>
    <mergeCell ref="ND96:NE96"/>
    <mergeCell ref="NF96:NG96"/>
    <mergeCell ref="MV99:MW99"/>
    <mergeCell ref="MX99:MY99"/>
    <mergeCell ref="MZ99:NA99"/>
    <mergeCell ref="NL99:NM99"/>
    <mergeCell ref="NF106:NG106"/>
    <mergeCell ref="NH106:NI106"/>
    <mergeCell ref="NJ106:NK106"/>
    <mergeCell ref="NL106:NM106"/>
    <mergeCell ref="NB99:NC99"/>
    <mergeCell ref="ND99:NE99"/>
    <mergeCell ref="NF99:NG99"/>
    <mergeCell ref="MZ100:NA100"/>
    <mergeCell ref="NB100:NC100"/>
    <mergeCell ref="NF102:NG102"/>
    <mergeCell ref="NH102:NI102"/>
    <mergeCell ref="NJ102:NK102"/>
    <mergeCell ref="NL102:NM102"/>
    <mergeCell ref="NN102:NO102"/>
    <mergeCell ref="NP102:NQ102"/>
    <mergeCell ref="NR102:NS102"/>
    <mergeCell ref="NT102:NU102"/>
    <mergeCell ref="NV102:NW102"/>
    <mergeCell ref="NX102:NY102"/>
    <mergeCell ref="NZ102:OA102"/>
    <mergeCell ref="NV103:NW103"/>
    <mergeCell ref="NX103:NY103"/>
    <mergeCell ref="NJ94:NK94"/>
    <mergeCell ref="NL94:NM94"/>
    <mergeCell ref="NN94:NO94"/>
    <mergeCell ref="NP94:NQ94"/>
    <mergeCell ref="NR94:NS94"/>
    <mergeCell ref="NT94:NU94"/>
    <mergeCell ref="NV94:NW94"/>
    <mergeCell ref="NX94:NY94"/>
    <mergeCell ref="NZ94:OA94"/>
    <mergeCell ref="OB94:OC94"/>
    <mergeCell ref="OD94:OE94"/>
    <mergeCell ref="OF94:OG94"/>
    <mergeCell ref="OH94:OI94"/>
    <mergeCell ref="NN99:NO99"/>
    <mergeCell ref="QV106:QW106"/>
    <mergeCell ref="QR95:QS95"/>
    <mergeCell ref="QT95:QU95"/>
    <mergeCell ref="QV95:QW95"/>
    <mergeCell ref="OL106:OM106"/>
    <mergeCell ref="ON106:OO106"/>
    <mergeCell ref="OX95:OY95"/>
    <mergeCell ref="OZ95:PA95"/>
    <mergeCell ref="PB95:PC95"/>
    <mergeCell ref="OP106:OQ106"/>
    <mergeCell ref="OR106:OS106"/>
    <mergeCell ref="PT106:PU106"/>
    <mergeCell ref="PV106:PW106"/>
    <mergeCell ref="PX106:PY106"/>
    <mergeCell ref="OR94:OS94"/>
    <mergeCell ref="OT94:OU94"/>
    <mergeCell ref="OV94:OW94"/>
    <mergeCell ref="OX94:OY94"/>
    <mergeCell ref="OZ94:PA94"/>
    <mergeCell ref="ON95:OO95"/>
    <mergeCell ref="OP95:OQ95"/>
    <mergeCell ref="OR95:OS95"/>
    <mergeCell ref="OT95:OU95"/>
    <mergeCell ref="OV95:OW95"/>
    <mergeCell ref="OX106:OY106"/>
    <mergeCell ref="OZ106:PA106"/>
    <mergeCell ref="PN94:PO94"/>
    <mergeCell ref="PP94:PQ94"/>
    <mergeCell ref="PR94:PS94"/>
    <mergeCell ref="PT94:PU94"/>
    <mergeCell ref="PV94:PW94"/>
    <mergeCell ref="PX94:PY94"/>
    <mergeCell ref="PZ94:QA94"/>
    <mergeCell ref="QB94:QC94"/>
    <mergeCell ref="QD94:QE94"/>
    <mergeCell ref="QF94:QG94"/>
    <mergeCell ref="QH94:QI94"/>
    <mergeCell ref="QJ94:QK94"/>
    <mergeCell ref="QL94:QM94"/>
    <mergeCell ref="QN94:QO94"/>
    <mergeCell ref="QP94:QQ94"/>
    <mergeCell ref="QR94:QS94"/>
    <mergeCell ref="QT94:QU94"/>
    <mergeCell ref="QV94:QW94"/>
    <mergeCell ref="OJ94:OK94"/>
    <mergeCell ref="OL94:OM94"/>
    <mergeCell ref="ON94:OO94"/>
    <mergeCell ref="OP94:OQ94"/>
    <mergeCell ref="QP102:QQ102"/>
    <mergeCell ref="QR102:QS102"/>
    <mergeCell ref="LF94:LG94"/>
    <mergeCell ref="LH94:LI94"/>
    <mergeCell ref="LJ94:LK94"/>
    <mergeCell ref="LL94:LM94"/>
    <mergeCell ref="LN94:LO94"/>
    <mergeCell ref="LP94:LQ94"/>
    <mergeCell ref="LR94:LS94"/>
    <mergeCell ref="LT94:LU94"/>
    <mergeCell ref="LV94:LW94"/>
    <mergeCell ref="JL94:JM94"/>
    <mergeCell ref="JF94:JG94"/>
    <mergeCell ref="JH94:JI94"/>
    <mergeCell ref="JB94:JC94"/>
    <mergeCell ref="JD94:JE94"/>
    <mergeCell ref="NV97:NW97"/>
    <mergeCell ref="NX97:NY97"/>
    <mergeCell ref="NZ97:OA97"/>
    <mergeCell ref="OB97:OC97"/>
    <mergeCell ref="OD97:OE97"/>
    <mergeCell ref="OF97:OG97"/>
    <mergeCell ref="QX94:QY94"/>
    <mergeCell ref="QZ94:RA94"/>
    <mergeCell ref="RB94:RC94"/>
    <mergeCell ref="IX183:IY183"/>
    <mergeCell ref="IZ183:JA183"/>
    <mergeCell ref="JB183:JC183"/>
    <mergeCell ref="JD183:JE183"/>
    <mergeCell ref="JF183:JG183"/>
    <mergeCell ref="JN183:JO183"/>
    <mergeCell ref="JP183:JQ183"/>
    <mergeCell ref="JR183:JS183"/>
    <mergeCell ref="JT183:JU183"/>
    <mergeCell ref="JV183:JW183"/>
    <mergeCell ref="JX183:JY183"/>
    <mergeCell ref="JZ183:KA183"/>
    <mergeCell ref="KB183:KC183"/>
    <mergeCell ref="KD183:KE183"/>
    <mergeCell ref="MB183:MC183"/>
    <mergeCell ref="OR183:OS183"/>
    <mergeCell ref="OT183:OU183"/>
    <mergeCell ref="OV183:OW183"/>
    <mergeCell ref="OX183:OY183"/>
    <mergeCell ref="OZ183:PA183"/>
    <mergeCell ref="PB183:PC183"/>
    <mergeCell ref="PD183:PE183"/>
    <mergeCell ref="PF183:PG183"/>
    <mergeCell ref="PH183:PI183"/>
    <mergeCell ref="PJ183:PK183"/>
    <mergeCell ref="PL183:PM183"/>
    <mergeCell ref="PN183:PO183"/>
    <mergeCell ref="QX183:QY183"/>
    <mergeCell ref="RB183:RC183"/>
    <mergeCell ref="MD183:ME183"/>
    <mergeCell ref="MF183:MG183"/>
    <mergeCell ref="MH183:MI183"/>
    <mergeCell ref="MD94:ME94"/>
    <mergeCell ref="MF94:MG94"/>
    <mergeCell ref="MH94:MI94"/>
    <mergeCell ref="MJ94:MK94"/>
    <mergeCell ref="MZ94:NA94"/>
    <mergeCell ref="NB94:NC94"/>
    <mergeCell ref="ND94:NE94"/>
    <mergeCell ref="NF94:NG94"/>
    <mergeCell ref="NH94:NI94"/>
    <mergeCell ref="QX102:QY102"/>
    <mergeCell ref="QZ102:RA102"/>
    <mergeCell ref="RB102:RC102"/>
    <mergeCell ref="F191:G191"/>
    <mergeCell ref="FF191:FG191"/>
    <mergeCell ref="FH191:FI191"/>
    <mergeCell ref="FJ191:FK191"/>
    <mergeCell ref="FL191:FM191"/>
    <mergeCell ref="FN191:FO191"/>
    <mergeCell ref="FP191:FQ191"/>
    <mergeCell ref="FR191:FS191"/>
    <mergeCell ref="FT191:FU191"/>
    <mergeCell ref="FV191:FW191"/>
    <mergeCell ref="FX191:FY191"/>
    <mergeCell ref="FZ191:GA191"/>
    <mergeCell ref="GB191:GC191"/>
    <mergeCell ref="GD191:GE191"/>
    <mergeCell ref="GF191:GG191"/>
    <mergeCell ref="GH191:GI191"/>
    <mergeCell ref="GJ191:GK191"/>
    <mergeCell ref="GL191:GM191"/>
    <mergeCell ref="GN191:GO191"/>
    <mergeCell ref="GP191:GQ191"/>
    <mergeCell ref="GR191:GS191"/>
    <mergeCell ref="GT191:GU191"/>
    <mergeCell ref="GV191:GW191"/>
    <mergeCell ref="GX191:GY191"/>
    <mergeCell ref="GZ191:HA191"/>
    <mergeCell ref="HB191:HC191"/>
    <mergeCell ref="HD191:HE191"/>
    <mergeCell ref="HF191:HG191"/>
    <mergeCell ref="HH191:HI191"/>
    <mergeCell ref="HJ191:HK191"/>
    <mergeCell ref="HL191:HM191"/>
    <mergeCell ref="HN191:HO191"/>
    <mergeCell ref="HP191:HQ191"/>
    <mergeCell ref="JF191:JG191"/>
    <mergeCell ref="JN191:JO191"/>
    <mergeCell ref="JP191:JQ191"/>
    <mergeCell ref="JR191:JS191"/>
    <mergeCell ref="JT191:JU191"/>
    <mergeCell ref="JV191:JW191"/>
    <mergeCell ref="JX191:JY191"/>
    <mergeCell ref="JZ191:KA191"/>
    <mergeCell ref="KB191:KC191"/>
    <mergeCell ref="KD191:KE191"/>
    <mergeCell ref="KF191:KG191"/>
    <mergeCell ref="KH191:KI191"/>
    <mergeCell ref="KJ191:KK191"/>
    <mergeCell ref="QX191:QY191"/>
    <mergeCell ref="QZ191:RA191"/>
    <mergeCell ref="RB191:RC191"/>
    <mergeCell ref="MJ183:MK183"/>
    <mergeCell ref="ML183:MM183"/>
    <mergeCell ref="MN183:MO183"/>
    <mergeCell ref="MP183:MQ183"/>
    <mergeCell ref="MR183:MS183"/>
    <mergeCell ref="MT183:MU183"/>
    <mergeCell ref="MV183:MW183"/>
    <mergeCell ref="MX183:MY183"/>
    <mergeCell ref="OB102:OC102"/>
    <mergeCell ref="OD102:OE102"/>
    <mergeCell ref="OF102:OG102"/>
    <mergeCell ref="OH102:OI102"/>
    <mergeCell ref="JN185:JO185"/>
    <mergeCell ref="JP185:JQ185"/>
    <mergeCell ref="JR185:JS185"/>
    <mergeCell ref="JT185:JU185"/>
    <mergeCell ref="JV185:JW185"/>
    <mergeCell ref="JX185:JY185"/>
    <mergeCell ref="JZ185:KA185"/>
    <mergeCell ref="KB185:KC185"/>
    <mergeCell ref="KD185:KE185"/>
    <mergeCell ref="KF185:KG185"/>
    <mergeCell ref="KH185:KI185"/>
    <mergeCell ref="KJ185:KK185"/>
    <mergeCell ref="KL185:KM185"/>
    <mergeCell ref="KN185:KO185"/>
    <mergeCell ref="KP185:KQ185"/>
    <mergeCell ref="KR185:KS185"/>
    <mergeCell ref="KT185:KU185"/>
    <mergeCell ref="KV185:KW185"/>
    <mergeCell ref="KX185:KY185"/>
    <mergeCell ref="MB185:MC185"/>
    <mergeCell ref="MD185:ME185"/>
    <mergeCell ref="MF185:MG185"/>
    <mergeCell ref="MH185:MI185"/>
    <mergeCell ref="MP185:MQ185"/>
    <mergeCell ref="JP181:JQ181"/>
    <mergeCell ref="LN179:LO179"/>
    <mergeCell ref="KH178:KI178"/>
    <mergeCell ref="KJ178:KK178"/>
    <mergeCell ref="KL178:KM178"/>
    <mergeCell ref="LF178:LG178"/>
    <mergeCell ref="LH178:LI178"/>
    <mergeCell ref="JR178:JS178"/>
    <mergeCell ref="KB178:KC178"/>
    <mergeCell ref="KV178:KW178"/>
    <mergeCell ref="MP180:MQ180"/>
    <mergeCell ref="JP182:JQ182"/>
    <mergeCell ref="JR182:JS182"/>
    <mergeCell ref="JT182:JU182"/>
    <mergeCell ref="JV182:JW182"/>
    <mergeCell ref="JX182:JY182"/>
    <mergeCell ref="JZ182:KA182"/>
    <mergeCell ref="KB182:KC182"/>
    <mergeCell ref="KD182:KE182"/>
    <mergeCell ref="KF182:KG182"/>
    <mergeCell ref="KH182:KI182"/>
    <mergeCell ref="KJ182:KK182"/>
    <mergeCell ref="KL182:KM182"/>
    <mergeCell ref="KN182:KO182"/>
    <mergeCell ref="KP182:KQ182"/>
    <mergeCell ref="KR182:KS182"/>
    <mergeCell ref="KT182:KU182"/>
    <mergeCell ref="KV182:KW182"/>
    <mergeCell ref="KX182:KY182"/>
    <mergeCell ref="LV180:LW180"/>
    <mergeCell ref="LX180:LY180"/>
    <mergeCell ref="LZ180:MA180"/>
    <mergeCell ref="KF176:KG176"/>
    <mergeCell ref="KH176:KI176"/>
    <mergeCell ref="KJ176:KK176"/>
    <mergeCell ref="LR99:LS99"/>
    <mergeCell ref="LT99:LU99"/>
    <mergeCell ref="LV99:LW99"/>
    <mergeCell ref="LX99:LY99"/>
    <mergeCell ref="LZ99:MA99"/>
    <mergeCell ref="MB99:MC99"/>
    <mergeCell ref="MD99:ME99"/>
    <mergeCell ref="MF99:MG99"/>
    <mergeCell ref="MH99:MI99"/>
    <mergeCell ref="MJ99:MK99"/>
    <mergeCell ref="ML99:MM99"/>
    <mergeCell ref="MN99:MO99"/>
    <mergeCell ref="MP99:MQ99"/>
    <mergeCell ref="MR99:MS99"/>
    <mergeCell ref="MT99:MU99"/>
    <mergeCell ref="JZ181:KA181"/>
    <mergeCell ref="ML182:MM182"/>
    <mergeCell ref="MN182:MO182"/>
    <mergeCell ref="MP182:MQ182"/>
    <mergeCell ref="LP179:LQ179"/>
    <mergeCell ref="KL176:KM176"/>
    <mergeCell ref="LJ185:LK185"/>
    <mergeCell ref="LL185:LM185"/>
    <mergeCell ref="LN184:LO184"/>
    <mergeCell ref="LP184:LQ184"/>
    <mergeCell ref="LR184:LS184"/>
    <mergeCell ref="LT184:LU184"/>
    <mergeCell ref="LV184:LW184"/>
    <mergeCell ref="LX184:LY184"/>
    <mergeCell ref="LZ184:MA184"/>
    <mergeCell ref="MB184:MC184"/>
    <mergeCell ref="MD184:ME184"/>
    <mergeCell ref="MF184:MG184"/>
    <mergeCell ref="MH184:MI184"/>
    <mergeCell ref="MJ184:MK184"/>
    <mergeCell ref="ML184:MM184"/>
    <mergeCell ref="MN184:MO184"/>
    <mergeCell ref="MP184:MQ184"/>
    <mergeCell ref="LN183:LO183"/>
    <mergeCell ref="LP183:LQ183"/>
    <mergeCell ref="LR183:LS183"/>
    <mergeCell ref="LT183:LU183"/>
    <mergeCell ref="LV183:LW183"/>
    <mergeCell ref="LX183:LY183"/>
    <mergeCell ref="LZ183:MA183"/>
    <mergeCell ref="LN185:LO185"/>
    <mergeCell ref="LP185:LQ185"/>
    <mergeCell ref="LR185:LS185"/>
    <mergeCell ref="LT185:LU185"/>
    <mergeCell ref="MP175:MQ175"/>
    <mergeCell ref="MR175:MS175"/>
    <mergeCell ref="KN176:KO176"/>
    <mergeCell ref="KP176:KQ176"/>
    <mergeCell ref="KR176:KS176"/>
    <mergeCell ref="KT176:KU176"/>
    <mergeCell ref="ML176:MM176"/>
    <mergeCell ref="LV176:LW176"/>
    <mergeCell ref="LX176:LY176"/>
    <mergeCell ref="LZ176:MA176"/>
    <mergeCell ref="MB176:MC176"/>
    <mergeCell ref="MR100:MS100"/>
    <mergeCell ref="MP191:MQ191"/>
    <mergeCell ref="MR191:MS191"/>
    <mergeCell ref="MT191:MU191"/>
    <mergeCell ref="LL100:LM100"/>
    <mergeCell ref="LN100:LO100"/>
    <mergeCell ref="LP100:LQ100"/>
    <mergeCell ref="LR100:LS100"/>
    <mergeCell ref="LT100:LU100"/>
    <mergeCell ref="LV100:LW100"/>
    <mergeCell ref="LL184:LM184"/>
    <mergeCell ref="KB180:KC180"/>
    <mergeCell ref="LV195:LW195"/>
    <mergeCell ref="LX195:LY195"/>
    <mergeCell ref="LZ195:MA195"/>
    <mergeCell ref="MB195:MC195"/>
    <mergeCell ref="KZ195:LA195"/>
    <mergeCell ref="MD195:ME195"/>
    <mergeCell ref="MN195:MO195"/>
    <mergeCell ref="LR179:LS179"/>
    <mergeCell ref="LT179:LU179"/>
    <mergeCell ref="LV179:LW179"/>
    <mergeCell ref="LX179:LY179"/>
    <mergeCell ref="LZ179:MA179"/>
    <mergeCell ref="MB179:MC179"/>
    <mergeCell ref="MD179:ME179"/>
    <mergeCell ref="MF179:MG179"/>
    <mergeCell ref="MH179:MI179"/>
    <mergeCell ref="MJ179:MK179"/>
    <mergeCell ref="ML179:MM179"/>
    <mergeCell ref="MN179:MO179"/>
    <mergeCell ref="MP179:MQ179"/>
    <mergeCell ref="LX181:LY181"/>
    <mergeCell ref="MB182:MC182"/>
    <mergeCell ref="MD182:ME182"/>
    <mergeCell ref="MF182:MG182"/>
    <mergeCell ref="MH182:MI182"/>
    <mergeCell ref="MJ182:MK182"/>
    <mergeCell ref="LZ181:MA181"/>
    <mergeCell ref="MB181:MC181"/>
    <mergeCell ref="LB195:LC195"/>
    <mergeCell ref="LD195:LE195"/>
    <mergeCell ref="LF195:LG195"/>
    <mergeCell ref="LH195:LI195"/>
    <mergeCell ref="LJ195:LK195"/>
    <mergeCell ref="ML195:MM195"/>
    <mergeCell ref="KD181:KE181"/>
    <mergeCell ref="KF181:KG181"/>
    <mergeCell ref="MJ181:MK181"/>
    <mergeCell ref="KB181:KC181"/>
    <mergeCell ref="MH191:MI191"/>
    <mergeCell ref="MJ191:MK191"/>
    <mergeCell ref="LJ191:LK191"/>
    <mergeCell ref="LL191:LM191"/>
    <mergeCell ref="LN191:LO191"/>
    <mergeCell ref="LP191:LQ191"/>
    <mergeCell ref="LR191:LS191"/>
    <mergeCell ref="LT191:LU191"/>
    <mergeCell ref="LV191:LW191"/>
    <mergeCell ref="LX191:LY191"/>
    <mergeCell ref="LZ191:MA191"/>
    <mergeCell ref="KZ183:LA183"/>
    <mergeCell ref="LB183:LC183"/>
    <mergeCell ref="LD183:LE183"/>
    <mergeCell ref="KD176:KE176"/>
    <mergeCell ref="KP191:KQ191"/>
    <mergeCell ref="KR195:KS195"/>
    <mergeCell ref="LB191:LC191"/>
    <mergeCell ref="LD191:LE191"/>
    <mergeCell ref="LF191:LG191"/>
    <mergeCell ref="LH191:LI191"/>
    <mergeCell ref="KN184:KO184"/>
    <mergeCell ref="KP184:KQ184"/>
    <mergeCell ref="KR184:KS184"/>
    <mergeCell ref="KT184:KU184"/>
    <mergeCell ref="KV184:KW184"/>
    <mergeCell ref="KX184:KY184"/>
    <mergeCell ref="KZ184:LA184"/>
    <mergeCell ref="LB184:LC184"/>
    <mergeCell ref="LD184:LE184"/>
    <mergeCell ref="LF184:LG184"/>
    <mergeCell ref="LH184:LI184"/>
    <mergeCell ref="LJ184:LK184"/>
    <mergeCell ref="KZ185:LA185"/>
    <mergeCell ref="LB185:LC185"/>
    <mergeCell ref="LD185:LE185"/>
    <mergeCell ref="LF185:LG185"/>
    <mergeCell ref="LH185:LI185"/>
    <mergeCell ref="KV181:KW181"/>
    <mergeCell ref="KX181:KY181"/>
    <mergeCell ref="KZ181:LA181"/>
    <mergeCell ref="LL195:LM195"/>
    <mergeCell ref="LN195:LO195"/>
    <mergeCell ref="MD181:ME181"/>
    <mergeCell ref="MF181:MG181"/>
    <mergeCell ref="MH181:MI181"/>
    <mergeCell ref="KN188:KO188"/>
    <mergeCell ref="KP188:KQ188"/>
    <mergeCell ref="KR188:KS188"/>
    <mergeCell ref="KT188:KU188"/>
    <mergeCell ref="KV188:KW188"/>
    <mergeCell ref="KX188:KY188"/>
    <mergeCell ref="KZ188:LA188"/>
    <mergeCell ref="LB188:LC188"/>
    <mergeCell ref="LD188:LE188"/>
    <mergeCell ref="LF188:LG188"/>
    <mergeCell ref="LH188:LI188"/>
    <mergeCell ref="LJ188:LK188"/>
    <mergeCell ref="LL188:LM188"/>
    <mergeCell ref="LN188:LO188"/>
    <mergeCell ref="LP188:LQ188"/>
    <mergeCell ref="LR188:LS188"/>
    <mergeCell ref="LT188:LU188"/>
    <mergeCell ref="LV188:LW188"/>
    <mergeCell ref="LX188:LY188"/>
    <mergeCell ref="LZ188:MA188"/>
    <mergeCell ref="MB188:MC188"/>
    <mergeCell ref="MD188:ME188"/>
    <mergeCell ref="MF188:MG188"/>
    <mergeCell ref="MH188:MI188"/>
    <mergeCell ref="LF183:LG183"/>
    <mergeCell ref="LH183:LI183"/>
    <mergeCell ref="LJ183:LK183"/>
    <mergeCell ref="LL183:LM183"/>
    <mergeCell ref="MD190:ME190"/>
    <mergeCell ref="MF190:MG190"/>
    <mergeCell ref="MH190:MI190"/>
    <mergeCell ref="LF186:LG186"/>
    <mergeCell ref="LH186:LI186"/>
    <mergeCell ref="MV191:MW191"/>
    <mergeCell ref="MX191:MY191"/>
    <mergeCell ref="MZ191:NA191"/>
    <mergeCell ref="NB191:NC191"/>
    <mergeCell ref="ND191:NE191"/>
    <mergeCell ref="NF191:NG191"/>
    <mergeCell ref="NH191:NI191"/>
    <mergeCell ref="NJ191:NK191"/>
    <mergeCell ref="NL191:NM191"/>
    <mergeCell ref="NN191:NO191"/>
    <mergeCell ref="NP191:NQ191"/>
    <mergeCell ref="NR191:NS191"/>
    <mergeCell ref="NT191:NU191"/>
    <mergeCell ref="NV191:NW191"/>
    <mergeCell ref="NP183:NQ183"/>
    <mergeCell ref="NR183:NS183"/>
    <mergeCell ref="NT183:NU183"/>
    <mergeCell ref="LP195:LQ195"/>
    <mergeCell ref="LR195:LS195"/>
    <mergeCell ref="LT195:LU195"/>
    <mergeCell ref="PF195:PG195"/>
    <mergeCell ref="MJ185:MK185"/>
    <mergeCell ref="ML185:MM185"/>
    <mergeCell ref="MN185:MO185"/>
    <mergeCell ref="MR185:MS185"/>
    <mergeCell ref="MT185:MU185"/>
    <mergeCell ref="MV185:MW185"/>
    <mergeCell ref="MX185:MY185"/>
    <mergeCell ref="MZ185:NA185"/>
    <mergeCell ref="MB191:MC191"/>
    <mergeCell ref="MD191:ME191"/>
    <mergeCell ref="ML191:MM191"/>
    <mergeCell ref="MN191:MO191"/>
    <mergeCell ref="MZ184:NA184"/>
    <mergeCell ref="NB184:NC184"/>
    <mergeCell ref="ND184:NE184"/>
    <mergeCell ref="MR184:MS184"/>
    <mergeCell ref="MT184:MU184"/>
    <mergeCell ref="MZ183:NA183"/>
    <mergeCell ref="NB183:NC183"/>
    <mergeCell ref="ND183:NE183"/>
    <mergeCell ref="NF183:NG183"/>
    <mergeCell ref="NH183:NI183"/>
    <mergeCell ref="NJ183:NK183"/>
    <mergeCell ref="MP195:MQ195"/>
    <mergeCell ref="LV185:LW185"/>
    <mergeCell ref="LX185:LY185"/>
    <mergeCell ref="LZ185:MA185"/>
    <mergeCell ref="ML186:MM186"/>
    <mergeCell ref="MN186:MO186"/>
    <mergeCell ref="NP185:NQ185"/>
    <mergeCell ref="NR185:NS185"/>
    <mergeCell ref="NT185:NU185"/>
    <mergeCell ref="NV185:NW185"/>
    <mergeCell ref="NX185:NY185"/>
    <mergeCell ref="NZ185:OA185"/>
    <mergeCell ref="OB185:OC185"/>
    <mergeCell ref="OD185:OE185"/>
    <mergeCell ref="OF185:OG185"/>
    <mergeCell ref="OH185:OI185"/>
    <mergeCell ref="OJ185:OK185"/>
    <mergeCell ref="MF195:MG195"/>
    <mergeCell ref="MH195:MI195"/>
    <mergeCell ref="MF191:MG191"/>
    <mergeCell ref="JN195:JO195"/>
    <mergeCell ref="JP195:JQ195"/>
    <mergeCell ref="JR195:JS195"/>
    <mergeCell ref="JT195:JU195"/>
    <mergeCell ref="JV195:JW195"/>
    <mergeCell ref="JX195:JY195"/>
    <mergeCell ref="JZ195:KA195"/>
    <mergeCell ref="KB195:KC195"/>
    <mergeCell ref="KD195:KE195"/>
    <mergeCell ref="KF195:KG195"/>
    <mergeCell ref="KH195:KI195"/>
    <mergeCell ref="KJ195:KK195"/>
    <mergeCell ref="KL195:KM195"/>
    <mergeCell ref="KN181:KO181"/>
    <mergeCell ref="KP181:KQ181"/>
    <mergeCell ref="KR181:KS181"/>
    <mergeCell ref="KT181:KU181"/>
    <mergeCell ref="JN181:JO181"/>
    <mergeCell ref="JT181:JU181"/>
    <mergeCell ref="KL191:KM191"/>
    <mergeCell ref="JV181:JW181"/>
    <mergeCell ref="JR181:JS181"/>
    <mergeCell ref="JX181:JY181"/>
    <mergeCell ref="KF183:KG183"/>
    <mergeCell ref="KH183:KI183"/>
    <mergeCell ref="KJ183:KK183"/>
    <mergeCell ref="KL183:KM183"/>
    <mergeCell ref="KN183:KO183"/>
    <mergeCell ref="KP183:KQ183"/>
    <mergeCell ref="KR183:KS183"/>
    <mergeCell ref="KT183:KU183"/>
    <mergeCell ref="KV183:KW183"/>
    <mergeCell ref="KX183:KY183"/>
    <mergeCell ref="KN191:KO191"/>
    <mergeCell ref="KN195:KO195"/>
    <mergeCell ref="KP195:KQ195"/>
    <mergeCell ref="KJ181:KK181"/>
    <mergeCell ref="KF186:KG186"/>
    <mergeCell ref="KH186:KI186"/>
    <mergeCell ref="KJ186:KK186"/>
    <mergeCell ref="KL186:KM186"/>
    <mergeCell ref="KN186:KO186"/>
    <mergeCell ref="KP186:KQ186"/>
    <mergeCell ref="KL181:KM181"/>
    <mergeCell ref="JP186:JQ186"/>
    <mergeCell ref="JR186:JS186"/>
    <mergeCell ref="JT186:JU186"/>
    <mergeCell ref="JV186:JW186"/>
    <mergeCell ref="JX186:JY186"/>
    <mergeCell ref="JZ186:KA186"/>
    <mergeCell ref="KB186:KC186"/>
    <mergeCell ref="KD186:KE186"/>
    <mergeCell ref="KT186:KU186"/>
    <mergeCell ref="KV186:KW186"/>
    <mergeCell ref="KX186:KY186"/>
    <mergeCell ref="KT195:KU195"/>
    <mergeCell ref="KV195:KW195"/>
    <mergeCell ref="KX195:KY195"/>
    <mergeCell ref="KH181:KI181"/>
    <mergeCell ref="KR191:KS191"/>
    <mergeCell ref="KT191:KU191"/>
    <mergeCell ref="KV191:KW191"/>
    <mergeCell ref="KX191:KY191"/>
    <mergeCell ref="KR186:KS186"/>
    <mergeCell ref="LN186:LO186"/>
    <mergeCell ref="LP186:LQ186"/>
    <mergeCell ref="LR186:LS186"/>
    <mergeCell ref="LT186:LU186"/>
    <mergeCell ref="MF186:MG186"/>
    <mergeCell ref="MH186:MI186"/>
    <mergeCell ref="MJ186:MK186"/>
    <mergeCell ref="MB187:MC187"/>
    <mergeCell ref="MD187:ME187"/>
    <mergeCell ref="MF187:MG187"/>
    <mergeCell ref="MH187:MI187"/>
    <mergeCell ref="MJ187:MK187"/>
    <mergeCell ref="LB181:LC181"/>
    <mergeCell ref="LD181:LE181"/>
    <mergeCell ref="LF181:LG181"/>
    <mergeCell ref="LH181:LI181"/>
    <mergeCell ref="LJ181:LK181"/>
    <mergeCell ref="LL181:LM181"/>
    <mergeCell ref="LN181:LO181"/>
    <mergeCell ref="LP181:LQ181"/>
    <mergeCell ref="LR181:LS181"/>
    <mergeCell ref="LT181:LU181"/>
    <mergeCell ref="LV181:LW181"/>
    <mergeCell ref="LJ186:LK186"/>
    <mergeCell ref="LL186:LM186"/>
    <mergeCell ref="LV186:LW186"/>
    <mergeCell ref="LX186:LY186"/>
    <mergeCell ref="LZ186:MA186"/>
    <mergeCell ref="MB186:MC186"/>
    <mergeCell ref="MD186:ME186"/>
    <mergeCell ref="KZ191:LA191"/>
    <mergeCell ref="KZ186:LA186"/>
    <mergeCell ref="LB186:LC186"/>
    <mergeCell ref="LD186:LE186"/>
    <mergeCell ref="KZ182:LA182"/>
    <mergeCell ref="LB182:LC182"/>
    <mergeCell ref="LD182:LE182"/>
    <mergeCell ref="LF182:LG182"/>
    <mergeCell ref="LH182:LI182"/>
    <mergeCell ref="LJ182:LK182"/>
    <mergeCell ref="LL182:LM182"/>
    <mergeCell ref="LN182:LO182"/>
    <mergeCell ref="LP182:LQ182"/>
    <mergeCell ref="LR182:LS182"/>
    <mergeCell ref="LT182:LU182"/>
    <mergeCell ref="LV182:LW182"/>
    <mergeCell ref="LX182:LY182"/>
    <mergeCell ref="LZ182:MA182"/>
    <mergeCell ref="MJ188:MK188"/>
    <mergeCell ref="MJ190:MK190"/>
    <mergeCell ref="NR176:NS176"/>
    <mergeCell ref="NT176:NU176"/>
    <mergeCell ref="NV176:NW176"/>
    <mergeCell ref="MJ195:MK195"/>
    <mergeCell ref="QR180:QS180"/>
    <mergeCell ref="QT180:QU180"/>
    <mergeCell ref="QV180:QW180"/>
    <mergeCell ref="PV180:PW180"/>
    <mergeCell ref="OX178:OY178"/>
    <mergeCell ref="OZ178:PA178"/>
    <mergeCell ref="OT180:OU180"/>
    <mergeCell ref="OV180:OW180"/>
    <mergeCell ref="OX180:OY180"/>
    <mergeCell ref="OZ180:PA180"/>
    <mergeCell ref="PB180:PC180"/>
    <mergeCell ref="QP180:QQ180"/>
    <mergeCell ref="MX181:MY181"/>
    <mergeCell ref="QJ178:QK178"/>
    <mergeCell ref="PF180:PG180"/>
    <mergeCell ref="QJ191:QK191"/>
    <mergeCell ref="QL191:QM191"/>
    <mergeCell ref="PT180:PU180"/>
    <mergeCell ref="NX191:NY191"/>
    <mergeCell ref="NV183:NW183"/>
    <mergeCell ref="OH183:OI183"/>
    <mergeCell ref="OJ183:OK183"/>
    <mergeCell ref="OL183:OM183"/>
    <mergeCell ref="ON183:OO183"/>
    <mergeCell ref="PP195:PQ195"/>
    <mergeCell ref="PR195:PS195"/>
    <mergeCell ref="PT195:PU195"/>
    <mergeCell ref="PV195:PW195"/>
    <mergeCell ref="PX195:PY195"/>
    <mergeCell ref="OB183:OC183"/>
    <mergeCell ref="OD183:OE183"/>
    <mergeCell ref="OF183:OG183"/>
    <mergeCell ref="OX185:OY185"/>
    <mergeCell ref="OZ185:PA185"/>
    <mergeCell ref="PB185:PC185"/>
    <mergeCell ref="PD185:PE185"/>
    <mergeCell ref="PF185:PG185"/>
    <mergeCell ref="PH185:PI185"/>
    <mergeCell ref="PJ185:PK185"/>
    <mergeCell ref="PL185:PM185"/>
    <mergeCell ref="PN185:PO185"/>
    <mergeCell ref="QD185:QE185"/>
    <mergeCell ref="QF185:QG185"/>
    <mergeCell ref="QH185:QI185"/>
    <mergeCell ref="NV182:NW182"/>
    <mergeCell ref="NX182:NY182"/>
    <mergeCell ref="OV181:OW181"/>
    <mergeCell ref="OX181:OY181"/>
    <mergeCell ref="OH181:OI181"/>
    <mergeCell ref="OJ181:OK181"/>
    <mergeCell ref="OL181:OM181"/>
    <mergeCell ref="NZ191:OA191"/>
    <mergeCell ref="OB191:OC191"/>
    <mergeCell ref="OD191:OE191"/>
    <mergeCell ref="OF191:OG191"/>
    <mergeCell ref="OH191:OI191"/>
    <mergeCell ref="PJ191:PK191"/>
    <mergeCell ref="PL191:PM191"/>
    <mergeCell ref="PN191:PO191"/>
    <mergeCell ref="NX180:NY180"/>
    <mergeCell ref="QT181:QU181"/>
    <mergeCell ref="QL177:QM177"/>
    <mergeCell ref="OD178:OE178"/>
    <mergeCell ref="OF178:OG178"/>
    <mergeCell ref="OH178:OI178"/>
    <mergeCell ref="OJ178:OK178"/>
    <mergeCell ref="OL178:OM178"/>
    <mergeCell ref="ON178:OO178"/>
    <mergeCell ref="OP178:OQ178"/>
    <mergeCell ref="OR178:OS178"/>
    <mergeCell ref="OT178:OU178"/>
    <mergeCell ref="OV178:OW178"/>
    <mergeCell ref="PL178:PM178"/>
    <mergeCell ref="PN178:PO178"/>
    <mergeCell ref="PP178:PQ178"/>
    <mergeCell ref="PR178:PS178"/>
    <mergeCell ref="PF178:PG178"/>
    <mergeCell ref="PH178:PI178"/>
    <mergeCell ref="PJ178:PK178"/>
    <mergeCell ref="PB178:PC178"/>
    <mergeCell ref="PP177:PQ177"/>
    <mergeCell ref="PR177:PS177"/>
    <mergeCell ref="PT177:PU177"/>
    <mergeCell ref="MT177:MU177"/>
    <mergeCell ref="MV177:MW177"/>
    <mergeCell ref="MX177:MY177"/>
    <mergeCell ref="MZ177:NA177"/>
    <mergeCell ref="NJ177:NK177"/>
    <mergeCell ref="ND177:NE177"/>
    <mergeCell ref="NF177:NG177"/>
    <mergeCell ref="NH177:NI177"/>
    <mergeCell ref="OX177:OY177"/>
    <mergeCell ref="OZ177:PA177"/>
    <mergeCell ref="PB177:PC177"/>
    <mergeCell ref="PD177:PE177"/>
    <mergeCell ref="PF177:PG177"/>
    <mergeCell ref="NZ178:OA178"/>
    <mergeCell ref="OB178:OC178"/>
    <mergeCell ref="PH177:PI177"/>
    <mergeCell ref="PH179:PI179"/>
    <mergeCell ref="NP178:NQ178"/>
    <mergeCell ref="NR178:NS178"/>
    <mergeCell ref="NT178:NU178"/>
    <mergeCell ref="NV178:NW178"/>
    <mergeCell ref="NX178:NY178"/>
    <mergeCell ref="PD180:PE180"/>
    <mergeCell ref="PJ180:PK180"/>
    <mergeCell ref="QL178:QM178"/>
    <mergeCell ref="QN178:QO178"/>
    <mergeCell ref="QN177:QO177"/>
    <mergeCell ref="PD178:PE178"/>
    <mergeCell ref="OR177:OS177"/>
    <mergeCell ref="OT177:OU177"/>
    <mergeCell ref="OV177:OW177"/>
    <mergeCell ref="QJ177:QK177"/>
    <mergeCell ref="NZ180:OA180"/>
    <mergeCell ref="PB181:PC181"/>
    <mergeCell ref="NV181:NW181"/>
    <mergeCell ref="PZ180:QA180"/>
    <mergeCell ref="PJ177:PK177"/>
    <mergeCell ref="KV177:KW177"/>
    <mergeCell ref="KX177:KY177"/>
    <mergeCell ref="KZ177:LA177"/>
    <mergeCell ref="LB177:LC177"/>
    <mergeCell ref="LB176:LC176"/>
    <mergeCell ref="QT175:QU175"/>
    <mergeCell ref="QR176:QS176"/>
    <mergeCell ref="QT176:QU176"/>
    <mergeCell ref="QP176:QQ176"/>
    <mergeCell ref="QH177:QI177"/>
    <mergeCell ref="PX177:PY177"/>
    <mergeCell ref="PZ177:QA177"/>
    <mergeCell ref="MZ180:NA180"/>
    <mergeCell ref="NN180:NO180"/>
    <mergeCell ref="NN181:NO181"/>
    <mergeCell ref="MD180:ME180"/>
    <mergeCell ref="MF180:MG180"/>
    <mergeCell ref="MH180:MI180"/>
    <mergeCell ref="PL177:PM177"/>
    <mergeCell ref="OD177:OE177"/>
    <mergeCell ref="QD177:QE177"/>
    <mergeCell ref="QF177:QG177"/>
    <mergeCell ref="PL180:PM180"/>
    <mergeCell ref="PN180:PO180"/>
    <mergeCell ref="PP180:PQ180"/>
    <mergeCell ref="PX180:PY180"/>
    <mergeCell ref="QB180:QC180"/>
    <mergeCell ref="QD180:QE180"/>
    <mergeCell ref="QF180:QG180"/>
    <mergeCell ref="QH180:QI180"/>
    <mergeCell ref="PR180:PS180"/>
    <mergeCell ref="OF181:OG181"/>
    <mergeCell ref="PV181:PW181"/>
    <mergeCell ref="PX181:PY181"/>
    <mergeCell ref="PZ181:QA181"/>
    <mergeCell ref="QB181:QC181"/>
    <mergeCell ref="PR179:PS179"/>
    <mergeCell ref="PT179:PU179"/>
    <mergeCell ref="PV179:PW179"/>
    <mergeCell ref="PX179:PY179"/>
    <mergeCell ref="PZ179:QA179"/>
    <mergeCell ref="QB179:QC179"/>
    <mergeCell ref="QD179:QE179"/>
    <mergeCell ref="QF179:QG179"/>
    <mergeCell ref="QH179:QI179"/>
    <mergeCell ref="ND181:NE181"/>
    <mergeCell ref="NH181:NI181"/>
    <mergeCell ref="NJ181:NK181"/>
    <mergeCell ref="NP181:NQ181"/>
    <mergeCell ref="NR181:NS181"/>
    <mergeCell ref="NT181:NU181"/>
    <mergeCell ref="ML181:MM181"/>
    <mergeCell ref="MN181:MO181"/>
    <mergeCell ref="MP181:MQ181"/>
    <mergeCell ref="MR181:MS181"/>
    <mergeCell ref="MT181:MU181"/>
    <mergeCell ref="MV181:MW181"/>
    <mergeCell ref="PX175:PY175"/>
    <mergeCell ref="PZ175:QA175"/>
    <mergeCell ref="QB175:QC175"/>
    <mergeCell ref="QD175:QE175"/>
    <mergeCell ref="MJ177:MK177"/>
    <mergeCell ref="ML177:MM177"/>
    <mergeCell ref="PH180:PI180"/>
    <mergeCell ref="KL175:KM175"/>
    <mergeCell ref="KN175:KO175"/>
    <mergeCell ref="KP175:KQ175"/>
    <mergeCell ref="KR175:KS175"/>
    <mergeCell ref="KT175:KU175"/>
    <mergeCell ref="KV175:KW175"/>
    <mergeCell ref="KX175:KY175"/>
    <mergeCell ref="KZ175:LA175"/>
    <mergeCell ref="LB175:LC175"/>
    <mergeCell ref="LD175:LE175"/>
    <mergeCell ref="LF175:LG175"/>
    <mergeCell ref="LH175:LI175"/>
    <mergeCell ref="LJ175:LK175"/>
    <mergeCell ref="LL175:LM175"/>
    <mergeCell ref="LN175:LO175"/>
    <mergeCell ref="PH175:PI175"/>
    <mergeCell ref="OP175:OQ175"/>
    <mergeCell ref="MN176:MO176"/>
    <mergeCell ref="MP176:MQ176"/>
    <mergeCell ref="MR176:MS176"/>
    <mergeCell ref="KT178:KU178"/>
    <mergeCell ref="MX180:MY180"/>
    <mergeCell ref="MV180:MW180"/>
    <mergeCell ref="NH180:NI180"/>
    <mergeCell ref="NJ180:NK180"/>
    <mergeCell ref="MR179:MS179"/>
    <mergeCell ref="NL180:NM180"/>
    <mergeCell ref="MJ180:MK180"/>
    <mergeCell ref="ML180:MM180"/>
    <mergeCell ref="MN180:MO180"/>
    <mergeCell ref="KV180:KW180"/>
    <mergeCell ref="KX180:KY180"/>
    <mergeCell ref="KZ180:LA180"/>
    <mergeCell ref="LB180:LC180"/>
    <mergeCell ref="LD180:LE180"/>
    <mergeCell ref="LF180:LG180"/>
    <mergeCell ref="LH180:LI180"/>
    <mergeCell ref="LJ180:LK180"/>
    <mergeCell ref="LL180:LM180"/>
    <mergeCell ref="LN180:LO180"/>
    <mergeCell ref="LP180:LQ180"/>
    <mergeCell ref="LR180:LS180"/>
    <mergeCell ref="LT180:LU180"/>
    <mergeCell ref="NV180:NW180"/>
    <mergeCell ref="OP180:OQ180"/>
    <mergeCell ref="OR180:OS180"/>
    <mergeCell ref="NT180:NU180"/>
    <mergeCell ref="KV176:KW176"/>
    <mergeCell ref="KX176:KY176"/>
    <mergeCell ref="KZ176:LA176"/>
    <mergeCell ref="PB175:PC175"/>
    <mergeCell ref="PD175:PE175"/>
    <mergeCell ref="LJ176:LK176"/>
    <mergeCell ref="LL176:LM176"/>
    <mergeCell ref="LN176:LO176"/>
    <mergeCell ref="LP176:LQ176"/>
    <mergeCell ref="LR176:LS176"/>
    <mergeCell ref="LT176:LU176"/>
    <mergeCell ref="MD176:ME176"/>
    <mergeCell ref="MF176:MG176"/>
    <mergeCell ref="OL176:OM176"/>
    <mergeCell ref="NF175:NG175"/>
    <mergeCell ref="MT175:MU175"/>
    <mergeCell ref="NP176:NQ176"/>
    <mergeCell ref="LN93:LO93"/>
    <mergeCell ref="LP93:LQ93"/>
    <mergeCell ref="ND93:NE93"/>
    <mergeCell ref="NX176:NY176"/>
    <mergeCell ref="NZ176:OA176"/>
    <mergeCell ref="OB176:OC176"/>
    <mergeCell ref="OR175:OS175"/>
    <mergeCell ref="OT175:OU175"/>
    <mergeCell ref="NT175:NU175"/>
    <mergeCell ref="MV175:MW175"/>
    <mergeCell ref="NR175:NS175"/>
    <mergeCell ref="OD175:OE175"/>
    <mergeCell ref="OF175:OG175"/>
    <mergeCell ref="OZ175:PA175"/>
    <mergeCell ref="NN175:NO175"/>
    <mergeCell ref="NV175:NW175"/>
    <mergeCell ref="NP175:NQ175"/>
    <mergeCell ref="OH175:OI175"/>
    <mergeCell ref="OJ175:OK175"/>
    <mergeCell ref="MD175:ME175"/>
    <mergeCell ref="MF175:MG175"/>
    <mergeCell ref="MH176:MI176"/>
    <mergeCell ref="MJ176:MK176"/>
    <mergeCell ref="MH175:MI175"/>
    <mergeCell ref="MJ175:MK175"/>
    <mergeCell ref="ML175:MM175"/>
    <mergeCell ref="MN175:MO175"/>
    <mergeCell ref="LD176:LE176"/>
    <mergeCell ref="QX180:QY180"/>
    <mergeCell ref="QZ180:RA180"/>
    <mergeCell ref="RB180:RC180"/>
    <mergeCell ref="QL181:QM181"/>
    <mergeCell ref="QN181:QO181"/>
    <mergeCell ref="QJ180:QK180"/>
    <mergeCell ref="QL180:QM180"/>
    <mergeCell ref="QN180:QO180"/>
    <mergeCell ref="MN178:MO178"/>
    <mergeCell ref="MP178:MQ178"/>
    <mergeCell ref="MR178:MS178"/>
    <mergeCell ref="MT178:MU178"/>
    <mergeCell ref="MV178:MW178"/>
    <mergeCell ref="MX178:MY178"/>
    <mergeCell ref="MZ178:NA178"/>
    <mergeCell ref="NB178:NC178"/>
    <mergeCell ref="ND178:NE178"/>
    <mergeCell ref="NF178:NG178"/>
    <mergeCell ref="NH178:NI178"/>
    <mergeCell ref="NJ178:NK178"/>
    <mergeCell ref="RB176:RC176"/>
    <mergeCell ref="NL176:NM176"/>
    <mergeCell ref="NN176:NO176"/>
    <mergeCell ref="MX176:MY176"/>
    <mergeCell ref="MZ176:NA176"/>
    <mergeCell ref="NB176:NC176"/>
    <mergeCell ref="ND176:NE176"/>
    <mergeCell ref="NF176:NG176"/>
    <mergeCell ref="NH176:NI176"/>
    <mergeCell ref="NJ176:NK176"/>
    <mergeCell ref="NP180:NQ180"/>
    <mergeCell ref="NR180:NS180"/>
    <mergeCell ref="PT175:PU175"/>
    <mergeCell ref="MV176:MW176"/>
    <mergeCell ref="NL178:NM178"/>
    <mergeCell ref="NN178:NO178"/>
    <mergeCell ref="LD177:LE177"/>
    <mergeCell ref="LF177:LG177"/>
    <mergeCell ref="LH177:LI177"/>
    <mergeCell ref="LJ177:LK177"/>
    <mergeCell ref="LL177:LM177"/>
    <mergeCell ref="LN177:LO177"/>
    <mergeCell ref="LP177:LQ177"/>
    <mergeCell ref="LR177:LS177"/>
    <mergeCell ref="LT177:LU177"/>
    <mergeCell ref="LV177:LW177"/>
    <mergeCell ref="LX177:LY177"/>
    <mergeCell ref="LZ177:MA177"/>
    <mergeCell ref="MB177:MC177"/>
    <mergeCell ref="MD177:ME177"/>
    <mergeCell ref="MB180:MC180"/>
    <mergeCell ref="LF176:LG176"/>
    <mergeCell ref="LH176:LI176"/>
    <mergeCell ref="KD175:KE175"/>
    <mergeCell ref="KF175:KG175"/>
    <mergeCell ref="KH175:KI175"/>
    <mergeCell ref="KJ175:KK175"/>
    <mergeCell ref="MT176:MU176"/>
    <mergeCell ref="QN93:QO93"/>
    <mergeCell ref="QP93:QQ93"/>
    <mergeCell ref="KH93:KI93"/>
    <mergeCell ref="QR93:QS93"/>
    <mergeCell ref="QT93:QU93"/>
    <mergeCell ref="OH93:OI93"/>
    <mergeCell ref="OJ93:OK93"/>
    <mergeCell ref="OL93:OM93"/>
    <mergeCell ref="ON93:OO93"/>
    <mergeCell ref="OP93:OQ93"/>
    <mergeCell ref="OR93:OS93"/>
    <mergeCell ref="OT93:OU93"/>
    <mergeCell ref="OV93:OW93"/>
    <mergeCell ref="OX93:OY93"/>
    <mergeCell ref="OZ93:PA93"/>
    <mergeCell ref="PB93:PC93"/>
    <mergeCell ref="PD93:PE93"/>
    <mergeCell ref="PF93:PG93"/>
    <mergeCell ref="PH93:PI93"/>
    <mergeCell ref="PJ93:PK93"/>
    <mergeCell ref="PL93:PM93"/>
    <mergeCell ref="PN93:PO93"/>
    <mergeCell ref="PP93:PQ93"/>
    <mergeCell ref="PR93:PS93"/>
    <mergeCell ref="PT93:PU93"/>
    <mergeCell ref="PV93:PW93"/>
    <mergeCell ref="PX93:PY93"/>
    <mergeCell ref="PZ93:QA93"/>
    <mergeCell ref="QB93:QC93"/>
    <mergeCell ref="QD93:QE93"/>
    <mergeCell ref="QF93:QG93"/>
    <mergeCell ref="QH93:QI93"/>
    <mergeCell ref="QJ93:QK93"/>
    <mergeCell ref="QL93:QM93"/>
    <mergeCell ref="MX93:MY93"/>
    <mergeCell ref="MZ93:NA93"/>
    <mergeCell ref="NB93:NC93"/>
    <mergeCell ref="OF93:OG93"/>
    <mergeCell ref="NZ93:OA93"/>
    <mergeCell ref="OB93:OC93"/>
    <mergeCell ref="OD93:OE93"/>
    <mergeCell ref="LL93:LM93"/>
    <mergeCell ref="QV93:QW93"/>
    <mergeCell ref="QX93:QY93"/>
    <mergeCell ref="QZ93:RA93"/>
    <mergeCell ref="RB93:RC93"/>
    <mergeCell ref="F182:G182"/>
    <mergeCell ref="FF182:FG182"/>
    <mergeCell ref="FH182:FI182"/>
    <mergeCell ref="FJ182:FK182"/>
    <mergeCell ref="FL182:FM182"/>
    <mergeCell ref="FN182:FO182"/>
    <mergeCell ref="FP182:FQ182"/>
    <mergeCell ref="FR182:FS182"/>
    <mergeCell ref="FT182:FU182"/>
    <mergeCell ref="FV182:FW182"/>
    <mergeCell ref="FX182:FY182"/>
    <mergeCell ref="FZ182:GA182"/>
    <mergeCell ref="GB182:GC182"/>
    <mergeCell ref="GD182:GE182"/>
    <mergeCell ref="GF182:GG182"/>
    <mergeCell ref="GH182:GI182"/>
    <mergeCell ref="GJ182:GK182"/>
    <mergeCell ref="GL182:GM182"/>
    <mergeCell ref="GN182:GO182"/>
    <mergeCell ref="GP182:GQ182"/>
    <mergeCell ref="GR182:GS182"/>
    <mergeCell ref="GT182:GU182"/>
    <mergeCell ref="GV182:GW182"/>
    <mergeCell ref="GX182:GY182"/>
    <mergeCell ref="GZ182:HA182"/>
    <mergeCell ref="HB182:HC182"/>
    <mergeCell ref="HD182:HE182"/>
    <mergeCell ref="HF182:HG182"/>
    <mergeCell ref="HH182:HI182"/>
    <mergeCell ref="HJ182:HK182"/>
    <mergeCell ref="HL182:HM182"/>
    <mergeCell ref="HN182:HO182"/>
    <mergeCell ref="HP182:HQ182"/>
    <mergeCell ref="HR182:HS182"/>
    <mergeCell ref="JL93:JM93"/>
    <mergeCell ref="JN93:JO93"/>
    <mergeCell ref="JP93:JQ93"/>
    <mergeCell ref="JR93:JS93"/>
    <mergeCell ref="JT93:JU93"/>
    <mergeCell ref="JV93:JW93"/>
    <mergeCell ref="JX93:JY93"/>
    <mergeCell ref="JZ93:KA93"/>
    <mergeCell ref="KJ93:KK93"/>
    <mergeCell ref="KL93:KM93"/>
    <mergeCell ref="KN93:KO93"/>
    <mergeCell ref="KP93:KQ93"/>
    <mergeCell ref="KR93:KS93"/>
    <mergeCell ref="KT93:KU93"/>
    <mergeCell ref="KV93:KW93"/>
    <mergeCell ref="KX93:KY93"/>
    <mergeCell ref="KZ93:LA93"/>
    <mergeCell ref="LB93:LC93"/>
    <mergeCell ref="QZ178:RA178"/>
    <mergeCell ref="MB178:MC178"/>
    <mergeCell ref="MD178:ME178"/>
    <mergeCell ref="MF178:MG178"/>
    <mergeCell ref="MH178:MI178"/>
    <mergeCell ref="MJ178:MK178"/>
    <mergeCell ref="ML178:MM178"/>
    <mergeCell ref="RB178:RC178"/>
    <mergeCell ref="OZ89:PA89"/>
    <mergeCell ref="PB89:PC89"/>
    <mergeCell ref="PD89:PE89"/>
    <mergeCell ref="PF89:PG89"/>
    <mergeCell ref="PH89:PI89"/>
    <mergeCell ref="PJ89:PK89"/>
    <mergeCell ref="PL89:PM89"/>
    <mergeCell ref="PN89:PO89"/>
    <mergeCell ref="PP89:PQ89"/>
    <mergeCell ref="PR89:PS89"/>
    <mergeCell ref="PT89:PU89"/>
    <mergeCell ref="PV89:PW89"/>
    <mergeCell ref="PX89:PY89"/>
    <mergeCell ref="PZ89:QA89"/>
    <mergeCell ref="QB89:QC89"/>
    <mergeCell ref="QD89:QE89"/>
    <mergeCell ref="QF89:QG89"/>
    <mergeCell ref="QH89:QI89"/>
    <mergeCell ref="QJ89:QK89"/>
    <mergeCell ref="QL89:QM89"/>
    <mergeCell ref="QN89:QO89"/>
    <mergeCell ref="PT178:PU178"/>
    <mergeCell ref="PV178:PW178"/>
    <mergeCell ref="PX178:PY178"/>
    <mergeCell ref="PZ178:QA178"/>
    <mergeCell ref="QB178:QC178"/>
    <mergeCell ref="QD178:QE178"/>
    <mergeCell ref="QF178:QG178"/>
    <mergeCell ref="QH178:QI178"/>
    <mergeCell ref="OV176:OW176"/>
    <mergeCell ref="OX176:OY176"/>
    <mergeCell ref="OZ176:PA176"/>
    <mergeCell ref="PB176:PC176"/>
    <mergeCell ref="PD176:PE176"/>
    <mergeCell ref="PF176:PG176"/>
    <mergeCell ref="PH176:PI176"/>
    <mergeCell ref="PJ176:PK176"/>
    <mergeCell ref="PL176:PM176"/>
    <mergeCell ref="PN176:PO176"/>
    <mergeCell ref="PP176:PQ176"/>
    <mergeCell ref="PR176:PS176"/>
    <mergeCell ref="PT176:PU176"/>
    <mergeCell ref="PV176:PW176"/>
    <mergeCell ref="PX176:PY176"/>
    <mergeCell ref="PZ176:QA176"/>
    <mergeCell ref="QB176:QC176"/>
    <mergeCell ref="QD176:QE176"/>
    <mergeCell ref="QF176:QG176"/>
    <mergeCell ref="QH176:QI176"/>
    <mergeCell ref="QJ176:QK176"/>
    <mergeCell ref="QL176:QM176"/>
    <mergeCell ref="QN176:QO176"/>
    <mergeCell ref="PH174:PI174"/>
    <mergeCell ref="PJ174:PK174"/>
    <mergeCell ref="PL174:PM174"/>
    <mergeCell ref="PN174:PO174"/>
    <mergeCell ref="PP174:PQ174"/>
    <mergeCell ref="PR174:PS174"/>
    <mergeCell ref="PT174:PU174"/>
    <mergeCell ref="PV174:PW174"/>
    <mergeCell ref="PX174:PY174"/>
    <mergeCell ref="PZ174:QA174"/>
    <mergeCell ref="PR169:PS169"/>
    <mergeCell ref="PV177:PW177"/>
    <mergeCell ref="QR89:QS89"/>
    <mergeCell ref="QT89:QU89"/>
    <mergeCell ref="QV89:QW89"/>
    <mergeCell ref="QX89:QY89"/>
    <mergeCell ref="QZ89:RA89"/>
    <mergeCell ref="RB89:RC89"/>
    <mergeCell ref="LJ178:LK178"/>
    <mergeCell ref="LL178:LM178"/>
    <mergeCell ref="LN178:LO178"/>
    <mergeCell ref="QP178:QQ178"/>
    <mergeCell ref="QR178:QS178"/>
    <mergeCell ref="QT178:QU178"/>
    <mergeCell ref="QV178:QW178"/>
    <mergeCell ref="QX178:QY178"/>
    <mergeCell ref="MH89:MI89"/>
    <mergeCell ref="MJ89:MK89"/>
    <mergeCell ref="ML89:MM89"/>
    <mergeCell ref="MN89:MO89"/>
    <mergeCell ref="MP89:MQ89"/>
    <mergeCell ref="MR89:MS89"/>
    <mergeCell ref="MT89:MU89"/>
    <mergeCell ref="MV89:MW89"/>
    <mergeCell ref="MX89:MY89"/>
    <mergeCell ref="MZ89:NA89"/>
    <mergeCell ref="NB89:NC89"/>
    <mergeCell ref="ND89:NE89"/>
    <mergeCell ref="NF89:NG89"/>
    <mergeCell ref="NH89:NI89"/>
    <mergeCell ref="NJ89:NK89"/>
    <mergeCell ref="NL89:NM89"/>
    <mergeCell ref="NN89:NO89"/>
    <mergeCell ref="NP89:NQ89"/>
    <mergeCell ref="NR89:NS89"/>
    <mergeCell ref="NT89:NU89"/>
    <mergeCell ref="NV89:NW89"/>
    <mergeCell ref="NX89:NY89"/>
    <mergeCell ref="NZ89:OA89"/>
    <mergeCell ref="OB89:OC89"/>
    <mergeCell ref="OD89:OE89"/>
    <mergeCell ref="OF89:OG89"/>
    <mergeCell ref="OH89:OI89"/>
    <mergeCell ref="OJ89:OK89"/>
    <mergeCell ref="OL89:OM89"/>
    <mergeCell ref="ON89:OO89"/>
    <mergeCell ref="OP89:OQ89"/>
    <mergeCell ref="OR89:OS89"/>
    <mergeCell ref="OT89:OU89"/>
    <mergeCell ref="LP178:LQ178"/>
    <mergeCell ref="LR178:LS178"/>
    <mergeCell ref="LT178:LU178"/>
    <mergeCell ref="LV178:LW178"/>
    <mergeCell ref="LX178:LY178"/>
    <mergeCell ref="LZ178:MA178"/>
    <mergeCell ref="QP177:QQ177"/>
    <mergeCell ref="QR177:QS177"/>
    <mergeCell ref="QT177:QU177"/>
    <mergeCell ref="QV177:QW177"/>
    <mergeCell ref="QX177:QY177"/>
    <mergeCell ref="QZ177:RA177"/>
    <mergeCell ref="RB177:RC177"/>
    <mergeCell ref="QB177:QC177"/>
    <mergeCell ref="QV176:QW176"/>
    <mergeCell ref="OJ176:OK176"/>
    <mergeCell ref="OX89:OY89"/>
    <mergeCell ref="OT317:OU317"/>
    <mergeCell ref="OV317:OW317"/>
    <mergeCell ref="JT89:JU89"/>
    <mergeCell ref="JV89:JW89"/>
    <mergeCell ref="JX89:JY89"/>
    <mergeCell ref="JZ89:KA89"/>
    <mergeCell ref="KB89:KC89"/>
    <mergeCell ref="KD89:KE89"/>
    <mergeCell ref="KF89:KG89"/>
    <mergeCell ref="KH89:KI89"/>
    <mergeCell ref="KJ89:KK89"/>
    <mergeCell ref="KL89:KM89"/>
    <mergeCell ref="KN89:KO89"/>
    <mergeCell ref="KP89:KQ89"/>
    <mergeCell ref="KR89:KS89"/>
    <mergeCell ref="KT89:KU89"/>
    <mergeCell ref="KV89:KW89"/>
    <mergeCell ref="KX89:KY89"/>
    <mergeCell ref="KZ89:LA89"/>
    <mergeCell ref="LB89:LC89"/>
    <mergeCell ref="LD89:LE89"/>
    <mergeCell ref="LF89:LG89"/>
    <mergeCell ref="LH89:LI89"/>
    <mergeCell ref="LJ89:LK89"/>
    <mergeCell ref="LL89:LM89"/>
    <mergeCell ref="LN89:LO89"/>
    <mergeCell ref="LP89:LQ89"/>
    <mergeCell ref="LR89:LS89"/>
    <mergeCell ref="LT89:LU89"/>
    <mergeCell ref="LV89:LW89"/>
    <mergeCell ref="LX89:LY89"/>
    <mergeCell ref="LZ89:MA89"/>
    <mergeCell ref="MB89:MC89"/>
    <mergeCell ref="MD89:ME89"/>
    <mergeCell ref="MF89:MG89"/>
    <mergeCell ref="OV89:OW89"/>
    <mergeCell ref="KD178:KE178"/>
    <mergeCell ref="KF178:KG178"/>
    <mergeCell ref="LD93:LE93"/>
    <mergeCell ref="LF93:LG93"/>
    <mergeCell ref="LH93:LI93"/>
    <mergeCell ref="LJ93:LK93"/>
    <mergeCell ref="NF93:NG93"/>
    <mergeCell ref="NH93:NI93"/>
    <mergeCell ref="NJ93:NK93"/>
    <mergeCell ref="NL93:NM93"/>
    <mergeCell ref="NN93:NO93"/>
    <mergeCell ref="NP93:NQ93"/>
    <mergeCell ref="NR93:NS93"/>
    <mergeCell ref="NT93:NU93"/>
    <mergeCell ref="NV93:NW93"/>
    <mergeCell ref="NX93:NY93"/>
    <mergeCell ref="NZ181:OA181"/>
    <mergeCell ref="OB181:OC181"/>
    <mergeCell ref="OD181:OE181"/>
    <mergeCell ref="MX175:MY175"/>
    <mergeCell ref="MZ175:NA175"/>
    <mergeCell ref="NB175:NC175"/>
    <mergeCell ref="ND175:NE175"/>
    <mergeCell ref="OD174:OE174"/>
    <mergeCell ref="NZ171:OA171"/>
    <mergeCell ref="OB171:OC171"/>
    <mergeCell ref="OD171:OE171"/>
    <mergeCell ref="NX168:NY168"/>
    <mergeCell ref="OX324:OY324"/>
    <mergeCell ref="OZ324:PA324"/>
    <mergeCell ref="OP323:OQ323"/>
    <mergeCell ref="OR323:OS323"/>
    <mergeCell ref="OT323:OU323"/>
    <mergeCell ref="OV323:OW323"/>
    <mergeCell ref="OX323:OY323"/>
    <mergeCell ref="OZ323:PA323"/>
    <mergeCell ref="OP322:OQ322"/>
    <mergeCell ref="OR322:OS322"/>
    <mergeCell ref="OT322:OU322"/>
    <mergeCell ref="OV322:OW322"/>
    <mergeCell ref="OX322:OY322"/>
    <mergeCell ref="OZ322:PA322"/>
    <mergeCell ref="OP321:OQ321"/>
    <mergeCell ref="OR321:OS321"/>
    <mergeCell ref="OT321:OU321"/>
    <mergeCell ref="OV321:OW321"/>
    <mergeCell ref="OX321:OY321"/>
    <mergeCell ref="OZ321:PA321"/>
    <mergeCell ref="OP320:OQ320"/>
    <mergeCell ref="OR320:OS320"/>
    <mergeCell ref="OT320:OU320"/>
    <mergeCell ref="OV320:OW320"/>
    <mergeCell ref="OX320:OY320"/>
    <mergeCell ref="OZ320:PA320"/>
    <mergeCell ref="OP319:OQ319"/>
    <mergeCell ref="OR319:OS319"/>
    <mergeCell ref="OT319:OU319"/>
    <mergeCell ref="OV319:OW319"/>
    <mergeCell ref="OX319:OY319"/>
    <mergeCell ref="OZ319:PA319"/>
    <mergeCell ref="OP318:OQ318"/>
    <mergeCell ref="OR318:OS318"/>
    <mergeCell ref="OT318:OU318"/>
    <mergeCell ref="OV318:OW318"/>
    <mergeCell ref="OX318:OY318"/>
    <mergeCell ref="OZ318:PA318"/>
    <mergeCell ref="PB324:PC324"/>
    <mergeCell ref="PD324:PE324"/>
    <mergeCell ref="PF324:PG324"/>
    <mergeCell ref="PH324:PI324"/>
    <mergeCell ref="PJ324:PK324"/>
    <mergeCell ref="PL324:PM324"/>
    <mergeCell ref="PN324:PO324"/>
    <mergeCell ref="PP324:PQ324"/>
    <mergeCell ref="PR324:PS324"/>
    <mergeCell ref="PT324:PU324"/>
    <mergeCell ref="PV324:PW324"/>
    <mergeCell ref="PX324:PY324"/>
    <mergeCell ref="PZ324:QA324"/>
    <mergeCell ref="QB324:QC324"/>
    <mergeCell ref="QD324:QE324"/>
    <mergeCell ref="QF324:QG324"/>
    <mergeCell ref="QH324:QI324"/>
    <mergeCell ref="QJ324:QK324"/>
    <mergeCell ref="QL324:QM324"/>
    <mergeCell ref="QN324:QO324"/>
    <mergeCell ref="QP324:QQ324"/>
    <mergeCell ref="QR324:QS324"/>
    <mergeCell ref="QT324:QU324"/>
    <mergeCell ref="QV324:QW324"/>
    <mergeCell ref="QX324:QY324"/>
    <mergeCell ref="QZ324:RA324"/>
    <mergeCell ref="RB324:RC324"/>
    <mergeCell ref="MB324:MC324"/>
    <mergeCell ref="MD324:ME324"/>
    <mergeCell ref="MF324:MG324"/>
    <mergeCell ref="MH324:MI324"/>
    <mergeCell ref="MJ324:MK324"/>
    <mergeCell ref="ML324:MM324"/>
    <mergeCell ref="MN324:MO324"/>
    <mergeCell ref="MP324:MQ324"/>
    <mergeCell ref="MR324:MS324"/>
    <mergeCell ref="MT324:MU324"/>
    <mergeCell ref="MV324:MW324"/>
    <mergeCell ref="MX324:MY324"/>
    <mergeCell ref="MZ324:NA324"/>
    <mergeCell ref="NB324:NC324"/>
    <mergeCell ref="ND324:NE324"/>
    <mergeCell ref="NF324:NG324"/>
    <mergeCell ref="NH324:NI324"/>
    <mergeCell ref="NJ324:NK324"/>
    <mergeCell ref="NL324:NM324"/>
    <mergeCell ref="NN324:NO324"/>
    <mergeCell ref="NP324:NQ324"/>
    <mergeCell ref="NR324:NS324"/>
    <mergeCell ref="NT324:NU324"/>
    <mergeCell ref="NV324:NW324"/>
    <mergeCell ref="NX324:NY324"/>
    <mergeCell ref="NZ324:OA324"/>
    <mergeCell ref="OB324:OC324"/>
    <mergeCell ref="OD324:OE324"/>
    <mergeCell ref="OF324:OG324"/>
    <mergeCell ref="OH324:OI324"/>
    <mergeCell ref="OJ324:OK324"/>
    <mergeCell ref="OL324:OM324"/>
    <mergeCell ref="ON324:OO324"/>
    <mergeCell ref="OP324:OQ324"/>
    <mergeCell ref="OR324:OS324"/>
    <mergeCell ref="OT324:OU324"/>
    <mergeCell ref="OV324:OW324"/>
    <mergeCell ref="JN324:JO324"/>
    <mergeCell ref="JP324:JQ324"/>
    <mergeCell ref="JR324:JS324"/>
    <mergeCell ref="JT324:JU324"/>
    <mergeCell ref="JV324:JW324"/>
    <mergeCell ref="JX324:JY324"/>
    <mergeCell ref="JZ324:KA324"/>
    <mergeCell ref="KB324:KC324"/>
    <mergeCell ref="KD324:KE324"/>
    <mergeCell ref="KF324:KG324"/>
    <mergeCell ref="KH324:KI324"/>
    <mergeCell ref="KJ324:KK324"/>
    <mergeCell ref="KL324:KM324"/>
    <mergeCell ref="KN324:KO324"/>
    <mergeCell ref="KP324:KQ324"/>
    <mergeCell ref="KR324:KS324"/>
    <mergeCell ref="KT324:KU324"/>
    <mergeCell ref="KV324:KW324"/>
    <mergeCell ref="KX324:KY324"/>
    <mergeCell ref="KZ324:LA324"/>
    <mergeCell ref="LB324:LC324"/>
    <mergeCell ref="LD324:LE324"/>
    <mergeCell ref="LF324:LG324"/>
    <mergeCell ref="LH324:LI324"/>
    <mergeCell ref="LJ324:LK324"/>
    <mergeCell ref="LL324:LM324"/>
    <mergeCell ref="LN324:LO324"/>
    <mergeCell ref="LP324:LQ324"/>
    <mergeCell ref="LR324:LS324"/>
    <mergeCell ref="LT324:LU324"/>
    <mergeCell ref="LV324:LW324"/>
    <mergeCell ref="LX324:LY324"/>
    <mergeCell ref="LZ324:MA324"/>
    <mergeCell ref="PB323:PC323"/>
    <mergeCell ref="PD323:PE323"/>
    <mergeCell ref="PF323:PG323"/>
    <mergeCell ref="PH323:PI323"/>
    <mergeCell ref="PJ323:PK323"/>
    <mergeCell ref="PL323:PM323"/>
    <mergeCell ref="PN323:PO323"/>
    <mergeCell ref="PP323:PQ323"/>
    <mergeCell ref="PR323:PS323"/>
    <mergeCell ref="PT323:PU323"/>
    <mergeCell ref="PV323:PW323"/>
    <mergeCell ref="PX323:PY323"/>
    <mergeCell ref="PZ323:QA323"/>
    <mergeCell ref="QB323:QC323"/>
    <mergeCell ref="QD323:QE323"/>
    <mergeCell ref="QF323:QG323"/>
    <mergeCell ref="QH323:QI323"/>
    <mergeCell ref="QJ323:QK323"/>
    <mergeCell ref="QL323:QM323"/>
    <mergeCell ref="QN323:QO323"/>
    <mergeCell ref="QP323:QQ323"/>
    <mergeCell ref="QR323:QS323"/>
    <mergeCell ref="QT323:QU323"/>
    <mergeCell ref="QV323:QW323"/>
    <mergeCell ref="QX323:QY323"/>
    <mergeCell ref="QZ323:RA323"/>
    <mergeCell ref="RB323:RC323"/>
    <mergeCell ref="MB323:MC323"/>
    <mergeCell ref="MD323:ME323"/>
    <mergeCell ref="MF323:MG323"/>
    <mergeCell ref="MH323:MI323"/>
    <mergeCell ref="MJ323:MK323"/>
    <mergeCell ref="ML323:MM323"/>
    <mergeCell ref="MN323:MO323"/>
    <mergeCell ref="MP323:MQ323"/>
    <mergeCell ref="MR323:MS323"/>
    <mergeCell ref="MT323:MU323"/>
    <mergeCell ref="MV323:MW323"/>
    <mergeCell ref="MX323:MY323"/>
    <mergeCell ref="MZ323:NA323"/>
    <mergeCell ref="NB323:NC323"/>
    <mergeCell ref="ND323:NE323"/>
    <mergeCell ref="NF323:NG323"/>
    <mergeCell ref="NH323:NI323"/>
    <mergeCell ref="NJ323:NK323"/>
    <mergeCell ref="NL323:NM323"/>
    <mergeCell ref="NN323:NO323"/>
    <mergeCell ref="NP323:NQ323"/>
    <mergeCell ref="NR323:NS323"/>
    <mergeCell ref="NT323:NU323"/>
    <mergeCell ref="NV323:NW323"/>
    <mergeCell ref="NX323:NY323"/>
    <mergeCell ref="NZ323:OA323"/>
    <mergeCell ref="OB323:OC323"/>
    <mergeCell ref="OD323:OE323"/>
    <mergeCell ref="OF323:OG323"/>
    <mergeCell ref="OH323:OI323"/>
    <mergeCell ref="OJ323:OK323"/>
    <mergeCell ref="OL323:OM323"/>
    <mergeCell ref="ON323:OO323"/>
    <mergeCell ref="JN323:JO323"/>
    <mergeCell ref="JP323:JQ323"/>
    <mergeCell ref="JR323:JS323"/>
    <mergeCell ref="JT323:JU323"/>
    <mergeCell ref="JV323:JW323"/>
    <mergeCell ref="JX323:JY323"/>
    <mergeCell ref="JZ323:KA323"/>
    <mergeCell ref="KB323:KC323"/>
    <mergeCell ref="KD323:KE323"/>
    <mergeCell ref="KF323:KG323"/>
    <mergeCell ref="KH323:KI323"/>
    <mergeCell ref="KJ323:KK323"/>
    <mergeCell ref="KL323:KM323"/>
    <mergeCell ref="KN323:KO323"/>
    <mergeCell ref="KP323:KQ323"/>
    <mergeCell ref="KR323:KS323"/>
    <mergeCell ref="KT323:KU323"/>
    <mergeCell ref="KV323:KW323"/>
    <mergeCell ref="KX323:KY323"/>
    <mergeCell ref="KZ323:LA323"/>
    <mergeCell ref="LB323:LC323"/>
    <mergeCell ref="LD323:LE323"/>
    <mergeCell ref="LF323:LG323"/>
    <mergeCell ref="LH323:LI323"/>
    <mergeCell ref="LJ323:LK323"/>
    <mergeCell ref="LL323:LM323"/>
    <mergeCell ref="LN323:LO323"/>
    <mergeCell ref="LP323:LQ323"/>
    <mergeCell ref="LR323:LS323"/>
    <mergeCell ref="LT323:LU323"/>
    <mergeCell ref="LV323:LW323"/>
    <mergeCell ref="LX323:LY323"/>
    <mergeCell ref="LZ323:MA323"/>
    <mergeCell ref="PB322:PC322"/>
    <mergeCell ref="PD322:PE322"/>
    <mergeCell ref="PF322:PG322"/>
    <mergeCell ref="PH322:PI322"/>
    <mergeCell ref="PJ322:PK322"/>
    <mergeCell ref="PL322:PM322"/>
    <mergeCell ref="PN322:PO322"/>
    <mergeCell ref="PP322:PQ322"/>
    <mergeCell ref="PR322:PS322"/>
    <mergeCell ref="PT322:PU322"/>
    <mergeCell ref="PV322:PW322"/>
    <mergeCell ref="PX322:PY322"/>
    <mergeCell ref="PZ322:QA322"/>
    <mergeCell ref="QB322:QC322"/>
    <mergeCell ref="QD322:QE322"/>
    <mergeCell ref="QF322:QG322"/>
    <mergeCell ref="QH322:QI322"/>
    <mergeCell ref="QJ322:QK322"/>
    <mergeCell ref="QL322:QM322"/>
    <mergeCell ref="QN322:QO322"/>
    <mergeCell ref="QP322:QQ322"/>
    <mergeCell ref="QR322:QS322"/>
    <mergeCell ref="QT322:QU322"/>
    <mergeCell ref="QV322:QW322"/>
    <mergeCell ref="QX322:QY322"/>
    <mergeCell ref="QZ322:RA322"/>
    <mergeCell ref="RB322:RC322"/>
    <mergeCell ref="MB322:MC322"/>
    <mergeCell ref="MD322:ME322"/>
    <mergeCell ref="MF322:MG322"/>
    <mergeCell ref="MH322:MI322"/>
    <mergeCell ref="MJ322:MK322"/>
    <mergeCell ref="ML322:MM322"/>
    <mergeCell ref="MN322:MO322"/>
    <mergeCell ref="MP322:MQ322"/>
    <mergeCell ref="MR322:MS322"/>
    <mergeCell ref="MT322:MU322"/>
    <mergeCell ref="MV322:MW322"/>
    <mergeCell ref="MX322:MY322"/>
    <mergeCell ref="MZ322:NA322"/>
    <mergeCell ref="NB322:NC322"/>
    <mergeCell ref="ND322:NE322"/>
    <mergeCell ref="NF322:NG322"/>
    <mergeCell ref="NH322:NI322"/>
    <mergeCell ref="NJ322:NK322"/>
    <mergeCell ref="NL322:NM322"/>
    <mergeCell ref="NN322:NO322"/>
    <mergeCell ref="NP322:NQ322"/>
    <mergeCell ref="NR322:NS322"/>
    <mergeCell ref="NT322:NU322"/>
    <mergeCell ref="NV322:NW322"/>
    <mergeCell ref="NX322:NY322"/>
    <mergeCell ref="NZ322:OA322"/>
    <mergeCell ref="OB322:OC322"/>
    <mergeCell ref="OD322:OE322"/>
    <mergeCell ref="OF322:OG322"/>
    <mergeCell ref="OH322:OI322"/>
    <mergeCell ref="OJ322:OK322"/>
    <mergeCell ref="OL322:OM322"/>
    <mergeCell ref="ON322:OO322"/>
    <mergeCell ref="JN322:JO322"/>
    <mergeCell ref="JP322:JQ322"/>
    <mergeCell ref="JR322:JS322"/>
    <mergeCell ref="JT322:JU322"/>
    <mergeCell ref="JV322:JW322"/>
    <mergeCell ref="JX322:JY322"/>
    <mergeCell ref="JZ322:KA322"/>
    <mergeCell ref="KB322:KC322"/>
    <mergeCell ref="KD322:KE322"/>
    <mergeCell ref="KF322:KG322"/>
    <mergeCell ref="KH322:KI322"/>
    <mergeCell ref="KJ322:KK322"/>
    <mergeCell ref="KL322:KM322"/>
    <mergeCell ref="KN322:KO322"/>
    <mergeCell ref="KP322:KQ322"/>
    <mergeCell ref="KR322:KS322"/>
    <mergeCell ref="KT322:KU322"/>
    <mergeCell ref="KV322:KW322"/>
    <mergeCell ref="KX322:KY322"/>
    <mergeCell ref="KZ322:LA322"/>
    <mergeCell ref="LB322:LC322"/>
    <mergeCell ref="LD322:LE322"/>
    <mergeCell ref="LF322:LG322"/>
    <mergeCell ref="LH322:LI322"/>
    <mergeCell ref="LJ322:LK322"/>
    <mergeCell ref="LL322:LM322"/>
    <mergeCell ref="LN322:LO322"/>
    <mergeCell ref="LP322:LQ322"/>
    <mergeCell ref="LR322:LS322"/>
    <mergeCell ref="LT322:LU322"/>
    <mergeCell ref="LV322:LW322"/>
    <mergeCell ref="LX322:LY322"/>
    <mergeCell ref="LZ322:MA322"/>
    <mergeCell ref="PB321:PC321"/>
    <mergeCell ref="PD321:PE321"/>
    <mergeCell ref="PF321:PG321"/>
    <mergeCell ref="PH321:PI321"/>
    <mergeCell ref="PJ321:PK321"/>
    <mergeCell ref="PL321:PM321"/>
    <mergeCell ref="PN321:PO321"/>
    <mergeCell ref="PP321:PQ321"/>
    <mergeCell ref="PR321:PS321"/>
    <mergeCell ref="PT321:PU321"/>
    <mergeCell ref="PV321:PW321"/>
    <mergeCell ref="PX321:PY321"/>
    <mergeCell ref="PZ321:QA321"/>
    <mergeCell ref="QB321:QC321"/>
    <mergeCell ref="QD321:QE321"/>
    <mergeCell ref="QF321:QG321"/>
    <mergeCell ref="QH321:QI321"/>
    <mergeCell ref="QJ321:QK321"/>
    <mergeCell ref="QL321:QM321"/>
    <mergeCell ref="QN321:QO321"/>
    <mergeCell ref="QP321:QQ321"/>
    <mergeCell ref="QR321:QS321"/>
    <mergeCell ref="QT321:QU321"/>
    <mergeCell ref="QV321:QW321"/>
    <mergeCell ref="QX321:QY321"/>
    <mergeCell ref="QZ321:RA321"/>
    <mergeCell ref="RB321:RC321"/>
    <mergeCell ref="MB321:MC321"/>
    <mergeCell ref="MD321:ME321"/>
    <mergeCell ref="MF321:MG321"/>
    <mergeCell ref="MH321:MI321"/>
    <mergeCell ref="MJ321:MK321"/>
    <mergeCell ref="ML321:MM321"/>
    <mergeCell ref="MN321:MO321"/>
    <mergeCell ref="MP321:MQ321"/>
    <mergeCell ref="MR321:MS321"/>
    <mergeCell ref="MT321:MU321"/>
    <mergeCell ref="MV321:MW321"/>
    <mergeCell ref="MX321:MY321"/>
    <mergeCell ref="MZ321:NA321"/>
    <mergeCell ref="NB321:NC321"/>
    <mergeCell ref="ND321:NE321"/>
    <mergeCell ref="NF321:NG321"/>
    <mergeCell ref="NH321:NI321"/>
    <mergeCell ref="NJ321:NK321"/>
    <mergeCell ref="NL321:NM321"/>
    <mergeCell ref="NN321:NO321"/>
    <mergeCell ref="NP321:NQ321"/>
    <mergeCell ref="NR321:NS321"/>
    <mergeCell ref="NT321:NU321"/>
    <mergeCell ref="NV321:NW321"/>
    <mergeCell ref="NX321:NY321"/>
    <mergeCell ref="NZ321:OA321"/>
    <mergeCell ref="OB321:OC321"/>
    <mergeCell ref="OD321:OE321"/>
    <mergeCell ref="OF321:OG321"/>
    <mergeCell ref="OH321:OI321"/>
    <mergeCell ref="OJ321:OK321"/>
    <mergeCell ref="OL321:OM321"/>
    <mergeCell ref="ON321:OO321"/>
    <mergeCell ref="JN321:JO321"/>
    <mergeCell ref="JP321:JQ321"/>
    <mergeCell ref="JR321:JS321"/>
    <mergeCell ref="JT321:JU321"/>
    <mergeCell ref="JV321:JW321"/>
    <mergeCell ref="JX321:JY321"/>
    <mergeCell ref="JZ321:KA321"/>
    <mergeCell ref="KB321:KC321"/>
    <mergeCell ref="KD321:KE321"/>
    <mergeCell ref="KF321:KG321"/>
    <mergeCell ref="KH321:KI321"/>
    <mergeCell ref="KJ321:KK321"/>
    <mergeCell ref="KL321:KM321"/>
    <mergeCell ref="KN321:KO321"/>
    <mergeCell ref="KP321:KQ321"/>
    <mergeCell ref="KR321:KS321"/>
    <mergeCell ref="KT321:KU321"/>
    <mergeCell ref="KV321:KW321"/>
    <mergeCell ref="KX321:KY321"/>
    <mergeCell ref="KZ321:LA321"/>
    <mergeCell ref="LB321:LC321"/>
    <mergeCell ref="LD321:LE321"/>
    <mergeCell ref="LF321:LG321"/>
    <mergeCell ref="LH321:LI321"/>
    <mergeCell ref="LJ321:LK321"/>
    <mergeCell ref="LL321:LM321"/>
    <mergeCell ref="LN321:LO321"/>
    <mergeCell ref="LP321:LQ321"/>
    <mergeCell ref="LR321:LS321"/>
    <mergeCell ref="LT321:LU321"/>
    <mergeCell ref="LV321:LW321"/>
    <mergeCell ref="LX321:LY321"/>
    <mergeCell ref="LZ321:MA321"/>
    <mergeCell ref="PB320:PC320"/>
    <mergeCell ref="PD320:PE320"/>
    <mergeCell ref="PF320:PG320"/>
    <mergeCell ref="PH320:PI320"/>
    <mergeCell ref="PJ320:PK320"/>
    <mergeCell ref="PL320:PM320"/>
    <mergeCell ref="PN320:PO320"/>
    <mergeCell ref="PP320:PQ320"/>
    <mergeCell ref="PR320:PS320"/>
    <mergeCell ref="PT320:PU320"/>
    <mergeCell ref="PV320:PW320"/>
    <mergeCell ref="PX320:PY320"/>
    <mergeCell ref="PZ320:QA320"/>
    <mergeCell ref="QB320:QC320"/>
    <mergeCell ref="QD320:QE320"/>
    <mergeCell ref="QF320:QG320"/>
    <mergeCell ref="QH320:QI320"/>
    <mergeCell ref="QJ320:QK320"/>
    <mergeCell ref="QL320:QM320"/>
    <mergeCell ref="QN320:QO320"/>
    <mergeCell ref="QP320:QQ320"/>
    <mergeCell ref="QR320:QS320"/>
    <mergeCell ref="QT320:QU320"/>
    <mergeCell ref="QV320:QW320"/>
    <mergeCell ref="QX320:QY320"/>
    <mergeCell ref="QZ320:RA320"/>
    <mergeCell ref="RB320:RC320"/>
    <mergeCell ref="MB320:MC320"/>
    <mergeCell ref="MD320:ME320"/>
    <mergeCell ref="MF320:MG320"/>
    <mergeCell ref="MH320:MI320"/>
    <mergeCell ref="MJ320:MK320"/>
    <mergeCell ref="ML320:MM320"/>
    <mergeCell ref="MN320:MO320"/>
    <mergeCell ref="MP320:MQ320"/>
    <mergeCell ref="MR320:MS320"/>
    <mergeCell ref="MT320:MU320"/>
    <mergeCell ref="MV320:MW320"/>
    <mergeCell ref="MX320:MY320"/>
    <mergeCell ref="MZ320:NA320"/>
    <mergeCell ref="NB320:NC320"/>
    <mergeCell ref="ND320:NE320"/>
    <mergeCell ref="NF320:NG320"/>
    <mergeCell ref="NH320:NI320"/>
    <mergeCell ref="NJ320:NK320"/>
    <mergeCell ref="NL320:NM320"/>
    <mergeCell ref="NN320:NO320"/>
    <mergeCell ref="NP320:NQ320"/>
    <mergeCell ref="NR320:NS320"/>
    <mergeCell ref="NT320:NU320"/>
    <mergeCell ref="NV320:NW320"/>
    <mergeCell ref="NX320:NY320"/>
    <mergeCell ref="NZ320:OA320"/>
    <mergeCell ref="OB320:OC320"/>
    <mergeCell ref="OD320:OE320"/>
    <mergeCell ref="OF320:OG320"/>
    <mergeCell ref="OH320:OI320"/>
    <mergeCell ref="OJ320:OK320"/>
    <mergeCell ref="OL320:OM320"/>
    <mergeCell ref="ON320:OO320"/>
    <mergeCell ref="JN320:JO320"/>
    <mergeCell ref="JP320:JQ320"/>
    <mergeCell ref="JR320:JS320"/>
    <mergeCell ref="JT320:JU320"/>
    <mergeCell ref="JV320:JW320"/>
    <mergeCell ref="JX320:JY320"/>
    <mergeCell ref="JZ320:KA320"/>
    <mergeCell ref="KB320:KC320"/>
    <mergeCell ref="KD320:KE320"/>
    <mergeCell ref="KF320:KG320"/>
    <mergeCell ref="KH320:KI320"/>
    <mergeCell ref="KJ320:KK320"/>
    <mergeCell ref="KL320:KM320"/>
    <mergeCell ref="KN320:KO320"/>
    <mergeCell ref="KP320:KQ320"/>
    <mergeCell ref="KR320:KS320"/>
    <mergeCell ref="KT320:KU320"/>
    <mergeCell ref="KV320:KW320"/>
    <mergeCell ref="KX320:KY320"/>
    <mergeCell ref="KZ320:LA320"/>
    <mergeCell ref="LB320:LC320"/>
    <mergeCell ref="LD320:LE320"/>
    <mergeCell ref="LF320:LG320"/>
    <mergeCell ref="LH320:LI320"/>
    <mergeCell ref="LJ320:LK320"/>
    <mergeCell ref="LL320:LM320"/>
    <mergeCell ref="LN320:LO320"/>
    <mergeCell ref="LP320:LQ320"/>
    <mergeCell ref="LR320:LS320"/>
    <mergeCell ref="LT320:LU320"/>
    <mergeCell ref="LV320:LW320"/>
    <mergeCell ref="LX320:LY320"/>
    <mergeCell ref="LZ320:MA320"/>
    <mergeCell ref="PB319:PC319"/>
    <mergeCell ref="PD319:PE319"/>
    <mergeCell ref="PF319:PG319"/>
    <mergeCell ref="PH319:PI319"/>
    <mergeCell ref="PJ319:PK319"/>
    <mergeCell ref="PL319:PM319"/>
    <mergeCell ref="PN319:PO319"/>
    <mergeCell ref="PP319:PQ319"/>
    <mergeCell ref="PR319:PS319"/>
    <mergeCell ref="PT319:PU319"/>
    <mergeCell ref="PV319:PW319"/>
    <mergeCell ref="PX319:PY319"/>
    <mergeCell ref="PZ319:QA319"/>
    <mergeCell ref="QB319:QC319"/>
    <mergeCell ref="QD319:QE319"/>
    <mergeCell ref="QF319:QG319"/>
    <mergeCell ref="QH319:QI319"/>
    <mergeCell ref="QJ319:QK319"/>
    <mergeCell ref="QL319:QM319"/>
    <mergeCell ref="QN319:QO319"/>
    <mergeCell ref="QP319:QQ319"/>
    <mergeCell ref="QR319:QS319"/>
    <mergeCell ref="QT319:QU319"/>
    <mergeCell ref="QV319:QW319"/>
    <mergeCell ref="QX319:QY319"/>
    <mergeCell ref="QZ319:RA319"/>
    <mergeCell ref="RB319:RC319"/>
    <mergeCell ref="MB319:MC319"/>
    <mergeCell ref="MD319:ME319"/>
    <mergeCell ref="MF319:MG319"/>
    <mergeCell ref="MH319:MI319"/>
    <mergeCell ref="MJ319:MK319"/>
    <mergeCell ref="ML319:MM319"/>
    <mergeCell ref="MN319:MO319"/>
    <mergeCell ref="MP319:MQ319"/>
    <mergeCell ref="MR319:MS319"/>
    <mergeCell ref="MT319:MU319"/>
    <mergeCell ref="MV319:MW319"/>
    <mergeCell ref="MX319:MY319"/>
    <mergeCell ref="MZ319:NA319"/>
    <mergeCell ref="NB319:NC319"/>
    <mergeCell ref="ND319:NE319"/>
    <mergeCell ref="NF319:NG319"/>
    <mergeCell ref="NH319:NI319"/>
    <mergeCell ref="NJ319:NK319"/>
    <mergeCell ref="NL319:NM319"/>
    <mergeCell ref="NN319:NO319"/>
    <mergeCell ref="NP319:NQ319"/>
    <mergeCell ref="NR319:NS319"/>
    <mergeCell ref="NT319:NU319"/>
    <mergeCell ref="NV319:NW319"/>
    <mergeCell ref="NX319:NY319"/>
    <mergeCell ref="NZ319:OA319"/>
    <mergeCell ref="OB319:OC319"/>
    <mergeCell ref="OD319:OE319"/>
    <mergeCell ref="OF319:OG319"/>
    <mergeCell ref="OH319:OI319"/>
    <mergeCell ref="OJ319:OK319"/>
    <mergeCell ref="OL319:OM319"/>
    <mergeCell ref="ON319:OO319"/>
    <mergeCell ref="JN319:JO319"/>
    <mergeCell ref="JP319:JQ319"/>
    <mergeCell ref="JR319:JS319"/>
    <mergeCell ref="JT319:JU319"/>
    <mergeCell ref="JV319:JW319"/>
    <mergeCell ref="JX319:JY319"/>
    <mergeCell ref="JZ319:KA319"/>
    <mergeCell ref="KB319:KC319"/>
    <mergeCell ref="KD319:KE319"/>
    <mergeCell ref="KF319:KG319"/>
    <mergeCell ref="KH319:KI319"/>
    <mergeCell ref="KJ319:KK319"/>
    <mergeCell ref="KL319:KM319"/>
    <mergeCell ref="KN319:KO319"/>
    <mergeCell ref="KP319:KQ319"/>
    <mergeCell ref="KR319:KS319"/>
    <mergeCell ref="KT319:KU319"/>
    <mergeCell ref="KV319:KW319"/>
    <mergeCell ref="KX319:KY319"/>
    <mergeCell ref="KZ319:LA319"/>
    <mergeCell ref="LB319:LC319"/>
    <mergeCell ref="LD319:LE319"/>
    <mergeCell ref="LF319:LG319"/>
    <mergeCell ref="LH319:LI319"/>
    <mergeCell ref="LJ319:LK319"/>
    <mergeCell ref="LL319:LM319"/>
    <mergeCell ref="LN319:LO319"/>
    <mergeCell ref="LP319:LQ319"/>
    <mergeCell ref="LR319:LS319"/>
    <mergeCell ref="LT319:LU319"/>
    <mergeCell ref="LV319:LW319"/>
    <mergeCell ref="LX319:LY319"/>
    <mergeCell ref="LZ319:MA319"/>
    <mergeCell ref="PB318:PC318"/>
    <mergeCell ref="PD318:PE318"/>
    <mergeCell ref="PF318:PG318"/>
    <mergeCell ref="PH318:PI318"/>
    <mergeCell ref="PJ318:PK318"/>
    <mergeCell ref="PL318:PM318"/>
    <mergeCell ref="PN318:PO318"/>
    <mergeCell ref="PP318:PQ318"/>
    <mergeCell ref="PR318:PS318"/>
    <mergeCell ref="PT318:PU318"/>
    <mergeCell ref="PV318:PW318"/>
    <mergeCell ref="PX318:PY318"/>
    <mergeCell ref="PZ318:QA318"/>
    <mergeCell ref="QB318:QC318"/>
    <mergeCell ref="QD318:QE318"/>
    <mergeCell ref="QF318:QG318"/>
    <mergeCell ref="QH318:QI318"/>
    <mergeCell ref="QJ318:QK318"/>
    <mergeCell ref="QL318:QM318"/>
    <mergeCell ref="QN318:QO318"/>
    <mergeCell ref="QP318:QQ318"/>
    <mergeCell ref="QR318:QS318"/>
    <mergeCell ref="QT318:QU318"/>
    <mergeCell ref="QV318:QW318"/>
    <mergeCell ref="QX318:QY318"/>
    <mergeCell ref="QZ318:RA318"/>
    <mergeCell ref="RB318:RC318"/>
    <mergeCell ref="MB318:MC318"/>
    <mergeCell ref="MD318:ME318"/>
    <mergeCell ref="MF318:MG318"/>
    <mergeCell ref="MH318:MI318"/>
    <mergeCell ref="MJ318:MK318"/>
    <mergeCell ref="ML318:MM318"/>
    <mergeCell ref="MN318:MO318"/>
    <mergeCell ref="MP318:MQ318"/>
    <mergeCell ref="MR318:MS318"/>
    <mergeCell ref="MT318:MU318"/>
    <mergeCell ref="MV318:MW318"/>
    <mergeCell ref="MX318:MY318"/>
    <mergeCell ref="MZ318:NA318"/>
    <mergeCell ref="NB318:NC318"/>
    <mergeCell ref="ND318:NE318"/>
    <mergeCell ref="NF318:NG318"/>
    <mergeCell ref="NH318:NI318"/>
    <mergeCell ref="NJ318:NK318"/>
    <mergeCell ref="NL318:NM318"/>
    <mergeCell ref="NN318:NO318"/>
    <mergeCell ref="NP318:NQ318"/>
    <mergeCell ref="NR318:NS318"/>
    <mergeCell ref="NT318:NU318"/>
    <mergeCell ref="NV318:NW318"/>
    <mergeCell ref="NX318:NY318"/>
    <mergeCell ref="NZ318:OA318"/>
    <mergeCell ref="OB318:OC318"/>
    <mergeCell ref="OD318:OE318"/>
    <mergeCell ref="OF318:OG318"/>
    <mergeCell ref="OH318:OI318"/>
    <mergeCell ref="OJ318:OK318"/>
    <mergeCell ref="OL318:OM318"/>
    <mergeCell ref="ON318:OO318"/>
    <mergeCell ref="JN318:JO318"/>
    <mergeCell ref="JP318:JQ318"/>
    <mergeCell ref="JR318:JS318"/>
    <mergeCell ref="JT318:JU318"/>
    <mergeCell ref="JV318:JW318"/>
    <mergeCell ref="JX318:JY318"/>
    <mergeCell ref="JZ318:KA318"/>
    <mergeCell ref="KB318:KC318"/>
    <mergeCell ref="KD318:KE318"/>
    <mergeCell ref="KF318:KG318"/>
    <mergeCell ref="KH318:KI318"/>
    <mergeCell ref="KJ318:KK318"/>
    <mergeCell ref="KL318:KM318"/>
    <mergeCell ref="KN318:KO318"/>
    <mergeCell ref="KP318:KQ318"/>
    <mergeCell ref="KR318:KS318"/>
    <mergeCell ref="KT318:KU318"/>
    <mergeCell ref="KV318:KW318"/>
    <mergeCell ref="KX318:KY318"/>
    <mergeCell ref="KZ318:LA318"/>
    <mergeCell ref="LB318:LC318"/>
    <mergeCell ref="LD318:LE318"/>
    <mergeCell ref="LF318:LG318"/>
    <mergeCell ref="LH318:LI318"/>
    <mergeCell ref="LJ318:LK318"/>
    <mergeCell ref="LL318:LM318"/>
    <mergeCell ref="LN318:LO318"/>
    <mergeCell ref="LP318:LQ318"/>
    <mergeCell ref="LR318:LS318"/>
    <mergeCell ref="LT318:LU318"/>
    <mergeCell ref="LV318:LW318"/>
    <mergeCell ref="LX318:LY318"/>
    <mergeCell ref="LZ318:MA318"/>
    <mergeCell ref="OX317:OY317"/>
    <mergeCell ref="OZ317:PA317"/>
    <mergeCell ref="PB317:PC317"/>
    <mergeCell ref="PD317:PE317"/>
    <mergeCell ref="PF317:PG317"/>
    <mergeCell ref="PH317:PI317"/>
    <mergeCell ref="PJ317:PK317"/>
    <mergeCell ref="PL317:PM317"/>
    <mergeCell ref="PN317:PO317"/>
    <mergeCell ref="PP317:PQ317"/>
    <mergeCell ref="PR317:PS317"/>
    <mergeCell ref="PT317:PU317"/>
    <mergeCell ref="PV317:PW317"/>
    <mergeCell ref="PX317:PY317"/>
    <mergeCell ref="PZ317:QA317"/>
    <mergeCell ref="QB317:QC317"/>
    <mergeCell ref="QD317:QE317"/>
    <mergeCell ref="QF317:QG317"/>
    <mergeCell ref="QH317:QI317"/>
    <mergeCell ref="QJ317:QK317"/>
    <mergeCell ref="QL317:QM317"/>
    <mergeCell ref="QN317:QO317"/>
    <mergeCell ref="QP317:QQ317"/>
    <mergeCell ref="QR317:QS317"/>
    <mergeCell ref="QT317:QU317"/>
    <mergeCell ref="QV317:QW317"/>
    <mergeCell ref="QX317:QY317"/>
    <mergeCell ref="QZ317:RA317"/>
    <mergeCell ref="RB317:RC317"/>
    <mergeCell ref="MB317:MC317"/>
    <mergeCell ref="MD317:ME317"/>
    <mergeCell ref="MF317:MG317"/>
    <mergeCell ref="MH317:MI317"/>
    <mergeCell ref="MJ317:MK317"/>
    <mergeCell ref="ML317:MM317"/>
    <mergeCell ref="MN317:MO317"/>
    <mergeCell ref="MP317:MQ317"/>
    <mergeCell ref="MR317:MS317"/>
    <mergeCell ref="MT317:MU317"/>
    <mergeCell ref="MV317:MW317"/>
    <mergeCell ref="MX317:MY317"/>
    <mergeCell ref="MZ317:NA317"/>
    <mergeCell ref="NB317:NC317"/>
    <mergeCell ref="ND317:NE317"/>
    <mergeCell ref="NF317:NG317"/>
    <mergeCell ref="NH317:NI317"/>
    <mergeCell ref="NJ317:NK317"/>
    <mergeCell ref="NL317:NM317"/>
    <mergeCell ref="NN317:NO317"/>
    <mergeCell ref="NP317:NQ317"/>
    <mergeCell ref="NR317:NS317"/>
    <mergeCell ref="NT317:NU317"/>
    <mergeCell ref="NV317:NW317"/>
    <mergeCell ref="NX317:NY317"/>
    <mergeCell ref="NZ317:OA317"/>
    <mergeCell ref="OB317:OC317"/>
    <mergeCell ref="OD317:OE317"/>
    <mergeCell ref="OF317:OG317"/>
    <mergeCell ref="OH317:OI317"/>
    <mergeCell ref="OJ317:OK317"/>
    <mergeCell ref="OL317:OM317"/>
    <mergeCell ref="ON317:OO317"/>
    <mergeCell ref="OP317:OQ317"/>
    <mergeCell ref="OR317:OS317"/>
    <mergeCell ref="JN317:JO317"/>
    <mergeCell ref="JP317:JQ317"/>
    <mergeCell ref="JR317:JS317"/>
    <mergeCell ref="JT317:JU317"/>
    <mergeCell ref="JV317:JW317"/>
    <mergeCell ref="JX317:JY317"/>
    <mergeCell ref="JZ317:KA317"/>
    <mergeCell ref="KB317:KC317"/>
    <mergeCell ref="KD317:KE317"/>
    <mergeCell ref="KF317:KG317"/>
    <mergeCell ref="KH317:KI317"/>
    <mergeCell ref="KJ317:KK317"/>
    <mergeCell ref="KL317:KM317"/>
    <mergeCell ref="KN317:KO317"/>
    <mergeCell ref="KP317:KQ317"/>
    <mergeCell ref="KR317:KS317"/>
    <mergeCell ref="KT317:KU317"/>
    <mergeCell ref="KV317:KW317"/>
    <mergeCell ref="KX317:KY317"/>
    <mergeCell ref="KZ317:LA317"/>
    <mergeCell ref="LB317:LC317"/>
    <mergeCell ref="LD317:LE317"/>
    <mergeCell ref="LF317:LG317"/>
    <mergeCell ref="LH317:LI317"/>
    <mergeCell ref="LJ317:LK317"/>
    <mergeCell ref="LL317:LM317"/>
    <mergeCell ref="LN317:LO317"/>
    <mergeCell ref="LP317:LQ317"/>
    <mergeCell ref="LR317:LS317"/>
    <mergeCell ref="LT317:LU317"/>
    <mergeCell ref="LV317:LW317"/>
    <mergeCell ref="LX317:LY317"/>
    <mergeCell ref="LZ317:MA317"/>
    <mergeCell ref="OP316:OQ316"/>
    <mergeCell ref="OR316:OS316"/>
    <mergeCell ref="OT316:OU316"/>
    <mergeCell ref="OV316:OW316"/>
    <mergeCell ref="OX316:OY316"/>
    <mergeCell ref="OZ316:PA316"/>
    <mergeCell ref="PB316:PC316"/>
    <mergeCell ref="PD316:PE316"/>
    <mergeCell ref="PF316:PG316"/>
    <mergeCell ref="PH316:PI316"/>
    <mergeCell ref="PJ316:PK316"/>
    <mergeCell ref="PL316:PM316"/>
    <mergeCell ref="PN316:PO316"/>
    <mergeCell ref="PP316:PQ316"/>
    <mergeCell ref="PR316:PS316"/>
    <mergeCell ref="PT316:PU316"/>
    <mergeCell ref="PV316:PW316"/>
    <mergeCell ref="PX316:PY316"/>
    <mergeCell ref="PZ316:QA316"/>
    <mergeCell ref="QB316:QC316"/>
    <mergeCell ref="QD316:QE316"/>
    <mergeCell ref="QF316:QG316"/>
    <mergeCell ref="QH316:QI316"/>
    <mergeCell ref="QJ316:QK316"/>
    <mergeCell ref="QL316:QM316"/>
    <mergeCell ref="QN316:QO316"/>
    <mergeCell ref="QP316:QQ316"/>
    <mergeCell ref="QR316:QS316"/>
    <mergeCell ref="QT316:QU316"/>
    <mergeCell ref="QV316:QW316"/>
    <mergeCell ref="QX316:QY316"/>
    <mergeCell ref="QZ316:RA316"/>
    <mergeCell ref="RB316:RC316"/>
    <mergeCell ref="MB316:MC316"/>
    <mergeCell ref="MD316:ME316"/>
    <mergeCell ref="MF316:MG316"/>
    <mergeCell ref="MH316:MI316"/>
    <mergeCell ref="MJ316:MK316"/>
    <mergeCell ref="ML316:MM316"/>
    <mergeCell ref="MN316:MO316"/>
    <mergeCell ref="MP316:MQ316"/>
    <mergeCell ref="MR316:MS316"/>
    <mergeCell ref="MT316:MU316"/>
    <mergeCell ref="MV316:MW316"/>
    <mergeCell ref="MX316:MY316"/>
    <mergeCell ref="MZ316:NA316"/>
    <mergeCell ref="NB316:NC316"/>
    <mergeCell ref="ND316:NE316"/>
    <mergeCell ref="NF316:NG316"/>
    <mergeCell ref="NH316:NI316"/>
    <mergeCell ref="NJ316:NK316"/>
    <mergeCell ref="NL316:NM316"/>
    <mergeCell ref="NN316:NO316"/>
    <mergeCell ref="NP316:NQ316"/>
    <mergeCell ref="NR316:NS316"/>
    <mergeCell ref="NT316:NU316"/>
    <mergeCell ref="NV316:NW316"/>
    <mergeCell ref="NX316:NY316"/>
    <mergeCell ref="NZ316:OA316"/>
    <mergeCell ref="OB316:OC316"/>
    <mergeCell ref="OD316:OE316"/>
    <mergeCell ref="OF316:OG316"/>
    <mergeCell ref="OH316:OI316"/>
    <mergeCell ref="OJ316:OK316"/>
    <mergeCell ref="OL316:OM316"/>
    <mergeCell ref="ON316:OO316"/>
    <mergeCell ref="JN316:JO316"/>
    <mergeCell ref="JP316:JQ316"/>
    <mergeCell ref="JR316:JS316"/>
    <mergeCell ref="JT316:JU316"/>
    <mergeCell ref="JV316:JW316"/>
    <mergeCell ref="JX316:JY316"/>
    <mergeCell ref="JZ316:KA316"/>
    <mergeCell ref="KB316:KC316"/>
    <mergeCell ref="KD316:KE316"/>
    <mergeCell ref="KF316:KG316"/>
    <mergeCell ref="KH316:KI316"/>
    <mergeCell ref="KJ316:KK316"/>
    <mergeCell ref="KL316:KM316"/>
    <mergeCell ref="KN316:KO316"/>
    <mergeCell ref="KP316:KQ316"/>
    <mergeCell ref="KR316:KS316"/>
    <mergeCell ref="KT316:KU316"/>
    <mergeCell ref="KV316:KW316"/>
    <mergeCell ref="KX316:KY316"/>
    <mergeCell ref="KZ316:LA316"/>
    <mergeCell ref="LB316:LC316"/>
    <mergeCell ref="LD316:LE316"/>
    <mergeCell ref="LF316:LG316"/>
    <mergeCell ref="LH316:LI316"/>
    <mergeCell ref="LJ316:LK316"/>
    <mergeCell ref="LL316:LM316"/>
    <mergeCell ref="LN316:LO316"/>
    <mergeCell ref="LP316:LQ316"/>
    <mergeCell ref="LR316:LS316"/>
    <mergeCell ref="LT316:LU316"/>
    <mergeCell ref="LV316:LW316"/>
    <mergeCell ref="LX316:LY316"/>
    <mergeCell ref="LZ316:MA316"/>
    <mergeCell ref="OP315:OQ315"/>
    <mergeCell ref="OR315:OS315"/>
    <mergeCell ref="OT315:OU315"/>
    <mergeCell ref="OV315:OW315"/>
    <mergeCell ref="OX315:OY315"/>
    <mergeCell ref="OZ315:PA315"/>
    <mergeCell ref="PB315:PC315"/>
    <mergeCell ref="PD315:PE315"/>
    <mergeCell ref="PF315:PG315"/>
    <mergeCell ref="PH315:PI315"/>
    <mergeCell ref="PJ315:PK315"/>
    <mergeCell ref="PL315:PM315"/>
    <mergeCell ref="PN315:PO315"/>
    <mergeCell ref="PP315:PQ315"/>
    <mergeCell ref="PR315:PS315"/>
    <mergeCell ref="PT315:PU315"/>
    <mergeCell ref="PV315:PW315"/>
    <mergeCell ref="PX315:PY315"/>
    <mergeCell ref="PZ315:QA315"/>
    <mergeCell ref="QB315:QC315"/>
    <mergeCell ref="QD315:QE315"/>
    <mergeCell ref="QF315:QG315"/>
    <mergeCell ref="QH315:QI315"/>
    <mergeCell ref="QJ315:QK315"/>
    <mergeCell ref="QL315:QM315"/>
    <mergeCell ref="QN315:QO315"/>
    <mergeCell ref="QP315:QQ315"/>
    <mergeCell ref="QR315:QS315"/>
    <mergeCell ref="QT315:QU315"/>
    <mergeCell ref="QV315:QW315"/>
    <mergeCell ref="QX315:QY315"/>
    <mergeCell ref="QZ315:RA315"/>
    <mergeCell ref="RB315:RC315"/>
    <mergeCell ref="MB315:MC315"/>
    <mergeCell ref="MD315:ME315"/>
    <mergeCell ref="MF315:MG315"/>
    <mergeCell ref="MH315:MI315"/>
    <mergeCell ref="MJ315:MK315"/>
    <mergeCell ref="ML315:MM315"/>
    <mergeCell ref="MN315:MO315"/>
    <mergeCell ref="MP315:MQ315"/>
    <mergeCell ref="MR315:MS315"/>
    <mergeCell ref="MT315:MU315"/>
    <mergeCell ref="MV315:MW315"/>
    <mergeCell ref="MX315:MY315"/>
    <mergeCell ref="MZ315:NA315"/>
    <mergeCell ref="NB315:NC315"/>
    <mergeCell ref="ND315:NE315"/>
    <mergeCell ref="NF315:NG315"/>
    <mergeCell ref="NH315:NI315"/>
    <mergeCell ref="NJ315:NK315"/>
    <mergeCell ref="NL315:NM315"/>
    <mergeCell ref="NN315:NO315"/>
    <mergeCell ref="NP315:NQ315"/>
    <mergeCell ref="NR315:NS315"/>
    <mergeCell ref="NT315:NU315"/>
    <mergeCell ref="NV315:NW315"/>
    <mergeCell ref="NX315:NY315"/>
    <mergeCell ref="NZ315:OA315"/>
    <mergeCell ref="OB315:OC315"/>
    <mergeCell ref="OD315:OE315"/>
    <mergeCell ref="OF315:OG315"/>
    <mergeCell ref="OH315:OI315"/>
    <mergeCell ref="OJ315:OK315"/>
    <mergeCell ref="OL315:OM315"/>
    <mergeCell ref="ON315:OO315"/>
    <mergeCell ref="JN315:JO315"/>
    <mergeCell ref="JP315:JQ315"/>
    <mergeCell ref="JR315:JS315"/>
    <mergeCell ref="JT315:JU315"/>
    <mergeCell ref="JV315:JW315"/>
    <mergeCell ref="JX315:JY315"/>
    <mergeCell ref="JZ315:KA315"/>
    <mergeCell ref="KB315:KC315"/>
    <mergeCell ref="KD315:KE315"/>
    <mergeCell ref="KF315:KG315"/>
    <mergeCell ref="KH315:KI315"/>
    <mergeCell ref="KJ315:KK315"/>
    <mergeCell ref="KL315:KM315"/>
    <mergeCell ref="KN315:KO315"/>
    <mergeCell ref="KP315:KQ315"/>
    <mergeCell ref="KR315:KS315"/>
    <mergeCell ref="KT315:KU315"/>
    <mergeCell ref="KV315:KW315"/>
    <mergeCell ref="KX315:KY315"/>
    <mergeCell ref="KZ315:LA315"/>
    <mergeCell ref="LB315:LC315"/>
    <mergeCell ref="LD315:LE315"/>
    <mergeCell ref="LF315:LG315"/>
    <mergeCell ref="LH315:LI315"/>
    <mergeCell ref="LJ315:LK315"/>
    <mergeCell ref="LL315:LM315"/>
    <mergeCell ref="LN315:LO315"/>
    <mergeCell ref="LP315:LQ315"/>
    <mergeCell ref="LR315:LS315"/>
    <mergeCell ref="LT315:LU315"/>
    <mergeCell ref="LV315:LW315"/>
    <mergeCell ref="LX315:LY315"/>
    <mergeCell ref="LZ315:MA315"/>
    <mergeCell ref="OP314:OQ314"/>
    <mergeCell ref="OR314:OS314"/>
    <mergeCell ref="OT314:OU314"/>
    <mergeCell ref="OV314:OW314"/>
    <mergeCell ref="OX314:OY314"/>
    <mergeCell ref="OZ314:PA314"/>
    <mergeCell ref="PB314:PC314"/>
    <mergeCell ref="PD314:PE314"/>
    <mergeCell ref="PF314:PG314"/>
    <mergeCell ref="PH314:PI314"/>
    <mergeCell ref="PJ314:PK314"/>
    <mergeCell ref="PL314:PM314"/>
    <mergeCell ref="PN314:PO314"/>
    <mergeCell ref="PP314:PQ314"/>
    <mergeCell ref="PR314:PS314"/>
    <mergeCell ref="PT314:PU314"/>
    <mergeCell ref="PV314:PW314"/>
    <mergeCell ref="PX314:PY314"/>
    <mergeCell ref="PZ314:QA314"/>
    <mergeCell ref="QB314:QC314"/>
    <mergeCell ref="QD314:QE314"/>
    <mergeCell ref="QF314:QG314"/>
    <mergeCell ref="QH314:QI314"/>
    <mergeCell ref="QJ314:QK314"/>
    <mergeCell ref="QL314:QM314"/>
    <mergeCell ref="QN314:QO314"/>
    <mergeCell ref="QP314:QQ314"/>
    <mergeCell ref="QR314:QS314"/>
    <mergeCell ref="QT314:QU314"/>
    <mergeCell ref="QV314:QW314"/>
    <mergeCell ref="QX314:QY314"/>
    <mergeCell ref="QZ314:RA314"/>
    <mergeCell ref="RB314:RC314"/>
    <mergeCell ref="MB314:MC314"/>
    <mergeCell ref="MD314:ME314"/>
    <mergeCell ref="MF314:MG314"/>
    <mergeCell ref="MH314:MI314"/>
    <mergeCell ref="MJ314:MK314"/>
    <mergeCell ref="ML314:MM314"/>
    <mergeCell ref="MN314:MO314"/>
    <mergeCell ref="MP314:MQ314"/>
    <mergeCell ref="MR314:MS314"/>
    <mergeCell ref="MT314:MU314"/>
    <mergeCell ref="MV314:MW314"/>
    <mergeCell ref="MX314:MY314"/>
    <mergeCell ref="MZ314:NA314"/>
    <mergeCell ref="NB314:NC314"/>
    <mergeCell ref="ND314:NE314"/>
    <mergeCell ref="NF314:NG314"/>
    <mergeCell ref="NH314:NI314"/>
    <mergeCell ref="NJ314:NK314"/>
    <mergeCell ref="NL314:NM314"/>
    <mergeCell ref="NN314:NO314"/>
    <mergeCell ref="NP314:NQ314"/>
    <mergeCell ref="NR314:NS314"/>
    <mergeCell ref="NT314:NU314"/>
    <mergeCell ref="NV314:NW314"/>
    <mergeCell ref="NX314:NY314"/>
    <mergeCell ref="NZ314:OA314"/>
    <mergeCell ref="OB314:OC314"/>
    <mergeCell ref="OD314:OE314"/>
    <mergeCell ref="OF314:OG314"/>
    <mergeCell ref="OH314:OI314"/>
    <mergeCell ref="OJ314:OK314"/>
    <mergeCell ref="OL314:OM314"/>
    <mergeCell ref="ON314:OO314"/>
    <mergeCell ref="JN314:JO314"/>
    <mergeCell ref="JP314:JQ314"/>
    <mergeCell ref="JR314:JS314"/>
    <mergeCell ref="JT314:JU314"/>
    <mergeCell ref="JV314:JW314"/>
    <mergeCell ref="JX314:JY314"/>
    <mergeCell ref="JZ314:KA314"/>
    <mergeCell ref="KB314:KC314"/>
    <mergeCell ref="KD314:KE314"/>
    <mergeCell ref="KF314:KG314"/>
    <mergeCell ref="KH314:KI314"/>
    <mergeCell ref="KJ314:KK314"/>
    <mergeCell ref="KL314:KM314"/>
    <mergeCell ref="KN314:KO314"/>
    <mergeCell ref="KP314:KQ314"/>
    <mergeCell ref="KR314:KS314"/>
    <mergeCell ref="KT314:KU314"/>
    <mergeCell ref="KV314:KW314"/>
    <mergeCell ref="KX314:KY314"/>
    <mergeCell ref="KZ314:LA314"/>
    <mergeCell ref="LB314:LC314"/>
    <mergeCell ref="LD314:LE314"/>
    <mergeCell ref="LF314:LG314"/>
    <mergeCell ref="LH314:LI314"/>
    <mergeCell ref="LJ314:LK314"/>
    <mergeCell ref="LL314:LM314"/>
    <mergeCell ref="LN314:LO314"/>
    <mergeCell ref="LP314:LQ314"/>
    <mergeCell ref="LR314:LS314"/>
    <mergeCell ref="LT314:LU314"/>
    <mergeCell ref="LV314:LW314"/>
    <mergeCell ref="LX314:LY314"/>
    <mergeCell ref="LZ314:MA314"/>
    <mergeCell ref="OP313:OQ313"/>
    <mergeCell ref="OR313:OS313"/>
    <mergeCell ref="OT313:OU313"/>
    <mergeCell ref="OV313:OW313"/>
    <mergeCell ref="OX313:OY313"/>
    <mergeCell ref="OZ313:PA313"/>
    <mergeCell ref="PB313:PC313"/>
    <mergeCell ref="PD313:PE313"/>
    <mergeCell ref="PF313:PG313"/>
    <mergeCell ref="PH313:PI313"/>
    <mergeCell ref="PJ313:PK313"/>
    <mergeCell ref="PL313:PM313"/>
    <mergeCell ref="PN313:PO313"/>
    <mergeCell ref="PP313:PQ313"/>
    <mergeCell ref="PR313:PS313"/>
    <mergeCell ref="PT313:PU313"/>
    <mergeCell ref="PV313:PW313"/>
    <mergeCell ref="PX313:PY313"/>
    <mergeCell ref="PZ313:QA313"/>
    <mergeCell ref="QB313:QC313"/>
    <mergeCell ref="QD313:QE313"/>
    <mergeCell ref="QF313:QG313"/>
    <mergeCell ref="QH313:QI313"/>
    <mergeCell ref="QJ313:QK313"/>
    <mergeCell ref="QL313:QM313"/>
    <mergeCell ref="QN313:QO313"/>
    <mergeCell ref="QP313:QQ313"/>
    <mergeCell ref="QR313:QS313"/>
    <mergeCell ref="QT313:QU313"/>
    <mergeCell ref="QV313:QW313"/>
    <mergeCell ref="QX313:QY313"/>
    <mergeCell ref="QZ313:RA313"/>
    <mergeCell ref="RB313:RC313"/>
    <mergeCell ref="MB313:MC313"/>
    <mergeCell ref="MD313:ME313"/>
    <mergeCell ref="MF313:MG313"/>
    <mergeCell ref="MH313:MI313"/>
    <mergeCell ref="MJ313:MK313"/>
    <mergeCell ref="ML313:MM313"/>
    <mergeCell ref="MN313:MO313"/>
    <mergeCell ref="MP313:MQ313"/>
    <mergeCell ref="MR313:MS313"/>
    <mergeCell ref="MT313:MU313"/>
    <mergeCell ref="MV313:MW313"/>
    <mergeCell ref="MX313:MY313"/>
    <mergeCell ref="MZ313:NA313"/>
    <mergeCell ref="NB313:NC313"/>
    <mergeCell ref="ND313:NE313"/>
    <mergeCell ref="NF313:NG313"/>
    <mergeCell ref="NH313:NI313"/>
    <mergeCell ref="NJ313:NK313"/>
    <mergeCell ref="NL313:NM313"/>
    <mergeCell ref="NN313:NO313"/>
    <mergeCell ref="NP313:NQ313"/>
    <mergeCell ref="NR313:NS313"/>
    <mergeCell ref="NT313:NU313"/>
    <mergeCell ref="NV313:NW313"/>
    <mergeCell ref="NX313:NY313"/>
    <mergeCell ref="NZ313:OA313"/>
    <mergeCell ref="OB313:OC313"/>
    <mergeCell ref="OD313:OE313"/>
    <mergeCell ref="OF313:OG313"/>
    <mergeCell ref="OH313:OI313"/>
    <mergeCell ref="OJ313:OK313"/>
    <mergeCell ref="OL313:OM313"/>
    <mergeCell ref="ON313:OO313"/>
    <mergeCell ref="JN313:JO313"/>
    <mergeCell ref="JP313:JQ313"/>
    <mergeCell ref="JR313:JS313"/>
    <mergeCell ref="JT313:JU313"/>
    <mergeCell ref="JV313:JW313"/>
    <mergeCell ref="JX313:JY313"/>
    <mergeCell ref="JZ313:KA313"/>
    <mergeCell ref="KB313:KC313"/>
    <mergeCell ref="KD313:KE313"/>
    <mergeCell ref="KF313:KG313"/>
    <mergeCell ref="KH313:KI313"/>
    <mergeCell ref="KJ313:KK313"/>
    <mergeCell ref="KL313:KM313"/>
    <mergeCell ref="KN313:KO313"/>
    <mergeCell ref="KP313:KQ313"/>
    <mergeCell ref="KR313:KS313"/>
    <mergeCell ref="KT313:KU313"/>
    <mergeCell ref="KV313:KW313"/>
    <mergeCell ref="KX313:KY313"/>
    <mergeCell ref="KZ313:LA313"/>
    <mergeCell ref="LB313:LC313"/>
    <mergeCell ref="LD313:LE313"/>
    <mergeCell ref="LF313:LG313"/>
    <mergeCell ref="LH313:LI313"/>
    <mergeCell ref="LJ313:LK313"/>
    <mergeCell ref="LL313:LM313"/>
    <mergeCell ref="LN313:LO313"/>
    <mergeCell ref="LP313:LQ313"/>
    <mergeCell ref="LR313:LS313"/>
    <mergeCell ref="LT313:LU313"/>
    <mergeCell ref="LV313:LW313"/>
    <mergeCell ref="LX313:LY313"/>
    <mergeCell ref="LZ313:MA313"/>
    <mergeCell ref="OP312:OQ312"/>
    <mergeCell ref="OR312:OS312"/>
    <mergeCell ref="OT312:OU312"/>
    <mergeCell ref="OV312:OW312"/>
    <mergeCell ref="OX312:OY312"/>
    <mergeCell ref="OZ312:PA312"/>
    <mergeCell ref="PB312:PC312"/>
    <mergeCell ref="PD312:PE312"/>
    <mergeCell ref="PF312:PG312"/>
    <mergeCell ref="PH312:PI312"/>
    <mergeCell ref="PJ312:PK312"/>
    <mergeCell ref="PL312:PM312"/>
    <mergeCell ref="PN312:PO312"/>
    <mergeCell ref="PP312:PQ312"/>
    <mergeCell ref="PR312:PS312"/>
    <mergeCell ref="PT312:PU312"/>
    <mergeCell ref="PV312:PW312"/>
    <mergeCell ref="PX312:PY312"/>
    <mergeCell ref="PZ312:QA312"/>
    <mergeCell ref="QB312:QC312"/>
    <mergeCell ref="QD312:QE312"/>
    <mergeCell ref="QF312:QG312"/>
    <mergeCell ref="QH312:QI312"/>
    <mergeCell ref="QJ312:QK312"/>
    <mergeCell ref="QL312:QM312"/>
    <mergeCell ref="QN312:QO312"/>
    <mergeCell ref="QP312:QQ312"/>
    <mergeCell ref="QR312:QS312"/>
    <mergeCell ref="QT312:QU312"/>
    <mergeCell ref="QV312:QW312"/>
    <mergeCell ref="QX312:QY312"/>
    <mergeCell ref="QZ312:RA312"/>
    <mergeCell ref="RB312:RC312"/>
    <mergeCell ref="MB312:MC312"/>
    <mergeCell ref="MD312:ME312"/>
    <mergeCell ref="MF312:MG312"/>
    <mergeCell ref="MH312:MI312"/>
    <mergeCell ref="MJ312:MK312"/>
    <mergeCell ref="ML312:MM312"/>
    <mergeCell ref="MN312:MO312"/>
    <mergeCell ref="MP312:MQ312"/>
    <mergeCell ref="MR312:MS312"/>
    <mergeCell ref="MT312:MU312"/>
    <mergeCell ref="MV312:MW312"/>
    <mergeCell ref="MX312:MY312"/>
    <mergeCell ref="MZ312:NA312"/>
    <mergeCell ref="NB312:NC312"/>
    <mergeCell ref="ND312:NE312"/>
    <mergeCell ref="NF312:NG312"/>
    <mergeCell ref="NH312:NI312"/>
    <mergeCell ref="NJ312:NK312"/>
    <mergeCell ref="NL312:NM312"/>
    <mergeCell ref="NN312:NO312"/>
    <mergeCell ref="NP312:NQ312"/>
    <mergeCell ref="NR312:NS312"/>
    <mergeCell ref="NT312:NU312"/>
    <mergeCell ref="NV312:NW312"/>
    <mergeCell ref="NX312:NY312"/>
    <mergeCell ref="NZ312:OA312"/>
    <mergeCell ref="OB312:OC312"/>
    <mergeCell ref="OD312:OE312"/>
    <mergeCell ref="OF312:OG312"/>
    <mergeCell ref="OH312:OI312"/>
    <mergeCell ref="OJ312:OK312"/>
    <mergeCell ref="OL312:OM312"/>
    <mergeCell ref="ON312:OO312"/>
    <mergeCell ref="JN312:JO312"/>
    <mergeCell ref="JP312:JQ312"/>
    <mergeCell ref="JR312:JS312"/>
    <mergeCell ref="JT312:JU312"/>
    <mergeCell ref="JV312:JW312"/>
    <mergeCell ref="JX312:JY312"/>
    <mergeCell ref="JZ312:KA312"/>
    <mergeCell ref="KB312:KC312"/>
    <mergeCell ref="KD312:KE312"/>
    <mergeCell ref="KF312:KG312"/>
    <mergeCell ref="KH312:KI312"/>
    <mergeCell ref="KJ312:KK312"/>
    <mergeCell ref="KL312:KM312"/>
    <mergeCell ref="KN312:KO312"/>
    <mergeCell ref="KP312:KQ312"/>
    <mergeCell ref="KR312:KS312"/>
    <mergeCell ref="KT312:KU312"/>
    <mergeCell ref="KV312:KW312"/>
    <mergeCell ref="KX312:KY312"/>
    <mergeCell ref="KZ312:LA312"/>
    <mergeCell ref="LB312:LC312"/>
    <mergeCell ref="LD312:LE312"/>
    <mergeCell ref="LF312:LG312"/>
    <mergeCell ref="LH312:LI312"/>
    <mergeCell ref="LJ312:LK312"/>
    <mergeCell ref="LL312:LM312"/>
    <mergeCell ref="LN312:LO312"/>
    <mergeCell ref="LP312:LQ312"/>
    <mergeCell ref="LR312:LS312"/>
    <mergeCell ref="LT312:LU312"/>
    <mergeCell ref="LV312:LW312"/>
    <mergeCell ref="LX312:LY312"/>
    <mergeCell ref="LZ312:MA312"/>
    <mergeCell ref="OP311:OQ311"/>
    <mergeCell ref="OR311:OS311"/>
    <mergeCell ref="OT311:OU311"/>
    <mergeCell ref="OV311:OW311"/>
    <mergeCell ref="OX311:OY311"/>
    <mergeCell ref="OZ311:PA311"/>
    <mergeCell ref="PB311:PC311"/>
    <mergeCell ref="PD311:PE311"/>
    <mergeCell ref="PF311:PG311"/>
    <mergeCell ref="PH311:PI311"/>
    <mergeCell ref="PJ311:PK311"/>
    <mergeCell ref="PL311:PM311"/>
    <mergeCell ref="PN311:PO311"/>
    <mergeCell ref="PP311:PQ311"/>
    <mergeCell ref="PR311:PS311"/>
    <mergeCell ref="PT311:PU311"/>
    <mergeCell ref="PV311:PW311"/>
    <mergeCell ref="PX311:PY311"/>
    <mergeCell ref="PZ311:QA311"/>
    <mergeCell ref="QB311:QC311"/>
    <mergeCell ref="QD311:QE311"/>
    <mergeCell ref="QF311:QG311"/>
    <mergeCell ref="QH311:QI311"/>
    <mergeCell ref="QJ311:QK311"/>
    <mergeCell ref="QL311:QM311"/>
    <mergeCell ref="QN311:QO311"/>
    <mergeCell ref="QP311:QQ311"/>
    <mergeCell ref="QR311:QS311"/>
    <mergeCell ref="QT311:QU311"/>
    <mergeCell ref="QV311:QW311"/>
    <mergeCell ref="QX311:QY311"/>
    <mergeCell ref="QZ311:RA311"/>
    <mergeCell ref="RB311:RC311"/>
    <mergeCell ref="MB311:MC311"/>
    <mergeCell ref="MD311:ME311"/>
    <mergeCell ref="MF311:MG311"/>
    <mergeCell ref="MH311:MI311"/>
    <mergeCell ref="MJ311:MK311"/>
    <mergeCell ref="ML311:MM311"/>
    <mergeCell ref="MN311:MO311"/>
    <mergeCell ref="MP311:MQ311"/>
    <mergeCell ref="MR311:MS311"/>
    <mergeCell ref="MT311:MU311"/>
    <mergeCell ref="MV311:MW311"/>
    <mergeCell ref="MX311:MY311"/>
    <mergeCell ref="MZ311:NA311"/>
    <mergeCell ref="NB311:NC311"/>
    <mergeCell ref="ND311:NE311"/>
    <mergeCell ref="NF311:NG311"/>
    <mergeCell ref="NH311:NI311"/>
    <mergeCell ref="NJ311:NK311"/>
    <mergeCell ref="NL311:NM311"/>
    <mergeCell ref="NN311:NO311"/>
    <mergeCell ref="NP311:NQ311"/>
    <mergeCell ref="NR311:NS311"/>
    <mergeCell ref="NT311:NU311"/>
    <mergeCell ref="NV311:NW311"/>
    <mergeCell ref="NX311:NY311"/>
    <mergeCell ref="NZ311:OA311"/>
    <mergeCell ref="OB311:OC311"/>
    <mergeCell ref="OD311:OE311"/>
    <mergeCell ref="OF311:OG311"/>
    <mergeCell ref="OH311:OI311"/>
    <mergeCell ref="OJ311:OK311"/>
    <mergeCell ref="OL311:OM311"/>
    <mergeCell ref="ON311:OO311"/>
    <mergeCell ref="JN311:JO311"/>
    <mergeCell ref="JP311:JQ311"/>
    <mergeCell ref="JR311:JS311"/>
    <mergeCell ref="JT311:JU311"/>
    <mergeCell ref="JV311:JW311"/>
    <mergeCell ref="JX311:JY311"/>
    <mergeCell ref="JZ311:KA311"/>
    <mergeCell ref="KB311:KC311"/>
    <mergeCell ref="KD311:KE311"/>
    <mergeCell ref="KF311:KG311"/>
    <mergeCell ref="KH311:KI311"/>
    <mergeCell ref="KJ311:KK311"/>
    <mergeCell ref="KL311:KM311"/>
    <mergeCell ref="KN311:KO311"/>
    <mergeCell ref="KP311:KQ311"/>
    <mergeCell ref="KR311:KS311"/>
    <mergeCell ref="KT311:KU311"/>
    <mergeCell ref="KV311:KW311"/>
    <mergeCell ref="KX311:KY311"/>
    <mergeCell ref="KZ311:LA311"/>
    <mergeCell ref="LB311:LC311"/>
    <mergeCell ref="LD311:LE311"/>
    <mergeCell ref="LF311:LG311"/>
    <mergeCell ref="LH311:LI311"/>
    <mergeCell ref="LJ311:LK311"/>
    <mergeCell ref="LL311:LM311"/>
    <mergeCell ref="LN311:LO311"/>
    <mergeCell ref="LP311:LQ311"/>
    <mergeCell ref="LR311:LS311"/>
    <mergeCell ref="LT311:LU311"/>
    <mergeCell ref="LV311:LW311"/>
    <mergeCell ref="LX311:LY311"/>
    <mergeCell ref="LZ311:MA311"/>
    <mergeCell ref="OP310:OQ310"/>
    <mergeCell ref="OR310:OS310"/>
    <mergeCell ref="OT310:OU310"/>
    <mergeCell ref="OV310:OW310"/>
    <mergeCell ref="OX310:OY310"/>
    <mergeCell ref="OZ310:PA310"/>
    <mergeCell ref="PB310:PC310"/>
    <mergeCell ref="PD310:PE310"/>
    <mergeCell ref="PF310:PG310"/>
    <mergeCell ref="PH310:PI310"/>
    <mergeCell ref="PJ310:PK310"/>
    <mergeCell ref="PL310:PM310"/>
    <mergeCell ref="PN310:PO310"/>
    <mergeCell ref="PP310:PQ310"/>
    <mergeCell ref="PR310:PS310"/>
    <mergeCell ref="PT310:PU310"/>
    <mergeCell ref="PV310:PW310"/>
    <mergeCell ref="PX310:PY310"/>
    <mergeCell ref="PZ310:QA310"/>
    <mergeCell ref="QB310:QC310"/>
    <mergeCell ref="QD310:QE310"/>
    <mergeCell ref="QF310:QG310"/>
    <mergeCell ref="QH310:QI310"/>
    <mergeCell ref="QJ310:QK310"/>
    <mergeCell ref="QL310:QM310"/>
    <mergeCell ref="QN310:QO310"/>
    <mergeCell ref="QP310:QQ310"/>
    <mergeCell ref="QR310:QS310"/>
    <mergeCell ref="QT310:QU310"/>
    <mergeCell ref="QV310:QW310"/>
    <mergeCell ref="QX310:QY310"/>
    <mergeCell ref="QZ310:RA310"/>
    <mergeCell ref="RB310:RC310"/>
    <mergeCell ref="MB310:MC310"/>
    <mergeCell ref="MD310:ME310"/>
    <mergeCell ref="MF310:MG310"/>
    <mergeCell ref="MH310:MI310"/>
    <mergeCell ref="MJ310:MK310"/>
    <mergeCell ref="ML310:MM310"/>
    <mergeCell ref="MN310:MO310"/>
    <mergeCell ref="MP310:MQ310"/>
    <mergeCell ref="MR310:MS310"/>
    <mergeCell ref="MT310:MU310"/>
    <mergeCell ref="MV310:MW310"/>
    <mergeCell ref="MX310:MY310"/>
    <mergeCell ref="MZ310:NA310"/>
    <mergeCell ref="NB310:NC310"/>
    <mergeCell ref="ND310:NE310"/>
    <mergeCell ref="NF310:NG310"/>
    <mergeCell ref="NH310:NI310"/>
    <mergeCell ref="NJ310:NK310"/>
    <mergeCell ref="NL310:NM310"/>
    <mergeCell ref="NN310:NO310"/>
    <mergeCell ref="NP310:NQ310"/>
    <mergeCell ref="NR310:NS310"/>
    <mergeCell ref="NT310:NU310"/>
    <mergeCell ref="NV310:NW310"/>
    <mergeCell ref="NX310:NY310"/>
    <mergeCell ref="NZ310:OA310"/>
    <mergeCell ref="OB310:OC310"/>
    <mergeCell ref="OD310:OE310"/>
    <mergeCell ref="OF310:OG310"/>
    <mergeCell ref="OH310:OI310"/>
    <mergeCell ref="OJ310:OK310"/>
    <mergeCell ref="OL310:OM310"/>
    <mergeCell ref="ON310:OO310"/>
    <mergeCell ref="JN310:JO310"/>
    <mergeCell ref="JP310:JQ310"/>
    <mergeCell ref="JR310:JS310"/>
    <mergeCell ref="JT310:JU310"/>
    <mergeCell ref="JV310:JW310"/>
    <mergeCell ref="JX310:JY310"/>
    <mergeCell ref="JZ310:KA310"/>
    <mergeCell ref="KB310:KC310"/>
    <mergeCell ref="KD310:KE310"/>
    <mergeCell ref="KF310:KG310"/>
    <mergeCell ref="KH310:KI310"/>
    <mergeCell ref="KJ310:KK310"/>
    <mergeCell ref="KL310:KM310"/>
    <mergeCell ref="KN310:KO310"/>
    <mergeCell ref="KP310:KQ310"/>
    <mergeCell ref="KR310:KS310"/>
    <mergeCell ref="KT310:KU310"/>
    <mergeCell ref="KV310:KW310"/>
    <mergeCell ref="KX310:KY310"/>
    <mergeCell ref="KZ310:LA310"/>
    <mergeCell ref="LB310:LC310"/>
    <mergeCell ref="LD310:LE310"/>
    <mergeCell ref="LF310:LG310"/>
    <mergeCell ref="LH310:LI310"/>
    <mergeCell ref="LJ310:LK310"/>
    <mergeCell ref="LL310:LM310"/>
    <mergeCell ref="LN310:LO310"/>
    <mergeCell ref="LP310:LQ310"/>
    <mergeCell ref="LR310:LS310"/>
    <mergeCell ref="LT310:LU310"/>
    <mergeCell ref="LV310:LW310"/>
    <mergeCell ref="LX310:LY310"/>
    <mergeCell ref="LZ310:MA310"/>
    <mergeCell ref="OP309:OQ309"/>
    <mergeCell ref="OR309:OS309"/>
    <mergeCell ref="OT309:OU309"/>
    <mergeCell ref="OV309:OW309"/>
    <mergeCell ref="OX309:OY309"/>
    <mergeCell ref="OZ309:PA309"/>
    <mergeCell ref="PB309:PC309"/>
    <mergeCell ref="PD309:PE309"/>
    <mergeCell ref="PF309:PG309"/>
    <mergeCell ref="PH309:PI309"/>
    <mergeCell ref="PJ309:PK309"/>
    <mergeCell ref="PL309:PM309"/>
    <mergeCell ref="PN309:PO309"/>
    <mergeCell ref="PP309:PQ309"/>
    <mergeCell ref="PR309:PS309"/>
    <mergeCell ref="PT309:PU309"/>
    <mergeCell ref="PV309:PW309"/>
    <mergeCell ref="PX309:PY309"/>
    <mergeCell ref="PZ309:QA309"/>
    <mergeCell ref="QB309:QC309"/>
    <mergeCell ref="QD309:QE309"/>
    <mergeCell ref="QF309:QG309"/>
    <mergeCell ref="QH309:QI309"/>
    <mergeCell ref="QJ309:QK309"/>
    <mergeCell ref="QL309:QM309"/>
    <mergeCell ref="QN309:QO309"/>
    <mergeCell ref="QP309:QQ309"/>
    <mergeCell ref="QR309:QS309"/>
    <mergeCell ref="QT309:QU309"/>
    <mergeCell ref="QV309:QW309"/>
    <mergeCell ref="QX309:QY309"/>
    <mergeCell ref="QZ309:RA309"/>
    <mergeCell ref="RB309:RC309"/>
    <mergeCell ref="MB309:MC309"/>
    <mergeCell ref="MD309:ME309"/>
    <mergeCell ref="MF309:MG309"/>
    <mergeCell ref="MH309:MI309"/>
    <mergeCell ref="MJ309:MK309"/>
    <mergeCell ref="ML309:MM309"/>
    <mergeCell ref="MN309:MO309"/>
    <mergeCell ref="MP309:MQ309"/>
    <mergeCell ref="MR309:MS309"/>
    <mergeCell ref="MT309:MU309"/>
    <mergeCell ref="MV309:MW309"/>
    <mergeCell ref="MX309:MY309"/>
    <mergeCell ref="MZ309:NA309"/>
    <mergeCell ref="NB309:NC309"/>
    <mergeCell ref="ND309:NE309"/>
    <mergeCell ref="NF309:NG309"/>
    <mergeCell ref="NH309:NI309"/>
    <mergeCell ref="NJ309:NK309"/>
    <mergeCell ref="NL309:NM309"/>
    <mergeCell ref="NN309:NO309"/>
    <mergeCell ref="NP309:NQ309"/>
    <mergeCell ref="NR309:NS309"/>
    <mergeCell ref="NT309:NU309"/>
    <mergeCell ref="NV309:NW309"/>
    <mergeCell ref="NX309:NY309"/>
    <mergeCell ref="NZ309:OA309"/>
    <mergeCell ref="OB309:OC309"/>
    <mergeCell ref="OD309:OE309"/>
    <mergeCell ref="OF309:OG309"/>
    <mergeCell ref="OH309:OI309"/>
    <mergeCell ref="OJ309:OK309"/>
    <mergeCell ref="OL309:OM309"/>
    <mergeCell ref="ON309:OO309"/>
    <mergeCell ref="JN309:JO309"/>
    <mergeCell ref="JP309:JQ309"/>
    <mergeCell ref="JR309:JS309"/>
    <mergeCell ref="JT309:JU309"/>
    <mergeCell ref="JV309:JW309"/>
    <mergeCell ref="JX309:JY309"/>
    <mergeCell ref="JZ309:KA309"/>
    <mergeCell ref="KB309:KC309"/>
    <mergeCell ref="KD309:KE309"/>
    <mergeCell ref="KF309:KG309"/>
    <mergeCell ref="KH309:KI309"/>
    <mergeCell ref="KJ309:KK309"/>
    <mergeCell ref="KL309:KM309"/>
    <mergeCell ref="KN309:KO309"/>
    <mergeCell ref="KP309:KQ309"/>
    <mergeCell ref="KR309:KS309"/>
    <mergeCell ref="KT309:KU309"/>
    <mergeCell ref="KV309:KW309"/>
    <mergeCell ref="KX309:KY309"/>
    <mergeCell ref="KZ309:LA309"/>
    <mergeCell ref="LB309:LC309"/>
    <mergeCell ref="LD309:LE309"/>
    <mergeCell ref="LF309:LG309"/>
    <mergeCell ref="LH309:LI309"/>
    <mergeCell ref="LJ309:LK309"/>
    <mergeCell ref="LL309:LM309"/>
    <mergeCell ref="LN309:LO309"/>
    <mergeCell ref="LP309:LQ309"/>
    <mergeCell ref="LR309:LS309"/>
    <mergeCell ref="LT309:LU309"/>
    <mergeCell ref="LV309:LW309"/>
    <mergeCell ref="LX309:LY309"/>
    <mergeCell ref="LZ309:MA309"/>
    <mergeCell ref="OP308:OQ308"/>
    <mergeCell ref="OR308:OS308"/>
    <mergeCell ref="OT308:OU308"/>
    <mergeCell ref="OV308:OW308"/>
    <mergeCell ref="OX308:OY308"/>
    <mergeCell ref="OZ308:PA308"/>
    <mergeCell ref="PB308:PC308"/>
    <mergeCell ref="PD308:PE308"/>
    <mergeCell ref="PF308:PG308"/>
    <mergeCell ref="PH308:PI308"/>
    <mergeCell ref="PJ308:PK308"/>
    <mergeCell ref="PL308:PM308"/>
    <mergeCell ref="PN308:PO308"/>
    <mergeCell ref="PP308:PQ308"/>
    <mergeCell ref="PR308:PS308"/>
    <mergeCell ref="PT308:PU308"/>
    <mergeCell ref="PV308:PW308"/>
    <mergeCell ref="PX308:PY308"/>
    <mergeCell ref="PZ308:QA308"/>
    <mergeCell ref="QB308:QC308"/>
    <mergeCell ref="QD308:QE308"/>
    <mergeCell ref="QF308:QG308"/>
    <mergeCell ref="QH308:QI308"/>
    <mergeCell ref="QJ308:QK308"/>
    <mergeCell ref="QL308:QM308"/>
    <mergeCell ref="QN308:QO308"/>
    <mergeCell ref="QP308:QQ308"/>
    <mergeCell ref="QR308:QS308"/>
    <mergeCell ref="QT308:QU308"/>
    <mergeCell ref="QV308:QW308"/>
    <mergeCell ref="QX308:QY308"/>
    <mergeCell ref="QZ308:RA308"/>
    <mergeCell ref="RB308:RC308"/>
    <mergeCell ref="MB308:MC308"/>
    <mergeCell ref="MD308:ME308"/>
    <mergeCell ref="MF308:MG308"/>
    <mergeCell ref="MH308:MI308"/>
    <mergeCell ref="MJ308:MK308"/>
    <mergeCell ref="ML308:MM308"/>
    <mergeCell ref="MN308:MO308"/>
    <mergeCell ref="MP308:MQ308"/>
    <mergeCell ref="MR308:MS308"/>
    <mergeCell ref="MT308:MU308"/>
    <mergeCell ref="MV308:MW308"/>
    <mergeCell ref="MX308:MY308"/>
    <mergeCell ref="MZ308:NA308"/>
    <mergeCell ref="NB308:NC308"/>
    <mergeCell ref="ND308:NE308"/>
    <mergeCell ref="NF308:NG308"/>
    <mergeCell ref="NH308:NI308"/>
    <mergeCell ref="NJ308:NK308"/>
    <mergeCell ref="NL308:NM308"/>
    <mergeCell ref="NN308:NO308"/>
    <mergeCell ref="NP308:NQ308"/>
    <mergeCell ref="NR308:NS308"/>
    <mergeCell ref="NT308:NU308"/>
    <mergeCell ref="NV308:NW308"/>
    <mergeCell ref="NX308:NY308"/>
    <mergeCell ref="NZ308:OA308"/>
    <mergeCell ref="OB308:OC308"/>
    <mergeCell ref="OD308:OE308"/>
    <mergeCell ref="OF308:OG308"/>
    <mergeCell ref="OH308:OI308"/>
    <mergeCell ref="OJ308:OK308"/>
    <mergeCell ref="OL308:OM308"/>
    <mergeCell ref="ON308:OO308"/>
    <mergeCell ref="JN308:JO308"/>
    <mergeCell ref="JP308:JQ308"/>
    <mergeCell ref="JR308:JS308"/>
    <mergeCell ref="JT308:JU308"/>
    <mergeCell ref="JV308:JW308"/>
    <mergeCell ref="JX308:JY308"/>
    <mergeCell ref="JZ308:KA308"/>
    <mergeCell ref="KB308:KC308"/>
    <mergeCell ref="KD308:KE308"/>
    <mergeCell ref="KF308:KG308"/>
    <mergeCell ref="KH308:KI308"/>
    <mergeCell ref="KJ308:KK308"/>
    <mergeCell ref="KL308:KM308"/>
    <mergeCell ref="KN308:KO308"/>
    <mergeCell ref="KP308:KQ308"/>
    <mergeCell ref="KR308:KS308"/>
    <mergeCell ref="KT308:KU308"/>
    <mergeCell ref="KV308:KW308"/>
    <mergeCell ref="KX308:KY308"/>
    <mergeCell ref="KZ308:LA308"/>
    <mergeCell ref="LB308:LC308"/>
    <mergeCell ref="LD308:LE308"/>
    <mergeCell ref="LF308:LG308"/>
    <mergeCell ref="LH308:LI308"/>
    <mergeCell ref="LJ308:LK308"/>
    <mergeCell ref="LL308:LM308"/>
    <mergeCell ref="LN308:LO308"/>
    <mergeCell ref="LP308:LQ308"/>
    <mergeCell ref="LR308:LS308"/>
    <mergeCell ref="LT308:LU308"/>
    <mergeCell ref="LV308:LW308"/>
    <mergeCell ref="LX308:LY308"/>
    <mergeCell ref="LZ308:MA308"/>
    <mergeCell ref="OP307:OQ307"/>
    <mergeCell ref="OR307:OS307"/>
    <mergeCell ref="OT307:OU307"/>
    <mergeCell ref="OV307:OW307"/>
    <mergeCell ref="OX307:OY307"/>
    <mergeCell ref="OZ307:PA307"/>
    <mergeCell ref="PB307:PC307"/>
    <mergeCell ref="PD307:PE307"/>
    <mergeCell ref="PF307:PG307"/>
    <mergeCell ref="PH307:PI307"/>
    <mergeCell ref="PJ307:PK307"/>
    <mergeCell ref="PL307:PM307"/>
    <mergeCell ref="PN307:PO307"/>
    <mergeCell ref="PP307:PQ307"/>
    <mergeCell ref="PR307:PS307"/>
    <mergeCell ref="PT307:PU307"/>
    <mergeCell ref="PV307:PW307"/>
    <mergeCell ref="PX307:PY307"/>
    <mergeCell ref="PZ307:QA307"/>
    <mergeCell ref="QB307:QC307"/>
    <mergeCell ref="QD307:QE307"/>
    <mergeCell ref="QF307:QG307"/>
    <mergeCell ref="QH307:QI307"/>
    <mergeCell ref="QJ307:QK307"/>
    <mergeCell ref="QL307:QM307"/>
    <mergeCell ref="QN307:QO307"/>
    <mergeCell ref="QP307:QQ307"/>
    <mergeCell ref="QR307:QS307"/>
    <mergeCell ref="QT307:QU307"/>
    <mergeCell ref="QV307:QW307"/>
    <mergeCell ref="QX307:QY307"/>
    <mergeCell ref="QZ307:RA307"/>
    <mergeCell ref="RB307:RC307"/>
    <mergeCell ref="MB307:MC307"/>
    <mergeCell ref="MD307:ME307"/>
    <mergeCell ref="MF307:MG307"/>
    <mergeCell ref="MH307:MI307"/>
    <mergeCell ref="MJ307:MK307"/>
    <mergeCell ref="ML307:MM307"/>
    <mergeCell ref="MN307:MO307"/>
    <mergeCell ref="MP307:MQ307"/>
    <mergeCell ref="MR307:MS307"/>
    <mergeCell ref="MT307:MU307"/>
    <mergeCell ref="MV307:MW307"/>
    <mergeCell ref="MX307:MY307"/>
    <mergeCell ref="MZ307:NA307"/>
    <mergeCell ref="NB307:NC307"/>
    <mergeCell ref="ND307:NE307"/>
    <mergeCell ref="NF307:NG307"/>
    <mergeCell ref="NH307:NI307"/>
    <mergeCell ref="NJ307:NK307"/>
    <mergeCell ref="NL307:NM307"/>
    <mergeCell ref="NN307:NO307"/>
    <mergeCell ref="NP307:NQ307"/>
    <mergeCell ref="NR307:NS307"/>
    <mergeCell ref="NT307:NU307"/>
    <mergeCell ref="NV307:NW307"/>
    <mergeCell ref="NX307:NY307"/>
    <mergeCell ref="NZ307:OA307"/>
    <mergeCell ref="OB307:OC307"/>
    <mergeCell ref="OD307:OE307"/>
    <mergeCell ref="OF307:OG307"/>
    <mergeCell ref="OH307:OI307"/>
    <mergeCell ref="OJ307:OK307"/>
    <mergeCell ref="OL307:OM307"/>
    <mergeCell ref="ON307:OO307"/>
    <mergeCell ref="JN307:JO307"/>
    <mergeCell ref="JP307:JQ307"/>
    <mergeCell ref="JR307:JS307"/>
    <mergeCell ref="JT307:JU307"/>
    <mergeCell ref="JV307:JW307"/>
    <mergeCell ref="JX307:JY307"/>
    <mergeCell ref="JZ307:KA307"/>
    <mergeCell ref="KB307:KC307"/>
    <mergeCell ref="KD307:KE307"/>
    <mergeCell ref="KF307:KG307"/>
    <mergeCell ref="KH307:KI307"/>
    <mergeCell ref="KJ307:KK307"/>
    <mergeCell ref="KL307:KM307"/>
    <mergeCell ref="KN307:KO307"/>
    <mergeCell ref="KP307:KQ307"/>
    <mergeCell ref="KR307:KS307"/>
    <mergeCell ref="KT307:KU307"/>
    <mergeCell ref="KV307:KW307"/>
    <mergeCell ref="KX307:KY307"/>
    <mergeCell ref="KZ307:LA307"/>
    <mergeCell ref="LB307:LC307"/>
    <mergeCell ref="LD307:LE307"/>
    <mergeCell ref="LF307:LG307"/>
    <mergeCell ref="LH307:LI307"/>
    <mergeCell ref="LJ307:LK307"/>
    <mergeCell ref="LL307:LM307"/>
    <mergeCell ref="LN307:LO307"/>
    <mergeCell ref="LP307:LQ307"/>
    <mergeCell ref="LR307:LS307"/>
    <mergeCell ref="LT307:LU307"/>
    <mergeCell ref="LV307:LW307"/>
    <mergeCell ref="LX307:LY307"/>
    <mergeCell ref="LZ307:MA307"/>
    <mergeCell ref="OP306:OQ306"/>
    <mergeCell ref="OR306:OS306"/>
    <mergeCell ref="OT306:OU306"/>
    <mergeCell ref="OV306:OW306"/>
    <mergeCell ref="OX306:OY306"/>
    <mergeCell ref="OZ306:PA306"/>
    <mergeCell ref="PB306:PC306"/>
    <mergeCell ref="PD306:PE306"/>
    <mergeCell ref="PF306:PG306"/>
    <mergeCell ref="PH306:PI306"/>
    <mergeCell ref="PJ306:PK306"/>
    <mergeCell ref="PL306:PM306"/>
    <mergeCell ref="PN306:PO306"/>
    <mergeCell ref="PP306:PQ306"/>
    <mergeCell ref="PR306:PS306"/>
    <mergeCell ref="PT306:PU306"/>
    <mergeCell ref="PV306:PW306"/>
    <mergeCell ref="PX306:PY306"/>
    <mergeCell ref="PZ306:QA306"/>
    <mergeCell ref="QB306:QC306"/>
    <mergeCell ref="QD306:QE306"/>
    <mergeCell ref="QF306:QG306"/>
    <mergeCell ref="QH306:QI306"/>
    <mergeCell ref="QJ306:QK306"/>
    <mergeCell ref="QL306:QM306"/>
    <mergeCell ref="QN306:QO306"/>
    <mergeCell ref="QP306:QQ306"/>
    <mergeCell ref="QR306:QS306"/>
    <mergeCell ref="QT306:QU306"/>
    <mergeCell ref="QV306:QW306"/>
    <mergeCell ref="QX306:QY306"/>
    <mergeCell ref="QZ306:RA306"/>
    <mergeCell ref="RB306:RC306"/>
    <mergeCell ref="MB306:MC306"/>
    <mergeCell ref="MD306:ME306"/>
    <mergeCell ref="MF306:MG306"/>
    <mergeCell ref="MH306:MI306"/>
    <mergeCell ref="MJ306:MK306"/>
    <mergeCell ref="ML306:MM306"/>
    <mergeCell ref="MN306:MO306"/>
    <mergeCell ref="MP306:MQ306"/>
    <mergeCell ref="MR306:MS306"/>
    <mergeCell ref="MT306:MU306"/>
    <mergeCell ref="MV306:MW306"/>
    <mergeCell ref="MX306:MY306"/>
    <mergeCell ref="MZ306:NA306"/>
    <mergeCell ref="NB306:NC306"/>
    <mergeCell ref="ND306:NE306"/>
    <mergeCell ref="NF306:NG306"/>
    <mergeCell ref="NH306:NI306"/>
    <mergeCell ref="NJ306:NK306"/>
    <mergeCell ref="NL306:NM306"/>
    <mergeCell ref="NN306:NO306"/>
    <mergeCell ref="NP306:NQ306"/>
    <mergeCell ref="NR306:NS306"/>
    <mergeCell ref="NT306:NU306"/>
    <mergeCell ref="NV306:NW306"/>
    <mergeCell ref="NX306:NY306"/>
    <mergeCell ref="NZ306:OA306"/>
    <mergeCell ref="OB306:OC306"/>
    <mergeCell ref="OD306:OE306"/>
    <mergeCell ref="OF306:OG306"/>
    <mergeCell ref="OH306:OI306"/>
    <mergeCell ref="OJ306:OK306"/>
    <mergeCell ref="OL306:OM306"/>
    <mergeCell ref="ON306:OO306"/>
    <mergeCell ref="JN306:JO306"/>
    <mergeCell ref="JP306:JQ306"/>
    <mergeCell ref="JR306:JS306"/>
    <mergeCell ref="JT306:JU306"/>
    <mergeCell ref="JV306:JW306"/>
    <mergeCell ref="JX306:JY306"/>
    <mergeCell ref="JZ306:KA306"/>
    <mergeCell ref="KB306:KC306"/>
    <mergeCell ref="KD306:KE306"/>
    <mergeCell ref="KF306:KG306"/>
    <mergeCell ref="KH306:KI306"/>
    <mergeCell ref="KJ306:KK306"/>
    <mergeCell ref="KL306:KM306"/>
    <mergeCell ref="KN306:KO306"/>
    <mergeCell ref="KP306:KQ306"/>
    <mergeCell ref="KR306:KS306"/>
    <mergeCell ref="KT306:KU306"/>
    <mergeCell ref="KV306:KW306"/>
    <mergeCell ref="KX306:KY306"/>
    <mergeCell ref="KZ306:LA306"/>
    <mergeCell ref="LB306:LC306"/>
    <mergeCell ref="LD306:LE306"/>
    <mergeCell ref="LF306:LG306"/>
    <mergeCell ref="LH306:LI306"/>
    <mergeCell ref="LJ306:LK306"/>
    <mergeCell ref="LL306:LM306"/>
    <mergeCell ref="LN306:LO306"/>
    <mergeCell ref="LP306:LQ306"/>
    <mergeCell ref="LR306:LS306"/>
    <mergeCell ref="LT306:LU306"/>
    <mergeCell ref="LV306:LW306"/>
    <mergeCell ref="LX306:LY306"/>
    <mergeCell ref="LZ306:MA306"/>
    <mergeCell ref="OP305:OQ305"/>
    <mergeCell ref="OR305:OS305"/>
    <mergeCell ref="OT305:OU305"/>
    <mergeCell ref="OV305:OW305"/>
    <mergeCell ref="OX305:OY305"/>
    <mergeCell ref="OZ305:PA305"/>
    <mergeCell ref="PB305:PC305"/>
    <mergeCell ref="PD305:PE305"/>
    <mergeCell ref="PF305:PG305"/>
    <mergeCell ref="PH305:PI305"/>
    <mergeCell ref="PJ305:PK305"/>
    <mergeCell ref="PL305:PM305"/>
    <mergeCell ref="PN305:PO305"/>
    <mergeCell ref="PP305:PQ305"/>
    <mergeCell ref="PR305:PS305"/>
    <mergeCell ref="PT305:PU305"/>
    <mergeCell ref="PV305:PW305"/>
    <mergeCell ref="PX305:PY305"/>
    <mergeCell ref="PZ305:QA305"/>
    <mergeCell ref="QB305:QC305"/>
    <mergeCell ref="QD305:QE305"/>
    <mergeCell ref="QF305:QG305"/>
    <mergeCell ref="QH305:QI305"/>
    <mergeCell ref="QJ305:QK305"/>
    <mergeCell ref="QL305:QM305"/>
    <mergeCell ref="QN305:QO305"/>
    <mergeCell ref="QP305:QQ305"/>
    <mergeCell ref="QR305:QS305"/>
    <mergeCell ref="QT305:QU305"/>
    <mergeCell ref="QV305:QW305"/>
    <mergeCell ref="QX305:QY305"/>
    <mergeCell ref="QZ305:RA305"/>
    <mergeCell ref="RB305:RC305"/>
    <mergeCell ref="MB305:MC305"/>
    <mergeCell ref="MD305:ME305"/>
    <mergeCell ref="MF305:MG305"/>
    <mergeCell ref="MH305:MI305"/>
    <mergeCell ref="MJ305:MK305"/>
    <mergeCell ref="ML305:MM305"/>
    <mergeCell ref="MN305:MO305"/>
    <mergeCell ref="MP305:MQ305"/>
    <mergeCell ref="MR305:MS305"/>
    <mergeCell ref="MT305:MU305"/>
    <mergeCell ref="MV305:MW305"/>
    <mergeCell ref="MX305:MY305"/>
    <mergeCell ref="MZ305:NA305"/>
    <mergeCell ref="NB305:NC305"/>
    <mergeCell ref="ND305:NE305"/>
    <mergeCell ref="NF305:NG305"/>
    <mergeCell ref="NH305:NI305"/>
    <mergeCell ref="NJ305:NK305"/>
    <mergeCell ref="NL305:NM305"/>
    <mergeCell ref="NN305:NO305"/>
    <mergeCell ref="NP305:NQ305"/>
    <mergeCell ref="NR305:NS305"/>
    <mergeCell ref="NT305:NU305"/>
    <mergeCell ref="NV305:NW305"/>
    <mergeCell ref="NX305:NY305"/>
    <mergeCell ref="NZ305:OA305"/>
    <mergeCell ref="OB305:OC305"/>
    <mergeCell ref="OD305:OE305"/>
    <mergeCell ref="OF305:OG305"/>
    <mergeCell ref="OH305:OI305"/>
    <mergeCell ref="OJ305:OK305"/>
    <mergeCell ref="OL305:OM305"/>
    <mergeCell ref="ON305:OO305"/>
    <mergeCell ref="JN305:JO305"/>
    <mergeCell ref="JP305:JQ305"/>
    <mergeCell ref="JR305:JS305"/>
    <mergeCell ref="JT305:JU305"/>
    <mergeCell ref="JV305:JW305"/>
    <mergeCell ref="JX305:JY305"/>
    <mergeCell ref="JZ305:KA305"/>
    <mergeCell ref="KB305:KC305"/>
    <mergeCell ref="KD305:KE305"/>
    <mergeCell ref="KF305:KG305"/>
    <mergeCell ref="KH305:KI305"/>
    <mergeCell ref="KJ305:KK305"/>
    <mergeCell ref="KL305:KM305"/>
    <mergeCell ref="KN305:KO305"/>
    <mergeCell ref="KP305:KQ305"/>
    <mergeCell ref="KR305:KS305"/>
    <mergeCell ref="KT305:KU305"/>
    <mergeCell ref="KV305:KW305"/>
    <mergeCell ref="KX305:KY305"/>
    <mergeCell ref="KZ305:LA305"/>
    <mergeCell ref="LB305:LC305"/>
    <mergeCell ref="LD305:LE305"/>
    <mergeCell ref="LF305:LG305"/>
    <mergeCell ref="LH305:LI305"/>
    <mergeCell ref="LJ305:LK305"/>
    <mergeCell ref="LL305:LM305"/>
    <mergeCell ref="LN305:LO305"/>
    <mergeCell ref="LP305:LQ305"/>
    <mergeCell ref="LR305:LS305"/>
    <mergeCell ref="LT305:LU305"/>
    <mergeCell ref="LV305:LW305"/>
    <mergeCell ref="LX305:LY305"/>
    <mergeCell ref="LZ305:MA305"/>
    <mergeCell ref="OP304:OQ304"/>
    <mergeCell ref="OR304:OS304"/>
    <mergeCell ref="OT304:OU304"/>
    <mergeCell ref="OV304:OW304"/>
    <mergeCell ref="OX304:OY304"/>
    <mergeCell ref="OZ304:PA304"/>
    <mergeCell ref="PB304:PC304"/>
    <mergeCell ref="PD304:PE304"/>
    <mergeCell ref="PF304:PG304"/>
    <mergeCell ref="PH304:PI304"/>
    <mergeCell ref="PJ304:PK304"/>
    <mergeCell ref="PL304:PM304"/>
    <mergeCell ref="PN304:PO304"/>
    <mergeCell ref="PP304:PQ304"/>
    <mergeCell ref="PR304:PS304"/>
    <mergeCell ref="PT304:PU304"/>
    <mergeCell ref="PV304:PW304"/>
    <mergeCell ref="PX304:PY304"/>
    <mergeCell ref="PZ304:QA304"/>
    <mergeCell ref="QB304:QC304"/>
    <mergeCell ref="QD304:QE304"/>
    <mergeCell ref="QF304:QG304"/>
    <mergeCell ref="QH304:QI304"/>
    <mergeCell ref="QJ304:QK304"/>
    <mergeCell ref="QL304:QM304"/>
    <mergeCell ref="QN304:QO304"/>
    <mergeCell ref="QP304:QQ304"/>
    <mergeCell ref="QR304:QS304"/>
    <mergeCell ref="QT304:QU304"/>
    <mergeCell ref="QV304:QW304"/>
    <mergeCell ref="QX304:QY304"/>
    <mergeCell ref="QZ304:RA304"/>
    <mergeCell ref="RB304:RC304"/>
    <mergeCell ref="MB304:MC304"/>
    <mergeCell ref="MD304:ME304"/>
    <mergeCell ref="MF304:MG304"/>
    <mergeCell ref="MH304:MI304"/>
    <mergeCell ref="MJ304:MK304"/>
    <mergeCell ref="ML304:MM304"/>
    <mergeCell ref="MN304:MO304"/>
    <mergeCell ref="MP304:MQ304"/>
    <mergeCell ref="MR304:MS304"/>
    <mergeCell ref="MT304:MU304"/>
    <mergeCell ref="MV304:MW304"/>
    <mergeCell ref="MX304:MY304"/>
    <mergeCell ref="MZ304:NA304"/>
    <mergeCell ref="NB304:NC304"/>
    <mergeCell ref="ND304:NE304"/>
    <mergeCell ref="NF304:NG304"/>
    <mergeCell ref="NH304:NI304"/>
    <mergeCell ref="NJ304:NK304"/>
    <mergeCell ref="NL304:NM304"/>
    <mergeCell ref="NN304:NO304"/>
    <mergeCell ref="NP304:NQ304"/>
    <mergeCell ref="NR304:NS304"/>
    <mergeCell ref="NT304:NU304"/>
    <mergeCell ref="NV304:NW304"/>
    <mergeCell ref="NX304:NY304"/>
    <mergeCell ref="NZ304:OA304"/>
    <mergeCell ref="OB304:OC304"/>
    <mergeCell ref="OD304:OE304"/>
    <mergeCell ref="OF304:OG304"/>
    <mergeCell ref="OH304:OI304"/>
    <mergeCell ref="OJ304:OK304"/>
    <mergeCell ref="OL304:OM304"/>
    <mergeCell ref="ON304:OO304"/>
    <mergeCell ref="JN304:JO304"/>
    <mergeCell ref="JP304:JQ304"/>
    <mergeCell ref="JR304:JS304"/>
    <mergeCell ref="JT304:JU304"/>
    <mergeCell ref="JV304:JW304"/>
    <mergeCell ref="JX304:JY304"/>
    <mergeCell ref="JZ304:KA304"/>
    <mergeCell ref="KB304:KC304"/>
    <mergeCell ref="KD304:KE304"/>
    <mergeCell ref="KF304:KG304"/>
    <mergeCell ref="KH304:KI304"/>
    <mergeCell ref="KJ304:KK304"/>
    <mergeCell ref="KL304:KM304"/>
    <mergeCell ref="KN304:KO304"/>
    <mergeCell ref="KP304:KQ304"/>
    <mergeCell ref="KR304:KS304"/>
    <mergeCell ref="KT304:KU304"/>
    <mergeCell ref="KV304:KW304"/>
    <mergeCell ref="KX304:KY304"/>
    <mergeCell ref="KZ304:LA304"/>
    <mergeCell ref="LB304:LC304"/>
    <mergeCell ref="LD304:LE304"/>
    <mergeCell ref="LF304:LG304"/>
    <mergeCell ref="LH304:LI304"/>
    <mergeCell ref="LJ304:LK304"/>
    <mergeCell ref="LL304:LM304"/>
    <mergeCell ref="LN304:LO304"/>
    <mergeCell ref="LP304:LQ304"/>
    <mergeCell ref="LR304:LS304"/>
    <mergeCell ref="LT304:LU304"/>
    <mergeCell ref="LV304:LW304"/>
    <mergeCell ref="LX304:LY304"/>
    <mergeCell ref="LZ304:MA304"/>
    <mergeCell ref="OP303:OQ303"/>
    <mergeCell ref="OR303:OS303"/>
    <mergeCell ref="OT303:OU303"/>
    <mergeCell ref="OV303:OW303"/>
    <mergeCell ref="OX303:OY303"/>
    <mergeCell ref="OZ303:PA303"/>
    <mergeCell ref="PB303:PC303"/>
    <mergeCell ref="PD303:PE303"/>
    <mergeCell ref="PF303:PG303"/>
    <mergeCell ref="PH303:PI303"/>
    <mergeCell ref="PJ303:PK303"/>
    <mergeCell ref="PL303:PM303"/>
    <mergeCell ref="PN303:PO303"/>
    <mergeCell ref="PP303:PQ303"/>
    <mergeCell ref="PR303:PS303"/>
    <mergeCell ref="PT303:PU303"/>
    <mergeCell ref="PV303:PW303"/>
    <mergeCell ref="PX303:PY303"/>
    <mergeCell ref="PZ303:QA303"/>
    <mergeCell ref="QB303:QC303"/>
    <mergeCell ref="QD303:QE303"/>
    <mergeCell ref="QF303:QG303"/>
    <mergeCell ref="QH303:QI303"/>
    <mergeCell ref="QJ303:QK303"/>
    <mergeCell ref="QL303:QM303"/>
    <mergeCell ref="QN303:QO303"/>
    <mergeCell ref="QP303:QQ303"/>
    <mergeCell ref="QR303:QS303"/>
    <mergeCell ref="QT303:QU303"/>
    <mergeCell ref="QV303:QW303"/>
    <mergeCell ref="QX303:QY303"/>
    <mergeCell ref="QZ303:RA303"/>
    <mergeCell ref="RB303:RC303"/>
    <mergeCell ref="MB303:MC303"/>
    <mergeCell ref="MD303:ME303"/>
    <mergeCell ref="MF303:MG303"/>
    <mergeCell ref="MH303:MI303"/>
    <mergeCell ref="MJ303:MK303"/>
    <mergeCell ref="ML303:MM303"/>
    <mergeCell ref="MN303:MO303"/>
    <mergeCell ref="MP303:MQ303"/>
    <mergeCell ref="MR303:MS303"/>
    <mergeCell ref="MT303:MU303"/>
    <mergeCell ref="MV303:MW303"/>
    <mergeCell ref="MX303:MY303"/>
    <mergeCell ref="MZ303:NA303"/>
    <mergeCell ref="NB303:NC303"/>
    <mergeCell ref="ND303:NE303"/>
    <mergeCell ref="NF303:NG303"/>
    <mergeCell ref="NH303:NI303"/>
    <mergeCell ref="NJ303:NK303"/>
    <mergeCell ref="NL303:NM303"/>
    <mergeCell ref="NN303:NO303"/>
    <mergeCell ref="NP303:NQ303"/>
    <mergeCell ref="NR303:NS303"/>
    <mergeCell ref="NT303:NU303"/>
    <mergeCell ref="NV303:NW303"/>
    <mergeCell ref="NX303:NY303"/>
    <mergeCell ref="NZ303:OA303"/>
    <mergeCell ref="OB303:OC303"/>
    <mergeCell ref="OD303:OE303"/>
    <mergeCell ref="OF303:OG303"/>
    <mergeCell ref="OH303:OI303"/>
    <mergeCell ref="OJ303:OK303"/>
    <mergeCell ref="OL303:OM303"/>
    <mergeCell ref="ON303:OO303"/>
    <mergeCell ref="JN303:JO303"/>
    <mergeCell ref="JP303:JQ303"/>
    <mergeCell ref="JR303:JS303"/>
    <mergeCell ref="JT303:JU303"/>
    <mergeCell ref="JV303:JW303"/>
    <mergeCell ref="JX303:JY303"/>
    <mergeCell ref="JZ303:KA303"/>
    <mergeCell ref="KB303:KC303"/>
    <mergeCell ref="KD303:KE303"/>
    <mergeCell ref="KF303:KG303"/>
    <mergeCell ref="KH303:KI303"/>
    <mergeCell ref="KJ303:KK303"/>
    <mergeCell ref="KL303:KM303"/>
    <mergeCell ref="KN303:KO303"/>
    <mergeCell ref="KP303:KQ303"/>
    <mergeCell ref="KR303:KS303"/>
    <mergeCell ref="KT303:KU303"/>
    <mergeCell ref="KV303:KW303"/>
    <mergeCell ref="KX303:KY303"/>
    <mergeCell ref="KZ303:LA303"/>
    <mergeCell ref="LB303:LC303"/>
    <mergeCell ref="LD303:LE303"/>
    <mergeCell ref="LF303:LG303"/>
    <mergeCell ref="LH303:LI303"/>
    <mergeCell ref="LJ303:LK303"/>
    <mergeCell ref="LL303:LM303"/>
    <mergeCell ref="LN303:LO303"/>
    <mergeCell ref="LP303:LQ303"/>
    <mergeCell ref="LR303:LS303"/>
    <mergeCell ref="LT303:LU303"/>
    <mergeCell ref="LV303:LW303"/>
    <mergeCell ref="LX303:LY303"/>
    <mergeCell ref="LZ303:MA303"/>
    <mergeCell ref="OP302:OQ302"/>
    <mergeCell ref="OR302:OS302"/>
    <mergeCell ref="OT302:OU302"/>
    <mergeCell ref="OV302:OW302"/>
    <mergeCell ref="OX302:OY302"/>
    <mergeCell ref="OZ302:PA302"/>
    <mergeCell ref="PB302:PC302"/>
    <mergeCell ref="PD302:PE302"/>
    <mergeCell ref="PF302:PG302"/>
    <mergeCell ref="PH302:PI302"/>
    <mergeCell ref="PJ302:PK302"/>
    <mergeCell ref="PL302:PM302"/>
    <mergeCell ref="PN302:PO302"/>
    <mergeCell ref="PP302:PQ302"/>
    <mergeCell ref="PR302:PS302"/>
    <mergeCell ref="PT302:PU302"/>
    <mergeCell ref="PV302:PW302"/>
    <mergeCell ref="PX302:PY302"/>
    <mergeCell ref="PZ302:QA302"/>
    <mergeCell ref="QB302:QC302"/>
    <mergeCell ref="QD302:QE302"/>
    <mergeCell ref="QF302:QG302"/>
    <mergeCell ref="QH302:QI302"/>
    <mergeCell ref="QJ302:QK302"/>
    <mergeCell ref="QL302:QM302"/>
    <mergeCell ref="QN302:QO302"/>
    <mergeCell ref="QP302:QQ302"/>
    <mergeCell ref="QR302:QS302"/>
    <mergeCell ref="QT302:QU302"/>
    <mergeCell ref="QV302:QW302"/>
    <mergeCell ref="QX302:QY302"/>
    <mergeCell ref="QZ302:RA302"/>
    <mergeCell ref="RB302:RC302"/>
    <mergeCell ref="MB302:MC302"/>
    <mergeCell ref="MD302:ME302"/>
    <mergeCell ref="MF302:MG302"/>
    <mergeCell ref="MH302:MI302"/>
    <mergeCell ref="MJ302:MK302"/>
    <mergeCell ref="ML302:MM302"/>
    <mergeCell ref="MN302:MO302"/>
    <mergeCell ref="MP302:MQ302"/>
    <mergeCell ref="MR302:MS302"/>
    <mergeCell ref="MT302:MU302"/>
    <mergeCell ref="MV302:MW302"/>
    <mergeCell ref="MX302:MY302"/>
    <mergeCell ref="MZ302:NA302"/>
    <mergeCell ref="NB302:NC302"/>
    <mergeCell ref="ND302:NE302"/>
    <mergeCell ref="NF302:NG302"/>
    <mergeCell ref="NH302:NI302"/>
    <mergeCell ref="NJ302:NK302"/>
    <mergeCell ref="NL302:NM302"/>
    <mergeCell ref="NN302:NO302"/>
    <mergeCell ref="NP302:NQ302"/>
    <mergeCell ref="NR302:NS302"/>
    <mergeCell ref="NT302:NU302"/>
    <mergeCell ref="NV302:NW302"/>
    <mergeCell ref="NX302:NY302"/>
    <mergeCell ref="NZ302:OA302"/>
    <mergeCell ref="OB302:OC302"/>
    <mergeCell ref="OD302:OE302"/>
    <mergeCell ref="OF302:OG302"/>
    <mergeCell ref="OH302:OI302"/>
    <mergeCell ref="OJ302:OK302"/>
    <mergeCell ref="OL302:OM302"/>
    <mergeCell ref="ON302:OO302"/>
    <mergeCell ref="JN302:JO302"/>
    <mergeCell ref="JP302:JQ302"/>
    <mergeCell ref="JR302:JS302"/>
    <mergeCell ref="JT302:JU302"/>
    <mergeCell ref="JV302:JW302"/>
    <mergeCell ref="JX302:JY302"/>
    <mergeCell ref="JZ302:KA302"/>
    <mergeCell ref="KB302:KC302"/>
    <mergeCell ref="KD302:KE302"/>
    <mergeCell ref="KF302:KG302"/>
    <mergeCell ref="KH302:KI302"/>
    <mergeCell ref="KJ302:KK302"/>
    <mergeCell ref="KL302:KM302"/>
    <mergeCell ref="KN302:KO302"/>
    <mergeCell ref="KP302:KQ302"/>
    <mergeCell ref="KR302:KS302"/>
    <mergeCell ref="KT302:KU302"/>
    <mergeCell ref="KV302:KW302"/>
    <mergeCell ref="KX302:KY302"/>
    <mergeCell ref="KZ302:LA302"/>
    <mergeCell ref="LB302:LC302"/>
    <mergeCell ref="LD302:LE302"/>
    <mergeCell ref="LF302:LG302"/>
    <mergeCell ref="LH302:LI302"/>
    <mergeCell ref="LJ302:LK302"/>
    <mergeCell ref="LL302:LM302"/>
    <mergeCell ref="LN302:LO302"/>
    <mergeCell ref="LP302:LQ302"/>
    <mergeCell ref="LR302:LS302"/>
    <mergeCell ref="LT302:LU302"/>
    <mergeCell ref="LV302:LW302"/>
    <mergeCell ref="LX302:LY302"/>
    <mergeCell ref="LZ302:MA302"/>
    <mergeCell ref="OP301:OQ301"/>
    <mergeCell ref="OR301:OS301"/>
    <mergeCell ref="OT301:OU301"/>
    <mergeCell ref="OV301:OW301"/>
    <mergeCell ref="OX301:OY301"/>
    <mergeCell ref="OZ301:PA301"/>
    <mergeCell ref="PB301:PC301"/>
    <mergeCell ref="PD301:PE301"/>
    <mergeCell ref="PF301:PG301"/>
    <mergeCell ref="PH301:PI301"/>
    <mergeCell ref="PJ301:PK301"/>
    <mergeCell ref="PL301:PM301"/>
    <mergeCell ref="PN301:PO301"/>
    <mergeCell ref="PP301:PQ301"/>
    <mergeCell ref="PR301:PS301"/>
    <mergeCell ref="PT301:PU301"/>
    <mergeCell ref="PV301:PW301"/>
    <mergeCell ref="PX301:PY301"/>
    <mergeCell ref="PZ301:QA301"/>
    <mergeCell ref="QB301:QC301"/>
    <mergeCell ref="QD301:QE301"/>
    <mergeCell ref="QF301:QG301"/>
    <mergeCell ref="QH301:QI301"/>
    <mergeCell ref="QJ301:QK301"/>
    <mergeCell ref="QL301:QM301"/>
    <mergeCell ref="QN301:QO301"/>
    <mergeCell ref="QP301:QQ301"/>
    <mergeCell ref="QR301:QS301"/>
    <mergeCell ref="QT301:QU301"/>
    <mergeCell ref="QV301:QW301"/>
    <mergeCell ref="QX301:QY301"/>
    <mergeCell ref="QZ301:RA301"/>
    <mergeCell ref="RB301:RC301"/>
    <mergeCell ref="MB301:MC301"/>
    <mergeCell ref="MD301:ME301"/>
    <mergeCell ref="MF301:MG301"/>
    <mergeCell ref="MH301:MI301"/>
    <mergeCell ref="MJ301:MK301"/>
    <mergeCell ref="ML301:MM301"/>
    <mergeCell ref="MN301:MO301"/>
    <mergeCell ref="MP301:MQ301"/>
    <mergeCell ref="MR301:MS301"/>
    <mergeCell ref="MT301:MU301"/>
    <mergeCell ref="MV301:MW301"/>
    <mergeCell ref="MX301:MY301"/>
    <mergeCell ref="MZ301:NA301"/>
    <mergeCell ref="NB301:NC301"/>
    <mergeCell ref="ND301:NE301"/>
    <mergeCell ref="NF301:NG301"/>
    <mergeCell ref="NH301:NI301"/>
    <mergeCell ref="NJ301:NK301"/>
    <mergeCell ref="NL301:NM301"/>
    <mergeCell ref="NN301:NO301"/>
    <mergeCell ref="NP301:NQ301"/>
    <mergeCell ref="NR301:NS301"/>
    <mergeCell ref="NT301:NU301"/>
    <mergeCell ref="NV301:NW301"/>
    <mergeCell ref="NX301:NY301"/>
    <mergeCell ref="NZ301:OA301"/>
    <mergeCell ref="OB301:OC301"/>
    <mergeCell ref="OD301:OE301"/>
    <mergeCell ref="OF301:OG301"/>
    <mergeCell ref="OH301:OI301"/>
    <mergeCell ref="OJ301:OK301"/>
    <mergeCell ref="OL301:OM301"/>
    <mergeCell ref="ON301:OO301"/>
    <mergeCell ref="JN301:JO301"/>
    <mergeCell ref="JP301:JQ301"/>
    <mergeCell ref="JR301:JS301"/>
    <mergeCell ref="JT301:JU301"/>
    <mergeCell ref="JV301:JW301"/>
    <mergeCell ref="JX301:JY301"/>
    <mergeCell ref="JZ301:KA301"/>
    <mergeCell ref="KB301:KC301"/>
    <mergeCell ref="KD301:KE301"/>
    <mergeCell ref="KF301:KG301"/>
    <mergeCell ref="KH301:KI301"/>
    <mergeCell ref="KJ301:KK301"/>
    <mergeCell ref="KL301:KM301"/>
    <mergeCell ref="KN301:KO301"/>
    <mergeCell ref="KP301:KQ301"/>
    <mergeCell ref="KR301:KS301"/>
    <mergeCell ref="KT301:KU301"/>
    <mergeCell ref="KV301:KW301"/>
    <mergeCell ref="KX301:KY301"/>
    <mergeCell ref="KZ301:LA301"/>
    <mergeCell ref="LB301:LC301"/>
    <mergeCell ref="LD301:LE301"/>
    <mergeCell ref="LF301:LG301"/>
    <mergeCell ref="LH301:LI301"/>
    <mergeCell ref="LJ301:LK301"/>
    <mergeCell ref="LL301:LM301"/>
    <mergeCell ref="LN301:LO301"/>
    <mergeCell ref="LP301:LQ301"/>
    <mergeCell ref="LR301:LS301"/>
    <mergeCell ref="LT301:LU301"/>
    <mergeCell ref="LV301:LW301"/>
    <mergeCell ref="LX301:LY301"/>
    <mergeCell ref="LZ301:MA301"/>
    <mergeCell ref="OP300:OQ300"/>
    <mergeCell ref="OR300:OS300"/>
    <mergeCell ref="OT300:OU300"/>
    <mergeCell ref="OV300:OW300"/>
    <mergeCell ref="OX300:OY300"/>
    <mergeCell ref="OZ300:PA300"/>
    <mergeCell ref="PB300:PC300"/>
    <mergeCell ref="PD300:PE300"/>
    <mergeCell ref="PF300:PG300"/>
    <mergeCell ref="PH300:PI300"/>
    <mergeCell ref="PJ300:PK300"/>
    <mergeCell ref="PL300:PM300"/>
    <mergeCell ref="PN300:PO300"/>
    <mergeCell ref="PP300:PQ300"/>
    <mergeCell ref="PR300:PS300"/>
    <mergeCell ref="PT300:PU300"/>
    <mergeCell ref="PV300:PW300"/>
    <mergeCell ref="PX300:PY300"/>
    <mergeCell ref="PZ300:QA300"/>
    <mergeCell ref="QB300:QC300"/>
    <mergeCell ref="QD300:QE300"/>
    <mergeCell ref="QF300:QG300"/>
    <mergeCell ref="QH300:QI300"/>
    <mergeCell ref="QJ300:QK300"/>
    <mergeCell ref="QL300:QM300"/>
    <mergeCell ref="QN300:QO300"/>
    <mergeCell ref="QP300:QQ300"/>
    <mergeCell ref="QR300:QS300"/>
    <mergeCell ref="QT300:QU300"/>
    <mergeCell ref="QV300:QW300"/>
    <mergeCell ref="QX300:QY300"/>
    <mergeCell ref="QZ300:RA300"/>
    <mergeCell ref="RB300:RC300"/>
    <mergeCell ref="MB300:MC300"/>
    <mergeCell ref="MD300:ME300"/>
    <mergeCell ref="MF300:MG300"/>
    <mergeCell ref="MH300:MI300"/>
    <mergeCell ref="MJ300:MK300"/>
    <mergeCell ref="ML300:MM300"/>
    <mergeCell ref="MN300:MO300"/>
    <mergeCell ref="MP300:MQ300"/>
    <mergeCell ref="MR300:MS300"/>
    <mergeCell ref="MT300:MU300"/>
    <mergeCell ref="MV300:MW300"/>
    <mergeCell ref="MX300:MY300"/>
    <mergeCell ref="MZ300:NA300"/>
    <mergeCell ref="NB300:NC300"/>
    <mergeCell ref="ND300:NE300"/>
    <mergeCell ref="NF300:NG300"/>
    <mergeCell ref="NH300:NI300"/>
    <mergeCell ref="NJ300:NK300"/>
    <mergeCell ref="NL300:NM300"/>
    <mergeCell ref="NN300:NO300"/>
    <mergeCell ref="NP300:NQ300"/>
    <mergeCell ref="NR300:NS300"/>
    <mergeCell ref="NT300:NU300"/>
    <mergeCell ref="NV300:NW300"/>
    <mergeCell ref="NX300:NY300"/>
    <mergeCell ref="NZ300:OA300"/>
    <mergeCell ref="OB300:OC300"/>
    <mergeCell ref="OD300:OE300"/>
    <mergeCell ref="OF300:OG300"/>
    <mergeCell ref="OH300:OI300"/>
    <mergeCell ref="OJ300:OK300"/>
    <mergeCell ref="OL300:OM300"/>
    <mergeCell ref="ON300:OO300"/>
    <mergeCell ref="JN300:JO300"/>
    <mergeCell ref="JP300:JQ300"/>
    <mergeCell ref="JR300:JS300"/>
    <mergeCell ref="JT300:JU300"/>
    <mergeCell ref="JV300:JW300"/>
    <mergeCell ref="JX300:JY300"/>
    <mergeCell ref="JZ300:KA300"/>
    <mergeCell ref="KB300:KC300"/>
    <mergeCell ref="KD300:KE300"/>
    <mergeCell ref="KF300:KG300"/>
    <mergeCell ref="KH300:KI300"/>
    <mergeCell ref="KJ300:KK300"/>
    <mergeCell ref="KL300:KM300"/>
    <mergeCell ref="KN300:KO300"/>
    <mergeCell ref="KP300:KQ300"/>
    <mergeCell ref="KR300:KS300"/>
    <mergeCell ref="KT300:KU300"/>
    <mergeCell ref="KV300:KW300"/>
    <mergeCell ref="KX300:KY300"/>
    <mergeCell ref="KZ300:LA300"/>
    <mergeCell ref="LB300:LC300"/>
    <mergeCell ref="LD300:LE300"/>
    <mergeCell ref="LF300:LG300"/>
    <mergeCell ref="LH300:LI300"/>
    <mergeCell ref="LJ300:LK300"/>
    <mergeCell ref="LL300:LM300"/>
    <mergeCell ref="LN300:LO300"/>
    <mergeCell ref="LP300:LQ300"/>
    <mergeCell ref="LR300:LS300"/>
    <mergeCell ref="LT300:LU300"/>
    <mergeCell ref="LV300:LW300"/>
    <mergeCell ref="LX300:LY300"/>
    <mergeCell ref="LZ300:MA300"/>
    <mergeCell ref="OP299:OQ299"/>
    <mergeCell ref="OR299:OS299"/>
    <mergeCell ref="OT299:OU299"/>
    <mergeCell ref="OV299:OW299"/>
    <mergeCell ref="OX299:OY299"/>
    <mergeCell ref="OZ299:PA299"/>
    <mergeCell ref="PB299:PC299"/>
    <mergeCell ref="PD299:PE299"/>
    <mergeCell ref="PF299:PG299"/>
    <mergeCell ref="PH299:PI299"/>
    <mergeCell ref="PJ299:PK299"/>
    <mergeCell ref="PL299:PM299"/>
    <mergeCell ref="PN299:PO299"/>
    <mergeCell ref="PP299:PQ299"/>
    <mergeCell ref="PR299:PS299"/>
    <mergeCell ref="PT299:PU299"/>
    <mergeCell ref="PV299:PW299"/>
    <mergeCell ref="PX299:PY299"/>
    <mergeCell ref="PZ299:QA299"/>
    <mergeCell ref="QB299:QC299"/>
    <mergeCell ref="QD299:QE299"/>
    <mergeCell ref="QF299:QG299"/>
    <mergeCell ref="QH299:QI299"/>
    <mergeCell ref="QJ299:QK299"/>
    <mergeCell ref="QL299:QM299"/>
    <mergeCell ref="QN299:QO299"/>
    <mergeCell ref="QP299:QQ299"/>
    <mergeCell ref="QR299:QS299"/>
    <mergeCell ref="QT299:QU299"/>
    <mergeCell ref="QV299:QW299"/>
    <mergeCell ref="QX299:QY299"/>
    <mergeCell ref="QZ299:RA299"/>
    <mergeCell ref="RB299:RC299"/>
    <mergeCell ref="MB299:MC299"/>
    <mergeCell ref="MD299:ME299"/>
    <mergeCell ref="MF299:MG299"/>
    <mergeCell ref="MH299:MI299"/>
    <mergeCell ref="MJ299:MK299"/>
    <mergeCell ref="ML299:MM299"/>
    <mergeCell ref="MN299:MO299"/>
    <mergeCell ref="MP299:MQ299"/>
    <mergeCell ref="MR299:MS299"/>
    <mergeCell ref="MT299:MU299"/>
    <mergeCell ref="MV299:MW299"/>
    <mergeCell ref="MX299:MY299"/>
    <mergeCell ref="MZ299:NA299"/>
    <mergeCell ref="NB299:NC299"/>
    <mergeCell ref="ND299:NE299"/>
    <mergeCell ref="NF299:NG299"/>
    <mergeCell ref="NH299:NI299"/>
    <mergeCell ref="NJ299:NK299"/>
    <mergeCell ref="NL299:NM299"/>
    <mergeCell ref="NN299:NO299"/>
    <mergeCell ref="NP299:NQ299"/>
    <mergeCell ref="NR299:NS299"/>
    <mergeCell ref="NT299:NU299"/>
    <mergeCell ref="NV299:NW299"/>
    <mergeCell ref="NX299:NY299"/>
    <mergeCell ref="NZ299:OA299"/>
    <mergeCell ref="OB299:OC299"/>
    <mergeCell ref="OD299:OE299"/>
    <mergeCell ref="OF299:OG299"/>
    <mergeCell ref="OH299:OI299"/>
    <mergeCell ref="OJ299:OK299"/>
    <mergeCell ref="OL299:OM299"/>
    <mergeCell ref="ON299:OO299"/>
    <mergeCell ref="JN299:JO299"/>
    <mergeCell ref="JP299:JQ299"/>
    <mergeCell ref="JR299:JS299"/>
    <mergeCell ref="JT299:JU299"/>
    <mergeCell ref="JV299:JW299"/>
    <mergeCell ref="JX299:JY299"/>
    <mergeCell ref="JZ299:KA299"/>
    <mergeCell ref="KB299:KC299"/>
    <mergeCell ref="KD299:KE299"/>
    <mergeCell ref="KF299:KG299"/>
    <mergeCell ref="KH299:KI299"/>
    <mergeCell ref="KJ299:KK299"/>
    <mergeCell ref="KL299:KM299"/>
    <mergeCell ref="KN299:KO299"/>
    <mergeCell ref="KP299:KQ299"/>
    <mergeCell ref="KR299:KS299"/>
    <mergeCell ref="KT299:KU299"/>
    <mergeCell ref="KV299:KW299"/>
    <mergeCell ref="KX299:KY299"/>
    <mergeCell ref="KZ299:LA299"/>
    <mergeCell ref="LB299:LC299"/>
    <mergeCell ref="LD299:LE299"/>
    <mergeCell ref="LF299:LG299"/>
    <mergeCell ref="LH299:LI299"/>
    <mergeCell ref="LJ299:LK299"/>
    <mergeCell ref="LL299:LM299"/>
    <mergeCell ref="LN299:LO299"/>
    <mergeCell ref="LP299:LQ299"/>
    <mergeCell ref="LR299:LS299"/>
    <mergeCell ref="LT299:LU299"/>
    <mergeCell ref="LV299:LW299"/>
    <mergeCell ref="LX299:LY299"/>
    <mergeCell ref="LZ299:MA299"/>
    <mergeCell ref="OP298:OQ298"/>
    <mergeCell ref="OR298:OS298"/>
    <mergeCell ref="OT298:OU298"/>
    <mergeCell ref="OV298:OW298"/>
    <mergeCell ref="OX298:OY298"/>
    <mergeCell ref="OZ298:PA298"/>
    <mergeCell ref="PB298:PC298"/>
    <mergeCell ref="PD298:PE298"/>
    <mergeCell ref="PF298:PG298"/>
    <mergeCell ref="PH298:PI298"/>
    <mergeCell ref="PJ298:PK298"/>
    <mergeCell ref="PL298:PM298"/>
    <mergeCell ref="PN298:PO298"/>
    <mergeCell ref="PP298:PQ298"/>
    <mergeCell ref="PR298:PS298"/>
    <mergeCell ref="PT298:PU298"/>
    <mergeCell ref="PV298:PW298"/>
    <mergeCell ref="PX298:PY298"/>
    <mergeCell ref="PZ298:QA298"/>
    <mergeCell ref="QB298:QC298"/>
    <mergeCell ref="QD298:QE298"/>
    <mergeCell ref="QF298:QG298"/>
    <mergeCell ref="QH298:QI298"/>
    <mergeCell ref="QJ298:QK298"/>
    <mergeCell ref="QL298:QM298"/>
    <mergeCell ref="QN298:QO298"/>
    <mergeCell ref="QP298:QQ298"/>
    <mergeCell ref="QR298:QS298"/>
    <mergeCell ref="QT298:QU298"/>
    <mergeCell ref="QV298:QW298"/>
    <mergeCell ref="QX298:QY298"/>
    <mergeCell ref="QZ298:RA298"/>
    <mergeCell ref="RB298:RC298"/>
    <mergeCell ref="MB298:MC298"/>
    <mergeCell ref="MD298:ME298"/>
    <mergeCell ref="MF298:MG298"/>
    <mergeCell ref="MH298:MI298"/>
    <mergeCell ref="MJ298:MK298"/>
    <mergeCell ref="ML298:MM298"/>
    <mergeCell ref="MN298:MO298"/>
    <mergeCell ref="MP298:MQ298"/>
    <mergeCell ref="MR298:MS298"/>
    <mergeCell ref="MT298:MU298"/>
    <mergeCell ref="MV298:MW298"/>
    <mergeCell ref="MX298:MY298"/>
    <mergeCell ref="MZ298:NA298"/>
    <mergeCell ref="NB298:NC298"/>
    <mergeCell ref="ND298:NE298"/>
    <mergeCell ref="NF298:NG298"/>
    <mergeCell ref="NH298:NI298"/>
    <mergeCell ref="NJ298:NK298"/>
    <mergeCell ref="NL298:NM298"/>
    <mergeCell ref="NN298:NO298"/>
    <mergeCell ref="NP298:NQ298"/>
    <mergeCell ref="NR298:NS298"/>
    <mergeCell ref="NT298:NU298"/>
    <mergeCell ref="NV298:NW298"/>
    <mergeCell ref="NX298:NY298"/>
    <mergeCell ref="NZ298:OA298"/>
    <mergeCell ref="OB298:OC298"/>
    <mergeCell ref="OD298:OE298"/>
    <mergeCell ref="OF298:OG298"/>
    <mergeCell ref="OH298:OI298"/>
    <mergeCell ref="OJ298:OK298"/>
    <mergeCell ref="OL298:OM298"/>
    <mergeCell ref="ON298:OO298"/>
    <mergeCell ref="JN298:JO298"/>
    <mergeCell ref="JP298:JQ298"/>
    <mergeCell ref="JR298:JS298"/>
    <mergeCell ref="JT298:JU298"/>
    <mergeCell ref="JV298:JW298"/>
    <mergeCell ref="JX298:JY298"/>
    <mergeCell ref="JZ298:KA298"/>
    <mergeCell ref="KB298:KC298"/>
    <mergeCell ref="KD298:KE298"/>
    <mergeCell ref="KF298:KG298"/>
    <mergeCell ref="KH298:KI298"/>
    <mergeCell ref="KJ298:KK298"/>
    <mergeCell ref="KL298:KM298"/>
    <mergeCell ref="KN298:KO298"/>
    <mergeCell ref="KP298:KQ298"/>
    <mergeCell ref="KR298:KS298"/>
    <mergeCell ref="KT298:KU298"/>
    <mergeCell ref="KV298:KW298"/>
    <mergeCell ref="KX298:KY298"/>
    <mergeCell ref="KZ298:LA298"/>
    <mergeCell ref="LB298:LC298"/>
    <mergeCell ref="LD298:LE298"/>
    <mergeCell ref="LF298:LG298"/>
    <mergeCell ref="LH298:LI298"/>
    <mergeCell ref="LJ298:LK298"/>
    <mergeCell ref="LL298:LM298"/>
    <mergeCell ref="LN298:LO298"/>
    <mergeCell ref="LP298:LQ298"/>
    <mergeCell ref="LR298:LS298"/>
    <mergeCell ref="LT298:LU298"/>
    <mergeCell ref="LV298:LW298"/>
    <mergeCell ref="LX298:LY298"/>
    <mergeCell ref="LZ298:MA298"/>
    <mergeCell ref="OP297:OQ297"/>
    <mergeCell ref="OR297:OS297"/>
    <mergeCell ref="OT297:OU297"/>
    <mergeCell ref="OV297:OW297"/>
    <mergeCell ref="OX297:OY297"/>
    <mergeCell ref="OZ297:PA297"/>
    <mergeCell ref="PB297:PC297"/>
    <mergeCell ref="PD297:PE297"/>
    <mergeCell ref="PF297:PG297"/>
    <mergeCell ref="PH297:PI297"/>
    <mergeCell ref="PJ297:PK297"/>
    <mergeCell ref="PL297:PM297"/>
    <mergeCell ref="PN297:PO297"/>
    <mergeCell ref="PP297:PQ297"/>
    <mergeCell ref="PR297:PS297"/>
    <mergeCell ref="PT297:PU297"/>
    <mergeCell ref="PV297:PW297"/>
    <mergeCell ref="PX297:PY297"/>
    <mergeCell ref="PZ297:QA297"/>
    <mergeCell ref="QB297:QC297"/>
    <mergeCell ref="QD297:QE297"/>
    <mergeCell ref="QF297:QG297"/>
    <mergeCell ref="QH297:QI297"/>
    <mergeCell ref="QJ297:QK297"/>
    <mergeCell ref="QL297:QM297"/>
    <mergeCell ref="QN297:QO297"/>
    <mergeCell ref="QP297:QQ297"/>
    <mergeCell ref="QR297:QS297"/>
    <mergeCell ref="QT297:QU297"/>
    <mergeCell ref="QV297:QW297"/>
    <mergeCell ref="QX297:QY297"/>
    <mergeCell ref="QZ297:RA297"/>
    <mergeCell ref="RB297:RC297"/>
    <mergeCell ref="MB297:MC297"/>
    <mergeCell ref="MD297:ME297"/>
    <mergeCell ref="MF297:MG297"/>
    <mergeCell ref="MH297:MI297"/>
    <mergeCell ref="MJ297:MK297"/>
    <mergeCell ref="ML297:MM297"/>
    <mergeCell ref="MN297:MO297"/>
    <mergeCell ref="MP297:MQ297"/>
    <mergeCell ref="MR297:MS297"/>
    <mergeCell ref="MT297:MU297"/>
    <mergeCell ref="MV297:MW297"/>
    <mergeCell ref="MX297:MY297"/>
    <mergeCell ref="MZ297:NA297"/>
    <mergeCell ref="NB297:NC297"/>
    <mergeCell ref="ND297:NE297"/>
    <mergeCell ref="NF297:NG297"/>
    <mergeCell ref="NH297:NI297"/>
    <mergeCell ref="NJ297:NK297"/>
    <mergeCell ref="NL297:NM297"/>
    <mergeCell ref="NN297:NO297"/>
    <mergeCell ref="NP297:NQ297"/>
    <mergeCell ref="NR297:NS297"/>
    <mergeCell ref="NT297:NU297"/>
    <mergeCell ref="NV297:NW297"/>
    <mergeCell ref="NX297:NY297"/>
    <mergeCell ref="NZ297:OA297"/>
    <mergeCell ref="OB297:OC297"/>
    <mergeCell ref="OD297:OE297"/>
    <mergeCell ref="OF297:OG297"/>
    <mergeCell ref="OH297:OI297"/>
    <mergeCell ref="OJ297:OK297"/>
    <mergeCell ref="OL297:OM297"/>
    <mergeCell ref="ON297:OO297"/>
    <mergeCell ref="JN297:JO297"/>
    <mergeCell ref="JP297:JQ297"/>
    <mergeCell ref="JR297:JS297"/>
    <mergeCell ref="JT297:JU297"/>
    <mergeCell ref="JV297:JW297"/>
    <mergeCell ref="JX297:JY297"/>
    <mergeCell ref="JZ297:KA297"/>
    <mergeCell ref="KB297:KC297"/>
    <mergeCell ref="KD297:KE297"/>
    <mergeCell ref="KF297:KG297"/>
    <mergeCell ref="KH297:KI297"/>
    <mergeCell ref="KJ297:KK297"/>
    <mergeCell ref="KL297:KM297"/>
    <mergeCell ref="KN297:KO297"/>
    <mergeCell ref="KP297:KQ297"/>
    <mergeCell ref="KR297:KS297"/>
    <mergeCell ref="KT297:KU297"/>
    <mergeCell ref="KV297:KW297"/>
    <mergeCell ref="KX297:KY297"/>
    <mergeCell ref="KZ297:LA297"/>
    <mergeCell ref="LB297:LC297"/>
    <mergeCell ref="LD297:LE297"/>
    <mergeCell ref="LF297:LG297"/>
    <mergeCell ref="LH297:LI297"/>
    <mergeCell ref="LJ297:LK297"/>
    <mergeCell ref="LL297:LM297"/>
    <mergeCell ref="LN297:LO297"/>
    <mergeCell ref="LP297:LQ297"/>
    <mergeCell ref="LR297:LS297"/>
    <mergeCell ref="LT297:LU297"/>
    <mergeCell ref="LV297:LW297"/>
    <mergeCell ref="LX297:LY297"/>
    <mergeCell ref="LZ297:MA297"/>
    <mergeCell ref="OP296:OQ296"/>
    <mergeCell ref="OR296:OS296"/>
    <mergeCell ref="OT296:OU296"/>
    <mergeCell ref="OV296:OW296"/>
    <mergeCell ref="OX296:OY296"/>
    <mergeCell ref="OZ296:PA296"/>
    <mergeCell ref="PB296:PC296"/>
    <mergeCell ref="PD296:PE296"/>
    <mergeCell ref="PF296:PG296"/>
    <mergeCell ref="PH296:PI296"/>
    <mergeCell ref="PJ296:PK296"/>
    <mergeCell ref="PL296:PM296"/>
    <mergeCell ref="PN296:PO296"/>
    <mergeCell ref="PP296:PQ296"/>
    <mergeCell ref="PR296:PS296"/>
    <mergeCell ref="PT296:PU296"/>
    <mergeCell ref="PV296:PW296"/>
    <mergeCell ref="PX296:PY296"/>
    <mergeCell ref="PZ296:QA296"/>
    <mergeCell ref="QB296:QC296"/>
    <mergeCell ref="QD296:QE296"/>
    <mergeCell ref="QF296:QG296"/>
    <mergeCell ref="QH296:QI296"/>
    <mergeCell ref="QJ296:QK296"/>
    <mergeCell ref="QL296:QM296"/>
    <mergeCell ref="QN296:QO296"/>
    <mergeCell ref="QP296:QQ296"/>
    <mergeCell ref="QR296:QS296"/>
    <mergeCell ref="QT296:QU296"/>
    <mergeCell ref="QV296:QW296"/>
    <mergeCell ref="QX296:QY296"/>
    <mergeCell ref="QZ296:RA296"/>
    <mergeCell ref="RB296:RC296"/>
    <mergeCell ref="MB296:MC296"/>
    <mergeCell ref="MD296:ME296"/>
    <mergeCell ref="MF296:MG296"/>
    <mergeCell ref="MH296:MI296"/>
    <mergeCell ref="MJ296:MK296"/>
    <mergeCell ref="ML296:MM296"/>
    <mergeCell ref="MN296:MO296"/>
    <mergeCell ref="MP296:MQ296"/>
    <mergeCell ref="MR296:MS296"/>
    <mergeCell ref="MT296:MU296"/>
    <mergeCell ref="MV296:MW296"/>
    <mergeCell ref="MX296:MY296"/>
    <mergeCell ref="MZ296:NA296"/>
    <mergeCell ref="NB296:NC296"/>
    <mergeCell ref="ND296:NE296"/>
    <mergeCell ref="NF296:NG296"/>
    <mergeCell ref="NH296:NI296"/>
    <mergeCell ref="NJ296:NK296"/>
    <mergeCell ref="NL296:NM296"/>
    <mergeCell ref="NN296:NO296"/>
    <mergeCell ref="NP296:NQ296"/>
    <mergeCell ref="NR296:NS296"/>
    <mergeCell ref="NT296:NU296"/>
    <mergeCell ref="NV296:NW296"/>
    <mergeCell ref="NX296:NY296"/>
    <mergeCell ref="NZ296:OA296"/>
    <mergeCell ref="OB296:OC296"/>
    <mergeCell ref="OD296:OE296"/>
    <mergeCell ref="OF296:OG296"/>
    <mergeCell ref="OH296:OI296"/>
    <mergeCell ref="OJ296:OK296"/>
    <mergeCell ref="OL296:OM296"/>
    <mergeCell ref="ON296:OO296"/>
    <mergeCell ref="JN296:JO296"/>
    <mergeCell ref="JP296:JQ296"/>
    <mergeCell ref="JR296:JS296"/>
    <mergeCell ref="JT296:JU296"/>
    <mergeCell ref="JV296:JW296"/>
    <mergeCell ref="JX296:JY296"/>
    <mergeCell ref="JZ296:KA296"/>
    <mergeCell ref="KB296:KC296"/>
    <mergeCell ref="KD296:KE296"/>
    <mergeCell ref="KF296:KG296"/>
    <mergeCell ref="KH296:KI296"/>
    <mergeCell ref="KJ296:KK296"/>
    <mergeCell ref="KL296:KM296"/>
    <mergeCell ref="KN296:KO296"/>
    <mergeCell ref="KP296:KQ296"/>
    <mergeCell ref="KR296:KS296"/>
    <mergeCell ref="KT296:KU296"/>
    <mergeCell ref="KV296:KW296"/>
    <mergeCell ref="KX296:KY296"/>
    <mergeCell ref="KZ296:LA296"/>
    <mergeCell ref="LB296:LC296"/>
    <mergeCell ref="LD296:LE296"/>
    <mergeCell ref="LF296:LG296"/>
    <mergeCell ref="LH296:LI296"/>
    <mergeCell ref="LJ296:LK296"/>
    <mergeCell ref="LL296:LM296"/>
    <mergeCell ref="LN296:LO296"/>
    <mergeCell ref="LP296:LQ296"/>
    <mergeCell ref="LR296:LS296"/>
    <mergeCell ref="LT296:LU296"/>
    <mergeCell ref="LV296:LW296"/>
    <mergeCell ref="LX296:LY296"/>
    <mergeCell ref="LZ296:MA296"/>
    <mergeCell ref="OP295:OQ295"/>
    <mergeCell ref="OR295:OS295"/>
    <mergeCell ref="OT295:OU295"/>
    <mergeCell ref="OV295:OW295"/>
    <mergeCell ref="OX295:OY295"/>
    <mergeCell ref="OZ295:PA295"/>
    <mergeCell ref="PB295:PC295"/>
    <mergeCell ref="PD295:PE295"/>
    <mergeCell ref="PF295:PG295"/>
    <mergeCell ref="PH295:PI295"/>
    <mergeCell ref="PJ295:PK295"/>
    <mergeCell ref="PL295:PM295"/>
    <mergeCell ref="PN295:PO295"/>
    <mergeCell ref="PP295:PQ295"/>
    <mergeCell ref="PR295:PS295"/>
    <mergeCell ref="PT295:PU295"/>
    <mergeCell ref="PV295:PW295"/>
    <mergeCell ref="PX295:PY295"/>
    <mergeCell ref="PZ295:QA295"/>
    <mergeCell ref="QB295:QC295"/>
    <mergeCell ref="QD295:QE295"/>
    <mergeCell ref="QF295:QG295"/>
    <mergeCell ref="QH295:QI295"/>
    <mergeCell ref="QJ295:QK295"/>
    <mergeCell ref="QL295:QM295"/>
    <mergeCell ref="QN295:QO295"/>
    <mergeCell ref="QP295:QQ295"/>
    <mergeCell ref="QR295:QS295"/>
    <mergeCell ref="QT295:QU295"/>
    <mergeCell ref="QV295:QW295"/>
    <mergeCell ref="QX295:QY295"/>
    <mergeCell ref="QZ295:RA295"/>
    <mergeCell ref="RB295:RC295"/>
    <mergeCell ref="MB295:MC295"/>
    <mergeCell ref="MD295:ME295"/>
    <mergeCell ref="MF295:MG295"/>
    <mergeCell ref="MH295:MI295"/>
    <mergeCell ref="MJ295:MK295"/>
    <mergeCell ref="ML295:MM295"/>
    <mergeCell ref="MN295:MO295"/>
    <mergeCell ref="MP295:MQ295"/>
    <mergeCell ref="MR295:MS295"/>
    <mergeCell ref="MT295:MU295"/>
    <mergeCell ref="MV295:MW295"/>
    <mergeCell ref="MX295:MY295"/>
    <mergeCell ref="MZ295:NA295"/>
    <mergeCell ref="NB295:NC295"/>
    <mergeCell ref="ND295:NE295"/>
    <mergeCell ref="NF295:NG295"/>
    <mergeCell ref="NH295:NI295"/>
    <mergeCell ref="NJ295:NK295"/>
    <mergeCell ref="NL295:NM295"/>
    <mergeCell ref="NN295:NO295"/>
    <mergeCell ref="NP295:NQ295"/>
    <mergeCell ref="NR295:NS295"/>
    <mergeCell ref="NT295:NU295"/>
    <mergeCell ref="NV295:NW295"/>
    <mergeCell ref="NX295:NY295"/>
    <mergeCell ref="NZ295:OA295"/>
    <mergeCell ref="OB295:OC295"/>
    <mergeCell ref="OD295:OE295"/>
    <mergeCell ref="OF295:OG295"/>
    <mergeCell ref="OH295:OI295"/>
    <mergeCell ref="OJ295:OK295"/>
    <mergeCell ref="OL295:OM295"/>
    <mergeCell ref="ON295:OO295"/>
    <mergeCell ref="JN295:JO295"/>
    <mergeCell ref="JP295:JQ295"/>
    <mergeCell ref="JR295:JS295"/>
    <mergeCell ref="JT295:JU295"/>
    <mergeCell ref="JV295:JW295"/>
    <mergeCell ref="JX295:JY295"/>
    <mergeCell ref="JZ295:KA295"/>
    <mergeCell ref="KB295:KC295"/>
    <mergeCell ref="KD295:KE295"/>
    <mergeCell ref="KF295:KG295"/>
    <mergeCell ref="KH295:KI295"/>
    <mergeCell ref="KJ295:KK295"/>
    <mergeCell ref="KL295:KM295"/>
    <mergeCell ref="KN295:KO295"/>
    <mergeCell ref="KP295:KQ295"/>
    <mergeCell ref="KR295:KS295"/>
    <mergeCell ref="KT295:KU295"/>
    <mergeCell ref="KV295:KW295"/>
    <mergeCell ref="KX295:KY295"/>
    <mergeCell ref="KZ295:LA295"/>
    <mergeCell ref="LB295:LC295"/>
    <mergeCell ref="LD295:LE295"/>
    <mergeCell ref="LF295:LG295"/>
    <mergeCell ref="LH295:LI295"/>
    <mergeCell ref="LJ295:LK295"/>
    <mergeCell ref="LL295:LM295"/>
    <mergeCell ref="LN295:LO295"/>
    <mergeCell ref="LP295:LQ295"/>
    <mergeCell ref="LR295:LS295"/>
    <mergeCell ref="LT295:LU295"/>
    <mergeCell ref="LV295:LW295"/>
    <mergeCell ref="LX295:LY295"/>
    <mergeCell ref="LZ295:MA295"/>
    <mergeCell ref="OP294:OQ294"/>
    <mergeCell ref="OR294:OS294"/>
    <mergeCell ref="OT294:OU294"/>
    <mergeCell ref="OV294:OW294"/>
    <mergeCell ref="OX294:OY294"/>
    <mergeCell ref="OZ294:PA294"/>
    <mergeCell ref="PB294:PC294"/>
    <mergeCell ref="PD294:PE294"/>
    <mergeCell ref="PF294:PG294"/>
    <mergeCell ref="PH294:PI294"/>
    <mergeCell ref="PJ294:PK294"/>
    <mergeCell ref="PL294:PM294"/>
    <mergeCell ref="PN294:PO294"/>
    <mergeCell ref="PP294:PQ294"/>
    <mergeCell ref="PR294:PS294"/>
    <mergeCell ref="PT294:PU294"/>
    <mergeCell ref="PV294:PW294"/>
    <mergeCell ref="PX294:PY294"/>
    <mergeCell ref="PZ294:QA294"/>
    <mergeCell ref="QB294:QC294"/>
    <mergeCell ref="QD294:QE294"/>
    <mergeCell ref="QF294:QG294"/>
    <mergeCell ref="QH294:QI294"/>
    <mergeCell ref="QJ294:QK294"/>
    <mergeCell ref="QL294:QM294"/>
    <mergeCell ref="QN294:QO294"/>
    <mergeCell ref="QP294:QQ294"/>
    <mergeCell ref="QR294:QS294"/>
    <mergeCell ref="QT294:QU294"/>
    <mergeCell ref="QV294:QW294"/>
    <mergeCell ref="QX294:QY294"/>
    <mergeCell ref="QZ294:RA294"/>
    <mergeCell ref="RB294:RC294"/>
    <mergeCell ref="MB294:MC294"/>
    <mergeCell ref="MD294:ME294"/>
    <mergeCell ref="MF294:MG294"/>
    <mergeCell ref="MH294:MI294"/>
    <mergeCell ref="MJ294:MK294"/>
    <mergeCell ref="ML294:MM294"/>
    <mergeCell ref="MN294:MO294"/>
    <mergeCell ref="MP294:MQ294"/>
    <mergeCell ref="MR294:MS294"/>
    <mergeCell ref="MT294:MU294"/>
    <mergeCell ref="MV294:MW294"/>
    <mergeCell ref="MX294:MY294"/>
    <mergeCell ref="MZ294:NA294"/>
    <mergeCell ref="NB294:NC294"/>
    <mergeCell ref="ND294:NE294"/>
    <mergeCell ref="NF294:NG294"/>
    <mergeCell ref="NH294:NI294"/>
    <mergeCell ref="NJ294:NK294"/>
    <mergeCell ref="NL294:NM294"/>
    <mergeCell ref="NN294:NO294"/>
    <mergeCell ref="NP294:NQ294"/>
    <mergeCell ref="NR294:NS294"/>
    <mergeCell ref="NT294:NU294"/>
    <mergeCell ref="NV294:NW294"/>
    <mergeCell ref="NX294:NY294"/>
    <mergeCell ref="NZ294:OA294"/>
    <mergeCell ref="OB294:OC294"/>
    <mergeCell ref="OD294:OE294"/>
    <mergeCell ref="OF294:OG294"/>
    <mergeCell ref="OH294:OI294"/>
    <mergeCell ref="OJ294:OK294"/>
    <mergeCell ref="OL294:OM294"/>
    <mergeCell ref="ON294:OO294"/>
    <mergeCell ref="JN294:JO294"/>
    <mergeCell ref="JP294:JQ294"/>
    <mergeCell ref="JR294:JS294"/>
    <mergeCell ref="JT294:JU294"/>
    <mergeCell ref="JV294:JW294"/>
    <mergeCell ref="JX294:JY294"/>
    <mergeCell ref="JZ294:KA294"/>
    <mergeCell ref="KB294:KC294"/>
    <mergeCell ref="KD294:KE294"/>
    <mergeCell ref="KF294:KG294"/>
    <mergeCell ref="KH294:KI294"/>
    <mergeCell ref="KJ294:KK294"/>
    <mergeCell ref="KL294:KM294"/>
    <mergeCell ref="KN294:KO294"/>
    <mergeCell ref="KP294:KQ294"/>
    <mergeCell ref="KR294:KS294"/>
    <mergeCell ref="KT294:KU294"/>
    <mergeCell ref="KV294:KW294"/>
    <mergeCell ref="KX294:KY294"/>
    <mergeCell ref="KZ294:LA294"/>
    <mergeCell ref="LB294:LC294"/>
    <mergeCell ref="LD294:LE294"/>
    <mergeCell ref="LF294:LG294"/>
    <mergeCell ref="LH294:LI294"/>
    <mergeCell ref="LJ294:LK294"/>
    <mergeCell ref="LL294:LM294"/>
    <mergeCell ref="LN294:LO294"/>
    <mergeCell ref="LP294:LQ294"/>
    <mergeCell ref="LR294:LS294"/>
    <mergeCell ref="LT294:LU294"/>
    <mergeCell ref="LV294:LW294"/>
    <mergeCell ref="LX294:LY294"/>
    <mergeCell ref="LZ294:MA294"/>
    <mergeCell ref="OP293:OQ293"/>
    <mergeCell ref="OR293:OS293"/>
    <mergeCell ref="OT293:OU293"/>
    <mergeCell ref="OV293:OW293"/>
    <mergeCell ref="OX293:OY293"/>
    <mergeCell ref="OZ293:PA293"/>
    <mergeCell ref="PB293:PC293"/>
    <mergeCell ref="PD293:PE293"/>
    <mergeCell ref="PF293:PG293"/>
    <mergeCell ref="PH293:PI293"/>
    <mergeCell ref="PJ293:PK293"/>
    <mergeCell ref="PL293:PM293"/>
    <mergeCell ref="PN293:PO293"/>
    <mergeCell ref="PP293:PQ293"/>
    <mergeCell ref="PR293:PS293"/>
    <mergeCell ref="PT293:PU293"/>
    <mergeCell ref="PV293:PW293"/>
    <mergeCell ref="PX293:PY293"/>
    <mergeCell ref="PZ293:QA293"/>
    <mergeCell ref="QB293:QC293"/>
    <mergeCell ref="QD293:QE293"/>
    <mergeCell ref="QF293:QG293"/>
    <mergeCell ref="QH293:QI293"/>
    <mergeCell ref="QJ293:QK293"/>
    <mergeCell ref="QL293:QM293"/>
    <mergeCell ref="QN293:QO293"/>
    <mergeCell ref="QP293:QQ293"/>
    <mergeCell ref="QR293:QS293"/>
    <mergeCell ref="QT293:QU293"/>
    <mergeCell ref="QV293:QW293"/>
    <mergeCell ref="QX293:QY293"/>
    <mergeCell ref="QZ293:RA293"/>
    <mergeCell ref="RB293:RC293"/>
    <mergeCell ref="MB293:MC293"/>
    <mergeCell ref="MD293:ME293"/>
    <mergeCell ref="MF293:MG293"/>
    <mergeCell ref="MH293:MI293"/>
    <mergeCell ref="MJ293:MK293"/>
    <mergeCell ref="ML293:MM293"/>
    <mergeCell ref="MN293:MO293"/>
    <mergeCell ref="MP293:MQ293"/>
    <mergeCell ref="MR293:MS293"/>
    <mergeCell ref="MT293:MU293"/>
    <mergeCell ref="MV293:MW293"/>
    <mergeCell ref="MX293:MY293"/>
    <mergeCell ref="MZ293:NA293"/>
    <mergeCell ref="NB293:NC293"/>
    <mergeCell ref="ND293:NE293"/>
    <mergeCell ref="NF293:NG293"/>
    <mergeCell ref="NH293:NI293"/>
    <mergeCell ref="NJ293:NK293"/>
    <mergeCell ref="NL293:NM293"/>
    <mergeCell ref="NN293:NO293"/>
    <mergeCell ref="NP293:NQ293"/>
    <mergeCell ref="NR293:NS293"/>
    <mergeCell ref="NT293:NU293"/>
    <mergeCell ref="NV293:NW293"/>
    <mergeCell ref="NX293:NY293"/>
    <mergeCell ref="NZ293:OA293"/>
    <mergeCell ref="OB293:OC293"/>
    <mergeCell ref="OD293:OE293"/>
    <mergeCell ref="OF293:OG293"/>
    <mergeCell ref="OH293:OI293"/>
    <mergeCell ref="OJ293:OK293"/>
    <mergeCell ref="OL293:OM293"/>
    <mergeCell ref="ON293:OO293"/>
    <mergeCell ref="JN293:JO293"/>
    <mergeCell ref="JP293:JQ293"/>
    <mergeCell ref="JR293:JS293"/>
    <mergeCell ref="JT293:JU293"/>
    <mergeCell ref="JV293:JW293"/>
    <mergeCell ref="JX293:JY293"/>
    <mergeCell ref="JZ293:KA293"/>
    <mergeCell ref="KB293:KC293"/>
    <mergeCell ref="KD293:KE293"/>
    <mergeCell ref="KF293:KG293"/>
    <mergeCell ref="KH293:KI293"/>
    <mergeCell ref="KJ293:KK293"/>
    <mergeCell ref="KL293:KM293"/>
    <mergeCell ref="KN293:KO293"/>
    <mergeCell ref="KP293:KQ293"/>
    <mergeCell ref="KR293:KS293"/>
    <mergeCell ref="KT293:KU293"/>
    <mergeCell ref="KV293:KW293"/>
    <mergeCell ref="KX293:KY293"/>
    <mergeCell ref="KZ293:LA293"/>
    <mergeCell ref="LB293:LC293"/>
    <mergeCell ref="LD293:LE293"/>
    <mergeCell ref="LF293:LG293"/>
    <mergeCell ref="LH293:LI293"/>
    <mergeCell ref="LJ293:LK293"/>
    <mergeCell ref="LL293:LM293"/>
    <mergeCell ref="LN293:LO293"/>
    <mergeCell ref="LP293:LQ293"/>
    <mergeCell ref="LR293:LS293"/>
    <mergeCell ref="LT293:LU293"/>
    <mergeCell ref="LV293:LW293"/>
    <mergeCell ref="LX293:LY293"/>
    <mergeCell ref="LZ293:MA293"/>
    <mergeCell ref="OP292:OQ292"/>
    <mergeCell ref="OR292:OS292"/>
    <mergeCell ref="OT292:OU292"/>
    <mergeCell ref="OV292:OW292"/>
    <mergeCell ref="OX292:OY292"/>
    <mergeCell ref="OZ292:PA292"/>
    <mergeCell ref="PB292:PC292"/>
    <mergeCell ref="PD292:PE292"/>
    <mergeCell ref="PF292:PG292"/>
    <mergeCell ref="PH292:PI292"/>
    <mergeCell ref="PJ292:PK292"/>
    <mergeCell ref="PL292:PM292"/>
    <mergeCell ref="PN292:PO292"/>
    <mergeCell ref="PP292:PQ292"/>
    <mergeCell ref="PR292:PS292"/>
    <mergeCell ref="PT292:PU292"/>
    <mergeCell ref="PV292:PW292"/>
    <mergeCell ref="PX292:PY292"/>
    <mergeCell ref="PZ292:QA292"/>
    <mergeCell ref="QB292:QC292"/>
    <mergeCell ref="QD292:QE292"/>
    <mergeCell ref="QF292:QG292"/>
    <mergeCell ref="QH292:QI292"/>
    <mergeCell ref="QJ292:QK292"/>
    <mergeCell ref="QL292:QM292"/>
    <mergeCell ref="QN292:QO292"/>
    <mergeCell ref="QP292:QQ292"/>
    <mergeCell ref="QR292:QS292"/>
    <mergeCell ref="QT292:QU292"/>
    <mergeCell ref="QV292:QW292"/>
    <mergeCell ref="QX292:QY292"/>
    <mergeCell ref="QZ292:RA292"/>
    <mergeCell ref="RB292:RC292"/>
    <mergeCell ref="MB292:MC292"/>
    <mergeCell ref="MD292:ME292"/>
    <mergeCell ref="MF292:MG292"/>
    <mergeCell ref="MH292:MI292"/>
    <mergeCell ref="MJ292:MK292"/>
    <mergeCell ref="ML292:MM292"/>
    <mergeCell ref="MN292:MO292"/>
    <mergeCell ref="MP292:MQ292"/>
    <mergeCell ref="MR292:MS292"/>
    <mergeCell ref="MT292:MU292"/>
    <mergeCell ref="MV292:MW292"/>
    <mergeCell ref="MX292:MY292"/>
    <mergeCell ref="MZ292:NA292"/>
    <mergeCell ref="NB292:NC292"/>
    <mergeCell ref="ND292:NE292"/>
    <mergeCell ref="NF292:NG292"/>
    <mergeCell ref="NH292:NI292"/>
    <mergeCell ref="NJ292:NK292"/>
    <mergeCell ref="NL292:NM292"/>
    <mergeCell ref="NN292:NO292"/>
    <mergeCell ref="NP292:NQ292"/>
    <mergeCell ref="NR292:NS292"/>
    <mergeCell ref="NT292:NU292"/>
    <mergeCell ref="NV292:NW292"/>
    <mergeCell ref="NX292:NY292"/>
    <mergeCell ref="NZ292:OA292"/>
    <mergeCell ref="OB292:OC292"/>
    <mergeCell ref="OD292:OE292"/>
    <mergeCell ref="OF292:OG292"/>
    <mergeCell ref="OH292:OI292"/>
    <mergeCell ref="OJ292:OK292"/>
    <mergeCell ref="OL292:OM292"/>
    <mergeCell ref="ON292:OO292"/>
    <mergeCell ref="JN292:JO292"/>
    <mergeCell ref="JP292:JQ292"/>
    <mergeCell ref="JR292:JS292"/>
    <mergeCell ref="JT292:JU292"/>
    <mergeCell ref="JV292:JW292"/>
    <mergeCell ref="JX292:JY292"/>
    <mergeCell ref="JZ292:KA292"/>
    <mergeCell ref="KB292:KC292"/>
    <mergeCell ref="KD292:KE292"/>
    <mergeCell ref="KF292:KG292"/>
    <mergeCell ref="KH292:KI292"/>
    <mergeCell ref="KJ292:KK292"/>
    <mergeCell ref="KL292:KM292"/>
    <mergeCell ref="KN292:KO292"/>
    <mergeCell ref="KP292:KQ292"/>
    <mergeCell ref="KR292:KS292"/>
    <mergeCell ref="KT292:KU292"/>
    <mergeCell ref="KV292:KW292"/>
    <mergeCell ref="KX292:KY292"/>
    <mergeCell ref="KZ292:LA292"/>
    <mergeCell ref="LB292:LC292"/>
    <mergeCell ref="LD292:LE292"/>
    <mergeCell ref="LF292:LG292"/>
    <mergeCell ref="LH292:LI292"/>
    <mergeCell ref="LJ292:LK292"/>
    <mergeCell ref="LL292:LM292"/>
    <mergeCell ref="LN292:LO292"/>
    <mergeCell ref="LP292:LQ292"/>
    <mergeCell ref="LR292:LS292"/>
    <mergeCell ref="LT292:LU292"/>
    <mergeCell ref="LV292:LW292"/>
    <mergeCell ref="LX292:LY292"/>
    <mergeCell ref="LZ292:MA292"/>
    <mergeCell ref="OP291:OQ291"/>
    <mergeCell ref="OR291:OS291"/>
    <mergeCell ref="OT291:OU291"/>
    <mergeCell ref="OV291:OW291"/>
    <mergeCell ref="OX291:OY291"/>
    <mergeCell ref="OZ291:PA291"/>
    <mergeCell ref="PB291:PC291"/>
    <mergeCell ref="PD291:PE291"/>
    <mergeCell ref="PF291:PG291"/>
    <mergeCell ref="PH291:PI291"/>
    <mergeCell ref="PJ291:PK291"/>
    <mergeCell ref="PL291:PM291"/>
    <mergeCell ref="PN291:PO291"/>
    <mergeCell ref="PP291:PQ291"/>
    <mergeCell ref="PR291:PS291"/>
    <mergeCell ref="PT291:PU291"/>
    <mergeCell ref="PV291:PW291"/>
    <mergeCell ref="PX291:PY291"/>
    <mergeCell ref="PZ291:QA291"/>
    <mergeCell ref="QB291:QC291"/>
    <mergeCell ref="QD291:QE291"/>
    <mergeCell ref="QF291:QG291"/>
    <mergeCell ref="QH291:QI291"/>
    <mergeCell ref="QJ291:QK291"/>
    <mergeCell ref="QL291:QM291"/>
    <mergeCell ref="QN291:QO291"/>
    <mergeCell ref="QP291:QQ291"/>
    <mergeCell ref="QR291:QS291"/>
    <mergeCell ref="QT291:QU291"/>
    <mergeCell ref="QV291:QW291"/>
    <mergeCell ref="QX291:QY291"/>
    <mergeCell ref="QZ291:RA291"/>
    <mergeCell ref="RB291:RC291"/>
    <mergeCell ref="MB291:MC291"/>
    <mergeCell ref="MD291:ME291"/>
    <mergeCell ref="MF291:MG291"/>
    <mergeCell ref="MH291:MI291"/>
    <mergeCell ref="MJ291:MK291"/>
    <mergeCell ref="ML291:MM291"/>
    <mergeCell ref="MN291:MO291"/>
    <mergeCell ref="MP291:MQ291"/>
    <mergeCell ref="MR291:MS291"/>
    <mergeCell ref="MT291:MU291"/>
    <mergeCell ref="MV291:MW291"/>
    <mergeCell ref="MX291:MY291"/>
    <mergeCell ref="MZ291:NA291"/>
    <mergeCell ref="NB291:NC291"/>
    <mergeCell ref="ND291:NE291"/>
    <mergeCell ref="NF291:NG291"/>
    <mergeCell ref="NH291:NI291"/>
    <mergeCell ref="NJ291:NK291"/>
    <mergeCell ref="NL291:NM291"/>
    <mergeCell ref="NN291:NO291"/>
    <mergeCell ref="NP291:NQ291"/>
    <mergeCell ref="NR291:NS291"/>
    <mergeCell ref="NT291:NU291"/>
    <mergeCell ref="NV291:NW291"/>
    <mergeCell ref="NX291:NY291"/>
    <mergeCell ref="NZ291:OA291"/>
    <mergeCell ref="OB291:OC291"/>
    <mergeCell ref="OD291:OE291"/>
    <mergeCell ref="OF291:OG291"/>
    <mergeCell ref="OH291:OI291"/>
    <mergeCell ref="OJ291:OK291"/>
    <mergeCell ref="OL291:OM291"/>
    <mergeCell ref="ON291:OO291"/>
    <mergeCell ref="JN291:JO291"/>
    <mergeCell ref="JP291:JQ291"/>
    <mergeCell ref="JR291:JS291"/>
    <mergeCell ref="JT291:JU291"/>
    <mergeCell ref="JV291:JW291"/>
    <mergeCell ref="JX291:JY291"/>
    <mergeCell ref="JZ291:KA291"/>
    <mergeCell ref="KB291:KC291"/>
    <mergeCell ref="KD291:KE291"/>
    <mergeCell ref="KF291:KG291"/>
    <mergeCell ref="KH291:KI291"/>
    <mergeCell ref="KJ291:KK291"/>
    <mergeCell ref="KL291:KM291"/>
    <mergeCell ref="KN291:KO291"/>
    <mergeCell ref="KP291:KQ291"/>
    <mergeCell ref="KR291:KS291"/>
    <mergeCell ref="KT291:KU291"/>
    <mergeCell ref="KV291:KW291"/>
    <mergeCell ref="KX291:KY291"/>
    <mergeCell ref="KZ291:LA291"/>
    <mergeCell ref="LB291:LC291"/>
    <mergeCell ref="LD291:LE291"/>
    <mergeCell ref="LF291:LG291"/>
    <mergeCell ref="LH291:LI291"/>
    <mergeCell ref="LJ291:LK291"/>
    <mergeCell ref="LL291:LM291"/>
    <mergeCell ref="LN291:LO291"/>
    <mergeCell ref="LP291:LQ291"/>
    <mergeCell ref="LR291:LS291"/>
    <mergeCell ref="LT291:LU291"/>
    <mergeCell ref="LV291:LW291"/>
    <mergeCell ref="LX291:LY291"/>
    <mergeCell ref="LZ291:MA291"/>
    <mergeCell ref="OP290:OQ290"/>
    <mergeCell ref="OR290:OS290"/>
    <mergeCell ref="OT290:OU290"/>
    <mergeCell ref="OV290:OW290"/>
    <mergeCell ref="OX290:OY290"/>
    <mergeCell ref="OZ290:PA290"/>
    <mergeCell ref="PB290:PC290"/>
    <mergeCell ref="PD290:PE290"/>
    <mergeCell ref="PF290:PG290"/>
    <mergeCell ref="PH290:PI290"/>
    <mergeCell ref="PJ290:PK290"/>
    <mergeCell ref="PL290:PM290"/>
    <mergeCell ref="PN290:PO290"/>
    <mergeCell ref="PP290:PQ290"/>
    <mergeCell ref="PR290:PS290"/>
    <mergeCell ref="PT290:PU290"/>
    <mergeCell ref="PV290:PW290"/>
    <mergeCell ref="PX290:PY290"/>
    <mergeCell ref="PZ290:QA290"/>
    <mergeCell ref="QB290:QC290"/>
    <mergeCell ref="QD290:QE290"/>
    <mergeCell ref="QF290:QG290"/>
    <mergeCell ref="QH290:QI290"/>
    <mergeCell ref="QJ290:QK290"/>
    <mergeCell ref="QL290:QM290"/>
    <mergeCell ref="QN290:QO290"/>
    <mergeCell ref="QP290:QQ290"/>
    <mergeCell ref="QR290:QS290"/>
    <mergeCell ref="QT290:QU290"/>
    <mergeCell ref="QV290:QW290"/>
    <mergeCell ref="QX290:QY290"/>
    <mergeCell ref="QZ290:RA290"/>
    <mergeCell ref="RB290:RC290"/>
    <mergeCell ref="MB290:MC290"/>
    <mergeCell ref="MD290:ME290"/>
    <mergeCell ref="MF290:MG290"/>
    <mergeCell ref="MH290:MI290"/>
    <mergeCell ref="MJ290:MK290"/>
    <mergeCell ref="ML290:MM290"/>
    <mergeCell ref="MN290:MO290"/>
    <mergeCell ref="MP290:MQ290"/>
    <mergeCell ref="MR290:MS290"/>
    <mergeCell ref="MT290:MU290"/>
    <mergeCell ref="MV290:MW290"/>
    <mergeCell ref="MX290:MY290"/>
    <mergeCell ref="MZ290:NA290"/>
    <mergeCell ref="NB290:NC290"/>
    <mergeCell ref="ND290:NE290"/>
    <mergeCell ref="NF290:NG290"/>
    <mergeCell ref="NH290:NI290"/>
    <mergeCell ref="NJ290:NK290"/>
    <mergeCell ref="NL290:NM290"/>
    <mergeCell ref="NN290:NO290"/>
    <mergeCell ref="NP290:NQ290"/>
    <mergeCell ref="NR290:NS290"/>
    <mergeCell ref="NT290:NU290"/>
    <mergeCell ref="NV290:NW290"/>
    <mergeCell ref="NX290:NY290"/>
    <mergeCell ref="NZ290:OA290"/>
    <mergeCell ref="OB290:OC290"/>
    <mergeCell ref="OD290:OE290"/>
    <mergeCell ref="OF290:OG290"/>
    <mergeCell ref="OH290:OI290"/>
    <mergeCell ref="OJ290:OK290"/>
    <mergeCell ref="OL290:OM290"/>
    <mergeCell ref="ON290:OO290"/>
    <mergeCell ref="JN290:JO290"/>
    <mergeCell ref="JP290:JQ290"/>
    <mergeCell ref="JR290:JS290"/>
    <mergeCell ref="JT290:JU290"/>
    <mergeCell ref="JV290:JW290"/>
    <mergeCell ref="JX290:JY290"/>
    <mergeCell ref="JZ290:KA290"/>
    <mergeCell ref="KB290:KC290"/>
    <mergeCell ref="KD290:KE290"/>
    <mergeCell ref="KF290:KG290"/>
    <mergeCell ref="KH290:KI290"/>
    <mergeCell ref="KJ290:KK290"/>
    <mergeCell ref="KL290:KM290"/>
    <mergeCell ref="KN290:KO290"/>
    <mergeCell ref="KP290:KQ290"/>
    <mergeCell ref="KR290:KS290"/>
    <mergeCell ref="KT290:KU290"/>
    <mergeCell ref="KV290:KW290"/>
    <mergeCell ref="KX290:KY290"/>
    <mergeCell ref="KZ290:LA290"/>
    <mergeCell ref="LB290:LC290"/>
    <mergeCell ref="LD290:LE290"/>
    <mergeCell ref="LF290:LG290"/>
    <mergeCell ref="LH290:LI290"/>
    <mergeCell ref="LJ290:LK290"/>
    <mergeCell ref="LL290:LM290"/>
    <mergeCell ref="LN290:LO290"/>
    <mergeCell ref="LP290:LQ290"/>
    <mergeCell ref="LR290:LS290"/>
    <mergeCell ref="LT290:LU290"/>
    <mergeCell ref="LV290:LW290"/>
    <mergeCell ref="LX290:LY290"/>
    <mergeCell ref="LZ290:MA290"/>
    <mergeCell ref="OP289:OQ289"/>
    <mergeCell ref="OR289:OS289"/>
    <mergeCell ref="OT289:OU289"/>
    <mergeCell ref="OV289:OW289"/>
    <mergeCell ref="OX289:OY289"/>
    <mergeCell ref="OZ289:PA289"/>
    <mergeCell ref="PB289:PC289"/>
    <mergeCell ref="PD289:PE289"/>
    <mergeCell ref="PF289:PG289"/>
    <mergeCell ref="PH289:PI289"/>
    <mergeCell ref="PJ289:PK289"/>
    <mergeCell ref="PL289:PM289"/>
    <mergeCell ref="PN289:PO289"/>
    <mergeCell ref="PP289:PQ289"/>
    <mergeCell ref="PR289:PS289"/>
    <mergeCell ref="PT289:PU289"/>
    <mergeCell ref="PV289:PW289"/>
    <mergeCell ref="PX289:PY289"/>
    <mergeCell ref="PZ289:QA289"/>
    <mergeCell ref="QB289:QC289"/>
    <mergeCell ref="QD289:QE289"/>
    <mergeCell ref="QF289:QG289"/>
    <mergeCell ref="QH289:QI289"/>
    <mergeCell ref="QJ289:QK289"/>
    <mergeCell ref="QL289:QM289"/>
    <mergeCell ref="QN289:QO289"/>
    <mergeCell ref="QP289:QQ289"/>
    <mergeCell ref="QR289:QS289"/>
    <mergeCell ref="QT289:QU289"/>
    <mergeCell ref="QV289:QW289"/>
    <mergeCell ref="QX289:QY289"/>
    <mergeCell ref="QZ289:RA289"/>
    <mergeCell ref="RB289:RC289"/>
    <mergeCell ref="MB289:MC289"/>
    <mergeCell ref="MD289:ME289"/>
    <mergeCell ref="MF289:MG289"/>
    <mergeCell ref="MH289:MI289"/>
    <mergeCell ref="MJ289:MK289"/>
    <mergeCell ref="ML289:MM289"/>
    <mergeCell ref="MN289:MO289"/>
    <mergeCell ref="MP289:MQ289"/>
    <mergeCell ref="MR289:MS289"/>
    <mergeCell ref="MT289:MU289"/>
    <mergeCell ref="MV289:MW289"/>
    <mergeCell ref="MX289:MY289"/>
    <mergeCell ref="MZ289:NA289"/>
    <mergeCell ref="NB289:NC289"/>
    <mergeCell ref="ND289:NE289"/>
    <mergeCell ref="NF289:NG289"/>
    <mergeCell ref="NH289:NI289"/>
    <mergeCell ref="NJ289:NK289"/>
    <mergeCell ref="NL289:NM289"/>
    <mergeCell ref="NN289:NO289"/>
    <mergeCell ref="NP289:NQ289"/>
    <mergeCell ref="NR289:NS289"/>
    <mergeCell ref="NT289:NU289"/>
    <mergeCell ref="NV289:NW289"/>
    <mergeCell ref="NX289:NY289"/>
    <mergeCell ref="NZ289:OA289"/>
    <mergeCell ref="OB289:OC289"/>
    <mergeCell ref="OD289:OE289"/>
    <mergeCell ref="OF289:OG289"/>
    <mergeCell ref="OH289:OI289"/>
    <mergeCell ref="OJ289:OK289"/>
    <mergeCell ref="OL289:OM289"/>
    <mergeCell ref="ON289:OO289"/>
    <mergeCell ref="JN289:JO289"/>
    <mergeCell ref="JP289:JQ289"/>
    <mergeCell ref="JR289:JS289"/>
    <mergeCell ref="JT289:JU289"/>
    <mergeCell ref="JV289:JW289"/>
    <mergeCell ref="JX289:JY289"/>
    <mergeCell ref="JZ289:KA289"/>
    <mergeCell ref="KB289:KC289"/>
    <mergeCell ref="KD289:KE289"/>
    <mergeCell ref="KF289:KG289"/>
    <mergeCell ref="KH289:KI289"/>
    <mergeCell ref="KJ289:KK289"/>
    <mergeCell ref="KL289:KM289"/>
    <mergeCell ref="KN289:KO289"/>
    <mergeCell ref="KP289:KQ289"/>
    <mergeCell ref="KR289:KS289"/>
    <mergeCell ref="KT289:KU289"/>
    <mergeCell ref="KV289:KW289"/>
    <mergeCell ref="KX289:KY289"/>
    <mergeCell ref="KZ289:LA289"/>
    <mergeCell ref="LB289:LC289"/>
    <mergeCell ref="LD289:LE289"/>
    <mergeCell ref="LF289:LG289"/>
    <mergeCell ref="LH289:LI289"/>
    <mergeCell ref="LJ289:LK289"/>
    <mergeCell ref="LL289:LM289"/>
    <mergeCell ref="LN289:LO289"/>
    <mergeCell ref="LP289:LQ289"/>
    <mergeCell ref="LR289:LS289"/>
    <mergeCell ref="LT289:LU289"/>
    <mergeCell ref="LV289:LW289"/>
    <mergeCell ref="LX289:LY289"/>
    <mergeCell ref="LZ289:MA289"/>
    <mergeCell ref="OP288:OQ288"/>
    <mergeCell ref="OR288:OS288"/>
    <mergeCell ref="OT288:OU288"/>
    <mergeCell ref="OV288:OW288"/>
    <mergeCell ref="OX288:OY288"/>
    <mergeCell ref="OZ288:PA288"/>
    <mergeCell ref="PB288:PC288"/>
    <mergeCell ref="PD288:PE288"/>
    <mergeCell ref="PF288:PG288"/>
    <mergeCell ref="PH288:PI288"/>
    <mergeCell ref="PJ288:PK288"/>
    <mergeCell ref="PL288:PM288"/>
    <mergeCell ref="PN288:PO288"/>
    <mergeCell ref="PP288:PQ288"/>
    <mergeCell ref="PR288:PS288"/>
    <mergeCell ref="PT288:PU288"/>
    <mergeCell ref="PV288:PW288"/>
    <mergeCell ref="PX288:PY288"/>
    <mergeCell ref="PZ288:QA288"/>
    <mergeCell ref="QB288:QC288"/>
    <mergeCell ref="QD288:QE288"/>
    <mergeCell ref="QF288:QG288"/>
    <mergeCell ref="QH288:QI288"/>
    <mergeCell ref="QJ288:QK288"/>
    <mergeCell ref="QL288:QM288"/>
    <mergeCell ref="QN288:QO288"/>
    <mergeCell ref="QP288:QQ288"/>
    <mergeCell ref="QR288:QS288"/>
    <mergeCell ref="QT288:QU288"/>
    <mergeCell ref="QV288:QW288"/>
    <mergeCell ref="QX288:QY288"/>
    <mergeCell ref="QZ288:RA288"/>
    <mergeCell ref="RB288:RC288"/>
    <mergeCell ref="MB288:MC288"/>
    <mergeCell ref="MD288:ME288"/>
    <mergeCell ref="MF288:MG288"/>
    <mergeCell ref="MH288:MI288"/>
    <mergeCell ref="MJ288:MK288"/>
    <mergeCell ref="ML288:MM288"/>
    <mergeCell ref="MN288:MO288"/>
    <mergeCell ref="MP288:MQ288"/>
    <mergeCell ref="MR288:MS288"/>
    <mergeCell ref="MT288:MU288"/>
    <mergeCell ref="MV288:MW288"/>
    <mergeCell ref="MX288:MY288"/>
    <mergeCell ref="MZ288:NA288"/>
    <mergeCell ref="NB288:NC288"/>
    <mergeCell ref="ND288:NE288"/>
    <mergeCell ref="NF288:NG288"/>
    <mergeCell ref="NH288:NI288"/>
    <mergeCell ref="NJ288:NK288"/>
    <mergeCell ref="NL288:NM288"/>
    <mergeCell ref="NN288:NO288"/>
    <mergeCell ref="NP288:NQ288"/>
    <mergeCell ref="NR288:NS288"/>
    <mergeCell ref="NT288:NU288"/>
    <mergeCell ref="NV288:NW288"/>
    <mergeCell ref="NX288:NY288"/>
    <mergeCell ref="NZ288:OA288"/>
    <mergeCell ref="OB288:OC288"/>
    <mergeCell ref="OD288:OE288"/>
    <mergeCell ref="OF288:OG288"/>
    <mergeCell ref="OH288:OI288"/>
    <mergeCell ref="OJ288:OK288"/>
    <mergeCell ref="OL288:OM288"/>
    <mergeCell ref="ON288:OO288"/>
    <mergeCell ref="JN288:JO288"/>
    <mergeCell ref="JP288:JQ288"/>
    <mergeCell ref="JR288:JS288"/>
    <mergeCell ref="JT288:JU288"/>
    <mergeCell ref="JV288:JW288"/>
    <mergeCell ref="JX288:JY288"/>
    <mergeCell ref="JZ288:KA288"/>
    <mergeCell ref="KB288:KC288"/>
    <mergeCell ref="KD288:KE288"/>
    <mergeCell ref="KF288:KG288"/>
    <mergeCell ref="KH288:KI288"/>
    <mergeCell ref="KJ288:KK288"/>
    <mergeCell ref="KL288:KM288"/>
    <mergeCell ref="KN288:KO288"/>
    <mergeCell ref="KP288:KQ288"/>
    <mergeCell ref="KR288:KS288"/>
    <mergeCell ref="KT288:KU288"/>
    <mergeCell ref="KV288:KW288"/>
    <mergeCell ref="KX288:KY288"/>
    <mergeCell ref="KZ288:LA288"/>
    <mergeCell ref="LB288:LC288"/>
    <mergeCell ref="LD288:LE288"/>
    <mergeCell ref="LF288:LG288"/>
    <mergeCell ref="LH288:LI288"/>
    <mergeCell ref="LJ288:LK288"/>
    <mergeCell ref="LL288:LM288"/>
    <mergeCell ref="LN288:LO288"/>
    <mergeCell ref="LP288:LQ288"/>
    <mergeCell ref="LR288:LS288"/>
    <mergeCell ref="LT288:LU288"/>
    <mergeCell ref="LV288:LW288"/>
    <mergeCell ref="LX288:LY288"/>
    <mergeCell ref="LZ288:MA288"/>
    <mergeCell ref="OP287:OQ287"/>
    <mergeCell ref="OR287:OS287"/>
    <mergeCell ref="OT287:OU287"/>
    <mergeCell ref="OV287:OW287"/>
    <mergeCell ref="OX287:OY287"/>
    <mergeCell ref="OZ287:PA287"/>
    <mergeCell ref="PB287:PC287"/>
    <mergeCell ref="PD287:PE287"/>
    <mergeCell ref="PF287:PG287"/>
    <mergeCell ref="PH287:PI287"/>
    <mergeCell ref="PJ287:PK287"/>
    <mergeCell ref="PL287:PM287"/>
    <mergeCell ref="PN287:PO287"/>
    <mergeCell ref="PP287:PQ287"/>
    <mergeCell ref="PR287:PS287"/>
    <mergeCell ref="PT287:PU287"/>
    <mergeCell ref="PV287:PW287"/>
    <mergeCell ref="PX287:PY287"/>
    <mergeCell ref="PZ287:QA287"/>
    <mergeCell ref="QB287:QC287"/>
    <mergeCell ref="QD287:QE287"/>
    <mergeCell ref="QF287:QG287"/>
    <mergeCell ref="QH287:QI287"/>
    <mergeCell ref="QJ287:QK287"/>
    <mergeCell ref="QL287:QM287"/>
    <mergeCell ref="QN287:QO287"/>
    <mergeCell ref="QP287:QQ287"/>
    <mergeCell ref="QR287:QS287"/>
    <mergeCell ref="QT287:QU287"/>
    <mergeCell ref="QV287:QW287"/>
    <mergeCell ref="QX287:QY287"/>
    <mergeCell ref="QZ287:RA287"/>
    <mergeCell ref="RB287:RC287"/>
    <mergeCell ref="MB287:MC287"/>
    <mergeCell ref="MD287:ME287"/>
    <mergeCell ref="MF287:MG287"/>
    <mergeCell ref="MH287:MI287"/>
    <mergeCell ref="MJ287:MK287"/>
    <mergeCell ref="ML287:MM287"/>
    <mergeCell ref="MN287:MO287"/>
    <mergeCell ref="MP287:MQ287"/>
    <mergeCell ref="MR287:MS287"/>
    <mergeCell ref="MT287:MU287"/>
    <mergeCell ref="MV287:MW287"/>
    <mergeCell ref="MX287:MY287"/>
    <mergeCell ref="MZ287:NA287"/>
    <mergeCell ref="NB287:NC287"/>
    <mergeCell ref="ND287:NE287"/>
    <mergeCell ref="NF287:NG287"/>
    <mergeCell ref="NH287:NI287"/>
    <mergeCell ref="NJ287:NK287"/>
    <mergeCell ref="NL287:NM287"/>
    <mergeCell ref="NN287:NO287"/>
    <mergeCell ref="NP287:NQ287"/>
    <mergeCell ref="NR287:NS287"/>
    <mergeCell ref="NT287:NU287"/>
    <mergeCell ref="NV287:NW287"/>
    <mergeCell ref="NX287:NY287"/>
    <mergeCell ref="NZ287:OA287"/>
    <mergeCell ref="OB287:OC287"/>
    <mergeCell ref="OD287:OE287"/>
    <mergeCell ref="OF287:OG287"/>
    <mergeCell ref="OH287:OI287"/>
    <mergeCell ref="OJ287:OK287"/>
    <mergeCell ref="OL287:OM287"/>
    <mergeCell ref="ON287:OO287"/>
    <mergeCell ref="JN287:JO287"/>
    <mergeCell ref="JP287:JQ287"/>
    <mergeCell ref="JR287:JS287"/>
    <mergeCell ref="JT287:JU287"/>
    <mergeCell ref="JV287:JW287"/>
    <mergeCell ref="JX287:JY287"/>
    <mergeCell ref="JZ287:KA287"/>
    <mergeCell ref="KB287:KC287"/>
    <mergeCell ref="KD287:KE287"/>
    <mergeCell ref="KF287:KG287"/>
    <mergeCell ref="KH287:KI287"/>
    <mergeCell ref="KJ287:KK287"/>
    <mergeCell ref="KL287:KM287"/>
    <mergeCell ref="KN287:KO287"/>
    <mergeCell ref="KP287:KQ287"/>
    <mergeCell ref="KR287:KS287"/>
    <mergeCell ref="KT287:KU287"/>
    <mergeCell ref="KV287:KW287"/>
    <mergeCell ref="KX287:KY287"/>
    <mergeCell ref="KZ287:LA287"/>
    <mergeCell ref="LB287:LC287"/>
    <mergeCell ref="LD287:LE287"/>
    <mergeCell ref="LF287:LG287"/>
    <mergeCell ref="LH287:LI287"/>
    <mergeCell ref="LJ287:LK287"/>
    <mergeCell ref="LL287:LM287"/>
    <mergeCell ref="LN287:LO287"/>
    <mergeCell ref="LP287:LQ287"/>
    <mergeCell ref="LR287:LS287"/>
    <mergeCell ref="LT287:LU287"/>
    <mergeCell ref="LV287:LW287"/>
    <mergeCell ref="LX287:LY287"/>
    <mergeCell ref="LZ287:MA287"/>
    <mergeCell ref="OP286:OQ286"/>
    <mergeCell ref="OR286:OS286"/>
    <mergeCell ref="OT286:OU286"/>
    <mergeCell ref="OV286:OW286"/>
    <mergeCell ref="OX286:OY286"/>
    <mergeCell ref="OZ286:PA286"/>
    <mergeCell ref="PB286:PC286"/>
    <mergeCell ref="PD286:PE286"/>
    <mergeCell ref="PF286:PG286"/>
    <mergeCell ref="PH286:PI286"/>
    <mergeCell ref="PJ286:PK286"/>
    <mergeCell ref="PL286:PM286"/>
    <mergeCell ref="PN286:PO286"/>
    <mergeCell ref="PP286:PQ286"/>
    <mergeCell ref="PR286:PS286"/>
    <mergeCell ref="PT286:PU286"/>
    <mergeCell ref="PV286:PW286"/>
    <mergeCell ref="PX286:PY286"/>
    <mergeCell ref="PZ286:QA286"/>
    <mergeCell ref="QB286:QC286"/>
    <mergeCell ref="QD286:QE286"/>
    <mergeCell ref="QF286:QG286"/>
    <mergeCell ref="QH286:QI286"/>
    <mergeCell ref="QJ286:QK286"/>
    <mergeCell ref="QL286:QM286"/>
    <mergeCell ref="QN286:QO286"/>
    <mergeCell ref="QP286:QQ286"/>
    <mergeCell ref="QR286:QS286"/>
    <mergeCell ref="QT286:QU286"/>
    <mergeCell ref="QV286:QW286"/>
    <mergeCell ref="QX286:QY286"/>
    <mergeCell ref="QZ286:RA286"/>
    <mergeCell ref="RB286:RC286"/>
    <mergeCell ref="MB286:MC286"/>
    <mergeCell ref="MD286:ME286"/>
    <mergeCell ref="MF286:MG286"/>
    <mergeCell ref="MH286:MI286"/>
    <mergeCell ref="MJ286:MK286"/>
    <mergeCell ref="ML286:MM286"/>
    <mergeCell ref="MN286:MO286"/>
    <mergeCell ref="MP286:MQ286"/>
    <mergeCell ref="MR286:MS286"/>
    <mergeCell ref="MT286:MU286"/>
    <mergeCell ref="MV286:MW286"/>
    <mergeCell ref="MX286:MY286"/>
    <mergeCell ref="MZ286:NA286"/>
    <mergeCell ref="NB286:NC286"/>
    <mergeCell ref="ND286:NE286"/>
    <mergeCell ref="NF286:NG286"/>
    <mergeCell ref="NH286:NI286"/>
    <mergeCell ref="NJ286:NK286"/>
    <mergeCell ref="NL286:NM286"/>
    <mergeCell ref="NN286:NO286"/>
    <mergeCell ref="NP286:NQ286"/>
    <mergeCell ref="NR286:NS286"/>
    <mergeCell ref="NT286:NU286"/>
    <mergeCell ref="NV286:NW286"/>
    <mergeCell ref="NX286:NY286"/>
    <mergeCell ref="NZ286:OA286"/>
    <mergeCell ref="OB286:OC286"/>
    <mergeCell ref="OD286:OE286"/>
    <mergeCell ref="OF286:OG286"/>
    <mergeCell ref="OH286:OI286"/>
    <mergeCell ref="OJ286:OK286"/>
    <mergeCell ref="OL286:OM286"/>
    <mergeCell ref="ON286:OO286"/>
    <mergeCell ref="JN286:JO286"/>
    <mergeCell ref="JP286:JQ286"/>
    <mergeCell ref="JR286:JS286"/>
    <mergeCell ref="JT286:JU286"/>
    <mergeCell ref="JV286:JW286"/>
    <mergeCell ref="JX286:JY286"/>
    <mergeCell ref="JZ286:KA286"/>
    <mergeCell ref="KB286:KC286"/>
    <mergeCell ref="KD286:KE286"/>
    <mergeCell ref="KF286:KG286"/>
    <mergeCell ref="KH286:KI286"/>
    <mergeCell ref="KJ286:KK286"/>
    <mergeCell ref="KL286:KM286"/>
    <mergeCell ref="KN286:KO286"/>
    <mergeCell ref="KP286:KQ286"/>
    <mergeCell ref="KR286:KS286"/>
    <mergeCell ref="KT286:KU286"/>
    <mergeCell ref="KV286:KW286"/>
    <mergeCell ref="KX286:KY286"/>
    <mergeCell ref="KZ286:LA286"/>
    <mergeCell ref="LB286:LC286"/>
    <mergeCell ref="LD286:LE286"/>
    <mergeCell ref="LF286:LG286"/>
    <mergeCell ref="LH286:LI286"/>
    <mergeCell ref="LJ286:LK286"/>
    <mergeCell ref="LL286:LM286"/>
    <mergeCell ref="LN286:LO286"/>
    <mergeCell ref="LP286:LQ286"/>
    <mergeCell ref="LR286:LS286"/>
    <mergeCell ref="LT286:LU286"/>
    <mergeCell ref="LV286:LW286"/>
    <mergeCell ref="LX286:LY286"/>
    <mergeCell ref="LZ286:MA286"/>
    <mergeCell ref="OP285:OQ285"/>
    <mergeCell ref="OR285:OS285"/>
    <mergeCell ref="OT285:OU285"/>
    <mergeCell ref="OV285:OW285"/>
    <mergeCell ref="OX285:OY285"/>
    <mergeCell ref="OZ285:PA285"/>
    <mergeCell ref="PB285:PC285"/>
    <mergeCell ref="PD285:PE285"/>
    <mergeCell ref="PF285:PG285"/>
    <mergeCell ref="PH285:PI285"/>
    <mergeCell ref="PJ285:PK285"/>
    <mergeCell ref="PL285:PM285"/>
    <mergeCell ref="PN285:PO285"/>
    <mergeCell ref="PP285:PQ285"/>
    <mergeCell ref="PR285:PS285"/>
    <mergeCell ref="PT285:PU285"/>
    <mergeCell ref="PV285:PW285"/>
    <mergeCell ref="PX285:PY285"/>
    <mergeCell ref="PZ285:QA285"/>
    <mergeCell ref="QB285:QC285"/>
    <mergeCell ref="QD285:QE285"/>
    <mergeCell ref="QF285:QG285"/>
    <mergeCell ref="QH285:QI285"/>
    <mergeCell ref="QJ285:QK285"/>
    <mergeCell ref="QL285:QM285"/>
    <mergeCell ref="QN285:QO285"/>
    <mergeCell ref="QP285:QQ285"/>
    <mergeCell ref="QR285:QS285"/>
    <mergeCell ref="QT285:QU285"/>
    <mergeCell ref="QV285:QW285"/>
    <mergeCell ref="QX285:QY285"/>
    <mergeCell ref="QZ285:RA285"/>
    <mergeCell ref="RB285:RC285"/>
    <mergeCell ref="MB285:MC285"/>
    <mergeCell ref="MD285:ME285"/>
    <mergeCell ref="MF285:MG285"/>
    <mergeCell ref="MH285:MI285"/>
    <mergeCell ref="MJ285:MK285"/>
    <mergeCell ref="ML285:MM285"/>
    <mergeCell ref="MN285:MO285"/>
    <mergeCell ref="MP285:MQ285"/>
    <mergeCell ref="MR285:MS285"/>
    <mergeCell ref="MT285:MU285"/>
    <mergeCell ref="MV285:MW285"/>
    <mergeCell ref="MX285:MY285"/>
    <mergeCell ref="MZ285:NA285"/>
    <mergeCell ref="NB285:NC285"/>
    <mergeCell ref="ND285:NE285"/>
    <mergeCell ref="NF285:NG285"/>
    <mergeCell ref="NH285:NI285"/>
    <mergeCell ref="NJ285:NK285"/>
    <mergeCell ref="NL285:NM285"/>
    <mergeCell ref="NN285:NO285"/>
    <mergeCell ref="NP285:NQ285"/>
    <mergeCell ref="NR285:NS285"/>
    <mergeCell ref="NT285:NU285"/>
    <mergeCell ref="NV285:NW285"/>
    <mergeCell ref="NX285:NY285"/>
    <mergeCell ref="NZ285:OA285"/>
    <mergeCell ref="OB285:OC285"/>
    <mergeCell ref="OD285:OE285"/>
    <mergeCell ref="OF285:OG285"/>
    <mergeCell ref="OH285:OI285"/>
    <mergeCell ref="OJ285:OK285"/>
    <mergeCell ref="OL285:OM285"/>
    <mergeCell ref="ON285:OO285"/>
    <mergeCell ref="JN285:JO285"/>
    <mergeCell ref="JP285:JQ285"/>
    <mergeCell ref="JR285:JS285"/>
    <mergeCell ref="JT285:JU285"/>
    <mergeCell ref="JV285:JW285"/>
    <mergeCell ref="JX285:JY285"/>
    <mergeCell ref="JZ285:KA285"/>
    <mergeCell ref="KB285:KC285"/>
    <mergeCell ref="KD285:KE285"/>
    <mergeCell ref="KF285:KG285"/>
    <mergeCell ref="KH285:KI285"/>
    <mergeCell ref="KJ285:KK285"/>
    <mergeCell ref="KL285:KM285"/>
    <mergeCell ref="KN285:KO285"/>
    <mergeCell ref="KP285:KQ285"/>
    <mergeCell ref="KR285:KS285"/>
    <mergeCell ref="KT285:KU285"/>
    <mergeCell ref="KV285:KW285"/>
    <mergeCell ref="KX285:KY285"/>
    <mergeCell ref="KZ285:LA285"/>
    <mergeCell ref="LB285:LC285"/>
    <mergeCell ref="LD285:LE285"/>
    <mergeCell ref="LF285:LG285"/>
    <mergeCell ref="LH285:LI285"/>
    <mergeCell ref="LJ285:LK285"/>
    <mergeCell ref="LL285:LM285"/>
    <mergeCell ref="LN285:LO285"/>
    <mergeCell ref="LP285:LQ285"/>
    <mergeCell ref="LR285:LS285"/>
    <mergeCell ref="LT285:LU285"/>
    <mergeCell ref="LV285:LW285"/>
    <mergeCell ref="LX285:LY285"/>
    <mergeCell ref="LZ285:MA285"/>
    <mergeCell ref="OP284:OQ284"/>
    <mergeCell ref="OR284:OS284"/>
    <mergeCell ref="OT284:OU284"/>
    <mergeCell ref="OV284:OW284"/>
    <mergeCell ref="OX284:OY284"/>
    <mergeCell ref="OZ284:PA284"/>
    <mergeCell ref="PB284:PC284"/>
    <mergeCell ref="PD284:PE284"/>
    <mergeCell ref="PF284:PG284"/>
    <mergeCell ref="PH284:PI284"/>
    <mergeCell ref="PJ284:PK284"/>
    <mergeCell ref="PL284:PM284"/>
    <mergeCell ref="PN284:PO284"/>
    <mergeCell ref="PP284:PQ284"/>
    <mergeCell ref="PR284:PS284"/>
    <mergeCell ref="PT284:PU284"/>
    <mergeCell ref="PV284:PW284"/>
    <mergeCell ref="PX284:PY284"/>
    <mergeCell ref="PZ284:QA284"/>
    <mergeCell ref="QB284:QC284"/>
    <mergeCell ref="QD284:QE284"/>
    <mergeCell ref="QF284:QG284"/>
    <mergeCell ref="QH284:QI284"/>
    <mergeCell ref="QJ284:QK284"/>
    <mergeCell ref="QL284:QM284"/>
    <mergeCell ref="QN284:QO284"/>
    <mergeCell ref="QP284:QQ284"/>
    <mergeCell ref="QR284:QS284"/>
    <mergeCell ref="QT284:QU284"/>
    <mergeCell ref="QV284:QW284"/>
    <mergeCell ref="QX284:QY284"/>
    <mergeCell ref="QZ284:RA284"/>
    <mergeCell ref="RB284:RC284"/>
    <mergeCell ref="MB284:MC284"/>
    <mergeCell ref="MD284:ME284"/>
    <mergeCell ref="MF284:MG284"/>
    <mergeCell ref="MH284:MI284"/>
    <mergeCell ref="MJ284:MK284"/>
    <mergeCell ref="ML284:MM284"/>
    <mergeCell ref="MN284:MO284"/>
    <mergeCell ref="MP284:MQ284"/>
    <mergeCell ref="MR284:MS284"/>
    <mergeCell ref="MT284:MU284"/>
    <mergeCell ref="MV284:MW284"/>
    <mergeCell ref="MX284:MY284"/>
    <mergeCell ref="MZ284:NA284"/>
    <mergeCell ref="NB284:NC284"/>
    <mergeCell ref="ND284:NE284"/>
    <mergeCell ref="NF284:NG284"/>
    <mergeCell ref="NH284:NI284"/>
    <mergeCell ref="NJ284:NK284"/>
    <mergeCell ref="NL284:NM284"/>
    <mergeCell ref="NN284:NO284"/>
    <mergeCell ref="NP284:NQ284"/>
    <mergeCell ref="NR284:NS284"/>
    <mergeCell ref="NT284:NU284"/>
    <mergeCell ref="NV284:NW284"/>
    <mergeCell ref="NX284:NY284"/>
    <mergeCell ref="NZ284:OA284"/>
    <mergeCell ref="OB284:OC284"/>
    <mergeCell ref="OD284:OE284"/>
    <mergeCell ref="OF284:OG284"/>
    <mergeCell ref="OH284:OI284"/>
    <mergeCell ref="OJ284:OK284"/>
    <mergeCell ref="OL284:OM284"/>
    <mergeCell ref="ON284:OO284"/>
    <mergeCell ref="JN284:JO284"/>
    <mergeCell ref="JP284:JQ284"/>
    <mergeCell ref="JR284:JS284"/>
    <mergeCell ref="JT284:JU284"/>
    <mergeCell ref="JV284:JW284"/>
    <mergeCell ref="JX284:JY284"/>
    <mergeCell ref="JZ284:KA284"/>
    <mergeCell ref="KB284:KC284"/>
    <mergeCell ref="KD284:KE284"/>
    <mergeCell ref="KF284:KG284"/>
    <mergeCell ref="KH284:KI284"/>
    <mergeCell ref="KJ284:KK284"/>
    <mergeCell ref="KL284:KM284"/>
    <mergeCell ref="KN284:KO284"/>
    <mergeCell ref="KP284:KQ284"/>
    <mergeCell ref="KR284:KS284"/>
    <mergeCell ref="KT284:KU284"/>
    <mergeCell ref="KV284:KW284"/>
    <mergeCell ref="KX284:KY284"/>
    <mergeCell ref="KZ284:LA284"/>
    <mergeCell ref="LB284:LC284"/>
    <mergeCell ref="LD284:LE284"/>
    <mergeCell ref="LF284:LG284"/>
    <mergeCell ref="LH284:LI284"/>
    <mergeCell ref="LJ284:LK284"/>
    <mergeCell ref="LL284:LM284"/>
    <mergeCell ref="LN284:LO284"/>
    <mergeCell ref="LP284:LQ284"/>
    <mergeCell ref="LR284:LS284"/>
    <mergeCell ref="LT284:LU284"/>
    <mergeCell ref="LV284:LW284"/>
    <mergeCell ref="LX284:LY284"/>
    <mergeCell ref="LZ284:MA284"/>
    <mergeCell ref="OP283:OQ283"/>
    <mergeCell ref="OR283:OS283"/>
    <mergeCell ref="OT283:OU283"/>
    <mergeCell ref="OV283:OW283"/>
    <mergeCell ref="OX283:OY283"/>
    <mergeCell ref="OZ283:PA283"/>
    <mergeCell ref="PB283:PC283"/>
    <mergeCell ref="PD283:PE283"/>
    <mergeCell ref="PF283:PG283"/>
    <mergeCell ref="PH283:PI283"/>
    <mergeCell ref="PJ283:PK283"/>
    <mergeCell ref="PL283:PM283"/>
    <mergeCell ref="PN283:PO283"/>
    <mergeCell ref="PP283:PQ283"/>
    <mergeCell ref="PR283:PS283"/>
    <mergeCell ref="PT283:PU283"/>
    <mergeCell ref="PV283:PW283"/>
    <mergeCell ref="PX283:PY283"/>
    <mergeCell ref="PZ283:QA283"/>
    <mergeCell ref="QB283:QC283"/>
    <mergeCell ref="QD283:QE283"/>
    <mergeCell ref="QF283:QG283"/>
    <mergeCell ref="QH283:QI283"/>
    <mergeCell ref="QJ283:QK283"/>
    <mergeCell ref="QL283:QM283"/>
    <mergeCell ref="QN283:QO283"/>
    <mergeCell ref="QP283:QQ283"/>
    <mergeCell ref="QR283:QS283"/>
    <mergeCell ref="QT283:QU283"/>
    <mergeCell ref="QV283:QW283"/>
    <mergeCell ref="QX283:QY283"/>
    <mergeCell ref="QZ283:RA283"/>
    <mergeCell ref="RB283:RC283"/>
    <mergeCell ref="MB283:MC283"/>
    <mergeCell ref="MD283:ME283"/>
    <mergeCell ref="MF283:MG283"/>
    <mergeCell ref="MH283:MI283"/>
    <mergeCell ref="MJ283:MK283"/>
    <mergeCell ref="ML283:MM283"/>
    <mergeCell ref="MN283:MO283"/>
    <mergeCell ref="MP283:MQ283"/>
    <mergeCell ref="MR283:MS283"/>
    <mergeCell ref="MT283:MU283"/>
    <mergeCell ref="MV283:MW283"/>
    <mergeCell ref="MX283:MY283"/>
    <mergeCell ref="MZ283:NA283"/>
    <mergeCell ref="NB283:NC283"/>
    <mergeCell ref="ND283:NE283"/>
    <mergeCell ref="NF283:NG283"/>
    <mergeCell ref="NH283:NI283"/>
    <mergeCell ref="NJ283:NK283"/>
    <mergeCell ref="NL283:NM283"/>
    <mergeCell ref="NN283:NO283"/>
    <mergeCell ref="NP283:NQ283"/>
    <mergeCell ref="NR283:NS283"/>
    <mergeCell ref="NT283:NU283"/>
    <mergeCell ref="NV283:NW283"/>
    <mergeCell ref="NX283:NY283"/>
    <mergeCell ref="NZ283:OA283"/>
    <mergeCell ref="OB283:OC283"/>
    <mergeCell ref="OD283:OE283"/>
    <mergeCell ref="OF283:OG283"/>
    <mergeCell ref="OH283:OI283"/>
    <mergeCell ref="OJ283:OK283"/>
    <mergeCell ref="OL283:OM283"/>
    <mergeCell ref="ON283:OO283"/>
    <mergeCell ref="JN283:JO283"/>
    <mergeCell ref="JP283:JQ283"/>
    <mergeCell ref="JR283:JS283"/>
    <mergeCell ref="JT283:JU283"/>
    <mergeCell ref="JV283:JW283"/>
    <mergeCell ref="JX283:JY283"/>
    <mergeCell ref="JZ283:KA283"/>
    <mergeCell ref="KB283:KC283"/>
    <mergeCell ref="KD283:KE283"/>
    <mergeCell ref="KF283:KG283"/>
    <mergeCell ref="KH283:KI283"/>
    <mergeCell ref="KJ283:KK283"/>
    <mergeCell ref="KL283:KM283"/>
    <mergeCell ref="KN283:KO283"/>
    <mergeCell ref="KP283:KQ283"/>
    <mergeCell ref="KR283:KS283"/>
    <mergeCell ref="KT283:KU283"/>
    <mergeCell ref="KV283:KW283"/>
    <mergeCell ref="KX283:KY283"/>
    <mergeCell ref="KZ283:LA283"/>
    <mergeCell ref="LB283:LC283"/>
    <mergeCell ref="LD283:LE283"/>
    <mergeCell ref="LF283:LG283"/>
    <mergeCell ref="LH283:LI283"/>
    <mergeCell ref="LJ283:LK283"/>
    <mergeCell ref="LL283:LM283"/>
    <mergeCell ref="LN283:LO283"/>
    <mergeCell ref="LP283:LQ283"/>
    <mergeCell ref="LR283:LS283"/>
    <mergeCell ref="LT283:LU283"/>
    <mergeCell ref="LV283:LW283"/>
    <mergeCell ref="LX283:LY283"/>
    <mergeCell ref="LZ283:MA283"/>
    <mergeCell ref="OP282:OQ282"/>
    <mergeCell ref="OR282:OS282"/>
    <mergeCell ref="OT282:OU282"/>
    <mergeCell ref="OV282:OW282"/>
    <mergeCell ref="OX282:OY282"/>
    <mergeCell ref="OZ282:PA282"/>
    <mergeCell ref="PB282:PC282"/>
    <mergeCell ref="PD282:PE282"/>
    <mergeCell ref="PF282:PG282"/>
    <mergeCell ref="PH282:PI282"/>
    <mergeCell ref="PJ282:PK282"/>
    <mergeCell ref="PL282:PM282"/>
    <mergeCell ref="PN282:PO282"/>
    <mergeCell ref="PP282:PQ282"/>
    <mergeCell ref="PR282:PS282"/>
    <mergeCell ref="PT282:PU282"/>
    <mergeCell ref="PV282:PW282"/>
    <mergeCell ref="PX282:PY282"/>
    <mergeCell ref="PZ282:QA282"/>
    <mergeCell ref="QB282:QC282"/>
    <mergeCell ref="QD282:QE282"/>
    <mergeCell ref="QF282:QG282"/>
    <mergeCell ref="QH282:QI282"/>
    <mergeCell ref="QJ282:QK282"/>
    <mergeCell ref="QL282:QM282"/>
    <mergeCell ref="QN282:QO282"/>
    <mergeCell ref="QP282:QQ282"/>
    <mergeCell ref="QR282:QS282"/>
    <mergeCell ref="QT282:QU282"/>
    <mergeCell ref="QV282:QW282"/>
    <mergeCell ref="QX282:QY282"/>
    <mergeCell ref="QZ282:RA282"/>
    <mergeCell ref="RB282:RC282"/>
    <mergeCell ref="MB282:MC282"/>
    <mergeCell ref="MD282:ME282"/>
    <mergeCell ref="MF282:MG282"/>
    <mergeCell ref="MH282:MI282"/>
    <mergeCell ref="MJ282:MK282"/>
    <mergeCell ref="ML282:MM282"/>
    <mergeCell ref="MN282:MO282"/>
    <mergeCell ref="MP282:MQ282"/>
    <mergeCell ref="MR282:MS282"/>
    <mergeCell ref="MT282:MU282"/>
    <mergeCell ref="MV282:MW282"/>
    <mergeCell ref="MX282:MY282"/>
    <mergeCell ref="MZ282:NA282"/>
    <mergeCell ref="NB282:NC282"/>
    <mergeCell ref="ND282:NE282"/>
    <mergeCell ref="NF282:NG282"/>
    <mergeCell ref="NH282:NI282"/>
    <mergeCell ref="NJ282:NK282"/>
    <mergeCell ref="NL282:NM282"/>
    <mergeCell ref="NN282:NO282"/>
    <mergeCell ref="NP282:NQ282"/>
    <mergeCell ref="NR282:NS282"/>
    <mergeCell ref="NT282:NU282"/>
    <mergeCell ref="NV282:NW282"/>
    <mergeCell ref="NX282:NY282"/>
    <mergeCell ref="NZ282:OA282"/>
    <mergeCell ref="OB282:OC282"/>
    <mergeCell ref="OD282:OE282"/>
    <mergeCell ref="OF282:OG282"/>
    <mergeCell ref="OH282:OI282"/>
    <mergeCell ref="OJ282:OK282"/>
    <mergeCell ref="OL282:OM282"/>
    <mergeCell ref="ON282:OO282"/>
    <mergeCell ref="JN282:JO282"/>
    <mergeCell ref="JP282:JQ282"/>
    <mergeCell ref="JR282:JS282"/>
    <mergeCell ref="JT282:JU282"/>
    <mergeCell ref="JV282:JW282"/>
    <mergeCell ref="JX282:JY282"/>
    <mergeCell ref="JZ282:KA282"/>
    <mergeCell ref="KB282:KC282"/>
    <mergeCell ref="KD282:KE282"/>
    <mergeCell ref="KF282:KG282"/>
    <mergeCell ref="KH282:KI282"/>
    <mergeCell ref="KJ282:KK282"/>
    <mergeCell ref="KL282:KM282"/>
    <mergeCell ref="KN282:KO282"/>
    <mergeCell ref="KP282:KQ282"/>
    <mergeCell ref="KR282:KS282"/>
    <mergeCell ref="KT282:KU282"/>
    <mergeCell ref="KV282:KW282"/>
    <mergeCell ref="KX282:KY282"/>
    <mergeCell ref="KZ282:LA282"/>
    <mergeCell ref="LB282:LC282"/>
    <mergeCell ref="LD282:LE282"/>
    <mergeCell ref="LF282:LG282"/>
    <mergeCell ref="LH282:LI282"/>
    <mergeCell ref="LJ282:LK282"/>
    <mergeCell ref="LL282:LM282"/>
    <mergeCell ref="LN282:LO282"/>
    <mergeCell ref="LP282:LQ282"/>
    <mergeCell ref="LR282:LS282"/>
    <mergeCell ref="LT282:LU282"/>
    <mergeCell ref="LV282:LW282"/>
    <mergeCell ref="LX282:LY282"/>
    <mergeCell ref="LZ282:MA282"/>
    <mergeCell ref="OP281:OQ281"/>
    <mergeCell ref="OR281:OS281"/>
    <mergeCell ref="OT281:OU281"/>
    <mergeCell ref="OV281:OW281"/>
    <mergeCell ref="OX281:OY281"/>
    <mergeCell ref="OZ281:PA281"/>
    <mergeCell ref="PB281:PC281"/>
    <mergeCell ref="PD281:PE281"/>
    <mergeCell ref="PF281:PG281"/>
    <mergeCell ref="PH281:PI281"/>
    <mergeCell ref="PJ281:PK281"/>
    <mergeCell ref="PL281:PM281"/>
    <mergeCell ref="PN281:PO281"/>
    <mergeCell ref="PP281:PQ281"/>
    <mergeCell ref="PR281:PS281"/>
    <mergeCell ref="PT281:PU281"/>
    <mergeCell ref="PV281:PW281"/>
    <mergeCell ref="PX281:PY281"/>
    <mergeCell ref="PZ281:QA281"/>
    <mergeCell ref="QB281:QC281"/>
    <mergeCell ref="QD281:QE281"/>
    <mergeCell ref="QF281:QG281"/>
    <mergeCell ref="QH281:QI281"/>
    <mergeCell ref="QJ281:QK281"/>
    <mergeCell ref="QL281:QM281"/>
    <mergeCell ref="QN281:QO281"/>
    <mergeCell ref="QP281:QQ281"/>
    <mergeCell ref="QR281:QS281"/>
    <mergeCell ref="QT281:QU281"/>
    <mergeCell ref="QV281:QW281"/>
    <mergeCell ref="QX281:QY281"/>
    <mergeCell ref="QZ281:RA281"/>
    <mergeCell ref="RB281:RC281"/>
    <mergeCell ref="MB281:MC281"/>
    <mergeCell ref="MD281:ME281"/>
    <mergeCell ref="MF281:MG281"/>
    <mergeCell ref="MH281:MI281"/>
    <mergeCell ref="MJ281:MK281"/>
    <mergeCell ref="ML281:MM281"/>
    <mergeCell ref="MN281:MO281"/>
    <mergeCell ref="MP281:MQ281"/>
    <mergeCell ref="MR281:MS281"/>
    <mergeCell ref="MT281:MU281"/>
    <mergeCell ref="MV281:MW281"/>
    <mergeCell ref="MX281:MY281"/>
    <mergeCell ref="MZ281:NA281"/>
    <mergeCell ref="NB281:NC281"/>
    <mergeCell ref="ND281:NE281"/>
    <mergeCell ref="NF281:NG281"/>
    <mergeCell ref="NH281:NI281"/>
    <mergeCell ref="NJ281:NK281"/>
    <mergeCell ref="NL281:NM281"/>
    <mergeCell ref="NN281:NO281"/>
    <mergeCell ref="NP281:NQ281"/>
    <mergeCell ref="NR281:NS281"/>
    <mergeCell ref="NT281:NU281"/>
    <mergeCell ref="NV281:NW281"/>
    <mergeCell ref="NX281:NY281"/>
    <mergeCell ref="NZ281:OA281"/>
    <mergeCell ref="OB281:OC281"/>
    <mergeCell ref="OD281:OE281"/>
    <mergeCell ref="OF281:OG281"/>
    <mergeCell ref="OH281:OI281"/>
    <mergeCell ref="OJ281:OK281"/>
    <mergeCell ref="OL281:OM281"/>
    <mergeCell ref="ON281:OO281"/>
    <mergeCell ref="JN281:JO281"/>
    <mergeCell ref="JP281:JQ281"/>
    <mergeCell ref="JR281:JS281"/>
    <mergeCell ref="JT281:JU281"/>
    <mergeCell ref="JV281:JW281"/>
    <mergeCell ref="JX281:JY281"/>
    <mergeCell ref="JZ281:KA281"/>
    <mergeCell ref="KB281:KC281"/>
    <mergeCell ref="KD281:KE281"/>
    <mergeCell ref="KF281:KG281"/>
    <mergeCell ref="KH281:KI281"/>
    <mergeCell ref="KJ281:KK281"/>
    <mergeCell ref="KL281:KM281"/>
    <mergeCell ref="KN281:KO281"/>
    <mergeCell ref="KP281:KQ281"/>
    <mergeCell ref="KR281:KS281"/>
    <mergeCell ref="KT281:KU281"/>
    <mergeCell ref="KV281:KW281"/>
    <mergeCell ref="KX281:KY281"/>
    <mergeCell ref="KZ281:LA281"/>
    <mergeCell ref="LB281:LC281"/>
    <mergeCell ref="LD281:LE281"/>
    <mergeCell ref="LF281:LG281"/>
    <mergeCell ref="LH281:LI281"/>
    <mergeCell ref="LJ281:LK281"/>
    <mergeCell ref="LL281:LM281"/>
    <mergeCell ref="LN281:LO281"/>
    <mergeCell ref="LP281:LQ281"/>
    <mergeCell ref="LR281:LS281"/>
    <mergeCell ref="LT281:LU281"/>
    <mergeCell ref="LV281:LW281"/>
    <mergeCell ref="LX281:LY281"/>
    <mergeCell ref="LZ281:MA281"/>
    <mergeCell ref="OP280:OQ280"/>
    <mergeCell ref="OR280:OS280"/>
    <mergeCell ref="OT280:OU280"/>
    <mergeCell ref="OV280:OW280"/>
    <mergeCell ref="OX280:OY280"/>
    <mergeCell ref="OZ280:PA280"/>
    <mergeCell ref="PB280:PC280"/>
    <mergeCell ref="PD280:PE280"/>
    <mergeCell ref="PF280:PG280"/>
    <mergeCell ref="PH280:PI280"/>
    <mergeCell ref="PJ280:PK280"/>
    <mergeCell ref="PL280:PM280"/>
    <mergeCell ref="PN280:PO280"/>
    <mergeCell ref="PP280:PQ280"/>
    <mergeCell ref="PR280:PS280"/>
    <mergeCell ref="PT280:PU280"/>
    <mergeCell ref="PV280:PW280"/>
    <mergeCell ref="PX280:PY280"/>
    <mergeCell ref="PZ280:QA280"/>
    <mergeCell ref="QB280:QC280"/>
    <mergeCell ref="QD280:QE280"/>
    <mergeCell ref="QF280:QG280"/>
    <mergeCell ref="QH280:QI280"/>
    <mergeCell ref="QJ280:QK280"/>
    <mergeCell ref="QL280:QM280"/>
    <mergeCell ref="QN280:QO280"/>
    <mergeCell ref="QP280:QQ280"/>
    <mergeCell ref="QR280:QS280"/>
    <mergeCell ref="QT280:QU280"/>
    <mergeCell ref="QV280:QW280"/>
    <mergeCell ref="QX280:QY280"/>
    <mergeCell ref="QZ280:RA280"/>
    <mergeCell ref="RB280:RC280"/>
    <mergeCell ref="MB280:MC280"/>
    <mergeCell ref="MD280:ME280"/>
    <mergeCell ref="MF280:MG280"/>
    <mergeCell ref="MH280:MI280"/>
    <mergeCell ref="MJ280:MK280"/>
    <mergeCell ref="ML280:MM280"/>
    <mergeCell ref="MN280:MO280"/>
    <mergeCell ref="MP280:MQ280"/>
    <mergeCell ref="MR280:MS280"/>
    <mergeCell ref="MT280:MU280"/>
    <mergeCell ref="MV280:MW280"/>
    <mergeCell ref="MX280:MY280"/>
    <mergeCell ref="MZ280:NA280"/>
    <mergeCell ref="NB280:NC280"/>
    <mergeCell ref="ND280:NE280"/>
    <mergeCell ref="NF280:NG280"/>
    <mergeCell ref="NH280:NI280"/>
    <mergeCell ref="NJ280:NK280"/>
    <mergeCell ref="NL280:NM280"/>
    <mergeCell ref="NN280:NO280"/>
    <mergeCell ref="NP280:NQ280"/>
    <mergeCell ref="NR280:NS280"/>
    <mergeCell ref="NT280:NU280"/>
    <mergeCell ref="NV280:NW280"/>
    <mergeCell ref="NX280:NY280"/>
    <mergeCell ref="NZ280:OA280"/>
    <mergeCell ref="OB280:OC280"/>
    <mergeCell ref="OD280:OE280"/>
    <mergeCell ref="OF280:OG280"/>
    <mergeCell ref="OH280:OI280"/>
    <mergeCell ref="OJ280:OK280"/>
    <mergeCell ref="OL280:OM280"/>
    <mergeCell ref="ON280:OO280"/>
    <mergeCell ref="JN280:JO280"/>
    <mergeCell ref="JP280:JQ280"/>
    <mergeCell ref="JR280:JS280"/>
    <mergeCell ref="JT280:JU280"/>
    <mergeCell ref="JV280:JW280"/>
    <mergeCell ref="JX280:JY280"/>
    <mergeCell ref="JZ280:KA280"/>
    <mergeCell ref="KB280:KC280"/>
    <mergeCell ref="KD280:KE280"/>
    <mergeCell ref="KF280:KG280"/>
    <mergeCell ref="KH280:KI280"/>
    <mergeCell ref="KJ280:KK280"/>
    <mergeCell ref="KL280:KM280"/>
    <mergeCell ref="KN280:KO280"/>
    <mergeCell ref="KP280:KQ280"/>
    <mergeCell ref="KR280:KS280"/>
    <mergeCell ref="KT280:KU280"/>
    <mergeCell ref="KV280:KW280"/>
    <mergeCell ref="KX280:KY280"/>
    <mergeCell ref="KZ280:LA280"/>
    <mergeCell ref="LB280:LC280"/>
    <mergeCell ref="LD280:LE280"/>
    <mergeCell ref="LF280:LG280"/>
    <mergeCell ref="LH280:LI280"/>
    <mergeCell ref="LJ280:LK280"/>
    <mergeCell ref="LL280:LM280"/>
    <mergeCell ref="LN280:LO280"/>
    <mergeCell ref="LP280:LQ280"/>
    <mergeCell ref="LR280:LS280"/>
    <mergeCell ref="LT280:LU280"/>
    <mergeCell ref="LV280:LW280"/>
    <mergeCell ref="LX280:LY280"/>
    <mergeCell ref="LZ280:MA280"/>
    <mergeCell ref="OP279:OQ279"/>
    <mergeCell ref="OR279:OS279"/>
    <mergeCell ref="OT279:OU279"/>
    <mergeCell ref="OV279:OW279"/>
    <mergeCell ref="OX279:OY279"/>
    <mergeCell ref="OZ279:PA279"/>
    <mergeCell ref="PB279:PC279"/>
    <mergeCell ref="PD279:PE279"/>
    <mergeCell ref="PF279:PG279"/>
    <mergeCell ref="PH279:PI279"/>
    <mergeCell ref="PJ279:PK279"/>
    <mergeCell ref="PL279:PM279"/>
    <mergeCell ref="PN279:PO279"/>
    <mergeCell ref="PP279:PQ279"/>
    <mergeCell ref="PR279:PS279"/>
    <mergeCell ref="PT279:PU279"/>
    <mergeCell ref="PV279:PW279"/>
    <mergeCell ref="PX279:PY279"/>
    <mergeCell ref="PZ279:QA279"/>
    <mergeCell ref="QB279:QC279"/>
    <mergeCell ref="QD279:QE279"/>
    <mergeCell ref="QF279:QG279"/>
    <mergeCell ref="QH279:QI279"/>
    <mergeCell ref="QJ279:QK279"/>
    <mergeCell ref="QL279:QM279"/>
    <mergeCell ref="QN279:QO279"/>
    <mergeCell ref="QP279:QQ279"/>
    <mergeCell ref="QR279:QS279"/>
    <mergeCell ref="QT279:QU279"/>
    <mergeCell ref="QV279:QW279"/>
    <mergeCell ref="QX279:QY279"/>
    <mergeCell ref="QZ279:RA279"/>
    <mergeCell ref="RB279:RC279"/>
    <mergeCell ref="MB279:MC279"/>
    <mergeCell ref="MD279:ME279"/>
    <mergeCell ref="MF279:MG279"/>
    <mergeCell ref="MH279:MI279"/>
    <mergeCell ref="MJ279:MK279"/>
    <mergeCell ref="ML279:MM279"/>
    <mergeCell ref="MN279:MO279"/>
    <mergeCell ref="MP279:MQ279"/>
    <mergeCell ref="MR279:MS279"/>
    <mergeCell ref="MT279:MU279"/>
    <mergeCell ref="MV279:MW279"/>
    <mergeCell ref="MX279:MY279"/>
    <mergeCell ref="MZ279:NA279"/>
    <mergeCell ref="NB279:NC279"/>
    <mergeCell ref="ND279:NE279"/>
    <mergeCell ref="NF279:NG279"/>
    <mergeCell ref="NH279:NI279"/>
    <mergeCell ref="NJ279:NK279"/>
    <mergeCell ref="NL279:NM279"/>
    <mergeCell ref="NN279:NO279"/>
    <mergeCell ref="NP279:NQ279"/>
    <mergeCell ref="NR279:NS279"/>
    <mergeCell ref="NT279:NU279"/>
    <mergeCell ref="NV279:NW279"/>
    <mergeCell ref="NX279:NY279"/>
    <mergeCell ref="NZ279:OA279"/>
    <mergeCell ref="OB279:OC279"/>
    <mergeCell ref="OD279:OE279"/>
    <mergeCell ref="OF279:OG279"/>
    <mergeCell ref="OH279:OI279"/>
    <mergeCell ref="OJ279:OK279"/>
    <mergeCell ref="OL279:OM279"/>
    <mergeCell ref="ON279:OO279"/>
    <mergeCell ref="JN279:JO279"/>
    <mergeCell ref="JP279:JQ279"/>
    <mergeCell ref="JR279:JS279"/>
    <mergeCell ref="JT279:JU279"/>
    <mergeCell ref="JV279:JW279"/>
    <mergeCell ref="JX279:JY279"/>
    <mergeCell ref="JZ279:KA279"/>
    <mergeCell ref="KB279:KC279"/>
    <mergeCell ref="KD279:KE279"/>
    <mergeCell ref="KF279:KG279"/>
    <mergeCell ref="KH279:KI279"/>
    <mergeCell ref="KJ279:KK279"/>
    <mergeCell ref="KL279:KM279"/>
    <mergeCell ref="KN279:KO279"/>
    <mergeCell ref="KP279:KQ279"/>
    <mergeCell ref="KR279:KS279"/>
    <mergeCell ref="KT279:KU279"/>
    <mergeCell ref="KV279:KW279"/>
    <mergeCell ref="KX279:KY279"/>
    <mergeCell ref="KZ279:LA279"/>
    <mergeCell ref="LB279:LC279"/>
    <mergeCell ref="LD279:LE279"/>
    <mergeCell ref="LF279:LG279"/>
    <mergeCell ref="LH279:LI279"/>
    <mergeCell ref="LJ279:LK279"/>
    <mergeCell ref="LL279:LM279"/>
    <mergeCell ref="LN279:LO279"/>
    <mergeCell ref="LP279:LQ279"/>
    <mergeCell ref="LR279:LS279"/>
    <mergeCell ref="LT279:LU279"/>
    <mergeCell ref="LV279:LW279"/>
    <mergeCell ref="LX279:LY279"/>
    <mergeCell ref="LZ279:MA279"/>
    <mergeCell ref="OP278:OQ278"/>
    <mergeCell ref="OR278:OS278"/>
    <mergeCell ref="OT278:OU278"/>
    <mergeCell ref="OV278:OW278"/>
    <mergeCell ref="OX278:OY278"/>
    <mergeCell ref="OZ278:PA278"/>
    <mergeCell ref="PB278:PC278"/>
    <mergeCell ref="PD278:PE278"/>
    <mergeCell ref="PF278:PG278"/>
    <mergeCell ref="PH278:PI278"/>
    <mergeCell ref="PJ278:PK278"/>
    <mergeCell ref="PL278:PM278"/>
    <mergeCell ref="PN278:PO278"/>
    <mergeCell ref="PP278:PQ278"/>
    <mergeCell ref="PR278:PS278"/>
    <mergeCell ref="PT278:PU278"/>
    <mergeCell ref="PV278:PW278"/>
    <mergeCell ref="PX278:PY278"/>
    <mergeCell ref="PZ278:QA278"/>
    <mergeCell ref="QB278:QC278"/>
    <mergeCell ref="QD278:QE278"/>
    <mergeCell ref="QF278:QG278"/>
    <mergeCell ref="QH278:QI278"/>
    <mergeCell ref="QJ278:QK278"/>
    <mergeCell ref="QL278:QM278"/>
    <mergeCell ref="QN278:QO278"/>
    <mergeCell ref="QP278:QQ278"/>
    <mergeCell ref="QR278:QS278"/>
    <mergeCell ref="QT278:QU278"/>
    <mergeCell ref="QV278:QW278"/>
    <mergeCell ref="QX278:QY278"/>
    <mergeCell ref="QZ278:RA278"/>
    <mergeCell ref="RB278:RC278"/>
    <mergeCell ref="MB278:MC278"/>
    <mergeCell ref="MD278:ME278"/>
    <mergeCell ref="MF278:MG278"/>
    <mergeCell ref="MH278:MI278"/>
    <mergeCell ref="MJ278:MK278"/>
    <mergeCell ref="ML278:MM278"/>
    <mergeCell ref="MN278:MO278"/>
    <mergeCell ref="MP278:MQ278"/>
    <mergeCell ref="MR278:MS278"/>
    <mergeCell ref="MT278:MU278"/>
    <mergeCell ref="MV278:MW278"/>
    <mergeCell ref="MX278:MY278"/>
    <mergeCell ref="MZ278:NA278"/>
    <mergeCell ref="NB278:NC278"/>
    <mergeCell ref="ND278:NE278"/>
    <mergeCell ref="NF278:NG278"/>
    <mergeCell ref="NH278:NI278"/>
    <mergeCell ref="NJ278:NK278"/>
    <mergeCell ref="NL278:NM278"/>
    <mergeCell ref="NN278:NO278"/>
    <mergeCell ref="NP278:NQ278"/>
    <mergeCell ref="NR278:NS278"/>
    <mergeCell ref="NT278:NU278"/>
    <mergeCell ref="NV278:NW278"/>
    <mergeCell ref="NX278:NY278"/>
    <mergeCell ref="NZ278:OA278"/>
    <mergeCell ref="OB278:OC278"/>
    <mergeCell ref="OD278:OE278"/>
    <mergeCell ref="OF278:OG278"/>
    <mergeCell ref="OH278:OI278"/>
    <mergeCell ref="OJ278:OK278"/>
    <mergeCell ref="OL278:OM278"/>
    <mergeCell ref="ON278:OO278"/>
    <mergeCell ref="JN278:JO278"/>
    <mergeCell ref="JP278:JQ278"/>
    <mergeCell ref="JR278:JS278"/>
    <mergeCell ref="JT278:JU278"/>
    <mergeCell ref="JV278:JW278"/>
    <mergeCell ref="JX278:JY278"/>
    <mergeCell ref="JZ278:KA278"/>
    <mergeCell ref="KB278:KC278"/>
    <mergeCell ref="KD278:KE278"/>
    <mergeCell ref="KF278:KG278"/>
    <mergeCell ref="KH278:KI278"/>
    <mergeCell ref="KJ278:KK278"/>
    <mergeCell ref="KL278:KM278"/>
    <mergeCell ref="KN278:KO278"/>
    <mergeCell ref="KP278:KQ278"/>
    <mergeCell ref="KR278:KS278"/>
    <mergeCell ref="KT278:KU278"/>
    <mergeCell ref="KV278:KW278"/>
    <mergeCell ref="KX278:KY278"/>
    <mergeCell ref="KZ278:LA278"/>
    <mergeCell ref="LB278:LC278"/>
    <mergeCell ref="LD278:LE278"/>
    <mergeCell ref="LF278:LG278"/>
    <mergeCell ref="LH278:LI278"/>
    <mergeCell ref="LJ278:LK278"/>
    <mergeCell ref="LL278:LM278"/>
    <mergeCell ref="LN278:LO278"/>
    <mergeCell ref="LP278:LQ278"/>
    <mergeCell ref="LR278:LS278"/>
    <mergeCell ref="LT278:LU278"/>
    <mergeCell ref="LV278:LW278"/>
    <mergeCell ref="LX278:LY278"/>
    <mergeCell ref="LZ278:MA278"/>
    <mergeCell ref="OP277:OQ277"/>
    <mergeCell ref="OR277:OS277"/>
    <mergeCell ref="OT277:OU277"/>
    <mergeCell ref="OV277:OW277"/>
    <mergeCell ref="OX277:OY277"/>
    <mergeCell ref="OZ277:PA277"/>
    <mergeCell ref="PB277:PC277"/>
    <mergeCell ref="PD277:PE277"/>
    <mergeCell ref="PF277:PG277"/>
    <mergeCell ref="PH277:PI277"/>
    <mergeCell ref="PJ277:PK277"/>
    <mergeCell ref="PL277:PM277"/>
    <mergeCell ref="PN277:PO277"/>
    <mergeCell ref="PP277:PQ277"/>
    <mergeCell ref="PR277:PS277"/>
    <mergeCell ref="PT277:PU277"/>
    <mergeCell ref="PV277:PW277"/>
    <mergeCell ref="PX277:PY277"/>
    <mergeCell ref="PZ277:QA277"/>
    <mergeCell ref="QB277:QC277"/>
    <mergeCell ref="QD277:QE277"/>
    <mergeCell ref="QF277:QG277"/>
    <mergeCell ref="QH277:QI277"/>
    <mergeCell ref="QJ277:QK277"/>
    <mergeCell ref="QL277:QM277"/>
    <mergeCell ref="QN277:QO277"/>
    <mergeCell ref="QP277:QQ277"/>
    <mergeCell ref="QR277:QS277"/>
    <mergeCell ref="QT277:QU277"/>
    <mergeCell ref="QV277:QW277"/>
    <mergeCell ref="QX277:QY277"/>
    <mergeCell ref="QZ277:RA277"/>
    <mergeCell ref="RB277:RC277"/>
    <mergeCell ref="MB277:MC277"/>
    <mergeCell ref="MD277:ME277"/>
    <mergeCell ref="MF277:MG277"/>
    <mergeCell ref="MH277:MI277"/>
    <mergeCell ref="MJ277:MK277"/>
    <mergeCell ref="ML277:MM277"/>
    <mergeCell ref="MN277:MO277"/>
    <mergeCell ref="MP277:MQ277"/>
    <mergeCell ref="MR277:MS277"/>
    <mergeCell ref="MT277:MU277"/>
    <mergeCell ref="MV277:MW277"/>
    <mergeCell ref="MX277:MY277"/>
    <mergeCell ref="MZ277:NA277"/>
    <mergeCell ref="NB277:NC277"/>
    <mergeCell ref="ND277:NE277"/>
    <mergeCell ref="NF277:NG277"/>
    <mergeCell ref="NH277:NI277"/>
    <mergeCell ref="NJ277:NK277"/>
    <mergeCell ref="NL277:NM277"/>
    <mergeCell ref="NN277:NO277"/>
    <mergeCell ref="NP277:NQ277"/>
    <mergeCell ref="NR277:NS277"/>
    <mergeCell ref="NT277:NU277"/>
    <mergeCell ref="NV277:NW277"/>
    <mergeCell ref="NX277:NY277"/>
    <mergeCell ref="NZ277:OA277"/>
    <mergeCell ref="OB277:OC277"/>
    <mergeCell ref="OD277:OE277"/>
    <mergeCell ref="OF277:OG277"/>
    <mergeCell ref="OH277:OI277"/>
    <mergeCell ref="OJ277:OK277"/>
    <mergeCell ref="OL277:OM277"/>
    <mergeCell ref="ON277:OO277"/>
    <mergeCell ref="JN277:JO277"/>
    <mergeCell ref="JP277:JQ277"/>
    <mergeCell ref="JR277:JS277"/>
    <mergeCell ref="JT277:JU277"/>
    <mergeCell ref="JV277:JW277"/>
    <mergeCell ref="JX277:JY277"/>
    <mergeCell ref="JZ277:KA277"/>
    <mergeCell ref="KB277:KC277"/>
    <mergeCell ref="KD277:KE277"/>
    <mergeCell ref="KF277:KG277"/>
    <mergeCell ref="KH277:KI277"/>
    <mergeCell ref="KJ277:KK277"/>
    <mergeCell ref="KL277:KM277"/>
    <mergeCell ref="KN277:KO277"/>
    <mergeCell ref="KP277:KQ277"/>
    <mergeCell ref="KR277:KS277"/>
    <mergeCell ref="KT277:KU277"/>
    <mergeCell ref="KV277:KW277"/>
    <mergeCell ref="KX277:KY277"/>
    <mergeCell ref="KZ277:LA277"/>
    <mergeCell ref="LB277:LC277"/>
    <mergeCell ref="LD277:LE277"/>
    <mergeCell ref="LF277:LG277"/>
    <mergeCell ref="LH277:LI277"/>
    <mergeCell ref="LJ277:LK277"/>
    <mergeCell ref="LL277:LM277"/>
    <mergeCell ref="LN277:LO277"/>
    <mergeCell ref="LP277:LQ277"/>
    <mergeCell ref="LR277:LS277"/>
    <mergeCell ref="LT277:LU277"/>
    <mergeCell ref="LV277:LW277"/>
    <mergeCell ref="LX277:LY277"/>
    <mergeCell ref="LZ277:MA277"/>
    <mergeCell ref="OP276:OQ276"/>
    <mergeCell ref="OR276:OS276"/>
    <mergeCell ref="OT276:OU276"/>
    <mergeCell ref="OV276:OW276"/>
    <mergeCell ref="OX276:OY276"/>
    <mergeCell ref="OZ276:PA276"/>
    <mergeCell ref="PB276:PC276"/>
    <mergeCell ref="PD276:PE276"/>
    <mergeCell ref="PF276:PG276"/>
    <mergeCell ref="PH276:PI276"/>
    <mergeCell ref="PJ276:PK276"/>
    <mergeCell ref="PL276:PM276"/>
    <mergeCell ref="PN276:PO276"/>
    <mergeCell ref="PP276:PQ276"/>
    <mergeCell ref="PR276:PS276"/>
    <mergeCell ref="PT276:PU276"/>
    <mergeCell ref="PV276:PW276"/>
    <mergeCell ref="PX276:PY276"/>
    <mergeCell ref="PZ276:QA276"/>
    <mergeCell ref="QB276:QC276"/>
    <mergeCell ref="QD276:QE276"/>
    <mergeCell ref="QF276:QG276"/>
    <mergeCell ref="QH276:QI276"/>
    <mergeCell ref="QJ276:QK276"/>
    <mergeCell ref="QL276:QM276"/>
    <mergeCell ref="QN276:QO276"/>
    <mergeCell ref="QP276:QQ276"/>
    <mergeCell ref="QR276:QS276"/>
    <mergeCell ref="QT276:QU276"/>
    <mergeCell ref="QV276:QW276"/>
    <mergeCell ref="QX276:QY276"/>
    <mergeCell ref="QZ276:RA276"/>
    <mergeCell ref="RB276:RC276"/>
    <mergeCell ref="MB276:MC276"/>
    <mergeCell ref="MD276:ME276"/>
    <mergeCell ref="MF276:MG276"/>
    <mergeCell ref="MH276:MI276"/>
    <mergeCell ref="MJ276:MK276"/>
    <mergeCell ref="ML276:MM276"/>
    <mergeCell ref="MN276:MO276"/>
    <mergeCell ref="MP276:MQ276"/>
    <mergeCell ref="MR276:MS276"/>
    <mergeCell ref="MT276:MU276"/>
    <mergeCell ref="MV276:MW276"/>
    <mergeCell ref="MX276:MY276"/>
    <mergeCell ref="MZ276:NA276"/>
    <mergeCell ref="NB276:NC276"/>
    <mergeCell ref="ND276:NE276"/>
    <mergeCell ref="NF276:NG276"/>
    <mergeCell ref="NH276:NI276"/>
    <mergeCell ref="NJ276:NK276"/>
    <mergeCell ref="NL276:NM276"/>
    <mergeCell ref="NN276:NO276"/>
    <mergeCell ref="NP276:NQ276"/>
    <mergeCell ref="NR276:NS276"/>
    <mergeCell ref="NT276:NU276"/>
    <mergeCell ref="NV276:NW276"/>
    <mergeCell ref="NX276:NY276"/>
    <mergeCell ref="NZ276:OA276"/>
    <mergeCell ref="OB276:OC276"/>
    <mergeCell ref="OD276:OE276"/>
    <mergeCell ref="OF276:OG276"/>
    <mergeCell ref="OH276:OI276"/>
    <mergeCell ref="OJ276:OK276"/>
    <mergeCell ref="OL276:OM276"/>
    <mergeCell ref="ON276:OO276"/>
    <mergeCell ref="JN276:JO276"/>
    <mergeCell ref="JP276:JQ276"/>
    <mergeCell ref="JR276:JS276"/>
    <mergeCell ref="JT276:JU276"/>
    <mergeCell ref="JV276:JW276"/>
    <mergeCell ref="JX276:JY276"/>
    <mergeCell ref="JZ276:KA276"/>
    <mergeCell ref="KB276:KC276"/>
    <mergeCell ref="KD276:KE276"/>
    <mergeCell ref="KF276:KG276"/>
    <mergeCell ref="KH276:KI276"/>
    <mergeCell ref="KJ276:KK276"/>
    <mergeCell ref="KL276:KM276"/>
    <mergeCell ref="KN276:KO276"/>
    <mergeCell ref="KP276:KQ276"/>
    <mergeCell ref="KR276:KS276"/>
    <mergeCell ref="KT276:KU276"/>
    <mergeCell ref="KV276:KW276"/>
    <mergeCell ref="KX276:KY276"/>
    <mergeCell ref="KZ276:LA276"/>
    <mergeCell ref="LB276:LC276"/>
    <mergeCell ref="LD276:LE276"/>
    <mergeCell ref="LF276:LG276"/>
    <mergeCell ref="LH276:LI276"/>
    <mergeCell ref="LJ276:LK276"/>
    <mergeCell ref="LL276:LM276"/>
    <mergeCell ref="LN276:LO276"/>
    <mergeCell ref="LP276:LQ276"/>
    <mergeCell ref="LR276:LS276"/>
    <mergeCell ref="LT276:LU276"/>
    <mergeCell ref="LV276:LW276"/>
    <mergeCell ref="LX276:LY276"/>
    <mergeCell ref="LZ276:MA276"/>
    <mergeCell ref="OP275:OQ275"/>
    <mergeCell ref="OR275:OS275"/>
    <mergeCell ref="OT275:OU275"/>
    <mergeCell ref="OV275:OW275"/>
    <mergeCell ref="OX275:OY275"/>
    <mergeCell ref="OZ275:PA275"/>
    <mergeCell ref="PB275:PC275"/>
    <mergeCell ref="PD275:PE275"/>
    <mergeCell ref="PF275:PG275"/>
    <mergeCell ref="PH275:PI275"/>
    <mergeCell ref="PJ275:PK275"/>
    <mergeCell ref="PL275:PM275"/>
    <mergeCell ref="PN275:PO275"/>
    <mergeCell ref="PP275:PQ275"/>
    <mergeCell ref="PR275:PS275"/>
    <mergeCell ref="PT275:PU275"/>
    <mergeCell ref="PV275:PW275"/>
    <mergeCell ref="PX275:PY275"/>
    <mergeCell ref="PZ275:QA275"/>
    <mergeCell ref="QB275:QC275"/>
    <mergeCell ref="QD275:QE275"/>
    <mergeCell ref="QF275:QG275"/>
    <mergeCell ref="QH275:QI275"/>
    <mergeCell ref="QJ275:QK275"/>
    <mergeCell ref="QL275:QM275"/>
    <mergeCell ref="QN275:QO275"/>
    <mergeCell ref="QP275:QQ275"/>
    <mergeCell ref="QR275:QS275"/>
    <mergeCell ref="QT275:QU275"/>
    <mergeCell ref="QV275:QW275"/>
    <mergeCell ref="QX275:QY275"/>
    <mergeCell ref="QZ275:RA275"/>
    <mergeCell ref="RB275:RC275"/>
    <mergeCell ref="MB275:MC275"/>
    <mergeCell ref="MD275:ME275"/>
    <mergeCell ref="MF275:MG275"/>
    <mergeCell ref="MH275:MI275"/>
    <mergeCell ref="MJ275:MK275"/>
    <mergeCell ref="ML275:MM275"/>
    <mergeCell ref="MN275:MO275"/>
    <mergeCell ref="MP275:MQ275"/>
    <mergeCell ref="MR275:MS275"/>
    <mergeCell ref="MT275:MU275"/>
    <mergeCell ref="MV275:MW275"/>
    <mergeCell ref="MX275:MY275"/>
    <mergeCell ref="MZ275:NA275"/>
    <mergeCell ref="NB275:NC275"/>
    <mergeCell ref="ND275:NE275"/>
    <mergeCell ref="NF275:NG275"/>
    <mergeCell ref="NH275:NI275"/>
    <mergeCell ref="NJ275:NK275"/>
    <mergeCell ref="NL275:NM275"/>
    <mergeCell ref="NN275:NO275"/>
    <mergeCell ref="NP275:NQ275"/>
    <mergeCell ref="NR275:NS275"/>
    <mergeCell ref="NT275:NU275"/>
    <mergeCell ref="NV275:NW275"/>
    <mergeCell ref="NX275:NY275"/>
    <mergeCell ref="NZ275:OA275"/>
    <mergeCell ref="OB275:OC275"/>
    <mergeCell ref="OD275:OE275"/>
    <mergeCell ref="OF275:OG275"/>
    <mergeCell ref="OH275:OI275"/>
    <mergeCell ref="OJ275:OK275"/>
    <mergeCell ref="OL275:OM275"/>
    <mergeCell ref="ON275:OO275"/>
    <mergeCell ref="JN275:JO275"/>
    <mergeCell ref="JP275:JQ275"/>
    <mergeCell ref="JR275:JS275"/>
    <mergeCell ref="JT275:JU275"/>
    <mergeCell ref="JV275:JW275"/>
    <mergeCell ref="JX275:JY275"/>
    <mergeCell ref="JZ275:KA275"/>
    <mergeCell ref="KB275:KC275"/>
    <mergeCell ref="KD275:KE275"/>
    <mergeCell ref="KF275:KG275"/>
    <mergeCell ref="KH275:KI275"/>
    <mergeCell ref="KJ275:KK275"/>
    <mergeCell ref="KL275:KM275"/>
    <mergeCell ref="KN275:KO275"/>
    <mergeCell ref="KP275:KQ275"/>
    <mergeCell ref="KR275:KS275"/>
    <mergeCell ref="KT275:KU275"/>
    <mergeCell ref="KV275:KW275"/>
    <mergeCell ref="KX275:KY275"/>
    <mergeCell ref="KZ275:LA275"/>
    <mergeCell ref="LB275:LC275"/>
    <mergeCell ref="LD275:LE275"/>
    <mergeCell ref="LF275:LG275"/>
    <mergeCell ref="LH275:LI275"/>
    <mergeCell ref="LJ275:LK275"/>
    <mergeCell ref="LL275:LM275"/>
    <mergeCell ref="LN275:LO275"/>
    <mergeCell ref="LP275:LQ275"/>
    <mergeCell ref="LR275:LS275"/>
    <mergeCell ref="LT275:LU275"/>
    <mergeCell ref="LV275:LW275"/>
    <mergeCell ref="LX275:LY275"/>
    <mergeCell ref="LZ275:MA275"/>
    <mergeCell ref="OP274:OQ274"/>
    <mergeCell ref="OR274:OS274"/>
    <mergeCell ref="OT274:OU274"/>
    <mergeCell ref="OV274:OW274"/>
    <mergeCell ref="OX274:OY274"/>
    <mergeCell ref="OZ274:PA274"/>
    <mergeCell ref="PB274:PC274"/>
    <mergeCell ref="PD274:PE274"/>
    <mergeCell ref="PF274:PG274"/>
    <mergeCell ref="PH274:PI274"/>
    <mergeCell ref="PJ274:PK274"/>
    <mergeCell ref="PL274:PM274"/>
    <mergeCell ref="PN274:PO274"/>
    <mergeCell ref="PP274:PQ274"/>
    <mergeCell ref="PR274:PS274"/>
    <mergeCell ref="PT274:PU274"/>
    <mergeCell ref="PV274:PW274"/>
    <mergeCell ref="PX274:PY274"/>
    <mergeCell ref="PZ274:QA274"/>
    <mergeCell ref="QB274:QC274"/>
    <mergeCell ref="QD274:QE274"/>
    <mergeCell ref="QF274:QG274"/>
    <mergeCell ref="QH274:QI274"/>
    <mergeCell ref="QJ274:QK274"/>
    <mergeCell ref="QL274:QM274"/>
    <mergeCell ref="QN274:QO274"/>
    <mergeCell ref="QP274:QQ274"/>
    <mergeCell ref="QR274:QS274"/>
    <mergeCell ref="QT274:QU274"/>
    <mergeCell ref="QV274:QW274"/>
    <mergeCell ref="QX274:QY274"/>
    <mergeCell ref="QZ274:RA274"/>
    <mergeCell ref="RB274:RC274"/>
    <mergeCell ref="MB274:MC274"/>
    <mergeCell ref="MD274:ME274"/>
    <mergeCell ref="MF274:MG274"/>
    <mergeCell ref="MH274:MI274"/>
    <mergeCell ref="MJ274:MK274"/>
    <mergeCell ref="ML274:MM274"/>
    <mergeCell ref="MN274:MO274"/>
    <mergeCell ref="MP274:MQ274"/>
    <mergeCell ref="MR274:MS274"/>
    <mergeCell ref="MT274:MU274"/>
    <mergeCell ref="MV274:MW274"/>
    <mergeCell ref="MX274:MY274"/>
    <mergeCell ref="MZ274:NA274"/>
    <mergeCell ref="NB274:NC274"/>
    <mergeCell ref="ND274:NE274"/>
    <mergeCell ref="NF274:NG274"/>
    <mergeCell ref="NH274:NI274"/>
    <mergeCell ref="NJ274:NK274"/>
    <mergeCell ref="NL274:NM274"/>
    <mergeCell ref="NN274:NO274"/>
    <mergeCell ref="NP274:NQ274"/>
    <mergeCell ref="NR274:NS274"/>
    <mergeCell ref="NT274:NU274"/>
    <mergeCell ref="NV274:NW274"/>
    <mergeCell ref="NX274:NY274"/>
    <mergeCell ref="NZ274:OA274"/>
    <mergeCell ref="OB274:OC274"/>
    <mergeCell ref="OD274:OE274"/>
    <mergeCell ref="OF274:OG274"/>
    <mergeCell ref="OH274:OI274"/>
    <mergeCell ref="OJ274:OK274"/>
    <mergeCell ref="OL274:OM274"/>
    <mergeCell ref="ON274:OO274"/>
    <mergeCell ref="JN274:JO274"/>
    <mergeCell ref="JP274:JQ274"/>
    <mergeCell ref="JR274:JS274"/>
    <mergeCell ref="JT274:JU274"/>
    <mergeCell ref="JV274:JW274"/>
    <mergeCell ref="JX274:JY274"/>
    <mergeCell ref="JZ274:KA274"/>
    <mergeCell ref="KB274:KC274"/>
    <mergeCell ref="KD274:KE274"/>
    <mergeCell ref="KF274:KG274"/>
    <mergeCell ref="KH274:KI274"/>
    <mergeCell ref="KJ274:KK274"/>
    <mergeCell ref="KL274:KM274"/>
    <mergeCell ref="KN274:KO274"/>
    <mergeCell ref="KP274:KQ274"/>
    <mergeCell ref="KR274:KS274"/>
    <mergeCell ref="KT274:KU274"/>
    <mergeCell ref="KV274:KW274"/>
    <mergeCell ref="KX274:KY274"/>
    <mergeCell ref="KZ274:LA274"/>
    <mergeCell ref="LB274:LC274"/>
    <mergeCell ref="LD274:LE274"/>
    <mergeCell ref="LF274:LG274"/>
    <mergeCell ref="LH274:LI274"/>
    <mergeCell ref="LJ274:LK274"/>
    <mergeCell ref="LL274:LM274"/>
    <mergeCell ref="LN274:LO274"/>
    <mergeCell ref="LP274:LQ274"/>
    <mergeCell ref="LR274:LS274"/>
    <mergeCell ref="LT274:LU274"/>
    <mergeCell ref="LV274:LW274"/>
    <mergeCell ref="LX274:LY274"/>
    <mergeCell ref="LZ274:MA274"/>
    <mergeCell ref="OP273:OQ273"/>
    <mergeCell ref="OR273:OS273"/>
    <mergeCell ref="OT273:OU273"/>
    <mergeCell ref="OV273:OW273"/>
    <mergeCell ref="OX273:OY273"/>
    <mergeCell ref="OZ273:PA273"/>
    <mergeCell ref="PB273:PC273"/>
    <mergeCell ref="PD273:PE273"/>
    <mergeCell ref="PF273:PG273"/>
    <mergeCell ref="PH273:PI273"/>
    <mergeCell ref="PJ273:PK273"/>
    <mergeCell ref="PL273:PM273"/>
    <mergeCell ref="PN273:PO273"/>
    <mergeCell ref="PP273:PQ273"/>
    <mergeCell ref="PR273:PS273"/>
    <mergeCell ref="PT273:PU273"/>
    <mergeCell ref="PV273:PW273"/>
    <mergeCell ref="PX273:PY273"/>
    <mergeCell ref="PZ273:QA273"/>
    <mergeCell ref="QB273:QC273"/>
    <mergeCell ref="QD273:QE273"/>
    <mergeCell ref="QF273:QG273"/>
    <mergeCell ref="QH273:QI273"/>
    <mergeCell ref="QJ273:QK273"/>
    <mergeCell ref="QL273:QM273"/>
    <mergeCell ref="QN273:QO273"/>
    <mergeCell ref="QP273:QQ273"/>
    <mergeCell ref="QR273:QS273"/>
    <mergeCell ref="QT273:QU273"/>
    <mergeCell ref="QV273:QW273"/>
    <mergeCell ref="QX273:QY273"/>
    <mergeCell ref="QZ273:RA273"/>
    <mergeCell ref="RB273:RC273"/>
    <mergeCell ref="MB273:MC273"/>
    <mergeCell ref="MD273:ME273"/>
    <mergeCell ref="MF273:MG273"/>
    <mergeCell ref="MH273:MI273"/>
    <mergeCell ref="MJ273:MK273"/>
    <mergeCell ref="ML273:MM273"/>
    <mergeCell ref="MN273:MO273"/>
    <mergeCell ref="MP273:MQ273"/>
    <mergeCell ref="MR273:MS273"/>
    <mergeCell ref="MT273:MU273"/>
    <mergeCell ref="MV273:MW273"/>
    <mergeCell ref="MX273:MY273"/>
    <mergeCell ref="MZ273:NA273"/>
    <mergeCell ref="NB273:NC273"/>
    <mergeCell ref="ND273:NE273"/>
    <mergeCell ref="NF273:NG273"/>
    <mergeCell ref="NH273:NI273"/>
    <mergeCell ref="NJ273:NK273"/>
    <mergeCell ref="NL273:NM273"/>
    <mergeCell ref="NN273:NO273"/>
    <mergeCell ref="NP273:NQ273"/>
    <mergeCell ref="NR273:NS273"/>
    <mergeCell ref="NT273:NU273"/>
    <mergeCell ref="NV273:NW273"/>
    <mergeCell ref="NX273:NY273"/>
    <mergeCell ref="NZ273:OA273"/>
    <mergeCell ref="OB273:OC273"/>
    <mergeCell ref="OD273:OE273"/>
    <mergeCell ref="OF273:OG273"/>
    <mergeCell ref="OH273:OI273"/>
    <mergeCell ref="OJ273:OK273"/>
    <mergeCell ref="OL273:OM273"/>
    <mergeCell ref="ON273:OO273"/>
    <mergeCell ref="JN273:JO273"/>
    <mergeCell ref="JP273:JQ273"/>
    <mergeCell ref="JR273:JS273"/>
    <mergeCell ref="JT273:JU273"/>
    <mergeCell ref="JV273:JW273"/>
    <mergeCell ref="JX273:JY273"/>
    <mergeCell ref="JZ273:KA273"/>
    <mergeCell ref="KB273:KC273"/>
    <mergeCell ref="KD273:KE273"/>
    <mergeCell ref="KF273:KG273"/>
    <mergeCell ref="KH273:KI273"/>
    <mergeCell ref="KJ273:KK273"/>
    <mergeCell ref="KL273:KM273"/>
    <mergeCell ref="KN273:KO273"/>
    <mergeCell ref="KP273:KQ273"/>
    <mergeCell ref="KR273:KS273"/>
    <mergeCell ref="KT273:KU273"/>
    <mergeCell ref="KV273:KW273"/>
    <mergeCell ref="KX273:KY273"/>
    <mergeCell ref="KZ273:LA273"/>
    <mergeCell ref="LB273:LC273"/>
    <mergeCell ref="LD273:LE273"/>
    <mergeCell ref="LF273:LG273"/>
    <mergeCell ref="LH273:LI273"/>
    <mergeCell ref="LJ273:LK273"/>
    <mergeCell ref="LL273:LM273"/>
    <mergeCell ref="LN273:LO273"/>
    <mergeCell ref="LP273:LQ273"/>
    <mergeCell ref="LR273:LS273"/>
    <mergeCell ref="LT273:LU273"/>
    <mergeCell ref="LV273:LW273"/>
    <mergeCell ref="LX273:LY273"/>
    <mergeCell ref="LZ273:MA273"/>
    <mergeCell ref="OP272:OQ272"/>
    <mergeCell ref="OR272:OS272"/>
    <mergeCell ref="OT272:OU272"/>
    <mergeCell ref="OV272:OW272"/>
    <mergeCell ref="OX272:OY272"/>
    <mergeCell ref="OZ272:PA272"/>
    <mergeCell ref="PB272:PC272"/>
    <mergeCell ref="PD272:PE272"/>
    <mergeCell ref="PF272:PG272"/>
    <mergeCell ref="PH272:PI272"/>
    <mergeCell ref="PJ272:PK272"/>
    <mergeCell ref="PL272:PM272"/>
    <mergeCell ref="PN272:PO272"/>
    <mergeCell ref="PP272:PQ272"/>
    <mergeCell ref="PR272:PS272"/>
    <mergeCell ref="PT272:PU272"/>
    <mergeCell ref="PV272:PW272"/>
    <mergeCell ref="PX272:PY272"/>
    <mergeCell ref="PZ272:QA272"/>
    <mergeCell ref="QB272:QC272"/>
    <mergeCell ref="QD272:QE272"/>
    <mergeCell ref="QF272:QG272"/>
    <mergeCell ref="QH272:QI272"/>
    <mergeCell ref="QJ272:QK272"/>
    <mergeCell ref="QL272:QM272"/>
    <mergeCell ref="QN272:QO272"/>
    <mergeCell ref="QP272:QQ272"/>
    <mergeCell ref="QR272:QS272"/>
    <mergeCell ref="QT272:QU272"/>
    <mergeCell ref="QV272:QW272"/>
    <mergeCell ref="QX272:QY272"/>
    <mergeCell ref="QZ272:RA272"/>
    <mergeCell ref="RB272:RC272"/>
    <mergeCell ref="MB272:MC272"/>
    <mergeCell ref="MD272:ME272"/>
    <mergeCell ref="MF272:MG272"/>
    <mergeCell ref="MH272:MI272"/>
    <mergeCell ref="MJ272:MK272"/>
    <mergeCell ref="ML272:MM272"/>
    <mergeCell ref="MN272:MO272"/>
    <mergeCell ref="MP272:MQ272"/>
    <mergeCell ref="MR272:MS272"/>
    <mergeCell ref="MT272:MU272"/>
    <mergeCell ref="MV272:MW272"/>
    <mergeCell ref="MX272:MY272"/>
    <mergeCell ref="MZ272:NA272"/>
    <mergeCell ref="NB272:NC272"/>
    <mergeCell ref="ND272:NE272"/>
    <mergeCell ref="NF272:NG272"/>
    <mergeCell ref="NH272:NI272"/>
    <mergeCell ref="NJ272:NK272"/>
    <mergeCell ref="NL272:NM272"/>
    <mergeCell ref="NN272:NO272"/>
    <mergeCell ref="NP272:NQ272"/>
    <mergeCell ref="NR272:NS272"/>
    <mergeCell ref="NT272:NU272"/>
    <mergeCell ref="NV272:NW272"/>
    <mergeCell ref="NX272:NY272"/>
    <mergeCell ref="NZ272:OA272"/>
    <mergeCell ref="OB272:OC272"/>
    <mergeCell ref="OD272:OE272"/>
    <mergeCell ref="OF272:OG272"/>
    <mergeCell ref="OH272:OI272"/>
    <mergeCell ref="OJ272:OK272"/>
    <mergeCell ref="OL272:OM272"/>
    <mergeCell ref="ON272:OO272"/>
    <mergeCell ref="JN272:JO272"/>
    <mergeCell ref="JP272:JQ272"/>
    <mergeCell ref="JR272:JS272"/>
    <mergeCell ref="JT272:JU272"/>
    <mergeCell ref="JV272:JW272"/>
    <mergeCell ref="JX272:JY272"/>
    <mergeCell ref="JZ272:KA272"/>
    <mergeCell ref="KB272:KC272"/>
    <mergeCell ref="KD272:KE272"/>
    <mergeCell ref="KF272:KG272"/>
    <mergeCell ref="KH272:KI272"/>
    <mergeCell ref="KJ272:KK272"/>
    <mergeCell ref="KL272:KM272"/>
    <mergeCell ref="KN272:KO272"/>
    <mergeCell ref="KP272:KQ272"/>
    <mergeCell ref="KR272:KS272"/>
    <mergeCell ref="KT272:KU272"/>
    <mergeCell ref="KV272:KW272"/>
    <mergeCell ref="KX272:KY272"/>
    <mergeCell ref="KZ272:LA272"/>
    <mergeCell ref="LB272:LC272"/>
    <mergeCell ref="LD272:LE272"/>
    <mergeCell ref="LF272:LG272"/>
    <mergeCell ref="LH272:LI272"/>
    <mergeCell ref="LJ272:LK272"/>
    <mergeCell ref="LL272:LM272"/>
    <mergeCell ref="LN272:LO272"/>
    <mergeCell ref="LP272:LQ272"/>
    <mergeCell ref="LR272:LS272"/>
    <mergeCell ref="LT272:LU272"/>
    <mergeCell ref="LV272:LW272"/>
    <mergeCell ref="LX272:LY272"/>
    <mergeCell ref="LZ272:MA272"/>
    <mergeCell ref="OP271:OQ271"/>
    <mergeCell ref="OR271:OS271"/>
    <mergeCell ref="OT271:OU271"/>
    <mergeCell ref="OV271:OW271"/>
    <mergeCell ref="OX271:OY271"/>
    <mergeCell ref="OZ271:PA271"/>
    <mergeCell ref="PB271:PC271"/>
    <mergeCell ref="PD271:PE271"/>
    <mergeCell ref="PF271:PG271"/>
    <mergeCell ref="PH271:PI271"/>
    <mergeCell ref="PJ271:PK271"/>
    <mergeCell ref="PL271:PM271"/>
    <mergeCell ref="PN271:PO271"/>
    <mergeCell ref="PP271:PQ271"/>
    <mergeCell ref="PR271:PS271"/>
    <mergeCell ref="PT271:PU271"/>
    <mergeCell ref="PV271:PW271"/>
    <mergeCell ref="PX271:PY271"/>
    <mergeCell ref="PZ271:QA271"/>
    <mergeCell ref="QB271:QC271"/>
    <mergeCell ref="QD271:QE271"/>
    <mergeCell ref="QF271:QG271"/>
    <mergeCell ref="QH271:QI271"/>
    <mergeCell ref="QJ271:QK271"/>
    <mergeCell ref="QL271:QM271"/>
    <mergeCell ref="QN271:QO271"/>
    <mergeCell ref="QP271:QQ271"/>
    <mergeCell ref="QR271:QS271"/>
    <mergeCell ref="QT271:QU271"/>
    <mergeCell ref="QV271:QW271"/>
    <mergeCell ref="QX271:QY271"/>
    <mergeCell ref="QZ271:RA271"/>
    <mergeCell ref="RB271:RC271"/>
    <mergeCell ref="MB271:MC271"/>
    <mergeCell ref="MD271:ME271"/>
    <mergeCell ref="MF271:MG271"/>
    <mergeCell ref="MH271:MI271"/>
    <mergeCell ref="MJ271:MK271"/>
    <mergeCell ref="ML271:MM271"/>
    <mergeCell ref="MN271:MO271"/>
    <mergeCell ref="MP271:MQ271"/>
    <mergeCell ref="MR271:MS271"/>
    <mergeCell ref="MT271:MU271"/>
    <mergeCell ref="MV271:MW271"/>
    <mergeCell ref="MX271:MY271"/>
    <mergeCell ref="MZ271:NA271"/>
    <mergeCell ref="NB271:NC271"/>
    <mergeCell ref="ND271:NE271"/>
    <mergeCell ref="NF271:NG271"/>
    <mergeCell ref="NH271:NI271"/>
    <mergeCell ref="NJ271:NK271"/>
    <mergeCell ref="NL271:NM271"/>
    <mergeCell ref="NN271:NO271"/>
    <mergeCell ref="NP271:NQ271"/>
    <mergeCell ref="NR271:NS271"/>
    <mergeCell ref="NT271:NU271"/>
    <mergeCell ref="NV271:NW271"/>
    <mergeCell ref="NX271:NY271"/>
    <mergeCell ref="NZ271:OA271"/>
    <mergeCell ref="OB271:OC271"/>
    <mergeCell ref="OD271:OE271"/>
    <mergeCell ref="OF271:OG271"/>
    <mergeCell ref="OH271:OI271"/>
    <mergeCell ref="OJ271:OK271"/>
    <mergeCell ref="OL271:OM271"/>
    <mergeCell ref="ON271:OO271"/>
    <mergeCell ref="JN271:JO271"/>
    <mergeCell ref="JP271:JQ271"/>
    <mergeCell ref="JR271:JS271"/>
    <mergeCell ref="JT271:JU271"/>
    <mergeCell ref="JV271:JW271"/>
    <mergeCell ref="JX271:JY271"/>
    <mergeCell ref="JZ271:KA271"/>
    <mergeCell ref="KB271:KC271"/>
    <mergeCell ref="KD271:KE271"/>
    <mergeCell ref="KF271:KG271"/>
    <mergeCell ref="KH271:KI271"/>
    <mergeCell ref="KJ271:KK271"/>
    <mergeCell ref="KL271:KM271"/>
    <mergeCell ref="KN271:KO271"/>
    <mergeCell ref="KP271:KQ271"/>
    <mergeCell ref="KR271:KS271"/>
    <mergeCell ref="KT271:KU271"/>
    <mergeCell ref="KV271:KW271"/>
    <mergeCell ref="KX271:KY271"/>
    <mergeCell ref="KZ271:LA271"/>
    <mergeCell ref="LB271:LC271"/>
    <mergeCell ref="LD271:LE271"/>
    <mergeCell ref="LF271:LG271"/>
    <mergeCell ref="LH271:LI271"/>
    <mergeCell ref="LJ271:LK271"/>
    <mergeCell ref="LL271:LM271"/>
    <mergeCell ref="LN271:LO271"/>
    <mergeCell ref="LP271:LQ271"/>
    <mergeCell ref="LR271:LS271"/>
    <mergeCell ref="LT271:LU271"/>
    <mergeCell ref="LV271:LW271"/>
    <mergeCell ref="LX271:LY271"/>
    <mergeCell ref="LZ271:MA271"/>
    <mergeCell ref="OP270:OQ270"/>
    <mergeCell ref="OR270:OS270"/>
    <mergeCell ref="OT270:OU270"/>
    <mergeCell ref="OV270:OW270"/>
    <mergeCell ref="OX270:OY270"/>
    <mergeCell ref="OZ270:PA270"/>
    <mergeCell ref="PB270:PC270"/>
    <mergeCell ref="PD270:PE270"/>
    <mergeCell ref="PF270:PG270"/>
    <mergeCell ref="PH270:PI270"/>
    <mergeCell ref="PJ270:PK270"/>
    <mergeCell ref="PL270:PM270"/>
    <mergeCell ref="PN270:PO270"/>
    <mergeCell ref="PP270:PQ270"/>
    <mergeCell ref="PR270:PS270"/>
    <mergeCell ref="PT270:PU270"/>
    <mergeCell ref="PV270:PW270"/>
    <mergeCell ref="PX270:PY270"/>
    <mergeCell ref="PZ270:QA270"/>
    <mergeCell ref="QB270:QC270"/>
    <mergeCell ref="QD270:QE270"/>
    <mergeCell ref="QF270:QG270"/>
    <mergeCell ref="QH270:QI270"/>
    <mergeCell ref="QJ270:QK270"/>
    <mergeCell ref="QL270:QM270"/>
    <mergeCell ref="QN270:QO270"/>
    <mergeCell ref="QP270:QQ270"/>
    <mergeCell ref="QR270:QS270"/>
    <mergeCell ref="QT270:QU270"/>
    <mergeCell ref="QV270:QW270"/>
    <mergeCell ref="QX270:QY270"/>
    <mergeCell ref="QZ270:RA270"/>
    <mergeCell ref="RB270:RC270"/>
    <mergeCell ref="MB270:MC270"/>
    <mergeCell ref="MD270:ME270"/>
    <mergeCell ref="MF270:MG270"/>
    <mergeCell ref="MH270:MI270"/>
    <mergeCell ref="MJ270:MK270"/>
    <mergeCell ref="ML270:MM270"/>
    <mergeCell ref="MN270:MO270"/>
    <mergeCell ref="MP270:MQ270"/>
    <mergeCell ref="MR270:MS270"/>
    <mergeCell ref="MT270:MU270"/>
    <mergeCell ref="MV270:MW270"/>
    <mergeCell ref="MX270:MY270"/>
    <mergeCell ref="MZ270:NA270"/>
    <mergeCell ref="NB270:NC270"/>
    <mergeCell ref="ND270:NE270"/>
    <mergeCell ref="NF270:NG270"/>
    <mergeCell ref="NH270:NI270"/>
    <mergeCell ref="NJ270:NK270"/>
    <mergeCell ref="NL270:NM270"/>
    <mergeCell ref="NN270:NO270"/>
    <mergeCell ref="NP270:NQ270"/>
    <mergeCell ref="NR270:NS270"/>
    <mergeCell ref="NT270:NU270"/>
    <mergeCell ref="NV270:NW270"/>
    <mergeCell ref="NX270:NY270"/>
    <mergeCell ref="NZ270:OA270"/>
    <mergeCell ref="OB270:OC270"/>
    <mergeCell ref="OD270:OE270"/>
    <mergeCell ref="OF270:OG270"/>
    <mergeCell ref="OH270:OI270"/>
    <mergeCell ref="OJ270:OK270"/>
    <mergeCell ref="OL270:OM270"/>
    <mergeCell ref="ON270:OO270"/>
    <mergeCell ref="JN270:JO270"/>
    <mergeCell ref="JP270:JQ270"/>
    <mergeCell ref="JR270:JS270"/>
    <mergeCell ref="JT270:JU270"/>
    <mergeCell ref="JV270:JW270"/>
    <mergeCell ref="JX270:JY270"/>
    <mergeCell ref="JZ270:KA270"/>
    <mergeCell ref="KB270:KC270"/>
    <mergeCell ref="KD270:KE270"/>
    <mergeCell ref="KF270:KG270"/>
    <mergeCell ref="KH270:KI270"/>
    <mergeCell ref="KJ270:KK270"/>
    <mergeCell ref="KL270:KM270"/>
    <mergeCell ref="KN270:KO270"/>
    <mergeCell ref="KP270:KQ270"/>
    <mergeCell ref="KR270:KS270"/>
    <mergeCell ref="KT270:KU270"/>
    <mergeCell ref="KV270:KW270"/>
    <mergeCell ref="KX270:KY270"/>
    <mergeCell ref="KZ270:LA270"/>
    <mergeCell ref="LB270:LC270"/>
    <mergeCell ref="LD270:LE270"/>
    <mergeCell ref="LF270:LG270"/>
    <mergeCell ref="LH270:LI270"/>
    <mergeCell ref="LJ270:LK270"/>
    <mergeCell ref="LL270:LM270"/>
    <mergeCell ref="LN270:LO270"/>
    <mergeCell ref="LP270:LQ270"/>
    <mergeCell ref="LR270:LS270"/>
    <mergeCell ref="LT270:LU270"/>
    <mergeCell ref="LV270:LW270"/>
    <mergeCell ref="LX270:LY270"/>
    <mergeCell ref="LZ270:MA270"/>
    <mergeCell ref="OP269:OQ269"/>
    <mergeCell ref="OR269:OS269"/>
    <mergeCell ref="OT269:OU269"/>
    <mergeCell ref="OV269:OW269"/>
    <mergeCell ref="OX269:OY269"/>
    <mergeCell ref="OZ269:PA269"/>
    <mergeCell ref="PB269:PC269"/>
    <mergeCell ref="PD269:PE269"/>
    <mergeCell ref="PF269:PG269"/>
    <mergeCell ref="PH269:PI269"/>
    <mergeCell ref="PJ269:PK269"/>
    <mergeCell ref="PL269:PM269"/>
    <mergeCell ref="PN269:PO269"/>
    <mergeCell ref="PP269:PQ269"/>
    <mergeCell ref="PR269:PS269"/>
    <mergeCell ref="PT269:PU269"/>
    <mergeCell ref="PV269:PW269"/>
    <mergeCell ref="PX269:PY269"/>
    <mergeCell ref="PZ269:QA269"/>
    <mergeCell ref="QB269:QC269"/>
    <mergeCell ref="QD269:QE269"/>
    <mergeCell ref="QF269:QG269"/>
    <mergeCell ref="QH269:QI269"/>
    <mergeCell ref="QJ269:QK269"/>
    <mergeCell ref="QL269:QM269"/>
    <mergeCell ref="QN269:QO269"/>
    <mergeCell ref="QP269:QQ269"/>
    <mergeCell ref="QR269:QS269"/>
    <mergeCell ref="QT269:QU269"/>
    <mergeCell ref="QV269:QW269"/>
    <mergeCell ref="QX269:QY269"/>
    <mergeCell ref="QZ269:RA269"/>
    <mergeCell ref="RB269:RC269"/>
    <mergeCell ref="MB269:MC269"/>
    <mergeCell ref="MD269:ME269"/>
    <mergeCell ref="MF269:MG269"/>
    <mergeCell ref="MH269:MI269"/>
    <mergeCell ref="MJ269:MK269"/>
    <mergeCell ref="ML269:MM269"/>
    <mergeCell ref="MN269:MO269"/>
    <mergeCell ref="MP269:MQ269"/>
    <mergeCell ref="MR269:MS269"/>
    <mergeCell ref="MT269:MU269"/>
    <mergeCell ref="MV269:MW269"/>
    <mergeCell ref="MX269:MY269"/>
    <mergeCell ref="MZ269:NA269"/>
    <mergeCell ref="NB269:NC269"/>
    <mergeCell ref="ND269:NE269"/>
    <mergeCell ref="NF269:NG269"/>
    <mergeCell ref="NH269:NI269"/>
    <mergeCell ref="NJ269:NK269"/>
    <mergeCell ref="NL269:NM269"/>
    <mergeCell ref="NN269:NO269"/>
    <mergeCell ref="NP269:NQ269"/>
    <mergeCell ref="NR269:NS269"/>
    <mergeCell ref="NT269:NU269"/>
    <mergeCell ref="NV269:NW269"/>
    <mergeCell ref="NX269:NY269"/>
    <mergeCell ref="NZ269:OA269"/>
    <mergeCell ref="OB269:OC269"/>
    <mergeCell ref="OD269:OE269"/>
    <mergeCell ref="OF269:OG269"/>
    <mergeCell ref="OH269:OI269"/>
    <mergeCell ref="OJ269:OK269"/>
    <mergeCell ref="OL269:OM269"/>
    <mergeCell ref="ON269:OO269"/>
    <mergeCell ref="JN269:JO269"/>
    <mergeCell ref="JP269:JQ269"/>
    <mergeCell ref="JR269:JS269"/>
    <mergeCell ref="JT269:JU269"/>
    <mergeCell ref="JV269:JW269"/>
    <mergeCell ref="JX269:JY269"/>
    <mergeCell ref="JZ269:KA269"/>
    <mergeCell ref="KB269:KC269"/>
    <mergeCell ref="KD269:KE269"/>
    <mergeCell ref="KF269:KG269"/>
    <mergeCell ref="KH269:KI269"/>
    <mergeCell ref="KJ269:KK269"/>
    <mergeCell ref="KL269:KM269"/>
    <mergeCell ref="KN269:KO269"/>
    <mergeCell ref="KP269:KQ269"/>
    <mergeCell ref="KR269:KS269"/>
    <mergeCell ref="KT269:KU269"/>
    <mergeCell ref="KV269:KW269"/>
    <mergeCell ref="KX269:KY269"/>
    <mergeCell ref="KZ269:LA269"/>
    <mergeCell ref="LB269:LC269"/>
    <mergeCell ref="LD269:LE269"/>
    <mergeCell ref="LF269:LG269"/>
    <mergeCell ref="LH269:LI269"/>
    <mergeCell ref="LJ269:LK269"/>
    <mergeCell ref="LL269:LM269"/>
    <mergeCell ref="LN269:LO269"/>
    <mergeCell ref="LP269:LQ269"/>
    <mergeCell ref="LR269:LS269"/>
    <mergeCell ref="LT269:LU269"/>
    <mergeCell ref="LV269:LW269"/>
    <mergeCell ref="LX269:LY269"/>
    <mergeCell ref="LZ269:MA269"/>
    <mergeCell ref="OP268:OQ268"/>
    <mergeCell ref="OR268:OS268"/>
    <mergeCell ref="OT268:OU268"/>
    <mergeCell ref="OV268:OW268"/>
    <mergeCell ref="OX268:OY268"/>
    <mergeCell ref="OZ268:PA268"/>
    <mergeCell ref="PB268:PC268"/>
    <mergeCell ref="PD268:PE268"/>
    <mergeCell ref="PF268:PG268"/>
    <mergeCell ref="PH268:PI268"/>
    <mergeCell ref="PJ268:PK268"/>
    <mergeCell ref="PL268:PM268"/>
    <mergeCell ref="PN268:PO268"/>
    <mergeCell ref="PP268:PQ268"/>
    <mergeCell ref="PR268:PS268"/>
    <mergeCell ref="PT268:PU268"/>
    <mergeCell ref="PV268:PW268"/>
    <mergeCell ref="PX268:PY268"/>
    <mergeCell ref="PZ268:QA268"/>
    <mergeCell ref="QB268:QC268"/>
    <mergeCell ref="QD268:QE268"/>
    <mergeCell ref="QF268:QG268"/>
    <mergeCell ref="QH268:QI268"/>
    <mergeCell ref="QJ268:QK268"/>
    <mergeCell ref="QL268:QM268"/>
    <mergeCell ref="QN268:QO268"/>
    <mergeCell ref="QP268:QQ268"/>
    <mergeCell ref="QR268:QS268"/>
    <mergeCell ref="QT268:QU268"/>
    <mergeCell ref="QV268:QW268"/>
    <mergeCell ref="QX268:QY268"/>
    <mergeCell ref="QZ268:RA268"/>
    <mergeCell ref="RB268:RC268"/>
    <mergeCell ref="MB268:MC268"/>
    <mergeCell ref="MD268:ME268"/>
    <mergeCell ref="MF268:MG268"/>
    <mergeCell ref="MH268:MI268"/>
    <mergeCell ref="MJ268:MK268"/>
    <mergeCell ref="ML268:MM268"/>
    <mergeCell ref="MN268:MO268"/>
    <mergeCell ref="MP268:MQ268"/>
    <mergeCell ref="MR268:MS268"/>
    <mergeCell ref="MT268:MU268"/>
    <mergeCell ref="MV268:MW268"/>
    <mergeCell ref="MX268:MY268"/>
    <mergeCell ref="MZ268:NA268"/>
    <mergeCell ref="NB268:NC268"/>
    <mergeCell ref="ND268:NE268"/>
    <mergeCell ref="NF268:NG268"/>
    <mergeCell ref="NH268:NI268"/>
    <mergeCell ref="NJ268:NK268"/>
    <mergeCell ref="NL268:NM268"/>
    <mergeCell ref="NN268:NO268"/>
    <mergeCell ref="NP268:NQ268"/>
    <mergeCell ref="NR268:NS268"/>
    <mergeCell ref="NT268:NU268"/>
    <mergeCell ref="NV268:NW268"/>
    <mergeCell ref="NX268:NY268"/>
    <mergeCell ref="NZ268:OA268"/>
    <mergeCell ref="OB268:OC268"/>
    <mergeCell ref="OD268:OE268"/>
    <mergeCell ref="OF268:OG268"/>
    <mergeCell ref="OH268:OI268"/>
    <mergeCell ref="OJ268:OK268"/>
    <mergeCell ref="OL268:OM268"/>
    <mergeCell ref="ON268:OO268"/>
    <mergeCell ref="JN268:JO268"/>
    <mergeCell ref="JP268:JQ268"/>
    <mergeCell ref="JR268:JS268"/>
    <mergeCell ref="JT268:JU268"/>
    <mergeCell ref="JV268:JW268"/>
    <mergeCell ref="JX268:JY268"/>
    <mergeCell ref="JZ268:KA268"/>
    <mergeCell ref="KB268:KC268"/>
    <mergeCell ref="KD268:KE268"/>
    <mergeCell ref="KF268:KG268"/>
    <mergeCell ref="KH268:KI268"/>
    <mergeCell ref="KJ268:KK268"/>
    <mergeCell ref="KL268:KM268"/>
    <mergeCell ref="KN268:KO268"/>
    <mergeCell ref="KP268:KQ268"/>
    <mergeCell ref="KR268:KS268"/>
    <mergeCell ref="KT268:KU268"/>
    <mergeCell ref="KV268:KW268"/>
    <mergeCell ref="KX268:KY268"/>
    <mergeCell ref="KZ268:LA268"/>
    <mergeCell ref="LB268:LC268"/>
    <mergeCell ref="LD268:LE268"/>
    <mergeCell ref="LF268:LG268"/>
    <mergeCell ref="LH268:LI268"/>
    <mergeCell ref="LJ268:LK268"/>
    <mergeCell ref="LL268:LM268"/>
    <mergeCell ref="LN268:LO268"/>
    <mergeCell ref="LP268:LQ268"/>
    <mergeCell ref="LR268:LS268"/>
    <mergeCell ref="LT268:LU268"/>
    <mergeCell ref="LV268:LW268"/>
    <mergeCell ref="LX268:LY268"/>
    <mergeCell ref="LZ268:MA268"/>
    <mergeCell ref="OP267:OQ267"/>
    <mergeCell ref="OR267:OS267"/>
    <mergeCell ref="OT267:OU267"/>
    <mergeCell ref="OV267:OW267"/>
    <mergeCell ref="OX267:OY267"/>
    <mergeCell ref="OZ267:PA267"/>
    <mergeCell ref="PB267:PC267"/>
    <mergeCell ref="PD267:PE267"/>
    <mergeCell ref="PF267:PG267"/>
    <mergeCell ref="PH267:PI267"/>
    <mergeCell ref="PJ267:PK267"/>
    <mergeCell ref="PL267:PM267"/>
    <mergeCell ref="PN267:PO267"/>
    <mergeCell ref="PP267:PQ267"/>
    <mergeCell ref="PR267:PS267"/>
    <mergeCell ref="PT267:PU267"/>
    <mergeCell ref="PV267:PW267"/>
    <mergeCell ref="PX267:PY267"/>
    <mergeCell ref="PZ267:QA267"/>
    <mergeCell ref="QB267:QC267"/>
    <mergeCell ref="QD267:QE267"/>
    <mergeCell ref="QF267:QG267"/>
    <mergeCell ref="QH267:QI267"/>
    <mergeCell ref="QJ267:QK267"/>
    <mergeCell ref="QL267:QM267"/>
    <mergeCell ref="QN267:QO267"/>
    <mergeCell ref="QP267:QQ267"/>
    <mergeCell ref="QR267:QS267"/>
    <mergeCell ref="QT267:QU267"/>
    <mergeCell ref="QV267:QW267"/>
    <mergeCell ref="QX267:QY267"/>
    <mergeCell ref="QZ267:RA267"/>
    <mergeCell ref="RB267:RC267"/>
    <mergeCell ref="MB267:MC267"/>
    <mergeCell ref="MD267:ME267"/>
    <mergeCell ref="MF267:MG267"/>
    <mergeCell ref="MH267:MI267"/>
    <mergeCell ref="MJ267:MK267"/>
    <mergeCell ref="ML267:MM267"/>
    <mergeCell ref="MN267:MO267"/>
    <mergeCell ref="MP267:MQ267"/>
    <mergeCell ref="MR267:MS267"/>
    <mergeCell ref="MT267:MU267"/>
    <mergeCell ref="MV267:MW267"/>
    <mergeCell ref="MX267:MY267"/>
    <mergeCell ref="MZ267:NA267"/>
    <mergeCell ref="NB267:NC267"/>
    <mergeCell ref="ND267:NE267"/>
    <mergeCell ref="NF267:NG267"/>
    <mergeCell ref="NH267:NI267"/>
    <mergeCell ref="NJ267:NK267"/>
    <mergeCell ref="NL267:NM267"/>
    <mergeCell ref="NN267:NO267"/>
    <mergeCell ref="NP267:NQ267"/>
    <mergeCell ref="NR267:NS267"/>
    <mergeCell ref="NT267:NU267"/>
    <mergeCell ref="NV267:NW267"/>
    <mergeCell ref="NX267:NY267"/>
    <mergeCell ref="NZ267:OA267"/>
    <mergeCell ref="OB267:OC267"/>
    <mergeCell ref="OD267:OE267"/>
    <mergeCell ref="OF267:OG267"/>
    <mergeCell ref="OH267:OI267"/>
    <mergeCell ref="OJ267:OK267"/>
    <mergeCell ref="OL267:OM267"/>
    <mergeCell ref="ON267:OO267"/>
    <mergeCell ref="JN267:JO267"/>
    <mergeCell ref="JP267:JQ267"/>
    <mergeCell ref="JR267:JS267"/>
    <mergeCell ref="JT267:JU267"/>
    <mergeCell ref="JV267:JW267"/>
    <mergeCell ref="JX267:JY267"/>
    <mergeCell ref="JZ267:KA267"/>
    <mergeCell ref="KB267:KC267"/>
    <mergeCell ref="KD267:KE267"/>
    <mergeCell ref="KF267:KG267"/>
    <mergeCell ref="KH267:KI267"/>
    <mergeCell ref="KJ267:KK267"/>
    <mergeCell ref="KL267:KM267"/>
    <mergeCell ref="KN267:KO267"/>
    <mergeCell ref="KP267:KQ267"/>
    <mergeCell ref="KR267:KS267"/>
    <mergeCell ref="KT267:KU267"/>
    <mergeCell ref="KV267:KW267"/>
    <mergeCell ref="KX267:KY267"/>
    <mergeCell ref="KZ267:LA267"/>
    <mergeCell ref="LB267:LC267"/>
    <mergeCell ref="LD267:LE267"/>
    <mergeCell ref="LF267:LG267"/>
    <mergeCell ref="LH267:LI267"/>
    <mergeCell ref="LJ267:LK267"/>
    <mergeCell ref="LL267:LM267"/>
    <mergeCell ref="LN267:LO267"/>
    <mergeCell ref="LP267:LQ267"/>
    <mergeCell ref="LR267:LS267"/>
    <mergeCell ref="LT267:LU267"/>
    <mergeCell ref="LV267:LW267"/>
    <mergeCell ref="LX267:LY267"/>
    <mergeCell ref="LZ267:MA267"/>
    <mergeCell ref="OP266:OQ266"/>
    <mergeCell ref="OR266:OS266"/>
    <mergeCell ref="OT266:OU266"/>
    <mergeCell ref="OV266:OW266"/>
    <mergeCell ref="OX266:OY266"/>
    <mergeCell ref="OZ266:PA266"/>
    <mergeCell ref="PB266:PC266"/>
    <mergeCell ref="PD266:PE266"/>
    <mergeCell ref="PF266:PG266"/>
    <mergeCell ref="PH266:PI266"/>
    <mergeCell ref="PJ266:PK266"/>
    <mergeCell ref="PL266:PM266"/>
    <mergeCell ref="PN266:PO266"/>
    <mergeCell ref="PP266:PQ266"/>
    <mergeCell ref="PR266:PS266"/>
    <mergeCell ref="PT266:PU266"/>
    <mergeCell ref="PV266:PW266"/>
    <mergeCell ref="PX266:PY266"/>
    <mergeCell ref="PZ266:QA266"/>
    <mergeCell ref="QB266:QC266"/>
    <mergeCell ref="QD266:QE266"/>
    <mergeCell ref="QF266:QG266"/>
    <mergeCell ref="QH266:QI266"/>
    <mergeCell ref="QJ266:QK266"/>
    <mergeCell ref="QL266:QM266"/>
    <mergeCell ref="QN266:QO266"/>
    <mergeCell ref="QP266:QQ266"/>
    <mergeCell ref="QR266:QS266"/>
    <mergeCell ref="QT266:QU266"/>
    <mergeCell ref="QV266:QW266"/>
    <mergeCell ref="QX266:QY266"/>
    <mergeCell ref="QZ266:RA266"/>
    <mergeCell ref="RB266:RC266"/>
    <mergeCell ref="MB266:MC266"/>
    <mergeCell ref="MD266:ME266"/>
    <mergeCell ref="MF266:MG266"/>
    <mergeCell ref="MH266:MI266"/>
    <mergeCell ref="MJ266:MK266"/>
    <mergeCell ref="ML266:MM266"/>
    <mergeCell ref="MN266:MO266"/>
    <mergeCell ref="MP266:MQ266"/>
    <mergeCell ref="MR266:MS266"/>
    <mergeCell ref="MT266:MU266"/>
    <mergeCell ref="MV266:MW266"/>
    <mergeCell ref="MX266:MY266"/>
    <mergeCell ref="MZ266:NA266"/>
    <mergeCell ref="NB266:NC266"/>
    <mergeCell ref="ND266:NE266"/>
    <mergeCell ref="NF266:NG266"/>
    <mergeCell ref="NH266:NI266"/>
    <mergeCell ref="NJ266:NK266"/>
    <mergeCell ref="NL266:NM266"/>
    <mergeCell ref="NN266:NO266"/>
    <mergeCell ref="NP266:NQ266"/>
    <mergeCell ref="NR266:NS266"/>
    <mergeCell ref="NT266:NU266"/>
    <mergeCell ref="NV266:NW266"/>
    <mergeCell ref="NX266:NY266"/>
    <mergeCell ref="NZ266:OA266"/>
    <mergeCell ref="OB266:OC266"/>
    <mergeCell ref="OD266:OE266"/>
    <mergeCell ref="OF266:OG266"/>
    <mergeCell ref="OH266:OI266"/>
    <mergeCell ref="OJ266:OK266"/>
    <mergeCell ref="OL266:OM266"/>
    <mergeCell ref="ON266:OO266"/>
    <mergeCell ref="JN266:JO266"/>
    <mergeCell ref="JP266:JQ266"/>
    <mergeCell ref="JR266:JS266"/>
    <mergeCell ref="JT266:JU266"/>
    <mergeCell ref="JV266:JW266"/>
    <mergeCell ref="JX266:JY266"/>
    <mergeCell ref="JZ266:KA266"/>
    <mergeCell ref="KB266:KC266"/>
    <mergeCell ref="KD266:KE266"/>
    <mergeCell ref="KF266:KG266"/>
    <mergeCell ref="KH266:KI266"/>
    <mergeCell ref="KJ266:KK266"/>
    <mergeCell ref="KL266:KM266"/>
    <mergeCell ref="KN266:KO266"/>
    <mergeCell ref="KP266:KQ266"/>
    <mergeCell ref="KR266:KS266"/>
    <mergeCell ref="KT266:KU266"/>
    <mergeCell ref="KV266:KW266"/>
    <mergeCell ref="KX266:KY266"/>
    <mergeCell ref="KZ266:LA266"/>
    <mergeCell ref="LB266:LC266"/>
    <mergeCell ref="LD266:LE266"/>
    <mergeCell ref="LF266:LG266"/>
    <mergeCell ref="LH266:LI266"/>
    <mergeCell ref="LJ266:LK266"/>
    <mergeCell ref="LL266:LM266"/>
    <mergeCell ref="LN266:LO266"/>
    <mergeCell ref="LP266:LQ266"/>
    <mergeCell ref="LR266:LS266"/>
    <mergeCell ref="LT266:LU266"/>
    <mergeCell ref="LV266:LW266"/>
    <mergeCell ref="LX266:LY266"/>
    <mergeCell ref="LZ266:MA266"/>
    <mergeCell ref="OP265:OQ265"/>
    <mergeCell ref="OR265:OS265"/>
    <mergeCell ref="OT265:OU265"/>
    <mergeCell ref="OV265:OW265"/>
    <mergeCell ref="OX265:OY265"/>
    <mergeCell ref="OZ265:PA265"/>
    <mergeCell ref="PB265:PC265"/>
    <mergeCell ref="PD265:PE265"/>
    <mergeCell ref="PF265:PG265"/>
    <mergeCell ref="PH265:PI265"/>
    <mergeCell ref="PJ265:PK265"/>
    <mergeCell ref="PL265:PM265"/>
    <mergeCell ref="PN265:PO265"/>
    <mergeCell ref="PP265:PQ265"/>
    <mergeCell ref="PR265:PS265"/>
    <mergeCell ref="PT265:PU265"/>
    <mergeCell ref="PV265:PW265"/>
    <mergeCell ref="PX265:PY265"/>
    <mergeCell ref="PZ265:QA265"/>
    <mergeCell ref="QB265:QC265"/>
    <mergeCell ref="QD265:QE265"/>
    <mergeCell ref="QF265:QG265"/>
    <mergeCell ref="QH265:QI265"/>
    <mergeCell ref="QJ265:QK265"/>
    <mergeCell ref="QL265:QM265"/>
    <mergeCell ref="QN265:QO265"/>
    <mergeCell ref="QP265:QQ265"/>
    <mergeCell ref="QR265:QS265"/>
    <mergeCell ref="QT265:QU265"/>
    <mergeCell ref="QV265:QW265"/>
    <mergeCell ref="QX265:QY265"/>
    <mergeCell ref="QZ265:RA265"/>
    <mergeCell ref="RB265:RC265"/>
    <mergeCell ref="MB265:MC265"/>
    <mergeCell ref="MD265:ME265"/>
    <mergeCell ref="MF265:MG265"/>
    <mergeCell ref="MH265:MI265"/>
    <mergeCell ref="MJ265:MK265"/>
    <mergeCell ref="ML265:MM265"/>
    <mergeCell ref="MN265:MO265"/>
    <mergeCell ref="MP265:MQ265"/>
    <mergeCell ref="MR265:MS265"/>
    <mergeCell ref="MT265:MU265"/>
    <mergeCell ref="MV265:MW265"/>
    <mergeCell ref="MX265:MY265"/>
    <mergeCell ref="MZ265:NA265"/>
    <mergeCell ref="NB265:NC265"/>
    <mergeCell ref="ND265:NE265"/>
    <mergeCell ref="NF265:NG265"/>
    <mergeCell ref="NH265:NI265"/>
    <mergeCell ref="NJ265:NK265"/>
    <mergeCell ref="NL265:NM265"/>
    <mergeCell ref="NN265:NO265"/>
    <mergeCell ref="NP265:NQ265"/>
    <mergeCell ref="NR265:NS265"/>
    <mergeCell ref="NT265:NU265"/>
    <mergeCell ref="NV265:NW265"/>
    <mergeCell ref="NX265:NY265"/>
    <mergeCell ref="NZ265:OA265"/>
    <mergeCell ref="OB265:OC265"/>
    <mergeCell ref="OD265:OE265"/>
    <mergeCell ref="OF265:OG265"/>
    <mergeCell ref="OH265:OI265"/>
    <mergeCell ref="OJ265:OK265"/>
    <mergeCell ref="OL265:OM265"/>
    <mergeCell ref="ON265:OO265"/>
    <mergeCell ref="JN265:JO265"/>
    <mergeCell ref="JP265:JQ265"/>
    <mergeCell ref="JR265:JS265"/>
    <mergeCell ref="JT265:JU265"/>
    <mergeCell ref="JV265:JW265"/>
    <mergeCell ref="JX265:JY265"/>
    <mergeCell ref="JZ265:KA265"/>
    <mergeCell ref="KB265:KC265"/>
    <mergeCell ref="KD265:KE265"/>
    <mergeCell ref="KF265:KG265"/>
    <mergeCell ref="KH265:KI265"/>
    <mergeCell ref="KJ265:KK265"/>
    <mergeCell ref="KL265:KM265"/>
    <mergeCell ref="KN265:KO265"/>
    <mergeCell ref="KP265:KQ265"/>
    <mergeCell ref="KR265:KS265"/>
    <mergeCell ref="KT265:KU265"/>
    <mergeCell ref="KV265:KW265"/>
    <mergeCell ref="KX265:KY265"/>
    <mergeCell ref="KZ265:LA265"/>
    <mergeCell ref="LB265:LC265"/>
    <mergeCell ref="LD265:LE265"/>
    <mergeCell ref="LF265:LG265"/>
    <mergeCell ref="LH265:LI265"/>
    <mergeCell ref="LJ265:LK265"/>
    <mergeCell ref="LL265:LM265"/>
    <mergeCell ref="LN265:LO265"/>
    <mergeCell ref="LP265:LQ265"/>
    <mergeCell ref="LR265:LS265"/>
    <mergeCell ref="LT265:LU265"/>
    <mergeCell ref="LV265:LW265"/>
    <mergeCell ref="LX265:LY265"/>
    <mergeCell ref="LZ265:MA265"/>
    <mergeCell ref="OP264:OQ264"/>
    <mergeCell ref="OR264:OS264"/>
    <mergeCell ref="OT264:OU264"/>
    <mergeCell ref="OV264:OW264"/>
    <mergeCell ref="OX264:OY264"/>
    <mergeCell ref="OZ264:PA264"/>
    <mergeCell ref="PB264:PC264"/>
    <mergeCell ref="PD264:PE264"/>
    <mergeCell ref="PF264:PG264"/>
    <mergeCell ref="PH264:PI264"/>
    <mergeCell ref="PJ264:PK264"/>
    <mergeCell ref="PL264:PM264"/>
    <mergeCell ref="PN264:PO264"/>
    <mergeCell ref="PP264:PQ264"/>
    <mergeCell ref="PR264:PS264"/>
    <mergeCell ref="PT264:PU264"/>
    <mergeCell ref="PV264:PW264"/>
    <mergeCell ref="PX264:PY264"/>
    <mergeCell ref="PZ264:QA264"/>
    <mergeCell ref="QB264:QC264"/>
    <mergeCell ref="QD264:QE264"/>
    <mergeCell ref="QF264:QG264"/>
    <mergeCell ref="QH264:QI264"/>
    <mergeCell ref="QJ264:QK264"/>
    <mergeCell ref="QL264:QM264"/>
    <mergeCell ref="QN264:QO264"/>
    <mergeCell ref="QP264:QQ264"/>
    <mergeCell ref="QR264:QS264"/>
    <mergeCell ref="QT264:QU264"/>
    <mergeCell ref="QV264:QW264"/>
    <mergeCell ref="QX264:QY264"/>
    <mergeCell ref="QZ264:RA264"/>
    <mergeCell ref="RB264:RC264"/>
    <mergeCell ref="MB264:MC264"/>
    <mergeCell ref="MD264:ME264"/>
    <mergeCell ref="MF264:MG264"/>
    <mergeCell ref="MH264:MI264"/>
    <mergeCell ref="MJ264:MK264"/>
    <mergeCell ref="ML264:MM264"/>
    <mergeCell ref="MN264:MO264"/>
    <mergeCell ref="MP264:MQ264"/>
    <mergeCell ref="MR264:MS264"/>
    <mergeCell ref="MT264:MU264"/>
    <mergeCell ref="MV264:MW264"/>
    <mergeCell ref="MX264:MY264"/>
    <mergeCell ref="MZ264:NA264"/>
    <mergeCell ref="NB264:NC264"/>
    <mergeCell ref="ND264:NE264"/>
    <mergeCell ref="NF264:NG264"/>
    <mergeCell ref="NH264:NI264"/>
    <mergeCell ref="NJ264:NK264"/>
    <mergeCell ref="NL264:NM264"/>
    <mergeCell ref="NN264:NO264"/>
    <mergeCell ref="NP264:NQ264"/>
    <mergeCell ref="NR264:NS264"/>
    <mergeCell ref="NT264:NU264"/>
    <mergeCell ref="NV264:NW264"/>
    <mergeCell ref="NX264:NY264"/>
    <mergeCell ref="NZ264:OA264"/>
    <mergeCell ref="OB264:OC264"/>
    <mergeCell ref="OD264:OE264"/>
    <mergeCell ref="OF264:OG264"/>
    <mergeCell ref="OH264:OI264"/>
    <mergeCell ref="OJ264:OK264"/>
    <mergeCell ref="OL264:OM264"/>
    <mergeCell ref="ON264:OO264"/>
    <mergeCell ref="JN264:JO264"/>
    <mergeCell ref="JP264:JQ264"/>
    <mergeCell ref="JR264:JS264"/>
    <mergeCell ref="JT264:JU264"/>
    <mergeCell ref="JV264:JW264"/>
    <mergeCell ref="JX264:JY264"/>
    <mergeCell ref="JZ264:KA264"/>
    <mergeCell ref="KB264:KC264"/>
    <mergeCell ref="KD264:KE264"/>
    <mergeCell ref="KF264:KG264"/>
    <mergeCell ref="KH264:KI264"/>
    <mergeCell ref="KJ264:KK264"/>
    <mergeCell ref="KL264:KM264"/>
    <mergeCell ref="KN264:KO264"/>
    <mergeCell ref="KP264:KQ264"/>
    <mergeCell ref="KR264:KS264"/>
    <mergeCell ref="KT264:KU264"/>
    <mergeCell ref="KV264:KW264"/>
    <mergeCell ref="KX264:KY264"/>
    <mergeCell ref="KZ264:LA264"/>
    <mergeCell ref="LB264:LC264"/>
    <mergeCell ref="LD264:LE264"/>
    <mergeCell ref="LF264:LG264"/>
    <mergeCell ref="LH264:LI264"/>
    <mergeCell ref="LJ264:LK264"/>
    <mergeCell ref="LL264:LM264"/>
    <mergeCell ref="LN264:LO264"/>
    <mergeCell ref="LP264:LQ264"/>
    <mergeCell ref="LR264:LS264"/>
    <mergeCell ref="LT264:LU264"/>
    <mergeCell ref="LV264:LW264"/>
    <mergeCell ref="LX264:LY264"/>
    <mergeCell ref="LZ264:MA264"/>
    <mergeCell ref="OP263:OQ263"/>
    <mergeCell ref="OR263:OS263"/>
    <mergeCell ref="OT263:OU263"/>
    <mergeCell ref="OV263:OW263"/>
    <mergeCell ref="OX263:OY263"/>
    <mergeCell ref="OZ263:PA263"/>
    <mergeCell ref="PB263:PC263"/>
    <mergeCell ref="PD263:PE263"/>
    <mergeCell ref="PF263:PG263"/>
    <mergeCell ref="PH263:PI263"/>
    <mergeCell ref="PJ263:PK263"/>
    <mergeCell ref="PL263:PM263"/>
    <mergeCell ref="PN263:PO263"/>
    <mergeCell ref="PP263:PQ263"/>
    <mergeCell ref="PR263:PS263"/>
    <mergeCell ref="PT263:PU263"/>
    <mergeCell ref="PV263:PW263"/>
    <mergeCell ref="PX263:PY263"/>
    <mergeCell ref="PZ263:QA263"/>
    <mergeCell ref="QB263:QC263"/>
    <mergeCell ref="QD263:QE263"/>
    <mergeCell ref="QF263:QG263"/>
    <mergeCell ref="QH263:QI263"/>
    <mergeCell ref="QJ263:QK263"/>
    <mergeCell ref="QL263:QM263"/>
    <mergeCell ref="QN263:QO263"/>
    <mergeCell ref="QP263:QQ263"/>
    <mergeCell ref="QR263:QS263"/>
    <mergeCell ref="QT263:QU263"/>
    <mergeCell ref="QV263:QW263"/>
    <mergeCell ref="QX263:QY263"/>
    <mergeCell ref="QZ263:RA263"/>
    <mergeCell ref="RB263:RC263"/>
    <mergeCell ref="MB263:MC263"/>
    <mergeCell ref="MD263:ME263"/>
    <mergeCell ref="MF263:MG263"/>
    <mergeCell ref="MH263:MI263"/>
    <mergeCell ref="MJ263:MK263"/>
    <mergeCell ref="ML263:MM263"/>
    <mergeCell ref="MN263:MO263"/>
    <mergeCell ref="MP263:MQ263"/>
    <mergeCell ref="MR263:MS263"/>
    <mergeCell ref="MT263:MU263"/>
    <mergeCell ref="MV263:MW263"/>
    <mergeCell ref="MX263:MY263"/>
    <mergeCell ref="MZ263:NA263"/>
    <mergeCell ref="NB263:NC263"/>
    <mergeCell ref="ND263:NE263"/>
    <mergeCell ref="NF263:NG263"/>
    <mergeCell ref="NH263:NI263"/>
    <mergeCell ref="NJ263:NK263"/>
    <mergeCell ref="NL263:NM263"/>
    <mergeCell ref="NN263:NO263"/>
    <mergeCell ref="NP263:NQ263"/>
    <mergeCell ref="NR263:NS263"/>
    <mergeCell ref="NT263:NU263"/>
    <mergeCell ref="NV263:NW263"/>
    <mergeCell ref="NX263:NY263"/>
    <mergeCell ref="NZ263:OA263"/>
    <mergeCell ref="OB263:OC263"/>
    <mergeCell ref="OD263:OE263"/>
    <mergeCell ref="OF263:OG263"/>
    <mergeCell ref="OH263:OI263"/>
    <mergeCell ref="OJ263:OK263"/>
    <mergeCell ref="OL263:OM263"/>
    <mergeCell ref="ON263:OO263"/>
    <mergeCell ref="JN263:JO263"/>
    <mergeCell ref="JP263:JQ263"/>
    <mergeCell ref="JR263:JS263"/>
    <mergeCell ref="JT263:JU263"/>
    <mergeCell ref="JV263:JW263"/>
    <mergeCell ref="JX263:JY263"/>
    <mergeCell ref="JZ263:KA263"/>
    <mergeCell ref="KB263:KC263"/>
    <mergeCell ref="KD263:KE263"/>
    <mergeCell ref="KF263:KG263"/>
    <mergeCell ref="KH263:KI263"/>
    <mergeCell ref="KJ263:KK263"/>
    <mergeCell ref="KL263:KM263"/>
    <mergeCell ref="KN263:KO263"/>
    <mergeCell ref="KP263:KQ263"/>
    <mergeCell ref="KR263:KS263"/>
    <mergeCell ref="KT263:KU263"/>
    <mergeCell ref="KV263:KW263"/>
    <mergeCell ref="KX263:KY263"/>
    <mergeCell ref="KZ263:LA263"/>
    <mergeCell ref="LB263:LC263"/>
    <mergeCell ref="LD263:LE263"/>
    <mergeCell ref="LF263:LG263"/>
    <mergeCell ref="LH263:LI263"/>
    <mergeCell ref="LJ263:LK263"/>
    <mergeCell ref="LL263:LM263"/>
    <mergeCell ref="LN263:LO263"/>
    <mergeCell ref="LP263:LQ263"/>
    <mergeCell ref="LR263:LS263"/>
    <mergeCell ref="LT263:LU263"/>
    <mergeCell ref="LV263:LW263"/>
    <mergeCell ref="LX263:LY263"/>
    <mergeCell ref="LZ263:MA263"/>
    <mergeCell ref="OP262:OQ262"/>
    <mergeCell ref="OR262:OS262"/>
    <mergeCell ref="OT262:OU262"/>
    <mergeCell ref="OV262:OW262"/>
    <mergeCell ref="OX262:OY262"/>
    <mergeCell ref="OZ262:PA262"/>
    <mergeCell ref="PB262:PC262"/>
    <mergeCell ref="PD262:PE262"/>
    <mergeCell ref="PF262:PG262"/>
    <mergeCell ref="PH262:PI262"/>
    <mergeCell ref="PJ262:PK262"/>
    <mergeCell ref="PL262:PM262"/>
    <mergeCell ref="PN262:PO262"/>
    <mergeCell ref="PP262:PQ262"/>
    <mergeCell ref="PR262:PS262"/>
    <mergeCell ref="PT262:PU262"/>
    <mergeCell ref="PV262:PW262"/>
    <mergeCell ref="PX262:PY262"/>
    <mergeCell ref="PZ262:QA262"/>
    <mergeCell ref="QB262:QC262"/>
    <mergeCell ref="QD262:QE262"/>
    <mergeCell ref="QF262:QG262"/>
    <mergeCell ref="QH262:QI262"/>
    <mergeCell ref="QJ262:QK262"/>
    <mergeCell ref="QL262:QM262"/>
    <mergeCell ref="QN262:QO262"/>
    <mergeCell ref="QP262:QQ262"/>
    <mergeCell ref="QR262:QS262"/>
    <mergeCell ref="QT262:QU262"/>
    <mergeCell ref="QV262:QW262"/>
    <mergeCell ref="QX262:QY262"/>
    <mergeCell ref="QZ262:RA262"/>
    <mergeCell ref="RB262:RC262"/>
    <mergeCell ref="MB262:MC262"/>
    <mergeCell ref="MD262:ME262"/>
    <mergeCell ref="MF262:MG262"/>
    <mergeCell ref="MH262:MI262"/>
    <mergeCell ref="MJ262:MK262"/>
    <mergeCell ref="ML262:MM262"/>
    <mergeCell ref="MN262:MO262"/>
    <mergeCell ref="MP262:MQ262"/>
    <mergeCell ref="MR262:MS262"/>
    <mergeCell ref="MT262:MU262"/>
    <mergeCell ref="MV262:MW262"/>
    <mergeCell ref="MX262:MY262"/>
    <mergeCell ref="MZ262:NA262"/>
    <mergeCell ref="NB262:NC262"/>
    <mergeCell ref="ND262:NE262"/>
    <mergeCell ref="NF262:NG262"/>
    <mergeCell ref="NH262:NI262"/>
    <mergeCell ref="NJ262:NK262"/>
    <mergeCell ref="NL262:NM262"/>
    <mergeCell ref="NN262:NO262"/>
    <mergeCell ref="NP262:NQ262"/>
    <mergeCell ref="NR262:NS262"/>
    <mergeCell ref="NT262:NU262"/>
    <mergeCell ref="NV262:NW262"/>
    <mergeCell ref="NX262:NY262"/>
    <mergeCell ref="NZ262:OA262"/>
    <mergeCell ref="OB262:OC262"/>
    <mergeCell ref="OD262:OE262"/>
    <mergeCell ref="OF262:OG262"/>
    <mergeCell ref="OH262:OI262"/>
    <mergeCell ref="OJ262:OK262"/>
    <mergeCell ref="OL262:OM262"/>
    <mergeCell ref="ON262:OO262"/>
    <mergeCell ref="JN262:JO262"/>
    <mergeCell ref="JP262:JQ262"/>
    <mergeCell ref="JR262:JS262"/>
    <mergeCell ref="JT262:JU262"/>
    <mergeCell ref="JV262:JW262"/>
    <mergeCell ref="JX262:JY262"/>
    <mergeCell ref="JZ262:KA262"/>
    <mergeCell ref="KB262:KC262"/>
    <mergeCell ref="KD262:KE262"/>
    <mergeCell ref="KF262:KG262"/>
    <mergeCell ref="KH262:KI262"/>
    <mergeCell ref="KJ262:KK262"/>
    <mergeCell ref="KL262:KM262"/>
    <mergeCell ref="KN262:KO262"/>
    <mergeCell ref="KP262:KQ262"/>
    <mergeCell ref="KR262:KS262"/>
    <mergeCell ref="KT262:KU262"/>
    <mergeCell ref="KV262:KW262"/>
    <mergeCell ref="KX262:KY262"/>
    <mergeCell ref="KZ262:LA262"/>
    <mergeCell ref="LB262:LC262"/>
    <mergeCell ref="LD262:LE262"/>
    <mergeCell ref="LF262:LG262"/>
    <mergeCell ref="LH262:LI262"/>
    <mergeCell ref="LJ262:LK262"/>
    <mergeCell ref="LL262:LM262"/>
    <mergeCell ref="LN262:LO262"/>
    <mergeCell ref="LP262:LQ262"/>
    <mergeCell ref="LR262:LS262"/>
    <mergeCell ref="LT262:LU262"/>
    <mergeCell ref="LV262:LW262"/>
    <mergeCell ref="LX262:LY262"/>
    <mergeCell ref="LZ262:MA262"/>
    <mergeCell ref="OP261:OQ261"/>
    <mergeCell ref="OR261:OS261"/>
    <mergeCell ref="OT261:OU261"/>
    <mergeCell ref="OV261:OW261"/>
    <mergeCell ref="OX261:OY261"/>
    <mergeCell ref="OZ261:PA261"/>
    <mergeCell ref="PB261:PC261"/>
    <mergeCell ref="PD261:PE261"/>
    <mergeCell ref="PF261:PG261"/>
    <mergeCell ref="PH261:PI261"/>
    <mergeCell ref="PJ261:PK261"/>
    <mergeCell ref="PL261:PM261"/>
    <mergeCell ref="PN261:PO261"/>
    <mergeCell ref="PP261:PQ261"/>
    <mergeCell ref="PR261:PS261"/>
    <mergeCell ref="PT261:PU261"/>
    <mergeCell ref="PV261:PW261"/>
    <mergeCell ref="PX261:PY261"/>
    <mergeCell ref="PZ261:QA261"/>
    <mergeCell ref="QB261:QC261"/>
    <mergeCell ref="QD261:QE261"/>
    <mergeCell ref="QF261:QG261"/>
    <mergeCell ref="QH261:QI261"/>
    <mergeCell ref="QJ261:QK261"/>
    <mergeCell ref="QL261:QM261"/>
    <mergeCell ref="QN261:QO261"/>
    <mergeCell ref="QP261:QQ261"/>
    <mergeCell ref="QR261:QS261"/>
    <mergeCell ref="QT261:QU261"/>
    <mergeCell ref="QV261:QW261"/>
    <mergeCell ref="QX261:QY261"/>
    <mergeCell ref="QZ261:RA261"/>
    <mergeCell ref="RB261:RC261"/>
    <mergeCell ref="MB261:MC261"/>
    <mergeCell ref="MD261:ME261"/>
    <mergeCell ref="MF261:MG261"/>
    <mergeCell ref="MH261:MI261"/>
    <mergeCell ref="MJ261:MK261"/>
    <mergeCell ref="ML261:MM261"/>
    <mergeCell ref="MN261:MO261"/>
    <mergeCell ref="MP261:MQ261"/>
    <mergeCell ref="MR261:MS261"/>
    <mergeCell ref="MT261:MU261"/>
    <mergeCell ref="MV261:MW261"/>
    <mergeCell ref="MX261:MY261"/>
    <mergeCell ref="MZ261:NA261"/>
    <mergeCell ref="NB261:NC261"/>
    <mergeCell ref="ND261:NE261"/>
    <mergeCell ref="NF261:NG261"/>
    <mergeCell ref="NH261:NI261"/>
    <mergeCell ref="NJ261:NK261"/>
    <mergeCell ref="NL261:NM261"/>
    <mergeCell ref="NN261:NO261"/>
    <mergeCell ref="NP261:NQ261"/>
    <mergeCell ref="NR261:NS261"/>
    <mergeCell ref="NT261:NU261"/>
    <mergeCell ref="NV261:NW261"/>
    <mergeCell ref="NX261:NY261"/>
    <mergeCell ref="NZ261:OA261"/>
    <mergeCell ref="OB261:OC261"/>
    <mergeCell ref="OD261:OE261"/>
    <mergeCell ref="OF261:OG261"/>
    <mergeCell ref="OH261:OI261"/>
    <mergeCell ref="OJ261:OK261"/>
    <mergeCell ref="OL261:OM261"/>
    <mergeCell ref="ON261:OO261"/>
    <mergeCell ref="JN261:JO261"/>
    <mergeCell ref="JP261:JQ261"/>
    <mergeCell ref="JR261:JS261"/>
    <mergeCell ref="JT261:JU261"/>
    <mergeCell ref="JV261:JW261"/>
    <mergeCell ref="JX261:JY261"/>
    <mergeCell ref="JZ261:KA261"/>
    <mergeCell ref="KB261:KC261"/>
    <mergeCell ref="KD261:KE261"/>
    <mergeCell ref="KF261:KG261"/>
    <mergeCell ref="KH261:KI261"/>
    <mergeCell ref="KJ261:KK261"/>
    <mergeCell ref="KL261:KM261"/>
    <mergeCell ref="KN261:KO261"/>
    <mergeCell ref="KP261:KQ261"/>
    <mergeCell ref="KR261:KS261"/>
    <mergeCell ref="KT261:KU261"/>
    <mergeCell ref="KV261:KW261"/>
    <mergeCell ref="KX261:KY261"/>
    <mergeCell ref="KZ261:LA261"/>
    <mergeCell ref="LB261:LC261"/>
    <mergeCell ref="LD261:LE261"/>
    <mergeCell ref="LF261:LG261"/>
    <mergeCell ref="LH261:LI261"/>
    <mergeCell ref="LJ261:LK261"/>
    <mergeCell ref="LL261:LM261"/>
    <mergeCell ref="LN261:LO261"/>
    <mergeCell ref="LP261:LQ261"/>
    <mergeCell ref="LR261:LS261"/>
    <mergeCell ref="LT261:LU261"/>
    <mergeCell ref="LV261:LW261"/>
    <mergeCell ref="LX261:LY261"/>
    <mergeCell ref="LZ261:MA261"/>
    <mergeCell ref="OP260:OQ260"/>
    <mergeCell ref="OR260:OS260"/>
    <mergeCell ref="OT260:OU260"/>
    <mergeCell ref="OV260:OW260"/>
    <mergeCell ref="OX260:OY260"/>
    <mergeCell ref="OZ260:PA260"/>
    <mergeCell ref="PB260:PC260"/>
    <mergeCell ref="PD260:PE260"/>
    <mergeCell ref="PF260:PG260"/>
    <mergeCell ref="PH260:PI260"/>
    <mergeCell ref="PJ260:PK260"/>
    <mergeCell ref="PL260:PM260"/>
    <mergeCell ref="PN260:PO260"/>
    <mergeCell ref="PP260:PQ260"/>
    <mergeCell ref="PR260:PS260"/>
    <mergeCell ref="PT260:PU260"/>
    <mergeCell ref="PV260:PW260"/>
    <mergeCell ref="PX260:PY260"/>
    <mergeCell ref="PZ260:QA260"/>
    <mergeCell ref="QB260:QC260"/>
    <mergeCell ref="QD260:QE260"/>
    <mergeCell ref="QF260:QG260"/>
    <mergeCell ref="QH260:QI260"/>
    <mergeCell ref="QJ260:QK260"/>
    <mergeCell ref="QL260:QM260"/>
    <mergeCell ref="QN260:QO260"/>
    <mergeCell ref="QP260:QQ260"/>
    <mergeCell ref="QR260:QS260"/>
    <mergeCell ref="QT260:QU260"/>
    <mergeCell ref="QV260:QW260"/>
    <mergeCell ref="QX260:QY260"/>
    <mergeCell ref="QZ260:RA260"/>
    <mergeCell ref="RB260:RC260"/>
    <mergeCell ref="MB260:MC260"/>
    <mergeCell ref="MD260:ME260"/>
    <mergeCell ref="MF260:MG260"/>
    <mergeCell ref="MH260:MI260"/>
    <mergeCell ref="MJ260:MK260"/>
    <mergeCell ref="ML260:MM260"/>
    <mergeCell ref="MN260:MO260"/>
    <mergeCell ref="MP260:MQ260"/>
    <mergeCell ref="MR260:MS260"/>
    <mergeCell ref="MT260:MU260"/>
    <mergeCell ref="MV260:MW260"/>
    <mergeCell ref="MX260:MY260"/>
    <mergeCell ref="MZ260:NA260"/>
    <mergeCell ref="NB260:NC260"/>
    <mergeCell ref="ND260:NE260"/>
    <mergeCell ref="NF260:NG260"/>
    <mergeCell ref="NH260:NI260"/>
    <mergeCell ref="NJ260:NK260"/>
    <mergeCell ref="NL260:NM260"/>
    <mergeCell ref="NN260:NO260"/>
    <mergeCell ref="NP260:NQ260"/>
    <mergeCell ref="NR260:NS260"/>
    <mergeCell ref="NT260:NU260"/>
    <mergeCell ref="NV260:NW260"/>
    <mergeCell ref="NX260:NY260"/>
    <mergeCell ref="NZ260:OA260"/>
    <mergeCell ref="OB260:OC260"/>
    <mergeCell ref="OD260:OE260"/>
    <mergeCell ref="OF260:OG260"/>
    <mergeCell ref="OH260:OI260"/>
    <mergeCell ref="OJ260:OK260"/>
    <mergeCell ref="OL260:OM260"/>
    <mergeCell ref="ON260:OO260"/>
    <mergeCell ref="JN260:JO260"/>
    <mergeCell ref="JP260:JQ260"/>
    <mergeCell ref="JR260:JS260"/>
    <mergeCell ref="JT260:JU260"/>
    <mergeCell ref="JV260:JW260"/>
    <mergeCell ref="JX260:JY260"/>
    <mergeCell ref="JZ260:KA260"/>
    <mergeCell ref="KB260:KC260"/>
    <mergeCell ref="KD260:KE260"/>
    <mergeCell ref="KF260:KG260"/>
    <mergeCell ref="KH260:KI260"/>
    <mergeCell ref="KJ260:KK260"/>
    <mergeCell ref="KL260:KM260"/>
    <mergeCell ref="KN260:KO260"/>
    <mergeCell ref="KP260:KQ260"/>
    <mergeCell ref="KR260:KS260"/>
    <mergeCell ref="KT260:KU260"/>
    <mergeCell ref="KV260:KW260"/>
    <mergeCell ref="KX260:KY260"/>
    <mergeCell ref="KZ260:LA260"/>
    <mergeCell ref="LB260:LC260"/>
    <mergeCell ref="LD260:LE260"/>
    <mergeCell ref="LF260:LG260"/>
    <mergeCell ref="LH260:LI260"/>
    <mergeCell ref="LJ260:LK260"/>
    <mergeCell ref="LL260:LM260"/>
    <mergeCell ref="LN260:LO260"/>
    <mergeCell ref="LP260:LQ260"/>
    <mergeCell ref="LR260:LS260"/>
    <mergeCell ref="LT260:LU260"/>
    <mergeCell ref="LV260:LW260"/>
    <mergeCell ref="LX260:LY260"/>
    <mergeCell ref="LZ260:MA260"/>
    <mergeCell ref="OP259:OQ259"/>
    <mergeCell ref="OR259:OS259"/>
    <mergeCell ref="OT259:OU259"/>
    <mergeCell ref="OV259:OW259"/>
    <mergeCell ref="OX259:OY259"/>
    <mergeCell ref="OZ259:PA259"/>
    <mergeCell ref="PB259:PC259"/>
    <mergeCell ref="PD259:PE259"/>
    <mergeCell ref="PF259:PG259"/>
    <mergeCell ref="PH259:PI259"/>
    <mergeCell ref="PJ259:PK259"/>
    <mergeCell ref="PL259:PM259"/>
    <mergeCell ref="PN259:PO259"/>
    <mergeCell ref="PP259:PQ259"/>
    <mergeCell ref="PR259:PS259"/>
    <mergeCell ref="PT259:PU259"/>
    <mergeCell ref="PV259:PW259"/>
    <mergeCell ref="PX259:PY259"/>
    <mergeCell ref="PZ259:QA259"/>
    <mergeCell ref="QB259:QC259"/>
    <mergeCell ref="QD259:QE259"/>
    <mergeCell ref="QF259:QG259"/>
    <mergeCell ref="QH259:QI259"/>
    <mergeCell ref="QJ259:QK259"/>
    <mergeCell ref="QL259:QM259"/>
    <mergeCell ref="QN259:QO259"/>
    <mergeCell ref="QP259:QQ259"/>
    <mergeCell ref="QR259:QS259"/>
    <mergeCell ref="QT259:QU259"/>
    <mergeCell ref="QV259:QW259"/>
    <mergeCell ref="QX259:QY259"/>
    <mergeCell ref="QZ259:RA259"/>
    <mergeCell ref="RB259:RC259"/>
    <mergeCell ref="MB259:MC259"/>
    <mergeCell ref="MD259:ME259"/>
    <mergeCell ref="MF259:MG259"/>
    <mergeCell ref="MH259:MI259"/>
    <mergeCell ref="MJ259:MK259"/>
    <mergeCell ref="ML259:MM259"/>
    <mergeCell ref="MN259:MO259"/>
    <mergeCell ref="MP259:MQ259"/>
    <mergeCell ref="MR259:MS259"/>
    <mergeCell ref="MT259:MU259"/>
    <mergeCell ref="MV259:MW259"/>
    <mergeCell ref="MX259:MY259"/>
    <mergeCell ref="MZ259:NA259"/>
    <mergeCell ref="NB259:NC259"/>
    <mergeCell ref="ND259:NE259"/>
    <mergeCell ref="NF259:NG259"/>
    <mergeCell ref="NH259:NI259"/>
    <mergeCell ref="NJ259:NK259"/>
    <mergeCell ref="NL259:NM259"/>
    <mergeCell ref="NN259:NO259"/>
    <mergeCell ref="NP259:NQ259"/>
    <mergeCell ref="NR259:NS259"/>
    <mergeCell ref="NT259:NU259"/>
    <mergeCell ref="NV259:NW259"/>
    <mergeCell ref="NX259:NY259"/>
    <mergeCell ref="NZ259:OA259"/>
    <mergeCell ref="OB259:OC259"/>
    <mergeCell ref="OD259:OE259"/>
    <mergeCell ref="OF259:OG259"/>
    <mergeCell ref="OH259:OI259"/>
    <mergeCell ref="OJ259:OK259"/>
    <mergeCell ref="OL259:OM259"/>
    <mergeCell ref="ON259:OO259"/>
    <mergeCell ref="JN259:JO259"/>
    <mergeCell ref="JP259:JQ259"/>
    <mergeCell ref="JR259:JS259"/>
    <mergeCell ref="JT259:JU259"/>
    <mergeCell ref="JV259:JW259"/>
    <mergeCell ref="JX259:JY259"/>
    <mergeCell ref="JZ259:KA259"/>
    <mergeCell ref="KB259:KC259"/>
    <mergeCell ref="KD259:KE259"/>
    <mergeCell ref="KF259:KG259"/>
    <mergeCell ref="KH259:KI259"/>
    <mergeCell ref="KJ259:KK259"/>
    <mergeCell ref="KL259:KM259"/>
    <mergeCell ref="KN259:KO259"/>
    <mergeCell ref="KP259:KQ259"/>
    <mergeCell ref="KR259:KS259"/>
    <mergeCell ref="KT259:KU259"/>
    <mergeCell ref="KV259:KW259"/>
    <mergeCell ref="KX259:KY259"/>
    <mergeCell ref="KZ259:LA259"/>
    <mergeCell ref="LB259:LC259"/>
    <mergeCell ref="LD259:LE259"/>
    <mergeCell ref="LF259:LG259"/>
    <mergeCell ref="LH259:LI259"/>
    <mergeCell ref="LJ259:LK259"/>
    <mergeCell ref="LL259:LM259"/>
    <mergeCell ref="LN259:LO259"/>
    <mergeCell ref="LP259:LQ259"/>
    <mergeCell ref="LR259:LS259"/>
    <mergeCell ref="LT259:LU259"/>
    <mergeCell ref="LV259:LW259"/>
    <mergeCell ref="LX259:LY259"/>
    <mergeCell ref="LZ259:MA259"/>
    <mergeCell ref="OP258:OQ258"/>
    <mergeCell ref="OR258:OS258"/>
    <mergeCell ref="OT258:OU258"/>
    <mergeCell ref="OV258:OW258"/>
    <mergeCell ref="OX258:OY258"/>
    <mergeCell ref="OZ258:PA258"/>
    <mergeCell ref="PB258:PC258"/>
    <mergeCell ref="PD258:PE258"/>
    <mergeCell ref="PF258:PG258"/>
    <mergeCell ref="PH258:PI258"/>
    <mergeCell ref="PJ258:PK258"/>
    <mergeCell ref="PL258:PM258"/>
    <mergeCell ref="PN258:PO258"/>
    <mergeCell ref="PP258:PQ258"/>
    <mergeCell ref="PR258:PS258"/>
    <mergeCell ref="PT258:PU258"/>
    <mergeCell ref="PV258:PW258"/>
    <mergeCell ref="PX258:PY258"/>
    <mergeCell ref="PZ258:QA258"/>
    <mergeCell ref="QB258:QC258"/>
    <mergeCell ref="QD258:QE258"/>
    <mergeCell ref="QF258:QG258"/>
    <mergeCell ref="QH258:QI258"/>
    <mergeCell ref="QJ258:QK258"/>
    <mergeCell ref="QL258:QM258"/>
    <mergeCell ref="QN258:QO258"/>
    <mergeCell ref="QP258:QQ258"/>
    <mergeCell ref="QR258:QS258"/>
    <mergeCell ref="QT258:QU258"/>
    <mergeCell ref="QV258:QW258"/>
    <mergeCell ref="QX258:QY258"/>
    <mergeCell ref="QZ258:RA258"/>
    <mergeCell ref="RB258:RC258"/>
    <mergeCell ref="MB258:MC258"/>
    <mergeCell ref="MD258:ME258"/>
    <mergeCell ref="MF258:MG258"/>
    <mergeCell ref="MH258:MI258"/>
    <mergeCell ref="MJ258:MK258"/>
    <mergeCell ref="ML258:MM258"/>
    <mergeCell ref="MN258:MO258"/>
    <mergeCell ref="MP258:MQ258"/>
    <mergeCell ref="MR258:MS258"/>
    <mergeCell ref="MT258:MU258"/>
    <mergeCell ref="MV258:MW258"/>
    <mergeCell ref="MX258:MY258"/>
    <mergeCell ref="MZ258:NA258"/>
    <mergeCell ref="NB258:NC258"/>
    <mergeCell ref="ND258:NE258"/>
    <mergeCell ref="NF258:NG258"/>
    <mergeCell ref="NH258:NI258"/>
    <mergeCell ref="NJ258:NK258"/>
    <mergeCell ref="NL258:NM258"/>
    <mergeCell ref="NN258:NO258"/>
    <mergeCell ref="NP258:NQ258"/>
    <mergeCell ref="NR258:NS258"/>
    <mergeCell ref="NT258:NU258"/>
    <mergeCell ref="NV258:NW258"/>
    <mergeCell ref="NX258:NY258"/>
    <mergeCell ref="NZ258:OA258"/>
    <mergeCell ref="OB258:OC258"/>
    <mergeCell ref="OD258:OE258"/>
    <mergeCell ref="OF258:OG258"/>
    <mergeCell ref="OH258:OI258"/>
    <mergeCell ref="OJ258:OK258"/>
    <mergeCell ref="OL258:OM258"/>
    <mergeCell ref="ON258:OO258"/>
    <mergeCell ref="JN258:JO258"/>
    <mergeCell ref="JP258:JQ258"/>
    <mergeCell ref="JR258:JS258"/>
    <mergeCell ref="JT258:JU258"/>
    <mergeCell ref="JV258:JW258"/>
    <mergeCell ref="JX258:JY258"/>
    <mergeCell ref="JZ258:KA258"/>
    <mergeCell ref="KB258:KC258"/>
    <mergeCell ref="KD258:KE258"/>
    <mergeCell ref="KF258:KG258"/>
    <mergeCell ref="KH258:KI258"/>
    <mergeCell ref="KJ258:KK258"/>
    <mergeCell ref="KL258:KM258"/>
    <mergeCell ref="KN258:KO258"/>
    <mergeCell ref="KP258:KQ258"/>
    <mergeCell ref="KR258:KS258"/>
    <mergeCell ref="KT258:KU258"/>
    <mergeCell ref="KV258:KW258"/>
    <mergeCell ref="KX258:KY258"/>
    <mergeCell ref="KZ258:LA258"/>
    <mergeCell ref="LB258:LC258"/>
    <mergeCell ref="LD258:LE258"/>
    <mergeCell ref="LF258:LG258"/>
    <mergeCell ref="LH258:LI258"/>
    <mergeCell ref="LJ258:LK258"/>
    <mergeCell ref="LL258:LM258"/>
    <mergeCell ref="LN258:LO258"/>
    <mergeCell ref="LP258:LQ258"/>
    <mergeCell ref="LR258:LS258"/>
    <mergeCell ref="LT258:LU258"/>
    <mergeCell ref="LV258:LW258"/>
    <mergeCell ref="LX258:LY258"/>
    <mergeCell ref="LZ258:MA258"/>
    <mergeCell ref="OP257:OQ257"/>
    <mergeCell ref="OR257:OS257"/>
    <mergeCell ref="OT257:OU257"/>
    <mergeCell ref="OV257:OW257"/>
    <mergeCell ref="OX257:OY257"/>
    <mergeCell ref="OZ257:PA257"/>
    <mergeCell ref="PB257:PC257"/>
    <mergeCell ref="PD257:PE257"/>
    <mergeCell ref="PF257:PG257"/>
    <mergeCell ref="PH257:PI257"/>
    <mergeCell ref="PJ257:PK257"/>
    <mergeCell ref="PL257:PM257"/>
    <mergeCell ref="PN257:PO257"/>
    <mergeCell ref="PP257:PQ257"/>
    <mergeCell ref="PR257:PS257"/>
    <mergeCell ref="PT257:PU257"/>
    <mergeCell ref="PV257:PW257"/>
    <mergeCell ref="PX257:PY257"/>
    <mergeCell ref="PZ257:QA257"/>
    <mergeCell ref="QB257:QC257"/>
    <mergeCell ref="QD257:QE257"/>
    <mergeCell ref="QF257:QG257"/>
    <mergeCell ref="QH257:QI257"/>
    <mergeCell ref="QJ257:QK257"/>
    <mergeCell ref="QL257:QM257"/>
    <mergeCell ref="QN257:QO257"/>
    <mergeCell ref="QP257:QQ257"/>
    <mergeCell ref="QR257:QS257"/>
    <mergeCell ref="QT257:QU257"/>
    <mergeCell ref="QV257:QW257"/>
    <mergeCell ref="QX257:QY257"/>
    <mergeCell ref="QZ257:RA257"/>
    <mergeCell ref="RB257:RC257"/>
    <mergeCell ref="MB257:MC257"/>
    <mergeCell ref="MD257:ME257"/>
    <mergeCell ref="MF257:MG257"/>
    <mergeCell ref="MH257:MI257"/>
    <mergeCell ref="MJ257:MK257"/>
    <mergeCell ref="ML257:MM257"/>
    <mergeCell ref="MN257:MO257"/>
    <mergeCell ref="MP257:MQ257"/>
    <mergeCell ref="MR257:MS257"/>
    <mergeCell ref="MT257:MU257"/>
    <mergeCell ref="MV257:MW257"/>
    <mergeCell ref="MX257:MY257"/>
    <mergeCell ref="MZ257:NA257"/>
    <mergeCell ref="NB257:NC257"/>
    <mergeCell ref="ND257:NE257"/>
    <mergeCell ref="NF257:NG257"/>
    <mergeCell ref="NH257:NI257"/>
    <mergeCell ref="NJ257:NK257"/>
    <mergeCell ref="NL257:NM257"/>
    <mergeCell ref="NN257:NO257"/>
    <mergeCell ref="NP257:NQ257"/>
    <mergeCell ref="NR257:NS257"/>
    <mergeCell ref="NT257:NU257"/>
    <mergeCell ref="NV257:NW257"/>
    <mergeCell ref="NX257:NY257"/>
    <mergeCell ref="NZ257:OA257"/>
    <mergeCell ref="OB257:OC257"/>
    <mergeCell ref="OD257:OE257"/>
    <mergeCell ref="OF257:OG257"/>
    <mergeCell ref="OH257:OI257"/>
    <mergeCell ref="OJ257:OK257"/>
    <mergeCell ref="OL257:OM257"/>
    <mergeCell ref="ON257:OO257"/>
    <mergeCell ref="JN257:JO257"/>
    <mergeCell ref="JP257:JQ257"/>
    <mergeCell ref="JR257:JS257"/>
    <mergeCell ref="JT257:JU257"/>
    <mergeCell ref="JV257:JW257"/>
    <mergeCell ref="JX257:JY257"/>
    <mergeCell ref="JZ257:KA257"/>
    <mergeCell ref="KB257:KC257"/>
    <mergeCell ref="KD257:KE257"/>
    <mergeCell ref="KF257:KG257"/>
    <mergeCell ref="KH257:KI257"/>
    <mergeCell ref="KJ257:KK257"/>
    <mergeCell ref="KL257:KM257"/>
    <mergeCell ref="KN257:KO257"/>
    <mergeCell ref="KP257:KQ257"/>
    <mergeCell ref="KR257:KS257"/>
    <mergeCell ref="KT257:KU257"/>
    <mergeCell ref="KV257:KW257"/>
    <mergeCell ref="KX257:KY257"/>
    <mergeCell ref="KZ257:LA257"/>
    <mergeCell ref="LB257:LC257"/>
    <mergeCell ref="LD257:LE257"/>
    <mergeCell ref="LF257:LG257"/>
    <mergeCell ref="LH257:LI257"/>
    <mergeCell ref="LJ257:LK257"/>
    <mergeCell ref="LL257:LM257"/>
    <mergeCell ref="LN257:LO257"/>
    <mergeCell ref="LP257:LQ257"/>
    <mergeCell ref="LR257:LS257"/>
    <mergeCell ref="LT257:LU257"/>
    <mergeCell ref="LV257:LW257"/>
    <mergeCell ref="LX257:LY257"/>
    <mergeCell ref="LZ257:MA257"/>
    <mergeCell ref="OP256:OQ256"/>
    <mergeCell ref="OR256:OS256"/>
    <mergeCell ref="OT256:OU256"/>
    <mergeCell ref="OV256:OW256"/>
    <mergeCell ref="OX256:OY256"/>
    <mergeCell ref="OZ256:PA256"/>
    <mergeCell ref="PB256:PC256"/>
    <mergeCell ref="PD256:PE256"/>
    <mergeCell ref="PF256:PG256"/>
    <mergeCell ref="PH256:PI256"/>
    <mergeCell ref="PJ256:PK256"/>
    <mergeCell ref="PL256:PM256"/>
    <mergeCell ref="PN256:PO256"/>
    <mergeCell ref="PP256:PQ256"/>
    <mergeCell ref="PR256:PS256"/>
    <mergeCell ref="PT256:PU256"/>
    <mergeCell ref="PV256:PW256"/>
    <mergeCell ref="PX256:PY256"/>
    <mergeCell ref="PZ256:QA256"/>
    <mergeCell ref="QB256:QC256"/>
    <mergeCell ref="QD256:QE256"/>
    <mergeCell ref="QF256:QG256"/>
    <mergeCell ref="QH256:QI256"/>
    <mergeCell ref="QJ256:QK256"/>
    <mergeCell ref="QL256:QM256"/>
    <mergeCell ref="QN256:QO256"/>
    <mergeCell ref="QP256:QQ256"/>
    <mergeCell ref="QR256:QS256"/>
    <mergeCell ref="QT256:QU256"/>
    <mergeCell ref="QV256:QW256"/>
    <mergeCell ref="QX256:QY256"/>
    <mergeCell ref="QZ256:RA256"/>
    <mergeCell ref="RB256:RC256"/>
    <mergeCell ref="MB256:MC256"/>
    <mergeCell ref="MD256:ME256"/>
    <mergeCell ref="MF256:MG256"/>
    <mergeCell ref="MH256:MI256"/>
    <mergeCell ref="MJ256:MK256"/>
    <mergeCell ref="ML256:MM256"/>
    <mergeCell ref="MN256:MO256"/>
    <mergeCell ref="MP256:MQ256"/>
    <mergeCell ref="MR256:MS256"/>
    <mergeCell ref="MT256:MU256"/>
    <mergeCell ref="MV256:MW256"/>
    <mergeCell ref="MX256:MY256"/>
    <mergeCell ref="MZ256:NA256"/>
    <mergeCell ref="NB256:NC256"/>
    <mergeCell ref="ND256:NE256"/>
    <mergeCell ref="NF256:NG256"/>
    <mergeCell ref="NH256:NI256"/>
    <mergeCell ref="NJ256:NK256"/>
    <mergeCell ref="NL256:NM256"/>
    <mergeCell ref="NN256:NO256"/>
    <mergeCell ref="NP256:NQ256"/>
    <mergeCell ref="NR256:NS256"/>
    <mergeCell ref="NT256:NU256"/>
    <mergeCell ref="NV256:NW256"/>
    <mergeCell ref="NX256:NY256"/>
    <mergeCell ref="NZ256:OA256"/>
    <mergeCell ref="OB256:OC256"/>
    <mergeCell ref="OD256:OE256"/>
    <mergeCell ref="OF256:OG256"/>
    <mergeCell ref="OH256:OI256"/>
    <mergeCell ref="OJ256:OK256"/>
    <mergeCell ref="OL256:OM256"/>
    <mergeCell ref="ON256:OO256"/>
    <mergeCell ref="JN256:JO256"/>
    <mergeCell ref="JP256:JQ256"/>
    <mergeCell ref="JR256:JS256"/>
    <mergeCell ref="JT256:JU256"/>
    <mergeCell ref="JV256:JW256"/>
    <mergeCell ref="JX256:JY256"/>
    <mergeCell ref="JZ256:KA256"/>
    <mergeCell ref="KB256:KC256"/>
    <mergeCell ref="KD256:KE256"/>
    <mergeCell ref="KF256:KG256"/>
    <mergeCell ref="KH256:KI256"/>
    <mergeCell ref="KJ256:KK256"/>
    <mergeCell ref="KL256:KM256"/>
    <mergeCell ref="KN256:KO256"/>
    <mergeCell ref="KP256:KQ256"/>
    <mergeCell ref="KR256:KS256"/>
    <mergeCell ref="KT256:KU256"/>
    <mergeCell ref="KV256:KW256"/>
    <mergeCell ref="KX256:KY256"/>
    <mergeCell ref="KZ256:LA256"/>
    <mergeCell ref="LB256:LC256"/>
    <mergeCell ref="LD256:LE256"/>
    <mergeCell ref="LF256:LG256"/>
    <mergeCell ref="LH256:LI256"/>
    <mergeCell ref="LJ256:LK256"/>
    <mergeCell ref="LL256:LM256"/>
    <mergeCell ref="LN256:LO256"/>
    <mergeCell ref="LP256:LQ256"/>
    <mergeCell ref="LR256:LS256"/>
    <mergeCell ref="LT256:LU256"/>
    <mergeCell ref="LV256:LW256"/>
    <mergeCell ref="LX256:LY256"/>
    <mergeCell ref="LZ256:MA256"/>
    <mergeCell ref="OP255:OQ255"/>
    <mergeCell ref="OR255:OS255"/>
    <mergeCell ref="OT255:OU255"/>
    <mergeCell ref="OV255:OW255"/>
    <mergeCell ref="OX255:OY255"/>
    <mergeCell ref="OZ255:PA255"/>
    <mergeCell ref="PB255:PC255"/>
    <mergeCell ref="PD255:PE255"/>
    <mergeCell ref="PF255:PG255"/>
    <mergeCell ref="PH255:PI255"/>
    <mergeCell ref="PJ255:PK255"/>
    <mergeCell ref="PL255:PM255"/>
    <mergeCell ref="PN255:PO255"/>
    <mergeCell ref="PP255:PQ255"/>
    <mergeCell ref="PR255:PS255"/>
    <mergeCell ref="PT255:PU255"/>
    <mergeCell ref="PV255:PW255"/>
    <mergeCell ref="PX255:PY255"/>
    <mergeCell ref="PZ255:QA255"/>
    <mergeCell ref="QB255:QC255"/>
    <mergeCell ref="QD255:QE255"/>
    <mergeCell ref="QF255:QG255"/>
    <mergeCell ref="QH255:QI255"/>
    <mergeCell ref="QJ255:QK255"/>
    <mergeCell ref="QL255:QM255"/>
    <mergeCell ref="QN255:QO255"/>
    <mergeCell ref="QP255:QQ255"/>
    <mergeCell ref="QR255:QS255"/>
    <mergeCell ref="QT255:QU255"/>
    <mergeCell ref="QV255:QW255"/>
    <mergeCell ref="QX255:QY255"/>
    <mergeCell ref="QZ255:RA255"/>
    <mergeCell ref="RB255:RC255"/>
    <mergeCell ref="MB255:MC255"/>
    <mergeCell ref="MD255:ME255"/>
    <mergeCell ref="MF255:MG255"/>
    <mergeCell ref="MH255:MI255"/>
    <mergeCell ref="MJ255:MK255"/>
    <mergeCell ref="ML255:MM255"/>
    <mergeCell ref="MN255:MO255"/>
    <mergeCell ref="MP255:MQ255"/>
    <mergeCell ref="MR255:MS255"/>
    <mergeCell ref="MT255:MU255"/>
    <mergeCell ref="MV255:MW255"/>
    <mergeCell ref="MX255:MY255"/>
    <mergeCell ref="MZ255:NA255"/>
    <mergeCell ref="NB255:NC255"/>
    <mergeCell ref="ND255:NE255"/>
    <mergeCell ref="NF255:NG255"/>
    <mergeCell ref="NH255:NI255"/>
    <mergeCell ref="NJ255:NK255"/>
    <mergeCell ref="NL255:NM255"/>
    <mergeCell ref="NN255:NO255"/>
    <mergeCell ref="NP255:NQ255"/>
    <mergeCell ref="NR255:NS255"/>
    <mergeCell ref="NT255:NU255"/>
    <mergeCell ref="NV255:NW255"/>
    <mergeCell ref="NX255:NY255"/>
    <mergeCell ref="NZ255:OA255"/>
    <mergeCell ref="OB255:OC255"/>
    <mergeCell ref="OD255:OE255"/>
    <mergeCell ref="OF255:OG255"/>
    <mergeCell ref="OH255:OI255"/>
    <mergeCell ref="OJ255:OK255"/>
    <mergeCell ref="OL255:OM255"/>
    <mergeCell ref="ON255:OO255"/>
    <mergeCell ref="JN255:JO255"/>
    <mergeCell ref="JP255:JQ255"/>
    <mergeCell ref="JR255:JS255"/>
    <mergeCell ref="JT255:JU255"/>
    <mergeCell ref="JV255:JW255"/>
    <mergeCell ref="JX255:JY255"/>
    <mergeCell ref="JZ255:KA255"/>
    <mergeCell ref="KB255:KC255"/>
    <mergeCell ref="KD255:KE255"/>
    <mergeCell ref="KF255:KG255"/>
    <mergeCell ref="KH255:KI255"/>
    <mergeCell ref="KJ255:KK255"/>
    <mergeCell ref="KL255:KM255"/>
    <mergeCell ref="KN255:KO255"/>
    <mergeCell ref="KP255:KQ255"/>
    <mergeCell ref="KR255:KS255"/>
    <mergeCell ref="KT255:KU255"/>
    <mergeCell ref="KV255:KW255"/>
    <mergeCell ref="KX255:KY255"/>
    <mergeCell ref="KZ255:LA255"/>
    <mergeCell ref="LB255:LC255"/>
    <mergeCell ref="LD255:LE255"/>
    <mergeCell ref="LF255:LG255"/>
    <mergeCell ref="LH255:LI255"/>
    <mergeCell ref="LJ255:LK255"/>
    <mergeCell ref="LL255:LM255"/>
    <mergeCell ref="LN255:LO255"/>
    <mergeCell ref="LP255:LQ255"/>
    <mergeCell ref="LR255:LS255"/>
    <mergeCell ref="LT255:LU255"/>
    <mergeCell ref="LV255:LW255"/>
    <mergeCell ref="LX255:LY255"/>
    <mergeCell ref="LZ255:MA255"/>
    <mergeCell ref="OP254:OQ254"/>
    <mergeCell ref="OR254:OS254"/>
    <mergeCell ref="OT254:OU254"/>
    <mergeCell ref="OV254:OW254"/>
    <mergeCell ref="OX254:OY254"/>
    <mergeCell ref="OZ254:PA254"/>
    <mergeCell ref="PB254:PC254"/>
    <mergeCell ref="PD254:PE254"/>
    <mergeCell ref="PF254:PG254"/>
    <mergeCell ref="PH254:PI254"/>
    <mergeCell ref="PJ254:PK254"/>
    <mergeCell ref="PL254:PM254"/>
    <mergeCell ref="PN254:PO254"/>
    <mergeCell ref="PP254:PQ254"/>
    <mergeCell ref="PR254:PS254"/>
    <mergeCell ref="PT254:PU254"/>
    <mergeCell ref="PV254:PW254"/>
    <mergeCell ref="PX254:PY254"/>
    <mergeCell ref="PZ254:QA254"/>
    <mergeCell ref="QB254:QC254"/>
    <mergeCell ref="QD254:QE254"/>
    <mergeCell ref="QF254:QG254"/>
    <mergeCell ref="QH254:QI254"/>
    <mergeCell ref="QJ254:QK254"/>
    <mergeCell ref="QL254:QM254"/>
    <mergeCell ref="QN254:QO254"/>
    <mergeCell ref="QP254:QQ254"/>
    <mergeCell ref="QR254:QS254"/>
    <mergeCell ref="QT254:QU254"/>
    <mergeCell ref="QV254:QW254"/>
    <mergeCell ref="QX254:QY254"/>
    <mergeCell ref="QZ254:RA254"/>
    <mergeCell ref="RB254:RC254"/>
    <mergeCell ref="MB254:MC254"/>
    <mergeCell ref="MD254:ME254"/>
    <mergeCell ref="MF254:MG254"/>
    <mergeCell ref="MH254:MI254"/>
    <mergeCell ref="MJ254:MK254"/>
    <mergeCell ref="ML254:MM254"/>
    <mergeCell ref="MN254:MO254"/>
    <mergeCell ref="MP254:MQ254"/>
    <mergeCell ref="MR254:MS254"/>
    <mergeCell ref="MT254:MU254"/>
    <mergeCell ref="MV254:MW254"/>
    <mergeCell ref="MX254:MY254"/>
    <mergeCell ref="MZ254:NA254"/>
    <mergeCell ref="NB254:NC254"/>
    <mergeCell ref="ND254:NE254"/>
    <mergeCell ref="NF254:NG254"/>
    <mergeCell ref="NH254:NI254"/>
    <mergeCell ref="NJ254:NK254"/>
    <mergeCell ref="NL254:NM254"/>
    <mergeCell ref="NN254:NO254"/>
    <mergeCell ref="NP254:NQ254"/>
    <mergeCell ref="NR254:NS254"/>
    <mergeCell ref="NT254:NU254"/>
    <mergeCell ref="NV254:NW254"/>
    <mergeCell ref="NX254:NY254"/>
    <mergeCell ref="NZ254:OA254"/>
    <mergeCell ref="OB254:OC254"/>
    <mergeCell ref="OD254:OE254"/>
    <mergeCell ref="OF254:OG254"/>
    <mergeCell ref="OH254:OI254"/>
    <mergeCell ref="OJ254:OK254"/>
    <mergeCell ref="OL254:OM254"/>
    <mergeCell ref="ON254:OO254"/>
    <mergeCell ref="JN254:JO254"/>
    <mergeCell ref="JP254:JQ254"/>
    <mergeCell ref="JR254:JS254"/>
    <mergeCell ref="JT254:JU254"/>
    <mergeCell ref="JV254:JW254"/>
    <mergeCell ref="JX254:JY254"/>
    <mergeCell ref="JZ254:KA254"/>
    <mergeCell ref="KB254:KC254"/>
    <mergeCell ref="KD254:KE254"/>
    <mergeCell ref="KF254:KG254"/>
    <mergeCell ref="KH254:KI254"/>
    <mergeCell ref="KJ254:KK254"/>
    <mergeCell ref="KL254:KM254"/>
    <mergeCell ref="KN254:KO254"/>
    <mergeCell ref="KP254:KQ254"/>
    <mergeCell ref="KR254:KS254"/>
    <mergeCell ref="KT254:KU254"/>
    <mergeCell ref="KV254:KW254"/>
    <mergeCell ref="KX254:KY254"/>
    <mergeCell ref="KZ254:LA254"/>
    <mergeCell ref="LB254:LC254"/>
    <mergeCell ref="LD254:LE254"/>
    <mergeCell ref="LF254:LG254"/>
    <mergeCell ref="LH254:LI254"/>
    <mergeCell ref="LJ254:LK254"/>
    <mergeCell ref="LL254:LM254"/>
    <mergeCell ref="LN254:LO254"/>
    <mergeCell ref="LP254:LQ254"/>
    <mergeCell ref="LR254:LS254"/>
    <mergeCell ref="LT254:LU254"/>
    <mergeCell ref="LV254:LW254"/>
    <mergeCell ref="LX254:LY254"/>
    <mergeCell ref="LZ254:MA254"/>
    <mergeCell ref="OP253:OQ253"/>
    <mergeCell ref="OR253:OS253"/>
    <mergeCell ref="OT253:OU253"/>
    <mergeCell ref="OV253:OW253"/>
    <mergeCell ref="OX253:OY253"/>
    <mergeCell ref="OZ253:PA253"/>
    <mergeCell ref="PB253:PC253"/>
    <mergeCell ref="PD253:PE253"/>
    <mergeCell ref="PF253:PG253"/>
    <mergeCell ref="PH253:PI253"/>
    <mergeCell ref="PJ253:PK253"/>
    <mergeCell ref="PL253:PM253"/>
    <mergeCell ref="PN253:PO253"/>
    <mergeCell ref="PP253:PQ253"/>
    <mergeCell ref="PR253:PS253"/>
    <mergeCell ref="PT253:PU253"/>
    <mergeCell ref="PV253:PW253"/>
    <mergeCell ref="PX253:PY253"/>
    <mergeCell ref="PZ253:QA253"/>
    <mergeCell ref="QB253:QC253"/>
    <mergeCell ref="QD253:QE253"/>
    <mergeCell ref="QF253:QG253"/>
    <mergeCell ref="QH253:QI253"/>
    <mergeCell ref="QJ253:QK253"/>
    <mergeCell ref="QL253:QM253"/>
    <mergeCell ref="QN253:QO253"/>
    <mergeCell ref="QP253:QQ253"/>
    <mergeCell ref="QR253:QS253"/>
    <mergeCell ref="QT253:QU253"/>
    <mergeCell ref="QV253:QW253"/>
    <mergeCell ref="QX253:QY253"/>
    <mergeCell ref="QZ253:RA253"/>
    <mergeCell ref="RB253:RC253"/>
    <mergeCell ref="MB253:MC253"/>
    <mergeCell ref="MD253:ME253"/>
    <mergeCell ref="MF253:MG253"/>
    <mergeCell ref="MH253:MI253"/>
    <mergeCell ref="MJ253:MK253"/>
    <mergeCell ref="ML253:MM253"/>
    <mergeCell ref="MN253:MO253"/>
    <mergeCell ref="MP253:MQ253"/>
    <mergeCell ref="MR253:MS253"/>
    <mergeCell ref="MT253:MU253"/>
    <mergeCell ref="MV253:MW253"/>
    <mergeCell ref="MX253:MY253"/>
    <mergeCell ref="MZ253:NA253"/>
    <mergeCell ref="NB253:NC253"/>
    <mergeCell ref="ND253:NE253"/>
    <mergeCell ref="NF253:NG253"/>
    <mergeCell ref="NH253:NI253"/>
    <mergeCell ref="NJ253:NK253"/>
    <mergeCell ref="NL253:NM253"/>
    <mergeCell ref="NN253:NO253"/>
    <mergeCell ref="NP253:NQ253"/>
    <mergeCell ref="NR253:NS253"/>
    <mergeCell ref="NT253:NU253"/>
    <mergeCell ref="NV253:NW253"/>
    <mergeCell ref="NX253:NY253"/>
    <mergeCell ref="NZ253:OA253"/>
    <mergeCell ref="OB253:OC253"/>
    <mergeCell ref="OD253:OE253"/>
    <mergeCell ref="OF253:OG253"/>
    <mergeCell ref="OH253:OI253"/>
    <mergeCell ref="OJ253:OK253"/>
    <mergeCell ref="OL253:OM253"/>
    <mergeCell ref="ON253:OO253"/>
    <mergeCell ref="JN253:JO253"/>
    <mergeCell ref="JP253:JQ253"/>
    <mergeCell ref="JR253:JS253"/>
    <mergeCell ref="JT253:JU253"/>
    <mergeCell ref="JV253:JW253"/>
    <mergeCell ref="JX253:JY253"/>
    <mergeCell ref="JZ253:KA253"/>
    <mergeCell ref="KB253:KC253"/>
    <mergeCell ref="KD253:KE253"/>
    <mergeCell ref="KF253:KG253"/>
    <mergeCell ref="KH253:KI253"/>
    <mergeCell ref="KJ253:KK253"/>
    <mergeCell ref="KL253:KM253"/>
    <mergeCell ref="KN253:KO253"/>
    <mergeCell ref="KP253:KQ253"/>
    <mergeCell ref="KR253:KS253"/>
    <mergeCell ref="KT253:KU253"/>
    <mergeCell ref="KV253:KW253"/>
    <mergeCell ref="KX253:KY253"/>
    <mergeCell ref="KZ253:LA253"/>
    <mergeCell ref="LB253:LC253"/>
    <mergeCell ref="LD253:LE253"/>
    <mergeCell ref="LF253:LG253"/>
    <mergeCell ref="LH253:LI253"/>
    <mergeCell ref="LJ253:LK253"/>
    <mergeCell ref="LL253:LM253"/>
    <mergeCell ref="LN253:LO253"/>
    <mergeCell ref="LP253:LQ253"/>
    <mergeCell ref="LR253:LS253"/>
    <mergeCell ref="LT253:LU253"/>
    <mergeCell ref="LV253:LW253"/>
    <mergeCell ref="LX253:LY253"/>
    <mergeCell ref="LZ253:MA253"/>
    <mergeCell ref="OP252:OQ252"/>
    <mergeCell ref="OR252:OS252"/>
    <mergeCell ref="OT252:OU252"/>
    <mergeCell ref="OV252:OW252"/>
    <mergeCell ref="OX252:OY252"/>
    <mergeCell ref="OZ252:PA252"/>
    <mergeCell ref="PB252:PC252"/>
    <mergeCell ref="PD252:PE252"/>
    <mergeCell ref="PF252:PG252"/>
    <mergeCell ref="PH252:PI252"/>
    <mergeCell ref="PJ252:PK252"/>
    <mergeCell ref="PL252:PM252"/>
    <mergeCell ref="PN252:PO252"/>
    <mergeCell ref="PP252:PQ252"/>
    <mergeCell ref="PR252:PS252"/>
    <mergeCell ref="PT252:PU252"/>
    <mergeCell ref="PV252:PW252"/>
    <mergeCell ref="PX252:PY252"/>
    <mergeCell ref="PZ252:QA252"/>
    <mergeCell ref="QB252:QC252"/>
    <mergeCell ref="QD252:QE252"/>
    <mergeCell ref="QF252:QG252"/>
    <mergeCell ref="QH252:QI252"/>
    <mergeCell ref="QJ252:QK252"/>
    <mergeCell ref="QL252:QM252"/>
    <mergeCell ref="QN252:QO252"/>
    <mergeCell ref="QP252:QQ252"/>
    <mergeCell ref="QR252:QS252"/>
    <mergeCell ref="QT252:QU252"/>
    <mergeCell ref="QV252:QW252"/>
    <mergeCell ref="QX252:QY252"/>
    <mergeCell ref="QZ252:RA252"/>
    <mergeCell ref="RB252:RC252"/>
    <mergeCell ref="MB252:MC252"/>
    <mergeCell ref="MD252:ME252"/>
    <mergeCell ref="MF252:MG252"/>
    <mergeCell ref="MH252:MI252"/>
    <mergeCell ref="MJ252:MK252"/>
    <mergeCell ref="ML252:MM252"/>
    <mergeCell ref="MN252:MO252"/>
    <mergeCell ref="MP252:MQ252"/>
    <mergeCell ref="MR252:MS252"/>
    <mergeCell ref="MT252:MU252"/>
    <mergeCell ref="MV252:MW252"/>
    <mergeCell ref="MX252:MY252"/>
    <mergeCell ref="MZ252:NA252"/>
    <mergeCell ref="NB252:NC252"/>
    <mergeCell ref="ND252:NE252"/>
    <mergeCell ref="NF252:NG252"/>
    <mergeCell ref="NH252:NI252"/>
    <mergeCell ref="NJ252:NK252"/>
    <mergeCell ref="NL252:NM252"/>
    <mergeCell ref="NN252:NO252"/>
    <mergeCell ref="NP252:NQ252"/>
    <mergeCell ref="NR252:NS252"/>
    <mergeCell ref="NT252:NU252"/>
    <mergeCell ref="NV252:NW252"/>
    <mergeCell ref="NX252:NY252"/>
    <mergeCell ref="NZ252:OA252"/>
    <mergeCell ref="OB252:OC252"/>
    <mergeCell ref="OD252:OE252"/>
    <mergeCell ref="OF252:OG252"/>
    <mergeCell ref="OH252:OI252"/>
    <mergeCell ref="OJ252:OK252"/>
    <mergeCell ref="OL252:OM252"/>
    <mergeCell ref="ON252:OO252"/>
    <mergeCell ref="JN252:JO252"/>
    <mergeCell ref="JP252:JQ252"/>
    <mergeCell ref="JR252:JS252"/>
    <mergeCell ref="JT252:JU252"/>
    <mergeCell ref="JV252:JW252"/>
    <mergeCell ref="JX252:JY252"/>
    <mergeCell ref="JZ252:KA252"/>
    <mergeCell ref="KB252:KC252"/>
    <mergeCell ref="KD252:KE252"/>
    <mergeCell ref="KF252:KG252"/>
    <mergeCell ref="KH252:KI252"/>
    <mergeCell ref="KJ252:KK252"/>
    <mergeCell ref="KL252:KM252"/>
    <mergeCell ref="KN252:KO252"/>
    <mergeCell ref="KP252:KQ252"/>
    <mergeCell ref="KR252:KS252"/>
    <mergeCell ref="KT252:KU252"/>
    <mergeCell ref="KV252:KW252"/>
    <mergeCell ref="KX252:KY252"/>
    <mergeCell ref="KZ252:LA252"/>
    <mergeCell ref="LB252:LC252"/>
    <mergeCell ref="LD252:LE252"/>
    <mergeCell ref="LF252:LG252"/>
    <mergeCell ref="LH252:LI252"/>
    <mergeCell ref="LJ252:LK252"/>
    <mergeCell ref="LL252:LM252"/>
    <mergeCell ref="LN252:LO252"/>
    <mergeCell ref="LP252:LQ252"/>
    <mergeCell ref="LR252:LS252"/>
    <mergeCell ref="LT252:LU252"/>
    <mergeCell ref="LV252:LW252"/>
    <mergeCell ref="LX252:LY252"/>
    <mergeCell ref="LZ252:MA252"/>
    <mergeCell ref="OP251:OQ251"/>
    <mergeCell ref="OR251:OS251"/>
    <mergeCell ref="OT251:OU251"/>
    <mergeCell ref="OV251:OW251"/>
    <mergeCell ref="OX251:OY251"/>
    <mergeCell ref="OZ251:PA251"/>
    <mergeCell ref="PB251:PC251"/>
    <mergeCell ref="PD251:PE251"/>
    <mergeCell ref="PF251:PG251"/>
    <mergeCell ref="PH251:PI251"/>
    <mergeCell ref="PJ251:PK251"/>
    <mergeCell ref="PL251:PM251"/>
    <mergeCell ref="PN251:PO251"/>
    <mergeCell ref="PP251:PQ251"/>
    <mergeCell ref="PR251:PS251"/>
    <mergeCell ref="PT251:PU251"/>
    <mergeCell ref="PV251:PW251"/>
    <mergeCell ref="PX251:PY251"/>
    <mergeCell ref="PZ251:QA251"/>
    <mergeCell ref="QB251:QC251"/>
    <mergeCell ref="QD251:QE251"/>
    <mergeCell ref="QF251:QG251"/>
    <mergeCell ref="QH251:QI251"/>
    <mergeCell ref="QJ251:QK251"/>
    <mergeCell ref="QL251:QM251"/>
    <mergeCell ref="QN251:QO251"/>
    <mergeCell ref="QP251:QQ251"/>
    <mergeCell ref="QR251:QS251"/>
    <mergeCell ref="QT251:QU251"/>
    <mergeCell ref="QV251:QW251"/>
    <mergeCell ref="QX251:QY251"/>
    <mergeCell ref="QZ251:RA251"/>
    <mergeCell ref="RB251:RC251"/>
    <mergeCell ref="MB251:MC251"/>
    <mergeCell ref="MD251:ME251"/>
    <mergeCell ref="MF251:MG251"/>
    <mergeCell ref="MH251:MI251"/>
    <mergeCell ref="MJ251:MK251"/>
    <mergeCell ref="ML251:MM251"/>
    <mergeCell ref="MN251:MO251"/>
    <mergeCell ref="MP251:MQ251"/>
    <mergeCell ref="MR251:MS251"/>
    <mergeCell ref="MT251:MU251"/>
    <mergeCell ref="MV251:MW251"/>
    <mergeCell ref="MX251:MY251"/>
    <mergeCell ref="MZ251:NA251"/>
    <mergeCell ref="NB251:NC251"/>
    <mergeCell ref="ND251:NE251"/>
    <mergeCell ref="NF251:NG251"/>
    <mergeCell ref="NH251:NI251"/>
    <mergeCell ref="NJ251:NK251"/>
    <mergeCell ref="NL251:NM251"/>
    <mergeCell ref="NN251:NO251"/>
    <mergeCell ref="NP251:NQ251"/>
    <mergeCell ref="NR251:NS251"/>
    <mergeCell ref="NT251:NU251"/>
    <mergeCell ref="NV251:NW251"/>
    <mergeCell ref="NX251:NY251"/>
    <mergeCell ref="NZ251:OA251"/>
    <mergeCell ref="OB251:OC251"/>
    <mergeCell ref="OD251:OE251"/>
    <mergeCell ref="OF251:OG251"/>
    <mergeCell ref="OH251:OI251"/>
    <mergeCell ref="OJ251:OK251"/>
    <mergeCell ref="OL251:OM251"/>
    <mergeCell ref="ON251:OO251"/>
    <mergeCell ref="JN251:JO251"/>
    <mergeCell ref="JP251:JQ251"/>
    <mergeCell ref="JR251:JS251"/>
    <mergeCell ref="JT251:JU251"/>
    <mergeCell ref="JV251:JW251"/>
    <mergeCell ref="JX251:JY251"/>
    <mergeCell ref="JZ251:KA251"/>
    <mergeCell ref="KB251:KC251"/>
    <mergeCell ref="KD251:KE251"/>
    <mergeCell ref="KF251:KG251"/>
    <mergeCell ref="KH251:KI251"/>
    <mergeCell ref="KJ251:KK251"/>
    <mergeCell ref="KL251:KM251"/>
    <mergeCell ref="KN251:KO251"/>
    <mergeCell ref="KP251:KQ251"/>
    <mergeCell ref="KR251:KS251"/>
    <mergeCell ref="KT251:KU251"/>
    <mergeCell ref="KV251:KW251"/>
    <mergeCell ref="KX251:KY251"/>
    <mergeCell ref="KZ251:LA251"/>
    <mergeCell ref="LB251:LC251"/>
    <mergeCell ref="LD251:LE251"/>
    <mergeCell ref="LF251:LG251"/>
    <mergeCell ref="LH251:LI251"/>
    <mergeCell ref="LJ251:LK251"/>
    <mergeCell ref="LL251:LM251"/>
    <mergeCell ref="LN251:LO251"/>
    <mergeCell ref="LP251:LQ251"/>
    <mergeCell ref="LR251:LS251"/>
    <mergeCell ref="LT251:LU251"/>
    <mergeCell ref="LV251:LW251"/>
    <mergeCell ref="LX251:LY251"/>
    <mergeCell ref="LZ251:MA251"/>
    <mergeCell ref="OP250:OQ250"/>
    <mergeCell ref="OR250:OS250"/>
    <mergeCell ref="OT250:OU250"/>
    <mergeCell ref="OV250:OW250"/>
    <mergeCell ref="OX250:OY250"/>
    <mergeCell ref="OZ250:PA250"/>
    <mergeCell ref="PB250:PC250"/>
    <mergeCell ref="PD250:PE250"/>
    <mergeCell ref="PF250:PG250"/>
    <mergeCell ref="PH250:PI250"/>
    <mergeCell ref="PJ250:PK250"/>
    <mergeCell ref="PL250:PM250"/>
    <mergeCell ref="PN250:PO250"/>
    <mergeCell ref="PP250:PQ250"/>
    <mergeCell ref="PR250:PS250"/>
    <mergeCell ref="PT250:PU250"/>
    <mergeCell ref="PV250:PW250"/>
    <mergeCell ref="PX250:PY250"/>
    <mergeCell ref="PZ250:QA250"/>
    <mergeCell ref="QB250:QC250"/>
    <mergeCell ref="QD250:QE250"/>
    <mergeCell ref="QF250:QG250"/>
    <mergeCell ref="QH250:QI250"/>
    <mergeCell ref="QJ250:QK250"/>
    <mergeCell ref="QL250:QM250"/>
    <mergeCell ref="QN250:QO250"/>
    <mergeCell ref="QP250:QQ250"/>
    <mergeCell ref="QR250:QS250"/>
    <mergeCell ref="QT250:QU250"/>
    <mergeCell ref="QV250:QW250"/>
    <mergeCell ref="QX250:QY250"/>
    <mergeCell ref="QZ250:RA250"/>
    <mergeCell ref="RB250:RC250"/>
    <mergeCell ref="MB250:MC250"/>
    <mergeCell ref="MD250:ME250"/>
    <mergeCell ref="MF250:MG250"/>
    <mergeCell ref="MH250:MI250"/>
    <mergeCell ref="MJ250:MK250"/>
    <mergeCell ref="ML250:MM250"/>
    <mergeCell ref="MN250:MO250"/>
    <mergeCell ref="MP250:MQ250"/>
    <mergeCell ref="MR250:MS250"/>
    <mergeCell ref="MT250:MU250"/>
    <mergeCell ref="MV250:MW250"/>
    <mergeCell ref="MX250:MY250"/>
    <mergeCell ref="MZ250:NA250"/>
    <mergeCell ref="NB250:NC250"/>
    <mergeCell ref="ND250:NE250"/>
    <mergeCell ref="NF250:NG250"/>
    <mergeCell ref="NH250:NI250"/>
    <mergeCell ref="NJ250:NK250"/>
    <mergeCell ref="NL250:NM250"/>
    <mergeCell ref="NN250:NO250"/>
    <mergeCell ref="NP250:NQ250"/>
    <mergeCell ref="NR250:NS250"/>
    <mergeCell ref="NT250:NU250"/>
    <mergeCell ref="NV250:NW250"/>
    <mergeCell ref="NX250:NY250"/>
    <mergeCell ref="NZ250:OA250"/>
    <mergeCell ref="OB250:OC250"/>
    <mergeCell ref="OD250:OE250"/>
    <mergeCell ref="OF250:OG250"/>
    <mergeCell ref="OH250:OI250"/>
    <mergeCell ref="OJ250:OK250"/>
    <mergeCell ref="OL250:OM250"/>
    <mergeCell ref="ON250:OO250"/>
    <mergeCell ref="JN250:JO250"/>
    <mergeCell ref="JP250:JQ250"/>
    <mergeCell ref="JR250:JS250"/>
    <mergeCell ref="JT250:JU250"/>
    <mergeCell ref="JV250:JW250"/>
    <mergeCell ref="JX250:JY250"/>
    <mergeCell ref="JZ250:KA250"/>
    <mergeCell ref="KB250:KC250"/>
    <mergeCell ref="KD250:KE250"/>
    <mergeCell ref="KF250:KG250"/>
    <mergeCell ref="KH250:KI250"/>
    <mergeCell ref="KJ250:KK250"/>
    <mergeCell ref="KL250:KM250"/>
    <mergeCell ref="KN250:KO250"/>
    <mergeCell ref="KP250:KQ250"/>
    <mergeCell ref="KR250:KS250"/>
    <mergeCell ref="KT250:KU250"/>
    <mergeCell ref="KV250:KW250"/>
    <mergeCell ref="KX250:KY250"/>
    <mergeCell ref="KZ250:LA250"/>
    <mergeCell ref="LB250:LC250"/>
    <mergeCell ref="LD250:LE250"/>
    <mergeCell ref="LF250:LG250"/>
    <mergeCell ref="LH250:LI250"/>
    <mergeCell ref="LJ250:LK250"/>
    <mergeCell ref="LL250:LM250"/>
    <mergeCell ref="LN250:LO250"/>
    <mergeCell ref="LP250:LQ250"/>
    <mergeCell ref="LR250:LS250"/>
    <mergeCell ref="LT250:LU250"/>
    <mergeCell ref="LV250:LW250"/>
    <mergeCell ref="LX250:LY250"/>
    <mergeCell ref="LZ250:MA250"/>
    <mergeCell ref="OP249:OQ249"/>
    <mergeCell ref="OR249:OS249"/>
    <mergeCell ref="OT249:OU249"/>
    <mergeCell ref="OV249:OW249"/>
    <mergeCell ref="OX249:OY249"/>
    <mergeCell ref="OZ249:PA249"/>
    <mergeCell ref="PB249:PC249"/>
    <mergeCell ref="PD249:PE249"/>
    <mergeCell ref="PF249:PG249"/>
    <mergeCell ref="PH249:PI249"/>
    <mergeCell ref="PJ249:PK249"/>
    <mergeCell ref="PL249:PM249"/>
    <mergeCell ref="PN249:PO249"/>
    <mergeCell ref="PP249:PQ249"/>
    <mergeCell ref="PR249:PS249"/>
    <mergeCell ref="PT249:PU249"/>
    <mergeCell ref="PV249:PW249"/>
    <mergeCell ref="PX249:PY249"/>
    <mergeCell ref="PZ249:QA249"/>
    <mergeCell ref="QB249:QC249"/>
    <mergeCell ref="QD249:QE249"/>
    <mergeCell ref="QF249:QG249"/>
    <mergeCell ref="QH249:QI249"/>
    <mergeCell ref="QJ249:QK249"/>
    <mergeCell ref="QL249:QM249"/>
    <mergeCell ref="QN249:QO249"/>
    <mergeCell ref="QP249:QQ249"/>
    <mergeCell ref="QR249:QS249"/>
    <mergeCell ref="QT249:QU249"/>
    <mergeCell ref="QV249:QW249"/>
    <mergeCell ref="QX249:QY249"/>
    <mergeCell ref="QZ249:RA249"/>
    <mergeCell ref="RB249:RC249"/>
    <mergeCell ref="MB249:MC249"/>
    <mergeCell ref="MD249:ME249"/>
    <mergeCell ref="MF249:MG249"/>
    <mergeCell ref="MH249:MI249"/>
    <mergeCell ref="MJ249:MK249"/>
    <mergeCell ref="ML249:MM249"/>
    <mergeCell ref="MN249:MO249"/>
    <mergeCell ref="MP249:MQ249"/>
    <mergeCell ref="MR249:MS249"/>
    <mergeCell ref="MT249:MU249"/>
    <mergeCell ref="MV249:MW249"/>
    <mergeCell ref="MX249:MY249"/>
    <mergeCell ref="MZ249:NA249"/>
    <mergeCell ref="NB249:NC249"/>
    <mergeCell ref="ND249:NE249"/>
    <mergeCell ref="NF249:NG249"/>
    <mergeCell ref="NH249:NI249"/>
    <mergeCell ref="NJ249:NK249"/>
    <mergeCell ref="NL249:NM249"/>
    <mergeCell ref="NN249:NO249"/>
    <mergeCell ref="NP249:NQ249"/>
    <mergeCell ref="NR249:NS249"/>
    <mergeCell ref="NT249:NU249"/>
    <mergeCell ref="NV249:NW249"/>
    <mergeCell ref="NX249:NY249"/>
    <mergeCell ref="NZ249:OA249"/>
    <mergeCell ref="OB249:OC249"/>
    <mergeCell ref="OD249:OE249"/>
    <mergeCell ref="OF249:OG249"/>
    <mergeCell ref="OH249:OI249"/>
    <mergeCell ref="OJ249:OK249"/>
    <mergeCell ref="OL249:OM249"/>
    <mergeCell ref="ON249:OO249"/>
    <mergeCell ref="JN249:JO249"/>
    <mergeCell ref="JP249:JQ249"/>
    <mergeCell ref="JR249:JS249"/>
    <mergeCell ref="JT249:JU249"/>
    <mergeCell ref="JV249:JW249"/>
    <mergeCell ref="JX249:JY249"/>
    <mergeCell ref="JZ249:KA249"/>
    <mergeCell ref="KB249:KC249"/>
    <mergeCell ref="KD249:KE249"/>
    <mergeCell ref="KF249:KG249"/>
    <mergeCell ref="KH249:KI249"/>
    <mergeCell ref="KJ249:KK249"/>
    <mergeCell ref="KL249:KM249"/>
    <mergeCell ref="KN249:KO249"/>
    <mergeCell ref="KP249:KQ249"/>
    <mergeCell ref="KR249:KS249"/>
    <mergeCell ref="KT249:KU249"/>
    <mergeCell ref="KV249:KW249"/>
    <mergeCell ref="KX249:KY249"/>
    <mergeCell ref="KZ249:LA249"/>
    <mergeCell ref="LB249:LC249"/>
    <mergeCell ref="LD249:LE249"/>
    <mergeCell ref="LF249:LG249"/>
    <mergeCell ref="LH249:LI249"/>
    <mergeCell ref="LJ249:LK249"/>
    <mergeCell ref="LL249:LM249"/>
    <mergeCell ref="LN249:LO249"/>
    <mergeCell ref="LP249:LQ249"/>
    <mergeCell ref="LR249:LS249"/>
    <mergeCell ref="LT249:LU249"/>
    <mergeCell ref="LV249:LW249"/>
    <mergeCell ref="LX249:LY249"/>
    <mergeCell ref="LZ249:MA249"/>
    <mergeCell ref="OP248:OQ248"/>
    <mergeCell ref="OR248:OS248"/>
    <mergeCell ref="OT248:OU248"/>
    <mergeCell ref="OV248:OW248"/>
    <mergeCell ref="OX248:OY248"/>
    <mergeCell ref="OZ248:PA248"/>
    <mergeCell ref="PB248:PC248"/>
    <mergeCell ref="PD248:PE248"/>
    <mergeCell ref="PF248:PG248"/>
    <mergeCell ref="PH248:PI248"/>
    <mergeCell ref="PJ248:PK248"/>
    <mergeCell ref="PL248:PM248"/>
    <mergeCell ref="PN248:PO248"/>
    <mergeCell ref="PP248:PQ248"/>
    <mergeCell ref="PR248:PS248"/>
    <mergeCell ref="PT248:PU248"/>
    <mergeCell ref="PV248:PW248"/>
    <mergeCell ref="PX248:PY248"/>
    <mergeCell ref="PZ248:QA248"/>
    <mergeCell ref="QB248:QC248"/>
    <mergeCell ref="QD248:QE248"/>
    <mergeCell ref="QF248:QG248"/>
    <mergeCell ref="QH248:QI248"/>
    <mergeCell ref="QJ248:QK248"/>
    <mergeCell ref="QL248:QM248"/>
    <mergeCell ref="QN248:QO248"/>
    <mergeCell ref="QP248:QQ248"/>
    <mergeCell ref="QR248:QS248"/>
    <mergeCell ref="QT248:QU248"/>
    <mergeCell ref="QV248:QW248"/>
    <mergeCell ref="QX248:QY248"/>
    <mergeCell ref="QZ248:RA248"/>
    <mergeCell ref="RB248:RC248"/>
    <mergeCell ref="MB248:MC248"/>
    <mergeCell ref="MD248:ME248"/>
    <mergeCell ref="MF248:MG248"/>
    <mergeCell ref="MH248:MI248"/>
    <mergeCell ref="MJ248:MK248"/>
    <mergeCell ref="ML248:MM248"/>
    <mergeCell ref="MN248:MO248"/>
    <mergeCell ref="MP248:MQ248"/>
    <mergeCell ref="MR248:MS248"/>
    <mergeCell ref="MT248:MU248"/>
    <mergeCell ref="MV248:MW248"/>
    <mergeCell ref="MX248:MY248"/>
    <mergeCell ref="MZ248:NA248"/>
    <mergeCell ref="NB248:NC248"/>
    <mergeCell ref="ND248:NE248"/>
    <mergeCell ref="NF248:NG248"/>
    <mergeCell ref="NH248:NI248"/>
    <mergeCell ref="NJ248:NK248"/>
    <mergeCell ref="NL248:NM248"/>
    <mergeCell ref="NN248:NO248"/>
    <mergeCell ref="NP248:NQ248"/>
    <mergeCell ref="NR248:NS248"/>
    <mergeCell ref="NT248:NU248"/>
    <mergeCell ref="NV248:NW248"/>
    <mergeCell ref="NX248:NY248"/>
    <mergeCell ref="NZ248:OA248"/>
    <mergeCell ref="OB248:OC248"/>
    <mergeCell ref="OD248:OE248"/>
    <mergeCell ref="OF248:OG248"/>
    <mergeCell ref="OH248:OI248"/>
    <mergeCell ref="OJ248:OK248"/>
    <mergeCell ref="OL248:OM248"/>
    <mergeCell ref="ON248:OO248"/>
    <mergeCell ref="JN248:JO248"/>
    <mergeCell ref="JP248:JQ248"/>
    <mergeCell ref="JR248:JS248"/>
    <mergeCell ref="JT248:JU248"/>
    <mergeCell ref="JV248:JW248"/>
    <mergeCell ref="JX248:JY248"/>
    <mergeCell ref="JZ248:KA248"/>
    <mergeCell ref="KB248:KC248"/>
    <mergeCell ref="KD248:KE248"/>
    <mergeCell ref="KF248:KG248"/>
    <mergeCell ref="KH248:KI248"/>
    <mergeCell ref="KJ248:KK248"/>
    <mergeCell ref="KL248:KM248"/>
    <mergeCell ref="KN248:KO248"/>
    <mergeCell ref="KP248:KQ248"/>
    <mergeCell ref="KR248:KS248"/>
    <mergeCell ref="KT248:KU248"/>
    <mergeCell ref="KV248:KW248"/>
    <mergeCell ref="KX248:KY248"/>
    <mergeCell ref="KZ248:LA248"/>
    <mergeCell ref="LB248:LC248"/>
    <mergeCell ref="LD248:LE248"/>
    <mergeCell ref="LF248:LG248"/>
    <mergeCell ref="LH248:LI248"/>
    <mergeCell ref="LJ248:LK248"/>
    <mergeCell ref="LL248:LM248"/>
    <mergeCell ref="LN248:LO248"/>
    <mergeCell ref="LP248:LQ248"/>
    <mergeCell ref="LR248:LS248"/>
    <mergeCell ref="LT248:LU248"/>
    <mergeCell ref="LV248:LW248"/>
    <mergeCell ref="LX248:LY248"/>
    <mergeCell ref="LZ248:MA248"/>
    <mergeCell ref="OP247:OQ247"/>
    <mergeCell ref="OR247:OS247"/>
    <mergeCell ref="OT247:OU247"/>
    <mergeCell ref="OV247:OW247"/>
    <mergeCell ref="OX247:OY247"/>
    <mergeCell ref="OZ247:PA247"/>
    <mergeCell ref="PB247:PC247"/>
    <mergeCell ref="PD247:PE247"/>
    <mergeCell ref="PF247:PG247"/>
    <mergeCell ref="PH247:PI247"/>
    <mergeCell ref="PJ247:PK247"/>
    <mergeCell ref="PL247:PM247"/>
    <mergeCell ref="PN247:PO247"/>
    <mergeCell ref="PP247:PQ247"/>
    <mergeCell ref="PR247:PS247"/>
    <mergeCell ref="PT247:PU247"/>
    <mergeCell ref="PV247:PW247"/>
    <mergeCell ref="PX247:PY247"/>
    <mergeCell ref="PZ247:QA247"/>
    <mergeCell ref="QB247:QC247"/>
    <mergeCell ref="QD247:QE247"/>
    <mergeCell ref="QF247:QG247"/>
    <mergeCell ref="QH247:QI247"/>
    <mergeCell ref="QJ247:QK247"/>
    <mergeCell ref="QL247:QM247"/>
    <mergeCell ref="QN247:QO247"/>
    <mergeCell ref="QP247:QQ247"/>
    <mergeCell ref="QR247:QS247"/>
    <mergeCell ref="QT247:QU247"/>
    <mergeCell ref="QV247:QW247"/>
    <mergeCell ref="QX247:QY247"/>
    <mergeCell ref="QZ247:RA247"/>
    <mergeCell ref="RB247:RC247"/>
    <mergeCell ref="MB247:MC247"/>
    <mergeCell ref="MD247:ME247"/>
    <mergeCell ref="MF247:MG247"/>
    <mergeCell ref="MH247:MI247"/>
    <mergeCell ref="MJ247:MK247"/>
    <mergeCell ref="ML247:MM247"/>
    <mergeCell ref="MN247:MO247"/>
    <mergeCell ref="MP247:MQ247"/>
    <mergeCell ref="MR247:MS247"/>
    <mergeCell ref="MT247:MU247"/>
    <mergeCell ref="MV247:MW247"/>
    <mergeCell ref="MX247:MY247"/>
    <mergeCell ref="MZ247:NA247"/>
    <mergeCell ref="NB247:NC247"/>
    <mergeCell ref="ND247:NE247"/>
    <mergeCell ref="NF247:NG247"/>
    <mergeCell ref="NH247:NI247"/>
    <mergeCell ref="NJ247:NK247"/>
    <mergeCell ref="NL247:NM247"/>
    <mergeCell ref="NN247:NO247"/>
    <mergeCell ref="NP247:NQ247"/>
    <mergeCell ref="NR247:NS247"/>
    <mergeCell ref="NT247:NU247"/>
    <mergeCell ref="NV247:NW247"/>
    <mergeCell ref="NX247:NY247"/>
    <mergeCell ref="NZ247:OA247"/>
    <mergeCell ref="OB247:OC247"/>
    <mergeCell ref="OD247:OE247"/>
    <mergeCell ref="OF247:OG247"/>
    <mergeCell ref="OH247:OI247"/>
    <mergeCell ref="OJ247:OK247"/>
    <mergeCell ref="OL247:OM247"/>
    <mergeCell ref="ON247:OO247"/>
    <mergeCell ref="JN247:JO247"/>
    <mergeCell ref="JP247:JQ247"/>
    <mergeCell ref="JR247:JS247"/>
    <mergeCell ref="JT247:JU247"/>
    <mergeCell ref="JV247:JW247"/>
    <mergeCell ref="JX247:JY247"/>
    <mergeCell ref="JZ247:KA247"/>
    <mergeCell ref="KB247:KC247"/>
    <mergeCell ref="KD247:KE247"/>
    <mergeCell ref="KF247:KG247"/>
    <mergeCell ref="KH247:KI247"/>
    <mergeCell ref="KJ247:KK247"/>
    <mergeCell ref="KL247:KM247"/>
    <mergeCell ref="KN247:KO247"/>
    <mergeCell ref="KP247:KQ247"/>
    <mergeCell ref="KR247:KS247"/>
    <mergeCell ref="KT247:KU247"/>
    <mergeCell ref="KV247:KW247"/>
    <mergeCell ref="KX247:KY247"/>
    <mergeCell ref="KZ247:LA247"/>
    <mergeCell ref="LB247:LC247"/>
    <mergeCell ref="LD247:LE247"/>
    <mergeCell ref="LF247:LG247"/>
    <mergeCell ref="LH247:LI247"/>
    <mergeCell ref="LJ247:LK247"/>
    <mergeCell ref="LL247:LM247"/>
    <mergeCell ref="LN247:LO247"/>
    <mergeCell ref="LP247:LQ247"/>
    <mergeCell ref="LR247:LS247"/>
    <mergeCell ref="LT247:LU247"/>
    <mergeCell ref="LV247:LW247"/>
    <mergeCell ref="LX247:LY247"/>
    <mergeCell ref="LZ247:MA247"/>
    <mergeCell ref="OP246:OQ246"/>
    <mergeCell ref="OR246:OS246"/>
    <mergeCell ref="OT246:OU246"/>
    <mergeCell ref="OV246:OW246"/>
    <mergeCell ref="OX246:OY246"/>
    <mergeCell ref="OZ246:PA246"/>
    <mergeCell ref="PB246:PC246"/>
    <mergeCell ref="PD246:PE246"/>
    <mergeCell ref="PF246:PG246"/>
    <mergeCell ref="PH246:PI246"/>
    <mergeCell ref="PJ246:PK246"/>
    <mergeCell ref="PL246:PM246"/>
    <mergeCell ref="PN246:PO246"/>
    <mergeCell ref="PP246:PQ246"/>
    <mergeCell ref="PR246:PS246"/>
    <mergeCell ref="PT246:PU246"/>
    <mergeCell ref="PV246:PW246"/>
    <mergeCell ref="PX246:PY246"/>
    <mergeCell ref="PZ246:QA246"/>
    <mergeCell ref="QB246:QC246"/>
    <mergeCell ref="QD246:QE246"/>
    <mergeCell ref="QF246:QG246"/>
    <mergeCell ref="QH246:QI246"/>
    <mergeCell ref="QJ246:QK246"/>
    <mergeCell ref="QL246:QM246"/>
    <mergeCell ref="QN246:QO246"/>
    <mergeCell ref="QP246:QQ246"/>
    <mergeCell ref="QR246:QS246"/>
    <mergeCell ref="QT246:QU246"/>
    <mergeCell ref="QV246:QW246"/>
    <mergeCell ref="QX246:QY246"/>
    <mergeCell ref="QZ246:RA246"/>
    <mergeCell ref="RB246:RC246"/>
    <mergeCell ref="MB246:MC246"/>
    <mergeCell ref="MD246:ME246"/>
    <mergeCell ref="MF246:MG246"/>
    <mergeCell ref="MH246:MI246"/>
    <mergeCell ref="MJ246:MK246"/>
    <mergeCell ref="ML246:MM246"/>
    <mergeCell ref="MN246:MO246"/>
    <mergeCell ref="MP246:MQ246"/>
    <mergeCell ref="MR246:MS246"/>
    <mergeCell ref="MT246:MU246"/>
    <mergeCell ref="MV246:MW246"/>
    <mergeCell ref="MX246:MY246"/>
    <mergeCell ref="MZ246:NA246"/>
    <mergeCell ref="NB246:NC246"/>
    <mergeCell ref="ND246:NE246"/>
    <mergeCell ref="NF246:NG246"/>
    <mergeCell ref="NH246:NI246"/>
    <mergeCell ref="NJ246:NK246"/>
    <mergeCell ref="NL246:NM246"/>
    <mergeCell ref="NN246:NO246"/>
    <mergeCell ref="NP246:NQ246"/>
    <mergeCell ref="NR246:NS246"/>
    <mergeCell ref="NT246:NU246"/>
    <mergeCell ref="NV246:NW246"/>
    <mergeCell ref="NX246:NY246"/>
    <mergeCell ref="NZ246:OA246"/>
    <mergeCell ref="OB246:OC246"/>
    <mergeCell ref="OD246:OE246"/>
    <mergeCell ref="OF246:OG246"/>
    <mergeCell ref="OH246:OI246"/>
    <mergeCell ref="OJ246:OK246"/>
    <mergeCell ref="OL246:OM246"/>
    <mergeCell ref="ON246:OO246"/>
    <mergeCell ref="JN246:JO246"/>
    <mergeCell ref="JP246:JQ246"/>
    <mergeCell ref="JR246:JS246"/>
    <mergeCell ref="JT246:JU246"/>
    <mergeCell ref="JV246:JW246"/>
    <mergeCell ref="JX246:JY246"/>
    <mergeCell ref="JZ246:KA246"/>
    <mergeCell ref="KB246:KC246"/>
    <mergeCell ref="KD246:KE246"/>
    <mergeCell ref="KF246:KG246"/>
    <mergeCell ref="KH246:KI246"/>
    <mergeCell ref="KJ246:KK246"/>
    <mergeCell ref="KL246:KM246"/>
    <mergeCell ref="KN246:KO246"/>
    <mergeCell ref="KP246:KQ246"/>
    <mergeCell ref="KR246:KS246"/>
    <mergeCell ref="KT246:KU246"/>
    <mergeCell ref="KV246:KW246"/>
    <mergeCell ref="KX246:KY246"/>
    <mergeCell ref="KZ246:LA246"/>
    <mergeCell ref="LB246:LC246"/>
    <mergeCell ref="LD246:LE246"/>
    <mergeCell ref="LF246:LG246"/>
    <mergeCell ref="LH246:LI246"/>
    <mergeCell ref="LJ246:LK246"/>
    <mergeCell ref="LL246:LM246"/>
    <mergeCell ref="LN246:LO246"/>
    <mergeCell ref="LP246:LQ246"/>
    <mergeCell ref="LR246:LS246"/>
    <mergeCell ref="LT246:LU246"/>
    <mergeCell ref="LV246:LW246"/>
    <mergeCell ref="LX246:LY246"/>
    <mergeCell ref="LZ246:MA246"/>
    <mergeCell ref="OP245:OQ245"/>
    <mergeCell ref="OR245:OS245"/>
    <mergeCell ref="OT245:OU245"/>
    <mergeCell ref="OV245:OW245"/>
    <mergeCell ref="OX245:OY245"/>
    <mergeCell ref="OZ245:PA245"/>
    <mergeCell ref="PB245:PC245"/>
    <mergeCell ref="PD245:PE245"/>
    <mergeCell ref="PF245:PG245"/>
    <mergeCell ref="PH245:PI245"/>
    <mergeCell ref="PJ245:PK245"/>
    <mergeCell ref="PL245:PM245"/>
    <mergeCell ref="PN245:PO245"/>
    <mergeCell ref="PP245:PQ245"/>
    <mergeCell ref="PR245:PS245"/>
    <mergeCell ref="PT245:PU245"/>
    <mergeCell ref="PV245:PW245"/>
    <mergeCell ref="PX245:PY245"/>
    <mergeCell ref="PZ245:QA245"/>
    <mergeCell ref="QB245:QC245"/>
    <mergeCell ref="QD245:QE245"/>
    <mergeCell ref="QF245:QG245"/>
    <mergeCell ref="QH245:QI245"/>
    <mergeCell ref="QJ245:QK245"/>
    <mergeCell ref="QL245:QM245"/>
    <mergeCell ref="QN245:QO245"/>
    <mergeCell ref="QP245:QQ245"/>
    <mergeCell ref="QR245:QS245"/>
    <mergeCell ref="QT245:QU245"/>
    <mergeCell ref="QV245:QW245"/>
    <mergeCell ref="QX245:QY245"/>
    <mergeCell ref="QZ245:RA245"/>
    <mergeCell ref="RB245:RC245"/>
    <mergeCell ref="MB245:MC245"/>
    <mergeCell ref="MD245:ME245"/>
    <mergeCell ref="MF245:MG245"/>
    <mergeCell ref="MH245:MI245"/>
    <mergeCell ref="MJ245:MK245"/>
    <mergeCell ref="ML245:MM245"/>
    <mergeCell ref="MN245:MO245"/>
    <mergeCell ref="MP245:MQ245"/>
    <mergeCell ref="MR245:MS245"/>
    <mergeCell ref="MT245:MU245"/>
    <mergeCell ref="MV245:MW245"/>
    <mergeCell ref="MX245:MY245"/>
    <mergeCell ref="MZ245:NA245"/>
    <mergeCell ref="NB245:NC245"/>
    <mergeCell ref="ND245:NE245"/>
    <mergeCell ref="NF245:NG245"/>
    <mergeCell ref="NH245:NI245"/>
    <mergeCell ref="NJ245:NK245"/>
    <mergeCell ref="NL245:NM245"/>
    <mergeCell ref="NN245:NO245"/>
    <mergeCell ref="NP245:NQ245"/>
    <mergeCell ref="NR245:NS245"/>
    <mergeCell ref="NT245:NU245"/>
    <mergeCell ref="NV245:NW245"/>
    <mergeCell ref="NX245:NY245"/>
    <mergeCell ref="NZ245:OA245"/>
    <mergeCell ref="OB245:OC245"/>
    <mergeCell ref="OD245:OE245"/>
    <mergeCell ref="OF245:OG245"/>
    <mergeCell ref="OH245:OI245"/>
    <mergeCell ref="OJ245:OK245"/>
    <mergeCell ref="OL245:OM245"/>
    <mergeCell ref="ON245:OO245"/>
    <mergeCell ref="JN245:JO245"/>
    <mergeCell ref="JP245:JQ245"/>
    <mergeCell ref="JR245:JS245"/>
    <mergeCell ref="JT245:JU245"/>
    <mergeCell ref="JV245:JW245"/>
    <mergeCell ref="JX245:JY245"/>
    <mergeCell ref="JZ245:KA245"/>
    <mergeCell ref="KB245:KC245"/>
    <mergeCell ref="KD245:KE245"/>
    <mergeCell ref="KF245:KG245"/>
    <mergeCell ref="KH245:KI245"/>
    <mergeCell ref="KJ245:KK245"/>
    <mergeCell ref="KL245:KM245"/>
    <mergeCell ref="KN245:KO245"/>
    <mergeCell ref="KP245:KQ245"/>
    <mergeCell ref="KR245:KS245"/>
    <mergeCell ref="KT245:KU245"/>
    <mergeCell ref="KV245:KW245"/>
    <mergeCell ref="KX245:KY245"/>
    <mergeCell ref="KZ245:LA245"/>
    <mergeCell ref="LB245:LC245"/>
    <mergeCell ref="LD245:LE245"/>
    <mergeCell ref="LF245:LG245"/>
    <mergeCell ref="LH245:LI245"/>
    <mergeCell ref="LJ245:LK245"/>
    <mergeCell ref="LL245:LM245"/>
    <mergeCell ref="LN245:LO245"/>
    <mergeCell ref="LP245:LQ245"/>
    <mergeCell ref="LR245:LS245"/>
    <mergeCell ref="LT245:LU245"/>
    <mergeCell ref="LV245:LW245"/>
    <mergeCell ref="LX245:LY245"/>
    <mergeCell ref="LZ245:MA245"/>
    <mergeCell ref="OP244:OQ244"/>
    <mergeCell ref="OR244:OS244"/>
    <mergeCell ref="OT244:OU244"/>
    <mergeCell ref="OV244:OW244"/>
    <mergeCell ref="OX244:OY244"/>
    <mergeCell ref="OZ244:PA244"/>
    <mergeCell ref="PB244:PC244"/>
    <mergeCell ref="PD244:PE244"/>
    <mergeCell ref="PF244:PG244"/>
    <mergeCell ref="PH244:PI244"/>
    <mergeCell ref="PJ244:PK244"/>
    <mergeCell ref="PL244:PM244"/>
    <mergeCell ref="PN244:PO244"/>
    <mergeCell ref="PP244:PQ244"/>
    <mergeCell ref="PR244:PS244"/>
    <mergeCell ref="PT244:PU244"/>
    <mergeCell ref="PV244:PW244"/>
    <mergeCell ref="PX244:PY244"/>
    <mergeCell ref="PZ244:QA244"/>
    <mergeCell ref="QB244:QC244"/>
    <mergeCell ref="QD244:QE244"/>
    <mergeCell ref="QF244:QG244"/>
    <mergeCell ref="QH244:QI244"/>
    <mergeCell ref="QJ244:QK244"/>
    <mergeCell ref="QL244:QM244"/>
    <mergeCell ref="QN244:QO244"/>
    <mergeCell ref="QP244:QQ244"/>
    <mergeCell ref="QR244:QS244"/>
    <mergeCell ref="QT244:QU244"/>
    <mergeCell ref="QV244:QW244"/>
    <mergeCell ref="QX244:QY244"/>
    <mergeCell ref="QZ244:RA244"/>
    <mergeCell ref="RB244:RC244"/>
    <mergeCell ref="MB244:MC244"/>
    <mergeCell ref="MD244:ME244"/>
    <mergeCell ref="MF244:MG244"/>
    <mergeCell ref="MH244:MI244"/>
    <mergeCell ref="MJ244:MK244"/>
    <mergeCell ref="ML244:MM244"/>
    <mergeCell ref="MN244:MO244"/>
    <mergeCell ref="MP244:MQ244"/>
    <mergeCell ref="MR244:MS244"/>
    <mergeCell ref="MT244:MU244"/>
    <mergeCell ref="MV244:MW244"/>
    <mergeCell ref="MX244:MY244"/>
    <mergeCell ref="MZ244:NA244"/>
    <mergeCell ref="NB244:NC244"/>
    <mergeCell ref="ND244:NE244"/>
    <mergeCell ref="NF244:NG244"/>
    <mergeCell ref="NH244:NI244"/>
    <mergeCell ref="NJ244:NK244"/>
    <mergeCell ref="NL244:NM244"/>
    <mergeCell ref="NN244:NO244"/>
    <mergeCell ref="NP244:NQ244"/>
    <mergeCell ref="NR244:NS244"/>
    <mergeCell ref="NT244:NU244"/>
    <mergeCell ref="NV244:NW244"/>
    <mergeCell ref="NX244:NY244"/>
    <mergeCell ref="NZ244:OA244"/>
    <mergeCell ref="OB244:OC244"/>
    <mergeCell ref="OD244:OE244"/>
    <mergeCell ref="OF244:OG244"/>
    <mergeCell ref="OH244:OI244"/>
    <mergeCell ref="OJ244:OK244"/>
    <mergeCell ref="OL244:OM244"/>
    <mergeCell ref="ON244:OO244"/>
    <mergeCell ref="JN244:JO244"/>
    <mergeCell ref="JP244:JQ244"/>
    <mergeCell ref="JR244:JS244"/>
    <mergeCell ref="JT244:JU244"/>
    <mergeCell ref="JV244:JW244"/>
    <mergeCell ref="JX244:JY244"/>
    <mergeCell ref="JZ244:KA244"/>
    <mergeCell ref="KB244:KC244"/>
    <mergeCell ref="KD244:KE244"/>
    <mergeCell ref="KF244:KG244"/>
    <mergeCell ref="KH244:KI244"/>
    <mergeCell ref="KJ244:KK244"/>
    <mergeCell ref="KL244:KM244"/>
    <mergeCell ref="KN244:KO244"/>
    <mergeCell ref="KP244:KQ244"/>
    <mergeCell ref="KR244:KS244"/>
    <mergeCell ref="KT244:KU244"/>
    <mergeCell ref="KV244:KW244"/>
    <mergeCell ref="KX244:KY244"/>
    <mergeCell ref="KZ244:LA244"/>
    <mergeCell ref="LB244:LC244"/>
    <mergeCell ref="LD244:LE244"/>
    <mergeCell ref="LF244:LG244"/>
    <mergeCell ref="LH244:LI244"/>
    <mergeCell ref="LJ244:LK244"/>
    <mergeCell ref="LL244:LM244"/>
    <mergeCell ref="LN244:LO244"/>
    <mergeCell ref="LP244:LQ244"/>
    <mergeCell ref="LR244:LS244"/>
    <mergeCell ref="LT244:LU244"/>
    <mergeCell ref="LV244:LW244"/>
    <mergeCell ref="LX244:LY244"/>
    <mergeCell ref="LZ244:MA244"/>
    <mergeCell ref="OP243:OQ243"/>
    <mergeCell ref="OR243:OS243"/>
    <mergeCell ref="OT243:OU243"/>
    <mergeCell ref="OV243:OW243"/>
    <mergeCell ref="OX243:OY243"/>
    <mergeCell ref="OZ243:PA243"/>
    <mergeCell ref="PB243:PC243"/>
    <mergeCell ref="PD243:PE243"/>
    <mergeCell ref="PF243:PG243"/>
    <mergeCell ref="PH243:PI243"/>
    <mergeCell ref="PJ243:PK243"/>
    <mergeCell ref="PL243:PM243"/>
    <mergeCell ref="PN243:PO243"/>
    <mergeCell ref="PP243:PQ243"/>
    <mergeCell ref="PR243:PS243"/>
    <mergeCell ref="PT243:PU243"/>
    <mergeCell ref="PV243:PW243"/>
    <mergeCell ref="PX243:PY243"/>
    <mergeCell ref="PZ243:QA243"/>
    <mergeCell ref="QB243:QC243"/>
    <mergeCell ref="QD243:QE243"/>
    <mergeCell ref="QF243:QG243"/>
    <mergeCell ref="QH243:QI243"/>
    <mergeCell ref="QJ243:QK243"/>
    <mergeCell ref="QL243:QM243"/>
    <mergeCell ref="QN243:QO243"/>
    <mergeCell ref="QP243:QQ243"/>
    <mergeCell ref="QR243:QS243"/>
    <mergeCell ref="QT243:QU243"/>
    <mergeCell ref="QV243:QW243"/>
    <mergeCell ref="QX243:QY243"/>
    <mergeCell ref="QZ243:RA243"/>
    <mergeCell ref="RB243:RC243"/>
    <mergeCell ref="MB243:MC243"/>
    <mergeCell ref="MD243:ME243"/>
    <mergeCell ref="MF243:MG243"/>
    <mergeCell ref="MH243:MI243"/>
    <mergeCell ref="MJ243:MK243"/>
    <mergeCell ref="ML243:MM243"/>
    <mergeCell ref="MN243:MO243"/>
    <mergeCell ref="MP243:MQ243"/>
    <mergeCell ref="MR243:MS243"/>
    <mergeCell ref="MT243:MU243"/>
    <mergeCell ref="MV243:MW243"/>
    <mergeCell ref="MX243:MY243"/>
    <mergeCell ref="MZ243:NA243"/>
    <mergeCell ref="NB243:NC243"/>
    <mergeCell ref="ND243:NE243"/>
    <mergeCell ref="NF243:NG243"/>
    <mergeCell ref="NH243:NI243"/>
    <mergeCell ref="NJ243:NK243"/>
    <mergeCell ref="NL243:NM243"/>
    <mergeCell ref="NN243:NO243"/>
    <mergeCell ref="NP243:NQ243"/>
    <mergeCell ref="NR243:NS243"/>
    <mergeCell ref="NT243:NU243"/>
    <mergeCell ref="NV243:NW243"/>
    <mergeCell ref="NX243:NY243"/>
    <mergeCell ref="NZ243:OA243"/>
    <mergeCell ref="OB243:OC243"/>
    <mergeCell ref="OD243:OE243"/>
    <mergeCell ref="OF243:OG243"/>
    <mergeCell ref="OH243:OI243"/>
    <mergeCell ref="OJ243:OK243"/>
    <mergeCell ref="OL243:OM243"/>
    <mergeCell ref="ON243:OO243"/>
    <mergeCell ref="JN243:JO243"/>
    <mergeCell ref="JP243:JQ243"/>
    <mergeCell ref="JR243:JS243"/>
    <mergeCell ref="JT243:JU243"/>
    <mergeCell ref="JV243:JW243"/>
    <mergeCell ref="JX243:JY243"/>
    <mergeCell ref="JZ243:KA243"/>
    <mergeCell ref="KB243:KC243"/>
    <mergeCell ref="KD243:KE243"/>
    <mergeCell ref="KF243:KG243"/>
    <mergeCell ref="KH243:KI243"/>
    <mergeCell ref="KJ243:KK243"/>
    <mergeCell ref="KL243:KM243"/>
    <mergeCell ref="KN243:KO243"/>
    <mergeCell ref="KP243:KQ243"/>
    <mergeCell ref="KR243:KS243"/>
    <mergeCell ref="KT243:KU243"/>
    <mergeCell ref="KV243:KW243"/>
    <mergeCell ref="KX243:KY243"/>
    <mergeCell ref="KZ243:LA243"/>
    <mergeCell ref="LB243:LC243"/>
    <mergeCell ref="LD243:LE243"/>
    <mergeCell ref="LF243:LG243"/>
    <mergeCell ref="LH243:LI243"/>
    <mergeCell ref="LJ243:LK243"/>
    <mergeCell ref="LL243:LM243"/>
    <mergeCell ref="LN243:LO243"/>
    <mergeCell ref="LP243:LQ243"/>
    <mergeCell ref="LR243:LS243"/>
    <mergeCell ref="LT243:LU243"/>
    <mergeCell ref="LV243:LW243"/>
    <mergeCell ref="LX243:LY243"/>
    <mergeCell ref="LZ243:MA243"/>
    <mergeCell ref="OP242:OQ242"/>
    <mergeCell ref="OR242:OS242"/>
    <mergeCell ref="OT242:OU242"/>
    <mergeCell ref="OV242:OW242"/>
    <mergeCell ref="OX242:OY242"/>
    <mergeCell ref="OZ242:PA242"/>
    <mergeCell ref="PB242:PC242"/>
    <mergeCell ref="PD242:PE242"/>
    <mergeCell ref="PF242:PG242"/>
    <mergeCell ref="PH242:PI242"/>
    <mergeCell ref="PJ242:PK242"/>
    <mergeCell ref="PL242:PM242"/>
    <mergeCell ref="PN242:PO242"/>
    <mergeCell ref="PP242:PQ242"/>
    <mergeCell ref="PR242:PS242"/>
    <mergeCell ref="PT242:PU242"/>
    <mergeCell ref="PV242:PW242"/>
    <mergeCell ref="PX242:PY242"/>
    <mergeCell ref="PZ242:QA242"/>
    <mergeCell ref="QB242:QC242"/>
    <mergeCell ref="QD242:QE242"/>
    <mergeCell ref="QF242:QG242"/>
    <mergeCell ref="QH242:QI242"/>
    <mergeCell ref="QJ242:QK242"/>
    <mergeCell ref="QL242:QM242"/>
    <mergeCell ref="QN242:QO242"/>
    <mergeCell ref="QP242:QQ242"/>
    <mergeCell ref="QR242:QS242"/>
    <mergeCell ref="QT242:QU242"/>
    <mergeCell ref="QV242:QW242"/>
    <mergeCell ref="QX242:QY242"/>
    <mergeCell ref="QZ242:RA242"/>
    <mergeCell ref="RB242:RC242"/>
    <mergeCell ref="MB242:MC242"/>
    <mergeCell ref="MD242:ME242"/>
    <mergeCell ref="MF242:MG242"/>
    <mergeCell ref="MH242:MI242"/>
    <mergeCell ref="MJ242:MK242"/>
    <mergeCell ref="ML242:MM242"/>
    <mergeCell ref="MN242:MO242"/>
    <mergeCell ref="MP242:MQ242"/>
    <mergeCell ref="MR242:MS242"/>
    <mergeCell ref="MT242:MU242"/>
    <mergeCell ref="MV242:MW242"/>
    <mergeCell ref="MX242:MY242"/>
    <mergeCell ref="MZ242:NA242"/>
    <mergeCell ref="NB242:NC242"/>
    <mergeCell ref="ND242:NE242"/>
    <mergeCell ref="NF242:NG242"/>
    <mergeCell ref="NH242:NI242"/>
    <mergeCell ref="NJ242:NK242"/>
    <mergeCell ref="NL242:NM242"/>
    <mergeCell ref="NN242:NO242"/>
    <mergeCell ref="NP242:NQ242"/>
    <mergeCell ref="NR242:NS242"/>
    <mergeCell ref="NT242:NU242"/>
    <mergeCell ref="NV242:NW242"/>
    <mergeCell ref="NX242:NY242"/>
    <mergeCell ref="NZ242:OA242"/>
    <mergeCell ref="OB242:OC242"/>
    <mergeCell ref="OD242:OE242"/>
    <mergeCell ref="OF242:OG242"/>
    <mergeCell ref="OH242:OI242"/>
    <mergeCell ref="OJ242:OK242"/>
    <mergeCell ref="OL242:OM242"/>
    <mergeCell ref="ON242:OO242"/>
    <mergeCell ref="JN242:JO242"/>
    <mergeCell ref="JP242:JQ242"/>
    <mergeCell ref="JR242:JS242"/>
    <mergeCell ref="JT242:JU242"/>
    <mergeCell ref="JV242:JW242"/>
    <mergeCell ref="JX242:JY242"/>
    <mergeCell ref="JZ242:KA242"/>
    <mergeCell ref="KB242:KC242"/>
    <mergeCell ref="KD242:KE242"/>
    <mergeCell ref="KF242:KG242"/>
    <mergeCell ref="KH242:KI242"/>
    <mergeCell ref="KJ242:KK242"/>
    <mergeCell ref="KL242:KM242"/>
    <mergeCell ref="KN242:KO242"/>
    <mergeCell ref="KP242:KQ242"/>
    <mergeCell ref="KR242:KS242"/>
    <mergeCell ref="KT242:KU242"/>
    <mergeCell ref="KV242:KW242"/>
    <mergeCell ref="KX242:KY242"/>
    <mergeCell ref="KZ242:LA242"/>
    <mergeCell ref="LB242:LC242"/>
    <mergeCell ref="LD242:LE242"/>
    <mergeCell ref="LF242:LG242"/>
    <mergeCell ref="LH242:LI242"/>
    <mergeCell ref="LJ242:LK242"/>
    <mergeCell ref="LL242:LM242"/>
    <mergeCell ref="LN242:LO242"/>
    <mergeCell ref="LP242:LQ242"/>
    <mergeCell ref="LR242:LS242"/>
    <mergeCell ref="LT242:LU242"/>
    <mergeCell ref="LV242:LW242"/>
    <mergeCell ref="LX242:LY242"/>
    <mergeCell ref="LZ242:MA242"/>
    <mergeCell ref="PB238:PC238"/>
    <mergeCell ref="PD238:PE238"/>
    <mergeCell ref="PF238:PG238"/>
    <mergeCell ref="PH238:PI238"/>
    <mergeCell ref="PJ238:PK238"/>
    <mergeCell ref="PL238:PM238"/>
    <mergeCell ref="PN238:PO238"/>
    <mergeCell ref="PP238:PQ238"/>
    <mergeCell ref="PR238:PS238"/>
    <mergeCell ref="PT238:PU238"/>
    <mergeCell ref="PV238:PW238"/>
    <mergeCell ref="PX238:PY238"/>
    <mergeCell ref="PZ238:QA238"/>
    <mergeCell ref="QB238:QC238"/>
    <mergeCell ref="QD238:QE238"/>
    <mergeCell ref="QF238:QG238"/>
    <mergeCell ref="QH238:QI238"/>
    <mergeCell ref="QJ238:QK238"/>
    <mergeCell ref="QL238:QM238"/>
    <mergeCell ref="QN238:QO238"/>
    <mergeCell ref="QP238:QQ238"/>
    <mergeCell ref="QR238:QS238"/>
    <mergeCell ref="QT238:QU238"/>
    <mergeCell ref="QV238:QW238"/>
    <mergeCell ref="QX238:QY238"/>
    <mergeCell ref="QZ238:RA238"/>
    <mergeCell ref="RB238:RC238"/>
    <mergeCell ref="MN238:MO238"/>
    <mergeCell ref="MP238:MQ238"/>
    <mergeCell ref="MR238:MS238"/>
    <mergeCell ref="MT238:MU238"/>
    <mergeCell ref="MV238:MW238"/>
    <mergeCell ref="MX238:MY238"/>
    <mergeCell ref="MZ238:NA238"/>
    <mergeCell ref="NB238:NC238"/>
    <mergeCell ref="ND238:NE238"/>
    <mergeCell ref="NF238:NG238"/>
    <mergeCell ref="NH238:NI238"/>
    <mergeCell ref="NJ238:NK238"/>
    <mergeCell ref="NL238:NM238"/>
    <mergeCell ref="NN238:NO238"/>
    <mergeCell ref="NP238:NQ238"/>
    <mergeCell ref="NR238:NS238"/>
    <mergeCell ref="NT238:NU238"/>
    <mergeCell ref="NV238:NW238"/>
    <mergeCell ref="NX238:NY238"/>
    <mergeCell ref="NZ238:OA238"/>
    <mergeCell ref="OB238:OC238"/>
    <mergeCell ref="OD238:OE238"/>
    <mergeCell ref="OF238:OG238"/>
    <mergeCell ref="OH238:OI238"/>
    <mergeCell ref="OJ238:OK238"/>
    <mergeCell ref="OL238:OM238"/>
    <mergeCell ref="ON238:OO238"/>
    <mergeCell ref="OP238:OQ238"/>
    <mergeCell ref="OR238:OS238"/>
    <mergeCell ref="OT238:OU238"/>
    <mergeCell ref="OV238:OW238"/>
    <mergeCell ref="OX238:OY238"/>
    <mergeCell ref="OZ238:PA238"/>
    <mergeCell ref="JN238:JO238"/>
    <mergeCell ref="JP238:JQ238"/>
    <mergeCell ref="JR238:JS238"/>
    <mergeCell ref="JT238:JU238"/>
    <mergeCell ref="JV238:JW238"/>
    <mergeCell ref="JX238:JY238"/>
    <mergeCell ref="JZ238:KA238"/>
    <mergeCell ref="KB238:KC238"/>
    <mergeCell ref="KD238:KE238"/>
    <mergeCell ref="KF238:KG238"/>
    <mergeCell ref="KH238:KI238"/>
    <mergeCell ref="KJ238:KK238"/>
    <mergeCell ref="KL238:KM238"/>
    <mergeCell ref="KN238:KO238"/>
    <mergeCell ref="KP238:KQ238"/>
    <mergeCell ref="KR238:KS238"/>
    <mergeCell ref="KT238:KU238"/>
    <mergeCell ref="KV238:KW238"/>
    <mergeCell ref="KX238:KY238"/>
    <mergeCell ref="KZ238:LA238"/>
    <mergeCell ref="LB238:LC238"/>
    <mergeCell ref="LD238:LE238"/>
    <mergeCell ref="LF238:LG238"/>
    <mergeCell ref="LH238:LI238"/>
    <mergeCell ref="LJ238:LK238"/>
    <mergeCell ref="LL238:LM238"/>
    <mergeCell ref="LN238:LO238"/>
    <mergeCell ref="LP238:LQ238"/>
    <mergeCell ref="LR238:LS238"/>
    <mergeCell ref="LT238:LU238"/>
    <mergeCell ref="LV238:LW238"/>
    <mergeCell ref="LX238:LY238"/>
    <mergeCell ref="LZ238:MA238"/>
    <mergeCell ref="MB238:MC238"/>
    <mergeCell ref="MD238:ME238"/>
    <mergeCell ref="MF238:MG238"/>
    <mergeCell ref="MH238:MI238"/>
    <mergeCell ref="MJ238:MK238"/>
    <mergeCell ref="ML238:MM238"/>
    <mergeCell ref="PN237:PO237"/>
    <mergeCell ref="PP237:PQ237"/>
    <mergeCell ref="PR237:PS237"/>
    <mergeCell ref="PT237:PU237"/>
    <mergeCell ref="PV237:PW237"/>
    <mergeCell ref="PX237:PY237"/>
    <mergeCell ref="PZ237:QA237"/>
    <mergeCell ref="QB237:QC237"/>
    <mergeCell ref="QD237:QE237"/>
    <mergeCell ref="QF237:QG237"/>
    <mergeCell ref="QH237:QI237"/>
    <mergeCell ref="QJ237:QK237"/>
    <mergeCell ref="QL237:QM237"/>
    <mergeCell ref="QN237:QO237"/>
    <mergeCell ref="QP237:QQ237"/>
    <mergeCell ref="QR237:QS237"/>
    <mergeCell ref="QT237:QU237"/>
    <mergeCell ref="QV237:QW237"/>
    <mergeCell ref="QX237:QY237"/>
    <mergeCell ref="QZ237:RA237"/>
    <mergeCell ref="RB237:RC237"/>
    <mergeCell ref="MZ237:NA237"/>
    <mergeCell ref="NB237:NC237"/>
    <mergeCell ref="ND237:NE237"/>
    <mergeCell ref="NF237:NG237"/>
    <mergeCell ref="NH237:NI237"/>
    <mergeCell ref="NJ237:NK237"/>
    <mergeCell ref="NL237:NM237"/>
    <mergeCell ref="NN237:NO237"/>
    <mergeCell ref="NP237:NQ237"/>
    <mergeCell ref="NR237:NS237"/>
    <mergeCell ref="NT237:NU237"/>
    <mergeCell ref="NV237:NW237"/>
    <mergeCell ref="NX237:NY237"/>
    <mergeCell ref="NZ237:OA237"/>
    <mergeCell ref="OB237:OC237"/>
    <mergeCell ref="OD237:OE237"/>
    <mergeCell ref="OF237:OG237"/>
    <mergeCell ref="OH237:OI237"/>
    <mergeCell ref="OJ237:OK237"/>
    <mergeCell ref="OL237:OM237"/>
    <mergeCell ref="ON237:OO237"/>
    <mergeCell ref="OP237:OQ237"/>
    <mergeCell ref="OR237:OS237"/>
    <mergeCell ref="OT237:OU237"/>
    <mergeCell ref="OV237:OW237"/>
    <mergeCell ref="OX237:OY237"/>
    <mergeCell ref="OZ237:PA237"/>
    <mergeCell ref="PB237:PC237"/>
    <mergeCell ref="PD237:PE237"/>
    <mergeCell ref="PF237:PG237"/>
    <mergeCell ref="PH237:PI237"/>
    <mergeCell ref="PJ237:PK237"/>
    <mergeCell ref="PL237:PM237"/>
    <mergeCell ref="MB237:MC237"/>
    <mergeCell ref="MD237:ME237"/>
    <mergeCell ref="MF237:MG237"/>
    <mergeCell ref="MH237:MI237"/>
    <mergeCell ref="JN237:JO237"/>
    <mergeCell ref="JP237:JQ237"/>
    <mergeCell ref="JR237:JS237"/>
    <mergeCell ref="JT237:JU237"/>
    <mergeCell ref="JV237:JW237"/>
    <mergeCell ref="JX237:JY237"/>
    <mergeCell ref="JZ237:KA237"/>
    <mergeCell ref="KB237:KC237"/>
    <mergeCell ref="KD237:KE237"/>
    <mergeCell ref="KF237:KG237"/>
    <mergeCell ref="KH237:KI237"/>
    <mergeCell ref="KJ237:KK237"/>
    <mergeCell ref="KL237:KM237"/>
    <mergeCell ref="KN237:KO237"/>
    <mergeCell ref="KP237:KQ237"/>
    <mergeCell ref="KR237:KS237"/>
    <mergeCell ref="KT237:KU237"/>
    <mergeCell ref="KV237:KW237"/>
    <mergeCell ref="KX237:KY237"/>
    <mergeCell ref="KZ237:LA237"/>
    <mergeCell ref="LB237:LC237"/>
    <mergeCell ref="LD237:LE237"/>
    <mergeCell ref="LF237:LG237"/>
    <mergeCell ref="LH237:LI237"/>
    <mergeCell ref="LJ237:LK237"/>
    <mergeCell ref="LL237:LM237"/>
    <mergeCell ref="LN237:LO237"/>
    <mergeCell ref="LP237:LQ237"/>
    <mergeCell ref="LR237:LS237"/>
    <mergeCell ref="LT237:LU237"/>
    <mergeCell ref="LV237:LW237"/>
    <mergeCell ref="LX237:LY237"/>
    <mergeCell ref="LZ237:MA237"/>
    <mergeCell ref="MJ237:MK237"/>
    <mergeCell ref="ML237:MM237"/>
    <mergeCell ref="MN237:MO237"/>
    <mergeCell ref="MP237:MQ237"/>
    <mergeCell ref="MR237:MS237"/>
    <mergeCell ref="MT237:MU237"/>
    <mergeCell ref="PR236:PS236"/>
    <mergeCell ref="PT236:PU236"/>
    <mergeCell ref="PV236:PW236"/>
    <mergeCell ref="PX236:PY236"/>
    <mergeCell ref="PZ236:QA236"/>
    <mergeCell ref="QB236:QC236"/>
    <mergeCell ref="QD236:QE236"/>
    <mergeCell ref="QF236:QG236"/>
    <mergeCell ref="QH236:QI236"/>
    <mergeCell ref="QJ236:QK236"/>
    <mergeCell ref="QL236:QM236"/>
    <mergeCell ref="QN236:QO236"/>
    <mergeCell ref="QP236:QQ236"/>
    <mergeCell ref="QR236:QS236"/>
    <mergeCell ref="QT236:QU236"/>
    <mergeCell ref="QV236:QW236"/>
    <mergeCell ref="QX236:QY236"/>
    <mergeCell ref="QZ236:RA236"/>
    <mergeCell ref="RB236:RC236"/>
    <mergeCell ref="ND236:NE236"/>
    <mergeCell ref="NF236:NG236"/>
    <mergeCell ref="NH236:NI236"/>
    <mergeCell ref="NJ236:NK236"/>
    <mergeCell ref="NL236:NM236"/>
    <mergeCell ref="NN236:NO236"/>
    <mergeCell ref="NP236:NQ236"/>
    <mergeCell ref="NR236:NS236"/>
    <mergeCell ref="NT236:NU236"/>
    <mergeCell ref="NV236:NW236"/>
    <mergeCell ref="NX236:NY236"/>
    <mergeCell ref="NZ236:OA236"/>
    <mergeCell ref="OB236:OC236"/>
    <mergeCell ref="OD236:OE236"/>
    <mergeCell ref="OF236:OG236"/>
    <mergeCell ref="OH236:OI236"/>
    <mergeCell ref="OJ236:OK236"/>
    <mergeCell ref="OL236:OM236"/>
    <mergeCell ref="ON236:OO236"/>
    <mergeCell ref="OP236:OQ236"/>
    <mergeCell ref="OR236:OS236"/>
    <mergeCell ref="OT236:OU236"/>
    <mergeCell ref="OV236:OW236"/>
    <mergeCell ref="OX236:OY236"/>
    <mergeCell ref="OZ236:PA236"/>
    <mergeCell ref="PB236:PC236"/>
    <mergeCell ref="PD236:PE236"/>
    <mergeCell ref="PF236:PG236"/>
    <mergeCell ref="PH236:PI236"/>
    <mergeCell ref="PJ236:PK236"/>
    <mergeCell ref="PL236:PM236"/>
    <mergeCell ref="PN236:PO236"/>
    <mergeCell ref="PP236:PQ236"/>
    <mergeCell ref="MV237:MW237"/>
    <mergeCell ref="MX237:MY237"/>
    <mergeCell ref="PZ235:QA235"/>
    <mergeCell ref="QB235:QC235"/>
    <mergeCell ref="QD235:QE235"/>
    <mergeCell ref="QF235:QG235"/>
    <mergeCell ref="QH235:QI235"/>
    <mergeCell ref="QJ235:QK235"/>
    <mergeCell ref="QL235:QM235"/>
    <mergeCell ref="QN235:QO235"/>
    <mergeCell ref="QP235:QQ235"/>
    <mergeCell ref="QR235:QS235"/>
    <mergeCell ref="QT235:QU235"/>
    <mergeCell ref="QV235:QW235"/>
    <mergeCell ref="QX235:QY235"/>
    <mergeCell ref="QZ235:RA235"/>
    <mergeCell ref="RB235:RC235"/>
    <mergeCell ref="JN236:JO236"/>
    <mergeCell ref="JP236:JQ236"/>
    <mergeCell ref="JR236:JS236"/>
    <mergeCell ref="JT236:JU236"/>
    <mergeCell ref="JV236:JW236"/>
    <mergeCell ref="JX236:JY236"/>
    <mergeCell ref="JZ236:KA236"/>
    <mergeCell ref="KB236:KC236"/>
    <mergeCell ref="KD236:KE236"/>
    <mergeCell ref="KF236:KG236"/>
    <mergeCell ref="KH236:KI236"/>
    <mergeCell ref="KJ236:KK236"/>
    <mergeCell ref="KL236:KM236"/>
    <mergeCell ref="KN236:KO236"/>
    <mergeCell ref="KP236:KQ236"/>
    <mergeCell ref="KR236:KS236"/>
    <mergeCell ref="KT236:KU236"/>
    <mergeCell ref="KV236:KW236"/>
    <mergeCell ref="KX236:KY236"/>
    <mergeCell ref="KZ236:LA236"/>
    <mergeCell ref="LB236:LC236"/>
    <mergeCell ref="LD236:LE236"/>
    <mergeCell ref="LF236:LG236"/>
    <mergeCell ref="LH236:LI236"/>
    <mergeCell ref="LJ236:LK236"/>
    <mergeCell ref="LL236:LM236"/>
    <mergeCell ref="LN236:LO236"/>
    <mergeCell ref="LP236:LQ236"/>
    <mergeCell ref="LR236:LS236"/>
    <mergeCell ref="LT236:LU236"/>
    <mergeCell ref="LV236:LW236"/>
    <mergeCell ref="LX236:LY236"/>
    <mergeCell ref="LZ236:MA236"/>
    <mergeCell ref="MB236:MC236"/>
    <mergeCell ref="MD236:ME236"/>
    <mergeCell ref="MF236:MG236"/>
    <mergeCell ref="MH236:MI236"/>
    <mergeCell ref="MJ236:MK236"/>
    <mergeCell ref="ML236:MM236"/>
    <mergeCell ref="MN236:MO236"/>
    <mergeCell ref="MP236:MQ236"/>
    <mergeCell ref="MR236:MS236"/>
    <mergeCell ref="MT236:MU236"/>
    <mergeCell ref="MV236:MW236"/>
    <mergeCell ref="MX236:MY236"/>
    <mergeCell ref="MZ236:NA236"/>
    <mergeCell ref="NB236:NC236"/>
    <mergeCell ref="NL235:NM235"/>
    <mergeCell ref="NN235:NO235"/>
    <mergeCell ref="NP235:NQ235"/>
    <mergeCell ref="NR235:NS235"/>
    <mergeCell ref="NT235:NU235"/>
    <mergeCell ref="NV235:NW235"/>
    <mergeCell ref="NX235:NY235"/>
    <mergeCell ref="NZ235:OA235"/>
    <mergeCell ref="OB235:OC235"/>
    <mergeCell ref="OD235:OE235"/>
    <mergeCell ref="OF235:OG235"/>
    <mergeCell ref="OH235:OI235"/>
    <mergeCell ref="OJ235:OK235"/>
    <mergeCell ref="OL235:OM235"/>
    <mergeCell ref="ON235:OO235"/>
    <mergeCell ref="OP235:OQ235"/>
    <mergeCell ref="OR235:OS235"/>
    <mergeCell ref="OT235:OU235"/>
    <mergeCell ref="OV235:OW235"/>
    <mergeCell ref="OX235:OY235"/>
    <mergeCell ref="OZ235:PA235"/>
    <mergeCell ref="PB235:PC235"/>
    <mergeCell ref="PD235:PE235"/>
    <mergeCell ref="PF235:PG235"/>
    <mergeCell ref="PH235:PI235"/>
    <mergeCell ref="PJ235:PK235"/>
    <mergeCell ref="PL235:PM235"/>
    <mergeCell ref="PN235:PO235"/>
    <mergeCell ref="PP235:PQ235"/>
    <mergeCell ref="PR235:PS235"/>
    <mergeCell ref="PT235:PU235"/>
    <mergeCell ref="PV235:PW235"/>
    <mergeCell ref="PX235:PY235"/>
    <mergeCell ref="QD234:QE234"/>
    <mergeCell ref="QF234:QG234"/>
    <mergeCell ref="NT234:NU234"/>
    <mergeCell ref="NV234:NW234"/>
    <mergeCell ref="NX234:NY234"/>
    <mergeCell ref="NZ234:OA234"/>
    <mergeCell ref="OB234:OC234"/>
    <mergeCell ref="OD234:OE234"/>
    <mergeCell ref="OF234:OG234"/>
    <mergeCell ref="OH234:OI234"/>
    <mergeCell ref="OJ234:OK234"/>
    <mergeCell ref="OL234:OM234"/>
    <mergeCell ref="ON234:OO234"/>
    <mergeCell ref="OP234:OQ234"/>
    <mergeCell ref="OR234:OS234"/>
    <mergeCell ref="OT234:OU234"/>
    <mergeCell ref="OV234:OW234"/>
    <mergeCell ref="OX234:OY234"/>
    <mergeCell ref="OZ234:PA234"/>
    <mergeCell ref="PB234:PC234"/>
    <mergeCell ref="PD234:PE234"/>
    <mergeCell ref="PF234:PG234"/>
    <mergeCell ref="PH234:PI234"/>
    <mergeCell ref="PJ234:PK234"/>
    <mergeCell ref="PL234:PM234"/>
    <mergeCell ref="PN234:PO234"/>
    <mergeCell ref="PP234:PQ234"/>
    <mergeCell ref="PR234:PS234"/>
    <mergeCell ref="PT234:PU234"/>
    <mergeCell ref="PV234:PW234"/>
    <mergeCell ref="PX234:PY234"/>
    <mergeCell ref="PZ234:QA234"/>
    <mergeCell ref="QB234:QC234"/>
    <mergeCell ref="QH234:QI234"/>
    <mergeCell ref="QJ234:QK234"/>
    <mergeCell ref="QL234:QM234"/>
    <mergeCell ref="QN234:QO234"/>
    <mergeCell ref="QP234:QQ234"/>
    <mergeCell ref="QR234:QS234"/>
    <mergeCell ref="QT234:QU234"/>
    <mergeCell ref="QV234:QW234"/>
    <mergeCell ref="QX234:QY234"/>
    <mergeCell ref="QZ234:RA234"/>
    <mergeCell ref="RB234:RC234"/>
    <mergeCell ref="JN235:JO235"/>
    <mergeCell ref="JP235:JQ235"/>
    <mergeCell ref="JR235:JS235"/>
    <mergeCell ref="JT235:JU235"/>
    <mergeCell ref="JV235:JW235"/>
    <mergeCell ref="JX235:JY235"/>
    <mergeCell ref="JZ235:KA235"/>
    <mergeCell ref="KB235:KC235"/>
    <mergeCell ref="KD235:KE235"/>
    <mergeCell ref="KF235:KG235"/>
    <mergeCell ref="KH235:KI235"/>
    <mergeCell ref="KJ235:KK235"/>
    <mergeCell ref="KL235:KM235"/>
    <mergeCell ref="KN235:KO235"/>
    <mergeCell ref="KP235:KQ235"/>
    <mergeCell ref="KR235:KS235"/>
    <mergeCell ref="KT235:KU235"/>
    <mergeCell ref="KV235:KW235"/>
    <mergeCell ref="KX235:KY235"/>
    <mergeCell ref="KZ235:LA235"/>
    <mergeCell ref="LB235:LC235"/>
    <mergeCell ref="LD235:LE235"/>
    <mergeCell ref="LF235:LG235"/>
    <mergeCell ref="LH235:LI235"/>
    <mergeCell ref="LJ235:LK235"/>
    <mergeCell ref="LL235:LM235"/>
    <mergeCell ref="LN235:LO235"/>
    <mergeCell ref="LP235:LQ235"/>
    <mergeCell ref="LR235:LS235"/>
    <mergeCell ref="LT235:LU235"/>
    <mergeCell ref="LV235:LW235"/>
    <mergeCell ref="LX235:LY235"/>
    <mergeCell ref="LZ235:MA235"/>
    <mergeCell ref="MB235:MC235"/>
    <mergeCell ref="MD235:ME235"/>
    <mergeCell ref="MF235:MG235"/>
    <mergeCell ref="MH235:MI235"/>
    <mergeCell ref="MJ235:MK235"/>
    <mergeCell ref="ML235:MM235"/>
    <mergeCell ref="MN235:MO235"/>
    <mergeCell ref="MP235:MQ235"/>
    <mergeCell ref="MR235:MS235"/>
    <mergeCell ref="MT235:MU235"/>
    <mergeCell ref="MV235:MW235"/>
    <mergeCell ref="MX235:MY235"/>
    <mergeCell ref="MZ235:NA235"/>
    <mergeCell ref="NB235:NC235"/>
    <mergeCell ref="ND235:NE235"/>
    <mergeCell ref="NF235:NG235"/>
    <mergeCell ref="NH235:NI235"/>
    <mergeCell ref="NJ235:NK235"/>
    <mergeCell ref="NP234:NQ234"/>
    <mergeCell ref="NR234:NS234"/>
    <mergeCell ref="QH233:QI233"/>
    <mergeCell ref="QJ233:QK233"/>
    <mergeCell ref="QL233:QM233"/>
    <mergeCell ref="QN233:QO233"/>
    <mergeCell ref="QP233:QQ233"/>
    <mergeCell ref="QR233:QS233"/>
    <mergeCell ref="QT233:QU233"/>
    <mergeCell ref="QV233:QW233"/>
    <mergeCell ref="QX233:QY233"/>
    <mergeCell ref="QZ233:RA233"/>
    <mergeCell ref="RB233:RC233"/>
    <mergeCell ref="JN234:JO234"/>
    <mergeCell ref="JP234:JQ234"/>
    <mergeCell ref="JR234:JS234"/>
    <mergeCell ref="JT234:JU234"/>
    <mergeCell ref="JV234:JW234"/>
    <mergeCell ref="JX234:JY234"/>
    <mergeCell ref="JZ234:KA234"/>
    <mergeCell ref="KB234:KC234"/>
    <mergeCell ref="KD234:KE234"/>
    <mergeCell ref="KF234:KG234"/>
    <mergeCell ref="KH234:KI234"/>
    <mergeCell ref="KJ234:KK234"/>
    <mergeCell ref="KL234:KM234"/>
    <mergeCell ref="KN234:KO234"/>
    <mergeCell ref="KP234:KQ234"/>
    <mergeCell ref="KR234:KS234"/>
    <mergeCell ref="KT234:KU234"/>
    <mergeCell ref="KV234:KW234"/>
    <mergeCell ref="KX234:KY234"/>
    <mergeCell ref="KZ234:LA234"/>
    <mergeCell ref="LB234:LC234"/>
    <mergeCell ref="LD234:LE234"/>
    <mergeCell ref="LF234:LG234"/>
    <mergeCell ref="LH234:LI234"/>
    <mergeCell ref="LJ234:LK234"/>
    <mergeCell ref="LL234:LM234"/>
    <mergeCell ref="LN234:LO234"/>
    <mergeCell ref="LP234:LQ234"/>
    <mergeCell ref="LR234:LS234"/>
    <mergeCell ref="LT234:LU234"/>
    <mergeCell ref="LV234:LW234"/>
    <mergeCell ref="LX234:LY234"/>
    <mergeCell ref="LZ234:MA234"/>
    <mergeCell ref="MB234:MC234"/>
    <mergeCell ref="MD234:ME234"/>
    <mergeCell ref="MF234:MG234"/>
    <mergeCell ref="MH234:MI234"/>
    <mergeCell ref="MJ234:MK234"/>
    <mergeCell ref="ML234:MM234"/>
    <mergeCell ref="MN234:MO234"/>
    <mergeCell ref="MP234:MQ234"/>
    <mergeCell ref="MR234:MS234"/>
    <mergeCell ref="MT234:MU234"/>
    <mergeCell ref="MV234:MW234"/>
    <mergeCell ref="MX234:MY234"/>
    <mergeCell ref="MZ234:NA234"/>
    <mergeCell ref="NB234:NC234"/>
    <mergeCell ref="ND234:NE234"/>
    <mergeCell ref="NF234:NG234"/>
    <mergeCell ref="NH234:NI234"/>
    <mergeCell ref="NJ234:NK234"/>
    <mergeCell ref="NL234:NM234"/>
    <mergeCell ref="NN234:NO234"/>
    <mergeCell ref="NT233:NU233"/>
    <mergeCell ref="NV233:NW233"/>
    <mergeCell ref="NX233:NY233"/>
    <mergeCell ref="NZ233:OA233"/>
    <mergeCell ref="OB233:OC233"/>
    <mergeCell ref="OD233:OE233"/>
    <mergeCell ref="OF233:OG233"/>
    <mergeCell ref="OH233:OI233"/>
    <mergeCell ref="OJ233:OK233"/>
    <mergeCell ref="OL233:OM233"/>
    <mergeCell ref="ON233:OO233"/>
    <mergeCell ref="OP233:OQ233"/>
    <mergeCell ref="OR233:OS233"/>
    <mergeCell ref="OT233:OU233"/>
    <mergeCell ref="OV233:OW233"/>
    <mergeCell ref="OX233:OY233"/>
    <mergeCell ref="OZ233:PA233"/>
    <mergeCell ref="PB233:PC233"/>
    <mergeCell ref="PD233:PE233"/>
    <mergeCell ref="PF233:PG233"/>
    <mergeCell ref="PH233:PI233"/>
    <mergeCell ref="PJ233:PK233"/>
    <mergeCell ref="PL233:PM233"/>
    <mergeCell ref="PN233:PO233"/>
    <mergeCell ref="PP233:PQ233"/>
    <mergeCell ref="PR233:PS233"/>
    <mergeCell ref="PT233:PU233"/>
    <mergeCell ref="PV233:PW233"/>
    <mergeCell ref="PX233:PY233"/>
    <mergeCell ref="PZ233:QA233"/>
    <mergeCell ref="QB233:QC233"/>
    <mergeCell ref="QD233:QE233"/>
    <mergeCell ref="QF233:QG233"/>
    <mergeCell ref="JN233:JO233"/>
    <mergeCell ref="JP233:JQ233"/>
    <mergeCell ref="JR233:JS233"/>
    <mergeCell ref="JT233:JU233"/>
    <mergeCell ref="JV233:JW233"/>
    <mergeCell ref="JX233:JY233"/>
    <mergeCell ref="JZ233:KA233"/>
    <mergeCell ref="KB233:KC233"/>
    <mergeCell ref="KD233:KE233"/>
    <mergeCell ref="KF233:KG233"/>
    <mergeCell ref="KH233:KI233"/>
    <mergeCell ref="KJ233:KK233"/>
    <mergeCell ref="KL233:KM233"/>
    <mergeCell ref="KN233:KO233"/>
    <mergeCell ref="KP233:KQ233"/>
    <mergeCell ref="KR233:KS233"/>
    <mergeCell ref="KT233:KU233"/>
    <mergeCell ref="KV233:KW233"/>
    <mergeCell ref="KX233:KY233"/>
    <mergeCell ref="KZ233:LA233"/>
    <mergeCell ref="LB233:LC233"/>
    <mergeCell ref="LD233:LE233"/>
    <mergeCell ref="LF233:LG233"/>
    <mergeCell ref="LH233:LI233"/>
    <mergeCell ref="LJ233:LK233"/>
    <mergeCell ref="LL233:LM233"/>
    <mergeCell ref="LN233:LO233"/>
    <mergeCell ref="LP233:LQ233"/>
    <mergeCell ref="LR233:LS233"/>
    <mergeCell ref="LT233:LU233"/>
    <mergeCell ref="LV233:LW233"/>
    <mergeCell ref="LX233:LY233"/>
    <mergeCell ref="LZ233:MA233"/>
    <mergeCell ref="MB233:MC233"/>
    <mergeCell ref="MD233:ME233"/>
    <mergeCell ref="MF233:MG233"/>
    <mergeCell ref="MH233:MI233"/>
    <mergeCell ref="MJ233:MK233"/>
    <mergeCell ref="ML233:MM233"/>
    <mergeCell ref="MN233:MO233"/>
    <mergeCell ref="MP233:MQ233"/>
    <mergeCell ref="MR233:MS233"/>
    <mergeCell ref="MT233:MU233"/>
    <mergeCell ref="MV233:MW233"/>
    <mergeCell ref="MX233:MY233"/>
    <mergeCell ref="MZ233:NA233"/>
    <mergeCell ref="NB233:NC233"/>
    <mergeCell ref="ND233:NE233"/>
    <mergeCell ref="NF233:NG233"/>
    <mergeCell ref="NH233:NI233"/>
    <mergeCell ref="NJ233:NK233"/>
    <mergeCell ref="NL233:NM233"/>
    <mergeCell ref="NN233:NO233"/>
    <mergeCell ref="QL232:QM232"/>
    <mergeCell ref="QN232:QO232"/>
    <mergeCell ref="QP232:QQ232"/>
    <mergeCell ref="QR232:QS232"/>
    <mergeCell ref="QT232:QU232"/>
    <mergeCell ref="QV232:QW232"/>
    <mergeCell ref="QX232:QY232"/>
    <mergeCell ref="QZ232:RA232"/>
    <mergeCell ref="RB232:RC232"/>
    <mergeCell ref="NX232:NY232"/>
    <mergeCell ref="NZ232:OA232"/>
    <mergeCell ref="OB232:OC232"/>
    <mergeCell ref="OD232:OE232"/>
    <mergeCell ref="OF232:OG232"/>
    <mergeCell ref="OH232:OI232"/>
    <mergeCell ref="OJ232:OK232"/>
    <mergeCell ref="OL232:OM232"/>
    <mergeCell ref="ON232:OO232"/>
    <mergeCell ref="OP232:OQ232"/>
    <mergeCell ref="OR232:OS232"/>
    <mergeCell ref="OT232:OU232"/>
    <mergeCell ref="OV232:OW232"/>
    <mergeCell ref="OX232:OY232"/>
    <mergeCell ref="OZ232:PA232"/>
    <mergeCell ref="PB232:PC232"/>
    <mergeCell ref="PD232:PE232"/>
    <mergeCell ref="PF232:PG232"/>
    <mergeCell ref="PH232:PI232"/>
    <mergeCell ref="PJ232:PK232"/>
    <mergeCell ref="PL232:PM232"/>
    <mergeCell ref="PN232:PO232"/>
    <mergeCell ref="PP232:PQ232"/>
    <mergeCell ref="PR232:PS232"/>
    <mergeCell ref="PT232:PU232"/>
    <mergeCell ref="PV232:PW232"/>
    <mergeCell ref="PX232:PY232"/>
    <mergeCell ref="PZ232:QA232"/>
    <mergeCell ref="QB232:QC232"/>
    <mergeCell ref="QD232:QE232"/>
    <mergeCell ref="QF232:QG232"/>
    <mergeCell ref="QH232:QI232"/>
    <mergeCell ref="QJ232:QK232"/>
    <mergeCell ref="NP233:NQ233"/>
    <mergeCell ref="NR233:NS233"/>
    <mergeCell ref="JN232:JO232"/>
    <mergeCell ref="JP232:JQ232"/>
    <mergeCell ref="JR232:JS232"/>
    <mergeCell ref="JT232:JU232"/>
    <mergeCell ref="JV232:JW232"/>
    <mergeCell ref="JX232:JY232"/>
    <mergeCell ref="JZ232:KA232"/>
    <mergeCell ref="KB232:KC232"/>
    <mergeCell ref="KD232:KE232"/>
    <mergeCell ref="KF232:KG232"/>
    <mergeCell ref="KH232:KI232"/>
    <mergeCell ref="KJ232:KK232"/>
    <mergeCell ref="KL232:KM232"/>
    <mergeCell ref="KN232:KO232"/>
    <mergeCell ref="KP232:KQ232"/>
    <mergeCell ref="KR232:KS232"/>
    <mergeCell ref="KT232:KU232"/>
    <mergeCell ref="KV232:KW232"/>
    <mergeCell ref="KX232:KY232"/>
    <mergeCell ref="KZ232:LA232"/>
    <mergeCell ref="LB232:LC232"/>
    <mergeCell ref="LD232:LE232"/>
    <mergeCell ref="LF232:LG232"/>
    <mergeCell ref="LH232:LI232"/>
    <mergeCell ref="LJ232:LK232"/>
    <mergeCell ref="LL232:LM232"/>
    <mergeCell ref="LN232:LO232"/>
    <mergeCell ref="LP232:LQ232"/>
    <mergeCell ref="LR232:LS232"/>
    <mergeCell ref="LT232:LU232"/>
    <mergeCell ref="LV232:LW232"/>
    <mergeCell ref="LX232:LY232"/>
    <mergeCell ref="LZ232:MA232"/>
    <mergeCell ref="QF228:QG228"/>
    <mergeCell ref="QH228:QI228"/>
    <mergeCell ref="QJ228:QK228"/>
    <mergeCell ref="QL228:QM228"/>
    <mergeCell ref="QN228:QO228"/>
    <mergeCell ref="QP228:QQ228"/>
    <mergeCell ref="QR228:QS228"/>
    <mergeCell ref="QT228:QU228"/>
    <mergeCell ref="QV228:QW228"/>
    <mergeCell ref="QX228:QY228"/>
    <mergeCell ref="QZ228:RA228"/>
    <mergeCell ref="RB228:RC228"/>
    <mergeCell ref="MB232:MC232"/>
    <mergeCell ref="MD232:ME232"/>
    <mergeCell ref="MF232:MG232"/>
    <mergeCell ref="MH232:MI232"/>
    <mergeCell ref="MJ232:MK232"/>
    <mergeCell ref="ML232:MM232"/>
    <mergeCell ref="MN232:MO232"/>
    <mergeCell ref="MP232:MQ232"/>
    <mergeCell ref="MR232:MS232"/>
    <mergeCell ref="MT232:MU232"/>
    <mergeCell ref="MV232:MW232"/>
    <mergeCell ref="MX232:MY232"/>
    <mergeCell ref="MZ232:NA232"/>
    <mergeCell ref="NB232:NC232"/>
    <mergeCell ref="ND232:NE232"/>
    <mergeCell ref="NF232:NG232"/>
    <mergeCell ref="NH232:NI232"/>
    <mergeCell ref="NJ232:NK232"/>
    <mergeCell ref="NL232:NM232"/>
    <mergeCell ref="NN232:NO232"/>
    <mergeCell ref="NP232:NQ232"/>
    <mergeCell ref="NR232:NS232"/>
    <mergeCell ref="NT232:NU232"/>
    <mergeCell ref="NV232:NW232"/>
    <mergeCell ref="NR228:NS228"/>
    <mergeCell ref="NT228:NU228"/>
    <mergeCell ref="NV228:NW228"/>
    <mergeCell ref="NX228:NY228"/>
    <mergeCell ref="NZ228:OA228"/>
    <mergeCell ref="OB228:OC228"/>
    <mergeCell ref="OD228:OE228"/>
    <mergeCell ref="OF228:OG228"/>
    <mergeCell ref="OH228:OI228"/>
    <mergeCell ref="OJ228:OK228"/>
    <mergeCell ref="OL228:OM228"/>
    <mergeCell ref="ON228:OO228"/>
    <mergeCell ref="OP228:OQ228"/>
    <mergeCell ref="OR228:OS228"/>
    <mergeCell ref="OT228:OU228"/>
    <mergeCell ref="OV228:OW228"/>
    <mergeCell ref="OX228:OY228"/>
    <mergeCell ref="OZ228:PA228"/>
    <mergeCell ref="PB228:PC228"/>
    <mergeCell ref="PD228:PE228"/>
    <mergeCell ref="PF228:PG228"/>
    <mergeCell ref="PH228:PI228"/>
    <mergeCell ref="PJ228:PK228"/>
    <mergeCell ref="PL228:PM228"/>
    <mergeCell ref="PN228:PO228"/>
    <mergeCell ref="PP228:PQ228"/>
    <mergeCell ref="PR228:PS228"/>
    <mergeCell ref="PT228:PU228"/>
    <mergeCell ref="PV228:PW228"/>
    <mergeCell ref="NJ228:NK228"/>
    <mergeCell ref="NL228:NM228"/>
    <mergeCell ref="NN228:NO228"/>
    <mergeCell ref="NP228:NQ228"/>
    <mergeCell ref="PX228:PY228"/>
    <mergeCell ref="PZ228:QA228"/>
    <mergeCell ref="QB228:QC228"/>
    <mergeCell ref="QD228:QE228"/>
    <mergeCell ref="NR221:NS221"/>
    <mergeCell ref="NT221:NU221"/>
    <mergeCell ref="NV221:NW221"/>
    <mergeCell ref="NX221:NY221"/>
    <mergeCell ref="NZ221:OA221"/>
    <mergeCell ref="OB221:OC221"/>
    <mergeCell ref="OD221:OE221"/>
    <mergeCell ref="OF221:OG221"/>
    <mergeCell ref="OH221:OI221"/>
    <mergeCell ref="RB221:RC221"/>
    <mergeCell ref="JN228:JO228"/>
    <mergeCell ref="JP228:JQ228"/>
    <mergeCell ref="JR228:JS228"/>
    <mergeCell ref="JT228:JU228"/>
    <mergeCell ref="JV228:JW228"/>
    <mergeCell ref="JX228:JY228"/>
    <mergeCell ref="JZ228:KA228"/>
    <mergeCell ref="KB228:KC228"/>
    <mergeCell ref="KD228:KE228"/>
    <mergeCell ref="KF228:KG228"/>
    <mergeCell ref="KH228:KI228"/>
    <mergeCell ref="KJ228:KK228"/>
    <mergeCell ref="KL228:KM228"/>
    <mergeCell ref="KN228:KO228"/>
    <mergeCell ref="KP228:KQ228"/>
    <mergeCell ref="KR228:KS228"/>
    <mergeCell ref="KT228:KU228"/>
    <mergeCell ref="KV228:KW228"/>
    <mergeCell ref="KX228:KY228"/>
    <mergeCell ref="KZ228:LA228"/>
    <mergeCell ref="LB228:LC228"/>
    <mergeCell ref="LD228:LE228"/>
    <mergeCell ref="LF228:LG228"/>
    <mergeCell ref="LH228:LI228"/>
    <mergeCell ref="LJ228:LK228"/>
    <mergeCell ref="LL228:LM228"/>
    <mergeCell ref="LN228:LO228"/>
    <mergeCell ref="LP228:LQ228"/>
    <mergeCell ref="LR228:LS228"/>
    <mergeCell ref="LT228:LU228"/>
    <mergeCell ref="LV228:LW228"/>
    <mergeCell ref="LX228:LY228"/>
    <mergeCell ref="LZ228:MA228"/>
    <mergeCell ref="MB228:MC228"/>
    <mergeCell ref="MD228:ME228"/>
    <mergeCell ref="MF228:MG228"/>
    <mergeCell ref="MH228:MI228"/>
    <mergeCell ref="MJ228:MK228"/>
    <mergeCell ref="ML228:MM228"/>
    <mergeCell ref="MN228:MO228"/>
    <mergeCell ref="MP228:MQ228"/>
    <mergeCell ref="MR228:MS228"/>
    <mergeCell ref="MT228:MU228"/>
    <mergeCell ref="MV228:MW228"/>
    <mergeCell ref="MX228:MY228"/>
    <mergeCell ref="MZ228:NA228"/>
    <mergeCell ref="NB228:NC228"/>
    <mergeCell ref="ND228:NE228"/>
    <mergeCell ref="NF228:NG228"/>
    <mergeCell ref="NH228:NI228"/>
    <mergeCell ref="MJ196:MK196"/>
    <mergeCell ref="ML196:MM196"/>
    <mergeCell ref="MN196:MO196"/>
    <mergeCell ref="MP196:MQ196"/>
    <mergeCell ref="MR196:MS196"/>
    <mergeCell ref="MT196:MU196"/>
    <mergeCell ref="MV196:MW196"/>
    <mergeCell ref="MX196:MY196"/>
    <mergeCell ref="RB196:RC196"/>
    <mergeCell ref="OB196:OC196"/>
    <mergeCell ref="JN221:JO221"/>
    <mergeCell ref="JP221:JQ221"/>
    <mergeCell ref="JR221:JS221"/>
    <mergeCell ref="JT221:JU221"/>
    <mergeCell ref="JV221:JW221"/>
    <mergeCell ref="JX221:JY221"/>
    <mergeCell ref="JZ221:KA221"/>
    <mergeCell ref="KB221:KC221"/>
    <mergeCell ref="KD221:KE221"/>
    <mergeCell ref="KF221:KG221"/>
    <mergeCell ref="KH221:KI221"/>
    <mergeCell ref="KJ221:KK221"/>
    <mergeCell ref="KL221:KM221"/>
    <mergeCell ref="KN221:KO221"/>
    <mergeCell ref="KP221:KQ221"/>
    <mergeCell ref="KR221:KS221"/>
    <mergeCell ref="KT221:KU221"/>
    <mergeCell ref="KV221:KW221"/>
    <mergeCell ref="KX221:KY221"/>
    <mergeCell ref="KZ221:LA221"/>
    <mergeCell ref="LB221:LC221"/>
    <mergeCell ref="LD221:LE221"/>
    <mergeCell ref="LF221:LG221"/>
    <mergeCell ref="LH221:LI221"/>
    <mergeCell ref="LJ221:LK221"/>
    <mergeCell ref="LL221:LM221"/>
    <mergeCell ref="LN221:LO221"/>
    <mergeCell ref="LP221:LQ221"/>
    <mergeCell ref="LR221:LS221"/>
    <mergeCell ref="LT221:LU221"/>
    <mergeCell ref="LV221:LW221"/>
    <mergeCell ref="LX221:LY221"/>
    <mergeCell ref="LZ221:MA221"/>
    <mergeCell ref="MB221:MC221"/>
    <mergeCell ref="MD221:ME221"/>
    <mergeCell ref="MF221:MG221"/>
    <mergeCell ref="MH221:MI221"/>
    <mergeCell ref="MJ221:MK221"/>
    <mergeCell ref="ML221:MM221"/>
    <mergeCell ref="MN221:MO221"/>
    <mergeCell ref="MP221:MQ221"/>
    <mergeCell ref="MR221:MS221"/>
    <mergeCell ref="MT221:MU221"/>
    <mergeCell ref="MV221:MW221"/>
    <mergeCell ref="MX221:MY221"/>
    <mergeCell ref="MZ221:NA221"/>
    <mergeCell ref="NB221:NC221"/>
    <mergeCell ref="ND221:NE221"/>
    <mergeCell ref="NF221:NG221"/>
    <mergeCell ref="QT221:QU221"/>
    <mergeCell ref="QT196:QU196"/>
    <mergeCell ref="QX182:QY182"/>
    <mergeCell ref="QZ182:RA182"/>
    <mergeCell ref="OJ221:OK221"/>
    <mergeCell ref="OL221:OM221"/>
    <mergeCell ref="ON221:OO221"/>
    <mergeCell ref="OP221:OQ221"/>
    <mergeCell ref="OR221:OS221"/>
    <mergeCell ref="RB181:RC181"/>
    <mergeCell ref="JN196:JO196"/>
    <mergeCell ref="JP196:JQ196"/>
    <mergeCell ref="JR196:JS196"/>
    <mergeCell ref="JT196:JU196"/>
    <mergeCell ref="JV196:JW196"/>
    <mergeCell ref="JX196:JY196"/>
    <mergeCell ref="JZ196:KA196"/>
    <mergeCell ref="KB196:KC196"/>
    <mergeCell ref="KD196:KE196"/>
    <mergeCell ref="KF196:KG196"/>
    <mergeCell ref="KH196:KI196"/>
    <mergeCell ref="KJ196:KK196"/>
    <mergeCell ref="KL196:KM196"/>
    <mergeCell ref="KN196:KO196"/>
    <mergeCell ref="KP196:KQ196"/>
    <mergeCell ref="KR196:KS196"/>
    <mergeCell ref="KT196:KU196"/>
    <mergeCell ref="KV196:KW196"/>
    <mergeCell ref="KX196:KY196"/>
    <mergeCell ref="KZ196:LA196"/>
    <mergeCell ref="LB196:LC196"/>
    <mergeCell ref="LD196:LE196"/>
    <mergeCell ref="LF196:LG196"/>
    <mergeCell ref="LH196:LI196"/>
    <mergeCell ref="LJ196:LK196"/>
    <mergeCell ref="LL196:LM196"/>
    <mergeCell ref="LN196:LO196"/>
    <mergeCell ref="LP196:LQ196"/>
    <mergeCell ref="LR196:LS196"/>
    <mergeCell ref="LT196:LU196"/>
    <mergeCell ref="LV196:LW196"/>
    <mergeCell ref="LX196:LY196"/>
    <mergeCell ref="LZ196:MA196"/>
    <mergeCell ref="MB196:MC196"/>
    <mergeCell ref="MD196:ME196"/>
    <mergeCell ref="MF196:MG196"/>
    <mergeCell ref="MH196:MI196"/>
    <mergeCell ref="QP196:QQ196"/>
    <mergeCell ref="NX183:NY183"/>
    <mergeCell ref="NZ183:OA183"/>
    <mergeCell ref="RB182:RC182"/>
    <mergeCell ref="OJ182:OK182"/>
    <mergeCell ref="OL182:OM182"/>
    <mergeCell ref="ON182:OO182"/>
    <mergeCell ref="OP182:OQ182"/>
    <mergeCell ref="OR182:OS182"/>
    <mergeCell ref="OT182:OU182"/>
    <mergeCell ref="OV182:OW182"/>
    <mergeCell ref="OX182:OY182"/>
    <mergeCell ref="OZ182:PA182"/>
    <mergeCell ref="PB182:PC182"/>
    <mergeCell ref="PD182:PE182"/>
    <mergeCell ref="PF182:PG182"/>
    <mergeCell ref="JN182:JO182"/>
    <mergeCell ref="NH221:NI221"/>
    <mergeCell ref="NJ221:NK221"/>
    <mergeCell ref="NL221:NM221"/>
    <mergeCell ref="NN221:NO221"/>
    <mergeCell ref="NP221:NQ221"/>
    <mergeCell ref="QB221:QC221"/>
    <mergeCell ref="QD221:QE221"/>
    <mergeCell ref="QF221:QG221"/>
    <mergeCell ref="QH221:QI221"/>
    <mergeCell ref="QJ221:QK221"/>
    <mergeCell ref="QL221:QM221"/>
    <mergeCell ref="QN221:QO221"/>
    <mergeCell ref="QP221:QQ221"/>
    <mergeCell ref="QR221:QS221"/>
    <mergeCell ref="OP191:OQ191"/>
    <mergeCell ref="OR191:OS191"/>
    <mergeCell ref="OT191:OU191"/>
    <mergeCell ref="OV191:OW191"/>
    <mergeCell ref="OX191:OY191"/>
    <mergeCell ref="QH188:QI188"/>
    <mergeCell ref="QJ188:QK188"/>
    <mergeCell ref="QL188:QM188"/>
    <mergeCell ref="QN188:QO188"/>
    <mergeCell ref="QP188:QQ188"/>
    <mergeCell ref="QR188:QS188"/>
    <mergeCell ref="PH190:PI190"/>
    <mergeCell ref="PJ190:PK190"/>
    <mergeCell ref="OZ191:PA191"/>
    <mergeCell ref="PB191:PC191"/>
    <mergeCell ref="PD191:PE191"/>
    <mergeCell ref="PF191:PG191"/>
    <mergeCell ref="OL185:OM185"/>
    <mergeCell ref="ON185:OO185"/>
    <mergeCell ref="OP185:OQ185"/>
    <mergeCell ref="OR185:OS185"/>
    <mergeCell ref="OT185:OU185"/>
    <mergeCell ref="OV185:OW185"/>
    <mergeCell ref="OZ187:PA187"/>
    <mergeCell ref="PB187:PC187"/>
    <mergeCell ref="PD187:PE187"/>
    <mergeCell ref="PF187:PG187"/>
    <mergeCell ref="PH187:PI187"/>
    <mergeCell ref="PJ187:PK187"/>
    <mergeCell ref="PL187:PM187"/>
    <mergeCell ref="PN187:PO187"/>
    <mergeCell ref="ON191:OO191"/>
    <mergeCell ref="OL196:OM196"/>
    <mergeCell ref="PH191:PI191"/>
    <mergeCell ref="OJ191:OK191"/>
    <mergeCell ref="OL191:OM191"/>
    <mergeCell ref="NL192:NM192"/>
    <mergeCell ref="NN192:NO192"/>
    <mergeCell ref="NP192:NQ192"/>
    <mergeCell ref="NH186:NI186"/>
    <mergeCell ref="PD195:PE195"/>
    <mergeCell ref="NX186:NY186"/>
    <mergeCell ref="NZ186:OA186"/>
    <mergeCell ref="OB186:OC186"/>
    <mergeCell ref="OD186:OE186"/>
    <mergeCell ref="OF186:OG186"/>
    <mergeCell ref="OH186:OI186"/>
    <mergeCell ref="OJ186:OK186"/>
    <mergeCell ref="QR196:QS196"/>
    <mergeCell ref="QP189:QQ189"/>
    <mergeCell ref="QX196:QY196"/>
    <mergeCell ref="QZ196:RA196"/>
    <mergeCell ref="QV221:QW221"/>
    <mergeCell ref="QX221:QY221"/>
    <mergeCell ref="QZ221:RA221"/>
    <mergeCell ref="OP183:OQ183"/>
    <mergeCell ref="QZ183:RA183"/>
    <mergeCell ref="QV195:QW195"/>
    <mergeCell ref="QX195:QY195"/>
    <mergeCell ref="QZ195:RA195"/>
    <mergeCell ref="QX181:QY181"/>
    <mergeCell ref="QZ181:RA181"/>
    <mergeCell ref="ON196:OO196"/>
    <mergeCell ref="OP196:OQ196"/>
    <mergeCell ref="OR196:OS196"/>
    <mergeCell ref="OT196:OU196"/>
    <mergeCell ref="OV196:OW196"/>
    <mergeCell ref="PB196:PC196"/>
    <mergeCell ref="PD196:PE196"/>
    <mergeCell ref="PF196:PG196"/>
    <mergeCell ref="PH196:PI196"/>
    <mergeCell ref="PJ196:PK196"/>
    <mergeCell ref="PL196:PM196"/>
    <mergeCell ref="PN196:PO196"/>
    <mergeCell ref="PP196:PQ196"/>
    <mergeCell ref="PR196:PS196"/>
    <mergeCell ref="PT196:PU196"/>
    <mergeCell ref="PV196:PW196"/>
    <mergeCell ref="PX196:PY196"/>
    <mergeCell ref="PZ196:QA196"/>
    <mergeCell ref="QB196:QC196"/>
    <mergeCell ref="QD196:QE196"/>
    <mergeCell ref="QF196:QG196"/>
    <mergeCell ref="QH196:QI196"/>
    <mergeCell ref="QJ196:QK196"/>
    <mergeCell ref="QL196:QM196"/>
    <mergeCell ref="QN196:QO196"/>
    <mergeCell ref="OT221:OU221"/>
    <mergeCell ref="OV221:OW221"/>
    <mergeCell ref="OX221:OY221"/>
    <mergeCell ref="OZ221:PA221"/>
    <mergeCell ref="PB221:PC221"/>
    <mergeCell ref="PD221:PE221"/>
    <mergeCell ref="PF221:PG221"/>
    <mergeCell ref="PH221:PI221"/>
    <mergeCell ref="PJ221:PK221"/>
    <mergeCell ref="PL221:PM221"/>
    <mergeCell ref="PN221:PO221"/>
    <mergeCell ref="PP221:PQ221"/>
    <mergeCell ref="PR221:PS221"/>
    <mergeCell ref="PT221:PU221"/>
    <mergeCell ref="PV221:PW221"/>
    <mergeCell ref="PX221:PY221"/>
    <mergeCell ref="PH182:PI182"/>
    <mergeCell ref="QT182:QU182"/>
    <mergeCell ref="QV182:QW182"/>
    <mergeCell ref="QT188:QU188"/>
    <mergeCell ref="QV188:QW188"/>
    <mergeCell ref="PZ221:QA221"/>
    <mergeCell ref="PP191:PQ191"/>
    <mergeCell ref="PR191:PS191"/>
    <mergeCell ref="PT191:PU191"/>
    <mergeCell ref="PZ189:QA189"/>
    <mergeCell ref="QB189:QC189"/>
    <mergeCell ref="PZ184:QA184"/>
    <mergeCell ref="QB184:QC184"/>
    <mergeCell ref="QD184:QE184"/>
    <mergeCell ref="QF184:QG184"/>
    <mergeCell ref="QH184:QI184"/>
    <mergeCell ref="QJ184:QK184"/>
    <mergeCell ref="QL184:QM184"/>
    <mergeCell ref="QN184:QO184"/>
    <mergeCell ref="QP184:QQ184"/>
    <mergeCell ref="QR184:QS184"/>
    <mergeCell ref="QT184:QU184"/>
    <mergeCell ref="PV189:PW189"/>
    <mergeCell ref="QF183:QG183"/>
    <mergeCell ref="QH183:QI183"/>
    <mergeCell ref="QJ183:QK183"/>
    <mergeCell ref="PZ187:QA187"/>
    <mergeCell ref="QB187:QC187"/>
    <mergeCell ref="QD187:QE187"/>
    <mergeCell ref="QF187:QG187"/>
    <mergeCell ref="QH187:QI187"/>
    <mergeCell ref="QJ187:QK187"/>
    <mergeCell ref="QL187:QM187"/>
    <mergeCell ref="QN187:QO187"/>
    <mergeCell ref="QP187:QQ187"/>
    <mergeCell ref="QR187:QS187"/>
    <mergeCell ref="QT187:QU187"/>
    <mergeCell ref="QL183:QM183"/>
    <mergeCell ref="QN183:QO183"/>
    <mergeCell ref="QP183:QQ183"/>
    <mergeCell ref="QR183:QS183"/>
    <mergeCell ref="QT183:QU183"/>
    <mergeCell ref="PP193:PQ193"/>
    <mergeCell ref="PR193:PS193"/>
    <mergeCell ref="PT193:PU193"/>
    <mergeCell ref="PV193:PW193"/>
    <mergeCell ref="PX193:PY193"/>
    <mergeCell ref="PZ193:QA193"/>
    <mergeCell ref="QD189:QE189"/>
    <mergeCell ref="QF189:QG189"/>
    <mergeCell ref="QH189:QI189"/>
    <mergeCell ref="PZ185:QA185"/>
    <mergeCell ref="QB185:QC185"/>
    <mergeCell ref="PP184:PQ184"/>
    <mergeCell ref="PR184:PS184"/>
    <mergeCell ref="PT184:PU184"/>
    <mergeCell ref="PV184:PW184"/>
    <mergeCell ref="PX184:PY184"/>
    <mergeCell ref="PV191:PW191"/>
    <mergeCell ref="PX191:PY191"/>
    <mergeCell ref="PZ191:QA191"/>
    <mergeCell ref="QB191:QC191"/>
    <mergeCell ref="QD191:QE191"/>
    <mergeCell ref="QF191:QG191"/>
    <mergeCell ref="QH191:QI191"/>
    <mergeCell ref="PP183:PQ183"/>
    <mergeCell ref="PR183:PS183"/>
    <mergeCell ref="PT183:PU183"/>
    <mergeCell ref="PV183:PW183"/>
    <mergeCell ref="PX183:PY183"/>
    <mergeCell ref="PZ183:QA183"/>
    <mergeCell ref="QB183:QC183"/>
    <mergeCell ref="QL189:QM189"/>
    <mergeCell ref="QN189:QO189"/>
    <mergeCell ref="PX186:PY186"/>
    <mergeCell ref="OR184:OS184"/>
    <mergeCell ref="OT184:OU184"/>
    <mergeCell ref="OV184:OW184"/>
    <mergeCell ref="OX184:OY184"/>
    <mergeCell ref="OZ184:PA184"/>
    <mergeCell ref="PB184:PC184"/>
    <mergeCell ref="OJ196:OK196"/>
    <mergeCell ref="QJ181:QK181"/>
    <mergeCell ref="NX181:NY181"/>
    <mergeCell ref="OH184:OI184"/>
    <mergeCell ref="PD184:PE184"/>
    <mergeCell ref="PF184:PG184"/>
    <mergeCell ref="PH184:PI184"/>
    <mergeCell ref="PJ184:PK184"/>
    <mergeCell ref="PL184:PM184"/>
    <mergeCell ref="PN184:PO184"/>
    <mergeCell ref="MZ196:NA196"/>
    <mergeCell ref="NB196:NC196"/>
    <mergeCell ref="ND196:NE196"/>
    <mergeCell ref="NF196:NG196"/>
    <mergeCell ref="NH196:NI196"/>
    <mergeCell ref="NJ196:NK196"/>
    <mergeCell ref="NX196:NY196"/>
    <mergeCell ref="NZ196:OA196"/>
    <mergeCell ref="QP181:QQ181"/>
    <mergeCell ref="PD181:PE181"/>
    <mergeCell ref="NJ186:NK186"/>
    <mergeCell ref="QN191:QO191"/>
    <mergeCell ref="QP191:QQ191"/>
    <mergeCell ref="QR191:QS191"/>
    <mergeCell ref="QT191:QU191"/>
    <mergeCell ref="PT187:PU187"/>
    <mergeCell ref="PV187:PW187"/>
    <mergeCell ref="PX187:PY187"/>
    <mergeCell ref="NR192:NS192"/>
    <mergeCell ref="NT192:NU192"/>
    <mergeCell ref="NV192:NW192"/>
    <mergeCell ref="NX192:NY192"/>
    <mergeCell ref="QN192:QO192"/>
    <mergeCell ref="QP192:QQ192"/>
    <mergeCell ref="QR192:QS192"/>
    <mergeCell ref="QT192:QU192"/>
    <mergeCell ref="NB193:NC193"/>
    <mergeCell ref="ND193:NE193"/>
    <mergeCell ref="NF193:NG193"/>
    <mergeCell ref="NH193:NI193"/>
    <mergeCell ref="NJ193:NK193"/>
    <mergeCell ref="NL193:NM193"/>
    <mergeCell ref="NN193:NO193"/>
    <mergeCell ref="NP193:NQ193"/>
    <mergeCell ref="NR193:NS193"/>
    <mergeCell ref="NT193:NU193"/>
    <mergeCell ref="NV193:NW193"/>
    <mergeCell ref="NX193:NY193"/>
    <mergeCell ref="NZ193:OA193"/>
    <mergeCell ref="OB193:OC193"/>
    <mergeCell ref="OD193:OE193"/>
    <mergeCell ref="OF193:OG193"/>
    <mergeCell ref="OH193:OI193"/>
    <mergeCell ref="OJ193:OK193"/>
    <mergeCell ref="OL193:OM193"/>
    <mergeCell ref="ON193:OO193"/>
    <mergeCell ref="QT185:QU185"/>
    <mergeCell ref="OP193:OQ193"/>
    <mergeCell ref="QV191:QW191"/>
    <mergeCell ref="QD183:QE183"/>
    <mergeCell ref="NF181:NG181"/>
    <mergeCell ref="MZ182:NA182"/>
    <mergeCell ref="PT181:PU181"/>
    <mergeCell ref="NF182:NG182"/>
    <mergeCell ref="NB182:NC182"/>
    <mergeCell ref="ND182:NE182"/>
    <mergeCell ref="NH182:NI182"/>
    <mergeCell ref="NJ182:NK182"/>
    <mergeCell ref="NZ182:OA182"/>
    <mergeCell ref="OB182:OC182"/>
    <mergeCell ref="OD182:OE182"/>
    <mergeCell ref="OF182:OG182"/>
    <mergeCell ref="OH182:OI182"/>
    <mergeCell ref="NN182:NO182"/>
    <mergeCell ref="OP181:OQ181"/>
    <mergeCell ref="OR181:OS181"/>
    <mergeCell ref="OT181:OU181"/>
    <mergeCell ref="NL181:NM181"/>
    <mergeCell ref="QV183:QW183"/>
    <mergeCell ref="NF184:NG184"/>
    <mergeCell ref="NH184:NI184"/>
    <mergeCell ref="NJ184:NK184"/>
    <mergeCell ref="NL184:NM184"/>
    <mergeCell ref="NN184:NO184"/>
    <mergeCell ref="NP184:NQ184"/>
    <mergeCell ref="NR184:NS184"/>
    <mergeCell ref="NT184:NU184"/>
    <mergeCell ref="NB185:NC185"/>
    <mergeCell ref="ND185:NE185"/>
    <mergeCell ref="NF185:NG185"/>
    <mergeCell ref="NH185:NI185"/>
    <mergeCell ref="NJ185:NK185"/>
    <mergeCell ref="QJ185:QK185"/>
    <mergeCell ref="QL185:QM185"/>
    <mergeCell ref="QN185:QO185"/>
    <mergeCell ref="QP185:QQ185"/>
    <mergeCell ref="QR185:QS185"/>
    <mergeCell ref="NF186:NG186"/>
    <mergeCell ref="QR182:QS182"/>
    <mergeCell ref="NJ187:NK187"/>
    <mergeCell ref="NL187:NM187"/>
    <mergeCell ref="NN187:NO187"/>
    <mergeCell ref="NP187:NQ187"/>
    <mergeCell ref="NR187:NS187"/>
    <mergeCell ref="NT187:NU187"/>
    <mergeCell ref="NV187:NW187"/>
    <mergeCell ref="NX187:NY187"/>
    <mergeCell ref="NZ187:OA187"/>
    <mergeCell ref="OB187:OC187"/>
    <mergeCell ref="OD187:OE187"/>
    <mergeCell ref="OF187:OG187"/>
    <mergeCell ref="OH187:OI187"/>
    <mergeCell ref="OJ187:OK187"/>
    <mergeCell ref="OL187:OM187"/>
    <mergeCell ref="ON187:OO187"/>
    <mergeCell ref="OP187:OQ187"/>
    <mergeCell ref="OR187:OS187"/>
    <mergeCell ref="OT187:OU187"/>
    <mergeCell ref="OV187:OW187"/>
    <mergeCell ref="OX187:OY187"/>
    <mergeCell ref="PP187:PQ187"/>
    <mergeCell ref="PR187:PS187"/>
    <mergeCell ref="NX175:NY175"/>
    <mergeCell ref="NZ175:OA175"/>
    <mergeCell ref="QX176:QY176"/>
    <mergeCell ref="PJ175:PK175"/>
    <mergeCell ref="PL175:PM175"/>
    <mergeCell ref="PN175:PO175"/>
    <mergeCell ref="PP175:PQ175"/>
    <mergeCell ref="PR175:PS175"/>
    <mergeCell ref="QR174:QS174"/>
    <mergeCell ref="QV196:QW196"/>
    <mergeCell ref="OX196:OY196"/>
    <mergeCell ref="OZ196:PA196"/>
    <mergeCell ref="NL196:NM196"/>
    <mergeCell ref="NN196:NO196"/>
    <mergeCell ref="NP196:NQ196"/>
    <mergeCell ref="NR196:NS196"/>
    <mergeCell ref="NT196:NU196"/>
    <mergeCell ref="NV196:NW196"/>
    <mergeCell ref="QV181:QW181"/>
    <mergeCell ref="QD181:QE181"/>
    <mergeCell ref="QF181:QG181"/>
    <mergeCell ref="QH181:QI181"/>
    <mergeCell ref="ON181:OO181"/>
    <mergeCell ref="QR181:QS181"/>
    <mergeCell ref="PF181:PG181"/>
    <mergeCell ref="PH181:PI181"/>
    <mergeCell ref="PJ181:PK181"/>
    <mergeCell ref="PL181:PM181"/>
    <mergeCell ref="PN181:PO181"/>
    <mergeCell ref="PP181:PQ181"/>
    <mergeCell ref="PR181:PS181"/>
    <mergeCell ref="NL182:NM182"/>
    <mergeCell ref="OD196:OE196"/>
    <mergeCell ref="OF196:OG196"/>
    <mergeCell ref="OH196:OI196"/>
    <mergeCell ref="OL186:OM186"/>
    <mergeCell ref="ON186:OO186"/>
    <mergeCell ref="OP186:OQ186"/>
    <mergeCell ref="OR186:OS186"/>
    <mergeCell ref="OT186:OU186"/>
    <mergeCell ref="OV186:OW186"/>
    <mergeCell ref="OX186:OY186"/>
    <mergeCell ref="OZ186:PA186"/>
    <mergeCell ref="PB186:PC186"/>
    <mergeCell ref="PD186:PE186"/>
    <mergeCell ref="PF186:PG186"/>
    <mergeCell ref="PH186:PI186"/>
    <mergeCell ref="PJ186:PK186"/>
    <mergeCell ref="PL186:PM186"/>
    <mergeCell ref="PN186:PO186"/>
    <mergeCell ref="PP186:PQ186"/>
    <mergeCell ref="PR186:PS186"/>
    <mergeCell ref="PT186:PU186"/>
    <mergeCell ref="PV186:PW186"/>
    <mergeCell ref="PZ186:QA186"/>
    <mergeCell ref="QB186:QC186"/>
    <mergeCell ref="PP185:PQ185"/>
    <mergeCell ref="PR185:PS185"/>
    <mergeCell ref="PT185:PU185"/>
    <mergeCell ref="PV185:PW185"/>
    <mergeCell ref="PX185:PY185"/>
    <mergeCell ref="PZ195:QA195"/>
    <mergeCell ref="QB195:QC195"/>
    <mergeCell ref="QD195:QE195"/>
    <mergeCell ref="PB174:PC174"/>
    <mergeCell ref="PD174:PE174"/>
    <mergeCell ref="PF174:PG174"/>
    <mergeCell ref="QX174:QY174"/>
    <mergeCell ref="QZ174:RA174"/>
    <mergeCell ref="RB174:RC174"/>
    <mergeCell ref="QT174:QU174"/>
    <mergeCell ref="QV174:QW174"/>
    <mergeCell ref="QX175:QY175"/>
    <mergeCell ref="OL175:OM175"/>
    <mergeCell ref="ON175:OO175"/>
    <mergeCell ref="OX175:OY175"/>
    <mergeCell ref="QV175:QW175"/>
    <mergeCell ref="QP174:QQ174"/>
    <mergeCell ref="OH174:OI174"/>
    <mergeCell ref="OJ174:OK174"/>
    <mergeCell ref="OL174:OM174"/>
    <mergeCell ref="ON174:OO174"/>
    <mergeCell ref="RB175:RC175"/>
    <mergeCell ref="QZ175:RA175"/>
    <mergeCell ref="QZ176:RA176"/>
    <mergeCell ref="ON176:OO176"/>
    <mergeCell ref="OP176:OQ176"/>
    <mergeCell ref="OR176:OS176"/>
    <mergeCell ref="OV175:OW175"/>
    <mergeCell ref="OB175:OC175"/>
    <mergeCell ref="QD174:QE174"/>
    <mergeCell ref="QF175:QG175"/>
    <mergeCell ref="QH175:QI175"/>
    <mergeCell ref="OD176:OE176"/>
    <mergeCell ref="OF176:OG176"/>
    <mergeCell ref="OH176:OI176"/>
    <mergeCell ref="OT176:OU176"/>
    <mergeCell ref="PF175:PG175"/>
    <mergeCell ref="QF174:QG174"/>
    <mergeCell ref="QH174:QI174"/>
    <mergeCell ref="QJ174:QK174"/>
    <mergeCell ref="QL174:QM174"/>
    <mergeCell ref="QN174:QO174"/>
    <mergeCell ref="PV175:PW175"/>
    <mergeCell ref="MX184:MY184"/>
    <mergeCell ref="PN177:PO177"/>
    <mergeCell ref="MZ181:NA181"/>
    <mergeCell ref="NB181:NC181"/>
    <mergeCell ref="NZ184:OA184"/>
    <mergeCell ref="OB184:OC184"/>
    <mergeCell ref="OD184:OE184"/>
    <mergeCell ref="OF184:OG184"/>
    <mergeCell ref="NV184:NW184"/>
    <mergeCell ref="NX184:NY184"/>
    <mergeCell ref="OF177:OG177"/>
    <mergeCell ref="MV184:MW184"/>
    <mergeCell ref="LF174:LG174"/>
    <mergeCell ref="MJ174:MK174"/>
    <mergeCell ref="ML174:MM174"/>
    <mergeCell ref="NL177:NM177"/>
    <mergeCell ref="NT177:NU177"/>
    <mergeCell ref="NZ177:OA177"/>
    <mergeCell ref="NN177:NO177"/>
    <mergeCell ref="NP177:NQ177"/>
    <mergeCell ref="NR177:NS177"/>
    <mergeCell ref="OJ177:OK177"/>
    <mergeCell ref="OL177:OM177"/>
    <mergeCell ref="ON177:OO177"/>
    <mergeCell ref="OP177:OQ177"/>
    <mergeCell ref="OB177:OC177"/>
    <mergeCell ref="NB177:NC177"/>
    <mergeCell ref="OH177:OI177"/>
    <mergeCell ref="NH175:NI175"/>
    <mergeCell ref="NJ175:NK175"/>
    <mergeCell ref="NL175:NM175"/>
    <mergeCell ref="LP175:LQ175"/>
    <mergeCell ref="LR175:LS175"/>
    <mergeCell ref="LT175:LU175"/>
    <mergeCell ref="LV175:LW175"/>
    <mergeCell ref="LX175:LY175"/>
    <mergeCell ref="LZ175:MA175"/>
    <mergeCell ref="MB175:MC175"/>
    <mergeCell ref="MD174:ME174"/>
    <mergeCell ref="MF174:MG174"/>
    <mergeCell ref="MH174:MI174"/>
    <mergeCell ref="NL183:NM183"/>
    <mergeCell ref="NN183:NO183"/>
    <mergeCell ref="MR180:MS180"/>
    <mergeCell ref="MT180:MU180"/>
    <mergeCell ref="NB180:NC180"/>
    <mergeCell ref="ND180:NE180"/>
    <mergeCell ref="MF177:MG177"/>
    <mergeCell ref="MH177:MI177"/>
    <mergeCell ref="MT174:MU174"/>
    <mergeCell ref="MV174:MW174"/>
    <mergeCell ref="MX174:MY174"/>
    <mergeCell ref="MZ174:NA174"/>
    <mergeCell ref="OZ181:PA181"/>
    <mergeCell ref="NV177:NW177"/>
    <mergeCell ref="NX177:NY177"/>
    <mergeCell ref="NP182:NQ182"/>
    <mergeCell ref="NR182:NS182"/>
    <mergeCell ref="NT182:NU182"/>
    <mergeCell ref="OJ184:OK184"/>
    <mergeCell ref="OL184:OM184"/>
    <mergeCell ref="ON184:OO184"/>
    <mergeCell ref="OP184:OQ184"/>
    <mergeCell ref="NT174:NU174"/>
    <mergeCell ref="OD173:OE173"/>
    <mergeCell ref="OF173:OG173"/>
    <mergeCell ref="OH173:OI173"/>
    <mergeCell ref="OJ173:OK173"/>
    <mergeCell ref="PD172:PE172"/>
    <mergeCell ref="PF172:PG172"/>
    <mergeCell ref="QP171:QQ171"/>
    <mergeCell ref="QH171:QI171"/>
    <mergeCell ref="QJ171:QK171"/>
    <mergeCell ref="QL171:QM171"/>
    <mergeCell ref="QN171:QO171"/>
    <mergeCell ref="MN177:MO177"/>
    <mergeCell ref="MP177:MQ177"/>
    <mergeCell ref="MR177:MS177"/>
    <mergeCell ref="QJ175:QK175"/>
    <mergeCell ref="NF180:NG180"/>
    <mergeCell ref="OB180:OC180"/>
    <mergeCell ref="OD180:OE180"/>
    <mergeCell ref="OF180:OG180"/>
    <mergeCell ref="OH180:OI180"/>
    <mergeCell ref="OJ180:OK180"/>
    <mergeCell ref="OL180:OM180"/>
    <mergeCell ref="ON180:OO180"/>
    <mergeCell ref="PJ182:PK182"/>
    <mergeCell ref="PL182:PM182"/>
    <mergeCell ref="PN182:PO182"/>
    <mergeCell ref="PP182:PQ182"/>
    <mergeCell ref="PR182:PS182"/>
    <mergeCell ref="PT182:PU182"/>
    <mergeCell ref="PV182:PW182"/>
    <mergeCell ref="PX182:PY182"/>
    <mergeCell ref="PZ182:QA182"/>
    <mergeCell ref="QB182:QC182"/>
    <mergeCell ref="QD182:QE182"/>
    <mergeCell ref="QF182:QG182"/>
    <mergeCell ref="QL173:QM173"/>
    <mergeCell ref="QN173:QO173"/>
    <mergeCell ref="QP173:QQ173"/>
    <mergeCell ref="OV171:OW171"/>
    <mergeCell ref="OX171:OY171"/>
    <mergeCell ref="OZ171:PA171"/>
    <mergeCell ref="OF174:OG174"/>
    <mergeCell ref="QH182:QI182"/>
    <mergeCell ref="QJ182:QK182"/>
    <mergeCell ref="QL182:QM182"/>
    <mergeCell ref="QN182:QO182"/>
    <mergeCell ref="QP182:QQ182"/>
    <mergeCell ref="MN174:MO174"/>
    <mergeCell ref="MP174:MQ174"/>
    <mergeCell ref="MR174:MS174"/>
    <mergeCell ref="ND172:NE172"/>
    <mergeCell ref="ND173:NE173"/>
    <mergeCell ref="NF173:NG173"/>
    <mergeCell ref="MV182:MW182"/>
    <mergeCell ref="NV174:NW174"/>
    <mergeCell ref="NX174:NY174"/>
    <mergeCell ref="NZ174:OA174"/>
    <mergeCell ref="OB174:OC174"/>
    <mergeCell ref="OP174:OQ174"/>
    <mergeCell ref="OR174:OS174"/>
    <mergeCell ref="OT174:OU174"/>
    <mergeCell ref="OV174:OW174"/>
    <mergeCell ref="OX174:OY174"/>
    <mergeCell ref="OZ174:PA174"/>
    <mergeCell ref="PB171:PC171"/>
    <mergeCell ref="PD171:PE171"/>
    <mergeCell ref="PF171:PG171"/>
    <mergeCell ref="QB174:QC174"/>
    <mergeCell ref="MX182:MY182"/>
    <mergeCell ref="MR182:MS182"/>
    <mergeCell ref="MT182:MU182"/>
    <mergeCell ref="LH174:LI174"/>
    <mergeCell ref="LJ174:LK174"/>
    <mergeCell ref="LL174:LM174"/>
    <mergeCell ref="LN174:LO174"/>
    <mergeCell ref="LP174:LQ174"/>
    <mergeCell ref="LR174:LS174"/>
    <mergeCell ref="LT174:LU174"/>
    <mergeCell ref="LV174:LW174"/>
    <mergeCell ref="LX174:LY174"/>
    <mergeCell ref="LZ174:MA174"/>
    <mergeCell ref="MB174:MC174"/>
    <mergeCell ref="LR171:LS171"/>
    <mergeCell ref="LT171:LU171"/>
    <mergeCell ref="LV171:LW171"/>
    <mergeCell ref="LX171:LY171"/>
    <mergeCell ref="LZ171:MA171"/>
    <mergeCell ref="MB171:MC171"/>
    <mergeCell ref="MD171:ME171"/>
    <mergeCell ref="MF171:MG171"/>
    <mergeCell ref="MH171:MI171"/>
    <mergeCell ref="MJ171:MK171"/>
    <mergeCell ref="OB173:OC173"/>
    <mergeCell ref="NR173:NS173"/>
    <mergeCell ref="MB172:MC172"/>
    <mergeCell ref="MD172:ME172"/>
    <mergeCell ref="MF172:MG172"/>
    <mergeCell ref="MH172:MI172"/>
    <mergeCell ref="MJ172:MK172"/>
    <mergeCell ref="OT171:OU171"/>
    <mergeCell ref="ML171:MM171"/>
    <mergeCell ref="MN171:MO171"/>
    <mergeCell ref="MP171:MQ171"/>
    <mergeCell ref="MR171:MS171"/>
    <mergeCell ref="MT171:MU171"/>
    <mergeCell ref="MV171:MW171"/>
    <mergeCell ref="MX171:MY171"/>
    <mergeCell ref="MZ171:NA171"/>
    <mergeCell ref="NB171:NC171"/>
    <mergeCell ref="ND171:NE171"/>
    <mergeCell ref="NF171:NG171"/>
    <mergeCell ref="NH171:NI171"/>
    <mergeCell ref="NJ171:NK171"/>
    <mergeCell ref="NL171:NM171"/>
    <mergeCell ref="NN171:NO171"/>
    <mergeCell ref="NP171:NQ171"/>
    <mergeCell ref="NR171:NS171"/>
    <mergeCell ref="OF171:OG171"/>
    <mergeCell ref="MX172:MY172"/>
    <mergeCell ref="NB174:NC174"/>
    <mergeCell ref="ND174:NE174"/>
    <mergeCell ref="NF174:NG174"/>
    <mergeCell ref="NH174:NI174"/>
    <mergeCell ref="NJ174:NK174"/>
    <mergeCell ref="NL174:NM174"/>
    <mergeCell ref="NL173:NM173"/>
    <mergeCell ref="NN173:NO173"/>
    <mergeCell ref="NP173:NQ173"/>
    <mergeCell ref="RB173:RC173"/>
    <mergeCell ref="PH172:PI172"/>
    <mergeCell ref="PL172:PM172"/>
    <mergeCell ref="KV174:KW174"/>
    <mergeCell ref="KX174:KY174"/>
    <mergeCell ref="KZ174:LA174"/>
    <mergeCell ref="KV172:KW172"/>
    <mergeCell ref="KX172:KY172"/>
    <mergeCell ref="KZ172:LA172"/>
    <mergeCell ref="LB172:LC172"/>
    <mergeCell ref="LD172:LE172"/>
    <mergeCell ref="LF172:LG172"/>
    <mergeCell ref="LH172:LI172"/>
    <mergeCell ref="LJ172:LK172"/>
    <mergeCell ref="LL172:LM172"/>
    <mergeCell ref="LN172:LO172"/>
    <mergeCell ref="LP172:LQ172"/>
    <mergeCell ref="QP175:QQ175"/>
    <mergeCell ref="QR175:QS175"/>
    <mergeCell ref="QP170:QQ170"/>
    <mergeCell ref="QR170:QS170"/>
    <mergeCell ref="QT170:QU170"/>
    <mergeCell ref="QV170:QW170"/>
    <mergeCell ref="QX170:QY170"/>
    <mergeCell ref="OH172:OI172"/>
    <mergeCell ref="OJ172:OK172"/>
    <mergeCell ref="QJ172:QK172"/>
    <mergeCell ref="QL172:QM172"/>
    <mergeCell ref="OL173:OM173"/>
    <mergeCell ref="ON173:OO173"/>
    <mergeCell ref="OP173:OQ173"/>
    <mergeCell ref="OR173:OS173"/>
    <mergeCell ref="OT173:OU173"/>
    <mergeCell ref="OV173:OW173"/>
    <mergeCell ref="OX173:OY173"/>
    <mergeCell ref="OZ173:PA173"/>
    <mergeCell ref="PB173:PC173"/>
    <mergeCell ref="QD172:QE172"/>
    <mergeCell ref="QR173:QS173"/>
    <mergeCell ref="MP173:MQ173"/>
    <mergeCell ref="MR173:MS173"/>
    <mergeCell ref="MT173:MU173"/>
    <mergeCell ref="MV173:MW173"/>
    <mergeCell ref="MX173:MY173"/>
    <mergeCell ref="LR172:LS172"/>
    <mergeCell ref="NH173:NI173"/>
    <mergeCell ref="NJ173:NK173"/>
    <mergeCell ref="MJ170:MK170"/>
    <mergeCell ref="ML170:MM170"/>
    <mergeCell ref="MN170:MO170"/>
    <mergeCell ref="MJ173:MK173"/>
    <mergeCell ref="ML173:MM173"/>
    <mergeCell ref="MN173:MO173"/>
    <mergeCell ref="MZ173:NA173"/>
    <mergeCell ref="NB173:NC173"/>
    <mergeCell ref="LF171:LG171"/>
    <mergeCell ref="LH171:LI171"/>
    <mergeCell ref="LJ171:LK171"/>
    <mergeCell ref="QL175:QM175"/>
    <mergeCell ref="QN175:QO175"/>
    <mergeCell ref="NF172:NG172"/>
    <mergeCell ref="LL171:LM171"/>
    <mergeCell ref="LN171:LO171"/>
    <mergeCell ref="LP171:LQ171"/>
    <mergeCell ref="QR169:QS169"/>
    <mergeCell ref="QT169:QU169"/>
    <mergeCell ref="QV169:QW169"/>
    <mergeCell ref="QX169:QY169"/>
    <mergeCell ref="PP171:PQ171"/>
    <mergeCell ref="PZ170:QA170"/>
    <mergeCell ref="QB170:QC170"/>
    <mergeCell ref="QZ170:RA170"/>
    <mergeCell ref="RB170:RC170"/>
    <mergeCell ref="NN174:NO174"/>
    <mergeCell ref="NP174:NQ174"/>
    <mergeCell ref="NR174:NS174"/>
    <mergeCell ref="NT173:NU173"/>
    <mergeCell ref="NV173:NW173"/>
    <mergeCell ref="NX173:NY173"/>
    <mergeCell ref="NZ173:OA173"/>
    <mergeCell ref="LT172:LU172"/>
    <mergeCell ref="LV172:LW172"/>
    <mergeCell ref="LX172:LY172"/>
    <mergeCell ref="LZ172:MA172"/>
    <mergeCell ref="OL172:OM172"/>
    <mergeCell ref="ON172:OO172"/>
    <mergeCell ref="OP172:OQ172"/>
    <mergeCell ref="OR172:OS172"/>
    <mergeCell ref="OT172:OU172"/>
    <mergeCell ref="OV172:OW172"/>
    <mergeCell ref="OX172:OY172"/>
    <mergeCell ref="OZ172:PA172"/>
    <mergeCell ref="PB172:PC172"/>
    <mergeCell ref="QR171:QS171"/>
    <mergeCell ref="PD173:PE173"/>
    <mergeCell ref="PF173:PG173"/>
    <mergeCell ref="PH173:PI173"/>
    <mergeCell ref="PJ173:PK173"/>
    <mergeCell ref="PL173:PM173"/>
    <mergeCell ref="PN173:PO173"/>
    <mergeCell ref="PP173:PQ173"/>
    <mergeCell ref="PR173:PS173"/>
    <mergeCell ref="PT173:PU173"/>
    <mergeCell ref="PV173:PW173"/>
    <mergeCell ref="PX173:PY173"/>
    <mergeCell ref="QF173:QG173"/>
    <mergeCell ref="QH173:QI173"/>
    <mergeCell ref="QJ173:QK173"/>
    <mergeCell ref="QR172:QS172"/>
    <mergeCell ref="PR171:PS171"/>
    <mergeCell ref="PT171:PU171"/>
    <mergeCell ref="PV171:PW171"/>
    <mergeCell ref="PX171:PY171"/>
    <mergeCell ref="PZ171:QA171"/>
    <mergeCell ref="MV172:MW172"/>
    <mergeCell ref="QN172:QO172"/>
    <mergeCell ref="QP172:QQ172"/>
    <mergeCell ref="OB172:OC172"/>
    <mergeCell ref="OD172:OE172"/>
    <mergeCell ref="OF172:OG172"/>
    <mergeCell ref="RB171:RC171"/>
    <mergeCell ref="PH171:PI171"/>
    <mergeCell ref="PJ171:PK171"/>
    <mergeCell ref="PL171:PM171"/>
    <mergeCell ref="PN171:PO171"/>
    <mergeCell ref="QZ171:RA171"/>
    <mergeCell ref="QZ173:RA173"/>
    <mergeCell ref="PN172:PO172"/>
    <mergeCell ref="QT173:QU173"/>
    <mergeCell ref="QV173:QW173"/>
    <mergeCell ref="QX173:QY173"/>
    <mergeCell ref="OH171:OI171"/>
    <mergeCell ref="OJ171:OK171"/>
    <mergeCell ref="OL171:OM171"/>
    <mergeCell ref="ON171:OO171"/>
    <mergeCell ref="OP171:OQ171"/>
    <mergeCell ref="OR171:OS171"/>
    <mergeCell ref="QF172:QG172"/>
    <mergeCell ref="QH172:QI172"/>
    <mergeCell ref="PJ172:PK172"/>
    <mergeCell ref="PZ173:QA173"/>
    <mergeCell ref="QB173:QC173"/>
    <mergeCell ref="QD173:QE173"/>
    <mergeCell ref="QT172:QU172"/>
    <mergeCell ref="QV172:QW172"/>
    <mergeCell ref="QX172:QY172"/>
    <mergeCell ref="QZ172:RA172"/>
    <mergeCell ref="RB172:RC172"/>
    <mergeCell ref="QF168:QG168"/>
    <mergeCell ref="QH168:QI168"/>
    <mergeCell ref="QJ168:QK168"/>
    <mergeCell ref="QJ169:QK169"/>
    <mergeCell ref="QL169:QM169"/>
    <mergeCell ref="QN169:QO169"/>
    <mergeCell ref="PD169:PE169"/>
    <mergeCell ref="PF169:PG169"/>
    <mergeCell ref="PH169:PI169"/>
    <mergeCell ref="PJ169:PK169"/>
    <mergeCell ref="PL169:PM169"/>
    <mergeCell ref="QB171:QC171"/>
    <mergeCell ref="QD171:QE171"/>
    <mergeCell ref="PX169:PY169"/>
    <mergeCell ref="PX170:PY170"/>
    <mergeCell ref="PZ169:QA169"/>
    <mergeCell ref="QB169:QC169"/>
    <mergeCell ref="QT171:QU171"/>
    <mergeCell ref="QV171:QW171"/>
    <mergeCell ref="QX171:QY171"/>
    <mergeCell ref="QD170:QE170"/>
    <mergeCell ref="QF170:QG170"/>
    <mergeCell ref="QH170:QI170"/>
    <mergeCell ref="QJ170:QK170"/>
    <mergeCell ref="QL170:QM170"/>
    <mergeCell ref="QN170:QO170"/>
    <mergeCell ref="QZ168:RA168"/>
    <mergeCell ref="RB168:RC168"/>
    <mergeCell ref="OL168:OM168"/>
    <mergeCell ref="ON168:OO168"/>
    <mergeCell ref="OP168:OQ168"/>
    <mergeCell ref="OR168:OS168"/>
    <mergeCell ref="OT168:OU168"/>
    <mergeCell ref="QF171:QG171"/>
    <mergeCell ref="OV168:OW168"/>
    <mergeCell ref="OX168:OY168"/>
    <mergeCell ref="OZ168:PA168"/>
    <mergeCell ref="PX172:PY172"/>
    <mergeCell ref="PZ172:QA172"/>
    <mergeCell ref="QB172:QC172"/>
    <mergeCell ref="PP172:PQ172"/>
    <mergeCell ref="PR172:PS172"/>
    <mergeCell ref="PT172:PU172"/>
    <mergeCell ref="PV172:PW172"/>
    <mergeCell ref="LF170:LG170"/>
    <mergeCell ref="LH170:LI170"/>
    <mergeCell ref="LJ170:LK170"/>
    <mergeCell ref="LL170:LM170"/>
    <mergeCell ref="LN170:LO170"/>
    <mergeCell ref="LP170:LQ170"/>
    <mergeCell ref="LR170:LS170"/>
    <mergeCell ref="LT170:LU170"/>
    <mergeCell ref="LV170:LW170"/>
    <mergeCell ref="LX170:LY170"/>
    <mergeCell ref="LZ170:MA170"/>
    <mergeCell ref="MB170:MC170"/>
    <mergeCell ref="MD170:ME170"/>
    <mergeCell ref="MF170:MG170"/>
    <mergeCell ref="MH170:MI170"/>
    <mergeCell ref="MP170:MQ170"/>
    <mergeCell ref="MR170:MS170"/>
    <mergeCell ref="MT170:MU170"/>
    <mergeCell ref="MV170:MW170"/>
    <mergeCell ref="MX170:MY170"/>
    <mergeCell ref="NR172:NS172"/>
    <mergeCell ref="NT172:NU172"/>
    <mergeCell ref="NV172:NW172"/>
    <mergeCell ref="NX172:NY172"/>
    <mergeCell ref="NZ172:OA172"/>
    <mergeCell ref="NJ170:NK170"/>
    <mergeCell ref="OB170:OC170"/>
    <mergeCell ref="ML172:MM172"/>
    <mergeCell ref="MN172:MO172"/>
    <mergeCell ref="MP172:MQ172"/>
    <mergeCell ref="MR172:MS172"/>
    <mergeCell ref="MT172:MU172"/>
    <mergeCell ref="OT170:OU170"/>
    <mergeCell ref="MZ172:NA172"/>
    <mergeCell ref="NB172:NC172"/>
    <mergeCell ref="NH172:NI172"/>
    <mergeCell ref="NJ172:NK172"/>
    <mergeCell ref="NL172:NM172"/>
    <mergeCell ref="NN172:NO172"/>
    <mergeCell ref="NP172:NQ172"/>
    <mergeCell ref="NT171:NU171"/>
    <mergeCell ref="NV171:NW171"/>
    <mergeCell ref="NX171:NY171"/>
    <mergeCell ref="JV173:JW173"/>
    <mergeCell ref="JX173:JY173"/>
    <mergeCell ref="JZ173:KA173"/>
    <mergeCell ref="KB173:KC173"/>
    <mergeCell ref="KD173:KE173"/>
    <mergeCell ref="KF173:KG173"/>
    <mergeCell ref="KH173:KI173"/>
    <mergeCell ref="KJ173:KK173"/>
    <mergeCell ref="KL173:KM173"/>
    <mergeCell ref="KN173:KO173"/>
    <mergeCell ref="KP173:KQ173"/>
    <mergeCell ref="KR173:KS173"/>
    <mergeCell ref="KT173:KU173"/>
    <mergeCell ref="KV173:KW173"/>
    <mergeCell ref="KX173:KY173"/>
    <mergeCell ref="KZ173:LA173"/>
    <mergeCell ref="LB173:LC173"/>
    <mergeCell ref="LD173:LE173"/>
    <mergeCell ref="LF173:LG173"/>
    <mergeCell ref="LH173:LI173"/>
    <mergeCell ref="LJ173:LK173"/>
    <mergeCell ref="LL173:LM173"/>
    <mergeCell ref="LN173:LO173"/>
    <mergeCell ref="LP173:LQ173"/>
    <mergeCell ref="LR173:LS173"/>
    <mergeCell ref="LT173:LU173"/>
    <mergeCell ref="LV173:LW173"/>
    <mergeCell ref="LX173:LY173"/>
    <mergeCell ref="LZ173:MA173"/>
    <mergeCell ref="MB173:MC173"/>
    <mergeCell ref="MD173:ME173"/>
    <mergeCell ref="MF173:MG173"/>
    <mergeCell ref="MH173:MI173"/>
    <mergeCell ref="MF168:MG168"/>
    <mergeCell ref="MH168:MI168"/>
    <mergeCell ref="MJ168:MK168"/>
    <mergeCell ref="ML168:MM168"/>
    <mergeCell ref="OB169:OC169"/>
    <mergeCell ref="OD169:OE169"/>
    <mergeCell ref="OF169:OG169"/>
    <mergeCell ref="OV169:OW169"/>
    <mergeCell ref="OX169:OY169"/>
    <mergeCell ref="OZ169:PA169"/>
    <mergeCell ref="PB169:PC169"/>
    <mergeCell ref="PN169:PO169"/>
    <mergeCell ref="PP169:PQ169"/>
    <mergeCell ref="NZ168:OA168"/>
    <mergeCell ref="NX170:NY170"/>
    <mergeCell ref="NZ170:OA170"/>
    <mergeCell ref="QP168:QQ168"/>
    <mergeCell ref="NT168:NU168"/>
    <mergeCell ref="NV168:NW168"/>
    <mergeCell ref="PV168:PW168"/>
    <mergeCell ref="PX168:PY168"/>
    <mergeCell ref="NN169:NO169"/>
    <mergeCell ref="MV168:MW168"/>
    <mergeCell ref="MX168:MY168"/>
    <mergeCell ref="MZ168:NA168"/>
    <mergeCell ref="NB168:NC168"/>
    <mergeCell ref="ND168:NE168"/>
    <mergeCell ref="NF168:NG168"/>
    <mergeCell ref="QD169:QE169"/>
    <mergeCell ref="QL168:QM168"/>
    <mergeCell ref="QN168:QO168"/>
    <mergeCell ref="PZ168:QA168"/>
    <mergeCell ref="QB168:QC168"/>
    <mergeCell ref="QD168:QE168"/>
    <mergeCell ref="PR170:PS170"/>
    <mergeCell ref="PT170:PU170"/>
    <mergeCell ref="PV170:PW170"/>
    <mergeCell ref="OD170:OE170"/>
    <mergeCell ref="MN168:MO168"/>
    <mergeCell ref="MP168:MQ168"/>
    <mergeCell ref="MR168:MS168"/>
    <mergeCell ref="MT168:MU168"/>
    <mergeCell ref="NN168:NO168"/>
    <mergeCell ref="NP168:NQ168"/>
    <mergeCell ref="NR168:NS168"/>
    <mergeCell ref="PF168:PG168"/>
    <mergeCell ref="PH168:PI168"/>
    <mergeCell ref="PJ168:PK168"/>
    <mergeCell ref="PL168:PM168"/>
    <mergeCell ref="QF169:QG169"/>
    <mergeCell ref="QH169:QI169"/>
    <mergeCell ref="OV170:OW170"/>
    <mergeCell ref="OX170:OY170"/>
    <mergeCell ref="OZ170:PA170"/>
    <mergeCell ref="PB170:PC170"/>
    <mergeCell ref="PD170:PE170"/>
    <mergeCell ref="PF170:PG170"/>
    <mergeCell ref="PH170:PI170"/>
    <mergeCell ref="PJ170:PK170"/>
    <mergeCell ref="PL170:PM170"/>
    <mergeCell ref="PN170:PO170"/>
    <mergeCell ref="PP170:PQ170"/>
    <mergeCell ref="LN164:LO164"/>
    <mergeCell ref="NT164:NU164"/>
    <mergeCell ref="NV164:NW164"/>
    <mergeCell ref="NX164:NY164"/>
    <mergeCell ref="LV167:LW167"/>
    <mergeCell ref="LX167:LY167"/>
    <mergeCell ref="LZ167:MA167"/>
    <mergeCell ref="MB167:MC167"/>
    <mergeCell ref="MD167:ME167"/>
    <mergeCell ref="MF167:MG167"/>
    <mergeCell ref="MH167:MI167"/>
    <mergeCell ref="MJ167:MK167"/>
    <mergeCell ref="LF166:LG166"/>
    <mergeCell ref="LH166:LI166"/>
    <mergeCell ref="LJ166:LK166"/>
    <mergeCell ref="LF165:LG165"/>
    <mergeCell ref="LH165:LI165"/>
    <mergeCell ref="LJ165:LK165"/>
    <mergeCell ref="LR165:LS165"/>
    <mergeCell ref="LT165:LU165"/>
    <mergeCell ref="LV165:LW165"/>
    <mergeCell ref="LX165:LY165"/>
    <mergeCell ref="LZ165:MA165"/>
    <mergeCell ref="MB165:MC165"/>
    <mergeCell ref="NB165:NC165"/>
    <mergeCell ref="PB168:PC168"/>
    <mergeCell ref="PD168:PE168"/>
    <mergeCell ref="NF169:NG169"/>
    <mergeCell ref="QZ169:RA169"/>
    <mergeCell ref="RB169:RC169"/>
    <mergeCell ref="MB168:MC168"/>
    <mergeCell ref="MD168:ME168"/>
    <mergeCell ref="LF168:LG168"/>
    <mergeCell ref="LH168:LI168"/>
    <mergeCell ref="LJ168:LK168"/>
    <mergeCell ref="LL168:LM168"/>
    <mergeCell ref="LN168:LO168"/>
    <mergeCell ref="OH169:OI169"/>
    <mergeCell ref="OJ169:OK169"/>
    <mergeCell ref="OL169:OM169"/>
    <mergeCell ref="ON169:OO169"/>
    <mergeCell ref="OP169:OQ169"/>
    <mergeCell ref="OR169:OS169"/>
    <mergeCell ref="OT169:OU169"/>
    <mergeCell ref="QR168:QS168"/>
    <mergeCell ref="QT168:QU168"/>
    <mergeCell ref="QV168:QW168"/>
    <mergeCell ref="QX168:QY168"/>
    <mergeCell ref="PN168:PO168"/>
    <mergeCell ref="PP168:PQ168"/>
    <mergeCell ref="PR168:PS168"/>
    <mergeCell ref="PT168:PU168"/>
    <mergeCell ref="NL168:NM168"/>
    <mergeCell ref="NP169:NQ169"/>
    <mergeCell ref="NR169:NS169"/>
    <mergeCell ref="NT169:NU169"/>
    <mergeCell ref="NV169:NW169"/>
    <mergeCell ref="NX169:NY169"/>
    <mergeCell ref="NZ169:OA169"/>
    <mergeCell ref="PT169:PU169"/>
    <mergeCell ref="PV169:PW169"/>
    <mergeCell ref="OJ168:OK168"/>
    <mergeCell ref="NH169:NI169"/>
    <mergeCell ref="NJ169:NK169"/>
    <mergeCell ref="LP168:LQ168"/>
    <mergeCell ref="LR168:LS168"/>
    <mergeCell ref="LT168:LU168"/>
    <mergeCell ref="LV168:LW168"/>
    <mergeCell ref="LX168:LY168"/>
    <mergeCell ref="LZ168:MA168"/>
    <mergeCell ref="NH168:NI168"/>
    <mergeCell ref="NJ168:NK168"/>
    <mergeCell ref="OB168:OC168"/>
    <mergeCell ref="OD168:OE168"/>
    <mergeCell ref="OF168:OG168"/>
    <mergeCell ref="OH168:OI168"/>
    <mergeCell ref="OF170:OG170"/>
    <mergeCell ref="OH170:OI170"/>
    <mergeCell ref="NL170:NM170"/>
    <mergeCell ref="NN170:NO170"/>
    <mergeCell ref="NP170:NQ170"/>
    <mergeCell ref="NR170:NS170"/>
    <mergeCell ref="NT170:NU170"/>
    <mergeCell ref="NV170:NW170"/>
    <mergeCell ref="MZ170:NA170"/>
    <mergeCell ref="NB170:NC170"/>
    <mergeCell ref="ND170:NE170"/>
    <mergeCell ref="NF170:NG170"/>
    <mergeCell ref="NH170:NI170"/>
    <mergeCell ref="QN164:QO164"/>
    <mergeCell ref="QP164:QQ164"/>
    <mergeCell ref="QD167:QE167"/>
    <mergeCell ref="QF167:QG167"/>
    <mergeCell ref="QH167:QI167"/>
    <mergeCell ref="QH164:QI164"/>
    <mergeCell ref="QJ164:QK164"/>
    <mergeCell ref="QL164:QM164"/>
    <mergeCell ref="OJ170:OK170"/>
    <mergeCell ref="OL170:OM170"/>
    <mergeCell ref="ON170:OO170"/>
    <mergeCell ref="OP170:OQ170"/>
    <mergeCell ref="OR170:OS170"/>
    <mergeCell ref="NL169:NM169"/>
    <mergeCell ref="QP169:QQ169"/>
    <mergeCell ref="QJ167:QK167"/>
    <mergeCell ref="QL167:QM167"/>
    <mergeCell ref="OJ167:OK167"/>
    <mergeCell ref="OL167:OM167"/>
    <mergeCell ref="QP167:QQ167"/>
    <mergeCell ref="LP164:LQ164"/>
    <mergeCell ref="NR164:NS164"/>
    <mergeCell ref="PD166:PE166"/>
    <mergeCell ref="PF166:PG166"/>
    <mergeCell ref="PB167:PC167"/>
    <mergeCell ref="PD167:PE167"/>
    <mergeCell ref="PF167:PG167"/>
    <mergeCell ref="LX164:LY164"/>
    <mergeCell ref="LZ164:MA164"/>
    <mergeCell ref="MB164:MC164"/>
    <mergeCell ref="MZ164:NA164"/>
    <mergeCell ref="NB164:NC164"/>
    <mergeCell ref="ND164:NE164"/>
    <mergeCell ref="NF164:NG164"/>
    <mergeCell ref="NH164:NI164"/>
    <mergeCell ref="NJ164:NK164"/>
    <mergeCell ref="NL164:NM164"/>
    <mergeCell ref="LP166:LQ166"/>
    <mergeCell ref="LR166:LS166"/>
    <mergeCell ref="QX166:QY166"/>
    <mergeCell ref="OT166:OU166"/>
    <mergeCell ref="QT165:QU165"/>
    <mergeCell ref="QZ166:RA166"/>
    <mergeCell ref="QZ165:RA165"/>
    <mergeCell ref="OP166:OQ166"/>
    <mergeCell ref="OR166:OS166"/>
    <mergeCell ref="PZ166:QA166"/>
    <mergeCell ref="QB166:QC166"/>
    <mergeCell ref="QD166:QE166"/>
    <mergeCell ref="QF166:QG166"/>
    <mergeCell ref="RB166:RC166"/>
    <mergeCell ref="JV169:JW169"/>
    <mergeCell ref="JX169:JY169"/>
    <mergeCell ref="JZ169:KA169"/>
    <mergeCell ref="KB169:KC169"/>
    <mergeCell ref="KD169:KE169"/>
    <mergeCell ref="KF169:KG169"/>
    <mergeCell ref="KH169:KI169"/>
    <mergeCell ref="KJ169:KK169"/>
    <mergeCell ref="KL169:KM169"/>
    <mergeCell ref="KN169:KO169"/>
    <mergeCell ref="KP169:KQ169"/>
    <mergeCell ref="KR169:KS169"/>
    <mergeCell ref="KT169:KU169"/>
    <mergeCell ref="KV169:KW169"/>
    <mergeCell ref="KX169:KY169"/>
    <mergeCell ref="KZ169:LA169"/>
    <mergeCell ref="LB169:LC169"/>
    <mergeCell ref="LD169:LE169"/>
    <mergeCell ref="LF169:LG169"/>
    <mergeCell ref="LH169:LI169"/>
    <mergeCell ref="LJ169:LK169"/>
    <mergeCell ref="LL169:LM169"/>
    <mergeCell ref="LN169:LO169"/>
    <mergeCell ref="LP169:LQ169"/>
    <mergeCell ref="LR169:LS169"/>
    <mergeCell ref="LT169:LU169"/>
    <mergeCell ref="LV169:LW169"/>
    <mergeCell ref="LX169:LY169"/>
    <mergeCell ref="LZ169:MA169"/>
    <mergeCell ref="MB169:MC169"/>
    <mergeCell ref="MD169:ME169"/>
    <mergeCell ref="MF169:MG169"/>
    <mergeCell ref="MH169:MI169"/>
    <mergeCell ref="MJ169:MK169"/>
    <mergeCell ref="ML169:MM169"/>
    <mergeCell ref="MN169:MO169"/>
    <mergeCell ref="MP169:MQ169"/>
    <mergeCell ref="MR169:MS169"/>
    <mergeCell ref="MT169:MU169"/>
    <mergeCell ref="MV169:MW169"/>
    <mergeCell ref="MX169:MY169"/>
    <mergeCell ref="MZ169:NA169"/>
    <mergeCell ref="NB169:NC169"/>
    <mergeCell ref="ND169:NE169"/>
    <mergeCell ref="PZ167:QA167"/>
    <mergeCell ref="QB167:QC167"/>
    <mergeCell ref="KT168:KU168"/>
    <mergeCell ref="KV168:KW168"/>
    <mergeCell ref="KX168:KY168"/>
    <mergeCell ref="KZ168:LA168"/>
    <mergeCell ref="LB168:LC168"/>
    <mergeCell ref="LD168:LE168"/>
    <mergeCell ref="QR167:QS167"/>
    <mergeCell ref="QT167:QU167"/>
    <mergeCell ref="QV167:QW167"/>
    <mergeCell ref="QX167:QY167"/>
    <mergeCell ref="QZ167:RA167"/>
    <mergeCell ref="RB167:RC167"/>
    <mergeCell ref="QN167:QO167"/>
    <mergeCell ref="QL165:QM165"/>
    <mergeCell ref="QJ166:QK166"/>
    <mergeCell ref="QL166:QM166"/>
    <mergeCell ref="NP165:NQ165"/>
    <mergeCell ref="NR165:NS165"/>
    <mergeCell ref="QV166:QW166"/>
    <mergeCell ref="QN166:QO166"/>
    <mergeCell ref="QP166:QQ166"/>
    <mergeCell ref="QR166:QS166"/>
    <mergeCell ref="QT166:QU166"/>
    <mergeCell ref="MH166:MI166"/>
    <mergeCell ref="MJ166:MK166"/>
    <mergeCell ref="ML166:MM166"/>
    <mergeCell ref="MN166:MO166"/>
    <mergeCell ref="MP166:MQ166"/>
    <mergeCell ref="MR166:MS166"/>
    <mergeCell ref="MT166:MU166"/>
    <mergeCell ref="MV166:MW166"/>
    <mergeCell ref="MX166:MY166"/>
    <mergeCell ref="MZ166:NA166"/>
    <mergeCell ref="NB166:NC166"/>
    <mergeCell ref="ND166:NE166"/>
    <mergeCell ref="NF166:NG166"/>
    <mergeCell ref="NH166:NI166"/>
    <mergeCell ref="NJ166:NK166"/>
    <mergeCell ref="PN166:PO166"/>
    <mergeCell ref="PP166:PQ166"/>
    <mergeCell ref="PR166:PS166"/>
    <mergeCell ref="PT166:PU166"/>
    <mergeCell ref="PV166:PW166"/>
    <mergeCell ref="PX166:PY166"/>
    <mergeCell ref="QD165:QE165"/>
    <mergeCell ref="QF165:QG165"/>
    <mergeCell ref="QH166:QI166"/>
    <mergeCell ref="OX165:OY165"/>
    <mergeCell ref="OZ165:PA165"/>
    <mergeCell ref="PB165:PC165"/>
    <mergeCell ref="PD165:PE165"/>
    <mergeCell ref="PF165:PG165"/>
    <mergeCell ref="NN166:NO166"/>
    <mergeCell ref="NP166:NQ166"/>
    <mergeCell ref="NR166:NS166"/>
    <mergeCell ref="NT166:NU166"/>
    <mergeCell ref="NV166:NW166"/>
    <mergeCell ref="NX166:NY166"/>
    <mergeCell ref="NZ166:OA166"/>
    <mergeCell ref="OB166:OC166"/>
    <mergeCell ref="OD166:OE166"/>
    <mergeCell ref="OH166:OI166"/>
    <mergeCell ref="OT165:OU165"/>
    <mergeCell ref="OV165:OW165"/>
    <mergeCell ref="PN167:PO167"/>
    <mergeCell ref="ND167:NE167"/>
    <mergeCell ref="OV166:OW166"/>
    <mergeCell ref="OX166:OY166"/>
    <mergeCell ref="OZ166:PA166"/>
    <mergeCell ref="PB166:PC166"/>
    <mergeCell ref="QJ163:QK163"/>
    <mergeCell ref="QL163:QM163"/>
    <mergeCell ref="QV165:QW165"/>
    <mergeCell ref="QX165:QY165"/>
    <mergeCell ref="QN165:QO165"/>
    <mergeCell ref="QP165:QQ165"/>
    <mergeCell ref="QR165:QS165"/>
    <mergeCell ref="QV163:QW163"/>
    <mergeCell ref="QX163:QY163"/>
    <mergeCell ref="QZ163:RA163"/>
    <mergeCell ref="RB163:RC163"/>
    <mergeCell ref="NZ164:OA164"/>
    <mergeCell ref="OB164:OC164"/>
    <mergeCell ref="OD164:OE164"/>
    <mergeCell ref="OF164:OG164"/>
    <mergeCell ref="OH164:OI164"/>
    <mergeCell ref="OJ164:OK164"/>
    <mergeCell ref="OL164:OM164"/>
    <mergeCell ref="ON164:OO164"/>
    <mergeCell ref="OP164:OQ164"/>
    <mergeCell ref="OR164:OS164"/>
    <mergeCell ref="OT164:OU164"/>
    <mergeCell ref="OV164:OW164"/>
    <mergeCell ref="OX164:OY164"/>
    <mergeCell ref="OZ164:PA164"/>
    <mergeCell ref="PB164:PC164"/>
    <mergeCell ref="PD164:PE164"/>
    <mergeCell ref="PF164:PG164"/>
    <mergeCell ref="QX164:QY164"/>
    <mergeCell ref="QZ164:RA164"/>
    <mergeCell ref="OD165:OE165"/>
    <mergeCell ref="OF165:OG165"/>
    <mergeCell ref="PH165:PI165"/>
    <mergeCell ref="PJ165:PK165"/>
    <mergeCell ref="PL165:PM165"/>
    <mergeCell ref="PN165:PO165"/>
    <mergeCell ref="PP165:PQ165"/>
    <mergeCell ref="PR165:PS165"/>
    <mergeCell ref="PT165:PU165"/>
    <mergeCell ref="PV165:PW165"/>
    <mergeCell ref="PX165:PY165"/>
    <mergeCell ref="PZ165:QA165"/>
    <mergeCell ref="QB165:QC165"/>
    <mergeCell ref="QH165:QI165"/>
    <mergeCell ref="QJ165:QK165"/>
    <mergeCell ref="PV164:PW164"/>
    <mergeCell ref="PX164:PY164"/>
    <mergeCell ref="PZ164:QA164"/>
    <mergeCell ref="QB164:QC164"/>
    <mergeCell ref="PT164:PU164"/>
    <mergeCell ref="RB165:RC165"/>
    <mergeCell ref="OJ165:OK165"/>
    <mergeCell ref="OB165:OC165"/>
    <mergeCell ref="QR164:QS164"/>
    <mergeCell ref="QT164:QU164"/>
    <mergeCell ref="QV164:QW164"/>
    <mergeCell ref="QD164:QE164"/>
    <mergeCell ref="QF164:QG164"/>
    <mergeCell ref="OL165:OM165"/>
    <mergeCell ref="ON165:OO165"/>
    <mergeCell ref="OP165:OQ165"/>
    <mergeCell ref="OR165:OS165"/>
    <mergeCell ref="PR164:PS164"/>
    <mergeCell ref="PX163:PY163"/>
    <mergeCell ref="JV163:JW163"/>
    <mergeCell ref="JX163:JY163"/>
    <mergeCell ref="JZ163:KA163"/>
    <mergeCell ref="KB163:KC163"/>
    <mergeCell ref="KD163:KE163"/>
    <mergeCell ref="KF163:KG163"/>
    <mergeCell ref="KH163:KI163"/>
    <mergeCell ref="KJ163:KK163"/>
    <mergeCell ref="KL163:KM163"/>
    <mergeCell ref="KN163:KO163"/>
    <mergeCell ref="KP163:KQ163"/>
    <mergeCell ref="KR163:KS163"/>
    <mergeCell ref="KT163:KU163"/>
    <mergeCell ref="KV163:KW163"/>
    <mergeCell ref="KX163:KY163"/>
    <mergeCell ref="KZ163:LA163"/>
    <mergeCell ref="LB163:LC163"/>
    <mergeCell ref="LD163:LE163"/>
    <mergeCell ref="LF163:LG163"/>
    <mergeCell ref="LH163:LI163"/>
    <mergeCell ref="LJ163:LK163"/>
    <mergeCell ref="LL163:LM163"/>
    <mergeCell ref="LN163:LO163"/>
    <mergeCell ref="LP163:LQ163"/>
    <mergeCell ref="LR163:LS163"/>
    <mergeCell ref="LT163:LU163"/>
    <mergeCell ref="LV163:LW163"/>
    <mergeCell ref="LX163:LY163"/>
    <mergeCell ref="LZ163:MA163"/>
    <mergeCell ref="PL163:PM163"/>
    <mergeCell ref="PN163:PO163"/>
    <mergeCell ref="PT163:PU163"/>
    <mergeCell ref="PV163:PW163"/>
    <mergeCell ref="NB163:NC163"/>
    <mergeCell ref="MB163:MC163"/>
    <mergeCell ref="MD163:ME163"/>
    <mergeCell ref="PP163:PQ163"/>
    <mergeCell ref="PR163:PS163"/>
    <mergeCell ref="NR163:NS163"/>
    <mergeCell ref="NT163:NU163"/>
    <mergeCell ref="NV163:NW163"/>
    <mergeCell ref="NX163:NY163"/>
    <mergeCell ref="OJ163:OK163"/>
    <mergeCell ref="OL163:OM163"/>
    <mergeCell ref="ON163:OO163"/>
    <mergeCell ref="OP163:OQ163"/>
    <mergeCell ref="OR163:OS163"/>
    <mergeCell ref="OT163:OU163"/>
    <mergeCell ref="JP167:JQ167"/>
    <mergeCell ref="JR167:JS167"/>
    <mergeCell ref="JT167:JU167"/>
    <mergeCell ref="JV167:JW167"/>
    <mergeCell ref="NF167:NG167"/>
    <mergeCell ref="NH167:NI167"/>
    <mergeCell ref="NJ167:NK167"/>
    <mergeCell ref="NL167:NM167"/>
    <mergeCell ref="OF167:OG167"/>
    <mergeCell ref="OH167:OI167"/>
    <mergeCell ref="LL164:LM164"/>
    <mergeCell ref="LL166:LM166"/>
    <mergeCell ref="LN166:LO166"/>
    <mergeCell ref="RB164:RC164"/>
    <mergeCell ref="QN163:QO163"/>
    <mergeCell ref="QP163:QQ163"/>
    <mergeCell ref="QR163:QS163"/>
    <mergeCell ref="QT163:QU163"/>
    <mergeCell ref="PB163:PC163"/>
    <mergeCell ref="PV167:PW167"/>
    <mergeCell ref="PX167:PY167"/>
    <mergeCell ref="LR164:LS164"/>
    <mergeCell ref="LT164:LU164"/>
    <mergeCell ref="LV164:LW164"/>
    <mergeCell ref="MH163:MI163"/>
    <mergeCell ref="MJ163:MK163"/>
    <mergeCell ref="ML163:MM163"/>
    <mergeCell ref="MN163:MO163"/>
    <mergeCell ref="MP163:MQ163"/>
    <mergeCell ref="MR163:MS163"/>
    <mergeCell ref="MT163:MU163"/>
    <mergeCell ref="MV163:MW163"/>
    <mergeCell ref="MX163:MY163"/>
    <mergeCell ref="MZ163:NA163"/>
    <mergeCell ref="ND163:NE163"/>
    <mergeCell ref="NF163:NG163"/>
    <mergeCell ref="NH163:NI163"/>
    <mergeCell ref="NJ163:NK163"/>
    <mergeCell ref="NL163:NM163"/>
    <mergeCell ref="NL165:NM165"/>
    <mergeCell ref="MF163:MG163"/>
    <mergeCell ref="NJ165:NK165"/>
    <mergeCell ref="MD164:ME164"/>
    <mergeCell ref="MF164:MG164"/>
    <mergeCell ref="MH164:MI164"/>
    <mergeCell ref="MJ164:MK164"/>
    <mergeCell ref="ML164:MM164"/>
    <mergeCell ref="MN164:MO164"/>
    <mergeCell ref="MP164:MQ164"/>
    <mergeCell ref="MR164:MS164"/>
    <mergeCell ref="MT164:MU164"/>
    <mergeCell ref="MV164:MW164"/>
    <mergeCell ref="MX164:MY164"/>
    <mergeCell ref="LF167:LG167"/>
    <mergeCell ref="LH167:LI167"/>
    <mergeCell ref="LJ167:LK167"/>
    <mergeCell ref="LL167:LM167"/>
    <mergeCell ref="LN167:LO167"/>
    <mergeCell ref="LP167:LQ167"/>
    <mergeCell ref="LR167:LS167"/>
    <mergeCell ref="LT167:LU167"/>
    <mergeCell ref="JP163:JQ163"/>
    <mergeCell ref="JR163:JS163"/>
    <mergeCell ref="JT163:JU163"/>
    <mergeCell ref="LT166:LU166"/>
    <mergeCell ref="LV166:LW166"/>
    <mergeCell ref="LX166:LY166"/>
    <mergeCell ref="LZ166:MA166"/>
    <mergeCell ref="MB166:MC166"/>
    <mergeCell ref="MD166:ME166"/>
    <mergeCell ref="NL166:NM166"/>
    <mergeCell ref="MF166:MG166"/>
    <mergeCell ref="NV165:NW165"/>
    <mergeCell ref="NX165:NY165"/>
    <mergeCell ref="NZ165:OA165"/>
    <mergeCell ref="LL165:LM165"/>
    <mergeCell ref="LN165:LO165"/>
    <mergeCell ref="LP165:LQ165"/>
    <mergeCell ref="NN165:NO165"/>
    <mergeCell ref="MD165:ME165"/>
    <mergeCell ref="PH167:PI167"/>
    <mergeCell ref="PJ167:PK167"/>
    <mergeCell ref="PL167:PM167"/>
    <mergeCell ref="QJ162:QK162"/>
    <mergeCell ref="QL162:QM162"/>
    <mergeCell ref="QN162:QO162"/>
    <mergeCell ref="PT162:PU162"/>
    <mergeCell ref="ML162:MM162"/>
    <mergeCell ref="MN162:MO162"/>
    <mergeCell ref="NN167:NO167"/>
    <mergeCell ref="NP167:NQ167"/>
    <mergeCell ref="MF165:MG165"/>
    <mergeCell ref="MH165:MI165"/>
    <mergeCell ref="MJ165:MK165"/>
    <mergeCell ref="ML165:MM165"/>
    <mergeCell ref="MN165:MO165"/>
    <mergeCell ref="MP165:MQ165"/>
    <mergeCell ref="MR165:MS165"/>
    <mergeCell ref="MT165:MU165"/>
    <mergeCell ref="MV165:MW165"/>
    <mergeCell ref="MX165:MY165"/>
    <mergeCell ref="MZ165:NA165"/>
    <mergeCell ref="NZ163:OA163"/>
    <mergeCell ref="OB163:OC163"/>
    <mergeCell ref="OD163:OE163"/>
    <mergeCell ref="OF163:OG163"/>
    <mergeCell ref="OH163:OI163"/>
    <mergeCell ref="PH166:PI166"/>
    <mergeCell ref="PJ166:PK166"/>
    <mergeCell ref="PL166:PM166"/>
    <mergeCell ref="PH164:PI164"/>
    <mergeCell ref="PJ164:PK164"/>
    <mergeCell ref="ON167:OO167"/>
    <mergeCell ref="OP167:OQ167"/>
    <mergeCell ref="OR167:OS167"/>
    <mergeCell ref="OT167:OU167"/>
    <mergeCell ref="NN163:NO163"/>
    <mergeCell ref="NP163:NQ163"/>
    <mergeCell ref="OV162:OW162"/>
    <mergeCell ref="OX162:OY162"/>
    <mergeCell ref="OZ162:PA162"/>
    <mergeCell ref="PB162:PC162"/>
    <mergeCell ref="PD162:PE162"/>
    <mergeCell ref="MT167:MU167"/>
    <mergeCell ref="MV167:MW167"/>
    <mergeCell ref="MX167:MY167"/>
    <mergeCell ref="MZ167:NA167"/>
    <mergeCell ref="NB167:NC167"/>
    <mergeCell ref="ND165:NE165"/>
    <mergeCell ref="NF165:NG165"/>
    <mergeCell ref="NH165:NI165"/>
    <mergeCell ref="OD167:OE167"/>
    <mergeCell ref="OV163:OW163"/>
    <mergeCell ref="OX163:OY163"/>
    <mergeCell ref="OZ163:PA163"/>
    <mergeCell ref="NZ167:OA167"/>
    <mergeCell ref="OB167:OC167"/>
    <mergeCell ref="OV167:OW167"/>
    <mergeCell ref="OX167:OY167"/>
    <mergeCell ref="OJ166:OK166"/>
    <mergeCell ref="OL166:OM166"/>
    <mergeCell ref="ON166:OO166"/>
    <mergeCell ref="ML167:MM167"/>
    <mergeCell ref="MN167:MO167"/>
    <mergeCell ref="MP167:MQ167"/>
    <mergeCell ref="MR167:MS167"/>
    <mergeCell ref="OZ167:PA167"/>
    <mergeCell ref="QP162:QQ162"/>
    <mergeCell ref="QR162:QS162"/>
    <mergeCell ref="QT162:QU162"/>
    <mergeCell ref="QV162:QW162"/>
    <mergeCell ref="QX162:QY162"/>
    <mergeCell ref="QZ162:RA162"/>
    <mergeCell ref="RB162:RC162"/>
    <mergeCell ref="ON161:OO161"/>
    <mergeCell ref="OP161:OQ161"/>
    <mergeCell ref="OR161:OS161"/>
    <mergeCell ref="OT161:OU161"/>
    <mergeCell ref="OV161:OW161"/>
    <mergeCell ref="OX161:OY161"/>
    <mergeCell ref="OZ161:PA161"/>
    <mergeCell ref="PB161:PC161"/>
    <mergeCell ref="PD161:PE161"/>
    <mergeCell ref="PJ161:PK161"/>
    <mergeCell ref="PL161:PM161"/>
    <mergeCell ref="MP162:MQ162"/>
    <mergeCell ref="PV162:PW162"/>
    <mergeCell ref="PX162:PY162"/>
    <mergeCell ref="PZ162:QA162"/>
    <mergeCell ref="QB162:QC162"/>
    <mergeCell ref="QD162:QE162"/>
    <mergeCell ref="QF162:QG162"/>
    <mergeCell ref="QH162:QI162"/>
    <mergeCell ref="PX161:PY161"/>
    <mergeCell ref="PZ161:QA161"/>
    <mergeCell ref="QB161:QC161"/>
    <mergeCell ref="QD161:QE161"/>
    <mergeCell ref="QF161:QG161"/>
    <mergeCell ref="PP167:PQ167"/>
    <mergeCell ref="PR167:PS167"/>
    <mergeCell ref="NN164:NO164"/>
    <mergeCell ref="NP164:NQ164"/>
    <mergeCell ref="PD163:PE163"/>
    <mergeCell ref="PF163:PG163"/>
    <mergeCell ref="PH163:PI163"/>
    <mergeCell ref="PJ163:PK163"/>
    <mergeCell ref="OH165:OI165"/>
    <mergeCell ref="NT165:NU165"/>
    <mergeCell ref="OF166:OG166"/>
    <mergeCell ref="PL164:PM164"/>
    <mergeCell ref="PN164:PO164"/>
    <mergeCell ref="PP164:PQ164"/>
    <mergeCell ref="PZ163:QA163"/>
    <mergeCell ref="QB163:QC163"/>
    <mergeCell ref="QD163:QE163"/>
    <mergeCell ref="QF163:QG163"/>
    <mergeCell ref="QH163:QI163"/>
    <mergeCell ref="QX160:QY160"/>
    <mergeCell ref="QZ160:RA160"/>
    <mergeCell ref="NR167:NS167"/>
    <mergeCell ref="NX167:NY167"/>
    <mergeCell ref="PT167:PU167"/>
    <mergeCell ref="MR162:MS162"/>
    <mergeCell ref="MT162:MU162"/>
    <mergeCell ref="MV162:MW162"/>
    <mergeCell ref="MX162:MY162"/>
    <mergeCell ref="MZ162:NA162"/>
    <mergeCell ref="NB162:NC162"/>
    <mergeCell ref="ND162:NE162"/>
    <mergeCell ref="NF162:NG162"/>
    <mergeCell ref="NH162:NI162"/>
    <mergeCell ref="NJ162:NK162"/>
    <mergeCell ref="NL162:NM162"/>
    <mergeCell ref="NN162:NO162"/>
    <mergeCell ref="NP162:NQ162"/>
    <mergeCell ref="NR162:NS162"/>
    <mergeCell ref="NT162:NU162"/>
    <mergeCell ref="NV162:NW162"/>
    <mergeCell ref="NX162:NY162"/>
    <mergeCell ref="NZ162:OA162"/>
    <mergeCell ref="OB162:OC162"/>
    <mergeCell ref="OD162:OE162"/>
    <mergeCell ref="OF162:OG162"/>
    <mergeCell ref="OH162:OI162"/>
    <mergeCell ref="OJ162:OK162"/>
    <mergeCell ref="OL162:OM162"/>
    <mergeCell ref="ON162:OO162"/>
    <mergeCell ref="OP162:OQ162"/>
    <mergeCell ref="OR162:OS162"/>
    <mergeCell ref="OT162:OU162"/>
    <mergeCell ref="NV167:NW167"/>
    <mergeCell ref="NT167:NU167"/>
    <mergeCell ref="QX161:QY161"/>
    <mergeCell ref="QZ161:RA161"/>
    <mergeCell ref="MR161:MS161"/>
    <mergeCell ref="MT161:MU161"/>
    <mergeCell ref="MV161:MW161"/>
    <mergeCell ref="MX161:MY161"/>
    <mergeCell ref="MZ161:NA161"/>
    <mergeCell ref="NB161:NC161"/>
    <mergeCell ref="ND161:NE161"/>
    <mergeCell ref="NF161:NG161"/>
    <mergeCell ref="NH161:NI161"/>
    <mergeCell ref="NJ161:NK161"/>
    <mergeCell ref="NL161:NM161"/>
    <mergeCell ref="NN161:NO161"/>
    <mergeCell ref="NP161:NQ161"/>
    <mergeCell ref="NR161:NS161"/>
    <mergeCell ref="NT161:NU161"/>
    <mergeCell ref="NV161:NW161"/>
    <mergeCell ref="NX161:NY161"/>
    <mergeCell ref="NZ161:OA161"/>
    <mergeCell ref="OB161:OC161"/>
    <mergeCell ref="OD161:OE161"/>
    <mergeCell ref="PF161:PG161"/>
    <mergeCell ref="PH161:PI161"/>
    <mergeCell ref="RB160:RC160"/>
    <mergeCell ref="QH161:QI161"/>
    <mergeCell ref="QJ161:QK161"/>
    <mergeCell ref="JN161:JO161"/>
    <mergeCell ref="JP161:JQ161"/>
    <mergeCell ref="JR161:JS161"/>
    <mergeCell ref="JT161:JU161"/>
    <mergeCell ref="JV161:JW161"/>
    <mergeCell ref="JX161:JY161"/>
    <mergeCell ref="JZ161:KA161"/>
    <mergeCell ref="KB161:KC161"/>
    <mergeCell ref="KD161:KE161"/>
    <mergeCell ref="KF161:KG161"/>
    <mergeCell ref="KH161:KI161"/>
    <mergeCell ref="KJ161:KK161"/>
    <mergeCell ref="KL161:KM161"/>
    <mergeCell ref="KN161:KO161"/>
    <mergeCell ref="KP161:KQ161"/>
    <mergeCell ref="KR161:KS161"/>
    <mergeCell ref="KT161:KU161"/>
    <mergeCell ref="KV161:KW161"/>
    <mergeCell ref="KX161:KY161"/>
    <mergeCell ref="KZ161:LA161"/>
    <mergeCell ref="LB161:LC161"/>
    <mergeCell ref="LD161:LE161"/>
    <mergeCell ref="LF161:LG161"/>
    <mergeCell ref="LH161:LI161"/>
    <mergeCell ref="LJ161:LK161"/>
    <mergeCell ref="LL161:LM161"/>
    <mergeCell ref="LN161:LO161"/>
    <mergeCell ref="LP161:LQ161"/>
    <mergeCell ref="LR161:LS161"/>
    <mergeCell ref="LT161:LU161"/>
    <mergeCell ref="LV161:LW161"/>
    <mergeCell ref="LX161:LY161"/>
    <mergeCell ref="LZ161:MA161"/>
    <mergeCell ref="RB161:RC161"/>
    <mergeCell ref="ON160:OO160"/>
    <mergeCell ref="OP160:OQ160"/>
    <mergeCell ref="OR160:OS160"/>
    <mergeCell ref="OT160:OU160"/>
    <mergeCell ref="OV160:OW160"/>
    <mergeCell ref="OX160:OY160"/>
    <mergeCell ref="OZ160:PA160"/>
    <mergeCell ref="PB160:PC160"/>
    <mergeCell ref="PD160:PE160"/>
    <mergeCell ref="PF160:PG160"/>
    <mergeCell ref="PH160:PI160"/>
    <mergeCell ref="QN161:QO161"/>
    <mergeCell ref="QP161:QQ161"/>
    <mergeCell ref="QR161:QS161"/>
    <mergeCell ref="QT161:QU161"/>
    <mergeCell ref="QV161:QW161"/>
    <mergeCell ref="OF161:OG161"/>
    <mergeCell ref="OH161:OI161"/>
    <mergeCell ref="OJ161:OK161"/>
    <mergeCell ref="OL161:OM161"/>
    <mergeCell ref="LZ160:MA160"/>
    <mergeCell ref="MB160:MC160"/>
    <mergeCell ref="MD160:ME160"/>
    <mergeCell ref="MF160:MG160"/>
    <mergeCell ref="MH160:MI160"/>
    <mergeCell ref="MJ160:MK160"/>
    <mergeCell ref="ML160:MM160"/>
    <mergeCell ref="QN160:QO160"/>
    <mergeCell ref="QP160:QQ160"/>
    <mergeCell ref="KV162:KW162"/>
    <mergeCell ref="KX162:KY162"/>
    <mergeCell ref="KZ162:LA162"/>
    <mergeCell ref="LB162:LC162"/>
    <mergeCell ref="MF161:MG161"/>
    <mergeCell ref="MH161:MI161"/>
    <mergeCell ref="MJ161:MK161"/>
    <mergeCell ref="ML161:MM161"/>
    <mergeCell ref="MN161:MO161"/>
    <mergeCell ref="MP161:MQ161"/>
    <mergeCell ref="LD162:LE162"/>
    <mergeCell ref="LF162:LG162"/>
    <mergeCell ref="LH162:LI162"/>
    <mergeCell ref="LJ162:LK162"/>
    <mergeCell ref="LL162:LM162"/>
    <mergeCell ref="LN162:LO162"/>
    <mergeCell ref="LP162:LQ162"/>
    <mergeCell ref="LR162:LS162"/>
    <mergeCell ref="LT162:LU162"/>
    <mergeCell ref="LV162:LW162"/>
    <mergeCell ref="LX162:LY162"/>
    <mergeCell ref="LZ162:MA162"/>
    <mergeCell ref="MB162:MC162"/>
    <mergeCell ref="MD162:ME162"/>
    <mergeCell ref="MF162:MG162"/>
    <mergeCell ref="MH162:MI162"/>
    <mergeCell ref="MJ162:MK162"/>
    <mergeCell ref="PH162:PI162"/>
    <mergeCell ref="PJ162:PK162"/>
    <mergeCell ref="PL162:PM162"/>
    <mergeCell ref="PN162:PO162"/>
    <mergeCell ref="PP162:PQ162"/>
    <mergeCell ref="PR162:PS162"/>
    <mergeCell ref="MB161:MC161"/>
    <mergeCell ref="MD161:ME161"/>
    <mergeCell ref="PF162:PG162"/>
    <mergeCell ref="PN161:PO161"/>
    <mergeCell ref="PP161:PQ161"/>
    <mergeCell ref="PR161:PS161"/>
    <mergeCell ref="PT161:PU161"/>
    <mergeCell ref="PV161:PW161"/>
    <mergeCell ref="NP159:NQ159"/>
    <mergeCell ref="NR159:NS159"/>
    <mergeCell ref="NT159:NU159"/>
    <mergeCell ref="NV159:NW159"/>
    <mergeCell ref="NX159:NY159"/>
    <mergeCell ref="NZ159:OA159"/>
    <mergeCell ref="OB159:OC159"/>
    <mergeCell ref="OD159:OE159"/>
    <mergeCell ref="OF159:OG159"/>
    <mergeCell ref="OH159:OI159"/>
    <mergeCell ref="QL161:QM161"/>
    <mergeCell ref="MN160:MO160"/>
    <mergeCell ref="MP160:MQ160"/>
    <mergeCell ref="MR160:MS160"/>
    <mergeCell ref="MT160:MU160"/>
    <mergeCell ref="MV160:MW160"/>
    <mergeCell ref="MX160:MY160"/>
    <mergeCell ref="MZ160:NA160"/>
    <mergeCell ref="NB160:NC160"/>
    <mergeCell ref="ND160:NE160"/>
    <mergeCell ref="NF160:NG160"/>
    <mergeCell ref="NH160:NI160"/>
    <mergeCell ref="NJ160:NK160"/>
    <mergeCell ref="NL160:NM160"/>
    <mergeCell ref="NN160:NO160"/>
    <mergeCell ref="NP160:NQ160"/>
    <mergeCell ref="NR160:NS160"/>
    <mergeCell ref="NT160:NU160"/>
    <mergeCell ref="NV160:NW160"/>
    <mergeCell ref="NX160:NY160"/>
    <mergeCell ref="NZ160:OA160"/>
    <mergeCell ref="OB160:OC160"/>
    <mergeCell ref="OD160:OE160"/>
    <mergeCell ref="OF160:OG160"/>
    <mergeCell ref="OH160:OI160"/>
    <mergeCell ref="OJ160:OK160"/>
    <mergeCell ref="OL160:OM160"/>
    <mergeCell ref="QB159:QC159"/>
    <mergeCell ref="QD159:QE159"/>
    <mergeCell ref="QF159:QG159"/>
    <mergeCell ref="QH159:QI159"/>
    <mergeCell ref="PL160:PM160"/>
    <mergeCell ref="PN160:PO160"/>
    <mergeCell ref="PP160:PQ160"/>
    <mergeCell ref="PR160:PS160"/>
    <mergeCell ref="PT160:PU160"/>
    <mergeCell ref="PV160:PW160"/>
    <mergeCell ref="PX160:PY160"/>
    <mergeCell ref="PZ160:QA160"/>
    <mergeCell ref="QB160:QC160"/>
    <mergeCell ref="QD160:QE160"/>
    <mergeCell ref="QF160:QG160"/>
    <mergeCell ref="QH160:QI160"/>
    <mergeCell ref="QJ160:QK160"/>
    <mergeCell ref="QL160:QM160"/>
    <mergeCell ref="PJ160:PK160"/>
    <mergeCell ref="QR160:QS160"/>
    <mergeCell ref="QT160:QU160"/>
    <mergeCell ref="QV160:QW160"/>
    <mergeCell ref="QJ159:QK159"/>
    <mergeCell ref="QL159:QM159"/>
    <mergeCell ref="QN159:QO159"/>
    <mergeCell ref="QP159:QQ159"/>
    <mergeCell ref="QR159:QS159"/>
    <mergeCell ref="QT159:QU159"/>
    <mergeCell ref="QV159:QW159"/>
    <mergeCell ref="OJ159:OK159"/>
    <mergeCell ref="OL159:OM159"/>
    <mergeCell ref="ON159:OO159"/>
    <mergeCell ref="OP159:OQ159"/>
    <mergeCell ref="OR159:OS159"/>
    <mergeCell ref="OT159:OU159"/>
    <mergeCell ref="OV159:OW159"/>
    <mergeCell ref="OX159:OY159"/>
    <mergeCell ref="OZ159:PA159"/>
    <mergeCell ref="PB159:PC159"/>
    <mergeCell ref="PD159:PE159"/>
    <mergeCell ref="PF159:PG159"/>
    <mergeCell ref="PH159:PI159"/>
    <mergeCell ref="PJ159:PK159"/>
    <mergeCell ref="PL159:PM159"/>
    <mergeCell ref="PN159:PO159"/>
    <mergeCell ref="PP159:PQ159"/>
    <mergeCell ref="PR159:PS159"/>
    <mergeCell ref="PT159:PU159"/>
    <mergeCell ref="PV159:PW159"/>
    <mergeCell ref="PX159:PY159"/>
    <mergeCell ref="PZ159:QA159"/>
    <mergeCell ref="JN160:JO160"/>
    <mergeCell ref="JP160:JQ160"/>
    <mergeCell ref="JR160:JS160"/>
    <mergeCell ref="JT160:JU160"/>
    <mergeCell ref="JV160:JW160"/>
    <mergeCell ref="JX160:JY160"/>
    <mergeCell ref="JZ160:KA160"/>
    <mergeCell ref="KB160:KC160"/>
    <mergeCell ref="KD160:KE160"/>
    <mergeCell ref="KF160:KG160"/>
    <mergeCell ref="KH160:KI160"/>
    <mergeCell ref="KJ160:KK160"/>
    <mergeCell ref="KL160:KM160"/>
    <mergeCell ref="KN160:KO160"/>
    <mergeCell ref="KP160:KQ160"/>
    <mergeCell ref="KR160:KS160"/>
    <mergeCell ref="KT160:KU160"/>
    <mergeCell ref="KV160:KW160"/>
    <mergeCell ref="KX160:KY160"/>
    <mergeCell ref="KZ160:LA160"/>
    <mergeCell ref="LB160:LC160"/>
    <mergeCell ref="LD160:LE160"/>
    <mergeCell ref="LF160:LG160"/>
    <mergeCell ref="LH160:LI160"/>
    <mergeCell ref="LJ160:LK160"/>
    <mergeCell ref="LL160:LM160"/>
    <mergeCell ref="LN160:LO160"/>
    <mergeCell ref="LP160:LQ160"/>
    <mergeCell ref="LR160:LS160"/>
    <mergeCell ref="LT160:LU160"/>
    <mergeCell ref="LV160:LW160"/>
    <mergeCell ref="LX160:LY160"/>
    <mergeCell ref="QN158:QO158"/>
    <mergeCell ref="QP158:QQ158"/>
    <mergeCell ref="QR158:QS158"/>
    <mergeCell ref="QT158:QU158"/>
    <mergeCell ref="QV158:QW158"/>
    <mergeCell ref="QX158:QY158"/>
    <mergeCell ref="QZ158:RA158"/>
    <mergeCell ref="RB158:RC158"/>
    <mergeCell ref="JN159:JO159"/>
    <mergeCell ref="JP159:JQ159"/>
    <mergeCell ref="JR159:JS159"/>
    <mergeCell ref="JT159:JU159"/>
    <mergeCell ref="JV159:JW159"/>
    <mergeCell ref="JX159:JY159"/>
    <mergeCell ref="JZ159:KA159"/>
    <mergeCell ref="KB159:KC159"/>
    <mergeCell ref="KD159:KE159"/>
    <mergeCell ref="KF159:KG159"/>
    <mergeCell ref="KH159:KI159"/>
    <mergeCell ref="KJ159:KK159"/>
    <mergeCell ref="KL159:KM159"/>
    <mergeCell ref="KN159:KO159"/>
    <mergeCell ref="KP159:KQ159"/>
    <mergeCell ref="KR159:KS159"/>
    <mergeCell ref="KT159:KU159"/>
    <mergeCell ref="KV159:KW159"/>
    <mergeCell ref="KX159:KY159"/>
    <mergeCell ref="KZ159:LA159"/>
    <mergeCell ref="LB159:LC159"/>
    <mergeCell ref="LD159:LE159"/>
    <mergeCell ref="LF159:LG159"/>
    <mergeCell ref="LH159:LI159"/>
    <mergeCell ref="LJ159:LK159"/>
    <mergeCell ref="LL159:LM159"/>
    <mergeCell ref="LN159:LO159"/>
    <mergeCell ref="LP159:LQ159"/>
    <mergeCell ref="LR159:LS159"/>
    <mergeCell ref="LT159:LU159"/>
    <mergeCell ref="LV159:LW159"/>
    <mergeCell ref="LX159:LY159"/>
    <mergeCell ref="LZ159:MA159"/>
    <mergeCell ref="MB159:MC159"/>
    <mergeCell ref="MD159:ME159"/>
    <mergeCell ref="MF159:MG159"/>
    <mergeCell ref="MH159:MI159"/>
    <mergeCell ref="MJ159:MK159"/>
    <mergeCell ref="ML159:MM159"/>
    <mergeCell ref="MN159:MO159"/>
    <mergeCell ref="MP159:MQ159"/>
    <mergeCell ref="MR159:MS159"/>
    <mergeCell ref="MT159:MU159"/>
    <mergeCell ref="MV159:MW159"/>
    <mergeCell ref="MX159:MY159"/>
    <mergeCell ref="MZ159:NA159"/>
    <mergeCell ref="NB159:NC159"/>
    <mergeCell ref="QX159:QY159"/>
    <mergeCell ref="QZ159:RA159"/>
    <mergeCell ref="RB159:RC159"/>
    <mergeCell ref="ND159:NE159"/>
    <mergeCell ref="NF159:NG159"/>
    <mergeCell ref="NH159:NI159"/>
    <mergeCell ref="NJ159:NK159"/>
    <mergeCell ref="NL159:NM159"/>
    <mergeCell ref="NN159:NO159"/>
    <mergeCell ref="NZ158:OA158"/>
    <mergeCell ref="OB158:OC158"/>
    <mergeCell ref="OD158:OE158"/>
    <mergeCell ref="OF158:OG158"/>
    <mergeCell ref="OH158:OI158"/>
    <mergeCell ref="OJ158:OK158"/>
    <mergeCell ref="OL158:OM158"/>
    <mergeCell ref="ON158:OO158"/>
    <mergeCell ref="OP158:OQ158"/>
    <mergeCell ref="OR158:OS158"/>
    <mergeCell ref="OT158:OU158"/>
    <mergeCell ref="OV158:OW158"/>
    <mergeCell ref="OX158:OY158"/>
    <mergeCell ref="OZ158:PA158"/>
    <mergeCell ref="PB158:PC158"/>
    <mergeCell ref="PD158:PE158"/>
    <mergeCell ref="PF158:PG158"/>
    <mergeCell ref="PH158:PI158"/>
    <mergeCell ref="PJ158:PK158"/>
    <mergeCell ref="PL158:PM158"/>
    <mergeCell ref="PN158:PO158"/>
    <mergeCell ref="PP158:PQ158"/>
    <mergeCell ref="PR158:PS158"/>
    <mergeCell ref="PT158:PU158"/>
    <mergeCell ref="PV158:PW158"/>
    <mergeCell ref="PX158:PY158"/>
    <mergeCell ref="PZ158:QA158"/>
    <mergeCell ref="QB158:QC158"/>
    <mergeCell ref="QD158:QE158"/>
    <mergeCell ref="QF158:QG158"/>
    <mergeCell ref="QH158:QI158"/>
    <mergeCell ref="QJ158:QK158"/>
    <mergeCell ref="QL158:QM158"/>
    <mergeCell ref="QR157:QS157"/>
    <mergeCell ref="QT157:QU157"/>
    <mergeCell ref="QV157:QW157"/>
    <mergeCell ref="QX157:QY157"/>
    <mergeCell ref="QZ157:RA157"/>
    <mergeCell ref="RB157:RC157"/>
    <mergeCell ref="JN158:JO158"/>
    <mergeCell ref="JP158:JQ158"/>
    <mergeCell ref="JR158:JS158"/>
    <mergeCell ref="JT158:JU158"/>
    <mergeCell ref="JV158:JW158"/>
    <mergeCell ref="JX158:JY158"/>
    <mergeCell ref="JZ158:KA158"/>
    <mergeCell ref="KB158:KC158"/>
    <mergeCell ref="KD158:KE158"/>
    <mergeCell ref="KF158:KG158"/>
    <mergeCell ref="KH158:KI158"/>
    <mergeCell ref="KJ158:KK158"/>
    <mergeCell ref="KL158:KM158"/>
    <mergeCell ref="KN158:KO158"/>
    <mergeCell ref="KP158:KQ158"/>
    <mergeCell ref="KR158:KS158"/>
    <mergeCell ref="KT158:KU158"/>
    <mergeCell ref="KV158:KW158"/>
    <mergeCell ref="KX158:KY158"/>
    <mergeCell ref="KZ158:LA158"/>
    <mergeCell ref="LB158:LC158"/>
    <mergeCell ref="LD158:LE158"/>
    <mergeCell ref="LF158:LG158"/>
    <mergeCell ref="LH158:LI158"/>
    <mergeCell ref="LJ158:LK158"/>
    <mergeCell ref="LL158:LM158"/>
    <mergeCell ref="LN158:LO158"/>
    <mergeCell ref="LP158:LQ158"/>
    <mergeCell ref="LR158:LS158"/>
    <mergeCell ref="LT158:LU158"/>
    <mergeCell ref="LV158:LW158"/>
    <mergeCell ref="LX158:LY158"/>
    <mergeCell ref="LZ158:MA158"/>
    <mergeCell ref="MB158:MC158"/>
    <mergeCell ref="MD158:ME158"/>
    <mergeCell ref="MF158:MG158"/>
    <mergeCell ref="MH158:MI158"/>
    <mergeCell ref="MJ158:MK158"/>
    <mergeCell ref="ML158:MM158"/>
    <mergeCell ref="MN158:MO158"/>
    <mergeCell ref="MP158:MQ158"/>
    <mergeCell ref="MR158:MS158"/>
    <mergeCell ref="MT158:MU158"/>
    <mergeCell ref="MV158:MW158"/>
    <mergeCell ref="MX158:MY158"/>
    <mergeCell ref="MZ158:NA158"/>
    <mergeCell ref="NB158:NC158"/>
    <mergeCell ref="ND158:NE158"/>
    <mergeCell ref="NF158:NG158"/>
    <mergeCell ref="NH158:NI158"/>
    <mergeCell ref="NJ158:NK158"/>
    <mergeCell ref="NL158:NM158"/>
    <mergeCell ref="NN158:NO158"/>
    <mergeCell ref="NP158:NQ158"/>
    <mergeCell ref="NR158:NS158"/>
    <mergeCell ref="NT158:NU158"/>
    <mergeCell ref="NV158:NW158"/>
    <mergeCell ref="NX158:NY158"/>
    <mergeCell ref="OD157:OE157"/>
    <mergeCell ref="OF157:OG157"/>
    <mergeCell ref="OH157:OI157"/>
    <mergeCell ref="OJ157:OK157"/>
    <mergeCell ref="OL157:OM157"/>
    <mergeCell ref="ON157:OO157"/>
    <mergeCell ref="OP157:OQ157"/>
    <mergeCell ref="OR157:OS157"/>
    <mergeCell ref="OT157:OU157"/>
    <mergeCell ref="OV157:OW157"/>
    <mergeCell ref="OX157:OY157"/>
    <mergeCell ref="OZ157:PA157"/>
    <mergeCell ref="PB157:PC157"/>
    <mergeCell ref="PD157:PE157"/>
    <mergeCell ref="PF157:PG157"/>
    <mergeCell ref="PH157:PI157"/>
    <mergeCell ref="PJ157:PK157"/>
    <mergeCell ref="PL157:PM157"/>
    <mergeCell ref="PN157:PO157"/>
    <mergeCell ref="PP157:PQ157"/>
    <mergeCell ref="PR157:PS157"/>
    <mergeCell ref="PT157:PU157"/>
    <mergeCell ref="PV157:PW157"/>
    <mergeCell ref="PX157:PY157"/>
    <mergeCell ref="PZ157:QA157"/>
    <mergeCell ref="QB157:QC157"/>
    <mergeCell ref="QD157:QE157"/>
    <mergeCell ref="QF157:QG157"/>
    <mergeCell ref="QH157:QI157"/>
    <mergeCell ref="QJ157:QK157"/>
    <mergeCell ref="QL157:QM157"/>
    <mergeCell ref="QN157:QO157"/>
    <mergeCell ref="QP157:QQ157"/>
    <mergeCell ref="QV156:QW156"/>
    <mergeCell ref="QX156:QY156"/>
    <mergeCell ref="QZ156:RA156"/>
    <mergeCell ref="RB156:RC156"/>
    <mergeCell ref="JN157:JO157"/>
    <mergeCell ref="JP157:JQ157"/>
    <mergeCell ref="JR157:JS157"/>
    <mergeCell ref="JT157:JU157"/>
    <mergeCell ref="JV157:JW157"/>
    <mergeCell ref="JX157:JY157"/>
    <mergeCell ref="JZ157:KA157"/>
    <mergeCell ref="KB157:KC157"/>
    <mergeCell ref="KD157:KE157"/>
    <mergeCell ref="KF157:KG157"/>
    <mergeCell ref="KH157:KI157"/>
    <mergeCell ref="KJ157:KK157"/>
    <mergeCell ref="KL157:KM157"/>
    <mergeCell ref="KN157:KO157"/>
    <mergeCell ref="KP157:KQ157"/>
    <mergeCell ref="KR157:KS157"/>
    <mergeCell ref="KT157:KU157"/>
    <mergeCell ref="KV157:KW157"/>
    <mergeCell ref="KX157:KY157"/>
    <mergeCell ref="KZ157:LA157"/>
    <mergeCell ref="LB157:LC157"/>
    <mergeCell ref="LD157:LE157"/>
    <mergeCell ref="LF157:LG157"/>
    <mergeCell ref="LH157:LI157"/>
    <mergeCell ref="LJ157:LK157"/>
    <mergeCell ref="LL157:LM157"/>
    <mergeCell ref="LN157:LO157"/>
    <mergeCell ref="LP157:LQ157"/>
    <mergeCell ref="LR157:LS157"/>
    <mergeCell ref="LT157:LU157"/>
    <mergeCell ref="LV157:LW157"/>
    <mergeCell ref="LX157:LY157"/>
    <mergeCell ref="LZ157:MA157"/>
    <mergeCell ref="MB157:MC157"/>
    <mergeCell ref="MD157:ME157"/>
    <mergeCell ref="MF157:MG157"/>
    <mergeCell ref="MH157:MI157"/>
    <mergeCell ref="MJ157:MK157"/>
    <mergeCell ref="ML157:MM157"/>
    <mergeCell ref="MN157:MO157"/>
    <mergeCell ref="MP157:MQ157"/>
    <mergeCell ref="MR157:MS157"/>
    <mergeCell ref="MT157:MU157"/>
    <mergeCell ref="MV157:MW157"/>
    <mergeCell ref="MX157:MY157"/>
    <mergeCell ref="MZ157:NA157"/>
    <mergeCell ref="NB157:NC157"/>
    <mergeCell ref="ND157:NE157"/>
    <mergeCell ref="NF157:NG157"/>
    <mergeCell ref="NH157:NI157"/>
    <mergeCell ref="NJ157:NK157"/>
    <mergeCell ref="NL157:NM157"/>
    <mergeCell ref="NN157:NO157"/>
    <mergeCell ref="NP157:NQ157"/>
    <mergeCell ref="NR157:NS157"/>
    <mergeCell ref="NT157:NU157"/>
    <mergeCell ref="NV157:NW157"/>
    <mergeCell ref="NX157:NY157"/>
    <mergeCell ref="NZ157:OA157"/>
    <mergeCell ref="OB157:OC157"/>
    <mergeCell ref="OH156:OI156"/>
    <mergeCell ref="OJ156:OK156"/>
    <mergeCell ref="OL156:OM156"/>
    <mergeCell ref="ON156:OO156"/>
    <mergeCell ref="OP156:OQ156"/>
    <mergeCell ref="OR156:OS156"/>
    <mergeCell ref="OT156:OU156"/>
    <mergeCell ref="OV156:OW156"/>
    <mergeCell ref="OX156:OY156"/>
    <mergeCell ref="OZ156:PA156"/>
    <mergeCell ref="PB156:PC156"/>
    <mergeCell ref="PD156:PE156"/>
    <mergeCell ref="PF156:PG156"/>
    <mergeCell ref="PH156:PI156"/>
    <mergeCell ref="PJ156:PK156"/>
    <mergeCell ref="PL156:PM156"/>
    <mergeCell ref="PN156:PO156"/>
    <mergeCell ref="PP156:PQ156"/>
    <mergeCell ref="PR156:PS156"/>
    <mergeCell ref="PT156:PU156"/>
    <mergeCell ref="PV156:PW156"/>
    <mergeCell ref="PX156:PY156"/>
    <mergeCell ref="PZ156:QA156"/>
    <mergeCell ref="QB156:QC156"/>
    <mergeCell ref="QD156:QE156"/>
    <mergeCell ref="QF156:QG156"/>
    <mergeCell ref="QH156:QI156"/>
    <mergeCell ref="QJ156:QK156"/>
    <mergeCell ref="QL156:QM156"/>
    <mergeCell ref="QN156:QO156"/>
    <mergeCell ref="QP156:QQ156"/>
    <mergeCell ref="QR156:QS156"/>
    <mergeCell ref="QT156:QU156"/>
    <mergeCell ref="QZ155:RA155"/>
    <mergeCell ref="RB155:RC155"/>
    <mergeCell ref="JN156:JO156"/>
    <mergeCell ref="JP156:JQ156"/>
    <mergeCell ref="JR156:JS156"/>
    <mergeCell ref="JT156:JU156"/>
    <mergeCell ref="JV156:JW156"/>
    <mergeCell ref="JX156:JY156"/>
    <mergeCell ref="JZ156:KA156"/>
    <mergeCell ref="KB156:KC156"/>
    <mergeCell ref="KD156:KE156"/>
    <mergeCell ref="KF156:KG156"/>
    <mergeCell ref="KH156:KI156"/>
    <mergeCell ref="KJ156:KK156"/>
    <mergeCell ref="KL156:KM156"/>
    <mergeCell ref="KN156:KO156"/>
    <mergeCell ref="KP156:KQ156"/>
    <mergeCell ref="KR156:KS156"/>
    <mergeCell ref="KT156:KU156"/>
    <mergeCell ref="KV156:KW156"/>
    <mergeCell ref="KX156:KY156"/>
    <mergeCell ref="KZ156:LA156"/>
    <mergeCell ref="LB156:LC156"/>
    <mergeCell ref="LD156:LE156"/>
    <mergeCell ref="LF156:LG156"/>
    <mergeCell ref="LH156:LI156"/>
    <mergeCell ref="LJ156:LK156"/>
    <mergeCell ref="LL156:LM156"/>
    <mergeCell ref="LN156:LO156"/>
    <mergeCell ref="LP156:LQ156"/>
    <mergeCell ref="LR156:LS156"/>
    <mergeCell ref="LT156:LU156"/>
    <mergeCell ref="LV156:LW156"/>
    <mergeCell ref="LX156:LY156"/>
    <mergeCell ref="LZ156:MA156"/>
    <mergeCell ref="MB156:MC156"/>
    <mergeCell ref="MD156:ME156"/>
    <mergeCell ref="MF156:MG156"/>
    <mergeCell ref="MH156:MI156"/>
    <mergeCell ref="MJ156:MK156"/>
    <mergeCell ref="ML156:MM156"/>
    <mergeCell ref="MN156:MO156"/>
    <mergeCell ref="MP156:MQ156"/>
    <mergeCell ref="MR156:MS156"/>
    <mergeCell ref="MT156:MU156"/>
    <mergeCell ref="MV156:MW156"/>
    <mergeCell ref="MX156:MY156"/>
    <mergeCell ref="MZ156:NA156"/>
    <mergeCell ref="NB156:NC156"/>
    <mergeCell ref="ND156:NE156"/>
    <mergeCell ref="NF156:NG156"/>
    <mergeCell ref="NH156:NI156"/>
    <mergeCell ref="NJ156:NK156"/>
    <mergeCell ref="NL156:NM156"/>
    <mergeCell ref="NN156:NO156"/>
    <mergeCell ref="NP156:NQ156"/>
    <mergeCell ref="NR156:NS156"/>
    <mergeCell ref="NT156:NU156"/>
    <mergeCell ref="NV156:NW156"/>
    <mergeCell ref="NX156:NY156"/>
    <mergeCell ref="NZ156:OA156"/>
    <mergeCell ref="OB156:OC156"/>
    <mergeCell ref="OD156:OE156"/>
    <mergeCell ref="OF156:OG156"/>
    <mergeCell ref="OL155:OM155"/>
    <mergeCell ref="ON155:OO155"/>
    <mergeCell ref="OP155:OQ155"/>
    <mergeCell ref="OR155:OS155"/>
    <mergeCell ref="OT155:OU155"/>
    <mergeCell ref="OV155:OW155"/>
    <mergeCell ref="OX155:OY155"/>
    <mergeCell ref="OZ155:PA155"/>
    <mergeCell ref="PB155:PC155"/>
    <mergeCell ref="PD155:PE155"/>
    <mergeCell ref="PF155:PG155"/>
    <mergeCell ref="PH155:PI155"/>
    <mergeCell ref="PJ155:PK155"/>
    <mergeCell ref="PL155:PM155"/>
    <mergeCell ref="PN155:PO155"/>
    <mergeCell ref="PP155:PQ155"/>
    <mergeCell ref="PR155:PS155"/>
    <mergeCell ref="PT155:PU155"/>
    <mergeCell ref="PV155:PW155"/>
    <mergeCell ref="PX155:PY155"/>
    <mergeCell ref="PZ155:QA155"/>
    <mergeCell ref="QB155:QC155"/>
    <mergeCell ref="QD155:QE155"/>
    <mergeCell ref="QF155:QG155"/>
    <mergeCell ref="QH155:QI155"/>
    <mergeCell ref="QJ155:QK155"/>
    <mergeCell ref="QL155:QM155"/>
    <mergeCell ref="QN155:QO155"/>
    <mergeCell ref="QP155:QQ155"/>
    <mergeCell ref="QR155:QS155"/>
    <mergeCell ref="QT155:QU155"/>
    <mergeCell ref="QV155:QW155"/>
    <mergeCell ref="QX155:QY155"/>
    <mergeCell ref="PL154:PM154"/>
    <mergeCell ref="PN154:PO154"/>
    <mergeCell ref="PP154:PQ154"/>
    <mergeCell ref="PR154:PS154"/>
    <mergeCell ref="PT154:PU154"/>
    <mergeCell ref="PV154:PW154"/>
    <mergeCell ref="PX154:PY154"/>
    <mergeCell ref="PZ154:QA154"/>
    <mergeCell ref="QB154:QC154"/>
    <mergeCell ref="QD154:QE154"/>
    <mergeCell ref="QF154:QG154"/>
    <mergeCell ref="QH154:QI154"/>
    <mergeCell ref="QJ154:QK154"/>
    <mergeCell ref="QL154:QM154"/>
    <mergeCell ref="QN154:QO154"/>
    <mergeCell ref="QP154:QQ154"/>
    <mergeCell ref="QR154:QS154"/>
    <mergeCell ref="QT154:QU154"/>
    <mergeCell ref="QV154:QW154"/>
    <mergeCell ref="QX154:QY154"/>
    <mergeCell ref="QZ154:RA154"/>
    <mergeCell ref="RB154:RC154"/>
    <mergeCell ref="LF155:LG155"/>
    <mergeCell ref="LH155:LI155"/>
    <mergeCell ref="LJ155:LK155"/>
    <mergeCell ref="LL155:LM155"/>
    <mergeCell ref="LN155:LO155"/>
    <mergeCell ref="LP155:LQ155"/>
    <mergeCell ref="LR155:LS155"/>
    <mergeCell ref="LT155:LU155"/>
    <mergeCell ref="LV155:LW155"/>
    <mergeCell ref="LX155:LY155"/>
    <mergeCell ref="LZ155:MA155"/>
    <mergeCell ref="MB155:MC155"/>
    <mergeCell ref="MD155:ME155"/>
    <mergeCell ref="MF155:MG155"/>
    <mergeCell ref="MH155:MI155"/>
    <mergeCell ref="MJ155:MK155"/>
    <mergeCell ref="ML155:MM155"/>
    <mergeCell ref="MN155:MO155"/>
    <mergeCell ref="MP155:MQ155"/>
    <mergeCell ref="MR155:MS155"/>
    <mergeCell ref="MT155:MU155"/>
    <mergeCell ref="MV155:MW155"/>
    <mergeCell ref="MX155:MY155"/>
    <mergeCell ref="MZ155:NA155"/>
    <mergeCell ref="NB155:NC155"/>
    <mergeCell ref="ND155:NE155"/>
    <mergeCell ref="NF155:NG155"/>
    <mergeCell ref="NH155:NI155"/>
    <mergeCell ref="NJ155:NK155"/>
    <mergeCell ref="NL155:NM155"/>
    <mergeCell ref="NN155:NO155"/>
    <mergeCell ref="NP155:NQ155"/>
    <mergeCell ref="NR155:NS155"/>
    <mergeCell ref="NT155:NU155"/>
    <mergeCell ref="NV155:NW155"/>
    <mergeCell ref="NX155:NY155"/>
    <mergeCell ref="NZ155:OA155"/>
    <mergeCell ref="OB155:OC155"/>
    <mergeCell ref="OD155:OE155"/>
    <mergeCell ref="OF155:OG155"/>
    <mergeCell ref="OH155:OI155"/>
    <mergeCell ref="OJ155:OK155"/>
    <mergeCell ref="QL153:QM153"/>
    <mergeCell ref="QN153:QO153"/>
    <mergeCell ref="QP153:QQ153"/>
    <mergeCell ref="QR153:QS153"/>
    <mergeCell ref="QT153:QU153"/>
    <mergeCell ref="QV153:QW153"/>
    <mergeCell ref="QX153:QY153"/>
    <mergeCell ref="QZ153:RA153"/>
    <mergeCell ref="RB153:RC153"/>
    <mergeCell ref="LF154:LG154"/>
    <mergeCell ref="LH154:LI154"/>
    <mergeCell ref="LJ154:LK154"/>
    <mergeCell ref="LL154:LM154"/>
    <mergeCell ref="LN154:LO154"/>
    <mergeCell ref="LP154:LQ154"/>
    <mergeCell ref="LR154:LS154"/>
    <mergeCell ref="LT154:LU154"/>
    <mergeCell ref="LV154:LW154"/>
    <mergeCell ref="LX154:LY154"/>
    <mergeCell ref="LZ154:MA154"/>
    <mergeCell ref="MB154:MC154"/>
    <mergeCell ref="MD154:ME154"/>
    <mergeCell ref="MF154:MG154"/>
    <mergeCell ref="MH154:MI154"/>
    <mergeCell ref="MJ154:MK154"/>
    <mergeCell ref="ML154:MM154"/>
    <mergeCell ref="MN154:MO154"/>
    <mergeCell ref="MP154:MQ154"/>
    <mergeCell ref="MR154:MS154"/>
    <mergeCell ref="MT154:MU154"/>
    <mergeCell ref="MV154:MW154"/>
    <mergeCell ref="MX154:MY154"/>
    <mergeCell ref="MZ154:NA154"/>
    <mergeCell ref="NB154:NC154"/>
    <mergeCell ref="ND154:NE154"/>
    <mergeCell ref="NF154:NG154"/>
    <mergeCell ref="NH154:NI154"/>
    <mergeCell ref="NJ154:NK154"/>
    <mergeCell ref="NL154:NM154"/>
    <mergeCell ref="NN154:NO154"/>
    <mergeCell ref="NP154:NQ154"/>
    <mergeCell ref="NR154:NS154"/>
    <mergeCell ref="NT154:NU154"/>
    <mergeCell ref="NV154:NW154"/>
    <mergeCell ref="NX154:NY154"/>
    <mergeCell ref="NZ154:OA154"/>
    <mergeCell ref="OB154:OC154"/>
    <mergeCell ref="OD154:OE154"/>
    <mergeCell ref="OF154:OG154"/>
    <mergeCell ref="OH154:OI154"/>
    <mergeCell ref="OJ154:OK154"/>
    <mergeCell ref="OL154:OM154"/>
    <mergeCell ref="ON154:OO154"/>
    <mergeCell ref="OP154:OQ154"/>
    <mergeCell ref="OR154:OS154"/>
    <mergeCell ref="OT154:OU154"/>
    <mergeCell ref="OV154:OW154"/>
    <mergeCell ref="OX154:OY154"/>
    <mergeCell ref="OZ154:PA154"/>
    <mergeCell ref="PB154:PC154"/>
    <mergeCell ref="PD154:PE154"/>
    <mergeCell ref="PF154:PG154"/>
    <mergeCell ref="PH154:PI154"/>
    <mergeCell ref="PJ154:PK154"/>
    <mergeCell ref="NX153:NY153"/>
    <mergeCell ref="NZ153:OA153"/>
    <mergeCell ref="OB153:OC153"/>
    <mergeCell ref="OD153:OE153"/>
    <mergeCell ref="OF153:OG153"/>
    <mergeCell ref="OH153:OI153"/>
    <mergeCell ref="OJ153:OK153"/>
    <mergeCell ref="OL153:OM153"/>
    <mergeCell ref="ON153:OO153"/>
    <mergeCell ref="OP153:OQ153"/>
    <mergeCell ref="OR153:OS153"/>
    <mergeCell ref="OT153:OU153"/>
    <mergeCell ref="OV153:OW153"/>
    <mergeCell ref="OX153:OY153"/>
    <mergeCell ref="OZ153:PA153"/>
    <mergeCell ref="PB153:PC153"/>
    <mergeCell ref="PD153:PE153"/>
    <mergeCell ref="PF153:PG153"/>
    <mergeCell ref="PH153:PI153"/>
    <mergeCell ref="PJ153:PK153"/>
    <mergeCell ref="PL153:PM153"/>
    <mergeCell ref="PN153:PO153"/>
    <mergeCell ref="PP153:PQ153"/>
    <mergeCell ref="PR153:PS153"/>
    <mergeCell ref="PT153:PU153"/>
    <mergeCell ref="PV153:PW153"/>
    <mergeCell ref="PX153:PY153"/>
    <mergeCell ref="PZ153:QA153"/>
    <mergeCell ref="QB153:QC153"/>
    <mergeCell ref="QD153:QE153"/>
    <mergeCell ref="QF153:QG153"/>
    <mergeCell ref="QH153:QI153"/>
    <mergeCell ref="QJ153:QK153"/>
    <mergeCell ref="QN152:QO152"/>
    <mergeCell ref="QP152:QQ152"/>
    <mergeCell ref="QR152:QS152"/>
    <mergeCell ref="QT152:QU152"/>
    <mergeCell ref="QV152:QW152"/>
    <mergeCell ref="QX152:QY152"/>
    <mergeCell ref="QZ152:RA152"/>
    <mergeCell ref="RB152:RC152"/>
    <mergeCell ref="JP153:JQ153"/>
    <mergeCell ref="JR153:JS153"/>
    <mergeCell ref="JT153:JU153"/>
    <mergeCell ref="JV153:JW153"/>
    <mergeCell ref="JX153:JY153"/>
    <mergeCell ref="JZ153:KA153"/>
    <mergeCell ref="KB153:KC153"/>
    <mergeCell ref="KD153:KE153"/>
    <mergeCell ref="KF153:KG153"/>
    <mergeCell ref="KH153:KI153"/>
    <mergeCell ref="KJ153:KK153"/>
    <mergeCell ref="KL153:KM153"/>
    <mergeCell ref="KN153:KO153"/>
    <mergeCell ref="KP153:KQ153"/>
    <mergeCell ref="KR153:KS153"/>
    <mergeCell ref="KT153:KU153"/>
    <mergeCell ref="KV153:KW153"/>
    <mergeCell ref="KX153:KY153"/>
    <mergeCell ref="KZ153:LA153"/>
    <mergeCell ref="LB153:LC153"/>
    <mergeCell ref="LD153:LE153"/>
    <mergeCell ref="LF153:LG153"/>
    <mergeCell ref="LH153:LI153"/>
    <mergeCell ref="LJ153:LK153"/>
    <mergeCell ref="LL153:LM153"/>
    <mergeCell ref="LN153:LO153"/>
    <mergeCell ref="LP153:LQ153"/>
    <mergeCell ref="LR153:LS153"/>
    <mergeCell ref="LT153:LU153"/>
    <mergeCell ref="LV153:LW153"/>
    <mergeCell ref="LX153:LY153"/>
    <mergeCell ref="LZ153:MA153"/>
    <mergeCell ref="MB153:MC153"/>
    <mergeCell ref="MD153:ME153"/>
    <mergeCell ref="MF153:MG153"/>
    <mergeCell ref="MH153:MI153"/>
    <mergeCell ref="MJ153:MK153"/>
    <mergeCell ref="ML153:MM153"/>
    <mergeCell ref="MN153:MO153"/>
    <mergeCell ref="MP153:MQ153"/>
    <mergeCell ref="MR153:MS153"/>
    <mergeCell ref="MT153:MU153"/>
    <mergeCell ref="MV153:MW153"/>
    <mergeCell ref="MX153:MY153"/>
    <mergeCell ref="MZ153:NA153"/>
    <mergeCell ref="NB153:NC153"/>
    <mergeCell ref="ND153:NE153"/>
    <mergeCell ref="NF153:NG153"/>
    <mergeCell ref="NH153:NI153"/>
    <mergeCell ref="NJ153:NK153"/>
    <mergeCell ref="NL153:NM153"/>
    <mergeCell ref="NN153:NO153"/>
    <mergeCell ref="NP153:NQ153"/>
    <mergeCell ref="NR153:NS153"/>
    <mergeCell ref="NT153:NU153"/>
    <mergeCell ref="NV153:NW153"/>
    <mergeCell ref="NZ152:OA152"/>
    <mergeCell ref="OB152:OC152"/>
    <mergeCell ref="OD152:OE152"/>
    <mergeCell ref="OF152:OG152"/>
    <mergeCell ref="OH152:OI152"/>
    <mergeCell ref="OJ152:OK152"/>
    <mergeCell ref="OL152:OM152"/>
    <mergeCell ref="ON152:OO152"/>
    <mergeCell ref="OP152:OQ152"/>
    <mergeCell ref="OR152:OS152"/>
    <mergeCell ref="OT152:OU152"/>
    <mergeCell ref="OV152:OW152"/>
    <mergeCell ref="OX152:OY152"/>
    <mergeCell ref="OZ152:PA152"/>
    <mergeCell ref="PB152:PC152"/>
    <mergeCell ref="PD152:PE152"/>
    <mergeCell ref="PF152:PG152"/>
    <mergeCell ref="PH152:PI152"/>
    <mergeCell ref="PJ152:PK152"/>
    <mergeCell ref="PL152:PM152"/>
    <mergeCell ref="PN152:PO152"/>
    <mergeCell ref="PP152:PQ152"/>
    <mergeCell ref="PR152:PS152"/>
    <mergeCell ref="PT152:PU152"/>
    <mergeCell ref="PV152:PW152"/>
    <mergeCell ref="PX152:PY152"/>
    <mergeCell ref="PZ152:QA152"/>
    <mergeCell ref="QB152:QC152"/>
    <mergeCell ref="QD152:QE152"/>
    <mergeCell ref="QF152:QG152"/>
    <mergeCell ref="QH152:QI152"/>
    <mergeCell ref="QJ152:QK152"/>
    <mergeCell ref="QL152:QM152"/>
    <mergeCell ref="QR151:QS151"/>
    <mergeCell ref="QT151:QU151"/>
    <mergeCell ref="QV151:QW151"/>
    <mergeCell ref="QX151:QY151"/>
    <mergeCell ref="QZ151:RA151"/>
    <mergeCell ref="RB151:RC151"/>
    <mergeCell ref="JN152:JO152"/>
    <mergeCell ref="JP152:JQ152"/>
    <mergeCell ref="JR152:JS152"/>
    <mergeCell ref="JT152:JU152"/>
    <mergeCell ref="JV152:JW152"/>
    <mergeCell ref="JX152:JY152"/>
    <mergeCell ref="JZ152:KA152"/>
    <mergeCell ref="KB152:KC152"/>
    <mergeCell ref="KD152:KE152"/>
    <mergeCell ref="KF152:KG152"/>
    <mergeCell ref="KH152:KI152"/>
    <mergeCell ref="KJ152:KK152"/>
    <mergeCell ref="KL152:KM152"/>
    <mergeCell ref="KN152:KO152"/>
    <mergeCell ref="KP152:KQ152"/>
    <mergeCell ref="KR152:KS152"/>
    <mergeCell ref="KT152:KU152"/>
    <mergeCell ref="KV152:KW152"/>
    <mergeCell ref="KX152:KY152"/>
    <mergeCell ref="KZ152:LA152"/>
    <mergeCell ref="LB152:LC152"/>
    <mergeCell ref="LD152:LE152"/>
    <mergeCell ref="LF152:LG152"/>
    <mergeCell ref="LH152:LI152"/>
    <mergeCell ref="LJ152:LK152"/>
    <mergeCell ref="LL152:LM152"/>
    <mergeCell ref="LN152:LO152"/>
    <mergeCell ref="LP152:LQ152"/>
    <mergeCell ref="LR152:LS152"/>
    <mergeCell ref="LT152:LU152"/>
    <mergeCell ref="LV152:LW152"/>
    <mergeCell ref="LX152:LY152"/>
    <mergeCell ref="LZ152:MA152"/>
    <mergeCell ref="MB152:MC152"/>
    <mergeCell ref="MD152:ME152"/>
    <mergeCell ref="MF152:MG152"/>
    <mergeCell ref="MH152:MI152"/>
    <mergeCell ref="MJ152:MK152"/>
    <mergeCell ref="ML152:MM152"/>
    <mergeCell ref="MN152:MO152"/>
    <mergeCell ref="MP152:MQ152"/>
    <mergeCell ref="MR152:MS152"/>
    <mergeCell ref="MT152:MU152"/>
    <mergeCell ref="MV152:MW152"/>
    <mergeCell ref="MX152:MY152"/>
    <mergeCell ref="MZ152:NA152"/>
    <mergeCell ref="NB152:NC152"/>
    <mergeCell ref="ND152:NE152"/>
    <mergeCell ref="NF152:NG152"/>
    <mergeCell ref="NH152:NI152"/>
    <mergeCell ref="NJ152:NK152"/>
    <mergeCell ref="NL152:NM152"/>
    <mergeCell ref="NN152:NO152"/>
    <mergeCell ref="NP152:NQ152"/>
    <mergeCell ref="NR152:NS152"/>
    <mergeCell ref="NT152:NU152"/>
    <mergeCell ref="NV152:NW152"/>
    <mergeCell ref="NX152:NY152"/>
    <mergeCell ref="OD151:OE151"/>
    <mergeCell ref="OF151:OG151"/>
    <mergeCell ref="OH151:OI151"/>
    <mergeCell ref="OJ151:OK151"/>
    <mergeCell ref="OL151:OM151"/>
    <mergeCell ref="ON151:OO151"/>
    <mergeCell ref="OP151:OQ151"/>
    <mergeCell ref="OR151:OS151"/>
    <mergeCell ref="OT151:OU151"/>
    <mergeCell ref="OV151:OW151"/>
    <mergeCell ref="OX151:OY151"/>
    <mergeCell ref="OZ151:PA151"/>
    <mergeCell ref="PB151:PC151"/>
    <mergeCell ref="PD151:PE151"/>
    <mergeCell ref="PF151:PG151"/>
    <mergeCell ref="PH151:PI151"/>
    <mergeCell ref="PJ151:PK151"/>
    <mergeCell ref="PL151:PM151"/>
    <mergeCell ref="PN151:PO151"/>
    <mergeCell ref="PP151:PQ151"/>
    <mergeCell ref="PR151:PS151"/>
    <mergeCell ref="PT151:PU151"/>
    <mergeCell ref="PV151:PW151"/>
    <mergeCell ref="PX151:PY151"/>
    <mergeCell ref="PZ151:QA151"/>
    <mergeCell ref="QB151:QC151"/>
    <mergeCell ref="QD151:QE151"/>
    <mergeCell ref="QF151:QG151"/>
    <mergeCell ref="QH151:QI151"/>
    <mergeCell ref="QJ151:QK151"/>
    <mergeCell ref="QL151:QM151"/>
    <mergeCell ref="QN151:QO151"/>
    <mergeCell ref="QP151:QQ151"/>
    <mergeCell ref="PT150:PU150"/>
    <mergeCell ref="PV150:PW150"/>
    <mergeCell ref="PX150:PY150"/>
    <mergeCell ref="PZ150:QA150"/>
    <mergeCell ref="QB150:QC150"/>
    <mergeCell ref="QD150:QE150"/>
    <mergeCell ref="QF150:QG150"/>
    <mergeCell ref="QH150:QI150"/>
    <mergeCell ref="QJ150:QK150"/>
    <mergeCell ref="QL150:QM150"/>
    <mergeCell ref="QN150:QO150"/>
    <mergeCell ref="QP150:QQ150"/>
    <mergeCell ref="QR150:QS150"/>
    <mergeCell ref="QT150:QU150"/>
    <mergeCell ref="QV150:QW150"/>
    <mergeCell ref="QX150:QY150"/>
    <mergeCell ref="QZ150:RA150"/>
    <mergeCell ref="RB150:RC150"/>
    <mergeCell ref="KP151:KQ151"/>
    <mergeCell ref="KR151:KS151"/>
    <mergeCell ref="KT151:KU151"/>
    <mergeCell ref="KV151:KW151"/>
    <mergeCell ref="KX151:KY151"/>
    <mergeCell ref="KZ151:LA151"/>
    <mergeCell ref="LB151:LC151"/>
    <mergeCell ref="LD151:LE151"/>
    <mergeCell ref="LF151:LG151"/>
    <mergeCell ref="LH151:LI151"/>
    <mergeCell ref="LJ151:LK151"/>
    <mergeCell ref="LL151:LM151"/>
    <mergeCell ref="LN151:LO151"/>
    <mergeCell ref="LP151:LQ151"/>
    <mergeCell ref="LR151:LS151"/>
    <mergeCell ref="LT151:LU151"/>
    <mergeCell ref="LV151:LW151"/>
    <mergeCell ref="LX151:LY151"/>
    <mergeCell ref="LZ151:MA151"/>
    <mergeCell ref="MB151:MC151"/>
    <mergeCell ref="MD151:ME151"/>
    <mergeCell ref="MF151:MG151"/>
    <mergeCell ref="MH151:MI151"/>
    <mergeCell ref="MJ151:MK151"/>
    <mergeCell ref="ML151:MM151"/>
    <mergeCell ref="MN151:MO151"/>
    <mergeCell ref="MP151:MQ151"/>
    <mergeCell ref="MR151:MS151"/>
    <mergeCell ref="MT151:MU151"/>
    <mergeCell ref="MV151:MW151"/>
    <mergeCell ref="MX151:MY151"/>
    <mergeCell ref="MZ151:NA151"/>
    <mergeCell ref="NB151:NC151"/>
    <mergeCell ref="ND151:NE151"/>
    <mergeCell ref="NF151:NG151"/>
    <mergeCell ref="NH151:NI151"/>
    <mergeCell ref="NJ151:NK151"/>
    <mergeCell ref="NL151:NM151"/>
    <mergeCell ref="NN151:NO151"/>
    <mergeCell ref="NP151:NQ151"/>
    <mergeCell ref="NR151:NS151"/>
    <mergeCell ref="NT151:NU151"/>
    <mergeCell ref="NV151:NW151"/>
    <mergeCell ref="NX151:NY151"/>
    <mergeCell ref="NZ151:OA151"/>
    <mergeCell ref="OB151:OC151"/>
    <mergeCell ref="NF150:NG150"/>
    <mergeCell ref="NH150:NI150"/>
    <mergeCell ref="NJ150:NK150"/>
    <mergeCell ref="NL150:NM150"/>
    <mergeCell ref="NN150:NO150"/>
    <mergeCell ref="NP150:NQ150"/>
    <mergeCell ref="NR150:NS150"/>
    <mergeCell ref="NT150:NU150"/>
    <mergeCell ref="NV150:NW150"/>
    <mergeCell ref="NX150:NY150"/>
    <mergeCell ref="NZ150:OA150"/>
    <mergeCell ref="OB150:OC150"/>
    <mergeCell ref="OD150:OE150"/>
    <mergeCell ref="OF150:OG150"/>
    <mergeCell ref="OH150:OI150"/>
    <mergeCell ref="OJ150:OK150"/>
    <mergeCell ref="OL150:OM150"/>
    <mergeCell ref="ON150:OO150"/>
    <mergeCell ref="OP150:OQ150"/>
    <mergeCell ref="OR150:OS150"/>
    <mergeCell ref="OT150:OU150"/>
    <mergeCell ref="OV150:OW150"/>
    <mergeCell ref="OX150:OY150"/>
    <mergeCell ref="OZ150:PA150"/>
    <mergeCell ref="PB150:PC150"/>
    <mergeCell ref="PD150:PE150"/>
    <mergeCell ref="PF150:PG150"/>
    <mergeCell ref="PH150:PI150"/>
    <mergeCell ref="PJ150:PK150"/>
    <mergeCell ref="PL150:PM150"/>
    <mergeCell ref="PN150:PO150"/>
    <mergeCell ref="PP150:PQ150"/>
    <mergeCell ref="PR150:PS150"/>
    <mergeCell ref="PP149:PQ149"/>
    <mergeCell ref="PR149:PS149"/>
    <mergeCell ref="PT149:PU149"/>
    <mergeCell ref="PV149:PW149"/>
    <mergeCell ref="PX149:PY149"/>
    <mergeCell ref="PZ149:QA149"/>
    <mergeCell ref="QB149:QC149"/>
    <mergeCell ref="QD149:QE149"/>
    <mergeCell ref="QF149:QG149"/>
    <mergeCell ref="QH149:QI149"/>
    <mergeCell ref="QJ149:QK149"/>
    <mergeCell ref="QL149:QM149"/>
    <mergeCell ref="QN149:QO149"/>
    <mergeCell ref="QP149:QQ149"/>
    <mergeCell ref="QR149:QS149"/>
    <mergeCell ref="QT149:QU149"/>
    <mergeCell ref="QV149:QW149"/>
    <mergeCell ref="QX149:QY149"/>
    <mergeCell ref="QZ149:RA149"/>
    <mergeCell ref="RB149:RC149"/>
    <mergeCell ref="JV150:JW150"/>
    <mergeCell ref="JX150:JY150"/>
    <mergeCell ref="JZ150:KA150"/>
    <mergeCell ref="KB150:KC150"/>
    <mergeCell ref="KD150:KE150"/>
    <mergeCell ref="KF150:KG150"/>
    <mergeCell ref="KH150:KI150"/>
    <mergeCell ref="KJ150:KK150"/>
    <mergeCell ref="KL150:KM150"/>
    <mergeCell ref="KN150:KO150"/>
    <mergeCell ref="KP150:KQ150"/>
    <mergeCell ref="KR150:KS150"/>
    <mergeCell ref="KT150:KU150"/>
    <mergeCell ref="KV150:KW150"/>
    <mergeCell ref="KX150:KY150"/>
    <mergeCell ref="KZ150:LA150"/>
    <mergeCell ref="LB150:LC150"/>
    <mergeCell ref="LD150:LE150"/>
    <mergeCell ref="LF150:LG150"/>
    <mergeCell ref="LH150:LI150"/>
    <mergeCell ref="LJ150:LK150"/>
    <mergeCell ref="LL150:LM150"/>
    <mergeCell ref="LN150:LO150"/>
    <mergeCell ref="LP150:LQ150"/>
    <mergeCell ref="LR150:LS150"/>
    <mergeCell ref="LT150:LU150"/>
    <mergeCell ref="LV150:LW150"/>
    <mergeCell ref="LX150:LY150"/>
    <mergeCell ref="LZ150:MA150"/>
    <mergeCell ref="MB150:MC150"/>
    <mergeCell ref="MD150:ME150"/>
    <mergeCell ref="MF150:MG150"/>
    <mergeCell ref="MH150:MI150"/>
    <mergeCell ref="MJ150:MK150"/>
    <mergeCell ref="ML150:MM150"/>
    <mergeCell ref="MN150:MO150"/>
    <mergeCell ref="MP150:MQ150"/>
    <mergeCell ref="MR150:MS150"/>
    <mergeCell ref="MT150:MU150"/>
    <mergeCell ref="MV150:MW150"/>
    <mergeCell ref="MX150:MY150"/>
    <mergeCell ref="MZ150:NA150"/>
    <mergeCell ref="NB150:NC150"/>
    <mergeCell ref="ND150:NE150"/>
    <mergeCell ref="QP148:QQ148"/>
    <mergeCell ref="QR148:QS148"/>
    <mergeCell ref="QT148:QU148"/>
    <mergeCell ref="QV148:QW148"/>
    <mergeCell ref="QX148:QY148"/>
    <mergeCell ref="QZ148:RA148"/>
    <mergeCell ref="RB148:RC148"/>
    <mergeCell ref="LF149:LG149"/>
    <mergeCell ref="LH149:LI149"/>
    <mergeCell ref="LJ149:LK149"/>
    <mergeCell ref="LL149:LM149"/>
    <mergeCell ref="LN149:LO149"/>
    <mergeCell ref="LP149:LQ149"/>
    <mergeCell ref="LR149:LS149"/>
    <mergeCell ref="LT149:LU149"/>
    <mergeCell ref="LV149:LW149"/>
    <mergeCell ref="LX149:LY149"/>
    <mergeCell ref="LZ149:MA149"/>
    <mergeCell ref="MB149:MC149"/>
    <mergeCell ref="MD149:ME149"/>
    <mergeCell ref="MF149:MG149"/>
    <mergeCell ref="MH149:MI149"/>
    <mergeCell ref="MJ149:MK149"/>
    <mergeCell ref="ML149:MM149"/>
    <mergeCell ref="MN149:MO149"/>
    <mergeCell ref="MP149:MQ149"/>
    <mergeCell ref="MR149:MS149"/>
    <mergeCell ref="MT149:MU149"/>
    <mergeCell ref="MV149:MW149"/>
    <mergeCell ref="MX149:MY149"/>
    <mergeCell ref="MZ149:NA149"/>
    <mergeCell ref="NB149:NC149"/>
    <mergeCell ref="ND149:NE149"/>
    <mergeCell ref="NF149:NG149"/>
    <mergeCell ref="NH149:NI149"/>
    <mergeCell ref="NJ149:NK149"/>
    <mergeCell ref="NL149:NM149"/>
    <mergeCell ref="NN149:NO149"/>
    <mergeCell ref="NP149:NQ149"/>
    <mergeCell ref="NR149:NS149"/>
    <mergeCell ref="NT149:NU149"/>
    <mergeCell ref="NV149:NW149"/>
    <mergeCell ref="NX149:NY149"/>
    <mergeCell ref="NZ149:OA149"/>
    <mergeCell ref="OB149:OC149"/>
    <mergeCell ref="OD149:OE149"/>
    <mergeCell ref="OF149:OG149"/>
    <mergeCell ref="OH149:OI149"/>
    <mergeCell ref="OJ149:OK149"/>
    <mergeCell ref="OL149:OM149"/>
    <mergeCell ref="ON149:OO149"/>
    <mergeCell ref="OP149:OQ149"/>
    <mergeCell ref="OR149:OS149"/>
    <mergeCell ref="OT149:OU149"/>
    <mergeCell ref="OV149:OW149"/>
    <mergeCell ref="OX149:OY149"/>
    <mergeCell ref="OZ149:PA149"/>
    <mergeCell ref="PB149:PC149"/>
    <mergeCell ref="PD149:PE149"/>
    <mergeCell ref="PF149:PG149"/>
    <mergeCell ref="PH149:PI149"/>
    <mergeCell ref="PJ149:PK149"/>
    <mergeCell ref="PL149:PM149"/>
    <mergeCell ref="PN149:PO149"/>
    <mergeCell ref="OB148:OC148"/>
    <mergeCell ref="OD148:OE148"/>
    <mergeCell ref="OF148:OG148"/>
    <mergeCell ref="OH148:OI148"/>
    <mergeCell ref="OJ148:OK148"/>
    <mergeCell ref="OL148:OM148"/>
    <mergeCell ref="ON148:OO148"/>
    <mergeCell ref="OP148:OQ148"/>
    <mergeCell ref="OR148:OS148"/>
    <mergeCell ref="OT148:OU148"/>
    <mergeCell ref="OV148:OW148"/>
    <mergeCell ref="OX148:OY148"/>
    <mergeCell ref="OZ148:PA148"/>
    <mergeCell ref="PB148:PC148"/>
    <mergeCell ref="PD148:PE148"/>
    <mergeCell ref="PF148:PG148"/>
    <mergeCell ref="PH148:PI148"/>
    <mergeCell ref="PJ148:PK148"/>
    <mergeCell ref="PL148:PM148"/>
    <mergeCell ref="PN148:PO148"/>
    <mergeCell ref="PP148:PQ148"/>
    <mergeCell ref="PR148:PS148"/>
    <mergeCell ref="PT148:PU148"/>
    <mergeCell ref="PV148:PW148"/>
    <mergeCell ref="PX148:PY148"/>
    <mergeCell ref="PZ148:QA148"/>
    <mergeCell ref="QB148:QC148"/>
    <mergeCell ref="QD148:QE148"/>
    <mergeCell ref="QF148:QG148"/>
    <mergeCell ref="QH148:QI148"/>
    <mergeCell ref="QJ148:QK148"/>
    <mergeCell ref="QL148:QM148"/>
    <mergeCell ref="QN148:QO148"/>
    <mergeCell ref="OV147:OW147"/>
    <mergeCell ref="OX147:OY147"/>
    <mergeCell ref="OZ147:PA147"/>
    <mergeCell ref="PB147:PC147"/>
    <mergeCell ref="PD147:PE147"/>
    <mergeCell ref="PF147:PG147"/>
    <mergeCell ref="PH147:PI147"/>
    <mergeCell ref="PJ147:PK147"/>
    <mergeCell ref="PL147:PM147"/>
    <mergeCell ref="PN147:PO147"/>
    <mergeCell ref="PP147:PQ147"/>
    <mergeCell ref="PR147:PS147"/>
    <mergeCell ref="PT147:PU147"/>
    <mergeCell ref="PV147:PW147"/>
    <mergeCell ref="PX147:PY147"/>
    <mergeCell ref="PZ147:QA147"/>
    <mergeCell ref="QB147:QC147"/>
    <mergeCell ref="QD147:QE147"/>
    <mergeCell ref="QF147:QG147"/>
    <mergeCell ref="QH147:QI147"/>
    <mergeCell ref="QJ147:QK147"/>
    <mergeCell ref="QL147:QM147"/>
    <mergeCell ref="QN147:QO147"/>
    <mergeCell ref="QP147:QQ147"/>
    <mergeCell ref="QR147:QS147"/>
    <mergeCell ref="QT147:QU147"/>
    <mergeCell ref="QV147:QW147"/>
    <mergeCell ref="QX147:QY147"/>
    <mergeCell ref="QZ147:RA147"/>
    <mergeCell ref="RB147:RC147"/>
    <mergeCell ref="LL148:LM148"/>
    <mergeCell ref="LN148:LO148"/>
    <mergeCell ref="LP148:LQ148"/>
    <mergeCell ref="LR148:LS148"/>
    <mergeCell ref="LT148:LU148"/>
    <mergeCell ref="LV148:LW148"/>
    <mergeCell ref="LX148:LY148"/>
    <mergeCell ref="LZ148:MA148"/>
    <mergeCell ref="MB148:MC148"/>
    <mergeCell ref="MD148:ME148"/>
    <mergeCell ref="MF148:MG148"/>
    <mergeCell ref="MH148:MI148"/>
    <mergeCell ref="MJ148:MK148"/>
    <mergeCell ref="ML148:MM148"/>
    <mergeCell ref="MN148:MO148"/>
    <mergeCell ref="MP148:MQ148"/>
    <mergeCell ref="MR148:MS148"/>
    <mergeCell ref="MT148:MU148"/>
    <mergeCell ref="MV148:MW148"/>
    <mergeCell ref="MX148:MY148"/>
    <mergeCell ref="MZ148:NA148"/>
    <mergeCell ref="NB148:NC148"/>
    <mergeCell ref="ND148:NE148"/>
    <mergeCell ref="NF148:NG148"/>
    <mergeCell ref="NH148:NI148"/>
    <mergeCell ref="NJ148:NK148"/>
    <mergeCell ref="NL148:NM148"/>
    <mergeCell ref="NN148:NO148"/>
    <mergeCell ref="NP148:NQ148"/>
    <mergeCell ref="NR148:NS148"/>
    <mergeCell ref="NT148:NU148"/>
    <mergeCell ref="NV148:NW148"/>
    <mergeCell ref="NX148:NY148"/>
    <mergeCell ref="NZ148:OA148"/>
    <mergeCell ref="RB146:RC146"/>
    <mergeCell ref="JZ147:KA147"/>
    <mergeCell ref="KB147:KC147"/>
    <mergeCell ref="KD147:KE147"/>
    <mergeCell ref="KF147:KG147"/>
    <mergeCell ref="KH147:KI147"/>
    <mergeCell ref="KJ147:KK147"/>
    <mergeCell ref="KL147:KM147"/>
    <mergeCell ref="KN147:KO147"/>
    <mergeCell ref="KP147:KQ147"/>
    <mergeCell ref="KR147:KS147"/>
    <mergeCell ref="KT147:KU147"/>
    <mergeCell ref="KV147:KW147"/>
    <mergeCell ref="KX147:KY147"/>
    <mergeCell ref="KZ147:LA147"/>
    <mergeCell ref="LB147:LC147"/>
    <mergeCell ref="LD147:LE147"/>
    <mergeCell ref="LF147:LG147"/>
    <mergeCell ref="LH147:LI147"/>
    <mergeCell ref="LJ147:LK147"/>
    <mergeCell ref="LL147:LM147"/>
    <mergeCell ref="LN147:LO147"/>
    <mergeCell ref="LP147:LQ147"/>
    <mergeCell ref="LR147:LS147"/>
    <mergeCell ref="LT147:LU147"/>
    <mergeCell ref="LV147:LW147"/>
    <mergeCell ref="LX147:LY147"/>
    <mergeCell ref="LZ147:MA147"/>
    <mergeCell ref="MB147:MC147"/>
    <mergeCell ref="MD147:ME147"/>
    <mergeCell ref="MF147:MG147"/>
    <mergeCell ref="MH147:MI147"/>
    <mergeCell ref="MJ147:MK147"/>
    <mergeCell ref="ML147:MM147"/>
    <mergeCell ref="MN147:MO147"/>
    <mergeCell ref="MP147:MQ147"/>
    <mergeCell ref="MR147:MS147"/>
    <mergeCell ref="MT147:MU147"/>
    <mergeCell ref="MV147:MW147"/>
    <mergeCell ref="MX147:MY147"/>
    <mergeCell ref="MZ147:NA147"/>
    <mergeCell ref="NB147:NC147"/>
    <mergeCell ref="ND147:NE147"/>
    <mergeCell ref="NF147:NG147"/>
    <mergeCell ref="NH147:NI147"/>
    <mergeCell ref="NJ147:NK147"/>
    <mergeCell ref="NL147:NM147"/>
    <mergeCell ref="NN147:NO147"/>
    <mergeCell ref="NP147:NQ147"/>
    <mergeCell ref="NR147:NS147"/>
    <mergeCell ref="NT147:NU147"/>
    <mergeCell ref="NV147:NW147"/>
    <mergeCell ref="NX147:NY147"/>
    <mergeCell ref="NZ147:OA147"/>
    <mergeCell ref="OB147:OC147"/>
    <mergeCell ref="OD147:OE147"/>
    <mergeCell ref="OF147:OG147"/>
    <mergeCell ref="OH147:OI147"/>
    <mergeCell ref="OJ147:OK147"/>
    <mergeCell ref="OL147:OM147"/>
    <mergeCell ref="ON147:OO147"/>
    <mergeCell ref="OP147:OQ147"/>
    <mergeCell ref="OR147:OS147"/>
    <mergeCell ref="OT147:OU147"/>
    <mergeCell ref="ON146:OO146"/>
    <mergeCell ref="OP146:OQ146"/>
    <mergeCell ref="OR146:OS146"/>
    <mergeCell ref="OT146:OU146"/>
    <mergeCell ref="OV146:OW146"/>
    <mergeCell ref="OX146:OY146"/>
    <mergeCell ref="OZ146:PA146"/>
    <mergeCell ref="PB146:PC146"/>
    <mergeCell ref="PD146:PE146"/>
    <mergeCell ref="PF146:PG146"/>
    <mergeCell ref="PH146:PI146"/>
    <mergeCell ref="PJ146:PK146"/>
    <mergeCell ref="PL146:PM146"/>
    <mergeCell ref="PN146:PO146"/>
    <mergeCell ref="PP146:PQ146"/>
    <mergeCell ref="PR146:PS146"/>
    <mergeCell ref="PT146:PU146"/>
    <mergeCell ref="PV146:PW146"/>
    <mergeCell ref="PX146:PY146"/>
    <mergeCell ref="PZ146:QA146"/>
    <mergeCell ref="QB146:QC146"/>
    <mergeCell ref="QD146:QE146"/>
    <mergeCell ref="QF146:QG146"/>
    <mergeCell ref="QH146:QI146"/>
    <mergeCell ref="QJ146:QK146"/>
    <mergeCell ref="QL146:QM146"/>
    <mergeCell ref="QN146:QO146"/>
    <mergeCell ref="QP146:QQ146"/>
    <mergeCell ref="QR146:QS146"/>
    <mergeCell ref="QT146:QU146"/>
    <mergeCell ref="QV146:QW146"/>
    <mergeCell ref="QX146:QY146"/>
    <mergeCell ref="QZ146:RA146"/>
    <mergeCell ref="LZ146:MA146"/>
    <mergeCell ref="MB146:MC146"/>
    <mergeCell ref="MD146:ME146"/>
    <mergeCell ref="MF146:MG146"/>
    <mergeCell ref="MH146:MI146"/>
    <mergeCell ref="MJ146:MK146"/>
    <mergeCell ref="ML146:MM146"/>
    <mergeCell ref="MN146:MO146"/>
    <mergeCell ref="MP146:MQ146"/>
    <mergeCell ref="MR146:MS146"/>
    <mergeCell ref="MT146:MU146"/>
    <mergeCell ref="MV146:MW146"/>
    <mergeCell ref="MX146:MY146"/>
    <mergeCell ref="MZ146:NA146"/>
    <mergeCell ref="NB146:NC146"/>
    <mergeCell ref="ND146:NE146"/>
    <mergeCell ref="NF146:NG146"/>
    <mergeCell ref="NH146:NI146"/>
    <mergeCell ref="NJ146:NK146"/>
    <mergeCell ref="NL146:NM146"/>
    <mergeCell ref="NN146:NO146"/>
    <mergeCell ref="NP146:NQ146"/>
    <mergeCell ref="NR146:NS146"/>
    <mergeCell ref="NT146:NU146"/>
    <mergeCell ref="NV146:NW146"/>
    <mergeCell ref="NX146:NY146"/>
    <mergeCell ref="NZ146:OA146"/>
    <mergeCell ref="OB146:OC146"/>
    <mergeCell ref="OD146:OE146"/>
    <mergeCell ref="OF146:OG146"/>
    <mergeCell ref="OH146:OI146"/>
    <mergeCell ref="OJ146:OK146"/>
    <mergeCell ref="OL146:OM146"/>
    <mergeCell ref="OR145:OS145"/>
    <mergeCell ref="OT145:OU145"/>
    <mergeCell ref="OV145:OW145"/>
    <mergeCell ref="OX145:OY145"/>
    <mergeCell ref="OZ145:PA145"/>
    <mergeCell ref="PB145:PC145"/>
    <mergeCell ref="PD145:PE145"/>
    <mergeCell ref="PF145:PG145"/>
    <mergeCell ref="PH145:PI145"/>
    <mergeCell ref="PJ145:PK145"/>
    <mergeCell ref="PL145:PM145"/>
    <mergeCell ref="PN145:PO145"/>
    <mergeCell ref="PP145:PQ145"/>
    <mergeCell ref="PR145:PS145"/>
    <mergeCell ref="PT145:PU145"/>
    <mergeCell ref="PV145:PW145"/>
    <mergeCell ref="PX145:PY145"/>
    <mergeCell ref="PZ145:QA145"/>
    <mergeCell ref="QB145:QC145"/>
    <mergeCell ref="QD145:QE145"/>
    <mergeCell ref="QF145:QG145"/>
    <mergeCell ref="QH145:QI145"/>
    <mergeCell ref="QJ145:QK145"/>
    <mergeCell ref="QL145:QM145"/>
    <mergeCell ref="QN145:QO145"/>
    <mergeCell ref="QP145:QQ145"/>
    <mergeCell ref="QR145:QS145"/>
    <mergeCell ref="QT145:QU145"/>
    <mergeCell ref="QV145:QW145"/>
    <mergeCell ref="QX145:QY145"/>
    <mergeCell ref="QZ145:RA145"/>
    <mergeCell ref="RB145:RC145"/>
    <mergeCell ref="JN146:JO146"/>
    <mergeCell ref="JP146:JQ146"/>
    <mergeCell ref="JR146:JS146"/>
    <mergeCell ref="JT146:JU146"/>
    <mergeCell ref="JV146:JW146"/>
    <mergeCell ref="JX146:JY146"/>
    <mergeCell ref="JZ146:KA146"/>
    <mergeCell ref="KB146:KC146"/>
    <mergeCell ref="KD146:KE146"/>
    <mergeCell ref="KF146:KG146"/>
    <mergeCell ref="KH146:KI146"/>
    <mergeCell ref="KJ146:KK146"/>
    <mergeCell ref="KL146:KM146"/>
    <mergeCell ref="KN146:KO146"/>
    <mergeCell ref="KP146:KQ146"/>
    <mergeCell ref="KR146:KS146"/>
    <mergeCell ref="KT146:KU146"/>
    <mergeCell ref="KV146:KW146"/>
    <mergeCell ref="KX146:KY146"/>
    <mergeCell ref="KZ146:LA146"/>
    <mergeCell ref="LB146:LC146"/>
    <mergeCell ref="LD146:LE146"/>
    <mergeCell ref="LF146:LG146"/>
    <mergeCell ref="LH146:LI146"/>
    <mergeCell ref="LJ146:LK146"/>
    <mergeCell ref="LL146:LM146"/>
    <mergeCell ref="LN146:LO146"/>
    <mergeCell ref="LP146:LQ146"/>
    <mergeCell ref="LR146:LS146"/>
    <mergeCell ref="LT146:LU146"/>
    <mergeCell ref="LV146:LW146"/>
    <mergeCell ref="LX146:LY146"/>
    <mergeCell ref="MD145:ME145"/>
    <mergeCell ref="MF145:MG145"/>
    <mergeCell ref="MH145:MI145"/>
    <mergeCell ref="MJ145:MK145"/>
    <mergeCell ref="ML145:MM145"/>
    <mergeCell ref="MN145:MO145"/>
    <mergeCell ref="MP145:MQ145"/>
    <mergeCell ref="MR145:MS145"/>
    <mergeCell ref="MT145:MU145"/>
    <mergeCell ref="MV145:MW145"/>
    <mergeCell ref="MX145:MY145"/>
    <mergeCell ref="MZ145:NA145"/>
    <mergeCell ref="NB145:NC145"/>
    <mergeCell ref="ND145:NE145"/>
    <mergeCell ref="NF145:NG145"/>
    <mergeCell ref="NH145:NI145"/>
    <mergeCell ref="NJ145:NK145"/>
    <mergeCell ref="NL145:NM145"/>
    <mergeCell ref="NN145:NO145"/>
    <mergeCell ref="NP145:NQ145"/>
    <mergeCell ref="NR145:NS145"/>
    <mergeCell ref="NT145:NU145"/>
    <mergeCell ref="NV145:NW145"/>
    <mergeCell ref="NX145:NY145"/>
    <mergeCell ref="NZ145:OA145"/>
    <mergeCell ref="OB145:OC145"/>
    <mergeCell ref="OD145:OE145"/>
    <mergeCell ref="OF145:OG145"/>
    <mergeCell ref="OH145:OI145"/>
    <mergeCell ref="OJ145:OK145"/>
    <mergeCell ref="OL145:OM145"/>
    <mergeCell ref="ON145:OO145"/>
    <mergeCell ref="OP145:OQ145"/>
    <mergeCell ref="OV144:OW144"/>
    <mergeCell ref="OX144:OY144"/>
    <mergeCell ref="OZ144:PA144"/>
    <mergeCell ref="PB144:PC144"/>
    <mergeCell ref="PD144:PE144"/>
    <mergeCell ref="PF144:PG144"/>
    <mergeCell ref="PH144:PI144"/>
    <mergeCell ref="PJ144:PK144"/>
    <mergeCell ref="PL144:PM144"/>
    <mergeCell ref="PN144:PO144"/>
    <mergeCell ref="PP144:PQ144"/>
    <mergeCell ref="PR144:PS144"/>
    <mergeCell ref="PT144:PU144"/>
    <mergeCell ref="PV144:PW144"/>
    <mergeCell ref="PX144:PY144"/>
    <mergeCell ref="PZ144:QA144"/>
    <mergeCell ref="QB144:QC144"/>
    <mergeCell ref="QD144:QE144"/>
    <mergeCell ref="QF144:QG144"/>
    <mergeCell ref="QH144:QI144"/>
    <mergeCell ref="QJ144:QK144"/>
    <mergeCell ref="QL144:QM144"/>
    <mergeCell ref="QN144:QO144"/>
    <mergeCell ref="QP144:QQ144"/>
    <mergeCell ref="QR144:QS144"/>
    <mergeCell ref="QT144:QU144"/>
    <mergeCell ref="QV144:QW144"/>
    <mergeCell ref="QX144:QY144"/>
    <mergeCell ref="QZ144:RA144"/>
    <mergeCell ref="RB144:RC144"/>
    <mergeCell ref="JN145:JO145"/>
    <mergeCell ref="JP145:JQ145"/>
    <mergeCell ref="JR145:JS145"/>
    <mergeCell ref="JT145:JU145"/>
    <mergeCell ref="JV145:JW145"/>
    <mergeCell ref="JX145:JY145"/>
    <mergeCell ref="JZ145:KA145"/>
    <mergeCell ref="KB145:KC145"/>
    <mergeCell ref="KD145:KE145"/>
    <mergeCell ref="KF145:KG145"/>
    <mergeCell ref="KH145:KI145"/>
    <mergeCell ref="KJ145:KK145"/>
    <mergeCell ref="KL145:KM145"/>
    <mergeCell ref="KN145:KO145"/>
    <mergeCell ref="KP145:KQ145"/>
    <mergeCell ref="KR145:KS145"/>
    <mergeCell ref="KT145:KU145"/>
    <mergeCell ref="KV145:KW145"/>
    <mergeCell ref="KX145:KY145"/>
    <mergeCell ref="KZ145:LA145"/>
    <mergeCell ref="LB145:LC145"/>
    <mergeCell ref="LD145:LE145"/>
    <mergeCell ref="LF145:LG145"/>
    <mergeCell ref="LH145:LI145"/>
    <mergeCell ref="LJ145:LK145"/>
    <mergeCell ref="LL145:LM145"/>
    <mergeCell ref="LN145:LO145"/>
    <mergeCell ref="LP145:LQ145"/>
    <mergeCell ref="LR145:LS145"/>
    <mergeCell ref="LT145:LU145"/>
    <mergeCell ref="LV145:LW145"/>
    <mergeCell ref="LX145:LY145"/>
    <mergeCell ref="LZ145:MA145"/>
    <mergeCell ref="MB145:MC145"/>
    <mergeCell ref="MH144:MI144"/>
    <mergeCell ref="MJ144:MK144"/>
    <mergeCell ref="ML144:MM144"/>
    <mergeCell ref="MN144:MO144"/>
    <mergeCell ref="MP144:MQ144"/>
    <mergeCell ref="MR144:MS144"/>
    <mergeCell ref="MT144:MU144"/>
    <mergeCell ref="MV144:MW144"/>
    <mergeCell ref="MX144:MY144"/>
    <mergeCell ref="MZ144:NA144"/>
    <mergeCell ref="NB144:NC144"/>
    <mergeCell ref="ND144:NE144"/>
    <mergeCell ref="NF144:NG144"/>
    <mergeCell ref="NH144:NI144"/>
    <mergeCell ref="NJ144:NK144"/>
    <mergeCell ref="NL144:NM144"/>
    <mergeCell ref="NN144:NO144"/>
    <mergeCell ref="NP144:NQ144"/>
    <mergeCell ref="NR144:NS144"/>
    <mergeCell ref="NT144:NU144"/>
    <mergeCell ref="NV144:NW144"/>
    <mergeCell ref="NX144:NY144"/>
    <mergeCell ref="NZ144:OA144"/>
    <mergeCell ref="OB144:OC144"/>
    <mergeCell ref="OD144:OE144"/>
    <mergeCell ref="OF144:OG144"/>
    <mergeCell ref="OH144:OI144"/>
    <mergeCell ref="OJ144:OK144"/>
    <mergeCell ref="OL144:OM144"/>
    <mergeCell ref="ON144:OO144"/>
    <mergeCell ref="OP144:OQ144"/>
    <mergeCell ref="OR144:OS144"/>
    <mergeCell ref="OT144:OU144"/>
    <mergeCell ref="OZ143:PA143"/>
    <mergeCell ref="PB143:PC143"/>
    <mergeCell ref="PD143:PE143"/>
    <mergeCell ref="PF143:PG143"/>
    <mergeCell ref="PH143:PI143"/>
    <mergeCell ref="PJ143:PK143"/>
    <mergeCell ref="PL143:PM143"/>
    <mergeCell ref="PN143:PO143"/>
    <mergeCell ref="PP143:PQ143"/>
    <mergeCell ref="PR143:PS143"/>
    <mergeCell ref="PT143:PU143"/>
    <mergeCell ref="PV143:PW143"/>
    <mergeCell ref="PX143:PY143"/>
    <mergeCell ref="PZ143:QA143"/>
    <mergeCell ref="QB143:QC143"/>
    <mergeCell ref="QD143:QE143"/>
    <mergeCell ref="QF143:QG143"/>
    <mergeCell ref="QH143:QI143"/>
    <mergeCell ref="QJ143:QK143"/>
    <mergeCell ref="QL143:QM143"/>
    <mergeCell ref="QN143:QO143"/>
    <mergeCell ref="QP143:QQ143"/>
    <mergeCell ref="QR143:QS143"/>
    <mergeCell ref="QT143:QU143"/>
    <mergeCell ref="QV143:QW143"/>
    <mergeCell ref="QX143:QY143"/>
    <mergeCell ref="QZ143:RA143"/>
    <mergeCell ref="RB143:RC143"/>
    <mergeCell ref="JN144:JO144"/>
    <mergeCell ref="JP144:JQ144"/>
    <mergeCell ref="JR144:JS144"/>
    <mergeCell ref="JT144:JU144"/>
    <mergeCell ref="JV144:JW144"/>
    <mergeCell ref="JX144:JY144"/>
    <mergeCell ref="JZ144:KA144"/>
    <mergeCell ref="KB144:KC144"/>
    <mergeCell ref="KD144:KE144"/>
    <mergeCell ref="KF144:KG144"/>
    <mergeCell ref="KH144:KI144"/>
    <mergeCell ref="KJ144:KK144"/>
    <mergeCell ref="KL144:KM144"/>
    <mergeCell ref="KN144:KO144"/>
    <mergeCell ref="KP144:KQ144"/>
    <mergeCell ref="KR144:KS144"/>
    <mergeCell ref="KT144:KU144"/>
    <mergeCell ref="KV144:KW144"/>
    <mergeCell ref="KX144:KY144"/>
    <mergeCell ref="KZ144:LA144"/>
    <mergeCell ref="LB144:LC144"/>
    <mergeCell ref="LD144:LE144"/>
    <mergeCell ref="LF144:LG144"/>
    <mergeCell ref="LH144:LI144"/>
    <mergeCell ref="LJ144:LK144"/>
    <mergeCell ref="LL144:LM144"/>
    <mergeCell ref="LN144:LO144"/>
    <mergeCell ref="LP144:LQ144"/>
    <mergeCell ref="LR144:LS144"/>
    <mergeCell ref="LT144:LU144"/>
    <mergeCell ref="LV144:LW144"/>
    <mergeCell ref="LX144:LY144"/>
    <mergeCell ref="LZ144:MA144"/>
    <mergeCell ref="MB144:MC144"/>
    <mergeCell ref="MD144:ME144"/>
    <mergeCell ref="MF144:MG144"/>
    <mergeCell ref="ML143:MM143"/>
    <mergeCell ref="MN143:MO143"/>
    <mergeCell ref="MP143:MQ143"/>
    <mergeCell ref="MR143:MS143"/>
    <mergeCell ref="MT143:MU143"/>
    <mergeCell ref="MV143:MW143"/>
    <mergeCell ref="MX143:MY143"/>
    <mergeCell ref="MZ143:NA143"/>
    <mergeCell ref="NB143:NC143"/>
    <mergeCell ref="ND143:NE143"/>
    <mergeCell ref="NF143:NG143"/>
    <mergeCell ref="NH143:NI143"/>
    <mergeCell ref="NJ143:NK143"/>
    <mergeCell ref="NL143:NM143"/>
    <mergeCell ref="NN143:NO143"/>
    <mergeCell ref="NP143:NQ143"/>
    <mergeCell ref="NR143:NS143"/>
    <mergeCell ref="NT143:NU143"/>
    <mergeCell ref="NV143:NW143"/>
    <mergeCell ref="NX143:NY143"/>
    <mergeCell ref="NZ143:OA143"/>
    <mergeCell ref="OB143:OC143"/>
    <mergeCell ref="OD143:OE143"/>
    <mergeCell ref="OF143:OG143"/>
    <mergeCell ref="OH143:OI143"/>
    <mergeCell ref="OJ143:OK143"/>
    <mergeCell ref="OL143:OM143"/>
    <mergeCell ref="ON143:OO143"/>
    <mergeCell ref="OP143:OQ143"/>
    <mergeCell ref="OR143:OS143"/>
    <mergeCell ref="OT143:OU143"/>
    <mergeCell ref="OV143:OW143"/>
    <mergeCell ref="OX143:OY143"/>
    <mergeCell ref="OR142:OS142"/>
    <mergeCell ref="OT142:OU142"/>
    <mergeCell ref="OV142:OW142"/>
    <mergeCell ref="OX142:OY142"/>
    <mergeCell ref="OZ142:PA142"/>
    <mergeCell ref="PB142:PC142"/>
    <mergeCell ref="PD142:PE142"/>
    <mergeCell ref="PF142:PG142"/>
    <mergeCell ref="PH142:PI142"/>
    <mergeCell ref="PJ142:PK142"/>
    <mergeCell ref="PL142:PM142"/>
    <mergeCell ref="PN142:PO142"/>
    <mergeCell ref="PP142:PQ142"/>
    <mergeCell ref="PR142:PS142"/>
    <mergeCell ref="PT142:PU142"/>
    <mergeCell ref="PV142:PW142"/>
    <mergeCell ref="PX142:PY142"/>
    <mergeCell ref="PZ142:QA142"/>
    <mergeCell ref="QB142:QC142"/>
    <mergeCell ref="QD142:QE142"/>
    <mergeCell ref="QF142:QG142"/>
    <mergeCell ref="QH142:QI142"/>
    <mergeCell ref="QJ142:QK142"/>
    <mergeCell ref="QL142:QM142"/>
    <mergeCell ref="QN142:QO142"/>
    <mergeCell ref="QP142:QQ142"/>
    <mergeCell ref="QR142:QS142"/>
    <mergeCell ref="QT142:QU142"/>
    <mergeCell ref="QV142:QW142"/>
    <mergeCell ref="QX142:QY142"/>
    <mergeCell ref="QZ142:RA142"/>
    <mergeCell ref="RB142:RC142"/>
    <mergeCell ref="JZ143:KA143"/>
    <mergeCell ref="KB143:KC143"/>
    <mergeCell ref="KD143:KE143"/>
    <mergeCell ref="KF143:KG143"/>
    <mergeCell ref="KH143:KI143"/>
    <mergeCell ref="KJ143:KK143"/>
    <mergeCell ref="KL143:KM143"/>
    <mergeCell ref="KN143:KO143"/>
    <mergeCell ref="KP143:KQ143"/>
    <mergeCell ref="KR143:KS143"/>
    <mergeCell ref="KT143:KU143"/>
    <mergeCell ref="KV143:KW143"/>
    <mergeCell ref="KX143:KY143"/>
    <mergeCell ref="KZ143:LA143"/>
    <mergeCell ref="LB143:LC143"/>
    <mergeCell ref="LD143:LE143"/>
    <mergeCell ref="LF143:LG143"/>
    <mergeCell ref="LH143:LI143"/>
    <mergeCell ref="LJ143:LK143"/>
    <mergeCell ref="LL143:LM143"/>
    <mergeCell ref="LN143:LO143"/>
    <mergeCell ref="LP143:LQ143"/>
    <mergeCell ref="LR143:LS143"/>
    <mergeCell ref="LT143:LU143"/>
    <mergeCell ref="LV143:LW143"/>
    <mergeCell ref="LX143:LY143"/>
    <mergeCell ref="LZ143:MA143"/>
    <mergeCell ref="MB143:MC143"/>
    <mergeCell ref="MD143:ME143"/>
    <mergeCell ref="MF143:MG143"/>
    <mergeCell ref="MH143:MI143"/>
    <mergeCell ref="MJ143:MK143"/>
    <mergeCell ref="MD142:ME142"/>
    <mergeCell ref="MF142:MG142"/>
    <mergeCell ref="MH142:MI142"/>
    <mergeCell ref="MJ142:MK142"/>
    <mergeCell ref="ML142:MM142"/>
    <mergeCell ref="MN142:MO142"/>
    <mergeCell ref="MP142:MQ142"/>
    <mergeCell ref="MR142:MS142"/>
    <mergeCell ref="MT142:MU142"/>
    <mergeCell ref="MV142:MW142"/>
    <mergeCell ref="MX142:MY142"/>
    <mergeCell ref="MZ142:NA142"/>
    <mergeCell ref="NB142:NC142"/>
    <mergeCell ref="ND142:NE142"/>
    <mergeCell ref="NF142:NG142"/>
    <mergeCell ref="NH142:NI142"/>
    <mergeCell ref="NJ142:NK142"/>
    <mergeCell ref="NL142:NM142"/>
    <mergeCell ref="NN142:NO142"/>
    <mergeCell ref="NP142:NQ142"/>
    <mergeCell ref="NR142:NS142"/>
    <mergeCell ref="NT142:NU142"/>
    <mergeCell ref="NV142:NW142"/>
    <mergeCell ref="NX142:NY142"/>
    <mergeCell ref="NZ142:OA142"/>
    <mergeCell ref="OB142:OC142"/>
    <mergeCell ref="OD142:OE142"/>
    <mergeCell ref="OF142:OG142"/>
    <mergeCell ref="OH142:OI142"/>
    <mergeCell ref="OJ142:OK142"/>
    <mergeCell ref="OL142:OM142"/>
    <mergeCell ref="ON142:OO142"/>
    <mergeCell ref="OP142:OQ142"/>
    <mergeCell ref="OV141:OW141"/>
    <mergeCell ref="OX141:OY141"/>
    <mergeCell ref="OZ141:PA141"/>
    <mergeCell ref="PB141:PC141"/>
    <mergeCell ref="PD141:PE141"/>
    <mergeCell ref="PF141:PG141"/>
    <mergeCell ref="PH141:PI141"/>
    <mergeCell ref="PJ141:PK141"/>
    <mergeCell ref="PL141:PM141"/>
    <mergeCell ref="PN141:PO141"/>
    <mergeCell ref="PP141:PQ141"/>
    <mergeCell ref="PR141:PS141"/>
    <mergeCell ref="PT141:PU141"/>
    <mergeCell ref="PV141:PW141"/>
    <mergeCell ref="PX141:PY141"/>
    <mergeCell ref="PZ141:QA141"/>
    <mergeCell ref="QB141:QC141"/>
    <mergeCell ref="QD141:QE141"/>
    <mergeCell ref="QF141:QG141"/>
    <mergeCell ref="QH141:QI141"/>
    <mergeCell ref="QJ141:QK141"/>
    <mergeCell ref="QL141:QM141"/>
    <mergeCell ref="QN141:QO141"/>
    <mergeCell ref="QP141:QQ141"/>
    <mergeCell ref="QR141:QS141"/>
    <mergeCell ref="QT141:QU141"/>
    <mergeCell ref="QV141:QW141"/>
    <mergeCell ref="QX141:QY141"/>
    <mergeCell ref="QZ141:RA141"/>
    <mergeCell ref="RB141:RC141"/>
    <mergeCell ref="JN142:JO142"/>
    <mergeCell ref="JP142:JQ142"/>
    <mergeCell ref="JR142:JS142"/>
    <mergeCell ref="JT142:JU142"/>
    <mergeCell ref="JV142:JW142"/>
    <mergeCell ref="JX142:JY142"/>
    <mergeCell ref="JZ142:KA142"/>
    <mergeCell ref="KB142:KC142"/>
    <mergeCell ref="KD142:KE142"/>
    <mergeCell ref="KF142:KG142"/>
    <mergeCell ref="KH142:KI142"/>
    <mergeCell ref="KJ142:KK142"/>
    <mergeCell ref="KL142:KM142"/>
    <mergeCell ref="KN142:KO142"/>
    <mergeCell ref="KP142:KQ142"/>
    <mergeCell ref="KR142:KS142"/>
    <mergeCell ref="KT142:KU142"/>
    <mergeCell ref="KV142:KW142"/>
    <mergeCell ref="KX142:KY142"/>
    <mergeCell ref="KZ142:LA142"/>
    <mergeCell ref="LB142:LC142"/>
    <mergeCell ref="LD142:LE142"/>
    <mergeCell ref="LF142:LG142"/>
    <mergeCell ref="LH142:LI142"/>
    <mergeCell ref="LJ142:LK142"/>
    <mergeCell ref="LL142:LM142"/>
    <mergeCell ref="LN142:LO142"/>
    <mergeCell ref="LP142:LQ142"/>
    <mergeCell ref="LR142:LS142"/>
    <mergeCell ref="LT142:LU142"/>
    <mergeCell ref="LV142:LW142"/>
    <mergeCell ref="LX142:LY142"/>
    <mergeCell ref="LZ142:MA142"/>
    <mergeCell ref="MB142:MC142"/>
    <mergeCell ref="MH141:MI141"/>
    <mergeCell ref="MJ141:MK141"/>
    <mergeCell ref="ML141:MM141"/>
    <mergeCell ref="MN141:MO141"/>
    <mergeCell ref="MP141:MQ141"/>
    <mergeCell ref="MR141:MS141"/>
    <mergeCell ref="MT141:MU141"/>
    <mergeCell ref="MV141:MW141"/>
    <mergeCell ref="MX141:MY141"/>
    <mergeCell ref="MZ141:NA141"/>
    <mergeCell ref="NB141:NC141"/>
    <mergeCell ref="ND141:NE141"/>
    <mergeCell ref="NF141:NG141"/>
    <mergeCell ref="NH141:NI141"/>
    <mergeCell ref="NJ141:NK141"/>
    <mergeCell ref="NL141:NM141"/>
    <mergeCell ref="NN141:NO141"/>
    <mergeCell ref="NP141:NQ141"/>
    <mergeCell ref="NR141:NS141"/>
    <mergeCell ref="NT141:NU141"/>
    <mergeCell ref="NV141:NW141"/>
    <mergeCell ref="NX141:NY141"/>
    <mergeCell ref="NZ141:OA141"/>
    <mergeCell ref="OB141:OC141"/>
    <mergeCell ref="OD141:OE141"/>
    <mergeCell ref="OF141:OG141"/>
    <mergeCell ref="OH141:OI141"/>
    <mergeCell ref="OJ141:OK141"/>
    <mergeCell ref="OL141:OM141"/>
    <mergeCell ref="ON141:OO141"/>
    <mergeCell ref="OP141:OQ141"/>
    <mergeCell ref="OR141:OS141"/>
    <mergeCell ref="OT141:OU141"/>
    <mergeCell ref="OZ140:PA140"/>
    <mergeCell ref="PB140:PC140"/>
    <mergeCell ref="PD140:PE140"/>
    <mergeCell ref="PF140:PG140"/>
    <mergeCell ref="PH140:PI140"/>
    <mergeCell ref="PJ140:PK140"/>
    <mergeCell ref="PL140:PM140"/>
    <mergeCell ref="PN140:PO140"/>
    <mergeCell ref="PP140:PQ140"/>
    <mergeCell ref="PR140:PS140"/>
    <mergeCell ref="PT140:PU140"/>
    <mergeCell ref="PV140:PW140"/>
    <mergeCell ref="PX140:PY140"/>
    <mergeCell ref="PZ140:QA140"/>
    <mergeCell ref="QB140:QC140"/>
    <mergeCell ref="QD140:QE140"/>
    <mergeCell ref="QF140:QG140"/>
    <mergeCell ref="QH140:QI140"/>
    <mergeCell ref="QJ140:QK140"/>
    <mergeCell ref="QL140:QM140"/>
    <mergeCell ref="QN140:QO140"/>
    <mergeCell ref="QP140:QQ140"/>
    <mergeCell ref="QR140:QS140"/>
    <mergeCell ref="QT140:QU140"/>
    <mergeCell ref="QV140:QW140"/>
    <mergeCell ref="QX140:QY140"/>
    <mergeCell ref="QZ140:RA140"/>
    <mergeCell ref="RB140:RC140"/>
    <mergeCell ref="JN141:JO141"/>
    <mergeCell ref="JP141:JQ141"/>
    <mergeCell ref="JR141:JS141"/>
    <mergeCell ref="JT141:JU141"/>
    <mergeCell ref="JV141:JW141"/>
    <mergeCell ref="JX141:JY141"/>
    <mergeCell ref="JZ141:KA141"/>
    <mergeCell ref="KB141:KC141"/>
    <mergeCell ref="KD141:KE141"/>
    <mergeCell ref="KF141:KG141"/>
    <mergeCell ref="KH141:KI141"/>
    <mergeCell ref="KJ141:KK141"/>
    <mergeCell ref="KL141:KM141"/>
    <mergeCell ref="KN141:KO141"/>
    <mergeCell ref="KP141:KQ141"/>
    <mergeCell ref="KR141:KS141"/>
    <mergeCell ref="KT141:KU141"/>
    <mergeCell ref="KV141:KW141"/>
    <mergeCell ref="KX141:KY141"/>
    <mergeCell ref="KZ141:LA141"/>
    <mergeCell ref="LB141:LC141"/>
    <mergeCell ref="LD141:LE141"/>
    <mergeCell ref="LF141:LG141"/>
    <mergeCell ref="LH141:LI141"/>
    <mergeCell ref="LJ141:LK141"/>
    <mergeCell ref="LL141:LM141"/>
    <mergeCell ref="LN141:LO141"/>
    <mergeCell ref="LP141:LQ141"/>
    <mergeCell ref="LR141:LS141"/>
    <mergeCell ref="LT141:LU141"/>
    <mergeCell ref="LV141:LW141"/>
    <mergeCell ref="LX141:LY141"/>
    <mergeCell ref="LZ141:MA141"/>
    <mergeCell ref="MB141:MC141"/>
    <mergeCell ref="MD141:ME141"/>
    <mergeCell ref="MF141:MG141"/>
    <mergeCell ref="ML140:MM140"/>
    <mergeCell ref="MN140:MO140"/>
    <mergeCell ref="MP140:MQ140"/>
    <mergeCell ref="MR140:MS140"/>
    <mergeCell ref="MT140:MU140"/>
    <mergeCell ref="MV140:MW140"/>
    <mergeCell ref="MX140:MY140"/>
    <mergeCell ref="MZ140:NA140"/>
    <mergeCell ref="NB140:NC140"/>
    <mergeCell ref="ND140:NE140"/>
    <mergeCell ref="NF140:NG140"/>
    <mergeCell ref="NH140:NI140"/>
    <mergeCell ref="NJ140:NK140"/>
    <mergeCell ref="NL140:NM140"/>
    <mergeCell ref="NN140:NO140"/>
    <mergeCell ref="NP140:NQ140"/>
    <mergeCell ref="NR140:NS140"/>
    <mergeCell ref="NT140:NU140"/>
    <mergeCell ref="NV140:NW140"/>
    <mergeCell ref="NX140:NY140"/>
    <mergeCell ref="NZ140:OA140"/>
    <mergeCell ref="OB140:OC140"/>
    <mergeCell ref="OD140:OE140"/>
    <mergeCell ref="OF140:OG140"/>
    <mergeCell ref="OH140:OI140"/>
    <mergeCell ref="OJ140:OK140"/>
    <mergeCell ref="OL140:OM140"/>
    <mergeCell ref="ON140:OO140"/>
    <mergeCell ref="OP140:OQ140"/>
    <mergeCell ref="OR140:OS140"/>
    <mergeCell ref="OT140:OU140"/>
    <mergeCell ref="OV140:OW140"/>
    <mergeCell ref="OX140:OY140"/>
    <mergeCell ref="PD139:PE139"/>
    <mergeCell ref="PF139:PG139"/>
    <mergeCell ref="PH139:PI139"/>
    <mergeCell ref="PJ139:PK139"/>
    <mergeCell ref="PL139:PM139"/>
    <mergeCell ref="PN139:PO139"/>
    <mergeCell ref="PP139:PQ139"/>
    <mergeCell ref="PR139:PS139"/>
    <mergeCell ref="PT139:PU139"/>
    <mergeCell ref="PV139:PW139"/>
    <mergeCell ref="PX139:PY139"/>
    <mergeCell ref="PZ139:QA139"/>
    <mergeCell ref="QB139:QC139"/>
    <mergeCell ref="QD139:QE139"/>
    <mergeCell ref="QF139:QG139"/>
    <mergeCell ref="QH139:QI139"/>
    <mergeCell ref="QJ139:QK139"/>
    <mergeCell ref="QL139:QM139"/>
    <mergeCell ref="QN139:QO139"/>
    <mergeCell ref="QP139:QQ139"/>
    <mergeCell ref="QR139:QS139"/>
    <mergeCell ref="QT139:QU139"/>
    <mergeCell ref="QV139:QW139"/>
    <mergeCell ref="QX139:QY139"/>
    <mergeCell ref="QZ139:RA139"/>
    <mergeCell ref="RB139:RC139"/>
    <mergeCell ref="JN140:JO140"/>
    <mergeCell ref="JP140:JQ140"/>
    <mergeCell ref="JR140:JS140"/>
    <mergeCell ref="JT140:JU140"/>
    <mergeCell ref="JV140:JW140"/>
    <mergeCell ref="JX140:JY140"/>
    <mergeCell ref="JZ140:KA140"/>
    <mergeCell ref="KB140:KC140"/>
    <mergeCell ref="KD140:KE140"/>
    <mergeCell ref="KF140:KG140"/>
    <mergeCell ref="KH140:KI140"/>
    <mergeCell ref="KJ140:KK140"/>
    <mergeCell ref="KL140:KM140"/>
    <mergeCell ref="KN140:KO140"/>
    <mergeCell ref="KP140:KQ140"/>
    <mergeCell ref="KR140:KS140"/>
    <mergeCell ref="KT140:KU140"/>
    <mergeCell ref="KV140:KW140"/>
    <mergeCell ref="KX140:KY140"/>
    <mergeCell ref="KZ140:LA140"/>
    <mergeCell ref="LB140:LC140"/>
    <mergeCell ref="LD140:LE140"/>
    <mergeCell ref="LF140:LG140"/>
    <mergeCell ref="LH140:LI140"/>
    <mergeCell ref="LJ140:LK140"/>
    <mergeCell ref="LL140:LM140"/>
    <mergeCell ref="LN140:LO140"/>
    <mergeCell ref="LP140:LQ140"/>
    <mergeCell ref="LR140:LS140"/>
    <mergeCell ref="LT140:LU140"/>
    <mergeCell ref="LV140:LW140"/>
    <mergeCell ref="LX140:LY140"/>
    <mergeCell ref="LZ140:MA140"/>
    <mergeCell ref="MB140:MC140"/>
    <mergeCell ref="MD140:ME140"/>
    <mergeCell ref="MF140:MG140"/>
    <mergeCell ref="MH140:MI140"/>
    <mergeCell ref="MJ140:MK140"/>
    <mergeCell ref="MP139:MQ139"/>
    <mergeCell ref="MR139:MS139"/>
    <mergeCell ref="MT139:MU139"/>
    <mergeCell ref="MV139:MW139"/>
    <mergeCell ref="MX139:MY139"/>
    <mergeCell ref="MZ139:NA139"/>
    <mergeCell ref="NB139:NC139"/>
    <mergeCell ref="ND139:NE139"/>
    <mergeCell ref="NF139:NG139"/>
    <mergeCell ref="NH139:NI139"/>
    <mergeCell ref="NJ139:NK139"/>
    <mergeCell ref="NL139:NM139"/>
    <mergeCell ref="NN139:NO139"/>
    <mergeCell ref="NP139:NQ139"/>
    <mergeCell ref="NR139:NS139"/>
    <mergeCell ref="NT139:NU139"/>
    <mergeCell ref="NV139:NW139"/>
    <mergeCell ref="NX139:NY139"/>
    <mergeCell ref="NZ139:OA139"/>
    <mergeCell ref="OB139:OC139"/>
    <mergeCell ref="OD139:OE139"/>
    <mergeCell ref="OF139:OG139"/>
    <mergeCell ref="OH139:OI139"/>
    <mergeCell ref="OJ139:OK139"/>
    <mergeCell ref="OL139:OM139"/>
    <mergeCell ref="ON139:OO139"/>
    <mergeCell ref="OP139:OQ139"/>
    <mergeCell ref="OR139:OS139"/>
    <mergeCell ref="OT139:OU139"/>
    <mergeCell ref="OV139:OW139"/>
    <mergeCell ref="OX139:OY139"/>
    <mergeCell ref="OZ139:PA139"/>
    <mergeCell ref="PB139:PC139"/>
    <mergeCell ref="OV138:OW138"/>
    <mergeCell ref="OX138:OY138"/>
    <mergeCell ref="OZ138:PA138"/>
    <mergeCell ref="PB138:PC138"/>
    <mergeCell ref="PD138:PE138"/>
    <mergeCell ref="PF138:PG138"/>
    <mergeCell ref="PH138:PI138"/>
    <mergeCell ref="PJ138:PK138"/>
    <mergeCell ref="PL138:PM138"/>
    <mergeCell ref="PN138:PO138"/>
    <mergeCell ref="PP138:PQ138"/>
    <mergeCell ref="PR138:PS138"/>
    <mergeCell ref="PT138:PU138"/>
    <mergeCell ref="PV138:PW138"/>
    <mergeCell ref="PX138:PY138"/>
    <mergeCell ref="PZ138:QA138"/>
    <mergeCell ref="QB138:QC138"/>
    <mergeCell ref="QD138:QE138"/>
    <mergeCell ref="QF138:QG138"/>
    <mergeCell ref="QH138:QI138"/>
    <mergeCell ref="QJ138:QK138"/>
    <mergeCell ref="QL138:QM138"/>
    <mergeCell ref="QN138:QO138"/>
    <mergeCell ref="QP138:QQ138"/>
    <mergeCell ref="QR138:QS138"/>
    <mergeCell ref="QT138:QU138"/>
    <mergeCell ref="QV138:QW138"/>
    <mergeCell ref="QX138:QY138"/>
    <mergeCell ref="QZ138:RA138"/>
    <mergeCell ref="RB138:RC138"/>
    <mergeCell ref="JZ139:KA139"/>
    <mergeCell ref="KB139:KC139"/>
    <mergeCell ref="KD139:KE139"/>
    <mergeCell ref="KF139:KG139"/>
    <mergeCell ref="KH139:KI139"/>
    <mergeCell ref="KJ139:KK139"/>
    <mergeCell ref="KL139:KM139"/>
    <mergeCell ref="KN139:KO139"/>
    <mergeCell ref="KP139:KQ139"/>
    <mergeCell ref="KR139:KS139"/>
    <mergeCell ref="KT139:KU139"/>
    <mergeCell ref="KV139:KW139"/>
    <mergeCell ref="KX139:KY139"/>
    <mergeCell ref="KZ139:LA139"/>
    <mergeCell ref="LB139:LC139"/>
    <mergeCell ref="LD139:LE139"/>
    <mergeCell ref="LF139:LG139"/>
    <mergeCell ref="LH139:LI139"/>
    <mergeCell ref="LJ139:LK139"/>
    <mergeCell ref="LL139:LM139"/>
    <mergeCell ref="LN139:LO139"/>
    <mergeCell ref="LP139:LQ139"/>
    <mergeCell ref="LR139:LS139"/>
    <mergeCell ref="LT139:LU139"/>
    <mergeCell ref="LV139:LW139"/>
    <mergeCell ref="LX139:LY139"/>
    <mergeCell ref="LZ139:MA139"/>
    <mergeCell ref="MB139:MC139"/>
    <mergeCell ref="MD139:ME139"/>
    <mergeCell ref="MF139:MG139"/>
    <mergeCell ref="MH139:MI139"/>
    <mergeCell ref="MJ139:MK139"/>
    <mergeCell ref="ML139:MM139"/>
    <mergeCell ref="MN139:MO139"/>
    <mergeCell ref="MH138:MI138"/>
    <mergeCell ref="MJ138:MK138"/>
    <mergeCell ref="ML138:MM138"/>
    <mergeCell ref="MN138:MO138"/>
    <mergeCell ref="MP138:MQ138"/>
    <mergeCell ref="MR138:MS138"/>
    <mergeCell ref="MT138:MU138"/>
    <mergeCell ref="MV138:MW138"/>
    <mergeCell ref="MX138:MY138"/>
    <mergeCell ref="MZ138:NA138"/>
    <mergeCell ref="NB138:NC138"/>
    <mergeCell ref="ND138:NE138"/>
    <mergeCell ref="NF138:NG138"/>
    <mergeCell ref="NH138:NI138"/>
    <mergeCell ref="NJ138:NK138"/>
    <mergeCell ref="NL138:NM138"/>
    <mergeCell ref="NN138:NO138"/>
    <mergeCell ref="NP138:NQ138"/>
    <mergeCell ref="NR138:NS138"/>
    <mergeCell ref="NT138:NU138"/>
    <mergeCell ref="NV138:NW138"/>
    <mergeCell ref="NX138:NY138"/>
    <mergeCell ref="NZ138:OA138"/>
    <mergeCell ref="OB138:OC138"/>
    <mergeCell ref="OD138:OE138"/>
    <mergeCell ref="OF138:OG138"/>
    <mergeCell ref="OH138:OI138"/>
    <mergeCell ref="OJ138:OK138"/>
    <mergeCell ref="OL138:OM138"/>
    <mergeCell ref="ON138:OO138"/>
    <mergeCell ref="OP138:OQ138"/>
    <mergeCell ref="OR138:OS138"/>
    <mergeCell ref="OT138:OU138"/>
    <mergeCell ref="OZ137:PA137"/>
    <mergeCell ref="PB137:PC137"/>
    <mergeCell ref="PD137:PE137"/>
    <mergeCell ref="PF137:PG137"/>
    <mergeCell ref="PH137:PI137"/>
    <mergeCell ref="PJ137:PK137"/>
    <mergeCell ref="PL137:PM137"/>
    <mergeCell ref="PN137:PO137"/>
    <mergeCell ref="PP137:PQ137"/>
    <mergeCell ref="PR137:PS137"/>
    <mergeCell ref="PT137:PU137"/>
    <mergeCell ref="PV137:PW137"/>
    <mergeCell ref="PX137:PY137"/>
    <mergeCell ref="PZ137:QA137"/>
    <mergeCell ref="QB137:QC137"/>
    <mergeCell ref="QD137:QE137"/>
    <mergeCell ref="QF137:QG137"/>
    <mergeCell ref="QH137:QI137"/>
    <mergeCell ref="QJ137:QK137"/>
    <mergeCell ref="QL137:QM137"/>
    <mergeCell ref="QN137:QO137"/>
    <mergeCell ref="QP137:QQ137"/>
    <mergeCell ref="QR137:QS137"/>
    <mergeCell ref="QT137:QU137"/>
    <mergeCell ref="QV137:QW137"/>
    <mergeCell ref="QX137:QY137"/>
    <mergeCell ref="QZ137:RA137"/>
    <mergeCell ref="RB137:RC137"/>
    <mergeCell ref="JN138:JO138"/>
    <mergeCell ref="JP138:JQ138"/>
    <mergeCell ref="JR138:JS138"/>
    <mergeCell ref="JT138:JU138"/>
    <mergeCell ref="JV138:JW138"/>
    <mergeCell ref="JX138:JY138"/>
    <mergeCell ref="JZ138:KA138"/>
    <mergeCell ref="KB138:KC138"/>
    <mergeCell ref="KD138:KE138"/>
    <mergeCell ref="KF138:KG138"/>
    <mergeCell ref="KH138:KI138"/>
    <mergeCell ref="KJ138:KK138"/>
    <mergeCell ref="KL138:KM138"/>
    <mergeCell ref="KN138:KO138"/>
    <mergeCell ref="KP138:KQ138"/>
    <mergeCell ref="KR138:KS138"/>
    <mergeCell ref="KT138:KU138"/>
    <mergeCell ref="KV138:KW138"/>
    <mergeCell ref="KX138:KY138"/>
    <mergeCell ref="KZ138:LA138"/>
    <mergeCell ref="LB138:LC138"/>
    <mergeCell ref="LD138:LE138"/>
    <mergeCell ref="LF138:LG138"/>
    <mergeCell ref="LH138:LI138"/>
    <mergeCell ref="LJ138:LK138"/>
    <mergeCell ref="LL138:LM138"/>
    <mergeCell ref="LN138:LO138"/>
    <mergeCell ref="LP138:LQ138"/>
    <mergeCell ref="LR138:LS138"/>
    <mergeCell ref="LT138:LU138"/>
    <mergeCell ref="LV138:LW138"/>
    <mergeCell ref="LX138:LY138"/>
    <mergeCell ref="LZ138:MA138"/>
    <mergeCell ref="MB138:MC138"/>
    <mergeCell ref="MD138:ME138"/>
    <mergeCell ref="MF138:MG138"/>
    <mergeCell ref="MH137:MI137"/>
    <mergeCell ref="MJ137:MK137"/>
    <mergeCell ref="ML137:MM137"/>
    <mergeCell ref="MN137:MO137"/>
    <mergeCell ref="MT137:MU137"/>
    <mergeCell ref="MV137:MW137"/>
    <mergeCell ref="MX137:MY137"/>
    <mergeCell ref="MZ137:NA137"/>
    <mergeCell ref="NB137:NC137"/>
    <mergeCell ref="ND137:NE137"/>
    <mergeCell ref="NF137:NG137"/>
    <mergeCell ref="NH137:NI137"/>
    <mergeCell ref="NJ137:NK137"/>
    <mergeCell ref="NL137:NM137"/>
    <mergeCell ref="NN137:NO137"/>
    <mergeCell ref="NP137:NQ137"/>
    <mergeCell ref="NR137:NS137"/>
    <mergeCell ref="NT137:NU137"/>
    <mergeCell ref="NV137:NW137"/>
    <mergeCell ref="NX137:NY137"/>
    <mergeCell ref="NZ137:OA137"/>
    <mergeCell ref="OB137:OC137"/>
    <mergeCell ref="OD137:OE137"/>
    <mergeCell ref="OF137:OG137"/>
    <mergeCell ref="OH137:OI137"/>
    <mergeCell ref="OJ137:OK137"/>
    <mergeCell ref="OL137:OM137"/>
    <mergeCell ref="ON137:OO137"/>
    <mergeCell ref="OP137:OQ137"/>
    <mergeCell ref="OR137:OS137"/>
    <mergeCell ref="OT137:OU137"/>
    <mergeCell ref="OV137:OW137"/>
    <mergeCell ref="OX137:OY137"/>
    <mergeCell ref="MP137:MQ137"/>
    <mergeCell ref="MR137:MS137"/>
    <mergeCell ref="OX136:OY136"/>
    <mergeCell ref="OZ136:PA136"/>
    <mergeCell ref="PB136:PC136"/>
    <mergeCell ref="PD136:PE136"/>
    <mergeCell ref="PF136:PG136"/>
    <mergeCell ref="PH136:PI136"/>
    <mergeCell ref="PJ136:PK136"/>
    <mergeCell ref="PL136:PM136"/>
    <mergeCell ref="PN136:PO136"/>
    <mergeCell ref="PP136:PQ136"/>
    <mergeCell ref="PR136:PS136"/>
    <mergeCell ref="PT136:PU136"/>
    <mergeCell ref="PV136:PW136"/>
    <mergeCell ref="PX136:PY136"/>
    <mergeCell ref="PZ136:QA136"/>
    <mergeCell ref="QB136:QC136"/>
    <mergeCell ref="QD136:QE136"/>
    <mergeCell ref="QF136:QG136"/>
    <mergeCell ref="QH136:QI136"/>
    <mergeCell ref="QJ136:QK136"/>
    <mergeCell ref="QL136:QM136"/>
    <mergeCell ref="QN136:QO136"/>
    <mergeCell ref="QP136:QQ136"/>
    <mergeCell ref="QR136:QS136"/>
    <mergeCell ref="QT136:QU136"/>
    <mergeCell ref="QV136:QW136"/>
    <mergeCell ref="QX136:QY136"/>
    <mergeCell ref="QZ136:RA136"/>
    <mergeCell ref="RB136:RC136"/>
    <mergeCell ref="JP137:JQ137"/>
    <mergeCell ref="JR137:JS137"/>
    <mergeCell ref="JT137:JU137"/>
    <mergeCell ref="JV137:JW137"/>
    <mergeCell ref="JX137:JY137"/>
    <mergeCell ref="JZ137:KA137"/>
    <mergeCell ref="KB137:KC137"/>
    <mergeCell ref="KD137:KE137"/>
    <mergeCell ref="KF137:KG137"/>
    <mergeCell ref="KH137:KI137"/>
    <mergeCell ref="KJ137:KK137"/>
    <mergeCell ref="KL137:KM137"/>
    <mergeCell ref="KN137:KO137"/>
    <mergeCell ref="KP137:KQ137"/>
    <mergeCell ref="KR137:KS137"/>
    <mergeCell ref="KT137:KU137"/>
    <mergeCell ref="KV137:KW137"/>
    <mergeCell ref="KX137:KY137"/>
    <mergeCell ref="KZ137:LA137"/>
    <mergeCell ref="LB137:LC137"/>
    <mergeCell ref="LD137:LE137"/>
    <mergeCell ref="LF137:LG137"/>
    <mergeCell ref="LH137:LI137"/>
    <mergeCell ref="LJ137:LK137"/>
    <mergeCell ref="LL137:LM137"/>
    <mergeCell ref="LN137:LO137"/>
    <mergeCell ref="LP137:LQ137"/>
    <mergeCell ref="LR137:LS137"/>
    <mergeCell ref="LT137:LU137"/>
    <mergeCell ref="LV137:LW137"/>
    <mergeCell ref="LX137:LY137"/>
    <mergeCell ref="LZ137:MA137"/>
    <mergeCell ref="MB137:MC137"/>
    <mergeCell ref="MD137:ME137"/>
    <mergeCell ref="MF137:MG137"/>
    <mergeCell ref="PX135:PY135"/>
    <mergeCell ref="PZ135:QA135"/>
    <mergeCell ref="QB135:QC135"/>
    <mergeCell ref="QD135:QE135"/>
    <mergeCell ref="QF135:QG135"/>
    <mergeCell ref="QH135:QI135"/>
    <mergeCell ref="QJ135:QK135"/>
    <mergeCell ref="QL135:QM135"/>
    <mergeCell ref="QN135:QO135"/>
    <mergeCell ref="QP135:QQ135"/>
    <mergeCell ref="QR135:QS135"/>
    <mergeCell ref="QT135:QU135"/>
    <mergeCell ref="QV135:QW135"/>
    <mergeCell ref="QX135:QY135"/>
    <mergeCell ref="QZ135:RA135"/>
    <mergeCell ref="RB135:RC135"/>
    <mergeCell ref="LF136:LG136"/>
    <mergeCell ref="LH136:LI136"/>
    <mergeCell ref="LJ136:LK136"/>
    <mergeCell ref="LL136:LM136"/>
    <mergeCell ref="LN136:LO136"/>
    <mergeCell ref="LP136:LQ136"/>
    <mergeCell ref="LR136:LS136"/>
    <mergeCell ref="LT136:LU136"/>
    <mergeCell ref="LV136:LW136"/>
    <mergeCell ref="LX136:LY136"/>
    <mergeCell ref="LZ136:MA136"/>
    <mergeCell ref="MB136:MC136"/>
    <mergeCell ref="MD136:ME136"/>
    <mergeCell ref="MF136:MG136"/>
    <mergeCell ref="MH136:MI136"/>
    <mergeCell ref="MJ136:MK136"/>
    <mergeCell ref="ML136:MM136"/>
    <mergeCell ref="MN136:MO136"/>
    <mergeCell ref="MP136:MQ136"/>
    <mergeCell ref="MR136:MS136"/>
    <mergeCell ref="MT136:MU136"/>
    <mergeCell ref="MV136:MW136"/>
    <mergeCell ref="MX136:MY136"/>
    <mergeCell ref="MZ136:NA136"/>
    <mergeCell ref="NB136:NC136"/>
    <mergeCell ref="ND136:NE136"/>
    <mergeCell ref="NF136:NG136"/>
    <mergeCell ref="NH136:NI136"/>
    <mergeCell ref="NJ136:NK136"/>
    <mergeCell ref="NL136:NM136"/>
    <mergeCell ref="NN136:NO136"/>
    <mergeCell ref="NP136:NQ136"/>
    <mergeCell ref="NR136:NS136"/>
    <mergeCell ref="NT136:NU136"/>
    <mergeCell ref="NV136:NW136"/>
    <mergeCell ref="NX136:NY136"/>
    <mergeCell ref="NZ136:OA136"/>
    <mergeCell ref="OB136:OC136"/>
    <mergeCell ref="OD136:OE136"/>
    <mergeCell ref="OF136:OG136"/>
    <mergeCell ref="OH136:OI136"/>
    <mergeCell ref="OJ136:OK136"/>
    <mergeCell ref="OL136:OM136"/>
    <mergeCell ref="ON136:OO136"/>
    <mergeCell ref="OP136:OQ136"/>
    <mergeCell ref="OR136:OS136"/>
    <mergeCell ref="OT136:OU136"/>
    <mergeCell ref="OV136:OW136"/>
    <mergeCell ref="NJ135:NK135"/>
    <mergeCell ref="NL135:NM135"/>
    <mergeCell ref="NN135:NO135"/>
    <mergeCell ref="NP135:NQ135"/>
    <mergeCell ref="NR135:NS135"/>
    <mergeCell ref="NT135:NU135"/>
    <mergeCell ref="NV135:NW135"/>
    <mergeCell ref="NX135:NY135"/>
    <mergeCell ref="NZ135:OA135"/>
    <mergeCell ref="OB135:OC135"/>
    <mergeCell ref="OD135:OE135"/>
    <mergeCell ref="OF135:OG135"/>
    <mergeCell ref="OH135:OI135"/>
    <mergeCell ref="OJ135:OK135"/>
    <mergeCell ref="OL135:OM135"/>
    <mergeCell ref="ON135:OO135"/>
    <mergeCell ref="OP135:OQ135"/>
    <mergeCell ref="OR135:OS135"/>
    <mergeCell ref="OT135:OU135"/>
    <mergeCell ref="OV135:OW135"/>
    <mergeCell ref="OX135:OY135"/>
    <mergeCell ref="OZ135:PA135"/>
    <mergeCell ref="PB135:PC135"/>
    <mergeCell ref="PD135:PE135"/>
    <mergeCell ref="PF135:PG135"/>
    <mergeCell ref="PH135:PI135"/>
    <mergeCell ref="PJ135:PK135"/>
    <mergeCell ref="PL135:PM135"/>
    <mergeCell ref="PN135:PO135"/>
    <mergeCell ref="PP135:PQ135"/>
    <mergeCell ref="PR135:PS135"/>
    <mergeCell ref="PT135:PU135"/>
    <mergeCell ref="PV135:PW135"/>
    <mergeCell ref="QB134:QC134"/>
    <mergeCell ref="QD134:QE134"/>
    <mergeCell ref="QF134:QG134"/>
    <mergeCell ref="QH134:QI134"/>
    <mergeCell ref="QJ134:QK134"/>
    <mergeCell ref="QL134:QM134"/>
    <mergeCell ref="QN134:QO134"/>
    <mergeCell ref="QP134:QQ134"/>
    <mergeCell ref="QR134:QS134"/>
    <mergeCell ref="QT134:QU134"/>
    <mergeCell ref="QV134:QW134"/>
    <mergeCell ref="QX134:QY134"/>
    <mergeCell ref="QZ134:RA134"/>
    <mergeCell ref="RB134:RC134"/>
    <mergeCell ref="JN135:JO135"/>
    <mergeCell ref="JP135:JQ135"/>
    <mergeCell ref="JR135:JS135"/>
    <mergeCell ref="JT135:JU135"/>
    <mergeCell ref="JV135:JW135"/>
    <mergeCell ref="JX135:JY135"/>
    <mergeCell ref="JZ135:KA135"/>
    <mergeCell ref="KB135:KC135"/>
    <mergeCell ref="KD135:KE135"/>
    <mergeCell ref="KF135:KG135"/>
    <mergeCell ref="KH135:KI135"/>
    <mergeCell ref="KJ135:KK135"/>
    <mergeCell ref="KL135:KM135"/>
    <mergeCell ref="KN135:KO135"/>
    <mergeCell ref="KP135:KQ135"/>
    <mergeCell ref="KR135:KS135"/>
    <mergeCell ref="KT135:KU135"/>
    <mergeCell ref="KV135:KW135"/>
    <mergeCell ref="KX135:KY135"/>
    <mergeCell ref="KZ135:LA135"/>
    <mergeCell ref="LB135:LC135"/>
    <mergeCell ref="LD135:LE135"/>
    <mergeCell ref="LF135:LG135"/>
    <mergeCell ref="LH135:LI135"/>
    <mergeCell ref="LJ135:LK135"/>
    <mergeCell ref="LL135:LM135"/>
    <mergeCell ref="LN135:LO135"/>
    <mergeCell ref="LP135:LQ135"/>
    <mergeCell ref="LR135:LS135"/>
    <mergeCell ref="LT135:LU135"/>
    <mergeCell ref="LV135:LW135"/>
    <mergeCell ref="LX135:LY135"/>
    <mergeCell ref="LZ135:MA135"/>
    <mergeCell ref="MB135:MC135"/>
    <mergeCell ref="MD135:ME135"/>
    <mergeCell ref="MF135:MG135"/>
    <mergeCell ref="MH135:MI135"/>
    <mergeCell ref="MJ135:MK135"/>
    <mergeCell ref="ML135:MM135"/>
    <mergeCell ref="MN135:MO135"/>
    <mergeCell ref="MP135:MQ135"/>
    <mergeCell ref="MR135:MS135"/>
    <mergeCell ref="MT135:MU135"/>
    <mergeCell ref="MV135:MW135"/>
    <mergeCell ref="MX135:MY135"/>
    <mergeCell ref="MZ135:NA135"/>
    <mergeCell ref="NB135:NC135"/>
    <mergeCell ref="ND135:NE135"/>
    <mergeCell ref="NF135:NG135"/>
    <mergeCell ref="NH135:NI135"/>
    <mergeCell ref="NN134:NO134"/>
    <mergeCell ref="NP134:NQ134"/>
    <mergeCell ref="NR134:NS134"/>
    <mergeCell ref="NT134:NU134"/>
    <mergeCell ref="NV134:NW134"/>
    <mergeCell ref="NX134:NY134"/>
    <mergeCell ref="NZ134:OA134"/>
    <mergeCell ref="OB134:OC134"/>
    <mergeCell ref="OD134:OE134"/>
    <mergeCell ref="OF134:OG134"/>
    <mergeCell ref="OH134:OI134"/>
    <mergeCell ref="OJ134:OK134"/>
    <mergeCell ref="OL134:OM134"/>
    <mergeCell ref="ON134:OO134"/>
    <mergeCell ref="OP134:OQ134"/>
    <mergeCell ref="OR134:OS134"/>
    <mergeCell ref="OT134:OU134"/>
    <mergeCell ref="OV134:OW134"/>
    <mergeCell ref="OX134:OY134"/>
    <mergeCell ref="OZ134:PA134"/>
    <mergeCell ref="PB134:PC134"/>
    <mergeCell ref="PD134:PE134"/>
    <mergeCell ref="PF134:PG134"/>
    <mergeCell ref="PH134:PI134"/>
    <mergeCell ref="PJ134:PK134"/>
    <mergeCell ref="PL134:PM134"/>
    <mergeCell ref="PN134:PO134"/>
    <mergeCell ref="PP134:PQ134"/>
    <mergeCell ref="PR134:PS134"/>
    <mergeCell ref="PT134:PU134"/>
    <mergeCell ref="PV134:PW134"/>
    <mergeCell ref="PX134:PY134"/>
    <mergeCell ref="PZ134:QA134"/>
    <mergeCell ref="QF133:QG133"/>
    <mergeCell ref="QH133:QI133"/>
    <mergeCell ref="QJ133:QK133"/>
    <mergeCell ref="QL133:QM133"/>
    <mergeCell ref="QN133:QO133"/>
    <mergeCell ref="QP133:QQ133"/>
    <mergeCell ref="QR133:QS133"/>
    <mergeCell ref="QT133:QU133"/>
    <mergeCell ref="QV133:QW133"/>
    <mergeCell ref="QX133:QY133"/>
    <mergeCell ref="QZ133:RA133"/>
    <mergeCell ref="RB133:RC133"/>
    <mergeCell ref="JN134:JO134"/>
    <mergeCell ref="JP134:JQ134"/>
    <mergeCell ref="JR134:JS134"/>
    <mergeCell ref="JT134:JU134"/>
    <mergeCell ref="JV134:JW134"/>
    <mergeCell ref="JX134:JY134"/>
    <mergeCell ref="JZ134:KA134"/>
    <mergeCell ref="KB134:KC134"/>
    <mergeCell ref="KD134:KE134"/>
    <mergeCell ref="KF134:KG134"/>
    <mergeCell ref="KH134:KI134"/>
    <mergeCell ref="KJ134:KK134"/>
    <mergeCell ref="KL134:KM134"/>
    <mergeCell ref="KN134:KO134"/>
    <mergeCell ref="KP134:KQ134"/>
    <mergeCell ref="KR134:KS134"/>
    <mergeCell ref="KT134:KU134"/>
    <mergeCell ref="KV134:KW134"/>
    <mergeCell ref="KX134:KY134"/>
    <mergeCell ref="KZ134:LA134"/>
    <mergeCell ref="LB134:LC134"/>
    <mergeCell ref="LD134:LE134"/>
    <mergeCell ref="LF134:LG134"/>
    <mergeCell ref="LH134:LI134"/>
    <mergeCell ref="LJ134:LK134"/>
    <mergeCell ref="LL134:LM134"/>
    <mergeCell ref="LN134:LO134"/>
    <mergeCell ref="LP134:LQ134"/>
    <mergeCell ref="LR134:LS134"/>
    <mergeCell ref="LT134:LU134"/>
    <mergeCell ref="LV134:LW134"/>
    <mergeCell ref="LX134:LY134"/>
    <mergeCell ref="LZ134:MA134"/>
    <mergeCell ref="MB134:MC134"/>
    <mergeCell ref="MD134:ME134"/>
    <mergeCell ref="MF134:MG134"/>
    <mergeCell ref="MH134:MI134"/>
    <mergeCell ref="MJ134:MK134"/>
    <mergeCell ref="ML134:MM134"/>
    <mergeCell ref="MN134:MO134"/>
    <mergeCell ref="MP134:MQ134"/>
    <mergeCell ref="MR134:MS134"/>
    <mergeCell ref="MT134:MU134"/>
    <mergeCell ref="MV134:MW134"/>
    <mergeCell ref="MX134:MY134"/>
    <mergeCell ref="MZ134:NA134"/>
    <mergeCell ref="NB134:NC134"/>
    <mergeCell ref="ND134:NE134"/>
    <mergeCell ref="NF134:NG134"/>
    <mergeCell ref="NH134:NI134"/>
    <mergeCell ref="NJ134:NK134"/>
    <mergeCell ref="NL134:NM134"/>
    <mergeCell ref="NR133:NS133"/>
    <mergeCell ref="NT133:NU133"/>
    <mergeCell ref="NV133:NW133"/>
    <mergeCell ref="NX133:NY133"/>
    <mergeCell ref="NZ133:OA133"/>
    <mergeCell ref="OB133:OC133"/>
    <mergeCell ref="OD133:OE133"/>
    <mergeCell ref="OF133:OG133"/>
    <mergeCell ref="OH133:OI133"/>
    <mergeCell ref="OJ133:OK133"/>
    <mergeCell ref="OL133:OM133"/>
    <mergeCell ref="ON133:OO133"/>
    <mergeCell ref="OP133:OQ133"/>
    <mergeCell ref="OR133:OS133"/>
    <mergeCell ref="OT133:OU133"/>
    <mergeCell ref="OV133:OW133"/>
    <mergeCell ref="OX133:OY133"/>
    <mergeCell ref="OZ133:PA133"/>
    <mergeCell ref="PB133:PC133"/>
    <mergeCell ref="PD133:PE133"/>
    <mergeCell ref="PF133:PG133"/>
    <mergeCell ref="PH133:PI133"/>
    <mergeCell ref="PJ133:PK133"/>
    <mergeCell ref="PL133:PM133"/>
    <mergeCell ref="PN133:PO133"/>
    <mergeCell ref="PP133:PQ133"/>
    <mergeCell ref="PR133:PS133"/>
    <mergeCell ref="PT133:PU133"/>
    <mergeCell ref="PV133:PW133"/>
    <mergeCell ref="PX133:PY133"/>
    <mergeCell ref="PZ133:QA133"/>
    <mergeCell ref="QB133:QC133"/>
    <mergeCell ref="QD133:QE133"/>
    <mergeCell ref="QJ132:QK132"/>
    <mergeCell ref="QL132:QM132"/>
    <mergeCell ref="QN132:QO132"/>
    <mergeCell ref="QP132:QQ132"/>
    <mergeCell ref="QR132:QS132"/>
    <mergeCell ref="QT132:QU132"/>
    <mergeCell ref="QV132:QW132"/>
    <mergeCell ref="QX132:QY132"/>
    <mergeCell ref="QZ132:RA132"/>
    <mergeCell ref="RB132:RC132"/>
    <mergeCell ref="JN133:JO133"/>
    <mergeCell ref="JP133:JQ133"/>
    <mergeCell ref="JR133:JS133"/>
    <mergeCell ref="JT133:JU133"/>
    <mergeCell ref="JV133:JW133"/>
    <mergeCell ref="JX133:JY133"/>
    <mergeCell ref="JZ133:KA133"/>
    <mergeCell ref="KB133:KC133"/>
    <mergeCell ref="KD133:KE133"/>
    <mergeCell ref="KF133:KG133"/>
    <mergeCell ref="KH133:KI133"/>
    <mergeCell ref="KJ133:KK133"/>
    <mergeCell ref="KL133:KM133"/>
    <mergeCell ref="KN133:KO133"/>
    <mergeCell ref="KP133:KQ133"/>
    <mergeCell ref="KR133:KS133"/>
    <mergeCell ref="KT133:KU133"/>
    <mergeCell ref="KV133:KW133"/>
    <mergeCell ref="KX133:KY133"/>
    <mergeCell ref="KZ133:LA133"/>
    <mergeCell ref="LB133:LC133"/>
    <mergeCell ref="LD133:LE133"/>
    <mergeCell ref="LF133:LG133"/>
    <mergeCell ref="LH133:LI133"/>
    <mergeCell ref="LJ133:LK133"/>
    <mergeCell ref="LL133:LM133"/>
    <mergeCell ref="LN133:LO133"/>
    <mergeCell ref="LP133:LQ133"/>
    <mergeCell ref="LR133:LS133"/>
    <mergeCell ref="LT133:LU133"/>
    <mergeCell ref="LV133:LW133"/>
    <mergeCell ref="LX133:LY133"/>
    <mergeCell ref="LZ133:MA133"/>
    <mergeCell ref="MB133:MC133"/>
    <mergeCell ref="MD133:ME133"/>
    <mergeCell ref="MF133:MG133"/>
    <mergeCell ref="MH133:MI133"/>
    <mergeCell ref="MJ133:MK133"/>
    <mergeCell ref="ML133:MM133"/>
    <mergeCell ref="MN133:MO133"/>
    <mergeCell ref="MP133:MQ133"/>
    <mergeCell ref="MR133:MS133"/>
    <mergeCell ref="MT133:MU133"/>
    <mergeCell ref="MV133:MW133"/>
    <mergeCell ref="MX133:MY133"/>
    <mergeCell ref="MZ133:NA133"/>
    <mergeCell ref="NB133:NC133"/>
    <mergeCell ref="ND133:NE133"/>
    <mergeCell ref="NF133:NG133"/>
    <mergeCell ref="NH133:NI133"/>
    <mergeCell ref="NJ133:NK133"/>
    <mergeCell ref="NL133:NM133"/>
    <mergeCell ref="NN133:NO133"/>
    <mergeCell ref="NP133:NQ133"/>
    <mergeCell ref="NV132:NW132"/>
    <mergeCell ref="NX132:NY132"/>
    <mergeCell ref="NZ132:OA132"/>
    <mergeCell ref="OB132:OC132"/>
    <mergeCell ref="OD132:OE132"/>
    <mergeCell ref="OF132:OG132"/>
    <mergeCell ref="OH132:OI132"/>
    <mergeCell ref="OJ132:OK132"/>
    <mergeCell ref="OL132:OM132"/>
    <mergeCell ref="ON132:OO132"/>
    <mergeCell ref="OP132:OQ132"/>
    <mergeCell ref="OR132:OS132"/>
    <mergeCell ref="OT132:OU132"/>
    <mergeCell ref="OV132:OW132"/>
    <mergeCell ref="OX132:OY132"/>
    <mergeCell ref="OZ132:PA132"/>
    <mergeCell ref="PB132:PC132"/>
    <mergeCell ref="PD132:PE132"/>
    <mergeCell ref="PF132:PG132"/>
    <mergeCell ref="PH132:PI132"/>
    <mergeCell ref="PJ132:PK132"/>
    <mergeCell ref="PL132:PM132"/>
    <mergeCell ref="PN132:PO132"/>
    <mergeCell ref="PP132:PQ132"/>
    <mergeCell ref="PR132:PS132"/>
    <mergeCell ref="PT132:PU132"/>
    <mergeCell ref="PV132:PW132"/>
    <mergeCell ref="PX132:PY132"/>
    <mergeCell ref="PZ132:QA132"/>
    <mergeCell ref="QB132:QC132"/>
    <mergeCell ref="QD132:QE132"/>
    <mergeCell ref="QF132:QG132"/>
    <mergeCell ref="QH132:QI132"/>
    <mergeCell ref="PL131:PM131"/>
    <mergeCell ref="PN131:PO131"/>
    <mergeCell ref="PP131:PQ131"/>
    <mergeCell ref="PR131:PS131"/>
    <mergeCell ref="PT131:PU131"/>
    <mergeCell ref="PV131:PW131"/>
    <mergeCell ref="PX131:PY131"/>
    <mergeCell ref="PZ131:QA131"/>
    <mergeCell ref="QB131:QC131"/>
    <mergeCell ref="QD131:QE131"/>
    <mergeCell ref="QF131:QG131"/>
    <mergeCell ref="QH131:QI131"/>
    <mergeCell ref="QJ131:QK131"/>
    <mergeCell ref="QL131:QM131"/>
    <mergeCell ref="QN131:QO131"/>
    <mergeCell ref="QP131:QQ131"/>
    <mergeCell ref="QR131:QS131"/>
    <mergeCell ref="QT131:QU131"/>
    <mergeCell ref="QV131:QW131"/>
    <mergeCell ref="QX131:QY131"/>
    <mergeCell ref="QZ131:RA131"/>
    <mergeCell ref="RB131:RC131"/>
    <mergeCell ref="KP132:KQ132"/>
    <mergeCell ref="KR132:KS132"/>
    <mergeCell ref="KT132:KU132"/>
    <mergeCell ref="KV132:KW132"/>
    <mergeCell ref="KX132:KY132"/>
    <mergeCell ref="KZ132:LA132"/>
    <mergeCell ref="LB132:LC132"/>
    <mergeCell ref="LD132:LE132"/>
    <mergeCell ref="LF132:LG132"/>
    <mergeCell ref="LH132:LI132"/>
    <mergeCell ref="LJ132:LK132"/>
    <mergeCell ref="LL132:LM132"/>
    <mergeCell ref="LN132:LO132"/>
    <mergeCell ref="LP132:LQ132"/>
    <mergeCell ref="LR132:LS132"/>
    <mergeCell ref="LT132:LU132"/>
    <mergeCell ref="LV132:LW132"/>
    <mergeCell ref="LX132:LY132"/>
    <mergeCell ref="LZ132:MA132"/>
    <mergeCell ref="MB132:MC132"/>
    <mergeCell ref="MD132:ME132"/>
    <mergeCell ref="MF132:MG132"/>
    <mergeCell ref="MH132:MI132"/>
    <mergeCell ref="MJ132:MK132"/>
    <mergeCell ref="ML132:MM132"/>
    <mergeCell ref="MN132:MO132"/>
    <mergeCell ref="MP132:MQ132"/>
    <mergeCell ref="MR132:MS132"/>
    <mergeCell ref="MT132:MU132"/>
    <mergeCell ref="MV132:MW132"/>
    <mergeCell ref="MX132:MY132"/>
    <mergeCell ref="MZ132:NA132"/>
    <mergeCell ref="NB132:NC132"/>
    <mergeCell ref="ND132:NE132"/>
    <mergeCell ref="NF132:NG132"/>
    <mergeCell ref="NH132:NI132"/>
    <mergeCell ref="NJ132:NK132"/>
    <mergeCell ref="NL132:NM132"/>
    <mergeCell ref="NN132:NO132"/>
    <mergeCell ref="NP132:NQ132"/>
    <mergeCell ref="NR132:NS132"/>
    <mergeCell ref="NT132:NU132"/>
    <mergeCell ref="MX131:MY131"/>
    <mergeCell ref="MZ131:NA131"/>
    <mergeCell ref="NB131:NC131"/>
    <mergeCell ref="ND131:NE131"/>
    <mergeCell ref="NF131:NG131"/>
    <mergeCell ref="NH131:NI131"/>
    <mergeCell ref="NJ131:NK131"/>
    <mergeCell ref="NL131:NM131"/>
    <mergeCell ref="NN131:NO131"/>
    <mergeCell ref="NP131:NQ131"/>
    <mergeCell ref="NR131:NS131"/>
    <mergeCell ref="NT131:NU131"/>
    <mergeCell ref="NV131:NW131"/>
    <mergeCell ref="NX131:NY131"/>
    <mergeCell ref="NZ131:OA131"/>
    <mergeCell ref="OB131:OC131"/>
    <mergeCell ref="OD131:OE131"/>
    <mergeCell ref="OF131:OG131"/>
    <mergeCell ref="OH131:OI131"/>
    <mergeCell ref="OJ131:OK131"/>
    <mergeCell ref="OL131:OM131"/>
    <mergeCell ref="ON131:OO131"/>
    <mergeCell ref="OP131:OQ131"/>
    <mergeCell ref="OR131:OS131"/>
    <mergeCell ref="OT131:OU131"/>
    <mergeCell ref="OV131:OW131"/>
    <mergeCell ref="OX131:OY131"/>
    <mergeCell ref="OZ131:PA131"/>
    <mergeCell ref="PB131:PC131"/>
    <mergeCell ref="PD131:PE131"/>
    <mergeCell ref="PF131:PG131"/>
    <mergeCell ref="PH131:PI131"/>
    <mergeCell ref="PJ131:PK131"/>
    <mergeCell ref="PP130:PQ130"/>
    <mergeCell ref="PR130:PS130"/>
    <mergeCell ref="PT130:PU130"/>
    <mergeCell ref="PV130:PW130"/>
    <mergeCell ref="PX130:PY130"/>
    <mergeCell ref="PZ130:QA130"/>
    <mergeCell ref="QB130:QC130"/>
    <mergeCell ref="QD130:QE130"/>
    <mergeCell ref="QF130:QG130"/>
    <mergeCell ref="QH130:QI130"/>
    <mergeCell ref="QJ130:QK130"/>
    <mergeCell ref="QL130:QM130"/>
    <mergeCell ref="QN130:QO130"/>
    <mergeCell ref="QP130:QQ130"/>
    <mergeCell ref="QR130:QS130"/>
    <mergeCell ref="QT130:QU130"/>
    <mergeCell ref="QV130:QW130"/>
    <mergeCell ref="QX130:QY130"/>
    <mergeCell ref="QZ130:RA130"/>
    <mergeCell ref="RB130:RC130"/>
    <mergeCell ref="JN131:JO131"/>
    <mergeCell ref="JP131:JQ131"/>
    <mergeCell ref="JR131:JS131"/>
    <mergeCell ref="JT131:JU131"/>
    <mergeCell ref="JV131:JW131"/>
    <mergeCell ref="JX131:JY131"/>
    <mergeCell ref="JZ131:KA131"/>
    <mergeCell ref="KB131:KC131"/>
    <mergeCell ref="KD131:KE131"/>
    <mergeCell ref="KF131:KG131"/>
    <mergeCell ref="KH131:KI131"/>
    <mergeCell ref="KJ131:KK131"/>
    <mergeCell ref="KL131:KM131"/>
    <mergeCell ref="KN131:KO131"/>
    <mergeCell ref="KP131:KQ131"/>
    <mergeCell ref="KR131:KS131"/>
    <mergeCell ref="KT131:KU131"/>
    <mergeCell ref="KV131:KW131"/>
    <mergeCell ref="KX131:KY131"/>
    <mergeCell ref="KZ131:LA131"/>
    <mergeCell ref="LB131:LC131"/>
    <mergeCell ref="LD131:LE131"/>
    <mergeCell ref="LF131:LG131"/>
    <mergeCell ref="LH131:LI131"/>
    <mergeCell ref="LJ131:LK131"/>
    <mergeCell ref="LL131:LM131"/>
    <mergeCell ref="LN131:LO131"/>
    <mergeCell ref="LP131:LQ131"/>
    <mergeCell ref="LR131:LS131"/>
    <mergeCell ref="LT131:LU131"/>
    <mergeCell ref="LV131:LW131"/>
    <mergeCell ref="LX131:LY131"/>
    <mergeCell ref="LZ131:MA131"/>
    <mergeCell ref="MB131:MC131"/>
    <mergeCell ref="MD131:ME131"/>
    <mergeCell ref="MF131:MG131"/>
    <mergeCell ref="MH131:MI131"/>
    <mergeCell ref="MJ131:MK131"/>
    <mergeCell ref="ML131:MM131"/>
    <mergeCell ref="MN131:MO131"/>
    <mergeCell ref="MP131:MQ131"/>
    <mergeCell ref="MR131:MS131"/>
    <mergeCell ref="MT131:MU131"/>
    <mergeCell ref="MV131:MW131"/>
    <mergeCell ref="NB130:NC130"/>
    <mergeCell ref="ND130:NE130"/>
    <mergeCell ref="NF130:NG130"/>
    <mergeCell ref="NH130:NI130"/>
    <mergeCell ref="NJ130:NK130"/>
    <mergeCell ref="NL130:NM130"/>
    <mergeCell ref="NN130:NO130"/>
    <mergeCell ref="NP130:NQ130"/>
    <mergeCell ref="NR130:NS130"/>
    <mergeCell ref="NT130:NU130"/>
    <mergeCell ref="NV130:NW130"/>
    <mergeCell ref="NX130:NY130"/>
    <mergeCell ref="NZ130:OA130"/>
    <mergeCell ref="OB130:OC130"/>
    <mergeCell ref="OD130:OE130"/>
    <mergeCell ref="OF130:OG130"/>
    <mergeCell ref="OH130:OI130"/>
    <mergeCell ref="OJ130:OK130"/>
    <mergeCell ref="OL130:OM130"/>
    <mergeCell ref="ON130:OO130"/>
    <mergeCell ref="OP130:OQ130"/>
    <mergeCell ref="OR130:OS130"/>
    <mergeCell ref="OT130:OU130"/>
    <mergeCell ref="OV130:OW130"/>
    <mergeCell ref="OX130:OY130"/>
    <mergeCell ref="OZ130:PA130"/>
    <mergeCell ref="PB130:PC130"/>
    <mergeCell ref="PD130:PE130"/>
    <mergeCell ref="PF130:PG130"/>
    <mergeCell ref="PH130:PI130"/>
    <mergeCell ref="PJ130:PK130"/>
    <mergeCell ref="PL130:PM130"/>
    <mergeCell ref="PN130:PO130"/>
    <mergeCell ref="PN129:PO129"/>
    <mergeCell ref="PP129:PQ129"/>
    <mergeCell ref="PR129:PS129"/>
    <mergeCell ref="PT129:PU129"/>
    <mergeCell ref="PV129:PW129"/>
    <mergeCell ref="PX129:PY129"/>
    <mergeCell ref="PZ129:QA129"/>
    <mergeCell ref="QB129:QC129"/>
    <mergeCell ref="QD129:QE129"/>
    <mergeCell ref="QF129:QG129"/>
    <mergeCell ref="QH129:QI129"/>
    <mergeCell ref="QJ129:QK129"/>
    <mergeCell ref="QL129:QM129"/>
    <mergeCell ref="QN129:QO129"/>
    <mergeCell ref="QP129:QQ129"/>
    <mergeCell ref="QR129:QS129"/>
    <mergeCell ref="QT129:QU129"/>
    <mergeCell ref="QV129:QW129"/>
    <mergeCell ref="QX129:QY129"/>
    <mergeCell ref="QZ129:RA129"/>
    <mergeCell ref="RB129:RC129"/>
    <mergeCell ref="JT130:JU130"/>
    <mergeCell ref="JV130:JW130"/>
    <mergeCell ref="JX130:JY130"/>
    <mergeCell ref="JZ130:KA130"/>
    <mergeCell ref="KB130:KC130"/>
    <mergeCell ref="KD130:KE130"/>
    <mergeCell ref="KF130:KG130"/>
    <mergeCell ref="KH130:KI130"/>
    <mergeCell ref="KJ130:KK130"/>
    <mergeCell ref="KL130:KM130"/>
    <mergeCell ref="KN130:KO130"/>
    <mergeCell ref="KP130:KQ130"/>
    <mergeCell ref="KR130:KS130"/>
    <mergeCell ref="KT130:KU130"/>
    <mergeCell ref="KV130:KW130"/>
    <mergeCell ref="KX130:KY130"/>
    <mergeCell ref="KZ130:LA130"/>
    <mergeCell ref="LB130:LC130"/>
    <mergeCell ref="LD130:LE130"/>
    <mergeCell ref="LF130:LG130"/>
    <mergeCell ref="LH130:LI130"/>
    <mergeCell ref="LJ130:LK130"/>
    <mergeCell ref="LL130:LM130"/>
    <mergeCell ref="LN130:LO130"/>
    <mergeCell ref="LP130:LQ130"/>
    <mergeCell ref="LR130:LS130"/>
    <mergeCell ref="LT130:LU130"/>
    <mergeCell ref="LV130:LW130"/>
    <mergeCell ref="LX130:LY130"/>
    <mergeCell ref="LZ130:MA130"/>
    <mergeCell ref="MB130:MC130"/>
    <mergeCell ref="MD130:ME130"/>
    <mergeCell ref="MF130:MG130"/>
    <mergeCell ref="MH130:MI130"/>
    <mergeCell ref="MJ130:MK130"/>
    <mergeCell ref="ML130:MM130"/>
    <mergeCell ref="MN130:MO130"/>
    <mergeCell ref="MP130:MQ130"/>
    <mergeCell ref="MR130:MS130"/>
    <mergeCell ref="MT130:MU130"/>
    <mergeCell ref="MV130:MW130"/>
    <mergeCell ref="MX130:MY130"/>
    <mergeCell ref="MZ130:NA130"/>
    <mergeCell ref="MZ129:NA129"/>
    <mergeCell ref="NB129:NC129"/>
    <mergeCell ref="ND129:NE129"/>
    <mergeCell ref="NF129:NG129"/>
    <mergeCell ref="NH129:NI129"/>
    <mergeCell ref="NJ129:NK129"/>
    <mergeCell ref="NL129:NM129"/>
    <mergeCell ref="NN129:NO129"/>
    <mergeCell ref="NP129:NQ129"/>
    <mergeCell ref="NR129:NS129"/>
    <mergeCell ref="NT129:NU129"/>
    <mergeCell ref="NV129:NW129"/>
    <mergeCell ref="NX129:NY129"/>
    <mergeCell ref="NZ129:OA129"/>
    <mergeCell ref="OB129:OC129"/>
    <mergeCell ref="OD129:OE129"/>
    <mergeCell ref="OF129:OG129"/>
    <mergeCell ref="OH129:OI129"/>
    <mergeCell ref="OJ129:OK129"/>
    <mergeCell ref="OL129:OM129"/>
    <mergeCell ref="ON129:OO129"/>
    <mergeCell ref="OP129:OQ129"/>
    <mergeCell ref="OR129:OS129"/>
    <mergeCell ref="OT129:OU129"/>
    <mergeCell ref="OV129:OW129"/>
    <mergeCell ref="OX129:OY129"/>
    <mergeCell ref="OZ129:PA129"/>
    <mergeCell ref="PB129:PC129"/>
    <mergeCell ref="PD129:PE129"/>
    <mergeCell ref="PF129:PG129"/>
    <mergeCell ref="PH129:PI129"/>
    <mergeCell ref="PJ129:PK129"/>
    <mergeCell ref="PL129:PM129"/>
    <mergeCell ref="PJ128:PK128"/>
    <mergeCell ref="PL128:PM128"/>
    <mergeCell ref="PN128:PO128"/>
    <mergeCell ref="PP128:PQ128"/>
    <mergeCell ref="PR128:PS128"/>
    <mergeCell ref="PT128:PU128"/>
    <mergeCell ref="PV128:PW128"/>
    <mergeCell ref="PX128:PY128"/>
    <mergeCell ref="PZ128:QA128"/>
    <mergeCell ref="QB128:QC128"/>
    <mergeCell ref="QD128:QE128"/>
    <mergeCell ref="QF128:QG128"/>
    <mergeCell ref="QH128:QI128"/>
    <mergeCell ref="QJ128:QK128"/>
    <mergeCell ref="QL128:QM128"/>
    <mergeCell ref="QN128:QO128"/>
    <mergeCell ref="QP128:QQ128"/>
    <mergeCell ref="QR128:QS128"/>
    <mergeCell ref="QT128:QU128"/>
    <mergeCell ref="QV128:QW128"/>
    <mergeCell ref="QX128:QY128"/>
    <mergeCell ref="QZ128:RA128"/>
    <mergeCell ref="RB128:RC128"/>
    <mergeCell ref="JV129:JW129"/>
    <mergeCell ref="JX129:JY129"/>
    <mergeCell ref="JZ129:KA129"/>
    <mergeCell ref="KB129:KC129"/>
    <mergeCell ref="KD129:KE129"/>
    <mergeCell ref="KF129:KG129"/>
    <mergeCell ref="KH129:KI129"/>
    <mergeCell ref="KJ129:KK129"/>
    <mergeCell ref="KL129:KM129"/>
    <mergeCell ref="KN129:KO129"/>
    <mergeCell ref="KP129:KQ129"/>
    <mergeCell ref="KR129:KS129"/>
    <mergeCell ref="KT129:KU129"/>
    <mergeCell ref="KV129:KW129"/>
    <mergeCell ref="KX129:KY129"/>
    <mergeCell ref="KZ129:LA129"/>
    <mergeCell ref="LB129:LC129"/>
    <mergeCell ref="LD129:LE129"/>
    <mergeCell ref="LF129:LG129"/>
    <mergeCell ref="LH129:LI129"/>
    <mergeCell ref="LJ129:LK129"/>
    <mergeCell ref="LL129:LM129"/>
    <mergeCell ref="LN129:LO129"/>
    <mergeCell ref="LP129:LQ129"/>
    <mergeCell ref="LR129:LS129"/>
    <mergeCell ref="LT129:LU129"/>
    <mergeCell ref="LV129:LW129"/>
    <mergeCell ref="LX129:LY129"/>
    <mergeCell ref="LZ129:MA129"/>
    <mergeCell ref="MB129:MC129"/>
    <mergeCell ref="MD129:ME129"/>
    <mergeCell ref="MF129:MG129"/>
    <mergeCell ref="MH129:MI129"/>
    <mergeCell ref="MJ129:MK129"/>
    <mergeCell ref="ML129:MM129"/>
    <mergeCell ref="MN129:MO129"/>
    <mergeCell ref="MP129:MQ129"/>
    <mergeCell ref="MR129:MS129"/>
    <mergeCell ref="MT129:MU129"/>
    <mergeCell ref="MV129:MW129"/>
    <mergeCell ref="MX129:MY129"/>
    <mergeCell ref="MR128:MS128"/>
    <mergeCell ref="MT128:MU128"/>
    <mergeCell ref="MV128:MW128"/>
    <mergeCell ref="MX128:MY128"/>
    <mergeCell ref="ND128:NE128"/>
    <mergeCell ref="NF128:NG128"/>
    <mergeCell ref="NH128:NI128"/>
    <mergeCell ref="NJ128:NK128"/>
    <mergeCell ref="NL128:NM128"/>
    <mergeCell ref="NN128:NO128"/>
    <mergeCell ref="NP128:NQ128"/>
    <mergeCell ref="NR128:NS128"/>
    <mergeCell ref="NT128:NU128"/>
    <mergeCell ref="NV128:NW128"/>
    <mergeCell ref="NX128:NY128"/>
    <mergeCell ref="NZ128:OA128"/>
    <mergeCell ref="OB128:OC128"/>
    <mergeCell ref="OD128:OE128"/>
    <mergeCell ref="OF128:OG128"/>
    <mergeCell ref="OH128:OI128"/>
    <mergeCell ref="OJ128:OK128"/>
    <mergeCell ref="OL128:OM128"/>
    <mergeCell ref="ON128:OO128"/>
    <mergeCell ref="OP128:OQ128"/>
    <mergeCell ref="OR128:OS128"/>
    <mergeCell ref="OT128:OU128"/>
    <mergeCell ref="OV128:OW128"/>
    <mergeCell ref="OX128:OY128"/>
    <mergeCell ref="OZ128:PA128"/>
    <mergeCell ref="PB128:PC128"/>
    <mergeCell ref="PD128:PE128"/>
    <mergeCell ref="PF128:PG128"/>
    <mergeCell ref="PH128:PI128"/>
    <mergeCell ref="MZ128:NA128"/>
    <mergeCell ref="NB128:NC128"/>
    <mergeCell ref="PJ127:PK127"/>
    <mergeCell ref="PL127:PM127"/>
    <mergeCell ref="PN127:PO127"/>
    <mergeCell ref="PP127:PQ127"/>
    <mergeCell ref="PR127:PS127"/>
    <mergeCell ref="PT127:PU127"/>
    <mergeCell ref="PV127:PW127"/>
    <mergeCell ref="PX127:PY127"/>
    <mergeCell ref="PZ127:QA127"/>
    <mergeCell ref="QB127:QC127"/>
    <mergeCell ref="QD127:QE127"/>
    <mergeCell ref="QF127:QG127"/>
    <mergeCell ref="QH127:QI127"/>
    <mergeCell ref="QJ127:QK127"/>
    <mergeCell ref="QL127:QM127"/>
    <mergeCell ref="QN127:QO127"/>
    <mergeCell ref="QP127:QQ127"/>
    <mergeCell ref="QR127:QS127"/>
    <mergeCell ref="QT127:QU127"/>
    <mergeCell ref="QV127:QW127"/>
    <mergeCell ref="QX127:QY127"/>
    <mergeCell ref="QZ127:RA127"/>
    <mergeCell ref="RB127:RC127"/>
    <mergeCell ref="JN128:JO128"/>
    <mergeCell ref="JP128:JQ128"/>
    <mergeCell ref="JR128:JS128"/>
    <mergeCell ref="JT128:JU128"/>
    <mergeCell ref="JV128:JW128"/>
    <mergeCell ref="JX128:JY128"/>
    <mergeCell ref="JZ128:KA128"/>
    <mergeCell ref="KB128:KC128"/>
    <mergeCell ref="KD128:KE128"/>
    <mergeCell ref="KF128:KG128"/>
    <mergeCell ref="KH128:KI128"/>
    <mergeCell ref="KJ128:KK128"/>
    <mergeCell ref="KL128:KM128"/>
    <mergeCell ref="KN128:KO128"/>
    <mergeCell ref="KP128:KQ128"/>
    <mergeCell ref="KR128:KS128"/>
    <mergeCell ref="KT128:KU128"/>
    <mergeCell ref="KV128:KW128"/>
    <mergeCell ref="KX128:KY128"/>
    <mergeCell ref="KZ128:LA128"/>
    <mergeCell ref="LB128:LC128"/>
    <mergeCell ref="LD128:LE128"/>
    <mergeCell ref="LF128:LG128"/>
    <mergeCell ref="LH128:LI128"/>
    <mergeCell ref="LJ128:LK128"/>
    <mergeCell ref="LL128:LM128"/>
    <mergeCell ref="LN128:LO128"/>
    <mergeCell ref="LP128:LQ128"/>
    <mergeCell ref="LR128:LS128"/>
    <mergeCell ref="LT128:LU128"/>
    <mergeCell ref="LV128:LW128"/>
    <mergeCell ref="LX128:LY128"/>
    <mergeCell ref="LZ128:MA128"/>
    <mergeCell ref="MB128:MC128"/>
    <mergeCell ref="MD128:ME128"/>
    <mergeCell ref="MF128:MG128"/>
    <mergeCell ref="MH128:MI128"/>
    <mergeCell ref="MJ128:MK128"/>
    <mergeCell ref="ML128:MM128"/>
    <mergeCell ref="MN128:MO128"/>
    <mergeCell ref="MP128:MQ128"/>
    <mergeCell ref="MV127:MW127"/>
    <mergeCell ref="MX127:MY127"/>
    <mergeCell ref="MZ127:NA127"/>
    <mergeCell ref="NB127:NC127"/>
    <mergeCell ref="ND127:NE127"/>
    <mergeCell ref="NF127:NG127"/>
    <mergeCell ref="NH127:NI127"/>
    <mergeCell ref="NJ127:NK127"/>
    <mergeCell ref="NL127:NM127"/>
    <mergeCell ref="NN127:NO127"/>
    <mergeCell ref="NP127:NQ127"/>
    <mergeCell ref="NR127:NS127"/>
    <mergeCell ref="NT127:NU127"/>
    <mergeCell ref="NV127:NW127"/>
    <mergeCell ref="NX127:NY127"/>
    <mergeCell ref="NZ127:OA127"/>
    <mergeCell ref="OB127:OC127"/>
    <mergeCell ref="OD127:OE127"/>
    <mergeCell ref="OF127:OG127"/>
    <mergeCell ref="OH127:OI127"/>
    <mergeCell ref="OJ127:OK127"/>
    <mergeCell ref="OL127:OM127"/>
    <mergeCell ref="ON127:OO127"/>
    <mergeCell ref="OP127:OQ127"/>
    <mergeCell ref="OR127:OS127"/>
    <mergeCell ref="OT127:OU127"/>
    <mergeCell ref="OV127:OW127"/>
    <mergeCell ref="OX127:OY127"/>
    <mergeCell ref="OZ127:PA127"/>
    <mergeCell ref="PB127:PC127"/>
    <mergeCell ref="PD127:PE127"/>
    <mergeCell ref="PF127:PG127"/>
    <mergeCell ref="PH127:PI127"/>
    <mergeCell ref="PN126:PO126"/>
    <mergeCell ref="PP126:PQ126"/>
    <mergeCell ref="PR126:PS126"/>
    <mergeCell ref="PT126:PU126"/>
    <mergeCell ref="PV126:PW126"/>
    <mergeCell ref="PX126:PY126"/>
    <mergeCell ref="PZ126:QA126"/>
    <mergeCell ref="QB126:QC126"/>
    <mergeCell ref="QD126:QE126"/>
    <mergeCell ref="QF126:QG126"/>
    <mergeCell ref="QH126:QI126"/>
    <mergeCell ref="QJ126:QK126"/>
    <mergeCell ref="QL126:QM126"/>
    <mergeCell ref="QN126:QO126"/>
    <mergeCell ref="QP126:QQ126"/>
    <mergeCell ref="QR126:QS126"/>
    <mergeCell ref="QT126:QU126"/>
    <mergeCell ref="QV126:QW126"/>
    <mergeCell ref="QX126:QY126"/>
    <mergeCell ref="QZ126:RA126"/>
    <mergeCell ref="RB126:RC126"/>
    <mergeCell ref="JN127:JO127"/>
    <mergeCell ref="JP127:JQ127"/>
    <mergeCell ref="JR127:JS127"/>
    <mergeCell ref="JT127:JU127"/>
    <mergeCell ref="JV127:JW127"/>
    <mergeCell ref="JX127:JY127"/>
    <mergeCell ref="JZ127:KA127"/>
    <mergeCell ref="KB127:KC127"/>
    <mergeCell ref="KD127:KE127"/>
    <mergeCell ref="KF127:KG127"/>
    <mergeCell ref="KH127:KI127"/>
    <mergeCell ref="KJ127:KK127"/>
    <mergeCell ref="KL127:KM127"/>
    <mergeCell ref="KN127:KO127"/>
    <mergeCell ref="KP127:KQ127"/>
    <mergeCell ref="KR127:KS127"/>
    <mergeCell ref="KT127:KU127"/>
    <mergeCell ref="KV127:KW127"/>
    <mergeCell ref="KX127:KY127"/>
    <mergeCell ref="KZ127:LA127"/>
    <mergeCell ref="LB127:LC127"/>
    <mergeCell ref="LD127:LE127"/>
    <mergeCell ref="LF127:LG127"/>
    <mergeCell ref="LH127:LI127"/>
    <mergeCell ref="LJ127:LK127"/>
    <mergeCell ref="LL127:LM127"/>
    <mergeCell ref="LN127:LO127"/>
    <mergeCell ref="LP127:LQ127"/>
    <mergeCell ref="LR127:LS127"/>
    <mergeCell ref="LT127:LU127"/>
    <mergeCell ref="LV127:LW127"/>
    <mergeCell ref="LX127:LY127"/>
    <mergeCell ref="LZ127:MA127"/>
    <mergeCell ref="MB127:MC127"/>
    <mergeCell ref="MD127:ME127"/>
    <mergeCell ref="MF127:MG127"/>
    <mergeCell ref="MH127:MI127"/>
    <mergeCell ref="MJ127:MK127"/>
    <mergeCell ref="ML127:MM127"/>
    <mergeCell ref="MN127:MO127"/>
    <mergeCell ref="MP127:MQ127"/>
    <mergeCell ref="MR127:MS127"/>
    <mergeCell ref="MT127:MU127"/>
    <mergeCell ref="MZ126:NA126"/>
    <mergeCell ref="NB126:NC126"/>
    <mergeCell ref="ND126:NE126"/>
    <mergeCell ref="NF126:NG126"/>
    <mergeCell ref="NH126:NI126"/>
    <mergeCell ref="NJ126:NK126"/>
    <mergeCell ref="NL126:NM126"/>
    <mergeCell ref="NN126:NO126"/>
    <mergeCell ref="NP126:NQ126"/>
    <mergeCell ref="NR126:NS126"/>
    <mergeCell ref="NT126:NU126"/>
    <mergeCell ref="NV126:NW126"/>
    <mergeCell ref="NX126:NY126"/>
    <mergeCell ref="NZ126:OA126"/>
    <mergeCell ref="OB126:OC126"/>
    <mergeCell ref="OD126:OE126"/>
    <mergeCell ref="OF126:OG126"/>
    <mergeCell ref="OH126:OI126"/>
    <mergeCell ref="OJ126:OK126"/>
    <mergeCell ref="OL126:OM126"/>
    <mergeCell ref="ON126:OO126"/>
    <mergeCell ref="OP126:OQ126"/>
    <mergeCell ref="OR126:OS126"/>
    <mergeCell ref="OT126:OU126"/>
    <mergeCell ref="OV126:OW126"/>
    <mergeCell ref="OX126:OY126"/>
    <mergeCell ref="OZ126:PA126"/>
    <mergeCell ref="PB126:PC126"/>
    <mergeCell ref="PD126:PE126"/>
    <mergeCell ref="PF126:PG126"/>
    <mergeCell ref="PH126:PI126"/>
    <mergeCell ref="PJ126:PK126"/>
    <mergeCell ref="PL126:PM126"/>
    <mergeCell ref="PJ125:PK125"/>
    <mergeCell ref="PL125:PM125"/>
    <mergeCell ref="PN125:PO125"/>
    <mergeCell ref="PP125:PQ125"/>
    <mergeCell ref="PR125:PS125"/>
    <mergeCell ref="PT125:PU125"/>
    <mergeCell ref="PV125:PW125"/>
    <mergeCell ref="PX125:PY125"/>
    <mergeCell ref="PZ125:QA125"/>
    <mergeCell ref="QB125:QC125"/>
    <mergeCell ref="QD125:QE125"/>
    <mergeCell ref="QF125:QG125"/>
    <mergeCell ref="QH125:QI125"/>
    <mergeCell ref="QJ125:QK125"/>
    <mergeCell ref="QL125:QM125"/>
    <mergeCell ref="QN125:QO125"/>
    <mergeCell ref="QP125:QQ125"/>
    <mergeCell ref="QR125:QS125"/>
    <mergeCell ref="QT125:QU125"/>
    <mergeCell ref="QV125:QW125"/>
    <mergeCell ref="QX125:QY125"/>
    <mergeCell ref="QZ125:RA125"/>
    <mergeCell ref="RB125:RC125"/>
    <mergeCell ref="JV126:JW126"/>
    <mergeCell ref="JX126:JY126"/>
    <mergeCell ref="JZ126:KA126"/>
    <mergeCell ref="KB126:KC126"/>
    <mergeCell ref="KD126:KE126"/>
    <mergeCell ref="KF126:KG126"/>
    <mergeCell ref="KH126:KI126"/>
    <mergeCell ref="KJ126:KK126"/>
    <mergeCell ref="KL126:KM126"/>
    <mergeCell ref="KN126:KO126"/>
    <mergeCell ref="KP126:KQ126"/>
    <mergeCell ref="KR126:KS126"/>
    <mergeCell ref="KT126:KU126"/>
    <mergeCell ref="KV126:KW126"/>
    <mergeCell ref="KX126:KY126"/>
    <mergeCell ref="KZ126:LA126"/>
    <mergeCell ref="LB126:LC126"/>
    <mergeCell ref="LD126:LE126"/>
    <mergeCell ref="LF126:LG126"/>
    <mergeCell ref="LH126:LI126"/>
    <mergeCell ref="LJ126:LK126"/>
    <mergeCell ref="LL126:LM126"/>
    <mergeCell ref="LN126:LO126"/>
    <mergeCell ref="LP126:LQ126"/>
    <mergeCell ref="LR126:LS126"/>
    <mergeCell ref="LT126:LU126"/>
    <mergeCell ref="LV126:LW126"/>
    <mergeCell ref="LX126:LY126"/>
    <mergeCell ref="LZ126:MA126"/>
    <mergeCell ref="MB126:MC126"/>
    <mergeCell ref="MD126:ME126"/>
    <mergeCell ref="MF126:MG126"/>
    <mergeCell ref="MH126:MI126"/>
    <mergeCell ref="MJ126:MK126"/>
    <mergeCell ref="ML126:MM126"/>
    <mergeCell ref="MN126:MO126"/>
    <mergeCell ref="MP126:MQ126"/>
    <mergeCell ref="MR126:MS126"/>
    <mergeCell ref="MT126:MU126"/>
    <mergeCell ref="MV126:MW126"/>
    <mergeCell ref="MX126:MY126"/>
    <mergeCell ref="MR125:MS125"/>
    <mergeCell ref="MT125:MU125"/>
    <mergeCell ref="MV125:MW125"/>
    <mergeCell ref="MX125:MY125"/>
    <mergeCell ref="ND125:NE125"/>
    <mergeCell ref="NF125:NG125"/>
    <mergeCell ref="NH125:NI125"/>
    <mergeCell ref="NJ125:NK125"/>
    <mergeCell ref="NL125:NM125"/>
    <mergeCell ref="NN125:NO125"/>
    <mergeCell ref="NP125:NQ125"/>
    <mergeCell ref="NR125:NS125"/>
    <mergeCell ref="NT125:NU125"/>
    <mergeCell ref="NV125:NW125"/>
    <mergeCell ref="NX125:NY125"/>
    <mergeCell ref="NZ125:OA125"/>
    <mergeCell ref="OB125:OC125"/>
    <mergeCell ref="OD125:OE125"/>
    <mergeCell ref="OF125:OG125"/>
    <mergeCell ref="OH125:OI125"/>
    <mergeCell ref="OJ125:OK125"/>
    <mergeCell ref="OL125:OM125"/>
    <mergeCell ref="ON125:OO125"/>
    <mergeCell ref="OP125:OQ125"/>
    <mergeCell ref="OR125:OS125"/>
    <mergeCell ref="OT125:OU125"/>
    <mergeCell ref="OV125:OW125"/>
    <mergeCell ref="OX125:OY125"/>
    <mergeCell ref="OZ125:PA125"/>
    <mergeCell ref="PB125:PC125"/>
    <mergeCell ref="PD125:PE125"/>
    <mergeCell ref="PF125:PG125"/>
    <mergeCell ref="PH125:PI125"/>
    <mergeCell ref="MZ125:NA125"/>
    <mergeCell ref="NB125:NC125"/>
    <mergeCell ref="PJ124:PK124"/>
    <mergeCell ref="PL124:PM124"/>
    <mergeCell ref="PN124:PO124"/>
    <mergeCell ref="PP124:PQ124"/>
    <mergeCell ref="PR124:PS124"/>
    <mergeCell ref="PT124:PU124"/>
    <mergeCell ref="PV124:PW124"/>
    <mergeCell ref="PX124:PY124"/>
    <mergeCell ref="PZ124:QA124"/>
    <mergeCell ref="QB124:QC124"/>
    <mergeCell ref="QD124:QE124"/>
    <mergeCell ref="QF124:QG124"/>
    <mergeCell ref="QH124:QI124"/>
    <mergeCell ref="QJ124:QK124"/>
    <mergeCell ref="QL124:QM124"/>
    <mergeCell ref="QN124:QO124"/>
    <mergeCell ref="QP124:QQ124"/>
    <mergeCell ref="QR124:QS124"/>
    <mergeCell ref="QT124:QU124"/>
    <mergeCell ref="QV124:QW124"/>
    <mergeCell ref="QX124:QY124"/>
    <mergeCell ref="QZ124:RA124"/>
    <mergeCell ref="RB124:RC124"/>
    <mergeCell ref="JN125:JO125"/>
    <mergeCell ref="JP125:JQ125"/>
    <mergeCell ref="JR125:JS125"/>
    <mergeCell ref="JT125:JU125"/>
    <mergeCell ref="JV125:JW125"/>
    <mergeCell ref="JX125:JY125"/>
    <mergeCell ref="JZ125:KA125"/>
    <mergeCell ref="KB125:KC125"/>
    <mergeCell ref="KD125:KE125"/>
    <mergeCell ref="KF125:KG125"/>
    <mergeCell ref="KH125:KI125"/>
    <mergeCell ref="KJ125:KK125"/>
    <mergeCell ref="KL125:KM125"/>
    <mergeCell ref="KN125:KO125"/>
    <mergeCell ref="KP125:KQ125"/>
    <mergeCell ref="KR125:KS125"/>
    <mergeCell ref="KT125:KU125"/>
    <mergeCell ref="KV125:KW125"/>
    <mergeCell ref="KX125:KY125"/>
    <mergeCell ref="KZ125:LA125"/>
    <mergeCell ref="LB125:LC125"/>
    <mergeCell ref="LD125:LE125"/>
    <mergeCell ref="LF125:LG125"/>
    <mergeCell ref="LH125:LI125"/>
    <mergeCell ref="LJ125:LK125"/>
    <mergeCell ref="LL125:LM125"/>
    <mergeCell ref="LN125:LO125"/>
    <mergeCell ref="LP125:LQ125"/>
    <mergeCell ref="LR125:LS125"/>
    <mergeCell ref="LT125:LU125"/>
    <mergeCell ref="LV125:LW125"/>
    <mergeCell ref="LX125:LY125"/>
    <mergeCell ref="LZ125:MA125"/>
    <mergeCell ref="MB125:MC125"/>
    <mergeCell ref="MD125:ME125"/>
    <mergeCell ref="MF125:MG125"/>
    <mergeCell ref="MH125:MI125"/>
    <mergeCell ref="MJ125:MK125"/>
    <mergeCell ref="ML125:MM125"/>
    <mergeCell ref="MN125:MO125"/>
    <mergeCell ref="MP125:MQ125"/>
    <mergeCell ref="ML124:MM124"/>
    <mergeCell ref="MN124:MO124"/>
    <mergeCell ref="MP124:MQ124"/>
    <mergeCell ref="ND124:NE124"/>
    <mergeCell ref="NF124:NG124"/>
    <mergeCell ref="NH124:NI124"/>
    <mergeCell ref="NJ124:NK124"/>
    <mergeCell ref="NL124:NM124"/>
    <mergeCell ref="NN124:NO124"/>
    <mergeCell ref="NP124:NQ124"/>
    <mergeCell ref="NR124:NS124"/>
    <mergeCell ref="NT124:NU124"/>
    <mergeCell ref="NV124:NW124"/>
    <mergeCell ref="NX124:NY124"/>
    <mergeCell ref="NZ124:OA124"/>
    <mergeCell ref="OB124:OC124"/>
    <mergeCell ref="OD124:OE124"/>
    <mergeCell ref="OF124:OG124"/>
    <mergeCell ref="OH124:OI124"/>
    <mergeCell ref="OJ124:OK124"/>
    <mergeCell ref="OL124:OM124"/>
    <mergeCell ref="ON124:OO124"/>
    <mergeCell ref="OP124:OQ124"/>
    <mergeCell ref="OR124:OS124"/>
    <mergeCell ref="OT124:OU124"/>
    <mergeCell ref="OV124:OW124"/>
    <mergeCell ref="OX124:OY124"/>
    <mergeCell ref="OZ124:PA124"/>
    <mergeCell ref="PB124:PC124"/>
    <mergeCell ref="PD124:PE124"/>
    <mergeCell ref="PF124:PG124"/>
    <mergeCell ref="PH124:PI124"/>
    <mergeCell ref="MX124:MY124"/>
    <mergeCell ref="MZ124:NA124"/>
    <mergeCell ref="NB124:NC124"/>
    <mergeCell ref="PD123:PE123"/>
    <mergeCell ref="PF123:PG123"/>
    <mergeCell ref="PH123:PI123"/>
    <mergeCell ref="PJ123:PK123"/>
    <mergeCell ref="PL123:PM123"/>
    <mergeCell ref="PN123:PO123"/>
    <mergeCell ref="PP123:PQ123"/>
    <mergeCell ref="PR123:PS123"/>
    <mergeCell ref="PT123:PU123"/>
    <mergeCell ref="PV123:PW123"/>
    <mergeCell ref="PX123:PY123"/>
    <mergeCell ref="PZ123:QA123"/>
    <mergeCell ref="QB123:QC123"/>
    <mergeCell ref="QD123:QE123"/>
    <mergeCell ref="QF123:QG123"/>
    <mergeCell ref="QH123:QI123"/>
    <mergeCell ref="QJ123:QK123"/>
    <mergeCell ref="QL123:QM123"/>
    <mergeCell ref="QN123:QO123"/>
    <mergeCell ref="QP123:QQ123"/>
    <mergeCell ref="QR123:QS123"/>
    <mergeCell ref="QT123:QU123"/>
    <mergeCell ref="QV123:QW123"/>
    <mergeCell ref="QX123:QY123"/>
    <mergeCell ref="QZ123:RA123"/>
    <mergeCell ref="RB123:RC123"/>
    <mergeCell ref="JN124:JO124"/>
    <mergeCell ref="JP124:JQ124"/>
    <mergeCell ref="JR124:JS124"/>
    <mergeCell ref="JT124:JU124"/>
    <mergeCell ref="JV124:JW124"/>
    <mergeCell ref="JX124:JY124"/>
    <mergeCell ref="JZ124:KA124"/>
    <mergeCell ref="KB124:KC124"/>
    <mergeCell ref="KD124:KE124"/>
    <mergeCell ref="KF124:KG124"/>
    <mergeCell ref="KH124:KI124"/>
    <mergeCell ref="KJ124:KK124"/>
    <mergeCell ref="KL124:KM124"/>
    <mergeCell ref="KN124:KO124"/>
    <mergeCell ref="KP124:KQ124"/>
    <mergeCell ref="KR124:KS124"/>
    <mergeCell ref="KT124:KU124"/>
    <mergeCell ref="KV124:KW124"/>
    <mergeCell ref="KX124:KY124"/>
    <mergeCell ref="KZ124:LA124"/>
    <mergeCell ref="LB124:LC124"/>
    <mergeCell ref="LD124:LE124"/>
    <mergeCell ref="LF124:LG124"/>
    <mergeCell ref="LH124:LI124"/>
    <mergeCell ref="LJ124:LK124"/>
    <mergeCell ref="LL124:LM124"/>
    <mergeCell ref="LN124:LO124"/>
    <mergeCell ref="LP124:LQ124"/>
    <mergeCell ref="LR124:LS124"/>
    <mergeCell ref="LT124:LU124"/>
    <mergeCell ref="LV124:LW124"/>
    <mergeCell ref="LX124:LY124"/>
    <mergeCell ref="LZ124:MA124"/>
    <mergeCell ref="MB124:MC124"/>
    <mergeCell ref="MD124:ME124"/>
    <mergeCell ref="MF124:MG124"/>
    <mergeCell ref="MH124:MI124"/>
    <mergeCell ref="MJ124:MK124"/>
    <mergeCell ref="QD122:QE122"/>
    <mergeCell ref="QF122:QG122"/>
    <mergeCell ref="QH122:QI122"/>
    <mergeCell ref="QJ122:QK122"/>
    <mergeCell ref="QL122:QM122"/>
    <mergeCell ref="QN122:QO122"/>
    <mergeCell ref="QP122:QQ122"/>
    <mergeCell ref="QR122:QS122"/>
    <mergeCell ref="QT122:QU122"/>
    <mergeCell ref="QV122:QW122"/>
    <mergeCell ref="QX122:QY122"/>
    <mergeCell ref="QZ122:RA122"/>
    <mergeCell ref="RB122:RC122"/>
    <mergeCell ref="LF123:LG123"/>
    <mergeCell ref="LH123:LI123"/>
    <mergeCell ref="LJ123:LK123"/>
    <mergeCell ref="LL123:LM123"/>
    <mergeCell ref="LN123:LO123"/>
    <mergeCell ref="LP123:LQ123"/>
    <mergeCell ref="LR123:LS123"/>
    <mergeCell ref="LT123:LU123"/>
    <mergeCell ref="LV123:LW123"/>
    <mergeCell ref="LX123:LY123"/>
    <mergeCell ref="LZ123:MA123"/>
    <mergeCell ref="MB123:MC123"/>
    <mergeCell ref="MD123:ME123"/>
    <mergeCell ref="MF123:MG123"/>
    <mergeCell ref="MH123:MI123"/>
    <mergeCell ref="MJ123:MK123"/>
    <mergeCell ref="ML123:MM123"/>
    <mergeCell ref="MN123:MO123"/>
    <mergeCell ref="MP123:MQ123"/>
    <mergeCell ref="MR123:MS123"/>
    <mergeCell ref="MT123:MU123"/>
    <mergeCell ref="MV123:MW123"/>
    <mergeCell ref="MX123:MY123"/>
    <mergeCell ref="MZ123:NA123"/>
    <mergeCell ref="NB123:NC123"/>
    <mergeCell ref="ND123:NE123"/>
    <mergeCell ref="NF123:NG123"/>
    <mergeCell ref="NH123:NI123"/>
    <mergeCell ref="NJ123:NK123"/>
    <mergeCell ref="NL123:NM123"/>
    <mergeCell ref="NN123:NO123"/>
    <mergeCell ref="NP123:NQ123"/>
    <mergeCell ref="NR123:NS123"/>
    <mergeCell ref="NT123:NU123"/>
    <mergeCell ref="NV123:NW123"/>
    <mergeCell ref="NX123:NY123"/>
    <mergeCell ref="NZ123:OA123"/>
    <mergeCell ref="OB123:OC123"/>
    <mergeCell ref="OD123:OE123"/>
    <mergeCell ref="OF123:OG123"/>
    <mergeCell ref="OH123:OI123"/>
    <mergeCell ref="OJ123:OK123"/>
    <mergeCell ref="OL123:OM123"/>
    <mergeCell ref="ON123:OO123"/>
    <mergeCell ref="OP123:OQ123"/>
    <mergeCell ref="OR123:OS123"/>
    <mergeCell ref="OT123:OU123"/>
    <mergeCell ref="OV123:OW123"/>
    <mergeCell ref="OX123:OY123"/>
    <mergeCell ref="OZ123:PA123"/>
    <mergeCell ref="PB123:PC123"/>
    <mergeCell ref="NP122:NQ122"/>
    <mergeCell ref="NR122:NS122"/>
    <mergeCell ref="NT122:NU122"/>
    <mergeCell ref="NV122:NW122"/>
    <mergeCell ref="NX122:NY122"/>
    <mergeCell ref="NZ122:OA122"/>
    <mergeCell ref="OB122:OC122"/>
    <mergeCell ref="OD122:OE122"/>
    <mergeCell ref="OF122:OG122"/>
    <mergeCell ref="OH122:OI122"/>
    <mergeCell ref="OJ122:OK122"/>
    <mergeCell ref="OL122:OM122"/>
    <mergeCell ref="ON122:OO122"/>
    <mergeCell ref="OP122:OQ122"/>
    <mergeCell ref="OR122:OS122"/>
    <mergeCell ref="OT122:OU122"/>
    <mergeCell ref="OV122:OW122"/>
    <mergeCell ref="OX122:OY122"/>
    <mergeCell ref="OZ122:PA122"/>
    <mergeCell ref="PB122:PC122"/>
    <mergeCell ref="PD122:PE122"/>
    <mergeCell ref="PF122:PG122"/>
    <mergeCell ref="PH122:PI122"/>
    <mergeCell ref="PJ122:PK122"/>
    <mergeCell ref="PL122:PM122"/>
    <mergeCell ref="PN122:PO122"/>
    <mergeCell ref="PP122:PQ122"/>
    <mergeCell ref="PR122:PS122"/>
    <mergeCell ref="PT122:PU122"/>
    <mergeCell ref="PV122:PW122"/>
    <mergeCell ref="PX122:PY122"/>
    <mergeCell ref="PZ122:QA122"/>
    <mergeCell ref="QB122:QC122"/>
    <mergeCell ref="QH121:QI121"/>
    <mergeCell ref="QJ121:QK121"/>
    <mergeCell ref="QL121:QM121"/>
    <mergeCell ref="QN121:QO121"/>
    <mergeCell ref="QP121:QQ121"/>
    <mergeCell ref="QR121:QS121"/>
    <mergeCell ref="QT121:QU121"/>
    <mergeCell ref="QV121:QW121"/>
    <mergeCell ref="QX121:QY121"/>
    <mergeCell ref="QZ121:RA121"/>
    <mergeCell ref="RB121:RC121"/>
    <mergeCell ref="JN122:JO122"/>
    <mergeCell ref="JP122:JQ122"/>
    <mergeCell ref="JR122:JS122"/>
    <mergeCell ref="JT122:JU122"/>
    <mergeCell ref="JV122:JW122"/>
    <mergeCell ref="JX122:JY122"/>
    <mergeCell ref="JZ122:KA122"/>
    <mergeCell ref="KB122:KC122"/>
    <mergeCell ref="KD122:KE122"/>
    <mergeCell ref="KF122:KG122"/>
    <mergeCell ref="KH122:KI122"/>
    <mergeCell ref="KJ122:KK122"/>
    <mergeCell ref="KL122:KM122"/>
    <mergeCell ref="KN122:KO122"/>
    <mergeCell ref="KP122:KQ122"/>
    <mergeCell ref="KR122:KS122"/>
    <mergeCell ref="KT122:KU122"/>
    <mergeCell ref="KV122:KW122"/>
    <mergeCell ref="KX122:KY122"/>
    <mergeCell ref="KZ122:LA122"/>
    <mergeCell ref="LB122:LC122"/>
    <mergeCell ref="LD122:LE122"/>
    <mergeCell ref="LF122:LG122"/>
    <mergeCell ref="LH122:LI122"/>
    <mergeCell ref="LJ122:LK122"/>
    <mergeCell ref="LL122:LM122"/>
    <mergeCell ref="LN122:LO122"/>
    <mergeCell ref="LP122:LQ122"/>
    <mergeCell ref="LR122:LS122"/>
    <mergeCell ref="LT122:LU122"/>
    <mergeCell ref="LV122:LW122"/>
    <mergeCell ref="LX122:LY122"/>
    <mergeCell ref="LZ122:MA122"/>
    <mergeCell ref="MB122:MC122"/>
    <mergeCell ref="MD122:ME122"/>
    <mergeCell ref="MF122:MG122"/>
    <mergeCell ref="MH122:MI122"/>
    <mergeCell ref="MJ122:MK122"/>
    <mergeCell ref="ML122:MM122"/>
    <mergeCell ref="MN122:MO122"/>
    <mergeCell ref="MP122:MQ122"/>
    <mergeCell ref="MR122:MS122"/>
    <mergeCell ref="MT122:MU122"/>
    <mergeCell ref="MV122:MW122"/>
    <mergeCell ref="MX122:MY122"/>
    <mergeCell ref="MZ122:NA122"/>
    <mergeCell ref="NB122:NC122"/>
    <mergeCell ref="ND122:NE122"/>
    <mergeCell ref="NF122:NG122"/>
    <mergeCell ref="NH122:NI122"/>
    <mergeCell ref="NJ122:NK122"/>
    <mergeCell ref="NL122:NM122"/>
    <mergeCell ref="NN122:NO122"/>
    <mergeCell ref="NT121:NU121"/>
    <mergeCell ref="NV121:NW121"/>
    <mergeCell ref="NX121:NY121"/>
    <mergeCell ref="NZ121:OA121"/>
    <mergeCell ref="OB121:OC121"/>
    <mergeCell ref="OD121:OE121"/>
    <mergeCell ref="OF121:OG121"/>
    <mergeCell ref="OH121:OI121"/>
    <mergeCell ref="OJ121:OK121"/>
    <mergeCell ref="OL121:OM121"/>
    <mergeCell ref="ON121:OO121"/>
    <mergeCell ref="OP121:OQ121"/>
    <mergeCell ref="OR121:OS121"/>
    <mergeCell ref="OT121:OU121"/>
    <mergeCell ref="OV121:OW121"/>
    <mergeCell ref="OX121:OY121"/>
    <mergeCell ref="OZ121:PA121"/>
    <mergeCell ref="PB121:PC121"/>
    <mergeCell ref="PD121:PE121"/>
    <mergeCell ref="PF121:PG121"/>
    <mergeCell ref="PH121:PI121"/>
    <mergeCell ref="PJ121:PK121"/>
    <mergeCell ref="PL121:PM121"/>
    <mergeCell ref="PN121:PO121"/>
    <mergeCell ref="PP121:PQ121"/>
    <mergeCell ref="PR121:PS121"/>
    <mergeCell ref="PT121:PU121"/>
    <mergeCell ref="PV121:PW121"/>
    <mergeCell ref="PX121:PY121"/>
    <mergeCell ref="PZ121:QA121"/>
    <mergeCell ref="QB121:QC121"/>
    <mergeCell ref="QD121:QE121"/>
    <mergeCell ref="QF121:QG121"/>
    <mergeCell ref="QL120:QM120"/>
    <mergeCell ref="QN120:QO120"/>
    <mergeCell ref="QP120:QQ120"/>
    <mergeCell ref="QR120:QS120"/>
    <mergeCell ref="QT120:QU120"/>
    <mergeCell ref="QV120:QW120"/>
    <mergeCell ref="QX120:QY120"/>
    <mergeCell ref="QZ120:RA120"/>
    <mergeCell ref="RB120:RC120"/>
    <mergeCell ref="JN121:JO121"/>
    <mergeCell ref="JP121:JQ121"/>
    <mergeCell ref="JR121:JS121"/>
    <mergeCell ref="JT121:JU121"/>
    <mergeCell ref="JV121:JW121"/>
    <mergeCell ref="JX121:JY121"/>
    <mergeCell ref="JZ121:KA121"/>
    <mergeCell ref="KB121:KC121"/>
    <mergeCell ref="KD121:KE121"/>
    <mergeCell ref="KF121:KG121"/>
    <mergeCell ref="KH121:KI121"/>
    <mergeCell ref="KJ121:KK121"/>
    <mergeCell ref="KL121:KM121"/>
    <mergeCell ref="KN121:KO121"/>
    <mergeCell ref="KP121:KQ121"/>
    <mergeCell ref="KR121:KS121"/>
    <mergeCell ref="KT121:KU121"/>
    <mergeCell ref="KV121:KW121"/>
    <mergeCell ref="KX121:KY121"/>
    <mergeCell ref="KZ121:LA121"/>
    <mergeCell ref="LB121:LC121"/>
    <mergeCell ref="LD121:LE121"/>
    <mergeCell ref="LF121:LG121"/>
    <mergeCell ref="LH121:LI121"/>
    <mergeCell ref="LJ121:LK121"/>
    <mergeCell ref="LL121:LM121"/>
    <mergeCell ref="LN121:LO121"/>
    <mergeCell ref="LP121:LQ121"/>
    <mergeCell ref="LR121:LS121"/>
    <mergeCell ref="LT121:LU121"/>
    <mergeCell ref="LV121:LW121"/>
    <mergeCell ref="LX121:LY121"/>
    <mergeCell ref="LZ121:MA121"/>
    <mergeCell ref="MB121:MC121"/>
    <mergeCell ref="MD121:ME121"/>
    <mergeCell ref="MF121:MG121"/>
    <mergeCell ref="MH121:MI121"/>
    <mergeCell ref="MJ121:MK121"/>
    <mergeCell ref="ML121:MM121"/>
    <mergeCell ref="MN121:MO121"/>
    <mergeCell ref="MP121:MQ121"/>
    <mergeCell ref="MR121:MS121"/>
    <mergeCell ref="MT121:MU121"/>
    <mergeCell ref="MV121:MW121"/>
    <mergeCell ref="MX121:MY121"/>
    <mergeCell ref="MZ121:NA121"/>
    <mergeCell ref="NB121:NC121"/>
    <mergeCell ref="ND121:NE121"/>
    <mergeCell ref="NF121:NG121"/>
    <mergeCell ref="NH121:NI121"/>
    <mergeCell ref="NJ121:NK121"/>
    <mergeCell ref="NL121:NM121"/>
    <mergeCell ref="NN121:NO121"/>
    <mergeCell ref="NP121:NQ121"/>
    <mergeCell ref="NR121:NS121"/>
    <mergeCell ref="NX120:NY120"/>
    <mergeCell ref="NZ120:OA120"/>
    <mergeCell ref="OB120:OC120"/>
    <mergeCell ref="OD120:OE120"/>
    <mergeCell ref="OF120:OG120"/>
    <mergeCell ref="OH120:OI120"/>
    <mergeCell ref="OJ120:OK120"/>
    <mergeCell ref="OL120:OM120"/>
    <mergeCell ref="ON120:OO120"/>
    <mergeCell ref="OP120:OQ120"/>
    <mergeCell ref="OR120:OS120"/>
    <mergeCell ref="OT120:OU120"/>
    <mergeCell ref="OV120:OW120"/>
    <mergeCell ref="OX120:OY120"/>
    <mergeCell ref="OZ120:PA120"/>
    <mergeCell ref="PB120:PC120"/>
    <mergeCell ref="PD120:PE120"/>
    <mergeCell ref="PF120:PG120"/>
    <mergeCell ref="PH120:PI120"/>
    <mergeCell ref="PJ120:PK120"/>
    <mergeCell ref="PL120:PM120"/>
    <mergeCell ref="PN120:PO120"/>
    <mergeCell ref="PP120:PQ120"/>
    <mergeCell ref="PR120:PS120"/>
    <mergeCell ref="PT120:PU120"/>
    <mergeCell ref="PV120:PW120"/>
    <mergeCell ref="PX120:PY120"/>
    <mergeCell ref="PZ120:QA120"/>
    <mergeCell ref="QB120:QC120"/>
    <mergeCell ref="QD120:QE120"/>
    <mergeCell ref="QF120:QG120"/>
    <mergeCell ref="QH120:QI120"/>
    <mergeCell ref="QJ120:QK120"/>
    <mergeCell ref="QH119:QI119"/>
    <mergeCell ref="QJ119:QK119"/>
    <mergeCell ref="QL119:QM119"/>
    <mergeCell ref="QN119:QO119"/>
    <mergeCell ref="QP119:QQ119"/>
    <mergeCell ref="QR119:QS119"/>
    <mergeCell ref="QT119:QU119"/>
    <mergeCell ref="QV119:QW119"/>
    <mergeCell ref="QX119:QY119"/>
    <mergeCell ref="QZ119:RA119"/>
    <mergeCell ref="RB119:RC119"/>
    <mergeCell ref="JV120:JW120"/>
    <mergeCell ref="JX120:JY120"/>
    <mergeCell ref="JZ120:KA120"/>
    <mergeCell ref="KB120:KC120"/>
    <mergeCell ref="KD120:KE120"/>
    <mergeCell ref="KF120:KG120"/>
    <mergeCell ref="KH120:KI120"/>
    <mergeCell ref="KJ120:KK120"/>
    <mergeCell ref="KL120:KM120"/>
    <mergeCell ref="KN120:KO120"/>
    <mergeCell ref="KP120:KQ120"/>
    <mergeCell ref="KR120:KS120"/>
    <mergeCell ref="KT120:KU120"/>
    <mergeCell ref="KV120:KW120"/>
    <mergeCell ref="KX120:KY120"/>
    <mergeCell ref="KZ120:LA120"/>
    <mergeCell ref="LB120:LC120"/>
    <mergeCell ref="LD120:LE120"/>
    <mergeCell ref="LF120:LG120"/>
    <mergeCell ref="LH120:LI120"/>
    <mergeCell ref="LJ120:LK120"/>
    <mergeCell ref="LL120:LM120"/>
    <mergeCell ref="LN120:LO120"/>
    <mergeCell ref="LP120:LQ120"/>
    <mergeCell ref="LR120:LS120"/>
    <mergeCell ref="LT120:LU120"/>
    <mergeCell ref="LV120:LW120"/>
    <mergeCell ref="LX120:LY120"/>
    <mergeCell ref="LZ120:MA120"/>
    <mergeCell ref="MB120:MC120"/>
    <mergeCell ref="MD120:ME120"/>
    <mergeCell ref="MF120:MG120"/>
    <mergeCell ref="MH120:MI120"/>
    <mergeCell ref="MJ120:MK120"/>
    <mergeCell ref="ML120:MM120"/>
    <mergeCell ref="MN120:MO120"/>
    <mergeCell ref="MP120:MQ120"/>
    <mergeCell ref="MR120:MS120"/>
    <mergeCell ref="MT120:MU120"/>
    <mergeCell ref="MV120:MW120"/>
    <mergeCell ref="MX120:MY120"/>
    <mergeCell ref="MZ120:NA120"/>
    <mergeCell ref="NB120:NC120"/>
    <mergeCell ref="ND120:NE120"/>
    <mergeCell ref="NF120:NG120"/>
    <mergeCell ref="NH120:NI120"/>
    <mergeCell ref="NJ120:NK120"/>
    <mergeCell ref="NL120:NM120"/>
    <mergeCell ref="NN120:NO120"/>
    <mergeCell ref="NP120:NQ120"/>
    <mergeCell ref="NR120:NS120"/>
    <mergeCell ref="NT120:NU120"/>
    <mergeCell ref="NV120:NW120"/>
    <mergeCell ref="NT119:NU119"/>
    <mergeCell ref="NV119:NW119"/>
    <mergeCell ref="NX119:NY119"/>
    <mergeCell ref="NZ119:OA119"/>
    <mergeCell ref="OB119:OC119"/>
    <mergeCell ref="OD119:OE119"/>
    <mergeCell ref="OF119:OG119"/>
    <mergeCell ref="OH119:OI119"/>
    <mergeCell ref="OJ119:OK119"/>
    <mergeCell ref="OL119:OM119"/>
    <mergeCell ref="ON119:OO119"/>
    <mergeCell ref="OP119:OQ119"/>
    <mergeCell ref="OR119:OS119"/>
    <mergeCell ref="OT119:OU119"/>
    <mergeCell ref="OV119:OW119"/>
    <mergeCell ref="OX119:OY119"/>
    <mergeCell ref="OZ119:PA119"/>
    <mergeCell ref="PB119:PC119"/>
    <mergeCell ref="PD119:PE119"/>
    <mergeCell ref="PF119:PG119"/>
    <mergeCell ref="PH119:PI119"/>
    <mergeCell ref="PJ119:PK119"/>
    <mergeCell ref="PL119:PM119"/>
    <mergeCell ref="PN119:PO119"/>
    <mergeCell ref="PP119:PQ119"/>
    <mergeCell ref="PR119:PS119"/>
    <mergeCell ref="PT119:PU119"/>
    <mergeCell ref="PV119:PW119"/>
    <mergeCell ref="PX119:PY119"/>
    <mergeCell ref="PZ119:QA119"/>
    <mergeCell ref="QB119:QC119"/>
    <mergeCell ref="QD119:QE119"/>
    <mergeCell ref="QF119:QG119"/>
    <mergeCell ref="QH118:QI118"/>
    <mergeCell ref="QJ118:QK118"/>
    <mergeCell ref="QL118:QM118"/>
    <mergeCell ref="QN118:QO118"/>
    <mergeCell ref="QP118:QQ118"/>
    <mergeCell ref="QR118:QS118"/>
    <mergeCell ref="QT118:QU118"/>
    <mergeCell ref="QV118:QW118"/>
    <mergeCell ref="QX118:QY118"/>
    <mergeCell ref="QZ118:RA118"/>
    <mergeCell ref="RB118:RC118"/>
    <mergeCell ref="JN119:JO119"/>
    <mergeCell ref="JP119:JQ119"/>
    <mergeCell ref="JR119:JS119"/>
    <mergeCell ref="JT119:JU119"/>
    <mergeCell ref="JV119:JW119"/>
    <mergeCell ref="JX119:JY119"/>
    <mergeCell ref="JZ119:KA119"/>
    <mergeCell ref="KB119:KC119"/>
    <mergeCell ref="KD119:KE119"/>
    <mergeCell ref="KF119:KG119"/>
    <mergeCell ref="KH119:KI119"/>
    <mergeCell ref="KJ119:KK119"/>
    <mergeCell ref="KL119:KM119"/>
    <mergeCell ref="KN119:KO119"/>
    <mergeCell ref="KP119:KQ119"/>
    <mergeCell ref="KR119:KS119"/>
    <mergeCell ref="KT119:KU119"/>
    <mergeCell ref="KV119:KW119"/>
    <mergeCell ref="KX119:KY119"/>
    <mergeCell ref="KZ119:LA119"/>
    <mergeCell ref="LB119:LC119"/>
    <mergeCell ref="LD119:LE119"/>
    <mergeCell ref="LF119:LG119"/>
    <mergeCell ref="LH119:LI119"/>
    <mergeCell ref="LJ119:LK119"/>
    <mergeCell ref="LL119:LM119"/>
    <mergeCell ref="LN119:LO119"/>
    <mergeCell ref="LP119:LQ119"/>
    <mergeCell ref="LR119:LS119"/>
    <mergeCell ref="LT119:LU119"/>
    <mergeCell ref="LV119:LW119"/>
    <mergeCell ref="LX119:LY119"/>
    <mergeCell ref="LZ119:MA119"/>
    <mergeCell ref="MB119:MC119"/>
    <mergeCell ref="MD119:ME119"/>
    <mergeCell ref="MF119:MG119"/>
    <mergeCell ref="MH119:MI119"/>
    <mergeCell ref="MJ119:MK119"/>
    <mergeCell ref="MP119:MQ119"/>
    <mergeCell ref="MR119:MS119"/>
    <mergeCell ref="MT119:MU119"/>
    <mergeCell ref="MV119:MW119"/>
    <mergeCell ref="MX119:MY119"/>
    <mergeCell ref="MZ119:NA119"/>
    <mergeCell ref="NB119:NC119"/>
    <mergeCell ref="ND119:NE119"/>
    <mergeCell ref="NF119:NG119"/>
    <mergeCell ref="NH119:NI119"/>
    <mergeCell ref="NJ119:NK119"/>
    <mergeCell ref="NL119:NM119"/>
    <mergeCell ref="NN119:NO119"/>
    <mergeCell ref="NP119:NQ119"/>
    <mergeCell ref="NR119:NS119"/>
    <mergeCell ref="NT118:NU118"/>
    <mergeCell ref="NV118:NW118"/>
    <mergeCell ref="NX118:NY118"/>
    <mergeCell ref="NZ118:OA118"/>
    <mergeCell ref="OB118:OC118"/>
    <mergeCell ref="OD118:OE118"/>
    <mergeCell ref="OF118:OG118"/>
    <mergeCell ref="OH118:OI118"/>
    <mergeCell ref="OJ118:OK118"/>
    <mergeCell ref="OL118:OM118"/>
    <mergeCell ref="ON118:OO118"/>
    <mergeCell ref="OP118:OQ118"/>
    <mergeCell ref="OR118:OS118"/>
    <mergeCell ref="OT118:OU118"/>
    <mergeCell ref="OV118:OW118"/>
    <mergeCell ref="OX118:OY118"/>
    <mergeCell ref="OZ118:PA118"/>
    <mergeCell ref="PB118:PC118"/>
    <mergeCell ref="PD118:PE118"/>
    <mergeCell ref="PF118:PG118"/>
    <mergeCell ref="PH118:PI118"/>
    <mergeCell ref="PJ118:PK118"/>
    <mergeCell ref="PL118:PM118"/>
    <mergeCell ref="PN118:PO118"/>
    <mergeCell ref="PP118:PQ118"/>
    <mergeCell ref="PR118:PS118"/>
    <mergeCell ref="PT118:PU118"/>
    <mergeCell ref="PV118:PW118"/>
    <mergeCell ref="PX118:PY118"/>
    <mergeCell ref="PZ118:QA118"/>
    <mergeCell ref="QB118:QC118"/>
    <mergeCell ref="QD118:QE118"/>
    <mergeCell ref="QF118:QG118"/>
    <mergeCell ref="QL117:QM117"/>
    <mergeCell ref="QN117:QO117"/>
    <mergeCell ref="QP117:QQ117"/>
    <mergeCell ref="QR117:QS117"/>
    <mergeCell ref="QT117:QU117"/>
    <mergeCell ref="QV117:QW117"/>
    <mergeCell ref="QX117:QY117"/>
    <mergeCell ref="QZ117:RA117"/>
    <mergeCell ref="RB117:RC117"/>
    <mergeCell ref="JN118:JO118"/>
    <mergeCell ref="JP118:JQ118"/>
    <mergeCell ref="JR118:JS118"/>
    <mergeCell ref="JT118:JU118"/>
    <mergeCell ref="JV118:JW118"/>
    <mergeCell ref="JX118:JY118"/>
    <mergeCell ref="JZ118:KA118"/>
    <mergeCell ref="KB118:KC118"/>
    <mergeCell ref="KD118:KE118"/>
    <mergeCell ref="KF118:KG118"/>
    <mergeCell ref="KH118:KI118"/>
    <mergeCell ref="KJ118:KK118"/>
    <mergeCell ref="KL118:KM118"/>
    <mergeCell ref="KN118:KO118"/>
    <mergeCell ref="KP118:KQ118"/>
    <mergeCell ref="KR118:KS118"/>
    <mergeCell ref="KT118:KU118"/>
    <mergeCell ref="KV118:KW118"/>
    <mergeCell ref="KX118:KY118"/>
    <mergeCell ref="KZ118:LA118"/>
    <mergeCell ref="LB118:LC118"/>
    <mergeCell ref="LD118:LE118"/>
    <mergeCell ref="LF118:LG118"/>
    <mergeCell ref="LH118:LI118"/>
    <mergeCell ref="LJ118:LK118"/>
    <mergeCell ref="LL118:LM118"/>
    <mergeCell ref="LN118:LO118"/>
    <mergeCell ref="LP118:LQ118"/>
    <mergeCell ref="LR118:LS118"/>
    <mergeCell ref="LT118:LU118"/>
    <mergeCell ref="LV118:LW118"/>
    <mergeCell ref="LX118:LY118"/>
    <mergeCell ref="LZ118:MA118"/>
    <mergeCell ref="MB118:MC118"/>
    <mergeCell ref="MD118:ME118"/>
    <mergeCell ref="MF118:MG118"/>
    <mergeCell ref="MH118:MI118"/>
    <mergeCell ref="MJ118:MK118"/>
    <mergeCell ref="ML118:MM118"/>
    <mergeCell ref="MN118:MO118"/>
    <mergeCell ref="MP118:MQ118"/>
    <mergeCell ref="MR118:MS118"/>
    <mergeCell ref="MT118:MU118"/>
    <mergeCell ref="MV118:MW118"/>
    <mergeCell ref="MX118:MY118"/>
    <mergeCell ref="MZ118:NA118"/>
    <mergeCell ref="NB118:NC118"/>
    <mergeCell ref="ND118:NE118"/>
    <mergeCell ref="NF118:NG118"/>
    <mergeCell ref="NH118:NI118"/>
    <mergeCell ref="NJ118:NK118"/>
    <mergeCell ref="NL118:NM118"/>
    <mergeCell ref="NN118:NO118"/>
    <mergeCell ref="NP118:NQ118"/>
    <mergeCell ref="NR118:NS118"/>
    <mergeCell ref="NX117:NY117"/>
    <mergeCell ref="NZ117:OA117"/>
    <mergeCell ref="OB117:OC117"/>
    <mergeCell ref="OD117:OE117"/>
    <mergeCell ref="OF117:OG117"/>
    <mergeCell ref="OH117:OI117"/>
    <mergeCell ref="OJ117:OK117"/>
    <mergeCell ref="OL117:OM117"/>
    <mergeCell ref="ON117:OO117"/>
    <mergeCell ref="OP117:OQ117"/>
    <mergeCell ref="OR117:OS117"/>
    <mergeCell ref="OT117:OU117"/>
    <mergeCell ref="OV117:OW117"/>
    <mergeCell ref="OX117:OY117"/>
    <mergeCell ref="OZ117:PA117"/>
    <mergeCell ref="PB117:PC117"/>
    <mergeCell ref="PD117:PE117"/>
    <mergeCell ref="PF117:PG117"/>
    <mergeCell ref="PH117:PI117"/>
    <mergeCell ref="PJ117:PK117"/>
    <mergeCell ref="PL117:PM117"/>
    <mergeCell ref="PN117:PO117"/>
    <mergeCell ref="PP117:PQ117"/>
    <mergeCell ref="PR117:PS117"/>
    <mergeCell ref="PT117:PU117"/>
    <mergeCell ref="PV117:PW117"/>
    <mergeCell ref="PX117:PY117"/>
    <mergeCell ref="PZ117:QA117"/>
    <mergeCell ref="QB117:QC117"/>
    <mergeCell ref="QD117:QE117"/>
    <mergeCell ref="QF117:QG117"/>
    <mergeCell ref="QH117:QI117"/>
    <mergeCell ref="QJ117:QK117"/>
    <mergeCell ref="QH116:QI116"/>
    <mergeCell ref="QJ116:QK116"/>
    <mergeCell ref="QL116:QM116"/>
    <mergeCell ref="QN116:QO116"/>
    <mergeCell ref="QP116:QQ116"/>
    <mergeCell ref="QR116:QS116"/>
    <mergeCell ref="QT116:QU116"/>
    <mergeCell ref="QV116:QW116"/>
    <mergeCell ref="QX116:QY116"/>
    <mergeCell ref="QZ116:RA116"/>
    <mergeCell ref="RB116:RC116"/>
    <mergeCell ref="JV117:JW117"/>
    <mergeCell ref="JX117:JY117"/>
    <mergeCell ref="JZ117:KA117"/>
    <mergeCell ref="KB117:KC117"/>
    <mergeCell ref="KD117:KE117"/>
    <mergeCell ref="KF117:KG117"/>
    <mergeCell ref="KH117:KI117"/>
    <mergeCell ref="KJ117:KK117"/>
    <mergeCell ref="KL117:KM117"/>
    <mergeCell ref="KN117:KO117"/>
    <mergeCell ref="KP117:KQ117"/>
    <mergeCell ref="KR117:KS117"/>
    <mergeCell ref="KT117:KU117"/>
    <mergeCell ref="KV117:KW117"/>
    <mergeCell ref="KX117:KY117"/>
    <mergeCell ref="KZ117:LA117"/>
    <mergeCell ref="LB117:LC117"/>
    <mergeCell ref="LD117:LE117"/>
    <mergeCell ref="LF117:LG117"/>
    <mergeCell ref="LH117:LI117"/>
    <mergeCell ref="LJ117:LK117"/>
    <mergeCell ref="LL117:LM117"/>
    <mergeCell ref="LN117:LO117"/>
    <mergeCell ref="LP117:LQ117"/>
    <mergeCell ref="LR117:LS117"/>
    <mergeCell ref="LT117:LU117"/>
    <mergeCell ref="LV117:LW117"/>
    <mergeCell ref="LX117:LY117"/>
    <mergeCell ref="LZ117:MA117"/>
    <mergeCell ref="MB117:MC117"/>
    <mergeCell ref="MD117:ME117"/>
    <mergeCell ref="MF117:MG117"/>
    <mergeCell ref="MH117:MI117"/>
    <mergeCell ref="MJ117:MK117"/>
    <mergeCell ref="ML117:MM117"/>
    <mergeCell ref="MN117:MO117"/>
    <mergeCell ref="MP117:MQ117"/>
    <mergeCell ref="MR117:MS117"/>
    <mergeCell ref="MT117:MU117"/>
    <mergeCell ref="MV117:MW117"/>
    <mergeCell ref="MX117:MY117"/>
    <mergeCell ref="MZ117:NA117"/>
    <mergeCell ref="NB117:NC117"/>
    <mergeCell ref="ND117:NE117"/>
    <mergeCell ref="NF117:NG117"/>
    <mergeCell ref="NH117:NI117"/>
    <mergeCell ref="NJ117:NK117"/>
    <mergeCell ref="NL117:NM117"/>
    <mergeCell ref="NN117:NO117"/>
    <mergeCell ref="NP117:NQ117"/>
    <mergeCell ref="NR117:NS117"/>
    <mergeCell ref="NT117:NU117"/>
    <mergeCell ref="NV117:NW117"/>
    <mergeCell ref="NT116:NU116"/>
    <mergeCell ref="NV116:NW116"/>
    <mergeCell ref="NX116:NY116"/>
    <mergeCell ref="NZ116:OA116"/>
    <mergeCell ref="OB116:OC116"/>
    <mergeCell ref="OD116:OE116"/>
    <mergeCell ref="OF116:OG116"/>
    <mergeCell ref="OH116:OI116"/>
    <mergeCell ref="OJ116:OK116"/>
    <mergeCell ref="OL116:OM116"/>
    <mergeCell ref="ON116:OO116"/>
    <mergeCell ref="OP116:OQ116"/>
    <mergeCell ref="OR116:OS116"/>
    <mergeCell ref="OT116:OU116"/>
    <mergeCell ref="OV116:OW116"/>
    <mergeCell ref="OX116:OY116"/>
    <mergeCell ref="OZ116:PA116"/>
    <mergeCell ref="PB116:PC116"/>
    <mergeCell ref="PD116:PE116"/>
    <mergeCell ref="PF116:PG116"/>
    <mergeCell ref="PH116:PI116"/>
    <mergeCell ref="PJ116:PK116"/>
    <mergeCell ref="PL116:PM116"/>
    <mergeCell ref="PN116:PO116"/>
    <mergeCell ref="PP116:PQ116"/>
    <mergeCell ref="PR116:PS116"/>
    <mergeCell ref="PT116:PU116"/>
    <mergeCell ref="PV116:PW116"/>
    <mergeCell ref="PX116:PY116"/>
    <mergeCell ref="PZ116:QA116"/>
    <mergeCell ref="QB116:QC116"/>
    <mergeCell ref="QD116:QE116"/>
    <mergeCell ref="QF116:QG116"/>
    <mergeCell ref="QJ115:QK115"/>
    <mergeCell ref="QL115:QM115"/>
    <mergeCell ref="QN115:QO115"/>
    <mergeCell ref="QP115:QQ115"/>
    <mergeCell ref="QR115:QS115"/>
    <mergeCell ref="QT115:QU115"/>
    <mergeCell ref="QV115:QW115"/>
    <mergeCell ref="QX115:QY115"/>
    <mergeCell ref="QZ115:RA115"/>
    <mergeCell ref="RB115:RC115"/>
    <mergeCell ref="JN116:JO116"/>
    <mergeCell ref="JP116:JQ116"/>
    <mergeCell ref="JR116:JS116"/>
    <mergeCell ref="JT116:JU116"/>
    <mergeCell ref="JV116:JW116"/>
    <mergeCell ref="JX116:JY116"/>
    <mergeCell ref="JZ116:KA116"/>
    <mergeCell ref="KB116:KC116"/>
    <mergeCell ref="KD116:KE116"/>
    <mergeCell ref="KF116:KG116"/>
    <mergeCell ref="KH116:KI116"/>
    <mergeCell ref="KJ116:KK116"/>
    <mergeCell ref="KL116:KM116"/>
    <mergeCell ref="KN116:KO116"/>
    <mergeCell ref="KP116:KQ116"/>
    <mergeCell ref="KR116:KS116"/>
    <mergeCell ref="KT116:KU116"/>
    <mergeCell ref="KV116:KW116"/>
    <mergeCell ref="KX116:KY116"/>
    <mergeCell ref="KZ116:LA116"/>
    <mergeCell ref="LB116:LC116"/>
    <mergeCell ref="LD116:LE116"/>
    <mergeCell ref="LF116:LG116"/>
    <mergeCell ref="LH116:LI116"/>
    <mergeCell ref="LJ116:LK116"/>
    <mergeCell ref="LL116:LM116"/>
    <mergeCell ref="LN116:LO116"/>
    <mergeCell ref="LP116:LQ116"/>
    <mergeCell ref="LR116:LS116"/>
    <mergeCell ref="LT116:LU116"/>
    <mergeCell ref="LV116:LW116"/>
    <mergeCell ref="LX116:LY116"/>
    <mergeCell ref="LZ116:MA116"/>
    <mergeCell ref="MB116:MC116"/>
    <mergeCell ref="MD116:ME116"/>
    <mergeCell ref="MF116:MG116"/>
    <mergeCell ref="MH116:MI116"/>
    <mergeCell ref="MJ116:MK116"/>
    <mergeCell ref="ML116:MM116"/>
    <mergeCell ref="MN116:MO116"/>
    <mergeCell ref="MP116:MQ116"/>
    <mergeCell ref="MR116:MS116"/>
    <mergeCell ref="MT116:MU116"/>
    <mergeCell ref="MV116:MW116"/>
    <mergeCell ref="MX116:MY116"/>
    <mergeCell ref="MZ116:NA116"/>
    <mergeCell ref="NB116:NC116"/>
    <mergeCell ref="ND116:NE116"/>
    <mergeCell ref="NF116:NG116"/>
    <mergeCell ref="NH116:NI116"/>
    <mergeCell ref="NJ116:NK116"/>
    <mergeCell ref="NL116:NM116"/>
    <mergeCell ref="NN116:NO116"/>
    <mergeCell ref="NP116:NQ116"/>
    <mergeCell ref="NV115:NW115"/>
    <mergeCell ref="NX115:NY115"/>
    <mergeCell ref="NZ115:OA115"/>
    <mergeCell ref="OB115:OC115"/>
    <mergeCell ref="OD115:OE115"/>
    <mergeCell ref="OF115:OG115"/>
    <mergeCell ref="OH115:OI115"/>
    <mergeCell ref="OJ115:OK115"/>
    <mergeCell ref="OL115:OM115"/>
    <mergeCell ref="ON115:OO115"/>
    <mergeCell ref="OP115:OQ115"/>
    <mergeCell ref="OR115:OS115"/>
    <mergeCell ref="OT115:OU115"/>
    <mergeCell ref="OV115:OW115"/>
    <mergeCell ref="OX115:OY115"/>
    <mergeCell ref="OZ115:PA115"/>
    <mergeCell ref="PB115:PC115"/>
    <mergeCell ref="PD115:PE115"/>
    <mergeCell ref="PF115:PG115"/>
    <mergeCell ref="PH115:PI115"/>
    <mergeCell ref="PJ115:PK115"/>
    <mergeCell ref="PL115:PM115"/>
    <mergeCell ref="PN115:PO115"/>
    <mergeCell ref="PP115:PQ115"/>
    <mergeCell ref="PR115:PS115"/>
    <mergeCell ref="PT115:PU115"/>
    <mergeCell ref="PV115:PW115"/>
    <mergeCell ref="PX115:PY115"/>
    <mergeCell ref="PZ115:QA115"/>
    <mergeCell ref="QB115:QC115"/>
    <mergeCell ref="QD115:QE115"/>
    <mergeCell ref="QF115:QG115"/>
    <mergeCell ref="QH115:QI115"/>
    <mergeCell ref="QN114:QO114"/>
    <mergeCell ref="QP114:QQ114"/>
    <mergeCell ref="QR114:QS114"/>
    <mergeCell ref="QT114:QU114"/>
    <mergeCell ref="QV114:QW114"/>
    <mergeCell ref="QX114:QY114"/>
    <mergeCell ref="QZ114:RA114"/>
    <mergeCell ref="RB114:RC114"/>
    <mergeCell ref="JN115:JO115"/>
    <mergeCell ref="JP115:JQ115"/>
    <mergeCell ref="JR115:JS115"/>
    <mergeCell ref="JT115:JU115"/>
    <mergeCell ref="JV115:JW115"/>
    <mergeCell ref="JX115:JY115"/>
    <mergeCell ref="JZ115:KA115"/>
    <mergeCell ref="KB115:KC115"/>
    <mergeCell ref="KD115:KE115"/>
    <mergeCell ref="KF115:KG115"/>
    <mergeCell ref="KH115:KI115"/>
    <mergeCell ref="KJ115:KK115"/>
    <mergeCell ref="KL115:KM115"/>
    <mergeCell ref="KN115:KO115"/>
    <mergeCell ref="KP115:KQ115"/>
    <mergeCell ref="KR115:KS115"/>
    <mergeCell ref="KT115:KU115"/>
    <mergeCell ref="KV115:KW115"/>
    <mergeCell ref="KX115:KY115"/>
    <mergeCell ref="KZ115:LA115"/>
    <mergeCell ref="LB115:LC115"/>
    <mergeCell ref="LD115:LE115"/>
    <mergeCell ref="LF115:LG115"/>
    <mergeCell ref="LH115:LI115"/>
    <mergeCell ref="LJ115:LK115"/>
    <mergeCell ref="LL115:LM115"/>
    <mergeCell ref="LN115:LO115"/>
    <mergeCell ref="LP115:LQ115"/>
    <mergeCell ref="LR115:LS115"/>
    <mergeCell ref="LT115:LU115"/>
    <mergeCell ref="LV115:LW115"/>
    <mergeCell ref="LX115:LY115"/>
    <mergeCell ref="LZ115:MA115"/>
    <mergeCell ref="MB115:MC115"/>
    <mergeCell ref="MD115:ME115"/>
    <mergeCell ref="MF115:MG115"/>
    <mergeCell ref="MH115:MI115"/>
    <mergeCell ref="MJ115:MK115"/>
    <mergeCell ref="ML115:MM115"/>
    <mergeCell ref="MN115:MO115"/>
    <mergeCell ref="MP115:MQ115"/>
    <mergeCell ref="MR115:MS115"/>
    <mergeCell ref="MT115:MU115"/>
    <mergeCell ref="MV115:MW115"/>
    <mergeCell ref="MX115:MY115"/>
    <mergeCell ref="MZ115:NA115"/>
    <mergeCell ref="NB115:NC115"/>
    <mergeCell ref="ND115:NE115"/>
    <mergeCell ref="NF115:NG115"/>
    <mergeCell ref="NH115:NI115"/>
    <mergeCell ref="NJ115:NK115"/>
    <mergeCell ref="NL115:NM115"/>
    <mergeCell ref="NN115:NO115"/>
    <mergeCell ref="NP115:NQ115"/>
    <mergeCell ref="NR115:NS115"/>
    <mergeCell ref="NT115:NU115"/>
    <mergeCell ref="NZ114:OA114"/>
    <mergeCell ref="OB114:OC114"/>
    <mergeCell ref="OD114:OE114"/>
    <mergeCell ref="OF114:OG114"/>
    <mergeCell ref="OH114:OI114"/>
    <mergeCell ref="OJ114:OK114"/>
    <mergeCell ref="OL114:OM114"/>
    <mergeCell ref="ON114:OO114"/>
    <mergeCell ref="OP114:OQ114"/>
    <mergeCell ref="OR114:OS114"/>
    <mergeCell ref="OT114:OU114"/>
    <mergeCell ref="OV114:OW114"/>
    <mergeCell ref="OX114:OY114"/>
    <mergeCell ref="OZ114:PA114"/>
    <mergeCell ref="PB114:PC114"/>
    <mergeCell ref="PD114:PE114"/>
    <mergeCell ref="PF114:PG114"/>
    <mergeCell ref="PH114:PI114"/>
    <mergeCell ref="PJ114:PK114"/>
    <mergeCell ref="PL114:PM114"/>
    <mergeCell ref="PN114:PO114"/>
    <mergeCell ref="PP114:PQ114"/>
    <mergeCell ref="PR114:PS114"/>
    <mergeCell ref="PT114:PU114"/>
    <mergeCell ref="PV114:PW114"/>
    <mergeCell ref="PX114:PY114"/>
    <mergeCell ref="PZ114:QA114"/>
    <mergeCell ref="QB114:QC114"/>
    <mergeCell ref="QD114:QE114"/>
    <mergeCell ref="QF114:QG114"/>
    <mergeCell ref="QH114:QI114"/>
    <mergeCell ref="QJ114:QK114"/>
    <mergeCell ref="QL114:QM114"/>
    <mergeCell ref="QJ113:QK113"/>
    <mergeCell ref="QL113:QM113"/>
    <mergeCell ref="QN113:QO113"/>
    <mergeCell ref="QP113:QQ113"/>
    <mergeCell ref="QR113:QS113"/>
    <mergeCell ref="QT113:QU113"/>
    <mergeCell ref="QV113:QW113"/>
    <mergeCell ref="QX113:QY113"/>
    <mergeCell ref="QZ113:RA113"/>
    <mergeCell ref="RB113:RC113"/>
    <mergeCell ref="JV114:JW114"/>
    <mergeCell ref="JX114:JY114"/>
    <mergeCell ref="JZ114:KA114"/>
    <mergeCell ref="KB114:KC114"/>
    <mergeCell ref="KD114:KE114"/>
    <mergeCell ref="KF114:KG114"/>
    <mergeCell ref="KH114:KI114"/>
    <mergeCell ref="KJ114:KK114"/>
    <mergeCell ref="KL114:KM114"/>
    <mergeCell ref="KN114:KO114"/>
    <mergeCell ref="KP114:KQ114"/>
    <mergeCell ref="KR114:KS114"/>
    <mergeCell ref="KT114:KU114"/>
    <mergeCell ref="KV114:KW114"/>
    <mergeCell ref="KX114:KY114"/>
    <mergeCell ref="KZ114:LA114"/>
    <mergeCell ref="LB114:LC114"/>
    <mergeCell ref="LD114:LE114"/>
    <mergeCell ref="LF114:LG114"/>
    <mergeCell ref="LH114:LI114"/>
    <mergeCell ref="LJ114:LK114"/>
    <mergeCell ref="LL114:LM114"/>
    <mergeCell ref="LN114:LO114"/>
    <mergeCell ref="LP114:LQ114"/>
    <mergeCell ref="LR114:LS114"/>
    <mergeCell ref="LT114:LU114"/>
    <mergeCell ref="LV114:LW114"/>
    <mergeCell ref="LX114:LY114"/>
    <mergeCell ref="LZ114:MA114"/>
    <mergeCell ref="MB114:MC114"/>
    <mergeCell ref="MD114:ME114"/>
    <mergeCell ref="MF114:MG114"/>
    <mergeCell ref="MH114:MI114"/>
    <mergeCell ref="MJ114:MK114"/>
    <mergeCell ref="ML114:MM114"/>
    <mergeCell ref="MN114:MO114"/>
    <mergeCell ref="MP114:MQ114"/>
    <mergeCell ref="MR114:MS114"/>
    <mergeCell ref="MT114:MU114"/>
    <mergeCell ref="MV114:MW114"/>
    <mergeCell ref="MX114:MY114"/>
    <mergeCell ref="MZ114:NA114"/>
    <mergeCell ref="NB114:NC114"/>
    <mergeCell ref="ND114:NE114"/>
    <mergeCell ref="NF114:NG114"/>
    <mergeCell ref="NH114:NI114"/>
    <mergeCell ref="NJ114:NK114"/>
    <mergeCell ref="NL114:NM114"/>
    <mergeCell ref="NN114:NO114"/>
    <mergeCell ref="NP114:NQ114"/>
    <mergeCell ref="NR114:NS114"/>
    <mergeCell ref="NT114:NU114"/>
    <mergeCell ref="NV114:NW114"/>
    <mergeCell ref="NX114:NY114"/>
    <mergeCell ref="NV113:NW113"/>
    <mergeCell ref="NX113:NY113"/>
    <mergeCell ref="NZ113:OA113"/>
    <mergeCell ref="OB113:OC113"/>
    <mergeCell ref="OD113:OE113"/>
    <mergeCell ref="OF113:OG113"/>
    <mergeCell ref="OH113:OI113"/>
    <mergeCell ref="OJ113:OK113"/>
    <mergeCell ref="OL113:OM113"/>
    <mergeCell ref="ON113:OO113"/>
    <mergeCell ref="OP113:OQ113"/>
    <mergeCell ref="OR113:OS113"/>
    <mergeCell ref="OT113:OU113"/>
    <mergeCell ref="OV113:OW113"/>
    <mergeCell ref="OX113:OY113"/>
    <mergeCell ref="OZ113:PA113"/>
    <mergeCell ref="PB113:PC113"/>
    <mergeCell ref="PD113:PE113"/>
    <mergeCell ref="PF113:PG113"/>
    <mergeCell ref="PH113:PI113"/>
    <mergeCell ref="PJ113:PK113"/>
    <mergeCell ref="PL113:PM113"/>
    <mergeCell ref="PN113:PO113"/>
    <mergeCell ref="PP113:PQ113"/>
    <mergeCell ref="PR113:PS113"/>
    <mergeCell ref="PT113:PU113"/>
    <mergeCell ref="PV113:PW113"/>
    <mergeCell ref="PX113:PY113"/>
    <mergeCell ref="PZ113:QA113"/>
    <mergeCell ref="QB113:QC113"/>
    <mergeCell ref="QD113:QE113"/>
    <mergeCell ref="QF113:QG113"/>
    <mergeCell ref="QH113:QI113"/>
    <mergeCell ref="QJ112:QK112"/>
    <mergeCell ref="QL112:QM112"/>
    <mergeCell ref="QN112:QO112"/>
    <mergeCell ref="QP112:QQ112"/>
    <mergeCell ref="QR112:QS112"/>
    <mergeCell ref="QT112:QU112"/>
    <mergeCell ref="QV112:QW112"/>
    <mergeCell ref="QX112:QY112"/>
    <mergeCell ref="QZ112:RA112"/>
    <mergeCell ref="RB112:RC112"/>
    <mergeCell ref="JN113:JO113"/>
    <mergeCell ref="JP113:JQ113"/>
    <mergeCell ref="JR113:JS113"/>
    <mergeCell ref="JT113:JU113"/>
    <mergeCell ref="JV113:JW113"/>
    <mergeCell ref="JX113:JY113"/>
    <mergeCell ref="JZ113:KA113"/>
    <mergeCell ref="KB113:KC113"/>
    <mergeCell ref="KD113:KE113"/>
    <mergeCell ref="KF113:KG113"/>
    <mergeCell ref="KH113:KI113"/>
    <mergeCell ref="KJ113:KK113"/>
    <mergeCell ref="KL113:KM113"/>
    <mergeCell ref="KN113:KO113"/>
    <mergeCell ref="KP113:KQ113"/>
    <mergeCell ref="KR113:KS113"/>
    <mergeCell ref="KT113:KU113"/>
    <mergeCell ref="KV113:KW113"/>
    <mergeCell ref="KX113:KY113"/>
    <mergeCell ref="KZ113:LA113"/>
    <mergeCell ref="LB113:LC113"/>
    <mergeCell ref="LD113:LE113"/>
    <mergeCell ref="LF113:LG113"/>
    <mergeCell ref="LH113:LI113"/>
    <mergeCell ref="LJ113:LK113"/>
    <mergeCell ref="LL113:LM113"/>
    <mergeCell ref="LN113:LO113"/>
    <mergeCell ref="LP113:LQ113"/>
    <mergeCell ref="LR113:LS113"/>
    <mergeCell ref="LT113:LU113"/>
    <mergeCell ref="LV113:LW113"/>
    <mergeCell ref="LX113:LY113"/>
    <mergeCell ref="LZ113:MA113"/>
    <mergeCell ref="MB113:MC113"/>
    <mergeCell ref="MD113:ME113"/>
    <mergeCell ref="MF113:MG113"/>
    <mergeCell ref="MH113:MI113"/>
    <mergeCell ref="MJ113:MK113"/>
    <mergeCell ref="ML113:MM113"/>
    <mergeCell ref="MN113:MO113"/>
    <mergeCell ref="MP113:MQ113"/>
    <mergeCell ref="MR113:MS113"/>
    <mergeCell ref="MT113:MU113"/>
    <mergeCell ref="MV113:MW113"/>
    <mergeCell ref="MX113:MY113"/>
    <mergeCell ref="MZ113:NA113"/>
    <mergeCell ref="NB113:NC113"/>
    <mergeCell ref="ND113:NE113"/>
    <mergeCell ref="NF113:NG113"/>
    <mergeCell ref="NH113:NI113"/>
    <mergeCell ref="NJ113:NK113"/>
    <mergeCell ref="NL113:NM113"/>
    <mergeCell ref="NN113:NO113"/>
    <mergeCell ref="NP113:NQ113"/>
    <mergeCell ref="NV112:NW112"/>
    <mergeCell ref="NX112:NY112"/>
    <mergeCell ref="NZ112:OA112"/>
    <mergeCell ref="OB112:OC112"/>
    <mergeCell ref="OD112:OE112"/>
    <mergeCell ref="OF112:OG112"/>
    <mergeCell ref="OH112:OI112"/>
    <mergeCell ref="OJ112:OK112"/>
    <mergeCell ref="OL112:OM112"/>
    <mergeCell ref="ON112:OO112"/>
    <mergeCell ref="OP112:OQ112"/>
    <mergeCell ref="OR112:OS112"/>
    <mergeCell ref="OT112:OU112"/>
    <mergeCell ref="OV112:OW112"/>
    <mergeCell ref="OX112:OY112"/>
    <mergeCell ref="OZ112:PA112"/>
    <mergeCell ref="PB112:PC112"/>
    <mergeCell ref="PD112:PE112"/>
    <mergeCell ref="PF112:PG112"/>
    <mergeCell ref="PH112:PI112"/>
    <mergeCell ref="PJ112:PK112"/>
    <mergeCell ref="PL112:PM112"/>
    <mergeCell ref="PN112:PO112"/>
    <mergeCell ref="PP112:PQ112"/>
    <mergeCell ref="PR112:PS112"/>
    <mergeCell ref="PT112:PU112"/>
    <mergeCell ref="PV112:PW112"/>
    <mergeCell ref="PX112:PY112"/>
    <mergeCell ref="PZ112:QA112"/>
    <mergeCell ref="QB112:QC112"/>
    <mergeCell ref="QD112:QE112"/>
    <mergeCell ref="QF112:QG112"/>
    <mergeCell ref="QH112:QI112"/>
    <mergeCell ref="PB111:PC111"/>
    <mergeCell ref="PD111:PE111"/>
    <mergeCell ref="PF111:PG111"/>
    <mergeCell ref="PH111:PI111"/>
    <mergeCell ref="PJ111:PK111"/>
    <mergeCell ref="PL111:PM111"/>
    <mergeCell ref="PN111:PO111"/>
    <mergeCell ref="PP111:PQ111"/>
    <mergeCell ref="PR111:PS111"/>
    <mergeCell ref="PT111:PU111"/>
    <mergeCell ref="PV111:PW111"/>
    <mergeCell ref="PX111:PY111"/>
    <mergeCell ref="PZ111:QA111"/>
    <mergeCell ref="QB111:QC111"/>
    <mergeCell ref="QD111:QE111"/>
    <mergeCell ref="QF111:QG111"/>
    <mergeCell ref="QH111:QI111"/>
    <mergeCell ref="QJ111:QK111"/>
    <mergeCell ref="QL111:QM111"/>
    <mergeCell ref="QN111:QO111"/>
    <mergeCell ref="QP111:QQ111"/>
    <mergeCell ref="QR111:QS111"/>
    <mergeCell ref="QT111:QU111"/>
    <mergeCell ref="QV111:QW111"/>
    <mergeCell ref="QX111:QY111"/>
    <mergeCell ref="QZ111:RA111"/>
    <mergeCell ref="RB111:RC111"/>
    <mergeCell ref="JN112:JO112"/>
    <mergeCell ref="JP112:JQ112"/>
    <mergeCell ref="JR112:JS112"/>
    <mergeCell ref="JT112:JU112"/>
    <mergeCell ref="JV112:JW112"/>
    <mergeCell ref="JX112:JY112"/>
    <mergeCell ref="JZ112:KA112"/>
    <mergeCell ref="KB112:KC112"/>
    <mergeCell ref="KD112:KE112"/>
    <mergeCell ref="KF112:KG112"/>
    <mergeCell ref="KH112:KI112"/>
    <mergeCell ref="KJ112:KK112"/>
    <mergeCell ref="KL112:KM112"/>
    <mergeCell ref="KN112:KO112"/>
    <mergeCell ref="KP112:KQ112"/>
    <mergeCell ref="KR112:KS112"/>
    <mergeCell ref="KT112:KU112"/>
    <mergeCell ref="KV112:KW112"/>
    <mergeCell ref="KX112:KY112"/>
    <mergeCell ref="KZ112:LA112"/>
    <mergeCell ref="LB112:LC112"/>
    <mergeCell ref="LD112:LE112"/>
    <mergeCell ref="LF112:LG112"/>
    <mergeCell ref="LH112:LI112"/>
    <mergeCell ref="LJ112:LK112"/>
    <mergeCell ref="LL112:LM112"/>
    <mergeCell ref="LN112:LO112"/>
    <mergeCell ref="LP112:LQ112"/>
    <mergeCell ref="LR112:LS112"/>
    <mergeCell ref="LT112:LU112"/>
    <mergeCell ref="LV112:LW112"/>
    <mergeCell ref="LX112:LY112"/>
    <mergeCell ref="LZ112:MA112"/>
    <mergeCell ref="MB112:MC112"/>
    <mergeCell ref="MD112:ME112"/>
    <mergeCell ref="MF112:MG112"/>
    <mergeCell ref="MH112:MI112"/>
    <mergeCell ref="QL91:QM91"/>
    <mergeCell ref="QN91:QO91"/>
    <mergeCell ref="QP91:QQ91"/>
    <mergeCell ref="QR91:QS91"/>
    <mergeCell ref="QT91:QU91"/>
    <mergeCell ref="QV91:QW91"/>
    <mergeCell ref="QX91:QY91"/>
    <mergeCell ref="QZ91:RA91"/>
    <mergeCell ref="RB91:RC91"/>
    <mergeCell ref="JV111:JW111"/>
    <mergeCell ref="JX111:JY111"/>
    <mergeCell ref="JZ111:KA111"/>
    <mergeCell ref="KB111:KC111"/>
    <mergeCell ref="KD111:KE111"/>
    <mergeCell ref="KF111:KG111"/>
    <mergeCell ref="KH111:KI111"/>
    <mergeCell ref="KJ111:KK111"/>
    <mergeCell ref="KL111:KM111"/>
    <mergeCell ref="KN111:KO111"/>
    <mergeCell ref="KP111:KQ111"/>
    <mergeCell ref="KR111:KS111"/>
    <mergeCell ref="KT111:KU111"/>
    <mergeCell ref="KV111:KW111"/>
    <mergeCell ref="KX111:KY111"/>
    <mergeCell ref="KZ111:LA111"/>
    <mergeCell ref="LB111:LC111"/>
    <mergeCell ref="LD111:LE111"/>
    <mergeCell ref="LF111:LG111"/>
    <mergeCell ref="LH111:LI111"/>
    <mergeCell ref="LJ111:LK111"/>
    <mergeCell ref="LL111:LM111"/>
    <mergeCell ref="LN111:LO111"/>
    <mergeCell ref="LP111:LQ111"/>
    <mergeCell ref="LR111:LS111"/>
    <mergeCell ref="LT111:LU111"/>
    <mergeCell ref="LV111:LW111"/>
    <mergeCell ref="LX111:LY111"/>
    <mergeCell ref="LZ111:MA111"/>
    <mergeCell ref="MB111:MC111"/>
    <mergeCell ref="MD111:ME111"/>
    <mergeCell ref="MF111:MG111"/>
    <mergeCell ref="MH111:MI111"/>
    <mergeCell ref="MJ111:MK111"/>
    <mergeCell ref="ML111:MM111"/>
    <mergeCell ref="MN111:MO111"/>
    <mergeCell ref="MR111:MS111"/>
    <mergeCell ref="MT111:MU111"/>
    <mergeCell ref="MV111:MW111"/>
    <mergeCell ref="MX111:MY111"/>
    <mergeCell ref="MZ111:NA111"/>
    <mergeCell ref="NB111:NC111"/>
    <mergeCell ref="ND111:NE111"/>
    <mergeCell ref="NF111:NG111"/>
    <mergeCell ref="NH111:NI111"/>
    <mergeCell ref="NJ111:NK111"/>
    <mergeCell ref="NL111:NM111"/>
    <mergeCell ref="NN111:NO111"/>
    <mergeCell ref="NP111:NQ111"/>
    <mergeCell ref="NR111:NS111"/>
    <mergeCell ref="NT111:NU111"/>
    <mergeCell ref="NV111:NW111"/>
    <mergeCell ref="NX111:NY111"/>
    <mergeCell ref="NZ111:OA111"/>
    <mergeCell ref="OB111:OC111"/>
    <mergeCell ref="NX91:NY91"/>
    <mergeCell ref="NZ91:OA91"/>
    <mergeCell ref="OB91:OC91"/>
    <mergeCell ref="OD91:OE91"/>
    <mergeCell ref="OF91:OG91"/>
    <mergeCell ref="OH91:OI91"/>
    <mergeCell ref="OJ91:OK91"/>
    <mergeCell ref="OL91:OM91"/>
    <mergeCell ref="ON91:OO91"/>
    <mergeCell ref="OP91:OQ91"/>
    <mergeCell ref="OR91:OS91"/>
    <mergeCell ref="OT91:OU91"/>
    <mergeCell ref="OV91:OW91"/>
    <mergeCell ref="OX91:OY91"/>
    <mergeCell ref="OZ91:PA91"/>
    <mergeCell ref="PB91:PC91"/>
    <mergeCell ref="PD91:PE91"/>
    <mergeCell ref="PF91:PG91"/>
    <mergeCell ref="PH91:PI91"/>
    <mergeCell ref="PJ91:PK91"/>
    <mergeCell ref="PL91:PM91"/>
    <mergeCell ref="PN91:PO91"/>
    <mergeCell ref="PP91:PQ91"/>
    <mergeCell ref="PR91:PS91"/>
    <mergeCell ref="PT91:PU91"/>
    <mergeCell ref="PV91:PW91"/>
    <mergeCell ref="PX91:PY91"/>
    <mergeCell ref="PZ91:QA91"/>
    <mergeCell ref="QB91:QC91"/>
    <mergeCell ref="QD91:QE91"/>
    <mergeCell ref="QF91:QG91"/>
    <mergeCell ref="QH91:QI91"/>
    <mergeCell ref="QJ91:QK91"/>
    <mergeCell ref="PF88:PG88"/>
    <mergeCell ref="PH88:PI88"/>
    <mergeCell ref="PJ88:PK88"/>
    <mergeCell ref="PL88:PM88"/>
    <mergeCell ref="PN88:PO88"/>
    <mergeCell ref="PP88:PQ88"/>
    <mergeCell ref="PR88:PS88"/>
    <mergeCell ref="JN91:JO91"/>
    <mergeCell ref="JP91:JQ91"/>
    <mergeCell ref="JR91:JS91"/>
    <mergeCell ref="JT91:JU91"/>
    <mergeCell ref="JV91:JW91"/>
    <mergeCell ref="JX91:JY91"/>
    <mergeCell ref="JZ91:KA91"/>
    <mergeCell ref="KB91:KC91"/>
    <mergeCell ref="KD91:KE91"/>
    <mergeCell ref="KF91:KG91"/>
    <mergeCell ref="KH91:KI91"/>
    <mergeCell ref="KJ91:KK91"/>
    <mergeCell ref="KL91:KM91"/>
    <mergeCell ref="KN91:KO91"/>
    <mergeCell ref="KP91:KQ91"/>
    <mergeCell ref="KR91:KS91"/>
    <mergeCell ref="KT91:KU91"/>
    <mergeCell ref="KV91:KW91"/>
    <mergeCell ref="KX91:KY91"/>
    <mergeCell ref="KZ91:LA91"/>
    <mergeCell ref="LB91:LC91"/>
    <mergeCell ref="LD91:LE91"/>
    <mergeCell ref="LF91:LG91"/>
    <mergeCell ref="LH91:LI91"/>
    <mergeCell ref="LJ91:LK91"/>
    <mergeCell ref="LL91:LM91"/>
    <mergeCell ref="LN91:LO91"/>
    <mergeCell ref="LP91:LQ91"/>
    <mergeCell ref="LR91:LS91"/>
    <mergeCell ref="LT91:LU91"/>
    <mergeCell ref="LV91:LW91"/>
    <mergeCell ref="LX91:LY91"/>
    <mergeCell ref="LZ91:MA91"/>
    <mergeCell ref="MB91:MC91"/>
    <mergeCell ref="MD91:ME91"/>
    <mergeCell ref="MF91:MG91"/>
    <mergeCell ref="MH91:MI91"/>
    <mergeCell ref="MJ91:MK91"/>
    <mergeCell ref="ML91:MM91"/>
    <mergeCell ref="MN91:MO91"/>
    <mergeCell ref="MP91:MQ91"/>
    <mergeCell ref="MR91:MS91"/>
    <mergeCell ref="MT91:MU91"/>
    <mergeCell ref="MV91:MW91"/>
    <mergeCell ref="MX91:MY91"/>
    <mergeCell ref="MZ91:NA91"/>
    <mergeCell ref="NB91:NC91"/>
    <mergeCell ref="ND91:NE91"/>
    <mergeCell ref="NF91:NG91"/>
    <mergeCell ref="NH91:NI91"/>
    <mergeCell ref="NJ91:NK91"/>
    <mergeCell ref="NL91:NM91"/>
    <mergeCell ref="NN91:NO91"/>
    <mergeCell ref="NP91:NQ91"/>
    <mergeCell ref="NR91:NS91"/>
    <mergeCell ref="NT91:NU91"/>
    <mergeCell ref="NV91:NW91"/>
    <mergeCell ref="QV88:QW88"/>
    <mergeCell ref="QX88:QY88"/>
    <mergeCell ref="QZ88:RA88"/>
    <mergeCell ref="RB88:RC88"/>
    <mergeCell ref="QP89:QQ89"/>
    <mergeCell ref="KR88:KS88"/>
    <mergeCell ref="KT88:KU88"/>
    <mergeCell ref="KV88:KW88"/>
    <mergeCell ref="KX88:KY88"/>
    <mergeCell ref="KZ88:LA88"/>
    <mergeCell ref="LB88:LC88"/>
    <mergeCell ref="LD88:LE88"/>
    <mergeCell ref="LF88:LG88"/>
    <mergeCell ref="LH88:LI88"/>
    <mergeCell ref="LJ88:LK88"/>
    <mergeCell ref="LL88:LM88"/>
    <mergeCell ref="LN88:LO88"/>
    <mergeCell ref="LP88:LQ88"/>
    <mergeCell ref="LR88:LS88"/>
    <mergeCell ref="LT88:LU88"/>
    <mergeCell ref="LV88:LW88"/>
    <mergeCell ref="LX88:LY88"/>
    <mergeCell ref="LZ88:MA88"/>
    <mergeCell ref="MB88:MC88"/>
    <mergeCell ref="MD88:ME88"/>
    <mergeCell ref="MF88:MG88"/>
    <mergeCell ref="MH88:MI88"/>
    <mergeCell ref="MJ88:MK88"/>
    <mergeCell ref="ML88:MM88"/>
    <mergeCell ref="MN88:MO88"/>
    <mergeCell ref="MP88:MQ88"/>
    <mergeCell ref="MR88:MS88"/>
    <mergeCell ref="MT88:MU88"/>
    <mergeCell ref="MV88:MW88"/>
    <mergeCell ref="MX88:MY88"/>
    <mergeCell ref="MZ88:NA88"/>
    <mergeCell ref="NB88:NC88"/>
    <mergeCell ref="ND88:NE88"/>
    <mergeCell ref="NF88:NG88"/>
    <mergeCell ref="NH88:NI88"/>
    <mergeCell ref="NJ88:NK88"/>
    <mergeCell ref="NL88:NM88"/>
    <mergeCell ref="NN88:NO88"/>
    <mergeCell ref="NP88:NQ88"/>
    <mergeCell ref="NR88:NS88"/>
    <mergeCell ref="NT88:NU88"/>
    <mergeCell ref="NV88:NW88"/>
    <mergeCell ref="NX88:NY88"/>
    <mergeCell ref="NZ88:OA88"/>
    <mergeCell ref="OB88:OC88"/>
    <mergeCell ref="OD88:OE88"/>
    <mergeCell ref="OF88:OG88"/>
    <mergeCell ref="OH88:OI88"/>
    <mergeCell ref="OJ88:OK88"/>
    <mergeCell ref="OL88:OM88"/>
    <mergeCell ref="ON88:OO88"/>
    <mergeCell ref="OP88:OQ88"/>
    <mergeCell ref="OR88:OS88"/>
    <mergeCell ref="OT88:OU88"/>
    <mergeCell ref="OV88:OW88"/>
    <mergeCell ref="OX88:OY88"/>
    <mergeCell ref="OZ88:PA88"/>
    <mergeCell ref="PB88:PC88"/>
    <mergeCell ref="PD88:PE88"/>
    <mergeCell ref="PF86:PG86"/>
    <mergeCell ref="PH86:PI86"/>
    <mergeCell ref="PJ86:PK86"/>
    <mergeCell ref="PL86:PM86"/>
    <mergeCell ref="PN86:PO86"/>
    <mergeCell ref="PP86:PQ86"/>
    <mergeCell ref="PR86:PS86"/>
    <mergeCell ref="PT86:PU86"/>
    <mergeCell ref="PV86:PW86"/>
    <mergeCell ref="PX86:PY86"/>
    <mergeCell ref="PZ86:QA86"/>
    <mergeCell ref="QB86:QC86"/>
    <mergeCell ref="QD86:QE86"/>
    <mergeCell ref="QF86:QG86"/>
    <mergeCell ref="QH86:QI86"/>
    <mergeCell ref="QJ86:QK86"/>
    <mergeCell ref="QL86:QM86"/>
    <mergeCell ref="QN86:QO86"/>
    <mergeCell ref="QP86:QQ86"/>
    <mergeCell ref="QR86:QS86"/>
    <mergeCell ref="QT86:QU86"/>
    <mergeCell ref="QV86:QW86"/>
    <mergeCell ref="QX86:QY86"/>
    <mergeCell ref="QZ86:RA86"/>
    <mergeCell ref="RB86:RC86"/>
    <mergeCell ref="PT88:PU88"/>
    <mergeCell ref="PV88:PW88"/>
    <mergeCell ref="PX88:PY88"/>
    <mergeCell ref="PZ88:QA88"/>
    <mergeCell ref="QB88:QC88"/>
    <mergeCell ref="QD88:QE88"/>
    <mergeCell ref="QF88:QG88"/>
    <mergeCell ref="QH88:QI88"/>
    <mergeCell ref="QJ88:QK88"/>
    <mergeCell ref="QL88:QM88"/>
    <mergeCell ref="QN88:QO88"/>
    <mergeCell ref="PF87:PG87"/>
    <mergeCell ref="PH87:PI87"/>
    <mergeCell ref="PJ87:PK87"/>
    <mergeCell ref="PL87:PM87"/>
    <mergeCell ref="PN87:PO87"/>
    <mergeCell ref="PP87:PQ87"/>
    <mergeCell ref="PR87:PS87"/>
    <mergeCell ref="PT87:PU87"/>
    <mergeCell ref="PV87:PW87"/>
    <mergeCell ref="PX87:PY87"/>
    <mergeCell ref="PZ87:QA87"/>
    <mergeCell ref="QB87:QC87"/>
    <mergeCell ref="QD87:QE87"/>
    <mergeCell ref="QF87:QG87"/>
    <mergeCell ref="QH87:QI87"/>
    <mergeCell ref="QJ87:QK87"/>
    <mergeCell ref="QL87:QM87"/>
    <mergeCell ref="QN87:QO87"/>
    <mergeCell ref="QP87:QQ87"/>
    <mergeCell ref="QR87:QS87"/>
    <mergeCell ref="QT87:QU87"/>
    <mergeCell ref="QV87:QW87"/>
    <mergeCell ref="QX87:QY87"/>
    <mergeCell ref="QZ87:RA87"/>
    <mergeCell ref="RB87:RC87"/>
    <mergeCell ref="QP88:QQ88"/>
    <mergeCell ref="QR88:QS88"/>
    <mergeCell ref="QT88:QU88"/>
    <mergeCell ref="MN86:MO86"/>
    <mergeCell ref="MP86:MQ86"/>
    <mergeCell ref="MR86:MS86"/>
    <mergeCell ref="MT86:MU86"/>
    <mergeCell ref="MV86:MW86"/>
    <mergeCell ref="MX86:MY86"/>
    <mergeCell ref="ND86:NE86"/>
    <mergeCell ref="NF86:NG86"/>
    <mergeCell ref="NH86:NI86"/>
    <mergeCell ref="NJ86:NK86"/>
    <mergeCell ref="NL86:NM86"/>
    <mergeCell ref="NN86:NO86"/>
    <mergeCell ref="NP86:NQ86"/>
    <mergeCell ref="NR86:NS86"/>
    <mergeCell ref="NT86:NU86"/>
    <mergeCell ref="NV86:NW86"/>
    <mergeCell ref="NX86:NY86"/>
    <mergeCell ref="NZ86:OA86"/>
    <mergeCell ref="OB86:OC86"/>
    <mergeCell ref="OD86:OE86"/>
    <mergeCell ref="OF86:OG86"/>
    <mergeCell ref="OH86:OI86"/>
    <mergeCell ref="OJ86:OK86"/>
    <mergeCell ref="OL86:OM86"/>
    <mergeCell ref="ON86:OO86"/>
    <mergeCell ref="OP86:OQ86"/>
    <mergeCell ref="OR86:OS86"/>
    <mergeCell ref="OT86:OU86"/>
    <mergeCell ref="OV86:OW86"/>
    <mergeCell ref="OX86:OY86"/>
    <mergeCell ref="OZ86:PA86"/>
    <mergeCell ref="PB86:PC86"/>
    <mergeCell ref="PD86:PE86"/>
    <mergeCell ref="MZ86:NA86"/>
    <mergeCell ref="NB86:NC86"/>
    <mergeCell ref="JN86:JO86"/>
    <mergeCell ref="JP86:JQ86"/>
    <mergeCell ref="JR86:JS86"/>
    <mergeCell ref="JT86:JU86"/>
    <mergeCell ref="JV86:JW86"/>
    <mergeCell ref="JX86:JY86"/>
    <mergeCell ref="JZ86:KA86"/>
    <mergeCell ref="KB86:KC86"/>
    <mergeCell ref="KD86:KE86"/>
    <mergeCell ref="KF86:KG86"/>
    <mergeCell ref="KH86:KI86"/>
    <mergeCell ref="KJ86:KK86"/>
    <mergeCell ref="KL86:KM86"/>
    <mergeCell ref="KN86:KO86"/>
    <mergeCell ref="KP86:KQ86"/>
    <mergeCell ref="KR86:KS86"/>
    <mergeCell ref="KT86:KU86"/>
    <mergeCell ref="KV86:KW86"/>
    <mergeCell ref="KX86:KY86"/>
    <mergeCell ref="KZ86:LA86"/>
    <mergeCell ref="LB86:LC86"/>
    <mergeCell ref="LD86:LE86"/>
    <mergeCell ref="LF86:LG86"/>
    <mergeCell ref="LH86:LI86"/>
    <mergeCell ref="LJ86:LK86"/>
    <mergeCell ref="LL86:LM86"/>
    <mergeCell ref="LN86:LO86"/>
    <mergeCell ref="LP86:LQ86"/>
    <mergeCell ref="LR86:LS86"/>
    <mergeCell ref="LT86:LU86"/>
    <mergeCell ref="LV86:LW86"/>
    <mergeCell ref="LX86:LY86"/>
    <mergeCell ref="LZ86:MA86"/>
    <mergeCell ref="MN87:MO87"/>
    <mergeCell ref="MP87:MQ87"/>
    <mergeCell ref="MR87:MS87"/>
    <mergeCell ref="MT87:MU87"/>
    <mergeCell ref="MV87:MW87"/>
    <mergeCell ref="MX87:MY87"/>
    <mergeCell ref="ND87:NE87"/>
    <mergeCell ref="NF87:NG87"/>
    <mergeCell ref="NH87:NI87"/>
    <mergeCell ref="NJ87:NK87"/>
    <mergeCell ref="NL87:NM87"/>
    <mergeCell ref="NN87:NO87"/>
    <mergeCell ref="NP87:NQ87"/>
    <mergeCell ref="NR87:NS87"/>
    <mergeCell ref="NT87:NU87"/>
    <mergeCell ref="NV87:NW87"/>
    <mergeCell ref="NX87:NY87"/>
    <mergeCell ref="NZ87:OA87"/>
    <mergeCell ref="OB87:OC87"/>
    <mergeCell ref="OD87:OE87"/>
    <mergeCell ref="OF87:OG87"/>
    <mergeCell ref="OH87:OI87"/>
    <mergeCell ref="OJ87:OK87"/>
    <mergeCell ref="OL87:OM87"/>
    <mergeCell ref="ON87:OO87"/>
    <mergeCell ref="OP87:OQ87"/>
    <mergeCell ref="OR87:OS87"/>
    <mergeCell ref="MB87:MC87"/>
    <mergeCell ref="MD87:ME87"/>
    <mergeCell ref="MF87:MG87"/>
    <mergeCell ref="MH87:MI87"/>
    <mergeCell ref="MJ87:MK87"/>
    <mergeCell ref="ML87:MM87"/>
    <mergeCell ref="PF85:PG85"/>
    <mergeCell ref="PH85:PI85"/>
    <mergeCell ref="PJ85:PK85"/>
    <mergeCell ref="PL85:PM85"/>
    <mergeCell ref="PN85:PO85"/>
    <mergeCell ref="PP85:PQ85"/>
    <mergeCell ref="PR85:PS85"/>
    <mergeCell ref="PT85:PU85"/>
    <mergeCell ref="PV85:PW85"/>
    <mergeCell ref="PX85:PY85"/>
    <mergeCell ref="PZ85:QA85"/>
    <mergeCell ref="QB85:QC85"/>
    <mergeCell ref="QD85:QE85"/>
    <mergeCell ref="QF85:QG85"/>
    <mergeCell ref="QH85:QI85"/>
    <mergeCell ref="QJ85:QK85"/>
    <mergeCell ref="QL85:QM85"/>
    <mergeCell ref="QN85:QO85"/>
    <mergeCell ref="QP85:QQ85"/>
    <mergeCell ref="QR85:QS85"/>
    <mergeCell ref="QT85:QU85"/>
    <mergeCell ref="QV85:QW85"/>
    <mergeCell ref="QX85:QY85"/>
    <mergeCell ref="QZ85:RA85"/>
    <mergeCell ref="RB85:RC85"/>
    <mergeCell ref="JN87:JO87"/>
    <mergeCell ref="JP87:JQ87"/>
    <mergeCell ref="JR87:JS87"/>
    <mergeCell ref="JT87:JU87"/>
    <mergeCell ref="JV87:JW87"/>
    <mergeCell ref="JX87:JY87"/>
    <mergeCell ref="JZ87:KA87"/>
    <mergeCell ref="KB87:KC87"/>
    <mergeCell ref="KD87:KE87"/>
    <mergeCell ref="KF87:KG87"/>
    <mergeCell ref="KH87:KI87"/>
    <mergeCell ref="KJ87:KK87"/>
    <mergeCell ref="KL87:KM87"/>
    <mergeCell ref="KN87:KO87"/>
    <mergeCell ref="KP87:KQ87"/>
    <mergeCell ref="KR87:KS87"/>
    <mergeCell ref="KT87:KU87"/>
    <mergeCell ref="KV87:KW87"/>
    <mergeCell ref="KX87:KY87"/>
    <mergeCell ref="KZ87:LA87"/>
    <mergeCell ref="LB87:LC87"/>
    <mergeCell ref="LD87:LE87"/>
    <mergeCell ref="LF87:LG87"/>
    <mergeCell ref="LH87:LI87"/>
    <mergeCell ref="LJ87:LK87"/>
    <mergeCell ref="LL87:LM87"/>
    <mergeCell ref="LN87:LO87"/>
    <mergeCell ref="LP87:LQ87"/>
    <mergeCell ref="LR87:LS87"/>
    <mergeCell ref="LT87:LU87"/>
    <mergeCell ref="LV87:LW87"/>
    <mergeCell ref="LX87:LY87"/>
    <mergeCell ref="LZ87:MA87"/>
    <mergeCell ref="MB86:MC86"/>
    <mergeCell ref="MD86:ME86"/>
    <mergeCell ref="MF86:MG86"/>
    <mergeCell ref="MH86:MI86"/>
    <mergeCell ref="MJ86:MK86"/>
    <mergeCell ref="ML86:MM86"/>
    <mergeCell ref="NH85:NI85"/>
    <mergeCell ref="NJ85:NK85"/>
    <mergeCell ref="NL85:NM85"/>
    <mergeCell ref="NN85:NO85"/>
    <mergeCell ref="NP85:NQ85"/>
    <mergeCell ref="NR85:NS85"/>
    <mergeCell ref="NT85:NU85"/>
    <mergeCell ref="NV85:NW85"/>
    <mergeCell ref="NX85:NY85"/>
    <mergeCell ref="NZ85:OA85"/>
    <mergeCell ref="OB85:OC85"/>
    <mergeCell ref="OD85:OE85"/>
    <mergeCell ref="OF85:OG85"/>
    <mergeCell ref="OH85:OI85"/>
    <mergeCell ref="OJ85:OK85"/>
    <mergeCell ref="OL85:OM85"/>
    <mergeCell ref="ON85:OO85"/>
    <mergeCell ref="OP85:OQ85"/>
    <mergeCell ref="OR85:OS85"/>
    <mergeCell ref="OT85:OU85"/>
    <mergeCell ref="OV85:OW85"/>
    <mergeCell ref="OX85:OY85"/>
    <mergeCell ref="OZ85:PA85"/>
    <mergeCell ref="PB85:PC85"/>
    <mergeCell ref="PD85:PE85"/>
    <mergeCell ref="OT87:OU87"/>
    <mergeCell ref="OV87:OW87"/>
    <mergeCell ref="OX87:OY87"/>
    <mergeCell ref="OZ87:PA87"/>
    <mergeCell ref="PB87:PC87"/>
    <mergeCell ref="PD87:PE87"/>
    <mergeCell ref="MZ87:NA87"/>
    <mergeCell ref="NB87:NC87"/>
    <mergeCell ref="PV83:PW83"/>
    <mergeCell ref="PX83:PY83"/>
    <mergeCell ref="PZ83:QA83"/>
    <mergeCell ref="QB83:QC83"/>
    <mergeCell ref="QD83:QE83"/>
    <mergeCell ref="QF83:QG83"/>
    <mergeCell ref="QH83:QI83"/>
    <mergeCell ref="QJ83:QK83"/>
    <mergeCell ref="QL83:QM83"/>
    <mergeCell ref="QN83:QO83"/>
    <mergeCell ref="QP83:QQ83"/>
    <mergeCell ref="QR83:QS83"/>
    <mergeCell ref="QT83:QU83"/>
    <mergeCell ref="QV83:QW83"/>
    <mergeCell ref="QX83:QY83"/>
    <mergeCell ref="QZ83:RA83"/>
    <mergeCell ref="RB83:RC83"/>
    <mergeCell ref="JN85:JO85"/>
    <mergeCell ref="JP85:JQ85"/>
    <mergeCell ref="JR85:JS85"/>
    <mergeCell ref="JT85:JU85"/>
    <mergeCell ref="JV85:JW85"/>
    <mergeCell ref="JX85:JY85"/>
    <mergeCell ref="JZ85:KA85"/>
    <mergeCell ref="KB85:KC85"/>
    <mergeCell ref="KD85:KE85"/>
    <mergeCell ref="KF85:KG85"/>
    <mergeCell ref="KH85:KI85"/>
    <mergeCell ref="KJ85:KK85"/>
    <mergeCell ref="KL85:KM85"/>
    <mergeCell ref="KN85:KO85"/>
    <mergeCell ref="KP85:KQ85"/>
    <mergeCell ref="KR85:KS85"/>
    <mergeCell ref="KT85:KU85"/>
    <mergeCell ref="KV85:KW85"/>
    <mergeCell ref="KX85:KY85"/>
    <mergeCell ref="KZ85:LA85"/>
    <mergeCell ref="LB85:LC85"/>
    <mergeCell ref="LD85:LE85"/>
    <mergeCell ref="LF85:LG85"/>
    <mergeCell ref="LH85:LI85"/>
    <mergeCell ref="LJ85:LK85"/>
    <mergeCell ref="LL85:LM85"/>
    <mergeCell ref="LN85:LO85"/>
    <mergeCell ref="LP85:LQ85"/>
    <mergeCell ref="LR85:LS85"/>
    <mergeCell ref="LT85:LU85"/>
    <mergeCell ref="LV85:LW85"/>
    <mergeCell ref="LX85:LY85"/>
    <mergeCell ref="LZ85:MA85"/>
    <mergeCell ref="MB85:MC85"/>
    <mergeCell ref="MD85:ME85"/>
    <mergeCell ref="MF85:MG85"/>
    <mergeCell ref="MH85:MI85"/>
    <mergeCell ref="MJ85:MK85"/>
    <mergeCell ref="ML85:MM85"/>
    <mergeCell ref="MN85:MO85"/>
    <mergeCell ref="MP85:MQ85"/>
    <mergeCell ref="MR85:MS85"/>
    <mergeCell ref="MT85:MU85"/>
    <mergeCell ref="MV85:MW85"/>
    <mergeCell ref="MX85:MY85"/>
    <mergeCell ref="ND85:NE85"/>
    <mergeCell ref="NF85:NG85"/>
    <mergeCell ref="NH83:NI83"/>
    <mergeCell ref="NJ83:NK83"/>
    <mergeCell ref="NL83:NM83"/>
    <mergeCell ref="NN83:NO83"/>
    <mergeCell ref="NP83:NQ83"/>
    <mergeCell ref="NR83:NS83"/>
    <mergeCell ref="NT83:NU83"/>
    <mergeCell ref="NV83:NW83"/>
    <mergeCell ref="NX83:NY83"/>
    <mergeCell ref="NZ83:OA83"/>
    <mergeCell ref="OB83:OC83"/>
    <mergeCell ref="OD83:OE83"/>
    <mergeCell ref="OF83:OG83"/>
    <mergeCell ref="OH83:OI83"/>
    <mergeCell ref="OJ83:OK83"/>
    <mergeCell ref="OL83:OM83"/>
    <mergeCell ref="ON83:OO83"/>
    <mergeCell ref="OP83:OQ83"/>
    <mergeCell ref="OR83:OS83"/>
    <mergeCell ref="OT83:OU83"/>
    <mergeCell ref="OV83:OW83"/>
    <mergeCell ref="OX83:OY83"/>
    <mergeCell ref="OZ83:PA83"/>
    <mergeCell ref="PB83:PC83"/>
    <mergeCell ref="PD83:PE83"/>
    <mergeCell ref="PF83:PG83"/>
    <mergeCell ref="PH83:PI83"/>
    <mergeCell ref="PJ83:PK83"/>
    <mergeCell ref="PL83:PM83"/>
    <mergeCell ref="PN83:PO83"/>
    <mergeCell ref="PP83:PQ83"/>
    <mergeCell ref="PR83:PS83"/>
    <mergeCell ref="PT83:PU83"/>
    <mergeCell ref="PV82:PW82"/>
    <mergeCell ref="PX82:PY82"/>
    <mergeCell ref="PZ82:QA82"/>
    <mergeCell ref="QB82:QC82"/>
    <mergeCell ref="QD82:QE82"/>
    <mergeCell ref="QF82:QG82"/>
    <mergeCell ref="QH82:QI82"/>
    <mergeCell ref="QJ82:QK82"/>
    <mergeCell ref="QL82:QM82"/>
    <mergeCell ref="QN82:QO82"/>
    <mergeCell ref="QP82:QQ82"/>
    <mergeCell ref="QR82:QS82"/>
    <mergeCell ref="QT82:QU82"/>
    <mergeCell ref="QV82:QW82"/>
    <mergeCell ref="QX82:QY82"/>
    <mergeCell ref="QZ82:RA82"/>
    <mergeCell ref="RB82:RC82"/>
    <mergeCell ref="JN83:JO83"/>
    <mergeCell ref="JP83:JQ83"/>
    <mergeCell ref="JR83:JS83"/>
    <mergeCell ref="JT83:JU83"/>
    <mergeCell ref="JV83:JW83"/>
    <mergeCell ref="JX83:JY83"/>
    <mergeCell ref="JZ83:KA83"/>
    <mergeCell ref="KB83:KC83"/>
    <mergeCell ref="KD83:KE83"/>
    <mergeCell ref="KF83:KG83"/>
    <mergeCell ref="KH83:KI83"/>
    <mergeCell ref="KJ83:KK83"/>
    <mergeCell ref="KL83:KM83"/>
    <mergeCell ref="KN83:KO83"/>
    <mergeCell ref="KP83:KQ83"/>
    <mergeCell ref="KR83:KS83"/>
    <mergeCell ref="KT83:KU83"/>
    <mergeCell ref="KV83:KW83"/>
    <mergeCell ref="KX83:KY83"/>
    <mergeCell ref="KZ83:LA83"/>
    <mergeCell ref="LB83:LC83"/>
    <mergeCell ref="LD83:LE83"/>
    <mergeCell ref="LF83:LG83"/>
    <mergeCell ref="LH83:LI83"/>
    <mergeCell ref="LJ83:LK83"/>
    <mergeCell ref="LL83:LM83"/>
    <mergeCell ref="LN83:LO83"/>
    <mergeCell ref="LP83:LQ83"/>
    <mergeCell ref="LR83:LS83"/>
    <mergeCell ref="LT83:LU83"/>
    <mergeCell ref="LV83:LW83"/>
    <mergeCell ref="LX83:LY83"/>
    <mergeCell ref="LZ83:MA83"/>
    <mergeCell ref="MB83:MC83"/>
    <mergeCell ref="MD83:ME83"/>
    <mergeCell ref="MF83:MG83"/>
    <mergeCell ref="MH83:MI83"/>
    <mergeCell ref="MJ83:MK83"/>
    <mergeCell ref="ML83:MM83"/>
    <mergeCell ref="MN83:MO83"/>
    <mergeCell ref="MP83:MQ83"/>
    <mergeCell ref="MR83:MS83"/>
    <mergeCell ref="MT83:MU83"/>
    <mergeCell ref="MV83:MW83"/>
    <mergeCell ref="MX83:MY83"/>
    <mergeCell ref="ND83:NE83"/>
    <mergeCell ref="NF83:NG83"/>
    <mergeCell ref="NH82:NI82"/>
    <mergeCell ref="NJ82:NK82"/>
    <mergeCell ref="NL82:NM82"/>
    <mergeCell ref="NN82:NO82"/>
    <mergeCell ref="NP82:NQ82"/>
    <mergeCell ref="NR82:NS82"/>
    <mergeCell ref="NT82:NU82"/>
    <mergeCell ref="NV82:NW82"/>
    <mergeCell ref="NX82:NY82"/>
    <mergeCell ref="NZ82:OA82"/>
    <mergeCell ref="OB82:OC82"/>
    <mergeCell ref="OD82:OE82"/>
    <mergeCell ref="OF82:OG82"/>
    <mergeCell ref="OH82:OI82"/>
    <mergeCell ref="OJ82:OK82"/>
    <mergeCell ref="OL82:OM82"/>
    <mergeCell ref="ON82:OO82"/>
    <mergeCell ref="OP82:OQ82"/>
    <mergeCell ref="OR82:OS82"/>
    <mergeCell ref="OT82:OU82"/>
    <mergeCell ref="OV82:OW82"/>
    <mergeCell ref="OX82:OY82"/>
    <mergeCell ref="OZ82:PA82"/>
    <mergeCell ref="PB82:PC82"/>
    <mergeCell ref="PD82:PE82"/>
    <mergeCell ref="PF82:PG82"/>
    <mergeCell ref="PH82:PI82"/>
    <mergeCell ref="PJ82:PK82"/>
    <mergeCell ref="PL82:PM82"/>
    <mergeCell ref="PN82:PO82"/>
    <mergeCell ref="PP82:PQ82"/>
    <mergeCell ref="PR82:PS82"/>
    <mergeCell ref="PT82:PU82"/>
    <mergeCell ref="PV84:PW84"/>
    <mergeCell ref="PX84:PY84"/>
    <mergeCell ref="PZ84:QA84"/>
    <mergeCell ref="QB84:QC84"/>
    <mergeCell ref="QD84:QE84"/>
    <mergeCell ref="QF84:QG84"/>
    <mergeCell ref="QH84:QI84"/>
    <mergeCell ref="QJ84:QK84"/>
    <mergeCell ref="QL84:QM84"/>
    <mergeCell ref="QN84:QO84"/>
    <mergeCell ref="QP84:QQ84"/>
    <mergeCell ref="QR84:QS84"/>
    <mergeCell ref="QT84:QU84"/>
    <mergeCell ref="QV84:QW84"/>
    <mergeCell ref="QX84:QY84"/>
    <mergeCell ref="QZ84:RA84"/>
    <mergeCell ref="RB84:RC84"/>
    <mergeCell ref="JN82:JO82"/>
    <mergeCell ref="JP82:JQ82"/>
    <mergeCell ref="JR82:JS82"/>
    <mergeCell ref="JT82:JU82"/>
    <mergeCell ref="JV82:JW82"/>
    <mergeCell ref="JX82:JY82"/>
    <mergeCell ref="JZ82:KA82"/>
    <mergeCell ref="KB82:KC82"/>
    <mergeCell ref="KD82:KE82"/>
    <mergeCell ref="KF82:KG82"/>
    <mergeCell ref="KH82:KI82"/>
    <mergeCell ref="KJ82:KK82"/>
    <mergeCell ref="KL82:KM82"/>
    <mergeCell ref="KN82:KO82"/>
    <mergeCell ref="KP82:KQ82"/>
    <mergeCell ref="KR82:KS82"/>
    <mergeCell ref="KT82:KU82"/>
    <mergeCell ref="KV82:KW82"/>
    <mergeCell ref="KX82:KY82"/>
    <mergeCell ref="KZ82:LA82"/>
    <mergeCell ref="LB82:LC82"/>
    <mergeCell ref="LD82:LE82"/>
    <mergeCell ref="LF82:LG82"/>
    <mergeCell ref="LH82:LI82"/>
    <mergeCell ref="LJ82:LK82"/>
    <mergeCell ref="LL82:LM82"/>
    <mergeCell ref="LN82:LO82"/>
    <mergeCell ref="LP82:LQ82"/>
    <mergeCell ref="LR82:LS82"/>
    <mergeCell ref="LT82:LU82"/>
    <mergeCell ref="LV82:LW82"/>
    <mergeCell ref="LX82:LY82"/>
    <mergeCell ref="LZ82:MA82"/>
    <mergeCell ref="MB82:MC82"/>
    <mergeCell ref="MD82:ME82"/>
    <mergeCell ref="MF82:MG82"/>
    <mergeCell ref="MH82:MI82"/>
    <mergeCell ref="MJ82:MK82"/>
    <mergeCell ref="ML82:MM82"/>
    <mergeCell ref="MN82:MO82"/>
    <mergeCell ref="MP82:MQ82"/>
    <mergeCell ref="MR82:MS82"/>
    <mergeCell ref="MT82:MU82"/>
    <mergeCell ref="MV82:MW82"/>
    <mergeCell ref="MX82:MY82"/>
    <mergeCell ref="ND82:NE82"/>
    <mergeCell ref="NF82:NG82"/>
    <mergeCell ref="NH84:NI84"/>
    <mergeCell ref="NJ84:NK84"/>
    <mergeCell ref="NL84:NM84"/>
    <mergeCell ref="NN84:NO84"/>
    <mergeCell ref="NP84:NQ84"/>
    <mergeCell ref="NR84:NS84"/>
    <mergeCell ref="NT84:NU84"/>
    <mergeCell ref="NV84:NW84"/>
    <mergeCell ref="NX84:NY84"/>
    <mergeCell ref="NZ84:OA84"/>
    <mergeCell ref="OB84:OC84"/>
    <mergeCell ref="OD84:OE84"/>
    <mergeCell ref="OF84:OG84"/>
    <mergeCell ref="OH84:OI84"/>
    <mergeCell ref="OJ84:OK84"/>
    <mergeCell ref="OL84:OM84"/>
    <mergeCell ref="ON84:OO84"/>
    <mergeCell ref="OP84:OQ84"/>
    <mergeCell ref="OR84:OS84"/>
    <mergeCell ref="OT84:OU84"/>
    <mergeCell ref="OV84:OW84"/>
    <mergeCell ref="OX84:OY84"/>
    <mergeCell ref="OZ84:PA84"/>
    <mergeCell ref="PB84:PC84"/>
    <mergeCell ref="PD84:PE84"/>
    <mergeCell ref="PF84:PG84"/>
    <mergeCell ref="PH84:PI84"/>
    <mergeCell ref="PJ84:PK84"/>
    <mergeCell ref="PL84:PM84"/>
    <mergeCell ref="PN84:PO84"/>
    <mergeCell ref="PP84:PQ84"/>
    <mergeCell ref="PR84:PS84"/>
    <mergeCell ref="PT84:PU84"/>
    <mergeCell ref="PV79:PW79"/>
    <mergeCell ref="PX79:PY79"/>
    <mergeCell ref="PZ79:QA79"/>
    <mergeCell ref="QB79:QC79"/>
    <mergeCell ref="QD79:QE79"/>
    <mergeCell ref="QF79:QG79"/>
    <mergeCell ref="QH79:QI79"/>
    <mergeCell ref="QJ79:QK79"/>
    <mergeCell ref="QL79:QM79"/>
    <mergeCell ref="QN79:QO79"/>
    <mergeCell ref="QP79:QQ79"/>
    <mergeCell ref="QR79:QS79"/>
    <mergeCell ref="QT79:QU79"/>
    <mergeCell ref="QV79:QW79"/>
    <mergeCell ref="QX79:QY79"/>
    <mergeCell ref="QZ79:RA79"/>
    <mergeCell ref="RB79:RC79"/>
    <mergeCell ref="JN84:JO84"/>
    <mergeCell ref="JP84:JQ84"/>
    <mergeCell ref="JR84:JS84"/>
    <mergeCell ref="JT84:JU84"/>
    <mergeCell ref="JV84:JW84"/>
    <mergeCell ref="JX84:JY84"/>
    <mergeCell ref="JZ84:KA84"/>
    <mergeCell ref="KB84:KC84"/>
    <mergeCell ref="KD84:KE84"/>
    <mergeCell ref="KF84:KG84"/>
    <mergeCell ref="KH84:KI84"/>
    <mergeCell ref="KJ84:KK84"/>
    <mergeCell ref="KL84:KM84"/>
    <mergeCell ref="KN84:KO84"/>
    <mergeCell ref="KP84:KQ84"/>
    <mergeCell ref="KR84:KS84"/>
    <mergeCell ref="KT84:KU84"/>
    <mergeCell ref="KV84:KW84"/>
    <mergeCell ref="KX84:KY84"/>
    <mergeCell ref="KZ84:LA84"/>
    <mergeCell ref="LB84:LC84"/>
    <mergeCell ref="LD84:LE84"/>
    <mergeCell ref="LF84:LG84"/>
    <mergeCell ref="LH84:LI84"/>
    <mergeCell ref="LJ84:LK84"/>
    <mergeCell ref="LL84:LM84"/>
    <mergeCell ref="LN84:LO84"/>
    <mergeCell ref="LP84:LQ84"/>
    <mergeCell ref="LR84:LS84"/>
    <mergeCell ref="LT84:LU84"/>
    <mergeCell ref="LV84:LW84"/>
    <mergeCell ref="LX84:LY84"/>
    <mergeCell ref="LZ84:MA84"/>
    <mergeCell ref="MB84:MC84"/>
    <mergeCell ref="MD84:ME84"/>
    <mergeCell ref="MF84:MG84"/>
    <mergeCell ref="MH84:MI84"/>
    <mergeCell ref="MJ84:MK84"/>
    <mergeCell ref="ML84:MM84"/>
    <mergeCell ref="MN84:MO84"/>
    <mergeCell ref="MP84:MQ84"/>
    <mergeCell ref="MR84:MS84"/>
    <mergeCell ref="MT84:MU84"/>
    <mergeCell ref="MV84:MW84"/>
    <mergeCell ref="MX84:MY84"/>
    <mergeCell ref="ND84:NE84"/>
    <mergeCell ref="NF84:NG84"/>
    <mergeCell ref="NH79:NI79"/>
    <mergeCell ref="NJ79:NK79"/>
    <mergeCell ref="NL79:NM79"/>
    <mergeCell ref="NN79:NO79"/>
    <mergeCell ref="NP79:NQ79"/>
    <mergeCell ref="NR79:NS79"/>
    <mergeCell ref="NT79:NU79"/>
    <mergeCell ref="NV79:NW79"/>
    <mergeCell ref="NX79:NY79"/>
    <mergeCell ref="NZ79:OA79"/>
    <mergeCell ref="OB79:OC79"/>
    <mergeCell ref="OD79:OE79"/>
    <mergeCell ref="OF79:OG79"/>
    <mergeCell ref="OH79:OI79"/>
    <mergeCell ref="OJ79:OK79"/>
    <mergeCell ref="OL79:OM79"/>
    <mergeCell ref="ON79:OO79"/>
    <mergeCell ref="OP79:OQ79"/>
    <mergeCell ref="OR79:OS79"/>
    <mergeCell ref="OT79:OU79"/>
    <mergeCell ref="OV79:OW79"/>
    <mergeCell ref="OX79:OY79"/>
    <mergeCell ref="OZ79:PA79"/>
    <mergeCell ref="PB79:PC79"/>
    <mergeCell ref="PD79:PE79"/>
    <mergeCell ref="PF79:PG79"/>
    <mergeCell ref="PH79:PI79"/>
    <mergeCell ref="PJ79:PK79"/>
    <mergeCell ref="PL79:PM79"/>
    <mergeCell ref="PN79:PO79"/>
    <mergeCell ref="PP79:PQ79"/>
    <mergeCell ref="PR79:PS79"/>
    <mergeCell ref="PT79:PU79"/>
    <mergeCell ref="PV81:PW81"/>
    <mergeCell ref="PX81:PY81"/>
    <mergeCell ref="PZ81:QA81"/>
    <mergeCell ref="QB81:QC81"/>
    <mergeCell ref="QD81:QE81"/>
    <mergeCell ref="QF81:QG81"/>
    <mergeCell ref="QH81:QI81"/>
    <mergeCell ref="QJ81:QK81"/>
    <mergeCell ref="QL81:QM81"/>
    <mergeCell ref="QN81:QO81"/>
    <mergeCell ref="QP81:QQ81"/>
    <mergeCell ref="QR81:QS81"/>
    <mergeCell ref="QT81:QU81"/>
    <mergeCell ref="QV81:QW81"/>
    <mergeCell ref="QX81:QY81"/>
    <mergeCell ref="QZ81:RA81"/>
    <mergeCell ref="RB81:RC81"/>
    <mergeCell ref="JN79:JO79"/>
    <mergeCell ref="JP79:JQ79"/>
    <mergeCell ref="JR79:JS79"/>
    <mergeCell ref="JT79:JU79"/>
    <mergeCell ref="JV79:JW79"/>
    <mergeCell ref="JX79:JY79"/>
    <mergeCell ref="JZ79:KA79"/>
    <mergeCell ref="KB79:KC79"/>
    <mergeCell ref="KD79:KE79"/>
    <mergeCell ref="KF79:KG79"/>
    <mergeCell ref="KH79:KI79"/>
    <mergeCell ref="KJ79:KK79"/>
    <mergeCell ref="KL79:KM79"/>
    <mergeCell ref="KN79:KO79"/>
    <mergeCell ref="KP79:KQ79"/>
    <mergeCell ref="KR79:KS79"/>
    <mergeCell ref="KT79:KU79"/>
    <mergeCell ref="KV79:KW79"/>
    <mergeCell ref="KX79:KY79"/>
    <mergeCell ref="KZ79:LA79"/>
    <mergeCell ref="LB79:LC79"/>
    <mergeCell ref="LD79:LE79"/>
    <mergeCell ref="LF79:LG79"/>
    <mergeCell ref="LH79:LI79"/>
    <mergeCell ref="LJ79:LK79"/>
    <mergeCell ref="LL79:LM79"/>
    <mergeCell ref="LN79:LO79"/>
    <mergeCell ref="LP79:LQ79"/>
    <mergeCell ref="LR79:LS79"/>
    <mergeCell ref="LT79:LU79"/>
    <mergeCell ref="LV79:LW79"/>
    <mergeCell ref="LX79:LY79"/>
    <mergeCell ref="LZ79:MA79"/>
    <mergeCell ref="MB79:MC79"/>
    <mergeCell ref="MD79:ME79"/>
    <mergeCell ref="MF79:MG79"/>
    <mergeCell ref="MH79:MI79"/>
    <mergeCell ref="MJ79:MK79"/>
    <mergeCell ref="ML79:MM79"/>
    <mergeCell ref="MN79:MO79"/>
    <mergeCell ref="MP79:MQ79"/>
    <mergeCell ref="MR79:MS79"/>
    <mergeCell ref="MT79:MU79"/>
    <mergeCell ref="MV79:MW79"/>
    <mergeCell ref="MX79:MY79"/>
    <mergeCell ref="ND79:NE79"/>
    <mergeCell ref="NF79:NG79"/>
    <mergeCell ref="NH81:NI81"/>
    <mergeCell ref="NJ81:NK81"/>
    <mergeCell ref="NL81:NM81"/>
    <mergeCell ref="NN81:NO81"/>
    <mergeCell ref="NP81:NQ81"/>
    <mergeCell ref="NR81:NS81"/>
    <mergeCell ref="NT81:NU81"/>
    <mergeCell ref="NV81:NW81"/>
    <mergeCell ref="NX81:NY81"/>
    <mergeCell ref="NZ81:OA81"/>
    <mergeCell ref="OB81:OC81"/>
    <mergeCell ref="OD81:OE81"/>
    <mergeCell ref="OF81:OG81"/>
    <mergeCell ref="OH81:OI81"/>
    <mergeCell ref="OJ81:OK81"/>
    <mergeCell ref="OL81:OM81"/>
    <mergeCell ref="ON81:OO81"/>
    <mergeCell ref="OP81:OQ81"/>
    <mergeCell ref="OR81:OS81"/>
    <mergeCell ref="OT81:OU81"/>
    <mergeCell ref="OV81:OW81"/>
    <mergeCell ref="OX81:OY81"/>
    <mergeCell ref="OZ81:PA81"/>
    <mergeCell ref="PB81:PC81"/>
    <mergeCell ref="PD81:PE81"/>
    <mergeCell ref="PF81:PG81"/>
    <mergeCell ref="PH81:PI81"/>
    <mergeCell ref="PJ81:PK81"/>
    <mergeCell ref="PL81:PM81"/>
    <mergeCell ref="PN81:PO81"/>
    <mergeCell ref="PP81:PQ81"/>
    <mergeCell ref="PR81:PS81"/>
    <mergeCell ref="PT81:PU81"/>
    <mergeCell ref="PV80:PW80"/>
    <mergeCell ref="PX80:PY80"/>
    <mergeCell ref="PZ80:QA80"/>
    <mergeCell ref="QB80:QC80"/>
    <mergeCell ref="QD80:QE80"/>
    <mergeCell ref="QF80:QG80"/>
    <mergeCell ref="QH80:QI80"/>
    <mergeCell ref="QJ80:QK80"/>
    <mergeCell ref="QL80:QM80"/>
    <mergeCell ref="QN80:QO80"/>
    <mergeCell ref="QP80:QQ80"/>
    <mergeCell ref="QR80:QS80"/>
    <mergeCell ref="QT80:QU80"/>
    <mergeCell ref="QV80:QW80"/>
    <mergeCell ref="QX80:QY80"/>
    <mergeCell ref="QZ80:RA80"/>
    <mergeCell ref="RB80:RC80"/>
    <mergeCell ref="JN81:JO81"/>
    <mergeCell ref="JP81:JQ81"/>
    <mergeCell ref="JR81:JS81"/>
    <mergeCell ref="JT81:JU81"/>
    <mergeCell ref="JV81:JW81"/>
    <mergeCell ref="JX81:JY81"/>
    <mergeCell ref="JZ81:KA81"/>
    <mergeCell ref="KB81:KC81"/>
    <mergeCell ref="KD81:KE81"/>
    <mergeCell ref="KF81:KG81"/>
    <mergeCell ref="KH81:KI81"/>
    <mergeCell ref="KJ81:KK81"/>
    <mergeCell ref="KL81:KM81"/>
    <mergeCell ref="KN81:KO81"/>
    <mergeCell ref="KP81:KQ81"/>
    <mergeCell ref="KR81:KS81"/>
    <mergeCell ref="KT81:KU81"/>
    <mergeCell ref="KV81:KW81"/>
    <mergeCell ref="KX81:KY81"/>
    <mergeCell ref="KZ81:LA81"/>
    <mergeCell ref="LB81:LC81"/>
    <mergeCell ref="LD81:LE81"/>
    <mergeCell ref="LF81:LG81"/>
    <mergeCell ref="LH81:LI81"/>
    <mergeCell ref="LJ81:LK81"/>
    <mergeCell ref="LL81:LM81"/>
    <mergeCell ref="LN81:LO81"/>
    <mergeCell ref="LP81:LQ81"/>
    <mergeCell ref="LR81:LS81"/>
    <mergeCell ref="LT81:LU81"/>
    <mergeCell ref="LV81:LW81"/>
    <mergeCell ref="LX81:LY81"/>
    <mergeCell ref="LZ81:MA81"/>
    <mergeCell ref="MB81:MC81"/>
    <mergeCell ref="MD81:ME81"/>
    <mergeCell ref="MF81:MG81"/>
    <mergeCell ref="MH81:MI81"/>
    <mergeCell ref="MJ81:MK81"/>
    <mergeCell ref="ML81:MM81"/>
    <mergeCell ref="MN81:MO81"/>
    <mergeCell ref="MP81:MQ81"/>
    <mergeCell ref="MR81:MS81"/>
    <mergeCell ref="MT81:MU81"/>
    <mergeCell ref="MV81:MW81"/>
    <mergeCell ref="MX81:MY81"/>
    <mergeCell ref="ND81:NE81"/>
    <mergeCell ref="NF81:NG81"/>
    <mergeCell ref="NH80:NI80"/>
    <mergeCell ref="NJ80:NK80"/>
    <mergeCell ref="NL80:NM80"/>
    <mergeCell ref="NN80:NO80"/>
    <mergeCell ref="NP80:NQ80"/>
    <mergeCell ref="NR80:NS80"/>
    <mergeCell ref="NT80:NU80"/>
    <mergeCell ref="NV80:NW80"/>
    <mergeCell ref="NX80:NY80"/>
    <mergeCell ref="NZ80:OA80"/>
    <mergeCell ref="OB80:OC80"/>
    <mergeCell ref="OD80:OE80"/>
    <mergeCell ref="OF80:OG80"/>
    <mergeCell ref="OH80:OI80"/>
    <mergeCell ref="OJ80:OK80"/>
    <mergeCell ref="OL80:OM80"/>
    <mergeCell ref="ON80:OO80"/>
    <mergeCell ref="OP80:OQ80"/>
    <mergeCell ref="OR80:OS80"/>
    <mergeCell ref="OT80:OU80"/>
    <mergeCell ref="OV80:OW80"/>
    <mergeCell ref="OX80:OY80"/>
    <mergeCell ref="OZ80:PA80"/>
    <mergeCell ref="PB80:PC80"/>
    <mergeCell ref="PD80:PE80"/>
    <mergeCell ref="PF80:PG80"/>
    <mergeCell ref="PH80:PI80"/>
    <mergeCell ref="PJ80:PK80"/>
    <mergeCell ref="PL80:PM80"/>
    <mergeCell ref="PN80:PO80"/>
    <mergeCell ref="PP80:PQ80"/>
    <mergeCell ref="PR80:PS80"/>
    <mergeCell ref="PT80:PU80"/>
    <mergeCell ref="PV77:PW77"/>
    <mergeCell ref="PX77:PY77"/>
    <mergeCell ref="PZ77:QA77"/>
    <mergeCell ref="QB77:QC77"/>
    <mergeCell ref="QD77:QE77"/>
    <mergeCell ref="QF77:QG77"/>
    <mergeCell ref="QH77:QI77"/>
    <mergeCell ref="QJ77:QK77"/>
    <mergeCell ref="QL77:QM77"/>
    <mergeCell ref="QN77:QO77"/>
    <mergeCell ref="QP77:QQ77"/>
    <mergeCell ref="QR77:QS77"/>
    <mergeCell ref="QT77:QU77"/>
    <mergeCell ref="QV77:QW77"/>
    <mergeCell ref="QX77:QY77"/>
    <mergeCell ref="QZ77:RA77"/>
    <mergeCell ref="RB77:RC77"/>
    <mergeCell ref="JN80:JO80"/>
    <mergeCell ref="JP80:JQ80"/>
    <mergeCell ref="JR80:JS80"/>
    <mergeCell ref="JT80:JU80"/>
    <mergeCell ref="JV80:JW80"/>
    <mergeCell ref="JX80:JY80"/>
    <mergeCell ref="JZ80:KA80"/>
    <mergeCell ref="KB80:KC80"/>
    <mergeCell ref="KD80:KE80"/>
    <mergeCell ref="KF80:KG80"/>
    <mergeCell ref="KH80:KI80"/>
    <mergeCell ref="KJ80:KK80"/>
    <mergeCell ref="KL80:KM80"/>
    <mergeCell ref="KN80:KO80"/>
    <mergeCell ref="KP80:KQ80"/>
    <mergeCell ref="KR80:KS80"/>
    <mergeCell ref="KT80:KU80"/>
    <mergeCell ref="KV80:KW80"/>
    <mergeCell ref="KX80:KY80"/>
    <mergeCell ref="KZ80:LA80"/>
    <mergeCell ref="LB80:LC80"/>
    <mergeCell ref="LD80:LE80"/>
    <mergeCell ref="LF80:LG80"/>
    <mergeCell ref="LH80:LI80"/>
    <mergeCell ref="LJ80:LK80"/>
    <mergeCell ref="LL80:LM80"/>
    <mergeCell ref="LN80:LO80"/>
    <mergeCell ref="LP80:LQ80"/>
    <mergeCell ref="LR80:LS80"/>
    <mergeCell ref="LT80:LU80"/>
    <mergeCell ref="LV80:LW80"/>
    <mergeCell ref="LX80:LY80"/>
    <mergeCell ref="LZ80:MA80"/>
    <mergeCell ref="MB80:MC80"/>
    <mergeCell ref="MD80:ME80"/>
    <mergeCell ref="MF80:MG80"/>
    <mergeCell ref="MH80:MI80"/>
    <mergeCell ref="MJ80:MK80"/>
    <mergeCell ref="ML80:MM80"/>
    <mergeCell ref="MN80:MO80"/>
    <mergeCell ref="MP80:MQ80"/>
    <mergeCell ref="MR80:MS80"/>
    <mergeCell ref="MT80:MU80"/>
    <mergeCell ref="MV80:MW80"/>
    <mergeCell ref="MX80:MY80"/>
    <mergeCell ref="ND80:NE80"/>
    <mergeCell ref="NF80:NG80"/>
    <mergeCell ref="NH77:NI77"/>
    <mergeCell ref="NJ77:NK77"/>
    <mergeCell ref="NL77:NM77"/>
    <mergeCell ref="NN77:NO77"/>
    <mergeCell ref="NP77:NQ77"/>
    <mergeCell ref="NR77:NS77"/>
    <mergeCell ref="NT77:NU77"/>
    <mergeCell ref="NV77:NW77"/>
    <mergeCell ref="NX77:NY77"/>
    <mergeCell ref="NZ77:OA77"/>
    <mergeCell ref="OB77:OC77"/>
    <mergeCell ref="OD77:OE77"/>
    <mergeCell ref="OF77:OG77"/>
    <mergeCell ref="OH77:OI77"/>
    <mergeCell ref="OJ77:OK77"/>
    <mergeCell ref="OL77:OM77"/>
    <mergeCell ref="ON77:OO77"/>
    <mergeCell ref="OP77:OQ77"/>
    <mergeCell ref="OR77:OS77"/>
    <mergeCell ref="OT77:OU77"/>
    <mergeCell ref="OV77:OW77"/>
    <mergeCell ref="OX77:OY77"/>
    <mergeCell ref="OZ77:PA77"/>
    <mergeCell ref="PB77:PC77"/>
    <mergeCell ref="PD77:PE77"/>
    <mergeCell ref="PF77:PG77"/>
    <mergeCell ref="PH77:PI77"/>
    <mergeCell ref="PJ77:PK77"/>
    <mergeCell ref="PL77:PM77"/>
    <mergeCell ref="PN77:PO77"/>
    <mergeCell ref="PP77:PQ77"/>
    <mergeCell ref="PR77:PS77"/>
    <mergeCell ref="PT77:PU77"/>
    <mergeCell ref="PV76:PW76"/>
    <mergeCell ref="PX76:PY76"/>
    <mergeCell ref="PZ76:QA76"/>
    <mergeCell ref="QB76:QC76"/>
    <mergeCell ref="QD76:QE76"/>
    <mergeCell ref="QF76:QG76"/>
    <mergeCell ref="QH76:QI76"/>
    <mergeCell ref="QJ76:QK76"/>
    <mergeCell ref="QL76:QM76"/>
    <mergeCell ref="QN76:QO76"/>
    <mergeCell ref="QP76:QQ76"/>
    <mergeCell ref="QR76:QS76"/>
    <mergeCell ref="QT76:QU76"/>
    <mergeCell ref="QV76:QW76"/>
    <mergeCell ref="QX76:QY76"/>
    <mergeCell ref="QZ76:RA76"/>
    <mergeCell ref="RB76:RC76"/>
    <mergeCell ref="JN77:JO77"/>
    <mergeCell ref="JP77:JQ77"/>
    <mergeCell ref="JR77:JS77"/>
    <mergeCell ref="JT77:JU77"/>
    <mergeCell ref="JV77:JW77"/>
    <mergeCell ref="JX77:JY77"/>
    <mergeCell ref="JZ77:KA77"/>
    <mergeCell ref="KB77:KC77"/>
    <mergeCell ref="KD77:KE77"/>
    <mergeCell ref="KF77:KG77"/>
    <mergeCell ref="KH77:KI77"/>
    <mergeCell ref="KJ77:KK77"/>
    <mergeCell ref="KL77:KM77"/>
    <mergeCell ref="KN77:KO77"/>
    <mergeCell ref="KP77:KQ77"/>
    <mergeCell ref="KR77:KS77"/>
    <mergeCell ref="KT77:KU77"/>
    <mergeCell ref="KV77:KW77"/>
    <mergeCell ref="KX77:KY77"/>
    <mergeCell ref="KZ77:LA77"/>
    <mergeCell ref="LB77:LC77"/>
    <mergeCell ref="LD77:LE77"/>
    <mergeCell ref="LF77:LG77"/>
    <mergeCell ref="LH77:LI77"/>
    <mergeCell ref="LJ77:LK77"/>
    <mergeCell ref="LL77:LM77"/>
    <mergeCell ref="LN77:LO77"/>
    <mergeCell ref="LP77:LQ77"/>
    <mergeCell ref="LR77:LS77"/>
    <mergeCell ref="LT77:LU77"/>
    <mergeCell ref="LV77:LW77"/>
    <mergeCell ref="LX77:LY77"/>
    <mergeCell ref="LZ77:MA77"/>
    <mergeCell ref="MB77:MC77"/>
    <mergeCell ref="MD77:ME77"/>
    <mergeCell ref="MF77:MG77"/>
    <mergeCell ref="MH77:MI77"/>
    <mergeCell ref="MJ77:MK77"/>
    <mergeCell ref="ML77:MM77"/>
    <mergeCell ref="MN77:MO77"/>
    <mergeCell ref="MP77:MQ77"/>
    <mergeCell ref="MR77:MS77"/>
    <mergeCell ref="MT77:MU77"/>
    <mergeCell ref="MV77:MW77"/>
    <mergeCell ref="MX77:MY77"/>
    <mergeCell ref="ND77:NE77"/>
    <mergeCell ref="NF77:NG77"/>
    <mergeCell ref="NH76:NI76"/>
    <mergeCell ref="NJ76:NK76"/>
    <mergeCell ref="NL76:NM76"/>
    <mergeCell ref="NN76:NO76"/>
    <mergeCell ref="NP76:NQ76"/>
    <mergeCell ref="NR76:NS76"/>
    <mergeCell ref="NT76:NU76"/>
    <mergeCell ref="NV76:NW76"/>
    <mergeCell ref="NX76:NY76"/>
    <mergeCell ref="NZ76:OA76"/>
    <mergeCell ref="OB76:OC76"/>
    <mergeCell ref="OD76:OE76"/>
    <mergeCell ref="OF76:OG76"/>
    <mergeCell ref="OH76:OI76"/>
    <mergeCell ref="OJ76:OK76"/>
    <mergeCell ref="OL76:OM76"/>
    <mergeCell ref="ON76:OO76"/>
    <mergeCell ref="OP76:OQ76"/>
    <mergeCell ref="OR76:OS76"/>
    <mergeCell ref="OT76:OU76"/>
    <mergeCell ref="OV76:OW76"/>
    <mergeCell ref="OX76:OY76"/>
    <mergeCell ref="OZ76:PA76"/>
    <mergeCell ref="PB76:PC76"/>
    <mergeCell ref="PD76:PE76"/>
    <mergeCell ref="PF76:PG76"/>
    <mergeCell ref="PH76:PI76"/>
    <mergeCell ref="PJ76:PK76"/>
    <mergeCell ref="PL76:PM76"/>
    <mergeCell ref="PN76:PO76"/>
    <mergeCell ref="PP76:PQ76"/>
    <mergeCell ref="PR76:PS76"/>
    <mergeCell ref="PT76:PU76"/>
    <mergeCell ref="PV75:PW75"/>
    <mergeCell ref="PX75:PY75"/>
    <mergeCell ref="PZ75:QA75"/>
    <mergeCell ref="QB75:QC75"/>
    <mergeCell ref="QD75:QE75"/>
    <mergeCell ref="QF75:QG75"/>
    <mergeCell ref="QH75:QI75"/>
    <mergeCell ref="QJ75:QK75"/>
    <mergeCell ref="QL75:QM75"/>
    <mergeCell ref="QN75:QO75"/>
    <mergeCell ref="QP75:QQ75"/>
    <mergeCell ref="QR75:QS75"/>
    <mergeCell ref="QT75:QU75"/>
    <mergeCell ref="QV75:QW75"/>
    <mergeCell ref="QX75:QY75"/>
    <mergeCell ref="QZ75:RA75"/>
    <mergeCell ref="RB75:RC75"/>
    <mergeCell ref="JN76:JO76"/>
    <mergeCell ref="JP76:JQ76"/>
    <mergeCell ref="JR76:JS76"/>
    <mergeCell ref="JT76:JU76"/>
    <mergeCell ref="JV76:JW76"/>
    <mergeCell ref="JX76:JY76"/>
    <mergeCell ref="JZ76:KA76"/>
    <mergeCell ref="KB76:KC76"/>
    <mergeCell ref="KD76:KE76"/>
    <mergeCell ref="KF76:KG76"/>
    <mergeCell ref="KH76:KI76"/>
    <mergeCell ref="KJ76:KK76"/>
    <mergeCell ref="KL76:KM76"/>
    <mergeCell ref="KN76:KO76"/>
    <mergeCell ref="KP76:KQ76"/>
    <mergeCell ref="KR76:KS76"/>
    <mergeCell ref="KT76:KU76"/>
    <mergeCell ref="KV76:KW76"/>
    <mergeCell ref="KX76:KY76"/>
    <mergeCell ref="KZ76:LA76"/>
    <mergeCell ref="LB76:LC76"/>
    <mergeCell ref="LD76:LE76"/>
    <mergeCell ref="LF76:LG76"/>
    <mergeCell ref="LH76:LI76"/>
    <mergeCell ref="LJ76:LK76"/>
    <mergeCell ref="LL76:LM76"/>
    <mergeCell ref="LN76:LO76"/>
    <mergeCell ref="LP76:LQ76"/>
    <mergeCell ref="LR76:LS76"/>
    <mergeCell ref="LT76:LU76"/>
    <mergeCell ref="LV76:LW76"/>
    <mergeCell ref="LX76:LY76"/>
    <mergeCell ref="LZ76:MA76"/>
    <mergeCell ref="MB76:MC76"/>
    <mergeCell ref="MD76:ME76"/>
    <mergeCell ref="MF76:MG76"/>
    <mergeCell ref="MH76:MI76"/>
    <mergeCell ref="MJ76:MK76"/>
    <mergeCell ref="ML76:MM76"/>
    <mergeCell ref="MN76:MO76"/>
    <mergeCell ref="MP76:MQ76"/>
    <mergeCell ref="MR76:MS76"/>
    <mergeCell ref="MT76:MU76"/>
    <mergeCell ref="MV76:MW76"/>
    <mergeCell ref="MX76:MY76"/>
    <mergeCell ref="ND76:NE76"/>
    <mergeCell ref="NF76:NG76"/>
    <mergeCell ref="NH75:NI75"/>
    <mergeCell ref="NJ75:NK75"/>
    <mergeCell ref="NL75:NM75"/>
    <mergeCell ref="NN75:NO75"/>
    <mergeCell ref="NP75:NQ75"/>
    <mergeCell ref="NR75:NS75"/>
    <mergeCell ref="NT75:NU75"/>
    <mergeCell ref="NV75:NW75"/>
    <mergeCell ref="NX75:NY75"/>
    <mergeCell ref="NZ75:OA75"/>
    <mergeCell ref="OB75:OC75"/>
    <mergeCell ref="OD75:OE75"/>
    <mergeCell ref="OF75:OG75"/>
    <mergeCell ref="OH75:OI75"/>
    <mergeCell ref="OJ75:OK75"/>
    <mergeCell ref="OL75:OM75"/>
    <mergeCell ref="ON75:OO75"/>
    <mergeCell ref="OP75:OQ75"/>
    <mergeCell ref="OR75:OS75"/>
    <mergeCell ref="OT75:OU75"/>
    <mergeCell ref="OV75:OW75"/>
    <mergeCell ref="OX75:OY75"/>
    <mergeCell ref="OZ75:PA75"/>
    <mergeCell ref="PB75:PC75"/>
    <mergeCell ref="PD75:PE75"/>
    <mergeCell ref="PF75:PG75"/>
    <mergeCell ref="PH75:PI75"/>
    <mergeCell ref="PJ75:PK75"/>
    <mergeCell ref="PL75:PM75"/>
    <mergeCell ref="PN75:PO75"/>
    <mergeCell ref="PP75:PQ75"/>
    <mergeCell ref="PR75:PS75"/>
    <mergeCell ref="PT75:PU75"/>
    <mergeCell ref="PV74:PW74"/>
    <mergeCell ref="PX74:PY74"/>
    <mergeCell ref="PZ74:QA74"/>
    <mergeCell ref="QB74:QC74"/>
    <mergeCell ref="QD74:QE74"/>
    <mergeCell ref="QF74:QG74"/>
    <mergeCell ref="QH74:QI74"/>
    <mergeCell ref="QJ74:QK74"/>
    <mergeCell ref="QL74:QM74"/>
    <mergeCell ref="QN74:QO74"/>
    <mergeCell ref="QP74:QQ74"/>
    <mergeCell ref="QR74:QS74"/>
    <mergeCell ref="QT74:QU74"/>
    <mergeCell ref="QV74:QW74"/>
    <mergeCell ref="QX74:QY74"/>
    <mergeCell ref="QZ74:RA74"/>
    <mergeCell ref="RB74:RC74"/>
    <mergeCell ref="JN75:JO75"/>
    <mergeCell ref="JP75:JQ75"/>
    <mergeCell ref="JR75:JS75"/>
    <mergeCell ref="JT75:JU75"/>
    <mergeCell ref="JV75:JW75"/>
    <mergeCell ref="JX75:JY75"/>
    <mergeCell ref="JZ75:KA75"/>
    <mergeCell ref="KB75:KC75"/>
    <mergeCell ref="KD75:KE75"/>
    <mergeCell ref="KF75:KG75"/>
    <mergeCell ref="KH75:KI75"/>
    <mergeCell ref="KJ75:KK75"/>
    <mergeCell ref="KL75:KM75"/>
    <mergeCell ref="KN75:KO75"/>
    <mergeCell ref="KP75:KQ75"/>
    <mergeCell ref="KR75:KS75"/>
    <mergeCell ref="KT75:KU75"/>
    <mergeCell ref="KV75:KW75"/>
    <mergeCell ref="KX75:KY75"/>
    <mergeCell ref="KZ75:LA75"/>
    <mergeCell ref="LB75:LC75"/>
    <mergeCell ref="LD75:LE75"/>
    <mergeCell ref="LF75:LG75"/>
    <mergeCell ref="LH75:LI75"/>
    <mergeCell ref="LJ75:LK75"/>
    <mergeCell ref="LL75:LM75"/>
    <mergeCell ref="LN75:LO75"/>
    <mergeCell ref="LP75:LQ75"/>
    <mergeCell ref="LR75:LS75"/>
    <mergeCell ref="LT75:LU75"/>
    <mergeCell ref="LV75:LW75"/>
    <mergeCell ref="LX75:LY75"/>
    <mergeCell ref="LZ75:MA75"/>
    <mergeCell ref="MB75:MC75"/>
    <mergeCell ref="MD75:ME75"/>
    <mergeCell ref="MF75:MG75"/>
    <mergeCell ref="MH75:MI75"/>
    <mergeCell ref="MJ75:MK75"/>
    <mergeCell ref="ML75:MM75"/>
    <mergeCell ref="MN75:MO75"/>
    <mergeCell ref="MP75:MQ75"/>
    <mergeCell ref="MR75:MS75"/>
    <mergeCell ref="MT75:MU75"/>
    <mergeCell ref="MV75:MW75"/>
    <mergeCell ref="MX75:MY75"/>
    <mergeCell ref="ND75:NE75"/>
    <mergeCell ref="NF75:NG75"/>
    <mergeCell ref="NH74:NI74"/>
    <mergeCell ref="NJ74:NK74"/>
    <mergeCell ref="NL74:NM74"/>
    <mergeCell ref="NN74:NO74"/>
    <mergeCell ref="NP74:NQ74"/>
    <mergeCell ref="NR74:NS74"/>
    <mergeCell ref="NT74:NU74"/>
    <mergeCell ref="NV74:NW74"/>
    <mergeCell ref="NX74:NY74"/>
    <mergeCell ref="NZ74:OA74"/>
    <mergeCell ref="OB74:OC74"/>
    <mergeCell ref="OD74:OE74"/>
    <mergeCell ref="OF74:OG74"/>
    <mergeCell ref="OH74:OI74"/>
    <mergeCell ref="OJ74:OK74"/>
    <mergeCell ref="OL74:OM74"/>
    <mergeCell ref="ON74:OO74"/>
    <mergeCell ref="OP74:OQ74"/>
    <mergeCell ref="OR74:OS74"/>
    <mergeCell ref="OT74:OU74"/>
    <mergeCell ref="OV74:OW74"/>
    <mergeCell ref="OX74:OY74"/>
    <mergeCell ref="OZ74:PA74"/>
    <mergeCell ref="PB74:PC74"/>
    <mergeCell ref="PD74:PE74"/>
    <mergeCell ref="PF74:PG74"/>
    <mergeCell ref="PH74:PI74"/>
    <mergeCell ref="PJ74:PK74"/>
    <mergeCell ref="PL74:PM74"/>
    <mergeCell ref="PN74:PO74"/>
    <mergeCell ref="PP74:PQ74"/>
    <mergeCell ref="PR74:PS74"/>
    <mergeCell ref="PT74:PU74"/>
    <mergeCell ref="PV78:PW78"/>
    <mergeCell ref="PX78:PY78"/>
    <mergeCell ref="PZ78:QA78"/>
    <mergeCell ref="QB78:QC78"/>
    <mergeCell ref="QD78:QE78"/>
    <mergeCell ref="QF78:QG78"/>
    <mergeCell ref="QH78:QI78"/>
    <mergeCell ref="QJ78:QK78"/>
    <mergeCell ref="QL78:QM78"/>
    <mergeCell ref="QN78:QO78"/>
    <mergeCell ref="QP78:QQ78"/>
    <mergeCell ref="QR78:QS78"/>
    <mergeCell ref="QT78:QU78"/>
    <mergeCell ref="QV78:QW78"/>
    <mergeCell ref="QX78:QY78"/>
    <mergeCell ref="QZ78:RA78"/>
    <mergeCell ref="RB78:RC78"/>
    <mergeCell ref="JN74:JO74"/>
    <mergeCell ref="JP74:JQ74"/>
    <mergeCell ref="JR74:JS74"/>
    <mergeCell ref="JT74:JU74"/>
    <mergeCell ref="JV74:JW74"/>
    <mergeCell ref="JX74:JY74"/>
    <mergeCell ref="JZ74:KA74"/>
    <mergeCell ref="KB74:KC74"/>
    <mergeCell ref="KD74:KE74"/>
    <mergeCell ref="KF74:KG74"/>
    <mergeCell ref="KH74:KI74"/>
    <mergeCell ref="KJ74:KK74"/>
    <mergeCell ref="KL74:KM74"/>
    <mergeCell ref="KN74:KO74"/>
    <mergeCell ref="KP74:KQ74"/>
    <mergeCell ref="KR74:KS74"/>
    <mergeCell ref="KT74:KU74"/>
    <mergeCell ref="KV74:KW74"/>
    <mergeCell ref="KX74:KY74"/>
    <mergeCell ref="KZ74:LA74"/>
    <mergeCell ref="LB74:LC74"/>
    <mergeCell ref="LD74:LE74"/>
    <mergeCell ref="LF74:LG74"/>
    <mergeCell ref="LH74:LI74"/>
    <mergeCell ref="LJ74:LK74"/>
    <mergeCell ref="LL74:LM74"/>
    <mergeCell ref="LN74:LO74"/>
    <mergeCell ref="LP74:LQ74"/>
    <mergeCell ref="LR74:LS74"/>
    <mergeCell ref="LT74:LU74"/>
    <mergeCell ref="LV74:LW74"/>
    <mergeCell ref="LX74:LY74"/>
    <mergeCell ref="LZ74:MA74"/>
    <mergeCell ref="MB74:MC74"/>
    <mergeCell ref="MD74:ME74"/>
    <mergeCell ref="MF74:MG74"/>
    <mergeCell ref="MH74:MI74"/>
    <mergeCell ref="MJ74:MK74"/>
    <mergeCell ref="ML74:MM74"/>
    <mergeCell ref="MN74:MO74"/>
    <mergeCell ref="MP74:MQ74"/>
    <mergeCell ref="MR74:MS74"/>
    <mergeCell ref="MT74:MU74"/>
    <mergeCell ref="MV74:MW74"/>
    <mergeCell ref="MX74:MY74"/>
    <mergeCell ref="ND74:NE74"/>
    <mergeCell ref="NF74:NG74"/>
    <mergeCell ref="NH78:NI78"/>
    <mergeCell ref="NJ78:NK78"/>
    <mergeCell ref="NL78:NM78"/>
    <mergeCell ref="NN78:NO78"/>
    <mergeCell ref="NP78:NQ78"/>
    <mergeCell ref="NR78:NS78"/>
    <mergeCell ref="NT78:NU78"/>
    <mergeCell ref="NV78:NW78"/>
    <mergeCell ref="NX78:NY78"/>
    <mergeCell ref="NZ78:OA78"/>
    <mergeCell ref="OB78:OC78"/>
    <mergeCell ref="OD78:OE78"/>
    <mergeCell ref="OF78:OG78"/>
    <mergeCell ref="OH78:OI78"/>
    <mergeCell ref="OJ78:OK78"/>
    <mergeCell ref="OL78:OM78"/>
    <mergeCell ref="ON78:OO78"/>
    <mergeCell ref="OP78:OQ78"/>
    <mergeCell ref="OR78:OS78"/>
    <mergeCell ref="OT78:OU78"/>
    <mergeCell ref="OV78:OW78"/>
    <mergeCell ref="OX78:OY78"/>
    <mergeCell ref="OZ78:PA78"/>
    <mergeCell ref="PB78:PC78"/>
    <mergeCell ref="PD78:PE78"/>
    <mergeCell ref="PF78:PG78"/>
    <mergeCell ref="PH78:PI78"/>
    <mergeCell ref="PJ78:PK78"/>
    <mergeCell ref="PL78:PM78"/>
    <mergeCell ref="PN78:PO78"/>
    <mergeCell ref="PP78:PQ78"/>
    <mergeCell ref="PR78:PS78"/>
    <mergeCell ref="PT78:PU78"/>
    <mergeCell ref="PV73:PW73"/>
    <mergeCell ref="PX73:PY73"/>
    <mergeCell ref="PZ73:QA73"/>
    <mergeCell ref="QB73:QC73"/>
    <mergeCell ref="QD73:QE73"/>
    <mergeCell ref="QF73:QG73"/>
    <mergeCell ref="QH73:QI73"/>
    <mergeCell ref="QJ73:QK73"/>
    <mergeCell ref="QL73:QM73"/>
    <mergeCell ref="QN73:QO73"/>
    <mergeCell ref="QP73:QQ73"/>
    <mergeCell ref="QR73:QS73"/>
    <mergeCell ref="QT73:QU73"/>
    <mergeCell ref="QV73:QW73"/>
    <mergeCell ref="QX73:QY73"/>
    <mergeCell ref="QZ73:RA73"/>
    <mergeCell ref="RB73:RC73"/>
    <mergeCell ref="JN78:JO78"/>
    <mergeCell ref="JP78:JQ78"/>
    <mergeCell ref="JR78:JS78"/>
    <mergeCell ref="JT78:JU78"/>
    <mergeCell ref="JV78:JW78"/>
    <mergeCell ref="JX78:JY78"/>
    <mergeCell ref="JZ78:KA78"/>
    <mergeCell ref="KB78:KC78"/>
    <mergeCell ref="KD78:KE78"/>
    <mergeCell ref="KF78:KG78"/>
    <mergeCell ref="KH78:KI78"/>
    <mergeCell ref="KJ78:KK78"/>
    <mergeCell ref="KL78:KM78"/>
    <mergeCell ref="KN78:KO78"/>
    <mergeCell ref="KP78:KQ78"/>
    <mergeCell ref="KR78:KS78"/>
    <mergeCell ref="KT78:KU78"/>
    <mergeCell ref="KV78:KW78"/>
    <mergeCell ref="KX78:KY78"/>
    <mergeCell ref="KZ78:LA78"/>
    <mergeCell ref="LB78:LC78"/>
    <mergeCell ref="LD78:LE78"/>
    <mergeCell ref="LF78:LG78"/>
    <mergeCell ref="LH78:LI78"/>
    <mergeCell ref="LJ78:LK78"/>
    <mergeCell ref="LL78:LM78"/>
    <mergeCell ref="LN78:LO78"/>
    <mergeCell ref="LP78:LQ78"/>
    <mergeCell ref="LR78:LS78"/>
    <mergeCell ref="LT78:LU78"/>
    <mergeCell ref="LV78:LW78"/>
    <mergeCell ref="LX78:LY78"/>
    <mergeCell ref="LZ78:MA78"/>
    <mergeCell ref="MB78:MC78"/>
    <mergeCell ref="MD78:ME78"/>
    <mergeCell ref="MF78:MG78"/>
    <mergeCell ref="MH78:MI78"/>
    <mergeCell ref="MJ78:MK78"/>
    <mergeCell ref="ML78:MM78"/>
    <mergeCell ref="MN78:MO78"/>
    <mergeCell ref="MP78:MQ78"/>
    <mergeCell ref="MR78:MS78"/>
    <mergeCell ref="MT78:MU78"/>
    <mergeCell ref="MV78:MW78"/>
    <mergeCell ref="MX78:MY78"/>
    <mergeCell ref="ND78:NE78"/>
    <mergeCell ref="NF78:NG78"/>
    <mergeCell ref="NH73:NI73"/>
    <mergeCell ref="NJ73:NK73"/>
    <mergeCell ref="NL73:NM73"/>
    <mergeCell ref="NN73:NO73"/>
    <mergeCell ref="NP73:NQ73"/>
    <mergeCell ref="NR73:NS73"/>
    <mergeCell ref="NT73:NU73"/>
    <mergeCell ref="NV73:NW73"/>
    <mergeCell ref="NX73:NY73"/>
    <mergeCell ref="NZ73:OA73"/>
    <mergeCell ref="OB73:OC73"/>
    <mergeCell ref="OD73:OE73"/>
    <mergeCell ref="OF73:OG73"/>
    <mergeCell ref="OH73:OI73"/>
    <mergeCell ref="OJ73:OK73"/>
    <mergeCell ref="OL73:OM73"/>
    <mergeCell ref="ON73:OO73"/>
    <mergeCell ref="OP73:OQ73"/>
    <mergeCell ref="OR73:OS73"/>
    <mergeCell ref="OT73:OU73"/>
    <mergeCell ref="OV73:OW73"/>
    <mergeCell ref="OX73:OY73"/>
    <mergeCell ref="OZ73:PA73"/>
    <mergeCell ref="PB73:PC73"/>
    <mergeCell ref="PD73:PE73"/>
    <mergeCell ref="PF73:PG73"/>
    <mergeCell ref="PH73:PI73"/>
    <mergeCell ref="PJ73:PK73"/>
    <mergeCell ref="PL73:PM73"/>
    <mergeCell ref="PN73:PO73"/>
    <mergeCell ref="PP73:PQ73"/>
    <mergeCell ref="PR73:PS73"/>
    <mergeCell ref="PT73:PU73"/>
    <mergeCell ref="PV72:PW72"/>
    <mergeCell ref="PX72:PY72"/>
    <mergeCell ref="PZ72:QA72"/>
    <mergeCell ref="QB72:QC72"/>
    <mergeCell ref="QD72:QE72"/>
    <mergeCell ref="QF72:QG72"/>
    <mergeCell ref="QH72:QI72"/>
    <mergeCell ref="QJ72:QK72"/>
    <mergeCell ref="QL72:QM72"/>
    <mergeCell ref="QN72:QO72"/>
    <mergeCell ref="QP72:QQ72"/>
    <mergeCell ref="QR72:QS72"/>
    <mergeCell ref="QT72:QU72"/>
    <mergeCell ref="QV72:QW72"/>
    <mergeCell ref="QX72:QY72"/>
    <mergeCell ref="QZ72:RA72"/>
    <mergeCell ref="RB72:RC72"/>
    <mergeCell ref="JN73:JO73"/>
    <mergeCell ref="JP73:JQ73"/>
    <mergeCell ref="JR73:JS73"/>
    <mergeCell ref="JT73:JU73"/>
    <mergeCell ref="JV73:JW73"/>
    <mergeCell ref="JX73:JY73"/>
    <mergeCell ref="JZ73:KA73"/>
    <mergeCell ref="KB73:KC73"/>
    <mergeCell ref="KD73:KE73"/>
    <mergeCell ref="KF73:KG73"/>
    <mergeCell ref="KH73:KI73"/>
    <mergeCell ref="KJ73:KK73"/>
    <mergeCell ref="KL73:KM73"/>
    <mergeCell ref="KN73:KO73"/>
    <mergeCell ref="KP73:KQ73"/>
    <mergeCell ref="KR73:KS73"/>
    <mergeCell ref="KT73:KU73"/>
    <mergeCell ref="KV73:KW73"/>
    <mergeCell ref="KX73:KY73"/>
    <mergeCell ref="KZ73:LA73"/>
    <mergeCell ref="LB73:LC73"/>
    <mergeCell ref="LD73:LE73"/>
    <mergeCell ref="LF73:LG73"/>
    <mergeCell ref="LH73:LI73"/>
    <mergeCell ref="LJ73:LK73"/>
    <mergeCell ref="LL73:LM73"/>
    <mergeCell ref="LN73:LO73"/>
    <mergeCell ref="LP73:LQ73"/>
    <mergeCell ref="LR73:LS73"/>
    <mergeCell ref="LT73:LU73"/>
    <mergeCell ref="LV73:LW73"/>
    <mergeCell ref="LX73:LY73"/>
    <mergeCell ref="LZ73:MA73"/>
    <mergeCell ref="MB73:MC73"/>
    <mergeCell ref="MD73:ME73"/>
    <mergeCell ref="MF73:MG73"/>
    <mergeCell ref="MH73:MI73"/>
    <mergeCell ref="MJ73:MK73"/>
    <mergeCell ref="ML73:MM73"/>
    <mergeCell ref="MN73:MO73"/>
    <mergeCell ref="MP73:MQ73"/>
    <mergeCell ref="MR73:MS73"/>
    <mergeCell ref="MT73:MU73"/>
    <mergeCell ref="MV73:MW73"/>
    <mergeCell ref="NB73:NC73"/>
    <mergeCell ref="ND73:NE73"/>
    <mergeCell ref="NF73:NG73"/>
    <mergeCell ref="NH72:NI72"/>
    <mergeCell ref="NJ72:NK72"/>
    <mergeCell ref="NL72:NM72"/>
    <mergeCell ref="NN72:NO72"/>
    <mergeCell ref="NP72:NQ72"/>
    <mergeCell ref="NR72:NS72"/>
    <mergeCell ref="NT72:NU72"/>
    <mergeCell ref="NV72:NW72"/>
    <mergeCell ref="NX72:NY72"/>
    <mergeCell ref="NZ72:OA72"/>
    <mergeCell ref="OB72:OC72"/>
    <mergeCell ref="OD72:OE72"/>
    <mergeCell ref="OF72:OG72"/>
    <mergeCell ref="OH72:OI72"/>
    <mergeCell ref="OJ72:OK72"/>
    <mergeCell ref="OL72:OM72"/>
    <mergeCell ref="ON72:OO72"/>
    <mergeCell ref="OP72:OQ72"/>
    <mergeCell ref="OR72:OS72"/>
    <mergeCell ref="OT72:OU72"/>
    <mergeCell ref="OV72:OW72"/>
    <mergeCell ref="OX72:OY72"/>
    <mergeCell ref="OZ72:PA72"/>
    <mergeCell ref="PB72:PC72"/>
    <mergeCell ref="PD72:PE72"/>
    <mergeCell ref="PF72:PG72"/>
    <mergeCell ref="PH72:PI72"/>
    <mergeCell ref="PJ72:PK72"/>
    <mergeCell ref="PL72:PM72"/>
    <mergeCell ref="PN72:PO72"/>
    <mergeCell ref="PP72:PQ72"/>
    <mergeCell ref="PR72:PS72"/>
    <mergeCell ref="PT72:PU72"/>
    <mergeCell ref="PV71:PW71"/>
    <mergeCell ref="PX71:PY71"/>
    <mergeCell ref="PZ71:QA71"/>
    <mergeCell ref="QB71:QC71"/>
    <mergeCell ref="QD71:QE71"/>
    <mergeCell ref="QF71:QG71"/>
    <mergeCell ref="QH71:QI71"/>
    <mergeCell ref="QJ71:QK71"/>
    <mergeCell ref="QL71:QM71"/>
    <mergeCell ref="QN71:QO71"/>
    <mergeCell ref="QP71:QQ71"/>
    <mergeCell ref="QR71:QS71"/>
    <mergeCell ref="QT71:QU71"/>
    <mergeCell ref="QV71:QW71"/>
    <mergeCell ref="QX71:QY71"/>
    <mergeCell ref="QZ71:RA71"/>
    <mergeCell ref="RB71:RC71"/>
    <mergeCell ref="JN72:JO72"/>
    <mergeCell ref="JP72:JQ72"/>
    <mergeCell ref="JR72:JS72"/>
    <mergeCell ref="JT72:JU72"/>
    <mergeCell ref="JV72:JW72"/>
    <mergeCell ref="JX72:JY72"/>
    <mergeCell ref="JZ72:KA72"/>
    <mergeCell ref="KB72:KC72"/>
    <mergeCell ref="KD72:KE72"/>
    <mergeCell ref="KF72:KG72"/>
    <mergeCell ref="KH72:KI72"/>
    <mergeCell ref="KJ72:KK72"/>
    <mergeCell ref="KL72:KM72"/>
    <mergeCell ref="KN72:KO72"/>
    <mergeCell ref="KP72:KQ72"/>
    <mergeCell ref="KR72:KS72"/>
    <mergeCell ref="KT72:KU72"/>
    <mergeCell ref="KV72:KW72"/>
    <mergeCell ref="KX72:KY72"/>
    <mergeCell ref="KZ72:LA72"/>
    <mergeCell ref="LB72:LC72"/>
    <mergeCell ref="LD72:LE72"/>
    <mergeCell ref="LF72:LG72"/>
    <mergeCell ref="LH72:LI72"/>
    <mergeCell ref="LJ72:LK72"/>
    <mergeCell ref="LL72:LM72"/>
    <mergeCell ref="LN72:LO72"/>
    <mergeCell ref="LP72:LQ72"/>
    <mergeCell ref="LR72:LS72"/>
    <mergeCell ref="LT72:LU72"/>
    <mergeCell ref="LV72:LW72"/>
    <mergeCell ref="LX72:LY72"/>
    <mergeCell ref="LZ72:MA72"/>
    <mergeCell ref="MB72:MC72"/>
    <mergeCell ref="MD72:ME72"/>
    <mergeCell ref="MF72:MG72"/>
    <mergeCell ref="MH72:MI72"/>
    <mergeCell ref="MJ72:MK72"/>
    <mergeCell ref="ML72:MM72"/>
    <mergeCell ref="MN72:MO72"/>
    <mergeCell ref="MP72:MQ72"/>
    <mergeCell ref="MR72:MS72"/>
    <mergeCell ref="MT72:MU72"/>
    <mergeCell ref="MV72:MW72"/>
    <mergeCell ref="NB72:NC72"/>
    <mergeCell ref="ND72:NE72"/>
    <mergeCell ref="NF72:NG72"/>
    <mergeCell ref="NH71:NI71"/>
    <mergeCell ref="NJ71:NK71"/>
    <mergeCell ref="NL71:NM71"/>
    <mergeCell ref="NN71:NO71"/>
    <mergeCell ref="NP71:NQ71"/>
    <mergeCell ref="NR71:NS71"/>
    <mergeCell ref="NT71:NU71"/>
    <mergeCell ref="NV71:NW71"/>
    <mergeCell ref="NX71:NY71"/>
    <mergeCell ref="NZ71:OA71"/>
    <mergeCell ref="OB71:OC71"/>
    <mergeCell ref="OD71:OE71"/>
    <mergeCell ref="OF71:OG71"/>
    <mergeCell ref="OH71:OI71"/>
    <mergeCell ref="OJ71:OK71"/>
    <mergeCell ref="OL71:OM71"/>
    <mergeCell ref="ON71:OO71"/>
    <mergeCell ref="OP71:OQ71"/>
    <mergeCell ref="OR71:OS71"/>
    <mergeCell ref="OT71:OU71"/>
    <mergeCell ref="OV71:OW71"/>
    <mergeCell ref="OX71:OY71"/>
    <mergeCell ref="OZ71:PA71"/>
    <mergeCell ref="PB71:PC71"/>
    <mergeCell ref="PD71:PE71"/>
    <mergeCell ref="PF71:PG71"/>
    <mergeCell ref="PH71:PI71"/>
    <mergeCell ref="PJ71:PK71"/>
    <mergeCell ref="PL71:PM71"/>
    <mergeCell ref="PN71:PO71"/>
    <mergeCell ref="PP71:PQ71"/>
    <mergeCell ref="PR71:PS71"/>
    <mergeCell ref="PT71:PU71"/>
    <mergeCell ref="PD70:PE70"/>
    <mergeCell ref="PF70:PG70"/>
    <mergeCell ref="PH70:PI70"/>
    <mergeCell ref="PJ70:PK70"/>
    <mergeCell ref="PL70:PM70"/>
    <mergeCell ref="PN70:PO70"/>
    <mergeCell ref="PP70:PQ70"/>
    <mergeCell ref="PR70:PS70"/>
    <mergeCell ref="PT70:PU70"/>
    <mergeCell ref="PV70:PW70"/>
    <mergeCell ref="PX70:PY70"/>
    <mergeCell ref="PZ70:QA70"/>
    <mergeCell ref="QB70:QC70"/>
    <mergeCell ref="QD70:QE70"/>
    <mergeCell ref="QF70:QG70"/>
    <mergeCell ref="QH70:QI70"/>
    <mergeCell ref="QJ70:QK70"/>
    <mergeCell ref="QL70:QM70"/>
    <mergeCell ref="QN70:QO70"/>
    <mergeCell ref="QP70:QQ70"/>
    <mergeCell ref="QR70:QS70"/>
    <mergeCell ref="QT70:QU70"/>
    <mergeCell ref="QV70:QW70"/>
    <mergeCell ref="QX70:QY70"/>
    <mergeCell ref="QZ70:RA70"/>
    <mergeCell ref="RB70:RC70"/>
    <mergeCell ref="JN71:JO71"/>
    <mergeCell ref="JP71:JQ71"/>
    <mergeCell ref="JR71:JS71"/>
    <mergeCell ref="JT71:JU71"/>
    <mergeCell ref="JV71:JW71"/>
    <mergeCell ref="JX71:JY71"/>
    <mergeCell ref="JZ71:KA71"/>
    <mergeCell ref="KB71:KC71"/>
    <mergeCell ref="KD71:KE71"/>
    <mergeCell ref="KF71:KG71"/>
    <mergeCell ref="KH71:KI71"/>
    <mergeCell ref="KJ71:KK71"/>
    <mergeCell ref="KL71:KM71"/>
    <mergeCell ref="KN71:KO71"/>
    <mergeCell ref="KP71:KQ71"/>
    <mergeCell ref="KR71:KS71"/>
    <mergeCell ref="KT71:KU71"/>
    <mergeCell ref="KV71:KW71"/>
    <mergeCell ref="KX71:KY71"/>
    <mergeCell ref="KZ71:LA71"/>
    <mergeCell ref="LB71:LC71"/>
    <mergeCell ref="LD71:LE71"/>
    <mergeCell ref="LF71:LG71"/>
    <mergeCell ref="LH71:LI71"/>
    <mergeCell ref="LJ71:LK71"/>
    <mergeCell ref="LL71:LM71"/>
    <mergeCell ref="LN71:LO71"/>
    <mergeCell ref="LP71:LQ71"/>
    <mergeCell ref="LR71:LS71"/>
    <mergeCell ref="LT71:LU71"/>
    <mergeCell ref="LV71:LW71"/>
    <mergeCell ref="LX71:LY71"/>
    <mergeCell ref="LZ71:MA71"/>
    <mergeCell ref="MB71:MC71"/>
    <mergeCell ref="MD71:ME71"/>
    <mergeCell ref="MF71:MG71"/>
    <mergeCell ref="MH71:MI71"/>
    <mergeCell ref="MJ71:MK71"/>
    <mergeCell ref="PX69:PY69"/>
    <mergeCell ref="PZ69:QA69"/>
    <mergeCell ref="QB69:QC69"/>
    <mergeCell ref="QD69:QE69"/>
    <mergeCell ref="QF69:QG69"/>
    <mergeCell ref="QH69:QI69"/>
    <mergeCell ref="QJ69:QK69"/>
    <mergeCell ref="QL69:QM69"/>
    <mergeCell ref="QN69:QO69"/>
    <mergeCell ref="QP69:QQ69"/>
    <mergeCell ref="QR69:QS69"/>
    <mergeCell ref="QT69:QU69"/>
    <mergeCell ref="QV69:QW69"/>
    <mergeCell ref="QX69:QY69"/>
    <mergeCell ref="QZ69:RA69"/>
    <mergeCell ref="RB69:RC69"/>
    <mergeCell ref="LL70:LM70"/>
    <mergeCell ref="LN70:LO70"/>
    <mergeCell ref="LP70:LQ70"/>
    <mergeCell ref="LR70:LS70"/>
    <mergeCell ref="LT70:LU70"/>
    <mergeCell ref="LV70:LW70"/>
    <mergeCell ref="LX70:LY70"/>
    <mergeCell ref="LZ70:MA70"/>
    <mergeCell ref="MB70:MC70"/>
    <mergeCell ref="MD70:ME70"/>
    <mergeCell ref="MF70:MG70"/>
    <mergeCell ref="MH70:MI70"/>
    <mergeCell ref="MJ70:MK70"/>
    <mergeCell ref="ML70:MM70"/>
    <mergeCell ref="MN70:MO70"/>
    <mergeCell ref="MP70:MQ70"/>
    <mergeCell ref="MR70:MS70"/>
    <mergeCell ref="MT70:MU70"/>
    <mergeCell ref="MV70:MW70"/>
    <mergeCell ref="MX70:MY70"/>
    <mergeCell ref="MZ70:NA70"/>
    <mergeCell ref="NB70:NC70"/>
    <mergeCell ref="ND70:NE70"/>
    <mergeCell ref="NF70:NG70"/>
    <mergeCell ref="NH70:NI70"/>
    <mergeCell ref="NJ70:NK70"/>
    <mergeCell ref="NL70:NM70"/>
    <mergeCell ref="NN70:NO70"/>
    <mergeCell ref="NP70:NQ70"/>
    <mergeCell ref="NR70:NS70"/>
    <mergeCell ref="NT70:NU70"/>
    <mergeCell ref="NV70:NW70"/>
    <mergeCell ref="NX70:NY70"/>
    <mergeCell ref="NZ70:OA70"/>
    <mergeCell ref="OB70:OC70"/>
    <mergeCell ref="OD70:OE70"/>
    <mergeCell ref="OF70:OG70"/>
    <mergeCell ref="OH70:OI70"/>
    <mergeCell ref="OJ70:OK70"/>
    <mergeCell ref="OL70:OM70"/>
    <mergeCell ref="ON70:OO70"/>
    <mergeCell ref="OP70:OQ70"/>
    <mergeCell ref="OR70:OS70"/>
    <mergeCell ref="OT70:OU70"/>
    <mergeCell ref="OV70:OW70"/>
    <mergeCell ref="OX70:OY70"/>
    <mergeCell ref="OZ70:PA70"/>
    <mergeCell ref="PB70:PC70"/>
    <mergeCell ref="NJ69:NK69"/>
    <mergeCell ref="NL69:NM69"/>
    <mergeCell ref="NN69:NO69"/>
    <mergeCell ref="NP69:NQ69"/>
    <mergeCell ref="NR69:NS69"/>
    <mergeCell ref="NT69:NU69"/>
    <mergeCell ref="NV69:NW69"/>
    <mergeCell ref="NX69:NY69"/>
    <mergeCell ref="NZ69:OA69"/>
    <mergeCell ref="OB69:OC69"/>
    <mergeCell ref="OD69:OE69"/>
    <mergeCell ref="OF69:OG69"/>
    <mergeCell ref="OH69:OI69"/>
    <mergeCell ref="OJ69:OK69"/>
    <mergeCell ref="OL69:OM69"/>
    <mergeCell ref="ON69:OO69"/>
    <mergeCell ref="OP69:OQ69"/>
    <mergeCell ref="OR69:OS69"/>
    <mergeCell ref="OT69:OU69"/>
    <mergeCell ref="OV69:OW69"/>
    <mergeCell ref="OX69:OY69"/>
    <mergeCell ref="OZ69:PA69"/>
    <mergeCell ref="PB69:PC69"/>
    <mergeCell ref="PD69:PE69"/>
    <mergeCell ref="PF69:PG69"/>
    <mergeCell ref="PH69:PI69"/>
    <mergeCell ref="PJ69:PK69"/>
    <mergeCell ref="PL69:PM69"/>
    <mergeCell ref="PN69:PO69"/>
    <mergeCell ref="PP69:PQ69"/>
    <mergeCell ref="PR69:PS69"/>
    <mergeCell ref="PT69:PU69"/>
    <mergeCell ref="PV69:PW69"/>
    <mergeCell ref="PX68:PY68"/>
    <mergeCell ref="PZ68:QA68"/>
    <mergeCell ref="QB68:QC68"/>
    <mergeCell ref="QD68:QE68"/>
    <mergeCell ref="QF68:QG68"/>
    <mergeCell ref="QH68:QI68"/>
    <mergeCell ref="QJ68:QK68"/>
    <mergeCell ref="QL68:QM68"/>
    <mergeCell ref="QN68:QO68"/>
    <mergeCell ref="QP68:QQ68"/>
    <mergeCell ref="QR68:QS68"/>
    <mergeCell ref="QT68:QU68"/>
    <mergeCell ref="QV68:QW68"/>
    <mergeCell ref="QX68:QY68"/>
    <mergeCell ref="QZ68:RA68"/>
    <mergeCell ref="RB68:RC68"/>
    <mergeCell ref="JN69:JO69"/>
    <mergeCell ref="JP69:JQ69"/>
    <mergeCell ref="JR69:JS69"/>
    <mergeCell ref="JT69:JU69"/>
    <mergeCell ref="JV69:JW69"/>
    <mergeCell ref="JX69:JY69"/>
    <mergeCell ref="JZ69:KA69"/>
    <mergeCell ref="KB69:KC69"/>
    <mergeCell ref="KD69:KE69"/>
    <mergeCell ref="KF69:KG69"/>
    <mergeCell ref="KH69:KI69"/>
    <mergeCell ref="KJ69:KK69"/>
    <mergeCell ref="KL69:KM69"/>
    <mergeCell ref="KN69:KO69"/>
    <mergeCell ref="KP69:KQ69"/>
    <mergeCell ref="KR69:KS69"/>
    <mergeCell ref="KT69:KU69"/>
    <mergeCell ref="KV69:KW69"/>
    <mergeCell ref="KX69:KY69"/>
    <mergeCell ref="KZ69:LA69"/>
    <mergeCell ref="LB69:LC69"/>
    <mergeCell ref="LD69:LE69"/>
    <mergeCell ref="LF69:LG69"/>
    <mergeCell ref="LH69:LI69"/>
    <mergeCell ref="LJ69:LK69"/>
    <mergeCell ref="LL69:LM69"/>
    <mergeCell ref="LN69:LO69"/>
    <mergeCell ref="LP69:LQ69"/>
    <mergeCell ref="LR69:LS69"/>
    <mergeCell ref="LT69:LU69"/>
    <mergeCell ref="LV69:LW69"/>
    <mergeCell ref="LX69:LY69"/>
    <mergeCell ref="LZ69:MA69"/>
    <mergeCell ref="MB69:MC69"/>
    <mergeCell ref="MD69:ME69"/>
    <mergeCell ref="MF69:MG69"/>
    <mergeCell ref="MH69:MI69"/>
    <mergeCell ref="MJ69:MK69"/>
    <mergeCell ref="ML69:MM69"/>
    <mergeCell ref="MN69:MO69"/>
    <mergeCell ref="MP69:MQ69"/>
    <mergeCell ref="MR69:MS69"/>
    <mergeCell ref="MT69:MU69"/>
    <mergeCell ref="MV69:MW69"/>
    <mergeCell ref="NB69:NC69"/>
    <mergeCell ref="ND69:NE69"/>
    <mergeCell ref="NF69:NG69"/>
    <mergeCell ref="NH69:NI69"/>
    <mergeCell ref="NJ68:NK68"/>
    <mergeCell ref="NL68:NM68"/>
    <mergeCell ref="NN68:NO68"/>
    <mergeCell ref="NP68:NQ68"/>
    <mergeCell ref="NR68:NS68"/>
    <mergeCell ref="NT68:NU68"/>
    <mergeCell ref="NV68:NW68"/>
    <mergeCell ref="NX68:NY68"/>
    <mergeCell ref="NZ68:OA68"/>
    <mergeCell ref="OB68:OC68"/>
    <mergeCell ref="OD68:OE68"/>
    <mergeCell ref="OF68:OG68"/>
    <mergeCell ref="OH68:OI68"/>
    <mergeCell ref="OJ68:OK68"/>
    <mergeCell ref="OL68:OM68"/>
    <mergeCell ref="ON68:OO68"/>
    <mergeCell ref="OP68:OQ68"/>
    <mergeCell ref="OR68:OS68"/>
    <mergeCell ref="OT68:OU68"/>
    <mergeCell ref="OV68:OW68"/>
    <mergeCell ref="OX68:OY68"/>
    <mergeCell ref="OZ68:PA68"/>
    <mergeCell ref="PB68:PC68"/>
    <mergeCell ref="PD68:PE68"/>
    <mergeCell ref="PF68:PG68"/>
    <mergeCell ref="PH68:PI68"/>
    <mergeCell ref="PJ68:PK68"/>
    <mergeCell ref="PL68:PM68"/>
    <mergeCell ref="PN68:PO68"/>
    <mergeCell ref="PP68:PQ68"/>
    <mergeCell ref="PR68:PS68"/>
    <mergeCell ref="PT68:PU68"/>
    <mergeCell ref="PV68:PW68"/>
    <mergeCell ref="PX67:PY67"/>
    <mergeCell ref="PZ67:QA67"/>
    <mergeCell ref="QB67:QC67"/>
    <mergeCell ref="QD67:QE67"/>
    <mergeCell ref="QF67:QG67"/>
    <mergeCell ref="QH67:QI67"/>
    <mergeCell ref="QJ67:QK67"/>
    <mergeCell ref="QL67:QM67"/>
    <mergeCell ref="QN67:QO67"/>
    <mergeCell ref="QP67:QQ67"/>
    <mergeCell ref="QR67:QS67"/>
    <mergeCell ref="QT67:QU67"/>
    <mergeCell ref="QV67:QW67"/>
    <mergeCell ref="QX67:QY67"/>
    <mergeCell ref="QZ67:RA67"/>
    <mergeCell ref="RB67:RC67"/>
    <mergeCell ref="JN68:JO68"/>
    <mergeCell ref="JP68:JQ68"/>
    <mergeCell ref="JR68:JS68"/>
    <mergeCell ref="JT68:JU68"/>
    <mergeCell ref="JV68:JW68"/>
    <mergeCell ref="JX68:JY68"/>
    <mergeCell ref="JZ68:KA68"/>
    <mergeCell ref="KB68:KC68"/>
    <mergeCell ref="KD68:KE68"/>
    <mergeCell ref="KF68:KG68"/>
    <mergeCell ref="KH68:KI68"/>
    <mergeCell ref="KJ68:KK68"/>
    <mergeCell ref="KL68:KM68"/>
    <mergeCell ref="KN68:KO68"/>
    <mergeCell ref="KP68:KQ68"/>
    <mergeCell ref="KR68:KS68"/>
    <mergeCell ref="KT68:KU68"/>
    <mergeCell ref="KV68:KW68"/>
    <mergeCell ref="KX68:KY68"/>
    <mergeCell ref="KZ68:LA68"/>
    <mergeCell ref="LB68:LC68"/>
    <mergeCell ref="LD68:LE68"/>
    <mergeCell ref="LF68:LG68"/>
    <mergeCell ref="LH68:LI68"/>
    <mergeCell ref="LJ68:LK68"/>
    <mergeCell ref="LL68:LM68"/>
    <mergeCell ref="LN68:LO68"/>
    <mergeCell ref="LP68:LQ68"/>
    <mergeCell ref="LR68:LS68"/>
    <mergeCell ref="LT68:LU68"/>
    <mergeCell ref="LV68:LW68"/>
    <mergeCell ref="LX68:LY68"/>
    <mergeCell ref="LZ68:MA68"/>
    <mergeCell ref="MB68:MC68"/>
    <mergeCell ref="MD68:ME68"/>
    <mergeCell ref="MF68:MG68"/>
    <mergeCell ref="MH68:MI68"/>
    <mergeCell ref="MJ68:MK68"/>
    <mergeCell ref="ML68:MM68"/>
    <mergeCell ref="MN68:MO68"/>
    <mergeCell ref="MP68:MQ68"/>
    <mergeCell ref="MR68:MS68"/>
    <mergeCell ref="MT68:MU68"/>
    <mergeCell ref="MV68:MW68"/>
    <mergeCell ref="NB68:NC68"/>
    <mergeCell ref="ND68:NE68"/>
    <mergeCell ref="NF68:NG68"/>
    <mergeCell ref="NH68:NI68"/>
    <mergeCell ref="NJ67:NK67"/>
    <mergeCell ref="NL67:NM67"/>
    <mergeCell ref="NN67:NO67"/>
    <mergeCell ref="NP67:NQ67"/>
    <mergeCell ref="NR67:NS67"/>
    <mergeCell ref="NT67:NU67"/>
    <mergeCell ref="NV67:NW67"/>
    <mergeCell ref="NX67:NY67"/>
    <mergeCell ref="NZ67:OA67"/>
    <mergeCell ref="OB67:OC67"/>
    <mergeCell ref="OD67:OE67"/>
    <mergeCell ref="OF67:OG67"/>
    <mergeCell ref="OH67:OI67"/>
    <mergeCell ref="OJ67:OK67"/>
    <mergeCell ref="OL67:OM67"/>
    <mergeCell ref="ON67:OO67"/>
    <mergeCell ref="OP67:OQ67"/>
    <mergeCell ref="OR67:OS67"/>
    <mergeCell ref="OT67:OU67"/>
    <mergeCell ref="OV67:OW67"/>
    <mergeCell ref="OX67:OY67"/>
    <mergeCell ref="OZ67:PA67"/>
    <mergeCell ref="PB67:PC67"/>
    <mergeCell ref="PD67:PE67"/>
    <mergeCell ref="PF67:PG67"/>
    <mergeCell ref="PH67:PI67"/>
    <mergeCell ref="PJ67:PK67"/>
    <mergeCell ref="PL67:PM67"/>
    <mergeCell ref="PN67:PO67"/>
    <mergeCell ref="PP67:PQ67"/>
    <mergeCell ref="PR67:PS67"/>
    <mergeCell ref="PT67:PU67"/>
    <mergeCell ref="PV67:PW67"/>
    <mergeCell ref="PX66:PY66"/>
    <mergeCell ref="PZ66:QA66"/>
    <mergeCell ref="QB66:QC66"/>
    <mergeCell ref="QD66:QE66"/>
    <mergeCell ref="QF66:QG66"/>
    <mergeCell ref="QH66:QI66"/>
    <mergeCell ref="QJ66:QK66"/>
    <mergeCell ref="QL66:QM66"/>
    <mergeCell ref="QN66:QO66"/>
    <mergeCell ref="QP66:QQ66"/>
    <mergeCell ref="QR66:QS66"/>
    <mergeCell ref="QT66:QU66"/>
    <mergeCell ref="QV66:QW66"/>
    <mergeCell ref="QX66:QY66"/>
    <mergeCell ref="QZ66:RA66"/>
    <mergeCell ref="RB66:RC66"/>
    <mergeCell ref="JN67:JO67"/>
    <mergeCell ref="JP67:JQ67"/>
    <mergeCell ref="JR67:JS67"/>
    <mergeCell ref="JT67:JU67"/>
    <mergeCell ref="JV67:JW67"/>
    <mergeCell ref="JX67:JY67"/>
    <mergeCell ref="JZ67:KA67"/>
    <mergeCell ref="KB67:KC67"/>
    <mergeCell ref="KD67:KE67"/>
    <mergeCell ref="KF67:KG67"/>
    <mergeCell ref="KH67:KI67"/>
    <mergeCell ref="KJ67:KK67"/>
    <mergeCell ref="KL67:KM67"/>
    <mergeCell ref="KN67:KO67"/>
    <mergeCell ref="KP67:KQ67"/>
    <mergeCell ref="KR67:KS67"/>
    <mergeCell ref="KT67:KU67"/>
    <mergeCell ref="KV67:KW67"/>
    <mergeCell ref="KX67:KY67"/>
    <mergeCell ref="KZ67:LA67"/>
    <mergeCell ref="LB67:LC67"/>
    <mergeCell ref="LD67:LE67"/>
    <mergeCell ref="LF67:LG67"/>
    <mergeCell ref="LH67:LI67"/>
    <mergeCell ref="LJ67:LK67"/>
    <mergeCell ref="LL67:LM67"/>
    <mergeCell ref="LN67:LO67"/>
    <mergeCell ref="LP67:LQ67"/>
    <mergeCell ref="LR67:LS67"/>
    <mergeCell ref="LT67:LU67"/>
    <mergeCell ref="LV67:LW67"/>
    <mergeCell ref="LX67:LY67"/>
    <mergeCell ref="LZ67:MA67"/>
    <mergeCell ref="MB67:MC67"/>
    <mergeCell ref="MD67:ME67"/>
    <mergeCell ref="MF67:MG67"/>
    <mergeCell ref="MH67:MI67"/>
    <mergeCell ref="MJ67:MK67"/>
    <mergeCell ref="ML67:MM67"/>
    <mergeCell ref="MN67:MO67"/>
    <mergeCell ref="MP67:MQ67"/>
    <mergeCell ref="MR67:MS67"/>
    <mergeCell ref="MT67:MU67"/>
    <mergeCell ref="MV67:MW67"/>
    <mergeCell ref="NB67:NC67"/>
    <mergeCell ref="ND67:NE67"/>
    <mergeCell ref="NF67:NG67"/>
    <mergeCell ref="NH67:NI67"/>
    <mergeCell ref="NJ66:NK66"/>
    <mergeCell ref="NL66:NM66"/>
    <mergeCell ref="NN66:NO66"/>
    <mergeCell ref="NP66:NQ66"/>
    <mergeCell ref="NR66:NS66"/>
    <mergeCell ref="NT66:NU66"/>
    <mergeCell ref="NV66:NW66"/>
    <mergeCell ref="NX66:NY66"/>
    <mergeCell ref="NZ66:OA66"/>
    <mergeCell ref="OB66:OC66"/>
    <mergeCell ref="OD66:OE66"/>
    <mergeCell ref="OF66:OG66"/>
    <mergeCell ref="OH66:OI66"/>
    <mergeCell ref="OJ66:OK66"/>
    <mergeCell ref="OL66:OM66"/>
    <mergeCell ref="ON66:OO66"/>
    <mergeCell ref="OP66:OQ66"/>
    <mergeCell ref="OR66:OS66"/>
    <mergeCell ref="OT66:OU66"/>
    <mergeCell ref="OV66:OW66"/>
    <mergeCell ref="OX66:OY66"/>
    <mergeCell ref="OZ66:PA66"/>
    <mergeCell ref="PB66:PC66"/>
    <mergeCell ref="PD66:PE66"/>
    <mergeCell ref="PF66:PG66"/>
    <mergeCell ref="PH66:PI66"/>
    <mergeCell ref="PJ66:PK66"/>
    <mergeCell ref="PL66:PM66"/>
    <mergeCell ref="PN66:PO66"/>
    <mergeCell ref="PP66:PQ66"/>
    <mergeCell ref="PR66:PS66"/>
    <mergeCell ref="PT66:PU66"/>
    <mergeCell ref="PV66:PW66"/>
    <mergeCell ref="PX65:PY65"/>
    <mergeCell ref="PZ65:QA65"/>
    <mergeCell ref="QB65:QC65"/>
    <mergeCell ref="QD65:QE65"/>
    <mergeCell ref="QF65:QG65"/>
    <mergeCell ref="QH65:QI65"/>
    <mergeCell ref="QJ65:QK65"/>
    <mergeCell ref="QL65:QM65"/>
    <mergeCell ref="QN65:QO65"/>
    <mergeCell ref="QP65:QQ65"/>
    <mergeCell ref="QR65:QS65"/>
    <mergeCell ref="QT65:QU65"/>
    <mergeCell ref="QV65:QW65"/>
    <mergeCell ref="QX65:QY65"/>
    <mergeCell ref="QZ65:RA65"/>
    <mergeCell ref="RB65:RC65"/>
    <mergeCell ref="JN66:JO66"/>
    <mergeCell ref="JP66:JQ66"/>
    <mergeCell ref="JR66:JS66"/>
    <mergeCell ref="JT66:JU66"/>
    <mergeCell ref="JV66:JW66"/>
    <mergeCell ref="JX66:JY66"/>
    <mergeCell ref="JZ66:KA66"/>
    <mergeCell ref="KB66:KC66"/>
    <mergeCell ref="KD66:KE66"/>
    <mergeCell ref="KF66:KG66"/>
    <mergeCell ref="KH66:KI66"/>
    <mergeCell ref="KJ66:KK66"/>
    <mergeCell ref="KL66:KM66"/>
    <mergeCell ref="KN66:KO66"/>
    <mergeCell ref="KP66:KQ66"/>
    <mergeCell ref="KR66:KS66"/>
    <mergeCell ref="KT66:KU66"/>
    <mergeCell ref="KV66:KW66"/>
    <mergeCell ref="KX66:KY66"/>
    <mergeCell ref="KZ66:LA66"/>
    <mergeCell ref="LB66:LC66"/>
    <mergeCell ref="LD66:LE66"/>
    <mergeCell ref="LF66:LG66"/>
    <mergeCell ref="LH66:LI66"/>
    <mergeCell ref="LJ66:LK66"/>
    <mergeCell ref="LL66:LM66"/>
    <mergeCell ref="LN66:LO66"/>
    <mergeCell ref="LP66:LQ66"/>
    <mergeCell ref="LR66:LS66"/>
    <mergeCell ref="LT66:LU66"/>
    <mergeCell ref="LV66:LW66"/>
    <mergeCell ref="LX66:LY66"/>
    <mergeCell ref="LZ66:MA66"/>
    <mergeCell ref="MB66:MC66"/>
    <mergeCell ref="MD66:ME66"/>
    <mergeCell ref="MF66:MG66"/>
    <mergeCell ref="MH66:MI66"/>
    <mergeCell ref="MJ66:MK66"/>
    <mergeCell ref="ML66:MM66"/>
    <mergeCell ref="MN66:MO66"/>
    <mergeCell ref="MP66:MQ66"/>
    <mergeCell ref="MR66:MS66"/>
    <mergeCell ref="MT66:MU66"/>
    <mergeCell ref="MV66:MW66"/>
    <mergeCell ref="NB66:NC66"/>
    <mergeCell ref="ND66:NE66"/>
    <mergeCell ref="NF66:NG66"/>
    <mergeCell ref="NH66:NI66"/>
    <mergeCell ref="NJ65:NK65"/>
    <mergeCell ref="NL65:NM65"/>
    <mergeCell ref="NN65:NO65"/>
    <mergeCell ref="NP65:NQ65"/>
    <mergeCell ref="NR65:NS65"/>
    <mergeCell ref="NT65:NU65"/>
    <mergeCell ref="NV65:NW65"/>
    <mergeCell ref="NX65:NY65"/>
    <mergeCell ref="NZ65:OA65"/>
    <mergeCell ref="OB65:OC65"/>
    <mergeCell ref="OD65:OE65"/>
    <mergeCell ref="OF65:OG65"/>
    <mergeCell ref="OH65:OI65"/>
    <mergeCell ref="OJ65:OK65"/>
    <mergeCell ref="OL65:OM65"/>
    <mergeCell ref="ON65:OO65"/>
    <mergeCell ref="OP65:OQ65"/>
    <mergeCell ref="OR65:OS65"/>
    <mergeCell ref="OT65:OU65"/>
    <mergeCell ref="OV65:OW65"/>
    <mergeCell ref="OX65:OY65"/>
    <mergeCell ref="OZ65:PA65"/>
    <mergeCell ref="PB65:PC65"/>
    <mergeCell ref="PD65:PE65"/>
    <mergeCell ref="PF65:PG65"/>
    <mergeCell ref="PH65:PI65"/>
    <mergeCell ref="PJ65:PK65"/>
    <mergeCell ref="PL65:PM65"/>
    <mergeCell ref="PN65:PO65"/>
    <mergeCell ref="PP65:PQ65"/>
    <mergeCell ref="PR65:PS65"/>
    <mergeCell ref="PT65:PU65"/>
    <mergeCell ref="PV65:PW65"/>
    <mergeCell ref="PX64:PY64"/>
    <mergeCell ref="PZ64:QA64"/>
    <mergeCell ref="QB64:QC64"/>
    <mergeCell ref="QD64:QE64"/>
    <mergeCell ref="QF64:QG64"/>
    <mergeCell ref="QH64:QI64"/>
    <mergeCell ref="QJ64:QK64"/>
    <mergeCell ref="QL64:QM64"/>
    <mergeCell ref="QN64:QO64"/>
    <mergeCell ref="QP64:QQ64"/>
    <mergeCell ref="QR64:QS64"/>
    <mergeCell ref="QT64:QU64"/>
    <mergeCell ref="QV64:QW64"/>
    <mergeCell ref="QX64:QY64"/>
    <mergeCell ref="QZ64:RA64"/>
    <mergeCell ref="RB64:RC64"/>
    <mergeCell ref="JN65:JO65"/>
    <mergeCell ref="JP65:JQ65"/>
    <mergeCell ref="JR65:JS65"/>
    <mergeCell ref="JT65:JU65"/>
    <mergeCell ref="JV65:JW65"/>
    <mergeCell ref="JX65:JY65"/>
    <mergeCell ref="JZ65:KA65"/>
    <mergeCell ref="KB65:KC65"/>
    <mergeCell ref="KD65:KE65"/>
    <mergeCell ref="KF65:KG65"/>
    <mergeCell ref="KH65:KI65"/>
    <mergeCell ref="KJ65:KK65"/>
    <mergeCell ref="KL65:KM65"/>
    <mergeCell ref="KN65:KO65"/>
    <mergeCell ref="KP65:KQ65"/>
    <mergeCell ref="KR65:KS65"/>
    <mergeCell ref="KT65:KU65"/>
    <mergeCell ref="KV65:KW65"/>
    <mergeCell ref="KX65:KY65"/>
    <mergeCell ref="KZ65:LA65"/>
    <mergeCell ref="LB65:LC65"/>
    <mergeCell ref="LD65:LE65"/>
    <mergeCell ref="LF65:LG65"/>
    <mergeCell ref="LH65:LI65"/>
    <mergeCell ref="LJ65:LK65"/>
    <mergeCell ref="LL65:LM65"/>
    <mergeCell ref="LN65:LO65"/>
    <mergeCell ref="LP65:LQ65"/>
    <mergeCell ref="LR65:LS65"/>
    <mergeCell ref="LT65:LU65"/>
    <mergeCell ref="LV65:LW65"/>
    <mergeCell ref="LX65:LY65"/>
    <mergeCell ref="LZ65:MA65"/>
    <mergeCell ref="MB65:MC65"/>
    <mergeCell ref="MD65:ME65"/>
    <mergeCell ref="MF65:MG65"/>
    <mergeCell ref="MH65:MI65"/>
    <mergeCell ref="MJ65:MK65"/>
    <mergeCell ref="ML65:MM65"/>
    <mergeCell ref="MN65:MO65"/>
    <mergeCell ref="MP65:MQ65"/>
    <mergeCell ref="MR65:MS65"/>
    <mergeCell ref="MT65:MU65"/>
    <mergeCell ref="MV65:MW65"/>
    <mergeCell ref="MX65:MY65"/>
    <mergeCell ref="NB65:NC65"/>
    <mergeCell ref="ND65:NE65"/>
    <mergeCell ref="NF65:NG65"/>
    <mergeCell ref="NJ64:NK64"/>
    <mergeCell ref="NL64:NM64"/>
    <mergeCell ref="NN64:NO64"/>
    <mergeCell ref="NP64:NQ64"/>
    <mergeCell ref="NR64:NS64"/>
    <mergeCell ref="NT64:NU64"/>
    <mergeCell ref="NV64:NW64"/>
    <mergeCell ref="NX64:NY64"/>
    <mergeCell ref="NZ64:OA64"/>
    <mergeCell ref="OB64:OC64"/>
    <mergeCell ref="OD64:OE64"/>
    <mergeCell ref="OF64:OG64"/>
    <mergeCell ref="OH64:OI64"/>
    <mergeCell ref="OJ64:OK64"/>
    <mergeCell ref="OL64:OM64"/>
    <mergeCell ref="ON64:OO64"/>
    <mergeCell ref="OP64:OQ64"/>
    <mergeCell ref="OR64:OS64"/>
    <mergeCell ref="OT64:OU64"/>
    <mergeCell ref="OV64:OW64"/>
    <mergeCell ref="OX64:OY64"/>
    <mergeCell ref="OZ64:PA64"/>
    <mergeCell ref="PB64:PC64"/>
    <mergeCell ref="PD64:PE64"/>
    <mergeCell ref="PF64:PG64"/>
    <mergeCell ref="PH64:PI64"/>
    <mergeCell ref="PJ64:PK64"/>
    <mergeCell ref="PL64:PM64"/>
    <mergeCell ref="PN64:PO64"/>
    <mergeCell ref="PP64:PQ64"/>
    <mergeCell ref="PR64:PS64"/>
    <mergeCell ref="PT64:PU64"/>
    <mergeCell ref="PV64:PW64"/>
    <mergeCell ref="PX63:PY63"/>
    <mergeCell ref="PZ63:QA63"/>
    <mergeCell ref="QB63:QC63"/>
    <mergeCell ref="QD63:QE63"/>
    <mergeCell ref="QF63:QG63"/>
    <mergeCell ref="QH63:QI63"/>
    <mergeCell ref="QJ63:QK63"/>
    <mergeCell ref="QL63:QM63"/>
    <mergeCell ref="QN63:QO63"/>
    <mergeCell ref="QP63:QQ63"/>
    <mergeCell ref="QR63:QS63"/>
    <mergeCell ref="QT63:QU63"/>
    <mergeCell ref="QV63:QW63"/>
    <mergeCell ref="QX63:QY63"/>
    <mergeCell ref="QZ63:RA63"/>
    <mergeCell ref="RB63:RC63"/>
    <mergeCell ref="JN64:JO64"/>
    <mergeCell ref="JP64:JQ64"/>
    <mergeCell ref="JR64:JS64"/>
    <mergeCell ref="JT64:JU64"/>
    <mergeCell ref="JV64:JW64"/>
    <mergeCell ref="JX64:JY64"/>
    <mergeCell ref="JZ64:KA64"/>
    <mergeCell ref="KB64:KC64"/>
    <mergeCell ref="KD64:KE64"/>
    <mergeCell ref="KF64:KG64"/>
    <mergeCell ref="KH64:KI64"/>
    <mergeCell ref="KJ64:KK64"/>
    <mergeCell ref="KL64:KM64"/>
    <mergeCell ref="KN64:KO64"/>
    <mergeCell ref="KP64:KQ64"/>
    <mergeCell ref="KR64:KS64"/>
    <mergeCell ref="KT64:KU64"/>
    <mergeCell ref="KV64:KW64"/>
    <mergeCell ref="KX64:KY64"/>
    <mergeCell ref="KZ64:LA64"/>
    <mergeCell ref="LB64:LC64"/>
    <mergeCell ref="LD64:LE64"/>
    <mergeCell ref="LF64:LG64"/>
    <mergeCell ref="LH64:LI64"/>
    <mergeCell ref="LJ64:LK64"/>
    <mergeCell ref="LL64:LM64"/>
    <mergeCell ref="LN64:LO64"/>
    <mergeCell ref="LP64:LQ64"/>
    <mergeCell ref="LR64:LS64"/>
    <mergeCell ref="LT64:LU64"/>
    <mergeCell ref="LV64:LW64"/>
    <mergeCell ref="LX64:LY64"/>
    <mergeCell ref="LZ64:MA64"/>
    <mergeCell ref="MB64:MC64"/>
    <mergeCell ref="MD64:ME64"/>
    <mergeCell ref="MF64:MG64"/>
    <mergeCell ref="MH64:MI64"/>
    <mergeCell ref="MJ64:MK64"/>
    <mergeCell ref="ML64:MM64"/>
    <mergeCell ref="MN64:MO64"/>
    <mergeCell ref="MP64:MQ64"/>
    <mergeCell ref="MR64:MS64"/>
    <mergeCell ref="MT64:MU64"/>
    <mergeCell ref="MV64:MW64"/>
    <mergeCell ref="MX64:MY64"/>
    <mergeCell ref="MZ64:NA64"/>
    <mergeCell ref="NB64:NC64"/>
    <mergeCell ref="ND64:NE64"/>
    <mergeCell ref="NJ63:NK63"/>
    <mergeCell ref="NL63:NM63"/>
    <mergeCell ref="NN63:NO63"/>
    <mergeCell ref="NP63:NQ63"/>
    <mergeCell ref="NR63:NS63"/>
    <mergeCell ref="NT63:NU63"/>
    <mergeCell ref="NV63:NW63"/>
    <mergeCell ref="NX63:NY63"/>
    <mergeCell ref="NZ63:OA63"/>
    <mergeCell ref="OB63:OC63"/>
    <mergeCell ref="OD63:OE63"/>
    <mergeCell ref="OF63:OG63"/>
    <mergeCell ref="OH63:OI63"/>
    <mergeCell ref="OJ63:OK63"/>
    <mergeCell ref="OL63:OM63"/>
    <mergeCell ref="ON63:OO63"/>
    <mergeCell ref="OP63:OQ63"/>
    <mergeCell ref="OR63:OS63"/>
    <mergeCell ref="OT63:OU63"/>
    <mergeCell ref="OV63:OW63"/>
    <mergeCell ref="OX63:OY63"/>
    <mergeCell ref="OZ63:PA63"/>
    <mergeCell ref="PB63:PC63"/>
    <mergeCell ref="PD63:PE63"/>
    <mergeCell ref="PF63:PG63"/>
    <mergeCell ref="PH63:PI63"/>
    <mergeCell ref="PJ63:PK63"/>
    <mergeCell ref="PL63:PM63"/>
    <mergeCell ref="PN63:PO63"/>
    <mergeCell ref="PP63:PQ63"/>
    <mergeCell ref="PR63:PS63"/>
    <mergeCell ref="PT63:PU63"/>
    <mergeCell ref="PV63:PW63"/>
    <mergeCell ref="PZ62:QA62"/>
    <mergeCell ref="QB62:QC62"/>
    <mergeCell ref="QD62:QE62"/>
    <mergeCell ref="QF62:QG62"/>
    <mergeCell ref="QH62:QI62"/>
    <mergeCell ref="QJ62:QK62"/>
    <mergeCell ref="QL62:QM62"/>
    <mergeCell ref="QN62:QO62"/>
    <mergeCell ref="QP62:QQ62"/>
    <mergeCell ref="QR62:QS62"/>
    <mergeCell ref="QT62:QU62"/>
    <mergeCell ref="QV62:QW62"/>
    <mergeCell ref="QX62:QY62"/>
    <mergeCell ref="QZ62:RA62"/>
    <mergeCell ref="RB62:RC62"/>
    <mergeCell ref="JN63:JO63"/>
    <mergeCell ref="JP63:JQ63"/>
    <mergeCell ref="JR63:JS63"/>
    <mergeCell ref="JT63:JU63"/>
    <mergeCell ref="JV63:JW63"/>
    <mergeCell ref="JX63:JY63"/>
    <mergeCell ref="JZ63:KA63"/>
    <mergeCell ref="KB63:KC63"/>
    <mergeCell ref="KD63:KE63"/>
    <mergeCell ref="KF63:KG63"/>
    <mergeCell ref="KH63:KI63"/>
    <mergeCell ref="KJ63:KK63"/>
    <mergeCell ref="KL63:KM63"/>
    <mergeCell ref="KN63:KO63"/>
    <mergeCell ref="KP63:KQ63"/>
    <mergeCell ref="KR63:KS63"/>
    <mergeCell ref="KT63:KU63"/>
    <mergeCell ref="KV63:KW63"/>
    <mergeCell ref="KX63:KY63"/>
    <mergeCell ref="KZ63:LA63"/>
    <mergeCell ref="LB63:LC63"/>
    <mergeCell ref="LD63:LE63"/>
    <mergeCell ref="LF63:LG63"/>
    <mergeCell ref="LH63:LI63"/>
    <mergeCell ref="LJ63:LK63"/>
    <mergeCell ref="LL63:LM63"/>
    <mergeCell ref="LN63:LO63"/>
    <mergeCell ref="LP63:LQ63"/>
    <mergeCell ref="LR63:LS63"/>
    <mergeCell ref="LT63:LU63"/>
    <mergeCell ref="LV63:LW63"/>
    <mergeCell ref="LX63:LY63"/>
    <mergeCell ref="LZ63:MA63"/>
    <mergeCell ref="MB63:MC63"/>
    <mergeCell ref="MD63:ME63"/>
    <mergeCell ref="MF63:MG63"/>
    <mergeCell ref="MH63:MI63"/>
    <mergeCell ref="MJ63:MK63"/>
    <mergeCell ref="ML63:MM63"/>
    <mergeCell ref="MN63:MO63"/>
    <mergeCell ref="MP63:MQ63"/>
    <mergeCell ref="MR63:MS63"/>
    <mergeCell ref="MT63:MU63"/>
    <mergeCell ref="MV63:MW63"/>
    <mergeCell ref="MX63:MY63"/>
    <mergeCell ref="MZ63:NA63"/>
    <mergeCell ref="NB63:NC63"/>
    <mergeCell ref="ND63:NE63"/>
    <mergeCell ref="NF63:NG63"/>
    <mergeCell ref="NL62:NM62"/>
    <mergeCell ref="NN62:NO62"/>
    <mergeCell ref="NP62:NQ62"/>
    <mergeCell ref="NR62:NS62"/>
    <mergeCell ref="NT62:NU62"/>
    <mergeCell ref="NV62:NW62"/>
    <mergeCell ref="NX62:NY62"/>
    <mergeCell ref="NZ62:OA62"/>
    <mergeCell ref="OB62:OC62"/>
    <mergeCell ref="OD62:OE62"/>
    <mergeCell ref="OF62:OG62"/>
    <mergeCell ref="OH62:OI62"/>
    <mergeCell ref="OJ62:OK62"/>
    <mergeCell ref="OL62:OM62"/>
    <mergeCell ref="ON62:OO62"/>
    <mergeCell ref="OP62:OQ62"/>
    <mergeCell ref="OR62:OS62"/>
    <mergeCell ref="OT62:OU62"/>
    <mergeCell ref="OV62:OW62"/>
    <mergeCell ref="OX62:OY62"/>
    <mergeCell ref="OZ62:PA62"/>
    <mergeCell ref="PB62:PC62"/>
    <mergeCell ref="PD62:PE62"/>
    <mergeCell ref="PF62:PG62"/>
    <mergeCell ref="PH62:PI62"/>
    <mergeCell ref="PJ62:PK62"/>
    <mergeCell ref="PL62:PM62"/>
    <mergeCell ref="PN62:PO62"/>
    <mergeCell ref="PP62:PQ62"/>
    <mergeCell ref="PR62:PS62"/>
    <mergeCell ref="PT62:PU62"/>
    <mergeCell ref="PV62:PW62"/>
    <mergeCell ref="PX62:PY62"/>
    <mergeCell ref="QD61:QE61"/>
    <mergeCell ref="QF61:QG61"/>
    <mergeCell ref="QH61:QI61"/>
    <mergeCell ref="QJ61:QK61"/>
    <mergeCell ref="QL61:QM61"/>
    <mergeCell ref="QN61:QO61"/>
    <mergeCell ref="QP61:QQ61"/>
    <mergeCell ref="QR61:QS61"/>
    <mergeCell ref="QT61:QU61"/>
    <mergeCell ref="QV61:QW61"/>
    <mergeCell ref="QX61:QY61"/>
    <mergeCell ref="QZ61:RA61"/>
    <mergeCell ref="RB61:RC61"/>
    <mergeCell ref="JN62:JO62"/>
    <mergeCell ref="JP62:JQ62"/>
    <mergeCell ref="JR62:JS62"/>
    <mergeCell ref="JT62:JU62"/>
    <mergeCell ref="JV62:JW62"/>
    <mergeCell ref="JX62:JY62"/>
    <mergeCell ref="JZ62:KA62"/>
    <mergeCell ref="KB62:KC62"/>
    <mergeCell ref="KD62:KE62"/>
    <mergeCell ref="KF62:KG62"/>
    <mergeCell ref="KH62:KI62"/>
    <mergeCell ref="KJ62:KK62"/>
    <mergeCell ref="KL62:KM62"/>
    <mergeCell ref="KN62:KO62"/>
    <mergeCell ref="KP62:KQ62"/>
    <mergeCell ref="KR62:KS62"/>
    <mergeCell ref="KT62:KU62"/>
    <mergeCell ref="KV62:KW62"/>
    <mergeCell ref="KX62:KY62"/>
    <mergeCell ref="KZ62:LA62"/>
    <mergeCell ref="LB62:LC62"/>
    <mergeCell ref="LD62:LE62"/>
    <mergeCell ref="LF62:LG62"/>
    <mergeCell ref="LH62:LI62"/>
    <mergeCell ref="LJ62:LK62"/>
    <mergeCell ref="LL62:LM62"/>
    <mergeCell ref="LN62:LO62"/>
    <mergeCell ref="LP62:LQ62"/>
    <mergeCell ref="LR62:LS62"/>
    <mergeCell ref="LT62:LU62"/>
    <mergeCell ref="LV62:LW62"/>
    <mergeCell ref="LX62:LY62"/>
    <mergeCell ref="LZ62:MA62"/>
    <mergeCell ref="MB62:MC62"/>
    <mergeCell ref="MD62:ME62"/>
    <mergeCell ref="MF62:MG62"/>
    <mergeCell ref="MH62:MI62"/>
    <mergeCell ref="MJ62:MK62"/>
    <mergeCell ref="ML62:MM62"/>
    <mergeCell ref="MN62:MO62"/>
    <mergeCell ref="MP62:MQ62"/>
    <mergeCell ref="MR62:MS62"/>
    <mergeCell ref="MT62:MU62"/>
    <mergeCell ref="MV62:MW62"/>
    <mergeCell ref="MX62:MY62"/>
    <mergeCell ref="MZ62:NA62"/>
    <mergeCell ref="NB62:NC62"/>
    <mergeCell ref="ND62:NE62"/>
    <mergeCell ref="NF62:NG62"/>
    <mergeCell ref="NH62:NI62"/>
    <mergeCell ref="NJ62:NK62"/>
    <mergeCell ref="NP61:NQ61"/>
    <mergeCell ref="NR61:NS61"/>
    <mergeCell ref="NT61:NU61"/>
    <mergeCell ref="NV61:NW61"/>
    <mergeCell ref="NX61:NY61"/>
    <mergeCell ref="NZ61:OA61"/>
    <mergeCell ref="OB61:OC61"/>
    <mergeCell ref="OD61:OE61"/>
    <mergeCell ref="OF61:OG61"/>
    <mergeCell ref="OH61:OI61"/>
    <mergeCell ref="OJ61:OK61"/>
    <mergeCell ref="OL61:OM61"/>
    <mergeCell ref="ON61:OO61"/>
    <mergeCell ref="OP61:OQ61"/>
    <mergeCell ref="OR61:OS61"/>
    <mergeCell ref="OT61:OU61"/>
    <mergeCell ref="OV61:OW61"/>
    <mergeCell ref="OX61:OY61"/>
    <mergeCell ref="OZ61:PA61"/>
    <mergeCell ref="PB61:PC61"/>
    <mergeCell ref="PD61:PE61"/>
    <mergeCell ref="PF61:PG61"/>
    <mergeCell ref="PH61:PI61"/>
    <mergeCell ref="PJ61:PK61"/>
    <mergeCell ref="PL61:PM61"/>
    <mergeCell ref="PN61:PO61"/>
    <mergeCell ref="PP61:PQ61"/>
    <mergeCell ref="PR61:PS61"/>
    <mergeCell ref="PT61:PU61"/>
    <mergeCell ref="PV61:PW61"/>
    <mergeCell ref="PX61:PY61"/>
    <mergeCell ref="PZ61:QA61"/>
    <mergeCell ref="QB61:QC61"/>
    <mergeCell ref="QH60:QI60"/>
    <mergeCell ref="QJ60:QK60"/>
    <mergeCell ref="QL60:QM60"/>
    <mergeCell ref="QN60:QO60"/>
    <mergeCell ref="QP60:QQ60"/>
    <mergeCell ref="QR60:QS60"/>
    <mergeCell ref="QT60:QU60"/>
    <mergeCell ref="QV60:QW60"/>
    <mergeCell ref="QX60:QY60"/>
    <mergeCell ref="QZ60:RA60"/>
    <mergeCell ref="RB60:RC60"/>
    <mergeCell ref="JN61:JO61"/>
    <mergeCell ref="JP61:JQ61"/>
    <mergeCell ref="JR61:JS61"/>
    <mergeCell ref="JT61:JU61"/>
    <mergeCell ref="JV61:JW61"/>
    <mergeCell ref="JX61:JY61"/>
    <mergeCell ref="JZ61:KA61"/>
    <mergeCell ref="KB61:KC61"/>
    <mergeCell ref="KD61:KE61"/>
    <mergeCell ref="KF61:KG61"/>
    <mergeCell ref="KH61:KI61"/>
    <mergeCell ref="KJ61:KK61"/>
    <mergeCell ref="KL61:KM61"/>
    <mergeCell ref="KN61:KO61"/>
    <mergeCell ref="KP61:KQ61"/>
    <mergeCell ref="KR61:KS61"/>
    <mergeCell ref="KT61:KU61"/>
    <mergeCell ref="KV61:KW61"/>
    <mergeCell ref="KX61:KY61"/>
    <mergeCell ref="KZ61:LA61"/>
    <mergeCell ref="LB61:LC61"/>
    <mergeCell ref="LD61:LE61"/>
    <mergeCell ref="LF61:LG61"/>
    <mergeCell ref="LH61:LI61"/>
    <mergeCell ref="LJ61:LK61"/>
    <mergeCell ref="LL61:LM61"/>
    <mergeCell ref="LN61:LO61"/>
    <mergeCell ref="LP61:LQ61"/>
    <mergeCell ref="LR61:LS61"/>
    <mergeCell ref="LT61:LU61"/>
    <mergeCell ref="LV61:LW61"/>
    <mergeCell ref="LX61:LY61"/>
    <mergeCell ref="LZ61:MA61"/>
    <mergeCell ref="MB61:MC61"/>
    <mergeCell ref="MD61:ME61"/>
    <mergeCell ref="MF61:MG61"/>
    <mergeCell ref="MH61:MI61"/>
    <mergeCell ref="MJ61:MK61"/>
    <mergeCell ref="ML61:MM61"/>
    <mergeCell ref="MN61:MO61"/>
    <mergeCell ref="MP61:MQ61"/>
    <mergeCell ref="MR61:MS61"/>
    <mergeCell ref="MT61:MU61"/>
    <mergeCell ref="MV61:MW61"/>
    <mergeCell ref="MX61:MY61"/>
    <mergeCell ref="MZ61:NA61"/>
    <mergeCell ref="NB61:NC61"/>
    <mergeCell ref="ND61:NE61"/>
    <mergeCell ref="NF61:NG61"/>
    <mergeCell ref="NH61:NI61"/>
    <mergeCell ref="NJ61:NK61"/>
    <mergeCell ref="NL61:NM61"/>
    <mergeCell ref="NN61:NO61"/>
    <mergeCell ref="NT60:NU60"/>
    <mergeCell ref="NV60:NW60"/>
    <mergeCell ref="NX60:NY60"/>
    <mergeCell ref="NZ60:OA60"/>
    <mergeCell ref="OB60:OC60"/>
    <mergeCell ref="OD60:OE60"/>
    <mergeCell ref="OF60:OG60"/>
    <mergeCell ref="OH60:OI60"/>
    <mergeCell ref="OJ60:OK60"/>
    <mergeCell ref="OL60:OM60"/>
    <mergeCell ref="ON60:OO60"/>
    <mergeCell ref="OP60:OQ60"/>
    <mergeCell ref="OR60:OS60"/>
    <mergeCell ref="OT60:OU60"/>
    <mergeCell ref="OV60:OW60"/>
    <mergeCell ref="OX60:OY60"/>
    <mergeCell ref="OZ60:PA60"/>
    <mergeCell ref="PB60:PC60"/>
    <mergeCell ref="PD60:PE60"/>
    <mergeCell ref="PF60:PG60"/>
    <mergeCell ref="PH60:PI60"/>
    <mergeCell ref="PJ60:PK60"/>
    <mergeCell ref="PL60:PM60"/>
    <mergeCell ref="PN60:PO60"/>
    <mergeCell ref="PP60:PQ60"/>
    <mergeCell ref="PR60:PS60"/>
    <mergeCell ref="PT60:PU60"/>
    <mergeCell ref="PV60:PW60"/>
    <mergeCell ref="PX60:PY60"/>
    <mergeCell ref="PZ60:QA60"/>
    <mergeCell ref="QB60:QC60"/>
    <mergeCell ref="QD60:QE60"/>
    <mergeCell ref="QF60:QG60"/>
    <mergeCell ref="QL59:QM59"/>
    <mergeCell ref="QN59:QO59"/>
    <mergeCell ref="QP59:QQ59"/>
    <mergeCell ref="QR59:QS59"/>
    <mergeCell ref="QT59:QU59"/>
    <mergeCell ref="QV59:QW59"/>
    <mergeCell ref="QX59:QY59"/>
    <mergeCell ref="QZ59:RA59"/>
    <mergeCell ref="RB59:RC59"/>
    <mergeCell ref="JN60:JO60"/>
    <mergeCell ref="JP60:JQ60"/>
    <mergeCell ref="JR60:JS60"/>
    <mergeCell ref="JT60:JU60"/>
    <mergeCell ref="JV60:JW60"/>
    <mergeCell ref="JX60:JY60"/>
    <mergeCell ref="JZ60:KA60"/>
    <mergeCell ref="KB60:KC60"/>
    <mergeCell ref="KD60:KE60"/>
    <mergeCell ref="KF60:KG60"/>
    <mergeCell ref="KH60:KI60"/>
    <mergeCell ref="KJ60:KK60"/>
    <mergeCell ref="KL60:KM60"/>
    <mergeCell ref="KN60:KO60"/>
    <mergeCell ref="KP60:KQ60"/>
    <mergeCell ref="KR60:KS60"/>
    <mergeCell ref="KT60:KU60"/>
    <mergeCell ref="KV60:KW60"/>
    <mergeCell ref="KX60:KY60"/>
    <mergeCell ref="KZ60:LA60"/>
    <mergeCell ref="LB60:LC60"/>
    <mergeCell ref="LD60:LE60"/>
    <mergeCell ref="LF60:LG60"/>
    <mergeCell ref="LH60:LI60"/>
    <mergeCell ref="LJ60:LK60"/>
    <mergeCell ref="LL60:LM60"/>
    <mergeCell ref="LN60:LO60"/>
    <mergeCell ref="LP60:LQ60"/>
    <mergeCell ref="LR60:LS60"/>
    <mergeCell ref="LT60:LU60"/>
    <mergeCell ref="LV60:LW60"/>
    <mergeCell ref="LX60:LY60"/>
    <mergeCell ref="LZ60:MA60"/>
    <mergeCell ref="MB60:MC60"/>
    <mergeCell ref="MD60:ME60"/>
    <mergeCell ref="MF60:MG60"/>
    <mergeCell ref="MH60:MI60"/>
    <mergeCell ref="MJ60:MK60"/>
    <mergeCell ref="ML60:MM60"/>
    <mergeCell ref="MN60:MO60"/>
    <mergeCell ref="MP60:MQ60"/>
    <mergeCell ref="MR60:MS60"/>
    <mergeCell ref="MT60:MU60"/>
    <mergeCell ref="MV60:MW60"/>
    <mergeCell ref="MX60:MY60"/>
    <mergeCell ref="MZ60:NA60"/>
    <mergeCell ref="NB60:NC60"/>
    <mergeCell ref="ND60:NE60"/>
    <mergeCell ref="NF60:NG60"/>
    <mergeCell ref="NH60:NI60"/>
    <mergeCell ref="NJ60:NK60"/>
    <mergeCell ref="NL60:NM60"/>
    <mergeCell ref="NN60:NO60"/>
    <mergeCell ref="NP60:NQ60"/>
    <mergeCell ref="NR60:NS60"/>
    <mergeCell ref="NX59:NY59"/>
    <mergeCell ref="NZ59:OA59"/>
    <mergeCell ref="OB59:OC59"/>
    <mergeCell ref="OD59:OE59"/>
    <mergeCell ref="OF59:OG59"/>
    <mergeCell ref="OH59:OI59"/>
    <mergeCell ref="OJ59:OK59"/>
    <mergeCell ref="OL59:OM59"/>
    <mergeCell ref="ON59:OO59"/>
    <mergeCell ref="OP59:OQ59"/>
    <mergeCell ref="OR59:OS59"/>
    <mergeCell ref="OT59:OU59"/>
    <mergeCell ref="OV59:OW59"/>
    <mergeCell ref="OX59:OY59"/>
    <mergeCell ref="OZ59:PA59"/>
    <mergeCell ref="PB59:PC59"/>
    <mergeCell ref="PD59:PE59"/>
    <mergeCell ref="PF59:PG59"/>
    <mergeCell ref="PH59:PI59"/>
    <mergeCell ref="PJ59:PK59"/>
    <mergeCell ref="PL59:PM59"/>
    <mergeCell ref="PN59:PO59"/>
    <mergeCell ref="PP59:PQ59"/>
    <mergeCell ref="PR59:PS59"/>
    <mergeCell ref="PT59:PU59"/>
    <mergeCell ref="PV59:PW59"/>
    <mergeCell ref="PX59:PY59"/>
    <mergeCell ref="PZ59:QA59"/>
    <mergeCell ref="QB59:QC59"/>
    <mergeCell ref="QD59:QE59"/>
    <mergeCell ref="QF59:QG59"/>
    <mergeCell ref="QH59:QI59"/>
    <mergeCell ref="QJ59:QK59"/>
    <mergeCell ref="QP58:QQ58"/>
    <mergeCell ref="QR58:QS58"/>
    <mergeCell ref="QT58:QU58"/>
    <mergeCell ref="QV58:QW58"/>
    <mergeCell ref="QX58:QY58"/>
    <mergeCell ref="QZ58:RA58"/>
    <mergeCell ref="RB58:RC58"/>
    <mergeCell ref="JN59:JO59"/>
    <mergeCell ref="JP59:JQ59"/>
    <mergeCell ref="JR59:JS59"/>
    <mergeCell ref="JT59:JU59"/>
    <mergeCell ref="JV59:JW59"/>
    <mergeCell ref="JX59:JY59"/>
    <mergeCell ref="JZ59:KA59"/>
    <mergeCell ref="KB59:KC59"/>
    <mergeCell ref="KD59:KE59"/>
    <mergeCell ref="KF59:KG59"/>
    <mergeCell ref="KH59:KI59"/>
    <mergeCell ref="KJ59:KK59"/>
    <mergeCell ref="KL59:KM59"/>
    <mergeCell ref="KN59:KO59"/>
    <mergeCell ref="KP59:KQ59"/>
    <mergeCell ref="KR59:KS59"/>
    <mergeCell ref="KT59:KU59"/>
    <mergeCell ref="KV59:KW59"/>
    <mergeCell ref="KX59:KY59"/>
    <mergeCell ref="KZ59:LA59"/>
    <mergeCell ref="LB59:LC59"/>
    <mergeCell ref="LD59:LE59"/>
    <mergeCell ref="LF59:LG59"/>
    <mergeCell ref="LH59:LI59"/>
    <mergeCell ref="LJ59:LK59"/>
    <mergeCell ref="LL59:LM59"/>
    <mergeCell ref="LN59:LO59"/>
    <mergeCell ref="LP59:LQ59"/>
    <mergeCell ref="LR59:LS59"/>
    <mergeCell ref="LT59:LU59"/>
    <mergeCell ref="LV59:LW59"/>
    <mergeCell ref="LX59:LY59"/>
    <mergeCell ref="LZ59:MA59"/>
    <mergeCell ref="MB59:MC59"/>
    <mergeCell ref="MD59:ME59"/>
    <mergeCell ref="MF59:MG59"/>
    <mergeCell ref="MH59:MI59"/>
    <mergeCell ref="MJ59:MK59"/>
    <mergeCell ref="ML59:MM59"/>
    <mergeCell ref="MN59:MO59"/>
    <mergeCell ref="MP59:MQ59"/>
    <mergeCell ref="MR59:MS59"/>
    <mergeCell ref="MT59:MU59"/>
    <mergeCell ref="MV59:MW59"/>
    <mergeCell ref="MX59:MY59"/>
    <mergeCell ref="MZ59:NA59"/>
    <mergeCell ref="NB59:NC59"/>
    <mergeCell ref="ND59:NE59"/>
    <mergeCell ref="NF59:NG59"/>
    <mergeCell ref="NH59:NI59"/>
    <mergeCell ref="NJ59:NK59"/>
    <mergeCell ref="NL59:NM59"/>
    <mergeCell ref="NN59:NO59"/>
    <mergeCell ref="NP59:NQ59"/>
    <mergeCell ref="NR59:NS59"/>
    <mergeCell ref="NT59:NU59"/>
    <mergeCell ref="NV59:NW59"/>
    <mergeCell ref="OB58:OC58"/>
    <mergeCell ref="OD58:OE58"/>
    <mergeCell ref="OF58:OG58"/>
    <mergeCell ref="OH58:OI58"/>
    <mergeCell ref="OJ58:OK58"/>
    <mergeCell ref="OL58:OM58"/>
    <mergeCell ref="ON58:OO58"/>
    <mergeCell ref="OP58:OQ58"/>
    <mergeCell ref="OR58:OS58"/>
    <mergeCell ref="OT58:OU58"/>
    <mergeCell ref="OV58:OW58"/>
    <mergeCell ref="OX58:OY58"/>
    <mergeCell ref="OZ58:PA58"/>
    <mergeCell ref="PB58:PC58"/>
    <mergeCell ref="PD58:PE58"/>
    <mergeCell ref="PF58:PG58"/>
    <mergeCell ref="PH58:PI58"/>
    <mergeCell ref="PJ58:PK58"/>
    <mergeCell ref="PL58:PM58"/>
    <mergeCell ref="PN58:PO58"/>
    <mergeCell ref="PP58:PQ58"/>
    <mergeCell ref="PR58:PS58"/>
    <mergeCell ref="PT58:PU58"/>
    <mergeCell ref="PV58:PW58"/>
    <mergeCell ref="PX58:PY58"/>
    <mergeCell ref="PZ58:QA58"/>
    <mergeCell ref="QB58:QC58"/>
    <mergeCell ref="QD58:QE58"/>
    <mergeCell ref="QF58:QG58"/>
    <mergeCell ref="QH58:QI58"/>
    <mergeCell ref="QJ58:QK58"/>
    <mergeCell ref="QL58:QM58"/>
    <mergeCell ref="QN58:QO58"/>
    <mergeCell ref="QT57:QU57"/>
    <mergeCell ref="QV57:QW57"/>
    <mergeCell ref="QX57:QY57"/>
    <mergeCell ref="QZ57:RA57"/>
    <mergeCell ref="RB57:RC57"/>
    <mergeCell ref="JN58:JO58"/>
    <mergeCell ref="JP58:JQ58"/>
    <mergeCell ref="JR58:JS58"/>
    <mergeCell ref="JT58:JU58"/>
    <mergeCell ref="JV58:JW58"/>
    <mergeCell ref="JX58:JY58"/>
    <mergeCell ref="JZ58:KA58"/>
    <mergeCell ref="KB58:KC58"/>
    <mergeCell ref="KD58:KE58"/>
    <mergeCell ref="KF58:KG58"/>
    <mergeCell ref="KH58:KI58"/>
    <mergeCell ref="KJ58:KK58"/>
    <mergeCell ref="KL58:KM58"/>
    <mergeCell ref="KN58:KO58"/>
    <mergeCell ref="KP58:KQ58"/>
    <mergeCell ref="KR58:KS58"/>
    <mergeCell ref="KT58:KU58"/>
    <mergeCell ref="KV58:KW58"/>
    <mergeCell ref="KX58:KY58"/>
    <mergeCell ref="KZ58:LA58"/>
    <mergeCell ref="LB58:LC58"/>
    <mergeCell ref="LD58:LE58"/>
    <mergeCell ref="LF58:LG58"/>
    <mergeCell ref="LH58:LI58"/>
    <mergeCell ref="LJ58:LK58"/>
    <mergeCell ref="LL58:LM58"/>
    <mergeCell ref="LN58:LO58"/>
    <mergeCell ref="LP58:LQ58"/>
    <mergeCell ref="LR58:LS58"/>
    <mergeCell ref="LT58:LU58"/>
    <mergeCell ref="LV58:LW58"/>
    <mergeCell ref="LX58:LY58"/>
    <mergeCell ref="LZ58:MA58"/>
    <mergeCell ref="MB58:MC58"/>
    <mergeCell ref="MD58:ME58"/>
    <mergeCell ref="MF58:MG58"/>
    <mergeCell ref="MH58:MI58"/>
    <mergeCell ref="MJ58:MK58"/>
    <mergeCell ref="ML58:MM58"/>
    <mergeCell ref="MN58:MO58"/>
    <mergeCell ref="MP58:MQ58"/>
    <mergeCell ref="MR58:MS58"/>
    <mergeCell ref="MT58:MU58"/>
    <mergeCell ref="MV58:MW58"/>
    <mergeCell ref="MX58:MY58"/>
    <mergeCell ref="MZ58:NA58"/>
    <mergeCell ref="NB58:NC58"/>
    <mergeCell ref="ND58:NE58"/>
    <mergeCell ref="NF58:NG58"/>
    <mergeCell ref="NH58:NI58"/>
    <mergeCell ref="NJ58:NK58"/>
    <mergeCell ref="NL58:NM58"/>
    <mergeCell ref="NN58:NO58"/>
    <mergeCell ref="NP58:NQ58"/>
    <mergeCell ref="NR58:NS58"/>
    <mergeCell ref="NT58:NU58"/>
    <mergeCell ref="NV58:NW58"/>
    <mergeCell ref="NX58:NY58"/>
    <mergeCell ref="NZ58:OA58"/>
    <mergeCell ref="OF57:OG57"/>
    <mergeCell ref="OH57:OI57"/>
    <mergeCell ref="OJ57:OK57"/>
    <mergeCell ref="OL57:OM57"/>
    <mergeCell ref="ON57:OO57"/>
    <mergeCell ref="OP57:OQ57"/>
    <mergeCell ref="OR57:OS57"/>
    <mergeCell ref="OT57:OU57"/>
    <mergeCell ref="OV57:OW57"/>
    <mergeCell ref="OX57:OY57"/>
    <mergeCell ref="OZ57:PA57"/>
    <mergeCell ref="PB57:PC57"/>
    <mergeCell ref="PD57:PE57"/>
    <mergeCell ref="PF57:PG57"/>
    <mergeCell ref="PH57:PI57"/>
    <mergeCell ref="PJ57:PK57"/>
    <mergeCell ref="PL57:PM57"/>
    <mergeCell ref="PN57:PO57"/>
    <mergeCell ref="PP57:PQ57"/>
    <mergeCell ref="PR57:PS57"/>
    <mergeCell ref="PT57:PU57"/>
    <mergeCell ref="PV57:PW57"/>
    <mergeCell ref="PX57:PY57"/>
    <mergeCell ref="PZ57:QA57"/>
    <mergeCell ref="QB57:QC57"/>
    <mergeCell ref="QD57:QE57"/>
    <mergeCell ref="QF57:QG57"/>
    <mergeCell ref="QH57:QI57"/>
    <mergeCell ref="QJ57:QK57"/>
    <mergeCell ref="QL57:QM57"/>
    <mergeCell ref="QN57:QO57"/>
    <mergeCell ref="QP57:QQ57"/>
    <mergeCell ref="QR57:QS57"/>
    <mergeCell ref="QT56:QU56"/>
    <mergeCell ref="QV56:QW56"/>
    <mergeCell ref="QX56:QY56"/>
    <mergeCell ref="QZ56:RA56"/>
    <mergeCell ref="RB56:RC56"/>
    <mergeCell ref="JR57:JS57"/>
    <mergeCell ref="JT57:JU57"/>
    <mergeCell ref="JV57:JW57"/>
    <mergeCell ref="JX57:JY57"/>
    <mergeCell ref="JZ57:KA57"/>
    <mergeCell ref="KB57:KC57"/>
    <mergeCell ref="KD57:KE57"/>
    <mergeCell ref="KF57:KG57"/>
    <mergeCell ref="KH57:KI57"/>
    <mergeCell ref="KJ57:KK57"/>
    <mergeCell ref="KL57:KM57"/>
    <mergeCell ref="KN57:KO57"/>
    <mergeCell ref="KP57:KQ57"/>
    <mergeCell ref="KR57:KS57"/>
    <mergeCell ref="KT57:KU57"/>
    <mergeCell ref="KV57:KW57"/>
    <mergeCell ref="KX57:KY57"/>
    <mergeCell ref="KZ57:LA57"/>
    <mergeCell ref="LB57:LC57"/>
    <mergeCell ref="LD57:LE57"/>
    <mergeCell ref="LF57:LG57"/>
    <mergeCell ref="LH57:LI57"/>
    <mergeCell ref="LJ57:LK57"/>
    <mergeCell ref="LL57:LM57"/>
    <mergeCell ref="LN57:LO57"/>
    <mergeCell ref="LP57:LQ57"/>
    <mergeCell ref="LR57:LS57"/>
    <mergeCell ref="LT57:LU57"/>
    <mergeCell ref="LV57:LW57"/>
    <mergeCell ref="LX57:LY57"/>
    <mergeCell ref="LZ57:MA57"/>
    <mergeCell ref="MB57:MC57"/>
    <mergeCell ref="MD57:ME57"/>
    <mergeCell ref="MF57:MG57"/>
    <mergeCell ref="MH57:MI57"/>
    <mergeCell ref="MJ57:MK57"/>
    <mergeCell ref="ML57:MM57"/>
    <mergeCell ref="MN57:MO57"/>
    <mergeCell ref="MP57:MQ57"/>
    <mergeCell ref="MR57:MS57"/>
    <mergeCell ref="MT57:MU57"/>
    <mergeCell ref="MV57:MW57"/>
    <mergeCell ref="MX57:MY57"/>
    <mergeCell ref="MZ57:NA57"/>
    <mergeCell ref="NB57:NC57"/>
    <mergeCell ref="ND57:NE57"/>
    <mergeCell ref="NF57:NG57"/>
    <mergeCell ref="NH57:NI57"/>
    <mergeCell ref="NJ57:NK57"/>
    <mergeCell ref="NL57:NM57"/>
    <mergeCell ref="NN57:NO57"/>
    <mergeCell ref="NP57:NQ57"/>
    <mergeCell ref="NR57:NS57"/>
    <mergeCell ref="NT57:NU57"/>
    <mergeCell ref="NV57:NW57"/>
    <mergeCell ref="NX57:NY57"/>
    <mergeCell ref="NZ57:OA57"/>
    <mergeCell ref="OB57:OC57"/>
    <mergeCell ref="OD57:OE57"/>
    <mergeCell ref="OF56:OG56"/>
    <mergeCell ref="OH56:OI56"/>
    <mergeCell ref="OJ56:OK56"/>
    <mergeCell ref="OL56:OM56"/>
    <mergeCell ref="ON56:OO56"/>
    <mergeCell ref="OP56:OQ56"/>
    <mergeCell ref="OR56:OS56"/>
    <mergeCell ref="OT56:OU56"/>
    <mergeCell ref="OV56:OW56"/>
    <mergeCell ref="OX56:OY56"/>
    <mergeCell ref="OZ56:PA56"/>
    <mergeCell ref="PB56:PC56"/>
    <mergeCell ref="PD56:PE56"/>
    <mergeCell ref="PF56:PG56"/>
    <mergeCell ref="PH56:PI56"/>
    <mergeCell ref="PJ56:PK56"/>
    <mergeCell ref="PL56:PM56"/>
    <mergeCell ref="PN56:PO56"/>
    <mergeCell ref="PP56:PQ56"/>
    <mergeCell ref="PR56:PS56"/>
    <mergeCell ref="PT56:PU56"/>
    <mergeCell ref="PV56:PW56"/>
    <mergeCell ref="PX56:PY56"/>
    <mergeCell ref="PZ56:QA56"/>
    <mergeCell ref="QB56:QC56"/>
    <mergeCell ref="QD56:QE56"/>
    <mergeCell ref="QF56:QG56"/>
    <mergeCell ref="QH56:QI56"/>
    <mergeCell ref="QJ56:QK56"/>
    <mergeCell ref="QL56:QM56"/>
    <mergeCell ref="QN56:QO56"/>
    <mergeCell ref="QP56:QQ56"/>
    <mergeCell ref="QR56:QS56"/>
    <mergeCell ref="QX55:QY55"/>
    <mergeCell ref="QZ55:RA55"/>
    <mergeCell ref="RB55:RC55"/>
    <mergeCell ref="JN56:JO56"/>
    <mergeCell ref="JP56:JQ56"/>
    <mergeCell ref="JR56:JS56"/>
    <mergeCell ref="JT56:JU56"/>
    <mergeCell ref="JV56:JW56"/>
    <mergeCell ref="JX56:JY56"/>
    <mergeCell ref="JZ56:KA56"/>
    <mergeCell ref="KB56:KC56"/>
    <mergeCell ref="KD56:KE56"/>
    <mergeCell ref="KF56:KG56"/>
    <mergeCell ref="KH56:KI56"/>
    <mergeCell ref="KJ56:KK56"/>
    <mergeCell ref="KL56:KM56"/>
    <mergeCell ref="KN56:KO56"/>
    <mergeCell ref="KP56:KQ56"/>
    <mergeCell ref="KR56:KS56"/>
    <mergeCell ref="KT56:KU56"/>
    <mergeCell ref="KV56:KW56"/>
    <mergeCell ref="KX56:KY56"/>
    <mergeCell ref="KZ56:LA56"/>
    <mergeCell ref="LB56:LC56"/>
    <mergeCell ref="LD56:LE56"/>
    <mergeCell ref="LF56:LG56"/>
    <mergeCell ref="LH56:LI56"/>
    <mergeCell ref="LJ56:LK56"/>
    <mergeCell ref="LL56:LM56"/>
    <mergeCell ref="LN56:LO56"/>
    <mergeCell ref="LP56:LQ56"/>
    <mergeCell ref="LR56:LS56"/>
    <mergeCell ref="LT56:LU56"/>
    <mergeCell ref="LV56:LW56"/>
    <mergeCell ref="LX56:LY56"/>
    <mergeCell ref="LZ56:MA56"/>
    <mergeCell ref="MB56:MC56"/>
    <mergeCell ref="MD56:ME56"/>
    <mergeCell ref="MF56:MG56"/>
    <mergeCell ref="MH56:MI56"/>
    <mergeCell ref="MJ56:MK56"/>
    <mergeCell ref="ML56:MM56"/>
    <mergeCell ref="MN56:MO56"/>
    <mergeCell ref="MP56:MQ56"/>
    <mergeCell ref="MR56:MS56"/>
    <mergeCell ref="MT56:MU56"/>
    <mergeCell ref="MV56:MW56"/>
    <mergeCell ref="MX56:MY56"/>
    <mergeCell ref="MZ56:NA56"/>
    <mergeCell ref="NB56:NC56"/>
    <mergeCell ref="ND56:NE56"/>
    <mergeCell ref="NF56:NG56"/>
    <mergeCell ref="NH56:NI56"/>
    <mergeCell ref="NJ56:NK56"/>
    <mergeCell ref="NL56:NM56"/>
    <mergeCell ref="NN56:NO56"/>
    <mergeCell ref="NP56:NQ56"/>
    <mergeCell ref="NR56:NS56"/>
    <mergeCell ref="NT56:NU56"/>
    <mergeCell ref="NV56:NW56"/>
    <mergeCell ref="NX56:NY56"/>
    <mergeCell ref="NZ56:OA56"/>
    <mergeCell ref="OB56:OC56"/>
    <mergeCell ref="OD56:OE56"/>
    <mergeCell ref="OJ55:OK55"/>
    <mergeCell ref="OL55:OM55"/>
    <mergeCell ref="ON55:OO55"/>
    <mergeCell ref="OP55:OQ55"/>
    <mergeCell ref="OR55:OS55"/>
    <mergeCell ref="OT55:OU55"/>
    <mergeCell ref="OV55:OW55"/>
    <mergeCell ref="OX55:OY55"/>
    <mergeCell ref="OZ55:PA55"/>
    <mergeCell ref="PB55:PC55"/>
    <mergeCell ref="PD55:PE55"/>
    <mergeCell ref="PF55:PG55"/>
    <mergeCell ref="PH55:PI55"/>
    <mergeCell ref="PJ55:PK55"/>
    <mergeCell ref="PL55:PM55"/>
    <mergeCell ref="PN55:PO55"/>
    <mergeCell ref="PP55:PQ55"/>
    <mergeCell ref="PR55:PS55"/>
    <mergeCell ref="PT55:PU55"/>
    <mergeCell ref="PV55:PW55"/>
    <mergeCell ref="PX55:PY55"/>
    <mergeCell ref="PZ55:QA55"/>
    <mergeCell ref="QB55:QC55"/>
    <mergeCell ref="QD55:QE55"/>
    <mergeCell ref="QF55:QG55"/>
    <mergeCell ref="QH55:QI55"/>
    <mergeCell ref="QJ55:QK55"/>
    <mergeCell ref="QL55:QM55"/>
    <mergeCell ref="QN55:QO55"/>
    <mergeCell ref="QP55:QQ55"/>
    <mergeCell ref="QR55:QS55"/>
    <mergeCell ref="QT55:QU55"/>
    <mergeCell ref="QV55:QW55"/>
    <mergeCell ref="RB54:RC54"/>
    <mergeCell ref="JN55:JO55"/>
    <mergeCell ref="JP55:JQ55"/>
    <mergeCell ref="JR55:JS55"/>
    <mergeCell ref="JT55:JU55"/>
    <mergeCell ref="JV55:JW55"/>
    <mergeCell ref="JX55:JY55"/>
    <mergeCell ref="JZ55:KA55"/>
    <mergeCell ref="KB55:KC55"/>
    <mergeCell ref="KD55:KE55"/>
    <mergeCell ref="KF55:KG55"/>
    <mergeCell ref="KH55:KI55"/>
    <mergeCell ref="KJ55:KK55"/>
    <mergeCell ref="KL55:KM55"/>
    <mergeCell ref="KN55:KO55"/>
    <mergeCell ref="KP55:KQ55"/>
    <mergeCell ref="KR55:KS55"/>
    <mergeCell ref="KT55:KU55"/>
    <mergeCell ref="KV55:KW55"/>
    <mergeCell ref="KX55:KY55"/>
    <mergeCell ref="KZ55:LA55"/>
    <mergeCell ref="LB55:LC55"/>
    <mergeCell ref="LD55:LE55"/>
    <mergeCell ref="LF55:LG55"/>
    <mergeCell ref="LH55:LI55"/>
    <mergeCell ref="LJ55:LK55"/>
    <mergeCell ref="LL55:LM55"/>
    <mergeCell ref="LN55:LO55"/>
    <mergeCell ref="LP55:LQ55"/>
    <mergeCell ref="LR55:LS55"/>
    <mergeCell ref="LT55:LU55"/>
    <mergeCell ref="LV55:LW55"/>
    <mergeCell ref="LX55:LY55"/>
    <mergeCell ref="LZ55:MA55"/>
    <mergeCell ref="MB55:MC55"/>
    <mergeCell ref="MD55:ME55"/>
    <mergeCell ref="MF55:MG55"/>
    <mergeCell ref="MH55:MI55"/>
    <mergeCell ref="MJ55:MK55"/>
    <mergeCell ref="ML55:MM55"/>
    <mergeCell ref="MN55:MO55"/>
    <mergeCell ref="MP55:MQ55"/>
    <mergeCell ref="MR55:MS55"/>
    <mergeCell ref="MT55:MU55"/>
    <mergeCell ref="MV55:MW55"/>
    <mergeCell ref="MX55:MY55"/>
    <mergeCell ref="MZ55:NA55"/>
    <mergeCell ref="NB55:NC55"/>
    <mergeCell ref="ND55:NE55"/>
    <mergeCell ref="NF55:NG55"/>
    <mergeCell ref="NH55:NI55"/>
    <mergeCell ref="NJ55:NK55"/>
    <mergeCell ref="NL55:NM55"/>
    <mergeCell ref="NN55:NO55"/>
    <mergeCell ref="NP55:NQ55"/>
    <mergeCell ref="NR55:NS55"/>
    <mergeCell ref="NT55:NU55"/>
    <mergeCell ref="NV55:NW55"/>
    <mergeCell ref="NX55:NY55"/>
    <mergeCell ref="NZ55:OA55"/>
    <mergeCell ref="OB55:OC55"/>
    <mergeCell ref="OD55:OE55"/>
    <mergeCell ref="OF55:OG55"/>
    <mergeCell ref="OH55:OI55"/>
    <mergeCell ref="ON54:OO54"/>
    <mergeCell ref="OP54:OQ54"/>
    <mergeCell ref="OR54:OS54"/>
    <mergeCell ref="OT54:OU54"/>
    <mergeCell ref="OV54:OW54"/>
    <mergeCell ref="OX54:OY54"/>
    <mergeCell ref="OZ54:PA54"/>
    <mergeCell ref="PB54:PC54"/>
    <mergeCell ref="PD54:PE54"/>
    <mergeCell ref="PF54:PG54"/>
    <mergeCell ref="PH54:PI54"/>
    <mergeCell ref="PJ54:PK54"/>
    <mergeCell ref="PL54:PM54"/>
    <mergeCell ref="PN54:PO54"/>
    <mergeCell ref="PP54:PQ54"/>
    <mergeCell ref="PR54:PS54"/>
    <mergeCell ref="PT54:PU54"/>
    <mergeCell ref="PV54:PW54"/>
    <mergeCell ref="PX54:PY54"/>
    <mergeCell ref="PZ54:QA54"/>
    <mergeCell ref="QB54:QC54"/>
    <mergeCell ref="QD54:QE54"/>
    <mergeCell ref="QF54:QG54"/>
    <mergeCell ref="QH54:QI54"/>
    <mergeCell ref="QJ54:QK54"/>
    <mergeCell ref="QL54:QM54"/>
    <mergeCell ref="QN54:QO54"/>
    <mergeCell ref="QP54:QQ54"/>
    <mergeCell ref="QR54:QS54"/>
    <mergeCell ref="QT54:QU54"/>
    <mergeCell ref="QV54:QW54"/>
    <mergeCell ref="QX54:QY54"/>
    <mergeCell ref="QZ54:RA54"/>
    <mergeCell ref="RB53:RC53"/>
    <mergeCell ref="JN54:JO54"/>
    <mergeCell ref="JP54:JQ54"/>
    <mergeCell ref="JR54:JS54"/>
    <mergeCell ref="JT54:JU54"/>
    <mergeCell ref="JV54:JW54"/>
    <mergeCell ref="JX54:JY54"/>
    <mergeCell ref="JZ54:KA54"/>
    <mergeCell ref="KB54:KC54"/>
    <mergeCell ref="KD54:KE54"/>
    <mergeCell ref="KF54:KG54"/>
    <mergeCell ref="KH54:KI54"/>
    <mergeCell ref="KJ54:KK54"/>
    <mergeCell ref="KL54:KM54"/>
    <mergeCell ref="KN54:KO54"/>
    <mergeCell ref="KP54:KQ54"/>
    <mergeCell ref="KR54:KS54"/>
    <mergeCell ref="KT54:KU54"/>
    <mergeCell ref="KV54:KW54"/>
    <mergeCell ref="KX54:KY54"/>
    <mergeCell ref="KZ54:LA54"/>
    <mergeCell ref="LB54:LC54"/>
    <mergeCell ref="LD54:LE54"/>
    <mergeCell ref="LF54:LG54"/>
    <mergeCell ref="LH54:LI54"/>
    <mergeCell ref="LJ54:LK54"/>
    <mergeCell ref="LL54:LM54"/>
    <mergeCell ref="LN54:LO54"/>
    <mergeCell ref="LP54:LQ54"/>
    <mergeCell ref="LR54:LS54"/>
    <mergeCell ref="LT54:LU54"/>
    <mergeCell ref="LV54:LW54"/>
    <mergeCell ref="LX54:LY54"/>
    <mergeCell ref="LZ54:MA54"/>
    <mergeCell ref="MB54:MC54"/>
    <mergeCell ref="MD54:ME54"/>
    <mergeCell ref="MF54:MG54"/>
    <mergeCell ref="MH54:MI54"/>
    <mergeCell ref="MJ54:MK54"/>
    <mergeCell ref="MP54:MQ54"/>
    <mergeCell ref="MR54:MS54"/>
    <mergeCell ref="MT54:MU54"/>
    <mergeCell ref="MV54:MW54"/>
    <mergeCell ref="MX54:MY54"/>
    <mergeCell ref="MZ54:NA54"/>
    <mergeCell ref="NB54:NC54"/>
    <mergeCell ref="ND54:NE54"/>
    <mergeCell ref="NF54:NG54"/>
    <mergeCell ref="NH54:NI54"/>
    <mergeCell ref="NJ54:NK54"/>
    <mergeCell ref="NL54:NM54"/>
    <mergeCell ref="NN54:NO54"/>
    <mergeCell ref="NP54:NQ54"/>
    <mergeCell ref="NR54:NS54"/>
    <mergeCell ref="NT54:NU54"/>
    <mergeCell ref="NV54:NW54"/>
    <mergeCell ref="NX54:NY54"/>
    <mergeCell ref="NZ54:OA54"/>
    <mergeCell ref="OB54:OC54"/>
    <mergeCell ref="OD54:OE54"/>
    <mergeCell ref="OF54:OG54"/>
    <mergeCell ref="OH54:OI54"/>
    <mergeCell ref="OJ54:OK54"/>
    <mergeCell ref="OL54:OM54"/>
    <mergeCell ref="ON53:OO53"/>
    <mergeCell ref="OP53:OQ53"/>
    <mergeCell ref="OR53:OS53"/>
    <mergeCell ref="OT53:OU53"/>
    <mergeCell ref="OV53:OW53"/>
    <mergeCell ref="OX53:OY53"/>
    <mergeCell ref="OZ53:PA53"/>
    <mergeCell ref="PB53:PC53"/>
    <mergeCell ref="PD53:PE53"/>
    <mergeCell ref="PF53:PG53"/>
    <mergeCell ref="PH53:PI53"/>
    <mergeCell ref="PJ53:PK53"/>
    <mergeCell ref="PL53:PM53"/>
    <mergeCell ref="PN53:PO53"/>
    <mergeCell ref="PP53:PQ53"/>
    <mergeCell ref="PR53:PS53"/>
    <mergeCell ref="PT53:PU53"/>
    <mergeCell ref="PV53:PW53"/>
    <mergeCell ref="PX53:PY53"/>
    <mergeCell ref="PZ53:QA53"/>
    <mergeCell ref="QB53:QC53"/>
    <mergeCell ref="QD53:QE53"/>
    <mergeCell ref="QF53:QG53"/>
    <mergeCell ref="QH53:QI53"/>
    <mergeCell ref="QJ53:QK53"/>
    <mergeCell ref="QL53:QM53"/>
    <mergeCell ref="QN53:QO53"/>
    <mergeCell ref="QP53:QQ53"/>
    <mergeCell ref="QR53:QS53"/>
    <mergeCell ref="QT53:QU53"/>
    <mergeCell ref="QV53:QW53"/>
    <mergeCell ref="QX53:QY53"/>
    <mergeCell ref="QZ53:RA53"/>
    <mergeCell ref="RB52:RC52"/>
    <mergeCell ref="JN53:JO53"/>
    <mergeCell ref="JP53:JQ53"/>
    <mergeCell ref="JR53:JS53"/>
    <mergeCell ref="JT53:JU53"/>
    <mergeCell ref="JV53:JW53"/>
    <mergeCell ref="JX53:JY53"/>
    <mergeCell ref="JZ53:KA53"/>
    <mergeCell ref="KB53:KC53"/>
    <mergeCell ref="KD53:KE53"/>
    <mergeCell ref="KF53:KG53"/>
    <mergeCell ref="KH53:KI53"/>
    <mergeCell ref="KJ53:KK53"/>
    <mergeCell ref="KL53:KM53"/>
    <mergeCell ref="KN53:KO53"/>
    <mergeCell ref="KP53:KQ53"/>
    <mergeCell ref="KR53:KS53"/>
    <mergeCell ref="KT53:KU53"/>
    <mergeCell ref="KV53:KW53"/>
    <mergeCell ref="KX53:KY53"/>
    <mergeCell ref="KZ53:LA53"/>
    <mergeCell ref="LB53:LC53"/>
    <mergeCell ref="LD53:LE53"/>
    <mergeCell ref="LF53:LG53"/>
    <mergeCell ref="LH53:LI53"/>
    <mergeCell ref="LJ53:LK53"/>
    <mergeCell ref="LL53:LM53"/>
    <mergeCell ref="LN53:LO53"/>
    <mergeCell ref="LP53:LQ53"/>
    <mergeCell ref="LR53:LS53"/>
    <mergeCell ref="LT53:LU53"/>
    <mergeCell ref="LV53:LW53"/>
    <mergeCell ref="LX53:LY53"/>
    <mergeCell ref="LZ53:MA53"/>
    <mergeCell ref="MB53:MC53"/>
    <mergeCell ref="MD53:ME53"/>
    <mergeCell ref="MF53:MG53"/>
    <mergeCell ref="MH53:MI53"/>
    <mergeCell ref="MJ53:MK53"/>
    <mergeCell ref="MP53:MQ53"/>
    <mergeCell ref="MR53:MS53"/>
    <mergeCell ref="MT53:MU53"/>
    <mergeCell ref="MV53:MW53"/>
    <mergeCell ref="MX53:MY53"/>
    <mergeCell ref="MZ53:NA53"/>
    <mergeCell ref="NB53:NC53"/>
    <mergeCell ref="ND53:NE53"/>
    <mergeCell ref="NF53:NG53"/>
    <mergeCell ref="NH53:NI53"/>
    <mergeCell ref="NJ53:NK53"/>
    <mergeCell ref="NL53:NM53"/>
    <mergeCell ref="NN53:NO53"/>
    <mergeCell ref="NP53:NQ53"/>
    <mergeCell ref="NR53:NS53"/>
    <mergeCell ref="NT53:NU53"/>
    <mergeCell ref="NV53:NW53"/>
    <mergeCell ref="NX53:NY53"/>
    <mergeCell ref="NZ53:OA53"/>
    <mergeCell ref="OB53:OC53"/>
    <mergeCell ref="OD53:OE53"/>
    <mergeCell ref="OF53:OG53"/>
    <mergeCell ref="OH53:OI53"/>
    <mergeCell ref="OJ53:OK53"/>
    <mergeCell ref="OL53:OM53"/>
    <mergeCell ref="ON52:OO52"/>
    <mergeCell ref="OP52:OQ52"/>
    <mergeCell ref="OR52:OS52"/>
    <mergeCell ref="OT52:OU52"/>
    <mergeCell ref="OV52:OW52"/>
    <mergeCell ref="OX52:OY52"/>
    <mergeCell ref="OZ52:PA52"/>
    <mergeCell ref="PB52:PC52"/>
    <mergeCell ref="PD52:PE52"/>
    <mergeCell ref="PF52:PG52"/>
    <mergeCell ref="PH52:PI52"/>
    <mergeCell ref="PJ52:PK52"/>
    <mergeCell ref="PL52:PM52"/>
    <mergeCell ref="PN52:PO52"/>
    <mergeCell ref="PP52:PQ52"/>
    <mergeCell ref="PR52:PS52"/>
    <mergeCell ref="PT52:PU52"/>
    <mergeCell ref="PV52:PW52"/>
    <mergeCell ref="PX52:PY52"/>
    <mergeCell ref="PZ52:QA52"/>
    <mergeCell ref="QB52:QC52"/>
    <mergeCell ref="QD52:QE52"/>
    <mergeCell ref="QF52:QG52"/>
    <mergeCell ref="QH52:QI52"/>
    <mergeCell ref="QJ52:QK52"/>
    <mergeCell ref="QL52:QM52"/>
    <mergeCell ref="QN52:QO52"/>
    <mergeCell ref="QP52:QQ52"/>
    <mergeCell ref="QR52:QS52"/>
    <mergeCell ref="QT52:QU52"/>
    <mergeCell ref="QV52:QW52"/>
    <mergeCell ref="QX52:QY52"/>
    <mergeCell ref="QZ52:RA52"/>
    <mergeCell ref="RB51:RC51"/>
    <mergeCell ref="JN52:JO52"/>
    <mergeCell ref="JP52:JQ52"/>
    <mergeCell ref="JR52:JS52"/>
    <mergeCell ref="JT52:JU52"/>
    <mergeCell ref="JV52:JW52"/>
    <mergeCell ref="JX52:JY52"/>
    <mergeCell ref="JZ52:KA52"/>
    <mergeCell ref="KB52:KC52"/>
    <mergeCell ref="KD52:KE52"/>
    <mergeCell ref="KF52:KG52"/>
    <mergeCell ref="KH52:KI52"/>
    <mergeCell ref="KJ52:KK52"/>
    <mergeCell ref="KL52:KM52"/>
    <mergeCell ref="KN52:KO52"/>
    <mergeCell ref="KP52:KQ52"/>
    <mergeCell ref="KR52:KS52"/>
    <mergeCell ref="KT52:KU52"/>
    <mergeCell ref="KV52:KW52"/>
    <mergeCell ref="KX52:KY52"/>
    <mergeCell ref="KZ52:LA52"/>
    <mergeCell ref="LB52:LC52"/>
    <mergeCell ref="LD52:LE52"/>
    <mergeCell ref="LF52:LG52"/>
    <mergeCell ref="LH52:LI52"/>
    <mergeCell ref="LJ52:LK52"/>
    <mergeCell ref="LL52:LM52"/>
    <mergeCell ref="LN52:LO52"/>
    <mergeCell ref="LP52:LQ52"/>
    <mergeCell ref="LR52:LS52"/>
    <mergeCell ref="LT52:LU52"/>
    <mergeCell ref="LV52:LW52"/>
    <mergeCell ref="LX52:LY52"/>
    <mergeCell ref="LZ52:MA52"/>
    <mergeCell ref="MB52:MC52"/>
    <mergeCell ref="MD52:ME52"/>
    <mergeCell ref="MF52:MG52"/>
    <mergeCell ref="MH52:MI52"/>
    <mergeCell ref="MJ52:MK52"/>
    <mergeCell ref="MP52:MQ52"/>
    <mergeCell ref="MR52:MS52"/>
    <mergeCell ref="MT52:MU52"/>
    <mergeCell ref="MV52:MW52"/>
    <mergeCell ref="MX52:MY52"/>
    <mergeCell ref="MZ52:NA52"/>
    <mergeCell ref="NB52:NC52"/>
    <mergeCell ref="ND52:NE52"/>
    <mergeCell ref="NF52:NG52"/>
    <mergeCell ref="NH52:NI52"/>
    <mergeCell ref="NJ52:NK52"/>
    <mergeCell ref="NL52:NM52"/>
    <mergeCell ref="NN52:NO52"/>
    <mergeCell ref="NP52:NQ52"/>
    <mergeCell ref="NR52:NS52"/>
    <mergeCell ref="NT52:NU52"/>
    <mergeCell ref="NV52:NW52"/>
    <mergeCell ref="NX52:NY52"/>
    <mergeCell ref="NZ52:OA52"/>
    <mergeCell ref="OB52:OC52"/>
    <mergeCell ref="OD52:OE52"/>
    <mergeCell ref="OF52:OG52"/>
    <mergeCell ref="OH52:OI52"/>
    <mergeCell ref="OJ52:OK52"/>
    <mergeCell ref="OL52:OM52"/>
    <mergeCell ref="ON51:OO51"/>
    <mergeCell ref="OP51:OQ51"/>
    <mergeCell ref="OR51:OS51"/>
    <mergeCell ref="OT51:OU51"/>
    <mergeCell ref="OV51:OW51"/>
    <mergeCell ref="OX51:OY51"/>
    <mergeCell ref="OZ51:PA51"/>
    <mergeCell ref="PB51:PC51"/>
    <mergeCell ref="PD51:PE51"/>
    <mergeCell ref="PF51:PG51"/>
    <mergeCell ref="PH51:PI51"/>
    <mergeCell ref="PJ51:PK51"/>
    <mergeCell ref="PL51:PM51"/>
    <mergeCell ref="PN51:PO51"/>
    <mergeCell ref="PP51:PQ51"/>
    <mergeCell ref="PR51:PS51"/>
    <mergeCell ref="PT51:PU51"/>
    <mergeCell ref="PV51:PW51"/>
    <mergeCell ref="PX51:PY51"/>
    <mergeCell ref="PZ51:QA51"/>
    <mergeCell ref="QB51:QC51"/>
    <mergeCell ref="QD51:QE51"/>
    <mergeCell ref="QF51:QG51"/>
    <mergeCell ref="QH51:QI51"/>
    <mergeCell ref="QJ51:QK51"/>
    <mergeCell ref="QL51:QM51"/>
    <mergeCell ref="QN51:QO51"/>
    <mergeCell ref="QP51:QQ51"/>
    <mergeCell ref="QR51:QS51"/>
    <mergeCell ref="QT51:QU51"/>
    <mergeCell ref="QV51:QW51"/>
    <mergeCell ref="QX51:QY51"/>
    <mergeCell ref="QZ51:RA51"/>
    <mergeCell ref="RB50:RC50"/>
    <mergeCell ref="JN51:JO51"/>
    <mergeCell ref="JP51:JQ51"/>
    <mergeCell ref="JR51:JS51"/>
    <mergeCell ref="JT51:JU51"/>
    <mergeCell ref="JV51:JW51"/>
    <mergeCell ref="JX51:JY51"/>
    <mergeCell ref="JZ51:KA51"/>
    <mergeCell ref="KB51:KC51"/>
    <mergeCell ref="KD51:KE51"/>
    <mergeCell ref="KF51:KG51"/>
    <mergeCell ref="KH51:KI51"/>
    <mergeCell ref="KJ51:KK51"/>
    <mergeCell ref="KL51:KM51"/>
    <mergeCell ref="KN51:KO51"/>
    <mergeCell ref="KP51:KQ51"/>
    <mergeCell ref="KR51:KS51"/>
    <mergeCell ref="KT51:KU51"/>
    <mergeCell ref="KV51:KW51"/>
    <mergeCell ref="KX51:KY51"/>
    <mergeCell ref="KZ51:LA51"/>
    <mergeCell ref="LB51:LC51"/>
    <mergeCell ref="LD51:LE51"/>
    <mergeCell ref="LF51:LG51"/>
    <mergeCell ref="LH51:LI51"/>
    <mergeCell ref="LJ51:LK51"/>
    <mergeCell ref="LL51:LM51"/>
    <mergeCell ref="LN51:LO51"/>
    <mergeCell ref="LP51:LQ51"/>
    <mergeCell ref="LR51:LS51"/>
    <mergeCell ref="LT51:LU51"/>
    <mergeCell ref="LV51:LW51"/>
    <mergeCell ref="LX51:LY51"/>
    <mergeCell ref="LZ51:MA51"/>
    <mergeCell ref="MB51:MC51"/>
    <mergeCell ref="MD51:ME51"/>
    <mergeCell ref="MF51:MG51"/>
    <mergeCell ref="MH51:MI51"/>
    <mergeCell ref="MJ51:MK51"/>
    <mergeCell ref="MP51:MQ51"/>
    <mergeCell ref="MR51:MS51"/>
    <mergeCell ref="MT51:MU51"/>
    <mergeCell ref="MV51:MW51"/>
    <mergeCell ref="MX51:MY51"/>
    <mergeCell ref="MZ51:NA51"/>
    <mergeCell ref="NB51:NC51"/>
    <mergeCell ref="ND51:NE51"/>
    <mergeCell ref="NF51:NG51"/>
    <mergeCell ref="NH51:NI51"/>
    <mergeCell ref="NJ51:NK51"/>
    <mergeCell ref="NL51:NM51"/>
    <mergeCell ref="NN51:NO51"/>
    <mergeCell ref="NP51:NQ51"/>
    <mergeCell ref="NR51:NS51"/>
    <mergeCell ref="NT51:NU51"/>
    <mergeCell ref="NV51:NW51"/>
    <mergeCell ref="NX51:NY51"/>
    <mergeCell ref="NZ51:OA51"/>
    <mergeCell ref="OB51:OC51"/>
    <mergeCell ref="OD51:OE51"/>
    <mergeCell ref="OF51:OG51"/>
    <mergeCell ref="OH51:OI51"/>
    <mergeCell ref="OJ51:OK51"/>
    <mergeCell ref="OL51:OM51"/>
    <mergeCell ref="ON50:OO50"/>
    <mergeCell ref="OP50:OQ50"/>
    <mergeCell ref="OR50:OS50"/>
    <mergeCell ref="OT50:OU50"/>
    <mergeCell ref="OV50:OW50"/>
    <mergeCell ref="OX50:OY50"/>
    <mergeCell ref="OZ50:PA50"/>
    <mergeCell ref="PB50:PC50"/>
    <mergeCell ref="PD50:PE50"/>
    <mergeCell ref="PF50:PG50"/>
    <mergeCell ref="PH50:PI50"/>
    <mergeCell ref="PJ50:PK50"/>
    <mergeCell ref="PL50:PM50"/>
    <mergeCell ref="PN50:PO50"/>
    <mergeCell ref="PP50:PQ50"/>
    <mergeCell ref="PR50:PS50"/>
    <mergeCell ref="PT50:PU50"/>
    <mergeCell ref="PV50:PW50"/>
    <mergeCell ref="PX50:PY50"/>
    <mergeCell ref="PZ50:QA50"/>
    <mergeCell ref="QB50:QC50"/>
    <mergeCell ref="QD50:QE50"/>
    <mergeCell ref="QF50:QG50"/>
    <mergeCell ref="QH50:QI50"/>
    <mergeCell ref="QJ50:QK50"/>
    <mergeCell ref="QL50:QM50"/>
    <mergeCell ref="QN50:QO50"/>
    <mergeCell ref="QP50:QQ50"/>
    <mergeCell ref="QR50:QS50"/>
    <mergeCell ref="QT50:QU50"/>
    <mergeCell ref="QV50:QW50"/>
    <mergeCell ref="QX50:QY50"/>
    <mergeCell ref="QZ50:RA50"/>
    <mergeCell ref="RB49:RC49"/>
    <mergeCell ref="JN50:JO50"/>
    <mergeCell ref="JP50:JQ50"/>
    <mergeCell ref="JR50:JS50"/>
    <mergeCell ref="JT50:JU50"/>
    <mergeCell ref="JV50:JW50"/>
    <mergeCell ref="JX50:JY50"/>
    <mergeCell ref="JZ50:KA50"/>
    <mergeCell ref="KB50:KC50"/>
    <mergeCell ref="KD50:KE50"/>
    <mergeCell ref="KF50:KG50"/>
    <mergeCell ref="KH50:KI50"/>
    <mergeCell ref="KJ50:KK50"/>
    <mergeCell ref="KL50:KM50"/>
    <mergeCell ref="KN50:KO50"/>
    <mergeCell ref="KP50:KQ50"/>
    <mergeCell ref="KR50:KS50"/>
    <mergeCell ref="KT50:KU50"/>
    <mergeCell ref="KV50:KW50"/>
    <mergeCell ref="KX50:KY50"/>
    <mergeCell ref="KZ50:LA50"/>
    <mergeCell ref="LB50:LC50"/>
    <mergeCell ref="LD50:LE50"/>
    <mergeCell ref="LF50:LG50"/>
    <mergeCell ref="LH50:LI50"/>
    <mergeCell ref="LJ50:LK50"/>
    <mergeCell ref="LL50:LM50"/>
    <mergeCell ref="LN50:LO50"/>
    <mergeCell ref="LP50:LQ50"/>
    <mergeCell ref="LR50:LS50"/>
    <mergeCell ref="LT50:LU50"/>
    <mergeCell ref="LV50:LW50"/>
    <mergeCell ref="LX50:LY50"/>
    <mergeCell ref="LZ50:MA50"/>
    <mergeCell ref="MB50:MC50"/>
    <mergeCell ref="MD50:ME50"/>
    <mergeCell ref="MF50:MG50"/>
    <mergeCell ref="MH50:MI50"/>
    <mergeCell ref="MJ50:MK50"/>
    <mergeCell ref="MP50:MQ50"/>
    <mergeCell ref="MR50:MS50"/>
    <mergeCell ref="MT50:MU50"/>
    <mergeCell ref="MV50:MW50"/>
    <mergeCell ref="MX50:MY50"/>
    <mergeCell ref="MZ50:NA50"/>
    <mergeCell ref="NB50:NC50"/>
    <mergeCell ref="ND50:NE50"/>
    <mergeCell ref="NF50:NG50"/>
    <mergeCell ref="NH50:NI50"/>
    <mergeCell ref="NJ50:NK50"/>
    <mergeCell ref="NL50:NM50"/>
    <mergeCell ref="NN50:NO50"/>
    <mergeCell ref="NP50:NQ50"/>
    <mergeCell ref="NR50:NS50"/>
    <mergeCell ref="NT50:NU50"/>
    <mergeCell ref="NV50:NW50"/>
    <mergeCell ref="NX50:NY50"/>
    <mergeCell ref="NZ50:OA50"/>
    <mergeCell ref="OB50:OC50"/>
    <mergeCell ref="OD50:OE50"/>
    <mergeCell ref="OF50:OG50"/>
    <mergeCell ref="OH50:OI50"/>
    <mergeCell ref="OJ50:OK50"/>
    <mergeCell ref="OL50:OM50"/>
    <mergeCell ref="ON49:OO49"/>
    <mergeCell ref="OP49:OQ49"/>
    <mergeCell ref="OR49:OS49"/>
    <mergeCell ref="OT49:OU49"/>
    <mergeCell ref="OV49:OW49"/>
    <mergeCell ref="OX49:OY49"/>
    <mergeCell ref="OZ49:PA49"/>
    <mergeCell ref="PB49:PC49"/>
    <mergeCell ref="PD49:PE49"/>
    <mergeCell ref="PF49:PG49"/>
    <mergeCell ref="PH49:PI49"/>
    <mergeCell ref="PJ49:PK49"/>
    <mergeCell ref="PL49:PM49"/>
    <mergeCell ref="PN49:PO49"/>
    <mergeCell ref="PP49:PQ49"/>
    <mergeCell ref="PR49:PS49"/>
    <mergeCell ref="PT49:PU49"/>
    <mergeCell ref="PV49:PW49"/>
    <mergeCell ref="PX49:PY49"/>
    <mergeCell ref="PZ49:QA49"/>
    <mergeCell ref="QB49:QC49"/>
    <mergeCell ref="QD49:QE49"/>
    <mergeCell ref="QF49:QG49"/>
    <mergeCell ref="QH49:QI49"/>
    <mergeCell ref="QJ49:QK49"/>
    <mergeCell ref="QL49:QM49"/>
    <mergeCell ref="QN49:QO49"/>
    <mergeCell ref="QP49:QQ49"/>
    <mergeCell ref="QR49:QS49"/>
    <mergeCell ref="QT49:QU49"/>
    <mergeCell ref="QV49:QW49"/>
    <mergeCell ref="QX49:QY49"/>
    <mergeCell ref="QZ49:RA49"/>
    <mergeCell ref="RB48:RC48"/>
    <mergeCell ref="JN49:JO49"/>
    <mergeCell ref="JP49:JQ49"/>
    <mergeCell ref="JR49:JS49"/>
    <mergeCell ref="JT49:JU49"/>
    <mergeCell ref="JV49:JW49"/>
    <mergeCell ref="JX49:JY49"/>
    <mergeCell ref="JZ49:KA49"/>
    <mergeCell ref="KB49:KC49"/>
    <mergeCell ref="KD49:KE49"/>
    <mergeCell ref="KF49:KG49"/>
    <mergeCell ref="KH49:KI49"/>
    <mergeCell ref="KJ49:KK49"/>
    <mergeCell ref="KL49:KM49"/>
    <mergeCell ref="KN49:KO49"/>
    <mergeCell ref="KP49:KQ49"/>
    <mergeCell ref="KR49:KS49"/>
    <mergeCell ref="KT49:KU49"/>
    <mergeCell ref="KV49:KW49"/>
    <mergeCell ref="KX49:KY49"/>
    <mergeCell ref="KZ49:LA49"/>
    <mergeCell ref="LB49:LC49"/>
    <mergeCell ref="LD49:LE49"/>
    <mergeCell ref="LF49:LG49"/>
    <mergeCell ref="LH49:LI49"/>
    <mergeCell ref="LJ49:LK49"/>
    <mergeCell ref="LL49:LM49"/>
    <mergeCell ref="LN49:LO49"/>
    <mergeCell ref="LP49:LQ49"/>
    <mergeCell ref="LR49:LS49"/>
    <mergeCell ref="LT49:LU49"/>
    <mergeCell ref="LV49:LW49"/>
    <mergeCell ref="LX49:LY49"/>
    <mergeCell ref="LZ49:MA49"/>
    <mergeCell ref="MB49:MC49"/>
    <mergeCell ref="MD49:ME49"/>
    <mergeCell ref="MF49:MG49"/>
    <mergeCell ref="MH49:MI49"/>
    <mergeCell ref="MJ49:MK49"/>
    <mergeCell ref="MP49:MQ49"/>
    <mergeCell ref="MR49:MS49"/>
    <mergeCell ref="MT49:MU49"/>
    <mergeCell ref="MV49:MW49"/>
    <mergeCell ref="MX49:MY49"/>
    <mergeCell ref="MZ49:NA49"/>
    <mergeCell ref="NB49:NC49"/>
    <mergeCell ref="ND49:NE49"/>
    <mergeCell ref="NF49:NG49"/>
    <mergeCell ref="NH49:NI49"/>
    <mergeCell ref="NJ49:NK49"/>
    <mergeCell ref="NL49:NM49"/>
    <mergeCell ref="NN49:NO49"/>
    <mergeCell ref="NP49:NQ49"/>
    <mergeCell ref="NR49:NS49"/>
    <mergeCell ref="NT49:NU49"/>
    <mergeCell ref="NV49:NW49"/>
    <mergeCell ref="NX49:NY49"/>
    <mergeCell ref="NZ49:OA49"/>
    <mergeCell ref="OB49:OC49"/>
    <mergeCell ref="OD49:OE49"/>
    <mergeCell ref="OF49:OG49"/>
    <mergeCell ref="OH49:OI49"/>
    <mergeCell ref="OJ49:OK49"/>
    <mergeCell ref="OL49:OM49"/>
    <mergeCell ref="ON48:OO48"/>
    <mergeCell ref="OP48:OQ48"/>
    <mergeCell ref="OR48:OS48"/>
    <mergeCell ref="OT48:OU48"/>
    <mergeCell ref="OV48:OW48"/>
    <mergeCell ref="OX48:OY48"/>
    <mergeCell ref="OZ48:PA48"/>
    <mergeCell ref="PB48:PC48"/>
    <mergeCell ref="PD48:PE48"/>
    <mergeCell ref="PF48:PG48"/>
    <mergeCell ref="PH48:PI48"/>
    <mergeCell ref="PJ48:PK48"/>
    <mergeCell ref="PL48:PM48"/>
    <mergeCell ref="PN48:PO48"/>
    <mergeCell ref="PP48:PQ48"/>
    <mergeCell ref="PR48:PS48"/>
    <mergeCell ref="PT48:PU48"/>
    <mergeCell ref="PV48:PW48"/>
    <mergeCell ref="PX48:PY48"/>
    <mergeCell ref="PZ48:QA48"/>
    <mergeCell ref="QB48:QC48"/>
    <mergeCell ref="QD48:QE48"/>
    <mergeCell ref="QF48:QG48"/>
    <mergeCell ref="QH48:QI48"/>
    <mergeCell ref="QJ48:QK48"/>
    <mergeCell ref="QL48:QM48"/>
    <mergeCell ref="QN48:QO48"/>
    <mergeCell ref="QP48:QQ48"/>
    <mergeCell ref="QR48:QS48"/>
    <mergeCell ref="QT48:QU48"/>
    <mergeCell ref="QV48:QW48"/>
    <mergeCell ref="QX48:QY48"/>
    <mergeCell ref="QZ48:RA48"/>
    <mergeCell ref="RB47:RC47"/>
    <mergeCell ref="JN48:JO48"/>
    <mergeCell ref="JP48:JQ48"/>
    <mergeCell ref="JR48:JS48"/>
    <mergeCell ref="JT48:JU48"/>
    <mergeCell ref="JV48:JW48"/>
    <mergeCell ref="JX48:JY48"/>
    <mergeCell ref="JZ48:KA48"/>
    <mergeCell ref="KB48:KC48"/>
    <mergeCell ref="KD48:KE48"/>
    <mergeCell ref="KF48:KG48"/>
    <mergeCell ref="KH48:KI48"/>
    <mergeCell ref="KJ48:KK48"/>
    <mergeCell ref="KL48:KM48"/>
    <mergeCell ref="KN48:KO48"/>
    <mergeCell ref="KP48:KQ48"/>
    <mergeCell ref="KR48:KS48"/>
    <mergeCell ref="KT48:KU48"/>
    <mergeCell ref="KV48:KW48"/>
    <mergeCell ref="KX48:KY48"/>
    <mergeCell ref="KZ48:LA48"/>
    <mergeCell ref="LB48:LC48"/>
    <mergeCell ref="LD48:LE48"/>
    <mergeCell ref="LF48:LG48"/>
    <mergeCell ref="LH48:LI48"/>
    <mergeCell ref="LJ48:LK48"/>
    <mergeCell ref="LL48:LM48"/>
    <mergeCell ref="LN48:LO48"/>
    <mergeCell ref="LP48:LQ48"/>
    <mergeCell ref="LR48:LS48"/>
    <mergeCell ref="LT48:LU48"/>
    <mergeCell ref="LV48:LW48"/>
    <mergeCell ref="LX48:LY48"/>
    <mergeCell ref="LZ48:MA48"/>
    <mergeCell ref="MB48:MC48"/>
    <mergeCell ref="MD48:ME48"/>
    <mergeCell ref="MF48:MG48"/>
    <mergeCell ref="MH48:MI48"/>
    <mergeCell ref="MJ48:MK48"/>
    <mergeCell ref="MP48:MQ48"/>
    <mergeCell ref="MR48:MS48"/>
    <mergeCell ref="MT48:MU48"/>
    <mergeCell ref="MV48:MW48"/>
    <mergeCell ref="MX48:MY48"/>
    <mergeCell ref="MZ48:NA48"/>
    <mergeCell ref="NB48:NC48"/>
    <mergeCell ref="ND48:NE48"/>
    <mergeCell ref="NF48:NG48"/>
    <mergeCell ref="NH48:NI48"/>
    <mergeCell ref="NJ48:NK48"/>
    <mergeCell ref="NL48:NM48"/>
    <mergeCell ref="NN48:NO48"/>
    <mergeCell ref="NP48:NQ48"/>
    <mergeCell ref="NR48:NS48"/>
    <mergeCell ref="NT48:NU48"/>
    <mergeCell ref="NV48:NW48"/>
    <mergeCell ref="NX48:NY48"/>
    <mergeCell ref="NZ48:OA48"/>
    <mergeCell ref="OB48:OC48"/>
    <mergeCell ref="OD48:OE48"/>
    <mergeCell ref="OF48:OG48"/>
    <mergeCell ref="OH48:OI48"/>
    <mergeCell ref="OJ48:OK48"/>
    <mergeCell ref="OL48:OM48"/>
    <mergeCell ref="ON47:OO47"/>
    <mergeCell ref="OP47:OQ47"/>
    <mergeCell ref="OR47:OS47"/>
    <mergeCell ref="OT47:OU47"/>
    <mergeCell ref="OV47:OW47"/>
    <mergeCell ref="OX47:OY47"/>
    <mergeCell ref="OZ47:PA47"/>
    <mergeCell ref="PB47:PC47"/>
    <mergeCell ref="PD47:PE47"/>
    <mergeCell ref="PF47:PG47"/>
    <mergeCell ref="PH47:PI47"/>
    <mergeCell ref="PJ47:PK47"/>
    <mergeCell ref="PL47:PM47"/>
    <mergeCell ref="PN47:PO47"/>
    <mergeCell ref="PP47:PQ47"/>
    <mergeCell ref="PR47:PS47"/>
    <mergeCell ref="PT47:PU47"/>
    <mergeCell ref="PV47:PW47"/>
    <mergeCell ref="PX47:PY47"/>
    <mergeCell ref="PZ47:QA47"/>
    <mergeCell ref="QB47:QC47"/>
    <mergeCell ref="QD47:QE47"/>
    <mergeCell ref="QF47:QG47"/>
    <mergeCell ref="QH47:QI47"/>
    <mergeCell ref="QJ47:QK47"/>
    <mergeCell ref="QL47:QM47"/>
    <mergeCell ref="QN47:QO47"/>
    <mergeCell ref="QP47:QQ47"/>
    <mergeCell ref="QR47:QS47"/>
    <mergeCell ref="QT47:QU47"/>
    <mergeCell ref="QV47:QW47"/>
    <mergeCell ref="QX47:QY47"/>
    <mergeCell ref="QZ47:RA47"/>
    <mergeCell ref="RB46:RC46"/>
    <mergeCell ref="JN47:JO47"/>
    <mergeCell ref="JP47:JQ47"/>
    <mergeCell ref="JR47:JS47"/>
    <mergeCell ref="JT47:JU47"/>
    <mergeCell ref="JV47:JW47"/>
    <mergeCell ref="JX47:JY47"/>
    <mergeCell ref="JZ47:KA47"/>
    <mergeCell ref="KB47:KC47"/>
    <mergeCell ref="KD47:KE47"/>
    <mergeCell ref="KF47:KG47"/>
    <mergeCell ref="KH47:KI47"/>
    <mergeCell ref="KJ47:KK47"/>
    <mergeCell ref="KL47:KM47"/>
    <mergeCell ref="KN47:KO47"/>
    <mergeCell ref="KP47:KQ47"/>
    <mergeCell ref="KR47:KS47"/>
    <mergeCell ref="KT47:KU47"/>
    <mergeCell ref="KV47:KW47"/>
    <mergeCell ref="KX47:KY47"/>
    <mergeCell ref="KZ47:LA47"/>
    <mergeCell ref="LB47:LC47"/>
    <mergeCell ref="LD47:LE47"/>
    <mergeCell ref="LF47:LG47"/>
    <mergeCell ref="LH47:LI47"/>
    <mergeCell ref="LJ47:LK47"/>
    <mergeCell ref="LL47:LM47"/>
    <mergeCell ref="LN47:LO47"/>
    <mergeCell ref="LP47:LQ47"/>
    <mergeCell ref="LR47:LS47"/>
    <mergeCell ref="LT47:LU47"/>
    <mergeCell ref="LV47:LW47"/>
    <mergeCell ref="LX47:LY47"/>
    <mergeCell ref="LZ47:MA47"/>
    <mergeCell ref="MB47:MC47"/>
    <mergeCell ref="MD47:ME47"/>
    <mergeCell ref="MF47:MG47"/>
    <mergeCell ref="MH47:MI47"/>
    <mergeCell ref="MJ47:MK47"/>
    <mergeCell ref="MP47:MQ47"/>
    <mergeCell ref="MR47:MS47"/>
    <mergeCell ref="MT47:MU47"/>
    <mergeCell ref="MV47:MW47"/>
    <mergeCell ref="MX47:MY47"/>
    <mergeCell ref="MZ47:NA47"/>
    <mergeCell ref="NB47:NC47"/>
    <mergeCell ref="ND47:NE47"/>
    <mergeCell ref="NF47:NG47"/>
    <mergeCell ref="NH47:NI47"/>
    <mergeCell ref="NJ47:NK47"/>
    <mergeCell ref="NL47:NM47"/>
    <mergeCell ref="NN47:NO47"/>
    <mergeCell ref="NP47:NQ47"/>
    <mergeCell ref="NR47:NS47"/>
    <mergeCell ref="NT47:NU47"/>
    <mergeCell ref="NV47:NW47"/>
    <mergeCell ref="NX47:NY47"/>
    <mergeCell ref="NZ47:OA47"/>
    <mergeCell ref="OB47:OC47"/>
    <mergeCell ref="OD47:OE47"/>
    <mergeCell ref="OF47:OG47"/>
    <mergeCell ref="OH47:OI47"/>
    <mergeCell ref="OJ47:OK47"/>
    <mergeCell ref="OL47:OM47"/>
    <mergeCell ref="ON46:OO46"/>
    <mergeCell ref="OP46:OQ46"/>
    <mergeCell ref="OR46:OS46"/>
    <mergeCell ref="OT46:OU46"/>
    <mergeCell ref="OV46:OW46"/>
    <mergeCell ref="OX46:OY46"/>
    <mergeCell ref="OZ46:PA46"/>
    <mergeCell ref="PB46:PC46"/>
    <mergeCell ref="PD46:PE46"/>
    <mergeCell ref="PF46:PG46"/>
    <mergeCell ref="PH46:PI46"/>
    <mergeCell ref="PJ46:PK46"/>
    <mergeCell ref="PL46:PM46"/>
    <mergeCell ref="PN46:PO46"/>
    <mergeCell ref="PP46:PQ46"/>
    <mergeCell ref="PR46:PS46"/>
    <mergeCell ref="PT46:PU46"/>
    <mergeCell ref="PV46:PW46"/>
    <mergeCell ref="PX46:PY46"/>
    <mergeCell ref="PZ46:QA46"/>
    <mergeCell ref="QB46:QC46"/>
    <mergeCell ref="QD46:QE46"/>
    <mergeCell ref="QF46:QG46"/>
    <mergeCell ref="QH46:QI46"/>
    <mergeCell ref="QJ46:QK46"/>
    <mergeCell ref="QL46:QM46"/>
    <mergeCell ref="QN46:QO46"/>
    <mergeCell ref="QP46:QQ46"/>
    <mergeCell ref="QR46:QS46"/>
    <mergeCell ref="QT46:QU46"/>
    <mergeCell ref="QV46:QW46"/>
    <mergeCell ref="QX46:QY46"/>
    <mergeCell ref="QZ46:RA46"/>
    <mergeCell ref="RB45:RC45"/>
    <mergeCell ref="JN46:JO46"/>
    <mergeCell ref="JP46:JQ46"/>
    <mergeCell ref="JR46:JS46"/>
    <mergeCell ref="JT46:JU46"/>
    <mergeCell ref="JV46:JW46"/>
    <mergeCell ref="JX46:JY46"/>
    <mergeCell ref="JZ46:KA46"/>
    <mergeCell ref="KB46:KC46"/>
    <mergeCell ref="KD46:KE46"/>
    <mergeCell ref="KF46:KG46"/>
    <mergeCell ref="KH46:KI46"/>
    <mergeCell ref="KJ46:KK46"/>
    <mergeCell ref="KL46:KM46"/>
    <mergeCell ref="KN46:KO46"/>
    <mergeCell ref="KP46:KQ46"/>
    <mergeCell ref="KR46:KS46"/>
    <mergeCell ref="KT46:KU46"/>
    <mergeCell ref="KV46:KW46"/>
    <mergeCell ref="KX46:KY46"/>
    <mergeCell ref="KZ46:LA46"/>
    <mergeCell ref="LB46:LC46"/>
    <mergeCell ref="LD46:LE46"/>
    <mergeCell ref="LF46:LG46"/>
    <mergeCell ref="LH46:LI46"/>
    <mergeCell ref="LJ46:LK46"/>
    <mergeCell ref="LL46:LM46"/>
    <mergeCell ref="LN46:LO46"/>
    <mergeCell ref="LP46:LQ46"/>
    <mergeCell ref="LR46:LS46"/>
    <mergeCell ref="LT46:LU46"/>
    <mergeCell ref="LV46:LW46"/>
    <mergeCell ref="LX46:LY46"/>
    <mergeCell ref="LZ46:MA46"/>
    <mergeCell ref="MB46:MC46"/>
    <mergeCell ref="MD46:ME46"/>
    <mergeCell ref="MF46:MG46"/>
    <mergeCell ref="MH46:MI46"/>
    <mergeCell ref="MJ46:MK46"/>
    <mergeCell ref="MP46:MQ46"/>
    <mergeCell ref="MR46:MS46"/>
    <mergeCell ref="MT46:MU46"/>
    <mergeCell ref="MV46:MW46"/>
    <mergeCell ref="MX46:MY46"/>
    <mergeCell ref="MZ46:NA46"/>
    <mergeCell ref="NB46:NC46"/>
    <mergeCell ref="ND46:NE46"/>
    <mergeCell ref="NF46:NG46"/>
    <mergeCell ref="NH46:NI46"/>
    <mergeCell ref="NJ46:NK46"/>
    <mergeCell ref="NL46:NM46"/>
    <mergeCell ref="NN46:NO46"/>
    <mergeCell ref="NP46:NQ46"/>
    <mergeCell ref="NR46:NS46"/>
    <mergeCell ref="NT46:NU46"/>
    <mergeCell ref="NV46:NW46"/>
    <mergeCell ref="NX46:NY46"/>
    <mergeCell ref="NZ46:OA46"/>
    <mergeCell ref="OB46:OC46"/>
    <mergeCell ref="OD46:OE46"/>
    <mergeCell ref="OF46:OG46"/>
    <mergeCell ref="OH46:OI46"/>
    <mergeCell ref="OJ46:OK46"/>
    <mergeCell ref="OL46:OM46"/>
    <mergeCell ref="ON45:OO45"/>
    <mergeCell ref="OP45:OQ45"/>
    <mergeCell ref="OR45:OS45"/>
    <mergeCell ref="OT45:OU45"/>
    <mergeCell ref="OV45:OW45"/>
    <mergeCell ref="OX45:OY45"/>
    <mergeCell ref="OZ45:PA45"/>
    <mergeCell ref="PB45:PC45"/>
    <mergeCell ref="PD45:PE45"/>
    <mergeCell ref="PF45:PG45"/>
    <mergeCell ref="PH45:PI45"/>
    <mergeCell ref="PJ45:PK45"/>
    <mergeCell ref="PL45:PM45"/>
    <mergeCell ref="PN45:PO45"/>
    <mergeCell ref="PP45:PQ45"/>
    <mergeCell ref="PR45:PS45"/>
    <mergeCell ref="PT45:PU45"/>
    <mergeCell ref="PV45:PW45"/>
    <mergeCell ref="PX45:PY45"/>
    <mergeCell ref="PZ45:QA45"/>
    <mergeCell ref="QB45:QC45"/>
    <mergeCell ref="QD45:QE45"/>
    <mergeCell ref="QF45:QG45"/>
    <mergeCell ref="QH45:QI45"/>
    <mergeCell ref="QJ45:QK45"/>
    <mergeCell ref="QL45:QM45"/>
    <mergeCell ref="QN45:QO45"/>
    <mergeCell ref="QP45:QQ45"/>
    <mergeCell ref="QR45:QS45"/>
    <mergeCell ref="QT45:QU45"/>
    <mergeCell ref="QV45:QW45"/>
    <mergeCell ref="QX45:QY45"/>
    <mergeCell ref="QZ45:RA45"/>
    <mergeCell ref="RB44:RC44"/>
    <mergeCell ref="JN45:JO45"/>
    <mergeCell ref="JP45:JQ45"/>
    <mergeCell ref="JR45:JS45"/>
    <mergeCell ref="JT45:JU45"/>
    <mergeCell ref="JV45:JW45"/>
    <mergeCell ref="JX45:JY45"/>
    <mergeCell ref="JZ45:KA45"/>
    <mergeCell ref="KB45:KC45"/>
    <mergeCell ref="KD45:KE45"/>
    <mergeCell ref="KF45:KG45"/>
    <mergeCell ref="KH45:KI45"/>
    <mergeCell ref="KJ45:KK45"/>
    <mergeCell ref="KL45:KM45"/>
    <mergeCell ref="KN45:KO45"/>
    <mergeCell ref="KP45:KQ45"/>
    <mergeCell ref="KR45:KS45"/>
    <mergeCell ref="KT45:KU45"/>
    <mergeCell ref="KV45:KW45"/>
    <mergeCell ref="KX45:KY45"/>
    <mergeCell ref="KZ45:LA45"/>
    <mergeCell ref="LB45:LC45"/>
    <mergeCell ref="LD45:LE45"/>
    <mergeCell ref="LF45:LG45"/>
    <mergeCell ref="LH45:LI45"/>
    <mergeCell ref="LJ45:LK45"/>
    <mergeCell ref="LL45:LM45"/>
    <mergeCell ref="LN45:LO45"/>
    <mergeCell ref="LP45:LQ45"/>
    <mergeCell ref="LR45:LS45"/>
    <mergeCell ref="LT45:LU45"/>
    <mergeCell ref="LV45:LW45"/>
    <mergeCell ref="LX45:LY45"/>
    <mergeCell ref="LZ45:MA45"/>
    <mergeCell ref="MB45:MC45"/>
    <mergeCell ref="MD45:ME45"/>
    <mergeCell ref="MF45:MG45"/>
    <mergeCell ref="MH45:MI45"/>
    <mergeCell ref="MJ45:MK45"/>
    <mergeCell ref="MP45:MQ45"/>
    <mergeCell ref="MR45:MS45"/>
    <mergeCell ref="MT45:MU45"/>
    <mergeCell ref="MV45:MW45"/>
    <mergeCell ref="MX45:MY45"/>
    <mergeCell ref="MZ45:NA45"/>
    <mergeCell ref="NB45:NC45"/>
    <mergeCell ref="ND45:NE45"/>
    <mergeCell ref="NF45:NG45"/>
    <mergeCell ref="NH45:NI45"/>
    <mergeCell ref="NJ45:NK45"/>
    <mergeCell ref="NL45:NM45"/>
    <mergeCell ref="NN45:NO45"/>
    <mergeCell ref="NP45:NQ45"/>
    <mergeCell ref="NR45:NS45"/>
    <mergeCell ref="NT45:NU45"/>
    <mergeCell ref="NV45:NW45"/>
    <mergeCell ref="NX45:NY45"/>
    <mergeCell ref="NZ45:OA45"/>
    <mergeCell ref="OB45:OC45"/>
    <mergeCell ref="OD45:OE45"/>
    <mergeCell ref="OF45:OG45"/>
    <mergeCell ref="OH45:OI45"/>
    <mergeCell ref="OJ45:OK45"/>
    <mergeCell ref="OL45:OM45"/>
    <mergeCell ref="ON44:OO44"/>
    <mergeCell ref="OP44:OQ44"/>
    <mergeCell ref="OR44:OS44"/>
    <mergeCell ref="OT44:OU44"/>
    <mergeCell ref="OV44:OW44"/>
    <mergeCell ref="OX44:OY44"/>
    <mergeCell ref="OZ44:PA44"/>
    <mergeCell ref="PB44:PC44"/>
    <mergeCell ref="PD44:PE44"/>
    <mergeCell ref="PF44:PG44"/>
    <mergeCell ref="PH44:PI44"/>
    <mergeCell ref="PJ44:PK44"/>
    <mergeCell ref="PL44:PM44"/>
    <mergeCell ref="PN44:PO44"/>
    <mergeCell ref="PP44:PQ44"/>
    <mergeCell ref="PR44:PS44"/>
    <mergeCell ref="PT44:PU44"/>
    <mergeCell ref="PV44:PW44"/>
    <mergeCell ref="PX44:PY44"/>
    <mergeCell ref="PZ44:QA44"/>
    <mergeCell ref="QB44:QC44"/>
    <mergeCell ref="QD44:QE44"/>
    <mergeCell ref="QF44:QG44"/>
    <mergeCell ref="QH44:QI44"/>
    <mergeCell ref="QJ44:QK44"/>
    <mergeCell ref="QL44:QM44"/>
    <mergeCell ref="QN44:QO44"/>
    <mergeCell ref="QP44:QQ44"/>
    <mergeCell ref="QR44:QS44"/>
    <mergeCell ref="QT44:QU44"/>
    <mergeCell ref="QV44:QW44"/>
    <mergeCell ref="QX44:QY44"/>
    <mergeCell ref="QZ44:RA44"/>
    <mergeCell ref="RB43:RC43"/>
    <mergeCell ref="JN44:JO44"/>
    <mergeCell ref="JP44:JQ44"/>
    <mergeCell ref="JR44:JS44"/>
    <mergeCell ref="JT44:JU44"/>
    <mergeCell ref="JV44:JW44"/>
    <mergeCell ref="JX44:JY44"/>
    <mergeCell ref="JZ44:KA44"/>
    <mergeCell ref="KB44:KC44"/>
    <mergeCell ref="KD44:KE44"/>
    <mergeCell ref="KF44:KG44"/>
    <mergeCell ref="KH44:KI44"/>
    <mergeCell ref="KJ44:KK44"/>
    <mergeCell ref="KL44:KM44"/>
    <mergeCell ref="KN44:KO44"/>
    <mergeCell ref="KP44:KQ44"/>
    <mergeCell ref="KR44:KS44"/>
    <mergeCell ref="KT44:KU44"/>
    <mergeCell ref="KV44:KW44"/>
    <mergeCell ref="KX44:KY44"/>
    <mergeCell ref="KZ44:LA44"/>
    <mergeCell ref="LB44:LC44"/>
    <mergeCell ref="LD44:LE44"/>
    <mergeCell ref="LF44:LG44"/>
    <mergeCell ref="LH44:LI44"/>
    <mergeCell ref="LJ44:LK44"/>
    <mergeCell ref="LL44:LM44"/>
    <mergeCell ref="LN44:LO44"/>
    <mergeCell ref="LP44:LQ44"/>
    <mergeCell ref="LR44:LS44"/>
    <mergeCell ref="LT44:LU44"/>
    <mergeCell ref="LV44:LW44"/>
    <mergeCell ref="LX44:LY44"/>
    <mergeCell ref="LZ44:MA44"/>
    <mergeCell ref="MB44:MC44"/>
    <mergeCell ref="MD44:ME44"/>
    <mergeCell ref="MF44:MG44"/>
    <mergeCell ref="MH44:MI44"/>
    <mergeCell ref="MJ44:MK44"/>
    <mergeCell ref="MP44:MQ44"/>
    <mergeCell ref="MR44:MS44"/>
    <mergeCell ref="MT44:MU44"/>
    <mergeCell ref="MV44:MW44"/>
    <mergeCell ref="MX44:MY44"/>
    <mergeCell ref="MZ44:NA44"/>
    <mergeCell ref="NB44:NC44"/>
    <mergeCell ref="ND44:NE44"/>
    <mergeCell ref="NF44:NG44"/>
    <mergeCell ref="NH44:NI44"/>
    <mergeCell ref="NJ44:NK44"/>
    <mergeCell ref="NL44:NM44"/>
    <mergeCell ref="NN44:NO44"/>
    <mergeCell ref="NP44:NQ44"/>
    <mergeCell ref="NR44:NS44"/>
    <mergeCell ref="NT44:NU44"/>
    <mergeCell ref="NV44:NW44"/>
    <mergeCell ref="NX44:NY44"/>
    <mergeCell ref="NZ44:OA44"/>
    <mergeCell ref="OB44:OC44"/>
    <mergeCell ref="OD44:OE44"/>
    <mergeCell ref="OF44:OG44"/>
    <mergeCell ref="OH44:OI44"/>
    <mergeCell ref="OJ44:OK44"/>
    <mergeCell ref="OL44:OM44"/>
    <mergeCell ref="ON43:OO43"/>
    <mergeCell ref="OP43:OQ43"/>
    <mergeCell ref="OR43:OS43"/>
    <mergeCell ref="OT43:OU43"/>
    <mergeCell ref="OV43:OW43"/>
    <mergeCell ref="OX43:OY43"/>
    <mergeCell ref="OZ43:PA43"/>
    <mergeCell ref="PB43:PC43"/>
    <mergeCell ref="PD43:PE43"/>
    <mergeCell ref="PF43:PG43"/>
    <mergeCell ref="PH43:PI43"/>
    <mergeCell ref="PJ43:PK43"/>
    <mergeCell ref="PL43:PM43"/>
    <mergeCell ref="PN43:PO43"/>
    <mergeCell ref="PP43:PQ43"/>
    <mergeCell ref="PR43:PS43"/>
    <mergeCell ref="PT43:PU43"/>
    <mergeCell ref="PV43:PW43"/>
    <mergeCell ref="PX43:PY43"/>
    <mergeCell ref="PZ43:QA43"/>
    <mergeCell ref="QB43:QC43"/>
    <mergeCell ref="QD43:QE43"/>
    <mergeCell ref="QF43:QG43"/>
    <mergeCell ref="QH43:QI43"/>
    <mergeCell ref="QJ43:QK43"/>
    <mergeCell ref="QL43:QM43"/>
    <mergeCell ref="QN43:QO43"/>
    <mergeCell ref="QP43:QQ43"/>
    <mergeCell ref="QR43:QS43"/>
    <mergeCell ref="QT43:QU43"/>
    <mergeCell ref="QV43:QW43"/>
    <mergeCell ref="QX43:QY43"/>
    <mergeCell ref="QZ43:RA43"/>
    <mergeCell ref="RB42:RC42"/>
    <mergeCell ref="JN43:JO43"/>
    <mergeCell ref="JP43:JQ43"/>
    <mergeCell ref="JR43:JS43"/>
    <mergeCell ref="JT43:JU43"/>
    <mergeCell ref="JV43:JW43"/>
    <mergeCell ref="JX43:JY43"/>
    <mergeCell ref="JZ43:KA43"/>
    <mergeCell ref="KB43:KC43"/>
    <mergeCell ref="KD43:KE43"/>
    <mergeCell ref="KF43:KG43"/>
    <mergeCell ref="KH43:KI43"/>
    <mergeCell ref="KJ43:KK43"/>
    <mergeCell ref="KL43:KM43"/>
    <mergeCell ref="KN43:KO43"/>
    <mergeCell ref="KP43:KQ43"/>
    <mergeCell ref="KR43:KS43"/>
    <mergeCell ref="KT43:KU43"/>
    <mergeCell ref="KV43:KW43"/>
    <mergeCell ref="KX43:KY43"/>
    <mergeCell ref="KZ43:LA43"/>
    <mergeCell ref="LB43:LC43"/>
    <mergeCell ref="LD43:LE43"/>
    <mergeCell ref="LF43:LG43"/>
    <mergeCell ref="LH43:LI43"/>
    <mergeCell ref="LJ43:LK43"/>
    <mergeCell ref="LL43:LM43"/>
    <mergeCell ref="LN43:LO43"/>
    <mergeCell ref="LP43:LQ43"/>
    <mergeCell ref="LR43:LS43"/>
    <mergeCell ref="LT43:LU43"/>
    <mergeCell ref="LV43:LW43"/>
    <mergeCell ref="LX43:LY43"/>
    <mergeCell ref="LZ43:MA43"/>
    <mergeCell ref="MB43:MC43"/>
    <mergeCell ref="MD43:ME43"/>
    <mergeCell ref="MF43:MG43"/>
    <mergeCell ref="MH43:MI43"/>
    <mergeCell ref="MJ43:MK43"/>
    <mergeCell ref="MP43:MQ43"/>
    <mergeCell ref="MR43:MS43"/>
    <mergeCell ref="MT43:MU43"/>
    <mergeCell ref="MV43:MW43"/>
    <mergeCell ref="MX43:MY43"/>
    <mergeCell ref="MZ43:NA43"/>
    <mergeCell ref="NB43:NC43"/>
    <mergeCell ref="ND43:NE43"/>
    <mergeCell ref="NF43:NG43"/>
    <mergeCell ref="NH43:NI43"/>
    <mergeCell ref="NJ43:NK43"/>
    <mergeCell ref="NL43:NM43"/>
    <mergeCell ref="NN43:NO43"/>
    <mergeCell ref="NP43:NQ43"/>
    <mergeCell ref="NR43:NS43"/>
    <mergeCell ref="NT43:NU43"/>
    <mergeCell ref="NV43:NW43"/>
    <mergeCell ref="NX43:NY43"/>
    <mergeCell ref="NZ43:OA43"/>
    <mergeCell ref="OB43:OC43"/>
    <mergeCell ref="OD43:OE43"/>
    <mergeCell ref="OF43:OG43"/>
    <mergeCell ref="OH43:OI43"/>
    <mergeCell ref="OJ43:OK43"/>
    <mergeCell ref="OL43:OM43"/>
    <mergeCell ref="ON42:OO42"/>
    <mergeCell ref="OP42:OQ42"/>
    <mergeCell ref="OR42:OS42"/>
    <mergeCell ref="OT42:OU42"/>
    <mergeCell ref="OV42:OW42"/>
    <mergeCell ref="OX42:OY42"/>
    <mergeCell ref="OZ42:PA42"/>
    <mergeCell ref="PB42:PC42"/>
    <mergeCell ref="PD42:PE42"/>
    <mergeCell ref="PF42:PG42"/>
    <mergeCell ref="PH42:PI42"/>
    <mergeCell ref="PJ42:PK42"/>
    <mergeCell ref="PL42:PM42"/>
    <mergeCell ref="PN42:PO42"/>
    <mergeCell ref="PP42:PQ42"/>
    <mergeCell ref="PR42:PS42"/>
    <mergeCell ref="PT42:PU42"/>
    <mergeCell ref="PV42:PW42"/>
    <mergeCell ref="PX42:PY42"/>
    <mergeCell ref="PZ42:QA42"/>
    <mergeCell ref="QB42:QC42"/>
    <mergeCell ref="QD42:QE42"/>
    <mergeCell ref="QF42:QG42"/>
    <mergeCell ref="QH42:QI42"/>
    <mergeCell ref="QJ42:QK42"/>
    <mergeCell ref="QL42:QM42"/>
    <mergeCell ref="QN42:QO42"/>
    <mergeCell ref="QP42:QQ42"/>
    <mergeCell ref="QR42:QS42"/>
    <mergeCell ref="QT42:QU42"/>
    <mergeCell ref="QV42:QW42"/>
    <mergeCell ref="QX42:QY42"/>
    <mergeCell ref="QZ42:RA42"/>
    <mergeCell ref="RB41:RC41"/>
    <mergeCell ref="JN42:JO42"/>
    <mergeCell ref="JP42:JQ42"/>
    <mergeCell ref="JR42:JS42"/>
    <mergeCell ref="JT42:JU42"/>
    <mergeCell ref="JV42:JW42"/>
    <mergeCell ref="JX42:JY42"/>
    <mergeCell ref="JZ42:KA42"/>
    <mergeCell ref="KB42:KC42"/>
    <mergeCell ref="KD42:KE42"/>
    <mergeCell ref="KF42:KG42"/>
    <mergeCell ref="KH42:KI42"/>
    <mergeCell ref="KJ42:KK42"/>
    <mergeCell ref="KL42:KM42"/>
    <mergeCell ref="KN42:KO42"/>
    <mergeCell ref="KP42:KQ42"/>
    <mergeCell ref="KR42:KS42"/>
    <mergeCell ref="KT42:KU42"/>
    <mergeCell ref="KV42:KW42"/>
    <mergeCell ref="KX42:KY42"/>
    <mergeCell ref="KZ42:LA42"/>
    <mergeCell ref="LB42:LC42"/>
    <mergeCell ref="LD42:LE42"/>
    <mergeCell ref="LF42:LG42"/>
    <mergeCell ref="LH42:LI42"/>
    <mergeCell ref="LJ42:LK42"/>
    <mergeCell ref="LL42:LM42"/>
    <mergeCell ref="LN42:LO42"/>
    <mergeCell ref="LP42:LQ42"/>
    <mergeCell ref="LR42:LS42"/>
    <mergeCell ref="LT42:LU42"/>
    <mergeCell ref="LV42:LW42"/>
    <mergeCell ref="LX42:LY42"/>
    <mergeCell ref="LZ42:MA42"/>
    <mergeCell ref="MB42:MC42"/>
    <mergeCell ref="MD42:ME42"/>
    <mergeCell ref="MF42:MG42"/>
    <mergeCell ref="MH42:MI42"/>
    <mergeCell ref="MJ42:MK42"/>
    <mergeCell ref="MP42:MQ42"/>
    <mergeCell ref="MR42:MS42"/>
    <mergeCell ref="MT42:MU42"/>
    <mergeCell ref="MV42:MW42"/>
    <mergeCell ref="MX42:MY42"/>
    <mergeCell ref="MZ42:NA42"/>
    <mergeCell ref="NB42:NC42"/>
    <mergeCell ref="ND42:NE42"/>
    <mergeCell ref="NF42:NG42"/>
    <mergeCell ref="NH42:NI42"/>
    <mergeCell ref="NJ42:NK42"/>
    <mergeCell ref="NL42:NM42"/>
    <mergeCell ref="NN42:NO42"/>
    <mergeCell ref="NP42:NQ42"/>
    <mergeCell ref="NR42:NS42"/>
    <mergeCell ref="NT42:NU42"/>
    <mergeCell ref="NV42:NW42"/>
    <mergeCell ref="NX42:NY42"/>
    <mergeCell ref="NZ42:OA42"/>
    <mergeCell ref="OB42:OC42"/>
    <mergeCell ref="OD42:OE42"/>
    <mergeCell ref="OF42:OG42"/>
    <mergeCell ref="OH42:OI42"/>
    <mergeCell ref="OJ42:OK42"/>
    <mergeCell ref="OL42:OM42"/>
    <mergeCell ref="ON41:OO41"/>
    <mergeCell ref="OP41:OQ41"/>
    <mergeCell ref="OR41:OS41"/>
    <mergeCell ref="OT41:OU41"/>
    <mergeCell ref="OV41:OW41"/>
    <mergeCell ref="OX41:OY41"/>
    <mergeCell ref="OZ41:PA41"/>
    <mergeCell ref="PB41:PC41"/>
    <mergeCell ref="PD41:PE41"/>
    <mergeCell ref="PF41:PG41"/>
    <mergeCell ref="PH41:PI41"/>
    <mergeCell ref="PJ41:PK41"/>
    <mergeCell ref="PL41:PM41"/>
    <mergeCell ref="PN41:PO41"/>
    <mergeCell ref="PP41:PQ41"/>
    <mergeCell ref="PR41:PS41"/>
    <mergeCell ref="PT41:PU41"/>
    <mergeCell ref="PV41:PW41"/>
    <mergeCell ref="PX41:PY41"/>
    <mergeCell ref="PZ41:QA41"/>
    <mergeCell ref="QB41:QC41"/>
    <mergeCell ref="QD41:QE41"/>
    <mergeCell ref="QF41:QG41"/>
    <mergeCell ref="QH41:QI41"/>
    <mergeCell ref="QJ41:QK41"/>
    <mergeCell ref="QL41:QM41"/>
    <mergeCell ref="QN41:QO41"/>
    <mergeCell ref="QP41:QQ41"/>
    <mergeCell ref="QR41:QS41"/>
    <mergeCell ref="QT41:QU41"/>
    <mergeCell ref="QV41:QW41"/>
    <mergeCell ref="QX41:QY41"/>
    <mergeCell ref="QZ41:RA41"/>
    <mergeCell ref="QV40:QW40"/>
    <mergeCell ref="QX40:QY40"/>
    <mergeCell ref="QZ40:RA40"/>
    <mergeCell ref="RB40:RC40"/>
    <mergeCell ref="JN41:JO41"/>
    <mergeCell ref="JP41:JQ41"/>
    <mergeCell ref="JR41:JS41"/>
    <mergeCell ref="JT41:JU41"/>
    <mergeCell ref="JV41:JW41"/>
    <mergeCell ref="JX41:JY41"/>
    <mergeCell ref="JZ41:KA41"/>
    <mergeCell ref="KB41:KC41"/>
    <mergeCell ref="KD41:KE41"/>
    <mergeCell ref="KF41:KG41"/>
    <mergeCell ref="KH41:KI41"/>
    <mergeCell ref="KJ41:KK41"/>
    <mergeCell ref="KL41:KM41"/>
    <mergeCell ref="KN41:KO41"/>
    <mergeCell ref="KP41:KQ41"/>
    <mergeCell ref="KR41:KS41"/>
    <mergeCell ref="KT41:KU41"/>
    <mergeCell ref="KV41:KW41"/>
    <mergeCell ref="KX41:KY41"/>
    <mergeCell ref="KZ41:LA41"/>
    <mergeCell ref="LB41:LC41"/>
    <mergeCell ref="LD41:LE41"/>
    <mergeCell ref="LF41:LG41"/>
    <mergeCell ref="LH41:LI41"/>
    <mergeCell ref="LJ41:LK41"/>
    <mergeCell ref="LL41:LM41"/>
    <mergeCell ref="LN41:LO41"/>
    <mergeCell ref="LP41:LQ41"/>
    <mergeCell ref="LR41:LS41"/>
    <mergeCell ref="LT41:LU41"/>
    <mergeCell ref="LV41:LW41"/>
    <mergeCell ref="LX41:LY41"/>
    <mergeCell ref="LZ41:MA41"/>
    <mergeCell ref="MB41:MC41"/>
    <mergeCell ref="MD41:ME41"/>
    <mergeCell ref="MP41:MQ41"/>
    <mergeCell ref="MR41:MS41"/>
    <mergeCell ref="MT41:MU41"/>
    <mergeCell ref="MV41:MW41"/>
    <mergeCell ref="MX41:MY41"/>
    <mergeCell ref="MZ41:NA41"/>
    <mergeCell ref="NB41:NC41"/>
    <mergeCell ref="ND41:NE41"/>
    <mergeCell ref="NF41:NG41"/>
    <mergeCell ref="NH41:NI41"/>
    <mergeCell ref="NJ41:NK41"/>
    <mergeCell ref="NL41:NM41"/>
    <mergeCell ref="NN41:NO41"/>
    <mergeCell ref="NP41:NQ41"/>
    <mergeCell ref="NR41:NS41"/>
    <mergeCell ref="NT41:NU41"/>
    <mergeCell ref="NV41:NW41"/>
    <mergeCell ref="NX41:NY41"/>
    <mergeCell ref="NZ41:OA41"/>
    <mergeCell ref="OB41:OC41"/>
    <mergeCell ref="OD41:OE41"/>
    <mergeCell ref="OF41:OG41"/>
    <mergeCell ref="OH41:OI41"/>
    <mergeCell ref="OJ41:OK41"/>
    <mergeCell ref="OL41:OM41"/>
    <mergeCell ref="OH40:OI40"/>
    <mergeCell ref="OJ40:OK40"/>
    <mergeCell ref="OL40:OM40"/>
    <mergeCell ref="ON40:OO40"/>
    <mergeCell ref="OP40:OQ40"/>
    <mergeCell ref="OR40:OS40"/>
    <mergeCell ref="OT40:OU40"/>
    <mergeCell ref="OV40:OW40"/>
    <mergeCell ref="OX40:OY40"/>
    <mergeCell ref="OZ40:PA40"/>
    <mergeCell ref="PB40:PC40"/>
    <mergeCell ref="PD40:PE40"/>
    <mergeCell ref="PF40:PG40"/>
    <mergeCell ref="PH40:PI40"/>
    <mergeCell ref="PJ40:PK40"/>
    <mergeCell ref="PL40:PM40"/>
    <mergeCell ref="PN40:PO40"/>
    <mergeCell ref="PP40:PQ40"/>
    <mergeCell ref="PR40:PS40"/>
    <mergeCell ref="PT40:PU40"/>
    <mergeCell ref="PV40:PW40"/>
    <mergeCell ref="PX40:PY40"/>
    <mergeCell ref="PZ40:QA40"/>
    <mergeCell ref="QB40:QC40"/>
    <mergeCell ref="QD40:QE40"/>
    <mergeCell ref="QF40:QG40"/>
    <mergeCell ref="QH40:QI40"/>
    <mergeCell ref="QJ40:QK40"/>
    <mergeCell ref="QL40:QM40"/>
    <mergeCell ref="QN40:QO40"/>
    <mergeCell ref="QP40:QQ40"/>
    <mergeCell ref="QR40:QS40"/>
    <mergeCell ref="QT40:QU40"/>
    <mergeCell ref="PZ39:QA39"/>
    <mergeCell ref="QB39:QC39"/>
    <mergeCell ref="QD39:QE39"/>
    <mergeCell ref="QF39:QG39"/>
    <mergeCell ref="QH39:QI39"/>
    <mergeCell ref="QJ39:QK39"/>
    <mergeCell ref="QL39:QM39"/>
    <mergeCell ref="QN39:QO39"/>
    <mergeCell ref="QP39:QQ39"/>
    <mergeCell ref="QR39:QS39"/>
    <mergeCell ref="QT39:QU39"/>
    <mergeCell ref="QV39:QW39"/>
    <mergeCell ref="QX39:QY39"/>
    <mergeCell ref="QZ39:RA39"/>
    <mergeCell ref="RB39:RC39"/>
    <mergeCell ref="KN40:KO40"/>
    <mergeCell ref="KP40:KQ40"/>
    <mergeCell ref="KR40:KS40"/>
    <mergeCell ref="KT40:KU40"/>
    <mergeCell ref="KV40:KW40"/>
    <mergeCell ref="KX40:KY40"/>
    <mergeCell ref="KZ40:LA40"/>
    <mergeCell ref="LB40:LC40"/>
    <mergeCell ref="LD40:LE40"/>
    <mergeCell ref="LF40:LG40"/>
    <mergeCell ref="LH40:LI40"/>
    <mergeCell ref="LJ40:LK40"/>
    <mergeCell ref="LL40:LM40"/>
    <mergeCell ref="LN40:LO40"/>
    <mergeCell ref="LP40:LQ40"/>
    <mergeCell ref="LR40:LS40"/>
    <mergeCell ref="LT40:LU40"/>
    <mergeCell ref="LV40:LW40"/>
    <mergeCell ref="LX40:LY40"/>
    <mergeCell ref="LZ40:MA40"/>
    <mergeCell ref="MB40:MC40"/>
    <mergeCell ref="MD40:ME40"/>
    <mergeCell ref="MF40:MG40"/>
    <mergeCell ref="MH40:MI40"/>
    <mergeCell ref="MJ40:MK40"/>
    <mergeCell ref="ML40:MM40"/>
    <mergeCell ref="MN40:MO40"/>
    <mergeCell ref="MP40:MQ40"/>
    <mergeCell ref="MR40:MS40"/>
    <mergeCell ref="MT40:MU40"/>
    <mergeCell ref="MV40:MW40"/>
    <mergeCell ref="MX40:MY40"/>
    <mergeCell ref="MZ40:NA40"/>
    <mergeCell ref="NB40:NC40"/>
    <mergeCell ref="ND40:NE40"/>
    <mergeCell ref="NF40:NG40"/>
    <mergeCell ref="NH40:NI40"/>
    <mergeCell ref="NJ40:NK40"/>
    <mergeCell ref="NL40:NM40"/>
    <mergeCell ref="NN40:NO40"/>
    <mergeCell ref="NP40:NQ40"/>
    <mergeCell ref="NR40:NS40"/>
    <mergeCell ref="NT40:NU40"/>
    <mergeCell ref="NV40:NW40"/>
    <mergeCell ref="NX40:NY40"/>
    <mergeCell ref="NZ40:OA40"/>
    <mergeCell ref="OB40:OC40"/>
    <mergeCell ref="OD40:OE40"/>
    <mergeCell ref="OF40:OG40"/>
    <mergeCell ref="NP39:NQ39"/>
    <mergeCell ref="NR39:NS39"/>
    <mergeCell ref="NT39:NU39"/>
    <mergeCell ref="NV39:NW39"/>
    <mergeCell ref="NX39:NY39"/>
    <mergeCell ref="NZ39:OA39"/>
    <mergeCell ref="OB39:OC39"/>
    <mergeCell ref="OD39:OE39"/>
    <mergeCell ref="OF39:OG39"/>
    <mergeCell ref="OH39:OI39"/>
    <mergeCell ref="OJ39:OK39"/>
    <mergeCell ref="OL39:OM39"/>
    <mergeCell ref="ON39:OO39"/>
    <mergeCell ref="OP39:OQ39"/>
    <mergeCell ref="NL39:NM39"/>
    <mergeCell ref="NN39:NO39"/>
    <mergeCell ref="OR39:OS39"/>
    <mergeCell ref="OT39:OU39"/>
    <mergeCell ref="OV39:OW39"/>
    <mergeCell ref="OX39:OY39"/>
    <mergeCell ref="OZ39:PA39"/>
    <mergeCell ref="PB39:PC39"/>
    <mergeCell ref="PD39:PE39"/>
    <mergeCell ref="PF39:PG39"/>
    <mergeCell ref="PH39:PI39"/>
    <mergeCell ref="PJ39:PK39"/>
    <mergeCell ref="PL39:PM39"/>
    <mergeCell ref="PN39:PO39"/>
    <mergeCell ref="PP39:PQ39"/>
    <mergeCell ref="PR39:PS39"/>
    <mergeCell ref="PT39:PU39"/>
    <mergeCell ref="PV39:PW39"/>
    <mergeCell ref="PX39:PY39"/>
    <mergeCell ref="PZ38:QA38"/>
    <mergeCell ref="QB38:QC38"/>
    <mergeCell ref="QD38:QE38"/>
    <mergeCell ref="QF38:QG38"/>
    <mergeCell ref="QH38:QI38"/>
    <mergeCell ref="QJ38:QK38"/>
    <mergeCell ref="QL38:QM38"/>
    <mergeCell ref="QN38:QO38"/>
    <mergeCell ref="QP38:QQ38"/>
    <mergeCell ref="QR38:QS38"/>
    <mergeCell ref="QT38:QU38"/>
    <mergeCell ref="QV38:QW38"/>
    <mergeCell ref="QX38:QY38"/>
    <mergeCell ref="QZ38:RA38"/>
    <mergeCell ref="RB38:RC38"/>
    <mergeCell ref="JN39:JO39"/>
    <mergeCell ref="JP39:JQ39"/>
    <mergeCell ref="JR39:JS39"/>
    <mergeCell ref="JT39:JU39"/>
    <mergeCell ref="JV39:JW39"/>
    <mergeCell ref="JX39:JY39"/>
    <mergeCell ref="JZ39:KA39"/>
    <mergeCell ref="KB39:KC39"/>
    <mergeCell ref="KD39:KE39"/>
    <mergeCell ref="KF39:KG39"/>
    <mergeCell ref="KH39:KI39"/>
    <mergeCell ref="KJ39:KK39"/>
    <mergeCell ref="KL39:KM39"/>
    <mergeCell ref="KN39:KO39"/>
    <mergeCell ref="KP39:KQ39"/>
    <mergeCell ref="KR39:KS39"/>
    <mergeCell ref="KT39:KU39"/>
    <mergeCell ref="KV39:KW39"/>
    <mergeCell ref="KX39:KY39"/>
    <mergeCell ref="KZ39:LA39"/>
    <mergeCell ref="LB39:LC39"/>
    <mergeCell ref="LD39:LE39"/>
    <mergeCell ref="LF39:LG39"/>
    <mergeCell ref="LH39:LI39"/>
    <mergeCell ref="LJ39:LK39"/>
    <mergeCell ref="LL39:LM39"/>
    <mergeCell ref="LN39:LO39"/>
    <mergeCell ref="LP39:LQ39"/>
    <mergeCell ref="LR39:LS39"/>
    <mergeCell ref="LT39:LU39"/>
    <mergeCell ref="LV39:LW39"/>
    <mergeCell ref="LX39:LY39"/>
    <mergeCell ref="LZ39:MA39"/>
    <mergeCell ref="MB39:MC39"/>
    <mergeCell ref="MD39:ME39"/>
    <mergeCell ref="MF39:MG39"/>
    <mergeCell ref="MH39:MI39"/>
    <mergeCell ref="MJ39:MK39"/>
    <mergeCell ref="ML39:MM39"/>
    <mergeCell ref="MN39:MO39"/>
    <mergeCell ref="MP39:MQ39"/>
    <mergeCell ref="MR39:MS39"/>
    <mergeCell ref="MT39:MU39"/>
    <mergeCell ref="MV39:MW39"/>
    <mergeCell ref="MX39:MY39"/>
    <mergeCell ref="ND39:NE39"/>
    <mergeCell ref="NF39:NG39"/>
    <mergeCell ref="NH39:NI39"/>
    <mergeCell ref="NJ39:NK39"/>
    <mergeCell ref="NP38:NQ38"/>
    <mergeCell ref="NR38:NS38"/>
    <mergeCell ref="NT38:NU38"/>
    <mergeCell ref="NV38:NW38"/>
    <mergeCell ref="NX38:NY38"/>
    <mergeCell ref="NZ38:OA38"/>
    <mergeCell ref="OB38:OC38"/>
    <mergeCell ref="OD38:OE38"/>
    <mergeCell ref="OF38:OG38"/>
    <mergeCell ref="OH38:OI38"/>
    <mergeCell ref="OJ38:OK38"/>
    <mergeCell ref="OL38:OM38"/>
    <mergeCell ref="ON38:OO38"/>
    <mergeCell ref="OP38:OQ38"/>
    <mergeCell ref="NL38:NM38"/>
    <mergeCell ref="NN38:NO38"/>
    <mergeCell ref="OR38:OS38"/>
    <mergeCell ref="OT38:OU38"/>
    <mergeCell ref="OV38:OW38"/>
    <mergeCell ref="OX38:OY38"/>
    <mergeCell ref="OZ38:PA38"/>
    <mergeCell ref="PB38:PC38"/>
    <mergeCell ref="PD38:PE38"/>
    <mergeCell ref="PF38:PG38"/>
    <mergeCell ref="PH38:PI38"/>
    <mergeCell ref="PJ38:PK38"/>
    <mergeCell ref="PL38:PM38"/>
    <mergeCell ref="PN38:PO38"/>
    <mergeCell ref="PP38:PQ38"/>
    <mergeCell ref="PR38:PS38"/>
    <mergeCell ref="PT38:PU38"/>
    <mergeCell ref="PV38:PW38"/>
    <mergeCell ref="PX38:PY38"/>
    <mergeCell ref="PZ37:QA37"/>
    <mergeCell ref="QB37:QC37"/>
    <mergeCell ref="QD37:QE37"/>
    <mergeCell ref="QF37:QG37"/>
    <mergeCell ref="QH37:QI37"/>
    <mergeCell ref="QJ37:QK37"/>
    <mergeCell ref="QL37:QM37"/>
    <mergeCell ref="QN37:QO37"/>
    <mergeCell ref="QP37:QQ37"/>
    <mergeCell ref="QR37:QS37"/>
    <mergeCell ref="QT37:QU37"/>
    <mergeCell ref="QV37:QW37"/>
    <mergeCell ref="QX37:QY37"/>
    <mergeCell ref="QZ37:RA37"/>
    <mergeCell ref="RB37:RC37"/>
    <mergeCell ref="JN38:JO38"/>
    <mergeCell ref="JP38:JQ38"/>
    <mergeCell ref="JR38:JS38"/>
    <mergeCell ref="JT38:JU38"/>
    <mergeCell ref="JV38:JW38"/>
    <mergeCell ref="JX38:JY38"/>
    <mergeCell ref="JZ38:KA38"/>
    <mergeCell ref="KB38:KC38"/>
    <mergeCell ref="KD38:KE38"/>
    <mergeCell ref="KF38:KG38"/>
    <mergeCell ref="KH38:KI38"/>
    <mergeCell ref="KJ38:KK38"/>
    <mergeCell ref="KL38:KM38"/>
    <mergeCell ref="KN38:KO38"/>
    <mergeCell ref="KP38:KQ38"/>
    <mergeCell ref="KR38:KS38"/>
    <mergeCell ref="KT38:KU38"/>
    <mergeCell ref="KV38:KW38"/>
    <mergeCell ref="KX38:KY38"/>
    <mergeCell ref="KZ38:LA38"/>
    <mergeCell ref="LB38:LC38"/>
    <mergeCell ref="LD38:LE38"/>
    <mergeCell ref="LF38:LG38"/>
    <mergeCell ref="LH38:LI38"/>
    <mergeCell ref="LJ38:LK38"/>
    <mergeCell ref="LL38:LM38"/>
    <mergeCell ref="LN38:LO38"/>
    <mergeCell ref="LP38:LQ38"/>
    <mergeCell ref="LR38:LS38"/>
    <mergeCell ref="LT38:LU38"/>
    <mergeCell ref="LV38:LW38"/>
    <mergeCell ref="LX38:LY38"/>
    <mergeCell ref="LZ38:MA38"/>
    <mergeCell ref="MB38:MC38"/>
    <mergeCell ref="MD38:ME38"/>
    <mergeCell ref="MF38:MG38"/>
    <mergeCell ref="MH38:MI38"/>
    <mergeCell ref="MJ38:MK38"/>
    <mergeCell ref="ML38:MM38"/>
    <mergeCell ref="MN38:MO38"/>
    <mergeCell ref="MP38:MQ38"/>
    <mergeCell ref="MR38:MS38"/>
    <mergeCell ref="MT38:MU38"/>
    <mergeCell ref="MV38:MW38"/>
    <mergeCell ref="MX38:MY38"/>
    <mergeCell ref="ND38:NE38"/>
    <mergeCell ref="NF38:NG38"/>
    <mergeCell ref="NH38:NI38"/>
    <mergeCell ref="NJ38:NK38"/>
    <mergeCell ref="NP37:NQ37"/>
    <mergeCell ref="NR37:NS37"/>
    <mergeCell ref="NT37:NU37"/>
    <mergeCell ref="NV37:NW37"/>
    <mergeCell ref="NX37:NY37"/>
    <mergeCell ref="NZ37:OA37"/>
    <mergeCell ref="OB37:OC37"/>
    <mergeCell ref="OD37:OE37"/>
    <mergeCell ref="OF37:OG37"/>
    <mergeCell ref="OH37:OI37"/>
    <mergeCell ref="OJ37:OK37"/>
    <mergeCell ref="OL37:OM37"/>
    <mergeCell ref="ON37:OO37"/>
    <mergeCell ref="OP37:OQ37"/>
    <mergeCell ref="NL37:NM37"/>
    <mergeCell ref="NN37:NO37"/>
    <mergeCell ref="OR37:OS37"/>
    <mergeCell ref="OT37:OU37"/>
    <mergeCell ref="OV37:OW37"/>
    <mergeCell ref="OX37:OY37"/>
    <mergeCell ref="OZ37:PA37"/>
    <mergeCell ref="PB37:PC37"/>
    <mergeCell ref="PD37:PE37"/>
    <mergeCell ref="PF37:PG37"/>
    <mergeCell ref="PH37:PI37"/>
    <mergeCell ref="PJ37:PK37"/>
    <mergeCell ref="PL37:PM37"/>
    <mergeCell ref="PN37:PO37"/>
    <mergeCell ref="PP37:PQ37"/>
    <mergeCell ref="PR37:PS37"/>
    <mergeCell ref="PT37:PU37"/>
    <mergeCell ref="PV37:PW37"/>
    <mergeCell ref="PX37:PY37"/>
    <mergeCell ref="PZ36:QA36"/>
    <mergeCell ref="QB36:QC36"/>
    <mergeCell ref="QD36:QE36"/>
    <mergeCell ref="QF36:QG36"/>
    <mergeCell ref="QH36:QI36"/>
    <mergeCell ref="QJ36:QK36"/>
    <mergeCell ref="QL36:QM36"/>
    <mergeCell ref="QN36:QO36"/>
    <mergeCell ref="QP36:QQ36"/>
    <mergeCell ref="QR36:QS36"/>
    <mergeCell ref="QT36:QU36"/>
    <mergeCell ref="QV36:QW36"/>
    <mergeCell ref="QX36:QY36"/>
    <mergeCell ref="QZ36:RA36"/>
    <mergeCell ref="RB36:RC36"/>
    <mergeCell ref="JN37:JO37"/>
    <mergeCell ref="JP37:JQ37"/>
    <mergeCell ref="JR37:JS37"/>
    <mergeCell ref="JT37:JU37"/>
    <mergeCell ref="JV37:JW37"/>
    <mergeCell ref="JX37:JY37"/>
    <mergeCell ref="JZ37:KA37"/>
    <mergeCell ref="KB37:KC37"/>
    <mergeCell ref="KD37:KE37"/>
    <mergeCell ref="KF37:KG37"/>
    <mergeCell ref="KH37:KI37"/>
    <mergeCell ref="KJ37:KK37"/>
    <mergeCell ref="KL37:KM37"/>
    <mergeCell ref="KN37:KO37"/>
    <mergeCell ref="KP37:KQ37"/>
    <mergeCell ref="KR37:KS37"/>
    <mergeCell ref="KT37:KU37"/>
    <mergeCell ref="KV37:KW37"/>
    <mergeCell ref="KX37:KY37"/>
    <mergeCell ref="KZ37:LA37"/>
    <mergeCell ref="LB37:LC37"/>
    <mergeCell ref="LD37:LE37"/>
    <mergeCell ref="LF37:LG37"/>
    <mergeCell ref="LH37:LI37"/>
    <mergeCell ref="LJ37:LK37"/>
    <mergeCell ref="LL37:LM37"/>
    <mergeCell ref="LN37:LO37"/>
    <mergeCell ref="LP37:LQ37"/>
    <mergeCell ref="LR37:LS37"/>
    <mergeCell ref="LT37:LU37"/>
    <mergeCell ref="LV37:LW37"/>
    <mergeCell ref="LX37:LY37"/>
    <mergeCell ref="LZ37:MA37"/>
    <mergeCell ref="MB37:MC37"/>
    <mergeCell ref="MD37:ME37"/>
    <mergeCell ref="MF37:MG37"/>
    <mergeCell ref="MH37:MI37"/>
    <mergeCell ref="MJ37:MK37"/>
    <mergeCell ref="ML37:MM37"/>
    <mergeCell ref="MN37:MO37"/>
    <mergeCell ref="MP37:MQ37"/>
    <mergeCell ref="MR37:MS37"/>
    <mergeCell ref="MT37:MU37"/>
    <mergeCell ref="MV37:MW37"/>
    <mergeCell ref="MX37:MY37"/>
    <mergeCell ref="ND37:NE37"/>
    <mergeCell ref="NF37:NG37"/>
    <mergeCell ref="NH37:NI37"/>
    <mergeCell ref="NJ37:NK37"/>
    <mergeCell ref="NP36:NQ36"/>
    <mergeCell ref="NR36:NS36"/>
    <mergeCell ref="NT36:NU36"/>
    <mergeCell ref="NV36:NW36"/>
    <mergeCell ref="NX36:NY36"/>
    <mergeCell ref="NZ36:OA36"/>
    <mergeCell ref="OB36:OC36"/>
    <mergeCell ref="OD36:OE36"/>
    <mergeCell ref="OF36:OG36"/>
    <mergeCell ref="OH36:OI36"/>
    <mergeCell ref="OJ36:OK36"/>
    <mergeCell ref="OL36:OM36"/>
    <mergeCell ref="ON36:OO36"/>
    <mergeCell ref="OP36:OQ36"/>
    <mergeCell ref="NL36:NM36"/>
    <mergeCell ref="NN36:NO36"/>
    <mergeCell ref="OR36:OS36"/>
    <mergeCell ref="OT36:OU36"/>
    <mergeCell ref="OV36:OW36"/>
    <mergeCell ref="OX36:OY36"/>
    <mergeCell ref="OZ36:PA36"/>
    <mergeCell ref="PB36:PC36"/>
    <mergeCell ref="PD36:PE36"/>
    <mergeCell ref="PF36:PG36"/>
    <mergeCell ref="PH36:PI36"/>
    <mergeCell ref="PJ36:PK36"/>
    <mergeCell ref="PL36:PM36"/>
    <mergeCell ref="PN36:PO36"/>
    <mergeCell ref="PP36:PQ36"/>
    <mergeCell ref="PR36:PS36"/>
    <mergeCell ref="PT36:PU36"/>
    <mergeCell ref="PV36:PW36"/>
    <mergeCell ref="PX36:PY36"/>
    <mergeCell ref="PZ35:QA35"/>
    <mergeCell ref="QB35:QC35"/>
    <mergeCell ref="QD35:QE35"/>
    <mergeCell ref="QF35:QG35"/>
    <mergeCell ref="QH35:QI35"/>
    <mergeCell ref="QJ35:QK35"/>
    <mergeCell ref="QL35:QM35"/>
    <mergeCell ref="QN35:QO35"/>
    <mergeCell ref="QP35:QQ35"/>
    <mergeCell ref="QR35:QS35"/>
    <mergeCell ref="QT35:QU35"/>
    <mergeCell ref="QV35:QW35"/>
    <mergeCell ref="QX35:QY35"/>
    <mergeCell ref="QZ35:RA35"/>
    <mergeCell ref="RB35:RC35"/>
    <mergeCell ref="JN36:JO36"/>
    <mergeCell ref="JP36:JQ36"/>
    <mergeCell ref="JR36:JS36"/>
    <mergeCell ref="JT36:JU36"/>
    <mergeCell ref="JV36:JW36"/>
    <mergeCell ref="JX36:JY36"/>
    <mergeCell ref="JZ36:KA36"/>
    <mergeCell ref="KB36:KC36"/>
    <mergeCell ref="KD36:KE36"/>
    <mergeCell ref="KF36:KG36"/>
    <mergeCell ref="KH36:KI36"/>
    <mergeCell ref="KJ36:KK36"/>
    <mergeCell ref="KL36:KM36"/>
    <mergeCell ref="KN36:KO36"/>
    <mergeCell ref="KP36:KQ36"/>
    <mergeCell ref="KR36:KS36"/>
    <mergeCell ref="KT36:KU36"/>
    <mergeCell ref="KV36:KW36"/>
    <mergeCell ref="KX36:KY36"/>
    <mergeCell ref="KZ36:LA36"/>
    <mergeCell ref="LB36:LC36"/>
    <mergeCell ref="LD36:LE36"/>
    <mergeCell ref="LF36:LG36"/>
    <mergeCell ref="LH36:LI36"/>
    <mergeCell ref="LJ36:LK36"/>
    <mergeCell ref="LL36:LM36"/>
    <mergeCell ref="LN36:LO36"/>
    <mergeCell ref="LP36:LQ36"/>
    <mergeCell ref="LR36:LS36"/>
    <mergeCell ref="LT36:LU36"/>
    <mergeCell ref="LV36:LW36"/>
    <mergeCell ref="LX36:LY36"/>
    <mergeCell ref="LZ36:MA36"/>
    <mergeCell ref="MB36:MC36"/>
    <mergeCell ref="MD36:ME36"/>
    <mergeCell ref="MF36:MG36"/>
    <mergeCell ref="MH36:MI36"/>
    <mergeCell ref="MJ36:MK36"/>
    <mergeCell ref="ML36:MM36"/>
    <mergeCell ref="MN36:MO36"/>
    <mergeCell ref="MP36:MQ36"/>
    <mergeCell ref="MR36:MS36"/>
    <mergeCell ref="MT36:MU36"/>
    <mergeCell ref="MV36:MW36"/>
    <mergeCell ref="MX36:MY36"/>
    <mergeCell ref="ND36:NE36"/>
    <mergeCell ref="NF36:NG36"/>
    <mergeCell ref="NH36:NI36"/>
    <mergeCell ref="NJ36:NK36"/>
    <mergeCell ref="NP35:NQ35"/>
    <mergeCell ref="NR35:NS35"/>
    <mergeCell ref="NT35:NU35"/>
    <mergeCell ref="NV35:NW35"/>
    <mergeCell ref="NX35:NY35"/>
    <mergeCell ref="NZ35:OA35"/>
    <mergeCell ref="OB35:OC35"/>
    <mergeCell ref="OD35:OE35"/>
    <mergeCell ref="OF35:OG35"/>
    <mergeCell ref="OH35:OI35"/>
    <mergeCell ref="OJ35:OK35"/>
    <mergeCell ref="OL35:OM35"/>
    <mergeCell ref="ON35:OO35"/>
    <mergeCell ref="OP35:OQ35"/>
    <mergeCell ref="NL35:NM35"/>
    <mergeCell ref="NN35:NO35"/>
    <mergeCell ref="OR35:OS35"/>
    <mergeCell ref="OT35:OU35"/>
    <mergeCell ref="OV35:OW35"/>
    <mergeCell ref="OX35:OY35"/>
    <mergeCell ref="OZ35:PA35"/>
    <mergeCell ref="PB35:PC35"/>
    <mergeCell ref="PD35:PE35"/>
    <mergeCell ref="PF35:PG35"/>
    <mergeCell ref="PH35:PI35"/>
    <mergeCell ref="PJ35:PK35"/>
    <mergeCell ref="PL35:PM35"/>
    <mergeCell ref="PN35:PO35"/>
    <mergeCell ref="PP35:PQ35"/>
    <mergeCell ref="PR35:PS35"/>
    <mergeCell ref="PT35:PU35"/>
    <mergeCell ref="PV35:PW35"/>
    <mergeCell ref="PX35:PY35"/>
    <mergeCell ref="PZ34:QA34"/>
    <mergeCell ref="QB34:QC34"/>
    <mergeCell ref="QD34:QE34"/>
    <mergeCell ref="QF34:QG34"/>
    <mergeCell ref="QH34:QI34"/>
    <mergeCell ref="QJ34:QK34"/>
    <mergeCell ref="QL34:QM34"/>
    <mergeCell ref="QN34:QO34"/>
    <mergeCell ref="QP34:QQ34"/>
    <mergeCell ref="QR34:QS34"/>
    <mergeCell ref="QT34:QU34"/>
    <mergeCell ref="QV34:QW34"/>
    <mergeCell ref="QX34:QY34"/>
    <mergeCell ref="QZ34:RA34"/>
    <mergeCell ref="RB34:RC34"/>
    <mergeCell ref="JN35:JO35"/>
    <mergeCell ref="JP35:JQ35"/>
    <mergeCell ref="JR35:JS35"/>
    <mergeCell ref="JT35:JU35"/>
    <mergeCell ref="JV35:JW35"/>
    <mergeCell ref="JX35:JY35"/>
    <mergeCell ref="JZ35:KA35"/>
    <mergeCell ref="KB35:KC35"/>
    <mergeCell ref="KD35:KE35"/>
    <mergeCell ref="KF35:KG35"/>
    <mergeCell ref="KH35:KI35"/>
    <mergeCell ref="KJ35:KK35"/>
    <mergeCell ref="KL35:KM35"/>
    <mergeCell ref="KN35:KO35"/>
    <mergeCell ref="KP35:KQ35"/>
    <mergeCell ref="KR35:KS35"/>
    <mergeCell ref="KT35:KU35"/>
    <mergeCell ref="KV35:KW35"/>
    <mergeCell ref="KX35:KY35"/>
    <mergeCell ref="KZ35:LA35"/>
    <mergeCell ref="LB35:LC35"/>
    <mergeCell ref="LD35:LE35"/>
    <mergeCell ref="LF35:LG35"/>
    <mergeCell ref="LH35:LI35"/>
    <mergeCell ref="LJ35:LK35"/>
    <mergeCell ref="LL35:LM35"/>
    <mergeCell ref="LN35:LO35"/>
    <mergeCell ref="LP35:LQ35"/>
    <mergeCell ref="LR35:LS35"/>
    <mergeCell ref="LT35:LU35"/>
    <mergeCell ref="LV35:LW35"/>
    <mergeCell ref="LX35:LY35"/>
    <mergeCell ref="LZ35:MA35"/>
    <mergeCell ref="MB35:MC35"/>
    <mergeCell ref="MD35:ME35"/>
    <mergeCell ref="MF35:MG35"/>
    <mergeCell ref="MH35:MI35"/>
    <mergeCell ref="MJ35:MK35"/>
    <mergeCell ref="ML35:MM35"/>
    <mergeCell ref="MN35:MO35"/>
    <mergeCell ref="MP35:MQ35"/>
    <mergeCell ref="MR35:MS35"/>
    <mergeCell ref="MT35:MU35"/>
    <mergeCell ref="MV35:MW35"/>
    <mergeCell ref="MX35:MY35"/>
    <mergeCell ref="MZ35:NA35"/>
    <mergeCell ref="ND35:NE35"/>
    <mergeCell ref="NF35:NG35"/>
    <mergeCell ref="NH35:NI35"/>
    <mergeCell ref="NP34:NQ34"/>
    <mergeCell ref="NR34:NS34"/>
    <mergeCell ref="NT34:NU34"/>
    <mergeCell ref="NV34:NW34"/>
    <mergeCell ref="NX34:NY34"/>
    <mergeCell ref="NZ34:OA34"/>
    <mergeCell ref="OB34:OC34"/>
    <mergeCell ref="OD34:OE34"/>
    <mergeCell ref="OF34:OG34"/>
    <mergeCell ref="OH34:OI34"/>
    <mergeCell ref="OJ34:OK34"/>
    <mergeCell ref="OL34:OM34"/>
    <mergeCell ref="ON34:OO34"/>
    <mergeCell ref="OP34:OQ34"/>
    <mergeCell ref="NL34:NM34"/>
    <mergeCell ref="NN34:NO34"/>
    <mergeCell ref="OR34:OS34"/>
    <mergeCell ref="OT34:OU34"/>
    <mergeCell ref="OV34:OW34"/>
    <mergeCell ref="OX34:OY34"/>
    <mergeCell ref="OZ34:PA34"/>
    <mergeCell ref="PB34:PC34"/>
    <mergeCell ref="PD34:PE34"/>
    <mergeCell ref="PF34:PG34"/>
    <mergeCell ref="PH34:PI34"/>
    <mergeCell ref="PJ34:PK34"/>
    <mergeCell ref="PL34:PM34"/>
    <mergeCell ref="PN34:PO34"/>
    <mergeCell ref="PP34:PQ34"/>
    <mergeCell ref="PR34:PS34"/>
    <mergeCell ref="PT34:PU34"/>
    <mergeCell ref="PV34:PW34"/>
    <mergeCell ref="PX34:PY34"/>
    <mergeCell ref="PZ33:QA33"/>
    <mergeCell ref="QB33:QC33"/>
    <mergeCell ref="QD33:QE33"/>
    <mergeCell ref="QF33:QG33"/>
    <mergeCell ref="QH33:QI33"/>
    <mergeCell ref="QJ33:QK33"/>
    <mergeCell ref="QL33:QM33"/>
    <mergeCell ref="QN33:QO33"/>
    <mergeCell ref="QP33:QQ33"/>
    <mergeCell ref="QR33:QS33"/>
    <mergeCell ref="QT33:QU33"/>
    <mergeCell ref="QV33:QW33"/>
    <mergeCell ref="QX33:QY33"/>
    <mergeCell ref="QZ33:RA33"/>
    <mergeCell ref="RB33:RC33"/>
    <mergeCell ref="JN34:JO34"/>
    <mergeCell ref="JP34:JQ34"/>
    <mergeCell ref="JR34:JS34"/>
    <mergeCell ref="JT34:JU34"/>
    <mergeCell ref="JV34:JW34"/>
    <mergeCell ref="JX34:JY34"/>
    <mergeCell ref="JZ34:KA34"/>
    <mergeCell ref="KB34:KC34"/>
    <mergeCell ref="KD34:KE34"/>
    <mergeCell ref="KF34:KG34"/>
    <mergeCell ref="KH34:KI34"/>
    <mergeCell ref="KJ34:KK34"/>
    <mergeCell ref="KL34:KM34"/>
    <mergeCell ref="KN34:KO34"/>
    <mergeCell ref="KP34:KQ34"/>
    <mergeCell ref="KR34:KS34"/>
    <mergeCell ref="KT34:KU34"/>
    <mergeCell ref="KV34:KW34"/>
    <mergeCell ref="KX34:KY34"/>
    <mergeCell ref="KZ34:LA34"/>
    <mergeCell ref="LB34:LC34"/>
    <mergeCell ref="LD34:LE34"/>
    <mergeCell ref="LF34:LG34"/>
    <mergeCell ref="LH34:LI34"/>
    <mergeCell ref="LJ34:LK34"/>
    <mergeCell ref="LL34:LM34"/>
    <mergeCell ref="LN34:LO34"/>
    <mergeCell ref="LP34:LQ34"/>
    <mergeCell ref="LR34:LS34"/>
    <mergeCell ref="LT34:LU34"/>
    <mergeCell ref="LV34:LW34"/>
    <mergeCell ref="LX34:LY34"/>
    <mergeCell ref="LZ34:MA34"/>
    <mergeCell ref="MB34:MC34"/>
    <mergeCell ref="MD34:ME34"/>
    <mergeCell ref="MF34:MG34"/>
    <mergeCell ref="MH34:MI34"/>
    <mergeCell ref="MJ34:MK34"/>
    <mergeCell ref="ML34:MM34"/>
    <mergeCell ref="MN34:MO34"/>
    <mergeCell ref="MP34:MQ34"/>
    <mergeCell ref="MR34:MS34"/>
    <mergeCell ref="MT34:MU34"/>
    <mergeCell ref="MV34:MW34"/>
    <mergeCell ref="MX34:MY34"/>
    <mergeCell ref="MZ34:NA34"/>
    <mergeCell ref="NB34:NC34"/>
    <mergeCell ref="ND34:NE34"/>
    <mergeCell ref="NF34:NG34"/>
    <mergeCell ref="NP33:NQ33"/>
    <mergeCell ref="NR33:NS33"/>
    <mergeCell ref="NT33:NU33"/>
    <mergeCell ref="NV33:NW33"/>
    <mergeCell ref="NX33:NY33"/>
    <mergeCell ref="NZ33:OA33"/>
    <mergeCell ref="OB33:OC33"/>
    <mergeCell ref="OD33:OE33"/>
    <mergeCell ref="OF33:OG33"/>
    <mergeCell ref="OH33:OI33"/>
    <mergeCell ref="OJ33:OK33"/>
    <mergeCell ref="OL33:OM33"/>
    <mergeCell ref="ON33:OO33"/>
    <mergeCell ref="OP33:OQ33"/>
    <mergeCell ref="NL33:NM33"/>
    <mergeCell ref="NN33:NO33"/>
    <mergeCell ref="OR33:OS33"/>
    <mergeCell ref="OT33:OU33"/>
    <mergeCell ref="OV33:OW33"/>
    <mergeCell ref="OX33:OY33"/>
    <mergeCell ref="OZ33:PA33"/>
    <mergeCell ref="PB33:PC33"/>
    <mergeCell ref="PD33:PE33"/>
    <mergeCell ref="PF33:PG33"/>
    <mergeCell ref="PH33:PI33"/>
    <mergeCell ref="PJ33:PK33"/>
    <mergeCell ref="PL33:PM33"/>
    <mergeCell ref="PN33:PO33"/>
    <mergeCell ref="PP33:PQ33"/>
    <mergeCell ref="PR33:PS33"/>
    <mergeCell ref="PT33:PU33"/>
    <mergeCell ref="PV33:PW33"/>
    <mergeCell ref="PX33:PY33"/>
    <mergeCell ref="QB32:QC32"/>
    <mergeCell ref="QD32:QE32"/>
    <mergeCell ref="QF32:QG32"/>
    <mergeCell ref="QH32:QI32"/>
    <mergeCell ref="QJ32:QK32"/>
    <mergeCell ref="QL32:QM32"/>
    <mergeCell ref="QN32:QO32"/>
    <mergeCell ref="QP32:QQ32"/>
    <mergeCell ref="QR32:QS32"/>
    <mergeCell ref="QT32:QU32"/>
    <mergeCell ref="QV32:QW32"/>
    <mergeCell ref="QX32:QY32"/>
    <mergeCell ref="QZ32:RA32"/>
    <mergeCell ref="RB32:RC32"/>
    <mergeCell ref="JN33:JO33"/>
    <mergeCell ref="JP33:JQ33"/>
    <mergeCell ref="JR33:JS33"/>
    <mergeCell ref="JT33:JU33"/>
    <mergeCell ref="JV33:JW33"/>
    <mergeCell ref="JX33:JY33"/>
    <mergeCell ref="JZ33:KA33"/>
    <mergeCell ref="KB33:KC33"/>
    <mergeCell ref="KD33:KE33"/>
    <mergeCell ref="KF33:KG33"/>
    <mergeCell ref="KH33:KI33"/>
    <mergeCell ref="KJ33:KK33"/>
    <mergeCell ref="KL33:KM33"/>
    <mergeCell ref="KN33:KO33"/>
    <mergeCell ref="KP33:KQ33"/>
    <mergeCell ref="KR33:KS33"/>
    <mergeCell ref="KT33:KU33"/>
    <mergeCell ref="KV33:KW33"/>
    <mergeCell ref="KX33:KY33"/>
    <mergeCell ref="KZ33:LA33"/>
    <mergeCell ref="LB33:LC33"/>
    <mergeCell ref="LD33:LE33"/>
    <mergeCell ref="LF33:LG33"/>
    <mergeCell ref="LH33:LI33"/>
    <mergeCell ref="LJ33:LK33"/>
    <mergeCell ref="LL33:LM33"/>
    <mergeCell ref="LN33:LO33"/>
    <mergeCell ref="LP33:LQ33"/>
    <mergeCell ref="LR33:LS33"/>
    <mergeCell ref="LT33:LU33"/>
    <mergeCell ref="LV33:LW33"/>
    <mergeCell ref="LX33:LY33"/>
    <mergeCell ref="LZ33:MA33"/>
    <mergeCell ref="MB33:MC33"/>
    <mergeCell ref="MD33:ME33"/>
    <mergeCell ref="MF33:MG33"/>
    <mergeCell ref="MH33:MI33"/>
    <mergeCell ref="MJ33:MK33"/>
    <mergeCell ref="ML33:MM33"/>
    <mergeCell ref="MN33:MO33"/>
    <mergeCell ref="MP33:MQ33"/>
    <mergeCell ref="MR33:MS33"/>
    <mergeCell ref="MT33:MU33"/>
    <mergeCell ref="MV33:MW33"/>
    <mergeCell ref="MX33:MY33"/>
    <mergeCell ref="MZ33:NA33"/>
    <mergeCell ref="NB33:NC33"/>
    <mergeCell ref="ND33:NE33"/>
    <mergeCell ref="NF33:NG33"/>
    <mergeCell ref="NH33:NI33"/>
    <mergeCell ref="NP32:NQ32"/>
    <mergeCell ref="NR32:NS32"/>
    <mergeCell ref="NT32:NU32"/>
    <mergeCell ref="NV32:NW32"/>
    <mergeCell ref="NX32:NY32"/>
    <mergeCell ref="NZ32:OA32"/>
    <mergeCell ref="OB32:OC32"/>
    <mergeCell ref="OD32:OE32"/>
    <mergeCell ref="OF32:OG32"/>
    <mergeCell ref="OH32:OI32"/>
    <mergeCell ref="OJ32:OK32"/>
    <mergeCell ref="OL32:OM32"/>
    <mergeCell ref="ON32:OO32"/>
    <mergeCell ref="OP32:OQ32"/>
    <mergeCell ref="OR32:OS32"/>
    <mergeCell ref="OT32:OU32"/>
    <mergeCell ref="OV32:OW32"/>
    <mergeCell ref="OX32:OY32"/>
    <mergeCell ref="OZ32:PA32"/>
    <mergeCell ref="PB32:PC32"/>
    <mergeCell ref="PD32:PE32"/>
    <mergeCell ref="PF32:PG32"/>
    <mergeCell ref="PH32:PI32"/>
    <mergeCell ref="PJ32:PK32"/>
    <mergeCell ref="PL32:PM32"/>
    <mergeCell ref="PN32:PO32"/>
    <mergeCell ref="PP32:PQ32"/>
    <mergeCell ref="PR32:PS32"/>
    <mergeCell ref="PT32:PU32"/>
    <mergeCell ref="PV32:PW32"/>
    <mergeCell ref="PX32:PY32"/>
    <mergeCell ref="PZ32:QA32"/>
    <mergeCell ref="NL32:NM32"/>
    <mergeCell ref="NN32:NO32"/>
    <mergeCell ref="PX31:PY31"/>
    <mergeCell ref="PZ31:QA31"/>
    <mergeCell ref="QB31:QC31"/>
    <mergeCell ref="QD31:QE31"/>
    <mergeCell ref="QF31:QG31"/>
    <mergeCell ref="QH31:QI31"/>
    <mergeCell ref="QJ31:QK31"/>
    <mergeCell ref="QL31:QM31"/>
    <mergeCell ref="QN31:QO31"/>
    <mergeCell ref="QP31:QQ31"/>
    <mergeCell ref="QR31:QS31"/>
    <mergeCell ref="QT31:QU31"/>
    <mergeCell ref="QV31:QW31"/>
    <mergeCell ref="QX31:QY31"/>
    <mergeCell ref="QZ31:RA31"/>
    <mergeCell ref="RB31:RC31"/>
    <mergeCell ref="JN32:JO32"/>
    <mergeCell ref="JP32:JQ32"/>
    <mergeCell ref="JR32:JS32"/>
    <mergeCell ref="JT32:JU32"/>
    <mergeCell ref="JV32:JW32"/>
    <mergeCell ref="JX32:JY32"/>
    <mergeCell ref="JZ32:KA32"/>
    <mergeCell ref="KB32:KC32"/>
    <mergeCell ref="KD32:KE32"/>
    <mergeCell ref="KF32:KG32"/>
    <mergeCell ref="KH32:KI32"/>
    <mergeCell ref="KJ32:KK32"/>
    <mergeCell ref="KL32:KM32"/>
    <mergeCell ref="KN32:KO32"/>
    <mergeCell ref="KP32:KQ32"/>
    <mergeCell ref="KR32:KS32"/>
    <mergeCell ref="KT32:KU32"/>
    <mergeCell ref="KV32:KW32"/>
    <mergeCell ref="KX32:KY32"/>
    <mergeCell ref="KZ32:LA32"/>
    <mergeCell ref="LB32:LC32"/>
    <mergeCell ref="LD32:LE32"/>
    <mergeCell ref="LF32:LG32"/>
    <mergeCell ref="LH32:LI32"/>
    <mergeCell ref="LJ32:LK32"/>
    <mergeCell ref="LL32:LM32"/>
    <mergeCell ref="LN32:LO32"/>
    <mergeCell ref="LP32:LQ32"/>
    <mergeCell ref="LR32:LS32"/>
    <mergeCell ref="LT32:LU32"/>
    <mergeCell ref="LV32:LW32"/>
    <mergeCell ref="LX32:LY32"/>
    <mergeCell ref="LZ32:MA32"/>
    <mergeCell ref="MB32:MC32"/>
    <mergeCell ref="MD32:ME32"/>
    <mergeCell ref="MF32:MG32"/>
    <mergeCell ref="MH32:MI32"/>
    <mergeCell ref="MJ32:MK32"/>
    <mergeCell ref="ML32:MM32"/>
    <mergeCell ref="MN32:MO32"/>
    <mergeCell ref="MP32:MQ32"/>
    <mergeCell ref="MR32:MS32"/>
    <mergeCell ref="MT32:MU32"/>
    <mergeCell ref="MV32:MW32"/>
    <mergeCell ref="MX32:MY32"/>
    <mergeCell ref="MZ32:NA32"/>
    <mergeCell ref="NB32:NC32"/>
    <mergeCell ref="ND32:NE32"/>
    <mergeCell ref="NJ31:NK31"/>
    <mergeCell ref="NP31:NQ31"/>
    <mergeCell ref="NR31:NS31"/>
    <mergeCell ref="NT31:NU31"/>
    <mergeCell ref="NV31:NW31"/>
    <mergeCell ref="NX31:NY31"/>
    <mergeCell ref="NZ31:OA31"/>
    <mergeCell ref="OB31:OC31"/>
    <mergeCell ref="OD31:OE31"/>
    <mergeCell ref="OF31:OG31"/>
    <mergeCell ref="OH31:OI31"/>
    <mergeCell ref="OJ31:OK31"/>
    <mergeCell ref="OL31:OM31"/>
    <mergeCell ref="ON31:OO31"/>
    <mergeCell ref="OP31:OQ31"/>
    <mergeCell ref="NL31:NM31"/>
    <mergeCell ref="NN31:NO31"/>
    <mergeCell ref="OR31:OS31"/>
    <mergeCell ref="OT31:OU31"/>
    <mergeCell ref="OV31:OW31"/>
    <mergeCell ref="OX31:OY31"/>
    <mergeCell ref="OZ31:PA31"/>
    <mergeCell ref="PB31:PC31"/>
    <mergeCell ref="PD31:PE31"/>
    <mergeCell ref="PF31:PG31"/>
    <mergeCell ref="PH31:PI31"/>
    <mergeCell ref="PJ31:PK31"/>
    <mergeCell ref="PL31:PM31"/>
    <mergeCell ref="PN31:PO31"/>
    <mergeCell ref="PP31:PQ31"/>
    <mergeCell ref="PR31:PS31"/>
    <mergeCell ref="PT31:PU31"/>
    <mergeCell ref="PV31:PW31"/>
    <mergeCell ref="KR31:KS31"/>
    <mergeCell ref="KT31:KU31"/>
    <mergeCell ref="KV31:KW31"/>
    <mergeCell ref="KX31:KY31"/>
    <mergeCell ref="KZ31:LA31"/>
    <mergeCell ref="LB31:LC31"/>
    <mergeCell ref="LD31:LE31"/>
    <mergeCell ref="LF31:LG31"/>
    <mergeCell ref="LH31:LI31"/>
    <mergeCell ref="LJ31:LK31"/>
    <mergeCell ref="LL31:LM31"/>
    <mergeCell ref="LN31:LO31"/>
    <mergeCell ref="LP31:LQ31"/>
    <mergeCell ref="LR31:LS31"/>
    <mergeCell ref="LT31:LU31"/>
    <mergeCell ref="LV31:LW31"/>
    <mergeCell ref="LX31:LY31"/>
    <mergeCell ref="LZ31:MA31"/>
    <mergeCell ref="MB31:MC31"/>
    <mergeCell ref="MD31:ME31"/>
    <mergeCell ref="MF31:MG31"/>
    <mergeCell ref="MH31:MI31"/>
    <mergeCell ref="MJ31:MK31"/>
    <mergeCell ref="ML31:MM31"/>
    <mergeCell ref="MN31:MO31"/>
    <mergeCell ref="MP31:MQ31"/>
    <mergeCell ref="MR31:MS31"/>
    <mergeCell ref="MT31:MU31"/>
    <mergeCell ref="MV31:MW31"/>
    <mergeCell ref="MX31:MY31"/>
    <mergeCell ref="MZ31:NA31"/>
    <mergeCell ref="NB31:NC31"/>
    <mergeCell ref="ND31:NE31"/>
    <mergeCell ref="QT29:QU29"/>
    <mergeCell ref="QV29:QW29"/>
    <mergeCell ref="QX29:QY29"/>
    <mergeCell ref="QZ29:RA29"/>
    <mergeCell ref="RB29:RC29"/>
    <mergeCell ref="NR30:NS30"/>
    <mergeCell ref="NT30:NU30"/>
    <mergeCell ref="NV30:NW30"/>
    <mergeCell ref="NX30:NY30"/>
    <mergeCell ref="NZ30:OA30"/>
    <mergeCell ref="OB30:OC30"/>
    <mergeCell ref="OD30:OE30"/>
    <mergeCell ref="OF30:OG30"/>
    <mergeCell ref="OH30:OI30"/>
    <mergeCell ref="OJ30:OK30"/>
    <mergeCell ref="OL30:OM30"/>
    <mergeCell ref="ON30:OO30"/>
    <mergeCell ref="OP30:OQ30"/>
    <mergeCell ref="OR30:OS30"/>
    <mergeCell ref="OT30:OU30"/>
    <mergeCell ref="OV30:OW30"/>
    <mergeCell ref="OX30:OY30"/>
    <mergeCell ref="OZ30:PA30"/>
    <mergeCell ref="PB30:PC30"/>
    <mergeCell ref="PD30:PE30"/>
    <mergeCell ref="PF30:PG30"/>
    <mergeCell ref="PH30:PI30"/>
    <mergeCell ref="PJ30:PK30"/>
    <mergeCell ref="PL30:PM30"/>
    <mergeCell ref="PN30:PO30"/>
    <mergeCell ref="PP30:PQ30"/>
    <mergeCell ref="PR30:PS30"/>
    <mergeCell ref="PT30:PU30"/>
    <mergeCell ref="PV30:PW30"/>
    <mergeCell ref="PX30:PY30"/>
    <mergeCell ref="PZ30:QA30"/>
    <mergeCell ref="QB30:QC30"/>
    <mergeCell ref="QD30:QE30"/>
    <mergeCell ref="QF30:QG30"/>
    <mergeCell ref="QH30:QI30"/>
    <mergeCell ref="QJ30:QK30"/>
    <mergeCell ref="QL30:QM30"/>
    <mergeCell ref="QN30:QO30"/>
    <mergeCell ref="QP30:QQ30"/>
    <mergeCell ref="QR30:QS30"/>
    <mergeCell ref="QT30:QU30"/>
    <mergeCell ref="QV30:QW30"/>
    <mergeCell ref="QX30:QY30"/>
    <mergeCell ref="QZ30:RA30"/>
    <mergeCell ref="RB30:RC30"/>
    <mergeCell ref="OF29:OG29"/>
    <mergeCell ref="OH29:OI29"/>
    <mergeCell ref="OJ29:OK29"/>
    <mergeCell ref="OL29:OM29"/>
    <mergeCell ref="ON29:OO29"/>
    <mergeCell ref="OP29:OQ29"/>
    <mergeCell ref="OR29:OS29"/>
    <mergeCell ref="OT29:OU29"/>
    <mergeCell ref="OV29:OW29"/>
    <mergeCell ref="OX29:OY29"/>
    <mergeCell ref="OZ29:PA29"/>
    <mergeCell ref="PB29:PC29"/>
    <mergeCell ref="PD29:PE29"/>
    <mergeCell ref="PF29:PG29"/>
    <mergeCell ref="NT29:NU29"/>
    <mergeCell ref="NV29:NW29"/>
    <mergeCell ref="NX29:NY29"/>
    <mergeCell ref="NZ29:OA29"/>
    <mergeCell ref="OB29:OC29"/>
    <mergeCell ref="OD29:OE29"/>
    <mergeCell ref="NR29:NS29"/>
    <mergeCell ref="PH29:PI29"/>
    <mergeCell ref="PJ29:PK29"/>
    <mergeCell ref="PL29:PM29"/>
    <mergeCell ref="PN29:PO29"/>
    <mergeCell ref="PP29:PQ29"/>
    <mergeCell ref="PR29:PS29"/>
    <mergeCell ref="PT29:PU29"/>
    <mergeCell ref="PV29:PW29"/>
    <mergeCell ref="PX29:PY29"/>
    <mergeCell ref="PZ29:QA29"/>
    <mergeCell ref="QB29:QC29"/>
    <mergeCell ref="QD29:QE29"/>
    <mergeCell ref="QF29:QG29"/>
    <mergeCell ref="QH29:QI29"/>
    <mergeCell ref="QJ29:QK29"/>
    <mergeCell ref="QL29:QM29"/>
    <mergeCell ref="QN29:QO29"/>
    <mergeCell ref="QP29:QQ29"/>
    <mergeCell ref="QR29:QS29"/>
    <mergeCell ref="PR28:PS28"/>
    <mergeCell ref="PT28:PU28"/>
    <mergeCell ref="PV28:PW28"/>
    <mergeCell ref="PX28:PY28"/>
    <mergeCell ref="PZ28:QA28"/>
    <mergeCell ref="QB28:QC28"/>
    <mergeCell ref="QD28:QE28"/>
    <mergeCell ref="QF28:QG28"/>
    <mergeCell ref="QH28:QI28"/>
    <mergeCell ref="QJ28:QK28"/>
    <mergeCell ref="QL28:QM28"/>
    <mergeCell ref="QN28:QO28"/>
    <mergeCell ref="QP28:QQ28"/>
    <mergeCell ref="QR28:QS28"/>
    <mergeCell ref="NV28:NW28"/>
    <mergeCell ref="NX28:NY28"/>
    <mergeCell ref="NZ28:OA28"/>
    <mergeCell ref="OB28:OC28"/>
    <mergeCell ref="OD28:OE28"/>
    <mergeCell ref="OF28:OG28"/>
    <mergeCell ref="OH28:OI28"/>
    <mergeCell ref="OJ28:OK28"/>
    <mergeCell ref="OL28:OM28"/>
    <mergeCell ref="ON28:OO28"/>
    <mergeCell ref="OP28:OQ28"/>
    <mergeCell ref="OR28:OS28"/>
    <mergeCell ref="OT28:OU28"/>
    <mergeCell ref="OV28:OW28"/>
    <mergeCell ref="OX28:OY28"/>
    <mergeCell ref="OZ28:PA28"/>
    <mergeCell ref="PB28:PC28"/>
    <mergeCell ref="PD28:PE28"/>
    <mergeCell ref="PF28:PG28"/>
    <mergeCell ref="PH28:PI28"/>
    <mergeCell ref="PJ28:PK28"/>
    <mergeCell ref="PL28:PM28"/>
    <mergeCell ref="PN28:PO28"/>
    <mergeCell ref="PP28:PQ28"/>
    <mergeCell ref="JN29:JO29"/>
    <mergeCell ref="JP29:JQ29"/>
    <mergeCell ref="JR29:JS29"/>
    <mergeCell ref="JT29:JU29"/>
    <mergeCell ref="JV29:JW29"/>
    <mergeCell ref="JX29:JY29"/>
    <mergeCell ref="JZ29:KA29"/>
    <mergeCell ref="KB29:KC29"/>
    <mergeCell ref="KD29:KE29"/>
    <mergeCell ref="KF29:KG29"/>
    <mergeCell ref="KH29:KI29"/>
    <mergeCell ref="KJ29:KK29"/>
    <mergeCell ref="KL29:KM29"/>
    <mergeCell ref="KN29:KO29"/>
    <mergeCell ref="KP29:KQ29"/>
    <mergeCell ref="KR29:KS29"/>
    <mergeCell ref="KT29:KU29"/>
    <mergeCell ref="KV29:KW29"/>
    <mergeCell ref="KX29:KY29"/>
    <mergeCell ref="KZ29:LA29"/>
    <mergeCell ref="LB29:LC29"/>
    <mergeCell ref="LD29:LE29"/>
    <mergeCell ref="LF29:LG29"/>
    <mergeCell ref="LH29:LI29"/>
    <mergeCell ref="LJ29:LK29"/>
    <mergeCell ref="LL29:LM29"/>
    <mergeCell ref="LN29:LO29"/>
    <mergeCell ref="LP29:LQ29"/>
    <mergeCell ref="LR29:LS29"/>
    <mergeCell ref="LT29:LU29"/>
    <mergeCell ref="LV29:LW29"/>
    <mergeCell ref="LX29:LY29"/>
    <mergeCell ref="LZ29:MA29"/>
    <mergeCell ref="QF27:QG27"/>
    <mergeCell ref="QH27:QI27"/>
    <mergeCell ref="QJ27:QK27"/>
    <mergeCell ref="QL27:QM27"/>
    <mergeCell ref="QN27:QO27"/>
    <mergeCell ref="QP27:QQ27"/>
    <mergeCell ref="QR27:QS27"/>
    <mergeCell ref="QT27:QU27"/>
    <mergeCell ref="QV27:QW27"/>
    <mergeCell ref="QX27:QY27"/>
    <mergeCell ref="QZ27:RA27"/>
    <mergeCell ref="RB27:RC27"/>
    <mergeCell ref="LF28:LG28"/>
    <mergeCell ref="LH28:LI28"/>
    <mergeCell ref="LJ28:LK28"/>
    <mergeCell ref="LL28:LM28"/>
    <mergeCell ref="LN28:LO28"/>
    <mergeCell ref="LP28:LQ28"/>
    <mergeCell ref="LR28:LS28"/>
    <mergeCell ref="LT28:LU28"/>
    <mergeCell ref="LV28:LW28"/>
    <mergeCell ref="LX28:LY28"/>
    <mergeCell ref="LZ28:MA28"/>
    <mergeCell ref="MB28:MC28"/>
    <mergeCell ref="MD28:ME28"/>
    <mergeCell ref="MF28:MG28"/>
    <mergeCell ref="MH28:MI28"/>
    <mergeCell ref="MJ28:MK28"/>
    <mergeCell ref="ML28:MM28"/>
    <mergeCell ref="MN28:MO28"/>
    <mergeCell ref="MP28:MQ28"/>
    <mergeCell ref="MR28:MS28"/>
    <mergeCell ref="MT28:MU28"/>
    <mergeCell ref="MV28:MW28"/>
    <mergeCell ref="MX28:MY28"/>
    <mergeCell ref="MZ28:NA28"/>
    <mergeCell ref="NB28:NC28"/>
    <mergeCell ref="ND28:NE28"/>
    <mergeCell ref="NF28:NG28"/>
    <mergeCell ref="NH28:NI28"/>
    <mergeCell ref="NJ28:NK28"/>
    <mergeCell ref="NL28:NM28"/>
    <mergeCell ref="NN28:NO28"/>
    <mergeCell ref="NP28:NQ28"/>
    <mergeCell ref="NR28:NS28"/>
    <mergeCell ref="NT28:NU28"/>
    <mergeCell ref="QT28:QU28"/>
    <mergeCell ref="QV28:QW28"/>
    <mergeCell ref="QX28:QY28"/>
    <mergeCell ref="QZ28:RA28"/>
    <mergeCell ref="RB28:RC28"/>
    <mergeCell ref="NR27:NS27"/>
    <mergeCell ref="NT27:NU27"/>
    <mergeCell ref="NV27:NW27"/>
    <mergeCell ref="NX27:NY27"/>
    <mergeCell ref="NZ27:OA27"/>
    <mergeCell ref="OB27:OC27"/>
    <mergeCell ref="OD27:OE27"/>
    <mergeCell ref="OF27:OG27"/>
    <mergeCell ref="OH27:OI27"/>
    <mergeCell ref="OJ27:OK27"/>
    <mergeCell ref="OL27:OM27"/>
    <mergeCell ref="ON27:OO27"/>
    <mergeCell ref="OP27:OQ27"/>
    <mergeCell ref="OR27:OS27"/>
    <mergeCell ref="OT27:OU27"/>
    <mergeCell ref="OV27:OW27"/>
    <mergeCell ref="OX27:OY27"/>
    <mergeCell ref="OZ27:PA27"/>
    <mergeCell ref="PB27:PC27"/>
    <mergeCell ref="PD27:PE27"/>
    <mergeCell ref="PF27:PG27"/>
    <mergeCell ref="PH27:PI27"/>
    <mergeCell ref="PJ27:PK27"/>
    <mergeCell ref="PL27:PM27"/>
    <mergeCell ref="PN27:PO27"/>
    <mergeCell ref="PP27:PQ27"/>
    <mergeCell ref="PR27:PS27"/>
    <mergeCell ref="PT27:PU27"/>
    <mergeCell ref="PV27:PW27"/>
    <mergeCell ref="PX27:PY27"/>
    <mergeCell ref="PZ27:QA27"/>
    <mergeCell ref="QB27:QC27"/>
    <mergeCell ref="QD27:QE27"/>
    <mergeCell ref="QF26:QG26"/>
    <mergeCell ref="QH26:QI26"/>
    <mergeCell ref="QJ26:QK26"/>
    <mergeCell ref="QL26:QM26"/>
    <mergeCell ref="QN26:QO26"/>
    <mergeCell ref="QP26:QQ26"/>
    <mergeCell ref="QR26:QS26"/>
    <mergeCell ref="QT26:QU26"/>
    <mergeCell ref="QV26:QW26"/>
    <mergeCell ref="QX26:QY26"/>
    <mergeCell ref="QZ26:RA26"/>
    <mergeCell ref="RB26:RC26"/>
    <mergeCell ref="JN27:JO27"/>
    <mergeCell ref="JP27:JQ27"/>
    <mergeCell ref="JR27:JS27"/>
    <mergeCell ref="JT27:JU27"/>
    <mergeCell ref="JV27:JW27"/>
    <mergeCell ref="JX27:JY27"/>
    <mergeCell ref="JZ27:KA27"/>
    <mergeCell ref="KB27:KC27"/>
    <mergeCell ref="KD27:KE27"/>
    <mergeCell ref="KF27:KG27"/>
    <mergeCell ref="KH27:KI27"/>
    <mergeCell ref="KJ27:KK27"/>
    <mergeCell ref="KL27:KM27"/>
    <mergeCell ref="KN27:KO27"/>
    <mergeCell ref="KP27:KQ27"/>
    <mergeCell ref="KR27:KS27"/>
    <mergeCell ref="KT27:KU27"/>
    <mergeCell ref="KV27:KW27"/>
    <mergeCell ref="KX27:KY27"/>
    <mergeCell ref="KZ27:LA27"/>
    <mergeCell ref="LB27:LC27"/>
    <mergeCell ref="LD27:LE27"/>
    <mergeCell ref="LF27:LG27"/>
    <mergeCell ref="LH27:LI27"/>
    <mergeCell ref="LJ27:LK27"/>
    <mergeCell ref="LL27:LM27"/>
    <mergeCell ref="LN27:LO27"/>
    <mergeCell ref="LP27:LQ27"/>
    <mergeCell ref="LR27:LS27"/>
    <mergeCell ref="LT27:LU27"/>
    <mergeCell ref="LV27:LW27"/>
    <mergeCell ref="LX27:LY27"/>
    <mergeCell ref="LZ27:MA27"/>
    <mergeCell ref="MB27:MC27"/>
    <mergeCell ref="MD27:ME27"/>
    <mergeCell ref="MF27:MG27"/>
    <mergeCell ref="MH27:MI27"/>
    <mergeCell ref="MJ27:MK27"/>
    <mergeCell ref="ML27:MM27"/>
    <mergeCell ref="MN27:MO27"/>
    <mergeCell ref="MP27:MQ27"/>
    <mergeCell ref="MR27:MS27"/>
    <mergeCell ref="MT27:MU27"/>
    <mergeCell ref="MV27:MW27"/>
    <mergeCell ref="MX27:MY27"/>
    <mergeCell ref="MZ27:NA27"/>
    <mergeCell ref="NB27:NC27"/>
    <mergeCell ref="ND27:NE27"/>
    <mergeCell ref="NF27:NG27"/>
    <mergeCell ref="NH27:NI27"/>
    <mergeCell ref="NJ27:NK27"/>
    <mergeCell ref="NL27:NM27"/>
    <mergeCell ref="NR26:NS26"/>
    <mergeCell ref="NT26:NU26"/>
    <mergeCell ref="NV26:NW26"/>
    <mergeCell ref="NX26:NY26"/>
    <mergeCell ref="NZ26:OA26"/>
    <mergeCell ref="OB26:OC26"/>
    <mergeCell ref="OD26:OE26"/>
    <mergeCell ref="OF26:OG26"/>
    <mergeCell ref="OH26:OI26"/>
    <mergeCell ref="OJ26:OK26"/>
    <mergeCell ref="OL26:OM26"/>
    <mergeCell ref="ON26:OO26"/>
    <mergeCell ref="OP26:OQ26"/>
    <mergeCell ref="LZ26:MA26"/>
    <mergeCell ref="MB26:MC26"/>
    <mergeCell ref="MD26:ME26"/>
    <mergeCell ref="MF26:MG26"/>
    <mergeCell ref="MH26:MI26"/>
    <mergeCell ref="MJ26:MK26"/>
    <mergeCell ref="ML26:MM26"/>
    <mergeCell ref="MN26:MO26"/>
    <mergeCell ref="MP26:MQ26"/>
    <mergeCell ref="MR26:MS26"/>
    <mergeCell ref="MT26:MU26"/>
    <mergeCell ref="MV26:MW26"/>
    <mergeCell ref="MX26:MY26"/>
    <mergeCell ref="MZ26:NA26"/>
    <mergeCell ref="NB26:NC26"/>
    <mergeCell ref="ND26:NE26"/>
    <mergeCell ref="NF26:NG26"/>
    <mergeCell ref="NH26:NI26"/>
    <mergeCell ref="NJ26:NK26"/>
    <mergeCell ref="NL26:NM26"/>
    <mergeCell ref="QF25:QG25"/>
    <mergeCell ref="QH25:QI25"/>
    <mergeCell ref="QJ25:QK25"/>
    <mergeCell ref="QL25:QM25"/>
    <mergeCell ref="QN25:QO25"/>
    <mergeCell ref="QP25:QQ25"/>
    <mergeCell ref="QR25:QS25"/>
    <mergeCell ref="QT25:QU25"/>
    <mergeCell ref="QV25:QW25"/>
    <mergeCell ref="QX25:QY25"/>
    <mergeCell ref="QZ25:RA25"/>
    <mergeCell ref="RB25:RC25"/>
    <mergeCell ref="JN26:JO26"/>
    <mergeCell ref="JP26:JQ26"/>
    <mergeCell ref="JR26:JS26"/>
    <mergeCell ref="JT26:JU26"/>
    <mergeCell ref="JV26:JW26"/>
    <mergeCell ref="JX26:JY26"/>
    <mergeCell ref="JZ26:KA26"/>
    <mergeCell ref="KB26:KC26"/>
    <mergeCell ref="KD26:KE26"/>
    <mergeCell ref="KF26:KG26"/>
    <mergeCell ref="KH26:KI26"/>
    <mergeCell ref="KJ26:KK26"/>
    <mergeCell ref="KL26:KM26"/>
    <mergeCell ref="KN26:KO26"/>
    <mergeCell ref="KP26:KQ26"/>
    <mergeCell ref="KR26:KS26"/>
    <mergeCell ref="KT26:KU26"/>
    <mergeCell ref="KV26:KW26"/>
    <mergeCell ref="KX26:KY26"/>
    <mergeCell ref="KZ26:LA26"/>
    <mergeCell ref="LB26:LC26"/>
    <mergeCell ref="LD26:LE26"/>
    <mergeCell ref="LF26:LG26"/>
    <mergeCell ref="LH26:LI26"/>
    <mergeCell ref="LJ26:LK26"/>
    <mergeCell ref="LL26:LM26"/>
    <mergeCell ref="LN26:LO26"/>
    <mergeCell ref="LP26:LQ26"/>
    <mergeCell ref="LR26:LS26"/>
    <mergeCell ref="LT26:LU26"/>
    <mergeCell ref="LV26:LW26"/>
    <mergeCell ref="LX26:LY26"/>
    <mergeCell ref="OR25:OS25"/>
    <mergeCell ref="OT25:OU25"/>
    <mergeCell ref="OV25:OW25"/>
    <mergeCell ref="OX25:OY25"/>
    <mergeCell ref="OZ25:PA25"/>
    <mergeCell ref="PB25:PC25"/>
    <mergeCell ref="PD25:PE25"/>
    <mergeCell ref="PF25:PG25"/>
    <mergeCell ref="PH25:PI25"/>
    <mergeCell ref="PJ25:PK25"/>
    <mergeCell ref="PL25:PM25"/>
    <mergeCell ref="PN25:PO25"/>
    <mergeCell ref="PP25:PQ25"/>
    <mergeCell ref="PR25:PS25"/>
    <mergeCell ref="PT25:PU25"/>
    <mergeCell ref="PV25:PW25"/>
    <mergeCell ref="PX25:PY25"/>
    <mergeCell ref="PZ25:QA25"/>
    <mergeCell ref="QB25:QC25"/>
    <mergeCell ref="QD25:QE25"/>
    <mergeCell ref="OR26:OS26"/>
    <mergeCell ref="OT26:OU26"/>
    <mergeCell ref="OV26:OW26"/>
    <mergeCell ref="OX26:OY26"/>
    <mergeCell ref="OZ26:PA26"/>
    <mergeCell ref="PB26:PC26"/>
    <mergeCell ref="PD26:PE26"/>
    <mergeCell ref="PF26:PG26"/>
    <mergeCell ref="PH26:PI26"/>
    <mergeCell ref="PJ26:PK26"/>
    <mergeCell ref="PL26:PM26"/>
    <mergeCell ref="PN26:PO26"/>
    <mergeCell ref="PP26:PQ26"/>
    <mergeCell ref="PR26:PS26"/>
    <mergeCell ref="PT26:PU26"/>
    <mergeCell ref="PV26:PW26"/>
    <mergeCell ref="PX26:PY26"/>
    <mergeCell ref="PZ26:QA26"/>
    <mergeCell ref="QB26:QC26"/>
    <mergeCell ref="QD26:QE26"/>
    <mergeCell ref="LZ25:MA25"/>
    <mergeCell ref="MB25:MC25"/>
    <mergeCell ref="MD25:ME25"/>
    <mergeCell ref="MF25:MG25"/>
    <mergeCell ref="MH25:MI25"/>
    <mergeCell ref="MJ25:MK25"/>
    <mergeCell ref="ML25:MM25"/>
    <mergeCell ref="MN25:MO25"/>
    <mergeCell ref="MP25:MQ25"/>
    <mergeCell ref="MR25:MS25"/>
    <mergeCell ref="MT25:MU25"/>
    <mergeCell ref="MV25:MW25"/>
    <mergeCell ref="MX25:MY25"/>
    <mergeCell ref="MZ25:NA25"/>
    <mergeCell ref="NB25:NC25"/>
    <mergeCell ref="ND25:NE25"/>
    <mergeCell ref="NF25:NG25"/>
    <mergeCell ref="NH25:NI25"/>
    <mergeCell ref="NJ25:NK25"/>
    <mergeCell ref="NL25:NM25"/>
    <mergeCell ref="NR25:NS25"/>
    <mergeCell ref="NT25:NU25"/>
    <mergeCell ref="NV25:NW25"/>
    <mergeCell ref="NX25:NY25"/>
    <mergeCell ref="NZ25:OA25"/>
    <mergeCell ref="OB25:OC25"/>
    <mergeCell ref="OD25:OE25"/>
    <mergeCell ref="OF25:OG25"/>
    <mergeCell ref="OH25:OI25"/>
    <mergeCell ref="OJ25:OK25"/>
    <mergeCell ref="OL25:OM25"/>
    <mergeCell ref="ON25:OO25"/>
    <mergeCell ref="OP25:OQ25"/>
    <mergeCell ref="OR24:OS24"/>
    <mergeCell ref="OT24:OU24"/>
    <mergeCell ref="OV24:OW24"/>
    <mergeCell ref="OX24:OY24"/>
    <mergeCell ref="OZ24:PA24"/>
    <mergeCell ref="PB24:PC24"/>
    <mergeCell ref="PD24:PE24"/>
    <mergeCell ref="PF24:PG24"/>
    <mergeCell ref="PH24:PI24"/>
    <mergeCell ref="PJ24:PK24"/>
    <mergeCell ref="PL24:PM24"/>
    <mergeCell ref="PN24:PO24"/>
    <mergeCell ref="PP24:PQ24"/>
    <mergeCell ref="PR24:PS24"/>
    <mergeCell ref="PT24:PU24"/>
    <mergeCell ref="PV24:PW24"/>
    <mergeCell ref="PX24:PY24"/>
    <mergeCell ref="PZ24:QA24"/>
    <mergeCell ref="QB24:QC24"/>
    <mergeCell ref="QD24:QE24"/>
    <mergeCell ref="QF24:QG24"/>
    <mergeCell ref="QH24:QI24"/>
    <mergeCell ref="QJ24:QK24"/>
    <mergeCell ref="QL24:QM24"/>
    <mergeCell ref="QN24:QO24"/>
    <mergeCell ref="QP24:QQ24"/>
    <mergeCell ref="QR24:QS24"/>
    <mergeCell ref="QT24:QU24"/>
    <mergeCell ref="QV24:QW24"/>
    <mergeCell ref="QX24:QY24"/>
    <mergeCell ref="QZ24:RA24"/>
    <mergeCell ref="RB24:RC24"/>
    <mergeCell ref="JN25:JO25"/>
    <mergeCell ref="JP25:JQ25"/>
    <mergeCell ref="JR25:JS25"/>
    <mergeCell ref="JT25:JU25"/>
    <mergeCell ref="JV25:JW25"/>
    <mergeCell ref="JX25:JY25"/>
    <mergeCell ref="JZ25:KA25"/>
    <mergeCell ref="KB25:KC25"/>
    <mergeCell ref="KD25:KE25"/>
    <mergeCell ref="KF25:KG25"/>
    <mergeCell ref="KH25:KI25"/>
    <mergeCell ref="KJ25:KK25"/>
    <mergeCell ref="KL25:KM25"/>
    <mergeCell ref="KN25:KO25"/>
    <mergeCell ref="KP25:KQ25"/>
    <mergeCell ref="KR25:KS25"/>
    <mergeCell ref="KT25:KU25"/>
    <mergeCell ref="KV25:KW25"/>
    <mergeCell ref="KX25:KY25"/>
    <mergeCell ref="KZ25:LA25"/>
    <mergeCell ref="LB25:LC25"/>
    <mergeCell ref="LD25:LE25"/>
    <mergeCell ref="LF25:LG25"/>
    <mergeCell ref="LH25:LI25"/>
    <mergeCell ref="LJ25:LK25"/>
    <mergeCell ref="LL25:LM25"/>
    <mergeCell ref="LN25:LO25"/>
    <mergeCell ref="LP25:LQ25"/>
    <mergeCell ref="LR25:LS25"/>
    <mergeCell ref="LT25:LU25"/>
    <mergeCell ref="LV25:LW25"/>
    <mergeCell ref="LX25:LY25"/>
    <mergeCell ref="LZ24:MA24"/>
    <mergeCell ref="MB24:MC24"/>
    <mergeCell ref="MD24:ME24"/>
    <mergeCell ref="MF24:MG24"/>
    <mergeCell ref="MH24:MI24"/>
    <mergeCell ref="MJ24:MK24"/>
    <mergeCell ref="ML24:MM24"/>
    <mergeCell ref="MN24:MO24"/>
    <mergeCell ref="MP24:MQ24"/>
    <mergeCell ref="MR24:MS24"/>
    <mergeCell ref="MT24:MU24"/>
    <mergeCell ref="MV24:MW24"/>
    <mergeCell ref="MX24:MY24"/>
    <mergeCell ref="MZ24:NA24"/>
    <mergeCell ref="NB24:NC24"/>
    <mergeCell ref="ND24:NE24"/>
    <mergeCell ref="NF24:NG24"/>
    <mergeCell ref="NH24:NI24"/>
    <mergeCell ref="NJ24:NK24"/>
    <mergeCell ref="NL24:NM24"/>
    <mergeCell ref="NR24:NS24"/>
    <mergeCell ref="NT24:NU24"/>
    <mergeCell ref="NV24:NW24"/>
    <mergeCell ref="NX24:NY24"/>
    <mergeCell ref="NZ24:OA24"/>
    <mergeCell ref="OB24:OC24"/>
    <mergeCell ref="OD24:OE24"/>
    <mergeCell ref="OF24:OG24"/>
    <mergeCell ref="OH24:OI24"/>
    <mergeCell ref="OJ24:OK24"/>
    <mergeCell ref="OL24:OM24"/>
    <mergeCell ref="ON24:OO24"/>
    <mergeCell ref="OP24:OQ24"/>
    <mergeCell ref="OR23:OS23"/>
    <mergeCell ref="OT23:OU23"/>
    <mergeCell ref="OV23:OW23"/>
    <mergeCell ref="OX23:OY23"/>
    <mergeCell ref="OZ23:PA23"/>
    <mergeCell ref="PB23:PC23"/>
    <mergeCell ref="PD23:PE23"/>
    <mergeCell ref="PF23:PG23"/>
    <mergeCell ref="PH23:PI23"/>
    <mergeCell ref="PJ23:PK23"/>
    <mergeCell ref="PL23:PM23"/>
    <mergeCell ref="PN23:PO23"/>
    <mergeCell ref="PP23:PQ23"/>
    <mergeCell ref="PR23:PS23"/>
    <mergeCell ref="PT23:PU23"/>
    <mergeCell ref="PV23:PW23"/>
    <mergeCell ref="PX23:PY23"/>
    <mergeCell ref="PZ23:QA23"/>
    <mergeCell ref="QB23:QC23"/>
    <mergeCell ref="QD23:QE23"/>
    <mergeCell ref="QF23:QG23"/>
    <mergeCell ref="QH23:QI23"/>
    <mergeCell ref="QJ23:QK23"/>
    <mergeCell ref="QL23:QM23"/>
    <mergeCell ref="QN23:QO23"/>
    <mergeCell ref="QP23:QQ23"/>
    <mergeCell ref="QR23:QS23"/>
    <mergeCell ref="QT23:QU23"/>
    <mergeCell ref="QV23:QW23"/>
    <mergeCell ref="QX23:QY23"/>
    <mergeCell ref="QZ23:RA23"/>
    <mergeCell ref="RB23:RC23"/>
    <mergeCell ref="JN24:JO24"/>
    <mergeCell ref="JP24:JQ24"/>
    <mergeCell ref="JR24:JS24"/>
    <mergeCell ref="JT24:JU24"/>
    <mergeCell ref="JV24:JW24"/>
    <mergeCell ref="JX24:JY24"/>
    <mergeCell ref="JZ24:KA24"/>
    <mergeCell ref="KB24:KC24"/>
    <mergeCell ref="KD24:KE24"/>
    <mergeCell ref="KF24:KG24"/>
    <mergeCell ref="KH24:KI24"/>
    <mergeCell ref="KJ24:KK24"/>
    <mergeCell ref="KL24:KM24"/>
    <mergeCell ref="KN24:KO24"/>
    <mergeCell ref="KP24:KQ24"/>
    <mergeCell ref="KR24:KS24"/>
    <mergeCell ref="KT24:KU24"/>
    <mergeCell ref="KV24:KW24"/>
    <mergeCell ref="KX24:KY24"/>
    <mergeCell ref="KZ24:LA24"/>
    <mergeCell ref="LB24:LC24"/>
    <mergeCell ref="LD24:LE24"/>
    <mergeCell ref="LF24:LG24"/>
    <mergeCell ref="LH24:LI24"/>
    <mergeCell ref="LJ24:LK24"/>
    <mergeCell ref="LL24:LM24"/>
    <mergeCell ref="LN24:LO24"/>
    <mergeCell ref="LP24:LQ24"/>
    <mergeCell ref="LR24:LS24"/>
    <mergeCell ref="LT24:LU24"/>
    <mergeCell ref="LV24:LW24"/>
    <mergeCell ref="LX24:LY24"/>
    <mergeCell ref="LZ23:MA23"/>
    <mergeCell ref="MB23:MC23"/>
    <mergeCell ref="MD23:ME23"/>
    <mergeCell ref="MF23:MG23"/>
    <mergeCell ref="MH23:MI23"/>
    <mergeCell ref="MJ23:MK23"/>
    <mergeCell ref="ML23:MM23"/>
    <mergeCell ref="MN23:MO23"/>
    <mergeCell ref="MP23:MQ23"/>
    <mergeCell ref="MR23:MS23"/>
    <mergeCell ref="MT23:MU23"/>
    <mergeCell ref="MV23:MW23"/>
    <mergeCell ref="MX23:MY23"/>
    <mergeCell ref="MZ23:NA23"/>
    <mergeCell ref="NB23:NC23"/>
    <mergeCell ref="ND23:NE23"/>
    <mergeCell ref="NF23:NG23"/>
    <mergeCell ref="NH23:NI23"/>
    <mergeCell ref="NJ23:NK23"/>
    <mergeCell ref="NL23:NM23"/>
    <mergeCell ref="NR23:NS23"/>
    <mergeCell ref="NT23:NU23"/>
    <mergeCell ref="NV23:NW23"/>
    <mergeCell ref="NX23:NY23"/>
    <mergeCell ref="NZ23:OA23"/>
    <mergeCell ref="OB23:OC23"/>
    <mergeCell ref="OD23:OE23"/>
    <mergeCell ref="OF23:OG23"/>
    <mergeCell ref="OH23:OI23"/>
    <mergeCell ref="OJ23:OK23"/>
    <mergeCell ref="OL23:OM23"/>
    <mergeCell ref="ON23:OO23"/>
    <mergeCell ref="OP23:OQ23"/>
    <mergeCell ref="OR22:OS22"/>
    <mergeCell ref="OT22:OU22"/>
    <mergeCell ref="OV22:OW22"/>
    <mergeCell ref="OX22:OY22"/>
    <mergeCell ref="OZ22:PA22"/>
    <mergeCell ref="PB22:PC22"/>
    <mergeCell ref="PD22:PE22"/>
    <mergeCell ref="PF22:PG22"/>
    <mergeCell ref="PH22:PI22"/>
    <mergeCell ref="PJ22:PK22"/>
    <mergeCell ref="PL22:PM22"/>
    <mergeCell ref="PN22:PO22"/>
    <mergeCell ref="PP22:PQ22"/>
    <mergeCell ref="PR22:PS22"/>
    <mergeCell ref="PT22:PU22"/>
    <mergeCell ref="PV22:PW22"/>
    <mergeCell ref="PX22:PY22"/>
    <mergeCell ref="PZ22:QA22"/>
    <mergeCell ref="QB22:QC22"/>
    <mergeCell ref="QD22:QE22"/>
    <mergeCell ref="QF22:QG22"/>
    <mergeCell ref="QH22:QI22"/>
    <mergeCell ref="QJ22:QK22"/>
    <mergeCell ref="QL22:QM22"/>
    <mergeCell ref="QN22:QO22"/>
    <mergeCell ref="QP22:QQ22"/>
    <mergeCell ref="QR22:QS22"/>
    <mergeCell ref="QT22:QU22"/>
    <mergeCell ref="QV22:QW22"/>
    <mergeCell ref="QX22:QY22"/>
    <mergeCell ref="QZ22:RA22"/>
    <mergeCell ref="RB22:RC22"/>
    <mergeCell ref="JN23:JO23"/>
    <mergeCell ref="JP23:JQ23"/>
    <mergeCell ref="JR23:JS23"/>
    <mergeCell ref="JT23:JU23"/>
    <mergeCell ref="JV23:JW23"/>
    <mergeCell ref="JX23:JY23"/>
    <mergeCell ref="JZ23:KA23"/>
    <mergeCell ref="KB23:KC23"/>
    <mergeCell ref="KD23:KE23"/>
    <mergeCell ref="KF23:KG23"/>
    <mergeCell ref="KH23:KI23"/>
    <mergeCell ref="KJ23:KK23"/>
    <mergeCell ref="KL23:KM23"/>
    <mergeCell ref="KN23:KO23"/>
    <mergeCell ref="KP23:KQ23"/>
    <mergeCell ref="KR23:KS23"/>
    <mergeCell ref="KT23:KU23"/>
    <mergeCell ref="KV23:KW23"/>
    <mergeCell ref="KX23:KY23"/>
    <mergeCell ref="KZ23:LA23"/>
    <mergeCell ref="LB23:LC23"/>
    <mergeCell ref="LD23:LE23"/>
    <mergeCell ref="LF23:LG23"/>
    <mergeCell ref="LH23:LI23"/>
    <mergeCell ref="LJ23:LK23"/>
    <mergeCell ref="LL23:LM23"/>
    <mergeCell ref="LN23:LO23"/>
    <mergeCell ref="LP23:LQ23"/>
    <mergeCell ref="LR23:LS23"/>
    <mergeCell ref="LT23:LU23"/>
    <mergeCell ref="LV23:LW23"/>
    <mergeCell ref="LX23:LY23"/>
    <mergeCell ref="LZ22:MA22"/>
    <mergeCell ref="MB22:MC22"/>
    <mergeCell ref="MD22:ME22"/>
    <mergeCell ref="MF22:MG22"/>
    <mergeCell ref="MH22:MI22"/>
    <mergeCell ref="MJ22:MK22"/>
    <mergeCell ref="ML22:MM22"/>
    <mergeCell ref="MN22:MO22"/>
    <mergeCell ref="MP22:MQ22"/>
    <mergeCell ref="MR22:MS22"/>
    <mergeCell ref="MT22:MU22"/>
    <mergeCell ref="MV22:MW22"/>
    <mergeCell ref="MX22:MY22"/>
    <mergeCell ref="MZ22:NA22"/>
    <mergeCell ref="NB22:NC22"/>
    <mergeCell ref="ND22:NE22"/>
    <mergeCell ref="NF22:NG22"/>
    <mergeCell ref="NH22:NI22"/>
    <mergeCell ref="NJ22:NK22"/>
    <mergeCell ref="NL22:NM22"/>
    <mergeCell ref="NR22:NS22"/>
    <mergeCell ref="NT22:NU22"/>
    <mergeCell ref="NV22:NW22"/>
    <mergeCell ref="NX22:NY22"/>
    <mergeCell ref="NZ22:OA22"/>
    <mergeCell ref="OB22:OC22"/>
    <mergeCell ref="OD22:OE22"/>
    <mergeCell ref="OF22:OG22"/>
    <mergeCell ref="OH22:OI22"/>
    <mergeCell ref="OJ22:OK22"/>
    <mergeCell ref="OL22:OM22"/>
    <mergeCell ref="ON22:OO22"/>
    <mergeCell ref="OP22:OQ22"/>
    <mergeCell ref="OR21:OS21"/>
    <mergeCell ref="OT21:OU21"/>
    <mergeCell ref="OV21:OW21"/>
    <mergeCell ref="OX21:OY21"/>
    <mergeCell ref="OZ21:PA21"/>
    <mergeCell ref="PB21:PC21"/>
    <mergeCell ref="PD21:PE21"/>
    <mergeCell ref="PF21:PG21"/>
    <mergeCell ref="PH21:PI21"/>
    <mergeCell ref="PJ21:PK21"/>
    <mergeCell ref="PL21:PM21"/>
    <mergeCell ref="PN21:PO21"/>
    <mergeCell ref="PP21:PQ21"/>
    <mergeCell ref="PR21:PS21"/>
    <mergeCell ref="PT21:PU21"/>
    <mergeCell ref="PV21:PW21"/>
    <mergeCell ref="PX21:PY21"/>
    <mergeCell ref="PZ21:QA21"/>
    <mergeCell ref="QB21:QC21"/>
    <mergeCell ref="QD21:QE21"/>
    <mergeCell ref="QF21:QG21"/>
    <mergeCell ref="QH21:QI21"/>
    <mergeCell ref="QJ21:QK21"/>
    <mergeCell ref="QL21:QM21"/>
    <mergeCell ref="QN21:QO21"/>
    <mergeCell ref="QP21:QQ21"/>
    <mergeCell ref="QR21:QS21"/>
    <mergeCell ref="QT21:QU21"/>
    <mergeCell ref="QV21:QW21"/>
    <mergeCell ref="QX21:QY21"/>
    <mergeCell ref="QZ21:RA21"/>
    <mergeCell ref="RB21:RC21"/>
    <mergeCell ref="JN22:JO22"/>
    <mergeCell ref="JP22:JQ22"/>
    <mergeCell ref="JR22:JS22"/>
    <mergeCell ref="JT22:JU22"/>
    <mergeCell ref="JV22:JW22"/>
    <mergeCell ref="JX22:JY22"/>
    <mergeCell ref="JZ22:KA22"/>
    <mergeCell ref="KB22:KC22"/>
    <mergeCell ref="KD22:KE22"/>
    <mergeCell ref="KF22:KG22"/>
    <mergeCell ref="KH22:KI22"/>
    <mergeCell ref="KJ22:KK22"/>
    <mergeCell ref="KL22:KM22"/>
    <mergeCell ref="KN22:KO22"/>
    <mergeCell ref="KP22:KQ22"/>
    <mergeCell ref="KR22:KS22"/>
    <mergeCell ref="KT22:KU22"/>
    <mergeCell ref="KV22:KW22"/>
    <mergeCell ref="KX22:KY22"/>
    <mergeCell ref="KZ22:LA22"/>
    <mergeCell ref="LB22:LC22"/>
    <mergeCell ref="LD22:LE22"/>
    <mergeCell ref="LF22:LG22"/>
    <mergeCell ref="LH22:LI22"/>
    <mergeCell ref="LJ22:LK22"/>
    <mergeCell ref="LL22:LM22"/>
    <mergeCell ref="LN22:LO22"/>
    <mergeCell ref="LP22:LQ22"/>
    <mergeCell ref="LR22:LS22"/>
    <mergeCell ref="LT22:LU22"/>
    <mergeCell ref="LV22:LW22"/>
    <mergeCell ref="LX22:LY22"/>
    <mergeCell ref="PH20:PI20"/>
    <mergeCell ref="PJ20:PK20"/>
    <mergeCell ref="PL20:PM20"/>
    <mergeCell ref="PN20:PO20"/>
    <mergeCell ref="PP20:PQ20"/>
    <mergeCell ref="PR20:PS20"/>
    <mergeCell ref="PT20:PU20"/>
    <mergeCell ref="PV20:PW20"/>
    <mergeCell ref="PX20:PY20"/>
    <mergeCell ref="PZ20:QA20"/>
    <mergeCell ref="QB20:QC20"/>
    <mergeCell ref="QD20:QE20"/>
    <mergeCell ref="QF20:QG20"/>
    <mergeCell ref="QH20:QI20"/>
    <mergeCell ref="QJ20:QK20"/>
    <mergeCell ref="QL20:QM20"/>
    <mergeCell ref="QN20:QO20"/>
    <mergeCell ref="QP20:QQ20"/>
    <mergeCell ref="QR20:QS20"/>
    <mergeCell ref="QT20:QU20"/>
    <mergeCell ref="QV20:QW20"/>
    <mergeCell ref="QX20:QY20"/>
    <mergeCell ref="QZ20:RA20"/>
    <mergeCell ref="RB20:RC20"/>
    <mergeCell ref="JN21:JO21"/>
    <mergeCell ref="JP21:JQ21"/>
    <mergeCell ref="JR21:JS21"/>
    <mergeCell ref="JT21:JU21"/>
    <mergeCell ref="JV21:JW21"/>
    <mergeCell ref="JX21:JY21"/>
    <mergeCell ref="JZ21:KA21"/>
    <mergeCell ref="KB21:KC21"/>
    <mergeCell ref="KD21:KE21"/>
    <mergeCell ref="KF21:KG21"/>
    <mergeCell ref="KH21:KI21"/>
    <mergeCell ref="KJ21:KK21"/>
    <mergeCell ref="KL21:KM21"/>
    <mergeCell ref="KN21:KO21"/>
    <mergeCell ref="KP21:KQ21"/>
    <mergeCell ref="KR21:KS21"/>
    <mergeCell ref="KT21:KU21"/>
    <mergeCell ref="KV21:KW21"/>
    <mergeCell ref="KX21:KY21"/>
    <mergeCell ref="KZ21:LA21"/>
    <mergeCell ref="LB21:LC21"/>
    <mergeCell ref="LD21:LE21"/>
    <mergeCell ref="LF21:LG21"/>
    <mergeCell ref="LH21:LI21"/>
    <mergeCell ref="LJ21:LK21"/>
    <mergeCell ref="LL21:LM21"/>
    <mergeCell ref="LN21:LO21"/>
    <mergeCell ref="LP21:LQ21"/>
    <mergeCell ref="LR21:LS21"/>
    <mergeCell ref="LT21:LU21"/>
    <mergeCell ref="LV21:LW21"/>
    <mergeCell ref="LX21:LY21"/>
    <mergeCell ref="LZ21:MA21"/>
    <mergeCell ref="MB21:MC21"/>
    <mergeCell ref="MD21:ME21"/>
    <mergeCell ref="MF21:MG21"/>
    <mergeCell ref="MH21:MI21"/>
    <mergeCell ref="MJ21:MK21"/>
    <mergeCell ref="ML21:MM21"/>
    <mergeCell ref="MN21:MO21"/>
    <mergeCell ref="PP19:PQ19"/>
    <mergeCell ref="PR19:PS19"/>
    <mergeCell ref="PT19:PU19"/>
    <mergeCell ref="PV19:PW19"/>
    <mergeCell ref="PX19:PY19"/>
    <mergeCell ref="PZ19:QA19"/>
    <mergeCell ref="QB19:QC19"/>
    <mergeCell ref="QD19:QE19"/>
    <mergeCell ref="QF19:QG19"/>
    <mergeCell ref="QH19:QI19"/>
    <mergeCell ref="QJ19:QK19"/>
    <mergeCell ref="QL19:QM19"/>
    <mergeCell ref="QN19:QO19"/>
    <mergeCell ref="QP19:QQ19"/>
    <mergeCell ref="OJ19:OK19"/>
    <mergeCell ref="OL19:OM19"/>
    <mergeCell ref="QR19:QS19"/>
    <mergeCell ref="QT19:QU19"/>
    <mergeCell ref="QV19:QW19"/>
    <mergeCell ref="QX19:QY19"/>
    <mergeCell ref="QZ19:RA19"/>
    <mergeCell ref="RB19:RC19"/>
    <mergeCell ref="JN20:JO20"/>
    <mergeCell ref="JP20:JQ20"/>
    <mergeCell ref="JR20:JS20"/>
    <mergeCell ref="JT20:JU20"/>
    <mergeCell ref="JV20:JW20"/>
    <mergeCell ref="JX20:JY20"/>
    <mergeCell ref="JZ20:KA20"/>
    <mergeCell ref="KB20:KC20"/>
    <mergeCell ref="KD20:KE20"/>
    <mergeCell ref="KF20:KG20"/>
    <mergeCell ref="KH20:KI20"/>
    <mergeCell ref="KJ20:KK20"/>
    <mergeCell ref="KL20:KM20"/>
    <mergeCell ref="KN20:KO20"/>
    <mergeCell ref="KP20:KQ20"/>
    <mergeCell ref="KR20:KS20"/>
    <mergeCell ref="KT20:KU20"/>
    <mergeCell ref="KV20:KW20"/>
    <mergeCell ref="KX20:KY20"/>
    <mergeCell ref="KZ20:LA20"/>
    <mergeCell ref="LB20:LC20"/>
    <mergeCell ref="LD20:LE20"/>
    <mergeCell ref="LF20:LG20"/>
    <mergeCell ref="LH20:LI20"/>
    <mergeCell ref="LJ20:LK20"/>
    <mergeCell ref="LL20:LM20"/>
    <mergeCell ref="LN20:LO20"/>
    <mergeCell ref="LP20:LQ20"/>
    <mergeCell ref="LR20:LS20"/>
    <mergeCell ref="LT20:LU20"/>
    <mergeCell ref="LV20:LW20"/>
    <mergeCell ref="LX20:LY20"/>
    <mergeCell ref="LZ20:MA20"/>
    <mergeCell ref="MB20:MC20"/>
    <mergeCell ref="NR20:NS20"/>
    <mergeCell ref="NT20:NU20"/>
    <mergeCell ref="NV20:NW20"/>
    <mergeCell ref="NX20:NY20"/>
    <mergeCell ref="NZ20:OA20"/>
    <mergeCell ref="OB20:OC20"/>
    <mergeCell ref="OD20:OE20"/>
    <mergeCell ref="OF20:OG20"/>
    <mergeCell ref="PP18:PQ18"/>
    <mergeCell ref="PR18:PS18"/>
    <mergeCell ref="PT18:PU18"/>
    <mergeCell ref="PV18:PW18"/>
    <mergeCell ref="PX18:PY18"/>
    <mergeCell ref="PZ18:QA18"/>
    <mergeCell ref="QB18:QC18"/>
    <mergeCell ref="QD18:QE18"/>
    <mergeCell ref="QF18:QG18"/>
    <mergeCell ref="QH18:QI18"/>
    <mergeCell ref="QJ18:QK18"/>
    <mergeCell ref="QL18:QM18"/>
    <mergeCell ref="QN18:QO18"/>
    <mergeCell ref="QP18:QQ18"/>
    <mergeCell ref="QR18:QS18"/>
    <mergeCell ref="QT18:QU18"/>
    <mergeCell ref="QV18:QW18"/>
    <mergeCell ref="QX18:QY18"/>
    <mergeCell ref="QZ18:RA18"/>
    <mergeCell ref="RB18:RC18"/>
    <mergeCell ref="JN19:JO19"/>
    <mergeCell ref="JP19:JQ19"/>
    <mergeCell ref="JR19:JS19"/>
    <mergeCell ref="JT19:JU19"/>
    <mergeCell ref="JV19:JW19"/>
    <mergeCell ref="JX19:JY19"/>
    <mergeCell ref="JZ19:KA19"/>
    <mergeCell ref="KB19:KC19"/>
    <mergeCell ref="KD19:KE19"/>
    <mergeCell ref="KF19:KG19"/>
    <mergeCell ref="KH19:KI19"/>
    <mergeCell ref="KJ19:KK19"/>
    <mergeCell ref="KL19:KM19"/>
    <mergeCell ref="KN19:KO19"/>
    <mergeCell ref="KP19:KQ19"/>
    <mergeCell ref="KR19:KS19"/>
    <mergeCell ref="KT19:KU19"/>
    <mergeCell ref="KV19:KW19"/>
    <mergeCell ref="KX19:KY19"/>
    <mergeCell ref="KZ19:LA19"/>
    <mergeCell ref="LB19:LC19"/>
    <mergeCell ref="LD19:LE19"/>
    <mergeCell ref="LF19:LG19"/>
    <mergeCell ref="LH19:LI19"/>
    <mergeCell ref="LJ19:LK19"/>
    <mergeCell ref="LL19:LM19"/>
    <mergeCell ref="LN19:LO19"/>
    <mergeCell ref="LP19:LQ19"/>
    <mergeCell ref="LR19:LS19"/>
    <mergeCell ref="LT19:LU19"/>
    <mergeCell ref="LV19:LW19"/>
    <mergeCell ref="LX19:LY19"/>
    <mergeCell ref="LZ19:MA19"/>
    <mergeCell ref="MB19:MC19"/>
    <mergeCell ref="MD19:ME19"/>
    <mergeCell ref="MF19:MG19"/>
    <mergeCell ref="MH19:MI19"/>
    <mergeCell ref="MJ19:MK19"/>
    <mergeCell ref="ML19:MM19"/>
    <mergeCell ref="MN19:MO19"/>
    <mergeCell ref="MP19:MQ19"/>
    <mergeCell ref="MR19:MS19"/>
    <mergeCell ref="MT19:MU19"/>
    <mergeCell ref="MV19:MW19"/>
    <mergeCell ref="PT17:PU17"/>
    <mergeCell ref="PV17:PW17"/>
    <mergeCell ref="PX17:PY17"/>
    <mergeCell ref="PZ17:QA17"/>
    <mergeCell ref="QB17:QC17"/>
    <mergeCell ref="QD17:QE17"/>
    <mergeCell ref="QF17:QG17"/>
    <mergeCell ref="QH17:QI17"/>
    <mergeCell ref="QJ17:QK17"/>
    <mergeCell ref="QL17:QM17"/>
    <mergeCell ref="QN17:QO17"/>
    <mergeCell ref="QP17:QQ17"/>
    <mergeCell ref="QR17:QS17"/>
    <mergeCell ref="QT17:QU17"/>
    <mergeCell ref="QV17:QW17"/>
    <mergeCell ref="QX17:QY17"/>
    <mergeCell ref="QZ17:RA17"/>
    <mergeCell ref="RB17:RC17"/>
    <mergeCell ref="JN18:JO18"/>
    <mergeCell ref="JP18:JQ18"/>
    <mergeCell ref="JR18:JS18"/>
    <mergeCell ref="JT18:JU18"/>
    <mergeCell ref="JV18:JW18"/>
    <mergeCell ref="JX18:JY18"/>
    <mergeCell ref="JZ18:KA18"/>
    <mergeCell ref="KB18:KC18"/>
    <mergeCell ref="KD18:KE18"/>
    <mergeCell ref="KF18:KG18"/>
    <mergeCell ref="KH18:KI18"/>
    <mergeCell ref="KJ18:KK18"/>
    <mergeCell ref="KL18:KM18"/>
    <mergeCell ref="KN18:KO18"/>
    <mergeCell ref="KP18:KQ18"/>
    <mergeCell ref="KR18:KS18"/>
    <mergeCell ref="KT18:KU18"/>
    <mergeCell ref="KV18:KW18"/>
    <mergeCell ref="KX18:KY18"/>
    <mergeCell ref="KZ18:LA18"/>
    <mergeCell ref="LB18:LC18"/>
    <mergeCell ref="LD18:LE18"/>
    <mergeCell ref="LF18:LG18"/>
    <mergeCell ref="LH18:LI18"/>
    <mergeCell ref="LJ18:LK18"/>
    <mergeCell ref="LL18:LM18"/>
    <mergeCell ref="LN18:LO18"/>
    <mergeCell ref="LP18:LQ18"/>
    <mergeCell ref="LR18:LS18"/>
    <mergeCell ref="LT18:LU18"/>
    <mergeCell ref="LV18:LW18"/>
    <mergeCell ref="LX18:LY18"/>
    <mergeCell ref="LZ18:MA18"/>
    <mergeCell ref="MB18:MC18"/>
    <mergeCell ref="MD18:ME18"/>
    <mergeCell ref="MF18:MG18"/>
    <mergeCell ref="MH18:MI18"/>
    <mergeCell ref="MJ18:MK18"/>
    <mergeCell ref="ML18:MM18"/>
    <mergeCell ref="MN18:MO18"/>
    <mergeCell ref="MP18:MQ18"/>
    <mergeCell ref="MR18:MS18"/>
    <mergeCell ref="MT18:MU18"/>
    <mergeCell ref="MV18:MW18"/>
    <mergeCell ref="MX18:MY18"/>
    <mergeCell ref="MZ18:NA18"/>
    <mergeCell ref="PT1:PU1"/>
    <mergeCell ref="NR1:NS1"/>
    <mergeCell ref="NP1:NQ1"/>
    <mergeCell ref="NN17:NO17"/>
    <mergeCell ref="NP17:NQ17"/>
    <mergeCell ref="PV1:PW1"/>
    <mergeCell ref="PX1:PY1"/>
    <mergeCell ref="PZ1:QA1"/>
    <mergeCell ref="QB1:QC1"/>
    <mergeCell ref="QD1:QE1"/>
    <mergeCell ref="QF1:QG1"/>
    <mergeCell ref="QH1:QI1"/>
    <mergeCell ref="QJ1:QK1"/>
    <mergeCell ref="QL1:QM1"/>
    <mergeCell ref="QN1:QO1"/>
    <mergeCell ref="QP1:QQ1"/>
    <mergeCell ref="QR1:QS1"/>
    <mergeCell ref="QT1:QU1"/>
    <mergeCell ref="QV1:QW1"/>
    <mergeCell ref="QX1:QY1"/>
    <mergeCell ref="QZ1:RA1"/>
    <mergeCell ref="RB1:RC1"/>
    <mergeCell ref="JN17:JO17"/>
    <mergeCell ref="JP17:JQ17"/>
    <mergeCell ref="JR17:JS17"/>
    <mergeCell ref="JT17:JU17"/>
    <mergeCell ref="JV17:JW17"/>
    <mergeCell ref="JX17:JY17"/>
    <mergeCell ref="JZ17:KA17"/>
    <mergeCell ref="KB17:KC17"/>
    <mergeCell ref="KD17:KE17"/>
    <mergeCell ref="KF17:KG17"/>
    <mergeCell ref="KH17:KI17"/>
    <mergeCell ref="KJ17:KK17"/>
    <mergeCell ref="KL17:KM17"/>
    <mergeCell ref="KN17:KO17"/>
    <mergeCell ref="KP17:KQ17"/>
    <mergeCell ref="KR17:KS17"/>
    <mergeCell ref="KT17:KU17"/>
    <mergeCell ref="KV17:KW17"/>
    <mergeCell ref="KX17:KY17"/>
    <mergeCell ref="KZ17:LA17"/>
    <mergeCell ref="LB17:LC17"/>
    <mergeCell ref="LD17:LE17"/>
    <mergeCell ref="LF17:LG17"/>
    <mergeCell ref="LH17:LI17"/>
    <mergeCell ref="LJ17:LK17"/>
    <mergeCell ref="LL17:LM17"/>
    <mergeCell ref="LN17:LO17"/>
    <mergeCell ref="LP17:LQ17"/>
    <mergeCell ref="LR17:LS17"/>
    <mergeCell ref="LT17:LU17"/>
    <mergeCell ref="LV17:LW17"/>
    <mergeCell ref="LX17:LY17"/>
    <mergeCell ref="LZ17:MA17"/>
    <mergeCell ref="MB17:MC17"/>
    <mergeCell ref="MD17:ME17"/>
    <mergeCell ref="MF17:MG17"/>
    <mergeCell ref="MH17:MI17"/>
    <mergeCell ref="MJ17:MK17"/>
    <mergeCell ref="ML17:MM17"/>
    <mergeCell ref="MN17:MO17"/>
    <mergeCell ref="MP17:MQ17"/>
    <mergeCell ref="MR17:MS17"/>
    <mergeCell ref="PP1:PQ1"/>
    <mergeCell ref="PR1:PS1"/>
    <mergeCell ref="NH17:NI17"/>
    <mergeCell ref="NJ17:NK17"/>
    <mergeCell ref="NL17:NM17"/>
    <mergeCell ref="NR17:NS17"/>
    <mergeCell ref="NT17:NU17"/>
    <mergeCell ref="NV17:NW17"/>
    <mergeCell ref="NX17:NY17"/>
    <mergeCell ref="NZ17:OA17"/>
    <mergeCell ref="OB17:OC17"/>
    <mergeCell ref="OD17:OE17"/>
    <mergeCell ref="OF17:OG17"/>
    <mergeCell ref="OH17:OI17"/>
    <mergeCell ref="OJ17:OK17"/>
    <mergeCell ref="OL17:OM17"/>
    <mergeCell ref="ON17:OO17"/>
    <mergeCell ref="OP17:OQ17"/>
    <mergeCell ref="OR17:OS17"/>
    <mergeCell ref="OT17:OU17"/>
    <mergeCell ref="OV17:OW17"/>
    <mergeCell ref="OX17:OY17"/>
    <mergeCell ref="OZ17:PA17"/>
    <mergeCell ref="PB17:PC17"/>
    <mergeCell ref="PD17:PE17"/>
    <mergeCell ref="PF17:PG17"/>
    <mergeCell ref="PH17:PI17"/>
    <mergeCell ref="PJ17:PK17"/>
    <mergeCell ref="PL17:PM17"/>
    <mergeCell ref="PN17:PO17"/>
    <mergeCell ref="PP17:PQ17"/>
    <mergeCell ref="PR17:PS17"/>
    <mergeCell ref="ND19:NE19"/>
    <mergeCell ref="NF19:NG19"/>
    <mergeCell ref="NH18:NI18"/>
    <mergeCell ref="NR18:NS18"/>
    <mergeCell ref="NT1:NU1"/>
    <mergeCell ref="NV1:NW1"/>
    <mergeCell ref="NX1:NY1"/>
    <mergeCell ref="NZ1:OA1"/>
    <mergeCell ref="OB1:OC1"/>
    <mergeCell ref="OD1:OE1"/>
    <mergeCell ref="OF1:OG1"/>
    <mergeCell ref="OH1:OI1"/>
    <mergeCell ref="OJ1:OK1"/>
    <mergeCell ref="OL1:OM1"/>
    <mergeCell ref="ON1:OO1"/>
    <mergeCell ref="OP1:OQ1"/>
    <mergeCell ref="OR1:OS1"/>
    <mergeCell ref="OT1:OU1"/>
    <mergeCell ref="OV1:OW1"/>
    <mergeCell ref="OX1:OY1"/>
    <mergeCell ref="OZ1:PA1"/>
    <mergeCell ref="PB1:PC1"/>
    <mergeCell ref="PD1:PE1"/>
    <mergeCell ref="PF1:PG1"/>
    <mergeCell ref="PH1:PI1"/>
    <mergeCell ref="PJ1:PK1"/>
    <mergeCell ref="PL1:PM1"/>
    <mergeCell ref="PN1:PO1"/>
    <mergeCell ref="NV18:NW18"/>
    <mergeCell ref="NX18:NY18"/>
    <mergeCell ref="NZ18:OA18"/>
    <mergeCell ref="OB18:OC18"/>
    <mergeCell ref="PH18:PI18"/>
    <mergeCell ref="PJ18:PK18"/>
    <mergeCell ref="PL18:PM18"/>
    <mergeCell ref="PN18:PO18"/>
    <mergeCell ref="NH19:NI19"/>
    <mergeCell ref="NJ19:NK19"/>
    <mergeCell ref="NL19:NM19"/>
    <mergeCell ref="NR19:NS19"/>
    <mergeCell ref="NT19:NU19"/>
    <mergeCell ref="NV19:NW19"/>
    <mergeCell ref="NX19:NY19"/>
    <mergeCell ref="NZ19:OA19"/>
    <mergeCell ref="OB19:OC19"/>
    <mergeCell ref="OD19:OE19"/>
    <mergeCell ref="OF19:OG19"/>
    <mergeCell ref="OH19:OI19"/>
    <mergeCell ref="MZ36:NA36"/>
    <mergeCell ref="NB36:NC36"/>
    <mergeCell ref="NP18:NQ18"/>
    <mergeCell ref="NN19:NO19"/>
    <mergeCell ref="NP19:NQ19"/>
    <mergeCell ref="NN20:NO20"/>
    <mergeCell ref="NP20:NQ20"/>
    <mergeCell ref="NN21:NO21"/>
    <mergeCell ref="NP21:NQ21"/>
    <mergeCell ref="NN22:NO22"/>
    <mergeCell ref="NP22:NQ22"/>
    <mergeCell ref="NN23:NO23"/>
    <mergeCell ref="NP23:NQ23"/>
    <mergeCell ref="NN24:NO24"/>
    <mergeCell ref="NP24:NQ24"/>
    <mergeCell ref="NN25:NO25"/>
    <mergeCell ref="NP25:NQ25"/>
    <mergeCell ref="NN26:NO26"/>
    <mergeCell ref="NP26:NQ26"/>
    <mergeCell ref="NN27:NO27"/>
    <mergeCell ref="NP27:NQ27"/>
    <mergeCell ref="NL18:NM18"/>
    <mergeCell ref="NP30:NQ30"/>
    <mergeCell ref="NL29:NM29"/>
    <mergeCell ref="NN29:NO29"/>
    <mergeCell ref="NP29:NQ29"/>
    <mergeCell ref="NT18:NU18"/>
    <mergeCell ref="ON19:OO19"/>
    <mergeCell ref="OP19:OQ19"/>
    <mergeCell ref="OR19:OS19"/>
    <mergeCell ref="OT19:OU19"/>
    <mergeCell ref="OV19:OW19"/>
    <mergeCell ref="OX19:OY19"/>
    <mergeCell ref="OZ19:PA19"/>
    <mergeCell ref="PB19:PC19"/>
    <mergeCell ref="PD19:PE19"/>
    <mergeCell ref="PF19:PG19"/>
    <mergeCell ref="PH19:PI19"/>
    <mergeCell ref="PJ19:PK19"/>
    <mergeCell ref="PL19:PM19"/>
    <mergeCell ref="PN19:PO19"/>
    <mergeCell ref="OH20:OI20"/>
    <mergeCell ref="OJ20:OK20"/>
    <mergeCell ref="OL20:OM20"/>
    <mergeCell ref="ON20:OO20"/>
    <mergeCell ref="OP20:OQ20"/>
    <mergeCell ref="OR20:OS20"/>
    <mergeCell ref="OT20:OU20"/>
    <mergeCell ref="MH20:MI20"/>
    <mergeCell ref="MJ20:MK20"/>
    <mergeCell ref="ML20:MM20"/>
    <mergeCell ref="MN20:MO20"/>
    <mergeCell ref="MP20:MQ20"/>
    <mergeCell ref="MR20:MS20"/>
    <mergeCell ref="MT20:MU20"/>
    <mergeCell ref="MV20:MW20"/>
    <mergeCell ref="MX20:MY20"/>
    <mergeCell ref="MZ20:NA20"/>
    <mergeCell ref="NB20:NC20"/>
    <mergeCell ref="ND20:NE20"/>
    <mergeCell ref="NF20:NG20"/>
    <mergeCell ref="NH20:NI20"/>
    <mergeCell ref="NJ20:NK20"/>
    <mergeCell ref="NL20:NM20"/>
    <mergeCell ref="MD29:ME29"/>
    <mergeCell ref="MF29:MG29"/>
    <mergeCell ref="OD18:OE18"/>
    <mergeCell ref="OF18:OG18"/>
    <mergeCell ref="OH18:OI18"/>
    <mergeCell ref="OJ18:OK18"/>
    <mergeCell ref="OL18:OM18"/>
    <mergeCell ref="ON18:OO18"/>
    <mergeCell ref="OP18:OQ18"/>
    <mergeCell ref="OR18:OS18"/>
    <mergeCell ref="OT18:OU18"/>
    <mergeCell ref="OV18:OW18"/>
    <mergeCell ref="OX18:OY18"/>
    <mergeCell ref="OZ18:PA18"/>
    <mergeCell ref="PB18:PC18"/>
    <mergeCell ref="PD18:PE18"/>
    <mergeCell ref="PF18:PG18"/>
    <mergeCell ref="OV20:OW20"/>
    <mergeCell ref="OX20:OY20"/>
    <mergeCell ref="OZ20:PA20"/>
    <mergeCell ref="PB20:PC20"/>
    <mergeCell ref="PD20:PE20"/>
    <mergeCell ref="PF20:PG20"/>
    <mergeCell ref="MP21:MQ21"/>
    <mergeCell ref="MR21:MS21"/>
    <mergeCell ref="MT21:MU21"/>
    <mergeCell ref="MV21:MW21"/>
    <mergeCell ref="MX21:MY21"/>
    <mergeCell ref="MZ21:NA21"/>
    <mergeCell ref="NB21:NC21"/>
    <mergeCell ref="ND21:NE21"/>
    <mergeCell ref="NF21:NG21"/>
    <mergeCell ref="NH21:NI21"/>
    <mergeCell ref="NJ21:NK21"/>
    <mergeCell ref="NL21:NM21"/>
    <mergeCell ref="NR21:NS21"/>
    <mergeCell ref="NT21:NU21"/>
    <mergeCell ref="NV21:NW21"/>
    <mergeCell ref="NX21:NY21"/>
    <mergeCell ref="NZ21:OA21"/>
    <mergeCell ref="OB21:OC21"/>
    <mergeCell ref="OD21:OE21"/>
    <mergeCell ref="OF21:OG21"/>
    <mergeCell ref="OH21:OI21"/>
    <mergeCell ref="OJ21:OK21"/>
    <mergeCell ref="OL21:OM21"/>
    <mergeCell ref="ON21:OO21"/>
    <mergeCell ref="OP21:OQ21"/>
    <mergeCell ref="NH29:NI29"/>
    <mergeCell ref="MP1:MQ1"/>
    <mergeCell ref="MR1:MS1"/>
    <mergeCell ref="MT1:MU1"/>
    <mergeCell ref="MV1:MW1"/>
    <mergeCell ref="MX1:MY1"/>
    <mergeCell ref="MZ1:NA1"/>
    <mergeCell ref="NB1:NC1"/>
    <mergeCell ref="ND1:NE1"/>
    <mergeCell ref="NF1:NG1"/>
    <mergeCell ref="NH1:NI1"/>
    <mergeCell ref="NJ1:NK1"/>
    <mergeCell ref="NL1:NM1"/>
    <mergeCell ref="NN1:NO1"/>
    <mergeCell ref="MP30:MQ30"/>
    <mergeCell ref="MR30:MS30"/>
    <mergeCell ref="MT30:MU30"/>
    <mergeCell ref="MV30:MW30"/>
    <mergeCell ref="MX30:MY30"/>
    <mergeCell ref="MZ30:NA30"/>
    <mergeCell ref="NB30:NC30"/>
    <mergeCell ref="ND30:NE30"/>
    <mergeCell ref="NF30:NG30"/>
    <mergeCell ref="NH30:NI30"/>
    <mergeCell ref="NJ30:NK30"/>
    <mergeCell ref="NL30:NM30"/>
    <mergeCell ref="NN30:NO30"/>
    <mergeCell ref="ND29:NE29"/>
    <mergeCell ref="NB17:NC17"/>
    <mergeCell ref="ND17:NE17"/>
    <mergeCell ref="NF17:NG17"/>
    <mergeCell ref="NB18:NC18"/>
    <mergeCell ref="ND18:NE18"/>
    <mergeCell ref="NF18:NG18"/>
    <mergeCell ref="NJ18:NK18"/>
    <mergeCell ref="NF29:NG29"/>
    <mergeCell ref="MX19:MY19"/>
    <mergeCell ref="MZ19:NA19"/>
    <mergeCell ref="NB19:NC19"/>
    <mergeCell ref="MT17:MU17"/>
    <mergeCell ref="MV17:MW17"/>
    <mergeCell ref="MX17:MY17"/>
    <mergeCell ref="MZ17:NA17"/>
    <mergeCell ref="NJ29:NK29"/>
    <mergeCell ref="KN70:KO70"/>
    <mergeCell ref="KP70:KQ70"/>
    <mergeCell ref="KR70:KS70"/>
    <mergeCell ref="KT70:KU70"/>
    <mergeCell ref="KV70:KW70"/>
    <mergeCell ref="KX70:KY70"/>
    <mergeCell ref="KZ70:LA70"/>
    <mergeCell ref="LB70:LC70"/>
    <mergeCell ref="JN40:JO40"/>
    <mergeCell ref="JP40:JQ40"/>
    <mergeCell ref="JR40:JS40"/>
    <mergeCell ref="JT40:JU40"/>
    <mergeCell ref="JV40:JW40"/>
    <mergeCell ref="JX40:JY40"/>
    <mergeCell ref="JZ40:KA40"/>
    <mergeCell ref="KB40:KC40"/>
    <mergeCell ref="KD40:KE40"/>
    <mergeCell ref="KF40:KG40"/>
    <mergeCell ref="KH40:KI40"/>
    <mergeCell ref="KJ40:KK40"/>
    <mergeCell ref="KL40:KM40"/>
    <mergeCell ref="NN18:NO18"/>
    <mergeCell ref="JN30:JO30"/>
    <mergeCell ref="JP30:JQ30"/>
    <mergeCell ref="JR30:JS30"/>
    <mergeCell ref="JT30:JU30"/>
    <mergeCell ref="JV30:JW30"/>
    <mergeCell ref="JX30:JY30"/>
    <mergeCell ref="JZ30:KA30"/>
    <mergeCell ref="KB30:KC30"/>
    <mergeCell ref="KD30:KE30"/>
    <mergeCell ref="KF30:KG30"/>
    <mergeCell ref="KH30:KI30"/>
    <mergeCell ref="KJ30:KK30"/>
    <mergeCell ref="KL30:KM30"/>
    <mergeCell ref="KN30:KO30"/>
    <mergeCell ref="KP30:KQ30"/>
    <mergeCell ref="KR30:KS30"/>
    <mergeCell ref="KT30:KU30"/>
    <mergeCell ref="KV30:KW30"/>
    <mergeCell ref="KX30:KY30"/>
    <mergeCell ref="KZ30:LA30"/>
    <mergeCell ref="LB30:LC30"/>
    <mergeCell ref="LD30:LE30"/>
    <mergeCell ref="LF30:LG30"/>
    <mergeCell ref="LH30:LI30"/>
    <mergeCell ref="LJ30:LK30"/>
    <mergeCell ref="LL30:LM30"/>
    <mergeCell ref="LN30:LO30"/>
    <mergeCell ref="LP30:LQ30"/>
    <mergeCell ref="LR30:LS30"/>
    <mergeCell ref="LT30:LU30"/>
    <mergeCell ref="LV30:LW30"/>
    <mergeCell ref="LX30:LY30"/>
    <mergeCell ref="NJ32:NK32"/>
    <mergeCell ref="NJ33:NK33"/>
    <mergeCell ref="NH34:NI34"/>
    <mergeCell ref="NJ34:NK34"/>
    <mergeCell ref="NJ35:NK35"/>
    <mergeCell ref="NB29:NC29"/>
    <mergeCell ref="LZ30:MA30"/>
    <mergeCell ref="MB30:MC30"/>
    <mergeCell ref="MD20:ME20"/>
    <mergeCell ref="MF20:MG20"/>
    <mergeCell ref="NB79:NC79"/>
    <mergeCell ref="MZ84:NA84"/>
    <mergeCell ref="NB84:NC84"/>
    <mergeCell ref="MZ82:NA82"/>
    <mergeCell ref="NB82:NC82"/>
    <mergeCell ref="MZ83:NA83"/>
    <mergeCell ref="NB83:NC83"/>
    <mergeCell ref="MZ85:NA85"/>
    <mergeCell ref="NB85:NC85"/>
    <mergeCell ref="KH70:KI70"/>
    <mergeCell ref="ML49:MM49"/>
    <mergeCell ref="MN49:MO49"/>
    <mergeCell ref="ML50:MM50"/>
    <mergeCell ref="MN50:MO50"/>
    <mergeCell ref="ML51:MM51"/>
    <mergeCell ref="MN51:MO51"/>
    <mergeCell ref="ML52:MM52"/>
    <mergeCell ref="MN52:MO52"/>
    <mergeCell ref="ML53:MM53"/>
    <mergeCell ref="MN53:MO53"/>
    <mergeCell ref="ML54:MM54"/>
    <mergeCell ref="MN54:MO54"/>
    <mergeCell ref="LD28:LE28"/>
    <mergeCell ref="LF70:LG70"/>
    <mergeCell ref="LH70:LI70"/>
    <mergeCell ref="LJ70:LK70"/>
    <mergeCell ref="NH63:NI63"/>
    <mergeCell ref="NF64:NG64"/>
    <mergeCell ref="NH64:NI64"/>
    <mergeCell ref="NH65:NI65"/>
    <mergeCell ref="MN29:MO29"/>
    <mergeCell ref="MP29:MQ29"/>
    <mergeCell ref="MR29:MS29"/>
    <mergeCell ref="MT29:MU29"/>
    <mergeCell ref="MV29:MW29"/>
    <mergeCell ref="MX29:MY29"/>
    <mergeCell ref="MZ29:NA29"/>
    <mergeCell ref="MZ65:NA65"/>
    <mergeCell ref="MX66:MY66"/>
    <mergeCell ref="MZ66:NA66"/>
    <mergeCell ref="MX67:MY67"/>
    <mergeCell ref="MZ67:NA67"/>
    <mergeCell ref="MX68:MY68"/>
    <mergeCell ref="MZ68:NA68"/>
    <mergeCell ref="MX69:MY69"/>
    <mergeCell ref="MZ69:NA69"/>
    <mergeCell ref="MZ37:NA37"/>
    <mergeCell ref="MD30:ME30"/>
    <mergeCell ref="MF30:MG30"/>
    <mergeCell ref="MH30:MI30"/>
    <mergeCell ref="MJ30:MK30"/>
    <mergeCell ref="ML30:MM30"/>
    <mergeCell ref="MN30:MO30"/>
    <mergeCell ref="NB35:NC35"/>
    <mergeCell ref="MB29:MC29"/>
    <mergeCell ref="MH29:MI29"/>
    <mergeCell ref="MJ29:MK29"/>
    <mergeCell ref="ML29:MM29"/>
    <mergeCell ref="NF31:NG31"/>
    <mergeCell ref="NH31:NI31"/>
    <mergeCell ref="NF32:NG32"/>
    <mergeCell ref="NH32:NI32"/>
    <mergeCell ref="KJ70:KK70"/>
    <mergeCell ref="KL70:KM70"/>
    <mergeCell ref="LD70:LE70"/>
    <mergeCell ref="JN31:JO31"/>
    <mergeCell ref="JP31:JQ31"/>
    <mergeCell ref="JR31:JS31"/>
    <mergeCell ref="JT31:JU31"/>
    <mergeCell ref="JV31:JW31"/>
    <mergeCell ref="JX31:JY31"/>
    <mergeCell ref="JZ31:KA31"/>
    <mergeCell ref="KB31:KC31"/>
    <mergeCell ref="KD31:KE31"/>
    <mergeCell ref="KN132:KO132"/>
    <mergeCell ref="ND71:NE71"/>
    <mergeCell ref="NF71:NG71"/>
    <mergeCell ref="KL31:KM31"/>
    <mergeCell ref="KN31:KO31"/>
    <mergeCell ref="MN71:MO71"/>
    <mergeCell ref="JX88:JY88"/>
    <mergeCell ref="JZ88:KA88"/>
    <mergeCell ref="KB88:KC88"/>
    <mergeCell ref="KD88:KE88"/>
    <mergeCell ref="KF88:KG88"/>
    <mergeCell ref="KH88:KI88"/>
    <mergeCell ref="KJ88:KK88"/>
    <mergeCell ref="KL88:KM88"/>
    <mergeCell ref="KN88:KO88"/>
    <mergeCell ref="KP88:KQ88"/>
    <mergeCell ref="LF148:LG148"/>
    <mergeCell ref="LH148:LI148"/>
    <mergeCell ref="LJ148:LK148"/>
    <mergeCell ref="LF164:LG164"/>
    <mergeCell ref="LH164:LI164"/>
    <mergeCell ref="LJ164:LK164"/>
    <mergeCell ref="KP148:KQ148"/>
    <mergeCell ref="KR148:KS148"/>
    <mergeCell ref="KT148:KU148"/>
    <mergeCell ref="KV148:KW148"/>
    <mergeCell ref="KX148:KY148"/>
    <mergeCell ref="KZ148:LA148"/>
    <mergeCell ref="LB148:LC148"/>
    <mergeCell ref="LD148:LE148"/>
    <mergeCell ref="JN164:JO164"/>
    <mergeCell ref="JP164:JQ164"/>
    <mergeCell ref="JR164:JS164"/>
    <mergeCell ref="NB37:NC37"/>
    <mergeCell ref="MZ38:NA38"/>
    <mergeCell ref="NB38:NC38"/>
    <mergeCell ref="MZ39:NA39"/>
    <mergeCell ref="NB39:NC39"/>
    <mergeCell ref="NB71:NC71"/>
    <mergeCell ref="MZ78:NA78"/>
    <mergeCell ref="NB78:NC78"/>
    <mergeCell ref="MZ74:NA74"/>
    <mergeCell ref="NB74:NC74"/>
    <mergeCell ref="MZ75:NA75"/>
    <mergeCell ref="NB75:NC75"/>
    <mergeCell ref="MZ76:NA76"/>
    <mergeCell ref="NB76:NC76"/>
    <mergeCell ref="MZ77:NA77"/>
    <mergeCell ref="NB77:NC77"/>
    <mergeCell ref="MZ80:NA80"/>
    <mergeCell ref="NB80:NC80"/>
    <mergeCell ref="MZ81:NA81"/>
    <mergeCell ref="NB81:NC81"/>
    <mergeCell ref="MZ79:NA79"/>
    <mergeCell ref="LN1:LO1"/>
    <mergeCell ref="LP1:LQ1"/>
    <mergeCell ref="LR1:LS1"/>
    <mergeCell ref="LT1:LU1"/>
    <mergeCell ref="LV1:LW1"/>
    <mergeCell ref="LX1:LY1"/>
    <mergeCell ref="LZ1:MA1"/>
    <mergeCell ref="MB1:MC1"/>
    <mergeCell ref="MD1:ME1"/>
    <mergeCell ref="MF1:MG1"/>
    <mergeCell ref="MP111:MQ111"/>
    <mergeCell ref="MR124:MS124"/>
    <mergeCell ref="MT124:MU124"/>
    <mergeCell ref="MV124:MW124"/>
    <mergeCell ref="JR177:JS177"/>
    <mergeCell ref="KN1:KO1"/>
    <mergeCell ref="KP1:KQ1"/>
    <mergeCell ref="KR1:KS1"/>
    <mergeCell ref="KT1:KU1"/>
    <mergeCell ref="KV1:KW1"/>
    <mergeCell ref="KX1:KY1"/>
    <mergeCell ref="KZ1:LA1"/>
    <mergeCell ref="LB1:LC1"/>
    <mergeCell ref="LD1:LE1"/>
    <mergeCell ref="JN28:JO28"/>
    <mergeCell ref="JP28:JQ28"/>
    <mergeCell ref="JR28:JS28"/>
    <mergeCell ref="JT28:JU28"/>
    <mergeCell ref="JV28:JW28"/>
    <mergeCell ref="JX28:JY28"/>
    <mergeCell ref="JZ28:KA28"/>
    <mergeCell ref="JN1:JO1"/>
    <mergeCell ref="JP1:JQ1"/>
    <mergeCell ref="JR1:JS1"/>
    <mergeCell ref="JT1:JU1"/>
    <mergeCell ref="JV1:JW1"/>
    <mergeCell ref="JX1:JY1"/>
    <mergeCell ref="JN166:JO166"/>
    <mergeCell ref="JZ1:KA1"/>
    <mergeCell ref="KB1:KC1"/>
    <mergeCell ref="KD1:KE1"/>
    <mergeCell ref="KF1:KG1"/>
    <mergeCell ref="KH1:KI1"/>
    <mergeCell ref="KJ1:KK1"/>
    <mergeCell ref="KL1:KM1"/>
    <mergeCell ref="JN88:JO88"/>
    <mergeCell ref="JP88:JQ88"/>
    <mergeCell ref="JR88:JS88"/>
    <mergeCell ref="JT88:JU88"/>
    <mergeCell ref="JV88:JW88"/>
    <mergeCell ref="KB28:KC28"/>
    <mergeCell ref="KD28:KE28"/>
    <mergeCell ref="KF28:KG28"/>
    <mergeCell ref="KH28:KI28"/>
    <mergeCell ref="KJ28:KK28"/>
    <mergeCell ref="KL28:KM28"/>
    <mergeCell ref="KN28:KO28"/>
    <mergeCell ref="KP28:KQ28"/>
    <mergeCell ref="KR28:KS28"/>
    <mergeCell ref="KT28:KU28"/>
    <mergeCell ref="KV28:KW28"/>
    <mergeCell ref="KX28:KY28"/>
    <mergeCell ref="KZ28:LA28"/>
    <mergeCell ref="LB28:LC28"/>
    <mergeCell ref="JZ151:KA151"/>
    <mergeCell ref="KB151:KC151"/>
    <mergeCell ref="KD151:KE151"/>
    <mergeCell ref="KF151:KG151"/>
    <mergeCell ref="KH151:KI151"/>
    <mergeCell ref="KJ151:KK151"/>
    <mergeCell ref="KL151:KM151"/>
    <mergeCell ref="KN151:KO151"/>
    <mergeCell ref="KN164:KO164"/>
    <mergeCell ref="KR154:KS154"/>
    <mergeCell ref="KT154:KU154"/>
    <mergeCell ref="KV154:KW154"/>
    <mergeCell ref="KF31:KG31"/>
    <mergeCell ref="KH31:KI31"/>
    <mergeCell ref="KJ31:KK31"/>
    <mergeCell ref="KP31:KQ31"/>
    <mergeCell ref="KH136:KI136"/>
    <mergeCell ref="KJ132:KK132"/>
    <mergeCell ref="MP71:MQ71"/>
    <mergeCell ref="MR71:MS71"/>
    <mergeCell ref="MT71:MU71"/>
    <mergeCell ref="MV71:MW71"/>
    <mergeCell ref="MX71:MY71"/>
    <mergeCell ref="MZ71:NA71"/>
    <mergeCell ref="MX72:MY72"/>
    <mergeCell ref="MZ72:NA72"/>
    <mergeCell ref="MX73:MY73"/>
    <mergeCell ref="MZ73:NA73"/>
    <mergeCell ref="JN57:JO57"/>
    <mergeCell ref="JP57:JQ57"/>
    <mergeCell ref="LF1:LG1"/>
    <mergeCell ref="LH1:LI1"/>
    <mergeCell ref="LJ1:LK1"/>
    <mergeCell ref="JN70:JO70"/>
    <mergeCell ref="JP70:JQ70"/>
    <mergeCell ref="JR70:JS70"/>
    <mergeCell ref="JT70:JU70"/>
    <mergeCell ref="JV70:JW70"/>
    <mergeCell ref="JX70:JY70"/>
    <mergeCell ref="JZ70:KA70"/>
    <mergeCell ref="KB70:KC70"/>
    <mergeCell ref="KD70:KE70"/>
    <mergeCell ref="KF70:KG70"/>
    <mergeCell ref="MN1:MO1"/>
    <mergeCell ref="MF41:MG41"/>
    <mergeCell ref="MH41:MI41"/>
    <mergeCell ref="MJ41:MK41"/>
    <mergeCell ref="ML41:MM41"/>
    <mergeCell ref="MN41:MO41"/>
    <mergeCell ref="ML42:MM42"/>
    <mergeCell ref="MN42:MO42"/>
    <mergeCell ref="ML43:MM43"/>
    <mergeCell ref="MN43:MO43"/>
    <mergeCell ref="ML44:MM44"/>
    <mergeCell ref="MN44:MO44"/>
    <mergeCell ref="ML45:MM45"/>
    <mergeCell ref="MN45:MO45"/>
    <mergeCell ref="ML46:MM46"/>
    <mergeCell ref="MN46:MO46"/>
    <mergeCell ref="ML47:MM47"/>
    <mergeCell ref="MN47:MO47"/>
    <mergeCell ref="ML48:MM48"/>
    <mergeCell ref="MN48:MO48"/>
    <mergeCell ref="LL1:LM1"/>
    <mergeCell ref="LB149:LC149"/>
    <mergeCell ref="LD149:LE149"/>
    <mergeCell ref="JN154:JO154"/>
    <mergeCell ref="JP154:JQ154"/>
    <mergeCell ref="JR154:JS154"/>
    <mergeCell ref="JT154:JU154"/>
    <mergeCell ref="JV154:JW154"/>
    <mergeCell ref="JX154:JY154"/>
    <mergeCell ref="JZ154:KA154"/>
    <mergeCell ref="KB154:KC154"/>
    <mergeCell ref="KD154:KE154"/>
    <mergeCell ref="KF154:KG154"/>
    <mergeCell ref="KL132:KM132"/>
    <mergeCell ref="MH1:MI1"/>
    <mergeCell ref="MJ1:MK1"/>
    <mergeCell ref="ML1:MM1"/>
    <mergeCell ref="ML71:MM71"/>
    <mergeCell ref="KP154:KQ154"/>
    <mergeCell ref="JN180:JO180"/>
    <mergeCell ref="JV123:JW123"/>
    <mergeCell ref="JX123:JY123"/>
    <mergeCell ref="JZ123:KA123"/>
    <mergeCell ref="KB123:KC123"/>
    <mergeCell ref="KD123:KE123"/>
    <mergeCell ref="KF123:KG123"/>
    <mergeCell ref="KH123:KI123"/>
    <mergeCell ref="KJ123:KK123"/>
    <mergeCell ref="KL123:KM123"/>
    <mergeCell ref="KN123:KO123"/>
    <mergeCell ref="KP123:KQ123"/>
    <mergeCell ref="KR123:KS123"/>
    <mergeCell ref="KT123:KU123"/>
    <mergeCell ref="KV123:KW123"/>
    <mergeCell ref="KX123:KY123"/>
    <mergeCell ref="KZ123:LA123"/>
    <mergeCell ref="LB123:LC123"/>
    <mergeCell ref="LD123:LE123"/>
    <mergeCell ref="JZ167:KA167"/>
    <mergeCell ref="KB167:KC167"/>
    <mergeCell ref="JT149:JU149"/>
    <mergeCell ref="JX168:JY168"/>
    <mergeCell ref="JZ168:KA168"/>
    <mergeCell ref="KB168:KC168"/>
    <mergeCell ref="KD168:KE168"/>
    <mergeCell ref="KF168:KG168"/>
    <mergeCell ref="KH168:KI168"/>
    <mergeCell ref="KJ168:KK168"/>
    <mergeCell ref="KL168:KM168"/>
    <mergeCell ref="KN168:KO168"/>
    <mergeCell ref="KP168:KQ168"/>
    <mergeCell ref="KR168:KS168"/>
    <mergeCell ref="JV149:JW149"/>
    <mergeCell ref="JX149:JY149"/>
    <mergeCell ref="JZ149:KA149"/>
    <mergeCell ref="KB149:KC149"/>
    <mergeCell ref="KD149:KE149"/>
    <mergeCell ref="KF149:KG149"/>
    <mergeCell ref="KH149:KI149"/>
    <mergeCell ref="KJ149:KK149"/>
    <mergeCell ref="KL149:KM149"/>
    <mergeCell ref="KN149:KO149"/>
    <mergeCell ref="KP165:KQ165"/>
    <mergeCell ref="KR165:KS165"/>
    <mergeCell ref="KT165:KU165"/>
    <mergeCell ref="LB174:LC174"/>
    <mergeCell ref="LD174:LE174"/>
    <mergeCell ref="KB175:KC175"/>
    <mergeCell ref="KB177:KC177"/>
    <mergeCell ref="KD177:KE177"/>
    <mergeCell ref="KF177:KG177"/>
    <mergeCell ref="KH177:KI177"/>
    <mergeCell ref="KJ177:KK177"/>
    <mergeCell ref="KT177:KU177"/>
    <mergeCell ref="KX154:KY154"/>
    <mergeCell ref="KZ154:LA154"/>
    <mergeCell ref="LB154:LC154"/>
    <mergeCell ref="LD154:LE154"/>
    <mergeCell ref="JT164:JU164"/>
    <mergeCell ref="JV164:JW164"/>
    <mergeCell ref="KN165:KO165"/>
    <mergeCell ref="JR148:JS148"/>
    <mergeCell ref="JP148:JQ148"/>
    <mergeCell ref="JT169:JU169"/>
    <mergeCell ref="JN169:JO169"/>
    <mergeCell ref="JV180:JW180"/>
    <mergeCell ref="JX180:JY180"/>
    <mergeCell ref="KP164:KQ164"/>
    <mergeCell ref="KR164:KS164"/>
    <mergeCell ref="KT164:KU164"/>
    <mergeCell ref="JR126:JS126"/>
    <mergeCell ref="KV164:KW164"/>
    <mergeCell ref="KX164:KY164"/>
    <mergeCell ref="KZ164:LA164"/>
    <mergeCell ref="LB164:LC164"/>
    <mergeCell ref="LD164:LE164"/>
    <mergeCell ref="JX155:JY155"/>
    <mergeCell ref="JZ155:KA155"/>
    <mergeCell ref="JR129:JS129"/>
    <mergeCell ref="JN137:JO137"/>
    <mergeCell ref="JN132:JO132"/>
    <mergeCell ref="JP132:JQ132"/>
    <mergeCell ref="JR132:JS132"/>
    <mergeCell ref="JT132:JU132"/>
    <mergeCell ref="JV132:JW132"/>
    <mergeCell ref="KN178:KO178"/>
    <mergeCell ref="JN165:JO165"/>
    <mergeCell ref="KX178:KY178"/>
    <mergeCell ref="KZ178:LA178"/>
    <mergeCell ref="LB178:LC178"/>
    <mergeCell ref="LD178:LE178"/>
    <mergeCell ref="KF180:KG180"/>
    <mergeCell ref="KH180:KI180"/>
    <mergeCell ref="KJ180:KK180"/>
    <mergeCell ref="JN136:JO136"/>
    <mergeCell ref="JP136:JQ136"/>
    <mergeCell ref="JR136:JS136"/>
    <mergeCell ref="JT136:JU136"/>
    <mergeCell ref="JV136:JW136"/>
    <mergeCell ref="JX136:JY136"/>
    <mergeCell ref="KP149:KQ149"/>
    <mergeCell ref="KR149:KS149"/>
    <mergeCell ref="KT149:KU149"/>
    <mergeCell ref="KV149:KW149"/>
    <mergeCell ref="KX149:KY149"/>
    <mergeCell ref="KZ149:LA149"/>
    <mergeCell ref="KV166:KW166"/>
    <mergeCell ref="KX166:KY166"/>
    <mergeCell ref="KZ166:LA166"/>
    <mergeCell ref="LB166:LC166"/>
    <mergeCell ref="LD166:LE166"/>
    <mergeCell ref="KD167:KE167"/>
    <mergeCell ref="KF167:KG167"/>
    <mergeCell ref="KH167:KI167"/>
    <mergeCell ref="KJ167:KK167"/>
    <mergeCell ref="KL167:KM167"/>
    <mergeCell ref="KN167:KO167"/>
    <mergeCell ref="KP167:KQ167"/>
    <mergeCell ref="KR167:KS167"/>
    <mergeCell ref="KT167:KU167"/>
    <mergeCell ref="KV167:KW167"/>
    <mergeCell ref="KX167:KY167"/>
    <mergeCell ref="KZ167:LA167"/>
    <mergeCell ref="LB167:LC167"/>
    <mergeCell ref="LD167:LE167"/>
    <mergeCell ref="KX165:KY165"/>
    <mergeCell ref="KZ165:LA165"/>
    <mergeCell ref="LB165:LC165"/>
    <mergeCell ref="LD165:LE165"/>
    <mergeCell ref="JR166:JS166"/>
    <mergeCell ref="JT166:JU166"/>
    <mergeCell ref="JV166:JW166"/>
    <mergeCell ref="JX166:JY166"/>
    <mergeCell ref="JZ166:KA166"/>
    <mergeCell ref="KV171:KW171"/>
    <mergeCell ref="KX171:KY171"/>
    <mergeCell ref="KZ171:LA171"/>
    <mergeCell ref="LB171:LC171"/>
    <mergeCell ref="LD171:LE171"/>
    <mergeCell ref="JV165:JW165"/>
    <mergeCell ref="JX165:JY165"/>
    <mergeCell ref="JZ165:KA165"/>
    <mergeCell ref="KB165:KC165"/>
    <mergeCell ref="KD165:KE165"/>
    <mergeCell ref="KF165:KG165"/>
    <mergeCell ref="KB166:KC166"/>
    <mergeCell ref="KD166:KE166"/>
    <mergeCell ref="KF166:KG166"/>
    <mergeCell ref="KH166:KI166"/>
    <mergeCell ref="KJ166:KK166"/>
    <mergeCell ref="JX171:JY171"/>
    <mergeCell ref="KF171:KG171"/>
    <mergeCell ref="KH171:KI171"/>
    <mergeCell ref="KJ171:KK171"/>
    <mergeCell ref="KJ165:KK165"/>
    <mergeCell ref="JX167:JY167"/>
    <mergeCell ref="KV165:KW165"/>
    <mergeCell ref="KL165:KM165"/>
    <mergeCell ref="KB170:KC170"/>
    <mergeCell ref="KD170:KE170"/>
    <mergeCell ref="KF170:KG170"/>
    <mergeCell ref="KH170:KI170"/>
    <mergeCell ref="KJ170:KK170"/>
    <mergeCell ref="KL170:KM170"/>
    <mergeCell ref="KN170:KO170"/>
    <mergeCell ref="KP170:KQ170"/>
    <mergeCell ref="KR170:KS170"/>
    <mergeCell ref="KT170:KU170"/>
    <mergeCell ref="KV170:KW170"/>
    <mergeCell ref="KX170:KY170"/>
    <mergeCell ref="KZ170:LA170"/>
    <mergeCell ref="LB170:LC170"/>
    <mergeCell ref="LD170:LE170"/>
    <mergeCell ref="JP166:JQ166"/>
    <mergeCell ref="KN154:KO154"/>
    <mergeCell ref="JZ177:KA177"/>
    <mergeCell ref="JZ180:KA180"/>
    <mergeCell ref="JD151:JE151"/>
    <mergeCell ref="IZ151:JA151"/>
    <mergeCell ref="KN166:KO166"/>
    <mergeCell ref="KP166:KQ166"/>
    <mergeCell ref="KR166:KS166"/>
    <mergeCell ref="KT166:KU166"/>
    <mergeCell ref="KL171:KM171"/>
    <mergeCell ref="KN171:KO171"/>
    <mergeCell ref="KP171:KQ171"/>
    <mergeCell ref="KR171:KS171"/>
    <mergeCell ref="KT171:KU171"/>
    <mergeCell ref="JB174:JC174"/>
    <mergeCell ref="IT174:IU174"/>
    <mergeCell ref="KB172:KC172"/>
    <mergeCell ref="KD172:KE172"/>
    <mergeCell ref="KF172:KG172"/>
    <mergeCell ref="KH172:KI172"/>
    <mergeCell ref="KJ172:KK172"/>
    <mergeCell ref="KL172:KM172"/>
    <mergeCell ref="KN172:KO172"/>
    <mergeCell ref="KP172:KQ172"/>
    <mergeCell ref="KR172:KS172"/>
    <mergeCell ref="KT172:KU172"/>
    <mergeCell ref="KB174:KC174"/>
    <mergeCell ref="KD174:KE174"/>
    <mergeCell ref="KF174:KG174"/>
    <mergeCell ref="KH174:KI174"/>
    <mergeCell ref="KJ174:KK174"/>
    <mergeCell ref="KL174:KM174"/>
    <mergeCell ref="KN174:KO174"/>
    <mergeCell ref="KP174:KQ174"/>
    <mergeCell ref="KR174:KS174"/>
    <mergeCell ref="KT174:KU174"/>
    <mergeCell ref="KB176:KC176"/>
    <mergeCell ref="KD180:KE180"/>
    <mergeCell ref="KL177:KM177"/>
    <mergeCell ref="KN177:KO177"/>
    <mergeCell ref="KP177:KQ177"/>
    <mergeCell ref="KR177:KS177"/>
    <mergeCell ref="JT168:JU168"/>
    <mergeCell ref="JN178:JO178"/>
    <mergeCell ref="JP178:JQ178"/>
    <mergeCell ref="KF162:KG162"/>
    <mergeCell ref="KH162:KI162"/>
    <mergeCell ref="KJ162:KK162"/>
    <mergeCell ref="KL162:KM162"/>
    <mergeCell ref="KN162:KO162"/>
    <mergeCell ref="KP162:KQ162"/>
    <mergeCell ref="KR162:KS162"/>
    <mergeCell ref="KT162:KU162"/>
    <mergeCell ref="JN175:JO175"/>
    <mergeCell ref="JP175:JQ175"/>
    <mergeCell ref="KL180:KM180"/>
    <mergeCell ref="KN180:KO180"/>
    <mergeCell ref="KP180:KQ180"/>
    <mergeCell ref="KR180:KS180"/>
    <mergeCell ref="KT180:KU180"/>
    <mergeCell ref="KH155:KI155"/>
    <mergeCell ref="KP178:KQ178"/>
    <mergeCell ref="KR178:KS178"/>
    <mergeCell ref="JN173:JO173"/>
    <mergeCell ref="JP173:JQ173"/>
    <mergeCell ref="JT173:JU173"/>
    <mergeCell ref="KL155:KM155"/>
    <mergeCell ref="JL138:JM138"/>
    <mergeCell ref="JL146:JM146"/>
    <mergeCell ref="JL144:JM144"/>
    <mergeCell ref="JJ158:JK158"/>
    <mergeCell ref="KB155:KC155"/>
    <mergeCell ref="KD155:KE155"/>
    <mergeCell ref="JX164:JY164"/>
    <mergeCell ref="JZ164:KA164"/>
    <mergeCell ref="KB164:KC164"/>
    <mergeCell ref="KD164:KE164"/>
    <mergeCell ref="KF164:KG164"/>
    <mergeCell ref="KH164:KI164"/>
    <mergeCell ref="KJ164:KK164"/>
    <mergeCell ref="KL164:KM164"/>
    <mergeCell ref="JL168:JM168"/>
    <mergeCell ref="KL166:KM166"/>
    <mergeCell ref="JH150:JI150"/>
    <mergeCell ref="JJ150:JK150"/>
    <mergeCell ref="KH154:KI154"/>
    <mergeCell ref="KH165:KI165"/>
    <mergeCell ref="KJ154:KK154"/>
    <mergeCell ref="KL154:KM154"/>
    <mergeCell ref="JF171:JG171"/>
    <mergeCell ref="JL167:JM167"/>
    <mergeCell ref="JV168:JW168"/>
    <mergeCell ref="JP165:JQ165"/>
    <mergeCell ref="JR165:JS165"/>
    <mergeCell ref="JT165:JU165"/>
    <mergeCell ref="JR169:JS169"/>
    <mergeCell ref="JH171:JI171"/>
    <mergeCell ref="JL163:JM163"/>
    <mergeCell ref="JH159:JI159"/>
    <mergeCell ref="JF156:JG156"/>
    <mergeCell ref="JL161:JM161"/>
    <mergeCell ref="KB171:KC171"/>
    <mergeCell ref="KD171:KE171"/>
    <mergeCell ref="JV171:JW171"/>
    <mergeCell ref="JN162:JO162"/>
    <mergeCell ref="JP162:JQ162"/>
    <mergeCell ref="JR162:JS162"/>
    <mergeCell ref="JT162:JU162"/>
    <mergeCell ref="JV162:JW162"/>
    <mergeCell ref="JH153:JI153"/>
    <mergeCell ref="JX162:JY162"/>
    <mergeCell ref="JZ162:KA162"/>
    <mergeCell ref="KB162:KC162"/>
    <mergeCell ref="KD162:KE162"/>
    <mergeCell ref="JJ165:JK165"/>
    <mergeCell ref="JF167:JG167"/>
    <mergeCell ref="JH167:JI167"/>
    <mergeCell ref="JJ167:JK167"/>
    <mergeCell ref="JH165:JI165"/>
    <mergeCell ref="JP155:JQ155"/>
    <mergeCell ref="JR155:JS155"/>
    <mergeCell ref="JT171:JU171"/>
    <mergeCell ref="JR171:JS171"/>
    <mergeCell ref="KJ155:KK155"/>
    <mergeCell ref="JN139:JO139"/>
    <mergeCell ref="JP139:JQ139"/>
    <mergeCell ref="JR139:JS139"/>
    <mergeCell ref="JR151:JS151"/>
    <mergeCell ref="JT151:JU151"/>
    <mergeCell ref="KF155:KG155"/>
    <mergeCell ref="JV151:JW151"/>
    <mergeCell ref="JX151:JY151"/>
    <mergeCell ref="JN151:JO151"/>
    <mergeCell ref="JP180:JQ180"/>
    <mergeCell ref="JV177:JW177"/>
    <mergeCell ref="JX177:JY177"/>
    <mergeCell ref="JR173:JS173"/>
    <mergeCell ref="JL171:JM171"/>
    <mergeCell ref="JN170:JO170"/>
    <mergeCell ref="JP170:JQ170"/>
    <mergeCell ref="JR170:JS170"/>
    <mergeCell ref="JT170:JU170"/>
    <mergeCell ref="JV170:JW170"/>
    <mergeCell ref="JX170:JY170"/>
    <mergeCell ref="JZ170:KA170"/>
    <mergeCell ref="JN174:JO174"/>
    <mergeCell ref="JP174:JQ174"/>
    <mergeCell ref="JR174:JS174"/>
    <mergeCell ref="JT174:JU174"/>
    <mergeCell ref="JV174:JW174"/>
    <mergeCell ref="JX174:JY174"/>
    <mergeCell ref="JZ171:KA171"/>
    <mergeCell ref="JJ176:JK176"/>
    <mergeCell ref="JL176:JM176"/>
    <mergeCell ref="JN176:JO176"/>
    <mergeCell ref="JP176:JQ176"/>
    <mergeCell ref="JR176:JS176"/>
    <mergeCell ref="JT176:JU176"/>
    <mergeCell ref="JV176:JW176"/>
    <mergeCell ref="JX176:JY176"/>
    <mergeCell ref="JZ176:KA176"/>
    <mergeCell ref="JZ174:KA174"/>
    <mergeCell ref="JZ178:KA178"/>
    <mergeCell ref="JX178:JY178"/>
    <mergeCell ref="JR168:JS168"/>
    <mergeCell ref="JN168:JO168"/>
    <mergeCell ref="JP168:JQ168"/>
    <mergeCell ref="JP169:JQ169"/>
    <mergeCell ref="JN172:JO172"/>
    <mergeCell ref="JP172:JQ172"/>
    <mergeCell ref="JR172:JS172"/>
    <mergeCell ref="JT172:JU172"/>
    <mergeCell ref="JV172:JW172"/>
    <mergeCell ref="JX172:JY172"/>
    <mergeCell ref="JZ172:KA172"/>
    <mergeCell ref="JT177:JU177"/>
    <mergeCell ref="JJ174:JK174"/>
    <mergeCell ref="JL174:JM174"/>
    <mergeCell ref="JR175:JS175"/>
    <mergeCell ref="JT175:JU175"/>
    <mergeCell ref="JT178:JU178"/>
    <mergeCell ref="JV178:JW178"/>
    <mergeCell ref="JR180:JS180"/>
    <mergeCell ref="JT180:JU180"/>
    <mergeCell ref="JP177:JQ177"/>
    <mergeCell ref="JN177:JO177"/>
    <mergeCell ref="JP171:JQ171"/>
    <mergeCell ref="JJ180:JK180"/>
    <mergeCell ref="JV175:JW175"/>
    <mergeCell ref="JX175:JY175"/>
    <mergeCell ref="JZ175:KA175"/>
    <mergeCell ref="IN129:IO129"/>
    <mergeCell ref="IN133:IO133"/>
    <mergeCell ref="IV119:IW119"/>
    <mergeCell ref="IV132:IW132"/>
    <mergeCell ref="JL133:JM133"/>
    <mergeCell ref="JP117:JQ117"/>
    <mergeCell ref="KN155:KO155"/>
    <mergeCell ref="KP155:KQ155"/>
    <mergeCell ref="KR155:KS155"/>
    <mergeCell ref="KT155:KU155"/>
    <mergeCell ref="KV155:KW155"/>
    <mergeCell ref="KX155:KY155"/>
    <mergeCell ref="KZ155:LA155"/>
    <mergeCell ref="LB155:LC155"/>
    <mergeCell ref="LD155:LE155"/>
    <mergeCell ref="JT155:JU155"/>
    <mergeCell ref="JV155:JW155"/>
    <mergeCell ref="IP153:IQ153"/>
    <mergeCell ref="IJ155:IK155"/>
    <mergeCell ref="IJ132:IK132"/>
    <mergeCell ref="KP136:KQ136"/>
    <mergeCell ref="KR136:KS136"/>
    <mergeCell ref="KT136:KU136"/>
    <mergeCell ref="KV136:KW136"/>
    <mergeCell ref="KX136:KY136"/>
    <mergeCell ref="KZ136:LA136"/>
    <mergeCell ref="LB136:LC136"/>
    <mergeCell ref="LD136:LE136"/>
    <mergeCell ref="JN148:JO148"/>
    <mergeCell ref="JV148:JW148"/>
    <mergeCell ref="JX148:JY148"/>
    <mergeCell ref="JZ148:KA148"/>
    <mergeCell ref="KB148:KC148"/>
    <mergeCell ref="KD148:KE148"/>
    <mergeCell ref="JN150:JO150"/>
    <mergeCell ref="JP150:JQ150"/>
    <mergeCell ref="JR150:JS150"/>
    <mergeCell ref="JT150:JU150"/>
    <mergeCell ref="JT148:JU148"/>
    <mergeCell ref="IL148:IM148"/>
    <mergeCell ref="KL148:KM148"/>
    <mergeCell ref="KN148:KO148"/>
    <mergeCell ref="JZ136:KA136"/>
    <mergeCell ref="KB136:KC136"/>
    <mergeCell ref="KD136:KE136"/>
    <mergeCell ref="IR143:IS143"/>
    <mergeCell ref="IJ142:IK142"/>
    <mergeCell ref="IP142:IQ142"/>
    <mergeCell ref="KF148:KG148"/>
    <mergeCell ref="KH148:KI148"/>
    <mergeCell ref="KJ148:KK148"/>
    <mergeCell ref="KJ136:KK136"/>
    <mergeCell ref="KL136:KM136"/>
    <mergeCell ref="KN136:KO136"/>
    <mergeCell ref="KF136:KG136"/>
    <mergeCell ref="JX132:JY132"/>
    <mergeCell ref="JZ132:KA132"/>
    <mergeCell ref="KB132:KC132"/>
    <mergeCell ref="KD132:KE132"/>
    <mergeCell ref="KF132:KG132"/>
    <mergeCell ref="KH132:KI132"/>
    <mergeCell ref="JP151:JQ151"/>
    <mergeCell ref="JJ141:JK141"/>
    <mergeCell ref="JL149:JM149"/>
    <mergeCell ref="JP123:JQ123"/>
    <mergeCell ref="JR123:JS123"/>
    <mergeCell ref="IR119:IS119"/>
    <mergeCell ref="IV123:IW123"/>
    <mergeCell ref="IX118:IY118"/>
    <mergeCell ref="IX121:IY121"/>
    <mergeCell ref="IP117:IQ117"/>
    <mergeCell ref="IX124:IY124"/>
    <mergeCell ref="IZ124:JA124"/>
    <mergeCell ref="JB124:JC124"/>
    <mergeCell ref="JD124:JE124"/>
    <mergeCell ref="JR120:JS120"/>
    <mergeCell ref="IV120:IW120"/>
    <mergeCell ref="JN120:JO120"/>
    <mergeCell ref="IH120:II120"/>
    <mergeCell ref="IH119:II119"/>
    <mergeCell ref="IJ118:IK118"/>
    <mergeCell ref="IL120:IM120"/>
    <mergeCell ref="IN120:IO120"/>
    <mergeCell ref="IV121:IW121"/>
    <mergeCell ref="IT119:IU119"/>
    <mergeCell ref="IT118:IU118"/>
    <mergeCell ref="IJ125:IK125"/>
    <mergeCell ref="IR127:IS127"/>
    <mergeCell ref="JB123:JC123"/>
    <mergeCell ref="JD123:JE123"/>
    <mergeCell ref="JD128:JE128"/>
    <mergeCell ref="IV128:IW128"/>
    <mergeCell ref="IX126:IY126"/>
    <mergeCell ref="IV126:IW126"/>
    <mergeCell ref="IV124:IW124"/>
    <mergeCell ref="IN124:IO124"/>
    <mergeCell ref="IP124:IQ124"/>
    <mergeCell ref="IP123:IQ123"/>
    <mergeCell ref="IP122:IQ122"/>
    <mergeCell ref="IR124:IS124"/>
    <mergeCell ref="IL121:IM121"/>
    <mergeCell ref="IL127:IM127"/>
    <mergeCell ref="IR123:IS123"/>
    <mergeCell ref="IT122:IU122"/>
    <mergeCell ref="JL125:JM125"/>
    <mergeCell ref="IZ126:JA126"/>
    <mergeCell ref="JJ122:JK122"/>
    <mergeCell ref="IN126:IO126"/>
    <mergeCell ref="JR117:JS117"/>
    <mergeCell ref="IJ126:IK126"/>
    <mergeCell ref="IX119:IY119"/>
    <mergeCell ref="IZ120:JA120"/>
    <mergeCell ref="JL119:JM119"/>
    <mergeCell ref="JV139:JW139"/>
    <mergeCell ref="JX139:JY139"/>
    <mergeCell ref="JN143:JO143"/>
    <mergeCell ref="JP143:JQ143"/>
    <mergeCell ref="JR143:JS143"/>
    <mergeCell ref="JT143:JU143"/>
    <mergeCell ref="JV143:JW143"/>
    <mergeCell ref="JX143:JY143"/>
    <mergeCell ref="JN147:JO147"/>
    <mergeCell ref="JP147:JQ147"/>
    <mergeCell ref="JR147:JS147"/>
    <mergeCell ref="JT147:JU147"/>
    <mergeCell ref="JV147:JW147"/>
    <mergeCell ref="JX147:JY147"/>
    <mergeCell ref="JT126:JU126"/>
    <mergeCell ref="JN129:JO129"/>
    <mergeCell ref="JP129:JQ129"/>
    <mergeCell ref="IZ130:JA130"/>
    <mergeCell ref="JB130:JC130"/>
    <mergeCell ref="JD130:JE130"/>
    <mergeCell ref="JD126:JE126"/>
    <mergeCell ref="JJ139:JK139"/>
    <mergeCell ref="JL131:JM131"/>
    <mergeCell ref="IZ132:JA132"/>
    <mergeCell ref="JH120:JI120"/>
    <mergeCell ref="JJ120:JK120"/>
    <mergeCell ref="JL120:JM120"/>
    <mergeCell ref="JF118:JG118"/>
    <mergeCell ref="JJ134:JK134"/>
    <mergeCell ref="JB137:JC137"/>
    <mergeCell ref="JJ143:JK143"/>
    <mergeCell ref="JH143:JI143"/>
    <mergeCell ref="JL145:JM145"/>
    <mergeCell ref="JL137:JM137"/>
    <mergeCell ref="JF127:JG127"/>
    <mergeCell ref="JH127:JI127"/>
    <mergeCell ref="JJ127:JK127"/>
    <mergeCell ref="JD135:JE135"/>
    <mergeCell ref="JL132:JM132"/>
    <mergeCell ref="JL118:JM118"/>
    <mergeCell ref="JF131:JG131"/>
    <mergeCell ref="JH131:JI131"/>
    <mergeCell ref="JF147:JG147"/>
    <mergeCell ref="JH147:JI147"/>
    <mergeCell ref="JL140:JM140"/>
    <mergeCell ref="JB119:JC119"/>
    <mergeCell ref="JD119:JE119"/>
    <mergeCell ref="JJ118:JK118"/>
    <mergeCell ref="JT129:JU129"/>
    <mergeCell ref="JN130:JO130"/>
    <mergeCell ref="JP130:JQ130"/>
    <mergeCell ref="JR130:JS130"/>
    <mergeCell ref="JT139:JU139"/>
    <mergeCell ref="JN123:JO123"/>
    <mergeCell ref="JH124:JI124"/>
    <mergeCell ref="JL122:JM122"/>
    <mergeCell ref="JL136:JM136"/>
    <mergeCell ref="JB135:JC135"/>
    <mergeCell ref="JT120:JU120"/>
    <mergeCell ref="JH134:JI134"/>
    <mergeCell ref="JT123:JU123"/>
    <mergeCell ref="JN126:JO126"/>
    <mergeCell ref="JP126:JQ126"/>
    <mergeCell ref="JJ123:JK123"/>
    <mergeCell ref="JN89:JO89"/>
    <mergeCell ref="JP89:JQ89"/>
    <mergeCell ref="JR89:JS89"/>
    <mergeCell ref="JN111:JO111"/>
    <mergeCell ref="JP111:JQ111"/>
    <mergeCell ref="JR111:JS111"/>
    <mergeCell ref="JL91:JM91"/>
    <mergeCell ref="IJ121:IK121"/>
    <mergeCell ref="IX93:IY93"/>
    <mergeCell ref="IP127:IQ127"/>
    <mergeCell ref="IT127:IU127"/>
    <mergeCell ref="IR113:IS113"/>
    <mergeCell ref="IR116:IS116"/>
    <mergeCell ref="IP115:IQ115"/>
    <mergeCell ref="IH115:II115"/>
    <mergeCell ref="IH114:II114"/>
    <mergeCell ref="JH152:JI152"/>
    <mergeCell ref="JN153:JO153"/>
    <mergeCell ref="IH153:II153"/>
    <mergeCell ref="IV152:IW152"/>
    <mergeCell ref="IH152:II152"/>
    <mergeCell ref="IL151:IM151"/>
    <mergeCell ref="IN150:IO150"/>
    <mergeCell ref="IR155:IS155"/>
    <mergeCell ref="IT156:IU156"/>
    <mergeCell ref="IV151:IW151"/>
    <mergeCell ref="IX151:IY151"/>
    <mergeCell ref="JJ149:JK149"/>
    <mergeCell ref="JD136:JE136"/>
    <mergeCell ref="IV153:IW153"/>
    <mergeCell ref="IJ139:IK139"/>
    <mergeCell ref="IT141:IU141"/>
    <mergeCell ref="IP141:IQ141"/>
    <mergeCell ref="IP143:IQ143"/>
    <mergeCell ref="IJ150:IK150"/>
    <mergeCell ref="IN146:IO146"/>
    <mergeCell ref="IL146:IM146"/>
    <mergeCell ref="IN152:IO152"/>
    <mergeCell ref="IJ151:IK151"/>
    <mergeCell ref="JP120:JQ120"/>
    <mergeCell ref="JN149:JO149"/>
    <mergeCell ref="JP149:JQ149"/>
    <mergeCell ref="JR149:JS149"/>
    <mergeCell ref="JD125:JE125"/>
    <mergeCell ref="IT129:IU129"/>
    <mergeCell ref="IV147:IW147"/>
    <mergeCell ref="IH126:II126"/>
    <mergeCell ref="IR114:IS114"/>
    <mergeCell ref="JN117:JO117"/>
    <mergeCell ref="JF134:JG134"/>
    <mergeCell ref="JD131:JE131"/>
    <mergeCell ref="IT130:IU130"/>
    <mergeCell ref="IV130:IW130"/>
    <mergeCell ref="IN135:IO135"/>
    <mergeCell ref="IR128:IS128"/>
    <mergeCell ref="IR133:IS133"/>
    <mergeCell ref="IP135:IQ135"/>
    <mergeCell ref="JF148:JG148"/>
    <mergeCell ref="JH148:JI148"/>
    <mergeCell ref="IL134:IM134"/>
    <mergeCell ref="IP132:IQ132"/>
    <mergeCell ref="IX146:IY146"/>
    <mergeCell ref="IX139:IY139"/>
    <mergeCell ref="JF139:JG139"/>
    <mergeCell ref="IJ146:IK146"/>
    <mergeCell ref="JN155:JO155"/>
    <mergeCell ref="JH161:JI161"/>
    <mergeCell ref="JJ161:JK161"/>
    <mergeCell ref="JL169:JM169"/>
    <mergeCell ref="JH144:JI144"/>
    <mergeCell ref="JJ144:JK144"/>
    <mergeCell ref="JF169:JG169"/>
    <mergeCell ref="IZ144:JA144"/>
    <mergeCell ref="JD139:JE139"/>
    <mergeCell ref="JD145:JE145"/>
    <mergeCell ref="JD167:JE167"/>
    <mergeCell ref="IR146:IS146"/>
    <mergeCell ref="IR147:IS147"/>
    <mergeCell ref="JJ140:JK140"/>
    <mergeCell ref="JF142:JG142"/>
    <mergeCell ref="JH142:JI142"/>
    <mergeCell ref="JH135:JI135"/>
    <mergeCell ref="JJ135:JK135"/>
    <mergeCell ref="IV136:IW136"/>
    <mergeCell ref="JL139:JM139"/>
    <mergeCell ref="IZ139:JA139"/>
    <mergeCell ref="JB139:JC139"/>
    <mergeCell ref="IZ136:JA136"/>
    <mergeCell ref="JB136:JC136"/>
    <mergeCell ref="JB138:JC138"/>
    <mergeCell ref="JH138:JI138"/>
    <mergeCell ref="JJ138:JK138"/>
    <mergeCell ref="JH137:JI137"/>
    <mergeCell ref="JJ137:JK137"/>
    <mergeCell ref="IP134:IQ134"/>
    <mergeCell ref="JD137:JE137"/>
    <mergeCell ref="IX137:IY137"/>
    <mergeCell ref="IR134:IS134"/>
    <mergeCell ref="IL136:IM136"/>
    <mergeCell ref="IX136:IY136"/>
    <mergeCell ref="IV138:IW138"/>
    <mergeCell ref="IX138:IY138"/>
    <mergeCell ref="IR135:IS135"/>
    <mergeCell ref="JN167:JO167"/>
    <mergeCell ref="JN163:JO163"/>
    <mergeCell ref="JB149:JC149"/>
    <mergeCell ref="IX147:IY147"/>
    <mergeCell ref="IN140:IO140"/>
    <mergeCell ref="JL134:JM134"/>
    <mergeCell ref="IJ140:IK140"/>
    <mergeCell ref="IL140:IM140"/>
    <mergeCell ref="JL155:JM155"/>
    <mergeCell ref="JF155:JG155"/>
    <mergeCell ref="JH155:JI155"/>
    <mergeCell ref="JB160:JC160"/>
    <mergeCell ref="JJ156:JK156"/>
    <mergeCell ref="IT160:IU160"/>
    <mergeCell ref="IT161:IU161"/>
    <mergeCell ref="JH136:JI136"/>
    <mergeCell ref="JJ136:JK136"/>
    <mergeCell ref="IT139:IU139"/>
    <mergeCell ref="IT140:IU140"/>
    <mergeCell ref="JD138:JE138"/>
    <mergeCell ref="IZ141:JA141"/>
    <mergeCell ref="JB141:JC141"/>
    <mergeCell ref="IV149:IW149"/>
    <mergeCell ref="IV146:IW146"/>
    <mergeCell ref="IV140:IW140"/>
    <mergeCell ref="IL145:IM145"/>
    <mergeCell ref="IH147:II147"/>
    <mergeCell ref="IX134:IY134"/>
    <mergeCell ref="JN171:JO171"/>
    <mergeCell ref="IZ168:JA168"/>
    <mergeCell ref="IX130:IY130"/>
    <mergeCell ref="IT128:IU128"/>
    <mergeCell ref="IX131:IY131"/>
    <mergeCell ref="IL158:IM158"/>
    <mergeCell ref="IZ157:JA157"/>
    <mergeCell ref="JD159:JE159"/>
    <mergeCell ref="JF159:JG159"/>
    <mergeCell ref="IV157:IW157"/>
    <mergeCell ref="IZ166:JA166"/>
    <mergeCell ref="IR130:IS130"/>
    <mergeCell ref="IJ136:IK136"/>
    <mergeCell ref="IV134:IW134"/>
    <mergeCell ref="IR170:IS170"/>
    <mergeCell ref="JL151:JM151"/>
    <mergeCell ref="IV171:IW171"/>
    <mergeCell ref="IZ153:JA153"/>
    <mergeCell ref="JJ153:JK153"/>
    <mergeCell ref="JF164:JG164"/>
    <mergeCell ref="IX152:IY152"/>
    <mergeCell ref="IZ152:JA152"/>
    <mergeCell ref="JB167:JC167"/>
    <mergeCell ref="IV158:IW158"/>
    <mergeCell ref="IT169:IU169"/>
    <mergeCell ref="IV170:IW170"/>
    <mergeCell ref="JD170:JE170"/>
    <mergeCell ref="JB171:JC171"/>
    <mergeCell ref="IZ122:JA122"/>
    <mergeCell ref="JF124:JG124"/>
    <mergeCell ref="IL126:IM126"/>
    <mergeCell ref="IP126:IQ126"/>
    <mergeCell ref="IL129:IM129"/>
    <mergeCell ref="JH125:JI125"/>
    <mergeCell ref="JJ125:JK125"/>
    <mergeCell ref="IZ133:JA133"/>
    <mergeCell ref="JH133:JI133"/>
    <mergeCell ref="JJ133:JK133"/>
    <mergeCell ref="JL156:JM156"/>
    <mergeCell ref="JB158:JC158"/>
    <mergeCell ref="IR125:IS125"/>
    <mergeCell ref="IV129:IW129"/>
    <mergeCell ref="IX129:IY129"/>
    <mergeCell ref="IT136:IU136"/>
    <mergeCell ref="JD129:JE129"/>
    <mergeCell ref="JF129:JG129"/>
    <mergeCell ref="JH129:JI129"/>
    <mergeCell ref="JJ129:JK129"/>
    <mergeCell ref="JL127:JM127"/>
    <mergeCell ref="JL129:JM129"/>
    <mergeCell ref="JF123:JG123"/>
    <mergeCell ref="IZ123:JA123"/>
    <mergeCell ref="JL130:JM130"/>
    <mergeCell ref="JB131:JC131"/>
    <mergeCell ref="JJ131:JK131"/>
    <mergeCell ref="JF130:JG130"/>
    <mergeCell ref="JH130:JI130"/>
    <mergeCell ref="IZ127:JA127"/>
    <mergeCell ref="JL126:JM126"/>
    <mergeCell ref="IR129:IS129"/>
    <mergeCell ref="JF132:JG132"/>
    <mergeCell ref="IN131:IO131"/>
    <mergeCell ref="IR132:IS132"/>
    <mergeCell ref="JB133:JC133"/>
    <mergeCell ref="IT131:IU131"/>
    <mergeCell ref="IT133:IU133"/>
    <mergeCell ref="JH118:JI118"/>
    <mergeCell ref="JJ130:JK130"/>
    <mergeCell ref="IT126:IU126"/>
    <mergeCell ref="IT124:IU124"/>
    <mergeCell ref="IT125:IU125"/>
    <mergeCell ref="JB125:JC125"/>
    <mergeCell ref="IZ129:JA129"/>
    <mergeCell ref="JB129:JC129"/>
    <mergeCell ref="IT148:IU148"/>
    <mergeCell ref="JJ152:JK152"/>
    <mergeCell ref="IX128:IY128"/>
    <mergeCell ref="JJ87:JK87"/>
    <mergeCell ref="IH146:II146"/>
    <mergeCell ref="IJ134:IK134"/>
    <mergeCell ref="IH129:II129"/>
    <mergeCell ref="IF132:IG132"/>
    <mergeCell ref="IF144:IG144"/>
    <mergeCell ref="IT120:IU120"/>
    <mergeCell ref="JH123:JI123"/>
    <mergeCell ref="JF126:JG126"/>
    <mergeCell ref="JH126:JI126"/>
    <mergeCell ref="JJ126:JK126"/>
    <mergeCell ref="JJ148:JK148"/>
    <mergeCell ref="IF94:IG94"/>
    <mergeCell ref="IH94:II94"/>
    <mergeCell ref="IJ94:IK94"/>
    <mergeCell ref="IL94:IM94"/>
    <mergeCell ref="IN94:IO94"/>
    <mergeCell ref="IP94:IQ94"/>
    <mergeCell ref="IR94:IS94"/>
    <mergeCell ref="JH96:JI96"/>
    <mergeCell ref="JJ96:JK96"/>
    <mergeCell ref="JF120:JG120"/>
    <mergeCell ref="JD99:JE99"/>
    <mergeCell ref="JF99:JG99"/>
    <mergeCell ref="JH99:JI99"/>
    <mergeCell ref="JJ99:JK99"/>
    <mergeCell ref="IV135:IW135"/>
    <mergeCell ref="IV143:IW143"/>
    <mergeCell ref="IL138:IM138"/>
    <mergeCell ref="IJ128:IK128"/>
    <mergeCell ref="IP119:IQ119"/>
    <mergeCell ref="IP116:IQ116"/>
    <mergeCell ref="IP118:IQ118"/>
    <mergeCell ref="IR118:IS118"/>
    <mergeCell ref="IJ114:IK114"/>
    <mergeCell ref="IJ120:IK120"/>
    <mergeCell ref="IR121:IS121"/>
    <mergeCell ref="IN121:IO121"/>
    <mergeCell ref="IJ119:IK119"/>
    <mergeCell ref="IR120:IS120"/>
    <mergeCell ref="IR137:IS137"/>
    <mergeCell ref="IV144:IW144"/>
    <mergeCell ref="IR122:IS122"/>
    <mergeCell ref="IN132:IO132"/>
    <mergeCell ref="IN127:IO127"/>
    <mergeCell ref="IL132:IM132"/>
    <mergeCell ref="IP137:IQ137"/>
    <mergeCell ref="IR136:IS136"/>
    <mergeCell ref="IN145:IO145"/>
    <mergeCell ref="IN141:IO141"/>
    <mergeCell ref="IN149:IO149"/>
    <mergeCell ref="IV127:IW127"/>
    <mergeCell ref="IV145:IW145"/>
    <mergeCell ref="JD147:JE147"/>
    <mergeCell ref="JB148:JC148"/>
    <mergeCell ref="IZ140:JA140"/>
    <mergeCell ref="JB140:JC140"/>
    <mergeCell ref="IT152:IU152"/>
    <mergeCell ref="IT146:IU146"/>
    <mergeCell ref="IP150:IQ150"/>
    <mergeCell ref="IV118:IW118"/>
    <mergeCell ref="IT153:IU153"/>
    <mergeCell ref="IT154:IU154"/>
    <mergeCell ref="IX148:IY148"/>
    <mergeCell ref="JF144:JG144"/>
    <mergeCell ref="JB142:JC142"/>
    <mergeCell ref="JB153:JC153"/>
    <mergeCell ref="JD153:JE153"/>
    <mergeCell ref="JD150:JE150"/>
    <mergeCell ref="JH154:JI154"/>
    <mergeCell ref="JJ128:JK128"/>
    <mergeCell ref="JL128:JM128"/>
    <mergeCell ref="IN151:IO151"/>
    <mergeCell ref="IV154:IW154"/>
    <mergeCell ref="IV125:IW125"/>
    <mergeCell ref="JJ94:JK94"/>
    <mergeCell ref="IP85:IQ85"/>
    <mergeCell ref="IT93:IU93"/>
    <mergeCell ref="IN112:IO112"/>
    <mergeCell ref="IN119:IO119"/>
    <mergeCell ref="IV139:IW139"/>
    <mergeCell ref="IV141:IW141"/>
    <mergeCell ref="IV142:IW142"/>
    <mergeCell ref="JD154:JE154"/>
    <mergeCell ref="JB151:JC151"/>
    <mergeCell ref="JH149:JI149"/>
    <mergeCell ref="JB150:JC150"/>
    <mergeCell ref="JF150:JG150"/>
    <mergeCell ref="IT150:IU150"/>
    <mergeCell ref="JF128:JG128"/>
    <mergeCell ref="IN154:IO154"/>
    <mergeCell ref="IP154:IQ154"/>
    <mergeCell ref="IX143:IY143"/>
    <mergeCell ref="IZ148:JA148"/>
    <mergeCell ref="IX149:IY149"/>
    <mergeCell ref="IZ149:JA149"/>
    <mergeCell ref="JB144:JC144"/>
    <mergeCell ref="JB128:JC128"/>
    <mergeCell ref="JD134:JE134"/>
    <mergeCell ref="JF141:JG141"/>
    <mergeCell ref="IN128:IO128"/>
    <mergeCell ref="IR131:IS131"/>
    <mergeCell ref="IR139:IS139"/>
    <mergeCell ref="IP130:IQ130"/>
    <mergeCell ref="IN134:IO134"/>
    <mergeCell ref="IP133:IQ133"/>
    <mergeCell ref="JD140:JE140"/>
    <mergeCell ref="IZ147:JA147"/>
    <mergeCell ref="IZ86:JA86"/>
    <mergeCell ref="IX127:IY127"/>
    <mergeCell ref="JD149:JE149"/>
    <mergeCell ref="IV131:IW131"/>
    <mergeCell ref="IZ146:JA146"/>
    <mergeCell ref="IX145:IY145"/>
    <mergeCell ref="IZ145:JA145"/>
    <mergeCell ref="JF145:JG145"/>
    <mergeCell ref="JB147:JC147"/>
    <mergeCell ref="JB157:JC157"/>
    <mergeCell ref="JF153:JG153"/>
    <mergeCell ref="JF146:JG146"/>
    <mergeCell ref="IZ138:JA138"/>
    <mergeCell ref="JD158:JE158"/>
    <mergeCell ref="JD157:JE157"/>
    <mergeCell ref="JJ157:JK157"/>
    <mergeCell ref="JD142:JE142"/>
    <mergeCell ref="IZ142:JA142"/>
    <mergeCell ref="JD152:JE152"/>
    <mergeCell ref="JF152:JG152"/>
    <mergeCell ref="IZ143:JA143"/>
    <mergeCell ref="JB143:JC143"/>
    <mergeCell ref="JD143:JE143"/>
    <mergeCell ref="JD165:JE165"/>
    <mergeCell ref="JL162:JM162"/>
    <mergeCell ref="IP148:IQ148"/>
    <mergeCell ref="JJ91:JK91"/>
    <mergeCell ref="IP155:IQ155"/>
    <mergeCell ref="IV137:IW137"/>
    <mergeCell ref="IP125:IQ125"/>
    <mergeCell ref="IX141:IY141"/>
    <mergeCell ref="JB126:JC126"/>
    <mergeCell ref="JB127:JC127"/>
    <mergeCell ref="JD127:JE127"/>
    <mergeCell ref="IP138:IQ138"/>
    <mergeCell ref="IR138:IS138"/>
    <mergeCell ref="JD133:JE133"/>
    <mergeCell ref="IX133:IY133"/>
    <mergeCell ref="IT144:IU144"/>
    <mergeCell ref="IP121:IQ121"/>
    <mergeCell ref="IR126:IS126"/>
    <mergeCell ref="JD111:JE111"/>
    <mergeCell ref="JF111:JG111"/>
    <mergeCell ref="IX120:IY120"/>
    <mergeCell ref="JD121:JE121"/>
    <mergeCell ref="JH132:JI132"/>
    <mergeCell ref="JL135:JM135"/>
    <mergeCell ref="IZ128:JA128"/>
    <mergeCell ref="IZ131:JA131"/>
    <mergeCell ref="JJ132:JK132"/>
    <mergeCell ref="IT132:IU132"/>
    <mergeCell ref="IT134:IU134"/>
    <mergeCell ref="JL143:JM143"/>
    <mergeCell ref="JJ142:JK142"/>
    <mergeCell ref="JL142:JM142"/>
    <mergeCell ref="IR144:IS144"/>
    <mergeCell ref="IV111:IW111"/>
    <mergeCell ref="IX111:IY111"/>
    <mergeCell ref="IZ111:JA111"/>
    <mergeCell ref="IP102:IQ102"/>
    <mergeCell ref="IR102:IS102"/>
    <mergeCell ref="JD117:JE117"/>
    <mergeCell ref="JD116:JE116"/>
    <mergeCell ref="JB117:JC117"/>
    <mergeCell ref="JF113:JG113"/>
    <mergeCell ref="JH113:JI113"/>
    <mergeCell ref="IZ159:JA159"/>
    <mergeCell ref="JF162:JG162"/>
    <mergeCell ref="IP140:IQ140"/>
    <mergeCell ref="IP128:IQ128"/>
    <mergeCell ref="IP129:IQ129"/>
    <mergeCell ref="IP131:IQ131"/>
    <mergeCell ref="IT135:IU135"/>
    <mergeCell ref="IN160:IO160"/>
    <mergeCell ref="IN161:IO161"/>
    <mergeCell ref="JF138:JG138"/>
    <mergeCell ref="JB146:JC146"/>
    <mergeCell ref="JD146:JE146"/>
    <mergeCell ref="IV133:IW133"/>
    <mergeCell ref="JH146:JI146"/>
    <mergeCell ref="JH164:JI164"/>
    <mergeCell ref="IT137:IU137"/>
    <mergeCell ref="IT138:IU138"/>
    <mergeCell ref="IT143:IU143"/>
    <mergeCell ref="IT145:IU145"/>
    <mergeCell ref="IJ164:IK164"/>
    <mergeCell ref="IN164:IO164"/>
    <mergeCell ref="JD141:JE141"/>
    <mergeCell ref="JL141:JM141"/>
    <mergeCell ref="IN130:IO130"/>
    <mergeCell ref="IN158:IO158"/>
    <mergeCell ref="IX158:IY158"/>
    <mergeCell ref="IL159:IM159"/>
    <mergeCell ref="IJ137:IK137"/>
    <mergeCell ref="JD164:JE164"/>
    <mergeCell ref="JB159:JC159"/>
    <mergeCell ref="JF160:JG160"/>
    <mergeCell ref="JH162:JI162"/>
    <mergeCell ref="IL160:IM160"/>
    <mergeCell ref="IL141:IM141"/>
    <mergeCell ref="JF135:JG135"/>
    <mergeCell ref="JF137:JG137"/>
    <mergeCell ref="JF136:JG136"/>
    <mergeCell ref="JB134:JC134"/>
    <mergeCell ref="IX142:IY142"/>
    <mergeCell ref="IV155:IW155"/>
    <mergeCell ref="IJ154:IK154"/>
    <mergeCell ref="IR153:IS153"/>
    <mergeCell ref="IX154:IY154"/>
    <mergeCell ref="IR162:IS162"/>
    <mergeCell ref="IN148:IO148"/>
    <mergeCell ref="IP147:IQ147"/>
    <mergeCell ref="IV164:IW164"/>
    <mergeCell ref="JD132:JE132"/>
    <mergeCell ref="IZ134:JA134"/>
    <mergeCell ref="JJ146:JK146"/>
    <mergeCell ref="JF143:JG143"/>
    <mergeCell ref="JH128:JI128"/>
    <mergeCell ref="IT162:IU162"/>
    <mergeCell ref="IP156:IQ156"/>
    <mergeCell ref="IL156:IM156"/>
    <mergeCell ref="IN153:IO153"/>
    <mergeCell ref="JF158:JG158"/>
    <mergeCell ref="IL150:IM150"/>
    <mergeCell ref="IR141:IS141"/>
    <mergeCell ref="IT142:IU142"/>
    <mergeCell ref="IV150:IW150"/>
    <mergeCell ref="IR158:IS158"/>
    <mergeCell ref="IP151:IQ151"/>
    <mergeCell ref="JB155:JC155"/>
    <mergeCell ref="IR142:IS142"/>
    <mergeCell ref="IR150:IS150"/>
    <mergeCell ref="IR82:IS82"/>
    <mergeCell ref="HV120:HW120"/>
    <mergeCell ref="IP87:IQ87"/>
    <mergeCell ref="JF87:JG87"/>
    <mergeCell ref="IT85:IU85"/>
    <mergeCell ref="IZ87:JA87"/>
    <mergeCell ref="IX87:IY87"/>
    <mergeCell ref="IR84:IS84"/>
    <mergeCell ref="IH87:II87"/>
    <mergeCell ref="IJ87:IK87"/>
    <mergeCell ref="IL86:IM86"/>
    <mergeCell ref="IR86:IS86"/>
    <mergeCell ref="JB89:JC89"/>
    <mergeCell ref="JD89:JE89"/>
    <mergeCell ref="IP86:IQ86"/>
    <mergeCell ref="IT89:IU89"/>
    <mergeCell ref="IR115:IS115"/>
    <mergeCell ref="IR89:IS89"/>
    <mergeCell ref="JB86:JC86"/>
    <mergeCell ref="JD86:JE86"/>
    <mergeCell ref="JF86:JG86"/>
    <mergeCell ref="IV93:IW93"/>
    <mergeCell ref="IR91:IS91"/>
    <mergeCell ref="IT91:IU91"/>
    <mergeCell ref="IV91:IW91"/>
    <mergeCell ref="IP89:IQ89"/>
    <mergeCell ref="IH88:II88"/>
    <mergeCell ref="IT88:IU88"/>
    <mergeCell ref="IP84:IQ84"/>
    <mergeCell ref="IT86:IU86"/>
    <mergeCell ref="IV86:IW86"/>
    <mergeCell ref="JF92:JG92"/>
    <mergeCell ref="IV85:IW85"/>
    <mergeCell ref="IN89:IO89"/>
    <mergeCell ref="IF115:IG115"/>
    <mergeCell ref="IN83:IO83"/>
    <mergeCell ref="IN84:IO84"/>
    <mergeCell ref="IB114:IC114"/>
    <mergeCell ref="ID114:IE114"/>
    <mergeCell ref="IP91:IQ91"/>
    <mergeCell ref="IV89:IW89"/>
    <mergeCell ref="IX89:IY89"/>
    <mergeCell ref="IR88:IS88"/>
    <mergeCell ref="JF91:JG91"/>
    <mergeCell ref="IH118:II118"/>
    <mergeCell ref="IL119:IM119"/>
    <mergeCell ref="IN116:IO116"/>
    <mergeCell ref="IJ117:IK117"/>
    <mergeCell ref="IL117:IM117"/>
    <mergeCell ref="JB118:JC118"/>
    <mergeCell ref="JD118:JE118"/>
    <mergeCell ref="IZ119:JA119"/>
    <mergeCell ref="ID117:IE117"/>
    <mergeCell ref="HZ106:IA106"/>
    <mergeCell ref="IB106:IC106"/>
    <mergeCell ref="IR111:IS111"/>
    <mergeCell ref="IR117:IS117"/>
    <mergeCell ref="IL115:IM115"/>
    <mergeCell ref="IT99:IU99"/>
    <mergeCell ref="IV99:IW99"/>
    <mergeCell ref="IX99:IY99"/>
    <mergeCell ref="IZ99:JA99"/>
    <mergeCell ref="JB99:JC99"/>
    <mergeCell ref="IR85:IS85"/>
    <mergeCell ref="IP83:IQ83"/>
    <mergeCell ref="IT87:IU87"/>
    <mergeCell ref="IV87:IW87"/>
    <mergeCell ref="GZ119:HA119"/>
    <mergeCell ref="HF115:HG115"/>
    <mergeCell ref="HJ117:HK117"/>
    <mergeCell ref="HN117:HO117"/>
    <mergeCell ref="HT111:HU111"/>
    <mergeCell ref="HP85:HQ85"/>
    <mergeCell ref="IL114:IM114"/>
    <mergeCell ref="IL112:IM112"/>
    <mergeCell ref="IL113:IM113"/>
    <mergeCell ref="IN91:IO91"/>
    <mergeCell ref="ID106:IE106"/>
    <mergeCell ref="IF106:IG106"/>
    <mergeCell ref="IH106:II106"/>
    <mergeCell ref="IJ106:IK106"/>
    <mergeCell ref="IL106:IM106"/>
    <mergeCell ref="IN106:IO106"/>
    <mergeCell ref="IP106:IQ106"/>
    <mergeCell ref="IR106:IS106"/>
    <mergeCell ref="IT106:IU106"/>
    <mergeCell ref="IV106:IW106"/>
    <mergeCell ref="IP95:IQ95"/>
    <mergeCell ref="IR95:IS95"/>
    <mergeCell ref="IT95:IU95"/>
    <mergeCell ref="IV95:IW95"/>
    <mergeCell ref="GZ96:HA96"/>
    <mergeCell ref="HB96:HC96"/>
    <mergeCell ref="HD96:HE96"/>
    <mergeCell ref="HF96:HG96"/>
    <mergeCell ref="HH96:HI96"/>
    <mergeCell ref="HJ96:HK96"/>
    <mergeCell ref="HL96:HM96"/>
    <mergeCell ref="HN96:HO96"/>
    <mergeCell ref="HP96:HQ96"/>
    <mergeCell ref="HR96:HS96"/>
    <mergeCell ref="IN96:IO96"/>
    <mergeCell ref="IP96:IQ96"/>
    <mergeCell ref="IR96:IS96"/>
    <mergeCell ref="IT96:IU96"/>
    <mergeCell ref="IV96:IW96"/>
    <mergeCell ref="IN99:IO99"/>
    <mergeCell ref="IP99:IQ99"/>
    <mergeCell ref="IR83:IS83"/>
    <mergeCell ref="HF114:HG114"/>
    <mergeCell ref="HJ114:HK114"/>
    <mergeCell ref="HL114:HM114"/>
    <mergeCell ref="HJ115:HK115"/>
    <mergeCell ref="ID83:IE83"/>
    <mergeCell ref="IR87:IS87"/>
    <mergeCell ref="IP88:IQ88"/>
    <mergeCell ref="IF119:IG119"/>
    <mergeCell ref="IN117:IO117"/>
    <mergeCell ref="IN113:IO113"/>
    <mergeCell ref="IJ113:IK113"/>
    <mergeCell ref="IR112:IS112"/>
    <mergeCell ref="GZ94:HA94"/>
    <mergeCell ref="HB94:HC94"/>
    <mergeCell ref="HD94:HE94"/>
    <mergeCell ref="HF94:HG94"/>
    <mergeCell ref="HH94:HI94"/>
    <mergeCell ref="HJ94:HK94"/>
    <mergeCell ref="HL94:HM94"/>
    <mergeCell ref="IF90:IG90"/>
    <mergeCell ref="IH90:II90"/>
    <mergeCell ref="IJ90:IK90"/>
    <mergeCell ref="IL90:IM90"/>
    <mergeCell ref="IN90:IO90"/>
    <mergeCell ref="IP90:IQ90"/>
    <mergeCell ref="IR90:IS90"/>
    <mergeCell ref="IN122:IO122"/>
    <mergeCell ref="ID120:IE120"/>
    <mergeCell ref="ID118:IE118"/>
    <mergeCell ref="IN118:IO118"/>
    <mergeCell ref="IF121:IG121"/>
    <mergeCell ref="HZ122:IA122"/>
    <mergeCell ref="IL124:IM124"/>
    <mergeCell ref="IH111:II111"/>
    <mergeCell ref="IF111:IG111"/>
    <mergeCell ref="IN125:IO125"/>
    <mergeCell ref="IN123:IO123"/>
    <mergeCell ref="IB125:IC125"/>
    <mergeCell ref="HZ119:IA119"/>
    <mergeCell ref="IH122:II122"/>
    <mergeCell ref="IF118:IG118"/>
    <mergeCell ref="ID122:IE122"/>
    <mergeCell ref="IB111:IC111"/>
    <mergeCell ref="IB94:IC94"/>
    <mergeCell ref="IB121:IC121"/>
    <mergeCell ref="IH121:II121"/>
    <mergeCell ref="IP120:IQ120"/>
    <mergeCell ref="IB120:IC120"/>
    <mergeCell ref="IL118:IM118"/>
    <mergeCell ref="IB99:IC99"/>
    <mergeCell ref="ID99:IE99"/>
    <mergeCell ref="IF99:IG99"/>
    <mergeCell ref="IH99:II99"/>
    <mergeCell ref="IJ99:IK99"/>
    <mergeCell ref="IL99:IM99"/>
    <mergeCell ref="IN100:IO100"/>
    <mergeCell ref="IP100:IQ100"/>
    <mergeCell ref="IR100:IS100"/>
    <mergeCell ref="IH116:II116"/>
    <mergeCell ref="IJ112:IK112"/>
    <mergeCell ref="IF125:IG125"/>
    <mergeCell ref="IF116:IG116"/>
    <mergeCell ref="HZ102:IA102"/>
    <mergeCell ref="IB102:IC102"/>
    <mergeCell ref="ID102:IE102"/>
    <mergeCell ref="IH102:II102"/>
    <mergeCell ref="IJ102:IK102"/>
    <mergeCell ref="ID111:IE111"/>
    <mergeCell ref="ID113:IE113"/>
    <mergeCell ref="IN102:IO102"/>
    <mergeCell ref="ID116:IE116"/>
    <mergeCell ref="IL111:IM111"/>
    <mergeCell ref="IB101:IC101"/>
    <mergeCell ref="ID101:IE101"/>
    <mergeCell ref="IF101:IG101"/>
    <mergeCell ref="IH101:II101"/>
    <mergeCell ref="IJ101:IK101"/>
    <mergeCell ref="IL101:IM101"/>
    <mergeCell ref="IN101:IO101"/>
    <mergeCell ref="IP101:IQ101"/>
    <mergeCell ref="IR101:IS101"/>
    <mergeCell ref="HZ114:IA114"/>
    <mergeCell ref="IP113:IQ113"/>
    <mergeCell ref="IB133:IC133"/>
    <mergeCell ref="HZ132:IA132"/>
    <mergeCell ref="IF135:IG135"/>
    <mergeCell ref="HX123:HY123"/>
    <mergeCell ref="HV121:HW121"/>
    <mergeCell ref="IB131:IC131"/>
    <mergeCell ref="IJ123:IK123"/>
    <mergeCell ref="HZ118:IA118"/>
    <mergeCell ref="IB118:IC118"/>
    <mergeCell ref="IJ135:IK135"/>
    <mergeCell ref="IL135:IM135"/>
    <mergeCell ref="IH131:II131"/>
    <mergeCell ref="IF131:IG131"/>
    <mergeCell ref="IH127:II127"/>
    <mergeCell ref="IH128:II128"/>
    <mergeCell ref="IH135:II135"/>
    <mergeCell ref="IH134:II134"/>
    <mergeCell ref="IB128:IC128"/>
    <mergeCell ref="IF134:IG134"/>
    <mergeCell ref="ID125:IE125"/>
    <mergeCell ref="IL130:IM130"/>
    <mergeCell ref="IH123:II123"/>
    <mergeCell ref="ID123:IE123"/>
    <mergeCell ref="ID133:IE133"/>
    <mergeCell ref="HZ134:IA134"/>
    <mergeCell ref="ID135:IE135"/>
    <mergeCell ref="HZ123:IA123"/>
    <mergeCell ref="HZ121:IA121"/>
    <mergeCell ref="IL123:IM123"/>
    <mergeCell ref="IF128:IG128"/>
    <mergeCell ref="HV122:HW122"/>
    <mergeCell ref="IB129:IC129"/>
    <mergeCell ref="IB122:IC122"/>
    <mergeCell ref="IF123:IG123"/>
    <mergeCell ref="IB135:IC135"/>
    <mergeCell ref="HV135:HW135"/>
    <mergeCell ref="ID129:IE129"/>
    <mergeCell ref="IF130:IG130"/>
    <mergeCell ref="ID130:IE130"/>
    <mergeCell ref="HX127:HY127"/>
    <mergeCell ref="HX120:HY120"/>
    <mergeCell ref="ID119:IE119"/>
    <mergeCell ref="HV119:HW119"/>
    <mergeCell ref="IL131:IM131"/>
    <mergeCell ref="HZ133:IA133"/>
    <mergeCell ref="IL133:IM133"/>
    <mergeCell ref="IH125:II125"/>
    <mergeCell ref="HX124:HY124"/>
    <mergeCell ref="HV126:HW126"/>
    <mergeCell ref="IL142:IM142"/>
    <mergeCell ref="IJ147:IK147"/>
    <mergeCell ref="IL137:IM137"/>
    <mergeCell ref="IN156:IO156"/>
    <mergeCell ref="IH155:II155"/>
    <mergeCell ref="IB136:IC136"/>
    <mergeCell ref="HX133:HY133"/>
    <mergeCell ref="IB127:IC127"/>
    <mergeCell ref="HX132:HY132"/>
    <mergeCell ref="HX119:HY119"/>
    <mergeCell ref="HZ130:IA130"/>
    <mergeCell ref="IJ131:IK131"/>
    <mergeCell ref="HZ124:IA124"/>
    <mergeCell ref="IJ129:IK129"/>
    <mergeCell ref="HV131:HW131"/>
    <mergeCell ref="ID134:IE134"/>
    <mergeCell ref="IJ133:IK133"/>
    <mergeCell ref="ID124:IE124"/>
    <mergeCell ref="IL122:IM122"/>
    <mergeCell ref="IF122:IG122"/>
    <mergeCell ref="IL125:IM125"/>
    <mergeCell ref="ID121:IE121"/>
    <mergeCell ref="ID132:IE132"/>
    <mergeCell ref="HV134:HW134"/>
    <mergeCell ref="HV132:HW132"/>
    <mergeCell ref="IB119:IC119"/>
    <mergeCell ref="IB130:IC130"/>
    <mergeCell ref="HX121:HY121"/>
    <mergeCell ref="IH133:II133"/>
    <mergeCell ref="IF127:IG127"/>
    <mergeCell ref="IF124:IG124"/>
    <mergeCell ref="IH124:II124"/>
    <mergeCell ref="HZ128:IA128"/>
    <mergeCell ref="IJ124:IK124"/>
    <mergeCell ref="IJ122:IK122"/>
    <mergeCell ref="IB124:IC124"/>
    <mergeCell ref="IJ127:IK127"/>
    <mergeCell ref="ID126:IE126"/>
    <mergeCell ref="HZ126:IA126"/>
    <mergeCell ref="HZ135:IA135"/>
    <mergeCell ref="IF129:IG129"/>
    <mergeCell ref="HX136:HY136"/>
    <mergeCell ref="IF120:IG120"/>
    <mergeCell ref="ID127:IE127"/>
    <mergeCell ref="IB123:IC123"/>
    <mergeCell ref="ID131:IE131"/>
    <mergeCell ref="HX131:HY131"/>
    <mergeCell ref="IB134:IC134"/>
    <mergeCell ref="HV128:HW128"/>
    <mergeCell ref="HV127:HW127"/>
    <mergeCell ref="IB126:IC126"/>
    <mergeCell ref="HZ127:IA127"/>
    <mergeCell ref="HZ129:IA129"/>
    <mergeCell ref="HV130:HW130"/>
    <mergeCell ref="IH132:II132"/>
    <mergeCell ref="IL128:IM128"/>
    <mergeCell ref="IF133:IG133"/>
    <mergeCell ref="HV133:HW133"/>
    <mergeCell ref="IB132:IC132"/>
    <mergeCell ref="ID128:IE128"/>
    <mergeCell ref="IF126:IG126"/>
    <mergeCell ref="IH130:II130"/>
    <mergeCell ref="IJ130:IK130"/>
    <mergeCell ref="HX135:HY135"/>
    <mergeCell ref="IJ145:IK145"/>
    <mergeCell ref="IH151:II151"/>
    <mergeCell ref="IJ143:IK143"/>
    <mergeCell ref="IB150:IC150"/>
    <mergeCell ref="HV138:HW138"/>
    <mergeCell ref="IP139:IQ139"/>
    <mergeCell ref="IN138:IO138"/>
    <mergeCell ref="IB144:IC144"/>
    <mergeCell ref="ID136:IE136"/>
    <mergeCell ref="HZ144:IA144"/>
    <mergeCell ref="HZ137:IA137"/>
    <mergeCell ref="IJ141:IK141"/>
    <mergeCell ref="IJ138:IK138"/>
    <mergeCell ref="IJ157:IK157"/>
    <mergeCell ref="ID138:IE138"/>
    <mergeCell ref="IH143:II143"/>
    <mergeCell ref="IR145:IS145"/>
    <mergeCell ref="HZ139:IA139"/>
    <mergeCell ref="IF156:IG156"/>
    <mergeCell ref="IR152:IS152"/>
    <mergeCell ref="IH136:II136"/>
    <mergeCell ref="IH138:II138"/>
    <mergeCell ref="IF138:IG138"/>
    <mergeCell ref="ID153:IE153"/>
    <mergeCell ref="IH141:II141"/>
    <mergeCell ref="IN137:IO137"/>
    <mergeCell ref="IF141:IG141"/>
    <mergeCell ref="IB141:IC141"/>
    <mergeCell ref="IL147:IM147"/>
    <mergeCell ref="ID155:IE155"/>
    <mergeCell ref="ID157:IE157"/>
    <mergeCell ref="HZ147:IA147"/>
    <mergeCell ref="HZ141:IA141"/>
    <mergeCell ref="IR156:IS156"/>
    <mergeCell ref="IF149:IG149"/>
    <mergeCell ref="IF145:IG145"/>
    <mergeCell ref="HZ145:IA145"/>
    <mergeCell ref="IF146:IG146"/>
    <mergeCell ref="IN155:IO155"/>
    <mergeCell ref="IL139:IM139"/>
    <mergeCell ref="IL152:IM152"/>
    <mergeCell ref="IF142:IG142"/>
    <mergeCell ref="IH157:II157"/>
    <mergeCell ref="IB149:IC149"/>
    <mergeCell ref="IB143:IC143"/>
    <mergeCell ref="IL143:IM143"/>
    <mergeCell ref="IB142:IC142"/>
    <mergeCell ref="IR149:IS149"/>
    <mergeCell ref="IR140:IS140"/>
    <mergeCell ref="HZ136:IA136"/>
    <mergeCell ref="IH144:II144"/>
    <mergeCell ref="HZ146:IA146"/>
    <mergeCell ref="IN136:IO136"/>
    <mergeCell ref="IB138:IC138"/>
    <mergeCell ref="HZ156:IA156"/>
    <mergeCell ref="ID137:IE137"/>
    <mergeCell ref="IF136:IG136"/>
    <mergeCell ref="IF143:IG143"/>
    <mergeCell ref="IJ149:IK149"/>
    <mergeCell ref="IF147:IG147"/>
    <mergeCell ref="IB147:IC147"/>
    <mergeCell ref="IN143:IO143"/>
    <mergeCell ref="IP146:IQ146"/>
    <mergeCell ref="IP136:IQ136"/>
    <mergeCell ref="IF154:IG154"/>
    <mergeCell ref="IH154:II154"/>
    <mergeCell ref="IN166:IO166"/>
    <mergeCell ref="IP167:IQ167"/>
    <mergeCell ref="IR154:IS154"/>
    <mergeCell ref="HV140:HW140"/>
    <mergeCell ref="HV141:HW141"/>
    <mergeCell ref="HZ149:IA149"/>
    <mergeCell ref="HV154:HW154"/>
    <mergeCell ref="HX152:HY152"/>
    <mergeCell ref="HZ158:IA158"/>
    <mergeCell ref="HV152:HW152"/>
    <mergeCell ref="IT147:IU147"/>
    <mergeCell ref="ID146:IE146"/>
    <mergeCell ref="HX138:HY138"/>
    <mergeCell ref="IB137:IC137"/>
    <mergeCell ref="ID141:IE141"/>
    <mergeCell ref="IF155:IG155"/>
    <mergeCell ref="IF157:IG157"/>
    <mergeCell ref="IF140:IG140"/>
    <mergeCell ref="ID145:IE145"/>
    <mergeCell ref="ID142:IE142"/>
    <mergeCell ref="IB157:IC157"/>
    <mergeCell ref="IB154:IC154"/>
    <mergeCell ref="ID154:IE154"/>
    <mergeCell ref="IH145:II145"/>
    <mergeCell ref="ID140:IE140"/>
    <mergeCell ref="HV143:HW143"/>
    <mergeCell ref="IB139:IC139"/>
    <mergeCell ref="HV155:HW155"/>
    <mergeCell ref="IH156:II156"/>
    <mergeCell ref="IP157:IQ157"/>
    <mergeCell ref="IH140:II140"/>
    <mergeCell ref="IH142:II142"/>
    <mergeCell ref="IH148:II148"/>
    <mergeCell ref="IL153:IM153"/>
    <mergeCell ref="IN147:IO147"/>
    <mergeCell ref="IL149:IM149"/>
    <mergeCell ref="IN139:IO139"/>
    <mergeCell ref="IJ153:IK153"/>
    <mergeCell ref="HZ154:IA154"/>
    <mergeCell ref="HZ143:IA143"/>
    <mergeCell ref="ID143:IE143"/>
    <mergeCell ref="IF151:IG151"/>
    <mergeCell ref="IF153:IG153"/>
    <mergeCell ref="IP152:IQ152"/>
    <mergeCell ref="IJ152:IK152"/>
    <mergeCell ref="IJ158:IK158"/>
    <mergeCell ref="IF158:IG158"/>
    <mergeCell ref="IF152:IG152"/>
    <mergeCell ref="IF148:IG148"/>
    <mergeCell ref="IH137:II137"/>
    <mergeCell ref="IF137:IG137"/>
    <mergeCell ref="IR157:IS157"/>
    <mergeCell ref="IR151:IS151"/>
    <mergeCell ref="IL155:IM155"/>
    <mergeCell ref="IJ148:IK148"/>
    <mergeCell ref="ID156:IE156"/>
    <mergeCell ref="IF139:IG139"/>
    <mergeCell ref="IH139:II139"/>
    <mergeCell ref="HX137:HY137"/>
    <mergeCell ref="IB158:IC158"/>
    <mergeCell ref="IB140:IC140"/>
    <mergeCell ref="IN142:IO142"/>
    <mergeCell ref="IF159:IG159"/>
    <mergeCell ref="IV161:IW161"/>
    <mergeCell ref="IV167:IW167"/>
    <mergeCell ref="IV174:IW174"/>
    <mergeCell ref="IV166:IW166"/>
    <mergeCell ref="IX168:IY168"/>
    <mergeCell ref="IX169:IY169"/>
    <mergeCell ref="IJ167:IK167"/>
    <mergeCell ref="IL165:IM165"/>
    <mergeCell ref="IL161:IM161"/>
    <mergeCell ref="IJ162:IK162"/>
    <mergeCell ref="IP162:IQ162"/>
    <mergeCell ref="IN162:IO162"/>
    <mergeCell ref="IL162:IM162"/>
    <mergeCell ref="IF161:IG161"/>
    <mergeCell ref="IF162:IG162"/>
    <mergeCell ref="IR160:IS160"/>
    <mergeCell ref="IP158:IQ158"/>
    <mergeCell ref="IT155:IU155"/>
    <mergeCell ref="IJ163:IK163"/>
    <mergeCell ref="IT168:IU168"/>
    <mergeCell ref="IX160:IY160"/>
    <mergeCell ref="IX155:IY155"/>
    <mergeCell ref="IX174:IY174"/>
    <mergeCell ref="IT173:IU173"/>
    <mergeCell ref="IH164:II164"/>
    <mergeCell ref="IP166:IQ166"/>
    <mergeCell ref="IP163:IQ163"/>
    <mergeCell ref="IR165:IS165"/>
    <mergeCell ref="IR171:IS171"/>
    <mergeCell ref="IJ156:IK156"/>
    <mergeCell ref="IH162:II162"/>
    <mergeCell ref="IF164:IG164"/>
    <mergeCell ref="IF169:IG169"/>
    <mergeCell ref="IN163:IO163"/>
    <mergeCell ref="IL167:IM167"/>
    <mergeCell ref="IN165:IO165"/>
    <mergeCell ref="IL163:IM163"/>
    <mergeCell ref="IP168:IQ168"/>
    <mergeCell ref="IN170:IO170"/>
    <mergeCell ref="IR168:IS168"/>
    <mergeCell ref="IL174:IM174"/>
    <mergeCell ref="IH165:II165"/>
    <mergeCell ref="IJ170:IK170"/>
    <mergeCell ref="IH173:II173"/>
    <mergeCell ref="IN171:IO171"/>
    <mergeCell ref="IR169:IS169"/>
    <mergeCell ref="IH169:II169"/>
    <mergeCell ref="IN173:IO173"/>
    <mergeCell ref="IF170:IG170"/>
    <mergeCell ref="IX170:IY170"/>
    <mergeCell ref="IL171:IM171"/>
    <mergeCell ref="IP172:IQ172"/>
    <mergeCell ref="IJ172:IK172"/>
    <mergeCell ref="IL172:IM172"/>
    <mergeCell ref="IX167:IY167"/>
    <mergeCell ref="IF174:IG174"/>
    <mergeCell ref="IF171:IG171"/>
    <mergeCell ref="IX171:IY171"/>
    <mergeCell ref="IH170:II170"/>
    <mergeCell ref="IX166:IY166"/>
    <mergeCell ref="IX172:IY172"/>
    <mergeCell ref="IX156:IY156"/>
    <mergeCell ref="IF165:IG165"/>
    <mergeCell ref="IJ144:IK144"/>
    <mergeCell ref="IL144:IM144"/>
    <mergeCell ref="IV156:IW156"/>
    <mergeCell ref="IX161:IY161"/>
    <mergeCell ref="IX159:IY159"/>
    <mergeCell ref="IX162:IY162"/>
    <mergeCell ref="IX165:IY165"/>
    <mergeCell ref="IX157:IY157"/>
    <mergeCell ref="IR161:IS161"/>
    <mergeCell ref="IX150:IY150"/>
    <mergeCell ref="HX158:HY158"/>
    <mergeCell ref="IP149:IQ149"/>
    <mergeCell ref="IT158:IU158"/>
    <mergeCell ref="IT157:IU157"/>
    <mergeCell ref="IR159:IS159"/>
    <mergeCell ref="IJ161:IK161"/>
    <mergeCell ref="IV148:IW148"/>
    <mergeCell ref="IV160:IW160"/>
    <mergeCell ref="IX144:IY144"/>
    <mergeCell ref="IP144:IQ144"/>
    <mergeCell ref="IR148:IS148"/>
    <mergeCell ref="IP145:IQ145"/>
    <mergeCell ref="IV162:IW162"/>
    <mergeCell ref="IV163:IW163"/>
    <mergeCell ref="IN144:IO144"/>
    <mergeCell ref="IH158:II158"/>
    <mergeCell ref="IF163:IG163"/>
    <mergeCell ref="HZ151:IA151"/>
    <mergeCell ref="IB151:IC151"/>
    <mergeCell ref="ID152:IE152"/>
    <mergeCell ref="IB156:IC156"/>
    <mergeCell ref="IB152:IC152"/>
    <mergeCell ref="ID148:IE148"/>
    <mergeCell ref="HX160:HY160"/>
    <mergeCell ref="IF160:IG160"/>
    <mergeCell ref="IH160:II160"/>
    <mergeCell ref="IH159:II159"/>
    <mergeCell ref="IJ159:IK159"/>
    <mergeCell ref="IL157:IM157"/>
    <mergeCell ref="IT149:IU149"/>
    <mergeCell ref="HZ155:IA155"/>
    <mergeCell ref="IJ165:IK165"/>
    <mergeCell ref="ID159:IE159"/>
    <mergeCell ref="IT159:IU159"/>
    <mergeCell ref="IJ160:IK160"/>
    <mergeCell ref="IP160:IQ160"/>
    <mergeCell ref="HX144:HY144"/>
    <mergeCell ref="IX164:IY164"/>
    <mergeCell ref="IV159:IW159"/>
    <mergeCell ref="IP161:IQ161"/>
    <mergeCell ref="IT151:IU151"/>
    <mergeCell ref="IN157:IO157"/>
    <mergeCell ref="IT164:IU164"/>
    <mergeCell ref="IH149:II149"/>
    <mergeCell ref="HZ160:IA160"/>
    <mergeCell ref="IR163:IS163"/>
    <mergeCell ref="IT165:IU165"/>
    <mergeCell ref="IH150:II150"/>
    <mergeCell ref="IF150:IG150"/>
    <mergeCell ref="ID149:IE149"/>
    <mergeCell ref="ID158:IE158"/>
    <mergeCell ref="IN159:IO159"/>
    <mergeCell ref="IP159:IQ159"/>
    <mergeCell ref="IL154:IM154"/>
    <mergeCell ref="IT163:IU163"/>
    <mergeCell ref="IR232:IS232"/>
    <mergeCell ref="IR221:IS221"/>
    <mergeCell ref="IT167:IU167"/>
    <mergeCell ref="IT175:IU175"/>
    <mergeCell ref="IJ191:IK191"/>
    <mergeCell ref="IJ175:IK175"/>
    <mergeCell ref="IJ228:IK228"/>
    <mergeCell ref="IL182:IM182"/>
    <mergeCell ref="IN182:IO182"/>
    <mergeCell ref="IL228:IM228"/>
    <mergeCell ref="IN232:IO232"/>
    <mergeCell ref="IN167:IO167"/>
    <mergeCell ref="IJ166:IK166"/>
    <mergeCell ref="IT166:IU166"/>
    <mergeCell ref="IR174:IS174"/>
    <mergeCell ref="IJ189:IK189"/>
    <mergeCell ref="IV173:IW173"/>
    <mergeCell ref="IV232:IW232"/>
    <mergeCell ref="IP177:IQ177"/>
    <mergeCell ref="IT182:IU182"/>
    <mergeCell ref="IJ169:IK169"/>
    <mergeCell ref="IN234:IO234"/>
    <mergeCell ref="IJ242:IK242"/>
    <mergeCell ref="IN247:IO247"/>
    <mergeCell ref="IH166:II166"/>
    <mergeCell ref="IP174:IQ174"/>
    <mergeCell ref="IP173:IQ173"/>
    <mergeCell ref="IJ232:IK232"/>
    <mergeCell ref="IJ183:IK183"/>
    <mergeCell ref="IL238:IM238"/>
    <mergeCell ref="IJ195:IK195"/>
    <mergeCell ref="IR175:IS175"/>
    <mergeCell ref="IT176:IU176"/>
    <mergeCell ref="IL173:IM173"/>
    <mergeCell ref="IT172:IU172"/>
    <mergeCell ref="IT171:IU171"/>
    <mergeCell ref="IN245:IO245"/>
    <mergeCell ref="IN236:IO236"/>
    <mergeCell ref="IP180:IQ180"/>
    <mergeCell ref="IL166:IM166"/>
    <mergeCell ref="IR166:IS166"/>
    <mergeCell ref="IP171:IQ171"/>
    <mergeCell ref="IN169:IO169"/>
    <mergeCell ref="IR167:IS167"/>
    <mergeCell ref="IP164:IQ164"/>
    <mergeCell ref="IH242:II242"/>
    <mergeCell ref="IH238:II238"/>
    <mergeCell ref="IH232:II232"/>
    <mergeCell ref="IL169:IM169"/>
    <mergeCell ref="IH179:II179"/>
    <mergeCell ref="IN178:IO178"/>
    <mergeCell ref="IJ174:IK174"/>
    <mergeCell ref="IH171:II171"/>
    <mergeCell ref="IT185:IU185"/>
    <mergeCell ref="IJ196:IK196"/>
    <mergeCell ref="IR244:IS244"/>
    <mergeCell ref="IR238:IS238"/>
    <mergeCell ref="IP165:IQ165"/>
    <mergeCell ref="IL164:IM164"/>
    <mergeCell ref="IR173:IS173"/>
    <mergeCell ref="IR172:IS172"/>
    <mergeCell ref="IP175:IQ175"/>
    <mergeCell ref="IJ171:IK171"/>
    <mergeCell ref="IV168:IW168"/>
    <mergeCell ref="IL177:IM177"/>
    <mergeCell ref="IV165:IW165"/>
    <mergeCell ref="IV169:IW169"/>
    <mergeCell ref="IH174:II174"/>
    <mergeCell ref="IR176:IS176"/>
    <mergeCell ref="IR164:IS164"/>
    <mergeCell ref="IN168:IO168"/>
    <mergeCell ref="IL168:IM168"/>
    <mergeCell ref="IP169:IQ169"/>
    <mergeCell ref="IL170:IM170"/>
    <mergeCell ref="IN179:IO179"/>
    <mergeCell ref="IP179:IQ179"/>
    <mergeCell ref="IR179:IS179"/>
    <mergeCell ref="IV233:IW233"/>
    <mergeCell ref="IJ178:IK178"/>
    <mergeCell ref="IT179:IU179"/>
    <mergeCell ref="IV179:IW179"/>
    <mergeCell ref="IV172:IW172"/>
    <mergeCell ref="IJ186:IK186"/>
    <mergeCell ref="IN186:IO186"/>
    <mergeCell ref="IP186:IQ186"/>
    <mergeCell ref="IR186:IS186"/>
    <mergeCell ref="IT186:IU186"/>
    <mergeCell ref="IN172:IO172"/>
    <mergeCell ref="IN174:IO174"/>
    <mergeCell ref="IT170:IU170"/>
    <mergeCell ref="IN180:IO180"/>
    <mergeCell ref="IJ168:IK168"/>
    <mergeCell ref="IH181:II181"/>
    <mergeCell ref="IN177:IO177"/>
    <mergeCell ref="IT177:IU177"/>
    <mergeCell ref="IR177:IS177"/>
    <mergeCell ref="IH175:II175"/>
    <mergeCell ref="IH177:II177"/>
    <mergeCell ref="IP170:IQ170"/>
    <mergeCell ref="IH172:II172"/>
    <mergeCell ref="IP192:IQ192"/>
    <mergeCell ref="IR192:IS192"/>
    <mergeCell ref="IT192:IU192"/>
    <mergeCell ref="IV192:IW192"/>
    <mergeCell ref="IJ173:IK173"/>
    <mergeCell ref="IL233:IM233"/>
    <mergeCell ref="IH168:II168"/>
    <mergeCell ref="IJ184:IK184"/>
    <mergeCell ref="IT183:IU183"/>
    <mergeCell ref="IL181:IM181"/>
    <mergeCell ref="IL195:IM195"/>
    <mergeCell ref="IJ192:IK192"/>
    <mergeCell ref="IL178:IM178"/>
    <mergeCell ref="IJ179:IK179"/>
    <mergeCell ref="IP176:IQ176"/>
    <mergeCell ref="IJ176:IK176"/>
    <mergeCell ref="IN175:IO175"/>
    <mergeCell ref="IN176:IO176"/>
    <mergeCell ref="IN188:IO188"/>
    <mergeCell ref="IH180:II180"/>
    <mergeCell ref="IH184:II184"/>
    <mergeCell ref="IL245:IM245"/>
    <mergeCell ref="IP182:IQ182"/>
    <mergeCell ref="IR182:IS182"/>
    <mergeCell ref="IJ237:IK237"/>
    <mergeCell ref="IL237:IM237"/>
    <mergeCell ref="IP246:IQ246"/>
    <mergeCell ref="IN251:IO251"/>
    <mergeCell ref="IR250:IS250"/>
    <mergeCell ref="IF182:IG182"/>
    <mergeCell ref="IN196:IO196"/>
    <mergeCell ref="IR233:IS233"/>
    <mergeCell ref="IR228:IS228"/>
    <mergeCell ref="IP232:IQ232"/>
    <mergeCell ref="IH188:II188"/>
    <mergeCell ref="IH186:II186"/>
    <mergeCell ref="IH233:II233"/>
    <mergeCell ref="IH176:II176"/>
    <mergeCell ref="IJ185:IK185"/>
    <mergeCell ref="IJ177:IK177"/>
    <mergeCell ref="IV182:IW182"/>
    <mergeCell ref="IH235:II235"/>
    <mergeCell ref="IP195:IQ195"/>
    <mergeCell ref="IR195:IS195"/>
    <mergeCell ref="IR180:IS180"/>
    <mergeCell ref="IR235:IS235"/>
    <mergeCell ref="IL180:IM180"/>
    <mergeCell ref="IV177:IW177"/>
    <mergeCell ref="IV175:IW175"/>
    <mergeCell ref="IJ181:IK181"/>
    <mergeCell ref="IF179:IG179"/>
    <mergeCell ref="IR188:IS188"/>
    <mergeCell ref="IT188:IU188"/>
    <mergeCell ref="IV188:IW188"/>
    <mergeCell ref="IJ221:IK221"/>
    <mergeCell ref="IJ180:IK180"/>
    <mergeCell ref="IL176:IM176"/>
    <mergeCell ref="IH234:II234"/>
    <mergeCell ref="IF233:IG233"/>
    <mergeCell ref="IH178:II178"/>
    <mergeCell ref="IF175:IG175"/>
    <mergeCell ref="IV185:IW185"/>
    <mergeCell ref="IF177:IG177"/>
    <mergeCell ref="IF176:IG176"/>
    <mergeCell ref="IF181:IG181"/>
    <mergeCell ref="IP221:IQ221"/>
    <mergeCell ref="IJ235:IK235"/>
    <mergeCell ref="IL175:IM175"/>
    <mergeCell ref="IV176:IW176"/>
    <mergeCell ref="IF178:IG178"/>
    <mergeCell ref="IT233:IU233"/>
    <mergeCell ref="IH183:II183"/>
    <mergeCell ref="IT195:IU195"/>
    <mergeCell ref="IP178:IQ178"/>
    <mergeCell ref="IR178:IS178"/>
    <mergeCell ref="IT178:IU178"/>
    <mergeCell ref="IR234:IS234"/>
    <mergeCell ref="IJ234:IK234"/>
    <mergeCell ref="IV178:IW178"/>
    <mergeCell ref="IF196:IG196"/>
    <mergeCell ref="IJ182:IK182"/>
    <mergeCell ref="IT180:IU180"/>
    <mergeCell ref="IF235:IG235"/>
    <mergeCell ref="IF232:IG232"/>
    <mergeCell ref="IF192:IG192"/>
    <mergeCell ref="IJ236:IK236"/>
    <mergeCell ref="IP181:IQ181"/>
    <mergeCell ref="IT181:IU181"/>
    <mergeCell ref="IR236:IS236"/>
    <mergeCell ref="IR237:IS237"/>
    <mergeCell ref="IN233:IO233"/>
    <mergeCell ref="IP238:IQ238"/>
    <mergeCell ref="IX243:IY243"/>
    <mergeCell ref="IZ181:JA181"/>
    <mergeCell ref="IX185:IY185"/>
    <mergeCell ref="IZ185:JA185"/>
    <mergeCell ref="IV236:IW236"/>
    <mergeCell ref="IX236:IY236"/>
    <mergeCell ref="IZ236:JA236"/>
    <mergeCell ref="IP184:IQ184"/>
    <mergeCell ref="IN242:IO242"/>
    <mergeCell ref="IL185:IM185"/>
    <mergeCell ref="IN185:IO185"/>
    <mergeCell ref="IT237:IU237"/>
    <mergeCell ref="IT221:IU221"/>
    <mergeCell ref="IP196:IQ196"/>
    <mergeCell ref="IT228:IU228"/>
    <mergeCell ref="IX181:IY181"/>
    <mergeCell ref="IZ233:JA233"/>
    <mergeCell ref="IR191:IS191"/>
    <mergeCell ref="IP242:IQ242"/>
    <mergeCell ref="IP185:IQ185"/>
    <mergeCell ref="IR185:IS185"/>
    <mergeCell ref="IJ238:IK238"/>
    <mergeCell ref="IN181:IO181"/>
    <mergeCell ref="IV195:IW195"/>
    <mergeCell ref="IR196:IS196"/>
    <mergeCell ref="IX182:IY182"/>
    <mergeCell ref="IZ182:JA182"/>
    <mergeCell ref="IL234:IM234"/>
    <mergeCell ref="IJ243:IK243"/>
    <mergeCell ref="IP188:IQ188"/>
    <mergeCell ref="IJ233:IK233"/>
    <mergeCell ref="IP233:IQ233"/>
    <mergeCell ref="IJ188:IK188"/>
    <mergeCell ref="IL188:IM188"/>
    <mergeCell ref="IZ194:JA194"/>
    <mergeCell ref="IL187:IM187"/>
    <mergeCell ref="IN187:IO187"/>
    <mergeCell ref="IP187:IQ187"/>
    <mergeCell ref="IR187:IS187"/>
    <mergeCell ref="IT187:IU187"/>
    <mergeCell ref="IV187:IW187"/>
    <mergeCell ref="IX187:IY187"/>
    <mergeCell ref="IX178:IY178"/>
    <mergeCell ref="IV180:IW180"/>
    <mergeCell ref="IL236:IM236"/>
    <mergeCell ref="IN221:IO221"/>
    <mergeCell ref="IL191:IM191"/>
    <mergeCell ref="IN191:IO191"/>
    <mergeCell ref="IT191:IU191"/>
    <mergeCell ref="IV191:IW191"/>
    <mergeCell ref="IX191:IY191"/>
    <mergeCell ref="IL189:IM189"/>
    <mergeCell ref="IN189:IO189"/>
    <mergeCell ref="IP189:IQ189"/>
    <mergeCell ref="IR189:IS189"/>
    <mergeCell ref="IT189:IU189"/>
    <mergeCell ref="IX195:IY195"/>
    <mergeCell ref="IV221:IW221"/>
    <mergeCell ref="IX179:IY179"/>
    <mergeCell ref="IZ179:JA179"/>
    <mergeCell ref="IN195:IO195"/>
    <mergeCell ref="IX221:IY221"/>
    <mergeCell ref="IZ221:JA221"/>
    <mergeCell ref="IV184:IW184"/>
    <mergeCell ref="IL183:IM183"/>
    <mergeCell ref="IN183:IO183"/>
    <mergeCell ref="IP183:IQ183"/>
    <mergeCell ref="IR183:IS183"/>
    <mergeCell ref="IL184:IM184"/>
    <mergeCell ref="IN184:IO184"/>
    <mergeCell ref="IP191:IQ191"/>
    <mergeCell ref="IR181:IS181"/>
    <mergeCell ref="IN235:IO235"/>
    <mergeCell ref="IL221:IM221"/>
    <mergeCell ref="IX196:IY196"/>
    <mergeCell ref="IX188:IY188"/>
    <mergeCell ref="IV228:IW228"/>
    <mergeCell ref="IZ228:JA228"/>
    <mergeCell ref="IV181:IW181"/>
    <mergeCell ref="IV189:IW189"/>
    <mergeCell ref="IV186:IW186"/>
    <mergeCell ref="IP234:IQ234"/>
    <mergeCell ref="IN228:IO228"/>
    <mergeCell ref="IX232:IY232"/>
    <mergeCell ref="IZ232:JA232"/>
    <mergeCell ref="IX189:IY189"/>
    <mergeCell ref="IX186:IY186"/>
    <mergeCell ref="IL179:IM179"/>
    <mergeCell ref="IX180:IY180"/>
    <mergeCell ref="IL192:IM192"/>
    <mergeCell ref="IN192:IO192"/>
    <mergeCell ref="IZ187:JA187"/>
    <mergeCell ref="IV183:IW183"/>
    <mergeCell ref="IR184:IS184"/>
    <mergeCell ref="IT184:IU184"/>
    <mergeCell ref="IP235:IQ235"/>
    <mergeCell ref="IP228:IQ228"/>
    <mergeCell ref="IT232:IU232"/>
    <mergeCell ref="IV234:IW234"/>
    <mergeCell ref="IL196:IM196"/>
    <mergeCell ref="IT196:IU196"/>
    <mergeCell ref="IV196:IW196"/>
    <mergeCell ref="IR194:IS194"/>
    <mergeCell ref="IT194:IU194"/>
    <mergeCell ref="IV194:IW194"/>
    <mergeCell ref="IX194:IY194"/>
    <mergeCell ref="IL255:IM255"/>
    <mergeCell ref="IP254:IQ254"/>
    <mergeCell ref="IT238:IU238"/>
    <mergeCell ref="IV238:IW238"/>
    <mergeCell ref="IX238:IY238"/>
    <mergeCell ref="IZ237:JA237"/>
    <mergeCell ref="IP255:IQ255"/>
    <mergeCell ref="IZ265:JA265"/>
    <mergeCell ref="JB265:JC265"/>
    <mergeCell ref="JD265:JE265"/>
    <mergeCell ref="JD249:JE249"/>
    <mergeCell ref="JH244:JI244"/>
    <mergeCell ref="IT251:IU251"/>
    <mergeCell ref="IT253:IU253"/>
    <mergeCell ref="IZ254:JA254"/>
    <mergeCell ref="JB254:JC254"/>
    <mergeCell ref="JD254:JE254"/>
    <mergeCell ref="JF254:JG254"/>
    <mergeCell ref="JH254:JI254"/>
    <mergeCell ref="JH252:JI252"/>
    <mergeCell ref="JH260:JI260"/>
    <mergeCell ref="IV255:IW255"/>
    <mergeCell ref="IL243:IM243"/>
    <mergeCell ref="IL244:IM244"/>
    <mergeCell ref="IN250:IO250"/>
    <mergeCell ref="IN252:IO252"/>
    <mergeCell ref="IV250:IW250"/>
    <mergeCell ref="IZ242:JA242"/>
    <mergeCell ref="IR254:IS254"/>
    <mergeCell ref="IP257:IQ257"/>
    <mergeCell ref="IL260:IM260"/>
    <mergeCell ref="IN263:IO263"/>
    <mergeCell ref="IL250:IM250"/>
    <mergeCell ref="IT257:IU257"/>
    <mergeCell ref="IP244:IQ244"/>
    <mergeCell ref="IP247:IQ247"/>
    <mergeCell ref="IN246:IO246"/>
    <mergeCell ref="IP237:IQ237"/>
    <mergeCell ref="JB257:JC257"/>
    <mergeCell ref="IR258:IS258"/>
    <mergeCell ref="JB259:JC259"/>
    <mergeCell ref="IT259:IU259"/>
    <mergeCell ref="IT261:IU261"/>
    <mergeCell ref="IT260:IU260"/>
    <mergeCell ref="IV260:IW260"/>
    <mergeCell ref="IR256:IS256"/>
    <mergeCell ref="IR245:IS245"/>
    <mergeCell ref="IX246:IY246"/>
    <mergeCell ref="JF246:JG246"/>
    <mergeCell ref="IT245:IU245"/>
    <mergeCell ref="IT246:IU246"/>
    <mergeCell ref="IV246:IW246"/>
    <mergeCell ref="JH246:JI246"/>
    <mergeCell ref="IV251:IW251"/>
    <mergeCell ref="JB263:JC263"/>
    <mergeCell ref="JD263:JE263"/>
    <mergeCell ref="IZ263:JA263"/>
    <mergeCell ref="JH249:JI249"/>
    <mergeCell ref="IR259:IS259"/>
    <mergeCell ref="IV258:IW258"/>
    <mergeCell ref="IR251:IS251"/>
    <mergeCell ref="IP256:IQ256"/>
    <mergeCell ref="IV242:IW242"/>
    <mergeCell ref="IX242:IY242"/>
    <mergeCell ref="JL249:JM249"/>
    <mergeCell ref="IL232:IM232"/>
    <mergeCell ref="JB249:JC249"/>
    <mergeCell ref="IR249:IS249"/>
    <mergeCell ref="IR242:IS242"/>
    <mergeCell ref="IR243:IS243"/>
    <mergeCell ref="IZ248:JA248"/>
    <mergeCell ref="IZ250:JA250"/>
    <mergeCell ref="IT234:IU234"/>
    <mergeCell ref="IN244:IO244"/>
    <mergeCell ref="IT236:IU236"/>
    <mergeCell ref="IP236:IQ236"/>
    <mergeCell ref="IL235:IM235"/>
    <mergeCell ref="IL242:IM242"/>
    <mergeCell ref="IN253:IO253"/>
    <mergeCell ref="IP253:IQ253"/>
    <mergeCell ref="JF236:JG236"/>
    <mergeCell ref="JH236:JI236"/>
    <mergeCell ref="JF235:JG235"/>
    <mergeCell ref="JH235:JI235"/>
    <mergeCell ref="IT242:IU242"/>
    <mergeCell ref="JH234:JI234"/>
    <mergeCell ref="IR246:IS246"/>
    <mergeCell ref="JD237:JE237"/>
    <mergeCell ref="JB236:JC236"/>
    <mergeCell ref="JD236:JE236"/>
    <mergeCell ref="IP243:IQ243"/>
    <mergeCell ref="IP252:IQ252"/>
    <mergeCell ref="IV235:IW235"/>
    <mergeCell ref="IT247:IU247"/>
    <mergeCell ref="IT249:IU249"/>
    <mergeCell ref="IT250:IU250"/>
    <mergeCell ref="JD234:JE234"/>
    <mergeCell ref="IP248:IQ248"/>
    <mergeCell ref="IL246:IM246"/>
    <mergeCell ref="IN243:IO243"/>
    <mergeCell ref="IN237:IO237"/>
    <mergeCell ref="IR247:IS247"/>
    <mergeCell ref="IX233:IY233"/>
    <mergeCell ref="IN238:IO238"/>
    <mergeCell ref="IT252:IU252"/>
    <mergeCell ref="IZ243:JA243"/>
    <mergeCell ref="JF248:JG248"/>
    <mergeCell ref="JF249:JG249"/>
    <mergeCell ref="IX245:IY245"/>
    <mergeCell ref="IZ245:JA245"/>
    <mergeCell ref="IT235:IU235"/>
    <mergeCell ref="JH251:JI251"/>
    <mergeCell ref="JH253:JI253"/>
    <mergeCell ref="JH247:JI247"/>
    <mergeCell ref="JF253:JG253"/>
    <mergeCell ref="JB237:JC237"/>
    <mergeCell ref="JD238:JE238"/>
    <mergeCell ref="IX235:IY235"/>
    <mergeCell ref="JB235:JC235"/>
    <mergeCell ref="IX253:IY253"/>
    <mergeCell ref="IN248:IO248"/>
    <mergeCell ref="IN249:IO249"/>
    <mergeCell ref="IL249:IM249"/>
    <mergeCell ref="IP250:IQ250"/>
    <mergeCell ref="IV243:IW243"/>
    <mergeCell ref="IL247:IM247"/>
    <mergeCell ref="IL252:IM252"/>
    <mergeCell ref="IL248:IM248"/>
    <mergeCell ref="IT255:IU255"/>
    <mergeCell ref="JJ249:JK249"/>
    <mergeCell ref="JB245:JC245"/>
    <mergeCell ref="JH237:JI237"/>
    <mergeCell ref="IV249:IW249"/>
    <mergeCell ref="JD244:JE244"/>
    <mergeCell ref="JB246:JC246"/>
    <mergeCell ref="JD246:JE246"/>
    <mergeCell ref="IZ238:JA238"/>
    <mergeCell ref="JB238:JC238"/>
    <mergeCell ref="JD250:JE250"/>
    <mergeCell ref="JF250:JG250"/>
    <mergeCell ref="IV245:IW245"/>
    <mergeCell ref="IV247:IW247"/>
    <mergeCell ref="JJ251:JK251"/>
    <mergeCell ref="IR257:IS257"/>
    <mergeCell ref="IZ253:JA253"/>
    <mergeCell ref="JB253:JC253"/>
    <mergeCell ref="JD253:JE253"/>
    <mergeCell ref="IX247:IY247"/>
    <mergeCell ref="JD247:JE247"/>
    <mergeCell ref="IV265:IW265"/>
    <mergeCell ref="IZ261:JA261"/>
    <mergeCell ref="JH245:JI245"/>
    <mergeCell ref="JB244:JC244"/>
    <mergeCell ref="IP251:IQ251"/>
    <mergeCell ref="IR253:IS253"/>
    <mergeCell ref="IV263:IW263"/>
    <mergeCell ref="IT244:IU244"/>
    <mergeCell ref="IX250:IY250"/>
    <mergeCell ref="IR252:IS252"/>
    <mergeCell ref="IR248:IS248"/>
    <mergeCell ref="IT243:IU243"/>
    <mergeCell ref="IT248:IU248"/>
    <mergeCell ref="JJ252:JK252"/>
    <mergeCell ref="IX257:IY257"/>
    <mergeCell ref="IX258:IY258"/>
    <mergeCell ref="IV259:IW259"/>
    <mergeCell ref="IV262:IW262"/>
    <mergeCell ref="IP245:IQ245"/>
    <mergeCell ref="IP249:IQ249"/>
    <mergeCell ref="JF237:JG237"/>
    <mergeCell ref="IX249:IY249"/>
    <mergeCell ref="IV237:IW237"/>
    <mergeCell ref="IX237:IY237"/>
    <mergeCell ref="IN285:IO285"/>
    <mergeCell ref="IR288:IS288"/>
    <mergeCell ref="IL298:IM298"/>
    <mergeCell ref="IZ307:JA307"/>
    <mergeCell ref="JF306:JG306"/>
    <mergeCell ref="JD286:JE286"/>
    <mergeCell ref="JJ236:JK236"/>
    <mergeCell ref="IZ246:JA246"/>
    <mergeCell ref="JH243:JI243"/>
    <mergeCell ref="JJ253:JK253"/>
    <mergeCell ref="IZ247:JA247"/>
    <mergeCell ref="JF258:JG258"/>
    <mergeCell ref="IX256:IY256"/>
    <mergeCell ref="IX307:IY307"/>
    <mergeCell ref="IN279:IO279"/>
    <mergeCell ref="IF254:IG254"/>
    <mergeCell ref="JH257:JI257"/>
    <mergeCell ref="JH259:JI259"/>
    <mergeCell ref="IX255:IY255"/>
    <mergeCell ref="IZ255:JA255"/>
    <mergeCell ref="JF261:JG261"/>
    <mergeCell ref="JB255:JC255"/>
    <mergeCell ref="JD255:JE255"/>
    <mergeCell ref="JF255:JG255"/>
    <mergeCell ref="IT271:IU271"/>
    <mergeCell ref="IZ270:JA270"/>
    <mergeCell ref="JH262:JI262"/>
    <mergeCell ref="IF269:IG269"/>
    <mergeCell ref="IH269:II269"/>
    <mergeCell ref="IJ269:IK269"/>
    <mergeCell ref="IL254:IM254"/>
    <mergeCell ref="IL262:IM262"/>
    <mergeCell ref="IN262:IO262"/>
    <mergeCell ref="IN260:IO260"/>
    <mergeCell ref="IN259:IO259"/>
    <mergeCell ref="IV268:IW268"/>
    <mergeCell ref="JH270:JI270"/>
    <mergeCell ref="JB256:JC256"/>
    <mergeCell ref="IP260:IQ260"/>
    <mergeCell ref="JH265:JI265"/>
    <mergeCell ref="IR262:IS262"/>
    <mergeCell ref="IN258:IO258"/>
    <mergeCell ref="IL258:IM258"/>
    <mergeCell ref="IN257:IO257"/>
    <mergeCell ref="IN254:IO254"/>
    <mergeCell ref="IJ254:IK254"/>
    <mergeCell ref="IR255:IS255"/>
    <mergeCell ref="IJ255:IK255"/>
    <mergeCell ref="IZ256:JA256"/>
    <mergeCell ref="IT256:IU256"/>
    <mergeCell ref="IZ257:JA257"/>
    <mergeCell ref="IJ258:IK258"/>
    <mergeCell ref="IN255:IO255"/>
    <mergeCell ref="IL256:IM256"/>
    <mergeCell ref="JD257:JE257"/>
    <mergeCell ref="IP258:IQ258"/>
    <mergeCell ref="IH254:II254"/>
    <mergeCell ref="IT254:IU254"/>
    <mergeCell ref="IV257:IW257"/>
    <mergeCell ref="IV254:IW254"/>
    <mergeCell ref="IX254:IY254"/>
    <mergeCell ref="JF257:JG257"/>
    <mergeCell ref="JJ260:JK260"/>
    <mergeCell ref="IF255:IG255"/>
    <mergeCell ref="IJ256:IK256"/>
    <mergeCell ref="IR266:IS266"/>
    <mergeCell ref="IR309:IS309"/>
    <mergeCell ref="IP306:IQ306"/>
    <mergeCell ref="JF308:JG308"/>
    <mergeCell ref="JH308:JI308"/>
    <mergeCell ref="IT305:IU305"/>
    <mergeCell ref="IF274:IG274"/>
    <mergeCell ref="IH274:II274"/>
    <mergeCell ref="IR276:IS276"/>
    <mergeCell ref="IN297:IO297"/>
    <mergeCell ref="JH297:JI297"/>
    <mergeCell ref="IT295:IU295"/>
    <mergeCell ref="IT297:IU297"/>
    <mergeCell ref="IT292:IU292"/>
    <mergeCell ref="IJ297:IK297"/>
    <mergeCell ref="IL297:IM297"/>
    <mergeCell ref="IV291:IW291"/>
    <mergeCell ref="IX291:IY291"/>
    <mergeCell ref="IV292:IW292"/>
    <mergeCell ref="IX292:IY292"/>
    <mergeCell ref="IT294:IU294"/>
    <mergeCell ref="IV294:IW294"/>
    <mergeCell ref="IX294:IY294"/>
    <mergeCell ref="IZ294:JA294"/>
    <mergeCell ref="JB294:JC294"/>
    <mergeCell ref="IV297:IW297"/>
    <mergeCell ref="IV293:IW293"/>
    <mergeCell ref="IX293:IY293"/>
    <mergeCell ref="IZ293:JA293"/>
    <mergeCell ref="JB293:JC293"/>
    <mergeCell ref="JD293:JE293"/>
    <mergeCell ref="JF293:JG293"/>
    <mergeCell ref="IT282:IU282"/>
    <mergeCell ref="IV282:IW282"/>
    <mergeCell ref="IV285:IW285"/>
    <mergeCell ref="IN303:IO303"/>
    <mergeCell ref="IP304:IQ304"/>
    <mergeCell ref="JD282:JE282"/>
    <mergeCell ref="IV289:IW289"/>
    <mergeCell ref="IX289:IY289"/>
    <mergeCell ref="IZ289:JA289"/>
    <mergeCell ref="IT288:IU288"/>
    <mergeCell ref="IZ288:JA288"/>
    <mergeCell ref="IR302:IS302"/>
    <mergeCell ref="IP301:IQ301"/>
    <mergeCell ref="IN307:IO307"/>
    <mergeCell ref="JF283:JG283"/>
    <mergeCell ref="JF282:JG282"/>
    <mergeCell ref="IN290:IO290"/>
    <mergeCell ref="IP290:IQ290"/>
    <mergeCell ref="IZ292:JA292"/>
    <mergeCell ref="JB292:JC292"/>
    <mergeCell ref="JD298:JE298"/>
    <mergeCell ref="IN256:IO256"/>
    <mergeCell ref="IJ285:IK285"/>
    <mergeCell ref="IH286:II286"/>
    <mergeCell ref="IH257:II257"/>
    <mergeCell ref="IP263:IQ263"/>
    <mergeCell ref="IV264:IW264"/>
    <mergeCell ref="IX264:IY264"/>
    <mergeCell ref="IZ264:JA264"/>
    <mergeCell ref="JD268:JE268"/>
    <mergeCell ref="IL285:IM285"/>
    <mergeCell ref="IJ257:IK257"/>
    <mergeCell ref="IP270:IQ270"/>
    <mergeCell ref="IN272:IO272"/>
    <mergeCell ref="IP271:IQ271"/>
    <mergeCell ref="IV273:IW273"/>
    <mergeCell ref="IR264:IS264"/>
    <mergeCell ref="ID256:IE256"/>
    <mergeCell ref="IT307:IU307"/>
    <mergeCell ref="IX303:IY303"/>
    <mergeCell ref="IH280:II280"/>
    <mergeCell ref="IB258:IC258"/>
    <mergeCell ref="IH265:II265"/>
    <mergeCell ref="IH273:II273"/>
    <mergeCell ref="IJ273:IK273"/>
    <mergeCell ref="IJ263:IK263"/>
    <mergeCell ref="IH259:II259"/>
    <mergeCell ref="IP261:IQ261"/>
    <mergeCell ref="ID261:IE261"/>
    <mergeCell ref="ID272:IE272"/>
    <mergeCell ref="IF272:IG272"/>
    <mergeCell ref="IN261:IO261"/>
    <mergeCell ref="IF261:IG261"/>
    <mergeCell ref="IF258:IG258"/>
    <mergeCell ref="IT258:IU258"/>
    <mergeCell ref="HZ259:IA259"/>
    <mergeCell ref="JB271:JC271"/>
    <mergeCell ref="JB267:JC267"/>
    <mergeCell ref="JF267:JG267"/>
    <mergeCell ref="IV269:IW269"/>
    <mergeCell ref="IP262:IQ262"/>
    <mergeCell ref="IL259:IM259"/>
    <mergeCell ref="IJ262:IK262"/>
    <mergeCell ref="IZ262:JA262"/>
    <mergeCell ref="IT262:IU262"/>
    <mergeCell ref="IV261:IW261"/>
    <mergeCell ref="IP259:IQ259"/>
    <mergeCell ref="IR268:IS268"/>
    <mergeCell ref="IN269:IO269"/>
    <mergeCell ref="IJ266:IK266"/>
    <mergeCell ref="JF260:JG260"/>
    <mergeCell ref="IP268:IQ268"/>
    <mergeCell ref="IP267:IQ267"/>
    <mergeCell ref="IX260:IY260"/>
    <mergeCell ref="JF263:JG263"/>
    <mergeCell ref="JF265:JG265"/>
    <mergeCell ref="JD267:JE267"/>
    <mergeCell ref="JF269:JG269"/>
    <mergeCell ref="IR270:IS270"/>
    <mergeCell ref="JB269:JC269"/>
    <mergeCell ref="JF270:JG270"/>
    <mergeCell ref="IZ273:JA273"/>
    <mergeCell ref="IL263:IM263"/>
    <mergeCell ref="JD272:JE272"/>
    <mergeCell ref="IR260:IS260"/>
    <mergeCell ref="ID273:IE273"/>
    <mergeCell ref="IZ268:JA268"/>
    <mergeCell ref="IT267:IU267"/>
    <mergeCell ref="JB260:JC260"/>
    <mergeCell ref="JD260:JE260"/>
    <mergeCell ref="IP264:IQ264"/>
    <mergeCell ref="IJ264:IK264"/>
    <mergeCell ref="IN264:IO264"/>
    <mergeCell ref="HZ264:IA264"/>
    <mergeCell ref="IV267:IW267"/>
    <mergeCell ref="IB259:IC259"/>
    <mergeCell ref="ID259:IE259"/>
    <mergeCell ref="IB261:IC261"/>
    <mergeCell ref="JH268:JI268"/>
    <mergeCell ref="JD271:JE271"/>
    <mergeCell ref="IZ260:JA260"/>
    <mergeCell ref="IJ260:IK260"/>
    <mergeCell ref="IJ259:IK259"/>
    <mergeCell ref="IX261:IY261"/>
    <mergeCell ref="IH262:II262"/>
    <mergeCell ref="IJ267:IK267"/>
    <mergeCell ref="IL267:IM267"/>
    <mergeCell ref="IJ265:IK265"/>
    <mergeCell ref="JD273:JE273"/>
    <mergeCell ref="JF273:JG273"/>
    <mergeCell ref="IR267:IS267"/>
    <mergeCell ref="IP273:IQ273"/>
    <mergeCell ref="IN268:IO268"/>
    <mergeCell ref="IN271:IO271"/>
    <mergeCell ref="JJ267:JK267"/>
    <mergeCell ref="JJ271:JK271"/>
    <mergeCell ref="IV272:IW272"/>
    <mergeCell ref="IX272:IY272"/>
    <mergeCell ref="IF264:IG264"/>
    <mergeCell ref="IZ274:JA274"/>
    <mergeCell ref="JB274:JC274"/>
    <mergeCell ref="IZ271:JA271"/>
    <mergeCell ref="IF263:IG263"/>
    <mergeCell ref="IL264:IM264"/>
    <mergeCell ref="HZ265:IA265"/>
    <mergeCell ref="IL266:IM266"/>
    <mergeCell ref="JH267:JI267"/>
    <mergeCell ref="JH271:JI271"/>
    <mergeCell ref="JH261:JI261"/>
    <mergeCell ref="JH264:JI264"/>
    <mergeCell ref="JH266:JI266"/>
    <mergeCell ref="IR261:IS261"/>
    <mergeCell ref="IT263:IU263"/>
    <mergeCell ref="IL265:IM265"/>
    <mergeCell ref="JF262:JG262"/>
    <mergeCell ref="JD269:JE269"/>
    <mergeCell ref="IT268:IU268"/>
    <mergeCell ref="IX262:IY262"/>
    <mergeCell ref="JJ265:JK265"/>
    <mergeCell ref="JF268:JG268"/>
    <mergeCell ref="IF262:IG262"/>
    <mergeCell ref="JJ262:JK262"/>
    <mergeCell ref="IT264:IU264"/>
    <mergeCell ref="JB266:JC266"/>
    <mergeCell ref="JF266:JG266"/>
    <mergeCell ref="IF266:IG266"/>
    <mergeCell ref="IT272:IU272"/>
    <mergeCell ref="HZ261:IA261"/>
    <mergeCell ref="HZ266:IA266"/>
    <mergeCell ref="JB278:JC278"/>
    <mergeCell ref="JD278:JE278"/>
    <mergeCell ref="IL261:IM261"/>
    <mergeCell ref="IT278:IU278"/>
    <mergeCell ref="IT276:IU276"/>
    <mergeCell ref="IJ272:IK272"/>
    <mergeCell ref="IL272:IM272"/>
    <mergeCell ref="IZ276:JA276"/>
    <mergeCell ref="IB255:IC255"/>
    <mergeCell ref="JB261:JC261"/>
    <mergeCell ref="JD261:JE261"/>
    <mergeCell ref="IF256:IG256"/>
    <mergeCell ref="IH256:II256"/>
    <mergeCell ref="JJ278:JK278"/>
    <mergeCell ref="JJ279:JK279"/>
    <mergeCell ref="IH264:II264"/>
    <mergeCell ref="JF264:JG264"/>
    <mergeCell ref="IN265:IO265"/>
    <mergeCell ref="IH255:II255"/>
    <mergeCell ref="IF278:IG278"/>
    <mergeCell ref="IB257:IC257"/>
    <mergeCell ref="ID258:IE258"/>
    <mergeCell ref="IL257:IM257"/>
    <mergeCell ref="IH258:II258"/>
    <mergeCell ref="JJ268:JK268"/>
    <mergeCell ref="IB256:IC256"/>
    <mergeCell ref="JH272:JI272"/>
    <mergeCell ref="JJ272:JK272"/>
    <mergeCell ref="JD274:JE274"/>
    <mergeCell ref="IH261:II261"/>
    <mergeCell ref="IJ261:IK261"/>
    <mergeCell ref="IJ268:IK268"/>
    <mergeCell ref="IP265:IQ265"/>
    <mergeCell ref="IR265:IS265"/>
    <mergeCell ref="ID257:IE257"/>
    <mergeCell ref="IF257:IG257"/>
    <mergeCell ref="JB277:JC277"/>
    <mergeCell ref="JD277:JE277"/>
    <mergeCell ref="IT274:IU274"/>
    <mergeCell ref="IZ277:JA277"/>
    <mergeCell ref="JF275:JG275"/>
    <mergeCell ref="JF277:JG277"/>
    <mergeCell ref="JB276:JC276"/>
    <mergeCell ref="JD276:JE276"/>
    <mergeCell ref="JJ269:JK269"/>
    <mergeCell ref="JD266:JE266"/>
    <mergeCell ref="JH273:JI273"/>
    <mergeCell ref="JD262:JE262"/>
    <mergeCell ref="ID265:IE265"/>
    <mergeCell ref="JB258:JC258"/>
    <mergeCell ref="JD258:JE258"/>
    <mergeCell ref="IP269:IQ269"/>
    <mergeCell ref="IP277:IQ277"/>
    <mergeCell ref="IR277:IS277"/>
    <mergeCell ref="ID255:IE255"/>
    <mergeCell ref="JH255:JI255"/>
    <mergeCell ref="JJ255:JK255"/>
    <mergeCell ref="JH256:JI256"/>
    <mergeCell ref="JH277:JI277"/>
    <mergeCell ref="IT275:IU275"/>
    <mergeCell ref="IT277:IU277"/>
    <mergeCell ref="IN276:IO276"/>
    <mergeCell ref="IZ258:JA258"/>
    <mergeCell ref="JF259:JG259"/>
    <mergeCell ref="IR282:IS282"/>
    <mergeCell ref="IR271:IS271"/>
    <mergeCell ref="IP274:IQ274"/>
    <mergeCell ref="IP283:IQ283"/>
    <mergeCell ref="IH279:II279"/>
    <mergeCell ref="IJ274:IK274"/>
    <mergeCell ref="HZ272:IA272"/>
    <mergeCell ref="HZ283:IA283"/>
    <mergeCell ref="IB281:IC281"/>
    <mergeCell ref="ID268:IE268"/>
    <mergeCell ref="IF268:IG268"/>
    <mergeCell ref="IH268:II268"/>
    <mergeCell ref="IH267:II267"/>
    <mergeCell ref="IB270:IC270"/>
    <mergeCell ref="ID270:IE270"/>
    <mergeCell ref="IF270:IG270"/>
    <mergeCell ref="IH270:II270"/>
    <mergeCell ref="IJ270:IK270"/>
    <mergeCell ref="HZ275:IA275"/>
    <mergeCell ref="IN274:IO274"/>
    <mergeCell ref="IF284:IG284"/>
    <mergeCell ref="IL284:IM284"/>
    <mergeCell ref="IN267:IO267"/>
    <mergeCell ref="HZ284:IA284"/>
    <mergeCell ref="IB278:IC278"/>
    <mergeCell ref="ID278:IE278"/>
    <mergeCell ref="HZ274:IA274"/>
    <mergeCell ref="HZ280:IA280"/>
    <mergeCell ref="HZ270:IA270"/>
    <mergeCell ref="HZ276:IA276"/>
    <mergeCell ref="HZ273:IA273"/>
    <mergeCell ref="IB271:IC271"/>
    <mergeCell ref="ID271:IE271"/>
    <mergeCell ref="IF271:IG271"/>
    <mergeCell ref="IN273:IO273"/>
    <mergeCell ref="IP276:IQ276"/>
    <mergeCell ref="IH277:II277"/>
    <mergeCell ref="IJ277:IK277"/>
    <mergeCell ref="IL277:IM277"/>
    <mergeCell ref="IH278:II278"/>
    <mergeCell ref="IN283:IO283"/>
    <mergeCell ref="IN281:IO281"/>
    <mergeCell ref="IN280:IO280"/>
    <mergeCell ref="HZ269:IA269"/>
    <mergeCell ref="IH282:II282"/>
    <mergeCell ref="IJ282:IK282"/>
    <mergeCell ref="IL282:IM282"/>
    <mergeCell ref="ID280:IE280"/>
    <mergeCell ref="IT284:IU284"/>
    <mergeCell ref="IT283:IU283"/>
    <mergeCell ref="IT273:IU273"/>
    <mergeCell ref="HZ268:IA268"/>
    <mergeCell ref="HZ279:IA279"/>
    <mergeCell ref="IH266:II266"/>
    <mergeCell ref="IT287:IU287"/>
    <mergeCell ref="IV277:IW277"/>
    <mergeCell ref="IX277:IY277"/>
    <mergeCell ref="IV278:IW278"/>
    <mergeCell ref="IV276:IW276"/>
    <mergeCell ref="IP285:IQ285"/>
    <mergeCell ref="IB283:IC283"/>
    <mergeCell ref="ID283:IE283"/>
    <mergeCell ref="IF283:IG283"/>
    <mergeCell ref="IH283:II283"/>
    <mergeCell ref="IJ283:IK283"/>
    <mergeCell ref="IN278:IO278"/>
    <mergeCell ref="IV279:IW279"/>
    <mergeCell ref="IJ286:IK286"/>
    <mergeCell ref="IV284:IW284"/>
    <mergeCell ref="IP280:IQ280"/>
    <mergeCell ref="IP279:IQ279"/>
    <mergeCell ref="IR279:IS279"/>
    <mergeCell ref="IV287:IW287"/>
    <mergeCell ref="ID269:IE269"/>
    <mergeCell ref="IB269:IC269"/>
    <mergeCell ref="IP266:IQ266"/>
    <mergeCell ref="IH272:II272"/>
    <mergeCell ref="HZ277:IA277"/>
    <mergeCell ref="IN270:IO270"/>
    <mergeCell ref="IV280:IW280"/>
    <mergeCell ref="IT281:IU281"/>
    <mergeCell ref="IJ280:IK280"/>
    <mergeCell ref="IT279:IU279"/>
    <mergeCell ref="IV271:IW271"/>
    <mergeCell ref="IX271:IY271"/>
    <mergeCell ref="IX282:IY282"/>
    <mergeCell ref="IL273:IM273"/>
    <mergeCell ref="IB275:IC275"/>
    <mergeCell ref="IB272:IC272"/>
    <mergeCell ref="IB276:IC276"/>
    <mergeCell ref="IR275:IS275"/>
    <mergeCell ref="IB286:IC286"/>
    <mergeCell ref="IR285:IS285"/>
    <mergeCell ref="ID285:IE285"/>
    <mergeCell ref="IX280:IY280"/>
    <mergeCell ref="IX268:IY268"/>
    <mergeCell ref="IR284:IS284"/>
    <mergeCell ref="IH271:II271"/>
    <mergeCell ref="IJ271:IK271"/>
    <mergeCell ref="IH284:II284"/>
    <mergeCell ref="IP278:IQ278"/>
    <mergeCell ref="IR274:IS274"/>
    <mergeCell ref="IL279:IM279"/>
    <mergeCell ref="IR283:IS283"/>
    <mergeCell ref="IP272:IQ272"/>
    <mergeCell ref="IL269:IM269"/>
    <mergeCell ref="HZ281:IA281"/>
    <mergeCell ref="HZ285:IA285"/>
    <mergeCell ref="IP284:IQ284"/>
    <mergeCell ref="IN284:IO284"/>
    <mergeCell ref="IN282:IO282"/>
    <mergeCell ref="ID277:IE277"/>
    <mergeCell ref="IZ282:JA282"/>
    <mergeCell ref="IV275:IW275"/>
    <mergeCell ref="IL270:IM270"/>
    <mergeCell ref="IR281:IS281"/>
    <mergeCell ref="IR269:IS269"/>
    <mergeCell ref="IB274:IC274"/>
    <mergeCell ref="ID274:IE274"/>
    <mergeCell ref="IL278:IM278"/>
    <mergeCell ref="IF259:IG259"/>
    <mergeCell ref="IR263:IS263"/>
    <mergeCell ref="IX274:IY274"/>
    <mergeCell ref="IR273:IS273"/>
    <mergeCell ref="IX269:IY269"/>
    <mergeCell ref="IZ275:JA275"/>
    <mergeCell ref="IZ272:JA272"/>
    <mergeCell ref="IR272:IS272"/>
    <mergeCell ref="IL274:IM274"/>
    <mergeCell ref="IT265:IU265"/>
    <mergeCell ref="IT266:IU266"/>
    <mergeCell ref="ID279:IE279"/>
    <mergeCell ref="IF279:IG279"/>
    <mergeCell ref="IT285:IU285"/>
    <mergeCell ref="IJ278:IK278"/>
    <mergeCell ref="IB287:IC287"/>
    <mergeCell ref="IP286:IQ286"/>
    <mergeCell ref="IL287:IM287"/>
    <mergeCell ref="IR280:IS280"/>
    <mergeCell ref="IR278:IS278"/>
    <mergeCell ref="IB273:IC273"/>
    <mergeCell ref="IF273:IG273"/>
    <mergeCell ref="IT286:IU286"/>
    <mergeCell ref="IX285:IY285"/>
    <mergeCell ref="IZ286:JA286"/>
    <mergeCell ref="IB266:IC266"/>
    <mergeCell ref="ID266:IE266"/>
    <mergeCell ref="IB285:IC285"/>
    <mergeCell ref="IV286:IW286"/>
    <mergeCell ref="IX286:IY286"/>
    <mergeCell ref="IB268:IC268"/>
    <mergeCell ref="IL271:IM271"/>
    <mergeCell ref="ID267:IE267"/>
    <mergeCell ref="IF267:IG267"/>
    <mergeCell ref="IR287:IS287"/>
    <mergeCell ref="IB279:IC279"/>
    <mergeCell ref="IF287:IG287"/>
    <mergeCell ref="IH287:II287"/>
    <mergeCell ref="IJ287:IK287"/>
    <mergeCell ref="IN266:IO266"/>
    <mergeCell ref="IP281:IQ281"/>
    <mergeCell ref="IJ284:IK284"/>
    <mergeCell ref="IL268:IM268"/>
    <mergeCell ref="IV274:IW274"/>
    <mergeCell ref="IZ269:JA269"/>
    <mergeCell ref="IX273:IY273"/>
    <mergeCell ref="IT269:IU269"/>
    <mergeCell ref="IT270:IU270"/>
    <mergeCell ref="IV270:IW270"/>
    <mergeCell ref="IX270:IY270"/>
    <mergeCell ref="IR286:IS286"/>
    <mergeCell ref="IN287:IO287"/>
    <mergeCell ref="IP287:IQ287"/>
    <mergeCell ref="IX281:IY281"/>
    <mergeCell ref="IT280:IU280"/>
    <mergeCell ref="IX276:IY276"/>
    <mergeCell ref="IB299:IC299"/>
    <mergeCell ref="ID299:IE299"/>
    <mergeCell ref="HZ297:IA297"/>
    <mergeCell ref="IH293:II293"/>
    <mergeCell ref="IH281:II281"/>
    <mergeCell ref="IF281:IG281"/>
    <mergeCell ref="IB280:IC280"/>
    <mergeCell ref="IR292:IS292"/>
    <mergeCell ref="IN293:IO293"/>
    <mergeCell ref="JF297:JG297"/>
    <mergeCell ref="IT291:IU291"/>
    <mergeCell ref="JD295:JE295"/>
    <mergeCell ref="JF295:JG295"/>
    <mergeCell ref="IX297:IY297"/>
    <mergeCell ref="IT290:IU290"/>
    <mergeCell ref="IR290:IS290"/>
    <mergeCell ref="JB275:JC275"/>
    <mergeCell ref="IN299:IO299"/>
    <mergeCell ref="IP294:IQ294"/>
    <mergeCell ref="IP300:IQ300"/>
    <mergeCell ref="IN300:IO300"/>
    <mergeCell ref="IR299:IS299"/>
    <mergeCell ref="IN298:IO298"/>
    <mergeCell ref="IN294:IO294"/>
    <mergeCell ref="JB282:JC282"/>
    <mergeCell ref="ID284:IE284"/>
    <mergeCell ref="JB287:JC287"/>
    <mergeCell ref="IJ291:IK291"/>
    <mergeCell ref="IH285:II285"/>
    <mergeCell ref="IF280:IG280"/>
    <mergeCell ref="JD281:JE281"/>
    <mergeCell ref="JB281:JC281"/>
    <mergeCell ref="IT293:IU293"/>
    <mergeCell ref="JF284:JG284"/>
    <mergeCell ref="IZ287:JA287"/>
    <mergeCell ref="IJ288:IK288"/>
    <mergeCell ref="IB289:IC289"/>
    <mergeCell ref="IX284:IY284"/>
    <mergeCell ref="IZ284:JA284"/>
    <mergeCell ref="IX278:IY278"/>
    <mergeCell ref="JD275:JE275"/>
    <mergeCell ref="IV281:IW281"/>
    <mergeCell ref="IX279:IY279"/>
    <mergeCell ref="IZ279:JA279"/>
    <mergeCell ref="JB279:JC279"/>
    <mergeCell ref="IN277:IO277"/>
    <mergeCell ref="IP298:IQ298"/>
    <mergeCell ref="IR296:IS296"/>
    <mergeCell ref="IP296:IQ296"/>
    <mergeCell ref="IP282:IQ282"/>
    <mergeCell ref="IB277:IC277"/>
    <mergeCell ref="ID275:IE275"/>
    <mergeCell ref="IF275:IG275"/>
    <mergeCell ref="IH275:II275"/>
    <mergeCell ref="IJ275:IK275"/>
    <mergeCell ref="IL275:IM275"/>
    <mergeCell ref="ID276:IE276"/>
    <mergeCell ref="IF276:IG276"/>
    <mergeCell ref="IH276:II276"/>
    <mergeCell ref="IJ276:IK276"/>
    <mergeCell ref="IL276:IM276"/>
    <mergeCell ref="IJ281:IK281"/>
    <mergeCell ref="IL281:IM281"/>
    <mergeCell ref="IJ279:IK279"/>
    <mergeCell ref="JD287:JE287"/>
    <mergeCell ref="IJ303:IK303"/>
    <mergeCell ref="IL303:IM303"/>
    <mergeCell ref="ID304:IE304"/>
    <mergeCell ref="IF304:IG304"/>
    <mergeCell ref="IV283:IW283"/>
    <mergeCell ref="IN275:IO275"/>
    <mergeCell ref="IP275:IQ275"/>
    <mergeCell ref="IL286:IM286"/>
    <mergeCell ref="IN288:IO288"/>
    <mergeCell ref="IL288:IM288"/>
    <mergeCell ref="IN286:IO286"/>
    <mergeCell ref="IP291:IQ291"/>
    <mergeCell ref="IV303:IW303"/>
    <mergeCell ref="IR293:IS293"/>
    <mergeCell ref="IR307:IS307"/>
    <mergeCell ref="IP295:IQ295"/>
    <mergeCell ref="IP293:IQ293"/>
    <mergeCell ref="IR306:IS306"/>
    <mergeCell ref="IZ285:JA285"/>
    <mergeCell ref="JB285:JC285"/>
    <mergeCell ref="IP288:IQ288"/>
    <mergeCell ref="IT309:IU309"/>
    <mergeCell ref="JH299:JI299"/>
    <mergeCell ref="JJ299:JK299"/>
    <mergeCell ref="JL299:JM299"/>
    <mergeCell ref="IX300:IY300"/>
    <mergeCell ref="IT299:IU299"/>
    <mergeCell ref="IT300:IU300"/>
    <mergeCell ref="IV300:IW300"/>
    <mergeCell ref="JL294:JM294"/>
    <mergeCell ref="JJ294:JK294"/>
    <mergeCell ref="JF300:JG300"/>
    <mergeCell ref="JF299:JG299"/>
    <mergeCell ref="IZ300:JA300"/>
    <mergeCell ref="JH294:JI294"/>
    <mergeCell ref="JJ295:JK295"/>
    <mergeCell ref="JL295:JM295"/>
    <mergeCell ref="IV295:IW295"/>
    <mergeCell ref="JD294:JE294"/>
    <mergeCell ref="JF294:JG294"/>
    <mergeCell ref="IX295:IY295"/>
    <mergeCell ref="IZ295:JA295"/>
    <mergeCell ref="JB295:JC295"/>
    <mergeCell ref="JD307:JE307"/>
    <mergeCell ref="JJ296:JK296"/>
    <mergeCell ref="JJ304:JK304"/>
    <mergeCell ref="JL304:JM304"/>
    <mergeCell ref="JF298:JG298"/>
    <mergeCell ref="JL297:JM297"/>
    <mergeCell ref="IV307:IW307"/>
    <mergeCell ref="JB304:JC304"/>
    <mergeCell ref="JJ305:JK305"/>
    <mergeCell ref="JL305:JM305"/>
    <mergeCell ref="IV305:IW305"/>
    <mergeCell ref="IT303:IU303"/>
    <mergeCell ref="JF304:JG304"/>
    <mergeCell ref="JH304:JI304"/>
    <mergeCell ref="IZ306:JA306"/>
    <mergeCell ref="JJ301:JK301"/>
    <mergeCell ref="JJ277:JK277"/>
    <mergeCell ref="JH281:JI281"/>
    <mergeCell ref="JF281:JG281"/>
    <mergeCell ref="IP309:IQ309"/>
    <mergeCell ref="JL301:JM301"/>
    <mergeCell ref="JB306:JC306"/>
    <mergeCell ref="IX298:IY298"/>
    <mergeCell ref="IZ298:JA298"/>
    <mergeCell ref="IX296:IY296"/>
    <mergeCell ref="JH302:JI302"/>
    <mergeCell ref="JH300:JI300"/>
    <mergeCell ref="IX302:IY302"/>
    <mergeCell ref="IZ302:JA302"/>
    <mergeCell ref="JD302:JE302"/>
    <mergeCell ref="JB302:JC302"/>
    <mergeCell ref="JB298:JC298"/>
    <mergeCell ref="JL298:JM298"/>
    <mergeCell ref="IP297:IQ297"/>
    <mergeCell ref="JF289:JG289"/>
    <mergeCell ref="JB289:JC289"/>
    <mergeCell ref="JJ291:JK291"/>
    <mergeCell ref="JH291:JI291"/>
    <mergeCell ref="IT289:IU289"/>
    <mergeCell ref="IP302:IQ302"/>
    <mergeCell ref="IP299:IQ299"/>
    <mergeCell ref="IN301:IO301"/>
    <mergeCell ref="IR297:IS297"/>
    <mergeCell ref="IN296:IO296"/>
    <mergeCell ref="IR291:IS291"/>
    <mergeCell ref="IN292:IO292"/>
    <mergeCell ref="IP292:IQ292"/>
    <mergeCell ref="IT298:IU298"/>
    <mergeCell ref="IN295:IO295"/>
    <mergeCell ref="IR294:IS294"/>
    <mergeCell ref="IR298:IS298"/>
    <mergeCell ref="IR295:IS295"/>
    <mergeCell ref="IV290:IW290"/>
    <mergeCell ref="JH289:JI289"/>
    <mergeCell ref="JF292:JG292"/>
    <mergeCell ref="JH292:JI292"/>
    <mergeCell ref="IN291:IO291"/>
    <mergeCell ref="JH293:JI293"/>
    <mergeCell ref="JJ293:JK293"/>
    <mergeCell ref="JL293:JM293"/>
    <mergeCell ref="JD297:JE297"/>
    <mergeCell ref="IZ297:JA297"/>
    <mergeCell ref="JB296:JC296"/>
    <mergeCell ref="JD296:JE296"/>
    <mergeCell ref="JF296:JG296"/>
    <mergeCell ref="JH296:JI296"/>
    <mergeCell ref="IT296:IU296"/>
    <mergeCell ref="IR289:IS289"/>
    <mergeCell ref="IX290:IY290"/>
    <mergeCell ref="IV301:IW301"/>
    <mergeCell ref="IN289:IO289"/>
    <mergeCell ref="IP289:IQ289"/>
    <mergeCell ref="IV296:IW296"/>
    <mergeCell ref="JB297:JC297"/>
    <mergeCell ref="JD292:JE292"/>
    <mergeCell ref="IR312:IS312"/>
    <mergeCell ref="IN308:IO308"/>
    <mergeCell ref="IP307:IQ307"/>
    <mergeCell ref="IT308:IU308"/>
    <mergeCell ref="IV308:IW308"/>
    <mergeCell ref="IT302:IU302"/>
    <mergeCell ref="IV302:IW302"/>
    <mergeCell ref="JD303:JE303"/>
    <mergeCell ref="JF303:JG303"/>
    <mergeCell ref="IZ305:JA305"/>
    <mergeCell ref="JD305:JE305"/>
    <mergeCell ref="JF305:JG305"/>
    <mergeCell ref="JH305:JI305"/>
    <mergeCell ref="IT301:IU301"/>
    <mergeCell ref="JJ300:JK300"/>
    <mergeCell ref="JL300:JM300"/>
    <mergeCell ref="IZ301:JA301"/>
    <mergeCell ref="IR305:IS305"/>
    <mergeCell ref="IR303:IS303"/>
    <mergeCell ref="JL296:JM296"/>
    <mergeCell ref="JJ298:JK298"/>
    <mergeCell ref="IZ296:JA296"/>
    <mergeCell ref="IV298:IW298"/>
    <mergeCell ref="JJ297:JK297"/>
    <mergeCell ref="JF301:JG301"/>
    <mergeCell ref="IT306:IU306"/>
    <mergeCell ref="IZ304:JA304"/>
    <mergeCell ref="JB305:JC305"/>
    <mergeCell ref="JH298:JI298"/>
    <mergeCell ref="IZ308:JA308"/>
    <mergeCell ref="JB308:JC308"/>
    <mergeCell ref="JJ308:JK308"/>
    <mergeCell ref="JL308:JM308"/>
    <mergeCell ref="JL302:JM302"/>
    <mergeCell ref="JB300:JC300"/>
    <mergeCell ref="JD300:JE300"/>
    <mergeCell ref="JF302:JG302"/>
    <mergeCell ref="IR304:IS304"/>
    <mergeCell ref="IZ303:JA303"/>
    <mergeCell ref="JB303:JC303"/>
    <mergeCell ref="IV299:IW299"/>
    <mergeCell ref="IX299:IY299"/>
    <mergeCell ref="JH306:JI306"/>
    <mergeCell ref="IV306:IW306"/>
    <mergeCell ref="IX306:IY306"/>
    <mergeCell ref="IR300:IS300"/>
    <mergeCell ref="JD299:JE299"/>
    <mergeCell ref="JB301:JC301"/>
    <mergeCell ref="JD301:JE301"/>
    <mergeCell ref="IX301:IY301"/>
    <mergeCell ref="JH303:JI303"/>
    <mergeCell ref="IV304:IW304"/>
    <mergeCell ref="JD306:JE306"/>
    <mergeCell ref="IR301:IS301"/>
    <mergeCell ref="IX310:IY310"/>
    <mergeCell ref="JF307:JG307"/>
    <mergeCell ref="JH307:JI307"/>
    <mergeCell ref="IX305:IY305"/>
    <mergeCell ref="JJ306:JK306"/>
    <mergeCell ref="JL306:JM306"/>
    <mergeCell ref="JD304:JE304"/>
    <mergeCell ref="JH301:JI301"/>
    <mergeCell ref="JJ302:JK302"/>
    <mergeCell ref="IN302:IO302"/>
    <mergeCell ref="IV321:IW321"/>
    <mergeCell ref="IX321:IY321"/>
    <mergeCell ref="IZ321:JA321"/>
    <mergeCell ref="JB321:JC321"/>
    <mergeCell ref="JD321:JE321"/>
    <mergeCell ref="JF321:JG321"/>
    <mergeCell ref="JL321:JM321"/>
    <mergeCell ref="IZ313:JA313"/>
    <mergeCell ref="JB313:JC313"/>
    <mergeCell ref="JD313:JE313"/>
    <mergeCell ref="JD311:JE311"/>
    <mergeCell ref="JJ311:JK311"/>
    <mergeCell ref="JF311:JG311"/>
    <mergeCell ref="JH311:JI311"/>
    <mergeCell ref="IT313:IU313"/>
    <mergeCell ref="IV313:IW313"/>
    <mergeCell ref="IX313:IY313"/>
    <mergeCell ref="JL313:JM313"/>
    <mergeCell ref="IT314:IU314"/>
    <mergeCell ref="IX311:IY311"/>
    <mergeCell ref="IZ311:JA311"/>
    <mergeCell ref="IX320:IY320"/>
    <mergeCell ref="IZ320:JA320"/>
    <mergeCell ref="JF312:JG312"/>
    <mergeCell ref="JH312:JI312"/>
    <mergeCell ref="JB314:JC314"/>
    <mergeCell ref="JD314:JE314"/>
    <mergeCell ref="JF314:JG314"/>
    <mergeCell ref="IV312:IW312"/>
    <mergeCell ref="IX312:IY312"/>
    <mergeCell ref="IT318:IU318"/>
    <mergeCell ref="JJ313:JK313"/>
    <mergeCell ref="JL315:JM315"/>
    <mergeCell ref="JF313:JG313"/>
    <mergeCell ref="JH313:JI313"/>
    <mergeCell ref="JD315:JE315"/>
    <mergeCell ref="JF316:JG316"/>
    <mergeCell ref="JH316:JI316"/>
    <mergeCell ref="JL311:JM311"/>
    <mergeCell ref="JH318:JI318"/>
    <mergeCell ref="JB311:JC311"/>
    <mergeCell ref="JF315:JG315"/>
    <mergeCell ref="JH315:JI315"/>
    <mergeCell ref="IT315:IU315"/>
    <mergeCell ref="IZ312:JA312"/>
    <mergeCell ref="IT312:IU312"/>
    <mergeCell ref="JJ312:JK312"/>
    <mergeCell ref="JJ319:JK319"/>
    <mergeCell ref="IX315:IY315"/>
    <mergeCell ref="JB312:JC312"/>
    <mergeCell ref="JD312:JE312"/>
    <mergeCell ref="JJ315:JK315"/>
    <mergeCell ref="IT311:IU311"/>
    <mergeCell ref="IV314:IW314"/>
    <mergeCell ref="IX314:IY314"/>
    <mergeCell ref="IZ314:JA314"/>
    <mergeCell ref="IT324:IU324"/>
    <mergeCell ref="IV324:IW324"/>
    <mergeCell ref="IX324:IY324"/>
    <mergeCell ref="IZ324:JA324"/>
    <mergeCell ref="JB324:JC324"/>
    <mergeCell ref="JD324:JE324"/>
    <mergeCell ref="JF324:JG324"/>
    <mergeCell ref="JH324:JI324"/>
    <mergeCell ref="JJ324:JK324"/>
    <mergeCell ref="JL324:JM324"/>
    <mergeCell ref="IT322:IU322"/>
    <mergeCell ref="IV322:IW322"/>
    <mergeCell ref="IX322:IY322"/>
    <mergeCell ref="IZ322:JA322"/>
    <mergeCell ref="JB322:JC322"/>
    <mergeCell ref="JD322:JE322"/>
    <mergeCell ref="JF322:JG322"/>
    <mergeCell ref="JH322:JI322"/>
    <mergeCell ref="JJ322:JK322"/>
    <mergeCell ref="JL322:JM322"/>
    <mergeCell ref="JJ317:JK317"/>
    <mergeCell ref="JJ316:JK316"/>
    <mergeCell ref="JL316:JM316"/>
    <mergeCell ref="IT317:IU317"/>
    <mergeCell ref="IV317:IW317"/>
    <mergeCell ref="IX317:IY317"/>
    <mergeCell ref="IZ317:JA317"/>
    <mergeCell ref="JB317:JC317"/>
    <mergeCell ref="JD317:JE317"/>
    <mergeCell ref="JF317:JG317"/>
    <mergeCell ref="JH317:JI317"/>
    <mergeCell ref="IT321:IU321"/>
    <mergeCell ref="IT320:IU320"/>
    <mergeCell ref="IV320:IW320"/>
    <mergeCell ref="IV323:IW323"/>
    <mergeCell ref="IX323:IY323"/>
    <mergeCell ref="IZ323:JA323"/>
    <mergeCell ref="JL320:JM320"/>
    <mergeCell ref="IT316:IU316"/>
    <mergeCell ref="IT323:IU323"/>
    <mergeCell ref="JB323:JC323"/>
    <mergeCell ref="JD323:JE323"/>
    <mergeCell ref="JF323:JG323"/>
    <mergeCell ref="JH323:JI323"/>
    <mergeCell ref="JJ323:JK323"/>
    <mergeCell ref="JL323:JM323"/>
    <mergeCell ref="IX318:IY318"/>
    <mergeCell ref="JB320:JC320"/>
    <mergeCell ref="JH321:JI321"/>
    <mergeCell ref="JJ321:JK321"/>
    <mergeCell ref="IV316:IW316"/>
    <mergeCell ref="IZ318:JA318"/>
    <mergeCell ref="JB318:JC318"/>
    <mergeCell ref="JD318:JE318"/>
    <mergeCell ref="JF318:JG318"/>
    <mergeCell ref="IT319:IU319"/>
    <mergeCell ref="IV319:IW319"/>
    <mergeCell ref="IX316:IY316"/>
    <mergeCell ref="IZ316:JA316"/>
    <mergeCell ref="JD320:JE320"/>
    <mergeCell ref="JF320:JG320"/>
    <mergeCell ref="IX319:IY319"/>
    <mergeCell ref="JH320:JI320"/>
    <mergeCell ref="JJ320:JK320"/>
    <mergeCell ref="IT310:IU310"/>
    <mergeCell ref="JL307:JM307"/>
    <mergeCell ref="JJ303:JK303"/>
    <mergeCell ref="JL303:JM303"/>
    <mergeCell ref="IT304:IU304"/>
    <mergeCell ref="JB288:JC288"/>
    <mergeCell ref="JJ288:JK288"/>
    <mergeCell ref="JL288:JM288"/>
    <mergeCell ref="JD284:JE284"/>
    <mergeCell ref="JD283:JE283"/>
    <mergeCell ref="JB284:JC284"/>
    <mergeCell ref="JF287:JG287"/>
    <mergeCell ref="JF310:JG310"/>
    <mergeCell ref="JL284:JM284"/>
    <mergeCell ref="JF309:JG309"/>
    <mergeCell ref="JH286:JI286"/>
    <mergeCell ref="JL312:JM312"/>
    <mergeCell ref="JL318:JM318"/>
    <mergeCell ref="JH314:JI314"/>
    <mergeCell ref="JJ314:JK314"/>
    <mergeCell ref="JL314:JM314"/>
    <mergeCell ref="IV311:IW311"/>
    <mergeCell ref="IV318:IW318"/>
    <mergeCell ref="JL319:JM319"/>
    <mergeCell ref="JL317:JM317"/>
    <mergeCell ref="IV315:IW315"/>
    <mergeCell ref="JB316:JC316"/>
    <mergeCell ref="JB307:JC307"/>
    <mergeCell ref="JJ307:JK307"/>
    <mergeCell ref="JH295:JI295"/>
    <mergeCell ref="JJ290:JK290"/>
    <mergeCell ref="IZ291:JA291"/>
    <mergeCell ref="IZ299:JA299"/>
    <mergeCell ref="JB299:JC299"/>
    <mergeCell ref="JJ286:JK286"/>
    <mergeCell ref="JL286:JM286"/>
    <mergeCell ref="IZ315:JA315"/>
    <mergeCell ref="IV310:IW310"/>
    <mergeCell ref="JB315:JC315"/>
    <mergeCell ref="JJ285:JK285"/>
    <mergeCell ref="IZ319:JA319"/>
    <mergeCell ref="JB319:JC319"/>
    <mergeCell ref="JD319:JE319"/>
    <mergeCell ref="JH309:JI309"/>
    <mergeCell ref="JJ309:JK309"/>
    <mergeCell ref="JJ292:JK292"/>
    <mergeCell ref="JL292:JM292"/>
    <mergeCell ref="JL289:JM289"/>
    <mergeCell ref="JF290:JG290"/>
    <mergeCell ref="JH290:JI290"/>
    <mergeCell ref="IZ290:JA290"/>
    <mergeCell ref="JB290:JC290"/>
    <mergeCell ref="JD290:JE290"/>
    <mergeCell ref="JL290:JM290"/>
    <mergeCell ref="JL291:JM291"/>
    <mergeCell ref="JJ289:JK289"/>
    <mergeCell ref="JD289:JE289"/>
    <mergeCell ref="JL309:JM309"/>
    <mergeCell ref="JH310:JI310"/>
    <mergeCell ref="JJ310:JK310"/>
    <mergeCell ref="JL310:JM310"/>
    <mergeCell ref="JB310:JC310"/>
    <mergeCell ref="JD310:JE310"/>
    <mergeCell ref="IV309:IW309"/>
    <mergeCell ref="JJ284:JK284"/>
    <mergeCell ref="JF319:JG319"/>
    <mergeCell ref="JH319:JI319"/>
    <mergeCell ref="JJ318:JK318"/>
    <mergeCell ref="JD316:JE316"/>
    <mergeCell ref="JB291:JC291"/>
    <mergeCell ref="JD291:JE291"/>
    <mergeCell ref="JF291:JG291"/>
    <mergeCell ref="IX304:IY304"/>
    <mergeCell ref="IZ310:JA310"/>
    <mergeCell ref="IX308:IY308"/>
    <mergeCell ref="JD308:JE308"/>
    <mergeCell ref="IX309:IY309"/>
    <mergeCell ref="IZ309:JA309"/>
    <mergeCell ref="JB309:JC309"/>
    <mergeCell ref="JD309:JE309"/>
    <mergeCell ref="JH288:JI288"/>
    <mergeCell ref="JB286:JC286"/>
    <mergeCell ref="JF286:JG286"/>
    <mergeCell ref="IV288:IW288"/>
    <mergeCell ref="JH269:JI269"/>
    <mergeCell ref="JH263:JI263"/>
    <mergeCell ref="JB273:JC273"/>
    <mergeCell ref="JL274:JM274"/>
    <mergeCell ref="JL271:JM271"/>
    <mergeCell ref="JB272:JC272"/>
    <mergeCell ref="JH275:JI275"/>
    <mergeCell ref="JB268:JC268"/>
    <mergeCell ref="JB270:JC270"/>
    <mergeCell ref="JL268:JM268"/>
    <mergeCell ref="IX265:IY265"/>
    <mergeCell ref="JH284:JI284"/>
    <mergeCell ref="IX287:IY287"/>
    <mergeCell ref="JF271:JG271"/>
    <mergeCell ref="JL277:JM277"/>
    <mergeCell ref="IZ280:JA280"/>
    <mergeCell ref="JB280:JC280"/>
    <mergeCell ref="JD280:JE280"/>
    <mergeCell ref="IX283:IY283"/>
    <mergeCell ref="JJ282:JK282"/>
    <mergeCell ref="JD285:JE285"/>
    <mergeCell ref="JF285:JG285"/>
    <mergeCell ref="JH285:JI285"/>
    <mergeCell ref="JH287:JI287"/>
    <mergeCell ref="JJ287:JK287"/>
    <mergeCell ref="IZ281:JA281"/>
    <mergeCell ref="JH283:JI283"/>
    <mergeCell ref="JH282:JI282"/>
    <mergeCell ref="JL282:JM282"/>
    <mergeCell ref="JD288:JE288"/>
    <mergeCell ref="IX288:IY288"/>
    <mergeCell ref="JF288:JG288"/>
    <mergeCell ref="JL281:JM281"/>
    <mergeCell ref="IV266:IW266"/>
    <mergeCell ref="IX266:IY266"/>
    <mergeCell ref="IZ266:JA266"/>
    <mergeCell ref="JJ266:JK266"/>
    <mergeCell ref="JH274:JI274"/>
    <mergeCell ref="JJ275:JK275"/>
    <mergeCell ref="JJ274:JK274"/>
    <mergeCell ref="JJ280:JK280"/>
    <mergeCell ref="JH278:JI278"/>
    <mergeCell ref="JL279:JM279"/>
    <mergeCell ref="JL273:JM273"/>
    <mergeCell ref="JL256:JM256"/>
    <mergeCell ref="JL272:JM272"/>
    <mergeCell ref="JL280:JM280"/>
    <mergeCell ref="IV256:IW256"/>
    <mergeCell ref="IZ244:JA244"/>
    <mergeCell ref="IV244:IW244"/>
    <mergeCell ref="IX244:IY244"/>
    <mergeCell ref="JJ246:JK246"/>
    <mergeCell ref="JL253:JM253"/>
    <mergeCell ref="JD259:JE259"/>
    <mergeCell ref="IZ259:JA259"/>
    <mergeCell ref="JH258:JI258"/>
    <mergeCell ref="JL250:JM250"/>
    <mergeCell ref="JF274:JG274"/>
    <mergeCell ref="JL270:JM270"/>
    <mergeCell ref="JL264:JM264"/>
    <mergeCell ref="JL269:JM269"/>
    <mergeCell ref="JL267:JM267"/>
    <mergeCell ref="JL265:JM265"/>
    <mergeCell ref="JL266:JM266"/>
    <mergeCell ref="JL275:JM275"/>
    <mergeCell ref="JJ270:JK270"/>
    <mergeCell ref="JB248:JC248"/>
    <mergeCell ref="JD248:JE248"/>
    <mergeCell ref="IV248:IW248"/>
    <mergeCell ref="JJ244:JK244"/>
    <mergeCell ref="IV253:IW253"/>
    <mergeCell ref="IV252:IW252"/>
    <mergeCell ref="IX252:IY252"/>
    <mergeCell ref="IZ252:JA252"/>
    <mergeCell ref="JJ250:JK250"/>
    <mergeCell ref="JJ264:JK264"/>
    <mergeCell ref="JB264:JC264"/>
    <mergeCell ref="JD264:JE264"/>
    <mergeCell ref="IX259:IY259"/>
    <mergeCell ref="JJ258:JK258"/>
    <mergeCell ref="JD270:JE270"/>
    <mergeCell ref="IX263:IY263"/>
    <mergeCell ref="IX267:IY267"/>
    <mergeCell ref="IZ267:JA267"/>
    <mergeCell ref="IX251:IY251"/>
    <mergeCell ref="IZ251:JA251"/>
    <mergeCell ref="JB251:JC251"/>
    <mergeCell ref="JD251:JE251"/>
    <mergeCell ref="JL278:JM278"/>
    <mergeCell ref="JH279:JI279"/>
    <mergeCell ref="IZ278:JA278"/>
    <mergeCell ref="IX275:IY275"/>
    <mergeCell ref="JB262:JC262"/>
    <mergeCell ref="JD279:JE279"/>
    <mergeCell ref="JF279:JG279"/>
    <mergeCell ref="JD245:JE245"/>
    <mergeCell ref="JF251:JG251"/>
    <mergeCell ref="JB252:JC252"/>
    <mergeCell ref="JD252:JE252"/>
    <mergeCell ref="JF252:JG252"/>
    <mergeCell ref="IX248:IY248"/>
    <mergeCell ref="JH248:JI248"/>
    <mergeCell ref="JJ245:JK245"/>
    <mergeCell ref="JF247:JG247"/>
    <mergeCell ref="JD256:JE256"/>
    <mergeCell ref="JF256:JG256"/>
    <mergeCell ref="JF280:JG280"/>
    <mergeCell ref="JH280:JI280"/>
    <mergeCell ref="JB283:JC283"/>
    <mergeCell ref="JF276:JG276"/>
    <mergeCell ref="JJ283:JK283"/>
    <mergeCell ref="JL287:JM287"/>
    <mergeCell ref="JD176:JE176"/>
    <mergeCell ref="IZ283:JA283"/>
    <mergeCell ref="JL285:JM285"/>
    <mergeCell ref="IX234:IY234"/>
    <mergeCell ref="IZ234:JA234"/>
    <mergeCell ref="JB233:JC233"/>
    <mergeCell ref="JD233:JE233"/>
    <mergeCell ref="JF233:JG233"/>
    <mergeCell ref="JH233:JI233"/>
    <mergeCell ref="JJ233:JK233"/>
    <mergeCell ref="JD196:JE196"/>
    <mergeCell ref="JB182:JC182"/>
    <mergeCell ref="IZ178:JA178"/>
    <mergeCell ref="JJ177:JK177"/>
    <mergeCell ref="JJ281:JK281"/>
    <mergeCell ref="JJ263:JK263"/>
    <mergeCell ref="JL263:JM263"/>
    <mergeCell ref="JJ273:JK273"/>
    <mergeCell ref="JH276:JI276"/>
    <mergeCell ref="JJ276:JK276"/>
    <mergeCell ref="JL260:JM260"/>
    <mergeCell ref="JJ261:JK261"/>
    <mergeCell ref="JB247:JC247"/>
    <mergeCell ref="JJ247:JK247"/>
    <mergeCell ref="IZ249:JA249"/>
    <mergeCell ref="JL245:JM245"/>
    <mergeCell ref="JL261:JM261"/>
    <mergeCell ref="JL247:JM247"/>
    <mergeCell ref="JL251:JM251"/>
    <mergeCell ref="JL262:JM262"/>
    <mergeCell ref="JJ254:JK254"/>
    <mergeCell ref="JL254:JM254"/>
    <mergeCell ref="JJ257:JK257"/>
    <mergeCell ref="JL257:JM257"/>
    <mergeCell ref="JL258:JM258"/>
    <mergeCell ref="JJ259:JK259"/>
    <mergeCell ref="JL259:JM259"/>
    <mergeCell ref="JL252:JM252"/>
    <mergeCell ref="JL237:JM237"/>
    <mergeCell ref="JL232:JM232"/>
    <mergeCell ref="JL233:JM233"/>
    <mergeCell ref="JL235:JM235"/>
    <mergeCell ref="JL283:JM283"/>
    <mergeCell ref="JD182:JE182"/>
    <mergeCell ref="JL238:JM238"/>
    <mergeCell ref="JD243:JE243"/>
    <mergeCell ref="JF243:JG243"/>
    <mergeCell ref="JB242:JC242"/>
    <mergeCell ref="JD242:JE242"/>
    <mergeCell ref="JF242:JG242"/>
    <mergeCell ref="JH242:JI242"/>
    <mergeCell ref="JJ242:JK242"/>
    <mergeCell ref="IX228:IY228"/>
    <mergeCell ref="JL276:JM276"/>
    <mergeCell ref="JF272:JG272"/>
    <mergeCell ref="JF278:JG278"/>
    <mergeCell ref="JB250:JC250"/>
    <mergeCell ref="JH250:JI250"/>
    <mergeCell ref="JL255:JM255"/>
    <mergeCell ref="JJ256:JK256"/>
    <mergeCell ref="JF196:JG196"/>
    <mergeCell ref="JH196:JI196"/>
    <mergeCell ref="JJ182:JK182"/>
    <mergeCell ref="JL182:JM182"/>
    <mergeCell ref="JD180:JE180"/>
    <mergeCell ref="IZ171:JA171"/>
    <mergeCell ref="JB178:JC178"/>
    <mergeCell ref="JF181:JG181"/>
    <mergeCell ref="JH181:JI181"/>
    <mergeCell ref="JF178:JG178"/>
    <mergeCell ref="JJ248:JK248"/>
    <mergeCell ref="JL248:JM248"/>
    <mergeCell ref="JF244:JG244"/>
    <mergeCell ref="JJ181:JK181"/>
    <mergeCell ref="JL181:JM181"/>
    <mergeCell ref="JF180:JG180"/>
    <mergeCell ref="JJ228:JK228"/>
    <mergeCell ref="JB234:JC234"/>
    <mergeCell ref="JL234:JM234"/>
    <mergeCell ref="JJ175:JK175"/>
    <mergeCell ref="JJ171:JK171"/>
    <mergeCell ref="JF177:JG177"/>
    <mergeCell ref="JH191:JI191"/>
    <mergeCell ref="JJ191:JK191"/>
    <mergeCell ref="JL191:JM191"/>
    <mergeCell ref="JJ237:JK237"/>
    <mergeCell ref="JJ235:JK235"/>
    <mergeCell ref="JJ238:JK238"/>
    <mergeCell ref="JJ185:JK185"/>
    <mergeCell ref="JL185:JM185"/>
    <mergeCell ref="JL244:JM244"/>
    <mergeCell ref="JJ232:JK232"/>
    <mergeCell ref="JL242:JM242"/>
    <mergeCell ref="JB243:JC243"/>
    <mergeCell ref="JL246:JM246"/>
    <mergeCell ref="JF245:JG245"/>
    <mergeCell ref="JJ243:JK243"/>
    <mergeCell ref="JL243:JM243"/>
    <mergeCell ref="JF238:JG238"/>
    <mergeCell ref="JH238:JI238"/>
    <mergeCell ref="IZ235:JA235"/>
    <mergeCell ref="IZ196:JA196"/>
    <mergeCell ref="JJ234:JK234"/>
    <mergeCell ref="JB228:JC228"/>
    <mergeCell ref="JF188:JG188"/>
    <mergeCell ref="JH188:JI188"/>
    <mergeCell ref="IZ191:JA191"/>
    <mergeCell ref="JH195:JI195"/>
    <mergeCell ref="JJ195:JK195"/>
    <mergeCell ref="JL236:JM236"/>
    <mergeCell ref="JF234:JG234"/>
    <mergeCell ref="IZ180:JA180"/>
    <mergeCell ref="JL173:JM173"/>
    <mergeCell ref="JH173:JI173"/>
    <mergeCell ref="JD235:JE235"/>
    <mergeCell ref="JH232:JI232"/>
    <mergeCell ref="JF173:JG173"/>
    <mergeCell ref="IZ173:JA173"/>
    <mergeCell ref="JH182:JI182"/>
    <mergeCell ref="JJ183:JK183"/>
    <mergeCell ref="JL183:JM183"/>
    <mergeCell ref="JB188:JC188"/>
    <mergeCell ref="JD188:JE188"/>
    <mergeCell ref="IZ188:JA188"/>
    <mergeCell ref="IX175:IY175"/>
    <mergeCell ref="IX177:IY177"/>
    <mergeCell ref="JL195:JM195"/>
    <mergeCell ref="JF195:JG195"/>
    <mergeCell ref="JF179:JG179"/>
    <mergeCell ref="JH179:JI179"/>
    <mergeCell ref="JJ179:JK179"/>
    <mergeCell ref="JD178:JE178"/>
    <mergeCell ref="JL164:JM164"/>
    <mergeCell ref="JH172:JI172"/>
    <mergeCell ref="JJ172:JK172"/>
    <mergeCell ref="JL172:JM172"/>
    <mergeCell ref="JH183:JI183"/>
    <mergeCell ref="JB221:JC221"/>
    <mergeCell ref="JD221:JE221"/>
    <mergeCell ref="JD228:JE228"/>
    <mergeCell ref="JB185:JC185"/>
    <mergeCell ref="JD185:JE185"/>
    <mergeCell ref="JL170:JM170"/>
    <mergeCell ref="JF175:JG175"/>
    <mergeCell ref="JB196:JC196"/>
    <mergeCell ref="JH169:JI169"/>
    <mergeCell ref="JL165:JM165"/>
    <mergeCell ref="JF161:JG161"/>
    <mergeCell ref="JJ162:JK162"/>
    <mergeCell ref="JB164:JC164"/>
    <mergeCell ref="JJ188:JK188"/>
    <mergeCell ref="JL188:JM188"/>
    <mergeCell ref="JL178:JM178"/>
    <mergeCell ref="JB232:JC232"/>
    <mergeCell ref="JD232:JE232"/>
    <mergeCell ref="JF232:JG232"/>
    <mergeCell ref="JH228:JI228"/>
    <mergeCell ref="JB176:JC176"/>
    <mergeCell ref="JD179:JE179"/>
    <mergeCell ref="JB181:JC181"/>
    <mergeCell ref="JB191:JC191"/>
    <mergeCell ref="JD181:JE181"/>
    <mergeCell ref="JD168:JE168"/>
    <mergeCell ref="JB169:JC169"/>
    <mergeCell ref="JF168:JG168"/>
    <mergeCell ref="JH168:JI168"/>
    <mergeCell ref="JJ168:JK168"/>
    <mergeCell ref="JJ169:JK169"/>
    <mergeCell ref="JJ173:JK173"/>
    <mergeCell ref="JF185:JG185"/>
    <mergeCell ref="JH185:JI185"/>
    <mergeCell ref="JL221:JM221"/>
    <mergeCell ref="JL228:JM228"/>
    <mergeCell ref="JJ178:JK178"/>
    <mergeCell ref="JL166:JM166"/>
    <mergeCell ref="JH175:JI175"/>
    <mergeCell ref="JL175:JM175"/>
    <mergeCell ref="JJ196:JK196"/>
    <mergeCell ref="JL196:JM196"/>
    <mergeCell ref="JD169:JE169"/>
    <mergeCell ref="JH176:JI176"/>
    <mergeCell ref="JF228:JG228"/>
    <mergeCell ref="JJ221:JK221"/>
    <mergeCell ref="JH221:JI221"/>
    <mergeCell ref="IX163:IY163"/>
    <mergeCell ref="JB161:JC161"/>
    <mergeCell ref="IX176:IY176"/>
    <mergeCell ref="JF221:JG221"/>
    <mergeCell ref="JH166:JI166"/>
    <mergeCell ref="IZ164:JA164"/>
    <mergeCell ref="JJ166:JK166"/>
    <mergeCell ref="JL158:JM158"/>
    <mergeCell ref="JF174:JG174"/>
    <mergeCell ref="IZ176:JA176"/>
    <mergeCell ref="JH157:JI157"/>
    <mergeCell ref="JD161:JE161"/>
    <mergeCell ref="IZ162:JA162"/>
    <mergeCell ref="JL177:JM177"/>
    <mergeCell ref="JL180:JM180"/>
    <mergeCell ref="JD174:JE174"/>
    <mergeCell ref="IZ167:JA167"/>
    <mergeCell ref="JD155:JE155"/>
    <mergeCell ref="IZ177:JA177"/>
    <mergeCell ref="JB180:JC180"/>
    <mergeCell ref="JB177:JC177"/>
    <mergeCell ref="JH178:JI178"/>
    <mergeCell ref="JF176:JG176"/>
    <mergeCell ref="IZ174:JA174"/>
    <mergeCell ref="JB179:JC179"/>
    <mergeCell ref="JL152:JM152"/>
    <mergeCell ref="JH177:JI177"/>
    <mergeCell ref="JH174:JI174"/>
    <mergeCell ref="JH180:JI180"/>
    <mergeCell ref="JJ154:JK154"/>
    <mergeCell ref="IZ189:JA189"/>
    <mergeCell ref="JB189:JC189"/>
    <mergeCell ref="JD189:JE189"/>
    <mergeCell ref="JF189:JG189"/>
    <mergeCell ref="JH189:JI189"/>
    <mergeCell ref="JJ189:JK189"/>
    <mergeCell ref="JL189:JM189"/>
    <mergeCell ref="IZ186:JA186"/>
    <mergeCell ref="JB186:JC186"/>
    <mergeCell ref="IZ175:JA175"/>
    <mergeCell ref="JJ186:JK186"/>
    <mergeCell ref="JL186:JM186"/>
    <mergeCell ref="JH156:JI156"/>
    <mergeCell ref="JD177:JE177"/>
    <mergeCell ref="IZ160:JA160"/>
    <mergeCell ref="JD187:JE187"/>
    <mergeCell ref="JF187:JG187"/>
    <mergeCell ref="JH187:JI187"/>
    <mergeCell ref="JJ187:JK187"/>
    <mergeCell ref="JL187:JM187"/>
    <mergeCell ref="JB187:JC187"/>
    <mergeCell ref="JD191:JE191"/>
    <mergeCell ref="JD171:JE171"/>
    <mergeCell ref="JF182:JG182"/>
    <mergeCell ref="IX173:IY173"/>
    <mergeCell ref="JJ78:JK78"/>
    <mergeCell ref="JB92:JC92"/>
    <mergeCell ref="JD92:JE92"/>
    <mergeCell ref="JB78:JC78"/>
    <mergeCell ref="JH81:JI81"/>
    <mergeCell ref="JJ81:JK81"/>
    <mergeCell ref="JL81:JM81"/>
    <mergeCell ref="JB195:JC195"/>
    <mergeCell ref="JD195:JE195"/>
    <mergeCell ref="IZ195:JA195"/>
    <mergeCell ref="JB175:JC175"/>
    <mergeCell ref="JD175:JE175"/>
    <mergeCell ref="JL148:JM148"/>
    <mergeCell ref="JB173:JC173"/>
    <mergeCell ref="JD173:JE173"/>
    <mergeCell ref="JL147:JM147"/>
    <mergeCell ref="IZ158:JA158"/>
    <mergeCell ref="JH163:JI163"/>
    <mergeCell ref="JL159:JM159"/>
    <mergeCell ref="IZ161:JA161"/>
    <mergeCell ref="JB152:JC152"/>
    <mergeCell ref="JF140:JG140"/>
    <mergeCell ref="JB170:JC170"/>
    <mergeCell ref="JH170:JI170"/>
    <mergeCell ref="JJ147:JK147"/>
    <mergeCell ref="IX135:IY135"/>
    <mergeCell ref="JJ151:JK151"/>
    <mergeCell ref="JH141:JI141"/>
    <mergeCell ref="JF151:JG151"/>
    <mergeCell ref="JH151:JI151"/>
    <mergeCell ref="JD144:JE144"/>
    <mergeCell ref="JH145:JI145"/>
    <mergeCell ref="JF149:JG149"/>
    <mergeCell ref="IX132:IY132"/>
    <mergeCell ref="JB145:JC145"/>
    <mergeCell ref="JJ145:JK145"/>
    <mergeCell ref="JH140:JI140"/>
    <mergeCell ref="IZ137:JA137"/>
    <mergeCell ref="JB154:JC154"/>
    <mergeCell ref="JB132:JC132"/>
    <mergeCell ref="JH92:JI92"/>
    <mergeCell ref="JJ159:JK159"/>
    <mergeCell ref="JL84:JM84"/>
    <mergeCell ref="JL86:JM86"/>
    <mergeCell ref="JL88:JM88"/>
    <mergeCell ref="JF85:JG85"/>
    <mergeCell ref="JH85:JI85"/>
    <mergeCell ref="JJ85:JK85"/>
    <mergeCell ref="JH89:JI89"/>
    <mergeCell ref="JJ89:JK89"/>
    <mergeCell ref="JJ124:JK124"/>
    <mergeCell ref="IX125:IY125"/>
    <mergeCell ref="IZ125:JA125"/>
    <mergeCell ref="IX88:IY88"/>
    <mergeCell ref="JD148:JE148"/>
    <mergeCell ref="IX140:IY140"/>
    <mergeCell ref="JD160:JE160"/>
    <mergeCell ref="IX86:IY86"/>
    <mergeCell ref="JB87:JC87"/>
    <mergeCell ref="JH86:JI86"/>
    <mergeCell ref="JD91:JE91"/>
    <mergeCell ref="JF88:JG88"/>
    <mergeCell ref="JH88:JI88"/>
    <mergeCell ref="JJ88:JK88"/>
    <mergeCell ref="IZ88:JA88"/>
    <mergeCell ref="JB88:JC88"/>
    <mergeCell ref="JF93:JG93"/>
    <mergeCell ref="JJ92:JK92"/>
    <mergeCell ref="IX123:IY123"/>
    <mergeCell ref="JF172:JG172"/>
    <mergeCell ref="IZ91:JA91"/>
    <mergeCell ref="JB91:JC91"/>
    <mergeCell ref="IZ93:JA93"/>
    <mergeCell ref="JB93:JC93"/>
    <mergeCell ref="JH121:JI121"/>
    <mergeCell ref="JJ121:JK121"/>
    <mergeCell ref="JL121:JM121"/>
    <mergeCell ref="JB156:JC156"/>
    <mergeCell ref="IZ156:JA156"/>
    <mergeCell ref="JB165:JC165"/>
    <mergeCell ref="IZ165:JA165"/>
    <mergeCell ref="JB166:JC166"/>
    <mergeCell ref="JD166:JE166"/>
    <mergeCell ref="JH158:JI158"/>
    <mergeCell ref="JH160:JI160"/>
    <mergeCell ref="JJ160:JK160"/>
    <mergeCell ref="JF163:JG163"/>
    <mergeCell ref="JF165:JG165"/>
    <mergeCell ref="JD162:JE162"/>
    <mergeCell ref="JB162:JC162"/>
    <mergeCell ref="IZ163:JA163"/>
    <mergeCell ref="JB163:JC163"/>
    <mergeCell ref="JL157:JM157"/>
    <mergeCell ref="IZ169:JA169"/>
    <mergeCell ref="JL154:JM154"/>
    <mergeCell ref="JJ170:JK170"/>
    <mergeCell ref="JF170:JG170"/>
    <mergeCell ref="JJ111:JK111"/>
    <mergeCell ref="JL111:JM111"/>
    <mergeCell ref="JF119:JG119"/>
    <mergeCell ref="JB120:JC120"/>
    <mergeCell ref="JD120:JE120"/>
    <mergeCell ref="JB111:JC111"/>
    <mergeCell ref="IX153:IY153"/>
    <mergeCell ref="IZ170:JA170"/>
    <mergeCell ref="JD93:JE93"/>
    <mergeCell ref="JL160:JM160"/>
    <mergeCell ref="JD163:JE163"/>
    <mergeCell ref="JL150:JM150"/>
    <mergeCell ref="JJ164:JK164"/>
    <mergeCell ref="JJ155:JK155"/>
    <mergeCell ref="JF166:JG166"/>
    <mergeCell ref="JJ163:JK163"/>
    <mergeCell ref="IZ150:JA150"/>
    <mergeCell ref="IZ155:JA155"/>
    <mergeCell ref="JD156:JE156"/>
    <mergeCell ref="JF157:JG157"/>
    <mergeCell ref="IZ154:JA154"/>
    <mergeCell ref="JF154:JG154"/>
    <mergeCell ref="IZ172:JA172"/>
    <mergeCell ref="JB172:JC172"/>
    <mergeCell ref="JD172:JE172"/>
    <mergeCell ref="JL153:JM153"/>
    <mergeCell ref="JB168:JC168"/>
    <mergeCell ref="IT80:IU80"/>
    <mergeCell ref="IV80:IW80"/>
    <mergeCell ref="IX80:IY80"/>
    <mergeCell ref="IZ80:JA80"/>
    <mergeCell ref="JH80:JI80"/>
    <mergeCell ref="JJ80:JK80"/>
    <mergeCell ref="JL80:JM80"/>
    <mergeCell ref="JL87:JM87"/>
    <mergeCell ref="JL82:JM82"/>
    <mergeCell ref="JH93:JI93"/>
    <mergeCell ref="JJ93:JK93"/>
    <mergeCell ref="JL85:JM85"/>
    <mergeCell ref="JD85:JE85"/>
    <mergeCell ref="JJ117:JK117"/>
    <mergeCell ref="JL117:JM117"/>
    <mergeCell ref="IT115:IU115"/>
    <mergeCell ref="JL102:JM102"/>
    <mergeCell ref="JL95:JM95"/>
    <mergeCell ref="IX100:IY100"/>
    <mergeCell ref="IZ100:JA100"/>
    <mergeCell ref="JB100:JC100"/>
    <mergeCell ref="JD100:JE100"/>
    <mergeCell ref="JF100:JG100"/>
    <mergeCell ref="JH100:JI100"/>
    <mergeCell ref="JJ100:JK100"/>
    <mergeCell ref="JL100:JM100"/>
    <mergeCell ref="JD96:JE96"/>
    <mergeCell ref="JF96:JG96"/>
    <mergeCell ref="IT84:IU84"/>
    <mergeCell ref="IV84:IW84"/>
    <mergeCell ref="IX84:IY84"/>
    <mergeCell ref="IZ84:JA84"/>
    <mergeCell ref="JB84:JC84"/>
    <mergeCell ref="JD84:JE84"/>
    <mergeCell ref="JF84:JG84"/>
    <mergeCell ref="JH84:JI84"/>
    <mergeCell ref="JJ84:JK84"/>
    <mergeCell ref="IX91:IY91"/>
    <mergeCell ref="IT111:IU111"/>
    <mergeCell ref="JH87:JI87"/>
    <mergeCell ref="IZ97:JA97"/>
    <mergeCell ref="JB97:JC97"/>
    <mergeCell ref="JD97:JE97"/>
    <mergeCell ref="JF97:JG97"/>
    <mergeCell ref="JH97:JI97"/>
    <mergeCell ref="JJ97:JK97"/>
    <mergeCell ref="JL97:JM97"/>
    <mergeCell ref="IT102:IU102"/>
    <mergeCell ref="IV102:IW102"/>
    <mergeCell ref="IX102:IY102"/>
    <mergeCell ref="IZ102:JA102"/>
    <mergeCell ref="JB102:JC102"/>
    <mergeCell ref="JD102:JE102"/>
    <mergeCell ref="JF102:JG102"/>
    <mergeCell ref="JH102:JI102"/>
    <mergeCell ref="JJ102:JK102"/>
    <mergeCell ref="IZ94:JA94"/>
    <mergeCell ref="IV88:IW88"/>
    <mergeCell ref="JD88:JE88"/>
    <mergeCell ref="JH91:JI91"/>
    <mergeCell ref="JB83:JC83"/>
    <mergeCell ref="JB85:JC85"/>
    <mergeCell ref="JJ86:JK86"/>
    <mergeCell ref="IX94:IY94"/>
    <mergeCell ref="IZ83:JA83"/>
    <mergeCell ref="IV76:IW76"/>
    <mergeCell ref="IT123:IU123"/>
    <mergeCell ref="JL124:JM124"/>
    <mergeCell ref="JF125:JG125"/>
    <mergeCell ref="IT121:IU121"/>
    <mergeCell ref="IZ121:JA121"/>
    <mergeCell ref="JB121:JC121"/>
    <mergeCell ref="IZ82:JA82"/>
    <mergeCell ref="JH116:JI116"/>
    <mergeCell ref="JJ116:JK116"/>
    <mergeCell ref="JL116:JM116"/>
    <mergeCell ref="JB116:JC116"/>
    <mergeCell ref="JF121:JG121"/>
    <mergeCell ref="IX112:IY112"/>
    <mergeCell ref="IZ112:JA112"/>
    <mergeCell ref="JH139:JI139"/>
    <mergeCell ref="JF133:JG133"/>
    <mergeCell ref="IZ135:JA135"/>
    <mergeCell ref="IT83:IU83"/>
    <mergeCell ref="IV82:IW82"/>
    <mergeCell ref="JD80:JE80"/>
    <mergeCell ref="JF80:JG80"/>
    <mergeCell ref="JH82:JI82"/>
    <mergeCell ref="JJ82:JK82"/>
    <mergeCell ref="JD87:JE87"/>
    <mergeCell ref="IT82:IU82"/>
    <mergeCell ref="JF82:JG82"/>
    <mergeCell ref="IX82:IY82"/>
    <mergeCell ref="JL123:JM123"/>
    <mergeCell ref="IV83:IW83"/>
    <mergeCell ref="IX83:IY83"/>
    <mergeCell ref="JF83:JG83"/>
    <mergeCell ref="JH83:JI83"/>
    <mergeCell ref="JJ83:JK83"/>
    <mergeCell ref="JD83:JE83"/>
    <mergeCell ref="IZ85:JA85"/>
    <mergeCell ref="IX85:IY85"/>
    <mergeCell ref="JL83:JM83"/>
    <mergeCell ref="JF116:JG116"/>
    <mergeCell ref="JB122:JC122"/>
    <mergeCell ref="JD122:JE122"/>
    <mergeCell ref="JF122:JG122"/>
    <mergeCell ref="JH122:JI122"/>
    <mergeCell ref="JL92:JM92"/>
    <mergeCell ref="IV92:IW92"/>
    <mergeCell ref="IX92:IY92"/>
    <mergeCell ref="IZ92:JA92"/>
    <mergeCell ref="JL89:JM89"/>
    <mergeCell ref="JD82:JE82"/>
    <mergeCell ref="IV122:IW122"/>
    <mergeCell ref="IX122:IY122"/>
    <mergeCell ref="IZ118:JA118"/>
    <mergeCell ref="JJ76:JK76"/>
    <mergeCell ref="JL76:JM76"/>
    <mergeCell ref="IT76:IU76"/>
    <mergeCell ref="JL78:JM78"/>
    <mergeCell ref="IT81:IU81"/>
    <mergeCell ref="JD79:JE79"/>
    <mergeCell ref="JF79:JG79"/>
    <mergeCell ref="JH79:JI79"/>
    <mergeCell ref="JJ79:JK79"/>
    <mergeCell ref="JL79:JM79"/>
    <mergeCell ref="JB103:JC103"/>
    <mergeCell ref="IT79:IU79"/>
    <mergeCell ref="IV79:IW79"/>
    <mergeCell ref="JJ72:JK72"/>
    <mergeCell ref="JL72:JM72"/>
    <mergeCell ref="IX69:IY69"/>
    <mergeCell ref="IZ69:JA69"/>
    <mergeCell ref="IT70:IU70"/>
    <mergeCell ref="IV70:IW70"/>
    <mergeCell ref="IX70:IY70"/>
    <mergeCell ref="IZ70:JA70"/>
    <mergeCell ref="JB70:JC70"/>
    <mergeCell ref="JD70:JE70"/>
    <mergeCell ref="JF70:JG70"/>
    <mergeCell ref="JH70:JI70"/>
    <mergeCell ref="JJ70:JK70"/>
    <mergeCell ref="JL70:JM70"/>
    <mergeCell ref="IX117:IY117"/>
    <mergeCell ref="IV117:IW117"/>
    <mergeCell ref="IT117:IU117"/>
    <mergeCell ref="IZ117:JA117"/>
    <mergeCell ref="IX116:IY116"/>
    <mergeCell ref="IT116:IU116"/>
    <mergeCell ref="JH119:JI119"/>
    <mergeCell ref="JJ119:JK119"/>
    <mergeCell ref="JF89:JG89"/>
    <mergeCell ref="IZ89:JA89"/>
    <mergeCell ref="JL77:JM77"/>
    <mergeCell ref="IZ75:JA75"/>
    <mergeCell ref="IZ79:JA79"/>
    <mergeCell ref="JL68:JM68"/>
    <mergeCell ref="JD69:JE69"/>
    <mergeCell ref="JB74:JC74"/>
    <mergeCell ref="JD74:JE74"/>
    <mergeCell ref="IZ81:JA81"/>
    <mergeCell ref="JF74:JG74"/>
    <mergeCell ref="JH74:JI74"/>
    <mergeCell ref="JJ74:JK74"/>
    <mergeCell ref="JL74:JM74"/>
    <mergeCell ref="IV77:IW77"/>
    <mergeCell ref="JB77:JC77"/>
    <mergeCell ref="JD77:JE77"/>
    <mergeCell ref="JF77:JG77"/>
    <mergeCell ref="JH77:JI77"/>
    <mergeCell ref="JJ77:JK77"/>
    <mergeCell ref="JB75:JC75"/>
    <mergeCell ref="JD75:JE75"/>
    <mergeCell ref="JF75:JG75"/>
    <mergeCell ref="JL75:JM75"/>
    <mergeCell ref="JD73:JE73"/>
    <mergeCell ref="JL73:JM73"/>
    <mergeCell ref="IT75:IU75"/>
    <mergeCell ref="IV75:IW75"/>
    <mergeCell ref="JD81:JE81"/>
    <mergeCell ref="JF81:JG81"/>
    <mergeCell ref="JF73:JG73"/>
    <mergeCell ref="JH73:JI73"/>
    <mergeCell ref="IZ77:JA77"/>
    <mergeCell ref="JD78:JE78"/>
    <mergeCell ref="JB81:JC81"/>
    <mergeCell ref="IX81:IY81"/>
    <mergeCell ref="IV81:IW81"/>
    <mergeCell ref="IT77:IU77"/>
    <mergeCell ref="IV78:IW78"/>
    <mergeCell ref="IT78:IU78"/>
    <mergeCell ref="IX79:IY79"/>
    <mergeCell ref="IX73:IY73"/>
    <mergeCell ref="IZ73:JA73"/>
    <mergeCell ref="JB73:JC73"/>
    <mergeCell ref="JL64:JM64"/>
    <mergeCell ref="IT63:IU63"/>
    <mergeCell ref="IV63:IW63"/>
    <mergeCell ref="IX63:IY63"/>
    <mergeCell ref="IZ63:JA63"/>
    <mergeCell ref="JB63:JC63"/>
    <mergeCell ref="JD63:JE63"/>
    <mergeCell ref="JF63:JG63"/>
    <mergeCell ref="JH63:JI63"/>
    <mergeCell ref="JJ63:JK63"/>
    <mergeCell ref="JL63:JM63"/>
    <mergeCell ref="IT65:IU65"/>
    <mergeCell ref="IV65:IW65"/>
    <mergeCell ref="IX65:IY65"/>
    <mergeCell ref="IZ65:JA65"/>
    <mergeCell ref="JB65:JC65"/>
    <mergeCell ref="JD65:JE65"/>
    <mergeCell ref="JF65:JG65"/>
    <mergeCell ref="JH65:JI65"/>
    <mergeCell ref="JJ65:JK65"/>
    <mergeCell ref="JL65:JM65"/>
    <mergeCell ref="JL71:JM71"/>
    <mergeCell ref="JJ62:JK62"/>
    <mergeCell ref="JL62:JM62"/>
    <mergeCell ref="IZ64:JA64"/>
    <mergeCell ref="JD64:JE64"/>
    <mergeCell ref="JF64:JG64"/>
    <mergeCell ref="JB64:JC64"/>
    <mergeCell ref="JH64:JI64"/>
    <mergeCell ref="IT64:IU64"/>
    <mergeCell ref="IX64:IY64"/>
    <mergeCell ref="JJ64:JK64"/>
    <mergeCell ref="IV64:IW64"/>
    <mergeCell ref="JJ71:JK71"/>
    <mergeCell ref="JL69:JM69"/>
    <mergeCell ref="IT67:IU67"/>
    <mergeCell ref="IV67:IW67"/>
    <mergeCell ref="IX67:IY67"/>
    <mergeCell ref="IZ67:JA67"/>
    <mergeCell ref="JB67:JC67"/>
    <mergeCell ref="JD67:JE67"/>
    <mergeCell ref="JF67:JG67"/>
    <mergeCell ref="JH67:JI67"/>
    <mergeCell ref="JJ67:JK67"/>
    <mergeCell ref="JL67:JM67"/>
    <mergeCell ref="IT66:IU66"/>
    <mergeCell ref="IV66:IW66"/>
    <mergeCell ref="IX66:IY66"/>
    <mergeCell ref="IZ66:JA66"/>
    <mergeCell ref="JB66:JC66"/>
    <mergeCell ref="JD66:JE66"/>
    <mergeCell ref="JF66:JG66"/>
    <mergeCell ref="JH66:JI66"/>
    <mergeCell ref="JJ66:JK66"/>
    <mergeCell ref="JL66:JM66"/>
    <mergeCell ref="IT68:IU68"/>
    <mergeCell ref="IV68:IW68"/>
    <mergeCell ref="IX68:IY68"/>
    <mergeCell ref="IZ68:JA68"/>
    <mergeCell ref="JB68:JC68"/>
    <mergeCell ref="JD68:JE68"/>
    <mergeCell ref="JF68:JG68"/>
    <mergeCell ref="JH68:JI68"/>
    <mergeCell ref="JJ68:JK68"/>
    <mergeCell ref="JL58:JM58"/>
    <mergeCell ref="IT61:IU61"/>
    <mergeCell ref="IV61:IW61"/>
    <mergeCell ref="IX61:IY61"/>
    <mergeCell ref="IZ61:JA61"/>
    <mergeCell ref="JB61:JC61"/>
    <mergeCell ref="JD61:JE61"/>
    <mergeCell ref="JF61:JG61"/>
    <mergeCell ref="JH61:JI61"/>
    <mergeCell ref="JJ61:JK61"/>
    <mergeCell ref="JL61:JM61"/>
    <mergeCell ref="IT60:IU60"/>
    <mergeCell ref="IV60:IW60"/>
    <mergeCell ref="IX60:IY60"/>
    <mergeCell ref="IZ60:JA60"/>
    <mergeCell ref="JB60:JC60"/>
    <mergeCell ref="JD60:JE60"/>
    <mergeCell ref="JF60:JG60"/>
    <mergeCell ref="JH60:JI60"/>
    <mergeCell ref="JJ60:JK60"/>
    <mergeCell ref="JL60:JM60"/>
    <mergeCell ref="IT59:IU59"/>
    <mergeCell ref="IV59:IW59"/>
    <mergeCell ref="IX59:IY59"/>
    <mergeCell ref="IZ59:JA59"/>
    <mergeCell ref="JB59:JC59"/>
    <mergeCell ref="JD59:JE59"/>
    <mergeCell ref="JF59:JG59"/>
    <mergeCell ref="JH59:JI59"/>
    <mergeCell ref="JJ59:JK59"/>
    <mergeCell ref="JL59:JM59"/>
    <mergeCell ref="IZ58:JA58"/>
    <mergeCell ref="JD58:JE58"/>
    <mergeCell ref="JJ58:JK58"/>
    <mergeCell ref="IV58:IW58"/>
    <mergeCell ref="JL56:JM56"/>
    <mergeCell ref="JD50:JE50"/>
    <mergeCell ref="JF50:JG50"/>
    <mergeCell ref="JH50:JI50"/>
    <mergeCell ref="JJ50:JK50"/>
    <mergeCell ref="JL50:JM50"/>
    <mergeCell ref="IT51:IU51"/>
    <mergeCell ref="IV51:IW51"/>
    <mergeCell ref="IX51:IY51"/>
    <mergeCell ref="IZ51:JA51"/>
    <mergeCell ref="JB51:JC51"/>
    <mergeCell ref="JD51:JE51"/>
    <mergeCell ref="JF51:JG51"/>
    <mergeCell ref="JH51:JI51"/>
    <mergeCell ref="JJ51:JK51"/>
    <mergeCell ref="JL51:JM51"/>
    <mergeCell ref="IX52:IY52"/>
    <mergeCell ref="IZ52:JA52"/>
    <mergeCell ref="JB52:JC52"/>
    <mergeCell ref="JD52:JE52"/>
    <mergeCell ref="JF52:JG52"/>
    <mergeCell ref="JH52:JI52"/>
    <mergeCell ref="JJ52:JK52"/>
    <mergeCell ref="JL52:JM52"/>
    <mergeCell ref="JL47:JM47"/>
    <mergeCell ref="JD48:JE48"/>
    <mergeCell ref="JF48:JG48"/>
    <mergeCell ref="JH48:JI48"/>
    <mergeCell ref="JJ48:JK48"/>
    <mergeCell ref="JL48:JM48"/>
    <mergeCell ref="JB47:JC47"/>
    <mergeCell ref="JL57:JM57"/>
    <mergeCell ref="IZ54:JA54"/>
    <mergeCell ref="JD54:JE54"/>
    <mergeCell ref="JF54:JG54"/>
    <mergeCell ref="JH54:JI54"/>
    <mergeCell ref="JB54:JC54"/>
    <mergeCell ref="IT54:IU54"/>
    <mergeCell ref="IX54:IY54"/>
    <mergeCell ref="JJ54:JK54"/>
    <mergeCell ref="IT55:IU55"/>
    <mergeCell ref="IV55:IW55"/>
    <mergeCell ref="JL54:JM54"/>
    <mergeCell ref="IV54:IW54"/>
    <mergeCell ref="IX55:IY55"/>
    <mergeCell ref="IZ55:JA55"/>
    <mergeCell ref="JJ55:JK55"/>
    <mergeCell ref="JL55:JM55"/>
    <mergeCell ref="IT56:IU56"/>
    <mergeCell ref="IV56:IW56"/>
    <mergeCell ref="IX56:IY56"/>
    <mergeCell ref="IZ56:JA56"/>
    <mergeCell ref="JB56:JC56"/>
    <mergeCell ref="JD56:JE56"/>
    <mergeCell ref="JJ53:JK53"/>
    <mergeCell ref="JL53:JM53"/>
    <mergeCell ref="JB50:JC50"/>
    <mergeCell ref="IZ50:JA50"/>
    <mergeCell ref="IT50:IU50"/>
    <mergeCell ref="IX50:IY50"/>
    <mergeCell ref="IV50:IW50"/>
    <mergeCell ref="IT52:IU52"/>
    <mergeCell ref="JF56:JG56"/>
    <mergeCell ref="JH56:JI56"/>
    <mergeCell ref="JL40:JM40"/>
    <mergeCell ref="JJ41:JK41"/>
    <mergeCell ref="JL41:JM41"/>
    <mergeCell ref="JL26:JM26"/>
    <mergeCell ref="IT24:IU24"/>
    <mergeCell ref="JL25:JM25"/>
    <mergeCell ref="JJ23:JK23"/>
    <mergeCell ref="JL23:JM23"/>
    <mergeCell ref="JL24:JM24"/>
    <mergeCell ref="JD23:JE23"/>
    <mergeCell ref="JF23:JG23"/>
    <mergeCell ref="JH23:JI23"/>
    <mergeCell ref="JJ21:JK21"/>
    <mergeCell ref="IX30:IY30"/>
    <mergeCell ref="JL42:JM42"/>
    <mergeCell ref="IT43:IU43"/>
    <mergeCell ref="IV43:IW43"/>
    <mergeCell ref="IX43:IY43"/>
    <mergeCell ref="IZ43:JA43"/>
    <mergeCell ref="JB43:JC43"/>
    <mergeCell ref="JD43:JE43"/>
    <mergeCell ref="JF43:JG43"/>
    <mergeCell ref="JH43:JI43"/>
    <mergeCell ref="JJ43:JK43"/>
    <mergeCell ref="JL43:JM43"/>
    <mergeCell ref="JL49:JM49"/>
    <mergeCell ref="JF49:JG49"/>
    <mergeCell ref="JH49:JI49"/>
    <mergeCell ref="IT49:IU49"/>
    <mergeCell ref="IV49:IW49"/>
    <mergeCell ref="IX49:IY49"/>
    <mergeCell ref="IZ49:JA49"/>
    <mergeCell ref="JB49:JC49"/>
    <mergeCell ref="JD49:JE49"/>
    <mergeCell ref="JJ49:JK49"/>
    <mergeCell ref="JD42:JE42"/>
    <mergeCell ref="JF42:JG42"/>
    <mergeCell ref="JH42:JI42"/>
    <mergeCell ref="JJ42:JK42"/>
    <mergeCell ref="IT47:IU47"/>
    <mergeCell ref="JL44:JM44"/>
    <mergeCell ref="IT45:IU45"/>
    <mergeCell ref="IV45:IW45"/>
    <mergeCell ref="IX45:IY45"/>
    <mergeCell ref="IZ45:JA45"/>
    <mergeCell ref="JB45:JC45"/>
    <mergeCell ref="JD45:JE45"/>
    <mergeCell ref="JF45:JG45"/>
    <mergeCell ref="JH45:JI45"/>
    <mergeCell ref="JJ45:JK45"/>
    <mergeCell ref="JL45:JM45"/>
    <mergeCell ref="JD46:JE46"/>
    <mergeCell ref="JF46:JG46"/>
    <mergeCell ref="JH46:JI46"/>
    <mergeCell ref="JJ46:JK46"/>
    <mergeCell ref="JL46:JM46"/>
    <mergeCell ref="IX42:IY42"/>
    <mergeCell ref="IZ42:JA42"/>
    <mergeCell ref="JH44:JI44"/>
    <mergeCell ref="IT44:IU44"/>
    <mergeCell ref="IV44:IW44"/>
    <mergeCell ref="IX44:IY44"/>
    <mergeCell ref="IZ44:JA44"/>
    <mergeCell ref="JB44:JC44"/>
    <mergeCell ref="JL21:JM21"/>
    <mergeCell ref="JD18:JE18"/>
    <mergeCell ref="IT22:IU22"/>
    <mergeCell ref="JD37:JE37"/>
    <mergeCell ref="JF37:JG37"/>
    <mergeCell ref="JH37:JI37"/>
    <mergeCell ref="JJ37:JK37"/>
    <mergeCell ref="JL37:JM37"/>
    <mergeCell ref="IT36:IU36"/>
    <mergeCell ref="IV36:IW36"/>
    <mergeCell ref="IX36:IY36"/>
    <mergeCell ref="IZ23:JA23"/>
    <mergeCell ref="JB23:JC23"/>
    <mergeCell ref="JL34:JM34"/>
    <mergeCell ref="IT32:IU32"/>
    <mergeCell ref="IV32:IW32"/>
    <mergeCell ref="IX32:IY32"/>
    <mergeCell ref="IZ32:JA32"/>
    <mergeCell ref="JB32:JC32"/>
    <mergeCell ref="IZ33:JA33"/>
    <mergeCell ref="JB33:JC33"/>
    <mergeCell ref="JD33:JE33"/>
    <mergeCell ref="IZ26:JA26"/>
    <mergeCell ref="JB26:JC26"/>
    <mergeCell ref="JD26:JE26"/>
    <mergeCell ref="JF26:JG26"/>
    <mergeCell ref="JH26:JI26"/>
    <mergeCell ref="JF30:JG30"/>
    <mergeCell ref="JH30:JI30"/>
    <mergeCell ref="JJ30:JK30"/>
    <mergeCell ref="JL30:JM30"/>
    <mergeCell ref="JJ31:JK31"/>
    <mergeCell ref="JL31:JM31"/>
    <mergeCell ref="JL22:JM22"/>
    <mergeCell ref="JL27:JM27"/>
    <mergeCell ref="JD30:JE30"/>
    <mergeCell ref="IT23:IU23"/>
    <mergeCell ref="IX25:IY25"/>
    <mergeCell ref="IZ25:JA25"/>
    <mergeCell ref="JB25:JC25"/>
    <mergeCell ref="JD25:JE25"/>
    <mergeCell ref="JF25:JG25"/>
    <mergeCell ref="JJ28:JK28"/>
    <mergeCell ref="JL28:JM28"/>
    <mergeCell ref="IT29:IU29"/>
    <mergeCell ref="IV29:IW29"/>
    <mergeCell ref="IX29:IY29"/>
    <mergeCell ref="IZ29:JA29"/>
    <mergeCell ref="JB29:JC29"/>
    <mergeCell ref="JD29:JE29"/>
    <mergeCell ref="JF29:JG29"/>
    <mergeCell ref="JH29:JI29"/>
    <mergeCell ref="JL29:JM29"/>
    <mergeCell ref="JD32:JE32"/>
    <mergeCell ref="JF32:JG32"/>
    <mergeCell ref="JH32:JI32"/>
    <mergeCell ref="JJ32:JK32"/>
    <mergeCell ref="JJ22:JK22"/>
    <mergeCell ref="JJ24:JK24"/>
    <mergeCell ref="IV23:IW23"/>
    <mergeCell ref="IX23:IY23"/>
    <mergeCell ref="JH22:JI22"/>
    <mergeCell ref="IZ21:JA21"/>
    <mergeCell ref="JB21:JC21"/>
    <mergeCell ref="JL1:JM1"/>
    <mergeCell ref="IT17:IU17"/>
    <mergeCell ref="IV17:IW17"/>
    <mergeCell ref="IX17:IY17"/>
    <mergeCell ref="IZ17:JA17"/>
    <mergeCell ref="JB17:JC17"/>
    <mergeCell ref="JD17:JE17"/>
    <mergeCell ref="JF17:JG17"/>
    <mergeCell ref="JH17:JI17"/>
    <mergeCell ref="JJ17:JK17"/>
    <mergeCell ref="JL17:JM17"/>
    <mergeCell ref="IT18:IU18"/>
    <mergeCell ref="IV18:IW18"/>
    <mergeCell ref="IX18:IY18"/>
    <mergeCell ref="IZ18:JA18"/>
    <mergeCell ref="JB18:JC18"/>
    <mergeCell ref="JL18:JM18"/>
    <mergeCell ref="IT19:IU19"/>
    <mergeCell ref="IV19:IW19"/>
    <mergeCell ref="IX19:IY19"/>
    <mergeCell ref="IZ19:JA19"/>
    <mergeCell ref="JB19:JC19"/>
    <mergeCell ref="JD19:JE19"/>
    <mergeCell ref="JF19:JG19"/>
    <mergeCell ref="JH19:JI19"/>
    <mergeCell ref="JJ19:JK19"/>
    <mergeCell ref="JL19:JM19"/>
    <mergeCell ref="IT20:IU20"/>
    <mergeCell ref="IV20:IW20"/>
    <mergeCell ref="IX20:IY20"/>
    <mergeCell ref="IZ20:JA20"/>
    <mergeCell ref="JB20:JC20"/>
    <mergeCell ref="JD20:JE20"/>
    <mergeCell ref="JF20:JG20"/>
    <mergeCell ref="JH20:JI20"/>
    <mergeCell ref="JJ20:JK20"/>
    <mergeCell ref="JB1:JC1"/>
    <mergeCell ref="IZ1:JA1"/>
    <mergeCell ref="IT1:IU1"/>
    <mergeCell ref="IX1:IY1"/>
    <mergeCell ref="JF18:JG18"/>
    <mergeCell ref="JH18:JI18"/>
    <mergeCell ref="JJ18:JK18"/>
    <mergeCell ref="JL20:JM20"/>
    <mergeCell ref="JF1:JG1"/>
    <mergeCell ref="JH1:JI1"/>
    <mergeCell ref="JD1:JE1"/>
    <mergeCell ref="IV1:IW1"/>
    <mergeCell ref="JJ1:JK1"/>
    <mergeCell ref="JL38:JM38"/>
    <mergeCell ref="JF39:JG39"/>
    <mergeCell ref="JH39:JI39"/>
    <mergeCell ref="JJ39:JK39"/>
    <mergeCell ref="JL39:JM39"/>
    <mergeCell ref="JF33:JG33"/>
    <mergeCell ref="JH33:JI33"/>
    <mergeCell ref="JL33:JM33"/>
    <mergeCell ref="JJ33:JK33"/>
    <mergeCell ref="JB34:JC34"/>
    <mergeCell ref="JD38:JE38"/>
    <mergeCell ref="IX26:IY26"/>
    <mergeCell ref="IT38:IU38"/>
    <mergeCell ref="JD34:JE34"/>
    <mergeCell ref="JJ29:JK29"/>
    <mergeCell ref="JD31:JE31"/>
    <mergeCell ref="JF31:JG31"/>
    <mergeCell ref="JH31:JI31"/>
    <mergeCell ref="IT28:IU28"/>
    <mergeCell ref="IV28:IW28"/>
    <mergeCell ref="IX28:IY28"/>
    <mergeCell ref="IZ28:JA28"/>
    <mergeCell ref="JD28:JE28"/>
    <mergeCell ref="JF28:JG28"/>
    <mergeCell ref="JL36:JM36"/>
    <mergeCell ref="JJ35:JK35"/>
    <mergeCell ref="JB35:JC35"/>
    <mergeCell ref="IZ35:JA35"/>
    <mergeCell ref="JJ38:JK38"/>
    <mergeCell ref="JH36:JI36"/>
    <mergeCell ref="JD35:JE35"/>
    <mergeCell ref="JL35:JM35"/>
    <mergeCell ref="IT30:IU30"/>
    <mergeCell ref="IV30:IW30"/>
    <mergeCell ref="JJ27:JK27"/>
    <mergeCell ref="JJ26:JK26"/>
    <mergeCell ref="IX37:IY37"/>
    <mergeCell ref="IZ37:JA37"/>
    <mergeCell ref="JL32:JM32"/>
    <mergeCell ref="JJ25:JK25"/>
    <mergeCell ref="JJ47:JK47"/>
    <mergeCell ref="IX77:IY77"/>
    <mergeCell ref="JJ34:JK34"/>
    <mergeCell ref="JF36:JG36"/>
    <mergeCell ref="JB39:JC39"/>
    <mergeCell ref="JD39:JE39"/>
    <mergeCell ref="JB38:JC38"/>
    <mergeCell ref="IV52:IW52"/>
    <mergeCell ref="IT53:IU53"/>
    <mergeCell ref="IV53:IW53"/>
    <mergeCell ref="IX53:IY53"/>
    <mergeCell ref="IZ53:JA53"/>
    <mergeCell ref="JB53:JC53"/>
    <mergeCell ref="IT48:IU48"/>
    <mergeCell ref="IV48:IW48"/>
    <mergeCell ref="JJ57:JK57"/>
    <mergeCell ref="JF58:JG58"/>
    <mergeCell ref="JH58:JI58"/>
    <mergeCell ref="JB58:JC58"/>
    <mergeCell ref="IT58:IU58"/>
    <mergeCell ref="IX58:IY58"/>
    <mergeCell ref="JH75:JI75"/>
    <mergeCell ref="JB55:JC55"/>
    <mergeCell ref="IX57:IY57"/>
    <mergeCell ref="JH40:JI40"/>
    <mergeCell ref="IX75:IY75"/>
    <mergeCell ref="JF53:JG53"/>
    <mergeCell ref="JH53:JI53"/>
    <mergeCell ref="JJ75:JK75"/>
    <mergeCell ref="JJ40:JK40"/>
    <mergeCell ref="JJ44:JK44"/>
    <mergeCell ref="JJ56:JK56"/>
    <mergeCell ref="JJ73:JK73"/>
    <mergeCell ref="IZ30:JA30"/>
    <mergeCell ref="JB30:JC30"/>
    <mergeCell ref="JF27:JG27"/>
    <mergeCell ref="IT31:IU31"/>
    <mergeCell ref="IV31:IW31"/>
    <mergeCell ref="JJ36:JK36"/>
    <mergeCell ref="JB69:JC69"/>
    <mergeCell ref="JF69:JG69"/>
    <mergeCell ref="JH69:JI69"/>
    <mergeCell ref="IT69:IU69"/>
    <mergeCell ref="JF71:JG71"/>
    <mergeCell ref="JH71:JI71"/>
    <mergeCell ref="JF38:JG38"/>
    <mergeCell ref="JH38:JI38"/>
    <mergeCell ref="IT39:IU39"/>
    <mergeCell ref="IV39:IW39"/>
    <mergeCell ref="IX39:IY39"/>
    <mergeCell ref="IZ39:JA39"/>
    <mergeCell ref="JJ69:JK69"/>
    <mergeCell ref="IV69:IW69"/>
    <mergeCell ref="JD71:JE71"/>
    <mergeCell ref="IT71:IU71"/>
    <mergeCell ref="IV71:IW71"/>
    <mergeCell ref="IX71:IY71"/>
    <mergeCell ref="JD62:JE62"/>
    <mergeCell ref="JF62:JG62"/>
    <mergeCell ref="JH62:JI62"/>
    <mergeCell ref="IT72:IU72"/>
    <mergeCell ref="IV72:IW72"/>
    <mergeCell ref="IV73:IW73"/>
    <mergeCell ref="JF57:JG57"/>
    <mergeCell ref="JH57:JI57"/>
    <mergeCell ref="IN28:IO28"/>
    <mergeCell ref="IN73:IO73"/>
    <mergeCell ref="JB27:JC27"/>
    <mergeCell ref="IT26:IU26"/>
    <mergeCell ref="JD24:JE24"/>
    <mergeCell ref="JF24:JG24"/>
    <mergeCell ref="JB42:JC42"/>
    <mergeCell ref="IZ38:JA38"/>
    <mergeCell ref="JB79:JC79"/>
    <mergeCell ref="IR75:IS75"/>
    <mergeCell ref="JH78:JI78"/>
    <mergeCell ref="IR78:IS78"/>
    <mergeCell ref="IX78:IY78"/>
    <mergeCell ref="IZ78:JA78"/>
    <mergeCell ref="IZ71:JA71"/>
    <mergeCell ref="JF78:JG78"/>
    <mergeCell ref="JF41:JG41"/>
    <mergeCell ref="JH41:JI41"/>
    <mergeCell ref="IP50:IQ50"/>
    <mergeCell ref="IR50:IS50"/>
    <mergeCell ref="IP33:IQ33"/>
    <mergeCell ref="IR60:IS60"/>
    <mergeCell ref="IR58:IS58"/>
    <mergeCell ref="JB71:JC71"/>
    <mergeCell ref="JB37:JC37"/>
    <mergeCell ref="IX48:IY48"/>
    <mergeCell ref="IZ48:JA48"/>
    <mergeCell ref="JB48:JC48"/>
    <mergeCell ref="IP35:IQ35"/>
    <mergeCell ref="IR35:IS35"/>
    <mergeCell ref="IR45:IS45"/>
    <mergeCell ref="IR48:IS48"/>
    <mergeCell ref="IP53:IQ53"/>
    <mergeCell ref="IN66:IO66"/>
    <mergeCell ref="IN29:IO29"/>
    <mergeCell ref="IN31:IO31"/>
    <mergeCell ref="IV26:IW26"/>
    <mergeCell ref="JH24:JI24"/>
    <mergeCell ref="IX72:IY72"/>
    <mergeCell ref="IZ72:JA72"/>
    <mergeCell ref="JB72:JC72"/>
    <mergeCell ref="JD72:JE72"/>
    <mergeCell ref="JF72:JG72"/>
    <mergeCell ref="JH72:JI72"/>
    <mergeCell ref="IX76:IY76"/>
    <mergeCell ref="IZ76:JA76"/>
    <mergeCell ref="JB76:JC76"/>
    <mergeCell ref="JD76:JE76"/>
    <mergeCell ref="JF76:JG76"/>
    <mergeCell ref="JH76:JI76"/>
    <mergeCell ref="IT62:IU62"/>
    <mergeCell ref="IV62:IW62"/>
    <mergeCell ref="IX62:IY62"/>
    <mergeCell ref="IZ62:JA62"/>
    <mergeCell ref="JB62:JC62"/>
    <mergeCell ref="IZ36:JA36"/>
    <mergeCell ref="JB36:JC36"/>
    <mergeCell ref="IV47:IW47"/>
    <mergeCell ref="IR79:IS79"/>
    <mergeCell ref="IR72:IS72"/>
    <mergeCell ref="IR33:IS33"/>
    <mergeCell ref="IR69:IS69"/>
    <mergeCell ref="IR81:IS81"/>
    <mergeCell ref="IR74:IS74"/>
    <mergeCell ref="IR76:IS76"/>
    <mergeCell ref="IR66:IS66"/>
    <mergeCell ref="IR64:IS64"/>
    <mergeCell ref="IR61:IS61"/>
    <mergeCell ref="IR49:IS49"/>
    <mergeCell ref="IR68:IS68"/>
    <mergeCell ref="IR65:IS65"/>
    <mergeCell ref="IR63:IS63"/>
    <mergeCell ref="IR70:IS70"/>
    <mergeCell ref="IT40:IU40"/>
    <mergeCell ref="IV40:IW40"/>
    <mergeCell ref="IX40:IY40"/>
    <mergeCell ref="IZ40:JA40"/>
    <mergeCell ref="JB40:JC40"/>
    <mergeCell ref="IR51:IS51"/>
    <mergeCell ref="IT73:IU73"/>
    <mergeCell ref="IP36:IQ36"/>
    <mergeCell ref="IP34:IQ34"/>
    <mergeCell ref="IZ57:JA57"/>
    <mergeCell ref="JB57:JC57"/>
    <mergeCell ref="IR62:IS62"/>
    <mergeCell ref="IP37:IQ37"/>
    <mergeCell ref="IT33:IU33"/>
    <mergeCell ref="JB82:JC82"/>
    <mergeCell ref="JB80:JC80"/>
    <mergeCell ref="IR80:IS80"/>
    <mergeCell ref="IX47:IY47"/>
    <mergeCell ref="IZ47:JA47"/>
    <mergeCell ref="IV37:IW37"/>
    <mergeCell ref="IT41:IU41"/>
    <mergeCell ref="IP69:IQ69"/>
    <mergeCell ref="IP63:IQ63"/>
    <mergeCell ref="IR56:IS56"/>
    <mergeCell ref="IP47:IQ47"/>
    <mergeCell ref="IT74:IU74"/>
    <mergeCell ref="IV74:IW74"/>
    <mergeCell ref="IX74:IY74"/>
    <mergeCell ref="IZ74:JA74"/>
    <mergeCell ref="IR77:IS77"/>
    <mergeCell ref="IR39:IS39"/>
    <mergeCell ref="IT57:IU57"/>
    <mergeCell ref="IV57:IW57"/>
    <mergeCell ref="JB41:JC41"/>
    <mergeCell ref="JB46:JC46"/>
    <mergeCell ref="IZ46:JA46"/>
    <mergeCell ref="IP65:IQ65"/>
    <mergeCell ref="IP68:IQ68"/>
    <mergeCell ref="IR67:IS67"/>
    <mergeCell ref="IP66:IQ66"/>
    <mergeCell ref="IT42:IU42"/>
    <mergeCell ref="IV38:IW38"/>
    <mergeCell ref="IV42:IW42"/>
    <mergeCell ref="IP42:IQ42"/>
    <mergeCell ref="IR42:IS42"/>
    <mergeCell ref="IP61:IQ61"/>
    <mergeCell ref="IP60:IQ60"/>
    <mergeCell ref="IP64:IQ64"/>
    <mergeCell ref="IV41:IW41"/>
    <mergeCell ref="IR40:IS40"/>
    <mergeCell ref="IP79:IQ79"/>
    <mergeCell ref="IP75:IQ75"/>
    <mergeCell ref="IR71:IS71"/>
    <mergeCell ref="IN62:IO62"/>
    <mergeCell ref="IN74:IO74"/>
    <mergeCell ref="IN50:IO50"/>
    <mergeCell ref="IN47:IO47"/>
    <mergeCell ref="IN52:IO52"/>
    <mergeCell ref="IN48:IO48"/>
    <mergeCell ref="IP48:IQ48"/>
    <mergeCell ref="IJ48:IK48"/>
    <mergeCell ref="IL48:IM48"/>
    <mergeCell ref="IJ70:IK70"/>
    <mergeCell ref="IP77:IQ77"/>
    <mergeCell ref="IJ68:IK68"/>
    <mergeCell ref="IN79:IO79"/>
    <mergeCell ref="IP74:IQ74"/>
    <mergeCell ref="IL69:IM69"/>
    <mergeCell ref="IH75:II75"/>
    <mergeCell ref="IP71:IQ71"/>
    <mergeCell ref="IP62:IQ62"/>
    <mergeCell ref="IP73:IQ73"/>
    <mergeCell ref="IR73:IS73"/>
    <mergeCell ref="IR52:IS52"/>
    <mergeCell ref="IL63:IM63"/>
    <mergeCell ref="IN78:IO78"/>
    <mergeCell ref="IP78:IQ78"/>
    <mergeCell ref="IL71:IM71"/>
    <mergeCell ref="IN76:IO76"/>
    <mergeCell ref="IF75:IG75"/>
    <mergeCell ref="IH78:II78"/>
    <mergeCell ref="IJ78:IK78"/>
    <mergeCell ref="IR55:IS55"/>
    <mergeCell ref="IP72:IQ72"/>
    <mergeCell ref="IN64:IO64"/>
    <mergeCell ref="IN63:IO63"/>
    <mergeCell ref="IJ64:IK64"/>
    <mergeCell ref="IL64:IM64"/>
    <mergeCell ref="IN54:IO54"/>
    <mergeCell ref="IF72:IG72"/>
    <mergeCell ref="IN67:IO67"/>
    <mergeCell ref="IH62:II62"/>
    <mergeCell ref="IJ62:IK62"/>
    <mergeCell ref="IF60:IG60"/>
    <mergeCell ref="IF63:IG63"/>
    <mergeCell ref="IF68:IG68"/>
    <mergeCell ref="IJ72:IK72"/>
    <mergeCell ref="IL72:IM72"/>
    <mergeCell ref="IF58:IG58"/>
    <mergeCell ref="IL62:IM62"/>
    <mergeCell ref="IJ63:IK63"/>
    <mergeCell ref="IL66:IM66"/>
    <mergeCell ref="IL68:IM68"/>
    <mergeCell ref="IN68:IO68"/>
    <mergeCell ref="IL67:IM67"/>
    <mergeCell ref="IJ77:IK77"/>
    <mergeCell ref="IL79:IM79"/>
    <mergeCell ref="IP76:IQ76"/>
    <mergeCell ref="IH77:II77"/>
    <mergeCell ref="IN72:IO72"/>
    <mergeCell ref="IL73:IM73"/>
    <mergeCell ref="IJ69:IK69"/>
    <mergeCell ref="IH74:II74"/>
    <mergeCell ref="IJ73:IK73"/>
    <mergeCell ref="IF70:IG70"/>
    <mergeCell ref="IJ75:IK75"/>
    <mergeCell ref="IF77:IG77"/>
    <mergeCell ref="JD22:JE22"/>
    <mergeCell ref="JF22:JG22"/>
    <mergeCell ref="JD44:JE44"/>
    <mergeCell ref="IT46:IU46"/>
    <mergeCell ref="IX46:IY46"/>
    <mergeCell ref="IV46:IW46"/>
    <mergeCell ref="JD47:JE47"/>
    <mergeCell ref="JF47:JG47"/>
    <mergeCell ref="JH47:JI47"/>
    <mergeCell ref="IX31:IY31"/>
    <mergeCell ref="IZ31:JA31"/>
    <mergeCell ref="JB31:JC31"/>
    <mergeCell ref="IJ52:IK52"/>
    <mergeCell ref="IP49:IQ49"/>
    <mergeCell ref="IJ49:IK49"/>
    <mergeCell ref="IN61:IO61"/>
    <mergeCell ref="IP59:IQ59"/>
    <mergeCell ref="IR59:IS59"/>
    <mergeCell ref="IT25:IU25"/>
    <mergeCell ref="IV25:IW25"/>
    <mergeCell ref="IN32:IO32"/>
    <mergeCell ref="IV35:IW35"/>
    <mergeCell ref="IX41:IY41"/>
    <mergeCell ref="IZ41:JA41"/>
    <mergeCell ref="JF44:JG44"/>
    <mergeCell ref="IR25:IS25"/>
    <mergeCell ref="IX35:IY35"/>
    <mergeCell ref="IX34:IY34"/>
    <mergeCell ref="IZ34:JA34"/>
    <mergeCell ref="IX24:IY24"/>
    <mergeCell ref="IZ24:JA24"/>
    <mergeCell ref="JB24:JC24"/>
    <mergeCell ref="JD27:JE27"/>
    <mergeCell ref="JH25:JI25"/>
    <mergeCell ref="IP52:IQ52"/>
    <mergeCell ref="IP51:IQ51"/>
    <mergeCell ref="IN59:IO59"/>
    <mergeCell ref="IP55:IQ55"/>
    <mergeCell ref="IR46:IS46"/>
    <mergeCell ref="IR57:IS57"/>
    <mergeCell ref="IN45:IO45"/>
    <mergeCell ref="IV33:IW33"/>
    <mergeCell ref="IJ46:IK46"/>
    <mergeCell ref="IJ53:IK53"/>
    <mergeCell ref="IL53:IM53"/>
    <mergeCell ref="IJ45:IK45"/>
    <mergeCell ref="IJ56:IK56"/>
    <mergeCell ref="IN53:IO53"/>
    <mergeCell ref="IN43:IO43"/>
    <mergeCell ref="IP43:IQ43"/>
    <mergeCell ref="IP58:IQ58"/>
    <mergeCell ref="IR47:IS47"/>
    <mergeCell ref="IX27:IY27"/>
    <mergeCell ref="IZ27:JA27"/>
    <mergeCell ref="IL22:IM22"/>
    <mergeCell ref="IN34:IO34"/>
    <mergeCell ref="IL57:IM57"/>
    <mergeCell ref="IN56:IO56"/>
    <mergeCell ref="IR53:IS53"/>
    <mergeCell ref="IR54:IS54"/>
    <mergeCell ref="IN37:IO37"/>
    <mergeCell ref="IR28:IS28"/>
    <mergeCell ref="IN33:IO33"/>
    <mergeCell ref="IR32:IS32"/>
    <mergeCell ref="JD21:JE21"/>
    <mergeCell ref="JF21:JG21"/>
    <mergeCell ref="JH21:JI21"/>
    <mergeCell ref="JF34:JG34"/>
    <mergeCell ref="JH34:JI34"/>
    <mergeCell ref="JD41:JE41"/>
    <mergeCell ref="JF35:JG35"/>
    <mergeCell ref="JH35:JI35"/>
    <mergeCell ref="IX38:IY38"/>
    <mergeCell ref="IL35:IM35"/>
    <mergeCell ref="JD53:JE53"/>
    <mergeCell ref="IH41:II41"/>
    <mergeCell ref="IL42:IM42"/>
    <mergeCell ref="IN42:IO42"/>
    <mergeCell ref="IL43:IM43"/>
    <mergeCell ref="IN49:IO49"/>
    <mergeCell ref="IP56:IQ56"/>
    <mergeCell ref="IL49:IM49"/>
    <mergeCell ref="IP57:IQ57"/>
    <mergeCell ref="IN46:IO46"/>
    <mergeCell ref="IJ61:IK61"/>
    <mergeCell ref="IL61:IM61"/>
    <mergeCell ref="IJ43:IK43"/>
    <mergeCell ref="IX33:IY33"/>
    <mergeCell ref="JD36:JE36"/>
    <mergeCell ref="IT21:IU21"/>
    <mergeCell ref="IV21:IW21"/>
    <mergeCell ref="IF36:IG36"/>
    <mergeCell ref="IH36:II36"/>
    <mergeCell ref="IJ36:IK36"/>
    <mergeCell ref="IH39:II39"/>
    <mergeCell ref="IL41:IM41"/>
    <mergeCell ref="IJ42:IK42"/>
    <mergeCell ref="IT27:IU27"/>
    <mergeCell ref="IV27:IW27"/>
    <mergeCell ref="JH28:JI28"/>
    <mergeCell ref="JH27:JI27"/>
    <mergeCell ref="JD40:JE40"/>
    <mergeCell ref="JF40:JG40"/>
    <mergeCell ref="JD55:JE55"/>
    <mergeCell ref="JF55:JG55"/>
    <mergeCell ref="JH55:JI55"/>
    <mergeCell ref="JD57:JE57"/>
    <mergeCell ref="IN58:IO58"/>
    <mergeCell ref="IT34:IU34"/>
    <mergeCell ref="IV34:IW34"/>
    <mergeCell ref="IT37:IU37"/>
    <mergeCell ref="IL40:IM40"/>
    <mergeCell ref="IP46:IQ46"/>
    <mergeCell ref="IN57:IO57"/>
    <mergeCell ref="IT35:IU35"/>
    <mergeCell ref="IN35:IO35"/>
    <mergeCell ref="IR36:IS36"/>
    <mergeCell ref="IL24:IM24"/>
    <mergeCell ref="IL23:IM23"/>
    <mergeCell ref="IF52:IG52"/>
    <mergeCell ref="IL52:IM52"/>
    <mergeCell ref="IH56:II56"/>
    <mergeCell ref="IP39:IQ39"/>
    <mergeCell ref="JB28:JC28"/>
    <mergeCell ref="JB22:JC22"/>
    <mergeCell ref="IH52:II52"/>
    <mergeCell ref="IJ39:IK39"/>
    <mergeCell ref="IL39:IM39"/>
    <mergeCell ref="IX21:IY21"/>
    <mergeCell ref="IV22:IW22"/>
    <mergeCell ref="IX22:IY22"/>
    <mergeCell ref="IZ22:JA22"/>
    <mergeCell ref="IL44:IM44"/>
    <mergeCell ref="IH43:II43"/>
    <mergeCell ref="IP40:IQ40"/>
    <mergeCell ref="IF48:IG48"/>
    <mergeCell ref="IJ35:IK35"/>
    <mergeCell ref="IN23:IO23"/>
    <mergeCell ref="IP23:IQ23"/>
    <mergeCell ref="IR23:IS23"/>
    <mergeCell ref="IL32:IM32"/>
    <mergeCell ref="IN22:IO22"/>
    <mergeCell ref="IP22:IQ22"/>
    <mergeCell ref="IR22:IS22"/>
    <mergeCell ref="IF27:IG27"/>
    <mergeCell ref="IH27:II27"/>
    <mergeCell ref="IL36:IM36"/>
    <mergeCell ref="IN36:IO36"/>
    <mergeCell ref="ID33:IE33"/>
    <mergeCell ref="IB45:IC45"/>
    <mergeCell ref="IF46:IG46"/>
    <mergeCell ref="IH46:II46"/>
    <mergeCell ref="IF47:IG47"/>
    <mergeCell ref="IH47:II47"/>
    <mergeCell ref="IB46:IC46"/>
    <mergeCell ref="ID37:IE37"/>
    <mergeCell ref="IP45:IQ45"/>
    <mergeCell ref="IN21:IO21"/>
    <mergeCell ref="IP21:IQ21"/>
    <mergeCell ref="IR21:IS21"/>
    <mergeCell ref="IL21:IM21"/>
    <mergeCell ref="IL34:IM34"/>
    <mergeCell ref="IR31:IS31"/>
    <mergeCell ref="IR37:IS37"/>
    <mergeCell ref="IN38:IO38"/>
    <mergeCell ref="IP38:IQ38"/>
    <mergeCell ref="IR38:IS38"/>
    <mergeCell ref="IB42:IC42"/>
    <mergeCell ref="ID42:IE42"/>
    <mergeCell ref="ID35:IE35"/>
    <mergeCell ref="IF35:IG35"/>
    <mergeCell ref="IV24:IW24"/>
    <mergeCell ref="IN26:IO26"/>
    <mergeCell ref="IN39:IO39"/>
    <mergeCell ref="ID36:IE36"/>
    <mergeCell ref="IL30:IM30"/>
    <mergeCell ref="IH38:II38"/>
    <mergeCell ref="IJ38:IK38"/>
    <mergeCell ref="IL38:IM38"/>
    <mergeCell ref="IH48:II48"/>
    <mergeCell ref="ID46:IE46"/>
    <mergeCell ref="ID47:IE47"/>
    <mergeCell ref="ID40:IE40"/>
    <mergeCell ref="IF40:IG40"/>
    <mergeCell ref="IR30:IS30"/>
    <mergeCell ref="IP28:IQ28"/>
    <mergeCell ref="IR43:IS43"/>
    <mergeCell ref="IN44:IO44"/>
    <mergeCell ref="IP44:IQ44"/>
    <mergeCell ref="IR44:IS44"/>
    <mergeCell ref="IP41:IQ41"/>
    <mergeCell ref="IR41:IS41"/>
    <mergeCell ref="IR24:IS24"/>
    <mergeCell ref="IB52:IC52"/>
    <mergeCell ref="IB54:IC54"/>
    <mergeCell ref="IF1:IG1"/>
    <mergeCell ref="IN18:IO18"/>
    <mergeCell ref="IP18:IQ18"/>
    <mergeCell ref="IR18:IS18"/>
    <mergeCell ref="IH40:II40"/>
    <mergeCell ref="IJ40:IK40"/>
    <mergeCell ref="IJ28:IK28"/>
    <mergeCell ref="IL28:IM28"/>
    <mergeCell ref="IJ22:IK22"/>
    <mergeCell ref="IN25:IO25"/>
    <mergeCell ref="IR29:IS29"/>
    <mergeCell ref="IJ32:IK32"/>
    <mergeCell ref="IF29:IG29"/>
    <mergeCell ref="IP1:IQ1"/>
    <mergeCell ref="IR34:IS34"/>
    <mergeCell ref="IR1:IS1"/>
    <mergeCell ref="IN17:IO17"/>
    <mergeCell ref="IP17:IQ17"/>
    <mergeCell ref="IP26:IQ26"/>
    <mergeCell ref="IR26:IS26"/>
    <mergeCell ref="IN27:IO27"/>
    <mergeCell ref="IP27:IQ27"/>
    <mergeCell ref="IR27:IS27"/>
    <mergeCell ref="IJ47:IK47"/>
    <mergeCell ref="IP31:IQ31"/>
    <mergeCell ref="IB24:IC24"/>
    <mergeCell ref="ID24:IE24"/>
    <mergeCell ref="IL1:IM1"/>
    <mergeCell ref="IB19:IC19"/>
    <mergeCell ref="ID19:IE19"/>
    <mergeCell ref="IF20:IG20"/>
    <mergeCell ref="IB30:IC30"/>
    <mergeCell ref="IH17:II17"/>
    <mergeCell ref="IJ17:IK17"/>
    <mergeCell ref="IH20:II20"/>
    <mergeCell ref="IF17:IG17"/>
    <mergeCell ref="IH19:II19"/>
    <mergeCell ref="IF19:IG19"/>
    <mergeCell ref="IH23:II23"/>
    <mergeCell ref="IH24:II24"/>
    <mergeCell ref="IJ24:IK24"/>
    <mergeCell ref="IF33:IG33"/>
    <mergeCell ref="IL17:IM17"/>
    <mergeCell ref="IH18:II18"/>
    <mergeCell ref="IJ18:IK18"/>
    <mergeCell ref="IJ21:IK21"/>
    <mergeCell ref="IL33:IM33"/>
    <mergeCell ref="IH30:II30"/>
    <mergeCell ref="IJ30:IK30"/>
    <mergeCell ref="IH31:II31"/>
    <mergeCell ref="IJ31:IK31"/>
    <mergeCell ref="IL31:IM31"/>
    <mergeCell ref="IH33:II33"/>
    <mergeCell ref="IJ33:IK33"/>
    <mergeCell ref="IF28:IG28"/>
    <mergeCell ref="IH1:II1"/>
    <mergeCell ref="IJ1:IK1"/>
    <mergeCell ref="IN20:IO20"/>
    <mergeCell ref="IN24:IO24"/>
    <mergeCell ref="IP32:IQ32"/>
    <mergeCell ref="IL20:IM20"/>
    <mergeCell ref="IN1:IO1"/>
    <mergeCell ref="IL45:IM45"/>
    <mergeCell ref="IH45:II45"/>
    <mergeCell ref="IL54:IM54"/>
    <mergeCell ref="IB47:IC47"/>
    <mergeCell ref="IB48:IC48"/>
    <mergeCell ref="ID45:IE45"/>
    <mergeCell ref="IF45:IG45"/>
    <mergeCell ref="IN51:IO51"/>
    <mergeCell ref="IF37:IG37"/>
    <mergeCell ref="IH37:II37"/>
    <mergeCell ref="IJ37:IK37"/>
    <mergeCell ref="IL37:IM37"/>
    <mergeCell ref="IB36:IC36"/>
    <mergeCell ref="ID55:IE55"/>
    <mergeCell ref="ID56:IE56"/>
    <mergeCell ref="IF57:IG57"/>
    <mergeCell ref="IF56:IG56"/>
    <mergeCell ref="HZ45:IA45"/>
    <mergeCell ref="HZ47:IA47"/>
    <mergeCell ref="ID48:IE48"/>
    <mergeCell ref="IF49:IG49"/>
    <mergeCell ref="IH49:II49"/>
    <mergeCell ref="ID50:IE50"/>
    <mergeCell ref="IF42:IG42"/>
    <mergeCell ref="IL50:IM50"/>
    <mergeCell ref="IL18:IM18"/>
    <mergeCell ref="IH28:II28"/>
    <mergeCell ref="IF25:IG25"/>
    <mergeCell ref="IH25:II25"/>
    <mergeCell ref="IJ25:IK25"/>
    <mergeCell ref="IL25:IM25"/>
    <mergeCell ref="IH22:II22"/>
    <mergeCell ref="HZ21:IA21"/>
    <mergeCell ref="IB21:IC21"/>
    <mergeCell ref="IL19:IM19"/>
    <mergeCell ref="IN19:IO19"/>
    <mergeCell ref="IL46:IM46"/>
    <mergeCell ref="IL47:IM47"/>
    <mergeCell ref="IB17:IC17"/>
    <mergeCell ref="ID17:IE17"/>
    <mergeCell ref="HZ22:IA22"/>
    <mergeCell ref="HZ34:IA34"/>
    <mergeCell ref="IB34:IC34"/>
    <mergeCell ref="HZ35:IA35"/>
    <mergeCell ref="IB35:IC35"/>
    <mergeCell ref="HZ37:IA37"/>
    <mergeCell ref="IF31:IG31"/>
    <mergeCell ref="HZ1:IA1"/>
    <mergeCell ref="IB1:IC1"/>
    <mergeCell ref="ID1:IE1"/>
    <mergeCell ref="IH21:II21"/>
    <mergeCell ref="ID21:IE21"/>
    <mergeCell ref="IB23:IC23"/>
    <mergeCell ref="ID32:IE32"/>
    <mergeCell ref="IF32:IG32"/>
    <mergeCell ref="HZ32:IA32"/>
    <mergeCell ref="IB32:IC32"/>
    <mergeCell ref="IB33:IC33"/>
    <mergeCell ref="HZ33:IA33"/>
    <mergeCell ref="IB31:IC31"/>
    <mergeCell ref="ID31:IE31"/>
    <mergeCell ref="ID30:IE30"/>
    <mergeCell ref="IP25:IQ25"/>
    <mergeCell ref="IP29:IQ29"/>
    <mergeCell ref="HZ48:IA48"/>
    <mergeCell ref="IB51:IC51"/>
    <mergeCell ref="IB53:IC53"/>
    <mergeCell ref="IB49:IC49"/>
    <mergeCell ref="IH32:II32"/>
    <mergeCell ref="IH29:II29"/>
    <mergeCell ref="IJ29:IK29"/>
    <mergeCell ref="IL29:IM29"/>
    <mergeCell ref="IP24:IQ24"/>
    <mergeCell ref="IL55:IM55"/>
    <mergeCell ref="IB61:IC61"/>
    <mergeCell ref="IJ51:IK51"/>
    <mergeCell ref="IH59:II59"/>
    <mergeCell ref="IJ59:IK59"/>
    <mergeCell ref="IJ58:IK58"/>
    <mergeCell ref="IL56:IM56"/>
    <mergeCell ref="IJ57:IK57"/>
    <mergeCell ref="HZ50:IA50"/>
    <mergeCell ref="IF51:IG51"/>
    <mergeCell ref="ID53:IE53"/>
    <mergeCell ref="IF53:IG53"/>
    <mergeCell ref="HZ53:IA53"/>
    <mergeCell ref="HZ49:IA49"/>
    <mergeCell ref="ID51:IE51"/>
    <mergeCell ref="IJ54:IK54"/>
    <mergeCell ref="IL58:IM58"/>
    <mergeCell ref="IF61:IG61"/>
    <mergeCell ref="IL59:IM59"/>
    <mergeCell ref="ID58:IE58"/>
    <mergeCell ref="IH35:II35"/>
    <mergeCell ref="IL26:IM26"/>
    <mergeCell ref="IF24:IG24"/>
    <mergeCell ref="IJ26:IK26"/>
    <mergeCell ref="ID28:IE28"/>
    <mergeCell ref="IJ27:IK27"/>
    <mergeCell ref="IN41:IO41"/>
    <mergeCell ref="IJ41:IK41"/>
    <mergeCell ref="IF41:IG41"/>
    <mergeCell ref="ID43:IE43"/>
    <mergeCell ref="IF38:IG38"/>
    <mergeCell ref="HZ39:IA39"/>
    <mergeCell ref="ID39:IE39"/>
    <mergeCell ref="IF39:IG39"/>
    <mergeCell ref="HZ40:IA40"/>
    <mergeCell ref="IB40:IC40"/>
    <mergeCell ref="HZ28:IA28"/>
    <mergeCell ref="IB28:IC28"/>
    <mergeCell ref="IB50:IC50"/>
    <mergeCell ref="HZ31:IA31"/>
    <mergeCell ref="ID38:IE38"/>
    <mergeCell ref="HZ52:IA52"/>
    <mergeCell ref="HZ25:IA25"/>
    <mergeCell ref="IB37:IC37"/>
    <mergeCell ref="HZ36:IA36"/>
    <mergeCell ref="HZ29:IA29"/>
    <mergeCell ref="IB29:IC29"/>
    <mergeCell ref="ID29:IE29"/>
    <mergeCell ref="HZ56:IA56"/>
    <mergeCell ref="HZ51:IA51"/>
    <mergeCell ref="ID34:IE34"/>
    <mergeCell ref="IL27:IM27"/>
    <mergeCell ref="IB39:IC39"/>
    <mergeCell ref="IP19:IQ19"/>
    <mergeCell ref="IH26:II26"/>
    <mergeCell ref="IF21:IG21"/>
    <mergeCell ref="IF23:IG23"/>
    <mergeCell ref="HZ60:IA60"/>
    <mergeCell ref="HZ59:IA59"/>
    <mergeCell ref="HZ43:IA43"/>
    <mergeCell ref="IB43:IC43"/>
    <mergeCell ref="IF22:IG22"/>
    <mergeCell ref="IF30:IG30"/>
    <mergeCell ref="IR20:IS20"/>
    <mergeCell ref="IP20:IQ20"/>
    <mergeCell ref="IF18:IG18"/>
    <mergeCell ref="IN40:IO40"/>
    <mergeCell ref="IN30:IO30"/>
    <mergeCell ref="IP30:IQ30"/>
    <mergeCell ref="IB22:IC22"/>
    <mergeCell ref="ID22:IE22"/>
    <mergeCell ref="IB20:IC20"/>
    <mergeCell ref="ID20:IE20"/>
    <mergeCell ref="HZ44:IA44"/>
    <mergeCell ref="IB44:IC44"/>
    <mergeCell ref="ID44:IE44"/>
    <mergeCell ref="IF44:IG44"/>
    <mergeCell ref="HZ42:IA42"/>
    <mergeCell ref="HZ54:IA54"/>
    <mergeCell ref="IN55:IO55"/>
    <mergeCell ref="IP54:IQ54"/>
    <mergeCell ref="IN60:IO60"/>
    <mergeCell ref="HZ63:IA63"/>
    <mergeCell ref="HZ61:IA61"/>
    <mergeCell ref="IF43:IG43"/>
    <mergeCell ref="IH34:II34"/>
    <mergeCell ref="IJ34:IK34"/>
    <mergeCell ref="IF34:IG34"/>
    <mergeCell ref="IF26:IG26"/>
    <mergeCell ref="IJ19:IK19"/>
    <mergeCell ref="IJ23:IK23"/>
    <mergeCell ref="HZ30:IA30"/>
    <mergeCell ref="HZ46:IA46"/>
    <mergeCell ref="IH42:II42"/>
    <mergeCell ref="HZ38:IA38"/>
    <mergeCell ref="IB38:IC38"/>
    <mergeCell ref="IB59:IC59"/>
    <mergeCell ref="IL60:IM60"/>
    <mergeCell ref="IB62:IC62"/>
    <mergeCell ref="ID62:IE62"/>
    <mergeCell ref="HZ57:IA57"/>
    <mergeCell ref="IB55:IC55"/>
    <mergeCell ref="IB60:IC60"/>
    <mergeCell ref="IF62:IG62"/>
    <mergeCell ref="IF50:IG50"/>
    <mergeCell ref="IH50:II50"/>
    <mergeCell ref="IJ50:IK50"/>
    <mergeCell ref="ID61:IE61"/>
    <mergeCell ref="IH51:II51"/>
    <mergeCell ref="IH60:II60"/>
    <mergeCell ref="IH53:II53"/>
    <mergeCell ref="IF55:IG55"/>
    <mergeCell ref="IF54:IG54"/>
    <mergeCell ref="IH55:II55"/>
    <mergeCell ref="HZ41:IA41"/>
    <mergeCell ref="IB41:IC41"/>
    <mergeCell ref="ID41:IE41"/>
    <mergeCell ref="IR17:IS17"/>
    <mergeCell ref="IH44:II44"/>
    <mergeCell ref="IJ44:IK44"/>
    <mergeCell ref="IR19:IS19"/>
    <mergeCell ref="IJ20:IK20"/>
    <mergeCell ref="HZ65:IA65"/>
    <mergeCell ref="IF65:IG65"/>
    <mergeCell ref="ID64:IE64"/>
    <mergeCell ref="IF64:IG64"/>
    <mergeCell ref="IH64:II64"/>
    <mergeCell ref="ID57:IE57"/>
    <mergeCell ref="ID49:IE49"/>
    <mergeCell ref="ID52:IE52"/>
    <mergeCell ref="IP70:IQ70"/>
    <mergeCell ref="IL70:IM70"/>
    <mergeCell ref="IP67:IQ67"/>
    <mergeCell ref="IP81:IQ81"/>
    <mergeCell ref="IP82:IQ82"/>
    <mergeCell ref="IB63:IC63"/>
    <mergeCell ref="IB69:IC69"/>
    <mergeCell ref="IH68:II68"/>
    <mergeCell ref="IF69:IG69"/>
    <mergeCell ref="IF67:IG67"/>
    <mergeCell ref="IF73:IG73"/>
    <mergeCell ref="IB57:IC57"/>
    <mergeCell ref="HZ55:IA55"/>
    <mergeCell ref="IB56:IC56"/>
    <mergeCell ref="IH57:II57"/>
    <mergeCell ref="ID60:IE60"/>
    <mergeCell ref="IH63:II63"/>
    <mergeCell ref="IJ55:IK55"/>
    <mergeCell ref="IL51:IM51"/>
    <mergeCell ref="IH54:II54"/>
    <mergeCell ref="IH61:II61"/>
    <mergeCell ref="IJ60:IK60"/>
    <mergeCell ref="HZ73:IA73"/>
    <mergeCell ref="IB73:IC73"/>
    <mergeCell ref="IJ71:IK71"/>
    <mergeCell ref="IH72:II72"/>
    <mergeCell ref="IN69:IO69"/>
    <mergeCell ref="IP80:IQ80"/>
    <mergeCell ref="IH69:II69"/>
    <mergeCell ref="IF66:IG66"/>
    <mergeCell ref="IF74:IG74"/>
    <mergeCell ref="ID65:IE65"/>
    <mergeCell ref="IN82:IO82"/>
    <mergeCell ref="ID54:IE54"/>
    <mergeCell ref="IH58:II58"/>
    <mergeCell ref="IB58:IC58"/>
    <mergeCell ref="ID59:IE59"/>
    <mergeCell ref="IF59:IG59"/>
    <mergeCell ref="IN65:IO65"/>
    <mergeCell ref="IL78:IM78"/>
    <mergeCell ref="IH76:II76"/>
    <mergeCell ref="IJ76:IK76"/>
    <mergeCell ref="IL76:IM76"/>
    <mergeCell ref="IH66:II66"/>
    <mergeCell ref="IF78:IG78"/>
    <mergeCell ref="ID72:IE72"/>
    <mergeCell ref="ID63:IE63"/>
    <mergeCell ref="ID67:IE67"/>
    <mergeCell ref="ID76:IE76"/>
    <mergeCell ref="IJ74:IK74"/>
    <mergeCell ref="IJ66:IK66"/>
    <mergeCell ref="IB64:IC64"/>
    <mergeCell ref="IJ65:IK65"/>
    <mergeCell ref="IN75:IO75"/>
    <mergeCell ref="IH65:II65"/>
    <mergeCell ref="IL65:IM65"/>
    <mergeCell ref="IH71:II71"/>
    <mergeCell ref="IH67:II67"/>
    <mergeCell ref="IN70:IO70"/>
    <mergeCell ref="IL74:IM74"/>
    <mergeCell ref="IN81:IO81"/>
    <mergeCell ref="IJ81:IK81"/>
    <mergeCell ref="IB72:IC72"/>
    <mergeCell ref="HZ74:IA74"/>
    <mergeCell ref="HZ75:IA75"/>
    <mergeCell ref="HX67:HY67"/>
    <mergeCell ref="IH70:II70"/>
    <mergeCell ref="HZ68:IA68"/>
    <mergeCell ref="ID78:IE78"/>
    <mergeCell ref="IB77:IC77"/>
    <mergeCell ref="IB88:IC88"/>
    <mergeCell ref="ID93:IE93"/>
    <mergeCell ref="HX66:HY66"/>
    <mergeCell ref="HZ66:IA66"/>
    <mergeCell ref="HX71:HY71"/>
    <mergeCell ref="IB71:IC71"/>
    <mergeCell ref="ID69:IE69"/>
    <mergeCell ref="ID66:IE66"/>
    <mergeCell ref="ID68:IE68"/>
    <mergeCell ref="IF83:IG83"/>
    <mergeCell ref="ID73:IE73"/>
    <mergeCell ref="ID85:IE85"/>
    <mergeCell ref="IB66:IC66"/>
    <mergeCell ref="IH79:II79"/>
    <mergeCell ref="IJ79:IK79"/>
    <mergeCell ref="IJ85:IK85"/>
    <mergeCell ref="HZ85:IA85"/>
    <mergeCell ref="HZ67:IA67"/>
    <mergeCell ref="HX68:HY68"/>
    <mergeCell ref="IF87:IG87"/>
    <mergeCell ref="IB79:IC79"/>
    <mergeCell ref="IB85:IC85"/>
    <mergeCell ref="IB84:IC84"/>
    <mergeCell ref="IL77:IM77"/>
    <mergeCell ref="IJ80:IK80"/>
    <mergeCell ref="ID84:IE84"/>
    <mergeCell ref="ID86:IE86"/>
    <mergeCell ref="IN88:IO88"/>
    <mergeCell ref="HZ86:IA86"/>
    <mergeCell ref="IN86:IO86"/>
    <mergeCell ref="IN80:IO80"/>
    <mergeCell ref="IN87:IO87"/>
    <mergeCell ref="HX76:HY76"/>
    <mergeCell ref="ID70:IE70"/>
    <mergeCell ref="HZ70:IA70"/>
    <mergeCell ref="IB70:IC70"/>
    <mergeCell ref="HX70:HY70"/>
    <mergeCell ref="HZ78:IA78"/>
    <mergeCell ref="IL88:IM88"/>
    <mergeCell ref="IL83:IM83"/>
    <mergeCell ref="IB80:IC80"/>
    <mergeCell ref="IH73:II73"/>
    <mergeCell ref="IL85:IM85"/>
    <mergeCell ref="IL91:IM91"/>
    <mergeCell ref="IJ82:IK82"/>
    <mergeCell ref="IN77:IO77"/>
    <mergeCell ref="IJ67:IK67"/>
    <mergeCell ref="ID82:IE82"/>
    <mergeCell ref="IH84:II84"/>
    <mergeCell ref="HJ95:HK95"/>
    <mergeCell ref="HL95:HM95"/>
    <mergeCell ref="HN95:HO95"/>
    <mergeCell ref="HP95:HQ95"/>
    <mergeCell ref="HR95:HS95"/>
    <mergeCell ref="HT95:HU95"/>
    <mergeCell ref="HX95:HY95"/>
    <mergeCell ref="HZ95:IA95"/>
    <mergeCell ref="IB95:IC95"/>
    <mergeCell ref="ID95:IE95"/>
    <mergeCell ref="IF95:IG95"/>
    <mergeCell ref="IH95:II95"/>
    <mergeCell ref="IJ95:IK95"/>
    <mergeCell ref="IL95:IM95"/>
    <mergeCell ref="IN95:IO95"/>
    <mergeCell ref="IN92:IO92"/>
    <mergeCell ref="HP79:HQ79"/>
    <mergeCell ref="ID79:IE79"/>
    <mergeCell ref="IN71:IO71"/>
    <mergeCell ref="IB75:IC75"/>
    <mergeCell ref="IL75:IM75"/>
    <mergeCell ref="IN85:IO85"/>
    <mergeCell ref="HJ77:HK77"/>
    <mergeCell ref="HJ78:HK78"/>
    <mergeCell ref="HP73:HQ73"/>
    <mergeCell ref="HX78:HY78"/>
    <mergeCell ref="HP72:HQ72"/>
    <mergeCell ref="HJ73:HK73"/>
    <mergeCell ref="HV73:HW73"/>
    <mergeCell ref="HT81:HU81"/>
    <mergeCell ref="IF82:IG82"/>
    <mergeCell ref="IB82:IC82"/>
    <mergeCell ref="HR84:HS84"/>
    <mergeCell ref="HL86:HM86"/>
    <mergeCell ref="HX88:HY88"/>
    <mergeCell ref="IF76:IG76"/>
    <mergeCell ref="HT79:HU79"/>
    <mergeCell ref="ID71:IE71"/>
    <mergeCell ref="IF71:IG71"/>
    <mergeCell ref="HV91:HW91"/>
    <mergeCell ref="IB81:IC81"/>
    <mergeCell ref="HT82:HU82"/>
    <mergeCell ref="IB86:IC86"/>
    <mergeCell ref="IH89:II89"/>
    <mergeCell ref="IH85:II85"/>
    <mergeCell ref="IJ89:IK89"/>
    <mergeCell ref="HZ83:IA83"/>
    <mergeCell ref="IL89:IM89"/>
    <mergeCell ref="IJ84:IK84"/>
    <mergeCell ref="HZ71:IA71"/>
    <mergeCell ref="HZ72:IA72"/>
    <mergeCell ref="IB76:IC76"/>
    <mergeCell ref="HV76:HW76"/>
    <mergeCell ref="HR77:HS77"/>
    <mergeCell ref="HV71:HW71"/>
    <mergeCell ref="IB74:IC74"/>
    <mergeCell ref="ID94:IE94"/>
    <mergeCell ref="HJ90:HK90"/>
    <mergeCell ref="HL90:HM90"/>
    <mergeCell ref="HZ94:IA94"/>
    <mergeCell ref="IL80:IM80"/>
    <mergeCell ref="HX86:HY86"/>
    <mergeCell ref="IB65:IC65"/>
    <mergeCell ref="IF79:IG79"/>
    <mergeCell ref="IB68:IC68"/>
    <mergeCell ref="IB67:IC67"/>
    <mergeCell ref="HP90:HQ90"/>
    <mergeCell ref="HR90:HS90"/>
    <mergeCell ref="HT90:HU90"/>
    <mergeCell ref="HV90:HW90"/>
    <mergeCell ref="HX90:HY90"/>
    <mergeCell ref="IF85:IG85"/>
    <mergeCell ref="IH81:II81"/>
    <mergeCell ref="IJ86:IK86"/>
    <mergeCell ref="ID87:IE87"/>
    <mergeCell ref="IF80:IG80"/>
    <mergeCell ref="HX80:HY80"/>
    <mergeCell ref="HP83:HQ83"/>
    <mergeCell ref="HT78:HU78"/>
    <mergeCell ref="HV83:HW83"/>
    <mergeCell ref="HR93:HS93"/>
    <mergeCell ref="ID81:IE81"/>
    <mergeCell ref="IF89:IG89"/>
    <mergeCell ref="HP75:HQ75"/>
    <mergeCell ref="HX73:HY73"/>
    <mergeCell ref="HR75:HS75"/>
    <mergeCell ref="HV72:HW72"/>
    <mergeCell ref="HX72:HY72"/>
    <mergeCell ref="ID77:IE77"/>
    <mergeCell ref="ID75:IE75"/>
    <mergeCell ref="ID74:IE74"/>
    <mergeCell ref="HV75:HW75"/>
    <mergeCell ref="HZ76:IA76"/>
    <mergeCell ref="HX74:HY74"/>
    <mergeCell ref="HZ77:IA77"/>
    <mergeCell ref="HP74:HQ74"/>
    <mergeCell ref="HZ89:IA89"/>
    <mergeCell ref="IF91:IG91"/>
    <mergeCell ref="IH91:II91"/>
    <mergeCell ref="IB92:IC92"/>
    <mergeCell ref="ID92:IE92"/>
    <mergeCell ref="HZ82:IA82"/>
    <mergeCell ref="HX87:HY87"/>
    <mergeCell ref="HZ84:IA84"/>
    <mergeCell ref="HZ81:IA81"/>
    <mergeCell ref="IB89:IC89"/>
    <mergeCell ref="HV77:HW77"/>
    <mergeCell ref="HT76:HU76"/>
    <mergeCell ref="HZ91:IA91"/>
    <mergeCell ref="HX75:HY75"/>
    <mergeCell ref="HT80:HU80"/>
    <mergeCell ref="HX81:HY81"/>
    <mergeCell ref="HT77:HU77"/>
    <mergeCell ref="IF84:IG84"/>
    <mergeCell ref="HV80:HW80"/>
    <mergeCell ref="HZ69:IA69"/>
    <mergeCell ref="IB91:IC91"/>
    <mergeCell ref="HX84:HY84"/>
    <mergeCell ref="IF81:IG81"/>
    <mergeCell ref="IJ91:IK91"/>
    <mergeCell ref="HZ93:IA93"/>
    <mergeCell ref="IB93:IC93"/>
    <mergeCell ref="IF93:IG93"/>
    <mergeCell ref="IH92:II92"/>
    <mergeCell ref="IL84:IM84"/>
    <mergeCell ref="IB83:IC83"/>
    <mergeCell ref="HV84:HW84"/>
    <mergeCell ref="HZ79:IA79"/>
    <mergeCell ref="IB78:IC78"/>
    <mergeCell ref="HX82:HY82"/>
    <mergeCell ref="HR78:HS78"/>
    <mergeCell ref="HV79:HW79"/>
    <mergeCell ref="HX79:HY79"/>
    <mergeCell ref="IH82:II82"/>
    <mergeCell ref="HX93:HY93"/>
    <mergeCell ref="HL81:HM81"/>
    <mergeCell ref="HN81:HO81"/>
    <mergeCell ref="HV93:HW93"/>
    <mergeCell ref="HX92:HY92"/>
    <mergeCell ref="HV87:HW87"/>
    <mergeCell ref="HV78:HW78"/>
    <mergeCell ref="HV111:HW111"/>
    <mergeCell ref="HP102:HQ102"/>
    <mergeCell ref="HR102:HS102"/>
    <mergeCell ref="HR111:HS111"/>
    <mergeCell ref="HR106:HS106"/>
    <mergeCell ref="IL82:IM82"/>
    <mergeCell ref="IJ88:IK88"/>
    <mergeCell ref="HP82:HQ82"/>
    <mergeCell ref="HV85:HW85"/>
    <mergeCell ref="IH86:II86"/>
    <mergeCell ref="ID88:IE88"/>
    <mergeCell ref="IL102:IM102"/>
    <mergeCell ref="IF102:IG102"/>
    <mergeCell ref="HX106:HY106"/>
    <mergeCell ref="HN94:HO94"/>
    <mergeCell ref="HP94:HQ94"/>
    <mergeCell ref="HR94:HS94"/>
    <mergeCell ref="HT94:HU94"/>
    <mergeCell ref="HV94:HW94"/>
    <mergeCell ref="HX94:HY94"/>
    <mergeCell ref="HZ87:IA87"/>
    <mergeCell ref="HV82:HW82"/>
    <mergeCell ref="IL81:IM81"/>
    <mergeCell ref="IB87:IC87"/>
    <mergeCell ref="IL87:IM87"/>
    <mergeCell ref="IH80:II80"/>
    <mergeCell ref="IH83:II83"/>
    <mergeCell ref="IJ83:IK83"/>
    <mergeCell ref="HZ80:IA80"/>
    <mergeCell ref="HV81:HW81"/>
    <mergeCell ref="HX89:HY89"/>
    <mergeCell ref="IF92:IG92"/>
    <mergeCell ref="IF88:IG88"/>
    <mergeCell ref="HZ92:IA92"/>
    <mergeCell ref="HT99:HU99"/>
    <mergeCell ref="HV99:HW99"/>
    <mergeCell ref="ID89:IE89"/>
    <mergeCell ref="HZ88:IA88"/>
    <mergeCell ref="HT88:HU88"/>
    <mergeCell ref="HX99:HY99"/>
    <mergeCell ref="HX91:HY91"/>
    <mergeCell ref="HX102:HY102"/>
    <mergeCell ref="IF86:IG86"/>
    <mergeCell ref="HP81:HQ81"/>
    <mergeCell ref="HV86:HW86"/>
    <mergeCell ref="HR83:HS83"/>
    <mergeCell ref="HT83:HU83"/>
    <mergeCell ref="ID80:IE80"/>
    <mergeCell ref="HT84:HU84"/>
    <mergeCell ref="HN80:HO80"/>
    <mergeCell ref="HL84:HM84"/>
    <mergeCell ref="HX85:HY85"/>
    <mergeCell ref="HD78:HE78"/>
    <mergeCell ref="HH79:HI79"/>
    <mergeCell ref="HF79:HG79"/>
    <mergeCell ref="HB78:HC78"/>
    <mergeCell ref="HB79:HC79"/>
    <mergeCell ref="GL87:GM87"/>
    <mergeCell ref="HX83:HY83"/>
    <mergeCell ref="HN90:HO90"/>
    <mergeCell ref="GZ97:HA97"/>
    <mergeCell ref="GZ93:HA93"/>
    <mergeCell ref="GZ95:HA95"/>
    <mergeCell ref="GZ83:HA83"/>
    <mergeCell ref="HJ80:HK80"/>
    <mergeCell ref="HL79:HM79"/>
    <mergeCell ref="GX80:GY80"/>
    <mergeCell ref="HH80:HI80"/>
    <mergeCell ref="HJ91:HK91"/>
    <mergeCell ref="GT92:GU92"/>
    <mergeCell ref="GV92:GW92"/>
    <mergeCell ref="GX78:GY78"/>
    <mergeCell ref="GR78:GS78"/>
    <mergeCell ref="GJ83:GK83"/>
    <mergeCell ref="HT91:HU91"/>
    <mergeCell ref="HP86:HQ86"/>
    <mergeCell ref="HN87:HO87"/>
    <mergeCell ref="GT81:GU81"/>
    <mergeCell ref="HV89:HW89"/>
    <mergeCell ref="HN86:HO86"/>
    <mergeCell ref="GZ88:HA88"/>
    <mergeCell ref="HD90:HE90"/>
    <mergeCell ref="HF90:HG90"/>
    <mergeCell ref="HH90:HI90"/>
    <mergeCell ref="GT90:GU90"/>
    <mergeCell ref="GV90:GW90"/>
    <mergeCell ref="GX90:GY90"/>
    <mergeCell ref="GZ90:HA90"/>
    <mergeCell ref="GR87:GS87"/>
    <mergeCell ref="HZ90:IA90"/>
    <mergeCell ref="IB90:IC90"/>
    <mergeCell ref="ID90:IE90"/>
    <mergeCell ref="HR91:HS91"/>
    <mergeCell ref="HH78:HI78"/>
    <mergeCell ref="HP91:HQ91"/>
    <mergeCell ref="GR83:GS83"/>
    <mergeCell ref="GN87:GO87"/>
    <mergeCell ref="HL106:HM106"/>
    <mergeCell ref="HB98:HC98"/>
    <mergeCell ref="HV74:HW74"/>
    <mergeCell ref="HL74:HM74"/>
    <mergeCell ref="HD74:HE74"/>
    <mergeCell ref="GV102:GW102"/>
    <mergeCell ref="GX89:GY89"/>
    <mergeCell ref="GL91:GM91"/>
    <mergeCell ref="GD111:GE111"/>
    <mergeCell ref="GD92:GE92"/>
    <mergeCell ref="GD106:GE106"/>
    <mergeCell ref="GR111:GS111"/>
    <mergeCell ref="GX102:GY102"/>
    <mergeCell ref="GT100:GU100"/>
    <mergeCell ref="GD87:GE87"/>
    <mergeCell ref="GD88:GE88"/>
    <mergeCell ref="HP76:HQ76"/>
    <mergeCell ref="HF76:HG76"/>
    <mergeCell ref="HL78:HM78"/>
    <mergeCell ref="HN82:HO82"/>
    <mergeCell ref="HJ83:HK83"/>
    <mergeCell ref="HD77:HE77"/>
    <mergeCell ref="HD79:HE79"/>
    <mergeCell ref="HJ82:HK82"/>
    <mergeCell ref="HJ81:HK81"/>
    <mergeCell ref="HP87:HQ87"/>
    <mergeCell ref="HR81:HS81"/>
    <mergeCell ref="GJ88:GK88"/>
    <mergeCell ref="GX85:GY85"/>
    <mergeCell ref="GR85:GS85"/>
    <mergeCell ref="GR88:GS88"/>
    <mergeCell ref="HN102:HO102"/>
    <mergeCell ref="HT102:HU102"/>
    <mergeCell ref="HN79:HO79"/>
    <mergeCell ref="HB77:HC77"/>
    <mergeCell ref="GX77:GY77"/>
    <mergeCell ref="GP77:GQ77"/>
    <mergeCell ref="GX91:GY91"/>
    <mergeCell ref="GR86:GS86"/>
    <mergeCell ref="GX86:GY86"/>
    <mergeCell ref="GP91:GQ91"/>
    <mergeCell ref="GJ93:GK93"/>
    <mergeCell ref="GL93:GM93"/>
    <mergeCell ref="GR93:GS93"/>
    <mergeCell ref="GT93:GU93"/>
    <mergeCell ref="GV93:GW93"/>
    <mergeCell ref="GX93:GY93"/>
    <mergeCell ref="GZ80:HA80"/>
    <mergeCell ref="HL75:HM75"/>
    <mergeCell ref="HN75:HO75"/>
    <mergeCell ref="GF84:GG84"/>
    <mergeCell ref="GH81:GI81"/>
    <mergeCell ref="GN80:GO80"/>
    <mergeCell ref="GP75:GQ75"/>
    <mergeCell ref="GR76:GS76"/>
    <mergeCell ref="GN81:GO81"/>
    <mergeCell ref="GF79:GG79"/>
    <mergeCell ref="GR80:GS80"/>
    <mergeCell ref="GT84:GU84"/>
    <mergeCell ref="HB80:HC80"/>
    <mergeCell ref="HF81:HG81"/>
    <mergeCell ref="HD76:HE76"/>
    <mergeCell ref="HH77:HI77"/>
    <mergeCell ref="GX81:GY81"/>
    <mergeCell ref="HB102:HC102"/>
    <mergeCell ref="HD102:HE102"/>
    <mergeCell ref="GX87:GY87"/>
    <mergeCell ref="HB90:HC90"/>
    <mergeCell ref="GH87:GI87"/>
    <mergeCell ref="GT88:GU88"/>
    <mergeCell ref="GV88:GW88"/>
    <mergeCell ref="GV96:GW96"/>
    <mergeCell ref="GV97:GW97"/>
    <mergeCell ref="GX94:GY94"/>
    <mergeCell ref="GV95:GW95"/>
    <mergeCell ref="GJ91:GK91"/>
    <mergeCell ref="GV86:GW86"/>
    <mergeCell ref="HD92:HE92"/>
    <mergeCell ref="GH83:GI83"/>
    <mergeCell ref="GL82:GM82"/>
    <mergeCell ref="GZ87:HA87"/>
    <mergeCell ref="GZ82:HA82"/>
    <mergeCell ref="HD82:HE82"/>
    <mergeCell ref="HB82:HC82"/>
    <mergeCell ref="GV85:GW85"/>
    <mergeCell ref="GR75:GS75"/>
    <mergeCell ref="GX83:GY83"/>
    <mergeCell ref="GP82:GQ82"/>
    <mergeCell ref="GL83:GM83"/>
    <mergeCell ref="GL84:GM84"/>
    <mergeCell ref="GP83:GQ83"/>
    <mergeCell ref="GP84:GQ84"/>
    <mergeCell ref="GZ85:HA85"/>
    <mergeCell ref="GN83:GO83"/>
    <mergeCell ref="GP79:GQ79"/>
    <mergeCell ref="GT82:GU82"/>
    <mergeCell ref="GR82:GS82"/>
    <mergeCell ref="GT80:GU80"/>
    <mergeCell ref="GV81:GW81"/>
    <mergeCell ref="GR84:GS84"/>
    <mergeCell ref="GX82:GY82"/>
    <mergeCell ref="GT89:GU89"/>
    <mergeCell ref="GX88:GY88"/>
    <mergeCell ref="GP89:GQ89"/>
    <mergeCell ref="GJ101:GK101"/>
    <mergeCell ref="GL101:GM101"/>
    <mergeCell ref="GN101:GO101"/>
    <mergeCell ref="GP101:GQ101"/>
    <mergeCell ref="GR101:GS101"/>
    <mergeCell ref="GT101:GU101"/>
    <mergeCell ref="GV101:GW101"/>
    <mergeCell ref="GX101:GY101"/>
    <mergeCell ref="GZ101:HA101"/>
    <mergeCell ref="HB101:HC101"/>
    <mergeCell ref="HD101:HE101"/>
    <mergeCell ref="GN98:GO98"/>
    <mergeCell ref="GP98:GQ98"/>
    <mergeCell ref="GR98:GS98"/>
    <mergeCell ref="GT98:GU98"/>
    <mergeCell ref="GV98:GW98"/>
    <mergeCell ref="GX98:GY98"/>
    <mergeCell ref="GZ98:HA98"/>
    <mergeCell ref="GP88:GQ88"/>
    <mergeCell ref="GN85:GO85"/>
    <mergeCell ref="GP87:GQ87"/>
    <mergeCell ref="HD98:HE98"/>
    <mergeCell ref="GV83:GW83"/>
    <mergeCell ref="GT83:GU83"/>
    <mergeCell ref="HF101:HG101"/>
    <mergeCell ref="HH101:HI101"/>
    <mergeCell ref="HJ101:HK101"/>
    <mergeCell ref="HL101:HM101"/>
    <mergeCell ref="HN101:HO101"/>
    <mergeCell ref="HP101:HQ101"/>
    <mergeCell ref="HR101:HS101"/>
    <mergeCell ref="GP85:GQ85"/>
    <mergeCell ref="GT87:GU87"/>
    <mergeCell ref="GT85:GU85"/>
    <mergeCell ref="GN88:GO88"/>
    <mergeCell ref="GP86:GQ86"/>
    <mergeCell ref="GV87:GW87"/>
    <mergeCell ref="HJ87:HK87"/>
    <mergeCell ref="HD106:HE106"/>
    <mergeCell ref="HB85:HC85"/>
    <mergeCell ref="HB95:HC95"/>
    <mergeCell ref="HD95:HE95"/>
    <mergeCell ref="HN83:HO83"/>
    <mergeCell ref="HL87:HM87"/>
    <mergeCell ref="HF83:HG83"/>
    <mergeCell ref="HD81:HE81"/>
    <mergeCell ref="HP84:HQ84"/>
    <mergeCell ref="HD83:HE83"/>
    <mergeCell ref="HB84:HC84"/>
    <mergeCell ref="HT106:HU106"/>
    <mergeCell ref="HL88:HM88"/>
    <mergeCell ref="HN88:HO88"/>
    <mergeCell ref="GV100:GW100"/>
    <mergeCell ref="GF86:GG86"/>
    <mergeCell ref="GN86:GO86"/>
    <mergeCell ref="GH85:GI85"/>
    <mergeCell ref="GJ87:GK87"/>
    <mergeCell ref="HL93:HM93"/>
    <mergeCell ref="HT89:HU89"/>
    <mergeCell ref="HF91:HG91"/>
    <mergeCell ref="HF106:HG106"/>
    <mergeCell ref="HH106:HI106"/>
    <mergeCell ref="HJ106:HK106"/>
    <mergeCell ref="GX84:GY84"/>
    <mergeCell ref="GH86:GI86"/>
    <mergeCell ref="GH90:GI90"/>
    <mergeCell ref="GJ90:GK90"/>
    <mergeCell ref="GL90:GM90"/>
    <mergeCell ref="GN90:GO90"/>
    <mergeCell ref="GP90:GQ90"/>
    <mergeCell ref="GR90:GS90"/>
    <mergeCell ref="GF87:GG87"/>
    <mergeCell ref="GH88:GI88"/>
    <mergeCell ref="GH82:GI82"/>
    <mergeCell ref="GF82:GG82"/>
    <mergeCell ref="GH84:GI84"/>
    <mergeCell ref="HN106:HO106"/>
    <mergeCell ref="HP106:HQ106"/>
    <mergeCell ref="HH102:HI102"/>
    <mergeCell ref="HF95:HG95"/>
    <mergeCell ref="HT93:HU93"/>
    <mergeCell ref="HH95:HI95"/>
    <mergeCell ref="HH88:HI88"/>
    <mergeCell ref="HB91:HC91"/>
    <mergeCell ref="GL88:GM88"/>
    <mergeCell ref="HT101:HU101"/>
    <mergeCell ref="GJ98:GK98"/>
    <mergeCell ref="GL98:GM98"/>
    <mergeCell ref="GX113:GY113"/>
    <mergeCell ref="GX116:GY116"/>
    <mergeCell ref="GZ116:HA116"/>
    <mergeCell ref="GZ115:HA115"/>
    <mergeCell ref="GJ116:GK116"/>
    <mergeCell ref="GN118:GO118"/>
    <mergeCell ref="GP113:GQ113"/>
    <mergeCell ref="GV116:GW116"/>
    <mergeCell ref="GV117:GW117"/>
    <mergeCell ref="GL113:GM113"/>
    <mergeCell ref="GF92:GG92"/>
    <mergeCell ref="GF106:GG106"/>
    <mergeCell ref="GH106:GI106"/>
    <mergeCell ref="GJ106:GK106"/>
    <mergeCell ref="GL106:GM106"/>
    <mergeCell ref="GN106:GO106"/>
    <mergeCell ref="GP106:GQ106"/>
    <mergeCell ref="GR106:GS106"/>
    <mergeCell ref="GT106:GU106"/>
    <mergeCell ref="GV106:GW106"/>
    <mergeCell ref="GX106:GY106"/>
    <mergeCell ref="GZ106:HA106"/>
    <mergeCell ref="GX92:GY92"/>
    <mergeCell ref="GZ92:HA92"/>
    <mergeCell ref="GV114:GW114"/>
    <mergeCell ref="GP111:GQ111"/>
    <mergeCell ref="GF95:GG95"/>
    <mergeCell ref="GH95:GI95"/>
    <mergeCell ref="GJ95:GK95"/>
    <mergeCell ref="GL95:GM95"/>
    <mergeCell ref="GN95:GO95"/>
    <mergeCell ref="GP95:GQ95"/>
    <mergeCell ref="GR95:GS95"/>
    <mergeCell ref="GT95:GU95"/>
    <mergeCell ref="GX95:GY95"/>
    <mergeCell ref="GN111:GO111"/>
    <mergeCell ref="GL96:GM96"/>
    <mergeCell ref="GN96:GO96"/>
    <mergeCell ref="GP96:GQ96"/>
    <mergeCell ref="GZ99:HA99"/>
    <mergeCell ref="GZ112:HA112"/>
    <mergeCell ref="GZ114:HA114"/>
    <mergeCell ref="GT111:GU111"/>
    <mergeCell ref="GX114:GY114"/>
    <mergeCell ref="GX96:GY96"/>
    <mergeCell ref="GX99:GY99"/>
    <mergeCell ref="GT99:GU99"/>
    <mergeCell ref="GV99:GW99"/>
    <mergeCell ref="GX97:GY97"/>
    <mergeCell ref="GX112:GY112"/>
    <mergeCell ref="GN92:GO92"/>
    <mergeCell ref="GV118:GW118"/>
    <mergeCell ref="GL118:GM118"/>
    <mergeCell ref="GX100:GY100"/>
    <mergeCell ref="GF94:GG94"/>
    <mergeCell ref="GH94:GI94"/>
    <mergeCell ref="GJ94:GK94"/>
    <mergeCell ref="GL94:GM94"/>
    <mergeCell ref="GN94:GO94"/>
    <mergeCell ref="GP94:GQ94"/>
    <mergeCell ref="GX115:GY115"/>
    <mergeCell ref="GX111:GY111"/>
    <mergeCell ref="GL116:GM116"/>
    <mergeCell ref="GJ115:GK115"/>
    <mergeCell ref="GT118:GU118"/>
    <mergeCell ref="GJ114:GK114"/>
    <mergeCell ref="GR117:GS117"/>
    <mergeCell ref="GR118:GS118"/>
    <mergeCell ref="GN114:GO114"/>
    <mergeCell ref="GB113:GC113"/>
    <mergeCell ref="GD91:GE91"/>
    <mergeCell ref="GH112:GI112"/>
    <mergeCell ref="GJ112:GK112"/>
    <mergeCell ref="GN116:GO116"/>
    <mergeCell ref="FX92:FY92"/>
    <mergeCell ref="GL117:GM117"/>
    <mergeCell ref="GP114:GQ114"/>
    <mergeCell ref="GL92:GM92"/>
    <mergeCell ref="FZ91:GA91"/>
    <mergeCell ref="GP112:GQ112"/>
    <mergeCell ref="GR112:GS112"/>
    <mergeCell ref="GP99:GQ99"/>
    <mergeCell ref="GR99:GS99"/>
    <mergeCell ref="FZ92:GA92"/>
    <mergeCell ref="GL100:GM100"/>
    <mergeCell ref="GN100:GO100"/>
    <mergeCell ref="GR100:GS100"/>
    <mergeCell ref="GB106:GC106"/>
    <mergeCell ref="GV94:GW94"/>
    <mergeCell ref="GJ89:GK89"/>
    <mergeCell ref="GF90:GG90"/>
    <mergeCell ref="GL89:GM89"/>
    <mergeCell ref="GN89:GO89"/>
    <mergeCell ref="GN91:GO91"/>
    <mergeCell ref="GJ92:GK92"/>
    <mergeCell ref="GP92:GQ92"/>
    <mergeCell ref="GT94:GU94"/>
    <mergeCell ref="GT114:GU114"/>
    <mergeCell ref="GT102:GU102"/>
    <mergeCell ref="GP115:GQ115"/>
    <mergeCell ref="GH96:GI96"/>
    <mergeCell ref="GJ99:GK99"/>
    <mergeCell ref="GL99:GM99"/>
    <mergeCell ref="GN99:GO99"/>
    <mergeCell ref="GR115:GS115"/>
    <mergeCell ref="FX117:FY117"/>
    <mergeCell ref="GT117:GU117"/>
    <mergeCell ref="GT116:GU116"/>
    <mergeCell ref="GT112:GU112"/>
    <mergeCell ref="FX106:FY106"/>
    <mergeCell ref="GT115:GU115"/>
    <mergeCell ref="GD112:GE112"/>
    <mergeCell ref="GD90:GE90"/>
    <mergeCell ref="GD113:GE113"/>
    <mergeCell ref="GF115:GG115"/>
    <mergeCell ref="FZ116:GA116"/>
    <mergeCell ref="FX95:FY95"/>
    <mergeCell ref="FZ95:GA95"/>
    <mergeCell ref="GB95:GC95"/>
    <mergeCell ref="GV112:GW112"/>
    <mergeCell ref="GV111:GW111"/>
    <mergeCell ref="GP118:GQ118"/>
    <mergeCell ref="GN117:GO117"/>
    <mergeCell ref="GB115:GC115"/>
    <mergeCell ref="FZ100:GA100"/>
    <mergeCell ref="GR96:GS96"/>
    <mergeCell ref="GT96:GU96"/>
    <mergeCell ref="GH99:GI99"/>
    <mergeCell ref="GH120:GI120"/>
    <mergeCell ref="GJ120:GK120"/>
    <mergeCell ref="GB117:GC117"/>
    <mergeCell ref="FZ111:GA111"/>
    <mergeCell ref="FX114:FY114"/>
    <mergeCell ref="GN93:GO93"/>
    <mergeCell ref="GP93:GQ93"/>
    <mergeCell ref="GR119:GS119"/>
    <mergeCell ref="GF119:GG119"/>
    <mergeCell ref="GJ119:GK119"/>
    <mergeCell ref="GN119:GO119"/>
    <mergeCell ref="FZ120:GA120"/>
    <mergeCell ref="GH89:GI89"/>
    <mergeCell ref="FZ89:GA89"/>
    <mergeCell ref="FX93:FY93"/>
    <mergeCell ref="GR92:GS92"/>
    <mergeCell ref="GF120:GG120"/>
    <mergeCell ref="GB91:GC91"/>
    <mergeCell ref="GF89:GG89"/>
    <mergeCell ref="GL119:GM119"/>
    <mergeCell ref="GH113:GI113"/>
    <mergeCell ref="GJ117:GK117"/>
    <mergeCell ref="GF112:GG112"/>
    <mergeCell ref="FZ106:GA106"/>
    <mergeCell ref="GR94:GS94"/>
    <mergeCell ref="GR114:GS114"/>
    <mergeCell ref="FZ115:GA115"/>
    <mergeCell ref="GD100:GE100"/>
    <mergeCell ref="GF100:GG100"/>
    <mergeCell ref="GH100:GI100"/>
    <mergeCell ref="GF116:GG116"/>
    <mergeCell ref="GH115:GI115"/>
    <mergeCell ref="GJ113:GK113"/>
    <mergeCell ref="GN115:GO115"/>
    <mergeCell ref="GP117:GQ117"/>
    <mergeCell ref="GB112:GC112"/>
    <mergeCell ref="FZ114:GA114"/>
    <mergeCell ref="FX112:FY112"/>
    <mergeCell ref="GP116:GQ116"/>
    <mergeCell ref="GB93:GC93"/>
    <mergeCell ref="FZ102:GA102"/>
    <mergeCell ref="GB102:GC102"/>
    <mergeCell ref="GD102:GE102"/>
    <mergeCell ref="GF102:GG102"/>
    <mergeCell ref="GH102:GI102"/>
    <mergeCell ref="GJ102:GK102"/>
    <mergeCell ref="GL102:GM102"/>
    <mergeCell ref="GN102:GO102"/>
    <mergeCell ref="GP102:GQ102"/>
    <mergeCell ref="GR102:GS102"/>
    <mergeCell ref="GR116:GS116"/>
    <mergeCell ref="GF114:GG114"/>
    <mergeCell ref="GJ111:GK111"/>
    <mergeCell ref="GP100:GQ100"/>
    <mergeCell ref="GL97:GM97"/>
    <mergeCell ref="GN97:GO97"/>
    <mergeCell ref="FZ118:GA118"/>
    <mergeCell ref="GF118:GG118"/>
    <mergeCell ref="GD118:GE118"/>
    <mergeCell ref="GH118:GI118"/>
    <mergeCell ref="FZ93:GA93"/>
    <mergeCell ref="GD117:GE117"/>
    <mergeCell ref="GF117:GG117"/>
    <mergeCell ref="GN112:GO112"/>
    <mergeCell ref="GV115:GW115"/>
    <mergeCell ref="GP97:GQ97"/>
    <mergeCell ref="GR97:GS97"/>
    <mergeCell ref="GT97:GU97"/>
    <mergeCell ref="GL86:GM86"/>
    <mergeCell ref="GV89:GW89"/>
    <mergeCell ref="GJ86:GK86"/>
    <mergeCell ref="GV84:GW84"/>
    <mergeCell ref="GJ84:GK84"/>
    <mergeCell ref="GT86:GU86"/>
    <mergeCell ref="GR91:GS91"/>
    <mergeCell ref="GT91:GU91"/>
    <mergeCell ref="GV91:GW91"/>
    <mergeCell ref="GD84:GE84"/>
    <mergeCell ref="GB88:GC88"/>
    <mergeCell ref="GB84:GC84"/>
    <mergeCell ref="GN84:GO84"/>
    <mergeCell ref="FZ84:GA84"/>
    <mergeCell ref="FX84:FY84"/>
    <mergeCell ref="GF97:GG97"/>
    <mergeCell ref="GH97:GI97"/>
    <mergeCell ref="GJ97:GK97"/>
    <mergeCell ref="GD97:GE97"/>
    <mergeCell ref="GD114:GE114"/>
    <mergeCell ref="GJ100:GK100"/>
    <mergeCell ref="FV84:FW84"/>
    <mergeCell ref="GR113:GS113"/>
    <mergeCell ref="GH111:GI111"/>
    <mergeCell ref="FV91:FW91"/>
    <mergeCell ref="FV92:FW92"/>
    <mergeCell ref="GV113:GW113"/>
    <mergeCell ref="GT113:GU113"/>
    <mergeCell ref="GL111:GM111"/>
    <mergeCell ref="GL112:GM112"/>
    <mergeCell ref="GR89:GS89"/>
    <mergeCell ref="GL115:GM115"/>
    <mergeCell ref="FX86:FY86"/>
    <mergeCell ref="FV112:FW112"/>
    <mergeCell ref="GB86:GC86"/>
    <mergeCell ref="GD96:GE96"/>
    <mergeCell ref="GB87:GC87"/>
    <mergeCell ref="FZ96:GA96"/>
    <mergeCell ref="GB96:GC96"/>
    <mergeCell ref="FZ112:GA112"/>
    <mergeCell ref="GD89:GE89"/>
    <mergeCell ref="FV98:FW98"/>
    <mergeCell ref="FX98:FY98"/>
    <mergeCell ref="FZ98:GA98"/>
    <mergeCell ref="GB98:GC98"/>
    <mergeCell ref="GD98:GE98"/>
    <mergeCell ref="GF98:GG98"/>
    <mergeCell ref="GH98:GI98"/>
    <mergeCell ref="GL114:GM114"/>
    <mergeCell ref="GD115:GE115"/>
    <mergeCell ref="CL114:CM114"/>
    <mergeCell ref="CP113:CQ113"/>
    <mergeCell ref="DR112:DS112"/>
    <mergeCell ref="DP115:DQ115"/>
    <mergeCell ref="DN115:DO115"/>
    <mergeCell ref="DN112:DO112"/>
    <mergeCell ref="CL117:CM117"/>
    <mergeCell ref="CN117:CO117"/>
    <mergeCell ref="CP117:CQ117"/>
    <mergeCell ref="DH114:DI114"/>
    <mergeCell ref="DV114:DW114"/>
    <mergeCell ref="DP117:DQ117"/>
    <mergeCell ref="DL113:DM113"/>
    <mergeCell ref="DN111:DO111"/>
    <mergeCell ref="DL87:DM87"/>
    <mergeCell ref="GD85:GE85"/>
    <mergeCell ref="GL85:GM85"/>
    <mergeCell ref="GJ85:GK85"/>
    <mergeCell ref="GB85:GC85"/>
    <mergeCell ref="GF93:GG93"/>
    <mergeCell ref="GH93:GI93"/>
    <mergeCell ref="GH91:GI91"/>
    <mergeCell ref="GF91:GG91"/>
    <mergeCell ref="GF88:GG88"/>
    <mergeCell ref="GF85:GG85"/>
    <mergeCell ref="FF83:FG83"/>
    <mergeCell ref="DT115:DU115"/>
    <mergeCell ref="FP84:FQ84"/>
    <mergeCell ref="FR85:FS85"/>
    <mergeCell ref="FH84:FI84"/>
    <mergeCell ref="FH86:FI86"/>
    <mergeCell ref="FN90:FO90"/>
    <mergeCell ref="FP90:FQ90"/>
    <mergeCell ref="FR90:FS90"/>
    <mergeCell ref="DR111:DS111"/>
    <mergeCell ref="FN100:FO100"/>
    <mergeCell ref="FF88:FG88"/>
    <mergeCell ref="DR87:DS87"/>
    <mergeCell ref="GF111:GG111"/>
    <mergeCell ref="GF113:GG113"/>
    <mergeCell ref="GD83:GE83"/>
    <mergeCell ref="GF83:GG83"/>
    <mergeCell ref="DD115:DE115"/>
    <mergeCell ref="EB115:EC115"/>
    <mergeCell ref="GD86:GE86"/>
    <mergeCell ref="FZ86:GA86"/>
    <mergeCell ref="GJ96:GK96"/>
    <mergeCell ref="FX96:FY96"/>
    <mergeCell ref="FV99:FW99"/>
    <mergeCell ref="FX99:FY99"/>
    <mergeCell ref="FZ99:GA99"/>
    <mergeCell ref="GB99:GC99"/>
    <mergeCell ref="FF85:FG85"/>
    <mergeCell ref="GD95:GE95"/>
    <mergeCell ref="GF96:GG96"/>
    <mergeCell ref="FN111:FO111"/>
    <mergeCell ref="FH95:FI95"/>
    <mergeCell ref="FJ95:FK95"/>
    <mergeCell ref="FD111:FE111"/>
    <mergeCell ref="EX112:EY112"/>
    <mergeCell ref="EZ112:FA112"/>
    <mergeCell ref="CH117:CI117"/>
    <mergeCell ref="EF112:EG112"/>
    <mergeCell ref="CR117:CS117"/>
    <mergeCell ref="FR115:FS115"/>
    <mergeCell ref="DF116:DG116"/>
    <mergeCell ref="CN111:CO111"/>
    <mergeCell ref="CN113:CO113"/>
    <mergeCell ref="CJ115:CK115"/>
    <mergeCell ref="FH83:FI83"/>
    <mergeCell ref="FF86:FG86"/>
    <mergeCell ref="EX83:EY83"/>
    <mergeCell ref="ER87:ES87"/>
    <mergeCell ref="EZ83:FA83"/>
    <mergeCell ref="EX87:EY87"/>
    <mergeCell ref="ET87:EU87"/>
    <mergeCell ref="EF83:EG83"/>
    <mergeCell ref="DH83:DI83"/>
    <mergeCell ref="DJ83:DK83"/>
    <mergeCell ref="FF90:FG90"/>
    <mergeCell ref="CZ117:DA117"/>
    <mergeCell ref="CN115:CO115"/>
    <mergeCell ref="FF95:FG95"/>
    <mergeCell ref="CP116:CQ116"/>
    <mergeCell ref="CP111:CQ111"/>
    <mergeCell ref="FH85:FI85"/>
    <mergeCell ref="FN84:FO84"/>
    <mergeCell ref="CJ116:CK116"/>
    <mergeCell ref="CN83:CO83"/>
    <mergeCell ref="CJ83:CK83"/>
    <mergeCell ref="CJ114:CK114"/>
    <mergeCell ref="CJ111:CK111"/>
    <mergeCell ref="CJ87:CK87"/>
    <mergeCell ref="CJ112:CK112"/>
    <mergeCell ref="CL111:CM111"/>
    <mergeCell ref="DX83:DY83"/>
    <mergeCell ref="ED111:EE111"/>
    <mergeCell ref="CL116:CM116"/>
    <mergeCell ref="CR112:CS112"/>
    <mergeCell ref="CJ113:CK113"/>
    <mergeCell ref="DF114:DG114"/>
    <mergeCell ref="CZ115:DA115"/>
    <mergeCell ref="DJ114:DK114"/>
    <mergeCell ref="FH101:FI101"/>
    <mergeCell ref="FJ101:FK101"/>
    <mergeCell ref="FL101:FM101"/>
    <mergeCell ref="FN101:FO101"/>
    <mergeCell ref="FP101:FQ101"/>
    <mergeCell ref="FR101:FS101"/>
    <mergeCell ref="FH117:FI117"/>
    <mergeCell ref="FH99:FI99"/>
    <mergeCell ref="FJ99:FK99"/>
    <mergeCell ref="FH89:FI89"/>
    <mergeCell ref="FF106:FG106"/>
    <mergeCell ref="FH106:FI106"/>
    <mergeCell ref="FF115:FG115"/>
    <mergeCell ref="EH112:EI112"/>
    <mergeCell ref="EH113:EI113"/>
    <mergeCell ref="FB87:FC87"/>
    <mergeCell ref="FH87:FI87"/>
    <mergeCell ref="CH83:CI83"/>
    <mergeCell ref="GB101:GC101"/>
    <mergeCell ref="GD101:GE101"/>
    <mergeCell ref="GF101:GG101"/>
    <mergeCell ref="GH101:GI101"/>
    <mergeCell ref="FT103:FU103"/>
    <mergeCell ref="FV103:FW103"/>
    <mergeCell ref="FX103:FY103"/>
    <mergeCell ref="FZ103:GA103"/>
    <mergeCell ref="FR118:FS118"/>
    <mergeCell ref="FP100:FQ100"/>
    <mergeCell ref="FX118:FY118"/>
    <mergeCell ref="FV94:FW94"/>
    <mergeCell ref="FX94:FY94"/>
    <mergeCell ref="FZ94:GA94"/>
    <mergeCell ref="GB94:GC94"/>
    <mergeCell ref="FV90:FW90"/>
    <mergeCell ref="FX90:FY90"/>
    <mergeCell ref="FZ90:GA90"/>
    <mergeCell ref="GB90:GC90"/>
    <mergeCell ref="GH114:GI114"/>
    <mergeCell ref="FV100:FW100"/>
    <mergeCell ref="FP89:FQ89"/>
    <mergeCell ref="GB89:GC89"/>
    <mergeCell ref="FZ117:GA117"/>
    <mergeCell ref="FL115:FM115"/>
    <mergeCell ref="FV96:FW96"/>
    <mergeCell ref="FV95:FW95"/>
    <mergeCell ref="FV97:FW97"/>
    <mergeCell ref="FN106:FO106"/>
    <mergeCell ref="FP106:FQ106"/>
    <mergeCell ref="FR106:FS106"/>
    <mergeCell ref="FV118:FW118"/>
    <mergeCell ref="FT100:FU100"/>
    <mergeCell ref="FT99:FU99"/>
    <mergeCell ref="FL99:FM99"/>
    <mergeCell ref="FN99:FO99"/>
    <mergeCell ref="FP99:FQ99"/>
    <mergeCell ref="FR99:FS99"/>
    <mergeCell ref="GD99:GE99"/>
    <mergeCell ref="GF99:GG99"/>
    <mergeCell ref="FT94:FU94"/>
    <mergeCell ref="FL94:FM94"/>
    <mergeCell ref="FT111:FU111"/>
    <mergeCell ref="FV116:FW116"/>
    <mergeCell ref="FX102:FY102"/>
    <mergeCell ref="GH116:GI116"/>
    <mergeCell ref="EZ119:FA119"/>
    <mergeCell ref="FF103:FG103"/>
    <mergeCell ref="FH103:FI103"/>
    <mergeCell ref="EX119:EY119"/>
    <mergeCell ref="FH115:FI115"/>
    <mergeCell ref="FF96:FG96"/>
    <mergeCell ref="FF87:FG87"/>
    <mergeCell ref="FF119:FG119"/>
    <mergeCell ref="DV112:DW112"/>
    <mergeCell ref="CJ117:CK117"/>
    <mergeCell ref="CT118:CU118"/>
    <mergeCell ref="CZ119:DA119"/>
    <mergeCell ref="CN119:CO119"/>
    <mergeCell ref="CV123:CW123"/>
    <mergeCell ref="CX122:CY122"/>
    <mergeCell ref="CX119:CY119"/>
    <mergeCell ref="DD119:DE119"/>
    <mergeCell ref="DD124:DE124"/>
    <mergeCell ref="DD122:DE122"/>
    <mergeCell ref="CX120:CY120"/>
    <mergeCell ref="DD120:DE120"/>
    <mergeCell ref="CH118:CI118"/>
    <mergeCell ref="DF123:DG123"/>
    <mergeCell ref="DF122:DG122"/>
    <mergeCell ref="DD121:DE121"/>
    <mergeCell ref="GJ118:GK118"/>
    <mergeCell ref="GN113:GO113"/>
    <mergeCell ref="GD93:GE93"/>
    <mergeCell ref="FF94:FG94"/>
    <mergeCell ref="FH94:FI94"/>
    <mergeCell ref="FJ94:FK94"/>
    <mergeCell ref="GB92:GC92"/>
    <mergeCell ref="GB118:GC118"/>
    <mergeCell ref="GB111:GC111"/>
    <mergeCell ref="FF100:FG100"/>
    <mergeCell ref="FF112:FG112"/>
    <mergeCell ref="EX114:EY114"/>
    <mergeCell ref="EH115:EI115"/>
    <mergeCell ref="EH117:EI117"/>
    <mergeCell ref="EX115:EY115"/>
    <mergeCell ref="FL112:FM112"/>
    <mergeCell ref="EZ118:FA118"/>
    <mergeCell ref="FR113:FS113"/>
    <mergeCell ref="FF116:FG116"/>
    <mergeCell ref="FF117:FG117"/>
    <mergeCell ref="GB114:GC114"/>
    <mergeCell ref="GB100:GC100"/>
    <mergeCell ref="GB116:GC116"/>
    <mergeCell ref="GB97:GC97"/>
    <mergeCell ref="GD116:GE116"/>
    <mergeCell ref="FJ116:FK116"/>
    <mergeCell ref="EZ113:FA113"/>
    <mergeCell ref="ER113:ES113"/>
    <mergeCell ref="EX113:EY113"/>
    <mergeCell ref="EX111:EY111"/>
    <mergeCell ref="EJ112:EK112"/>
    <mergeCell ref="EZ116:FA116"/>
    <mergeCell ref="GD94:GE94"/>
    <mergeCell ref="GH117:GI117"/>
    <mergeCell ref="GH92:GI92"/>
    <mergeCell ref="CL118:CM118"/>
    <mergeCell ref="CJ119:CK119"/>
    <mergeCell ref="DL117:DM117"/>
    <mergeCell ref="DL116:DM116"/>
    <mergeCell ref="AP127:AQ127"/>
    <mergeCell ref="DJ87:DK87"/>
    <mergeCell ref="DL112:DM112"/>
    <mergeCell ref="CT115:CU115"/>
    <mergeCell ref="DN121:DO121"/>
    <mergeCell ref="EZ115:FA115"/>
    <mergeCell ref="FD120:FE120"/>
    <mergeCell ref="EX121:EY121"/>
    <mergeCell ref="DB115:DC115"/>
    <mergeCell ref="FR100:FS100"/>
    <mergeCell ref="CX114:CY114"/>
    <mergeCell ref="CZ114:DA114"/>
    <mergeCell ref="DP120:DQ120"/>
    <mergeCell ref="FN98:FO98"/>
    <mergeCell ref="FP98:FQ98"/>
    <mergeCell ref="FR98:FS98"/>
    <mergeCell ref="FT98:FU98"/>
    <mergeCell ref="CX121:CY121"/>
    <mergeCell ref="FF101:FG101"/>
    <mergeCell ref="DP121:DQ121"/>
    <mergeCell ref="DH121:DI121"/>
    <mergeCell ref="DF121:DG121"/>
    <mergeCell ref="FN103:FO103"/>
    <mergeCell ref="FP103:FQ103"/>
    <mergeCell ref="FR103:FS103"/>
    <mergeCell ref="FR92:FS92"/>
    <mergeCell ref="FJ89:FK89"/>
    <mergeCell ref="FH93:FI93"/>
    <mergeCell ref="FN116:FO116"/>
    <mergeCell ref="FT115:FU115"/>
    <mergeCell ref="FP116:FQ116"/>
    <mergeCell ref="FH97:FI97"/>
    <mergeCell ref="FP97:FQ97"/>
    <mergeCell ref="FR97:FS97"/>
    <mergeCell ref="FT97:FU97"/>
    <mergeCell ref="FT92:FU92"/>
    <mergeCell ref="FP93:FQ93"/>
    <mergeCell ref="FJ96:FK96"/>
    <mergeCell ref="FL96:FM96"/>
    <mergeCell ref="FT89:FU89"/>
    <mergeCell ref="FP111:FQ111"/>
    <mergeCell ref="DJ119:DK119"/>
    <mergeCell ref="DP113:DQ113"/>
    <mergeCell ref="FR91:FS91"/>
    <mergeCell ref="FH96:FI96"/>
    <mergeCell ref="FN117:FO117"/>
    <mergeCell ref="FN121:FO121"/>
    <mergeCell ref="DP119:DQ119"/>
    <mergeCell ref="DV121:DW121"/>
    <mergeCell ref="DH119:DI119"/>
    <mergeCell ref="DF119:DG119"/>
    <mergeCell ref="DR121:DS121"/>
    <mergeCell ref="EJ118:EK118"/>
    <mergeCell ref="ER119:ES119"/>
    <mergeCell ref="DR115:DS115"/>
    <mergeCell ref="FJ92:FK92"/>
    <mergeCell ref="FT91:FU91"/>
    <mergeCell ref="CX116:CY116"/>
    <mergeCell ref="DB120:DC120"/>
    <mergeCell ref="EH116:EI116"/>
    <mergeCell ref="EX116:EY116"/>
    <mergeCell ref="FH100:FI100"/>
    <mergeCell ref="FJ93:FK93"/>
    <mergeCell ref="FL93:FM93"/>
    <mergeCell ref="FF118:FG118"/>
    <mergeCell ref="FB112:FC112"/>
    <mergeCell ref="EV112:EW112"/>
    <mergeCell ref="DR113:DS113"/>
    <mergeCell ref="DB116:DC116"/>
    <mergeCell ref="CR111:CS111"/>
    <mergeCell ref="DN87:DO87"/>
    <mergeCell ref="DJ112:DK112"/>
    <mergeCell ref="EX118:EY118"/>
    <mergeCell ref="FD117:FE117"/>
    <mergeCell ref="FD115:FE115"/>
    <mergeCell ref="FD116:FE116"/>
    <mergeCell ref="EZ117:FA117"/>
    <mergeCell ref="CR115:CS115"/>
    <mergeCell ref="ET117:EU117"/>
    <mergeCell ref="FR87:FS87"/>
    <mergeCell ref="FL92:FM92"/>
    <mergeCell ref="DN117:DO117"/>
    <mergeCell ref="FT118:FU118"/>
    <mergeCell ref="FR117:FS117"/>
    <mergeCell ref="FL118:FM118"/>
    <mergeCell ref="FJ118:FK118"/>
    <mergeCell ref="CT117:CU117"/>
    <mergeCell ref="CV118:CW118"/>
    <mergeCell ref="CX118:CY118"/>
    <mergeCell ref="DN114:DO114"/>
    <mergeCell ref="DN116:DO116"/>
    <mergeCell ref="CX117:CY117"/>
    <mergeCell ref="DD116:DE116"/>
    <mergeCell ref="CV117:CW117"/>
    <mergeCell ref="FF97:FG97"/>
    <mergeCell ref="FH88:FI88"/>
    <mergeCell ref="FF111:FG111"/>
    <mergeCell ref="FF99:FG99"/>
    <mergeCell ref="FN88:FO88"/>
    <mergeCell ref="FP88:FQ88"/>
    <mergeCell ref="FF102:FG102"/>
    <mergeCell ref="FF113:FG113"/>
    <mergeCell ref="ET113:EU113"/>
    <mergeCell ref="EP116:EQ116"/>
    <mergeCell ref="ER112:ES112"/>
    <mergeCell ref="ER114:ES114"/>
    <mergeCell ref="CV116:CW116"/>
    <mergeCell ref="FH118:FI118"/>
    <mergeCell ref="FD114:FE114"/>
    <mergeCell ref="FF114:FG114"/>
    <mergeCell ref="FF91:FG91"/>
    <mergeCell ref="FN94:FO94"/>
    <mergeCell ref="FP94:FQ94"/>
    <mergeCell ref="FR94:FS94"/>
    <mergeCell ref="DT112:DU112"/>
    <mergeCell ref="EJ111:EK111"/>
    <mergeCell ref="ET114:EU114"/>
    <mergeCell ref="EV114:EW114"/>
    <mergeCell ref="EV113:EW113"/>
    <mergeCell ref="DZ112:EA112"/>
    <mergeCell ref="FL91:FM91"/>
    <mergeCell ref="FR88:FS88"/>
    <mergeCell ref="FT101:FU101"/>
    <mergeCell ref="DR117:DS117"/>
    <mergeCell ref="X129:Y129"/>
    <mergeCell ref="O129:P129"/>
    <mergeCell ref="M129:N129"/>
    <mergeCell ref="Z129:AA129"/>
    <mergeCell ref="K128:L128"/>
    <mergeCell ref="CN116:CO116"/>
    <mergeCell ref="AR125:AS125"/>
    <mergeCell ref="X135:Y135"/>
    <mergeCell ref="I135:J135"/>
    <mergeCell ref="K134:L134"/>
    <mergeCell ref="K132:L132"/>
    <mergeCell ref="BP130:BQ130"/>
    <mergeCell ref="FL85:FM85"/>
    <mergeCell ref="FT116:FU116"/>
    <mergeCell ref="FL116:FM116"/>
    <mergeCell ref="AN127:AO127"/>
    <mergeCell ref="BF126:BG126"/>
    <mergeCell ref="BH126:BI126"/>
    <mergeCell ref="BT126:BU126"/>
    <mergeCell ref="Z137:AA137"/>
    <mergeCell ref="Q129:R129"/>
    <mergeCell ref="AF139:AG139"/>
    <mergeCell ref="O139:P139"/>
    <mergeCell ref="X134:Y134"/>
    <mergeCell ref="Q137:R137"/>
    <mergeCell ref="FN115:FO115"/>
    <mergeCell ref="FJ87:FK87"/>
    <mergeCell ref="FH102:FI102"/>
    <mergeCell ref="FH116:FI116"/>
    <mergeCell ref="FH112:FI112"/>
    <mergeCell ref="FF89:FG89"/>
    <mergeCell ref="FF93:FG93"/>
    <mergeCell ref="FF92:FG92"/>
    <mergeCell ref="FH92:FI92"/>
    <mergeCell ref="FR111:FS111"/>
    <mergeCell ref="FT113:FU113"/>
    <mergeCell ref="FT112:FU112"/>
    <mergeCell ref="FL114:FM114"/>
    <mergeCell ref="FN95:FO95"/>
    <mergeCell ref="FP95:FQ95"/>
    <mergeCell ref="FR95:FS95"/>
    <mergeCell ref="FT95:FU95"/>
    <mergeCell ref="FN89:FO89"/>
    <mergeCell ref="AX135:AY135"/>
    <mergeCell ref="AN133:AO133"/>
    <mergeCell ref="AZ134:BA134"/>
    <mergeCell ref="AF130:AG130"/>
    <mergeCell ref="AN130:AO130"/>
    <mergeCell ref="BB129:BC129"/>
    <mergeCell ref="AR129:AS129"/>
    <mergeCell ref="AB129:AC129"/>
    <mergeCell ref="O132:P132"/>
    <mergeCell ref="AB133:AC133"/>
    <mergeCell ref="BB131:BC131"/>
    <mergeCell ref="CP118:CQ118"/>
    <mergeCell ref="CD115:CE115"/>
    <mergeCell ref="CZ118:DA118"/>
    <mergeCell ref="CR114:CS114"/>
    <mergeCell ref="CZ111:DA111"/>
    <mergeCell ref="DB117:DC117"/>
    <mergeCell ref="AB138:AC138"/>
    <mergeCell ref="CL115:CM115"/>
    <mergeCell ref="CD113:CE113"/>
    <mergeCell ref="FP118:FQ118"/>
    <mergeCell ref="AD130:AE130"/>
    <mergeCell ref="F133:G133"/>
    <mergeCell ref="M134:N134"/>
    <mergeCell ref="AN136:AO136"/>
    <mergeCell ref="F136:G136"/>
    <mergeCell ref="O130:P130"/>
    <mergeCell ref="F130:G130"/>
    <mergeCell ref="F131:G131"/>
    <mergeCell ref="K133:L133"/>
    <mergeCell ref="F125:G125"/>
    <mergeCell ref="X125:Y125"/>
    <mergeCell ref="BD127:BE127"/>
    <mergeCell ref="AX127:AY127"/>
    <mergeCell ref="BN131:BO131"/>
    <mergeCell ref="AV130:AW130"/>
    <mergeCell ref="O126:P126"/>
    <mergeCell ref="AD126:AE126"/>
    <mergeCell ref="AJ130:AK130"/>
    <mergeCell ref="K141:L141"/>
    <mergeCell ref="AX130:AY130"/>
    <mergeCell ref="AX131:AY131"/>
    <mergeCell ref="BD134:BE134"/>
    <mergeCell ref="BD135:BE135"/>
    <mergeCell ref="AJ125:AK125"/>
    <mergeCell ref="AH125:AI125"/>
    <mergeCell ref="AD136:AE136"/>
    <mergeCell ref="AP137:AQ137"/>
    <mergeCell ref="F139:G139"/>
    <mergeCell ref="F141:G141"/>
    <mergeCell ref="AF141:AG141"/>
    <mergeCell ref="AX137:AY137"/>
    <mergeCell ref="BB136:BC136"/>
    <mergeCell ref="AV137:AW137"/>
    <mergeCell ref="AZ129:BA129"/>
    <mergeCell ref="AV131:AW131"/>
    <mergeCell ref="BB130:BC130"/>
    <mergeCell ref="S137:T137"/>
    <mergeCell ref="K137:L137"/>
    <mergeCell ref="AF133:AG133"/>
    <mergeCell ref="F132:G132"/>
    <mergeCell ref="AJ133:AK133"/>
    <mergeCell ref="AH133:AI133"/>
    <mergeCell ref="AF126:AG126"/>
    <mergeCell ref="BH129:BI129"/>
    <mergeCell ref="AD135:AE135"/>
    <mergeCell ref="Z133:AA133"/>
    <mergeCell ref="AP131:AQ131"/>
    <mergeCell ref="AZ130:BA130"/>
    <mergeCell ref="AJ127:AK127"/>
    <mergeCell ref="M139:N139"/>
    <mergeCell ref="AF136:AG136"/>
    <mergeCell ref="F129:G129"/>
    <mergeCell ref="F137:G137"/>
    <mergeCell ref="AN125:AO125"/>
    <mergeCell ref="BB126:BC126"/>
    <mergeCell ref="Z130:AA130"/>
    <mergeCell ref="F126:G126"/>
    <mergeCell ref="X128:Y128"/>
    <mergeCell ref="F128:G128"/>
    <mergeCell ref="AP136:AQ136"/>
    <mergeCell ref="AD127:AE127"/>
    <mergeCell ref="AF128:AG128"/>
    <mergeCell ref="Z132:AA132"/>
    <mergeCell ref="S136:T136"/>
    <mergeCell ref="AF131:AG131"/>
    <mergeCell ref="AD132:AE132"/>
    <mergeCell ref="K131:L131"/>
    <mergeCell ref="Q136:R136"/>
    <mergeCell ref="AF137:AG137"/>
    <mergeCell ref="AR135:AS135"/>
    <mergeCell ref="BJ135:BK135"/>
    <mergeCell ref="I130:J130"/>
    <mergeCell ref="AP139:AQ139"/>
    <mergeCell ref="AH131:AI131"/>
    <mergeCell ref="AP133:AQ133"/>
    <mergeCell ref="AP135:AQ135"/>
    <mergeCell ref="BN128:BO128"/>
    <mergeCell ref="BF128:BG128"/>
    <mergeCell ref="BJ129:BK129"/>
    <mergeCell ref="CD141:CE141"/>
    <mergeCell ref="BL139:BM139"/>
    <mergeCell ref="BV145:BW145"/>
    <mergeCell ref="BR145:BS145"/>
    <mergeCell ref="F142:G142"/>
    <mergeCell ref="AR137:AS137"/>
    <mergeCell ref="BP135:BQ135"/>
    <mergeCell ref="BX133:BY133"/>
    <mergeCell ref="BD129:BE129"/>
    <mergeCell ref="BN141:BO141"/>
    <mergeCell ref="BN138:BO138"/>
    <mergeCell ref="Q133:R133"/>
    <mergeCell ref="F127:G127"/>
    <mergeCell ref="AZ137:BA137"/>
    <mergeCell ref="BB138:BC138"/>
    <mergeCell ref="BL135:BM135"/>
    <mergeCell ref="BP131:BQ131"/>
    <mergeCell ref="BN135:BO135"/>
    <mergeCell ref="AT129:AU129"/>
    <mergeCell ref="AV129:AW129"/>
    <mergeCell ref="BF130:BG130"/>
    <mergeCell ref="BF135:BG135"/>
    <mergeCell ref="AP128:AQ128"/>
    <mergeCell ref="X133:Y133"/>
    <mergeCell ref="AB132:AC132"/>
    <mergeCell ref="Z134:AA134"/>
    <mergeCell ref="S128:T128"/>
    <mergeCell ref="Q128:R128"/>
    <mergeCell ref="I128:J128"/>
    <mergeCell ref="I133:J133"/>
    <mergeCell ref="O134:P134"/>
    <mergeCell ref="AJ136:AK136"/>
    <mergeCell ref="BJ137:BK137"/>
    <mergeCell ref="Q130:R130"/>
    <mergeCell ref="K130:L130"/>
    <mergeCell ref="M130:N130"/>
    <mergeCell ref="AP130:AQ130"/>
    <mergeCell ref="BD130:BE130"/>
    <mergeCell ref="AR127:AS127"/>
    <mergeCell ref="AP129:AQ129"/>
    <mergeCell ref="AN131:AO131"/>
    <mergeCell ref="AJ128:AK128"/>
    <mergeCell ref="BN127:BO127"/>
    <mergeCell ref="BV128:BW128"/>
    <mergeCell ref="BJ128:BK128"/>
    <mergeCell ref="AX129:AY129"/>
    <mergeCell ref="BB133:BC133"/>
    <mergeCell ref="AN137:AO137"/>
    <mergeCell ref="AR131:AS131"/>
    <mergeCell ref="K145:L145"/>
    <mergeCell ref="AN145:AO145"/>
    <mergeCell ref="X146:Y146"/>
    <mergeCell ref="AP147:AQ147"/>
    <mergeCell ref="AH141:AI141"/>
    <mergeCell ref="AN141:AO141"/>
    <mergeCell ref="AJ137:AK137"/>
    <mergeCell ref="AL132:AM132"/>
    <mergeCell ref="AP141:AQ141"/>
    <mergeCell ref="AN142:AO142"/>
    <mergeCell ref="AN139:AO139"/>
    <mergeCell ref="AB141:AC141"/>
    <mergeCell ref="X142:Y142"/>
    <mergeCell ref="AB139:AC139"/>
    <mergeCell ref="S138:T138"/>
    <mergeCell ref="BN132:BO132"/>
    <mergeCell ref="I134:J134"/>
    <mergeCell ref="I138:J138"/>
    <mergeCell ref="F145:G145"/>
    <mergeCell ref="F146:G146"/>
    <mergeCell ref="K146:L146"/>
    <mergeCell ref="F147:G147"/>
    <mergeCell ref="I147:J147"/>
    <mergeCell ref="Q147:R147"/>
    <mergeCell ref="AX132:AY132"/>
    <mergeCell ref="AT139:AU139"/>
    <mergeCell ref="AF138:AG138"/>
    <mergeCell ref="Z138:AA138"/>
    <mergeCell ref="AV132:AW132"/>
    <mergeCell ref="AT135:AU135"/>
    <mergeCell ref="AJ138:AK138"/>
    <mergeCell ref="BB134:BC134"/>
    <mergeCell ref="AN135:AO135"/>
    <mergeCell ref="BL134:BM134"/>
    <mergeCell ref="BJ142:BK142"/>
    <mergeCell ref="AZ138:BA138"/>
    <mergeCell ref="AH137:AI137"/>
    <mergeCell ref="AX138:AY138"/>
    <mergeCell ref="AX136:AY136"/>
    <mergeCell ref="I142:J142"/>
    <mergeCell ref="Z144:AA144"/>
    <mergeCell ref="F143:G143"/>
    <mergeCell ref="Q142:R142"/>
    <mergeCell ref="O142:P142"/>
    <mergeCell ref="M138:N138"/>
    <mergeCell ref="K139:L139"/>
    <mergeCell ref="Q132:R132"/>
    <mergeCell ref="M133:N133"/>
    <mergeCell ref="Z135:AA135"/>
    <mergeCell ref="Q134:R134"/>
    <mergeCell ref="AD141:AE141"/>
    <mergeCell ref="K144:L144"/>
    <mergeCell ref="M136:N136"/>
    <mergeCell ref="F134:G134"/>
    <mergeCell ref="F135:G135"/>
    <mergeCell ref="F138:G138"/>
    <mergeCell ref="F140:G140"/>
    <mergeCell ref="I141:J141"/>
    <mergeCell ref="AN134:AO134"/>
    <mergeCell ref="I137:J137"/>
    <mergeCell ref="I132:J132"/>
    <mergeCell ref="S135:T135"/>
    <mergeCell ref="F144:G144"/>
    <mergeCell ref="Z145:AA145"/>
    <mergeCell ref="AR133:AS133"/>
    <mergeCell ref="AT133:AU133"/>
    <mergeCell ref="AV134:AW134"/>
    <mergeCell ref="BN136:BO136"/>
    <mergeCell ref="AL138:AM138"/>
    <mergeCell ref="BF136:BG136"/>
    <mergeCell ref="BJ136:BK136"/>
    <mergeCell ref="BL131:BM131"/>
    <mergeCell ref="BJ134:BK134"/>
    <mergeCell ref="BF133:BG133"/>
    <mergeCell ref="BB135:BC135"/>
    <mergeCell ref="AV133:AW133"/>
    <mergeCell ref="AJ139:AK139"/>
    <mergeCell ref="BX129:BY129"/>
    <mergeCell ref="AZ135:BA135"/>
    <mergeCell ref="CD136:CE136"/>
    <mergeCell ref="AZ133:BA133"/>
    <mergeCell ref="BV130:BW130"/>
    <mergeCell ref="BH128:BI128"/>
    <mergeCell ref="BD132:BE132"/>
    <mergeCell ref="AX141:AY141"/>
    <mergeCell ref="BJ138:BK138"/>
    <mergeCell ref="BF137:BG137"/>
    <mergeCell ref="AT136:AU136"/>
    <mergeCell ref="AP132:AQ132"/>
    <mergeCell ref="AR138:AS138"/>
    <mergeCell ref="BJ133:BK133"/>
    <mergeCell ref="AX134:AY134"/>
    <mergeCell ref="CD129:CE129"/>
    <mergeCell ref="CB129:CC129"/>
    <mergeCell ref="BX128:BY128"/>
    <mergeCell ref="BV129:BW129"/>
    <mergeCell ref="AL135:AM135"/>
    <mergeCell ref="AL134:AM134"/>
    <mergeCell ref="AV138:AW138"/>
    <mergeCell ref="AT137:AU137"/>
    <mergeCell ref="AR130:AS130"/>
    <mergeCell ref="AJ129:AK129"/>
    <mergeCell ref="BT128:BU128"/>
    <mergeCell ref="AN128:AO128"/>
    <mergeCell ref="BZ131:CA131"/>
    <mergeCell ref="BB132:BC132"/>
    <mergeCell ref="AL137:AM137"/>
    <mergeCell ref="AL128:AM128"/>
    <mergeCell ref="AJ132:AK132"/>
    <mergeCell ref="BJ132:BK132"/>
    <mergeCell ref="BT133:BU133"/>
    <mergeCell ref="BT131:BU131"/>
    <mergeCell ref="BN129:BO129"/>
    <mergeCell ref="BL132:BM132"/>
    <mergeCell ref="BT136:BU136"/>
    <mergeCell ref="BT134:BU134"/>
    <mergeCell ref="BR131:BS131"/>
    <mergeCell ref="BH131:BI131"/>
    <mergeCell ref="BJ130:BK130"/>
    <mergeCell ref="BL129:BM129"/>
    <mergeCell ref="AH135:AI135"/>
    <mergeCell ref="CL138:CM138"/>
    <mergeCell ref="CF132:CG132"/>
    <mergeCell ref="CF134:CG134"/>
    <mergeCell ref="BR143:BS143"/>
    <mergeCell ref="BN144:BO144"/>
    <mergeCell ref="CF139:CG139"/>
    <mergeCell ref="CL140:CM140"/>
    <mergeCell ref="CD137:CE137"/>
    <mergeCell ref="BP137:BQ137"/>
    <mergeCell ref="BJ139:BK139"/>
    <mergeCell ref="BF141:BG141"/>
    <mergeCell ref="AT132:AU132"/>
    <mergeCell ref="BV133:BW133"/>
    <mergeCell ref="BN137:BO137"/>
    <mergeCell ref="BX139:BY139"/>
    <mergeCell ref="BN139:BO139"/>
    <mergeCell ref="CL132:CM132"/>
    <mergeCell ref="AT131:AU131"/>
    <mergeCell ref="CD131:CE131"/>
    <mergeCell ref="AV135:AW135"/>
    <mergeCell ref="AR134:AS134"/>
    <mergeCell ref="AR136:AS136"/>
    <mergeCell ref="BV141:BW141"/>
    <mergeCell ref="AH139:AI139"/>
    <mergeCell ref="AV142:AW142"/>
    <mergeCell ref="AP143:AQ143"/>
    <mergeCell ref="AR132:AS132"/>
    <mergeCell ref="BR138:BS138"/>
    <mergeCell ref="BP132:BQ132"/>
    <mergeCell ref="BF134:BG134"/>
    <mergeCell ref="BR135:BS135"/>
    <mergeCell ref="BT144:BU144"/>
    <mergeCell ref="BL137:BM137"/>
    <mergeCell ref="AR139:AS139"/>
    <mergeCell ref="BF131:BG131"/>
    <mergeCell ref="AN132:AO132"/>
    <mergeCell ref="AR143:AS143"/>
    <mergeCell ref="AX144:AY144"/>
    <mergeCell ref="BL142:BM142"/>
    <mergeCell ref="AX142:AY142"/>
    <mergeCell ref="BT132:BU132"/>
    <mergeCell ref="BR132:BS132"/>
    <mergeCell ref="BD133:BE133"/>
    <mergeCell ref="BP133:BQ133"/>
    <mergeCell ref="AX133:AY133"/>
    <mergeCell ref="BR133:BS133"/>
    <mergeCell ref="BX134:BY134"/>
    <mergeCell ref="BZ133:CA133"/>
    <mergeCell ref="BD131:BE131"/>
    <mergeCell ref="AP142:AQ142"/>
    <mergeCell ref="CJ132:CK132"/>
    <mergeCell ref="AL139:AM139"/>
    <mergeCell ref="AX143:AY143"/>
    <mergeCell ref="CL137:CM137"/>
    <mergeCell ref="BX132:BY132"/>
    <mergeCell ref="BT135:BU135"/>
    <mergeCell ref="BN134:BO134"/>
    <mergeCell ref="BR134:BS134"/>
    <mergeCell ref="CL131:CM131"/>
    <mergeCell ref="BV132:BW132"/>
    <mergeCell ref="BV134:BW134"/>
    <mergeCell ref="BV135:BW135"/>
    <mergeCell ref="BH137:BI137"/>
    <mergeCell ref="O138:P138"/>
    <mergeCell ref="Q143:R143"/>
    <mergeCell ref="O147:P147"/>
    <mergeCell ref="AP138:AQ138"/>
    <mergeCell ref="AH136:AI136"/>
    <mergeCell ref="AH138:AI138"/>
    <mergeCell ref="AN138:AO138"/>
    <mergeCell ref="AZ136:BA136"/>
    <mergeCell ref="AV136:AW136"/>
    <mergeCell ref="BH136:BI136"/>
    <mergeCell ref="BR136:BS136"/>
    <mergeCell ref="CT147:CU147"/>
    <mergeCell ref="CR138:CS138"/>
    <mergeCell ref="CB137:CC137"/>
    <mergeCell ref="CH137:CI137"/>
    <mergeCell ref="CN137:CO137"/>
    <mergeCell ref="CP136:CQ136"/>
    <mergeCell ref="CR137:CS137"/>
    <mergeCell ref="AF145:AG145"/>
    <mergeCell ref="BX143:BY143"/>
    <mergeCell ref="AV143:AW143"/>
    <mergeCell ref="BT142:BU142"/>
    <mergeCell ref="BZ137:CA137"/>
    <mergeCell ref="BR141:BS141"/>
    <mergeCell ref="BT141:BU141"/>
    <mergeCell ref="BJ141:BK141"/>
    <mergeCell ref="BX138:BY138"/>
    <mergeCell ref="BL141:BM141"/>
    <mergeCell ref="CB139:CC139"/>
    <mergeCell ref="CD139:CE139"/>
    <mergeCell ref="CB143:CC143"/>
    <mergeCell ref="BT139:BU139"/>
    <mergeCell ref="BT143:BU143"/>
    <mergeCell ref="BX142:BY142"/>
    <mergeCell ref="BZ142:CA142"/>
    <mergeCell ref="BP138:BQ138"/>
    <mergeCell ref="CB138:CC138"/>
    <mergeCell ref="CH136:CI136"/>
    <mergeCell ref="BV147:BW147"/>
    <mergeCell ref="BT147:BU147"/>
    <mergeCell ref="CH147:CI147"/>
    <mergeCell ref="CB147:CC147"/>
    <mergeCell ref="CR146:CS146"/>
    <mergeCell ref="BT145:BU145"/>
    <mergeCell ref="CF144:CG144"/>
    <mergeCell ref="BR146:BS146"/>
    <mergeCell ref="BD144:BE144"/>
    <mergeCell ref="BB144:BC144"/>
    <mergeCell ref="CT138:CU138"/>
    <mergeCell ref="BL144:BM144"/>
    <mergeCell ref="BJ144:BK144"/>
    <mergeCell ref="BP141:BQ141"/>
    <mergeCell ref="BF139:BG139"/>
    <mergeCell ref="AV139:AW139"/>
    <mergeCell ref="X144:Y144"/>
    <mergeCell ref="AT144:AU144"/>
    <mergeCell ref="Q144:R144"/>
    <mergeCell ref="AD138:AE138"/>
    <mergeCell ref="CB145:CC145"/>
    <mergeCell ref="CH146:CI146"/>
    <mergeCell ref="BN146:BO146"/>
    <mergeCell ref="AD145:AE145"/>
    <mergeCell ref="BX145:BY145"/>
    <mergeCell ref="CP141:CQ141"/>
    <mergeCell ref="CJ138:CK138"/>
    <mergeCell ref="CN147:CO147"/>
    <mergeCell ref="CP145:CQ145"/>
    <mergeCell ref="CP147:CQ147"/>
    <mergeCell ref="CF138:CG138"/>
    <mergeCell ref="CP138:CQ138"/>
    <mergeCell ref="CF142:CG142"/>
    <mergeCell ref="CH141:CI141"/>
    <mergeCell ref="CF141:CG141"/>
    <mergeCell ref="CH140:CI140"/>
    <mergeCell ref="CF143:CG143"/>
    <mergeCell ref="CF137:CG137"/>
    <mergeCell ref="BV143:BW143"/>
    <mergeCell ref="BV142:BW142"/>
    <mergeCell ref="BZ141:CA141"/>
    <mergeCell ref="BV137:BW137"/>
    <mergeCell ref="BV138:BW138"/>
    <mergeCell ref="BP142:BQ142"/>
    <mergeCell ref="BB137:BC137"/>
    <mergeCell ref="BR144:BS144"/>
    <mergeCell ref="BN145:BO145"/>
    <mergeCell ref="CN139:CO139"/>
    <mergeCell ref="CH145:CI145"/>
    <mergeCell ref="CR147:CS147"/>
    <mergeCell ref="BV146:BW146"/>
    <mergeCell ref="BZ145:CA145"/>
    <mergeCell ref="CH142:CI142"/>
    <mergeCell ref="CB141:CC141"/>
    <mergeCell ref="BB139:BC139"/>
    <mergeCell ref="BH138:BI138"/>
    <mergeCell ref="CN142:CO142"/>
    <mergeCell ref="BX146:BY146"/>
    <mergeCell ref="CN145:CO145"/>
    <mergeCell ref="BP144:BQ144"/>
    <mergeCell ref="BZ147:CA147"/>
    <mergeCell ref="BP147:BQ147"/>
    <mergeCell ref="CD146:CE146"/>
    <mergeCell ref="BD139:BE139"/>
    <mergeCell ref="BF142:BG142"/>
    <mergeCell ref="BH141:BI141"/>
    <mergeCell ref="BH145:BI145"/>
    <mergeCell ref="BD143:BE143"/>
    <mergeCell ref="BP145:BQ145"/>
    <mergeCell ref="CF146:CG146"/>
    <mergeCell ref="CF147:CG147"/>
    <mergeCell ref="BX147:BY147"/>
    <mergeCell ref="BT146:BU146"/>
    <mergeCell ref="BR147:BS147"/>
    <mergeCell ref="CP146:CQ146"/>
    <mergeCell ref="FJ140:FK140"/>
    <mergeCell ref="FR141:FS141"/>
    <mergeCell ref="FL144:FM144"/>
    <mergeCell ref="DV140:DW140"/>
    <mergeCell ref="DZ140:EA140"/>
    <mergeCell ref="DZ152:EA152"/>
    <mergeCell ref="EN152:EO152"/>
    <mergeCell ref="DD142:DE142"/>
    <mergeCell ref="FR145:FS145"/>
    <mergeCell ref="FL147:FM147"/>
    <mergeCell ref="EZ155:FA155"/>
    <mergeCell ref="CL145:CM145"/>
    <mergeCell ref="CT143:CU143"/>
    <mergeCell ref="BZ138:CA138"/>
    <mergeCell ref="BF138:BG138"/>
    <mergeCell ref="CJ140:CK140"/>
    <mergeCell ref="BV144:BW144"/>
    <mergeCell ref="CL147:CM147"/>
    <mergeCell ref="CJ146:CK146"/>
    <mergeCell ref="CJ144:CK144"/>
    <mergeCell ref="CL142:CM142"/>
    <mergeCell ref="BD138:BE138"/>
    <mergeCell ref="CH144:CI144"/>
    <mergeCell ref="CD143:CE143"/>
    <mergeCell ref="CT142:CU142"/>
    <mergeCell ref="BP143:BQ143"/>
    <mergeCell ref="CJ141:CK141"/>
    <mergeCell ref="BH142:BI142"/>
    <mergeCell ref="CJ139:CK139"/>
    <mergeCell ref="CH139:CI139"/>
    <mergeCell ref="BH143:BI143"/>
    <mergeCell ref="BH139:BI139"/>
    <mergeCell ref="CF145:CG145"/>
    <mergeCell ref="BR139:BS139"/>
    <mergeCell ref="CB144:CC144"/>
    <mergeCell ref="BR142:BS142"/>
    <mergeCell ref="CB146:CC146"/>
    <mergeCell ref="CT140:CU140"/>
    <mergeCell ref="CV140:CW140"/>
    <mergeCell ref="CV147:CW147"/>
    <mergeCell ref="FH140:FI140"/>
    <mergeCell ref="DH139:DI139"/>
    <mergeCell ref="DF139:DG139"/>
    <mergeCell ref="FH138:FI138"/>
    <mergeCell ref="DR140:DS140"/>
    <mergeCell ref="CX138:CY138"/>
    <mergeCell ref="CV145:CW145"/>
    <mergeCell ref="DB140:DC140"/>
    <mergeCell ref="CN138:CO138"/>
    <mergeCell ref="CL144:CM144"/>
    <mergeCell ref="CN141:CO141"/>
    <mergeCell ref="CT145:CU145"/>
    <mergeCell ref="CR144:CS144"/>
    <mergeCell ref="CV144:CW144"/>
    <mergeCell ref="CZ148:DA148"/>
    <mergeCell ref="CL148:CM148"/>
    <mergeCell ref="CL146:CM146"/>
    <mergeCell ref="CZ151:DA151"/>
    <mergeCell ref="CZ140:DA140"/>
    <mergeCell ref="CV139:CW139"/>
    <mergeCell ref="CP148:CQ148"/>
    <mergeCell ref="DD140:DE140"/>
    <mergeCell ref="CR140:CS140"/>
    <mergeCell ref="CX140:CY140"/>
    <mergeCell ref="FT150:FU150"/>
    <mergeCell ref="FR142:FS142"/>
    <mergeCell ref="FP144:FQ144"/>
    <mergeCell ref="FN144:FO144"/>
    <mergeCell ref="FN143:FO143"/>
    <mergeCell ref="FF143:FG143"/>
    <mergeCell ref="FF148:FG148"/>
    <mergeCell ref="EZ150:FA150"/>
    <mergeCell ref="FF146:FG146"/>
    <mergeCell ref="FN145:FO145"/>
    <mergeCell ref="FL154:FM154"/>
    <mergeCell ref="FN152:FO152"/>
    <mergeCell ref="EV144:EW144"/>
    <mergeCell ref="DB141:DC141"/>
    <mergeCell ref="FD152:FE152"/>
    <mergeCell ref="EZ151:FA151"/>
    <mergeCell ref="DN155:DO155"/>
    <mergeCell ref="DP156:DQ156"/>
    <mergeCell ref="FJ149:FK149"/>
    <mergeCell ref="EV152:EW152"/>
    <mergeCell ref="FJ154:FK154"/>
    <mergeCell ref="FF154:FG154"/>
    <mergeCell ref="DB147:DC147"/>
    <mergeCell ref="DF148:DG148"/>
    <mergeCell ref="FF155:FG155"/>
    <mergeCell ref="FT151:FU151"/>
    <mergeCell ref="FL142:FM142"/>
    <mergeCell ref="FJ141:FK141"/>
    <mergeCell ref="FN142:FO142"/>
    <mergeCell ref="FP148:FQ148"/>
    <mergeCell ref="ET149:EU149"/>
    <mergeCell ref="EV150:EW150"/>
    <mergeCell ref="ET148:EU148"/>
    <mergeCell ref="DF141:DG141"/>
    <mergeCell ref="FB152:FC152"/>
    <mergeCell ref="EX152:EY152"/>
    <mergeCell ref="EX150:EY150"/>
    <mergeCell ref="EF150:EG150"/>
    <mergeCell ref="ED150:EE150"/>
    <mergeCell ref="ED148:EE148"/>
    <mergeCell ref="DV149:DW149"/>
    <mergeCell ref="FD148:FE148"/>
    <mergeCell ref="FH147:FI147"/>
    <mergeCell ref="FH141:FI141"/>
    <mergeCell ref="FN148:FO148"/>
    <mergeCell ref="FH148:FI148"/>
    <mergeCell ref="FJ156:FK156"/>
    <mergeCell ref="EX156:EY156"/>
    <mergeCell ref="FB155:FC155"/>
    <mergeCell ref="FT141:FU141"/>
    <mergeCell ref="DP144:DQ144"/>
    <mergeCell ref="DP145:DQ145"/>
    <mergeCell ref="FT142:FU142"/>
    <mergeCell ref="DL151:DM151"/>
    <mergeCell ref="EB148:EC148"/>
    <mergeCell ref="DV150:DW150"/>
    <mergeCell ref="DF144:DG144"/>
    <mergeCell ref="DL141:DM141"/>
    <mergeCell ref="DD146:DE146"/>
    <mergeCell ref="DT144:DU144"/>
    <mergeCell ref="DN152:DO152"/>
    <mergeCell ref="DN148:DO148"/>
    <mergeCell ref="DT151:DU151"/>
    <mergeCell ref="DJ146:DK146"/>
    <mergeCell ref="FV151:FW151"/>
    <mergeCell ref="FV150:FW150"/>
    <mergeCell ref="FR153:FS153"/>
    <mergeCell ref="CX141:CY141"/>
    <mergeCell ref="DD141:DE141"/>
    <mergeCell ref="FV153:FW153"/>
    <mergeCell ref="FV154:FW154"/>
    <mergeCell ref="FH154:FI154"/>
    <mergeCell ref="DH150:DI150"/>
    <mergeCell ref="DX149:DY149"/>
    <mergeCell ref="DX151:DY151"/>
    <mergeCell ref="DP150:DQ150"/>
    <mergeCell ref="DT150:DU150"/>
    <mergeCell ref="DN151:DO151"/>
    <mergeCell ref="CT150:CU150"/>
    <mergeCell ref="DV152:DW152"/>
    <mergeCell ref="DR150:DS150"/>
    <mergeCell ref="CR142:CS142"/>
    <mergeCell ref="CR145:CS145"/>
    <mergeCell ref="CT144:CU144"/>
    <mergeCell ref="CT141:CU141"/>
    <mergeCell ref="CV148:CW148"/>
    <mergeCell ref="DL142:DM142"/>
    <mergeCell ref="FL146:FM146"/>
    <mergeCell ref="FP146:FQ146"/>
    <mergeCell ref="FR150:FS150"/>
    <mergeCell ref="EV151:EW151"/>
    <mergeCell ref="EV154:EW154"/>
    <mergeCell ref="FD151:FE151"/>
    <mergeCell ref="EZ154:FA154"/>
    <mergeCell ref="EX153:EY153"/>
    <mergeCell ref="DR147:DS147"/>
    <mergeCell ref="DN146:DO146"/>
    <mergeCell ref="CV141:CW141"/>
    <mergeCell ref="DH154:DI154"/>
    <mergeCell ref="ED152:EE152"/>
    <mergeCell ref="CV150:CW150"/>
    <mergeCell ref="EZ148:FA148"/>
    <mergeCell ref="DB142:DC142"/>
    <mergeCell ref="CT146:CU146"/>
    <mergeCell ref="CX144:CY144"/>
    <mergeCell ref="CX142:CY142"/>
    <mergeCell ref="FV149:FW149"/>
    <mergeCell ref="FD154:FE154"/>
    <mergeCell ref="EV143:EW143"/>
    <mergeCell ref="ET141:EU141"/>
    <mergeCell ref="EV142:EW142"/>
    <mergeCell ref="EV145:EW145"/>
    <mergeCell ref="EN142:EO142"/>
    <mergeCell ref="FJ152:FK152"/>
    <mergeCell ref="EZ152:FA152"/>
    <mergeCell ref="FR152:FS152"/>
    <mergeCell ref="FF152:FG152"/>
    <mergeCell ref="FH152:FI152"/>
    <mergeCell ref="FJ151:FK151"/>
    <mergeCell ref="EH146:EI146"/>
    <mergeCell ref="EN141:EO141"/>
    <mergeCell ref="EB141:EC141"/>
    <mergeCell ref="EF142:EG142"/>
    <mergeCell ref="EJ144:EK144"/>
    <mergeCell ref="EL145:EM145"/>
    <mergeCell ref="DH152:DI152"/>
    <mergeCell ref="DV153:DW153"/>
    <mergeCell ref="ER144:ES144"/>
    <mergeCell ref="FT162:FU162"/>
    <mergeCell ref="FZ159:GA159"/>
    <mergeCell ref="FR148:FS148"/>
    <mergeCell ref="FJ144:FK144"/>
    <mergeCell ref="FV143:FW143"/>
    <mergeCell ref="EP142:EQ142"/>
    <mergeCell ref="FX142:FY142"/>
    <mergeCell ref="FX143:FY143"/>
    <mergeCell ref="FR147:FS147"/>
    <mergeCell ref="FH144:FI144"/>
    <mergeCell ref="FD149:FE149"/>
    <mergeCell ref="FF149:FG149"/>
    <mergeCell ref="FL149:FM149"/>
    <mergeCell ref="FH149:FI149"/>
    <mergeCell ref="FN149:FO149"/>
    <mergeCell ref="FP149:FQ149"/>
    <mergeCell ref="EZ149:FA149"/>
    <mergeCell ref="EP154:EQ154"/>
    <mergeCell ref="EX149:EY149"/>
    <mergeCell ref="EV158:EW158"/>
    <mergeCell ref="ET156:EU156"/>
    <mergeCell ref="FZ161:GA161"/>
    <mergeCell ref="FR146:FS146"/>
    <mergeCell ref="FR144:FS144"/>
    <mergeCell ref="FR143:FS143"/>
    <mergeCell ref="FL150:FM150"/>
    <mergeCell ref="EX146:EY146"/>
    <mergeCell ref="EX161:EY161"/>
    <mergeCell ref="EV148:EW148"/>
    <mergeCell ref="FT153:FU153"/>
    <mergeCell ref="FD153:FE153"/>
    <mergeCell ref="FV146:FW146"/>
    <mergeCell ref="FV147:FW147"/>
    <mergeCell ref="EV149:EW149"/>
    <mergeCell ref="FL151:FM151"/>
    <mergeCell ref="FN153:FO153"/>
    <mergeCell ref="FL153:FM153"/>
    <mergeCell ref="FD156:FE156"/>
    <mergeCell ref="FF147:FG147"/>
    <mergeCell ref="FN146:FO146"/>
    <mergeCell ref="FV148:FW148"/>
    <mergeCell ref="FP151:FQ151"/>
    <mergeCell ref="EZ144:FA144"/>
    <mergeCell ref="FT145:FU145"/>
    <mergeCell ref="FT146:FU146"/>
    <mergeCell ref="FT143:FU143"/>
    <mergeCell ref="FP143:FQ143"/>
    <mergeCell ref="FL156:FM156"/>
    <mergeCell ref="FR161:FS161"/>
    <mergeCell ref="EV160:EW160"/>
    <mergeCell ref="FT157:FU157"/>
    <mergeCell ref="FZ156:GA156"/>
    <mergeCell ref="FZ155:GA155"/>
    <mergeCell ref="EX158:EY158"/>
    <mergeCell ref="EX154:EY154"/>
    <mergeCell ref="FH159:FI159"/>
    <mergeCell ref="FL158:FM158"/>
    <mergeCell ref="FF160:FG160"/>
    <mergeCell ref="FT155:FU155"/>
    <mergeCell ref="FX154:FY154"/>
    <mergeCell ref="FP155:FQ155"/>
    <mergeCell ref="FT144:FU144"/>
    <mergeCell ref="ET145:EU145"/>
    <mergeCell ref="EX144:EY144"/>
    <mergeCell ref="GB159:GC159"/>
    <mergeCell ref="FN169:FO169"/>
    <mergeCell ref="FJ169:FK169"/>
    <mergeCell ref="ET155:EU155"/>
    <mergeCell ref="EN147:EO147"/>
    <mergeCell ref="EN153:EO153"/>
    <mergeCell ref="ER147:ES147"/>
    <mergeCell ref="ER151:ES151"/>
    <mergeCell ref="EP155:EQ155"/>
    <mergeCell ref="EV155:EW155"/>
    <mergeCell ref="FT159:FU159"/>
    <mergeCell ref="FN158:FO158"/>
    <mergeCell ref="FZ160:GA160"/>
    <mergeCell ref="FR159:FS159"/>
    <mergeCell ref="FJ160:FK160"/>
    <mergeCell ref="FJ162:FK162"/>
    <mergeCell ref="FP166:FQ166"/>
    <mergeCell ref="FV166:FW166"/>
    <mergeCell ref="FD167:FE167"/>
    <mergeCell ref="FF169:FG169"/>
    <mergeCell ref="FP165:FQ165"/>
    <mergeCell ref="FR164:FS164"/>
    <mergeCell ref="GB158:GC158"/>
    <mergeCell ref="GB157:GC157"/>
    <mergeCell ref="FZ157:GA157"/>
    <mergeCell ref="FN160:FO160"/>
    <mergeCell ref="GB155:GC155"/>
    <mergeCell ref="FV158:FW158"/>
    <mergeCell ref="FT156:FU156"/>
    <mergeCell ref="FT154:FU154"/>
    <mergeCell ref="FR154:FS154"/>
    <mergeCell ref="FR155:FS155"/>
    <mergeCell ref="FP158:FQ158"/>
    <mergeCell ref="FP154:FQ154"/>
    <mergeCell ref="FV155:FW155"/>
    <mergeCell ref="FT158:FU158"/>
    <mergeCell ref="FR158:FS158"/>
    <mergeCell ref="ET151:EU151"/>
    <mergeCell ref="FV152:FW152"/>
    <mergeCell ref="FH156:FI156"/>
    <mergeCell ref="FZ154:GA154"/>
    <mergeCell ref="FH153:FI153"/>
    <mergeCell ref="FJ153:FK153"/>
    <mergeCell ref="FX152:FY152"/>
    <mergeCell ref="FN154:FO154"/>
    <mergeCell ref="FF153:FG153"/>
    <mergeCell ref="FL152:FM152"/>
    <mergeCell ref="FN156:FO156"/>
    <mergeCell ref="FL155:FM155"/>
    <mergeCell ref="FN155:FO155"/>
    <mergeCell ref="FF161:FG161"/>
    <mergeCell ref="FF159:FG159"/>
    <mergeCell ref="FX155:FY155"/>
    <mergeCell ref="FF165:FG165"/>
    <mergeCell ref="FF164:FG164"/>
    <mergeCell ref="FD159:FE159"/>
    <mergeCell ref="FH160:FI160"/>
    <mergeCell ref="FD155:FE155"/>
    <mergeCell ref="FP153:FQ153"/>
    <mergeCell ref="FD158:FE158"/>
    <mergeCell ref="FT152:FU152"/>
    <mergeCell ref="FP152:FQ152"/>
    <mergeCell ref="EX155:EY155"/>
    <mergeCell ref="EZ156:FA156"/>
    <mergeCell ref="GB163:GC163"/>
    <mergeCell ref="FR170:FS170"/>
    <mergeCell ref="GB169:GC169"/>
    <mergeCell ref="FH155:FI155"/>
    <mergeCell ref="EV153:EW153"/>
    <mergeCell ref="ET152:EU152"/>
    <mergeCell ref="FL160:FM160"/>
    <mergeCell ref="FP162:FQ162"/>
    <mergeCell ref="FP163:FQ163"/>
    <mergeCell ref="FX165:FY165"/>
    <mergeCell ref="FJ157:FK157"/>
    <mergeCell ref="FJ155:FK155"/>
    <mergeCell ref="FH163:FI163"/>
    <mergeCell ref="GD159:GE159"/>
    <mergeCell ref="FP160:FQ160"/>
    <mergeCell ref="GD160:GE160"/>
    <mergeCell ref="GH163:GI163"/>
    <mergeCell ref="GF163:GG163"/>
    <mergeCell ref="GJ160:GK160"/>
    <mergeCell ref="GH165:GI165"/>
    <mergeCell ref="GP165:GQ165"/>
    <mergeCell ref="FR166:FS166"/>
    <mergeCell ref="FP164:FQ164"/>
    <mergeCell ref="GP167:GQ167"/>
    <mergeCell ref="FT163:FU163"/>
    <mergeCell ref="FR160:FS160"/>
    <mergeCell ref="FR163:FS163"/>
    <mergeCell ref="FD160:FE160"/>
    <mergeCell ref="FD161:FE161"/>
    <mergeCell ref="FP169:FQ169"/>
    <mergeCell ref="FX156:FY156"/>
    <mergeCell ref="FL157:FM157"/>
    <mergeCell ref="FF156:FG156"/>
    <mergeCell ref="FV156:FW156"/>
    <mergeCell ref="FN162:FO162"/>
    <mergeCell ref="FJ159:FK159"/>
    <mergeCell ref="FH157:FI157"/>
    <mergeCell ref="FH158:FI158"/>
    <mergeCell ref="FH164:FI164"/>
    <mergeCell ref="FH167:FI167"/>
    <mergeCell ref="FJ158:FK158"/>
    <mergeCell ref="FH166:FI166"/>
    <mergeCell ref="GB165:GC165"/>
    <mergeCell ref="FV159:FW159"/>
    <mergeCell ref="FN157:FO157"/>
    <mergeCell ref="FX158:FY158"/>
    <mergeCell ref="FF158:FG158"/>
    <mergeCell ref="GB160:GC160"/>
    <mergeCell ref="FF167:FG167"/>
    <mergeCell ref="FD165:FE165"/>
    <mergeCell ref="FD169:FE169"/>
    <mergeCell ref="FH162:FI162"/>
    <mergeCell ref="FH161:FI161"/>
    <mergeCell ref="FL159:FM159"/>
    <mergeCell ref="FH165:FI165"/>
    <mergeCell ref="FL161:FM161"/>
    <mergeCell ref="FL162:FM162"/>
    <mergeCell ref="FT160:FU160"/>
    <mergeCell ref="FV160:FW160"/>
    <mergeCell ref="FX159:FY159"/>
    <mergeCell ref="FP156:FQ156"/>
    <mergeCell ref="FR157:FS157"/>
    <mergeCell ref="FV157:FW157"/>
    <mergeCell ref="FT167:FU167"/>
    <mergeCell ref="GJ189:GK189"/>
    <mergeCell ref="GL189:GM189"/>
    <mergeCell ref="GN189:GO189"/>
    <mergeCell ref="FR156:FS156"/>
    <mergeCell ref="FD157:FE157"/>
    <mergeCell ref="FF157:FG157"/>
    <mergeCell ref="FP157:FQ157"/>
    <mergeCell ref="FV164:FW164"/>
    <mergeCell ref="FJ161:FK161"/>
    <mergeCell ref="FN166:FO166"/>
    <mergeCell ref="FN163:FO163"/>
    <mergeCell ref="FN161:FO161"/>
    <mergeCell ref="FT166:FU166"/>
    <mergeCell ref="GJ161:GK161"/>
    <mergeCell ref="FZ166:GA166"/>
    <mergeCell ref="GL163:GM163"/>
    <mergeCell ref="GD164:GE164"/>
    <mergeCell ref="GL178:GM178"/>
    <mergeCell ref="GP176:GQ176"/>
    <mergeCell ref="GF170:GG170"/>
    <mergeCell ref="GJ171:GK171"/>
    <mergeCell ref="GJ162:GK162"/>
    <mergeCell ref="FP161:FQ161"/>
    <mergeCell ref="GF161:GG161"/>
    <mergeCell ref="FV163:FW163"/>
    <mergeCell ref="FN167:FO167"/>
    <mergeCell ref="FL163:FM163"/>
    <mergeCell ref="FZ173:GA173"/>
    <mergeCell ref="FL175:FM175"/>
    <mergeCell ref="FL181:FM181"/>
    <mergeCell ref="GB162:GC162"/>
    <mergeCell ref="GL166:GM166"/>
    <mergeCell ref="GL171:GM171"/>
    <mergeCell ref="FL177:FM177"/>
    <mergeCell ref="FZ180:GA180"/>
    <mergeCell ref="FX157:FY157"/>
    <mergeCell ref="FV169:FW169"/>
    <mergeCell ref="FX166:FY166"/>
    <mergeCell ref="FT165:FU165"/>
    <mergeCell ref="GP166:GQ166"/>
    <mergeCell ref="FV167:FW167"/>
    <mergeCell ref="GD171:GE171"/>
    <mergeCell ref="GJ168:GK168"/>
    <mergeCell ref="FT169:FU169"/>
    <mergeCell ref="FX169:FY169"/>
    <mergeCell ref="GB168:GC168"/>
    <mergeCell ref="GH160:GI160"/>
    <mergeCell ref="GH157:GI157"/>
    <mergeCell ref="FN159:FO159"/>
    <mergeCell ref="GF166:GG166"/>
    <mergeCell ref="GB166:GC166"/>
    <mergeCell ref="GN167:GO167"/>
    <mergeCell ref="GD165:GE165"/>
    <mergeCell ref="GF168:GG168"/>
    <mergeCell ref="FT164:FU164"/>
    <mergeCell ref="FX161:FY161"/>
    <mergeCell ref="FR162:FS162"/>
    <mergeCell ref="FX160:FY160"/>
    <mergeCell ref="FZ158:GA158"/>
    <mergeCell ref="FT161:FU161"/>
    <mergeCell ref="FR167:FS167"/>
    <mergeCell ref="FN170:FO170"/>
    <mergeCell ref="FZ168:GA168"/>
    <mergeCell ref="FZ170:GA170"/>
    <mergeCell ref="HB262:HC262"/>
    <mergeCell ref="GZ262:HA262"/>
    <mergeCell ref="GH233:GI233"/>
    <mergeCell ref="GN221:GO221"/>
    <mergeCell ref="GR228:GS228"/>
    <mergeCell ref="HF167:HG167"/>
    <mergeCell ref="GF171:GG171"/>
    <mergeCell ref="HB180:HC180"/>
    <mergeCell ref="HD172:HE172"/>
    <mergeCell ref="GJ176:GK176"/>
    <mergeCell ref="GR196:GS196"/>
    <mergeCell ref="GP196:GQ196"/>
    <mergeCell ref="HD168:HE168"/>
    <mergeCell ref="GP232:GQ232"/>
    <mergeCell ref="GR232:GS232"/>
    <mergeCell ref="FP180:FQ180"/>
    <mergeCell ref="FX170:FY170"/>
    <mergeCell ref="GD228:GE228"/>
    <mergeCell ref="FV228:FW228"/>
    <mergeCell ref="FR236:FS236"/>
    <mergeCell ref="FT236:FU236"/>
    <mergeCell ref="GD257:GE257"/>
    <mergeCell ref="FP242:FQ242"/>
    <mergeCell ref="FP170:FQ170"/>
    <mergeCell ref="GJ232:GK232"/>
    <mergeCell ref="GJ233:GK233"/>
    <mergeCell ref="GJ249:GK249"/>
    <mergeCell ref="FZ252:GA252"/>
    <mergeCell ref="GL255:GM255"/>
    <mergeCell ref="GB238:GC238"/>
    <mergeCell ref="GD244:GE244"/>
    <mergeCell ref="FR254:FS254"/>
    <mergeCell ref="GT252:GU252"/>
    <mergeCell ref="HF260:HG260"/>
    <mergeCell ref="HD235:HE235"/>
    <mergeCell ref="GR246:GS246"/>
    <mergeCell ref="GH180:GI180"/>
    <mergeCell ref="GF228:GG228"/>
    <mergeCell ref="GZ183:HA183"/>
    <mergeCell ref="GB183:GC183"/>
    <mergeCell ref="GV228:GW228"/>
    <mergeCell ref="GZ175:HA175"/>
    <mergeCell ref="FT178:FU178"/>
    <mergeCell ref="GN232:GO232"/>
    <mergeCell ref="GP245:GQ245"/>
    <mergeCell ref="GR245:GS245"/>
    <mergeCell ref="GJ184:GK184"/>
    <mergeCell ref="GP178:GQ178"/>
    <mergeCell ref="GX180:GY180"/>
    <mergeCell ref="FV180:FW180"/>
    <mergeCell ref="FT173:FU173"/>
    <mergeCell ref="FP174:FQ174"/>
    <mergeCell ref="FT175:FU175"/>
    <mergeCell ref="FV178:FW178"/>
    <mergeCell ref="FR169:FS169"/>
    <mergeCell ref="FZ169:GA169"/>
    <mergeCell ref="FZ171:GA171"/>
    <mergeCell ref="GH177:GI177"/>
    <mergeCell ref="GD170:GE170"/>
    <mergeCell ref="GT176:GU176"/>
    <mergeCell ref="GT175:GU175"/>
    <mergeCell ref="GJ196:GK196"/>
    <mergeCell ref="GH196:GI196"/>
    <mergeCell ref="GH169:GI169"/>
    <mergeCell ref="GR233:GS233"/>
    <mergeCell ref="GN178:GO178"/>
    <mergeCell ref="GP181:GQ181"/>
    <mergeCell ref="FF162:FG162"/>
    <mergeCell ref="FD164:FE164"/>
    <mergeCell ref="FF163:FG163"/>
    <mergeCell ref="GD166:GE166"/>
    <mergeCell ref="GV183:GW183"/>
    <mergeCell ref="GV177:GW177"/>
    <mergeCell ref="GL168:GM168"/>
    <mergeCell ref="GT173:GU173"/>
    <mergeCell ref="GX168:GY168"/>
    <mergeCell ref="FF166:FG166"/>
    <mergeCell ref="GR164:GS164"/>
    <mergeCell ref="GT170:GU170"/>
    <mergeCell ref="GP169:GQ169"/>
    <mergeCell ref="FR178:FS178"/>
    <mergeCell ref="FR180:FS180"/>
    <mergeCell ref="FR174:FS174"/>
    <mergeCell ref="FR175:FS175"/>
    <mergeCell ref="FD162:FE162"/>
    <mergeCell ref="FF177:FG177"/>
    <mergeCell ref="FJ170:FK170"/>
    <mergeCell ref="FJ183:FK183"/>
    <mergeCell ref="FJ181:FK181"/>
    <mergeCell ref="FX163:FY163"/>
    <mergeCell ref="GL164:GM164"/>
    <mergeCell ref="GH164:GI164"/>
    <mergeCell ref="GF164:GG164"/>
    <mergeCell ref="GB164:GC164"/>
    <mergeCell ref="GD177:GE177"/>
    <mergeCell ref="GL181:GM181"/>
    <mergeCell ref="GN183:GO183"/>
    <mergeCell ref="GP183:GQ183"/>
    <mergeCell ref="FT177:FU177"/>
    <mergeCell ref="FX177:FY177"/>
    <mergeCell ref="FV170:FW170"/>
    <mergeCell ref="GB175:GC175"/>
    <mergeCell ref="GP162:GQ162"/>
    <mergeCell ref="FX162:FY162"/>
    <mergeCell ref="GN172:GO172"/>
    <mergeCell ref="GX183:GY183"/>
    <mergeCell ref="FN175:FO175"/>
    <mergeCell ref="GT181:GU181"/>
    <mergeCell ref="GV181:GW181"/>
    <mergeCell ref="GV178:GW178"/>
    <mergeCell ref="FJ164:FK164"/>
    <mergeCell ref="FL169:FM169"/>
    <mergeCell ref="FJ177:FK177"/>
    <mergeCell ref="GT171:GU171"/>
    <mergeCell ref="GV169:GW169"/>
    <mergeCell ref="FJ165:FK165"/>
    <mergeCell ref="FP167:FQ167"/>
    <mergeCell ref="GV165:GW165"/>
    <mergeCell ref="GT189:GU189"/>
    <mergeCell ref="GN196:GO196"/>
    <mergeCell ref="GB174:GC174"/>
    <mergeCell ref="FX178:FY178"/>
    <mergeCell ref="FJ173:FK173"/>
    <mergeCell ref="FJ190:FK190"/>
    <mergeCell ref="FL190:FM190"/>
    <mergeCell ref="FN190:FO190"/>
    <mergeCell ref="FN165:FO165"/>
    <mergeCell ref="FL165:FM165"/>
    <mergeCell ref="GV232:GW232"/>
    <mergeCell ref="GN160:GO160"/>
    <mergeCell ref="GT160:GU160"/>
    <mergeCell ref="GJ221:GK221"/>
    <mergeCell ref="GX196:GY196"/>
    <mergeCell ref="GZ172:HA172"/>
    <mergeCell ref="GR173:GS173"/>
    <mergeCell ref="GR176:GS176"/>
    <mergeCell ref="GR166:GS166"/>
    <mergeCell ref="GN161:GO161"/>
    <mergeCell ref="GR169:GS169"/>
    <mergeCell ref="GR172:GS172"/>
    <mergeCell ref="GL161:GM161"/>
    <mergeCell ref="GD169:GE169"/>
    <mergeCell ref="GD172:GE172"/>
    <mergeCell ref="GD167:GE167"/>
    <mergeCell ref="GZ174:HA174"/>
    <mergeCell ref="GP172:GQ172"/>
    <mergeCell ref="GT232:GU232"/>
    <mergeCell ref="GH232:GI232"/>
    <mergeCell ref="GD232:GE232"/>
    <mergeCell ref="GX232:GY232"/>
    <mergeCell ref="GX184:GY184"/>
    <mergeCell ref="GZ181:HA181"/>
    <mergeCell ref="GL172:GM172"/>
    <mergeCell ref="GL167:GM167"/>
    <mergeCell ref="GF167:GG167"/>
    <mergeCell ref="GX167:GY167"/>
    <mergeCell ref="GF232:GG232"/>
    <mergeCell ref="GV176:GW176"/>
    <mergeCell ref="GV167:GW167"/>
    <mergeCell ref="GD163:GE163"/>
    <mergeCell ref="FZ172:GA172"/>
    <mergeCell ref="GB178:GC178"/>
    <mergeCell ref="GV196:GW196"/>
    <mergeCell ref="GV172:GW172"/>
    <mergeCell ref="FZ221:GA221"/>
    <mergeCell ref="FZ174:GA174"/>
    <mergeCell ref="GD173:GE173"/>
    <mergeCell ref="FZ163:GA163"/>
    <mergeCell ref="GB161:GC161"/>
    <mergeCell ref="GF162:GG162"/>
    <mergeCell ref="GV163:GW163"/>
    <mergeCell ref="FZ164:GA164"/>
    <mergeCell ref="GF165:GG165"/>
    <mergeCell ref="FZ162:GA162"/>
    <mergeCell ref="GN181:GO181"/>
    <mergeCell ref="GL196:GM196"/>
    <mergeCell ref="GH162:GI162"/>
    <mergeCell ref="GN171:GO171"/>
    <mergeCell ref="GB171:GC171"/>
    <mergeCell ref="GV171:GW171"/>
    <mergeCell ref="GV170:GW170"/>
    <mergeCell ref="GN174:GO174"/>
    <mergeCell ref="FZ181:GA181"/>
    <mergeCell ref="GP174:GQ174"/>
    <mergeCell ref="GL176:GM176"/>
    <mergeCell ref="GJ174:GK174"/>
    <mergeCell ref="GJ181:GK181"/>
    <mergeCell ref="GH176:GI176"/>
    <mergeCell ref="GD174:GE174"/>
    <mergeCell ref="GF180:GG180"/>
    <mergeCell ref="GH178:GI178"/>
    <mergeCell ref="GP177:GQ177"/>
    <mergeCell ref="GT167:GU167"/>
    <mergeCell ref="GH228:GI228"/>
    <mergeCell ref="FR221:FS221"/>
    <mergeCell ref="FN177:FO177"/>
    <mergeCell ref="FN183:FO183"/>
    <mergeCell ref="FF178:FG178"/>
    <mergeCell ref="FF174:FG174"/>
    <mergeCell ref="GT172:GU172"/>
    <mergeCell ref="FN174:FO174"/>
    <mergeCell ref="GB167:GC167"/>
    <mergeCell ref="GT177:GU177"/>
    <mergeCell ref="FJ174:FK174"/>
    <mergeCell ref="GT163:GU163"/>
    <mergeCell ref="GD158:GE158"/>
    <mergeCell ref="GR158:GS158"/>
    <mergeCell ref="GP158:GQ158"/>
    <mergeCell ref="GX173:GY173"/>
    <mergeCell ref="GT158:GU158"/>
    <mergeCell ref="GJ158:GK158"/>
    <mergeCell ref="GL159:GM159"/>
    <mergeCell ref="GP163:GQ163"/>
    <mergeCell ref="GD168:GE168"/>
    <mergeCell ref="GN164:GO164"/>
    <mergeCell ref="GL165:GM165"/>
    <mergeCell ref="GN165:GO165"/>
    <mergeCell ref="GL170:GM170"/>
    <mergeCell ref="GJ170:GK170"/>
    <mergeCell ref="GP170:GQ170"/>
    <mergeCell ref="GZ169:HA169"/>
    <mergeCell ref="GX166:GY166"/>
    <mergeCell ref="GV166:GW166"/>
    <mergeCell ref="GZ173:HA173"/>
    <mergeCell ref="GZ168:HA168"/>
    <mergeCell ref="GJ167:GK167"/>
    <mergeCell ref="GV173:GW173"/>
    <mergeCell ref="FX167:FY167"/>
    <mergeCell ref="FP175:FQ175"/>
    <mergeCell ref="FX173:FY173"/>
    <mergeCell ref="FV161:FW161"/>
    <mergeCell ref="FP159:FQ159"/>
    <mergeCell ref="FV162:FW162"/>
    <mergeCell ref="FJ175:FK175"/>
    <mergeCell ref="FX164:FY164"/>
    <mergeCell ref="FL164:FM164"/>
    <mergeCell ref="FJ166:FK166"/>
    <mergeCell ref="FJ163:FK163"/>
    <mergeCell ref="FL183:FM183"/>
    <mergeCell ref="FL184:FM184"/>
    <mergeCell ref="FR189:FS189"/>
    <mergeCell ref="FT189:FU189"/>
    <mergeCell ref="FR177:FS177"/>
    <mergeCell ref="FT181:FU181"/>
    <mergeCell ref="FX181:FY181"/>
    <mergeCell ref="FX175:FY175"/>
    <mergeCell ref="FT180:FU180"/>
    <mergeCell ref="FL166:FM166"/>
    <mergeCell ref="FN164:FO164"/>
    <mergeCell ref="FL170:FM170"/>
    <mergeCell ref="FJ167:FK167"/>
    <mergeCell ref="FN178:FO178"/>
    <mergeCell ref="FV181:FW181"/>
    <mergeCell ref="FZ177:GA177"/>
    <mergeCell ref="FZ178:GA178"/>
    <mergeCell ref="GH189:GI189"/>
    <mergeCell ref="GF183:GG183"/>
    <mergeCell ref="GR237:GS237"/>
    <mergeCell ref="GP234:GQ234"/>
    <mergeCell ref="GR170:GS170"/>
    <mergeCell ref="GX164:GY164"/>
    <mergeCell ref="GX163:GY163"/>
    <mergeCell ref="GX165:GY165"/>
    <mergeCell ref="GN163:GO163"/>
    <mergeCell ref="GJ166:GK166"/>
    <mergeCell ref="GD175:GE175"/>
    <mergeCell ref="GF189:GG189"/>
    <mergeCell ref="GL162:GM162"/>
    <mergeCell ref="GT165:GU165"/>
    <mergeCell ref="FJ228:FK228"/>
    <mergeCell ref="FL196:FM196"/>
    <mergeCell ref="GH168:GI168"/>
    <mergeCell ref="GN168:GO168"/>
    <mergeCell ref="GT161:GU161"/>
    <mergeCell ref="GZ161:HA161"/>
    <mergeCell ref="GH166:GI166"/>
    <mergeCell ref="GJ163:GK163"/>
    <mergeCell ref="GV164:GW164"/>
    <mergeCell ref="GT168:GU168"/>
    <mergeCell ref="GR168:GS168"/>
    <mergeCell ref="GN166:GO166"/>
    <mergeCell ref="GN169:GO169"/>
    <mergeCell ref="GL174:GM174"/>
    <mergeCell ref="GJ165:GK165"/>
    <mergeCell ref="GD162:GE162"/>
    <mergeCell ref="GX228:GY228"/>
    <mergeCell ref="FP189:FQ189"/>
    <mergeCell ref="GD221:GE221"/>
    <mergeCell ref="GV221:GW221"/>
    <mergeCell ref="GL221:GM221"/>
    <mergeCell ref="FZ228:GA228"/>
    <mergeCell ref="GX171:GY171"/>
    <mergeCell ref="GX169:GY169"/>
    <mergeCell ref="GV174:GW174"/>
    <mergeCell ref="GV168:GW168"/>
    <mergeCell ref="GL173:GM173"/>
    <mergeCell ref="FV184:FW184"/>
    <mergeCell ref="FX184:FY184"/>
    <mergeCell ref="GB181:GC181"/>
    <mergeCell ref="FT196:FU196"/>
    <mergeCell ref="GB221:GC221"/>
    <mergeCell ref="FT221:FU221"/>
    <mergeCell ref="GZ189:HA189"/>
    <mergeCell ref="GX172:GY172"/>
    <mergeCell ref="GR163:GS163"/>
    <mergeCell ref="GZ171:HA171"/>
    <mergeCell ref="GX170:GY170"/>
    <mergeCell ref="GX174:GY174"/>
    <mergeCell ref="GP164:GQ164"/>
    <mergeCell ref="GT164:GU164"/>
    <mergeCell ref="GB173:GC173"/>
    <mergeCell ref="GF173:GG173"/>
    <mergeCell ref="FV165:FW165"/>
    <mergeCell ref="FZ165:GA165"/>
    <mergeCell ref="FR165:FS165"/>
    <mergeCell ref="GF169:GG169"/>
    <mergeCell ref="GR161:GS161"/>
    <mergeCell ref="GV184:GW184"/>
    <mergeCell ref="GT166:GU166"/>
    <mergeCell ref="GR165:GS165"/>
    <mergeCell ref="GN176:GO176"/>
    <mergeCell ref="FL234:FM234"/>
    <mergeCell ref="FL178:FM178"/>
    <mergeCell ref="FX228:FY228"/>
    <mergeCell ref="GJ169:GK169"/>
    <mergeCell ref="GB170:GC170"/>
    <mergeCell ref="GL169:GM169"/>
    <mergeCell ref="GD184:GE184"/>
    <mergeCell ref="FV196:FW196"/>
    <mergeCell ref="FZ176:GA176"/>
    <mergeCell ref="GT174:GU174"/>
    <mergeCell ref="GR167:GS167"/>
    <mergeCell ref="GP168:GQ168"/>
    <mergeCell ref="FJ232:FK232"/>
    <mergeCell ref="GB249:GC249"/>
    <mergeCell ref="GH235:GI235"/>
    <mergeCell ref="FF181:FG181"/>
    <mergeCell ref="FF180:FG180"/>
    <mergeCell ref="FF183:FG183"/>
    <mergeCell ref="EV196:EW196"/>
    <mergeCell ref="EX170:EY170"/>
    <mergeCell ref="FH184:FI184"/>
    <mergeCell ref="FH196:FI196"/>
    <mergeCell ref="FH183:FI183"/>
    <mergeCell ref="FB167:FC167"/>
    <mergeCell ref="FJ196:FK196"/>
    <mergeCell ref="FJ184:FK184"/>
    <mergeCell ref="FJ221:FK221"/>
    <mergeCell ref="FT174:FU174"/>
    <mergeCell ref="FN173:FO173"/>
    <mergeCell ref="GH171:GI171"/>
    <mergeCell ref="GD189:GE189"/>
    <mergeCell ref="FT170:FU170"/>
    <mergeCell ref="FR184:FS184"/>
    <mergeCell ref="GB176:GC176"/>
    <mergeCell ref="GH181:GI181"/>
    <mergeCell ref="GF184:GG184"/>
    <mergeCell ref="GF221:GG221"/>
    <mergeCell ref="GB177:GC177"/>
    <mergeCell ref="GB180:GC180"/>
    <mergeCell ref="GD180:GE180"/>
    <mergeCell ref="GF177:GG177"/>
    <mergeCell ref="FR173:FS173"/>
    <mergeCell ref="GR178:GS178"/>
    <mergeCell ref="FF170:FG170"/>
    <mergeCell ref="FH169:FI169"/>
    <mergeCell ref="FH177:FI177"/>
    <mergeCell ref="FH175:FI175"/>
    <mergeCell ref="FH181:FI181"/>
    <mergeCell ref="GL177:GM177"/>
    <mergeCell ref="FX174:FY174"/>
    <mergeCell ref="FJ189:FK189"/>
    <mergeCell ref="GP184:GQ184"/>
    <mergeCell ref="FF190:FG190"/>
    <mergeCell ref="FH190:FI190"/>
    <mergeCell ref="FR190:FS190"/>
    <mergeCell ref="FT190:FU190"/>
    <mergeCell ref="FV190:FW190"/>
    <mergeCell ref="FX190:FY190"/>
    <mergeCell ref="FZ190:GA190"/>
    <mergeCell ref="GB190:GC190"/>
    <mergeCell ref="GD190:GE190"/>
    <mergeCell ref="GL234:GM234"/>
    <mergeCell ref="GF235:GG235"/>
    <mergeCell ref="FV189:FW189"/>
    <mergeCell ref="FX196:FY196"/>
    <mergeCell ref="FL250:FM250"/>
    <mergeCell ref="GP237:GQ237"/>
    <mergeCell ref="GR177:GS177"/>
    <mergeCell ref="GR175:GS175"/>
    <mergeCell ref="GR181:GS181"/>
    <mergeCell ref="FN196:FO196"/>
    <mergeCell ref="FL167:FM167"/>
    <mergeCell ref="GD183:GE183"/>
    <mergeCell ref="GL180:GM180"/>
    <mergeCell ref="GH184:GI184"/>
    <mergeCell ref="GP233:GQ233"/>
    <mergeCell ref="GD181:GE181"/>
    <mergeCell ref="GF181:GG181"/>
    <mergeCell ref="FZ175:GA175"/>
    <mergeCell ref="FV183:FW183"/>
    <mergeCell ref="FX183:FY183"/>
    <mergeCell ref="GN175:GO175"/>
    <mergeCell ref="GH175:GI175"/>
    <mergeCell ref="GD178:GE178"/>
    <mergeCell ref="GJ177:GK177"/>
    <mergeCell ref="GF176:GG176"/>
    <mergeCell ref="FL174:FM174"/>
    <mergeCell ref="GV180:GW180"/>
    <mergeCell ref="GT190:GU190"/>
    <mergeCell ref="GV190:GW190"/>
    <mergeCell ref="GT180:GU180"/>
    <mergeCell ref="GF190:GG190"/>
    <mergeCell ref="GH190:GI190"/>
    <mergeCell ref="GJ190:GK190"/>
    <mergeCell ref="GL190:GM190"/>
    <mergeCell ref="GN190:GO190"/>
    <mergeCell ref="GP190:GQ190"/>
    <mergeCell ref="GR190:GS190"/>
    <mergeCell ref="GR174:GS174"/>
    <mergeCell ref="GR183:GS183"/>
    <mergeCell ref="FZ183:GA183"/>
    <mergeCell ref="GP175:GQ175"/>
    <mergeCell ref="GH167:GI167"/>
    <mergeCell ref="GH170:GI170"/>
    <mergeCell ref="FZ167:GA167"/>
    <mergeCell ref="GF178:GG178"/>
    <mergeCell ref="GT169:GU169"/>
    <mergeCell ref="GN170:GO170"/>
    <mergeCell ref="GP171:GQ171"/>
    <mergeCell ref="GR171:GS171"/>
    <mergeCell ref="GN173:GO173"/>
    <mergeCell ref="GP173:GQ173"/>
    <mergeCell ref="GJ178:GK178"/>
    <mergeCell ref="GV175:GW175"/>
    <mergeCell ref="FP190:FQ190"/>
    <mergeCell ref="GB172:GC172"/>
    <mergeCell ref="GF172:GG172"/>
    <mergeCell ref="GJ172:GK172"/>
    <mergeCell ref="GH172:GI172"/>
    <mergeCell ref="GH173:GI173"/>
    <mergeCell ref="GJ173:GK173"/>
    <mergeCell ref="FV173:FW173"/>
    <mergeCell ref="GR184:GS184"/>
    <mergeCell ref="FL173:FM173"/>
    <mergeCell ref="FP173:FQ173"/>
    <mergeCell ref="FP177:FQ177"/>
    <mergeCell ref="GV189:GW189"/>
    <mergeCell ref="FJ246:FK246"/>
    <mergeCell ref="FH248:FI248"/>
    <mergeCell ref="FH246:FI246"/>
    <mergeCell ref="FH234:FI234"/>
    <mergeCell ref="FX189:FY189"/>
    <mergeCell ref="FZ189:GA189"/>
    <mergeCell ref="GB189:GC189"/>
    <mergeCell ref="FP196:FQ196"/>
    <mergeCell ref="FP232:FQ232"/>
    <mergeCell ref="GB247:GC247"/>
    <mergeCell ref="FH232:FI232"/>
    <mergeCell ref="FJ248:FK248"/>
    <mergeCell ref="FN181:FO181"/>
    <mergeCell ref="FP178:FQ178"/>
    <mergeCell ref="FR181:FS181"/>
    <mergeCell ref="FJ178:FK178"/>
    <mergeCell ref="FJ180:FK180"/>
    <mergeCell ref="FP221:FQ221"/>
    <mergeCell ref="FP181:FQ181"/>
    <mergeCell ref="FN228:FO228"/>
    <mergeCell ref="FZ238:GA238"/>
    <mergeCell ref="FP228:FQ228"/>
    <mergeCell ref="FR228:FS228"/>
    <mergeCell ref="GB233:GC233"/>
    <mergeCell ref="FP184:FQ184"/>
    <mergeCell ref="FN236:FO236"/>
    <mergeCell ref="FZ232:GA232"/>
    <mergeCell ref="GL232:GM232"/>
    <mergeCell ref="GD237:GE237"/>
    <mergeCell ref="GJ236:GK236"/>
    <mergeCell ref="GF242:GG242"/>
    <mergeCell ref="FH180:FI180"/>
    <mergeCell ref="FJ235:FK235"/>
    <mergeCell ref="FJ233:FK233"/>
    <mergeCell ref="FH238:FI238"/>
    <mergeCell ref="FZ235:GA235"/>
    <mergeCell ref="GB184:GC184"/>
    <mergeCell ref="FV237:FW237"/>
    <mergeCell ref="FR183:FS183"/>
    <mergeCell ref="FT183:FU183"/>
    <mergeCell ref="FV234:FW234"/>
    <mergeCell ref="FL189:FM189"/>
    <mergeCell ref="FN189:FO189"/>
    <mergeCell ref="FT232:FU232"/>
    <mergeCell ref="FV221:FW221"/>
    <mergeCell ref="FZ234:GA234"/>
    <mergeCell ref="FR233:FS233"/>
    <mergeCell ref="FN233:FO233"/>
    <mergeCell ref="FT228:FU228"/>
    <mergeCell ref="FR232:FS232"/>
    <mergeCell ref="FP235:FQ235"/>
    <mergeCell ref="FT243:FU243"/>
    <mergeCell ref="FT235:FU235"/>
    <mergeCell ref="FT247:FU247"/>
    <mergeCell ref="FN242:FO242"/>
    <mergeCell ref="FZ246:GA246"/>
    <mergeCell ref="FH242:FI242"/>
    <mergeCell ref="FN234:FO234"/>
    <mergeCell ref="FJ242:FK242"/>
    <mergeCell ref="FH221:FI221"/>
    <mergeCell ref="FX221:FY221"/>
    <mergeCell ref="FV233:FW233"/>
    <mergeCell ref="FR234:FS234"/>
    <mergeCell ref="FZ196:GA196"/>
    <mergeCell ref="GN235:GO235"/>
    <mergeCell ref="GP235:GQ235"/>
    <mergeCell ref="GT234:GU234"/>
    <mergeCell ref="GJ234:GK234"/>
    <mergeCell ref="GD234:GE234"/>
    <mergeCell ref="GN177:GO177"/>
    <mergeCell ref="GL236:GM236"/>
    <mergeCell ref="GT235:GU235"/>
    <mergeCell ref="GT233:GU233"/>
    <mergeCell ref="GN180:GO180"/>
    <mergeCell ref="GP180:GQ180"/>
    <mergeCell ref="GT228:GU228"/>
    <mergeCell ref="GN228:GO228"/>
    <mergeCell ref="GP228:GQ228"/>
    <mergeCell ref="GJ235:GK235"/>
    <mergeCell ref="GF175:GG175"/>
    <mergeCell ref="GB228:GC228"/>
    <mergeCell ref="GR234:GS234"/>
    <mergeCell ref="FV232:FW232"/>
    <mergeCell ref="GB232:GC232"/>
    <mergeCell ref="GB196:GC196"/>
    <mergeCell ref="FN180:FO180"/>
    <mergeCell ref="FN232:FO232"/>
    <mergeCell ref="GD247:GE247"/>
    <mergeCell ref="GH234:GI234"/>
    <mergeCell ref="FN252:FO252"/>
    <mergeCell ref="FP233:FQ233"/>
    <mergeCell ref="FR251:FS251"/>
    <mergeCell ref="GN237:GO237"/>
    <mergeCell ref="FV251:FW251"/>
    <mergeCell ref="GP221:GQ221"/>
    <mergeCell ref="GH221:GI221"/>
    <mergeCell ref="GJ180:GK180"/>
    <mergeCell ref="GH183:GI183"/>
    <mergeCell ref="GJ183:GK183"/>
    <mergeCell ref="GT178:GU178"/>
    <mergeCell ref="GL228:GM228"/>
    <mergeCell ref="GJ228:GK228"/>
    <mergeCell ref="GL175:GM175"/>
    <mergeCell ref="GT196:GU196"/>
    <mergeCell ref="GT221:GU221"/>
    <mergeCell ref="GT183:GU183"/>
    <mergeCell ref="GD242:GE242"/>
    <mergeCell ref="FN238:FO238"/>
    <mergeCell ref="FP183:FQ183"/>
    <mergeCell ref="GH238:GI238"/>
    <mergeCell ref="GP189:GQ189"/>
    <mergeCell ref="GR189:GS189"/>
    <mergeCell ref="GL184:GM184"/>
    <mergeCell ref="GN184:GO184"/>
    <mergeCell ref="GR236:GS236"/>
    <mergeCell ref="GR235:GS235"/>
    <mergeCell ref="GT184:GU184"/>
    <mergeCell ref="GR221:GS221"/>
    <mergeCell ref="GR180:GS180"/>
    <mergeCell ref="GJ237:GK237"/>
    <mergeCell ref="GT236:GU236"/>
    <mergeCell ref="GL183:GM183"/>
    <mergeCell ref="GN234:GO234"/>
    <mergeCell ref="GD233:GE233"/>
    <mergeCell ref="GN233:GO233"/>
    <mergeCell ref="GF233:GG233"/>
    <mergeCell ref="GB235:GC235"/>
    <mergeCell ref="GF238:GG238"/>
    <mergeCell ref="FL264:FM264"/>
    <mergeCell ref="GF265:GG265"/>
    <mergeCell ref="FL253:FM253"/>
    <mergeCell ref="FL261:FM261"/>
    <mergeCell ref="GD250:GE250"/>
    <mergeCell ref="FL235:FM235"/>
    <mergeCell ref="FL237:FM237"/>
    <mergeCell ref="GJ242:GK242"/>
    <mergeCell ref="GL233:GM233"/>
    <mergeCell ref="GJ175:GK175"/>
    <mergeCell ref="GF174:GG174"/>
    <mergeCell ref="GH174:GI174"/>
    <mergeCell ref="FR196:FS196"/>
    <mergeCell ref="FX233:FY233"/>
    <mergeCell ref="FT233:FU233"/>
    <mergeCell ref="FX234:FY234"/>
    <mergeCell ref="FV238:FW238"/>
    <mergeCell ref="GJ250:GK250"/>
    <mergeCell ref="GF196:GG196"/>
    <mergeCell ref="FV174:FW174"/>
    <mergeCell ref="FV177:FW177"/>
    <mergeCell ref="FX180:FY180"/>
    <mergeCell ref="FV175:FW175"/>
    <mergeCell ref="GD196:GE196"/>
    <mergeCell ref="FX232:FY232"/>
    <mergeCell ref="FT184:FU184"/>
    <mergeCell ref="FZ184:GA184"/>
    <mergeCell ref="FN184:FO184"/>
    <mergeCell ref="GJ243:GK243"/>
    <mergeCell ref="GD176:GE176"/>
    <mergeCell ref="FN221:FO221"/>
    <mergeCell ref="GH244:GI244"/>
    <mergeCell ref="GH245:GI245"/>
    <mergeCell ref="GB243:GC243"/>
    <mergeCell ref="FZ245:GA245"/>
    <mergeCell ref="GJ245:GK245"/>
    <mergeCell ref="GD236:GE236"/>
    <mergeCell ref="FP236:FQ236"/>
    <mergeCell ref="FV236:FW236"/>
    <mergeCell ref="GH237:GI237"/>
    <mergeCell ref="GH249:GI249"/>
    <mergeCell ref="GH246:GI246"/>
    <mergeCell ref="GH248:GI248"/>
    <mergeCell ref="FL232:FM232"/>
    <mergeCell ref="FL228:FM228"/>
    <mergeCell ref="FL221:FM221"/>
    <mergeCell ref="FP252:FQ252"/>
    <mergeCell ref="FR248:FS248"/>
    <mergeCell ref="GD238:GE238"/>
    <mergeCell ref="GF234:GG234"/>
    <mergeCell ref="GD245:GE245"/>
    <mergeCell ref="GF245:GG245"/>
    <mergeCell ref="FV235:FW235"/>
    <mergeCell ref="FL233:FM233"/>
    <mergeCell ref="FP234:FQ234"/>
    <mergeCell ref="FL244:FM244"/>
    <mergeCell ref="FP243:FQ243"/>
    <mergeCell ref="GL237:GM237"/>
    <mergeCell ref="GL235:GM235"/>
    <mergeCell ref="GD235:GE235"/>
    <mergeCell ref="FL180:FM180"/>
    <mergeCell ref="FZ233:GA233"/>
    <mergeCell ref="FL245:FM245"/>
    <mergeCell ref="FZ250:GA250"/>
    <mergeCell ref="FT265:FU265"/>
    <mergeCell ref="FV262:FW262"/>
    <mergeCell ref="FN249:FO249"/>
    <mergeCell ref="FN250:FO250"/>
    <mergeCell ref="FP254:FQ254"/>
    <mergeCell ref="FP251:FQ251"/>
    <mergeCell ref="FP246:FQ246"/>
    <mergeCell ref="GD248:GE248"/>
    <mergeCell ref="FX244:FY244"/>
    <mergeCell ref="FP253:FQ253"/>
    <mergeCell ref="GB237:GC237"/>
    <mergeCell ref="FR244:FS244"/>
    <mergeCell ref="FT244:FU244"/>
    <mergeCell ref="FR250:FS250"/>
    <mergeCell ref="FN235:FO235"/>
    <mergeCell ref="FR265:FS265"/>
    <mergeCell ref="FR260:FS260"/>
    <mergeCell ref="FR259:FS259"/>
    <mergeCell ref="FR256:FS256"/>
    <mergeCell ref="FN264:FO264"/>
    <mergeCell ref="GD260:GE260"/>
    <mergeCell ref="GB234:GC234"/>
    <mergeCell ref="FT234:FU234"/>
    <mergeCell ref="FR235:FS235"/>
    <mergeCell ref="FZ255:GA255"/>
    <mergeCell ref="FL252:FM252"/>
    <mergeCell ref="FZ249:GA249"/>
    <mergeCell ref="GF253:GG253"/>
    <mergeCell ref="FR264:FS264"/>
    <mergeCell ref="FP263:FQ263"/>
    <mergeCell ref="FP264:FQ264"/>
    <mergeCell ref="GD265:GE265"/>
    <mergeCell ref="FL255:FM255"/>
    <mergeCell ref="GD255:GE255"/>
    <mergeCell ref="FZ257:GA257"/>
    <mergeCell ref="FT245:FU245"/>
    <mergeCell ref="FV243:FW243"/>
    <mergeCell ref="FR245:FS245"/>
    <mergeCell ref="GB256:GC256"/>
    <mergeCell ref="FL238:FM238"/>
    <mergeCell ref="GD258:GE258"/>
    <mergeCell ref="FN262:FO262"/>
    <mergeCell ref="FP262:FQ262"/>
    <mergeCell ref="GD253:GE253"/>
    <mergeCell ref="FZ261:GA261"/>
    <mergeCell ref="FL251:FM251"/>
    <mergeCell ref="FN259:FO259"/>
    <mergeCell ref="FX235:FY235"/>
    <mergeCell ref="GF243:GG243"/>
    <mergeCell ref="GF236:GG236"/>
    <mergeCell ref="FN254:FO254"/>
    <mergeCell ref="FT255:FU255"/>
    <mergeCell ref="FN248:FO248"/>
    <mergeCell ref="GB242:GC242"/>
    <mergeCell ref="GD252:GE252"/>
    <mergeCell ref="GD254:GE254"/>
    <mergeCell ref="FX252:FY252"/>
    <mergeCell ref="FP259:FQ259"/>
    <mergeCell ref="FN246:FO246"/>
    <mergeCell ref="GB252:GC252"/>
    <mergeCell ref="FN256:FO256"/>
    <mergeCell ref="FP256:FQ256"/>
    <mergeCell ref="GD246:GE246"/>
    <mergeCell ref="FR261:FS261"/>
    <mergeCell ref="FN253:FO253"/>
    <mergeCell ref="FT238:FU238"/>
    <mergeCell ref="FR242:FS242"/>
    <mergeCell ref="FT242:FU242"/>
    <mergeCell ref="FX238:FY238"/>
    <mergeCell ref="FX236:FY236"/>
    <mergeCell ref="FV255:FW255"/>
    <mergeCell ref="FN245:FO245"/>
    <mergeCell ref="GN236:GO236"/>
    <mergeCell ref="GP236:GQ236"/>
    <mergeCell ref="GR250:GS250"/>
    <mergeCell ref="FN247:FO247"/>
    <mergeCell ref="FT250:FU250"/>
    <mergeCell ref="FZ242:GA242"/>
    <mergeCell ref="FZ243:GA243"/>
    <mergeCell ref="FN243:FO243"/>
    <mergeCell ref="GF237:GG237"/>
    <mergeCell ref="GH255:GI255"/>
    <mergeCell ref="GH257:GI257"/>
    <mergeCell ref="GH242:GI242"/>
    <mergeCell ref="GH243:GI243"/>
    <mergeCell ref="GB248:GC248"/>
    <mergeCell ref="FR237:FS237"/>
    <mergeCell ref="FT237:FU237"/>
    <mergeCell ref="FX255:FY255"/>
    <mergeCell ref="FT259:FU259"/>
    <mergeCell ref="FP237:FQ237"/>
    <mergeCell ref="FL236:FM236"/>
    <mergeCell ref="FX253:FY253"/>
    <mergeCell ref="FZ259:GA259"/>
    <mergeCell ref="FZ237:GA237"/>
    <mergeCell ref="GL246:GM246"/>
    <mergeCell ref="FV245:FW245"/>
    <mergeCell ref="GN248:GO248"/>
    <mergeCell ref="GP248:GQ248"/>
    <mergeCell ref="GP243:GQ243"/>
    <mergeCell ref="GP253:GQ253"/>
    <mergeCell ref="FV252:FW252"/>
    <mergeCell ref="FV253:FW253"/>
    <mergeCell ref="FV246:FW246"/>
    <mergeCell ref="GD259:GE259"/>
    <mergeCell ref="GR243:GS243"/>
    <mergeCell ref="FN237:FO237"/>
    <mergeCell ref="FX237:FY237"/>
    <mergeCell ref="GD243:GE243"/>
    <mergeCell ref="FZ236:GA236"/>
    <mergeCell ref="FN255:FO255"/>
    <mergeCell ref="GJ238:GK238"/>
    <mergeCell ref="FP245:FQ245"/>
    <mergeCell ref="FR253:FS253"/>
    <mergeCell ref="GH253:GI253"/>
    <mergeCell ref="FR258:FS258"/>
    <mergeCell ref="GH236:GI236"/>
    <mergeCell ref="FL248:FM248"/>
    <mergeCell ref="GB244:GC244"/>
    <mergeCell ref="GR255:GS255"/>
    <mergeCell ref="FR247:FS247"/>
    <mergeCell ref="GB253:GC253"/>
    <mergeCell ref="GF244:GG244"/>
    <mergeCell ref="FP250:FQ250"/>
    <mergeCell ref="FJ260:FK260"/>
    <mergeCell ref="FJ247:FK247"/>
    <mergeCell ref="FJ267:FK267"/>
    <mergeCell ref="FL267:FM267"/>
    <mergeCell ref="FN267:FO267"/>
    <mergeCell ref="FP267:FQ267"/>
    <mergeCell ref="FR267:FS267"/>
    <mergeCell ref="FT267:FU267"/>
    <mergeCell ref="FV247:FW247"/>
    <mergeCell ref="FX259:FY259"/>
    <mergeCell ref="FX247:FY247"/>
    <mergeCell ref="FV250:FW250"/>
    <mergeCell ref="FV249:FW249"/>
    <mergeCell ref="FT251:FU251"/>
    <mergeCell ref="FV261:FW261"/>
    <mergeCell ref="FT253:FU253"/>
    <mergeCell ref="FT266:FU266"/>
    <mergeCell ref="FT263:FU263"/>
    <mergeCell ref="FV257:FW257"/>
    <mergeCell ref="FX243:FY243"/>
    <mergeCell ref="FV248:FW248"/>
    <mergeCell ref="FR252:FS252"/>
    <mergeCell ref="FL265:FM265"/>
    <mergeCell ref="FL256:FM256"/>
    <mergeCell ref="FN257:FO257"/>
    <mergeCell ref="FT254:FU254"/>
    <mergeCell ref="FT257:FU257"/>
    <mergeCell ref="FR249:FS249"/>
    <mergeCell ref="FT249:FU249"/>
    <mergeCell ref="FT256:FU256"/>
    <mergeCell ref="FV254:FW254"/>
    <mergeCell ref="FZ256:GA256"/>
    <mergeCell ref="FL247:FM247"/>
    <mergeCell ref="FP258:FQ258"/>
    <mergeCell ref="FL258:FM258"/>
    <mergeCell ref="FP249:FQ249"/>
    <mergeCell ref="FT246:FU246"/>
    <mergeCell ref="FN260:FO260"/>
    <mergeCell ref="FN261:FO261"/>
    <mergeCell ref="FT260:FU260"/>
    <mergeCell ref="FP244:FQ244"/>
    <mergeCell ref="FN258:FO258"/>
    <mergeCell ref="FP257:FQ257"/>
    <mergeCell ref="FR257:FS257"/>
    <mergeCell ref="FN265:FO265"/>
    <mergeCell ref="FJ252:FK252"/>
    <mergeCell ref="FN251:FO251"/>
    <mergeCell ref="FL262:FM262"/>
    <mergeCell ref="FT258:FU258"/>
    <mergeCell ref="FV263:FW263"/>
    <mergeCell ref="FR243:FS243"/>
    <mergeCell ref="FJ259:FK259"/>
    <mergeCell ref="FX249:FY249"/>
    <mergeCell ref="FJ262:FK262"/>
    <mergeCell ref="FR263:FS263"/>
    <mergeCell ref="FL246:FM246"/>
    <mergeCell ref="FN244:FO244"/>
    <mergeCell ref="FL259:FM259"/>
    <mergeCell ref="FL257:FM257"/>
    <mergeCell ref="FZ263:GA263"/>
    <mergeCell ref="FX258:FY258"/>
    <mergeCell ref="FL249:FM249"/>
    <mergeCell ref="FT248:FU248"/>
    <mergeCell ref="FL243:FM243"/>
    <mergeCell ref="FL268:FM268"/>
    <mergeCell ref="FJ269:FK269"/>
    <mergeCell ref="FH262:FI262"/>
    <mergeCell ref="FN263:FO263"/>
    <mergeCell ref="FL242:FM242"/>
    <mergeCell ref="FP247:FQ247"/>
    <mergeCell ref="FR246:FS246"/>
    <mergeCell ref="FZ247:GA247"/>
    <mergeCell ref="GB236:GC236"/>
    <mergeCell ref="FR238:FS238"/>
    <mergeCell ref="FP238:FQ238"/>
    <mergeCell ref="GB245:GC245"/>
    <mergeCell ref="FZ244:GA244"/>
    <mergeCell ref="FX242:FY242"/>
    <mergeCell ref="FV242:FW242"/>
    <mergeCell ref="GH260:GI260"/>
    <mergeCell ref="FJ261:FK261"/>
    <mergeCell ref="FT261:FU261"/>
    <mergeCell ref="FJ250:FK250"/>
    <mergeCell ref="FZ260:GA260"/>
    <mergeCell ref="FJ238:FK238"/>
    <mergeCell ref="FJ257:FK257"/>
    <mergeCell ref="FJ256:FK256"/>
    <mergeCell ref="FJ263:FK263"/>
    <mergeCell ref="FL263:FM263"/>
    <mergeCell ref="FL260:FM260"/>
    <mergeCell ref="FP260:FQ260"/>
    <mergeCell ref="GH247:GI247"/>
    <mergeCell ref="FJ255:FK255"/>
    <mergeCell ref="FJ258:FK258"/>
    <mergeCell ref="FJ266:FK266"/>
    <mergeCell ref="FJ265:FK265"/>
    <mergeCell ref="GD266:GE266"/>
    <mergeCell ref="FP261:FQ261"/>
    <mergeCell ref="GF261:GG261"/>
    <mergeCell ref="FL254:FM254"/>
    <mergeCell ref="FV264:FW264"/>
    <mergeCell ref="FP255:FQ255"/>
    <mergeCell ref="FT252:FU252"/>
    <mergeCell ref="FR255:FS255"/>
    <mergeCell ref="FV260:FW260"/>
    <mergeCell ref="FX260:FY260"/>
    <mergeCell ref="FH243:FI243"/>
    <mergeCell ref="FJ244:FK244"/>
    <mergeCell ref="FJ251:FK251"/>
    <mergeCell ref="FJ243:FK243"/>
    <mergeCell ref="FJ245:FK245"/>
    <mergeCell ref="FJ249:FK249"/>
    <mergeCell ref="FR266:FS266"/>
    <mergeCell ref="FL266:FM266"/>
    <mergeCell ref="FP248:FQ248"/>
    <mergeCell ref="GB254:GC254"/>
    <mergeCell ref="FH263:FI263"/>
    <mergeCell ref="FV267:FW267"/>
    <mergeCell ref="FX267:FY267"/>
    <mergeCell ref="GD262:GE262"/>
    <mergeCell ref="FR262:FS262"/>
    <mergeCell ref="FJ253:FK253"/>
    <mergeCell ref="FJ254:FK254"/>
    <mergeCell ref="FT262:FU262"/>
    <mergeCell ref="FZ254:GA254"/>
    <mergeCell ref="FV259:FW259"/>
    <mergeCell ref="FV244:FW244"/>
    <mergeCell ref="GB246:GC246"/>
    <mergeCell ref="GV255:GW255"/>
    <mergeCell ref="GL244:GM244"/>
    <mergeCell ref="GJ257:GK257"/>
    <mergeCell ref="GL250:GM250"/>
    <mergeCell ref="GN250:GO250"/>
    <mergeCell ref="GN252:GO252"/>
    <mergeCell ref="GP252:GQ252"/>
    <mergeCell ref="GT256:GU256"/>
    <mergeCell ref="GP249:GQ249"/>
    <mergeCell ref="GV251:GW251"/>
    <mergeCell ref="GN253:GO253"/>
    <mergeCell ref="GP254:GQ254"/>
    <mergeCell ref="GV256:GW256"/>
    <mergeCell ref="GR253:GS253"/>
    <mergeCell ref="GT253:GU253"/>
    <mergeCell ref="GV253:GW253"/>
    <mergeCell ref="GL251:GM251"/>
    <mergeCell ref="GD251:GE251"/>
    <mergeCell ref="GT245:GU245"/>
    <mergeCell ref="GV245:GW245"/>
    <mergeCell ref="FX250:FY250"/>
    <mergeCell ref="FX251:FY251"/>
    <mergeCell ref="GJ253:GK253"/>
    <mergeCell ref="GH258:GI258"/>
    <mergeCell ref="FZ248:GA248"/>
    <mergeCell ref="GH250:GI250"/>
    <mergeCell ref="GV265:GW265"/>
    <mergeCell ref="GV261:GW261"/>
    <mergeCell ref="GV262:GW262"/>
    <mergeCell ref="GV258:GW258"/>
    <mergeCell ref="GV252:GW252"/>
    <mergeCell ref="GR248:GS248"/>
    <mergeCell ref="GN247:GO247"/>
    <mergeCell ref="GT247:GU247"/>
    <mergeCell ref="GN249:GO249"/>
    <mergeCell ref="GP250:GQ250"/>
    <mergeCell ref="GR244:GS244"/>
    <mergeCell ref="GH252:GI252"/>
    <mergeCell ref="FX245:FY245"/>
    <mergeCell ref="GF248:GG248"/>
    <mergeCell ref="GL252:GM252"/>
    <mergeCell ref="GF249:GG249"/>
    <mergeCell ref="FX256:FY256"/>
    <mergeCell ref="GF246:GG246"/>
    <mergeCell ref="GL249:GM249"/>
    <mergeCell ref="GL248:GM248"/>
    <mergeCell ref="GJ248:GK248"/>
    <mergeCell ref="GJ247:GK247"/>
    <mergeCell ref="GJ244:GK244"/>
    <mergeCell ref="GD249:GE249"/>
    <mergeCell ref="GH251:GI251"/>
    <mergeCell ref="FX246:FY246"/>
    <mergeCell ref="GF252:GG252"/>
    <mergeCell ref="GF254:GG254"/>
    <mergeCell ref="FZ253:GA253"/>
    <mergeCell ref="GF255:GG255"/>
    <mergeCell ref="GF259:GG259"/>
    <mergeCell ref="GF258:GG258"/>
    <mergeCell ref="GF257:GG257"/>
    <mergeCell ref="GF256:GG256"/>
    <mergeCell ref="GL253:GM253"/>
    <mergeCell ref="GJ254:GK254"/>
    <mergeCell ref="GJ246:GK246"/>
    <mergeCell ref="GN254:GO254"/>
    <mergeCell ref="GT255:GU255"/>
    <mergeCell ref="GF250:GG250"/>
    <mergeCell ref="GL262:GM262"/>
    <mergeCell ref="GN262:GO262"/>
    <mergeCell ref="GP262:GQ262"/>
    <mergeCell ref="GR262:GS262"/>
    <mergeCell ref="GT251:GU251"/>
    <mergeCell ref="FX263:FY263"/>
    <mergeCell ref="GF263:GG263"/>
    <mergeCell ref="GN259:GO259"/>
    <mergeCell ref="GJ261:GK261"/>
    <mergeCell ref="GH266:GI266"/>
    <mergeCell ref="GB260:GC260"/>
    <mergeCell ref="GJ258:GK258"/>
    <mergeCell ref="GN244:GO244"/>
    <mergeCell ref="GN246:GO246"/>
    <mergeCell ref="GP246:GQ246"/>
    <mergeCell ref="GH254:GI254"/>
    <mergeCell ref="GJ251:GK251"/>
    <mergeCell ref="GH256:GI256"/>
    <mergeCell ref="FZ265:GA265"/>
    <mergeCell ref="GB265:GC265"/>
    <mergeCell ref="GL245:GM245"/>
    <mergeCell ref="GJ252:GK252"/>
    <mergeCell ref="GJ255:GK255"/>
    <mergeCell ref="GB255:GC255"/>
    <mergeCell ref="GT262:GU262"/>
    <mergeCell ref="GH261:GI261"/>
    <mergeCell ref="GL257:GM257"/>
    <mergeCell ref="FX265:FY265"/>
    <mergeCell ref="GL256:GM256"/>
    <mergeCell ref="GN257:GO257"/>
    <mergeCell ref="GB264:GC264"/>
    <mergeCell ref="GD264:GE264"/>
    <mergeCell ref="GB257:GC257"/>
    <mergeCell ref="GP260:GQ260"/>
    <mergeCell ref="GL259:GM259"/>
    <mergeCell ref="GH259:GI259"/>
    <mergeCell ref="GN255:GO255"/>
    <mergeCell ref="GF247:GG247"/>
    <mergeCell ref="GB250:GC250"/>
    <mergeCell ref="GF251:GG251"/>
    <mergeCell ref="FX257:FY257"/>
    <mergeCell ref="FZ251:GA251"/>
    <mergeCell ref="GL254:GM254"/>
    <mergeCell ref="GD256:GE256"/>
    <mergeCell ref="GB251:GC251"/>
    <mergeCell ref="FX248:FY248"/>
    <mergeCell ref="FX254:FY254"/>
    <mergeCell ref="GR264:GS264"/>
    <mergeCell ref="GT264:GU264"/>
    <mergeCell ref="GF264:GG264"/>
    <mergeCell ref="FX269:FY269"/>
    <mergeCell ref="GB268:GC268"/>
    <mergeCell ref="FX268:FY268"/>
    <mergeCell ref="GL270:GM270"/>
    <mergeCell ref="GJ256:GK256"/>
    <mergeCell ref="GD268:GE268"/>
    <mergeCell ref="FZ258:GA258"/>
    <mergeCell ref="FX262:FY262"/>
    <mergeCell ref="FV266:FW266"/>
    <mergeCell ref="FZ262:GA262"/>
    <mergeCell ref="GB266:GC266"/>
    <mergeCell ref="GH263:GI263"/>
    <mergeCell ref="FZ264:GA264"/>
    <mergeCell ref="GJ265:GK265"/>
    <mergeCell ref="FZ268:GA268"/>
    <mergeCell ref="GJ269:GK269"/>
    <mergeCell ref="GH268:GI268"/>
    <mergeCell ref="GN269:GO269"/>
    <mergeCell ref="GP269:GQ269"/>
    <mergeCell ref="GD270:GE270"/>
    <mergeCell ref="FX266:FY266"/>
    <mergeCell ref="GJ260:GK260"/>
    <mergeCell ref="GH270:GI270"/>
    <mergeCell ref="GF271:GG271"/>
    <mergeCell ref="GH271:GI271"/>
    <mergeCell ref="GB258:GC258"/>
    <mergeCell ref="GB259:GC259"/>
    <mergeCell ref="GF262:GG262"/>
    <mergeCell ref="GD271:GE271"/>
    <mergeCell ref="GJ263:GK263"/>
    <mergeCell ref="GF266:GG266"/>
    <mergeCell ref="FV269:FW269"/>
    <mergeCell ref="GJ267:GK267"/>
    <mergeCell ref="GN267:GO267"/>
    <mergeCell ref="GP267:GQ267"/>
    <mergeCell ref="GN256:GO256"/>
    <mergeCell ref="GP256:GQ256"/>
    <mergeCell ref="FX261:FY261"/>
    <mergeCell ref="FV256:FW256"/>
    <mergeCell ref="GB270:GC270"/>
    <mergeCell ref="FX264:FY264"/>
    <mergeCell ref="GJ268:GK268"/>
    <mergeCell ref="GN268:GO268"/>
    <mergeCell ref="FV258:FW258"/>
    <mergeCell ref="GF260:GG260"/>
    <mergeCell ref="FV265:FW265"/>
    <mergeCell ref="GP270:GQ270"/>
    <mergeCell ref="GH264:GI264"/>
    <mergeCell ref="GD263:GE263"/>
    <mergeCell ref="GJ259:GK259"/>
    <mergeCell ref="GL269:GM269"/>
    <mergeCell ref="GH262:GI262"/>
    <mergeCell ref="GD261:GE261"/>
    <mergeCell ref="GB261:GC261"/>
    <mergeCell ref="FZ269:GA269"/>
    <mergeCell ref="FZ267:GA267"/>
    <mergeCell ref="GB262:GC262"/>
    <mergeCell ref="GD269:GE269"/>
    <mergeCell ref="GF267:GG267"/>
    <mergeCell ref="GF269:GG269"/>
    <mergeCell ref="GF268:GG268"/>
    <mergeCell ref="GJ262:GK262"/>
    <mergeCell ref="FX271:FY271"/>
    <mergeCell ref="GD272:GE272"/>
    <mergeCell ref="GD280:GE280"/>
    <mergeCell ref="FZ279:GA279"/>
    <mergeCell ref="GB263:GC263"/>
    <mergeCell ref="GH280:GI280"/>
    <mergeCell ref="GF276:GG276"/>
    <mergeCell ref="GH279:GI279"/>
    <mergeCell ref="GP265:GQ265"/>
    <mergeCell ref="GL264:GM264"/>
    <mergeCell ref="GP266:GQ266"/>
    <mergeCell ref="GL276:GM276"/>
    <mergeCell ref="GF272:GG272"/>
    <mergeCell ref="GL283:GM283"/>
    <mergeCell ref="GB290:GC290"/>
    <mergeCell ref="GD290:GE290"/>
    <mergeCell ref="GJ280:GK280"/>
    <mergeCell ref="GB284:GC284"/>
    <mergeCell ref="GJ281:GK281"/>
    <mergeCell ref="GF274:GG274"/>
    <mergeCell ref="GB274:GC274"/>
    <mergeCell ref="GD274:GE274"/>
    <mergeCell ref="GD278:GE278"/>
    <mergeCell ref="GH278:GI278"/>
    <mergeCell ref="GL279:GM279"/>
    <mergeCell ref="GB269:GC269"/>
    <mergeCell ref="GB271:GC271"/>
    <mergeCell ref="GH265:GI265"/>
    <mergeCell ref="FZ272:GA272"/>
    <mergeCell ref="FZ271:GA271"/>
    <mergeCell ref="FZ270:GA270"/>
    <mergeCell ref="FZ266:GA266"/>
    <mergeCell ref="GP280:GQ280"/>
    <mergeCell ref="GD288:GE288"/>
    <mergeCell ref="GF288:GG288"/>
    <mergeCell ref="GN287:GO287"/>
    <mergeCell ref="GH285:GI285"/>
    <mergeCell ref="GD281:GE281"/>
    <mergeCell ref="GF281:GG281"/>
    <mergeCell ref="GN282:GO282"/>
    <mergeCell ref="GF270:GG270"/>
    <mergeCell ref="GJ275:GK275"/>
    <mergeCell ref="FZ273:GA273"/>
    <mergeCell ref="FZ290:GA290"/>
    <mergeCell ref="GB286:GC286"/>
    <mergeCell ref="GD286:GE286"/>
    <mergeCell ref="GD267:GE267"/>
    <mergeCell ref="GB267:GC267"/>
    <mergeCell ref="GL275:GM275"/>
    <mergeCell ref="GB285:GC285"/>
    <mergeCell ref="GH289:GI289"/>
    <mergeCell ref="GJ289:GK289"/>
    <mergeCell ref="GL289:GM289"/>
    <mergeCell ref="FZ278:GA278"/>
    <mergeCell ref="GB272:GC272"/>
    <mergeCell ref="FZ274:GA274"/>
    <mergeCell ref="FZ275:GA275"/>
    <mergeCell ref="FZ277:GA277"/>
    <mergeCell ref="FZ276:GA276"/>
    <mergeCell ref="GB293:GC293"/>
    <mergeCell ref="GD285:GE285"/>
    <mergeCell ref="GH282:GI282"/>
    <mergeCell ref="GJ286:GK286"/>
    <mergeCell ref="GR287:GS287"/>
    <mergeCell ref="GB280:GC280"/>
    <mergeCell ref="GN285:GO285"/>
    <mergeCell ref="GH284:GI284"/>
    <mergeCell ref="GJ284:GK284"/>
    <mergeCell ref="GN283:GO283"/>
    <mergeCell ref="GD284:GE284"/>
    <mergeCell ref="GF284:GG284"/>
    <mergeCell ref="GB278:GC278"/>
    <mergeCell ref="GB276:GC276"/>
    <mergeCell ref="GJ276:GK276"/>
    <mergeCell ref="GP290:GQ290"/>
    <mergeCell ref="GF280:GG280"/>
    <mergeCell ref="GD289:GE289"/>
    <mergeCell ref="GF289:GG289"/>
    <mergeCell ref="GB289:GC289"/>
    <mergeCell ref="GB287:GC287"/>
    <mergeCell ref="GR293:GS293"/>
    <mergeCell ref="GF292:GG292"/>
    <mergeCell ref="GF275:GG275"/>
    <mergeCell ref="GD275:GE275"/>
    <mergeCell ref="GL273:GM273"/>
    <mergeCell ref="GN273:GO273"/>
    <mergeCell ref="GP273:GQ273"/>
    <mergeCell ref="GB273:GC273"/>
    <mergeCell ref="GF278:GG278"/>
    <mergeCell ref="GP282:GQ282"/>
    <mergeCell ref="GL288:GM288"/>
    <mergeCell ref="GN288:GO288"/>
    <mergeCell ref="GJ283:GK283"/>
    <mergeCell ref="GB283:GC283"/>
    <mergeCell ref="GD283:GE283"/>
    <mergeCell ref="GF273:GG273"/>
    <mergeCell ref="GF285:GG285"/>
    <mergeCell ref="GB281:GC281"/>
    <mergeCell ref="GD282:GE282"/>
    <mergeCell ref="GF282:GG282"/>
    <mergeCell ref="GD291:GE291"/>
    <mergeCell ref="GF291:GG291"/>
    <mergeCell ref="GR291:GS291"/>
    <mergeCell ref="GR288:GS288"/>
    <mergeCell ref="GP291:GQ291"/>
    <mergeCell ref="GL281:GM281"/>
    <mergeCell ref="GN281:GO281"/>
    <mergeCell ref="GP281:GQ281"/>
    <mergeCell ref="GJ287:GK287"/>
    <mergeCell ref="GB277:GC277"/>
    <mergeCell ref="GR285:GS285"/>
    <mergeCell ref="GL274:GM274"/>
    <mergeCell ref="GH274:GI274"/>
    <mergeCell ref="GH283:GI283"/>
    <mergeCell ref="GB282:GC282"/>
    <mergeCell ref="FZ293:GA293"/>
    <mergeCell ref="GJ293:GK293"/>
    <mergeCell ref="GL293:GM293"/>
    <mergeCell ref="GN293:GO293"/>
    <mergeCell ref="GP293:GQ293"/>
    <mergeCell ref="FZ286:GA286"/>
    <mergeCell ref="FZ283:GA283"/>
    <mergeCell ref="FZ291:GA291"/>
    <mergeCell ref="FZ281:GA281"/>
    <mergeCell ref="FZ287:GA287"/>
    <mergeCell ref="FZ292:GA292"/>
    <mergeCell ref="GD293:GE293"/>
    <mergeCell ref="GF293:GG293"/>
    <mergeCell ref="GJ290:GK290"/>
    <mergeCell ref="GH290:GI290"/>
    <mergeCell ref="GD292:GE292"/>
    <mergeCell ref="FZ289:GA289"/>
    <mergeCell ref="FZ288:GA288"/>
    <mergeCell ref="GV274:GW274"/>
    <mergeCell ref="GJ291:GK291"/>
    <mergeCell ref="GL291:GM291"/>
    <mergeCell ref="GN291:GO291"/>
    <mergeCell ref="GV284:GW284"/>
    <mergeCell ref="GX285:GY285"/>
    <mergeCell ref="GX279:GY279"/>
    <mergeCell ref="GV285:GW285"/>
    <mergeCell ref="GL280:GM280"/>
    <mergeCell ref="GN280:GO280"/>
    <mergeCell ref="GV292:GW292"/>
    <mergeCell ref="GV291:GW291"/>
    <mergeCell ref="GL290:GM290"/>
    <mergeCell ref="GR292:GS292"/>
    <mergeCell ref="GR279:GS279"/>
    <mergeCell ref="GN275:GO275"/>
    <mergeCell ref="GP275:GQ275"/>
    <mergeCell ref="GN279:GO279"/>
    <mergeCell ref="GJ274:GK274"/>
    <mergeCell ref="GJ278:GK278"/>
    <mergeCell ref="GH286:GI286"/>
    <mergeCell ref="GR286:GS286"/>
    <mergeCell ref="GH293:GI293"/>
    <mergeCell ref="GR280:GS280"/>
    <mergeCell ref="GR289:GS289"/>
    <mergeCell ref="GN289:GO289"/>
    <mergeCell ref="GP289:GQ289"/>
    <mergeCell ref="GH281:GI281"/>
    <mergeCell ref="GB292:GC292"/>
    <mergeCell ref="FZ282:GA282"/>
    <mergeCell ref="FZ284:GA284"/>
    <mergeCell ref="GR274:GS274"/>
    <mergeCell ref="GN284:GO284"/>
    <mergeCell ref="GT287:GU287"/>
    <mergeCell ref="GT281:GU281"/>
    <mergeCell ref="GB275:GC275"/>
    <mergeCell ref="GX288:GY288"/>
    <mergeCell ref="GJ277:GK277"/>
    <mergeCell ref="GL277:GM277"/>
    <mergeCell ref="GH292:GI292"/>
    <mergeCell ref="GJ292:GK292"/>
    <mergeCell ref="GH291:GI291"/>
    <mergeCell ref="GF290:GG290"/>
    <mergeCell ref="GP287:GQ287"/>
    <mergeCell ref="GR282:GS282"/>
    <mergeCell ref="GB291:GC291"/>
    <mergeCell ref="GT283:GU283"/>
    <mergeCell ref="GR284:GS284"/>
    <mergeCell ref="GH287:GI287"/>
    <mergeCell ref="GF283:GG283"/>
    <mergeCell ref="GT288:GU288"/>
    <mergeCell ref="GL286:GM286"/>
    <mergeCell ref="GN286:GO286"/>
    <mergeCell ref="GN277:GO277"/>
    <mergeCell ref="GP286:GQ286"/>
    <mergeCell ref="FZ280:GA280"/>
    <mergeCell ref="GD273:GE273"/>
    <mergeCell ref="GD277:GE277"/>
    <mergeCell ref="GP279:GQ279"/>
    <mergeCell ref="GX281:GY281"/>
    <mergeCell ref="GD279:GE279"/>
    <mergeCell ref="GD276:GE276"/>
    <mergeCell ref="GP276:GQ276"/>
    <mergeCell ref="GB279:GC279"/>
    <mergeCell ref="GX274:GY274"/>
    <mergeCell ref="GX278:GY278"/>
    <mergeCell ref="GD287:GE287"/>
    <mergeCell ref="GF287:GG287"/>
    <mergeCell ref="GF286:GG286"/>
    <mergeCell ref="GR273:GS273"/>
    <mergeCell ref="GT279:GU279"/>
    <mergeCell ref="GT278:GU278"/>
    <mergeCell ref="GX275:GY275"/>
    <mergeCell ref="GX282:GY282"/>
    <mergeCell ref="GT282:GU282"/>
    <mergeCell ref="GP285:GQ285"/>
    <mergeCell ref="GT280:GU280"/>
    <mergeCell ref="GL284:GM284"/>
    <mergeCell ref="GL282:GM282"/>
    <mergeCell ref="GV280:GW280"/>
    <mergeCell ref="GP288:GQ288"/>
    <mergeCell ref="GJ288:GK288"/>
    <mergeCell ref="GB288:GC288"/>
    <mergeCell ref="GL287:GM287"/>
    <mergeCell ref="GH288:GI288"/>
    <mergeCell ref="GJ273:GK273"/>
    <mergeCell ref="FZ285:GA285"/>
    <mergeCell ref="GV282:GW282"/>
    <mergeCell ref="GF279:GG279"/>
    <mergeCell ref="GF277:GG277"/>
    <mergeCell ref="GZ283:HA283"/>
    <mergeCell ref="GR276:GS276"/>
    <mergeCell ref="GJ271:GK271"/>
    <mergeCell ref="GH273:GI273"/>
    <mergeCell ref="GL267:GM267"/>
    <mergeCell ref="GP268:GQ268"/>
    <mergeCell ref="GL268:GM268"/>
    <mergeCell ref="GJ270:GK270"/>
    <mergeCell ref="GL272:GM272"/>
    <mergeCell ref="HB275:HC275"/>
    <mergeCell ref="HB276:HC276"/>
    <mergeCell ref="GJ285:GK285"/>
    <mergeCell ref="GL285:GM285"/>
    <mergeCell ref="GX272:GY272"/>
    <mergeCell ref="HB272:HC272"/>
    <mergeCell ref="GL265:GM265"/>
    <mergeCell ref="GR265:GS265"/>
    <mergeCell ref="GJ266:GK266"/>
    <mergeCell ref="HH279:HI279"/>
    <mergeCell ref="GV286:GW286"/>
    <mergeCell ref="GX286:GY286"/>
    <mergeCell ref="GZ286:HA286"/>
    <mergeCell ref="HB286:HC286"/>
    <mergeCell ref="GH272:GI272"/>
    <mergeCell ref="GX280:GY280"/>
    <mergeCell ref="HF282:HG282"/>
    <mergeCell ref="HH282:HI282"/>
    <mergeCell ref="HF283:HG283"/>
    <mergeCell ref="GJ282:GK282"/>
    <mergeCell ref="GZ271:HA271"/>
    <mergeCell ref="HB271:HC271"/>
    <mergeCell ref="HB268:HC268"/>
    <mergeCell ref="GZ266:HA266"/>
    <mergeCell ref="GN274:GO274"/>
    <mergeCell ref="GH276:GI276"/>
    <mergeCell ref="GL278:GM278"/>
    <mergeCell ref="HD276:HE276"/>
    <mergeCell ref="GX276:GY276"/>
    <mergeCell ref="GT270:GU270"/>
    <mergeCell ref="GV270:GW270"/>
    <mergeCell ref="GZ268:HA268"/>
    <mergeCell ref="GZ267:HA267"/>
    <mergeCell ref="GR269:GS269"/>
    <mergeCell ref="GN276:GO276"/>
    <mergeCell ref="GJ279:GK279"/>
    <mergeCell ref="GR270:GS270"/>
    <mergeCell ref="GR271:GS271"/>
    <mergeCell ref="HB279:HC279"/>
    <mergeCell ref="HD279:HE279"/>
    <mergeCell ref="HB277:HC277"/>
    <mergeCell ref="GZ282:HA282"/>
    <mergeCell ref="GP271:GQ271"/>
    <mergeCell ref="GT268:GU268"/>
    <mergeCell ref="GH269:GI269"/>
    <mergeCell ref="GL271:GM271"/>
    <mergeCell ref="GH267:GI267"/>
    <mergeCell ref="GJ272:GK272"/>
    <mergeCell ref="GN272:GO272"/>
    <mergeCell ref="GL266:GM266"/>
    <mergeCell ref="GR266:GS266"/>
    <mergeCell ref="GT266:GU266"/>
    <mergeCell ref="GV266:GW266"/>
    <mergeCell ref="GZ265:HA265"/>
    <mergeCell ref="GT285:GU285"/>
    <mergeCell ref="HF263:HG263"/>
    <mergeCell ref="GN263:GO263"/>
    <mergeCell ref="GP263:GQ263"/>
    <mergeCell ref="GT265:GU265"/>
    <mergeCell ref="GV264:GW264"/>
    <mergeCell ref="GN264:GO264"/>
    <mergeCell ref="GP264:GQ264"/>
    <mergeCell ref="GX265:GY265"/>
    <mergeCell ref="HB263:HC263"/>
    <mergeCell ref="GL263:GM263"/>
    <mergeCell ref="GN278:GO278"/>
    <mergeCell ref="HD263:HE263"/>
    <mergeCell ref="GN271:GO271"/>
    <mergeCell ref="GH277:GI277"/>
    <mergeCell ref="GH275:GI275"/>
    <mergeCell ref="HH266:HI266"/>
    <mergeCell ref="GX273:GY273"/>
    <mergeCell ref="HB281:HC281"/>
    <mergeCell ref="HF279:HG279"/>
    <mergeCell ref="GZ280:HA280"/>
    <mergeCell ref="HF280:HG280"/>
    <mergeCell ref="HH280:HI280"/>
    <mergeCell ref="GX269:GY269"/>
    <mergeCell ref="GZ269:HA269"/>
    <mergeCell ref="HB269:HC269"/>
    <mergeCell ref="HH269:HI269"/>
    <mergeCell ref="HB280:HC280"/>
    <mergeCell ref="GV278:GW278"/>
    <mergeCell ref="GV279:GW279"/>
    <mergeCell ref="GV277:GW277"/>
    <mergeCell ref="GP274:GQ274"/>
    <mergeCell ref="HD277:HE277"/>
    <mergeCell ref="HD273:HE273"/>
    <mergeCell ref="HF273:HG273"/>
    <mergeCell ref="HF277:HG277"/>
    <mergeCell ref="HF276:HG276"/>
    <mergeCell ref="HH276:HI276"/>
    <mergeCell ref="HD265:HE265"/>
    <mergeCell ref="HD280:HE280"/>
    <mergeCell ref="GJ264:GK264"/>
    <mergeCell ref="GR267:GS267"/>
    <mergeCell ref="GT269:GU269"/>
    <mergeCell ref="GR268:GS268"/>
    <mergeCell ref="GN265:GO265"/>
    <mergeCell ref="GN270:GO270"/>
    <mergeCell ref="GN266:GO266"/>
    <mergeCell ref="GV281:GW281"/>
    <mergeCell ref="HJ271:HK271"/>
    <mergeCell ref="GX263:GY263"/>
    <mergeCell ref="HH264:HI264"/>
    <mergeCell ref="GP277:GQ277"/>
    <mergeCell ref="GT273:GU273"/>
    <mergeCell ref="GT275:GU275"/>
    <mergeCell ref="GP272:GQ272"/>
    <mergeCell ref="GR272:GS272"/>
    <mergeCell ref="GT272:GU272"/>
    <mergeCell ref="GZ274:HA274"/>
    <mergeCell ref="HB274:HC274"/>
    <mergeCell ref="HD274:HE274"/>
    <mergeCell ref="GR275:GS275"/>
    <mergeCell ref="GV272:GW272"/>
    <mergeCell ref="HF274:HG274"/>
    <mergeCell ref="HB264:HC264"/>
    <mergeCell ref="HD264:HE264"/>
    <mergeCell ref="GX264:GY264"/>
    <mergeCell ref="GZ264:HA264"/>
    <mergeCell ref="HB270:HC270"/>
    <mergeCell ref="GT276:GU276"/>
    <mergeCell ref="GR278:GS278"/>
    <mergeCell ref="GR263:GS263"/>
    <mergeCell ref="GT263:GU263"/>
    <mergeCell ref="GT274:GU274"/>
    <mergeCell ref="GR277:GS277"/>
    <mergeCell ref="GT277:GU277"/>
    <mergeCell ref="GP278:GQ278"/>
    <mergeCell ref="GV267:GW267"/>
    <mergeCell ref="GX271:GY271"/>
    <mergeCell ref="HB273:HC273"/>
    <mergeCell ref="HD275:HE275"/>
    <mergeCell ref="HF275:HG275"/>
    <mergeCell ref="HH275:HI275"/>
    <mergeCell ref="HH274:HI274"/>
    <mergeCell ref="HD266:HE266"/>
    <mergeCell ref="GV268:GW268"/>
    <mergeCell ref="GV271:GW271"/>
    <mergeCell ref="HD271:HE271"/>
    <mergeCell ref="HF271:HG271"/>
    <mergeCell ref="HH271:HI271"/>
    <mergeCell ref="HD272:HE272"/>
    <mergeCell ref="HF272:HG272"/>
    <mergeCell ref="GX266:GY266"/>
    <mergeCell ref="HH263:HI263"/>
    <mergeCell ref="HH265:HI265"/>
    <mergeCell ref="HF265:HG265"/>
    <mergeCell ref="HB265:HC265"/>
    <mergeCell ref="HF266:HG266"/>
    <mergeCell ref="GX277:GY277"/>
    <mergeCell ref="GZ277:HA277"/>
    <mergeCell ref="GZ273:HA273"/>
    <mergeCell ref="GV273:GW273"/>
    <mergeCell ref="HH273:HI273"/>
    <mergeCell ref="GV276:GW276"/>
    <mergeCell ref="GZ272:HA272"/>
    <mergeCell ref="GZ263:HA263"/>
    <mergeCell ref="GV263:GW263"/>
    <mergeCell ref="HD270:HE270"/>
    <mergeCell ref="HF270:HG270"/>
    <mergeCell ref="HH270:HI270"/>
    <mergeCell ref="GT271:GU271"/>
    <mergeCell ref="GV269:GW269"/>
    <mergeCell ref="GT267:GU267"/>
    <mergeCell ref="HT267:HU267"/>
    <mergeCell ref="HN269:HO269"/>
    <mergeCell ref="HX269:HY269"/>
    <mergeCell ref="HX266:HY266"/>
    <mergeCell ref="HV273:HW273"/>
    <mergeCell ref="HX270:HY270"/>
    <mergeCell ref="HT269:HU269"/>
    <mergeCell ref="HX267:HY267"/>
    <mergeCell ref="HP267:HQ267"/>
    <mergeCell ref="HZ278:IA278"/>
    <mergeCell ref="HT266:HU266"/>
    <mergeCell ref="HV266:HW266"/>
    <mergeCell ref="HP270:HQ270"/>
    <mergeCell ref="HV270:HW270"/>
    <mergeCell ref="HP268:HQ268"/>
    <mergeCell ref="HR268:HS268"/>
    <mergeCell ref="HH267:HI267"/>
    <mergeCell ref="HJ269:HK269"/>
    <mergeCell ref="HL269:HM269"/>
    <mergeCell ref="HV276:HW276"/>
    <mergeCell ref="GZ278:HA278"/>
    <mergeCell ref="HJ273:HK273"/>
    <mergeCell ref="HR275:HS275"/>
    <mergeCell ref="HP274:HQ274"/>
    <mergeCell ref="HD268:HE268"/>
    <mergeCell ref="HF268:HG268"/>
    <mergeCell ref="HH268:HI268"/>
    <mergeCell ref="HL268:HM268"/>
    <mergeCell ref="GZ270:HA270"/>
    <mergeCell ref="HR270:HS270"/>
    <mergeCell ref="GX267:GY267"/>
    <mergeCell ref="HJ266:HK266"/>
    <mergeCell ref="HL271:HM271"/>
    <mergeCell ref="HN271:HO271"/>
    <mergeCell ref="GX268:GY268"/>
    <mergeCell ref="HB266:HC266"/>
    <mergeCell ref="HB267:HC267"/>
    <mergeCell ref="HD267:HE267"/>
    <mergeCell ref="HF267:HG267"/>
    <mergeCell ref="HJ267:HK267"/>
    <mergeCell ref="HL267:HM267"/>
    <mergeCell ref="HJ276:HK276"/>
    <mergeCell ref="HV269:HW269"/>
    <mergeCell ref="HP271:HQ271"/>
    <mergeCell ref="HR271:HS271"/>
    <mergeCell ref="HT271:HU271"/>
    <mergeCell ref="HR267:HS267"/>
    <mergeCell ref="HP269:HQ269"/>
    <mergeCell ref="HR269:HS269"/>
    <mergeCell ref="HT273:HU273"/>
    <mergeCell ref="HT275:HU275"/>
    <mergeCell ref="HN278:HO278"/>
    <mergeCell ref="HL274:HM274"/>
    <mergeCell ref="HJ274:HK274"/>
    <mergeCell ref="HL266:HM266"/>
    <mergeCell ref="HN266:HO266"/>
    <mergeCell ref="HJ268:HK268"/>
    <mergeCell ref="HN268:HO268"/>
    <mergeCell ref="HD269:HE269"/>
    <mergeCell ref="HF269:HG269"/>
    <mergeCell ref="HH272:HI272"/>
    <mergeCell ref="HH278:HI278"/>
    <mergeCell ref="HD278:HE278"/>
    <mergeCell ref="HJ275:HK275"/>
    <mergeCell ref="IL289:IM289"/>
    <mergeCell ref="HZ289:IA289"/>
    <mergeCell ref="HL285:HM285"/>
    <mergeCell ref="IL295:IM295"/>
    <mergeCell ref="IJ292:IK292"/>
    <mergeCell ref="IJ290:IK290"/>
    <mergeCell ref="IL280:IM280"/>
    <mergeCell ref="IJ293:IK293"/>
    <mergeCell ref="IJ289:IK289"/>
    <mergeCell ref="IL290:IM290"/>
    <mergeCell ref="IL292:IM292"/>
    <mergeCell ref="IF291:IG291"/>
    <mergeCell ref="IH291:II291"/>
    <mergeCell ref="HL293:HM293"/>
    <mergeCell ref="HN293:HO293"/>
    <mergeCell ref="HL284:HM284"/>
    <mergeCell ref="HN284:HO284"/>
    <mergeCell ref="ID290:IE290"/>
    <mergeCell ref="ID282:IE282"/>
    <mergeCell ref="IF282:IG282"/>
    <mergeCell ref="IL291:IM291"/>
    <mergeCell ref="IL293:IM293"/>
    <mergeCell ref="HP286:HQ286"/>
    <mergeCell ref="HR286:HS286"/>
    <mergeCell ref="HT270:HU270"/>
    <mergeCell ref="HJ270:HK270"/>
    <mergeCell ref="HL270:HM270"/>
    <mergeCell ref="HN270:HO270"/>
    <mergeCell ref="HZ271:IA271"/>
    <mergeCell ref="HR273:HS273"/>
    <mergeCell ref="HP273:HQ273"/>
    <mergeCell ref="HR279:HS279"/>
    <mergeCell ref="HJ279:HK279"/>
    <mergeCell ref="HP272:HQ272"/>
    <mergeCell ref="HT272:HU272"/>
    <mergeCell ref="HV272:HW272"/>
    <mergeCell ref="HV275:HW275"/>
    <mergeCell ref="HJ282:HK282"/>
    <mergeCell ref="HP277:HQ277"/>
    <mergeCell ref="HL273:HM273"/>
    <mergeCell ref="HN273:HO273"/>
    <mergeCell ref="HJ278:HK278"/>
    <mergeCell ref="HR280:HS280"/>
    <mergeCell ref="HJ277:HK277"/>
    <mergeCell ref="HJ272:HK272"/>
    <mergeCell ref="HL279:HM279"/>
    <mergeCell ref="HN279:HO279"/>
    <mergeCell ref="HL272:HM272"/>
    <mergeCell ref="HN272:HO272"/>
    <mergeCell ref="HR272:HS272"/>
    <mergeCell ref="HN286:HO286"/>
    <mergeCell ref="IF285:IG285"/>
    <mergeCell ref="IF286:IG286"/>
    <mergeCell ref="HL277:HM277"/>
    <mergeCell ref="HN277:HO277"/>
    <mergeCell ref="HN274:HO274"/>
    <mergeCell ref="HR278:HS278"/>
    <mergeCell ref="HX284:HY284"/>
    <mergeCell ref="HX288:HY288"/>
    <mergeCell ref="HX287:HY287"/>
    <mergeCell ref="HL289:HM289"/>
    <mergeCell ref="HP288:HQ288"/>
    <mergeCell ref="HR288:HS288"/>
    <mergeCell ref="HV286:HW286"/>
    <mergeCell ref="IJ296:IK296"/>
    <mergeCell ref="IL296:IM296"/>
    <mergeCell ref="IL283:IM283"/>
    <mergeCell ref="IF277:IG277"/>
    <mergeCell ref="HN267:HO267"/>
    <mergeCell ref="HP280:HQ280"/>
    <mergeCell ref="HJ289:HK289"/>
    <mergeCell ref="IB284:IC284"/>
    <mergeCell ref="HZ282:IA282"/>
    <mergeCell ref="IB282:IC282"/>
    <mergeCell ref="HL281:HM281"/>
    <mergeCell ref="HN281:HO281"/>
    <mergeCell ref="HT278:HU278"/>
    <mergeCell ref="HV278:HW278"/>
    <mergeCell ref="HV277:HW277"/>
    <mergeCell ref="HP279:HQ279"/>
    <mergeCell ref="HF286:HG286"/>
    <mergeCell ref="GZ279:HA279"/>
    <mergeCell ref="HN285:HO285"/>
    <mergeCell ref="HR274:HS274"/>
    <mergeCell ref="HB278:HC278"/>
    <mergeCell ref="HP276:HQ276"/>
    <mergeCell ref="HX272:HY272"/>
    <mergeCell ref="HD283:HE283"/>
    <mergeCell ref="HH287:HI287"/>
    <mergeCell ref="HX278:HY278"/>
    <mergeCell ref="HT283:HU283"/>
    <mergeCell ref="HV283:HW283"/>
    <mergeCell ref="HX283:HY283"/>
    <mergeCell ref="HJ284:HK284"/>
    <mergeCell ref="HX279:HY279"/>
    <mergeCell ref="HP282:HQ282"/>
    <mergeCell ref="HR282:HS282"/>
    <mergeCell ref="HT282:HU282"/>
    <mergeCell ref="HP278:HQ278"/>
    <mergeCell ref="HX273:HY273"/>
    <mergeCell ref="HJ283:HK283"/>
    <mergeCell ref="HL283:HM283"/>
    <mergeCell ref="HN283:HO283"/>
    <mergeCell ref="HX275:HY275"/>
    <mergeCell ref="HT276:HU276"/>
    <mergeCell ref="HL276:HM276"/>
    <mergeCell ref="HN276:HO276"/>
    <mergeCell ref="HZ286:IA286"/>
    <mergeCell ref="GZ284:HA284"/>
    <mergeCell ref="HP285:HQ285"/>
    <mergeCell ref="HV288:HW288"/>
    <mergeCell ref="HJ285:HK285"/>
    <mergeCell ref="HJ281:HK281"/>
    <mergeCell ref="HV282:HW282"/>
    <mergeCell ref="HX282:HY282"/>
    <mergeCell ref="GZ285:HA285"/>
    <mergeCell ref="HB285:HC285"/>
    <mergeCell ref="HD285:HE285"/>
    <mergeCell ref="HF285:HG285"/>
    <mergeCell ref="HV271:HW271"/>
    <mergeCell ref="HX271:HY271"/>
    <mergeCell ref="HP281:HQ281"/>
    <mergeCell ref="HR281:HS281"/>
    <mergeCell ref="HN280:HO280"/>
    <mergeCell ref="IL294:IM294"/>
    <mergeCell ref="ID281:IE281"/>
    <mergeCell ref="HX296:HY296"/>
    <mergeCell ref="HX292:HY292"/>
    <mergeCell ref="HR296:HS296"/>
    <mergeCell ref="HT296:HU296"/>
    <mergeCell ref="HV296:HW296"/>
    <mergeCell ref="HL298:HM298"/>
    <mergeCell ref="HN298:HO298"/>
    <mergeCell ref="IF292:IG292"/>
    <mergeCell ref="IH292:II292"/>
    <mergeCell ref="IF297:IG297"/>
    <mergeCell ref="HF296:HG296"/>
    <mergeCell ref="IB296:IC296"/>
    <mergeCell ref="HZ298:IA298"/>
    <mergeCell ref="IB298:IC298"/>
    <mergeCell ref="ID298:IE298"/>
    <mergeCell ref="IF298:IG298"/>
    <mergeCell ref="IH298:II298"/>
    <mergeCell ref="HR298:HS298"/>
    <mergeCell ref="HT298:HU298"/>
    <mergeCell ref="HB282:HC282"/>
    <mergeCell ref="IH297:II297"/>
    <mergeCell ref="IF290:IG290"/>
    <mergeCell ref="IH290:II290"/>
    <mergeCell ref="IH289:II289"/>
    <mergeCell ref="HJ290:HK290"/>
    <mergeCell ref="HL290:HM290"/>
    <mergeCell ref="HN290:HO290"/>
    <mergeCell ref="HP290:HQ290"/>
    <mergeCell ref="ID286:IE286"/>
    <mergeCell ref="HV292:HW292"/>
    <mergeCell ref="HZ290:IA290"/>
    <mergeCell ref="IB290:IC290"/>
    <mergeCell ref="ID289:IE289"/>
    <mergeCell ref="ID287:IE287"/>
    <mergeCell ref="HJ292:HK292"/>
    <mergeCell ref="HL292:HM292"/>
    <mergeCell ref="HN292:HO292"/>
    <mergeCell ref="HP292:HQ292"/>
    <mergeCell ref="HR292:HS292"/>
    <mergeCell ref="HZ291:IA291"/>
    <mergeCell ref="IB291:IC291"/>
    <mergeCell ref="ID291:IE291"/>
    <mergeCell ref="HT290:HU290"/>
    <mergeCell ref="HV290:HW290"/>
    <mergeCell ref="HX290:HY290"/>
    <mergeCell ref="HH291:HI291"/>
    <mergeCell ref="HJ291:HK291"/>
    <mergeCell ref="IB297:IC297"/>
    <mergeCell ref="HL282:HM282"/>
    <mergeCell ref="HN282:HO282"/>
    <mergeCell ref="HH283:HI283"/>
    <mergeCell ref="HB283:HC283"/>
    <mergeCell ref="HD282:HE282"/>
    <mergeCell ref="HZ288:IA288"/>
    <mergeCell ref="IB288:IC288"/>
    <mergeCell ref="HZ287:IA287"/>
    <mergeCell ref="IF289:IG289"/>
    <mergeCell ref="IF288:IG288"/>
    <mergeCell ref="IH288:II288"/>
    <mergeCell ref="IF296:IG296"/>
    <mergeCell ref="IH296:II296"/>
    <mergeCell ref="HJ286:HK286"/>
    <mergeCell ref="HL286:HM286"/>
    <mergeCell ref="HF290:HG290"/>
    <mergeCell ref="HH290:HI290"/>
    <mergeCell ref="HT288:HU288"/>
    <mergeCell ref="HX285:HY285"/>
    <mergeCell ref="HB284:HC284"/>
    <mergeCell ref="HD284:HE284"/>
    <mergeCell ref="HF284:HG284"/>
    <mergeCell ref="HH284:HI284"/>
    <mergeCell ref="HJ287:HK287"/>
    <mergeCell ref="HL287:HM287"/>
    <mergeCell ref="HN287:HO287"/>
    <mergeCell ref="HP287:HQ287"/>
    <mergeCell ref="HR287:HS287"/>
    <mergeCell ref="HP284:HQ284"/>
    <mergeCell ref="HR284:HS284"/>
    <mergeCell ref="HT284:HU284"/>
    <mergeCell ref="HV284:HW284"/>
    <mergeCell ref="HH285:HI285"/>
    <mergeCell ref="HT286:HU286"/>
    <mergeCell ref="HF289:HG289"/>
    <mergeCell ref="HH289:HI289"/>
    <mergeCell ref="GZ289:HA289"/>
    <mergeCell ref="HB287:HC287"/>
    <mergeCell ref="HD287:HE287"/>
    <mergeCell ref="HF288:HG288"/>
    <mergeCell ref="HH288:HI288"/>
    <mergeCell ref="HD286:HE286"/>
    <mergeCell ref="HH286:HI286"/>
    <mergeCell ref="GZ287:HA287"/>
    <mergeCell ref="GX287:GY287"/>
    <mergeCell ref="GX290:GY290"/>
    <mergeCell ref="GZ290:HA290"/>
    <mergeCell ref="HB290:HC290"/>
    <mergeCell ref="HB289:HC289"/>
    <mergeCell ref="HD289:HE289"/>
    <mergeCell ref="GZ288:HA288"/>
    <mergeCell ref="GP294:GQ294"/>
    <mergeCell ref="GR294:GS294"/>
    <mergeCell ref="IF299:IG299"/>
    <mergeCell ref="IH299:II299"/>
    <mergeCell ref="IB301:IC301"/>
    <mergeCell ref="ID288:IE288"/>
    <mergeCell ref="IJ302:IK302"/>
    <mergeCell ref="GT299:GU299"/>
    <mergeCell ref="GV299:GW299"/>
    <mergeCell ref="IL301:IM301"/>
    <mergeCell ref="IL302:IM302"/>
    <mergeCell ref="GB296:GC296"/>
    <mergeCell ref="GH300:GI300"/>
    <mergeCell ref="HH296:HI296"/>
    <mergeCell ref="HJ296:HK296"/>
    <mergeCell ref="GJ300:GK300"/>
    <mergeCell ref="GB295:GC295"/>
    <mergeCell ref="GF295:GG295"/>
    <mergeCell ref="GD294:GE294"/>
    <mergeCell ref="HR295:HS295"/>
    <mergeCell ref="HT295:HU295"/>
    <mergeCell ref="HV295:HW295"/>
    <mergeCell ref="HX295:HY295"/>
    <mergeCell ref="HZ295:IA295"/>
    <mergeCell ref="IB295:IC295"/>
    <mergeCell ref="ID295:IE295"/>
    <mergeCell ref="IF295:IG295"/>
    <mergeCell ref="IH295:II295"/>
    <mergeCell ref="IJ295:IK295"/>
    <mergeCell ref="HV294:HW294"/>
    <mergeCell ref="HX294:HY294"/>
    <mergeCell ref="HZ294:IA294"/>
    <mergeCell ref="IB294:IC294"/>
    <mergeCell ref="ID294:IE294"/>
    <mergeCell ref="IF294:IG294"/>
    <mergeCell ref="IH294:II294"/>
    <mergeCell ref="IJ294:IK294"/>
    <mergeCell ref="HL294:HM294"/>
    <mergeCell ref="HN294:HO294"/>
    <mergeCell ref="IJ298:IK298"/>
    <mergeCell ref="IJ299:IK299"/>
    <mergeCell ref="HB300:HC300"/>
    <mergeCell ref="HD300:HE300"/>
    <mergeCell ref="ID301:IE301"/>
    <mergeCell ref="ID297:IE297"/>
    <mergeCell ref="GJ296:GK296"/>
    <mergeCell ref="GL296:GM296"/>
    <mergeCell ref="GN296:GO296"/>
    <mergeCell ref="GP296:GQ296"/>
    <mergeCell ref="GR296:GS296"/>
    <mergeCell ref="GT296:GU296"/>
    <mergeCell ref="HB296:HC296"/>
    <mergeCell ref="HD299:HE299"/>
    <mergeCell ref="HF299:HG299"/>
    <mergeCell ref="HH299:HI299"/>
    <mergeCell ref="HJ299:HK299"/>
    <mergeCell ref="GN295:GO295"/>
    <mergeCell ref="GP295:GQ295"/>
    <mergeCell ref="GR295:GS295"/>
    <mergeCell ref="GT295:GU295"/>
    <mergeCell ref="GN300:GO300"/>
    <mergeCell ref="IL300:IM300"/>
    <mergeCell ref="IL299:IM299"/>
    <mergeCell ref="GF300:GG300"/>
    <mergeCell ref="HB301:HC301"/>
    <mergeCell ref="HF300:HG300"/>
    <mergeCell ref="IP317:IQ317"/>
    <mergeCell ref="HL314:HM314"/>
    <mergeCell ref="HV314:HW314"/>
    <mergeCell ref="HZ317:IA317"/>
    <mergeCell ref="IN309:IO309"/>
    <mergeCell ref="HL305:HM305"/>
    <mergeCell ref="HN305:HO305"/>
    <mergeCell ref="HP305:HQ305"/>
    <mergeCell ref="HR305:HS305"/>
    <mergeCell ref="HH310:HI310"/>
    <mergeCell ref="HJ310:HK310"/>
    <mergeCell ref="GR308:GS308"/>
    <mergeCell ref="GT308:GU308"/>
    <mergeCell ref="GV308:GW308"/>
    <mergeCell ref="GX308:GY308"/>
    <mergeCell ref="IF301:IG301"/>
    <mergeCell ref="ID307:IE307"/>
    <mergeCell ref="IF307:IG307"/>
    <mergeCell ref="GN303:GO303"/>
    <mergeCell ref="GP303:GQ303"/>
    <mergeCell ref="GR303:GS303"/>
    <mergeCell ref="GT303:GU303"/>
    <mergeCell ref="GV303:GW303"/>
    <mergeCell ref="GX303:GY303"/>
    <mergeCell ref="IF303:IG303"/>
    <mergeCell ref="IH303:II303"/>
    <mergeCell ref="GJ303:GK303"/>
    <mergeCell ref="GL303:GM303"/>
    <mergeCell ref="GX299:GY299"/>
    <mergeCell ref="GZ299:HA299"/>
    <mergeCell ref="HB299:HC299"/>
    <mergeCell ref="IJ300:IK300"/>
    <mergeCell ref="IJ301:IK301"/>
    <mergeCell ref="HR302:HS302"/>
    <mergeCell ref="GX301:GY301"/>
    <mergeCell ref="GZ301:HA301"/>
    <mergeCell ref="HZ301:IA301"/>
    <mergeCell ref="HZ300:IA300"/>
    <mergeCell ref="ID313:IE313"/>
    <mergeCell ref="IF313:IG313"/>
    <mergeCell ref="IH313:II313"/>
    <mergeCell ref="GX309:GY309"/>
    <mergeCell ref="GZ309:HA309"/>
    <mergeCell ref="GV310:GW310"/>
    <mergeCell ref="GX310:GY310"/>
    <mergeCell ref="GZ310:HA310"/>
    <mergeCell ref="GX307:GY307"/>
    <mergeCell ref="GZ307:HA307"/>
    <mergeCell ref="HB307:HC307"/>
    <mergeCell ref="HD307:HE307"/>
    <mergeCell ref="HF307:HG307"/>
    <mergeCell ref="HT310:HU310"/>
    <mergeCell ref="IF310:IG310"/>
    <mergeCell ref="IH310:II310"/>
    <mergeCell ref="IJ310:IK310"/>
    <mergeCell ref="IL310:IM310"/>
    <mergeCell ref="IL308:IM308"/>
    <mergeCell ref="HN310:HO310"/>
    <mergeCell ref="HR311:HS311"/>
    <mergeCell ref="HT311:HU311"/>
    <mergeCell ref="IL311:IM311"/>
    <mergeCell ref="ID310:IE310"/>
    <mergeCell ref="IR313:IS313"/>
    <mergeCell ref="IP305:IQ305"/>
    <mergeCell ref="IN305:IO305"/>
    <mergeCell ref="HR289:HS289"/>
    <mergeCell ref="HT289:HU289"/>
    <mergeCell ref="HV289:HW289"/>
    <mergeCell ref="HX289:HY289"/>
    <mergeCell ref="GD296:GE296"/>
    <mergeCell ref="HH300:HI300"/>
    <mergeCell ref="HJ300:HK300"/>
    <mergeCell ref="HD296:HE296"/>
    <mergeCell ref="HZ299:IA299"/>
    <mergeCell ref="HL300:HM300"/>
    <mergeCell ref="GD295:GE295"/>
    <mergeCell ref="GL300:GM300"/>
    <mergeCell ref="HX299:HY299"/>
    <mergeCell ref="GV294:GW294"/>
    <mergeCell ref="GX294:GY294"/>
    <mergeCell ref="GJ295:GK295"/>
    <mergeCell ref="HF295:HG295"/>
    <mergeCell ref="HH295:HI295"/>
    <mergeCell ref="GL295:GM295"/>
    <mergeCell ref="GV295:GW295"/>
    <mergeCell ref="GX295:GY295"/>
    <mergeCell ref="GZ296:HA296"/>
    <mergeCell ref="GN294:GO294"/>
    <mergeCell ref="GJ294:GK294"/>
    <mergeCell ref="GL294:GM294"/>
    <mergeCell ref="GZ294:HA294"/>
    <mergeCell ref="HL295:HM295"/>
    <mergeCell ref="HN295:HO295"/>
    <mergeCell ref="GX306:GY306"/>
    <mergeCell ref="GZ306:HA306"/>
    <mergeCell ref="HB306:HC306"/>
    <mergeCell ref="HD306:HE306"/>
    <mergeCell ref="HF306:HG306"/>
    <mergeCell ref="HH306:HI306"/>
    <mergeCell ref="HJ306:HK306"/>
    <mergeCell ref="HL306:HM306"/>
    <mergeCell ref="HN306:HO306"/>
    <mergeCell ref="GF294:GG294"/>
    <mergeCell ref="GZ295:HA295"/>
    <mergeCell ref="HB295:HC295"/>
    <mergeCell ref="HD295:HE295"/>
    <mergeCell ref="HJ295:HK295"/>
    <mergeCell ref="GR300:GS300"/>
    <mergeCell ref="GT300:GU300"/>
    <mergeCell ref="GV300:GW300"/>
    <mergeCell ref="IH305:II305"/>
    <mergeCell ref="IF302:IG302"/>
    <mergeCell ref="IP313:IQ313"/>
    <mergeCell ref="IP311:IQ311"/>
    <mergeCell ref="IN312:IO312"/>
    <mergeCell ref="IP312:IQ312"/>
    <mergeCell ref="HJ309:HK309"/>
    <mergeCell ref="GD305:GE305"/>
    <mergeCell ref="GF305:GG305"/>
    <mergeCell ref="GH305:GI305"/>
    <mergeCell ref="HR306:HS306"/>
    <mergeCell ref="HT306:HU306"/>
    <mergeCell ref="HV306:HW306"/>
    <mergeCell ref="HX306:HY306"/>
    <mergeCell ref="HZ306:IA306"/>
    <mergeCell ref="IL313:IM313"/>
    <mergeCell ref="IR314:IS314"/>
    <mergeCell ref="HX311:HY311"/>
    <mergeCell ref="IP303:IQ303"/>
    <mergeCell ref="IN304:IO304"/>
    <mergeCell ref="IN306:IO306"/>
    <mergeCell ref="IH317:II317"/>
    <mergeCell ref="IJ317:IK317"/>
    <mergeCell ref="IL319:IM319"/>
    <mergeCell ref="IL316:IM316"/>
    <mergeCell ref="IN315:IO315"/>
    <mergeCell ref="IR317:IS317"/>
    <mergeCell ref="IJ316:IK316"/>
    <mergeCell ref="IP315:IQ315"/>
    <mergeCell ref="IR315:IS315"/>
    <mergeCell ref="HZ318:IA318"/>
    <mergeCell ref="IR311:IS311"/>
    <mergeCell ref="IN311:IO311"/>
    <mergeCell ref="IN310:IO310"/>
    <mergeCell ref="IP314:IQ314"/>
    <mergeCell ref="GP309:GQ309"/>
    <mergeCell ref="GR309:GS309"/>
    <mergeCell ref="GT309:GU309"/>
    <mergeCell ref="GV309:GW309"/>
    <mergeCell ref="ID309:IE309"/>
    <mergeCell ref="HN303:HO303"/>
    <mergeCell ref="HP303:HQ303"/>
    <mergeCell ref="HR303:HS303"/>
    <mergeCell ref="HT303:HU303"/>
    <mergeCell ref="HV303:HW303"/>
    <mergeCell ref="IP308:IQ308"/>
    <mergeCell ref="IR308:IS308"/>
    <mergeCell ref="HX305:HY305"/>
    <mergeCell ref="HL301:HM301"/>
    <mergeCell ref="GX318:GY318"/>
    <mergeCell ref="GV319:GW319"/>
    <mergeCell ref="GX319:GY319"/>
    <mergeCell ref="HD316:HE316"/>
    <mergeCell ref="HF316:HG316"/>
    <mergeCell ref="HH316:HI316"/>
    <mergeCell ref="HJ316:HK316"/>
    <mergeCell ref="HL316:HM316"/>
    <mergeCell ref="GT311:GU311"/>
    <mergeCell ref="GV311:GW311"/>
    <mergeCell ref="HZ316:IA316"/>
    <mergeCell ref="GV304:GW304"/>
    <mergeCell ref="GX304:GY304"/>
    <mergeCell ref="GZ304:HA304"/>
    <mergeCell ref="HB304:HC304"/>
    <mergeCell ref="HD304:HE304"/>
    <mergeCell ref="HF304:HG304"/>
    <mergeCell ref="HH304:HI304"/>
    <mergeCell ref="HJ304:HK304"/>
    <mergeCell ref="HL304:HM304"/>
    <mergeCell ref="HN304:HO304"/>
    <mergeCell ref="HP304:HQ304"/>
    <mergeCell ref="GZ302:HA302"/>
    <mergeCell ref="HJ302:HK302"/>
    <mergeCell ref="HL310:HM310"/>
    <mergeCell ref="IH311:II311"/>
    <mergeCell ref="GV306:GW306"/>
    <mergeCell ref="IH301:II301"/>
    <mergeCell ref="IP316:IQ316"/>
    <mergeCell ref="IR316:IS316"/>
    <mergeCell ref="IN317:IO317"/>
    <mergeCell ref="FZ324:GA324"/>
    <mergeCell ref="GB324:GC324"/>
    <mergeCell ref="GD324:GE324"/>
    <mergeCell ref="IN324:IO324"/>
    <mergeCell ref="IP324:IQ324"/>
    <mergeCell ref="IR324:IS324"/>
    <mergeCell ref="HZ324:IA324"/>
    <mergeCell ref="IB324:IC324"/>
    <mergeCell ref="IH324:II324"/>
    <mergeCell ref="IJ324:IK324"/>
    <mergeCell ref="IL324:IM324"/>
    <mergeCell ref="ID324:IE324"/>
    <mergeCell ref="IF324:IG324"/>
    <mergeCell ref="ID322:IE322"/>
    <mergeCell ref="IN323:IO323"/>
    <mergeCell ref="IP323:IQ323"/>
    <mergeCell ref="IR323:IS323"/>
    <mergeCell ref="ID323:IE323"/>
    <mergeCell ref="IF323:IG323"/>
    <mergeCell ref="IF317:IG317"/>
    <mergeCell ref="ID319:IE319"/>
    <mergeCell ref="IB321:IC321"/>
    <mergeCell ref="ID321:IE321"/>
    <mergeCell ref="IF321:IG321"/>
    <mergeCell ref="IH321:II321"/>
    <mergeCell ref="IB316:IC316"/>
    <mergeCell ref="IH315:II315"/>
    <mergeCell ref="IB314:IC314"/>
    <mergeCell ref="ID314:IE314"/>
    <mergeCell ref="ID316:IE316"/>
    <mergeCell ref="IF316:IG316"/>
    <mergeCell ref="IH316:II316"/>
    <mergeCell ref="IF314:IG314"/>
    <mergeCell ref="IH314:II314"/>
    <mergeCell ref="IF315:IG315"/>
    <mergeCell ref="IB322:IC322"/>
    <mergeCell ref="IB320:IC320"/>
    <mergeCell ref="IB315:IC315"/>
    <mergeCell ref="ID315:IE315"/>
    <mergeCell ref="IN314:IO314"/>
    <mergeCell ref="IJ315:IK315"/>
    <mergeCell ref="GX320:GY320"/>
    <mergeCell ref="GL319:GM319"/>
    <mergeCell ref="GD322:GE322"/>
    <mergeCell ref="GD320:GE320"/>
    <mergeCell ref="GD321:GE321"/>
    <mergeCell ref="HL320:HM320"/>
    <mergeCell ref="HN320:HO320"/>
    <mergeCell ref="HP320:HQ320"/>
    <mergeCell ref="GZ320:HA320"/>
    <mergeCell ref="HB320:HC320"/>
    <mergeCell ref="GV323:GW323"/>
    <mergeCell ref="GX323:GY323"/>
    <mergeCell ref="GZ323:HA323"/>
    <mergeCell ref="HD322:HE322"/>
    <mergeCell ref="HF322:HG322"/>
    <mergeCell ref="GD323:GE323"/>
    <mergeCell ref="GF323:GG323"/>
    <mergeCell ref="HR323:HS323"/>
    <mergeCell ref="HT323:HU323"/>
    <mergeCell ref="GR323:GS323"/>
    <mergeCell ref="GT323:GU323"/>
    <mergeCell ref="HJ315:HK315"/>
    <mergeCell ref="HX323:HY323"/>
    <mergeCell ref="IF319:IG319"/>
    <mergeCell ref="IB319:IC319"/>
    <mergeCell ref="IB317:IC317"/>
    <mergeCell ref="ID317:IE317"/>
    <mergeCell ref="IB304:IC304"/>
    <mergeCell ref="IH302:II302"/>
    <mergeCell ref="IP310:IQ310"/>
    <mergeCell ref="IR310:IS310"/>
    <mergeCell ref="HP310:HQ310"/>
    <mergeCell ref="HZ312:IA312"/>
    <mergeCell ref="IB312:IC312"/>
    <mergeCell ref="ID312:IE312"/>
    <mergeCell ref="IF312:IG312"/>
    <mergeCell ref="IH312:II312"/>
    <mergeCell ref="IJ312:IK312"/>
    <mergeCell ref="HR310:HS310"/>
    <mergeCell ref="ID311:IE311"/>
    <mergeCell ref="HH319:HI319"/>
    <mergeCell ref="HZ310:IA310"/>
    <mergeCell ref="IB310:IC310"/>
    <mergeCell ref="FZ322:GA322"/>
    <mergeCell ref="FZ315:GA315"/>
    <mergeCell ref="FZ321:GA321"/>
    <mergeCell ref="FZ317:GA317"/>
    <mergeCell ref="HD323:HE323"/>
    <mergeCell ref="HV323:HW323"/>
    <mergeCell ref="FZ319:GA319"/>
    <mergeCell ref="HF323:HG323"/>
    <mergeCell ref="HH323:HI323"/>
    <mergeCell ref="HJ323:HK323"/>
    <mergeCell ref="HL323:HM323"/>
    <mergeCell ref="HN323:HO323"/>
    <mergeCell ref="HP323:HQ323"/>
    <mergeCell ref="GN323:GO323"/>
    <mergeCell ref="GP323:GQ323"/>
    <mergeCell ref="FZ323:GA323"/>
    <mergeCell ref="GB323:GC323"/>
    <mergeCell ref="HB323:HC323"/>
    <mergeCell ref="IB323:IC323"/>
    <mergeCell ref="HZ323:IA323"/>
    <mergeCell ref="HR322:HS322"/>
    <mergeCell ref="HT322:HU322"/>
    <mergeCell ref="HV322:HW322"/>
    <mergeCell ref="HX322:HY322"/>
    <mergeCell ref="GV321:GW321"/>
    <mergeCell ref="GX321:GY321"/>
    <mergeCell ref="GZ321:HA321"/>
    <mergeCell ref="HB321:HC321"/>
    <mergeCell ref="GH323:GI323"/>
    <mergeCell ref="HN321:HO321"/>
    <mergeCell ref="HP321:HQ321"/>
    <mergeCell ref="HR321:HS321"/>
    <mergeCell ref="IB318:IC318"/>
    <mergeCell ref="HT316:HU316"/>
    <mergeCell ref="GT318:GU318"/>
    <mergeCell ref="GT315:GU315"/>
    <mergeCell ref="GV315:GW315"/>
    <mergeCell ref="GX315:GY315"/>
    <mergeCell ref="HR318:HS318"/>
    <mergeCell ref="HP316:HQ316"/>
    <mergeCell ref="HR316:HS316"/>
    <mergeCell ref="GV320:GW320"/>
    <mergeCell ref="IJ321:IK321"/>
    <mergeCell ref="IJ322:IK322"/>
    <mergeCell ref="IN318:IO318"/>
    <mergeCell ref="IL318:IM318"/>
    <mergeCell ref="IP318:IQ318"/>
    <mergeCell ref="IR318:IS318"/>
    <mergeCell ref="IN319:IO319"/>
    <mergeCell ref="IP319:IQ319"/>
    <mergeCell ref="IR319:IS319"/>
    <mergeCell ref="IF318:IG318"/>
    <mergeCell ref="IH318:II318"/>
    <mergeCell ref="ID318:IE318"/>
    <mergeCell ref="IJ320:IK320"/>
    <mergeCell ref="IN322:IO322"/>
    <mergeCell ref="IH323:II323"/>
    <mergeCell ref="IJ323:IK323"/>
    <mergeCell ref="IH322:II322"/>
    <mergeCell ref="IH319:II319"/>
    <mergeCell ref="IJ319:IK319"/>
    <mergeCell ref="IJ318:IK318"/>
    <mergeCell ref="GF324:GG324"/>
    <mergeCell ref="GH324:GI324"/>
    <mergeCell ref="GJ324:GK324"/>
    <mergeCell ref="GL324:GM324"/>
    <mergeCell ref="GN324:GO324"/>
    <mergeCell ref="GP324:GQ324"/>
    <mergeCell ref="GR324:GS324"/>
    <mergeCell ref="GT324:GU324"/>
    <mergeCell ref="ID320:IE320"/>
    <mergeCell ref="IF322:IG322"/>
    <mergeCell ref="IN320:IO320"/>
    <mergeCell ref="IP320:IQ320"/>
    <mergeCell ref="IR320:IS320"/>
    <mergeCell ref="IN321:IO321"/>
    <mergeCell ref="IP321:IQ321"/>
    <mergeCell ref="IF320:IG320"/>
    <mergeCell ref="IH320:II320"/>
    <mergeCell ref="IL323:IM323"/>
    <mergeCell ref="GV324:GW324"/>
    <mergeCell ref="GX324:GY324"/>
    <mergeCell ref="GZ324:HA324"/>
    <mergeCell ref="HB324:HC324"/>
    <mergeCell ref="HD324:HE324"/>
    <mergeCell ref="HF324:HG324"/>
    <mergeCell ref="HH324:HI324"/>
    <mergeCell ref="HJ324:HK324"/>
    <mergeCell ref="HL324:HM324"/>
    <mergeCell ref="HN324:HO324"/>
    <mergeCell ref="HP324:HQ324"/>
    <mergeCell ref="HR324:HS324"/>
    <mergeCell ref="HT324:HU324"/>
    <mergeCell ref="IL321:IM321"/>
    <mergeCell ref="IL322:IM322"/>
    <mergeCell ref="IL320:IM320"/>
    <mergeCell ref="HV324:HW324"/>
    <mergeCell ref="HJ322:HK322"/>
    <mergeCell ref="HL322:HM322"/>
    <mergeCell ref="HN322:HO322"/>
    <mergeCell ref="IP322:IQ322"/>
    <mergeCell ref="IR322:IS322"/>
    <mergeCell ref="HH322:HI322"/>
    <mergeCell ref="GJ323:GK323"/>
    <mergeCell ref="GL323:GM323"/>
    <mergeCell ref="HD320:HE320"/>
    <mergeCell ref="HB318:HC318"/>
    <mergeCell ref="GJ321:GK321"/>
    <mergeCell ref="GL321:GM321"/>
    <mergeCell ref="GN321:GO321"/>
    <mergeCell ref="GP321:GQ321"/>
    <mergeCell ref="GR321:GS321"/>
    <mergeCell ref="GT321:GU321"/>
    <mergeCell ref="GL313:GM313"/>
    <mergeCell ref="GN313:GO313"/>
    <mergeCell ref="GP313:GQ313"/>
    <mergeCell ref="GJ316:GK316"/>
    <mergeCell ref="HD319:HE319"/>
    <mergeCell ref="GV318:GW318"/>
    <mergeCell ref="GL317:GM317"/>
    <mergeCell ref="GP320:GQ320"/>
    <mergeCell ref="HP317:HQ317"/>
    <mergeCell ref="HD318:HE318"/>
    <mergeCell ref="HF318:HG318"/>
    <mergeCell ref="GZ319:HA319"/>
    <mergeCell ref="HB319:HC319"/>
    <mergeCell ref="GL314:GM314"/>
    <mergeCell ref="GR313:GS313"/>
    <mergeCell ref="GT313:GU313"/>
    <mergeCell ref="GV313:GW313"/>
    <mergeCell ref="GX313:GY313"/>
    <mergeCell ref="GZ313:HA313"/>
    <mergeCell ref="HB313:HC313"/>
    <mergeCell ref="HV321:HW321"/>
    <mergeCell ref="HB312:HC312"/>
    <mergeCell ref="HF319:HG319"/>
    <mergeCell ref="GP315:GQ315"/>
    <mergeCell ref="GR317:GS317"/>
    <mergeCell ref="GT317:GU317"/>
    <mergeCell ref="HD321:HE321"/>
    <mergeCell ref="HF321:HG321"/>
    <mergeCell ref="HR320:HS320"/>
    <mergeCell ref="HN316:HO316"/>
    <mergeCell ref="GN314:GO314"/>
    <mergeCell ref="GP314:GQ314"/>
    <mergeCell ref="HN318:HO318"/>
    <mergeCell ref="HL315:HM315"/>
    <mergeCell ref="HN315:HO315"/>
    <mergeCell ref="HV317:HW317"/>
    <mergeCell ref="HV316:HW316"/>
    <mergeCell ref="HV318:HW318"/>
    <mergeCell ref="HR314:HS314"/>
    <mergeCell ref="HT314:HU314"/>
    <mergeCell ref="HD312:HE312"/>
    <mergeCell ref="HF312:HG312"/>
    <mergeCell ref="HH312:HI312"/>
    <mergeCell ref="HX324:HY324"/>
    <mergeCell ref="IR321:IS321"/>
    <mergeCell ref="IL315:IM315"/>
    <mergeCell ref="IL317:IM317"/>
    <mergeCell ref="IL314:IM314"/>
    <mergeCell ref="GF321:GG321"/>
    <mergeCell ref="GH321:GI321"/>
    <mergeCell ref="GF317:GG317"/>
    <mergeCell ref="GH319:GI319"/>
    <mergeCell ref="GJ322:GK322"/>
    <mergeCell ref="GL322:GM322"/>
    <mergeCell ref="GN322:GO322"/>
    <mergeCell ref="GP322:GQ322"/>
    <mergeCell ref="GR322:GS322"/>
    <mergeCell ref="HD313:HE313"/>
    <mergeCell ref="HF313:HG313"/>
    <mergeCell ref="HH313:HI313"/>
    <mergeCell ref="HJ313:HK313"/>
    <mergeCell ref="GF318:GG318"/>
    <mergeCell ref="GF322:GG322"/>
    <mergeCell ref="GF320:GG320"/>
    <mergeCell ref="GT320:GU320"/>
    <mergeCell ref="HT317:HU317"/>
    <mergeCell ref="HB316:HC316"/>
    <mergeCell ref="HZ321:IA321"/>
    <mergeCell ref="HB311:HC311"/>
    <mergeCell ref="HD311:HE311"/>
    <mergeCell ref="HF311:HG311"/>
    <mergeCell ref="HV319:HW319"/>
    <mergeCell ref="GR314:GS314"/>
    <mergeCell ref="GX316:GY316"/>
    <mergeCell ref="GZ316:HA316"/>
    <mergeCell ref="GV314:GW314"/>
    <mergeCell ref="GX314:GY314"/>
    <mergeCell ref="GZ314:HA314"/>
    <mergeCell ref="HB314:HC314"/>
    <mergeCell ref="HD314:HE314"/>
    <mergeCell ref="HF314:HG314"/>
    <mergeCell ref="HH314:HI314"/>
    <mergeCell ref="GX311:GY311"/>
    <mergeCell ref="HJ314:HK314"/>
    <mergeCell ref="GZ311:HA311"/>
    <mergeCell ref="GL316:GM316"/>
    <mergeCell ref="HX320:HY320"/>
    <mergeCell ref="HV320:HW320"/>
    <mergeCell ref="HF320:HG320"/>
    <mergeCell ref="HH320:HI320"/>
    <mergeCell ref="HJ320:HK320"/>
    <mergeCell ref="HD315:HE315"/>
    <mergeCell ref="HF315:HG315"/>
    <mergeCell ref="HH315:HI315"/>
    <mergeCell ref="HN319:HO319"/>
    <mergeCell ref="HL321:HM321"/>
    <mergeCell ref="GP318:GQ318"/>
    <mergeCell ref="GR318:GS318"/>
    <mergeCell ref="GZ315:HA315"/>
    <mergeCell ref="HP319:HQ319"/>
    <mergeCell ref="HR319:HS319"/>
    <mergeCell ref="HT319:HU319"/>
    <mergeCell ref="HP315:HQ315"/>
    <mergeCell ref="HR315:HS315"/>
    <mergeCell ref="HT315:HU315"/>
    <mergeCell ref="HL318:HM318"/>
    <mergeCell ref="HT320:HU320"/>
    <mergeCell ref="FZ320:GA320"/>
    <mergeCell ref="GT316:GU316"/>
    <mergeCell ref="GV316:GW316"/>
    <mergeCell ref="GV322:GW322"/>
    <mergeCell ref="GX322:GY322"/>
    <mergeCell ref="GZ322:HA322"/>
    <mergeCell ref="HB322:HC322"/>
    <mergeCell ref="GV317:GW317"/>
    <mergeCell ref="GX317:GY317"/>
    <mergeCell ref="GZ317:HA317"/>
    <mergeCell ref="HL317:HM317"/>
    <mergeCell ref="HN317:HO317"/>
    <mergeCell ref="HZ322:IA322"/>
    <mergeCell ref="GH316:GI316"/>
    <mergeCell ref="HX321:HY321"/>
    <mergeCell ref="GN315:GO315"/>
    <mergeCell ref="GH317:GI317"/>
    <mergeCell ref="GJ317:GK317"/>
    <mergeCell ref="GH318:GI318"/>
    <mergeCell ref="GJ318:GK318"/>
    <mergeCell ref="GL318:GM318"/>
    <mergeCell ref="GB302:GC302"/>
    <mergeCell ref="GD302:GE302"/>
    <mergeCell ref="GF302:GG302"/>
    <mergeCell ref="GH302:GI302"/>
    <mergeCell ref="GJ302:GK302"/>
    <mergeCell ref="GL302:GM302"/>
    <mergeCell ref="GN302:GO302"/>
    <mergeCell ref="GP302:GQ302"/>
    <mergeCell ref="GR302:GS302"/>
    <mergeCell ref="GT302:GU302"/>
    <mergeCell ref="GV302:GW302"/>
    <mergeCell ref="GX302:GY302"/>
    <mergeCell ref="HH321:HI321"/>
    <mergeCell ref="HJ321:HK321"/>
    <mergeCell ref="GD311:GE311"/>
    <mergeCell ref="GD316:GE316"/>
    <mergeCell ref="GF316:GG316"/>
    <mergeCell ref="HP309:HQ309"/>
    <mergeCell ref="GB318:GC318"/>
    <mergeCell ref="GD318:GE318"/>
    <mergeCell ref="HV315:HW315"/>
    <mergeCell ref="HR317:HS317"/>
    <mergeCell ref="HZ319:IA319"/>
    <mergeCell ref="HT318:HU318"/>
    <mergeCell ref="HZ320:IA320"/>
    <mergeCell ref="HT321:HU321"/>
    <mergeCell ref="HZ314:IA314"/>
    <mergeCell ref="GR320:GS320"/>
    <mergeCell ref="HB315:HC315"/>
    <mergeCell ref="HP322:HQ322"/>
    <mergeCell ref="HB317:HC317"/>
    <mergeCell ref="HD317:HE317"/>
    <mergeCell ref="HX315:HY315"/>
    <mergeCell ref="HZ315:IA315"/>
    <mergeCell ref="HF317:HG317"/>
    <mergeCell ref="HH317:HI317"/>
    <mergeCell ref="HJ317:HK317"/>
    <mergeCell ref="HL313:HM313"/>
    <mergeCell ref="HN313:HO313"/>
    <mergeCell ref="HP313:HQ313"/>
    <mergeCell ref="GB311:GC311"/>
    <mergeCell ref="GL310:GM310"/>
    <mergeCell ref="GN310:GO310"/>
    <mergeCell ref="GB320:GC320"/>
    <mergeCell ref="GT322:GU322"/>
    <mergeCell ref="GB315:GC315"/>
    <mergeCell ref="GH322:GI322"/>
    <mergeCell ref="GH320:GI320"/>
    <mergeCell ref="GJ320:GK320"/>
    <mergeCell ref="GL320:GM320"/>
    <mergeCell ref="GN320:GO320"/>
    <mergeCell ref="GB322:GC322"/>
    <mergeCell ref="GB321:GC321"/>
    <mergeCell ref="GD315:GE315"/>
    <mergeCell ref="GF315:GG315"/>
    <mergeCell ref="GH315:GI315"/>
    <mergeCell ref="GR315:GS315"/>
    <mergeCell ref="GB317:GC317"/>
    <mergeCell ref="GD317:GE317"/>
    <mergeCell ref="GZ318:HA318"/>
    <mergeCell ref="GN316:GO316"/>
    <mergeCell ref="GP316:GQ316"/>
    <mergeCell ref="GR316:GS316"/>
    <mergeCell ref="HH318:HI318"/>
    <mergeCell ref="HJ318:HK318"/>
    <mergeCell ref="HP318:HQ318"/>
    <mergeCell ref="GR311:GS311"/>
    <mergeCell ref="IJ311:IK311"/>
    <mergeCell ref="FZ314:GA314"/>
    <mergeCell ref="GB314:GC314"/>
    <mergeCell ref="GD314:GE314"/>
    <mergeCell ref="GF314:GG314"/>
    <mergeCell ref="GH314:GI314"/>
    <mergeCell ref="GJ314:GK314"/>
    <mergeCell ref="GR310:GS310"/>
    <mergeCell ref="GT310:GU310"/>
    <mergeCell ref="HB310:HC310"/>
    <mergeCell ref="GV312:GW312"/>
    <mergeCell ref="GX312:GY312"/>
    <mergeCell ref="GZ312:HA312"/>
    <mergeCell ref="GF311:GG311"/>
    <mergeCell ref="HJ319:HK319"/>
    <mergeCell ref="HL319:HM319"/>
    <mergeCell ref="GP312:GQ312"/>
    <mergeCell ref="HH311:HI311"/>
    <mergeCell ref="HJ311:HK311"/>
    <mergeCell ref="HL311:HM311"/>
    <mergeCell ref="HN311:HO311"/>
    <mergeCell ref="HP311:HQ311"/>
    <mergeCell ref="GN319:GO319"/>
    <mergeCell ref="GP319:GQ319"/>
    <mergeCell ref="GR319:GS319"/>
    <mergeCell ref="GT319:GU319"/>
    <mergeCell ref="GT314:GU314"/>
    <mergeCell ref="HJ312:HK312"/>
    <mergeCell ref="HL312:HM312"/>
    <mergeCell ref="HN312:HO312"/>
    <mergeCell ref="HP312:HQ312"/>
    <mergeCell ref="GJ319:GK319"/>
    <mergeCell ref="FZ313:GA313"/>
    <mergeCell ref="GB313:GC313"/>
    <mergeCell ref="GD313:GE313"/>
    <mergeCell ref="GF313:GG313"/>
    <mergeCell ref="GH313:GI313"/>
    <mergeCell ref="GJ313:GK313"/>
    <mergeCell ref="HN314:HO314"/>
    <mergeCell ref="HP314:HQ314"/>
    <mergeCell ref="IB311:IC311"/>
    <mergeCell ref="HV311:HW311"/>
    <mergeCell ref="IF309:IG309"/>
    <mergeCell ref="IH309:II309"/>
    <mergeCell ref="IJ309:IK309"/>
    <mergeCell ref="IL309:IM309"/>
    <mergeCell ref="HB309:HC309"/>
    <mergeCell ref="HD309:HE309"/>
    <mergeCell ref="HF309:HG309"/>
    <mergeCell ref="HH309:HI309"/>
    <mergeCell ref="IJ304:IK304"/>
    <mergeCell ref="IL304:IM304"/>
    <mergeCell ref="ID306:IE306"/>
    <mergeCell ref="IF306:IG306"/>
    <mergeCell ref="IH306:II306"/>
    <mergeCell ref="HL308:HM308"/>
    <mergeCell ref="HN308:HO308"/>
    <mergeCell ref="HP308:HQ308"/>
    <mergeCell ref="HR308:HS308"/>
    <mergeCell ref="HT308:HU308"/>
    <mergeCell ref="HV308:HW308"/>
    <mergeCell ref="HX308:HY308"/>
    <mergeCell ref="HZ308:IA308"/>
    <mergeCell ref="IB308:IC308"/>
    <mergeCell ref="ID308:IE308"/>
    <mergeCell ref="IF308:IG308"/>
    <mergeCell ref="IH308:II308"/>
    <mergeCell ref="IJ308:IK308"/>
    <mergeCell ref="IJ305:IK305"/>
    <mergeCell ref="IL305:IM305"/>
    <mergeCell ref="ID305:IE305"/>
    <mergeCell ref="IF305:IG305"/>
    <mergeCell ref="IL307:IM307"/>
    <mergeCell ref="IL306:IM306"/>
    <mergeCell ref="IH307:II307"/>
    <mergeCell ref="IJ307:IK307"/>
    <mergeCell ref="IJ306:IK306"/>
    <mergeCell ref="IN313:IO313"/>
    <mergeCell ref="FZ318:GA318"/>
    <mergeCell ref="HX314:HY314"/>
    <mergeCell ref="HX319:HY319"/>
    <mergeCell ref="IN316:IO316"/>
    <mergeCell ref="HH305:HI305"/>
    <mergeCell ref="HJ305:HK305"/>
    <mergeCell ref="HX317:HY317"/>
    <mergeCell ref="HX316:HY316"/>
    <mergeCell ref="HX318:HY318"/>
    <mergeCell ref="IJ314:IK314"/>
    <mergeCell ref="HT305:HU305"/>
    <mergeCell ref="HV305:HW305"/>
    <mergeCell ref="HB305:HC305"/>
    <mergeCell ref="GN308:GO308"/>
    <mergeCell ref="GP308:GQ308"/>
    <mergeCell ref="FZ310:GA310"/>
    <mergeCell ref="GB310:GC310"/>
    <mergeCell ref="GD310:GE310"/>
    <mergeCell ref="GF310:GG310"/>
    <mergeCell ref="IF311:IG311"/>
    <mergeCell ref="FZ311:GA311"/>
    <mergeCell ref="GF308:GG308"/>
    <mergeCell ref="GH308:GI308"/>
    <mergeCell ref="GJ308:GK308"/>
    <mergeCell ref="GL308:GM308"/>
    <mergeCell ref="HF310:HG310"/>
    <mergeCell ref="GZ308:HA308"/>
    <mergeCell ref="HB308:HC308"/>
    <mergeCell ref="HD308:HE308"/>
    <mergeCell ref="HF308:HG308"/>
    <mergeCell ref="HH308:HI308"/>
    <mergeCell ref="HJ308:HK308"/>
    <mergeCell ref="GF309:GG309"/>
    <mergeCell ref="FZ312:GA312"/>
    <mergeCell ref="GB312:GC312"/>
    <mergeCell ref="GD312:GE312"/>
    <mergeCell ref="GR312:GS312"/>
    <mergeCell ref="GT312:GU312"/>
    <mergeCell ref="IL312:IM312"/>
    <mergeCell ref="IJ313:IK313"/>
    <mergeCell ref="HR313:HS313"/>
    <mergeCell ref="HT313:HU313"/>
    <mergeCell ref="HV313:HW313"/>
    <mergeCell ref="HX313:HY313"/>
    <mergeCell ref="HZ313:IA313"/>
    <mergeCell ref="GF306:GG306"/>
    <mergeCell ref="GH306:GI306"/>
    <mergeCell ref="GJ306:GK306"/>
    <mergeCell ref="HZ311:IA311"/>
    <mergeCell ref="GH311:GI311"/>
    <mergeCell ref="GJ311:GK311"/>
    <mergeCell ref="GL311:GM311"/>
    <mergeCell ref="GN311:GO311"/>
    <mergeCell ref="HZ309:IA309"/>
    <mergeCell ref="IB309:IC309"/>
    <mergeCell ref="GN306:GO306"/>
    <mergeCell ref="GP306:GQ306"/>
    <mergeCell ref="GR306:GS306"/>
    <mergeCell ref="GT306:GU306"/>
    <mergeCell ref="HD305:HE305"/>
    <mergeCell ref="HF305:HG305"/>
    <mergeCell ref="GJ310:GK310"/>
    <mergeCell ref="GF312:GG312"/>
    <mergeCell ref="FZ308:GA308"/>
    <mergeCell ref="GB308:GC308"/>
    <mergeCell ref="FZ316:GA316"/>
    <mergeCell ref="GJ315:GK315"/>
    <mergeCell ref="GL315:GM315"/>
    <mergeCell ref="GN318:GO318"/>
    <mergeCell ref="GB316:GC316"/>
    <mergeCell ref="GB319:GC319"/>
    <mergeCell ref="GD319:GE319"/>
    <mergeCell ref="GF319:GG319"/>
    <mergeCell ref="GN317:GO317"/>
    <mergeCell ref="GP317:GQ317"/>
    <mergeCell ref="GP310:GQ310"/>
    <mergeCell ref="GP311:GQ311"/>
    <mergeCell ref="IB313:IC313"/>
    <mergeCell ref="GH309:GI309"/>
    <mergeCell ref="GJ309:GK309"/>
    <mergeCell ref="GL309:GM309"/>
    <mergeCell ref="GH312:GI312"/>
    <mergeCell ref="GJ312:GK312"/>
    <mergeCell ref="GL312:GM312"/>
    <mergeCell ref="GN312:GO312"/>
    <mergeCell ref="HR312:HS312"/>
    <mergeCell ref="HT312:HU312"/>
    <mergeCell ref="HV312:HW312"/>
    <mergeCell ref="HX312:HY312"/>
    <mergeCell ref="GJ304:GK304"/>
    <mergeCell ref="GL304:GM304"/>
    <mergeCell ref="GN304:GO304"/>
    <mergeCell ref="GP304:GQ304"/>
    <mergeCell ref="GR304:GS304"/>
    <mergeCell ref="GT304:GU304"/>
    <mergeCell ref="HZ305:IA305"/>
    <mergeCell ref="IB305:IC305"/>
    <mergeCell ref="GJ305:GK305"/>
    <mergeCell ref="GL305:GM305"/>
    <mergeCell ref="GN305:GO305"/>
    <mergeCell ref="HR309:HS309"/>
    <mergeCell ref="GD304:GE304"/>
    <mergeCell ref="GF304:GG304"/>
    <mergeCell ref="FZ309:GA309"/>
    <mergeCell ref="GB309:GC309"/>
    <mergeCell ref="GD309:GE309"/>
    <mergeCell ref="HL309:HM309"/>
    <mergeCell ref="HN309:HO309"/>
    <mergeCell ref="HT309:HU309"/>
    <mergeCell ref="HV309:HW309"/>
    <mergeCell ref="HX309:HY309"/>
    <mergeCell ref="GN309:GO309"/>
    <mergeCell ref="HX307:HY307"/>
    <mergeCell ref="HZ307:IA307"/>
    <mergeCell ref="IB307:IC307"/>
    <mergeCell ref="GP305:GQ305"/>
    <mergeCell ref="GR305:GS305"/>
    <mergeCell ref="GT305:GU305"/>
    <mergeCell ref="GV305:GW305"/>
    <mergeCell ref="GX305:GY305"/>
    <mergeCell ref="GZ305:HA305"/>
    <mergeCell ref="HP306:HQ306"/>
    <mergeCell ref="GD308:GE308"/>
    <mergeCell ref="GH310:GI310"/>
    <mergeCell ref="HD310:HE310"/>
    <mergeCell ref="HV310:HW310"/>
    <mergeCell ref="HX310:HY310"/>
    <mergeCell ref="FZ305:GA305"/>
    <mergeCell ref="GB305:GC305"/>
    <mergeCell ref="FZ304:GA304"/>
    <mergeCell ref="GB304:GC304"/>
    <mergeCell ref="FZ307:GA307"/>
    <mergeCell ref="GB307:GC307"/>
    <mergeCell ref="GD307:GE307"/>
    <mergeCell ref="GF307:GG307"/>
    <mergeCell ref="GH307:GI307"/>
    <mergeCell ref="GJ307:GK307"/>
    <mergeCell ref="GL307:GM307"/>
    <mergeCell ref="GN307:GO307"/>
    <mergeCell ref="GP307:GQ307"/>
    <mergeCell ref="GR307:GS307"/>
    <mergeCell ref="FZ306:GA306"/>
    <mergeCell ref="GB306:GC306"/>
    <mergeCell ref="GD306:GE306"/>
    <mergeCell ref="FZ303:GA303"/>
    <mergeCell ref="GB303:GC303"/>
    <mergeCell ref="GD303:GE303"/>
    <mergeCell ref="GF303:GG303"/>
    <mergeCell ref="GH303:GI303"/>
    <mergeCell ref="GZ303:HA303"/>
    <mergeCell ref="HB303:HC303"/>
    <mergeCell ref="HD303:HE303"/>
    <mergeCell ref="HF303:HG303"/>
    <mergeCell ref="HH303:HI303"/>
    <mergeCell ref="HJ303:HK303"/>
    <mergeCell ref="HL303:HM303"/>
    <mergeCell ref="FZ302:GA302"/>
    <mergeCell ref="HZ304:IA304"/>
    <mergeCell ref="GH304:GI304"/>
    <mergeCell ref="IB306:IC306"/>
    <mergeCell ref="GL306:GM306"/>
    <mergeCell ref="HR304:HS304"/>
    <mergeCell ref="HT304:HU304"/>
    <mergeCell ref="HV304:HW304"/>
    <mergeCell ref="HX304:HY304"/>
    <mergeCell ref="HX303:HY303"/>
    <mergeCell ref="HZ303:IA303"/>
    <mergeCell ref="HN302:HO302"/>
    <mergeCell ref="HP302:HQ302"/>
    <mergeCell ref="HB302:HC302"/>
    <mergeCell ref="HD302:HE302"/>
    <mergeCell ref="HL302:HM302"/>
    <mergeCell ref="HH307:HI307"/>
    <mergeCell ref="HJ307:HK307"/>
    <mergeCell ref="HL307:HM307"/>
    <mergeCell ref="HN307:HO307"/>
    <mergeCell ref="HP307:HQ307"/>
    <mergeCell ref="HR307:HS307"/>
    <mergeCell ref="HT307:HU307"/>
    <mergeCell ref="HV307:HW307"/>
    <mergeCell ref="HH301:HI301"/>
    <mergeCell ref="HJ301:HK301"/>
    <mergeCell ref="GP300:GQ300"/>
    <mergeCell ref="IH304:II304"/>
    <mergeCell ref="HX302:HY302"/>
    <mergeCell ref="HZ302:IA302"/>
    <mergeCell ref="IB302:IC302"/>
    <mergeCell ref="ID302:IE302"/>
    <mergeCell ref="IF300:IG300"/>
    <mergeCell ref="IH300:II300"/>
    <mergeCell ref="HT302:HU302"/>
    <mergeCell ref="HV302:HW302"/>
    <mergeCell ref="IB303:IC303"/>
    <mergeCell ref="ID303:IE303"/>
    <mergeCell ref="GX300:GY300"/>
    <mergeCell ref="GZ300:HA300"/>
    <mergeCell ref="HP300:HQ300"/>
    <mergeCell ref="HP301:HQ301"/>
    <mergeCell ref="HR301:HS301"/>
    <mergeCell ref="GT307:GU307"/>
    <mergeCell ref="GV307:GW307"/>
    <mergeCell ref="GB301:GC301"/>
    <mergeCell ref="HX300:HY300"/>
    <mergeCell ref="GP301:GQ301"/>
    <mergeCell ref="GR301:GS301"/>
    <mergeCell ref="GT301:GU301"/>
    <mergeCell ref="GV301:GW301"/>
    <mergeCell ref="HN301:HO301"/>
    <mergeCell ref="HF302:HG302"/>
    <mergeCell ref="HH302:HI302"/>
    <mergeCell ref="IB300:IC300"/>
    <mergeCell ref="ID300:IE300"/>
    <mergeCell ref="FZ298:GA298"/>
    <mergeCell ref="HJ298:HK298"/>
    <mergeCell ref="HT301:HU301"/>
    <mergeCell ref="HV301:HW301"/>
    <mergeCell ref="GD301:GE301"/>
    <mergeCell ref="GF301:GG301"/>
    <mergeCell ref="HX301:HY301"/>
    <mergeCell ref="GH301:GI301"/>
    <mergeCell ref="GJ301:GK301"/>
    <mergeCell ref="GL301:GM301"/>
    <mergeCell ref="GN301:GO301"/>
    <mergeCell ref="HD301:HE301"/>
    <mergeCell ref="HF301:HG301"/>
    <mergeCell ref="HT299:HU299"/>
    <mergeCell ref="HR300:HS300"/>
    <mergeCell ref="HT300:HU300"/>
    <mergeCell ref="HV300:HW300"/>
    <mergeCell ref="GF298:GG298"/>
    <mergeCell ref="GH298:GI298"/>
    <mergeCell ref="GJ298:GK298"/>
    <mergeCell ref="GL298:GM298"/>
    <mergeCell ref="GN298:GO298"/>
    <mergeCell ref="GP298:GQ298"/>
    <mergeCell ref="GR298:GS298"/>
    <mergeCell ref="GT298:GU298"/>
    <mergeCell ref="GV298:GW298"/>
    <mergeCell ref="GX298:GY298"/>
    <mergeCell ref="GZ298:HA298"/>
    <mergeCell ref="HB298:HC298"/>
    <mergeCell ref="FZ301:GA301"/>
    <mergeCell ref="FZ299:GA299"/>
    <mergeCell ref="GB299:GC299"/>
    <mergeCell ref="GD299:GE299"/>
    <mergeCell ref="GF299:GG299"/>
    <mergeCell ref="GH299:GI299"/>
    <mergeCell ref="GJ299:GK299"/>
    <mergeCell ref="GL299:GM299"/>
    <mergeCell ref="GN299:GO299"/>
    <mergeCell ref="GP299:GQ299"/>
    <mergeCell ref="GR299:GS299"/>
    <mergeCell ref="HV299:HW299"/>
    <mergeCell ref="HD298:HE298"/>
    <mergeCell ref="HP299:HQ299"/>
    <mergeCell ref="HR299:HS299"/>
    <mergeCell ref="HN299:HO299"/>
    <mergeCell ref="FZ300:GA300"/>
    <mergeCell ref="GB300:GC300"/>
    <mergeCell ref="HL299:HM299"/>
    <mergeCell ref="GB298:GC298"/>
    <mergeCell ref="GD298:GE298"/>
    <mergeCell ref="HV298:HW298"/>
    <mergeCell ref="HX298:HY298"/>
    <mergeCell ref="GD300:GE300"/>
    <mergeCell ref="GF297:GG297"/>
    <mergeCell ref="GH297:GI297"/>
    <mergeCell ref="GJ297:GK297"/>
    <mergeCell ref="GL297:GM297"/>
    <mergeCell ref="GN297:GO297"/>
    <mergeCell ref="GP297:GQ297"/>
    <mergeCell ref="GR297:GS297"/>
    <mergeCell ref="GT297:GU297"/>
    <mergeCell ref="GV297:GW297"/>
    <mergeCell ref="GX297:GY297"/>
    <mergeCell ref="GZ297:HA297"/>
    <mergeCell ref="HB297:HC297"/>
    <mergeCell ref="HD297:HE297"/>
    <mergeCell ref="HF297:HG297"/>
    <mergeCell ref="HH297:HI297"/>
    <mergeCell ref="HJ297:HK297"/>
    <mergeCell ref="HL297:HM297"/>
    <mergeCell ref="HN297:HO297"/>
    <mergeCell ref="HP297:HQ297"/>
    <mergeCell ref="HR297:HS297"/>
    <mergeCell ref="HT297:HU297"/>
    <mergeCell ref="HV297:HW297"/>
    <mergeCell ref="HX297:HY297"/>
    <mergeCell ref="HN300:HO300"/>
    <mergeCell ref="HP298:HQ298"/>
    <mergeCell ref="HF298:HG298"/>
    <mergeCell ref="HH298:HI298"/>
    <mergeCell ref="GH295:GI295"/>
    <mergeCell ref="GH294:GI294"/>
    <mergeCell ref="HN296:HO296"/>
    <mergeCell ref="HP296:HQ296"/>
    <mergeCell ref="HF294:HG294"/>
    <mergeCell ref="HH294:HI294"/>
    <mergeCell ref="HJ294:HK294"/>
    <mergeCell ref="FZ296:GA296"/>
    <mergeCell ref="GF296:GG296"/>
    <mergeCell ref="GH296:GI296"/>
    <mergeCell ref="FZ295:GA295"/>
    <mergeCell ref="FZ294:GA294"/>
    <mergeCell ref="GB294:GC294"/>
    <mergeCell ref="HZ296:IA296"/>
    <mergeCell ref="HP294:HQ294"/>
    <mergeCell ref="HR294:HS294"/>
    <mergeCell ref="HT294:HU294"/>
    <mergeCell ref="HB294:HC294"/>
    <mergeCell ref="HD294:HE294"/>
    <mergeCell ref="FZ297:GA297"/>
    <mergeCell ref="GB297:GC297"/>
    <mergeCell ref="GD297:GE297"/>
    <mergeCell ref="GX293:GY293"/>
    <mergeCell ref="GZ293:HA293"/>
    <mergeCell ref="HB293:HC293"/>
    <mergeCell ref="HD293:HE293"/>
    <mergeCell ref="HF293:HG293"/>
    <mergeCell ref="HZ293:IA293"/>
    <mergeCell ref="HF291:HG291"/>
    <mergeCell ref="HF292:HG292"/>
    <mergeCell ref="HT291:HU291"/>
    <mergeCell ref="IF293:IG293"/>
    <mergeCell ref="IB293:IC293"/>
    <mergeCell ref="HV291:HW291"/>
    <mergeCell ref="HD291:HE291"/>
    <mergeCell ref="HB292:HC292"/>
    <mergeCell ref="HP293:HQ293"/>
    <mergeCell ref="HR293:HS293"/>
    <mergeCell ref="HT293:HU293"/>
    <mergeCell ref="HV293:HW293"/>
    <mergeCell ref="HX293:HY293"/>
    <mergeCell ref="ID293:IE293"/>
    <mergeCell ref="HH293:HI293"/>
    <mergeCell ref="HJ293:HK293"/>
    <mergeCell ref="GX292:GY292"/>
    <mergeCell ref="HB291:HC291"/>
    <mergeCell ref="GZ292:HA292"/>
    <mergeCell ref="HD292:HE292"/>
    <mergeCell ref="HZ292:IA292"/>
    <mergeCell ref="IB292:IC292"/>
    <mergeCell ref="ID292:IE292"/>
    <mergeCell ref="GX291:GY291"/>
    <mergeCell ref="GZ291:HA291"/>
    <mergeCell ref="HL291:HM291"/>
    <mergeCell ref="HN291:HO291"/>
    <mergeCell ref="HP291:HQ291"/>
    <mergeCell ref="HR291:HS291"/>
    <mergeCell ref="HH292:HI292"/>
    <mergeCell ref="GV293:GW293"/>
    <mergeCell ref="GV296:GW296"/>
    <mergeCell ref="GX296:GY296"/>
    <mergeCell ref="ID296:IE296"/>
    <mergeCell ref="HP295:HQ295"/>
    <mergeCell ref="HL296:HM296"/>
    <mergeCell ref="HL275:HM275"/>
    <mergeCell ref="HN275:HO275"/>
    <mergeCell ref="HP283:HQ283"/>
    <mergeCell ref="HR283:HS283"/>
    <mergeCell ref="HT292:HU292"/>
    <mergeCell ref="GT286:GU286"/>
    <mergeCell ref="GV290:GW290"/>
    <mergeCell ref="GT289:GU289"/>
    <mergeCell ref="GV289:GW289"/>
    <mergeCell ref="HX274:HY274"/>
    <mergeCell ref="HV280:HW280"/>
    <mergeCell ref="HX280:HY280"/>
    <mergeCell ref="HT277:HU277"/>
    <mergeCell ref="HH277:HI277"/>
    <mergeCell ref="HD281:HE281"/>
    <mergeCell ref="HF281:HG281"/>
    <mergeCell ref="HH281:HI281"/>
    <mergeCell ref="HR276:HS276"/>
    <mergeCell ref="HV281:HW281"/>
    <mergeCell ref="GZ275:HA275"/>
    <mergeCell ref="HT281:HU281"/>
    <mergeCell ref="GZ281:HA281"/>
    <mergeCell ref="GV288:GW288"/>
    <mergeCell ref="GX289:GY289"/>
    <mergeCell ref="GT292:GU292"/>
    <mergeCell ref="GL292:GM292"/>
    <mergeCell ref="GN292:GO292"/>
    <mergeCell ref="GP292:GQ292"/>
    <mergeCell ref="HT280:HU280"/>
    <mergeCell ref="HJ280:HK280"/>
    <mergeCell ref="HL280:HM280"/>
    <mergeCell ref="HR277:HS277"/>
    <mergeCell ref="HP275:HQ275"/>
    <mergeCell ref="HF287:HG287"/>
    <mergeCell ref="HR285:HS285"/>
    <mergeCell ref="GT284:GU284"/>
    <mergeCell ref="GR281:GS281"/>
    <mergeCell ref="HX281:HY281"/>
    <mergeCell ref="GT291:GU291"/>
    <mergeCell ref="HT285:HU285"/>
    <mergeCell ref="HV285:HW285"/>
    <mergeCell ref="HT279:HU279"/>
    <mergeCell ref="HV279:HW279"/>
    <mergeCell ref="HT287:HU287"/>
    <mergeCell ref="HV287:HW287"/>
    <mergeCell ref="GV275:GW275"/>
    <mergeCell ref="GP283:GQ283"/>
    <mergeCell ref="GR283:GS283"/>
    <mergeCell ref="GT290:GU290"/>
    <mergeCell ref="GX284:GY284"/>
    <mergeCell ref="GV283:GW283"/>
    <mergeCell ref="GX283:GY283"/>
    <mergeCell ref="GP284:GQ284"/>
    <mergeCell ref="GN290:GO290"/>
    <mergeCell ref="GR290:GS290"/>
    <mergeCell ref="HX286:HY286"/>
    <mergeCell ref="HJ288:HK288"/>
    <mergeCell ref="HR290:HS290"/>
    <mergeCell ref="HX291:HY291"/>
    <mergeCell ref="HL288:HM288"/>
    <mergeCell ref="HN288:HO288"/>
    <mergeCell ref="HB288:HC288"/>
    <mergeCell ref="HD288:HE288"/>
    <mergeCell ref="HD290:HE290"/>
    <mergeCell ref="GT294:GU294"/>
    <mergeCell ref="HN289:HO289"/>
    <mergeCell ref="HP289:HQ289"/>
    <mergeCell ref="GV287:GW287"/>
    <mergeCell ref="GX270:GY270"/>
    <mergeCell ref="HX277:HY277"/>
    <mergeCell ref="HF278:HG278"/>
    <mergeCell ref="HX276:HY276"/>
    <mergeCell ref="GZ276:HA276"/>
    <mergeCell ref="HT274:HU274"/>
    <mergeCell ref="HV274:HW274"/>
    <mergeCell ref="GT293:GU293"/>
    <mergeCell ref="HL278:HM278"/>
    <mergeCell ref="HP264:HQ264"/>
    <mergeCell ref="HR264:HS264"/>
    <mergeCell ref="HT264:HU264"/>
    <mergeCell ref="HV264:HW264"/>
    <mergeCell ref="HX264:HY264"/>
    <mergeCell ref="HT268:HU268"/>
    <mergeCell ref="HV268:HW268"/>
    <mergeCell ref="HX268:HY268"/>
    <mergeCell ref="HZ260:IA260"/>
    <mergeCell ref="IB260:IC260"/>
    <mergeCell ref="ID260:IE260"/>
    <mergeCell ref="IF260:IG260"/>
    <mergeCell ref="IH260:II260"/>
    <mergeCell ref="IF265:IG265"/>
    <mergeCell ref="HR262:HS262"/>
    <mergeCell ref="HT262:HU262"/>
    <mergeCell ref="HV262:HW262"/>
    <mergeCell ref="HX262:HY262"/>
    <mergeCell ref="HZ262:IA262"/>
    <mergeCell ref="IB262:IC262"/>
    <mergeCell ref="ID262:IE262"/>
    <mergeCell ref="HJ265:HK265"/>
    <mergeCell ref="HL265:HM265"/>
    <mergeCell ref="HN265:HO265"/>
    <mergeCell ref="HP265:HQ265"/>
    <mergeCell ref="HR265:HS265"/>
    <mergeCell ref="HT265:HU265"/>
    <mergeCell ref="HV265:HW265"/>
    <mergeCell ref="HX265:HY265"/>
    <mergeCell ref="IB265:IC265"/>
    <mergeCell ref="HJ261:HK261"/>
    <mergeCell ref="HL261:HM261"/>
    <mergeCell ref="HR261:HS261"/>
    <mergeCell ref="HT261:HU261"/>
    <mergeCell ref="HV261:HW261"/>
    <mergeCell ref="HX261:HY261"/>
    <mergeCell ref="HJ263:HK263"/>
    <mergeCell ref="HT263:HU263"/>
    <mergeCell ref="HV263:HW263"/>
    <mergeCell ref="HX263:HY263"/>
    <mergeCell ref="HP262:HQ262"/>
    <mergeCell ref="HV267:HW267"/>
    <mergeCell ref="HP260:HQ260"/>
    <mergeCell ref="HR260:HS260"/>
    <mergeCell ref="IB267:IC267"/>
    <mergeCell ref="HZ267:IA267"/>
    <mergeCell ref="HP263:HQ263"/>
    <mergeCell ref="HR263:HS263"/>
    <mergeCell ref="HL263:HM263"/>
    <mergeCell ref="HN263:HO263"/>
    <mergeCell ref="HJ262:HK262"/>
    <mergeCell ref="HL262:HM262"/>
    <mergeCell ref="HN262:HO262"/>
    <mergeCell ref="ID263:IE263"/>
    <mergeCell ref="IB264:IC264"/>
    <mergeCell ref="ID264:IE264"/>
    <mergeCell ref="HZ263:IA263"/>
    <mergeCell ref="IB263:IC263"/>
    <mergeCell ref="IH263:II263"/>
    <mergeCell ref="HP266:HQ266"/>
    <mergeCell ref="HR266:HS266"/>
    <mergeCell ref="HB261:HC261"/>
    <mergeCell ref="HD261:HE261"/>
    <mergeCell ref="HF261:HG261"/>
    <mergeCell ref="HH261:HI261"/>
    <mergeCell ref="HB258:HC258"/>
    <mergeCell ref="HD258:HE258"/>
    <mergeCell ref="HF258:HG258"/>
    <mergeCell ref="HH258:HI258"/>
    <mergeCell ref="HJ258:HK258"/>
    <mergeCell ref="GP259:GQ259"/>
    <mergeCell ref="GR259:GS259"/>
    <mergeCell ref="GT259:GU259"/>
    <mergeCell ref="GV259:GW259"/>
    <mergeCell ref="HN258:HO258"/>
    <mergeCell ref="HP258:HQ258"/>
    <mergeCell ref="HT258:HU258"/>
    <mergeCell ref="HR258:HS258"/>
    <mergeCell ref="GX259:GY259"/>
    <mergeCell ref="GV260:GW260"/>
    <mergeCell ref="GL261:GM261"/>
    <mergeCell ref="GN261:GO261"/>
    <mergeCell ref="GP261:GQ261"/>
    <mergeCell ref="GR261:GS261"/>
    <mergeCell ref="GT260:GU260"/>
    <mergeCell ref="HD259:HE259"/>
    <mergeCell ref="HF259:HG259"/>
    <mergeCell ref="GX260:GY260"/>
    <mergeCell ref="GZ260:HA260"/>
    <mergeCell ref="HB260:HC260"/>
    <mergeCell ref="HD260:HE260"/>
    <mergeCell ref="GZ258:HA258"/>
    <mergeCell ref="HB259:HC259"/>
    <mergeCell ref="GZ259:HA259"/>
    <mergeCell ref="HT259:HU259"/>
    <mergeCell ref="HH260:HI260"/>
    <mergeCell ref="HJ260:HK260"/>
    <mergeCell ref="HL260:HM260"/>
    <mergeCell ref="HN260:HO260"/>
    <mergeCell ref="GX261:GY261"/>
    <mergeCell ref="GZ261:HA261"/>
    <mergeCell ref="GN260:GO260"/>
    <mergeCell ref="GL260:GM260"/>
    <mergeCell ref="GT261:GU261"/>
    <mergeCell ref="GL258:GM258"/>
    <mergeCell ref="GN258:GO258"/>
    <mergeCell ref="GX262:GY262"/>
    <mergeCell ref="GX258:GY258"/>
    <mergeCell ref="HF262:HG262"/>
    <mergeCell ref="HH262:HI262"/>
    <mergeCell ref="HD262:HE262"/>
    <mergeCell ref="HJ264:HK264"/>
    <mergeCell ref="HL264:HM264"/>
    <mergeCell ref="HN264:HO264"/>
    <mergeCell ref="HF264:HG264"/>
    <mergeCell ref="HT260:HU260"/>
    <mergeCell ref="HV260:HW260"/>
    <mergeCell ref="HX260:HY260"/>
    <mergeCell ref="HN261:HO261"/>
    <mergeCell ref="HP261:HQ261"/>
    <mergeCell ref="HV258:HW258"/>
    <mergeCell ref="HX258:HY258"/>
    <mergeCell ref="HV248:HW248"/>
    <mergeCell ref="GR251:GS251"/>
    <mergeCell ref="GV248:GW248"/>
    <mergeCell ref="HB250:HC250"/>
    <mergeCell ref="HX248:HY248"/>
    <mergeCell ref="GT249:GU249"/>
    <mergeCell ref="GV249:GW249"/>
    <mergeCell ref="GX249:GY249"/>
    <mergeCell ref="GZ249:HA249"/>
    <mergeCell ref="GP258:GQ258"/>
    <mergeCell ref="GR258:GS258"/>
    <mergeCell ref="GT258:GU258"/>
    <mergeCell ref="GP247:GQ247"/>
    <mergeCell ref="GR247:GS247"/>
    <mergeCell ref="GR252:GS252"/>
    <mergeCell ref="GT248:GU248"/>
    <mergeCell ref="GR249:GS249"/>
    <mergeCell ref="HH255:HI255"/>
    <mergeCell ref="HJ255:HK255"/>
    <mergeCell ref="GX257:GY257"/>
    <mergeCell ref="GZ257:HA257"/>
    <mergeCell ref="GT254:GU254"/>
    <mergeCell ref="HD252:HE252"/>
    <mergeCell ref="HJ248:HK248"/>
    <mergeCell ref="HH248:HI248"/>
    <mergeCell ref="GZ250:HA250"/>
    <mergeCell ref="HR248:HS248"/>
    <mergeCell ref="GX250:GY250"/>
    <mergeCell ref="HF247:HG247"/>
    <mergeCell ref="GR257:GS257"/>
    <mergeCell ref="GT257:GU257"/>
    <mergeCell ref="GV257:GW257"/>
    <mergeCell ref="GX255:GY255"/>
    <mergeCell ref="GZ255:HA255"/>
    <mergeCell ref="HB255:HC255"/>
    <mergeCell ref="HD255:HE255"/>
    <mergeCell ref="HF255:HG255"/>
    <mergeCell ref="HL255:HM255"/>
    <mergeCell ref="HN255:HO255"/>
    <mergeCell ref="HP255:HQ255"/>
    <mergeCell ref="HR255:HS255"/>
    <mergeCell ref="HD254:HE254"/>
    <mergeCell ref="HF254:HG254"/>
    <mergeCell ref="GP255:GQ255"/>
    <mergeCell ref="GZ253:HA253"/>
    <mergeCell ref="GV254:GW254"/>
    <mergeCell ref="GP257:GQ257"/>
    <mergeCell ref="GR256:GS256"/>
    <mergeCell ref="HF253:HG253"/>
    <mergeCell ref="HJ251:HK251"/>
    <mergeCell ref="GV247:GW247"/>
    <mergeCell ref="GR260:GS260"/>
    <mergeCell ref="GX254:GY254"/>
    <mergeCell ref="HD253:HE253"/>
    <mergeCell ref="GX252:GY252"/>
    <mergeCell ref="GZ252:HA252"/>
    <mergeCell ref="GP251:GQ251"/>
    <mergeCell ref="HZ257:IA257"/>
    <mergeCell ref="HX254:HY254"/>
    <mergeCell ref="HV255:HW255"/>
    <mergeCell ref="HX255:HY255"/>
    <mergeCell ref="GX256:GY256"/>
    <mergeCell ref="GZ256:HA256"/>
    <mergeCell ref="HB256:HC256"/>
    <mergeCell ref="HD256:HE256"/>
    <mergeCell ref="HF256:HG256"/>
    <mergeCell ref="HH256:HI256"/>
    <mergeCell ref="HJ256:HK256"/>
    <mergeCell ref="HL256:HM256"/>
    <mergeCell ref="HN256:HO256"/>
    <mergeCell ref="HP256:HQ256"/>
    <mergeCell ref="HR256:HS256"/>
    <mergeCell ref="HT256:HU256"/>
    <mergeCell ref="HT257:HU257"/>
    <mergeCell ref="HV257:HW257"/>
    <mergeCell ref="HX257:HY257"/>
    <mergeCell ref="HZ255:IA255"/>
    <mergeCell ref="HZ256:IA256"/>
    <mergeCell ref="GR254:GS254"/>
    <mergeCell ref="HB254:HC254"/>
    <mergeCell ref="HV259:HW259"/>
    <mergeCell ref="HX259:HY259"/>
    <mergeCell ref="HP250:HQ250"/>
    <mergeCell ref="HR251:HS251"/>
    <mergeCell ref="HL252:HM252"/>
    <mergeCell ref="HN252:HO252"/>
    <mergeCell ref="HP252:HQ252"/>
    <mergeCell ref="HR252:HS252"/>
    <mergeCell ref="HL253:HM253"/>
    <mergeCell ref="HB257:HC257"/>
    <mergeCell ref="HL254:HM254"/>
    <mergeCell ref="HN254:HO254"/>
    <mergeCell ref="HP254:HQ254"/>
    <mergeCell ref="HR253:HS253"/>
    <mergeCell ref="HH252:HI252"/>
    <mergeCell ref="HJ252:HK252"/>
    <mergeCell ref="HF252:HG252"/>
    <mergeCell ref="HB253:HC253"/>
    <mergeCell ref="GX251:GY251"/>
    <mergeCell ref="HZ258:IA258"/>
    <mergeCell ref="HL258:HM258"/>
    <mergeCell ref="HH259:HI259"/>
    <mergeCell ref="HJ259:HK259"/>
    <mergeCell ref="HL259:HM259"/>
    <mergeCell ref="HN259:HO259"/>
    <mergeCell ref="HP259:HQ259"/>
    <mergeCell ref="HR259:HS259"/>
    <mergeCell ref="HX253:HY253"/>
    <mergeCell ref="HJ257:HK257"/>
    <mergeCell ref="HL257:HM257"/>
    <mergeCell ref="HN257:HO257"/>
    <mergeCell ref="HP257:HQ257"/>
    <mergeCell ref="HR257:HS257"/>
    <mergeCell ref="HH257:HI257"/>
    <mergeCell ref="HD257:HE257"/>
    <mergeCell ref="HF257:HG257"/>
    <mergeCell ref="HT254:HU254"/>
    <mergeCell ref="GZ254:HA254"/>
    <mergeCell ref="HH254:HI254"/>
    <mergeCell ref="HH251:HI251"/>
    <mergeCell ref="HJ254:HK254"/>
    <mergeCell ref="HT255:HU255"/>
    <mergeCell ref="HV256:HW256"/>
    <mergeCell ref="HX256:HY256"/>
    <mergeCell ref="HB252:HC252"/>
    <mergeCell ref="GZ251:HA251"/>
    <mergeCell ref="GT250:GU250"/>
    <mergeCell ref="GT244:GU244"/>
    <mergeCell ref="IH249:II249"/>
    <mergeCell ref="IH251:II251"/>
    <mergeCell ref="IH246:II246"/>
    <mergeCell ref="HL247:HM247"/>
    <mergeCell ref="HN247:HO247"/>
    <mergeCell ref="HP247:HQ247"/>
    <mergeCell ref="HH250:HI250"/>
    <mergeCell ref="HJ250:HK250"/>
    <mergeCell ref="HL250:HM250"/>
    <mergeCell ref="HN250:HO250"/>
    <mergeCell ref="HH249:HI249"/>
    <mergeCell ref="HH247:HI247"/>
    <mergeCell ref="HJ247:HK247"/>
    <mergeCell ref="HZ253:IA253"/>
    <mergeCell ref="HZ248:IA248"/>
    <mergeCell ref="IB248:IC248"/>
    <mergeCell ref="IF250:IG250"/>
    <mergeCell ref="IH250:II250"/>
    <mergeCell ref="HP248:HQ248"/>
    <mergeCell ref="HN253:HO253"/>
    <mergeCell ref="GN251:GO251"/>
    <mergeCell ref="IL251:IM251"/>
    <mergeCell ref="HL243:HM243"/>
    <mergeCell ref="HN243:HO243"/>
    <mergeCell ref="HP243:HQ243"/>
    <mergeCell ref="IH243:II243"/>
    <mergeCell ref="IH244:II244"/>
    <mergeCell ref="IH245:II245"/>
    <mergeCell ref="HB245:HC245"/>
    <mergeCell ref="HT244:HU244"/>
    <mergeCell ref="HV244:HW244"/>
    <mergeCell ref="HX244:HY244"/>
    <mergeCell ref="HL244:HM244"/>
    <mergeCell ref="HN244:HO244"/>
    <mergeCell ref="HP244:HQ244"/>
    <mergeCell ref="HR244:HS244"/>
    <mergeCell ref="HJ244:HK244"/>
    <mergeCell ref="HF244:HG244"/>
    <mergeCell ref="HB244:HC244"/>
    <mergeCell ref="GX244:GY244"/>
    <mergeCell ref="GZ244:HA244"/>
    <mergeCell ref="ID254:IE254"/>
    <mergeCell ref="IB253:IC253"/>
    <mergeCell ref="ID253:IE253"/>
    <mergeCell ref="IF253:IG253"/>
    <mergeCell ref="IF251:IG251"/>
    <mergeCell ref="HF243:HG243"/>
    <mergeCell ref="HH243:HI243"/>
    <mergeCell ref="HJ243:HK243"/>
    <mergeCell ref="HZ247:IA247"/>
    <mergeCell ref="IB247:IC247"/>
    <mergeCell ref="HX247:HY247"/>
    <mergeCell ref="HV254:HW254"/>
    <mergeCell ref="HR254:HS254"/>
    <mergeCell ref="IH247:II247"/>
    <mergeCell ref="IJ247:IK247"/>
    <mergeCell ref="IH248:II248"/>
    <mergeCell ref="HZ254:IA254"/>
    <mergeCell ref="IB254:IC254"/>
    <mergeCell ref="HF246:HG246"/>
    <mergeCell ref="ID247:IE247"/>
    <mergeCell ref="IF247:IG247"/>
    <mergeCell ref="HJ249:HK249"/>
    <mergeCell ref="HL249:HM249"/>
    <mergeCell ref="HN249:HO249"/>
    <mergeCell ref="HP249:HQ249"/>
    <mergeCell ref="HR249:HS249"/>
    <mergeCell ref="HT249:HU249"/>
    <mergeCell ref="HV249:HW249"/>
    <mergeCell ref="HX249:HY249"/>
    <mergeCell ref="HZ249:IA249"/>
    <mergeCell ref="IB249:IC249"/>
    <mergeCell ref="ID249:IE249"/>
    <mergeCell ref="IF249:IG249"/>
    <mergeCell ref="HR250:HS250"/>
    <mergeCell ref="HL251:HM251"/>
    <mergeCell ref="HN251:HO251"/>
    <mergeCell ref="HP251:HQ251"/>
    <mergeCell ref="IH253:II253"/>
    <mergeCell ref="IJ253:IK253"/>
    <mergeCell ref="IL253:IM253"/>
    <mergeCell ref="HH246:HI246"/>
    <mergeCell ref="HJ246:HK246"/>
    <mergeCell ref="HL246:HM246"/>
    <mergeCell ref="IJ244:IK244"/>
    <mergeCell ref="IJ250:IK250"/>
    <mergeCell ref="GT246:GU246"/>
    <mergeCell ref="GV246:GW246"/>
    <mergeCell ref="HP253:HQ253"/>
    <mergeCell ref="HH253:HI253"/>
    <mergeCell ref="HJ253:HK253"/>
    <mergeCell ref="ID250:IE250"/>
    <mergeCell ref="GX253:GY253"/>
    <mergeCell ref="HD247:HE247"/>
    <mergeCell ref="GX248:GY248"/>
    <mergeCell ref="GZ248:HA248"/>
    <mergeCell ref="HL248:HM248"/>
    <mergeCell ref="HN248:HO248"/>
    <mergeCell ref="HT252:HU252"/>
    <mergeCell ref="HV252:HW252"/>
    <mergeCell ref="HX252:HY252"/>
    <mergeCell ref="IJ251:IK251"/>
    <mergeCell ref="IJ248:IK248"/>
    <mergeCell ref="IH252:II252"/>
    <mergeCell ref="IJ252:IK252"/>
    <mergeCell ref="HZ250:IA250"/>
    <mergeCell ref="IB250:IC250"/>
    <mergeCell ref="HT250:HU250"/>
    <mergeCell ref="HV250:HW250"/>
    <mergeCell ref="HX250:HY250"/>
    <mergeCell ref="HN246:HO246"/>
    <mergeCell ref="HP246:HQ246"/>
    <mergeCell ref="HR246:HS246"/>
    <mergeCell ref="HT246:HU246"/>
    <mergeCell ref="HV246:HW246"/>
    <mergeCell ref="GV250:GW250"/>
    <mergeCell ref="HR247:HS247"/>
    <mergeCell ref="HB248:HC248"/>
    <mergeCell ref="HD248:HE248"/>
    <mergeCell ref="HF248:HG248"/>
    <mergeCell ref="IJ246:IK246"/>
    <mergeCell ref="IJ249:IK249"/>
    <mergeCell ref="HB251:HC251"/>
    <mergeCell ref="HD251:HE251"/>
    <mergeCell ref="HF251:HG251"/>
    <mergeCell ref="HD250:HE250"/>
    <mergeCell ref="HF250:HG250"/>
    <mergeCell ref="HB249:HC249"/>
    <mergeCell ref="HD249:HE249"/>
    <mergeCell ref="HF249:HG249"/>
    <mergeCell ref="HT251:HU251"/>
    <mergeCell ref="HV251:HW251"/>
    <mergeCell ref="HX251:HY251"/>
    <mergeCell ref="GL238:GM238"/>
    <mergeCell ref="GN238:GO238"/>
    <mergeCell ref="GP238:GQ238"/>
    <mergeCell ref="GR238:GS238"/>
    <mergeCell ref="GT238:GU238"/>
    <mergeCell ref="GV238:GW238"/>
    <mergeCell ref="GV242:GW242"/>
    <mergeCell ref="ID238:IE238"/>
    <mergeCell ref="GX238:GY238"/>
    <mergeCell ref="GX242:GY242"/>
    <mergeCell ref="GT242:GU242"/>
    <mergeCell ref="GZ242:HA242"/>
    <mergeCell ref="GP242:GQ242"/>
    <mergeCell ref="IF238:IG238"/>
    <mergeCell ref="HB238:HC238"/>
    <mergeCell ref="HD242:HE242"/>
    <mergeCell ref="HB242:HC242"/>
    <mergeCell ref="GL242:GM242"/>
    <mergeCell ref="HR243:HS243"/>
    <mergeCell ref="HT243:HU243"/>
    <mergeCell ref="HV243:HW243"/>
    <mergeCell ref="HX243:HY243"/>
    <mergeCell ref="HZ243:IA243"/>
    <mergeCell ref="IB243:IC243"/>
    <mergeCell ref="ID243:IE243"/>
    <mergeCell ref="IF243:IG243"/>
    <mergeCell ref="GT243:GU243"/>
    <mergeCell ref="GN243:GO243"/>
    <mergeCell ref="GL243:GM243"/>
    <mergeCell ref="HH244:HI244"/>
    <mergeCell ref="IF245:IG245"/>
    <mergeCell ref="HZ238:IA238"/>
    <mergeCell ref="GV243:GW243"/>
    <mergeCell ref="GV244:GW244"/>
    <mergeCell ref="GL247:GM247"/>
    <mergeCell ref="IJ245:IK245"/>
    <mergeCell ref="GN245:GO245"/>
    <mergeCell ref="GP244:GQ244"/>
    <mergeCell ref="GN242:GO242"/>
    <mergeCell ref="GR242:GS242"/>
    <mergeCell ref="GX243:GY243"/>
    <mergeCell ref="GZ243:HA243"/>
    <mergeCell ref="IB237:IC237"/>
    <mergeCell ref="GZ237:HA237"/>
    <mergeCell ref="GX237:GY237"/>
    <mergeCell ref="HH236:HI236"/>
    <mergeCell ref="HJ236:HK236"/>
    <mergeCell ref="HL236:HM236"/>
    <mergeCell ref="HN236:HO236"/>
    <mergeCell ref="HR236:HS236"/>
    <mergeCell ref="HT236:HU236"/>
    <mergeCell ref="HV236:HW236"/>
    <mergeCell ref="HX236:HY236"/>
    <mergeCell ref="HZ236:IA236"/>
    <mergeCell ref="IB236:IC236"/>
    <mergeCell ref="ID236:IE236"/>
    <mergeCell ref="HF237:HG237"/>
    <mergeCell ref="HH237:HI237"/>
    <mergeCell ref="HJ237:HK237"/>
    <mergeCell ref="HZ237:IA237"/>
    <mergeCell ref="HZ251:IA251"/>
    <mergeCell ref="IB251:IC251"/>
    <mergeCell ref="ID251:IE251"/>
    <mergeCell ref="HT253:HU253"/>
    <mergeCell ref="HV253:HW253"/>
    <mergeCell ref="HT247:HU247"/>
    <mergeCell ref="HV247:HW247"/>
    <mergeCell ref="HT248:HU248"/>
    <mergeCell ref="IF242:IG242"/>
    <mergeCell ref="HF242:HG242"/>
    <mergeCell ref="HH242:HI242"/>
    <mergeCell ref="HJ242:HK242"/>
    <mergeCell ref="HL242:HM242"/>
    <mergeCell ref="HN242:HO242"/>
    <mergeCell ref="HP242:HQ242"/>
    <mergeCell ref="HR242:HS242"/>
    <mergeCell ref="HZ245:IA245"/>
    <mergeCell ref="IB245:IC245"/>
    <mergeCell ref="ID245:IE245"/>
    <mergeCell ref="IB252:IC252"/>
    <mergeCell ref="ID252:IE252"/>
    <mergeCell ref="IF252:IG252"/>
    <mergeCell ref="HX246:HY246"/>
    <mergeCell ref="HZ246:IA246"/>
    <mergeCell ref="IB246:IC246"/>
    <mergeCell ref="ID246:IE246"/>
    <mergeCell ref="IF246:IG246"/>
    <mergeCell ref="GX247:GY247"/>
    <mergeCell ref="GZ247:HA247"/>
    <mergeCell ref="HD245:HE245"/>
    <mergeCell ref="GX246:GY246"/>
    <mergeCell ref="GZ246:HA246"/>
    <mergeCell ref="HB246:HC246"/>
    <mergeCell ref="HD246:HE246"/>
    <mergeCell ref="HZ252:IA252"/>
    <mergeCell ref="ID244:IE244"/>
    <mergeCell ref="IF244:IG244"/>
    <mergeCell ref="HZ244:IA244"/>
    <mergeCell ref="IB244:IC244"/>
    <mergeCell ref="HH245:HI245"/>
    <mergeCell ref="HJ245:HK245"/>
    <mergeCell ref="HF235:HG235"/>
    <mergeCell ref="HF234:HG234"/>
    <mergeCell ref="HH234:HI234"/>
    <mergeCell ref="GV233:GW233"/>
    <mergeCell ref="GX233:GY233"/>
    <mergeCell ref="GZ233:HA233"/>
    <mergeCell ref="HX234:HY234"/>
    <mergeCell ref="HT235:HU235"/>
    <mergeCell ref="HZ235:IA235"/>
    <mergeCell ref="IB235:IC235"/>
    <mergeCell ref="ID235:IE235"/>
    <mergeCell ref="HR233:HS233"/>
    <mergeCell ref="GX236:GY236"/>
    <mergeCell ref="GZ236:HA236"/>
    <mergeCell ref="HP233:HQ233"/>
    <mergeCell ref="HN235:HO235"/>
    <mergeCell ref="HJ233:HK233"/>
    <mergeCell ref="ID232:IE232"/>
    <mergeCell ref="HZ234:IA234"/>
    <mergeCell ref="HB232:HC232"/>
    <mergeCell ref="HJ234:HK234"/>
    <mergeCell ref="HF233:HG233"/>
    <mergeCell ref="IH236:II236"/>
    <mergeCell ref="HB237:HC237"/>
    <mergeCell ref="HD237:HE237"/>
    <mergeCell ref="ID248:IE248"/>
    <mergeCell ref="IF248:IG248"/>
    <mergeCell ref="IB238:IC238"/>
    <mergeCell ref="HB247:HC247"/>
    <mergeCell ref="HD244:HE244"/>
    <mergeCell ref="HL245:HM245"/>
    <mergeCell ref="HN245:HO245"/>
    <mergeCell ref="HP245:HQ245"/>
    <mergeCell ref="HR245:HS245"/>
    <mergeCell ref="HT245:HU245"/>
    <mergeCell ref="HV245:HW245"/>
    <mergeCell ref="HX245:HY245"/>
    <mergeCell ref="GX245:GY245"/>
    <mergeCell ref="GZ245:HA245"/>
    <mergeCell ref="HF245:HG245"/>
    <mergeCell ref="HR238:HS238"/>
    <mergeCell ref="HT238:HU238"/>
    <mergeCell ref="HV238:HW238"/>
    <mergeCell ref="HX238:HY238"/>
    <mergeCell ref="GZ238:HA238"/>
    <mergeCell ref="HD238:HE238"/>
    <mergeCell ref="HF238:HG238"/>
    <mergeCell ref="HH238:HI238"/>
    <mergeCell ref="HJ238:HK238"/>
    <mergeCell ref="HL238:HM238"/>
    <mergeCell ref="HN238:HO238"/>
    <mergeCell ref="HP238:HQ238"/>
    <mergeCell ref="HT242:HU242"/>
    <mergeCell ref="HV242:HW242"/>
    <mergeCell ref="HX242:HY242"/>
    <mergeCell ref="HZ242:IA242"/>
    <mergeCell ref="IB242:IC242"/>
    <mergeCell ref="ID242:IE242"/>
    <mergeCell ref="HB243:HC243"/>
    <mergeCell ref="HD243:HE243"/>
    <mergeCell ref="HP236:HQ236"/>
    <mergeCell ref="IH237:II237"/>
    <mergeCell ref="IF236:IG236"/>
    <mergeCell ref="IF237:IG237"/>
    <mergeCell ref="HH235:HI235"/>
    <mergeCell ref="HZ232:IA232"/>
    <mergeCell ref="HT233:HU233"/>
    <mergeCell ref="HX232:HY232"/>
    <mergeCell ref="IB232:IC232"/>
    <mergeCell ref="HV233:HW233"/>
    <mergeCell ref="HP232:HQ232"/>
    <mergeCell ref="GT237:GU237"/>
    <mergeCell ref="HB233:HC233"/>
    <mergeCell ref="HD233:HE233"/>
    <mergeCell ref="IB233:IC233"/>
    <mergeCell ref="IB234:IC234"/>
    <mergeCell ref="HX233:HY233"/>
    <mergeCell ref="HL235:HM235"/>
    <mergeCell ref="HP237:HQ237"/>
    <mergeCell ref="HR237:HS237"/>
    <mergeCell ref="HL237:HM237"/>
    <mergeCell ref="HN237:HO237"/>
    <mergeCell ref="ID233:IE233"/>
    <mergeCell ref="HB234:HC234"/>
    <mergeCell ref="HD234:HE234"/>
    <mergeCell ref="GZ234:HA234"/>
    <mergeCell ref="HL232:HM232"/>
    <mergeCell ref="HN232:HO232"/>
    <mergeCell ref="HR232:HS232"/>
    <mergeCell ref="HT232:HU232"/>
    <mergeCell ref="GZ232:HA232"/>
    <mergeCell ref="IF234:IG234"/>
    <mergeCell ref="HJ235:HK235"/>
    <mergeCell ref="HB236:HC236"/>
    <mergeCell ref="ID237:IE237"/>
    <mergeCell ref="GV237:GW237"/>
    <mergeCell ref="HP235:HQ235"/>
    <mergeCell ref="HR235:HS235"/>
    <mergeCell ref="HB235:HC235"/>
    <mergeCell ref="HL234:HM234"/>
    <mergeCell ref="HN234:HO234"/>
    <mergeCell ref="HP234:HQ234"/>
    <mergeCell ref="HR234:HS234"/>
    <mergeCell ref="GX234:GY234"/>
    <mergeCell ref="HT234:HU234"/>
    <mergeCell ref="HV234:HW234"/>
    <mergeCell ref="ID234:IE234"/>
    <mergeCell ref="HT237:HU237"/>
    <mergeCell ref="HV237:HW237"/>
    <mergeCell ref="GV234:GW234"/>
    <mergeCell ref="HX237:HY237"/>
    <mergeCell ref="GV236:GW236"/>
    <mergeCell ref="HD236:HE236"/>
    <mergeCell ref="HF236:HG236"/>
    <mergeCell ref="GV235:GW235"/>
    <mergeCell ref="GX235:GY235"/>
    <mergeCell ref="GZ235:HA235"/>
    <mergeCell ref="HV232:HW232"/>
    <mergeCell ref="HL233:HM233"/>
    <mergeCell ref="HZ233:IA233"/>
    <mergeCell ref="HN233:HO233"/>
    <mergeCell ref="HJ232:HK232"/>
    <mergeCell ref="HF232:HG232"/>
    <mergeCell ref="HH232:HI232"/>
    <mergeCell ref="HD232:HE232"/>
    <mergeCell ref="HV235:HW235"/>
    <mergeCell ref="HX235:HY235"/>
    <mergeCell ref="HH233:HI233"/>
    <mergeCell ref="HH196:HI196"/>
    <mergeCell ref="HL228:HM228"/>
    <mergeCell ref="HN228:HO228"/>
    <mergeCell ref="IH196:II196"/>
    <mergeCell ref="IF221:IG221"/>
    <mergeCell ref="IH221:II221"/>
    <mergeCell ref="HD221:HE221"/>
    <mergeCell ref="HL181:HM181"/>
    <mergeCell ref="HJ180:HK180"/>
    <mergeCell ref="HH180:HI180"/>
    <mergeCell ref="HP188:HQ188"/>
    <mergeCell ref="HT195:HU195"/>
    <mergeCell ref="HV195:HW195"/>
    <mergeCell ref="HR191:HS191"/>
    <mergeCell ref="HT191:HU191"/>
    <mergeCell ref="HH181:HI181"/>
    <mergeCell ref="IB195:IC195"/>
    <mergeCell ref="ID195:IE195"/>
    <mergeCell ref="IF195:IG195"/>
    <mergeCell ref="IF185:IG185"/>
    <mergeCell ref="IH185:II185"/>
    <mergeCell ref="HV221:HW221"/>
    <mergeCell ref="HX189:HY189"/>
    <mergeCell ref="HZ189:IA189"/>
    <mergeCell ref="HN183:HO183"/>
    <mergeCell ref="HR196:HS196"/>
    <mergeCell ref="IF228:IG228"/>
    <mergeCell ref="IH228:II228"/>
    <mergeCell ref="HX191:HY191"/>
    <mergeCell ref="HD183:HE183"/>
    <mergeCell ref="HH221:HI221"/>
    <mergeCell ref="ID182:IE182"/>
    <mergeCell ref="HT186:HU186"/>
    <mergeCell ref="HV186:HW186"/>
    <mergeCell ref="HX186:HY186"/>
    <mergeCell ref="HZ186:IA186"/>
    <mergeCell ref="IB186:IC186"/>
    <mergeCell ref="ID186:IE186"/>
    <mergeCell ref="HJ228:HK228"/>
    <mergeCell ref="HF183:HG183"/>
    <mergeCell ref="IF188:IG188"/>
    <mergeCell ref="IF186:IG186"/>
    <mergeCell ref="IH182:II182"/>
    <mergeCell ref="HV183:HW183"/>
    <mergeCell ref="HX183:HY183"/>
    <mergeCell ref="IH189:II189"/>
    <mergeCell ref="ID189:IE189"/>
    <mergeCell ref="IF191:IG191"/>
    <mergeCell ref="HZ196:IA196"/>
    <mergeCell ref="HR186:HS186"/>
    <mergeCell ref="HR195:HS195"/>
    <mergeCell ref="HV228:HW228"/>
    <mergeCell ref="HX228:HY228"/>
    <mergeCell ref="IH192:II192"/>
    <mergeCell ref="IF189:IG189"/>
    <mergeCell ref="IF183:IG183"/>
    <mergeCell ref="IH191:II191"/>
    <mergeCell ref="IF180:IG180"/>
    <mergeCell ref="HF180:HG180"/>
    <mergeCell ref="HJ196:HK196"/>
    <mergeCell ref="HX196:HY196"/>
    <mergeCell ref="HT188:HU188"/>
    <mergeCell ref="HV191:HW191"/>
    <mergeCell ref="IF184:IG184"/>
    <mergeCell ref="GX178:GY178"/>
    <mergeCell ref="GZ221:HA221"/>
    <mergeCell ref="GZ228:HA228"/>
    <mergeCell ref="HZ181:IA181"/>
    <mergeCell ref="HT182:HU182"/>
    <mergeCell ref="HV182:HW182"/>
    <mergeCell ref="HP183:HQ183"/>
    <mergeCell ref="HV178:HW178"/>
    <mergeCell ref="ID183:IE183"/>
    <mergeCell ref="HZ178:IA178"/>
    <mergeCell ref="IB178:IC178"/>
    <mergeCell ref="HN189:HO189"/>
    <mergeCell ref="HP189:HQ189"/>
    <mergeCell ref="HR180:HS180"/>
    <mergeCell ref="IB177:IC177"/>
    <mergeCell ref="HT178:HU178"/>
    <mergeCell ref="ID196:IE196"/>
    <mergeCell ref="HZ183:IA183"/>
    <mergeCell ref="HZ221:IA221"/>
    <mergeCell ref="HR221:HS221"/>
    <mergeCell ref="HJ221:HK221"/>
    <mergeCell ref="HB221:HC221"/>
    <mergeCell ref="HD228:HE228"/>
    <mergeCell ref="HB228:HC228"/>
    <mergeCell ref="HF196:HG196"/>
    <mergeCell ref="ID221:IE221"/>
    <mergeCell ref="HL221:HM221"/>
    <mergeCell ref="HN181:HO181"/>
    <mergeCell ref="HX184:HY184"/>
    <mergeCell ref="GX221:GY221"/>
    <mergeCell ref="ID178:IE178"/>
    <mergeCell ref="HB189:HC189"/>
    <mergeCell ref="HD189:HE189"/>
    <mergeCell ref="HF189:HG189"/>
    <mergeCell ref="HH189:HI189"/>
    <mergeCell ref="HJ189:HK189"/>
    <mergeCell ref="HL189:HM189"/>
    <mergeCell ref="HL180:HM180"/>
    <mergeCell ref="GZ180:HA180"/>
    <mergeCell ref="HP228:HQ228"/>
    <mergeCell ref="HT228:HU228"/>
    <mergeCell ref="ID179:IE179"/>
    <mergeCell ref="HT221:HU221"/>
    <mergeCell ref="HV180:HW180"/>
    <mergeCell ref="HX180:HY180"/>
    <mergeCell ref="HZ180:IA180"/>
    <mergeCell ref="IB180:IC180"/>
    <mergeCell ref="ID180:IE180"/>
    <mergeCell ref="HV181:HW181"/>
    <mergeCell ref="HD181:HE181"/>
    <mergeCell ref="HF181:HG181"/>
    <mergeCell ref="HJ181:HK181"/>
    <mergeCell ref="HN196:HO196"/>
    <mergeCell ref="HV196:HW196"/>
    <mergeCell ref="HH183:HI183"/>
    <mergeCell ref="HR188:HS188"/>
    <mergeCell ref="GX177:GY177"/>
    <mergeCell ref="HR228:HS228"/>
    <mergeCell ref="HR190:HS190"/>
    <mergeCell ref="HT190:HU190"/>
    <mergeCell ref="HT189:HU189"/>
    <mergeCell ref="HV189:HW189"/>
    <mergeCell ref="HT180:HU180"/>
    <mergeCell ref="IB221:IC221"/>
    <mergeCell ref="GX176:GY176"/>
    <mergeCell ref="HT175:HU175"/>
    <mergeCell ref="HP186:HQ186"/>
    <mergeCell ref="IB189:IC189"/>
    <mergeCell ref="HB183:HC183"/>
    <mergeCell ref="HX177:HY177"/>
    <mergeCell ref="HJ178:HK178"/>
    <mergeCell ref="HX221:HY221"/>
    <mergeCell ref="HP196:HQ196"/>
    <mergeCell ref="HZ228:IA228"/>
    <mergeCell ref="IB228:IC228"/>
    <mergeCell ref="HP221:HQ221"/>
    <mergeCell ref="HT181:HU181"/>
    <mergeCell ref="HN221:HO221"/>
    <mergeCell ref="HX181:HY181"/>
    <mergeCell ref="HX175:HY175"/>
    <mergeCell ref="IB176:IC176"/>
    <mergeCell ref="HZ184:IA184"/>
    <mergeCell ref="IB184:IC184"/>
    <mergeCell ref="ID184:IE184"/>
    <mergeCell ref="HR183:HS183"/>
    <mergeCell ref="HT192:HU192"/>
    <mergeCell ref="HV192:HW192"/>
    <mergeCell ref="HX192:HY192"/>
    <mergeCell ref="HZ192:IA192"/>
    <mergeCell ref="IB192:IC192"/>
    <mergeCell ref="ID192:IE192"/>
    <mergeCell ref="GX189:GY189"/>
    <mergeCell ref="GX181:GY181"/>
    <mergeCell ref="GX175:GY175"/>
    <mergeCell ref="ID228:IE228"/>
    <mergeCell ref="HH228:HI228"/>
    <mergeCell ref="HD175:HE175"/>
    <mergeCell ref="HD176:HE176"/>
    <mergeCell ref="HX195:HY195"/>
    <mergeCell ref="HZ195:IA195"/>
    <mergeCell ref="HL196:HM196"/>
    <mergeCell ref="HX182:HY182"/>
    <mergeCell ref="HZ182:IA182"/>
    <mergeCell ref="GZ196:HA196"/>
    <mergeCell ref="HV188:HW188"/>
    <mergeCell ref="HX188:HY188"/>
    <mergeCell ref="HZ188:IA188"/>
    <mergeCell ref="IB188:IC188"/>
    <mergeCell ref="ID188:IE188"/>
    <mergeCell ref="HT196:HU196"/>
    <mergeCell ref="ID181:IE181"/>
    <mergeCell ref="HZ191:IA191"/>
    <mergeCell ref="IB191:IC191"/>
    <mergeCell ref="ID191:IE191"/>
    <mergeCell ref="HT183:HU183"/>
    <mergeCell ref="HF228:HG228"/>
    <mergeCell ref="HD180:HE180"/>
    <mergeCell ref="HD196:HE196"/>
    <mergeCell ref="HF221:HG221"/>
    <mergeCell ref="HB196:HC196"/>
    <mergeCell ref="HB177:HC177"/>
    <mergeCell ref="IB183:IC183"/>
    <mergeCell ref="HP177:HQ177"/>
    <mergeCell ref="HR181:HS181"/>
    <mergeCell ref="HZ179:IA179"/>
    <mergeCell ref="IB179:IC179"/>
    <mergeCell ref="ID175:IE175"/>
    <mergeCell ref="HB181:HC181"/>
    <mergeCell ref="ID176:IE176"/>
    <mergeCell ref="IF168:IG168"/>
    <mergeCell ref="HV162:HW162"/>
    <mergeCell ref="HX162:HY162"/>
    <mergeCell ref="HR173:HS173"/>
    <mergeCell ref="IB173:IC173"/>
    <mergeCell ref="HX173:HY173"/>
    <mergeCell ref="ID173:IE173"/>
    <mergeCell ref="IH167:II167"/>
    <mergeCell ref="IB172:IC172"/>
    <mergeCell ref="HJ170:HK170"/>
    <mergeCell ref="HN171:HO171"/>
    <mergeCell ref="HH170:HI170"/>
    <mergeCell ref="HL168:HM168"/>
    <mergeCell ref="HZ162:IA162"/>
    <mergeCell ref="ID163:IE163"/>
    <mergeCell ref="ID171:IE171"/>
    <mergeCell ref="ID164:IE164"/>
    <mergeCell ref="ID165:IE165"/>
    <mergeCell ref="HZ164:IA164"/>
    <mergeCell ref="HH163:HI163"/>
    <mergeCell ref="IB164:IC164"/>
    <mergeCell ref="HR172:HS172"/>
    <mergeCell ref="HP172:HQ172"/>
    <mergeCell ref="HN170:HO170"/>
    <mergeCell ref="HR170:HS170"/>
    <mergeCell ref="HZ173:IA173"/>
    <mergeCell ref="ID172:IE172"/>
    <mergeCell ref="IF172:IG172"/>
    <mergeCell ref="HP169:HQ169"/>
    <mergeCell ref="HP181:HQ181"/>
    <mergeCell ref="HN180:HO180"/>
    <mergeCell ref="HP180:HQ180"/>
    <mergeCell ref="HT179:HU179"/>
    <mergeCell ref="HV179:HW179"/>
    <mergeCell ref="HX179:HY179"/>
    <mergeCell ref="HH166:HI166"/>
    <mergeCell ref="HT168:HU168"/>
    <mergeCell ref="HP163:HQ163"/>
    <mergeCell ref="HR163:HS163"/>
    <mergeCell ref="HH168:HI168"/>
    <mergeCell ref="HJ168:HK168"/>
    <mergeCell ref="HP165:HQ165"/>
    <mergeCell ref="HJ167:HK167"/>
    <mergeCell ref="HV170:HW170"/>
    <mergeCell ref="HT170:HU170"/>
    <mergeCell ref="HZ168:IA168"/>
    <mergeCell ref="HR174:HS174"/>
    <mergeCell ref="HT174:HU174"/>
    <mergeCell ref="HZ174:IA174"/>
    <mergeCell ref="HR179:HS179"/>
    <mergeCell ref="HJ166:HK166"/>
    <mergeCell ref="HX167:HY167"/>
    <mergeCell ref="HP167:HQ167"/>
    <mergeCell ref="HN174:HO174"/>
    <mergeCell ref="HL163:HM163"/>
    <mergeCell ref="HP168:HQ168"/>
    <mergeCell ref="HX169:HY169"/>
    <mergeCell ref="ID177:IE177"/>
    <mergeCell ref="HR164:HS164"/>
    <mergeCell ref="HN163:HO163"/>
    <mergeCell ref="HV171:HW171"/>
    <mergeCell ref="HL173:HM173"/>
    <mergeCell ref="HX165:HY165"/>
    <mergeCell ref="IB182:IC182"/>
    <mergeCell ref="IH195:II195"/>
    <mergeCell ref="IB181:IC181"/>
    <mergeCell ref="IB196:IC196"/>
    <mergeCell ref="HR189:HS189"/>
    <mergeCell ref="HJ183:HK183"/>
    <mergeCell ref="HL183:HM183"/>
    <mergeCell ref="HF161:HG161"/>
    <mergeCell ref="HX164:HY164"/>
    <mergeCell ref="HN161:HO161"/>
    <mergeCell ref="HJ162:HK162"/>
    <mergeCell ref="HH165:HI165"/>
    <mergeCell ref="HJ159:HK159"/>
    <mergeCell ref="HD165:HE165"/>
    <mergeCell ref="HV163:HW163"/>
    <mergeCell ref="HL161:HM161"/>
    <mergeCell ref="HT162:HU162"/>
    <mergeCell ref="HF163:HG163"/>
    <mergeCell ref="HD162:HE162"/>
    <mergeCell ref="HD171:HE171"/>
    <mergeCell ref="HD167:HE167"/>
    <mergeCell ref="HV166:HW166"/>
    <mergeCell ref="HL162:HM162"/>
    <mergeCell ref="ID174:IE174"/>
    <mergeCell ref="IF173:IG173"/>
    <mergeCell ref="IF166:IG166"/>
    <mergeCell ref="ID170:IE170"/>
    <mergeCell ref="ID162:IE162"/>
    <mergeCell ref="IH161:II161"/>
    <mergeCell ref="IF167:IG167"/>
    <mergeCell ref="HJ161:HK161"/>
    <mergeCell ref="HH162:HI162"/>
    <mergeCell ref="HR161:HS161"/>
    <mergeCell ref="IB161:IC161"/>
    <mergeCell ref="IB171:IC171"/>
    <mergeCell ref="HL169:HM169"/>
    <mergeCell ref="HR166:HS166"/>
    <mergeCell ref="HX171:HY171"/>
    <mergeCell ref="HJ169:HK169"/>
    <mergeCell ref="HP170:HQ170"/>
    <mergeCell ref="HH167:HI167"/>
    <mergeCell ref="ID168:IE168"/>
    <mergeCell ref="IB168:IC168"/>
    <mergeCell ref="ID169:IE169"/>
    <mergeCell ref="IB170:IC170"/>
    <mergeCell ref="HX166:HY166"/>
    <mergeCell ref="HL172:HM172"/>
    <mergeCell ref="HZ171:IA171"/>
    <mergeCell ref="HZ172:IA172"/>
    <mergeCell ref="HN172:HO172"/>
    <mergeCell ref="HT167:HU167"/>
    <mergeCell ref="HH172:HI172"/>
    <mergeCell ref="HJ172:HK172"/>
    <mergeCell ref="IH163:II163"/>
    <mergeCell ref="HH161:HI161"/>
    <mergeCell ref="ID167:IE167"/>
    <mergeCell ref="IB174:IC174"/>
    <mergeCell ref="HV172:HW172"/>
    <mergeCell ref="HT165:HU165"/>
    <mergeCell ref="HT164:HU164"/>
    <mergeCell ref="HT171:HU171"/>
    <mergeCell ref="HZ166:IA166"/>
    <mergeCell ref="HP160:HQ160"/>
    <mergeCell ref="HR162:HS162"/>
    <mergeCell ref="IB175:IC175"/>
    <mergeCell ref="HZ177:IA177"/>
    <mergeCell ref="HN175:HO175"/>
    <mergeCell ref="HN178:HO178"/>
    <mergeCell ref="HP178:HQ178"/>
    <mergeCell ref="HD169:HE169"/>
    <mergeCell ref="HD164:HE164"/>
    <mergeCell ref="HF168:HG168"/>
    <mergeCell ref="HH175:HI175"/>
    <mergeCell ref="HN177:HO177"/>
    <mergeCell ref="HR175:HS175"/>
    <mergeCell ref="HL175:HM175"/>
    <mergeCell ref="HV164:HW164"/>
    <mergeCell ref="HJ164:HK164"/>
    <mergeCell ref="HL178:HM178"/>
    <mergeCell ref="HL177:HM177"/>
    <mergeCell ref="HJ174:HK174"/>
    <mergeCell ref="HF166:HG166"/>
    <mergeCell ref="HL167:HM167"/>
    <mergeCell ref="HH169:HI169"/>
    <mergeCell ref="HV174:HW174"/>
    <mergeCell ref="HX176:HY176"/>
    <mergeCell ref="HV177:HW177"/>
    <mergeCell ref="HJ165:HK165"/>
    <mergeCell ref="HV165:HW165"/>
    <mergeCell ref="HP173:HQ173"/>
    <mergeCell ref="IB167:IC167"/>
    <mergeCell ref="HT173:HU173"/>
    <mergeCell ref="HN173:HO173"/>
    <mergeCell ref="HP175:HQ175"/>
    <mergeCell ref="HF178:HG178"/>
    <mergeCell ref="HD177:HE177"/>
    <mergeCell ref="HD178:HE178"/>
    <mergeCell ref="HF171:HG171"/>
    <mergeCell ref="HF172:HG172"/>
    <mergeCell ref="HF165:HG165"/>
    <mergeCell ref="HD166:HE166"/>
    <mergeCell ref="HF176:HG176"/>
    <mergeCell ref="HZ176:IA176"/>
    <mergeCell ref="HP166:HQ166"/>
    <mergeCell ref="HH164:HI164"/>
    <mergeCell ref="HT166:HU166"/>
    <mergeCell ref="HN164:HO164"/>
    <mergeCell ref="HL165:HM165"/>
    <mergeCell ref="HR165:HS165"/>
    <mergeCell ref="HV168:HW168"/>
    <mergeCell ref="HV167:HW167"/>
    <mergeCell ref="HN167:HO167"/>
    <mergeCell ref="HL157:HM157"/>
    <mergeCell ref="HP158:HQ158"/>
    <mergeCell ref="HT160:HU160"/>
    <mergeCell ref="HP161:HQ161"/>
    <mergeCell ref="HP174:HQ174"/>
    <mergeCell ref="HT169:HU169"/>
    <mergeCell ref="HV169:HW169"/>
    <mergeCell ref="HX170:HY170"/>
    <mergeCell ref="HJ163:HK163"/>
    <mergeCell ref="HT161:HU161"/>
    <mergeCell ref="HT163:HU163"/>
    <mergeCell ref="GZ167:HA167"/>
    <mergeCell ref="HJ173:HK173"/>
    <mergeCell ref="HT158:HU158"/>
    <mergeCell ref="HH174:HI174"/>
    <mergeCell ref="HP176:HQ176"/>
    <mergeCell ref="HR176:HS176"/>
    <mergeCell ref="HV157:HW157"/>
    <mergeCell ref="HZ165:IA165"/>
    <mergeCell ref="HZ163:IA163"/>
    <mergeCell ref="HL170:HM170"/>
    <mergeCell ref="HB173:HC173"/>
    <mergeCell ref="HB169:HC169"/>
    <mergeCell ref="HB170:HC170"/>
    <mergeCell ref="HD173:HE173"/>
    <mergeCell ref="HF174:HG174"/>
    <mergeCell ref="HZ170:IA170"/>
    <mergeCell ref="HZ175:IA175"/>
    <mergeCell ref="HZ169:IA169"/>
    <mergeCell ref="HB165:HC165"/>
    <mergeCell ref="HV176:HW176"/>
    <mergeCell ref="HN176:HO176"/>
    <mergeCell ref="HH176:HI176"/>
    <mergeCell ref="HB171:HC171"/>
    <mergeCell ref="HB163:HC163"/>
    <mergeCell ref="HF169:HG169"/>
    <mergeCell ref="HL176:HM176"/>
    <mergeCell ref="HB176:HC176"/>
    <mergeCell ref="HX163:HY163"/>
    <mergeCell ref="GZ176:HA176"/>
    <mergeCell ref="HB162:HC162"/>
    <mergeCell ref="HJ157:HK157"/>
    <mergeCell ref="HH157:HI157"/>
    <mergeCell ref="HD163:HE163"/>
    <mergeCell ref="GZ178:HA178"/>
    <mergeCell ref="HH178:HI178"/>
    <mergeCell ref="HT159:HU159"/>
    <mergeCell ref="HJ175:HK175"/>
    <mergeCell ref="HR159:HS159"/>
    <mergeCell ref="HN159:HO159"/>
    <mergeCell ref="HV160:HW160"/>
    <mergeCell ref="HV159:HW159"/>
    <mergeCell ref="HV158:HW158"/>
    <mergeCell ref="HD158:HE158"/>
    <mergeCell ref="HF175:HG175"/>
    <mergeCell ref="HF164:HG164"/>
    <mergeCell ref="HP164:HQ164"/>
    <mergeCell ref="HR168:HS168"/>
    <mergeCell ref="HF177:HG177"/>
    <mergeCell ref="HD170:HE170"/>
    <mergeCell ref="HD174:HE174"/>
    <mergeCell ref="HN169:HO169"/>
    <mergeCell ref="HR169:HS169"/>
    <mergeCell ref="HX174:HY174"/>
    <mergeCell ref="HV173:HW173"/>
    <mergeCell ref="HJ176:HK176"/>
    <mergeCell ref="HR171:HS171"/>
    <mergeCell ref="HB164:HC164"/>
    <mergeCell ref="HB168:HC168"/>
    <mergeCell ref="GZ158:HA158"/>
    <mergeCell ref="HB175:HC175"/>
    <mergeCell ref="GZ163:HA163"/>
    <mergeCell ref="GZ166:HA166"/>
    <mergeCell ref="GZ165:HA165"/>
    <mergeCell ref="HB166:HC166"/>
    <mergeCell ref="HB167:HC167"/>
    <mergeCell ref="HB178:HC178"/>
    <mergeCell ref="HB172:HC172"/>
    <mergeCell ref="HB174:HC174"/>
    <mergeCell ref="GZ177:HA177"/>
    <mergeCell ref="HX172:HY172"/>
    <mergeCell ref="HH160:HI160"/>
    <mergeCell ref="HJ160:HK160"/>
    <mergeCell ref="HL158:HM158"/>
    <mergeCell ref="HN158:HO158"/>
    <mergeCell ref="HN166:HO166"/>
    <mergeCell ref="HN168:HO168"/>
    <mergeCell ref="HT176:HU176"/>
    <mergeCell ref="HF173:HG173"/>
    <mergeCell ref="HF160:HG160"/>
    <mergeCell ref="HP171:HQ171"/>
    <mergeCell ref="HJ171:HK171"/>
    <mergeCell ref="HJ177:HK177"/>
    <mergeCell ref="HT177:HU177"/>
    <mergeCell ref="HR178:HS178"/>
    <mergeCell ref="HR177:HS177"/>
    <mergeCell ref="HH177:HI177"/>
    <mergeCell ref="HX178:HY178"/>
    <mergeCell ref="HJ158:HK158"/>
    <mergeCell ref="HR160:HS160"/>
    <mergeCell ref="HH158:HI158"/>
    <mergeCell ref="HH159:HI159"/>
    <mergeCell ref="HT172:HU172"/>
    <mergeCell ref="HV175:HW175"/>
    <mergeCell ref="HX168:HY168"/>
    <mergeCell ref="HH173:HI173"/>
    <mergeCell ref="HL174:HM174"/>
    <mergeCell ref="HL171:HM171"/>
    <mergeCell ref="IB159:IC159"/>
    <mergeCell ref="HV151:HW151"/>
    <mergeCell ref="HR149:HS149"/>
    <mergeCell ref="HT151:HU151"/>
    <mergeCell ref="HV150:HW150"/>
    <mergeCell ref="HP152:HQ152"/>
    <mergeCell ref="HT156:HU156"/>
    <mergeCell ref="HN155:HO155"/>
    <mergeCell ref="HN151:HO151"/>
    <mergeCell ref="HN149:HO149"/>
    <mergeCell ref="HR157:HS157"/>
    <mergeCell ref="HT157:HU157"/>
    <mergeCell ref="ID166:IE166"/>
    <mergeCell ref="IB160:IC160"/>
    <mergeCell ref="IB166:IC166"/>
    <mergeCell ref="IB155:IC155"/>
    <mergeCell ref="ID160:IE160"/>
    <mergeCell ref="HX156:HY156"/>
    <mergeCell ref="HX154:HY154"/>
    <mergeCell ref="HN147:HO147"/>
    <mergeCell ref="HL152:HM152"/>
    <mergeCell ref="HF170:HG170"/>
    <mergeCell ref="HH171:HI171"/>
    <mergeCell ref="IB146:IC146"/>
    <mergeCell ref="ID150:IE150"/>
    <mergeCell ref="HP157:HQ157"/>
    <mergeCell ref="HX150:HY150"/>
    <mergeCell ref="IB165:IC165"/>
    <mergeCell ref="HL166:HM166"/>
    <mergeCell ref="HZ153:IA153"/>
    <mergeCell ref="IB153:IC153"/>
    <mergeCell ref="IB163:IC163"/>
    <mergeCell ref="IB162:IC162"/>
    <mergeCell ref="HL164:HM164"/>
    <mergeCell ref="HN165:HO165"/>
    <mergeCell ref="HN162:HO162"/>
    <mergeCell ref="HP147:HQ147"/>
    <mergeCell ref="HX155:HY155"/>
    <mergeCell ref="HV149:HW149"/>
    <mergeCell ref="IB148:IC148"/>
    <mergeCell ref="HZ148:IA148"/>
    <mergeCell ref="HN156:HO156"/>
    <mergeCell ref="HH147:HI147"/>
    <mergeCell ref="HR158:HS158"/>
    <mergeCell ref="HZ159:IA159"/>
    <mergeCell ref="HP159:HQ159"/>
    <mergeCell ref="HN157:HO157"/>
    <mergeCell ref="HX157:HY157"/>
    <mergeCell ref="HL160:HM160"/>
    <mergeCell ref="HH155:HI155"/>
    <mergeCell ref="HJ155:HK155"/>
    <mergeCell ref="ID161:IE161"/>
    <mergeCell ref="HX159:HY159"/>
    <mergeCell ref="HR167:HS167"/>
    <mergeCell ref="HP162:HQ162"/>
    <mergeCell ref="HN160:HO160"/>
    <mergeCell ref="HZ167:IA167"/>
    <mergeCell ref="HZ161:IA161"/>
    <mergeCell ref="HZ157:IA157"/>
    <mergeCell ref="IB169:IC169"/>
    <mergeCell ref="HL159:HM159"/>
    <mergeCell ref="HX161:HY161"/>
    <mergeCell ref="HV161:HW161"/>
    <mergeCell ref="HP156:HQ156"/>
    <mergeCell ref="HZ142:IA142"/>
    <mergeCell ref="HT138:HU138"/>
    <mergeCell ref="HZ138:IA138"/>
    <mergeCell ref="HX146:HY146"/>
    <mergeCell ref="IB145:IC145"/>
    <mergeCell ref="ID151:IE151"/>
    <mergeCell ref="HV148:HW148"/>
    <mergeCell ref="HV156:HW156"/>
    <mergeCell ref="HR139:HS139"/>
    <mergeCell ref="HZ140:IA140"/>
    <mergeCell ref="HT141:HU141"/>
    <mergeCell ref="HV139:HW139"/>
    <mergeCell ref="ID139:IE139"/>
    <mergeCell ref="HL139:HM139"/>
    <mergeCell ref="HN150:HO150"/>
    <mergeCell ref="HP139:HQ139"/>
    <mergeCell ref="HP151:HQ151"/>
    <mergeCell ref="HX145:HY145"/>
    <mergeCell ref="HR143:HS143"/>
    <mergeCell ref="HR145:HS145"/>
    <mergeCell ref="HX147:HY147"/>
    <mergeCell ref="HR154:HS154"/>
    <mergeCell ref="HR152:HS152"/>
    <mergeCell ref="HR156:HS156"/>
    <mergeCell ref="HP154:HQ154"/>
    <mergeCell ref="HP144:HQ144"/>
    <mergeCell ref="HP145:HQ145"/>
    <mergeCell ref="ID144:IE144"/>
    <mergeCell ref="HX143:HY143"/>
    <mergeCell ref="HP153:HQ153"/>
    <mergeCell ref="HX153:HY153"/>
    <mergeCell ref="HT153:HU153"/>
    <mergeCell ref="HX141:HY141"/>
    <mergeCell ref="HL154:HM154"/>
    <mergeCell ref="HV142:HW142"/>
    <mergeCell ref="HX151:HY151"/>
    <mergeCell ref="HN145:HO145"/>
    <mergeCell ref="HX142:HY142"/>
    <mergeCell ref="HN140:HO140"/>
    <mergeCell ref="HN138:HO138"/>
    <mergeCell ref="HN141:HO141"/>
    <mergeCell ref="HL142:HM142"/>
    <mergeCell ref="HT155:HU155"/>
    <mergeCell ref="HP155:HQ155"/>
    <mergeCell ref="HT149:HU149"/>
    <mergeCell ref="HT147:HU147"/>
    <mergeCell ref="HR151:HS151"/>
    <mergeCell ref="HX149:HY149"/>
    <mergeCell ref="HP140:HQ140"/>
    <mergeCell ref="HR150:HS150"/>
    <mergeCell ref="HR153:HS153"/>
    <mergeCell ref="HL145:HM145"/>
    <mergeCell ref="HP141:HQ141"/>
    <mergeCell ref="HL138:HM138"/>
    <mergeCell ref="HP143:HQ143"/>
    <mergeCell ref="HV145:HW145"/>
    <mergeCell ref="HN152:HO152"/>
    <mergeCell ref="HN146:HO146"/>
    <mergeCell ref="HZ150:IA150"/>
    <mergeCell ref="HP146:HQ146"/>
    <mergeCell ref="HZ152:IA152"/>
    <mergeCell ref="HT146:HU146"/>
    <mergeCell ref="ID147:IE147"/>
    <mergeCell ref="HV147:HW147"/>
    <mergeCell ref="HN121:HO121"/>
    <mergeCell ref="HL148:HM148"/>
    <mergeCell ref="HT143:HU143"/>
    <mergeCell ref="HR147:HS147"/>
    <mergeCell ref="HP136:HQ136"/>
    <mergeCell ref="HT136:HU136"/>
    <mergeCell ref="HN131:HO131"/>
    <mergeCell ref="HN136:HO136"/>
    <mergeCell ref="HT142:HU142"/>
    <mergeCell ref="HR138:HS138"/>
    <mergeCell ref="HX129:HY129"/>
    <mergeCell ref="HV144:HW144"/>
    <mergeCell ref="HV146:HW146"/>
    <mergeCell ref="HN153:HO153"/>
    <mergeCell ref="HX139:HY139"/>
    <mergeCell ref="HX130:HY130"/>
    <mergeCell ref="HL131:HM131"/>
    <mergeCell ref="HL127:HM127"/>
    <mergeCell ref="HL126:HM126"/>
    <mergeCell ref="HR142:HS142"/>
    <mergeCell ref="HR137:HS137"/>
    <mergeCell ref="HR140:HS140"/>
    <mergeCell ref="HV153:HW153"/>
    <mergeCell ref="HR135:HS135"/>
    <mergeCell ref="HP137:HQ137"/>
    <mergeCell ref="HX134:HY134"/>
    <mergeCell ref="HP134:HQ134"/>
    <mergeCell ref="HP133:HQ133"/>
    <mergeCell ref="HV137:HW137"/>
    <mergeCell ref="HT137:HU137"/>
    <mergeCell ref="HV124:HW124"/>
    <mergeCell ref="HX140:HY140"/>
    <mergeCell ref="HV129:HW129"/>
    <mergeCell ref="HX126:HY126"/>
    <mergeCell ref="HT148:HU148"/>
    <mergeCell ref="HR146:HS146"/>
    <mergeCell ref="HX148:HY148"/>
    <mergeCell ref="HL151:HM151"/>
    <mergeCell ref="HR148:HS148"/>
    <mergeCell ref="HP120:HQ120"/>
    <mergeCell ref="HL117:HM117"/>
    <mergeCell ref="HN119:HO119"/>
    <mergeCell ref="HN115:HO115"/>
    <mergeCell ref="HP114:HQ114"/>
    <mergeCell ref="HZ99:IA99"/>
    <mergeCell ref="HP129:HQ129"/>
    <mergeCell ref="HP138:HQ138"/>
    <mergeCell ref="HL136:HM136"/>
    <mergeCell ref="HL137:HM137"/>
    <mergeCell ref="HR123:HS123"/>
    <mergeCell ref="HT120:HU120"/>
    <mergeCell ref="HT127:HU127"/>
    <mergeCell ref="HR128:HS128"/>
    <mergeCell ref="HR129:HS129"/>
    <mergeCell ref="HT130:HU130"/>
    <mergeCell ref="HR130:HS130"/>
    <mergeCell ref="HR122:HS122"/>
    <mergeCell ref="HT123:HU123"/>
    <mergeCell ref="HT133:HU133"/>
    <mergeCell ref="HT128:HU128"/>
    <mergeCell ref="HL140:HM140"/>
    <mergeCell ref="HN148:HO148"/>
    <mergeCell ref="HN137:HO137"/>
    <mergeCell ref="HJ131:HK131"/>
    <mergeCell ref="HJ129:HK129"/>
    <mergeCell ref="HJ135:HK135"/>
    <mergeCell ref="HT129:HU129"/>
    <mergeCell ref="HV125:HW125"/>
    <mergeCell ref="HT131:HU131"/>
    <mergeCell ref="HR132:HS132"/>
    <mergeCell ref="HZ131:IA131"/>
    <mergeCell ref="HZ125:IA125"/>
    <mergeCell ref="HR131:HS131"/>
    <mergeCell ref="HR113:HS113"/>
    <mergeCell ref="HR127:HS127"/>
    <mergeCell ref="HX122:HY122"/>
    <mergeCell ref="HP111:HQ111"/>
    <mergeCell ref="HZ115:IA115"/>
    <mergeCell ref="HX118:HY118"/>
    <mergeCell ref="HX113:HY113"/>
    <mergeCell ref="HP128:HQ128"/>
    <mergeCell ref="HP119:HQ119"/>
    <mergeCell ref="HL144:HM144"/>
    <mergeCell ref="HL143:HM143"/>
    <mergeCell ref="HN142:HO142"/>
    <mergeCell ref="HT145:HU145"/>
    <mergeCell ref="HN139:HO139"/>
    <mergeCell ref="HR141:HS141"/>
    <mergeCell ref="HZ111:IA111"/>
    <mergeCell ref="HZ120:IA120"/>
    <mergeCell ref="HX117:HY117"/>
    <mergeCell ref="HN129:HO129"/>
    <mergeCell ref="HR136:HS136"/>
    <mergeCell ref="HR134:HS134"/>
    <mergeCell ref="HR124:HS124"/>
    <mergeCell ref="HT126:HU126"/>
    <mergeCell ref="HR125:HS125"/>
    <mergeCell ref="HR133:HS133"/>
    <mergeCell ref="HT132:HU132"/>
    <mergeCell ref="HV136:HW136"/>
    <mergeCell ref="HL120:HM120"/>
    <mergeCell ref="HP135:HQ135"/>
    <mergeCell ref="HN122:HO122"/>
    <mergeCell ref="HR119:HS119"/>
    <mergeCell ref="HJ119:HK119"/>
    <mergeCell ref="HL113:HM113"/>
    <mergeCell ref="HL118:HM118"/>
    <mergeCell ref="HF111:HG111"/>
    <mergeCell ref="HP123:HQ123"/>
    <mergeCell ref="HN127:HO127"/>
    <mergeCell ref="HJ122:HK122"/>
    <mergeCell ref="HV102:HW102"/>
    <mergeCell ref="HJ156:HK156"/>
    <mergeCell ref="HP131:HQ131"/>
    <mergeCell ref="HP125:HQ125"/>
    <mergeCell ref="HN135:HO135"/>
    <mergeCell ref="HN130:HO130"/>
    <mergeCell ref="HX128:HY128"/>
    <mergeCell ref="HX125:HY125"/>
    <mergeCell ref="HN89:HO89"/>
    <mergeCell ref="HN128:HO128"/>
    <mergeCell ref="HF131:HG131"/>
    <mergeCell ref="HN125:HO125"/>
    <mergeCell ref="HV123:HW123"/>
    <mergeCell ref="HH112:HI112"/>
    <mergeCell ref="HJ130:HK130"/>
    <mergeCell ref="HP130:HQ130"/>
    <mergeCell ref="HT125:HU125"/>
    <mergeCell ref="HP122:HQ122"/>
    <mergeCell ref="HN113:HO113"/>
    <mergeCell ref="HJ148:HK148"/>
    <mergeCell ref="HF145:HG145"/>
    <mergeCell ref="HL135:HM135"/>
    <mergeCell ref="HL132:HM132"/>
    <mergeCell ref="HJ128:HK128"/>
    <mergeCell ref="HL130:HM130"/>
    <mergeCell ref="HL128:HM128"/>
    <mergeCell ref="HR155:HS155"/>
    <mergeCell ref="HN154:HO154"/>
    <mergeCell ref="HN144:HO144"/>
    <mergeCell ref="HP150:HQ150"/>
    <mergeCell ref="HP149:HQ149"/>
    <mergeCell ref="HP142:HQ142"/>
    <mergeCell ref="HT152:HU152"/>
    <mergeCell ref="HT144:HU144"/>
    <mergeCell ref="HT139:HU139"/>
    <mergeCell ref="HT140:HU140"/>
    <mergeCell ref="HN133:HO133"/>
    <mergeCell ref="HN143:HO143"/>
    <mergeCell ref="HP148:HQ148"/>
    <mergeCell ref="HN132:HO132"/>
    <mergeCell ref="HR144:HS144"/>
    <mergeCell ref="HT154:HU154"/>
    <mergeCell ref="HT150:HU150"/>
    <mergeCell ref="HT135:HU135"/>
    <mergeCell ref="HT134:HU134"/>
    <mergeCell ref="HL146:HM146"/>
    <mergeCell ref="HN134:HO134"/>
    <mergeCell ref="HL149:HM149"/>
    <mergeCell ref="HJ133:HK133"/>
    <mergeCell ref="HH114:HI114"/>
    <mergeCell ref="HJ118:HK118"/>
    <mergeCell ref="HN118:HO118"/>
    <mergeCell ref="HN120:HO120"/>
    <mergeCell ref="HR120:HS120"/>
    <mergeCell ref="HT118:HU118"/>
    <mergeCell ref="HJ151:HK151"/>
    <mergeCell ref="HB114:HC114"/>
    <mergeCell ref="HD116:HE116"/>
    <mergeCell ref="HD115:HE115"/>
    <mergeCell ref="HD80:HE80"/>
    <mergeCell ref="HJ92:HK92"/>
    <mergeCell ref="HL92:HM92"/>
    <mergeCell ref="HN92:HO92"/>
    <mergeCell ref="HP92:HQ92"/>
    <mergeCell ref="HR92:HS92"/>
    <mergeCell ref="HT92:HU92"/>
    <mergeCell ref="HD91:HE91"/>
    <mergeCell ref="HL82:HM82"/>
    <mergeCell ref="HB83:HC83"/>
    <mergeCell ref="HB115:HC115"/>
    <mergeCell ref="HF80:HG80"/>
    <mergeCell ref="HL80:HM80"/>
    <mergeCell ref="HJ85:HK85"/>
    <mergeCell ref="HF85:HG85"/>
    <mergeCell ref="HF112:HG112"/>
    <mergeCell ref="HL112:HM112"/>
    <mergeCell ref="HB81:HC81"/>
    <mergeCell ref="HT113:HU113"/>
    <mergeCell ref="HB116:HC116"/>
    <mergeCell ref="HB88:HC88"/>
    <mergeCell ref="HB112:HC112"/>
    <mergeCell ref="HN91:HO91"/>
    <mergeCell ref="HD89:HE89"/>
    <mergeCell ref="HB106:HC106"/>
    <mergeCell ref="HL91:HM91"/>
    <mergeCell ref="HP127:HQ127"/>
    <mergeCell ref="HT121:HU121"/>
    <mergeCell ref="HF92:HG92"/>
    <mergeCell ref="HH92:HI92"/>
    <mergeCell ref="HP112:HQ112"/>
    <mergeCell ref="HN112:HO112"/>
    <mergeCell ref="HJ86:HK86"/>
    <mergeCell ref="HH91:HI91"/>
    <mergeCell ref="HB118:HC118"/>
    <mergeCell ref="HH120:HI120"/>
    <mergeCell ref="HL125:HM125"/>
    <mergeCell ref="HL119:HM119"/>
    <mergeCell ref="HF123:HG123"/>
    <mergeCell ref="HJ121:HK121"/>
    <mergeCell ref="HR121:HS121"/>
    <mergeCell ref="HT124:HU124"/>
    <mergeCell ref="HN123:HO123"/>
    <mergeCell ref="HN124:HO124"/>
    <mergeCell ref="HR126:HS126"/>
    <mergeCell ref="HT122:HU122"/>
    <mergeCell ref="HP124:HQ124"/>
    <mergeCell ref="HP126:HQ126"/>
    <mergeCell ref="HN126:HO126"/>
    <mergeCell ref="HT116:HU116"/>
    <mergeCell ref="HR115:HS115"/>
    <mergeCell ref="HT115:HU115"/>
    <mergeCell ref="HD119:HE119"/>
    <mergeCell ref="HJ120:HK120"/>
    <mergeCell ref="HD118:HE118"/>
    <mergeCell ref="HT119:HU119"/>
    <mergeCell ref="HN114:HO114"/>
    <mergeCell ref="HT100:HU100"/>
    <mergeCell ref="HP121:HQ121"/>
    <mergeCell ref="HP118:HQ118"/>
    <mergeCell ref="HR118:HS118"/>
    <mergeCell ref="GZ117:HA117"/>
    <mergeCell ref="HJ74:HK74"/>
    <mergeCell ref="HD97:HE97"/>
    <mergeCell ref="HF97:HG97"/>
    <mergeCell ref="HH97:HI97"/>
    <mergeCell ref="HJ97:HK97"/>
    <mergeCell ref="HL97:HM97"/>
    <mergeCell ref="HN97:HO97"/>
    <mergeCell ref="HJ93:HK93"/>
    <mergeCell ref="HD88:HE88"/>
    <mergeCell ref="HF84:HG84"/>
    <mergeCell ref="HR79:HS79"/>
    <mergeCell ref="HL116:HM116"/>
    <mergeCell ref="HF116:HG116"/>
    <mergeCell ref="GZ121:HA121"/>
    <mergeCell ref="HB117:HC117"/>
    <mergeCell ref="HF118:HG118"/>
    <mergeCell ref="HF117:HG117"/>
    <mergeCell ref="HD117:HE117"/>
    <mergeCell ref="HJ126:HK126"/>
    <mergeCell ref="GZ89:HA89"/>
    <mergeCell ref="GZ86:HA86"/>
    <mergeCell ref="HR87:HS87"/>
    <mergeCell ref="HP89:HQ89"/>
    <mergeCell ref="HJ89:HK89"/>
    <mergeCell ref="HL89:HM89"/>
    <mergeCell ref="HR89:HS89"/>
    <mergeCell ref="HB100:HC100"/>
    <mergeCell ref="HD100:HE100"/>
    <mergeCell ref="HF100:HG100"/>
    <mergeCell ref="HH100:HI100"/>
    <mergeCell ref="HL100:HM100"/>
    <mergeCell ref="HN100:HO100"/>
    <mergeCell ref="HP100:HQ100"/>
    <mergeCell ref="HR100:HS100"/>
    <mergeCell ref="HF93:HG93"/>
    <mergeCell ref="HP97:HQ97"/>
    <mergeCell ref="HR97:HS97"/>
    <mergeCell ref="HL111:HM111"/>
    <mergeCell ref="HB87:HC87"/>
    <mergeCell ref="HD86:HE86"/>
    <mergeCell ref="HF89:HG89"/>
    <mergeCell ref="HF102:HG102"/>
    <mergeCell ref="HN93:HO93"/>
    <mergeCell ref="HH83:HI83"/>
    <mergeCell ref="HB93:HC93"/>
    <mergeCell ref="HP93:HQ93"/>
    <mergeCell ref="HH117:HI117"/>
    <mergeCell ref="HF78:HG78"/>
    <mergeCell ref="HF82:HG82"/>
    <mergeCell ref="HH111:HI111"/>
    <mergeCell ref="HB111:HC111"/>
    <mergeCell ref="HP88:HQ88"/>
    <mergeCell ref="HD111:HE111"/>
    <mergeCell ref="HH81:HI81"/>
    <mergeCell ref="HP99:HQ99"/>
    <mergeCell ref="HR99:HS99"/>
    <mergeCell ref="HB113:HC113"/>
    <mergeCell ref="GZ74:HA74"/>
    <mergeCell ref="GZ76:HA76"/>
    <mergeCell ref="HJ88:HK88"/>
    <mergeCell ref="HR82:HS82"/>
    <mergeCell ref="GZ113:HA113"/>
    <mergeCell ref="HR74:HS74"/>
    <mergeCell ref="HT73:HU73"/>
    <mergeCell ref="HF71:HG71"/>
    <mergeCell ref="HH71:HI71"/>
    <mergeCell ref="HJ71:HK71"/>
    <mergeCell ref="HN71:HO71"/>
    <mergeCell ref="HT71:HU71"/>
    <mergeCell ref="HJ75:HK75"/>
    <mergeCell ref="HH75:HI75"/>
    <mergeCell ref="HB89:HC89"/>
    <mergeCell ref="HJ72:HK72"/>
    <mergeCell ref="HL72:HM72"/>
    <mergeCell ref="HB75:HC75"/>
    <mergeCell ref="HL77:HM77"/>
    <mergeCell ref="HP71:HQ71"/>
    <mergeCell ref="HN72:HO72"/>
    <mergeCell ref="HB86:HC86"/>
    <mergeCell ref="HP77:HQ77"/>
    <mergeCell ref="HB76:HC76"/>
    <mergeCell ref="HD85:HE85"/>
    <mergeCell ref="HR72:HS72"/>
    <mergeCell ref="HN85:HO85"/>
    <mergeCell ref="HD73:HE73"/>
    <mergeCell ref="HF75:HG75"/>
    <mergeCell ref="HN73:HO73"/>
    <mergeCell ref="HB72:HC72"/>
    <mergeCell ref="HB73:HC73"/>
    <mergeCell ref="HF72:HG72"/>
    <mergeCell ref="HF68:HG68"/>
    <mergeCell ref="HF87:HG87"/>
    <mergeCell ref="HB64:HC64"/>
    <mergeCell ref="HJ76:HK76"/>
    <mergeCell ref="HT75:HU75"/>
    <mergeCell ref="HR76:HS76"/>
    <mergeCell ref="HF77:HG77"/>
    <mergeCell ref="HN77:HO77"/>
    <mergeCell ref="HF74:HG74"/>
    <mergeCell ref="HL76:HM76"/>
    <mergeCell ref="HT72:HU72"/>
    <mergeCell ref="HN74:HO74"/>
    <mergeCell ref="HH84:HI84"/>
    <mergeCell ref="HJ84:HK84"/>
    <mergeCell ref="HD84:HE84"/>
    <mergeCell ref="HF73:HG73"/>
    <mergeCell ref="HP68:HQ68"/>
    <mergeCell ref="HD68:HE68"/>
    <mergeCell ref="HR65:HS65"/>
    <mergeCell ref="HJ64:HK64"/>
    <mergeCell ref="HN67:HO67"/>
    <mergeCell ref="HR85:HS85"/>
    <mergeCell ref="HT85:HU85"/>
    <mergeCell ref="HR71:HS71"/>
    <mergeCell ref="HP80:HQ80"/>
    <mergeCell ref="HN84:HO84"/>
    <mergeCell ref="HD72:HE72"/>
    <mergeCell ref="HD75:HE75"/>
    <mergeCell ref="HT74:HU74"/>
    <mergeCell ref="HR64:HS64"/>
    <mergeCell ref="HB65:HC65"/>
    <mergeCell ref="HB66:HC66"/>
    <mergeCell ref="HT67:HU67"/>
    <mergeCell ref="HT66:HU66"/>
    <mergeCell ref="HL64:HM64"/>
    <mergeCell ref="HN64:HO64"/>
    <mergeCell ref="HP64:HQ64"/>
    <mergeCell ref="HR73:HS73"/>
    <mergeCell ref="HB67:HC67"/>
    <mergeCell ref="HD67:HE67"/>
    <mergeCell ref="HF67:HG67"/>
    <mergeCell ref="HD71:HE71"/>
    <mergeCell ref="GZ69:HA69"/>
    <mergeCell ref="HH72:HI72"/>
    <mergeCell ref="GZ100:HA100"/>
    <mergeCell ref="HJ70:HK70"/>
    <mergeCell ref="HL71:HM71"/>
    <mergeCell ref="GZ102:HA102"/>
    <mergeCell ref="HB99:HC99"/>
    <mergeCell ref="HD99:HE99"/>
    <mergeCell ref="HF99:HG99"/>
    <mergeCell ref="HH99:HI99"/>
    <mergeCell ref="HD113:HE113"/>
    <mergeCell ref="HB92:HC92"/>
    <mergeCell ref="HJ113:HK113"/>
    <mergeCell ref="HJ79:HK79"/>
    <mergeCell ref="HL83:HM83"/>
    <mergeCell ref="HR112:HS112"/>
    <mergeCell ref="HR86:HS86"/>
    <mergeCell ref="HR88:HS88"/>
    <mergeCell ref="HH93:HI93"/>
    <mergeCell ref="GZ79:HA79"/>
    <mergeCell ref="HH113:HI113"/>
    <mergeCell ref="HH73:HI73"/>
    <mergeCell ref="HL73:HM73"/>
    <mergeCell ref="GZ72:HA72"/>
    <mergeCell ref="HR80:HS80"/>
    <mergeCell ref="HB71:HC71"/>
    <mergeCell ref="HH74:HI74"/>
    <mergeCell ref="HN76:HO76"/>
    <mergeCell ref="HB70:HC70"/>
    <mergeCell ref="HD70:HE70"/>
    <mergeCell ref="HN70:HO70"/>
    <mergeCell ref="HP67:HQ67"/>
    <mergeCell ref="HL68:HM68"/>
    <mergeCell ref="HL70:HM70"/>
    <mergeCell ref="GZ111:HA111"/>
    <mergeCell ref="GZ81:HA81"/>
    <mergeCell ref="HN111:HO111"/>
    <mergeCell ref="HF88:HG88"/>
    <mergeCell ref="HD87:HE87"/>
    <mergeCell ref="HF86:HG86"/>
    <mergeCell ref="HH82:HI82"/>
    <mergeCell ref="HH85:HI85"/>
    <mergeCell ref="HH86:HI86"/>
    <mergeCell ref="HH89:HI89"/>
    <mergeCell ref="HB74:HC74"/>
    <mergeCell ref="GZ75:HA75"/>
    <mergeCell ref="HJ111:HK111"/>
    <mergeCell ref="HD93:HE93"/>
    <mergeCell ref="GZ91:HA91"/>
    <mergeCell ref="GZ84:HA84"/>
    <mergeCell ref="HB97:HC97"/>
    <mergeCell ref="HH76:HI76"/>
    <mergeCell ref="HJ102:HK102"/>
    <mergeCell ref="HL102:HM102"/>
    <mergeCell ref="HJ99:HK99"/>
    <mergeCell ref="HL99:HM99"/>
    <mergeCell ref="HN99:HO99"/>
    <mergeCell ref="HN78:HO78"/>
    <mergeCell ref="HP78:HQ78"/>
    <mergeCell ref="HF65:HG65"/>
    <mergeCell ref="HB68:HC68"/>
    <mergeCell ref="HH66:HI66"/>
    <mergeCell ref="HP66:HQ66"/>
    <mergeCell ref="HR66:HS66"/>
    <mergeCell ref="HV64:HW64"/>
    <mergeCell ref="HH65:HI65"/>
    <mergeCell ref="HJ65:HK65"/>
    <mergeCell ref="HL66:HM66"/>
    <mergeCell ref="HD64:HE64"/>
    <mergeCell ref="HF64:HG64"/>
    <mergeCell ref="HH70:HI70"/>
    <mergeCell ref="HP70:HQ70"/>
    <mergeCell ref="HH68:HI68"/>
    <mergeCell ref="HR68:HS68"/>
    <mergeCell ref="HJ69:HK69"/>
    <mergeCell ref="HV66:HW66"/>
    <mergeCell ref="HN69:HO69"/>
    <mergeCell ref="HT70:HU70"/>
    <mergeCell ref="HV70:HW70"/>
    <mergeCell ref="HL69:HM69"/>
    <mergeCell ref="HJ68:HK68"/>
    <mergeCell ref="HN68:HO68"/>
    <mergeCell ref="HT68:HU68"/>
    <mergeCell ref="HP69:HQ69"/>
    <mergeCell ref="HR70:HS70"/>
    <mergeCell ref="HH67:HI67"/>
    <mergeCell ref="HH64:HI64"/>
    <mergeCell ref="HN66:HO66"/>
    <mergeCell ref="HD65:HE65"/>
    <mergeCell ref="HJ67:HK67"/>
    <mergeCell ref="HJ66:HK66"/>
    <mergeCell ref="HB69:HC69"/>
    <mergeCell ref="HD69:HE69"/>
    <mergeCell ref="HF69:HG69"/>
    <mergeCell ref="HR67:HS67"/>
    <mergeCell ref="HF70:HG70"/>
    <mergeCell ref="HV68:HW68"/>
    <mergeCell ref="HV67:HW67"/>
    <mergeCell ref="HX65:HY65"/>
    <mergeCell ref="HX69:HY69"/>
    <mergeCell ref="HJ51:HK51"/>
    <mergeCell ref="HX53:HY53"/>
    <mergeCell ref="HD55:HE55"/>
    <mergeCell ref="HV65:HW65"/>
    <mergeCell ref="HV69:HW69"/>
    <mergeCell ref="HD59:HE59"/>
    <mergeCell ref="HF59:HG59"/>
    <mergeCell ref="HH59:HI59"/>
    <mergeCell ref="HL57:HM57"/>
    <mergeCell ref="HF58:HG58"/>
    <mergeCell ref="HH58:HI58"/>
    <mergeCell ref="HV57:HW57"/>
    <mergeCell ref="HZ58:IA58"/>
    <mergeCell ref="HN57:HO57"/>
    <mergeCell ref="HJ57:HK57"/>
    <mergeCell ref="HJ58:HK58"/>
    <mergeCell ref="HD57:HE57"/>
    <mergeCell ref="HF57:HG57"/>
    <mergeCell ref="HN62:HO62"/>
    <mergeCell ref="HP62:HQ62"/>
    <mergeCell ref="HT62:HU62"/>
    <mergeCell ref="HX62:HY62"/>
    <mergeCell ref="HN61:HO61"/>
    <mergeCell ref="HL61:HM61"/>
    <mergeCell ref="HJ62:HK62"/>
    <mergeCell ref="HL62:HM62"/>
    <mergeCell ref="HH61:HI61"/>
    <mergeCell ref="HN60:HO60"/>
    <mergeCell ref="HP60:HQ60"/>
    <mergeCell ref="HD61:HE61"/>
    <mergeCell ref="HH60:HI60"/>
    <mergeCell ref="HV62:HW62"/>
    <mergeCell ref="HV63:HW63"/>
    <mergeCell ref="HX52:HY52"/>
    <mergeCell ref="HH54:HI54"/>
    <mergeCell ref="HJ54:HK54"/>
    <mergeCell ref="HH69:HI69"/>
    <mergeCell ref="HL67:HM67"/>
    <mergeCell ref="HL65:HM65"/>
    <mergeCell ref="HN65:HO65"/>
    <mergeCell ref="HP65:HQ65"/>
    <mergeCell ref="HT65:HU65"/>
    <mergeCell ref="HT69:HU69"/>
    <mergeCell ref="HP61:HQ61"/>
    <mergeCell ref="HF61:HG61"/>
    <mergeCell ref="HX61:HY61"/>
    <mergeCell ref="HJ61:HK61"/>
    <mergeCell ref="HL63:HM63"/>
    <mergeCell ref="HN63:HO63"/>
    <mergeCell ref="HP63:HQ63"/>
    <mergeCell ref="HT63:HU63"/>
    <mergeCell ref="HD62:HE62"/>
    <mergeCell ref="HF62:HG62"/>
    <mergeCell ref="HH62:HI62"/>
    <mergeCell ref="HD66:HE66"/>
    <mergeCell ref="HT64:HU64"/>
    <mergeCell ref="HF66:HG66"/>
    <mergeCell ref="HR69:HS69"/>
    <mergeCell ref="HD63:HE63"/>
    <mergeCell ref="HF63:HG63"/>
    <mergeCell ref="HH63:HI63"/>
    <mergeCell ref="HR62:HS62"/>
    <mergeCell ref="HN49:HO49"/>
    <mergeCell ref="HP49:HQ49"/>
    <mergeCell ref="HR49:HS49"/>
    <mergeCell ref="HV51:HW51"/>
    <mergeCell ref="HX51:HY51"/>
    <mergeCell ref="HT54:HU54"/>
    <mergeCell ref="HV54:HW54"/>
    <mergeCell ref="HX54:HY54"/>
    <mergeCell ref="HT51:HU51"/>
    <mergeCell ref="GZ58:HA58"/>
    <mergeCell ref="GX51:GY51"/>
    <mergeCell ref="HJ53:HK53"/>
    <mergeCell ref="GZ52:HA52"/>
    <mergeCell ref="HN52:HO52"/>
    <mergeCell ref="GZ55:HA55"/>
    <mergeCell ref="HT53:HU53"/>
    <mergeCell ref="HV53:HW53"/>
    <mergeCell ref="HF49:HG49"/>
    <mergeCell ref="HH49:HI49"/>
    <mergeCell ref="HX50:HY50"/>
    <mergeCell ref="HB53:HC53"/>
    <mergeCell ref="HD53:HE53"/>
    <mergeCell ref="HF53:HG53"/>
    <mergeCell ref="HH53:HI53"/>
    <mergeCell ref="HL53:HM53"/>
    <mergeCell ref="HN53:HO53"/>
    <mergeCell ref="HP53:HQ53"/>
    <mergeCell ref="HR53:HS53"/>
    <mergeCell ref="HL51:HM51"/>
    <mergeCell ref="HX63:HY63"/>
    <mergeCell ref="HX64:HY64"/>
    <mergeCell ref="HZ64:IA64"/>
    <mergeCell ref="HZ62:IA62"/>
    <mergeCell ref="HT59:HU59"/>
    <mergeCell ref="HV59:HW59"/>
    <mergeCell ref="HX59:HY59"/>
    <mergeCell ref="HJ59:HK59"/>
    <mergeCell ref="HR61:HS61"/>
    <mergeCell ref="HT61:HU61"/>
    <mergeCell ref="HV61:HW61"/>
    <mergeCell ref="HT57:HU57"/>
    <mergeCell ref="HP59:HQ59"/>
    <mergeCell ref="HR59:HS59"/>
    <mergeCell ref="HB63:HC63"/>
    <mergeCell ref="HB61:HC61"/>
    <mergeCell ref="HJ63:HK63"/>
    <mergeCell ref="HR63:HS63"/>
    <mergeCell ref="HB62:HC62"/>
    <mergeCell ref="HB60:HC60"/>
    <mergeCell ref="HD60:HE60"/>
    <mergeCell ref="HH57:HI57"/>
    <mergeCell ref="HB58:HC58"/>
    <mergeCell ref="HD58:HE58"/>
    <mergeCell ref="HR57:HS57"/>
    <mergeCell ref="HB57:HC57"/>
    <mergeCell ref="HL58:HM58"/>
    <mergeCell ref="HN58:HO58"/>
    <mergeCell ref="HB55:HC55"/>
    <mergeCell ref="HJ56:HK56"/>
    <mergeCell ref="HX57:HY57"/>
    <mergeCell ref="HL56:HM56"/>
    <mergeCell ref="GZ57:HA57"/>
    <mergeCell ref="HL52:HM52"/>
    <mergeCell ref="HP52:HQ52"/>
    <mergeCell ref="HR52:HS52"/>
    <mergeCell ref="HT52:HU52"/>
    <mergeCell ref="HV52:HW52"/>
    <mergeCell ref="HP57:HQ57"/>
    <mergeCell ref="GV52:GW52"/>
    <mergeCell ref="HP55:HQ55"/>
    <mergeCell ref="HR55:HS55"/>
    <mergeCell ref="HT55:HU55"/>
    <mergeCell ref="HV55:HW55"/>
    <mergeCell ref="HX55:HY55"/>
    <mergeCell ref="HX58:HY58"/>
    <mergeCell ref="HT58:HU58"/>
    <mergeCell ref="HV58:HW58"/>
    <mergeCell ref="HL59:HM59"/>
    <mergeCell ref="HN59:HO59"/>
    <mergeCell ref="HR58:HS58"/>
    <mergeCell ref="GZ59:HA59"/>
    <mergeCell ref="GX55:GY55"/>
    <mergeCell ref="GX56:GY56"/>
    <mergeCell ref="HF60:HG60"/>
    <mergeCell ref="HJ60:HK60"/>
    <mergeCell ref="HL60:HM60"/>
    <mergeCell ref="HR60:HS60"/>
    <mergeCell ref="HT60:HU60"/>
    <mergeCell ref="HV60:HW60"/>
    <mergeCell ref="HX60:HY60"/>
    <mergeCell ref="HP58:HQ58"/>
    <mergeCell ref="HB59:HC59"/>
    <mergeCell ref="HL45:HM45"/>
    <mergeCell ref="HN45:HO45"/>
    <mergeCell ref="HP47:HQ47"/>
    <mergeCell ref="HR47:HS47"/>
    <mergeCell ref="HT47:HU47"/>
    <mergeCell ref="HH47:HI47"/>
    <mergeCell ref="HD45:HE45"/>
    <mergeCell ref="GX45:GY45"/>
    <mergeCell ref="GZ45:HA45"/>
    <mergeCell ref="HP46:HQ46"/>
    <mergeCell ref="HR46:HS46"/>
    <mergeCell ref="HT46:HU46"/>
    <mergeCell ref="HF47:HG47"/>
    <mergeCell ref="HL50:HM50"/>
    <mergeCell ref="GX54:GY54"/>
    <mergeCell ref="GX53:GY53"/>
    <mergeCell ref="GZ53:HA53"/>
    <mergeCell ref="HN56:HO56"/>
    <mergeCell ref="HP56:HQ56"/>
    <mergeCell ref="HR56:HS56"/>
    <mergeCell ref="HF56:HG56"/>
    <mergeCell ref="HH56:HI56"/>
    <mergeCell ref="HT56:HU56"/>
    <mergeCell ref="HV56:HW56"/>
    <mergeCell ref="HX56:HY56"/>
    <mergeCell ref="GZ56:HA56"/>
    <mergeCell ref="HB56:HC56"/>
    <mergeCell ref="HD56:HE56"/>
    <mergeCell ref="HF55:HG55"/>
    <mergeCell ref="HH55:HI55"/>
    <mergeCell ref="HJ55:HK55"/>
    <mergeCell ref="HL55:HM55"/>
    <mergeCell ref="HN55:HO55"/>
    <mergeCell ref="GZ51:HA51"/>
    <mergeCell ref="HB51:HC51"/>
    <mergeCell ref="HD51:HE51"/>
    <mergeCell ref="GZ54:HA54"/>
    <mergeCell ref="HD52:HE52"/>
    <mergeCell ref="HF52:HG52"/>
    <mergeCell ref="HH52:HI52"/>
    <mergeCell ref="HJ52:HK52"/>
    <mergeCell ref="HB54:HC54"/>
    <mergeCell ref="HD54:HE54"/>
    <mergeCell ref="HF54:HG54"/>
    <mergeCell ref="HT49:HU49"/>
    <mergeCell ref="HV49:HW49"/>
    <mergeCell ref="HX49:HY49"/>
    <mergeCell ref="HL54:HM54"/>
    <mergeCell ref="HN54:HO54"/>
    <mergeCell ref="HP54:HQ54"/>
    <mergeCell ref="HR54:HS54"/>
    <mergeCell ref="HF48:HG48"/>
    <mergeCell ref="HH48:HI48"/>
    <mergeCell ref="HX44:HY44"/>
    <mergeCell ref="HL43:HM43"/>
    <mergeCell ref="HN43:HO43"/>
    <mergeCell ref="HD43:HE43"/>
    <mergeCell ref="HV43:HW43"/>
    <mergeCell ref="HX43:HY43"/>
    <mergeCell ref="HN51:HO51"/>
    <mergeCell ref="HP51:HQ51"/>
    <mergeCell ref="HR51:HS51"/>
    <mergeCell ref="GX49:GY49"/>
    <mergeCell ref="GZ49:HA49"/>
    <mergeCell ref="HB49:HC49"/>
    <mergeCell ref="HD49:HE49"/>
    <mergeCell ref="GT50:GU50"/>
    <mergeCell ref="GV50:GW50"/>
    <mergeCell ref="GX50:GY50"/>
    <mergeCell ref="GZ50:HA50"/>
    <mergeCell ref="HB50:HC50"/>
    <mergeCell ref="HD50:HE50"/>
    <mergeCell ref="HF50:HG50"/>
    <mergeCell ref="HH50:HI50"/>
    <mergeCell ref="HJ50:HK50"/>
    <mergeCell ref="GZ44:HA44"/>
    <mergeCell ref="HB52:HC52"/>
    <mergeCell ref="HN50:HO50"/>
    <mergeCell ref="HP50:HQ50"/>
    <mergeCell ref="HR50:HS50"/>
    <mergeCell ref="HT50:HU50"/>
    <mergeCell ref="GT49:GU49"/>
    <mergeCell ref="HR45:HS45"/>
    <mergeCell ref="HT45:HU45"/>
    <mergeCell ref="HH43:HI43"/>
    <mergeCell ref="HV45:HW45"/>
    <mergeCell ref="HX45:HY45"/>
    <mergeCell ref="HF45:HG45"/>
    <mergeCell ref="HH45:HI45"/>
    <mergeCell ref="HJ45:HK45"/>
    <mergeCell ref="GX47:GY47"/>
    <mergeCell ref="GZ47:HA47"/>
    <mergeCell ref="GX48:GY48"/>
    <mergeCell ref="GZ48:HA48"/>
    <mergeCell ref="HB48:HC48"/>
    <mergeCell ref="HD48:HE48"/>
    <mergeCell ref="HL46:HM46"/>
    <mergeCell ref="HN46:HO46"/>
    <mergeCell ref="HV50:HW50"/>
    <mergeCell ref="HX47:HY47"/>
    <mergeCell ref="GX52:GY52"/>
    <mergeCell ref="GV49:GW49"/>
    <mergeCell ref="HH51:HI51"/>
    <mergeCell ref="HF51:HG51"/>
    <mergeCell ref="GV47:GW47"/>
    <mergeCell ref="HJ48:HK48"/>
    <mergeCell ref="HL48:HM48"/>
    <mergeCell ref="HN48:HO48"/>
    <mergeCell ref="HP48:HQ48"/>
    <mergeCell ref="HH44:HI44"/>
    <mergeCell ref="HJ44:HK44"/>
    <mergeCell ref="HJ43:HK43"/>
    <mergeCell ref="HJ47:HK47"/>
    <mergeCell ref="HP45:HQ45"/>
    <mergeCell ref="HX48:HY48"/>
    <mergeCell ref="HJ49:HK49"/>
    <mergeCell ref="HL49:HM49"/>
    <mergeCell ref="HT41:HU41"/>
    <mergeCell ref="HV41:HW41"/>
    <mergeCell ref="GN42:GO42"/>
    <mergeCell ref="GZ42:HA42"/>
    <mergeCell ref="HN40:HO40"/>
    <mergeCell ref="HP40:HQ40"/>
    <mergeCell ref="HR40:HS40"/>
    <mergeCell ref="HT40:HU40"/>
    <mergeCell ref="HV40:HW40"/>
    <mergeCell ref="GP38:GQ38"/>
    <mergeCell ref="HX38:HY38"/>
    <mergeCell ref="HJ41:HK41"/>
    <mergeCell ref="HX41:HY41"/>
    <mergeCell ref="HV39:HW39"/>
    <mergeCell ref="HX39:HY39"/>
    <mergeCell ref="GV41:GW41"/>
    <mergeCell ref="GP41:GQ41"/>
    <mergeCell ref="HT39:HU39"/>
    <mergeCell ref="HP38:HQ38"/>
    <mergeCell ref="HR38:HS38"/>
    <mergeCell ref="HT38:HU38"/>
    <mergeCell ref="HH39:HI39"/>
    <mergeCell ref="HB46:HC46"/>
    <mergeCell ref="HD46:HE46"/>
    <mergeCell ref="HF46:HG46"/>
    <mergeCell ref="HX46:HY46"/>
    <mergeCell ref="HF43:HG43"/>
    <mergeCell ref="HP43:HQ43"/>
    <mergeCell ref="HR43:HS43"/>
    <mergeCell ref="HT43:HU43"/>
    <mergeCell ref="HF44:HG44"/>
    <mergeCell ref="HF41:HG41"/>
    <mergeCell ref="GV48:GW48"/>
    <mergeCell ref="HB44:HC44"/>
    <mergeCell ref="GT46:GU46"/>
    <mergeCell ref="HL44:HM44"/>
    <mergeCell ref="HN44:HO44"/>
    <mergeCell ref="HP44:HQ44"/>
    <mergeCell ref="HR44:HS44"/>
    <mergeCell ref="HT44:HU44"/>
    <mergeCell ref="HV44:HW44"/>
    <mergeCell ref="HT48:HU48"/>
    <mergeCell ref="HV48:HW48"/>
    <mergeCell ref="HH46:HI46"/>
    <mergeCell ref="HJ46:HK46"/>
    <mergeCell ref="HV47:HW47"/>
    <mergeCell ref="HB47:HC47"/>
    <mergeCell ref="HD47:HE47"/>
    <mergeCell ref="HL47:HM47"/>
    <mergeCell ref="HV46:HW46"/>
    <mergeCell ref="GT44:GU44"/>
    <mergeCell ref="GV44:GW44"/>
    <mergeCell ref="GX44:GY44"/>
    <mergeCell ref="HB45:HC45"/>
    <mergeCell ref="GV46:GW46"/>
    <mergeCell ref="GX46:GY46"/>
    <mergeCell ref="GZ46:HA46"/>
    <mergeCell ref="HR48:HS48"/>
    <mergeCell ref="HB43:HC43"/>
    <mergeCell ref="GX43:GY43"/>
    <mergeCell ref="GZ43:HA43"/>
    <mergeCell ref="HD44:HE44"/>
    <mergeCell ref="HN47:HO47"/>
    <mergeCell ref="HL42:HM42"/>
    <mergeCell ref="HN42:HO42"/>
    <mergeCell ref="HP42:HQ42"/>
    <mergeCell ref="HR42:HS42"/>
    <mergeCell ref="HT42:HU42"/>
    <mergeCell ref="GF39:GG39"/>
    <mergeCell ref="GP35:GQ35"/>
    <mergeCell ref="GR35:GS35"/>
    <mergeCell ref="GT35:GU35"/>
    <mergeCell ref="HT35:HU35"/>
    <mergeCell ref="GH39:GI39"/>
    <mergeCell ref="GJ39:GK39"/>
    <mergeCell ref="GL39:GM39"/>
    <mergeCell ref="GN39:GO39"/>
    <mergeCell ref="HV37:HW37"/>
    <mergeCell ref="HV38:HW38"/>
    <mergeCell ref="HL36:HM36"/>
    <mergeCell ref="HN36:HO36"/>
    <mergeCell ref="GZ36:HA36"/>
    <mergeCell ref="HV36:HW36"/>
    <mergeCell ref="GF44:GG44"/>
    <mergeCell ref="HR35:HS35"/>
    <mergeCell ref="HV35:HW35"/>
    <mergeCell ref="HD35:HE35"/>
    <mergeCell ref="HF35:HG35"/>
    <mergeCell ref="HH35:HI35"/>
    <mergeCell ref="GJ38:GK38"/>
    <mergeCell ref="HB37:HC37"/>
    <mergeCell ref="GX37:GY37"/>
    <mergeCell ref="HD37:HE37"/>
    <mergeCell ref="HV42:HW42"/>
    <mergeCell ref="GH36:GI36"/>
    <mergeCell ref="GH38:GI38"/>
    <mergeCell ref="HJ38:HK38"/>
    <mergeCell ref="GZ39:HA39"/>
    <mergeCell ref="HB39:HC39"/>
    <mergeCell ref="GL43:GM43"/>
    <mergeCell ref="GN43:GO43"/>
    <mergeCell ref="GF41:GG41"/>
    <mergeCell ref="GF46:GG46"/>
    <mergeCell ref="GH46:GI46"/>
    <mergeCell ref="GH47:GI47"/>
    <mergeCell ref="GH45:GI45"/>
    <mergeCell ref="GL47:GM47"/>
    <mergeCell ref="GP44:GQ44"/>
    <mergeCell ref="GR44:GS44"/>
    <mergeCell ref="GT45:GU45"/>
    <mergeCell ref="GN40:GO40"/>
    <mergeCell ref="HX42:HY42"/>
    <mergeCell ref="HH41:HI41"/>
    <mergeCell ref="GL38:GM38"/>
    <mergeCell ref="GN38:GO38"/>
    <mergeCell ref="GT38:GU38"/>
    <mergeCell ref="GV38:GW38"/>
    <mergeCell ref="GX38:GY38"/>
    <mergeCell ref="HD39:HE39"/>
    <mergeCell ref="HL40:HM40"/>
    <mergeCell ref="HB42:HC42"/>
    <mergeCell ref="HD42:HE42"/>
    <mergeCell ref="HF42:HG42"/>
    <mergeCell ref="HH42:HI42"/>
    <mergeCell ref="HJ42:HK42"/>
    <mergeCell ref="GZ41:HA41"/>
    <mergeCell ref="HB41:HC41"/>
    <mergeCell ref="HX40:HY40"/>
    <mergeCell ref="HH40:HI40"/>
    <mergeCell ref="HJ40:HK40"/>
    <mergeCell ref="GT40:GU40"/>
    <mergeCell ref="GV40:GW40"/>
    <mergeCell ref="HX35:HY35"/>
    <mergeCell ref="HF40:HG40"/>
    <mergeCell ref="HD40:HE40"/>
    <mergeCell ref="HL41:HM41"/>
    <mergeCell ref="HN41:HO41"/>
    <mergeCell ref="HP41:HQ41"/>
    <mergeCell ref="HR41:HS41"/>
    <mergeCell ref="HJ36:HK36"/>
    <mergeCell ref="HD36:HE36"/>
    <mergeCell ref="HH36:HI36"/>
    <mergeCell ref="HN34:HO34"/>
    <mergeCell ref="HR34:HS34"/>
    <mergeCell ref="HT34:HU34"/>
    <mergeCell ref="HV34:HW34"/>
    <mergeCell ref="HX34:HY34"/>
    <mergeCell ref="GV34:GW34"/>
    <mergeCell ref="HL34:HM34"/>
    <mergeCell ref="HJ35:HK35"/>
    <mergeCell ref="HL35:HM35"/>
    <mergeCell ref="HN35:HO35"/>
    <mergeCell ref="HP35:HQ35"/>
    <mergeCell ref="HJ39:HK39"/>
    <mergeCell ref="HL39:HM39"/>
    <mergeCell ref="HN39:HO39"/>
    <mergeCell ref="HP39:HQ39"/>
    <mergeCell ref="HR39:HS39"/>
    <mergeCell ref="HX37:HY37"/>
    <mergeCell ref="HX36:HY36"/>
    <mergeCell ref="HP36:HQ36"/>
    <mergeCell ref="HR36:HS36"/>
    <mergeCell ref="HT36:HU36"/>
    <mergeCell ref="HR37:HS37"/>
    <mergeCell ref="HT37:HU37"/>
    <mergeCell ref="GX39:GY39"/>
    <mergeCell ref="HP34:HQ34"/>
    <mergeCell ref="GR38:GS38"/>
    <mergeCell ref="GZ38:HA38"/>
    <mergeCell ref="HB38:HC38"/>
    <mergeCell ref="HD38:HE38"/>
    <mergeCell ref="HF38:HG38"/>
    <mergeCell ref="HH38:HI38"/>
    <mergeCell ref="HL38:HM38"/>
    <mergeCell ref="HN38:HO38"/>
    <mergeCell ref="HB34:HC34"/>
    <mergeCell ref="GN35:GO35"/>
    <mergeCell ref="GT34:GU34"/>
    <mergeCell ref="GL33:GM33"/>
    <mergeCell ref="HD34:HE34"/>
    <mergeCell ref="GX34:GY34"/>
    <mergeCell ref="GZ34:HA34"/>
    <mergeCell ref="HF34:HG34"/>
    <mergeCell ref="HH34:HI34"/>
    <mergeCell ref="HJ34:HK34"/>
    <mergeCell ref="GR37:GS37"/>
    <mergeCell ref="HF37:HG37"/>
    <mergeCell ref="GZ37:HA37"/>
    <mergeCell ref="HF39:HG39"/>
    <mergeCell ref="HT33:HU33"/>
    <mergeCell ref="GJ33:GK33"/>
    <mergeCell ref="GR36:GS36"/>
    <mergeCell ref="GT36:GU36"/>
    <mergeCell ref="GV36:GW36"/>
    <mergeCell ref="GX36:GY36"/>
    <mergeCell ref="HX28:HY28"/>
    <mergeCell ref="HJ30:HK30"/>
    <mergeCell ref="HJ28:HK28"/>
    <mergeCell ref="HL28:HM28"/>
    <mergeCell ref="HN28:HO28"/>
    <mergeCell ref="HP28:HQ28"/>
    <mergeCell ref="HX29:HY29"/>
    <mergeCell ref="HB28:HC28"/>
    <mergeCell ref="GV32:GW32"/>
    <mergeCell ref="HR28:HS28"/>
    <mergeCell ref="HT28:HU28"/>
    <mergeCell ref="HJ33:HK33"/>
    <mergeCell ref="HL33:HM33"/>
    <mergeCell ref="HN33:HO33"/>
    <mergeCell ref="HP33:HQ33"/>
    <mergeCell ref="HX30:HY30"/>
    <mergeCell ref="HN29:HO29"/>
    <mergeCell ref="GX33:GY33"/>
    <mergeCell ref="HX33:HY33"/>
    <mergeCell ref="HH33:HI33"/>
    <mergeCell ref="GP33:GQ33"/>
    <mergeCell ref="HX31:HY31"/>
    <mergeCell ref="GX31:GY31"/>
    <mergeCell ref="GZ31:HA31"/>
    <mergeCell ref="HH32:HI32"/>
    <mergeCell ref="HL32:HM32"/>
    <mergeCell ref="HN32:HO32"/>
    <mergeCell ref="HJ32:HK32"/>
    <mergeCell ref="GZ32:HA32"/>
    <mergeCell ref="HR33:HS33"/>
    <mergeCell ref="HX22:HY22"/>
    <mergeCell ref="GH17:GI17"/>
    <mergeCell ref="GZ26:HA26"/>
    <mergeCell ref="HP26:HQ26"/>
    <mergeCell ref="HX25:HY25"/>
    <mergeCell ref="GR21:GS21"/>
    <mergeCell ref="HF25:HG25"/>
    <mergeCell ref="HH25:HI25"/>
    <mergeCell ref="HX26:HY26"/>
    <mergeCell ref="HP27:HQ27"/>
    <mergeCell ref="HR27:HS27"/>
    <mergeCell ref="HT27:HU27"/>
    <mergeCell ref="HV27:HW27"/>
    <mergeCell ref="HV28:HW28"/>
    <mergeCell ref="HL25:HM25"/>
    <mergeCell ref="HH28:HI28"/>
    <mergeCell ref="HJ25:HK25"/>
    <mergeCell ref="HL30:HM30"/>
    <mergeCell ref="HF26:HG26"/>
    <mergeCell ref="HH26:HI26"/>
    <mergeCell ref="HB26:HC26"/>
    <mergeCell ref="HD26:HE26"/>
    <mergeCell ref="ID26:IE26"/>
    <mergeCell ref="HR26:HS26"/>
    <mergeCell ref="HV26:HW26"/>
    <mergeCell ref="HN26:HO26"/>
    <mergeCell ref="HT26:HU26"/>
    <mergeCell ref="HN27:HO27"/>
    <mergeCell ref="HD27:HE27"/>
    <mergeCell ref="HF27:HG27"/>
    <mergeCell ref="HH27:HI27"/>
    <mergeCell ref="HZ26:IA26"/>
    <mergeCell ref="IB26:IC26"/>
    <mergeCell ref="HF28:HG28"/>
    <mergeCell ref="HV29:HW29"/>
    <mergeCell ref="HL26:HM26"/>
    <mergeCell ref="HJ29:HK29"/>
    <mergeCell ref="IB27:IC27"/>
    <mergeCell ref="ID27:IE27"/>
    <mergeCell ref="HP29:HQ29"/>
    <mergeCell ref="HF30:HG30"/>
    <mergeCell ref="HZ27:IA27"/>
    <mergeCell ref="HD25:HE25"/>
    <mergeCell ref="HB29:HC29"/>
    <mergeCell ref="HD28:HE28"/>
    <mergeCell ref="IB25:IC25"/>
    <mergeCell ref="ID25:IE25"/>
    <mergeCell ref="GN27:GO27"/>
    <mergeCell ref="GT29:GU29"/>
    <mergeCell ref="GJ27:GK27"/>
    <mergeCell ref="GL27:GM27"/>
    <mergeCell ref="GH26:GI26"/>
    <mergeCell ref="GJ26:GK26"/>
    <mergeCell ref="GL26:GM26"/>
    <mergeCell ref="GV29:GW29"/>
    <mergeCell ref="GX29:GY29"/>
    <mergeCell ref="HT30:HU30"/>
    <mergeCell ref="HV30:HW30"/>
    <mergeCell ref="HR29:HS29"/>
    <mergeCell ref="HT29:HU29"/>
    <mergeCell ref="HH30:HI30"/>
    <mergeCell ref="HX27:HY27"/>
    <mergeCell ref="GR29:GS29"/>
    <mergeCell ref="GR30:GS30"/>
    <mergeCell ref="FZ1:GA1"/>
    <mergeCell ref="GB1:GC1"/>
    <mergeCell ref="HJ20:HK20"/>
    <mergeCell ref="HF17:HG17"/>
    <mergeCell ref="HH17:HI17"/>
    <mergeCell ref="HR19:HS19"/>
    <mergeCell ref="HT19:HU19"/>
    <mergeCell ref="HH18:HI18"/>
    <mergeCell ref="GL1:GM1"/>
    <mergeCell ref="GV1:GW1"/>
    <mergeCell ref="FZ21:GA21"/>
    <mergeCell ref="HL20:HM20"/>
    <mergeCell ref="HN20:HO20"/>
    <mergeCell ref="HP20:HQ20"/>
    <mergeCell ref="HR20:HS20"/>
    <mergeCell ref="HT20:HU20"/>
    <mergeCell ref="HD19:HE19"/>
    <mergeCell ref="GH21:GI21"/>
    <mergeCell ref="GJ21:GK21"/>
    <mergeCell ref="GH24:GI24"/>
    <mergeCell ref="HF19:HG19"/>
    <mergeCell ref="ID18:IE18"/>
    <mergeCell ref="HH19:HI19"/>
    <mergeCell ref="HP19:HQ19"/>
    <mergeCell ref="HZ20:IA20"/>
    <mergeCell ref="HF22:HG22"/>
    <mergeCell ref="ID23:IE23"/>
    <mergeCell ref="GH25:GI25"/>
    <mergeCell ref="HV25:HW25"/>
    <mergeCell ref="GH18:GI18"/>
    <mergeCell ref="HZ18:IA18"/>
    <mergeCell ref="IB18:IC18"/>
    <mergeCell ref="HX21:HY21"/>
    <mergeCell ref="HX23:HY23"/>
    <mergeCell ref="GV18:GW18"/>
    <mergeCell ref="GN18:GO18"/>
    <mergeCell ref="GP18:GQ18"/>
    <mergeCell ref="GR18:GS18"/>
    <mergeCell ref="HF23:HG23"/>
    <mergeCell ref="GJ19:GK19"/>
    <mergeCell ref="GL19:GM19"/>
    <mergeCell ref="HB19:HC19"/>
    <mergeCell ref="GZ18:HA18"/>
    <mergeCell ref="GT18:GU18"/>
    <mergeCell ref="GR23:GS23"/>
    <mergeCell ref="HP18:HQ18"/>
    <mergeCell ref="GB19:GC19"/>
    <mergeCell ref="HJ21:HK21"/>
    <mergeCell ref="HL21:HM21"/>
    <mergeCell ref="GF21:GG21"/>
    <mergeCell ref="HH23:HI23"/>
    <mergeCell ref="HJ23:HK23"/>
    <mergeCell ref="GX22:GY22"/>
    <mergeCell ref="GP21:GQ21"/>
    <mergeCell ref="GT24:GU24"/>
    <mergeCell ref="GZ20:HA20"/>
    <mergeCell ref="FZ17:GA17"/>
    <mergeCell ref="GF1:GG1"/>
    <mergeCell ref="GJ1:GK1"/>
    <mergeCell ref="GX1:GY1"/>
    <mergeCell ref="HN1:HO1"/>
    <mergeCell ref="HP1:HQ1"/>
    <mergeCell ref="HR1:HS1"/>
    <mergeCell ref="HX1:HY1"/>
    <mergeCell ref="FZ18:GA18"/>
    <mergeCell ref="GB18:GC18"/>
    <mergeCell ref="GD18:GE18"/>
    <mergeCell ref="GF18:GG18"/>
    <mergeCell ref="GJ22:GK22"/>
    <mergeCell ref="GH22:GI22"/>
    <mergeCell ref="HB20:HC20"/>
    <mergeCell ref="HD20:HE20"/>
    <mergeCell ref="HF20:HG20"/>
    <mergeCell ref="GZ22:HA22"/>
    <mergeCell ref="HB22:HC22"/>
    <mergeCell ref="GV21:GW21"/>
    <mergeCell ref="GT20:GU20"/>
    <mergeCell ref="GV20:GW20"/>
    <mergeCell ref="FZ20:GA20"/>
    <mergeCell ref="GB20:GC20"/>
    <mergeCell ref="GD20:GE20"/>
    <mergeCell ref="GF20:GG20"/>
    <mergeCell ref="GH20:GI20"/>
    <mergeCell ref="GJ20:GK20"/>
    <mergeCell ref="GL20:GM20"/>
    <mergeCell ref="GN20:GO20"/>
    <mergeCell ref="HD23:HE23"/>
    <mergeCell ref="GX18:GY18"/>
    <mergeCell ref="HV19:HW19"/>
    <mergeCell ref="FZ19:GA19"/>
    <mergeCell ref="FZ24:GA24"/>
    <mergeCell ref="HL19:HM19"/>
    <mergeCell ref="HN19:HO19"/>
    <mergeCell ref="HF18:HG18"/>
    <mergeCell ref="HB18:HC18"/>
    <mergeCell ref="HD18:HE18"/>
    <mergeCell ref="HJ19:HK19"/>
    <mergeCell ref="HN23:HO23"/>
    <mergeCell ref="HP23:HQ23"/>
    <mergeCell ref="HR23:HS23"/>
    <mergeCell ref="HH24:HI24"/>
    <mergeCell ref="HD22:HE22"/>
    <mergeCell ref="HJ24:HK24"/>
    <mergeCell ref="GP22:GQ22"/>
    <mergeCell ref="GR22:GS22"/>
    <mergeCell ref="HH22:HI22"/>
    <mergeCell ref="HJ22:HK22"/>
    <mergeCell ref="GB23:GC23"/>
    <mergeCell ref="GD23:GE23"/>
    <mergeCell ref="HL18:HM18"/>
    <mergeCell ref="HN18:HO18"/>
    <mergeCell ref="GZ21:HA21"/>
    <mergeCell ref="HB21:HC21"/>
    <mergeCell ref="HD21:HE21"/>
    <mergeCell ref="HF21:HG21"/>
    <mergeCell ref="HH21:HI21"/>
    <mergeCell ref="HL24:HM24"/>
    <mergeCell ref="HH20:HI20"/>
    <mergeCell ref="HR18:HS18"/>
    <mergeCell ref="HT18:HU18"/>
    <mergeCell ref="HV18:HW18"/>
    <mergeCell ref="GZ23:HA23"/>
    <mergeCell ref="HB23:HC23"/>
    <mergeCell ref="GF22:GG22"/>
    <mergeCell ref="GL24:GM24"/>
    <mergeCell ref="GJ18:GK18"/>
    <mergeCell ref="GL18:GM18"/>
    <mergeCell ref="GF23:GG23"/>
    <mergeCell ref="HX20:HY20"/>
    <mergeCell ref="HV23:HW23"/>
    <mergeCell ref="GD1:GE1"/>
    <mergeCell ref="GN1:GO1"/>
    <mergeCell ref="GP1:GQ1"/>
    <mergeCell ref="GR1:GS1"/>
    <mergeCell ref="HP30:HQ30"/>
    <mergeCell ref="HR30:HS30"/>
    <mergeCell ref="GD25:GE25"/>
    <mergeCell ref="GP20:GQ20"/>
    <mergeCell ref="GR20:GS20"/>
    <mergeCell ref="GL22:GM22"/>
    <mergeCell ref="GN19:GO19"/>
    <mergeCell ref="GP19:GQ19"/>
    <mergeCell ref="GR19:GS19"/>
    <mergeCell ref="GT19:GU19"/>
    <mergeCell ref="GV19:GW19"/>
    <mergeCell ref="GX19:GY19"/>
    <mergeCell ref="GZ19:HA19"/>
    <mergeCell ref="HZ19:IA19"/>
    <mergeCell ref="HZ23:IA23"/>
    <mergeCell ref="HD17:HE17"/>
    <mergeCell ref="HJ17:HK17"/>
    <mergeCell ref="HL17:HM17"/>
    <mergeCell ref="GP26:GQ26"/>
    <mergeCell ref="GR26:GS26"/>
    <mergeCell ref="GT26:GU26"/>
    <mergeCell ref="GX20:GY20"/>
    <mergeCell ref="HJ18:HK18"/>
    <mergeCell ref="GV26:GW26"/>
    <mergeCell ref="GX26:GY26"/>
    <mergeCell ref="GL21:GM21"/>
    <mergeCell ref="GL25:GM25"/>
    <mergeCell ref="HT22:HU22"/>
    <mergeCell ref="HV22:HW22"/>
    <mergeCell ref="HV21:HW21"/>
    <mergeCell ref="HL23:HM23"/>
    <mergeCell ref="HR22:HS22"/>
    <mergeCell ref="GH23:GI23"/>
    <mergeCell ref="GJ23:GK23"/>
    <mergeCell ref="HT25:HU25"/>
    <mergeCell ref="HP25:HQ25"/>
    <mergeCell ref="HN25:HO25"/>
    <mergeCell ref="HD24:HE24"/>
    <mergeCell ref="GF25:GG25"/>
    <mergeCell ref="HR25:HS25"/>
    <mergeCell ref="HP21:HQ21"/>
    <mergeCell ref="HR21:HS21"/>
    <mergeCell ref="HT21:HU21"/>
    <mergeCell ref="GX24:GY24"/>
    <mergeCell ref="GZ24:HA24"/>
    <mergeCell ref="HB24:HC24"/>
    <mergeCell ref="GN22:GO22"/>
    <mergeCell ref="HN22:HO22"/>
    <mergeCell ref="HR24:HS24"/>
    <mergeCell ref="HR17:HS17"/>
    <mergeCell ref="HT17:HU17"/>
    <mergeCell ref="HV17:HW17"/>
    <mergeCell ref="HX17:HY17"/>
    <mergeCell ref="HZ17:IA17"/>
    <mergeCell ref="GT22:GU22"/>
    <mergeCell ref="GV22:GW22"/>
    <mergeCell ref="HZ24:IA24"/>
    <mergeCell ref="GR24:GS24"/>
    <mergeCell ref="HX18:HY18"/>
    <mergeCell ref="HX19:HY19"/>
    <mergeCell ref="GD19:GE19"/>
    <mergeCell ref="HL29:HM29"/>
    <mergeCell ref="HD29:HE29"/>
    <mergeCell ref="HF29:HG29"/>
    <mergeCell ref="HH29:HI29"/>
    <mergeCell ref="HN30:HO30"/>
    <mergeCell ref="HF33:HG33"/>
    <mergeCell ref="HR32:HS32"/>
    <mergeCell ref="HT32:HU32"/>
    <mergeCell ref="HX32:HY32"/>
    <mergeCell ref="HR31:HS31"/>
    <mergeCell ref="HT31:HU31"/>
    <mergeCell ref="GV33:GW33"/>
    <mergeCell ref="GT33:GU33"/>
    <mergeCell ref="GV31:GW31"/>
    <mergeCell ref="HV33:HW33"/>
    <mergeCell ref="GP29:GQ29"/>
    <mergeCell ref="GP30:GQ30"/>
    <mergeCell ref="GJ29:GK29"/>
    <mergeCell ref="GB27:GC27"/>
    <mergeCell ref="FZ26:GA26"/>
    <mergeCell ref="GD27:GE27"/>
    <mergeCell ref="HD31:HE31"/>
    <mergeCell ref="GH27:GI27"/>
    <mergeCell ref="GZ1:HA1"/>
    <mergeCell ref="HX24:HY24"/>
    <mergeCell ref="GP24:GQ24"/>
    <mergeCell ref="GN21:GO21"/>
    <mergeCell ref="GB32:GC32"/>
    <mergeCell ref="GB33:GC33"/>
    <mergeCell ref="GB31:GC31"/>
    <mergeCell ref="GD30:GE30"/>
    <mergeCell ref="GD31:GE31"/>
    <mergeCell ref="GB29:GC29"/>
    <mergeCell ref="GB24:GC24"/>
    <mergeCell ref="GD24:GE24"/>
    <mergeCell ref="GF24:GG24"/>
    <mergeCell ref="GJ24:GK24"/>
    <mergeCell ref="GF29:GG29"/>
    <mergeCell ref="HJ1:HK1"/>
    <mergeCell ref="HL1:HM1"/>
    <mergeCell ref="HT1:HU1"/>
    <mergeCell ref="HV1:HW1"/>
    <mergeCell ref="GH1:GI1"/>
    <mergeCell ref="GF28:GG28"/>
    <mergeCell ref="HV20:HW20"/>
    <mergeCell ref="GD28:GE28"/>
    <mergeCell ref="GN25:GO25"/>
    <mergeCell ref="GP25:GQ25"/>
    <mergeCell ref="GF26:GG26"/>
    <mergeCell ref="GF27:GG27"/>
    <mergeCell ref="HN24:HO24"/>
    <mergeCell ref="HP24:HQ24"/>
    <mergeCell ref="HF24:HG24"/>
    <mergeCell ref="GH19:GI19"/>
    <mergeCell ref="GB17:GC17"/>
    <mergeCell ref="GD17:GE17"/>
    <mergeCell ref="GF17:GG17"/>
    <mergeCell ref="GJ17:GK17"/>
    <mergeCell ref="GL17:GM17"/>
    <mergeCell ref="GN17:GO17"/>
    <mergeCell ref="GP17:GQ17"/>
    <mergeCell ref="FZ25:GA25"/>
    <mergeCell ref="GB25:GC25"/>
    <mergeCell ref="GJ25:GK25"/>
    <mergeCell ref="GV35:GW35"/>
    <mergeCell ref="GX35:GY35"/>
    <mergeCell ref="GZ35:HA35"/>
    <mergeCell ref="HB35:HC35"/>
    <mergeCell ref="GL31:GM31"/>
    <mergeCell ref="GF33:GG33"/>
    <mergeCell ref="GP31:GQ31"/>
    <mergeCell ref="GH33:GI33"/>
    <mergeCell ref="GB30:GC30"/>
    <mergeCell ref="GD29:GE29"/>
    <mergeCell ref="GD33:GE33"/>
    <mergeCell ref="GH28:GI28"/>
    <mergeCell ref="GJ28:GK28"/>
    <mergeCell ref="GN28:GO28"/>
    <mergeCell ref="GJ35:GK35"/>
    <mergeCell ref="GL35:GM35"/>
    <mergeCell ref="GJ32:GK32"/>
    <mergeCell ref="GB34:GC34"/>
    <mergeCell ref="GD34:GE34"/>
    <mergeCell ref="GF34:GG34"/>
    <mergeCell ref="GH31:GI31"/>
    <mergeCell ref="GJ31:GK31"/>
    <mergeCell ref="GL30:GM30"/>
    <mergeCell ref="FZ22:GA22"/>
    <mergeCell ref="FZ23:GA23"/>
    <mergeCell ref="GB26:GC26"/>
    <mergeCell ref="GR25:GS25"/>
    <mergeCell ref="FZ27:GA27"/>
    <mergeCell ref="HN21:HO21"/>
    <mergeCell ref="GB22:GC22"/>
    <mergeCell ref="GD22:GE22"/>
    <mergeCell ref="GN26:GO26"/>
    <mergeCell ref="HJ27:HK27"/>
    <mergeCell ref="HL27:HM27"/>
    <mergeCell ref="GT23:GU23"/>
    <mergeCell ref="GV23:GW23"/>
    <mergeCell ref="GX23:GY23"/>
    <mergeCell ref="GZ27:HA27"/>
    <mergeCell ref="HB27:HC27"/>
    <mergeCell ref="GX25:GY25"/>
    <mergeCell ref="GT21:GU21"/>
    <mergeCell ref="GL28:GM28"/>
    <mergeCell ref="GV28:GW28"/>
    <mergeCell ref="GX28:GY28"/>
    <mergeCell ref="GP28:GQ28"/>
    <mergeCell ref="GX27:GY27"/>
    <mergeCell ref="GL23:GM23"/>
    <mergeCell ref="GN23:GO23"/>
    <mergeCell ref="GP23:GQ23"/>
    <mergeCell ref="GX21:GY21"/>
    <mergeCell ref="HJ26:HK26"/>
    <mergeCell ref="GT25:GU25"/>
    <mergeCell ref="GV25:GW25"/>
    <mergeCell ref="HB25:HC25"/>
    <mergeCell ref="HJ31:HK31"/>
    <mergeCell ref="GR33:GS33"/>
    <mergeCell ref="GP32:GQ32"/>
    <mergeCell ref="HH31:HI31"/>
    <mergeCell ref="GX32:GY32"/>
    <mergeCell ref="HB32:HC32"/>
    <mergeCell ref="HD32:HE32"/>
    <mergeCell ref="GT27:GU27"/>
    <mergeCell ref="GV27:GW27"/>
    <mergeCell ref="GN30:GO30"/>
    <mergeCell ref="GZ29:HA29"/>
    <mergeCell ref="GD43:GE43"/>
    <mergeCell ref="GT30:GU30"/>
    <mergeCell ref="GV30:GW30"/>
    <mergeCell ref="GX30:GY30"/>
    <mergeCell ref="GB28:GC28"/>
    <mergeCell ref="GR28:GS28"/>
    <mergeCell ref="GT28:GU28"/>
    <mergeCell ref="GZ33:HA33"/>
    <mergeCell ref="HB33:HC33"/>
    <mergeCell ref="GL32:GM32"/>
    <mergeCell ref="GN32:GO32"/>
    <mergeCell ref="GT32:GU32"/>
    <mergeCell ref="HB40:HC40"/>
    <mergeCell ref="GX41:GY41"/>
    <mergeCell ref="GR41:GS41"/>
    <mergeCell ref="HD1:HE1"/>
    <mergeCell ref="GD26:GE26"/>
    <mergeCell ref="GJ30:GK30"/>
    <mergeCell ref="HF1:HG1"/>
    <mergeCell ref="HH1:HI1"/>
    <mergeCell ref="GN24:GO24"/>
    <mergeCell ref="GV24:GW24"/>
    <mergeCell ref="HT24:HU24"/>
    <mergeCell ref="HV24:HW24"/>
    <mergeCell ref="HL22:HM22"/>
    <mergeCell ref="HP22:HQ22"/>
    <mergeCell ref="GZ25:HA25"/>
    <mergeCell ref="GB21:GC21"/>
    <mergeCell ref="GD21:GE21"/>
    <mergeCell ref="GR17:GS17"/>
    <mergeCell ref="GT17:GU17"/>
    <mergeCell ref="GV17:GW17"/>
    <mergeCell ref="GX17:GY17"/>
    <mergeCell ref="GZ17:HA17"/>
    <mergeCell ref="HP17:HQ17"/>
    <mergeCell ref="HB17:HC17"/>
    <mergeCell ref="HT23:HU23"/>
    <mergeCell ref="HB1:HC1"/>
    <mergeCell ref="GF19:GG19"/>
    <mergeCell ref="GT1:GU1"/>
    <mergeCell ref="HN17:HO17"/>
    <mergeCell ref="HV32:HW32"/>
    <mergeCell ref="HP32:HQ32"/>
    <mergeCell ref="HF32:HG32"/>
    <mergeCell ref="GR31:GS31"/>
    <mergeCell ref="GT31:GU31"/>
    <mergeCell ref="HV31:HW31"/>
    <mergeCell ref="HL31:HM31"/>
    <mergeCell ref="HN31:HO31"/>
    <mergeCell ref="HF31:HG31"/>
    <mergeCell ref="GP27:GQ27"/>
    <mergeCell ref="GR27:GS27"/>
    <mergeCell ref="HL37:HM37"/>
    <mergeCell ref="HN37:HO37"/>
    <mergeCell ref="HH37:HI37"/>
    <mergeCell ref="HJ37:HK37"/>
    <mergeCell ref="HP37:HQ37"/>
    <mergeCell ref="HF36:HG36"/>
    <mergeCell ref="GJ36:GK36"/>
    <mergeCell ref="HP31:HQ31"/>
    <mergeCell ref="FZ31:GA31"/>
    <mergeCell ref="GL29:GM29"/>
    <mergeCell ref="HB31:HC31"/>
    <mergeCell ref="GF35:GG35"/>
    <mergeCell ref="GH35:GI35"/>
    <mergeCell ref="GH30:GI30"/>
    <mergeCell ref="GN29:GO29"/>
    <mergeCell ref="GZ28:HA28"/>
    <mergeCell ref="GZ30:HA30"/>
    <mergeCell ref="HB30:HC30"/>
    <mergeCell ref="HD30:HE30"/>
    <mergeCell ref="GF32:GG32"/>
    <mergeCell ref="GF31:GG31"/>
    <mergeCell ref="GT37:GU37"/>
    <mergeCell ref="GV37:GW37"/>
    <mergeCell ref="GL36:GM36"/>
    <mergeCell ref="GN36:GO36"/>
    <mergeCell ref="GP36:GQ36"/>
    <mergeCell ref="GH37:GI37"/>
    <mergeCell ref="GJ37:GK37"/>
    <mergeCell ref="HB36:HC36"/>
    <mergeCell ref="GP42:GQ42"/>
    <mergeCell ref="GR42:GS42"/>
    <mergeCell ref="GT42:GU42"/>
    <mergeCell ref="GV42:GW42"/>
    <mergeCell ref="GF42:GG42"/>
    <mergeCell ref="GH42:GI42"/>
    <mergeCell ref="FZ42:GA42"/>
    <mergeCell ref="FZ28:GA28"/>
    <mergeCell ref="GH29:GI29"/>
    <mergeCell ref="GD39:GE39"/>
    <mergeCell ref="GH41:GI41"/>
    <mergeCell ref="GL40:GM40"/>
    <mergeCell ref="GN31:GO31"/>
    <mergeCell ref="GN33:GO33"/>
    <mergeCell ref="GH32:GI32"/>
    <mergeCell ref="GB35:GC35"/>
    <mergeCell ref="GD35:GE35"/>
    <mergeCell ref="GR39:GS39"/>
    <mergeCell ref="GF38:GG38"/>
    <mergeCell ref="GX40:GY40"/>
    <mergeCell ref="GZ40:HA40"/>
    <mergeCell ref="GX42:GY42"/>
    <mergeCell ref="HD33:HE33"/>
    <mergeCell ref="HD41:HE41"/>
    <mergeCell ref="FZ40:GA40"/>
    <mergeCell ref="GB38:GC38"/>
    <mergeCell ref="GD38:GE38"/>
    <mergeCell ref="GP37:GQ37"/>
    <mergeCell ref="FZ39:GA39"/>
    <mergeCell ref="GB39:GC39"/>
    <mergeCell ref="GB40:GC40"/>
    <mergeCell ref="GD40:GE40"/>
    <mergeCell ref="GF40:GG40"/>
    <mergeCell ref="FZ35:GA35"/>
    <mergeCell ref="GF36:GG36"/>
    <mergeCell ref="GL37:GM37"/>
    <mergeCell ref="GN37:GO37"/>
    <mergeCell ref="GD37:GE37"/>
    <mergeCell ref="FZ32:GA32"/>
    <mergeCell ref="GH34:GI34"/>
    <mergeCell ref="FZ30:GA30"/>
    <mergeCell ref="FZ29:GA29"/>
    <mergeCell ref="GF30:GG30"/>
    <mergeCell ref="FZ55:GA55"/>
    <mergeCell ref="GB55:GC55"/>
    <mergeCell ref="GJ46:GK46"/>
    <mergeCell ref="GN44:GO44"/>
    <mergeCell ref="GP45:GQ45"/>
    <mergeCell ref="GR45:GS45"/>
    <mergeCell ref="GV54:GW54"/>
    <mergeCell ref="GB37:GC37"/>
    <mergeCell ref="FZ33:GA33"/>
    <mergeCell ref="GD32:GE32"/>
    <mergeCell ref="GJ42:GK42"/>
    <mergeCell ref="GL42:GM42"/>
    <mergeCell ref="GH43:GI43"/>
    <mergeCell ref="GJ43:GK43"/>
    <mergeCell ref="GJ48:GK48"/>
    <mergeCell ref="GJ41:GK41"/>
    <mergeCell ref="FZ53:GA53"/>
    <mergeCell ref="GB53:GC53"/>
    <mergeCell ref="FZ41:GA41"/>
    <mergeCell ref="GB41:GC41"/>
    <mergeCell ref="GD41:GE41"/>
    <mergeCell ref="GB48:GC48"/>
    <mergeCell ref="GB51:GC51"/>
    <mergeCell ref="FZ37:GA37"/>
    <mergeCell ref="GR32:GS32"/>
    <mergeCell ref="GR50:GS50"/>
    <mergeCell ref="GJ44:GK44"/>
    <mergeCell ref="GL44:GM44"/>
    <mergeCell ref="GN49:GO49"/>
    <mergeCell ref="GF49:GG49"/>
    <mergeCell ref="GH49:GI49"/>
    <mergeCell ref="GD49:GE49"/>
    <mergeCell ref="FZ47:GA47"/>
    <mergeCell ref="GB36:GC36"/>
    <mergeCell ref="FZ38:GA38"/>
    <mergeCell ref="GV45:GW45"/>
    <mergeCell ref="GL50:GM50"/>
    <mergeCell ref="FZ43:GA43"/>
    <mergeCell ref="GB43:GC43"/>
    <mergeCell ref="GV43:GW43"/>
    <mergeCell ref="FZ36:GA36"/>
    <mergeCell ref="GP40:GQ40"/>
    <mergeCell ref="GT39:GU39"/>
    <mergeCell ref="GV39:GW39"/>
    <mergeCell ref="GF37:GG37"/>
    <mergeCell ref="GP39:GQ39"/>
    <mergeCell ref="GD36:GE36"/>
    <mergeCell ref="GH55:GI55"/>
    <mergeCell ref="GF48:GG48"/>
    <mergeCell ref="GJ49:GK49"/>
    <mergeCell ref="GH44:GI44"/>
    <mergeCell ref="GR49:GS49"/>
    <mergeCell ref="GP50:GQ50"/>
    <mergeCell ref="GP49:GQ49"/>
    <mergeCell ref="GN48:GO48"/>
    <mergeCell ref="FZ34:GA34"/>
    <mergeCell ref="GT55:GU55"/>
    <mergeCell ref="GJ34:GK34"/>
    <mergeCell ref="GL34:GM34"/>
    <mergeCell ref="GN34:GO34"/>
    <mergeCell ref="GP34:GQ34"/>
    <mergeCell ref="GR34:GS34"/>
    <mergeCell ref="GL41:GM41"/>
    <mergeCell ref="GJ40:GK40"/>
    <mergeCell ref="GB63:GC63"/>
    <mergeCell ref="GP60:GQ60"/>
    <mergeCell ref="GF64:GG64"/>
    <mergeCell ref="FZ65:GA65"/>
    <mergeCell ref="GH64:GI64"/>
    <mergeCell ref="GN51:GO51"/>
    <mergeCell ref="GL51:GM51"/>
    <mergeCell ref="GJ52:GK52"/>
    <mergeCell ref="GJ58:GK58"/>
    <mergeCell ref="GH53:GI53"/>
    <mergeCell ref="GF54:GG54"/>
    <mergeCell ref="GF57:GG57"/>
    <mergeCell ref="GN56:GO56"/>
    <mergeCell ref="GL57:GM57"/>
    <mergeCell ref="GD51:GE51"/>
    <mergeCell ref="FZ52:GA52"/>
    <mergeCell ref="GB52:GC52"/>
    <mergeCell ref="GF52:GG52"/>
    <mergeCell ref="GF51:GG51"/>
    <mergeCell ref="GP52:GQ52"/>
    <mergeCell ref="GL54:GM54"/>
    <mergeCell ref="GN54:GO54"/>
    <mergeCell ref="GT54:GU54"/>
    <mergeCell ref="GR57:GS57"/>
    <mergeCell ref="GT58:GU58"/>
    <mergeCell ref="GR55:GS55"/>
    <mergeCell ref="GF55:GG55"/>
    <mergeCell ref="GF56:GG56"/>
    <mergeCell ref="GJ56:GK56"/>
    <mergeCell ref="GP56:GQ56"/>
    <mergeCell ref="GV56:GW56"/>
    <mergeCell ref="GL61:GM61"/>
    <mergeCell ref="GD55:GE55"/>
    <mergeCell ref="GN55:GO55"/>
    <mergeCell ref="GN62:GO62"/>
    <mergeCell ref="GP61:GQ61"/>
    <mergeCell ref="GV58:GW58"/>
    <mergeCell ref="GL58:GM58"/>
    <mergeCell ref="GP58:GQ58"/>
    <mergeCell ref="FZ57:GA57"/>
    <mergeCell ref="GP53:GQ53"/>
    <mergeCell ref="GR51:GS51"/>
    <mergeCell ref="GP55:GQ55"/>
    <mergeCell ref="GJ54:GK54"/>
    <mergeCell ref="GL55:GM55"/>
    <mergeCell ref="GP51:GQ51"/>
    <mergeCell ref="GP63:GQ63"/>
    <mergeCell ref="GR52:GS52"/>
    <mergeCell ref="GT53:GU53"/>
    <mergeCell ref="GT52:GU52"/>
    <mergeCell ref="GT56:GU56"/>
    <mergeCell ref="GF61:GG61"/>
    <mergeCell ref="GR64:GS64"/>
    <mergeCell ref="GN61:GO61"/>
    <mergeCell ref="GV63:GW63"/>
    <mergeCell ref="GV62:GW62"/>
    <mergeCell ref="GF59:GG59"/>
    <mergeCell ref="GB61:GC61"/>
    <mergeCell ref="GR53:GS53"/>
    <mergeCell ref="FZ51:GA51"/>
    <mergeCell ref="FZ54:GA54"/>
    <mergeCell ref="GB54:GC54"/>
    <mergeCell ref="GD54:GE54"/>
    <mergeCell ref="GV53:GW53"/>
    <mergeCell ref="GH40:GI40"/>
    <mergeCell ref="GT41:GU41"/>
    <mergeCell ref="FZ45:GA45"/>
    <mergeCell ref="GJ45:GK45"/>
    <mergeCell ref="GL45:GM45"/>
    <mergeCell ref="GH51:GI51"/>
    <mergeCell ref="GJ47:GK47"/>
    <mergeCell ref="GN45:GO45"/>
    <mergeCell ref="GL53:GM53"/>
    <mergeCell ref="GJ53:GK53"/>
    <mergeCell ref="GD46:GE46"/>
    <mergeCell ref="GB42:GC42"/>
    <mergeCell ref="GD42:GE42"/>
    <mergeCell ref="GF43:GG43"/>
    <mergeCell ref="GD47:GE47"/>
    <mergeCell ref="GL52:GM52"/>
    <mergeCell ref="GN52:GO52"/>
    <mergeCell ref="GH52:GI52"/>
    <mergeCell ref="GJ51:GK51"/>
    <mergeCell ref="GF53:GG53"/>
    <mergeCell ref="GB50:GC50"/>
    <mergeCell ref="GD50:GE50"/>
    <mergeCell ref="GF50:GG50"/>
    <mergeCell ref="GH48:GI48"/>
    <mergeCell ref="GL46:GM46"/>
    <mergeCell ref="GN46:GO46"/>
    <mergeCell ref="GP46:GQ46"/>
    <mergeCell ref="GR46:GS46"/>
    <mergeCell ref="GR48:GS48"/>
    <mergeCell ref="GB47:GC47"/>
    <mergeCell ref="GR43:GS43"/>
    <mergeCell ref="GT43:GU43"/>
    <mergeCell ref="GP47:GQ47"/>
    <mergeCell ref="GR47:GS47"/>
    <mergeCell ref="GT47:GU47"/>
    <mergeCell ref="GP43:GQ43"/>
    <mergeCell ref="GR40:GS40"/>
    <mergeCell ref="GN41:GO41"/>
    <mergeCell ref="GT48:GU48"/>
    <mergeCell ref="GL49:GM49"/>
    <mergeCell ref="GF45:GG45"/>
    <mergeCell ref="GB45:GC45"/>
    <mergeCell ref="GD45:GE45"/>
    <mergeCell ref="GB49:GC49"/>
    <mergeCell ref="GB44:GC44"/>
    <mergeCell ref="GD52:GE52"/>
    <mergeCell ref="GN50:GO50"/>
    <mergeCell ref="FZ49:GA49"/>
    <mergeCell ref="GL48:GM48"/>
    <mergeCell ref="GF47:GG47"/>
    <mergeCell ref="GN47:GO47"/>
    <mergeCell ref="GT51:GU51"/>
    <mergeCell ref="GP48:GQ48"/>
    <mergeCell ref="GJ50:GK50"/>
    <mergeCell ref="GD53:GE53"/>
    <mergeCell ref="FZ44:GA44"/>
    <mergeCell ref="FZ48:GA48"/>
    <mergeCell ref="GV51:GW51"/>
    <mergeCell ref="FZ46:GA46"/>
    <mergeCell ref="GB46:GC46"/>
    <mergeCell ref="GD44:GE44"/>
    <mergeCell ref="GJ55:GK55"/>
    <mergeCell ref="FZ50:GA50"/>
    <mergeCell ref="GD48:GE48"/>
    <mergeCell ref="GN53:GO53"/>
    <mergeCell ref="GP54:GQ54"/>
    <mergeCell ref="GP73:GQ73"/>
    <mergeCell ref="GT72:GU72"/>
    <mergeCell ref="GF71:GG71"/>
    <mergeCell ref="GX68:GY68"/>
    <mergeCell ref="GX71:GY71"/>
    <mergeCell ref="GX65:GY65"/>
    <mergeCell ref="GD61:GE61"/>
    <mergeCell ref="GR73:GS73"/>
    <mergeCell ref="GN72:GO72"/>
    <mergeCell ref="GR56:GS56"/>
    <mergeCell ref="GR54:GS54"/>
    <mergeCell ref="GP72:GQ72"/>
    <mergeCell ref="GD73:GE73"/>
    <mergeCell ref="GR72:GS72"/>
    <mergeCell ref="GH72:GI72"/>
    <mergeCell ref="GF73:GG73"/>
    <mergeCell ref="GD72:GE72"/>
    <mergeCell ref="FZ56:GA56"/>
    <mergeCell ref="FZ60:GA60"/>
    <mergeCell ref="FZ62:GA62"/>
    <mergeCell ref="FZ69:GA69"/>
    <mergeCell ref="GL60:GM60"/>
    <mergeCell ref="GV69:GW69"/>
    <mergeCell ref="GJ70:GK70"/>
    <mergeCell ref="FZ70:GA70"/>
    <mergeCell ref="GL56:GM56"/>
    <mergeCell ref="GV60:GW60"/>
    <mergeCell ref="GV59:GW59"/>
    <mergeCell ref="GR60:GS60"/>
    <mergeCell ref="GT59:GU59"/>
    <mergeCell ref="GB59:GC59"/>
    <mergeCell ref="FZ61:GA61"/>
    <mergeCell ref="GB62:GC62"/>
    <mergeCell ref="GH73:GI73"/>
    <mergeCell ref="GN64:GO64"/>
    <mergeCell ref="GD66:GE66"/>
    <mergeCell ref="GD69:GE69"/>
    <mergeCell ref="GH57:GI57"/>
    <mergeCell ref="GD70:GE70"/>
    <mergeCell ref="GX59:GY59"/>
    <mergeCell ref="GX57:GY57"/>
    <mergeCell ref="GX58:GY58"/>
    <mergeCell ref="GR71:GS71"/>
    <mergeCell ref="GN60:GO60"/>
    <mergeCell ref="GJ59:GK59"/>
    <mergeCell ref="GH50:GI50"/>
    <mergeCell ref="GH54:GI54"/>
    <mergeCell ref="GV55:GW55"/>
    <mergeCell ref="GV61:GW61"/>
    <mergeCell ref="GD59:GE59"/>
    <mergeCell ref="GR69:GS69"/>
    <mergeCell ref="GV70:GW70"/>
    <mergeCell ref="GJ60:GK60"/>
    <mergeCell ref="GX64:GY64"/>
    <mergeCell ref="GP57:GQ57"/>
    <mergeCell ref="GP62:GQ62"/>
    <mergeCell ref="GT57:GU57"/>
    <mergeCell ref="GR59:GS59"/>
    <mergeCell ref="GX73:GY73"/>
    <mergeCell ref="GJ57:GK57"/>
    <mergeCell ref="GF58:GG58"/>
    <mergeCell ref="GJ62:GK62"/>
    <mergeCell ref="GJ72:GK72"/>
    <mergeCell ref="GD62:GE62"/>
    <mergeCell ref="GP66:GQ66"/>
    <mergeCell ref="GF60:GG60"/>
    <mergeCell ref="GH60:GI60"/>
    <mergeCell ref="GT62:GU62"/>
    <mergeCell ref="GL63:GM63"/>
    <mergeCell ref="GR62:GS62"/>
    <mergeCell ref="GR58:GS58"/>
    <mergeCell ref="GV67:GW67"/>
    <mergeCell ref="GT63:GU63"/>
    <mergeCell ref="GR63:GS63"/>
    <mergeCell ref="GT67:GU67"/>
    <mergeCell ref="GV65:GW65"/>
    <mergeCell ref="GH61:GI61"/>
    <mergeCell ref="GJ61:GK61"/>
    <mergeCell ref="GV66:GW66"/>
    <mergeCell ref="GT64:GU64"/>
    <mergeCell ref="GD63:GE63"/>
    <mergeCell ref="GF63:GG63"/>
    <mergeCell ref="GV64:GW64"/>
    <mergeCell ref="GH59:GI59"/>
    <mergeCell ref="GP59:GQ59"/>
    <mergeCell ref="GP67:GQ67"/>
    <mergeCell ref="GD58:GE58"/>
    <mergeCell ref="GX70:GY70"/>
    <mergeCell ref="GX72:GY72"/>
    <mergeCell ref="GF66:GG66"/>
    <mergeCell ref="GV73:GW73"/>
    <mergeCell ref="GH62:GI62"/>
    <mergeCell ref="GL65:GM65"/>
    <mergeCell ref="GH69:GI69"/>
    <mergeCell ref="GJ69:GK69"/>
    <mergeCell ref="GT60:GU60"/>
    <mergeCell ref="GL62:GM62"/>
    <mergeCell ref="GV57:GW57"/>
    <mergeCell ref="GT70:GU70"/>
    <mergeCell ref="GL72:GM72"/>
    <mergeCell ref="GJ71:GK71"/>
    <mergeCell ref="GN57:GO57"/>
    <mergeCell ref="GN63:GO63"/>
    <mergeCell ref="GH63:GI63"/>
    <mergeCell ref="GH58:GI58"/>
    <mergeCell ref="GD60:GE60"/>
    <mergeCell ref="GT61:GU61"/>
    <mergeCell ref="GR61:GS61"/>
    <mergeCell ref="GJ67:GK67"/>
    <mergeCell ref="GN69:GO69"/>
    <mergeCell ref="GD65:GE65"/>
    <mergeCell ref="GF70:GG70"/>
    <mergeCell ref="GZ73:HA73"/>
    <mergeCell ref="GZ70:HA70"/>
    <mergeCell ref="GV72:GW72"/>
    <mergeCell ref="GR70:GS70"/>
    <mergeCell ref="GT66:GU66"/>
    <mergeCell ref="GV68:GW68"/>
    <mergeCell ref="GT68:GU68"/>
    <mergeCell ref="GF77:GG77"/>
    <mergeCell ref="GH77:GI77"/>
    <mergeCell ref="GJ77:GK77"/>
    <mergeCell ref="GX75:GY75"/>
    <mergeCell ref="GR77:GS77"/>
    <mergeCell ref="GV77:GW77"/>
    <mergeCell ref="GT75:GU75"/>
    <mergeCell ref="GX76:GY76"/>
    <mergeCell ref="GN75:GO75"/>
    <mergeCell ref="GH75:GI75"/>
    <mergeCell ref="GX60:GY60"/>
    <mergeCell ref="GX61:GY61"/>
    <mergeCell ref="GX62:GY62"/>
    <mergeCell ref="GP69:GQ69"/>
    <mergeCell ref="GZ61:HA61"/>
    <mergeCell ref="GZ63:HA63"/>
    <mergeCell ref="GX63:GY63"/>
    <mergeCell ref="GX66:GY66"/>
    <mergeCell ref="GX67:GY67"/>
    <mergeCell ref="GX74:GY74"/>
    <mergeCell ref="GT79:GU79"/>
    <mergeCell ref="GT76:GU76"/>
    <mergeCell ref="GB69:GC69"/>
    <mergeCell ref="GD64:GE64"/>
    <mergeCell ref="GZ62:HA62"/>
    <mergeCell ref="GT78:GU78"/>
    <mergeCell ref="GV78:GW78"/>
    <mergeCell ref="GJ78:GK78"/>
    <mergeCell ref="GJ75:GK75"/>
    <mergeCell ref="GZ68:HA68"/>
    <mergeCell ref="GB67:GC67"/>
    <mergeCell ref="GX69:GY69"/>
    <mergeCell ref="GZ67:HA67"/>
    <mergeCell ref="GZ65:HA65"/>
    <mergeCell ref="GZ66:HA66"/>
    <mergeCell ref="GZ64:HA64"/>
    <mergeCell ref="GZ77:HA77"/>
    <mergeCell ref="GF68:GG68"/>
    <mergeCell ref="GT71:GU71"/>
    <mergeCell ref="GX79:GY79"/>
    <mergeCell ref="GP64:GQ64"/>
    <mergeCell ref="GP65:GQ65"/>
    <mergeCell ref="GB71:GC71"/>
    <mergeCell ref="GN67:GO67"/>
    <mergeCell ref="GR65:GS65"/>
    <mergeCell ref="GV71:GW71"/>
    <mergeCell ref="GP68:GQ68"/>
    <mergeCell ref="GV79:GW79"/>
    <mergeCell ref="GV74:GW74"/>
    <mergeCell ref="GZ71:HA71"/>
    <mergeCell ref="GZ78:HA78"/>
    <mergeCell ref="GH78:GI78"/>
    <mergeCell ref="GZ60:HA60"/>
    <mergeCell ref="GF62:GG62"/>
    <mergeCell ref="GD67:GE67"/>
    <mergeCell ref="GH68:GI68"/>
    <mergeCell ref="GD78:GE78"/>
    <mergeCell ref="GD56:GE56"/>
    <mergeCell ref="GB57:GC57"/>
    <mergeCell ref="GD57:GE57"/>
    <mergeCell ref="FX65:FY65"/>
    <mergeCell ref="GL59:GM59"/>
    <mergeCell ref="GB56:GC56"/>
    <mergeCell ref="GN59:GO59"/>
    <mergeCell ref="GN71:GO71"/>
    <mergeCell ref="GF67:GG67"/>
    <mergeCell ref="FX61:FY61"/>
    <mergeCell ref="FV56:FW56"/>
    <mergeCell ref="FV58:FW58"/>
    <mergeCell ref="FX58:FY58"/>
    <mergeCell ref="FV62:FW62"/>
    <mergeCell ref="FV76:FW76"/>
    <mergeCell ref="FR72:FS72"/>
    <mergeCell ref="GJ81:GK81"/>
    <mergeCell ref="GJ79:GK79"/>
    <mergeCell ref="GD75:GE75"/>
    <mergeCell ref="FX56:FY56"/>
    <mergeCell ref="GJ76:GK76"/>
    <mergeCell ref="GD76:GE76"/>
    <mergeCell ref="GB73:GC73"/>
    <mergeCell ref="FZ79:GA79"/>
    <mergeCell ref="GB79:GC79"/>
    <mergeCell ref="GH79:GI79"/>
    <mergeCell ref="GH80:GI80"/>
    <mergeCell ref="GD79:GE79"/>
    <mergeCell ref="FZ83:GA83"/>
    <mergeCell ref="FZ81:GA81"/>
    <mergeCell ref="GF81:GG81"/>
    <mergeCell ref="FV81:FW81"/>
    <mergeCell ref="GL80:GM80"/>
    <mergeCell ref="GN68:GO68"/>
    <mergeCell ref="GH66:GI66"/>
    <mergeCell ref="GD68:GE68"/>
    <mergeCell ref="GL64:GM64"/>
    <mergeCell ref="GJ63:GK63"/>
    <mergeCell ref="GB58:GC58"/>
    <mergeCell ref="FZ58:GA58"/>
    <mergeCell ref="GN58:GO58"/>
    <mergeCell ref="FZ59:GA59"/>
    <mergeCell ref="GN77:GO77"/>
    <mergeCell ref="GN70:GO70"/>
    <mergeCell ref="FX80:FY80"/>
    <mergeCell ref="FX77:FY77"/>
    <mergeCell ref="FX76:FY76"/>
    <mergeCell ref="FX75:FY75"/>
    <mergeCell ref="FX79:FY79"/>
    <mergeCell ref="GL78:GM78"/>
    <mergeCell ref="GN79:GO79"/>
    <mergeCell ref="GF74:GG74"/>
    <mergeCell ref="GB75:GC75"/>
    <mergeCell ref="GH56:GI56"/>
    <mergeCell ref="GJ68:GK68"/>
    <mergeCell ref="FV78:FW78"/>
    <mergeCell ref="FZ78:GA78"/>
    <mergeCell ref="FZ75:GA75"/>
    <mergeCell ref="GH74:GI74"/>
    <mergeCell ref="GJ74:GK74"/>
    <mergeCell ref="FT74:FU74"/>
    <mergeCell ref="FR66:FS66"/>
    <mergeCell ref="GB83:GC83"/>
    <mergeCell ref="GB60:GC60"/>
    <mergeCell ref="GR74:GS74"/>
    <mergeCell ref="GF80:GG80"/>
    <mergeCell ref="GV76:GW76"/>
    <mergeCell ref="GV75:GW75"/>
    <mergeCell ref="GP80:GQ80"/>
    <mergeCell ref="FZ64:GA64"/>
    <mergeCell ref="GJ64:GK64"/>
    <mergeCell ref="GJ73:GK73"/>
    <mergeCell ref="GP70:GQ70"/>
    <mergeCell ref="GR66:GS66"/>
    <mergeCell ref="GR81:GS81"/>
    <mergeCell ref="GV82:GW82"/>
    <mergeCell ref="GH71:GI71"/>
    <mergeCell ref="GH67:GI67"/>
    <mergeCell ref="GT73:GU73"/>
    <mergeCell ref="GL71:GM71"/>
    <mergeCell ref="FZ67:GA67"/>
    <mergeCell ref="GN73:GO73"/>
    <mergeCell ref="GT69:GU69"/>
    <mergeCell ref="GP71:GQ71"/>
    <mergeCell ref="GL70:GM70"/>
    <mergeCell ref="GD74:GE74"/>
    <mergeCell ref="GL67:GM67"/>
    <mergeCell ref="GP76:GQ76"/>
    <mergeCell ref="GB80:GC80"/>
    <mergeCell ref="GV80:GW80"/>
    <mergeCell ref="GT77:GU77"/>
    <mergeCell ref="GR67:GS67"/>
    <mergeCell ref="GH65:GI65"/>
    <mergeCell ref="GP78:GQ78"/>
    <mergeCell ref="GF76:GG76"/>
    <mergeCell ref="GN78:GO78"/>
    <mergeCell ref="GJ65:GK65"/>
    <mergeCell ref="GF75:GG75"/>
    <mergeCell ref="GT65:GU65"/>
    <mergeCell ref="GP74:GQ74"/>
    <mergeCell ref="GF65:GG65"/>
    <mergeCell ref="GR68:GS68"/>
    <mergeCell ref="GL69:GM69"/>
    <mergeCell ref="GB64:GC64"/>
    <mergeCell ref="GB66:GC66"/>
    <mergeCell ref="GB82:GC82"/>
    <mergeCell ref="GB78:GC78"/>
    <mergeCell ref="GD81:GE81"/>
    <mergeCell ref="GP81:GQ81"/>
    <mergeCell ref="GL68:GM68"/>
    <mergeCell ref="GD77:GE77"/>
    <mergeCell ref="GD82:GE82"/>
    <mergeCell ref="GN82:GO82"/>
    <mergeCell ref="GF78:GG78"/>
    <mergeCell ref="GJ82:GK82"/>
    <mergeCell ref="GB76:GC76"/>
    <mergeCell ref="GB74:GC74"/>
    <mergeCell ref="GH70:GI70"/>
    <mergeCell ref="GF72:GG72"/>
    <mergeCell ref="FZ80:GA80"/>
    <mergeCell ref="GT74:GU74"/>
    <mergeCell ref="FZ73:GA73"/>
    <mergeCell ref="FZ63:GA63"/>
    <mergeCell ref="FV72:FW72"/>
    <mergeCell ref="FZ82:GA82"/>
    <mergeCell ref="FR68:FS68"/>
    <mergeCell ref="FV63:FW63"/>
    <mergeCell ref="FL70:FM70"/>
    <mergeCell ref="FP66:FQ66"/>
    <mergeCell ref="FL79:FM79"/>
    <mergeCell ref="FN83:FO83"/>
    <mergeCell ref="FT81:FU81"/>
    <mergeCell ref="FP80:FQ80"/>
    <mergeCell ref="FT77:FU77"/>
    <mergeCell ref="FV80:FW80"/>
    <mergeCell ref="FV64:FW64"/>
    <mergeCell ref="FX71:FY71"/>
    <mergeCell ref="FN82:FO82"/>
    <mergeCell ref="FZ66:GA66"/>
    <mergeCell ref="FN72:FO72"/>
    <mergeCell ref="FT69:FU69"/>
    <mergeCell ref="FN68:FO68"/>
    <mergeCell ref="FN75:FO75"/>
    <mergeCell ref="GB81:GC81"/>
    <mergeCell ref="FV73:FW73"/>
    <mergeCell ref="FN64:FO64"/>
    <mergeCell ref="FL63:FM63"/>
    <mergeCell ref="FP83:FQ83"/>
    <mergeCell ref="FN69:FO69"/>
    <mergeCell ref="FL76:FM76"/>
    <mergeCell ref="FR74:FS74"/>
    <mergeCell ref="FP70:FQ70"/>
    <mergeCell ref="FP63:FQ63"/>
    <mergeCell ref="FN74:FO74"/>
    <mergeCell ref="FT75:FU75"/>
    <mergeCell ref="FX67:FY67"/>
    <mergeCell ref="FT65:FU65"/>
    <mergeCell ref="FP77:FQ77"/>
    <mergeCell ref="FP74:FQ74"/>
    <mergeCell ref="FR63:FS63"/>
    <mergeCell ref="FR64:FS64"/>
    <mergeCell ref="FN81:FO81"/>
    <mergeCell ref="FP69:FQ69"/>
    <mergeCell ref="FL74:FM74"/>
    <mergeCell ref="FX64:FY64"/>
    <mergeCell ref="FR76:FS76"/>
    <mergeCell ref="FX72:FY72"/>
    <mergeCell ref="FV65:FW65"/>
    <mergeCell ref="FP65:FQ65"/>
    <mergeCell ref="FX63:FY63"/>
    <mergeCell ref="FT70:FU70"/>
    <mergeCell ref="FT64:FU64"/>
    <mergeCell ref="FP64:FQ64"/>
    <mergeCell ref="FL80:FM80"/>
    <mergeCell ref="FL77:FM77"/>
    <mergeCell ref="FP79:FQ79"/>
    <mergeCell ref="FV77:FW77"/>
    <mergeCell ref="FL68:FM68"/>
    <mergeCell ref="FL69:FM69"/>
    <mergeCell ref="FR71:FS71"/>
    <mergeCell ref="FN70:FO70"/>
    <mergeCell ref="FR69:FS69"/>
    <mergeCell ref="FT67:FU67"/>
    <mergeCell ref="FV67:FW67"/>
    <mergeCell ref="FV69:FW69"/>
    <mergeCell ref="FV70:FW70"/>
    <mergeCell ref="FT79:FU79"/>
    <mergeCell ref="FV66:FW66"/>
    <mergeCell ref="FZ71:GA71"/>
    <mergeCell ref="FZ68:GA68"/>
    <mergeCell ref="GN76:GO76"/>
    <mergeCell ref="GB77:GC77"/>
    <mergeCell ref="FT68:FU68"/>
    <mergeCell ref="FR70:FS70"/>
    <mergeCell ref="FX78:FY78"/>
    <mergeCell ref="GB70:GC70"/>
    <mergeCell ref="GN65:GO65"/>
    <mergeCell ref="GB72:GC72"/>
    <mergeCell ref="FZ72:GA72"/>
    <mergeCell ref="GJ66:GK66"/>
    <mergeCell ref="GN66:GO66"/>
    <mergeCell ref="GL66:GM66"/>
    <mergeCell ref="FX81:FY81"/>
    <mergeCell ref="FP81:FQ81"/>
    <mergeCell ref="FR81:FS81"/>
    <mergeCell ref="FX70:FY70"/>
    <mergeCell ref="FZ76:GA76"/>
    <mergeCell ref="FX66:FY66"/>
    <mergeCell ref="FT76:FU76"/>
    <mergeCell ref="FV79:FW79"/>
    <mergeCell ref="FV71:FW71"/>
    <mergeCell ref="FX73:FY73"/>
    <mergeCell ref="FX74:FY74"/>
    <mergeCell ref="FX69:FY69"/>
    <mergeCell ref="FX68:FY68"/>
    <mergeCell ref="GJ80:GK80"/>
    <mergeCell ref="GL79:GM79"/>
    <mergeCell ref="GL81:GM81"/>
    <mergeCell ref="FZ74:GA74"/>
    <mergeCell ref="FZ77:GA77"/>
    <mergeCell ref="GF69:GG69"/>
    <mergeCell ref="GN74:GO74"/>
    <mergeCell ref="FR78:FS78"/>
    <mergeCell ref="FT78:FU78"/>
    <mergeCell ref="FR75:FS75"/>
    <mergeCell ref="FP67:FQ67"/>
    <mergeCell ref="FV68:FW68"/>
    <mergeCell ref="FT73:FU73"/>
    <mergeCell ref="FR67:FS67"/>
    <mergeCell ref="FR80:FS80"/>
    <mergeCell ref="FP75:FQ75"/>
    <mergeCell ref="FT71:FU71"/>
    <mergeCell ref="FT66:FU66"/>
    <mergeCell ref="FT72:FU72"/>
    <mergeCell ref="FR77:FS77"/>
    <mergeCell ref="FP68:FQ68"/>
    <mergeCell ref="FP73:FQ73"/>
    <mergeCell ref="FP76:FQ76"/>
    <mergeCell ref="FR65:FS65"/>
    <mergeCell ref="FR73:FS73"/>
    <mergeCell ref="FV75:FW75"/>
    <mergeCell ref="FT83:FU83"/>
    <mergeCell ref="FV83:FW83"/>
    <mergeCell ref="FT85:FU85"/>
    <mergeCell ref="FX89:FY89"/>
    <mergeCell ref="FX97:FY97"/>
    <mergeCell ref="FZ97:GA97"/>
    <mergeCell ref="FZ113:GA113"/>
    <mergeCell ref="FZ88:GA88"/>
    <mergeCell ref="FZ85:GA85"/>
    <mergeCell ref="FX88:FY88"/>
    <mergeCell ref="FL97:FM97"/>
    <mergeCell ref="FN97:FO97"/>
    <mergeCell ref="FL82:FM82"/>
    <mergeCell ref="FN85:FO85"/>
    <mergeCell ref="FP87:FQ87"/>
    <mergeCell ref="FJ83:FK83"/>
    <mergeCell ref="FL83:FM83"/>
    <mergeCell ref="FT88:FU88"/>
    <mergeCell ref="FT106:FU106"/>
    <mergeCell ref="FX82:FY82"/>
    <mergeCell ref="FP85:FQ85"/>
    <mergeCell ref="FV85:FW85"/>
    <mergeCell ref="FX116:FY116"/>
    <mergeCell ref="FN87:FO87"/>
    <mergeCell ref="FV93:FW93"/>
    <mergeCell ref="FX115:FY115"/>
    <mergeCell ref="FT84:FU84"/>
    <mergeCell ref="FP86:FQ86"/>
    <mergeCell ref="FV102:FW102"/>
    <mergeCell ref="FZ87:GA87"/>
    <mergeCell ref="FX85:FY85"/>
    <mergeCell ref="FJ102:FK102"/>
    <mergeCell ref="FL102:FM102"/>
    <mergeCell ref="FN102:FO102"/>
    <mergeCell ref="FP102:FQ102"/>
    <mergeCell ref="FR102:FS102"/>
    <mergeCell ref="FT102:FU102"/>
    <mergeCell ref="FN86:FO86"/>
    <mergeCell ref="FJ88:FK88"/>
    <mergeCell ref="FV89:FW89"/>
    <mergeCell ref="FV87:FW87"/>
    <mergeCell ref="FT90:FU90"/>
    <mergeCell ref="FR83:FS83"/>
    <mergeCell ref="FR84:FS84"/>
    <mergeCell ref="FL84:FM84"/>
    <mergeCell ref="FJ84:FK84"/>
    <mergeCell ref="FT82:FU82"/>
    <mergeCell ref="FJ85:FK85"/>
    <mergeCell ref="FV111:FW111"/>
    <mergeCell ref="FR116:FS116"/>
    <mergeCell ref="FN92:FO92"/>
    <mergeCell ref="FP113:FQ113"/>
    <mergeCell ref="FV114:FW114"/>
    <mergeCell ref="FX91:FY91"/>
    <mergeCell ref="FX87:FY87"/>
    <mergeCell ref="FV106:FW106"/>
    <mergeCell ref="FV88:FW88"/>
    <mergeCell ref="FL95:FM95"/>
    <mergeCell ref="FJ91:FK91"/>
    <mergeCell ref="FV101:FW101"/>
    <mergeCell ref="FX101:FY101"/>
    <mergeCell ref="FZ101:GA101"/>
    <mergeCell ref="FR79:FS79"/>
    <mergeCell ref="FT80:FU80"/>
    <mergeCell ref="FN73:FO73"/>
    <mergeCell ref="FX83:FY83"/>
    <mergeCell ref="FJ150:FK150"/>
    <mergeCell ref="FP150:FQ150"/>
    <mergeCell ref="FP142:FQ142"/>
    <mergeCell ref="FR140:FS140"/>
    <mergeCell ref="FT139:FU139"/>
    <mergeCell ref="EZ145:FA145"/>
    <mergeCell ref="FP139:FQ139"/>
    <mergeCell ref="FN140:FO140"/>
    <mergeCell ref="FR139:FS139"/>
    <mergeCell ref="FL143:FM143"/>
    <mergeCell ref="FJ143:FK143"/>
    <mergeCell ref="FD147:FE147"/>
    <mergeCell ref="FB146:FC146"/>
    <mergeCell ref="FF138:FG138"/>
    <mergeCell ref="EZ147:FA147"/>
    <mergeCell ref="FB145:FC145"/>
    <mergeCell ref="FB140:FC140"/>
    <mergeCell ref="FB141:FC141"/>
    <mergeCell ref="FF139:FG139"/>
    <mergeCell ref="FF137:FG137"/>
    <mergeCell ref="FH142:FI142"/>
    <mergeCell ref="FJ138:FK138"/>
    <mergeCell ref="EZ130:FA130"/>
    <mergeCell ref="FF133:FG133"/>
    <mergeCell ref="FH131:FI131"/>
    <mergeCell ref="FF132:FG132"/>
    <mergeCell ref="FL139:FM139"/>
    <mergeCell ref="FD136:FE136"/>
    <mergeCell ref="EZ133:FA133"/>
    <mergeCell ref="FP147:FQ147"/>
    <mergeCell ref="FN147:FO147"/>
    <mergeCell ref="FL145:FM145"/>
    <mergeCell ref="FF79:FG79"/>
    <mergeCell ref="FF78:FG78"/>
    <mergeCell ref="FH79:FI79"/>
    <mergeCell ref="FB149:FC149"/>
    <mergeCell ref="FH122:FI122"/>
    <mergeCell ref="FH82:FI82"/>
    <mergeCell ref="FL81:FM81"/>
    <mergeCell ref="FL117:FM117"/>
    <mergeCell ref="FJ114:FK114"/>
    <mergeCell ref="FH114:FI114"/>
    <mergeCell ref="FJ82:FK82"/>
    <mergeCell ref="FJ81:FK81"/>
    <mergeCell ref="FV82:FW82"/>
    <mergeCell ref="FT87:FU87"/>
    <mergeCell ref="FL128:FM128"/>
    <mergeCell ref="FP128:FQ128"/>
    <mergeCell ref="FN128:FO128"/>
    <mergeCell ref="FJ129:FK129"/>
    <mergeCell ref="FP82:FQ82"/>
    <mergeCell ref="FP132:FQ132"/>
    <mergeCell ref="FL130:FM130"/>
    <mergeCell ref="FP133:FQ133"/>
    <mergeCell ref="FN133:FO133"/>
    <mergeCell ref="FN137:FO137"/>
    <mergeCell ref="FN131:FO131"/>
    <mergeCell ref="FN122:FO122"/>
    <mergeCell ref="FR131:FS131"/>
    <mergeCell ref="FR82:FS82"/>
    <mergeCell ref="FP137:FQ137"/>
    <mergeCell ref="FP122:FQ122"/>
    <mergeCell ref="FJ115:FK115"/>
    <mergeCell ref="FL121:FM121"/>
    <mergeCell ref="FT86:FU86"/>
    <mergeCell ref="FL120:FM120"/>
    <mergeCell ref="FJ120:FK120"/>
    <mergeCell ref="FP91:FQ91"/>
    <mergeCell ref="FR123:FS123"/>
    <mergeCell ref="FR124:FS124"/>
    <mergeCell ref="FR119:FS119"/>
    <mergeCell ref="FR120:FS120"/>
    <mergeCell ref="FJ125:FK125"/>
    <mergeCell ref="FJ97:FK97"/>
    <mergeCell ref="FP129:FQ129"/>
    <mergeCell ref="FJ133:FK133"/>
    <mergeCell ref="FN136:FO136"/>
    <mergeCell ref="FR89:FS89"/>
    <mergeCell ref="FJ103:FK103"/>
    <mergeCell ref="FL103:FM103"/>
    <mergeCell ref="FJ119:FK119"/>
    <mergeCell ref="FL89:FM89"/>
    <mergeCell ref="FL88:FM88"/>
    <mergeCell ref="FJ122:FK122"/>
    <mergeCell ref="FN93:FO93"/>
    <mergeCell ref="FL86:FM86"/>
    <mergeCell ref="FL87:FM87"/>
    <mergeCell ref="FT93:FU93"/>
    <mergeCell ref="FJ112:FK112"/>
    <mergeCell ref="FT136:FU136"/>
    <mergeCell ref="FJ117:FK117"/>
    <mergeCell ref="FT117:FU117"/>
    <mergeCell ref="FX137:FY137"/>
    <mergeCell ref="FT134:FU134"/>
    <mergeCell ref="FN134:FO134"/>
    <mergeCell ref="FR125:FS125"/>
    <mergeCell ref="FT122:FU122"/>
    <mergeCell ref="FV86:FW86"/>
    <mergeCell ref="FV115:FW115"/>
    <mergeCell ref="FV113:FW113"/>
    <mergeCell ref="FR114:FS114"/>
    <mergeCell ref="FR112:FS112"/>
    <mergeCell ref="FR93:FS93"/>
    <mergeCell ref="FX111:FY111"/>
    <mergeCell ref="FL119:FM119"/>
    <mergeCell ref="FR86:FS86"/>
    <mergeCell ref="FL111:FM111"/>
    <mergeCell ref="FT114:FU114"/>
    <mergeCell ref="FN91:FO91"/>
    <mergeCell ref="FX135:FY135"/>
    <mergeCell ref="FV117:FW117"/>
    <mergeCell ref="FN118:FO118"/>
    <mergeCell ref="FV122:FW122"/>
    <mergeCell ref="FV121:FW121"/>
    <mergeCell ref="FP92:FQ92"/>
    <mergeCell ref="FJ113:FK113"/>
    <mergeCell ref="FJ111:FK111"/>
    <mergeCell ref="FX100:FY100"/>
    <mergeCell ref="FT119:FU119"/>
    <mergeCell ref="FN119:FO119"/>
    <mergeCell ref="FL134:FM134"/>
    <mergeCell ref="FR133:FS133"/>
    <mergeCell ref="FR132:FS132"/>
    <mergeCell ref="FN135:FO135"/>
    <mergeCell ref="FF135:FG135"/>
    <mergeCell ref="FR151:FS151"/>
    <mergeCell ref="FP145:FQ145"/>
    <mergeCell ref="FN139:FO139"/>
    <mergeCell ref="FH150:FI150"/>
    <mergeCell ref="FT148:FU148"/>
    <mergeCell ref="FB144:FC144"/>
    <mergeCell ref="FD145:FE145"/>
    <mergeCell ref="FF151:FG151"/>
    <mergeCell ref="FH146:FI146"/>
    <mergeCell ref="FP136:FQ136"/>
    <mergeCell ref="FF136:FG136"/>
    <mergeCell ref="FH137:FI137"/>
    <mergeCell ref="FF142:FG142"/>
    <mergeCell ref="FB142:FC142"/>
    <mergeCell ref="FF150:FG150"/>
    <mergeCell ref="FB137:FC137"/>
    <mergeCell ref="FT137:FU137"/>
    <mergeCell ref="FV141:FW141"/>
    <mergeCell ref="FT132:FU132"/>
    <mergeCell ref="FV144:FW144"/>
    <mergeCell ref="FT131:FU131"/>
    <mergeCell ref="FL131:FM131"/>
    <mergeCell ref="FJ131:FK131"/>
    <mergeCell ref="FR129:FS129"/>
    <mergeCell ref="FV138:FW138"/>
    <mergeCell ref="FD135:FE135"/>
    <mergeCell ref="FJ137:FK137"/>
    <mergeCell ref="FX140:FY140"/>
    <mergeCell ref="FX139:FY139"/>
    <mergeCell ref="FX138:FY138"/>
    <mergeCell ref="FX151:FY151"/>
    <mergeCell ref="FL125:FM125"/>
    <mergeCell ref="FR149:FS149"/>
    <mergeCell ref="FN151:FO151"/>
    <mergeCell ref="FD144:FE144"/>
    <mergeCell ref="FD146:FE146"/>
    <mergeCell ref="FB150:FC150"/>
    <mergeCell ref="FF144:FG144"/>
    <mergeCell ref="FD141:FE141"/>
    <mergeCell ref="FD150:FE150"/>
    <mergeCell ref="FH151:FI151"/>
    <mergeCell ref="FJ139:FK139"/>
    <mergeCell ref="FP138:FQ138"/>
    <mergeCell ref="FH143:FI143"/>
    <mergeCell ref="FR138:FS138"/>
    <mergeCell ref="FN141:FO141"/>
    <mergeCell ref="FP140:FQ140"/>
    <mergeCell ref="FT140:FU140"/>
    <mergeCell ref="FF141:FG141"/>
    <mergeCell ref="FT149:FU149"/>
    <mergeCell ref="FN150:FO150"/>
    <mergeCell ref="FL148:FM148"/>
    <mergeCell ref="FJ147:FK147"/>
    <mergeCell ref="FT147:FU147"/>
    <mergeCell ref="FD139:FE139"/>
    <mergeCell ref="FJ148:FK148"/>
    <mergeCell ref="FB147:FC147"/>
    <mergeCell ref="FN138:FO138"/>
    <mergeCell ref="FJ146:FK146"/>
    <mergeCell ref="FT138:FU138"/>
    <mergeCell ref="FD138:FE138"/>
    <mergeCell ref="FF145:FG145"/>
    <mergeCell ref="FJ145:FK145"/>
    <mergeCell ref="FR137:FS137"/>
    <mergeCell ref="FP141:FQ141"/>
    <mergeCell ref="FR136:FS136"/>
    <mergeCell ref="FL137:FM137"/>
    <mergeCell ref="FF140:FG140"/>
    <mergeCell ref="CX145:CY145"/>
    <mergeCell ref="EV147:EW147"/>
    <mergeCell ref="DH147:DI147"/>
    <mergeCell ref="DL132:DM132"/>
    <mergeCell ref="DZ147:EA147"/>
    <mergeCell ref="EP147:EQ147"/>
    <mergeCell ref="EZ142:FA142"/>
    <mergeCell ref="FD140:FE140"/>
    <mergeCell ref="ED139:EE139"/>
    <mergeCell ref="ED140:EE140"/>
    <mergeCell ref="EP140:EQ140"/>
    <mergeCell ref="EP139:EQ139"/>
    <mergeCell ref="EL140:EM140"/>
    <mergeCell ref="EH137:EI137"/>
    <mergeCell ref="EF137:EG137"/>
    <mergeCell ref="EB139:EC139"/>
    <mergeCell ref="EN136:EO136"/>
    <mergeCell ref="EN138:EO138"/>
    <mergeCell ref="EJ136:EK136"/>
    <mergeCell ref="EJ137:EK137"/>
    <mergeCell ref="EP137:EQ137"/>
    <mergeCell ref="EB137:EC137"/>
    <mergeCell ref="DX141:DY141"/>
    <mergeCell ref="EX139:EY139"/>
    <mergeCell ref="DH142:DI142"/>
    <mergeCell ref="DR145:DS145"/>
    <mergeCell ref="DL147:DM147"/>
    <mergeCell ref="EP143:EQ143"/>
    <mergeCell ref="EP144:EQ144"/>
    <mergeCell ref="DL137:DM137"/>
    <mergeCell ref="DJ138:DK138"/>
    <mergeCell ref="DP137:DQ137"/>
    <mergeCell ref="DV138:DW138"/>
    <mergeCell ref="DN136:DO136"/>
    <mergeCell ref="EL139:EM139"/>
    <mergeCell ref="DD138:DE138"/>
    <mergeCell ref="DD143:DE143"/>
    <mergeCell ref="DT143:DU143"/>
    <mergeCell ref="DF147:DG147"/>
    <mergeCell ref="CZ133:DA133"/>
    <mergeCell ref="EZ146:FA146"/>
    <mergeCell ref="EF144:EG144"/>
    <mergeCell ref="EV140:EW140"/>
    <mergeCell ref="DX137:DY137"/>
    <mergeCell ref="DX144:DY144"/>
    <mergeCell ref="CX139:CY139"/>
    <mergeCell ref="CZ144:DA144"/>
    <mergeCell ref="DD139:DE139"/>
    <mergeCell ref="DL146:DM146"/>
    <mergeCell ref="DB144:DC144"/>
    <mergeCell ref="DP147:DQ147"/>
    <mergeCell ref="CZ146:DA146"/>
    <mergeCell ref="CX146:CY146"/>
    <mergeCell ref="DH144:DI144"/>
    <mergeCell ref="DH141:DI141"/>
    <mergeCell ref="DJ139:DK139"/>
    <mergeCell ref="DL140:DM140"/>
    <mergeCell ref="DL139:DM139"/>
    <mergeCell ref="DH143:DI143"/>
    <mergeCell ref="FV139:FW139"/>
    <mergeCell ref="FV140:FW140"/>
    <mergeCell ref="FV142:FW142"/>
    <mergeCell ref="DJ140:DK140"/>
    <mergeCell ref="DN145:DO145"/>
    <mergeCell ref="FV145:FW145"/>
    <mergeCell ref="CT137:CU137"/>
    <mergeCell ref="CR143:CS143"/>
    <mergeCell ref="CR139:CS139"/>
    <mergeCell ref="CV137:CW137"/>
    <mergeCell ref="CX137:CY137"/>
    <mergeCell ref="CZ137:DA137"/>
    <mergeCell ref="CZ138:DA138"/>
    <mergeCell ref="CZ139:DA139"/>
    <mergeCell ref="CV138:CW138"/>
    <mergeCell ref="CR141:CS141"/>
    <mergeCell ref="FB134:FC134"/>
    <mergeCell ref="FL141:FM141"/>
    <mergeCell ref="FL138:FM138"/>
    <mergeCell ref="FJ136:FK136"/>
    <mergeCell ref="EX136:EY136"/>
    <mergeCell ref="EX141:EY141"/>
    <mergeCell ref="EX140:EY140"/>
    <mergeCell ref="EX138:EY138"/>
    <mergeCell ref="EZ139:FA139"/>
    <mergeCell ref="EZ137:FA137"/>
    <mergeCell ref="EX133:EY133"/>
    <mergeCell ref="FJ135:FK135"/>
    <mergeCell ref="FH135:FI135"/>
    <mergeCell ref="FH136:FI136"/>
    <mergeCell ref="EX135:EY135"/>
    <mergeCell ref="EX145:EY145"/>
    <mergeCell ref="FB135:FC135"/>
    <mergeCell ref="FL135:FM135"/>
    <mergeCell ref="FJ134:FK134"/>
    <mergeCell ref="EZ143:FA143"/>
    <mergeCell ref="FB143:FC143"/>
    <mergeCell ref="FJ142:FK142"/>
    <mergeCell ref="FH139:FI139"/>
    <mergeCell ref="FH145:FI145"/>
    <mergeCell ref="EX137:EY137"/>
    <mergeCell ref="EZ134:FA134"/>
    <mergeCell ref="DN141:DO141"/>
    <mergeCell ref="EV135:EW135"/>
    <mergeCell ref="ET136:EU136"/>
    <mergeCell ref="DL138:DM138"/>
    <mergeCell ref="DL133:DM133"/>
    <mergeCell ref="DF138:DG138"/>
    <mergeCell ref="DH138:DI138"/>
    <mergeCell ref="DJ144:DK144"/>
    <mergeCell ref="DH137:DI137"/>
    <mergeCell ref="DF137:DG137"/>
    <mergeCell ref="DJ137:DK137"/>
    <mergeCell ref="EL137:EM137"/>
    <mergeCell ref="EJ139:EK139"/>
    <mergeCell ref="EP145:EQ145"/>
    <mergeCell ref="FL140:FM140"/>
    <mergeCell ref="FD143:FE143"/>
    <mergeCell ref="FD142:FE142"/>
    <mergeCell ref="EZ136:FA136"/>
    <mergeCell ref="FB139:FC139"/>
    <mergeCell ref="FB136:FC136"/>
    <mergeCell ref="FB138:FC138"/>
    <mergeCell ref="EZ138:FA138"/>
    <mergeCell ref="EJ130:EK130"/>
    <mergeCell ref="EZ141:FA141"/>
    <mergeCell ref="EV133:EW133"/>
    <mergeCell ref="EV138:EW138"/>
    <mergeCell ref="EN130:EO130"/>
    <mergeCell ref="EH131:EI131"/>
    <mergeCell ref="EP131:EQ131"/>
    <mergeCell ref="EJ131:EK131"/>
    <mergeCell ref="DR134:DS134"/>
    <mergeCell ref="DR133:DS133"/>
    <mergeCell ref="EB131:EC131"/>
    <mergeCell ref="DN137:DO137"/>
    <mergeCell ref="DP140:DQ140"/>
    <mergeCell ref="DT146:DU146"/>
    <mergeCell ref="ET144:EU144"/>
    <mergeCell ref="DT141:DU141"/>
    <mergeCell ref="DT139:DU139"/>
    <mergeCell ref="EX142:EY142"/>
    <mergeCell ref="EX143:EY143"/>
    <mergeCell ref="DT138:DU138"/>
    <mergeCell ref="DR141:DS141"/>
    <mergeCell ref="DP141:DQ141"/>
    <mergeCell ref="DP138:DQ138"/>
    <mergeCell ref="DP139:DQ139"/>
    <mergeCell ref="DR144:DS144"/>
    <mergeCell ref="DX135:DY135"/>
    <mergeCell ref="DN131:DO131"/>
    <mergeCell ref="DT135:DU135"/>
    <mergeCell ref="DZ134:EA134"/>
    <mergeCell ref="EL131:EM131"/>
    <mergeCell ref="EL135:EM135"/>
    <mergeCell ref="EJ140:EK140"/>
    <mergeCell ref="EP136:EQ136"/>
    <mergeCell ref="EH133:EI133"/>
    <mergeCell ref="EL134:EM134"/>
    <mergeCell ref="EN134:EO134"/>
    <mergeCell ref="DR137:DS137"/>
    <mergeCell ref="DV139:DW139"/>
    <mergeCell ref="DR136:DS136"/>
    <mergeCell ref="DV143:DW143"/>
    <mergeCell ref="DV142:DW142"/>
    <mergeCell ref="DT136:DU136"/>
    <mergeCell ref="EF146:EG146"/>
    <mergeCell ref="ER138:ES138"/>
    <mergeCell ref="EP138:EQ138"/>
    <mergeCell ref="ER146:ES146"/>
    <mergeCell ref="DN139:DO139"/>
    <mergeCell ref="DN142:DO142"/>
    <mergeCell ref="EZ140:FA140"/>
    <mergeCell ref="DN138:DO138"/>
    <mergeCell ref="DX143:DY143"/>
    <mergeCell ref="EB144:EC144"/>
    <mergeCell ref="EN146:EO146"/>
    <mergeCell ref="DZ142:EA142"/>
    <mergeCell ref="DT140:DU140"/>
    <mergeCell ref="DR142:DS142"/>
    <mergeCell ref="DT142:DU142"/>
    <mergeCell ref="DN140:DO140"/>
    <mergeCell ref="DR143:DS143"/>
    <mergeCell ref="ED142:EE142"/>
    <mergeCell ref="DP131:DQ131"/>
    <mergeCell ref="DP135:DQ135"/>
    <mergeCell ref="EB133:EC133"/>
    <mergeCell ref="DZ130:EA130"/>
    <mergeCell ref="CZ143:DA143"/>
    <mergeCell ref="CZ142:DA142"/>
    <mergeCell ref="DF142:DG142"/>
    <mergeCell ref="DN143:DO143"/>
    <mergeCell ref="DJ148:DK148"/>
    <mergeCell ref="DH146:DI146"/>
    <mergeCell ref="ET150:EU150"/>
    <mergeCell ref="DN144:DO144"/>
    <mergeCell ref="DL144:DM144"/>
    <mergeCell ref="DH149:DI149"/>
    <mergeCell ref="EJ143:EK143"/>
    <mergeCell ref="DP143:DQ143"/>
    <mergeCell ref="DF143:DG143"/>
    <mergeCell ref="CX143:CY143"/>
    <mergeCell ref="DJ142:DK142"/>
    <mergeCell ref="DL143:DM143"/>
    <mergeCell ref="CV142:CW142"/>
    <mergeCell ref="DB143:DC143"/>
    <mergeCell ref="DJ143:DK143"/>
    <mergeCell ref="CX148:CY148"/>
    <mergeCell ref="EB142:EC142"/>
    <mergeCell ref="DX147:DY147"/>
    <mergeCell ref="DP142:DQ142"/>
    <mergeCell ref="EF148:EG148"/>
    <mergeCell ref="EH147:EI147"/>
    <mergeCell ref="EL146:EM146"/>
    <mergeCell ref="EF145:EG145"/>
    <mergeCell ref="ER142:ES142"/>
    <mergeCell ref="EH143:EI143"/>
    <mergeCell ref="EJ146:EK146"/>
    <mergeCell ref="DZ150:EA150"/>
    <mergeCell ref="EB143:EC143"/>
    <mergeCell ref="EJ142:EK142"/>
    <mergeCell ref="EF149:EG149"/>
    <mergeCell ref="EH144:EI144"/>
    <mergeCell ref="DX145:DY145"/>
    <mergeCell ref="EB145:EC145"/>
    <mergeCell ref="DZ148:EA148"/>
    <mergeCell ref="EB146:EC146"/>
    <mergeCell ref="EB149:EC149"/>
    <mergeCell ref="ED147:EE147"/>
    <mergeCell ref="ED144:EE144"/>
    <mergeCell ref="ED146:EE146"/>
    <mergeCell ref="ER145:ES145"/>
    <mergeCell ref="DZ146:EA146"/>
    <mergeCell ref="DD147:DE147"/>
    <mergeCell ref="DB145:DC145"/>
    <mergeCell ref="EJ150:EK150"/>
    <mergeCell ref="EL142:EM142"/>
    <mergeCell ref="DX150:DY150"/>
    <mergeCell ref="DJ145:DK145"/>
    <mergeCell ref="CV143:CW143"/>
    <mergeCell ref="BN152:BO152"/>
    <mergeCell ref="DV145:DW145"/>
    <mergeCell ref="CZ145:DA145"/>
    <mergeCell ref="DD144:DE144"/>
    <mergeCell ref="DH151:DI151"/>
    <mergeCell ref="DF152:DG152"/>
    <mergeCell ref="DD145:DE145"/>
    <mergeCell ref="DF145:DG145"/>
    <mergeCell ref="DT147:DU147"/>
    <mergeCell ref="DL148:DM148"/>
    <mergeCell ref="DN147:DO147"/>
    <mergeCell ref="CZ147:DA147"/>
    <mergeCell ref="DB146:DC146"/>
    <mergeCell ref="DF146:DG146"/>
    <mergeCell ref="DH145:DI145"/>
    <mergeCell ref="CZ152:DA152"/>
    <mergeCell ref="DB149:DC149"/>
    <mergeCell ref="DB152:DC152"/>
    <mergeCell ref="DD152:DE152"/>
    <mergeCell ref="DD149:DE149"/>
    <mergeCell ref="DB151:DC151"/>
    <mergeCell ref="DF151:DG151"/>
    <mergeCell ref="DR148:DS148"/>
    <mergeCell ref="DL145:DM145"/>
    <mergeCell ref="DR152:DS152"/>
    <mergeCell ref="DP149:DQ149"/>
    <mergeCell ref="CV146:CW146"/>
    <mergeCell ref="DZ149:EA149"/>
    <mergeCell ref="DT148:DU148"/>
    <mergeCell ref="DF154:DG154"/>
    <mergeCell ref="DR151:DS151"/>
    <mergeCell ref="DD150:DE150"/>
    <mergeCell ref="CX152:CY152"/>
    <mergeCell ref="DP148:DQ148"/>
    <mergeCell ref="DR146:DS146"/>
    <mergeCell ref="DR149:DS149"/>
    <mergeCell ref="DL149:DM149"/>
    <mergeCell ref="CX150:CY150"/>
    <mergeCell ref="CV151:CW151"/>
    <mergeCell ref="BN147:BO147"/>
    <mergeCell ref="BV150:BW150"/>
    <mergeCell ref="DZ153:EA153"/>
    <mergeCell ref="CX149:CY149"/>
    <mergeCell ref="DF149:DG149"/>
    <mergeCell ref="CZ150:DA150"/>
    <mergeCell ref="DV148:DW148"/>
    <mergeCell ref="DP146:DQ146"/>
    <mergeCell ref="DP151:DQ151"/>
    <mergeCell ref="DV151:DW151"/>
    <mergeCell ref="CN146:CO146"/>
    <mergeCell ref="DD151:DE151"/>
    <mergeCell ref="DZ145:EA145"/>
    <mergeCell ref="CN144:CO144"/>
    <mergeCell ref="CP144:CQ144"/>
    <mergeCell ref="DP153:DQ153"/>
    <mergeCell ref="BN157:BO157"/>
    <mergeCell ref="BH154:BI154"/>
    <mergeCell ref="BL147:BM147"/>
    <mergeCell ref="CL149:CM149"/>
    <mergeCell ref="CR150:CS150"/>
    <mergeCell ref="CP150:CQ150"/>
    <mergeCell ref="BT148:BU148"/>
    <mergeCell ref="CP152:CQ152"/>
    <mergeCell ref="BJ147:BK147"/>
    <mergeCell ref="BZ158:CA158"/>
    <mergeCell ref="CF153:CG153"/>
    <mergeCell ref="CJ153:CK153"/>
    <mergeCell ref="BX155:BY155"/>
    <mergeCell ref="CL153:CM153"/>
    <mergeCell ref="CN156:CO156"/>
    <mergeCell ref="BJ157:BK157"/>
    <mergeCell ref="EP152:EQ152"/>
    <mergeCell ref="EN145:EO145"/>
    <mergeCell ref="DB148:DC148"/>
    <mergeCell ref="DL152:DM152"/>
    <mergeCell ref="DN149:DO149"/>
    <mergeCell ref="DN150:DO150"/>
    <mergeCell ref="DV146:DW146"/>
    <mergeCell ref="DV147:DW147"/>
    <mergeCell ref="DJ150:DK150"/>
    <mergeCell ref="DZ154:EA154"/>
    <mergeCell ref="CX147:CY147"/>
    <mergeCell ref="CJ152:CK152"/>
    <mergeCell ref="CJ151:CK151"/>
    <mergeCell ref="CD150:CE150"/>
    <mergeCell ref="CL151:CM151"/>
    <mergeCell ref="CH150:CI150"/>
    <mergeCell ref="BN149:BO149"/>
    <mergeCell ref="BN150:BO150"/>
    <mergeCell ref="BX148:BY148"/>
    <mergeCell ref="BP152:BQ152"/>
    <mergeCell ref="CN148:CO148"/>
    <mergeCell ref="CJ147:CK147"/>
    <mergeCell ref="BP155:BQ155"/>
    <mergeCell ref="CR151:CS151"/>
    <mergeCell ref="CL157:CM157"/>
    <mergeCell ref="CJ157:CK157"/>
    <mergeCell ref="BR157:BS157"/>
    <mergeCell ref="CV154:CW154"/>
    <mergeCell ref="BL149:BM149"/>
    <mergeCell ref="BL152:BM152"/>
    <mergeCell ref="BN148:BO148"/>
    <mergeCell ref="CD145:CE145"/>
    <mergeCell ref="BL150:BM150"/>
    <mergeCell ref="BL145:BM145"/>
    <mergeCell ref="BL153:BM153"/>
    <mergeCell ref="BL156:BM156"/>
    <mergeCell ref="DJ149:DK149"/>
    <mergeCell ref="CV149:CW149"/>
    <mergeCell ref="DL153:DM153"/>
    <mergeCell ref="DT152:DU152"/>
    <mergeCell ref="DT149:DU149"/>
    <mergeCell ref="DT145:DU145"/>
    <mergeCell ref="DX152:DY152"/>
    <mergeCell ref="BP148:BQ148"/>
    <mergeCell ref="CH148:CI148"/>
    <mergeCell ref="CD148:CE148"/>
    <mergeCell ref="BJ149:BK149"/>
    <mergeCell ref="BL151:BM151"/>
    <mergeCell ref="BP157:BQ157"/>
    <mergeCell ref="BR148:BS148"/>
    <mergeCell ref="CZ154:DA154"/>
    <mergeCell ref="BR153:BS153"/>
    <mergeCell ref="BR156:BS156"/>
    <mergeCell ref="DD153:DE153"/>
    <mergeCell ref="BV155:BW155"/>
    <mergeCell ref="CZ153:DA153"/>
    <mergeCell ref="CH156:CI156"/>
    <mergeCell ref="BZ155:CA155"/>
    <mergeCell ref="BZ157:CA157"/>
    <mergeCell ref="CT155:CU155"/>
    <mergeCell ref="CD158:CE158"/>
    <mergeCell ref="CV153:CW153"/>
    <mergeCell ref="BR158:BS158"/>
    <mergeCell ref="CF154:CG154"/>
    <mergeCell ref="CD156:CE156"/>
    <mergeCell ref="CF157:CG157"/>
    <mergeCell ref="BX158:BY158"/>
    <mergeCell ref="CR155:CS155"/>
    <mergeCell ref="DH157:DI157"/>
    <mergeCell ref="DD155:DE155"/>
    <mergeCell ref="CN150:CO150"/>
    <mergeCell ref="CV152:CW152"/>
    <mergeCell ref="BT149:BU149"/>
    <mergeCell ref="CN155:CO155"/>
    <mergeCell ref="CJ155:CK155"/>
    <mergeCell ref="CF155:CG155"/>
    <mergeCell ref="CD149:CE149"/>
    <mergeCell ref="CZ157:DA157"/>
    <mergeCell ref="BT155:BU155"/>
    <mergeCell ref="BT158:BU158"/>
    <mergeCell ref="BV152:BW152"/>
    <mergeCell ref="BV158:BW158"/>
    <mergeCell ref="BX156:BY156"/>
    <mergeCell ref="CR158:CS158"/>
    <mergeCell ref="CN157:CO157"/>
    <mergeCell ref="CL158:CM158"/>
    <mergeCell ref="CV157:CW157"/>
    <mergeCell ref="CT158:CU158"/>
    <mergeCell ref="CV156:CW156"/>
    <mergeCell ref="CH155:CI155"/>
    <mergeCell ref="BN159:BO159"/>
    <mergeCell ref="BN158:BO158"/>
    <mergeCell ref="BX153:BY153"/>
    <mergeCell ref="BV149:BW149"/>
    <mergeCell ref="CB148:CC148"/>
    <mergeCell ref="CJ149:CK149"/>
    <mergeCell ref="CD157:CE157"/>
    <mergeCell ref="CL155:CM155"/>
    <mergeCell ref="CP154:CQ154"/>
    <mergeCell ref="BT156:BU156"/>
    <mergeCell ref="BT153:BU153"/>
    <mergeCell ref="BV156:BW156"/>
    <mergeCell ref="BV157:BW157"/>
    <mergeCell ref="CD154:CE154"/>
    <mergeCell ref="CR153:CS153"/>
    <mergeCell ref="CT153:CU153"/>
    <mergeCell ref="CN153:CO153"/>
    <mergeCell ref="BX157:BY157"/>
    <mergeCell ref="BN151:BO151"/>
    <mergeCell ref="BR152:BS152"/>
    <mergeCell ref="BV151:BW151"/>
    <mergeCell ref="BR150:BS150"/>
    <mergeCell ref="CF150:CG150"/>
    <mergeCell ref="BZ151:CA151"/>
    <mergeCell ref="CJ150:CK150"/>
    <mergeCell ref="CN152:CO152"/>
    <mergeCell ref="BX150:BY150"/>
    <mergeCell ref="BZ150:CA150"/>
    <mergeCell ref="BT152:BU152"/>
    <mergeCell ref="BX151:BY151"/>
    <mergeCell ref="BX149:BY149"/>
    <mergeCell ref="CT152:CU152"/>
    <mergeCell ref="BV153:BW153"/>
    <mergeCell ref="CB154:CC154"/>
    <mergeCell ref="CT149:CU149"/>
    <mergeCell ref="CL154:CM154"/>
    <mergeCell ref="BR149:BS149"/>
    <mergeCell ref="BZ154:CA154"/>
    <mergeCell ref="CB155:CC155"/>
    <mergeCell ref="CD151:CE151"/>
    <mergeCell ref="CH151:CI151"/>
    <mergeCell ref="CP149:CQ149"/>
    <mergeCell ref="BZ148:CA148"/>
    <mergeCell ref="CT151:CU151"/>
    <mergeCell ref="BN154:BO154"/>
    <mergeCell ref="CH157:CI157"/>
    <mergeCell ref="CH152:CI152"/>
    <mergeCell ref="BV148:BW148"/>
    <mergeCell ref="CB149:CC149"/>
    <mergeCell ref="BX154:BY154"/>
    <mergeCell ref="BP151:BQ151"/>
    <mergeCell ref="CB150:CC150"/>
    <mergeCell ref="CD153:CE153"/>
    <mergeCell ref="CB152:CC152"/>
    <mergeCell ref="CJ148:CK148"/>
    <mergeCell ref="CB153:CC153"/>
    <mergeCell ref="CP153:CQ153"/>
    <mergeCell ref="CB151:CC151"/>
    <mergeCell ref="CL152:CM152"/>
    <mergeCell ref="BR159:BS159"/>
    <mergeCell ref="CN154:CO154"/>
    <mergeCell ref="CH154:CI154"/>
    <mergeCell ref="CD155:CE155"/>
    <mergeCell ref="BR154:BS154"/>
    <mergeCell ref="DX159:DY159"/>
    <mergeCell ref="BV160:BW160"/>
    <mergeCell ref="DF153:DG153"/>
    <mergeCell ref="DZ157:EA157"/>
    <mergeCell ref="DZ158:EA158"/>
    <mergeCell ref="DP152:DQ152"/>
    <mergeCell ref="DH155:DI155"/>
    <mergeCell ref="CT148:CU148"/>
    <mergeCell ref="CR148:CS148"/>
    <mergeCell ref="BP150:BQ150"/>
    <mergeCell ref="DB154:DC154"/>
    <mergeCell ref="DJ151:DK151"/>
    <mergeCell ref="DB150:DC150"/>
    <mergeCell ref="DL150:DM150"/>
    <mergeCell ref="BP153:BQ153"/>
    <mergeCell ref="CX155:CY155"/>
    <mergeCell ref="CB158:CC158"/>
    <mergeCell ref="DJ157:DK157"/>
    <mergeCell ref="BP149:BQ149"/>
    <mergeCell ref="CH149:CI149"/>
    <mergeCell ref="CF149:CG149"/>
    <mergeCell ref="BZ149:CA149"/>
    <mergeCell ref="BT150:BU150"/>
    <mergeCell ref="BX152:BY152"/>
    <mergeCell ref="BR151:BS151"/>
    <mergeCell ref="CN149:CO149"/>
    <mergeCell ref="DF150:DG150"/>
    <mergeCell ref="CR152:CS152"/>
    <mergeCell ref="CF148:CG148"/>
    <mergeCell ref="CT154:CU154"/>
    <mergeCell ref="CX151:CY151"/>
    <mergeCell ref="CX153:CY153"/>
    <mergeCell ref="CV158:CW158"/>
    <mergeCell ref="DB158:DC158"/>
    <mergeCell ref="CP157:CQ157"/>
    <mergeCell ref="CP159:CQ159"/>
    <mergeCell ref="CF158:CG158"/>
    <mergeCell ref="DJ160:DK160"/>
    <mergeCell ref="DN158:DO158"/>
    <mergeCell ref="CP155:CQ155"/>
    <mergeCell ref="CP156:CQ156"/>
    <mergeCell ref="DV155:DW155"/>
    <mergeCell ref="CT156:CU156"/>
    <mergeCell ref="CL160:CM160"/>
    <mergeCell ref="CN159:CO159"/>
    <mergeCell ref="CX160:CY160"/>
    <mergeCell ref="DH160:DI160"/>
    <mergeCell ref="CR160:CS160"/>
    <mergeCell ref="CV160:CW160"/>
    <mergeCell ref="CX159:CY159"/>
    <mergeCell ref="CZ160:DA160"/>
    <mergeCell ref="CX158:CY158"/>
    <mergeCell ref="BP159:BQ159"/>
    <mergeCell ref="CL150:CM150"/>
    <mergeCell ref="CR149:CS149"/>
    <mergeCell ref="DF159:DG159"/>
    <mergeCell ref="DD157:DE157"/>
    <mergeCell ref="DL158:DM158"/>
    <mergeCell ref="CH153:CI153"/>
    <mergeCell ref="DL159:DM159"/>
    <mergeCell ref="BR155:BS155"/>
    <mergeCell ref="CF156:CG156"/>
    <mergeCell ref="BZ159:CA159"/>
    <mergeCell ref="DH156:DI156"/>
    <mergeCell ref="DD158:DE158"/>
    <mergeCell ref="DV157:DW157"/>
    <mergeCell ref="CT157:CU157"/>
    <mergeCell ref="CV159:CW159"/>
    <mergeCell ref="CZ159:DA159"/>
    <mergeCell ref="CX157:CY157"/>
    <mergeCell ref="DH159:DI159"/>
    <mergeCell ref="DL160:DM160"/>
    <mergeCell ref="CR159:CS159"/>
    <mergeCell ref="BT157:BU157"/>
    <mergeCell ref="BV154:BW154"/>
    <mergeCell ref="CJ154:CK154"/>
    <mergeCell ref="CB157:CC157"/>
    <mergeCell ref="DT159:DU159"/>
    <mergeCell ref="DP159:DQ159"/>
    <mergeCell ref="BT162:BU162"/>
    <mergeCell ref="BX162:BY162"/>
    <mergeCell ref="CV161:CW161"/>
    <mergeCell ref="DR161:DS161"/>
    <mergeCell ref="CT159:CU159"/>
    <mergeCell ref="BV159:BW159"/>
    <mergeCell ref="DN159:DO159"/>
    <mergeCell ref="CF161:CG161"/>
    <mergeCell ref="CB161:CC161"/>
    <mergeCell ref="DV159:DW159"/>
    <mergeCell ref="BZ160:CA160"/>
    <mergeCell ref="CP158:CQ158"/>
    <mergeCell ref="CL156:CM156"/>
    <mergeCell ref="CL159:CM159"/>
    <mergeCell ref="DD156:DE156"/>
    <mergeCell ref="CR156:CS156"/>
    <mergeCell ref="CT161:CU161"/>
    <mergeCell ref="CX161:CY161"/>
    <mergeCell ref="DR162:DS162"/>
    <mergeCell ref="BV162:BW162"/>
    <mergeCell ref="CT162:CU162"/>
    <mergeCell ref="BZ156:CA156"/>
    <mergeCell ref="CB156:CC156"/>
    <mergeCell ref="BT159:BU159"/>
    <mergeCell ref="BT160:BU160"/>
    <mergeCell ref="DV158:DW158"/>
    <mergeCell ref="DF158:DG158"/>
    <mergeCell ref="CT160:CU160"/>
    <mergeCell ref="CR157:CS157"/>
    <mergeCell ref="CJ158:CK158"/>
    <mergeCell ref="DR159:DS159"/>
    <mergeCell ref="DT158:DU158"/>
    <mergeCell ref="DB159:DC159"/>
    <mergeCell ref="CR161:CS161"/>
    <mergeCell ref="DD160:DE160"/>
    <mergeCell ref="DN154:DO154"/>
    <mergeCell ref="DL154:DM154"/>
    <mergeCell ref="DR154:DS154"/>
    <mergeCell ref="DJ159:DK159"/>
    <mergeCell ref="BX160:BY160"/>
    <mergeCell ref="CJ159:CK159"/>
    <mergeCell ref="DD159:DE159"/>
    <mergeCell ref="DL157:DM157"/>
    <mergeCell ref="DB160:DC160"/>
    <mergeCell ref="DT161:DU161"/>
    <mergeCell ref="CJ165:CK165"/>
    <mergeCell ref="CF164:CG164"/>
    <mergeCell ref="CP160:CQ160"/>
    <mergeCell ref="BR160:BS160"/>
    <mergeCell ref="DV162:DW162"/>
    <mergeCell ref="BR161:BS161"/>
    <mergeCell ref="DT162:DU162"/>
    <mergeCell ref="BT161:BU161"/>
    <mergeCell ref="CJ161:CK161"/>
    <mergeCell ref="CD161:CE161"/>
    <mergeCell ref="CH161:CI161"/>
    <mergeCell ref="ET167:EU167"/>
    <mergeCell ref="DX162:DY162"/>
    <mergeCell ref="DN153:DO153"/>
    <mergeCell ref="DB155:DC155"/>
    <mergeCell ref="CZ161:DA161"/>
    <mergeCell ref="DR153:DS153"/>
    <mergeCell ref="DL156:DM156"/>
    <mergeCell ref="DB161:DC161"/>
    <mergeCell ref="CR154:CS154"/>
    <mergeCell ref="DD154:DE154"/>
    <mergeCell ref="CX154:CY154"/>
    <mergeCell ref="BX161:BY161"/>
    <mergeCell ref="CP161:CQ161"/>
    <mergeCell ref="DN157:DO157"/>
    <mergeCell ref="DR155:DS155"/>
    <mergeCell ref="CH158:CI158"/>
    <mergeCell ref="CB159:CC159"/>
    <mergeCell ref="CL161:CM161"/>
    <mergeCell ref="CN161:CO161"/>
    <mergeCell ref="CN158:CO158"/>
    <mergeCell ref="DJ158:DK158"/>
    <mergeCell ref="DJ161:DK161"/>
    <mergeCell ref="CB160:CC160"/>
    <mergeCell ref="CD159:CE159"/>
    <mergeCell ref="CF159:CG159"/>
    <mergeCell ref="CH159:CI159"/>
    <mergeCell ref="CJ156:CK156"/>
    <mergeCell ref="DV156:DW156"/>
    <mergeCell ref="DR160:DS160"/>
    <mergeCell ref="CZ156:DA156"/>
    <mergeCell ref="DN156:DO156"/>
    <mergeCell ref="DH158:DI158"/>
    <mergeCell ref="CH160:CI160"/>
    <mergeCell ref="DT156:DU156"/>
    <mergeCell ref="DN160:DO160"/>
    <mergeCell ref="DF156:DG156"/>
    <mergeCell ref="DB157:DC157"/>
    <mergeCell ref="CJ160:CK160"/>
    <mergeCell ref="CZ158:DA158"/>
    <mergeCell ref="CZ155:DA155"/>
    <mergeCell ref="BX159:BY159"/>
    <mergeCell ref="CF160:CG160"/>
    <mergeCell ref="DJ153:DK153"/>
    <mergeCell ref="DH153:DI153"/>
    <mergeCell ref="DB153:DC153"/>
    <mergeCell ref="CV164:CW164"/>
    <mergeCell ref="CP164:CQ164"/>
    <mergeCell ref="DP155:DQ155"/>
    <mergeCell ref="DR156:DS156"/>
    <mergeCell ref="DP154:DQ154"/>
    <mergeCell ref="CN160:CO160"/>
    <mergeCell ref="CB167:CC167"/>
    <mergeCell ref="DV165:DW165"/>
    <mergeCell ref="CT164:CU164"/>
    <mergeCell ref="EB165:EC165"/>
    <mergeCell ref="EP169:EQ169"/>
    <mergeCell ref="DX165:DY165"/>
    <mergeCell ref="CZ165:DA165"/>
    <mergeCell ref="CP165:CQ165"/>
    <mergeCell ref="CV169:CW169"/>
    <mergeCell ref="DL167:DM167"/>
    <mergeCell ref="EB162:EC162"/>
    <mergeCell ref="EH162:EI162"/>
    <mergeCell ref="CL162:CM162"/>
    <mergeCell ref="DB162:DC162"/>
    <mergeCell ref="CL165:CM165"/>
    <mergeCell ref="DD165:DE165"/>
    <mergeCell ref="DN162:DO162"/>
    <mergeCell ref="EL167:EM167"/>
    <mergeCell ref="EH161:EI161"/>
    <mergeCell ref="BV165:BW165"/>
    <mergeCell ref="CD165:CE165"/>
    <mergeCell ref="CJ162:CK162"/>
    <mergeCell ref="DZ162:EA162"/>
    <mergeCell ref="EN162:EO162"/>
    <mergeCell ref="BR162:BS162"/>
    <mergeCell ref="BR164:BS164"/>
    <mergeCell ref="CD160:CE160"/>
    <mergeCell ref="FB161:FC161"/>
    <mergeCell ref="ER161:ES161"/>
    <mergeCell ref="EJ165:EK165"/>
    <mergeCell ref="EL161:EM161"/>
    <mergeCell ref="ED165:EE165"/>
    <mergeCell ref="EZ167:FA167"/>
    <mergeCell ref="FB162:FC162"/>
    <mergeCell ref="FB160:FC160"/>
    <mergeCell ref="DP161:DQ161"/>
    <mergeCell ref="DV161:DW161"/>
    <mergeCell ref="DT167:DU167"/>
    <mergeCell ref="EZ165:FA165"/>
    <mergeCell ref="EF167:EG167"/>
    <mergeCell ref="EF162:EG162"/>
    <mergeCell ref="CZ164:DA164"/>
    <mergeCell ref="DZ167:EA167"/>
    <mergeCell ref="DD161:DE161"/>
    <mergeCell ref="DN161:DO161"/>
    <mergeCell ref="DX160:DY160"/>
    <mergeCell ref="EJ162:EK162"/>
    <mergeCell ref="CT165:CU165"/>
    <mergeCell ref="EP161:EQ161"/>
    <mergeCell ref="DX164:DY164"/>
    <mergeCell ref="EV164:EW164"/>
    <mergeCell ref="ET164:EU164"/>
    <mergeCell ref="CX164:CY164"/>
    <mergeCell ref="DT164:DU164"/>
    <mergeCell ref="DD162:DE162"/>
    <mergeCell ref="DP165:DQ165"/>
    <mergeCell ref="CX165:CY165"/>
    <mergeCell ref="DH161:DI161"/>
    <mergeCell ref="DF161:DG161"/>
    <mergeCell ref="ED161:EE161"/>
    <mergeCell ref="DV160:DW160"/>
    <mergeCell ref="DP160:DQ160"/>
    <mergeCell ref="CX167:CY167"/>
    <mergeCell ref="DB167:DC167"/>
    <mergeCell ref="BN162:BO162"/>
    <mergeCell ref="BN165:BO165"/>
    <mergeCell ref="CD170:CE170"/>
    <mergeCell ref="BR167:BS167"/>
    <mergeCell ref="BT170:BU170"/>
    <mergeCell ref="BV164:BW164"/>
    <mergeCell ref="CL164:CM164"/>
    <mergeCell ref="BX167:BY167"/>
    <mergeCell ref="BR170:BS170"/>
    <mergeCell ref="BV167:BW167"/>
    <mergeCell ref="CN167:CO167"/>
    <mergeCell ref="DL165:DM165"/>
    <mergeCell ref="BP162:BQ162"/>
    <mergeCell ref="BL162:BM162"/>
    <mergeCell ref="CZ167:DA167"/>
    <mergeCell ref="CX162:CY162"/>
    <mergeCell ref="DJ162:DK162"/>
    <mergeCell ref="CD162:CE162"/>
    <mergeCell ref="CD164:CE164"/>
    <mergeCell ref="CD167:CE167"/>
    <mergeCell ref="CV167:CW167"/>
    <mergeCell ref="DH162:DI162"/>
    <mergeCell ref="CL196:CM196"/>
    <mergeCell ref="BN167:BO167"/>
    <mergeCell ref="BT167:BU167"/>
    <mergeCell ref="BX164:BY164"/>
    <mergeCell ref="CV165:CW165"/>
    <mergeCell ref="CZ162:DA162"/>
    <mergeCell ref="CR162:CS162"/>
    <mergeCell ref="CP162:CQ162"/>
    <mergeCell ref="CN162:CO162"/>
    <mergeCell ref="DD164:DE164"/>
    <mergeCell ref="CV162:CW162"/>
    <mergeCell ref="BX169:BY169"/>
    <mergeCell ref="DF162:DG162"/>
    <mergeCell ref="DB165:DC165"/>
    <mergeCell ref="DH165:DI165"/>
    <mergeCell ref="DH164:DI164"/>
    <mergeCell ref="CR164:CS164"/>
    <mergeCell ref="CP167:CQ167"/>
    <mergeCell ref="CH162:CI162"/>
    <mergeCell ref="DL162:DM162"/>
    <mergeCell ref="CB162:CC162"/>
    <mergeCell ref="CF162:CG162"/>
    <mergeCell ref="BV169:BW169"/>
    <mergeCell ref="BR196:BS196"/>
    <mergeCell ref="BR165:BS165"/>
    <mergeCell ref="DB164:DC164"/>
    <mergeCell ref="DD170:DE170"/>
    <mergeCell ref="BZ162:CA162"/>
    <mergeCell ref="CR165:CS165"/>
    <mergeCell ref="CB164:CC164"/>
    <mergeCell ref="CP170:CQ170"/>
    <mergeCell ref="CT167:CU167"/>
    <mergeCell ref="CZ169:DA169"/>
    <mergeCell ref="DF169:DG169"/>
    <mergeCell ref="DL170:DM170"/>
    <mergeCell ref="CN164:CO164"/>
    <mergeCell ref="DL164:DM164"/>
    <mergeCell ref="DJ167:DK167"/>
    <mergeCell ref="CF169:CG169"/>
    <mergeCell ref="CJ170:CK170"/>
    <mergeCell ref="CT169:CU169"/>
    <mergeCell ref="CD169:CE169"/>
    <mergeCell ref="EP221:EQ221"/>
    <mergeCell ref="EP196:EQ196"/>
    <mergeCell ref="ED221:EE221"/>
    <mergeCell ref="CH167:CI167"/>
    <mergeCell ref="BT164:BU164"/>
    <mergeCell ref="FF221:FG221"/>
    <mergeCell ref="FB196:FC196"/>
    <mergeCell ref="FD221:FE221"/>
    <mergeCell ref="FF175:FG175"/>
    <mergeCell ref="FD228:FE228"/>
    <mergeCell ref="FF173:FG173"/>
    <mergeCell ref="CB169:CC169"/>
    <mergeCell ref="DN169:DO169"/>
    <mergeCell ref="DH170:DI170"/>
    <mergeCell ref="DP169:DQ169"/>
    <mergeCell ref="CR169:CS169"/>
    <mergeCell ref="DJ165:DK165"/>
    <mergeCell ref="DH169:DI169"/>
    <mergeCell ref="CL169:CM169"/>
    <mergeCell ref="DB169:DC169"/>
    <mergeCell ref="BZ164:CA164"/>
    <mergeCell ref="CH164:CI164"/>
    <mergeCell ref="CR228:CS228"/>
    <mergeCell ref="DF196:DG196"/>
    <mergeCell ref="BT221:BU221"/>
    <mergeCell ref="BZ167:CA167"/>
    <mergeCell ref="CJ167:CK167"/>
    <mergeCell ref="BX170:BY170"/>
    <mergeCell ref="CT196:CU196"/>
    <mergeCell ref="CX221:CY221"/>
    <mergeCell ref="CL221:CM221"/>
    <mergeCell ref="CX170:CY170"/>
    <mergeCell ref="CF228:CG228"/>
    <mergeCell ref="EH164:EI164"/>
    <mergeCell ref="CL167:CM167"/>
    <mergeCell ref="DN167:DO167"/>
    <mergeCell ref="EL165:EM165"/>
    <mergeCell ref="EB167:EC167"/>
    <mergeCell ref="DN164:DO164"/>
    <mergeCell ref="DZ165:EA165"/>
    <mergeCell ref="EF165:EG165"/>
    <mergeCell ref="EH167:EI167"/>
    <mergeCell ref="ER167:ES167"/>
    <mergeCell ref="EX167:EY167"/>
    <mergeCell ref="EV167:EW167"/>
    <mergeCell ref="ER165:ES165"/>
    <mergeCell ref="ET165:EU165"/>
    <mergeCell ref="DR196:DS196"/>
    <mergeCell ref="EN196:EO196"/>
    <mergeCell ref="DR165:DS165"/>
    <mergeCell ref="DR167:DS167"/>
    <mergeCell ref="DR164:DS164"/>
    <mergeCell ref="CH165:CI165"/>
    <mergeCell ref="CN165:CO165"/>
    <mergeCell ref="BZ165:CA165"/>
    <mergeCell ref="DN165:DO165"/>
    <mergeCell ref="EB164:EC164"/>
    <mergeCell ref="DZ164:EA164"/>
    <mergeCell ref="EF164:EG164"/>
    <mergeCell ref="DX169:DY169"/>
    <mergeCell ref="EH169:EI169"/>
    <mergeCell ref="DR169:DS169"/>
    <mergeCell ref="CJ164:CK164"/>
    <mergeCell ref="CR167:CS167"/>
    <mergeCell ref="BZ169:CA169"/>
    <mergeCell ref="DL221:DM221"/>
    <mergeCell ref="FB169:FC169"/>
    <mergeCell ref="DH196:DI196"/>
    <mergeCell ref="FF196:FG196"/>
    <mergeCell ref="CD228:CE228"/>
    <mergeCell ref="FD196:FE196"/>
    <mergeCell ref="DD169:DE169"/>
    <mergeCell ref="DP164:DQ164"/>
    <mergeCell ref="CF165:CG165"/>
    <mergeCell ref="FF228:FG228"/>
    <mergeCell ref="EX165:EY165"/>
    <mergeCell ref="CF221:CG221"/>
    <mergeCell ref="CJ221:CK221"/>
    <mergeCell ref="EP170:EQ170"/>
    <mergeCell ref="ED196:EE196"/>
    <mergeCell ref="EJ221:EK221"/>
    <mergeCell ref="DF221:DG221"/>
    <mergeCell ref="EN228:EO228"/>
    <mergeCell ref="CH169:CI169"/>
    <mergeCell ref="DV169:DW169"/>
    <mergeCell ref="ET169:EU169"/>
    <mergeCell ref="CX169:CY169"/>
    <mergeCell ref="EX196:EY196"/>
    <mergeCell ref="FF184:FG184"/>
    <mergeCell ref="AP170:AQ170"/>
    <mergeCell ref="BF196:BG196"/>
    <mergeCell ref="CB170:CC170"/>
    <mergeCell ref="BJ196:BK196"/>
    <mergeCell ref="BB196:BC196"/>
    <mergeCell ref="BF221:BG221"/>
    <mergeCell ref="BH228:BI228"/>
    <mergeCell ref="BN169:BO169"/>
    <mergeCell ref="AX221:AY221"/>
    <mergeCell ref="AX169:AY169"/>
    <mergeCell ref="BL228:BM228"/>
    <mergeCell ref="BF170:BG170"/>
    <mergeCell ref="BH196:BI196"/>
    <mergeCell ref="BL169:BM169"/>
    <mergeCell ref="BP196:BQ196"/>
    <mergeCell ref="BN228:BO228"/>
    <mergeCell ref="BD170:BE170"/>
    <mergeCell ref="AT228:AU228"/>
    <mergeCell ref="BF164:BG164"/>
    <mergeCell ref="BH165:BI165"/>
    <mergeCell ref="AP221:AQ221"/>
    <mergeCell ref="AV196:AW196"/>
    <mergeCell ref="BB228:BC228"/>
    <mergeCell ref="BD165:BE165"/>
    <mergeCell ref="BX165:BY165"/>
    <mergeCell ref="CB165:CC165"/>
    <mergeCell ref="BN164:BO164"/>
    <mergeCell ref="BL167:BM167"/>
    <mergeCell ref="BJ167:BK167"/>
    <mergeCell ref="BJ164:BK164"/>
    <mergeCell ref="BH167:BI167"/>
    <mergeCell ref="BP164:BQ164"/>
    <mergeCell ref="BP167:BQ167"/>
    <mergeCell ref="BT165:BU165"/>
    <mergeCell ref="BX196:BY196"/>
    <mergeCell ref="FB164:FC164"/>
    <mergeCell ref="CZ196:DA196"/>
    <mergeCell ref="EX221:EY221"/>
    <mergeCell ref="EH221:EI221"/>
    <mergeCell ref="BH221:BI221"/>
    <mergeCell ref="BH170:BI170"/>
    <mergeCell ref="BJ170:BK170"/>
    <mergeCell ref="BJ221:BK221"/>
    <mergeCell ref="BL221:BM221"/>
    <mergeCell ref="BR221:BS221"/>
    <mergeCell ref="FF189:FG189"/>
    <mergeCell ref="FH189:FI189"/>
    <mergeCell ref="BJ228:BK228"/>
    <mergeCell ref="CP228:CQ228"/>
    <mergeCell ref="EZ170:FA170"/>
    <mergeCell ref="DL196:DM196"/>
    <mergeCell ref="DX221:DY221"/>
    <mergeCell ref="CL170:CM170"/>
    <mergeCell ref="CN221:CO221"/>
    <mergeCell ref="DZ170:EA170"/>
    <mergeCell ref="CZ170:DA170"/>
    <mergeCell ref="FH170:FI170"/>
    <mergeCell ref="FB228:FC228"/>
    <mergeCell ref="FH173:FI173"/>
    <mergeCell ref="FH228:FI228"/>
    <mergeCell ref="AL228:AM228"/>
    <mergeCell ref="BB221:BC221"/>
    <mergeCell ref="BF228:BG228"/>
    <mergeCell ref="FH178:FI178"/>
    <mergeCell ref="ER228:ES228"/>
    <mergeCell ref="EV228:EW228"/>
    <mergeCell ref="DP228:DQ228"/>
    <mergeCell ref="DV221:DW221"/>
    <mergeCell ref="CV221:CW221"/>
    <mergeCell ref="CT228:CU228"/>
    <mergeCell ref="CH228:CI228"/>
    <mergeCell ref="DD221:DE221"/>
    <mergeCell ref="CV228:CW228"/>
    <mergeCell ref="CJ196:CK196"/>
    <mergeCell ref="FH174:FI174"/>
    <mergeCell ref="FB221:FC221"/>
    <mergeCell ref="EZ221:FA221"/>
    <mergeCell ref="CR221:CS221"/>
    <mergeCell ref="DB221:DC221"/>
    <mergeCell ref="FD170:FE170"/>
    <mergeCell ref="DN196:DO196"/>
    <mergeCell ref="DX170:DY170"/>
    <mergeCell ref="DV170:DW170"/>
    <mergeCell ref="DT228:DU228"/>
    <mergeCell ref="EJ196:EK196"/>
    <mergeCell ref="EF221:EG221"/>
    <mergeCell ref="DV196:DW196"/>
    <mergeCell ref="DJ221:DK221"/>
    <mergeCell ref="DF228:DG228"/>
    <mergeCell ref="EF196:EG196"/>
    <mergeCell ref="EP228:EQ228"/>
    <mergeCell ref="DX228:DY228"/>
    <mergeCell ref="AZ170:BA170"/>
    <mergeCell ref="ED228:EE228"/>
    <mergeCell ref="EJ228:EK228"/>
    <mergeCell ref="BL196:BM196"/>
    <mergeCell ref="BB170:BC170"/>
    <mergeCell ref="EV170:EW170"/>
    <mergeCell ref="AN228:AO228"/>
    <mergeCell ref="CH196:CI196"/>
    <mergeCell ref="CB228:CC228"/>
    <mergeCell ref="ER196:ES196"/>
    <mergeCell ref="EX228:EY228"/>
    <mergeCell ref="BV170:BW170"/>
    <mergeCell ref="DH228:DI228"/>
    <mergeCell ref="DN228:DO228"/>
    <mergeCell ref="DR170:DS170"/>
    <mergeCell ref="DP221:DQ221"/>
    <mergeCell ref="DZ228:EA228"/>
    <mergeCell ref="DJ169:DK169"/>
    <mergeCell ref="CH170:CI170"/>
    <mergeCell ref="CV196:CW196"/>
    <mergeCell ref="CN169:CO169"/>
    <mergeCell ref="CD221:CE221"/>
    <mergeCell ref="EL232:EM232"/>
    <mergeCell ref="EL170:EM170"/>
    <mergeCell ref="EF170:EG170"/>
    <mergeCell ref="ER170:ES170"/>
    <mergeCell ref="DJ170:DK170"/>
    <mergeCell ref="CH221:CI221"/>
    <mergeCell ref="BV221:BW221"/>
    <mergeCell ref="BP221:BQ221"/>
    <mergeCell ref="BZ196:CA196"/>
    <mergeCell ref="BZ170:CA170"/>
    <mergeCell ref="ED232:EE232"/>
    <mergeCell ref="BT228:BU228"/>
    <mergeCell ref="BR169:BS169"/>
    <mergeCell ref="EF169:EG169"/>
    <mergeCell ref="CN170:CO170"/>
    <mergeCell ref="ED170:EE170"/>
    <mergeCell ref="EJ169:EK169"/>
    <mergeCell ref="BX228:BY228"/>
    <mergeCell ref="BP228:BQ228"/>
    <mergeCell ref="DL169:DM169"/>
    <mergeCell ref="EL228:EM228"/>
    <mergeCell ref="EL221:EM221"/>
    <mergeCell ref="DR232:DS232"/>
    <mergeCell ref="DZ232:EA232"/>
    <mergeCell ref="CR196:CS196"/>
    <mergeCell ref="CT221:CU221"/>
    <mergeCell ref="DV232:DW232"/>
    <mergeCell ref="CH232:CI232"/>
    <mergeCell ref="CN196:CO196"/>
    <mergeCell ref="CX196:CY196"/>
    <mergeCell ref="DD196:DE196"/>
    <mergeCell ref="DR228:DS228"/>
    <mergeCell ref="CL232:CM232"/>
    <mergeCell ref="CR170:CS170"/>
    <mergeCell ref="DF170:DG170"/>
    <mergeCell ref="DB170:DC170"/>
    <mergeCell ref="DP232:DQ232"/>
    <mergeCell ref="BT232:BU232"/>
    <mergeCell ref="DF232:DG232"/>
    <mergeCell ref="DT221:DU221"/>
    <mergeCell ref="DZ221:EA221"/>
    <mergeCell ref="BR228:BS228"/>
    <mergeCell ref="BP170:BQ170"/>
    <mergeCell ref="CT170:CU170"/>
    <mergeCell ref="DP196:DQ196"/>
    <mergeCell ref="DN170:DO170"/>
    <mergeCell ref="EN170:EO170"/>
    <mergeCell ref="ED169:EE169"/>
    <mergeCell ref="EB228:EC228"/>
    <mergeCell ref="CZ221:DA221"/>
    <mergeCell ref="EN221:EO221"/>
    <mergeCell ref="ER169:ES169"/>
    <mergeCell ref="CP221:CQ221"/>
    <mergeCell ref="BJ232:BK232"/>
    <mergeCell ref="BL232:BM232"/>
    <mergeCell ref="BN232:BO232"/>
    <mergeCell ref="BH169:BI169"/>
    <mergeCell ref="BD228:BE228"/>
    <mergeCell ref="BN233:BO233"/>
    <mergeCell ref="DX196:DY196"/>
    <mergeCell ref="DL228:DM228"/>
    <mergeCell ref="CB234:CC234"/>
    <mergeCell ref="CV233:CW233"/>
    <mergeCell ref="BN196:BO196"/>
    <mergeCell ref="CJ169:CK169"/>
    <mergeCell ref="DJ228:DK228"/>
    <mergeCell ref="DP170:DQ170"/>
    <mergeCell ref="DT169:DU169"/>
    <mergeCell ref="CL228:CM228"/>
    <mergeCell ref="CJ228:CK228"/>
    <mergeCell ref="DZ196:EA196"/>
    <mergeCell ref="DL233:DM233"/>
    <mergeCell ref="CB232:CC232"/>
    <mergeCell ref="CP232:CQ232"/>
    <mergeCell ref="DH232:DI232"/>
    <mergeCell ref="CV232:CW232"/>
    <mergeCell ref="CB221:CC221"/>
    <mergeCell ref="DN221:DO221"/>
    <mergeCell ref="DV228:DW228"/>
    <mergeCell ref="BV228:BW228"/>
    <mergeCell ref="CX232:CY232"/>
    <mergeCell ref="CZ232:DA232"/>
    <mergeCell ref="DL232:DM232"/>
    <mergeCell ref="DJ232:DK232"/>
    <mergeCell ref="BP232:BQ232"/>
    <mergeCell ref="BN221:BO221"/>
    <mergeCell ref="DX233:DY233"/>
    <mergeCell ref="CZ228:DA228"/>
    <mergeCell ref="CN228:CO228"/>
    <mergeCell ref="BJ169:BK169"/>
    <mergeCell ref="BZ228:CA228"/>
    <mergeCell ref="BT169:BU169"/>
    <mergeCell ref="DB232:DC232"/>
    <mergeCell ref="DD232:DE232"/>
    <mergeCell ref="BR232:BS232"/>
    <mergeCell ref="CX228:CY228"/>
    <mergeCell ref="CD196:CE196"/>
    <mergeCell ref="BT196:BU196"/>
    <mergeCell ref="DD228:DE228"/>
    <mergeCell ref="BV196:BW196"/>
    <mergeCell ref="BD169:BE169"/>
    <mergeCell ref="BZ232:CA232"/>
    <mergeCell ref="BX232:BY232"/>
    <mergeCell ref="DB196:DC196"/>
    <mergeCell ref="BR233:BS233"/>
    <mergeCell ref="BX221:BY221"/>
    <mergeCell ref="CV170:CW170"/>
    <mergeCell ref="BN170:BO170"/>
    <mergeCell ref="CP169:CQ169"/>
    <mergeCell ref="BH232:BI232"/>
    <mergeCell ref="BF232:BG232"/>
    <mergeCell ref="BL170:BM170"/>
    <mergeCell ref="BZ221:CA221"/>
    <mergeCell ref="BD221:BE221"/>
    <mergeCell ref="BZ234:CA234"/>
    <mergeCell ref="CT232:CU232"/>
    <mergeCell ref="CF232:CG232"/>
    <mergeCell ref="FF232:FG232"/>
    <mergeCell ref="EZ237:FA237"/>
    <mergeCell ref="EZ238:FA238"/>
    <mergeCell ref="EV236:EW236"/>
    <mergeCell ref="EZ235:FA235"/>
    <mergeCell ref="EX233:EY233"/>
    <mergeCell ref="FH237:FI237"/>
    <mergeCell ref="CF196:CG196"/>
    <mergeCell ref="CB196:CC196"/>
    <mergeCell ref="CN232:CO232"/>
    <mergeCell ref="DN232:DO232"/>
    <mergeCell ref="DT232:DU232"/>
    <mergeCell ref="ER232:ES232"/>
    <mergeCell ref="EV234:EW234"/>
    <mergeCell ref="ER234:ES234"/>
    <mergeCell ref="ET232:EU232"/>
    <mergeCell ref="CR232:CS232"/>
    <mergeCell ref="CT233:CU233"/>
    <mergeCell ref="CZ234:DA234"/>
    <mergeCell ref="BH233:BI233"/>
    <mergeCell ref="BN236:BO236"/>
    <mergeCell ref="BX237:BY237"/>
    <mergeCell ref="BN237:BO237"/>
    <mergeCell ref="BV232:BW232"/>
    <mergeCell ref="ER237:ES237"/>
    <mergeCell ref="ET237:EU237"/>
    <mergeCell ref="EL237:EM237"/>
    <mergeCell ref="EP237:EQ237"/>
    <mergeCell ref="ED236:EE236"/>
    <mergeCell ref="EH233:EI233"/>
    <mergeCell ref="BP234:BQ234"/>
    <mergeCell ref="CL236:CM236"/>
    <mergeCell ref="CD233:CE233"/>
    <mergeCell ref="CF235:CG235"/>
    <mergeCell ref="CB233:CC233"/>
    <mergeCell ref="EF233:EG233"/>
    <mergeCell ref="ED233:EE233"/>
    <mergeCell ref="CP236:CQ236"/>
    <mergeCell ref="DZ233:EA233"/>
    <mergeCell ref="EB232:EC232"/>
    <mergeCell ref="BL233:BM233"/>
    <mergeCell ref="BL236:BM236"/>
    <mergeCell ref="EL235:EM235"/>
    <mergeCell ref="ER235:ES235"/>
    <mergeCell ref="ER233:ES233"/>
    <mergeCell ref="EL233:EM233"/>
    <mergeCell ref="CD232:CE232"/>
    <mergeCell ref="DN234:DO234"/>
    <mergeCell ref="EJ235:EK235"/>
    <mergeCell ref="CJ232:CK232"/>
    <mergeCell ref="BT234:BU234"/>
    <mergeCell ref="CB235:CC235"/>
    <mergeCell ref="BT235:BU235"/>
    <mergeCell ref="BX234:BY234"/>
    <mergeCell ref="EP232:EQ232"/>
    <mergeCell ref="EH234:EI234"/>
    <mergeCell ref="BX236:BY236"/>
    <mergeCell ref="BP236:BQ236"/>
    <mergeCell ref="EP233:EQ233"/>
    <mergeCell ref="BV233:BW233"/>
    <mergeCell ref="EV232:EW232"/>
    <mergeCell ref="EX232:EY232"/>
    <mergeCell ref="EF232:EG232"/>
    <mergeCell ref="DP233:DQ233"/>
    <mergeCell ref="FF233:FG233"/>
    <mergeCell ref="FB234:FC234"/>
    <mergeCell ref="FF235:FG235"/>
    <mergeCell ref="FD235:FE235"/>
    <mergeCell ref="DT233:DU233"/>
    <mergeCell ref="FJ236:FK236"/>
    <mergeCell ref="EJ237:EK237"/>
    <mergeCell ref="ER236:ES236"/>
    <mergeCell ref="ET235:EU235"/>
    <mergeCell ref="EP236:EQ236"/>
    <mergeCell ref="EX235:EY235"/>
    <mergeCell ref="EX236:EY236"/>
    <mergeCell ref="EV233:EW233"/>
    <mergeCell ref="ET234:EU234"/>
    <mergeCell ref="EX234:EY234"/>
    <mergeCell ref="EZ234:FA234"/>
    <mergeCell ref="ED237:EE237"/>
    <mergeCell ref="EH235:EI235"/>
    <mergeCell ref="DL235:DM235"/>
    <mergeCell ref="FB237:FC237"/>
    <mergeCell ref="FB235:FC235"/>
    <mergeCell ref="EF235:EG235"/>
    <mergeCell ref="EF236:EG236"/>
    <mergeCell ref="EF234:EG234"/>
    <mergeCell ref="FB236:FC236"/>
    <mergeCell ref="EX237:EY237"/>
    <mergeCell ref="ET236:EU236"/>
    <mergeCell ref="EL236:EM236"/>
    <mergeCell ref="FF236:FG236"/>
    <mergeCell ref="FD237:FE237"/>
    <mergeCell ref="DX235:DY235"/>
    <mergeCell ref="DZ235:EA235"/>
    <mergeCell ref="FJ234:FK234"/>
    <mergeCell ref="FJ237:FK237"/>
    <mergeCell ref="DT235:DU235"/>
    <mergeCell ref="DV234:DW234"/>
    <mergeCell ref="DT236:DU236"/>
    <mergeCell ref="EJ236:EK236"/>
    <mergeCell ref="EJ234:EK234"/>
    <mergeCell ref="FF234:FG234"/>
    <mergeCell ref="EZ236:FA236"/>
    <mergeCell ref="FH235:FI235"/>
    <mergeCell ref="EN233:EO233"/>
    <mergeCell ref="DV237:DW237"/>
    <mergeCell ref="DV235:DW235"/>
    <mergeCell ref="DX234:DY234"/>
    <mergeCell ref="ET233:EU233"/>
    <mergeCell ref="DN233:DO233"/>
    <mergeCell ref="CJ233:CK233"/>
    <mergeCell ref="CT235:CU235"/>
    <mergeCell ref="CP237:CQ237"/>
    <mergeCell ref="CX237:CY237"/>
    <mergeCell ref="DB235:DC235"/>
    <mergeCell ref="DJ238:DK238"/>
    <mergeCell ref="CZ236:DA236"/>
    <mergeCell ref="DF233:DG233"/>
    <mergeCell ref="DD233:DE233"/>
    <mergeCell ref="CR236:CS236"/>
    <mergeCell ref="CT236:CU236"/>
    <mergeCell ref="CF236:CG236"/>
    <mergeCell ref="DZ238:EA238"/>
    <mergeCell ref="FD238:FE238"/>
    <mergeCell ref="EP238:EQ238"/>
    <mergeCell ref="CV236:CW236"/>
    <mergeCell ref="DB236:DC236"/>
    <mergeCell ref="CV235:CW235"/>
    <mergeCell ref="DX237:DY237"/>
    <mergeCell ref="EN235:EO235"/>
    <mergeCell ref="FD232:FE232"/>
    <mergeCell ref="EN232:EO232"/>
    <mergeCell ref="CR235:CS235"/>
    <mergeCell ref="CL237:CM237"/>
    <mergeCell ref="CN234:CO234"/>
    <mergeCell ref="EH232:EI232"/>
    <mergeCell ref="DX236:DY236"/>
    <mergeCell ref="EH236:EI236"/>
    <mergeCell ref="DJ233:DK233"/>
    <mergeCell ref="CX234:CY234"/>
    <mergeCell ref="EN234:EO234"/>
    <mergeCell ref="DT234:DU234"/>
    <mergeCell ref="DR234:DS234"/>
    <mergeCell ref="EB233:EC233"/>
    <mergeCell ref="DJ236:DK236"/>
    <mergeCell ref="CN237:CO237"/>
    <mergeCell ref="CH233:CI233"/>
    <mergeCell ref="CV234:CW234"/>
    <mergeCell ref="DB234:DC234"/>
    <mergeCell ref="CN236:CO236"/>
    <mergeCell ref="CL234:CM234"/>
    <mergeCell ref="CJ237:CK237"/>
    <mergeCell ref="CJ235:CK235"/>
    <mergeCell ref="CR234:CS234"/>
    <mergeCell ref="CH235:CI235"/>
    <mergeCell ref="CF237:CG237"/>
    <mergeCell ref="CT237:CU237"/>
    <mergeCell ref="CP235:CQ235"/>
    <mergeCell ref="DP234:DQ234"/>
    <mergeCell ref="CP238:CQ238"/>
    <mergeCell ref="CF233:CG233"/>
    <mergeCell ref="DR238:DS238"/>
    <mergeCell ref="DP238:DQ238"/>
    <mergeCell ref="DV236:DW236"/>
    <mergeCell ref="DP237:DQ237"/>
    <mergeCell ref="DD236:DE236"/>
    <mergeCell ref="DR237:DS237"/>
    <mergeCell ref="FH244:FI244"/>
    <mergeCell ref="FF247:FG247"/>
    <mergeCell ref="FD247:FE247"/>
    <mergeCell ref="EN250:EO250"/>
    <mergeCell ref="EH247:EI247"/>
    <mergeCell ref="FF238:FG238"/>
    <mergeCell ref="FF243:FG243"/>
    <mergeCell ref="FF242:FG242"/>
    <mergeCell ref="EJ246:EK246"/>
    <mergeCell ref="EJ245:EK245"/>
    <mergeCell ref="EL247:EM247"/>
    <mergeCell ref="EL242:EM242"/>
    <mergeCell ref="EF249:EG249"/>
    <mergeCell ref="FB246:FC246"/>
    <mergeCell ref="ER245:ES245"/>
    <mergeCell ref="EL245:EM245"/>
    <mergeCell ref="EP244:EQ244"/>
    <mergeCell ref="FD248:FE248"/>
    <mergeCell ref="FF248:FG248"/>
    <mergeCell ref="FF249:FG249"/>
    <mergeCell ref="FD245:FE245"/>
    <mergeCell ref="FF246:FG246"/>
    <mergeCell ref="EH245:EI245"/>
    <mergeCell ref="DP235:DQ235"/>
    <mergeCell ref="CX233:CY233"/>
    <mergeCell ref="DP236:DQ236"/>
    <mergeCell ref="DL237:DM237"/>
    <mergeCell ref="DL234:DM234"/>
    <mergeCell ref="DR236:DS236"/>
    <mergeCell ref="DN235:DO235"/>
    <mergeCell ref="DN237:DO237"/>
    <mergeCell ref="DZ236:EA236"/>
    <mergeCell ref="DZ234:EA234"/>
    <mergeCell ref="CZ235:DA235"/>
    <mergeCell ref="CX236:CY236"/>
    <mergeCell ref="DJ237:DK237"/>
    <mergeCell ref="DB238:DC238"/>
    <mergeCell ref="CX235:CY235"/>
    <mergeCell ref="DV238:DW238"/>
    <mergeCell ref="CX238:CY238"/>
    <mergeCell ref="EJ233:EK233"/>
    <mergeCell ref="DT237:DU237"/>
    <mergeCell ref="DV233:DW233"/>
    <mergeCell ref="DR233:DS233"/>
    <mergeCell ref="FD234:FE234"/>
    <mergeCell ref="EZ233:FA233"/>
    <mergeCell ref="FB233:FC233"/>
    <mergeCell ref="FD233:FE233"/>
    <mergeCell ref="EL234:EM234"/>
    <mergeCell ref="FH236:FI236"/>
    <mergeCell ref="FH247:FI247"/>
    <mergeCell ref="FB244:FC244"/>
    <mergeCell ref="FH245:FI245"/>
    <mergeCell ref="FH233:FI233"/>
    <mergeCell ref="EV235:EW235"/>
    <mergeCell ref="FD236:FE236"/>
    <mergeCell ref="FF237:FG237"/>
    <mergeCell ref="EN237:EO237"/>
    <mergeCell ref="EN236:EO236"/>
    <mergeCell ref="DL238:DM238"/>
    <mergeCell ref="FF245:FG245"/>
    <mergeCell ref="ET238:EU238"/>
    <mergeCell ref="FD244:FE244"/>
    <mergeCell ref="DN238:DO238"/>
    <mergeCell ref="EZ243:FA243"/>
    <mergeCell ref="ET245:EU245"/>
    <mergeCell ref="EV247:EW247"/>
    <mergeCell ref="EX249:EY249"/>
    <mergeCell ref="EF238:EG238"/>
    <mergeCell ref="EV238:EW238"/>
    <mergeCell ref="ED249:EE249"/>
    <mergeCell ref="EX243:EY243"/>
    <mergeCell ref="EV243:EW243"/>
    <mergeCell ref="EV246:EW246"/>
    <mergeCell ref="EX245:EY245"/>
    <mergeCell ref="ED242:EE242"/>
    <mergeCell ref="FD243:FE243"/>
    <mergeCell ref="FF244:FG244"/>
    <mergeCell ref="EN247:EO247"/>
    <mergeCell ref="EP246:EQ246"/>
    <mergeCell ref="EP245:EQ245"/>
    <mergeCell ref="FF258:FG258"/>
    <mergeCell ref="FD254:FE254"/>
    <mergeCell ref="FF255:FG255"/>
    <mergeCell ref="EP255:EQ255"/>
    <mergeCell ref="EX254:EY254"/>
    <mergeCell ref="FD252:FE252"/>
    <mergeCell ref="EJ242:EK242"/>
    <mergeCell ref="FB254:FC254"/>
    <mergeCell ref="EP251:EQ251"/>
    <mergeCell ref="FB257:FC257"/>
    <mergeCell ref="FD256:FE256"/>
    <mergeCell ref="EV245:EW245"/>
    <mergeCell ref="EX246:EY246"/>
    <mergeCell ref="EF247:EG247"/>
    <mergeCell ref="EH244:EI244"/>
    <mergeCell ref="EN248:EO248"/>
    <mergeCell ref="EN238:EO238"/>
    <mergeCell ref="EL249:EM249"/>
    <mergeCell ref="EL248:EM248"/>
    <mergeCell ref="EL257:EM257"/>
    <mergeCell ref="EH250:EI250"/>
    <mergeCell ref="EJ248:EK248"/>
    <mergeCell ref="EN242:EO242"/>
    <mergeCell ref="ET248:EU248"/>
    <mergeCell ref="ET249:EU249"/>
    <mergeCell ref="EJ247:EK247"/>
    <mergeCell ref="FB249:FC249"/>
    <mergeCell ref="EJ238:EK238"/>
    <mergeCell ref="ED238:EE238"/>
    <mergeCell ref="EN243:EO243"/>
    <mergeCell ref="EX244:EY244"/>
    <mergeCell ref="FB245:FC245"/>
    <mergeCell ref="EH238:EI238"/>
    <mergeCell ref="ER243:ES243"/>
    <mergeCell ref="ET244:EU244"/>
    <mergeCell ref="EL244:EM244"/>
    <mergeCell ref="ER238:ES238"/>
    <mergeCell ref="EX248:EY248"/>
    <mergeCell ref="EZ247:FA247"/>
    <mergeCell ref="EZ250:FA250"/>
    <mergeCell ref="EZ248:FA248"/>
    <mergeCell ref="ET242:EU242"/>
    <mergeCell ref="FD242:FE242"/>
    <mergeCell ref="EX247:EY247"/>
    <mergeCell ref="ER248:ES248"/>
    <mergeCell ref="EP248:EQ248"/>
    <mergeCell ref="EN244:EO244"/>
    <mergeCell ref="FH252:FI252"/>
    <mergeCell ref="FH254:FI254"/>
    <mergeCell ref="FH256:FI256"/>
    <mergeCell ref="FH249:FI249"/>
    <mergeCell ref="ER259:ES259"/>
    <mergeCell ref="EX255:EY255"/>
    <mergeCell ref="EV254:EW254"/>
    <mergeCell ref="ER249:ES249"/>
    <mergeCell ref="EV249:EW249"/>
    <mergeCell ref="EP249:EQ249"/>
    <mergeCell ref="EX256:EY256"/>
    <mergeCell ref="FF257:FG257"/>
    <mergeCell ref="EZ257:FA257"/>
    <mergeCell ref="FF253:FG253"/>
    <mergeCell ref="ET252:EU252"/>
    <mergeCell ref="FB258:FC258"/>
    <mergeCell ref="FF259:FG259"/>
    <mergeCell ref="FH250:FI250"/>
    <mergeCell ref="FD249:FE249"/>
    <mergeCell ref="ER253:ES253"/>
    <mergeCell ref="FD258:FE258"/>
    <mergeCell ref="FH258:FI258"/>
    <mergeCell ref="EX253:EY253"/>
    <mergeCell ref="EZ254:FA254"/>
    <mergeCell ref="FB255:FC255"/>
    <mergeCell ref="FD255:FE255"/>
    <mergeCell ref="EX250:EY250"/>
    <mergeCell ref="EP250:EQ250"/>
    <mergeCell ref="FB256:FC256"/>
    <mergeCell ref="FH253:FI253"/>
    <mergeCell ref="FF252:FG252"/>
    <mergeCell ref="FB252:FC252"/>
    <mergeCell ref="FD259:FE259"/>
    <mergeCell ref="EX251:EY251"/>
    <mergeCell ref="FD250:FE250"/>
    <mergeCell ref="FD257:FE257"/>
    <mergeCell ref="EP254:EQ254"/>
    <mergeCell ref="FH255:FI255"/>
    <mergeCell ref="FF256:FG256"/>
    <mergeCell ref="EZ255:FA255"/>
    <mergeCell ref="FF254:FG254"/>
    <mergeCell ref="EX257:EY257"/>
    <mergeCell ref="ER251:ES251"/>
    <mergeCell ref="EP253:EQ253"/>
    <mergeCell ref="FH259:FI259"/>
    <mergeCell ref="FH257:FI257"/>
    <mergeCell ref="FF250:FG250"/>
    <mergeCell ref="FB250:FC250"/>
    <mergeCell ref="EV255:EW255"/>
    <mergeCell ref="ET258:EU258"/>
    <mergeCell ref="EP252:EQ252"/>
    <mergeCell ref="ET250:EU250"/>
    <mergeCell ref="ER250:ES250"/>
    <mergeCell ref="FH251:FI251"/>
    <mergeCell ref="EV250:EW250"/>
    <mergeCell ref="EV258:EW258"/>
    <mergeCell ref="EV248:EW248"/>
    <mergeCell ref="FB248:FC248"/>
    <mergeCell ref="FB247:FC247"/>
    <mergeCell ref="EP277:EQ277"/>
    <mergeCell ref="EP264:EQ264"/>
    <mergeCell ref="EV265:EW265"/>
    <mergeCell ref="EN264:EO264"/>
    <mergeCell ref="ET259:EU259"/>
    <mergeCell ref="EH259:EI259"/>
    <mergeCell ref="EV260:EW260"/>
    <mergeCell ref="EH280:EI280"/>
    <mergeCell ref="EJ280:EK280"/>
    <mergeCell ref="EN277:EO277"/>
    <mergeCell ref="EJ277:EK277"/>
    <mergeCell ref="EN279:EO279"/>
    <mergeCell ref="ER254:ES254"/>
    <mergeCell ref="ER255:ES255"/>
    <mergeCell ref="EF267:EG267"/>
    <mergeCell ref="ER256:ES256"/>
    <mergeCell ref="EV275:EW275"/>
    <mergeCell ref="EL258:EM258"/>
    <mergeCell ref="EP259:EQ259"/>
    <mergeCell ref="EH258:EI258"/>
    <mergeCell ref="ER258:ES258"/>
    <mergeCell ref="EN253:EO253"/>
    <mergeCell ref="EH252:EI252"/>
    <mergeCell ref="EV253:EW253"/>
    <mergeCell ref="EV251:EW251"/>
    <mergeCell ref="EV252:EW252"/>
    <mergeCell ref="EX258:EY258"/>
    <mergeCell ref="EZ258:FA258"/>
    <mergeCell ref="EX259:EY259"/>
    <mergeCell ref="EV259:EW259"/>
    <mergeCell ref="EV257:EW257"/>
    <mergeCell ref="EP257:EQ257"/>
    <mergeCell ref="EZ259:FA259"/>
    <mergeCell ref="ET257:EU257"/>
    <mergeCell ref="EP256:EQ256"/>
    <mergeCell ref="EJ251:EK251"/>
    <mergeCell ref="ER252:ES252"/>
    <mergeCell ref="EZ260:FA260"/>
    <mergeCell ref="EZ252:FA252"/>
    <mergeCell ref="EZ251:FA251"/>
    <mergeCell ref="EZ253:FA253"/>
    <mergeCell ref="EH271:EI271"/>
    <mergeCell ref="EP275:EQ275"/>
    <mergeCell ref="EL275:EM275"/>
    <mergeCell ref="EN276:EO276"/>
    <mergeCell ref="EJ276:EK276"/>
    <mergeCell ref="ER257:ES257"/>
    <mergeCell ref="ET256:EU256"/>
    <mergeCell ref="EX252:EY252"/>
    <mergeCell ref="EN257:EO257"/>
    <mergeCell ref="EJ258:EK258"/>
    <mergeCell ref="EL256:EM256"/>
    <mergeCell ref="EJ253:EK253"/>
    <mergeCell ref="ET254:EU254"/>
    <mergeCell ref="ET251:EU251"/>
    <mergeCell ref="EV264:EW264"/>
    <mergeCell ref="EV256:EW256"/>
    <mergeCell ref="EZ276:FA276"/>
    <mergeCell ref="EX277:EY277"/>
    <mergeCell ref="ET268:EU268"/>
    <mergeCell ref="ER279:ES279"/>
    <mergeCell ref="ER285:ES285"/>
    <mergeCell ref="FD285:FE285"/>
    <mergeCell ref="FF285:FG285"/>
    <mergeCell ref="ER286:ES286"/>
    <mergeCell ref="FF292:FG292"/>
    <mergeCell ref="ET281:EU281"/>
    <mergeCell ref="EV279:EW279"/>
    <mergeCell ref="EX279:EY279"/>
    <mergeCell ref="EZ279:FA279"/>
    <mergeCell ref="FB279:FC279"/>
    <mergeCell ref="ET284:EU284"/>
    <mergeCell ref="FD279:FE279"/>
    <mergeCell ref="FF279:FG279"/>
    <mergeCell ref="EX284:EY284"/>
    <mergeCell ref="EL278:EM278"/>
    <mergeCell ref="ER287:ES287"/>
    <mergeCell ref="ET287:EU287"/>
    <mergeCell ref="EV287:EW287"/>
    <mergeCell ref="EJ266:EK266"/>
    <mergeCell ref="EJ271:EK271"/>
    <mergeCell ref="FD292:FE292"/>
    <mergeCell ref="FD288:FE288"/>
    <mergeCell ref="EZ272:FA272"/>
    <mergeCell ref="EZ273:FA273"/>
    <mergeCell ref="EZ277:FA277"/>
    <mergeCell ref="FB277:FC277"/>
    <mergeCell ref="FB271:FC271"/>
    <mergeCell ref="EX278:EY278"/>
    <mergeCell ref="EZ266:FA266"/>
    <mergeCell ref="EV277:EW277"/>
    <mergeCell ref="ET278:EU278"/>
    <mergeCell ref="ET283:EU283"/>
    <mergeCell ref="EP282:EQ282"/>
    <mergeCell ref="ER270:ES270"/>
    <mergeCell ref="ER290:ES290"/>
    <mergeCell ref="ET290:EU290"/>
    <mergeCell ref="ER280:ES280"/>
    <mergeCell ref="EV283:EW283"/>
    <mergeCell ref="ER291:ES291"/>
    <mergeCell ref="FD280:FE280"/>
    <mergeCell ref="FD289:FE289"/>
    <mergeCell ref="FF289:FG289"/>
    <mergeCell ref="ER288:ES288"/>
    <mergeCell ref="ER289:ES289"/>
    <mergeCell ref="ET289:EU289"/>
    <mergeCell ref="EZ281:FA281"/>
    <mergeCell ref="FB281:FC281"/>
    <mergeCell ref="ET273:EU273"/>
    <mergeCell ref="EX274:EY274"/>
    <mergeCell ref="ER269:ES269"/>
    <mergeCell ref="EZ270:FA270"/>
    <mergeCell ref="FB266:FC266"/>
    <mergeCell ref="EZ269:FA269"/>
    <mergeCell ref="EN270:EO270"/>
    <mergeCell ref="EL286:EM286"/>
    <mergeCell ref="EN286:EO286"/>
    <mergeCell ref="EN280:EO280"/>
    <mergeCell ref="EN281:EO281"/>
    <mergeCell ref="EL279:EM279"/>
    <mergeCell ref="EN288:EO288"/>
    <mergeCell ref="EJ278:EK278"/>
    <mergeCell ref="EL284:EM284"/>
    <mergeCell ref="EL277:EM277"/>
    <mergeCell ref="EP280:EQ280"/>
    <mergeCell ref="ER313:ES313"/>
    <mergeCell ref="ET313:EU313"/>
    <mergeCell ref="EV313:EW313"/>
    <mergeCell ref="EX313:EY313"/>
    <mergeCell ref="EZ313:FA313"/>
    <mergeCell ref="ER309:ES309"/>
    <mergeCell ref="ET309:EU309"/>
    <mergeCell ref="EV309:EW309"/>
    <mergeCell ref="EX309:EY309"/>
    <mergeCell ref="EZ309:FA309"/>
    <mergeCell ref="ER306:ES306"/>
    <mergeCell ref="ET306:EU306"/>
    <mergeCell ref="ET277:EU277"/>
    <mergeCell ref="EV273:EW273"/>
    <mergeCell ref="EX273:EY273"/>
    <mergeCell ref="EP278:EQ278"/>
    <mergeCell ref="EL271:EM271"/>
    <mergeCell ref="ER275:ES275"/>
    <mergeCell ref="ER268:ES268"/>
    <mergeCell ref="EL274:EM274"/>
    <mergeCell ref="FB274:FC274"/>
    <mergeCell ref="FB275:FC275"/>
    <mergeCell ref="FB273:FC273"/>
    <mergeCell ref="FB270:FC270"/>
    <mergeCell ref="EX280:EY280"/>
    <mergeCell ref="EL267:EM267"/>
    <mergeCell ref="FD268:FE268"/>
    <mergeCell ref="FF268:FG268"/>
    <mergeCell ref="ER292:ES292"/>
    <mergeCell ref="EX293:EY293"/>
    <mergeCell ref="EX265:EY265"/>
    <mergeCell ref="EZ265:FA265"/>
    <mergeCell ref="EV267:EW267"/>
    <mergeCell ref="ET265:EU265"/>
    <mergeCell ref="EN291:EO291"/>
    <mergeCell ref="ET300:EU300"/>
    <mergeCell ref="FB286:FC286"/>
    <mergeCell ref="ER299:ES299"/>
    <mergeCell ref="ET299:EU299"/>
    <mergeCell ref="EV299:EW299"/>
    <mergeCell ref="EX299:EY299"/>
    <mergeCell ref="EZ299:FA299"/>
    <mergeCell ref="FB299:FC299"/>
    <mergeCell ref="ER300:ES300"/>
    <mergeCell ref="EZ286:FA286"/>
    <mergeCell ref="FF295:FG295"/>
    <mergeCell ref="FF300:FG300"/>
    <mergeCell ref="FD299:FE299"/>
    <mergeCell ref="ER282:ES282"/>
    <mergeCell ref="ER284:ES284"/>
    <mergeCell ref="FD282:FE282"/>
    <mergeCell ref="FF282:FG282"/>
    <mergeCell ref="FD298:FE298"/>
    <mergeCell ref="ET286:EU286"/>
    <mergeCell ref="ET288:EU288"/>
    <mergeCell ref="ET296:EU296"/>
    <mergeCell ref="EV297:EW297"/>
    <mergeCell ref="EZ292:FA292"/>
    <mergeCell ref="ET285:EU285"/>
    <mergeCell ref="FF293:FG293"/>
    <mergeCell ref="ET297:EU297"/>
    <mergeCell ref="ER294:ES294"/>
    <mergeCell ref="ER298:ES298"/>
    <mergeCell ref="EX300:EY300"/>
    <mergeCell ref="FP300:FQ300"/>
    <mergeCell ref="FH300:FI300"/>
    <mergeCell ref="FJ300:FK300"/>
    <mergeCell ref="EV306:EW306"/>
    <mergeCell ref="EX306:EY306"/>
    <mergeCell ref="EZ306:FA306"/>
    <mergeCell ref="FB306:FC306"/>
    <mergeCell ref="FD306:FE306"/>
    <mergeCell ref="FR306:FS306"/>
    <mergeCell ref="FT306:FU306"/>
    <mergeCell ref="FV306:FW306"/>
    <mergeCell ref="FX306:FY306"/>
    <mergeCell ref="ER303:ES303"/>
    <mergeCell ref="ET303:EU303"/>
    <mergeCell ref="EV303:EW303"/>
    <mergeCell ref="EX303:EY303"/>
    <mergeCell ref="EZ303:FA303"/>
    <mergeCell ref="FB303:FC303"/>
    <mergeCell ref="FD303:FE303"/>
    <mergeCell ref="FF303:FG303"/>
    <mergeCell ref="FH303:FI303"/>
    <mergeCell ref="FJ303:FK303"/>
    <mergeCell ref="FV294:FW294"/>
    <mergeCell ref="FN295:FO295"/>
    <mergeCell ref="FF291:FG291"/>
    <mergeCell ref="FL295:FM295"/>
    <mergeCell ref="FJ295:FK295"/>
    <mergeCell ref="ET293:EU293"/>
    <mergeCell ref="ER293:ES293"/>
    <mergeCell ref="FV291:FW291"/>
    <mergeCell ref="FX299:FY299"/>
    <mergeCell ref="FX293:FY293"/>
    <mergeCell ref="FL292:FM292"/>
    <mergeCell ref="ET294:EU294"/>
    <mergeCell ref="ET292:EU292"/>
    <mergeCell ref="EV294:EW294"/>
    <mergeCell ref="EX294:EY294"/>
    <mergeCell ref="EZ294:FA294"/>
    <mergeCell ref="FB294:FC294"/>
    <mergeCell ref="FB295:FC295"/>
    <mergeCell ref="FD295:FE295"/>
    <mergeCell ref="FH295:FI295"/>
    <mergeCell ref="FT297:FU297"/>
    <mergeCell ref="FL293:FM293"/>
    <mergeCell ref="FN293:FO293"/>
    <mergeCell ref="FX294:FY294"/>
    <mergeCell ref="FX300:FY300"/>
    <mergeCell ref="ER295:ES295"/>
    <mergeCell ref="FJ299:FK299"/>
    <mergeCell ref="FL299:FM299"/>
    <mergeCell ref="FL300:FM300"/>
    <mergeCell ref="FV298:FW298"/>
    <mergeCell ref="FD293:FE293"/>
    <mergeCell ref="FT293:FU293"/>
    <mergeCell ref="FP295:FQ295"/>
    <mergeCell ref="FR301:FS301"/>
    <mergeCell ref="FT301:FU301"/>
    <mergeCell ref="FV301:FW301"/>
    <mergeCell ref="FX301:FY301"/>
    <mergeCell ref="FB300:FC300"/>
    <mergeCell ref="EV300:EW300"/>
    <mergeCell ref="ER296:ES296"/>
    <mergeCell ref="EV296:EW296"/>
    <mergeCell ref="FX304:FY304"/>
    <mergeCell ref="FP308:FQ308"/>
    <mergeCell ref="FR308:FS308"/>
    <mergeCell ref="FT308:FU308"/>
    <mergeCell ref="FF299:FG299"/>
    <mergeCell ref="EV307:EW307"/>
    <mergeCell ref="EX307:EY307"/>
    <mergeCell ref="EZ307:FA307"/>
    <mergeCell ref="FB307:FC307"/>
    <mergeCell ref="FD307:FE307"/>
    <mergeCell ref="FF307:FG307"/>
    <mergeCell ref="FH307:FI307"/>
    <mergeCell ref="FJ307:FK307"/>
    <mergeCell ref="FD302:FE302"/>
    <mergeCell ref="FF302:FG302"/>
    <mergeCell ref="FH302:FI302"/>
    <mergeCell ref="FJ302:FK302"/>
    <mergeCell ref="FD300:FE300"/>
    <mergeCell ref="FF306:FG306"/>
    <mergeCell ref="FH306:FI306"/>
    <mergeCell ref="FJ306:FK306"/>
    <mergeCell ref="FL306:FM306"/>
    <mergeCell ref="FN306:FO306"/>
    <mergeCell ref="FP306:FQ306"/>
    <mergeCell ref="ER308:ES308"/>
    <mergeCell ref="ET308:EU308"/>
    <mergeCell ref="EV308:EW308"/>
    <mergeCell ref="FL303:FM303"/>
    <mergeCell ref="FN303:FO303"/>
    <mergeCell ref="FP303:FQ303"/>
    <mergeCell ref="EV293:EW293"/>
    <mergeCell ref="FR303:FS303"/>
    <mergeCell ref="FT303:FU303"/>
    <mergeCell ref="FV303:FW303"/>
    <mergeCell ref="FN299:FO299"/>
    <mergeCell ref="FP299:FQ299"/>
    <mergeCell ref="FR299:FS299"/>
    <mergeCell ref="FT299:FU299"/>
    <mergeCell ref="FV299:FW299"/>
    <mergeCell ref="FT295:FU295"/>
    <mergeCell ref="EZ300:FA300"/>
    <mergeCell ref="ER301:ES301"/>
    <mergeCell ref="ET301:EU301"/>
    <mergeCell ref="EV301:EW301"/>
    <mergeCell ref="EX301:EY301"/>
    <mergeCell ref="EZ301:FA301"/>
    <mergeCell ref="FB301:FC301"/>
    <mergeCell ref="FD301:FE301"/>
    <mergeCell ref="FF301:FG301"/>
    <mergeCell ref="FH301:FI301"/>
    <mergeCell ref="FJ301:FK301"/>
    <mergeCell ref="FL301:FM301"/>
    <mergeCell ref="FN301:FO301"/>
    <mergeCell ref="FP301:FQ301"/>
    <mergeCell ref="FD294:FE294"/>
    <mergeCell ref="EX296:EY296"/>
    <mergeCell ref="FF294:FG294"/>
    <mergeCell ref="FR293:FS293"/>
    <mergeCell ref="FJ298:FK298"/>
    <mergeCell ref="FL298:FM298"/>
    <mergeCell ref="FR300:FS300"/>
    <mergeCell ref="FT300:FU300"/>
    <mergeCell ref="FV300:FW300"/>
    <mergeCell ref="FH299:FI299"/>
    <mergeCell ref="FB293:FC293"/>
    <mergeCell ref="ER314:ES314"/>
    <mergeCell ref="FX317:FY317"/>
    <mergeCell ref="FX318:FY318"/>
    <mergeCell ref="FD314:FE314"/>
    <mergeCell ref="ER311:ES311"/>
    <mergeCell ref="ET311:EU311"/>
    <mergeCell ref="EV311:EW311"/>
    <mergeCell ref="EX311:EY311"/>
    <mergeCell ref="EX310:EY310"/>
    <mergeCell ref="EZ310:FA310"/>
    <mergeCell ref="FB310:FC310"/>
    <mergeCell ref="FD310:FE310"/>
    <mergeCell ref="ER312:ES312"/>
    <mergeCell ref="ET312:EU312"/>
    <mergeCell ref="EV312:EW312"/>
    <mergeCell ref="EX312:EY312"/>
    <mergeCell ref="EZ312:FA312"/>
    <mergeCell ref="FB312:FC312"/>
    <mergeCell ref="FD312:FE312"/>
    <mergeCell ref="FH312:FI312"/>
    <mergeCell ref="EX314:EY314"/>
    <mergeCell ref="EZ314:FA314"/>
    <mergeCell ref="FL308:FM308"/>
    <mergeCell ref="FN308:FO308"/>
    <mergeCell ref="EZ308:FA308"/>
    <mergeCell ref="FB308:FC308"/>
    <mergeCell ref="FL307:FM307"/>
    <mergeCell ref="FN307:FO307"/>
    <mergeCell ref="FP307:FQ307"/>
    <mergeCell ref="FR307:FS307"/>
    <mergeCell ref="FT307:FU307"/>
    <mergeCell ref="FV307:FW307"/>
    <mergeCell ref="FJ313:FK313"/>
    <mergeCell ref="FX314:FY314"/>
    <mergeCell ref="FD308:FE308"/>
    <mergeCell ref="FF308:FG308"/>
    <mergeCell ref="FX309:FY309"/>
    <mergeCell ref="FH308:FI308"/>
    <mergeCell ref="FJ308:FK308"/>
    <mergeCell ref="FX308:FY308"/>
    <mergeCell ref="ER307:ES307"/>
    <mergeCell ref="ET307:EU307"/>
    <mergeCell ref="FF309:FG309"/>
    <mergeCell ref="FH309:FI309"/>
    <mergeCell ref="FJ309:FK309"/>
    <mergeCell ref="FL309:FM309"/>
    <mergeCell ref="FN309:FO309"/>
    <mergeCell ref="FP309:FQ309"/>
    <mergeCell ref="FR309:FS309"/>
    <mergeCell ref="FT309:FU309"/>
    <mergeCell ref="FV309:FW309"/>
    <mergeCell ref="FB309:FC309"/>
    <mergeCell ref="FD309:FE309"/>
    <mergeCell ref="FV308:FW308"/>
    <mergeCell ref="FH314:FI314"/>
    <mergeCell ref="FJ314:FK314"/>
    <mergeCell ref="FL314:FM314"/>
    <mergeCell ref="FN314:FO314"/>
    <mergeCell ref="FP314:FQ314"/>
    <mergeCell ref="FR314:FS314"/>
    <mergeCell ref="FP312:FQ312"/>
    <mergeCell ref="FR312:FS312"/>
    <mergeCell ref="FT312:FU312"/>
    <mergeCell ref="FV312:FW312"/>
    <mergeCell ref="FP316:FQ316"/>
    <mergeCell ref="FV316:FW316"/>
    <mergeCell ref="FH310:FI310"/>
    <mergeCell ref="FJ310:FK310"/>
    <mergeCell ref="FL310:FM310"/>
    <mergeCell ref="FN310:FO310"/>
    <mergeCell ref="FP310:FQ310"/>
    <mergeCell ref="FR310:FS310"/>
    <mergeCell ref="FT310:FU310"/>
    <mergeCell ref="FV310:FW310"/>
    <mergeCell ref="FR316:FS316"/>
    <mergeCell ref="FT316:FU316"/>
    <mergeCell ref="FJ312:FK312"/>
    <mergeCell ref="FL312:FM312"/>
    <mergeCell ref="FF312:FG312"/>
    <mergeCell ref="FX310:FY310"/>
    <mergeCell ref="FH315:FI315"/>
    <mergeCell ref="FN317:FO317"/>
    <mergeCell ref="FP317:FQ317"/>
    <mergeCell ref="FH319:FI319"/>
    <mergeCell ref="FJ319:FK319"/>
    <mergeCell ref="EV315:EW315"/>
    <mergeCell ref="EX315:EY315"/>
    <mergeCell ref="FD315:FE315"/>
    <mergeCell ref="FF316:FG316"/>
    <mergeCell ref="FL313:FM313"/>
    <mergeCell ref="FN313:FO313"/>
    <mergeCell ref="FP313:FQ313"/>
    <mergeCell ref="FR313:FS313"/>
    <mergeCell ref="FT313:FU313"/>
    <mergeCell ref="FV313:FW313"/>
    <mergeCell ref="FD313:FE313"/>
    <mergeCell ref="FF313:FG313"/>
    <mergeCell ref="EZ315:FA315"/>
    <mergeCell ref="FB315:FC315"/>
    <mergeCell ref="FV314:FW314"/>
    <mergeCell ref="EZ311:FA311"/>
    <mergeCell ref="FB311:FC311"/>
    <mergeCell ref="FD311:FE311"/>
    <mergeCell ref="FB313:FC313"/>
    <mergeCell ref="FN315:FO315"/>
    <mergeCell ref="FP315:FQ315"/>
    <mergeCell ref="FR315:FS315"/>
    <mergeCell ref="FT315:FU315"/>
    <mergeCell ref="ET324:EU324"/>
    <mergeCell ref="EV324:EW324"/>
    <mergeCell ref="EX324:EY324"/>
    <mergeCell ref="EZ324:FA324"/>
    <mergeCell ref="FB324:FC324"/>
    <mergeCell ref="FD324:FE324"/>
    <mergeCell ref="FF324:FG324"/>
    <mergeCell ref="FH324:FI324"/>
    <mergeCell ref="FJ324:FK324"/>
    <mergeCell ref="FL324:FM324"/>
    <mergeCell ref="FN324:FO324"/>
    <mergeCell ref="FP324:FQ324"/>
    <mergeCell ref="FR324:FS324"/>
    <mergeCell ref="FT324:FU324"/>
    <mergeCell ref="FV324:FW324"/>
    <mergeCell ref="FF311:FG311"/>
    <mergeCell ref="FH311:FI311"/>
    <mergeCell ref="FJ311:FK311"/>
    <mergeCell ref="FL311:FM311"/>
    <mergeCell ref="FN311:FO311"/>
    <mergeCell ref="FP311:FQ311"/>
    <mergeCell ref="FR311:FS311"/>
    <mergeCell ref="FT311:FU311"/>
    <mergeCell ref="FF310:FG310"/>
    <mergeCell ref="FV311:FW311"/>
    <mergeCell ref="FH316:FI316"/>
    <mergeCell ref="FJ316:FK316"/>
    <mergeCell ref="FL316:FM316"/>
    <mergeCell ref="EX308:EY308"/>
    <mergeCell ref="EV317:EW317"/>
    <mergeCell ref="EX317:EY317"/>
    <mergeCell ref="EZ317:FA317"/>
    <mergeCell ref="FB317:FC317"/>
    <mergeCell ref="FF315:FG315"/>
    <mergeCell ref="FV315:FW315"/>
    <mergeCell ref="FF314:FG314"/>
    <mergeCell ref="FT314:FU314"/>
    <mergeCell ref="FJ315:FK315"/>
    <mergeCell ref="FL315:FM315"/>
    <mergeCell ref="EX316:EY316"/>
    <mergeCell ref="EZ316:FA316"/>
    <mergeCell ref="FB316:FC316"/>
    <mergeCell ref="FD316:FE316"/>
    <mergeCell ref="FJ320:FK320"/>
    <mergeCell ref="FL320:FM320"/>
    <mergeCell ref="FN320:FO320"/>
    <mergeCell ref="FP320:FQ320"/>
    <mergeCell ref="ET317:EU317"/>
    <mergeCell ref="FD317:FE317"/>
    <mergeCell ref="FF317:FG317"/>
    <mergeCell ref="FV319:FW319"/>
    <mergeCell ref="ET314:EU314"/>
    <mergeCell ref="EV314:EW314"/>
    <mergeCell ref="ET310:EU310"/>
    <mergeCell ref="EV310:EW310"/>
    <mergeCell ref="ET315:EU315"/>
    <mergeCell ref="FH313:FI313"/>
    <mergeCell ref="EX318:EY318"/>
    <mergeCell ref="EZ318:FA318"/>
    <mergeCell ref="FB318:FC318"/>
    <mergeCell ref="FD318:FE318"/>
    <mergeCell ref="FF318:FG318"/>
    <mergeCell ref="FH318:FI318"/>
    <mergeCell ref="FP319:FQ319"/>
    <mergeCell ref="FX324:FY324"/>
    <mergeCell ref="ER322:ES322"/>
    <mergeCell ref="ET322:EU322"/>
    <mergeCell ref="EV322:EW322"/>
    <mergeCell ref="EX322:EY322"/>
    <mergeCell ref="EZ322:FA322"/>
    <mergeCell ref="FB322:FC322"/>
    <mergeCell ref="FD322:FE322"/>
    <mergeCell ref="FF322:FG322"/>
    <mergeCell ref="FH322:FI322"/>
    <mergeCell ref="FJ322:FK322"/>
    <mergeCell ref="FL322:FM322"/>
    <mergeCell ref="FN322:FO322"/>
    <mergeCell ref="FP322:FQ322"/>
    <mergeCell ref="FR322:FS322"/>
    <mergeCell ref="FT322:FU322"/>
    <mergeCell ref="FV322:FW322"/>
    <mergeCell ref="FX322:FY322"/>
    <mergeCell ref="ER323:ES323"/>
    <mergeCell ref="ET323:EU323"/>
    <mergeCell ref="EV323:EW323"/>
    <mergeCell ref="EX323:EY323"/>
    <mergeCell ref="EZ323:FA323"/>
    <mergeCell ref="FB323:FC323"/>
    <mergeCell ref="FD323:FE323"/>
    <mergeCell ref="FX323:FY323"/>
    <mergeCell ref="ER321:ES321"/>
    <mergeCell ref="ET321:EU321"/>
    <mergeCell ref="ER319:ES319"/>
    <mergeCell ref="FV321:FW321"/>
    <mergeCell ref="FL319:FM319"/>
    <mergeCell ref="ER320:ES320"/>
    <mergeCell ref="ET320:EU320"/>
    <mergeCell ref="EV320:EW320"/>
    <mergeCell ref="EX320:EY320"/>
    <mergeCell ref="FX321:FY321"/>
    <mergeCell ref="EX321:EY321"/>
    <mergeCell ref="EZ321:FA321"/>
    <mergeCell ref="FB321:FC321"/>
    <mergeCell ref="FD321:FE321"/>
    <mergeCell ref="FF321:FG321"/>
    <mergeCell ref="FF323:FG323"/>
    <mergeCell ref="FH323:FI323"/>
    <mergeCell ref="FJ323:FK323"/>
    <mergeCell ref="FL323:FM323"/>
    <mergeCell ref="FN323:FO323"/>
    <mergeCell ref="FP323:FQ323"/>
    <mergeCell ref="FR323:FS323"/>
    <mergeCell ref="FT323:FU323"/>
    <mergeCell ref="FV323:FW323"/>
    <mergeCell ref="FN321:FO321"/>
    <mergeCell ref="FP321:FQ321"/>
    <mergeCell ref="FR321:FS321"/>
    <mergeCell ref="FT321:FU321"/>
    <mergeCell ref="EV319:EW319"/>
    <mergeCell ref="FH320:FI320"/>
    <mergeCell ref="FR320:FS320"/>
    <mergeCell ref="FT320:FU320"/>
    <mergeCell ref="FV320:FW320"/>
    <mergeCell ref="FH321:FI321"/>
    <mergeCell ref="FJ321:FK321"/>
    <mergeCell ref="FL321:FM321"/>
    <mergeCell ref="EV321:EW321"/>
    <mergeCell ref="ER324:ES324"/>
    <mergeCell ref="ER305:ES305"/>
    <mergeCell ref="ET305:EU305"/>
    <mergeCell ref="EV305:EW305"/>
    <mergeCell ref="EX305:EY305"/>
    <mergeCell ref="EZ305:FA305"/>
    <mergeCell ref="FB305:FC305"/>
    <mergeCell ref="FD305:FE305"/>
    <mergeCell ref="FF305:FG305"/>
    <mergeCell ref="FH305:FI305"/>
    <mergeCell ref="FJ305:FK305"/>
    <mergeCell ref="FL305:FM305"/>
    <mergeCell ref="FN305:FO305"/>
    <mergeCell ref="FP305:FQ305"/>
    <mergeCell ref="FR305:FS305"/>
    <mergeCell ref="FT305:FU305"/>
    <mergeCell ref="FV305:FW305"/>
    <mergeCell ref="FX305:FY305"/>
    <mergeCell ref="ER304:ES304"/>
    <mergeCell ref="ET304:EU304"/>
    <mergeCell ref="EV304:EW304"/>
    <mergeCell ref="EX304:EY304"/>
    <mergeCell ref="FB304:FC304"/>
    <mergeCell ref="FD304:FE304"/>
    <mergeCell ref="FF304:FG304"/>
    <mergeCell ref="EZ304:FA304"/>
    <mergeCell ref="FN319:FO319"/>
    <mergeCell ref="EZ320:FA320"/>
    <mergeCell ref="FT318:FU318"/>
    <mergeCell ref="FV318:FW318"/>
    <mergeCell ref="FH317:FI317"/>
    <mergeCell ref="FJ317:FK317"/>
    <mergeCell ref="FL317:FM317"/>
    <mergeCell ref="EX319:EY319"/>
    <mergeCell ref="EZ319:FA319"/>
    <mergeCell ref="FB319:FC319"/>
    <mergeCell ref="FD319:FE319"/>
    <mergeCell ref="FF319:FG319"/>
    <mergeCell ref="ER316:ES316"/>
    <mergeCell ref="ET316:EU316"/>
    <mergeCell ref="EV316:EW316"/>
    <mergeCell ref="ER318:ES318"/>
    <mergeCell ref="ET318:EU318"/>
    <mergeCell ref="EV318:EW318"/>
    <mergeCell ref="FB320:FC320"/>
    <mergeCell ref="FD320:FE320"/>
    <mergeCell ref="FF320:FG320"/>
    <mergeCell ref="FT317:FU317"/>
    <mergeCell ref="FV317:FW317"/>
    <mergeCell ref="FR317:FS317"/>
    <mergeCell ref="FB314:FC314"/>
    <mergeCell ref="FJ318:FK318"/>
    <mergeCell ref="ER317:ES317"/>
    <mergeCell ref="FX315:FY315"/>
    <mergeCell ref="FX316:FY316"/>
    <mergeCell ref="FX311:FY311"/>
    <mergeCell ref="FX312:FY312"/>
    <mergeCell ref="ER310:ES310"/>
    <mergeCell ref="ER315:ES315"/>
    <mergeCell ref="FR319:FS319"/>
    <mergeCell ref="FT319:FU319"/>
    <mergeCell ref="FX313:FY313"/>
    <mergeCell ref="FN312:FO312"/>
    <mergeCell ref="ET319:EU319"/>
    <mergeCell ref="FN316:FO316"/>
    <mergeCell ref="FX303:FY303"/>
    <mergeCell ref="FH304:FI304"/>
    <mergeCell ref="FJ304:FK304"/>
    <mergeCell ref="FL304:FM304"/>
    <mergeCell ref="FN304:FO304"/>
    <mergeCell ref="FP304:FQ304"/>
    <mergeCell ref="FR304:FS304"/>
    <mergeCell ref="FT304:FU304"/>
    <mergeCell ref="FV304:FW304"/>
    <mergeCell ref="FX319:FY319"/>
    <mergeCell ref="FX320:FY320"/>
    <mergeCell ref="FL318:FM318"/>
    <mergeCell ref="FN318:FO318"/>
    <mergeCell ref="FP318:FQ318"/>
    <mergeCell ref="FR318:FS318"/>
    <mergeCell ref="FX307:FY307"/>
    <mergeCell ref="ER302:ES302"/>
    <mergeCell ref="ET302:EU302"/>
    <mergeCell ref="EV302:EW302"/>
    <mergeCell ref="EX302:EY302"/>
    <mergeCell ref="EZ302:FA302"/>
    <mergeCell ref="FB302:FC302"/>
    <mergeCell ref="EZ296:FA296"/>
    <mergeCell ref="FB296:FC296"/>
    <mergeCell ref="FD296:FE296"/>
    <mergeCell ref="FF296:FG296"/>
    <mergeCell ref="FH296:FI296"/>
    <mergeCell ref="FJ296:FK296"/>
    <mergeCell ref="FL296:FM296"/>
    <mergeCell ref="FN296:FO296"/>
    <mergeCell ref="FP296:FQ296"/>
    <mergeCell ref="FR296:FS296"/>
    <mergeCell ref="FT296:FU296"/>
    <mergeCell ref="FV296:FW296"/>
    <mergeCell ref="FX296:FY296"/>
    <mergeCell ref="EX297:EY297"/>
    <mergeCell ref="EZ297:FA297"/>
    <mergeCell ref="FB297:FC297"/>
    <mergeCell ref="FD297:FE297"/>
    <mergeCell ref="FF297:FG297"/>
    <mergeCell ref="FH297:FI297"/>
    <mergeCell ref="FJ297:FK297"/>
    <mergeCell ref="FL297:FM297"/>
    <mergeCell ref="FN297:FO297"/>
    <mergeCell ref="FP297:FQ297"/>
    <mergeCell ref="FR297:FS297"/>
    <mergeCell ref="FX297:FY297"/>
    <mergeCell ref="FL302:FM302"/>
    <mergeCell ref="FN302:FO302"/>
    <mergeCell ref="FP302:FQ302"/>
    <mergeCell ref="FR302:FS302"/>
    <mergeCell ref="FT302:FU302"/>
    <mergeCell ref="FV302:FW302"/>
    <mergeCell ref="FX302:FY302"/>
    <mergeCell ref="EX298:EY298"/>
    <mergeCell ref="ER297:ES297"/>
    <mergeCell ref="EZ298:FA298"/>
    <mergeCell ref="FB298:FC298"/>
    <mergeCell ref="FN300:FO300"/>
    <mergeCell ref="FN298:FO298"/>
    <mergeCell ref="FP298:FQ298"/>
    <mergeCell ref="FR298:FS298"/>
    <mergeCell ref="FT298:FU298"/>
    <mergeCell ref="FF298:FG298"/>
    <mergeCell ref="FR290:FS290"/>
    <mergeCell ref="FT290:FU290"/>
    <mergeCell ref="FP290:FQ290"/>
    <mergeCell ref="EV292:EW292"/>
    <mergeCell ref="EX292:EY292"/>
    <mergeCell ref="ET295:EU295"/>
    <mergeCell ref="EV295:EW295"/>
    <mergeCell ref="EX295:EY295"/>
    <mergeCell ref="EZ295:FA295"/>
    <mergeCell ref="FT292:FU292"/>
    <mergeCell ref="EX291:EY291"/>
    <mergeCell ref="EZ291:FA291"/>
    <mergeCell ref="FB291:FC291"/>
    <mergeCell ref="FX298:FY298"/>
    <mergeCell ref="FH292:FI292"/>
    <mergeCell ref="FJ292:FK292"/>
    <mergeCell ref="FV290:FW290"/>
    <mergeCell ref="FV297:FW297"/>
    <mergeCell ref="FH298:FI298"/>
    <mergeCell ref="EZ293:FA293"/>
    <mergeCell ref="FX295:FY295"/>
    <mergeCell ref="FV293:FW293"/>
    <mergeCell ref="FV295:FW295"/>
    <mergeCell ref="FR294:FS294"/>
    <mergeCell ref="FT294:FU294"/>
    <mergeCell ref="FH293:FI293"/>
    <mergeCell ref="FJ293:FK293"/>
    <mergeCell ref="FB292:FC292"/>
    <mergeCell ref="FJ291:FK291"/>
    <mergeCell ref="FL291:FM291"/>
    <mergeCell ref="FN291:FO291"/>
    <mergeCell ref="FD291:FE291"/>
    <mergeCell ref="FV292:FW292"/>
    <mergeCell ref="FX291:FY291"/>
    <mergeCell ref="FP291:FQ291"/>
    <mergeCell ref="ET291:EU291"/>
    <mergeCell ref="EV291:EW291"/>
    <mergeCell ref="FR291:FS291"/>
    <mergeCell ref="FT291:FU291"/>
    <mergeCell ref="EX290:EY290"/>
    <mergeCell ref="EZ290:FA290"/>
    <mergeCell ref="FB290:FC290"/>
    <mergeCell ref="FD290:FE290"/>
    <mergeCell ref="FF290:FG290"/>
    <mergeCell ref="FH290:FI290"/>
    <mergeCell ref="FJ290:FK290"/>
    <mergeCell ref="FL290:FM290"/>
    <mergeCell ref="FN290:FO290"/>
    <mergeCell ref="FH291:FI291"/>
    <mergeCell ref="FR295:FS295"/>
    <mergeCell ref="FX290:FY290"/>
    <mergeCell ref="FX292:FY292"/>
    <mergeCell ref="FR292:FS292"/>
    <mergeCell ref="FN292:FO292"/>
    <mergeCell ref="FP292:FQ292"/>
    <mergeCell ref="EV290:EW290"/>
    <mergeCell ref="ET298:EU298"/>
    <mergeCell ref="EV298:EW298"/>
    <mergeCell ref="FP293:FQ293"/>
    <mergeCell ref="FH294:FI294"/>
    <mergeCell ref="FJ294:FK294"/>
    <mergeCell ref="FL294:FM294"/>
    <mergeCell ref="FN294:FO294"/>
    <mergeCell ref="FP294:FQ294"/>
    <mergeCell ref="FH289:FI289"/>
    <mergeCell ref="FJ289:FK289"/>
    <mergeCell ref="FL289:FM289"/>
    <mergeCell ref="FH288:FI288"/>
    <mergeCell ref="FJ288:FK288"/>
    <mergeCell ref="FN289:FO289"/>
    <mergeCell ref="FP289:FQ289"/>
    <mergeCell ref="FR289:FS289"/>
    <mergeCell ref="FT289:FU289"/>
    <mergeCell ref="FV289:FW289"/>
    <mergeCell ref="FX289:FY289"/>
    <mergeCell ref="EX288:EY288"/>
    <mergeCell ref="EZ288:FA288"/>
    <mergeCell ref="FP286:FQ286"/>
    <mergeCell ref="FR286:FS286"/>
    <mergeCell ref="FT286:FU286"/>
    <mergeCell ref="FB282:FC282"/>
    <mergeCell ref="FP288:FQ288"/>
    <mergeCell ref="FR288:FS288"/>
    <mergeCell ref="FT288:FU288"/>
    <mergeCell ref="FN284:FO284"/>
    <mergeCell ref="EV286:EW286"/>
    <mergeCell ref="FV284:FW284"/>
    <mergeCell ref="FR285:FS285"/>
    <mergeCell ref="FT285:FU285"/>
    <mergeCell ref="FV285:FW285"/>
    <mergeCell ref="FH286:FI286"/>
    <mergeCell ref="FJ286:FK286"/>
    <mergeCell ref="FL286:FM286"/>
    <mergeCell ref="FN286:FO286"/>
    <mergeCell ref="EX286:EY286"/>
    <mergeCell ref="FV286:FW286"/>
    <mergeCell ref="FX286:FY286"/>
    <mergeCell ref="EV285:EW285"/>
    <mergeCell ref="EX285:EY285"/>
    <mergeCell ref="EV284:EW284"/>
    <mergeCell ref="EX287:EY287"/>
    <mergeCell ref="EZ287:FA287"/>
    <mergeCell ref="EX289:EY289"/>
    <mergeCell ref="EZ289:FA289"/>
    <mergeCell ref="FF283:FG283"/>
    <mergeCell ref="FD286:FE286"/>
    <mergeCell ref="FF286:FG286"/>
    <mergeCell ref="FB289:FC289"/>
    <mergeCell ref="EV288:EW288"/>
    <mergeCell ref="EZ283:FA283"/>
    <mergeCell ref="FD283:FE283"/>
    <mergeCell ref="EZ284:FA284"/>
    <mergeCell ref="FX287:FY287"/>
    <mergeCell ref="EZ285:FA285"/>
    <mergeCell ref="FB285:FC285"/>
    <mergeCell ref="FB284:FC284"/>
    <mergeCell ref="FP282:FQ282"/>
    <mergeCell ref="EX283:EY283"/>
    <mergeCell ref="FN285:FO285"/>
    <mergeCell ref="FX284:FY284"/>
    <mergeCell ref="FH283:FI283"/>
    <mergeCell ref="FJ285:FK285"/>
    <mergeCell ref="FL285:FM285"/>
    <mergeCell ref="FH282:FI282"/>
    <mergeCell ref="FJ282:FK282"/>
    <mergeCell ref="EV289:EW289"/>
    <mergeCell ref="FN271:FO271"/>
    <mergeCell ref="FR270:FS270"/>
    <mergeCell ref="FX273:FY273"/>
    <mergeCell ref="FV274:FW274"/>
    <mergeCell ref="FN274:FO274"/>
    <mergeCell ref="FH270:FI270"/>
    <mergeCell ref="FL271:FM271"/>
    <mergeCell ref="FX270:FY270"/>
    <mergeCell ref="FH272:FI272"/>
    <mergeCell ref="FV278:FW278"/>
    <mergeCell ref="FR278:FS278"/>
    <mergeCell ref="FT278:FU278"/>
    <mergeCell ref="FL273:FM273"/>
    <mergeCell ref="FV270:FW270"/>
    <mergeCell ref="FT270:FU270"/>
    <mergeCell ref="FV275:FW275"/>
    <mergeCell ref="FT282:FU282"/>
    <mergeCell ref="FV282:FW282"/>
    <mergeCell ref="FV283:FW283"/>
    <mergeCell ref="FJ283:FK283"/>
    <mergeCell ref="FL283:FM283"/>
    <mergeCell ref="FJ279:FK279"/>
    <mergeCell ref="EZ280:FA280"/>
    <mergeCell ref="FB280:FC280"/>
    <mergeCell ref="FB283:FC283"/>
    <mergeCell ref="FL288:FM288"/>
    <mergeCell ref="FB288:FC288"/>
    <mergeCell ref="FV281:FW281"/>
    <mergeCell ref="FP283:FQ283"/>
    <mergeCell ref="FN288:FO288"/>
    <mergeCell ref="FV288:FW288"/>
    <mergeCell ref="FX288:FY288"/>
    <mergeCell ref="FF288:FG288"/>
    <mergeCell ref="FD284:FE284"/>
    <mergeCell ref="FF284:FG284"/>
    <mergeCell ref="FT283:FU283"/>
    <mergeCell ref="FR283:FS283"/>
    <mergeCell ref="FH284:FI284"/>
    <mergeCell ref="FN283:FO283"/>
    <mergeCell ref="FJ284:FK284"/>
    <mergeCell ref="FL284:FM284"/>
    <mergeCell ref="FV276:FW276"/>
    <mergeCell ref="FP284:FQ284"/>
    <mergeCell ref="FR284:FS284"/>
    <mergeCell ref="FB287:FC287"/>
    <mergeCell ref="FD287:FE287"/>
    <mergeCell ref="FF287:FG287"/>
    <mergeCell ref="FH287:FI287"/>
    <mergeCell ref="FJ287:FK287"/>
    <mergeCell ref="FL287:FM287"/>
    <mergeCell ref="FN287:FO287"/>
    <mergeCell ref="FP287:FQ287"/>
    <mergeCell ref="FR287:FS287"/>
    <mergeCell ref="FT287:FU287"/>
    <mergeCell ref="FV287:FW287"/>
    <mergeCell ref="FV273:FW273"/>
    <mergeCell ref="FP285:FQ285"/>
    <mergeCell ref="FN272:FO272"/>
    <mergeCell ref="FV271:FW271"/>
    <mergeCell ref="FL276:FM276"/>
    <mergeCell ref="FN279:FO279"/>
    <mergeCell ref="FR272:FS272"/>
    <mergeCell ref="FT272:FU272"/>
    <mergeCell ref="FR279:FS279"/>
    <mergeCell ref="FT279:FU279"/>
    <mergeCell ref="FJ273:FK273"/>
    <mergeCell ref="FX283:FY283"/>
    <mergeCell ref="FX285:FY285"/>
    <mergeCell ref="FT284:FU284"/>
    <mergeCell ref="FX281:FY281"/>
    <mergeCell ref="FN276:FO276"/>
    <mergeCell ref="FP276:FQ276"/>
    <mergeCell ref="FR276:FS276"/>
    <mergeCell ref="FH280:FI280"/>
    <mergeCell ref="FJ280:FK280"/>
    <mergeCell ref="FL280:FM280"/>
    <mergeCell ref="FN280:FO280"/>
    <mergeCell ref="FP280:FQ280"/>
    <mergeCell ref="FR280:FS280"/>
    <mergeCell ref="FT280:FU280"/>
    <mergeCell ref="FV280:FW280"/>
    <mergeCell ref="FP278:FQ278"/>
    <mergeCell ref="FT277:FU277"/>
    <mergeCell ref="FV277:FW277"/>
    <mergeCell ref="FX277:FY277"/>
    <mergeCell ref="FH278:FI278"/>
    <mergeCell ref="FJ278:FK278"/>
    <mergeCell ref="FL278:FM278"/>
    <mergeCell ref="FX276:FY276"/>
    <mergeCell ref="FX275:FY275"/>
    <mergeCell ref="FP279:FQ279"/>
    <mergeCell ref="FV279:FW279"/>
    <mergeCell ref="FX279:FY279"/>
    <mergeCell ref="FX278:FY278"/>
    <mergeCell ref="FJ274:FK274"/>
    <mergeCell ref="FL274:FM274"/>
    <mergeCell ref="FH279:FI279"/>
    <mergeCell ref="FL279:FM279"/>
    <mergeCell ref="FT276:FU276"/>
    <mergeCell ref="FX274:FY274"/>
    <mergeCell ref="FX280:FY280"/>
    <mergeCell ref="FR273:FS273"/>
    <mergeCell ref="FT274:FU274"/>
    <mergeCell ref="FN277:FO277"/>
    <mergeCell ref="FH285:FI285"/>
    <mergeCell ref="FX282:FY282"/>
    <mergeCell ref="FP272:FQ272"/>
    <mergeCell ref="FN273:FO273"/>
    <mergeCell ref="FX272:FY272"/>
    <mergeCell ref="FN275:FO275"/>
    <mergeCell ref="FL281:FM281"/>
    <mergeCell ref="FN281:FO281"/>
    <mergeCell ref="FP281:FQ281"/>
    <mergeCell ref="FR281:FS281"/>
    <mergeCell ref="FT281:FU281"/>
    <mergeCell ref="EX281:EY281"/>
    <mergeCell ref="FD281:FE281"/>
    <mergeCell ref="FF281:FG281"/>
    <mergeCell ref="EZ278:FA278"/>
    <mergeCell ref="FB269:FC269"/>
    <mergeCell ref="FV268:FW268"/>
    <mergeCell ref="FN269:FO269"/>
    <mergeCell ref="EZ275:FA275"/>
    <mergeCell ref="EZ271:FA271"/>
    <mergeCell ref="ET282:EU282"/>
    <mergeCell ref="EV282:EW282"/>
    <mergeCell ref="FP268:FQ268"/>
    <mergeCell ref="FR268:FS268"/>
    <mergeCell ref="FT268:FU268"/>
    <mergeCell ref="ER278:ES278"/>
    <mergeCell ref="EV272:EW272"/>
    <mergeCell ref="EX272:EY272"/>
    <mergeCell ref="EV268:EW268"/>
    <mergeCell ref="EX268:EY268"/>
    <mergeCell ref="EZ268:FA268"/>
    <mergeCell ref="EV278:EW278"/>
    <mergeCell ref="FT273:FU273"/>
    <mergeCell ref="FB278:FC278"/>
    <mergeCell ref="FB276:FC276"/>
    <mergeCell ref="FD269:FE269"/>
    <mergeCell ref="FD270:FE270"/>
    <mergeCell ref="FF270:FG270"/>
    <mergeCell ref="FD277:FE277"/>
    <mergeCell ref="FF277:FG277"/>
    <mergeCell ref="FF275:FG275"/>
    <mergeCell ref="FN268:FO268"/>
    <mergeCell ref="FH276:FI276"/>
    <mergeCell ref="EX270:EY270"/>
    <mergeCell ref="EX276:EY276"/>
    <mergeCell ref="ER276:ES276"/>
    <mergeCell ref="ER277:ES277"/>
    <mergeCell ref="EX275:EY275"/>
    <mergeCell ref="EV274:EW274"/>
    <mergeCell ref="FN278:FO278"/>
    <mergeCell ref="ET279:EU279"/>
    <mergeCell ref="FR282:FS282"/>
    <mergeCell ref="EZ282:FA282"/>
    <mergeCell ref="EX282:EY282"/>
    <mergeCell ref="FL282:FM282"/>
    <mergeCell ref="FN282:FO282"/>
    <mergeCell ref="FF278:FG278"/>
    <mergeCell ref="FD273:FE273"/>
    <mergeCell ref="FD272:FE272"/>
    <mergeCell ref="FF272:FG272"/>
    <mergeCell ref="FF280:FG280"/>
    <mergeCell ref="FD271:FE271"/>
    <mergeCell ref="FF271:FG271"/>
    <mergeCell ref="FF274:FG274"/>
    <mergeCell ref="FF273:FG273"/>
    <mergeCell ref="FD278:FE278"/>
    <mergeCell ref="FV272:FW272"/>
    <mergeCell ref="FJ272:FK272"/>
    <mergeCell ref="EX269:EY269"/>
    <mergeCell ref="FF276:FG276"/>
    <mergeCell ref="FL272:FM272"/>
    <mergeCell ref="ER283:ES283"/>
    <mergeCell ref="EV281:EW281"/>
    <mergeCell ref="ET280:EU280"/>
    <mergeCell ref="ET264:EU264"/>
    <mergeCell ref="ER265:ES265"/>
    <mergeCell ref="ER272:ES272"/>
    <mergeCell ref="FJ264:FK264"/>
    <mergeCell ref="EV270:EW270"/>
    <mergeCell ref="FB272:FC272"/>
    <mergeCell ref="FH277:FI277"/>
    <mergeCell ref="FJ277:FK277"/>
    <mergeCell ref="FF267:FG267"/>
    <mergeCell ref="FP275:FQ275"/>
    <mergeCell ref="FR275:FS275"/>
    <mergeCell ref="FL277:FM277"/>
    <mergeCell ref="FL270:FM270"/>
    <mergeCell ref="FH281:FI281"/>
    <mergeCell ref="FJ281:FK281"/>
    <mergeCell ref="FT275:FU275"/>
    <mergeCell ref="FR274:FS274"/>
    <mergeCell ref="FD276:FE276"/>
    <mergeCell ref="FH275:FI275"/>
    <mergeCell ref="FH274:FI274"/>
    <mergeCell ref="FH273:FI273"/>
    <mergeCell ref="FJ271:FK271"/>
    <mergeCell ref="FH269:FI269"/>
    <mergeCell ref="FJ270:FK270"/>
    <mergeCell ref="FF269:FG269"/>
    <mergeCell ref="FP269:FQ269"/>
    <mergeCell ref="FR269:FS269"/>
    <mergeCell ref="FT269:FU269"/>
    <mergeCell ref="FP274:FQ274"/>
    <mergeCell ref="FP273:FQ273"/>
    <mergeCell ref="FP271:FQ271"/>
    <mergeCell ref="FR271:FS271"/>
    <mergeCell ref="FT271:FU271"/>
    <mergeCell ref="FP277:FQ277"/>
    <mergeCell ref="FR277:FS277"/>
    <mergeCell ref="FJ275:FK275"/>
    <mergeCell ref="FL275:FM275"/>
    <mergeCell ref="FD265:FE265"/>
    <mergeCell ref="FF264:FG264"/>
    <mergeCell ref="FP265:FQ265"/>
    <mergeCell ref="FN266:FO266"/>
    <mergeCell ref="FF265:FG265"/>
    <mergeCell ref="FH265:FI265"/>
    <mergeCell ref="FH271:FI271"/>
    <mergeCell ref="ET274:EU274"/>
    <mergeCell ref="ER267:ES267"/>
    <mergeCell ref="FN270:FO270"/>
    <mergeCell ref="EV280:EW280"/>
    <mergeCell ref="ER281:ES281"/>
    <mergeCell ref="FH266:FI266"/>
    <mergeCell ref="FT264:FU264"/>
    <mergeCell ref="FJ276:FK276"/>
    <mergeCell ref="FD274:FE274"/>
    <mergeCell ref="FD275:FE275"/>
    <mergeCell ref="FP266:FQ266"/>
    <mergeCell ref="FL269:FM269"/>
    <mergeCell ref="FH267:FI267"/>
    <mergeCell ref="FH268:FI268"/>
    <mergeCell ref="FJ268:FK268"/>
    <mergeCell ref="FF266:FG266"/>
    <mergeCell ref="FP270:FQ270"/>
    <mergeCell ref="EP276:EQ276"/>
    <mergeCell ref="EP268:EQ268"/>
    <mergeCell ref="EN261:EO261"/>
    <mergeCell ref="DZ261:EA261"/>
    <mergeCell ref="ET269:EU269"/>
    <mergeCell ref="FB267:FC267"/>
    <mergeCell ref="EZ261:FA261"/>
    <mergeCell ref="EP263:EQ263"/>
    <mergeCell ref="FB264:FC264"/>
    <mergeCell ref="FB268:FC268"/>
    <mergeCell ref="EP266:EQ266"/>
    <mergeCell ref="EJ272:EK272"/>
    <mergeCell ref="EJ275:EK275"/>
    <mergeCell ref="EL273:EM273"/>
    <mergeCell ref="FD262:FE262"/>
    <mergeCell ref="ET261:EU261"/>
    <mergeCell ref="EV261:EW261"/>
    <mergeCell ref="FD261:FE261"/>
    <mergeCell ref="EN271:EO271"/>
    <mergeCell ref="ED272:EE272"/>
    <mergeCell ref="EB272:EC272"/>
    <mergeCell ref="EF275:EG275"/>
    <mergeCell ref="EL264:EM264"/>
    <mergeCell ref="EB265:EC265"/>
    <mergeCell ref="EN275:EO275"/>
    <mergeCell ref="ER273:ES273"/>
    <mergeCell ref="EP274:EQ274"/>
    <mergeCell ref="ER274:ES274"/>
    <mergeCell ref="EJ265:EK265"/>
    <mergeCell ref="EH275:EI275"/>
    <mergeCell ref="DZ275:EA275"/>
    <mergeCell ref="DZ271:EA271"/>
    <mergeCell ref="EN274:EO274"/>
    <mergeCell ref="EH269:EI269"/>
    <mergeCell ref="EH270:EI270"/>
    <mergeCell ref="ED263:EE263"/>
    <mergeCell ref="EH267:EI267"/>
    <mergeCell ref="EF263:EG263"/>
    <mergeCell ref="EV269:EW269"/>
    <mergeCell ref="EB266:EC266"/>
    <mergeCell ref="EZ262:FA262"/>
    <mergeCell ref="EP267:EQ267"/>
    <mergeCell ref="EN268:EO268"/>
    <mergeCell ref="ET267:EU267"/>
    <mergeCell ref="ET276:EU276"/>
    <mergeCell ref="EV276:EW276"/>
    <mergeCell ref="FB262:FC262"/>
    <mergeCell ref="EJ261:EK261"/>
    <mergeCell ref="EP271:EQ271"/>
    <mergeCell ref="ET272:EU272"/>
    <mergeCell ref="FB265:FC265"/>
    <mergeCell ref="FB263:FC263"/>
    <mergeCell ref="ER271:ES271"/>
    <mergeCell ref="ET271:EU271"/>
    <mergeCell ref="EX271:EY271"/>
    <mergeCell ref="EH262:EI262"/>
    <mergeCell ref="EN272:EO272"/>
    <mergeCell ref="EP261:EQ261"/>
    <mergeCell ref="ED262:EE262"/>
    <mergeCell ref="FF262:FG262"/>
    <mergeCell ref="FD264:FE264"/>
    <mergeCell ref="EZ264:FA264"/>
    <mergeCell ref="DZ273:EA273"/>
    <mergeCell ref="ET275:EU275"/>
    <mergeCell ref="EN262:EO262"/>
    <mergeCell ref="EZ267:FA267"/>
    <mergeCell ref="EZ263:FA263"/>
    <mergeCell ref="ET262:EU262"/>
    <mergeCell ref="ET263:EU263"/>
    <mergeCell ref="EV263:EW263"/>
    <mergeCell ref="FB261:FC261"/>
    <mergeCell ref="EL261:EM261"/>
    <mergeCell ref="EP273:EQ273"/>
    <mergeCell ref="EX267:EY267"/>
    <mergeCell ref="EX266:EY266"/>
    <mergeCell ref="FF260:FG260"/>
    <mergeCell ref="EP272:EQ272"/>
    <mergeCell ref="EL260:EM260"/>
    <mergeCell ref="EL266:EM266"/>
    <mergeCell ref="EJ270:EK270"/>
    <mergeCell ref="EL270:EM270"/>
    <mergeCell ref="EL272:EM272"/>
    <mergeCell ref="EF272:EG272"/>
    <mergeCell ref="EH272:EI272"/>
    <mergeCell ref="ER264:ES264"/>
    <mergeCell ref="ER262:ES262"/>
    <mergeCell ref="EX263:EY263"/>
    <mergeCell ref="ET266:EU266"/>
    <mergeCell ref="FD263:FE263"/>
    <mergeCell ref="EH261:EI261"/>
    <mergeCell ref="ED267:EE267"/>
    <mergeCell ref="EF261:EG261"/>
    <mergeCell ref="EN260:EO260"/>
    <mergeCell ref="EJ262:EK262"/>
    <mergeCell ref="EH263:EI263"/>
    <mergeCell ref="EV262:EW262"/>
    <mergeCell ref="EJ260:EK260"/>
    <mergeCell ref="EH260:EI260"/>
    <mergeCell ref="EH265:EI265"/>
    <mergeCell ref="EX264:EY264"/>
    <mergeCell ref="EX260:EY260"/>
    <mergeCell ref="EP269:EQ269"/>
    <mergeCell ref="EN269:EO269"/>
    <mergeCell ref="EL269:EM269"/>
    <mergeCell ref="EL265:EM265"/>
    <mergeCell ref="EN267:EO267"/>
    <mergeCell ref="EN265:EO265"/>
    <mergeCell ref="EN266:EO266"/>
    <mergeCell ref="EX262:EY262"/>
    <mergeCell ref="FF263:FG263"/>
    <mergeCell ref="FD267:FE267"/>
    <mergeCell ref="FD260:FE260"/>
    <mergeCell ref="EF273:EG273"/>
    <mergeCell ref="ED270:EE270"/>
    <mergeCell ref="EF265:EG265"/>
    <mergeCell ref="ED265:EE265"/>
    <mergeCell ref="EF262:EG262"/>
    <mergeCell ref="EJ273:EK273"/>
    <mergeCell ref="ET270:EU270"/>
    <mergeCell ref="EL268:EM268"/>
    <mergeCell ref="EN273:EO273"/>
    <mergeCell ref="EZ274:FA274"/>
    <mergeCell ref="EH266:EI266"/>
    <mergeCell ref="DB272:DC272"/>
    <mergeCell ref="DV261:DW261"/>
    <mergeCell ref="EB256:EC256"/>
    <mergeCell ref="EL255:EM255"/>
    <mergeCell ref="EH257:EI257"/>
    <mergeCell ref="DZ257:EA257"/>
    <mergeCell ref="EB257:EC257"/>
    <mergeCell ref="EP270:EQ270"/>
    <mergeCell ref="DZ254:EA254"/>
    <mergeCell ref="EB258:EC258"/>
    <mergeCell ref="EF257:EG257"/>
    <mergeCell ref="EL262:EM262"/>
    <mergeCell ref="ED260:EE260"/>
    <mergeCell ref="ED257:EE257"/>
    <mergeCell ref="DR253:DS253"/>
    <mergeCell ref="DR256:DS256"/>
    <mergeCell ref="DL251:DM251"/>
    <mergeCell ref="DN252:DO252"/>
    <mergeCell ref="DP262:DQ262"/>
    <mergeCell ref="DX258:DY258"/>
    <mergeCell ref="EJ254:EK254"/>
    <mergeCell ref="EN254:EO254"/>
    <mergeCell ref="FB259:FC259"/>
    <mergeCell ref="EZ256:FA256"/>
    <mergeCell ref="DX260:DY260"/>
    <mergeCell ref="EP258:EQ258"/>
    <mergeCell ref="ER261:ES261"/>
    <mergeCell ref="EF266:EG266"/>
    <mergeCell ref="CZ265:DA265"/>
    <mergeCell ref="DF264:DG264"/>
    <mergeCell ref="DN263:DO263"/>
    <mergeCell ref="DT263:DU263"/>
    <mergeCell ref="DN261:DO261"/>
    <mergeCell ref="DP252:DQ252"/>
    <mergeCell ref="DR252:DS252"/>
    <mergeCell ref="DF256:DG256"/>
    <mergeCell ref="DF263:DG263"/>
    <mergeCell ref="DN254:DO254"/>
    <mergeCell ref="DH259:DI259"/>
    <mergeCell ref="DH257:DI257"/>
    <mergeCell ref="DR260:DS260"/>
    <mergeCell ref="DN256:DO256"/>
    <mergeCell ref="DB270:DC270"/>
    <mergeCell ref="DV265:DW265"/>
    <mergeCell ref="DJ272:DK272"/>
    <mergeCell ref="EL263:EM263"/>
    <mergeCell ref="EN263:EO263"/>
    <mergeCell ref="EF254:EG254"/>
    <mergeCell ref="EH256:EI256"/>
    <mergeCell ref="ED259:EE259"/>
    <mergeCell ref="EP265:EQ265"/>
    <mergeCell ref="ET260:EU260"/>
    <mergeCell ref="EL253:EM253"/>
    <mergeCell ref="ET253:EU253"/>
    <mergeCell ref="DL261:DM261"/>
    <mergeCell ref="EP260:EQ260"/>
    <mergeCell ref="EH251:EI251"/>
    <mergeCell ref="DZ256:EA256"/>
    <mergeCell ref="EB260:EC260"/>
    <mergeCell ref="ED258:EE258"/>
    <mergeCell ref="DL252:DM252"/>
    <mergeCell ref="FF261:FG261"/>
    <mergeCell ref="CL251:CM251"/>
    <mergeCell ref="DJ249:DK249"/>
    <mergeCell ref="CN245:CO245"/>
    <mergeCell ref="CL244:CM244"/>
    <mergeCell ref="CL242:CM242"/>
    <mergeCell ref="CN243:CO243"/>
    <mergeCell ref="ER266:ES266"/>
    <mergeCell ref="EV271:EW271"/>
    <mergeCell ref="FH264:FI264"/>
    <mergeCell ref="FB253:FC253"/>
    <mergeCell ref="FD251:FE251"/>
    <mergeCell ref="FD253:FE253"/>
    <mergeCell ref="FD246:FE246"/>
    <mergeCell ref="FF251:FG251"/>
    <mergeCell ref="EJ256:EK256"/>
    <mergeCell ref="EN255:EO255"/>
    <mergeCell ref="FB251:FC251"/>
    <mergeCell ref="DF261:DG261"/>
    <mergeCell ref="FH261:FI261"/>
    <mergeCell ref="EN258:EO258"/>
    <mergeCell ref="EJ250:EK250"/>
    <mergeCell ref="EN251:EO251"/>
    <mergeCell ref="FH260:FI260"/>
    <mergeCell ref="EL259:EM259"/>
    <mergeCell ref="EN259:EO259"/>
    <mergeCell ref="EN246:EO246"/>
    <mergeCell ref="CP258:CQ258"/>
    <mergeCell ref="CR260:CS260"/>
    <mergeCell ref="CR257:CS257"/>
    <mergeCell ref="CR258:CS258"/>
    <mergeCell ref="CV259:CW259"/>
    <mergeCell ref="CT259:CU259"/>
    <mergeCell ref="CT256:CU256"/>
    <mergeCell ref="DR248:DS248"/>
    <mergeCell ref="CT254:CU254"/>
    <mergeCell ref="CZ257:DA257"/>
    <mergeCell ref="DD257:DE257"/>
    <mergeCell ref="DB254:DC254"/>
    <mergeCell ref="DL258:DM258"/>
    <mergeCell ref="DL255:DM255"/>
    <mergeCell ref="DL257:DM257"/>
    <mergeCell ref="CZ259:DA259"/>
    <mergeCell ref="DD269:DE269"/>
    <mergeCell ref="EF259:EG259"/>
    <mergeCell ref="EJ259:EK259"/>
    <mergeCell ref="EF260:EG260"/>
    <mergeCell ref="EB253:EC253"/>
    <mergeCell ref="DV264:DW264"/>
    <mergeCell ref="DD264:DE264"/>
    <mergeCell ref="DD265:DE265"/>
    <mergeCell ref="DR261:DS261"/>
    <mergeCell ref="DJ262:DK262"/>
    <mergeCell ref="DJ253:DK253"/>
    <mergeCell ref="FB260:FC260"/>
    <mergeCell ref="EX261:EY261"/>
    <mergeCell ref="CX254:CY254"/>
    <mergeCell ref="DV266:DW266"/>
    <mergeCell ref="DJ251:DK251"/>
    <mergeCell ref="CX257:CY257"/>
    <mergeCell ref="DP255:DQ255"/>
    <mergeCell ref="DR255:DS255"/>
    <mergeCell ref="DH258:DI258"/>
    <mergeCell ref="DB256:DC256"/>
    <mergeCell ref="DX257:DY257"/>
    <mergeCell ref="DD263:DE263"/>
    <mergeCell ref="DX262:DY262"/>
    <mergeCell ref="DH254:DI254"/>
    <mergeCell ref="DH250:DI250"/>
    <mergeCell ref="CZ258:DA258"/>
    <mergeCell ref="DV260:DW260"/>
    <mergeCell ref="DJ258:DK258"/>
    <mergeCell ref="DT254:DU254"/>
    <mergeCell ref="DH262:DI262"/>
    <mergeCell ref="DT261:DU261"/>
    <mergeCell ref="DP250:DQ250"/>
    <mergeCell ref="DR259:DS259"/>
    <mergeCell ref="DV258:DW258"/>
    <mergeCell ref="DR262:DS262"/>
    <mergeCell ref="DJ259:DK259"/>
    <mergeCell ref="DX261:DY261"/>
    <mergeCell ref="DP260:DQ260"/>
    <mergeCell ref="DP259:DQ259"/>
    <mergeCell ref="DT260:DU260"/>
    <mergeCell ref="ER263:ES263"/>
    <mergeCell ref="EP262:EQ262"/>
    <mergeCell ref="BT236:BU236"/>
    <mergeCell ref="BV234:BW234"/>
    <mergeCell ref="CB238:CC238"/>
    <mergeCell ref="DF235:DG235"/>
    <mergeCell ref="CH236:CI236"/>
    <mergeCell ref="CJ236:CK236"/>
    <mergeCell ref="CN235:CO235"/>
    <mergeCell ref="CJ234:CK234"/>
    <mergeCell ref="CB236:CC236"/>
    <mergeCell ref="CF244:CG244"/>
    <mergeCell ref="CR244:CS244"/>
    <mergeCell ref="CR245:CS245"/>
    <mergeCell ref="CD246:CE246"/>
    <mergeCell ref="CT246:CU246"/>
    <mergeCell ref="CH245:CI245"/>
    <mergeCell ref="CJ245:CK245"/>
    <mergeCell ref="CN247:CO247"/>
    <mergeCell ref="CJ247:CK247"/>
    <mergeCell ref="BZ243:CA243"/>
    <mergeCell ref="CX242:CY242"/>
    <mergeCell ref="CH249:CI249"/>
    <mergeCell ref="CT248:CU248"/>
    <mergeCell ref="CN248:CO248"/>
    <mergeCell ref="CJ246:CK246"/>
    <mergeCell ref="CB242:CC242"/>
    <mergeCell ref="CF242:CG242"/>
    <mergeCell ref="CH246:CI246"/>
    <mergeCell ref="CH260:CI260"/>
    <mergeCell ref="CL258:CM258"/>
    <mergeCell ref="CN258:CO258"/>
    <mergeCell ref="CT255:CU255"/>
    <mergeCell ref="DT238:DU238"/>
    <mergeCell ref="DR235:DS235"/>
    <mergeCell ref="ED234:EE234"/>
    <mergeCell ref="EB234:EC234"/>
    <mergeCell ref="CZ237:DA237"/>
    <mergeCell ref="BZ236:CA236"/>
    <mergeCell ref="CJ238:CK238"/>
    <mergeCell ref="BT258:BU258"/>
    <mergeCell ref="CN259:CO259"/>
    <mergeCell ref="CP260:CQ260"/>
    <mergeCell ref="CN253:CO253"/>
    <mergeCell ref="BR245:BS245"/>
    <mergeCell ref="BT237:BU237"/>
    <mergeCell ref="BZ244:CA244"/>
    <mergeCell ref="FD266:FE266"/>
    <mergeCell ref="ER260:ES260"/>
    <mergeCell ref="ET255:EU255"/>
    <mergeCell ref="EB259:EC259"/>
    <mergeCell ref="DZ263:EA263"/>
    <mergeCell ref="DZ264:EA264"/>
    <mergeCell ref="DV254:DW254"/>
    <mergeCell ref="CD249:CE249"/>
    <mergeCell ref="DD246:DE246"/>
    <mergeCell ref="CL248:CM248"/>
    <mergeCell ref="DD250:DE250"/>
    <mergeCell ref="DD247:DE247"/>
    <mergeCell ref="CR248:CS248"/>
    <mergeCell ref="CL247:CM247"/>
    <mergeCell ref="CT249:CU249"/>
    <mergeCell ref="CL246:CM246"/>
    <mergeCell ref="DF246:DG246"/>
    <mergeCell ref="CD247:CE247"/>
    <mergeCell ref="BX242:BY242"/>
    <mergeCell ref="CV242:CW242"/>
    <mergeCell ref="BX245:BY245"/>
    <mergeCell ref="CJ242:CK242"/>
    <mergeCell ref="CX243:CY243"/>
    <mergeCell ref="CT243:CU243"/>
    <mergeCell ref="CT242:CU242"/>
    <mergeCell ref="CN242:CO242"/>
    <mergeCell ref="DF244:DG244"/>
    <mergeCell ref="CJ244:CK244"/>
    <mergeCell ref="CR243:CS243"/>
    <mergeCell ref="BZ247:CA247"/>
    <mergeCell ref="CP244:CQ244"/>
    <mergeCell ref="CZ242:DA242"/>
    <mergeCell ref="DB242:DC242"/>
    <mergeCell ref="CP242:CQ242"/>
    <mergeCell ref="CN246:CO246"/>
    <mergeCell ref="CL243:CM243"/>
    <mergeCell ref="DF243:DG243"/>
    <mergeCell ref="DN258:DO258"/>
    <mergeCell ref="DV256:DW256"/>
    <mergeCell ref="DX259:DY259"/>
    <mergeCell ref="EF250:EG250"/>
    <mergeCell ref="EJ255:EK255"/>
    <mergeCell ref="DZ255:EA255"/>
    <mergeCell ref="EH253:EI253"/>
    <mergeCell ref="DX256:DY256"/>
    <mergeCell ref="EH254:EI254"/>
    <mergeCell ref="DZ259:EA259"/>
    <mergeCell ref="DB253:DC253"/>
    <mergeCell ref="DH261:DI261"/>
    <mergeCell ref="ET247:EU247"/>
    <mergeCell ref="EJ243:EK243"/>
    <mergeCell ref="CH243:CI243"/>
    <mergeCell ref="CV265:CW265"/>
    <mergeCell ref="CJ265:CK265"/>
    <mergeCell ref="CR261:CS261"/>
    <mergeCell ref="CL264:CM264"/>
    <mergeCell ref="CN264:CO264"/>
    <mergeCell ref="CP261:CQ261"/>
    <mergeCell ref="EV266:EW266"/>
    <mergeCell ref="CP265:CQ265"/>
    <mergeCell ref="CN254:CO254"/>
    <mergeCell ref="BJ244:BK244"/>
    <mergeCell ref="BR234:BS234"/>
    <mergeCell ref="BT244:BU244"/>
    <mergeCell ref="BN245:BO245"/>
    <mergeCell ref="BF244:BG244"/>
    <mergeCell ref="BR244:BS244"/>
    <mergeCell ref="CF246:CG246"/>
    <mergeCell ref="DH234:DI234"/>
    <mergeCell ref="BX244:BY244"/>
    <mergeCell ref="BX246:BY246"/>
    <mergeCell ref="CL233:CM233"/>
    <mergeCell ref="CH237:CI237"/>
    <mergeCell ref="CF238:CG238"/>
    <mergeCell ref="CZ245:DA245"/>
    <mergeCell ref="CD244:CE244"/>
    <mergeCell ref="DB244:DC244"/>
    <mergeCell ref="DD243:DE243"/>
    <mergeCell ref="CR242:CS242"/>
    <mergeCell ref="DD234:DE234"/>
    <mergeCell ref="CT234:CU234"/>
    <mergeCell ref="BL234:BM234"/>
    <mergeCell ref="BT233:BU233"/>
    <mergeCell ref="CB244:CC244"/>
    <mergeCell ref="BH234:BI234"/>
    <mergeCell ref="BR236:BS236"/>
    <mergeCell ref="BN242:BO242"/>
    <mergeCell ref="BL242:BM242"/>
    <mergeCell ref="BP238:BQ238"/>
    <mergeCell ref="BJ236:BK236"/>
    <mergeCell ref="BL246:BM246"/>
    <mergeCell ref="BN246:BO246"/>
    <mergeCell ref="BZ246:CA246"/>
    <mergeCell ref="DB237:DC237"/>
    <mergeCell ref="DD237:DE237"/>
    <mergeCell ref="DF238:DG238"/>
    <mergeCell ref="CZ238:DA238"/>
    <mergeCell ref="CD234:CE234"/>
    <mergeCell ref="CP233:CQ233"/>
    <mergeCell ref="CP234:CQ234"/>
    <mergeCell ref="DH236:DI236"/>
    <mergeCell ref="BL245:BM245"/>
    <mergeCell ref="CD237:CE237"/>
    <mergeCell ref="BT246:BU246"/>
    <mergeCell ref="DD235:DE235"/>
    <mergeCell ref="BV237:BW237"/>
    <mergeCell ref="CL238:CM238"/>
    <mergeCell ref="CN238:CO238"/>
    <mergeCell ref="BZ235:CA235"/>
    <mergeCell ref="CL235:CM235"/>
    <mergeCell ref="CD238:CE238"/>
    <mergeCell ref="CD236:CE236"/>
    <mergeCell ref="BV244:BW244"/>
    <mergeCell ref="CZ244:DA244"/>
    <mergeCell ref="CV245:CW245"/>
    <mergeCell ref="BZ242:CA242"/>
    <mergeCell ref="DF236:DG236"/>
    <mergeCell ref="DH237:DI237"/>
    <mergeCell ref="CL245:CM245"/>
    <mergeCell ref="CD235:CE235"/>
    <mergeCell ref="CB237:CC237"/>
    <mergeCell ref="CH244:CI244"/>
    <mergeCell ref="BX233:BY233"/>
    <mergeCell ref="BV246:BW246"/>
    <mergeCell ref="DD244:DE244"/>
    <mergeCell ref="BD232:BE232"/>
    <mergeCell ref="BR238:BS238"/>
    <mergeCell ref="BZ238:CA238"/>
    <mergeCell ref="CD242:CE242"/>
    <mergeCell ref="DJ235:DK235"/>
    <mergeCell ref="DJ234:DK234"/>
    <mergeCell ref="DH233:DI233"/>
    <mergeCell ref="BF245:BG245"/>
    <mergeCell ref="BH245:BI245"/>
    <mergeCell ref="BV245:BW245"/>
    <mergeCell ref="CF243:CG243"/>
    <mergeCell ref="BH243:BI243"/>
    <mergeCell ref="BV242:BW242"/>
    <mergeCell ref="BN244:BO244"/>
    <mergeCell ref="BP244:BQ244"/>
    <mergeCell ref="BV235:BW235"/>
    <mergeCell ref="BZ233:CA233"/>
    <mergeCell ref="BH244:BI244"/>
    <mergeCell ref="CD245:CE245"/>
    <mergeCell ref="BV243:BW243"/>
    <mergeCell ref="BP237:BQ237"/>
    <mergeCell ref="CD243:CE243"/>
    <mergeCell ref="BZ245:CA245"/>
    <mergeCell ref="BR243:BS243"/>
    <mergeCell ref="BT243:BU243"/>
    <mergeCell ref="CB243:CC243"/>
    <mergeCell ref="BX235:BY235"/>
    <mergeCell ref="BZ237:CA237"/>
    <mergeCell ref="BV236:BW236"/>
    <mergeCell ref="CB245:CC245"/>
    <mergeCell ref="BP242:BQ242"/>
    <mergeCell ref="BL243:BM243"/>
    <mergeCell ref="BJ235:BK235"/>
    <mergeCell ref="BF236:BG236"/>
    <mergeCell ref="BL237:BM237"/>
    <mergeCell ref="BN235:BO235"/>
    <mergeCell ref="BX243:BY243"/>
    <mergeCell ref="BN243:BO243"/>
    <mergeCell ref="BH235:BI235"/>
    <mergeCell ref="BH242:BI242"/>
    <mergeCell ref="CF245:CG245"/>
    <mergeCell ref="BF242:BG242"/>
    <mergeCell ref="BF238:BG238"/>
    <mergeCell ref="BX238:BY238"/>
    <mergeCell ref="CN244:CO244"/>
    <mergeCell ref="BJ242:BK242"/>
    <mergeCell ref="BH236:BI236"/>
    <mergeCell ref="BF243:BG243"/>
    <mergeCell ref="BT242:BU242"/>
    <mergeCell ref="BR237:BS237"/>
    <mergeCell ref="BT238:BU238"/>
    <mergeCell ref="BL244:BM244"/>
    <mergeCell ref="BN238:BO238"/>
    <mergeCell ref="BP245:BQ245"/>
    <mergeCell ref="BV238:BW238"/>
    <mergeCell ref="BT245:BU245"/>
    <mergeCell ref="BP243:BQ243"/>
    <mergeCell ref="CH242:CI242"/>
    <mergeCell ref="CJ243:CK243"/>
    <mergeCell ref="BP235:BQ235"/>
    <mergeCell ref="CF234:CG234"/>
    <mergeCell ref="CH234:CI234"/>
    <mergeCell ref="CN233:CO233"/>
    <mergeCell ref="CH238:CI238"/>
    <mergeCell ref="AP244:AQ244"/>
    <mergeCell ref="AP243:AQ243"/>
    <mergeCell ref="I221:J221"/>
    <mergeCell ref="AH221:AI221"/>
    <mergeCell ref="BB164:BC164"/>
    <mergeCell ref="AZ235:BA235"/>
    <mergeCell ref="Z242:AA242"/>
    <mergeCell ref="BL235:BM235"/>
    <mergeCell ref="AV237:AW237"/>
    <mergeCell ref="BD234:BE234"/>
    <mergeCell ref="BF233:BG233"/>
    <mergeCell ref="AX233:AY233"/>
    <mergeCell ref="BJ243:BK243"/>
    <mergeCell ref="BJ237:BK237"/>
    <mergeCell ref="BF237:BG237"/>
    <mergeCell ref="BH238:BI238"/>
    <mergeCell ref="BJ238:BK238"/>
    <mergeCell ref="Q237:R237"/>
    <mergeCell ref="AF238:AG238"/>
    <mergeCell ref="AF242:AG242"/>
    <mergeCell ref="AN232:AO232"/>
    <mergeCell ref="AN234:AO234"/>
    <mergeCell ref="AP234:AQ234"/>
    <mergeCell ref="AR234:AS234"/>
    <mergeCell ref="AL237:AM237"/>
    <mergeCell ref="AH236:AI236"/>
    <mergeCell ref="AD236:AE236"/>
    <mergeCell ref="BD243:BE243"/>
    <mergeCell ref="BR235:BS235"/>
    <mergeCell ref="BD245:BE245"/>
    <mergeCell ref="BJ245:BK245"/>
    <mergeCell ref="BD237:BE237"/>
    <mergeCell ref="BD235:BE235"/>
    <mergeCell ref="BF234:BG234"/>
    <mergeCell ref="BL238:BM238"/>
    <mergeCell ref="BJ233:BK233"/>
    <mergeCell ref="BJ234:BK234"/>
    <mergeCell ref="BF235:BG235"/>
    <mergeCell ref="BH237:BI237"/>
    <mergeCell ref="BN234:BO234"/>
    <mergeCell ref="BR242:BS242"/>
    <mergeCell ref="BP233:BQ233"/>
    <mergeCell ref="BP169:BQ169"/>
    <mergeCell ref="AN221:AO221"/>
    <mergeCell ref="AT221:AU221"/>
    <mergeCell ref="AD170:AE170"/>
    <mergeCell ref="AD221:AE221"/>
    <mergeCell ref="Z164:AA164"/>
    <mergeCell ref="AJ165:AK165"/>
    <mergeCell ref="M165:N165"/>
    <mergeCell ref="AH164:AI164"/>
    <mergeCell ref="K235:L235"/>
    <mergeCell ref="K236:L236"/>
    <mergeCell ref="Q234:R234"/>
    <mergeCell ref="Z237:AA237"/>
    <mergeCell ref="AF167:AG167"/>
    <mergeCell ref="Z170:AA170"/>
    <mergeCell ref="Z167:AA167"/>
    <mergeCell ref="Q221:R221"/>
    <mergeCell ref="AL169:AM169"/>
    <mergeCell ref="AL167:AM167"/>
    <mergeCell ref="AV228:AW228"/>
    <mergeCell ref="I234:J234"/>
    <mergeCell ref="I233:J233"/>
    <mergeCell ref="Q149:R149"/>
    <mergeCell ref="F153:G153"/>
    <mergeCell ref="BD244:BE244"/>
    <mergeCell ref="AL221:AM221"/>
    <mergeCell ref="BB233:BC233"/>
    <mergeCell ref="AP232:AQ232"/>
    <mergeCell ref="AT235:AU235"/>
    <mergeCell ref="Q233:R233"/>
    <mergeCell ref="AV233:AW233"/>
    <mergeCell ref="AX236:AY236"/>
    <mergeCell ref="BD238:BE238"/>
    <mergeCell ref="BD242:BE242"/>
    <mergeCell ref="AR233:AS233"/>
    <mergeCell ref="AT233:AU233"/>
    <mergeCell ref="AV235:AW235"/>
    <mergeCell ref="AT236:AU236"/>
    <mergeCell ref="AJ235:AK235"/>
    <mergeCell ref="Z228:AA228"/>
    <mergeCell ref="AR228:AS228"/>
    <mergeCell ref="BB235:BC235"/>
    <mergeCell ref="AP233:AQ233"/>
    <mergeCell ref="AL233:AM233"/>
    <mergeCell ref="AL234:AM234"/>
    <mergeCell ref="AL235:AM235"/>
    <mergeCell ref="AN233:AO233"/>
    <mergeCell ref="BD236:BE236"/>
    <mergeCell ref="AR235:AS235"/>
    <mergeCell ref="BB234:BC234"/>
    <mergeCell ref="AP235:AQ235"/>
    <mergeCell ref="AT234:AU234"/>
    <mergeCell ref="AX234:AY234"/>
    <mergeCell ref="AX235:AY235"/>
    <mergeCell ref="AR236:AS236"/>
    <mergeCell ref="AZ234:BA234"/>
    <mergeCell ref="AZ238:BA238"/>
    <mergeCell ref="AT232:AU232"/>
    <mergeCell ref="BB236:BC236"/>
    <mergeCell ref="BD233:BE233"/>
    <mergeCell ref="BB238:BC238"/>
    <mergeCell ref="AD228:AE228"/>
    <mergeCell ref="AF237:AG237"/>
    <mergeCell ref="AP228:AQ228"/>
    <mergeCell ref="AX232:AY232"/>
    <mergeCell ref="AZ232:BA232"/>
    <mergeCell ref="S242:T242"/>
    <mergeCell ref="AB235:AC235"/>
    <mergeCell ref="AD232:AE232"/>
    <mergeCell ref="Z221:AA221"/>
    <mergeCell ref="Q228:R228"/>
    <mergeCell ref="AH228:AI228"/>
    <mergeCell ref="AJ228:AK228"/>
    <mergeCell ref="AD235:AE235"/>
    <mergeCell ref="AH234:AI234"/>
    <mergeCell ref="S233:T233"/>
    <mergeCell ref="AJ221:AK221"/>
    <mergeCell ref="AF234:AG234"/>
    <mergeCell ref="AB233:AC233"/>
    <mergeCell ref="AV236:AW236"/>
    <mergeCell ref="AZ221:BA221"/>
    <mergeCell ref="AZ228:BA228"/>
    <mergeCell ref="S238:T238"/>
    <mergeCell ref="Q242:R242"/>
    <mergeCell ref="Z235:AA235"/>
    <mergeCell ref="AJ236:AK236"/>
    <mergeCell ref="AL164:AM164"/>
    <mergeCell ref="F162:G162"/>
    <mergeCell ref="F155:G155"/>
    <mergeCell ref="I161:J161"/>
    <mergeCell ref="M164:N164"/>
    <mergeCell ref="AT156:AU156"/>
    <mergeCell ref="AP155:AQ155"/>
    <mergeCell ref="F159:G159"/>
    <mergeCell ref="S155:T155"/>
    <mergeCell ref="Z157:AA157"/>
    <mergeCell ref="AF162:AG162"/>
    <mergeCell ref="AT164:AU164"/>
    <mergeCell ref="AV165:AW165"/>
    <mergeCell ref="K158:L158"/>
    <mergeCell ref="O156:P156"/>
    <mergeCell ref="AN156:AO156"/>
    <mergeCell ref="AN169:AO169"/>
    <mergeCell ref="AP167:AQ167"/>
    <mergeCell ref="AT157:AU157"/>
    <mergeCell ref="AT153:AU153"/>
    <mergeCell ref="AR153:AS153"/>
    <mergeCell ref="AV154:AW154"/>
    <mergeCell ref="F156:G156"/>
    <mergeCell ref="AN155:AO155"/>
    <mergeCell ref="AL149:AM149"/>
    <mergeCell ref="AH153:AI153"/>
    <mergeCell ref="AD151:AE151"/>
    <mergeCell ref="AD150:AE150"/>
    <mergeCell ref="I153:J153"/>
    <mergeCell ref="AL158:AM158"/>
    <mergeCell ref="AN157:AO157"/>
    <mergeCell ref="M159:N159"/>
    <mergeCell ref="Q161:R161"/>
    <mergeCell ref="AJ158:AK158"/>
    <mergeCell ref="AD159:AE159"/>
    <mergeCell ref="AB155:AC155"/>
    <mergeCell ref="AR169:AS169"/>
    <mergeCell ref="O157:P157"/>
    <mergeCell ref="I157:J157"/>
    <mergeCell ref="X154:Y154"/>
    <mergeCell ref="I165:J165"/>
    <mergeCell ref="AR164:AS164"/>
    <mergeCell ref="AP161:AQ161"/>
    <mergeCell ref="AR161:AS161"/>
    <mergeCell ref="X164:Y164"/>
    <mergeCell ref="AR160:AS160"/>
    <mergeCell ref="AP154:AQ154"/>
    <mergeCell ref="O158:P158"/>
    <mergeCell ref="M157:N157"/>
    <mergeCell ref="M156:N156"/>
    <mergeCell ref="AB167:AC167"/>
    <mergeCell ref="AB156:AC156"/>
    <mergeCell ref="K156:L156"/>
    <mergeCell ref="K151:L151"/>
    <mergeCell ref="X151:Y151"/>
    <mergeCell ref="F157:G157"/>
    <mergeCell ref="F163:G163"/>
    <mergeCell ref="Q165:R165"/>
    <mergeCell ref="S165:T165"/>
    <mergeCell ref="AN160:AO160"/>
    <mergeCell ref="I162:J162"/>
    <mergeCell ref="M162:N162"/>
    <mergeCell ref="F149:G149"/>
    <mergeCell ref="AN164:AO164"/>
    <mergeCell ref="AH160:AI160"/>
    <mergeCell ref="AH161:AI161"/>
    <mergeCell ref="BD196:BE196"/>
    <mergeCell ref="CF170:CG170"/>
    <mergeCell ref="CF167:CG167"/>
    <mergeCell ref="F170:G170"/>
    <mergeCell ref="BD160:BE160"/>
    <mergeCell ref="BH164:BI164"/>
    <mergeCell ref="BN160:BO160"/>
    <mergeCell ref="BN161:BO161"/>
    <mergeCell ref="BF169:BG169"/>
    <mergeCell ref="AV170:AW170"/>
    <mergeCell ref="BJ162:BK162"/>
    <mergeCell ref="BL164:BM164"/>
    <mergeCell ref="BB169:BC169"/>
    <mergeCell ref="AB170:AC170"/>
    <mergeCell ref="S170:T170"/>
    <mergeCell ref="AT170:AU170"/>
    <mergeCell ref="I170:J170"/>
    <mergeCell ref="BJ165:BK165"/>
    <mergeCell ref="BF162:BG162"/>
    <mergeCell ref="BZ161:CA161"/>
    <mergeCell ref="BV161:BW161"/>
    <mergeCell ref="AP164:AQ164"/>
    <mergeCell ref="F181:G181"/>
    <mergeCell ref="BD162:BE162"/>
    <mergeCell ref="AT169:AU169"/>
    <mergeCell ref="AZ164:BA164"/>
    <mergeCell ref="BB165:BC165"/>
    <mergeCell ref="F189:G189"/>
    <mergeCell ref="BL160:BM160"/>
    <mergeCell ref="F167:G167"/>
    <mergeCell ref="F161:G161"/>
    <mergeCell ref="AX170:AY170"/>
    <mergeCell ref="AZ167:BA167"/>
    <mergeCell ref="AV167:AW167"/>
    <mergeCell ref="AL170:AM170"/>
    <mergeCell ref="AP169:AQ169"/>
    <mergeCell ref="AT165:AU165"/>
    <mergeCell ref="AF164:AG164"/>
    <mergeCell ref="X162:Y162"/>
    <mergeCell ref="AF160:AG160"/>
    <mergeCell ref="Z161:AA161"/>
    <mergeCell ref="Q162:R162"/>
    <mergeCell ref="S162:T162"/>
    <mergeCell ref="AP162:AQ162"/>
    <mergeCell ref="F165:G165"/>
    <mergeCell ref="AH169:AI169"/>
    <mergeCell ref="I169:J169"/>
    <mergeCell ref="AD164:AE164"/>
    <mergeCell ref="F184:G184"/>
    <mergeCell ref="F177:G177"/>
    <mergeCell ref="F178:G178"/>
    <mergeCell ref="F174:G174"/>
    <mergeCell ref="F180:G180"/>
    <mergeCell ref="AZ169:BA169"/>
    <mergeCell ref="K167:L167"/>
    <mergeCell ref="AZ160:BA160"/>
    <mergeCell ref="AL161:AM161"/>
    <mergeCell ref="BD161:BE161"/>
    <mergeCell ref="BD167:BE167"/>
    <mergeCell ref="BP165:BQ165"/>
    <mergeCell ref="AL160:AM160"/>
    <mergeCell ref="AT160:AU160"/>
    <mergeCell ref="I148:J148"/>
    <mergeCell ref="M150:N150"/>
    <mergeCell ref="AX165:AY165"/>
    <mergeCell ref="BH152:BI152"/>
    <mergeCell ref="AJ167:AK167"/>
    <mergeCell ref="BD164:BE164"/>
    <mergeCell ref="BL165:BM165"/>
    <mergeCell ref="AZ151:BA151"/>
    <mergeCell ref="BF160:BG160"/>
    <mergeCell ref="AT148:AU148"/>
    <mergeCell ref="M158:N158"/>
    <mergeCell ref="I158:J158"/>
    <mergeCell ref="AV158:AW158"/>
    <mergeCell ref="AZ158:BA158"/>
    <mergeCell ref="AD165:AE165"/>
    <mergeCell ref="AR158:AS158"/>
    <mergeCell ref="I155:J155"/>
    <mergeCell ref="AP153:AQ153"/>
    <mergeCell ref="Q150:R150"/>
    <mergeCell ref="AL152:AM152"/>
    <mergeCell ref="AX151:AY151"/>
    <mergeCell ref="AL151:AM151"/>
    <mergeCell ref="BB156:BC156"/>
    <mergeCell ref="AJ157:AK157"/>
    <mergeCell ref="BB155:BC155"/>
    <mergeCell ref="AZ157:BA157"/>
    <mergeCell ref="AX153:AY153"/>
    <mergeCell ref="M155:N155"/>
    <mergeCell ref="AP152:AQ152"/>
    <mergeCell ref="AT150:AU150"/>
    <mergeCell ref="AH150:AI150"/>
    <mergeCell ref="X161:Y161"/>
    <mergeCell ref="M161:N161"/>
    <mergeCell ref="I160:J160"/>
    <mergeCell ref="AV164:AW164"/>
    <mergeCell ref="AF151:AG151"/>
    <mergeCell ref="BB162:BC162"/>
    <mergeCell ref="BF167:BG167"/>
    <mergeCell ref="BF153:BG153"/>
    <mergeCell ref="BF165:BG165"/>
    <mergeCell ref="AD158:AE158"/>
    <mergeCell ref="AJ161:AK161"/>
    <mergeCell ref="K159:L159"/>
    <mergeCell ref="AX167:AY167"/>
    <mergeCell ref="AX161:AY161"/>
    <mergeCell ref="AZ154:BA154"/>
    <mergeCell ref="AN154:AO154"/>
    <mergeCell ref="AX164:AY164"/>
    <mergeCell ref="AX158:AY158"/>
    <mergeCell ref="BB167:BC167"/>
    <mergeCell ref="M152:N152"/>
    <mergeCell ref="AP151:AQ151"/>
    <mergeCell ref="K152:L152"/>
    <mergeCell ref="AB161:AC161"/>
    <mergeCell ref="AN165:AO165"/>
    <mergeCell ref="AX155:AY155"/>
    <mergeCell ref="AP165:AQ165"/>
    <mergeCell ref="AZ165:BA165"/>
    <mergeCell ref="Z156:AA156"/>
    <mergeCell ref="M167:N167"/>
    <mergeCell ref="AB162:AC162"/>
    <mergeCell ref="Z165:AA165"/>
    <mergeCell ref="AX156:AY156"/>
    <mergeCell ref="AN161:AO161"/>
    <mergeCell ref="F154:G154"/>
    <mergeCell ref="BD151:BE151"/>
    <mergeCell ref="BB152:BC152"/>
    <mergeCell ref="I159:J159"/>
    <mergeCell ref="Q152:R152"/>
    <mergeCell ref="S153:T153"/>
    <mergeCell ref="AF153:AG153"/>
    <mergeCell ref="AZ147:BA147"/>
    <mergeCell ref="BD158:BE158"/>
    <mergeCell ref="AN158:AO158"/>
    <mergeCell ref="AT152:AU152"/>
    <mergeCell ref="AX154:AY154"/>
    <mergeCell ref="AV151:AW151"/>
    <mergeCell ref="BD156:BE156"/>
    <mergeCell ref="AZ153:BA153"/>
    <mergeCell ref="I152:J152"/>
    <mergeCell ref="BB148:BC148"/>
    <mergeCell ref="S149:T149"/>
    <mergeCell ref="AJ154:AK154"/>
    <mergeCell ref="M151:N151"/>
    <mergeCell ref="K150:L150"/>
    <mergeCell ref="AF155:AG155"/>
    <mergeCell ref="K155:L155"/>
    <mergeCell ref="X158:Y158"/>
    <mergeCell ref="BH149:BI149"/>
    <mergeCell ref="O150:P150"/>
    <mergeCell ref="AV159:AW159"/>
    <mergeCell ref="X159:Y159"/>
    <mergeCell ref="AT158:AU158"/>
    <mergeCell ref="BH157:BI157"/>
    <mergeCell ref="M153:N153"/>
    <mergeCell ref="X153:Y153"/>
    <mergeCell ref="Q157:R157"/>
    <mergeCell ref="AB157:AC157"/>
    <mergeCell ref="AB154:AC154"/>
    <mergeCell ref="Z152:AA152"/>
    <mergeCell ref="BF151:BG151"/>
    <mergeCell ref="BF149:BG149"/>
    <mergeCell ref="BH151:BI151"/>
    <mergeCell ref="Z159:AA159"/>
    <mergeCell ref="Z154:AA154"/>
    <mergeCell ref="AX157:AY157"/>
    <mergeCell ref="BB157:BC157"/>
    <mergeCell ref="AN153:AO153"/>
    <mergeCell ref="AL159:AM159"/>
    <mergeCell ref="AR159:AS159"/>
    <mergeCell ref="AN147:AO147"/>
    <mergeCell ref="BH153:BI153"/>
    <mergeCell ref="AP158:AQ158"/>
    <mergeCell ref="BB158:BC158"/>
    <mergeCell ref="AB153:AC153"/>
    <mergeCell ref="Q154:R154"/>
    <mergeCell ref="BF155:BG155"/>
    <mergeCell ref="BH158:BI158"/>
    <mergeCell ref="BF159:BG159"/>
    <mergeCell ref="AL153:AM153"/>
    <mergeCell ref="AH147:AI147"/>
    <mergeCell ref="AD154:AE154"/>
    <mergeCell ref="AD148:AE148"/>
    <mergeCell ref="S148:T148"/>
    <mergeCell ref="K148:L148"/>
    <mergeCell ref="M149:N149"/>
    <mergeCell ref="X152:Y152"/>
    <mergeCell ref="AZ159:BA159"/>
    <mergeCell ref="F152:G152"/>
    <mergeCell ref="CP151:CQ151"/>
    <mergeCell ref="BT151:BU151"/>
    <mergeCell ref="CF151:CG151"/>
    <mergeCell ref="BZ152:CA152"/>
    <mergeCell ref="BZ153:CA153"/>
    <mergeCell ref="CF152:CG152"/>
    <mergeCell ref="CD152:CE152"/>
    <mergeCell ref="CN151:CO151"/>
    <mergeCell ref="BT154:BU154"/>
    <mergeCell ref="CL139:CM139"/>
    <mergeCell ref="BZ146:CA146"/>
    <mergeCell ref="BD141:BE141"/>
    <mergeCell ref="BB141:BC141"/>
    <mergeCell ref="BB143:BC143"/>
    <mergeCell ref="AD143:AE143"/>
    <mergeCell ref="AJ143:AK143"/>
    <mergeCell ref="AR141:AS141"/>
    <mergeCell ref="AF142:AG142"/>
    <mergeCell ref="BF144:BG144"/>
    <mergeCell ref="BB142:BC142"/>
    <mergeCell ref="AZ142:BA142"/>
    <mergeCell ref="AH142:AI142"/>
    <mergeCell ref="CP143:CQ143"/>
    <mergeCell ref="CP142:CQ142"/>
    <mergeCell ref="AZ143:BA143"/>
    <mergeCell ref="AR142:AS142"/>
    <mergeCell ref="AN143:AO143"/>
    <mergeCell ref="F151:G151"/>
    <mergeCell ref="BZ144:CA144"/>
    <mergeCell ref="I150:J150"/>
    <mergeCell ref="BF147:BG147"/>
    <mergeCell ref="F148:G148"/>
    <mergeCell ref="BB153:BC153"/>
    <mergeCell ref="AD146:AE146"/>
    <mergeCell ref="AL150:AM150"/>
    <mergeCell ref="AH151:AI151"/>
    <mergeCell ref="O151:P151"/>
    <mergeCell ref="AZ149:BA149"/>
    <mergeCell ref="AT149:AU149"/>
    <mergeCell ref="AR149:AS149"/>
    <mergeCell ref="AV148:AW148"/>
    <mergeCell ref="AT142:AU142"/>
    <mergeCell ref="AZ139:BA139"/>
    <mergeCell ref="CJ145:CK145"/>
    <mergeCell ref="I143:J143"/>
    <mergeCell ref="I149:J149"/>
    <mergeCell ref="F150:G150"/>
    <mergeCell ref="BJ153:BK153"/>
    <mergeCell ref="BL154:BM154"/>
    <mergeCell ref="BJ148:BK148"/>
    <mergeCell ref="BX141:BY141"/>
    <mergeCell ref="BZ139:CA139"/>
    <mergeCell ref="CN140:CO140"/>
    <mergeCell ref="BD142:BE142"/>
    <mergeCell ref="BB145:BC145"/>
    <mergeCell ref="CD147:CE147"/>
    <mergeCell ref="CD144:CE144"/>
    <mergeCell ref="BP146:BQ146"/>
    <mergeCell ref="BX144:BY144"/>
    <mergeCell ref="BN142:BO142"/>
    <mergeCell ref="BN143:BO143"/>
    <mergeCell ref="CN143:CO143"/>
    <mergeCell ref="CL143:CM143"/>
    <mergeCell ref="AP157:AQ157"/>
    <mergeCell ref="BB149:BC149"/>
    <mergeCell ref="BF156:BG156"/>
    <mergeCell ref="AV156:AW156"/>
    <mergeCell ref="AP159:AQ159"/>
    <mergeCell ref="AP156:AQ156"/>
    <mergeCell ref="AR154:AS154"/>
    <mergeCell ref="AV150:AW150"/>
    <mergeCell ref="AZ148:BA148"/>
    <mergeCell ref="AN144:AO144"/>
    <mergeCell ref="BH144:BI144"/>
    <mergeCell ref="AV144:AW144"/>
    <mergeCell ref="AJ156:AK156"/>
    <mergeCell ref="AH157:AI157"/>
    <mergeCell ref="AF154:AG154"/>
    <mergeCell ref="AV155:AW155"/>
    <mergeCell ref="AV153:AW153"/>
    <mergeCell ref="AL154:AM154"/>
    <mergeCell ref="AF156:AG156"/>
    <mergeCell ref="AD153:AE153"/>
    <mergeCell ref="BD157:BE157"/>
    <mergeCell ref="AX152:AY152"/>
    <mergeCell ref="AV152:AW152"/>
    <mergeCell ref="AT146:AU146"/>
    <mergeCell ref="AP146:AQ146"/>
    <mergeCell ref="AR148:AS148"/>
    <mergeCell ref="AX148:AY148"/>
    <mergeCell ref="BJ155:BK155"/>
    <mergeCell ref="BJ154:BK154"/>
    <mergeCell ref="AF159:AG159"/>
    <mergeCell ref="AF157:AG157"/>
    <mergeCell ref="BD152:BE152"/>
    <mergeCell ref="AR150:AS150"/>
    <mergeCell ref="AT147:AU147"/>
    <mergeCell ref="AT154:AU154"/>
    <mergeCell ref="BD145:BE145"/>
    <mergeCell ref="BD148:BE148"/>
    <mergeCell ref="BD149:BE149"/>
    <mergeCell ref="BH147:BI147"/>
    <mergeCell ref="BH148:BI148"/>
    <mergeCell ref="BD147:BE147"/>
    <mergeCell ref="BD146:BE146"/>
    <mergeCell ref="BF146:BG146"/>
    <mergeCell ref="BF150:BG150"/>
    <mergeCell ref="AX146:AY146"/>
    <mergeCell ref="AX145:AY145"/>
    <mergeCell ref="BJ146:BK146"/>
    <mergeCell ref="AH152:AI152"/>
    <mergeCell ref="AH146:AI146"/>
    <mergeCell ref="AH149:AI149"/>
    <mergeCell ref="BF145:BG145"/>
    <mergeCell ref="AR155:AS155"/>
    <mergeCell ref="BJ151:BK151"/>
    <mergeCell ref="BF154:BG154"/>
    <mergeCell ref="BJ150:BK150"/>
    <mergeCell ref="AZ145:BA145"/>
    <mergeCell ref="BP160:BQ160"/>
    <mergeCell ref="K162:L162"/>
    <mergeCell ref="BH156:BI156"/>
    <mergeCell ref="BN156:BO156"/>
    <mergeCell ref="BN153:BO153"/>
    <mergeCell ref="BP158:BQ158"/>
    <mergeCell ref="BP156:BQ156"/>
    <mergeCell ref="BL155:BM155"/>
    <mergeCell ref="BP154:BQ154"/>
    <mergeCell ref="BN155:BO155"/>
    <mergeCell ref="AJ145:AK145"/>
    <mergeCell ref="BB146:BC146"/>
    <mergeCell ref="AZ146:BA146"/>
    <mergeCell ref="AZ150:BA150"/>
    <mergeCell ref="BL143:BM143"/>
    <mergeCell ref="BJ143:BK143"/>
    <mergeCell ref="AT162:AU162"/>
    <mergeCell ref="AX162:AY162"/>
    <mergeCell ref="BH150:BI150"/>
    <mergeCell ref="BB147:BC147"/>
    <mergeCell ref="AZ144:BA144"/>
    <mergeCell ref="BF148:BG148"/>
    <mergeCell ref="BL157:BM157"/>
    <mergeCell ref="BD154:BE154"/>
    <mergeCell ref="BB154:BC154"/>
    <mergeCell ref="BL159:BM159"/>
    <mergeCell ref="BD155:BE155"/>
    <mergeCell ref="BH162:BI162"/>
    <mergeCell ref="BF161:BG161"/>
    <mergeCell ref="BF152:BG152"/>
    <mergeCell ref="BH155:BI155"/>
    <mergeCell ref="BB151:BC151"/>
    <mergeCell ref="AZ155:BA155"/>
    <mergeCell ref="BJ159:BK159"/>
    <mergeCell ref="BD153:BE153"/>
    <mergeCell ref="BF158:BG158"/>
    <mergeCell ref="AL144:AM144"/>
    <mergeCell ref="S146:T146"/>
    <mergeCell ref="BH161:BI161"/>
    <mergeCell ref="AR144:AS144"/>
    <mergeCell ref="AT143:AU143"/>
    <mergeCell ref="BP161:BQ161"/>
    <mergeCell ref="AR156:AS156"/>
    <mergeCell ref="AV157:AW157"/>
    <mergeCell ref="AT155:AU155"/>
    <mergeCell ref="AV162:AW162"/>
    <mergeCell ref="AV161:AW161"/>
    <mergeCell ref="AT161:AU161"/>
    <mergeCell ref="BJ160:BK160"/>
    <mergeCell ref="BJ152:BK152"/>
    <mergeCell ref="BL158:BM158"/>
    <mergeCell ref="BH159:BI159"/>
    <mergeCell ref="BJ158:BK158"/>
    <mergeCell ref="O152:P152"/>
    <mergeCell ref="S151:T151"/>
    <mergeCell ref="S156:T156"/>
    <mergeCell ref="AH156:AI156"/>
    <mergeCell ref="K149:L149"/>
    <mergeCell ref="X145:Y145"/>
    <mergeCell ref="S157:T157"/>
    <mergeCell ref="AH154:AI154"/>
    <mergeCell ref="BH160:BI160"/>
    <mergeCell ref="AZ161:BA161"/>
    <mergeCell ref="AD155:AE155"/>
    <mergeCell ref="CJ118:CK118"/>
    <mergeCell ref="CJ122:CK122"/>
    <mergeCell ref="CJ124:CK124"/>
    <mergeCell ref="CJ123:CK123"/>
    <mergeCell ref="BP139:BQ139"/>
    <mergeCell ref="BJ131:BK131"/>
    <mergeCell ref="BR137:BS137"/>
    <mergeCell ref="BX137:BY137"/>
    <mergeCell ref="CH138:CI138"/>
    <mergeCell ref="CH134:CI134"/>
    <mergeCell ref="CJ142:CK142"/>
    <mergeCell ref="CH143:CI143"/>
    <mergeCell ref="BT138:BU138"/>
    <mergeCell ref="CJ143:CK143"/>
    <mergeCell ref="BV139:BW139"/>
    <mergeCell ref="BP122:BQ122"/>
    <mergeCell ref="BV126:BW126"/>
    <mergeCell ref="AT127:AU127"/>
    <mergeCell ref="BL133:BM133"/>
    <mergeCell ref="BJ124:BK124"/>
    <mergeCell ref="BH134:BI134"/>
    <mergeCell ref="BH133:BI133"/>
    <mergeCell ref="BH132:BI132"/>
    <mergeCell ref="BB128:BC128"/>
    <mergeCell ref="AZ128:BA128"/>
    <mergeCell ref="AZ131:BA131"/>
    <mergeCell ref="AZ132:BA132"/>
    <mergeCell ref="AT128:AU128"/>
    <mergeCell ref="BZ120:CA120"/>
    <mergeCell ref="CD132:CE132"/>
    <mergeCell ref="CF122:CG122"/>
    <mergeCell ref="BR130:BS130"/>
    <mergeCell ref="BR122:BS122"/>
    <mergeCell ref="BN122:BO122"/>
    <mergeCell ref="BF132:BG132"/>
    <mergeCell ref="CJ136:CK136"/>
    <mergeCell ref="BZ132:CA132"/>
    <mergeCell ref="CF135:CG135"/>
    <mergeCell ref="CJ137:CK137"/>
    <mergeCell ref="BX135:BY135"/>
    <mergeCell ref="CD142:CE142"/>
    <mergeCell ref="CF131:CG131"/>
    <mergeCell ref="AV125:AW125"/>
    <mergeCell ref="BX126:BY126"/>
    <mergeCell ref="BF143:BG143"/>
    <mergeCell ref="CB142:CC142"/>
    <mergeCell ref="BZ143:CA143"/>
    <mergeCell ref="CD138:CE138"/>
    <mergeCell ref="CB130:CC130"/>
    <mergeCell ref="BT130:BU130"/>
    <mergeCell ref="CB132:CC132"/>
    <mergeCell ref="CB131:CC131"/>
    <mergeCell ref="CF118:CG118"/>
    <mergeCell ref="AZ121:BA121"/>
    <mergeCell ref="AV123:AW123"/>
    <mergeCell ref="BH123:BI123"/>
    <mergeCell ref="BF129:BG129"/>
    <mergeCell ref="BH127:BI127"/>
    <mergeCell ref="BB127:BC127"/>
    <mergeCell ref="BH124:BI124"/>
    <mergeCell ref="BD123:BE123"/>
    <mergeCell ref="BF123:BG123"/>
    <mergeCell ref="BH135:BI135"/>
    <mergeCell ref="CD119:CE119"/>
    <mergeCell ref="AZ127:BA127"/>
    <mergeCell ref="CD126:CE126"/>
    <mergeCell ref="BJ126:BK126"/>
    <mergeCell ref="AV141:AW141"/>
    <mergeCell ref="Z131:AA131"/>
    <mergeCell ref="AH132:AI132"/>
    <mergeCell ref="AJ131:AK131"/>
    <mergeCell ref="O131:P131"/>
    <mergeCell ref="AB131:AC131"/>
    <mergeCell ref="AT138:AU138"/>
    <mergeCell ref="AX139:AY139"/>
    <mergeCell ref="CB135:CC135"/>
    <mergeCell ref="CD124:CE124"/>
    <mergeCell ref="CR125:CS125"/>
    <mergeCell ref="CH125:CI125"/>
    <mergeCell ref="CF129:CG129"/>
    <mergeCell ref="CH129:CI129"/>
    <mergeCell ref="CF128:CG128"/>
    <mergeCell ref="CP119:CQ119"/>
    <mergeCell ref="AV128:AW128"/>
    <mergeCell ref="AX128:AY128"/>
    <mergeCell ref="AV127:AW127"/>
    <mergeCell ref="BB124:BC124"/>
    <mergeCell ref="BB125:BC125"/>
    <mergeCell ref="BL127:BM127"/>
    <mergeCell ref="BH130:BI130"/>
    <mergeCell ref="BB122:BC122"/>
    <mergeCell ref="BF127:BG127"/>
    <mergeCell ref="BJ125:BK125"/>
    <mergeCell ref="BF125:BG125"/>
    <mergeCell ref="BN124:BO124"/>
    <mergeCell ref="BB121:BC121"/>
    <mergeCell ref="BB123:BC123"/>
    <mergeCell ref="BZ126:CA126"/>
    <mergeCell ref="CD128:CE128"/>
    <mergeCell ref="BX130:BY130"/>
    <mergeCell ref="CH122:CI122"/>
    <mergeCell ref="CB123:CC123"/>
    <mergeCell ref="CR121:CS121"/>
    <mergeCell ref="CJ133:CK133"/>
    <mergeCell ref="CL128:CM128"/>
    <mergeCell ref="CB124:CC124"/>
    <mergeCell ref="BZ122:CA122"/>
    <mergeCell ref="BR121:BS121"/>
    <mergeCell ref="CB125:CC125"/>
    <mergeCell ref="CB121:CC121"/>
    <mergeCell ref="BN133:BO133"/>
    <mergeCell ref="BZ134:CA134"/>
    <mergeCell ref="CP139:CQ139"/>
    <mergeCell ref="CL141:CM141"/>
    <mergeCell ref="CR127:CS127"/>
    <mergeCell ref="BD137:BE137"/>
    <mergeCell ref="BL138:BM138"/>
    <mergeCell ref="CD130:CE130"/>
    <mergeCell ref="BT137:BU137"/>
    <mergeCell ref="CD135:CE135"/>
    <mergeCell ref="CD133:CE133"/>
    <mergeCell ref="BD128:BE128"/>
    <mergeCell ref="CB119:CC119"/>
    <mergeCell ref="BZ125:CA125"/>
    <mergeCell ref="CP132:CQ132"/>
    <mergeCell ref="CP137:CQ137"/>
    <mergeCell ref="AZ141:BA141"/>
    <mergeCell ref="CP140:CQ140"/>
    <mergeCell ref="CL119:CM119"/>
    <mergeCell ref="CB136:CC136"/>
    <mergeCell ref="BV136:BW136"/>
    <mergeCell ref="BH125:BI125"/>
    <mergeCell ref="CL120:CM120"/>
    <mergeCell ref="CF130:CG130"/>
    <mergeCell ref="CH126:CI126"/>
    <mergeCell ref="CP122:CQ122"/>
    <mergeCell ref="CB133:CC133"/>
    <mergeCell ref="CX123:CY123"/>
    <mergeCell ref="BZ129:CA129"/>
    <mergeCell ref="CH123:CI123"/>
    <mergeCell ref="CT119:CU119"/>
    <mergeCell ref="CT123:CU123"/>
    <mergeCell ref="CZ130:DA130"/>
    <mergeCell ref="BZ123:CA123"/>
    <mergeCell ref="BX124:BY124"/>
    <mergeCell ref="CF124:CG124"/>
    <mergeCell ref="CN122:CO122"/>
    <mergeCell ref="CB128:CC128"/>
    <mergeCell ref="BX127:BY127"/>
    <mergeCell ref="CB127:CC127"/>
    <mergeCell ref="CF126:CG126"/>
    <mergeCell ref="CP129:CQ129"/>
    <mergeCell ref="CR129:CS129"/>
    <mergeCell ref="CJ128:CK128"/>
    <mergeCell ref="CP130:CQ130"/>
    <mergeCell ref="CF125:CG125"/>
    <mergeCell ref="CH121:CI121"/>
    <mergeCell ref="CH128:CI128"/>
    <mergeCell ref="CF123:CG123"/>
    <mergeCell ref="CF121:CG121"/>
    <mergeCell ref="CT124:CU124"/>
    <mergeCell ref="CX125:CY125"/>
    <mergeCell ref="CZ123:DA123"/>
    <mergeCell ref="CH130:CI130"/>
    <mergeCell ref="CR132:CS132"/>
    <mergeCell ref="BZ127:CA127"/>
    <mergeCell ref="CT120:CU120"/>
    <mergeCell ref="CV120:CW120"/>
    <mergeCell ref="CR123:CS123"/>
    <mergeCell ref="CL126:CM126"/>
    <mergeCell ref="CZ122:DA122"/>
    <mergeCell ref="CT132:CU132"/>
    <mergeCell ref="CB122:CC122"/>
    <mergeCell ref="BZ119:CA119"/>
    <mergeCell ref="CD125:CE125"/>
    <mergeCell ref="CJ131:CK131"/>
    <mergeCell ref="BV127:BW127"/>
    <mergeCell ref="CH127:CI127"/>
    <mergeCell ref="CR119:CS119"/>
    <mergeCell ref="CH119:CI119"/>
    <mergeCell ref="CF119:CG119"/>
    <mergeCell ref="BV123:BW123"/>
    <mergeCell ref="BN119:BO119"/>
    <mergeCell ref="BT122:BU122"/>
    <mergeCell ref="CD121:CE121"/>
    <mergeCell ref="CT133:CU133"/>
    <mergeCell ref="BZ130:CA130"/>
    <mergeCell ref="BN130:BO130"/>
    <mergeCell ref="BL130:BM130"/>
    <mergeCell ref="CN129:CO129"/>
    <mergeCell ref="BR126:BS126"/>
    <mergeCell ref="BZ128:CA128"/>
    <mergeCell ref="CT139:CU139"/>
    <mergeCell ref="CV122:CW122"/>
    <mergeCell ref="CT121:CU121"/>
    <mergeCell ref="CJ125:CK125"/>
    <mergeCell ref="CZ121:DA121"/>
    <mergeCell ref="CJ121:CK121"/>
    <mergeCell ref="CN127:CO127"/>
    <mergeCell ref="CL136:CM136"/>
    <mergeCell ref="CR136:CS136"/>
    <mergeCell ref="CX136:CY136"/>
    <mergeCell ref="CV136:CW136"/>
    <mergeCell ref="CP126:CQ126"/>
    <mergeCell ref="CX126:CY126"/>
    <mergeCell ref="CR135:CS135"/>
    <mergeCell ref="CX133:CY133"/>
    <mergeCell ref="CP131:CQ131"/>
    <mergeCell ref="CN128:CO128"/>
    <mergeCell ref="CB126:CC126"/>
    <mergeCell ref="BL136:BM136"/>
    <mergeCell ref="BX131:BY131"/>
    <mergeCell ref="BZ135:CA135"/>
    <mergeCell ref="BX136:BY136"/>
    <mergeCell ref="BZ136:CA136"/>
    <mergeCell ref="BP136:BQ136"/>
    <mergeCell ref="BP134:BQ134"/>
    <mergeCell ref="CZ125:DA125"/>
    <mergeCell ref="BV131:BW131"/>
    <mergeCell ref="CD122:CE122"/>
    <mergeCell ref="CB134:CC134"/>
    <mergeCell ref="CJ120:CK120"/>
    <mergeCell ref="CH120:CI120"/>
    <mergeCell ref="CF120:CG120"/>
    <mergeCell ref="CF127:CG127"/>
    <mergeCell ref="CH124:CI124"/>
    <mergeCell ref="CN120:CO120"/>
    <mergeCell ref="CN125:CO125"/>
    <mergeCell ref="CL122:CM122"/>
    <mergeCell ref="CN123:CO123"/>
    <mergeCell ref="CL121:CM121"/>
    <mergeCell ref="CP124:CQ124"/>
    <mergeCell ref="CP125:CQ125"/>
    <mergeCell ref="CP127:CQ127"/>
    <mergeCell ref="CP120:CQ120"/>
    <mergeCell ref="CX127:CY127"/>
    <mergeCell ref="CV127:CW127"/>
    <mergeCell ref="CR130:CS130"/>
    <mergeCell ref="BV125:BW125"/>
    <mergeCell ref="BV122:BW122"/>
    <mergeCell ref="BX122:BY122"/>
    <mergeCell ref="CR120:CS120"/>
    <mergeCell ref="CR133:CS133"/>
    <mergeCell ref="CF133:CG133"/>
    <mergeCell ref="CF136:CG136"/>
    <mergeCell ref="CL129:CM129"/>
    <mergeCell ref="CJ134:CK134"/>
    <mergeCell ref="CH135:CI135"/>
    <mergeCell ref="CN121:CO121"/>
    <mergeCell ref="CD134:CE134"/>
    <mergeCell ref="CD127:CE127"/>
    <mergeCell ref="CD120:CE120"/>
    <mergeCell ref="CD123:CE123"/>
    <mergeCell ref="BP128:BQ128"/>
    <mergeCell ref="BL128:BM128"/>
    <mergeCell ref="CL123:CM123"/>
    <mergeCell ref="CZ136:DA136"/>
    <mergeCell ref="DH125:DI125"/>
    <mergeCell ref="CR134:CS134"/>
    <mergeCell ref="CL134:CM134"/>
    <mergeCell ref="CN134:CO134"/>
    <mergeCell ref="CP134:CQ134"/>
    <mergeCell ref="CX134:CY134"/>
    <mergeCell ref="CX124:CY124"/>
    <mergeCell ref="CV131:CW131"/>
    <mergeCell ref="CJ135:CK135"/>
    <mergeCell ref="CN130:CO130"/>
    <mergeCell ref="CP128:CQ128"/>
    <mergeCell ref="DH124:DI124"/>
    <mergeCell ref="DH123:DI123"/>
    <mergeCell ref="CV126:CW126"/>
    <mergeCell ref="DH126:DI126"/>
    <mergeCell ref="CT131:CU131"/>
    <mergeCell ref="CN136:CO136"/>
    <mergeCell ref="CP123:CQ123"/>
    <mergeCell ref="CL135:CM135"/>
    <mergeCell ref="CN133:CO133"/>
    <mergeCell ref="CN135:CO135"/>
    <mergeCell ref="CL124:CM124"/>
    <mergeCell ref="CP135:CQ135"/>
    <mergeCell ref="DH136:DI136"/>
    <mergeCell ref="DF136:DG136"/>
    <mergeCell ref="CN126:CO126"/>
    <mergeCell ref="CH132:CI132"/>
    <mergeCell ref="CH133:CI133"/>
    <mergeCell ref="CV135:CW135"/>
    <mergeCell ref="DF133:DG133"/>
    <mergeCell ref="CZ128:DA128"/>
    <mergeCell ref="CZ127:DA127"/>
    <mergeCell ref="DH129:DI129"/>
    <mergeCell ref="DH132:DI132"/>
    <mergeCell ref="CL133:CM133"/>
    <mergeCell ref="DB136:DC136"/>
    <mergeCell ref="DD136:DE136"/>
    <mergeCell ref="CT127:CU127"/>
    <mergeCell ref="CJ127:CK127"/>
    <mergeCell ref="CJ126:CK126"/>
    <mergeCell ref="CJ130:CK130"/>
    <mergeCell ref="DF124:DG124"/>
    <mergeCell ref="CT134:CU134"/>
    <mergeCell ref="CV124:CW124"/>
    <mergeCell ref="CV125:CW125"/>
    <mergeCell ref="CX135:CY135"/>
    <mergeCell ref="CZ131:DA131"/>
    <mergeCell ref="CZ126:DA126"/>
    <mergeCell ref="DD131:DE131"/>
    <mergeCell ref="DD132:DE132"/>
    <mergeCell ref="CV132:CW132"/>
    <mergeCell ref="CV133:CW133"/>
    <mergeCell ref="CP133:CQ133"/>
    <mergeCell ref="CT125:CU125"/>
    <mergeCell ref="CL125:CM125"/>
    <mergeCell ref="CL130:CM130"/>
    <mergeCell ref="CN132:CO132"/>
    <mergeCell ref="CT136:CU136"/>
    <mergeCell ref="CH131:CI131"/>
    <mergeCell ref="CJ129:CK129"/>
    <mergeCell ref="CZ135:DA135"/>
    <mergeCell ref="DR124:DS124"/>
    <mergeCell ref="DD125:DE125"/>
    <mergeCell ref="DD127:DE127"/>
    <mergeCell ref="DB125:DC125"/>
    <mergeCell ref="DR126:DS126"/>
    <mergeCell ref="DJ124:DK124"/>
    <mergeCell ref="DP132:DQ132"/>
    <mergeCell ref="DF127:DG127"/>
    <mergeCell ref="CV129:CW129"/>
    <mergeCell ref="CT129:CU129"/>
    <mergeCell ref="DP123:DQ123"/>
    <mergeCell ref="DP127:DQ127"/>
    <mergeCell ref="CT135:CU135"/>
    <mergeCell ref="DP122:DQ122"/>
    <mergeCell ref="DD128:DE128"/>
    <mergeCell ref="DL128:DM128"/>
    <mergeCell ref="DN125:DO125"/>
    <mergeCell ref="DN126:DO126"/>
    <mergeCell ref="DP125:DQ125"/>
    <mergeCell ref="CV128:CW128"/>
    <mergeCell ref="DH133:DI133"/>
    <mergeCell ref="DF135:DG135"/>
    <mergeCell ref="DB128:DC128"/>
    <mergeCell ref="DP124:DQ124"/>
    <mergeCell ref="DP126:DQ126"/>
    <mergeCell ref="DD126:DE126"/>
    <mergeCell ref="DB131:DC131"/>
    <mergeCell ref="DH130:DI130"/>
    <mergeCell ref="DH127:DI127"/>
    <mergeCell ref="DT132:DU132"/>
    <mergeCell ref="DJ127:DK127"/>
    <mergeCell ref="DN127:DO127"/>
    <mergeCell ref="DH131:DI131"/>
    <mergeCell ref="DF129:DG129"/>
    <mergeCell ref="DP130:DQ130"/>
    <mergeCell ref="DL130:DM130"/>
    <mergeCell ref="DL127:DM127"/>
    <mergeCell ref="DB130:DC130"/>
    <mergeCell ref="DF130:DG130"/>
    <mergeCell ref="DD134:DE134"/>
    <mergeCell ref="DT130:DU130"/>
    <mergeCell ref="DR135:DS135"/>
    <mergeCell ref="DP134:DQ134"/>
    <mergeCell ref="DR130:DS130"/>
    <mergeCell ref="ER129:ES129"/>
    <mergeCell ref="EP128:EQ128"/>
    <mergeCell ref="EL83:EM83"/>
    <mergeCell ref="ET83:EU83"/>
    <mergeCell ref="EV83:EW83"/>
    <mergeCell ref="DX114:DY114"/>
    <mergeCell ref="ED117:EE117"/>
    <mergeCell ref="EN81:EO81"/>
    <mergeCell ref="DZ125:EA125"/>
    <mergeCell ref="DX124:DY124"/>
    <mergeCell ref="EF122:EG122"/>
    <mergeCell ref="EF126:EG126"/>
    <mergeCell ref="EH129:EI129"/>
    <mergeCell ref="EB81:EC81"/>
    <mergeCell ref="ED87:EE87"/>
    <mergeCell ref="EH81:EI81"/>
    <mergeCell ref="ED81:EE81"/>
    <mergeCell ref="EV116:EW116"/>
    <mergeCell ref="ER115:ES115"/>
    <mergeCell ref="ED113:EE113"/>
    <mergeCell ref="EJ115:EK115"/>
    <mergeCell ref="EJ121:EK121"/>
    <mergeCell ref="EP112:EQ112"/>
    <mergeCell ref="ER117:ES117"/>
    <mergeCell ref="EN112:EO112"/>
    <mergeCell ref="EV87:EW87"/>
    <mergeCell ref="ET112:EU112"/>
    <mergeCell ref="EP111:EQ111"/>
    <mergeCell ref="ER111:ES111"/>
    <mergeCell ref="EV117:EW117"/>
    <mergeCell ref="ET116:EU116"/>
    <mergeCell ref="ED112:EE112"/>
    <mergeCell ref="DB123:DC123"/>
    <mergeCell ref="ET126:EU126"/>
    <mergeCell ref="ET123:EU123"/>
    <mergeCell ref="EV124:EW124"/>
    <mergeCell ref="ET120:EU120"/>
    <mergeCell ref="ET111:EU111"/>
    <mergeCell ref="EJ129:EK129"/>
    <mergeCell ref="DT124:DU124"/>
    <mergeCell ref="DV124:DW124"/>
    <mergeCell ref="DV129:DW129"/>
    <mergeCell ref="ED129:EE129"/>
    <mergeCell ref="DJ126:DK126"/>
    <mergeCell ref="DL126:DM126"/>
    <mergeCell ref="DH128:DI128"/>
    <mergeCell ref="DH122:DI122"/>
    <mergeCell ref="DR125:DS125"/>
    <mergeCell ref="DB122:DC122"/>
    <mergeCell ref="DZ129:EA129"/>
    <mergeCell ref="DX129:DY129"/>
    <mergeCell ref="EP115:EQ115"/>
    <mergeCell ref="EF127:EG127"/>
    <mergeCell ref="EJ122:EK122"/>
    <mergeCell ref="EJ124:EK124"/>
    <mergeCell ref="EB124:EC124"/>
    <mergeCell ref="EL114:EM114"/>
    <mergeCell ref="EB117:EC117"/>
    <mergeCell ref="EB82:EC82"/>
    <mergeCell ref="DT87:DU87"/>
    <mergeCell ref="EL111:EM111"/>
    <mergeCell ref="EB118:EC118"/>
    <mergeCell ref="EL81:EM81"/>
    <mergeCell ref="EN111:EO111"/>
    <mergeCell ref="ET81:EU81"/>
    <mergeCell ref="EL82:EM82"/>
    <mergeCell ref="EH82:EI82"/>
    <mergeCell ref="EN122:EO122"/>
    <mergeCell ref="EN123:EO123"/>
    <mergeCell ref="EV81:EW81"/>
    <mergeCell ref="EV126:EW126"/>
    <mergeCell ref="EV128:EW128"/>
    <mergeCell ref="ET122:EU122"/>
    <mergeCell ref="EV119:EW119"/>
    <mergeCell ref="EP127:EQ127"/>
    <mergeCell ref="ER127:ES127"/>
    <mergeCell ref="EL128:EM128"/>
    <mergeCell ref="EH128:EI128"/>
    <mergeCell ref="ET115:EU115"/>
    <mergeCell ref="ED122:EE122"/>
    <mergeCell ref="EP119:EQ119"/>
    <mergeCell ref="DR128:DS128"/>
    <mergeCell ref="DR118:DS118"/>
    <mergeCell ref="DR114:DS114"/>
    <mergeCell ref="EJ120:EK120"/>
    <mergeCell ref="DT114:DU114"/>
    <mergeCell ref="EJ87:EK87"/>
    <mergeCell ref="EL113:EM113"/>
    <mergeCell ref="EJ119:EK119"/>
    <mergeCell ref="ED124:EE124"/>
    <mergeCell ref="EH126:EI126"/>
    <mergeCell ref="EJ128:EK128"/>
    <mergeCell ref="EB126:EC126"/>
    <mergeCell ref="DZ126:EA126"/>
    <mergeCell ref="DZ128:EA128"/>
    <mergeCell ref="EN118:EO118"/>
    <mergeCell ref="EN116:EO116"/>
    <mergeCell ref="EL121:EM121"/>
    <mergeCell ref="ER82:ES82"/>
    <mergeCell ref="ED83:EE83"/>
    <mergeCell ref="ED126:EE126"/>
    <mergeCell ref="EF111:EG111"/>
    <mergeCell ref="EJ114:EK114"/>
    <mergeCell ref="DX112:DY112"/>
    <mergeCell ref="DV126:DW126"/>
    <mergeCell ref="EV122:EW122"/>
    <mergeCell ref="EJ81:EK81"/>
    <mergeCell ref="EF125:EG125"/>
    <mergeCell ref="EP129:EQ129"/>
    <mergeCell ref="EP123:EQ123"/>
    <mergeCell ref="EF129:EG129"/>
    <mergeCell ref="EP117:EQ117"/>
    <mergeCell ref="ER116:ES116"/>
    <mergeCell ref="EL123:EM123"/>
    <mergeCell ref="EL122:EM122"/>
    <mergeCell ref="EH127:EI127"/>
    <mergeCell ref="DZ123:EA123"/>
    <mergeCell ref="EB87:EC87"/>
    <mergeCell ref="EB119:EC119"/>
    <mergeCell ref="DX123:DY123"/>
    <mergeCell ref="EF123:EG123"/>
    <mergeCell ref="EL129:EM129"/>
    <mergeCell ref="EN129:EO129"/>
    <mergeCell ref="EP81:EQ81"/>
    <mergeCell ref="EN83:EO83"/>
    <mergeCell ref="EL116:EM116"/>
    <mergeCell ref="DX111:DY111"/>
    <mergeCell ref="ER81:ES81"/>
    <mergeCell ref="ER123:ES123"/>
    <mergeCell ref="DZ127:EA127"/>
    <mergeCell ref="EF118:EG118"/>
    <mergeCell ref="EF113:EG113"/>
    <mergeCell ref="EP122:EQ122"/>
    <mergeCell ref="EP82:EQ82"/>
    <mergeCell ref="DV87:DW87"/>
    <mergeCell ref="DT79:DU79"/>
    <mergeCell ref="EJ82:EK82"/>
    <mergeCell ref="DT121:DU121"/>
    <mergeCell ref="EH114:EI114"/>
    <mergeCell ref="DZ115:EA115"/>
    <mergeCell ref="ER80:ES80"/>
    <mergeCell ref="DV127:DW127"/>
    <mergeCell ref="EF121:EG121"/>
    <mergeCell ref="EF120:EG120"/>
    <mergeCell ref="EJ126:EK126"/>
    <mergeCell ref="EJ127:EK127"/>
    <mergeCell ref="EB125:EC125"/>
    <mergeCell ref="ED127:EE127"/>
    <mergeCell ref="DV116:DW116"/>
    <mergeCell ref="DX116:DY116"/>
    <mergeCell ref="ED125:EE125"/>
    <mergeCell ref="EP126:EQ126"/>
    <mergeCell ref="DT128:DU128"/>
    <mergeCell ref="DT81:DU81"/>
    <mergeCell ref="DV122:DW122"/>
    <mergeCell ref="EB127:EC127"/>
    <mergeCell ref="DT123:DU123"/>
    <mergeCell ref="DZ113:EA113"/>
    <mergeCell ref="EB112:EC112"/>
    <mergeCell ref="EL127:EM127"/>
    <mergeCell ref="EL117:EM117"/>
    <mergeCell ref="EF116:EG116"/>
    <mergeCell ref="EB116:EC116"/>
    <mergeCell ref="DV118:DW118"/>
    <mergeCell ref="EN113:EO113"/>
    <mergeCell ref="EP114:EQ114"/>
    <mergeCell ref="DV117:DW117"/>
    <mergeCell ref="EF119:EG119"/>
    <mergeCell ref="EN87:EO87"/>
    <mergeCell ref="EB113:EC113"/>
    <mergeCell ref="EL125:EM125"/>
    <mergeCell ref="DT118:DU118"/>
    <mergeCell ref="EP80:EQ80"/>
    <mergeCell ref="EN78:EO78"/>
    <mergeCell ref="DX80:DY80"/>
    <mergeCell ref="DZ76:EA76"/>
    <mergeCell ref="ED78:EE78"/>
    <mergeCell ref="EF82:EG82"/>
    <mergeCell ref="ED80:EE80"/>
    <mergeCell ref="DZ79:EA79"/>
    <mergeCell ref="EN82:EO82"/>
    <mergeCell ref="ED82:EE82"/>
    <mergeCell ref="DZ82:EA82"/>
    <mergeCell ref="EP87:EQ87"/>
    <mergeCell ref="EB73:EC73"/>
    <mergeCell ref="EH80:EI80"/>
    <mergeCell ref="EP76:EQ76"/>
    <mergeCell ref="DZ78:EA78"/>
    <mergeCell ref="ED75:EE75"/>
    <mergeCell ref="EL120:EM120"/>
    <mergeCell ref="EB80:EC80"/>
    <mergeCell ref="DZ119:EA119"/>
    <mergeCell ref="DX120:DY120"/>
    <mergeCell ref="DX118:DY118"/>
    <mergeCell ref="DV125:DW125"/>
    <mergeCell ref="ED119:EE119"/>
    <mergeCell ref="EL112:EM112"/>
    <mergeCell ref="EL87:EM87"/>
    <mergeCell ref="DZ117:EA117"/>
    <mergeCell ref="EL80:EM80"/>
    <mergeCell ref="EN119:EO119"/>
    <mergeCell ref="DZ81:EA81"/>
    <mergeCell ref="EP83:EQ83"/>
    <mergeCell ref="DX113:DY113"/>
    <mergeCell ref="EH73:EI73"/>
    <mergeCell ref="EJ75:EK75"/>
    <mergeCell ref="EJ117:EK117"/>
    <mergeCell ref="EB79:EC79"/>
    <mergeCell ref="EN80:EO80"/>
    <mergeCell ref="DZ80:EA80"/>
    <mergeCell ref="DV111:DW111"/>
    <mergeCell ref="DV75:DW75"/>
    <mergeCell ref="EH122:EI122"/>
    <mergeCell ref="EH124:EI124"/>
    <mergeCell ref="EH125:EI125"/>
    <mergeCell ref="EH123:EI123"/>
    <mergeCell ref="DZ116:EA116"/>
    <mergeCell ref="DX119:DY119"/>
    <mergeCell ref="DX115:DY115"/>
    <mergeCell ref="EJ80:EK80"/>
    <mergeCell ref="EJ113:EK113"/>
    <mergeCell ref="DX122:DY122"/>
    <mergeCell ref="DX121:DY121"/>
    <mergeCell ref="DZ121:EA121"/>
    <mergeCell ref="ED116:EE116"/>
    <mergeCell ref="EF114:EG114"/>
    <mergeCell ref="EF87:EG87"/>
    <mergeCell ref="ED79:EE79"/>
    <mergeCell ref="EJ79:EK79"/>
    <mergeCell ref="EB76:EC76"/>
    <mergeCell ref="ED76:EE76"/>
    <mergeCell ref="EP120:EQ120"/>
    <mergeCell ref="EH121:EI121"/>
    <mergeCell ref="DZ114:EA114"/>
    <mergeCell ref="EH119:EI119"/>
    <mergeCell ref="EH111:EI111"/>
    <mergeCell ref="EJ116:EK116"/>
    <mergeCell ref="EH120:EI120"/>
    <mergeCell ref="EF117:EG117"/>
    <mergeCell ref="DV80:DW80"/>
    <mergeCell ref="DR80:DS80"/>
    <mergeCell ref="DV81:DW81"/>
    <mergeCell ref="DX81:DY81"/>
    <mergeCell ref="DR70:DS70"/>
    <mergeCell ref="DX79:DY79"/>
    <mergeCell ref="EJ72:EK72"/>
    <mergeCell ref="EJ78:EK78"/>
    <mergeCell ref="EB78:EC78"/>
    <mergeCell ref="EH78:EI78"/>
    <mergeCell ref="EF76:EG76"/>
    <mergeCell ref="DT75:DU75"/>
    <mergeCell ref="DX78:DY78"/>
    <mergeCell ref="EH76:EI76"/>
    <mergeCell ref="EH75:EI75"/>
    <mergeCell ref="DT119:DU119"/>
    <mergeCell ref="DV120:DW120"/>
    <mergeCell ref="DZ118:EA118"/>
    <mergeCell ref="EB111:EC111"/>
    <mergeCell ref="DX117:DY117"/>
    <mergeCell ref="DX75:DY75"/>
    <mergeCell ref="EF80:EG80"/>
    <mergeCell ref="DV79:DW79"/>
    <mergeCell ref="EF79:EG79"/>
    <mergeCell ref="DV83:DW83"/>
    <mergeCell ref="DV82:DW82"/>
    <mergeCell ref="DP83:DQ83"/>
    <mergeCell ref="EH72:EI72"/>
    <mergeCell ref="DV113:DW113"/>
    <mergeCell ref="ED115:EE115"/>
    <mergeCell ref="EH118:EI118"/>
    <mergeCell ref="DT71:DU71"/>
    <mergeCell ref="DZ71:EA71"/>
    <mergeCell ref="EJ73:EK73"/>
    <mergeCell ref="DT80:DU80"/>
    <mergeCell ref="DT111:DU111"/>
    <mergeCell ref="DP70:DQ70"/>
    <mergeCell ref="DT113:DU113"/>
    <mergeCell ref="EJ76:EK76"/>
    <mergeCell ref="ED120:EE120"/>
    <mergeCell ref="ED72:EE72"/>
    <mergeCell ref="EB71:EC71"/>
    <mergeCell ref="EB120:EC120"/>
    <mergeCell ref="DV115:DW115"/>
    <mergeCell ref="DX76:DY76"/>
    <mergeCell ref="DZ73:EA73"/>
    <mergeCell ref="DZ75:EA75"/>
    <mergeCell ref="DR82:DS82"/>
    <mergeCell ref="FN80:FO80"/>
    <mergeCell ref="EZ73:FA73"/>
    <mergeCell ref="FJ62:FK62"/>
    <mergeCell ref="FH66:FI66"/>
    <mergeCell ref="FH77:FI77"/>
    <mergeCell ref="FH75:FI75"/>
    <mergeCell ref="FD72:FE72"/>
    <mergeCell ref="FD76:FE76"/>
    <mergeCell ref="EV72:EW72"/>
    <mergeCell ref="FB79:FC79"/>
    <mergeCell ref="FL62:FM62"/>
    <mergeCell ref="EZ80:FA80"/>
    <mergeCell ref="ET80:EU80"/>
    <mergeCell ref="FL64:FM64"/>
    <mergeCell ref="FD80:FE80"/>
    <mergeCell ref="FD79:FE79"/>
    <mergeCell ref="FH80:FI80"/>
    <mergeCell ref="ER76:ES76"/>
    <mergeCell ref="EX80:EY80"/>
    <mergeCell ref="EZ68:FA68"/>
    <mergeCell ref="ER79:ES79"/>
    <mergeCell ref="EV80:EW80"/>
    <mergeCell ref="FJ80:FK80"/>
    <mergeCell ref="FP78:FQ78"/>
    <mergeCell ref="ET79:EU79"/>
    <mergeCell ref="EV79:EW79"/>
    <mergeCell ref="FF80:FG80"/>
    <mergeCell ref="FH63:FI63"/>
    <mergeCell ref="EX78:EY78"/>
    <mergeCell ref="EX75:EY75"/>
    <mergeCell ref="EZ69:FA69"/>
    <mergeCell ref="FD64:FE64"/>
    <mergeCell ref="FB76:FC76"/>
    <mergeCell ref="FB72:FC72"/>
    <mergeCell ref="FJ73:FK73"/>
    <mergeCell ref="FJ65:FK65"/>
    <mergeCell ref="FJ72:FK72"/>
    <mergeCell ref="FJ71:FK71"/>
    <mergeCell ref="FJ70:FK70"/>
    <mergeCell ref="FJ74:FK74"/>
    <mergeCell ref="FF75:FG75"/>
    <mergeCell ref="FL71:FM71"/>
    <mergeCell ref="FB78:FC78"/>
    <mergeCell ref="FD73:FE73"/>
    <mergeCell ref="FB65:FC65"/>
    <mergeCell ref="FH65:FI65"/>
    <mergeCell ref="EV75:EW75"/>
    <mergeCell ref="FN66:FO66"/>
    <mergeCell ref="EV62:EW62"/>
    <mergeCell ref="FJ69:FK69"/>
    <mergeCell ref="FH64:FI64"/>
    <mergeCell ref="EZ78:FA78"/>
    <mergeCell ref="FJ64:FK64"/>
    <mergeCell ref="EV76:EW76"/>
    <mergeCell ref="EX76:EY76"/>
    <mergeCell ref="EX73:EY73"/>
    <mergeCell ref="ET75:EU75"/>
    <mergeCell ref="FF74:FG74"/>
    <mergeCell ref="FB80:FC80"/>
    <mergeCell ref="EZ63:FA63"/>
    <mergeCell ref="EZ75:FA75"/>
    <mergeCell ref="FN78:FO78"/>
    <mergeCell ref="FH73:FI73"/>
    <mergeCell ref="FP71:FQ71"/>
    <mergeCell ref="EL72:EM72"/>
    <mergeCell ref="EP79:EQ79"/>
    <mergeCell ref="FF64:FG64"/>
    <mergeCell ref="FJ68:FK68"/>
    <mergeCell ref="FN67:FO67"/>
    <mergeCell ref="FN71:FO71"/>
    <mergeCell ref="FJ79:FK79"/>
    <mergeCell ref="FJ75:FK75"/>
    <mergeCell ref="FF77:FG77"/>
    <mergeCell ref="FF72:FG72"/>
    <mergeCell ref="FJ77:FK77"/>
    <mergeCell ref="FJ76:FK76"/>
    <mergeCell ref="FF73:FG73"/>
    <mergeCell ref="EV78:EW78"/>
    <mergeCell ref="ET69:EU69"/>
    <mergeCell ref="FL73:FM73"/>
    <mergeCell ref="FB67:FC67"/>
    <mergeCell ref="FN79:FO79"/>
    <mergeCell ref="FL75:FM75"/>
    <mergeCell ref="FD67:FE67"/>
    <mergeCell ref="FB71:FC71"/>
    <mergeCell ref="FP72:FQ72"/>
    <mergeCell ref="FH72:FI72"/>
    <mergeCell ref="FF67:FG67"/>
    <mergeCell ref="FH67:FI67"/>
    <mergeCell ref="FF71:FG71"/>
    <mergeCell ref="FD78:FE78"/>
    <mergeCell ref="FB68:FC68"/>
    <mergeCell ref="FB66:FC66"/>
    <mergeCell ref="FN76:FO76"/>
    <mergeCell ref="FJ78:FK78"/>
    <mergeCell ref="FF70:FG70"/>
    <mergeCell ref="FB75:FC75"/>
    <mergeCell ref="FB73:FC73"/>
    <mergeCell ref="FB69:FC69"/>
    <mergeCell ref="EP72:EQ72"/>
    <mergeCell ref="EN75:EO75"/>
    <mergeCell ref="EL78:EM78"/>
    <mergeCell ref="EN72:EO72"/>
    <mergeCell ref="ER67:ES67"/>
    <mergeCell ref="EN67:EO67"/>
    <mergeCell ref="ER72:ES72"/>
    <mergeCell ref="EN76:EO76"/>
    <mergeCell ref="EV66:EW66"/>
    <mergeCell ref="EV70:EW70"/>
    <mergeCell ref="EV73:EW73"/>
    <mergeCell ref="ET70:EU70"/>
    <mergeCell ref="ER78:ES78"/>
    <mergeCell ref="EN69:EO69"/>
    <mergeCell ref="EP78:EQ78"/>
    <mergeCell ref="EZ79:FA79"/>
    <mergeCell ref="EX79:EY79"/>
    <mergeCell ref="FD75:FE75"/>
    <mergeCell ref="EZ64:FA64"/>
    <mergeCell ref="EL68:EM68"/>
    <mergeCell ref="ET66:EU66"/>
    <mergeCell ref="EV69:EW69"/>
    <mergeCell ref="EP68:EQ68"/>
    <mergeCell ref="EP71:EQ71"/>
    <mergeCell ref="ET72:EU72"/>
    <mergeCell ref="EL76:EM76"/>
    <mergeCell ref="EL73:EM73"/>
    <mergeCell ref="EL79:EM79"/>
    <mergeCell ref="FN77:FO77"/>
    <mergeCell ref="FB70:FC70"/>
    <mergeCell ref="EX67:EY67"/>
    <mergeCell ref="EP75:EQ75"/>
    <mergeCell ref="ET78:EU78"/>
    <mergeCell ref="ET76:EU76"/>
    <mergeCell ref="EZ72:FA72"/>
    <mergeCell ref="ER75:ES75"/>
    <mergeCell ref="EZ71:FA71"/>
    <mergeCell ref="EX66:EY66"/>
    <mergeCell ref="EV71:EW71"/>
    <mergeCell ref="FH78:FI78"/>
    <mergeCell ref="FD68:FE68"/>
    <mergeCell ref="EX68:EY68"/>
    <mergeCell ref="EX69:EY69"/>
    <mergeCell ref="EV68:EW68"/>
    <mergeCell ref="EX72:EY72"/>
    <mergeCell ref="FH71:FI71"/>
    <mergeCell ref="FH76:FI76"/>
    <mergeCell ref="FH68:FI68"/>
    <mergeCell ref="FH70:FI70"/>
    <mergeCell ref="FF69:FG69"/>
    <mergeCell ref="FF68:FG68"/>
    <mergeCell ref="EZ66:FA66"/>
    <mergeCell ref="FB60:FC60"/>
    <mergeCell ref="FF61:FG61"/>
    <mergeCell ref="EV65:EW65"/>
    <mergeCell ref="FL67:FM67"/>
    <mergeCell ref="FD66:FE66"/>
    <mergeCell ref="FL65:FM65"/>
    <mergeCell ref="FF65:FG65"/>
    <mergeCell ref="FJ66:FK66"/>
    <mergeCell ref="FJ67:FK67"/>
    <mergeCell ref="FL66:FM66"/>
    <mergeCell ref="ER62:ES62"/>
    <mergeCell ref="FL72:FM72"/>
    <mergeCell ref="ER73:ES73"/>
    <mergeCell ref="EZ76:FA76"/>
    <mergeCell ref="EP67:EQ67"/>
    <mergeCell ref="EP69:EQ69"/>
    <mergeCell ref="FL78:FM78"/>
    <mergeCell ref="ET67:EU67"/>
    <mergeCell ref="ET61:EU61"/>
    <mergeCell ref="ER63:ES63"/>
    <mergeCell ref="ET73:EU73"/>
    <mergeCell ref="FD65:FE65"/>
    <mergeCell ref="FH74:FI74"/>
    <mergeCell ref="FR47:FS47"/>
    <mergeCell ref="FT47:FU47"/>
    <mergeCell ref="FV55:FW55"/>
    <mergeCell ref="FL55:FM55"/>
    <mergeCell ref="FJ55:FK55"/>
    <mergeCell ref="FD52:FE52"/>
    <mergeCell ref="FD49:FE49"/>
    <mergeCell ref="FF53:FG53"/>
    <mergeCell ref="FH56:FI56"/>
    <mergeCell ref="FJ53:FK53"/>
    <mergeCell ref="FH53:FI53"/>
    <mergeCell ref="FR48:FS48"/>
    <mergeCell ref="FT48:FU48"/>
    <mergeCell ref="FV48:FW48"/>
    <mergeCell ref="FN52:FO52"/>
    <mergeCell ref="FP52:FQ52"/>
    <mergeCell ref="FV52:FW52"/>
    <mergeCell ref="FT57:FU57"/>
    <mergeCell ref="FP55:FQ55"/>
    <mergeCell ref="FN65:FO65"/>
    <mergeCell ref="EX70:EY70"/>
    <mergeCell ref="FF66:FG66"/>
    <mergeCell ref="FH69:FI69"/>
    <mergeCell ref="FF76:FG76"/>
    <mergeCell ref="FV54:FW54"/>
    <mergeCell ref="FR57:FS57"/>
    <mergeCell ref="FB56:FC56"/>
    <mergeCell ref="FD56:FE56"/>
    <mergeCell ref="FV57:FW57"/>
    <mergeCell ref="FB54:FC54"/>
    <mergeCell ref="EX61:EY61"/>
    <mergeCell ref="EZ60:FA60"/>
    <mergeCell ref="FB63:FC63"/>
    <mergeCell ref="FV59:FW59"/>
    <mergeCell ref="FB61:FC61"/>
    <mergeCell ref="FP54:FQ54"/>
    <mergeCell ref="FF58:FG58"/>
    <mergeCell ref="FH58:FI58"/>
    <mergeCell ref="FH61:FI61"/>
    <mergeCell ref="FL58:FM58"/>
    <mergeCell ref="FN58:FO58"/>
    <mergeCell ref="FR60:FS60"/>
    <mergeCell ref="FT60:FU60"/>
    <mergeCell ref="FD60:FE60"/>
    <mergeCell ref="FF60:FG60"/>
    <mergeCell ref="FN60:FO60"/>
    <mergeCell ref="FP61:FQ61"/>
    <mergeCell ref="FH60:FI60"/>
    <mergeCell ref="FJ60:FK60"/>
    <mergeCell ref="FP57:FQ57"/>
    <mergeCell ref="FJ61:FK61"/>
    <mergeCell ref="FV61:FW61"/>
    <mergeCell ref="FT61:FU61"/>
    <mergeCell ref="FV60:FW60"/>
    <mergeCell ref="FL60:FM60"/>
    <mergeCell ref="FF56:FG56"/>
    <mergeCell ref="FH59:FI59"/>
    <mergeCell ref="FN56:FO56"/>
    <mergeCell ref="FP56:FQ56"/>
    <mergeCell ref="FN63:FO63"/>
    <mergeCell ref="FD59:FE59"/>
    <mergeCell ref="FD54:FE54"/>
    <mergeCell ref="EZ55:FA55"/>
    <mergeCell ref="FR56:FS56"/>
    <mergeCell ref="FX53:FY53"/>
    <mergeCell ref="FT52:FU52"/>
    <mergeCell ref="FJ49:FK49"/>
    <mergeCell ref="FL49:FM49"/>
    <mergeCell ref="FN49:FO49"/>
    <mergeCell ref="FP49:FQ49"/>
    <mergeCell ref="FR49:FS49"/>
    <mergeCell ref="FF49:FG49"/>
    <mergeCell ref="FH49:FI49"/>
    <mergeCell ref="FF55:FG55"/>
    <mergeCell ref="FT58:FU58"/>
    <mergeCell ref="FF59:FG59"/>
    <mergeCell ref="FP58:FQ58"/>
    <mergeCell ref="FP59:FQ59"/>
    <mergeCell ref="FR59:FS59"/>
    <mergeCell ref="FN59:FO59"/>
    <mergeCell ref="FF63:FG63"/>
    <mergeCell ref="FT59:FU59"/>
    <mergeCell ref="FT63:FU63"/>
    <mergeCell ref="FF62:FG62"/>
    <mergeCell ref="FH62:FI62"/>
    <mergeCell ref="FJ63:FK63"/>
    <mergeCell ref="FD55:FE55"/>
    <mergeCell ref="FN55:FO55"/>
    <mergeCell ref="FD63:FE63"/>
    <mergeCell ref="FR61:FS61"/>
    <mergeCell ref="FL61:FM61"/>
    <mergeCell ref="FP60:FQ60"/>
    <mergeCell ref="FN61:FO61"/>
    <mergeCell ref="FN62:FO62"/>
    <mergeCell ref="FT62:FU62"/>
    <mergeCell ref="FD62:FE62"/>
    <mergeCell ref="FT56:FU56"/>
    <mergeCell ref="FD57:FE57"/>
    <mergeCell ref="FD58:FE58"/>
    <mergeCell ref="FJ58:FK58"/>
    <mergeCell ref="FF57:FG57"/>
    <mergeCell ref="FJ56:FK56"/>
    <mergeCell ref="FL56:FM56"/>
    <mergeCell ref="FP53:FQ53"/>
    <mergeCell ref="FP62:FQ62"/>
    <mergeCell ref="FJ59:FK59"/>
    <mergeCell ref="FR58:FS58"/>
    <mergeCell ref="FR42:FS42"/>
    <mergeCell ref="FT42:FU42"/>
    <mergeCell ref="FV42:FW42"/>
    <mergeCell ref="FX42:FY42"/>
    <mergeCell ref="FH43:FI43"/>
    <mergeCell ref="FJ43:FK43"/>
    <mergeCell ref="FN50:FO50"/>
    <mergeCell ref="FP50:FQ50"/>
    <mergeCell ref="FN47:FO47"/>
    <mergeCell ref="EZ47:FA47"/>
    <mergeCell ref="ET49:EU49"/>
    <mergeCell ref="ET48:EU48"/>
    <mergeCell ref="EV48:EW48"/>
    <mergeCell ref="EV56:EW56"/>
    <mergeCell ref="EX49:EY49"/>
    <mergeCell ref="EZ49:FA49"/>
    <mergeCell ref="FB49:FC49"/>
    <mergeCell ref="EZ52:FA52"/>
    <mergeCell ref="EZ50:FA50"/>
    <mergeCell ref="FB50:FC50"/>
    <mergeCell ref="EZ51:FA51"/>
    <mergeCell ref="FB62:FC62"/>
    <mergeCell ref="EV60:EW60"/>
    <mergeCell ref="FR53:FS53"/>
    <mergeCell ref="FJ48:FK48"/>
    <mergeCell ref="FT54:FU54"/>
    <mergeCell ref="FN54:FO54"/>
    <mergeCell ref="FV53:FW53"/>
    <mergeCell ref="FX54:FY54"/>
    <mergeCell ref="FT53:FU53"/>
    <mergeCell ref="FH48:FI48"/>
    <mergeCell ref="FX59:FY59"/>
    <mergeCell ref="FX60:FY60"/>
    <mergeCell ref="FX57:FY57"/>
    <mergeCell ref="FR54:FS54"/>
    <mergeCell ref="FR52:FS52"/>
    <mergeCell ref="FF52:FG52"/>
    <mergeCell ref="FF50:FG50"/>
    <mergeCell ref="FH50:FI50"/>
    <mergeCell ref="FJ50:FK50"/>
    <mergeCell ref="FT49:FU49"/>
    <mergeCell ref="FN48:FO48"/>
    <mergeCell ref="FL52:FM52"/>
    <mergeCell ref="FX52:FY52"/>
    <mergeCell ref="FJ51:FK51"/>
    <mergeCell ref="FL51:FM51"/>
    <mergeCell ref="FN51:FO51"/>
    <mergeCell ref="FP51:FQ51"/>
    <mergeCell ref="FR51:FS51"/>
    <mergeCell ref="FT51:FU51"/>
    <mergeCell ref="FV51:FW51"/>
    <mergeCell ref="FX51:FY51"/>
    <mergeCell ref="FF51:FG51"/>
    <mergeCell ref="FH51:FI51"/>
    <mergeCell ref="FR55:FS55"/>
    <mergeCell ref="FT55:FU55"/>
    <mergeCell ref="FL59:FM59"/>
    <mergeCell ref="FD61:FE61"/>
    <mergeCell ref="EZ57:FA57"/>
    <mergeCell ref="FH55:FI55"/>
    <mergeCell ref="FV47:FW47"/>
    <mergeCell ref="FX62:FY62"/>
    <mergeCell ref="FR62:FS62"/>
    <mergeCell ref="FX55:FY55"/>
    <mergeCell ref="FR41:FS41"/>
    <mergeCell ref="FT41:FU41"/>
    <mergeCell ref="FV41:FW41"/>
    <mergeCell ref="FX41:FY41"/>
    <mergeCell ref="FF43:FG43"/>
    <mergeCell ref="FF40:FG40"/>
    <mergeCell ref="FH40:FI40"/>
    <mergeCell ref="FJ40:FK40"/>
    <mergeCell ref="FL40:FM40"/>
    <mergeCell ref="FT46:FU46"/>
    <mergeCell ref="FV46:FW46"/>
    <mergeCell ref="FX46:FY46"/>
    <mergeCell ref="FF48:FG48"/>
    <mergeCell ref="FR44:FS44"/>
    <mergeCell ref="FT44:FU44"/>
    <mergeCell ref="FV44:FW44"/>
    <mergeCell ref="FX44:FY44"/>
    <mergeCell ref="FX48:FY48"/>
    <mergeCell ref="FN39:FO39"/>
    <mergeCell ref="FN40:FO40"/>
    <mergeCell ref="FF45:FG45"/>
    <mergeCell ref="FL43:FM43"/>
    <mergeCell ref="FX40:FY40"/>
    <mergeCell ref="FL47:FM47"/>
    <mergeCell ref="FN43:FO43"/>
    <mergeCell ref="ER59:ES59"/>
    <mergeCell ref="EV67:EW67"/>
    <mergeCell ref="FD53:FE53"/>
    <mergeCell ref="EZ56:FA56"/>
    <mergeCell ref="EX54:EY54"/>
    <mergeCell ref="ER57:ES57"/>
    <mergeCell ref="EV57:EW57"/>
    <mergeCell ref="FB55:FC55"/>
    <mergeCell ref="FV50:FW50"/>
    <mergeCell ref="FN42:FO42"/>
    <mergeCell ref="FP42:FQ42"/>
    <mergeCell ref="FL50:FM50"/>
    <mergeCell ref="FR50:FS50"/>
    <mergeCell ref="FT50:FU50"/>
    <mergeCell ref="FX49:FY49"/>
    <mergeCell ref="FV49:FW49"/>
    <mergeCell ref="FP43:FQ43"/>
    <mergeCell ref="FR43:FS43"/>
    <mergeCell ref="FT43:FU43"/>
    <mergeCell ref="FV43:FW43"/>
    <mergeCell ref="FX43:FY43"/>
    <mergeCell ref="FF44:FG44"/>
    <mergeCell ref="FH44:FI44"/>
    <mergeCell ref="FJ44:FK44"/>
    <mergeCell ref="FL44:FM44"/>
    <mergeCell ref="FN44:FO44"/>
    <mergeCell ref="FP44:FQ44"/>
    <mergeCell ref="FP45:FQ45"/>
    <mergeCell ref="FR45:FS45"/>
    <mergeCell ref="FT45:FU45"/>
    <mergeCell ref="FV45:FW45"/>
    <mergeCell ref="FX45:FY45"/>
    <mergeCell ref="FR46:FS46"/>
    <mergeCell ref="FH54:FI54"/>
    <mergeCell ref="FJ54:FK54"/>
    <mergeCell ref="FX50:FY50"/>
    <mergeCell ref="FJ52:FK52"/>
    <mergeCell ref="EZ41:FA41"/>
    <mergeCell ref="FB41:FC41"/>
    <mergeCell ref="FX38:FY38"/>
    <mergeCell ref="EZ37:FA37"/>
    <mergeCell ref="FB37:FC37"/>
    <mergeCell ref="FD37:FE37"/>
    <mergeCell ref="EZ35:FA35"/>
    <mergeCell ref="FB35:FC35"/>
    <mergeCell ref="FD35:FE35"/>
    <mergeCell ref="FF35:FG35"/>
    <mergeCell ref="FH35:FI35"/>
    <mergeCell ref="FJ35:FK35"/>
    <mergeCell ref="FL35:FM35"/>
    <mergeCell ref="FN35:FO35"/>
    <mergeCell ref="FL38:FM38"/>
    <mergeCell ref="FJ38:FK38"/>
    <mergeCell ref="EZ40:FA40"/>
    <mergeCell ref="EZ38:FA38"/>
    <mergeCell ref="FB38:FC38"/>
    <mergeCell ref="FP40:FQ40"/>
    <mergeCell ref="FR40:FS40"/>
    <mergeCell ref="FF39:FG39"/>
    <mergeCell ref="FH39:FI39"/>
    <mergeCell ref="FJ39:FK39"/>
    <mergeCell ref="FL39:FM39"/>
    <mergeCell ref="FP39:FQ39"/>
    <mergeCell ref="FR39:FS39"/>
    <mergeCell ref="FT39:FU39"/>
    <mergeCell ref="FV39:FW39"/>
    <mergeCell ref="FX39:FY39"/>
    <mergeCell ref="FV36:FW36"/>
    <mergeCell ref="FX36:FY36"/>
    <mergeCell ref="FT35:FU35"/>
    <mergeCell ref="FV35:FW35"/>
    <mergeCell ref="FX35:FY35"/>
    <mergeCell ref="EZ36:FA36"/>
    <mergeCell ref="FB36:FC36"/>
    <mergeCell ref="FD36:FE36"/>
    <mergeCell ref="FH36:FI36"/>
    <mergeCell ref="FJ36:FK36"/>
    <mergeCell ref="FL36:FM36"/>
    <mergeCell ref="FN36:FO36"/>
    <mergeCell ref="FP36:FQ36"/>
    <mergeCell ref="FF36:FG36"/>
    <mergeCell ref="FR35:FS35"/>
    <mergeCell ref="FB40:FC40"/>
    <mergeCell ref="FD40:FE40"/>
    <mergeCell ref="EZ39:FA39"/>
    <mergeCell ref="FB39:FC39"/>
    <mergeCell ref="FR37:FS37"/>
    <mergeCell ref="FT37:FU37"/>
    <mergeCell ref="FV37:FW37"/>
    <mergeCell ref="FX37:FY37"/>
    <mergeCell ref="FP35:FQ35"/>
    <mergeCell ref="FX47:FY47"/>
    <mergeCell ref="FH52:FI52"/>
    <mergeCell ref="FN53:FO53"/>
    <mergeCell ref="FX33:FY33"/>
    <mergeCell ref="FF34:FG34"/>
    <mergeCell ref="FH34:FI34"/>
    <mergeCell ref="FJ34:FK34"/>
    <mergeCell ref="FL34:FM34"/>
    <mergeCell ref="FN34:FO34"/>
    <mergeCell ref="FP34:FQ34"/>
    <mergeCell ref="FR34:FS34"/>
    <mergeCell ref="FT34:FU34"/>
    <mergeCell ref="FV34:FW34"/>
    <mergeCell ref="FX34:FY34"/>
    <mergeCell ref="ER32:ES32"/>
    <mergeCell ref="ET32:EU32"/>
    <mergeCell ref="EV32:EW32"/>
    <mergeCell ref="EZ34:FA34"/>
    <mergeCell ref="FB34:FC34"/>
    <mergeCell ref="ER22:ES22"/>
    <mergeCell ref="EZ22:FA22"/>
    <mergeCell ref="ET22:EU22"/>
    <mergeCell ref="EV22:EW22"/>
    <mergeCell ref="FN26:FO26"/>
    <mergeCell ref="FP26:FQ26"/>
    <mergeCell ref="FR26:FS26"/>
    <mergeCell ref="FT26:FU26"/>
    <mergeCell ref="FP30:FQ30"/>
    <mergeCell ref="FR30:FS30"/>
    <mergeCell ref="FT30:FU30"/>
    <mergeCell ref="FV30:FW30"/>
    <mergeCell ref="FX30:FY30"/>
    <mergeCell ref="FV29:FW29"/>
    <mergeCell ref="FX29:FY29"/>
    <mergeCell ref="FH29:FI29"/>
    <mergeCell ref="FJ29:FK29"/>
    <mergeCell ref="FL29:FM29"/>
    <mergeCell ref="FN29:FO29"/>
    <mergeCell ref="EX24:EY24"/>
    <mergeCell ref="FD29:FE29"/>
    <mergeCell ref="FP29:FQ29"/>
    <mergeCell ref="FR29:FS29"/>
    <mergeCell ref="FT29:FU29"/>
    <mergeCell ref="FB25:FC25"/>
    <mergeCell ref="FX31:FY31"/>
    <mergeCell ref="FJ32:FK32"/>
    <mergeCell ref="FL32:FM32"/>
    <mergeCell ref="FD34:FE34"/>
    <mergeCell ref="EZ32:FA32"/>
    <mergeCell ref="FB32:FC32"/>
    <mergeCell ref="EZ31:FA31"/>
    <mergeCell ref="FB31:FC31"/>
    <mergeCell ref="FP33:FQ33"/>
    <mergeCell ref="EX51:EY51"/>
    <mergeCell ref="EX38:EY38"/>
    <mergeCell ref="ET40:EU40"/>
    <mergeCell ref="EZ42:FA42"/>
    <mergeCell ref="FD38:FE38"/>
    <mergeCell ref="FF38:FG38"/>
    <mergeCell ref="FP37:FQ37"/>
    <mergeCell ref="FP47:FQ47"/>
    <mergeCell ref="FR38:FS38"/>
    <mergeCell ref="FT38:FU38"/>
    <mergeCell ref="FV38:FW38"/>
    <mergeCell ref="FX19:FY19"/>
    <mergeCell ref="FL23:FM23"/>
    <mergeCell ref="FN23:FO23"/>
    <mergeCell ref="FP23:FQ23"/>
    <mergeCell ref="FR23:FS23"/>
    <mergeCell ref="FT23:FU23"/>
    <mergeCell ref="ER23:ES23"/>
    <mergeCell ref="ET23:EU23"/>
    <mergeCell ref="EV23:EW23"/>
    <mergeCell ref="EX23:EY23"/>
    <mergeCell ref="EZ23:FA23"/>
    <mergeCell ref="FB23:FC23"/>
    <mergeCell ref="FD23:FE23"/>
    <mergeCell ref="FF23:FG23"/>
    <mergeCell ref="FH23:FI23"/>
    <mergeCell ref="FV24:FW24"/>
    <mergeCell ref="FR22:FS22"/>
    <mergeCell ref="FT22:FU22"/>
    <mergeCell ref="FV22:FW22"/>
    <mergeCell ref="FX22:FY22"/>
    <mergeCell ref="FN24:FO24"/>
    <mergeCell ref="FB22:FC22"/>
    <mergeCell ref="FD22:FE22"/>
    <mergeCell ref="ER27:ES27"/>
    <mergeCell ref="FH1:FI1"/>
    <mergeCell ref="FJ1:FK1"/>
    <mergeCell ref="FR1:FS1"/>
    <mergeCell ref="FT1:FU1"/>
    <mergeCell ref="ER34:ES34"/>
    <mergeCell ref="ET34:EU34"/>
    <mergeCell ref="EX34:EY34"/>
    <mergeCell ref="EV34:EW34"/>
    <mergeCell ref="ER33:ES33"/>
    <mergeCell ref="FN32:FO32"/>
    <mergeCell ref="FP32:FQ32"/>
    <mergeCell ref="FR32:FS32"/>
    <mergeCell ref="FT32:FU32"/>
    <mergeCell ref="EZ33:FA33"/>
    <mergeCell ref="FB33:FC33"/>
    <mergeCell ref="FD33:FE33"/>
    <mergeCell ref="FF33:FG33"/>
    <mergeCell ref="FH33:FI33"/>
    <mergeCell ref="FJ33:FK33"/>
    <mergeCell ref="FL33:FM33"/>
    <mergeCell ref="FN33:FO33"/>
    <mergeCell ref="FD26:FE26"/>
    <mergeCell ref="FF26:FG26"/>
    <mergeCell ref="EV24:EW24"/>
    <mergeCell ref="FD24:FE24"/>
    <mergeCell ref="FF24:FG24"/>
    <mergeCell ref="FH24:FI24"/>
    <mergeCell ref="ER1:ES1"/>
    <mergeCell ref="FN28:FO28"/>
    <mergeCell ref="ET1:EU1"/>
    <mergeCell ref="FN30:FO30"/>
    <mergeCell ref="FH17:FI17"/>
    <mergeCell ref="FJ17:FK17"/>
    <mergeCell ref="FL17:FM17"/>
    <mergeCell ref="FN17:FO17"/>
    <mergeCell ref="EV1:EW1"/>
    <mergeCell ref="EX1:EY1"/>
    <mergeCell ref="EZ1:FA1"/>
    <mergeCell ref="FB24:FC24"/>
    <mergeCell ref="FN25:FO25"/>
    <mergeCell ref="FX20:FY20"/>
    <mergeCell ref="ER21:ES21"/>
    <mergeCell ref="ET21:EU21"/>
    <mergeCell ref="EV21:EW21"/>
    <mergeCell ref="EX21:EY21"/>
    <mergeCell ref="EZ21:FA21"/>
    <mergeCell ref="FB21:FC21"/>
    <mergeCell ref="FD21:FE21"/>
    <mergeCell ref="FF21:FG21"/>
    <mergeCell ref="FH21:FI21"/>
    <mergeCell ref="FJ21:FK21"/>
    <mergeCell ref="FL21:FM21"/>
    <mergeCell ref="FN21:FO21"/>
    <mergeCell ref="FP21:FQ21"/>
    <mergeCell ref="FR21:FS21"/>
    <mergeCell ref="FT21:FU21"/>
    <mergeCell ref="FV21:FW21"/>
    <mergeCell ref="ER29:ES29"/>
    <mergeCell ref="ET29:EU29"/>
    <mergeCell ref="EV29:EW29"/>
    <mergeCell ref="EX29:EY29"/>
    <mergeCell ref="EZ29:FA29"/>
    <mergeCell ref="FB29:FC29"/>
    <mergeCell ref="ER28:ES28"/>
    <mergeCell ref="ET28:EU28"/>
    <mergeCell ref="EV28:EW28"/>
    <mergeCell ref="EX28:EY28"/>
    <mergeCell ref="EZ28:FA28"/>
    <mergeCell ref="FB28:FC28"/>
    <mergeCell ref="FD28:FE28"/>
    <mergeCell ref="FF28:FG28"/>
    <mergeCell ref="FH28:FI28"/>
    <mergeCell ref="FJ28:FK28"/>
    <mergeCell ref="FL28:FM28"/>
    <mergeCell ref="EX25:EY25"/>
    <mergeCell ref="FP27:FQ27"/>
    <mergeCell ref="FR27:FS27"/>
    <mergeCell ref="FT27:FU27"/>
    <mergeCell ref="FV27:FW27"/>
    <mergeCell ref="FX27:FY27"/>
    <mergeCell ref="ER25:ES25"/>
    <mergeCell ref="ET25:EU25"/>
    <mergeCell ref="EV25:EW25"/>
    <mergeCell ref="FH25:FI25"/>
    <mergeCell ref="FL24:FM24"/>
    <mergeCell ref="FX28:FY28"/>
    <mergeCell ref="FF20:FG20"/>
    <mergeCell ref="FX23:FY23"/>
    <mergeCell ref="FX24:FY24"/>
    <mergeCell ref="FP20:FQ20"/>
    <mergeCell ref="FR20:FS20"/>
    <mergeCell ref="ET27:EU27"/>
    <mergeCell ref="EV27:EW27"/>
    <mergeCell ref="FB27:FC27"/>
    <mergeCell ref="FD27:FE27"/>
    <mergeCell ref="FF27:FG27"/>
    <mergeCell ref="FH27:FI27"/>
    <mergeCell ref="FJ27:FK27"/>
    <mergeCell ref="FL27:FM27"/>
    <mergeCell ref="FH20:FI20"/>
    <mergeCell ref="EV26:EW26"/>
    <mergeCell ref="EX26:EY26"/>
    <mergeCell ref="EZ26:FA26"/>
    <mergeCell ref="FB26:FC26"/>
    <mergeCell ref="FV19:FW19"/>
    <mergeCell ref="FV18:FW18"/>
    <mergeCell ref="FP31:FQ31"/>
    <mergeCell ref="FD45:FE45"/>
    <mergeCell ref="FH32:FI32"/>
    <mergeCell ref="EX32:EY32"/>
    <mergeCell ref="FL31:FM31"/>
    <mergeCell ref="FN31:FO31"/>
    <mergeCell ref="FD31:FE31"/>
    <mergeCell ref="FF31:FG31"/>
    <mergeCell ref="EV33:EW33"/>
    <mergeCell ref="ET33:EU33"/>
    <mergeCell ref="EX33:EY33"/>
    <mergeCell ref="FV23:FW23"/>
    <mergeCell ref="FD32:FE32"/>
    <mergeCell ref="FF32:FG32"/>
    <mergeCell ref="FH38:FI38"/>
    <mergeCell ref="FN37:FO37"/>
    <mergeCell ref="ER39:ES39"/>
    <mergeCell ref="FB30:FC30"/>
    <mergeCell ref="FD30:FE30"/>
    <mergeCell ref="FF30:FG30"/>
    <mergeCell ref="FH30:FI30"/>
    <mergeCell ref="FJ30:FK30"/>
    <mergeCell ref="FL30:FM30"/>
    <mergeCell ref="FF37:FG37"/>
    <mergeCell ref="FH37:FI37"/>
    <mergeCell ref="ER17:ES17"/>
    <mergeCell ref="ET17:EU17"/>
    <mergeCell ref="EV17:EW17"/>
    <mergeCell ref="EX17:EY17"/>
    <mergeCell ref="FV20:FW20"/>
    <mergeCell ref="FJ37:FK37"/>
    <mergeCell ref="FL37:FM37"/>
    <mergeCell ref="FT40:FU40"/>
    <mergeCell ref="FV40:FW40"/>
    <mergeCell ref="FD19:FE19"/>
    <mergeCell ref="ER24:ES24"/>
    <mergeCell ref="ET24:EU24"/>
    <mergeCell ref="EZ24:FA24"/>
    <mergeCell ref="FP24:FQ24"/>
    <mergeCell ref="FN22:FO22"/>
    <mergeCell ref="FF29:FG29"/>
    <mergeCell ref="ER30:ES30"/>
    <mergeCell ref="EZ45:FA45"/>
    <mergeCell ref="FB45:FC45"/>
    <mergeCell ref="ER18:ES18"/>
    <mergeCell ref="ET18:EU18"/>
    <mergeCell ref="EV18:EW18"/>
    <mergeCell ref="ER31:ES31"/>
    <mergeCell ref="ET31:EU31"/>
    <mergeCell ref="EV31:EW31"/>
    <mergeCell ref="EX31:EY31"/>
    <mergeCell ref="FJ18:FK18"/>
    <mergeCell ref="FL18:FM18"/>
    <mergeCell ref="FN18:FO18"/>
    <mergeCell ref="FF19:FG19"/>
    <mergeCell ref="FH31:FI31"/>
    <mergeCell ref="FJ31:FK31"/>
    <mergeCell ref="FR33:FS33"/>
    <mergeCell ref="FT33:FU33"/>
    <mergeCell ref="FV33:FW33"/>
    <mergeCell ref="FR36:FS36"/>
    <mergeCell ref="FT36:FU36"/>
    <mergeCell ref="FX17:FY17"/>
    <mergeCell ref="FN1:FO1"/>
    <mergeCell ref="FL1:FM1"/>
    <mergeCell ref="FX25:FY25"/>
    <mergeCell ref="FX26:FY26"/>
    <mergeCell ref="FX21:FY21"/>
    <mergeCell ref="FF18:FG18"/>
    <mergeCell ref="FH18:FI18"/>
    <mergeCell ref="EZ17:FA17"/>
    <mergeCell ref="FB17:FC17"/>
    <mergeCell ref="FD17:FE17"/>
    <mergeCell ref="FF17:FG17"/>
    <mergeCell ref="FP18:FQ18"/>
    <mergeCell ref="FR18:FS18"/>
    <mergeCell ref="FT18:FU18"/>
    <mergeCell ref="FX18:FY18"/>
    <mergeCell ref="FJ20:FK20"/>
    <mergeCell ref="FL20:FM20"/>
    <mergeCell ref="FN20:FO20"/>
    <mergeCell ref="FT20:FU20"/>
    <mergeCell ref="EX22:EY22"/>
    <mergeCell ref="FF22:FG22"/>
    <mergeCell ref="FV32:FW32"/>
    <mergeCell ref="FX32:FY32"/>
    <mergeCell ref="FR17:FS17"/>
    <mergeCell ref="FT17:FU17"/>
    <mergeCell ref="FP28:FQ28"/>
    <mergeCell ref="EZ44:FA44"/>
    <mergeCell ref="FR28:FS28"/>
    <mergeCell ref="FT28:FU28"/>
    <mergeCell ref="FV28:FW28"/>
    <mergeCell ref="EZ25:FA25"/>
    <mergeCell ref="FJ25:FK25"/>
    <mergeCell ref="FL25:FM25"/>
    <mergeCell ref="FV31:FW31"/>
    <mergeCell ref="FR24:FS24"/>
    <mergeCell ref="FR31:FS31"/>
    <mergeCell ref="FT31:FU31"/>
    <mergeCell ref="FV17:FW17"/>
    <mergeCell ref="EZ20:FA20"/>
    <mergeCell ref="FB20:FC20"/>
    <mergeCell ref="FP19:FQ19"/>
    <mergeCell ref="FR19:FS19"/>
    <mergeCell ref="FT19:FU19"/>
    <mergeCell ref="FT24:FU24"/>
    <mergeCell ref="FV1:FW1"/>
    <mergeCell ref="FX1:FY1"/>
    <mergeCell ref="FF1:FG1"/>
    <mergeCell ref="FH26:FI26"/>
    <mergeCell ref="FJ26:FK26"/>
    <mergeCell ref="FL26:FM26"/>
    <mergeCell ref="EX35:EY35"/>
    <mergeCell ref="EX30:EY30"/>
    <mergeCell ref="EZ30:FA30"/>
    <mergeCell ref="EX18:EY18"/>
    <mergeCell ref="FJ19:FK19"/>
    <mergeCell ref="FH19:FI19"/>
    <mergeCell ref="FT25:FU25"/>
    <mergeCell ref="FV25:FW25"/>
    <mergeCell ref="FR25:FS25"/>
    <mergeCell ref="FV26:FW26"/>
    <mergeCell ref="EX27:EY27"/>
    <mergeCell ref="EZ27:FA27"/>
    <mergeCell ref="FP22:FQ22"/>
    <mergeCell ref="FB1:FC1"/>
    <mergeCell ref="FD1:FE1"/>
    <mergeCell ref="FD39:FE39"/>
    <mergeCell ref="FP38:FQ38"/>
    <mergeCell ref="FP1:FQ1"/>
    <mergeCell ref="FN27:FO27"/>
    <mergeCell ref="FH22:FI22"/>
    <mergeCell ref="FJ22:FK22"/>
    <mergeCell ref="FL22:FM22"/>
    <mergeCell ref="EZ18:FA18"/>
    <mergeCell ref="FB18:FC18"/>
    <mergeCell ref="FD25:FE25"/>
    <mergeCell ref="FF25:FG25"/>
    <mergeCell ref="FP25:FQ25"/>
    <mergeCell ref="FD20:FE20"/>
    <mergeCell ref="FF41:FG41"/>
    <mergeCell ref="FH41:FI41"/>
    <mergeCell ref="FJ41:FK41"/>
    <mergeCell ref="FL41:FM41"/>
    <mergeCell ref="FN41:FO41"/>
    <mergeCell ref="FF42:FG42"/>
    <mergeCell ref="FH42:FI42"/>
    <mergeCell ref="FJ42:FK42"/>
    <mergeCell ref="FL42:FM42"/>
    <mergeCell ref="FP41:FQ41"/>
    <mergeCell ref="FP48:FQ48"/>
    <mergeCell ref="EX48:EY48"/>
    <mergeCell ref="FF46:FG46"/>
    <mergeCell ref="ER46:ES46"/>
    <mergeCell ref="ET46:EU46"/>
    <mergeCell ref="ER40:ES40"/>
    <mergeCell ref="ER38:ES38"/>
    <mergeCell ref="ER44:ES44"/>
    <mergeCell ref="FL19:FM19"/>
    <mergeCell ref="ER20:ES20"/>
    <mergeCell ref="ET20:EU20"/>
    <mergeCell ref="FD18:FE18"/>
    <mergeCell ref="FP17:FQ17"/>
    <mergeCell ref="EV35:EW35"/>
    <mergeCell ref="EX36:EY36"/>
    <mergeCell ref="ER35:ES35"/>
    <mergeCell ref="FN45:FO45"/>
    <mergeCell ref="FD44:FE44"/>
    <mergeCell ref="EX37:EY37"/>
    <mergeCell ref="ET37:EU37"/>
    <mergeCell ref="FN38:FO38"/>
    <mergeCell ref="FJ23:FK23"/>
    <mergeCell ref="EX46:EY46"/>
    <mergeCell ref="EV46:EW46"/>
    <mergeCell ref="EV45:EW45"/>
    <mergeCell ref="FH45:FI45"/>
    <mergeCell ref="FD46:FE46"/>
    <mergeCell ref="FF47:FG47"/>
    <mergeCell ref="FH47:FI47"/>
    <mergeCell ref="FL45:FM45"/>
    <mergeCell ref="FH46:FI46"/>
    <mergeCell ref="FJ46:FK46"/>
    <mergeCell ref="FL46:FM46"/>
    <mergeCell ref="FL48:FM48"/>
    <mergeCell ref="FN46:FO46"/>
    <mergeCell ref="FP46:FQ46"/>
    <mergeCell ref="FJ47:FK47"/>
    <mergeCell ref="ET38:EU38"/>
    <mergeCell ref="EV38:EW38"/>
    <mergeCell ref="ET59:EU59"/>
    <mergeCell ref="ET64:EU64"/>
    <mergeCell ref="FN19:FO19"/>
    <mergeCell ref="ER36:ES36"/>
    <mergeCell ref="ER37:ES37"/>
    <mergeCell ref="ET30:EU30"/>
    <mergeCell ref="EV30:EW30"/>
    <mergeCell ref="EV47:EW47"/>
    <mergeCell ref="ET35:EU35"/>
    <mergeCell ref="EV36:EW36"/>
    <mergeCell ref="ET36:EU36"/>
    <mergeCell ref="ER26:ES26"/>
    <mergeCell ref="ET26:EU26"/>
    <mergeCell ref="FJ45:FK45"/>
    <mergeCell ref="EV37:EW37"/>
    <mergeCell ref="EZ43:FA43"/>
    <mergeCell ref="FB43:FC43"/>
    <mergeCell ref="FD43:FE43"/>
    <mergeCell ref="ER19:ES19"/>
    <mergeCell ref="ET19:EU19"/>
    <mergeCell ref="EV19:EW19"/>
    <mergeCell ref="EX19:EY19"/>
    <mergeCell ref="EZ19:FA19"/>
    <mergeCell ref="FB19:FC19"/>
    <mergeCell ref="EV20:EW20"/>
    <mergeCell ref="EX20:EY20"/>
    <mergeCell ref="FJ24:FK24"/>
    <mergeCell ref="ET41:EU41"/>
    <mergeCell ref="ET39:EU39"/>
    <mergeCell ref="EV39:EW39"/>
    <mergeCell ref="EX39:EY39"/>
    <mergeCell ref="EX41:EY41"/>
    <mergeCell ref="EV41:EW41"/>
    <mergeCell ref="EV40:EW40"/>
    <mergeCell ref="EZ46:FA46"/>
    <mergeCell ref="FB42:FC42"/>
    <mergeCell ref="FD42:FE42"/>
    <mergeCell ref="EX43:EY43"/>
    <mergeCell ref="FB47:FC47"/>
    <mergeCell ref="FD47:FE47"/>
    <mergeCell ref="FD41:FE41"/>
    <mergeCell ref="EX42:EY42"/>
    <mergeCell ref="ER42:ES42"/>
    <mergeCell ref="FL54:FM54"/>
    <mergeCell ref="FH57:FI57"/>
    <mergeCell ref="FJ57:FK57"/>
    <mergeCell ref="FL57:FM57"/>
    <mergeCell ref="FN57:FO57"/>
    <mergeCell ref="FF54:FG54"/>
    <mergeCell ref="FL53:FM53"/>
    <mergeCell ref="EZ48:FA48"/>
    <mergeCell ref="FB48:FC48"/>
    <mergeCell ref="EZ61:FA61"/>
    <mergeCell ref="FB57:FC57"/>
    <mergeCell ref="FB58:FC58"/>
    <mergeCell ref="EZ59:FA59"/>
    <mergeCell ref="EX59:EY59"/>
    <mergeCell ref="EX58:EY58"/>
    <mergeCell ref="EV52:EW52"/>
    <mergeCell ref="ER49:ES49"/>
    <mergeCell ref="EN42:EO42"/>
    <mergeCell ref="ET42:EU42"/>
    <mergeCell ref="FD51:FE51"/>
    <mergeCell ref="EL71:EM71"/>
    <mergeCell ref="EX71:EY71"/>
    <mergeCell ref="FD69:FE69"/>
    <mergeCell ref="FD71:FE71"/>
    <mergeCell ref="EV50:EW50"/>
    <mergeCell ref="EV51:EW51"/>
    <mergeCell ref="EX63:EY63"/>
    <mergeCell ref="FB59:FC59"/>
    <mergeCell ref="EF66:EG66"/>
    <mergeCell ref="EX44:EY44"/>
    <mergeCell ref="EN49:EO49"/>
    <mergeCell ref="EP45:EQ45"/>
    <mergeCell ref="EN43:EO43"/>
    <mergeCell ref="EN44:EO44"/>
    <mergeCell ref="FD70:FE70"/>
    <mergeCell ref="ER71:ES71"/>
    <mergeCell ref="EZ70:FA70"/>
    <mergeCell ref="ER65:ES65"/>
    <mergeCell ref="EN68:EO68"/>
    <mergeCell ref="EJ68:EK68"/>
    <mergeCell ref="FB52:FC52"/>
    <mergeCell ref="EP62:EQ62"/>
    <mergeCell ref="ET63:EU63"/>
    <mergeCell ref="EV63:EW63"/>
    <mergeCell ref="EN66:EO66"/>
    <mergeCell ref="EZ58:FA58"/>
    <mergeCell ref="ER60:ES60"/>
    <mergeCell ref="EX60:EY60"/>
    <mergeCell ref="ET65:EU65"/>
    <mergeCell ref="EV53:EW53"/>
    <mergeCell ref="EV49:EW49"/>
    <mergeCell ref="EZ65:FA65"/>
    <mergeCell ref="EP70:EQ70"/>
    <mergeCell ref="EP66:EQ66"/>
    <mergeCell ref="ET60:EU60"/>
    <mergeCell ref="EL43:EM43"/>
    <mergeCell ref="EJ64:EK64"/>
    <mergeCell ref="EX50:EY50"/>
    <mergeCell ref="FB46:FC46"/>
    <mergeCell ref="EN51:EO51"/>
    <mergeCell ref="EN48:EO48"/>
    <mergeCell ref="EN58:EO58"/>
    <mergeCell ref="FB44:FC44"/>
    <mergeCell ref="FD50:FE50"/>
    <mergeCell ref="FD48:FE48"/>
    <mergeCell ref="EJ71:EK71"/>
    <mergeCell ref="EX52:EY52"/>
    <mergeCell ref="FB64:FC64"/>
    <mergeCell ref="EX62:EY62"/>
    <mergeCell ref="EZ53:FA53"/>
    <mergeCell ref="EZ54:FA54"/>
    <mergeCell ref="FB51:FC51"/>
    <mergeCell ref="EX64:EY64"/>
    <mergeCell ref="EN71:EO71"/>
    <mergeCell ref="EZ67:FA67"/>
    <mergeCell ref="FB53:FC53"/>
    <mergeCell ref="EJ69:EK69"/>
    <mergeCell ref="EP57:EQ57"/>
    <mergeCell ref="EH61:EI61"/>
    <mergeCell ref="EN52:EO52"/>
    <mergeCell ref="EP64:EQ64"/>
    <mergeCell ref="EL67:EM67"/>
    <mergeCell ref="EP46:EQ46"/>
    <mergeCell ref="EP50:EQ50"/>
    <mergeCell ref="ER56:ES56"/>
    <mergeCell ref="EH70:EI70"/>
    <mergeCell ref="EJ52:EK52"/>
    <mergeCell ref="ED71:EE71"/>
    <mergeCell ref="EJ59:EK59"/>
    <mergeCell ref="EJ58:EK58"/>
    <mergeCell ref="EH58:EI58"/>
    <mergeCell ref="EF51:EG51"/>
    <mergeCell ref="EJ51:EK51"/>
    <mergeCell ref="EH51:EI51"/>
    <mergeCell ref="EJ50:EK50"/>
    <mergeCell ref="ED48:EE48"/>
    <mergeCell ref="EF56:EG56"/>
    <mergeCell ref="ET71:EU71"/>
    <mergeCell ref="EP44:EQ44"/>
    <mergeCell ref="ER61:ES61"/>
    <mergeCell ref="ET68:EU68"/>
    <mergeCell ref="EL63:EM63"/>
    <mergeCell ref="EV59:EW59"/>
    <mergeCell ref="EP52:EQ52"/>
    <mergeCell ref="EL57:EM57"/>
    <mergeCell ref="EL60:EM60"/>
    <mergeCell ref="EF44:EG44"/>
    <mergeCell ref="EJ44:EK44"/>
    <mergeCell ref="ED54:EE54"/>
    <mergeCell ref="ED53:EE53"/>
    <mergeCell ref="ED51:EE51"/>
    <mergeCell ref="EL44:EM44"/>
    <mergeCell ref="ER66:ES66"/>
    <mergeCell ref="EL64:EM64"/>
    <mergeCell ref="EV58:EW58"/>
    <mergeCell ref="ER54:ES54"/>
    <mergeCell ref="EN45:EO45"/>
    <mergeCell ref="ET58:EU58"/>
    <mergeCell ref="ET56:EU56"/>
    <mergeCell ref="ET57:EU57"/>
    <mergeCell ref="EN54:EO54"/>
    <mergeCell ref="ED64:EE64"/>
    <mergeCell ref="ED63:EE63"/>
    <mergeCell ref="EH71:EI71"/>
    <mergeCell ref="EH64:EI64"/>
    <mergeCell ref="EH66:EI66"/>
    <mergeCell ref="EH44:EI44"/>
    <mergeCell ref="ER69:ES69"/>
    <mergeCell ref="ER70:ES70"/>
    <mergeCell ref="ER68:ES68"/>
    <mergeCell ref="EP65:EQ65"/>
    <mergeCell ref="ED69:EE69"/>
    <mergeCell ref="EL69:EM69"/>
    <mergeCell ref="EN70:EO70"/>
    <mergeCell ref="EN62:EO62"/>
    <mergeCell ref="EL70:EM70"/>
    <mergeCell ref="EJ65:EK65"/>
    <mergeCell ref="EJ70:EK70"/>
    <mergeCell ref="ET55:EU55"/>
    <mergeCell ref="ET44:EU44"/>
    <mergeCell ref="EN63:EO63"/>
    <mergeCell ref="ER47:ES47"/>
    <mergeCell ref="EN47:EO47"/>
    <mergeCell ref="ER55:ES55"/>
    <mergeCell ref="ET51:EU51"/>
    <mergeCell ref="EN79:EO79"/>
    <mergeCell ref="EN65:EO65"/>
    <mergeCell ref="EP73:EQ73"/>
    <mergeCell ref="EN61:EO61"/>
    <mergeCell ref="ED45:EE45"/>
    <mergeCell ref="EJ54:EK54"/>
    <mergeCell ref="EF46:EG46"/>
    <mergeCell ref="ED49:EE49"/>
    <mergeCell ref="EN53:EO53"/>
    <mergeCell ref="EJ67:EK67"/>
    <mergeCell ref="EJ62:EK62"/>
    <mergeCell ref="EH79:EI79"/>
    <mergeCell ref="EF78:EG78"/>
    <mergeCell ref="EP41:EQ41"/>
    <mergeCell ref="EL41:EM41"/>
    <mergeCell ref="EP43:EQ43"/>
    <mergeCell ref="EF43:EG43"/>
    <mergeCell ref="EJ42:EK42"/>
    <mergeCell ref="ED41:EE41"/>
    <mergeCell ref="EH41:EI41"/>
    <mergeCell ref="EJ43:EK43"/>
    <mergeCell ref="EH60:EI60"/>
    <mergeCell ref="EF62:EG62"/>
    <mergeCell ref="ER41:ES41"/>
    <mergeCell ref="ER43:ES43"/>
    <mergeCell ref="ER45:ES45"/>
    <mergeCell ref="EJ41:EK41"/>
    <mergeCell ref="ED61:EE61"/>
    <mergeCell ref="EH42:EI42"/>
    <mergeCell ref="ED42:EE42"/>
    <mergeCell ref="EF45:EG45"/>
    <mergeCell ref="EJ56:EK56"/>
    <mergeCell ref="EJ48:EK48"/>
    <mergeCell ref="ED44:EE44"/>
    <mergeCell ref="EH43:EI43"/>
    <mergeCell ref="EH56:EI56"/>
    <mergeCell ref="EP54:EQ54"/>
    <mergeCell ref="EP53:EQ53"/>
    <mergeCell ref="EP51:EQ51"/>
    <mergeCell ref="EN60:EO60"/>
    <mergeCell ref="EN50:EO50"/>
    <mergeCell ref="EL56:EM56"/>
    <mergeCell ref="EP47:EQ47"/>
    <mergeCell ref="EN55:EO55"/>
    <mergeCell ref="EN56:EO56"/>
    <mergeCell ref="EH59:EI59"/>
    <mergeCell ref="EH50:EI50"/>
    <mergeCell ref="EF52:EG52"/>
    <mergeCell ref="EP59:EQ59"/>
    <mergeCell ref="EL75:EM75"/>
    <mergeCell ref="EP56:EQ56"/>
    <mergeCell ref="EN57:EO57"/>
    <mergeCell ref="EJ66:EK66"/>
    <mergeCell ref="EF47:EG47"/>
    <mergeCell ref="EF53:EG53"/>
    <mergeCell ref="ED46:EE46"/>
    <mergeCell ref="EL58:EM58"/>
    <mergeCell ref="EL59:EM59"/>
    <mergeCell ref="EN41:EO41"/>
    <mergeCell ref="EL62:EM62"/>
    <mergeCell ref="EP58:EQ58"/>
    <mergeCell ref="EN46:EO46"/>
    <mergeCell ref="EP49:EQ49"/>
    <mergeCell ref="EL61:EM61"/>
    <mergeCell ref="EL66:EM66"/>
    <mergeCell ref="EL49:EM49"/>
    <mergeCell ref="EN73:EO73"/>
    <mergeCell ref="DV71:DW71"/>
    <mergeCell ref="DT67:DU67"/>
    <mergeCell ref="DR67:DS67"/>
    <mergeCell ref="DV63:DW63"/>
    <mergeCell ref="EF50:EG50"/>
    <mergeCell ref="EF54:EG54"/>
    <mergeCell ref="DR55:DS55"/>
    <mergeCell ref="ET53:EU53"/>
    <mergeCell ref="ET45:EU45"/>
    <mergeCell ref="ER51:ES51"/>
    <mergeCell ref="ER53:ES53"/>
    <mergeCell ref="ER48:ES48"/>
    <mergeCell ref="ER50:ES50"/>
    <mergeCell ref="EP63:EQ63"/>
    <mergeCell ref="EX40:EY40"/>
    <mergeCell ref="EX53:EY53"/>
    <mergeCell ref="ER52:ES52"/>
    <mergeCell ref="ER64:ES64"/>
    <mergeCell ref="EX65:EY65"/>
    <mergeCell ref="EP42:EQ42"/>
    <mergeCell ref="EL40:EM40"/>
    <mergeCell ref="EV64:EW64"/>
    <mergeCell ref="EP60:EQ60"/>
    <mergeCell ref="EX57:EY57"/>
    <mergeCell ref="ET47:EU47"/>
    <mergeCell ref="EL53:EM53"/>
    <mergeCell ref="EL51:EM51"/>
    <mergeCell ref="EL47:EM47"/>
    <mergeCell ref="ET43:EU43"/>
    <mergeCell ref="EV42:EW42"/>
    <mergeCell ref="EV43:EW43"/>
    <mergeCell ref="ET50:EU50"/>
    <mergeCell ref="EL45:EM45"/>
    <mergeCell ref="EL54:EM54"/>
    <mergeCell ref="EL65:EM65"/>
    <mergeCell ref="EL50:EM50"/>
    <mergeCell ref="EL46:EM46"/>
    <mergeCell ref="EP40:EQ40"/>
    <mergeCell ref="EV54:EW54"/>
    <mergeCell ref="EP48:EQ48"/>
    <mergeCell ref="ER58:ES58"/>
    <mergeCell ref="ET52:EU52"/>
    <mergeCell ref="ET54:EU54"/>
    <mergeCell ref="EV55:EW55"/>
    <mergeCell ref="EP55:EQ55"/>
    <mergeCell ref="EN59:EO59"/>
    <mergeCell ref="EV61:EW61"/>
    <mergeCell ref="EP61:EQ61"/>
    <mergeCell ref="ET62:EU62"/>
    <mergeCell ref="EN64:EO64"/>
    <mergeCell ref="EL42:EM42"/>
    <mergeCell ref="EL52:EM52"/>
    <mergeCell ref="EV44:EW44"/>
    <mergeCell ref="EX56:EY56"/>
    <mergeCell ref="EX55:EY55"/>
    <mergeCell ref="EX47:EY47"/>
    <mergeCell ref="EX45:EY45"/>
    <mergeCell ref="EL48:EM48"/>
    <mergeCell ref="EL55:EM55"/>
    <mergeCell ref="CX57:CY57"/>
    <mergeCell ref="DB58:DC58"/>
    <mergeCell ref="DB63:DC63"/>
    <mergeCell ref="DH69:DI69"/>
    <mergeCell ref="DB59:DC59"/>
    <mergeCell ref="DR60:DS60"/>
    <mergeCell ref="CH82:CI82"/>
    <mergeCell ref="ED68:EE68"/>
    <mergeCell ref="EB70:EC70"/>
    <mergeCell ref="CD76:CE76"/>
    <mergeCell ref="EB69:EC69"/>
    <mergeCell ref="DZ63:EA63"/>
    <mergeCell ref="EF73:EG73"/>
    <mergeCell ref="EF63:EG63"/>
    <mergeCell ref="DT65:DU65"/>
    <mergeCell ref="EB66:EC66"/>
    <mergeCell ref="EB67:EC67"/>
    <mergeCell ref="EB65:EC65"/>
    <mergeCell ref="EF68:EG68"/>
    <mergeCell ref="ED70:EE70"/>
    <mergeCell ref="EF67:EG67"/>
    <mergeCell ref="DV72:DW72"/>
    <mergeCell ref="EF72:EG72"/>
    <mergeCell ref="DT72:DU72"/>
    <mergeCell ref="DZ66:EA66"/>
    <mergeCell ref="ED65:EE65"/>
    <mergeCell ref="DX66:DY66"/>
    <mergeCell ref="DT64:DU64"/>
    <mergeCell ref="DR65:DS65"/>
    <mergeCell ref="DR66:DS66"/>
    <mergeCell ref="DX65:DY65"/>
    <mergeCell ref="DZ65:EA65"/>
    <mergeCell ref="DV73:DW73"/>
    <mergeCell ref="DX73:DY73"/>
    <mergeCell ref="EB68:EC68"/>
    <mergeCell ref="EF71:EG71"/>
    <mergeCell ref="DR73:DS73"/>
    <mergeCell ref="DX64:DY64"/>
    <mergeCell ref="EF70:EG70"/>
    <mergeCell ref="DP72:DQ72"/>
    <mergeCell ref="ED66:EE66"/>
    <mergeCell ref="EF69:EG69"/>
    <mergeCell ref="EB75:EC75"/>
    <mergeCell ref="EF75:EG75"/>
    <mergeCell ref="DR75:DS75"/>
    <mergeCell ref="ED73:EE73"/>
    <mergeCell ref="DT73:DU73"/>
    <mergeCell ref="DT82:DU82"/>
    <mergeCell ref="DT78:DU78"/>
    <mergeCell ref="DP76:DQ76"/>
    <mergeCell ref="DP80:DQ80"/>
    <mergeCell ref="DR81:DS81"/>
    <mergeCell ref="BR87:BS87"/>
    <mergeCell ref="BV81:BW81"/>
    <mergeCell ref="BZ113:CA113"/>
    <mergeCell ref="BZ115:CA115"/>
    <mergeCell ref="BZ114:CA114"/>
    <mergeCell ref="BR79:BS79"/>
    <mergeCell ref="BP116:BQ116"/>
    <mergeCell ref="CB87:CC87"/>
    <mergeCell ref="BT83:BU83"/>
    <mergeCell ref="BX113:BY113"/>
    <mergeCell ref="BX112:BY112"/>
    <mergeCell ref="DB83:DC83"/>
    <mergeCell ref="BT81:BU81"/>
    <mergeCell ref="BB80:BC80"/>
    <mergeCell ref="BJ81:BK81"/>
    <mergeCell ref="BT87:BU87"/>
    <mergeCell ref="BN58:BO58"/>
    <mergeCell ref="BL66:BM66"/>
    <mergeCell ref="BJ69:BK69"/>
    <mergeCell ref="BJ71:BK71"/>
    <mergeCell ref="BN73:BO73"/>
    <mergeCell ref="EH69:EI69"/>
    <mergeCell ref="ED62:EE62"/>
    <mergeCell ref="ED67:EE67"/>
    <mergeCell ref="DX71:DY71"/>
    <mergeCell ref="DR71:DS71"/>
    <mergeCell ref="DR68:DS68"/>
    <mergeCell ref="CZ64:DA64"/>
    <mergeCell ref="CV64:CW64"/>
    <mergeCell ref="CV62:CW62"/>
    <mergeCell ref="CT63:CU63"/>
    <mergeCell ref="CT62:CU62"/>
    <mergeCell ref="CR58:CS58"/>
    <mergeCell ref="CZ60:DA60"/>
    <mergeCell ref="CN61:CO61"/>
    <mergeCell ref="CR67:CS67"/>
    <mergeCell ref="CR62:CS62"/>
    <mergeCell ref="CJ72:CK72"/>
    <mergeCell ref="CL62:CM62"/>
    <mergeCell ref="CX58:CY58"/>
    <mergeCell ref="CV59:CW59"/>
    <mergeCell ref="CX63:CY63"/>
    <mergeCell ref="CX64:CY64"/>
    <mergeCell ref="CZ66:DA66"/>
    <mergeCell ref="CV68:CW68"/>
    <mergeCell ref="CV67:CW67"/>
    <mergeCell ref="CR66:CS66"/>
    <mergeCell ref="CJ58:CK58"/>
    <mergeCell ref="CR63:CS63"/>
    <mergeCell ref="CX61:CY61"/>
    <mergeCell ref="CX60:CY60"/>
    <mergeCell ref="CT58:CU58"/>
    <mergeCell ref="CV60:CW60"/>
    <mergeCell ref="CT59:CU59"/>
    <mergeCell ref="CJ62:CK62"/>
    <mergeCell ref="CL68:CM68"/>
    <mergeCell ref="CJ59:CK59"/>
    <mergeCell ref="CP65:CQ65"/>
    <mergeCell ref="CR65:CS65"/>
    <mergeCell ref="CT64:CU64"/>
    <mergeCell ref="CR69:CS69"/>
    <mergeCell ref="EH83:EI83"/>
    <mergeCell ref="DP87:DQ87"/>
    <mergeCell ref="DP112:DQ112"/>
    <mergeCell ref="BZ81:CA81"/>
    <mergeCell ref="BV116:BW116"/>
    <mergeCell ref="CF83:CG83"/>
    <mergeCell ref="BX114:BY114"/>
    <mergeCell ref="CB82:CC82"/>
    <mergeCell ref="BT79:BU79"/>
    <mergeCell ref="BL79:BM79"/>
    <mergeCell ref="BZ83:CA83"/>
    <mergeCell ref="BH83:BI83"/>
    <mergeCell ref="BF87:BG87"/>
    <mergeCell ref="BD115:BE115"/>
    <mergeCell ref="CD75:CE75"/>
    <mergeCell ref="CH81:CI81"/>
    <mergeCell ref="CB73:CC73"/>
    <mergeCell ref="CF76:CG76"/>
    <mergeCell ref="CH73:CI73"/>
    <mergeCell ref="CF78:CG78"/>
    <mergeCell ref="CF81:CG81"/>
    <mergeCell ref="CB80:CC80"/>
    <mergeCell ref="CD80:CE80"/>
    <mergeCell ref="CF73:CG73"/>
    <mergeCell ref="BX75:BY75"/>
    <mergeCell ref="BX87:BY87"/>
    <mergeCell ref="CF80:CG80"/>
    <mergeCell ref="CH115:CI115"/>
    <mergeCell ref="CB115:CC115"/>
    <mergeCell ref="CH116:CI116"/>
    <mergeCell ref="BT116:BU116"/>
    <mergeCell ref="CF82:CG82"/>
    <mergeCell ref="CD81:CE81"/>
    <mergeCell ref="BT76:BU76"/>
    <mergeCell ref="BP75:BQ75"/>
    <mergeCell ref="BR76:BS76"/>
    <mergeCell ref="CH112:CI112"/>
    <mergeCell ref="BX80:BY80"/>
    <mergeCell ref="BF116:BG116"/>
    <mergeCell ref="BD78:BE78"/>
    <mergeCell ref="BX116:BY116"/>
    <mergeCell ref="BN82:BO82"/>
    <mergeCell ref="CH114:CI114"/>
    <mergeCell ref="BX73:BY73"/>
    <mergeCell ref="CD73:CE73"/>
    <mergeCell ref="CH78:CI78"/>
    <mergeCell ref="CH76:CI76"/>
    <mergeCell ref="CF79:CG79"/>
    <mergeCell ref="CH79:CI79"/>
    <mergeCell ref="BZ79:CA79"/>
    <mergeCell ref="CH87:CI87"/>
    <mergeCell ref="CH113:CI113"/>
    <mergeCell ref="BV80:BW80"/>
    <mergeCell ref="CF111:CG111"/>
    <mergeCell ref="BN79:BO79"/>
    <mergeCell ref="BF80:BG80"/>
    <mergeCell ref="CH111:CI111"/>
    <mergeCell ref="CF115:CG115"/>
    <mergeCell ref="CF114:CG114"/>
    <mergeCell ref="CD116:CE116"/>
    <mergeCell ref="CF113:CG113"/>
    <mergeCell ref="CD79:CE79"/>
    <mergeCell ref="CD111:CE111"/>
    <mergeCell ref="BP115:BQ115"/>
    <mergeCell ref="BH115:BI115"/>
    <mergeCell ref="CF112:CG112"/>
    <mergeCell ref="CF87:CG87"/>
    <mergeCell ref="BX83:BY83"/>
    <mergeCell ref="CB83:CC83"/>
    <mergeCell ref="CB116:CC116"/>
    <mergeCell ref="BV87:BW87"/>
    <mergeCell ref="BT114:BU114"/>
    <mergeCell ref="BR114:BS114"/>
    <mergeCell ref="BX81:BY81"/>
    <mergeCell ref="CD112:CE112"/>
    <mergeCell ref="CD114:CE114"/>
    <mergeCell ref="AJ83:AK83"/>
    <mergeCell ref="AL119:AM119"/>
    <mergeCell ref="AJ120:AK120"/>
    <mergeCell ref="BR83:BS83"/>
    <mergeCell ref="BJ111:BK111"/>
    <mergeCell ref="AZ113:BA113"/>
    <mergeCell ref="BN116:BO116"/>
    <mergeCell ref="BH82:BI82"/>
    <mergeCell ref="BT82:BU82"/>
    <mergeCell ref="BP83:BQ83"/>
    <mergeCell ref="BL82:BM82"/>
    <mergeCell ref="CD117:CE117"/>
    <mergeCell ref="CF117:CG117"/>
    <mergeCell ref="BL116:BM116"/>
    <mergeCell ref="CD82:CE82"/>
    <mergeCell ref="CD87:CE87"/>
    <mergeCell ref="CF116:CG116"/>
    <mergeCell ref="CD83:CE83"/>
    <mergeCell ref="BL115:BM115"/>
    <mergeCell ref="BN114:BO114"/>
    <mergeCell ref="BL80:BM80"/>
    <mergeCell ref="BD79:BE79"/>
    <mergeCell ref="BB114:BC114"/>
    <mergeCell ref="CB79:CC79"/>
    <mergeCell ref="AV83:AW83"/>
    <mergeCell ref="BD82:BE82"/>
    <mergeCell ref="BD114:BE114"/>
    <mergeCell ref="CB81:CC81"/>
    <mergeCell ref="BT80:BU80"/>
    <mergeCell ref="BZ80:CA80"/>
    <mergeCell ref="CB112:CC112"/>
    <mergeCell ref="BT111:BU111"/>
    <mergeCell ref="BR113:BS113"/>
    <mergeCell ref="BV79:BW79"/>
    <mergeCell ref="CB113:CC113"/>
    <mergeCell ref="BN113:BO113"/>
    <mergeCell ref="BB79:BC79"/>
    <mergeCell ref="BX111:BY111"/>
    <mergeCell ref="BZ116:CA116"/>
    <mergeCell ref="BP80:BQ80"/>
    <mergeCell ref="BR80:BS80"/>
    <mergeCell ref="AZ81:BA81"/>
    <mergeCell ref="CB111:CC111"/>
    <mergeCell ref="BH81:BI81"/>
    <mergeCell ref="BN81:BO81"/>
    <mergeCell ref="BX79:BY79"/>
    <mergeCell ref="BH79:BI79"/>
    <mergeCell ref="BJ79:BK79"/>
    <mergeCell ref="BZ87:CA87"/>
    <mergeCell ref="BV83:BW83"/>
    <mergeCell ref="BX82:BY82"/>
    <mergeCell ref="BF82:BG82"/>
    <mergeCell ref="BF81:BG81"/>
    <mergeCell ref="BR81:BS81"/>
    <mergeCell ref="BJ82:BK82"/>
    <mergeCell ref="CD118:CE118"/>
    <mergeCell ref="BX121:BY121"/>
    <mergeCell ref="BX120:BY120"/>
    <mergeCell ref="BV119:BW119"/>
    <mergeCell ref="BL120:BM120"/>
    <mergeCell ref="BT121:BU121"/>
    <mergeCell ref="BZ111:CA111"/>
    <mergeCell ref="AJ118:AK118"/>
    <mergeCell ref="AF111:AG111"/>
    <mergeCell ref="BV115:BW115"/>
    <mergeCell ref="BX115:BY115"/>
    <mergeCell ref="BV121:BW121"/>
    <mergeCell ref="BZ121:CA121"/>
    <mergeCell ref="BL121:BM121"/>
    <mergeCell ref="BF120:BG120"/>
    <mergeCell ref="AV121:AW121"/>
    <mergeCell ref="AV115:AW115"/>
    <mergeCell ref="AZ116:BA116"/>
    <mergeCell ref="AR117:AS117"/>
    <mergeCell ref="AT119:AU119"/>
    <mergeCell ref="AR112:AS112"/>
    <mergeCell ref="AR113:AS113"/>
    <mergeCell ref="AR114:AS114"/>
    <mergeCell ref="BB117:BC117"/>
    <mergeCell ref="AZ117:BA117"/>
    <mergeCell ref="AX117:AY117"/>
    <mergeCell ref="BF113:BG113"/>
    <mergeCell ref="BH121:BI121"/>
    <mergeCell ref="BH116:BI116"/>
    <mergeCell ref="BX117:BY117"/>
    <mergeCell ref="BX118:BY118"/>
    <mergeCell ref="BL118:BM118"/>
    <mergeCell ref="BJ118:BK118"/>
    <mergeCell ref="BJ120:BK120"/>
    <mergeCell ref="BT118:BU118"/>
    <mergeCell ref="BV111:BW111"/>
    <mergeCell ref="BR111:BS111"/>
    <mergeCell ref="BL112:BM112"/>
    <mergeCell ref="BL111:BM111"/>
    <mergeCell ref="CB117:CC117"/>
    <mergeCell ref="CB118:CC118"/>
    <mergeCell ref="BJ117:BK117"/>
    <mergeCell ref="BL117:BM117"/>
    <mergeCell ref="BV117:BW117"/>
    <mergeCell ref="BB115:BC115"/>
    <mergeCell ref="BZ112:CA112"/>
    <mergeCell ref="BT124:BU124"/>
    <mergeCell ref="BR124:BS124"/>
    <mergeCell ref="BF124:BG124"/>
    <mergeCell ref="AF119:AG119"/>
    <mergeCell ref="AH121:AI121"/>
    <mergeCell ref="AN124:AO124"/>
    <mergeCell ref="AN123:AO123"/>
    <mergeCell ref="BR123:BS123"/>
    <mergeCell ref="AR124:AS124"/>
    <mergeCell ref="AZ124:BA124"/>
    <mergeCell ref="AP122:AQ122"/>
    <mergeCell ref="AP123:AQ123"/>
    <mergeCell ref="AZ123:BA123"/>
    <mergeCell ref="AN120:AO120"/>
    <mergeCell ref="AN112:AO112"/>
    <mergeCell ref="AN113:AO113"/>
    <mergeCell ref="AJ114:AK114"/>
    <mergeCell ref="AN117:AO117"/>
    <mergeCell ref="AL114:AM114"/>
    <mergeCell ref="AN119:AO119"/>
    <mergeCell ref="AF121:AG121"/>
    <mergeCell ref="AJ115:AK115"/>
    <mergeCell ref="BF122:BG122"/>
    <mergeCell ref="BD122:BE122"/>
    <mergeCell ref="AL113:AM113"/>
    <mergeCell ref="BJ123:BK123"/>
    <mergeCell ref="BR116:BS116"/>
    <mergeCell ref="BP121:BQ121"/>
    <mergeCell ref="BF117:BG117"/>
    <mergeCell ref="CB120:CC120"/>
    <mergeCell ref="AV116:AW116"/>
    <mergeCell ref="AP116:AQ116"/>
    <mergeCell ref="AZ118:BA118"/>
    <mergeCell ref="AV118:AW118"/>
    <mergeCell ref="BN117:BO117"/>
    <mergeCell ref="CB114:CC114"/>
    <mergeCell ref="BJ116:BK116"/>
    <mergeCell ref="BN120:BO120"/>
    <mergeCell ref="BT119:BU119"/>
    <mergeCell ref="BN118:BO118"/>
    <mergeCell ref="BV112:BW112"/>
    <mergeCell ref="BL113:BM113"/>
    <mergeCell ref="BJ115:BK115"/>
    <mergeCell ref="BR117:BS117"/>
    <mergeCell ref="AT120:AU120"/>
    <mergeCell ref="BV114:BW114"/>
    <mergeCell ref="AX115:AY115"/>
    <mergeCell ref="BB113:BC113"/>
    <mergeCell ref="BB119:BC119"/>
    <mergeCell ref="AR119:AS119"/>
    <mergeCell ref="AT124:AU124"/>
    <mergeCell ref="AT122:AU122"/>
    <mergeCell ref="AV124:AW124"/>
    <mergeCell ref="AV122:AW122"/>
    <mergeCell ref="AT123:AU123"/>
    <mergeCell ref="BB116:BC116"/>
    <mergeCell ref="BH111:BI111"/>
    <mergeCell ref="BT120:BU120"/>
    <mergeCell ref="BD120:BE120"/>
    <mergeCell ref="BR120:BS120"/>
    <mergeCell ref="BR82:BS82"/>
    <mergeCell ref="BV82:BW82"/>
    <mergeCell ref="BZ82:CA82"/>
    <mergeCell ref="BF111:BG111"/>
    <mergeCell ref="AV87:AW87"/>
    <mergeCell ref="BP114:BQ114"/>
    <mergeCell ref="BR115:BS115"/>
    <mergeCell ref="BT115:BU115"/>
    <mergeCell ref="BT113:BU113"/>
    <mergeCell ref="AX116:AY116"/>
    <mergeCell ref="BF118:BG118"/>
    <mergeCell ref="BH113:BI113"/>
    <mergeCell ref="BF114:BG114"/>
    <mergeCell ref="BD119:BE119"/>
    <mergeCell ref="BR118:BS118"/>
    <mergeCell ref="BN115:BO115"/>
    <mergeCell ref="BV118:BW118"/>
    <mergeCell ref="AX121:AY121"/>
    <mergeCell ref="BH119:BI119"/>
    <mergeCell ref="AT117:AU117"/>
    <mergeCell ref="AT114:AU114"/>
    <mergeCell ref="AT116:AU116"/>
    <mergeCell ref="AX114:AY114"/>
    <mergeCell ref="Z124:AA124"/>
    <mergeCell ref="F124:G124"/>
    <mergeCell ref="BD116:BE116"/>
    <mergeCell ref="BD117:BE117"/>
    <mergeCell ref="BD121:BE121"/>
    <mergeCell ref="BD118:BE118"/>
    <mergeCell ref="AD118:AE118"/>
    <mergeCell ref="AH123:AI123"/>
    <mergeCell ref="AD122:AE122"/>
    <mergeCell ref="O119:P119"/>
    <mergeCell ref="S122:T122"/>
    <mergeCell ref="AJ121:AK121"/>
    <mergeCell ref="K114:L114"/>
    <mergeCell ref="AX118:AY118"/>
    <mergeCell ref="AL123:AM123"/>
    <mergeCell ref="AD124:AE124"/>
    <mergeCell ref="X120:Y120"/>
    <mergeCell ref="AZ114:BA114"/>
    <mergeCell ref="AP120:AQ120"/>
    <mergeCell ref="Z116:AA116"/>
    <mergeCell ref="M122:N122"/>
    <mergeCell ref="Z120:AA120"/>
    <mergeCell ref="AB118:AC118"/>
    <mergeCell ref="AB113:AC113"/>
    <mergeCell ref="Q117:R117"/>
    <mergeCell ref="AL116:AM116"/>
    <mergeCell ref="AP119:AQ119"/>
    <mergeCell ref="AN118:AO118"/>
    <mergeCell ref="AV117:AW117"/>
    <mergeCell ref="AR123:AS123"/>
    <mergeCell ref="AV120:AW120"/>
    <mergeCell ref="AH115:AI115"/>
    <mergeCell ref="AB117:AC117"/>
    <mergeCell ref="AD116:AE116"/>
    <mergeCell ref="K116:L116"/>
    <mergeCell ref="BP117:BQ117"/>
    <mergeCell ref="AJ124:AK124"/>
    <mergeCell ref="AV119:AW119"/>
    <mergeCell ref="BB112:BC112"/>
    <mergeCell ref="AV81:AW81"/>
    <mergeCell ref="M82:N82"/>
    <mergeCell ref="AR118:AS118"/>
    <mergeCell ref="M83:N83"/>
    <mergeCell ref="M80:N80"/>
    <mergeCell ref="M112:N112"/>
    <mergeCell ref="BB118:BC118"/>
    <mergeCell ref="AT81:AU81"/>
    <mergeCell ref="AZ112:BA112"/>
    <mergeCell ref="AD87:AE87"/>
    <mergeCell ref="AV113:AW113"/>
    <mergeCell ref="AJ113:AK113"/>
    <mergeCell ref="AH113:AI113"/>
    <mergeCell ref="Z114:AA114"/>
    <mergeCell ref="AN87:AO87"/>
    <mergeCell ref="AV114:AW114"/>
    <mergeCell ref="O118:P118"/>
    <mergeCell ref="AZ115:BA115"/>
    <mergeCell ref="BB82:BC82"/>
    <mergeCell ref="AP112:AQ112"/>
    <mergeCell ref="AR116:AS116"/>
    <mergeCell ref="AP87:AQ87"/>
    <mergeCell ref="AB87:AC87"/>
    <mergeCell ref="AX119:AY119"/>
    <mergeCell ref="AT112:AU112"/>
    <mergeCell ref="AZ120:BA120"/>
    <mergeCell ref="I111:J111"/>
    <mergeCell ref="M87:N87"/>
    <mergeCell ref="I81:J81"/>
    <mergeCell ref="S111:T111"/>
    <mergeCell ref="BD111:BE111"/>
    <mergeCell ref="AX82:AY82"/>
    <mergeCell ref="BD83:BE83"/>
    <mergeCell ref="AX83:AY83"/>
    <mergeCell ref="BB81:BC81"/>
    <mergeCell ref="K123:L123"/>
    <mergeCell ref="M121:N121"/>
    <mergeCell ref="I119:J119"/>
    <mergeCell ref="F120:G120"/>
    <mergeCell ref="I123:J123"/>
    <mergeCell ref="AB123:AC123"/>
    <mergeCell ref="F123:G123"/>
    <mergeCell ref="S121:T121"/>
    <mergeCell ref="AD120:AE120"/>
    <mergeCell ref="M123:N123"/>
    <mergeCell ref="AD114:AE114"/>
    <mergeCell ref="F116:G116"/>
    <mergeCell ref="AH122:AI122"/>
    <mergeCell ref="AJ122:AK122"/>
    <mergeCell ref="AF122:AG122"/>
    <mergeCell ref="AR120:AS120"/>
    <mergeCell ref="AR122:AS122"/>
    <mergeCell ref="K117:L117"/>
    <mergeCell ref="K115:L115"/>
    <mergeCell ref="M120:N120"/>
    <mergeCell ref="K122:L122"/>
    <mergeCell ref="AN121:AO121"/>
    <mergeCell ref="AP121:AQ121"/>
    <mergeCell ref="AJ119:AK119"/>
    <mergeCell ref="Q123:R123"/>
    <mergeCell ref="AJ123:AK123"/>
    <mergeCell ref="X122:Y122"/>
    <mergeCell ref="AH120:AI120"/>
    <mergeCell ref="AH119:AI119"/>
    <mergeCell ref="I113:J113"/>
    <mergeCell ref="I112:J112"/>
    <mergeCell ref="Q114:R114"/>
    <mergeCell ref="AD121:AE121"/>
    <mergeCell ref="X121:Y121"/>
    <mergeCell ref="I121:J121"/>
    <mergeCell ref="O113:P113"/>
    <mergeCell ref="O121:P121"/>
    <mergeCell ref="F115:G115"/>
    <mergeCell ref="Q120:R120"/>
    <mergeCell ref="I120:J120"/>
    <mergeCell ref="AN122:AO122"/>
    <mergeCell ref="AL112:AM112"/>
    <mergeCell ref="O114:P114"/>
    <mergeCell ref="AN114:AO114"/>
    <mergeCell ref="AD117:AE117"/>
    <mergeCell ref="M114:N114"/>
    <mergeCell ref="F112:G112"/>
    <mergeCell ref="AD123:AE123"/>
    <mergeCell ref="X123:Y123"/>
    <mergeCell ref="AF123:AG123"/>
    <mergeCell ref="X115:Y115"/>
    <mergeCell ref="O117:P117"/>
    <mergeCell ref="M116:N116"/>
    <mergeCell ref="K119:L119"/>
    <mergeCell ref="AP113:AQ113"/>
    <mergeCell ref="I114:J114"/>
    <mergeCell ref="AR115:AS115"/>
    <mergeCell ref="AB116:AC116"/>
    <mergeCell ref="O112:P112"/>
    <mergeCell ref="S114:T114"/>
    <mergeCell ref="AN116:AO116"/>
    <mergeCell ref="X113:Y113"/>
    <mergeCell ref="Q121:R121"/>
    <mergeCell ref="AP117:AQ117"/>
    <mergeCell ref="AL120:AM120"/>
    <mergeCell ref="F114:G114"/>
    <mergeCell ref="F117:G117"/>
    <mergeCell ref="F121:G121"/>
    <mergeCell ref="S120:T120"/>
    <mergeCell ref="F122:G122"/>
    <mergeCell ref="F119:G119"/>
    <mergeCell ref="F111:G111"/>
    <mergeCell ref="F113:G113"/>
    <mergeCell ref="AH111:AI111"/>
    <mergeCell ref="Z79:AA79"/>
    <mergeCell ref="AT115:AU115"/>
    <mergeCell ref="AJ117:AK117"/>
    <mergeCell ref="AL122:AM122"/>
    <mergeCell ref="M118:N118"/>
    <mergeCell ref="K118:L118"/>
    <mergeCell ref="Z117:AA117"/>
    <mergeCell ref="S117:T117"/>
    <mergeCell ref="AF116:AG116"/>
    <mergeCell ref="AH116:AI116"/>
    <mergeCell ref="AD115:AE115"/>
    <mergeCell ref="AB114:AC114"/>
    <mergeCell ref="O115:P115"/>
    <mergeCell ref="Q115:R115"/>
    <mergeCell ref="AB115:AC115"/>
    <mergeCell ref="X82:Y82"/>
    <mergeCell ref="AF113:AG113"/>
    <mergeCell ref="AJ82:AK82"/>
    <mergeCell ref="K83:L83"/>
    <mergeCell ref="K82:L82"/>
    <mergeCell ref="AP114:AQ114"/>
    <mergeCell ref="AF118:AG118"/>
    <mergeCell ref="AF117:AG117"/>
    <mergeCell ref="AH114:AI114"/>
    <mergeCell ref="AJ116:AK116"/>
    <mergeCell ref="AP118:AQ118"/>
    <mergeCell ref="AP79:AQ79"/>
    <mergeCell ref="Q112:R112"/>
    <mergeCell ref="Z113:AA113"/>
    <mergeCell ref="AL111:AM111"/>
    <mergeCell ref="AF114:AG114"/>
    <mergeCell ref="AH87:AI87"/>
    <mergeCell ref="S112:T112"/>
    <mergeCell ref="AB111:AC111"/>
    <mergeCell ref="AP115:AQ115"/>
    <mergeCell ref="AT113:AU113"/>
    <mergeCell ref="AR121:AS121"/>
    <mergeCell ref="AT121:AU121"/>
    <mergeCell ref="F118:G118"/>
    <mergeCell ref="S118:T118"/>
    <mergeCell ref="Z118:AA118"/>
    <mergeCell ref="AB112:AC112"/>
    <mergeCell ref="AB119:AC119"/>
    <mergeCell ref="K81:L81"/>
    <mergeCell ref="K112:L112"/>
    <mergeCell ref="Q80:R80"/>
    <mergeCell ref="Q87:R87"/>
    <mergeCell ref="AN115:AO115"/>
    <mergeCell ref="AF115:AG115"/>
    <mergeCell ref="AH81:AI81"/>
    <mergeCell ref="AB80:AC80"/>
    <mergeCell ref="O111:P111"/>
    <mergeCell ref="O87:P87"/>
    <mergeCell ref="AT118:AU118"/>
    <mergeCell ref="Z83:AA83"/>
    <mergeCell ref="AT75:AU75"/>
    <mergeCell ref="AN62:AO62"/>
    <mergeCell ref="AB65:AC65"/>
    <mergeCell ref="Q60:R60"/>
    <mergeCell ref="AJ68:AK68"/>
    <mergeCell ref="AH67:AI67"/>
    <mergeCell ref="AX79:AY79"/>
    <mergeCell ref="BB67:BC67"/>
    <mergeCell ref="BB70:BC70"/>
    <mergeCell ref="AD111:AE111"/>
    <mergeCell ref="AH83:AI83"/>
    <mergeCell ref="AV112:AW112"/>
    <mergeCell ref="AN80:AO80"/>
    <mergeCell ref="AX87:AY87"/>
    <mergeCell ref="AZ83:BA83"/>
    <mergeCell ref="AR111:AS111"/>
    <mergeCell ref="AV78:AW78"/>
    <mergeCell ref="AF78:AG78"/>
    <mergeCell ref="X78:Y78"/>
    <mergeCell ref="AT79:AU79"/>
    <mergeCell ref="X79:Y79"/>
    <mergeCell ref="AD79:AE79"/>
    <mergeCell ref="AV79:AW79"/>
    <mergeCell ref="AD82:AE82"/>
    <mergeCell ref="AX67:AY67"/>
    <mergeCell ref="AD78:AE78"/>
    <mergeCell ref="AJ80:AK80"/>
    <mergeCell ref="Z111:AA111"/>
    <mergeCell ref="AF83:AG83"/>
    <mergeCell ref="AH112:AI112"/>
    <mergeCell ref="AF87:AG87"/>
    <mergeCell ref="AL83:AM83"/>
    <mergeCell ref="AF80:AG80"/>
    <mergeCell ref="AL82:AM82"/>
    <mergeCell ref="AB81:AC81"/>
    <mergeCell ref="AP83:AQ83"/>
    <mergeCell ref="AP111:AQ111"/>
    <mergeCell ref="AP81:AQ81"/>
    <mergeCell ref="AD83:AE83"/>
    <mergeCell ref="Q111:R111"/>
    <mergeCell ref="Z66:AA66"/>
    <mergeCell ref="AP63:AQ63"/>
    <mergeCell ref="AP60:AQ60"/>
    <mergeCell ref="AR60:AS60"/>
    <mergeCell ref="AT63:AU63"/>
    <mergeCell ref="Q67:R67"/>
    <mergeCell ref="Q65:R65"/>
    <mergeCell ref="X66:Y66"/>
    <mergeCell ref="AL79:AM79"/>
    <mergeCell ref="AN81:AO81"/>
    <mergeCell ref="AN79:AO79"/>
    <mergeCell ref="AT82:AU82"/>
    <mergeCell ref="AX111:AY111"/>
    <mergeCell ref="AZ87:BA87"/>
    <mergeCell ref="AX112:AY112"/>
    <mergeCell ref="AF53:AG53"/>
    <mergeCell ref="AJ111:AK111"/>
    <mergeCell ref="AX113:AY113"/>
    <mergeCell ref="AT68:AU68"/>
    <mergeCell ref="S68:T68"/>
    <mergeCell ref="K66:L66"/>
    <mergeCell ref="O71:P71"/>
    <mergeCell ref="AL70:AM70"/>
    <mergeCell ref="AR78:AS78"/>
    <mergeCell ref="AP75:AQ75"/>
    <mergeCell ref="Z76:AA76"/>
    <mergeCell ref="Z78:AA78"/>
    <mergeCell ref="AB75:AC75"/>
    <mergeCell ref="AF64:AG64"/>
    <mergeCell ref="AB60:AC60"/>
    <mergeCell ref="AR68:AS68"/>
    <mergeCell ref="S59:T59"/>
    <mergeCell ref="Z62:AA62"/>
    <mergeCell ref="AR72:AS72"/>
    <mergeCell ref="AB53:AC53"/>
    <mergeCell ref="AR59:AS59"/>
    <mergeCell ref="Q83:R83"/>
    <mergeCell ref="O81:P81"/>
    <mergeCell ref="S75:T75"/>
    <mergeCell ref="X75:Y75"/>
    <mergeCell ref="O83:P83"/>
    <mergeCell ref="X87:Y87"/>
    <mergeCell ref="AP78:AQ78"/>
    <mergeCell ref="AL87:AM87"/>
    <mergeCell ref="O75:P75"/>
    <mergeCell ref="AX66:AY66"/>
    <mergeCell ref="AX62:AY62"/>
    <mergeCell ref="AX61:AY61"/>
    <mergeCell ref="AH66:AI66"/>
    <mergeCell ref="AN64:AO64"/>
    <mergeCell ref="AR79:AS79"/>
    <mergeCell ref="AT78:AU78"/>
    <mergeCell ref="AR83:AS83"/>
    <mergeCell ref="AF59:AG59"/>
    <mergeCell ref="S60:T60"/>
    <mergeCell ref="Z112:AA112"/>
    <mergeCell ref="AN111:AO111"/>
    <mergeCell ref="AX80:AY80"/>
    <mergeCell ref="AV80:AW80"/>
    <mergeCell ref="AT80:AU80"/>
    <mergeCell ref="AR80:AS80"/>
    <mergeCell ref="AX81:AY81"/>
    <mergeCell ref="AV63:AW63"/>
    <mergeCell ref="AV70:AW70"/>
    <mergeCell ref="AT71:AU71"/>
    <mergeCell ref="AT69:AU69"/>
    <mergeCell ref="AR70:AS70"/>
    <mergeCell ref="AN60:AO60"/>
    <mergeCell ref="AD80:AE80"/>
    <mergeCell ref="Z81:AA81"/>
    <mergeCell ref="X111:Y111"/>
    <mergeCell ref="AB82:AC82"/>
    <mergeCell ref="Q82:R82"/>
    <mergeCell ref="Z80:AA80"/>
    <mergeCell ref="Z75:AA75"/>
    <mergeCell ref="Q75:R75"/>
    <mergeCell ref="AJ112:AK112"/>
    <mergeCell ref="AB76:AC76"/>
    <mergeCell ref="S65:T65"/>
    <mergeCell ref="AL81:AM81"/>
    <mergeCell ref="AP61:AQ61"/>
    <mergeCell ref="AN76:AO76"/>
    <mergeCell ref="AP62:AQ62"/>
    <mergeCell ref="AN78:AO78"/>
    <mergeCell ref="AT59:AU59"/>
    <mergeCell ref="AD81:AE81"/>
    <mergeCell ref="BB78:BC78"/>
    <mergeCell ref="AZ79:BA79"/>
    <mergeCell ref="AN83:AO83"/>
    <mergeCell ref="AF112:AG112"/>
    <mergeCell ref="AF81:AG81"/>
    <mergeCell ref="AR87:AS87"/>
    <mergeCell ref="AP82:AQ82"/>
    <mergeCell ref="AD59:AE59"/>
    <mergeCell ref="AP58:AQ58"/>
    <mergeCell ref="AL72:AM72"/>
    <mergeCell ref="AD73:AE73"/>
    <mergeCell ref="AH72:AI72"/>
    <mergeCell ref="AJ59:AK59"/>
    <mergeCell ref="AP72:AQ72"/>
    <mergeCell ref="AJ73:AK73"/>
    <mergeCell ref="AH69:AI69"/>
    <mergeCell ref="AD61:AE61"/>
    <mergeCell ref="AN65:AO65"/>
    <mergeCell ref="AV66:AW66"/>
    <mergeCell ref="AV59:AW59"/>
    <mergeCell ref="AP69:AQ69"/>
    <mergeCell ref="AJ56:AK56"/>
    <mergeCell ref="AJ63:AK63"/>
    <mergeCell ref="AL62:AM62"/>
    <mergeCell ref="AT57:AU57"/>
    <mergeCell ref="AT58:AU58"/>
    <mergeCell ref="AP65:AQ65"/>
    <mergeCell ref="AR73:AS73"/>
    <mergeCell ref="BB83:BC83"/>
    <mergeCell ref="BB111:BC111"/>
    <mergeCell ref="AJ64:AK64"/>
    <mergeCell ref="AH78:AI78"/>
    <mergeCell ref="AL75:AM75"/>
    <mergeCell ref="AL68:AM68"/>
    <mergeCell ref="AL69:AM69"/>
    <mergeCell ref="AJ78:AK78"/>
    <mergeCell ref="AT66:AU66"/>
    <mergeCell ref="AX75:AY75"/>
    <mergeCell ref="AR58:AS58"/>
    <mergeCell ref="AH68:AI68"/>
    <mergeCell ref="AP59:AQ59"/>
    <mergeCell ref="AT76:AU76"/>
    <mergeCell ref="AV60:AW60"/>
    <mergeCell ref="AR63:AS63"/>
    <mergeCell ref="AP71:AQ71"/>
    <mergeCell ref="AV76:AW76"/>
    <mergeCell ref="AF55:AG55"/>
    <mergeCell ref="Z73:AA73"/>
    <mergeCell ref="AP67:AQ67"/>
    <mergeCell ref="AN59:AO59"/>
    <mergeCell ref="AR54:AS54"/>
    <mergeCell ref="AJ55:AK55"/>
    <mergeCell ref="AR71:AS71"/>
    <mergeCell ref="BB73:BC73"/>
    <mergeCell ref="BH112:BI112"/>
    <mergeCell ref="AR76:AS76"/>
    <mergeCell ref="AR81:AS81"/>
    <mergeCell ref="AZ111:BA111"/>
    <mergeCell ref="AL71:AM71"/>
    <mergeCell ref="AJ58:AK58"/>
    <mergeCell ref="AD76:AE76"/>
    <mergeCell ref="Z60:AA60"/>
    <mergeCell ref="AD112:AE112"/>
    <mergeCell ref="Z87:AA87"/>
    <mergeCell ref="AV111:AW111"/>
    <mergeCell ref="AT87:AU87"/>
    <mergeCell ref="AN82:AO82"/>
    <mergeCell ref="AP80:AQ80"/>
    <mergeCell ref="BB87:BC87"/>
    <mergeCell ref="AL58:AM58"/>
    <mergeCell ref="AZ82:BA82"/>
    <mergeCell ref="AR82:AS82"/>
    <mergeCell ref="AT83:AU83"/>
    <mergeCell ref="BD80:BE80"/>
    <mergeCell ref="AL78:AM78"/>
    <mergeCell ref="AH63:AI63"/>
    <mergeCell ref="AH54:AI54"/>
    <mergeCell ref="AP56:AQ56"/>
    <mergeCell ref="AR57:AS57"/>
    <mergeCell ref="BB57:BC57"/>
    <mergeCell ref="AH56:AI56"/>
    <mergeCell ref="AD54:AE54"/>
    <mergeCell ref="AL55:AM55"/>
    <mergeCell ref="AF66:AG66"/>
    <mergeCell ref="Z63:AA63"/>
    <mergeCell ref="AB63:AC63"/>
    <mergeCell ref="AX68:AY68"/>
    <mergeCell ref="AX69:AY69"/>
    <mergeCell ref="AP76:AQ76"/>
    <mergeCell ref="AB68:AC68"/>
    <mergeCell ref="AD70:AE70"/>
    <mergeCell ref="AD67:AE67"/>
    <mergeCell ref="AH62:AI62"/>
    <mergeCell ref="AJ67:AK67"/>
    <mergeCell ref="AB78:AC78"/>
    <mergeCell ref="AH64:AI64"/>
    <mergeCell ref="AV57:AW57"/>
    <mergeCell ref="AV67:AW67"/>
    <mergeCell ref="AV68:AW68"/>
    <mergeCell ref="AV58:AW58"/>
    <mergeCell ref="AN56:AO56"/>
    <mergeCell ref="BH72:BI72"/>
    <mergeCell ref="BF73:BG73"/>
    <mergeCell ref="BH73:BI73"/>
    <mergeCell ref="AX57:AY57"/>
    <mergeCell ref="BH57:BI57"/>
    <mergeCell ref="BH58:BI58"/>
    <mergeCell ref="BH69:BI69"/>
    <mergeCell ref="AH57:AI57"/>
    <mergeCell ref="AR75:AS75"/>
    <mergeCell ref="AV69:AW69"/>
    <mergeCell ref="AV61:AW61"/>
    <mergeCell ref="AV65:AW65"/>
    <mergeCell ref="AP66:AQ66"/>
    <mergeCell ref="AB64:AC64"/>
    <mergeCell ref="AZ57:BA57"/>
    <mergeCell ref="AL59:AM59"/>
    <mergeCell ref="AL60:AM60"/>
    <mergeCell ref="AV72:AW72"/>
    <mergeCell ref="AV75:AW75"/>
    <mergeCell ref="X62:Y62"/>
    <mergeCell ref="X76:Y76"/>
    <mergeCell ref="AN68:AO68"/>
    <mergeCell ref="BJ55:BK55"/>
    <mergeCell ref="BD56:BE56"/>
    <mergeCell ref="BF75:BG75"/>
    <mergeCell ref="AF56:AG56"/>
    <mergeCell ref="O60:P60"/>
    <mergeCell ref="AB57:AC57"/>
    <mergeCell ref="AH70:AI70"/>
    <mergeCell ref="X63:Y63"/>
    <mergeCell ref="AF68:AG68"/>
    <mergeCell ref="AL53:AM53"/>
    <mergeCell ref="BJ59:BK59"/>
    <mergeCell ref="AP57:AQ57"/>
    <mergeCell ref="AN75:AO75"/>
    <mergeCell ref="AN70:AO70"/>
    <mergeCell ref="AN58:AO58"/>
    <mergeCell ref="AN63:AO63"/>
    <mergeCell ref="AX65:AY65"/>
    <mergeCell ref="AX76:AY76"/>
    <mergeCell ref="AR64:AS64"/>
    <mergeCell ref="AP68:AQ68"/>
    <mergeCell ref="AR69:AS69"/>
    <mergeCell ref="AP64:AQ64"/>
    <mergeCell ref="AR65:AS65"/>
    <mergeCell ref="AB55:AC55"/>
    <mergeCell ref="AR66:AS66"/>
    <mergeCell ref="AL57:AM57"/>
    <mergeCell ref="AH61:AI61"/>
    <mergeCell ref="AV55:AW55"/>
    <mergeCell ref="Z55:AA55"/>
    <mergeCell ref="AD55:AE55"/>
    <mergeCell ref="X73:Y73"/>
    <mergeCell ref="AJ70:AK70"/>
    <mergeCell ref="AL73:AM73"/>
    <mergeCell ref="Z61:AA61"/>
    <mergeCell ref="AB54:AC54"/>
    <mergeCell ref="AP55:AQ55"/>
    <mergeCell ref="AT67:AU67"/>
    <mergeCell ref="AF63:AG63"/>
    <mergeCell ref="Z58:AA58"/>
    <mergeCell ref="AT65:AU65"/>
    <mergeCell ref="AF65:AG65"/>
    <mergeCell ref="AH65:AI65"/>
    <mergeCell ref="AJ65:AK65"/>
    <mergeCell ref="AT72:AU72"/>
    <mergeCell ref="S67:T67"/>
    <mergeCell ref="AB58:AC58"/>
    <mergeCell ref="Q68:R68"/>
    <mergeCell ref="AR56:AS56"/>
    <mergeCell ref="AH60:AI60"/>
    <mergeCell ref="AJ60:AK60"/>
    <mergeCell ref="BF50:BG50"/>
    <mergeCell ref="BD46:BE46"/>
    <mergeCell ref="BJ47:BK47"/>
    <mergeCell ref="S50:T50"/>
    <mergeCell ref="BR48:BS48"/>
    <mergeCell ref="BH48:BI48"/>
    <mergeCell ref="BL48:BM48"/>
    <mergeCell ref="AR48:AS48"/>
    <mergeCell ref="AT49:AU49"/>
    <mergeCell ref="AZ48:BA48"/>
    <mergeCell ref="AT47:AU47"/>
    <mergeCell ref="AX46:AY46"/>
    <mergeCell ref="BD53:BE53"/>
    <mergeCell ref="AL54:AM54"/>
    <mergeCell ref="AH48:AI48"/>
    <mergeCell ref="AL49:AM49"/>
    <mergeCell ref="AJ54:AK54"/>
    <mergeCell ref="AF49:AG49"/>
    <mergeCell ref="AH55:AI55"/>
    <mergeCell ref="BF54:BG54"/>
    <mergeCell ref="BF53:BG53"/>
    <mergeCell ref="X53:Y53"/>
    <mergeCell ref="Z54:AA54"/>
    <mergeCell ref="S54:T54"/>
    <mergeCell ref="Z50:AA50"/>
    <mergeCell ref="AD52:AE52"/>
    <mergeCell ref="AD44:AE44"/>
    <mergeCell ref="AP46:AQ46"/>
    <mergeCell ref="AP47:AQ47"/>
    <mergeCell ref="AZ47:BA47"/>
    <mergeCell ref="AV50:AW50"/>
    <mergeCell ref="AL48:AM48"/>
    <mergeCell ref="AL50:AM50"/>
    <mergeCell ref="AH50:AI50"/>
    <mergeCell ref="AJ46:AK46"/>
    <mergeCell ref="AN46:AO46"/>
    <mergeCell ref="AL46:AM46"/>
    <mergeCell ref="AV46:AW46"/>
    <mergeCell ref="BF46:BG46"/>
    <mergeCell ref="AD53:AE53"/>
    <mergeCell ref="AT54:AU54"/>
    <mergeCell ref="AN53:AO53"/>
    <mergeCell ref="AR53:AS53"/>
    <mergeCell ref="AB52:AC52"/>
    <mergeCell ref="BB47:BC47"/>
    <mergeCell ref="AF54:AG54"/>
    <mergeCell ref="S44:T44"/>
    <mergeCell ref="AB44:AC44"/>
    <mergeCell ref="AB48:AC48"/>
    <mergeCell ref="X46:Y46"/>
    <mergeCell ref="X44:Y44"/>
    <mergeCell ref="S52:T52"/>
    <mergeCell ref="AN55:AO55"/>
    <mergeCell ref="AX54:AY54"/>
    <mergeCell ref="X52:Y52"/>
    <mergeCell ref="AF50:AG50"/>
    <mergeCell ref="AZ55:BA55"/>
    <mergeCell ref="BJ52:BK52"/>
    <mergeCell ref="BH47:BI47"/>
    <mergeCell ref="BJ54:BK54"/>
    <mergeCell ref="AH53:AI53"/>
    <mergeCell ref="AV52:AW52"/>
    <mergeCell ref="BD48:BE48"/>
    <mergeCell ref="AX53:AY53"/>
    <mergeCell ref="DR17:DS17"/>
    <mergeCell ref="DP24:DQ24"/>
    <mergeCell ref="DP18:DQ18"/>
    <mergeCell ref="DR18:DS18"/>
    <mergeCell ref="BX19:BY19"/>
    <mergeCell ref="CB20:CC20"/>
    <mergeCell ref="CJ24:CK24"/>
    <mergeCell ref="CH19:CI19"/>
    <mergeCell ref="DF17:DG17"/>
    <mergeCell ref="DL18:DM18"/>
    <mergeCell ref="DB1:DC1"/>
    <mergeCell ref="DD1:DE1"/>
    <mergeCell ref="CZ17:DA17"/>
    <mergeCell ref="DJ17:DK17"/>
    <mergeCell ref="CD1:CE1"/>
    <mergeCell ref="BT46:BU46"/>
    <mergeCell ref="BV45:BW45"/>
    <mergeCell ref="BH46:BI46"/>
    <mergeCell ref="BB46:BC46"/>
    <mergeCell ref="AZ49:BA49"/>
    <mergeCell ref="BL50:BM50"/>
    <mergeCell ref="AX47:AY47"/>
    <mergeCell ref="AZ50:BA50"/>
    <mergeCell ref="AX50:AY50"/>
    <mergeCell ref="AR49:AS49"/>
    <mergeCell ref="BB48:BC48"/>
    <mergeCell ref="AP50:AQ50"/>
    <mergeCell ref="AR50:AS50"/>
    <mergeCell ref="AT50:AU50"/>
    <mergeCell ref="AV49:AW49"/>
    <mergeCell ref="AV48:AW48"/>
    <mergeCell ref="AP48:AQ48"/>
    <mergeCell ref="AJ50:AK50"/>
    <mergeCell ref="AJ48:AK48"/>
    <mergeCell ref="BB49:BC49"/>
    <mergeCell ref="AP49:AQ49"/>
    <mergeCell ref="BL49:BM49"/>
    <mergeCell ref="BL45:BM45"/>
    <mergeCell ref="BT44:BU44"/>
    <mergeCell ref="BR50:BS50"/>
    <mergeCell ref="BR47:BS47"/>
    <mergeCell ref="BF49:BG49"/>
    <mergeCell ref="BR46:BS46"/>
    <mergeCell ref="BL47:BM47"/>
    <mergeCell ref="BP45:BQ45"/>
    <mergeCell ref="BP44:BQ44"/>
    <mergeCell ref="AZ46:BA46"/>
    <mergeCell ref="BT45:BU45"/>
    <mergeCell ref="BN46:BO46"/>
    <mergeCell ref="BL46:BM46"/>
    <mergeCell ref="BJ46:BK46"/>
    <mergeCell ref="BR45:BS45"/>
    <mergeCell ref="BT47:BU47"/>
    <mergeCell ref="BV46:BW46"/>
    <mergeCell ref="AR45:AS45"/>
    <mergeCell ref="BD47:BE47"/>
    <mergeCell ref="AT48:AU48"/>
    <mergeCell ref="AT45:AU45"/>
    <mergeCell ref="BH49:BI49"/>
    <mergeCell ref="BN49:BO49"/>
    <mergeCell ref="BN48:BO48"/>
    <mergeCell ref="BF48:BG48"/>
    <mergeCell ref="BT48:BU48"/>
    <mergeCell ref="BP46:BQ46"/>
    <mergeCell ref="DN1:DO1"/>
    <mergeCell ref="CH21:CI21"/>
    <mergeCell ref="CH25:CI25"/>
    <mergeCell ref="CV22:CW22"/>
    <mergeCell ref="CP21:CQ21"/>
    <mergeCell ref="CJ21:CK21"/>
    <mergeCell ref="DH17:DI17"/>
    <mergeCell ref="CV17:CW17"/>
    <mergeCell ref="CJ18:CK18"/>
    <mergeCell ref="CR18:CS18"/>
    <mergeCell ref="DN22:DO22"/>
    <mergeCell ref="DJ18:DK18"/>
    <mergeCell ref="DF18:DG18"/>
    <mergeCell ref="DH18:DI18"/>
    <mergeCell ref="DL19:DM19"/>
    <mergeCell ref="CH22:CI22"/>
    <mergeCell ref="DN24:DO24"/>
    <mergeCell ref="CL1:CM1"/>
    <mergeCell ref="DN17:DO17"/>
    <mergeCell ref="DL17:DM17"/>
    <mergeCell ref="CL17:CM17"/>
    <mergeCell ref="CH1:CI1"/>
    <mergeCell ref="CT23:CU23"/>
    <mergeCell ref="DF22:DG22"/>
    <mergeCell ref="DN18:DO18"/>
    <mergeCell ref="CN1:CO1"/>
    <mergeCell ref="CP1:CQ1"/>
    <mergeCell ref="DJ23:DK23"/>
    <mergeCell ref="DT1:DU1"/>
    <mergeCell ref="CX1:CY1"/>
    <mergeCell ref="CZ1:DA1"/>
    <mergeCell ref="BJ1:BK1"/>
    <mergeCell ref="BH1:BI1"/>
    <mergeCell ref="DP20:DQ20"/>
    <mergeCell ref="DP1:DQ1"/>
    <mergeCell ref="DR1:DS1"/>
    <mergeCell ref="DJ1:DK1"/>
    <mergeCell ref="DL1:DM1"/>
    <mergeCell ref="DL22:DM22"/>
    <mergeCell ref="DP22:DQ22"/>
    <mergeCell ref="DR19:DS19"/>
    <mergeCell ref="CT18:CU18"/>
    <mergeCell ref="DN20:DO20"/>
    <mergeCell ref="CR20:CS20"/>
    <mergeCell ref="DB18:DC18"/>
    <mergeCell ref="DJ20:DK20"/>
    <mergeCell ref="CV25:CW25"/>
    <mergeCell ref="CV18:CW18"/>
    <mergeCell ref="CJ17:CK17"/>
    <mergeCell ref="DP17:DQ17"/>
    <mergeCell ref="DR23:DS23"/>
    <mergeCell ref="BN18:BO18"/>
    <mergeCell ref="DD18:DE18"/>
    <mergeCell ref="DB22:DC22"/>
    <mergeCell ref="BJ18:BK18"/>
    <mergeCell ref="BZ18:CA18"/>
    <mergeCell ref="BT18:BU18"/>
    <mergeCell ref="BZ20:CA20"/>
    <mergeCell ref="BT17:BU17"/>
    <mergeCell ref="CB25:CC25"/>
    <mergeCell ref="CR1:CS1"/>
    <mergeCell ref="CT1:CU1"/>
    <mergeCell ref="CV1:CW1"/>
    <mergeCell ref="CN17:CO17"/>
    <mergeCell ref="BV33:BW33"/>
    <mergeCell ref="BP33:BQ33"/>
    <mergeCell ref="BZ36:CA36"/>
    <mergeCell ref="DB26:DC26"/>
    <mergeCell ref="DD26:DE26"/>
    <mergeCell ref="DH23:DI23"/>
    <mergeCell ref="CL18:CM18"/>
    <mergeCell ref="DN21:DO21"/>
    <mergeCell ref="DL23:DM23"/>
    <mergeCell ref="CZ22:DA22"/>
    <mergeCell ref="CV19:CW19"/>
    <mergeCell ref="CR19:CS19"/>
    <mergeCell ref="DF20:DG20"/>
    <mergeCell ref="DF21:DG21"/>
    <mergeCell ref="CR25:CS25"/>
    <mergeCell ref="CD17:CE17"/>
    <mergeCell ref="CN18:CO18"/>
    <mergeCell ref="CX27:CY27"/>
    <mergeCell ref="CX30:CY30"/>
    <mergeCell ref="CN26:CO26"/>
    <mergeCell ref="CV27:CW27"/>
    <mergeCell ref="CZ26:DA26"/>
    <mergeCell ref="DB20:DC20"/>
    <mergeCell ref="CZ20:DA20"/>
    <mergeCell ref="CH23:CI23"/>
    <mergeCell ref="DL24:DM24"/>
    <mergeCell ref="DD27:DE27"/>
    <mergeCell ref="DD20:DE20"/>
    <mergeCell ref="DL28:DM28"/>
    <mergeCell ref="CH28:CI28"/>
    <mergeCell ref="DJ25:DK25"/>
    <mergeCell ref="DD30:DE30"/>
    <mergeCell ref="DB30:DC30"/>
    <mergeCell ref="CX29:CY29"/>
    <mergeCell ref="CH29:CI29"/>
    <mergeCell ref="CP30:CQ30"/>
    <mergeCell ref="CP29:CQ29"/>
    <mergeCell ref="CH30:CI30"/>
    <mergeCell ref="CN29:CO29"/>
    <mergeCell ref="CF28:CG28"/>
    <mergeCell ref="DF29:DG29"/>
    <mergeCell ref="CB30:CC30"/>
    <mergeCell ref="CN19:CO19"/>
    <mergeCell ref="CV24:CW24"/>
    <mergeCell ref="CN21:CO21"/>
    <mergeCell ref="DJ21:DK21"/>
    <mergeCell ref="DB24:DC24"/>
    <mergeCell ref="CR23:CS23"/>
    <mergeCell ref="DD23:DE23"/>
    <mergeCell ref="CT22:CU22"/>
    <mergeCell ref="CZ18:DA18"/>
    <mergeCell ref="DJ26:DK26"/>
    <mergeCell ref="DH25:DI25"/>
    <mergeCell ref="DD19:DE19"/>
    <mergeCell ref="DD17:DE17"/>
    <mergeCell ref="DL26:DM26"/>
    <mergeCell ref="DJ24:DK24"/>
    <mergeCell ref="DL25:DM25"/>
    <mergeCell ref="DF26:DG26"/>
    <mergeCell ref="DH26:DI26"/>
    <mergeCell ref="DL20:DM20"/>
    <mergeCell ref="CX22:CY22"/>
    <mergeCell ref="DJ19:DK19"/>
    <mergeCell ref="CX20:CY20"/>
    <mergeCell ref="BB1:BC1"/>
    <mergeCell ref="DH29:DI29"/>
    <mergeCell ref="CT28:CU28"/>
    <mergeCell ref="CT30:CU30"/>
    <mergeCell ref="CD30:CE30"/>
    <mergeCell ref="CP28:CQ28"/>
    <mergeCell ref="CR28:CS28"/>
    <mergeCell ref="CX28:CY28"/>
    <mergeCell ref="CZ28:DA28"/>
    <mergeCell ref="CL22:CM22"/>
    <mergeCell ref="DH24:DI24"/>
    <mergeCell ref="CR27:CS27"/>
    <mergeCell ref="CB26:CC26"/>
    <mergeCell ref="CR30:CS30"/>
    <mergeCell ref="CN28:CO28"/>
    <mergeCell ref="CN24:CO24"/>
    <mergeCell ref="CD28:CE28"/>
    <mergeCell ref="CF25:CG25"/>
    <mergeCell ref="DH28:DI28"/>
    <mergeCell ref="DB23:DC23"/>
    <mergeCell ref="CV23:CW23"/>
    <mergeCell ref="CV28:CW28"/>
    <mergeCell ref="CF27:CG27"/>
    <mergeCell ref="CR26:CS26"/>
    <mergeCell ref="CJ27:CK27"/>
    <mergeCell ref="CL26:CM26"/>
    <mergeCell ref="CZ30:DA30"/>
    <mergeCell ref="CT29:CU29"/>
    <mergeCell ref="DF28:DG28"/>
    <mergeCell ref="CN30:CO30"/>
    <mergeCell ref="CN27:CO27"/>
    <mergeCell ref="BR30:BS30"/>
    <mergeCell ref="BT30:BU30"/>
    <mergeCell ref="BV30:BW30"/>
    <mergeCell ref="BL21:BM21"/>
    <mergeCell ref="CB24:CC24"/>
    <mergeCell ref="BD25:BE25"/>
    <mergeCell ref="BP28:BQ28"/>
    <mergeCell ref="BV27:BW27"/>
    <mergeCell ref="BP29:BQ29"/>
    <mergeCell ref="CB17:CC17"/>
    <mergeCell ref="BH21:BI21"/>
    <mergeCell ref="BH24:BI24"/>
    <mergeCell ref="BJ29:BK29"/>
    <mergeCell ref="BF30:BG30"/>
    <mergeCell ref="BN17:BO17"/>
    <mergeCell ref="BT25:BU25"/>
    <mergeCell ref="BJ25:BK25"/>
    <mergeCell ref="BH29:BI29"/>
    <mergeCell ref="BJ24:BK24"/>
    <mergeCell ref="CV20:CW20"/>
    <mergeCell ref="CL23:CM23"/>
    <mergeCell ref="CZ23:DA23"/>
    <mergeCell ref="CJ23:CK23"/>
    <mergeCell ref="CZ19:DA19"/>
    <mergeCell ref="DB21:DC21"/>
    <mergeCell ref="CX21:CY21"/>
    <mergeCell ref="CZ21:DA21"/>
    <mergeCell ref="CT25:CU25"/>
    <mergeCell ref="CN20:CO20"/>
    <mergeCell ref="CD18:CE18"/>
    <mergeCell ref="BH19:BI19"/>
    <mergeCell ref="CB28:CC28"/>
    <mergeCell ref="DF1:DG1"/>
    <mergeCell ref="CF1:CG1"/>
    <mergeCell ref="BT22:BU22"/>
    <mergeCell ref="BT19:BU19"/>
    <mergeCell ref="BR26:BS26"/>
    <mergeCell ref="BN1:BO1"/>
    <mergeCell ref="BP1:BQ1"/>
    <mergeCell ref="CD24:CE24"/>
    <mergeCell ref="CF21:CG21"/>
    <mergeCell ref="BZ21:CA21"/>
    <mergeCell ref="BX20:BY20"/>
    <mergeCell ref="BZ19:CA19"/>
    <mergeCell ref="CT19:CU19"/>
    <mergeCell ref="DH20:DI20"/>
    <mergeCell ref="CT26:CU26"/>
    <mergeCell ref="BR23:BS23"/>
    <mergeCell ref="BV23:BW23"/>
    <mergeCell ref="BZ26:CA26"/>
    <mergeCell ref="BV22:BW22"/>
    <mergeCell ref="BR25:BS25"/>
    <mergeCell ref="BZ22:CA22"/>
    <mergeCell ref="CD23:CE23"/>
    <mergeCell ref="CB23:CC23"/>
    <mergeCell ref="BR22:BS22"/>
    <mergeCell ref="DD21:DE21"/>
    <mergeCell ref="CL21:CM21"/>
    <mergeCell ref="CJ20:CK20"/>
    <mergeCell ref="CF19:CG19"/>
    <mergeCell ref="DH19:DI19"/>
    <mergeCell ref="DF23:DG23"/>
    <mergeCell ref="CT24:CU24"/>
    <mergeCell ref="CF23:CG23"/>
    <mergeCell ref="CF20:CG20"/>
    <mergeCell ref="DF24:DG24"/>
    <mergeCell ref="DH21:DI21"/>
    <mergeCell ref="DD25:DE25"/>
    <mergeCell ref="DH22:DI22"/>
    <mergeCell ref="CB19:CC19"/>
    <mergeCell ref="CD26:CE26"/>
    <mergeCell ref="CX25:CY25"/>
    <mergeCell ref="CT20:CU20"/>
    <mergeCell ref="DB19:DC19"/>
    <mergeCell ref="CH20:CI20"/>
    <mergeCell ref="DH1:DI1"/>
    <mergeCell ref="CL20:CM20"/>
    <mergeCell ref="CP24:CQ24"/>
    <mergeCell ref="CJ19:CK19"/>
    <mergeCell ref="CL25:CM25"/>
    <mergeCell ref="CP25:CQ25"/>
    <mergeCell ref="CH26:CI26"/>
    <mergeCell ref="CD21:CE21"/>
    <mergeCell ref="CD22:CE22"/>
    <mergeCell ref="BP20:BQ20"/>
    <mergeCell ref="BN21:BO21"/>
    <mergeCell ref="BV26:BW26"/>
    <mergeCell ref="BT23:BU23"/>
    <mergeCell ref="CN23:CO23"/>
    <mergeCell ref="CP23:CQ23"/>
    <mergeCell ref="CP26:CQ26"/>
    <mergeCell ref="CJ1:CK1"/>
    <mergeCell ref="CH18:CI18"/>
    <mergeCell ref="BZ17:CA17"/>
    <mergeCell ref="BX17:BY17"/>
    <mergeCell ref="CB18:CC18"/>
    <mergeCell ref="BZ1:CA1"/>
    <mergeCell ref="AX1:AY1"/>
    <mergeCell ref="BL23:BM23"/>
    <mergeCell ref="BV18:BW18"/>
    <mergeCell ref="BN22:BO22"/>
    <mergeCell ref="BR20:BS20"/>
    <mergeCell ref="BX25:BY25"/>
    <mergeCell ref="CF18:CG18"/>
    <mergeCell ref="BR17:BS17"/>
    <mergeCell ref="CB1:CC1"/>
    <mergeCell ref="BV1:BW1"/>
    <mergeCell ref="BX1:BY1"/>
    <mergeCell ref="BR1:BS1"/>
    <mergeCell ref="BT1:BU1"/>
    <mergeCell ref="DB17:DC17"/>
    <mergeCell ref="DF25:DG25"/>
    <mergeCell ref="AX19:AY19"/>
    <mergeCell ref="BD20:BE20"/>
    <mergeCell ref="BL18:BM18"/>
    <mergeCell ref="BL20:BM20"/>
    <mergeCell ref="AX21:AY21"/>
    <mergeCell ref="BL1:BM1"/>
    <mergeCell ref="DF27:DG27"/>
    <mergeCell ref="DF19:DG19"/>
    <mergeCell ref="CR24:CS24"/>
    <mergeCell ref="CR21:CS21"/>
    <mergeCell ref="CT21:CU21"/>
    <mergeCell ref="CV21:CW21"/>
    <mergeCell ref="CP17:CQ17"/>
    <mergeCell ref="CP18:CQ18"/>
    <mergeCell ref="CF17:CG17"/>
    <mergeCell ref="CN22:CO22"/>
    <mergeCell ref="CR17:CS17"/>
    <mergeCell ref="CT17:CU17"/>
    <mergeCell ref="CH17:CI17"/>
    <mergeCell ref="DD22:DE22"/>
    <mergeCell ref="CX17:CY17"/>
    <mergeCell ref="CX26:CY26"/>
    <mergeCell ref="CX18:CY18"/>
    <mergeCell ref="BT27:BU27"/>
    <mergeCell ref="BJ19:BK19"/>
    <mergeCell ref="CB27:CC27"/>
    <mergeCell ref="CL24:CM24"/>
    <mergeCell ref="BN27:BO27"/>
    <mergeCell ref="BX27:BY27"/>
    <mergeCell ref="BX24:BY24"/>
    <mergeCell ref="BX22:BY22"/>
    <mergeCell ref="BP24:BQ24"/>
    <mergeCell ref="BB19:BC19"/>
    <mergeCell ref="BH18:BI18"/>
    <mergeCell ref="BD1:BE1"/>
    <mergeCell ref="BF1:BG1"/>
    <mergeCell ref="BD18:BE18"/>
    <mergeCell ref="BN26:BO26"/>
    <mergeCell ref="BN25:BO25"/>
    <mergeCell ref="BT20:BU20"/>
    <mergeCell ref="BR27:BS27"/>
    <mergeCell ref="BT26:BU26"/>
    <mergeCell ref="BR21:BS21"/>
    <mergeCell ref="BT21:BU21"/>
    <mergeCell ref="CP22:CQ22"/>
    <mergeCell ref="CP27:CQ27"/>
    <mergeCell ref="CD19:CE19"/>
    <mergeCell ref="BD27:BE27"/>
    <mergeCell ref="BJ27:BK27"/>
    <mergeCell ref="CH24:CI24"/>
    <mergeCell ref="CD20:CE20"/>
    <mergeCell ref="CZ29:DA29"/>
    <mergeCell ref="CV29:CW29"/>
    <mergeCell ref="DB29:DC29"/>
    <mergeCell ref="CR29:CS29"/>
    <mergeCell ref="DD24:DE24"/>
    <mergeCell ref="DB27:DC27"/>
    <mergeCell ref="CX19:CY19"/>
    <mergeCell ref="CV26:CW26"/>
    <mergeCell ref="AX17:AY17"/>
    <mergeCell ref="AX20:AY20"/>
    <mergeCell ref="BF22:BG22"/>
    <mergeCell ref="BF21:BG21"/>
    <mergeCell ref="BF25:BG25"/>
    <mergeCell ref="CZ27:DA27"/>
    <mergeCell ref="CL27:CM27"/>
    <mergeCell ref="BB21:BC21"/>
    <mergeCell ref="BZ29:CA29"/>
    <mergeCell ref="BT28:BU28"/>
    <mergeCell ref="BZ28:CA28"/>
    <mergeCell ref="BN23:BO23"/>
    <mergeCell ref="BD19:BE19"/>
    <mergeCell ref="BJ23:BK23"/>
    <mergeCell ref="BP19:BQ19"/>
    <mergeCell ref="BJ20:BK20"/>
    <mergeCell ref="BV20:BW20"/>
    <mergeCell ref="BL19:BM19"/>
    <mergeCell ref="BP17:BQ17"/>
    <mergeCell ref="BF17:BG17"/>
    <mergeCell ref="BJ17:BK17"/>
    <mergeCell ref="BX18:BY18"/>
    <mergeCell ref="CB22:CC22"/>
    <mergeCell ref="BR18:BS18"/>
    <mergeCell ref="BV17:BW17"/>
    <mergeCell ref="BD22:BE22"/>
    <mergeCell ref="AZ29:BA29"/>
    <mergeCell ref="BH17:BI17"/>
    <mergeCell ref="BH20:BI20"/>
    <mergeCell ref="BJ26:BK26"/>
    <mergeCell ref="BL24:BM24"/>
    <mergeCell ref="BH27:BI27"/>
    <mergeCell ref="BJ28:BK28"/>
    <mergeCell ref="BD17:BE17"/>
    <mergeCell ref="BN20:BO20"/>
    <mergeCell ref="BV25:BW25"/>
    <mergeCell ref="BL17:BM17"/>
    <mergeCell ref="BF18:BG18"/>
    <mergeCell ref="BV32:BW32"/>
    <mergeCell ref="CN25:CO25"/>
    <mergeCell ref="CL19:CM19"/>
    <mergeCell ref="CF24:CG24"/>
    <mergeCell ref="CD27:CE27"/>
    <mergeCell ref="BT29:BU29"/>
    <mergeCell ref="BV29:BW29"/>
    <mergeCell ref="BL31:BM31"/>
    <mergeCell ref="BR24:BS24"/>
    <mergeCell ref="CJ31:CK31"/>
    <mergeCell ref="CN31:CO31"/>
    <mergeCell ref="BZ23:CA23"/>
    <mergeCell ref="BX23:BY23"/>
    <mergeCell ref="BN24:BO24"/>
    <mergeCell ref="BZ24:CA24"/>
    <mergeCell ref="BX26:BY26"/>
    <mergeCell ref="CF26:CG26"/>
    <mergeCell ref="BV28:BW28"/>
    <mergeCell ref="BZ25:CA25"/>
    <mergeCell ref="BL22:BM22"/>
    <mergeCell ref="CF30:CG30"/>
    <mergeCell ref="BL29:BM29"/>
    <mergeCell ref="CP19:CQ19"/>
    <mergeCell ref="BX30:BY30"/>
    <mergeCell ref="BX28:BY28"/>
    <mergeCell ref="CJ30:CK30"/>
    <mergeCell ref="CL30:CM30"/>
    <mergeCell ref="CL29:CM29"/>
    <mergeCell ref="CP20:CQ20"/>
    <mergeCell ref="BV21:BW21"/>
    <mergeCell ref="BX21:BY21"/>
    <mergeCell ref="BN29:BO29"/>
    <mergeCell ref="CJ29:CK29"/>
    <mergeCell ref="BV24:BW24"/>
    <mergeCell ref="CF22:CG22"/>
    <mergeCell ref="CB32:CC32"/>
    <mergeCell ref="BN28:BO28"/>
    <mergeCell ref="BP30:BQ30"/>
    <mergeCell ref="CB31:CC31"/>
    <mergeCell ref="CP31:CQ31"/>
    <mergeCell ref="CJ25:CK25"/>
    <mergeCell ref="CD29:CE29"/>
    <mergeCell ref="CB29:CC29"/>
    <mergeCell ref="BT24:BU24"/>
    <mergeCell ref="BZ27:CA27"/>
    <mergeCell ref="BZ30:CA30"/>
    <mergeCell ref="BV19:BW19"/>
    <mergeCell ref="BN19:BO19"/>
    <mergeCell ref="BP27:BQ27"/>
    <mergeCell ref="BX29:BY29"/>
    <mergeCell ref="BZ31:CA31"/>
    <mergeCell ref="CD31:CE31"/>
    <mergeCell ref="BT32:BU32"/>
    <mergeCell ref="BV31:BW31"/>
    <mergeCell ref="BP31:BQ31"/>
    <mergeCell ref="BR19:BS19"/>
    <mergeCell ref="CB21:CC21"/>
    <mergeCell ref="CJ28:CK28"/>
    <mergeCell ref="CL28:CM28"/>
    <mergeCell ref="CD25:CE25"/>
    <mergeCell ref="CH27:CI27"/>
    <mergeCell ref="CJ26:CK26"/>
    <mergeCell ref="CJ22:CK22"/>
    <mergeCell ref="BX31:BY31"/>
    <mergeCell ref="BB32:BC32"/>
    <mergeCell ref="BR29:BS29"/>
    <mergeCell ref="BL30:BM30"/>
    <mergeCell ref="AV24:AW24"/>
    <mergeCell ref="AV32:AW32"/>
    <mergeCell ref="BP22:BQ22"/>
    <mergeCell ref="BJ30:BK30"/>
    <mergeCell ref="BL26:BM26"/>
    <mergeCell ref="BL28:BM28"/>
    <mergeCell ref="BJ22:BK22"/>
    <mergeCell ref="BF31:BG31"/>
    <mergeCell ref="BB31:BC31"/>
    <mergeCell ref="BD31:BE31"/>
    <mergeCell ref="AR30:AS30"/>
    <mergeCell ref="AT30:AU30"/>
    <mergeCell ref="AZ32:BA32"/>
    <mergeCell ref="BF32:BG32"/>
    <mergeCell ref="BP25:BQ25"/>
    <mergeCell ref="AX28:AY28"/>
    <mergeCell ref="BB28:BC28"/>
    <mergeCell ref="AX25:AY25"/>
    <mergeCell ref="BB22:BC22"/>
    <mergeCell ref="BB26:BC26"/>
    <mergeCell ref="AX26:AY26"/>
    <mergeCell ref="BR28:BS28"/>
    <mergeCell ref="BT31:BU31"/>
    <mergeCell ref="BP26:BQ26"/>
    <mergeCell ref="AZ27:BA27"/>
    <mergeCell ref="BD24:BE24"/>
    <mergeCell ref="BD28:BE28"/>
    <mergeCell ref="BD29:BE29"/>
    <mergeCell ref="BB23:BC23"/>
    <mergeCell ref="BH28:BI28"/>
    <mergeCell ref="BP23:BQ23"/>
    <mergeCell ref="BB30:BC30"/>
    <mergeCell ref="BN30:BO30"/>
    <mergeCell ref="BH23:BI23"/>
    <mergeCell ref="AZ25:BA25"/>
    <mergeCell ref="AZ28:BA28"/>
    <mergeCell ref="BB24:BC24"/>
    <mergeCell ref="BH25:BI25"/>
    <mergeCell ref="BD23:BE23"/>
    <mergeCell ref="BH26:BI26"/>
    <mergeCell ref="BH31:BI31"/>
    <mergeCell ref="BR32:BS32"/>
    <mergeCell ref="BP32:BQ32"/>
    <mergeCell ref="AZ23:BA23"/>
    <mergeCell ref="AZ22:BA22"/>
    <mergeCell ref="BL27:BM27"/>
    <mergeCell ref="BD32:BE32"/>
    <mergeCell ref="BD26:BE26"/>
    <mergeCell ref="AX27:AY27"/>
    <mergeCell ref="BF26:BG26"/>
    <mergeCell ref="BR31:BS31"/>
    <mergeCell ref="BN32:BO32"/>
    <mergeCell ref="BT37:BU37"/>
    <mergeCell ref="BT34:BU34"/>
    <mergeCell ref="AZ34:BA34"/>
    <mergeCell ref="AX35:AY35"/>
    <mergeCell ref="AZ35:BA35"/>
    <mergeCell ref="BR37:BS37"/>
    <mergeCell ref="BH36:BI36"/>
    <mergeCell ref="BL40:BM40"/>
    <mergeCell ref="BN43:BO43"/>
    <mergeCell ref="BF36:BG36"/>
    <mergeCell ref="BH39:BI39"/>
    <mergeCell ref="BT33:BU33"/>
    <mergeCell ref="AX36:AY36"/>
    <mergeCell ref="AT41:AU41"/>
    <mergeCell ref="BR35:BS35"/>
    <mergeCell ref="BP35:BQ35"/>
    <mergeCell ref="BR40:BS40"/>
    <mergeCell ref="BN42:BO42"/>
    <mergeCell ref="BR41:BS41"/>
    <mergeCell ref="BP41:BQ41"/>
    <mergeCell ref="BL41:BM41"/>
    <mergeCell ref="BH40:BI40"/>
    <mergeCell ref="BH37:BI37"/>
    <mergeCell ref="BF37:BG37"/>
    <mergeCell ref="BB35:BC35"/>
    <mergeCell ref="AT38:AU38"/>
    <mergeCell ref="AV33:AW33"/>
    <mergeCell ref="AX34:AY34"/>
    <mergeCell ref="BP38:BQ38"/>
    <mergeCell ref="BP40:BQ40"/>
    <mergeCell ref="BT39:BU39"/>
    <mergeCell ref="BT40:BU40"/>
    <mergeCell ref="BH41:BI41"/>
    <mergeCell ref="BJ41:BK41"/>
    <mergeCell ref="BD41:BE41"/>
    <mergeCell ref="BD42:BE42"/>
    <mergeCell ref="AX38:AY38"/>
    <mergeCell ref="BJ36:BK36"/>
    <mergeCell ref="BT42:BU42"/>
    <mergeCell ref="BT43:BU43"/>
    <mergeCell ref="BR43:BS43"/>
    <mergeCell ref="BL34:BM34"/>
    <mergeCell ref="BH34:BI34"/>
    <mergeCell ref="BL42:BM42"/>
    <mergeCell ref="BP42:BQ42"/>
    <mergeCell ref="BP43:BQ43"/>
    <mergeCell ref="BT36:BU36"/>
    <mergeCell ref="BT38:BU38"/>
    <mergeCell ref="BP37:BQ37"/>
    <mergeCell ref="BR33:BS33"/>
    <mergeCell ref="BN33:BO33"/>
    <mergeCell ref="BR34:BS34"/>
    <mergeCell ref="BB40:BC40"/>
    <mergeCell ref="BD43:BE43"/>
    <mergeCell ref="BD33:BE33"/>
    <mergeCell ref="BN39:BO39"/>
    <mergeCell ref="BH35:BI35"/>
    <mergeCell ref="BT35:BU35"/>
    <mergeCell ref="BL38:BM38"/>
    <mergeCell ref="BH33:BI33"/>
    <mergeCell ref="BR39:BS39"/>
    <mergeCell ref="BR38:BS38"/>
    <mergeCell ref="BR36:BS36"/>
    <mergeCell ref="BP34:BQ34"/>
    <mergeCell ref="BD38:BE38"/>
    <mergeCell ref="BB38:BC38"/>
    <mergeCell ref="AL44:AM44"/>
    <mergeCell ref="BB41:BC41"/>
    <mergeCell ref="AV38:AW38"/>
    <mergeCell ref="BJ38:BK38"/>
    <mergeCell ref="AP45:AQ45"/>
    <mergeCell ref="BB44:BC44"/>
    <mergeCell ref="BD44:BE44"/>
    <mergeCell ref="BN44:BO44"/>
    <mergeCell ref="AX44:AY44"/>
    <mergeCell ref="AX45:AY45"/>
    <mergeCell ref="BB45:BC45"/>
    <mergeCell ref="BN45:BO45"/>
    <mergeCell ref="BN37:BO37"/>
    <mergeCell ref="BD39:BE39"/>
    <mergeCell ref="BF39:BG39"/>
    <mergeCell ref="BJ39:BK39"/>
    <mergeCell ref="BF41:BG41"/>
    <mergeCell ref="BH45:BI45"/>
    <mergeCell ref="BB36:BC36"/>
    <mergeCell ref="AV35:AW35"/>
    <mergeCell ref="BL36:BM36"/>
    <mergeCell ref="AL43:AM43"/>
    <mergeCell ref="AN45:AO45"/>
    <mergeCell ref="AV42:AW42"/>
    <mergeCell ref="AR33:AS33"/>
    <mergeCell ref="AZ37:BA37"/>
    <mergeCell ref="BL44:BM44"/>
    <mergeCell ref="AV44:AW44"/>
    <mergeCell ref="BJ44:BK44"/>
    <mergeCell ref="AL45:AM45"/>
    <mergeCell ref="BD45:BE45"/>
    <mergeCell ref="AV45:AW45"/>
    <mergeCell ref="BL43:BM43"/>
    <mergeCell ref="BB43:BC43"/>
    <mergeCell ref="BN35:BO35"/>
    <mergeCell ref="AV37:AW37"/>
    <mergeCell ref="AZ36:BA36"/>
    <mergeCell ref="BL33:BM33"/>
    <mergeCell ref="AV41:AW41"/>
    <mergeCell ref="BN41:BO41"/>
    <mergeCell ref="BH43:BI43"/>
    <mergeCell ref="BH44:BI44"/>
    <mergeCell ref="AP44:AQ44"/>
    <mergeCell ref="AL41:AM41"/>
    <mergeCell ref="AX41:AY41"/>
    <mergeCell ref="BH38:BI38"/>
    <mergeCell ref="BF33:BG33"/>
    <mergeCell ref="AR34:AS34"/>
    <mergeCell ref="AV43:AW43"/>
    <mergeCell ref="AZ42:BA42"/>
    <mergeCell ref="AR43:AS43"/>
    <mergeCell ref="AP43:AQ43"/>
    <mergeCell ref="BD40:BE40"/>
    <mergeCell ref="BF45:BG45"/>
    <mergeCell ref="AN42:AO42"/>
    <mergeCell ref="AV1:AW1"/>
    <mergeCell ref="AV19:AW19"/>
    <mergeCell ref="AP40:AQ40"/>
    <mergeCell ref="BF44:BG44"/>
    <mergeCell ref="BD35:BE35"/>
    <mergeCell ref="BD36:BE36"/>
    <mergeCell ref="AN33:AO33"/>
    <mergeCell ref="AH42:AI42"/>
    <mergeCell ref="AN43:AO43"/>
    <mergeCell ref="BF43:BG43"/>
    <mergeCell ref="AP41:AQ41"/>
    <mergeCell ref="AH37:AI37"/>
    <mergeCell ref="AN39:AO39"/>
    <mergeCell ref="AJ33:AK33"/>
    <mergeCell ref="AN38:AO38"/>
    <mergeCell ref="AL37:AM37"/>
    <mergeCell ref="AT44:AU44"/>
    <mergeCell ref="AP38:AQ38"/>
    <mergeCell ref="AV30:AW30"/>
    <mergeCell ref="AT21:AU21"/>
    <mergeCell ref="AT1:AU1"/>
    <mergeCell ref="AP30:AQ30"/>
    <mergeCell ref="AX31:AY31"/>
    <mergeCell ref="AZ31:BA31"/>
    <mergeCell ref="AX30:AY30"/>
    <mergeCell ref="AZ30:BA30"/>
    <mergeCell ref="AV26:AW26"/>
    <mergeCell ref="AZ18:BA18"/>
    <mergeCell ref="AX18:AY18"/>
    <mergeCell ref="AR18:AS18"/>
    <mergeCell ref="AR1:AS1"/>
    <mergeCell ref="AV21:AW21"/>
    <mergeCell ref="AZ1:BA1"/>
    <mergeCell ref="AT29:AU29"/>
    <mergeCell ref="AR31:AS31"/>
    <mergeCell ref="AX43:AY43"/>
    <mergeCell ref="AR37:AS37"/>
    <mergeCell ref="AT39:AU39"/>
    <mergeCell ref="AV39:AW39"/>
    <mergeCell ref="AT31:AU31"/>
    <mergeCell ref="AZ39:BA39"/>
    <mergeCell ref="BB37:BC37"/>
    <mergeCell ref="AT20:AU20"/>
    <mergeCell ref="AR17:AS17"/>
    <mergeCell ref="AT17:AU17"/>
    <mergeCell ref="AX40:AY40"/>
    <mergeCell ref="AN36:AO36"/>
    <mergeCell ref="AP1:AQ1"/>
    <mergeCell ref="AP21:AQ21"/>
    <mergeCell ref="AV28:AW28"/>
    <mergeCell ref="AT28:AU28"/>
    <mergeCell ref="AX22:AY22"/>
    <mergeCell ref="AR32:AS32"/>
    <mergeCell ref="AV40:AW40"/>
    <mergeCell ref="AX42:AY42"/>
    <mergeCell ref="BF38:BG38"/>
    <mergeCell ref="AP34:AQ34"/>
    <mergeCell ref="AN37:AO37"/>
    <mergeCell ref="BD37:BE37"/>
    <mergeCell ref="AT33:AU33"/>
    <mergeCell ref="BD34:BE34"/>
    <mergeCell ref="AV34:AW34"/>
    <mergeCell ref="AP33:AQ33"/>
    <mergeCell ref="AL25:AM25"/>
    <mergeCell ref="AV17:AW17"/>
    <mergeCell ref="AR19:AS19"/>
    <mergeCell ref="AV23:AW23"/>
    <mergeCell ref="AV22:AW22"/>
    <mergeCell ref="AV27:AW27"/>
    <mergeCell ref="BJ40:BK40"/>
    <mergeCell ref="BH42:BI42"/>
    <mergeCell ref="BB39:BC39"/>
    <mergeCell ref="BP21:BQ21"/>
    <mergeCell ref="BL39:BM39"/>
    <mergeCell ref="BN38:BO38"/>
    <mergeCell ref="AV29:AW29"/>
    <mergeCell ref="AT32:AU32"/>
    <mergeCell ref="AX32:AY32"/>
    <mergeCell ref="BB29:BC29"/>
    <mergeCell ref="BH22:BI22"/>
    <mergeCell ref="AR23:AS23"/>
    <mergeCell ref="BF24:BG24"/>
    <mergeCell ref="AX24:AY24"/>
    <mergeCell ref="AT23:AU23"/>
    <mergeCell ref="AR24:AS24"/>
    <mergeCell ref="BL25:BM25"/>
    <mergeCell ref="BF23:BG23"/>
    <mergeCell ref="AV31:AW31"/>
    <mergeCell ref="BH30:BI30"/>
    <mergeCell ref="BF20:BG20"/>
    <mergeCell ref="BF34:BG34"/>
    <mergeCell ref="AR39:AS39"/>
    <mergeCell ref="BF42:BG42"/>
    <mergeCell ref="AZ43:BA43"/>
    <mergeCell ref="AX33:AY33"/>
    <mergeCell ref="AR36:AS36"/>
    <mergeCell ref="BP36:BQ36"/>
    <mergeCell ref="BJ21:BK21"/>
    <mergeCell ref="AZ17:BA17"/>
    <mergeCell ref="BP18:BQ18"/>
    <mergeCell ref="BB18:BC18"/>
    <mergeCell ref="BF19:BG19"/>
    <mergeCell ref="BB17:BC17"/>
    <mergeCell ref="AZ20:BA20"/>
    <mergeCell ref="BB20:BC20"/>
    <mergeCell ref="BD30:BE30"/>
    <mergeCell ref="BD21:BE21"/>
    <mergeCell ref="BF28:BG28"/>
    <mergeCell ref="BF29:BG29"/>
    <mergeCell ref="AZ33:BA33"/>
    <mergeCell ref="BP39:BQ39"/>
    <mergeCell ref="AX37:AY37"/>
    <mergeCell ref="BN34:BO34"/>
    <mergeCell ref="BJ43:BK43"/>
    <mergeCell ref="AR25:AS25"/>
    <mergeCell ref="AV36:AW36"/>
    <mergeCell ref="AR38:AS38"/>
    <mergeCell ref="AT26:AU26"/>
    <mergeCell ref="AZ24:BA24"/>
    <mergeCell ref="BJ37:BK37"/>
    <mergeCell ref="BL37:BM37"/>
    <mergeCell ref="AT43:AU43"/>
    <mergeCell ref="AT34:AU34"/>
    <mergeCell ref="AZ40:BA40"/>
    <mergeCell ref="BN40:BO40"/>
    <mergeCell ref="BF40:BG40"/>
    <mergeCell ref="AT37:AU37"/>
    <mergeCell ref="AT35:AU35"/>
    <mergeCell ref="AH1:AI1"/>
    <mergeCell ref="AX23:AY23"/>
    <mergeCell ref="AZ19:BA19"/>
    <mergeCell ref="AT18:AU18"/>
    <mergeCell ref="AF26:AG26"/>
    <mergeCell ref="AF35:AG35"/>
    <mergeCell ref="AH17:AI17"/>
    <mergeCell ref="AL18:AM18"/>
    <mergeCell ref="AN17:AO17"/>
    <mergeCell ref="AH39:AI39"/>
    <mergeCell ref="AJ35:AK35"/>
    <mergeCell ref="AL34:AM34"/>
    <mergeCell ref="AN28:AO28"/>
    <mergeCell ref="AL33:AM33"/>
    <mergeCell ref="AJ37:AK37"/>
    <mergeCell ref="AJ28:AK28"/>
    <mergeCell ref="AH35:AI35"/>
    <mergeCell ref="AN32:AO32"/>
    <mergeCell ref="AJ27:AK27"/>
    <mergeCell ref="AL23:AM23"/>
    <mergeCell ref="AJ24:AK24"/>
    <mergeCell ref="AH24:AI24"/>
    <mergeCell ref="AD27:AE27"/>
    <mergeCell ref="AR21:AS21"/>
    <mergeCell ref="AN22:AO22"/>
    <mergeCell ref="AV18:AW18"/>
    <mergeCell ref="AZ21:BA21"/>
    <mergeCell ref="AV20:AW20"/>
    <mergeCell ref="AZ38:BA38"/>
    <mergeCell ref="AX29:AY29"/>
    <mergeCell ref="AT27:AU27"/>
    <mergeCell ref="AJ20:AK20"/>
    <mergeCell ref="AL1:AM1"/>
    <mergeCell ref="AN1:AO1"/>
    <mergeCell ref="AJ1:AK1"/>
    <mergeCell ref="AJ30:AK30"/>
    <mergeCell ref="AN31:AO31"/>
    <mergeCell ref="AJ32:AK32"/>
    <mergeCell ref="AJ18:AK18"/>
    <mergeCell ref="AN19:AO19"/>
    <mergeCell ref="AR20:AS20"/>
    <mergeCell ref="AR35:AS35"/>
    <mergeCell ref="AR27:AS27"/>
    <mergeCell ref="AV25:AW25"/>
    <mergeCell ref="AP35:AQ35"/>
    <mergeCell ref="AN18:AO18"/>
    <mergeCell ref="AN26:AO26"/>
    <mergeCell ref="AP39:AQ39"/>
    <mergeCell ref="AR22:AS22"/>
    <mergeCell ref="AP23:AQ23"/>
    <mergeCell ref="AR29:AS29"/>
    <mergeCell ref="AR26:AS26"/>
    <mergeCell ref="AN25:AO25"/>
    <mergeCell ref="AH19:AI19"/>
    <mergeCell ref="AH22:AI22"/>
    <mergeCell ref="AP17:AQ17"/>
    <mergeCell ref="AP29:AQ29"/>
    <mergeCell ref="AN29:AO29"/>
    <mergeCell ref="AP19:AQ19"/>
    <mergeCell ref="AP20:AQ20"/>
    <mergeCell ref="AT19:AU19"/>
    <mergeCell ref="AL28:AM28"/>
    <mergeCell ref="AJ34:AK34"/>
    <mergeCell ref="AL31:AM31"/>
    <mergeCell ref="AP31:AQ31"/>
    <mergeCell ref="AL21:AM21"/>
    <mergeCell ref="AL35:AM35"/>
    <mergeCell ref="AN35:AO35"/>
    <mergeCell ref="AF45:AG45"/>
    <mergeCell ref="AF39:AG39"/>
    <mergeCell ref="AL30:AM30"/>
    <mergeCell ref="AP25:AQ25"/>
    <mergeCell ref="AP27:AQ27"/>
    <mergeCell ref="AL38:AM38"/>
    <mergeCell ref="AL22:AM22"/>
    <mergeCell ref="AL29:AM29"/>
    <mergeCell ref="AN30:AO30"/>
    <mergeCell ref="AL17:AM17"/>
    <mergeCell ref="AF34:AG34"/>
    <mergeCell ref="Z38:AA38"/>
    <mergeCell ref="AJ29:AK29"/>
    <mergeCell ref="AD37:AE37"/>
    <mergeCell ref="AD30:AE30"/>
    <mergeCell ref="AT42:AU42"/>
    <mergeCell ref="AP24:AQ24"/>
    <mergeCell ref="AP32:AQ32"/>
    <mergeCell ref="AJ23:AK23"/>
    <mergeCell ref="AF28:AG28"/>
    <mergeCell ref="AF32:AG32"/>
    <mergeCell ref="AN44:AO44"/>
    <mergeCell ref="Z39:AA39"/>
    <mergeCell ref="AL20:AM20"/>
    <mergeCell ref="AB32:AC32"/>
    <mergeCell ref="AD33:AE33"/>
    <mergeCell ref="AD36:AE36"/>
    <mergeCell ref="AD35:AE35"/>
    <mergeCell ref="AJ25:AK25"/>
    <mergeCell ref="AN34:AO34"/>
    <mergeCell ref="AJ42:AK42"/>
    <mergeCell ref="AR41:AS41"/>
    <mergeCell ref="AR42:AS42"/>
    <mergeCell ref="AL26:AM26"/>
    <mergeCell ref="AJ45:AK45"/>
    <mergeCell ref="AJ26:AK26"/>
    <mergeCell ref="AR44:AS44"/>
    <mergeCell ref="AJ36:AK36"/>
    <mergeCell ref="AP36:AQ36"/>
    <mergeCell ref="AL36:AM36"/>
    <mergeCell ref="AP37:AQ37"/>
    <mergeCell ref="AH38:AI38"/>
    <mergeCell ref="AN23:AO23"/>
    <mergeCell ref="AR28:AS28"/>
    <mergeCell ref="AR40:AS40"/>
    <mergeCell ref="AN24:AO24"/>
    <mergeCell ref="AL27:AM27"/>
    <mergeCell ref="AN27:AO27"/>
    <mergeCell ref="AN21:AO21"/>
    <mergeCell ref="AL32:AM32"/>
    <mergeCell ref="AP22:AQ22"/>
    <mergeCell ref="AL24:AM24"/>
    <mergeCell ref="AP18:AQ18"/>
    <mergeCell ref="AP26:AQ26"/>
    <mergeCell ref="AJ38:AK38"/>
    <mergeCell ref="AP28:AQ28"/>
    <mergeCell ref="AT36:AU36"/>
    <mergeCell ref="AT40:AU40"/>
    <mergeCell ref="AT22:AU22"/>
    <mergeCell ref="Z36:AA36"/>
    <mergeCell ref="S38:T38"/>
    <mergeCell ref="Q38:R38"/>
    <mergeCell ref="S33:T33"/>
    <mergeCell ref="S28:T28"/>
    <mergeCell ref="K38:L38"/>
    <mergeCell ref="K2:L2"/>
    <mergeCell ref="Q34:R34"/>
    <mergeCell ref="K3:L3"/>
    <mergeCell ref="AJ31:AK31"/>
    <mergeCell ref="AD34:AE34"/>
    <mergeCell ref="Z30:AA30"/>
    <mergeCell ref="AH29:AI29"/>
    <mergeCell ref="AH30:AI30"/>
    <mergeCell ref="AH28:AI28"/>
    <mergeCell ref="AH32:AI32"/>
    <mergeCell ref="AJ19:AK19"/>
    <mergeCell ref="AJ22:AK22"/>
    <mergeCell ref="AH33:AI33"/>
    <mergeCell ref="X29:Y29"/>
    <mergeCell ref="AH27:AI27"/>
    <mergeCell ref="AH21:AI21"/>
    <mergeCell ref="AD29:AE29"/>
    <mergeCell ref="AD21:AE21"/>
    <mergeCell ref="AD28:AE28"/>
    <mergeCell ref="AF30:AG30"/>
    <mergeCell ref="AF20:AG20"/>
    <mergeCell ref="AH23:AI23"/>
    <mergeCell ref="Z26:AA26"/>
    <mergeCell ref="AF25:AG25"/>
    <mergeCell ref="AF31:AG31"/>
    <mergeCell ref="X20:Y20"/>
    <mergeCell ref="X18:Y18"/>
    <mergeCell ref="Z18:AA18"/>
    <mergeCell ref="AD17:AE17"/>
    <mergeCell ref="AF17:AG17"/>
    <mergeCell ref="AB24:AC24"/>
    <mergeCell ref="Z22:AA22"/>
    <mergeCell ref="AB22:AC22"/>
    <mergeCell ref="AB21:AC21"/>
    <mergeCell ref="X25:Y25"/>
    <mergeCell ref="Z32:AA32"/>
    <mergeCell ref="AF24:AG24"/>
    <mergeCell ref="AF21:AG21"/>
    <mergeCell ref="AH26:AI26"/>
    <mergeCell ref="AF27:AG27"/>
    <mergeCell ref="AH34:AI34"/>
    <mergeCell ref="AJ17:AK17"/>
    <mergeCell ref="AJ21:AK21"/>
    <mergeCell ref="AB20:AC20"/>
    <mergeCell ref="AH18:AI18"/>
    <mergeCell ref="AH20:AI20"/>
    <mergeCell ref="S14:T14"/>
    <mergeCell ref="AF22:AG22"/>
    <mergeCell ref="AB33:AC33"/>
    <mergeCell ref="S7:T7"/>
    <mergeCell ref="K4:L4"/>
    <mergeCell ref="O9:P9"/>
    <mergeCell ref="O11:P11"/>
    <mergeCell ref="AH36:AI36"/>
    <mergeCell ref="X37:Y37"/>
    <mergeCell ref="O37:P37"/>
    <mergeCell ref="X36:Y36"/>
    <mergeCell ref="K37:L37"/>
    <mergeCell ref="AB36:AC36"/>
    <mergeCell ref="X35:Y35"/>
    <mergeCell ref="I6:J6"/>
    <mergeCell ref="M35:N35"/>
    <mergeCell ref="K35:L35"/>
    <mergeCell ref="K1:L1"/>
    <mergeCell ref="M1:N1"/>
    <mergeCell ref="O2:P2"/>
    <mergeCell ref="Q2:R2"/>
    <mergeCell ref="Z25:AA25"/>
    <mergeCell ref="AB29:AC29"/>
    <mergeCell ref="AD26:AE26"/>
    <mergeCell ref="O27:P27"/>
    <mergeCell ref="AH25:AI25"/>
    <mergeCell ref="AF23:AG23"/>
    <mergeCell ref="AH31:AI31"/>
    <mergeCell ref="S22:T22"/>
    <mergeCell ref="Q6:R6"/>
    <mergeCell ref="X17:Y17"/>
    <mergeCell ref="AF1:AG1"/>
    <mergeCell ref="AF33:AG33"/>
    <mergeCell ref="AF36:AG36"/>
    <mergeCell ref="X1:Y1"/>
    <mergeCell ref="Z1:AA1"/>
    <mergeCell ref="AD1:AE1"/>
    <mergeCell ref="AB38:AC38"/>
    <mergeCell ref="AD25:AE25"/>
    <mergeCell ref="K30:L30"/>
    <mergeCell ref="K28:L28"/>
    <mergeCell ref="O28:P28"/>
    <mergeCell ref="M25:N25"/>
    <mergeCell ref="Q29:R29"/>
    <mergeCell ref="S29:T29"/>
    <mergeCell ref="K27:L27"/>
    <mergeCell ref="AB27:AC27"/>
    <mergeCell ref="Q27:R27"/>
    <mergeCell ref="M27:N27"/>
    <mergeCell ref="X32:Y32"/>
    <mergeCell ref="K32:L32"/>
    <mergeCell ref="M28:N28"/>
    <mergeCell ref="X27:Y27"/>
    <mergeCell ref="Z20:AA20"/>
    <mergeCell ref="M18:N18"/>
    <mergeCell ref="AD32:AE32"/>
    <mergeCell ref="O30:P30"/>
    <mergeCell ref="M7:N7"/>
    <mergeCell ref="M8:N8"/>
    <mergeCell ref="M9:N9"/>
    <mergeCell ref="AF18:AG18"/>
    <mergeCell ref="AF19:AG19"/>
    <mergeCell ref="S8:T8"/>
    <mergeCell ref="AB19:AC19"/>
    <mergeCell ref="S19:T19"/>
    <mergeCell ref="AF29:AG29"/>
    <mergeCell ref="S36:T36"/>
    <mergeCell ref="K36:L36"/>
    <mergeCell ref="Z35:AA35"/>
    <mergeCell ref="M17:N17"/>
    <mergeCell ref="Z34:AA34"/>
    <mergeCell ref="I1:J1"/>
    <mergeCell ref="AB1:AC1"/>
    <mergeCell ref="Q1:R1"/>
    <mergeCell ref="O18:P18"/>
    <mergeCell ref="Q18:R18"/>
    <mergeCell ref="S18:T18"/>
    <mergeCell ref="X28:Y28"/>
    <mergeCell ref="K7:L7"/>
    <mergeCell ref="S6:T6"/>
    <mergeCell ref="K17:L17"/>
    <mergeCell ref="K11:L11"/>
    <mergeCell ref="I2:J2"/>
    <mergeCell ref="K10:L10"/>
    <mergeCell ref="S12:T12"/>
    <mergeCell ref="O8:P8"/>
    <mergeCell ref="K9:L9"/>
    <mergeCell ref="Q16:R16"/>
    <mergeCell ref="S4:T4"/>
    <mergeCell ref="I17:J17"/>
    <mergeCell ref="Q9:R9"/>
    <mergeCell ref="I8:J8"/>
    <mergeCell ref="I9:J9"/>
    <mergeCell ref="I10:J10"/>
    <mergeCell ref="Q8:R8"/>
    <mergeCell ref="S16:T16"/>
    <mergeCell ref="Z19:AA19"/>
    <mergeCell ref="O14:P14"/>
    <mergeCell ref="K14:L14"/>
    <mergeCell ref="K15:L15"/>
    <mergeCell ref="K16:L16"/>
    <mergeCell ref="M14:N14"/>
    <mergeCell ref="O16:P16"/>
    <mergeCell ref="I3:J3"/>
    <mergeCell ref="O19:P19"/>
    <mergeCell ref="I4:J4"/>
    <mergeCell ref="I5:J5"/>
    <mergeCell ref="O7:P7"/>
    <mergeCell ref="Q7:R7"/>
    <mergeCell ref="K8:L8"/>
    <mergeCell ref="K5:L5"/>
    <mergeCell ref="K6:L6"/>
    <mergeCell ref="O6:P6"/>
    <mergeCell ref="Q19:R19"/>
    <mergeCell ref="X19:Y19"/>
    <mergeCell ref="M10:N10"/>
    <mergeCell ref="Q14:R14"/>
    <mergeCell ref="S9:T9"/>
    <mergeCell ref="Q15:R15"/>
    <mergeCell ref="I7:J7"/>
    <mergeCell ref="AD22:AE22"/>
    <mergeCell ref="O38:P38"/>
    <mergeCell ref="X38:Y38"/>
    <mergeCell ref="K41:L41"/>
    <mergeCell ref="S41:T41"/>
    <mergeCell ref="Q35:R35"/>
    <mergeCell ref="M38:N38"/>
    <mergeCell ref="Z42:AA42"/>
    <mergeCell ref="S1:T1"/>
    <mergeCell ref="O12:P12"/>
    <mergeCell ref="K19:L19"/>
    <mergeCell ref="S3:T3"/>
    <mergeCell ref="O10:P10"/>
    <mergeCell ref="Q10:R10"/>
    <mergeCell ref="S10:T10"/>
    <mergeCell ref="M2:N2"/>
    <mergeCell ref="Q4:R4"/>
    <mergeCell ref="S2:T2"/>
    <mergeCell ref="O15:P15"/>
    <mergeCell ref="O4:P4"/>
    <mergeCell ref="O3:P3"/>
    <mergeCell ref="Q3:R3"/>
    <mergeCell ref="O17:P17"/>
    <mergeCell ref="S15:T15"/>
    <mergeCell ref="K12:L12"/>
    <mergeCell ref="M4:N4"/>
    <mergeCell ref="M5:N5"/>
    <mergeCell ref="M16:N16"/>
    <mergeCell ref="M3:N3"/>
    <mergeCell ref="M15:N15"/>
    <mergeCell ref="M6:N6"/>
    <mergeCell ref="O5:P5"/>
    <mergeCell ref="Q5:R5"/>
    <mergeCell ref="S5:T5"/>
    <mergeCell ref="O1:P1"/>
    <mergeCell ref="Q17:R17"/>
    <mergeCell ref="S17:T17"/>
    <mergeCell ref="K24:L24"/>
    <mergeCell ref="X23:Y23"/>
    <mergeCell ref="Q32:R32"/>
    <mergeCell ref="S32:T32"/>
    <mergeCell ref="S34:T34"/>
    <mergeCell ref="X34:Y34"/>
    <mergeCell ref="K33:L33"/>
    <mergeCell ref="M33:N33"/>
    <mergeCell ref="M30:N30"/>
    <mergeCell ref="Z27:AA27"/>
    <mergeCell ref="S37:T37"/>
    <mergeCell ref="O33:P33"/>
    <mergeCell ref="Q28:R28"/>
    <mergeCell ref="M29:N29"/>
    <mergeCell ref="O29:P29"/>
    <mergeCell ref="K22:L22"/>
    <mergeCell ref="M22:N22"/>
    <mergeCell ref="Z28:AA28"/>
    <mergeCell ref="S35:T35"/>
    <mergeCell ref="Z29:AA29"/>
    <mergeCell ref="Q30:R30"/>
    <mergeCell ref="M31:N31"/>
    <mergeCell ref="O31:P31"/>
    <mergeCell ref="Q31:R31"/>
    <mergeCell ref="S31:T31"/>
    <mergeCell ref="X31:Y31"/>
    <mergeCell ref="Z31:AA31"/>
    <mergeCell ref="I27:J27"/>
    <mergeCell ref="I20:J20"/>
    <mergeCell ref="M47:N47"/>
    <mergeCell ref="I26:J26"/>
    <mergeCell ref="K29:L29"/>
    <mergeCell ref="K26:L26"/>
    <mergeCell ref="M26:N26"/>
    <mergeCell ref="K25:L25"/>
    <mergeCell ref="O21:P21"/>
    <mergeCell ref="Q21:R21"/>
    <mergeCell ref="I24:J24"/>
    <mergeCell ref="AB26:AC26"/>
    <mergeCell ref="I25:J25"/>
    <mergeCell ref="O23:P23"/>
    <mergeCell ref="Z24:AA24"/>
    <mergeCell ref="I18:J18"/>
    <mergeCell ref="K18:L18"/>
    <mergeCell ref="Q11:R11"/>
    <mergeCell ref="S11:T11"/>
    <mergeCell ref="AB31:AC31"/>
    <mergeCell ref="AB25:AC25"/>
    <mergeCell ref="K23:L23"/>
    <mergeCell ref="K34:L34"/>
    <mergeCell ref="Q20:R20"/>
    <mergeCell ref="M23:N23"/>
    <mergeCell ref="O24:P24"/>
    <mergeCell ref="S26:T26"/>
    <mergeCell ref="M11:N11"/>
    <mergeCell ref="M12:N12"/>
    <mergeCell ref="AD24:AE24"/>
    <mergeCell ref="I21:J21"/>
    <mergeCell ref="K21:L21"/>
    <mergeCell ref="Q24:R24"/>
    <mergeCell ref="S24:T24"/>
    <mergeCell ref="M24:N24"/>
    <mergeCell ref="X26:Y26"/>
    <mergeCell ref="Z21:AA21"/>
    <mergeCell ref="X30:Y30"/>
    <mergeCell ref="AD18:AE18"/>
    <mergeCell ref="AD20:AE20"/>
    <mergeCell ref="AD23:AE23"/>
    <mergeCell ref="S27:T27"/>
    <mergeCell ref="X22:Y22"/>
    <mergeCell ref="AD31:AE31"/>
    <mergeCell ref="AB18:AC18"/>
    <mergeCell ref="Z17:AA17"/>
    <mergeCell ref="AB17:AC17"/>
    <mergeCell ref="Q12:R12"/>
    <mergeCell ref="I12:J12"/>
    <mergeCell ref="I14:J14"/>
    <mergeCell ref="I15:J15"/>
    <mergeCell ref="O25:P25"/>
    <mergeCell ref="Q25:R25"/>
    <mergeCell ref="I16:J16"/>
    <mergeCell ref="I28:J28"/>
    <mergeCell ref="M34:N34"/>
    <mergeCell ref="I30:J30"/>
    <mergeCell ref="AB30:AC30"/>
    <mergeCell ref="I34:J34"/>
    <mergeCell ref="I33:J33"/>
    <mergeCell ref="AB28:AC28"/>
    <mergeCell ref="AB23:AC23"/>
    <mergeCell ref="X21:Y21"/>
    <mergeCell ref="AD19:AE19"/>
    <mergeCell ref="BJ48:BK48"/>
    <mergeCell ref="BJ49:BK49"/>
    <mergeCell ref="BB53:BC53"/>
    <mergeCell ref="Q36:R36"/>
    <mergeCell ref="O34:P34"/>
    <mergeCell ref="I11:J11"/>
    <mergeCell ref="I38:J38"/>
    <mergeCell ref="I31:J31"/>
    <mergeCell ref="K31:L31"/>
    <mergeCell ref="I19:J19"/>
    <mergeCell ref="O45:P45"/>
    <mergeCell ref="O44:P44"/>
    <mergeCell ref="S47:T47"/>
    <mergeCell ref="M46:N46"/>
    <mergeCell ref="X47:Y47"/>
    <mergeCell ref="X45:Y45"/>
    <mergeCell ref="AF47:AG47"/>
    <mergeCell ref="O46:P46"/>
    <mergeCell ref="AD45:AE45"/>
    <mergeCell ref="Q23:R23"/>
    <mergeCell ref="Z23:AA23"/>
    <mergeCell ref="S21:T21"/>
    <mergeCell ref="AF37:AG37"/>
    <mergeCell ref="X33:Y33"/>
    <mergeCell ref="Z33:AA33"/>
    <mergeCell ref="Q33:R33"/>
    <mergeCell ref="S25:T25"/>
    <mergeCell ref="Q22:R22"/>
    <mergeCell ref="S20:T20"/>
    <mergeCell ref="S23:T23"/>
    <mergeCell ref="AB37:AC37"/>
    <mergeCell ref="AD38:AE38"/>
    <mergeCell ref="AF38:AG38"/>
    <mergeCell ref="Z37:AA37"/>
    <mergeCell ref="M19:N19"/>
    <mergeCell ref="I37:J37"/>
    <mergeCell ref="M20:N20"/>
    <mergeCell ref="K20:L20"/>
    <mergeCell ref="O22:P22"/>
    <mergeCell ref="Q43:R43"/>
    <mergeCell ref="AD43:AE43"/>
    <mergeCell ref="I46:J46"/>
    <mergeCell ref="M37:N37"/>
    <mergeCell ref="I22:J22"/>
    <mergeCell ref="I35:J35"/>
    <mergeCell ref="O26:P26"/>
    <mergeCell ref="O20:P20"/>
    <mergeCell ref="M21:N21"/>
    <mergeCell ref="X24:Y24"/>
    <mergeCell ref="O35:P35"/>
    <mergeCell ref="I29:J29"/>
    <mergeCell ref="Q37:R37"/>
    <mergeCell ref="M32:N32"/>
    <mergeCell ref="O32:P32"/>
    <mergeCell ref="S30:T30"/>
    <mergeCell ref="I32:J32"/>
    <mergeCell ref="AB34:AC34"/>
    <mergeCell ref="I23:J23"/>
    <mergeCell ref="Q26:R26"/>
    <mergeCell ref="AB35:AC35"/>
    <mergeCell ref="M36:N36"/>
    <mergeCell ref="O36:P36"/>
    <mergeCell ref="I36:J36"/>
    <mergeCell ref="O43:P43"/>
    <mergeCell ref="BF47:BG47"/>
    <mergeCell ref="K55:L55"/>
    <mergeCell ref="O52:P52"/>
    <mergeCell ref="AJ43:AK43"/>
    <mergeCell ref="Q54:R54"/>
    <mergeCell ref="O54:P54"/>
    <mergeCell ref="X54:Y54"/>
    <mergeCell ref="BJ50:BK50"/>
    <mergeCell ref="Z48:AA48"/>
    <mergeCell ref="AN48:AO48"/>
    <mergeCell ref="M53:N53"/>
    <mergeCell ref="Q53:R53"/>
    <mergeCell ref="X39:Y39"/>
    <mergeCell ref="Q39:R39"/>
    <mergeCell ref="Q41:R41"/>
    <mergeCell ref="X40:Y40"/>
    <mergeCell ref="AZ41:BA41"/>
    <mergeCell ref="M49:N49"/>
    <mergeCell ref="M55:N55"/>
    <mergeCell ref="BH53:BI53"/>
    <mergeCell ref="AP54:AQ54"/>
    <mergeCell ref="BF52:BG52"/>
    <mergeCell ref="BH54:BI54"/>
    <mergeCell ref="BJ53:BK53"/>
    <mergeCell ref="X48:Y48"/>
    <mergeCell ref="AB47:AC47"/>
    <mergeCell ref="AF48:AG48"/>
    <mergeCell ref="AD48:AE48"/>
    <mergeCell ref="AB46:AC46"/>
    <mergeCell ref="AD49:AE49"/>
    <mergeCell ref="AB43:AC43"/>
    <mergeCell ref="X43:Y43"/>
    <mergeCell ref="AD46:AE46"/>
    <mergeCell ref="AD42:AE42"/>
    <mergeCell ref="AZ44:BA44"/>
    <mergeCell ref="AL39:AM39"/>
    <mergeCell ref="AJ39:AK39"/>
    <mergeCell ref="BJ45:BK45"/>
    <mergeCell ref="AP42:AQ42"/>
    <mergeCell ref="AJ53:AK53"/>
    <mergeCell ref="AL52:AM52"/>
    <mergeCell ref="AR52:AS52"/>
    <mergeCell ref="S49:T49"/>
    <mergeCell ref="X49:Y49"/>
    <mergeCell ref="AL42:AM42"/>
    <mergeCell ref="AN41:AO41"/>
    <mergeCell ref="AB39:AC39"/>
    <mergeCell ref="AF40:AG40"/>
    <mergeCell ref="AX39:AY39"/>
    <mergeCell ref="AF43:AG43"/>
    <mergeCell ref="M52:N52"/>
    <mergeCell ref="AH41:AI41"/>
    <mergeCell ref="S39:T39"/>
    <mergeCell ref="AL40:AM40"/>
    <mergeCell ref="AN40:AO40"/>
    <mergeCell ref="Q40:R40"/>
    <mergeCell ref="Z46:AA46"/>
    <mergeCell ref="M40:N40"/>
    <mergeCell ref="Q48:R48"/>
    <mergeCell ref="AD50:AE50"/>
    <mergeCell ref="AH43:AI43"/>
    <mergeCell ref="AH47:AI47"/>
    <mergeCell ref="M44:N44"/>
    <mergeCell ref="AJ40:AK40"/>
    <mergeCell ref="X56:Y56"/>
    <mergeCell ref="O56:P56"/>
    <mergeCell ref="I52:J52"/>
    <mergeCell ref="I54:J54"/>
    <mergeCell ref="I55:J55"/>
    <mergeCell ref="K52:L52"/>
    <mergeCell ref="K54:L54"/>
    <mergeCell ref="M50:N50"/>
    <mergeCell ref="O50:P50"/>
    <mergeCell ref="I42:J42"/>
    <mergeCell ref="AD40:AE40"/>
    <mergeCell ref="AF46:AG46"/>
    <mergeCell ref="I48:J48"/>
    <mergeCell ref="K50:L50"/>
    <mergeCell ref="S63:T63"/>
    <mergeCell ref="BB59:BC59"/>
    <mergeCell ref="BB58:BC58"/>
    <mergeCell ref="AN57:AO57"/>
    <mergeCell ref="M45:N45"/>
    <mergeCell ref="AH40:AI40"/>
    <mergeCell ref="AJ41:AK41"/>
    <mergeCell ref="I40:J40"/>
    <mergeCell ref="AJ49:AK49"/>
    <mergeCell ref="AH46:AI46"/>
    <mergeCell ref="AJ44:AK44"/>
    <mergeCell ref="AH45:AI45"/>
    <mergeCell ref="AP52:AQ52"/>
    <mergeCell ref="S53:T53"/>
    <mergeCell ref="AN49:AO49"/>
    <mergeCell ref="AB56:AC56"/>
    <mergeCell ref="AD56:AE56"/>
    <mergeCell ref="AJ47:AK47"/>
    <mergeCell ref="AH49:AI49"/>
    <mergeCell ref="AL47:AM47"/>
    <mergeCell ref="AN47:AO47"/>
    <mergeCell ref="AR55:AS55"/>
    <mergeCell ref="AT46:AU46"/>
    <mergeCell ref="AP53:AQ53"/>
    <mergeCell ref="AX55:AY55"/>
    <mergeCell ref="AV56:AW56"/>
    <mergeCell ref="Z53:AA53"/>
    <mergeCell ref="BB55:BC55"/>
    <mergeCell ref="AR46:AS46"/>
    <mergeCell ref="AR47:AS47"/>
    <mergeCell ref="AV47:AW47"/>
    <mergeCell ref="Z40:AA40"/>
    <mergeCell ref="I59:J59"/>
    <mergeCell ref="X42:Y42"/>
    <mergeCell ref="M48:N48"/>
    <mergeCell ref="O49:P49"/>
    <mergeCell ref="S45:T45"/>
    <mergeCell ref="M41:N41"/>
    <mergeCell ref="O41:P41"/>
    <mergeCell ref="K58:L58"/>
    <mergeCell ref="K60:L60"/>
    <mergeCell ref="I57:J57"/>
    <mergeCell ref="AZ62:BA62"/>
    <mergeCell ref="AT62:AU62"/>
    <mergeCell ref="AX58:AY58"/>
    <mergeCell ref="AB61:AC61"/>
    <mergeCell ref="Q52:R52"/>
    <mergeCell ref="AB50:AC50"/>
    <mergeCell ref="Q55:R55"/>
    <mergeCell ref="S55:T55"/>
    <mergeCell ref="K64:L64"/>
    <mergeCell ref="AB72:AC72"/>
    <mergeCell ref="X69:Y69"/>
    <mergeCell ref="O57:P57"/>
    <mergeCell ref="AD68:AE68"/>
    <mergeCell ref="M57:N57"/>
    <mergeCell ref="O58:P58"/>
    <mergeCell ref="M71:N71"/>
    <mergeCell ref="AF57:AG57"/>
    <mergeCell ref="AD57:AE57"/>
    <mergeCell ref="S57:T57"/>
    <mergeCell ref="Z57:AA57"/>
    <mergeCell ref="I58:J58"/>
    <mergeCell ref="K69:L69"/>
    <mergeCell ref="O55:P55"/>
    <mergeCell ref="Q46:R46"/>
    <mergeCell ref="O47:P47"/>
    <mergeCell ref="S46:T46"/>
    <mergeCell ref="S48:T48"/>
    <mergeCell ref="AB59:AC59"/>
    <mergeCell ref="AB62:AC62"/>
    <mergeCell ref="Z52:AA52"/>
    <mergeCell ref="S56:T56"/>
    <mergeCell ref="Q57:R57"/>
    <mergeCell ref="M56:N56"/>
    <mergeCell ref="I56:J56"/>
    <mergeCell ref="S69:T69"/>
    <mergeCell ref="K56:L56"/>
    <mergeCell ref="Q47:R47"/>
    <mergeCell ref="O61:P61"/>
    <mergeCell ref="Q50:R50"/>
    <mergeCell ref="Q56:R56"/>
    <mergeCell ref="K53:L53"/>
    <mergeCell ref="O59:P59"/>
    <mergeCell ref="Z59:AA59"/>
    <mergeCell ref="Z65:AA65"/>
    <mergeCell ref="K57:L57"/>
    <mergeCell ref="M63:N63"/>
    <mergeCell ref="K67:L67"/>
    <mergeCell ref="K59:L59"/>
    <mergeCell ref="AD62:AE62"/>
    <mergeCell ref="I64:J64"/>
    <mergeCell ref="O63:P63"/>
    <mergeCell ref="K65:L65"/>
    <mergeCell ref="M67:N67"/>
    <mergeCell ref="AF61:AG61"/>
    <mergeCell ref="O64:P64"/>
    <mergeCell ref="O62:P62"/>
    <mergeCell ref="X57:Y57"/>
    <mergeCell ref="AD58:AE58"/>
    <mergeCell ref="AD63:AE63"/>
    <mergeCell ref="O65:P65"/>
    <mergeCell ref="Z49:AA49"/>
    <mergeCell ref="I61:J61"/>
    <mergeCell ref="X61:Y61"/>
    <mergeCell ref="X50:Y50"/>
    <mergeCell ref="Q61:R61"/>
    <mergeCell ref="S61:T61"/>
    <mergeCell ref="Q64:R64"/>
    <mergeCell ref="M66:N66"/>
    <mergeCell ref="S58:T58"/>
    <mergeCell ref="Q58:R58"/>
    <mergeCell ref="Z56:AA56"/>
    <mergeCell ref="AF69:AG69"/>
    <mergeCell ref="I53:J53"/>
    <mergeCell ref="I50:J50"/>
    <mergeCell ref="X55:Y55"/>
    <mergeCell ref="Q73:R73"/>
    <mergeCell ref="O70:P70"/>
    <mergeCell ref="AJ57:AK57"/>
    <mergeCell ref="AX72:AY72"/>
    <mergeCell ref="AX71:AY71"/>
    <mergeCell ref="AH58:AI58"/>
    <mergeCell ref="AH59:AI59"/>
    <mergeCell ref="AR61:AS61"/>
    <mergeCell ref="AT56:AU56"/>
    <mergeCell ref="AL56:AM56"/>
    <mergeCell ref="AX48:AY48"/>
    <mergeCell ref="BD49:BE49"/>
    <mergeCell ref="BB56:BC56"/>
    <mergeCell ref="AN54:AO54"/>
    <mergeCell ref="AX49:AY49"/>
    <mergeCell ref="AN52:AO52"/>
    <mergeCell ref="AZ52:BA52"/>
    <mergeCell ref="AX52:AY52"/>
    <mergeCell ref="AZ53:BA53"/>
    <mergeCell ref="AV53:AW53"/>
    <mergeCell ref="AT52:AU52"/>
    <mergeCell ref="AN50:AO50"/>
    <mergeCell ref="AT53:AU53"/>
    <mergeCell ref="BB54:BC54"/>
    <mergeCell ref="AV54:AW54"/>
    <mergeCell ref="BD52:BE52"/>
    <mergeCell ref="AT55:AU55"/>
    <mergeCell ref="AH44:AI44"/>
    <mergeCell ref="AH52:AI52"/>
    <mergeCell ref="AJ52:AK52"/>
    <mergeCell ref="BD54:BE54"/>
    <mergeCell ref="BB52:BC52"/>
    <mergeCell ref="BB50:BC50"/>
    <mergeCell ref="AF52:AG52"/>
    <mergeCell ref="K48:L48"/>
    <mergeCell ref="AZ45:BA45"/>
    <mergeCell ref="X64:Y64"/>
    <mergeCell ref="M72:N72"/>
    <mergeCell ref="O69:P69"/>
    <mergeCell ref="O53:P53"/>
    <mergeCell ref="M54:N54"/>
    <mergeCell ref="O66:P66"/>
    <mergeCell ref="AB70:AC70"/>
    <mergeCell ref="AF70:AG70"/>
    <mergeCell ref="I62:J62"/>
    <mergeCell ref="AB69:AC69"/>
    <mergeCell ref="I65:J65"/>
    <mergeCell ref="I72:J72"/>
    <mergeCell ref="I60:J60"/>
    <mergeCell ref="I63:J63"/>
    <mergeCell ref="M58:N58"/>
    <mergeCell ref="Q70:R70"/>
    <mergeCell ref="O73:P73"/>
    <mergeCell ref="AX73:AY73"/>
    <mergeCell ref="M70:N70"/>
    <mergeCell ref="AF62:AG62"/>
    <mergeCell ref="M65:N65"/>
    <mergeCell ref="AF72:AG72"/>
    <mergeCell ref="S72:T72"/>
    <mergeCell ref="M61:N61"/>
    <mergeCell ref="X67:Y67"/>
    <mergeCell ref="I39:J39"/>
    <mergeCell ref="M43:N43"/>
    <mergeCell ref="I43:J43"/>
    <mergeCell ref="Z45:AA45"/>
    <mergeCell ref="M39:N39"/>
    <mergeCell ref="O39:P39"/>
    <mergeCell ref="S40:T40"/>
    <mergeCell ref="I41:J41"/>
    <mergeCell ref="K39:L39"/>
    <mergeCell ref="I45:J45"/>
    <mergeCell ref="O42:P42"/>
    <mergeCell ref="S42:T42"/>
    <mergeCell ref="AB45:AC45"/>
    <mergeCell ref="AD47:AE47"/>
    <mergeCell ref="Z47:AA47"/>
    <mergeCell ref="AD41:AE41"/>
    <mergeCell ref="AB40:AC40"/>
    <mergeCell ref="Z41:AA41"/>
    <mergeCell ref="Q49:R49"/>
    <mergeCell ref="M42:N42"/>
    <mergeCell ref="AF44:AG44"/>
    <mergeCell ref="AF42:AG42"/>
    <mergeCell ref="Q42:R42"/>
    <mergeCell ref="I49:J49"/>
    <mergeCell ref="Q45:R45"/>
    <mergeCell ref="K47:L47"/>
    <mergeCell ref="K45:L45"/>
    <mergeCell ref="I44:J44"/>
    <mergeCell ref="Z44:AA44"/>
    <mergeCell ref="S43:T43"/>
    <mergeCell ref="AB42:AC42"/>
    <mergeCell ref="I47:J47"/>
    <mergeCell ref="K42:L42"/>
    <mergeCell ref="AB49:AC49"/>
    <mergeCell ref="O48:P48"/>
    <mergeCell ref="AD39:AE39"/>
    <mergeCell ref="Q44:R44"/>
    <mergeCell ref="AF41:AG41"/>
    <mergeCell ref="K43:L43"/>
    <mergeCell ref="K40:L40"/>
    <mergeCell ref="Z43:AA43"/>
    <mergeCell ref="X41:Y41"/>
    <mergeCell ref="K44:L44"/>
    <mergeCell ref="K46:L46"/>
    <mergeCell ref="O40:P40"/>
    <mergeCell ref="K49:L49"/>
    <mergeCell ref="AB41:AC41"/>
    <mergeCell ref="BP87:BQ87"/>
    <mergeCell ref="BN111:BO111"/>
    <mergeCell ref="BN112:BO112"/>
    <mergeCell ref="BH114:BI114"/>
    <mergeCell ref="AX60:AY60"/>
    <mergeCell ref="BN68:BO68"/>
    <mergeCell ref="BN69:BO69"/>
    <mergeCell ref="BD71:BE71"/>
    <mergeCell ref="BN59:BO59"/>
    <mergeCell ref="BJ57:BK57"/>
    <mergeCell ref="BL57:BM57"/>
    <mergeCell ref="BN60:BO60"/>
    <mergeCell ref="BN57:BO57"/>
    <mergeCell ref="BJ61:BK61"/>
    <mergeCell ref="BB66:BC66"/>
    <mergeCell ref="BF71:BG71"/>
    <mergeCell ref="BH71:BI71"/>
    <mergeCell ref="BF72:BG72"/>
    <mergeCell ref="BJ72:BK72"/>
    <mergeCell ref="BN52:BO52"/>
    <mergeCell ref="BD50:BE50"/>
    <mergeCell ref="BF57:BG57"/>
    <mergeCell ref="BL53:BM53"/>
    <mergeCell ref="AT73:AU73"/>
    <mergeCell ref="AV62:AW62"/>
    <mergeCell ref="BR52:BS52"/>
    <mergeCell ref="BL68:BM68"/>
    <mergeCell ref="AZ71:BA71"/>
    <mergeCell ref="BD68:BE68"/>
    <mergeCell ref="BF62:BG62"/>
    <mergeCell ref="BF68:BG68"/>
    <mergeCell ref="BL60:BM60"/>
    <mergeCell ref="BB72:BC72"/>
    <mergeCell ref="BH63:BI63"/>
    <mergeCell ref="BJ62:BK62"/>
    <mergeCell ref="BH62:BI62"/>
    <mergeCell ref="BJ58:BK58"/>
    <mergeCell ref="BH61:BI61"/>
    <mergeCell ref="BH64:BI64"/>
    <mergeCell ref="BH59:BI59"/>
    <mergeCell ref="BL55:BM55"/>
    <mergeCell ref="BH55:BI55"/>
    <mergeCell ref="BL54:BM54"/>
    <mergeCell ref="BF63:BG63"/>
    <mergeCell ref="AZ56:BA56"/>
    <mergeCell ref="AX56:AY56"/>
    <mergeCell ref="AT111:AU111"/>
    <mergeCell ref="AZ66:BA66"/>
    <mergeCell ref="AZ60:BA60"/>
    <mergeCell ref="AZ63:BA63"/>
    <mergeCell ref="BD64:BE64"/>
    <mergeCell ref="BD112:BE112"/>
    <mergeCell ref="BD81:BE81"/>
    <mergeCell ref="BJ87:BK87"/>
    <mergeCell ref="BH87:BI87"/>
    <mergeCell ref="BP111:BQ111"/>
    <mergeCell ref="BP112:BQ112"/>
    <mergeCell ref="BL87:BM87"/>
    <mergeCell ref="BP81:BQ81"/>
    <mergeCell ref="BN80:BO80"/>
    <mergeCell ref="AZ80:BA80"/>
    <mergeCell ref="AV82:AW82"/>
    <mergeCell ref="BP52:BQ52"/>
    <mergeCell ref="BH52:BI52"/>
    <mergeCell ref="BJ66:BK66"/>
    <mergeCell ref="BL70:BM70"/>
    <mergeCell ref="BF64:BG64"/>
    <mergeCell ref="BH60:BI60"/>
    <mergeCell ref="BF67:BG67"/>
    <mergeCell ref="BL62:BM62"/>
    <mergeCell ref="BF61:BG61"/>
    <mergeCell ref="BJ65:BK65"/>
    <mergeCell ref="BJ68:BK68"/>
    <mergeCell ref="BH56:BI56"/>
    <mergeCell ref="BJ56:BK56"/>
    <mergeCell ref="BN56:BO56"/>
    <mergeCell ref="BF70:BG70"/>
    <mergeCell ref="BD62:BE62"/>
    <mergeCell ref="BF58:BG58"/>
    <mergeCell ref="BD60:BE60"/>
    <mergeCell ref="BF66:BG66"/>
    <mergeCell ref="BB65:BC65"/>
    <mergeCell ref="AZ65:BA65"/>
    <mergeCell ref="BD67:BE67"/>
    <mergeCell ref="BF56:BG56"/>
    <mergeCell ref="BF65:BG65"/>
    <mergeCell ref="BF60:BG60"/>
    <mergeCell ref="AZ73:BA73"/>
    <mergeCell ref="AZ69:BA69"/>
    <mergeCell ref="BP76:BQ76"/>
    <mergeCell ref="AZ54:BA54"/>
    <mergeCell ref="BN55:BO55"/>
    <mergeCell ref="BP54:BQ54"/>
    <mergeCell ref="BF83:BG83"/>
    <mergeCell ref="BD59:BE59"/>
    <mergeCell ref="BD70:BE70"/>
    <mergeCell ref="BB61:BC61"/>
    <mergeCell ref="BJ70:BK70"/>
    <mergeCell ref="BJ63:BK63"/>
    <mergeCell ref="BD65:BE65"/>
    <mergeCell ref="BJ78:BK78"/>
    <mergeCell ref="BJ83:BK83"/>
    <mergeCell ref="BL83:BM83"/>
    <mergeCell ref="BN83:BO83"/>
    <mergeCell ref="BF79:BG79"/>
    <mergeCell ref="BP82:BQ82"/>
    <mergeCell ref="BP64:BQ64"/>
    <mergeCell ref="BL56:BM56"/>
    <mergeCell ref="BL63:BM63"/>
    <mergeCell ref="BL58:BM58"/>
    <mergeCell ref="BF55:BG55"/>
    <mergeCell ref="BD55:BE55"/>
    <mergeCell ref="BJ76:BK76"/>
    <mergeCell ref="BB71:BC71"/>
    <mergeCell ref="BJ80:BK80"/>
    <mergeCell ref="BH80:BI80"/>
    <mergeCell ref="BP79:BQ79"/>
    <mergeCell ref="BL81:BM81"/>
    <mergeCell ref="BL52:BM52"/>
    <mergeCell ref="BH50:BI50"/>
    <mergeCell ref="AZ59:BA59"/>
    <mergeCell ref="AX59:AY59"/>
    <mergeCell ref="AX63:AY63"/>
    <mergeCell ref="BB69:BC69"/>
    <mergeCell ref="BJ67:BK67"/>
    <mergeCell ref="BD58:BE58"/>
    <mergeCell ref="BD66:BE66"/>
    <mergeCell ref="AZ61:BA61"/>
    <mergeCell ref="AZ72:BA72"/>
    <mergeCell ref="BD72:BE72"/>
    <mergeCell ref="AZ64:BA64"/>
    <mergeCell ref="BH70:BI70"/>
    <mergeCell ref="BH65:BI65"/>
    <mergeCell ref="BH68:BI68"/>
    <mergeCell ref="BF59:BG59"/>
    <mergeCell ref="BJ60:BK60"/>
    <mergeCell ref="BH67:BI67"/>
    <mergeCell ref="BB63:BC63"/>
    <mergeCell ref="BB64:BC64"/>
    <mergeCell ref="AZ58:BA58"/>
    <mergeCell ref="BL59:BM59"/>
    <mergeCell ref="BF69:BG69"/>
    <mergeCell ref="BJ64:BK64"/>
    <mergeCell ref="BN64:BO64"/>
    <mergeCell ref="BL71:BM71"/>
    <mergeCell ref="AZ67:BA67"/>
    <mergeCell ref="BB60:BC60"/>
    <mergeCell ref="BX125:BY125"/>
    <mergeCell ref="BX123:BY123"/>
    <mergeCell ref="BN87:BO87"/>
    <mergeCell ref="BD87:BE87"/>
    <mergeCell ref="BV61:BW61"/>
    <mergeCell ref="BR62:BS62"/>
    <mergeCell ref="BR61:BS61"/>
    <mergeCell ref="BR70:BS70"/>
    <mergeCell ref="BR69:BS69"/>
    <mergeCell ref="BT75:BU75"/>
    <mergeCell ref="BL73:BM73"/>
    <mergeCell ref="BN67:BO67"/>
    <mergeCell ref="BN66:BO66"/>
    <mergeCell ref="BR65:BS65"/>
    <mergeCell ref="BR64:BS64"/>
    <mergeCell ref="BT62:BU62"/>
    <mergeCell ref="BN71:BO71"/>
    <mergeCell ref="BP68:BQ68"/>
    <mergeCell ref="BR73:BS73"/>
    <mergeCell ref="BR78:BS78"/>
    <mergeCell ref="BT69:BU69"/>
    <mergeCell ref="BT78:BU78"/>
    <mergeCell ref="BP71:BQ71"/>
    <mergeCell ref="BP62:BQ62"/>
    <mergeCell ref="BR72:BS72"/>
    <mergeCell ref="BR75:BS75"/>
    <mergeCell ref="BR66:BS66"/>
    <mergeCell ref="BH66:BI66"/>
    <mergeCell ref="BL64:BM64"/>
    <mergeCell ref="BL65:BM65"/>
    <mergeCell ref="BX76:BY76"/>
    <mergeCell ref="BX71:BY71"/>
    <mergeCell ref="BP53:BQ53"/>
    <mergeCell ref="BF76:BG76"/>
    <mergeCell ref="BP69:BQ69"/>
    <mergeCell ref="BT127:BU127"/>
    <mergeCell ref="BJ127:BK127"/>
    <mergeCell ref="BT129:BU129"/>
    <mergeCell ref="BP129:BQ129"/>
    <mergeCell ref="BR128:BS128"/>
    <mergeCell ref="BR129:BS129"/>
    <mergeCell ref="BP127:BQ127"/>
    <mergeCell ref="BR127:BS127"/>
    <mergeCell ref="BD113:BE113"/>
    <mergeCell ref="BF112:BG112"/>
    <mergeCell ref="BJ119:BK119"/>
    <mergeCell ref="BL124:BM124"/>
    <mergeCell ref="BR112:BS112"/>
    <mergeCell ref="AX120:AY120"/>
    <mergeCell ref="BF121:BG121"/>
    <mergeCell ref="BH120:BI120"/>
    <mergeCell ref="BP119:BQ119"/>
    <mergeCell ref="BF115:BG115"/>
    <mergeCell ref="BL114:BM114"/>
    <mergeCell ref="BL122:BM122"/>
    <mergeCell ref="BR125:BS125"/>
    <mergeCell ref="BH122:BI122"/>
    <mergeCell ref="BP120:BQ120"/>
    <mergeCell ref="BX119:BY119"/>
    <mergeCell ref="BL119:BM119"/>
    <mergeCell ref="BV120:BW120"/>
    <mergeCell ref="AX126:AY126"/>
    <mergeCell ref="BP125:BQ125"/>
    <mergeCell ref="BZ117:CA117"/>
    <mergeCell ref="BN121:BO121"/>
    <mergeCell ref="BZ124:CA124"/>
    <mergeCell ref="BJ114:BK114"/>
    <mergeCell ref="AZ126:BA126"/>
    <mergeCell ref="BJ122:BK122"/>
    <mergeCell ref="BP124:BQ124"/>
    <mergeCell ref="BP123:BQ123"/>
    <mergeCell ref="BN123:BO123"/>
    <mergeCell ref="BP118:BQ118"/>
    <mergeCell ref="BP113:BQ113"/>
    <mergeCell ref="BZ118:CA118"/>
    <mergeCell ref="BJ121:BK121"/>
    <mergeCell ref="BV113:BW113"/>
    <mergeCell ref="BH118:BI118"/>
    <mergeCell ref="AZ125:BA125"/>
    <mergeCell ref="AX125:AY125"/>
    <mergeCell ref="BT125:BU125"/>
    <mergeCell ref="BN125:BO125"/>
    <mergeCell ref="BH117:BI117"/>
    <mergeCell ref="BF119:BG119"/>
    <mergeCell ref="AX124:AY124"/>
    <mergeCell ref="BD124:BE124"/>
    <mergeCell ref="BB120:BC120"/>
    <mergeCell ref="BR119:BS119"/>
    <mergeCell ref="BT112:BU112"/>
    <mergeCell ref="BT117:BU117"/>
    <mergeCell ref="BT123:BU123"/>
    <mergeCell ref="BL123:BM123"/>
    <mergeCell ref="BJ113:BK113"/>
    <mergeCell ref="BJ112:BK112"/>
    <mergeCell ref="AX123:AY123"/>
    <mergeCell ref="AZ122:BA122"/>
    <mergeCell ref="AX122:AY122"/>
    <mergeCell ref="AZ119:BA119"/>
    <mergeCell ref="BV124:BW124"/>
    <mergeCell ref="AT125:AU125"/>
    <mergeCell ref="AR126:AS126"/>
    <mergeCell ref="BL125:BM125"/>
    <mergeCell ref="BP126:BQ126"/>
    <mergeCell ref="BN126:BO126"/>
    <mergeCell ref="BD136:BE136"/>
    <mergeCell ref="AL141:AM141"/>
    <mergeCell ref="BJ145:BK145"/>
    <mergeCell ref="AZ152:BA152"/>
    <mergeCell ref="AP148:AQ148"/>
    <mergeCell ref="AX149:AY149"/>
    <mergeCell ref="AV149:AW149"/>
    <mergeCell ref="BD150:BE150"/>
    <mergeCell ref="BB150:BC150"/>
    <mergeCell ref="AX150:AY150"/>
    <mergeCell ref="AN150:AO150"/>
    <mergeCell ref="BB161:BC161"/>
    <mergeCell ref="BJ161:BK161"/>
    <mergeCell ref="BL161:BM161"/>
    <mergeCell ref="AT151:AU151"/>
    <mergeCell ref="AP150:AQ150"/>
    <mergeCell ref="AJ152:AK152"/>
    <mergeCell ref="AL145:AM145"/>
    <mergeCell ref="AR157:AS157"/>
    <mergeCell ref="AN162:AO162"/>
    <mergeCell ref="AJ146:AK146"/>
    <mergeCell ref="AP149:AQ149"/>
    <mergeCell ref="AN149:AO149"/>
    <mergeCell ref="BB160:BC160"/>
    <mergeCell ref="BH146:BI146"/>
    <mergeCell ref="BL146:BM146"/>
    <mergeCell ref="BD159:BE159"/>
    <mergeCell ref="BL148:BM148"/>
    <mergeCell ref="AJ160:AK160"/>
    <mergeCell ref="AL142:AM142"/>
    <mergeCell ref="AL148:AM148"/>
    <mergeCell ref="AJ142:AK142"/>
    <mergeCell ref="AL155:AM155"/>
    <mergeCell ref="AJ153:AK153"/>
    <mergeCell ref="BF157:BG157"/>
    <mergeCell ref="AX160:AY160"/>
    <mergeCell ref="BJ156:BK156"/>
    <mergeCell ref="AX147:AY147"/>
    <mergeCell ref="AR146:AS146"/>
    <mergeCell ref="AV147:AW147"/>
    <mergeCell ref="AJ151:AK151"/>
    <mergeCell ref="AV126:AW126"/>
    <mergeCell ref="BL126:BM126"/>
    <mergeCell ref="BD126:BE126"/>
    <mergeCell ref="BD125:BE125"/>
    <mergeCell ref="AP125:AQ125"/>
    <mergeCell ref="AV160:AW160"/>
    <mergeCell ref="AL162:AM162"/>
    <mergeCell ref="AJ159:AK159"/>
    <mergeCell ref="AZ156:BA156"/>
    <mergeCell ref="AJ144:AK144"/>
    <mergeCell ref="AR145:AS145"/>
    <mergeCell ref="AT145:AU145"/>
    <mergeCell ref="AL146:AM146"/>
    <mergeCell ref="AV145:AW145"/>
    <mergeCell ref="AP145:AQ145"/>
    <mergeCell ref="AV146:AW146"/>
    <mergeCell ref="AL156:AM156"/>
    <mergeCell ref="AL157:AM157"/>
    <mergeCell ref="Z169:AA169"/>
    <mergeCell ref="AJ148:AK148"/>
    <mergeCell ref="O153:P153"/>
    <mergeCell ref="S152:T152"/>
    <mergeCell ref="AB151:AC151"/>
    <mergeCell ref="Z151:AA151"/>
    <mergeCell ref="AB149:AC149"/>
    <mergeCell ref="AB150:AC150"/>
    <mergeCell ref="AF165:AG165"/>
    <mergeCell ref="AH144:AI144"/>
    <mergeCell ref="AF143:AG143"/>
    <mergeCell ref="X148:Y148"/>
    <mergeCell ref="AB143:AC143"/>
    <mergeCell ref="M148:N148"/>
    <mergeCell ref="O149:P149"/>
    <mergeCell ref="AF147:AG147"/>
    <mergeCell ref="AL147:AM147"/>
    <mergeCell ref="AN167:AO167"/>
    <mergeCell ref="O154:P154"/>
    <mergeCell ref="K157:L157"/>
    <mergeCell ref="Q153:R153"/>
    <mergeCell ref="AH170:AI170"/>
    <mergeCell ref="K170:L170"/>
    <mergeCell ref="I154:J154"/>
    <mergeCell ref="AL165:AM165"/>
    <mergeCell ref="AR165:AS165"/>
    <mergeCell ref="I156:J156"/>
    <mergeCell ref="AR170:AS170"/>
    <mergeCell ref="AD167:AE167"/>
    <mergeCell ref="AF170:AG170"/>
    <mergeCell ref="AF169:AG169"/>
    <mergeCell ref="AJ169:AK169"/>
    <mergeCell ref="AJ164:AK164"/>
    <mergeCell ref="AN170:AO170"/>
    <mergeCell ref="I144:J144"/>
    <mergeCell ref="S161:T161"/>
    <mergeCell ref="X160:Y160"/>
    <mergeCell ref="K165:L165"/>
    <mergeCell ref="Q164:R164"/>
    <mergeCell ref="S159:T159"/>
    <mergeCell ref="O159:P159"/>
    <mergeCell ref="O160:P160"/>
    <mergeCell ref="Z150:AA150"/>
    <mergeCell ref="X147:Y147"/>
    <mergeCell ref="M146:N146"/>
    <mergeCell ref="Z146:AA146"/>
    <mergeCell ref="AL143:AM143"/>
    <mergeCell ref="AD157:AE157"/>
    <mergeCell ref="AF158:AG158"/>
    <mergeCell ref="AB158:AC158"/>
    <mergeCell ref="Q155:R155"/>
    <mergeCell ref="M145:N145"/>
    <mergeCell ref="I146:J146"/>
    <mergeCell ref="AF152:AG152"/>
    <mergeCell ref="X156:Y156"/>
    <mergeCell ref="Q156:R156"/>
    <mergeCell ref="AF144:AG144"/>
    <mergeCell ref="AB152:AC152"/>
    <mergeCell ref="AF148:AG148"/>
    <mergeCell ref="Q151:R151"/>
    <mergeCell ref="AF146:AG146"/>
    <mergeCell ref="Z147:AA147"/>
    <mergeCell ref="AN152:AO152"/>
    <mergeCell ref="AP160:AQ160"/>
    <mergeCell ref="AB159:AC159"/>
    <mergeCell ref="O162:P162"/>
    <mergeCell ref="O164:P164"/>
    <mergeCell ref="AH145:AI145"/>
    <mergeCell ref="S145:T145"/>
    <mergeCell ref="AN151:AO151"/>
    <mergeCell ref="K153:L153"/>
    <mergeCell ref="AB125:AC125"/>
    <mergeCell ref="S124:T124"/>
    <mergeCell ref="AH148:AI148"/>
    <mergeCell ref="AB137:AC137"/>
    <mergeCell ref="X138:Y138"/>
    <mergeCell ref="AB136:AC136"/>
    <mergeCell ref="AD139:AE139"/>
    <mergeCell ref="Z136:AA136"/>
    <mergeCell ref="AF132:AG132"/>
    <mergeCell ref="AH128:AI128"/>
    <mergeCell ref="O125:P125"/>
    <mergeCell ref="X137:Y137"/>
    <mergeCell ref="Q124:R124"/>
    <mergeCell ref="AT126:AU126"/>
    <mergeCell ref="AP126:AQ126"/>
    <mergeCell ref="AB144:AC144"/>
    <mergeCell ref="AD147:AE147"/>
    <mergeCell ref="AR128:AS128"/>
    <mergeCell ref="AJ141:AK141"/>
    <mergeCell ref="Z142:AA142"/>
    <mergeCell ref="K143:L143"/>
    <mergeCell ref="AT130:AU130"/>
    <mergeCell ref="S139:T139"/>
    <mergeCell ref="Q139:R139"/>
    <mergeCell ref="X139:Y139"/>
    <mergeCell ref="S141:T141"/>
    <mergeCell ref="AP124:AQ124"/>
    <mergeCell ref="AN129:AO129"/>
    <mergeCell ref="AD149:AE149"/>
    <mergeCell ref="AN146:AO146"/>
    <mergeCell ref="M144:N144"/>
    <mergeCell ref="O144:P144"/>
    <mergeCell ref="AD137:AE137"/>
    <mergeCell ref="AP134:AQ134"/>
    <mergeCell ref="AT134:AU134"/>
    <mergeCell ref="AB146:AC146"/>
    <mergeCell ref="Q146:R146"/>
    <mergeCell ref="O146:P146"/>
    <mergeCell ref="AT141:AU141"/>
    <mergeCell ref="M147:N147"/>
    <mergeCell ref="M143:N143"/>
    <mergeCell ref="Q141:R141"/>
    <mergeCell ref="S142:T142"/>
    <mergeCell ref="O141:P141"/>
    <mergeCell ref="AH143:AI143"/>
    <mergeCell ref="AR147:AS147"/>
    <mergeCell ref="Q135:R135"/>
    <mergeCell ref="AB135:AC135"/>
    <mergeCell ref="Z141:AA141"/>
    <mergeCell ref="AP144:AQ144"/>
    <mergeCell ref="M128:N128"/>
    <mergeCell ref="K129:L129"/>
    <mergeCell ref="Q131:R131"/>
    <mergeCell ref="M131:N131"/>
    <mergeCell ref="Q125:R125"/>
    <mergeCell ref="Q126:R126"/>
    <mergeCell ref="M135:N135"/>
    <mergeCell ref="AB130:AC130"/>
    <mergeCell ref="AD131:AE131"/>
    <mergeCell ref="K138:L138"/>
    <mergeCell ref="Q138:R138"/>
    <mergeCell ref="AF124:AG124"/>
    <mergeCell ref="AF129:AG129"/>
    <mergeCell ref="X124:Y124"/>
    <mergeCell ref="O236:P236"/>
    <mergeCell ref="M236:N236"/>
    <mergeCell ref="M237:N237"/>
    <mergeCell ref="I167:J167"/>
    <mergeCell ref="AR221:AS221"/>
    <mergeCell ref="AR167:AS167"/>
    <mergeCell ref="AB142:AC142"/>
    <mergeCell ref="Q169:R169"/>
    <mergeCell ref="K161:L161"/>
    <mergeCell ref="Z162:AA162"/>
    <mergeCell ref="X157:Y157"/>
    <mergeCell ref="O170:P170"/>
    <mergeCell ref="M142:N142"/>
    <mergeCell ref="M154:N154"/>
    <mergeCell ref="AN148:AO148"/>
    <mergeCell ref="AJ155:AK155"/>
    <mergeCell ref="AJ149:AK149"/>
    <mergeCell ref="S158:T158"/>
    <mergeCell ref="Z160:AA160"/>
    <mergeCell ref="O161:P161"/>
    <mergeCell ref="AB165:AC165"/>
    <mergeCell ref="Z232:AA232"/>
    <mergeCell ref="AR237:AS237"/>
    <mergeCell ref="AT237:AU237"/>
    <mergeCell ref="AJ237:AK237"/>
    <mergeCell ref="AN235:AO235"/>
    <mergeCell ref="O235:P235"/>
    <mergeCell ref="O234:P234"/>
    <mergeCell ref="S150:T150"/>
    <mergeCell ref="Z153:AA153"/>
    <mergeCell ref="O155:P155"/>
    <mergeCell ref="Z155:AA155"/>
    <mergeCell ref="O143:P143"/>
    <mergeCell ref="AD156:AE156"/>
    <mergeCell ref="AD162:AE162"/>
    <mergeCell ref="AB160:AC160"/>
    <mergeCell ref="Q158:R158"/>
    <mergeCell ref="AH162:AI162"/>
    <mergeCell ref="AJ162:AK162"/>
    <mergeCell ref="AD161:AE161"/>
    <mergeCell ref="Q160:R160"/>
    <mergeCell ref="AH235:AI235"/>
    <mergeCell ref="AJ234:AK234"/>
    <mergeCell ref="O237:P237"/>
    <mergeCell ref="M234:N234"/>
    <mergeCell ref="K221:L221"/>
    <mergeCell ref="Q236:R236"/>
    <mergeCell ref="X167:Y167"/>
    <mergeCell ref="X170:Y170"/>
    <mergeCell ref="S143:T143"/>
    <mergeCell ref="Z143:AA143"/>
    <mergeCell ref="AF149:AG149"/>
    <mergeCell ref="AR152:AS152"/>
    <mergeCell ref="AR151:AS151"/>
    <mergeCell ref="AF150:AG150"/>
    <mergeCell ref="AD152:AE152"/>
    <mergeCell ref="I145:J145"/>
    <mergeCell ref="I151:J151"/>
    <mergeCell ref="AH158:AI158"/>
    <mergeCell ref="AN159:AO159"/>
    <mergeCell ref="M160:N160"/>
    <mergeCell ref="AJ170:AK170"/>
    <mergeCell ref="AT167:AU167"/>
    <mergeCell ref="AD169:AE169"/>
    <mergeCell ref="F183:G183"/>
    <mergeCell ref="I228:J228"/>
    <mergeCell ref="K232:L232"/>
    <mergeCell ref="AF236:AG236"/>
    <mergeCell ref="AD233:AE233"/>
    <mergeCell ref="M228:N228"/>
    <mergeCell ref="AH233:AI233"/>
    <mergeCell ref="AF221:AG221"/>
    <mergeCell ref="Q167:R167"/>
    <mergeCell ref="K228:L228"/>
    <mergeCell ref="F169:G169"/>
    <mergeCell ref="O228:P228"/>
    <mergeCell ref="I236:J236"/>
    <mergeCell ref="I237:J237"/>
    <mergeCell ref="K237:L237"/>
    <mergeCell ref="K234:L234"/>
    <mergeCell ref="AF233:AG233"/>
    <mergeCell ref="Q235:R235"/>
    <mergeCell ref="Z234:AA234"/>
    <mergeCell ref="O232:P232"/>
    <mergeCell ref="Z244:AA244"/>
    <mergeCell ref="AB244:AC244"/>
    <mergeCell ref="AL247:AM247"/>
    <mergeCell ref="AH244:AI244"/>
    <mergeCell ref="Q244:R244"/>
    <mergeCell ref="S244:T244"/>
    <mergeCell ref="AF245:AG245"/>
    <mergeCell ref="S247:T247"/>
    <mergeCell ref="Z247:AA247"/>
    <mergeCell ref="AB246:AC246"/>
    <mergeCell ref="S246:T246"/>
    <mergeCell ref="A230:F230"/>
    <mergeCell ref="I235:J235"/>
    <mergeCell ref="M245:N245"/>
    <mergeCell ref="AB243:AC243"/>
    <mergeCell ref="AD243:AE243"/>
    <mergeCell ref="AH243:AI243"/>
    <mergeCell ref="AH245:AI245"/>
    <mergeCell ref="I242:J242"/>
    <mergeCell ref="K242:L242"/>
    <mergeCell ref="M242:N242"/>
    <mergeCell ref="AJ247:AK247"/>
    <mergeCell ref="K243:L243"/>
    <mergeCell ref="AL245:AM245"/>
    <mergeCell ref="I243:J243"/>
    <mergeCell ref="M238:N238"/>
    <mergeCell ref="S234:T234"/>
    <mergeCell ref="S169:T169"/>
    <mergeCell ref="M169:N169"/>
    <mergeCell ref="AF228:AG228"/>
    <mergeCell ref="M233:N233"/>
    <mergeCell ref="O238:P238"/>
    <mergeCell ref="I238:J238"/>
    <mergeCell ref="O221:P221"/>
    <mergeCell ref="AF232:AG232"/>
    <mergeCell ref="AH232:AI232"/>
    <mergeCell ref="K233:L233"/>
    <mergeCell ref="Z233:AA233"/>
    <mergeCell ref="O233:P233"/>
    <mergeCell ref="I232:J232"/>
    <mergeCell ref="AJ242:AK242"/>
    <mergeCell ref="F158:G158"/>
    <mergeCell ref="Q170:R170"/>
    <mergeCell ref="I164:J164"/>
    <mergeCell ref="A222:F222"/>
    <mergeCell ref="AH165:AI165"/>
    <mergeCell ref="AF161:AG161"/>
    <mergeCell ref="O165:P165"/>
    <mergeCell ref="O167:P167"/>
    <mergeCell ref="X165:Y165"/>
    <mergeCell ref="K160:L160"/>
    <mergeCell ref="AB164:AC164"/>
    <mergeCell ref="A198:F198"/>
    <mergeCell ref="M221:N221"/>
    <mergeCell ref="S221:T221"/>
    <mergeCell ref="F190:G190"/>
    <mergeCell ref="AV221:AW221"/>
    <mergeCell ref="Z236:AA236"/>
    <mergeCell ref="AB221:AC221"/>
    <mergeCell ref="M235:N235"/>
    <mergeCell ref="AJ233:AK233"/>
    <mergeCell ref="AF243:AG243"/>
    <mergeCell ref="AR196:AS196"/>
    <mergeCell ref="AT196:AU196"/>
    <mergeCell ref="AZ242:BA242"/>
    <mergeCell ref="AT238:AU238"/>
    <mergeCell ref="AJ238:AK238"/>
    <mergeCell ref="AL238:AM238"/>
    <mergeCell ref="AN238:AO238"/>
    <mergeCell ref="AP238:AQ238"/>
    <mergeCell ref="AD238:AE238"/>
    <mergeCell ref="AF235:AG235"/>
    <mergeCell ref="S235:T235"/>
    <mergeCell ref="S236:T236"/>
    <mergeCell ref="AJ232:AK232"/>
    <mergeCell ref="AB242:AC242"/>
    <mergeCell ref="AZ243:BA243"/>
    <mergeCell ref="AX243:AY243"/>
    <mergeCell ref="F166:G166"/>
    <mergeCell ref="F160:G160"/>
    <mergeCell ref="F164:G164"/>
    <mergeCell ref="AZ233:BA233"/>
    <mergeCell ref="AP236:AQ236"/>
    <mergeCell ref="AB237:AC237"/>
    <mergeCell ref="AD237:AE237"/>
    <mergeCell ref="AB236:AC236"/>
    <mergeCell ref="AB238:AC238"/>
    <mergeCell ref="AX196:AY196"/>
    <mergeCell ref="AR232:AS232"/>
    <mergeCell ref="AB232:AC232"/>
    <mergeCell ref="AD234:AE234"/>
    <mergeCell ref="AB234:AC234"/>
    <mergeCell ref="Q232:R232"/>
    <mergeCell ref="S232:T232"/>
    <mergeCell ref="AB228:AC228"/>
    <mergeCell ref="X169:Y169"/>
    <mergeCell ref="S228:T228"/>
    <mergeCell ref="AB169:AC169"/>
    <mergeCell ref="AH167:AI167"/>
    <mergeCell ref="K169:L169"/>
    <mergeCell ref="O243:P243"/>
    <mergeCell ref="S243:T243"/>
    <mergeCell ref="Z243:AA243"/>
    <mergeCell ref="F173:G173"/>
    <mergeCell ref="F175:G175"/>
    <mergeCell ref="AV169:AW169"/>
    <mergeCell ref="AX237:AY237"/>
    <mergeCell ref="AZ236:BA236"/>
    <mergeCell ref="AN236:AO236"/>
    <mergeCell ref="Q159:R159"/>
    <mergeCell ref="AD160:AE160"/>
    <mergeCell ref="BB159:BC159"/>
    <mergeCell ref="AZ162:BA162"/>
    <mergeCell ref="AX159:AY159"/>
    <mergeCell ref="AT159:AU159"/>
    <mergeCell ref="AR162:AS162"/>
    <mergeCell ref="S160:T160"/>
    <mergeCell ref="AX228:AY228"/>
    <mergeCell ref="AJ246:AK246"/>
    <mergeCell ref="AF246:AG246"/>
    <mergeCell ref="AD246:AE246"/>
    <mergeCell ref="AD244:AE244"/>
    <mergeCell ref="AX251:AY251"/>
    <mergeCell ref="BB248:BC248"/>
    <mergeCell ref="M170:N170"/>
    <mergeCell ref="AX242:AY242"/>
    <mergeCell ref="AP237:AQ237"/>
    <mergeCell ref="AN237:AO237"/>
    <mergeCell ref="AV234:AW234"/>
    <mergeCell ref="AV232:AW232"/>
    <mergeCell ref="AL232:AM232"/>
    <mergeCell ref="AZ196:BA196"/>
    <mergeCell ref="AV245:AW245"/>
    <mergeCell ref="AX245:AY245"/>
    <mergeCell ref="M248:N248"/>
    <mergeCell ref="AP247:AQ247"/>
    <mergeCell ref="BB232:BC232"/>
    <mergeCell ref="BB243:BC243"/>
    <mergeCell ref="AZ244:BA244"/>
    <mergeCell ref="AH237:AI237"/>
    <mergeCell ref="AH159:AI159"/>
    <mergeCell ref="AJ245:AK245"/>
    <mergeCell ref="BB244:BC244"/>
    <mergeCell ref="AZ245:BA245"/>
    <mergeCell ref="AV238:AW238"/>
    <mergeCell ref="AX238:AY238"/>
    <mergeCell ref="AD245:AE245"/>
    <mergeCell ref="AN245:AO245"/>
    <mergeCell ref="BB242:BC242"/>
    <mergeCell ref="BB245:BC245"/>
    <mergeCell ref="AX244:AY244"/>
    <mergeCell ref="AL236:AM236"/>
    <mergeCell ref="AH238:AI238"/>
    <mergeCell ref="AZ237:BA237"/>
    <mergeCell ref="BB237:BC237"/>
    <mergeCell ref="AF244:AG244"/>
    <mergeCell ref="AT243:AU243"/>
    <mergeCell ref="AV242:AW242"/>
    <mergeCell ref="AR244:AS244"/>
    <mergeCell ref="AV243:AW243"/>
    <mergeCell ref="AN243:AO243"/>
    <mergeCell ref="AT244:AU244"/>
    <mergeCell ref="AV244:AW244"/>
    <mergeCell ref="M232:N232"/>
    <mergeCell ref="AN242:AO242"/>
    <mergeCell ref="Z238:AA238"/>
    <mergeCell ref="Q238:R238"/>
    <mergeCell ref="I244:J244"/>
    <mergeCell ref="K244:L244"/>
    <mergeCell ref="I251:J251"/>
    <mergeCell ref="K251:L251"/>
    <mergeCell ref="O247:P247"/>
    <mergeCell ref="AL246:AM246"/>
    <mergeCell ref="AN246:AO246"/>
    <mergeCell ref="AD242:AE242"/>
    <mergeCell ref="K245:L245"/>
    <mergeCell ref="I245:J245"/>
    <mergeCell ref="AN248:AO248"/>
    <mergeCell ref="AB248:AC248"/>
    <mergeCell ref="AD248:AE248"/>
    <mergeCell ref="Q248:R248"/>
    <mergeCell ref="I248:J248"/>
    <mergeCell ref="K248:L248"/>
    <mergeCell ref="I250:J250"/>
    <mergeCell ref="K250:L250"/>
    <mergeCell ref="I249:J249"/>
    <mergeCell ref="K249:L249"/>
    <mergeCell ref="M253:N253"/>
    <mergeCell ref="AF248:AG248"/>
    <mergeCell ref="AH248:AI248"/>
    <mergeCell ref="AX246:AY246"/>
    <mergeCell ref="AZ246:BA246"/>
    <mergeCell ref="BB246:BC246"/>
    <mergeCell ref="S237:T237"/>
    <mergeCell ref="AJ243:AK243"/>
    <mergeCell ref="AL243:AM243"/>
    <mergeCell ref="AT245:AU245"/>
    <mergeCell ref="AT242:AU242"/>
    <mergeCell ref="AR243:AS243"/>
    <mergeCell ref="AP242:AQ242"/>
    <mergeCell ref="AR238:AS238"/>
    <mergeCell ref="AH242:AI242"/>
    <mergeCell ref="O244:P244"/>
    <mergeCell ref="AR242:AS242"/>
    <mergeCell ref="O242:P242"/>
    <mergeCell ref="Q243:R243"/>
    <mergeCell ref="AH247:AI247"/>
    <mergeCell ref="AD247:AE247"/>
    <mergeCell ref="Z248:AA248"/>
    <mergeCell ref="AP245:AQ245"/>
    <mergeCell ref="AR245:AS245"/>
    <mergeCell ref="AT246:AU246"/>
    <mergeCell ref="AJ244:AK244"/>
    <mergeCell ref="AL244:AM244"/>
    <mergeCell ref="AN244:AO244"/>
    <mergeCell ref="S245:T245"/>
    <mergeCell ref="Z245:AA245"/>
    <mergeCell ref="AB245:AC245"/>
    <mergeCell ref="M244:N244"/>
    <mergeCell ref="Q249:R249"/>
    <mergeCell ref="M251:N251"/>
    <mergeCell ref="O251:P251"/>
    <mergeCell ref="Q251:R251"/>
    <mergeCell ref="AV250:AW250"/>
    <mergeCell ref="AV251:AW251"/>
    <mergeCell ref="AX252:AY252"/>
    <mergeCell ref="BB247:BC247"/>
    <mergeCell ref="M243:N243"/>
    <mergeCell ref="K238:L238"/>
    <mergeCell ref="Q257:R257"/>
    <mergeCell ref="AR247:AS247"/>
    <mergeCell ref="I255:J255"/>
    <mergeCell ref="K255:L255"/>
    <mergeCell ref="AJ253:AK253"/>
    <mergeCell ref="AL253:AM253"/>
    <mergeCell ref="AN253:AO253"/>
    <mergeCell ref="AD254:AE254"/>
    <mergeCell ref="Z254:AA254"/>
    <mergeCell ref="AB254:AC254"/>
    <mergeCell ref="AL255:AM255"/>
    <mergeCell ref="AN255:AO255"/>
    <mergeCell ref="AJ251:AK251"/>
    <mergeCell ref="AL251:AM251"/>
    <mergeCell ref="AN251:AO251"/>
    <mergeCell ref="AP251:AQ251"/>
    <mergeCell ref="AR251:AS251"/>
    <mergeCell ref="AT251:AU251"/>
    <mergeCell ref="AP250:AQ250"/>
    <mergeCell ref="AD249:AE249"/>
    <mergeCell ref="AF249:AG249"/>
    <mergeCell ref="AN249:AO249"/>
    <mergeCell ref="AH249:AI249"/>
    <mergeCell ref="AJ254:AK254"/>
    <mergeCell ref="I256:J256"/>
    <mergeCell ref="K256:L256"/>
    <mergeCell ref="O245:P245"/>
    <mergeCell ref="Q245:R245"/>
    <mergeCell ref="AR248:AS248"/>
    <mergeCell ref="AT248:AU248"/>
    <mergeCell ref="S249:T249"/>
    <mergeCell ref="Z249:AA249"/>
    <mergeCell ref="AB249:AC249"/>
    <mergeCell ref="AP256:AQ256"/>
    <mergeCell ref="AL254:AM254"/>
    <mergeCell ref="AN254:AO254"/>
    <mergeCell ref="AD251:AE251"/>
    <mergeCell ref="AB250:AC250"/>
    <mergeCell ref="AD250:AE250"/>
    <mergeCell ref="AF250:AG250"/>
    <mergeCell ref="AH250:AI250"/>
    <mergeCell ref="AN256:AO256"/>
    <mergeCell ref="AH255:AI255"/>
    <mergeCell ref="AL252:AM252"/>
    <mergeCell ref="AN252:AO252"/>
    <mergeCell ref="S252:T252"/>
    <mergeCell ref="AR257:AS257"/>
    <mergeCell ref="AP253:AQ253"/>
    <mergeCell ref="AR253:AS253"/>
    <mergeCell ref="I254:J254"/>
    <mergeCell ref="K254:L254"/>
    <mergeCell ref="Z252:AA252"/>
    <mergeCell ref="S251:T251"/>
    <mergeCell ref="Z251:AA251"/>
    <mergeCell ref="M249:N249"/>
    <mergeCell ref="M252:N252"/>
    <mergeCell ref="M250:N250"/>
    <mergeCell ref="O250:P250"/>
    <mergeCell ref="Q250:R250"/>
    <mergeCell ref="S250:T250"/>
    <mergeCell ref="Z250:AA250"/>
    <mergeCell ref="K253:L253"/>
    <mergeCell ref="AF251:AG251"/>
    <mergeCell ref="AP257:AQ257"/>
    <mergeCell ref="AL242:AM242"/>
    <mergeCell ref="AL257:AM257"/>
    <mergeCell ref="AN257:AO257"/>
    <mergeCell ref="I258:J258"/>
    <mergeCell ref="I257:J257"/>
    <mergeCell ref="K258:L258"/>
    <mergeCell ref="K257:L257"/>
    <mergeCell ref="I252:J252"/>
    <mergeCell ref="K252:L252"/>
    <mergeCell ref="I253:J253"/>
    <mergeCell ref="O249:P249"/>
    <mergeCell ref="AR246:AS246"/>
    <mergeCell ref="M258:N258"/>
    <mergeCell ref="AT260:AU260"/>
    <mergeCell ref="AV260:AW260"/>
    <mergeCell ref="AX260:AY260"/>
    <mergeCell ref="I261:J261"/>
    <mergeCell ref="K261:L261"/>
    <mergeCell ref="M261:N261"/>
    <mergeCell ref="O261:P261"/>
    <mergeCell ref="Q261:R261"/>
    <mergeCell ref="S261:T261"/>
    <mergeCell ref="Z261:AA261"/>
    <mergeCell ref="AB261:AC261"/>
    <mergeCell ref="AD261:AE261"/>
    <mergeCell ref="S258:T258"/>
    <mergeCell ref="AD258:AE258"/>
    <mergeCell ref="AF258:AG258"/>
    <mergeCell ref="AH258:AI258"/>
    <mergeCell ref="AJ258:AK258"/>
    <mergeCell ref="AR258:AS258"/>
    <mergeCell ref="AL258:AM258"/>
    <mergeCell ref="AN258:AO258"/>
    <mergeCell ref="AP258:AQ258"/>
    <mergeCell ref="O258:P258"/>
    <mergeCell ref="Q258:R258"/>
    <mergeCell ref="AF255:AG255"/>
    <mergeCell ref="Z258:AA258"/>
    <mergeCell ref="AB258:AC258"/>
    <mergeCell ref="S257:T257"/>
    <mergeCell ref="Z257:AA257"/>
    <mergeCell ref="AH257:AI257"/>
    <mergeCell ref="S256:T256"/>
    <mergeCell ref="Z256:AA256"/>
    <mergeCell ref="AB257:AC257"/>
    <mergeCell ref="O256:P256"/>
    <mergeCell ref="Q256:R256"/>
    <mergeCell ref="AP260:AQ260"/>
    <mergeCell ref="I259:J259"/>
    <mergeCell ref="AF257:AG257"/>
    <mergeCell ref="M255:N255"/>
    <mergeCell ref="AJ255:AK255"/>
    <mergeCell ref="I246:J246"/>
    <mergeCell ref="K246:L246"/>
    <mergeCell ref="M246:N246"/>
    <mergeCell ref="I247:J247"/>
    <mergeCell ref="K247:L247"/>
    <mergeCell ref="M247:N247"/>
    <mergeCell ref="O248:P248"/>
    <mergeCell ref="AB247:AC247"/>
    <mergeCell ref="AT259:AU259"/>
    <mergeCell ref="AV259:AW259"/>
    <mergeCell ref="AX259:AY259"/>
    <mergeCell ref="K260:L260"/>
    <mergeCell ref="AB260:AC260"/>
    <mergeCell ref="AF260:AG260"/>
    <mergeCell ref="I265:J265"/>
    <mergeCell ref="K265:L265"/>
    <mergeCell ref="M265:N265"/>
    <mergeCell ref="O265:P265"/>
    <mergeCell ref="Q265:R265"/>
    <mergeCell ref="S265:T265"/>
    <mergeCell ref="Z265:AA265"/>
    <mergeCell ref="AB265:AC265"/>
    <mergeCell ref="AD265:AE265"/>
    <mergeCell ref="AF265:AG265"/>
    <mergeCell ref="AH265:AI265"/>
    <mergeCell ref="AJ265:AK265"/>
    <mergeCell ref="AL265:AM265"/>
    <mergeCell ref="AN265:AO265"/>
    <mergeCell ref="AP265:AQ265"/>
    <mergeCell ref="AR265:AS265"/>
    <mergeCell ref="AT265:AU265"/>
    <mergeCell ref="AV265:AW265"/>
    <mergeCell ref="AX265:AY265"/>
    <mergeCell ref="AT264:AU264"/>
    <mergeCell ref="AV264:AW264"/>
    <mergeCell ref="K264:L264"/>
    <mergeCell ref="M264:N264"/>
    <mergeCell ref="O264:P264"/>
    <mergeCell ref="Q264:R264"/>
    <mergeCell ref="S264:T264"/>
    <mergeCell ref="Z264:AA264"/>
    <mergeCell ref="AB264:AC264"/>
    <mergeCell ref="AD264:AE264"/>
    <mergeCell ref="AF264:AG264"/>
    <mergeCell ref="AH264:AI264"/>
    <mergeCell ref="AJ264:AK264"/>
    <mergeCell ref="AL264:AM264"/>
    <mergeCell ref="AN264:AO264"/>
    <mergeCell ref="AP264:AQ264"/>
    <mergeCell ref="S263:T263"/>
    <mergeCell ref="Z263:AA263"/>
    <mergeCell ref="AB263:AC263"/>
    <mergeCell ref="AD263:AE263"/>
    <mergeCell ref="AF263:AG263"/>
    <mergeCell ref="AH263:AI263"/>
    <mergeCell ref="AJ263:AK263"/>
    <mergeCell ref="AL263:AM263"/>
    <mergeCell ref="AN263:AO263"/>
    <mergeCell ref="AP263:AQ263"/>
    <mergeCell ref="AR263:AS263"/>
    <mergeCell ref="AT263:AU263"/>
    <mergeCell ref="AV263:AW263"/>
    <mergeCell ref="AX263:AY263"/>
    <mergeCell ref="AT261:AU261"/>
    <mergeCell ref="AV261:AW261"/>
    <mergeCell ref="AX261:AY261"/>
    <mergeCell ref="I262:J262"/>
    <mergeCell ref="K262:L262"/>
    <mergeCell ref="M262:N262"/>
    <mergeCell ref="O262:P262"/>
    <mergeCell ref="Q262:R262"/>
    <mergeCell ref="S262:T262"/>
    <mergeCell ref="Z262:AA262"/>
    <mergeCell ref="AB262:AC262"/>
    <mergeCell ref="AD262:AE262"/>
    <mergeCell ref="AF262:AG262"/>
    <mergeCell ref="AJ262:AK262"/>
    <mergeCell ref="AF261:AG261"/>
    <mergeCell ref="AH261:AI261"/>
    <mergeCell ref="AJ261:AK261"/>
    <mergeCell ref="AL261:AM261"/>
    <mergeCell ref="AP261:AQ261"/>
    <mergeCell ref="AR261:AS261"/>
    <mergeCell ref="AR260:AS260"/>
    <mergeCell ref="AX264:AY264"/>
    <mergeCell ref="AZ264:BA264"/>
    <mergeCell ref="BB264:BC264"/>
    <mergeCell ref="BD264:BE264"/>
    <mergeCell ref="AR264:AS264"/>
    <mergeCell ref="AB259:AC259"/>
    <mergeCell ref="AD259:AE259"/>
    <mergeCell ref="AF259:AG259"/>
    <mergeCell ref="AH259:AI259"/>
    <mergeCell ref="AJ259:AK259"/>
    <mergeCell ref="AL259:AM259"/>
    <mergeCell ref="AX267:AY267"/>
    <mergeCell ref="AT270:AU270"/>
    <mergeCell ref="AV270:AW270"/>
    <mergeCell ref="AX270:AY270"/>
    <mergeCell ref="AZ270:BA270"/>
    <mergeCell ref="BB270:BC270"/>
    <mergeCell ref="BD270:BE270"/>
    <mergeCell ref="M260:N260"/>
    <mergeCell ref="O260:P260"/>
    <mergeCell ref="Q260:R260"/>
    <mergeCell ref="S260:T260"/>
    <mergeCell ref="Z260:AA260"/>
    <mergeCell ref="I269:J269"/>
    <mergeCell ref="K269:L269"/>
    <mergeCell ref="M269:N269"/>
    <mergeCell ref="O269:P269"/>
    <mergeCell ref="Q269:R269"/>
    <mergeCell ref="S269:T269"/>
    <mergeCell ref="BD267:BE267"/>
    <mergeCell ref="AZ266:BA266"/>
    <mergeCell ref="AZ265:BA265"/>
    <mergeCell ref="BB265:BC265"/>
    <mergeCell ref="O266:P266"/>
    <mergeCell ref="Q266:R266"/>
    <mergeCell ref="AL262:AM262"/>
    <mergeCell ref="AN262:AO262"/>
    <mergeCell ref="AP262:AQ262"/>
    <mergeCell ref="AR262:AS262"/>
    <mergeCell ref="AT262:AU262"/>
    <mergeCell ref="AV262:AW262"/>
    <mergeCell ref="AX262:AY262"/>
    <mergeCell ref="I264:J264"/>
    <mergeCell ref="M259:N259"/>
    <mergeCell ref="O259:P259"/>
    <mergeCell ref="Q259:R259"/>
    <mergeCell ref="S259:T259"/>
    <mergeCell ref="K259:L259"/>
    <mergeCell ref="AN259:AO259"/>
    <mergeCell ref="AP259:AQ259"/>
    <mergeCell ref="AR259:AS259"/>
    <mergeCell ref="I260:J260"/>
    <mergeCell ref="AV266:AW266"/>
    <mergeCell ref="AX266:AY266"/>
    <mergeCell ref="AD267:AE267"/>
    <mergeCell ref="AD260:AE260"/>
    <mergeCell ref="I263:J263"/>
    <mergeCell ref="K263:L263"/>
    <mergeCell ref="M263:N263"/>
    <mergeCell ref="O263:P263"/>
    <mergeCell ref="Q263:R263"/>
    <mergeCell ref="Z259:AA259"/>
    <mergeCell ref="AR270:AS270"/>
    <mergeCell ref="AN267:AO267"/>
    <mergeCell ref="CD270:CE270"/>
    <mergeCell ref="CN270:CO270"/>
    <mergeCell ref="BX270:BY270"/>
    <mergeCell ref="BZ270:CA270"/>
    <mergeCell ref="CT272:CU272"/>
    <mergeCell ref="DF269:DG269"/>
    <mergeCell ref="CR270:CS270"/>
    <mergeCell ref="CT270:CU270"/>
    <mergeCell ref="CV270:CW270"/>
    <mergeCell ref="CV272:CW272"/>
    <mergeCell ref="CR272:CS272"/>
    <mergeCell ref="BB266:BC266"/>
    <mergeCell ref="BD266:BE266"/>
    <mergeCell ref="I268:J268"/>
    <mergeCell ref="K268:L268"/>
    <mergeCell ref="M268:N268"/>
    <mergeCell ref="O268:P268"/>
    <mergeCell ref="Q268:R268"/>
    <mergeCell ref="S268:T268"/>
    <mergeCell ref="Z268:AA268"/>
    <mergeCell ref="AB268:AC268"/>
    <mergeCell ref="AD268:AE268"/>
    <mergeCell ref="AF268:AG268"/>
    <mergeCell ref="AH268:AI268"/>
    <mergeCell ref="AJ268:AK268"/>
    <mergeCell ref="AL268:AM268"/>
    <mergeCell ref="AN268:AO268"/>
    <mergeCell ref="AP268:AQ268"/>
    <mergeCell ref="AR268:AS268"/>
    <mergeCell ref="AT268:AU268"/>
    <mergeCell ref="AV268:AW268"/>
    <mergeCell ref="AX268:AY268"/>
    <mergeCell ref="I270:J270"/>
    <mergeCell ref="K270:L270"/>
    <mergeCell ref="M270:N270"/>
    <mergeCell ref="AZ268:BA268"/>
    <mergeCell ref="BB268:BC268"/>
    <mergeCell ref="BD269:BE269"/>
    <mergeCell ref="AP267:AQ267"/>
    <mergeCell ref="AR267:AS267"/>
    <mergeCell ref="BB269:BC269"/>
    <mergeCell ref="S266:T266"/>
    <mergeCell ref="Z266:AA266"/>
    <mergeCell ref="AB266:AC266"/>
    <mergeCell ref="AD266:AE266"/>
    <mergeCell ref="AF266:AG266"/>
    <mergeCell ref="AH266:AI266"/>
    <mergeCell ref="AJ266:AK266"/>
    <mergeCell ref="AL266:AM266"/>
    <mergeCell ref="AN266:AO266"/>
    <mergeCell ref="AP266:AQ266"/>
    <mergeCell ref="AR266:AS266"/>
    <mergeCell ref="AT266:AU266"/>
    <mergeCell ref="BB267:BC267"/>
    <mergeCell ref="I266:J266"/>
    <mergeCell ref="AH262:AI262"/>
    <mergeCell ref="K266:L266"/>
    <mergeCell ref="AH260:AI260"/>
    <mergeCell ref="AJ260:AK260"/>
    <mergeCell ref="AL260:AM260"/>
    <mergeCell ref="AN260:AO260"/>
    <mergeCell ref="AN261:AO261"/>
    <mergeCell ref="M266:N266"/>
    <mergeCell ref="DD272:DE272"/>
    <mergeCell ref="CR271:CS271"/>
    <mergeCell ref="DF272:DG272"/>
    <mergeCell ref="DD271:DE271"/>
    <mergeCell ref="DF271:DG271"/>
    <mergeCell ref="CP271:CQ271"/>
    <mergeCell ref="BR271:BS271"/>
    <mergeCell ref="BT271:BU271"/>
    <mergeCell ref="BV271:BW271"/>
    <mergeCell ref="BX271:BY271"/>
    <mergeCell ref="BZ271:CA271"/>
    <mergeCell ref="CB271:CC271"/>
    <mergeCell ref="CD271:CE271"/>
    <mergeCell ref="CF271:CG271"/>
    <mergeCell ref="BF272:BG272"/>
    <mergeCell ref="BH272:BI272"/>
    <mergeCell ref="BJ272:BK272"/>
    <mergeCell ref="BL272:BM272"/>
    <mergeCell ref="AL271:AM271"/>
    <mergeCell ref="AN271:AO271"/>
    <mergeCell ref="AP271:AQ271"/>
    <mergeCell ref="AR271:AS271"/>
    <mergeCell ref="AT271:AU271"/>
    <mergeCell ref="AV271:AW271"/>
    <mergeCell ref="AX271:AY271"/>
    <mergeCell ref="BD272:BE272"/>
    <mergeCell ref="AH272:AI272"/>
    <mergeCell ref="AJ272:AK272"/>
    <mergeCell ref="AL272:AM272"/>
    <mergeCell ref="AN272:AO272"/>
    <mergeCell ref="AP272:AQ272"/>
    <mergeCell ref="AR272:AS272"/>
    <mergeCell ref="CT271:CU271"/>
    <mergeCell ref="BT272:BU272"/>
    <mergeCell ref="BV272:BW272"/>
    <mergeCell ref="AF271:AG271"/>
    <mergeCell ref="AH271:AI271"/>
    <mergeCell ref="AJ271:AK271"/>
    <mergeCell ref="BF270:BG270"/>
    <mergeCell ref="BH270:BI270"/>
    <mergeCell ref="BJ270:BK270"/>
    <mergeCell ref="O270:P270"/>
    <mergeCell ref="Q270:R270"/>
    <mergeCell ref="S270:T270"/>
    <mergeCell ref="Z270:AA270"/>
    <mergeCell ref="AB270:AC270"/>
    <mergeCell ref="AD270:AE270"/>
    <mergeCell ref="AF270:AG270"/>
    <mergeCell ref="AH270:AI270"/>
    <mergeCell ref="AJ270:AK270"/>
    <mergeCell ref="AL270:AM270"/>
    <mergeCell ref="AN270:AO270"/>
    <mergeCell ref="AP270:AQ270"/>
    <mergeCell ref="BF269:BG269"/>
    <mergeCell ref="BF266:BG266"/>
    <mergeCell ref="BH266:BI266"/>
    <mergeCell ref="BL269:BM269"/>
    <mergeCell ref="AH267:AI267"/>
    <mergeCell ref="AJ267:AK267"/>
    <mergeCell ref="AL267:AM267"/>
    <mergeCell ref="AT267:AU267"/>
    <mergeCell ref="AZ269:BA269"/>
    <mergeCell ref="CF270:CG270"/>
    <mergeCell ref="CH270:CI270"/>
    <mergeCell ref="DB268:DC268"/>
    <mergeCell ref="CJ270:CK270"/>
    <mergeCell ref="AV267:AW267"/>
    <mergeCell ref="AZ267:BA267"/>
    <mergeCell ref="I273:J273"/>
    <mergeCell ref="O275:P275"/>
    <mergeCell ref="Q275:R275"/>
    <mergeCell ref="S275:T275"/>
    <mergeCell ref="Z275:AA275"/>
    <mergeCell ref="AH269:AI269"/>
    <mergeCell ref="AJ269:AK269"/>
    <mergeCell ref="Z269:AA269"/>
    <mergeCell ref="AB269:AC269"/>
    <mergeCell ref="AD269:AE269"/>
    <mergeCell ref="AF269:AG269"/>
    <mergeCell ref="AL269:AM269"/>
    <mergeCell ref="AN269:AO269"/>
    <mergeCell ref="AP269:AQ269"/>
    <mergeCell ref="AR269:AS269"/>
    <mergeCell ref="AT269:AU269"/>
    <mergeCell ref="AV269:AW269"/>
    <mergeCell ref="AX269:AY269"/>
    <mergeCell ref="I267:J267"/>
    <mergeCell ref="K267:L267"/>
    <mergeCell ref="M267:N267"/>
    <mergeCell ref="O267:P267"/>
    <mergeCell ref="Q267:R267"/>
    <mergeCell ref="S267:T267"/>
    <mergeCell ref="Z267:AA267"/>
    <mergeCell ref="AB267:AC267"/>
    <mergeCell ref="BL270:BM270"/>
    <mergeCell ref="BN270:BO270"/>
    <mergeCell ref="BP270:BQ270"/>
    <mergeCell ref="BR270:BS270"/>
    <mergeCell ref="BT270:BU270"/>
    <mergeCell ref="BV270:BW270"/>
    <mergeCell ref="BN268:BO268"/>
    <mergeCell ref="BP268:BQ268"/>
    <mergeCell ref="AZ271:BA271"/>
    <mergeCell ref="BB271:BC271"/>
    <mergeCell ref="BD271:BE271"/>
    <mergeCell ref="BF271:BG271"/>
    <mergeCell ref="BH271:BI271"/>
    <mergeCell ref="BJ271:BK271"/>
    <mergeCell ref="BL271:BM271"/>
    <mergeCell ref="BN271:BO271"/>
    <mergeCell ref="BP271:BQ271"/>
    <mergeCell ref="AB271:AC271"/>
    <mergeCell ref="AD271:AE271"/>
    <mergeCell ref="CL270:CM270"/>
    <mergeCell ref="CZ268:DA268"/>
    <mergeCell ref="CZ267:DA267"/>
    <mergeCell ref="CZ270:DA270"/>
    <mergeCell ref="CH268:CI268"/>
    <mergeCell ref="AF274:AG274"/>
    <mergeCell ref="AH274:AI274"/>
    <mergeCell ref="AF267:AG267"/>
    <mergeCell ref="AJ274:AK274"/>
    <mergeCell ref="AL274:AM274"/>
    <mergeCell ref="AN274:AO274"/>
    <mergeCell ref="BF274:BG274"/>
    <mergeCell ref="BH274:BI274"/>
    <mergeCell ref="AB275:AC275"/>
    <mergeCell ref="AD275:AE275"/>
    <mergeCell ref="AF275:AG275"/>
    <mergeCell ref="AH275:AI275"/>
    <mergeCell ref="AJ275:AK275"/>
    <mergeCell ref="AL275:AM275"/>
    <mergeCell ref="AN275:AO275"/>
    <mergeCell ref="AT272:AU272"/>
    <mergeCell ref="AV272:AW272"/>
    <mergeCell ref="AX272:AY272"/>
    <mergeCell ref="AZ272:BA272"/>
    <mergeCell ref="BB272:BC272"/>
    <mergeCell ref="AB272:AC272"/>
    <mergeCell ref="AD272:AE272"/>
    <mergeCell ref="AF272:AG272"/>
    <mergeCell ref="AF273:AG273"/>
    <mergeCell ref="AH273:AI273"/>
    <mergeCell ref="AJ273:AK273"/>
    <mergeCell ref="AL273:AM273"/>
    <mergeCell ref="AN273:AO273"/>
    <mergeCell ref="AP273:AQ273"/>
    <mergeCell ref="AR273:AS273"/>
    <mergeCell ref="BD273:BE273"/>
    <mergeCell ref="I271:J271"/>
    <mergeCell ref="K271:L271"/>
    <mergeCell ref="M271:N271"/>
    <mergeCell ref="O271:P271"/>
    <mergeCell ref="Q271:R271"/>
    <mergeCell ref="S271:T271"/>
    <mergeCell ref="Z271:AA271"/>
    <mergeCell ref="AP279:AQ279"/>
    <mergeCell ref="AR279:AS279"/>
    <mergeCell ref="AZ278:BA278"/>
    <mergeCell ref="BB278:BC278"/>
    <mergeCell ref="BD278:BE278"/>
    <mergeCell ref="BF278:BG278"/>
    <mergeCell ref="AF276:AG276"/>
    <mergeCell ref="AH276:AI276"/>
    <mergeCell ref="AJ276:AK276"/>
    <mergeCell ref="AL276:AM276"/>
    <mergeCell ref="AN276:AO276"/>
    <mergeCell ref="AP276:AQ276"/>
    <mergeCell ref="AR276:AS276"/>
    <mergeCell ref="Z277:AA277"/>
    <mergeCell ref="AJ277:AK277"/>
    <mergeCell ref="AL277:AM277"/>
    <mergeCell ref="BH276:BI276"/>
    <mergeCell ref="AX276:AY276"/>
    <mergeCell ref="AD278:AE278"/>
    <mergeCell ref="AF278:AG278"/>
    <mergeCell ref="BH278:BI278"/>
    <mergeCell ref="BB277:BC277"/>
    <mergeCell ref="BD277:BE277"/>
    <mergeCell ref="BF277:BG277"/>
    <mergeCell ref="BH277:BI277"/>
    <mergeCell ref="Q277:R277"/>
    <mergeCell ref="AH278:AI278"/>
    <mergeCell ref="AJ278:AK278"/>
    <mergeCell ref="AN277:AO277"/>
    <mergeCell ref="AP277:AQ277"/>
    <mergeCell ref="AR277:AS277"/>
    <mergeCell ref="AL278:AM278"/>
    <mergeCell ref="AN278:AO278"/>
    <mergeCell ref="AP278:AQ278"/>
    <mergeCell ref="AR278:AS278"/>
    <mergeCell ref="AT278:AU278"/>
    <mergeCell ref="AV278:AW278"/>
    <mergeCell ref="AX278:AY278"/>
    <mergeCell ref="AZ277:BA277"/>
    <mergeCell ref="AT276:AU276"/>
    <mergeCell ref="AV276:AW276"/>
    <mergeCell ref="AT279:AU279"/>
    <mergeCell ref="AV279:AW279"/>
    <mergeCell ref="AX279:AY279"/>
    <mergeCell ref="AZ279:BA279"/>
    <mergeCell ref="CP279:CQ279"/>
    <mergeCell ref="CR279:CS279"/>
    <mergeCell ref="BR279:BS279"/>
    <mergeCell ref="BT279:BU279"/>
    <mergeCell ref="BV279:BW279"/>
    <mergeCell ref="BJ276:BK276"/>
    <mergeCell ref="CL277:CM277"/>
    <mergeCell ref="CL280:CM280"/>
    <mergeCell ref="BZ280:CA280"/>
    <mergeCell ref="CB280:CC280"/>
    <mergeCell ref="BT280:BU280"/>
    <mergeCell ref="BR278:BS278"/>
    <mergeCell ref="BT278:BU278"/>
    <mergeCell ref="CZ279:DA279"/>
    <mergeCell ref="BR277:BS277"/>
    <mergeCell ref="CN277:CO277"/>
    <mergeCell ref="CZ278:DA278"/>
    <mergeCell ref="BX281:BY281"/>
    <mergeCell ref="BZ281:CA281"/>
    <mergeCell ref="CB281:CC281"/>
    <mergeCell ref="CD281:CE281"/>
    <mergeCell ref="CN281:CO281"/>
    <mergeCell ref="CX278:CY278"/>
    <mergeCell ref="CR280:CS280"/>
    <mergeCell ref="CV278:CW278"/>
    <mergeCell ref="CR278:CS278"/>
    <mergeCell ref="CX281:CY281"/>
    <mergeCell ref="CF278:CG278"/>
    <mergeCell ref="CH278:CI278"/>
    <mergeCell ref="CJ278:CK278"/>
    <mergeCell ref="BP279:BQ279"/>
    <mergeCell ref="CD278:CE278"/>
    <mergeCell ref="BX276:BY276"/>
    <mergeCell ref="CJ276:CK276"/>
    <mergeCell ref="CZ281:DA281"/>
    <mergeCell ref="BJ280:BK280"/>
    <mergeCell ref="BL280:BM280"/>
    <mergeCell ref="BN280:BO280"/>
    <mergeCell ref="BL279:BM279"/>
    <mergeCell ref="BJ278:BK278"/>
    <mergeCell ref="BL278:BM278"/>
    <mergeCell ref="M281:N281"/>
    <mergeCell ref="O281:P281"/>
    <mergeCell ref="Q281:R281"/>
    <mergeCell ref="S281:T281"/>
    <mergeCell ref="Z281:AA281"/>
    <mergeCell ref="AB281:AC281"/>
    <mergeCell ref="I279:J279"/>
    <mergeCell ref="BF275:BG275"/>
    <mergeCell ref="BH275:BI275"/>
    <mergeCell ref="BJ275:BK275"/>
    <mergeCell ref="BL275:BM275"/>
    <mergeCell ref="BN275:BO275"/>
    <mergeCell ref="BP275:BQ275"/>
    <mergeCell ref="BR275:BS275"/>
    <mergeCell ref="BT275:BU275"/>
    <mergeCell ref="BV275:BW275"/>
    <mergeCell ref="BF276:BG276"/>
    <mergeCell ref="BX275:BY275"/>
    <mergeCell ref="M280:N280"/>
    <mergeCell ref="O280:P280"/>
    <mergeCell ref="Q280:R280"/>
    <mergeCell ref="S280:T280"/>
    <mergeCell ref="Z280:AA280"/>
    <mergeCell ref="AB280:AC280"/>
    <mergeCell ref="AD280:AE280"/>
    <mergeCell ref="AF280:AG280"/>
    <mergeCell ref="AH280:AI280"/>
    <mergeCell ref="AB276:AC276"/>
    <mergeCell ref="AD276:AE276"/>
    <mergeCell ref="BH280:BI280"/>
    <mergeCell ref="CF281:CG281"/>
    <mergeCell ref="CH281:CI281"/>
    <mergeCell ref="AJ281:AK281"/>
    <mergeCell ref="AL281:AM281"/>
    <mergeCell ref="AN281:AO281"/>
    <mergeCell ref="AP281:AQ281"/>
    <mergeCell ref="AR281:AS281"/>
    <mergeCell ref="AT281:AU281"/>
    <mergeCell ref="AJ280:AK280"/>
    <mergeCell ref="AL280:AM280"/>
    <mergeCell ref="AN280:AO280"/>
    <mergeCell ref="K279:L279"/>
    <mergeCell ref="M279:N279"/>
    <mergeCell ref="O279:P279"/>
    <mergeCell ref="AP280:AQ280"/>
    <mergeCell ref="AR280:AS280"/>
    <mergeCell ref="AT280:AU280"/>
    <mergeCell ref="AV280:AW280"/>
    <mergeCell ref="AX280:AY280"/>
    <mergeCell ref="AZ280:BA280"/>
    <mergeCell ref="BT276:BU276"/>
    <mergeCell ref="BB280:BC280"/>
    <mergeCell ref="BD280:BE280"/>
    <mergeCell ref="BF280:BG280"/>
    <mergeCell ref="Q279:R279"/>
    <mergeCell ref="S279:T279"/>
    <mergeCell ref="Z279:AA279"/>
    <mergeCell ref="AB279:AC279"/>
    <mergeCell ref="AD279:AE279"/>
    <mergeCell ref="AF279:AG279"/>
    <mergeCell ref="AH279:AI279"/>
    <mergeCell ref="AJ279:AK279"/>
    <mergeCell ref="AL279:AM279"/>
    <mergeCell ref="AN279:AO279"/>
    <mergeCell ref="CV281:CW281"/>
    <mergeCell ref="CN284:CO284"/>
    <mergeCell ref="BF284:BG284"/>
    <mergeCell ref="BH284:BI284"/>
    <mergeCell ref="BP283:BQ283"/>
    <mergeCell ref="CN282:CO282"/>
    <mergeCell ref="CP282:CQ282"/>
    <mergeCell ref="CR282:CS282"/>
    <mergeCell ref="CT282:CU282"/>
    <mergeCell ref="CL282:CM282"/>
    <mergeCell ref="AV282:AW282"/>
    <mergeCell ref="AX282:AY282"/>
    <mergeCell ref="AZ282:BA282"/>
    <mergeCell ref="BB282:BC282"/>
    <mergeCell ref="BD282:BE282"/>
    <mergeCell ref="BF282:BG282"/>
    <mergeCell ref="BX282:BY282"/>
    <mergeCell ref="BZ282:CA282"/>
    <mergeCell ref="CB282:CC282"/>
    <mergeCell ref="BL282:BM282"/>
    <mergeCell ref="BN282:BO282"/>
    <mergeCell ref="CD282:CE282"/>
    <mergeCell ref="CF282:CG282"/>
    <mergeCell ref="CH282:CI282"/>
    <mergeCell ref="CJ282:CK282"/>
    <mergeCell ref="BT283:BU283"/>
    <mergeCell ref="BP284:BQ284"/>
    <mergeCell ref="BR284:BS284"/>
    <mergeCell ref="AZ284:BA284"/>
    <mergeCell ref="BB284:BC284"/>
    <mergeCell ref="BD284:BE284"/>
    <mergeCell ref="CL281:CM281"/>
    <mergeCell ref="BH282:BI282"/>
    <mergeCell ref="BJ282:BK282"/>
    <mergeCell ref="BR281:BS281"/>
    <mergeCell ref="BT281:BU281"/>
    <mergeCell ref="BV281:BW281"/>
    <mergeCell ref="CV284:CW284"/>
    <mergeCell ref="AV281:AW281"/>
    <mergeCell ref="BP282:BQ282"/>
    <mergeCell ref="BR282:BS282"/>
    <mergeCell ref="BT282:BU282"/>
    <mergeCell ref="BV282:BW282"/>
    <mergeCell ref="CJ283:CK283"/>
    <mergeCell ref="CL283:CM283"/>
    <mergeCell ref="BJ283:BK283"/>
    <mergeCell ref="BL283:BM283"/>
    <mergeCell ref="BN283:BO283"/>
    <mergeCell ref="BV283:BW283"/>
    <mergeCell ref="BX283:BY283"/>
    <mergeCell ref="BZ283:CA283"/>
    <mergeCell ref="CD283:CE283"/>
    <mergeCell ref="CF283:CG283"/>
    <mergeCell ref="CH283:CI283"/>
    <mergeCell ref="AZ283:BA283"/>
    <mergeCell ref="BB283:BC283"/>
    <mergeCell ref="BD283:BE283"/>
    <mergeCell ref="BF283:BG283"/>
    <mergeCell ref="BH283:BI283"/>
    <mergeCell ref="CJ281:CK281"/>
    <mergeCell ref="AD287:AE287"/>
    <mergeCell ref="AF287:AG287"/>
    <mergeCell ref="AH287:AI287"/>
    <mergeCell ref="AJ287:AK287"/>
    <mergeCell ref="AL287:AM287"/>
    <mergeCell ref="AN287:AO287"/>
    <mergeCell ref="AP287:AQ287"/>
    <mergeCell ref="AR287:AS287"/>
    <mergeCell ref="AT287:AU287"/>
    <mergeCell ref="BJ284:BK284"/>
    <mergeCell ref="BL284:BM284"/>
    <mergeCell ref="BN284:BO284"/>
    <mergeCell ref="I283:J283"/>
    <mergeCell ref="K283:L283"/>
    <mergeCell ref="M283:N283"/>
    <mergeCell ref="O283:P283"/>
    <mergeCell ref="Q283:R283"/>
    <mergeCell ref="S283:T283"/>
    <mergeCell ref="Z283:AA283"/>
    <mergeCell ref="AB283:AC283"/>
    <mergeCell ref="AD283:AE283"/>
    <mergeCell ref="AF283:AG283"/>
    <mergeCell ref="AH283:AI283"/>
    <mergeCell ref="AJ283:AK283"/>
    <mergeCell ref="AL283:AM283"/>
    <mergeCell ref="AN283:AO283"/>
    <mergeCell ref="AP283:AQ283"/>
    <mergeCell ref="AR283:AS283"/>
    <mergeCell ref="AT283:AU283"/>
    <mergeCell ref="AV283:AW283"/>
    <mergeCell ref="AX283:AY283"/>
    <mergeCell ref="I285:J285"/>
    <mergeCell ref="K285:L285"/>
    <mergeCell ref="M285:N285"/>
    <mergeCell ref="O285:P285"/>
    <mergeCell ref="Q285:R285"/>
    <mergeCell ref="S285:T285"/>
    <mergeCell ref="Z285:AA285"/>
    <mergeCell ref="AB285:AC285"/>
    <mergeCell ref="AD285:AE285"/>
    <mergeCell ref="AF285:AG285"/>
    <mergeCell ref="AV284:AW284"/>
    <mergeCell ref="AX284:AY284"/>
    <mergeCell ref="AH285:AI285"/>
    <mergeCell ref="AJ285:AK285"/>
    <mergeCell ref="AL285:AM285"/>
    <mergeCell ref="AN285:AO285"/>
    <mergeCell ref="AP285:AQ285"/>
    <mergeCell ref="AR285:AS285"/>
    <mergeCell ref="AJ284:AK284"/>
    <mergeCell ref="AL284:AM284"/>
    <mergeCell ref="AN284:AO284"/>
    <mergeCell ref="AP284:AQ284"/>
    <mergeCell ref="AR284:AS284"/>
    <mergeCell ref="AT284:AU284"/>
    <mergeCell ref="BL285:BM285"/>
    <mergeCell ref="BN285:BO285"/>
    <mergeCell ref="AT285:AU285"/>
    <mergeCell ref="AV285:AW285"/>
    <mergeCell ref="AX285:AY285"/>
    <mergeCell ref="AZ285:BA285"/>
    <mergeCell ref="BB285:BC285"/>
    <mergeCell ref="BD285:BE285"/>
    <mergeCell ref="BF285:BG285"/>
    <mergeCell ref="I289:J289"/>
    <mergeCell ref="K289:L289"/>
    <mergeCell ref="M289:N289"/>
    <mergeCell ref="O289:P289"/>
    <mergeCell ref="Q289:R289"/>
    <mergeCell ref="S289:T289"/>
    <mergeCell ref="Z289:AA289"/>
    <mergeCell ref="AB289:AC289"/>
    <mergeCell ref="AD289:AE289"/>
    <mergeCell ref="AF289:AG289"/>
    <mergeCell ref="AH289:AI289"/>
    <mergeCell ref="AJ289:AK289"/>
    <mergeCell ref="AL289:AM289"/>
    <mergeCell ref="AN289:AO289"/>
    <mergeCell ref="AP289:AQ289"/>
    <mergeCell ref="AR289:AS289"/>
    <mergeCell ref="AT289:AU289"/>
    <mergeCell ref="AV289:AW289"/>
    <mergeCell ref="AX289:AY289"/>
    <mergeCell ref="BF286:BG286"/>
    <mergeCell ref="BH286:BI286"/>
    <mergeCell ref="BJ286:BK286"/>
    <mergeCell ref="BL286:BM286"/>
    <mergeCell ref="BN286:BO286"/>
    <mergeCell ref="BP286:BQ286"/>
    <mergeCell ref="I286:J286"/>
    <mergeCell ref="K286:L286"/>
    <mergeCell ref="I288:J288"/>
    <mergeCell ref="K288:L288"/>
    <mergeCell ref="M288:N288"/>
    <mergeCell ref="O288:P288"/>
    <mergeCell ref="Q288:R288"/>
    <mergeCell ref="S288:T288"/>
    <mergeCell ref="Z288:AA288"/>
    <mergeCell ref="AB288:AC288"/>
    <mergeCell ref="AD288:AE288"/>
    <mergeCell ref="AF288:AG288"/>
    <mergeCell ref="AH288:AI288"/>
    <mergeCell ref="AJ288:AK288"/>
    <mergeCell ref="AL288:AM288"/>
    <mergeCell ref="AN288:AO288"/>
    <mergeCell ref="AP288:AQ288"/>
    <mergeCell ref="AR288:AS288"/>
    <mergeCell ref="I287:J287"/>
    <mergeCell ref="K287:L287"/>
    <mergeCell ref="M287:N287"/>
    <mergeCell ref="O287:P287"/>
    <mergeCell ref="Q287:R287"/>
    <mergeCell ref="S287:T287"/>
    <mergeCell ref="Z287:AA287"/>
    <mergeCell ref="AB287:AC287"/>
    <mergeCell ref="M286:N286"/>
    <mergeCell ref="O286:P286"/>
    <mergeCell ref="Q286:R286"/>
    <mergeCell ref="S286:T286"/>
    <mergeCell ref="Z286:AA286"/>
    <mergeCell ref="AB286:AC286"/>
    <mergeCell ref="AD286:AE286"/>
    <mergeCell ref="AF286:AG286"/>
    <mergeCell ref="AZ289:BA289"/>
    <mergeCell ref="BB289:BC289"/>
    <mergeCell ref="BD289:BE289"/>
    <mergeCell ref="BF289:BG289"/>
    <mergeCell ref="BH289:BI289"/>
    <mergeCell ref="BJ289:BK289"/>
    <mergeCell ref="BL289:BM289"/>
    <mergeCell ref="BN289:BO289"/>
    <mergeCell ref="BP289:BQ289"/>
    <mergeCell ref="DN290:DO290"/>
    <mergeCell ref="DP290:DQ290"/>
    <mergeCell ref="DR290:DS290"/>
    <mergeCell ref="AH286:AI286"/>
    <mergeCell ref="AJ286:AK286"/>
    <mergeCell ref="AT288:AU288"/>
    <mergeCell ref="AV288:AW288"/>
    <mergeCell ref="AX288:AY288"/>
    <mergeCell ref="AZ288:BA288"/>
    <mergeCell ref="BB288:BC288"/>
    <mergeCell ref="BD288:BE288"/>
    <mergeCell ref="BF288:BG288"/>
    <mergeCell ref="BH288:BI288"/>
    <mergeCell ref="BJ288:BK288"/>
    <mergeCell ref="AV287:AW287"/>
    <mergeCell ref="AX287:AY287"/>
    <mergeCell ref="AZ287:BA287"/>
    <mergeCell ref="BB287:BC287"/>
    <mergeCell ref="BD287:BE287"/>
    <mergeCell ref="AZ286:BA286"/>
    <mergeCell ref="BB286:BC286"/>
    <mergeCell ref="BD286:BE286"/>
    <mergeCell ref="CZ286:DA286"/>
    <mergeCell ref="BR286:BS286"/>
    <mergeCell ref="BV288:BW288"/>
    <mergeCell ref="BX288:BY288"/>
    <mergeCell ref="BZ288:CA288"/>
    <mergeCell ref="DP286:DQ286"/>
    <mergeCell ref="DR286:DS286"/>
    <mergeCell ref="DB286:DC286"/>
    <mergeCell ref="DD286:DE286"/>
    <mergeCell ref="DF286:DG286"/>
    <mergeCell ref="DH286:DI286"/>
    <mergeCell ref="CJ286:CK286"/>
    <mergeCell ref="CL286:CM286"/>
    <mergeCell ref="CN286:CO286"/>
    <mergeCell ref="CP286:CQ286"/>
    <mergeCell ref="CR286:CS286"/>
    <mergeCell ref="CT286:CU286"/>
    <mergeCell ref="CV286:CW286"/>
    <mergeCell ref="CX286:CY286"/>
    <mergeCell ref="DJ287:DK287"/>
    <mergeCell ref="DL287:DM287"/>
    <mergeCell ref="DH287:DI287"/>
    <mergeCell ref="BL288:BM288"/>
    <mergeCell ref="BN288:BO288"/>
    <mergeCell ref="CB288:CC288"/>
    <mergeCell ref="BT288:BU288"/>
    <mergeCell ref="BF287:BG287"/>
    <mergeCell ref="BH287:BI287"/>
    <mergeCell ref="BJ287:BK287"/>
    <mergeCell ref="BL287:BM287"/>
    <mergeCell ref="BN287:BO287"/>
    <mergeCell ref="BP287:BQ287"/>
    <mergeCell ref="BR289:BS289"/>
    <mergeCell ref="BT289:BU289"/>
    <mergeCell ref="BV289:BW289"/>
    <mergeCell ref="BX289:BY289"/>
    <mergeCell ref="BZ289:CA289"/>
    <mergeCell ref="CB289:CC289"/>
    <mergeCell ref="I291:J291"/>
    <mergeCell ref="K291:L291"/>
    <mergeCell ref="M291:N291"/>
    <mergeCell ref="O291:P291"/>
    <mergeCell ref="Q291:R291"/>
    <mergeCell ref="S291:T291"/>
    <mergeCell ref="Z291:AA291"/>
    <mergeCell ref="AB291:AC291"/>
    <mergeCell ref="AD291:AE291"/>
    <mergeCell ref="AF291:AG291"/>
    <mergeCell ref="AH291:AI291"/>
    <mergeCell ref="AJ291:AK291"/>
    <mergeCell ref="AL291:AM291"/>
    <mergeCell ref="AN291:AO291"/>
    <mergeCell ref="AP291:AQ291"/>
    <mergeCell ref="AR291:AS291"/>
    <mergeCell ref="CP290:CQ290"/>
    <mergeCell ref="CR290:CS290"/>
    <mergeCell ref="CT290:CU290"/>
    <mergeCell ref="CV290:CW290"/>
    <mergeCell ref="CX290:CY290"/>
    <mergeCell ref="CZ290:DA290"/>
    <mergeCell ref="DB290:DC290"/>
    <mergeCell ref="DD290:DE290"/>
    <mergeCell ref="DF290:DG290"/>
    <mergeCell ref="BX290:BY290"/>
    <mergeCell ref="BZ290:CA290"/>
    <mergeCell ref="CB290:CC290"/>
    <mergeCell ref="CD290:CE290"/>
    <mergeCell ref="CF290:CG290"/>
    <mergeCell ref="CH290:CI290"/>
    <mergeCell ref="CJ290:CK290"/>
    <mergeCell ref="CL290:CM290"/>
    <mergeCell ref="CN290:CO290"/>
    <mergeCell ref="BF290:BG290"/>
    <mergeCell ref="BH290:BI290"/>
    <mergeCell ref="BJ290:BK290"/>
    <mergeCell ref="BL290:BM290"/>
    <mergeCell ref="BN290:BO290"/>
    <mergeCell ref="BP290:BQ290"/>
    <mergeCell ref="BR290:BS290"/>
    <mergeCell ref="BT290:BU290"/>
    <mergeCell ref="BV290:BW290"/>
    <mergeCell ref="I290:J290"/>
    <mergeCell ref="K290:L290"/>
    <mergeCell ref="M290:N290"/>
    <mergeCell ref="O290:P290"/>
    <mergeCell ref="Q290:R290"/>
    <mergeCell ref="S290:T290"/>
    <mergeCell ref="Z290:AA290"/>
    <mergeCell ref="AB290:AC290"/>
    <mergeCell ref="AD290:AE290"/>
    <mergeCell ref="AF290:AG290"/>
    <mergeCell ref="AH290:AI290"/>
    <mergeCell ref="AJ290:AK290"/>
    <mergeCell ref="AL290:AM290"/>
    <mergeCell ref="AN290:AO290"/>
    <mergeCell ref="AP290:AQ290"/>
    <mergeCell ref="AR290:AS290"/>
    <mergeCell ref="AT290:AU290"/>
    <mergeCell ref="AV290:AW290"/>
    <mergeCell ref="AX290:AY290"/>
    <mergeCell ref="AZ290:BA290"/>
    <mergeCell ref="BB290:BC290"/>
    <mergeCell ref="M292:N292"/>
    <mergeCell ref="O292:P292"/>
    <mergeCell ref="Q292:R292"/>
    <mergeCell ref="S292:T292"/>
    <mergeCell ref="Z292:AA292"/>
    <mergeCell ref="AB292:AC292"/>
    <mergeCell ref="AD292:AE292"/>
    <mergeCell ref="AF292:AG292"/>
    <mergeCell ref="AH292:AI292"/>
    <mergeCell ref="AJ292:AK292"/>
    <mergeCell ref="AL292:AM292"/>
    <mergeCell ref="AN292:AO292"/>
    <mergeCell ref="AP292:AQ292"/>
    <mergeCell ref="AR292:AS292"/>
    <mergeCell ref="AT292:AU292"/>
    <mergeCell ref="AV292:AW292"/>
    <mergeCell ref="AX292:AY292"/>
    <mergeCell ref="CV291:CW291"/>
    <mergeCell ref="CX291:CY291"/>
    <mergeCell ref="CZ291:DA291"/>
    <mergeCell ref="DB291:DC291"/>
    <mergeCell ref="DD291:DE291"/>
    <mergeCell ref="BD290:BE290"/>
    <mergeCell ref="DF291:DG291"/>
    <mergeCell ref="DH291:DI291"/>
    <mergeCell ref="DJ291:DK291"/>
    <mergeCell ref="DL291:DM291"/>
    <mergeCell ref="CD291:CE291"/>
    <mergeCell ref="CF291:CG291"/>
    <mergeCell ref="CH291:CI291"/>
    <mergeCell ref="CJ291:CK291"/>
    <mergeCell ref="CL291:CM291"/>
    <mergeCell ref="CN291:CO291"/>
    <mergeCell ref="CP291:CQ291"/>
    <mergeCell ref="CR291:CS291"/>
    <mergeCell ref="CT291:CU291"/>
    <mergeCell ref="BL291:BM291"/>
    <mergeCell ref="BN291:BO291"/>
    <mergeCell ref="BP291:BQ291"/>
    <mergeCell ref="BR291:BS291"/>
    <mergeCell ref="BT291:BU291"/>
    <mergeCell ref="BV291:BW291"/>
    <mergeCell ref="BX291:BY291"/>
    <mergeCell ref="BZ291:CA291"/>
    <mergeCell ref="CB291:CC291"/>
    <mergeCell ref="AT291:AU291"/>
    <mergeCell ref="AV291:AW291"/>
    <mergeCell ref="AX291:AY291"/>
    <mergeCell ref="AZ291:BA291"/>
    <mergeCell ref="BB291:BC291"/>
    <mergeCell ref="BD291:BE291"/>
    <mergeCell ref="BF291:BG291"/>
    <mergeCell ref="BH291:BI291"/>
    <mergeCell ref="BJ291:BK291"/>
    <mergeCell ref="DH290:DI290"/>
    <mergeCell ref="DJ290:DK290"/>
    <mergeCell ref="DL290:DM290"/>
    <mergeCell ref="I293:J293"/>
    <mergeCell ref="K293:L293"/>
    <mergeCell ref="M293:N293"/>
    <mergeCell ref="O293:P293"/>
    <mergeCell ref="Q293:R293"/>
    <mergeCell ref="S293:T293"/>
    <mergeCell ref="Z293:AA293"/>
    <mergeCell ref="AB293:AC293"/>
    <mergeCell ref="AD293:AE293"/>
    <mergeCell ref="AF293:AG293"/>
    <mergeCell ref="AH293:AI293"/>
    <mergeCell ref="AJ293:AK293"/>
    <mergeCell ref="AL293:AM293"/>
    <mergeCell ref="AN293:AO293"/>
    <mergeCell ref="AP293:AQ293"/>
    <mergeCell ref="AR293:AS293"/>
    <mergeCell ref="AT293:AU293"/>
    <mergeCell ref="AV293:AW293"/>
    <mergeCell ref="AX293:AY293"/>
    <mergeCell ref="AZ293:BA293"/>
    <mergeCell ref="BB293:BC293"/>
    <mergeCell ref="BD293:BE293"/>
    <mergeCell ref="DB292:DC292"/>
    <mergeCell ref="DD292:DE292"/>
    <mergeCell ref="DF292:DG292"/>
    <mergeCell ref="DH292:DI292"/>
    <mergeCell ref="DJ292:DK292"/>
    <mergeCell ref="DL292:DM292"/>
    <mergeCell ref="I292:J292"/>
    <mergeCell ref="K292:L292"/>
    <mergeCell ref="DN292:DO292"/>
    <mergeCell ref="DP292:DQ292"/>
    <mergeCell ref="DR292:DS292"/>
    <mergeCell ref="CJ292:CK292"/>
    <mergeCell ref="CL292:CM292"/>
    <mergeCell ref="CN292:CO292"/>
    <mergeCell ref="CP292:CQ292"/>
    <mergeCell ref="CR292:CS292"/>
    <mergeCell ref="CT292:CU292"/>
    <mergeCell ref="CV292:CW292"/>
    <mergeCell ref="CX292:CY292"/>
    <mergeCell ref="CZ292:DA292"/>
    <mergeCell ref="BR292:BS292"/>
    <mergeCell ref="BT292:BU292"/>
    <mergeCell ref="BV292:BW292"/>
    <mergeCell ref="BX292:BY292"/>
    <mergeCell ref="BZ292:CA292"/>
    <mergeCell ref="CB292:CC292"/>
    <mergeCell ref="CD292:CE292"/>
    <mergeCell ref="CF292:CG292"/>
    <mergeCell ref="CH292:CI292"/>
    <mergeCell ref="AZ292:BA292"/>
    <mergeCell ref="BB292:BC292"/>
    <mergeCell ref="BD292:BE292"/>
    <mergeCell ref="BF292:BG292"/>
    <mergeCell ref="BH292:BI292"/>
    <mergeCell ref="BJ292:BK292"/>
    <mergeCell ref="BL292:BM292"/>
    <mergeCell ref="BN292:BO292"/>
    <mergeCell ref="BP292:BQ292"/>
    <mergeCell ref="DH293:DI293"/>
    <mergeCell ref="DJ293:DK293"/>
    <mergeCell ref="DL293:DM293"/>
    <mergeCell ref="DN293:DO293"/>
    <mergeCell ref="AF294:AG294"/>
    <mergeCell ref="AH294:AI294"/>
    <mergeCell ref="AJ294:AK294"/>
    <mergeCell ref="AL294:AM294"/>
    <mergeCell ref="AN294:AO294"/>
    <mergeCell ref="AP294:AQ294"/>
    <mergeCell ref="AR294:AS294"/>
    <mergeCell ref="CP293:CQ293"/>
    <mergeCell ref="CR293:CS293"/>
    <mergeCell ref="CT293:CU293"/>
    <mergeCell ref="CV293:CW293"/>
    <mergeCell ref="CX293:CY293"/>
    <mergeCell ref="CZ293:DA293"/>
    <mergeCell ref="DB293:DC293"/>
    <mergeCell ref="DD293:DE293"/>
    <mergeCell ref="DF293:DG293"/>
    <mergeCell ref="BX293:BY293"/>
    <mergeCell ref="BZ293:CA293"/>
    <mergeCell ref="CB293:CC293"/>
    <mergeCell ref="CD293:CE293"/>
    <mergeCell ref="CF293:CG293"/>
    <mergeCell ref="CH293:CI293"/>
    <mergeCell ref="CJ293:CK293"/>
    <mergeCell ref="CL293:CM293"/>
    <mergeCell ref="CN293:CO293"/>
    <mergeCell ref="BF293:BG293"/>
    <mergeCell ref="BH293:BI293"/>
    <mergeCell ref="BJ293:BK293"/>
    <mergeCell ref="BL293:BM293"/>
    <mergeCell ref="BN293:BO293"/>
    <mergeCell ref="BP293:BQ293"/>
    <mergeCell ref="BR293:BS293"/>
    <mergeCell ref="BT293:BU293"/>
    <mergeCell ref="BV293:BW293"/>
    <mergeCell ref="I295:J295"/>
    <mergeCell ref="K295:L295"/>
    <mergeCell ref="M295:N295"/>
    <mergeCell ref="O295:P295"/>
    <mergeCell ref="Q295:R295"/>
    <mergeCell ref="S295:T295"/>
    <mergeCell ref="Z295:AA295"/>
    <mergeCell ref="AB295:AC295"/>
    <mergeCell ref="AD295:AE295"/>
    <mergeCell ref="AF295:AG295"/>
    <mergeCell ref="AH295:AI295"/>
    <mergeCell ref="AJ295:AK295"/>
    <mergeCell ref="AL295:AM295"/>
    <mergeCell ref="AN295:AO295"/>
    <mergeCell ref="AP295:AQ295"/>
    <mergeCell ref="AR295:AS295"/>
    <mergeCell ref="AT295:AU295"/>
    <mergeCell ref="AV295:AW295"/>
    <mergeCell ref="AX295:AY295"/>
    <mergeCell ref="CV294:CW294"/>
    <mergeCell ref="CX294:CY294"/>
    <mergeCell ref="CZ294:DA294"/>
    <mergeCell ref="DB294:DC294"/>
    <mergeCell ref="DD294:DE294"/>
    <mergeCell ref="DF294:DG294"/>
    <mergeCell ref="DH294:DI294"/>
    <mergeCell ref="DJ294:DK294"/>
    <mergeCell ref="DL294:DM294"/>
    <mergeCell ref="CD294:CE294"/>
    <mergeCell ref="CF294:CG294"/>
    <mergeCell ref="CH294:CI294"/>
    <mergeCell ref="CJ294:CK294"/>
    <mergeCell ref="CL294:CM294"/>
    <mergeCell ref="CN294:CO294"/>
    <mergeCell ref="CP294:CQ294"/>
    <mergeCell ref="CR294:CS294"/>
    <mergeCell ref="CT294:CU294"/>
    <mergeCell ref="BL294:BM294"/>
    <mergeCell ref="BN294:BO294"/>
    <mergeCell ref="BP294:BQ294"/>
    <mergeCell ref="BR294:BS294"/>
    <mergeCell ref="BT294:BU294"/>
    <mergeCell ref="BV294:BW294"/>
    <mergeCell ref="BX294:BY294"/>
    <mergeCell ref="BZ294:CA294"/>
    <mergeCell ref="CB294:CC294"/>
    <mergeCell ref="AT294:AU294"/>
    <mergeCell ref="AV294:AW294"/>
    <mergeCell ref="AX294:AY294"/>
    <mergeCell ref="AZ294:BA294"/>
    <mergeCell ref="BB294:BC294"/>
    <mergeCell ref="BD294:BE294"/>
    <mergeCell ref="BF294:BG294"/>
    <mergeCell ref="BH294:BI294"/>
    <mergeCell ref="BJ294:BK294"/>
    <mergeCell ref="I294:J294"/>
    <mergeCell ref="K294:L294"/>
    <mergeCell ref="M294:N294"/>
    <mergeCell ref="O294:P294"/>
    <mergeCell ref="Q294:R294"/>
    <mergeCell ref="S294:T294"/>
    <mergeCell ref="Z294:AA294"/>
    <mergeCell ref="AB294:AC294"/>
    <mergeCell ref="AD294:AE294"/>
    <mergeCell ref="BD296:BE296"/>
    <mergeCell ref="DB295:DC295"/>
    <mergeCell ref="DD295:DE295"/>
    <mergeCell ref="DF295:DG295"/>
    <mergeCell ref="DH295:DI295"/>
    <mergeCell ref="DJ295:DK295"/>
    <mergeCell ref="DL295:DM295"/>
    <mergeCell ref="DN295:DO295"/>
    <mergeCell ref="DP295:DQ295"/>
    <mergeCell ref="DR295:DS295"/>
    <mergeCell ref="CJ295:CK295"/>
    <mergeCell ref="CL295:CM295"/>
    <mergeCell ref="CN295:CO295"/>
    <mergeCell ref="CP295:CQ295"/>
    <mergeCell ref="CR295:CS295"/>
    <mergeCell ref="CT295:CU295"/>
    <mergeCell ref="CV295:CW295"/>
    <mergeCell ref="CX295:CY295"/>
    <mergeCell ref="CZ295:DA295"/>
    <mergeCell ref="BR295:BS295"/>
    <mergeCell ref="BT295:BU295"/>
    <mergeCell ref="BV295:BW295"/>
    <mergeCell ref="BX295:BY295"/>
    <mergeCell ref="BZ295:CA295"/>
    <mergeCell ref="CB295:CC295"/>
    <mergeCell ref="CD295:CE295"/>
    <mergeCell ref="CF295:CG295"/>
    <mergeCell ref="CH295:CI295"/>
    <mergeCell ref="AZ295:BA295"/>
    <mergeCell ref="BB295:BC295"/>
    <mergeCell ref="BD295:BE295"/>
    <mergeCell ref="BF295:BG295"/>
    <mergeCell ref="BH295:BI295"/>
    <mergeCell ref="BJ295:BK295"/>
    <mergeCell ref="BL295:BM295"/>
    <mergeCell ref="BN295:BO295"/>
    <mergeCell ref="BP295:BQ295"/>
    <mergeCell ref="DH296:DI296"/>
    <mergeCell ref="DJ296:DK296"/>
    <mergeCell ref="DL296:DM296"/>
    <mergeCell ref="DN296:DO296"/>
    <mergeCell ref="I297:J297"/>
    <mergeCell ref="K297:L297"/>
    <mergeCell ref="M297:N297"/>
    <mergeCell ref="O297:P297"/>
    <mergeCell ref="Q297:R297"/>
    <mergeCell ref="S297:T297"/>
    <mergeCell ref="Z297:AA297"/>
    <mergeCell ref="AB297:AC297"/>
    <mergeCell ref="AD297:AE297"/>
    <mergeCell ref="AF297:AG297"/>
    <mergeCell ref="AH297:AI297"/>
    <mergeCell ref="AJ297:AK297"/>
    <mergeCell ref="AL297:AM297"/>
    <mergeCell ref="AN297:AO297"/>
    <mergeCell ref="AP297:AQ297"/>
    <mergeCell ref="AR297:AS297"/>
    <mergeCell ref="CP296:CQ296"/>
    <mergeCell ref="CR296:CS296"/>
    <mergeCell ref="CT296:CU296"/>
    <mergeCell ref="CV296:CW296"/>
    <mergeCell ref="CX296:CY296"/>
    <mergeCell ref="CZ296:DA296"/>
    <mergeCell ref="DB296:DC296"/>
    <mergeCell ref="DD296:DE296"/>
    <mergeCell ref="DF296:DG296"/>
    <mergeCell ref="BX296:BY296"/>
    <mergeCell ref="BZ296:CA296"/>
    <mergeCell ref="CB296:CC296"/>
    <mergeCell ref="CD296:CE296"/>
    <mergeCell ref="CF296:CG296"/>
    <mergeCell ref="CH296:CI296"/>
    <mergeCell ref="CJ296:CK296"/>
    <mergeCell ref="CL296:CM296"/>
    <mergeCell ref="CN296:CO296"/>
    <mergeCell ref="BF296:BG296"/>
    <mergeCell ref="BH296:BI296"/>
    <mergeCell ref="BJ296:BK296"/>
    <mergeCell ref="BL296:BM296"/>
    <mergeCell ref="BN296:BO296"/>
    <mergeCell ref="BP296:BQ296"/>
    <mergeCell ref="BR296:BS296"/>
    <mergeCell ref="BT296:BU296"/>
    <mergeCell ref="BV296:BW296"/>
    <mergeCell ref="I296:J296"/>
    <mergeCell ref="K296:L296"/>
    <mergeCell ref="M296:N296"/>
    <mergeCell ref="O296:P296"/>
    <mergeCell ref="Q296:R296"/>
    <mergeCell ref="S296:T296"/>
    <mergeCell ref="Z296:AA296"/>
    <mergeCell ref="AB296:AC296"/>
    <mergeCell ref="AD296:AE296"/>
    <mergeCell ref="AF296:AG296"/>
    <mergeCell ref="AH296:AI296"/>
    <mergeCell ref="AJ296:AK296"/>
    <mergeCell ref="AL296:AM296"/>
    <mergeCell ref="AN296:AO296"/>
    <mergeCell ref="AP296:AQ296"/>
    <mergeCell ref="AR296:AS296"/>
    <mergeCell ref="AT296:AU296"/>
    <mergeCell ref="AV296:AW296"/>
    <mergeCell ref="AX296:AY296"/>
    <mergeCell ref="AZ296:BA296"/>
    <mergeCell ref="BB296:BC296"/>
    <mergeCell ref="M298:N298"/>
    <mergeCell ref="O298:P298"/>
    <mergeCell ref="Q298:R298"/>
    <mergeCell ref="S298:T298"/>
    <mergeCell ref="Z298:AA298"/>
    <mergeCell ref="AB298:AC298"/>
    <mergeCell ref="AD298:AE298"/>
    <mergeCell ref="AF298:AG298"/>
    <mergeCell ref="AH298:AI298"/>
    <mergeCell ref="AJ298:AK298"/>
    <mergeCell ref="AL298:AM298"/>
    <mergeCell ref="AN298:AO298"/>
    <mergeCell ref="AP298:AQ298"/>
    <mergeCell ref="AR298:AS298"/>
    <mergeCell ref="AT298:AU298"/>
    <mergeCell ref="AV298:AW298"/>
    <mergeCell ref="AX298:AY298"/>
    <mergeCell ref="CV297:CW297"/>
    <mergeCell ref="CX297:CY297"/>
    <mergeCell ref="CZ297:DA297"/>
    <mergeCell ref="DB297:DC297"/>
    <mergeCell ref="DD297:DE297"/>
    <mergeCell ref="DF297:DG297"/>
    <mergeCell ref="DH297:DI297"/>
    <mergeCell ref="DJ297:DK297"/>
    <mergeCell ref="DL297:DM297"/>
    <mergeCell ref="CD297:CE297"/>
    <mergeCell ref="CF297:CG297"/>
    <mergeCell ref="CH297:CI297"/>
    <mergeCell ref="CJ297:CK297"/>
    <mergeCell ref="CL297:CM297"/>
    <mergeCell ref="CN297:CO297"/>
    <mergeCell ref="CP297:CQ297"/>
    <mergeCell ref="CR297:CS297"/>
    <mergeCell ref="CT297:CU297"/>
    <mergeCell ref="BL297:BM297"/>
    <mergeCell ref="BN297:BO297"/>
    <mergeCell ref="BP297:BQ297"/>
    <mergeCell ref="BR297:BS297"/>
    <mergeCell ref="BT297:BU297"/>
    <mergeCell ref="BV297:BW297"/>
    <mergeCell ref="BX297:BY297"/>
    <mergeCell ref="BZ297:CA297"/>
    <mergeCell ref="CB297:CC297"/>
    <mergeCell ref="AT297:AU297"/>
    <mergeCell ref="AV297:AW297"/>
    <mergeCell ref="AX297:AY297"/>
    <mergeCell ref="AZ297:BA297"/>
    <mergeCell ref="BB297:BC297"/>
    <mergeCell ref="BD297:BE297"/>
    <mergeCell ref="BF297:BG297"/>
    <mergeCell ref="BH297:BI297"/>
    <mergeCell ref="BJ297:BK297"/>
    <mergeCell ref="I299:J299"/>
    <mergeCell ref="K299:L299"/>
    <mergeCell ref="M299:N299"/>
    <mergeCell ref="O299:P299"/>
    <mergeCell ref="Q299:R299"/>
    <mergeCell ref="S299:T299"/>
    <mergeCell ref="Z299:AA299"/>
    <mergeCell ref="AB299:AC299"/>
    <mergeCell ref="AD299:AE299"/>
    <mergeCell ref="AF299:AG299"/>
    <mergeCell ref="AH299:AI299"/>
    <mergeCell ref="AJ299:AK299"/>
    <mergeCell ref="AL299:AM299"/>
    <mergeCell ref="AN299:AO299"/>
    <mergeCell ref="AP299:AQ299"/>
    <mergeCell ref="AR299:AS299"/>
    <mergeCell ref="AT299:AU299"/>
    <mergeCell ref="AV299:AW299"/>
    <mergeCell ref="AX299:AY299"/>
    <mergeCell ref="AZ299:BA299"/>
    <mergeCell ref="BB299:BC299"/>
    <mergeCell ref="BD299:BE299"/>
    <mergeCell ref="DB298:DC298"/>
    <mergeCell ref="DD298:DE298"/>
    <mergeCell ref="DF298:DG298"/>
    <mergeCell ref="DH298:DI298"/>
    <mergeCell ref="DJ298:DK298"/>
    <mergeCell ref="DL298:DM298"/>
    <mergeCell ref="DN298:DO298"/>
    <mergeCell ref="DP298:DQ298"/>
    <mergeCell ref="DR298:DS298"/>
    <mergeCell ref="CJ298:CK298"/>
    <mergeCell ref="CL298:CM298"/>
    <mergeCell ref="CN298:CO298"/>
    <mergeCell ref="CP298:CQ298"/>
    <mergeCell ref="CR298:CS298"/>
    <mergeCell ref="CT298:CU298"/>
    <mergeCell ref="CV298:CW298"/>
    <mergeCell ref="CX298:CY298"/>
    <mergeCell ref="CZ298:DA298"/>
    <mergeCell ref="BR298:BS298"/>
    <mergeCell ref="BT298:BU298"/>
    <mergeCell ref="BV298:BW298"/>
    <mergeCell ref="BX298:BY298"/>
    <mergeCell ref="BZ298:CA298"/>
    <mergeCell ref="CB298:CC298"/>
    <mergeCell ref="CD298:CE298"/>
    <mergeCell ref="CF298:CG298"/>
    <mergeCell ref="CH298:CI298"/>
    <mergeCell ref="AZ298:BA298"/>
    <mergeCell ref="BB298:BC298"/>
    <mergeCell ref="BD298:BE298"/>
    <mergeCell ref="BF298:BG298"/>
    <mergeCell ref="BH298:BI298"/>
    <mergeCell ref="BJ298:BK298"/>
    <mergeCell ref="BL298:BM298"/>
    <mergeCell ref="BN298:BO298"/>
    <mergeCell ref="BP298:BQ298"/>
    <mergeCell ref="DH299:DI299"/>
    <mergeCell ref="DJ299:DK299"/>
    <mergeCell ref="DL299:DM299"/>
    <mergeCell ref="DN299:DO299"/>
    <mergeCell ref="I298:J298"/>
    <mergeCell ref="K298:L298"/>
    <mergeCell ref="AF300:AG300"/>
    <mergeCell ref="AH300:AI300"/>
    <mergeCell ref="AJ300:AK300"/>
    <mergeCell ref="AL300:AM300"/>
    <mergeCell ref="AN300:AO300"/>
    <mergeCell ref="AP300:AQ300"/>
    <mergeCell ref="AR300:AS300"/>
    <mergeCell ref="CP299:CQ299"/>
    <mergeCell ref="CR299:CS299"/>
    <mergeCell ref="CT299:CU299"/>
    <mergeCell ref="CV299:CW299"/>
    <mergeCell ref="CX299:CY299"/>
    <mergeCell ref="CZ299:DA299"/>
    <mergeCell ref="DB299:DC299"/>
    <mergeCell ref="DD299:DE299"/>
    <mergeCell ref="DF299:DG299"/>
    <mergeCell ref="BX299:BY299"/>
    <mergeCell ref="BZ299:CA299"/>
    <mergeCell ref="CB299:CC299"/>
    <mergeCell ref="CD299:CE299"/>
    <mergeCell ref="CF299:CG299"/>
    <mergeCell ref="CH299:CI299"/>
    <mergeCell ref="CJ299:CK299"/>
    <mergeCell ref="CL299:CM299"/>
    <mergeCell ref="CN299:CO299"/>
    <mergeCell ref="BF299:BG299"/>
    <mergeCell ref="BH299:BI299"/>
    <mergeCell ref="BJ299:BK299"/>
    <mergeCell ref="BL299:BM299"/>
    <mergeCell ref="BN299:BO299"/>
    <mergeCell ref="BP299:BQ299"/>
    <mergeCell ref="BR299:BS299"/>
    <mergeCell ref="BT299:BU299"/>
    <mergeCell ref="BV299:BW299"/>
    <mergeCell ref="I301:J301"/>
    <mergeCell ref="K301:L301"/>
    <mergeCell ref="M301:N301"/>
    <mergeCell ref="O301:P301"/>
    <mergeCell ref="Q301:R301"/>
    <mergeCell ref="S301:T301"/>
    <mergeCell ref="Z301:AA301"/>
    <mergeCell ref="AB301:AC301"/>
    <mergeCell ref="AD301:AE301"/>
    <mergeCell ref="AF301:AG301"/>
    <mergeCell ref="AH301:AI301"/>
    <mergeCell ref="AJ301:AK301"/>
    <mergeCell ref="AL301:AM301"/>
    <mergeCell ref="AN301:AO301"/>
    <mergeCell ref="AP301:AQ301"/>
    <mergeCell ref="AR301:AS301"/>
    <mergeCell ref="AT301:AU301"/>
    <mergeCell ref="AV301:AW301"/>
    <mergeCell ref="AX301:AY301"/>
    <mergeCell ref="CV300:CW300"/>
    <mergeCell ref="CX300:CY300"/>
    <mergeCell ref="CZ300:DA300"/>
    <mergeCell ref="DB300:DC300"/>
    <mergeCell ref="DD300:DE300"/>
    <mergeCell ref="DF300:DG300"/>
    <mergeCell ref="DH300:DI300"/>
    <mergeCell ref="DJ300:DK300"/>
    <mergeCell ref="DL300:DM300"/>
    <mergeCell ref="CD300:CE300"/>
    <mergeCell ref="CF300:CG300"/>
    <mergeCell ref="CH300:CI300"/>
    <mergeCell ref="CJ300:CK300"/>
    <mergeCell ref="CL300:CM300"/>
    <mergeCell ref="CN300:CO300"/>
    <mergeCell ref="CP300:CQ300"/>
    <mergeCell ref="CR300:CS300"/>
    <mergeCell ref="CT300:CU300"/>
    <mergeCell ref="BL300:BM300"/>
    <mergeCell ref="BN300:BO300"/>
    <mergeCell ref="BP300:BQ300"/>
    <mergeCell ref="BR300:BS300"/>
    <mergeCell ref="BT300:BU300"/>
    <mergeCell ref="BV300:BW300"/>
    <mergeCell ref="BX300:BY300"/>
    <mergeCell ref="BZ300:CA300"/>
    <mergeCell ref="CB300:CC300"/>
    <mergeCell ref="AT300:AU300"/>
    <mergeCell ref="AV300:AW300"/>
    <mergeCell ref="AX300:AY300"/>
    <mergeCell ref="AZ300:BA300"/>
    <mergeCell ref="BB300:BC300"/>
    <mergeCell ref="BD300:BE300"/>
    <mergeCell ref="BF300:BG300"/>
    <mergeCell ref="BH300:BI300"/>
    <mergeCell ref="BJ300:BK300"/>
    <mergeCell ref="I300:J300"/>
    <mergeCell ref="K300:L300"/>
    <mergeCell ref="M300:N300"/>
    <mergeCell ref="O300:P300"/>
    <mergeCell ref="Q300:R300"/>
    <mergeCell ref="S300:T300"/>
    <mergeCell ref="Z300:AA300"/>
    <mergeCell ref="AB300:AC300"/>
    <mergeCell ref="AD300:AE300"/>
    <mergeCell ref="AN302:AO302"/>
    <mergeCell ref="AP302:AQ302"/>
    <mergeCell ref="AR302:AS302"/>
    <mergeCell ref="AT302:AU302"/>
    <mergeCell ref="AV302:AW302"/>
    <mergeCell ref="AX302:AY302"/>
    <mergeCell ref="AZ302:BA302"/>
    <mergeCell ref="BB302:BC302"/>
    <mergeCell ref="BD302:BE302"/>
    <mergeCell ref="DB301:DC301"/>
    <mergeCell ref="DD301:DE301"/>
    <mergeCell ref="DF301:DG301"/>
    <mergeCell ref="DH301:DI301"/>
    <mergeCell ref="DJ301:DK301"/>
    <mergeCell ref="DL301:DM301"/>
    <mergeCell ref="DN301:DO301"/>
    <mergeCell ref="DP301:DQ301"/>
    <mergeCell ref="DR301:DS301"/>
    <mergeCell ref="CJ301:CK301"/>
    <mergeCell ref="CL301:CM301"/>
    <mergeCell ref="CN301:CO301"/>
    <mergeCell ref="CP301:CQ301"/>
    <mergeCell ref="CR301:CS301"/>
    <mergeCell ref="CT301:CU301"/>
    <mergeCell ref="CV301:CW301"/>
    <mergeCell ref="CX301:CY301"/>
    <mergeCell ref="CZ301:DA301"/>
    <mergeCell ref="BR301:BS301"/>
    <mergeCell ref="BT301:BU301"/>
    <mergeCell ref="BV301:BW301"/>
    <mergeCell ref="BX301:BY301"/>
    <mergeCell ref="BZ301:CA301"/>
    <mergeCell ref="CB301:CC301"/>
    <mergeCell ref="CD301:CE301"/>
    <mergeCell ref="CF301:CG301"/>
    <mergeCell ref="CH301:CI301"/>
    <mergeCell ref="AZ301:BA301"/>
    <mergeCell ref="BB301:BC301"/>
    <mergeCell ref="BD301:BE301"/>
    <mergeCell ref="BF301:BG301"/>
    <mergeCell ref="BH301:BI301"/>
    <mergeCell ref="BJ301:BK301"/>
    <mergeCell ref="BL301:BM301"/>
    <mergeCell ref="BN301:BO301"/>
    <mergeCell ref="BP301:BQ301"/>
    <mergeCell ref="DH302:DI302"/>
    <mergeCell ref="DJ302:DK302"/>
    <mergeCell ref="DL302:DM302"/>
    <mergeCell ref="DN302:DO302"/>
    <mergeCell ref="DP302:DQ302"/>
    <mergeCell ref="DR302:DS302"/>
    <mergeCell ref="AT303:AU303"/>
    <mergeCell ref="AV303:AW303"/>
    <mergeCell ref="AX303:AY303"/>
    <mergeCell ref="AZ303:BA303"/>
    <mergeCell ref="BB303:BC303"/>
    <mergeCell ref="BD303:BE303"/>
    <mergeCell ref="BF303:BG303"/>
    <mergeCell ref="BH303:BI303"/>
    <mergeCell ref="BJ303:BK303"/>
    <mergeCell ref="I303:J303"/>
    <mergeCell ref="K303:L303"/>
    <mergeCell ref="M303:N303"/>
    <mergeCell ref="O303:P303"/>
    <mergeCell ref="Q303:R303"/>
    <mergeCell ref="S303:T303"/>
    <mergeCell ref="Z303:AA303"/>
    <mergeCell ref="AB303:AC303"/>
    <mergeCell ref="AD303:AE303"/>
    <mergeCell ref="AF303:AG303"/>
    <mergeCell ref="AH303:AI303"/>
    <mergeCell ref="AJ303:AK303"/>
    <mergeCell ref="AL303:AM303"/>
    <mergeCell ref="AN303:AO303"/>
    <mergeCell ref="AP303:AQ303"/>
    <mergeCell ref="AR303:AS303"/>
    <mergeCell ref="CP302:CQ302"/>
    <mergeCell ref="CR302:CS302"/>
    <mergeCell ref="CT302:CU302"/>
    <mergeCell ref="CV302:CW302"/>
    <mergeCell ref="CX302:CY302"/>
    <mergeCell ref="CZ302:DA302"/>
    <mergeCell ref="DB302:DC302"/>
    <mergeCell ref="DD302:DE302"/>
    <mergeCell ref="BX302:BY302"/>
    <mergeCell ref="BZ302:CA302"/>
    <mergeCell ref="CB302:CC302"/>
    <mergeCell ref="CD302:CE302"/>
    <mergeCell ref="CF302:CG302"/>
    <mergeCell ref="CH302:CI302"/>
    <mergeCell ref="CJ302:CK302"/>
    <mergeCell ref="CL302:CM302"/>
    <mergeCell ref="CN302:CO302"/>
    <mergeCell ref="BF302:BG302"/>
    <mergeCell ref="BH302:BI302"/>
    <mergeCell ref="BJ302:BK302"/>
    <mergeCell ref="BL302:BM302"/>
    <mergeCell ref="BN302:BO302"/>
    <mergeCell ref="BP302:BQ302"/>
    <mergeCell ref="BR302:BS302"/>
    <mergeCell ref="BT302:BU302"/>
    <mergeCell ref="BV302:BW302"/>
    <mergeCell ref="I302:J302"/>
    <mergeCell ref="K302:L302"/>
    <mergeCell ref="M302:N302"/>
    <mergeCell ref="O302:P302"/>
    <mergeCell ref="Q302:R302"/>
    <mergeCell ref="S302:T302"/>
    <mergeCell ref="Z302:AA302"/>
    <mergeCell ref="AB302:AC302"/>
    <mergeCell ref="AD302:AE302"/>
    <mergeCell ref="AF302:AG302"/>
    <mergeCell ref="AH302:AI302"/>
    <mergeCell ref="AJ302:AK302"/>
    <mergeCell ref="AL302:AM302"/>
    <mergeCell ref="AZ304:BA304"/>
    <mergeCell ref="BB304:BC304"/>
    <mergeCell ref="BD304:BE304"/>
    <mergeCell ref="BF304:BG304"/>
    <mergeCell ref="BH304:BI304"/>
    <mergeCell ref="BJ304:BK304"/>
    <mergeCell ref="BL304:BM304"/>
    <mergeCell ref="BN304:BO304"/>
    <mergeCell ref="BP304:BQ304"/>
    <mergeCell ref="DH305:DI305"/>
    <mergeCell ref="DJ305:DK305"/>
    <mergeCell ref="DL305:DM305"/>
    <mergeCell ref="DN305:DO305"/>
    <mergeCell ref="I304:J304"/>
    <mergeCell ref="K304:L304"/>
    <mergeCell ref="M304:N304"/>
    <mergeCell ref="O304:P304"/>
    <mergeCell ref="Q304:R304"/>
    <mergeCell ref="S304:T304"/>
    <mergeCell ref="Z304:AA304"/>
    <mergeCell ref="AB304:AC304"/>
    <mergeCell ref="AD304:AE304"/>
    <mergeCell ref="AF304:AG304"/>
    <mergeCell ref="AH304:AI304"/>
    <mergeCell ref="AJ304:AK304"/>
    <mergeCell ref="AL304:AM304"/>
    <mergeCell ref="AN304:AO304"/>
    <mergeCell ref="AP304:AQ304"/>
    <mergeCell ref="AR304:AS304"/>
    <mergeCell ref="AT304:AU304"/>
    <mergeCell ref="AV304:AW304"/>
    <mergeCell ref="AX304:AY304"/>
    <mergeCell ref="BX305:BY305"/>
    <mergeCell ref="BZ305:CA305"/>
    <mergeCell ref="CB305:CC305"/>
    <mergeCell ref="CD305:CE305"/>
    <mergeCell ref="CF305:CG305"/>
    <mergeCell ref="CH305:CI305"/>
    <mergeCell ref="CJ305:CK305"/>
    <mergeCell ref="CL305:CM305"/>
    <mergeCell ref="CN305:CO305"/>
    <mergeCell ref="BF305:BG305"/>
    <mergeCell ref="BH305:BI305"/>
    <mergeCell ref="BJ305:BK305"/>
    <mergeCell ref="BL305:BM305"/>
    <mergeCell ref="BN305:BO305"/>
    <mergeCell ref="BP305:BQ305"/>
    <mergeCell ref="BR305:BS305"/>
    <mergeCell ref="BT305:BU305"/>
    <mergeCell ref="BV305:BW305"/>
    <mergeCell ref="I305:J305"/>
    <mergeCell ref="K305:L305"/>
    <mergeCell ref="M305:N305"/>
    <mergeCell ref="O305:P305"/>
    <mergeCell ref="Q305:R305"/>
    <mergeCell ref="BR304:BS304"/>
    <mergeCell ref="BT304:BU304"/>
    <mergeCell ref="BV304:BW304"/>
    <mergeCell ref="BX304:BY304"/>
    <mergeCell ref="BZ304:CA304"/>
    <mergeCell ref="CB304:CC304"/>
    <mergeCell ref="CZ304:DA304"/>
    <mergeCell ref="CD304:CE304"/>
    <mergeCell ref="CF304:CG304"/>
    <mergeCell ref="AJ307:AK307"/>
    <mergeCell ref="AL307:AM307"/>
    <mergeCell ref="AZ308:BA308"/>
    <mergeCell ref="BX308:BY308"/>
    <mergeCell ref="S305:T305"/>
    <mergeCell ref="Z305:AA305"/>
    <mergeCell ref="AB305:AC305"/>
    <mergeCell ref="AD305:AE305"/>
    <mergeCell ref="AF305:AG305"/>
    <mergeCell ref="AH305:AI305"/>
    <mergeCell ref="AJ305:AK305"/>
    <mergeCell ref="AL305:AM305"/>
    <mergeCell ref="AN305:AO305"/>
    <mergeCell ref="AP305:AQ305"/>
    <mergeCell ref="AR305:AS305"/>
    <mergeCell ref="AT305:AU305"/>
    <mergeCell ref="AV305:AW305"/>
    <mergeCell ref="AX305:AY305"/>
    <mergeCell ref="AZ305:BA305"/>
    <mergeCell ref="BB305:BC305"/>
    <mergeCell ref="BD305:BE305"/>
    <mergeCell ref="DD306:DE306"/>
    <mergeCell ref="DF306:DG306"/>
    <mergeCell ref="DH306:DI306"/>
    <mergeCell ref="DJ306:DK306"/>
    <mergeCell ref="DL306:DM306"/>
    <mergeCell ref="CD306:CE306"/>
    <mergeCell ref="CF306:CG306"/>
    <mergeCell ref="CH306:CI306"/>
    <mergeCell ref="CJ306:CK306"/>
    <mergeCell ref="CL306:CM306"/>
    <mergeCell ref="CN306:CO306"/>
    <mergeCell ref="CP306:CQ306"/>
    <mergeCell ref="CR306:CS306"/>
    <mergeCell ref="CT306:CU306"/>
    <mergeCell ref="BL306:BM306"/>
    <mergeCell ref="BN306:BO306"/>
    <mergeCell ref="BP306:BQ306"/>
    <mergeCell ref="BR306:BS306"/>
    <mergeCell ref="BT306:BU306"/>
    <mergeCell ref="BV306:BW306"/>
    <mergeCell ref="BX306:BY306"/>
    <mergeCell ref="BZ306:CA306"/>
    <mergeCell ref="CB306:CC306"/>
    <mergeCell ref="AT306:AU306"/>
    <mergeCell ref="AV306:AW306"/>
    <mergeCell ref="AX306:AY306"/>
    <mergeCell ref="AZ306:BA306"/>
    <mergeCell ref="BB306:BC306"/>
    <mergeCell ref="BD306:BE306"/>
    <mergeCell ref="BF306:BG306"/>
    <mergeCell ref="BH306:BI306"/>
    <mergeCell ref="BJ306:BK306"/>
    <mergeCell ref="CR305:CS305"/>
    <mergeCell ref="CT305:CU305"/>
    <mergeCell ref="CV305:CW305"/>
    <mergeCell ref="CX305:CY305"/>
    <mergeCell ref="CZ305:DA305"/>
    <mergeCell ref="DB305:DC305"/>
    <mergeCell ref="DD305:DE305"/>
    <mergeCell ref="DF305:DG305"/>
    <mergeCell ref="CP305:CQ305"/>
    <mergeCell ref="DH307:DI307"/>
    <mergeCell ref="DJ307:DK307"/>
    <mergeCell ref="Z310:AA310"/>
    <mergeCell ref="AB310:AC310"/>
    <mergeCell ref="AD310:AE310"/>
    <mergeCell ref="AF310:AG310"/>
    <mergeCell ref="AH310:AI310"/>
    <mergeCell ref="AJ310:AK310"/>
    <mergeCell ref="AL310:AM310"/>
    <mergeCell ref="AN310:AO310"/>
    <mergeCell ref="AP310:AQ310"/>
    <mergeCell ref="AR310:AS310"/>
    <mergeCell ref="AT310:AU310"/>
    <mergeCell ref="AV310:AW310"/>
    <mergeCell ref="AX310:AY310"/>
    <mergeCell ref="I306:J306"/>
    <mergeCell ref="K306:L306"/>
    <mergeCell ref="M306:N306"/>
    <mergeCell ref="O306:P306"/>
    <mergeCell ref="Q306:R306"/>
    <mergeCell ref="S306:T306"/>
    <mergeCell ref="Z306:AA306"/>
    <mergeCell ref="AB306:AC306"/>
    <mergeCell ref="AD306:AE306"/>
    <mergeCell ref="AF306:AG306"/>
    <mergeCell ref="AH306:AI306"/>
    <mergeCell ref="AJ306:AK306"/>
    <mergeCell ref="AL306:AM306"/>
    <mergeCell ref="AN306:AO306"/>
    <mergeCell ref="AP306:AQ306"/>
    <mergeCell ref="AR306:AS306"/>
    <mergeCell ref="BB308:BC308"/>
    <mergeCell ref="CT307:CU307"/>
    <mergeCell ref="BR307:BS307"/>
    <mergeCell ref="BT307:BU307"/>
    <mergeCell ref="BV307:BW307"/>
    <mergeCell ref="BX307:BY307"/>
    <mergeCell ref="BZ307:CA307"/>
    <mergeCell ref="CB307:CC307"/>
    <mergeCell ref="CD307:CE307"/>
    <mergeCell ref="CF307:CG307"/>
    <mergeCell ref="CH307:CI307"/>
    <mergeCell ref="AZ307:BA307"/>
    <mergeCell ref="BB307:BC307"/>
    <mergeCell ref="BD307:BE307"/>
    <mergeCell ref="BF307:BG307"/>
    <mergeCell ref="BH307:BI307"/>
    <mergeCell ref="BJ307:BK307"/>
    <mergeCell ref="BL307:BM307"/>
    <mergeCell ref="BN307:BO307"/>
    <mergeCell ref="BP307:BQ307"/>
    <mergeCell ref="BR308:BS308"/>
    <mergeCell ref="BT308:BU308"/>
    <mergeCell ref="BV308:BW308"/>
    <mergeCell ref="BD308:BE308"/>
    <mergeCell ref="I308:J308"/>
    <mergeCell ref="K308:L308"/>
    <mergeCell ref="M308:N308"/>
    <mergeCell ref="O308:P308"/>
    <mergeCell ref="Q308:R308"/>
    <mergeCell ref="S308:T308"/>
    <mergeCell ref="Z308:AA308"/>
    <mergeCell ref="AB308:AC308"/>
    <mergeCell ref="AD308:AE308"/>
    <mergeCell ref="I307:J307"/>
    <mergeCell ref="K307:L307"/>
    <mergeCell ref="AT309:AU309"/>
    <mergeCell ref="AV309:AW309"/>
    <mergeCell ref="AX309:AY309"/>
    <mergeCell ref="AZ309:BA309"/>
    <mergeCell ref="BB309:BC309"/>
    <mergeCell ref="BD309:BE309"/>
    <mergeCell ref="BF309:BG309"/>
    <mergeCell ref="BH309:BI309"/>
    <mergeCell ref="BJ309:BK309"/>
    <mergeCell ref="AN307:AO307"/>
    <mergeCell ref="AP307:AQ307"/>
    <mergeCell ref="AR307:AS307"/>
    <mergeCell ref="AT307:AU307"/>
    <mergeCell ref="AV307:AW307"/>
    <mergeCell ref="AX307:AY307"/>
    <mergeCell ref="BN308:BO308"/>
    <mergeCell ref="BP308:BQ308"/>
    <mergeCell ref="BZ308:CA308"/>
    <mergeCell ref="CB308:CC308"/>
    <mergeCell ref="CD308:CE308"/>
    <mergeCell ref="CF308:CG308"/>
    <mergeCell ref="CH308:CI308"/>
    <mergeCell ref="CJ308:CK308"/>
    <mergeCell ref="CL308:CM308"/>
    <mergeCell ref="CN308:CO308"/>
    <mergeCell ref="BF308:BG308"/>
    <mergeCell ref="BH308:BI308"/>
    <mergeCell ref="BJ308:BK308"/>
    <mergeCell ref="BL308:BM308"/>
    <mergeCell ref="I309:J309"/>
    <mergeCell ref="K309:L309"/>
    <mergeCell ref="M309:N309"/>
    <mergeCell ref="O309:P309"/>
    <mergeCell ref="Q309:R309"/>
    <mergeCell ref="S309:T309"/>
    <mergeCell ref="Z309:AA309"/>
    <mergeCell ref="AB309:AC309"/>
    <mergeCell ref="AD309:AE309"/>
    <mergeCell ref="AF309:AG309"/>
    <mergeCell ref="AH309:AI309"/>
    <mergeCell ref="AJ309:AK309"/>
    <mergeCell ref="AL309:AM309"/>
    <mergeCell ref="AN309:AO309"/>
    <mergeCell ref="AP309:AQ309"/>
    <mergeCell ref="AR309:AS309"/>
    <mergeCell ref="AF308:AG308"/>
    <mergeCell ref="AH308:AI308"/>
    <mergeCell ref="AJ308:AK308"/>
    <mergeCell ref="AL308:AM308"/>
    <mergeCell ref="AN308:AO308"/>
    <mergeCell ref="AP308:AQ308"/>
    <mergeCell ref="AR308:AS308"/>
    <mergeCell ref="AT308:AU308"/>
    <mergeCell ref="AV308:AW308"/>
    <mergeCell ref="AX308:AY308"/>
    <mergeCell ref="M307:N307"/>
    <mergeCell ref="O307:P307"/>
    <mergeCell ref="Q307:R307"/>
    <mergeCell ref="S307:T307"/>
    <mergeCell ref="Z307:AA307"/>
    <mergeCell ref="AB307:AC307"/>
    <mergeCell ref="AD307:AE307"/>
    <mergeCell ref="AF307:AG307"/>
    <mergeCell ref="AH307:AI307"/>
    <mergeCell ref="I311:J311"/>
    <mergeCell ref="K311:L311"/>
    <mergeCell ref="M311:N311"/>
    <mergeCell ref="O311:P311"/>
    <mergeCell ref="Q311:R311"/>
    <mergeCell ref="S311:T311"/>
    <mergeCell ref="Z311:AA311"/>
    <mergeCell ref="AB311:AC311"/>
    <mergeCell ref="AD311:AE311"/>
    <mergeCell ref="AF311:AG311"/>
    <mergeCell ref="AH311:AI311"/>
    <mergeCell ref="AJ311:AK311"/>
    <mergeCell ref="AL311:AM311"/>
    <mergeCell ref="AN311:AO311"/>
    <mergeCell ref="AP311:AQ311"/>
    <mergeCell ref="AR311:AS311"/>
    <mergeCell ref="AT311:AU311"/>
    <mergeCell ref="AV311:AW311"/>
    <mergeCell ref="AX311:AY311"/>
    <mergeCell ref="AZ311:BA311"/>
    <mergeCell ref="BB311:BC311"/>
    <mergeCell ref="BD311:BE311"/>
    <mergeCell ref="DB310:DC310"/>
    <mergeCell ref="DD310:DE310"/>
    <mergeCell ref="DF310:DG310"/>
    <mergeCell ref="DH310:DI310"/>
    <mergeCell ref="DJ310:DK310"/>
    <mergeCell ref="DL310:DM310"/>
    <mergeCell ref="DN310:DO310"/>
    <mergeCell ref="DP310:DQ310"/>
    <mergeCell ref="DR310:DS310"/>
    <mergeCell ref="CJ310:CK310"/>
    <mergeCell ref="CL310:CM310"/>
    <mergeCell ref="CN310:CO310"/>
    <mergeCell ref="CP310:CQ310"/>
    <mergeCell ref="CR310:CS310"/>
    <mergeCell ref="CT310:CU310"/>
    <mergeCell ref="CV310:CW310"/>
    <mergeCell ref="CX310:CY310"/>
    <mergeCell ref="CZ310:DA310"/>
    <mergeCell ref="BR310:BS310"/>
    <mergeCell ref="BT310:BU310"/>
    <mergeCell ref="BV310:BW310"/>
    <mergeCell ref="BX310:BY310"/>
    <mergeCell ref="BZ310:CA310"/>
    <mergeCell ref="CB310:CC310"/>
    <mergeCell ref="CD310:CE310"/>
    <mergeCell ref="CF310:CG310"/>
    <mergeCell ref="CH310:CI310"/>
    <mergeCell ref="AZ310:BA310"/>
    <mergeCell ref="BB310:BC310"/>
    <mergeCell ref="BD310:BE310"/>
    <mergeCell ref="BF310:BG310"/>
    <mergeCell ref="BH310:BI310"/>
    <mergeCell ref="BJ310:BK310"/>
    <mergeCell ref="BL310:BM310"/>
    <mergeCell ref="BN310:BO310"/>
    <mergeCell ref="BP310:BQ310"/>
    <mergeCell ref="I310:J310"/>
    <mergeCell ref="K310:L310"/>
    <mergeCell ref="M310:N310"/>
    <mergeCell ref="O310:P310"/>
    <mergeCell ref="Q310:R310"/>
    <mergeCell ref="S310:T310"/>
    <mergeCell ref="I313:J313"/>
    <mergeCell ref="K313:L313"/>
    <mergeCell ref="M313:N313"/>
    <mergeCell ref="O313:P313"/>
    <mergeCell ref="Q313:R313"/>
    <mergeCell ref="S313:T313"/>
    <mergeCell ref="Z313:AA313"/>
    <mergeCell ref="AB313:AC313"/>
    <mergeCell ref="AD313:AE313"/>
    <mergeCell ref="AF313:AG313"/>
    <mergeCell ref="AH313:AI313"/>
    <mergeCell ref="AJ313:AK313"/>
    <mergeCell ref="AL313:AM313"/>
    <mergeCell ref="AN313:AO313"/>
    <mergeCell ref="AP313:AQ313"/>
    <mergeCell ref="AR313:AS313"/>
    <mergeCell ref="AT313:AU313"/>
    <mergeCell ref="AV313:AW313"/>
    <mergeCell ref="AX313:AY313"/>
    <mergeCell ref="CD312:CE312"/>
    <mergeCell ref="CF312:CG312"/>
    <mergeCell ref="CH312:CI312"/>
    <mergeCell ref="CJ312:CK312"/>
    <mergeCell ref="CL312:CM312"/>
    <mergeCell ref="CN312:CO312"/>
    <mergeCell ref="CP312:CQ312"/>
    <mergeCell ref="CR312:CS312"/>
    <mergeCell ref="CT312:CU312"/>
    <mergeCell ref="BL312:BM312"/>
    <mergeCell ref="BN312:BO312"/>
    <mergeCell ref="BP312:BQ312"/>
    <mergeCell ref="BR312:BS312"/>
    <mergeCell ref="BT312:BU312"/>
    <mergeCell ref="BV312:BW312"/>
    <mergeCell ref="BX312:BY312"/>
    <mergeCell ref="BZ312:CA312"/>
    <mergeCell ref="CB312:CC312"/>
    <mergeCell ref="AT312:AU312"/>
    <mergeCell ref="AV312:AW312"/>
    <mergeCell ref="AX312:AY312"/>
    <mergeCell ref="AZ312:BA312"/>
    <mergeCell ref="BB312:BC312"/>
    <mergeCell ref="BD312:BE312"/>
    <mergeCell ref="BF312:BG312"/>
    <mergeCell ref="BH312:BI312"/>
    <mergeCell ref="BJ312:BK312"/>
    <mergeCell ref="I312:J312"/>
    <mergeCell ref="K312:L312"/>
    <mergeCell ref="M312:N312"/>
    <mergeCell ref="O312:P312"/>
    <mergeCell ref="Q312:R312"/>
    <mergeCell ref="S312:T312"/>
    <mergeCell ref="Z312:AA312"/>
    <mergeCell ref="AB312:AC312"/>
    <mergeCell ref="AD312:AE312"/>
    <mergeCell ref="AF312:AG312"/>
    <mergeCell ref="AH312:AI312"/>
    <mergeCell ref="AJ312:AK312"/>
    <mergeCell ref="AL312:AM312"/>
    <mergeCell ref="AN312:AO312"/>
    <mergeCell ref="AP312:AQ312"/>
    <mergeCell ref="AR312:AS312"/>
    <mergeCell ref="AZ313:BA313"/>
    <mergeCell ref="BB313:BC313"/>
    <mergeCell ref="I315:J315"/>
    <mergeCell ref="K315:L315"/>
    <mergeCell ref="M315:N315"/>
    <mergeCell ref="O315:P315"/>
    <mergeCell ref="Q315:R315"/>
    <mergeCell ref="S315:T315"/>
    <mergeCell ref="Z315:AA315"/>
    <mergeCell ref="AB315:AC315"/>
    <mergeCell ref="AD315:AE315"/>
    <mergeCell ref="AF315:AG315"/>
    <mergeCell ref="AH315:AI315"/>
    <mergeCell ref="AJ315:AK315"/>
    <mergeCell ref="AL315:AM315"/>
    <mergeCell ref="AN315:AO315"/>
    <mergeCell ref="AP315:AQ315"/>
    <mergeCell ref="AR315:AS315"/>
    <mergeCell ref="CP314:CQ314"/>
    <mergeCell ref="CR314:CS314"/>
    <mergeCell ref="CT314:CU314"/>
    <mergeCell ref="CV314:CW314"/>
    <mergeCell ref="CX314:CY314"/>
    <mergeCell ref="CZ314:DA314"/>
    <mergeCell ref="DB314:DC314"/>
    <mergeCell ref="DD314:DE314"/>
    <mergeCell ref="DF314:DG314"/>
    <mergeCell ref="BX314:BY314"/>
    <mergeCell ref="BZ314:CA314"/>
    <mergeCell ref="CB314:CC314"/>
    <mergeCell ref="CD314:CE314"/>
    <mergeCell ref="CF314:CG314"/>
    <mergeCell ref="CH314:CI314"/>
    <mergeCell ref="CJ314:CK314"/>
    <mergeCell ref="CL314:CM314"/>
    <mergeCell ref="CN314:CO314"/>
    <mergeCell ref="BF314:BG314"/>
    <mergeCell ref="BH314:BI314"/>
    <mergeCell ref="BJ314:BK314"/>
    <mergeCell ref="BL314:BM314"/>
    <mergeCell ref="BN314:BO314"/>
    <mergeCell ref="BP314:BQ314"/>
    <mergeCell ref="BR314:BS314"/>
    <mergeCell ref="BT314:BU314"/>
    <mergeCell ref="BV314:BW314"/>
    <mergeCell ref="I314:J314"/>
    <mergeCell ref="K314:L314"/>
    <mergeCell ref="M314:N314"/>
    <mergeCell ref="O314:P314"/>
    <mergeCell ref="Q314:R314"/>
    <mergeCell ref="S314:T314"/>
    <mergeCell ref="Z314:AA314"/>
    <mergeCell ref="AB314:AC314"/>
    <mergeCell ref="AD314:AE314"/>
    <mergeCell ref="AF314:AG314"/>
    <mergeCell ref="AH314:AI314"/>
    <mergeCell ref="AJ314:AK314"/>
    <mergeCell ref="AL314:AM314"/>
    <mergeCell ref="AN314:AO314"/>
    <mergeCell ref="AP314:AQ314"/>
    <mergeCell ref="AR314:AS314"/>
    <mergeCell ref="AT314:AU314"/>
    <mergeCell ref="AV314:AW314"/>
    <mergeCell ref="AX314:AY314"/>
    <mergeCell ref="AZ314:BA314"/>
    <mergeCell ref="BB314:BC314"/>
    <mergeCell ref="I316:J316"/>
    <mergeCell ref="K316:L316"/>
    <mergeCell ref="M316:N316"/>
    <mergeCell ref="O316:P316"/>
    <mergeCell ref="Q316:R316"/>
    <mergeCell ref="S316:T316"/>
    <mergeCell ref="Z316:AA316"/>
    <mergeCell ref="AB316:AC316"/>
    <mergeCell ref="AD316:AE316"/>
    <mergeCell ref="AF316:AG316"/>
    <mergeCell ref="AH316:AI316"/>
    <mergeCell ref="AJ316:AK316"/>
    <mergeCell ref="AL316:AM316"/>
    <mergeCell ref="AN316:AO316"/>
    <mergeCell ref="AR316:AS316"/>
    <mergeCell ref="AT316:AU316"/>
    <mergeCell ref="AV316:AW316"/>
    <mergeCell ref="AX316:AY316"/>
    <mergeCell ref="BF317:BG317"/>
    <mergeCell ref="BH317:BI317"/>
    <mergeCell ref="BJ317:BK317"/>
    <mergeCell ref="BL317:BM317"/>
    <mergeCell ref="BN317:BO317"/>
    <mergeCell ref="BP317:BQ317"/>
    <mergeCell ref="BR317:BS317"/>
    <mergeCell ref="BT317:BU317"/>
    <mergeCell ref="BV317:BW317"/>
    <mergeCell ref="CJ316:CK316"/>
    <mergeCell ref="CL316:CM316"/>
    <mergeCell ref="CN316:CO316"/>
    <mergeCell ref="CV315:CW315"/>
    <mergeCell ref="CX315:CY315"/>
    <mergeCell ref="CZ315:DA315"/>
    <mergeCell ref="CD315:CE315"/>
    <mergeCell ref="CF315:CG315"/>
    <mergeCell ref="CH315:CI315"/>
    <mergeCell ref="CJ315:CK315"/>
    <mergeCell ref="CL315:CM315"/>
    <mergeCell ref="CN315:CO315"/>
    <mergeCell ref="CP315:CQ315"/>
    <mergeCell ref="CR315:CS315"/>
    <mergeCell ref="CT315:CU315"/>
    <mergeCell ref="BL315:BM315"/>
    <mergeCell ref="BN315:BO315"/>
    <mergeCell ref="BP315:BQ315"/>
    <mergeCell ref="BR315:BS315"/>
    <mergeCell ref="BT315:BU315"/>
    <mergeCell ref="BV315:BW315"/>
    <mergeCell ref="BX315:BY315"/>
    <mergeCell ref="BZ315:CA315"/>
    <mergeCell ref="CB315:CC315"/>
    <mergeCell ref="AT315:AU315"/>
    <mergeCell ref="AV315:AW315"/>
    <mergeCell ref="AX315:AY315"/>
    <mergeCell ref="AZ315:BA315"/>
    <mergeCell ref="BB315:BC315"/>
    <mergeCell ref="BD315:BE315"/>
    <mergeCell ref="BF315:BG315"/>
    <mergeCell ref="BH315:BI315"/>
    <mergeCell ref="BJ315:BK315"/>
    <mergeCell ref="CP316:CQ316"/>
    <mergeCell ref="BX317:BY317"/>
    <mergeCell ref="BZ317:CA317"/>
    <mergeCell ref="CB317:CC317"/>
    <mergeCell ref="AZ317:BA317"/>
    <mergeCell ref="BB317:BC317"/>
    <mergeCell ref="BD317:BE317"/>
    <mergeCell ref="AZ318:BA318"/>
    <mergeCell ref="BB318:BC318"/>
    <mergeCell ref="BD318:BE318"/>
    <mergeCell ref="BF318:BG318"/>
    <mergeCell ref="BH318:BI318"/>
    <mergeCell ref="I319:J319"/>
    <mergeCell ref="K319:L319"/>
    <mergeCell ref="M319:N319"/>
    <mergeCell ref="O319:P319"/>
    <mergeCell ref="Q319:R319"/>
    <mergeCell ref="S319:T319"/>
    <mergeCell ref="Z319:AA319"/>
    <mergeCell ref="AB319:AC319"/>
    <mergeCell ref="AD319:AE319"/>
    <mergeCell ref="AF319:AG319"/>
    <mergeCell ref="AH319:AI319"/>
    <mergeCell ref="AJ319:AK319"/>
    <mergeCell ref="AL319:AM319"/>
    <mergeCell ref="AN319:AO319"/>
    <mergeCell ref="AP319:AQ319"/>
    <mergeCell ref="AR319:AS319"/>
    <mergeCell ref="AT319:AU319"/>
    <mergeCell ref="AV319:AW319"/>
    <mergeCell ref="AX319:AY319"/>
    <mergeCell ref="I318:J318"/>
    <mergeCell ref="M318:N318"/>
    <mergeCell ref="O318:P318"/>
    <mergeCell ref="Q318:R318"/>
    <mergeCell ref="S318:T318"/>
    <mergeCell ref="Z318:AA318"/>
    <mergeCell ref="AB318:AC318"/>
    <mergeCell ref="AD318:AE318"/>
    <mergeCell ref="AF318:AG318"/>
    <mergeCell ref="AH318:AI318"/>
    <mergeCell ref="AJ318:AK318"/>
    <mergeCell ref="AL318:AM318"/>
    <mergeCell ref="AN318:AO318"/>
    <mergeCell ref="AP318:AQ318"/>
    <mergeCell ref="AR318:AS318"/>
    <mergeCell ref="AT318:AU318"/>
    <mergeCell ref="AV318:AW318"/>
    <mergeCell ref="AX318:AY318"/>
    <mergeCell ref="AP322:AQ322"/>
    <mergeCell ref="AR322:AS322"/>
    <mergeCell ref="AT322:AU322"/>
    <mergeCell ref="AV322:AW322"/>
    <mergeCell ref="AX322:AY322"/>
    <mergeCell ref="AR321:AS321"/>
    <mergeCell ref="AT321:AU321"/>
    <mergeCell ref="AV321:AW321"/>
    <mergeCell ref="AX321:AY321"/>
    <mergeCell ref="AV320:AW320"/>
    <mergeCell ref="M321:N321"/>
    <mergeCell ref="O321:P321"/>
    <mergeCell ref="Q321:R321"/>
    <mergeCell ref="S321:T321"/>
    <mergeCell ref="Z321:AA321"/>
    <mergeCell ref="AB321:AC321"/>
    <mergeCell ref="AD321:AE321"/>
    <mergeCell ref="AF321:AG321"/>
    <mergeCell ref="AH321:AI321"/>
    <mergeCell ref="AJ321:AK321"/>
    <mergeCell ref="AL321:AM321"/>
    <mergeCell ref="AN321:AO321"/>
    <mergeCell ref="AP321:AQ321"/>
    <mergeCell ref="I317:J317"/>
    <mergeCell ref="K317:L317"/>
    <mergeCell ref="M317:N317"/>
    <mergeCell ref="O317:P317"/>
    <mergeCell ref="Q317:R317"/>
    <mergeCell ref="S317:T317"/>
    <mergeCell ref="Z317:AA317"/>
    <mergeCell ref="AB317:AC317"/>
    <mergeCell ref="AD317:AE317"/>
    <mergeCell ref="AF317:AG317"/>
    <mergeCell ref="AH317:AI317"/>
    <mergeCell ref="AJ317:AK317"/>
    <mergeCell ref="AL317:AM317"/>
    <mergeCell ref="AN317:AO317"/>
    <mergeCell ref="AP317:AQ317"/>
    <mergeCell ref="AR317:AS317"/>
    <mergeCell ref="AT317:AU317"/>
    <mergeCell ref="AV317:AW317"/>
    <mergeCell ref="AX317:AY317"/>
    <mergeCell ref="AP316:AQ316"/>
    <mergeCell ref="DV323:DW323"/>
    <mergeCell ref="I324:J324"/>
    <mergeCell ref="K324:L324"/>
    <mergeCell ref="M324:N324"/>
    <mergeCell ref="O324:P324"/>
    <mergeCell ref="Q324:R324"/>
    <mergeCell ref="S324:T324"/>
    <mergeCell ref="Z324:AA324"/>
    <mergeCell ref="AB324:AC324"/>
    <mergeCell ref="AD324:AE324"/>
    <mergeCell ref="AF324:AG324"/>
    <mergeCell ref="AH324:AI324"/>
    <mergeCell ref="AJ324:AK324"/>
    <mergeCell ref="AL324:AM324"/>
    <mergeCell ref="AN324:AO324"/>
    <mergeCell ref="AP324:AQ324"/>
    <mergeCell ref="AR324:AS324"/>
    <mergeCell ref="CP323:CQ323"/>
    <mergeCell ref="CR323:CS323"/>
    <mergeCell ref="CT323:CU323"/>
    <mergeCell ref="CV323:CW323"/>
    <mergeCell ref="CX323:CY323"/>
    <mergeCell ref="CZ323:DA323"/>
    <mergeCell ref="DB323:DC323"/>
    <mergeCell ref="DD323:DE323"/>
    <mergeCell ref="DF323:DG323"/>
    <mergeCell ref="BX323:BY323"/>
    <mergeCell ref="BZ323:CA323"/>
    <mergeCell ref="CB323:CC323"/>
    <mergeCell ref="CD323:CE323"/>
    <mergeCell ref="CF323:CG323"/>
    <mergeCell ref="CH323:CI323"/>
    <mergeCell ref="CJ323:CK323"/>
    <mergeCell ref="CL323:CM323"/>
    <mergeCell ref="DV324:DW324"/>
    <mergeCell ref="DH323:DI323"/>
    <mergeCell ref="DJ323:DK323"/>
    <mergeCell ref="DL323:DM323"/>
    <mergeCell ref="DN323:DO323"/>
    <mergeCell ref="BV324:BW324"/>
    <mergeCell ref="BB321:BC321"/>
    <mergeCell ref="BD321:BE321"/>
    <mergeCell ref="CB324:CC324"/>
    <mergeCell ref="AT324:AU324"/>
    <mergeCell ref="AV324:AW324"/>
    <mergeCell ref="I320:J320"/>
    <mergeCell ref="K320:L320"/>
    <mergeCell ref="M320:N320"/>
    <mergeCell ref="O320:P320"/>
    <mergeCell ref="Q320:R320"/>
    <mergeCell ref="S320:T320"/>
    <mergeCell ref="Z320:AA320"/>
    <mergeCell ref="AB320:AC320"/>
    <mergeCell ref="AD320:AE320"/>
    <mergeCell ref="AF320:AG320"/>
    <mergeCell ref="AH320:AI320"/>
    <mergeCell ref="AJ320:AK320"/>
    <mergeCell ref="AL320:AM320"/>
    <mergeCell ref="AN320:AO320"/>
    <mergeCell ref="K318:L318"/>
    <mergeCell ref="O322:P322"/>
    <mergeCell ref="Q322:R322"/>
    <mergeCell ref="S322:T322"/>
    <mergeCell ref="I323:J323"/>
    <mergeCell ref="K323:L323"/>
    <mergeCell ref="M323:N323"/>
    <mergeCell ref="O323:P323"/>
    <mergeCell ref="Q323:R323"/>
    <mergeCell ref="S323:T323"/>
    <mergeCell ref="AP323:AQ323"/>
    <mergeCell ref="AR323:AS323"/>
    <mergeCell ref="K322:L322"/>
    <mergeCell ref="M322:N322"/>
    <mergeCell ref="CH324:CI324"/>
    <mergeCell ref="CJ324:CK324"/>
    <mergeCell ref="CL324:CM324"/>
    <mergeCell ref="CN324:CO324"/>
    <mergeCell ref="CP324:CQ324"/>
    <mergeCell ref="CR324:CS324"/>
    <mergeCell ref="CT324:CU324"/>
    <mergeCell ref="BL324:BM324"/>
    <mergeCell ref="BN324:BO324"/>
    <mergeCell ref="BP324:BQ324"/>
    <mergeCell ref="BJ323:BK323"/>
    <mergeCell ref="BP323:BQ323"/>
    <mergeCell ref="BR323:BS323"/>
    <mergeCell ref="BB319:BC319"/>
    <mergeCell ref="BD319:BE319"/>
    <mergeCell ref="BF319:BG319"/>
    <mergeCell ref="BH319:BI319"/>
    <mergeCell ref="BJ319:BK319"/>
    <mergeCell ref="BL319:BM319"/>
    <mergeCell ref="BN319:BO319"/>
    <mergeCell ref="BP319:BQ319"/>
    <mergeCell ref="BJ321:BK321"/>
    <mergeCell ref="AX320:AY320"/>
    <mergeCell ref="AZ320:BA320"/>
    <mergeCell ref="BD320:BE320"/>
    <mergeCell ref="BR320:BS320"/>
    <mergeCell ref="BT320:BU320"/>
    <mergeCell ref="BV320:BW320"/>
    <mergeCell ref="BB320:BC320"/>
    <mergeCell ref="BX320:BY320"/>
    <mergeCell ref="BZ320:CA320"/>
    <mergeCell ref="CB320:CC320"/>
    <mergeCell ref="CD320:CE320"/>
    <mergeCell ref="CF320:CG320"/>
    <mergeCell ref="I322:J322"/>
    <mergeCell ref="I321:J321"/>
    <mergeCell ref="K321:L321"/>
    <mergeCell ref="BF320:BG320"/>
    <mergeCell ref="BH320:BI320"/>
    <mergeCell ref="AP320:AQ320"/>
    <mergeCell ref="AR320:AS320"/>
    <mergeCell ref="AT320:AU320"/>
    <mergeCell ref="BX319:BY319"/>
    <mergeCell ref="BZ319:CA319"/>
    <mergeCell ref="CD324:CE324"/>
    <mergeCell ref="CF324:CG324"/>
    <mergeCell ref="Z322:AA322"/>
    <mergeCell ref="AB322:AC322"/>
    <mergeCell ref="AD322:AE322"/>
    <mergeCell ref="AF322:AG322"/>
    <mergeCell ref="AH322:AI322"/>
    <mergeCell ref="AJ322:AK322"/>
    <mergeCell ref="AL322:AM322"/>
    <mergeCell ref="AN322:AO322"/>
    <mergeCell ref="BH323:BI323"/>
    <mergeCell ref="DJ324:DK324"/>
    <mergeCell ref="AZ316:BA316"/>
    <mergeCell ref="BB316:BC316"/>
    <mergeCell ref="BD316:BE316"/>
    <mergeCell ref="BF316:BG316"/>
    <mergeCell ref="BH316:BI316"/>
    <mergeCell ref="BJ316:BK316"/>
    <mergeCell ref="BL316:BM316"/>
    <mergeCell ref="BN316:BO316"/>
    <mergeCell ref="BP316:BQ316"/>
    <mergeCell ref="CP317:CQ317"/>
    <mergeCell ref="BP320:BQ320"/>
    <mergeCell ref="CZ318:DA318"/>
    <mergeCell ref="DB318:DC318"/>
    <mergeCell ref="DD318:DE318"/>
    <mergeCell ref="DF318:DG318"/>
    <mergeCell ref="CV318:CW318"/>
    <mergeCell ref="CX318:CY318"/>
    <mergeCell ref="CP318:CQ318"/>
    <mergeCell ref="CF319:CG319"/>
    <mergeCell ref="CH319:CI319"/>
    <mergeCell ref="CR318:CS318"/>
    <mergeCell ref="CT318:CU318"/>
    <mergeCell ref="CB319:CC319"/>
    <mergeCell ref="CD319:CE319"/>
    <mergeCell ref="BL318:BM318"/>
    <mergeCell ref="CJ322:CK322"/>
    <mergeCell ref="CL322:CM322"/>
    <mergeCell ref="CN322:CO322"/>
    <mergeCell ref="BB323:BC323"/>
    <mergeCell ref="BD323:BE323"/>
    <mergeCell ref="DP323:DQ323"/>
    <mergeCell ref="DB319:DC319"/>
    <mergeCell ref="DD319:DE319"/>
    <mergeCell ref="DF319:DG319"/>
    <mergeCell ref="AZ323:BA323"/>
    <mergeCell ref="DH322:DI322"/>
    <mergeCell ref="DJ322:DK322"/>
    <mergeCell ref="DL322:DM322"/>
    <mergeCell ref="DN322:DO322"/>
    <mergeCell ref="DP322:DQ322"/>
    <mergeCell ref="DP319:DQ319"/>
    <mergeCell ref="BT323:BU323"/>
    <mergeCell ref="BV323:BW323"/>
    <mergeCell ref="CN323:CO323"/>
    <mergeCell ref="BF323:BG323"/>
    <mergeCell ref="CT320:CU320"/>
    <mergeCell ref="BV319:BW319"/>
    <mergeCell ref="BR316:BS316"/>
    <mergeCell ref="BT316:BU316"/>
    <mergeCell ref="BV316:BW316"/>
    <mergeCell ref="BX316:BY316"/>
    <mergeCell ref="BZ316:CA316"/>
    <mergeCell ref="CB316:CC316"/>
    <mergeCell ref="CZ316:DA316"/>
    <mergeCell ref="BF322:BG322"/>
    <mergeCell ref="BH322:BI322"/>
    <mergeCell ref="BJ322:BK322"/>
    <mergeCell ref="BL322:BM322"/>
    <mergeCell ref="BN322:BO322"/>
    <mergeCell ref="BP322:BQ322"/>
    <mergeCell ref="CP322:CQ322"/>
    <mergeCell ref="CR322:CS322"/>
    <mergeCell ref="BX318:BY318"/>
    <mergeCell ref="BZ318:CA318"/>
    <mergeCell ref="Z323:AA323"/>
    <mergeCell ref="AB323:AC323"/>
    <mergeCell ref="AD323:AE323"/>
    <mergeCell ref="AF323:AG323"/>
    <mergeCell ref="AH323:AI323"/>
    <mergeCell ref="AJ323:AK323"/>
    <mergeCell ref="AL323:AM323"/>
    <mergeCell ref="AN323:AO323"/>
    <mergeCell ref="CH322:CI322"/>
    <mergeCell ref="AZ322:BA322"/>
    <mergeCell ref="BB322:BC322"/>
    <mergeCell ref="AT323:AU323"/>
    <mergeCell ref="AV323:AW323"/>
    <mergeCell ref="AX323:AY323"/>
    <mergeCell ref="AZ319:BA319"/>
    <mergeCell ref="DN321:DO321"/>
    <mergeCell ref="DP321:DQ321"/>
    <mergeCell ref="DP324:DQ324"/>
    <mergeCell ref="DR324:DS324"/>
    <mergeCell ref="CB322:CC322"/>
    <mergeCell ref="CD322:CE322"/>
    <mergeCell ref="CF322:CG322"/>
    <mergeCell ref="CH320:CI320"/>
    <mergeCell ref="CJ320:CK320"/>
    <mergeCell ref="CL320:CM320"/>
    <mergeCell ref="CN320:CO320"/>
    <mergeCell ref="CN321:CO321"/>
    <mergeCell ref="CP321:CQ321"/>
    <mergeCell ref="CR321:CS321"/>
    <mergeCell ref="CT321:CU321"/>
    <mergeCell ref="BL321:BM321"/>
    <mergeCell ref="BN321:BO321"/>
    <mergeCell ref="BP321:BQ321"/>
    <mergeCell ref="BR321:BS321"/>
    <mergeCell ref="BT321:BU321"/>
    <mergeCell ref="BV321:BW321"/>
    <mergeCell ref="BX321:BY321"/>
    <mergeCell ref="BZ321:CA321"/>
    <mergeCell ref="CB321:CC321"/>
    <mergeCell ref="AZ321:BA321"/>
    <mergeCell ref="BT324:BU324"/>
    <mergeCell ref="BV322:BW322"/>
    <mergeCell ref="BF321:BG321"/>
    <mergeCell ref="BH321:BI321"/>
    <mergeCell ref="AX324:AY324"/>
    <mergeCell ref="AZ324:BA324"/>
    <mergeCell ref="BB324:BC324"/>
    <mergeCell ref="BD324:BE324"/>
    <mergeCell ref="BF324:BG324"/>
    <mergeCell ref="BH324:BI324"/>
    <mergeCell ref="BJ324:BK324"/>
    <mergeCell ref="BD322:BE322"/>
    <mergeCell ref="BR324:BS324"/>
    <mergeCell ref="CL319:CM319"/>
    <mergeCell ref="CN319:CO319"/>
    <mergeCell ref="CP319:CQ319"/>
    <mergeCell ref="CR319:CS319"/>
    <mergeCell ref="CT319:CU319"/>
    <mergeCell ref="BX324:BY324"/>
    <mergeCell ref="BZ324:CA324"/>
    <mergeCell ref="DR323:DS323"/>
    <mergeCell ref="DR319:DS319"/>
    <mergeCell ref="CZ324:DA324"/>
    <mergeCell ref="DB324:DC324"/>
    <mergeCell ref="DD324:DE324"/>
    <mergeCell ref="CV320:CW320"/>
    <mergeCell ref="CX320:CY320"/>
    <mergeCell ref="CZ320:DA320"/>
    <mergeCell ref="DB320:DC320"/>
    <mergeCell ref="DD320:DE320"/>
    <mergeCell ref="DF320:DG320"/>
    <mergeCell ref="CT322:CU322"/>
    <mergeCell ref="BR322:BS322"/>
    <mergeCell ref="BT322:BU322"/>
    <mergeCell ref="BJ320:BK320"/>
    <mergeCell ref="BL320:BM320"/>
    <mergeCell ref="BN320:BO320"/>
    <mergeCell ref="BR319:BS319"/>
    <mergeCell ref="BT319:BU319"/>
    <mergeCell ref="CX322:CY322"/>
    <mergeCell ref="CZ322:DA322"/>
    <mergeCell ref="CV322:CW322"/>
    <mergeCell ref="DH320:DI320"/>
    <mergeCell ref="DF324:DG324"/>
    <mergeCell ref="DH324:DI324"/>
    <mergeCell ref="BL323:BM323"/>
    <mergeCell ref="BN323:BO323"/>
    <mergeCell ref="CX319:CY319"/>
    <mergeCell ref="CZ319:DA319"/>
    <mergeCell ref="CJ319:CK319"/>
    <mergeCell ref="CV324:CW324"/>
    <mergeCell ref="CX324:CY324"/>
    <mergeCell ref="DT322:DU322"/>
    <mergeCell ref="DT323:DU323"/>
    <mergeCell ref="DT324:DU324"/>
    <mergeCell ref="DN324:DO324"/>
    <mergeCell ref="DL324:DM324"/>
    <mergeCell ref="BX322:BY322"/>
    <mergeCell ref="BZ322:CA322"/>
    <mergeCell ref="DV321:DW321"/>
    <mergeCell ref="CV321:CW321"/>
    <mergeCell ref="CX321:CY321"/>
    <mergeCell ref="CZ321:DA321"/>
    <mergeCell ref="DB321:DC321"/>
    <mergeCell ref="DD321:DE321"/>
    <mergeCell ref="DF321:DG321"/>
    <mergeCell ref="DH321:DI321"/>
    <mergeCell ref="DJ321:DK321"/>
    <mergeCell ref="DL321:DM321"/>
    <mergeCell ref="DT319:DU319"/>
    <mergeCell ref="DV319:DW319"/>
    <mergeCell ref="CB318:CC318"/>
    <mergeCell ref="DR317:DS317"/>
    <mergeCell ref="DT317:DU317"/>
    <mergeCell ref="DV317:DW317"/>
    <mergeCell ref="DV322:DW322"/>
    <mergeCell ref="DT320:DU320"/>
    <mergeCell ref="DV320:DW320"/>
    <mergeCell ref="DJ319:DK319"/>
    <mergeCell ref="CJ321:CK321"/>
    <mergeCell ref="CL321:CM321"/>
    <mergeCell ref="CD321:CE321"/>
    <mergeCell ref="CF321:CG321"/>
    <mergeCell ref="CH321:CI321"/>
    <mergeCell ref="DT318:DU318"/>
    <mergeCell ref="CD317:CE317"/>
    <mergeCell ref="CF317:CG317"/>
    <mergeCell ref="CH317:CI317"/>
    <mergeCell ref="CJ317:CK317"/>
    <mergeCell ref="DR321:DS321"/>
    <mergeCell ref="DT321:DU321"/>
    <mergeCell ref="DB322:DC322"/>
    <mergeCell ref="DD322:DE322"/>
    <mergeCell ref="DF322:DG322"/>
    <mergeCell ref="DJ317:DK317"/>
    <mergeCell ref="DL317:DM317"/>
    <mergeCell ref="DH317:DI317"/>
    <mergeCell ref="DN317:DO317"/>
    <mergeCell ref="DL319:DM319"/>
    <mergeCell ref="DN319:DO319"/>
    <mergeCell ref="DP320:DQ320"/>
    <mergeCell ref="DR320:DS320"/>
    <mergeCell ref="CR317:CS317"/>
    <mergeCell ref="CT317:CU317"/>
    <mergeCell ref="DJ320:DK320"/>
    <mergeCell ref="DL320:DM320"/>
    <mergeCell ref="CV319:CW319"/>
    <mergeCell ref="DR322:DS322"/>
    <mergeCell ref="DN320:DO320"/>
    <mergeCell ref="CJ318:CK318"/>
    <mergeCell ref="CL318:CM318"/>
    <mergeCell ref="CN318:CO318"/>
    <mergeCell ref="DH319:DI319"/>
    <mergeCell ref="CP320:CQ320"/>
    <mergeCell ref="CR320:CS320"/>
    <mergeCell ref="CL317:CM317"/>
    <mergeCell ref="CN317:CO317"/>
    <mergeCell ref="DH318:DI318"/>
    <mergeCell ref="DJ318:DK318"/>
    <mergeCell ref="DL318:DM318"/>
    <mergeCell ref="DN318:DO318"/>
    <mergeCell ref="BD313:BE313"/>
    <mergeCell ref="BF313:BG313"/>
    <mergeCell ref="DP317:DQ317"/>
    <mergeCell ref="CD318:CE318"/>
    <mergeCell ref="CF318:CG318"/>
    <mergeCell ref="CH318:CI318"/>
    <mergeCell ref="BR313:BS313"/>
    <mergeCell ref="BT313:BU313"/>
    <mergeCell ref="BV313:BW313"/>
    <mergeCell ref="BX313:BY313"/>
    <mergeCell ref="BZ313:CA313"/>
    <mergeCell ref="BZ309:CA309"/>
    <mergeCell ref="CB309:CC309"/>
    <mergeCell ref="BX311:BY311"/>
    <mergeCell ref="BZ311:CA311"/>
    <mergeCell ref="DP318:DQ318"/>
    <mergeCell ref="DR318:DS318"/>
    <mergeCell ref="BP318:BQ318"/>
    <mergeCell ref="BD314:BE314"/>
    <mergeCell ref="BF311:BG311"/>
    <mergeCell ref="BH311:BI311"/>
    <mergeCell ref="BJ311:BK311"/>
    <mergeCell ref="BL311:BM311"/>
    <mergeCell ref="BN311:BO311"/>
    <mergeCell ref="BP311:BQ311"/>
    <mergeCell ref="BR311:BS311"/>
    <mergeCell ref="BT311:BU311"/>
    <mergeCell ref="BV311:BW311"/>
    <mergeCell ref="BL309:BM309"/>
    <mergeCell ref="BN309:BO309"/>
    <mergeCell ref="BP309:BQ309"/>
    <mergeCell ref="BR309:BS309"/>
    <mergeCell ref="BT309:BU309"/>
    <mergeCell ref="BV309:BW309"/>
    <mergeCell ref="BX309:BY309"/>
    <mergeCell ref="BN318:BO318"/>
    <mergeCell ref="CD316:CE316"/>
    <mergeCell ref="CF316:CG316"/>
    <mergeCell ref="CH316:CI316"/>
    <mergeCell ref="BJ318:BK318"/>
    <mergeCell ref="DN316:DO316"/>
    <mergeCell ref="DB316:DC316"/>
    <mergeCell ref="DD316:DE316"/>
    <mergeCell ref="DF316:DG316"/>
    <mergeCell ref="DH316:DI316"/>
    <mergeCell ref="DJ316:DK316"/>
    <mergeCell ref="DL316:DM316"/>
    <mergeCell ref="CR316:CS316"/>
    <mergeCell ref="CT316:CU316"/>
    <mergeCell ref="BH313:BI313"/>
    <mergeCell ref="BJ313:BK313"/>
    <mergeCell ref="BL313:BM313"/>
    <mergeCell ref="BN313:BO313"/>
    <mergeCell ref="BP313:BQ313"/>
    <mergeCell ref="CP311:CQ311"/>
    <mergeCell ref="CR311:CS311"/>
    <mergeCell ref="CT311:CU311"/>
    <mergeCell ref="CV311:CW311"/>
    <mergeCell ref="BR318:BS318"/>
    <mergeCell ref="BT318:BU318"/>
    <mergeCell ref="DP311:DQ311"/>
    <mergeCell ref="CR313:CS313"/>
    <mergeCell ref="CT313:CU313"/>
    <mergeCell ref="BV318:BW318"/>
    <mergeCell ref="DB307:DC307"/>
    <mergeCell ref="DD307:DE307"/>
    <mergeCell ref="DF307:DG307"/>
    <mergeCell ref="CV313:CW313"/>
    <mergeCell ref="CX313:CY313"/>
    <mergeCell ref="CZ313:DA313"/>
    <mergeCell ref="CV312:CW312"/>
    <mergeCell ref="CX312:CY312"/>
    <mergeCell ref="CZ312:DA312"/>
    <mergeCell ref="DB312:DC312"/>
    <mergeCell ref="DD312:DE312"/>
    <mergeCell ref="DF312:DG312"/>
    <mergeCell ref="DL314:DM314"/>
    <mergeCell ref="DN314:DO314"/>
    <mergeCell ref="CV316:CW316"/>
    <mergeCell ref="CX316:CY316"/>
    <mergeCell ref="DR316:DS316"/>
    <mergeCell ref="DV314:DW314"/>
    <mergeCell ref="DT310:DU310"/>
    <mergeCell ref="DV310:DW310"/>
    <mergeCell ref="CD309:CE309"/>
    <mergeCell ref="CF309:CG309"/>
    <mergeCell ref="CH309:CI309"/>
    <mergeCell ref="CP308:CQ308"/>
    <mergeCell ref="CR308:CS308"/>
    <mergeCell ref="CT308:CU308"/>
    <mergeCell ref="CJ309:CK309"/>
    <mergeCell ref="CL309:CM309"/>
    <mergeCell ref="CN309:CO309"/>
    <mergeCell ref="DV312:DW312"/>
    <mergeCell ref="DH314:DI314"/>
    <mergeCell ref="DJ314:DK314"/>
    <mergeCell ref="DR311:DS311"/>
    <mergeCell ref="DT311:DU311"/>
    <mergeCell ref="DV311:DW311"/>
    <mergeCell ref="DN312:DO312"/>
    <mergeCell ref="DP312:DQ312"/>
    <mergeCell ref="DT312:DU312"/>
    <mergeCell ref="DB313:DC313"/>
    <mergeCell ref="DD313:DE313"/>
    <mergeCell ref="DD309:DE309"/>
    <mergeCell ref="DF309:DG309"/>
    <mergeCell ref="DH309:DI309"/>
    <mergeCell ref="DJ309:DK309"/>
    <mergeCell ref="DR308:DS308"/>
    <mergeCell ref="CV308:CW308"/>
    <mergeCell ref="CV307:CW307"/>
    <mergeCell ref="CX307:CY307"/>
    <mergeCell ref="CZ307:DA307"/>
    <mergeCell ref="CV309:CW309"/>
    <mergeCell ref="CX309:CY309"/>
    <mergeCell ref="CZ309:DA309"/>
    <mergeCell ref="CX308:CY308"/>
    <mergeCell ref="CZ308:DA308"/>
    <mergeCell ref="CP313:CQ313"/>
    <mergeCell ref="CT309:CU309"/>
    <mergeCell ref="CJ313:CK313"/>
    <mergeCell ref="CL313:CM313"/>
    <mergeCell ref="CN313:CO313"/>
    <mergeCell ref="DT313:DU313"/>
    <mergeCell ref="DT309:DU309"/>
    <mergeCell ref="DV313:DW313"/>
    <mergeCell ref="DP307:DQ307"/>
    <mergeCell ref="CZ303:DA303"/>
    <mergeCell ref="CL275:CM275"/>
    <mergeCell ref="CT279:CU279"/>
    <mergeCell ref="CJ279:CK279"/>
    <mergeCell ref="CT276:CU276"/>
    <mergeCell ref="BR273:BS273"/>
    <mergeCell ref="CN275:CO275"/>
    <mergeCell ref="CX273:CY273"/>
    <mergeCell ref="CZ273:DA273"/>
    <mergeCell ref="DT290:DU290"/>
    <mergeCell ref="CJ289:CK289"/>
    <mergeCell ref="CL289:CM289"/>
    <mergeCell ref="CN289:CO289"/>
    <mergeCell ref="DF304:DG304"/>
    <mergeCell ref="DH304:DI304"/>
    <mergeCell ref="DJ304:DK304"/>
    <mergeCell ref="DL304:DM304"/>
    <mergeCell ref="DN304:DO304"/>
    <mergeCell ref="DP304:DQ304"/>
    <mergeCell ref="DR304:DS304"/>
    <mergeCell ref="CJ304:CK304"/>
    <mergeCell ref="CL304:CM304"/>
    <mergeCell ref="CN304:CO304"/>
    <mergeCell ref="CP304:CQ304"/>
    <mergeCell ref="CR304:CS304"/>
    <mergeCell ref="CT304:CU304"/>
    <mergeCell ref="CV304:CW304"/>
    <mergeCell ref="CX304:CY304"/>
    <mergeCell ref="DB303:DC303"/>
    <mergeCell ref="DD303:DE303"/>
    <mergeCell ref="DF303:DG303"/>
    <mergeCell ref="DH303:DI303"/>
    <mergeCell ref="DJ303:DK303"/>
    <mergeCell ref="DL303:DM303"/>
    <mergeCell ref="DP296:DQ296"/>
    <mergeCell ref="DR296:DS296"/>
    <mergeCell ref="DT296:DU296"/>
    <mergeCell ref="DN297:DO297"/>
    <mergeCell ref="DP297:DQ297"/>
    <mergeCell ref="DR297:DS297"/>
    <mergeCell ref="DT297:DU297"/>
    <mergeCell ref="DN303:DO303"/>
    <mergeCell ref="DP303:DQ303"/>
    <mergeCell ref="DR303:DS303"/>
    <mergeCell ref="DT303:DU303"/>
    <mergeCell ref="DT301:DU301"/>
    <mergeCell ref="DP299:DQ299"/>
    <mergeCell ref="DR299:DS299"/>
    <mergeCell ref="DT299:DU299"/>
    <mergeCell ref="DN300:DO300"/>
    <mergeCell ref="DP300:DQ300"/>
    <mergeCell ref="DR300:DS300"/>
    <mergeCell ref="DT300:DU300"/>
    <mergeCell ref="BR287:BS287"/>
    <mergeCell ref="BT287:BU287"/>
    <mergeCell ref="BV287:BW287"/>
    <mergeCell ref="CP287:CQ287"/>
    <mergeCell ref="CR287:CS287"/>
    <mergeCell ref="CT287:CU287"/>
    <mergeCell ref="CV287:CW287"/>
    <mergeCell ref="CF274:CG274"/>
    <mergeCell ref="BZ287:CA287"/>
    <mergeCell ref="DR289:DS289"/>
    <mergeCell ref="CX283:CY283"/>
    <mergeCell ref="CV306:CW306"/>
    <mergeCell ref="CX306:CY306"/>
    <mergeCell ref="CZ306:DA306"/>
    <mergeCell ref="DB306:DC306"/>
    <mergeCell ref="DP305:DQ305"/>
    <mergeCell ref="DR305:DS305"/>
    <mergeCell ref="DR312:DS312"/>
    <mergeCell ref="DP314:DQ314"/>
    <mergeCell ref="DR314:DS314"/>
    <mergeCell ref="CJ307:CK307"/>
    <mergeCell ref="CL307:CM307"/>
    <mergeCell ref="CN307:CO307"/>
    <mergeCell ref="CP307:CQ307"/>
    <mergeCell ref="CR307:CS307"/>
    <mergeCell ref="CB313:CC313"/>
    <mergeCell ref="CD313:CE313"/>
    <mergeCell ref="CF313:CG313"/>
    <mergeCell ref="CH313:CI313"/>
    <mergeCell ref="CB311:CC311"/>
    <mergeCell ref="CD311:CE311"/>
    <mergeCell ref="DL307:DM307"/>
    <mergeCell ref="CV317:CW317"/>
    <mergeCell ref="CX317:CY317"/>
    <mergeCell ref="CZ317:DA317"/>
    <mergeCell ref="DB317:DC317"/>
    <mergeCell ref="DD317:DE317"/>
    <mergeCell ref="DF317:DG317"/>
    <mergeCell ref="DP316:DQ316"/>
    <mergeCell ref="DB315:DC315"/>
    <mergeCell ref="DD315:DE315"/>
    <mergeCell ref="DF315:DG315"/>
    <mergeCell ref="DH315:DI315"/>
    <mergeCell ref="DH312:DI312"/>
    <mergeCell ref="DJ312:DK312"/>
    <mergeCell ref="DL312:DM312"/>
    <mergeCell ref="CX311:CY311"/>
    <mergeCell ref="CZ311:DA311"/>
    <mergeCell ref="DB311:DC311"/>
    <mergeCell ref="DD311:DE311"/>
    <mergeCell ref="DF311:DG311"/>
    <mergeCell ref="DN308:DO308"/>
    <mergeCell ref="DB308:DC308"/>
    <mergeCell ref="DD308:DE308"/>
    <mergeCell ref="DF308:DG308"/>
    <mergeCell ref="DJ313:DK313"/>
    <mergeCell ref="DL313:DM313"/>
    <mergeCell ref="DL309:DM309"/>
    <mergeCell ref="DH308:DI308"/>
    <mergeCell ref="DJ308:DK308"/>
    <mergeCell ref="DL308:DM308"/>
    <mergeCell ref="DB309:DC309"/>
    <mergeCell ref="DP308:DQ308"/>
    <mergeCell ref="DJ315:DK315"/>
    <mergeCell ref="CF311:CG311"/>
    <mergeCell ref="CH311:CI311"/>
    <mergeCell ref="CJ311:CK311"/>
    <mergeCell ref="CL311:CM311"/>
    <mergeCell ref="CN311:CO311"/>
    <mergeCell ref="CP309:CQ309"/>
    <mergeCell ref="CR309:CS309"/>
    <mergeCell ref="DF313:DG313"/>
    <mergeCell ref="DH313:DI313"/>
    <mergeCell ref="DN307:DO307"/>
    <mergeCell ref="DB277:DC277"/>
    <mergeCell ref="DB279:DC279"/>
    <mergeCell ref="DH276:DI276"/>
    <mergeCell ref="DD279:DE279"/>
    <mergeCell ref="BN279:BO279"/>
    <mergeCell ref="CZ287:DA287"/>
    <mergeCell ref="DB287:DC287"/>
    <mergeCell ref="CX303:CY303"/>
    <mergeCell ref="CH304:CI304"/>
    <mergeCell ref="DB304:DC304"/>
    <mergeCell ref="DD304:DE304"/>
    <mergeCell ref="CL288:CM288"/>
    <mergeCell ref="CN288:CO288"/>
    <mergeCell ref="CP288:CQ288"/>
    <mergeCell ref="DT295:DU295"/>
    <mergeCell ref="CV303:CW303"/>
    <mergeCell ref="CJ280:CK280"/>
    <mergeCell ref="CZ275:DA275"/>
    <mergeCell ref="DB285:DC285"/>
    <mergeCell ref="CD279:CE279"/>
    <mergeCell ref="CF279:CG279"/>
    <mergeCell ref="CH279:CI279"/>
    <mergeCell ref="CP273:CQ273"/>
    <mergeCell ref="BX287:BY287"/>
    <mergeCell ref="CB287:CC287"/>
    <mergeCell ref="CD287:CE287"/>
    <mergeCell ref="CF287:CG287"/>
    <mergeCell ref="CH287:CI287"/>
    <mergeCell ref="CJ287:CK287"/>
    <mergeCell ref="CL287:CM287"/>
    <mergeCell ref="CN287:CO287"/>
    <mergeCell ref="CF289:CG289"/>
    <mergeCell ref="CH289:CI289"/>
    <mergeCell ref="CN285:CO285"/>
    <mergeCell ref="CH286:CI286"/>
    <mergeCell ref="CB283:CC283"/>
    <mergeCell ref="CP284:CQ284"/>
    <mergeCell ref="CR284:CS284"/>
    <mergeCell ref="CT284:CU284"/>
    <mergeCell ref="BX284:BY284"/>
    <mergeCell ref="BZ284:CA284"/>
    <mergeCell ref="CB284:CC284"/>
    <mergeCell ref="CD284:CE284"/>
    <mergeCell ref="DJ284:DK284"/>
    <mergeCell ref="DD285:DE285"/>
    <mergeCell ref="DF285:DG285"/>
    <mergeCell ref="CN283:CO283"/>
    <mergeCell ref="CP283:CQ283"/>
    <mergeCell ref="CR283:CS283"/>
    <mergeCell ref="CT283:CU283"/>
    <mergeCell ref="CV283:CW283"/>
    <mergeCell ref="CV285:CW285"/>
    <mergeCell ref="DT302:DU302"/>
    <mergeCell ref="CD289:CE289"/>
    <mergeCell ref="CV289:CW289"/>
    <mergeCell ref="CX289:CY289"/>
    <mergeCell ref="CZ289:DA289"/>
    <mergeCell ref="DH289:DI289"/>
    <mergeCell ref="DJ289:DK289"/>
    <mergeCell ref="DL289:DM289"/>
    <mergeCell ref="DN289:DO289"/>
    <mergeCell ref="DP289:DQ289"/>
    <mergeCell ref="CN274:CO274"/>
    <mergeCell ref="CR273:CS273"/>
    <mergeCell ref="DD281:DE281"/>
    <mergeCell ref="CX282:CY282"/>
    <mergeCell ref="CZ282:DA282"/>
    <mergeCell ref="CL276:CM276"/>
    <mergeCell ref="DF275:DG275"/>
    <mergeCell ref="DH281:DI281"/>
    <mergeCell ref="DD284:DE284"/>
    <mergeCell ref="DB283:DC283"/>
    <mergeCell ref="DD283:DE283"/>
    <mergeCell ref="CT278:CU278"/>
    <mergeCell ref="BL303:BM303"/>
    <mergeCell ref="BN303:BO303"/>
    <mergeCell ref="BP303:BQ303"/>
    <mergeCell ref="BR303:BS303"/>
    <mergeCell ref="BT303:BU303"/>
    <mergeCell ref="BV303:BW303"/>
    <mergeCell ref="BX303:BY303"/>
    <mergeCell ref="BZ303:CA303"/>
    <mergeCell ref="CB303:CC303"/>
    <mergeCell ref="DN291:DO291"/>
    <mergeCell ref="DP291:DQ291"/>
    <mergeCell ref="DR291:DS291"/>
    <mergeCell ref="CD276:CE276"/>
    <mergeCell ref="CF276:CG276"/>
    <mergeCell ref="DD277:DE277"/>
    <mergeCell ref="BV278:BW278"/>
    <mergeCell ref="CN278:CO278"/>
    <mergeCell ref="DH277:DI277"/>
    <mergeCell ref="DB274:DC274"/>
    <mergeCell ref="DD274:DE274"/>
    <mergeCell ref="DF274:DG274"/>
    <mergeCell ref="DJ274:DK274"/>
    <mergeCell ref="DF279:DG279"/>
    <mergeCell ref="DH279:DI279"/>
    <mergeCell ref="DJ279:DK279"/>
    <mergeCell ref="BT277:BU277"/>
    <mergeCell ref="CJ275:CK275"/>
    <mergeCell ref="CD288:CE288"/>
    <mergeCell ref="CF288:CG288"/>
    <mergeCell ref="BP288:BQ288"/>
    <mergeCell ref="BR288:BS288"/>
    <mergeCell ref="CH288:CI288"/>
    <mergeCell ref="CJ288:CK288"/>
    <mergeCell ref="CV288:CW288"/>
    <mergeCell ref="CX288:CY288"/>
    <mergeCell ref="CZ288:DA288"/>
    <mergeCell ref="DB288:DC288"/>
    <mergeCell ref="DD288:DE288"/>
    <mergeCell ref="DF288:DG288"/>
    <mergeCell ref="DH288:DI288"/>
    <mergeCell ref="DJ288:DK288"/>
    <mergeCell ref="CR288:CS288"/>
    <mergeCell ref="CT288:CU288"/>
    <mergeCell ref="BX278:BY278"/>
    <mergeCell ref="BZ278:CA278"/>
    <mergeCell ref="CB278:CC278"/>
    <mergeCell ref="DP274:DQ274"/>
    <mergeCell ref="CJ303:CK303"/>
    <mergeCell ref="CP289:CQ289"/>
    <mergeCell ref="CR289:CS289"/>
    <mergeCell ref="CT289:CU289"/>
    <mergeCell ref="CD303:CE303"/>
    <mergeCell ref="CF303:CG303"/>
    <mergeCell ref="CH303:CI303"/>
    <mergeCell ref="CV282:CW282"/>
    <mergeCell ref="AN282:AO282"/>
    <mergeCell ref="AP282:AQ282"/>
    <mergeCell ref="AR282:AS282"/>
    <mergeCell ref="AX281:AY281"/>
    <mergeCell ref="AZ281:BA281"/>
    <mergeCell ref="BB281:BC281"/>
    <mergeCell ref="CX284:CY284"/>
    <mergeCell ref="CZ284:DA284"/>
    <mergeCell ref="DB284:DC284"/>
    <mergeCell ref="CX285:CY285"/>
    <mergeCell ref="DF281:DG281"/>
    <mergeCell ref="DF280:DG280"/>
    <mergeCell ref="CZ285:DA285"/>
    <mergeCell ref="DF277:DG277"/>
    <mergeCell ref="DL280:DM280"/>
    <mergeCell ref="DN285:DO285"/>
    <mergeCell ref="CL303:CM303"/>
    <mergeCell ref="CN303:CO303"/>
    <mergeCell ref="CP303:CQ303"/>
    <mergeCell ref="CR303:CS303"/>
    <mergeCell ref="CT303:CU303"/>
    <mergeCell ref="DF302:DG302"/>
    <mergeCell ref="DF278:DG278"/>
    <mergeCell ref="DH275:DI275"/>
    <mergeCell ref="DR278:DS278"/>
    <mergeCell ref="DB282:DC282"/>
    <mergeCell ref="DD275:DE275"/>
    <mergeCell ref="DD280:DE280"/>
    <mergeCell ref="DD278:DE278"/>
    <mergeCell ref="DB275:DC275"/>
    <mergeCell ref="DJ281:DK281"/>
    <mergeCell ref="DN275:DO275"/>
    <mergeCell ref="DL278:DM278"/>
    <mergeCell ref="DF283:DG283"/>
    <mergeCell ref="DH283:DI283"/>
    <mergeCell ref="DJ283:DK283"/>
    <mergeCell ref="DL283:DM283"/>
    <mergeCell ref="DN283:DO283"/>
    <mergeCell ref="DP283:DQ283"/>
    <mergeCell ref="DR283:DS283"/>
    <mergeCell ref="DR287:DS287"/>
    <mergeCell ref="DN286:DO286"/>
    <mergeCell ref="DP288:DQ288"/>
    <mergeCell ref="DN277:DO277"/>
    <mergeCell ref="DL284:DM284"/>
    <mergeCell ref="DJ275:DK275"/>
    <mergeCell ref="DL276:DM276"/>
    <mergeCell ref="DL275:DM275"/>
    <mergeCell ref="DF287:DG287"/>
    <mergeCell ref="CX287:CY287"/>
    <mergeCell ref="DB289:DC289"/>
    <mergeCell ref="DD289:DE289"/>
    <mergeCell ref="DF289:DG289"/>
    <mergeCell ref="CV276:CW276"/>
    <mergeCell ref="CX276:CY276"/>
    <mergeCell ref="CZ276:DA276"/>
    <mergeCell ref="CV279:CW279"/>
    <mergeCell ref="CX279:CY279"/>
    <mergeCell ref="CV280:CW280"/>
    <mergeCell ref="CX280:CY280"/>
    <mergeCell ref="CZ280:DA280"/>
    <mergeCell ref="DP287:DQ287"/>
    <mergeCell ref="DD282:DE282"/>
    <mergeCell ref="BJ264:BK264"/>
    <mergeCell ref="CV268:CW268"/>
    <mergeCell ref="CR268:CS268"/>
    <mergeCell ref="CV266:CW266"/>
    <mergeCell ref="CX277:CY277"/>
    <mergeCell ref="CZ277:DA277"/>
    <mergeCell ref="BZ277:CA277"/>
    <mergeCell ref="CB277:CC277"/>
    <mergeCell ref="CD277:CE277"/>
    <mergeCell ref="CF277:CG277"/>
    <mergeCell ref="CH277:CI277"/>
    <mergeCell ref="CJ272:CK272"/>
    <mergeCell ref="CL272:CM272"/>
    <mergeCell ref="CN272:CO272"/>
    <mergeCell ref="BZ272:CA272"/>
    <mergeCell ref="CB272:CC272"/>
    <mergeCell ref="CD272:CE272"/>
    <mergeCell ref="CF272:CG272"/>
    <mergeCell ref="CH272:CI272"/>
    <mergeCell ref="CB273:CC273"/>
    <mergeCell ref="CD273:CE273"/>
    <mergeCell ref="CF273:CG273"/>
    <mergeCell ref="CH273:CI273"/>
    <mergeCell ref="CV274:CW274"/>
    <mergeCell ref="CX274:CY274"/>
    <mergeCell ref="CZ274:DA274"/>
    <mergeCell ref="CP274:CQ274"/>
    <mergeCell ref="CR274:CS274"/>
    <mergeCell ref="CT274:CU274"/>
    <mergeCell ref="CH274:CI274"/>
    <mergeCell ref="CH271:CI271"/>
    <mergeCell ref="BX272:BY272"/>
    <mergeCell ref="CZ272:DA272"/>
    <mergeCell ref="CB270:CC270"/>
    <mergeCell ref="CP277:CQ277"/>
    <mergeCell ref="BP267:BQ267"/>
    <mergeCell ref="CV267:CW267"/>
    <mergeCell ref="CJ271:CK271"/>
    <mergeCell ref="CL271:CM271"/>
    <mergeCell ref="CN271:CO271"/>
    <mergeCell ref="CV271:CW271"/>
    <mergeCell ref="CX271:CY271"/>
    <mergeCell ref="CZ271:DA271"/>
    <mergeCell ref="CX269:CY269"/>
    <mergeCell ref="CP270:CQ270"/>
    <mergeCell ref="CR267:CS267"/>
    <mergeCell ref="CT267:CU267"/>
    <mergeCell ref="CX267:CY267"/>
    <mergeCell ref="CX270:CY270"/>
    <mergeCell ref="CB265:CC265"/>
    <mergeCell ref="BX264:BY264"/>
    <mergeCell ref="BZ264:CA264"/>
    <mergeCell ref="CT266:CU266"/>
    <mergeCell ref="CX268:CY268"/>
    <mergeCell ref="CT273:CU273"/>
    <mergeCell ref="BZ274:CA274"/>
    <mergeCell ref="CB274:CC274"/>
    <mergeCell ref="CD274:CE274"/>
    <mergeCell ref="CX272:CY272"/>
    <mergeCell ref="I284:J284"/>
    <mergeCell ref="K284:L284"/>
    <mergeCell ref="M284:N284"/>
    <mergeCell ref="O284:P284"/>
    <mergeCell ref="Q284:R284"/>
    <mergeCell ref="S284:T284"/>
    <mergeCell ref="Z284:AA284"/>
    <mergeCell ref="AB284:AC284"/>
    <mergeCell ref="AD284:AE284"/>
    <mergeCell ref="AF284:AG284"/>
    <mergeCell ref="AH284:AI284"/>
    <mergeCell ref="AL286:AM286"/>
    <mergeCell ref="AN286:AO286"/>
    <mergeCell ref="AP286:AQ286"/>
    <mergeCell ref="AR286:AS286"/>
    <mergeCell ref="AT286:AU286"/>
    <mergeCell ref="AV286:AW286"/>
    <mergeCell ref="AX286:AY286"/>
    <mergeCell ref="BH285:BI285"/>
    <mergeCell ref="BJ285:BK285"/>
    <mergeCell ref="BR283:BS283"/>
    <mergeCell ref="K275:L275"/>
    <mergeCell ref="M275:N275"/>
    <mergeCell ref="BF281:BG281"/>
    <mergeCell ref="BH281:BI281"/>
    <mergeCell ref="BJ281:BK281"/>
    <mergeCell ref="BL281:BM281"/>
    <mergeCell ref="BN281:BO281"/>
    <mergeCell ref="BP281:BQ281"/>
    <mergeCell ref="BD281:BE281"/>
    <mergeCell ref="BT284:BU284"/>
    <mergeCell ref="BV284:BW284"/>
    <mergeCell ref="I275:J275"/>
    <mergeCell ref="O276:P276"/>
    <mergeCell ref="Q276:R276"/>
    <mergeCell ref="S276:T276"/>
    <mergeCell ref="AH282:AI282"/>
    <mergeCell ref="AJ282:AK282"/>
    <mergeCell ref="AL282:AM282"/>
    <mergeCell ref="I282:J282"/>
    <mergeCell ref="K282:L282"/>
    <mergeCell ref="M282:N282"/>
    <mergeCell ref="O282:P282"/>
    <mergeCell ref="Q282:R282"/>
    <mergeCell ref="S282:T282"/>
    <mergeCell ref="Z282:AA282"/>
    <mergeCell ref="AB282:AC282"/>
    <mergeCell ref="AD282:AE282"/>
    <mergeCell ref="BP285:BQ285"/>
    <mergeCell ref="BR285:BS285"/>
    <mergeCell ref="BT285:BU285"/>
    <mergeCell ref="BV285:BW285"/>
    <mergeCell ref="AT282:AU282"/>
    <mergeCell ref="AF282:AG282"/>
    <mergeCell ref="AD281:AE281"/>
    <mergeCell ref="AF281:AG281"/>
    <mergeCell ref="AH281:AI281"/>
    <mergeCell ref="BP280:BQ280"/>
    <mergeCell ref="BR280:BS280"/>
    <mergeCell ref="BV280:BW280"/>
    <mergeCell ref="I280:J280"/>
    <mergeCell ref="K280:L280"/>
    <mergeCell ref="I281:J281"/>
    <mergeCell ref="K281:L281"/>
    <mergeCell ref="AX277:AY277"/>
    <mergeCell ref="BR274:BS274"/>
    <mergeCell ref="BL274:BM274"/>
    <mergeCell ref="BN278:BO278"/>
    <mergeCell ref="BX277:BY277"/>
    <mergeCell ref="BJ277:BK277"/>
    <mergeCell ref="BL277:BM277"/>
    <mergeCell ref="CL278:CM278"/>
    <mergeCell ref="Z276:AA276"/>
    <mergeCell ref="CN276:CO276"/>
    <mergeCell ref="CP276:CQ276"/>
    <mergeCell ref="CR276:CS276"/>
    <mergeCell ref="BR276:BS276"/>
    <mergeCell ref="BB279:BC279"/>
    <mergeCell ref="BD279:BE279"/>
    <mergeCell ref="BF279:BG279"/>
    <mergeCell ref="BH279:BI279"/>
    <mergeCell ref="BJ279:BK279"/>
    <mergeCell ref="BB276:BC276"/>
    <mergeCell ref="BD276:BE276"/>
    <mergeCell ref="BX279:BY279"/>
    <mergeCell ref="BZ279:CA279"/>
    <mergeCell ref="CB279:CC279"/>
    <mergeCell ref="CH275:CI275"/>
    <mergeCell ref="AP275:AQ275"/>
    <mergeCell ref="AR275:AS275"/>
    <mergeCell ref="AT275:AU275"/>
    <mergeCell ref="AV275:AW275"/>
    <mergeCell ref="AX275:AY275"/>
    <mergeCell ref="AZ275:BA275"/>
    <mergeCell ref="BT286:BU286"/>
    <mergeCell ref="BV286:BW286"/>
    <mergeCell ref="CT285:CU285"/>
    <mergeCell ref="CP280:CQ280"/>
    <mergeCell ref="CP285:CQ285"/>
    <mergeCell ref="CR285:CS285"/>
    <mergeCell ref="BX286:BY286"/>
    <mergeCell ref="BZ286:CA286"/>
    <mergeCell ref="CB286:CC286"/>
    <mergeCell ref="CD286:CE286"/>
    <mergeCell ref="CF286:CG286"/>
    <mergeCell ref="CF284:CG284"/>
    <mergeCell ref="CH284:CI284"/>
    <mergeCell ref="CJ284:CK284"/>
    <mergeCell ref="CL284:CM284"/>
    <mergeCell ref="CP281:CQ281"/>
    <mergeCell ref="CR281:CS281"/>
    <mergeCell ref="CT281:CU281"/>
    <mergeCell ref="CD285:CE285"/>
    <mergeCell ref="CF285:CG285"/>
    <mergeCell ref="CH285:CI285"/>
    <mergeCell ref="CJ285:CK285"/>
    <mergeCell ref="CL285:CM285"/>
    <mergeCell ref="BX285:BY285"/>
    <mergeCell ref="BZ285:CA285"/>
    <mergeCell ref="CB285:CC285"/>
    <mergeCell ref="BX280:BY280"/>
    <mergeCell ref="CD280:CE280"/>
    <mergeCell ref="CF280:CG280"/>
    <mergeCell ref="CH280:CI280"/>
    <mergeCell ref="CT280:CU280"/>
    <mergeCell ref="CN280:CO280"/>
    <mergeCell ref="CL279:CM279"/>
    <mergeCell ref="CN279:CO279"/>
    <mergeCell ref="BF273:BG273"/>
    <mergeCell ref="BJ274:BK274"/>
    <mergeCell ref="BB275:BC275"/>
    <mergeCell ref="BD275:BE275"/>
    <mergeCell ref="I274:J274"/>
    <mergeCell ref="K274:L274"/>
    <mergeCell ref="M274:N274"/>
    <mergeCell ref="O274:P274"/>
    <mergeCell ref="Q274:R274"/>
    <mergeCell ref="S274:T274"/>
    <mergeCell ref="Z274:AA274"/>
    <mergeCell ref="AB274:AC274"/>
    <mergeCell ref="AD274:AE274"/>
    <mergeCell ref="I278:J278"/>
    <mergeCell ref="K278:L278"/>
    <mergeCell ref="Q278:R278"/>
    <mergeCell ref="S278:T278"/>
    <mergeCell ref="Z278:AA278"/>
    <mergeCell ref="AB278:AC278"/>
    <mergeCell ref="AZ276:BA276"/>
    <mergeCell ref="AV277:AW277"/>
    <mergeCell ref="AZ274:BA274"/>
    <mergeCell ref="BB274:BC274"/>
    <mergeCell ref="S277:T277"/>
    <mergeCell ref="M277:N277"/>
    <mergeCell ref="O277:P277"/>
    <mergeCell ref="M278:N278"/>
    <mergeCell ref="O278:P278"/>
    <mergeCell ref="DB278:DC278"/>
    <mergeCell ref="CD275:CE275"/>
    <mergeCell ref="CF275:CG275"/>
    <mergeCell ref="BZ275:CA275"/>
    <mergeCell ref="CP275:CQ275"/>
    <mergeCell ref="CR275:CS275"/>
    <mergeCell ref="CT275:CU275"/>
    <mergeCell ref="CV275:CW275"/>
    <mergeCell ref="BN274:BO274"/>
    <mergeCell ref="BP274:BQ274"/>
    <mergeCell ref="CP278:CQ278"/>
    <mergeCell ref="BP278:BQ278"/>
    <mergeCell ref="BV274:BW274"/>
    <mergeCell ref="BX274:BY274"/>
    <mergeCell ref="BV276:BW276"/>
    <mergeCell ref="BL276:BM276"/>
    <mergeCell ref="BN276:BO276"/>
    <mergeCell ref="BP276:BQ276"/>
    <mergeCell ref="BZ276:CA276"/>
    <mergeCell ref="CB276:CC276"/>
    <mergeCell ref="CB275:CC275"/>
    <mergeCell ref="AP274:AQ274"/>
    <mergeCell ref="AR274:AS274"/>
    <mergeCell ref="AT274:AU274"/>
    <mergeCell ref="AV274:AW274"/>
    <mergeCell ref="AX274:AY274"/>
    <mergeCell ref="CH276:CI276"/>
    <mergeCell ref="CJ274:CK274"/>
    <mergeCell ref="CL274:CM274"/>
    <mergeCell ref="BT274:BU274"/>
    <mergeCell ref="CR277:CS277"/>
    <mergeCell ref="CT277:CU277"/>
    <mergeCell ref="CV277:CW277"/>
    <mergeCell ref="CJ277:CK277"/>
    <mergeCell ref="DB276:DC276"/>
    <mergeCell ref="CX275:CY275"/>
    <mergeCell ref="CV269:CW269"/>
    <mergeCell ref="CZ269:DA269"/>
    <mergeCell ref="DB269:DC269"/>
    <mergeCell ref="CR264:CS264"/>
    <mergeCell ref="CT264:CU264"/>
    <mergeCell ref="CF268:CG268"/>
    <mergeCell ref="CL265:CM265"/>
    <mergeCell ref="CP266:CQ266"/>
    <mergeCell ref="BT269:BU269"/>
    <mergeCell ref="CL267:CM267"/>
    <mergeCell ref="CN267:CO267"/>
    <mergeCell ref="CD266:CE266"/>
    <mergeCell ref="CR263:CS263"/>
    <mergeCell ref="AB277:AC277"/>
    <mergeCell ref="AD277:AE277"/>
    <mergeCell ref="AF277:AG277"/>
    <mergeCell ref="AH277:AI277"/>
    <mergeCell ref="I276:J276"/>
    <mergeCell ref="K276:L276"/>
    <mergeCell ref="M276:N276"/>
    <mergeCell ref="AT277:AU277"/>
    <mergeCell ref="I277:J277"/>
    <mergeCell ref="K277:L277"/>
    <mergeCell ref="AT273:AU273"/>
    <mergeCell ref="AV273:AW273"/>
    <mergeCell ref="BL273:BM273"/>
    <mergeCell ref="BN273:BO273"/>
    <mergeCell ref="BP273:BQ273"/>
    <mergeCell ref="CJ273:CK273"/>
    <mergeCell ref="CL273:CM273"/>
    <mergeCell ref="CN273:CO273"/>
    <mergeCell ref="BT273:BU273"/>
    <mergeCell ref="BV273:BW273"/>
    <mergeCell ref="BX273:BY273"/>
    <mergeCell ref="BZ273:CA273"/>
    <mergeCell ref="CV273:CW273"/>
    <mergeCell ref="I272:J272"/>
    <mergeCell ref="K272:L272"/>
    <mergeCell ref="M272:N272"/>
    <mergeCell ref="O272:P272"/>
    <mergeCell ref="Q272:R272"/>
    <mergeCell ref="S272:T272"/>
    <mergeCell ref="Z272:AA272"/>
    <mergeCell ref="BH273:BI273"/>
    <mergeCell ref="BJ273:BK273"/>
    <mergeCell ref="K273:L273"/>
    <mergeCell ref="M273:N273"/>
    <mergeCell ref="O273:P273"/>
    <mergeCell ref="Q273:R273"/>
    <mergeCell ref="S273:T273"/>
    <mergeCell ref="Z273:AA273"/>
    <mergeCell ref="AB273:AC273"/>
    <mergeCell ref="AD273:AE273"/>
    <mergeCell ref="CP272:CQ272"/>
    <mergeCell ref="BN272:BO272"/>
    <mergeCell ref="BP272:BQ272"/>
    <mergeCell ref="BR272:BS272"/>
    <mergeCell ref="BN277:BO277"/>
    <mergeCell ref="BP277:BQ277"/>
    <mergeCell ref="BV277:BW277"/>
    <mergeCell ref="BD274:BE274"/>
    <mergeCell ref="AX273:AY273"/>
    <mergeCell ref="AZ273:BA273"/>
    <mergeCell ref="BB273:BC273"/>
    <mergeCell ref="CN260:CO260"/>
    <mergeCell ref="BD265:BE265"/>
    <mergeCell ref="CD261:CE261"/>
    <mergeCell ref="BP261:BQ261"/>
    <mergeCell ref="BH262:BI262"/>
    <mergeCell ref="BJ262:BK262"/>
    <mergeCell ref="BF263:BG263"/>
    <mergeCell ref="BJ261:BK261"/>
    <mergeCell ref="CF261:CG261"/>
    <mergeCell ref="BD262:BE262"/>
    <mergeCell ref="BF262:BG262"/>
    <mergeCell ref="CN262:CO262"/>
    <mergeCell ref="BF265:BG265"/>
    <mergeCell ref="CJ268:CK268"/>
    <mergeCell ref="CJ266:CK266"/>
    <mergeCell ref="CJ264:CK264"/>
    <mergeCell ref="BN265:BO265"/>
    <mergeCell ref="BP265:BQ265"/>
    <mergeCell ref="BH265:BI265"/>
    <mergeCell ref="BJ265:BK265"/>
    <mergeCell ref="BV269:BW269"/>
    <mergeCell ref="BV266:BW266"/>
    <mergeCell ref="BN264:BO264"/>
    <mergeCell ref="CD267:CE267"/>
    <mergeCell ref="BL267:BM267"/>
    <mergeCell ref="BT266:BU266"/>
    <mergeCell ref="BL265:BM265"/>
    <mergeCell ref="BX269:BY269"/>
    <mergeCell ref="CP264:CQ264"/>
    <mergeCell ref="CR269:CS269"/>
    <mergeCell ref="CT269:CU269"/>
    <mergeCell ref="CR266:CS266"/>
    <mergeCell ref="CT268:CU268"/>
    <mergeCell ref="CR265:CS265"/>
    <mergeCell ref="BX265:BY265"/>
    <mergeCell ref="CB264:CC264"/>
    <mergeCell ref="CN265:CO265"/>
    <mergeCell ref="CN266:CO266"/>
    <mergeCell ref="CD269:CE269"/>
    <mergeCell ref="CF269:CG269"/>
    <mergeCell ref="BZ262:CA262"/>
    <mergeCell ref="BV262:BW262"/>
    <mergeCell ref="CT261:CU261"/>
    <mergeCell ref="CT262:CU262"/>
    <mergeCell ref="CB263:CC263"/>
    <mergeCell ref="CJ262:CK262"/>
    <mergeCell ref="CL262:CM262"/>
    <mergeCell ref="CP262:CQ262"/>
    <mergeCell ref="BR265:BS265"/>
    <mergeCell ref="CH266:CI266"/>
    <mergeCell ref="CP263:CQ263"/>
    <mergeCell ref="CR262:CS262"/>
    <mergeCell ref="CD263:CE263"/>
    <mergeCell ref="CF263:CG263"/>
    <mergeCell ref="BR261:BS261"/>
    <mergeCell ref="BV265:BW265"/>
    <mergeCell ref="CP268:CQ268"/>
    <mergeCell ref="CP267:CQ267"/>
    <mergeCell ref="BT262:BU262"/>
    <mergeCell ref="CP269:CQ269"/>
    <mergeCell ref="BX262:BY262"/>
    <mergeCell ref="CL269:CM269"/>
    <mergeCell ref="CN269:CO269"/>
    <mergeCell ref="CH267:CI267"/>
    <mergeCell ref="CH261:CI261"/>
    <mergeCell ref="CH269:CI269"/>
    <mergeCell ref="BL266:BM266"/>
    <mergeCell ref="BN266:BO266"/>
    <mergeCell ref="BP266:BQ266"/>
    <mergeCell ref="BR266:BS266"/>
    <mergeCell ref="CF266:CG266"/>
    <mergeCell ref="CF265:CG265"/>
    <mergeCell ref="CH265:CI265"/>
    <mergeCell ref="CN268:CO268"/>
    <mergeCell ref="CJ269:CK269"/>
    <mergeCell ref="BX266:BY266"/>
    <mergeCell ref="BZ266:CA266"/>
    <mergeCell ref="CB266:CC266"/>
    <mergeCell ref="BV267:BW267"/>
    <mergeCell ref="BX267:BY267"/>
    <mergeCell ref="BZ267:CA267"/>
    <mergeCell ref="CB267:CC267"/>
    <mergeCell ref="CL266:CM266"/>
    <mergeCell ref="BP264:BQ264"/>
    <mergeCell ref="BR264:BS264"/>
    <mergeCell ref="BT264:BU264"/>
    <mergeCell ref="BV264:BW264"/>
    <mergeCell ref="BT263:BU263"/>
    <mergeCell ref="BV263:BW263"/>
    <mergeCell ref="CL263:CM263"/>
    <mergeCell ref="CF267:CG267"/>
    <mergeCell ref="CJ267:CK267"/>
    <mergeCell ref="CD265:CE265"/>
    <mergeCell ref="BL264:BM264"/>
    <mergeCell ref="BN263:BO263"/>
    <mergeCell ref="BP263:BQ263"/>
    <mergeCell ref="BR263:BS263"/>
    <mergeCell ref="BX263:BY263"/>
    <mergeCell ref="BZ263:CA263"/>
    <mergeCell ref="BL259:BM259"/>
    <mergeCell ref="BP259:BQ259"/>
    <mergeCell ref="BN259:BO259"/>
    <mergeCell ref="BP258:BQ258"/>
    <mergeCell ref="BV251:BW251"/>
    <mergeCell ref="BN257:BO257"/>
    <mergeCell ref="BP257:BQ257"/>
    <mergeCell ref="BR258:BS258"/>
    <mergeCell ref="CL252:CM252"/>
    <mergeCell ref="BR260:BS260"/>
    <mergeCell ref="CL260:CM260"/>
    <mergeCell ref="CL259:CM259"/>
    <mergeCell ref="BV255:BW255"/>
    <mergeCell ref="BH269:BI269"/>
    <mergeCell ref="BJ269:BK269"/>
    <mergeCell ref="BF264:BG264"/>
    <mergeCell ref="BH264:BI264"/>
    <mergeCell ref="CJ263:CK263"/>
    <mergeCell ref="CJ261:CK261"/>
    <mergeCell ref="CL261:CM261"/>
    <mergeCell ref="CD264:CE264"/>
    <mergeCell ref="CF264:CG264"/>
    <mergeCell ref="CH264:CI264"/>
    <mergeCell ref="BJ266:BK266"/>
    <mergeCell ref="BZ265:CA265"/>
    <mergeCell ref="BF267:BG267"/>
    <mergeCell ref="CN261:CO261"/>
    <mergeCell ref="CD258:CE258"/>
    <mergeCell ref="BD268:BE268"/>
    <mergeCell ref="BF268:BG268"/>
    <mergeCell ref="BH268:BI268"/>
    <mergeCell ref="BJ268:BK268"/>
    <mergeCell ref="BL268:BM268"/>
    <mergeCell ref="BR268:BS268"/>
    <mergeCell ref="BT268:BU268"/>
    <mergeCell ref="BV268:BW268"/>
    <mergeCell ref="BX268:BY268"/>
    <mergeCell ref="BZ268:CA268"/>
    <mergeCell ref="CB268:CC268"/>
    <mergeCell ref="CD268:CE268"/>
    <mergeCell ref="CN263:CO263"/>
    <mergeCell ref="BN262:BO262"/>
    <mergeCell ref="CF262:CG262"/>
    <mergeCell ref="BR262:BS262"/>
    <mergeCell ref="CH263:CI263"/>
    <mergeCell ref="BP262:BQ262"/>
    <mergeCell ref="BJ259:BK259"/>
    <mergeCell ref="BH259:BI259"/>
    <mergeCell ref="BH267:BI267"/>
    <mergeCell ref="BJ267:BK267"/>
    <mergeCell ref="BT265:BU265"/>
    <mergeCell ref="BR267:BS267"/>
    <mergeCell ref="BT267:BU267"/>
    <mergeCell ref="BN269:BO269"/>
    <mergeCell ref="BN267:BO267"/>
    <mergeCell ref="BP269:BQ269"/>
    <mergeCell ref="BR269:BS269"/>
    <mergeCell ref="BZ269:CA269"/>
    <mergeCell ref="CB269:CC269"/>
    <mergeCell ref="CL268:CM268"/>
    <mergeCell ref="BH261:BI261"/>
    <mergeCell ref="BZ261:CA261"/>
    <mergeCell ref="CB261:CC261"/>
    <mergeCell ref="BD260:BE260"/>
    <mergeCell ref="AZ263:BA263"/>
    <mergeCell ref="BB263:BC263"/>
    <mergeCell ref="BD263:BE263"/>
    <mergeCell ref="BF261:BG261"/>
    <mergeCell ref="AZ261:BA261"/>
    <mergeCell ref="BB261:BC261"/>
    <mergeCell ref="BL261:BM261"/>
    <mergeCell ref="BN261:BO261"/>
    <mergeCell ref="BB260:BC260"/>
    <mergeCell ref="CF254:CG254"/>
    <mergeCell ref="BZ257:CA257"/>
    <mergeCell ref="BH263:BI263"/>
    <mergeCell ref="BJ263:BK263"/>
    <mergeCell ref="BL263:BM263"/>
    <mergeCell ref="BZ249:CA249"/>
    <mergeCell ref="BN249:BO249"/>
    <mergeCell ref="CB255:CC255"/>
    <mergeCell ref="BL249:BM249"/>
    <mergeCell ref="BX251:BY251"/>
    <mergeCell ref="BB251:BC251"/>
    <mergeCell ref="BL251:BM251"/>
    <mergeCell ref="BN251:BO251"/>
    <mergeCell ref="CD250:CE250"/>
    <mergeCell ref="CB249:CC249"/>
    <mergeCell ref="BR249:BS249"/>
    <mergeCell ref="BR251:BS251"/>
    <mergeCell ref="BT251:BU251"/>
    <mergeCell ref="CF251:CG251"/>
    <mergeCell ref="CJ250:CK250"/>
    <mergeCell ref="BR257:BS257"/>
    <mergeCell ref="CH252:CI252"/>
    <mergeCell ref="BL258:BM258"/>
    <mergeCell ref="BN258:BO258"/>
    <mergeCell ref="CB262:CC262"/>
    <mergeCell ref="BV261:BW261"/>
    <mergeCell ref="BX261:BY261"/>
    <mergeCell ref="BP260:BQ260"/>
    <mergeCell ref="BF258:BG258"/>
    <mergeCell ref="BV259:BW259"/>
    <mergeCell ref="CB258:CC258"/>
    <mergeCell ref="CH262:CI262"/>
    <mergeCell ref="BL262:BM262"/>
    <mergeCell ref="BL252:BM252"/>
    <mergeCell ref="BH258:BI258"/>
    <mergeCell ref="BJ258:BK258"/>
    <mergeCell ref="BD259:BE259"/>
    <mergeCell ref="AZ262:BA262"/>
    <mergeCell ref="BB262:BC262"/>
    <mergeCell ref="CD262:CE262"/>
    <mergeCell ref="BZ259:CA259"/>
    <mergeCell ref="CF260:CG260"/>
    <mergeCell ref="BF259:BG259"/>
    <mergeCell ref="CB259:CC259"/>
    <mergeCell ref="CF259:CG259"/>
    <mergeCell ref="CH259:CI259"/>
    <mergeCell ref="BN255:BO255"/>
    <mergeCell ref="CH253:CI253"/>
    <mergeCell ref="BR250:BS250"/>
    <mergeCell ref="CD259:CE259"/>
    <mergeCell ref="BX256:BY256"/>
    <mergeCell ref="CJ259:CK259"/>
    <mergeCell ref="CB253:CC253"/>
    <mergeCell ref="BR253:BS253"/>
    <mergeCell ref="BT253:BU253"/>
    <mergeCell ref="CH247:CI247"/>
    <mergeCell ref="BB254:BC254"/>
    <mergeCell ref="CB248:CC248"/>
    <mergeCell ref="BJ252:BK252"/>
    <mergeCell ref="BH250:BI250"/>
    <mergeCell ref="BL255:BM255"/>
    <mergeCell ref="CF248:CG248"/>
    <mergeCell ref="CH248:CI248"/>
    <mergeCell ref="CH254:CI254"/>
    <mergeCell ref="CD252:CE252"/>
    <mergeCell ref="CF252:CG252"/>
    <mergeCell ref="BX247:BY247"/>
    <mergeCell ref="BF254:BG254"/>
    <mergeCell ref="AX254:AY254"/>
    <mergeCell ref="BV252:BW252"/>
    <mergeCell ref="CD248:CE248"/>
    <mergeCell ref="CF247:CG247"/>
    <mergeCell ref="BP256:BQ256"/>
    <mergeCell ref="BT256:BU256"/>
    <mergeCell ref="BT247:BU247"/>
    <mergeCell ref="AT256:AU256"/>
    <mergeCell ref="CB247:CC247"/>
    <mergeCell ref="BP247:BQ247"/>
    <mergeCell ref="BR252:BS252"/>
    <mergeCell ref="CD255:CE255"/>
    <mergeCell ref="CD253:CE253"/>
    <mergeCell ref="CF253:CG253"/>
    <mergeCell ref="AZ257:BA257"/>
    <mergeCell ref="BT260:BU260"/>
    <mergeCell ref="BV260:BW260"/>
    <mergeCell ref="BJ250:BK250"/>
    <mergeCell ref="BJ249:BK249"/>
    <mergeCell ref="AX247:AY247"/>
    <mergeCell ref="AT258:AU258"/>
    <mergeCell ref="AT257:AU257"/>
    <mergeCell ref="AT255:AU255"/>
    <mergeCell ref="CB256:CC256"/>
    <mergeCell ref="CD256:CE256"/>
    <mergeCell ref="CF256:CG256"/>
    <mergeCell ref="BX252:BY252"/>
    <mergeCell ref="BZ255:CA255"/>
    <mergeCell ref="BX255:BY255"/>
    <mergeCell ref="BT250:BU250"/>
    <mergeCell ref="BB249:BC249"/>
    <mergeCell ref="AZ255:BA255"/>
    <mergeCell ref="BP249:BQ249"/>
    <mergeCell ref="BP252:BQ252"/>
    <mergeCell ref="BJ251:BK251"/>
    <mergeCell ref="BP250:BQ250"/>
    <mergeCell ref="BP255:BQ255"/>
    <mergeCell ref="BD253:BE253"/>
    <mergeCell ref="AZ253:BA253"/>
    <mergeCell ref="BF253:BG253"/>
    <mergeCell ref="BD249:BE249"/>
    <mergeCell ref="AZ251:BA251"/>
    <mergeCell ref="AZ249:BA249"/>
    <mergeCell ref="AZ252:BA252"/>
    <mergeCell ref="BL253:BM253"/>
    <mergeCell ref="BT252:BU252"/>
    <mergeCell ref="BT255:BU255"/>
    <mergeCell ref="BN253:BO253"/>
    <mergeCell ref="BX259:BY259"/>
    <mergeCell ref="CF249:CG249"/>
    <mergeCell ref="BP253:BQ253"/>
    <mergeCell ref="BT261:BU261"/>
    <mergeCell ref="CL253:CM253"/>
    <mergeCell ref="BB259:BC259"/>
    <mergeCell ref="AZ258:BA258"/>
    <mergeCell ref="BB258:BC258"/>
    <mergeCell ref="AZ259:BA259"/>
    <mergeCell ref="AZ260:BA260"/>
    <mergeCell ref="CH251:CI251"/>
    <mergeCell ref="BH253:BI253"/>
    <mergeCell ref="BB257:BC257"/>
    <mergeCell ref="BD257:BE257"/>
    <mergeCell ref="BT257:BU257"/>
    <mergeCell ref="BV257:BW257"/>
    <mergeCell ref="BV253:BW253"/>
    <mergeCell ref="BF260:BG260"/>
    <mergeCell ref="BH260:BI260"/>
    <mergeCell ref="BJ260:BK260"/>
    <mergeCell ref="AZ248:BA248"/>
    <mergeCell ref="BF251:BG251"/>
    <mergeCell ref="CJ256:CK256"/>
    <mergeCell ref="BD258:BE258"/>
    <mergeCell ref="BD261:BE261"/>
    <mergeCell ref="CR249:CS249"/>
    <mergeCell ref="CL257:CM257"/>
    <mergeCell ref="CH250:CI250"/>
    <mergeCell ref="CB252:CC252"/>
    <mergeCell ref="BX254:BY254"/>
    <mergeCell ref="BZ251:CA251"/>
    <mergeCell ref="CB251:CC251"/>
    <mergeCell ref="BL250:BM250"/>
    <mergeCell ref="BN250:BO250"/>
    <mergeCell ref="BD254:BE254"/>
    <mergeCell ref="CR259:CS259"/>
    <mergeCell ref="BZ250:CA250"/>
    <mergeCell ref="CB250:CC250"/>
    <mergeCell ref="BL260:BM260"/>
    <mergeCell ref="BN260:BO260"/>
    <mergeCell ref="CD257:CE257"/>
    <mergeCell ref="CL250:CM250"/>
    <mergeCell ref="CD251:CE251"/>
    <mergeCell ref="BX250:BY250"/>
    <mergeCell ref="CD260:CE260"/>
    <mergeCell ref="BV258:BW258"/>
    <mergeCell ref="BX258:BY258"/>
    <mergeCell ref="BZ258:CA258"/>
    <mergeCell ref="BX260:BY260"/>
    <mergeCell ref="BZ260:CA260"/>
    <mergeCell ref="CB260:CC260"/>
    <mergeCell ref="CJ260:CK260"/>
    <mergeCell ref="BL256:BM256"/>
    <mergeCell ref="BN252:BO252"/>
    <mergeCell ref="BP254:BQ254"/>
    <mergeCell ref="BR254:BS254"/>
    <mergeCell ref="BT254:BU254"/>
    <mergeCell ref="CJ253:CK253"/>
    <mergeCell ref="CN257:CO257"/>
    <mergeCell ref="BT259:BU259"/>
    <mergeCell ref="CD254:CE254"/>
    <mergeCell ref="CB257:CC257"/>
    <mergeCell ref="BR259:BS259"/>
    <mergeCell ref="CF258:CG258"/>
    <mergeCell ref="CN256:CO256"/>
    <mergeCell ref="CN255:CO255"/>
    <mergeCell ref="CN251:CO251"/>
    <mergeCell ref="CJ252:CK252"/>
    <mergeCell ref="BN256:BO256"/>
    <mergeCell ref="BV256:BW256"/>
    <mergeCell ref="BF256:BG256"/>
    <mergeCell ref="BH256:BI256"/>
    <mergeCell ref="CJ258:CK258"/>
    <mergeCell ref="BL257:BM257"/>
    <mergeCell ref="BX257:BY257"/>
    <mergeCell ref="CR254:CS254"/>
    <mergeCell ref="CR253:CS253"/>
    <mergeCell ref="CR250:CS250"/>
    <mergeCell ref="CP252:CQ252"/>
    <mergeCell ref="CJ257:CK257"/>
    <mergeCell ref="CJ251:CK251"/>
    <mergeCell ref="CH256:CI256"/>
    <mergeCell ref="CF257:CG257"/>
    <mergeCell ref="CH257:CI257"/>
    <mergeCell ref="CL249:CM249"/>
    <mergeCell ref="CL255:CM255"/>
    <mergeCell ref="CL256:CM256"/>
    <mergeCell ref="CL254:CM254"/>
    <mergeCell ref="BD251:BE251"/>
    <mergeCell ref="AZ250:BA250"/>
    <mergeCell ref="BB250:BC250"/>
    <mergeCell ref="CP257:CQ257"/>
    <mergeCell ref="CN249:CO249"/>
    <mergeCell ref="CH258:CI258"/>
    <mergeCell ref="AV252:AW252"/>
    <mergeCell ref="BZ248:CA248"/>
    <mergeCell ref="CF255:CG255"/>
    <mergeCell ref="CH255:CI255"/>
    <mergeCell ref="BV248:BW248"/>
    <mergeCell ref="BZ252:CA252"/>
    <mergeCell ref="BZ254:CA254"/>
    <mergeCell ref="CN250:CO250"/>
    <mergeCell ref="BN248:BO248"/>
    <mergeCell ref="BB252:BC252"/>
    <mergeCell ref="CJ255:CK255"/>
    <mergeCell ref="CJ254:CK254"/>
    <mergeCell ref="CF250:CG250"/>
    <mergeCell ref="BF248:BG248"/>
    <mergeCell ref="BV254:BW254"/>
    <mergeCell ref="AV255:AW255"/>
    <mergeCell ref="CJ248:CK248"/>
    <mergeCell ref="CJ249:CK249"/>
    <mergeCell ref="BZ253:CA253"/>
    <mergeCell ref="AV258:AW258"/>
    <mergeCell ref="AX258:AY258"/>
    <mergeCell ref="AX257:AY257"/>
    <mergeCell ref="BL248:BM248"/>
    <mergeCell ref="BZ256:CA256"/>
    <mergeCell ref="BH248:BI248"/>
    <mergeCell ref="CR251:CS251"/>
    <mergeCell ref="CR256:CS256"/>
    <mergeCell ref="BF257:BG257"/>
    <mergeCell ref="BH257:BI257"/>
    <mergeCell ref="BJ257:BK257"/>
    <mergeCell ref="BD248:BE248"/>
    <mergeCell ref="CN252:CO252"/>
    <mergeCell ref="BF247:BG247"/>
    <mergeCell ref="BH251:BI251"/>
    <mergeCell ref="BP251:BQ251"/>
    <mergeCell ref="BV250:BW250"/>
    <mergeCell ref="BL254:BM254"/>
    <mergeCell ref="BJ256:BK256"/>
    <mergeCell ref="CB254:CC254"/>
    <mergeCell ref="AX253:AY253"/>
    <mergeCell ref="BF252:BG252"/>
    <mergeCell ref="BD246:BE246"/>
    <mergeCell ref="BD247:BE247"/>
    <mergeCell ref="BH254:BI254"/>
    <mergeCell ref="BJ254:BK254"/>
    <mergeCell ref="AP248:AQ248"/>
    <mergeCell ref="BR256:BS256"/>
    <mergeCell ref="AP252:AQ252"/>
    <mergeCell ref="AT254:AU254"/>
    <mergeCell ref="AR252:AS252"/>
    <mergeCell ref="AT253:AU253"/>
    <mergeCell ref="AT250:AU250"/>
    <mergeCell ref="AT249:AU249"/>
    <mergeCell ref="AR250:AS250"/>
    <mergeCell ref="AX250:AY250"/>
    <mergeCell ref="BH255:BI255"/>
    <mergeCell ref="BH247:BI247"/>
    <mergeCell ref="BP246:BQ246"/>
    <mergeCell ref="BR247:BS247"/>
    <mergeCell ref="AP246:AQ246"/>
    <mergeCell ref="AP254:AQ254"/>
    <mergeCell ref="AR254:AS254"/>
    <mergeCell ref="AZ247:BA247"/>
    <mergeCell ref="BR246:BS246"/>
    <mergeCell ref="BJ246:BK246"/>
    <mergeCell ref="CB246:CC246"/>
    <mergeCell ref="BX253:BY253"/>
    <mergeCell ref="AX255:AY255"/>
    <mergeCell ref="BV247:BW247"/>
    <mergeCell ref="BR248:BS248"/>
    <mergeCell ref="BX249:BY249"/>
    <mergeCell ref="BF250:BG250"/>
    <mergeCell ref="BH252:BI252"/>
    <mergeCell ref="AZ254:BA254"/>
    <mergeCell ref="AR255:AS255"/>
    <mergeCell ref="BJ248:BK248"/>
    <mergeCell ref="BB256:BC256"/>
    <mergeCell ref="AZ256:BA256"/>
    <mergeCell ref="BD250:BE250"/>
    <mergeCell ref="BX248:BY248"/>
    <mergeCell ref="BT248:BU248"/>
    <mergeCell ref="BD255:BE255"/>
    <mergeCell ref="BF255:BG255"/>
    <mergeCell ref="AX248:AY248"/>
    <mergeCell ref="AV248:AW248"/>
    <mergeCell ref="K164:L164"/>
    <mergeCell ref="O169:P169"/>
    <mergeCell ref="O135:P135"/>
    <mergeCell ref="S134:T134"/>
    <mergeCell ref="X136:Y136"/>
    <mergeCell ref="M137:N137"/>
    <mergeCell ref="AH134:AI134"/>
    <mergeCell ref="O136:P136"/>
    <mergeCell ref="AD133:AE133"/>
    <mergeCell ref="O137:P137"/>
    <mergeCell ref="AJ134:AK134"/>
    <mergeCell ref="AX249:AY249"/>
    <mergeCell ref="AV254:AW254"/>
    <mergeCell ref="AV253:AW253"/>
    <mergeCell ref="Q254:R254"/>
    <mergeCell ref="S254:T254"/>
    <mergeCell ref="Q252:R252"/>
    <mergeCell ref="Q247:R247"/>
    <mergeCell ref="O252:P252"/>
    <mergeCell ref="O246:P246"/>
    <mergeCell ref="Z246:AA246"/>
    <mergeCell ref="AF247:AG247"/>
    <mergeCell ref="BV249:BW249"/>
    <mergeCell ref="AP255:AQ255"/>
    <mergeCell ref="BD256:BE256"/>
    <mergeCell ref="M256:N256"/>
    <mergeCell ref="AH256:AI256"/>
    <mergeCell ref="AB256:AC256"/>
    <mergeCell ref="AD256:AE256"/>
    <mergeCell ref="AF256:AG256"/>
    <mergeCell ref="AR256:AS256"/>
    <mergeCell ref="O255:P255"/>
    <mergeCell ref="Q255:R255"/>
    <mergeCell ref="S255:T255"/>
    <mergeCell ref="AD255:AE255"/>
    <mergeCell ref="AF134:AG134"/>
    <mergeCell ref="AF135:AG135"/>
    <mergeCell ref="S133:T133"/>
    <mergeCell ref="X141:Y141"/>
    <mergeCell ref="M141:N141"/>
    <mergeCell ref="S154:T154"/>
    <mergeCell ref="AJ150:AK150"/>
    <mergeCell ref="AJ147:AK147"/>
    <mergeCell ref="K142:L142"/>
    <mergeCell ref="AB148:AC148"/>
    <mergeCell ref="K147:L147"/>
    <mergeCell ref="Z148:AA148"/>
    <mergeCell ref="Z149:AA149"/>
    <mergeCell ref="S144:T144"/>
    <mergeCell ref="Q145:R145"/>
    <mergeCell ref="O145:P145"/>
    <mergeCell ref="K154:L154"/>
    <mergeCell ref="Z158:AA158"/>
    <mergeCell ref="X155:Y155"/>
    <mergeCell ref="X150:Y150"/>
    <mergeCell ref="AH155:AI155"/>
    <mergeCell ref="X149:Y149"/>
    <mergeCell ref="AB145:AC145"/>
    <mergeCell ref="AD144:AE144"/>
    <mergeCell ref="S167:T167"/>
    <mergeCell ref="S164:T164"/>
    <mergeCell ref="X143:Y143"/>
    <mergeCell ref="O148:P148"/>
    <mergeCell ref="Q148:R148"/>
    <mergeCell ref="M257:N257"/>
    <mergeCell ref="O257:P257"/>
    <mergeCell ref="BB253:BC253"/>
    <mergeCell ref="BR255:BS255"/>
    <mergeCell ref="BJ253:BK253"/>
    <mergeCell ref="AJ250:AK250"/>
    <mergeCell ref="AL250:AM250"/>
    <mergeCell ref="AN250:AO250"/>
    <mergeCell ref="AV249:AW249"/>
    <mergeCell ref="BH249:BI249"/>
    <mergeCell ref="BT249:BU249"/>
    <mergeCell ref="AJ257:AK257"/>
    <mergeCell ref="AX256:AY256"/>
    <mergeCell ref="AV256:AW256"/>
    <mergeCell ref="BP248:BQ248"/>
    <mergeCell ref="AV246:AW246"/>
    <mergeCell ref="S248:T248"/>
    <mergeCell ref="AL248:AM248"/>
    <mergeCell ref="Q246:R246"/>
    <mergeCell ref="AN247:AO247"/>
    <mergeCell ref="AT247:AU247"/>
    <mergeCell ref="AV247:AW247"/>
    <mergeCell ref="O253:P253"/>
    <mergeCell ref="AJ256:AK256"/>
    <mergeCell ref="AL256:AM256"/>
    <mergeCell ref="S253:T253"/>
    <mergeCell ref="Z253:AA253"/>
    <mergeCell ref="BJ255:BK255"/>
    <mergeCell ref="AH251:AI251"/>
    <mergeCell ref="BD252:BE252"/>
    <mergeCell ref="BN254:BO254"/>
    <mergeCell ref="M254:N254"/>
    <mergeCell ref="AD253:AE253"/>
    <mergeCell ref="AT252:AU252"/>
    <mergeCell ref="AF254:AG254"/>
    <mergeCell ref="AH254:AI254"/>
    <mergeCell ref="O254:P254"/>
    <mergeCell ref="Q253:R253"/>
    <mergeCell ref="AB252:AC252"/>
    <mergeCell ref="AF253:AG253"/>
    <mergeCell ref="AH253:AI253"/>
    <mergeCell ref="AV257:AW257"/>
    <mergeCell ref="BB255:BC255"/>
    <mergeCell ref="BJ247:BK247"/>
    <mergeCell ref="AD257:AE257"/>
    <mergeCell ref="Z255:AA255"/>
    <mergeCell ref="AB255:AC255"/>
    <mergeCell ref="BF246:BG246"/>
    <mergeCell ref="BL247:BM247"/>
    <mergeCell ref="BN247:BO247"/>
    <mergeCell ref="BH246:BI246"/>
    <mergeCell ref="AD252:AE252"/>
    <mergeCell ref="AF252:AG252"/>
    <mergeCell ref="AH252:AI252"/>
    <mergeCell ref="AJ252:AK252"/>
    <mergeCell ref="AJ249:AK249"/>
    <mergeCell ref="AP249:AQ249"/>
    <mergeCell ref="AR249:AS249"/>
    <mergeCell ref="AJ248:AK248"/>
    <mergeCell ref="AH246:AI246"/>
    <mergeCell ref="AB253:AC253"/>
    <mergeCell ref="BF249:BG249"/>
    <mergeCell ref="AL249:AM249"/>
    <mergeCell ref="AB251:AC251"/>
    <mergeCell ref="AB147:AC147"/>
    <mergeCell ref="AD142:AE142"/>
    <mergeCell ref="S147:T147"/>
    <mergeCell ref="Z139:AA139"/>
    <mergeCell ref="K136:L136"/>
    <mergeCell ref="M132:N132"/>
    <mergeCell ref="AB134:AC134"/>
    <mergeCell ref="AD134:AE134"/>
    <mergeCell ref="AN67:AO67"/>
    <mergeCell ref="AN72:AO72"/>
    <mergeCell ref="AN73:AO73"/>
    <mergeCell ref="M76:N76"/>
    <mergeCell ref="O72:P72"/>
    <mergeCell ref="I115:J115"/>
    <mergeCell ref="K70:L70"/>
    <mergeCell ref="AB66:AC66"/>
    <mergeCell ref="AB73:AC73"/>
    <mergeCell ref="Z71:AA71"/>
    <mergeCell ref="K76:L76"/>
    <mergeCell ref="I136:J136"/>
    <mergeCell ref="AL130:AM130"/>
    <mergeCell ref="AL131:AM131"/>
    <mergeCell ref="I139:J139"/>
    <mergeCell ref="S132:T132"/>
    <mergeCell ref="AL129:AM129"/>
    <mergeCell ref="K126:L126"/>
    <mergeCell ref="K124:L124"/>
    <mergeCell ref="X116:Y116"/>
    <mergeCell ref="Q116:R116"/>
    <mergeCell ref="I131:J131"/>
    <mergeCell ref="S115:T115"/>
    <mergeCell ref="X117:Y117"/>
    <mergeCell ref="M117:N117"/>
    <mergeCell ref="S116:T116"/>
    <mergeCell ref="I118:J118"/>
    <mergeCell ref="I124:J124"/>
    <mergeCell ref="AD119:AE119"/>
    <mergeCell ref="O120:P120"/>
    <mergeCell ref="K135:L135"/>
    <mergeCell ref="Z128:AA128"/>
    <mergeCell ref="X130:Y130"/>
    <mergeCell ref="AD129:AE129"/>
    <mergeCell ref="K127:L127"/>
    <mergeCell ref="O128:P128"/>
    <mergeCell ref="Z126:AA126"/>
    <mergeCell ref="Z123:AA123"/>
    <mergeCell ref="S125:T125"/>
    <mergeCell ref="K125:L125"/>
    <mergeCell ref="M125:N125"/>
    <mergeCell ref="AB121:AC121"/>
    <mergeCell ref="Z121:AA121"/>
    <mergeCell ref="Z125:AA125"/>
    <mergeCell ref="X132:Y132"/>
    <mergeCell ref="S131:T131"/>
    <mergeCell ref="S130:T130"/>
    <mergeCell ref="AH127:AI127"/>
    <mergeCell ref="Z115:AA115"/>
    <mergeCell ref="AH124:AI124"/>
    <mergeCell ref="AL136:AM136"/>
    <mergeCell ref="AJ135:AK135"/>
    <mergeCell ref="O133:P133"/>
    <mergeCell ref="AL133:AM133"/>
    <mergeCell ref="AH130:AI130"/>
    <mergeCell ref="AJ126:AK126"/>
    <mergeCell ref="X131:Y131"/>
    <mergeCell ref="S126:T126"/>
    <mergeCell ref="Z119:AA119"/>
    <mergeCell ref="AF120:AG120"/>
    <mergeCell ref="Z122:AA122"/>
    <mergeCell ref="Q122:R122"/>
    <mergeCell ref="AL121:AM121"/>
    <mergeCell ref="AL124:AM124"/>
    <mergeCell ref="AB127:AC127"/>
    <mergeCell ref="M126:N126"/>
    <mergeCell ref="AD128:AE128"/>
    <mergeCell ref="I129:J129"/>
    <mergeCell ref="M113:N113"/>
    <mergeCell ref="K79:L79"/>
    <mergeCell ref="K111:L111"/>
    <mergeCell ref="X80:Y80"/>
    <mergeCell ref="K121:L121"/>
    <mergeCell ref="AH118:AI118"/>
    <mergeCell ref="AB122:AC122"/>
    <mergeCell ref="K120:L120"/>
    <mergeCell ref="Q79:R79"/>
    <mergeCell ref="M111:N111"/>
    <mergeCell ref="M81:N81"/>
    <mergeCell ref="O123:P123"/>
    <mergeCell ref="O122:P122"/>
    <mergeCell ref="S119:T119"/>
    <mergeCell ref="AH82:AI82"/>
    <mergeCell ref="AH79:AI79"/>
    <mergeCell ref="AF82:AG82"/>
    <mergeCell ref="I122:J122"/>
    <mergeCell ref="AD113:AE113"/>
    <mergeCell ref="Q113:R113"/>
    <mergeCell ref="S113:T113"/>
    <mergeCell ref="O82:P82"/>
    <mergeCell ref="O79:P79"/>
    <mergeCell ref="S82:T82"/>
    <mergeCell ref="Q118:R118"/>
    <mergeCell ref="M115:N115"/>
    <mergeCell ref="I125:J125"/>
    <mergeCell ref="S123:T123"/>
    <mergeCell ref="M79:N79"/>
    <mergeCell ref="Q81:R81"/>
    <mergeCell ref="AB79:AC79"/>
    <mergeCell ref="Q119:R119"/>
    <mergeCell ref="AB124:AC124"/>
    <mergeCell ref="AH117:AI117"/>
    <mergeCell ref="O116:P116"/>
    <mergeCell ref="S129:T129"/>
    <mergeCell ref="O124:P124"/>
    <mergeCell ref="M127:N127"/>
    <mergeCell ref="O127:P127"/>
    <mergeCell ref="X127:Y127"/>
    <mergeCell ref="X119:Y119"/>
    <mergeCell ref="I126:J126"/>
    <mergeCell ref="X126:Y126"/>
    <mergeCell ref="AH126:AI126"/>
    <mergeCell ref="AB126:AC126"/>
    <mergeCell ref="AB128:AC128"/>
    <mergeCell ref="M119:N119"/>
    <mergeCell ref="X114:Y114"/>
    <mergeCell ref="X118:Y118"/>
    <mergeCell ref="AB120:AC120"/>
    <mergeCell ref="M124:N124"/>
    <mergeCell ref="AH129:AI129"/>
    <mergeCell ref="AL126:AM126"/>
    <mergeCell ref="AN126:AO126"/>
    <mergeCell ref="AL117:AM117"/>
    <mergeCell ref="AL118:AM118"/>
    <mergeCell ref="AL115:AM115"/>
    <mergeCell ref="S127:T127"/>
    <mergeCell ref="AL127:AM127"/>
    <mergeCell ref="Z127:AA127"/>
    <mergeCell ref="AL125:AM125"/>
    <mergeCell ref="AD125:AE125"/>
    <mergeCell ref="AF125:AG125"/>
    <mergeCell ref="AH73:AI73"/>
    <mergeCell ref="Z72:AA72"/>
    <mergeCell ref="AF71:AG71"/>
    <mergeCell ref="O67:P67"/>
    <mergeCell ref="AD66:AE66"/>
    <mergeCell ref="K68:L68"/>
    <mergeCell ref="AB83:AC83"/>
    <mergeCell ref="Z82:AA82"/>
    <mergeCell ref="X83:Y83"/>
    <mergeCell ref="X81:Y81"/>
    <mergeCell ref="S87:T87"/>
    <mergeCell ref="AJ81:AK81"/>
    <mergeCell ref="I78:J78"/>
    <mergeCell ref="I80:J80"/>
    <mergeCell ref="I79:J79"/>
    <mergeCell ref="I83:J83"/>
    <mergeCell ref="S66:T66"/>
    <mergeCell ref="Q66:R66"/>
    <mergeCell ref="Q69:R69"/>
    <mergeCell ref="O80:P80"/>
    <mergeCell ref="I67:J67"/>
    <mergeCell ref="K73:L73"/>
    <mergeCell ref="AL80:AM80"/>
    <mergeCell ref="O76:P76"/>
    <mergeCell ref="Q76:R76"/>
    <mergeCell ref="M75:N75"/>
    <mergeCell ref="I69:J69"/>
    <mergeCell ref="I71:J71"/>
    <mergeCell ref="AB67:AC67"/>
    <mergeCell ref="Z70:AA70"/>
    <mergeCell ref="AB71:AC71"/>
    <mergeCell ref="AH80:AI80"/>
    <mergeCell ref="K80:L80"/>
    <mergeCell ref="I68:J68"/>
    <mergeCell ref="M69:N69"/>
    <mergeCell ref="I73:J73"/>
    <mergeCell ref="I82:J82"/>
    <mergeCell ref="S80:T80"/>
    <mergeCell ref="K87:L87"/>
    <mergeCell ref="M78:N78"/>
    <mergeCell ref="I66:J66"/>
    <mergeCell ref="AJ79:AK79"/>
    <mergeCell ref="AJ87:AK87"/>
    <mergeCell ref="I70:J70"/>
    <mergeCell ref="K71:L71"/>
    <mergeCell ref="K113:L113"/>
    <mergeCell ref="S81:T81"/>
    <mergeCell ref="S79:T79"/>
    <mergeCell ref="S83:T83"/>
    <mergeCell ref="X112:Y112"/>
    <mergeCell ref="I127:J127"/>
    <mergeCell ref="AJ76:AK76"/>
    <mergeCell ref="I76:J76"/>
    <mergeCell ref="Q59:R59"/>
    <mergeCell ref="AN69:AO69"/>
    <mergeCell ref="AN61:AO61"/>
    <mergeCell ref="AF79:AG79"/>
    <mergeCell ref="AJ69:AK69"/>
    <mergeCell ref="AF60:AG60"/>
    <mergeCell ref="X59:Y59"/>
    <mergeCell ref="M60:N60"/>
    <mergeCell ref="M59:N59"/>
    <mergeCell ref="Z69:AA69"/>
    <mergeCell ref="Z67:AA67"/>
    <mergeCell ref="Z64:AA64"/>
    <mergeCell ref="X71:Y71"/>
    <mergeCell ref="AF76:AG76"/>
    <mergeCell ref="AD69:AE69"/>
    <mergeCell ref="X58:Y58"/>
    <mergeCell ref="AF58:AG58"/>
    <mergeCell ref="AD64:AE64"/>
    <mergeCell ref="AD65:AE65"/>
    <mergeCell ref="AD60:AE60"/>
    <mergeCell ref="AJ71:AK71"/>
    <mergeCell ref="M68:N68"/>
    <mergeCell ref="AJ61:AK61"/>
    <mergeCell ref="AL63:AM63"/>
    <mergeCell ref="AF73:AG73"/>
    <mergeCell ref="X72:Y72"/>
    <mergeCell ref="AF75:AG75"/>
    <mergeCell ref="S73:T73"/>
    <mergeCell ref="S71:T71"/>
    <mergeCell ref="Q63:R63"/>
    <mergeCell ref="S76:T76"/>
    <mergeCell ref="AJ72:AK72"/>
    <mergeCell ref="AD75:AE75"/>
    <mergeCell ref="X68:Y68"/>
    <mergeCell ref="Z68:AA68"/>
    <mergeCell ref="AD72:AE72"/>
    <mergeCell ref="AD71:AE71"/>
    <mergeCell ref="AH75:AI75"/>
    <mergeCell ref="AL76:AM76"/>
    <mergeCell ref="X70:Y70"/>
    <mergeCell ref="K62:L62"/>
    <mergeCell ref="S62:T62"/>
    <mergeCell ref="M62:N62"/>
    <mergeCell ref="S78:T78"/>
    <mergeCell ref="S70:T70"/>
    <mergeCell ref="K61:L61"/>
    <mergeCell ref="X60:Y60"/>
    <mergeCell ref="X65:Y65"/>
    <mergeCell ref="AJ75:AK75"/>
    <mergeCell ref="M73:N73"/>
    <mergeCell ref="Q72:R72"/>
    <mergeCell ref="K63:L63"/>
    <mergeCell ref="AL67:AM67"/>
    <mergeCell ref="M64:N64"/>
    <mergeCell ref="S64:T64"/>
    <mergeCell ref="K78:L78"/>
    <mergeCell ref="AF67:AG67"/>
    <mergeCell ref="I75:J75"/>
    <mergeCell ref="AF127:AG127"/>
    <mergeCell ref="Q127:R127"/>
    <mergeCell ref="I116:J116"/>
    <mergeCell ref="I87:J87"/>
    <mergeCell ref="I117:J117"/>
    <mergeCell ref="AL61:AM61"/>
    <mergeCell ref="AL64:AM64"/>
    <mergeCell ref="AL65:AM65"/>
    <mergeCell ref="AN71:AO71"/>
    <mergeCell ref="AR62:AS62"/>
    <mergeCell ref="AJ62:AK62"/>
    <mergeCell ref="BP73:BQ73"/>
    <mergeCell ref="AZ78:BA78"/>
    <mergeCell ref="BL78:BM78"/>
    <mergeCell ref="BN78:BO78"/>
    <mergeCell ref="AT70:AU70"/>
    <mergeCell ref="AT60:AU60"/>
    <mergeCell ref="BN70:BO70"/>
    <mergeCell ref="BJ75:BK75"/>
    <mergeCell ref="BH75:BI75"/>
    <mergeCell ref="BL75:BM75"/>
    <mergeCell ref="BD76:BE76"/>
    <mergeCell ref="BH78:BI78"/>
    <mergeCell ref="BL69:BM69"/>
    <mergeCell ref="BF78:BG78"/>
    <mergeCell ref="BH76:BI76"/>
    <mergeCell ref="AT61:AU61"/>
    <mergeCell ref="AT64:AU64"/>
    <mergeCell ref="AP73:AQ73"/>
    <mergeCell ref="AN66:AO66"/>
    <mergeCell ref="AR67:AS67"/>
    <mergeCell ref="BL76:BM76"/>
    <mergeCell ref="BP61:BQ61"/>
    <mergeCell ref="BP60:BQ60"/>
    <mergeCell ref="BL72:BM72"/>
    <mergeCell ref="BB68:BC68"/>
    <mergeCell ref="BB62:BC62"/>
    <mergeCell ref="AZ70:BA70"/>
    <mergeCell ref="BD61:BE61"/>
    <mergeCell ref="BN75:BO75"/>
    <mergeCell ref="BN63:BO63"/>
    <mergeCell ref="BP72:BQ72"/>
    <mergeCell ref="BN61:BO61"/>
    <mergeCell ref="AV64:AW64"/>
    <mergeCell ref="AV71:AW71"/>
    <mergeCell ref="AJ66:AK66"/>
    <mergeCell ref="K75:L75"/>
    <mergeCell ref="AL66:AM66"/>
    <mergeCell ref="K72:L72"/>
    <mergeCell ref="Q71:R71"/>
    <mergeCell ref="O78:P78"/>
    <mergeCell ref="BV76:BW76"/>
    <mergeCell ref="BV78:BW78"/>
    <mergeCell ref="BV67:BW67"/>
    <mergeCell ref="BV69:BW69"/>
    <mergeCell ref="BT73:BU73"/>
    <mergeCell ref="BV75:BW75"/>
    <mergeCell ref="BP70:BQ70"/>
    <mergeCell ref="BP78:BQ78"/>
    <mergeCell ref="BR67:BS67"/>
    <mergeCell ref="BT63:BU63"/>
    <mergeCell ref="BV68:BW68"/>
    <mergeCell ref="AP70:AQ70"/>
    <mergeCell ref="AH76:AI76"/>
    <mergeCell ref="Q78:R78"/>
    <mergeCell ref="AH71:AI71"/>
    <mergeCell ref="Q62:R62"/>
    <mergeCell ref="O68:P68"/>
    <mergeCell ref="AX70:AY70"/>
    <mergeCell ref="AX64:AY64"/>
    <mergeCell ref="AZ75:BA75"/>
    <mergeCell ref="AZ76:BA76"/>
    <mergeCell ref="BD75:BE75"/>
    <mergeCell ref="AV73:AW73"/>
    <mergeCell ref="BD63:BE63"/>
    <mergeCell ref="AX78:AY78"/>
    <mergeCell ref="BJ73:BK73"/>
    <mergeCell ref="CH75:CI75"/>
    <mergeCell ref="CB68:CC68"/>
    <mergeCell ref="CB67:CC67"/>
    <mergeCell ref="BZ67:CA67"/>
    <mergeCell ref="CB70:CC70"/>
    <mergeCell ref="BZ68:CA68"/>
    <mergeCell ref="BZ66:CA66"/>
    <mergeCell ref="CH72:CI72"/>
    <mergeCell ref="CH62:CI62"/>
    <mergeCell ref="CD72:CE72"/>
    <mergeCell ref="CH67:CI67"/>
    <mergeCell ref="CH71:CI71"/>
    <mergeCell ref="CD70:CE70"/>
    <mergeCell ref="CD69:CE69"/>
    <mergeCell ref="CD78:CE78"/>
    <mergeCell ref="CD71:CE71"/>
    <mergeCell ref="CD67:CE67"/>
    <mergeCell ref="CF66:CG66"/>
    <mergeCell ref="CF68:CG68"/>
    <mergeCell ref="CF70:CG70"/>
    <mergeCell ref="CB76:CC76"/>
    <mergeCell ref="BZ78:CA78"/>
    <mergeCell ref="BZ62:CA62"/>
    <mergeCell ref="CB65:CC65"/>
    <mergeCell ref="BZ75:CA75"/>
    <mergeCell ref="CB75:CC75"/>
    <mergeCell ref="CD64:CE64"/>
    <mergeCell ref="CB64:CC64"/>
    <mergeCell ref="BX66:BY66"/>
    <mergeCell ref="BV66:BW66"/>
    <mergeCell ref="BV70:BW70"/>
    <mergeCell ref="BV64:BW64"/>
    <mergeCell ref="CB78:CC78"/>
    <mergeCell ref="BB76:BC76"/>
    <mergeCell ref="BT72:BU72"/>
    <mergeCell ref="BD73:BE73"/>
    <mergeCell ref="AZ68:BA68"/>
    <mergeCell ref="BB75:BC75"/>
    <mergeCell ref="BZ76:CA76"/>
    <mergeCell ref="BN72:BO72"/>
    <mergeCell ref="BP66:BQ66"/>
    <mergeCell ref="BN76:BO76"/>
    <mergeCell ref="BN65:BO65"/>
    <mergeCell ref="BN62:BO62"/>
    <mergeCell ref="BX78:BY78"/>
    <mergeCell ref="BR68:BS68"/>
    <mergeCell ref="BP67:BQ67"/>
    <mergeCell ref="CP67:CQ67"/>
    <mergeCell ref="CJ65:CK65"/>
    <mergeCell ref="CP56:CQ56"/>
    <mergeCell ref="CL66:CM66"/>
    <mergeCell ref="CH57:CI57"/>
    <mergeCell ref="CH59:CI59"/>
    <mergeCell ref="CD58:CE58"/>
    <mergeCell ref="CD55:CE55"/>
    <mergeCell ref="CF67:CG67"/>
    <mergeCell ref="BZ53:CA53"/>
    <mergeCell ref="CD66:CE66"/>
    <mergeCell ref="CN65:CO65"/>
    <mergeCell ref="BX70:BY70"/>
    <mergeCell ref="BV62:BW62"/>
    <mergeCell ref="BT64:BU64"/>
    <mergeCell ref="CL56:CM56"/>
    <mergeCell ref="BZ71:CA71"/>
    <mergeCell ref="BV71:BW71"/>
    <mergeCell ref="BT71:BU71"/>
    <mergeCell ref="BT60:BU60"/>
    <mergeCell ref="BX60:BY60"/>
    <mergeCell ref="BX59:BY59"/>
    <mergeCell ref="BZ57:CA57"/>
    <mergeCell ref="CH64:CI64"/>
    <mergeCell ref="CF56:CG56"/>
    <mergeCell ref="CB56:CC56"/>
    <mergeCell ref="CL64:CM64"/>
    <mergeCell ref="CF64:CG64"/>
    <mergeCell ref="BT67:BU67"/>
    <mergeCell ref="BV56:BW56"/>
    <mergeCell ref="BX56:BY56"/>
    <mergeCell ref="CF65:CG65"/>
    <mergeCell ref="CB53:CC53"/>
    <mergeCell ref="CF69:CG69"/>
    <mergeCell ref="BV60:BW60"/>
    <mergeCell ref="BT68:BU68"/>
    <mergeCell ref="BZ60:CA60"/>
    <mergeCell ref="CD59:CE59"/>
    <mergeCell ref="BX57:BY57"/>
    <mergeCell ref="CF55:CG55"/>
    <mergeCell ref="CF60:CG60"/>
    <mergeCell ref="CD53:CE53"/>
    <mergeCell ref="BX67:BY67"/>
    <mergeCell ref="BL67:BM67"/>
    <mergeCell ref="BT66:BU66"/>
    <mergeCell ref="CB61:CC61"/>
    <mergeCell ref="CF61:CG61"/>
    <mergeCell ref="BL61:BM61"/>
    <mergeCell ref="BD57:BE57"/>
    <mergeCell ref="BD69:BE69"/>
    <mergeCell ref="CJ73:CK73"/>
    <mergeCell ref="BV57:BW57"/>
    <mergeCell ref="CB72:CC72"/>
    <mergeCell ref="BZ73:CA73"/>
    <mergeCell ref="BX72:BY72"/>
    <mergeCell ref="CD65:CE65"/>
    <mergeCell ref="BR55:BS55"/>
    <mergeCell ref="BZ72:CA72"/>
    <mergeCell ref="CD62:CE62"/>
    <mergeCell ref="BT59:BU59"/>
    <mergeCell ref="CF57:CG57"/>
    <mergeCell ref="CF54:CG54"/>
    <mergeCell ref="CF63:CG63"/>
    <mergeCell ref="BZ61:CA61"/>
    <mergeCell ref="BZ59:CA59"/>
    <mergeCell ref="BV53:BW53"/>
    <mergeCell ref="BT56:BU56"/>
    <mergeCell ref="BT55:BU55"/>
    <mergeCell ref="CH66:CI66"/>
    <mergeCell ref="BV58:BW58"/>
    <mergeCell ref="BX62:BY62"/>
    <mergeCell ref="BT70:BU70"/>
    <mergeCell ref="BR56:BS56"/>
    <mergeCell ref="BZ55:CA55"/>
    <mergeCell ref="CB62:CC62"/>
    <mergeCell ref="BX53:BY53"/>
    <mergeCell ref="CB57:CC57"/>
    <mergeCell ref="BV55:BW55"/>
    <mergeCell ref="BZ65:CA65"/>
    <mergeCell ref="BR53:BS53"/>
    <mergeCell ref="BR58:BS58"/>
    <mergeCell ref="BR59:BS59"/>
    <mergeCell ref="BT54:BU54"/>
    <mergeCell ref="BX61:BY61"/>
    <mergeCell ref="CH60:CI60"/>
    <mergeCell ref="CH55:CI55"/>
    <mergeCell ref="CD61:CE61"/>
    <mergeCell ref="CB58:CC58"/>
    <mergeCell ref="CB66:CC66"/>
    <mergeCell ref="BZ63:CA63"/>
    <mergeCell ref="BT65:BU65"/>
    <mergeCell ref="CB54:CC54"/>
    <mergeCell ref="CB60:CC60"/>
    <mergeCell ref="CJ64:CK64"/>
    <mergeCell ref="CF72:CG72"/>
    <mergeCell ref="BR71:BS71"/>
    <mergeCell ref="CB71:CC71"/>
    <mergeCell ref="CF62:CG62"/>
    <mergeCell ref="CL63:CM63"/>
    <mergeCell ref="BZ56:CA56"/>
    <mergeCell ref="CN45:CO45"/>
    <mergeCell ref="BT53:BU53"/>
    <mergeCell ref="BX54:BY54"/>
    <mergeCell ref="CH63:CI63"/>
    <mergeCell ref="CH52:CI52"/>
    <mergeCell ref="BX52:BY52"/>
    <mergeCell ref="CL58:CM58"/>
    <mergeCell ref="CL59:CM59"/>
    <mergeCell ref="CN56:CO56"/>
    <mergeCell ref="CN57:CO57"/>
    <mergeCell ref="BZ58:CA58"/>
    <mergeCell ref="CD63:CE63"/>
    <mergeCell ref="CB63:CC63"/>
    <mergeCell ref="BT57:BU57"/>
    <mergeCell ref="CN60:CO60"/>
    <mergeCell ref="CJ69:CK69"/>
    <mergeCell ref="BP57:BQ57"/>
    <mergeCell ref="BP58:BQ58"/>
    <mergeCell ref="BP59:BQ59"/>
    <mergeCell ref="CH70:CI70"/>
    <mergeCell ref="BT61:BU61"/>
    <mergeCell ref="CJ53:CK53"/>
    <mergeCell ref="CB69:CC69"/>
    <mergeCell ref="BV63:BW63"/>
    <mergeCell ref="BP65:BQ65"/>
    <mergeCell ref="BR42:BS42"/>
    <mergeCell ref="CJ60:CK60"/>
    <mergeCell ref="BN54:BO54"/>
    <mergeCell ref="BX40:BY40"/>
    <mergeCell ref="BT52:BU52"/>
    <mergeCell ref="BN53:BO53"/>
    <mergeCell ref="BR49:BS49"/>
    <mergeCell ref="BN47:BO47"/>
    <mergeCell ref="BR44:BS44"/>
    <mergeCell ref="BN50:BO50"/>
    <mergeCell ref="BT41:BU41"/>
    <mergeCell ref="CF52:CG52"/>
    <mergeCell ref="BT50:BU50"/>
    <mergeCell ref="BP63:BQ63"/>
    <mergeCell ref="CL57:CM57"/>
    <mergeCell ref="CP69:CQ69"/>
    <mergeCell ref="CP75:CQ75"/>
    <mergeCell ref="CX73:CY73"/>
    <mergeCell ref="BZ47:CA47"/>
    <mergeCell ref="BV47:BW47"/>
    <mergeCell ref="CF75:CG75"/>
    <mergeCell ref="CP63:CQ63"/>
    <mergeCell ref="CP61:CQ61"/>
    <mergeCell ref="CL67:CM67"/>
    <mergeCell ref="CJ61:CK61"/>
    <mergeCell ref="CJ63:CK63"/>
    <mergeCell ref="CL60:CM60"/>
    <mergeCell ref="CP54:CQ54"/>
    <mergeCell ref="CH68:CI68"/>
    <mergeCell ref="BV72:BW72"/>
    <mergeCell ref="CN68:CO68"/>
    <mergeCell ref="CJ71:CK71"/>
    <mergeCell ref="CL70:CM70"/>
    <mergeCell ref="CD68:CE68"/>
    <mergeCell ref="BZ70:CA70"/>
    <mergeCell ref="CN64:CO64"/>
    <mergeCell ref="CL65:CM65"/>
    <mergeCell ref="CP60:CQ60"/>
    <mergeCell ref="BX68:BY68"/>
    <mergeCell ref="BZ69:CA69"/>
    <mergeCell ref="CL54:CM54"/>
    <mergeCell ref="CL53:CM53"/>
    <mergeCell ref="CL50:CM50"/>
    <mergeCell ref="CD47:CE47"/>
    <mergeCell ref="CT70:CU70"/>
    <mergeCell ref="BX69:BY69"/>
    <mergeCell ref="BV73:BW73"/>
    <mergeCell ref="CV53:CW53"/>
    <mergeCell ref="CT53:CU53"/>
    <mergeCell ref="CJ56:CK56"/>
    <mergeCell ref="CR59:CS59"/>
    <mergeCell ref="CT49:CU49"/>
    <mergeCell ref="CR53:CS53"/>
    <mergeCell ref="CR60:CS60"/>
    <mergeCell ref="CV57:CW57"/>
    <mergeCell ref="CR61:CS61"/>
    <mergeCell ref="CV50:CW50"/>
    <mergeCell ref="CF71:CG71"/>
    <mergeCell ref="CJ70:CK70"/>
    <mergeCell ref="BX64:BY64"/>
    <mergeCell ref="BX65:BY65"/>
    <mergeCell ref="CT61:CU61"/>
    <mergeCell ref="CL61:CM61"/>
    <mergeCell ref="CX49:CY49"/>
    <mergeCell ref="BZ52:CA52"/>
    <mergeCell ref="CH69:CI69"/>
    <mergeCell ref="CH54:CI54"/>
    <mergeCell ref="CH56:CI56"/>
    <mergeCell ref="BX55:BY55"/>
    <mergeCell ref="CN59:CO59"/>
    <mergeCell ref="CD57:CE57"/>
    <mergeCell ref="CB59:CC59"/>
    <mergeCell ref="CF59:CG59"/>
    <mergeCell ref="BV52:BW52"/>
    <mergeCell ref="BX63:BY63"/>
    <mergeCell ref="BZ54:CA54"/>
    <mergeCell ref="BX58:BY58"/>
    <mergeCell ref="CH58:CI58"/>
    <mergeCell ref="CN62:CO62"/>
    <mergeCell ref="CR56:CS56"/>
    <mergeCell ref="CP55:CQ55"/>
    <mergeCell ref="CN58:CO58"/>
    <mergeCell ref="CP59:CQ59"/>
    <mergeCell ref="CP58:CQ58"/>
    <mergeCell ref="CL36:CM36"/>
    <mergeCell ref="BX38:BY38"/>
    <mergeCell ref="BZ46:CA46"/>
    <mergeCell ref="CB46:CC46"/>
    <mergeCell ref="CH47:CI47"/>
    <mergeCell ref="CB47:CC47"/>
    <mergeCell ref="CJ34:CK34"/>
    <mergeCell ref="CN53:CO53"/>
    <mergeCell ref="CD48:CE48"/>
    <mergeCell ref="CD46:CE46"/>
    <mergeCell ref="CF53:CG53"/>
    <mergeCell ref="BV41:BW41"/>
    <mergeCell ref="BV42:BW42"/>
    <mergeCell ref="BV38:BW38"/>
    <mergeCell ref="CB38:CC38"/>
    <mergeCell ref="CR52:CS52"/>
    <mergeCell ref="CB50:CC50"/>
    <mergeCell ref="CH50:CI50"/>
    <mergeCell ref="BX49:BY49"/>
    <mergeCell ref="CB49:CC49"/>
    <mergeCell ref="CN63:CO63"/>
    <mergeCell ref="BP49:BQ49"/>
    <mergeCell ref="CB55:CC55"/>
    <mergeCell ref="CV66:CW66"/>
    <mergeCell ref="CT66:CU66"/>
    <mergeCell ref="CZ68:DA68"/>
    <mergeCell ref="BX50:BY50"/>
    <mergeCell ref="CD49:CE49"/>
    <mergeCell ref="BZ64:CA64"/>
    <mergeCell ref="CD56:CE56"/>
    <mergeCell ref="CD60:CE60"/>
    <mergeCell ref="BV65:BW65"/>
    <mergeCell ref="BV54:BW54"/>
    <mergeCell ref="BV48:BW48"/>
    <mergeCell ref="BT58:BU58"/>
    <mergeCell ref="BT49:BU49"/>
    <mergeCell ref="BV43:BW43"/>
    <mergeCell ref="BZ43:CA43"/>
    <mergeCell ref="BV44:BW44"/>
    <mergeCell ref="BZ45:CA45"/>
    <mergeCell ref="BP50:BQ50"/>
    <mergeCell ref="BP47:BQ47"/>
    <mergeCell ref="BP48:BQ48"/>
    <mergeCell ref="BX46:BY46"/>
    <mergeCell ref="BX43:BY43"/>
    <mergeCell ref="BP55:BQ55"/>
    <mergeCell ref="BP56:BQ56"/>
    <mergeCell ref="BR54:BS54"/>
    <mergeCell ref="BR57:BS57"/>
    <mergeCell ref="BR60:BS60"/>
    <mergeCell ref="BR63:BS63"/>
    <mergeCell ref="CD52:CE52"/>
    <mergeCell ref="CB52:CC52"/>
    <mergeCell ref="BV59:BW59"/>
    <mergeCell ref="CF58:CG58"/>
    <mergeCell ref="CJ55:CK55"/>
    <mergeCell ref="BV50:BW50"/>
    <mergeCell ref="CJ54:CK54"/>
    <mergeCell ref="CF49:CG49"/>
    <mergeCell ref="BV40:BW40"/>
    <mergeCell ref="CJ49:CK49"/>
    <mergeCell ref="BZ49:CA49"/>
    <mergeCell ref="CJ51:CK51"/>
    <mergeCell ref="BV37:BW37"/>
    <mergeCell ref="BZ41:CA41"/>
    <mergeCell ref="BX42:BY42"/>
    <mergeCell ref="BZ39:CA39"/>
    <mergeCell ref="BX39:BY39"/>
    <mergeCell ref="CD42:CE42"/>
    <mergeCell ref="CF42:CG42"/>
    <mergeCell ref="CJ35:CK35"/>
    <mergeCell ref="CN34:CO34"/>
    <mergeCell ref="CV43:CW43"/>
    <mergeCell ref="CN44:CO44"/>
    <mergeCell ref="CB43:CC43"/>
    <mergeCell ref="CJ42:CK42"/>
    <mergeCell ref="CF43:CG43"/>
    <mergeCell ref="CF44:CG44"/>
    <mergeCell ref="CB34:CC34"/>
    <mergeCell ref="BV35:BW35"/>
    <mergeCell ref="BV34:BW34"/>
    <mergeCell ref="BV39:BW39"/>
    <mergeCell ref="CB36:CC36"/>
    <mergeCell ref="CF48:CG48"/>
    <mergeCell ref="CR47:CS47"/>
    <mergeCell ref="CP47:CQ47"/>
    <mergeCell ref="CP46:CQ46"/>
    <mergeCell ref="CN46:CO46"/>
    <mergeCell ref="CH42:CI42"/>
    <mergeCell ref="CR51:CS51"/>
    <mergeCell ref="CH51:CI51"/>
    <mergeCell ref="CN49:CO49"/>
    <mergeCell ref="CB39:CC39"/>
    <mergeCell ref="CP50:CQ50"/>
    <mergeCell ref="CP40:CQ40"/>
    <mergeCell ref="CL47:CM47"/>
    <mergeCell ref="CR48:CS48"/>
    <mergeCell ref="CL49:CM49"/>
    <mergeCell ref="CL48:CM48"/>
    <mergeCell ref="CR50:CS50"/>
    <mergeCell ref="CJ50:CK50"/>
    <mergeCell ref="CJ37:CK37"/>
    <mergeCell ref="CL46:CM46"/>
    <mergeCell ref="BZ50:CA50"/>
    <mergeCell ref="CD50:CE50"/>
    <mergeCell ref="BV49:BW49"/>
    <mergeCell ref="CR49:CS49"/>
    <mergeCell ref="CP37:CQ37"/>
    <mergeCell ref="CT51:CU51"/>
    <mergeCell ref="CT52:CU52"/>
    <mergeCell ref="CB40:CC40"/>
    <mergeCell ref="CJ40:CK40"/>
    <mergeCell ref="CP44:CQ44"/>
    <mergeCell ref="CT40:CU40"/>
    <mergeCell ref="CF45:CG45"/>
    <mergeCell ref="CF37:CG37"/>
    <mergeCell ref="CD39:CE39"/>
    <mergeCell ref="CF40:CG40"/>
    <mergeCell ref="CN52:CO52"/>
    <mergeCell ref="CT45:CU45"/>
    <mergeCell ref="CP53:CQ53"/>
    <mergeCell ref="CT54:CU54"/>
    <mergeCell ref="CD54:CE54"/>
    <mergeCell ref="CB48:CC48"/>
    <mergeCell ref="CT56:CU56"/>
    <mergeCell ref="CH46:CI46"/>
    <mergeCell ref="CT46:CU46"/>
    <mergeCell ref="CV48:CW48"/>
    <mergeCell ref="CZ48:DA48"/>
    <mergeCell ref="CH48:CI48"/>
    <mergeCell ref="CX32:CY32"/>
    <mergeCell ref="BX41:BY41"/>
    <mergeCell ref="BZ40:CA40"/>
    <mergeCell ref="CL34:CM34"/>
    <mergeCell ref="CV33:CW33"/>
    <mergeCell ref="CP38:CQ38"/>
    <mergeCell ref="CX36:CY36"/>
    <mergeCell ref="CN41:CO41"/>
    <mergeCell ref="CX41:CY41"/>
    <mergeCell ref="CH39:CI39"/>
    <mergeCell ref="CR37:CS37"/>
    <mergeCell ref="CD35:CE35"/>
    <mergeCell ref="CF35:CG35"/>
    <mergeCell ref="CD33:CE33"/>
    <mergeCell ref="CF41:CG41"/>
    <mergeCell ref="CV37:CW37"/>
    <mergeCell ref="CR38:CS38"/>
    <mergeCell ref="CZ51:DA51"/>
    <mergeCell ref="CZ49:DA49"/>
    <mergeCell ref="CV52:CW52"/>
    <mergeCell ref="CP49:CQ49"/>
    <mergeCell ref="CV51:CW51"/>
    <mergeCell ref="CV49:CW49"/>
    <mergeCell ref="BZ48:CA48"/>
    <mergeCell ref="CN51:CO51"/>
    <mergeCell ref="CJ52:CK52"/>
    <mergeCell ref="CJ48:CK48"/>
    <mergeCell ref="CB42:CC42"/>
    <mergeCell ref="BZ42:CA42"/>
    <mergeCell ref="BX48:BY48"/>
    <mergeCell ref="BX44:BY44"/>
    <mergeCell ref="BX47:BY47"/>
    <mergeCell ref="CJ46:CK46"/>
    <mergeCell ref="CF50:CG50"/>
    <mergeCell ref="CL51:CM51"/>
    <mergeCell ref="CB41:CC41"/>
    <mergeCell ref="CL41:CM41"/>
    <mergeCell ref="CH53:CI53"/>
    <mergeCell ref="CR55:CS55"/>
    <mergeCell ref="CP52:CQ52"/>
    <mergeCell ref="CF47:CG47"/>
    <mergeCell ref="CN43:CO43"/>
    <mergeCell ref="CL44:CM44"/>
    <mergeCell ref="CV47:CW47"/>
    <mergeCell ref="CN47:CO47"/>
    <mergeCell ref="DF32:DG32"/>
    <mergeCell ref="CP34:CQ34"/>
    <mergeCell ref="CN32:CO32"/>
    <mergeCell ref="CL42:CM42"/>
    <mergeCell ref="CL39:CM39"/>
    <mergeCell ref="CP43:CQ43"/>
    <mergeCell ref="CP39:CQ39"/>
    <mergeCell ref="CT37:CU37"/>
    <mergeCell ref="CV32:CW32"/>
    <mergeCell ref="CP32:CQ32"/>
    <mergeCell ref="CZ46:DA46"/>
    <mergeCell ref="CN37:CO37"/>
    <mergeCell ref="CT39:CU39"/>
    <mergeCell ref="CV36:CW36"/>
    <mergeCell ref="CR33:CS33"/>
    <mergeCell ref="DH36:DI36"/>
    <mergeCell ref="DJ37:DK37"/>
    <mergeCell ref="CX48:CY48"/>
    <mergeCell ref="CJ43:CK43"/>
    <mergeCell ref="CJ45:CK45"/>
    <mergeCell ref="CR45:CS45"/>
    <mergeCell ref="CX47:CY47"/>
    <mergeCell ref="CN40:CO40"/>
    <mergeCell ref="BV36:BW36"/>
    <mergeCell ref="CX46:CY46"/>
    <mergeCell ref="BZ33:CA33"/>
    <mergeCell ref="CB45:CC45"/>
    <mergeCell ref="BX35:BY35"/>
    <mergeCell ref="BX37:BY37"/>
    <mergeCell ref="CJ44:CK44"/>
    <mergeCell ref="CL40:CM40"/>
    <mergeCell ref="CF34:CG34"/>
    <mergeCell ref="CD36:CE36"/>
    <mergeCell ref="CF36:CG36"/>
    <mergeCell ref="CH38:CI38"/>
    <mergeCell ref="CF39:CG39"/>
    <mergeCell ref="CH40:CI40"/>
    <mergeCell ref="CB44:CC44"/>
    <mergeCell ref="CX40:CY40"/>
    <mergeCell ref="CF33:CG33"/>
    <mergeCell ref="CX34:CY34"/>
    <mergeCell ref="CH37:CI37"/>
    <mergeCell ref="BZ37:CA37"/>
    <mergeCell ref="CZ32:DA32"/>
    <mergeCell ref="CZ44:DA44"/>
    <mergeCell ref="DB44:DC44"/>
    <mergeCell ref="CH36:CI36"/>
    <mergeCell ref="CL38:CM38"/>
    <mergeCell ref="CD44:CE44"/>
    <mergeCell ref="CH41:CI41"/>
    <mergeCell ref="CJ41:CK41"/>
    <mergeCell ref="BZ35:CA35"/>
    <mergeCell ref="BX45:BY45"/>
    <mergeCell ref="BZ38:CA38"/>
    <mergeCell ref="CT32:CU32"/>
    <mergeCell ref="DB35:DC35"/>
    <mergeCell ref="BX32:BY32"/>
    <mergeCell ref="BZ32:CA32"/>
    <mergeCell ref="BZ44:CA44"/>
    <mergeCell ref="CT47:CU47"/>
    <mergeCell ref="CH34:CI34"/>
    <mergeCell ref="CT38:CU38"/>
    <mergeCell ref="DD38:DE38"/>
    <mergeCell ref="CL37:CM37"/>
    <mergeCell ref="CZ38:DA38"/>
    <mergeCell ref="DL36:DM36"/>
    <mergeCell ref="CV31:CW31"/>
    <mergeCell ref="CH31:CI31"/>
    <mergeCell ref="CT48:CU48"/>
    <mergeCell ref="CL31:CM31"/>
    <mergeCell ref="CL32:CM32"/>
    <mergeCell ref="CJ32:CK32"/>
    <mergeCell ref="DT39:DU39"/>
    <mergeCell ref="DL44:DM44"/>
    <mergeCell ref="DD46:DE46"/>
    <mergeCell ref="DP47:DQ47"/>
    <mergeCell ref="DR45:DS45"/>
    <mergeCell ref="DJ38:DK38"/>
    <mergeCell ref="DF43:DG43"/>
    <mergeCell ref="DB36:DC36"/>
    <mergeCell ref="DH35:DI35"/>
    <mergeCell ref="CX35:CY35"/>
    <mergeCell ref="DD40:DE40"/>
    <mergeCell ref="DH40:DI40"/>
    <mergeCell ref="CZ41:DA41"/>
    <mergeCell ref="CT41:CU41"/>
    <mergeCell ref="DL40:DM40"/>
    <mergeCell ref="DJ40:DK40"/>
    <mergeCell ref="CR34:CS34"/>
    <mergeCell ref="CT33:CU33"/>
    <mergeCell ref="CT34:CU34"/>
    <mergeCell ref="CX33:CY33"/>
    <mergeCell ref="CR44:CS44"/>
    <mergeCell ref="CH44:CI44"/>
    <mergeCell ref="CR42:CS42"/>
    <mergeCell ref="CP41:CQ41"/>
    <mergeCell ref="DF34:DG34"/>
    <mergeCell ref="DJ34:DK34"/>
    <mergeCell ref="DD47:DE47"/>
    <mergeCell ref="CZ34:DA34"/>
    <mergeCell ref="CZ35:DA35"/>
    <mergeCell ref="CN33:CO33"/>
    <mergeCell ref="CR43:CS43"/>
    <mergeCell ref="CJ47:CK47"/>
    <mergeCell ref="CJ38:CK38"/>
    <mergeCell ref="CJ36:CK36"/>
    <mergeCell ref="CJ39:CK39"/>
    <mergeCell ref="CR36:CS36"/>
    <mergeCell ref="CX37:CY37"/>
    <mergeCell ref="CV38:CW38"/>
    <mergeCell ref="CV44:CW44"/>
    <mergeCell ref="DJ45:DK45"/>
    <mergeCell ref="DJ44:DK44"/>
    <mergeCell ref="DD42:DE42"/>
    <mergeCell ref="DD41:DE41"/>
    <mergeCell ref="DJ42:DK42"/>
    <mergeCell ref="DL38:DM38"/>
    <mergeCell ref="DH33:DI33"/>
    <mergeCell ref="CR39:CS39"/>
    <mergeCell ref="CV39:CW39"/>
    <mergeCell ref="CP33:CQ33"/>
    <mergeCell ref="CP36:CQ36"/>
    <mergeCell ref="CN38:CO38"/>
    <mergeCell ref="DX42:DY42"/>
    <mergeCell ref="DF42:DG42"/>
    <mergeCell ref="DF46:DG46"/>
    <mergeCell ref="DH46:DI46"/>
    <mergeCell ref="BX34:BY34"/>
    <mergeCell ref="BZ34:CA34"/>
    <mergeCell ref="BX36:BY36"/>
    <mergeCell ref="DL41:DM41"/>
    <mergeCell ref="DN41:DO41"/>
    <mergeCell ref="DP39:DQ39"/>
    <mergeCell ref="EF41:EG41"/>
    <mergeCell ref="DB37:DC37"/>
    <mergeCell ref="DF36:DG36"/>
    <mergeCell ref="DH37:DI37"/>
    <mergeCell ref="DR37:DS37"/>
    <mergeCell ref="ED38:EE38"/>
    <mergeCell ref="DD34:DE34"/>
    <mergeCell ref="DL31:DM31"/>
    <mergeCell ref="DP32:DQ32"/>
    <mergeCell ref="EF36:EG36"/>
    <mergeCell ref="EF30:EG30"/>
    <mergeCell ref="DP42:DQ42"/>
    <mergeCell ref="DN42:DO42"/>
    <mergeCell ref="DD43:DE43"/>
    <mergeCell ref="CX43:CY43"/>
    <mergeCell ref="DB43:DC43"/>
    <mergeCell ref="CZ42:DA42"/>
    <mergeCell ref="CN42:CO42"/>
    <mergeCell ref="CT42:CU42"/>
    <mergeCell ref="CV42:CW42"/>
    <mergeCell ref="CJ33:CK33"/>
    <mergeCell ref="CR40:CS40"/>
    <mergeCell ref="CH35:CI35"/>
    <mergeCell ref="DF39:DG39"/>
    <mergeCell ref="CZ39:DA39"/>
    <mergeCell ref="CZ36:DA36"/>
    <mergeCell ref="CL35:CM35"/>
    <mergeCell ref="CX45:CY45"/>
    <mergeCell ref="CL45:CM45"/>
    <mergeCell ref="CD45:CE45"/>
    <mergeCell ref="CX42:CY42"/>
    <mergeCell ref="CD34:CE34"/>
    <mergeCell ref="CD43:CE43"/>
    <mergeCell ref="CF31:CG31"/>
    <mergeCell ref="CD41:CE41"/>
    <mergeCell ref="DP31:DQ31"/>
    <mergeCell ref="DN33:DO33"/>
    <mergeCell ref="CL33:CM33"/>
    <mergeCell ref="DD44:DE44"/>
    <mergeCell ref="DF45:DG45"/>
    <mergeCell ref="DD45:DE45"/>
    <mergeCell ref="CF46:CG46"/>
    <mergeCell ref="CT43:CU43"/>
    <mergeCell ref="CZ43:DA43"/>
    <mergeCell ref="CX44:CY44"/>
    <mergeCell ref="CZ40:DA40"/>
    <mergeCell ref="CD32:CE32"/>
    <mergeCell ref="CF32:CG32"/>
    <mergeCell ref="CV40:CW40"/>
    <mergeCell ref="CR41:CS41"/>
    <mergeCell ref="CV41:CW41"/>
    <mergeCell ref="DN38:DO38"/>
    <mergeCell ref="DN29:DO29"/>
    <mergeCell ref="DT30:DU30"/>
    <mergeCell ref="DP37:DQ37"/>
    <mergeCell ref="CX38:CY38"/>
    <mergeCell ref="DL35:DM35"/>
    <mergeCell ref="DP35:DQ35"/>
    <mergeCell ref="DZ41:EA41"/>
    <mergeCell ref="CF38:CG38"/>
    <mergeCell ref="DZ40:EA40"/>
    <mergeCell ref="CB35:CC35"/>
    <mergeCell ref="CB33:CC33"/>
    <mergeCell ref="BX33:BY33"/>
    <mergeCell ref="CR35:CS35"/>
    <mergeCell ref="CX39:CY39"/>
    <mergeCell ref="CN36:CO36"/>
    <mergeCell ref="CP35:CQ35"/>
    <mergeCell ref="CT36:CU36"/>
    <mergeCell ref="DN36:DO36"/>
    <mergeCell ref="DF41:DG41"/>
    <mergeCell ref="DN39:DO39"/>
    <mergeCell ref="DN40:DO40"/>
    <mergeCell ref="DJ41:DK41"/>
    <mergeCell ref="DN34:DO34"/>
    <mergeCell ref="DN35:DO35"/>
    <mergeCell ref="CV35:CW35"/>
    <mergeCell ref="CN35:CO35"/>
    <mergeCell ref="CV34:CW34"/>
    <mergeCell ref="CT35:CU35"/>
    <mergeCell ref="CZ37:DA37"/>
    <mergeCell ref="CH32:CI32"/>
    <mergeCell ref="CR32:CS32"/>
    <mergeCell ref="CB37:CC37"/>
    <mergeCell ref="CH33:CI33"/>
    <mergeCell ref="CF29:CG29"/>
    <mergeCell ref="CX31:CY31"/>
    <mergeCell ref="DL30:DM30"/>
    <mergeCell ref="CV30:CW30"/>
    <mergeCell ref="DJ36:DK36"/>
    <mergeCell ref="DJ32:DK32"/>
    <mergeCell ref="DX41:DY41"/>
    <mergeCell ref="DR40:DS40"/>
    <mergeCell ref="DP40:DQ40"/>
    <mergeCell ref="DN23:DO23"/>
    <mergeCell ref="DN26:DO26"/>
    <mergeCell ref="DV22:DW22"/>
    <mergeCell ref="DP26:DQ26"/>
    <mergeCell ref="DH41:DI41"/>
    <mergeCell ref="DB41:DC41"/>
    <mergeCell ref="DF33:DG33"/>
    <mergeCell ref="DV41:DW41"/>
    <mergeCell ref="DT41:DU41"/>
    <mergeCell ref="DD36:DE36"/>
    <mergeCell ref="DH38:DI38"/>
    <mergeCell ref="DF37:DG37"/>
    <mergeCell ref="DD29:DE29"/>
    <mergeCell ref="CP42:CQ42"/>
    <mergeCell ref="CN39:CO39"/>
    <mergeCell ref="DB32:DC32"/>
    <mergeCell ref="DF40:DG40"/>
    <mergeCell ref="DB40:DC40"/>
    <mergeCell ref="DL34:DM34"/>
    <mergeCell ref="CT31:CU31"/>
    <mergeCell ref="CZ31:DA31"/>
    <mergeCell ref="DD31:DE31"/>
    <mergeCell ref="DH30:DI30"/>
    <mergeCell ref="DF30:DG30"/>
    <mergeCell ref="DN27:DO27"/>
    <mergeCell ref="DL27:DM27"/>
    <mergeCell ref="DD28:DE28"/>
    <mergeCell ref="DT26:DU26"/>
    <mergeCell ref="DT27:DU27"/>
    <mergeCell ref="DR41:DS41"/>
    <mergeCell ref="DB42:DC42"/>
    <mergeCell ref="CR31:CS31"/>
    <mergeCell ref="CZ33:DA33"/>
    <mergeCell ref="DV28:DW28"/>
    <mergeCell ref="DB28:DC28"/>
    <mergeCell ref="CT27:CU27"/>
    <mergeCell ref="DH27:DI27"/>
    <mergeCell ref="CR22:CS22"/>
    <mergeCell ref="DB25:DC25"/>
    <mergeCell ref="DH39:DI39"/>
    <mergeCell ref="DF38:DG38"/>
    <mergeCell ref="DB39:DC39"/>
    <mergeCell ref="DB38:DC38"/>
    <mergeCell ref="DJ28:DK28"/>
    <mergeCell ref="DN28:DO28"/>
    <mergeCell ref="DH32:DI32"/>
    <mergeCell ref="DB34:DC34"/>
    <mergeCell ref="DD33:DE33"/>
    <mergeCell ref="DB31:DC31"/>
    <mergeCell ref="DD32:DE32"/>
    <mergeCell ref="DD35:DE35"/>
    <mergeCell ref="DP29:DQ29"/>
    <mergeCell ref="DJ31:DK31"/>
    <mergeCell ref="DP33:DQ33"/>
    <mergeCell ref="DT33:DU33"/>
    <mergeCell ref="DD39:DE39"/>
    <mergeCell ref="DL37:DM37"/>
    <mergeCell ref="CZ25:DA25"/>
    <mergeCell ref="CX24:CY24"/>
    <mergeCell ref="CZ24:DA24"/>
    <mergeCell ref="CX23:CY23"/>
    <mergeCell ref="DJ39:DK39"/>
    <mergeCell ref="DR30:DS30"/>
    <mergeCell ref="DR38:DS38"/>
    <mergeCell ref="DT17:DU17"/>
    <mergeCell ref="EH21:EI21"/>
    <mergeCell ref="DX22:DY22"/>
    <mergeCell ref="DX18:DY18"/>
    <mergeCell ref="DT19:DU19"/>
    <mergeCell ref="DT24:DU24"/>
    <mergeCell ref="ED20:EE20"/>
    <mergeCell ref="DR36:DS36"/>
    <mergeCell ref="DX27:DY27"/>
    <mergeCell ref="DP34:DQ34"/>
    <mergeCell ref="DX35:DY35"/>
    <mergeCell ref="DP28:DQ28"/>
    <mergeCell ref="DT20:DU20"/>
    <mergeCell ref="DZ36:EA36"/>
    <mergeCell ref="DT21:DU21"/>
    <mergeCell ref="EF33:EG33"/>
    <mergeCell ref="EF34:EG34"/>
    <mergeCell ref="DP21:DQ21"/>
    <mergeCell ref="DZ23:EA23"/>
    <mergeCell ref="DX39:DY39"/>
    <mergeCell ref="DV33:DW33"/>
    <mergeCell ref="DZ37:EA37"/>
    <mergeCell ref="DT34:DU34"/>
    <mergeCell ref="DT38:DU38"/>
    <mergeCell ref="DJ27:DK27"/>
    <mergeCell ref="DJ22:DK22"/>
    <mergeCell ref="DP36:DQ36"/>
    <mergeCell ref="DR29:DS29"/>
    <mergeCell ref="ED39:EE39"/>
    <mergeCell ref="DV37:DW37"/>
    <mergeCell ref="DN37:DO37"/>
    <mergeCell ref="DX31:DY31"/>
    <mergeCell ref="DT31:DU31"/>
    <mergeCell ref="DV30:DW30"/>
    <mergeCell ref="DT35:DU35"/>
    <mergeCell ref="DT25:DU25"/>
    <mergeCell ref="EB28:EC28"/>
    <mergeCell ref="DR20:DS20"/>
    <mergeCell ref="DR33:DS33"/>
    <mergeCell ref="DR28:DS28"/>
    <mergeCell ref="DX38:DY38"/>
    <mergeCell ref="DJ33:DK33"/>
    <mergeCell ref="DJ29:DK29"/>
    <mergeCell ref="DT23:DU23"/>
    <mergeCell ref="DP27:DQ27"/>
    <mergeCell ref="DN30:DO30"/>
    <mergeCell ref="DJ30:DK30"/>
    <mergeCell ref="DP30:DQ30"/>
    <mergeCell ref="DL39:DM39"/>
    <mergeCell ref="DN31:DO31"/>
    <mergeCell ref="DN32:DO32"/>
    <mergeCell ref="DT22:DU22"/>
    <mergeCell ref="DZ38:EA38"/>
    <mergeCell ref="EB38:EC38"/>
    <mergeCell ref="DR32:DS32"/>
    <mergeCell ref="DL33:DM33"/>
    <mergeCell ref="DV38:DW38"/>
    <mergeCell ref="DR26:DS26"/>
    <mergeCell ref="DL32:DM32"/>
    <mergeCell ref="DR27:DS27"/>
    <mergeCell ref="DR31:DS31"/>
    <mergeCell ref="DL29:DM29"/>
    <mergeCell ref="DR39:DS39"/>
    <mergeCell ref="DT37:DU37"/>
    <mergeCell ref="DT18:DU18"/>
    <mergeCell ref="EJ29:EK29"/>
    <mergeCell ref="ED33:EE33"/>
    <mergeCell ref="ED30:EE30"/>
    <mergeCell ref="DX30:DY30"/>
    <mergeCell ref="DZ30:EA30"/>
    <mergeCell ref="EJ33:EK33"/>
    <mergeCell ref="EJ36:EK36"/>
    <mergeCell ref="EJ35:EK35"/>
    <mergeCell ref="EH27:EI27"/>
    <mergeCell ref="EH29:EI29"/>
    <mergeCell ref="EF27:EG27"/>
    <mergeCell ref="EH30:EI30"/>
    <mergeCell ref="EB35:EC35"/>
    <mergeCell ref="DR25:DS25"/>
    <mergeCell ref="EJ28:EK28"/>
    <mergeCell ref="EB30:EC30"/>
    <mergeCell ref="EB36:EC36"/>
    <mergeCell ref="EB33:EC33"/>
    <mergeCell ref="ED36:EE36"/>
    <mergeCell ref="DX34:DY34"/>
    <mergeCell ref="EJ31:EK31"/>
    <mergeCell ref="EL31:EM31"/>
    <mergeCell ref="DV27:DW27"/>
    <mergeCell ref="ED34:EE34"/>
    <mergeCell ref="DZ31:EA31"/>
    <mergeCell ref="EL32:EM32"/>
    <mergeCell ref="DZ29:EA29"/>
    <mergeCell ref="DX20:DY20"/>
    <mergeCell ref="DZ20:EA20"/>
    <mergeCell ref="EF20:EG20"/>
    <mergeCell ref="EH20:EI20"/>
    <mergeCell ref="DX26:DY26"/>
    <mergeCell ref="DZ26:EA26"/>
    <mergeCell ref="EH26:EI26"/>
    <mergeCell ref="EH25:EI25"/>
    <mergeCell ref="ED22:EE22"/>
    <mergeCell ref="DX21:DY21"/>
    <mergeCell ref="EJ32:EK32"/>
    <mergeCell ref="EF26:EG26"/>
    <mergeCell ref="EB26:EC26"/>
    <mergeCell ref="EL27:EM27"/>
    <mergeCell ref="DR22:DS22"/>
    <mergeCell ref="EB24:EC24"/>
    <mergeCell ref="DV25:DW25"/>
    <mergeCell ref="DX25:DY25"/>
    <mergeCell ref="DZ25:EA25"/>
    <mergeCell ref="EB25:EC25"/>
    <mergeCell ref="EB21:EC21"/>
    <mergeCell ref="EB34:EC34"/>
    <mergeCell ref="DT29:DU29"/>
    <mergeCell ref="DT28:DU28"/>
    <mergeCell ref="DX33:DY33"/>
    <mergeCell ref="DT36:DU36"/>
    <mergeCell ref="ED29:EE29"/>
    <mergeCell ref="EF29:EG29"/>
    <mergeCell ref="EL30:EM30"/>
    <mergeCell ref="DX32:DY32"/>
    <mergeCell ref="ED31:EE31"/>
    <mergeCell ref="ED35:EE35"/>
    <mergeCell ref="DV1:DW1"/>
    <mergeCell ref="DV19:DW19"/>
    <mergeCell ref="DV20:DW20"/>
    <mergeCell ref="DV21:DW21"/>
    <mergeCell ref="DV17:DW17"/>
    <mergeCell ref="DZ18:EA18"/>
    <mergeCell ref="ED18:EE18"/>
    <mergeCell ref="EF18:EG18"/>
    <mergeCell ref="EH18:EI18"/>
    <mergeCell ref="EH17:EI17"/>
    <mergeCell ref="EJ17:EK17"/>
    <mergeCell ref="DZ21:EA21"/>
    <mergeCell ref="EL17:EM17"/>
    <mergeCell ref="EN17:EO17"/>
    <mergeCell ref="EN22:EO22"/>
    <mergeCell ref="ED19:EE19"/>
    <mergeCell ref="EJ25:EK25"/>
    <mergeCell ref="EB22:EC22"/>
    <mergeCell ref="EB23:EC23"/>
    <mergeCell ref="ED23:EE23"/>
    <mergeCell ref="EF22:EG22"/>
    <mergeCell ref="EL22:EM22"/>
    <mergeCell ref="EP22:EQ22"/>
    <mergeCell ref="DV24:DW24"/>
    <mergeCell ref="EL21:EM21"/>
    <mergeCell ref="EP25:EQ25"/>
    <mergeCell ref="DZ1:EA1"/>
    <mergeCell ref="EB1:EC1"/>
    <mergeCell ref="ED1:EE1"/>
    <mergeCell ref="EF1:EG1"/>
    <mergeCell ref="EH1:EI1"/>
    <mergeCell ref="DZ24:EA24"/>
    <mergeCell ref="DV18:DW18"/>
    <mergeCell ref="EN18:EO18"/>
    <mergeCell ref="EP18:EQ18"/>
    <mergeCell ref="EP17:EQ17"/>
    <mergeCell ref="EJ1:EK1"/>
    <mergeCell ref="EL1:EM1"/>
    <mergeCell ref="EH24:EI24"/>
    <mergeCell ref="EJ24:EK24"/>
    <mergeCell ref="EL24:EM24"/>
    <mergeCell ref="EH23:EI23"/>
    <mergeCell ref="EJ23:EK23"/>
    <mergeCell ref="EL23:EM23"/>
    <mergeCell ref="DX1:DY1"/>
    <mergeCell ref="EN1:EO1"/>
    <mergeCell ref="EP23:EQ23"/>
    <mergeCell ref="EP19:EQ19"/>
    <mergeCell ref="EN23:EO23"/>
    <mergeCell ref="DX24:DY24"/>
    <mergeCell ref="DX19:DY19"/>
    <mergeCell ref="EN19:EO19"/>
    <mergeCell ref="DZ19:EA19"/>
    <mergeCell ref="EF24:EG24"/>
    <mergeCell ref="EP1:EQ1"/>
    <mergeCell ref="EB17:EC17"/>
    <mergeCell ref="DX23:DY23"/>
    <mergeCell ref="ED17:EE17"/>
    <mergeCell ref="EF17:EG17"/>
    <mergeCell ref="EB19:EC19"/>
    <mergeCell ref="EN21:EO21"/>
    <mergeCell ref="EJ22:EK22"/>
    <mergeCell ref="EP21:EQ21"/>
    <mergeCell ref="EP24:EQ24"/>
    <mergeCell ref="DX17:DY17"/>
    <mergeCell ref="DZ17:EA17"/>
    <mergeCell ref="EL20:EM20"/>
    <mergeCell ref="EF23:EG23"/>
    <mergeCell ref="EP20:EQ20"/>
    <mergeCell ref="EJ18:EK18"/>
    <mergeCell ref="EL18:EM18"/>
    <mergeCell ref="EB18:EC18"/>
    <mergeCell ref="EN24:EO24"/>
    <mergeCell ref="ED24:EE24"/>
    <mergeCell ref="EP35:EQ35"/>
    <mergeCell ref="EP31:EQ31"/>
    <mergeCell ref="EP34:EQ34"/>
    <mergeCell ref="EP28:EQ28"/>
    <mergeCell ref="DZ34:EA34"/>
    <mergeCell ref="EH32:EI32"/>
    <mergeCell ref="DZ27:EA27"/>
    <mergeCell ref="ED25:EE25"/>
    <mergeCell ref="EN25:EO25"/>
    <mergeCell ref="EP37:EQ37"/>
    <mergeCell ref="DZ39:EA39"/>
    <mergeCell ref="EL35:EM35"/>
    <mergeCell ref="EP30:EQ30"/>
    <mergeCell ref="DZ35:EA35"/>
    <mergeCell ref="EN34:EO34"/>
    <mergeCell ref="EL37:EM37"/>
    <mergeCell ref="EL34:EM34"/>
    <mergeCell ref="EP27:EQ27"/>
    <mergeCell ref="EL38:EM38"/>
    <mergeCell ref="EN38:EO38"/>
    <mergeCell ref="EN31:EO31"/>
    <mergeCell ref="EJ37:EK37"/>
    <mergeCell ref="EB37:EC37"/>
    <mergeCell ref="ED37:EE37"/>
    <mergeCell ref="EF37:EG37"/>
    <mergeCell ref="EF39:EG39"/>
    <mergeCell ref="EN37:EO37"/>
    <mergeCell ref="EN33:EO33"/>
    <mergeCell ref="EN32:EO32"/>
    <mergeCell ref="EF38:EG38"/>
    <mergeCell ref="EB39:EC39"/>
    <mergeCell ref="EH38:EI38"/>
    <mergeCell ref="EL33:EM33"/>
    <mergeCell ref="EH35:EI35"/>
    <mergeCell ref="EN36:EO36"/>
    <mergeCell ref="EH33:EI33"/>
    <mergeCell ref="EP36:EQ36"/>
    <mergeCell ref="EP29:EQ29"/>
    <mergeCell ref="ED27:EE27"/>
    <mergeCell ref="EL25:EM25"/>
    <mergeCell ref="EB31:EC31"/>
    <mergeCell ref="ED28:EE28"/>
    <mergeCell ref="EB20:EC20"/>
    <mergeCell ref="DZ22:EA22"/>
    <mergeCell ref="ED32:EE32"/>
    <mergeCell ref="EJ30:EK30"/>
    <mergeCell ref="EL36:EM36"/>
    <mergeCell ref="EJ34:EK34"/>
    <mergeCell ref="DZ28:EA28"/>
    <mergeCell ref="ED21:EE21"/>
    <mergeCell ref="EH36:EI36"/>
    <mergeCell ref="EH37:EI37"/>
    <mergeCell ref="EB29:EC29"/>
    <mergeCell ref="DX36:DY36"/>
    <mergeCell ref="EN29:EO29"/>
    <mergeCell ref="EF32:EG32"/>
    <mergeCell ref="EH31:EI31"/>
    <mergeCell ref="DT40:DU40"/>
    <mergeCell ref="DV40:DW40"/>
    <mergeCell ref="DZ32:EA32"/>
    <mergeCell ref="DR35:DS35"/>
    <mergeCell ref="DR34:DS34"/>
    <mergeCell ref="EL28:EM28"/>
    <mergeCell ref="EN28:EO28"/>
    <mergeCell ref="EN20:EO20"/>
    <mergeCell ref="EF19:EG19"/>
    <mergeCell ref="EH19:EI19"/>
    <mergeCell ref="EJ21:EK21"/>
    <mergeCell ref="EF25:EG25"/>
    <mergeCell ref="EJ20:EK20"/>
    <mergeCell ref="EF21:EG21"/>
    <mergeCell ref="EH22:EI22"/>
    <mergeCell ref="EF31:EG31"/>
    <mergeCell ref="EJ19:EK19"/>
    <mergeCell ref="EL19:EM19"/>
    <mergeCell ref="DX29:DY29"/>
    <mergeCell ref="DP19:DQ19"/>
    <mergeCell ref="DV35:DW35"/>
    <mergeCell ref="DV32:DW32"/>
    <mergeCell ref="DV31:DW31"/>
    <mergeCell ref="DV34:DW34"/>
    <mergeCell ref="DR21:DS21"/>
    <mergeCell ref="DP23:DQ23"/>
    <mergeCell ref="DR24:DS24"/>
    <mergeCell ref="DP25:DQ25"/>
    <mergeCell ref="DV29:DW29"/>
    <mergeCell ref="DV26:DW26"/>
    <mergeCell ref="DV23:DW23"/>
    <mergeCell ref="DT32:DU32"/>
    <mergeCell ref="DV36:DW36"/>
    <mergeCell ref="DX37:DY37"/>
    <mergeCell ref="DP38:DQ38"/>
    <mergeCell ref="DL21:DM21"/>
    <mergeCell ref="DX40:DY40"/>
    <mergeCell ref="DN19:DO19"/>
    <mergeCell ref="DN25:DO25"/>
    <mergeCell ref="EN40:EO40"/>
    <mergeCell ref="EJ40:EK40"/>
    <mergeCell ref="CZ45:DA45"/>
    <mergeCell ref="CV45:CW45"/>
    <mergeCell ref="CL52:CM52"/>
    <mergeCell ref="CR46:CS46"/>
    <mergeCell ref="CN48:CO48"/>
    <mergeCell ref="CT50:CU50"/>
    <mergeCell ref="CP66:CQ66"/>
    <mergeCell ref="DH70:DI70"/>
    <mergeCell ref="DJ66:DK66"/>
    <mergeCell ref="DN67:DO67"/>
    <mergeCell ref="DF67:DG67"/>
    <mergeCell ref="DP67:DQ67"/>
    <mergeCell ref="DN71:DO71"/>
    <mergeCell ref="DP65:DQ65"/>
    <mergeCell ref="EB41:EC41"/>
    <mergeCell ref="DH42:DI42"/>
    <mergeCell ref="DB45:DC45"/>
    <mergeCell ref="DD49:DE49"/>
    <mergeCell ref="DH44:DI44"/>
    <mergeCell ref="CP81:CQ81"/>
    <mergeCell ref="DD82:DE82"/>
    <mergeCell ref="CN81:CO81"/>
    <mergeCell ref="CZ75:DA75"/>
    <mergeCell ref="DJ35:DK35"/>
    <mergeCell ref="CX75:CY75"/>
    <mergeCell ref="EP26:EQ26"/>
    <mergeCell ref="EN27:EO27"/>
    <mergeCell ref="EP32:EQ32"/>
    <mergeCell ref="EP33:EQ33"/>
    <mergeCell ref="EP38:EQ38"/>
    <mergeCell ref="EN39:EO39"/>
    <mergeCell ref="EP39:EQ39"/>
    <mergeCell ref="EJ38:EK38"/>
    <mergeCell ref="EH40:EI40"/>
    <mergeCell ref="ED40:EE40"/>
    <mergeCell ref="EF28:EG28"/>
    <mergeCell ref="EJ27:EK27"/>
    <mergeCell ref="EB32:EC32"/>
    <mergeCell ref="DZ33:EA33"/>
    <mergeCell ref="EF35:EG35"/>
    <mergeCell ref="EN35:EO35"/>
    <mergeCell ref="EN30:EO30"/>
    <mergeCell ref="EH39:EI39"/>
    <mergeCell ref="EJ26:EK26"/>
    <mergeCell ref="EL26:EM26"/>
    <mergeCell ref="DX28:DY28"/>
    <mergeCell ref="EH34:EI34"/>
    <mergeCell ref="EF40:EG40"/>
    <mergeCell ref="EN26:EO26"/>
    <mergeCell ref="EB27:EC27"/>
    <mergeCell ref="ED26:EE26"/>
    <mergeCell ref="EL39:EM39"/>
    <mergeCell ref="DH34:DI34"/>
    <mergeCell ref="DD37:DE37"/>
    <mergeCell ref="DF31:DG31"/>
    <mergeCell ref="DB33:DC33"/>
    <mergeCell ref="DF35:DG35"/>
    <mergeCell ref="DH31:DI31"/>
    <mergeCell ref="CL81:CM81"/>
    <mergeCell ref="CL87:CM87"/>
    <mergeCell ref="CN82:CO82"/>
    <mergeCell ref="CX81:CY81"/>
    <mergeCell ref="DB111:DC111"/>
    <mergeCell ref="CL127:CM127"/>
    <mergeCell ref="CL83:CM83"/>
    <mergeCell ref="CX130:CY130"/>
    <mergeCell ref="CR81:CS81"/>
    <mergeCell ref="CN87:CO87"/>
    <mergeCell ref="CT112:CU112"/>
    <mergeCell ref="CN114:CO114"/>
    <mergeCell ref="CZ113:DA113"/>
    <mergeCell ref="CJ82:CK82"/>
    <mergeCell ref="CV130:CW130"/>
    <mergeCell ref="CZ132:DA132"/>
    <mergeCell ref="DB80:DC80"/>
    <mergeCell ref="DB118:DC118"/>
    <mergeCell ref="DB121:DC121"/>
    <mergeCell ref="CN131:CO131"/>
    <mergeCell ref="CR131:CS131"/>
    <mergeCell ref="EH28:EI28"/>
    <mergeCell ref="EL29:EM29"/>
    <mergeCell ref="DV39:DW39"/>
    <mergeCell ref="EJ39:EK39"/>
    <mergeCell ref="EB40:EC40"/>
    <mergeCell ref="CN69:CO69"/>
    <mergeCell ref="DP41:DQ41"/>
    <mergeCell ref="CL73:CM73"/>
    <mergeCell ref="CL76:CM76"/>
    <mergeCell ref="DB87:DC87"/>
    <mergeCell ref="CL80:CM80"/>
    <mergeCell ref="CL78:CM78"/>
    <mergeCell ref="CL69:CM69"/>
    <mergeCell ref="CL71:CM71"/>
    <mergeCell ref="CN71:CO71"/>
    <mergeCell ref="CN73:CO73"/>
    <mergeCell ref="DL82:DM82"/>
    <mergeCell ref="DD69:DE69"/>
    <mergeCell ref="CR71:CS71"/>
    <mergeCell ref="CP72:CQ72"/>
    <mergeCell ref="CR70:CS70"/>
    <mergeCell ref="CR73:CS73"/>
    <mergeCell ref="CP73:CQ73"/>
    <mergeCell ref="CP71:CQ71"/>
    <mergeCell ref="CV71:CW71"/>
    <mergeCell ref="CN76:CO76"/>
    <mergeCell ref="CX78:CY78"/>
    <mergeCell ref="CV81:CW81"/>
    <mergeCell ref="CN78:CO78"/>
    <mergeCell ref="CZ78:DA78"/>
    <mergeCell ref="CN72:CO72"/>
    <mergeCell ref="CV83:CW83"/>
    <mergeCell ref="CZ82:DA82"/>
    <mergeCell ref="CZ47:DA47"/>
    <mergeCell ref="CV46:CW46"/>
    <mergeCell ref="CT44:CU44"/>
    <mergeCell ref="CL43:CM43"/>
    <mergeCell ref="CP80:CQ80"/>
    <mergeCell ref="CV80:CW80"/>
    <mergeCell ref="CR80:CS80"/>
    <mergeCell ref="CJ81:CK81"/>
    <mergeCell ref="DP78:DQ78"/>
    <mergeCell ref="DB73:DC73"/>
    <mergeCell ref="CV113:CW113"/>
    <mergeCell ref="CV111:CW111"/>
    <mergeCell ref="DB113:DC113"/>
    <mergeCell ref="CZ87:DA87"/>
    <mergeCell ref="CX113:CY113"/>
    <mergeCell ref="CN112:CO112"/>
    <mergeCell ref="CV78:CW78"/>
    <mergeCell ref="CV82:CW82"/>
    <mergeCell ref="CX82:CY82"/>
    <mergeCell ref="DD83:DE83"/>
    <mergeCell ref="CR82:CS82"/>
    <mergeCell ref="CR79:CS79"/>
    <mergeCell ref="CN80:CO80"/>
    <mergeCell ref="DB79:DC79"/>
    <mergeCell ref="CN75:CO75"/>
    <mergeCell ref="CP112:CQ112"/>
    <mergeCell ref="CZ76:DA76"/>
    <mergeCell ref="CZ70:DA70"/>
    <mergeCell ref="CV75:CW75"/>
    <mergeCell ref="CZ134:DA134"/>
    <mergeCell ref="CV134:CW134"/>
    <mergeCell ref="DD133:DE133"/>
    <mergeCell ref="CN118:CO118"/>
    <mergeCell ref="CT130:CU130"/>
    <mergeCell ref="CX129:CY129"/>
    <mergeCell ref="DD123:DE123"/>
    <mergeCell ref="CR124:CS124"/>
    <mergeCell ref="CT116:CU116"/>
    <mergeCell ref="CV119:CW119"/>
    <mergeCell ref="CV115:CW115"/>
    <mergeCell ref="CP114:CQ114"/>
    <mergeCell ref="CZ129:DA129"/>
    <mergeCell ref="DB127:DC127"/>
    <mergeCell ref="CR122:CS122"/>
    <mergeCell ref="CR126:CS126"/>
    <mergeCell ref="DB126:DC126"/>
    <mergeCell ref="CR118:CS118"/>
    <mergeCell ref="CP83:CQ83"/>
    <mergeCell ref="CR83:CS83"/>
    <mergeCell ref="CT83:CU83"/>
    <mergeCell ref="DD81:DE81"/>
    <mergeCell ref="CT126:CU126"/>
    <mergeCell ref="CX128:CY128"/>
    <mergeCell ref="DB129:DC129"/>
    <mergeCell ref="CX76:CY76"/>
    <mergeCell ref="CR78:CS78"/>
    <mergeCell ref="DD114:DE114"/>
    <mergeCell ref="DD76:DE76"/>
    <mergeCell ref="DB70:DC70"/>
    <mergeCell ref="CT71:CU71"/>
    <mergeCell ref="CP121:CQ121"/>
    <mergeCell ref="CZ83:DA83"/>
    <mergeCell ref="CX87:CY87"/>
    <mergeCell ref="CR116:CS116"/>
    <mergeCell ref="CX83:CY83"/>
    <mergeCell ref="DB119:DC119"/>
    <mergeCell ref="CV121:CW121"/>
    <mergeCell ref="CZ120:DA120"/>
    <mergeCell ref="DB134:DC134"/>
    <mergeCell ref="CZ124:DA124"/>
    <mergeCell ref="CT122:CU122"/>
    <mergeCell ref="CX132:CY132"/>
    <mergeCell ref="CT128:CU128"/>
    <mergeCell ref="CX131:CY131"/>
    <mergeCell ref="CN124:CO124"/>
    <mergeCell ref="CR128:CS128"/>
    <mergeCell ref="CH49:CI49"/>
    <mergeCell ref="CX50:CY50"/>
    <mergeCell ref="CL113:CM113"/>
    <mergeCell ref="CL79:CM79"/>
    <mergeCell ref="CV73:CW73"/>
    <mergeCell ref="CX112:CY112"/>
    <mergeCell ref="CP115:CQ115"/>
    <mergeCell ref="CP78:CQ78"/>
    <mergeCell ref="CZ116:DA116"/>
    <mergeCell ref="CL82:CM82"/>
    <mergeCell ref="CL112:CM112"/>
    <mergeCell ref="CN79:CO79"/>
    <mergeCell ref="CT75:CU75"/>
    <mergeCell ref="CV70:CW70"/>
    <mergeCell ref="CX71:CY71"/>
    <mergeCell ref="DB71:DC71"/>
    <mergeCell ref="DD71:DE71"/>
    <mergeCell ref="CZ71:DA71"/>
    <mergeCell ref="DB112:DC112"/>
    <mergeCell ref="CZ81:DA81"/>
    <mergeCell ref="DB82:DC82"/>
    <mergeCell ref="DB81:DC81"/>
    <mergeCell ref="DB76:DC76"/>
    <mergeCell ref="CT114:CU114"/>
    <mergeCell ref="CV114:CW114"/>
    <mergeCell ref="CR113:CS113"/>
    <mergeCell ref="CP87:CQ87"/>
    <mergeCell ref="DD111:DE111"/>
    <mergeCell ref="CT82:CU82"/>
    <mergeCell ref="CV87:CW87"/>
    <mergeCell ref="DD78:DE78"/>
    <mergeCell ref="DD73:DE73"/>
    <mergeCell ref="DB75:DC75"/>
    <mergeCell ref="CX80:CY80"/>
    <mergeCell ref="CX72:CY72"/>
    <mergeCell ref="CV79:CW79"/>
    <mergeCell ref="CT111:CU111"/>
    <mergeCell ref="CT81:CU81"/>
    <mergeCell ref="DD113:DE113"/>
    <mergeCell ref="CZ112:DA112"/>
    <mergeCell ref="CV112:CW112"/>
    <mergeCell ref="CT113:CU113"/>
    <mergeCell ref="CX111:CY111"/>
    <mergeCell ref="DB65:DC65"/>
    <mergeCell ref="CZ65:DA65"/>
    <mergeCell ref="CP76:CQ76"/>
    <mergeCell ref="CJ78:CK78"/>
    <mergeCell ref="CL75:CM75"/>
    <mergeCell ref="CT80:CU80"/>
    <mergeCell ref="CT79:CU79"/>
    <mergeCell ref="CX115:CY115"/>
    <mergeCell ref="CZ80:DA80"/>
    <mergeCell ref="CT76:CU76"/>
    <mergeCell ref="CR87:CS87"/>
    <mergeCell ref="CT87:CU87"/>
    <mergeCell ref="CR75:CS75"/>
    <mergeCell ref="CJ76:CK76"/>
    <mergeCell ref="DD80:DE80"/>
    <mergeCell ref="DB78:DC78"/>
    <mergeCell ref="CX65:CY65"/>
    <mergeCell ref="CH80:CI80"/>
    <mergeCell ref="CP82:CQ82"/>
    <mergeCell ref="CJ79:CK79"/>
    <mergeCell ref="CP70:CQ70"/>
    <mergeCell ref="CN70:CO70"/>
    <mergeCell ref="CR76:CS76"/>
    <mergeCell ref="CV63:CW63"/>
    <mergeCell ref="CV56:CW56"/>
    <mergeCell ref="CH61:CI61"/>
    <mergeCell ref="CR68:CS68"/>
    <mergeCell ref="CX68:CY68"/>
    <mergeCell ref="CR64:CS64"/>
    <mergeCell ref="CJ68:CK68"/>
    <mergeCell ref="CP62:CQ62"/>
    <mergeCell ref="CX56:CY56"/>
    <mergeCell ref="CT60:CU60"/>
    <mergeCell ref="CV58:CW58"/>
    <mergeCell ref="CV61:CW61"/>
    <mergeCell ref="CV65:CW65"/>
    <mergeCell ref="CJ67:CK67"/>
    <mergeCell ref="CH65:CI65"/>
    <mergeCell ref="CJ57:CK57"/>
    <mergeCell ref="CN55:CO55"/>
    <mergeCell ref="CL55:CM55"/>
    <mergeCell ref="CN54:CO54"/>
    <mergeCell ref="CZ58:DA58"/>
    <mergeCell ref="CZ56:DA56"/>
    <mergeCell ref="DF76:DG76"/>
    <mergeCell ref="DF70:DG70"/>
    <mergeCell ref="DD79:DE79"/>
    <mergeCell ref="DF65:DG65"/>
    <mergeCell ref="CX70:CY70"/>
    <mergeCell ref="CT67:CU67"/>
    <mergeCell ref="DD62:DE62"/>
    <mergeCell ref="DB67:DC67"/>
    <mergeCell ref="CT73:CU73"/>
    <mergeCell ref="CV76:CW76"/>
    <mergeCell ref="CN66:CO66"/>
    <mergeCell ref="CN67:CO67"/>
    <mergeCell ref="CJ66:CK66"/>
    <mergeCell ref="CX55:CY55"/>
    <mergeCell ref="DF71:DG71"/>
    <mergeCell ref="DF66:DG66"/>
    <mergeCell ref="DF64:DG64"/>
    <mergeCell ref="CZ61:DA61"/>
    <mergeCell ref="CT72:CU72"/>
    <mergeCell ref="CV54:CW54"/>
    <mergeCell ref="DD72:DE72"/>
    <mergeCell ref="DB72:DC72"/>
    <mergeCell ref="CV72:CW72"/>
    <mergeCell ref="CZ69:DA69"/>
    <mergeCell ref="CV69:CW69"/>
    <mergeCell ref="CT69:CU69"/>
    <mergeCell ref="CR72:CS72"/>
    <mergeCell ref="DF69:DG69"/>
    <mergeCell ref="DF78:DG78"/>
    <mergeCell ref="DD56:DE56"/>
    <mergeCell ref="DD67:DE67"/>
    <mergeCell ref="DD64:DE64"/>
    <mergeCell ref="CJ75:CK75"/>
    <mergeCell ref="CZ79:DA79"/>
    <mergeCell ref="CT78:CU78"/>
    <mergeCell ref="CX79:CY79"/>
    <mergeCell ref="CT55:CU55"/>
    <mergeCell ref="CR57:CS57"/>
    <mergeCell ref="CP57:CQ57"/>
    <mergeCell ref="CJ80:CK80"/>
    <mergeCell ref="DB69:DC69"/>
    <mergeCell ref="CZ72:DA72"/>
    <mergeCell ref="CZ73:DA73"/>
    <mergeCell ref="CL72:CM72"/>
    <mergeCell ref="CP79:CQ79"/>
    <mergeCell ref="CX51:CY51"/>
    <mergeCell ref="CZ52:DA52"/>
    <mergeCell ref="CP64:CQ64"/>
    <mergeCell ref="CP68:CQ68"/>
    <mergeCell ref="DD55:DE55"/>
    <mergeCell ref="DD54:DE54"/>
    <mergeCell ref="DD60:DE60"/>
    <mergeCell ref="DF55:DG55"/>
    <mergeCell ref="DF63:DG63"/>
    <mergeCell ref="DF62:DG62"/>
    <mergeCell ref="DF54:DG54"/>
    <mergeCell ref="DF57:DG57"/>
    <mergeCell ref="DJ61:DK61"/>
    <mergeCell ref="DF68:DG68"/>
    <mergeCell ref="CR54:CS54"/>
    <mergeCell ref="DH60:DI60"/>
    <mergeCell ref="DJ68:DK68"/>
    <mergeCell ref="DH51:DI51"/>
    <mergeCell ref="DH50:DI50"/>
    <mergeCell ref="DJ53:DK53"/>
    <mergeCell ref="DJ51:DK51"/>
    <mergeCell ref="DN56:DO56"/>
    <mergeCell ref="DL51:DM51"/>
    <mergeCell ref="DL57:DM57"/>
    <mergeCell ref="CX69:CY69"/>
    <mergeCell ref="CZ62:DA62"/>
    <mergeCell ref="CX62:CY62"/>
    <mergeCell ref="DJ67:DK67"/>
    <mergeCell ref="DF52:DG52"/>
    <mergeCell ref="DD68:DE68"/>
    <mergeCell ref="DF72:DG72"/>
    <mergeCell ref="DD59:DE59"/>
    <mergeCell ref="DD61:DE61"/>
    <mergeCell ref="DN58:DO58"/>
    <mergeCell ref="DD50:DE50"/>
    <mergeCell ref="DB51:DC51"/>
    <mergeCell ref="DB57:DC57"/>
    <mergeCell ref="DB56:DC56"/>
    <mergeCell ref="DB55:DC55"/>
    <mergeCell ref="DB60:DC60"/>
    <mergeCell ref="DB54:DC54"/>
    <mergeCell ref="CZ55:DA55"/>
    <mergeCell ref="CZ50:DA50"/>
    <mergeCell ref="DD58:DE58"/>
    <mergeCell ref="CZ59:DA59"/>
    <mergeCell ref="DD53:DE53"/>
    <mergeCell ref="DF58:DG58"/>
    <mergeCell ref="DH58:DI58"/>
    <mergeCell ref="CT68:CU68"/>
    <mergeCell ref="CT57:CU57"/>
    <mergeCell ref="CX66:CY66"/>
    <mergeCell ref="CX67:CY67"/>
    <mergeCell ref="CX59:CY59"/>
    <mergeCell ref="CT65:CU65"/>
    <mergeCell ref="CV55:CW55"/>
    <mergeCell ref="DB52:DC52"/>
    <mergeCell ref="DF60:DG60"/>
    <mergeCell ref="DF53:DG53"/>
    <mergeCell ref="CX52:CY52"/>
    <mergeCell ref="EJ49:EK49"/>
    <mergeCell ref="EH47:EI47"/>
    <mergeCell ref="EH49:EI49"/>
    <mergeCell ref="EH55:EI55"/>
    <mergeCell ref="DZ56:EA56"/>
    <mergeCell ref="ED50:EE50"/>
    <mergeCell ref="DZ48:EA48"/>
    <mergeCell ref="ED59:EE59"/>
    <mergeCell ref="EB63:EC63"/>
    <mergeCell ref="EB48:EC48"/>
    <mergeCell ref="DT44:DU44"/>
    <mergeCell ref="DP71:DQ71"/>
    <mergeCell ref="DL70:DM70"/>
    <mergeCell ref="DN68:DO68"/>
    <mergeCell ref="DN69:DO69"/>
    <mergeCell ref="DL68:DM68"/>
    <mergeCell ref="EB44:EC44"/>
    <mergeCell ref="DN48:DO48"/>
    <mergeCell ref="DX55:DY55"/>
    <mergeCell ref="DX61:DY61"/>
    <mergeCell ref="DX48:DY48"/>
    <mergeCell ref="DT58:DU58"/>
    <mergeCell ref="DR44:DS44"/>
    <mergeCell ref="DP62:DQ62"/>
    <mergeCell ref="DP59:DQ59"/>
    <mergeCell ref="DZ67:EA67"/>
    <mergeCell ref="DR64:DS64"/>
    <mergeCell ref="DP60:DQ60"/>
    <mergeCell ref="DV53:DW53"/>
    <mergeCell ref="DN55:DO55"/>
    <mergeCell ref="DN60:DO60"/>
    <mergeCell ref="DP53:DQ53"/>
    <mergeCell ref="EH52:EI52"/>
    <mergeCell ref="DZ57:EA57"/>
    <mergeCell ref="EH54:EI54"/>
    <mergeCell ref="DX59:DY59"/>
    <mergeCell ref="DR58:DS58"/>
    <mergeCell ref="EH45:EI45"/>
    <mergeCell ref="DP50:DQ50"/>
    <mergeCell ref="DR51:DS51"/>
    <mergeCell ref="DX51:DY51"/>
    <mergeCell ref="DT61:DU61"/>
    <mergeCell ref="DZ70:EA70"/>
    <mergeCell ref="EJ46:EK46"/>
    <mergeCell ref="EJ53:EK53"/>
    <mergeCell ref="EJ63:EK63"/>
    <mergeCell ref="EH63:EI63"/>
    <mergeCell ref="DV65:DW65"/>
    <mergeCell ref="DT62:DU62"/>
    <mergeCell ref="DZ52:EA52"/>
    <mergeCell ref="DT48:DU48"/>
    <mergeCell ref="DR48:DS48"/>
    <mergeCell ref="DX68:DY68"/>
    <mergeCell ref="EH67:EI67"/>
    <mergeCell ref="EH65:EI65"/>
    <mergeCell ref="DV68:DW68"/>
    <mergeCell ref="DX62:DY62"/>
    <mergeCell ref="DX69:DY69"/>
    <mergeCell ref="DX70:DY70"/>
    <mergeCell ref="DX63:DY63"/>
    <mergeCell ref="DB47:DC47"/>
    <mergeCell ref="DB46:DC46"/>
    <mergeCell ref="DL45:DM45"/>
    <mergeCell ref="EJ60:EK60"/>
    <mergeCell ref="EH57:EI57"/>
    <mergeCell ref="EJ61:EK61"/>
    <mergeCell ref="DR47:DS47"/>
    <mergeCell ref="DT53:DU53"/>
    <mergeCell ref="DT55:DU55"/>
    <mergeCell ref="EJ55:EK55"/>
    <mergeCell ref="DV49:DW49"/>
    <mergeCell ref="DX47:DY47"/>
    <mergeCell ref="DV47:DW47"/>
    <mergeCell ref="DR50:DS50"/>
    <mergeCell ref="DL67:DM67"/>
    <mergeCell ref="DL65:DM65"/>
    <mergeCell ref="DN47:DO47"/>
    <mergeCell ref="DL72:DM72"/>
    <mergeCell ref="DN53:DO53"/>
    <mergeCell ref="DN54:DO54"/>
    <mergeCell ref="DX53:DY53"/>
    <mergeCell ref="DV66:DW66"/>
    <mergeCell ref="DX57:DY57"/>
    <mergeCell ref="DX60:DY60"/>
    <mergeCell ref="EH68:EI68"/>
    <mergeCell ref="DP46:DQ46"/>
    <mergeCell ref="DR46:DS46"/>
    <mergeCell ref="DN45:DO45"/>
    <mergeCell ref="EF55:EG55"/>
    <mergeCell ref="EB46:EC46"/>
    <mergeCell ref="EB54:EC54"/>
    <mergeCell ref="EB55:EC55"/>
    <mergeCell ref="ED60:EE60"/>
    <mergeCell ref="DZ60:EA60"/>
    <mergeCell ref="DV61:DW61"/>
    <mergeCell ref="EJ47:EK47"/>
    <mergeCell ref="EH53:EI53"/>
    <mergeCell ref="DT46:DU46"/>
    <mergeCell ref="DL55:DM55"/>
    <mergeCell ref="DL71:DM71"/>
    <mergeCell ref="DT51:DU51"/>
    <mergeCell ref="DL61:DM61"/>
    <mergeCell ref="DR56:DS56"/>
    <mergeCell ref="DL59:DM59"/>
    <mergeCell ref="DX56:DY56"/>
    <mergeCell ref="DP54:DQ54"/>
    <mergeCell ref="DX54:DY54"/>
    <mergeCell ref="DT45:DU45"/>
    <mergeCell ref="DR61:DS61"/>
    <mergeCell ref="EF61:EG61"/>
    <mergeCell ref="EB60:EC60"/>
    <mergeCell ref="DN46:DO46"/>
    <mergeCell ref="DX67:DY67"/>
    <mergeCell ref="EB53:EC53"/>
    <mergeCell ref="DR53:DS53"/>
    <mergeCell ref="EB50:EC50"/>
    <mergeCell ref="DT68:DU68"/>
    <mergeCell ref="DT63:DU63"/>
    <mergeCell ref="DP57:DQ57"/>
    <mergeCell ref="DV52:DW52"/>
    <mergeCell ref="DV60:DW60"/>
    <mergeCell ref="EJ45:EK45"/>
    <mergeCell ref="EJ57:EK57"/>
    <mergeCell ref="DX45:DY45"/>
    <mergeCell ref="EH46:EI46"/>
    <mergeCell ref="ED47:EE47"/>
    <mergeCell ref="EB58:EC58"/>
    <mergeCell ref="DZ54:EA54"/>
    <mergeCell ref="DZ61:EA61"/>
    <mergeCell ref="EH48:EI48"/>
    <mergeCell ref="DP45:DQ45"/>
    <mergeCell ref="DH57:DI57"/>
    <mergeCell ref="DH54:DI54"/>
    <mergeCell ref="DH68:DI68"/>
    <mergeCell ref="DJ46:DK46"/>
    <mergeCell ref="DT56:DU56"/>
    <mergeCell ref="EB62:EC62"/>
    <mergeCell ref="EF65:EG65"/>
    <mergeCell ref="EH62:EI62"/>
    <mergeCell ref="DL43:DM43"/>
    <mergeCell ref="DH43:DI43"/>
    <mergeCell ref="EF42:EG42"/>
    <mergeCell ref="DV42:DW42"/>
    <mergeCell ref="DR42:DS42"/>
    <mergeCell ref="EB42:EC42"/>
    <mergeCell ref="DZ42:EA42"/>
    <mergeCell ref="ED57:EE57"/>
    <mergeCell ref="ED52:EE52"/>
    <mergeCell ref="DX50:DY50"/>
    <mergeCell ref="DX46:DY46"/>
    <mergeCell ref="DZ46:EA46"/>
    <mergeCell ref="EF49:EG49"/>
    <mergeCell ref="DP44:DQ44"/>
    <mergeCell ref="DJ52:DK52"/>
    <mergeCell ref="DJ50:DK50"/>
    <mergeCell ref="DJ49:DK49"/>
    <mergeCell ref="DP52:DQ52"/>
    <mergeCell ref="DV56:DW56"/>
    <mergeCell ref="DP48:DQ48"/>
    <mergeCell ref="DL50:DM50"/>
    <mergeCell ref="DR43:DS43"/>
    <mergeCell ref="DJ43:DK43"/>
    <mergeCell ref="DH49:DI49"/>
    <mergeCell ref="DL47:DM47"/>
    <mergeCell ref="DL63:DM63"/>
    <mergeCell ref="DX52:DY52"/>
    <mergeCell ref="DV54:DW54"/>
    <mergeCell ref="DV58:DW58"/>
    <mergeCell ref="DR57:DS57"/>
    <mergeCell ref="DT52:DU52"/>
    <mergeCell ref="DT47:DU47"/>
    <mergeCell ref="DR49:DS49"/>
    <mergeCell ref="DJ48:DK48"/>
    <mergeCell ref="DP66:DQ66"/>
    <mergeCell ref="DH62:DI62"/>
    <mergeCell ref="DN63:DO63"/>
    <mergeCell ref="DR63:DS63"/>
    <mergeCell ref="DH64:DI64"/>
    <mergeCell ref="DP64:DQ64"/>
    <mergeCell ref="ED43:EE43"/>
    <mergeCell ref="DN61:DO61"/>
    <mergeCell ref="DP61:DQ61"/>
    <mergeCell ref="DH61:DI61"/>
    <mergeCell ref="DH59:DI59"/>
    <mergeCell ref="DN66:DO66"/>
    <mergeCell ref="DJ64:DK64"/>
    <mergeCell ref="DZ59:EA59"/>
    <mergeCell ref="DZ51:EA51"/>
    <mergeCell ref="EF48:EG48"/>
    <mergeCell ref="DT42:DU42"/>
    <mergeCell ref="EB47:EC47"/>
    <mergeCell ref="EB51:EC51"/>
    <mergeCell ref="DV44:DW44"/>
    <mergeCell ref="DH55:DI55"/>
    <mergeCell ref="DF50:DG50"/>
    <mergeCell ref="DF44:DG44"/>
    <mergeCell ref="DV46:DW46"/>
    <mergeCell ref="DV45:DW45"/>
    <mergeCell ref="DZ55:EA55"/>
    <mergeCell ref="DR54:DS54"/>
    <mergeCell ref="DR59:DS59"/>
    <mergeCell ref="DT59:DU59"/>
    <mergeCell ref="DT43:DU43"/>
    <mergeCell ref="DP43:DQ43"/>
    <mergeCell ref="DX43:DY43"/>
    <mergeCell ref="DF56:DG56"/>
    <mergeCell ref="DJ47:DK47"/>
    <mergeCell ref="DN62:DO62"/>
    <mergeCell ref="DP58:DQ58"/>
    <mergeCell ref="ED55:EE55"/>
    <mergeCell ref="DZ49:EA49"/>
    <mergeCell ref="DZ45:EA45"/>
    <mergeCell ref="ED58:EE58"/>
    <mergeCell ref="EB57:EC57"/>
    <mergeCell ref="EB59:EC59"/>
    <mergeCell ref="EB52:EC52"/>
    <mergeCell ref="DX49:DY49"/>
    <mergeCell ref="EB61:EC61"/>
    <mergeCell ref="ED56:EE56"/>
    <mergeCell ref="DN59:DO59"/>
    <mergeCell ref="DL52:DM52"/>
    <mergeCell ref="DR52:DS52"/>
    <mergeCell ref="DT60:DU60"/>
    <mergeCell ref="DV51:DW51"/>
    <mergeCell ref="DN50:DO50"/>
    <mergeCell ref="DN51:DO51"/>
    <mergeCell ref="DN44:DO44"/>
    <mergeCell ref="DJ54:DK54"/>
    <mergeCell ref="DH56:DI56"/>
    <mergeCell ref="DJ57:DK57"/>
    <mergeCell ref="DH52:DI52"/>
    <mergeCell ref="DF59:DG59"/>
    <mergeCell ref="DF49:DG49"/>
    <mergeCell ref="DL56:DM56"/>
    <mergeCell ref="DF51:DG51"/>
    <mergeCell ref="DL60:DM60"/>
    <mergeCell ref="DJ60:DK60"/>
    <mergeCell ref="DL62:DM62"/>
    <mergeCell ref="DL42:DM42"/>
    <mergeCell ref="DV50:DW50"/>
    <mergeCell ref="DV43:DW43"/>
    <mergeCell ref="DL49:DM49"/>
    <mergeCell ref="DL54:DM54"/>
    <mergeCell ref="DZ53:EA53"/>
    <mergeCell ref="DT50:DU50"/>
    <mergeCell ref="EB49:EC49"/>
    <mergeCell ref="EB45:EC45"/>
    <mergeCell ref="DZ58:EA58"/>
    <mergeCell ref="EF57:EG57"/>
    <mergeCell ref="EF58:EG58"/>
    <mergeCell ref="DH53:DI53"/>
    <mergeCell ref="DZ43:EA43"/>
    <mergeCell ref="DB132:DC132"/>
    <mergeCell ref="DT116:DU116"/>
    <mergeCell ref="DR120:DS120"/>
    <mergeCell ref="DD118:DE118"/>
    <mergeCell ref="DD117:DE117"/>
    <mergeCell ref="DB138:DC138"/>
    <mergeCell ref="DB137:DC137"/>
    <mergeCell ref="DP116:DQ116"/>
    <mergeCell ref="DF131:DG131"/>
    <mergeCell ref="DF125:DG125"/>
    <mergeCell ref="DF120:DG120"/>
    <mergeCell ref="DL129:DM129"/>
    <mergeCell ref="DL121:DM121"/>
    <mergeCell ref="DD130:DE130"/>
    <mergeCell ref="DR131:DS131"/>
    <mergeCell ref="DX132:DY132"/>
    <mergeCell ref="DX128:DY128"/>
    <mergeCell ref="DT129:DU129"/>
    <mergeCell ref="DV132:DW132"/>
    <mergeCell ref="DT120:DU120"/>
    <mergeCell ref="DT131:DU131"/>
    <mergeCell ref="DR119:DS119"/>
    <mergeCell ref="DV130:DW130"/>
    <mergeCell ref="DV128:DW128"/>
    <mergeCell ref="DT122:DU122"/>
    <mergeCell ref="DR123:DS123"/>
    <mergeCell ref="DR122:DS122"/>
    <mergeCell ref="DR132:DS132"/>
    <mergeCell ref="DJ120:DK120"/>
    <mergeCell ref="EB43:EC43"/>
    <mergeCell ref="EB56:EC56"/>
    <mergeCell ref="DZ47:EA47"/>
    <mergeCell ref="DZ50:EA50"/>
    <mergeCell ref="DH63:DI63"/>
    <mergeCell ref="DB68:DC68"/>
    <mergeCell ref="DH45:DI45"/>
    <mergeCell ref="DZ44:EA44"/>
    <mergeCell ref="DX44:DY44"/>
    <mergeCell ref="DB49:DC49"/>
    <mergeCell ref="DB48:DC48"/>
    <mergeCell ref="DV119:DW119"/>
    <mergeCell ref="DX87:DY87"/>
    <mergeCell ref="EB83:EC83"/>
    <mergeCell ref="DR127:DS127"/>
    <mergeCell ref="DH120:DI120"/>
    <mergeCell ref="DN123:DO123"/>
    <mergeCell ref="DF132:DG132"/>
    <mergeCell ref="DJ130:DK130"/>
    <mergeCell ref="DJ121:DK121"/>
    <mergeCell ref="DN119:DO119"/>
    <mergeCell ref="DL119:DM119"/>
    <mergeCell ref="DL120:DM120"/>
    <mergeCell ref="DV134:DW134"/>
    <mergeCell ref="DT134:DU134"/>
    <mergeCell ref="DL123:DM123"/>
    <mergeCell ref="DL122:DM122"/>
    <mergeCell ref="DD135:DE135"/>
    <mergeCell ref="DB135:DC135"/>
    <mergeCell ref="DN134:DO134"/>
    <mergeCell ref="DZ131:EA131"/>
    <mergeCell ref="DJ134:DK134"/>
    <mergeCell ref="DH134:DI134"/>
    <mergeCell ref="DB133:DC133"/>
    <mergeCell ref="DX130:DY130"/>
    <mergeCell ref="DX126:DY126"/>
    <mergeCell ref="DX131:DY131"/>
    <mergeCell ref="DT127:DU127"/>
    <mergeCell ref="DT83:DU83"/>
    <mergeCell ref="DZ132:EA132"/>
    <mergeCell ref="DP114:DQ114"/>
    <mergeCell ref="DZ122:EA122"/>
    <mergeCell ref="DH78:DI78"/>
    <mergeCell ref="DR78:DS78"/>
    <mergeCell ref="DL76:DM76"/>
    <mergeCell ref="DJ76:DK76"/>
    <mergeCell ref="DL79:DM79"/>
    <mergeCell ref="DJ79:DK79"/>
    <mergeCell ref="DR79:DS79"/>
    <mergeCell ref="DN79:DO79"/>
    <mergeCell ref="DP79:DQ79"/>
    <mergeCell ref="DL115:DM115"/>
    <mergeCell ref="DP81:DQ81"/>
    <mergeCell ref="DN113:DO113"/>
    <mergeCell ref="DJ141:DK141"/>
    <mergeCell ref="DJ136:DK136"/>
    <mergeCell ref="DN81:DO81"/>
    <mergeCell ref="DL83:DM83"/>
    <mergeCell ref="DJ82:DK82"/>
    <mergeCell ref="DN82:DO82"/>
    <mergeCell ref="DH81:DI81"/>
    <mergeCell ref="DF81:DG81"/>
    <mergeCell ref="DJ116:DK116"/>
    <mergeCell ref="DN118:DO118"/>
    <mergeCell ref="DJ117:DK117"/>
    <mergeCell ref="DF87:DG87"/>
    <mergeCell ref="DF82:DG82"/>
    <mergeCell ref="DP133:DQ133"/>
    <mergeCell ref="DP118:DQ118"/>
    <mergeCell ref="DP136:DQ136"/>
    <mergeCell ref="DV141:DW141"/>
    <mergeCell ref="DX134:DY134"/>
    <mergeCell ref="DV136:DW136"/>
    <mergeCell ref="DV78:DW78"/>
    <mergeCell ref="DR138:DS138"/>
    <mergeCell ref="DR139:DS139"/>
    <mergeCell ref="DT137:DU137"/>
    <mergeCell ref="DH116:DI116"/>
    <mergeCell ref="DN129:DO129"/>
    <mergeCell ref="DP128:DQ128"/>
    <mergeCell ref="DN128:DO128"/>
    <mergeCell ref="DF128:DG128"/>
    <mergeCell ref="DD137:DE137"/>
    <mergeCell ref="DL78:DM78"/>
    <mergeCell ref="DF73:DG73"/>
    <mergeCell ref="DF75:DG75"/>
    <mergeCell ref="DJ70:DK70"/>
    <mergeCell ref="DJ81:DK81"/>
    <mergeCell ref="DJ80:DK80"/>
    <mergeCell ref="DH82:DI82"/>
    <mergeCell ref="DF83:DG83"/>
    <mergeCell ref="DF80:DG80"/>
    <mergeCell ref="DH80:DI80"/>
    <mergeCell ref="DH113:DI113"/>
    <mergeCell ref="DH115:DI115"/>
    <mergeCell ref="DH79:DI79"/>
    <mergeCell ref="DJ118:DK118"/>
    <mergeCell ref="DB114:DC114"/>
    <mergeCell ref="DJ111:DK111"/>
    <mergeCell ref="DH112:DI112"/>
    <mergeCell ref="DH111:DI111"/>
    <mergeCell ref="DJ113:DK113"/>
    <mergeCell ref="DN135:DO135"/>
    <mergeCell ref="DN124:DO124"/>
    <mergeCell ref="DN78:DO78"/>
    <mergeCell ref="DN76:DO76"/>
    <mergeCell ref="DN80:DO80"/>
    <mergeCell ref="DH76:DI76"/>
    <mergeCell ref="DH73:DI73"/>
    <mergeCell ref="DJ115:DK115"/>
    <mergeCell ref="DB124:DC124"/>
    <mergeCell ref="DJ123:DK123"/>
    <mergeCell ref="DB139:DC139"/>
    <mergeCell ref="DF140:DG140"/>
    <mergeCell ref="DH140:DI140"/>
    <mergeCell ref="DN132:DO132"/>
    <mergeCell ref="DJ128:DK128"/>
    <mergeCell ref="DJ131:DK131"/>
    <mergeCell ref="DF117:DG117"/>
    <mergeCell ref="DJ122:DK122"/>
    <mergeCell ref="DL124:DM124"/>
    <mergeCell ref="DJ125:DK125"/>
    <mergeCell ref="DN133:DO133"/>
    <mergeCell ref="DF79:DG79"/>
    <mergeCell ref="DH72:DI72"/>
    <mergeCell ref="DH135:DI135"/>
    <mergeCell ref="DL136:DM136"/>
    <mergeCell ref="DL131:DM131"/>
    <mergeCell ref="DL125:DM125"/>
    <mergeCell ref="DL135:DM135"/>
    <mergeCell ref="DJ135:DK135"/>
    <mergeCell ref="DL134:DM134"/>
    <mergeCell ref="DJ129:DK129"/>
    <mergeCell ref="DJ132:DK132"/>
    <mergeCell ref="DJ133:DK133"/>
    <mergeCell ref="DH118:DI118"/>
    <mergeCell ref="DF118:DG118"/>
    <mergeCell ref="DF126:DG126"/>
    <mergeCell ref="DN130:DO130"/>
    <mergeCell ref="DN73:DO73"/>
    <mergeCell ref="DN72:DO72"/>
    <mergeCell ref="DH71:DI71"/>
    <mergeCell ref="DF134:DG134"/>
    <mergeCell ref="DD75:DE75"/>
    <mergeCell ref="DD70:DE70"/>
    <mergeCell ref="DD129:DE129"/>
    <mergeCell ref="DH47:DI47"/>
    <mergeCell ref="DN49:DO49"/>
    <mergeCell ref="DV70:DW70"/>
    <mergeCell ref="DJ63:DK63"/>
    <mergeCell ref="DL118:DM118"/>
    <mergeCell ref="DN120:DO120"/>
    <mergeCell ref="DN122:DO122"/>
    <mergeCell ref="DL81:DM81"/>
    <mergeCell ref="DR116:DS116"/>
    <mergeCell ref="DF115:DG115"/>
    <mergeCell ref="DH117:DI117"/>
    <mergeCell ref="DV133:DW133"/>
    <mergeCell ref="DL75:DM75"/>
    <mergeCell ref="DL66:DM66"/>
    <mergeCell ref="DJ65:DK65"/>
    <mergeCell ref="DJ75:DK75"/>
    <mergeCell ref="DJ71:DK71"/>
    <mergeCell ref="DJ78:DK78"/>
    <mergeCell ref="DL80:DM80"/>
    <mergeCell ref="DP82:DQ82"/>
    <mergeCell ref="DJ58:DK58"/>
    <mergeCell ref="DT54:DU54"/>
    <mergeCell ref="DV48:DW48"/>
    <mergeCell ref="DT49:DU49"/>
    <mergeCell ref="DP69:DQ69"/>
    <mergeCell ref="DF47:DG47"/>
    <mergeCell ref="DV57:DW57"/>
    <mergeCell ref="DH48:DI48"/>
    <mergeCell ref="DH65:DI65"/>
    <mergeCell ref="DP73:DQ73"/>
    <mergeCell ref="DR76:DS76"/>
    <mergeCell ref="DF48:DG48"/>
    <mergeCell ref="DV62:DW62"/>
    <mergeCell ref="DP75:DQ75"/>
    <mergeCell ref="DT126:DU126"/>
    <mergeCell ref="DR129:DS129"/>
    <mergeCell ref="DV131:DW131"/>
    <mergeCell ref="DP129:DQ129"/>
    <mergeCell ref="DR62:DS62"/>
    <mergeCell ref="DF61:DG61"/>
    <mergeCell ref="DJ59:DK59"/>
    <mergeCell ref="DV67:DW67"/>
    <mergeCell ref="DT66:DU66"/>
    <mergeCell ref="DT70:DU70"/>
    <mergeCell ref="DR69:DS69"/>
    <mergeCell ref="DT69:DU69"/>
    <mergeCell ref="DV69:DW69"/>
    <mergeCell ref="DJ72:DK72"/>
    <mergeCell ref="DV123:DW123"/>
    <mergeCell ref="DT125:DU125"/>
    <mergeCell ref="DD51:DE51"/>
    <mergeCell ref="CZ54:DA54"/>
    <mergeCell ref="DB62:DC62"/>
    <mergeCell ref="DB61:DC61"/>
    <mergeCell ref="CZ63:DA63"/>
    <mergeCell ref="DB50:DC50"/>
    <mergeCell ref="DD65:DE65"/>
    <mergeCell ref="DD66:DE66"/>
    <mergeCell ref="DP111:DQ111"/>
    <mergeCell ref="DD112:DE112"/>
    <mergeCell ref="DD87:DE87"/>
    <mergeCell ref="DR83:DS83"/>
    <mergeCell ref="DN83:DO83"/>
    <mergeCell ref="DL114:DM114"/>
    <mergeCell ref="DV55:DW55"/>
    <mergeCell ref="DP56:DQ56"/>
    <mergeCell ref="DL58:DM58"/>
    <mergeCell ref="DP63:DQ63"/>
    <mergeCell ref="DL64:DM64"/>
    <mergeCell ref="DN70:DO70"/>
    <mergeCell ref="DN75:DO75"/>
    <mergeCell ref="DV76:DW76"/>
    <mergeCell ref="DT76:DU76"/>
    <mergeCell ref="DJ62:DK62"/>
    <mergeCell ref="DL73:DM73"/>
    <mergeCell ref="EB72:EC72"/>
    <mergeCell ref="DH87:DI87"/>
    <mergeCell ref="DL111:DM111"/>
    <mergeCell ref="DF113:DG113"/>
    <mergeCell ref="DF112:DG112"/>
    <mergeCell ref="DF111:DG111"/>
    <mergeCell ref="DX82:DY82"/>
    <mergeCell ref="DH67:DI67"/>
    <mergeCell ref="DH75:DI75"/>
    <mergeCell ref="DJ69:DK69"/>
    <mergeCell ref="DJ73:DK73"/>
    <mergeCell ref="DN64:DO64"/>
    <mergeCell ref="DH66:DI66"/>
    <mergeCell ref="DN65:DO65"/>
    <mergeCell ref="DP68:DQ68"/>
    <mergeCell ref="DL69:DM69"/>
    <mergeCell ref="DL53:DM53"/>
    <mergeCell ref="DN52:DO52"/>
    <mergeCell ref="CZ57:DA57"/>
    <mergeCell ref="DD48:DE48"/>
    <mergeCell ref="DD63:DE63"/>
    <mergeCell ref="DD57:DE57"/>
    <mergeCell ref="CZ67:DA67"/>
    <mergeCell ref="DB66:DC66"/>
    <mergeCell ref="DB53:DC53"/>
    <mergeCell ref="DB64:DC64"/>
    <mergeCell ref="DZ62:EA62"/>
    <mergeCell ref="DZ68:EA68"/>
    <mergeCell ref="DZ72:EA72"/>
    <mergeCell ref="DZ69:EA69"/>
    <mergeCell ref="DX72:DY72"/>
    <mergeCell ref="DR72:DS72"/>
    <mergeCell ref="DZ64:EA64"/>
    <mergeCell ref="EB64:EC64"/>
    <mergeCell ref="CZ141:DA141"/>
    <mergeCell ref="DJ243:DK243"/>
    <mergeCell ref="CP251:CQ251"/>
    <mergeCell ref="DJ246:DK246"/>
    <mergeCell ref="CV255:CW255"/>
    <mergeCell ref="CX255:CY255"/>
    <mergeCell ref="CP245:CQ245"/>
    <mergeCell ref="CP256:CQ256"/>
    <mergeCell ref="DD256:DE256"/>
    <mergeCell ref="CT244:CU244"/>
    <mergeCell ref="CV248:CW248"/>
    <mergeCell ref="CZ247:DA247"/>
    <mergeCell ref="CP243:CQ243"/>
    <mergeCell ref="CR255:CS255"/>
    <mergeCell ref="DD251:DE251"/>
    <mergeCell ref="DH148:DI148"/>
    <mergeCell ref="DJ156:DK156"/>
    <mergeCell ref="DF155:DG155"/>
    <mergeCell ref="DB247:DC247"/>
    <mergeCell ref="DH246:DI246"/>
    <mergeCell ref="DJ164:DK164"/>
    <mergeCell ref="DF164:DG164"/>
    <mergeCell ref="CX156:CY156"/>
    <mergeCell ref="DB156:DC156"/>
    <mergeCell ref="CV155:CW155"/>
    <mergeCell ref="DB243:DC243"/>
    <mergeCell ref="CZ233:DA233"/>
    <mergeCell ref="DB233:DC233"/>
    <mergeCell ref="CZ149:DA149"/>
    <mergeCell ref="DJ147:DK147"/>
    <mergeCell ref="DD148:DE148"/>
    <mergeCell ref="DB248:DC248"/>
    <mergeCell ref="DD167:DE167"/>
    <mergeCell ref="DF157:DG157"/>
    <mergeCell ref="CP255:CQ255"/>
    <mergeCell ref="CP253:CQ253"/>
    <mergeCell ref="CP254:CQ254"/>
    <mergeCell ref="CT251:CU251"/>
    <mergeCell ref="CR252:CS252"/>
    <mergeCell ref="DF250:DG250"/>
    <mergeCell ref="CP248:CQ248"/>
    <mergeCell ref="DB250:DC250"/>
    <mergeCell ref="CV246:CW246"/>
    <mergeCell ref="DH249:DI249"/>
    <mergeCell ref="CP246:CQ246"/>
    <mergeCell ref="CV238:CW238"/>
    <mergeCell ref="CV237:CW237"/>
    <mergeCell ref="DF237:DG237"/>
    <mergeCell ref="CT238:CU238"/>
    <mergeCell ref="CR238:CS238"/>
    <mergeCell ref="DF247:DG247"/>
    <mergeCell ref="DJ152:DK152"/>
    <mergeCell ref="DJ242:DK242"/>
    <mergeCell ref="DH235:DI235"/>
    <mergeCell ref="CR237:CS237"/>
    <mergeCell ref="CR233:CS233"/>
    <mergeCell ref="DH238:DI238"/>
    <mergeCell ref="DF234:DG234"/>
    <mergeCell ref="CT247:CU247"/>
    <mergeCell ref="CV247:CW247"/>
    <mergeCell ref="CX245:CY245"/>
    <mergeCell ref="CP247:CQ247"/>
    <mergeCell ref="CX248:CY248"/>
    <mergeCell ref="DH243:DI243"/>
    <mergeCell ref="DD248:DE248"/>
    <mergeCell ref="CP250:CQ250"/>
    <mergeCell ref="CP249:CQ249"/>
    <mergeCell ref="CV257:CW257"/>
    <mergeCell ref="CT253:CU253"/>
    <mergeCell ref="CT260:CU260"/>
    <mergeCell ref="CT250:CU250"/>
    <mergeCell ref="CX252:CY252"/>
    <mergeCell ref="CV251:CW251"/>
    <mergeCell ref="DD252:DE252"/>
    <mergeCell ref="DH260:DI260"/>
    <mergeCell ref="DF248:DG248"/>
    <mergeCell ref="DH247:DI247"/>
    <mergeCell ref="DD238:DE238"/>
    <mergeCell ref="CZ243:DA243"/>
    <mergeCell ref="CV250:CW250"/>
    <mergeCell ref="CX250:CY250"/>
    <mergeCell ref="CX253:CY253"/>
    <mergeCell ref="CZ253:DA253"/>
    <mergeCell ref="CZ249:DA249"/>
    <mergeCell ref="DB249:DC249"/>
    <mergeCell ref="DD249:DE249"/>
    <mergeCell ref="CX249:CY249"/>
    <mergeCell ref="DF254:DG254"/>
    <mergeCell ref="CX251:CY251"/>
    <mergeCell ref="DB255:DC255"/>
    <mergeCell ref="DF252:DG252"/>
    <mergeCell ref="CR247:CS247"/>
    <mergeCell ref="DH252:DI252"/>
    <mergeCell ref="CV249:CW249"/>
    <mergeCell ref="CV252:CW252"/>
    <mergeCell ref="CV256:CW256"/>
    <mergeCell ref="CT258:CU258"/>
    <mergeCell ref="CV254:CW254"/>
    <mergeCell ref="DD260:DE260"/>
    <mergeCell ref="DB260:DC260"/>
    <mergeCell ref="DB258:DC258"/>
    <mergeCell ref="DD258:DE258"/>
    <mergeCell ref="DH255:DI255"/>
    <mergeCell ref="DF242:DG242"/>
    <mergeCell ref="CX247:CY247"/>
    <mergeCell ref="CZ256:DA256"/>
    <mergeCell ref="CX258:CY258"/>
    <mergeCell ref="DD259:DE259"/>
    <mergeCell ref="CZ250:DA250"/>
    <mergeCell ref="DF253:DG253"/>
    <mergeCell ref="DF255:DG255"/>
    <mergeCell ref="CP196:CQ196"/>
    <mergeCell ref="DF167:DG167"/>
    <mergeCell ref="CP259:CQ259"/>
    <mergeCell ref="CX244:CY244"/>
    <mergeCell ref="CR246:CS246"/>
    <mergeCell ref="DD242:DE242"/>
    <mergeCell ref="CX246:CY246"/>
    <mergeCell ref="CZ246:DA246"/>
    <mergeCell ref="CX256:CY256"/>
    <mergeCell ref="DL248:DM248"/>
    <mergeCell ref="DV257:DW257"/>
    <mergeCell ref="DV246:DW246"/>
    <mergeCell ref="DV248:DW248"/>
    <mergeCell ref="DV247:DW247"/>
    <mergeCell ref="DH251:DI251"/>
    <mergeCell ref="DR258:DS258"/>
    <mergeCell ref="DP245:DQ245"/>
    <mergeCell ref="DR245:DS245"/>
    <mergeCell ref="DT256:DU256"/>
    <mergeCell ref="DT252:DU252"/>
    <mergeCell ref="CV262:CW262"/>
    <mergeCell ref="DB261:DC261"/>
    <mergeCell ref="DD261:DE261"/>
    <mergeCell ref="DT243:DU243"/>
    <mergeCell ref="DL244:DM244"/>
    <mergeCell ref="DV249:DW249"/>
    <mergeCell ref="DV259:DW259"/>
    <mergeCell ref="DV252:DW252"/>
    <mergeCell ref="DV253:DW253"/>
    <mergeCell ref="DV251:DW251"/>
    <mergeCell ref="DT245:DU245"/>
    <mergeCell ref="DJ248:DK248"/>
    <mergeCell ref="DN249:DO249"/>
    <mergeCell ref="DP247:DQ247"/>
    <mergeCell ref="DD253:DE253"/>
    <mergeCell ref="CV243:CW243"/>
    <mergeCell ref="DP251:DQ251"/>
    <mergeCell ref="DN260:DO260"/>
    <mergeCell ref="DP261:DQ261"/>
    <mergeCell ref="DL243:DM243"/>
    <mergeCell ref="CV261:CW261"/>
    <mergeCell ref="CX260:CY260"/>
    <mergeCell ref="CZ260:DA260"/>
    <mergeCell ref="DB252:DC252"/>
    <mergeCell ref="DB246:DC246"/>
    <mergeCell ref="DJ261:DK261"/>
    <mergeCell ref="CV244:CW244"/>
    <mergeCell ref="CZ248:DA248"/>
    <mergeCell ref="DR257:DS257"/>
    <mergeCell ref="DP258:DQ258"/>
    <mergeCell ref="DR251:DS251"/>
    <mergeCell ref="DB257:DC257"/>
    <mergeCell ref="DP257:DQ257"/>
    <mergeCell ref="DP256:DQ256"/>
    <mergeCell ref="DL259:DM259"/>
    <mergeCell ref="DN257:DO257"/>
    <mergeCell ref="DD255:DE255"/>
    <mergeCell ref="CT245:CU245"/>
    <mergeCell ref="CZ261:DA261"/>
    <mergeCell ref="CZ262:DA262"/>
    <mergeCell ref="CX262:CY262"/>
    <mergeCell ref="DB262:DC262"/>
    <mergeCell ref="CX261:CY261"/>
    <mergeCell ref="DD262:DE262"/>
    <mergeCell ref="DB245:DC245"/>
    <mergeCell ref="DN248:DO248"/>
    <mergeCell ref="DR249:DS249"/>
    <mergeCell ref="DD267:DE267"/>
    <mergeCell ref="DD268:DE268"/>
    <mergeCell ref="DB264:DC264"/>
    <mergeCell ref="DB265:DC265"/>
    <mergeCell ref="DB267:DC267"/>
    <mergeCell ref="DL268:DM268"/>
    <mergeCell ref="DR266:DS266"/>
    <mergeCell ref="DJ265:DK265"/>
    <mergeCell ref="DT265:DU265"/>
    <mergeCell ref="DP267:DQ267"/>
    <mergeCell ref="DR267:DS267"/>
    <mergeCell ref="DT270:DU270"/>
    <mergeCell ref="DN267:DO267"/>
    <mergeCell ref="DL264:DM264"/>
    <mergeCell ref="CX265:CY265"/>
    <mergeCell ref="DB271:DC271"/>
    <mergeCell ref="CV258:CW258"/>
    <mergeCell ref="CT257:CU257"/>
    <mergeCell ref="CV260:CW260"/>
    <mergeCell ref="CX259:CY259"/>
    <mergeCell ref="CZ252:DA252"/>
    <mergeCell ref="DJ254:DK254"/>
    <mergeCell ref="DJ252:DK252"/>
    <mergeCell ref="CT263:CU263"/>
    <mergeCell ref="DF270:DG270"/>
    <mergeCell ref="CV253:CW253"/>
    <mergeCell ref="DJ264:DK264"/>
    <mergeCell ref="DT258:DU258"/>
    <mergeCell ref="DR254:DS254"/>
    <mergeCell ref="DH270:DI270"/>
    <mergeCell ref="CT252:CU252"/>
    <mergeCell ref="DH265:DI265"/>
    <mergeCell ref="DD266:DE266"/>
    <mergeCell ref="DP265:DQ265"/>
    <mergeCell ref="DP264:DQ264"/>
    <mergeCell ref="CT265:CU265"/>
    <mergeCell ref="DJ270:DK270"/>
    <mergeCell ref="DT251:DU251"/>
    <mergeCell ref="CZ251:DA251"/>
    <mergeCell ref="DB251:DC251"/>
    <mergeCell ref="DF257:DG257"/>
    <mergeCell ref="DF259:DG259"/>
    <mergeCell ref="DF265:DG265"/>
    <mergeCell ref="DD254:DE254"/>
    <mergeCell ref="CZ254:DA254"/>
    <mergeCell ref="DF251:DG251"/>
    <mergeCell ref="DF260:DG260"/>
    <mergeCell ref="DB259:DC259"/>
    <mergeCell ref="DF258:DG258"/>
    <mergeCell ref="DH245:DI245"/>
    <mergeCell ref="DD245:DE245"/>
    <mergeCell ref="CZ255:DA255"/>
    <mergeCell ref="CX263:CY263"/>
    <mergeCell ref="DB263:DC263"/>
    <mergeCell ref="CZ263:DA263"/>
    <mergeCell ref="CX266:CY266"/>
    <mergeCell ref="CZ266:DA266"/>
    <mergeCell ref="CV264:CW264"/>
    <mergeCell ref="CX264:CY264"/>
    <mergeCell ref="CZ264:DA264"/>
    <mergeCell ref="CV263:CW263"/>
    <mergeCell ref="DV243:DW243"/>
    <mergeCell ref="DN245:DO245"/>
    <mergeCell ref="DP246:DQ246"/>
    <mergeCell ref="DR246:DS246"/>
    <mergeCell ref="DJ155:DK155"/>
    <mergeCell ref="DJ154:DK154"/>
    <mergeCell ref="DR250:DS250"/>
    <mergeCell ref="DP293:DQ293"/>
    <mergeCell ref="DV284:DW284"/>
    <mergeCell ref="DN268:DO268"/>
    <mergeCell ref="DJ266:DK266"/>
    <mergeCell ref="DL266:DM266"/>
    <mergeCell ref="DP275:DQ275"/>
    <mergeCell ref="DV244:DW244"/>
    <mergeCell ref="DV242:DW242"/>
    <mergeCell ref="DP249:DQ249"/>
    <mergeCell ref="DP248:DQ248"/>
    <mergeCell ref="DL155:DM155"/>
    <mergeCell ref="DR158:DS158"/>
    <mergeCell ref="DP157:DQ157"/>
    <mergeCell ref="DH248:DI248"/>
    <mergeCell ref="DN246:DO246"/>
    <mergeCell ref="DF165:DG165"/>
    <mergeCell ref="DT170:DU170"/>
    <mergeCell ref="DT154:DU154"/>
    <mergeCell ref="DT157:DU157"/>
    <mergeCell ref="DT288:DU288"/>
    <mergeCell ref="DV288:DW288"/>
    <mergeCell ref="DP242:DQ242"/>
    <mergeCell ref="DP243:DQ243"/>
    <mergeCell ref="DV154:DW154"/>
    <mergeCell ref="DT165:DU165"/>
    <mergeCell ref="DR221:DS221"/>
    <mergeCell ref="DH221:DI221"/>
    <mergeCell ref="DJ196:DK196"/>
    <mergeCell ref="DP162:DQ162"/>
    <mergeCell ref="DV164:DW164"/>
    <mergeCell ref="DP167:DQ167"/>
    <mergeCell ref="DH167:DI167"/>
    <mergeCell ref="DN259:DO259"/>
    <mergeCell ref="DT259:DU259"/>
    <mergeCell ref="DL260:DM260"/>
    <mergeCell ref="DH253:DI253"/>
    <mergeCell ref="DN251:DO251"/>
    <mergeCell ref="DN255:DO255"/>
    <mergeCell ref="DT262:DU262"/>
    <mergeCell ref="DT257:DU257"/>
    <mergeCell ref="DL254:DM254"/>
    <mergeCell ref="DL253:DM253"/>
    <mergeCell ref="DN253:DO253"/>
    <mergeCell ref="DH242:DI242"/>
    <mergeCell ref="DL288:DM288"/>
    <mergeCell ref="DH274:DI274"/>
    <mergeCell ref="DR288:DS288"/>
    <mergeCell ref="DH272:DI272"/>
    <mergeCell ref="DF160:DG160"/>
    <mergeCell ref="DT160:DU160"/>
    <mergeCell ref="DB228:DC228"/>
    <mergeCell ref="DR242:DS242"/>
    <mergeCell ref="DL236:DM236"/>
    <mergeCell ref="DH263:DI263"/>
    <mergeCell ref="DJ245:DK245"/>
    <mergeCell ref="DV282:DW282"/>
    <mergeCell ref="DL246:DM246"/>
    <mergeCell ref="DN243:DO243"/>
    <mergeCell ref="DR243:DS243"/>
    <mergeCell ref="DJ276:DK276"/>
    <mergeCell ref="DJ282:DK282"/>
    <mergeCell ref="DP277:DQ277"/>
    <mergeCell ref="DN282:DO282"/>
    <mergeCell ref="DT246:DU246"/>
    <mergeCell ref="DN250:DO250"/>
    <mergeCell ref="DT249:DU249"/>
    <mergeCell ref="DH311:DI311"/>
    <mergeCell ref="DJ311:DK311"/>
    <mergeCell ref="DL311:DM311"/>
    <mergeCell ref="DN311:DO311"/>
    <mergeCell ref="DV297:DW297"/>
    <mergeCell ref="DV303:DW303"/>
    <mergeCell ref="DV308:DW308"/>
    <mergeCell ref="DH269:DI269"/>
    <mergeCell ref="DT305:DU305"/>
    <mergeCell ref="DN306:DO306"/>
    <mergeCell ref="DT304:DU304"/>
    <mergeCell ref="DP306:DQ306"/>
    <mergeCell ref="DF282:DG282"/>
    <mergeCell ref="DF266:DG266"/>
    <mergeCell ref="DF267:DG267"/>
    <mergeCell ref="DH267:DI267"/>
    <mergeCell ref="DH273:DI273"/>
    <mergeCell ref="DF273:DG273"/>
    <mergeCell ref="DF284:DG284"/>
    <mergeCell ref="DN270:DO270"/>
    <mergeCell ref="DJ267:DK267"/>
    <mergeCell ref="DJ268:DK268"/>
    <mergeCell ref="DV292:DW292"/>
    <mergeCell ref="DN266:DO266"/>
    <mergeCell ref="DP281:DQ281"/>
    <mergeCell ref="DN287:DO287"/>
    <mergeCell ref="DN274:DO274"/>
    <mergeCell ref="DT291:DU291"/>
    <mergeCell ref="DV291:DW291"/>
    <mergeCell ref="DT289:DU289"/>
    <mergeCell ref="DV289:DW289"/>
    <mergeCell ref="DN288:DO288"/>
    <mergeCell ref="DR293:DS293"/>
    <mergeCell ref="DH284:DI284"/>
    <mergeCell ref="DH285:DI285"/>
    <mergeCell ref="DJ285:DK285"/>
    <mergeCell ref="DL285:DM285"/>
    <mergeCell ref="DV296:DW296"/>
    <mergeCell ref="DV272:DW272"/>
    <mergeCell ref="DV268:DW268"/>
    <mergeCell ref="DP266:DQ266"/>
    <mergeCell ref="DR307:DS307"/>
    <mergeCell ref="DH278:DI278"/>
    <mergeCell ref="DJ278:DK278"/>
    <mergeCell ref="DJ244:DK244"/>
    <mergeCell ref="DP285:DQ285"/>
    <mergeCell ref="DL286:DM286"/>
    <mergeCell ref="DJ286:DK286"/>
    <mergeCell ref="DN294:DO294"/>
    <mergeCell ref="DP294:DQ294"/>
    <mergeCell ref="DR294:DS294"/>
    <mergeCell ref="DT294:DU294"/>
    <mergeCell ref="DV294:DW294"/>
    <mergeCell ref="DN284:DO284"/>
    <mergeCell ref="DP284:DQ284"/>
    <mergeCell ref="DN244:DO244"/>
    <mergeCell ref="DR247:DS247"/>
    <mergeCell ref="DL250:DM250"/>
    <mergeCell ref="DL249:DM249"/>
    <mergeCell ref="DT250:DU250"/>
    <mergeCell ref="DF249:DG249"/>
    <mergeCell ref="DF245:DG245"/>
    <mergeCell ref="DR244:DS244"/>
    <mergeCell ref="DH244:DI244"/>
    <mergeCell ref="DT247:DU247"/>
    <mergeCell ref="DL256:DM256"/>
    <mergeCell ref="DH266:DI266"/>
    <mergeCell ref="DH256:DI256"/>
    <mergeCell ref="DH264:DI264"/>
    <mergeCell ref="DF262:DG262"/>
    <mergeCell ref="DF268:DG268"/>
    <mergeCell ref="DJ263:DK263"/>
    <mergeCell ref="DV281:DW281"/>
    <mergeCell ref="DP273:DQ273"/>
    <mergeCell ref="DJ277:DK277"/>
    <mergeCell ref="DT292:DU292"/>
    <mergeCell ref="DL282:DM282"/>
    <mergeCell ref="DN272:DO272"/>
    <mergeCell ref="DP272:DQ272"/>
    <mergeCell ref="DR272:DS272"/>
    <mergeCell ref="DN271:DO271"/>
    <mergeCell ref="DT271:DU271"/>
    <mergeCell ref="DT269:DU269"/>
    <mergeCell ref="DT266:DU266"/>
    <mergeCell ref="DJ280:DK280"/>
    <mergeCell ref="DR268:DS268"/>
    <mergeCell ref="DR277:DS277"/>
    <mergeCell ref="DL270:DM270"/>
    <mergeCell ref="DR269:DS269"/>
    <mergeCell ref="DJ269:DK269"/>
    <mergeCell ref="DV267:DW267"/>
    <mergeCell ref="DV270:DW270"/>
    <mergeCell ref="DV273:DW273"/>
    <mergeCell ref="DP271:DQ271"/>
    <mergeCell ref="DL263:DM263"/>
    <mergeCell ref="DR263:DS263"/>
    <mergeCell ref="DT264:DU264"/>
    <mergeCell ref="DR273:DS273"/>
    <mergeCell ref="DJ250:DK250"/>
    <mergeCell ref="DT248:DU248"/>
    <mergeCell ref="DV245:DW245"/>
    <mergeCell ref="DL245:DM245"/>
    <mergeCell ref="DJ247:DK247"/>
    <mergeCell ref="DV250:DW250"/>
    <mergeCell ref="DN281:DO281"/>
    <mergeCell ref="DN278:DO278"/>
    <mergeCell ref="DN279:DO279"/>
    <mergeCell ref="DX289:DY289"/>
    <mergeCell ref="DZ289:EA289"/>
    <mergeCell ref="EB289:EC289"/>
    <mergeCell ref="DX286:DY286"/>
    <mergeCell ref="DV286:DW286"/>
    <mergeCell ref="DT287:DU287"/>
    <mergeCell ref="DP279:DQ279"/>
    <mergeCell ref="DP280:DQ280"/>
    <mergeCell ref="DR282:DS282"/>
    <mergeCell ref="DV278:DW278"/>
    <mergeCell ref="DP278:DQ278"/>
    <mergeCell ref="DT278:DU278"/>
    <mergeCell ref="ED285:EE285"/>
    <mergeCell ref="EF284:EG284"/>
    <mergeCell ref="EB281:EC281"/>
    <mergeCell ref="ED281:EE281"/>
    <mergeCell ref="EF281:EG281"/>
    <mergeCell ref="DX287:DY287"/>
    <mergeCell ref="EH295:EI295"/>
    <mergeCell ref="DX295:DY295"/>
    <mergeCell ref="EH291:EI291"/>
    <mergeCell ref="DX291:DY291"/>
    <mergeCell ref="DZ296:EA296"/>
    <mergeCell ref="EB295:EC295"/>
    <mergeCell ref="DZ302:EA302"/>
    <mergeCell ref="EB283:EC283"/>
    <mergeCell ref="EH277:EI277"/>
    <mergeCell ref="EF279:EG279"/>
    <mergeCell ref="DR274:DS274"/>
    <mergeCell ref="DT275:DU275"/>
    <mergeCell ref="DV275:DW275"/>
    <mergeCell ref="DR275:DS275"/>
    <mergeCell ref="DX276:DY276"/>
    <mergeCell ref="DZ276:EA276"/>
    <mergeCell ref="ED276:EE276"/>
    <mergeCell ref="ED280:EE280"/>
    <mergeCell ref="ED279:EE279"/>
    <mergeCell ref="DR279:DS279"/>
    <mergeCell ref="EF285:EG285"/>
    <mergeCell ref="EF280:EG280"/>
    <mergeCell ref="DT283:DU283"/>
    <mergeCell ref="DZ277:EA277"/>
    <mergeCell ref="DV276:DW276"/>
    <mergeCell ref="DX277:DY277"/>
    <mergeCell ref="DX281:DY281"/>
    <mergeCell ref="EH274:EI274"/>
    <mergeCell ref="DX290:DY290"/>
    <mergeCell ref="DV280:DW280"/>
    <mergeCell ref="DX294:DY294"/>
    <mergeCell ref="EB286:EC286"/>
    <mergeCell ref="EF282:EG282"/>
    <mergeCell ref="ED282:EE282"/>
    <mergeCell ref="EF287:EG287"/>
    <mergeCell ref="ED287:EE287"/>
    <mergeCell ref="EH284:EI284"/>
    <mergeCell ref="EH281:EI281"/>
    <mergeCell ref="EH279:EI279"/>
    <mergeCell ref="DV279:DW279"/>
    <mergeCell ref="DV283:DW283"/>
    <mergeCell ref="DR284:DS284"/>
    <mergeCell ref="DT284:DU284"/>
    <mergeCell ref="DX283:DY283"/>
    <mergeCell ref="DR280:DS280"/>
    <mergeCell ref="DT282:DU282"/>
    <mergeCell ref="DZ317:EA317"/>
    <mergeCell ref="EB317:EC317"/>
    <mergeCell ref="ED317:EE317"/>
    <mergeCell ref="DX270:DY270"/>
    <mergeCell ref="DV318:DW318"/>
    <mergeCell ref="DN313:DO313"/>
    <mergeCell ref="DP313:DQ313"/>
    <mergeCell ref="DR313:DS313"/>
    <mergeCell ref="EB267:EC267"/>
    <mergeCell ref="DL269:DM269"/>
    <mergeCell ref="DN269:DO269"/>
    <mergeCell ref="DP268:DQ268"/>
    <mergeCell ref="DV301:DW301"/>
    <mergeCell ref="DV299:DW299"/>
    <mergeCell ref="DV300:DW300"/>
    <mergeCell ref="DV302:DW302"/>
    <mergeCell ref="DV304:DW304"/>
    <mergeCell ref="DT316:DU316"/>
    <mergeCell ref="DV316:DW316"/>
    <mergeCell ref="DL315:DM315"/>
    <mergeCell ref="DT306:DU306"/>
    <mergeCell ref="ED284:EE284"/>
    <mergeCell ref="EB271:EC271"/>
    <mergeCell ref="DZ281:EA281"/>
    <mergeCell ref="DV290:DW290"/>
    <mergeCell ref="DT293:DU293"/>
    <mergeCell ref="DV293:DW293"/>
    <mergeCell ref="DR306:DS306"/>
    <mergeCell ref="DT307:DU307"/>
    <mergeCell ref="DV307:DW307"/>
    <mergeCell ref="DN315:DO315"/>
    <mergeCell ref="DP315:DQ315"/>
    <mergeCell ref="DR315:DS315"/>
    <mergeCell ref="DX269:DY269"/>
    <mergeCell ref="DZ304:EA304"/>
    <mergeCell ref="DX268:DY268"/>
    <mergeCell ref="DR285:DS285"/>
    <mergeCell ref="DV285:DW285"/>
    <mergeCell ref="DT286:DU286"/>
    <mergeCell ref="DX284:DY284"/>
    <mergeCell ref="DL281:DM281"/>
    <mergeCell ref="DP282:DQ282"/>
    <mergeCell ref="DX280:DY280"/>
    <mergeCell ref="DT314:DU314"/>
    <mergeCell ref="DZ306:EA306"/>
    <mergeCell ref="DL279:DM279"/>
    <mergeCell ref="DN309:DO309"/>
    <mergeCell ref="DP309:DQ309"/>
    <mergeCell ref="DR309:DS309"/>
    <mergeCell ref="ED312:EE312"/>
    <mergeCell ref="EB306:EC306"/>
    <mergeCell ref="DZ303:EA303"/>
    <mergeCell ref="DZ314:EA314"/>
    <mergeCell ref="EB314:EC314"/>
    <mergeCell ref="ED314:EE314"/>
    <mergeCell ref="DX301:DY301"/>
    <mergeCell ref="DT308:DU308"/>
    <mergeCell ref="ED289:EE289"/>
    <mergeCell ref="DX278:DY278"/>
    <mergeCell ref="DZ278:EA278"/>
    <mergeCell ref="DT281:DU281"/>
    <mergeCell ref="DT280:DU280"/>
    <mergeCell ref="DT285:DU285"/>
    <mergeCell ref="DV309:DW309"/>
    <mergeCell ref="EF317:EG317"/>
    <mergeCell ref="DX296:DY296"/>
    <mergeCell ref="EJ324:EK324"/>
    <mergeCell ref="EL324:EM324"/>
    <mergeCell ref="EN324:EO324"/>
    <mergeCell ref="EP324:EQ324"/>
    <mergeCell ref="DX318:DY318"/>
    <mergeCell ref="DZ318:EA318"/>
    <mergeCell ref="EB318:EC318"/>
    <mergeCell ref="ED318:EE318"/>
    <mergeCell ref="EF318:EG318"/>
    <mergeCell ref="EH318:EI318"/>
    <mergeCell ref="EJ318:EK318"/>
    <mergeCell ref="EL318:EM318"/>
    <mergeCell ref="EN318:EO318"/>
    <mergeCell ref="EP318:EQ318"/>
    <mergeCell ref="DX319:DY319"/>
    <mergeCell ref="DZ319:EA319"/>
    <mergeCell ref="EB319:EC319"/>
    <mergeCell ref="ED319:EE319"/>
    <mergeCell ref="EF319:EG319"/>
    <mergeCell ref="EH319:EI319"/>
    <mergeCell ref="EJ319:EK319"/>
    <mergeCell ref="EL319:EM319"/>
    <mergeCell ref="EN319:EO319"/>
    <mergeCell ref="EP319:EQ319"/>
    <mergeCell ref="DX320:DY320"/>
    <mergeCell ref="DZ320:EA320"/>
    <mergeCell ref="DX321:DY321"/>
    <mergeCell ref="EP321:EQ321"/>
    <mergeCell ref="EF323:EG323"/>
    <mergeCell ref="EP323:EQ323"/>
    <mergeCell ref="EF320:EG320"/>
    <mergeCell ref="EH320:EI320"/>
    <mergeCell ref="DX322:DY322"/>
    <mergeCell ref="DZ322:EA322"/>
    <mergeCell ref="EB322:EC322"/>
    <mergeCell ref="ED322:EE322"/>
    <mergeCell ref="EF322:EG322"/>
    <mergeCell ref="EL320:EM320"/>
    <mergeCell ref="EN320:EO320"/>
    <mergeCell ref="EP320:EQ320"/>
    <mergeCell ref="DZ321:EA321"/>
    <mergeCell ref="EF321:EG321"/>
    <mergeCell ref="EH321:EI321"/>
    <mergeCell ref="EB320:EC320"/>
    <mergeCell ref="ED320:EE320"/>
    <mergeCell ref="EJ320:EK320"/>
    <mergeCell ref="DX324:DY324"/>
    <mergeCell ref="DZ324:EA324"/>
    <mergeCell ref="EB324:EC324"/>
    <mergeCell ref="ED324:EE324"/>
    <mergeCell ref="EF324:EG324"/>
    <mergeCell ref="EH324:EI324"/>
    <mergeCell ref="EH322:EI322"/>
    <mergeCell ref="EJ322:EK322"/>
    <mergeCell ref="EL322:EM322"/>
    <mergeCell ref="EN322:EO322"/>
    <mergeCell ref="EJ321:EK321"/>
    <mergeCell ref="EP322:EQ322"/>
    <mergeCell ref="DX323:DY323"/>
    <mergeCell ref="DZ323:EA323"/>
    <mergeCell ref="EB323:EC323"/>
    <mergeCell ref="ED323:EE323"/>
    <mergeCell ref="EH317:EI317"/>
    <mergeCell ref="DX316:DY316"/>
    <mergeCell ref="DZ316:EA316"/>
    <mergeCell ref="EJ315:EK315"/>
    <mergeCell ref="DT298:DU298"/>
    <mergeCell ref="DV298:DW298"/>
    <mergeCell ref="EH323:EI323"/>
    <mergeCell ref="EJ323:EK323"/>
    <mergeCell ref="EL323:EM323"/>
    <mergeCell ref="EN323:EO323"/>
    <mergeCell ref="EJ317:EK317"/>
    <mergeCell ref="EL317:EM317"/>
    <mergeCell ref="DX317:DY317"/>
    <mergeCell ref="EF315:EG315"/>
    <mergeCell ref="EH315:EI315"/>
    <mergeCell ref="EP315:EQ315"/>
    <mergeCell ref="EN316:EO316"/>
    <mergeCell ref="EP316:EQ316"/>
    <mergeCell ref="DX315:DY315"/>
    <mergeCell ref="EN317:EO317"/>
    <mergeCell ref="EP317:EQ317"/>
    <mergeCell ref="EJ316:EK316"/>
    <mergeCell ref="EL316:EM316"/>
    <mergeCell ref="EL321:EM321"/>
    <mergeCell ref="EN321:EO321"/>
    <mergeCell ref="EB321:EC321"/>
    <mergeCell ref="ED321:EE321"/>
    <mergeCell ref="EP304:EQ304"/>
    <mergeCell ref="EJ304:EK304"/>
    <mergeCell ref="ED300:EE300"/>
    <mergeCell ref="EN311:EO311"/>
    <mergeCell ref="EB307:EC307"/>
    <mergeCell ref="EP312:EQ312"/>
    <mergeCell ref="DV305:DW305"/>
    <mergeCell ref="DX300:DY300"/>
    <mergeCell ref="EN309:EO309"/>
    <mergeCell ref="EP309:EQ309"/>
    <mergeCell ref="ED308:EE308"/>
    <mergeCell ref="EJ308:EK308"/>
    <mergeCell ref="EL308:EM308"/>
    <mergeCell ref="EL313:EM313"/>
    <mergeCell ref="DX311:DY311"/>
    <mergeCell ref="DT315:DU315"/>
    <mergeCell ref="DV315:DW315"/>
    <mergeCell ref="EH313:EI313"/>
    <mergeCell ref="EF316:EG316"/>
    <mergeCell ref="DX308:DY308"/>
    <mergeCell ref="EF310:EG310"/>
    <mergeCell ref="EH310:EI310"/>
    <mergeCell ref="DZ312:EA312"/>
    <mergeCell ref="EB312:EC312"/>
    <mergeCell ref="EH311:EI311"/>
    <mergeCell ref="EN313:EO313"/>
    <mergeCell ref="EP313:EQ313"/>
    <mergeCell ref="ED313:EE313"/>
    <mergeCell ref="EN314:EO314"/>
    <mergeCell ref="EN315:EO315"/>
    <mergeCell ref="EB316:EC316"/>
    <mergeCell ref="ED316:EE316"/>
    <mergeCell ref="DZ315:EA315"/>
    <mergeCell ref="EB315:EC315"/>
    <mergeCell ref="ED315:EE315"/>
    <mergeCell ref="DX314:DY314"/>
    <mergeCell ref="EJ311:EK311"/>
    <mergeCell ref="EF314:EG314"/>
    <mergeCell ref="EH314:EI314"/>
    <mergeCell ref="EJ314:EK314"/>
    <mergeCell ref="EL314:EM314"/>
    <mergeCell ref="EP314:EQ314"/>
    <mergeCell ref="EL315:EM315"/>
    <mergeCell ref="EL311:EM311"/>
    <mergeCell ref="DX307:DY307"/>
    <mergeCell ref="DX313:DY313"/>
    <mergeCell ref="DZ313:EA313"/>
    <mergeCell ref="EB313:EC313"/>
    <mergeCell ref="DX309:DY309"/>
    <mergeCell ref="EJ313:EK313"/>
    <mergeCell ref="DZ310:EA310"/>
    <mergeCell ref="ED310:EE310"/>
    <mergeCell ref="ED311:EE311"/>
    <mergeCell ref="EL310:EM310"/>
    <mergeCell ref="EF311:EG311"/>
    <mergeCell ref="EN310:EO310"/>
    <mergeCell ref="EP310:EQ310"/>
    <mergeCell ref="EP311:EQ311"/>
    <mergeCell ref="DZ311:EA311"/>
    <mergeCell ref="EH316:EI316"/>
    <mergeCell ref="EH308:EI308"/>
    <mergeCell ref="EP308:EQ308"/>
    <mergeCell ref="DZ308:EA308"/>
    <mergeCell ref="EL309:EM309"/>
    <mergeCell ref="EJ310:EK310"/>
    <mergeCell ref="EB311:EC311"/>
    <mergeCell ref="DX310:DY310"/>
    <mergeCell ref="DZ309:EA309"/>
    <mergeCell ref="EB309:EC309"/>
    <mergeCell ref="EB308:EC308"/>
    <mergeCell ref="EJ309:EK309"/>
    <mergeCell ref="EN307:EO307"/>
    <mergeCell ref="EP307:EQ307"/>
    <mergeCell ref="DZ307:EA307"/>
    <mergeCell ref="ED307:EE307"/>
    <mergeCell ref="EF307:EG307"/>
    <mergeCell ref="EJ312:EK312"/>
    <mergeCell ref="EL312:EM312"/>
    <mergeCell ref="EN312:EO312"/>
    <mergeCell ref="EB310:EC310"/>
    <mergeCell ref="DX312:DY312"/>
    <mergeCell ref="EF313:EG313"/>
    <mergeCell ref="ED309:EE309"/>
    <mergeCell ref="EF309:EG309"/>
    <mergeCell ref="EH309:EI309"/>
    <mergeCell ref="EF312:EG312"/>
    <mergeCell ref="EH312:EI312"/>
    <mergeCell ref="EF308:EG308"/>
    <mergeCell ref="EL301:EM301"/>
    <mergeCell ref="EN301:EO301"/>
    <mergeCell ref="EH301:EI301"/>
    <mergeCell ref="EH297:EI297"/>
    <mergeCell ref="EJ297:EK297"/>
    <mergeCell ref="ED297:EE297"/>
    <mergeCell ref="EB302:EC302"/>
    <mergeCell ref="EN308:EO308"/>
    <mergeCell ref="EH299:EI299"/>
    <mergeCell ref="EP302:EQ302"/>
    <mergeCell ref="EL306:EM306"/>
    <mergeCell ref="EL305:EM305"/>
    <mergeCell ref="EN305:EO305"/>
    <mergeCell ref="EF304:EG304"/>
    <mergeCell ref="EH304:EI304"/>
    <mergeCell ref="EJ307:EK307"/>
    <mergeCell ref="EF300:EG300"/>
    <mergeCell ref="DX292:DY292"/>
    <mergeCell ref="DZ292:EA292"/>
    <mergeCell ref="DX293:DY293"/>
    <mergeCell ref="DZ293:EA293"/>
    <mergeCell ref="EB293:EC293"/>
    <mergeCell ref="EJ293:EK293"/>
    <mergeCell ref="EJ292:EK292"/>
    <mergeCell ref="EP294:EQ294"/>
    <mergeCell ref="EP287:EQ287"/>
    <mergeCell ref="EB292:EC292"/>
    <mergeCell ref="ED292:EE292"/>
    <mergeCell ref="EP291:EQ291"/>
    <mergeCell ref="DZ288:EA288"/>
    <mergeCell ref="EB288:EC288"/>
    <mergeCell ref="ED288:EE288"/>
    <mergeCell ref="EL290:EM290"/>
    <mergeCell ref="EF292:EG292"/>
    <mergeCell ref="EP290:EQ290"/>
    <mergeCell ref="EP289:EQ289"/>
    <mergeCell ref="EJ290:EK290"/>
    <mergeCell ref="EB290:EC290"/>
    <mergeCell ref="ED290:EE290"/>
    <mergeCell ref="EB291:EC291"/>
    <mergeCell ref="EJ294:EK294"/>
    <mergeCell ref="EL294:EM294"/>
    <mergeCell ref="EL293:EM293"/>
    <mergeCell ref="EP293:EQ293"/>
    <mergeCell ref="EN290:EO290"/>
    <mergeCell ref="ED293:EE293"/>
    <mergeCell ref="EF293:EG293"/>
    <mergeCell ref="DX288:DY288"/>
    <mergeCell ref="EJ287:EK287"/>
    <mergeCell ref="EL289:EM289"/>
    <mergeCell ref="EF288:EG288"/>
    <mergeCell ref="DZ291:EA291"/>
    <mergeCell ref="EH287:EI287"/>
    <mergeCell ref="EP288:EQ288"/>
    <mergeCell ref="EH293:EI293"/>
    <mergeCell ref="EN294:EO294"/>
    <mergeCell ref="EH294:EI294"/>
    <mergeCell ref="EL295:EM295"/>
    <mergeCell ref="EF298:EG298"/>
    <mergeCell ref="EH298:EI298"/>
    <mergeCell ref="DX302:DY302"/>
    <mergeCell ref="EF299:EG299"/>
    <mergeCell ref="EF289:EG289"/>
    <mergeCell ref="EH289:EI289"/>
    <mergeCell ref="EJ306:EK306"/>
    <mergeCell ref="DX306:DY306"/>
    <mergeCell ref="EN304:EO304"/>
    <mergeCell ref="EL302:EM302"/>
    <mergeCell ref="ED304:EE304"/>
    <mergeCell ref="EB304:EC304"/>
    <mergeCell ref="DZ301:EA301"/>
    <mergeCell ref="EB301:EC301"/>
    <mergeCell ref="ED301:EE301"/>
    <mergeCell ref="ED302:EE302"/>
    <mergeCell ref="EF302:EG302"/>
    <mergeCell ref="EP305:EQ305"/>
    <mergeCell ref="EP301:EQ301"/>
    <mergeCell ref="DZ300:EA300"/>
    <mergeCell ref="DX303:DY303"/>
    <mergeCell ref="EL307:EM307"/>
    <mergeCell ref="DX297:DY297"/>
    <mergeCell ref="DZ297:EA297"/>
    <mergeCell ref="EB297:EC297"/>
    <mergeCell ref="EB303:EC303"/>
    <mergeCell ref="ED303:EE303"/>
    <mergeCell ref="EF303:EG303"/>
    <mergeCell ref="EH303:EI303"/>
    <mergeCell ref="EJ300:EK300"/>
    <mergeCell ref="DV306:DW306"/>
    <mergeCell ref="DV295:DW295"/>
    <mergeCell ref="DX304:DY304"/>
    <mergeCell ref="EH307:EI307"/>
    <mergeCell ref="EN306:EO306"/>
    <mergeCell ref="EF306:EG306"/>
    <mergeCell ref="EH306:EI306"/>
    <mergeCell ref="DZ305:EA305"/>
    <mergeCell ref="DX299:DY299"/>
    <mergeCell ref="DZ299:EA299"/>
    <mergeCell ref="EB300:EC300"/>
    <mergeCell ref="EJ301:EK301"/>
    <mergeCell ref="EP306:EQ306"/>
    <mergeCell ref="EN296:EO296"/>
    <mergeCell ref="EN297:EO297"/>
    <mergeCell ref="EF301:EG301"/>
    <mergeCell ref="EB305:EC305"/>
    <mergeCell ref="EL304:EM304"/>
    <mergeCell ref="DX305:DY305"/>
    <mergeCell ref="EF296:EG296"/>
    <mergeCell ref="EL299:EM299"/>
    <mergeCell ref="EL303:EM303"/>
    <mergeCell ref="EH305:EI305"/>
    <mergeCell ref="EJ295:EK295"/>
    <mergeCell ref="DX298:DY298"/>
    <mergeCell ref="EB296:EC296"/>
    <mergeCell ref="ED295:EE295"/>
    <mergeCell ref="EN295:EO295"/>
    <mergeCell ref="DZ295:EA295"/>
    <mergeCell ref="EF295:EG295"/>
    <mergeCell ref="ED306:EE306"/>
    <mergeCell ref="EN303:EO303"/>
    <mergeCell ref="EP303:EQ303"/>
    <mergeCell ref="ED305:EE305"/>
    <mergeCell ref="EF305:EG305"/>
    <mergeCell ref="EH302:EI302"/>
    <mergeCell ref="EJ302:EK302"/>
    <mergeCell ref="EJ303:EK303"/>
    <mergeCell ref="EN302:EO302"/>
    <mergeCell ref="EJ305:EK305"/>
    <mergeCell ref="EN298:EO298"/>
    <mergeCell ref="EJ285:EK285"/>
    <mergeCell ref="DX279:DY279"/>
    <mergeCell ref="EJ298:EK298"/>
    <mergeCell ref="EF297:EG297"/>
    <mergeCell ref="EL300:EM300"/>
    <mergeCell ref="EP300:EQ300"/>
    <mergeCell ref="DZ298:EA298"/>
    <mergeCell ref="EB298:EC298"/>
    <mergeCell ref="ED298:EE298"/>
    <mergeCell ref="EJ299:EK299"/>
    <mergeCell ref="EP297:EQ297"/>
    <mergeCell ref="ED299:EE299"/>
    <mergeCell ref="EN300:EO300"/>
    <mergeCell ref="EH300:EI300"/>
    <mergeCell ref="EP298:EQ298"/>
    <mergeCell ref="EB299:EC299"/>
    <mergeCell ref="EN299:EO299"/>
    <mergeCell ref="ED296:EE296"/>
    <mergeCell ref="EJ296:EK296"/>
    <mergeCell ref="EP299:EQ299"/>
    <mergeCell ref="EN289:EO289"/>
    <mergeCell ref="EP292:EQ292"/>
    <mergeCell ref="EN287:EO287"/>
    <mergeCell ref="EN293:EO293"/>
    <mergeCell ref="EH292:EI292"/>
    <mergeCell ref="EH283:EI283"/>
    <mergeCell ref="EB282:EC282"/>
    <mergeCell ref="EL292:EM292"/>
    <mergeCell ref="EN292:EO292"/>
    <mergeCell ref="EH296:EI296"/>
    <mergeCell ref="EL296:EM296"/>
    <mergeCell ref="EP296:EQ296"/>
    <mergeCell ref="DZ294:EA294"/>
    <mergeCell ref="EH288:EI288"/>
    <mergeCell ref="EJ291:EK291"/>
    <mergeCell ref="EL291:EM291"/>
    <mergeCell ref="EJ289:EK289"/>
    <mergeCell ref="EL288:EM288"/>
    <mergeCell ref="EL298:EM298"/>
    <mergeCell ref="EP295:EQ295"/>
    <mergeCell ref="ED291:EE291"/>
    <mergeCell ref="EL285:EM285"/>
    <mergeCell ref="EN282:EO282"/>
    <mergeCell ref="DZ285:EA285"/>
    <mergeCell ref="EB285:EC285"/>
    <mergeCell ref="DZ286:EA286"/>
    <mergeCell ref="DZ287:EA287"/>
    <mergeCell ref="EH290:EI290"/>
    <mergeCell ref="EL297:EM297"/>
    <mergeCell ref="EL287:EM287"/>
    <mergeCell ref="DZ290:EA290"/>
    <mergeCell ref="EL282:EM282"/>
    <mergeCell ref="ED286:EE286"/>
    <mergeCell ref="EF286:EG286"/>
    <mergeCell ref="EH286:EI286"/>
    <mergeCell ref="EJ286:EK286"/>
    <mergeCell ref="EH285:EI285"/>
    <mergeCell ref="DZ284:EA284"/>
    <mergeCell ref="EF294:EG294"/>
    <mergeCell ref="EB294:EC294"/>
    <mergeCell ref="ED294:EE294"/>
    <mergeCell ref="EF291:EG291"/>
    <mergeCell ref="EF290:EG290"/>
    <mergeCell ref="DX282:DY282"/>
    <mergeCell ref="EH278:EI278"/>
    <mergeCell ref="ED277:EE277"/>
    <mergeCell ref="EF277:EG277"/>
    <mergeCell ref="EH276:EI276"/>
    <mergeCell ref="EL283:EM283"/>
    <mergeCell ref="EB287:EC287"/>
    <mergeCell ref="DX285:DY285"/>
    <mergeCell ref="EL281:EM281"/>
    <mergeCell ref="EP285:EQ285"/>
    <mergeCell ref="EN285:EO285"/>
    <mergeCell ref="EN278:EO278"/>
    <mergeCell ref="EN283:EO283"/>
    <mergeCell ref="EJ284:EK284"/>
    <mergeCell ref="EJ282:EK282"/>
    <mergeCell ref="EJ281:EK281"/>
    <mergeCell ref="EJ279:EK279"/>
    <mergeCell ref="EP279:EQ279"/>
    <mergeCell ref="EN284:EO284"/>
    <mergeCell ref="EP281:EQ281"/>
    <mergeCell ref="DZ280:EA280"/>
    <mergeCell ref="EB277:EC277"/>
    <mergeCell ref="EB276:EC276"/>
    <mergeCell ref="EF276:EG276"/>
    <mergeCell ref="DR281:DS281"/>
    <mergeCell ref="EL280:EM280"/>
    <mergeCell ref="EP283:EQ283"/>
    <mergeCell ref="EP284:EQ284"/>
    <mergeCell ref="EF283:EG283"/>
    <mergeCell ref="EP286:EQ286"/>
    <mergeCell ref="DZ279:EA279"/>
    <mergeCell ref="EL276:EM276"/>
    <mergeCell ref="ED283:EE283"/>
    <mergeCell ref="DV287:DW287"/>
    <mergeCell ref="DZ282:EA282"/>
    <mergeCell ref="DT279:DU279"/>
    <mergeCell ref="DR276:DS276"/>
    <mergeCell ref="EH282:EI282"/>
    <mergeCell ref="EB284:EC284"/>
    <mergeCell ref="EB278:EC278"/>
    <mergeCell ref="ED278:EE278"/>
    <mergeCell ref="EF278:EG278"/>
    <mergeCell ref="EJ283:EK283"/>
    <mergeCell ref="EF269:EG269"/>
    <mergeCell ref="DL274:DM274"/>
    <mergeCell ref="DX271:DY271"/>
    <mergeCell ref="EB270:EC270"/>
    <mergeCell ref="DR271:DS271"/>
    <mergeCell ref="DN264:DO264"/>
    <mergeCell ref="DV262:DW262"/>
    <mergeCell ref="DT267:DU267"/>
    <mergeCell ref="DR265:DS265"/>
    <mergeCell ref="DR264:DS264"/>
    <mergeCell ref="DV263:DW263"/>
    <mergeCell ref="DL262:DM262"/>
    <mergeCell ref="DV277:DW277"/>
    <mergeCell ref="DL267:DM267"/>
    <mergeCell ref="DL272:DM272"/>
    <mergeCell ref="DX264:DY264"/>
    <mergeCell ref="ED271:EE271"/>
    <mergeCell ref="EF271:EG271"/>
    <mergeCell ref="DN262:DO262"/>
    <mergeCell ref="EH264:EI264"/>
    <mergeCell ref="EF264:EG264"/>
    <mergeCell ref="EJ264:EK264"/>
    <mergeCell ref="DP263:DQ263"/>
    <mergeCell ref="DL265:DM265"/>
    <mergeCell ref="DN265:DO265"/>
    <mergeCell ref="DX263:DY263"/>
    <mergeCell ref="DZ262:EA262"/>
    <mergeCell ref="DV274:DW274"/>
    <mergeCell ref="DP276:DQ276"/>
    <mergeCell ref="DT277:DU277"/>
    <mergeCell ref="DT276:DU276"/>
    <mergeCell ref="DZ265:EA265"/>
    <mergeCell ref="DT274:DU274"/>
    <mergeCell ref="ED264:EE264"/>
    <mergeCell ref="ED268:EE268"/>
    <mergeCell ref="EF268:EG268"/>
    <mergeCell ref="EH268:EI268"/>
    <mergeCell ref="EB263:EC263"/>
    <mergeCell ref="ED269:EE269"/>
    <mergeCell ref="DP270:DQ270"/>
    <mergeCell ref="DT268:DU268"/>
    <mergeCell ref="DR270:DS270"/>
    <mergeCell ref="EH273:EI273"/>
    <mergeCell ref="EJ263:EK263"/>
    <mergeCell ref="DZ267:EA267"/>
    <mergeCell ref="DV269:DW269"/>
    <mergeCell ref="DX265:DY265"/>
    <mergeCell ref="DP269:DQ269"/>
    <mergeCell ref="DX274:DY274"/>
    <mergeCell ref="DX272:DY272"/>
    <mergeCell ref="DX266:DY266"/>
    <mergeCell ref="EJ268:EK268"/>
    <mergeCell ref="EF270:EG270"/>
    <mergeCell ref="DX267:DY267"/>
    <mergeCell ref="DX273:DY273"/>
    <mergeCell ref="DV271:DW271"/>
    <mergeCell ref="DT273:DU273"/>
    <mergeCell ref="DZ272:EA272"/>
    <mergeCell ref="ED274:EE274"/>
    <mergeCell ref="EB273:EC273"/>
    <mergeCell ref="ED273:EE273"/>
    <mergeCell ref="DB281:DC281"/>
    <mergeCell ref="DB280:DC280"/>
    <mergeCell ref="EB275:EC275"/>
    <mergeCell ref="EB274:EC274"/>
    <mergeCell ref="DZ274:EA274"/>
    <mergeCell ref="DB273:DC273"/>
    <mergeCell ref="EB279:EC279"/>
    <mergeCell ref="EJ288:EK288"/>
    <mergeCell ref="DN273:DO273"/>
    <mergeCell ref="DL273:DM273"/>
    <mergeCell ref="DN280:DO280"/>
    <mergeCell ref="DH280:DI280"/>
    <mergeCell ref="DJ273:DK273"/>
    <mergeCell ref="DL277:DM277"/>
    <mergeCell ref="DH282:DI282"/>
    <mergeCell ref="DD273:DE273"/>
    <mergeCell ref="DD270:DE270"/>
    <mergeCell ref="DB266:DC266"/>
    <mergeCell ref="DD276:DE276"/>
    <mergeCell ref="DF276:DG276"/>
    <mergeCell ref="DH268:DI268"/>
    <mergeCell ref="CZ283:DA283"/>
    <mergeCell ref="DD287:DE287"/>
    <mergeCell ref="DJ271:DK271"/>
    <mergeCell ref="DL271:DM271"/>
    <mergeCell ref="DH271:DI271"/>
    <mergeCell ref="EF253:EG253"/>
    <mergeCell ref="EF258:EG258"/>
    <mergeCell ref="ED254:EE254"/>
    <mergeCell ref="EJ257:EK257"/>
    <mergeCell ref="DN276:DO276"/>
    <mergeCell ref="EF274:EG274"/>
    <mergeCell ref="ED275:EE275"/>
    <mergeCell ref="DJ257:DK257"/>
    <mergeCell ref="DT253:DU253"/>
    <mergeCell ref="DJ256:DK256"/>
    <mergeCell ref="DP254:DQ254"/>
    <mergeCell ref="DV255:DW255"/>
    <mergeCell ref="DP253:DQ253"/>
    <mergeCell ref="DX253:DY253"/>
    <mergeCell ref="DX275:DY275"/>
    <mergeCell ref="ED256:EE256"/>
    <mergeCell ref="ED261:EE261"/>
    <mergeCell ref="DJ260:DK260"/>
    <mergeCell ref="DT255:DU255"/>
    <mergeCell ref="DJ255:DK255"/>
    <mergeCell ref="ED266:EE266"/>
    <mergeCell ref="EB268:EC268"/>
    <mergeCell ref="DZ269:EA269"/>
    <mergeCell ref="EB269:EC269"/>
    <mergeCell ref="DZ266:EA266"/>
    <mergeCell ref="DZ270:EA270"/>
    <mergeCell ref="DZ260:EA260"/>
    <mergeCell ref="EB261:EC261"/>
    <mergeCell ref="DT272:DU272"/>
    <mergeCell ref="DZ258:EA258"/>
    <mergeCell ref="DZ283:EA283"/>
    <mergeCell ref="EB280:EC280"/>
    <mergeCell ref="EJ269:EK269"/>
    <mergeCell ref="EJ267:EK267"/>
    <mergeCell ref="EB264:EC264"/>
    <mergeCell ref="EB262:EC262"/>
    <mergeCell ref="EJ274:EK274"/>
    <mergeCell ref="DZ268:EA268"/>
    <mergeCell ref="ED255:EE255"/>
    <mergeCell ref="EB169:EC169"/>
    <mergeCell ref="ED235:EE235"/>
    <mergeCell ref="DR157:DS157"/>
    <mergeCell ref="DP158:DQ158"/>
    <mergeCell ref="DX161:DY161"/>
    <mergeCell ref="EH255:EI255"/>
    <mergeCell ref="DX248:DY248"/>
    <mergeCell ref="DX250:DY250"/>
    <mergeCell ref="DX238:DY238"/>
    <mergeCell ref="EH242:EI242"/>
    <mergeCell ref="DN242:DO242"/>
    <mergeCell ref="DN247:DO247"/>
    <mergeCell ref="DL247:DM247"/>
    <mergeCell ref="DZ249:EA249"/>
    <mergeCell ref="EF246:EG246"/>
    <mergeCell ref="EH248:EI248"/>
    <mergeCell ref="EH246:EI246"/>
    <mergeCell ref="EB248:EC248"/>
    <mergeCell ref="EB249:EC249"/>
    <mergeCell ref="EH249:EI249"/>
    <mergeCell ref="ED246:EE246"/>
    <mergeCell ref="EB161:EC161"/>
    <mergeCell ref="DL161:DM161"/>
    <mergeCell ref="DX157:DY157"/>
    <mergeCell ref="DT242:DU242"/>
    <mergeCell ref="EF242:EG242"/>
    <mergeCell ref="DX158:DY158"/>
    <mergeCell ref="DZ247:EA247"/>
    <mergeCell ref="DT153:DU153"/>
    <mergeCell ref="DT196:DU196"/>
    <mergeCell ref="DX153:DY153"/>
    <mergeCell ref="ED245:EE245"/>
    <mergeCell ref="EF252:EG252"/>
    <mergeCell ref="EB247:EC247"/>
    <mergeCell ref="EB238:EC238"/>
    <mergeCell ref="DZ245:EA245"/>
    <mergeCell ref="EB159:EC159"/>
    <mergeCell ref="ED159:EE159"/>
    <mergeCell ref="EB252:EC252"/>
    <mergeCell ref="DZ253:EA253"/>
    <mergeCell ref="DZ252:EA252"/>
    <mergeCell ref="EF158:EG158"/>
    <mergeCell ref="EB157:EC157"/>
    <mergeCell ref="DT155:DU155"/>
    <mergeCell ref="DX254:DY254"/>
    <mergeCell ref="DX252:DY252"/>
    <mergeCell ref="DX255:DY255"/>
    <mergeCell ref="DX232:DY232"/>
    <mergeCell ref="EH155:EI155"/>
    <mergeCell ref="DV167:DW167"/>
    <mergeCell ref="DP244:DQ244"/>
    <mergeCell ref="DT244:DU244"/>
    <mergeCell ref="DL242:DM242"/>
    <mergeCell ref="DN236:DO236"/>
    <mergeCell ref="DZ251:EA251"/>
    <mergeCell ref="EF154:EG154"/>
    <mergeCell ref="EH165:EI165"/>
    <mergeCell ref="DX246:DY246"/>
    <mergeCell ref="DX243:DY243"/>
    <mergeCell ref="DX245:DY245"/>
    <mergeCell ref="DX244:DY244"/>
    <mergeCell ref="EB245:EC245"/>
    <mergeCell ref="DZ244:EA244"/>
    <mergeCell ref="EX159:EY159"/>
    <mergeCell ref="EV159:EW159"/>
    <mergeCell ref="EX160:EY160"/>
    <mergeCell ref="EZ160:FA160"/>
    <mergeCell ref="EN167:EO167"/>
    <mergeCell ref="EJ167:EK167"/>
    <mergeCell ref="EZ153:FA153"/>
    <mergeCell ref="EL152:EM152"/>
    <mergeCell ref="EN154:EO154"/>
    <mergeCell ref="ET153:EU153"/>
    <mergeCell ref="ER153:ES153"/>
    <mergeCell ref="ER154:ES154"/>
    <mergeCell ref="EN149:EO149"/>
    <mergeCell ref="EP157:EQ157"/>
    <mergeCell ref="EN151:EO151"/>
    <mergeCell ref="EJ157:EK157"/>
    <mergeCell ref="EL151:EM151"/>
    <mergeCell ref="EN156:EO156"/>
    <mergeCell ref="EN157:EO157"/>
    <mergeCell ref="EN158:EO158"/>
    <mergeCell ref="EJ148:EK148"/>
    <mergeCell ref="EP160:EQ160"/>
    <mergeCell ref="FB153:FC153"/>
    <mergeCell ref="FB148:FC148"/>
    <mergeCell ref="EX148:EY148"/>
    <mergeCell ref="FB154:FC154"/>
    <mergeCell ref="FB156:FC156"/>
    <mergeCell ref="EJ149:EK149"/>
    <mergeCell ref="ER152:ES152"/>
    <mergeCell ref="EZ157:FA157"/>
    <mergeCell ref="EZ158:FA158"/>
    <mergeCell ref="EP158:EQ158"/>
    <mergeCell ref="EP148:EQ148"/>
    <mergeCell ref="EL150:EM150"/>
    <mergeCell ref="ER150:ES150"/>
    <mergeCell ref="EN164:EO164"/>
    <mergeCell ref="EP167:EQ167"/>
    <mergeCell ref="EP151:EQ151"/>
    <mergeCell ref="EP150:EQ150"/>
    <mergeCell ref="ER149:ES149"/>
    <mergeCell ref="ER155:ES155"/>
    <mergeCell ref="ET154:EU154"/>
    <mergeCell ref="EX151:EY151"/>
    <mergeCell ref="ER164:ES164"/>
    <mergeCell ref="EL160:EM160"/>
    <mergeCell ref="EJ155:EK155"/>
    <mergeCell ref="EX162:EY162"/>
    <mergeCell ref="EP162:EQ162"/>
    <mergeCell ref="ET158:EU158"/>
    <mergeCell ref="FB151:FC151"/>
    <mergeCell ref="FB158:FC158"/>
    <mergeCell ref="EL153:EM153"/>
    <mergeCell ref="EJ153:EK153"/>
    <mergeCell ref="EX157:EY157"/>
    <mergeCell ref="ET162:EU162"/>
    <mergeCell ref="EL164:EM164"/>
    <mergeCell ref="EP164:EQ164"/>
    <mergeCell ref="FB159:FC159"/>
    <mergeCell ref="EZ159:FA159"/>
    <mergeCell ref="EV162:EW162"/>
    <mergeCell ref="EV165:EW165"/>
    <mergeCell ref="EX164:EY164"/>
    <mergeCell ref="ET161:EU161"/>
    <mergeCell ref="EJ159:EK159"/>
    <mergeCell ref="EL252:EM252"/>
    <mergeCell ref="EZ245:FA245"/>
    <mergeCell ref="EB154:EC154"/>
    <mergeCell ref="DX154:DY154"/>
    <mergeCell ref="EL251:EM251"/>
    <mergeCell ref="EJ252:EK252"/>
    <mergeCell ref="EH237:EI237"/>
    <mergeCell ref="EB237:EC237"/>
    <mergeCell ref="EB236:EC236"/>
    <mergeCell ref="DZ243:EA243"/>
    <mergeCell ref="EB246:EC246"/>
    <mergeCell ref="ED244:EE244"/>
    <mergeCell ref="DZ248:EA248"/>
    <mergeCell ref="EH243:EI243"/>
    <mergeCell ref="EB235:EC235"/>
    <mergeCell ref="ET243:EU243"/>
    <mergeCell ref="ER247:ES247"/>
    <mergeCell ref="EP247:EQ247"/>
    <mergeCell ref="EP234:EQ234"/>
    <mergeCell ref="ET221:EU221"/>
    <mergeCell ref="DX167:DY167"/>
    <mergeCell ref="EP149:EQ149"/>
    <mergeCell ref="EZ232:FA232"/>
    <mergeCell ref="EP242:EQ242"/>
    <mergeCell ref="EL254:EM254"/>
    <mergeCell ref="EF255:EG255"/>
    <mergeCell ref="EF256:EG256"/>
    <mergeCell ref="EZ249:FA249"/>
    <mergeCell ref="ET246:EU246"/>
    <mergeCell ref="EX238:EY238"/>
    <mergeCell ref="EH150:EI150"/>
    <mergeCell ref="EL246:EM246"/>
    <mergeCell ref="ER242:ES242"/>
    <mergeCell ref="EB254:EC254"/>
    <mergeCell ref="ED253:EE253"/>
    <mergeCell ref="EZ169:FA169"/>
    <mergeCell ref="ET159:EU159"/>
    <mergeCell ref="EH158:EI158"/>
    <mergeCell ref="EH156:EI156"/>
    <mergeCell ref="DX242:DY242"/>
    <mergeCell ref="EF245:EG245"/>
    <mergeCell ref="DX249:DY249"/>
    <mergeCell ref="ED251:EE251"/>
    <mergeCell ref="DX251:DY251"/>
    <mergeCell ref="EF251:EG251"/>
    <mergeCell ref="EB251:EC251"/>
    <mergeCell ref="DZ250:EA250"/>
    <mergeCell ref="EB255:EC255"/>
    <mergeCell ref="EB250:EC250"/>
    <mergeCell ref="ED252:EE252"/>
    <mergeCell ref="EN252:EO252"/>
    <mergeCell ref="EN256:EO256"/>
    <mergeCell ref="DZ159:EA159"/>
    <mergeCell ref="ED155:EE155"/>
    <mergeCell ref="EJ156:EK156"/>
    <mergeCell ref="EB155:EC155"/>
    <mergeCell ref="DZ156:EA156"/>
    <mergeCell ref="EP235:EQ235"/>
    <mergeCell ref="EZ196:FA196"/>
    <mergeCell ref="ED149:EE149"/>
    <mergeCell ref="EZ246:FA246"/>
    <mergeCell ref="EL243:EM243"/>
    <mergeCell ref="EV161:EW161"/>
    <mergeCell ref="ER160:ES160"/>
    <mergeCell ref="DX247:DY247"/>
    <mergeCell ref="DZ237:EA237"/>
    <mergeCell ref="ED250:EE250"/>
    <mergeCell ref="EF248:EG248"/>
    <mergeCell ref="ED248:EE248"/>
    <mergeCell ref="EJ151:EK151"/>
    <mergeCell ref="DZ246:EA246"/>
    <mergeCell ref="ED153:EE153"/>
    <mergeCell ref="EF155:EG155"/>
    <mergeCell ref="DZ155:EA155"/>
    <mergeCell ref="EL154:EM154"/>
    <mergeCell ref="EJ244:EK244"/>
    <mergeCell ref="EJ249:EK249"/>
    <mergeCell ref="EL238:EM238"/>
    <mergeCell ref="ED243:EE243"/>
    <mergeCell ref="EH159:EI159"/>
    <mergeCell ref="EN160:EO160"/>
    <mergeCell ref="EF153:EG153"/>
    <mergeCell ref="DZ151:EA151"/>
    <mergeCell ref="EF151:EG151"/>
    <mergeCell ref="EL162:EM162"/>
    <mergeCell ref="EB158:EC158"/>
    <mergeCell ref="EB151:EC151"/>
    <mergeCell ref="ED157:EE157"/>
    <mergeCell ref="EL155:EM155"/>
    <mergeCell ref="ED156:EE156"/>
    <mergeCell ref="EJ154:EK154"/>
    <mergeCell ref="EF243:EG243"/>
    <mergeCell ref="EJ160:EK160"/>
    <mergeCell ref="EL159:EM159"/>
    <mergeCell ref="EJ158:EK158"/>
    <mergeCell ref="EL158:EM158"/>
    <mergeCell ref="EF237:EG237"/>
    <mergeCell ref="EN245:EO245"/>
    <mergeCell ref="EN249:EO249"/>
    <mergeCell ref="EH157:EI157"/>
    <mergeCell ref="EB153:EC153"/>
    <mergeCell ref="EL196:EM196"/>
    <mergeCell ref="ED160:EE160"/>
    <mergeCell ref="EH228:EI228"/>
    <mergeCell ref="ED151:EE151"/>
    <mergeCell ref="EB156:EC156"/>
    <mergeCell ref="EF157:EG157"/>
    <mergeCell ref="DX156:DY156"/>
    <mergeCell ref="EH151:EI151"/>
    <mergeCell ref="EJ152:EK152"/>
    <mergeCell ref="EH152:EI152"/>
    <mergeCell ref="EF152:EG152"/>
    <mergeCell ref="ED158:EE158"/>
    <mergeCell ref="EF156:EG156"/>
    <mergeCell ref="EB242:EC242"/>
    <mergeCell ref="ED247:EE247"/>
    <mergeCell ref="EL250:EM250"/>
    <mergeCell ref="EF228:EG228"/>
    <mergeCell ref="EB196:EC196"/>
    <mergeCell ref="EJ164:EK164"/>
    <mergeCell ref="EN165:EO165"/>
    <mergeCell ref="DZ169:EA169"/>
    <mergeCell ref="EF161:EG161"/>
    <mergeCell ref="ED162:EE162"/>
    <mergeCell ref="ED164:EE164"/>
    <mergeCell ref="DZ160:EA160"/>
    <mergeCell ref="DZ161:EA161"/>
    <mergeCell ref="EH160:EI160"/>
    <mergeCell ref="EZ242:FA242"/>
    <mergeCell ref="FB242:FC242"/>
    <mergeCell ref="EB244:EC244"/>
    <mergeCell ref="EJ232:EK232"/>
    <mergeCell ref="EV237:EW237"/>
    <mergeCell ref="EZ228:FA228"/>
    <mergeCell ref="FB170:FC170"/>
    <mergeCell ref="EB160:EC160"/>
    <mergeCell ref="ED143:EE143"/>
    <mergeCell ref="ED154:EE154"/>
    <mergeCell ref="EP156:EQ156"/>
    <mergeCell ref="ER158:ES158"/>
    <mergeCell ref="EV146:EW146"/>
    <mergeCell ref="EN144:EO144"/>
    <mergeCell ref="EN143:EO143"/>
    <mergeCell ref="EP153:EQ153"/>
    <mergeCell ref="FB157:FC157"/>
    <mergeCell ref="EF143:EG143"/>
    <mergeCell ref="ET157:EU157"/>
    <mergeCell ref="EV157:EW157"/>
    <mergeCell ref="ER148:ES148"/>
    <mergeCell ref="ET143:EU143"/>
    <mergeCell ref="EH145:EI145"/>
    <mergeCell ref="EH153:EI153"/>
    <mergeCell ref="EH154:EI154"/>
    <mergeCell ref="EN150:EO150"/>
    <mergeCell ref="EP243:EQ243"/>
    <mergeCell ref="EB170:EC170"/>
    <mergeCell ref="EB152:EC152"/>
    <mergeCell ref="EH170:EI170"/>
    <mergeCell ref="ED167:EE167"/>
    <mergeCell ref="FB238:FC238"/>
    <mergeCell ref="EZ244:FA244"/>
    <mergeCell ref="EV242:EW242"/>
    <mergeCell ref="EX242:EY242"/>
    <mergeCell ref="FB243:FC243"/>
    <mergeCell ref="EL156:EM156"/>
    <mergeCell ref="EV156:EW156"/>
    <mergeCell ref="FB232:FC232"/>
    <mergeCell ref="EH196:EI196"/>
    <mergeCell ref="ET228:EU228"/>
    <mergeCell ref="EV169:EW169"/>
    <mergeCell ref="EX169:EY169"/>
    <mergeCell ref="EB221:EC221"/>
    <mergeCell ref="EN169:EO169"/>
    <mergeCell ref="EN161:EO161"/>
    <mergeCell ref="ET160:EU160"/>
    <mergeCell ref="ER159:ES159"/>
    <mergeCell ref="EX147:EY147"/>
    <mergeCell ref="EV244:EW244"/>
    <mergeCell ref="FB165:FC165"/>
    <mergeCell ref="EZ162:FA162"/>
    <mergeCell ref="EZ164:FA164"/>
    <mergeCell ref="EZ161:FA161"/>
    <mergeCell ref="EJ161:EK161"/>
    <mergeCell ref="ER157:ES157"/>
    <mergeCell ref="EN155:EO155"/>
    <mergeCell ref="EL169:EM169"/>
    <mergeCell ref="EP159:EQ159"/>
    <mergeCell ref="EN159:EO159"/>
    <mergeCell ref="EL157:EM157"/>
    <mergeCell ref="EL148:EM148"/>
    <mergeCell ref="EN148:EO148"/>
    <mergeCell ref="EJ170:EK170"/>
    <mergeCell ref="EP133:EQ133"/>
    <mergeCell ref="ET132:EU132"/>
    <mergeCell ref="ER132:ES132"/>
    <mergeCell ref="ET142:EU142"/>
    <mergeCell ref="ET135:EU135"/>
    <mergeCell ref="ER133:ES133"/>
    <mergeCell ref="DX139:DY139"/>
    <mergeCell ref="ET137:EU137"/>
    <mergeCell ref="EB140:EC140"/>
    <mergeCell ref="EB138:EC138"/>
    <mergeCell ref="EP141:EQ141"/>
    <mergeCell ref="ER134:ES134"/>
    <mergeCell ref="EF134:EG134"/>
    <mergeCell ref="ED137:EE137"/>
    <mergeCell ref="ED138:EE138"/>
    <mergeCell ref="EL138:EM138"/>
    <mergeCell ref="DZ138:EA138"/>
    <mergeCell ref="ER143:ES143"/>
    <mergeCell ref="EL141:EM141"/>
    <mergeCell ref="EL144:EM144"/>
    <mergeCell ref="EF147:EG147"/>
    <mergeCell ref="EH134:EI134"/>
    <mergeCell ref="DX133:DY133"/>
    <mergeCell ref="DX138:DY138"/>
    <mergeCell ref="DX140:DY140"/>
    <mergeCell ref="DV135:DW135"/>
    <mergeCell ref="DV137:DW137"/>
    <mergeCell ref="DZ143:EA143"/>
    <mergeCell ref="ET170:EU170"/>
    <mergeCell ref="EJ134:EK134"/>
    <mergeCell ref="ER135:ES135"/>
    <mergeCell ref="EH148:EI148"/>
    <mergeCell ref="EH149:EI149"/>
    <mergeCell ref="EB136:EC136"/>
    <mergeCell ref="EJ135:EK135"/>
    <mergeCell ref="ER136:ES136"/>
    <mergeCell ref="EL132:EM132"/>
    <mergeCell ref="DX142:DY142"/>
    <mergeCell ref="ER141:ES141"/>
    <mergeCell ref="ER137:ES137"/>
    <mergeCell ref="EF135:EG135"/>
    <mergeCell ref="EJ141:EK141"/>
    <mergeCell ref="EJ138:EK138"/>
    <mergeCell ref="EF139:EG139"/>
    <mergeCell ref="EF140:EG140"/>
    <mergeCell ref="EJ145:EK145"/>
    <mergeCell ref="EH142:EI142"/>
    <mergeCell ref="EL147:EM147"/>
    <mergeCell ref="EF141:EG141"/>
    <mergeCell ref="EP146:EQ146"/>
    <mergeCell ref="DX148:DY148"/>
    <mergeCell ref="DX146:DY146"/>
    <mergeCell ref="ET146:EU146"/>
    <mergeCell ref="ET147:EU147"/>
    <mergeCell ref="EB147:EC147"/>
    <mergeCell ref="EB134:EC134"/>
    <mergeCell ref="ER156:ES156"/>
    <mergeCell ref="EP165:EQ165"/>
    <mergeCell ref="DX136:DY136"/>
    <mergeCell ref="DV144:DW144"/>
    <mergeCell ref="ET139:EU139"/>
    <mergeCell ref="DZ139:EA139"/>
    <mergeCell ref="DX155:DY155"/>
    <mergeCell ref="EF159:EG159"/>
    <mergeCell ref="ER246:ES246"/>
    <mergeCell ref="ER244:ES244"/>
    <mergeCell ref="EP132:EQ132"/>
    <mergeCell ref="EH135:EI135"/>
    <mergeCell ref="ED136:EE136"/>
    <mergeCell ref="EN137:EO137"/>
    <mergeCell ref="ER139:ES139"/>
    <mergeCell ref="EH132:EI132"/>
    <mergeCell ref="DZ135:EA135"/>
    <mergeCell ref="ET131:EU131"/>
    <mergeCell ref="DZ133:EA133"/>
    <mergeCell ref="EN133:EO133"/>
    <mergeCell ref="EL136:EM136"/>
    <mergeCell ref="EJ147:EK147"/>
    <mergeCell ref="DZ141:EA141"/>
    <mergeCell ref="EL143:EM143"/>
    <mergeCell ref="EJ133:EK133"/>
    <mergeCell ref="EV136:EW136"/>
    <mergeCell ref="DZ136:EA136"/>
    <mergeCell ref="EN132:EO132"/>
    <mergeCell ref="EV137:EW137"/>
    <mergeCell ref="EV141:EW141"/>
    <mergeCell ref="ED134:EE134"/>
    <mergeCell ref="EF138:EG138"/>
    <mergeCell ref="EH139:EI139"/>
    <mergeCell ref="EF132:EG132"/>
    <mergeCell ref="ED132:EE132"/>
    <mergeCell ref="DZ137:EA137"/>
    <mergeCell ref="EP135:EQ135"/>
    <mergeCell ref="EN135:EO135"/>
    <mergeCell ref="ER140:ES140"/>
    <mergeCell ref="EV139:EW139"/>
    <mergeCell ref="EH136:EI136"/>
    <mergeCell ref="EV134:EW134"/>
    <mergeCell ref="EV131:EW131"/>
    <mergeCell ref="EH138:EI138"/>
    <mergeCell ref="EF136:EG136"/>
    <mergeCell ref="ED141:EE141"/>
    <mergeCell ref="ET138:EU138"/>
    <mergeCell ref="ED131:EE131"/>
    <mergeCell ref="EF131:EG131"/>
    <mergeCell ref="EB132:EC132"/>
    <mergeCell ref="EB135:EC135"/>
    <mergeCell ref="DZ242:EA242"/>
    <mergeCell ref="EF244:EG244"/>
    <mergeCell ref="ET196:EU196"/>
    <mergeCell ref="ET140:EU140"/>
    <mergeCell ref="EN139:EO139"/>
    <mergeCell ref="EN140:EO140"/>
    <mergeCell ref="EH141:EI141"/>
    <mergeCell ref="EH140:EI140"/>
    <mergeCell ref="EB243:EC243"/>
    <mergeCell ref="EV221:EW221"/>
    <mergeCell ref="ER221:ES221"/>
    <mergeCell ref="ER162:ES162"/>
    <mergeCell ref="EF160:EG160"/>
    <mergeCell ref="DZ144:EA144"/>
    <mergeCell ref="EL149:EM149"/>
    <mergeCell ref="ED145:EE145"/>
    <mergeCell ref="EB150:EC150"/>
    <mergeCell ref="EN131:EO131"/>
    <mergeCell ref="EJ132:EK132"/>
    <mergeCell ref="ET134:EU134"/>
    <mergeCell ref="ET133:EU133"/>
    <mergeCell ref="EP130:EQ130"/>
    <mergeCell ref="FB131:FC131"/>
    <mergeCell ref="ET124:EU124"/>
    <mergeCell ref="ET125:EU125"/>
    <mergeCell ref="ET129:EU129"/>
    <mergeCell ref="EV129:EW129"/>
    <mergeCell ref="EN127:EO127"/>
    <mergeCell ref="ED130:EE130"/>
    <mergeCell ref="EZ125:FA125"/>
    <mergeCell ref="ER131:ES131"/>
    <mergeCell ref="DZ124:EA124"/>
    <mergeCell ref="EP124:EQ124"/>
    <mergeCell ref="EN125:EO125"/>
    <mergeCell ref="EN124:EO124"/>
    <mergeCell ref="ER125:ES125"/>
    <mergeCell ref="ER126:ES126"/>
    <mergeCell ref="EZ135:FA135"/>
    <mergeCell ref="EV130:EW130"/>
    <mergeCell ref="EV132:EW132"/>
    <mergeCell ref="EX130:EY130"/>
    <mergeCell ref="EZ132:FA132"/>
    <mergeCell ref="EX134:EY134"/>
    <mergeCell ref="EX132:EY132"/>
    <mergeCell ref="FB132:FC132"/>
    <mergeCell ref="ET82:EU82"/>
    <mergeCell ref="EV82:EW82"/>
    <mergeCell ref="EV111:EW111"/>
    <mergeCell ref="EN115:EO115"/>
    <mergeCell ref="EL118:EM118"/>
    <mergeCell ref="ED114:EE114"/>
    <mergeCell ref="EN120:EO120"/>
    <mergeCell ref="EN114:EO114"/>
    <mergeCell ref="EL133:EM133"/>
    <mergeCell ref="EF133:EG133"/>
    <mergeCell ref="ED133:EE133"/>
    <mergeCell ref="FB124:FC124"/>
    <mergeCell ref="FB122:FC122"/>
    <mergeCell ref="ED135:EE135"/>
    <mergeCell ref="EP134:EQ134"/>
    <mergeCell ref="DZ120:EA120"/>
    <mergeCell ref="ED118:EE118"/>
    <mergeCell ref="ER118:ES118"/>
    <mergeCell ref="DZ87:EA87"/>
    <mergeCell ref="DZ111:EA111"/>
    <mergeCell ref="ET121:EU121"/>
    <mergeCell ref="ET118:EU118"/>
    <mergeCell ref="EV121:EW121"/>
    <mergeCell ref="EV125:EW125"/>
    <mergeCell ref="EV118:EW118"/>
    <mergeCell ref="EV115:EW115"/>
    <mergeCell ref="EZ82:FA82"/>
    <mergeCell ref="EZ128:FA128"/>
    <mergeCell ref="ER124:ES124"/>
    <mergeCell ref="EP121:EQ121"/>
    <mergeCell ref="EZ124:FA124"/>
    <mergeCell ref="EB129:EC129"/>
    <mergeCell ref="EF124:EG124"/>
    <mergeCell ref="EF115:EG115"/>
    <mergeCell ref="EX124:EY124"/>
    <mergeCell ref="EN128:EO128"/>
    <mergeCell ref="ED123:EE123"/>
    <mergeCell ref="EX125:EY125"/>
    <mergeCell ref="EX122:EY122"/>
    <mergeCell ref="EZ131:FA131"/>
    <mergeCell ref="ET130:EU130"/>
    <mergeCell ref="EV123:EW123"/>
    <mergeCell ref="EZ127:FA127"/>
    <mergeCell ref="EL130:EM130"/>
    <mergeCell ref="EB130:EC130"/>
    <mergeCell ref="FB133:FC133"/>
    <mergeCell ref="EX131:EY131"/>
    <mergeCell ref="FB121:FC121"/>
    <mergeCell ref="EZ123:FA123"/>
    <mergeCell ref="EB123:EC123"/>
    <mergeCell ref="DX127:DY127"/>
    <mergeCell ref="DX125:DY125"/>
    <mergeCell ref="EN117:EO117"/>
    <mergeCell ref="ER122:ES122"/>
    <mergeCell ref="ER120:ES120"/>
    <mergeCell ref="ER83:ES83"/>
    <mergeCell ref="FB81:FC81"/>
    <mergeCell ref="FD81:FE81"/>
    <mergeCell ref="FB114:FC114"/>
    <mergeCell ref="FB115:FC115"/>
    <mergeCell ref="FB111:FC111"/>
    <mergeCell ref="EZ111:FA111"/>
    <mergeCell ref="FH113:FI113"/>
    <mergeCell ref="FH90:FI90"/>
    <mergeCell ref="FJ90:FK90"/>
    <mergeCell ref="FL90:FM90"/>
    <mergeCell ref="FF82:FG82"/>
    <mergeCell ref="EX82:EY82"/>
    <mergeCell ref="FB82:FC82"/>
    <mergeCell ref="FD82:FE82"/>
    <mergeCell ref="FB128:FC128"/>
    <mergeCell ref="FD87:FE87"/>
    <mergeCell ref="FD118:FE118"/>
    <mergeCell ref="FB123:FC123"/>
    <mergeCell ref="FB116:FC116"/>
    <mergeCell ref="FB119:FC119"/>
    <mergeCell ref="FD129:FE129"/>
    <mergeCell ref="FJ106:FK106"/>
    <mergeCell ref="FL106:FM106"/>
    <mergeCell ref="FH91:FI91"/>
    <mergeCell ref="FJ86:FK86"/>
    <mergeCell ref="FD113:FE113"/>
    <mergeCell ref="FH120:FI120"/>
    <mergeCell ref="FJ100:FK100"/>
    <mergeCell ref="FL100:FM100"/>
    <mergeCell ref="EZ122:FA122"/>
    <mergeCell ref="EX120:EY120"/>
    <mergeCell ref="FF98:FG98"/>
    <mergeCell ref="FH98:FI98"/>
    <mergeCell ref="FJ98:FK98"/>
    <mergeCell ref="FL98:FM98"/>
    <mergeCell ref="EZ126:FA126"/>
    <mergeCell ref="EX126:EY126"/>
    <mergeCell ref="EZ129:FA129"/>
    <mergeCell ref="EX127:EY127"/>
    <mergeCell ref="FB126:FC126"/>
    <mergeCell ref="FJ123:FK123"/>
    <mergeCell ref="FL129:FM129"/>
    <mergeCell ref="FB129:FC129"/>
    <mergeCell ref="FB127:FC127"/>
    <mergeCell ref="EX129:EY129"/>
    <mergeCell ref="FD128:FE128"/>
    <mergeCell ref="FF129:FG129"/>
    <mergeCell ref="FJ128:FK128"/>
    <mergeCell ref="FH81:FI81"/>
    <mergeCell ref="FH111:FI111"/>
    <mergeCell ref="EX117:EY117"/>
    <mergeCell ref="EF81:EG81"/>
    <mergeCell ref="EZ81:FA81"/>
    <mergeCell ref="EH87:EI87"/>
    <mergeCell ref="DT117:DU117"/>
    <mergeCell ref="DZ83:EA83"/>
    <mergeCell ref="EJ83:EK83"/>
    <mergeCell ref="EB128:EC128"/>
    <mergeCell ref="FF81:FG81"/>
    <mergeCell ref="FF84:FG84"/>
    <mergeCell ref="EZ87:FA87"/>
    <mergeCell ref="FB83:FC83"/>
    <mergeCell ref="FD83:FE83"/>
    <mergeCell ref="FB113:FC113"/>
    <mergeCell ref="FN112:FO112"/>
    <mergeCell ref="FP112:FQ112"/>
    <mergeCell ref="FF122:FG122"/>
    <mergeCell ref="DT133:DU133"/>
    <mergeCell ref="EX81:EY81"/>
    <mergeCell ref="ED121:EE121"/>
    <mergeCell ref="EB122:EC122"/>
    <mergeCell ref="EB121:EC121"/>
    <mergeCell ref="EB114:EC114"/>
    <mergeCell ref="EH130:EI130"/>
    <mergeCell ref="EF130:EG130"/>
    <mergeCell ref="EP113:EQ113"/>
    <mergeCell ref="FD112:FE112"/>
    <mergeCell ref="EZ114:FA114"/>
    <mergeCell ref="EL115:EM115"/>
    <mergeCell ref="FD130:FE130"/>
    <mergeCell ref="EF128:EG128"/>
    <mergeCell ref="ED128:EE128"/>
    <mergeCell ref="EL124:EM124"/>
    <mergeCell ref="EP118:EQ118"/>
    <mergeCell ref="EN121:EO121"/>
    <mergeCell ref="ER121:ES121"/>
    <mergeCell ref="FB120:FC120"/>
    <mergeCell ref="EZ120:FA120"/>
    <mergeCell ref="FB130:FC130"/>
    <mergeCell ref="FB125:FC125"/>
    <mergeCell ref="FD124:FE124"/>
    <mergeCell ref="FF126:FG126"/>
    <mergeCell ref="FL122:FM122"/>
    <mergeCell ref="EZ121:FA121"/>
    <mergeCell ref="ER130:ES130"/>
    <mergeCell ref="ET119:EU119"/>
    <mergeCell ref="FD127:FE127"/>
    <mergeCell ref="FB118:FC118"/>
    <mergeCell ref="FB117:FC117"/>
    <mergeCell ref="EJ125:EK125"/>
    <mergeCell ref="EP125:EQ125"/>
    <mergeCell ref="EN126:EO126"/>
    <mergeCell ref="EV127:EW127"/>
    <mergeCell ref="EX128:EY128"/>
    <mergeCell ref="ET128:EU128"/>
    <mergeCell ref="ER128:ES128"/>
    <mergeCell ref="ET127:EU127"/>
    <mergeCell ref="EL126:EM126"/>
    <mergeCell ref="EL119:EM119"/>
    <mergeCell ref="EV120:EW120"/>
    <mergeCell ref="EJ123:EK123"/>
    <mergeCell ref="FH121:FI121"/>
    <mergeCell ref="EX123:EY123"/>
    <mergeCell ref="FF121:FG121"/>
    <mergeCell ref="FP125:FQ125"/>
    <mergeCell ref="FJ127:FK127"/>
    <mergeCell ref="FT124:FU124"/>
    <mergeCell ref="FX120:FY120"/>
    <mergeCell ref="FD134:FE134"/>
    <mergeCell ref="FV128:FW128"/>
    <mergeCell ref="FX119:FY119"/>
    <mergeCell ref="FV120:FW120"/>
    <mergeCell ref="GB120:GC120"/>
    <mergeCell ref="FT127:FU127"/>
    <mergeCell ref="FP130:FQ130"/>
    <mergeCell ref="FR128:FS128"/>
    <mergeCell ref="FT129:FU129"/>
    <mergeCell ref="FR126:FS126"/>
    <mergeCell ref="FR127:FS127"/>
    <mergeCell ref="FV127:FW127"/>
    <mergeCell ref="FN127:FO127"/>
    <mergeCell ref="FX125:FY125"/>
    <mergeCell ref="FX122:FY122"/>
    <mergeCell ref="FN123:FO123"/>
    <mergeCell ref="FP124:FQ124"/>
    <mergeCell ref="FN125:FO125"/>
    <mergeCell ref="FP121:FQ121"/>
    <mergeCell ref="FP123:FQ123"/>
    <mergeCell ref="FX124:FY124"/>
    <mergeCell ref="FT130:FU130"/>
    <mergeCell ref="FZ121:GA121"/>
    <mergeCell ref="FV119:FW119"/>
    <mergeCell ref="FN126:FO126"/>
    <mergeCell ref="FP120:FQ120"/>
    <mergeCell ref="FJ130:FK130"/>
    <mergeCell ref="FH127:FI127"/>
    <mergeCell ref="FF128:FG128"/>
    <mergeCell ref="FF130:FG130"/>
    <mergeCell ref="FL133:FM133"/>
    <mergeCell ref="FL132:FM132"/>
    <mergeCell ref="FD132:FE132"/>
    <mergeCell ref="FF131:FG131"/>
    <mergeCell ref="FN130:FO130"/>
    <mergeCell ref="FH129:FI129"/>
    <mergeCell ref="FL123:FM123"/>
    <mergeCell ref="FH125:FI125"/>
    <mergeCell ref="FL126:FM126"/>
    <mergeCell ref="FD122:FE122"/>
    <mergeCell ref="FJ124:FK124"/>
    <mergeCell ref="FL127:FM127"/>
    <mergeCell ref="FJ132:FK132"/>
    <mergeCell ref="FP134:FQ134"/>
    <mergeCell ref="FR130:FS130"/>
    <mergeCell ref="FX121:FY121"/>
    <mergeCell ref="GB122:GC122"/>
    <mergeCell ref="GB121:GC121"/>
    <mergeCell ref="FD131:FE131"/>
    <mergeCell ref="FR134:FS134"/>
    <mergeCell ref="FH133:FI133"/>
    <mergeCell ref="FN132:FO132"/>
    <mergeCell ref="FH132:FI132"/>
    <mergeCell ref="FX133:FY133"/>
    <mergeCell ref="FH128:FI128"/>
    <mergeCell ref="FF120:FG120"/>
    <mergeCell ref="FT121:FU121"/>
    <mergeCell ref="FD119:FE119"/>
    <mergeCell ref="GD119:GE119"/>
    <mergeCell ref="FF123:FG123"/>
    <mergeCell ref="FX136:FY136"/>
    <mergeCell ref="FF134:FG134"/>
    <mergeCell ref="FZ137:GA137"/>
    <mergeCell ref="FH119:FI119"/>
    <mergeCell ref="FD121:FE121"/>
    <mergeCell ref="FD125:FE125"/>
    <mergeCell ref="FD133:FE133"/>
    <mergeCell ref="FD123:FE123"/>
    <mergeCell ref="FD126:FE126"/>
    <mergeCell ref="FP117:FQ117"/>
    <mergeCell ref="FN114:FO114"/>
    <mergeCell ref="FP114:FQ114"/>
    <mergeCell ref="FR121:FS121"/>
    <mergeCell ref="FR122:FS122"/>
    <mergeCell ref="FN113:FO113"/>
    <mergeCell ref="FN96:FO96"/>
    <mergeCell ref="FP96:FQ96"/>
    <mergeCell ref="FR96:FS96"/>
    <mergeCell ref="FT96:FU96"/>
    <mergeCell ref="FP115:FQ115"/>
    <mergeCell ref="FZ123:GA123"/>
    <mergeCell ref="FV123:FW123"/>
    <mergeCell ref="FX113:FY113"/>
    <mergeCell ref="FZ129:GA129"/>
    <mergeCell ref="FZ119:GA119"/>
    <mergeCell ref="FH134:FI134"/>
    <mergeCell ref="FL124:FM124"/>
    <mergeCell ref="FF124:FG124"/>
    <mergeCell ref="FP127:FQ127"/>
    <mergeCell ref="FH130:FI130"/>
    <mergeCell ref="FV130:FW130"/>
    <mergeCell ref="FJ121:FK121"/>
    <mergeCell ref="FV134:FW134"/>
    <mergeCell ref="FF127:FG127"/>
    <mergeCell ref="FX126:FY126"/>
    <mergeCell ref="FV133:FW133"/>
    <mergeCell ref="FH123:FI123"/>
    <mergeCell ref="FH124:FI124"/>
    <mergeCell ref="FH126:FI126"/>
    <mergeCell ref="FR135:FS135"/>
    <mergeCell ref="FV135:FW135"/>
    <mergeCell ref="FD137:FE137"/>
    <mergeCell ref="FP135:FQ135"/>
    <mergeCell ref="FL113:FM113"/>
    <mergeCell ref="FT126:FU126"/>
    <mergeCell ref="FV132:FW132"/>
    <mergeCell ref="FT120:FU120"/>
    <mergeCell ref="FT128:FU128"/>
    <mergeCell ref="FP119:FQ119"/>
    <mergeCell ref="FN120:FO120"/>
    <mergeCell ref="FN124:FO124"/>
    <mergeCell ref="FL136:FM136"/>
    <mergeCell ref="FN129:FO129"/>
    <mergeCell ref="FP131:FQ131"/>
    <mergeCell ref="FF125:FG125"/>
    <mergeCell ref="FX131:FY131"/>
    <mergeCell ref="FX132:FY132"/>
    <mergeCell ref="FJ126:FK126"/>
    <mergeCell ref="FX123:FY123"/>
    <mergeCell ref="FV137:FW137"/>
    <mergeCell ref="FZ122:GA122"/>
    <mergeCell ref="FP126:FQ126"/>
    <mergeCell ref="GD121:GE121"/>
    <mergeCell ref="GB119:GC119"/>
    <mergeCell ref="GX119:GY119"/>
    <mergeCell ref="GF126:GG126"/>
    <mergeCell ref="GH123:GI123"/>
    <mergeCell ref="GP119:GQ119"/>
    <mergeCell ref="GT119:GU119"/>
    <mergeCell ref="GJ124:GK124"/>
    <mergeCell ref="GH125:GI125"/>
    <mergeCell ref="GR132:GS132"/>
    <mergeCell ref="GP133:GQ133"/>
    <mergeCell ref="GN132:GO132"/>
    <mergeCell ref="GN133:GO133"/>
    <mergeCell ref="GJ132:GK132"/>
    <mergeCell ref="GJ133:GK133"/>
    <mergeCell ref="GH132:GI132"/>
    <mergeCell ref="GR123:GS123"/>
    <mergeCell ref="GN128:GO128"/>
    <mergeCell ref="GL131:GM131"/>
    <mergeCell ref="GT128:GU128"/>
    <mergeCell ref="GN134:GO134"/>
    <mergeCell ref="GL125:GM125"/>
    <mergeCell ref="GT122:GU122"/>
    <mergeCell ref="GX122:GY122"/>
    <mergeCell ref="GH119:GI119"/>
    <mergeCell ref="GB123:GC123"/>
    <mergeCell ref="GR121:GS121"/>
    <mergeCell ref="GL130:GM130"/>
    <mergeCell ref="GH127:GI127"/>
    <mergeCell ref="GV121:GW121"/>
    <mergeCell ref="GX129:GY129"/>
    <mergeCell ref="GX134:GY134"/>
    <mergeCell ref="GX133:GY133"/>
    <mergeCell ref="GR120:GS120"/>
    <mergeCell ref="GT120:GU120"/>
    <mergeCell ref="GX131:GY131"/>
    <mergeCell ref="GX130:GY130"/>
    <mergeCell ref="GD127:GE127"/>
    <mergeCell ref="GD128:GE128"/>
    <mergeCell ref="GD132:GE132"/>
    <mergeCell ref="GD131:GE131"/>
    <mergeCell ref="GD123:GE123"/>
    <mergeCell ref="GD124:GE124"/>
    <mergeCell ref="GB133:GC133"/>
    <mergeCell ref="GD126:GE126"/>
    <mergeCell ref="GD122:GE122"/>
    <mergeCell ref="GD125:GE125"/>
    <mergeCell ref="GR122:GS122"/>
    <mergeCell ref="GB132:GC132"/>
    <mergeCell ref="GB129:GC129"/>
    <mergeCell ref="GB128:GC128"/>
    <mergeCell ref="GD130:GE130"/>
    <mergeCell ref="GD134:GE134"/>
    <mergeCell ref="GN122:GO122"/>
    <mergeCell ref="GB126:GC126"/>
    <mergeCell ref="GH131:GI131"/>
    <mergeCell ref="GP126:GQ126"/>
    <mergeCell ref="GF133:GG133"/>
    <mergeCell ref="GP128:GQ128"/>
    <mergeCell ref="GL121:GM121"/>
    <mergeCell ref="GT134:GU134"/>
    <mergeCell ref="GN120:GO120"/>
    <mergeCell ref="GL120:GM120"/>
    <mergeCell ref="GD120:GE120"/>
    <mergeCell ref="GV123:GW123"/>
    <mergeCell ref="GP131:GQ131"/>
    <mergeCell ref="GV132:GW132"/>
    <mergeCell ref="GV126:GW126"/>
    <mergeCell ref="GB134:GC134"/>
    <mergeCell ref="GH135:GI135"/>
    <mergeCell ref="GR136:GS136"/>
    <mergeCell ref="GF129:GG129"/>
    <mergeCell ref="FZ136:GA136"/>
    <mergeCell ref="FV131:FW131"/>
    <mergeCell ref="FZ126:GA126"/>
    <mergeCell ref="FZ125:GA125"/>
    <mergeCell ref="FZ124:GA124"/>
    <mergeCell ref="GB130:GC130"/>
    <mergeCell ref="FZ130:GA130"/>
    <mergeCell ref="GB127:GC127"/>
    <mergeCell ref="GJ129:GK129"/>
    <mergeCell ref="GH126:GI126"/>
    <mergeCell ref="GH128:GI128"/>
    <mergeCell ref="GF134:GG134"/>
    <mergeCell ref="FT135:FU135"/>
    <mergeCell ref="FX130:FY130"/>
    <mergeCell ref="FV129:FW129"/>
    <mergeCell ref="FZ132:GA132"/>
    <mergeCell ref="FV124:FW124"/>
    <mergeCell ref="FX129:FY129"/>
    <mergeCell ref="FX127:FY127"/>
    <mergeCell ref="FX128:FY128"/>
    <mergeCell ref="FZ127:GA127"/>
    <mergeCell ref="FV126:FW126"/>
    <mergeCell ref="FZ128:GA128"/>
    <mergeCell ref="GB124:GC124"/>
    <mergeCell ref="GB131:GC131"/>
    <mergeCell ref="FX134:FY134"/>
    <mergeCell ref="FZ134:GA134"/>
    <mergeCell ref="GR124:GS124"/>
    <mergeCell ref="GP125:GQ125"/>
    <mergeCell ref="FZ133:GA133"/>
    <mergeCell ref="FT133:FU133"/>
    <mergeCell ref="FZ131:GA131"/>
    <mergeCell ref="GB135:GC135"/>
    <mergeCell ref="FT123:FU123"/>
    <mergeCell ref="FV125:FW125"/>
    <mergeCell ref="FZ135:GA135"/>
    <mergeCell ref="GB136:GC136"/>
    <mergeCell ref="GJ130:GK130"/>
    <mergeCell ref="FT125:FU125"/>
    <mergeCell ref="GF128:GG128"/>
    <mergeCell ref="GF125:GG125"/>
    <mergeCell ref="GT125:GU125"/>
    <mergeCell ref="GV124:GW124"/>
    <mergeCell ref="GF123:GG123"/>
    <mergeCell ref="GF136:GG136"/>
    <mergeCell ref="GJ136:GK136"/>
    <mergeCell ref="GL136:GM136"/>
    <mergeCell ref="GH136:GI136"/>
    <mergeCell ref="FV136:FW136"/>
    <mergeCell ref="GB125:GC125"/>
    <mergeCell ref="GF124:GG124"/>
    <mergeCell ref="GF127:GG127"/>
    <mergeCell ref="GD133:GE133"/>
    <mergeCell ref="GF131:GG131"/>
    <mergeCell ref="GD129:GE129"/>
    <mergeCell ref="GP135:GQ135"/>
    <mergeCell ref="HF130:HG130"/>
    <mergeCell ref="HD134:HE134"/>
    <mergeCell ref="GH133:GI133"/>
    <mergeCell ref="HH126:HI126"/>
    <mergeCell ref="HF126:HG126"/>
    <mergeCell ref="HH133:HI133"/>
    <mergeCell ref="HF133:HG133"/>
    <mergeCell ref="HH130:HI130"/>
    <mergeCell ref="HH131:HI131"/>
    <mergeCell ref="HD133:HE133"/>
    <mergeCell ref="HD136:HE136"/>
    <mergeCell ref="GV133:GW133"/>
    <mergeCell ref="GT129:GU129"/>
    <mergeCell ref="HB122:HC122"/>
    <mergeCell ref="GN123:GO123"/>
    <mergeCell ref="GZ134:HA134"/>
    <mergeCell ref="HB126:HC126"/>
    <mergeCell ref="GZ135:HA135"/>
    <mergeCell ref="GP132:GQ132"/>
    <mergeCell ref="GJ128:GK128"/>
    <mergeCell ref="GJ135:GK135"/>
    <mergeCell ref="GT135:GU135"/>
    <mergeCell ref="GJ123:GK123"/>
    <mergeCell ref="GJ122:GK122"/>
    <mergeCell ref="HB135:HC135"/>
    <mergeCell ref="GZ129:HA129"/>
    <mergeCell ref="GL135:GM135"/>
    <mergeCell ref="GX135:GY135"/>
    <mergeCell ref="HB133:HC133"/>
    <mergeCell ref="GN129:GO129"/>
    <mergeCell ref="GX128:GY128"/>
    <mergeCell ref="HD132:HE132"/>
    <mergeCell ref="GN127:GO127"/>
    <mergeCell ref="GH122:GI122"/>
    <mergeCell ref="GX123:GY123"/>
    <mergeCell ref="GT127:GU127"/>
    <mergeCell ref="GV131:GW131"/>
    <mergeCell ref="GN136:GO136"/>
    <mergeCell ref="GP129:GQ129"/>
    <mergeCell ref="GV127:GW127"/>
    <mergeCell ref="GJ127:GK127"/>
    <mergeCell ref="GL129:GM129"/>
    <mergeCell ref="GJ125:GK125"/>
    <mergeCell ref="GL123:GM123"/>
    <mergeCell ref="GN131:GO131"/>
    <mergeCell ref="GH134:GI134"/>
    <mergeCell ref="GX127:GY127"/>
    <mergeCell ref="GR128:GS128"/>
    <mergeCell ref="GH129:GI129"/>
    <mergeCell ref="GP123:GQ123"/>
    <mergeCell ref="HH123:HI123"/>
    <mergeCell ref="GV136:GW136"/>
    <mergeCell ref="HH127:HI127"/>
    <mergeCell ref="HF136:HG136"/>
    <mergeCell ref="HF132:HG132"/>
    <mergeCell ref="GT133:GU133"/>
    <mergeCell ref="GJ131:GK131"/>
    <mergeCell ref="GT130:GU130"/>
    <mergeCell ref="GV128:GW128"/>
    <mergeCell ref="GV134:GW134"/>
    <mergeCell ref="GJ134:GK134"/>
    <mergeCell ref="GV135:GW135"/>
    <mergeCell ref="GR125:GS125"/>
    <mergeCell ref="GR130:GS130"/>
    <mergeCell ref="GF122:GG122"/>
    <mergeCell ref="GL122:GM122"/>
    <mergeCell ref="HH129:HI129"/>
    <mergeCell ref="HF134:HG134"/>
    <mergeCell ref="GD135:GE135"/>
    <mergeCell ref="GL146:GM146"/>
    <mergeCell ref="GR138:GS138"/>
    <mergeCell ref="HH145:HI145"/>
    <mergeCell ref="HH148:HI148"/>
    <mergeCell ref="HF142:HG142"/>
    <mergeCell ref="GN146:GO146"/>
    <mergeCell ref="GT145:GU145"/>
    <mergeCell ref="HB146:HC146"/>
    <mergeCell ref="HF141:HG141"/>
    <mergeCell ref="GP143:GQ143"/>
    <mergeCell ref="GZ141:HA141"/>
    <mergeCell ref="GF140:GG140"/>
    <mergeCell ref="GT142:GU142"/>
    <mergeCell ref="GN143:GO143"/>
    <mergeCell ref="GR147:GS147"/>
    <mergeCell ref="GN121:GO121"/>
    <mergeCell ref="GT123:GU123"/>
    <mergeCell ref="HF125:HG125"/>
    <mergeCell ref="HH125:HI125"/>
    <mergeCell ref="GL124:GM124"/>
    <mergeCell ref="GV125:GW125"/>
    <mergeCell ref="GR133:GS133"/>
    <mergeCell ref="HB127:HC127"/>
    <mergeCell ref="HB124:HC124"/>
    <mergeCell ref="HB129:HC129"/>
    <mergeCell ref="GN124:GO124"/>
    <mergeCell ref="GH124:GI124"/>
    <mergeCell ref="GF132:GG132"/>
    <mergeCell ref="GZ125:HA125"/>
    <mergeCell ref="GH130:GI130"/>
    <mergeCell ref="GZ133:HA133"/>
    <mergeCell ref="GL134:GM134"/>
    <mergeCell ref="GF130:GG130"/>
    <mergeCell ref="GR131:GS131"/>
    <mergeCell ref="GD136:GE136"/>
    <mergeCell ref="GF121:GG121"/>
    <mergeCell ref="GH121:GI121"/>
    <mergeCell ref="GT131:GU131"/>
    <mergeCell ref="GT121:GU121"/>
    <mergeCell ref="GF135:GG135"/>
    <mergeCell ref="GF147:GG147"/>
    <mergeCell ref="GP127:GQ127"/>
    <mergeCell ref="GL127:GM127"/>
    <mergeCell ref="HH135:HI135"/>
    <mergeCell ref="GH137:GI137"/>
    <mergeCell ref="GL137:GM137"/>
    <mergeCell ref="GJ137:GK137"/>
    <mergeCell ref="GL133:GM133"/>
    <mergeCell ref="GV130:GW130"/>
    <mergeCell ref="GL132:GM132"/>
    <mergeCell ref="GN125:GO125"/>
    <mergeCell ref="GJ126:GK126"/>
    <mergeCell ref="GN126:GO126"/>
    <mergeCell ref="HB132:HC132"/>
    <mergeCell ref="GZ126:HA126"/>
    <mergeCell ref="HD129:HE129"/>
    <mergeCell ref="HB131:HC131"/>
    <mergeCell ref="HH136:HI136"/>
    <mergeCell ref="GV122:GW122"/>
    <mergeCell ref="GJ121:GK121"/>
    <mergeCell ref="FX141:FY141"/>
    <mergeCell ref="FX145:FY145"/>
    <mergeCell ref="FX146:FY146"/>
    <mergeCell ref="GR141:GS141"/>
    <mergeCell ref="GF144:GG144"/>
    <mergeCell ref="GJ148:GK148"/>
    <mergeCell ref="GL145:GM145"/>
    <mergeCell ref="GR144:GS144"/>
    <mergeCell ref="GN149:GO149"/>
    <mergeCell ref="GX142:GY142"/>
    <mergeCell ref="FX148:FY148"/>
    <mergeCell ref="GD149:GE149"/>
    <mergeCell ref="GV141:GW141"/>
    <mergeCell ref="GV142:GW142"/>
    <mergeCell ref="GH150:GI150"/>
    <mergeCell ref="GZ137:HA137"/>
    <mergeCell ref="GF150:GG150"/>
    <mergeCell ref="GH147:GI147"/>
    <mergeCell ref="GL143:GM143"/>
    <mergeCell ref="GB144:GC144"/>
    <mergeCell ref="FZ144:GA144"/>
    <mergeCell ref="GZ143:HA143"/>
    <mergeCell ref="GB150:GC150"/>
    <mergeCell ref="GB143:GC143"/>
    <mergeCell ref="FZ149:GA149"/>
    <mergeCell ref="GV139:GW139"/>
    <mergeCell ref="GR140:GS140"/>
    <mergeCell ref="GR139:GS139"/>
    <mergeCell ref="GL139:GM139"/>
    <mergeCell ref="GX139:GY139"/>
    <mergeCell ref="GL140:GM140"/>
    <mergeCell ref="GT140:GU140"/>
    <mergeCell ref="GT141:GU141"/>
    <mergeCell ref="FZ139:GA139"/>
    <mergeCell ref="GV143:GW143"/>
    <mergeCell ref="GB148:GC148"/>
    <mergeCell ref="GX144:GY144"/>
    <mergeCell ref="GD139:GE139"/>
    <mergeCell ref="GH139:GI139"/>
    <mergeCell ref="GF139:GG139"/>
    <mergeCell ref="GJ139:GK139"/>
    <mergeCell ref="GN138:GO138"/>
    <mergeCell ref="GP148:GQ148"/>
    <mergeCell ref="GF146:GG146"/>
    <mergeCell ref="GH148:GI148"/>
    <mergeCell ref="GN139:GO139"/>
    <mergeCell ref="GL142:GM142"/>
    <mergeCell ref="GV138:GW138"/>
    <mergeCell ref="GX138:GY138"/>
    <mergeCell ref="GF138:GG138"/>
    <mergeCell ref="GT139:GU139"/>
    <mergeCell ref="GP139:GQ139"/>
    <mergeCell ref="FZ138:GA138"/>
    <mergeCell ref="GB138:GC138"/>
    <mergeCell ref="GB139:GC139"/>
    <mergeCell ref="GD146:GE146"/>
    <mergeCell ref="GP149:GQ149"/>
    <mergeCell ref="GD147:GE147"/>
    <mergeCell ref="GX145:GY145"/>
    <mergeCell ref="GZ150:HA150"/>
    <mergeCell ref="GF149:GG149"/>
    <mergeCell ref="GR146:GS146"/>
    <mergeCell ref="GD148:GE148"/>
    <mergeCell ref="GB137:GC137"/>
    <mergeCell ref="GD137:GE137"/>
    <mergeCell ref="GD138:GE138"/>
    <mergeCell ref="HH137:HI137"/>
    <mergeCell ref="GF137:GG137"/>
    <mergeCell ref="GN141:GO141"/>
    <mergeCell ref="GN142:GO142"/>
    <mergeCell ref="HJ139:HK139"/>
    <mergeCell ref="HJ142:HK142"/>
    <mergeCell ref="HH139:HI139"/>
    <mergeCell ref="GH138:GI138"/>
    <mergeCell ref="HB145:HC145"/>
    <mergeCell ref="HD141:HE141"/>
    <mergeCell ref="HB141:HC141"/>
    <mergeCell ref="HH141:HI141"/>
    <mergeCell ref="HJ147:HK147"/>
    <mergeCell ref="HJ149:HK149"/>
    <mergeCell ref="HH143:HI143"/>
    <mergeCell ref="HD143:HE143"/>
    <mergeCell ref="HF143:HG143"/>
    <mergeCell ref="HJ144:HK144"/>
    <mergeCell ref="GH149:GI149"/>
    <mergeCell ref="GD150:GE150"/>
    <mergeCell ref="GH144:GI144"/>
    <mergeCell ref="GD145:GE145"/>
    <mergeCell ref="GB142:GC142"/>
    <mergeCell ref="GB145:GC145"/>
    <mergeCell ref="GF141:GG141"/>
    <mergeCell ref="GH140:GI140"/>
    <mergeCell ref="GD141:GE141"/>
    <mergeCell ref="GR149:GS149"/>
    <mergeCell ref="FZ147:GA147"/>
    <mergeCell ref="GL149:GM149"/>
    <mergeCell ref="GT144:GU144"/>
    <mergeCell ref="GJ150:GK150"/>
    <mergeCell ref="GV140:GW140"/>
    <mergeCell ref="FZ141:GA141"/>
    <mergeCell ref="FZ142:GA142"/>
    <mergeCell ref="GP147:GQ147"/>
    <mergeCell ref="GB146:GC146"/>
    <mergeCell ref="GB149:GC149"/>
    <mergeCell ref="GT146:GU146"/>
    <mergeCell ref="GL141:GM141"/>
    <mergeCell ref="GR145:GS145"/>
    <mergeCell ref="GF142:GG142"/>
    <mergeCell ref="GD143:GE143"/>
    <mergeCell ref="FZ145:GA145"/>
    <mergeCell ref="FZ146:GA146"/>
    <mergeCell ref="FZ143:GA143"/>
    <mergeCell ref="GF143:GG143"/>
    <mergeCell ref="GF145:GG145"/>
    <mergeCell ref="GH145:GI145"/>
    <mergeCell ref="GB140:GC140"/>
    <mergeCell ref="GD140:GE140"/>
    <mergeCell ref="GP150:GQ150"/>
    <mergeCell ref="GP144:GQ144"/>
    <mergeCell ref="FZ140:GA140"/>
    <mergeCell ref="GN140:GO140"/>
    <mergeCell ref="HF151:HG151"/>
    <mergeCell ref="HD148:HE148"/>
    <mergeCell ref="HF147:HG147"/>
    <mergeCell ref="GX147:GY147"/>
    <mergeCell ref="HB151:HC151"/>
    <mergeCell ref="HD145:HE145"/>
    <mergeCell ref="GX141:GY141"/>
    <mergeCell ref="GB151:GC151"/>
    <mergeCell ref="GF151:GG151"/>
    <mergeCell ref="GR143:GS143"/>
    <mergeCell ref="GF148:GG148"/>
    <mergeCell ref="GV145:GW145"/>
    <mergeCell ref="GT149:GU149"/>
    <mergeCell ref="GB141:GC141"/>
    <mergeCell ref="GB147:GC147"/>
    <mergeCell ref="GD142:GE142"/>
    <mergeCell ref="HF146:HG146"/>
    <mergeCell ref="GZ145:HA145"/>
    <mergeCell ref="GN147:GO147"/>
    <mergeCell ref="GL144:GM144"/>
    <mergeCell ref="HD144:HE144"/>
    <mergeCell ref="HB144:HC144"/>
    <mergeCell ref="GZ144:HA144"/>
    <mergeCell ref="HB150:HC150"/>
    <mergeCell ref="HB143:HC143"/>
    <mergeCell ref="GJ143:GK143"/>
    <mergeCell ref="GJ144:GK144"/>
    <mergeCell ref="HD142:HE142"/>
    <mergeCell ref="HB142:HC142"/>
    <mergeCell ref="GH146:GI146"/>
    <mergeCell ref="GH151:GI151"/>
    <mergeCell ref="HD147:HE147"/>
    <mergeCell ref="GP141:GQ141"/>
    <mergeCell ref="FX150:FY150"/>
    <mergeCell ref="GD144:GE144"/>
    <mergeCell ref="FZ150:GA150"/>
    <mergeCell ref="GN145:GO145"/>
    <mergeCell ref="GB152:GC152"/>
    <mergeCell ref="GB153:GC153"/>
    <mergeCell ref="GB156:GC156"/>
    <mergeCell ref="FZ153:GA153"/>
    <mergeCell ref="FZ152:GA152"/>
    <mergeCell ref="FX153:FY153"/>
    <mergeCell ref="FX144:FY144"/>
    <mergeCell ref="HD155:HE155"/>
    <mergeCell ref="GJ151:GK151"/>
    <mergeCell ref="GN152:GO152"/>
    <mergeCell ref="GN153:GO153"/>
    <mergeCell ref="GZ151:HA151"/>
    <mergeCell ref="GJ147:GK147"/>
    <mergeCell ref="GJ149:GK149"/>
    <mergeCell ref="GP151:GQ151"/>
    <mergeCell ref="GZ155:HA155"/>
    <mergeCell ref="GL153:GM153"/>
    <mergeCell ref="GF155:GG155"/>
    <mergeCell ref="GP146:GQ146"/>
    <mergeCell ref="GF154:GG154"/>
    <mergeCell ref="GV155:GW155"/>
    <mergeCell ref="GN155:GO155"/>
    <mergeCell ref="GV151:GW151"/>
    <mergeCell ref="GX153:GY153"/>
    <mergeCell ref="GT147:GU147"/>
    <mergeCell ref="GX146:GY146"/>
    <mergeCell ref="GZ146:HA146"/>
    <mergeCell ref="GZ154:HA154"/>
    <mergeCell ref="GR150:GS150"/>
    <mergeCell ref="GF153:GG153"/>
    <mergeCell ref="GT150:GU150"/>
    <mergeCell ref="GT153:GU153"/>
    <mergeCell ref="GL151:GM151"/>
    <mergeCell ref="HD156:HE156"/>
    <mergeCell ref="HB148:HC148"/>
    <mergeCell ref="GD154:GE154"/>
    <mergeCell ref="GZ147:HA147"/>
    <mergeCell ref="GR148:GS148"/>
    <mergeCell ref="GJ146:GK146"/>
    <mergeCell ref="GV146:GW146"/>
    <mergeCell ref="GZ148:HA148"/>
    <mergeCell ref="FZ148:GA148"/>
    <mergeCell ref="FX147:FY147"/>
    <mergeCell ref="FX149:FY149"/>
    <mergeCell ref="GV149:GW149"/>
    <mergeCell ref="GB154:GC154"/>
    <mergeCell ref="GT148:GU148"/>
    <mergeCell ref="HB147:HC147"/>
    <mergeCell ref="GT151:GU151"/>
    <mergeCell ref="GD151:GE151"/>
    <mergeCell ref="GL150:GM150"/>
    <mergeCell ref="GN150:GO150"/>
    <mergeCell ref="FZ151:GA151"/>
    <mergeCell ref="GX162:GY162"/>
    <mergeCell ref="GX161:GY161"/>
    <mergeCell ref="GF159:GG159"/>
    <mergeCell ref="GN157:GO157"/>
    <mergeCell ref="HF158:HG158"/>
    <mergeCell ref="HF162:HG162"/>
    <mergeCell ref="GD157:GE157"/>
    <mergeCell ref="GP153:GQ153"/>
    <mergeCell ref="HB157:HC157"/>
    <mergeCell ref="GH159:GI159"/>
    <mergeCell ref="GN158:GO158"/>
    <mergeCell ref="GT157:GU157"/>
    <mergeCell ref="GF158:GG158"/>
    <mergeCell ref="GZ157:HA157"/>
    <mergeCell ref="GV157:GW157"/>
    <mergeCell ref="GT152:GU152"/>
    <mergeCell ref="GL158:GM158"/>
    <mergeCell ref="GJ157:GK157"/>
    <mergeCell ref="GP157:GQ157"/>
    <mergeCell ref="GT159:GU159"/>
    <mergeCell ref="GV152:GW152"/>
    <mergeCell ref="GH155:GI155"/>
    <mergeCell ref="GN154:GO154"/>
    <mergeCell ref="GR153:GS153"/>
    <mergeCell ref="HB161:HC161"/>
    <mergeCell ref="HB159:HC159"/>
    <mergeCell ref="HD161:HE161"/>
    <mergeCell ref="GR152:GS152"/>
    <mergeCell ref="GH153:GI153"/>
    <mergeCell ref="GL157:GM157"/>
    <mergeCell ref="GL160:GM160"/>
    <mergeCell ref="GR154:GS154"/>
    <mergeCell ref="GX154:GY154"/>
    <mergeCell ref="GP160:GQ160"/>
    <mergeCell ref="GR160:GS160"/>
    <mergeCell ref="GV161:GW161"/>
    <mergeCell ref="HD157:HE157"/>
    <mergeCell ref="HF157:HG157"/>
    <mergeCell ref="GZ153:HA153"/>
    <mergeCell ref="GX152:GY152"/>
    <mergeCell ref="GH152:GI152"/>
    <mergeCell ref="GJ152:GK152"/>
    <mergeCell ref="GJ154:GK154"/>
    <mergeCell ref="GV154:GW154"/>
    <mergeCell ref="GP155:GQ155"/>
    <mergeCell ref="GJ156:GK156"/>
    <mergeCell ref="GV156:GW156"/>
    <mergeCell ref="GT154:GU154"/>
    <mergeCell ref="GF152:GG152"/>
    <mergeCell ref="GD155:GE155"/>
    <mergeCell ref="GF156:GG156"/>
    <mergeCell ref="GD156:GE156"/>
    <mergeCell ref="HB154:HC154"/>
    <mergeCell ref="GL156:GM156"/>
    <mergeCell ref="GD153:GE153"/>
    <mergeCell ref="GD152:GE152"/>
    <mergeCell ref="GH158:GI158"/>
    <mergeCell ref="GD161:GE161"/>
    <mergeCell ref="HF156:HG156"/>
    <mergeCell ref="GF157:GG157"/>
    <mergeCell ref="GF160:GG160"/>
    <mergeCell ref="HB158:HC158"/>
    <mergeCell ref="HF152:HG152"/>
    <mergeCell ref="GJ164:GK164"/>
    <mergeCell ref="GN156:GO156"/>
    <mergeCell ref="HD160:HE160"/>
    <mergeCell ref="HF155:HG155"/>
    <mergeCell ref="GH154:GI154"/>
    <mergeCell ref="GH156:GI156"/>
    <mergeCell ref="GL152:GM152"/>
    <mergeCell ref="GR151:GS151"/>
    <mergeCell ref="GX156:GY156"/>
    <mergeCell ref="HB160:HC160"/>
    <mergeCell ref="GZ160:HA160"/>
    <mergeCell ref="GH161:GI161"/>
    <mergeCell ref="HB155:HC155"/>
    <mergeCell ref="GL155:GM155"/>
    <mergeCell ref="GZ159:HA159"/>
    <mergeCell ref="GZ162:HA162"/>
    <mergeCell ref="GV159:GW159"/>
    <mergeCell ref="GX151:GY151"/>
    <mergeCell ref="GX150:GY150"/>
    <mergeCell ref="HD151:HE151"/>
    <mergeCell ref="GV162:GW162"/>
    <mergeCell ref="GT162:GU162"/>
    <mergeCell ref="GP142:GQ142"/>
    <mergeCell ref="GX140:GY140"/>
    <mergeCell ref="GH141:GI141"/>
    <mergeCell ref="GH142:GI142"/>
    <mergeCell ref="GJ142:GK142"/>
    <mergeCell ref="GT138:GU138"/>
    <mergeCell ref="GJ141:GK141"/>
    <mergeCell ref="GL138:GM138"/>
    <mergeCell ref="GZ139:HA139"/>
    <mergeCell ref="HD138:HE138"/>
    <mergeCell ref="HB138:HC138"/>
    <mergeCell ref="GJ138:GK138"/>
    <mergeCell ref="HD140:HE140"/>
    <mergeCell ref="HB140:HC140"/>
    <mergeCell ref="GX148:GY148"/>
    <mergeCell ref="GX149:GY149"/>
    <mergeCell ref="GR162:GS162"/>
    <mergeCell ref="GR157:GS157"/>
    <mergeCell ref="GH143:GI143"/>
    <mergeCell ref="GV150:GW150"/>
    <mergeCell ref="GV153:GW153"/>
    <mergeCell ref="GP159:GQ159"/>
    <mergeCell ref="GJ153:GK153"/>
    <mergeCell ref="GV160:GW160"/>
    <mergeCell ref="HF159:HG159"/>
    <mergeCell ref="GV158:GW158"/>
    <mergeCell ref="GT156:GU156"/>
    <mergeCell ref="GZ152:HA152"/>
    <mergeCell ref="GX155:GY155"/>
    <mergeCell ref="GL154:GM154"/>
    <mergeCell ref="HF154:HG154"/>
    <mergeCell ref="GT155:GU155"/>
    <mergeCell ref="GN159:GO159"/>
    <mergeCell ref="HB156:HC156"/>
    <mergeCell ref="GZ156:HA156"/>
    <mergeCell ref="HD150:HE150"/>
    <mergeCell ref="GP152:GQ152"/>
    <mergeCell ref="GP154:GQ154"/>
    <mergeCell ref="GN151:GO151"/>
    <mergeCell ref="HD154:HE154"/>
    <mergeCell ref="GV148:GW148"/>
    <mergeCell ref="GN162:GO162"/>
    <mergeCell ref="GX136:GY136"/>
    <mergeCell ref="HB125:HC125"/>
    <mergeCell ref="GX125:GY125"/>
    <mergeCell ref="GR126:GS126"/>
    <mergeCell ref="HD126:HE126"/>
    <mergeCell ref="GL128:GM128"/>
    <mergeCell ref="GJ155:GK155"/>
    <mergeCell ref="HD159:HE159"/>
    <mergeCell ref="GZ149:HA149"/>
    <mergeCell ref="GJ145:GK145"/>
    <mergeCell ref="GP145:GQ145"/>
    <mergeCell ref="HD146:HE146"/>
    <mergeCell ref="HD152:HE152"/>
    <mergeCell ref="HB153:HC153"/>
    <mergeCell ref="GT137:GU137"/>
    <mergeCell ref="GV137:GW137"/>
    <mergeCell ref="GP137:GQ137"/>
    <mergeCell ref="GN137:GO137"/>
    <mergeCell ref="GR137:GS137"/>
    <mergeCell ref="GR142:GS142"/>
    <mergeCell ref="GL126:GM126"/>
    <mergeCell ref="HD135:HE135"/>
    <mergeCell ref="GV129:GW129"/>
    <mergeCell ref="GR134:GS134"/>
    <mergeCell ref="GJ159:GK159"/>
    <mergeCell ref="GX158:GY158"/>
    <mergeCell ref="GX157:GY157"/>
    <mergeCell ref="HB152:HC152"/>
    <mergeCell ref="GZ142:HA142"/>
    <mergeCell ref="GT143:GU143"/>
    <mergeCell ref="GX143:GY143"/>
    <mergeCell ref="GL148:GM148"/>
    <mergeCell ref="GN148:GO148"/>
    <mergeCell ref="GL147:GM147"/>
    <mergeCell ref="GV144:GW144"/>
    <mergeCell ref="GX159:GY159"/>
    <mergeCell ref="GR155:GS155"/>
    <mergeCell ref="GP138:GQ138"/>
    <mergeCell ref="GZ138:HA138"/>
    <mergeCell ref="HB139:HC139"/>
    <mergeCell ref="GV147:GW147"/>
    <mergeCell ref="GP140:GQ140"/>
    <mergeCell ref="GJ140:GK140"/>
    <mergeCell ref="HL156:HM156"/>
    <mergeCell ref="GZ164:HA164"/>
    <mergeCell ref="GZ170:HA170"/>
    <mergeCell ref="GP161:GQ161"/>
    <mergeCell ref="GR159:GS159"/>
    <mergeCell ref="GR156:GS156"/>
    <mergeCell ref="GP156:GQ156"/>
    <mergeCell ref="HH144:HI144"/>
    <mergeCell ref="HB123:HC123"/>
    <mergeCell ref="GR129:GS129"/>
    <mergeCell ref="HD127:HE127"/>
    <mergeCell ref="GZ131:HA131"/>
    <mergeCell ref="GX124:GY124"/>
    <mergeCell ref="GN135:GO135"/>
    <mergeCell ref="GR135:GS135"/>
    <mergeCell ref="GP134:GQ134"/>
    <mergeCell ref="GR127:GS127"/>
    <mergeCell ref="GX132:GY132"/>
    <mergeCell ref="GZ136:HA136"/>
    <mergeCell ref="GP130:GQ130"/>
    <mergeCell ref="GN130:GO130"/>
    <mergeCell ref="GP122:GQ122"/>
    <mergeCell ref="GT124:GU124"/>
    <mergeCell ref="GP121:GQ121"/>
    <mergeCell ref="HL155:HM155"/>
    <mergeCell ref="HJ154:HK154"/>
    <mergeCell ref="HL147:HM147"/>
    <mergeCell ref="HH156:HI156"/>
    <mergeCell ref="HF121:HG121"/>
    <mergeCell ref="HH154:HI154"/>
    <mergeCell ref="HF144:HG144"/>
    <mergeCell ref="HH146:HI146"/>
    <mergeCell ref="HB136:HC136"/>
    <mergeCell ref="HF149:HG149"/>
    <mergeCell ref="HB137:HC137"/>
    <mergeCell ref="HD149:HE149"/>
    <mergeCell ref="HD153:HE153"/>
    <mergeCell ref="GX137:GY137"/>
    <mergeCell ref="HD139:HE139"/>
    <mergeCell ref="HD137:HE137"/>
    <mergeCell ref="HL153:HM153"/>
    <mergeCell ref="HH153:HI153"/>
    <mergeCell ref="HF153:HG153"/>
    <mergeCell ref="HL141:HM141"/>
    <mergeCell ref="HB149:HC149"/>
    <mergeCell ref="HF140:HG140"/>
    <mergeCell ref="HJ123:HK123"/>
    <mergeCell ref="HJ124:HK124"/>
    <mergeCell ref="HL129:HM129"/>
    <mergeCell ref="HJ125:HK125"/>
    <mergeCell ref="HF135:HG135"/>
    <mergeCell ref="GZ122:HA122"/>
    <mergeCell ref="GN144:GO144"/>
    <mergeCell ref="HH142:HI142"/>
    <mergeCell ref="HF138:HG138"/>
    <mergeCell ref="GZ140:HA140"/>
    <mergeCell ref="GX160:GY160"/>
    <mergeCell ref="GT136:GU136"/>
    <mergeCell ref="HB134:HC134"/>
    <mergeCell ref="HB130:HC130"/>
    <mergeCell ref="HD130:HE130"/>
    <mergeCell ref="HD131:HE131"/>
    <mergeCell ref="GT132:GU132"/>
    <mergeCell ref="GT126:GU126"/>
    <mergeCell ref="GX118:GY118"/>
    <mergeCell ref="HL123:HM123"/>
    <mergeCell ref="HH122:HI122"/>
    <mergeCell ref="HH121:HI121"/>
    <mergeCell ref="HD122:HE122"/>
    <mergeCell ref="HF122:HG122"/>
    <mergeCell ref="HL122:HM122"/>
    <mergeCell ref="HL134:HM134"/>
    <mergeCell ref="GZ132:HA132"/>
    <mergeCell ref="GZ127:HA127"/>
    <mergeCell ref="HB120:HC120"/>
    <mergeCell ref="GX121:GY121"/>
    <mergeCell ref="HB121:HC121"/>
    <mergeCell ref="HJ134:HK134"/>
    <mergeCell ref="HF129:HG129"/>
    <mergeCell ref="HF124:HG124"/>
    <mergeCell ref="HH124:HI124"/>
    <mergeCell ref="GZ118:HA118"/>
    <mergeCell ref="HL121:HM121"/>
    <mergeCell ref="HJ127:HK127"/>
    <mergeCell ref="HF127:HG127"/>
    <mergeCell ref="HH128:HI128"/>
    <mergeCell ref="HD128:HE128"/>
    <mergeCell ref="GZ124:HA124"/>
    <mergeCell ref="GZ123:HA123"/>
    <mergeCell ref="HB128:HC128"/>
    <mergeCell ref="GZ130:HA130"/>
    <mergeCell ref="GZ128:HA128"/>
    <mergeCell ref="GP136:GQ136"/>
    <mergeCell ref="GX126:GY126"/>
    <mergeCell ref="HH151:HI151"/>
    <mergeCell ref="HH150:HI150"/>
    <mergeCell ref="HJ153:HK153"/>
    <mergeCell ref="HF148:HG148"/>
    <mergeCell ref="HJ152:HK152"/>
    <mergeCell ref="HJ146:HK146"/>
    <mergeCell ref="HJ141:HK141"/>
    <mergeCell ref="HJ143:HK143"/>
    <mergeCell ref="HH149:HI149"/>
    <mergeCell ref="HJ145:HK145"/>
    <mergeCell ref="HF139:HG139"/>
    <mergeCell ref="HJ138:HK138"/>
    <mergeCell ref="HJ150:HK150"/>
    <mergeCell ref="HJ140:HK140"/>
    <mergeCell ref="HJ137:HK137"/>
    <mergeCell ref="HF137:HG137"/>
    <mergeCell ref="HD121:HE121"/>
    <mergeCell ref="GP124:GQ124"/>
    <mergeCell ref="GX120:GY120"/>
    <mergeCell ref="HL124:HM124"/>
    <mergeCell ref="GP120:GQ120"/>
    <mergeCell ref="GV119:GW119"/>
    <mergeCell ref="GV120:GW120"/>
    <mergeCell ref="HB119:HC119"/>
    <mergeCell ref="HJ136:HK136"/>
    <mergeCell ref="HL150:HM150"/>
    <mergeCell ref="HH152:HI152"/>
    <mergeCell ref="HF150:HG150"/>
    <mergeCell ref="HH140:HI140"/>
    <mergeCell ref="HH138:HI138"/>
    <mergeCell ref="HH132:HI132"/>
    <mergeCell ref="HD123:HE123"/>
    <mergeCell ref="HD124:HE124"/>
    <mergeCell ref="HF128:HG128"/>
    <mergeCell ref="KT92:KU92"/>
    <mergeCell ref="HP132:HQ132"/>
    <mergeCell ref="KB93:KC93"/>
    <mergeCell ref="KD93:KE93"/>
    <mergeCell ref="KF93:KG93"/>
    <mergeCell ref="HH115:HI115"/>
    <mergeCell ref="HJ100:HK100"/>
    <mergeCell ref="HD114:HE114"/>
    <mergeCell ref="HD112:HE112"/>
    <mergeCell ref="HP113:HQ113"/>
    <mergeCell ref="HD120:HE120"/>
    <mergeCell ref="HF113:HG113"/>
    <mergeCell ref="HF119:HG119"/>
    <mergeCell ref="HH119:HI119"/>
    <mergeCell ref="HF120:HG120"/>
    <mergeCell ref="HN116:HO116"/>
    <mergeCell ref="HV118:HW118"/>
    <mergeCell ref="IJ116:IK116"/>
    <mergeCell ref="IH93:II93"/>
    <mergeCell ref="IJ93:IK93"/>
    <mergeCell ref="IL93:IM93"/>
    <mergeCell ref="IN93:IO93"/>
    <mergeCell ref="IP93:IQ93"/>
    <mergeCell ref="IR93:IS93"/>
    <mergeCell ref="IJ111:IK111"/>
    <mergeCell ref="IP92:IQ92"/>
    <mergeCell ref="IR92:IS92"/>
    <mergeCell ref="ID115:IE115"/>
    <mergeCell ref="HX114:HY114"/>
    <mergeCell ref="HL115:HM115"/>
    <mergeCell ref="HJ112:HK112"/>
    <mergeCell ref="JT114:JU114"/>
    <mergeCell ref="JT111:JU111"/>
    <mergeCell ref="KB101:KC101"/>
    <mergeCell ref="KD101:KE101"/>
    <mergeCell ref="KF101:KG101"/>
    <mergeCell ref="KH101:KI101"/>
    <mergeCell ref="KJ101:KK101"/>
    <mergeCell ref="KL101:KM101"/>
    <mergeCell ref="KB92:KC92"/>
    <mergeCell ref="JN94:JO94"/>
    <mergeCell ref="IT94:IU94"/>
    <mergeCell ref="IV94:IW94"/>
    <mergeCell ref="JP94:JQ94"/>
    <mergeCell ref="JR94:JS94"/>
    <mergeCell ref="JT94:JU94"/>
    <mergeCell ref="JV94:JW94"/>
    <mergeCell ref="JX94:JY94"/>
    <mergeCell ref="JZ94:KA94"/>
    <mergeCell ref="KB94:KC94"/>
    <mergeCell ref="KD94:KE94"/>
    <mergeCell ref="KF94:KG94"/>
    <mergeCell ref="KH94:KI94"/>
    <mergeCell ref="KJ94:KK94"/>
    <mergeCell ref="KL94:KM94"/>
    <mergeCell ref="KN94:KO94"/>
    <mergeCell ref="KP94:KQ94"/>
    <mergeCell ref="KR94:KS94"/>
    <mergeCell ref="KT94:KU94"/>
    <mergeCell ref="HV92:HW92"/>
    <mergeCell ref="IN114:IO114"/>
    <mergeCell ref="ID112:IE112"/>
    <mergeCell ref="JN99:JO99"/>
    <mergeCell ref="JP99:JQ99"/>
    <mergeCell ref="GX117:GY117"/>
    <mergeCell ref="HJ132:HK132"/>
    <mergeCell ref="HH134:HI134"/>
    <mergeCell ref="HD125:HE125"/>
    <mergeCell ref="HL133:HM133"/>
    <mergeCell ref="GZ120:HA120"/>
    <mergeCell ref="HP116:HQ116"/>
    <mergeCell ref="IT92:IU92"/>
    <mergeCell ref="IV116:IW116"/>
    <mergeCell ref="IH117:II117"/>
    <mergeCell ref="HR114:HS114"/>
    <mergeCell ref="HT114:HU114"/>
    <mergeCell ref="JB112:JC112"/>
    <mergeCell ref="JD112:JE112"/>
    <mergeCell ref="JF112:JG112"/>
    <mergeCell ref="IX114:IY114"/>
    <mergeCell ref="IV114:IW114"/>
    <mergeCell ref="HV114:HW114"/>
    <mergeCell ref="JN92:JO92"/>
    <mergeCell ref="MB92:MC92"/>
    <mergeCell ref="IL116:IM116"/>
    <mergeCell ref="JT117:JU117"/>
    <mergeCell ref="HP115:HQ115"/>
    <mergeCell ref="IH113:II113"/>
    <mergeCell ref="IJ115:IK115"/>
    <mergeCell ref="HX115:HY115"/>
    <mergeCell ref="HV116:HW116"/>
    <mergeCell ref="JF114:JG114"/>
    <mergeCell ref="JH114:JI114"/>
    <mergeCell ref="JJ114:JK114"/>
    <mergeCell ref="JL114:JM114"/>
    <mergeCell ref="IV115:IW115"/>
    <mergeCell ref="IX115:IY115"/>
    <mergeCell ref="IZ115:JA115"/>
    <mergeCell ref="JB115:JC115"/>
    <mergeCell ref="JD115:JE115"/>
    <mergeCell ref="JF115:JG115"/>
    <mergeCell ref="JH115:JI115"/>
    <mergeCell ref="JJ115:JK115"/>
    <mergeCell ref="JL115:JM115"/>
    <mergeCell ref="IT112:IU112"/>
    <mergeCell ref="IV112:IW112"/>
    <mergeCell ref="IB115:IC115"/>
    <mergeCell ref="IB113:IC113"/>
    <mergeCell ref="HZ113:IA113"/>
    <mergeCell ref="KD92:KE92"/>
    <mergeCell ref="KF92:KG92"/>
    <mergeCell ref="HR117:HS117"/>
    <mergeCell ref="HV112:HW112"/>
    <mergeCell ref="IT114:IU114"/>
    <mergeCell ref="IZ114:JA114"/>
    <mergeCell ref="JB114:JC114"/>
    <mergeCell ref="JD114:JE114"/>
    <mergeCell ref="JF117:JG117"/>
    <mergeCell ref="JH117:JI117"/>
    <mergeCell ref="IB117:IC117"/>
    <mergeCell ref="IF113:IG113"/>
    <mergeCell ref="HT112:HU112"/>
    <mergeCell ref="JB96:JC96"/>
    <mergeCell ref="JD103:JE103"/>
    <mergeCell ref="IJ92:IK92"/>
    <mergeCell ref="IL92:IM92"/>
    <mergeCell ref="HZ116:IA116"/>
    <mergeCell ref="IP111:IQ111"/>
    <mergeCell ref="LT97:LU97"/>
    <mergeCell ref="LV97:LW97"/>
    <mergeCell ref="LX97:LY97"/>
    <mergeCell ref="HV115:HW115"/>
    <mergeCell ref="HX116:HY116"/>
    <mergeCell ref="LZ97:MA97"/>
    <mergeCell ref="MB97:MC97"/>
    <mergeCell ref="MD97:ME97"/>
    <mergeCell ref="IP114:IQ114"/>
    <mergeCell ref="HR116:HS116"/>
    <mergeCell ref="HV117:HW117"/>
    <mergeCell ref="HT117:HU117"/>
    <mergeCell ref="KN101:KO101"/>
    <mergeCell ref="KP101:KQ101"/>
    <mergeCell ref="KR101:KS101"/>
    <mergeCell ref="KT101:KU101"/>
    <mergeCell ref="KV101:KW101"/>
    <mergeCell ref="KX101:KY101"/>
    <mergeCell ref="KZ101:LA101"/>
    <mergeCell ref="MF102:MG102"/>
    <mergeCell ref="MH102:MI102"/>
    <mergeCell ref="MJ102:MK102"/>
    <mergeCell ref="ML102:MM102"/>
    <mergeCell ref="MN102:MO102"/>
    <mergeCell ref="LB101:LC101"/>
    <mergeCell ref="LD101:LE101"/>
    <mergeCell ref="LF101:LG101"/>
    <mergeCell ref="LH101:LI101"/>
    <mergeCell ref="LJ101:LK101"/>
    <mergeCell ref="LL101:LM101"/>
    <mergeCell ref="LN101:LO101"/>
    <mergeCell ref="LP101:LQ101"/>
    <mergeCell ref="LR101:LS101"/>
    <mergeCell ref="LT101:LU101"/>
    <mergeCell ref="LV102:LW102"/>
    <mergeCell ref="LX102:LY102"/>
    <mergeCell ref="LZ102:MA102"/>
    <mergeCell ref="MB102:MC102"/>
    <mergeCell ref="MD102:ME102"/>
    <mergeCell ref="HV113:HW113"/>
    <mergeCell ref="HV100:HW100"/>
    <mergeCell ref="JJ113:JK113"/>
    <mergeCell ref="HV106:HW106"/>
    <mergeCell ref="IF114:IG114"/>
    <mergeCell ref="IR99:IS99"/>
    <mergeCell ref="IF117:IG117"/>
    <mergeCell ref="JN114:JO114"/>
    <mergeCell ref="JP114:JQ114"/>
    <mergeCell ref="JR114:JS114"/>
    <mergeCell ref="JH112:JI112"/>
    <mergeCell ref="JJ112:JK112"/>
    <mergeCell ref="JL112:JM112"/>
    <mergeCell ref="IT113:IU113"/>
    <mergeCell ref="IV113:IW113"/>
    <mergeCell ref="IX113:IY113"/>
    <mergeCell ref="IZ113:JA113"/>
    <mergeCell ref="JB113:JC113"/>
    <mergeCell ref="JD113:JE113"/>
    <mergeCell ref="JH111:JI111"/>
    <mergeCell ref="IH112:II112"/>
    <mergeCell ref="HZ112:IA112"/>
    <mergeCell ref="IN111:IO111"/>
    <mergeCell ref="IF112:IG112"/>
    <mergeCell ref="IN115:IO115"/>
    <mergeCell ref="KV94:KW94"/>
    <mergeCell ref="KX94:KY94"/>
    <mergeCell ref="KZ94:LA94"/>
    <mergeCell ref="LB94:LC94"/>
    <mergeCell ref="LD94:LE94"/>
    <mergeCell ref="HH118:HI118"/>
    <mergeCell ref="HP117:HQ117"/>
    <mergeCell ref="HH116:HI116"/>
    <mergeCell ref="HJ116:HK116"/>
    <mergeCell ref="MT92:MU92"/>
    <mergeCell ref="MV92:MW92"/>
    <mergeCell ref="LZ93:MA93"/>
    <mergeCell ref="MB93:MC93"/>
    <mergeCell ref="MD93:ME93"/>
    <mergeCell ref="MF93:MG93"/>
    <mergeCell ref="MH93:MI93"/>
    <mergeCell ref="MJ93:MK93"/>
    <mergeCell ref="ML93:MM93"/>
    <mergeCell ref="MN93:MO93"/>
    <mergeCell ref="MP93:MQ93"/>
    <mergeCell ref="MR93:MS93"/>
    <mergeCell ref="MT93:MU93"/>
    <mergeCell ref="MV93:MW93"/>
    <mergeCell ref="KV92:KW92"/>
    <mergeCell ref="KX92:KY92"/>
    <mergeCell ref="KZ92:LA92"/>
    <mergeCell ref="LJ92:LK92"/>
    <mergeCell ref="LL92:LM92"/>
    <mergeCell ref="LN92:LO92"/>
    <mergeCell ref="LP92:LQ92"/>
    <mergeCell ref="LR92:LS92"/>
    <mergeCell ref="LR93:LS93"/>
    <mergeCell ref="LT93:LU93"/>
    <mergeCell ref="LV93:LW93"/>
    <mergeCell ref="LX93:LY93"/>
    <mergeCell ref="ML94:MM94"/>
    <mergeCell ref="MN94:MO94"/>
    <mergeCell ref="MP94:MQ94"/>
    <mergeCell ref="MR94:MS94"/>
    <mergeCell ref="MT94:MU94"/>
    <mergeCell ref="MV94:MW94"/>
    <mergeCell ref="JR92:JS92"/>
    <mergeCell ref="LF92:LG92"/>
    <mergeCell ref="LH92:LI92"/>
    <mergeCell ref="LX94:LY94"/>
    <mergeCell ref="LZ94:MA94"/>
    <mergeCell ref="MB94:MC94"/>
    <mergeCell ref="MF92:MG92"/>
    <mergeCell ref="MH92:MI92"/>
    <mergeCell ref="MJ92:MK92"/>
    <mergeCell ref="ML92:MM92"/>
    <mergeCell ref="MN92:MO92"/>
    <mergeCell ref="LT92:LU92"/>
    <mergeCell ref="LV92:LW92"/>
    <mergeCell ref="LX92:LY92"/>
    <mergeCell ref="LZ92:MA92"/>
    <mergeCell ref="MD92:ME92"/>
    <mergeCell ref="LB92:LC92"/>
    <mergeCell ref="LD92:LE92"/>
    <mergeCell ref="LH100:LI100"/>
    <mergeCell ref="LJ100:LK100"/>
    <mergeCell ref="HX111:HY111"/>
    <mergeCell ref="HX112:HY112"/>
    <mergeCell ref="HZ117:IA117"/>
    <mergeCell ref="NR113:NS113"/>
    <mergeCell ref="NT113:NU113"/>
    <mergeCell ref="NR116:NS116"/>
    <mergeCell ref="OR92:OS92"/>
    <mergeCell ref="OT92:OU92"/>
    <mergeCell ref="OV92:OW92"/>
    <mergeCell ref="OX92:OY92"/>
    <mergeCell ref="OZ92:PA92"/>
    <mergeCell ref="PB92:PC92"/>
    <mergeCell ref="PD92:PE92"/>
    <mergeCell ref="PF92:PG92"/>
    <mergeCell ref="HX100:HY100"/>
    <mergeCell ref="HZ100:IA100"/>
    <mergeCell ref="IT100:IU100"/>
    <mergeCell ref="IV100:IW100"/>
    <mergeCell ref="PB100:PC100"/>
    <mergeCell ref="PD100:PE100"/>
    <mergeCell ref="PF100:PG100"/>
    <mergeCell ref="JX97:JY97"/>
    <mergeCell ref="JZ97:KA97"/>
    <mergeCell ref="KB97:KC97"/>
    <mergeCell ref="KD97:KE97"/>
    <mergeCell ref="KF97:KG97"/>
    <mergeCell ref="KH97:KI97"/>
    <mergeCell ref="KJ97:KK97"/>
    <mergeCell ref="KL97:KM97"/>
    <mergeCell ref="KN97:KO97"/>
    <mergeCell ref="KP97:KQ97"/>
    <mergeCell ref="KR97:KS97"/>
    <mergeCell ref="KT97:KU97"/>
    <mergeCell ref="KV97:KW97"/>
    <mergeCell ref="KX97:KY97"/>
    <mergeCell ref="KZ97:LA97"/>
    <mergeCell ref="LB97:LC97"/>
    <mergeCell ref="LD97:LE97"/>
    <mergeCell ref="LF97:LG97"/>
    <mergeCell ref="LH97:LI97"/>
    <mergeCell ref="LJ97:LK97"/>
    <mergeCell ref="LL97:LM97"/>
    <mergeCell ref="LN97:LO97"/>
    <mergeCell ref="LP97:LQ97"/>
    <mergeCell ref="LR97:LS97"/>
    <mergeCell ref="MX92:MY92"/>
    <mergeCell ref="MP92:MQ92"/>
    <mergeCell ref="MR92:MS92"/>
    <mergeCell ref="JP92:JQ92"/>
    <mergeCell ref="JZ92:KA92"/>
    <mergeCell ref="JT92:JU92"/>
    <mergeCell ref="JV92:JW92"/>
    <mergeCell ref="JX92:JY92"/>
    <mergeCell ref="KH92:KI92"/>
    <mergeCell ref="KJ92:KK92"/>
    <mergeCell ref="KL92:KM92"/>
    <mergeCell ref="KN92:KO92"/>
    <mergeCell ref="KP92:KQ92"/>
    <mergeCell ref="KR92:KS92"/>
    <mergeCell ref="LX100:LY100"/>
    <mergeCell ref="LZ100:MA100"/>
    <mergeCell ref="MB100:MC100"/>
    <mergeCell ref="MD100:ME100"/>
    <mergeCell ref="MF100:MG100"/>
    <mergeCell ref="MH100:MI100"/>
    <mergeCell ref="MJ100:MK100"/>
    <mergeCell ref="ML100:MM100"/>
    <mergeCell ref="JR99:JS99"/>
    <mergeCell ref="JT99:JU99"/>
    <mergeCell ref="JV99:JW99"/>
    <mergeCell ref="JX99:JY99"/>
    <mergeCell ref="JZ99:KA99"/>
    <mergeCell ref="JL99:JM99"/>
    <mergeCell ref="JL113:JM113"/>
    <mergeCell ref="JN102:JO102"/>
    <mergeCell ref="JP102:JQ102"/>
    <mergeCell ref="JR102:JS102"/>
    <mergeCell ref="JT102:JU102"/>
    <mergeCell ref="JV102:JW102"/>
    <mergeCell ref="JX102:JY102"/>
    <mergeCell ref="JZ102:KA102"/>
    <mergeCell ref="IP103:IQ103"/>
    <mergeCell ref="IR103:IS103"/>
    <mergeCell ref="IT103:IU103"/>
    <mergeCell ref="IV103:IW103"/>
    <mergeCell ref="IX103:IY103"/>
    <mergeCell ref="IZ103:JA103"/>
    <mergeCell ref="JF103:JG103"/>
    <mergeCell ref="JH103:JI103"/>
    <mergeCell ref="JJ103:JK103"/>
    <mergeCell ref="JL103:JM103"/>
    <mergeCell ref="JN103:JO103"/>
    <mergeCell ref="JZ103:KA103"/>
    <mergeCell ref="JP103:JQ103"/>
    <mergeCell ref="JR103:JS103"/>
    <mergeCell ref="JT103:JU103"/>
    <mergeCell ref="JV103:JW103"/>
    <mergeCell ref="JX103:JY103"/>
    <mergeCell ref="IT101:IU101"/>
    <mergeCell ref="IV101:IW101"/>
    <mergeCell ref="IX101:IY101"/>
    <mergeCell ref="IZ101:JA101"/>
    <mergeCell ref="JB101:JC101"/>
    <mergeCell ref="JD101:JE101"/>
    <mergeCell ref="JF101:JG101"/>
    <mergeCell ref="JH101:JI101"/>
    <mergeCell ref="JJ101:JK101"/>
    <mergeCell ref="JL101:JM101"/>
    <mergeCell ref="JN101:JO101"/>
    <mergeCell ref="JP101:JQ101"/>
    <mergeCell ref="JR101:JS101"/>
    <mergeCell ref="JT101:JU101"/>
    <mergeCell ref="JV101:JW101"/>
    <mergeCell ref="JX101:JY101"/>
    <mergeCell ref="JZ101:KA101"/>
    <mergeCell ref="MJ112:MK112"/>
    <mergeCell ref="LN99:LO99"/>
    <mergeCell ref="LP99:LQ99"/>
    <mergeCell ref="ML119:MM119"/>
    <mergeCell ref="MN119:MO119"/>
    <mergeCell ref="IB100:IC100"/>
    <mergeCell ref="ID100:IE100"/>
    <mergeCell ref="IF100:IG100"/>
    <mergeCell ref="IH100:II100"/>
    <mergeCell ref="IJ100:IK100"/>
    <mergeCell ref="IL100:IM100"/>
    <mergeCell ref="IZ116:JA116"/>
    <mergeCell ref="OD111:OE111"/>
    <mergeCell ref="OF111:OG111"/>
    <mergeCell ref="OH111:OI111"/>
    <mergeCell ref="OJ111:OK111"/>
    <mergeCell ref="OL111:OM111"/>
    <mergeCell ref="ON111:OO111"/>
    <mergeCell ref="OP111:OQ111"/>
    <mergeCell ref="OR111:OS111"/>
    <mergeCell ref="OT111:OU111"/>
    <mergeCell ref="OV111:OW111"/>
    <mergeCell ref="OX111:OY111"/>
    <mergeCell ref="OZ111:PA111"/>
    <mergeCell ref="ML112:MM112"/>
    <mergeCell ref="MN112:MO112"/>
    <mergeCell ref="MP112:MQ112"/>
    <mergeCell ref="MR112:MS112"/>
    <mergeCell ref="MT112:MU112"/>
    <mergeCell ref="MV112:MW112"/>
    <mergeCell ref="MX112:MY112"/>
    <mergeCell ref="MZ112:NA112"/>
    <mergeCell ref="NB112:NC112"/>
    <mergeCell ref="ND112:NE112"/>
    <mergeCell ref="NF112:NG112"/>
    <mergeCell ref="NH112:NI112"/>
    <mergeCell ref="NJ112:NK112"/>
    <mergeCell ref="NL112:NM112"/>
    <mergeCell ref="NN100:NO100"/>
    <mergeCell ref="NP100:NQ100"/>
    <mergeCell ref="NN112:NO112"/>
    <mergeCell ref="NP112:NQ112"/>
    <mergeCell ref="NR112:NS112"/>
    <mergeCell ref="NT112:NU112"/>
    <mergeCell ref="JN100:JO100"/>
    <mergeCell ref="JP100:JQ100"/>
    <mergeCell ref="JR100:JS100"/>
    <mergeCell ref="JT100:JU100"/>
    <mergeCell ref="JV100:JW100"/>
    <mergeCell ref="IB112:IC112"/>
    <mergeCell ref="IB116:IC116"/>
    <mergeCell ref="KB100:KC100"/>
    <mergeCell ref="KD100:KE100"/>
    <mergeCell ref="KF100:KG100"/>
    <mergeCell ref="KH100:KI100"/>
    <mergeCell ref="KJ100:KK100"/>
    <mergeCell ref="KL100:KM100"/>
    <mergeCell ref="KN100:KO100"/>
    <mergeCell ref="KP100:KQ100"/>
    <mergeCell ref="KR100:KS100"/>
    <mergeCell ref="KT100:KU100"/>
    <mergeCell ref="JX100:JY100"/>
    <mergeCell ref="JZ100:KA100"/>
    <mergeCell ref="IP112:IQ112"/>
    <mergeCell ref="KV100:KW100"/>
    <mergeCell ref="KX100:KY100"/>
    <mergeCell ref="KZ100:LA100"/>
    <mergeCell ref="LB100:LC100"/>
    <mergeCell ref="LD100:LE100"/>
    <mergeCell ref="LF100:LG100"/>
    <mergeCell ref="QD92:QE92"/>
    <mergeCell ref="QF92:QG92"/>
    <mergeCell ref="QH92:QI92"/>
    <mergeCell ref="QJ92:QK92"/>
    <mergeCell ref="QL92:QM92"/>
    <mergeCell ref="QN92:QO92"/>
    <mergeCell ref="QP92:QQ92"/>
    <mergeCell ref="QR92:QS92"/>
    <mergeCell ref="QT92:QU92"/>
    <mergeCell ref="QV92:QW92"/>
    <mergeCell ref="QX92:QY92"/>
    <mergeCell ref="QZ92:RA92"/>
    <mergeCell ref="RB92:RC92"/>
    <mergeCell ref="MZ92:NA92"/>
    <mergeCell ref="NB92:NC92"/>
    <mergeCell ref="ND92:NE92"/>
    <mergeCell ref="NF92:NG92"/>
    <mergeCell ref="NH92:NI92"/>
    <mergeCell ref="NJ92:NK92"/>
    <mergeCell ref="NL92:NM92"/>
    <mergeCell ref="NN92:NO92"/>
    <mergeCell ref="NP92:NQ92"/>
    <mergeCell ref="NR92:NS92"/>
    <mergeCell ref="NT92:NU92"/>
    <mergeCell ref="NV92:NW92"/>
    <mergeCell ref="NX92:NY92"/>
    <mergeCell ref="NZ92:OA92"/>
    <mergeCell ref="OB92:OC92"/>
    <mergeCell ref="OD92:OE92"/>
    <mergeCell ref="OF92:OG92"/>
    <mergeCell ref="OH92:OI92"/>
    <mergeCell ref="OJ92:OK92"/>
    <mergeCell ref="OL92:OM92"/>
    <mergeCell ref="ON92:OO92"/>
    <mergeCell ref="OP92:OQ92"/>
    <mergeCell ref="PH92:PI92"/>
    <mergeCell ref="PJ92:PK92"/>
    <mergeCell ref="PL92:PM92"/>
    <mergeCell ref="PN92:PO92"/>
    <mergeCell ref="PP92:PQ92"/>
    <mergeCell ref="PR92:PS92"/>
    <mergeCell ref="QN100:QO100"/>
    <mergeCell ref="QP100:QQ100"/>
    <mergeCell ref="QR100:QS100"/>
    <mergeCell ref="QT100:QU100"/>
    <mergeCell ref="QV100:QW100"/>
    <mergeCell ref="QX100:QY100"/>
    <mergeCell ref="QZ100:RA100"/>
    <mergeCell ref="RB100:RC100"/>
    <mergeCell ref="RB97:RC97"/>
    <mergeCell ref="PT92:PU92"/>
    <mergeCell ref="PV92:PW92"/>
    <mergeCell ref="PX92:PY92"/>
    <mergeCell ref="PZ92:QA92"/>
    <mergeCell ref="QB92:QC92"/>
    <mergeCell ref="PH100:PI100"/>
    <mergeCell ref="PJ100:PK100"/>
    <mergeCell ref="MX94:MY94"/>
    <mergeCell ref="MV189:MW189"/>
    <mergeCell ref="MX189:MY189"/>
    <mergeCell ref="MZ189:NA189"/>
    <mergeCell ref="NB189:NC189"/>
    <mergeCell ref="ND189:NE189"/>
    <mergeCell ref="JN189:JO189"/>
    <mergeCell ref="JP189:JQ189"/>
    <mergeCell ref="JR189:JS189"/>
    <mergeCell ref="JT189:JU189"/>
    <mergeCell ref="JV189:JW189"/>
    <mergeCell ref="JX189:JY189"/>
    <mergeCell ref="JZ189:KA189"/>
    <mergeCell ref="KB189:KC189"/>
    <mergeCell ref="KD189:KE189"/>
    <mergeCell ref="KF189:KG189"/>
    <mergeCell ref="KH189:KI189"/>
    <mergeCell ref="KJ189:KK189"/>
    <mergeCell ref="KL189:KM189"/>
    <mergeCell ref="KN189:KO189"/>
    <mergeCell ref="KP189:KQ189"/>
    <mergeCell ref="NF189:NG189"/>
    <mergeCell ref="NH189:NI189"/>
    <mergeCell ref="PX189:PY189"/>
    <mergeCell ref="QJ189:QK189"/>
    <mergeCell ref="QV189:QW189"/>
    <mergeCell ref="QX189:QY189"/>
    <mergeCell ref="KR189:KS189"/>
    <mergeCell ref="KT189:KU189"/>
    <mergeCell ref="KV189:KW189"/>
    <mergeCell ref="KX189:KY189"/>
    <mergeCell ref="KZ189:LA189"/>
    <mergeCell ref="LB189:LC189"/>
    <mergeCell ref="LD189:LE189"/>
    <mergeCell ref="LF189:LG189"/>
    <mergeCell ref="LH189:LI189"/>
    <mergeCell ref="LJ189:LK189"/>
    <mergeCell ref="LL189:LM189"/>
    <mergeCell ref="LN189:LO189"/>
    <mergeCell ref="LP189:LQ189"/>
    <mergeCell ref="LR189:LS189"/>
    <mergeCell ref="MB189:MC189"/>
    <mergeCell ref="MD189:ME189"/>
    <mergeCell ref="MF189:MG189"/>
    <mergeCell ref="MH189:MI189"/>
    <mergeCell ref="MJ189:MK189"/>
    <mergeCell ref="ML189:MM189"/>
    <mergeCell ref="MN189:MO189"/>
    <mergeCell ref="MP189:MQ189"/>
    <mergeCell ref="MR189:MS189"/>
    <mergeCell ref="MT189:MU189"/>
    <mergeCell ref="LT189:LU189"/>
    <mergeCell ref="LV189:LW189"/>
    <mergeCell ref="LX189:LY189"/>
    <mergeCell ref="LZ189:MA189"/>
    <mergeCell ref="QT189:QU189"/>
    <mergeCell ref="QR189:QS189"/>
    <mergeCell ref="QZ189:RA189"/>
    <mergeCell ref="RB189:RC189"/>
    <mergeCell ref="NJ189:NK189"/>
    <mergeCell ref="NL189:NM189"/>
    <mergeCell ref="NN189:NO189"/>
    <mergeCell ref="NP189:NQ189"/>
    <mergeCell ref="NR189:NS189"/>
    <mergeCell ref="NT189:NU189"/>
    <mergeCell ref="NV189:NW189"/>
    <mergeCell ref="NX189:NY189"/>
    <mergeCell ref="NZ189:OA189"/>
    <mergeCell ref="OB189:OC189"/>
    <mergeCell ref="OD189:OE189"/>
    <mergeCell ref="OF189:OG189"/>
    <mergeCell ref="OH189:OI189"/>
    <mergeCell ref="OJ189:OK189"/>
    <mergeCell ref="OL189:OM189"/>
    <mergeCell ref="ON189:OO189"/>
    <mergeCell ref="OP189:OQ189"/>
    <mergeCell ref="OR189:OS189"/>
    <mergeCell ref="OT189:OU189"/>
    <mergeCell ref="OV189:OW189"/>
    <mergeCell ref="OX189:OY189"/>
    <mergeCell ref="OZ189:PA189"/>
    <mergeCell ref="PB189:PC189"/>
    <mergeCell ref="PD189:PE189"/>
    <mergeCell ref="PF189:PG189"/>
    <mergeCell ref="PH189:PI189"/>
    <mergeCell ref="PJ189:PK189"/>
    <mergeCell ref="PL189:PM189"/>
    <mergeCell ref="PN189:PO189"/>
    <mergeCell ref="PP189:PQ189"/>
    <mergeCell ref="PR189:PS189"/>
    <mergeCell ref="PT189:PU189"/>
    <mergeCell ref="QX186:QY186"/>
    <mergeCell ref="QZ186:RA186"/>
    <mergeCell ref="RB186:RC186"/>
    <mergeCell ref="NL186:NM186"/>
    <mergeCell ref="NN186:NO186"/>
    <mergeCell ref="NP186:NQ186"/>
    <mergeCell ref="NR186:NS186"/>
    <mergeCell ref="NT186:NU186"/>
    <mergeCell ref="NV186:NW186"/>
    <mergeCell ref="F186:G186"/>
    <mergeCell ref="FF186:FG186"/>
    <mergeCell ref="FH186:FI186"/>
    <mergeCell ref="FJ186:FK186"/>
    <mergeCell ref="FL186:FM186"/>
    <mergeCell ref="FN186:FO186"/>
    <mergeCell ref="FP186:FQ186"/>
    <mergeCell ref="FR186:FS186"/>
    <mergeCell ref="FT186:FU186"/>
    <mergeCell ref="FV186:FW186"/>
    <mergeCell ref="FX186:FY186"/>
    <mergeCell ref="FZ186:GA186"/>
    <mergeCell ref="GB186:GC186"/>
    <mergeCell ref="GD186:GE186"/>
    <mergeCell ref="GF186:GG186"/>
    <mergeCell ref="GH186:GI186"/>
    <mergeCell ref="GJ186:GK186"/>
    <mergeCell ref="GL186:GM186"/>
    <mergeCell ref="GN186:GO186"/>
    <mergeCell ref="GP186:GQ186"/>
    <mergeCell ref="GR186:GS186"/>
    <mergeCell ref="GT186:GU186"/>
    <mergeCell ref="GV186:GW186"/>
    <mergeCell ref="GX186:GY186"/>
    <mergeCell ref="GZ186:HA186"/>
    <mergeCell ref="HB186:HC186"/>
    <mergeCell ref="HD186:HE186"/>
    <mergeCell ref="HF186:HG186"/>
    <mergeCell ref="HH186:HI186"/>
    <mergeCell ref="HJ186:HK186"/>
    <mergeCell ref="HL186:HM186"/>
    <mergeCell ref="HN186:HO186"/>
    <mergeCell ref="JN186:JO186"/>
    <mergeCell ref="QJ186:QK186"/>
    <mergeCell ref="QL186:QM186"/>
    <mergeCell ref="QN186:QO186"/>
    <mergeCell ref="QP186:QQ186"/>
    <mergeCell ref="QR186:QS186"/>
    <mergeCell ref="QT186:QU186"/>
    <mergeCell ref="QV186:QW186"/>
    <mergeCell ref="MP186:MQ186"/>
    <mergeCell ref="QD186:QE186"/>
    <mergeCell ref="QF186:QG186"/>
    <mergeCell ref="QH186:QI186"/>
    <mergeCell ref="MR186:MS186"/>
    <mergeCell ref="MT186:MU186"/>
    <mergeCell ref="MV186:MW186"/>
    <mergeCell ref="MX186:MY186"/>
    <mergeCell ref="MZ186:NA186"/>
    <mergeCell ref="NB186:NC186"/>
    <mergeCell ref="ND186:NE186"/>
    <mergeCell ref="IL186:IM186"/>
    <mergeCell ref="JD186:JE186"/>
    <mergeCell ref="JF186:JG186"/>
    <mergeCell ref="JH186:JI186"/>
    <mergeCell ref="HF98:HG98"/>
    <mergeCell ref="HH98:HI98"/>
    <mergeCell ref="HJ98:HK98"/>
    <mergeCell ref="HL98:HM98"/>
    <mergeCell ref="HN98:HO98"/>
    <mergeCell ref="HP98:HQ98"/>
    <mergeCell ref="HR98:HS98"/>
    <mergeCell ref="HT98:HU98"/>
    <mergeCell ref="HV98:HW98"/>
    <mergeCell ref="HX98:HY98"/>
    <mergeCell ref="HZ98:IA98"/>
    <mergeCell ref="IB98:IC98"/>
    <mergeCell ref="ID98:IE98"/>
    <mergeCell ref="IF98:IG98"/>
    <mergeCell ref="IH98:II98"/>
    <mergeCell ref="IJ98:IK98"/>
    <mergeCell ref="IL98:IM98"/>
    <mergeCell ref="IN98:IO98"/>
    <mergeCell ref="IP98:IQ98"/>
    <mergeCell ref="IR98:IS98"/>
    <mergeCell ref="IT98:IU98"/>
    <mergeCell ref="IV98:IW98"/>
    <mergeCell ref="KB98:KC98"/>
    <mergeCell ref="KD98:KE98"/>
    <mergeCell ref="KF98:KG98"/>
    <mergeCell ref="KH98:KI98"/>
    <mergeCell ref="KJ98:KK98"/>
    <mergeCell ref="KL98:KM98"/>
    <mergeCell ref="KN98:KO98"/>
    <mergeCell ref="KP98:KQ98"/>
    <mergeCell ref="KR98:KS98"/>
    <mergeCell ref="IX98:IY98"/>
    <mergeCell ref="IZ98:JA98"/>
    <mergeCell ref="JB98:JC98"/>
    <mergeCell ref="JD98:JE98"/>
    <mergeCell ref="JF98:JG98"/>
    <mergeCell ref="JH98:JI98"/>
    <mergeCell ref="JJ98:JK98"/>
    <mergeCell ref="JL98:JM98"/>
    <mergeCell ref="JN98:JO98"/>
    <mergeCell ref="JP98:JQ98"/>
    <mergeCell ref="JR98:JS98"/>
    <mergeCell ref="JT98:JU98"/>
    <mergeCell ref="JX98:JY98"/>
    <mergeCell ref="JZ98:KA98"/>
    <mergeCell ref="JV98:JW98"/>
    <mergeCell ref="QX98:QY98"/>
    <mergeCell ref="QZ98:RA98"/>
    <mergeCell ref="RB98:RC98"/>
    <mergeCell ref="GB103:GC103"/>
    <mergeCell ref="GD103:GE103"/>
    <mergeCell ref="GF103:GG103"/>
    <mergeCell ref="GH103:GI103"/>
    <mergeCell ref="GJ103:GK103"/>
    <mergeCell ref="GL103:GM103"/>
    <mergeCell ref="GN103:GO103"/>
    <mergeCell ref="GP103:GQ103"/>
    <mergeCell ref="GR103:GS103"/>
    <mergeCell ref="GT103:GU103"/>
    <mergeCell ref="GV103:GW103"/>
    <mergeCell ref="GX103:GY103"/>
    <mergeCell ref="GZ103:HA103"/>
    <mergeCell ref="HB103:HC103"/>
    <mergeCell ref="HD103:HE103"/>
    <mergeCell ref="HF103:HG103"/>
    <mergeCell ref="HH103:HI103"/>
    <mergeCell ref="HJ103:HK103"/>
    <mergeCell ref="HL103:HM103"/>
    <mergeCell ref="HN103:HO103"/>
    <mergeCell ref="HP103:HQ103"/>
    <mergeCell ref="HR103:HS103"/>
    <mergeCell ref="HT103:HU103"/>
    <mergeCell ref="HV103:HW103"/>
    <mergeCell ref="HX103:HY103"/>
    <mergeCell ref="HZ103:IA103"/>
    <mergeCell ref="IB103:IC103"/>
    <mergeCell ref="ID103:IE103"/>
    <mergeCell ref="IF103:IG103"/>
    <mergeCell ref="IH103:II103"/>
    <mergeCell ref="IJ103:IK103"/>
    <mergeCell ref="IL103:IM103"/>
    <mergeCell ref="IN103:IO103"/>
    <mergeCell ref="KB103:KC103"/>
    <mergeCell ref="KD103:KE103"/>
    <mergeCell ref="KF103:KG103"/>
    <mergeCell ref="KT98:KU98"/>
    <mergeCell ref="KV98:KW98"/>
    <mergeCell ref="KX98:KY98"/>
    <mergeCell ref="KZ98:LA98"/>
    <mergeCell ref="LB98:LC98"/>
    <mergeCell ref="LD98:LE98"/>
    <mergeCell ref="LF98:LG98"/>
    <mergeCell ref="LH98:LI98"/>
    <mergeCell ref="LJ98:LK98"/>
    <mergeCell ref="LL98:LM98"/>
    <mergeCell ref="LN98:LO98"/>
    <mergeCell ref="LP98:LQ98"/>
    <mergeCell ref="LR98:LS98"/>
    <mergeCell ref="LH103:LI103"/>
    <mergeCell ref="LJ103:LK103"/>
    <mergeCell ref="LL103:LM103"/>
    <mergeCell ref="LN103:LO103"/>
    <mergeCell ref="LP103:LQ103"/>
    <mergeCell ref="LR103:LS103"/>
    <mergeCell ref="LT103:LU103"/>
    <mergeCell ref="LV103:LW103"/>
    <mergeCell ref="LX103:LY103"/>
    <mergeCell ref="LZ103:MA103"/>
    <mergeCell ref="MB103:MC103"/>
    <mergeCell ref="MD103:ME103"/>
    <mergeCell ref="MF103:MG103"/>
    <mergeCell ref="MH103:MI103"/>
    <mergeCell ref="MJ103:MK103"/>
    <mergeCell ref="ML103:MM103"/>
    <mergeCell ref="NN103:NO103"/>
    <mergeCell ref="NP103:NQ103"/>
    <mergeCell ref="NR103:NS103"/>
    <mergeCell ref="NT103:NU103"/>
    <mergeCell ref="OZ98:PA98"/>
    <mergeCell ref="PB98:PC98"/>
    <mergeCell ref="PD98:PE98"/>
    <mergeCell ref="PF98:PG98"/>
    <mergeCell ref="PH98:PI98"/>
    <mergeCell ref="PJ98:PK98"/>
    <mergeCell ref="PL98:PM98"/>
    <mergeCell ref="PN98:PO98"/>
    <mergeCell ref="PP98:PQ98"/>
    <mergeCell ref="PR98:PS98"/>
    <mergeCell ref="PT98:PU98"/>
    <mergeCell ref="PV98:PW98"/>
    <mergeCell ref="PX98:PY98"/>
    <mergeCell ref="LT98:LU98"/>
    <mergeCell ref="LV98:LW98"/>
    <mergeCell ref="LX98:LY98"/>
    <mergeCell ref="LZ98:MA98"/>
    <mergeCell ref="MB98:MC98"/>
    <mergeCell ref="MD98:ME98"/>
    <mergeCell ref="NN98:NO98"/>
    <mergeCell ref="NP98:NQ98"/>
    <mergeCell ref="NR98:NS98"/>
    <mergeCell ref="NT98:NU98"/>
    <mergeCell ref="NV98:NW98"/>
    <mergeCell ref="NX98:NY98"/>
    <mergeCell ref="NZ98:OA98"/>
    <mergeCell ref="OB98:OC98"/>
    <mergeCell ref="OD98:OE98"/>
    <mergeCell ref="OF98:OG98"/>
    <mergeCell ref="OH98:OI98"/>
    <mergeCell ref="OJ98:OK98"/>
    <mergeCell ref="OL98:OM98"/>
    <mergeCell ref="ON98:OO98"/>
    <mergeCell ref="MR102:MS102"/>
    <mergeCell ref="MT102:MU102"/>
    <mergeCell ref="MV102:MW102"/>
    <mergeCell ref="MX102:MY102"/>
    <mergeCell ref="MZ102:NA102"/>
    <mergeCell ref="NB102:NC102"/>
    <mergeCell ref="ND102:NE102"/>
    <mergeCell ref="MT100:MU100"/>
    <mergeCell ref="NZ103:OA103"/>
    <mergeCell ref="OB103:OC103"/>
    <mergeCell ref="OD103:OE103"/>
    <mergeCell ref="OF103:OG103"/>
    <mergeCell ref="OH103:OI103"/>
    <mergeCell ref="OJ103:OK103"/>
    <mergeCell ref="OL103:OM103"/>
    <mergeCell ref="ON103:OO103"/>
    <mergeCell ref="OP103:OQ103"/>
    <mergeCell ref="OR103:OS103"/>
    <mergeCell ref="OT103:OU103"/>
    <mergeCell ref="OV103:OW103"/>
    <mergeCell ref="OX103:OY103"/>
    <mergeCell ref="OZ103:PA103"/>
    <mergeCell ref="PB103:PC103"/>
    <mergeCell ref="PV103:PW103"/>
    <mergeCell ref="PX103:PY103"/>
    <mergeCell ref="PZ103:QA103"/>
    <mergeCell ref="QB103:QC103"/>
    <mergeCell ref="QD103:QE103"/>
    <mergeCell ref="QF103:QG103"/>
    <mergeCell ref="QH103:QI103"/>
    <mergeCell ref="QJ103:QK103"/>
    <mergeCell ref="QL103:QM103"/>
    <mergeCell ref="QN103:QO103"/>
    <mergeCell ref="QP103:QQ103"/>
    <mergeCell ref="QR103:QS103"/>
    <mergeCell ref="QT103:QU103"/>
    <mergeCell ref="QV103:QW103"/>
    <mergeCell ref="QX103:QY103"/>
    <mergeCell ref="QZ103:RA103"/>
    <mergeCell ref="RB103:RC103"/>
    <mergeCell ref="F187:G187"/>
    <mergeCell ref="FF187:FG187"/>
    <mergeCell ref="FH187:FI187"/>
    <mergeCell ref="FJ187:FK187"/>
    <mergeCell ref="FL187:FM187"/>
    <mergeCell ref="FN187:FO187"/>
    <mergeCell ref="FP187:FQ187"/>
    <mergeCell ref="FR187:FS187"/>
    <mergeCell ref="FT187:FU187"/>
    <mergeCell ref="FV187:FW187"/>
    <mergeCell ref="FX187:FY187"/>
    <mergeCell ref="FZ187:GA187"/>
    <mergeCell ref="GB187:GC187"/>
    <mergeCell ref="GD187:GE187"/>
    <mergeCell ref="GF187:GG187"/>
    <mergeCell ref="GH187:GI187"/>
    <mergeCell ref="GJ187:GK187"/>
    <mergeCell ref="GL187:GM187"/>
    <mergeCell ref="GN187:GO187"/>
    <mergeCell ref="GP187:GQ187"/>
    <mergeCell ref="GR187:GS187"/>
    <mergeCell ref="GT187:GU187"/>
    <mergeCell ref="GV187:GW187"/>
    <mergeCell ref="GX187:GY187"/>
    <mergeCell ref="GZ187:HA187"/>
    <mergeCell ref="HB187:HC187"/>
    <mergeCell ref="HD187:HE187"/>
    <mergeCell ref="HF187:HG187"/>
    <mergeCell ref="HH187:HI187"/>
    <mergeCell ref="HJ187:HK187"/>
    <mergeCell ref="HL187:HM187"/>
    <mergeCell ref="HN187:HO187"/>
    <mergeCell ref="HP187:HQ187"/>
    <mergeCell ref="HR187:HS187"/>
    <mergeCell ref="HT187:HU187"/>
    <mergeCell ref="HV187:HW187"/>
    <mergeCell ref="HX187:HY187"/>
    <mergeCell ref="HZ187:IA187"/>
    <mergeCell ref="IB187:IC187"/>
    <mergeCell ref="ID187:IE187"/>
    <mergeCell ref="IF187:IG187"/>
    <mergeCell ref="IH187:II187"/>
    <mergeCell ref="IJ187:IK187"/>
    <mergeCell ref="JN187:JO187"/>
    <mergeCell ref="JP187:JQ187"/>
    <mergeCell ref="JR187:JS187"/>
    <mergeCell ref="JT187:JU187"/>
    <mergeCell ref="JV187:JW187"/>
    <mergeCell ref="JX187:JY187"/>
    <mergeCell ref="JZ187:KA187"/>
    <mergeCell ref="KB187:KC187"/>
    <mergeCell ref="KD187:KE187"/>
    <mergeCell ref="KF187:KG187"/>
    <mergeCell ref="KH187:KI187"/>
    <mergeCell ref="KJ187:KK187"/>
    <mergeCell ref="KL187:KM187"/>
    <mergeCell ref="KN187:KO187"/>
    <mergeCell ref="KP187:KQ187"/>
    <mergeCell ref="KR187:KS187"/>
    <mergeCell ref="KT187:KU187"/>
    <mergeCell ref="KV187:KW187"/>
    <mergeCell ref="KX187:KY187"/>
    <mergeCell ref="KZ187:LA187"/>
    <mergeCell ref="LB187:LC187"/>
    <mergeCell ref="LD187:LE187"/>
    <mergeCell ref="LF187:LG187"/>
    <mergeCell ref="LH187:LI187"/>
    <mergeCell ref="LJ187:LK187"/>
    <mergeCell ref="LL187:LM187"/>
    <mergeCell ref="LN187:LO187"/>
    <mergeCell ref="LP187:LQ187"/>
    <mergeCell ref="LR187:LS187"/>
    <mergeCell ref="LT187:LU187"/>
    <mergeCell ref="LV187:LW187"/>
    <mergeCell ref="LX187:LY187"/>
    <mergeCell ref="LZ187:MA187"/>
    <mergeCell ref="ML187:MM187"/>
    <mergeCell ref="MN187:MO187"/>
    <mergeCell ref="MP187:MQ187"/>
    <mergeCell ref="MR187:MS187"/>
    <mergeCell ref="MT187:MU187"/>
    <mergeCell ref="MV187:MW187"/>
    <mergeCell ref="MX187:MY187"/>
    <mergeCell ref="MZ187:NA187"/>
    <mergeCell ref="NB187:NC187"/>
    <mergeCell ref="ND187:NE187"/>
    <mergeCell ref="NF187:NG187"/>
    <mergeCell ref="NH187:NI187"/>
    <mergeCell ref="QV187:QW187"/>
    <mergeCell ref="QX187:QY187"/>
    <mergeCell ref="QZ187:RA187"/>
    <mergeCell ref="RB187:RC187"/>
    <mergeCell ref="F192:G192"/>
    <mergeCell ref="FF192:FG192"/>
    <mergeCell ref="FH192:FI192"/>
    <mergeCell ref="FJ192:FK192"/>
    <mergeCell ref="FL192:FM192"/>
    <mergeCell ref="FN192:FO192"/>
    <mergeCell ref="FP192:FQ192"/>
    <mergeCell ref="FR192:FS192"/>
    <mergeCell ref="FT192:FU192"/>
    <mergeCell ref="FV192:FW192"/>
    <mergeCell ref="FX192:FY192"/>
    <mergeCell ref="FZ192:GA192"/>
    <mergeCell ref="GB192:GC192"/>
    <mergeCell ref="GD192:GE192"/>
    <mergeCell ref="GF192:GG192"/>
    <mergeCell ref="GH192:GI192"/>
    <mergeCell ref="GJ192:GK192"/>
    <mergeCell ref="GL192:GM192"/>
    <mergeCell ref="GN192:GO192"/>
    <mergeCell ref="GP192:GQ192"/>
    <mergeCell ref="GR192:GS192"/>
    <mergeCell ref="GT192:GU192"/>
    <mergeCell ref="GV192:GW192"/>
    <mergeCell ref="GX192:GY192"/>
    <mergeCell ref="GZ192:HA192"/>
    <mergeCell ref="HB192:HC192"/>
    <mergeCell ref="HD192:HE192"/>
    <mergeCell ref="HF192:HG192"/>
    <mergeCell ref="HH192:HI192"/>
    <mergeCell ref="HJ192:HK192"/>
    <mergeCell ref="HL192:HM192"/>
    <mergeCell ref="HN192:HO192"/>
    <mergeCell ref="HP192:HQ192"/>
    <mergeCell ref="HR192:HS192"/>
    <mergeCell ref="IX192:IY192"/>
    <mergeCell ref="IZ192:JA192"/>
    <mergeCell ref="JB192:JC192"/>
    <mergeCell ref="JD192:JE192"/>
    <mergeCell ref="JF192:JG192"/>
    <mergeCell ref="JH192:JI192"/>
    <mergeCell ref="JJ192:JK192"/>
    <mergeCell ref="JL192:JM192"/>
    <mergeCell ref="JN192:JO192"/>
    <mergeCell ref="JP192:JQ192"/>
    <mergeCell ref="JR192:JS192"/>
    <mergeCell ref="JT192:JU192"/>
    <mergeCell ref="JV192:JW192"/>
    <mergeCell ref="JX192:JY192"/>
    <mergeCell ref="JZ192:KA192"/>
    <mergeCell ref="KB192:KC192"/>
    <mergeCell ref="KD192:KE192"/>
    <mergeCell ref="KF192:KG192"/>
    <mergeCell ref="KH192:KI192"/>
    <mergeCell ref="KJ192:KK192"/>
    <mergeCell ref="KL192:KM192"/>
    <mergeCell ref="KN192:KO192"/>
    <mergeCell ref="KP192:KQ192"/>
    <mergeCell ref="KR192:KS192"/>
    <mergeCell ref="KT192:KU192"/>
    <mergeCell ref="KV192:KW192"/>
    <mergeCell ref="KX192:KY192"/>
    <mergeCell ref="KZ192:LA192"/>
    <mergeCell ref="LB192:LC192"/>
    <mergeCell ref="LD192:LE192"/>
    <mergeCell ref="LF192:LG192"/>
    <mergeCell ref="LH192:LI192"/>
    <mergeCell ref="LJ192:LK192"/>
    <mergeCell ref="LL192:LM192"/>
    <mergeCell ref="LN192:LO192"/>
    <mergeCell ref="LP192:LQ192"/>
    <mergeCell ref="LR192:LS192"/>
    <mergeCell ref="LT192:LU192"/>
    <mergeCell ref="LV192:LW192"/>
    <mergeCell ref="LX192:LY192"/>
    <mergeCell ref="LZ192:MA192"/>
    <mergeCell ref="MB192:MC192"/>
    <mergeCell ref="MD192:ME192"/>
    <mergeCell ref="MF192:MG192"/>
    <mergeCell ref="MH192:MI192"/>
    <mergeCell ref="MJ192:MK192"/>
    <mergeCell ref="ML192:MM192"/>
    <mergeCell ref="MN192:MO192"/>
    <mergeCell ref="MP192:MQ192"/>
    <mergeCell ref="MR192:MS192"/>
    <mergeCell ref="MT192:MU192"/>
    <mergeCell ref="MV192:MW192"/>
    <mergeCell ref="MX192:MY192"/>
    <mergeCell ref="MZ192:NA192"/>
    <mergeCell ref="NB192:NC192"/>
    <mergeCell ref="ND192:NE192"/>
    <mergeCell ref="NF192:NG192"/>
    <mergeCell ref="NH192:NI192"/>
    <mergeCell ref="NJ192:NK192"/>
    <mergeCell ref="QV192:QW192"/>
    <mergeCell ref="QX192:QY192"/>
    <mergeCell ref="QZ192:RA192"/>
    <mergeCell ref="RB192:RC192"/>
    <mergeCell ref="NZ192:OA192"/>
    <mergeCell ref="OB192:OC192"/>
    <mergeCell ref="OD192:OE192"/>
    <mergeCell ref="OF192:OG192"/>
    <mergeCell ref="OH192:OI192"/>
    <mergeCell ref="OJ192:OK192"/>
    <mergeCell ref="OL192:OM192"/>
    <mergeCell ref="ON192:OO192"/>
    <mergeCell ref="OP192:OQ192"/>
    <mergeCell ref="OR192:OS192"/>
    <mergeCell ref="OT192:OU192"/>
    <mergeCell ref="OV192:OW192"/>
    <mergeCell ref="OX192:OY192"/>
    <mergeCell ref="OZ192:PA192"/>
    <mergeCell ref="PB192:PC192"/>
    <mergeCell ref="PD192:PE192"/>
    <mergeCell ref="PF192:PG192"/>
    <mergeCell ref="PH192:PI192"/>
    <mergeCell ref="PJ192:PK192"/>
    <mergeCell ref="PL192:PM192"/>
    <mergeCell ref="PN192:PO192"/>
    <mergeCell ref="PP192:PQ192"/>
    <mergeCell ref="PR192:PS192"/>
    <mergeCell ref="PT192:PU192"/>
    <mergeCell ref="PV192:PW192"/>
    <mergeCell ref="PX192:PY192"/>
    <mergeCell ref="PZ192:QA192"/>
    <mergeCell ref="QB192:QC192"/>
    <mergeCell ref="QD192:QE192"/>
    <mergeCell ref="QF192:QG192"/>
    <mergeCell ref="QH192:QI192"/>
    <mergeCell ref="QJ192:QK192"/>
    <mergeCell ref="QL192:QM192"/>
    <mergeCell ref="KB102:KC102"/>
    <mergeCell ref="KD102:KE102"/>
    <mergeCell ref="KF102:KG102"/>
    <mergeCell ref="KH102:KI102"/>
    <mergeCell ref="KJ102:KK102"/>
    <mergeCell ref="KL102:KM102"/>
    <mergeCell ref="KN102:KO102"/>
    <mergeCell ref="KP102:KQ102"/>
    <mergeCell ref="KR102:KS102"/>
    <mergeCell ref="KT102:KU102"/>
    <mergeCell ref="KV102:KW102"/>
    <mergeCell ref="KX102:KY102"/>
    <mergeCell ref="KZ102:LA102"/>
    <mergeCell ref="LB102:LC102"/>
    <mergeCell ref="LD102:LE102"/>
    <mergeCell ref="LF102:LG102"/>
    <mergeCell ref="LH102:LI102"/>
    <mergeCell ref="LJ102:LK102"/>
    <mergeCell ref="LL102:LM102"/>
    <mergeCell ref="LN102:LO102"/>
    <mergeCell ref="LP102:LQ102"/>
    <mergeCell ref="LR102:LS102"/>
    <mergeCell ref="LT102:LU102"/>
    <mergeCell ref="JR104:JS104"/>
    <mergeCell ref="JT104:JU104"/>
    <mergeCell ref="JV104:JW104"/>
    <mergeCell ref="JX104:JY104"/>
    <mergeCell ref="JZ104:KA104"/>
    <mergeCell ref="KB104:KC104"/>
    <mergeCell ref="KD104:KE104"/>
    <mergeCell ref="KF104:KG104"/>
    <mergeCell ref="KH104:KI104"/>
    <mergeCell ref="KJ104:KK104"/>
    <mergeCell ref="KL104:KM104"/>
    <mergeCell ref="KN104:KO104"/>
    <mergeCell ref="KP104:KQ104"/>
    <mergeCell ref="KR104:KS104"/>
    <mergeCell ref="KT104:KU104"/>
    <mergeCell ref="KV104:KW104"/>
    <mergeCell ref="KX104:KY104"/>
    <mergeCell ref="KZ104:LA104"/>
    <mergeCell ref="LB104:LC104"/>
    <mergeCell ref="LD104:LE104"/>
    <mergeCell ref="LF104:LG104"/>
    <mergeCell ref="LH104:LI104"/>
    <mergeCell ref="LJ104:LK104"/>
    <mergeCell ref="LL104:LM104"/>
    <mergeCell ref="LN104:LO104"/>
    <mergeCell ref="LP104:LQ104"/>
    <mergeCell ref="LR104:LS104"/>
    <mergeCell ref="LT104:LU104"/>
    <mergeCell ref="KH103:KI103"/>
    <mergeCell ref="KJ103:KK103"/>
    <mergeCell ref="KL103:KM103"/>
    <mergeCell ref="KN103:KO103"/>
    <mergeCell ref="KP103:KQ103"/>
    <mergeCell ref="KR103:KS103"/>
    <mergeCell ref="KT103:KU103"/>
    <mergeCell ref="KV103:KW103"/>
    <mergeCell ref="KX103:KY103"/>
    <mergeCell ref="KZ103:LA103"/>
    <mergeCell ref="LB103:LC103"/>
    <mergeCell ref="LD103:LE103"/>
    <mergeCell ref="LF103:LG103"/>
    <mergeCell ref="LV104:LW104"/>
    <mergeCell ref="LX104:LY104"/>
    <mergeCell ref="LZ104:MA104"/>
    <mergeCell ref="MB104:MC104"/>
    <mergeCell ref="MD104:ME104"/>
    <mergeCell ref="MF104:MG104"/>
    <mergeCell ref="MH104:MI104"/>
    <mergeCell ref="MJ104:MK104"/>
    <mergeCell ref="ML104:MM104"/>
    <mergeCell ref="MN104:MO104"/>
    <mergeCell ref="MP104:MQ104"/>
    <mergeCell ref="MR104:MS104"/>
    <mergeCell ref="MT104:MU104"/>
    <mergeCell ref="MV104:MW104"/>
    <mergeCell ref="MX104:MY104"/>
    <mergeCell ref="MZ104:NA104"/>
    <mergeCell ref="NB104:NC104"/>
    <mergeCell ref="ND104:NE104"/>
    <mergeCell ref="NF104:NG104"/>
    <mergeCell ref="NH104:NI104"/>
    <mergeCell ref="NJ104:NK104"/>
    <mergeCell ref="NL104:NM104"/>
    <mergeCell ref="NN104:NO104"/>
    <mergeCell ref="NP104:NQ104"/>
    <mergeCell ref="NR104:NS104"/>
    <mergeCell ref="NT104:NU104"/>
    <mergeCell ref="NV104:NW104"/>
    <mergeCell ref="NX104:NY104"/>
    <mergeCell ref="NZ104:OA104"/>
    <mergeCell ref="OB104:OC104"/>
    <mergeCell ref="OD104:OE104"/>
    <mergeCell ref="OF104:OG104"/>
    <mergeCell ref="OH104:OI104"/>
    <mergeCell ref="OJ104:OK104"/>
    <mergeCell ref="OL104:OM104"/>
    <mergeCell ref="ON104:OO104"/>
    <mergeCell ref="OP104:OQ104"/>
    <mergeCell ref="OR104:OS104"/>
    <mergeCell ref="OT104:OU104"/>
    <mergeCell ref="OV104:OW104"/>
    <mergeCell ref="OX104:OY104"/>
    <mergeCell ref="OZ104:PA104"/>
    <mergeCell ref="PB104:PC104"/>
    <mergeCell ref="PD104:PE104"/>
    <mergeCell ref="PF104:PG104"/>
    <mergeCell ref="PH104:PI104"/>
    <mergeCell ref="PJ104:PK104"/>
    <mergeCell ref="PL104:PM104"/>
    <mergeCell ref="PN104:PO104"/>
    <mergeCell ref="PP104:PQ104"/>
    <mergeCell ref="PR104:PS104"/>
    <mergeCell ref="PT104:PU104"/>
    <mergeCell ref="PV104:PW104"/>
    <mergeCell ref="PX104:PY104"/>
    <mergeCell ref="PZ104:QA104"/>
    <mergeCell ref="QB104:QC104"/>
    <mergeCell ref="QD104:QE104"/>
    <mergeCell ref="QF104:QG104"/>
    <mergeCell ref="QH104:QI104"/>
    <mergeCell ref="QJ104:QK104"/>
    <mergeCell ref="F193:G193"/>
    <mergeCell ref="FF193:FG193"/>
    <mergeCell ref="FH193:FI193"/>
    <mergeCell ref="FJ193:FK193"/>
    <mergeCell ref="FL193:FM193"/>
    <mergeCell ref="FN193:FO193"/>
    <mergeCell ref="FP193:FQ193"/>
    <mergeCell ref="FR193:FS193"/>
    <mergeCell ref="FT193:FU193"/>
    <mergeCell ref="FV193:FW193"/>
    <mergeCell ref="FX193:FY193"/>
    <mergeCell ref="FZ193:GA193"/>
    <mergeCell ref="GB193:GC193"/>
    <mergeCell ref="GD193:GE193"/>
    <mergeCell ref="GF193:GG193"/>
    <mergeCell ref="GH193:GI193"/>
    <mergeCell ref="GJ193:GK193"/>
    <mergeCell ref="GL193:GM193"/>
    <mergeCell ref="GN193:GO193"/>
    <mergeCell ref="GP193:GQ193"/>
    <mergeCell ref="GR193:GS193"/>
    <mergeCell ref="GT193:GU193"/>
    <mergeCell ref="GV193:GW193"/>
    <mergeCell ref="GX193:GY193"/>
    <mergeCell ref="GZ193:HA193"/>
    <mergeCell ref="HB193:HC193"/>
    <mergeCell ref="HD193:HE193"/>
    <mergeCell ref="HF193:HG193"/>
    <mergeCell ref="HH193:HI193"/>
    <mergeCell ref="HJ193:HK193"/>
    <mergeCell ref="HL193:HM193"/>
    <mergeCell ref="HN193:HO193"/>
    <mergeCell ref="HP193:HQ193"/>
    <mergeCell ref="HR193:HS193"/>
    <mergeCell ref="HT193:HU193"/>
    <mergeCell ref="HV193:HW193"/>
    <mergeCell ref="HX193:HY193"/>
    <mergeCell ref="HZ193:IA193"/>
    <mergeCell ref="IB193:IC193"/>
    <mergeCell ref="ID193:IE193"/>
    <mergeCell ref="IF193:IG193"/>
    <mergeCell ref="IH193:II193"/>
    <mergeCell ref="IJ193:IK193"/>
    <mergeCell ref="IL193:IM193"/>
    <mergeCell ref="IN193:IO193"/>
    <mergeCell ref="IP193:IQ193"/>
    <mergeCell ref="IR193:IS193"/>
    <mergeCell ref="IT193:IU193"/>
    <mergeCell ref="IV193:IW193"/>
    <mergeCell ref="IX193:IY193"/>
    <mergeCell ref="IZ193:JA193"/>
    <mergeCell ref="JB193:JC193"/>
    <mergeCell ref="JD193:JE193"/>
    <mergeCell ref="JF193:JG193"/>
    <mergeCell ref="JH193:JI193"/>
    <mergeCell ref="JJ193:JK193"/>
    <mergeCell ref="JL193:JM193"/>
    <mergeCell ref="JN193:JO193"/>
    <mergeCell ref="JP193:JQ193"/>
    <mergeCell ref="JR193:JS193"/>
    <mergeCell ref="JT193:JU193"/>
    <mergeCell ref="JV193:JW193"/>
    <mergeCell ref="JX193:JY193"/>
    <mergeCell ref="JZ193:KA193"/>
    <mergeCell ref="KB193:KC193"/>
    <mergeCell ref="KD193:KE193"/>
    <mergeCell ref="KF193:KG193"/>
    <mergeCell ref="KH193:KI193"/>
    <mergeCell ref="KJ193:KK193"/>
    <mergeCell ref="KL193:KM193"/>
    <mergeCell ref="KN193:KO193"/>
    <mergeCell ref="KP193:KQ193"/>
    <mergeCell ref="KR193:KS193"/>
    <mergeCell ref="KT193:KU193"/>
    <mergeCell ref="KV193:KW193"/>
    <mergeCell ref="KX193:KY193"/>
    <mergeCell ref="KZ193:LA193"/>
    <mergeCell ref="LB193:LC193"/>
    <mergeCell ref="LD193:LE193"/>
    <mergeCell ref="LF193:LG193"/>
    <mergeCell ref="LH193:LI193"/>
    <mergeCell ref="LJ193:LK193"/>
    <mergeCell ref="LL193:LM193"/>
    <mergeCell ref="LN193:LO193"/>
    <mergeCell ref="LP193:LQ193"/>
    <mergeCell ref="LR193:LS193"/>
    <mergeCell ref="LT193:LU193"/>
    <mergeCell ref="LV193:LW193"/>
    <mergeCell ref="LX193:LY193"/>
    <mergeCell ref="LZ193:MA193"/>
    <mergeCell ref="MB193:MC193"/>
    <mergeCell ref="MD193:ME193"/>
    <mergeCell ref="MF193:MG193"/>
    <mergeCell ref="MH193:MI193"/>
    <mergeCell ref="MJ193:MK193"/>
    <mergeCell ref="ML193:MM193"/>
    <mergeCell ref="MN193:MO193"/>
    <mergeCell ref="MP193:MQ193"/>
    <mergeCell ref="MR193:MS193"/>
    <mergeCell ref="MT193:MU193"/>
    <mergeCell ref="MV193:MW193"/>
    <mergeCell ref="MX193:MY193"/>
    <mergeCell ref="MZ193:NA193"/>
    <mergeCell ref="OR193:OS193"/>
    <mergeCell ref="OT193:OU193"/>
    <mergeCell ref="OV193:OW193"/>
    <mergeCell ref="OX193:OY193"/>
    <mergeCell ref="OZ193:PA193"/>
    <mergeCell ref="PB193:PC193"/>
    <mergeCell ref="PD193:PE193"/>
    <mergeCell ref="PF193:PG193"/>
    <mergeCell ref="PH193:PI193"/>
    <mergeCell ref="PJ193:PK193"/>
    <mergeCell ref="PL193:PM193"/>
    <mergeCell ref="PN193:PO193"/>
    <mergeCell ref="QB193:QC193"/>
    <mergeCell ref="QD193:QE193"/>
    <mergeCell ref="QF193:QG193"/>
    <mergeCell ref="QH193:QI193"/>
    <mergeCell ref="QJ193:QK193"/>
    <mergeCell ref="QL193:QM193"/>
    <mergeCell ref="QN193:QO193"/>
    <mergeCell ref="QP193:QQ193"/>
    <mergeCell ref="QR193:QS193"/>
    <mergeCell ref="QT193:QU193"/>
    <mergeCell ref="QV193:QW193"/>
    <mergeCell ref="QX193:QY193"/>
    <mergeCell ref="QZ193:RA193"/>
    <mergeCell ref="RB193:RC193"/>
    <mergeCell ref="JR105:JS105"/>
    <mergeCell ref="JT105:JU105"/>
    <mergeCell ref="JV105:JW105"/>
    <mergeCell ref="JX105:JY105"/>
    <mergeCell ref="JZ105:KA105"/>
    <mergeCell ref="KB105:KC105"/>
    <mergeCell ref="KD105:KE105"/>
    <mergeCell ref="KF105:KG105"/>
    <mergeCell ref="KH105:KI105"/>
    <mergeCell ref="KJ105:KK105"/>
    <mergeCell ref="KL105:KM105"/>
    <mergeCell ref="KN105:KO105"/>
    <mergeCell ref="KP105:KQ105"/>
    <mergeCell ref="KR105:KS105"/>
    <mergeCell ref="KT105:KU105"/>
    <mergeCell ref="KV105:KW105"/>
    <mergeCell ref="KX105:KY105"/>
    <mergeCell ref="KZ105:LA105"/>
    <mergeCell ref="LB105:LC105"/>
    <mergeCell ref="LD105:LE105"/>
    <mergeCell ref="LF105:LG105"/>
    <mergeCell ref="LH105:LI105"/>
    <mergeCell ref="LJ105:LK105"/>
    <mergeCell ref="LL105:LM105"/>
    <mergeCell ref="LN105:LO105"/>
    <mergeCell ref="LP105:LQ105"/>
    <mergeCell ref="LR105:LS105"/>
    <mergeCell ref="LT105:LU105"/>
    <mergeCell ref="LV105:LW105"/>
    <mergeCell ref="LX105:LY105"/>
    <mergeCell ref="LZ105:MA105"/>
    <mergeCell ref="MB105:MC105"/>
    <mergeCell ref="MD105:ME105"/>
    <mergeCell ref="MF105:MG105"/>
    <mergeCell ref="MH105:MI105"/>
    <mergeCell ref="MJ105:MK105"/>
    <mergeCell ref="ML105:MM105"/>
    <mergeCell ref="MN105:MO105"/>
    <mergeCell ref="MP105:MQ105"/>
    <mergeCell ref="MR105:MS105"/>
    <mergeCell ref="MT105:MU105"/>
    <mergeCell ref="MV105:MW105"/>
    <mergeCell ref="MX105:MY105"/>
    <mergeCell ref="MZ105:NA105"/>
    <mergeCell ref="NB105:NC105"/>
    <mergeCell ref="ND105:NE105"/>
    <mergeCell ref="NF105:NG105"/>
    <mergeCell ref="NH105:NI105"/>
    <mergeCell ref="NJ105:NK105"/>
    <mergeCell ref="NL105:NM105"/>
    <mergeCell ref="NN105:NO105"/>
    <mergeCell ref="NP105:NQ105"/>
    <mergeCell ref="NR105:NS105"/>
    <mergeCell ref="NT105:NU105"/>
    <mergeCell ref="NV105:NW105"/>
    <mergeCell ref="NX105:NY105"/>
    <mergeCell ref="NZ105:OA105"/>
    <mergeCell ref="OB105:OC105"/>
    <mergeCell ref="OD105:OE105"/>
    <mergeCell ref="OF105:OG105"/>
    <mergeCell ref="OH105:OI105"/>
    <mergeCell ref="OJ105:OK105"/>
    <mergeCell ref="OL105:OM105"/>
    <mergeCell ref="ON105:OO105"/>
    <mergeCell ref="OP105:OQ105"/>
    <mergeCell ref="OR105:OS105"/>
    <mergeCell ref="OT105:OU105"/>
    <mergeCell ref="OV105:OW105"/>
    <mergeCell ref="OX105:OY105"/>
    <mergeCell ref="OZ105:PA105"/>
    <mergeCell ref="PB105:PC105"/>
    <mergeCell ref="PD105:PE105"/>
    <mergeCell ref="PF105:PG105"/>
    <mergeCell ref="PH105:PI105"/>
    <mergeCell ref="PJ105:PK105"/>
    <mergeCell ref="PL105:PM105"/>
    <mergeCell ref="PN105:PO105"/>
    <mergeCell ref="PP105:PQ105"/>
    <mergeCell ref="PR105:PS105"/>
    <mergeCell ref="PT105:PU105"/>
    <mergeCell ref="PV105:PW105"/>
    <mergeCell ref="PX105:PY105"/>
    <mergeCell ref="PZ105:QA105"/>
    <mergeCell ref="QB105:QC105"/>
    <mergeCell ref="QD105:QE105"/>
    <mergeCell ref="QF105:QG105"/>
    <mergeCell ref="QH105:QI105"/>
    <mergeCell ref="QJ105:QK105"/>
    <mergeCell ref="F194:G194"/>
    <mergeCell ref="FF194:FG194"/>
    <mergeCell ref="FH194:FI194"/>
    <mergeCell ref="FJ194:FK194"/>
    <mergeCell ref="FL194:FM194"/>
    <mergeCell ref="FN194:FO194"/>
    <mergeCell ref="FP194:FQ194"/>
    <mergeCell ref="FR194:FS194"/>
    <mergeCell ref="FT194:FU194"/>
    <mergeCell ref="FV194:FW194"/>
    <mergeCell ref="FX194:FY194"/>
    <mergeCell ref="FZ194:GA194"/>
    <mergeCell ref="GB194:GC194"/>
    <mergeCell ref="GD194:GE194"/>
    <mergeCell ref="GF194:GG194"/>
    <mergeCell ref="GH194:GI194"/>
    <mergeCell ref="GJ194:GK194"/>
    <mergeCell ref="GL194:GM194"/>
    <mergeCell ref="GN194:GO194"/>
    <mergeCell ref="GP194:GQ194"/>
    <mergeCell ref="GR194:GS194"/>
    <mergeCell ref="GT194:GU194"/>
    <mergeCell ref="GV194:GW194"/>
    <mergeCell ref="GX194:GY194"/>
    <mergeCell ref="GZ194:HA194"/>
    <mergeCell ref="HB194:HC194"/>
    <mergeCell ref="HD194:HE194"/>
    <mergeCell ref="HF194:HG194"/>
    <mergeCell ref="HH194:HI194"/>
    <mergeCell ref="HJ194:HK194"/>
    <mergeCell ref="HL194:HM194"/>
    <mergeCell ref="HN194:HO194"/>
    <mergeCell ref="HP194:HQ194"/>
    <mergeCell ref="HR194:HS194"/>
    <mergeCell ref="HT194:HU194"/>
    <mergeCell ref="HV194:HW194"/>
    <mergeCell ref="HX194:HY194"/>
    <mergeCell ref="HZ194:IA194"/>
    <mergeCell ref="IB194:IC194"/>
    <mergeCell ref="ID194:IE194"/>
    <mergeCell ref="IF194:IG194"/>
    <mergeCell ref="IH194:II194"/>
    <mergeCell ref="IJ194:IK194"/>
    <mergeCell ref="IL194:IM194"/>
    <mergeCell ref="IN194:IO194"/>
    <mergeCell ref="IP194:IQ194"/>
    <mergeCell ref="JB194:JC194"/>
    <mergeCell ref="JD194:JE194"/>
    <mergeCell ref="JF194:JG194"/>
    <mergeCell ref="JH194:JI194"/>
    <mergeCell ref="JJ194:JK194"/>
    <mergeCell ref="JL194:JM194"/>
    <mergeCell ref="JN194:JO194"/>
    <mergeCell ref="JP194:JQ194"/>
    <mergeCell ref="JR194:JS194"/>
    <mergeCell ref="JT194:JU194"/>
    <mergeCell ref="JV194:JW194"/>
    <mergeCell ref="JX194:JY194"/>
    <mergeCell ref="JZ194:KA194"/>
    <mergeCell ref="KB194:KC194"/>
    <mergeCell ref="KD194:KE194"/>
    <mergeCell ref="KF194:KG194"/>
    <mergeCell ref="KH194:KI194"/>
    <mergeCell ref="KJ194:KK194"/>
    <mergeCell ref="KL194:KM194"/>
    <mergeCell ref="KN194:KO194"/>
    <mergeCell ref="KP194:KQ194"/>
    <mergeCell ref="KR194:KS194"/>
    <mergeCell ref="KT194:KU194"/>
    <mergeCell ref="KV194:KW194"/>
    <mergeCell ref="KX194:KY194"/>
    <mergeCell ref="KZ194:LA194"/>
    <mergeCell ref="LB194:LC194"/>
    <mergeCell ref="LD194:LE194"/>
    <mergeCell ref="LF194:LG194"/>
    <mergeCell ref="LH194:LI194"/>
    <mergeCell ref="LJ194:LK194"/>
    <mergeCell ref="LL194:LM194"/>
    <mergeCell ref="LN194:LO194"/>
    <mergeCell ref="LP194:LQ194"/>
    <mergeCell ref="LR194:LS194"/>
    <mergeCell ref="LT194:LU194"/>
    <mergeCell ref="LV194:LW194"/>
    <mergeCell ref="LX194:LY194"/>
    <mergeCell ref="LZ194:MA194"/>
    <mergeCell ref="MB194:MC194"/>
    <mergeCell ref="MD194:ME194"/>
    <mergeCell ref="OT194:OU194"/>
    <mergeCell ref="OV194:OW194"/>
    <mergeCell ref="OX194:OY194"/>
    <mergeCell ref="OZ194:PA194"/>
    <mergeCell ref="PB194:PC194"/>
    <mergeCell ref="PD194:PE194"/>
    <mergeCell ref="PF194:PG194"/>
    <mergeCell ref="PH194:PI194"/>
    <mergeCell ref="PJ194:PK194"/>
    <mergeCell ref="PL194:PM194"/>
    <mergeCell ref="PN194:PO194"/>
    <mergeCell ref="PP194:PQ194"/>
    <mergeCell ref="PR194:PS194"/>
    <mergeCell ref="PT194:PU194"/>
    <mergeCell ref="PV194:PW194"/>
    <mergeCell ref="PX194:PY194"/>
    <mergeCell ref="PZ194:QA194"/>
    <mergeCell ref="QB194:QC194"/>
    <mergeCell ref="QD194:QE194"/>
    <mergeCell ref="QF194:QG194"/>
    <mergeCell ref="QH194:QI194"/>
    <mergeCell ref="QJ194:QK194"/>
    <mergeCell ref="QL194:QM194"/>
    <mergeCell ref="QN194:QO194"/>
    <mergeCell ref="QP194:QQ194"/>
    <mergeCell ref="QR194:QS194"/>
    <mergeCell ref="QT194:QU194"/>
    <mergeCell ref="QV194:QW194"/>
    <mergeCell ref="QX194:QY194"/>
    <mergeCell ref="QZ194:RA194"/>
    <mergeCell ref="RB194:RC194"/>
    <mergeCell ref="MF194:MG194"/>
    <mergeCell ref="MH194:MI194"/>
    <mergeCell ref="MJ194:MK194"/>
    <mergeCell ref="ML194:MM194"/>
    <mergeCell ref="MN194:MO194"/>
    <mergeCell ref="MP194:MQ194"/>
    <mergeCell ref="MR194:MS194"/>
    <mergeCell ref="MT194:MU194"/>
    <mergeCell ref="MV194:MW194"/>
    <mergeCell ref="MX194:MY194"/>
    <mergeCell ref="MZ194:NA194"/>
    <mergeCell ref="NB194:NC194"/>
    <mergeCell ref="ND194:NE194"/>
    <mergeCell ref="NF194:NG194"/>
    <mergeCell ref="NH194:NI194"/>
    <mergeCell ref="NJ194:NK194"/>
    <mergeCell ref="NL194:NM194"/>
    <mergeCell ref="NN194:NO194"/>
    <mergeCell ref="NP194:NQ194"/>
    <mergeCell ref="NR194:NS194"/>
    <mergeCell ref="NT194:NU194"/>
    <mergeCell ref="NV194:NW194"/>
    <mergeCell ref="NX194:NY194"/>
    <mergeCell ref="NZ194:OA194"/>
    <mergeCell ref="OB194:OC194"/>
    <mergeCell ref="OD194:OE194"/>
    <mergeCell ref="OF194:OG194"/>
    <mergeCell ref="OH194:OI194"/>
    <mergeCell ref="OJ194:OK194"/>
    <mergeCell ref="OL194:OM194"/>
    <mergeCell ref="ON194:OO194"/>
    <mergeCell ref="OP194:OQ194"/>
    <mergeCell ref="OR194:OS194"/>
  </mergeCells>
  <conditionalFormatting sqref="I220:L220 I200:L203">
    <cfRule type="colorScale" priority="87857">
      <colorScale>
        <cfvo type="min"/>
        <cfvo type="percentile" val="50"/>
        <cfvo type="max"/>
        <color rgb="FFF8696B"/>
        <color rgb="FFFFEB84"/>
        <color rgb="FF63BE7B"/>
      </colorScale>
    </cfRule>
  </conditionalFormatting>
  <conditionalFormatting sqref="I239:L239 I204:L219 I224:L227">
    <cfRule type="colorScale" priority="104330">
      <colorScale>
        <cfvo type="min"/>
        <cfvo type="percentile" val="50"/>
        <cfvo type="max"/>
        <color rgb="FFF8696B"/>
        <color rgb="FFFFEB84"/>
        <color rgb="FF63BE7B"/>
      </colorScale>
    </cfRule>
  </conditionalFormatting>
  <conditionalFormatting sqref="I240:L241">
    <cfRule type="colorScale" priority="580">
      <colorScale>
        <cfvo type="min"/>
        <cfvo type="percentile" val="50"/>
        <cfvo type="max"/>
        <color rgb="FFF8696B"/>
        <color rgb="FFFFEB84"/>
        <color rgb="FF63BE7B"/>
      </colorScale>
    </cfRule>
  </conditionalFormatting>
  <conditionalFormatting sqref="I242:L324 I228:L229 I232:L238 I221:L221">
    <cfRule type="colorScale" priority="51176">
      <colorScale>
        <cfvo type="min"/>
        <cfvo type="percentile" val="50"/>
        <cfvo type="max"/>
        <color rgb="FFF8696B"/>
        <color rgb="FFFFEB84"/>
        <color rgb="FF63BE7B"/>
      </colorScale>
    </cfRule>
  </conditionalFormatting>
  <conditionalFormatting sqref="I196:AR196 AT196 AV196 AX196 AZ196 BB196 BD196 BF196 BH196 BJ196 BL196 BN196 BP196 BR196 BT196 BV196 BX196 BZ196 CB196 CD196 CF196 CH196 CJ196 CL196 CN196 CP196 CR196 CT196 CV196 CX196 CZ196 DB196 DD196 DF196 DH196 DJ196 DL196 DN196 DP196 DR196 DT196 DV196 DX196 DZ196 EB196 ED196 EF196 EH196 EJ196 EL196 EN196 EP196 ER196 ET196 EV196 EX196 EZ196 FB196 FD196 FF196 FH196 FJ196 FL196 FN196 FP196 FR196 FT196 FV196 FX196 FZ196 GB196 GD196 GF196 GH196 GJ196 GL196 GN196 GP196 GR196 GV196 GX196 GZ196 HB196 HD196 HF196 HH196 HJ196 GT196 MZ196 NB196 ND196 NF196 NH196 NJ196 NL196 NN196 NP196 NR196 NT196 NV196 NX196 NZ196 OB196 OD196 OF196 OH196 OJ196 OL196 ON196 OP196 OR196 OT196 OV196 OX196 OZ196 PB196 PD196 PF196 PH196 PJ196 PL196 PN196 PP196 PR196 PT196 PV196 PX196 PZ196 QB196 QD196 QF196 QH196 QJ196 QL196 QN196 QP196 QR196 QT196 QV196 QX196 QZ196 RB196 RD196 HL196 HN196 HP196 HR196 HT196 HV196 HX196 HZ196 IB196 ID196 IF196 IH196 IJ196 IL196 IN196 IP196 IR196 IT196 IV196 IX196 IZ196 JB196 JD196 JF196 JH196 JJ196 MX196 JL196 JN196 JP196 JR196 JT196 JV196 JX196 JZ196 KB196 KD196 KF196 KH196 KJ196 KL196 KN196 KP196 KR196 KT196 KV196 KX196 KZ196 LB196 LD196 LF196 LH196 LJ196 LL196 LN196 LP196 LR196 LT196 LV196 LX196 LZ196 MB196 MD196 MF196 MH196 MJ196 ML196 MN196 MP196 MR196 MT196 MV196">
    <cfRule type="colorScale" priority="31514">
      <colorScale>
        <cfvo type="num" val="1"/>
        <cfvo type="num" val="85"/>
        <color theme="7" tint="0.79998168889431442"/>
        <color theme="5" tint="-0.249977111117893"/>
      </colorScale>
    </cfRule>
    <cfRule type="colorScale" priority="31515">
      <colorScale>
        <cfvo type="num" val="1"/>
        <cfvo type="num" val="28"/>
        <color theme="7" tint="0.79998168889431442"/>
        <color theme="5" tint="-0.249977111117893"/>
      </colorScale>
    </cfRule>
  </conditionalFormatting>
  <conditionalFormatting sqref="I28:AY29">
    <cfRule type="cellIs" dxfId="1435" priority="31228" operator="equal">
      <formula>"GW"</formula>
    </cfRule>
    <cfRule type="cellIs" dxfId="1434" priority="31229" operator="equal">
      <formula>"TRIM"</formula>
    </cfRule>
    <cfRule type="cellIs" dxfId="1433" priority="31230" operator="equal">
      <formula>"RI"</formula>
    </cfRule>
    <cfRule type="cellIs" dxfId="1432" priority="31231" operator="equal">
      <formula>"PT"</formula>
    </cfRule>
  </conditionalFormatting>
  <conditionalFormatting sqref="I118:BA118 CL118:DW118 I174:RD178 I180:RD195">
    <cfRule type="colorScale" priority="31235">
      <colorScale>
        <cfvo type="num" val="1"/>
        <cfvo type="num" val="28"/>
        <color theme="7" tint="0.79998168889431442"/>
        <color theme="5" tint="-0.249977111117893"/>
      </colorScale>
    </cfRule>
  </conditionalFormatting>
  <conditionalFormatting sqref="I126:BA126 CJ126:DW126">
    <cfRule type="colorScale" priority="31347">
      <colorScale>
        <cfvo type="num" val="1"/>
        <cfvo type="num" val="28"/>
        <color theme="7" tint="0.79998168889431442"/>
        <color theme="5" tint="-0.249977111117893"/>
      </colorScale>
    </cfRule>
  </conditionalFormatting>
  <conditionalFormatting sqref="I127:BA127 CV127:DW127 I134:BA135 DH134:DW135">
    <cfRule type="colorScale" priority="31004">
      <colorScale>
        <cfvo type="num" val="1"/>
        <cfvo type="num" val="28"/>
        <color theme="7" tint="0.79998168889431442"/>
        <color theme="5" tint="-0.249977111117893"/>
      </colorScale>
    </cfRule>
  </conditionalFormatting>
  <conditionalFormatting sqref="I128:BA128 CP128:DW128">
    <cfRule type="colorScale" priority="31380">
      <colorScale>
        <cfvo type="num" val="1"/>
        <cfvo type="num" val="28"/>
        <color theme="7" tint="0.79998168889431442"/>
        <color theme="5" tint="-0.249977111117893"/>
      </colorScale>
    </cfRule>
  </conditionalFormatting>
  <conditionalFormatting sqref="I138:BA140">
    <cfRule type="colorScale" priority="30188">
      <colorScale>
        <cfvo type="num" val="1"/>
        <cfvo type="num" val="28"/>
        <color theme="7" tint="0.79998168889431442"/>
        <color theme="5" tint="-0.249977111117893"/>
      </colorScale>
    </cfRule>
  </conditionalFormatting>
  <conditionalFormatting sqref="I139:BA140 DN139:DW140">
    <cfRule type="colorScale" priority="30832">
      <colorScale>
        <cfvo type="num" val="1"/>
        <cfvo type="num" val="28"/>
        <color theme="7" tint="0.79998168889431442"/>
        <color theme="5" tint="-0.249977111117893"/>
      </colorScale>
    </cfRule>
  </conditionalFormatting>
  <conditionalFormatting sqref="I141:BA141 DV141:DW141">
    <cfRule type="colorScale" priority="30761">
      <colorScale>
        <cfvo type="num" val="1"/>
        <cfvo type="num" val="28"/>
        <color theme="7" tint="0.79998168889431442"/>
        <color theme="5" tint="-0.249977111117893"/>
      </colorScale>
    </cfRule>
  </conditionalFormatting>
  <conditionalFormatting sqref="I142:BA142 DN142:DW142">
    <cfRule type="colorScale" priority="30562">
      <colorScale>
        <cfvo type="num" val="1"/>
        <cfvo type="num" val="28"/>
        <color theme="7" tint="0.79998168889431442"/>
        <color theme="5" tint="-0.249977111117893"/>
      </colorScale>
    </cfRule>
  </conditionalFormatting>
  <conditionalFormatting sqref="I144:BA145">
    <cfRule type="colorScale" priority="30132">
      <colorScale>
        <cfvo type="num" val="1"/>
        <cfvo type="num" val="28"/>
        <color theme="7" tint="0.79998168889431442"/>
        <color theme="5" tint="-0.249977111117893"/>
      </colorScale>
    </cfRule>
  </conditionalFormatting>
  <conditionalFormatting sqref="I145:BA145 DN145:DW145">
    <cfRule type="colorScale" priority="30094">
      <colorScale>
        <cfvo type="num" val="1"/>
        <cfvo type="num" val="28"/>
        <color theme="7" tint="0.79998168889431442"/>
        <color theme="5" tint="-0.249977111117893"/>
      </colorScale>
    </cfRule>
  </conditionalFormatting>
  <conditionalFormatting sqref="I150:BA150">
    <cfRule type="colorScale" priority="29098">
      <colorScale>
        <cfvo type="num" val="1"/>
        <cfvo type="num" val="28"/>
        <color theme="7" tint="0.79998168889431442"/>
        <color theme="5" tint="-0.249977111117893"/>
      </colorScale>
    </cfRule>
  </conditionalFormatting>
  <conditionalFormatting sqref="I156:BA158">
    <cfRule type="colorScale" priority="27888">
      <colorScale>
        <cfvo type="num" val="1"/>
        <cfvo type="num" val="28"/>
        <color theme="7" tint="0.79998168889431442"/>
        <color theme="5" tint="-0.249977111117893"/>
      </colorScale>
    </cfRule>
    <cfRule type="colorScale" priority="27900">
      <colorScale>
        <cfvo type="num" val="1"/>
        <cfvo type="num" val="28"/>
        <color theme="7" tint="0.79998168889431442"/>
        <color theme="5" tint="-0.249977111117893"/>
      </colorScale>
    </cfRule>
    <cfRule type="colorScale" priority="27913">
      <colorScale>
        <cfvo type="num" val="1"/>
        <cfvo type="num" val="28"/>
        <color theme="7" tint="0.79998168889431442"/>
        <color theme="5" tint="-0.249977111117893"/>
      </colorScale>
    </cfRule>
    <cfRule type="colorScale" priority="27925">
      <colorScale>
        <cfvo type="num" val="1"/>
        <cfvo type="num" val="28"/>
        <color theme="7" tint="0.79998168889431442"/>
        <color theme="5" tint="-0.249977111117893"/>
      </colorScale>
    </cfRule>
    <cfRule type="colorScale" priority="27938">
      <colorScale>
        <cfvo type="num" val="1"/>
        <cfvo type="num" val="28"/>
        <color theme="7" tint="0.79998168889431442"/>
        <color theme="5" tint="-0.249977111117893"/>
      </colorScale>
    </cfRule>
  </conditionalFormatting>
  <conditionalFormatting sqref="I32:BB32">
    <cfRule type="cellIs" dxfId="1431" priority="31425" operator="equal">
      <formula>"GW"</formula>
    </cfRule>
    <cfRule type="cellIs" dxfId="1430" priority="31426" operator="equal">
      <formula>"TRIM"</formula>
    </cfRule>
    <cfRule type="cellIs" dxfId="1429" priority="31427" operator="equal">
      <formula>"RI"</formula>
    </cfRule>
    <cfRule type="cellIs" dxfId="1428" priority="31428" operator="equal">
      <formula>"PT"</formula>
    </cfRule>
  </conditionalFormatting>
  <conditionalFormatting sqref="I33:BD34">
    <cfRule type="cellIs" dxfId="1427" priority="30720" operator="equal">
      <formula>"GW"</formula>
    </cfRule>
    <cfRule type="cellIs" dxfId="1426" priority="30721" operator="equal">
      <formula>"TRIM"</formula>
    </cfRule>
    <cfRule type="cellIs" dxfId="1425" priority="30722" operator="equal">
      <formula>"RI"</formula>
    </cfRule>
    <cfRule type="cellIs" dxfId="1424" priority="30723" operator="equal">
      <formula>"PT"</formula>
    </cfRule>
  </conditionalFormatting>
  <conditionalFormatting sqref="I42:BD44">
    <cfRule type="cellIs" dxfId="1423" priority="31212" operator="equal">
      <formula>"GW"</formula>
    </cfRule>
    <cfRule type="cellIs" dxfId="1422" priority="31213" operator="equal">
      <formula>"TRIM"</formula>
    </cfRule>
    <cfRule type="cellIs" dxfId="1421" priority="31214" operator="equal">
      <formula>"RI"</formula>
    </cfRule>
    <cfRule type="cellIs" dxfId="1420" priority="31215" operator="equal">
      <formula>"PT"</formula>
    </cfRule>
  </conditionalFormatting>
  <conditionalFormatting sqref="I119:BE119 CL119:DW119">
    <cfRule type="colorScale" priority="31418">
      <colorScale>
        <cfvo type="num" val="1"/>
        <cfvo type="num" val="28"/>
        <color theme="7" tint="0.79998168889431442"/>
        <color theme="5" tint="-0.249977111117893"/>
      </colorScale>
    </cfRule>
  </conditionalFormatting>
  <conditionalFormatting sqref="I129:BE129 DB129:DW129">
    <cfRule type="colorScale" priority="31397">
      <colorScale>
        <cfvo type="num" val="1"/>
        <cfvo type="num" val="28"/>
        <color theme="7" tint="0.79998168889431442"/>
        <color theme="5" tint="-0.249977111117893"/>
      </colorScale>
    </cfRule>
  </conditionalFormatting>
  <conditionalFormatting sqref="I132:BE133 DB132:DW133">
    <cfRule type="colorScale" priority="30803">
      <colorScale>
        <cfvo type="num" val="1"/>
        <cfvo type="num" val="28"/>
        <color theme="7" tint="0.79998168889431442"/>
        <color theme="5" tint="-0.249977111117893"/>
      </colorScale>
    </cfRule>
  </conditionalFormatting>
  <conditionalFormatting sqref="I30:BI31">
    <cfRule type="cellIs" dxfId="1419" priority="31113" operator="equal">
      <formula>"GW"</formula>
    </cfRule>
    <cfRule type="cellIs" dxfId="1418" priority="31114" operator="equal">
      <formula>"TRIM"</formula>
    </cfRule>
    <cfRule type="cellIs" dxfId="1417" priority="31115" operator="equal">
      <formula>"RI"</formula>
    </cfRule>
    <cfRule type="cellIs" dxfId="1416" priority="31116" operator="equal">
      <formula>"PT"</formula>
    </cfRule>
  </conditionalFormatting>
  <conditionalFormatting sqref="I43:CG44">
    <cfRule type="cellIs" dxfId="1415" priority="30775" operator="equal">
      <formula>"GW"</formula>
    </cfRule>
    <cfRule type="cellIs" dxfId="1414" priority="30776" operator="equal">
      <formula>"TRIM"</formula>
    </cfRule>
    <cfRule type="cellIs" dxfId="1413" priority="30777" operator="equal">
      <formula>"RI"</formula>
    </cfRule>
    <cfRule type="cellIs" dxfId="1412" priority="30778" operator="equal">
      <formula>"PT"</formula>
    </cfRule>
  </conditionalFormatting>
  <conditionalFormatting sqref="I50:CM51 CP50:DM51">
    <cfRule type="cellIs" dxfId="1411" priority="30899" operator="equal">
      <formula>"GW"</formula>
    </cfRule>
    <cfRule type="cellIs" dxfId="1410" priority="30900" operator="equal">
      <formula>"TRIM"</formula>
    </cfRule>
    <cfRule type="cellIs" dxfId="1409" priority="30901" operator="equal">
      <formula>"RI"</formula>
    </cfRule>
    <cfRule type="cellIs" dxfId="1408" priority="30902" operator="equal">
      <formula>"PT"</formula>
    </cfRule>
  </conditionalFormatting>
  <conditionalFormatting sqref="I51:CO51">
    <cfRule type="cellIs" dxfId="1407" priority="30495" operator="equal">
      <formula>"GW"</formula>
    </cfRule>
    <cfRule type="cellIs" dxfId="1406" priority="30496" operator="equal">
      <formula>"TRIM"</formula>
    </cfRule>
    <cfRule type="cellIs" dxfId="1405" priority="30497" operator="equal">
      <formula>"RI"</formula>
    </cfRule>
    <cfRule type="cellIs" dxfId="1404" priority="30498" operator="equal">
      <formula>"PT"</formula>
    </cfRule>
  </conditionalFormatting>
  <conditionalFormatting sqref="I44:CQ44">
    <cfRule type="cellIs" dxfId="1403" priority="30546" operator="equal">
      <formula>"GW"</formula>
    </cfRule>
    <cfRule type="cellIs" dxfId="1402" priority="30547" operator="equal">
      <formula>"TRIM"</formula>
    </cfRule>
    <cfRule type="cellIs" dxfId="1401" priority="30548" operator="equal">
      <formula>"RI"</formula>
    </cfRule>
    <cfRule type="cellIs" dxfId="1400" priority="30549" operator="equal">
      <formula>"PT"</formula>
    </cfRule>
  </conditionalFormatting>
  <conditionalFormatting sqref="I55:DG56 DJ55:DO56">
    <cfRule type="cellIs" dxfId="1399" priority="30135" operator="equal">
      <formula>"GW"</formula>
    </cfRule>
    <cfRule type="cellIs" dxfId="1398" priority="30136" operator="equal">
      <formula>"TRIM"</formula>
    </cfRule>
    <cfRule type="cellIs" dxfId="1397" priority="30137" operator="equal">
      <formula>"RI"</formula>
    </cfRule>
    <cfRule type="cellIs" dxfId="1396" priority="30138" operator="equal">
      <formula>"PT"</formula>
    </cfRule>
  </conditionalFormatting>
  <conditionalFormatting sqref="I56:DG56">
    <cfRule type="cellIs" dxfId="1395" priority="30102" operator="equal">
      <formula>"GW"</formula>
    </cfRule>
    <cfRule type="cellIs" dxfId="1394" priority="30103" operator="equal">
      <formula>"TRIM"</formula>
    </cfRule>
    <cfRule type="cellIs" dxfId="1393" priority="30104" operator="equal">
      <formula>"RI"</formula>
    </cfRule>
    <cfRule type="cellIs" dxfId="1392" priority="30105" operator="equal">
      <formula>"PT"</formula>
    </cfRule>
  </conditionalFormatting>
  <conditionalFormatting sqref="I21:DU27">
    <cfRule type="cellIs" dxfId="1391" priority="30861" operator="equal">
      <formula>"RI"</formula>
    </cfRule>
    <cfRule type="cellIs" dxfId="1390" priority="30862" operator="equal">
      <formula>"PT"</formula>
    </cfRule>
  </conditionalFormatting>
  <conditionalFormatting sqref="I35:DU37">
    <cfRule type="cellIs" dxfId="1389" priority="30822" operator="equal">
      <formula>"GW"</formula>
    </cfRule>
    <cfRule type="cellIs" dxfId="1388" priority="30823" operator="equal">
      <formula>"TRIM"</formula>
    </cfRule>
    <cfRule type="cellIs" dxfId="1387" priority="30824" operator="equal">
      <formula>"RI"</formula>
    </cfRule>
    <cfRule type="cellIs" dxfId="1386" priority="30825" operator="equal">
      <formula>"PT"</formula>
    </cfRule>
  </conditionalFormatting>
  <conditionalFormatting sqref="I38:DU39">
    <cfRule type="cellIs" dxfId="1385" priority="31271" operator="equal">
      <formula>"GW"</formula>
    </cfRule>
    <cfRule type="cellIs" dxfId="1384" priority="31272" operator="equal">
      <formula>"TRIM"</formula>
    </cfRule>
    <cfRule type="cellIs" dxfId="1383" priority="31273" operator="equal">
      <formula>"RI"</formula>
    </cfRule>
    <cfRule type="cellIs" dxfId="1382" priority="31274" operator="equal">
      <formula>"PT"</formula>
    </cfRule>
  </conditionalFormatting>
  <conditionalFormatting sqref="I40:DU41">
    <cfRule type="cellIs" dxfId="1381" priority="30589" operator="equal">
      <formula>"GW"</formula>
    </cfRule>
    <cfRule type="cellIs" dxfId="1380" priority="30590" operator="equal">
      <formula>"TRIM"</formula>
    </cfRule>
    <cfRule type="cellIs" dxfId="1379" priority="30591" operator="equal">
      <formula>"RI"</formula>
    </cfRule>
    <cfRule type="cellIs" dxfId="1378" priority="30592" operator="equal">
      <formula>"PT"</formula>
    </cfRule>
  </conditionalFormatting>
  <conditionalFormatting sqref="I21:DW27">
    <cfRule type="cellIs" dxfId="1377" priority="30859" operator="equal">
      <formula>"GW"</formula>
    </cfRule>
    <cfRule type="cellIs" dxfId="1376" priority="30860" operator="equal">
      <formula>"TRIM"</formula>
    </cfRule>
  </conditionalFormatting>
  <conditionalFormatting sqref="I120:DW120">
    <cfRule type="colorScale" priority="31442">
      <colorScale>
        <cfvo type="num" val="1"/>
        <cfvo type="num" val="28"/>
        <color theme="7" tint="0.79998168889431442"/>
        <color theme="5" tint="-0.249977111117893"/>
      </colorScale>
    </cfRule>
  </conditionalFormatting>
  <conditionalFormatting sqref="I121:DW121">
    <cfRule type="colorScale" priority="31424">
      <colorScale>
        <cfvo type="num" val="1"/>
        <cfvo type="num" val="28"/>
        <color theme="7" tint="0.79998168889431442"/>
        <color theme="5" tint="-0.249977111117893"/>
      </colorScale>
    </cfRule>
  </conditionalFormatting>
  <conditionalFormatting sqref="I124:DW124">
    <cfRule type="colorScale" priority="31430">
      <colorScale>
        <cfvo type="num" val="1"/>
        <cfvo type="num" val="28"/>
        <color theme="7" tint="0.79998168889431442"/>
        <color theme="5" tint="-0.249977111117893"/>
      </colorScale>
    </cfRule>
  </conditionalFormatting>
  <conditionalFormatting sqref="I86:EC87 EX86:RD87">
    <cfRule type="cellIs" dxfId="1375" priority="918" operator="equal">
      <formula>"GW"</formula>
    </cfRule>
    <cfRule type="cellIs" dxfId="1374" priority="919" operator="equal">
      <formula>"TRIM"</formula>
    </cfRule>
    <cfRule type="cellIs" dxfId="1373" priority="920" operator="equal">
      <formula>"RI"</formula>
    </cfRule>
    <cfRule type="cellIs" dxfId="1372" priority="921" operator="equal">
      <formula>"PT"</formula>
    </cfRule>
  </conditionalFormatting>
  <conditionalFormatting sqref="I156:EW158 HN156:HS158">
    <cfRule type="colorScale" priority="27940">
      <colorScale>
        <cfvo type="num" val="1"/>
        <cfvo type="num" val="28"/>
        <color theme="7" tint="0.79998168889431442"/>
        <color theme="5" tint="-0.249977111117893"/>
      </colorScale>
    </cfRule>
  </conditionalFormatting>
  <conditionalFormatting sqref="I86:FE87">
    <cfRule type="cellIs" dxfId="1371" priority="913" operator="equal">
      <formula>"GW"</formula>
    </cfRule>
    <cfRule type="cellIs" dxfId="1370" priority="914" operator="equal">
      <formula>"TRIM"</formula>
    </cfRule>
    <cfRule type="cellIs" dxfId="1369" priority="915" operator="equal">
      <formula>"RI"</formula>
    </cfRule>
    <cfRule type="cellIs" dxfId="1368" priority="916" operator="equal">
      <formula>"PT"</formula>
    </cfRule>
  </conditionalFormatting>
  <conditionalFormatting sqref="I61:FQ61">
    <cfRule type="cellIs" dxfId="1367" priority="28503" operator="equal">
      <formula>"GW"</formula>
    </cfRule>
    <cfRule type="cellIs" dxfId="1366" priority="28504" operator="equal">
      <formula>"TRIM"</formula>
    </cfRule>
    <cfRule type="cellIs" dxfId="1365" priority="28505" operator="equal">
      <formula>"RI"</formula>
    </cfRule>
    <cfRule type="cellIs" dxfId="1364" priority="28506" operator="equal">
      <formula>"PT"</formula>
    </cfRule>
  </conditionalFormatting>
  <conditionalFormatting sqref="I52:FU53">
    <cfRule type="cellIs" dxfId="1363" priority="29819" operator="equal">
      <formula>"GW"</formula>
    </cfRule>
    <cfRule type="cellIs" dxfId="1362" priority="29820" operator="equal">
      <formula>"TRIM"</formula>
    </cfRule>
    <cfRule type="cellIs" dxfId="1361" priority="29821" operator="equal">
      <formula>"RI"</formula>
    </cfRule>
    <cfRule type="cellIs" dxfId="1360" priority="29822" operator="equal">
      <formula>"PT"</formula>
    </cfRule>
  </conditionalFormatting>
  <conditionalFormatting sqref="I90:RD90">
    <cfRule type="cellIs" dxfId="1359" priority="572" operator="equal">
      <formula>"GW"</formula>
    </cfRule>
    <cfRule type="cellIs" dxfId="1358" priority="573" operator="equal">
      <formula>"TRIM"</formula>
    </cfRule>
    <cfRule type="cellIs" dxfId="1357" priority="574" operator="equal">
      <formula>"RI"</formula>
    </cfRule>
    <cfRule type="cellIs" dxfId="1356" priority="575" operator="equal">
      <formula>"PT"</formula>
    </cfRule>
  </conditionalFormatting>
  <conditionalFormatting sqref="I179:RD179">
    <cfRule type="colorScale" priority="570">
      <colorScale>
        <cfvo type="num" val="1"/>
        <cfvo type="num" val="28"/>
        <color theme="7" tint="0.79998168889431442"/>
        <color theme="5" tint="-0.249977111117893"/>
      </colorScale>
    </cfRule>
  </conditionalFormatting>
  <conditionalFormatting sqref="I232:RD324 I200:RD221 I224:RD229">
    <cfRule type="cellIs" dxfId="1355" priority="729" operator="equal">
      <formula>"RI"</formula>
    </cfRule>
    <cfRule type="cellIs" dxfId="1354" priority="730" operator="equal">
      <formula>"GW"</formula>
    </cfRule>
    <cfRule type="cellIs" dxfId="1353" priority="731" operator="equal">
      <formula>"PT"</formula>
    </cfRule>
    <cfRule type="cellIs" dxfId="1352" priority="732" operator="equal">
      <formula>"TRIM"</formula>
    </cfRule>
  </conditionalFormatting>
  <conditionalFormatting sqref="K239:K241 M239:M241 I239:I241 M204:M219 K204:K219 I204:I219 M224:M227 K224:K227 I224:I227">
    <cfRule type="colorScale" priority="104346">
      <colorScale>
        <cfvo type="min"/>
        <cfvo type="percentile" val="50"/>
        <cfvo type="max"/>
        <color rgb="FFF8696B"/>
        <color rgb="FFFFEB84"/>
        <color rgb="FF63BE7B"/>
      </colorScale>
    </cfRule>
  </conditionalFormatting>
  <conditionalFormatting sqref="K2:N17 I2:I20 K18:K20 M18:M20 L19 N19">
    <cfRule type="cellIs" dxfId="1351" priority="32752" operator="equal">
      <formula>"GW"</formula>
    </cfRule>
    <cfRule type="cellIs" dxfId="1350" priority="32753" operator="equal">
      <formula>"PT"</formula>
    </cfRule>
    <cfRule type="cellIs" dxfId="1349" priority="32754" operator="equal">
      <formula>"TRIM"</formula>
    </cfRule>
    <cfRule type="cellIs" dxfId="1348" priority="32755" operator="equal">
      <formula>"RI"</formula>
    </cfRule>
  </conditionalFormatting>
  <conditionalFormatting sqref="M2:M20 K2:K20 I2:I20">
    <cfRule type="colorScale" priority="32743">
      <colorScale>
        <cfvo type="min"/>
        <cfvo type="percentile" val="50"/>
        <cfvo type="max"/>
        <color rgb="FFF8696B"/>
        <color rgb="FFFFEB84"/>
        <color rgb="FF63BE7B"/>
      </colorScale>
    </cfRule>
  </conditionalFormatting>
  <conditionalFormatting sqref="M242:M324 M232:M238 K232:K238 K242:K324 I232:I238 I242:I324 I228:I229 K228:K229 M228:M229 M220:M221 K220:K221 I220:I221 M200:M203 K200:K203 I200:I203">
    <cfRule type="colorScale" priority="80269">
      <colorScale>
        <cfvo type="min"/>
        <cfvo type="percentile" val="50"/>
        <cfvo type="max"/>
        <color rgb="FFF8696B"/>
        <color rgb="FFFFEB84"/>
        <color rgb="FF63BE7B"/>
      </colorScale>
    </cfRule>
  </conditionalFormatting>
  <conditionalFormatting sqref="O220:R220 O200:R203">
    <cfRule type="colorScale" priority="87902">
      <colorScale>
        <cfvo type="min"/>
        <cfvo type="percentile" val="50"/>
        <cfvo type="max"/>
        <color rgb="FFF8696B"/>
        <color rgb="FFFFEB84"/>
        <color rgb="FF63BE7B"/>
      </colorScale>
    </cfRule>
  </conditionalFormatting>
  <conditionalFormatting sqref="O239:R239 O204:R219 O224:R227">
    <cfRule type="colorScale" priority="104375">
      <colorScale>
        <cfvo type="min"/>
        <cfvo type="percentile" val="50"/>
        <cfvo type="max"/>
        <color rgb="FFF8696B"/>
        <color rgb="FFFFEB84"/>
        <color rgb="FF63BE7B"/>
      </colorScale>
    </cfRule>
  </conditionalFormatting>
  <conditionalFormatting sqref="O240:R241">
    <cfRule type="colorScale" priority="579">
      <colorScale>
        <cfvo type="min"/>
        <cfvo type="percentile" val="50"/>
        <cfvo type="max"/>
        <color rgb="FFF8696B"/>
        <color rgb="FFFFEB84"/>
        <color rgb="FF63BE7B"/>
      </colorScale>
    </cfRule>
  </conditionalFormatting>
  <conditionalFormatting sqref="O242:R324 O228:R229 O232:R238 O221:R221">
    <cfRule type="colorScale" priority="51188">
      <colorScale>
        <cfvo type="min"/>
        <cfvo type="percentile" val="50"/>
        <cfvo type="max"/>
        <color rgb="FFF8696B"/>
        <color rgb="FFFFEB84"/>
        <color rgb="FF63BE7B"/>
      </colorScale>
    </cfRule>
  </conditionalFormatting>
  <conditionalFormatting sqref="O18:T18 O2:O17">
    <cfRule type="cellIs" dxfId="1347" priority="32655" operator="equal">
      <formula>"TRIM"</formula>
    </cfRule>
  </conditionalFormatting>
  <conditionalFormatting sqref="O18:T18">
    <cfRule type="cellIs" dxfId="1346" priority="32653" operator="equal">
      <formula>"GW"</formula>
    </cfRule>
    <cfRule type="cellIs" dxfId="1345" priority="32654" operator="equal">
      <formula>"PT"</formula>
    </cfRule>
    <cfRule type="cellIs" dxfId="1344" priority="32656" operator="equal">
      <formula>"RI"</formula>
    </cfRule>
  </conditionalFormatting>
  <conditionalFormatting sqref="Q2:T17 O2:O20 Q18:Q20 S18:S20 R19 T19">
    <cfRule type="cellIs" dxfId="1343" priority="32649" operator="equal">
      <formula>"GW"</formula>
    </cfRule>
    <cfRule type="cellIs" dxfId="1342" priority="32650" operator="equal">
      <formula>"PT"</formula>
    </cfRule>
    <cfRule type="cellIs" dxfId="1341" priority="32652" operator="equal">
      <formula>"RI"</formula>
    </cfRule>
  </conditionalFormatting>
  <conditionalFormatting sqref="Q2:T17 O18:O20 Q18:Q20 S18:S20 R19 T19">
    <cfRule type="cellIs" dxfId="1340" priority="32651" operator="equal">
      <formula>"TRIM"</formula>
    </cfRule>
  </conditionalFormatting>
  <conditionalFormatting sqref="S2:S20 Q2:Q20 O2:O20">
    <cfRule type="colorScale" priority="32647">
      <colorScale>
        <cfvo type="min"/>
        <cfvo type="percentile" val="50"/>
        <cfvo type="max"/>
        <color rgb="FFF8696B"/>
        <color rgb="FFFFEB84"/>
        <color rgb="FF63BE7B"/>
      </colorScale>
    </cfRule>
  </conditionalFormatting>
  <conditionalFormatting sqref="S239:S241 Q239:Q241 O239:O241 S204:S219 Q204:Q219 O204:O219 S224:S227 Q224:Q227 O224:O227">
    <cfRule type="colorScale" priority="104383">
      <colorScale>
        <cfvo type="min"/>
        <cfvo type="percentile" val="50"/>
        <cfvo type="max"/>
        <color rgb="FFF8696B"/>
        <color rgb="FFFFEB84"/>
        <color rgb="FF63BE7B"/>
      </colorScale>
    </cfRule>
  </conditionalFormatting>
  <conditionalFormatting sqref="S242:S324 S232:S238 Q232:Q238 Q242:Q324 O232:O238 O242:O324 O228:O229 Q228:Q229 S228:S229 S220:S221 Q220:Q221 O220:O221 S200:S203 Q200:Q203 O200:O203">
    <cfRule type="colorScale" priority="80292">
      <colorScale>
        <cfvo type="min"/>
        <cfvo type="percentile" val="50"/>
        <cfvo type="max"/>
        <color rgb="FFF8696B"/>
        <color rgb="FFFFEB84"/>
        <color rgb="FF63BE7B"/>
      </colorScale>
    </cfRule>
  </conditionalFormatting>
  <conditionalFormatting sqref="U12:U20">
    <cfRule type="colorScale" priority="34152">
      <colorScale>
        <cfvo type="min"/>
        <cfvo type="percentile" val="50"/>
        <cfvo type="max"/>
        <color rgb="FFF8696B"/>
        <color rgb="FFFFEB84"/>
        <color rgb="FF63BE7B"/>
      </colorScale>
    </cfRule>
  </conditionalFormatting>
  <conditionalFormatting sqref="U239:U241 U204:U219 U224:U227">
    <cfRule type="colorScale" priority="104410">
      <colorScale>
        <cfvo type="min"/>
        <cfvo type="percentile" val="50"/>
        <cfvo type="max"/>
        <color rgb="FFF8696B"/>
        <color rgb="FFFFEB84"/>
        <color rgb="FF63BE7B"/>
      </colorScale>
    </cfRule>
  </conditionalFormatting>
  <conditionalFormatting sqref="U242:U324 U232:U238 U228:U229 U220:U221 U200:U203">
    <cfRule type="colorScale" priority="80307">
      <colorScale>
        <cfvo type="min"/>
        <cfvo type="percentile" val="50"/>
        <cfvo type="max"/>
        <color rgb="FFF8696B"/>
        <color rgb="FFFFEB84"/>
        <color rgb="FF63BE7B"/>
      </colorScale>
    </cfRule>
  </conditionalFormatting>
  <conditionalFormatting sqref="V17:X20">
    <cfRule type="cellIs" dxfId="1339" priority="32678" operator="equal">
      <formula>"GW"</formula>
    </cfRule>
    <cfRule type="cellIs" dxfId="1338" priority="32679" operator="equal">
      <formula>"PT"</formula>
    </cfRule>
    <cfRule type="cellIs" dxfId="1337" priority="32680" operator="equal">
      <formula>"TRIM"</formula>
    </cfRule>
    <cfRule type="cellIs" dxfId="1336" priority="32681" operator="equal">
      <formula>"RI"</formula>
    </cfRule>
  </conditionalFormatting>
  <conditionalFormatting sqref="V12:AA16 V17:X17 V18:W20">
    <cfRule type="colorScale" priority="34128">
      <colorScale>
        <cfvo type="min"/>
        <cfvo type="percentile" val="50"/>
        <cfvo type="max"/>
        <color rgb="FFF8696B"/>
        <color rgb="FFFFEB84"/>
        <color rgb="FF63BE7B"/>
      </colorScale>
    </cfRule>
  </conditionalFormatting>
  <conditionalFormatting sqref="V220:AA220 V200:AA203">
    <cfRule type="colorScale" priority="87952">
      <colorScale>
        <cfvo type="min"/>
        <cfvo type="percentile" val="50"/>
        <cfvo type="max"/>
        <color rgb="FFF8696B"/>
        <color rgb="FFFFEB84"/>
        <color rgb="FF63BE7B"/>
      </colorScale>
    </cfRule>
  </conditionalFormatting>
  <conditionalFormatting sqref="V239:AA239 V204:AA219 V224:AA227">
    <cfRule type="colorScale" priority="104421">
      <colorScale>
        <cfvo type="min"/>
        <cfvo type="percentile" val="50"/>
        <cfvo type="max"/>
        <color rgb="FFF8696B"/>
        <color rgb="FFFFEB84"/>
        <color rgb="FF63BE7B"/>
      </colorScale>
    </cfRule>
  </conditionalFormatting>
  <conditionalFormatting sqref="V240:AA241">
    <cfRule type="colorScale" priority="578">
      <colorScale>
        <cfvo type="min"/>
        <cfvo type="percentile" val="50"/>
        <cfvo type="max"/>
        <color rgb="FFF8696B"/>
        <color rgb="FFFFEB84"/>
        <color rgb="FF63BE7B"/>
      </colorScale>
    </cfRule>
  </conditionalFormatting>
  <conditionalFormatting sqref="V242:AA324 V228:AA229 V232:AA238 V221:AA221">
    <cfRule type="colorScale" priority="51182">
      <colorScale>
        <cfvo type="min"/>
        <cfvo type="percentile" val="50"/>
        <cfvo type="max"/>
        <color rgb="FFF8696B"/>
        <color rgb="FFFFEB84"/>
        <color rgb="FF63BE7B"/>
      </colorScale>
    </cfRule>
  </conditionalFormatting>
  <conditionalFormatting sqref="V14:AW16">
    <cfRule type="cellIs" dxfId="1335" priority="32683" operator="equal">
      <formula>"GW"</formula>
    </cfRule>
    <cfRule type="cellIs" dxfId="1334" priority="32684" operator="equal">
      <formula>"PT"</formula>
    </cfRule>
    <cfRule type="cellIs" dxfId="1333" priority="32685" operator="equal">
      <formula>"TRIM"</formula>
    </cfRule>
    <cfRule type="cellIs" dxfId="1332" priority="32686" operator="equal">
      <formula>"RI"</formula>
    </cfRule>
  </conditionalFormatting>
  <conditionalFormatting sqref="X18:X20">
    <cfRule type="colorScale" priority="32682">
      <colorScale>
        <cfvo type="min"/>
        <cfvo type="percentile" val="50"/>
        <cfvo type="max"/>
        <color rgb="FFF8696B"/>
        <color rgb="FFFFEB84"/>
        <color rgb="FF63BE7B"/>
      </colorScale>
    </cfRule>
  </conditionalFormatting>
  <conditionalFormatting sqref="X17:AG17 X18:Z19 AB18:AG19">
    <cfRule type="cellIs" dxfId="1331" priority="32669" operator="equal">
      <formula>"GW"</formula>
    </cfRule>
    <cfRule type="cellIs" dxfId="1330" priority="32670" operator="equal">
      <formula>"PT"</formula>
    </cfRule>
    <cfRule type="cellIs" dxfId="1329" priority="32671" operator="equal">
      <formula>"TRIM"</formula>
    </cfRule>
    <cfRule type="cellIs" dxfId="1328" priority="32672" operator="equal">
      <formula>"RI"</formula>
    </cfRule>
  </conditionalFormatting>
  <conditionalFormatting sqref="Z17:Z20 AB17:AB20 AD17:AD20 AF17:AF20">
    <cfRule type="cellIs" dxfId="1327" priority="32673" operator="equal">
      <formula>"GW"</formula>
    </cfRule>
    <cfRule type="cellIs" dxfId="1326" priority="32674" operator="equal">
      <formula>"PT"</formula>
    </cfRule>
    <cfRule type="cellIs" dxfId="1325" priority="32675" operator="equal">
      <formula>"TRIM"</formula>
    </cfRule>
    <cfRule type="cellIs" dxfId="1324" priority="32676" operator="equal">
      <formula>"RI"</formula>
    </cfRule>
    <cfRule type="colorScale" priority="32677">
      <colorScale>
        <cfvo type="min"/>
        <cfvo type="percentile" val="50"/>
        <cfvo type="max"/>
        <color rgb="FFF8696B"/>
        <color rgb="FFFFEB84"/>
        <color rgb="FF63BE7B"/>
      </colorScale>
    </cfRule>
  </conditionalFormatting>
  <conditionalFormatting sqref="AF239:AF241 AD239:AD241 AB239:AB241 Z239:Z241 AF204:AF219 AD204:AD219 AB204:AB219 Z204:Z219 AF224:AF227 AD224:AD227 AB224:AB227 Z224:Z227">
    <cfRule type="colorScale" priority="104429">
      <colorScale>
        <cfvo type="min"/>
        <cfvo type="percentile" val="50"/>
        <cfvo type="max"/>
        <color rgb="FFF8696B"/>
        <color rgb="FFFFEB84"/>
        <color rgb="FF63BE7B"/>
      </colorScale>
    </cfRule>
  </conditionalFormatting>
  <conditionalFormatting sqref="AF242:AF324 AF232:AF238 AD232:AD238 AD242:AD324 AB232:AB238 AB242:AB324 Z232:Z238 Z242:Z324 Z228:Z229 AB228:AB229 AD228:AD229 AF228:AF229 AF220:AF221 AD220:AD221 AB220:AB221 Z220:Z221 AF200:AF203 AD200:AD203 AB200:AB203 Z200:Z203">
    <cfRule type="colorScale" priority="80320">
      <colorScale>
        <cfvo type="min"/>
        <cfvo type="percentile" val="50"/>
        <cfvo type="max"/>
        <color rgb="FFF8696B"/>
        <color rgb="FFFFEB84"/>
        <color rgb="FF63BE7B"/>
      </colorScale>
    </cfRule>
  </conditionalFormatting>
  <conditionalFormatting sqref="AH17:AH20 AJ17:AJ20 AL17:AL20 AN17:AN20 AP17:AP20 AR17:AR20">
    <cfRule type="colorScale" priority="32863">
      <colorScale>
        <cfvo type="min"/>
        <cfvo type="percentile" val="50"/>
        <cfvo type="max"/>
        <color rgb="FFF8696B"/>
        <color rgb="FFFFEB84"/>
        <color rgb="FF63BE7B"/>
      </colorScale>
    </cfRule>
  </conditionalFormatting>
  <conditionalFormatting sqref="AH239:AH241 AJ239:AJ241 AL239:AL241 AN239:AN241 AP239:AP241 AR239:AR241 AT239:AT241 AX239:AX241 AV239:AV241 AH204:AH219 AJ204:AJ219 AL204:AL219 AN204:AN219 AP204:AP219 AR204:AR219 AT204:AT219 AX204:AX219 AV204:AV219 AH224:AH227 AJ224:AJ227 AL224:AL227 AN224:AN227 AP224:AP227 AR224:AR227 AT224:AT227 AX224:AX227 AV224:AV227">
    <cfRule type="colorScale" priority="104465">
      <colorScale>
        <cfvo type="min"/>
        <cfvo type="percentile" val="50"/>
        <cfvo type="max"/>
        <color rgb="FFF8696B"/>
        <color rgb="FFFFEB84"/>
        <color rgb="FF63BE7B"/>
      </colorScale>
    </cfRule>
  </conditionalFormatting>
  <conditionalFormatting sqref="AH242:AH324 AH232:AH238 AJ232:AJ238 AJ242:AJ324 AL232:AL238 AL242:AL324 AN232:AN238 AN242:AN324 AP232:AP238 AP242:AP324 AR232:AR238 AR242:AR324 AT232:AT238 AT242:AT324 AX232:AX238 AX242:AX324 AV232:AV238 AV242:AV324 AV228:AV229 AX228:AX229 AT228:AT229 AR228:AR229 AP228:AP229 AN228:AN229 AL228:AL229 AJ228:AJ229 AH228:AH229 AH220:AH221 AJ220:AJ221 AL220:AL221 AN220:AN221 AP220:AP221 AR220:AR221 AT220:AT221 AX220:AX221 AV220:AV221 AH200:AH203 AJ200:AJ203 AL200:AL203 AN200:AN203 AP200:AP203 AR200:AR203 AT200:AT203 AX200:AX203 AV200:AV203">
    <cfRule type="colorScale" priority="80340">
      <colorScale>
        <cfvo type="min"/>
        <cfvo type="percentile" val="50"/>
        <cfvo type="max"/>
        <color rgb="FFF8696B"/>
        <color rgb="FFFFEB84"/>
        <color rgb="FF63BE7B"/>
      </colorScale>
    </cfRule>
  </conditionalFormatting>
  <conditionalFormatting sqref="AH220:AW220 AH200:AW203">
    <cfRule type="colorScale" priority="88101">
      <colorScale>
        <cfvo type="min"/>
        <cfvo type="percentile" val="50"/>
        <cfvo type="max"/>
        <color rgb="FFF8696B"/>
        <color rgb="FFFFEB84"/>
        <color rgb="FF63BE7B"/>
      </colorScale>
    </cfRule>
  </conditionalFormatting>
  <conditionalFormatting sqref="AH239:AW239 AH204:AW219 AH224:AW227">
    <cfRule type="colorScale" priority="104548">
      <colorScale>
        <cfvo type="min"/>
        <cfvo type="percentile" val="50"/>
        <cfvo type="max"/>
        <color rgb="FFF8696B"/>
        <color rgb="FFFFEB84"/>
        <color rgb="FF63BE7B"/>
      </colorScale>
    </cfRule>
  </conditionalFormatting>
  <conditionalFormatting sqref="AH240:AW241">
    <cfRule type="colorScale" priority="577">
      <colorScale>
        <cfvo type="min"/>
        <cfvo type="percentile" val="50"/>
        <cfvo type="max"/>
        <color rgb="FFF8696B"/>
        <color rgb="FFFFEB84"/>
        <color rgb="FF63BE7B"/>
      </colorScale>
    </cfRule>
  </conditionalFormatting>
  <conditionalFormatting sqref="AH242:AW324 AH228:AW229 AH232:AW238 AH221:AW221">
    <cfRule type="colorScale" priority="51158">
      <colorScale>
        <cfvo type="min"/>
        <cfvo type="percentile" val="50"/>
        <cfvo type="max"/>
        <color rgb="FFF8696B"/>
        <color rgb="FFFFEB84"/>
        <color rgb="FF63BE7B"/>
      </colorScale>
    </cfRule>
  </conditionalFormatting>
  <conditionalFormatting sqref="AH17:BB17 AH18:AY18 AH19:AZ20 BD17:CA17 BB18:BB20 BD18:BD20 BF18:BF20 BH18:BH20 BJ18:BJ20 BL18:BL20 BN18:BN20 BP18:BP20 BR18:BR20 BT18:BT20 AZ19:BB19 BD19:CA19 I18:N18 I20:T20 X20:AG20 U14:U20">
    <cfRule type="cellIs" dxfId="1323" priority="32869" operator="equal">
      <formula>"GW"</formula>
    </cfRule>
    <cfRule type="cellIs" dxfId="1322" priority="32870" operator="equal">
      <formula>"PT"</formula>
    </cfRule>
    <cfRule type="cellIs" dxfId="1321" priority="32871" operator="equal">
      <formula>"TRIM"</formula>
    </cfRule>
  </conditionalFormatting>
  <conditionalFormatting sqref="AH17:BB17 AH18:AY18 AH19:AZ20 BD17:DW17 BB18:BB20 BD18:BD20 BF18:BF20 BH18:BH20 BJ18:BJ20 BL18:BL20 BN18:BN20 BP18:BP20 BR18:BR20 BT18:BT20 AZ19:BB19 BD19:DW19 I18:N18 I20:T20 X20:AG20 U14:U20">
    <cfRule type="cellIs" dxfId="1320" priority="32872" operator="equal">
      <formula>"RI"</formula>
    </cfRule>
  </conditionalFormatting>
  <conditionalFormatting sqref="AN14:AW16">
    <cfRule type="colorScale" priority="32873">
      <colorScale>
        <cfvo type="min"/>
        <cfvo type="percentile" val="50"/>
        <cfvo type="max"/>
        <color rgb="FFF8696B"/>
        <color rgb="FFFFEB84"/>
        <color rgb="FF63BE7B"/>
      </colorScale>
    </cfRule>
  </conditionalFormatting>
  <conditionalFormatting sqref="AT17:AT20 AV17:AV20 AX17:AX20">
    <cfRule type="colorScale" priority="32858">
      <colorScale>
        <cfvo type="min"/>
        <cfvo type="percentile" val="50"/>
        <cfvo type="max"/>
        <color rgb="FFF8696B"/>
        <color rgb="FFFFEB84"/>
        <color rgb="FF63BE7B"/>
      </colorScale>
    </cfRule>
  </conditionalFormatting>
  <conditionalFormatting sqref="AZ19:AZ20 AZ17">
    <cfRule type="colorScale" priority="34058">
      <colorScale>
        <cfvo type="min"/>
        <cfvo type="percentile" val="50"/>
        <cfvo type="max"/>
        <color rgb="FFF8696B"/>
        <color rgb="FFFFEB84"/>
        <color rgb="FF63BE7B"/>
      </colorScale>
    </cfRule>
  </conditionalFormatting>
  <conditionalFormatting sqref="AZ29">
    <cfRule type="cellIs" dxfId="1319" priority="31208" operator="equal">
      <formula>"GW"</formula>
    </cfRule>
    <cfRule type="cellIs" dxfId="1318" priority="31209" operator="equal">
      <formula>"TRIM"</formula>
    </cfRule>
    <cfRule type="cellIs" dxfId="1317" priority="31210" operator="equal">
      <formula>"RI"</formula>
    </cfRule>
    <cfRule type="cellIs" dxfId="1316" priority="31211" operator="equal">
      <formula>"PT"</formula>
    </cfRule>
  </conditionalFormatting>
  <conditionalFormatting sqref="AZ239:AZ241 AZ204:AZ219 AZ224:AZ227">
    <cfRule type="colorScale" priority="104556">
      <colorScale>
        <cfvo type="min"/>
        <cfvo type="percentile" val="50"/>
        <cfvo type="max"/>
        <color rgb="FFF8696B"/>
        <color rgb="FFFFEB84"/>
        <color rgb="FF63BE7B"/>
      </colorScale>
    </cfRule>
  </conditionalFormatting>
  <conditionalFormatting sqref="AZ242:AZ324 AZ232:AZ238 AZ228:AZ229 AZ220:AZ221 AZ200:AZ203">
    <cfRule type="colorScale" priority="80401">
      <colorScale>
        <cfvo type="min"/>
        <cfvo type="percentile" val="50"/>
        <cfvo type="max"/>
        <color rgb="FFF8696B"/>
        <color rgb="FFFFEB84"/>
        <color rgb="FF63BE7B"/>
      </colorScale>
    </cfRule>
  </conditionalFormatting>
  <conditionalFormatting sqref="AZ12:BC16 BP14:BY16 AZ18">
    <cfRule type="colorScale" priority="32848">
      <colorScale>
        <cfvo type="min"/>
        <cfvo type="percentile" val="50"/>
        <cfvo type="max"/>
        <color rgb="FFF8696B"/>
        <color rgb="FFFFEB84"/>
        <color rgb="FF63BE7B"/>
      </colorScale>
    </cfRule>
  </conditionalFormatting>
  <conditionalFormatting sqref="AZ240:BE241">
    <cfRule type="colorScale" priority="581">
      <colorScale>
        <cfvo type="min"/>
        <cfvo type="percentile" val="50"/>
        <cfvo type="max"/>
        <color rgb="FFF8696B"/>
        <color rgb="FFFFEB84"/>
        <color rgb="FF63BE7B"/>
      </colorScale>
    </cfRule>
  </conditionalFormatting>
  <conditionalFormatting sqref="AZ14:BY16">
    <cfRule type="cellIs" dxfId="1315" priority="32844" operator="equal">
      <formula>"GW"</formula>
    </cfRule>
    <cfRule type="cellIs" dxfId="1314" priority="32845" operator="equal">
      <formula>"PT"</formula>
    </cfRule>
    <cfRule type="cellIs" dxfId="1313" priority="32846" operator="equal">
      <formula>"TRIM"</formula>
    </cfRule>
    <cfRule type="cellIs" dxfId="1312" priority="32847" operator="equal">
      <formula>"RI"</formula>
    </cfRule>
  </conditionalFormatting>
  <conditionalFormatting sqref="AZ18:CA18 AZ20:CA20">
    <cfRule type="cellIs" dxfId="1311" priority="32829" operator="equal">
      <formula>"GW"</formula>
    </cfRule>
    <cfRule type="cellIs" dxfId="1310" priority="32830" operator="equal">
      <formula>"PT"</formula>
    </cfRule>
    <cfRule type="cellIs" dxfId="1309" priority="32831" operator="equal">
      <formula>"TRIM"</formula>
    </cfRule>
    <cfRule type="cellIs" dxfId="1308" priority="32832" operator="equal">
      <formula>"RI"</formula>
    </cfRule>
  </conditionalFormatting>
  <conditionalFormatting sqref="AZ28:DU28">
    <cfRule type="cellIs" dxfId="1307" priority="31166" operator="equal">
      <formula>"RI"</formula>
    </cfRule>
    <cfRule type="cellIs" dxfId="1306" priority="31167" operator="equal">
      <formula>"PT"</formula>
    </cfRule>
  </conditionalFormatting>
  <conditionalFormatting sqref="AZ28:DW28">
    <cfRule type="cellIs" dxfId="1305" priority="31164" operator="equal">
      <formula>"GW"</formula>
    </cfRule>
    <cfRule type="cellIs" dxfId="1304" priority="31165" operator="equal">
      <formula>"TRIM"</formula>
    </cfRule>
  </conditionalFormatting>
  <conditionalFormatting sqref="BB17:BB20 BD17:BD20 BF17:BF20 BH17:BH20 BJ17:BJ20 BL17:BL20 BN17:BN20 BP17:BP20 BR17:BR20 BT17:BT20">
    <cfRule type="colorScale" priority="32838">
      <colorScale>
        <cfvo type="min"/>
        <cfvo type="percentile" val="50"/>
        <cfvo type="max"/>
        <color rgb="FFF8696B"/>
        <color rgb="FFFFEB84"/>
        <color rgb="FF63BE7B"/>
      </colorScale>
    </cfRule>
  </conditionalFormatting>
  <conditionalFormatting sqref="BB126:BC126">
    <cfRule type="colorScale" priority="31337">
      <colorScale>
        <cfvo type="num" val="1"/>
        <cfvo type="num" val="28"/>
        <color theme="7" tint="0.79998168889431442"/>
        <color theme="5" tint="-0.249977111117893"/>
      </colorScale>
    </cfRule>
  </conditionalFormatting>
  <conditionalFormatting sqref="BB127:BC127 BB134:BC135">
    <cfRule type="colorScale" priority="31003">
      <colorScale>
        <cfvo type="num" val="1"/>
        <cfvo type="num" val="28"/>
        <color theme="7" tint="0.79998168889431442"/>
        <color theme="5" tint="-0.249977111117893"/>
      </colorScale>
    </cfRule>
  </conditionalFormatting>
  <conditionalFormatting sqref="BB138:BC140">
    <cfRule type="colorScale" priority="30187">
      <colorScale>
        <cfvo type="num" val="1"/>
        <cfvo type="num" val="28"/>
        <color theme="7" tint="0.79998168889431442"/>
        <color theme="5" tint="-0.249977111117893"/>
      </colorScale>
    </cfRule>
  </conditionalFormatting>
  <conditionalFormatting sqref="BB139:BC140">
    <cfRule type="colorScale" priority="30831">
      <colorScale>
        <cfvo type="num" val="1"/>
        <cfvo type="num" val="28"/>
        <color theme="7" tint="0.79998168889431442"/>
        <color theme="5" tint="-0.249977111117893"/>
      </colorScale>
    </cfRule>
  </conditionalFormatting>
  <conditionalFormatting sqref="BB141:BC141">
    <cfRule type="colorScale" priority="30760">
      <colorScale>
        <cfvo type="num" val="1"/>
        <cfvo type="num" val="28"/>
        <color theme="7" tint="0.79998168889431442"/>
        <color theme="5" tint="-0.249977111117893"/>
      </colorScale>
    </cfRule>
  </conditionalFormatting>
  <conditionalFormatting sqref="BB142:BC142">
    <cfRule type="colorScale" priority="30561">
      <colorScale>
        <cfvo type="num" val="1"/>
        <cfvo type="num" val="28"/>
        <color theme="7" tint="0.79998168889431442"/>
        <color theme="5" tint="-0.249977111117893"/>
      </colorScale>
    </cfRule>
  </conditionalFormatting>
  <conditionalFormatting sqref="BB144:BC145">
    <cfRule type="colorScale" priority="30131">
      <colorScale>
        <cfvo type="num" val="1"/>
        <cfvo type="num" val="28"/>
        <color theme="7" tint="0.79998168889431442"/>
        <color theme="5" tint="-0.249977111117893"/>
      </colorScale>
    </cfRule>
  </conditionalFormatting>
  <conditionalFormatting sqref="BB145:BC145">
    <cfRule type="colorScale" priority="30093">
      <colorScale>
        <cfvo type="num" val="1"/>
        <cfvo type="num" val="28"/>
        <color theme="7" tint="0.79998168889431442"/>
        <color theme="5" tint="-0.249977111117893"/>
      </colorScale>
    </cfRule>
  </conditionalFormatting>
  <conditionalFormatting sqref="BB150:BC150">
    <cfRule type="colorScale" priority="29097">
      <colorScale>
        <cfvo type="num" val="1"/>
        <cfvo type="num" val="28"/>
        <color theme="7" tint="0.79998168889431442"/>
        <color theme="5" tint="-0.249977111117893"/>
      </colorScale>
    </cfRule>
  </conditionalFormatting>
  <conditionalFormatting sqref="BB156:BC158">
    <cfRule type="colorScale" priority="27887">
      <colorScale>
        <cfvo type="num" val="1"/>
        <cfvo type="num" val="28"/>
        <color theme="7" tint="0.79998168889431442"/>
        <color theme="5" tint="-0.249977111117893"/>
      </colorScale>
    </cfRule>
    <cfRule type="colorScale" priority="27899">
      <colorScale>
        <cfvo type="num" val="1"/>
        <cfvo type="num" val="28"/>
        <color theme="7" tint="0.79998168889431442"/>
        <color theme="5" tint="-0.249977111117893"/>
      </colorScale>
    </cfRule>
    <cfRule type="colorScale" priority="27912">
      <colorScale>
        <cfvo type="num" val="1"/>
        <cfvo type="num" val="28"/>
        <color theme="7" tint="0.79998168889431442"/>
        <color theme="5" tint="-0.249977111117893"/>
      </colorScale>
    </cfRule>
    <cfRule type="colorScale" priority="27924">
      <colorScale>
        <cfvo type="num" val="1"/>
        <cfvo type="num" val="28"/>
        <color theme="7" tint="0.79998168889431442"/>
        <color theme="5" tint="-0.249977111117893"/>
      </colorScale>
    </cfRule>
    <cfRule type="colorScale" priority="27937">
      <colorScale>
        <cfvo type="num" val="1"/>
        <cfvo type="num" val="28"/>
        <color theme="7" tint="0.79998168889431442"/>
        <color theme="5" tint="-0.249977111117893"/>
      </colorScale>
    </cfRule>
  </conditionalFormatting>
  <conditionalFormatting sqref="BB29:BF29">
    <cfRule type="cellIs" dxfId="1303" priority="31152" operator="equal">
      <formula>"GW"</formula>
    </cfRule>
    <cfRule type="cellIs" dxfId="1302" priority="31153" operator="equal">
      <formula>"TRIM"</formula>
    </cfRule>
    <cfRule type="cellIs" dxfId="1301" priority="31154" operator="equal">
      <formula>"RI"</formula>
    </cfRule>
    <cfRule type="cellIs" dxfId="1300" priority="31155" operator="equal">
      <formula>"PT"</formula>
    </cfRule>
  </conditionalFormatting>
  <conditionalFormatting sqref="BB118:BG118">
    <cfRule type="colorScale" priority="31234">
      <colorScale>
        <cfvo type="num" val="1"/>
        <cfvo type="num" val="28"/>
        <color theme="7" tint="0.79998168889431442"/>
        <color theme="5" tint="-0.249977111117893"/>
      </colorScale>
    </cfRule>
  </conditionalFormatting>
  <conditionalFormatting sqref="BB128:BG128">
    <cfRule type="colorScale" priority="31363">
      <colorScale>
        <cfvo type="num" val="1"/>
        <cfvo type="num" val="28"/>
        <color theme="7" tint="0.79998168889431442"/>
        <color theme="5" tint="-0.249977111117893"/>
      </colorScale>
    </cfRule>
  </conditionalFormatting>
  <conditionalFormatting sqref="BD126:BE126">
    <cfRule type="colorScale" priority="31326">
      <colorScale>
        <cfvo type="num" val="1"/>
        <cfvo type="num" val="28"/>
        <color theme="7" tint="0.79998168889431442"/>
        <color theme="5" tint="-0.249977111117893"/>
      </colorScale>
    </cfRule>
  </conditionalFormatting>
  <conditionalFormatting sqref="BD127:BE127 BD134:BE135">
    <cfRule type="colorScale" priority="31002">
      <colorScale>
        <cfvo type="num" val="1"/>
        <cfvo type="num" val="28"/>
        <color theme="7" tint="0.79998168889431442"/>
        <color theme="5" tint="-0.249977111117893"/>
      </colorScale>
    </cfRule>
  </conditionalFormatting>
  <conditionalFormatting sqref="BD138:BE140">
    <cfRule type="colorScale" priority="30186">
      <colorScale>
        <cfvo type="num" val="1"/>
        <cfvo type="num" val="28"/>
        <color theme="7" tint="0.79998168889431442"/>
        <color theme="5" tint="-0.249977111117893"/>
      </colorScale>
    </cfRule>
  </conditionalFormatting>
  <conditionalFormatting sqref="BD139:BE140">
    <cfRule type="colorScale" priority="30830">
      <colorScale>
        <cfvo type="num" val="1"/>
        <cfvo type="num" val="28"/>
        <color theme="7" tint="0.79998168889431442"/>
        <color theme="5" tint="-0.249977111117893"/>
      </colorScale>
    </cfRule>
  </conditionalFormatting>
  <conditionalFormatting sqref="BD141:BE141">
    <cfRule type="colorScale" priority="30759">
      <colorScale>
        <cfvo type="num" val="1"/>
        <cfvo type="num" val="28"/>
        <color theme="7" tint="0.79998168889431442"/>
        <color theme="5" tint="-0.249977111117893"/>
      </colorScale>
    </cfRule>
  </conditionalFormatting>
  <conditionalFormatting sqref="BD142:BE142">
    <cfRule type="colorScale" priority="30560">
      <colorScale>
        <cfvo type="num" val="1"/>
        <cfvo type="num" val="28"/>
        <color theme="7" tint="0.79998168889431442"/>
        <color theme="5" tint="-0.249977111117893"/>
      </colorScale>
    </cfRule>
  </conditionalFormatting>
  <conditionalFormatting sqref="BD144:BE145">
    <cfRule type="colorScale" priority="30130">
      <colorScale>
        <cfvo type="num" val="1"/>
        <cfvo type="num" val="28"/>
        <color theme="7" tint="0.79998168889431442"/>
        <color theme="5" tint="-0.249977111117893"/>
      </colorScale>
    </cfRule>
  </conditionalFormatting>
  <conditionalFormatting sqref="BD145:BE145">
    <cfRule type="colorScale" priority="30092">
      <colorScale>
        <cfvo type="num" val="1"/>
        <cfvo type="num" val="28"/>
        <color theme="7" tint="0.79998168889431442"/>
        <color theme="5" tint="-0.249977111117893"/>
      </colorScale>
    </cfRule>
  </conditionalFormatting>
  <conditionalFormatting sqref="BD150:BE150">
    <cfRule type="colorScale" priority="29096">
      <colorScale>
        <cfvo type="num" val="1"/>
        <cfvo type="num" val="28"/>
        <color theme="7" tint="0.79998168889431442"/>
        <color theme="5" tint="-0.249977111117893"/>
      </colorScale>
    </cfRule>
  </conditionalFormatting>
  <conditionalFormatting sqref="BD156:BE158">
    <cfRule type="colorScale" priority="27886">
      <colorScale>
        <cfvo type="num" val="1"/>
        <cfvo type="num" val="28"/>
        <color theme="7" tint="0.79998168889431442"/>
        <color theme="5" tint="-0.249977111117893"/>
      </colorScale>
    </cfRule>
    <cfRule type="colorScale" priority="27898">
      <colorScale>
        <cfvo type="num" val="1"/>
        <cfvo type="num" val="28"/>
        <color theme="7" tint="0.79998168889431442"/>
        <color theme="5" tint="-0.249977111117893"/>
      </colorScale>
    </cfRule>
    <cfRule type="colorScale" priority="27911">
      <colorScale>
        <cfvo type="num" val="1"/>
        <cfvo type="num" val="28"/>
        <color theme="7" tint="0.79998168889431442"/>
        <color theme="5" tint="-0.249977111117893"/>
      </colorScale>
    </cfRule>
    <cfRule type="colorScale" priority="27923">
      <colorScale>
        <cfvo type="num" val="1"/>
        <cfvo type="num" val="28"/>
        <color theme="7" tint="0.79998168889431442"/>
        <color theme="5" tint="-0.249977111117893"/>
      </colorScale>
    </cfRule>
    <cfRule type="colorScale" priority="27936">
      <colorScale>
        <cfvo type="num" val="1"/>
        <cfvo type="num" val="28"/>
        <color theme="7" tint="0.79998168889431442"/>
        <color theme="5" tint="-0.249977111117893"/>
      </colorScale>
    </cfRule>
  </conditionalFormatting>
  <conditionalFormatting sqref="BD32:BI32">
    <cfRule type="cellIs" dxfId="1299" priority="31108" operator="equal">
      <formula>"GW"</formula>
    </cfRule>
    <cfRule type="cellIs" dxfId="1298" priority="31109" operator="equal">
      <formula>"TRIM"</formula>
    </cfRule>
    <cfRule type="cellIs" dxfId="1297" priority="31110" operator="equal">
      <formula>"RI"</formula>
    </cfRule>
    <cfRule type="cellIs" dxfId="1296" priority="31111" operator="equal">
      <formula>"PT"</formula>
    </cfRule>
  </conditionalFormatting>
  <conditionalFormatting sqref="BF126:BG126 I111:DW117 I130:BQ130 CT130:DW130 CT136:DW136 I136:BQ136 I140:CE140 I122:DW122 I131:DW133 I123:EQ123 I125:EQ125 DX130:FU133 I137:FU137 I135:FU135 EJ143:GS146 I143:EG150 FV147:GS147 EJ148:GS150 GV143:HS146 GT143:GU161 GV147:RD161 GT162:RD162 I151:GS162 I163:RD173">
    <cfRule type="colorScale" priority="31521">
      <colorScale>
        <cfvo type="num" val="1"/>
        <cfvo type="num" val="28"/>
        <color theme="7" tint="0.79998168889431442"/>
        <color theme="5" tint="-0.249977111117893"/>
      </colorScale>
    </cfRule>
  </conditionalFormatting>
  <conditionalFormatting sqref="BF127:BG127 BF134:BG135">
    <cfRule type="colorScale" priority="31005">
      <colorScale>
        <cfvo type="num" val="1"/>
        <cfvo type="num" val="28"/>
        <color theme="7" tint="0.79998168889431442"/>
        <color theme="5" tint="-0.249977111117893"/>
      </colorScale>
    </cfRule>
  </conditionalFormatting>
  <conditionalFormatting sqref="BF138:BG140">
    <cfRule type="colorScale" priority="30189">
      <colorScale>
        <cfvo type="num" val="1"/>
        <cfvo type="num" val="28"/>
        <color theme="7" tint="0.79998168889431442"/>
        <color theme="5" tint="-0.249977111117893"/>
      </colorScale>
    </cfRule>
  </conditionalFormatting>
  <conditionalFormatting sqref="BF139:BG140">
    <cfRule type="colorScale" priority="30833">
      <colorScale>
        <cfvo type="num" val="1"/>
        <cfvo type="num" val="28"/>
        <color theme="7" tint="0.79998168889431442"/>
        <color theme="5" tint="-0.249977111117893"/>
      </colorScale>
    </cfRule>
  </conditionalFormatting>
  <conditionalFormatting sqref="BF141:BG141">
    <cfRule type="colorScale" priority="30762">
      <colorScale>
        <cfvo type="num" val="1"/>
        <cfvo type="num" val="28"/>
        <color theme="7" tint="0.79998168889431442"/>
        <color theme="5" tint="-0.249977111117893"/>
      </colorScale>
    </cfRule>
  </conditionalFormatting>
  <conditionalFormatting sqref="BF142:BG142">
    <cfRule type="colorScale" priority="30563">
      <colorScale>
        <cfvo type="num" val="1"/>
        <cfvo type="num" val="28"/>
        <color theme="7" tint="0.79998168889431442"/>
        <color theme="5" tint="-0.249977111117893"/>
      </colorScale>
    </cfRule>
  </conditionalFormatting>
  <conditionalFormatting sqref="BF144:BG145">
    <cfRule type="colorScale" priority="30133">
      <colorScale>
        <cfvo type="num" val="1"/>
        <cfvo type="num" val="28"/>
        <color theme="7" tint="0.79998168889431442"/>
        <color theme="5" tint="-0.249977111117893"/>
      </colorScale>
    </cfRule>
  </conditionalFormatting>
  <conditionalFormatting sqref="BF145:BG145">
    <cfRule type="colorScale" priority="30095">
      <colorScale>
        <cfvo type="num" val="1"/>
        <cfvo type="num" val="28"/>
        <color theme="7" tint="0.79998168889431442"/>
        <color theme="5" tint="-0.249977111117893"/>
      </colorScale>
    </cfRule>
  </conditionalFormatting>
  <conditionalFormatting sqref="BF150:BG150">
    <cfRule type="colorScale" priority="29099">
      <colorScale>
        <cfvo type="num" val="1"/>
        <cfvo type="num" val="28"/>
        <color theme="7" tint="0.79998168889431442"/>
        <color theme="5" tint="-0.249977111117893"/>
      </colorScale>
    </cfRule>
  </conditionalFormatting>
  <conditionalFormatting sqref="BF156:BG158">
    <cfRule type="colorScale" priority="27889">
      <colorScale>
        <cfvo type="num" val="1"/>
        <cfvo type="num" val="28"/>
        <color theme="7" tint="0.79998168889431442"/>
        <color theme="5" tint="-0.249977111117893"/>
      </colorScale>
    </cfRule>
    <cfRule type="colorScale" priority="27901">
      <colorScale>
        <cfvo type="num" val="1"/>
        <cfvo type="num" val="28"/>
        <color theme="7" tint="0.79998168889431442"/>
        <color theme="5" tint="-0.249977111117893"/>
      </colorScale>
    </cfRule>
    <cfRule type="colorScale" priority="27914">
      <colorScale>
        <cfvo type="num" val="1"/>
        <cfvo type="num" val="28"/>
        <color theme="7" tint="0.79998168889431442"/>
        <color theme="5" tint="-0.249977111117893"/>
      </colorScale>
    </cfRule>
    <cfRule type="colorScale" priority="27926">
      <colorScale>
        <cfvo type="num" val="1"/>
        <cfvo type="num" val="28"/>
        <color theme="7" tint="0.79998168889431442"/>
        <color theme="5" tint="-0.249977111117893"/>
      </colorScale>
    </cfRule>
    <cfRule type="colorScale" priority="27939">
      <colorScale>
        <cfvo type="num" val="1"/>
        <cfvo type="num" val="28"/>
        <color theme="7" tint="0.79998168889431442"/>
        <color theme="5" tint="-0.249977111117893"/>
      </colorScale>
    </cfRule>
  </conditionalFormatting>
  <conditionalFormatting sqref="BF42:BK44">
    <cfRule type="cellIs" dxfId="1295" priority="31059" operator="equal">
      <formula>"GW"</formula>
    </cfRule>
    <cfRule type="cellIs" dxfId="1294" priority="31060" operator="equal">
      <formula>"TRIM"</formula>
    </cfRule>
    <cfRule type="cellIs" dxfId="1293" priority="31061" operator="equal">
      <formula>"RI"</formula>
    </cfRule>
    <cfRule type="cellIs" dxfId="1292" priority="31062" operator="equal">
      <formula>"PT"</formula>
    </cfRule>
  </conditionalFormatting>
  <conditionalFormatting sqref="BF129:BQ129">
    <cfRule type="colorScale" priority="31396">
      <colorScale>
        <cfvo type="num" val="1"/>
        <cfvo type="num" val="28"/>
        <color theme="7" tint="0.79998168889431442"/>
        <color theme="5" tint="-0.249977111117893"/>
      </colorScale>
    </cfRule>
  </conditionalFormatting>
  <conditionalFormatting sqref="BF132:BQ133">
    <cfRule type="colorScale" priority="30802">
      <colorScale>
        <cfvo type="num" val="1"/>
        <cfvo type="num" val="28"/>
        <color theme="7" tint="0.79998168889431442"/>
        <color theme="5" tint="-0.249977111117893"/>
      </colorScale>
    </cfRule>
  </conditionalFormatting>
  <conditionalFormatting sqref="BF119:CK119">
    <cfRule type="colorScale" priority="31112">
      <colorScale>
        <cfvo type="num" val="1"/>
        <cfvo type="num" val="28"/>
        <color theme="7" tint="0.79998168889431442"/>
        <color theme="5" tint="-0.249977111117893"/>
      </colorScale>
    </cfRule>
  </conditionalFormatting>
  <conditionalFormatting sqref="BH29:BI29">
    <cfRule type="cellIs" dxfId="1291" priority="31216" operator="equal">
      <formula>"GW"</formula>
    </cfRule>
    <cfRule type="cellIs" dxfId="1290" priority="31217" operator="equal">
      <formula>"TRIM"</formula>
    </cfRule>
    <cfRule type="cellIs" dxfId="1289" priority="31218" operator="equal">
      <formula>"RI"</formula>
    </cfRule>
    <cfRule type="cellIs" dxfId="1288" priority="31219" operator="equal">
      <formula>"PT"</formula>
    </cfRule>
  </conditionalFormatting>
  <conditionalFormatting sqref="BH128:BM128">
    <cfRule type="colorScale" priority="31275">
      <colorScale>
        <cfvo type="num" val="1"/>
        <cfvo type="num" val="28"/>
        <color theme="7" tint="0.79998168889431442"/>
        <color theme="5" tint="-0.249977111117893"/>
      </colorScale>
    </cfRule>
  </conditionalFormatting>
  <conditionalFormatting sqref="BH139:BO140">
    <cfRule type="colorScale" priority="30829">
      <colorScale>
        <cfvo type="num" val="1"/>
        <cfvo type="num" val="28"/>
        <color theme="7" tint="0.79998168889431442"/>
        <color theme="5" tint="-0.249977111117893"/>
      </colorScale>
    </cfRule>
  </conditionalFormatting>
  <conditionalFormatting sqref="BH134:BQ135 BH127:BO127">
    <cfRule type="colorScale" priority="31000">
      <colorScale>
        <cfvo type="num" val="1"/>
        <cfvo type="num" val="28"/>
        <color theme="7" tint="0.79998168889431442"/>
        <color theme="5" tint="-0.249977111117893"/>
      </colorScale>
    </cfRule>
  </conditionalFormatting>
  <conditionalFormatting sqref="BH138:BQ140">
    <cfRule type="colorScale" priority="30185">
      <colorScale>
        <cfvo type="num" val="1"/>
        <cfvo type="num" val="28"/>
        <color theme="7" tint="0.79998168889431442"/>
        <color theme="5" tint="-0.249977111117893"/>
      </colorScale>
    </cfRule>
  </conditionalFormatting>
  <conditionalFormatting sqref="BH141:BQ141">
    <cfRule type="colorScale" priority="30758">
      <colorScale>
        <cfvo type="num" val="1"/>
        <cfvo type="num" val="28"/>
        <color theme="7" tint="0.79998168889431442"/>
        <color theme="5" tint="-0.249977111117893"/>
      </colorScale>
    </cfRule>
  </conditionalFormatting>
  <conditionalFormatting sqref="BH142:BQ142">
    <cfRule type="colorScale" priority="30559">
      <colorScale>
        <cfvo type="num" val="1"/>
        <cfvo type="num" val="28"/>
        <color theme="7" tint="0.79998168889431442"/>
        <color theme="5" tint="-0.249977111117893"/>
      </colorScale>
    </cfRule>
  </conditionalFormatting>
  <conditionalFormatting sqref="BH144:BQ145">
    <cfRule type="colorScale" priority="30129">
      <colorScale>
        <cfvo type="num" val="1"/>
        <cfvo type="num" val="28"/>
        <color theme="7" tint="0.79998168889431442"/>
        <color theme="5" tint="-0.249977111117893"/>
      </colorScale>
    </cfRule>
  </conditionalFormatting>
  <conditionalFormatting sqref="BH145:BQ145">
    <cfRule type="colorScale" priority="30091">
      <colorScale>
        <cfvo type="num" val="1"/>
        <cfvo type="num" val="28"/>
        <color theme="7" tint="0.79998168889431442"/>
        <color theme="5" tint="-0.249977111117893"/>
      </colorScale>
    </cfRule>
  </conditionalFormatting>
  <conditionalFormatting sqref="BH150:BQ150">
    <cfRule type="colorScale" priority="29095">
      <colorScale>
        <cfvo type="num" val="1"/>
        <cfvo type="num" val="28"/>
        <color theme="7" tint="0.79998168889431442"/>
        <color theme="5" tint="-0.249977111117893"/>
      </colorScale>
    </cfRule>
  </conditionalFormatting>
  <conditionalFormatting sqref="BH156:BQ158">
    <cfRule type="colorScale" priority="27885">
      <colorScale>
        <cfvo type="num" val="1"/>
        <cfvo type="num" val="28"/>
        <color theme="7" tint="0.79998168889431442"/>
        <color theme="5" tint="-0.249977111117893"/>
      </colorScale>
    </cfRule>
    <cfRule type="colorScale" priority="27897">
      <colorScale>
        <cfvo type="num" val="1"/>
        <cfvo type="num" val="28"/>
        <color theme="7" tint="0.79998168889431442"/>
        <color theme="5" tint="-0.249977111117893"/>
      </colorScale>
    </cfRule>
    <cfRule type="colorScale" priority="27910">
      <colorScale>
        <cfvo type="num" val="1"/>
        <cfvo type="num" val="28"/>
        <color theme="7" tint="0.79998168889431442"/>
        <color theme="5" tint="-0.249977111117893"/>
      </colorScale>
    </cfRule>
    <cfRule type="colorScale" priority="27922">
      <colorScale>
        <cfvo type="num" val="1"/>
        <cfvo type="num" val="28"/>
        <color theme="7" tint="0.79998168889431442"/>
        <color theme="5" tint="-0.249977111117893"/>
      </colorScale>
    </cfRule>
    <cfRule type="colorScale" priority="27935">
      <colorScale>
        <cfvo type="num" val="1"/>
        <cfvo type="num" val="28"/>
        <color theme="7" tint="0.79998168889431442"/>
        <color theme="5" tint="-0.249977111117893"/>
      </colorScale>
    </cfRule>
  </conditionalFormatting>
  <conditionalFormatting sqref="BH220:BY220 AZ220:BE220 BH200:BY203 AZ200:BE203">
    <cfRule type="colorScale" priority="88120">
      <colorScale>
        <cfvo type="min"/>
        <cfvo type="percentile" val="50"/>
        <cfvo type="max"/>
        <color rgb="FFF8696B"/>
        <color rgb="FFFFEB84"/>
        <color rgb="FF63BE7B"/>
      </colorScale>
    </cfRule>
  </conditionalFormatting>
  <conditionalFormatting sqref="BH239:BY239 AZ239:BE239 BH204:BY219 AZ204:BE219 BH224:BY227 AZ224:BE227">
    <cfRule type="colorScale" priority="104569">
      <colorScale>
        <cfvo type="min"/>
        <cfvo type="percentile" val="50"/>
        <cfvo type="max"/>
        <color rgb="FFF8696B"/>
        <color rgb="FFFFEB84"/>
        <color rgb="FF63BE7B"/>
      </colorScale>
    </cfRule>
  </conditionalFormatting>
  <conditionalFormatting sqref="BH240:BY241">
    <cfRule type="colorScale" priority="576">
      <colorScale>
        <cfvo type="min"/>
        <cfvo type="percentile" val="50"/>
        <cfvo type="max"/>
        <color rgb="FFF8696B"/>
        <color rgb="FFFFEB84"/>
        <color rgb="FF63BE7B"/>
      </colorScale>
    </cfRule>
  </conditionalFormatting>
  <conditionalFormatting sqref="BH242:BY324 BH228:BY229 AZ228:BE229 BH232:BY238 BH221:BY221 AZ221:BE221 AZ232:BE238 AZ242:BE324">
    <cfRule type="colorScale" priority="51164">
      <colorScale>
        <cfvo type="min"/>
        <cfvo type="percentile" val="50"/>
        <cfvo type="max"/>
        <color rgb="FFF8696B"/>
        <color rgb="FFFFEB84"/>
        <color rgb="FF63BE7B"/>
      </colorScale>
    </cfRule>
  </conditionalFormatting>
  <conditionalFormatting sqref="BH118:CK118">
    <cfRule type="colorScale" priority="31233">
      <colorScale>
        <cfvo type="num" val="1"/>
        <cfvo type="num" val="28"/>
        <color theme="7" tint="0.79998168889431442"/>
        <color theme="5" tint="-0.249977111117893"/>
      </colorScale>
    </cfRule>
  </conditionalFormatting>
  <conditionalFormatting sqref="BH126:CK126">
    <cfRule type="colorScale" priority="31147">
      <colorScale>
        <cfvo type="num" val="1"/>
        <cfvo type="num" val="28"/>
        <color theme="7" tint="0.79998168889431442"/>
        <color theme="5" tint="-0.249977111117893"/>
      </colorScale>
    </cfRule>
  </conditionalFormatting>
  <conditionalFormatting sqref="BJ29:BJ30">
    <cfRule type="cellIs" dxfId="1287" priority="31043" operator="equal">
      <formula>"GW"</formula>
    </cfRule>
    <cfRule type="cellIs" dxfId="1286" priority="31044" operator="equal">
      <formula>"TRIM"</formula>
    </cfRule>
    <cfRule type="cellIs" dxfId="1285" priority="31045" operator="equal">
      <formula>"RI"</formula>
    </cfRule>
    <cfRule type="cellIs" dxfId="1284" priority="31046" operator="equal">
      <formula>"PT"</formula>
    </cfRule>
  </conditionalFormatting>
  <conditionalFormatting sqref="BJ31:BK34">
    <cfRule type="cellIs" dxfId="1283" priority="30716" operator="equal">
      <formula>"GW"</formula>
    </cfRule>
    <cfRule type="cellIs" dxfId="1282" priority="30717" operator="equal">
      <formula>"TRIM"</formula>
    </cfRule>
    <cfRule type="cellIs" dxfId="1281" priority="30718" operator="equal">
      <formula>"RI"</formula>
    </cfRule>
    <cfRule type="cellIs" dxfId="1280" priority="30719" operator="equal">
      <formula>"PT"</formula>
    </cfRule>
  </conditionalFormatting>
  <conditionalFormatting sqref="BL33:CC34 CF34:CM34 BF33:BI34">
    <cfRule type="cellIs" dxfId="1279" priority="30728" operator="equal">
      <formula>"GW"</formula>
    </cfRule>
    <cfRule type="cellIs" dxfId="1278" priority="30729" operator="equal">
      <formula>"TRIM"</formula>
    </cfRule>
    <cfRule type="cellIs" dxfId="1277" priority="30730" operator="equal">
      <formula>"RI"</formula>
    </cfRule>
    <cfRule type="cellIs" dxfId="1276" priority="30731" operator="equal">
      <formula>"PT"</formula>
    </cfRule>
  </conditionalFormatting>
  <conditionalFormatting sqref="BL43:DM43 BL44:DU44 DR50:DU51">
    <cfRule type="cellIs" dxfId="1275" priority="30991" operator="equal">
      <formula>"GW"</formula>
    </cfRule>
    <cfRule type="cellIs" dxfId="1274" priority="30992" operator="equal">
      <formula>"TRIM"</formula>
    </cfRule>
    <cfRule type="cellIs" dxfId="1273" priority="30993" operator="equal">
      <formula>"RI"</formula>
    </cfRule>
    <cfRule type="cellIs" dxfId="1272" priority="30994" operator="equal">
      <formula>"PT"</formula>
    </cfRule>
  </conditionalFormatting>
  <conditionalFormatting sqref="BL29:DU32">
    <cfRule type="cellIs" dxfId="1271" priority="30869" operator="equal">
      <formula>"RI"</formula>
    </cfRule>
    <cfRule type="cellIs" dxfId="1270" priority="30870" operator="equal">
      <formula>"PT"</formula>
    </cfRule>
  </conditionalFormatting>
  <conditionalFormatting sqref="BL32:DU32">
    <cfRule type="cellIs" dxfId="1269" priority="31015" operator="equal">
      <formula>"GW"</formula>
    </cfRule>
    <cfRule type="cellIs" dxfId="1268" priority="31016" operator="equal">
      <formula>"TRIM"</formula>
    </cfRule>
  </conditionalFormatting>
  <conditionalFormatting sqref="BL42:DU42">
    <cfRule type="cellIs" dxfId="1267" priority="31476" operator="equal">
      <formula>"GW"</formula>
    </cfRule>
    <cfRule type="cellIs" dxfId="1266" priority="31477" operator="equal">
      <formula>"TRIM"</formula>
    </cfRule>
    <cfRule type="cellIs" dxfId="1265" priority="31478" operator="equal">
      <formula>"RI"</formula>
    </cfRule>
    <cfRule type="cellIs" dxfId="1264" priority="31479" operator="equal">
      <formula>"PT"</formula>
    </cfRule>
  </conditionalFormatting>
  <conditionalFormatting sqref="BL29:DW31">
    <cfRule type="cellIs" dxfId="1263" priority="30867" operator="equal">
      <formula>"GW"</formula>
    </cfRule>
    <cfRule type="cellIs" dxfId="1262" priority="30868" operator="equal">
      <formula>"TRIM"</formula>
    </cfRule>
  </conditionalFormatting>
  <conditionalFormatting sqref="BN128:CO128">
    <cfRule type="colorScale" priority="31117">
      <colorScale>
        <cfvo type="num" val="1"/>
        <cfvo type="num" val="28"/>
        <color theme="7" tint="0.79998168889431442"/>
        <color theme="5" tint="-0.249977111117893"/>
      </colorScale>
    </cfRule>
  </conditionalFormatting>
  <conditionalFormatting sqref="BP139:BW140">
    <cfRule type="colorScale" priority="30827">
      <colorScale>
        <cfvo type="num" val="1"/>
        <cfvo type="num" val="28"/>
        <color theme="7" tint="0.79998168889431442"/>
        <color theme="5" tint="-0.249977111117893"/>
      </colorScale>
    </cfRule>
  </conditionalFormatting>
  <conditionalFormatting sqref="BP33:CC34 BP73:RD85 BP87:RD106">
    <cfRule type="expression" dxfId="1261" priority="30715">
      <formula>"PICKUP"</formula>
    </cfRule>
  </conditionalFormatting>
  <conditionalFormatting sqref="BP43:CG44">
    <cfRule type="expression" dxfId="1260" priority="30774">
      <formula>"PICKUP"</formula>
    </cfRule>
  </conditionalFormatting>
  <conditionalFormatting sqref="BP51:CO51">
    <cfRule type="expression" dxfId="1259" priority="30494">
      <formula>"PICKUP"</formula>
    </cfRule>
  </conditionalFormatting>
  <conditionalFormatting sqref="BP44:CQ44">
    <cfRule type="expression" dxfId="1258" priority="30545">
      <formula>"PICKUP"</formula>
    </cfRule>
  </conditionalFormatting>
  <conditionalFormatting sqref="BP127:CS127">
    <cfRule type="colorScale" priority="30997">
      <colorScale>
        <cfvo type="num" val="1"/>
        <cfvo type="num" val="28"/>
        <color theme="7" tint="0.79998168889431442"/>
        <color theme="5" tint="-0.249977111117893"/>
      </colorScale>
    </cfRule>
  </conditionalFormatting>
  <conditionalFormatting sqref="BP55:DG56 DJ55:DO56">
    <cfRule type="expression" dxfId="1257" priority="30134">
      <formula>"PICKUP"</formula>
    </cfRule>
  </conditionalFormatting>
  <conditionalFormatting sqref="BP56:DG56">
    <cfRule type="expression" dxfId="1256" priority="30101">
      <formula>"PICKUP"</formula>
    </cfRule>
  </conditionalFormatting>
  <conditionalFormatting sqref="BP54:DO56">
    <cfRule type="expression" dxfId="1255" priority="30511">
      <formula>"PICKUP"</formula>
    </cfRule>
  </conditionalFormatting>
  <conditionalFormatting sqref="BP35:DU37">
    <cfRule type="expression" dxfId="1254" priority="30821">
      <formula>"PICKUP"</formula>
    </cfRule>
  </conditionalFormatting>
  <conditionalFormatting sqref="BP40:DU41">
    <cfRule type="expression" dxfId="1253" priority="30588">
      <formula>"PICKUP"</formula>
    </cfRule>
  </conditionalFormatting>
  <conditionalFormatting sqref="BP42:DU42 BP43:DM43 BP44:DU44 BP38:DU39 BP49:DM51 DH55:DI56 BP56:GS57 BP25:DW31 BP32:DU32 BP47:CI47 BP46:FU46 DP54:GS55 BP48:FU48 DR49:FU51 BP59:GU72 GV60:HQ64 EH145:EI146 EH148:EI153 GV59:RD59 EH157:EI157 GT54:HS57 BP107:FE108 DV32:FU47 HR60:HS60 GV62:HS63 HR63:HS64 GV65:RD72 BP70:HQ72 BP71:IK71">
    <cfRule type="expression" dxfId="1252" priority="30858">
      <formula>"PICKUP"</formula>
    </cfRule>
  </conditionalFormatting>
  <conditionalFormatting sqref="BP45:DU46">
    <cfRule type="expression" dxfId="1251" priority="30220">
      <formula>"PICKUP"</formula>
    </cfRule>
  </conditionalFormatting>
  <conditionalFormatting sqref="BP86:EC87 EX86:RD87">
    <cfRule type="expression" dxfId="1250" priority="917">
      <formula>"PICKUP"</formula>
    </cfRule>
  </conditionalFormatting>
  <conditionalFormatting sqref="BP58:EU59">
    <cfRule type="expression" dxfId="1249" priority="28512">
      <formula>"PICKUP"</formula>
    </cfRule>
  </conditionalFormatting>
  <conditionalFormatting sqref="BP86:FE87">
    <cfRule type="expression" dxfId="1248" priority="912">
      <formula>"PICKUP"</formula>
    </cfRule>
  </conditionalFormatting>
  <conditionalFormatting sqref="BP61:FQ61">
    <cfRule type="expression" dxfId="1247" priority="28502">
      <formula>"PICKUP"</formula>
    </cfRule>
  </conditionalFormatting>
  <conditionalFormatting sqref="BP52:FU53">
    <cfRule type="expression" dxfId="1246" priority="29818">
      <formula>"PICKUP"</formula>
    </cfRule>
  </conditionalFormatting>
  <conditionalFormatting sqref="BP90:RD90">
    <cfRule type="expression" dxfId="1245" priority="571">
      <formula>"PICKUP"</formula>
    </cfRule>
  </conditionalFormatting>
  <conditionalFormatting sqref="BR242:BR324 BR232:BR238 BT232:BT238 BT242:BT324 BV232:BV238 BV242:BV324 BX232:BX238 BX242:BX324 BZ232:BZ238 BZ242:BZ324 BP232:BP238 BP242:BP324 BN232:BN238 BN242:BN324 BL232:BL238 BL242:BL324 BJ232:BJ238 BJ242:BJ324 BH232:BH238 BH242:BH324 BF232:BF238 BF242:BF324 BD232:BD238 BD242:BD324 BB232:BB238 BB242:BB324 BB228:BB229 BD228:BD229 BF228:BF229 BH228:BH229 BJ228:BJ229 BL228:BL229 BN228:BN229 BP228:BP229 BZ228:BZ229 BX228:BX229 BV228:BV229 BT228:BT229 BR228:BR229 BR220:BR221 BT220:BT221 BV220:BV221 BX220:BX221 BZ220:BZ221 BP220:BP221 BN220:BN221 BL220:BL221 BJ220:BJ221 BH220:BH221 BF220:BF221 BD220:BD221 BB220:BB221 BR200:BR203 BT200:BT203 BV200:BV203 BX200:BX203 BZ200:BZ203 BP200:BP203 BN200:BN203 BL200:BL203 BJ200:BJ203 BH200:BH203 BF200:BF203 BD200:BD203 BB200:BB203">
    <cfRule type="colorScale" priority="80422">
      <colorScale>
        <cfvo type="min"/>
        <cfvo type="percentile" val="50"/>
        <cfvo type="max"/>
        <color rgb="FFF8696B"/>
        <color rgb="FFFFEB84"/>
        <color rgb="FF63BE7B"/>
      </colorScale>
    </cfRule>
  </conditionalFormatting>
  <conditionalFormatting sqref="BR129:BW129">
    <cfRule type="colorScale" priority="31202">
      <colorScale>
        <cfvo type="num" val="1"/>
        <cfvo type="num" val="28"/>
        <color theme="7" tint="0.79998168889431442"/>
        <color theme="5" tint="-0.249977111117893"/>
      </colorScale>
    </cfRule>
  </conditionalFormatting>
  <conditionalFormatting sqref="BR132:BW133">
    <cfRule type="colorScale" priority="30801">
      <colorScale>
        <cfvo type="num" val="1"/>
        <cfvo type="num" val="28"/>
        <color theme="7" tint="0.79998168889431442"/>
        <color theme="5" tint="-0.249977111117893"/>
      </colorScale>
    </cfRule>
  </conditionalFormatting>
  <conditionalFormatting sqref="BR134:BW135">
    <cfRule type="colorScale" priority="30999">
      <colorScale>
        <cfvo type="num" val="1"/>
        <cfvo type="num" val="28"/>
        <color theme="7" tint="0.79998168889431442"/>
        <color theme="5" tint="-0.249977111117893"/>
      </colorScale>
    </cfRule>
  </conditionalFormatting>
  <conditionalFormatting sqref="BR138:BW140">
    <cfRule type="colorScale" priority="30184">
      <colorScale>
        <cfvo type="num" val="1"/>
        <cfvo type="num" val="28"/>
        <color theme="7" tint="0.79998168889431442"/>
        <color theme="5" tint="-0.249977111117893"/>
      </colorScale>
    </cfRule>
  </conditionalFormatting>
  <conditionalFormatting sqref="BR141:BW141">
    <cfRule type="colorScale" priority="30757">
      <colorScale>
        <cfvo type="num" val="1"/>
        <cfvo type="num" val="28"/>
        <color theme="7" tint="0.79998168889431442"/>
        <color theme="5" tint="-0.249977111117893"/>
      </colorScale>
    </cfRule>
  </conditionalFormatting>
  <conditionalFormatting sqref="BR142:BW142">
    <cfRule type="colorScale" priority="30558">
      <colorScale>
        <cfvo type="num" val="1"/>
        <cfvo type="num" val="28"/>
        <color theme="7" tint="0.79998168889431442"/>
        <color theme="5" tint="-0.249977111117893"/>
      </colorScale>
    </cfRule>
  </conditionalFormatting>
  <conditionalFormatting sqref="BR144:BW145">
    <cfRule type="colorScale" priority="30128">
      <colorScale>
        <cfvo type="num" val="1"/>
        <cfvo type="num" val="28"/>
        <color theme="7" tint="0.79998168889431442"/>
        <color theme="5" tint="-0.249977111117893"/>
      </colorScale>
    </cfRule>
  </conditionalFormatting>
  <conditionalFormatting sqref="BR145:BW145">
    <cfRule type="colorScale" priority="30090">
      <colorScale>
        <cfvo type="num" val="1"/>
        <cfvo type="num" val="28"/>
        <color theme="7" tint="0.79998168889431442"/>
        <color theme="5" tint="-0.249977111117893"/>
      </colorScale>
    </cfRule>
  </conditionalFormatting>
  <conditionalFormatting sqref="BR150:BW150">
    <cfRule type="colorScale" priority="29094">
      <colorScale>
        <cfvo type="num" val="1"/>
        <cfvo type="num" val="28"/>
        <color theme="7" tint="0.79998168889431442"/>
        <color theme="5" tint="-0.249977111117893"/>
      </colorScale>
    </cfRule>
  </conditionalFormatting>
  <conditionalFormatting sqref="BR156:BW158">
    <cfRule type="colorScale" priority="27884">
      <colorScale>
        <cfvo type="num" val="1"/>
        <cfvo type="num" val="28"/>
        <color theme="7" tint="0.79998168889431442"/>
        <color theme="5" tint="-0.249977111117893"/>
      </colorScale>
    </cfRule>
    <cfRule type="colorScale" priority="27896">
      <colorScale>
        <cfvo type="num" val="1"/>
        <cfvo type="num" val="28"/>
        <color theme="7" tint="0.79998168889431442"/>
        <color theme="5" tint="-0.249977111117893"/>
      </colorScale>
    </cfRule>
    <cfRule type="colorScale" priority="27909">
      <colorScale>
        <cfvo type="num" val="1"/>
        <cfvo type="num" val="28"/>
        <color theme="7" tint="0.79998168889431442"/>
        <color theme="5" tint="-0.249977111117893"/>
      </colorScale>
    </cfRule>
    <cfRule type="colorScale" priority="27921">
      <colorScale>
        <cfvo type="num" val="1"/>
        <cfvo type="num" val="28"/>
        <color theme="7" tint="0.79998168889431442"/>
        <color theme="5" tint="-0.249977111117893"/>
      </colorScale>
    </cfRule>
    <cfRule type="colorScale" priority="27934">
      <colorScale>
        <cfvo type="num" val="1"/>
        <cfvo type="num" val="28"/>
        <color theme="7" tint="0.79998168889431442"/>
        <color theme="5" tint="-0.249977111117893"/>
      </colorScale>
    </cfRule>
  </conditionalFormatting>
  <conditionalFormatting sqref="BR136:CS136">
    <cfRule type="colorScale" priority="30887">
      <colorScale>
        <cfvo type="num" val="1"/>
        <cfvo type="num" val="28"/>
        <color theme="7" tint="0.79998168889431442"/>
        <color theme="5" tint="-0.249977111117893"/>
      </colorScale>
    </cfRule>
  </conditionalFormatting>
  <conditionalFormatting sqref="BR130:DE130">
    <cfRule type="colorScale" priority="30885">
      <colorScale>
        <cfvo type="num" val="1"/>
        <cfvo type="num" val="28"/>
        <color theme="7" tint="0.79998168889431442"/>
        <color theme="5" tint="-0.249977111117893"/>
      </colorScale>
    </cfRule>
  </conditionalFormatting>
  <conditionalFormatting sqref="BT239:BT241 BR239:BR241 BV239:BV241 BX239:BX241 BZ239:BZ241 BP239:BP241 BN239:BN241 BL239:BL241 BJ239:BJ241 BH239:BH241 BF239:BF241 BD239:BD241 BB239:BB241 BR204:BR219 BT204:BT219 BV204:BV219 BX204:BX219 BZ204:BZ219 BP204:BP219 BN204:BN219 BL204:BL219 BJ204:BJ219 BH204:BH219 BF204:BF219 BD204:BD219 BB204:BB219 BR224:BR227 BT224:BT227 BV224:BV227 BX224:BX227 BZ224:BZ227 BP224:BP227 BN224:BN227 BL224:BL227 BJ224:BJ227 BH224:BH227 BF224:BF227 BD224:BD227 BB224:BB227">
    <cfRule type="colorScale" priority="104650">
      <colorScale>
        <cfvo type="min"/>
        <cfvo type="percentile" val="50"/>
        <cfvo type="max"/>
        <color rgb="FFF8696B"/>
        <color rgb="FFFFEB84"/>
        <color rgb="FF63BE7B"/>
      </colorScale>
    </cfRule>
  </conditionalFormatting>
  <conditionalFormatting sqref="BV17:BV20 BX17:BX20 BZ17:BZ20">
    <cfRule type="colorScale" priority="32833">
      <colorScale>
        <cfvo type="min"/>
        <cfvo type="percentile" val="50"/>
        <cfvo type="max"/>
        <color rgb="FFF8696B"/>
        <color rgb="FFFFEB84"/>
        <color rgb="FF63BE7B"/>
      </colorScale>
    </cfRule>
  </conditionalFormatting>
  <conditionalFormatting sqref="BV37:BW37">
    <cfRule type="cellIs" dxfId="1244" priority="30817" operator="equal">
      <formula>"GW"</formula>
    </cfRule>
    <cfRule type="cellIs" dxfId="1243" priority="30818" operator="equal">
      <formula>"TRIM"</formula>
    </cfRule>
    <cfRule type="cellIs" dxfId="1242" priority="30819" operator="equal">
      <formula>"RI"</formula>
    </cfRule>
    <cfRule type="cellIs" dxfId="1241" priority="30820" operator="equal">
      <formula>"PT"</formula>
    </cfRule>
  </conditionalFormatting>
  <conditionalFormatting sqref="BX134:CE135">
    <cfRule type="colorScale" priority="30996">
      <colorScale>
        <cfvo type="num" val="1"/>
        <cfvo type="num" val="28"/>
        <color theme="7" tint="0.79998168889431442"/>
        <color theme="5" tint="-0.249977111117893"/>
      </colorScale>
    </cfRule>
  </conditionalFormatting>
  <conditionalFormatting sqref="BX138:CE140">
    <cfRule type="colorScale" priority="30183">
      <colorScale>
        <cfvo type="num" val="1"/>
        <cfvo type="num" val="28"/>
        <color theme="7" tint="0.79998168889431442"/>
        <color theme="5" tint="-0.249977111117893"/>
      </colorScale>
    </cfRule>
  </conditionalFormatting>
  <conditionalFormatting sqref="BX141:CE141">
    <cfRule type="colorScale" priority="30756">
      <colorScale>
        <cfvo type="num" val="1"/>
        <cfvo type="num" val="28"/>
        <color theme="7" tint="0.79998168889431442"/>
        <color theme="5" tint="-0.249977111117893"/>
      </colorScale>
    </cfRule>
  </conditionalFormatting>
  <conditionalFormatting sqref="BX142:CE142">
    <cfRule type="colorScale" priority="30557">
      <colorScale>
        <cfvo type="num" val="1"/>
        <cfvo type="num" val="28"/>
        <color theme="7" tint="0.79998168889431442"/>
        <color theme="5" tint="-0.249977111117893"/>
      </colorScale>
    </cfRule>
  </conditionalFormatting>
  <conditionalFormatting sqref="BX144:CE145">
    <cfRule type="colorScale" priority="30127">
      <colorScale>
        <cfvo type="num" val="1"/>
        <cfvo type="num" val="28"/>
        <color theme="7" tint="0.79998168889431442"/>
        <color theme="5" tint="-0.249977111117893"/>
      </colorScale>
    </cfRule>
  </conditionalFormatting>
  <conditionalFormatting sqref="BX145:CE145">
    <cfRule type="colorScale" priority="30089">
      <colorScale>
        <cfvo type="num" val="1"/>
        <cfvo type="num" val="28"/>
        <color theme="7" tint="0.79998168889431442"/>
        <color theme="5" tint="-0.249977111117893"/>
      </colorScale>
    </cfRule>
  </conditionalFormatting>
  <conditionalFormatting sqref="BX150:CE150">
    <cfRule type="colorScale" priority="29093">
      <colorScale>
        <cfvo type="num" val="1"/>
        <cfvo type="num" val="28"/>
        <color theme="7" tint="0.79998168889431442"/>
        <color theme="5" tint="-0.249977111117893"/>
      </colorScale>
    </cfRule>
  </conditionalFormatting>
  <conditionalFormatting sqref="BX156:CE158">
    <cfRule type="colorScale" priority="27883">
      <colorScale>
        <cfvo type="num" val="1"/>
        <cfvo type="num" val="28"/>
        <color theme="7" tint="0.79998168889431442"/>
        <color theme="5" tint="-0.249977111117893"/>
      </colorScale>
    </cfRule>
    <cfRule type="colorScale" priority="27895">
      <colorScale>
        <cfvo type="num" val="1"/>
        <cfvo type="num" val="28"/>
        <color theme="7" tint="0.79998168889431442"/>
        <color theme="5" tint="-0.249977111117893"/>
      </colorScale>
    </cfRule>
    <cfRule type="colorScale" priority="27908">
      <colorScale>
        <cfvo type="num" val="1"/>
        <cfvo type="num" val="28"/>
        <color theme="7" tint="0.79998168889431442"/>
        <color theme="5" tint="-0.249977111117893"/>
      </colorScale>
    </cfRule>
    <cfRule type="colorScale" priority="27920">
      <colorScale>
        <cfvo type="num" val="1"/>
        <cfvo type="num" val="28"/>
        <color theme="7" tint="0.79998168889431442"/>
        <color theme="5" tint="-0.249977111117893"/>
      </colorScale>
    </cfRule>
    <cfRule type="colorScale" priority="27933">
      <colorScale>
        <cfvo type="num" val="1"/>
        <cfvo type="num" val="28"/>
        <color theme="7" tint="0.79998168889431442"/>
        <color theme="5" tint="-0.249977111117893"/>
      </colorScale>
    </cfRule>
  </conditionalFormatting>
  <conditionalFormatting sqref="BX139:CI140">
    <cfRule type="colorScale" priority="30826">
      <colorScale>
        <cfvo type="num" val="1"/>
        <cfvo type="num" val="28"/>
        <color theme="7" tint="0.79998168889431442"/>
        <color theme="5" tint="-0.249977111117893"/>
      </colorScale>
    </cfRule>
  </conditionalFormatting>
  <conditionalFormatting sqref="BX129:DA129">
    <cfRule type="colorScale" priority="30883">
      <colorScale>
        <cfvo type="num" val="1"/>
        <cfvo type="num" val="28"/>
        <color theme="7" tint="0.79998168889431442"/>
        <color theme="5" tint="-0.249977111117893"/>
      </colorScale>
    </cfRule>
  </conditionalFormatting>
  <conditionalFormatting sqref="BX132:DE133">
    <cfRule type="colorScale" priority="30800">
      <colorScale>
        <cfvo type="num" val="1"/>
        <cfvo type="num" val="28"/>
        <color theme="7" tint="0.79998168889431442"/>
        <color theme="5" tint="-0.249977111117893"/>
      </colorScale>
    </cfRule>
  </conditionalFormatting>
  <conditionalFormatting sqref="CB17:CB20 CD17:CD20 CF17:CF20 CH17:CH20 CJ17:CJ20 CL17:CL20 CN17:CN20 CP17:CP20 CR17:CR20 CT17:CT20 CV17:CV20 CX17:CX20 CZ17:CZ20 DB17:DB20 DD17:DD20 DF17:DF20 DH17:DH20 DJ17:DJ20 DL17:DL20 DN17:DN20 DP17:DP20 DR17:DR20 DT17:DT20 DV17:DV21">
    <cfRule type="colorScale" priority="32768">
      <colorScale>
        <cfvo type="min"/>
        <cfvo type="percentile" val="50"/>
        <cfvo type="max"/>
        <color rgb="FFF8696B"/>
        <color rgb="FFFFEB84"/>
        <color rgb="FF63BE7B"/>
      </colorScale>
    </cfRule>
  </conditionalFormatting>
  <conditionalFormatting sqref="CB31:CC32">
    <cfRule type="cellIs" dxfId="1240" priority="30456" operator="equal">
      <formula>"GW"</formula>
    </cfRule>
    <cfRule type="cellIs" dxfId="1239" priority="30457" operator="equal">
      <formula>"TRIM"</formula>
    </cfRule>
    <cfRule type="cellIs" dxfId="1238" priority="30458" operator="equal">
      <formula>"RI"</formula>
    </cfRule>
    <cfRule type="cellIs" dxfId="1237" priority="30459" operator="equal">
      <formula>"PT"</formula>
    </cfRule>
  </conditionalFormatting>
  <conditionalFormatting sqref="CB35:CC35">
    <cfRule type="cellIs" dxfId="1236" priority="30468" operator="equal">
      <formula>"GW"</formula>
    </cfRule>
    <cfRule type="cellIs" dxfId="1235" priority="30469" operator="equal">
      <formula>"TRIM"</formula>
    </cfRule>
    <cfRule type="cellIs" dxfId="1234" priority="30470" operator="equal">
      <formula>"RI"</formula>
    </cfRule>
    <cfRule type="cellIs" dxfId="1233" priority="30471" operator="equal">
      <formula>"PT"</formula>
    </cfRule>
  </conditionalFormatting>
  <conditionalFormatting sqref="CB42:CC44">
    <cfRule type="cellIs" dxfId="1232" priority="30850" operator="equal">
      <formula>"GW"</formula>
    </cfRule>
    <cfRule type="cellIs" dxfId="1231" priority="30851" operator="equal">
      <formula>"TRIM"</formula>
    </cfRule>
    <cfRule type="cellIs" dxfId="1230" priority="30852" operator="equal">
      <formula>"RI"</formula>
    </cfRule>
    <cfRule type="cellIs" dxfId="1229" priority="30853" operator="equal">
      <formula>"PT"</formula>
    </cfRule>
  </conditionalFormatting>
  <conditionalFormatting sqref="CB33:CE34">
    <cfRule type="cellIs" dxfId="1228" priority="30638" operator="equal">
      <formula>"GW"</formula>
    </cfRule>
    <cfRule type="cellIs" dxfId="1227" priority="30639" operator="equal">
      <formula>"TRIM"</formula>
    </cfRule>
    <cfRule type="cellIs" dxfId="1226" priority="30640" operator="equal">
      <formula>"RI"</formula>
    </cfRule>
    <cfRule type="cellIs" dxfId="1225" priority="30641" operator="equal">
      <formula>"PT"</formula>
    </cfRule>
  </conditionalFormatting>
  <conditionalFormatting sqref="CB17:DW17 CB19:DW19">
    <cfRule type="cellIs" dxfId="1224" priority="32769" operator="equal">
      <formula>"GW"</formula>
    </cfRule>
    <cfRule type="cellIs" dxfId="1223" priority="32770" operator="equal">
      <formula>"PT"</formula>
    </cfRule>
    <cfRule type="cellIs" dxfId="1222" priority="32771" operator="equal">
      <formula>"TRIM"</formula>
    </cfRule>
  </conditionalFormatting>
  <conditionalFormatting sqref="CD34:CE34">
    <cfRule type="cellIs" dxfId="1221" priority="30633" operator="equal">
      <formula>"GW"</formula>
    </cfRule>
    <cfRule type="cellIs" dxfId="1220" priority="30634" operator="equal">
      <formula>"TRIM"</formula>
    </cfRule>
    <cfRule type="cellIs" dxfId="1219" priority="30635" operator="equal">
      <formula>"RI"</formula>
    </cfRule>
    <cfRule type="cellIs" dxfId="1218" priority="30636" operator="equal">
      <formula>"PT"</formula>
    </cfRule>
  </conditionalFormatting>
  <conditionalFormatting sqref="CD36:CE37">
    <cfRule type="cellIs" dxfId="1217" priority="30580" operator="equal">
      <formula>"GW"</formula>
    </cfRule>
    <cfRule type="cellIs" dxfId="1216" priority="30581" operator="equal">
      <formula>"TRIM"</formula>
    </cfRule>
    <cfRule type="cellIs" dxfId="1215" priority="30582" operator="equal">
      <formula>"RI"</formula>
    </cfRule>
    <cfRule type="cellIs" dxfId="1214" priority="30583" operator="equal">
      <formula>"PT"</formula>
    </cfRule>
  </conditionalFormatting>
  <conditionalFormatting sqref="CD34:CM34">
    <cfRule type="expression" dxfId="1213" priority="30637">
      <formula>"PICKUP"</formula>
    </cfRule>
  </conditionalFormatting>
  <conditionalFormatting sqref="CD33:CO33">
    <cfRule type="expression" dxfId="1212" priority="30646">
      <formula>"PICKUP"</formula>
    </cfRule>
    <cfRule type="cellIs" dxfId="1211" priority="30647" operator="equal">
      <formula>"GW"</formula>
    </cfRule>
    <cfRule type="cellIs" dxfId="1210" priority="30648" operator="equal">
      <formula>"TRIM"</formula>
    </cfRule>
    <cfRule type="cellIs" dxfId="1209" priority="30649" operator="equal">
      <formula>"RI"</formula>
    </cfRule>
    <cfRule type="cellIs" dxfId="1208" priority="30650" operator="equal">
      <formula>"PT"</formula>
    </cfRule>
  </conditionalFormatting>
  <conditionalFormatting sqref="CF133:CI133 CF140:CG140">
    <cfRule type="colorScale" priority="30537">
      <colorScale>
        <cfvo type="num" val="1"/>
        <cfvo type="num" val="28"/>
        <color theme="7" tint="0.79998168889431442"/>
        <color theme="5" tint="-0.249977111117893"/>
      </colorScale>
    </cfRule>
  </conditionalFormatting>
  <conditionalFormatting sqref="CF138:CI140">
    <cfRule type="colorScale" priority="30182">
      <colorScale>
        <cfvo type="num" val="1"/>
        <cfvo type="num" val="28"/>
        <color theme="7" tint="0.79998168889431442"/>
        <color theme="5" tint="-0.249977111117893"/>
      </colorScale>
    </cfRule>
  </conditionalFormatting>
  <conditionalFormatting sqref="CF141:CO141">
    <cfRule type="colorScale" priority="30755">
      <colorScale>
        <cfvo type="num" val="1"/>
        <cfvo type="num" val="28"/>
        <color theme="7" tint="0.79998168889431442"/>
        <color theme="5" tint="-0.249977111117893"/>
      </colorScale>
    </cfRule>
  </conditionalFormatting>
  <conditionalFormatting sqref="CF142:CO142">
    <cfRule type="colorScale" priority="30556">
      <colorScale>
        <cfvo type="num" val="1"/>
        <cfvo type="num" val="28"/>
        <color theme="7" tint="0.79998168889431442"/>
        <color theme="5" tint="-0.249977111117893"/>
      </colorScale>
    </cfRule>
  </conditionalFormatting>
  <conditionalFormatting sqref="CF144:CO145">
    <cfRule type="colorScale" priority="30126">
      <colorScale>
        <cfvo type="num" val="1"/>
        <cfvo type="num" val="28"/>
        <color theme="7" tint="0.79998168889431442"/>
        <color theme="5" tint="-0.249977111117893"/>
      </colorScale>
    </cfRule>
  </conditionalFormatting>
  <conditionalFormatting sqref="CF145:CO145">
    <cfRule type="colorScale" priority="30088">
      <colorScale>
        <cfvo type="num" val="1"/>
        <cfvo type="num" val="28"/>
        <color theme="7" tint="0.79998168889431442"/>
        <color theme="5" tint="-0.249977111117893"/>
      </colorScale>
    </cfRule>
  </conditionalFormatting>
  <conditionalFormatting sqref="CF150:CO150">
    <cfRule type="colorScale" priority="29092">
      <colorScale>
        <cfvo type="num" val="1"/>
        <cfvo type="num" val="28"/>
        <color theme="7" tint="0.79998168889431442"/>
        <color theme="5" tint="-0.249977111117893"/>
      </colorScale>
    </cfRule>
  </conditionalFormatting>
  <conditionalFormatting sqref="CF156:CO158">
    <cfRule type="colorScale" priority="27882">
      <colorScale>
        <cfvo type="num" val="1"/>
        <cfvo type="num" val="28"/>
        <color theme="7" tint="0.79998168889431442"/>
        <color theme="5" tint="-0.249977111117893"/>
      </colorScale>
    </cfRule>
    <cfRule type="colorScale" priority="27894">
      <colorScale>
        <cfvo type="num" val="1"/>
        <cfvo type="num" val="28"/>
        <color theme="7" tint="0.79998168889431442"/>
        <color theme="5" tint="-0.249977111117893"/>
      </colorScale>
    </cfRule>
    <cfRule type="colorScale" priority="27907">
      <colorScale>
        <cfvo type="num" val="1"/>
        <cfvo type="num" val="28"/>
        <color theme="7" tint="0.79998168889431442"/>
        <color theme="5" tint="-0.249977111117893"/>
      </colorScale>
    </cfRule>
    <cfRule type="colorScale" priority="27919">
      <colorScale>
        <cfvo type="num" val="1"/>
        <cfvo type="num" val="28"/>
        <color theme="7" tint="0.79998168889431442"/>
        <color theme="5" tint="-0.249977111117893"/>
      </colorScale>
    </cfRule>
    <cfRule type="colorScale" priority="27932">
      <colorScale>
        <cfvo type="num" val="1"/>
        <cfvo type="num" val="28"/>
        <color theme="7" tint="0.79998168889431442"/>
        <color theme="5" tint="-0.249977111117893"/>
      </colorScale>
    </cfRule>
  </conditionalFormatting>
  <conditionalFormatting sqref="CF134:DG135">
    <cfRule type="colorScale" priority="30773">
      <colorScale>
        <cfvo type="num" val="1"/>
        <cfvo type="num" val="28"/>
        <color theme="7" tint="0.79998168889431442"/>
        <color theme="5" tint="-0.249977111117893"/>
      </colorScale>
    </cfRule>
  </conditionalFormatting>
  <conditionalFormatting sqref="CH43:CI44">
    <cfRule type="expression" dxfId="1207" priority="30504">
      <formula>"PICKUP"</formula>
    </cfRule>
    <cfRule type="cellIs" dxfId="1206" priority="30505" operator="equal">
      <formula>"GW"</formula>
    </cfRule>
    <cfRule type="cellIs" dxfId="1205" priority="30506" operator="equal">
      <formula>"TRIM"</formula>
    </cfRule>
    <cfRule type="cellIs" dxfId="1204" priority="30507" operator="equal">
      <formula>"RI"</formula>
    </cfRule>
    <cfRule type="cellIs" dxfId="1203" priority="30508" operator="equal">
      <formula>"PT"</formula>
    </cfRule>
  </conditionalFormatting>
  <conditionalFormatting sqref="CH126:CI126">
    <cfRule type="colorScale" priority="31266">
      <colorScale>
        <cfvo type="num" val="1"/>
        <cfvo type="num" val="28"/>
        <color theme="7" tint="0.79998168889431442"/>
        <color theme="5" tint="-0.249977111117893"/>
      </colorScale>
    </cfRule>
  </conditionalFormatting>
  <conditionalFormatting sqref="CH140:CI140">
    <cfRule type="colorScale" priority="30488">
      <colorScale>
        <cfvo type="num" val="1"/>
        <cfvo type="num" val="28"/>
        <color theme="7" tint="0.79998168889431442"/>
        <color theme="5" tint="-0.249977111117893"/>
      </colorScale>
    </cfRule>
  </conditionalFormatting>
  <conditionalFormatting sqref="CH47:DU47">
    <cfRule type="cellIs" dxfId="1202" priority="30226" operator="equal">
      <formula>"GW"</formula>
    </cfRule>
    <cfRule type="cellIs" dxfId="1201" priority="30227" operator="equal">
      <formula>"TRIM"</formula>
    </cfRule>
    <cfRule type="cellIs" dxfId="1200" priority="30228" operator="equal">
      <formula>"RI"</formula>
    </cfRule>
    <cfRule type="cellIs" dxfId="1199" priority="30229" operator="equal">
      <formula>"PT"</formula>
    </cfRule>
  </conditionalFormatting>
  <conditionalFormatting sqref="CJ140:CO140">
    <cfRule type="colorScale" priority="30487">
      <colorScale>
        <cfvo type="num" val="1"/>
        <cfvo type="num" val="28"/>
        <color theme="7" tint="0.79998168889431442"/>
        <color theme="5" tint="-0.249977111117893"/>
      </colorScale>
    </cfRule>
  </conditionalFormatting>
  <conditionalFormatting sqref="CJ43:CQ44">
    <cfRule type="expression" dxfId="1198" priority="30570">
      <formula>"PICKUP"</formula>
    </cfRule>
    <cfRule type="cellIs" dxfId="1197" priority="30571" operator="equal">
      <formula>"GW"</formula>
    </cfRule>
    <cfRule type="cellIs" dxfId="1196" priority="30572" operator="equal">
      <formula>"TRIM"</formula>
    </cfRule>
    <cfRule type="cellIs" dxfId="1195" priority="30573" operator="equal">
      <formula>"RI"</formula>
    </cfRule>
    <cfRule type="cellIs" dxfId="1194" priority="30574" operator="equal">
      <formula>"PT"</formula>
    </cfRule>
  </conditionalFormatting>
  <conditionalFormatting sqref="CJ138:CS140">
    <cfRule type="colorScale" priority="30181">
      <colorScale>
        <cfvo type="num" val="1"/>
        <cfvo type="num" val="28"/>
        <color theme="7" tint="0.79998168889431442"/>
        <color theme="5" tint="-0.249977111117893"/>
      </colorScale>
    </cfRule>
  </conditionalFormatting>
  <conditionalFormatting sqref="CJ133:DI133">
    <cfRule type="colorScale" priority="30536">
      <colorScale>
        <cfvo type="num" val="1"/>
        <cfvo type="num" val="28"/>
        <color theme="7" tint="0.79998168889431442"/>
        <color theme="5" tint="-0.249977111117893"/>
      </colorScale>
    </cfRule>
  </conditionalFormatting>
  <conditionalFormatting sqref="CJ139:DM140">
    <cfRule type="colorScale" priority="30575">
      <colorScale>
        <cfvo type="num" val="1"/>
        <cfvo type="num" val="28"/>
        <color theme="7" tint="0.79998168889431442"/>
        <color theme="5" tint="-0.249977111117893"/>
      </colorScale>
    </cfRule>
  </conditionalFormatting>
  <conditionalFormatting sqref="CJ47:DU47">
    <cfRule type="expression" dxfId="1193" priority="30225">
      <formula>"PICKUP"</formula>
    </cfRule>
  </conditionalFormatting>
  <conditionalFormatting sqref="CL38:CM39">
    <cfRule type="cellIs" dxfId="1192" priority="30842" operator="equal">
      <formula>"GW"</formula>
    </cfRule>
    <cfRule type="cellIs" dxfId="1191" priority="30843" operator="equal">
      <formula>"TRIM"</formula>
    </cfRule>
    <cfRule type="cellIs" dxfId="1190" priority="30844" operator="equal">
      <formula>"RI"</formula>
    </cfRule>
    <cfRule type="cellIs" dxfId="1189" priority="30845" operator="equal">
      <formula>"PT"</formula>
    </cfRule>
  </conditionalFormatting>
  <conditionalFormatting sqref="CN31:CO31">
    <cfRule type="cellIs" dxfId="1188" priority="30480" operator="equal">
      <formula>"GW"</formula>
    </cfRule>
    <cfRule type="cellIs" dxfId="1187" priority="30481" operator="equal">
      <formula>"TRIM"</formula>
    </cfRule>
    <cfRule type="cellIs" dxfId="1186" priority="30482" operator="equal">
      <formula>"RI"</formula>
    </cfRule>
    <cfRule type="cellIs" dxfId="1185" priority="30483" operator="equal">
      <formula>"PT"</formula>
    </cfRule>
  </conditionalFormatting>
  <conditionalFormatting sqref="CN50:CO51">
    <cfRule type="expression" dxfId="1184" priority="30236">
      <formula>"PICKUP"</formula>
    </cfRule>
  </conditionalFormatting>
  <conditionalFormatting sqref="CN50:CQ51">
    <cfRule type="cellIs" dxfId="1183" priority="30237" operator="equal">
      <formula>"GW"</formula>
    </cfRule>
    <cfRule type="cellIs" dxfId="1182" priority="30238" operator="equal">
      <formula>"TRIM"</formula>
    </cfRule>
    <cfRule type="cellIs" dxfId="1181" priority="30239" operator="equal">
      <formula>"RI"</formula>
    </cfRule>
    <cfRule type="cellIs" dxfId="1180" priority="30240" operator="equal">
      <formula>"PT"</formula>
    </cfRule>
  </conditionalFormatting>
  <conditionalFormatting sqref="CN34:DU34">
    <cfRule type="expression" dxfId="1179" priority="30628">
      <formula>"PICKUP"</formula>
    </cfRule>
    <cfRule type="cellIs" dxfId="1178" priority="30629" operator="equal">
      <formula>"GW"</formula>
    </cfRule>
    <cfRule type="cellIs" dxfId="1177" priority="30630" operator="equal">
      <formula>"TRIM"</formula>
    </cfRule>
    <cfRule type="cellIs" dxfId="1176" priority="30631" operator="equal">
      <formula>"RI"</formula>
    </cfRule>
    <cfRule type="cellIs" dxfId="1175" priority="30632" operator="equal">
      <formula>"PT"</formula>
    </cfRule>
  </conditionalFormatting>
  <conditionalFormatting sqref="CP45:CQ46">
    <cfRule type="cellIs" dxfId="1174" priority="30221" operator="equal">
      <formula>"GW"</formula>
    </cfRule>
    <cfRule type="cellIs" dxfId="1173" priority="30222" operator="equal">
      <formula>"TRIM"</formula>
    </cfRule>
    <cfRule type="cellIs" dxfId="1172" priority="30223" operator="equal">
      <formula>"RI"</formula>
    </cfRule>
    <cfRule type="cellIs" dxfId="1171" priority="30224" operator="equal">
      <formula>"PT"</formula>
    </cfRule>
  </conditionalFormatting>
  <conditionalFormatting sqref="CP144:CY145">
    <cfRule type="colorScale" priority="30125">
      <colorScale>
        <cfvo type="num" val="1"/>
        <cfvo type="num" val="28"/>
        <color theme="7" tint="0.79998168889431442"/>
        <color theme="5" tint="-0.249977111117893"/>
      </colorScale>
    </cfRule>
  </conditionalFormatting>
  <conditionalFormatting sqref="CP156:CY158">
    <cfRule type="colorScale" priority="27893">
      <colorScale>
        <cfvo type="num" val="1"/>
        <cfvo type="num" val="28"/>
        <color theme="7" tint="0.79998168889431442"/>
        <color theme="5" tint="-0.249977111117893"/>
      </colorScale>
    </cfRule>
    <cfRule type="colorScale" priority="27918">
      <colorScale>
        <cfvo type="num" val="1"/>
        <cfvo type="num" val="28"/>
        <color theme="7" tint="0.79998168889431442"/>
        <color theme="5" tint="-0.249977111117893"/>
      </colorScale>
    </cfRule>
  </conditionalFormatting>
  <conditionalFormatting sqref="CP150:DI150">
    <cfRule type="colorScale" priority="29091">
      <colorScale>
        <cfvo type="num" val="1"/>
        <cfvo type="num" val="28"/>
        <color theme="7" tint="0.79998168889431442"/>
        <color theme="5" tint="-0.249977111117893"/>
      </colorScale>
    </cfRule>
  </conditionalFormatting>
  <conditionalFormatting sqref="CP156:DI158">
    <cfRule type="colorScale" priority="27881">
      <colorScale>
        <cfvo type="num" val="1"/>
        <cfvo type="num" val="28"/>
        <color theme="7" tint="0.79998168889431442"/>
        <color theme="5" tint="-0.249977111117893"/>
      </colorScale>
    </cfRule>
    <cfRule type="colorScale" priority="27906">
      <colorScale>
        <cfvo type="num" val="1"/>
        <cfvo type="num" val="28"/>
        <color theme="7" tint="0.79998168889431442"/>
        <color theme="5" tint="-0.249977111117893"/>
      </colorScale>
    </cfRule>
    <cfRule type="colorScale" priority="27931">
      <colorScale>
        <cfvo type="num" val="1"/>
        <cfvo type="num" val="28"/>
        <color theme="7" tint="0.79998168889431442"/>
        <color theme="5" tint="-0.249977111117893"/>
      </colorScale>
    </cfRule>
  </conditionalFormatting>
  <conditionalFormatting sqref="CP142:DM142">
    <cfRule type="colorScale" priority="30484">
      <colorScale>
        <cfvo type="num" val="1"/>
        <cfvo type="num" val="28"/>
        <color theme="7" tint="0.79998168889431442"/>
        <color theme="5" tint="-0.249977111117893"/>
      </colorScale>
    </cfRule>
  </conditionalFormatting>
  <conditionalFormatting sqref="CP145:DM145">
    <cfRule type="colorScale" priority="30087">
      <colorScale>
        <cfvo type="num" val="1"/>
        <cfvo type="num" val="28"/>
        <color theme="7" tint="0.79998168889431442"/>
        <color theme="5" tint="-0.249977111117893"/>
      </colorScale>
    </cfRule>
  </conditionalFormatting>
  <conditionalFormatting sqref="CP33:DU33">
    <cfRule type="expression" dxfId="1170" priority="30623">
      <formula>"PICKUP"</formula>
    </cfRule>
    <cfRule type="cellIs" dxfId="1169" priority="30624" operator="equal">
      <formula>"GW"</formula>
    </cfRule>
    <cfRule type="cellIs" dxfId="1168" priority="30625" operator="equal">
      <formula>"TRIM"</formula>
    </cfRule>
    <cfRule type="cellIs" dxfId="1167" priority="30626" operator="equal">
      <formula>"RI"</formula>
    </cfRule>
    <cfRule type="cellIs" dxfId="1166" priority="30627" operator="equal">
      <formula>"PT"</formula>
    </cfRule>
  </conditionalFormatting>
  <conditionalFormatting sqref="CP51:DU51">
    <cfRule type="expression" dxfId="1165" priority="29553">
      <formula>"PICKUP"</formula>
    </cfRule>
    <cfRule type="cellIs" dxfId="1164" priority="29554" operator="equal">
      <formula>"GW"</formula>
    </cfRule>
    <cfRule type="cellIs" dxfId="1163" priority="29555" operator="equal">
      <formula>"TRIM"</formula>
    </cfRule>
    <cfRule type="cellIs" dxfId="1162" priority="29556" operator="equal">
      <formula>"RI"</formula>
    </cfRule>
    <cfRule type="cellIs" dxfId="1161" priority="29557" operator="equal">
      <formula>"PT"</formula>
    </cfRule>
  </conditionalFormatting>
  <conditionalFormatting sqref="CP140:DU140">
    <cfRule type="colorScale" priority="30485">
      <colorScale>
        <cfvo type="num" val="1"/>
        <cfvo type="num" val="28"/>
        <color theme="7" tint="0.79998168889431442"/>
        <color theme="5" tint="-0.249977111117893"/>
      </colorScale>
    </cfRule>
  </conditionalFormatting>
  <conditionalFormatting sqref="CP141:DU141">
    <cfRule type="colorScale" priority="30486">
      <colorScale>
        <cfvo type="num" val="1"/>
        <cfvo type="num" val="28"/>
        <color theme="7" tint="0.79998168889431442"/>
        <color theme="5" tint="-0.249977111117893"/>
      </colorScale>
    </cfRule>
  </conditionalFormatting>
  <conditionalFormatting sqref="CR43:DK44">
    <cfRule type="expression" dxfId="1160" priority="30169">
      <formula>"PICKUP"</formula>
    </cfRule>
    <cfRule type="cellIs" dxfId="1159" priority="30170" operator="equal">
      <formula>"GW"</formula>
    </cfRule>
    <cfRule type="cellIs" dxfId="1158" priority="30171" operator="equal">
      <formula>"TRIM"</formula>
    </cfRule>
    <cfRule type="cellIs" dxfId="1157" priority="30172" operator="equal">
      <formula>"RI"</formula>
    </cfRule>
    <cfRule type="cellIs" dxfId="1156" priority="30173" operator="equal">
      <formula>"PT"</formula>
    </cfRule>
  </conditionalFormatting>
  <conditionalFormatting sqref="CR44:DU44">
    <cfRule type="expression" dxfId="1155" priority="30164">
      <formula>"PICKUP"</formula>
    </cfRule>
    <cfRule type="cellIs" dxfId="1154" priority="30165" operator="equal">
      <formula>"GW"</formula>
    </cfRule>
    <cfRule type="cellIs" dxfId="1153" priority="30166" operator="equal">
      <formula>"TRIM"</formula>
    </cfRule>
    <cfRule type="cellIs" dxfId="1152" priority="30167" operator="equal">
      <formula>"RI"</formula>
    </cfRule>
    <cfRule type="cellIs" dxfId="1151" priority="30168" operator="equal">
      <formula>"PT"</formula>
    </cfRule>
  </conditionalFormatting>
  <conditionalFormatting sqref="CT50:CU51">
    <cfRule type="cellIs" dxfId="1150" priority="30576" operator="equal">
      <formula>"GW"</formula>
    </cfRule>
    <cfRule type="cellIs" dxfId="1149" priority="30577" operator="equal">
      <formula>"TRIM"</formula>
    </cfRule>
    <cfRule type="cellIs" dxfId="1148" priority="30578" operator="equal">
      <formula>"RI"</formula>
    </cfRule>
    <cfRule type="cellIs" dxfId="1147" priority="30579" operator="equal">
      <formula>"PT"</formula>
    </cfRule>
  </conditionalFormatting>
  <conditionalFormatting sqref="CT127:CU127">
    <cfRule type="colorScale" priority="30998">
      <colorScale>
        <cfvo type="num" val="1"/>
        <cfvo type="num" val="28"/>
        <color theme="7" tint="0.79998168889431442"/>
        <color theme="5" tint="-0.249977111117893"/>
      </colorScale>
    </cfRule>
  </conditionalFormatting>
  <conditionalFormatting sqref="CT138:DW140">
    <cfRule type="colorScale" priority="30179">
      <colorScale>
        <cfvo type="num" val="1"/>
        <cfvo type="num" val="28"/>
        <color theme="7" tint="0.79998168889431442"/>
        <color theme="5" tint="-0.249977111117893"/>
      </colorScale>
    </cfRule>
  </conditionalFormatting>
  <conditionalFormatting sqref="CZ144:DQ145">
    <cfRule type="colorScale" priority="30122">
      <colorScale>
        <cfvo type="num" val="1"/>
        <cfvo type="num" val="28"/>
        <color theme="7" tint="0.79998168889431442"/>
        <color theme="5" tint="-0.249977111117893"/>
      </colorScale>
    </cfRule>
  </conditionalFormatting>
  <conditionalFormatting sqref="CZ156:DQ158">
    <cfRule type="colorScale" priority="27891">
      <colorScale>
        <cfvo type="num" val="1"/>
        <cfvo type="num" val="28"/>
        <color theme="7" tint="0.79998168889431442"/>
        <color theme="5" tint="-0.249977111117893"/>
      </colorScale>
    </cfRule>
    <cfRule type="colorScale" priority="27916">
      <colorScale>
        <cfvo type="num" val="1"/>
        <cfvo type="num" val="28"/>
        <color theme="7" tint="0.79998168889431442"/>
        <color theme="5" tint="-0.249977111117893"/>
      </colorScale>
    </cfRule>
  </conditionalFormatting>
  <conditionalFormatting sqref="DH54:DO56">
    <cfRule type="cellIs" dxfId="1146" priority="30512" operator="equal">
      <formula>"GW"</formula>
    </cfRule>
    <cfRule type="cellIs" dxfId="1145" priority="30513" operator="equal">
      <formula>"TRIM"</formula>
    </cfRule>
    <cfRule type="cellIs" dxfId="1144" priority="30514" operator="equal">
      <formula>"RI"</formula>
    </cfRule>
    <cfRule type="cellIs" dxfId="1143" priority="30515" operator="equal">
      <formula>"PT"</formula>
    </cfRule>
  </conditionalFormatting>
  <conditionalFormatting sqref="DJ133:DW133">
    <cfRule type="colorScale" priority="30543">
      <colorScale>
        <cfvo type="num" val="1"/>
        <cfvo type="num" val="28"/>
        <color theme="7" tint="0.79998168889431442"/>
        <color theme="5" tint="-0.249977111117893"/>
      </colorScale>
    </cfRule>
  </conditionalFormatting>
  <conditionalFormatting sqref="DJ156:DW158">
    <cfRule type="colorScale" priority="27880">
      <colorScale>
        <cfvo type="num" val="1"/>
        <cfvo type="num" val="28"/>
        <color theme="7" tint="0.79998168889431442"/>
        <color theme="5" tint="-0.249977111117893"/>
      </colorScale>
    </cfRule>
    <cfRule type="colorScale" priority="27905">
      <colorScale>
        <cfvo type="num" val="1"/>
        <cfvo type="num" val="28"/>
        <color theme="7" tint="0.79998168889431442"/>
        <color theme="5" tint="-0.249977111117893"/>
      </colorScale>
    </cfRule>
    <cfRule type="colorScale" priority="27930">
      <colorScale>
        <cfvo type="num" val="1"/>
        <cfvo type="num" val="28"/>
        <color theme="7" tint="0.79998168889431442"/>
        <color theme="5" tint="-0.249977111117893"/>
      </colorScale>
    </cfRule>
  </conditionalFormatting>
  <conditionalFormatting sqref="DJ150:EA150">
    <cfRule type="colorScale" priority="29089">
      <colorScale>
        <cfvo type="num" val="1"/>
        <cfvo type="num" val="28"/>
        <color theme="7" tint="0.79998168889431442"/>
        <color theme="5" tint="-0.249977111117893"/>
      </colorScale>
    </cfRule>
  </conditionalFormatting>
  <conditionalFormatting sqref="DJ56:FU56">
    <cfRule type="expression" dxfId="1142" priority="29992">
      <formula>"PICKUP"</formula>
    </cfRule>
    <cfRule type="cellIs" dxfId="1141" priority="29993" operator="equal">
      <formula>"GW"</formula>
    </cfRule>
    <cfRule type="cellIs" dxfId="1140" priority="29994" operator="equal">
      <formula>"TRIM"</formula>
    </cfRule>
    <cfRule type="cellIs" dxfId="1139" priority="29995" operator="equal">
      <formula>"RI"</formula>
    </cfRule>
    <cfRule type="cellIs" dxfId="1138" priority="29996" operator="equal">
      <formula>"PT"</formula>
    </cfRule>
  </conditionalFormatting>
  <conditionalFormatting sqref="DL48:DM48">
    <cfRule type="expression" dxfId="1137" priority="29677">
      <formula>"PICKUP"</formula>
    </cfRule>
    <cfRule type="cellIs" dxfId="1136" priority="29678" operator="equal">
      <formula>"GW"</formula>
    </cfRule>
    <cfRule type="cellIs" dxfId="1135" priority="29679" operator="equal">
      <formula>"TRIM"</formula>
    </cfRule>
    <cfRule type="cellIs" dxfId="1134" priority="29680" operator="equal">
      <formula>"RI"</formula>
    </cfRule>
    <cfRule type="cellIs" dxfId="1133" priority="29681" operator="equal">
      <formula>"PT"</formula>
    </cfRule>
  </conditionalFormatting>
  <conditionalFormatting sqref="DN49:DO51">
    <cfRule type="expression" dxfId="1132" priority="29621">
      <formula>"PICKUP"</formula>
    </cfRule>
    <cfRule type="cellIs" dxfId="1131" priority="29622" operator="equal">
      <formula>"GW"</formula>
    </cfRule>
    <cfRule type="cellIs" dxfId="1130" priority="29623" operator="equal">
      <formula>"TRIM"</formula>
    </cfRule>
    <cfRule type="cellIs" dxfId="1129" priority="29624" operator="equal">
      <formula>"RI"</formula>
    </cfRule>
    <cfRule type="cellIs" dxfId="1128" priority="29625" operator="equal">
      <formula>"PT"</formula>
    </cfRule>
  </conditionalFormatting>
  <conditionalFormatting sqref="DN50:DQ51">
    <cfRule type="expression" dxfId="1127" priority="29533">
      <formula>"PICKUP"</formula>
    </cfRule>
    <cfRule type="cellIs" dxfId="1126" priority="29534" operator="equal">
      <formula>"GW"</formula>
    </cfRule>
    <cfRule type="cellIs" dxfId="1125" priority="29535" operator="equal">
      <formula>"TRIM"</formula>
    </cfRule>
    <cfRule type="cellIs" dxfId="1124" priority="29536" operator="equal">
      <formula>"RI"</formula>
    </cfRule>
    <cfRule type="cellIs" dxfId="1123" priority="29537" operator="equal">
      <formula>"PT"</formula>
    </cfRule>
  </conditionalFormatting>
  <conditionalFormatting sqref="DN43:DU43">
    <cfRule type="expression" dxfId="1122" priority="29563">
      <formula>"PICKUP"</formula>
    </cfRule>
    <cfRule type="cellIs" dxfId="1121" priority="29564" operator="equal">
      <formula>"GW"</formula>
    </cfRule>
    <cfRule type="cellIs" dxfId="1120" priority="29565" operator="equal">
      <formula>"TRIM"</formula>
    </cfRule>
    <cfRule type="cellIs" dxfId="1119" priority="29566" operator="equal">
      <formula>"RI"</formula>
    </cfRule>
    <cfRule type="cellIs" dxfId="1118" priority="29567" operator="equal">
      <formula>"PT"</formula>
    </cfRule>
  </conditionalFormatting>
  <conditionalFormatting sqref="DP49:DQ51">
    <cfRule type="expression" dxfId="1117" priority="29548">
      <formula>"PICKUP"</formula>
    </cfRule>
    <cfRule type="cellIs" dxfId="1116" priority="29549" operator="equal">
      <formula>"GW"</formula>
    </cfRule>
    <cfRule type="cellIs" dxfId="1115" priority="29550" operator="equal">
      <formula>"TRIM"</formula>
    </cfRule>
    <cfRule type="cellIs" dxfId="1114" priority="29551" operator="equal">
      <formula>"RI"</formula>
    </cfRule>
    <cfRule type="cellIs" dxfId="1113" priority="29552" operator="equal">
      <formula>"PT"</formula>
    </cfRule>
  </conditionalFormatting>
  <conditionalFormatting sqref="DP55:DQ56">
    <cfRule type="expression" dxfId="1112" priority="29538">
      <formula>"PICKUP"</formula>
    </cfRule>
    <cfRule type="cellIs" dxfId="1111" priority="29539" operator="equal">
      <formula>"GW"</formula>
    </cfRule>
    <cfRule type="cellIs" dxfId="1110" priority="29540" operator="equal">
      <formula>"TRIM"</formula>
    </cfRule>
    <cfRule type="cellIs" dxfId="1109" priority="29541" operator="equal">
      <formula>"RI"</formula>
    </cfRule>
    <cfRule type="cellIs" dxfId="1108" priority="29542" operator="equal">
      <formula>"PT"</formula>
    </cfRule>
  </conditionalFormatting>
  <conditionalFormatting sqref="DR144:EA145">
    <cfRule type="colorScale" priority="30123">
      <colorScale>
        <cfvo type="num" val="1"/>
        <cfvo type="num" val="28"/>
        <color theme="7" tint="0.79998168889431442"/>
        <color theme="5" tint="-0.249977111117893"/>
      </colorScale>
    </cfRule>
  </conditionalFormatting>
  <conditionalFormatting sqref="DR156:EA158">
    <cfRule type="colorScale" priority="27892">
      <colorScale>
        <cfvo type="num" val="1"/>
        <cfvo type="num" val="28"/>
        <color theme="7" tint="0.79998168889431442"/>
        <color theme="5" tint="-0.249977111117893"/>
      </colorScale>
    </cfRule>
    <cfRule type="colorScale" priority="27917">
      <colorScale>
        <cfvo type="num" val="1"/>
        <cfvo type="num" val="28"/>
        <color theme="7" tint="0.79998168889431442"/>
        <color theme="5" tint="-0.249977111117893"/>
      </colorScale>
    </cfRule>
  </conditionalFormatting>
  <conditionalFormatting sqref="DR55:FU56">
    <cfRule type="expression" dxfId="1107" priority="29998">
      <formula>"PICKUP"</formula>
    </cfRule>
    <cfRule type="cellIs" dxfId="1106" priority="29999" operator="equal">
      <formula>"GW"</formula>
    </cfRule>
    <cfRule type="cellIs" dxfId="1105" priority="30000" operator="equal">
      <formula>"TRIM"</formula>
    </cfRule>
    <cfRule type="cellIs" dxfId="1104" priority="30001" operator="equal">
      <formula>"RI"</formula>
    </cfRule>
    <cfRule type="cellIs" dxfId="1103" priority="30002" operator="equal">
      <formula>"PT"</formula>
    </cfRule>
  </conditionalFormatting>
  <conditionalFormatting sqref="DV22">
    <cfRule type="colorScale" priority="31510">
      <colorScale>
        <cfvo type="min"/>
        <cfvo type="percentile" val="50"/>
        <cfvo type="max"/>
        <color rgb="FFF8696B"/>
        <color rgb="FFFFEB84"/>
        <color rgb="FF63BE7B"/>
      </colorScale>
    </cfRule>
  </conditionalFormatting>
  <conditionalFormatting sqref="DV23">
    <cfRule type="colorScale" priority="31505">
      <colorScale>
        <cfvo type="min"/>
        <cfvo type="percentile" val="50"/>
        <cfvo type="max"/>
        <color rgb="FFF8696B"/>
        <color rgb="FFFFEB84"/>
        <color rgb="FF63BE7B"/>
      </colorScale>
    </cfRule>
  </conditionalFormatting>
  <conditionalFormatting sqref="DV24">
    <cfRule type="colorScale" priority="31500">
      <colorScale>
        <cfvo type="min"/>
        <cfvo type="percentile" val="50"/>
        <cfvo type="max"/>
        <color rgb="FFF8696B"/>
        <color rgb="FFFFEB84"/>
        <color rgb="FF63BE7B"/>
      </colorScale>
    </cfRule>
  </conditionalFormatting>
  <conditionalFormatting sqref="DV25">
    <cfRule type="colorScale" priority="31485">
      <colorScale>
        <cfvo type="min"/>
        <cfvo type="percentile" val="50"/>
        <cfvo type="max"/>
        <color rgb="FFF8696B"/>
        <color rgb="FFFFEB84"/>
        <color rgb="FF63BE7B"/>
      </colorScale>
    </cfRule>
  </conditionalFormatting>
  <conditionalFormatting sqref="DV26">
    <cfRule type="colorScale" priority="31490">
      <colorScale>
        <cfvo type="min"/>
        <cfvo type="percentile" val="50"/>
        <cfvo type="max"/>
        <color rgb="FFF8696B"/>
        <color rgb="FFFFEB84"/>
        <color rgb="FF63BE7B"/>
      </colorScale>
    </cfRule>
  </conditionalFormatting>
  <conditionalFormatting sqref="DV27">
    <cfRule type="colorScale" priority="31475">
      <colorScale>
        <cfvo type="min"/>
        <cfvo type="percentile" val="50"/>
        <cfvo type="max"/>
        <color rgb="FFF8696B"/>
        <color rgb="FFFFEB84"/>
        <color rgb="FF63BE7B"/>
      </colorScale>
    </cfRule>
  </conditionalFormatting>
  <conditionalFormatting sqref="DV28">
    <cfRule type="colorScale" priority="31495">
      <colorScale>
        <cfvo type="min"/>
        <cfvo type="percentile" val="50"/>
        <cfvo type="max"/>
        <color rgb="FFF8696B"/>
        <color rgb="FFFFEB84"/>
        <color rgb="FF63BE7B"/>
      </colorScale>
    </cfRule>
  </conditionalFormatting>
  <conditionalFormatting sqref="DV29">
    <cfRule type="colorScale" priority="31232">
      <colorScale>
        <cfvo type="min"/>
        <cfvo type="percentile" val="50"/>
        <cfvo type="max"/>
        <color rgb="FFF8696B"/>
        <color rgb="FFFFEB84"/>
        <color rgb="FF63BE7B"/>
      </colorScale>
    </cfRule>
  </conditionalFormatting>
  <conditionalFormatting sqref="DV30">
    <cfRule type="colorScale" priority="31423">
      <colorScale>
        <cfvo type="min"/>
        <cfvo type="percentile" val="50"/>
        <cfvo type="max"/>
        <color rgb="FFF8696B"/>
        <color rgb="FFFFEB84"/>
        <color rgb="FF63BE7B"/>
      </colorScale>
    </cfRule>
  </conditionalFormatting>
  <conditionalFormatting sqref="DV31">
    <cfRule type="colorScale" priority="31447">
      <colorScale>
        <cfvo type="min"/>
        <cfvo type="percentile" val="50"/>
        <cfvo type="max"/>
        <color rgb="FFF8696B"/>
        <color rgb="FFFFEB84"/>
        <color rgb="FF63BE7B"/>
      </colorScale>
    </cfRule>
  </conditionalFormatting>
  <conditionalFormatting sqref="DV239:DV241 DT239:DT241 DR239:DR241 DP239:DP241 DN239:DN241 DL239:DL241 DJ239:DJ241 DH239:DH241 DF239:DF241 DD239:DD241 DB239:DB241 CZ239:CZ241 CX239:CX241 CV239:CV241 CT239:CT241 CR239:CR241 CP239:CP241 CN239:CN241 CL239:CL241 CJ239:CJ241 CH239:CH241 CF239:CF241 CD239:CD241 CB239:CB241 DV204:DV219 DT204:DT219 DR204:DR219 DP204:DP219 DN204:DN219 DL204:DL219 DJ204:DJ219 DH204:DH219 DF204:DF219 DD204:DD219 DB204:DB219 CZ204:CZ219 CX204:CX219 CV204:CV219 CT204:CT219 CR204:CR219 CP204:CP219 CN204:CN219 CL204:CL219 CJ204:CJ219 CH204:CH219 CF204:CF219 CD204:CD219 CB204:CB219 DV224:DV227 DT224:DT227 DR224:DR227 DP224:DP227 DN224:DN227 DL224:DL227 DJ224:DJ227 DH224:DH227 DF224:DF227 DD224:DD227 DB224:DB227 CZ224:CZ227 CX224:CX227 CV224:CV227 CT224:CT227 CR224:CR227 CP224:CP227 CN224:CN227 CL224:CL227 CJ224:CJ227 CH224:CH227 CF224:CF227 CD224:CD227 CB224:CB227">
    <cfRule type="colorScale" priority="104702">
      <colorScale>
        <cfvo type="min"/>
        <cfvo type="percentile" val="50"/>
        <cfvo type="max"/>
        <color rgb="FFF8696B"/>
        <color rgb="FFFFEB84"/>
        <color rgb="FF63BE7B"/>
      </colorScale>
    </cfRule>
  </conditionalFormatting>
  <conditionalFormatting sqref="DV242:DV324 DV232:DV238 DT232:DT238 DT242:DT324 DR232:DR238 DR242:DR324 DP232:DP238 DP242:DP324 DN232:DN238 DN242:DN324 DL232:DL238 DL242:DL324 DJ232:DJ238 DJ242:DJ324 DH232:DH238 DH242:DH324 DF232:DF238 DF242:DF324 DD232:DD238 DD242:DD324 DB232:DB238 DB242:DB324 CZ232:CZ238 CZ242:CZ324 CX232:CX238 CX242:CX324 CV232:CV238 CV242:CV324 CT232:CT238 CT242:CT324 CR232:CR238 CR242:CR324 CP232:CP238 CP242:CP324 CN232:CN238 CN242:CN324 CL232:CL238 CL242:CL324 CJ232:CJ238 CJ242:CJ324 CH232:CH238 CH242:CH324 CF232:CF238 CF242:CF324 CD232:CD238 CD242:CD324 CB232:CB238 CB242:CB324 CB228:CB229 CD228:CD229 CF228:CF229 CH228:CH229 CJ228:CJ229 CL228:CL229 CN228:CN229 CP228:CP229 CR228:CR229 CT228:CT229 CV228:CV229 CX228:CX229 CZ228:CZ229 DB228:DB229 DD228:DD229 DF228:DF229 DH228:DH229 DJ228:DJ229 DL228:DL229 DN228:DN229 DP228:DP229 DR228:DR229 DT228:DT229 DV228:DV229 DV220:DV221 DT220:DT221 DR220:DR221 DP220:DP221 DN220:DN221 DL220:DL221 DJ220:DJ221 DH220:DH221 DF220:DF221 DD220:DD221 DB220:DB221 CZ220:CZ221 CX220:CX221 CV220:CV221 CT220:CT221 CR220:CR221 CP220:CP221 CN220:CN221 CL220:CL221 CJ220:CJ221 CH220:CH221 CF220:CF221 CD220:CD221 CB220:CB221 DV200:DV203 DT200:DT203 DR200:DR203 DP200:DP203 DN200:DN203 DL200:DL203 DJ200:DJ203 DH200:DH203 DF200:DF203 DD200:DD203 DB200:DB203 CZ200:CZ203 CX200:CX203 CV200:CV203 CT200:CT203 CR200:CR203 CP200:CP203 CN200:CN203 CL200:CL203 CJ200:CJ203 CH200:CH203 CF200:CF203 CD200:CD203 CB200:CB203">
    <cfRule type="colorScale" priority="80487">
      <colorScale>
        <cfvo type="min"/>
        <cfvo type="percentile" val="50"/>
        <cfvo type="max"/>
        <color rgb="FFF8696B"/>
        <color rgb="FFFFEB84"/>
        <color rgb="FF63BE7B"/>
      </colorScale>
    </cfRule>
  </conditionalFormatting>
  <conditionalFormatting sqref="DV140:DW140">
    <cfRule type="colorScale" priority="30489">
      <colorScale>
        <cfvo type="num" val="1"/>
        <cfvo type="num" val="28"/>
        <color theme="7" tint="0.79998168889431442"/>
        <color theme="5" tint="-0.249977111117893"/>
      </colorScale>
    </cfRule>
  </conditionalFormatting>
  <conditionalFormatting sqref="DV32:FU47 I45:CO46 CR45:DU46 I46:FU46 I47:CI47 I48:FU48 I49:DM51 DR49:FU51 DP54:GS55 I54:DG56 GT54:HS57 DH55:DI56 I56:GS57 I58:EG59 EJ58:ES59 HT58:RD64 GV59:RD59 I59:GU72 HR60:HS60 GV60:HQ64 GV62:HS63 HR63:HS64 GV65:RD72 I70:HQ72 I71:IK71 I107:FE108 EH145:EI146 EH148:EI153 EH157:EI157 I73:RD85 I87:RD106">
    <cfRule type="cellIs" dxfId="1102" priority="31511" operator="equal">
      <formula>"GW"</formula>
    </cfRule>
  </conditionalFormatting>
  <conditionalFormatting sqref="DX17:DX21 DZ17:DZ21 EB17:EB21 ED17:ED21 EF17:EF21 EH17:EH21 EJ17:EJ21 EL17:EL21 EN17:EN21 EP17:EP21">
    <cfRule type="colorScale" priority="30419">
      <colorScale>
        <cfvo type="min"/>
        <cfvo type="percentile" val="50"/>
        <cfvo type="max"/>
        <color rgb="FFF8696B"/>
        <color rgb="FFFFEB84"/>
        <color rgb="FF63BE7B"/>
      </colorScale>
    </cfRule>
  </conditionalFormatting>
  <conditionalFormatting sqref="DX22 DZ22 EB22 ED22 EF22 EH22 EJ22 EL22 EN22 EP22">
    <cfRule type="colorScale" priority="30413">
      <colorScale>
        <cfvo type="min"/>
        <cfvo type="percentile" val="50"/>
        <cfvo type="max"/>
        <color rgb="FFF8696B"/>
        <color rgb="FFFFEB84"/>
        <color rgb="FF63BE7B"/>
      </colorScale>
    </cfRule>
  </conditionalFormatting>
  <conditionalFormatting sqref="DX25 DZ25 EB25 ED25 EF25 EH25 EJ25 EL25 EN25 EP25">
    <cfRule type="colorScale" priority="30398">
      <colorScale>
        <cfvo type="min"/>
        <cfvo type="percentile" val="50"/>
        <cfvo type="max"/>
        <color rgb="FFF8696B"/>
        <color rgb="FFFFEB84"/>
        <color rgb="FF63BE7B"/>
      </colorScale>
    </cfRule>
  </conditionalFormatting>
  <conditionalFormatting sqref="DX242:DX324 DX232:DX238 DZ232:DZ238 DZ242:DZ324 EB232:EB238 EB242:EB324 ED232:ED238 ED242:ED324 EF232:EF238 EF242:EF324 EH232:EH238 EH242:EH324 EJ232:EJ238 EJ242:EJ324 EL232:EL238 EL242:EL324 EN232:EN238 EN242:EN324 EP232:EP238 EP242:EP324 EP228:EP229 EN228:EN229 EL228:EL229 EJ228:EJ229 EH228:EH229 EF228:EF229 ED228:ED229 EB228:EB229 DZ228:DZ229 DX228:DX229 DX220:DX221 DZ220:DZ221 EB220:EB221 ED220:ED221 EF220:EF221 EH220:EH221 EJ220:EJ221 EL220:EL221 EN220:EN221 EP220:EP221 DX200:DX203 DZ200:DZ203 EB200:EB203 ED200:ED203 EF200:EF203 EH200:EH203 EJ200:EJ203 EL200:EL203 EN200:EN203 EP200:EP203">
    <cfRule type="colorScale" priority="80607">
      <colorScale>
        <cfvo type="min"/>
        <cfvo type="percentile" val="50"/>
        <cfvo type="max"/>
        <color rgb="FFF8696B"/>
        <color rgb="FFFFEB84"/>
        <color rgb="FF63BE7B"/>
      </colorScale>
    </cfRule>
  </conditionalFormatting>
  <conditionalFormatting sqref="DX156:EA158">
    <cfRule type="colorScale" priority="27879">
      <colorScale>
        <cfvo type="num" val="1"/>
        <cfvo type="num" val="28"/>
        <color theme="7" tint="0.79998168889431442"/>
        <color theme="5" tint="-0.249977111117893"/>
      </colorScale>
    </cfRule>
    <cfRule type="colorScale" priority="27904">
      <colorScale>
        <cfvo type="num" val="1"/>
        <cfvo type="num" val="28"/>
        <color theme="7" tint="0.79998168889431442"/>
        <color theme="5" tint="-0.249977111117893"/>
      </colorScale>
    </cfRule>
    <cfRule type="colorScale" priority="27929">
      <colorScale>
        <cfvo type="num" val="1"/>
        <cfvo type="num" val="28"/>
        <color theme="7" tint="0.79998168889431442"/>
        <color theme="5" tint="-0.249977111117893"/>
      </colorScale>
    </cfRule>
  </conditionalFormatting>
  <conditionalFormatting sqref="DX145:EG145 EJ145:EQ145">
    <cfRule type="colorScale" priority="30086">
      <colorScale>
        <cfvo type="num" val="1"/>
        <cfvo type="num" val="28"/>
        <color theme="7" tint="0.79998168889431442"/>
        <color theme="5" tint="-0.249977111117893"/>
      </colorScale>
    </cfRule>
  </conditionalFormatting>
  <conditionalFormatting sqref="DX17:EQ17 DX19:EQ19">
    <cfRule type="cellIs" dxfId="1101" priority="30420" operator="equal">
      <formula>"GW"</formula>
    </cfRule>
    <cfRule type="cellIs" dxfId="1100" priority="30421" operator="equal">
      <formula>"PT"</formula>
    </cfRule>
    <cfRule type="cellIs" dxfId="1099" priority="30422" operator="equal">
      <formula>"TRIM"</formula>
    </cfRule>
    <cfRule type="cellIs" dxfId="1098" priority="30427" operator="equal">
      <formula>"RI"</formula>
    </cfRule>
  </conditionalFormatting>
  <conditionalFormatting sqref="DX111:EQ117 DX136:EQ136 DX122:EQ122">
    <cfRule type="colorScale" priority="30417">
      <colorScale>
        <cfvo type="num" val="1"/>
        <cfvo type="num" val="28"/>
        <color theme="7" tint="0.79998168889431442"/>
        <color theme="5" tint="-0.249977111117893"/>
      </colorScale>
    </cfRule>
  </conditionalFormatting>
  <conditionalFormatting sqref="DX118:EQ118">
    <cfRule type="colorScale" priority="30358">
      <colorScale>
        <cfvo type="num" val="1"/>
        <cfvo type="num" val="28"/>
        <color theme="7" tint="0.79998168889431442"/>
        <color theme="5" tint="-0.249977111117893"/>
      </colorScale>
    </cfRule>
  </conditionalFormatting>
  <conditionalFormatting sqref="DX119:EQ119">
    <cfRule type="colorScale" priority="30371">
      <colorScale>
        <cfvo type="num" val="1"/>
        <cfvo type="num" val="28"/>
        <color theme="7" tint="0.79998168889431442"/>
        <color theme="5" tint="-0.249977111117893"/>
      </colorScale>
    </cfRule>
  </conditionalFormatting>
  <conditionalFormatting sqref="DX120:EQ120">
    <cfRule type="colorScale" priority="30383">
      <colorScale>
        <cfvo type="num" val="1"/>
        <cfvo type="num" val="28"/>
        <color theme="7" tint="0.79998168889431442"/>
        <color theme="5" tint="-0.249977111117893"/>
      </colorScale>
    </cfRule>
  </conditionalFormatting>
  <conditionalFormatting sqref="DX121:EQ121">
    <cfRule type="colorScale" priority="30375">
      <colorScale>
        <cfvo type="num" val="1"/>
        <cfvo type="num" val="28"/>
        <color theme="7" tint="0.79998168889431442"/>
        <color theme="5" tint="-0.249977111117893"/>
      </colorScale>
    </cfRule>
  </conditionalFormatting>
  <conditionalFormatting sqref="DX124:EQ124">
    <cfRule type="colorScale" priority="30379">
      <colorScale>
        <cfvo type="num" val="1"/>
        <cfvo type="num" val="28"/>
        <color theme="7" tint="0.79998168889431442"/>
        <color theme="5" tint="-0.249977111117893"/>
      </colorScale>
    </cfRule>
  </conditionalFormatting>
  <conditionalFormatting sqref="DX126:EQ126">
    <cfRule type="colorScale" priority="30359">
      <colorScale>
        <cfvo type="num" val="1"/>
        <cfvo type="num" val="28"/>
        <color theme="7" tint="0.79998168889431442"/>
        <color theme="5" tint="-0.249977111117893"/>
      </colorScale>
    </cfRule>
  </conditionalFormatting>
  <conditionalFormatting sqref="DX127:EQ127 DX134:EQ135">
    <cfRule type="colorScale" priority="30354">
      <colorScale>
        <cfvo type="num" val="1"/>
        <cfvo type="num" val="28"/>
        <color theme="7" tint="0.79998168889431442"/>
        <color theme="5" tint="-0.249977111117893"/>
      </colorScale>
    </cfRule>
  </conditionalFormatting>
  <conditionalFormatting sqref="DX128:EQ128">
    <cfRule type="colorScale" priority="30363">
      <colorScale>
        <cfvo type="num" val="1"/>
        <cfvo type="num" val="28"/>
        <color theme="7" tint="0.79998168889431442"/>
        <color theme="5" tint="-0.249977111117893"/>
      </colorScale>
    </cfRule>
  </conditionalFormatting>
  <conditionalFormatting sqref="DX129:EQ129">
    <cfRule type="colorScale" priority="30367">
      <colorScale>
        <cfvo type="num" val="1"/>
        <cfvo type="num" val="28"/>
        <color theme="7" tint="0.79998168889431442"/>
        <color theme="5" tint="-0.249977111117893"/>
      </colorScale>
    </cfRule>
  </conditionalFormatting>
  <conditionalFormatting sqref="DX132:EQ133">
    <cfRule type="colorScale" priority="30349">
      <colorScale>
        <cfvo type="num" val="1"/>
        <cfvo type="num" val="28"/>
        <color theme="7" tint="0.79998168889431442"/>
        <color theme="5" tint="-0.249977111117893"/>
      </colorScale>
    </cfRule>
  </conditionalFormatting>
  <conditionalFormatting sqref="DX133:EQ133">
    <cfRule type="colorScale" priority="30321">
      <colorScale>
        <cfvo type="num" val="1"/>
        <cfvo type="num" val="28"/>
        <color theme="7" tint="0.79998168889431442"/>
        <color theme="5" tint="-0.249977111117893"/>
      </colorScale>
    </cfRule>
  </conditionalFormatting>
  <conditionalFormatting sqref="DX138:EQ140">
    <cfRule type="colorScale" priority="30180">
      <colorScale>
        <cfvo type="num" val="1"/>
        <cfvo type="num" val="28"/>
        <color theme="7" tint="0.79998168889431442"/>
        <color theme="5" tint="-0.249977111117893"/>
      </colorScale>
    </cfRule>
  </conditionalFormatting>
  <conditionalFormatting sqref="DX139:EQ140">
    <cfRule type="colorScale" priority="30350">
      <colorScale>
        <cfvo type="num" val="1"/>
        <cfvo type="num" val="28"/>
        <color theme="7" tint="0.79998168889431442"/>
        <color theme="5" tint="-0.249977111117893"/>
      </colorScale>
    </cfRule>
  </conditionalFormatting>
  <conditionalFormatting sqref="DX140:EQ140">
    <cfRule type="colorScale" priority="30315">
      <colorScale>
        <cfvo type="num" val="1"/>
        <cfvo type="num" val="28"/>
        <color theme="7" tint="0.79998168889431442"/>
        <color theme="5" tint="-0.249977111117893"/>
      </colorScale>
    </cfRule>
  </conditionalFormatting>
  <conditionalFormatting sqref="DX141:EQ141">
    <cfRule type="colorScale" priority="30339">
      <colorScale>
        <cfvo type="num" val="1"/>
        <cfvo type="num" val="28"/>
        <color theme="7" tint="0.79998168889431442"/>
        <color theme="5" tint="-0.249977111117893"/>
      </colorScale>
    </cfRule>
  </conditionalFormatting>
  <conditionalFormatting sqref="DX142:EQ142">
    <cfRule type="colorScale" priority="30326">
      <colorScale>
        <cfvo type="num" val="1"/>
        <cfvo type="num" val="28"/>
        <color theme="7" tint="0.79998168889431442"/>
        <color theme="5" tint="-0.249977111117893"/>
      </colorScale>
    </cfRule>
  </conditionalFormatting>
  <conditionalFormatting sqref="DX21:FU31">
    <cfRule type="cellIs" dxfId="1097" priority="30026" operator="equal">
      <formula>"GW"</formula>
    </cfRule>
    <cfRule type="cellIs" dxfId="1096" priority="30027" operator="equal">
      <formula>"TRIM"</formula>
    </cfRule>
  </conditionalFormatting>
  <conditionalFormatting sqref="DX25:FU31">
    <cfRule type="expression" dxfId="1095" priority="30024">
      <formula>"PICKUP"</formula>
    </cfRule>
  </conditionalFormatting>
  <conditionalFormatting sqref="DZ23 DX23 EB23 ED23 EF23 EH23 EJ23 EL23 EN23 EP23">
    <cfRule type="colorScale" priority="30410">
      <colorScale>
        <cfvo type="min"/>
        <cfvo type="percentile" val="50"/>
        <cfvo type="max"/>
        <color rgb="FFF8696B"/>
        <color rgb="FFFFEB84"/>
        <color rgb="FF63BE7B"/>
      </colorScale>
    </cfRule>
  </conditionalFormatting>
  <conditionalFormatting sqref="DZ24 DX24 EB24 ED24 EF24 EH24 EJ24 EL24 EN24 EP24">
    <cfRule type="colorScale" priority="30407">
      <colorScale>
        <cfvo type="min"/>
        <cfvo type="percentile" val="50"/>
        <cfvo type="max"/>
        <color rgb="FFF8696B"/>
        <color rgb="FFFFEB84"/>
        <color rgb="FF63BE7B"/>
      </colorScale>
    </cfRule>
  </conditionalFormatting>
  <conditionalFormatting sqref="DX26 DZ26 EB26 ED26 EF26 EH26 EJ26 EL26 EN26 EP26">
    <cfRule type="colorScale" priority="30401">
      <colorScale>
        <cfvo type="min"/>
        <cfvo type="percentile" val="50"/>
        <cfvo type="max"/>
        <color rgb="FFF8696B"/>
        <color rgb="FFFFEB84"/>
        <color rgb="FF63BE7B"/>
      </colorScale>
    </cfRule>
  </conditionalFormatting>
  <conditionalFormatting sqref="DX27 DZ27 EB27 ED27 EF27 EH27 EJ27 EL27 EN27 EP27">
    <cfRule type="colorScale" priority="30392">
      <colorScale>
        <cfvo type="min"/>
        <cfvo type="percentile" val="50"/>
        <cfvo type="max"/>
        <color rgb="FFF8696B"/>
        <color rgb="FFFFEB84"/>
        <color rgb="FF63BE7B"/>
      </colorScale>
    </cfRule>
  </conditionalFormatting>
  <conditionalFormatting sqref="DX28 DZ28 EB28 ED28 EF28 EH28 EJ28 EL28 EN28 EP28">
    <cfRule type="colorScale" priority="30404">
      <colorScale>
        <cfvo type="min"/>
        <cfvo type="percentile" val="50"/>
        <cfvo type="max"/>
        <color rgb="FFF8696B"/>
        <color rgb="FFFFEB84"/>
        <color rgb="FF63BE7B"/>
      </colorScale>
    </cfRule>
  </conditionalFormatting>
  <conditionalFormatting sqref="DX29 DZ29 EB29 ED29 EF29 EH29 EJ29 EL29 EN29 EP29">
    <cfRule type="colorScale" priority="30357">
      <colorScale>
        <cfvo type="min"/>
        <cfvo type="percentile" val="50"/>
        <cfvo type="max"/>
        <color rgb="FFF8696B"/>
        <color rgb="FFFFEB84"/>
        <color rgb="FF63BE7B"/>
      </colorScale>
    </cfRule>
  </conditionalFormatting>
  <conditionalFormatting sqref="DX30 DZ30 EB30 ED30 EF30 EH30 EJ30 EL30 EN30 EP30">
    <cfRule type="colorScale" priority="30374">
      <colorScale>
        <cfvo type="min"/>
        <cfvo type="percentile" val="50"/>
        <cfvo type="max"/>
        <color rgb="FFF8696B"/>
        <color rgb="FFFFEB84"/>
        <color rgb="FF63BE7B"/>
      </colorScale>
    </cfRule>
  </conditionalFormatting>
  <conditionalFormatting sqref="DZ31 DX31 EB31 ED31 EF31 EH31 EJ31 EL31 EN31 EP31">
    <cfRule type="colorScale" priority="30386">
      <colorScale>
        <cfvo type="min"/>
        <cfvo type="percentile" val="50"/>
        <cfvo type="max"/>
        <color rgb="FFF8696B"/>
        <color rgb="FFFFEB84"/>
        <color rgb="FF63BE7B"/>
      </colorScale>
    </cfRule>
  </conditionalFormatting>
  <conditionalFormatting sqref="DZ239:DZ241 DX239:DX241 EB239:EB241 ED239:ED241 EF239:EF241 EH239:EH241 EJ239:EJ241 EL239:EL241 EN239:EN241 EP239:EP241 DX204:DX219 DZ204:DZ219 EB204:EB219 ED204:ED219 EF204:EF219 EH204:EH219 EJ204:EJ219 EL204:EL219 EN204:EN219 EP204:EP219 DX224:DX227 DZ224:DZ227 EB224:EB227 ED224:ED227 EF224:EF227 EH224:EH227 EJ224:EJ227 EL224:EL227 EN224:EN227 EP224:EP227">
    <cfRule type="colorScale" priority="104968">
      <colorScale>
        <cfvo type="min"/>
        <cfvo type="percentile" val="50"/>
        <cfvo type="max"/>
        <color rgb="FFF8696B"/>
        <color rgb="FFFFEB84"/>
        <color rgb="FF63BE7B"/>
      </colorScale>
    </cfRule>
  </conditionalFormatting>
  <conditionalFormatting sqref="EB144:EC145">
    <cfRule type="colorScale" priority="30121">
      <colorScale>
        <cfvo type="num" val="1"/>
        <cfvo type="num" val="28"/>
        <color theme="7" tint="0.79998168889431442"/>
        <color theme="5" tint="-0.249977111117893"/>
      </colorScale>
    </cfRule>
  </conditionalFormatting>
  <conditionalFormatting sqref="EB156:EC158">
    <cfRule type="colorScale" priority="27878">
      <colorScale>
        <cfvo type="num" val="1"/>
        <cfvo type="num" val="28"/>
        <color theme="7" tint="0.79998168889431442"/>
        <color theme="5" tint="-0.249977111117893"/>
      </colorScale>
    </cfRule>
    <cfRule type="colorScale" priority="27890">
      <colorScale>
        <cfvo type="num" val="1"/>
        <cfvo type="num" val="28"/>
        <color theme="7" tint="0.79998168889431442"/>
        <color theme="5" tint="-0.249977111117893"/>
      </colorScale>
    </cfRule>
    <cfRule type="colorScale" priority="27903">
      <colorScale>
        <cfvo type="num" val="1"/>
        <cfvo type="num" val="28"/>
        <color theme="7" tint="0.79998168889431442"/>
        <color theme="5" tint="-0.249977111117893"/>
      </colorScale>
    </cfRule>
    <cfRule type="colorScale" priority="27915">
      <colorScale>
        <cfvo type="num" val="1"/>
        <cfvo type="num" val="28"/>
        <color theme="7" tint="0.79998168889431442"/>
        <color theme="5" tint="-0.249977111117893"/>
      </colorScale>
    </cfRule>
    <cfRule type="colorScale" priority="27928">
      <colorScale>
        <cfvo type="num" val="1"/>
        <cfvo type="num" val="28"/>
        <color theme="7" tint="0.79998168889431442"/>
        <color theme="5" tint="-0.249977111117893"/>
      </colorScale>
    </cfRule>
  </conditionalFormatting>
  <conditionalFormatting sqref="EB150:EG150 EJ150:EK150">
    <cfRule type="colorScale" priority="29087">
      <colorScale>
        <cfvo type="num" val="1"/>
        <cfvo type="num" val="28"/>
        <color theme="7" tint="0.79998168889431442"/>
        <color theme="5" tint="-0.249977111117893"/>
      </colorScale>
    </cfRule>
  </conditionalFormatting>
  <conditionalFormatting sqref="ED144:EG145 EJ144:EQ145">
    <cfRule type="colorScale" priority="30124">
      <colorScale>
        <cfvo type="num" val="1"/>
        <cfvo type="num" val="28"/>
        <color theme="7" tint="0.79998168889431442"/>
        <color theme="5" tint="-0.249977111117893"/>
      </colorScale>
    </cfRule>
  </conditionalFormatting>
  <conditionalFormatting sqref="ED156:EW158">
    <cfRule type="colorScale" priority="27877">
      <colorScale>
        <cfvo type="num" val="1"/>
        <cfvo type="num" val="28"/>
        <color theme="7" tint="0.79998168889431442"/>
        <color theme="5" tint="-0.249977111117893"/>
      </colorScale>
    </cfRule>
    <cfRule type="colorScale" priority="27902">
      <colorScale>
        <cfvo type="num" val="1"/>
        <cfvo type="num" val="28"/>
        <color theme="7" tint="0.79998168889431442"/>
        <color theme="5" tint="-0.249977111117893"/>
      </colorScale>
    </cfRule>
  </conditionalFormatting>
  <conditionalFormatting sqref="ED86:FE87">
    <cfRule type="expression" dxfId="1094" priority="902">
      <formula>"PICKUP"</formula>
    </cfRule>
    <cfRule type="cellIs" dxfId="1093" priority="903" operator="equal">
      <formula>"GW"</formula>
    </cfRule>
    <cfRule type="cellIs" dxfId="1092" priority="904" operator="equal">
      <formula>"TRIM"</formula>
    </cfRule>
    <cfRule type="cellIs" dxfId="1091" priority="905" operator="equal">
      <formula>"RI"</formula>
    </cfRule>
    <cfRule type="cellIs" dxfId="1090" priority="906" operator="equal">
      <formula>"PT"</formula>
    </cfRule>
    <cfRule type="expression" dxfId="1089" priority="907">
      <formula>"PICKUP"</formula>
    </cfRule>
    <cfRule type="cellIs" dxfId="1088" priority="908" operator="equal">
      <formula>"GW"</formula>
    </cfRule>
    <cfRule type="cellIs" dxfId="1087" priority="909" operator="equal">
      <formula>"TRIM"</formula>
    </cfRule>
    <cfRule type="cellIs" dxfId="1086" priority="910" operator="equal">
      <formula>"RI"</formula>
    </cfRule>
    <cfRule type="cellIs" dxfId="1085" priority="911" operator="equal">
      <formula>"PT"</formula>
    </cfRule>
  </conditionalFormatting>
  <conditionalFormatting sqref="EH58:EI59">
    <cfRule type="cellIs" dxfId="1084" priority="28678" operator="equal">
      <formula>"GW"</formula>
    </cfRule>
    <cfRule type="cellIs" dxfId="1083" priority="28679" operator="equal">
      <formula>"TRIM"</formula>
    </cfRule>
    <cfRule type="cellIs" dxfId="1082" priority="28680" operator="equal">
      <formula>"RI"</formula>
    </cfRule>
    <cfRule type="cellIs" dxfId="1081" priority="28681" operator="equal">
      <formula>"PT"</formula>
    </cfRule>
  </conditionalFormatting>
  <conditionalFormatting sqref="EH143:EI145">
    <cfRule type="expression" dxfId="1080" priority="28657">
      <formula>"PICKUP"</formula>
    </cfRule>
    <cfRule type="cellIs" dxfId="1079" priority="28658" operator="equal">
      <formula>"GW"</formula>
    </cfRule>
    <cfRule type="cellIs" dxfId="1078" priority="28659" operator="equal">
      <formula>"TRIM"</formula>
    </cfRule>
    <cfRule type="cellIs" dxfId="1077" priority="28660" operator="equal">
      <formula>"RI"</formula>
    </cfRule>
    <cfRule type="cellIs" dxfId="1076" priority="28661" operator="equal">
      <formula>"PT"</formula>
    </cfRule>
  </conditionalFormatting>
  <conditionalFormatting sqref="EH145:EI145">
    <cfRule type="expression" dxfId="1075" priority="28652">
      <formula>"PICKUP"</formula>
    </cfRule>
    <cfRule type="cellIs" dxfId="1074" priority="28653" operator="equal">
      <formula>"GW"</formula>
    </cfRule>
    <cfRule type="cellIs" dxfId="1073" priority="28654" operator="equal">
      <formula>"TRIM"</formula>
    </cfRule>
    <cfRule type="cellIs" dxfId="1072" priority="28655" operator="equal">
      <formula>"RI"</formula>
    </cfRule>
    <cfRule type="cellIs" dxfId="1071" priority="28656" operator="equal">
      <formula>"PT"</formula>
    </cfRule>
  </conditionalFormatting>
  <conditionalFormatting sqref="EH147:EI148">
    <cfRule type="expression" dxfId="1070" priority="28637">
      <formula>"PICKUP"</formula>
    </cfRule>
    <cfRule type="cellIs" dxfId="1069" priority="28638" operator="equal">
      <formula>"GW"</formula>
    </cfRule>
    <cfRule type="cellIs" dxfId="1068" priority="28639" operator="equal">
      <formula>"TRIM"</formula>
    </cfRule>
    <cfRule type="cellIs" dxfId="1067" priority="28640" operator="equal">
      <formula>"RI"</formula>
    </cfRule>
    <cfRule type="cellIs" dxfId="1066" priority="28641" operator="equal">
      <formula>"PT"</formula>
    </cfRule>
  </conditionalFormatting>
  <conditionalFormatting sqref="EH148:EI153 EH157:EI157 DV32:FU47 I45:CO46 CR45:DU46 I46:FU46 I47:CI47 I48:FU48 I49:DM51 DR49:FU51 DP54:GS55 I54:DG56 GT54:HS57 DH55:DI56 I56:GS57 I58:EG59 EJ58:ES59 HT58:RD64 GV59:RD59 I59:GU72 HR60:HS60 GV60:HQ64 GV62:HS63 HR63:HS64 GV65:RD72 I70:HQ72 I71:IK71 I107:FE108 EH145:EI146 I73:RD85 I87:RD106">
    <cfRule type="cellIs" dxfId="1065" priority="31522" operator="equal">
      <formula>"TRIM"</formula>
    </cfRule>
    <cfRule type="cellIs" dxfId="1064" priority="31524" operator="equal">
      <formula>"RI"</formula>
    </cfRule>
    <cfRule type="cellIs" dxfId="1063" priority="31528" operator="equal">
      <formula>"PT"</formula>
    </cfRule>
  </conditionalFormatting>
  <conditionalFormatting sqref="EH150:EI150">
    <cfRule type="expression" dxfId="1062" priority="28632">
      <formula>"PICKUP"</formula>
    </cfRule>
    <cfRule type="cellIs" dxfId="1061" priority="28633" operator="equal">
      <formula>"GW"</formula>
    </cfRule>
    <cfRule type="cellIs" dxfId="1060" priority="28634" operator="equal">
      <formula>"TRIM"</formula>
    </cfRule>
    <cfRule type="cellIs" dxfId="1059" priority="28635" operator="equal">
      <formula>"RI"</formula>
    </cfRule>
    <cfRule type="cellIs" dxfId="1058" priority="28636" operator="equal">
      <formula>"PT"</formula>
    </cfRule>
  </conditionalFormatting>
  <conditionalFormatting sqref="EJ147:EM148 EJ150:EK150">
    <cfRule type="colorScale" priority="29465">
      <colorScale>
        <cfvo type="num" val="1"/>
        <cfvo type="num" val="28"/>
        <color theme="7" tint="0.79998168889431442"/>
        <color theme="5" tint="-0.249977111117893"/>
      </colorScale>
    </cfRule>
  </conditionalFormatting>
  <conditionalFormatting sqref="EL156:EW158">
    <cfRule type="colorScale" priority="27927">
      <colorScale>
        <cfvo type="num" val="1"/>
        <cfvo type="num" val="28"/>
        <color theme="7" tint="0.79998168889431442"/>
        <color theme="5" tint="-0.249977111117893"/>
      </colorScale>
    </cfRule>
  </conditionalFormatting>
  <conditionalFormatting sqref="EL150:FQ150">
    <cfRule type="colorScale" priority="28697">
      <colorScale>
        <cfvo type="num" val="1"/>
        <cfvo type="num" val="28"/>
        <color theme="7" tint="0.79998168889431442"/>
        <color theme="5" tint="-0.249977111117893"/>
      </colorScale>
    </cfRule>
    <cfRule type="colorScale" priority="28698">
      <colorScale>
        <cfvo type="num" val="1"/>
        <cfvo type="num" val="28"/>
        <color theme="7" tint="0.79998168889431442"/>
        <color theme="5" tint="-0.249977111117893"/>
      </colorScale>
    </cfRule>
  </conditionalFormatting>
  <conditionalFormatting sqref="EN147:EW148">
    <cfRule type="colorScale" priority="29462">
      <colorScale>
        <cfvo type="num" val="1"/>
        <cfvo type="num" val="28"/>
        <color theme="7" tint="0.79998168889431442"/>
        <color theme="5" tint="-0.249977111117893"/>
      </colorScale>
    </cfRule>
  </conditionalFormatting>
  <conditionalFormatting sqref="ER17:ER21 ET17:ET21 EV17:EV21 EX17:EX21 EZ17:EZ21 FB17:FB21 FD17:FD21 FF17:FF21 FH17:FH21 FJ17:FJ21 FL17:FL21 FN17:FN21 FP17:FP21 FR17:FR21 FT17:FT21">
    <cfRule type="colorScale" priority="30067">
      <colorScale>
        <cfvo type="min"/>
        <cfvo type="percentile" val="50"/>
        <cfvo type="max"/>
        <color rgb="FFF8696B"/>
        <color rgb="FFFFEB84"/>
        <color rgb="FF63BE7B"/>
      </colorScale>
    </cfRule>
  </conditionalFormatting>
  <conditionalFormatting sqref="ER24 ET24 EV24 EX24 EZ24 FB24 FD24 FF24 FH24 FJ24 FL24 FN24 FP24 FR24 FT24">
    <cfRule type="colorScale" priority="30057">
      <colorScale>
        <cfvo type="min"/>
        <cfvo type="percentile" val="50"/>
        <cfvo type="max"/>
        <color rgb="FFF8696B"/>
        <color rgb="FFFFEB84"/>
        <color rgb="FF63BE7B"/>
      </colorScale>
    </cfRule>
  </conditionalFormatting>
  <conditionalFormatting sqref="ER25 ET25 EV25 EX25 EZ25 FB25 FD25 FF25 FH25 FJ25 FL25 FN25 FP25 FR25 FT25">
    <cfRule type="colorScale" priority="30048">
      <colorScale>
        <cfvo type="min"/>
        <cfvo type="percentile" val="50"/>
        <cfvo type="max"/>
        <color rgb="FFF8696B"/>
        <color rgb="FFFFEB84"/>
        <color rgb="FF63BE7B"/>
      </colorScale>
    </cfRule>
  </conditionalFormatting>
  <conditionalFormatting sqref="ER29 ET29 EV29 EX29 EZ29 FB29 FD29 FF29 FH29 FJ29 FL29 FN29 FP29 FR29 FT29">
    <cfRule type="colorScale" priority="30028">
      <colorScale>
        <cfvo type="min"/>
        <cfvo type="percentile" val="50"/>
        <cfvo type="max"/>
        <color rgb="FFF8696B"/>
        <color rgb="FFFFEB84"/>
        <color rgb="FF63BE7B"/>
      </colorScale>
    </cfRule>
  </conditionalFormatting>
  <conditionalFormatting sqref="ER239:ER241 ET239:ET241 EV239:EV241 EX239:EX241 EZ239:EZ241 FB239:FB241 FD239:FD241 FF239:FF241 FH239:FH241 FJ239:FJ241 FL239:FL241 FN239:FN241 FP239:FP241 FR239:FR241 FT239:FT241 ER204:ER219 ET204:ET219 EV204:EV219 EX204:EX219 EZ204:EZ219 FB204:FB219 FD204:FD219 FF204:FF219 FH204:FH219 FJ204:FJ219 FL204:FL219 FN204:FN219 FP204:FP219 FR204:FR219 FT204:FT219 ER224:ER227 ET224:ET227 EV224:EV227 EX224:EX227 EZ224:EZ227 FB224:FB227 FD224:FD227 FF224:FF227 FH224:FH227 FJ224:FJ227 FL224:FL227 FN224:FN227 FP224:FP227 FR224:FR227 FT224:FT227">
    <cfRule type="colorScale" priority="105008">
      <colorScale>
        <cfvo type="min"/>
        <cfvo type="percentile" val="50"/>
        <cfvo type="max"/>
        <color rgb="FFF8696B"/>
        <color rgb="FFFFEB84"/>
        <color rgb="FF63BE7B"/>
      </colorScale>
    </cfRule>
  </conditionalFormatting>
  <conditionalFormatting sqref="ER242:ER324 ER232:ER238 ET232:ET238 ET242:ET324 EV232:EV238 EV242:EV324 EX232:EX238 EX242:EX324 EZ232:EZ238 EZ242:EZ324 FB232:FB238 FB242:FB324 FD232:FD238 FD242:FD324 FF232:FF238 FF242:FF324 FH232:FH238 FH242:FH324 FJ232:FJ238 FJ242:FJ324 FL232:FL238 FL242:FL324 FN232:FN238 FN242:FN324 FP232:FP238 FP242:FP324 FR232:FR238 FR242:FR324 FT232:FT238 FT242:FT324 FT228:FT229 FR228:FR229 FP228:FP229 FN228:FN229 FL228:FL229 FJ228:FJ229 FH228:FH229 FF228:FF229 FD228:FD229 FB228:FB229 EZ228:EZ229 EX228:EX229 EV228:EV229 ET228:ET229 ER228:ER229 ER220:ER221 ET220:ET221 EV220:EV221 EX220:EX221 EZ220:EZ221 FB220:FB221 FD220:FD221 FF220:FF221 FH220:FH221 FJ220:FJ221 FL220:FL221 FN220:FN221 FP220:FP221 FR220:FR221 FT220:FT221 ER200:ER203 ET200:ET203 EV200:EV203 EX200:EX203 EZ200:EZ203 FB200:FB203 FD200:FD203 FF200:FF203 FH200:FH203 FJ200:FJ203 FL200:FL203 FN200:FN203 FP200:FP203 FR200:FR203 FT200:FT203">
    <cfRule type="colorScale" priority="80657">
      <colorScale>
        <cfvo type="min"/>
        <cfvo type="percentile" val="50"/>
        <cfvo type="max"/>
        <color rgb="FFF8696B"/>
        <color rgb="FFFFEB84"/>
        <color rgb="FF63BE7B"/>
      </colorScale>
    </cfRule>
  </conditionalFormatting>
  <conditionalFormatting sqref="ER17:FU17 ER19:FU19">
    <cfRule type="cellIs" dxfId="1057" priority="30068" operator="equal">
      <formula>"GW"</formula>
    </cfRule>
    <cfRule type="cellIs" dxfId="1056" priority="30069" operator="equal">
      <formula>"PT"</formula>
    </cfRule>
    <cfRule type="cellIs" dxfId="1055" priority="30070" operator="equal">
      <formula>"TRIM"</formula>
    </cfRule>
    <cfRule type="cellIs" dxfId="1054" priority="30075" operator="equal">
      <formula>"RI"</formula>
    </cfRule>
  </conditionalFormatting>
  <conditionalFormatting sqref="ER111:FU117 ER136:FU136 ER122:FU122">
    <cfRule type="colorScale" priority="30065">
      <colorScale>
        <cfvo type="num" val="1"/>
        <cfvo type="num" val="28"/>
        <color theme="7" tint="0.79998168889431442"/>
        <color theme="5" tint="-0.249977111117893"/>
      </colorScale>
    </cfRule>
  </conditionalFormatting>
  <conditionalFormatting sqref="ER118:FU118">
    <cfRule type="colorScale" priority="30029">
      <colorScale>
        <cfvo type="num" val="1"/>
        <cfvo type="num" val="28"/>
        <color theme="7" tint="0.79998168889431442"/>
        <color theme="5" tint="-0.249977111117893"/>
      </colorScale>
    </cfRule>
  </conditionalFormatting>
  <conditionalFormatting sqref="ER119:FU119">
    <cfRule type="colorScale" priority="30033">
      <colorScale>
        <cfvo type="num" val="1"/>
        <cfvo type="num" val="28"/>
        <color theme="7" tint="0.79998168889431442"/>
        <color theme="5" tint="-0.249977111117893"/>
      </colorScale>
    </cfRule>
  </conditionalFormatting>
  <conditionalFormatting sqref="ER120:FU120">
    <cfRule type="colorScale" priority="30039">
      <colorScale>
        <cfvo type="num" val="1"/>
        <cfvo type="num" val="28"/>
        <color theme="7" tint="0.79998168889431442"/>
        <color theme="5" tint="-0.249977111117893"/>
      </colorScale>
    </cfRule>
  </conditionalFormatting>
  <conditionalFormatting sqref="ER121:FU121">
    <cfRule type="colorScale" priority="30037">
      <colorScale>
        <cfvo type="num" val="1"/>
        <cfvo type="num" val="28"/>
        <color theme="7" tint="0.79998168889431442"/>
        <color theme="5" tint="-0.249977111117893"/>
      </colorScale>
    </cfRule>
  </conditionalFormatting>
  <conditionalFormatting sqref="ER123:FU123 ER125:FU125">
    <cfRule type="colorScale" priority="30081">
      <colorScale>
        <cfvo type="num" val="1"/>
        <cfvo type="num" val="28"/>
        <color theme="7" tint="0.79998168889431442"/>
        <color theme="5" tint="-0.249977111117893"/>
      </colorScale>
    </cfRule>
  </conditionalFormatting>
  <conditionalFormatting sqref="ER124:FU124">
    <cfRule type="colorScale" priority="30038">
      <colorScale>
        <cfvo type="num" val="1"/>
        <cfvo type="num" val="28"/>
        <color theme="7" tint="0.79998168889431442"/>
        <color theme="5" tint="-0.249977111117893"/>
      </colorScale>
    </cfRule>
  </conditionalFormatting>
  <conditionalFormatting sqref="ER126:FU126">
    <cfRule type="colorScale" priority="30030">
      <colorScale>
        <cfvo type="num" val="1"/>
        <cfvo type="num" val="28"/>
        <color theme="7" tint="0.79998168889431442"/>
        <color theme="5" tint="-0.249977111117893"/>
      </colorScale>
    </cfRule>
  </conditionalFormatting>
  <conditionalFormatting sqref="ER127:FU127 ER134:FU135">
    <cfRule type="colorScale" priority="30025">
      <colorScale>
        <cfvo type="num" val="1"/>
        <cfvo type="num" val="28"/>
        <color theme="7" tint="0.79998168889431442"/>
        <color theme="5" tint="-0.249977111117893"/>
      </colorScale>
    </cfRule>
  </conditionalFormatting>
  <conditionalFormatting sqref="ER128:FU128">
    <cfRule type="colorScale" priority="30031">
      <colorScale>
        <cfvo type="num" val="1"/>
        <cfvo type="num" val="28"/>
        <color theme="7" tint="0.79998168889431442"/>
        <color theme="5" tint="-0.249977111117893"/>
      </colorScale>
    </cfRule>
  </conditionalFormatting>
  <conditionalFormatting sqref="ER129:FU129">
    <cfRule type="colorScale" priority="30032">
      <colorScale>
        <cfvo type="num" val="1"/>
        <cfvo type="num" val="28"/>
        <color theme="7" tint="0.79998168889431442"/>
        <color theme="5" tint="-0.249977111117893"/>
      </colorScale>
    </cfRule>
  </conditionalFormatting>
  <conditionalFormatting sqref="ER132:FU133">
    <cfRule type="colorScale" priority="30022">
      <colorScale>
        <cfvo type="num" val="1"/>
        <cfvo type="num" val="28"/>
        <color theme="7" tint="0.79998168889431442"/>
        <color theme="5" tint="-0.249977111117893"/>
      </colorScale>
    </cfRule>
  </conditionalFormatting>
  <conditionalFormatting sqref="ER133:FU133">
    <cfRule type="colorScale" priority="30018">
      <colorScale>
        <cfvo type="num" val="1"/>
        <cfvo type="num" val="28"/>
        <color theme="7" tint="0.79998168889431442"/>
        <color theme="5" tint="-0.249977111117893"/>
      </colorScale>
    </cfRule>
  </conditionalFormatting>
  <conditionalFormatting sqref="ER138:FU140">
    <cfRule type="colorScale" priority="30003">
      <colorScale>
        <cfvo type="num" val="1"/>
        <cfvo type="num" val="28"/>
        <color theme="7" tint="0.79998168889431442"/>
        <color theme="5" tint="-0.249977111117893"/>
      </colorScale>
    </cfRule>
  </conditionalFormatting>
  <conditionalFormatting sqref="ER139:FU140">
    <cfRule type="colorScale" priority="30023">
      <colorScale>
        <cfvo type="num" val="1"/>
        <cfvo type="num" val="28"/>
        <color theme="7" tint="0.79998168889431442"/>
        <color theme="5" tint="-0.249977111117893"/>
      </colorScale>
    </cfRule>
  </conditionalFormatting>
  <conditionalFormatting sqref="ER140:FU140">
    <cfRule type="colorScale" priority="30016">
      <colorScale>
        <cfvo type="num" val="1"/>
        <cfvo type="num" val="28"/>
        <color theme="7" tint="0.79998168889431442"/>
        <color theme="5" tint="-0.249977111117893"/>
      </colorScale>
    </cfRule>
  </conditionalFormatting>
  <conditionalFormatting sqref="ER141:FU141">
    <cfRule type="colorScale" priority="30020">
      <colorScale>
        <cfvo type="num" val="1"/>
        <cfvo type="num" val="28"/>
        <color theme="7" tint="0.79998168889431442"/>
        <color theme="5" tint="-0.249977111117893"/>
      </colorScale>
    </cfRule>
  </conditionalFormatting>
  <conditionalFormatting sqref="ER142:FU142">
    <cfRule type="colorScale" priority="30019">
      <colorScale>
        <cfvo type="num" val="1"/>
        <cfvo type="num" val="28"/>
        <color theme="7" tint="0.79998168889431442"/>
        <color theme="5" tint="-0.249977111117893"/>
      </colorScale>
    </cfRule>
  </conditionalFormatting>
  <conditionalFormatting sqref="ER144:FU145">
    <cfRule type="colorScale" priority="29997">
      <colorScale>
        <cfvo type="num" val="1"/>
        <cfvo type="num" val="28"/>
        <color theme="7" tint="0.79998168889431442"/>
        <color theme="5" tint="-0.249977111117893"/>
      </colorScale>
    </cfRule>
  </conditionalFormatting>
  <conditionalFormatting sqref="ER145:FU145">
    <cfRule type="colorScale" priority="29991">
      <colorScale>
        <cfvo type="num" val="1"/>
        <cfvo type="num" val="28"/>
        <color theme="7" tint="0.79998168889431442"/>
        <color theme="5" tint="-0.249977111117893"/>
      </colorScale>
    </cfRule>
  </conditionalFormatting>
  <conditionalFormatting sqref="ER22 ET22 EV22 EX22 EZ22 FB22 FD22 FF22 FH22 FJ22 FL22 FN22 FP22 FR22 FT22">
    <cfRule type="colorScale" priority="30063">
      <colorScale>
        <cfvo type="min"/>
        <cfvo type="percentile" val="50"/>
        <cfvo type="max"/>
        <color rgb="FFF8696B"/>
        <color rgb="FFFFEB84"/>
        <color rgb="FF63BE7B"/>
      </colorScale>
    </cfRule>
  </conditionalFormatting>
  <conditionalFormatting sqref="ER23 ET23 EV23 EX23 EZ23 FB23 FD23 FF23 FH23 FJ23 FL23 FN23 FP23 FR23 FT23">
    <cfRule type="colorScale" priority="30060">
      <colorScale>
        <cfvo type="min"/>
        <cfvo type="percentile" val="50"/>
        <cfvo type="max"/>
        <color rgb="FFF8696B"/>
        <color rgb="FFFFEB84"/>
        <color rgb="FF63BE7B"/>
      </colorScale>
    </cfRule>
  </conditionalFormatting>
  <conditionalFormatting sqref="ER26 ET26 EV26 EX26 EZ26 FB26 FD26 FF26 FH26 FJ26 FL26 FN26 FP26 FR26 FT26">
    <cfRule type="colorScale" priority="30051">
      <colorScale>
        <cfvo type="min"/>
        <cfvo type="percentile" val="50"/>
        <cfvo type="max"/>
        <color rgb="FFF8696B"/>
        <color rgb="FFFFEB84"/>
        <color rgb="FF63BE7B"/>
      </colorScale>
    </cfRule>
  </conditionalFormatting>
  <conditionalFormatting sqref="ER27 ET27 EV27 EX27 EZ27 FB27 FD27 FF27 FH27 FJ27 FL27 FN27 FP27 FR27 FT27">
    <cfRule type="colorScale" priority="30045">
      <colorScale>
        <cfvo type="min"/>
        <cfvo type="percentile" val="50"/>
        <cfvo type="max"/>
        <color rgb="FFF8696B"/>
        <color rgb="FFFFEB84"/>
        <color rgb="FF63BE7B"/>
      </colorScale>
    </cfRule>
  </conditionalFormatting>
  <conditionalFormatting sqref="ER28 ET28 EV28 EX28 EZ28 FB28 FD28 FF28 FH28 FJ28 FL28 FN28 FP28 FR28 FT28">
    <cfRule type="colorScale" priority="30054">
      <colorScale>
        <cfvo type="min"/>
        <cfvo type="percentile" val="50"/>
        <cfvo type="max"/>
        <color rgb="FFF8696B"/>
        <color rgb="FFFFEB84"/>
        <color rgb="FF63BE7B"/>
      </colorScale>
    </cfRule>
  </conditionalFormatting>
  <conditionalFormatting sqref="ET30 ER30 EV30 EX30 EZ30 FB30 FD30 FF30 FH30 FJ30 FL30 FN30 FP30 FR30 FT30">
    <cfRule type="colorScale" priority="30036">
      <colorScale>
        <cfvo type="min"/>
        <cfvo type="percentile" val="50"/>
        <cfvo type="max"/>
        <color rgb="FFF8696B"/>
        <color rgb="FFFFEB84"/>
        <color rgb="FF63BE7B"/>
      </colorScale>
    </cfRule>
  </conditionalFormatting>
  <conditionalFormatting sqref="ER31 ET31 EV31 EX31 EZ31 FB31 FD31 FF31 FH31 FJ31 FL31 FN31 FP31 FR31 FT31">
    <cfRule type="colorScale" priority="30042">
      <colorScale>
        <cfvo type="min"/>
        <cfvo type="percentile" val="50"/>
        <cfvo type="max"/>
        <color rgb="FFF8696B"/>
        <color rgb="FFFFEB84"/>
        <color rgb="FF63BE7B"/>
      </colorScale>
    </cfRule>
  </conditionalFormatting>
  <conditionalFormatting sqref="ET58:EU59">
    <cfRule type="expression" dxfId="1053" priority="28507">
      <formula>"PICKUP"</formula>
    </cfRule>
    <cfRule type="cellIs" dxfId="1052" priority="28508" operator="equal">
      <formula>"GW"</formula>
    </cfRule>
    <cfRule type="cellIs" dxfId="1051" priority="28509" operator="equal">
      <formula>"TRIM"</formula>
    </cfRule>
    <cfRule type="cellIs" dxfId="1050" priority="28510" operator="equal">
      <formula>"RI"</formula>
    </cfRule>
    <cfRule type="cellIs" dxfId="1049" priority="28511" operator="equal">
      <formula>"PT"</formula>
    </cfRule>
    <cfRule type="cellIs" dxfId="1048" priority="28513" operator="equal">
      <formula>"GW"</formula>
    </cfRule>
    <cfRule type="cellIs" dxfId="1047" priority="28514" operator="equal">
      <formula>"TRIM"</formula>
    </cfRule>
    <cfRule type="cellIs" dxfId="1046" priority="28515" operator="equal">
      <formula>"RI"</formula>
    </cfRule>
    <cfRule type="cellIs" dxfId="1045" priority="28516" operator="equal">
      <formula>"PT"</formula>
    </cfRule>
  </conditionalFormatting>
  <conditionalFormatting sqref="ET61:FA61">
    <cfRule type="expression" dxfId="1044" priority="29483">
      <formula>"PICKUP"</formula>
    </cfRule>
    <cfRule type="cellIs" dxfId="1043" priority="29484" operator="equal">
      <formula>"GW"</formula>
    </cfRule>
    <cfRule type="cellIs" dxfId="1042" priority="29485" operator="equal">
      <formula>"TRIM"</formula>
    </cfRule>
    <cfRule type="cellIs" dxfId="1041" priority="29486" operator="equal">
      <formula>"RI"</formula>
    </cfRule>
    <cfRule type="cellIs" dxfId="1040" priority="29487" operator="equal">
      <formula>"PT"</formula>
    </cfRule>
  </conditionalFormatting>
  <conditionalFormatting sqref="EV58:HS59">
    <cfRule type="expression" dxfId="1039" priority="28602">
      <formula>"PICKUP"</formula>
    </cfRule>
    <cfRule type="cellIs" dxfId="1038" priority="28603" operator="equal">
      <formula>"GW"</formula>
    </cfRule>
    <cfRule type="cellIs" dxfId="1037" priority="28604" operator="equal">
      <formula>"TRIM"</formula>
    </cfRule>
    <cfRule type="cellIs" dxfId="1036" priority="28605" operator="equal">
      <formula>"RI"</formula>
    </cfRule>
    <cfRule type="cellIs" dxfId="1035" priority="28606" operator="equal">
      <formula>"PT"</formula>
    </cfRule>
  </conditionalFormatting>
  <conditionalFormatting sqref="EX147:EY148">
    <cfRule type="colorScale" priority="29466">
      <colorScale>
        <cfvo type="num" val="1"/>
        <cfvo type="num" val="28"/>
        <color theme="7" tint="0.79998168889431442"/>
        <color theme="5" tint="-0.249977111117893"/>
      </colorScale>
    </cfRule>
  </conditionalFormatting>
  <conditionalFormatting sqref="EX85:GC85 EX107:GI108">
    <cfRule type="cellIs" dxfId="1034" priority="15443" operator="equal">
      <formula>"GW"</formula>
    </cfRule>
    <cfRule type="cellIs" dxfId="1033" priority="15444" operator="equal">
      <formula>"TRIM"</formula>
    </cfRule>
    <cfRule type="cellIs" dxfId="1032" priority="15445" operator="equal">
      <formula>"RI"</formula>
    </cfRule>
    <cfRule type="cellIs" dxfId="1031" priority="15446" operator="equal">
      <formula>"PT"</formula>
    </cfRule>
  </conditionalFormatting>
  <conditionalFormatting sqref="EX107:GI108 EX85:GC85">
    <cfRule type="expression" dxfId="1030" priority="15442">
      <formula>"PICKUP"</formula>
    </cfRule>
  </conditionalFormatting>
  <conditionalFormatting sqref="EZ62:FA63">
    <cfRule type="expression" dxfId="1029" priority="24201">
      <formula>"PICKUP"</formula>
    </cfRule>
    <cfRule type="cellIs" dxfId="1028" priority="24202" operator="equal">
      <formula>"GW"</formula>
    </cfRule>
    <cfRule type="cellIs" dxfId="1027" priority="24203" operator="equal">
      <formula>"TRIM"</formula>
    </cfRule>
    <cfRule type="cellIs" dxfId="1026" priority="24204" operator="equal">
      <formula>"RI"</formula>
    </cfRule>
    <cfRule type="cellIs" dxfId="1025" priority="24205" operator="equal">
      <formula>"PT"</formula>
    </cfRule>
    <cfRule type="expression" dxfId="1024" priority="24206">
      <formula>"PICKUP"</formula>
    </cfRule>
    <cfRule type="cellIs" dxfId="1023" priority="24207" operator="equal">
      <formula>"GW"</formula>
    </cfRule>
    <cfRule type="cellIs" dxfId="1022" priority="24208" operator="equal">
      <formula>"TRIM"</formula>
    </cfRule>
    <cfRule type="cellIs" dxfId="1021" priority="24209" operator="equal">
      <formula>"RI"</formula>
    </cfRule>
    <cfRule type="cellIs" dxfId="1020" priority="24210" operator="equal">
      <formula>"PT"</formula>
    </cfRule>
    <cfRule type="expression" dxfId="1019" priority="24211">
      <formula>"PICKUP"</formula>
    </cfRule>
    <cfRule type="cellIs" dxfId="1018" priority="24212" operator="equal">
      <formula>"GW"</formula>
    </cfRule>
    <cfRule type="cellIs" dxfId="1017" priority="24213" operator="equal">
      <formula>"TRIM"</formula>
    </cfRule>
    <cfRule type="cellIs" dxfId="1016" priority="24214" operator="equal">
      <formula>"RI"</formula>
    </cfRule>
    <cfRule type="cellIs" dxfId="1015" priority="24215" operator="equal">
      <formula>"PT"</formula>
    </cfRule>
    <cfRule type="expression" dxfId="1014" priority="24216">
      <formula>"PICKUP"</formula>
    </cfRule>
    <cfRule type="cellIs" dxfId="1013" priority="24217" operator="equal">
      <formula>"GW"</formula>
    </cfRule>
    <cfRule type="cellIs" dxfId="1012" priority="24218" operator="equal">
      <formula>"TRIM"</formula>
    </cfRule>
    <cfRule type="cellIs" dxfId="1011" priority="24219" operator="equal">
      <formula>"RI"</formula>
    </cfRule>
    <cfRule type="cellIs" dxfId="1010" priority="24220" operator="equal">
      <formula>"PT"</formula>
    </cfRule>
    <cfRule type="expression" dxfId="1009" priority="24221">
      <formula>"PICKUP"</formula>
    </cfRule>
    <cfRule type="cellIs" dxfId="1008" priority="24222" operator="equal">
      <formula>"GW"</formula>
    </cfRule>
    <cfRule type="cellIs" dxfId="1007" priority="24223" operator="equal">
      <formula>"TRIM"</formula>
    </cfRule>
    <cfRule type="cellIs" dxfId="1006" priority="24224" operator="equal">
      <formula>"RI"</formula>
    </cfRule>
    <cfRule type="cellIs" dxfId="1005" priority="24225" operator="equal">
      <formula>"PT"</formula>
    </cfRule>
    <cfRule type="expression" dxfId="1004" priority="24226">
      <formula>"PICKUP"</formula>
    </cfRule>
    <cfRule type="cellIs" dxfId="1003" priority="24227" operator="equal">
      <formula>"GW"</formula>
    </cfRule>
    <cfRule type="cellIs" dxfId="1002" priority="24228" operator="equal">
      <formula>"TRIM"</formula>
    </cfRule>
    <cfRule type="cellIs" dxfId="1001" priority="24229" operator="equal">
      <formula>"RI"</formula>
    </cfRule>
    <cfRule type="cellIs" dxfId="1000" priority="24230" operator="equal">
      <formula>"PT"</formula>
    </cfRule>
    <cfRule type="expression" dxfId="999" priority="24231">
      <formula>"PICKUP"</formula>
    </cfRule>
    <cfRule type="cellIs" dxfId="998" priority="24232" operator="equal">
      <formula>"GW"</formula>
    </cfRule>
    <cfRule type="cellIs" dxfId="997" priority="24233" operator="equal">
      <formula>"TRIM"</formula>
    </cfRule>
    <cfRule type="cellIs" dxfId="996" priority="24234" operator="equal">
      <formula>"RI"</formula>
    </cfRule>
    <cfRule type="cellIs" dxfId="995" priority="24235" operator="equal">
      <formula>"PT"</formula>
    </cfRule>
    <cfRule type="expression" dxfId="994" priority="24236">
      <formula>"PICKUP"</formula>
    </cfRule>
    <cfRule type="cellIs" dxfId="993" priority="24237" operator="equal">
      <formula>"GW"</formula>
    </cfRule>
    <cfRule type="cellIs" dxfId="992" priority="24238" operator="equal">
      <formula>"TRIM"</formula>
    </cfRule>
    <cfRule type="cellIs" dxfId="991" priority="24239" operator="equal">
      <formula>"RI"</formula>
    </cfRule>
    <cfRule type="cellIs" dxfId="990" priority="24240" operator="equal">
      <formula>"PT"</formula>
    </cfRule>
    <cfRule type="expression" dxfId="989" priority="24241">
      <formula>"PICKUP"</formula>
    </cfRule>
    <cfRule type="cellIs" dxfId="988" priority="24242" operator="equal">
      <formula>"GW"</formula>
    </cfRule>
    <cfRule type="cellIs" dxfId="987" priority="24243" operator="equal">
      <formula>"TRIM"</formula>
    </cfRule>
    <cfRule type="cellIs" dxfId="986" priority="24244" operator="equal">
      <formula>"RI"</formula>
    </cfRule>
    <cfRule type="cellIs" dxfId="985" priority="24245" operator="equal">
      <formula>"PT"</formula>
    </cfRule>
    <cfRule type="expression" dxfId="984" priority="24246">
      <formula>"PICKUP"</formula>
    </cfRule>
    <cfRule type="cellIs" dxfId="983" priority="24247" operator="equal">
      <formula>"GW"</formula>
    </cfRule>
    <cfRule type="cellIs" dxfId="982" priority="24248" operator="equal">
      <formula>"TRIM"</formula>
    </cfRule>
    <cfRule type="cellIs" dxfId="981" priority="24249" operator="equal">
      <formula>"RI"</formula>
    </cfRule>
    <cfRule type="cellIs" dxfId="980" priority="24250" operator="equal">
      <formula>"PT"</formula>
    </cfRule>
    <cfRule type="expression" dxfId="979" priority="24251">
      <formula>"PICKUP"</formula>
    </cfRule>
    <cfRule type="cellIs" dxfId="978" priority="24252" operator="equal">
      <formula>"GW"</formula>
    </cfRule>
    <cfRule type="cellIs" dxfId="977" priority="24253" operator="equal">
      <formula>"TRIM"</formula>
    </cfRule>
    <cfRule type="cellIs" dxfId="976" priority="24254" operator="equal">
      <formula>"RI"</formula>
    </cfRule>
    <cfRule type="cellIs" dxfId="975" priority="24255" operator="equal">
      <formula>"PT"</formula>
    </cfRule>
    <cfRule type="expression" dxfId="974" priority="24256">
      <formula>"PICKUP"</formula>
    </cfRule>
    <cfRule type="cellIs" dxfId="973" priority="24257" operator="equal">
      <formula>"GW"</formula>
    </cfRule>
    <cfRule type="cellIs" dxfId="972" priority="24258" operator="equal">
      <formula>"TRIM"</formula>
    </cfRule>
    <cfRule type="cellIs" dxfId="971" priority="24259" operator="equal">
      <formula>"RI"</formula>
    </cfRule>
    <cfRule type="cellIs" dxfId="970" priority="24260" operator="equal">
      <formula>"PT"</formula>
    </cfRule>
  </conditionalFormatting>
  <conditionalFormatting sqref="EZ147:FU148 FR150:FU150">
    <cfRule type="colorScale" priority="29468">
      <colorScale>
        <cfvo type="num" val="1"/>
        <cfvo type="num" val="28"/>
        <color theme="7" tint="0.79998168889431442"/>
        <color theme="5" tint="-0.249977111117893"/>
      </colorScale>
    </cfRule>
  </conditionalFormatting>
  <conditionalFormatting sqref="EZ62:GI63">
    <cfRule type="expression" dxfId="969" priority="24066">
      <formula>"PICKUP"</formula>
    </cfRule>
    <cfRule type="cellIs" dxfId="968" priority="24067" operator="equal">
      <formula>"GW"</formula>
    </cfRule>
    <cfRule type="cellIs" dxfId="967" priority="24068" operator="equal">
      <formula>"TRIM"</formula>
    </cfRule>
    <cfRule type="cellIs" dxfId="966" priority="24069" operator="equal">
      <formula>"RI"</formula>
    </cfRule>
    <cfRule type="cellIs" dxfId="965" priority="24070" operator="equal">
      <formula>"PT"</formula>
    </cfRule>
    <cfRule type="expression" dxfId="964" priority="24071">
      <formula>"PICKUP"</formula>
    </cfRule>
    <cfRule type="cellIs" dxfId="963" priority="24072" operator="equal">
      <formula>"GW"</formula>
    </cfRule>
    <cfRule type="cellIs" dxfId="962" priority="24073" operator="equal">
      <formula>"TRIM"</formula>
    </cfRule>
    <cfRule type="cellIs" dxfId="961" priority="24074" operator="equal">
      <formula>"RI"</formula>
    </cfRule>
    <cfRule type="cellIs" dxfId="960" priority="24075" operator="equal">
      <formula>"PT"</formula>
    </cfRule>
    <cfRule type="expression" dxfId="959" priority="24076">
      <formula>"PICKUP"</formula>
    </cfRule>
    <cfRule type="cellIs" dxfId="958" priority="24077" operator="equal">
      <formula>"GW"</formula>
    </cfRule>
    <cfRule type="cellIs" dxfId="957" priority="24078" operator="equal">
      <formula>"TRIM"</formula>
    </cfRule>
    <cfRule type="cellIs" dxfId="956" priority="24079" operator="equal">
      <formula>"RI"</formula>
    </cfRule>
    <cfRule type="cellIs" dxfId="955" priority="24080" operator="equal">
      <formula>"PT"</formula>
    </cfRule>
    <cfRule type="expression" dxfId="954" priority="24081">
      <formula>"PICKUP"</formula>
    </cfRule>
    <cfRule type="cellIs" dxfId="953" priority="24082" operator="equal">
      <formula>"GW"</formula>
    </cfRule>
    <cfRule type="cellIs" dxfId="952" priority="24083" operator="equal">
      <formula>"TRIM"</formula>
    </cfRule>
    <cfRule type="cellIs" dxfId="951" priority="24084" operator="equal">
      <formula>"RI"</formula>
    </cfRule>
    <cfRule type="cellIs" dxfId="950" priority="24085" operator="equal">
      <formula>"PT"</formula>
    </cfRule>
    <cfRule type="expression" dxfId="949" priority="24086">
      <formula>"PICKUP"</formula>
    </cfRule>
    <cfRule type="cellIs" dxfId="948" priority="24087" operator="equal">
      <formula>"GW"</formula>
    </cfRule>
    <cfRule type="cellIs" dxfId="947" priority="24088" operator="equal">
      <formula>"TRIM"</formula>
    </cfRule>
    <cfRule type="cellIs" dxfId="946" priority="24089" operator="equal">
      <formula>"RI"</formula>
    </cfRule>
    <cfRule type="cellIs" dxfId="945" priority="24090" operator="equal">
      <formula>"PT"</formula>
    </cfRule>
    <cfRule type="expression" dxfId="944" priority="24091">
      <formula>"PICKUP"</formula>
    </cfRule>
    <cfRule type="cellIs" dxfId="943" priority="24092" operator="equal">
      <formula>"GW"</formula>
    </cfRule>
    <cfRule type="cellIs" dxfId="942" priority="24093" operator="equal">
      <formula>"TRIM"</formula>
    </cfRule>
    <cfRule type="cellIs" dxfId="941" priority="24094" operator="equal">
      <formula>"RI"</formula>
    </cfRule>
    <cfRule type="cellIs" dxfId="940" priority="24095" operator="equal">
      <formula>"PT"</formula>
    </cfRule>
    <cfRule type="expression" dxfId="939" priority="24096">
      <formula>"PICKUP"</formula>
    </cfRule>
    <cfRule type="cellIs" dxfId="938" priority="24097" operator="equal">
      <formula>"GW"</formula>
    </cfRule>
    <cfRule type="cellIs" dxfId="937" priority="24098" operator="equal">
      <formula>"TRIM"</formula>
    </cfRule>
    <cfRule type="cellIs" dxfId="936" priority="24099" operator="equal">
      <formula>"RI"</formula>
    </cfRule>
    <cfRule type="cellIs" dxfId="935" priority="24100" operator="equal">
      <formula>"PT"</formula>
    </cfRule>
    <cfRule type="expression" dxfId="934" priority="24101">
      <formula>"PICKUP"</formula>
    </cfRule>
    <cfRule type="cellIs" dxfId="933" priority="24102" operator="equal">
      <formula>"GW"</formula>
    </cfRule>
    <cfRule type="cellIs" dxfId="932" priority="24103" operator="equal">
      <formula>"TRIM"</formula>
    </cfRule>
    <cfRule type="cellIs" dxfId="931" priority="24104" operator="equal">
      <formula>"RI"</formula>
    </cfRule>
    <cfRule type="cellIs" dxfId="930" priority="24105" operator="equal">
      <formula>"PT"</formula>
    </cfRule>
    <cfRule type="expression" dxfId="929" priority="24106">
      <formula>"PICKUP"</formula>
    </cfRule>
    <cfRule type="cellIs" dxfId="928" priority="24107" operator="equal">
      <formula>"GW"</formula>
    </cfRule>
    <cfRule type="cellIs" dxfId="927" priority="24108" operator="equal">
      <formula>"TRIM"</formula>
    </cfRule>
    <cfRule type="cellIs" dxfId="926" priority="24109" operator="equal">
      <formula>"RI"</formula>
    </cfRule>
    <cfRule type="cellIs" dxfId="925" priority="24110" operator="equal">
      <formula>"PT"</formula>
    </cfRule>
    <cfRule type="expression" dxfId="924" priority="24111">
      <formula>"PICKUP"</formula>
    </cfRule>
    <cfRule type="cellIs" dxfId="923" priority="24112" operator="equal">
      <formula>"GW"</formula>
    </cfRule>
    <cfRule type="cellIs" dxfId="922" priority="24113" operator="equal">
      <formula>"TRIM"</formula>
    </cfRule>
    <cfRule type="cellIs" dxfId="921" priority="24114" operator="equal">
      <formula>"RI"</formula>
    </cfRule>
    <cfRule type="cellIs" dxfId="920" priority="24115" operator="equal">
      <formula>"PT"</formula>
    </cfRule>
    <cfRule type="expression" dxfId="919" priority="24116">
      <formula>"PICKUP"</formula>
    </cfRule>
    <cfRule type="cellIs" dxfId="918" priority="24117" operator="equal">
      <formula>"GW"</formula>
    </cfRule>
    <cfRule type="cellIs" dxfId="917" priority="24118" operator="equal">
      <formula>"TRIM"</formula>
    </cfRule>
    <cfRule type="cellIs" dxfId="916" priority="24119" operator="equal">
      <formula>"RI"</formula>
    </cfRule>
    <cfRule type="cellIs" dxfId="915" priority="24120" operator="equal">
      <formula>"PT"</formula>
    </cfRule>
    <cfRule type="expression" dxfId="914" priority="24121">
      <formula>"PICKUP"</formula>
    </cfRule>
    <cfRule type="cellIs" dxfId="913" priority="24122" operator="equal">
      <formula>"GW"</formula>
    </cfRule>
    <cfRule type="cellIs" dxfId="912" priority="24123" operator="equal">
      <formula>"TRIM"</formula>
    </cfRule>
    <cfRule type="cellIs" dxfId="911" priority="24124" operator="equal">
      <formula>"RI"</formula>
    </cfRule>
    <cfRule type="cellIs" dxfId="910" priority="24125" operator="equal">
      <formula>"PT"</formula>
    </cfRule>
    <cfRule type="expression" dxfId="909" priority="24126">
      <formula>"PICKUP"</formula>
    </cfRule>
    <cfRule type="cellIs" dxfId="908" priority="24127" operator="equal">
      <formula>"GW"</formula>
    </cfRule>
    <cfRule type="cellIs" dxfId="907" priority="24128" operator="equal">
      <formula>"TRIM"</formula>
    </cfRule>
    <cfRule type="cellIs" dxfId="906" priority="24129" operator="equal">
      <formula>"RI"</formula>
    </cfRule>
    <cfRule type="cellIs" dxfId="905" priority="24130" operator="equal">
      <formula>"PT"</formula>
    </cfRule>
    <cfRule type="expression" dxfId="904" priority="24261">
      <formula>"PICKUP"</formula>
    </cfRule>
    <cfRule type="cellIs" dxfId="903" priority="24262" operator="equal">
      <formula>"GW"</formula>
    </cfRule>
    <cfRule type="cellIs" dxfId="902" priority="24263" operator="equal">
      <formula>"TRIM"</formula>
    </cfRule>
    <cfRule type="cellIs" dxfId="901" priority="24264" operator="equal">
      <formula>"RI"</formula>
    </cfRule>
    <cfRule type="cellIs" dxfId="900" priority="24265" operator="equal">
      <formula>"PT"</formula>
    </cfRule>
  </conditionalFormatting>
  <conditionalFormatting sqref="FB61:FC63">
    <cfRule type="expression" dxfId="899" priority="23246">
      <formula>"PICKUP"</formula>
    </cfRule>
    <cfRule type="cellIs" dxfId="898" priority="23247" operator="equal">
      <formula>"GW"</formula>
    </cfRule>
    <cfRule type="cellIs" dxfId="897" priority="23248" operator="equal">
      <formula>"TRIM"</formula>
    </cfRule>
    <cfRule type="cellIs" dxfId="896" priority="23249" operator="equal">
      <formula>"RI"</formula>
    </cfRule>
    <cfRule type="cellIs" dxfId="895" priority="23250" operator="equal">
      <formula>"PT"</formula>
    </cfRule>
  </conditionalFormatting>
  <conditionalFormatting sqref="FB62:FC63">
    <cfRule type="expression" dxfId="894" priority="23186">
      <formula>"PICKUP"</formula>
    </cfRule>
    <cfRule type="cellIs" dxfId="893" priority="23187" operator="equal">
      <formula>"GW"</formula>
    </cfRule>
    <cfRule type="cellIs" dxfId="892" priority="23188" operator="equal">
      <formula>"TRIM"</formula>
    </cfRule>
    <cfRule type="cellIs" dxfId="891" priority="23189" operator="equal">
      <formula>"RI"</formula>
    </cfRule>
    <cfRule type="cellIs" dxfId="890" priority="23190" operator="equal">
      <formula>"PT"</formula>
    </cfRule>
    <cfRule type="expression" dxfId="889" priority="23191">
      <formula>"PICKUP"</formula>
    </cfRule>
    <cfRule type="cellIs" dxfId="888" priority="23192" operator="equal">
      <formula>"GW"</formula>
    </cfRule>
    <cfRule type="cellIs" dxfId="887" priority="23193" operator="equal">
      <formula>"TRIM"</formula>
    </cfRule>
    <cfRule type="cellIs" dxfId="886" priority="23194" operator="equal">
      <formula>"RI"</formula>
    </cfRule>
    <cfRule type="cellIs" dxfId="885" priority="23195" operator="equal">
      <formula>"PT"</formula>
    </cfRule>
    <cfRule type="expression" dxfId="884" priority="23196">
      <formula>"PICKUP"</formula>
    </cfRule>
    <cfRule type="cellIs" dxfId="883" priority="23197" operator="equal">
      <formula>"GW"</formula>
    </cfRule>
    <cfRule type="cellIs" dxfId="882" priority="23198" operator="equal">
      <formula>"TRIM"</formula>
    </cfRule>
    <cfRule type="cellIs" dxfId="881" priority="23199" operator="equal">
      <formula>"RI"</formula>
    </cfRule>
    <cfRule type="cellIs" dxfId="880" priority="23200" operator="equal">
      <formula>"PT"</formula>
    </cfRule>
    <cfRule type="expression" dxfId="879" priority="23201">
      <formula>"PICKUP"</formula>
    </cfRule>
    <cfRule type="cellIs" dxfId="878" priority="23202" operator="equal">
      <formula>"GW"</formula>
    </cfRule>
    <cfRule type="cellIs" dxfId="877" priority="23203" operator="equal">
      <formula>"TRIM"</formula>
    </cfRule>
    <cfRule type="cellIs" dxfId="876" priority="23204" operator="equal">
      <formula>"RI"</formula>
    </cfRule>
    <cfRule type="cellIs" dxfId="875" priority="23205" operator="equal">
      <formula>"PT"</formula>
    </cfRule>
    <cfRule type="expression" dxfId="874" priority="23206">
      <formula>"PICKUP"</formula>
    </cfRule>
    <cfRule type="cellIs" dxfId="873" priority="23207" operator="equal">
      <formula>"GW"</formula>
    </cfRule>
    <cfRule type="cellIs" dxfId="872" priority="23208" operator="equal">
      <formula>"TRIM"</formula>
    </cfRule>
    <cfRule type="cellIs" dxfId="871" priority="23209" operator="equal">
      <formula>"RI"</formula>
    </cfRule>
    <cfRule type="cellIs" dxfId="870" priority="23210" operator="equal">
      <formula>"PT"</formula>
    </cfRule>
    <cfRule type="expression" dxfId="869" priority="23211">
      <formula>"PICKUP"</formula>
    </cfRule>
    <cfRule type="cellIs" dxfId="868" priority="23212" operator="equal">
      <formula>"GW"</formula>
    </cfRule>
    <cfRule type="cellIs" dxfId="867" priority="23213" operator="equal">
      <formula>"TRIM"</formula>
    </cfRule>
    <cfRule type="cellIs" dxfId="866" priority="23214" operator="equal">
      <formula>"RI"</formula>
    </cfRule>
    <cfRule type="cellIs" dxfId="865" priority="23215" operator="equal">
      <formula>"PT"</formula>
    </cfRule>
    <cfRule type="expression" dxfId="864" priority="23216">
      <formula>"PICKUP"</formula>
    </cfRule>
    <cfRule type="cellIs" dxfId="863" priority="23217" operator="equal">
      <formula>"GW"</formula>
    </cfRule>
    <cfRule type="cellIs" dxfId="862" priority="23218" operator="equal">
      <formula>"TRIM"</formula>
    </cfRule>
    <cfRule type="cellIs" dxfId="861" priority="23219" operator="equal">
      <formula>"RI"</formula>
    </cfRule>
    <cfRule type="cellIs" dxfId="860" priority="23220" operator="equal">
      <formula>"PT"</formula>
    </cfRule>
    <cfRule type="expression" dxfId="859" priority="23221">
      <formula>"PICKUP"</formula>
    </cfRule>
    <cfRule type="cellIs" dxfId="858" priority="23222" operator="equal">
      <formula>"GW"</formula>
    </cfRule>
    <cfRule type="cellIs" dxfId="857" priority="23223" operator="equal">
      <formula>"TRIM"</formula>
    </cfRule>
    <cfRule type="cellIs" dxfId="856" priority="23224" operator="equal">
      <formula>"RI"</formula>
    </cfRule>
    <cfRule type="cellIs" dxfId="855" priority="23225" operator="equal">
      <formula>"PT"</formula>
    </cfRule>
    <cfRule type="expression" dxfId="854" priority="23226">
      <formula>"PICKUP"</formula>
    </cfRule>
    <cfRule type="cellIs" dxfId="853" priority="23227" operator="equal">
      <formula>"GW"</formula>
    </cfRule>
    <cfRule type="cellIs" dxfId="852" priority="23228" operator="equal">
      <formula>"TRIM"</formula>
    </cfRule>
    <cfRule type="cellIs" dxfId="851" priority="23229" operator="equal">
      <formula>"RI"</formula>
    </cfRule>
    <cfRule type="cellIs" dxfId="850" priority="23230" operator="equal">
      <formula>"PT"</formula>
    </cfRule>
    <cfRule type="expression" dxfId="849" priority="23231">
      <formula>"PICKUP"</formula>
    </cfRule>
    <cfRule type="cellIs" dxfId="848" priority="23232" operator="equal">
      <formula>"GW"</formula>
    </cfRule>
    <cfRule type="cellIs" dxfId="847" priority="23233" operator="equal">
      <formula>"TRIM"</formula>
    </cfRule>
    <cfRule type="cellIs" dxfId="846" priority="23234" operator="equal">
      <formula>"RI"</formula>
    </cfRule>
    <cfRule type="cellIs" dxfId="845" priority="23235" operator="equal">
      <formula>"PT"</formula>
    </cfRule>
    <cfRule type="expression" dxfId="844" priority="23236">
      <formula>"PICKUP"</formula>
    </cfRule>
    <cfRule type="cellIs" dxfId="843" priority="23237" operator="equal">
      <formula>"GW"</formula>
    </cfRule>
    <cfRule type="cellIs" dxfId="842" priority="23238" operator="equal">
      <formula>"TRIM"</formula>
    </cfRule>
    <cfRule type="cellIs" dxfId="841" priority="23239" operator="equal">
      <formula>"RI"</formula>
    </cfRule>
    <cfRule type="cellIs" dxfId="840" priority="23240" operator="equal">
      <formula>"PT"</formula>
    </cfRule>
    <cfRule type="expression" dxfId="839" priority="23241">
      <formula>"PICKUP"</formula>
    </cfRule>
    <cfRule type="cellIs" dxfId="838" priority="23242" operator="equal">
      <formula>"GW"</formula>
    </cfRule>
    <cfRule type="cellIs" dxfId="837" priority="23243" operator="equal">
      <formula>"TRIM"</formula>
    </cfRule>
    <cfRule type="cellIs" dxfId="836" priority="23244" operator="equal">
      <formula>"RI"</formula>
    </cfRule>
    <cfRule type="cellIs" dxfId="835" priority="23245" operator="equal">
      <formula>"PT"</formula>
    </cfRule>
  </conditionalFormatting>
  <conditionalFormatting sqref="FB62:FI63">
    <cfRule type="expression" dxfId="834" priority="26760">
      <formula>"PICKUP"</formula>
    </cfRule>
    <cfRule type="cellIs" dxfId="833" priority="26761" operator="equal">
      <formula>"GW"</formula>
    </cfRule>
    <cfRule type="cellIs" dxfId="832" priority="26762" operator="equal">
      <formula>"TRIM"</formula>
    </cfRule>
    <cfRule type="cellIs" dxfId="831" priority="26763" operator="equal">
      <formula>"RI"</formula>
    </cfRule>
    <cfRule type="cellIs" dxfId="830" priority="26764" operator="equal">
      <formula>"PT"</formula>
    </cfRule>
    <cfRule type="expression" dxfId="829" priority="26765">
      <formula>"PICKUP"</formula>
    </cfRule>
    <cfRule type="cellIs" dxfId="828" priority="26766" operator="equal">
      <formula>"GW"</formula>
    </cfRule>
    <cfRule type="cellIs" dxfId="827" priority="26767" operator="equal">
      <formula>"TRIM"</formula>
    </cfRule>
    <cfRule type="cellIs" dxfId="826" priority="26768" operator="equal">
      <formula>"RI"</formula>
    </cfRule>
    <cfRule type="cellIs" dxfId="825" priority="26769" operator="equal">
      <formula>"PT"</formula>
    </cfRule>
  </conditionalFormatting>
  <conditionalFormatting sqref="FB62:FS63">
    <cfRule type="expression" dxfId="824" priority="26790">
      <formula>"PICKUP"</formula>
    </cfRule>
    <cfRule type="cellIs" dxfId="823" priority="26791" operator="equal">
      <formula>"GW"</formula>
    </cfRule>
    <cfRule type="cellIs" dxfId="822" priority="26792" operator="equal">
      <formula>"TRIM"</formula>
    </cfRule>
    <cfRule type="cellIs" dxfId="821" priority="26793" operator="equal">
      <formula>"RI"</formula>
    </cfRule>
    <cfRule type="cellIs" dxfId="820" priority="26794" operator="equal">
      <formula>"PT"</formula>
    </cfRule>
  </conditionalFormatting>
  <conditionalFormatting sqref="FB62:FY63">
    <cfRule type="expression" dxfId="819" priority="26795">
      <formula>"PICKUP"</formula>
    </cfRule>
    <cfRule type="cellIs" dxfId="818" priority="26796" operator="equal">
      <formula>"GW"</formula>
    </cfRule>
    <cfRule type="cellIs" dxfId="817" priority="26797" operator="equal">
      <formula>"TRIM"</formula>
    </cfRule>
    <cfRule type="cellIs" dxfId="816" priority="26798" operator="equal">
      <formula>"RI"</formula>
    </cfRule>
    <cfRule type="cellIs" dxfId="815" priority="26799" operator="equal">
      <formula>"PT"</formula>
    </cfRule>
    <cfRule type="expression" dxfId="814" priority="26835">
      <formula>"PICKUP"</formula>
    </cfRule>
    <cfRule type="cellIs" dxfId="813" priority="26836" operator="equal">
      <formula>"GW"</formula>
    </cfRule>
    <cfRule type="cellIs" dxfId="812" priority="26837" operator="equal">
      <formula>"TRIM"</formula>
    </cfRule>
    <cfRule type="cellIs" dxfId="811" priority="26838" operator="equal">
      <formula>"RI"</formula>
    </cfRule>
    <cfRule type="cellIs" dxfId="810" priority="26839" operator="equal">
      <formula>"PT"</formula>
    </cfRule>
    <cfRule type="expression" dxfId="809" priority="26875">
      <formula>"PICKUP"</formula>
    </cfRule>
    <cfRule type="cellIs" dxfId="808" priority="26876" operator="equal">
      <formula>"GW"</formula>
    </cfRule>
    <cfRule type="cellIs" dxfId="807" priority="26877" operator="equal">
      <formula>"TRIM"</formula>
    </cfRule>
    <cfRule type="cellIs" dxfId="806" priority="26878" operator="equal">
      <formula>"RI"</formula>
    </cfRule>
    <cfRule type="cellIs" dxfId="805" priority="26879" operator="equal">
      <formula>"PT"</formula>
    </cfRule>
  </conditionalFormatting>
  <conditionalFormatting sqref="FB62:GI63">
    <cfRule type="expression" dxfId="804" priority="26710">
      <formula>"PICKUP"</formula>
    </cfRule>
    <cfRule type="cellIs" dxfId="803" priority="26711" operator="equal">
      <formula>"GW"</formula>
    </cfRule>
    <cfRule type="cellIs" dxfId="802" priority="26712" operator="equal">
      <formula>"TRIM"</formula>
    </cfRule>
    <cfRule type="cellIs" dxfId="801" priority="26713" operator="equal">
      <formula>"RI"</formula>
    </cfRule>
    <cfRule type="cellIs" dxfId="800" priority="26714" operator="equal">
      <formula>"PT"</formula>
    </cfRule>
    <cfRule type="expression" dxfId="799" priority="26715">
      <formula>"PICKUP"</formula>
    </cfRule>
    <cfRule type="cellIs" dxfId="798" priority="26716" operator="equal">
      <formula>"GW"</formula>
    </cfRule>
    <cfRule type="cellIs" dxfId="797" priority="26717" operator="equal">
      <formula>"TRIM"</formula>
    </cfRule>
    <cfRule type="cellIs" dxfId="796" priority="26718" operator="equal">
      <formula>"RI"</formula>
    </cfRule>
    <cfRule type="cellIs" dxfId="795" priority="26719" operator="equal">
      <formula>"PT"</formula>
    </cfRule>
    <cfRule type="expression" dxfId="794" priority="26720">
      <formula>"PICKUP"</formula>
    </cfRule>
    <cfRule type="cellIs" dxfId="793" priority="26721" operator="equal">
      <formula>"GW"</formula>
    </cfRule>
    <cfRule type="cellIs" dxfId="792" priority="26722" operator="equal">
      <formula>"TRIM"</formula>
    </cfRule>
    <cfRule type="cellIs" dxfId="791" priority="26723" operator="equal">
      <formula>"RI"</formula>
    </cfRule>
    <cfRule type="cellIs" dxfId="790" priority="26724" operator="equal">
      <formula>"PT"</formula>
    </cfRule>
  </conditionalFormatting>
  <conditionalFormatting sqref="FD61:FO61 FT61:FU61">
    <cfRule type="cellIs" dxfId="789" priority="29519" operator="equal">
      <formula>"GW"</formula>
    </cfRule>
    <cfRule type="cellIs" dxfId="788" priority="29520" operator="equal">
      <formula>"TRIM"</formula>
    </cfRule>
    <cfRule type="cellIs" dxfId="787" priority="29521" operator="equal">
      <formula>"RI"</formula>
    </cfRule>
    <cfRule type="cellIs" dxfId="786" priority="29522" operator="equal">
      <formula>"PT"</formula>
    </cfRule>
  </conditionalFormatting>
  <conditionalFormatting sqref="FD85:GC87">
    <cfRule type="expression" dxfId="785" priority="897">
      <formula>"PICKUP"</formula>
    </cfRule>
    <cfRule type="cellIs" dxfId="784" priority="898" operator="equal">
      <formula>"GW"</formula>
    </cfRule>
    <cfRule type="cellIs" dxfId="783" priority="899" operator="equal">
      <formula>"TRIM"</formula>
    </cfRule>
    <cfRule type="cellIs" dxfId="782" priority="900" operator="equal">
      <formula>"RI"</formula>
    </cfRule>
    <cfRule type="cellIs" dxfId="781" priority="901" operator="equal">
      <formula>"PT"</formula>
    </cfRule>
  </conditionalFormatting>
  <conditionalFormatting sqref="FD107:GI108">
    <cfRule type="expression" dxfId="780" priority="15422">
      <formula>"PICKUP"</formula>
    </cfRule>
    <cfRule type="cellIs" dxfId="779" priority="15423" operator="equal">
      <formula>"GW"</formula>
    </cfRule>
    <cfRule type="cellIs" dxfId="778" priority="15424" operator="equal">
      <formula>"TRIM"</formula>
    </cfRule>
    <cfRule type="cellIs" dxfId="777" priority="15425" operator="equal">
      <formula>"RI"</formula>
    </cfRule>
    <cfRule type="cellIs" dxfId="776" priority="15426" operator="equal">
      <formula>"PT"</formula>
    </cfRule>
  </conditionalFormatting>
  <conditionalFormatting sqref="FF58:FG59">
    <cfRule type="expression" dxfId="775" priority="28597">
      <formula>"PICKUP"</formula>
    </cfRule>
    <cfRule type="cellIs" dxfId="774" priority="28598" operator="equal">
      <formula>"GW"</formula>
    </cfRule>
    <cfRule type="cellIs" dxfId="773" priority="28599" operator="equal">
      <formula>"TRIM"</formula>
    </cfRule>
    <cfRule type="cellIs" dxfId="772" priority="28600" operator="equal">
      <formula>"RI"</formula>
    </cfRule>
    <cfRule type="cellIs" dxfId="771" priority="28601" operator="equal">
      <formula>"PT"</formula>
    </cfRule>
  </conditionalFormatting>
  <conditionalFormatting sqref="FH62:FY63">
    <cfRule type="expression" dxfId="770" priority="26745">
      <formula>"PICKUP"</formula>
    </cfRule>
    <cfRule type="cellIs" dxfId="769" priority="26746" operator="equal">
      <formula>"GW"</formula>
    </cfRule>
    <cfRule type="cellIs" dxfId="768" priority="26747" operator="equal">
      <formula>"TRIM"</formula>
    </cfRule>
    <cfRule type="cellIs" dxfId="767" priority="26748" operator="equal">
      <formula>"RI"</formula>
    </cfRule>
    <cfRule type="cellIs" dxfId="766" priority="26749" operator="equal">
      <formula>"PT"</formula>
    </cfRule>
  </conditionalFormatting>
  <conditionalFormatting sqref="FH62:GE63">
    <cfRule type="expression" dxfId="765" priority="26750">
      <formula>"PICKUP"</formula>
    </cfRule>
    <cfRule type="cellIs" dxfId="764" priority="26751" operator="equal">
      <formula>"GW"</formula>
    </cfRule>
    <cfRule type="cellIs" dxfId="763" priority="26752" operator="equal">
      <formula>"TRIM"</formula>
    </cfRule>
    <cfRule type="cellIs" dxfId="762" priority="26753" operator="equal">
      <formula>"RI"</formula>
    </cfRule>
    <cfRule type="cellIs" dxfId="761" priority="26754" operator="equal">
      <formula>"PT"</formula>
    </cfRule>
  </conditionalFormatting>
  <conditionalFormatting sqref="FJ62:FK63">
    <cfRule type="expression" dxfId="760" priority="24171">
      <formula>"PICKUP"</formula>
    </cfRule>
    <cfRule type="cellIs" dxfId="759" priority="24172" operator="equal">
      <formula>"GW"</formula>
    </cfRule>
    <cfRule type="cellIs" dxfId="758" priority="24173" operator="equal">
      <formula>"TRIM"</formula>
    </cfRule>
    <cfRule type="cellIs" dxfId="757" priority="24174" operator="equal">
      <formula>"RI"</formula>
    </cfRule>
    <cfRule type="cellIs" dxfId="756" priority="24175" operator="equal">
      <formula>"PT"</formula>
    </cfRule>
  </conditionalFormatting>
  <conditionalFormatting sqref="FL62:FM63">
    <cfRule type="expression" dxfId="755" priority="23156">
      <formula>"PICKUP"</formula>
    </cfRule>
    <cfRule type="cellIs" dxfId="754" priority="23157" operator="equal">
      <formula>"GW"</formula>
    </cfRule>
    <cfRule type="cellIs" dxfId="753" priority="23158" operator="equal">
      <formula>"TRIM"</formula>
    </cfRule>
    <cfRule type="cellIs" dxfId="752" priority="23159" operator="equal">
      <formula>"RI"</formula>
    </cfRule>
    <cfRule type="cellIs" dxfId="751" priority="23160" operator="equal">
      <formula>"PT"</formula>
    </cfRule>
  </conditionalFormatting>
  <conditionalFormatting sqref="FN62:FO63">
    <cfRule type="expression" dxfId="750" priority="24146">
      <formula>"PICKUP"</formula>
    </cfRule>
    <cfRule type="cellIs" dxfId="749" priority="24147" operator="equal">
      <formula>"GW"</formula>
    </cfRule>
    <cfRule type="cellIs" dxfId="748" priority="24148" operator="equal">
      <formula>"TRIM"</formula>
    </cfRule>
    <cfRule type="cellIs" dxfId="747" priority="24149" operator="equal">
      <formula>"RI"</formula>
    </cfRule>
    <cfRule type="cellIs" dxfId="746" priority="24150" operator="equal">
      <formula>"PT"</formula>
    </cfRule>
  </conditionalFormatting>
  <conditionalFormatting sqref="FN85:GC87">
    <cfRule type="expression" dxfId="745" priority="892">
      <formula>"PICKUP"</formula>
    </cfRule>
    <cfRule type="cellIs" dxfId="744" priority="893" operator="equal">
      <formula>"GW"</formula>
    </cfRule>
    <cfRule type="cellIs" dxfId="743" priority="894" operator="equal">
      <formula>"TRIM"</formula>
    </cfRule>
    <cfRule type="cellIs" dxfId="742" priority="895" operator="equal">
      <formula>"RI"</formula>
    </cfRule>
    <cfRule type="cellIs" dxfId="741" priority="896" operator="equal">
      <formula>"PT"</formula>
    </cfRule>
  </conditionalFormatting>
  <conditionalFormatting sqref="FN107:GS108">
    <cfRule type="expression" dxfId="740" priority="15412">
      <formula>"PICKUP"</formula>
    </cfRule>
    <cfRule type="cellIs" dxfId="739" priority="15413" operator="equal">
      <formula>"GW"</formula>
    </cfRule>
    <cfRule type="cellIs" dxfId="738" priority="15414" operator="equal">
      <formula>"TRIM"</formula>
    </cfRule>
    <cfRule type="cellIs" dxfId="737" priority="15415" operator="equal">
      <formula>"RI"</formula>
    </cfRule>
    <cfRule type="cellIs" dxfId="736" priority="15416" operator="equal">
      <formula>"PT"</formula>
    </cfRule>
  </conditionalFormatting>
  <conditionalFormatting sqref="FP61:FQ63">
    <cfRule type="expression" dxfId="735" priority="23131">
      <formula>"PICKUP"</formula>
    </cfRule>
    <cfRule type="cellIs" dxfId="734" priority="23132" operator="equal">
      <formula>"GW"</formula>
    </cfRule>
    <cfRule type="cellIs" dxfId="733" priority="23133" operator="equal">
      <formula>"TRIM"</formula>
    </cfRule>
    <cfRule type="cellIs" dxfId="732" priority="23134" operator="equal">
      <formula>"RI"</formula>
    </cfRule>
    <cfRule type="cellIs" dxfId="731" priority="23135" operator="equal">
      <formula>"PT"</formula>
    </cfRule>
  </conditionalFormatting>
  <conditionalFormatting sqref="FR61:FS61">
    <cfRule type="expression" dxfId="730" priority="18236">
      <formula>"PICKUP"</formula>
    </cfRule>
    <cfRule type="cellIs" dxfId="729" priority="18237" operator="equal">
      <formula>"GW"</formula>
    </cfRule>
    <cfRule type="cellIs" dxfId="728" priority="18238" operator="equal">
      <formula>"TRIM"</formula>
    </cfRule>
    <cfRule type="cellIs" dxfId="727" priority="18239" operator="equal">
      <formula>"RI"</formula>
    </cfRule>
    <cfRule type="cellIs" dxfId="726" priority="18240" operator="equal">
      <formula>"PT"</formula>
    </cfRule>
  </conditionalFormatting>
  <conditionalFormatting sqref="FR150:FU150">
    <cfRule type="colorScale" priority="29090">
      <colorScale>
        <cfvo type="num" val="1"/>
        <cfvo type="num" val="28"/>
        <color theme="7" tint="0.79998168889431442"/>
        <color theme="5" tint="-0.249977111117893"/>
      </colorScale>
    </cfRule>
  </conditionalFormatting>
  <conditionalFormatting sqref="FR62:FY63">
    <cfRule type="expression" dxfId="725" priority="26785">
      <formula>"PICKUP"</formula>
    </cfRule>
    <cfRule type="cellIs" dxfId="724" priority="26786" operator="equal">
      <formula>"GW"</formula>
    </cfRule>
    <cfRule type="cellIs" dxfId="723" priority="26787" operator="equal">
      <formula>"TRIM"</formula>
    </cfRule>
    <cfRule type="cellIs" dxfId="722" priority="26788" operator="equal">
      <formula>"RI"</formula>
    </cfRule>
    <cfRule type="cellIs" dxfId="721" priority="26789" operator="equal">
      <formula>"PT"</formula>
    </cfRule>
  </conditionalFormatting>
  <conditionalFormatting sqref="FT61:FU61 FD61:FO61">
    <cfRule type="expression" dxfId="720" priority="29518">
      <formula>"PICKUP"</formula>
    </cfRule>
  </conditionalFormatting>
  <conditionalFormatting sqref="FT62:FU63">
    <cfRule type="expression" dxfId="719" priority="24131">
      <formula>"PICKUP"</formula>
    </cfRule>
    <cfRule type="cellIs" dxfId="718" priority="24132" operator="equal">
      <formula>"GW"</formula>
    </cfRule>
    <cfRule type="cellIs" dxfId="717" priority="24133" operator="equal">
      <formula>"TRIM"</formula>
    </cfRule>
    <cfRule type="cellIs" dxfId="716" priority="24134" operator="equal">
      <formula>"RI"</formula>
    </cfRule>
    <cfRule type="cellIs" dxfId="715" priority="24135" operator="equal">
      <formula>"PT"</formula>
    </cfRule>
    <cfRule type="expression" dxfId="714" priority="24186">
      <formula>"PICKUP"</formula>
    </cfRule>
    <cfRule type="cellIs" dxfId="713" priority="24187" operator="equal">
      <formula>"GW"</formula>
    </cfRule>
    <cfRule type="cellIs" dxfId="712" priority="24188" operator="equal">
      <formula>"TRIM"</formula>
    </cfRule>
    <cfRule type="cellIs" dxfId="711" priority="24189" operator="equal">
      <formula>"RI"</formula>
    </cfRule>
    <cfRule type="cellIs" dxfId="710" priority="24190" operator="equal">
      <formula>"PT"</formula>
    </cfRule>
  </conditionalFormatting>
  <conditionalFormatting sqref="FT61:IK61">
    <cfRule type="expression" dxfId="709" priority="28810">
      <formula>"PICKUP"</formula>
    </cfRule>
    <cfRule type="cellIs" dxfId="708" priority="28811" operator="equal">
      <formula>"GW"</formula>
    </cfRule>
    <cfRule type="cellIs" dxfId="707" priority="28812" operator="equal">
      <formula>"TRIM"</formula>
    </cfRule>
    <cfRule type="cellIs" dxfId="706" priority="28813" operator="equal">
      <formula>"RI"</formula>
    </cfRule>
    <cfRule type="cellIs" dxfId="705" priority="28814" operator="equal">
      <formula>"PT"</formula>
    </cfRule>
  </conditionalFormatting>
  <conditionalFormatting sqref="FV17:FV21 FX17:FX21 FZ17:FZ21 GB17:GB21 GD17:GD21 GF17:GF21 GH17:GH21 GJ17:GJ21 GL17:GL21 GN17:GN21 GP17:GP21 GR17:GR21 GV17:GV21 GX17:GX21 GZ17:GZ21 HB17:HB21 HD17:HD21 HF17:HF21 HH17:HH21 HJ17:HJ21 HL17:HL21 HN17:HN21 HP17:HP21 HR17:HR21 GT17:GT21">
    <cfRule type="colorScale" priority="28891">
      <colorScale>
        <cfvo type="min"/>
        <cfvo type="percentile" val="50"/>
        <cfvo type="max"/>
        <color rgb="FFF8696B"/>
        <color rgb="FFFFEB84"/>
        <color rgb="FF63BE7B"/>
      </colorScale>
    </cfRule>
  </conditionalFormatting>
  <conditionalFormatting sqref="FV239:FV241 FX239:FX241 FZ239:FZ241 GB239:GB241 GD239:GD241 GF239:GF241 GH239:GH241 GJ239:GJ241 HR239:HR241 HP239:HP241 HN239:HN241 HL239:HL241 HJ239:HJ241 HH239:HH241 HF239:HF241 HD239:HD241 HB239:HB241 GZ239:GZ241 GX239:GX241 GV239:GV241 GR239:GR241 GP239:GP241 GN239:GN241 GL239:GL241 GT239:GT241 FV204:FV219 FX204:FX219 FZ204:FZ219 GB204:GB219 GD204:GD219 GF204:GF219 GH204:GH219 GJ204:GJ219 HR204:HR219 HP204:HP219 HN204:HN219 HL204:HL219 HJ204:HJ219 HH204:HH219 HF204:HF219 HD204:HD219 HB204:HB219 GZ204:GZ219 GX204:GX219 GV204:GV219 GR204:GR219 GP204:GP219 GN204:GN219 GL204:GL219 GT204:GT219 FV224:FV227 FX224:FX227 FZ224:FZ227 GB224:GB227 GD224:GD227 GF224:GF227 GH224:GH227 GJ224:GJ227 HR224:HR227 HP224:HP227 HN224:HN227 HL224:HL227 HJ224:HJ227 HH224:HH227 HF224:HF227 HD224:HD227 HB224:HB227 GZ224:GZ227 GX224:GX227 GV224:GV227 GR224:GR227 GP224:GP227 GN224:GN227 GL224:GL227 GT224:GT227">
    <cfRule type="colorScale" priority="105143">
      <colorScale>
        <cfvo type="min"/>
        <cfvo type="percentile" val="50"/>
        <cfvo type="max"/>
        <color rgb="FFF8696B"/>
        <color rgb="FFFFEB84"/>
        <color rgb="FF63BE7B"/>
      </colorScale>
    </cfRule>
  </conditionalFormatting>
  <conditionalFormatting sqref="FV242:FV324 FV232:FV238 FX232:FX238 FX242:FX324 FZ232:FZ238 FZ242:FZ324 GB232:GB238 GB242:GB324 GD232:GD238 GD242:GD324 GF232:GF238 GF242:GF324 GH232:GH238 GH242:GH324 GJ232:GJ238 GJ242:GJ324 HR232:HR238 HR242:HR324 HP232:HP238 HP242:HP324 HN232:HN238 HN242:HN324 HL232:HL238 HL242:HL324 HJ232:HJ238 HJ242:HJ324 HH232:HH238 HH242:HH324 HF232:HF238 HF242:HF324 HD232:HD238 HD242:HD324 HB232:HB238 HB242:HB324 GZ232:GZ238 GZ242:GZ324 GX232:GX238 GX242:GX324 GV232:GV238 GV242:GV324 GR232:GR238 GR242:GR324 GP232:GP238 GP242:GP324 GN232:GN238 GN242:GN324 GL232:GL238 GL242:GL324 GT232:GT238 GT242:GT324 GT228:GT229 GL228:GL229 GN228:GN229 GP228:GP229 GR228:GR229 GV228:GV229 GX228:GX229 GZ228:GZ229 HB228:HB229 HD228:HD229 HF228:HF229 HH228:HH229 HJ228:HJ229 HL228:HL229 HN228:HN229 HP228:HP229 HR228:HR229 GJ228:GJ229 GH228:GH229 GF228:GF229 GD228:GD229 GB228:GB229 FZ228:FZ229 FX228:FX229 FV228:FV229 FV220:FV221 FX220:FX221 FZ220:FZ221 GB220:GB221 GD220:GD221 GF220:GF221 GH220:GH221 GJ220:GJ221 HR220:HR221 HP220:HP221 HN220:HN221 HL220:HL221 HJ220:HJ221 HH220:HH221 HF220:HF221 HD220:HD221 HB220:HB221 GZ220:GZ221 GX220:GX221 GV220:GV221 GR220:GR221 GP220:GP221 GN220:GN221 GL220:GL221 GT220:GT221 FV200:FV203 FX200:FX203 FZ200:FZ203 GB200:GB203 GD200:GD203 GF200:GF203 GH200:GH203 GJ200:GJ203 HR200:HR203 HP200:HP203 HN200:HN203 HL200:HL203 HJ200:HJ203 HH200:HH203 HF200:HF203 HD200:HD203 HB200:HB203 GZ200:GZ203 GX200:GX203 GV200:GV203 GR200:GR203 GP200:GP203 GN200:GN203 GL200:GL203 GT200:GT203">
    <cfRule type="colorScale" priority="80732">
      <colorScale>
        <cfvo type="min"/>
        <cfvo type="percentile" val="50"/>
        <cfvo type="max"/>
        <color rgb="FFF8696B"/>
        <color rgb="FFFFEB84"/>
        <color rgb="FF63BE7B"/>
      </colorScale>
    </cfRule>
  </conditionalFormatting>
  <conditionalFormatting sqref="FV62:FW63">
    <cfRule type="expression" dxfId="704" priority="23116">
      <formula>"PICKUP"</formula>
    </cfRule>
    <cfRule type="cellIs" dxfId="703" priority="23117" operator="equal">
      <formula>"GW"</formula>
    </cfRule>
    <cfRule type="cellIs" dxfId="702" priority="23118" operator="equal">
      <formula>"TRIM"</formula>
    </cfRule>
    <cfRule type="cellIs" dxfId="701" priority="23119" operator="equal">
      <formula>"RI"</formula>
    </cfRule>
    <cfRule type="cellIs" dxfId="700" priority="23120" operator="equal">
      <formula>"PT"</formula>
    </cfRule>
    <cfRule type="expression" dxfId="699" priority="23171">
      <formula>"PICKUP"</formula>
    </cfRule>
    <cfRule type="cellIs" dxfId="698" priority="23172" operator="equal">
      <formula>"GW"</formula>
    </cfRule>
    <cfRule type="cellIs" dxfId="697" priority="23173" operator="equal">
      <formula>"TRIM"</formula>
    </cfRule>
    <cfRule type="cellIs" dxfId="696" priority="23174" operator="equal">
      <formula>"RI"</formula>
    </cfRule>
    <cfRule type="cellIs" dxfId="695" priority="23175" operator="equal">
      <formula>"PT"</formula>
    </cfRule>
  </conditionalFormatting>
  <conditionalFormatting sqref="FV61:HQ61">
    <cfRule type="expression" dxfId="694" priority="28798">
      <formula>"PICKUP"</formula>
    </cfRule>
    <cfRule type="cellIs" dxfId="693" priority="28799" operator="equal">
      <formula>"GW"</formula>
    </cfRule>
    <cfRule type="cellIs" dxfId="692" priority="28800" operator="equal">
      <formula>"TRIM"</formula>
    </cfRule>
    <cfRule type="cellIs" dxfId="691" priority="28801" operator="equal">
      <formula>"RI"</formula>
    </cfRule>
    <cfRule type="cellIs" dxfId="690" priority="28802" operator="equal">
      <formula>"PT"</formula>
    </cfRule>
  </conditionalFormatting>
  <conditionalFormatting sqref="FV17:HS17 FV19:HS19">
    <cfRule type="cellIs" dxfId="689" priority="28892" operator="equal">
      <formula>"GW"</formula>
    </cfRule>
    <cfRule type="cellIs" dxfId="688" priority="28893" operator="equal">
      <formula>"PT"</formula>
    </cfRule>
    <cfRule type="cellIs" dxfId="687" priority="28894" operator="equal">
      <formula>"TRIM"</formula>
    </cfRule>
    <cfRule type="cellIs" dxfId="686" priority="28899" operator="equal">
      <formula>"RI"</formula>
    </cfRule>
  </conditionalFormatting>
  <conditionalFormatting sqref="FV21:HS53">
    <cfRule type="cellIs" dxfId="685" priority="28836" operator="equal">
      <formula>"GW"</formula>
    </cfRule>
    <cfRule type="cellIs" dxfId="684" priority="28837" operator="equal">
      <formula>"TRIM"</formula>
    </cfRule>
  </conditionalFormatting>
  <conditionalFormatting sqref="FV25:HS53">
    <cfRule type="expression" dxfId="683" priority="28835">
      <formula>"PICKUP"</formula>
    </cfRule>
  </conditionalFormatting>
  <conditionalFormatting sqref="FV32:HS53">
    <cfRule type="cellIs" dxfId="682" priority="28838" operator="equal">
      <formula>"RI"</formula>
    </cfRule>
    <cfRule type="cellIs" dxfId="681" priority="28839" operator="equal">
      <formula>"PT"</formula>
    </cfRule>
  </conditionalFormatting>
  <conditionalFormatting sqref="FV111:HS117 FV136:HS136 FV122:HS122">
    <cfRule type="colorScale" priority="28889">
      <colorScale>
        <cfvo type="num" val="1"/>
        <cfvo type="num" val="28"/>
        <color theme="7" tint="0.79998168889431442"/>
        <color theme="5" tint="-0.249977111117893"/>
      </colorScale>
    </cfRule>
  </conditionalFormatting>
  <conditionalFormatting sqref="FV118:HS118">
    <cfRule type="colorScale" priority="28853">
      <colorScale>
        <cfvo type="num" val="1"/>
        <cfvo type="num" val="28"/>
        <color theme="7" tint="0.79998168889431442"/>
        <color theme="5" tint="-0.249977111117893"/>
      </colorScale>
    </cfRule>
  </conditionalFormatting>
  <conditionalFormatting sqref="FV119:HS119">
    <cfRule type="colorScale" priority="28857">
      <colorScale>
        <cfvo type="num" val="1"/>
        <cfvo type="num" val="28"/>
        <color theme="7" tint="0.79998168889431442"/>
        <color theme="5" tint="-0.249977111117893"/>
      </colorScale>
    </cfRule>
  </conditionalFormatting>
  <conditionalFormatting sqref="FV120:HS120">
    <cfRule type="colorScale" priority="28863">
      <colorScale>
        <cfvo type="num" val="1"/>
        <cfvo type="num" val="28"/>
        <color theme="7" tint="0.79998168889431442"/>
        <color theme="5" tint="-0.249977111117893"/>
      </colorScale>
    </cfRule>
  </conditionalFormatting>
  <conditionalFormatting sqref="FV121:HS121">
    <cfRule type="colorScale" priority="28861">
      <colorScale>
        <cfvo type="num" val="1"/>
        <cfvo type="num" val="28"/>
        <color theme="7" tint="0.79998168889431442"/>
        <color theme="5" tint="-0.249977111117893"/>
      </colorScale>
    </cfRule>
  </conditionalFormatting>
  <conditionalFormatting sqref="FV123:HS123 FV125:HS125">
    <cfRule type="colorScale" priority="28903">
      <colorScale>
        <cfvo type="num" val="1"/>
        <cfvo type="num" val="28"/>
        <color theme="7" tint="0.79998168889431442"/>
        <color theme="5" tint="-0.249977111117893"/>
      </colorScale>
    </cfRule>
  </conditionalFormatting>
  <conditionalFormatting sqref="FV124:HS124">
    <cfRule type="colorScale" priority="28862">
      <colorScale>
        <cfvo type="num" val="1"/>
        <cfvo type="num" val="28"/>
        <color theme="7" tint="0.79998168889431442"/>
        <color theme="5" tint="-0.249977111117893"/>
      </colorScale>
    </cfRule>
  </conditionalFormatting>
  <conditionalFormatting sqref="FV126:HS126">
    <cfRule type="colorScale" priority="28854">
      <colorScale>
        <cfvo type="num" val="1"/>
        <cfvo type="num" val="28"/>
        <color theme="7" tint="0.79998168889431442"/>
        <color theme="5" tint="-0.249977111117893"/>
      </colorScale>
    </cfRule>
  </conditionalFormatting>
  <conditionalFormatting sqref="FV127:HS127 FV134:HS135">
    <cfRule type="colorScale" priority="28849">
      <colorScale>
        <cfvo type="num" val="1"/>
        <cfvo type="num" val="28"/>
        <color theme="7" tint="0.79998168889431442"/>
        <color theme="5" tint="-0.249977111117893"/>
      </colorScale>
    </cfRule>
  </conditionalFormatting>
  <conditionalFormatting sqref="FV128:HS128">
    <cfRule type="colorScale" priority="28855">
      <colorScale>
        <cfvo type="num" val="1"/>
        <cfvo type="num" val="28"/>
        <color theme="7" tint="0.79998168889431442"/>
        <color theme="5" tint="-0.249977111117893"/>
      </colorScale>
    </cfRule>
  </conditionalFormatting>
  <conditionalFormatting sqref="FV129:HS129">
    <cfRule type="colorScale" priority="28856">
      <colorScale>
        <cfvo type="num" val="1"/>
        <cfvo type="num" val="28"/>
        <color theme="7" tint="0.79998168889431442"/>
        <color theme="5" tint="-0.249977111117893"/>
      </colorScale>
    </cfRule>
  </conditionalFormatting>
  <conditionalFormatting sqref="FV130:HS133 FV137:HS137 FV135:HS135">
    <cfRule type="colorScale" priority="28909">
      <colorScale>
        <cfvo type="num" val="1"/>
        <cfvo type="num" val="28"/>
        <color theme="7" tint="0.79998168889431442"/>
        <color theme="5" tint="-0.249977111117893"/>
      </colorScale>
    </cfRule>
  </conditionalFormatting>
  <conditionalFormatting sqref="FV132:HS133">
    <cfRule type="colorScale" priority="28846">
      <colorScale>
        <cfvo type="num" val="1"/>
        <cfvo type="num" val="28"/>
        <color theme="7" tint="0.79998168889431442"/>
        <color theme="5" tint="-0.249977111117893"/>
      </colorScale>
    </cfRule>
  </conditionalFormatting>
  <conditionalFormatting sqref="FV133:HS133">
    <cfRule type="colorScale" priority="28843">
      <colorScale>
        <cfvo type="num" val="1"/>
        <cfvo type="num" val="28"/>
        <color theme="7" tint="0.79998168889431442"/>
        <color theme="5" tint="-0.249977111117893"/>
      </colorScale>
    </cfRule>
  </conditionalFormatting>
  <conditionalFormatting sqref="FV138:HS140">
    <cfRule type="colorScale" priority="28834">
      <colorScale>
        <cfvo type="num" val="1"/>
        <cfvo type="num" val="28"/>
        <color theme="7" tint="0.79998168889431442"/>
        <color theme="5" tint="-0.249977111117893"/>
      </colorScale>
    </cfRule>
  </conditionalFormatting>
  <conditionalFormatting sqref="FV139:HS140">
    <cfRule type="colorScale" priority="28847">
      <colorScale>
        <cfvo type="num" val="1"/>
        <cfvo type="num" val="28"/>
        <color theme="7" tint="0.79998168889431442"/>
        <color theme="5" tint="-0.249977111117893"/>
      </colorScale>
    </cfRule>
  </conditionalFormatting>
  <conditionalFormatting sqref="FV140:HS140">
    <cfRule type="colorScale" priority="28841">
      <colorScale>
        <cfvo type="num" val="1"/>
        <cfvo type="num" val="28"/>
        <color theme="7" tint="0.79998168889431442"/>
        <color theme="5" tint="-0.249977111117893"/>
      </colorScale>
    </cfRule>
  </conditionalFormatting>
  <conditionalFormatting sqref="FV141:HS141">
    <cfRule type="colorScale" priority="28845">
      <colorScale>
        <cfvo type="num" val="1"/>
        <cfvo type="num" val="28"/>
        <color theme="7" tint="0.79998168889431442"/>
        <color theme="5" tint="-0.249977111117893"/>
      </colorScale>
    </cfRule>
  </conditionalFormatting>
  <conditionalFormatting sqref="FV142:HS142">
    <cfRule type="colorScale" priority="28844">
      <colorScale>
        <cfvo type="num" val="1"/>
        <cfvo type="num" val="28"/>
        <color theme="7" tint="0.79998168889431442"/>
        <color theme="5" tint="-0.249977111117893"/>
      </colorScale>
    </cfRule>
  </conditionalFormatting>
  <conditionalFormatting sqref="FV144:HS145">
    <cfRule type="colorScale" priority="28828">
      <colorScale>
        <cfvo type="num" val="1"/>
        <cfvo type="num" val="28"/>
        <color theme="7" tint="0.79998168889431442"/>
        <color theme="5" tint="-0.249977111117893"/>
      </colorScale>
    </cfRule>
  </conditionalFormatting>
  <conditionalFormatting sqref="FV145:HS145">
    <cfRule type="colorScale" priority="28822">
      <colorScale>
        <cfvo type="num" val="1"/>
        <cfvo type="num" val="28"/>
        <color theme="7" tint="0.79998168889431442"/>
        <color theme="5" tint="-0.249977111117893"/>
      </colorScale>
    </cfRule>
  </conditionalFormatting>
  <conditionalFormatting sqref="FV150:HS150">
    <cfRule type="colorScale" priority="28797">
      <colorScale>
        <cfvo type="num" val="1"/>
        <cfvo type="num" val="28"/>
        <color theme="7" tint="0.79998168889431442"/>
        <color theme="5" tint="-0.249977111117893"/>
      </colorScale>
    </cfRule>
  </conditionalFormatting>
  <conditionalFormatting sqref="FV55:RD56">
    <cfRule type="expression" dxfId="680" priority="17896">
      <formula>"PICKUP"</formula>
    </cfRule>
    <cfRule type="cellIs" dxfId="679" priority="17897" operator="equal">
      <formula>"GW"</formula>
    </cfRule>
    <cfRule type="cellIs" dxfId="678" priority="17898" operator="equal">
      <formula>"TRIM"</formula>
    </cfRule>
    <cfRule type="cellIs" dxfId="677" priority="17899" operator="equal">
      <formula>"RI"</formula>
    </cfRule>
    <cfRule type="cellIs" dxfId="676" priority="17900" operator="equal">
      <formula>"PT"</formula>
    </cfRule>
  </conditionalFormatting>
  <conditionalFormatting sqref="FV56:RD56">
    <cfRule type="expression" dxfId="675" priority="17890">
      <formula>"PICKUP"</formula>
    </cfRule>
    <cfRule type="cellIs" dxfId="674" priority="17891" operator="equal">
      <formula>"GW"</formula>
    </cfRule>
    <cfRule type="cellIs" dxfId="673" priority="17892" operator="equal">
      <formula>"TRIM"</formula>
    </cfRule>
    <cfRule type="cellIs" dxfId="672" priority="17893" operator="equal">
      <formula>"RI"</formula>
    </cfRule>
    <cfRule type="cellIs" dxfId="671" priority="17894" operator="equal">
      <formula>"PT"</formula>
    </cfRule>
  </conditionalFormatting>
  <conditionalFormatting sqref="FV22 FX22 FZ22 GB22 GD22 GF22 GH22 GJ22 GL22 GN22 GP22 GR22 GV22 GX22 GZ22 HB22 HD22 HF22 HH22 HJ22 HL22 HN22 HP22 HR22 GT22">
    <cfRule type="colorScale" priority="28887">
      <colorScale>
        <cfvo type="min"/>
        <cfvo type="percentile" val="50"/>
        <cfvo type="max"/>
        <color rgb="FFF8696B"/>
        <color rgb="FFFFEB84"/>
        <color rgb="FF63BE7B"/>
      </colorScale>
    </cfRule>
  </conditionalFormatting>
  <conditionalFormatting sqref="FV23 FX23 FZ23 GB23 GD23 GF23 GH23 GJ23 GL23 GN23 GP23 GR23 GV23 GX23 GZ23 HB23 HD23 HF23 HH23 HJ23 HL23 HN23 HP23 HR23 GT23">
    <cfRule type="colorScale" priority="28884">
      <colorScale>
        <cfvo type="min"/>
        <cfvo type="percentile" val="50"/>
        <cfvo type="max"/>
        <color rgb="FFF8696B"/>
        <color rgb="FFFFEB84"/>
        <color rgb="FF63BE7B"/>
      </colorScale>
    </cfRule>
  </conditionalFormatting>
  <conditionalFormatting sqref="FV24 FX24 FZ24 GB24 GD24 GF24 GH24 GJ24 GL24 GN24 GP24 GR24 GV24 GX24 GZ24 HB24 HD24 HF24 HH24 HJ24 HL24 HN24 HP24 HR24 GT24">
    <cfRule type="colorScale" priority="28881">
      <colorScale>
        <cfvo type="min"/>
        <cfvo type="percentile" val="50"/>
        <cfvo type="max"/>
        <color rgb="FFF8696B"/>
        <color rgb="FFFFEB84"/>
        <color rgb="FF63BE7B"/>
      </colorScale>
    </cfRule>
  </conditionalFormatting>
  <conditionalFormatting sqref="FV25 FX25 FZ25 GB25 GD25 GF25 GH25 GJ25 GL25 GN25 GP25 GR25 GV25 GX25 GZ25 HB25 HD25 HF25 HH25 HJ25 HL25 HN25 HP25 HR25 GT25">
    <cfRule type="colorScale" priority="28872">
      <colorScale>
        <cfvo type="min"/>
        <cfvo type="percentile" val="50"/>
        <cfvo type="max"/>
        <color rgb="FFF8696B"/>
        <color rgb="FFFFEB84"/>
        <color rgb="FF63BE7B"/>
      </colorScale>
    </cfRule>
  </conditionalFormatting>
  <conditionalFormatting sqref="FV26 FX26 FZ26 GB26 GD26 GF26 GH26 GJ26 GL26 GN26 GP26 GR26 GV26 GX26 GZ26 HB26 HD26 HF26 HH26 HJ26 HL26 HN26 HP26 HR26 GT26">
    <cfRule type="colorScale" priority="28875">
      <colorScale>
        <cfvo type="min"/>
        <cfvo type="percentile" val="50"/>
        <cfvo type="max"/>
        <color rgb="FFF8696B"/>
        <color rgb="FFFFEB84"/>
        <color rgb="FF63BE7B"/>
      </colorScale>
    </cfRule>
  </conditionalFormatting>
  <conditionalFormatting sqref="FV27 FX27 FZ27 GB27 GD27 GF27 GH27 GJ27 GL27 GN27 GP27 GR27 GV27 GX27 GZ27 HB27 HD27 HF27 HH27 HJ27 HL27 HN27 HP27 HR27 GT27">
    <cfRule type="colorScale" priority="28869">
      <colorScale>
        <cfvo type="min"/>
        <cfvo type="percentile" val="50"/>
        <cfvo type="max"/>
        <color rgb="FFF8696B"/>
        <color rgb="FFFFEB84"/>
        <color rgb="FF63BE7B"/>
      </colorScale>
    </cfRule>
  </conditionalFormatting>
  <conditionalFormatting sqref="FV28 FX28 FZ28 GB28 GD28 GF28 GH28 GJ28 GL28 GN28 GP28 GR28 GV28 GX28 GZ28 HB28 HD28 HF28 HH28 HJ28 HL28 HN28 HP28 HR28 GT28">
    <cfRule type="colorScale" priority="28878">
      <colorScale>
        <cfvo type="min"/>
        <cfvo type="percentile" val="50"/>
        <cfvo type="max"/>
        <color rgb="FFF8696B"/>
        <color rgb="FFFFEB84"/>
        <color rgb="FF63BE7B"/>
      </colorScale>
    </cfRule>
  </conditionalFormatting>
  <conditionalFormatting sqref="FV29 FX29 FZ29 GB29 GD29 GF29 GH29 GJ29 GL29 GN29 GP29 GR29 GV29 GX29 GZ29 HB29 HD29 HF29 HH29 HJ29 HL29 HN29 HP29 HR29 GT29">
    <cfRule type="colorScale" priority="28852">
      <colorScale>
        <cfvo type="min"/>
        <cfvo type="percentile" val="50"/>
        <cfvo type="max"/>
        <color rgb="FFF8696B"/>
        <color rgb="FFFFEB84"/>
        <color rgb="FF63BE7B"/>
      </colorScale>
    </cfRule>
  </conditionalFormatting>
  <conditionalFormatting sqref="FV30 FX30 FZ30 GB30 GD30 GF30 GH30 GJ30 GL30 GN30 GP30 GR30 GV30 GX30 GZ30 HB30 HD30 HF30 HH30 HJ30 HL30 HN30 HP30 HR30 GT30">
    <cfRule type="colorScale" priority="28860">
      <colorScale>
        <cfvo type="min"/>
        <cfvo type="percentile" val="50"/>
        <cfvo type="max"/>
        <color rgb="FFF8696B"/>
        <color rgb="FFFFEB84"/>
        <color rgb="FF63BE7B"/>
      </colorScale>
    </cfRule>
  </conditionalFormatting>
  <conditionalFormatting sqref="FV31 FX31 FZ31 GB31 GD31 GF31 GH31 GJ31 GL31 GN31 GP31 GR31 GV31 GX31 GZ31 HB31 HD31 HF31 HH31 HJ31 HL31 HN31 HP31 HR31 GT31">
    <cfRule type="colorScale" priority="28866">
      <colorScale>
        <cfvo type="min"/>
        <cfvo type="percentile" val="50"/>
        <cfvo type="max"/>
        <color rgb="FFF8696B"/>
        <color rgb="FFFFEB84"/>
        <color rgb="FF63BE7B"/>
      </colorScale>
    </cfRule>
  </conditionalFormatting>
  <conditionalFormatting sqref="FX62:FY63">
    <cfRule type="expression" dxfId="670" priority="24151">
      <formula>"PICKUP"</formula>
    </cfRule>
    <cfRule type="cellIs" dxfId="669" priority="24152" operator="equal">
      <formula>"GW"</formula>
    </cfRule>
    <cfRule type="cellIs" dxfId="668" priority="24153" operator="equal">
      <formula>"TRIM"</formula>
    </cfRule>
    <cfRule type="cellIs" dxfId="667" priority="24154" operator="equal">
      <formula>"RI"</formula>
    </cfRule>
    <cfRule type="cellIs" dxfId="666" priority="24155" operator="equal">
      <formula>"PT"</formula>
    </cfRule>
    <cfRule type="expression" dxfId="665" priority="24156">
      <formula>"PICKUP"</formula>
    </cfRule>
    <cfRule type="cellIs" dxfId="664" priority="24157" operator="equal">
      <formula>"GW"</formula>
    </cfRule>
    <cfRule type="cellIs" dxfId="663" priority="24158" operator="equal">
      <formula>"TRIM"</formula>
    </cfRule>
    <cfRule type="cellIs" dxfId="662" priority="24159" operator="equal">
      <formula>"RI"</formula>
    </cfRule>
    <cfRule type="cellIs" dxfId="661" priority="24160" operator="equal">
      <formula>"PT"</formula>
    </cfRule>
    <cfRule type="expression" dxfId="660" priority="24176">
      <formula>"PICKUP"</formula>
    </cfRule>
    <cfRule type="cellIs" dxfId="659" priority="24177" operator="equal">
      <formula>"GW"</formula>
    </cfRule>
    <cfRule type="cellIs" dxfId="658" priority="24178" operator="equal">
      <formula>"TRIM"</formula>
    </cfRule>
    <cfRule type="cellIs" dxfId="657" priority="24179" operator="equal">
      <formula>"RI"</formula>
    </cfRule>
    <cfRule type="cellIs" dxfId="656" priority="24180" operator="equal">
      <formula>"PT"</formula>
    </cfRule>
    <cfRule type="expression" dxfId="655" priority="24181">
      <formula>"PICKUP"</formula>
    </cfRule>
    <cfRule type="cellIs" dxfId="654" priority="24182" operator="equal">
      <formula>"GW"</formula>
    </cfRule>
    <cfRule type="cellIs" dxfId="653" priority="24183" operator="equal">
      <formula>"TRIM"</formula>
    </cfRule>
    <cfRule type="cellIs" dxfId="652" priority="24184" operator="equal">
      <formula>"RI"</formula>
    </cfRule>
    <cfRule type="cellIs" dxfId="651" priority="24185" operator="equal">
      <formula>"PT"</formula>
    </cfRule>
  </conditionalFormatting>
  <conditionalFormatting sqref="FX62:GE63">
    <cfRule type="expression" dxfId="650" priority="26740">
      <formula>"PICKUP"</formula>
    </cfRule>
    <cfRule type="cellIs" dxfId="649" priority="26741" operator="equal">
      <formula>"GW"</formula>
    </cfRule>
    <cfRule type="cellIs" dxfId="648" priority="26742" operator="equal">
      <formula>"TRIM"</formula>
    </cfRule>
    <cfRule type="cellIs" dxfId="647" priority="26743" operator="equal">
      <formula>"RI"</formula>
    </cfRule>
    <cfRule type="cellIs" dxfId="646" priority="26744" operator="equal">
      <formula>"PT"</formula>
    </cfRule>
  </conditionalFormatting>
  <conditionalFormatting sqref="FZ62:GA63">
    <cfRule type="expression" dxfId="645" priority="23136">
      <formula>"PICKUP"</formula>
    </cfRule>
    <cfRule type="cellIs" dxfId="644" priority="23137" operator="equal">
      <formula>"GW"</formula>
    </cfRule>
    <cfRule type="cellIs" dxfId="643" priority="23138" operator="equal">
      <formula>"TRIM"</formula>
    </cfRule>
    <cfRule type="cellIs" dxfId="642" priority="23139" operator="equal">
      <formula>"RI"</formula>
    </cfRule>
    <cfRule type="cellIs" dxfId="641" priority="23140" operator="equal">
      <formula>"PT"</formula>
    </cfRule>
    <cfRule type="expression" dxfId="640" priority="23141">
      <formula>"PICKUP"</formula>
    </cfRule>
    <cfRule type="cellIs" dxfId="639" priority="23142" operator="equal">
      <formula>"GW"</formula>
    </cfRule>
    <cfRule type="cellIs" dxfId="638" priority="23143" operator="equal">
      <formula>"TRIM"</formula>
    </cfRule>
    <cfRule type="cellIs" dxfId="637" priority="23144" operator="equal">
      <formula>"RI"</formula>
    </cfRule>
    <cfRule type="cellIs" dxfId="636" priority="23145" operator="equal">
      <formula>"PT"</formula>
    </cfRule>
    <cfRule type="expression" dxfId="635" priority="23161">
      <formula>"PICKUP"</formula>
    </cfRule>
    <cfRule type="cellIs" dxfId="634" priority="23162" operator="equal">
      <formula>"GW"</formula>
    </cfRule>
    <cfRule type="cellIs" dxfId="633" priority="23163" operator="equal">
      <formula>"TRIM"</formula>
    </cfRule>
    <cfRule type="cellIs" dxfId="632" priority="23164" operator="equal">
      <formula>"RI"</formula>
    </cfRule>
    <cfRule type="cellIs" dxfId="631" priority="23165" operator="equal">
      <formula>"PT"</formula>
    </cfRule>
    <cfRule type="expression" dxfId="630" priority="23166">
      <formula>"PICKUP"</formula>
    </cfRule>
    <cfRule type="cellIs" dxfId="629" priority="23167" operator="equal">
      <formula>"GW"</formula>
    </cfRule>
    <cfRule type="cellIs" dxfId="628" priority="23168" operator="equal">
      <formula>"TRIM"</formula>
    </cfRule>
    <cfRule type="cellIs" dxfId="627" priority="23169" operator="equal">
      <formula>"RI"</formula>
    </cfRule>
    <cfRule type="cellIs" dxfId="626" priority="23170" operator="equal">
      <formula>"PT"</formula>
    </cfRule>
  </conditionalFormatting>
  <conditionalFormatting sqref="GB65:GC65">
    <cfRule type="expression" dxfId="625" priority="9781">
      <formula>"PICKUP"</formula>
    </cfRule>
    <cfRule type="cellIs" dxfId="624" priority="9782" operator="equal">
      <formula>"GW"</formula>
    </cfRule>
    <cfRule type="cellIs" dxfId="623" priority="9783" operator="equal">
      <formula>"TRIM"</formula>
    </cfRule>
    <cfRule type="cellIs" dxfId="622" priority="9784" operator="equal">
      <formula>"RI"</formula>
    </cfRule>
    <cfRule type="cellIs" dxfId="621" priority="9785" operator="equal">
      <formula>"PT"</formula>
    </cfRule>
    <cfRule type="expression" dxfId="620" priority="9786">
      <formula>"PICKUP"</formula>
    </cfRule>
    <cfRule type="cellIs" dxfId="619" priority="9787" operator="equal">
      <formula>"GW"</formula>
    </cfRule>
    <cfRule type="cellIs" dxfId="618" priority="9788" operator="equal">
      <formula>"TRIM"</formula>
    </cfRule>
    <cfRule type="cellIs" dxfId="617" priority="9789" operator="equal">
      <formula>"RI"</formula>
    </cfRule>
    <cfRule type="cellIs" dxfId="616" priority="9790" operator="equal">
      <formula>"PT"</formula>
    </cfRule>
  </conditionalFormatting>
  <conditionalFormatting sqref="GD62:GE63">
    <cfRule type="expression" dxfId="615" priority="24136">
      <formula>"PICKUP"</formula>
    </cfRule>
    <cfRule type="cellIs" dxfId="614" priority="24137" operator="equal">
      <formula>"GW"</formula>
    </cfRule>
    <cfRule type="cellIs" dxfId="613" priority="24138" operator="equal">
      <formula>"TRIM"</formula>
    </cfRule>
    <cfRule type="cellIs" dxfId="612" priority="24139" operator="equal">
      <formula>"RI"</formula>
    </cfRule>
    <cfRule type="cellIs" dxfId="611" priority="24140" operator="equal">
      <formula>"PT"</formula>
    </cfRule>
    <cfRule type="expression" dxfId="610" priority="24141">
      <formula>"PICKUP"</formula>
    </cfRule>
    <cfRule type="cellIs" dxfId="609" priority="24142" operator="equal">
      <formula>"GW"</formula>
    </cfRule>
    <cfRule type="cellIs" dxfId="608" priority="24143" operator="equal">
      <formula>"TRIM"</formula>
    </cfRule>
    <cfRule type="cellIs" dxfId="607" priority="24144" operator="equal">
      <formula>"RI"</formula>
    </cfRule>
    <cfRule type="cellIs" dxfId="606" priority="24145" operator="equal">
      <formula>"PT"</formula>
    </cfRule>
    <cfRule type="expression" dxfId="605" priority="24161">
      <formula>"PICKUP"</formula>
    </cfRule>
    <cfRule type="cellIs" dxfId="604" priority="24162" operator="equal">
      <formula>"GW"</formula>
    </cfRule>
    <cfRule type="cellIs" dxfId="603" priority="24163" operator="equal">
      <formula>"TRIM"</formula>
    </cfRule>
    <cfRule type="cellIs" dxfId="602" priority="24164" operator="equal">
      <formula>"RI"</formula>
    </cfRule>
    <cfRule type="cellIs" dxfId="601" priority="24165" operator="equal">
      <formula>"PT"</formula>
    </cfRule>
    <cfRule type="expression" dxfId="600" priority="24166">
      <formula>"PICKUP"</formula>
    </cfRule>
    <cfRule type="cellIs" dxfId="599" priority="24167" operator="equal">
      <formula>"GW"</formula>
    </cfRule>
    <cfRule type="cellIs" dxfId="598" priority="24168" operator="equal">
      <formula>"TRIM"</formula>
    </cfRule>
    <cfRule type="cellIs" dxfId="597" priority="24169" operator="equal">
      <formula>"RI"</formula>
    </cfRule>
    <cfRule type="cellIs" dxfId="596" priority="24170" operator="equal">
      <formula>"PT"</formula>
    </cfRule>
    <cfRule type="expression" dxfId="595" priority="24191">
      <formula>"PICKUP"</formula>
    </cfRule>
    <cfRule type="cellIs" dxfId="594" priority="24192" operator="equal">
      <formula>"GW"</formula>
    </cfRule>
    <cfRule type="cellIs" dxfId="593" priority="24193" operator="equal">
      <formula>"TRIM"</formula>
    </cfRule>
    <cfRule type="cellIs" dxfId="592" priority="24194" operator="equal">
      <formula>"RI"</formula>
    </cfRule>
    <cfRule type="cellIs" dxfId="591" priority="24195" operator="equal">
      <formula>"PT"</formula>
    </cfRule>
    <cfRule type="expression" dxfId="590" priority="24196">
      <formula>"PICKUP"</formula>
    </cfRule>
    <cfRule type="cellIs" dxfId="589" priority="24197" operator="equal">
      <formula>"GW"</formula>
    </cfRule>
    <cfRule type="cellIs" dxfId="588" priority="24198" operator="equal">
      <formula>"TRIM"</formula>
    </cfRule>
    <cfRule type="cellIs" dxfId="587" priority="24199" operator="equal">
      <formula>"RI"</formula>
    </cfRule>
    <cfRule type="cellIs" dxfId="586" priority="24200" operator="equal">
      <formula>"PT"</formula>
    </cfRule>
  </conditionalFormatting>
  <conditionalFormatting sqref="GF62:GG63">
    <cfRule type="expression" dxfId="585" priority="23121">
      <formula>"PICKUP"</formula>
    </cfRule>
    <cfRule type="cellIs" dxfId="584" priority="23122" operator="equal">
      <formula>"GW"</formula>
    </cfRule>
    <cfRule type="cellIs" dxfId="583" priority="23123" operator="equal">
      <formula>"TRIM"</formula>
    </cfRule>
    <cfRule type="cellIs" dxfId="582" priority="23124" operator="equal">
      <formula>"RI"</formula>
    </cfRule>
    <cfRule type="cellIs" dxfId="581" priority="23125" operator="equal">
      <formula>"PT"</formula>
    </cfRule>
    <cfRule type="expression" dxfId="580" priority="23126">
      <formula>"PICKUP"</formula>
    </cfRule>
    <cfRule type="cellIs" dxfId="579" priority="23127" operator="equal">
      <formula>"GW"</formula>
    </cfRule>
    <cfRule type="cellIs" dxfId="578" priority="23128" operator="equal">
      <formula>"TRIM"</formula>
    </cfRule>
    <cfRule type="cellIs" dxfId="577" priority="23129" operator="equal">
      <formula>"RI"</formula>
    </cfRule>
    <cfRule type="cellIs" dxfId="576" priority="23130" operator="equal">
      <formula>"PT"</formula>
    </cfRule>
    <cfRule type="expression" dxfId="575" priority="23146">
      <formula>"PICKUP"</formula>
    </cfRule>
    <cfRule type="cellIs" dxfId="574" priority="23147" operator="equal">
      <formula>"GW"</formula>
    </cfRule>
    <cfRule type="cellIs" dxfId="573" priority="23148" operator="equal">
      <formula>"TRIM"</formula>
    </cfRule>
    <cfRule type="cellIs" dxfId="572" priority="23149" operator="equal">
      <formula>"RI"</formula>
    </cfRule>
    <cfRule type="cellIs" dxfId="571" priority="23150" operator="equal">
      <formula>"PT"</formula>
    </cfRule>
    <cfRule type="expression" dxfId="570" priority="23151">
      <formula>"PICKUP"</formula>
    </cfRule>
    <cfRule type="cellIs" dxfId="569" priority="23152" operator="equal">
      <formula>"GW"</formula>
    </cfRule>
    <cfRule type="cellIs" dxfId="568" priority="23153" operator="equal">
      <formula>"TRIM"</formula>
    </cfRule>
    <cfRule type="cellIs" dxfId="567" priority="23154" operator="equal">
      <formula>"RI"</formula>
    </cfRule>
    <cfRule type="cellIs" dxfId="566" priority="23155" operator="equal">
      <formula>"PT"</formula>
    </cfRule>
    <cfRule type="expression" dxfId="565" priority="23176">
      <formula>"PICKUP"</formula>
    </cfRule>
    <cfRule type="cellIs" dxfId="564" priority="23177" operator="equal">
      <formula>"GW"</formula>
    </cfRule>
    <cfRule type="cellIs" dxfId="563" priority="23178" operator="equal">
      <formula>"TRIM"</formula>
    </cfRule>
    <cfRule type="cellIs" dxfId="562" priority="23179" operator="equal">
      <formula>"RI"</formula>
    </cfRule>
    <cfRule type="cellIs" dxfId="561" priority="23180" operator="equal">
      <formula>"PT"</formula>
    </cfRule>
    <cfRule type="expression" dxfId="560" priority="23181">
      <formula>"PICKUP"</formula>
    </cfRule>
    <cfRule type="cellIs" dxfId="559" priority="23182" operator="equal">
      <formula>"GW"</formula>
    </cfRule>
    <cfRule type="cellIs" dxfId="558" priority="23183" operator="equal">
      <formula>"TRIM"</formula>
    </cfRule>
    <cfRule type="cellIs" dxfId="557" priority="23184" operator="equal">
      <formula>"RI"</formula>
    </cfRule>
    <cfRule type="cellIs" dxfId="556" priority="23185" operator="equal">
      <formula>"PT"</formula>
    </cfRule>
  </conditionalFormatting>
  <conditionalFormatting sqref="GJ107:IK108">
    <cfRule type="expression" dxfId="555" priority="14525">
      <formula>"PICKUP"</formula>
    </cfRule>
    <cfRule type="cellIs" dxfId="554" priority="14526" operator="equal">
      <formula>"GW"</formula>
    </cfRule>
    <cfRule type="cellIs" dxfId="553" priority="14527" operator="equal">
      <formula>"TRIM"</formula>
    </cfRule>
    <cfRule type="cellIs" dxfId="552" priority="14528" operator="equal">
      <formula>"RI"</formula>
    </cfRule>
    <cfRule type="cellIs" dxfId="551" priority="14529" operator="equal">
      <formula>"PT"</formula>
    </cfRule>
  </conditionalFormatting>
  <conditionalFormatting sqref="GT107:GU108">
    <cfRule type="expression" dxfId="550" priority="870">
      <formula>"PICKUP"</formula>
    </cfRule>
    <cfRule type="cellIs" dxfId="549" priority="871" operator="equal">
      <formula>"GW"</formula>
    </cfRule>
    <cfRule type="cellIs" dxfId="548" priority="872" operator="equal">
      <formula>"TRIM"</formula>
    </cfRule>
    <cfRule type="cellIs" dxfId="547" priority="873" operator="equal">
      <formula>"RI"</formula>
    </cfRule>
    <cfRule type="cellIs" dxfId="546" priority="874" operator="equal">
      <formula>"PT"</formula>
    </cfRule>
    <cfRule type="expression" dxfId="545" priority="875">
      <formula>"PICKUP"</formula>
    </cfRule>
    <cfRule type="cellIs" dxfId="544" priority="876" operator="equal">
      <formula>"GW"</formula>
    </cfRule>
    <cfRule type="cellIs" dxfId="543" priority="877" operator="equal">
      <formula>"TRIM"</formula>
    </cfRule>
    <cfRule type="cellIs" dxfId="542" priority="878" operator="equal">
      <formula>"RI"</formula>
    </cfRule>
    <cfRule type="cellIs" dxfId="541" priority="879" operator="equal">
      <formula>"PT"</formula>
    </cfRule>
  </conditionalFormatting>
  <conditionalFormatting sqref="GT107:HE108">
    <cfRule type="expression" dxfId="540" priority="14470">
      <formula>"PICKUP"</formula>
    </cfRule>
    <cfRule type="cellIs" dxfId="539" priority="14471" operator="equal">
      <formula>"GW"</formula>
    </cfRule>
    <cfRule type="cellIs" dxfId="538" priority="14472" operator="equal">
      <formula>"TRIM"</formula>
    </cfRule>
    <cfRule type="cellIs" dxfId="537" priority="14473" operator="equal">
      <formula>"RI"</formula>
    </cfRule>
    <cfRule type="cellIs" dxfId="536" priority="14474" operator="equal">
      <formula>"PT"</formula>
    </cfRule>
  </conditionalFormatting>
  <conditionalFormatting sqref="GT107:HI108">
    <cfRule type="expression" dxfId="535" priority="14475">
      <formula>"PICKUP"</formula>
    </cfRule>
    <cfRule type="cellIs" dxfId="534" priority="14476" operator="equal">
      <formula>"GW"</formula>
    </cfRule>
    <cfRule type="cellIs" dxfId="533" priority="14477" operator="equal">
      <formula>"TRIM"</formula>
    </cfRule>
    <cfRule type="cellIs" dxfId="532" priority="14478" operator="equal">
      <formula>"RI"</formula>
    </cfRule>
    <cfRule type="cellIs" dxfId="531" priority="14479" operator="equal">
      <formula>"PT"</formula>
    </cfRule>
  </conditionalFormatting>
  <conditionalFormatting sqref="GT107:IG108">
    <cfRule type="expression" dxfId="530" priority="14465">
      <formula>"PICKUP"</formula>
    </cfRule>
    <cfRule type="cellIs" dxfId="529" priority="14466" operator="equal">
      <formula>"GW"</formula>
    </cfRule>
    <cfRule type="cellIs" dxfId="528" priority="14467" operator="equal">
      <formula>"TRIM"</formula>
    </cfRule>
    <cfRule type="cellIs" dxfId="527" priority="14468" operator="equal">
      <formula>"RI"</formula>
    </cfRule>
    <cfRule type="cellIs" dxfId="526" priority="14469" operator="equal">
      <formula>"PT"</formula>
    </cfRule>
  </conditionalFormatting>
  <conditionalFormatting sqref="GT107:II108">
    <cfRule type="expression" dxfId="525" priority="14320">
      <formula>"PICKUP"</formula>
    </cfRule>
    <cfRule type="cellIs" dxfId="524" priority="14321" operator="equal">
      <formula>"GW"</formula>
    </cfRule>
    <cfRule type="cellIs" dxfId="523" priority="14322" operator="equal">
      <formula>"TRIM"</formula>
    </cfRule>
    <cfRule type="cellIs" dxfId="522" priority="14323" operator="equal">
      <formula>"RI"</formula>
    </cfRule>
    <cfRule type="cellIs" dxfId="521" priority="14324" operator="equal">
      <formula>"PT"</formula>
    </cfRule>
    <cfRule type="expression" dxfId="520" priority="14350">
      <formula>"PICKUP"</formula>
    </cfRule>
    <cfRule type="cellIs" dxfId="519" priority="14351" operator="equal">
      <formula>"GW"</formula>
    </cfRule>
    <cfRule type="cellIs" dxfId="518" priority="14352" operator="equal">
      <formula>"TRIM"</formula>
    </cfRule>
    <cfRule type="cellIs" dxfId="517" priority="14353" operator="equal">
      <formula>"RI"</formula>
    </cfRule>
    <cfRule type="cellIs" dxfId="516" priority="14354" operator="equal">
      <formula>"PT"</formula>
    </cfRule>
    <cfRule type="expression" dxfId="515" priority="14385">
      <formula>"PICKUP"</formula>
    </cfRule>
    <cfRule type="cellIs" dxfId="514" priority="14386" operator="equal">
      <formula>"GW"</formula>
    </cfRule>
    <cfRule type="cellIs" dxfId="513" priority="14387" operator="equal">
      <formula>"TRIM"</formula>
    </cfRule>
    <cfRule type="cellIs" dxfId="512" priority="14388" operator="equal">
      <formula>"RI"</formula>
    </cfRule>
    <cfRule type="cellIs" dxfId="511" priority="14389" operator="equal">
      <formula>"PT"</formula>
    </cfRule>
  </conditionalFormatting>
  <conditionalFormatting sqref="GT107:IK108">
    <cfRule type="expression" dxfId="510" priority="14480">
      <formula>"PICKUP"</formula>
    </cfRule>
    <cfRule type="cellIs" dxfId="509" priority="14481" operator="equal">
      <formula>"GW"</formula>
    </cfRule>
    <cfRule type="cellIs" dxfId="508" priority="14482" operator="equal">
      <formula>"TRIM"</formula>
    </cfRule>
    <cfRule type="cellIs" dxfId="507" priority="14483" operator="equal">
      <formula>"RI"</formula>
    </cfRule>
    <cfRule type="cellIs" dxfId="506" priority="14484" operator="equal">
      <formula>"PT"</formula>
    </cfRule>
    <cfRule type="expression" dxfId="505" priority="14485">
      <formula>"PICKUP"</formula>
    </cfRule>
    <cfRule type="cellIs" dxfId="504" priority="14486" operator="equal">
      <formula>"GW"</formula>
    </cfRule>
    <cfRule type="cellIs" dxfId="503" priority="14487" operator="equal">
      <formula>"TRIM"</formula>
    </cfRule>
    <cfRule type="cellIs" dxfId="502" priority="14488" operator="equal">
      <formula>"RI"</formula>
    </cfRule>
    <cfRule type="cellIs" dxfId="501" priority="14489" operator="equal">
      <formula>"PT"</formula>
    </cfRule>
    <cfRule type="expression" dxfId="500" priority="14495">
      <formula>"PICKUP"</formula>
    </cfRule>
    <cfRule type="cellIs" dxfId="499" priority="14496" operator="equal">
      <formula>"GW"</formula>
    </cfRule>
    <cfRule type="cellIs" dxfId="498" priority="14497" operator="equal">
      <formula>"TRIM"</formula>
    </cfRule>
    <cfRule type="cellIs" dxfId="497" priority="14498" operator="equal">
      <formula>"RI"</formula>
    </cfRule>
    <cfRule type="cellIs" dxfId="496" priority="14499" operator="equal">
      <formula>"PT"</formula>
    </cfRule>
    <cfRule type="expression" dxfId="495" priority="14515">
      <formula>"PICKUP"</formula>
    </cfRule>
    <cfRule type="cellIs" dxfId="494" priority="14516" operator="equal">
      <formula>"GW"</formula>
    </cfRule>
    <cfRule type="cellIs" dxfId="493" priority="14517" operator="equal">
      <formula>"TRIM"</formula>
    </cfRule>
    <cfRule type="cellIs" dxfId="492" priority="14518" operator="equal">
      <formula>"RI"</formula>
    </cfRule>
    <cfRule type="cellIs" dxfId="491" priority="14519" operator="equal">
      <formula>"PT"</formula>
    </cfRule>
    <cfRule type="expression" dxfId="490" priority="14520">
      <formula>"PICKUP"</formula>
    </cfRule>
    <cfRule type="cellIs" dxfId="489" priority="14521" operator="equal">
      <formula>"GW"</formula>
    </cfRule>
    <cfRule type="cellIs" dxfId="488" priority="14522" operator="equal">
      <formula>"TRIM"</formula>
    </cfRule>
    <cfRule type="cellIs" dxfId="487" priority="14523" operator="equal">
      <formula>"RI"</formula>
    </cfRule>
    <cfRule type="cellIs" dxfId="486" priority="14524" operator="equal">
      <formula>"PT"</formula>
    </cfRule>
  </conditionalFormatting>
  <conditionalFormatting sqref="GV107:GW108">
    <cfRule type="expression" dxfId="485" priority="14405">
      <formula>"PICKUP"</formula>
    </cfRule>
    <cfRule type="cellIs" dxfId="484" priority="14406" operator="equal">
      <formula>"GW"</formula>
    </cfRule>
    <cfRule type="cellIs" dxfId="483" priority="14407" operator="equal">
      <formula>"TRIM"</formula>
    </cfRule>
    <cfRule type="cellIs" dxfId="482" priority="14408" operator="equal">
      <formula>"RI"</formula>
    </cfRule>
    <cfRule type="cellIs" dxfId="481" priority="14409" operator="equal">
      <formula>"PT"</formula>
    </cfRule>
    <cfRule type="expression" dxfId="480" priority="14410">
      <formula>"PICKUP"</formula>
    </cfRule>
    <cfRule type="cellIs" dxfId="479" priority="14411" operator="equal">
      <formula>"GW"</formula>
    </cfRule>
    <cfRule type="cellIs" dxfId="478" priority="14412" operator="equal">
      <formula>"TRIM"</formula>
    </cfRule>
    <cfRule type="cellIs" dxfId="477" priority="14413" operator="equal">
      <formula>"RI"</formula>
    </cfRule>
    <cfRule type="cellIs" dxfId="476" priority="14414" operator="equal">
      <formula>"PT"</formula>
    </cfRule>
  </conditionalFormatting>
  <conditionalFormatting sqref="GX107:GY108">
    <cfRule type="expression" dxfId="475" priority="14325">
      <formula>"PICKUP"</formula>
    </cfRule>
    <cfRule type="cellIs" dxfId="474" priority="14326" operator="equal">
      <formula>"GW"</formula>
    </cfRule>
    <cfRule type="cellIs" dxfId="473" priority="14327" operator="equal">
      <formula>"TRIM"</formula>
    </cfRule>
    <cfRule type="cellIs" dxfId="472" priority="14328" operator="equal">
      <formula>"RI"</formula>
    </cfRule>
    <cfRule type="cellIs" dxfId="471" priority="14329" operator="equal">
      <formula>"PT"</formula>
    </cfRule>
    <cfRule type="expression" dxfId="470" priority="14330">
      <formula>"PICKUP"</formula>
    </cfRule>
    <cfRule type="cellIs" dxfId="469" priority="14331" operator="equal">
      <formula>"GW"</formula>
    </cfRule>
    <cfRule type="cellIs" dxfId="468" priority="14332" operator="equal">
      <formula>"TRIM"</formula>
    </cfRule>
    <cfRule type="cellIs" dxfId="467" priority="14333" operator="equal">
      <formula>"RI"</formula>
    </cfRule>
    <cfRule type="cellIs" dxfId="466" priority="14334" operator="equal">
      <formula>"PT"</formula>
    </cfRule>
  </conditionalFormatting>
  <conditionalFormatting sqref="GX175:RD176">
    <cfRule type="colorScale" priority="881">
      <colorScale>
        <cfvo type="num" val="1"/>
        <cfvo type="num" val="28"/>
        <color theme="7" tint="0.79998168889431442"/>
        <color theme="5" tint="-0.249977111117893"/>
      </colorScale>
    </cfRule>
  </conditionalFormatting>
  <conditionalFormatting sqref="GZ107:HA108">
    <cfRule type="expression" dxfId="465" priority="14255">
      <formula>"PICKUP"</formula>
    </cfRule>
    <cfRule type="cellIs" dxfId="464" priority="14256" operator="equal">
      <formula>"GW"</formula>
    </cfRule>
    <cfRule type="cellIs" dxfId="463" priority="14257" operator="equal">
      <formula>"TRIM"</formula>
    </cfRule>
    <cfRule type="cellIs" dxfId="462" priority="14258" operator="equal">
      <formula>"RI"</formula>
    </cfRule>
    <cfRule type="cellIs" dxfId="461" priority="14259" operator="equal">
      <formula>"PT"</formula>
    </cfRule>
    <cfRule type="expression" dxfId="460" priority="14285">
      <formula>"PICKUP"</formula>
    </cfRule>
    <cfRule type="cellIs" dxfId="459" priority="14286" operator="equal">
      <formula>"GW"</formula>
    </cfRule>
    <cfRule type="cellIs" dxfId="458" priority="14287" operator="equal">
      <formula>"TRIM"</formula>
    </cfRule>
    <cfRule type="cellIs" dxfId="457" priority="14288" operator="equal">
      <formula>"RI"</formula>
    </cfRule>
    <cfRule type="cellIs" dxfId="456" priority="14289" operator="equal">
      <formula>"PT"</formula>
    </cfRule>
    <cfRule type="expression" dxfId="455" priority="14290">
      <formula>"PICKUP"</formula>
    </cfRule>
    <cfRule type="cellIs" dxfId="454" priority="14291" operator="equal">
      <formula>"GW"</formula>
    </cfRule>
    <cfRule type="cellIs" dxfId="453" priority="14292" operator="equal">
      <formula>"TRIM"</formula>
    </cfRule>
    <cfRule type="cellIs" dxfId="452" priority="14293" operator="equal">
      <formula>"RI"</formula>
    </cfRule>
    <cfRule type="cellIs" dxfId="451" priority="14294" operator="equal">
      <formula>"PT"</formula>
    </cfRule>
    <cfRule type="expression" dxfId="450" priority="14460">
      <formula>"PICKUP"</formula>
    </cfRule>
    <cfRule type="cellIs" dxfId="449" priority="14461" operator="equal">
      <formula>"GW"</formula>
    </cfRule>
    <cfRule type="cellIs" dxfId="448" priority="14462" operator="equal">
      <formula>"TRIM"</formula>
    </cfRule>
    <cfRule type="cellIs" dxfId="447" priority="14463" operator="equal">
      <formula>"RI"</formula>
    </cfRule>
    <cfRule type="cellIs" dxfId="446" priority="14464" operator="equal">
      <formula>"PT"</formula>
    </cfRule>
  </conditionalFormatting>
  <conditionalFormatting sqref="GZ107:HC108">
    <cfRule type="expression" dxfId="445" priority="14220">
      <formula>"PICKUP"</formula>
    </cfRule>
    <cfRule type="cellIs" dxfId="444" priority="14221" operator="equal">
      <formula>"GW"</formula>
    </cfRule>
    <cfRule type="cellIs" dxfId="443" priority="14222" operator="equal">
      <formula>"TRIM"</formula>
    </cfRule>
    <cfRule type="cellIs" dxfId="442" priority="14223" operator="equal">
      <formula>"RI"</formula>
    </cfRule>
    <cfRule type="cellIs" dxfId="441" priority="14224" operator="equal">
      <formula>"PT"</formula>
    </cfRule>
    <cfRule type="expression" dxfId="440" priority="14450">
      <formula>"PICKUP"</formula>
    </cfRule>
    <cfRule type="cellIs" dxfId="439" priority="14451" operator="equal">
      <formula>"GW"</formula>
    </cfRule>
    <cfRule type="cellIs" dxfId="438" priority="14452" operator="equal">
      <formula>"TRIM"</formula>
    </cfRule>
    <cfRule type="cellIs" dxfId="437" priority="14453" operator="equal">
      <formula>"RI"</formula>
    </cfRule>
    <cfRule type="cellIs" dxfId="436" priority="14454" operator="equal">
      <formula>"PT"</formula>
    </cfRule>
  </conditionalFormatting>
  <conditionalFormatting sqref="HB107:HC108">
    <cfRule type="expression" dxfId="435" priority="14185">
      <formula>"PICKUP"</formula>
    </cfRule>
    <cfRule type="cellIs" dxfId="434" priority="14186" operator="equal">
      <formula>"GW"</formula>
    </cfRule>
    <cfRule type="cellIs" dxfId="433" priority="14187" operator="equal">
      <formula>"TRIM"</formula>
    </cfRule>
    <cfRule type="cellIs" dxfId="432" priority="14188" operator="equal">
      <formula>"RI"</formula>
    </cfRule>
    <cfRule type="cellIs" dxfId="431" priority="14189" operator="equal">
      <formula>"PT"</formula>
    </cfRule>
    <cfRule type="expression" dxfId="430" priority="14215">
      <formula>"PICKUP"</formula>
    </cfRule>
    <cfRule type="cellIs" dxfId="429" priority="14216" operator="equal">
      <formula>"GW"</formula>
    </cfRule>
    <cfRule type="cellIs" dxfId="428" priority="14217" operator="equal">
      <formula>"TRIM"</formula>
    </cfRule>
    <cfRule type="cellIs" dxfId="427" priority="14218" operator="equal">
      <formula>"RI"</formula>
    </cfRule>
    <cfRule type="cellIs" dxfId="426" priority="14219" operator="equal">
      <formula>"PT"</formula>
    </cfRule>
  </conditionalFormatting>
  <conditionalFormatting sqref="HB107:HE108">
    <cfRule type="expression" dxfId="425" priority="14150">
      <formula>"PICKUP"</formula>
    </cfRule>
    <cfRule type="cellIs" dxfId="424" priority="14151" operator="equal">
      <formula>"GW"</formula>
    </cfRule>
    <cfRule type="cellIs" dxfId="423" priority="14152" operator="equal">
      <formula>"TRIM"</formula>
    </cfRule>
    <cfRule type="cellIs" dxfId="422" priority="14153" operator="equal">
      <formula>"RI"</formula>
    </cfRule>
    <cfRule type="cellIs" dxfId="421" priority="14154" operator="equal">
      <formula>"PT"</formula>
    </cfRule>
    <cfRule type="expression" dxfId="420" priority="14440">
      <formula>"PICKUP"</formula>
    </cfRule>
    <cfRule type="cellIs" dxfId="419" priority="14441" operator="equal">
      <formula>"GW"</formula>
    </cfRule>
    <cfRule type="cellIs" dxfId="418" priority="14442" operator="equal">
      <formula>"TRIM"</formula>
    </cfRule>
    <cfRule type="cellIs" dxfId="417" priority="14443" operator="equal">
      <formula>"RI"</formula>
    </cfRule>
    <cfRule type="cellIs" dxfId="416" priority="14444" operator="equal">
      <formula>"PT"</formula>
    </cfRule>
  </conditionalFormatting>
  <conditionalFormatting sqref="HB107:HK108">
    <cfRule type="expression" dxfId="415" priority="14345">
      <formula>"PICKUP"</formula>
    </cfRule>
    <cfRule type="cellIs" dxfId="414" priority="14346" operator="equal">
      <formula>"GW"</formula>
    </cfRule>
    <cfRule type="cellIs" dxfId="413" priority="14347" operator="equal">
      <formula>"TRIM"</formula>
    </cfRule>
    <cfRule type="cellIs" dxfId="412" priority="14348" operator="equal">
      <formula>"RI"</formula>
    </cfRule>
    <cfRule type="cellIs" dxfId="411" priority="14349" operator="equal">
      <formula>"PT"</formula>
    </cfRule>
  </conditionalFormatting>
  <conditionalFormatting sqref="HB175:RD176">
    <cfRule type="colorScale" priority="880">
      <colorScale>
        <cfvo type="num" val="1"/>
        <cfvo type="num" val="28"/>
        <color theme="7" tint="0.79998168889431442"/>
        <color theme="5" tint="-0.249977111117893"/>
      </colorScale>
    </cfRule>
  </conditionalFormatting>
  <conditionalFormatting sqref="HD107:HE108">
    <cfRule type="expression" dxfId="410" priority="14115">
      <formula>"PICKUP"</formula>
    </cfRule>
    <cfRule type="cellIs" dxfId="409" priority="14116" operator="equal">
      <formula>"GW"</formula>
    </cfRule>
    <cfRule type="cellIs" dxfId="408" priority="14117" operator="equal">
      <formula>"TRIM"</formula>
    </cfRule>
    <cfRule type="cellIs" dxfId="407" priority="14118" operator="equal">
      <formula>"RI"</formula>
    </cfRule>
    <cfRule type="cellIs" dxfId="406" priority="14119" operator="equal">
      <formula>"PT"</formula>
    </cfRule>
    <cfRule type="expression" dxfId="405" priority="14145">
      <formula>"PICKUP"</formula>
    </cfRule>
    <cfRule type="cellIs" dxfId="404" priority="14146" operator="equal">
      <formula>"GW"</formula>
    </cfRule>
    <cfRule type="cellIs" dxfId="403" priority="14147" operator="equal">
      <formula>"TRIM"</formula>
    </cfRule>
    <cfRule type="cellIs" dxfId="402" priority="14148" operator="equal">
      <formula>"RI"</formula>
    </cfRule>
    <cfRule type="cellIs" dxfId="401" priority="14149" operator="equal">
      <formula>"PT"</formula>
    </cfRule>
  </conditionalFormatting>
  <conditionalFormatting sqref="HD107:HG108">
    <cfRule type="expression" dxfId="400" priority="14080">
      <formula>"PICKUP"</formula>
    </cfRule>
    <cfRule type="cellIs" dxfId="399" priority="14081" operator="equal">
      <formula>"GW"</formula>
    </cfRule>
    <cfRule type="cellIs" dxfId="398" priority="14082" operator="equal">
      <formula>"TRIM"</formula>
    </cfRule>
    <cfRule type="cellIs" dxfId="397" priority="14083" operator="equal">
      <formula>"RI"</formula>
    </cfRule>
    <cfRule type="cellIs" dxfId="396" priority="14084" operator="equal">
      <formula>"PT"</formula>
    </cfRule>
    <cfRule type="expression" dxfId="395" priority="14420">
      <formula>"PICKUP"</formula>
    </cfRule>
    <cfRule type="cellIs" dxfId="394" priority="14421" operator="equal">
      <formula>"GW"</formula>
    </cfRule>
    <cfRule type="cellIs" dxfId="393" priority="14422" operator="equal">
      <formula>"TRIM"</formula>
    </cfRule>
    <cfRule type="cellIs" dxfId="392" priority="14423" operator="equal">
      <formula>"RI"</formula>
    </cfRule>
    <cfRule type="cellIs" dxfId="391" priority="14424" operator="equal">
      <formula>"PT"</formula>
    </cfRule>
  </conditionalFormatting>
  <conditionalFormatting sqref="HF107:HG108">
    <cfRule type="expression" dxfId="390" priority="14075">
      <formula>"PICKUP"</formula>
    </cfRule>
    <cfRule type="cellIs" dxfId="389" priority="14076" operator="equal">
      <formula>"GW"</formula>
    </cfRule>
    <cfRule type="cellIs" dxfId="388" priority="14077" operator="equal">
      <formula>"TRIM"</formula>
    </cfRule>
    <cfRule type="cellIs" dxfId="387" priority="14078" operator="equal">
      <formula>"RI"</formula>
    </cfRule>
    <cfRule type="cellIs" dxfId="386" priority="14079" operator="equal">
      <formula>"PT"</formula>
    </cfRule>
    <cfRule type="expression" dxfId="385" priority="14415">
      <formula>"PICKUP"</formula>
    </cfRule>
    <cfRule type="cellIs" dxfId="384" priority="14416" operator="equal">
      <formula>"GW"</formula>
    </cfRule>
    <cfRule type="cellIs" dxfId="383" priority="14417" operator="equal">
      <formula>"TRIM"</formula>
    </cfRule>
    <cfRule type="cellIs" dxfId="382" priority="14418" operator="equal">
      <formula>"RI"</formula>
    </cfRule>
    <cfRule type="cellIs" dxfId="381" priority="14419" operator="equal">
      <formula>"PT"</formula>
    </cfRule>
  </conditionalFormatting>
  <conditionalFormatting sqref="HF107:HO108">
    <cfRule type="expression" dxfId="380" priority="14490">
      <formula>"PICKUP"</formula>
    </cfRule>
    <cfRule type="cellIs" dxfId="379" priority="14491" operator="equal">
      <formula>"GW"</formula>
    </cfRule>
    <cfRule type="cellIs" dxfId="378" priority="14492" operator="equal">
      <formula>"TRIM"</formula>
    </cfRule>
    <cfRule type="cellIs" dxfId="377" priority="14493" operator="equal">
      <formula>"RI"</formula>
    </cfRule>
    <cfRule type="cellIs" dxfId="376" priority="14494" operator="equal">
      <formula>"PT"</formula>
    </cfRule>
  </conditionalFormatting>
  <conditionalFormatting sqref="HH107:HI108">
    <cfRule type="expression" dxfId="375" priority="14335">
      <formula>"PICKUP"</formula>
    </cfRule>
    <cfRule type="cellIs" dxfId="374" priority="14336" operator="equal">
      <formula>"GW"</formula>
    </cfRule>
    <cfRule type="cellIs" dxfId="373" priority="14337" operator="equal">
      <formula>"TRIM"</formula>
    </cfRule>
    <cfRule type="cellIs" dxfId="372" priority="14338" operator="equal">
      <formula>"RI"</formula>
    </cfRule>
    <cfRule type="cellIs" dxfId="371" priority="14339" operator="equal">
      <formula>"PT"</formula>
    </cfRule>
    <cfRule type="expression" dxfId="370" priority="14340">
      <formula>"PICKUP"</formula>
    </cfRule>
    <cfRule type="cellIs" dxfId="369" priority="14341" operator="equal">
      <formula>"GW"</formula>
    </cfRule>
    <cfRule type="cellIs" dxfId="368" priority="14342" operator="equal">
      <formula>"TRIM"</formula>
    </cfRule>
    <cfRule type="cellIs" dxfId="367" priority="14343" operator="equal">
      <formula>"RI"</formula>
    </cfRule>
    <cfRule type="cellIs" dxfId="366" priority="14344" operator="equal">
      <formula>"PT"</formula>
    </cfRule>
  </conditionalFormatting>
  <conditionalFormatting sqref="HJ107:HK108">
    <cfRule type="expression" dxfId="365" priority="14355">
      <formula>"PICKUP"</formula>
    </cfRule>
    <cfRule type="cellIs" dxfId="364" priority="14356" operator="equal">
      <formula>"GW"</formula>
    </cfRule>
    <cfRule type="cellIs" dxfId="363" priority="14357" operator="equal">
      <formula>"TRIM"</formula>
    </cfRule>
    <cfRule type="cellIs" dxfId="362" priority="14358" operator="equal">
      <formula>"RI"</formula>
    </cfRule>
    <cfRule type="cellIs" dxfId="361" priority="14359" operator="equal">
      <formula>"PT"</formula>
    </cfRule>
    <cfRule type="expression" dxfId="360" priority="14360">
      <formula>"PICKUP"</formula>
    </cfRule>
    <cfRule type="cellIs" dxfId="359" priority="14361" operator="equal">
      <formula>"GW"</formula>
    </cfRule>
    <cfRule type="cellIs" dxfId="358" priority="14362" operator="equal">
      <formula>"TRIM"</formula>
    </cfRule>
    <cfRule type="cellIs" dxfId="357" priority="14363" operator="equal">
      <formula>"RI"</formula>
    </cfRule>
    <cfRule type="cellIs" dxfId="356" priority="14364" operator="equal">
      <formula>"PT"</formula>
    </cfRule>
  </conditionalFormatting>
  <conditionalFormatting sqref="HJ107:HM108">
    <cfRule type="expression" dxfId="355" priority="14280">
      <formula>"PICKUP"</formula>
    </cfRule>
    <cfRule type="cellIs" dxfId="354" priority="14281" operator="equal">
      <formula>"GW"</formula>
    </cfRule>
    <cfRule type="cellIs" dxfId="353" priority="14282" operator="equal">
      <formula>"TRIM"</formula>
    </cfRule>
    <cfRule type="cellIs" dxfId="352" priority="14283" operator="equal">
      <formula>"RI"</formula>
    </cfRule>
    <cfRule type="cellIs" dxfId="351" priority="14284" operator="equal">
      <formula>"PT"</formula>
    </cfRule>
    <cfRule type="expression" dxfId="350" priority="14300">
      <formula>"PICKUP"</formula>
    </cfRule>
    <cfRule type="cellIs" dxfId="349" priority="14301" operator="equal">
      <formula>"GW"</formula>
    </cfRule>
    <cfRule type="cellIs" dxfId="348" priority="14302" operator="equal">
      <formula>"TRIM"</formula>
    </cfRule>
    <cfRule type="cellIs" dxfId="347" priority="14303" operator="equal">
      <formula>"RI"</formula>
    </cfRule>
    <cfRule type="cellIs" dxfId="346" priority="14304" operator="equal">
      <formula>"PT"</formula>
    </cfRule>
  </conditionalFormatting>
  <conditionalFormatting sqref="HJ107:HO108">
    <cfRule type="expression" dxfId="345" priority="14230">
      <formula>"PICKUP"</formula>
    </cfRule>
    <cfRule type="cellIs" dxfId="344" priority="14231" operator="equal">
      <formula>"GW"</formula>
    </cfRule>
    <cfRule type="cellIs" dxfId="343" priority="14232" operator="equal">
      <formula>"TRIM"</formula>
    </cfRule>
    <cfRule type="cellIs" dxfId="342" priority="14233" operator="equal">
      <formula>"RI"</formula>
    </cfRule>
    <cfRule type="cellIs" dxfId="341" priority="14234" operator="equal">
      <formula>"PT"</formula>
    </cfRule>
    <cfRule type="expression" dxfId="340" priority="14245">
      <formula>"PICKUP"</formula>
    </cfRule>
    <cfRule type="cellIs" dxfId="339" priority="14246" operator="equal">
      <formula>"GW"</formula>
    </cfRule>
    <cfRule type="cellIs" dxfId="338" priority="14247" operator="equal">
      <formula>"TRIM"</formula>
    </cfRule>
    <cfRule type="cellIs" dxfId="337" priority="14248" operator="equal">
      <formula>"RI"</formula>
    </cfRule>
    <cfRule type="cellIs" dxfId="336" priority="14249" operator="equal">
      <formula>"PT"</formula>
    </cfRule>
  </conditionalFormatting>
  <conditionalFormatting sqref="HJ107:II108">
    <cfRule type="expression" dxfId="335" priority="14365">
      <formula>"PICKUP"</formula>
    </cfRule>
    <cfRule type="cellIs" dxfId="334" priority="14366" operator="equal">
      <formula>"GW"</formula>
    </cfRule>
    <cfRule type="cellIs" dxfId="333" priority="14367" operator="equal">
      <formula>"TRIM"</formula>
    </cfRule>
    <cfRule type="cellIs" dxfId="332" priority="14368" operator="equal">
      <formula>"RI"</formula>
    </cfRule>
    <cfRule type="cellIs" dxfId="331" priority="14369" operator="equal">
      <formula>"PT"</formula>
    </cfRule>
  </conditionalFormatting>
  <conditionalFormatting sqref="HL107:HM108">
    <cfRule type="expression" dxfId="330" priority="14275">
      <formula>"PICKUP"</formula>
    </cfRule>
    <cfRule type="cellIs" dxfId="329" priority="14276" operator="equal">
      <formula>"GW"</formula>
    </cfRule>
    <cfRule type="cellIs" dxfId="328" priority="14277" operator="equal">
      <formula>"TRIM"</formula>
    </cfRule>
    <cfRule type="cellIs" dxfId="327" priority="14278" operator="equal">
      <formula>"RI"</formula>
    </cfRule>
    <cfRule type="cellIs" dxfId="326" priority="14279" operator="equal">
      <formula>"PT"</formula>
    </cfRule>
    <cfRule type="expression" dxfId="325" priority="14310">
      <formula>"PICKUP"</formula>
    </cfRule>
    <cfRule type="cellIs" dxfId="324" priority="14311" operator="equal">
      <formula>"GW"</formula>
    </cfRule>
    <cfRule type="cellIs" dxfId="323" priority="14312" operator="equal">
      <formula>"TRIM"</formula>
    </cfRule>
    <cfRule type="cellIs" dxfId="322" priority="14313" operator="equal">
      <formula>"RI"</formula>
    </cfRule>
    <cfRule type="cellIs" dxfId="321" priority="14314" operator="equal">
      <formula>"PT"</formula>
    </cfRule>
    <cfRule type="expression" dxfId="320" priority="14315">
      <formula>"PICKUP"</formula>
    </cfRule>
    <cfRule type="cellIs" dxfId="319" priority="14316" operator="equal">
      <formula>"GW"</formula>
    </cfRule>
    <cfRule type="cellIs" dxfId="318" priority="14317" operator="equal">
      <formula>"TRIM"</formula>
    </cfRule>
    <cfRule type="cellIs" dxfId="317" priority="14318" operator="equal">
      <formula>"RI"</formula>
    </cfRule>
    <cfRule type="cellIs" dxfId="316" priority="14319" operator="equal">
      <formula>"PT"</formula>
    </cfRule>
  </conditionalFormatting>
  <conditionalFormatting sqref="HL107:HO108">
    <cfRule type="expression" dxfId="315" priority="14210">
      <formula>"PICKUP"</formula>
    </cfRule>
    <cfRule type="cellIs" dxfId="314" priority="14211" operator="equal">
      <formula>"GW"</formula>
    </cfRule>
    <cfRule type="cellIs" dxfId="313" priority="14212" operator="equal">
      <formula>"TRIM"</formula>
    </cfRule>
    <cfRule type="cellIs" dxfId="312" priority="14213" operator="equal">
      <formula>"RI"</formula>
    </cfRule>
    <cfRule type="cellIs" dxfId="311" priority="14214" operator="equal">
      <formula>"PT"</formula>
    </cfRule>
  </conditionalFormatting>
  <conditionalFormatting sqref="HL107:HQ108">
    <cfRule type="expression" dxfId="310" priority="14160">
      <formula>"PICKUP"</formula>
    </cfRule>
    <cfRule type="cellIs" dxfId="309" priority="14161" operator="equal">
      <formula>"GW"</formula>
    </cfRule>
    <cfRule type="cellIs" dxfId="308" priority="14162" operator="equal">
      <formula>"TRIM"</formula>
    </cfRule>
    <cfRule type="cellIs" dxfId="307" priority="14163" operator="equal">
      <formula>"RI"</formula>
    </cfRule>
    <cfRule type="cellIs" dxfId="306" priority="14164" operator="equal">
      <formula>"PT"</formula>
    </cfRule>
    <cfRule type="expression" dxfId="305" priority="14175">
      <formula>"PICKUP"</formula>
    </cfRule>
    <cfRule type="cellIs" dxfId="304" priority="14176" operator="equal">
      <formula>"GW"</formula>
    </cfRule>
    <cfRule type="cellIs" dxfId="303" priority="14177" operator="equal">
      <formula>"TRIM"</formula>
    </cfRule>
    <cfRule type="cellIs" dxfId="302" priority="14178" operator="equal">
      <formula>"RI"</formula>
    </cfRule>
    <cfRule type="cellIs" dxfId="301" priority="14179" operator="equal">
      <formula>"PT"</formula>
    </cfRule>
  </conditionalFormatting>
  <conditionalFormatting sqref="HL107:II108">
    <cfRule type="expression" dxfId="300" priority="14375">
      <formula>"PICKUP"</formula>
    </cfRule>
    <cfRule type="cellIs" dxfId="299" priority="14376" operator="equal">
      <formula>"GW"</formula>
    </cfRule>
    <cfRule type="cellIs" dxfId="298" priority="14377" operator="equal">
      <formula>"TRIM"</formula>
    </cfRule>
    <cfRule type="cellIs" dxfId="297" priority="14378" operator="equal">
      <formula>"RI"</formula>
    </cfRule>
    <cfRule type="cellIs" dxfId="296" priority="14379" operator="equal">
      <formula>"PT"</formula>
    </cfRule>
    <cfRule type="expression" dxfId="295" priority="14380">
      <formula>"PICKUP"</formula>
    </cfRule>
    <cfRule type="cellIs" dxfId="294" priority="14381" operator="equal">
      <formula>"GW"</formula>
    </cfRule>
    <cfRule type="cellIs" dxfId="293" priority="14382" operator="equal">
      <formula>"TRIM"</formula>
    </cfRule>
    <cfRule type="cellIs" dxfId="292" priority="14383" operator="equal">
      <formula>"RI"</formula>
    </cfRule>
    <cfRule type="cellIs" dxfId="291" priority="14384" operator="equal">
      <formula>"PT"</formula>
    </cfRule>
  </conditionalFormatting>
  <conditionalFormatting sqref="HN107:HO108">
    <cfRule type="expression" dxfId="290" priority="14205">
      <formula>"PICKUP"</formula>
    </cfRule>
    <cfRule type="cellIs" dxfId="289" priority="14206" operator="equal">
      <formula>"GW"</formula>
    </cfRule>
    <cfRule type="cellIs" dxfId="288" priority="14207" operator="equal">
      <formula>"TRIM"</formula>
    </cfRule>
    <cfRule type="cellIs" dxfId="287" priority="14208" operator="equal">
      <formula>"RI"</formula>
    </cfRule>
    <cfRule type="cellIs" dxfId="286" priority="14209" operator="equal">
      <formula>"PT"</formula>
    </cfRule>
    <cfRule type="expression" dxfId="285" priority="14240">
      <formula>"PICKUP"</formula>
    </cfRule>
    <cfRule type="cellIs" dxfId="284" priority="14241" operator="equal">
      <formula>"GW"</formula>
    </cfRule>
    <cfRule type="cellIs" dxfId="283" priority="14242" operator="equal">
      <formula>"TRIM"</formula>
    </cfRule>
    <cfRule type="cellIs" dxfId="282" priority="14243" operator="equal">
      <formula>"RI"</formula>
    </cfRule>
    <cfRule type="cellIs" dxfId="281" priority="14244" operator="equal">
      <formula>"PT"</formula>
    </cfRule>
  </conditionalFormatting>
  <conditionalFormatting sqref="HN107:HQ108">
    <cfRule type="expression" dxfId="280" priority="14140">
      <formula>"PICKUP"</formula>
    </cfRule>
    <cfRule type="cellIs" dxfId="279" priority="14141" operator="equal">
      <formula>"GW"</formula>
    </cfRule>
    <cfRule type="cellIs" dxfId="278" priority="14142" operator="equal">
      <formula>"TRIM"</formula>
    </cfRule>
    <cfRule type="cellIs" dxfId="277" priority="14143" operator="equal">
      <formula>"RI"</formula>
    </cfRule>
    <cfRule type="cellIs" dxfId="276" priority="14144" operator="equal">
      <formula>"PT"</formula>
    </cfRule>
  </conditionalFormatting>
  <conditionalFormatting sqref="HN107:HS108">
    <cfRule type="expression" dxfId="275" priority="14090">
      <formula>"PICKUP"</formula>
    </cfRule>
    <cfRule type="cellIs" dxfId="274" priority="14091" operator="equal">
      <formula>"GW"</formula>
    </cfRule>
    <cfRule type="cellIs" dxfId="273" priority="14092" operator="equal">
      <formula>"TRIM"</formula>
    </cfRule>
    <cfRule type="cellIs" dxfId="272" priority="14093" operator="equal">
      <formula>"RI"</formula>
    </cfRule>
    <cfRule type="cellIs" dxfId="271" priority="14094" operator="equal">
      <formula>"PT"</formula>
    </cfRule>
    <cfRule type="expression" dxfId="270" priority="14105">
      <formula>"PICKUP"</formula>
    </cfRule>
    <cfRule type="cellIs" dxfId="269" priority="14106" operator="equal">
      <formula>"GW"</formula>
    </cfRule>
    <cfRule type="cellIs" dxfId="268" priority="14107" operator="equal">
      <formula>"TRIM"</formula>
    </cfRule>
    <cfRule type="cellIs" dxfId="267" priority="14108" operator="equal">
      <formula>"RI"</formula>
    </cfRule>
    <cfRule type="cellIs" dxfId="266" priority="14109" operator="equal">
      <formula>"PT"</formula>
    </cfRule>
  </conditionalFormatting>
  <conditionalFormatting sqref="HN156:HS158">
    <cfRule type="colorScale" priority="27875">
      <colorScale>
        <cfvo type="num" val="1"/>
        <cfvo type="num" val="28"/>
        <color theme="7" tint="0.79998168889431442"/>
        <color theme="5" tint="-0.249977111117893"/>
      </colorScale>
    </cfRule>
    <cfRule type="colorScale" priority="27876">
      <colorScale>
        <cfvo type="num" val="1"/>
        <cfvo type="num" val="28"/>
        <color theme="7" tint="0.79998168889431442"/>
        <color theme="5" tint="-0.249977111117893"/>
      </colorScale>
    </cfRule>
  </conditionalFormatting>
  <conditionalFormatting sqref="HP107:HQ108">
    <cfRule type="expression" dxfId="265" priority="14085">
      <formula>"PICKUP"</formula>
    </cfRule>
    <cfRule type="cellIs" dxfId="264" priority="14086" operator="equal">
      <formula>"GW"</formula>
    </cfRule>
    <cfRule type="cellIs" dxfId="263" priority="14087" operator="equal">
      <formula>"TRIM"</formula>
    </cfRule>
    <cfRule type="cellIs" dxfId="262" priority="14088" operator="equal">
      <formula>"RI"</formula>
    </cfRule>
    <cfRule type="cellIs" dxfId="261" priority="14089" operator="equal">
      <formula>"PT"</formula>
    </cfRule>
    <cfRule type="expression" dxfId="260" priority="14135">
      <formula>"PICKUP"</formula>
    </cfRule>
    <cfRule type="cellIs" dxfId="259" priority="14136" operator="equal">
      <formula>"GW"</formula>
    </cfRule>
    <cfRule type="cellIs" dxfId="258" priority="14137" operator="equal">
      <formula>"TRIM"</formula>
    </cfRule>
    <cfRule type="cellIs" dxfId="257" priority="14138" operator="equal">
      <formula>"RI"</formula>
    </cfRule>
    <cfRule type="cellIs" dxfId="256" priority="14139" operator="equal">
      <formula>"PT"</formula>
    </cfRule>
    <cfRule type="expression" dxfId="255" priority="14170">
      <formula>"PICKUP"</formula>
    </cfRule>
    <cfRule type="cellIs" dxfId="254" priority="14171" operator="equal">
      <formula>"GW"</formula>
    </cfRule>
    <cfRule type="cellIs" dxfId="253" priority="14172" operator="equal">
      <formula>"TRIM"</formula>
    </cfRule>
    <cfRule type="cellIs" dxfId="252" priority="14173" operator="equal">
      <formula>"RI"</formula>
    </cfRule>
    <cfRule type="cellIs" dxfId="251" priority="14174" operator="equal">
      <formula>"PT"</formula>
    </cfRule>
  </conditionalFormatting>
  <conditionalFormatting sqref="HP107:IK108">
    <cfRule type="expression" dxfId="250" priority="14500">
      <formula>"PICKUP"</formula>
    </cfRule>
    <cfRule type="cellIs" dxfId="249" priority="14501" operator="equal">
      <formula>"GW"</formula>
    </cfRule>
    <cfRule type="cellIs" dxfId="248" priority="14502" operator="equal">
      <formula>"TRIM"</formula>
    </cfRule>
    <cfRule type="cellIs" dxfId="247" priority="14503" operator="equal">
      <formula>"RI"</formula>
    </cfRule>
    <cfRule type="cellIs" dxfId="246" priority="14504" operator="equal">
      <formula>"PT"</formula>
    </cfRule>
    <cfRule type="expression" dxfId="245" priority="14505">
      <formula>"PICKUP"</formula>
    </cfRule>
    <cfRule type="cellIs" dxfId="244" priority="14506" operator="equal">
      <formula>"GW"</formula>
    </cfRule>
    <cfRule type="cellIs" dxfId="243" priority="14507" operator="equal">
      <formula>"TRIM"</formula>
    </cfRule>
    <cfRule type="cellIs" dxfId="242" priority="14508" operator="equal">
      <formula>"RI"</formula>
    </cfRule>
    <cfRule type="cellIs" dxfId="241" priority="14509" operator="equal">
      <formula>"PT"</formula>
    </cfRule>
    <cfRule type="expression" dxfId="240" priority="14510">
      <formula>"PICKUP"</formula>
    </cfRule>
    <cfRule type="cellIs" dxfId="239" priority="14511" operator="equal">
      <formula>"GW"</formula>
    </cfRule>
    <cfRule type="cellIs" dxfId="238" priority="14512" operator="equal">
      <formula>"TRIM"</formula>
    </cfRule>
    <cfRule type="cellIs" dxfId="237" priority="14513" operator="equal">
      <formula>"RI"</formula>
    </cfRule>
    <cfRule type="cellIs" dxfId="236" priority="14514" operator="equal">
      <formula>"PT"</formula>
    </cfRule>
  </conditionalFormatting>
  <conditionalFormatting sqref="HR107:HS108">
    <cfRule type="expression" dxfId="235" priority="14100">
      <formula>"PICKUP"</formula>
    </cfRule>
    <cfRule type="cellIs" dxfId="234" priority="14101" operator="equal">
      <formula>"GW"</formula>
    </cfRule>
    <cfRule type="cellIs" dxfId="233" priority="14102" operator="equal">
      <formula>"TRIM"</formula>
    </cfRule>
    <cfRule type="cellIs" dxfId="232" priority="14103" operator="equal">
      <formula>"RI"</formula>
    </cfRule>
    <cfRule type="cellIs" dxfId="231" priority="14104" operator="equal">
      <formula>"PT"</formula>
    </cfRule>
  </conditionalFormatting>
  <conditionalFormatting sqref="HT17:HT21 HV17:HV21 HX17:HX21 HZ17:HZ21 IB17:IB21 ID17:ID21 IF17:IF21 IH17:IH21 IJ17:IJ21 IL17:IL21 IN17:IN21 IP17:IP21 IR17:IR21 IT17:IT21 IV17:IV21 IX17:IX21 IZ17:IZ21 JB17:JB21 JD17:JD21 JF17:JF21 JH17:JH21 JJ17:JJ21 JL17:JL21 JN17:JN21 JP17:JP21 JR17:JR21 JT17:JT21 JV17:JV21 JX17:JX21 JZ17:JZ21 KB17:KB21 KD17:KD21 KF17:KF21 KH17:KH21 KJ17:KJ21 KL17:KL21 KN17:KN21 KP17:KP21 KR17:KR21 KT17:KT21 KV17:KV21 KX17:KX21 KZ17:KZ21 LB17:LB21 LD17:LD21 LF17:LF21 LH17:LH21 LJ17:LJ21 LL17:LL21 LN17:LN21 LP17:LP21 LR17:LR21 LT17:LT21 LV17:LV21 LX17:LX21 LZ17:LZ21 MB17:MB21 MD17:MD21 MF17:MF21 MH17:MH21 MJ17:MJ21 ML17:ML21 MN17:MN21 MP17:MP21 MR17:MR21 MT17:MT21 MV17:MV21 MX17:MX21 MZ17:MZ21 NB17:NB21 ND17:ND21 NF17:NF21 NH17:NH21 NJ17:NJ21 NL17:NL21 NN17:NN21 NP17:NP21 NR17:NR21 NT17:NT21 NV17:NV21 NX17:NX21 NZ17:NZ21 OB17:OB21 OD17:OD21 OF17:OF21 OH17:OH21 OJ17:OJ21 OL17:OL21 ON17:ON21 OP17:OP21 OR17:OR21 OT17:OT21 OV17:OV21 OX17:OX21 OZ17:OZ21 PB17:PB21 PD17:PD21 PF17:PF21 PH17:PH21 PJ17:PJ21 PL17:PL21 PN17:PN21 PP17:PP21 PR17:PR21 PT17:PT21 PV17:PV21 PX17:PX21 PZ17:PZ21 QB17:QB21 QD17:QD21 QF17:QF21 QH17:QH21 QJ17:QJ21 QL17:QL21 QN17:QN21 QP17:QP21 QR17:QR21 QT17:QT21 QV17:QV21 QX17:QX21 QZ17:QZ21 RB17:RB21 RD17:RD21">
    <cfRule type="colorScale" priority="17956">
      <colorScale>
        <cfvo type="min"/>
        <cfvo type="percentile" val="50"/>
        <cfvo type="max"/>
        <color rgb="FFF8696B"/>
        <color rgb="FFFFEB84"/>
        <color rgb="FF63BE7B"/>
      </colorScale>
    </cfRule>
  </conditionalFormatting>
  <conditionalFormatting sqref="HT17:RD17 HT19:RD19">
    <cfRule type="cellIs" dxfId="230" priority="17957" operator="equal">
      <formula>"GW"</formula>
    </cfRule>
    <cfRule type="cellIs" dxfId="229" priority="17958" operator="equal">
      <formula>"PT"</formula>
    </cfRule>
    <cfRule type="cellIs" dxfId="228" priority="17959" operator="equal">
      <formula>"TRIM"</formula>
    </cfRule>
    <cfRule type="cellIs" dxfId="227" priority="17960" operator="equal">
      <formula>"RI"</formula>
    </cfRule>
  </conditionalFormatting>
  <conditionalFormatting sqref="HT21:RD57">
    <cfRule type="cellIs" dxfId="226" priority="17903" operator="equal">
      <formula>"GW"</formula>
    </cfRule>
    <cfRule type="cellIs" dxfId="225" priority="17904" operator="equal">
      <formula>"TRIM"</formula>
    </cfRule>
  </conditionalFormatting>
  <conditionalFormatting sqref="HT25:RD64">
    <cfRule type="expression" dxfId="224" priority="17902">
      <formula>"PICKUP"</formula>
    </cfRule>
  </conditionalFormatting>
  <conditionalFormatting sqref="HT32:RD57">
    <cfRule type="cellIs" dxfId="223" priority="17905" operator="equal">
      <formula>"RI"</formula>
    </cfRule>
    <cfRule type="cellIs" dxfId="222" priority="17906" operator="equal">
      <formula>"PT"</formula>
    </cfRule>
  </conditionalFormatting>
  <conditionalFormatting sqref="HT61:RD61">
    <cfRule type="expression" dxfId="221" priority="17867">
      <formula>"PICKUP"</formula>
    </cfRule>
    <cfRule type="cellIs" dxfId="220" priority="17868" operator="equal">
      <formula>"GW"</formula>
    </cfRule>
    <cfRule type="cellIs" dxfId="219" priority="17869" operator="equal">
      <formula>"TRIM"</formula>
    </cfRule>
    <cfRule type="cellIs" dxfId="218" priority="17870" operator="equal">
      <formula>"RI"</formula>
    </cfRule>
    <cfRule type="cellIs" dxfId="217" priority="17871" operator="equal">
      <formula>"PT"</formula>
    </cfRule>
  </conditionalFormatting>
  <conditionalFormatting sqref="HT111:RD117 HT136:RD136 HT122:RD122">
    <cfRule type="colorScale" priority="17954">
      <colorScale>
        <cfvo type="num" val="1"/>
        <cfvo type="num" val="28"/>
        <color theme="7" tint="0.79998168889431442"/>
        <color theme="5" tint="-0.249977111117893"/>
      </colorScale>
    </cfRule>
  </conditionalFormatting>
  <conditionalFormatting sqref="HT118:RD118">
    <cfRule type="colorScale" priority="17918">
      <colorScale>
        <cfvo type="num" val="1"/>
        <cfvo type="num" val="28"/>
        <color theme="7" tint="0.79998168889431442"/>
        <color theme="5" tint="-0.249977111117893"/>
      </colorScale>
    </cfRule>
  </conditionalFormatting>
  <conditionalFormatting sqref="HT119:RD119">
    <cfRule type="colorScale" priority="17922">
      <colorScale>
        <cfvo type="num" val="1"/>
        <cfvo type="num" val="28"/>
        <color theme="7" tint="0.79998168889431442"/>
        <color theme="5" tint="-0.249977111117893"/>
      </colorScale>
    </cfRule>
  </conditionalFormatting>
  <conditionalFormatting sqref="HT120:RD120">
    <cfRule type="colorScale" priority="17928">
      <colorScale>
        <cfvo type="num" val="1"/>
        <cfvo type="num" val="28"/>
        <color theme="7" tint="0.79998168889431442"/>
        <color theme="5" tint="-0.249977111117893"/>
      </colorScale>
    </cfRule>
  </conditionalFormatting>
  <conditionalFormatting sqref="HT121:RD121">
    <cfRule type="colorScale" priority="17926">
      <colorScale>
        <cfvo type="num" val="1"/>
        <cfvo type="num" val="28"/>
        <color theme="7" tint="0.79998168889431442"/>
        <color theme="5" tint="-0.249977111117893"/>
      </colorScale>
    </cfRule>
  </conditionalFormatting>
  <conditionalFormatting sqref="HT123:RD123 HT125:RD125">
    <cfRule type="colorScale" priority="17961">
      <colorScale>
        <cfvo type="num" val="1"/>
        <cfvo type="num" val="28"/>
        <color theme="7" tint="0.79998168889431442"/>
        <color theme="5" tint="-0.249977111117893"/>
      </colorScale>
    </cfRule>
  </conditionalFormatting>
  <conditionalFormatting sqref="HT124:RD124">
    <cfRule type="colorScale" priority="17927">
      <colorScale>
        <cfvo type="num" val="1"/>
        <cfvo type="num" val="28"/>
        <color theme="7" tint="0.79998168889431442"/>
        <color theme="5" tint="-0.249977111117893"/>
      </colorScale>
    </cfRule>
  </conditionalFormatting>
  <conditionalFormatting sqref="HT126:RD126">
    <cfRule type="colorScale" priority="17919">
      <colorScale>
        <cfvo type="num" val="1"/>
        <cfvo type="num" val="28"/>
        <color theme="7" tint="0.79998168889431442"/>
        <color theme="5" tint="-0.249977111117893"/>
      </colorScale>
    </cfRule>
  </conditionalFormatting>
  <conditionalFormatting sqref="HT127:RD127 HT134:RD135">
    <cfRule type="colorScale" priority="17914">
      <colorScale>
        <cfvo type="num" val="1"/>
        <cfvo type="num" val="28"/>
        <color theme="7" tint="0.79998168889431442"/>
        <color theme="5" tint="-0.249977111117893"/>
      </colorScale>
    </cfRule>
  </conditionalFormatting>
  <conditionalFormatting sqref="HT128:RD128">
    <cfRule type="colorScale" priority="17920">
      <colorScale>
        <cfvo type="num" val="1"/>
        <cfvo type="num" val="28"/>
        <color theme="7" tint="0.79998168889431442"/>
        <color theme="5" tint="-0.249977111117893"/>
      </colorScale>
    </cfRule>
  </conditionalFormatting>
  <conditionalFormatting sqref="HT129:RD129">
    <cfRule type="colorScale" priority="17921">
      <colorScale>
        <cfvo type="num" val="1"/>
        <cfvo type="num" val="28"/>
        <color theme="7" tint="0.79998168889431442"/>
        <color theme="5" tint="-0.249977111117893"/>
      </colorScale>
    </cfRule>
  </conditionalFormatting>
  <conditionalFormatting sqref="HT130:RD133 HT137:RD137 HT135:RD135">
    <cfRule type="colorScale" priority="17964">
      <colorScale>
        <cfvo type="num" val="1"/>
        <cfvo type="num" val="28"/>
        <color theme="7" tint="0.79998168889431442"/>
        <color theme="5" tint="-0.249977111117893"/>
      </colorScale>
    </cfRule>
  </conditionalFormatting>
  <conditionalFormatting sqref="HT132:RD133">
    <cfRule type="colorScale" priority="17911">
      <colorScale>
        <cfvo type="num" val="1"/>
        <cfvo type="num" val="28"/>
        <color theme="7" tint="0.79998168889431442"/>
        <color theme="5" tint="-0.249977111117893"/>
      </colorScale>
    </cfRule>
  </conditionalFormatting>
  <conditionalFormatting sqref="HT133:RD133">
    <cfRule type="colorScale" priority="17908">
      <colorScale>
        <cfvo type="num" val="1"/>
        <cfvo type="num" val="28"/>
        <color theme="7" tint="0.79998168889431442"/>
        <color theme="5" tint="-0.249977111117893"/>
      </colorScale>
    </cfRule>
  </conditionalFormatting>
  <conditionalFormatting sqref="HT138:RD140">
    <cfRule type="colorScale" priority="17901">
      <colorScale>
        <cfvo type="num" val="1"/>
        <cfvo type="num" val="28"/>
        <color theme="7" tint="0.79998168889431442"/>
        <color theme="5" tint="-0.249977111117893"/>
      </colorScale>
    </cfRule>
  </conditionalFormatting>
  <conditionalFormatting sqref="HT139:RD140">
    <cfRule type="colorScale" priority="17912">
      <colorScale>
        <cfvo type="num" val="1"/>
        <cfvo type="num" val="28"/>
        <color theme="7" tint="0.79998168889431442"/>
        <color theme="5" tint="-0.249977111117893"/>
      </colorScale>
    </cfRule>
  </conditionalFormatting>
  <conditionalFormatting sqref="HT140:RD140">
    <cfRule type="colorScale" priority="17907">
      <colorScale>
        <cfvo type="num" val="1"/>
        <cfvo type="num" val="28"/>
        <color theme="7" tint="0.79998168889431442"/>
        <color theme="5" tint="-0.249977111117893"/>
      </colorScale>
    </cfRule>
  </conditionalFormatting>
  <conditionalFormatting sqref="HT141:RD141">
    <cfRule type="colorScale" priority="17910">
      <colorScale>
        <cfvo type="num" val="1"/>
        <cfvo type="num" val="28"/>
        <color theme="7" tint="0.79998168889431442"/>
        <color theme="5" tint="-0.249977111117893"/>
      </colorScale>
    </cfRule>
  </conditionalFormatting>
  <conditionalFormatting sqref="HT142:RD142">
    <cfRule type="colorScale" priority="17909">
      <colorScale>
        <cfvo type="num" val="1"/>
        <cfvo type="num" val="28"/>
        <color theme="7" tint="0.79998168889431442"/>
        <color theme="5" tint="-0.249977111117893"/>
      </colorScale>
    </cfRule>
  </conditionalFormatting>
  <conditionalFormatting sqref="HT143:RD146">
    <cfRule type="colorScale" priority="17972">
      <colorScale>
        <cfvo type="num" val="1"/>
        <cfvo type="num" val="28"/>
        <color theme="7" tint="0.79998168889431442"/>
        <color theme="5" tint="-0.249977111117893"/>
      </colorScale>
    </cfRule>
  </conditionalFormatting>
  <conditionalFormatting sqref="HT144:RD145">
    <cfRule type="colorScale" priority="17895">
      <colorScale>
        <cfvo type="num" val="1"/>
        <cfvo type="num" val="28"/>
        <color theme="7" tint="0.79998168889431442"/>
        <color theme="5" tint="-0.249977111117893"/>
      </colorScale>
    </cfRule>
  </conditionalFormatting>
  <conditionalFormatting sqref="HT145:RD145">
    <cfRule type="colorScale" priority="17889">
      <colorScale>
        <cfvo type="num" val="1"/>
        <cfvo type="num" val="28"/>
        <color theme="7" tint="0.79998168889431442"/>
        <color theme="5" tint="-0.249977111117893"/>
      </colorScale>
    </cfRule>
  </conditionalFormatting>
  <conditionalFormatting sqref="HT150:RD150">
    <cfRule type="colorScale" priority="17866">
      <colorScale>
        <cfvo type="num" val="1"/>
        <cfvo type="num" val="28"/>
        <color theme="7" tint="0.79998168889431442"/>
        <color theme="5" tint="-0.249977111117893"/>
      </colorScale>
    </cfRule>
  </conditionalFormatting>
  <conditionalFormatting sqref="HT22 HV22 HX22 HZ22 IB22 ID22 IF22 IH22 IJ22 IL22 IN22 IP22 IR22 IT22 IV22 IX22 IZ22 JB22 JD22 JF22 JH22 JJ22 JL22 JN22 JP22 JR22 JT22 JV22 JX22 JZ22 KB22 KD22 KF22 KH22 KJ22 KL22 KN22 KP22 KR22 KT22 KV22 KX22 KZ22 LB22 LD22 LF22 LH22 LJ22 LL22 LN22 LP22 LR22 LT22 LV22 LX22 LZ22 MB22 MD22 MF22 MH22 MJ22 ML22 MN22 MP22 MR22 MT22 MV22 MX22 MZ22 NB22 ND22 NF22 NH22 NJ22 NL22 NN22 NP22 NR22 NT22 NV22 NX22 NZ22 OB22 OD22 OF22 OH22 OJ22 OL22 ON22 OP22 OR22 OT22 OV22 OX22 OZ22 PB22 PD22 PF22 PH22 PJ22 PL22 PN22 PP22 PR22 PT22 PV22 PX22 PZ22 QB22 QD22 QF22 QH22 QJ22 QL22 QN22 QP22 QR22 QT22 QV22 QX22 QZ22 RB22 RD22">
    <cfRule type="colorScale" priority="17952">
      <colorScale>
        <cfvo type="min"/>
        <cfvo type="percentile" val="50"/>
        <cfvo type="max"/>
        <color rgb="FFF8696B"/>
        <color rgb="FFFFEB84"/>
        <color rgb="FF63BE7B"/>
      </colorScale>
    </cfRule>
  </conditionalFormatting>
  <conditionalFormatting sqref="HT23 HV23 HX23 HZ23 IB23 ID23 IF23 IH23 IJ23 IL23 IN23 IP23 IR23 IT23 IV23 IX23 IZ23 JB23 JD23 JF23 JH23 JJ23 JL23 JN23 JP23 JR23 JT23 JV23 JX23 JZ23 KB23 KD23 KF23 KH23 KJ23 KL23 KN23 KP23 KR23 KT23 KV23 KX23 KZ23 LB23 LD23 LF23 LH23 LJ23 LL23 LN23 LP23 LR23 LT23 LV23 LX23 LZ23 MB23 MD23 MF23 MH23 MJ23 ML23 MN23 MP23 MR23 MT23 MV23 MX23 MZ23 NB23 ND23 NF23 NH23 NJ23 NL23 NN23 NP23 NR23 NT23 NV23 NX23 NZ23 OB23 OD23 OF23 OH23 OJ23 OL23 ON23 OP23 OR23 OT23 OV23 OX23 OZ23 PB23 PD23 PF23 PH23 PJ23 PL23 PN23 PP23 PR23 PT23 PV23 PX23 PZ23 QB23 QD23 QF23 QH23 QJ23 QL23 QN23 QP23 QR23 QT23 QV23 QX23 QZ23 RB23 RD23">
    <cfRule type="colorScale" priority="17949">
      <colorScale>
        <cfvo type="min"/>
        <cfvo type="percentile" val="50"/>
        <cfvo type="max"/>
        <color rgb="FFF8696B"/>
        <color rgb="FFFFEB84"/>
        <color rgb="FF63BE7B"/>
      </colorScale>
    </cfRule>
  </conditionalFormatting>
  <conditionalFormatting sqref="HT24 HV24 HX24 HZ24 IB24 ID24 IF24 IH24 IJ24 IL24 IN24 IP24 IR24 IT24 IV24 IX24 IZ24 JB24 JD24 JF24 JH24 JJ24 JL24 JN24 JP24 JR24 JT24 JV24 JX24 JZ24 KB24 KD24 KF24 KH24 KJ24 KL24 KN24 KP24 KR24 KT24 KV24 KX24 KZ24 LB24 LD24 LF24 LH24 LJ24 LL24 LN24 LP24 LR24 LT24 LV24 LX24 LZ24 MB24 MD24 MF24 MH24 MJ24 ML24 MN24 MP24 MR24 MT24 MV24 MX24 MZ24 NB24 ND24 NF24 NH24 NJ24 NL24 NN24 NP24 NR24 NT24 NV24 NX24 NZ24 OB24 OD24 OF24 OH24 OJ24 OL24 ON24 OP24 OR24 OT24 OV24 OX24 OZ24 PB24 PD24 PF24 PH24 PJ24 PL24 PN24 PP24 PR24 PT24 PV24 PX24 PZ24 QB24 QD24 QF24 QH24 QJ24 QL24 QN24 QP24 QR24 QT24 QV24 QX24 QZ24 RB24 RD24">
    <cfRule type="colorScale" priority="17946">
      <colorScale>
        <cfvo type="min"/>
        <cfvo type="percentile" val="50"/>
        <cfvo type="max"/>
        <color rgb="FFF8696B"/>
        <color rgb="FFFFEB84"/>
        <color rgb="FF63BE7B"/>
      </colorScale>
    </cfRule>
  </conditionalFormatting>
  <conditionalFormatting sqref="HT25 HV25 HX25 HZ25 IB25 ID25 IF25 IH25 IJ25 IL25 IN25 IP25 IR25 IT25 IV25 IX25 IZ25 JB25 JD25 JF25 JH25 JJ25 JL25 JN25 JP25 JR25 JT25 JV25 JX25 JZ25 KB25 KD25 KF25 KH25 KJ25 KL25 KN25 KP25 KR25 KT25 KV25 KX25 KZ25 LB25 LD25 LF25 LH25 LJ25 LL25 LN25 LP25 LR25 LT25 LV25 LX25 LZ25 MB25 MD25 MF25 MH25 MJ25 ML25 MN25 MP25 MR25 MT25 MV25 MX25 MZ25 NB25 ND25 NF25 NH25 NJ25 NL25 NN25 NP25 NR25 NT25 NV25 NX25 NZ25 OB25 OD25 OF25 OH25 OJ25 OL25 ON25 OP25 OR25 OT25 OV25 OX25 OZ25 PB25 PD25 PF25 PH25 PJ25 PL25 PN25 PP25 PR25 PT25 PV25 PX25 PZ25 QB25 QD25 QF25 QH25 QJ25 QL25 QN25 QP25 QR25 QT25 QV25 QX25 QZ25 RB25 RD25">
    <cfRule type="colorScale" priority="17937">
      <colorScale>
        <cfvo type="min"/>
        <cfvo type="percentile" val="50"/>
        <cfvo type="max"/>
        <color rgb="FFF8696B"/>
        <color rgb="FFFFEB84"/>
        <color rgb="FF63BE7B"/>
      </colorScale>
    </cfRule>
  </conditionalFormatting>
  <conditionalFormatting sqref="HT26 HV26 HX26 HZ26 IB26 ID26 IF26 IH26 IJ26 IL26 IN26 IP26 IR26 IT26 IV26 IX26 IZ26 JB26 JD26 JF26 JH26 JJ26 JL26 JN26 JP26 JR26 JT26 JV26 JX26 JZ26 KB26 KD26 KF26 KH26 KJ26 KL26 KN26 KP26 KR26 KT26 KV26 KX26 KZ26 LB26 LD26 LF26 LH26 LJ26 LL26 LN26 LP26 LR26 LT26 LV26 LX26 LZ26 MB26 MD26 MF26 MH26 MJ26 ML26 MN26 MP26 MR26 MT26 MV26 MX26 MZ26 NB26 ND26 NF26 NH26 NJ26 NL26 NN26 NP26 NR26 NT26 NV26 NX26 NZ26 OB26 OD26 OF26 OH26 OJ26 OL26 ON26 OP26 OR26 OT26 OV26 OX26 OZ26 PB26 PD26 PF26 PH26 PJ26 PL26 PN26 PP26 PR26 PT26 PV26 PX26 PZ26 QB26 QD26 QF26 QH26 QJ26 QL26 QN26 QP26 QR26 QT26 QV26 QX26 QZ26 RB26 RD26">
    <cfRule type="colorScale" priority="17940">
      <colorScale>
        <cfvo type="min"/>
        <cfvo type="percentile" val="50"/>
        <cfvo type="max"/>
        <color rgb="FFF8696B"/>
        <color rgb="FFFFEB84"/>
        <color rgb="FF63BE7B"/>
      </colorScale>
    </cfRule>
  </conditionalFormatting>
  <conditionalFormatting sqref="HT27 HV27 HX27 HZ27 IB27 ID27 IF27 IH27 IJ27 IL27 IN27 IP27 IR27 IT27 IV27 IX27 IZ27 JB27 JD27 JF27 JH27 JJ27 JL27 JN27 JP27 JR27 JT27 JV27 JX27 JZ27 KB27 KD27 KF27 KH27 KJ27 KL27 KN27 KP27 KR27 KT27 KV27 KX27 KZ27 LB27 LD27 LF27 LH27 LJ27 LL27 LN27 LP27 LR27 LT27 LV27 LX27 LZ27 MB27 MD27 MF27 MH27 MJ27 ML27 MN27 MP27 MR27 MT27 MV27 MX27 MZ27 NB27 ND27 NF27 NH27 NJ27 NL27 NN27 NP27 NR27 NT27 NV27 NX27 NZ27 OB27 OD27 OF27 OH27 OJ27 OL27 ON27 OP27 OR27 OT27 OV27 OX27 OZ27 PB27 PD27 PF27 PH27 PJ27 PL27 PN27 PP27 PR27 PT27 PV27 PX27 PZ27 QB27 QD27 QF27 QH27 QJ27 QL27 QN27 QP27 QR27 QT27 QV27 QX27 QZ27 RB27 RD27">
    <cfRule type="colorScale" priority="17934">
      <colorScale>
        <cfvo type="min"/>
        <cfvo type="percentile" val="50"/>
        <cfvo type="max"/>
        <color rgb="FFF8696B"/>
        <color rgb="FFFFEB84"/>
        <color rgb="FF63BE7B"/>
      </colorScale>
    </cfRule>
  </conditionalFormatting>
  <conditionalFormatting sqref="HT28 HV28 HX28 HZ28 IB28 ID28 IF28 IH28 IJ28 IL28 IN28 IP28 IR28 IT28 IV28 IX28 IZ28 JB28 JD28 JF28 JH28 JJ28 JL28 JN28 JP28 JR28 JT28 JV28 JX28 JZ28 KB28 KD28 KF28 KH28 KJ28 KL28 KN28 KP28 KR28 KT28 KV28 KX28 KZ28 LB28 LD28 LF28 LH28 LJ28 LL28 LN28 LP28 LR28 LT28 LV28 LX28 LZ28 MB28 MD28 MF28 MH28 MJ28 ML28 MN28 MP28 MR28 MT28 MV28 MX28 MZ28 NB28 ND28 NF28 NH28 NJ28 NL28 NN28 NP28 NR28 NT28 NV28 NX28 NZ28 OB28 OD28 OF28 OH28 OJ28 OL28 ON28 OP28 OR28 OT28 OV28 OX28 OZ28 PB28 PD28 PF28 PH28 PJ28 PL28 PN28 PP28 PR28 PT28 PV28 PX28 PZ28 QB28 QD28 QF28 QH28 QJ28 QL28 QN28 QP28 QR28 QT28 QV28 QX28 QZ28 RB28 RD28">
    <cfRule type="colorScale" priority="17943">
      <colorScale>
        <cfvo type="min"/>
        <cfvo type="percentile" val="50"/>
        <cfvo type="max"/>
        <color rgb="FFF8696B"/>
        <color rgb="FFFFEB84"/>
        <color rgb="FF63BE7B"/>
      </colorScale>
    </cfRule>
  </conditionalFormatting>
  <conditionalFormatting sqref="HT29 HV29 HX29 HZ29 IB29 ID29 IF29 IH29 IJ29 IL29 IN29 IP29 IR29 IT29 IV29 IX29 IZ29 JB29 JD29 JF29 JH29 JJ29 JL29 JN29 JP29 JR29 JT29 JV29 JX29 JZ29 KB29 KD29 KF29 KH29 KJ29 KL29 KN29 KP29 KR29 KT29 KV29 KX29 KZ29 LB29 LD29 LF29 LH29 LJ29 LL29 LN29 LP29 LR29 LT29 LV29 LX29 LZ29 MB29 MD29 MF29 MH29 MJ29 ML29 MN29 MP29 MR29 MT29 MV29 MX29 MZ29 NB29 ND29 NF29 NH29 NJ29 NL29 NN29 NP29 NR29 NT29 NV29 NX29 NZ29 OB29 OD29 OF29 OH29 OJ29 OL29 ON29 OP29 OR29 OT29 OV29 OX29 OZ29 PB29 PD29 PF29 PH29 PJ29 PL29 PN29 PP29 PR29 PT29 PV29 PX29 PZ29 QB29 QD29 QF29 QH29 QJ29 QL29 QN29 QP29 QR29 QT29 QV29 QX29 QZ29 RB29 RD29">
    <cfRule type="colorScale" priority="17917">
      <colorScale>
        <cfvo type="min"/>
        <cfvo type="percentile" val="50"/>
        <cfvo type="max"/>
        <color rgb="FFF8696B"/>
        <color rgb="FFFFEB84"/>
        <color rgb="FF63BE7B"/>
      </colorScale>
    </cfRule>
  </conditionalFormatting>
  <conditionalFormatting sqref="HT30 HV30 HX30 HZ30 IB30 ID30 IF30 IH30 IJ30 IL30 IN30 IP30 IR30 IT30 IV30 IX30 IZ30 JB30 JD30 JF30 JH30 JJ30 JL30 JN30 JP30 JR30 JT30 JV30 JX30 JZ30 KB30 KD30 KF30 KH30 KJ30 KL30 KN30 KP30 KR30 KT30 KV30 KX30 KZ30 LB30 LD30 LF30 LH30 LJ30 LL30 LN30 LP30 LR30 LT30 LV30 LX30 LZ30 MB30 MD30 MF30 MH30 MJ30 ML30 MN30 MP30 MR30 MT30 MV30 MX30 MZ30 NB30 ND30 NF30 NH30 NJ30 NL30 NN30 NP30 NR30 NT30 NV30 NX30 NZ30 OB30 OD30 OF30 OH30 OJ30 OL30 ON30 OP30 OR30 OT30 OV30 OX30 OZ30 PB30 PD30 PF30 PH30 PJ30 PL30 PN30 PP30 PR30 PT30 PV30 PX30 PZ30 QB30 QD30 QF30 QH30 QJ30 QL30 QN30 QP30 QR30 QT30 QV30 QX30 QZ30 RB30 RD30">
    <cfRule type="colorScale" priority="17925">
      <colorScale>
        <cfvo type="min"/>
        <cfvo type="percentile" val="50"/>
        <cfvo type="max"/>
        <color rgb="FFF8696B"/>
        <color rgb="FFFFEB84"/>
        <color rgb="FF63BE7B"/>
      </colorScale>
    </cfRule>
  </conditionalFormatting>
  <conditionalFormatting sqref="HT31 HV31 HX31 HZ31 IB31 ID31 IF31 IH31 IJ31 IL31 IN31 IP31 IR31 IT31 IV31 IX31 IZ31 JB31 JD31 JF31 JH31 JJ31 JL31 JN31 JP31 JR31 JT31 JV31 JX31 JZ31 KB31 KD31 KF31 KH31 KJ31 KL31 KN31 KP31 KR31 KT31 KV31 KX31 KZ31 LB31 LD31 LF31 LH31 LJ31 LL31 LN31 LP31 LR31 LT31 LV31 LX31 LZ31 MB31 MD31 MF31 MH31 MJ31 ML31 MN31 MP31 MR31 MT31 MV31 MX31 MZ31 NB31 ND31 NF31 NH31 NJ31 NL31 NN31 NP31 NR31 NT31 NV31 NX31 NZ31 OB31 OD31 OF31 OH31 OJ31 OL31 ON31 OP31 OR31 OT31 OV31 OX31 OZ31 PB31 PD31 PF31 PH31 PJ31 PL31 PN31 PP31 PR31 PT31 PV31 PX31 PZ31 QB31 QD31 QF31 QH31 QJ31 QL31 QN31 QP31 QR31 QT31 QV31 QX31 QZ31 RB31 RD31">
    <cfRule type="colorScale" priority="17931">
      <colorScale>
        <cfvo type="min"/>
        <cfvo type="percentile" val="50"/>
        <cfvo type="max"/>
        <color rgb="FFF8696B"/>
        <color rgb="FFFFEB84"/>
        <color rgb="FF63BE7B"/>
      </colorScale>
    </cfRule>
  </conditionalFormatting>
  <conditionalFormatting sqref="HV180:JS180">
    <cfRule type="colorScale" priority="793">
      <colorScale>
        <cfvo type="num" val="1"/>
        <cfvo type="num" val="28"/>
        <color theme="7" tint="0.79998168889431442"/>
        <color theme="5" tint="-0.249977111117893"/>
      </colorScale>
    </cfRule>
    <cfRule type="colorScale" priority="794">
      <colorScale>
        <cfvo type="num" val="1"/>
        <cfvo type="num" val="28"/>
        <color theme="7" tint="0.79998168889431442"/>
        <color theme="5" tint="-0.249977111117893"/>
      </colorScale>
    </cfRule>
  </conditionalFormatting>
  <conditionalFormatting sqref="HX177:JS178 HX180:JS180">
    <cfRule type="colorScale" priority="786">
      <colorScale>
        <cfvo type="num" val="1"/>
        <cfvo type="num" val="28"/>
        <color theme="7" tint="0.79998168889431442"/>
        <color theme="5" tint="-0.249977111117893"/>
      </colorScale>
    </cfRule>
    <cfRule type="colorScale" priority="787">
      <colorScale>
        <cfvo type="num" val="1"/>
        <cfvo type="num" val="28"/>
        <color theme="7" tint="0.79998168889431442"/>
        <color theme="5" tint="-0.249977111117893"/>
      </colorScale>
    </cfRule>
  </conditionalFormatting>
  <conditionalFormatting sqref="ID181:JQ181 IF181:KC182 ID183:KU183 ID184:LA184 ID187:LQ188 ID195:LQ195 ID193:LU194 KH194:MC194 JV191:LY191 ID192:MA192 KD193:MA193 ID189:LK191 ID188:LS188 ID186:LE187 JH188:LS189 ID190:LW190 JZ189:LU189">
    <cfRule type="colorScale" priority="780">
      <colorScale>
        <cfvo type="num" val="1"/>
        <cfvo type="num" val="28"/>
        <color theme="7" tint="0.79998168889431442"/>
        <color theme="5" tint="-0.249977111117893"/>
      </colorScale>
    </cfRule>
    <cfRule type="colorScale" priority="781">
      <colorScale>
        <cfvo type="num" val="1"/>
        <cfvo type="num" val="28"/>
        <color theme="7" tint="0.79998168889431442"/>
        <color theme="5" tint="-0.249977111117893"/>
      </colorScale>
    </cfRule>
    <cfRule type="colorScale" priority="782">
      <colorScale>
        <cfvo type="num" val="1"/>
        <cfvo type="num" val="28"/>
        <color theme="7" tint="0.79998168889431442"/>
        <color theme="5" tint="-0.249977111117893"/>
      </colorScale>
    </cfRule>
    <cfRule type="colorScale" priority="783">
      <colorScale>
        <cfvo type="num" val="1"/>
        <cfvo type="num" val="28"/>
        <color theme="7" tint="0.79998168889431442"/>
        <color theme="5" tint="-0.249977111117893"/>
      </colorScale>
    </cfRule>
  </conditionalFormatting>
  <conditionalFormatting sqref="ID185:KK185">
    <cfRule type="colorScale" priority="652">
      <colorScale>
        <cfvo type="num" val="1"/>
        <cfvo type="num" val="28"/>
        <color theme="7" tint="0.79998168889431442"/>
        <color theme="5" tint="-0.249977111117893"/>
      </colorScale>
    </cfRule>
    <cfRule type="colorScale" priority="653">
      <colorScale>
        <cfvo type="num" val="1"/>
        <cfvo type="num" val="28"/>
        <color theme="7" tint="0.79998168889431442"/>
        <color theme="5" tint="-0.249977111117893"/>
      </colorScale>
    </cfRule>
    <cfRule type="colorScale" priority="654">
      <colorScale>
        <cfvo type="num" val="1"/>
        <cfvo type="num" val="28"/>
        <color theme="7" tint="0.79998168889431442"/>
        <color theme="5" tint="-0.249977111117893"/>
      </colorScale>
    </cfRule>
    <cfRule type="colorScale" priority="655">
      <colorScale>
        <cfvo type="num" val="1"/>
        <cfvo type="num" val="28"/>
        <color theme="7" tint="0.79998168889431442"/>
        <color theme="5" tint="-0.249977111117893"/>
      </colorScale>
    </cfRule>
  </conditionalFormatting>
  <conditionalFormatting sqref="ID179:LI179">
    <cfRule type="colorScale" priority="566">
      <colorScale>
        <cfvo type="num" val="1"/>
        <cfvo type="num" val="28"/>
        <color theme="7" tint="0.79998168889431442"/>
        <color theme="5" tint="-0.249977111117893"/>
      </colorScale>
    </cfRule>
    <cfRule type="colorScale" priority="567">
      <colorScale>
        <cfvo type="num" val="1"/>
        <cfvo type="num" val="28"/>
        <color theme="7" tint="0.79998168889431442"/>
        <color theme="5" tint="-0.249977111117893"/>
      </colorScale>
    </cfRule>
    <cfRule type="colorScale" priority="568">
      <colorScale>
        <cfvo type="num" val="1"/>
        <cfvo type="num" val="28"/>
        <color theme="7" tint="0.79998168889431442"/>
        <color theme="5" tint="-0.249977111117893"/>
      </colorScale>
    </cfRule>
    <cfRule type="colorScale" priority="569">
      <colorScale>
        <cfvo type="num" val="1"/>
        <cfvo type="num" val="28"/>
        <color theme="7" tint="0.79998168889431442"/>
        <color theme="5" tint="-0.249977111117893"/>
      </colorScale>
    </cfRule>
  </conditionalFormatting>
  <conditionalFormatting sqref="IF182:KC182">
    <cfRule type="colorScale" priority="784">
      <colorScale>
        <cfvo type="num" val="1"/>
        <cfvo type="num" val="28"/>
        <color theme="7" tint="0.79998168889431442"/>
        <color theme="5" tint="-0.249977111117893"/>
      </colorScale>
    </cfRule>
    <cfRule type="colorScale" priority="785">
      <colorScale>
        <cfvo type="num" val="1"/>
        <cfvo type="num" val="28"/>
        <color theme="7" tint="0.79998168889431442"/>
        <color theme="5" tint="-0.249977111117893"/>
      </colorScale>
    </cfRule>
  </conditionalFormatting>
  <conditionalFormatting sqref="IH107:II108">
    <cfRule type="expression" dxfId="216" priority="14390">
      <formula>"PICKUP"</formula>
    </cfRule>
    <cfRule type="cellIs" dxfId="215" priority="14391" operator="equal">
      <formula>"GW"</formula>
    </cfRule>
    <cfRule type="cellIs" dxfId="214" priority="14392" operator="equal">
      <formula>"TRIM"</formula>
    </cfRule>
    <cfRule type="cellIs" dxfId="213" priority="14393" operator="equal">
      <formula>"RI"</formula>
    </cfRule>
    <cfRule type="cellIs" dxfId="212" priority="14394" operator="equal">
      <formula>"PT"</formula>
    </cfRule>
    <cfRule type="expression" dxfId="211" priority="14395">
      <formula>"PICKUP"</formula>
    </cfRule>
    <cfRule type="cellIs" dxfId="210" priority="14396" operator="equal">
      <formula>"GW"</formula>
    </cfRule>
    <cfRule type="cellIs" dxfId="209" priority="14397" operator="equal">
      <formula>"TRIM"</formula>
    </cfRule>
    <cfRule type="cellIs" dxfId="208" priority="14398" operator="equal">
      <formula>"RI"</formula>
    </cfRule>
    <cfRule type="cellIs" dxfId="207" priority="14399" operator="equal">
      <formula>"PT"</formula>
    </cfRule>
    <cfRule type="expression" dxfId="206" priority="14400">
      <formula>"PICKUP"</formula>
    </cfRule>
    <cfRule type="cellIs" dxfId="205" priority="14401" operator="equal">
      <formula>"GW"</formula>
    </cfRule>
    <cfRule type="cellIs" dxfId="204" priority="14402" operator="equal">
      <formula>"TRIM"</formula>
    </cfRule>
    <cfRule type="cellIs" dxfId="203" priority="14403" operator="equal">
      <formula>"RI"</formula>
    </cfRule>
    <cfRule type="cellIs" dxfId="202" priority="14404" operator="equal">
      <formula>"PT"</formula>
    </cfRule>
  </conditionalFormatting>
  <conditionalFormatting sqref="IH204 IJ204 IF204 ID204 IB204 HZ204 HX204 HV204 HT204 IL204 IN204 IP204 IR204 IT204 IV204 IX204 IZ204 JB204 JD204 JF204 JH204 JJ204 JL204 JN204 JP204 JR204 JT204 JV204 JX204 JZ204 KB204 KD204 KF204 KH204 KJ204 KL204 KN204 KP204 KR204 KT204 KV204 KX204 KZ204 LB204 LD204 LF204 LH204 LJ204 LL204 LN204 LP204 LR204 LT204 LV204 LX204 LZ204 MB204 MD204 MF204 MH204 MJ204 ML204 MN204 MP204 MR204 MT204 MV204 MX204 MZ204 NB204 ND204 NF204 NH204 NJ204 NL204 NN204 NP204 NR204 NT204 NV204 NX204 NZ204 OB204 OD204 OF204 OH204 OJ204 OL204 ON204 OP204 OR204 OT204 OV204 OX204 OZ204 PB204 PD204 PF204 PH204 PJ204 PL204 PN204 PP204 PR204 PT204 PV204 PX204 PZ204 QB204 QD204 QF204 QH204 QJ204 QL204 QN204 QP204 QR204 QT204 QV204 QX204 QZ204 RB204 RD204">
    <cfRule type="colorScale" priority="100135">
      <colorScale>
        <cfvo type="min"/>
        <cfvo type="percentile" val="50"/>
        <cfvo type="max"/>
        <color rgb="FFF8696B"/>
        <color rgb="FFFFEB84"/>
        <color rgb="FF63BE7B"/>
      </colorScale>
    </cfRule>
  </conditionalFormatting>
  <conditionalFormatting sqref="IJ232:IJ324 IH232:IH324 IF232:IF324 ID232:ID324 IB232:IB324 HZ232:HZ324 HX232:HX324 HV232:HV324 HT232:HT324 IL232:IL324 IN232:IN324 IP232:IP324 IR232:IR324 IT232:IT324 IV232:IV324 IX232:IX324 IZ232:IZ324 JB232:JB324 JD232:JD324 JF232:JF324 JH232:JH324 JJ232:JJ324 JL232:JL324 JN232:JN324 JP232:JP324 JR232:JR324 JT232:JT324 JV232:JV324 JX232:JX324 JZ232:JZ324 KB232:KB324 KD232:KD324 KF232:KF324 KH232:KH324 KJ232:KJ324 KL232:KL324 KN232:KN324 KP232:KP324 KR232:KR324 KT232:KT324 KV232:KV324 KX232:KX324 KZ232:KZ324 LB232:LB324 LD232:LD324 LF232:LF324 LH232:LH324 LJ232:LJ324 LL232:LL324 LN232:LN324 LP232:LP324 LR232:LR324 LT232:LT324 LV232:LV324 LX232:LX324 LZ232:LZ324 MB232:MB324 MD232:MD324 MF232:MF324 MH232:MH324 MJ232:MJ324 ML232:ML324 MN232:MN324 MP232:MP324 MR232:MR324 MT232:MT324 MV232:MV324 MX232:MX324 MZ232:MZ324 NB232:NB324 ND232:ND324 NF232:NF324 NH232:NH324 NJ232:NJ324 NL232:NL324 NN232:NN324 NP232:NP324 NR232:NR324 NT232:NT324 NV232:NV324 NX232:NX324 NZ232:NZ324 OB232:OB324 OD232:OD324 OF232:OF324 OH232:OH324 OJ232:OJ324 OL232:OL324 ON232:ON324 OP232:OP324 OR232:OR324 OT232:OT324 OV232:OV324 OX232:OX324 OZ232:OZ324 PB232:PB324 PD232:PD324 PF232:PF324 PH232:PH324 PJ232:PJ324 PL232:PL324 PN232:PN324 PP232:PP324 PR232:PR324 PT232:PT324 PV232:PV324 PX232:PX324 PZ232:PZ324 QB232:QB324 QD232:QD324 QF232:QF324 QH232:QH324 QJ232:QJ324 QL232:QL324 QN232:QN324 QP232:QP324 QR232:QR324 QT232:QT324 QV232:QV324 QX232:QX324 QZ232:QZ324 RB232:RB324 RD232:RD324 IJ200:IJ221 IH200:IH221 IF200:IF221 ID200:ID221 IB200:IB221 HZ200:HZ221 HX200:HX221 HV200:HV221 HT200:HT221 IL200:IL221 IN200:IN221 IP200:IP221 IR200:IR221 IT200:IT221 IV200:IV221 IX200:IX221 IZ200:IZ221 JB200:JB221 JD200:JD221 JF200:JF221 JH200:JH221 JJ200:JJ221 JL200:JL221 JN200:JN221 JP200:JP221 JR200:JR221 JT200:JT221 JV200:JV221 JX200:JX221 JZ200:JZ221 KB200:KB221 KD200:KD221 KF200:KF221 KH200:KH221 KJ200:KJ221 KL200:KL221 KN200:KN221 KP200:KP221 KR200:KR221 KT200:KT221 KV200:KV221 KX200:KX221 KZ200:KZ221 LB200:LB221 LD200:LD221 LF200:LF221 LH200:LH221 LJ200:LJ221 LL200:LL221 LN200:LN221 LP200:LP221 LR200:LR221 LT200:LT221 LV200:LV221 LX200:LX221 LZ200:LZ221 MB200:MB221 MD200:MD221 MF200:MF221 MH200:MH221 MJ200:MJ221 ML200:ML221 MN200:MN221 MP200:MP221 MR200:MR221 MT200:MT221 MV200:MV221 MX200:MX221 MZ200:MZ221 NB200:NB221 ND200:ND221 NF200:NF221 NH200:NH221 NJ200:NJ221 NL200:NL221 NN200:NN221 NP200:NP221 NR200:NR221 NT200:NT221 NV200:NV221 NX200:NX221 NZ200:NZ221 OB200:OB221 OD200:OD221 OF200:OF221 OH200:OH221 OJ200:OJ221 OL200:OL221 ON200:ON221 OP200:OP221 OR200:OR221 OT200:OT221 OV200:OV221 OX200:OX221 OZ200:OZ221 PB200:PB221 PD200:PD221 PF200:PF221 PH200:PH221 PJ200:PJ221 PL200:PL221 PN200:PN221 PP200:PP221 PR200:PR221 PT200:PT221 PV200:PV221 PX200:PX221 PZ200:PZ221 QB200:QB221 QD200:QD221 QF200:QF221 QH200:QH221 QJ200:QJ221 QL200:QL221 QN200:QN221 QP200:QP221 QR200:QR221 QT200:QT221 QV200:QV221 QX200:QX221 QZ200:QZ221 RB200:RB221 RD200:RD221 IJ224:IJ229 IH224:IH229 IF224:IF229 ID224:ID229 IB224:IB229 HZ224:HZ229 HX224:HX229 HV224:HV229 HT224:HT229 IL224:IL229 IN224:IN229 IP224:IP229 IR224:IR229 IT224:IT229 IV224:IV229 IX224:IX229 IZ224:IZ229 JB224:JB229 JD224:JD229 JF224:JF229 JH224:JH229 JJ224:JJ229 JL224:JL229 JN224:JN229 JP224:JP229 JR224:JR229 JT224:JT229 JV224:JV229 JX224:JX229 JZ224:JZ229 KB224:KB229 KD224:KD229 KF224:KF229 KH224:KH229 KJ224:KJ229 KL224:KL229 KN224:KN229 KP224:KP229 KR224:KR229 KT224:KT229 KV224:KV229 KX224:KX229 KZ224:KZ229 LB224:LB229 LD224:LD229 LF224:LF229 LH224:LH229 LJ224:LJ229 LL224:LL229 LN224:LN229 LP224:LP229 LR224:LR229 LT224:LT229 LV224:LV229 LX224:LX229 LZ224:LZ229 MB224:MB229 MD224:MD229 MF224:MF229 MH224:MH229 MJ224:MJ229 ML224:ML229 MN224:MN229 MP224:MP229 MR224:MR229 MT224:MT229 MV224:MV229 MX224:MX229 MZ224:MZ229 NB224:NB229 ND224:ND229 NF224:NF229 NH224:NH229 NJ224:NJ229 NL224:NL229 NN224:NN229 NP224:NP229 NR224:NR229 NT224:NT229 NV224:NV229 NX224:NX229 NZ224:NZ229 OB224:OB229 OD224:OD229 OF224:OF229 OH224:OH229 OJ224:OJ229 OL224:OL229 ON224:ON229 OP224:OP229 OR224:OR229 OT224:OT229 OV224:OV229 OX224:OX229 OZ224:OZ229 PB224:PB229 PD224:PD229 PF224:PF229 PH224:PH229 PJ224:PJ229 PL224:PL229 PN224:PN229 PP224:PP229 PR224:PR229 PT224:PT229 PV224:PV229 PX224:PX229 PZ224:PZ229 QB224:QB229 QD224:QD229 QF224:QF229 QH224:QH229 QJ224:QJ229 QL224:QL229 QN224:QN229 QP224:QP229 QR224:QR229 QT224:QT229 QV224:QV229 QX224:QX229 QZ224:QZ229 RB224:RB229 RD224:RD229">
    <cfRule type="colorScale" priority="55852">
      <colorScale>
        <cfvo type="min"/>
        <cfvo type="percentile" val="50"/>
        <cfvo type="max"/>
        <color rgb="FFF8696B"/>
        <color rgb="FFFFEB84"/>
        <color rgb="FF63BE7B"/>
      </colorScale>
    </cfRule>
  </conditionalFormatting>
  <conditionalFormatting sqref="IL107:RD108">
    <cfRule type="expression" dxfId="201" priority="795">
      <formula>"PICKUP"</formula>
    </cfRule>
    <cfRule type="cellIs" dxfId="200" priority="796" operator="equal">
      <formula>"GW"</formula>
    </cfRule>
    <cfRule type="cellIs" dxfId="199" priority="797" operator="equal">
      <formula>"TRIM"</formula>
    </cfRule>
    <cfRule type="cellIs" dxfId="198" priority="798" operator="equal">
      <formula>"RI"</formula>
    </cfRule>
    <cfRule type="cellIs" dxfId="197" priority="799" operator="equal">
      <formula>"PT"</formula>
    </cfRule>
    <cfRule type="expression" dxfId="196" priority="800">
      <formula>"PICKUP"</formula>
    </cfRule>
    <cfRule type="cellIs" dxfId="195" priority="801" operator="equal">
      <formula>"GW"</formula>
    </cfRule>
    <cfRule type="cellIs" dxfId="194" priority="802" operator="equal">
      <formula>"TRIM"</formula>
    </cfRule>
    <cfRule type="cellIs" dxfId="193" priority="803" operator="equal">
      <formula>"RI"</formula>
    </cfRule>
    <cfRule type="cellIs" dxfId="192" priority="804" operator="equal">
      <formula>"PT"</formula>
    </cfRule>
    <cfRule type="expression" dxfId="191" priority="805">
      <formula>"PICKUP"</formula>
    </cfRule>
    <cfRule type="cellIs" dxfId="190" priority="806" operator="equal">
      <formula>"GW"</formula>
    </cfRule>
    <cfRule type="cellIs" dxfId="189" priority="807" operator="equal">
      <formula>"TRIM"</formula>
    </cfRule>
    <cfRule type="cellIs" dxfId="188" priority="808" operator="equal">
      <formula>"RI"</formula>
    </cfRule>
    <cfRule type="cellIs" dxfId="187" priority="809" operator="equal">
      <formula>"PT"</formula>
    </cfRule>
    <cfRule type="expression" dxfId="186" priority="810">
      <formula>"PICKUP"</formula>
    </cfRule>
    <cfRule type="cellIs" dxfId="185" priority="811" operator="equal">
      <formula>"GW"</formula>
    </cfRule>
    <cfRule type="cellIs" dxfId="184" priority="812" operator="equal">
      <formula>"TRIM"</formula>
    </cfRule>
    <cfRule type="cellIs" dxfId="183" priority="813" operator="equal">
      <formula>"RI"</formula>
    </cfRule>
    <cfRule type="cellIs" dxfId="182" priority="814" operator="equal">
      <formula>"PT"</formula>
    </cfRule>
    <cfRule type="expression" dxfId="181" priority="815">
      <formula>"PICKUP"</formula>
    </cfRule>
    <cfRule type="cellIs" dxfId="180" priority="816" operator="equal">
      <formula>"GW"</formula>
    </cfRule>
    <cfRule type="cellIs" dxfId="179" priority="817" operator="equal">
      <formula>"TRIM"</formula>
    </cfRule>
    <cfRule type="cellIs" dxfId="178" priority="818" operator="equal">
      <formula>"RI"</formula>
    </cfRule>
    <cfRule type="cellIs" dxfId="177" priority="819" operator="equal">
      <formula>"PT"</formula>
    </cfRule>
    <cfRule type="expression" dxfId="176" priority="820">
      <formula>"PICKUP"</formula>
    </cfRule>
    <cfRule type="cellIs" dxfId="175" priority="821" operator="equal">
      <formula>"GW"</formula>
    </cfRule>
    <cfRule type="cellIs" dxfId="174" priority="822" operator="equal">
      <formula>"TRIM"</formula>
    </cfRule>
    <cfRule type="cellIs" dxfId="173" priority="823" operator="equal">
      <formula>"RI"</formula>
    </cfRule>
    <cfRule type="cellIs" dxfId="172" priority="824" operator="equal">
      <formula>"PT"</formula>
    </cfRule>
    <cfRule type="expression" dxfId="171" priority="825">
      <formula>"PICKUP"</formula>
    </cfRule>
    <cfRule type="cellIs" dxfId="170" priority="826" operator="equal">
      <formula>"GW"</formula>
    </cfRule>
    <cfRule type="cellIs" dxfId="169" priority="827" operator="equal">
      <formula>"TRIM"</formula>
    </cfRule>
    <cfRule type="cellIs" dxfId="168" priority="828" operator="equal">
      <formula>"RI"</formula>
    </cfRule>
    <cfRule type="cellIs" dxfId="167" priority="829" operator="equal">
      <formula>"PT"</formula>
    </cfRule>
    <cfRule type="expression" dxfId="166" priority="830">
      <formula>"PICKUP"</formula>
    </cfRule>
    <cfRule type="cellIs" dxfId="165" priority="831" operator="equal">
      <formula>"GW"</formula>
    </cfRule>
    <cfRule type="cellIs" dxfId="164" priority="832" operator="equal">
      <formula>"TRIM"</formula>
    </cfRule>
    <cfRule type="cellIs" dxfId="163" priority="833" operator="equal">
      <formula>"RI"</formula>
    </cfRule>
    <cfRule type="cellIs" dxfId="162" priority="834" operator="equal">
      <formula>"PT"</formula>
    </cfRule>
    <cfRule type="expression" dxfId="161" priority="835">
      <formula>"PICKUP"</formula>
    </cfRule>
    <cfRule type="cellIs" dxfId="160" priority="836" operator="equal">
      <formula>"GW"</formula>
    </cfRule>
    <cfRule type="cellIs" dxfId="159" priority="837" operator="equal">
      <formula>"TRIM"</formula>
    </cfRule>
    <cfRule type="cellIs" dxfId="158" priority="838" operator="equal">
      <formula>"RI"</formula>
    </cfRule>
    <cfRule type="cellIs" dxfId="157" priority="839" operator="equal">
      <formula>"PT"</formula>
    </cfRule>
  </conditionalFormatting>
  <conditionalFormatting sqref="IR183:KU183 JD187:LI188 JD195:LI195 JD193:LU194 KH194:MC194 JD192:MA192 KD193:MA193 JD188:LK188 JD190:LW190 JX188:LS189 JZ189:LU189">
    <cfRule type="colorScale" priority="733">
      <colorScale>
        <cfvo type="num" val="1"/>
        <cfvo type="num" val="28"/>
        <color theme="7" tint="0.79998168889431442"/>
        <color theme="5" tint="-0.249977111117893"/>
      </colorScale>
    </cfRule>
    <cfRule type="colorScale" priority="734">
      <colorScale>
        <cfvo type="num" val="1"/>
        <cfvo type="num" val="28"/>
        <color theme="7" tint="0.79998168889431442"/>
        <color theme="5" tint="-0.249977111117893"/>
      </colorScale>
    </cfRule>
    <cfRule type="colorScale" priority="735">
      <colorScale>
        <cfvo type="num" val="1"/>
        <cfvo type="num" val="28"/>
        <color theme="7" tint="0.79998168889431442"/>
        <color theme="5" tint="-0.249977111117893"/>
      </colorScale>
    </cfRule>
    <cfRule type="colorScale" priority="736">
      <colorScale>
        <cfvo type="num" val="1"/>
        <cfvo type="num" val="28"/>
        <color theme="7" tint="0.79998168889431442"/>
        <color theme="5" tint="-0.249977111117893"/>
      </colorScale>
    </cfRule>
    <cfRule type="colorScale" priority="737">
      <colorScale>
        <cfvo type="num" val="1"/>
        <cfvo type="num" val="28"/>
        <color theme="7" tint="0.79998168889431442"/>
        <color theme="5" tint="-0.249977111117893"/>
      </colorScale>
    </cfRule>
    <cfRule type="colorScale" priority="738">
      <colorScale>
        <cfvo type="num" val="1"/>
        <cfvo type="num" val="28"/>
        <color theme="7" tint="0.79998168889431442"/>
        <color theme="5" tint="-0.249977111117893"/>
      </colorScale>
    </cfRule>
    <cfRule type="colorScale" priority="739">
      <colorScale>
        <cfvo type="num" val="1"/>
        <cfvo type="num" val="28"/>
        <color theme="7" tint="0.79998168889431442"/>
        <color theme="5" tint="-0.249977111117893"/>
      </colorScale>
    </cfRule>
    <cfRule type="colorScale" priority="740">
      <colorScale>
        <cfvo type="num" val="1"/>
        <cfvo type="num" val="28"/>
        <color theme="7" tint="0.79998168889431442"/>
        <color theme="5" tint="-0.249977111117893"/>
      </colorScale>
    </cfRule>
  </conditionalFormatting>
  <conditionalFormatting sqref="IZ86:JA86">
    <cfRule type="expression" dxfId="156" priority="656">
      <formula>"PICKUP"</formula>
    </cfRule>
    <cfRule type="cellIs" dxfId="155" priority="657" operator="equal">
      <formula>"GW"</formula>
    </cfRule>
    <cfRule type="cellIs" dxfId="154" priority="658" operator="equal">
      <formula>"TRIM"</formula>
    </cfRule>
    <cfRule type="cellIs" dxfId="153" priority="659" operator="equal">
      <formula>"RI"</formula>
    </cfRule>
    <cfRule type="cellIs" dxfId="152" priority="660" operator="equal">
      <formula>"PT"</formula>
    </cfRule>
  </conditionalFormatting>
  <conditionalFormatting sqref="IZ184:LA184 IZ187:LQ188 IZ195:LQ195 IZ193:LU194 KH194:MC194 JV191:LY191 IZ192:MA192 KD193:MA193 IZ189:LK191 IZ188:LS188 IZ186:LE187 JJ188:LS189 IZ190:LW190 JZ189:LU189">
    <cfRule type="colorScale" priority="685">
      <colorScale>
        <cfvo type="num" val="1"/>
        <cfvo type="num" val="28"/>
        <color theme="7" tint="0.79998168889431442"/>
        <color theme="5" tint="-0.249977111117893"/>
      </colorScale>
    </cfRule>
    <cfRule type="colorScale" priority="686">
      <colorScale>
        <cfvo type="num" val="1"/>
        <cfvo type="num" val="28"/>
        <color theme="7" tint="0.79998168889431442"/>
        <color theme="5" tint="-0.249977111117893"/>
      </colorScale>
    </cfRule>
    <cfRule type="colorScale" priority="687">
      <colorScale>
        <cfvo type="num" val="1"/>
        <cfvo type="num" val="28"/>
        <color theme="7" tint="0.79998168889431442"/>
        <color theme="5" tint="-0.249977111117893"/>
      </colorScale>
    </cfRule>
    <cfRule type="colorScale" priority="688">
      <colorScale>
        <cfvo type="num" val="1"/>
        <cfvo type="num" val="28"/>
        <color theme="7" tint="0.79998168889431442"/>
        <color theme="5" tint="-0.249977111117893"/>
      </colorScale>
    </cfRule>
    <cfRule type="colorScale" priority="689">
      <colorScale>
        <cfvo type="num" val="1"/>
        <cfvo type="num" val="28"/>
        <color theme="7" tint="0.79998168889431442"/>
        <color theme="5" tint="-0.249977111117893"/>
      </colorScale>
    </cfRule>
    <cfRule type="colorScale" priority="690">
      <colorScale>
        <cfvo type="num" val="1"/>
        <cfvo type="num" val="28"/>
        <color theme="7" tint="0.79998168889431442"/>
        <color theme="5" tint="-0.249977111117893"/>
      </colorScale>
    </cfRule>
  </conditionalFormatting>
  <conditionalFormatting sqref="IZ179:LC179">
    <cfRule type="colorScale" priority="518">
      <colorScale>
        <cfvo type="num" val="1"/>
        <cfvo type="num" val="28"/>
        <color theme="7" tint="0.79998168889431442"/>
        <color theme="5" tint="-0.249977111117893"/>
      </colorScale>
    </cfRule>
    <cfRule type="colorScale" priority="519">
      <colorScale>
        <cfvo type="num" val="1"/>
        <cfvo type="num" val="28"/>
        <color theme="7" tint="0.79998168889431442"/>
        <color theme="5" tint="-0.249977111117893"/>
      </colorScale>
    </cfRule>
    <cfRule type="colorScale" priority="520">
      <colorScale>
        <cfvo type="num" val="1"/>
        <cfvo type="num" val="28"/>
        <color theme="7" tint="0.79998168889431442"/>
        <color theme="5" tint="-0.249977111117893"/>
      </colorScale>
    </cfRule>
    <cfRule type="colorScale" priority="521">
      <colorScale>
        <cfvo type="num" val="1"/>
        <cfvo type="num" val="28"/>
        <color theme="7" tint="0.79998168889431442"/>
        <color theme="5" tint="-0.249977111117893"/>
      </colorScale>
    </cfRule>
    <cfRule type="colorScale" priority="522">
      <colorScale>
        <cfvo type="num" val="1"/>
        <cfvo type="num" val="28"/>
        <color theme="7" tint="0.79998168889431442"/>
        <color theme="5" tint="-0.249977111117893"/>
      </colorScale>
    </cfRule>
    <cfRule type="colorScale" priority="523">
      <colorScale>
        <cfvo type="num" val="1"/>
        <cfvo type="num" val="28"/>
        <color theme="7" tint="0.79998168889431442"/>
        <color theme="5" tint="-0.249977111117893"/>
      </colorScale>
    </cfRule>
  </conditionalFormatting>
  <conditionalFormatting sqref="IZ185:LC185">
    <cfRule type="colorScale" priority="646">
      <colorScale>
        <cfvo type="num" val="1"/>
        <cfvo type="num" val="28"/>
        <color theme="7" tint="0.79998168889431442"/>
        <color theme="5" tint="-0.249977111117893"/>
      </colorScale>
    </cfRule>
    <cfRule type="colorScale" priority="647">
      <colorScale>
        <cfvo type="num" val="1"/>
        <cfvo type="num" val="28"/>
        <color theme="7" tint="0.79998168889431442"/>
        <color theme="5" tint="-0.249977111117893"/>
      </colorScale>
    </cfRule>
    <cfRule type="colorScale" priority="648">
      <colorScale>
        <cfvo type="num" val="1"/>
        <cfvo type="num" val="28"/>
        <color theme="7" tint="0.79998168889431442"/>
        <color theme="5" tint="-0.249977111117893"/>
      </colorScale>
    </cfRule>
    <cfRule type="colorScale" priority="649">
      <colorScale>
        <cfvo type="num" val="1"/>
        <cfvo type="num" val="28"/>
        <color theme="7" tint="0.79998168889431442"/>
        <color theme="5" tint="-0.249977111117893"/>
      </colorScale>
    </cfRule>
    <cfRule type="colorScale" priority="650">
      <colorScale>
        <cfvo type="num" val="1"/>
        <cfvo type="num" val="28"/>
        <color theme="7" tint="0.79998168889431442"/>
        <color theme="5" tint="-0.249977111117893"/>
      </colorScale>
    </cfRule>
    <cfRule type="colorScale" priority="651">
      <colorScale>
        <cfvo type="num" val="1"/>
        <cfvo type="num" val="28"/>
        <color theme="7" tint="0.79998168889431442"/>
        <color theme="5" tint="-0.249977111117893"/>
      </colorScale>
    </cfRule>
  </conditionalFormatting>
  <conditionalFormatting sqref="IZ179:LI179">
    <cfRule type="colorScale" priority="560">
      <colorScale>
        <cfvo type="num" val="1"/>
        <cfvo type="num" val="28"/>
        <color theme="7" tint="0.79998168889431442"/>
        <color theme="5" tint="-0.249977111117893"/>
      </colorScale>
    </cfRule>
    <cfRule type="colorScale" priority="561">
      <colorScale>
        <cfvo type="num" val="1"/>
        <cfvo type="num" val="28"/>
        <color theme="7" tint="0.79998168889431442"/>
        <color theme="5" tint="-0.249977111117893"/>
      </colorScale>
    </cfRule>
    <cfRule type="colorScale" priority="562">
      <colorScale>
        <cfvo type="num" val="1"/>
        <cfvo type="num" val="28"/>
        <color theme="7" tint="0.79998168889431442"/>
        <color theme="5" tint="-0.249977111117893"/>
      </colorScale>
    </cfRule>
    <cfRule type="colorScale" priority="563">
      <colorScale>
        <cfvo type="num" val="1"/>
        <cfvo type="num" val="28"/>
        <color theme="7" tint="0.79998168889431442"/>
        <color theme="5" tint="-0.249977111117893"/>
      </colorScale>
    </cfRule>
    <cfRule type="colorScale" priority="564">
      <colorScale>
        <cfvo type="num" val="1"/>
        <cfvo type="num" val="28"/>
        <color theme="7" tint="0.79998168889431442"/>
        <color theme="5" tint="-0.249977111117893"/>
      </colorScale>
    </cfRule>
    <cfRule type="colorScale" priority="565">
      <colorScale>
        <cfvo type="num" val="1"/>
        <cfvo type="num" val="28"/>
        <color theme="7" tint="0.79998168889431442"/>
        <color theme="5" tint="-0.249977111117893"/>
      </colorScale>
    </cfRule>
  </conditionalFormatting>
  <conditionalFormatting sqref="JB184:KU184">
    <cfRule type="colorScale" priority="661">
      <colorScale>
        <cfvo type="num" val="1"/>
        <cfvo type="num" val="28"/>
        <color theme="7" tint="0.79998168889431442"/>
        <color theme="5" tint="-0.249977111117893"/>
      </colorScale>
    </cfRule>
    <cfRule type="colorScale" priority="662">
      <colorScale>
        <cfvo type="num" val="1"/>
        <cfvo type="num" val="28"/>
        <color theme="7" tint="0.79998168889431442"/>
        <color theme="5" tint="-0.249977111117893"/>
      </colorScale>
    </cfRule>
    <cfRule type="colorScale" priority="663">
      <colorScale>
        <cfvo type="num" val="1"/>
        <cfvo type="num" val="28"/>
        <color theme="7" tint="0.79998168889431442"/>
        <color theme="5" tint="-0.249977111117893"/>
      </colorScale>
    </cfRule>
    <cfRule type="colorScale" priority="664">
      <colorScale>
        <cfvo type="num" val="1"/>
        <cfvo type="num" val="28"/>
        <color theme="7" tint="0.79998168889431442"/>
        <color theme="5" tint="-0.249977111117893"/>
      </colorScale>
    </cfRule>
    <cfRule type="colorScale" priority="665">
      <colorScale>
        <cfvo type="num" val="1"/>
        <cfvo type="num" val="28"/>
        <color theme="7" tint="0.79998168889431442"/>
        <color theme="5" tint="-0.249977111117893"/>
      </colorScale>
    </cfRule>
    <cfRule type="colorScale" priority="666">
      <colorScale>
        <cfvo type="num" val="1"/>
        <cfvo type="num" val="28"/>
        <color theme="7" tint="0.79998168889431442"/>
        <color theme="5" tint="-0.249977111117893"/>
      </colorScale>
    </cfRule>
    <cfRule type="colorScale" priority="667">
      <colorScale>
        <cfvo type="num" val="1"/>
        <cfvo type="num" val="28"/>
        <color theme="7" tint="0.79998168889431442"/>
        <color theme="5" tint="-0.249977111117893"/>
      </colorScale>
    </cfRule>
    <cfRule type="colorScale" priority="668">
      <colorScale>
        <cfvo type="num" val="1"/>
        <cfvo type="num" val="28"/>
        <color theme="7" tint="0.79998168889431442"/>
        <color theme="5" tint="-0.249977111117893"/>
      </colorScale>
    </cfRule>
  </conditionalFormatting>
  <conditionalFormatting sqref="JB184:LA184">
    <cfRule type="colorScale" priority="669">
      <colorScale>
        <cfvo type="num" val="1"/>
        <cfvo type="num" val="28"/>
        <color theme="7" tint="0.79998168889431442"/>
        <color theme="5" tint="-0.249977111117893"/>
      </colorScale>
    </cfRule>
    <cfRule type="colorScale" priority="670">
      <colorScale>
        <cfvo type="num" val="1"/>
        <cfvo type="num" val="28"/>
        <color theme="7" tint="0.79998168889431442"/>
        <color theme="5" tint="-0.249977111117893"/>
      </colorScale>
    </cfRule>
    <cfRule type="colorScale" priority="671">
      <colorScale>
        <cfvo type="num" val="1"/>
        <cfvo type="num" val="28"/>
        <color theme="7" tint="0.79998168889431442"/>
        <color theme="5" tint="-0.249977111117893"/>
      </colorScale>
    </cfRule>
    <cfRule type="colorScale" priority="672">
      <colorScale>
        <cfvo type="num" val="1"/>
        <cfvo type="num" val="28"/>
        <color theme="7" tint="0.79998168889431442"/>
        <color theme="5" tint="-0.249977111117893"/>
      </colorScale>
    </cfRule>
    <cfRule type="colorScale" priority="673">
      <colorScale>
        <cfvo type="num" val="1"/>
        <cfvo type="num" val="28"/>
        <color theme="7" tint="0.79998168889431442"/>
        <color theme="5" tint="-0.249977111117893"/>
      </colorScale>
    </cfRule>
    <cfRule type="colorScale" priority="674">
      <colorScale>
        <cfvo type="num" val="1"/>
        <cfvo type="num" val="28"/>
        <color theme="7" tint="0.79998168889431442"/>
        <color theme="5" tint="-0.249977111117893"/>
      </colorScale>
    </cfRule>
    <cfRule type="colorScale" priority="675">
      <colorScale>
        <cfvo type="num" val="1"/>
        <cfvo type="num" val="28"/>
        <color theme="7" tint="0.79998168889431442"/>
        <color theme="5" tint="-0.249977111117893"/>
      </colorScale>
    </cfRule>
    <cfRule type="colorScale" priority="676">
      <colorScale>
        <cfvo type="num" val="1"/>
        <cfvo type="num" val="28"/>
        <color theme="7" tint="0.79998168889431442"/>
        <color theme="5" tint="-0.249977111117893"/>
      </colorScale>
    </cfRule>
    <cfRule type="colorScale" priority="677">
      <colorScale>
        <cfvo type="num" val="1"/>
        <cfvo type="num" val="28"/>
        <color theme="7" tint="0.79998168889431442"/>
        <color theme="5" tint="-0.249977111117893"/>
      </colorScale>
    </cfRule>
    <cfRule type="colorScale" priority="678">
      <colorScale>
        <cfvo type="num" val="1"/>
        <cfvo type="num" val="28"/>
        <color theme="7" tint="0.79998168889431442"/>
        <color theme="5" tint="-0.249977111117893"/>
      </colorScale>
    </cfRule>
    <cfRule type="colorScale" priority="679">
      <colorScale>
        <cfvo type="num" val="1"/>
        <cfvo type="num" val="28"/>
        <color theme="7" tint="0.79998168889431442"/>
        <color theme="5" tint="-0.249977111117893"/>
      </colorScale>
    </cfRule>
    <cfRule type="colorScale" priority="680">
      <colorScale>
        <cfvo type="num" val="1"/>
        <cfvo type="num" val="28"/>
        <color theme="7" tint="0.79998168889431442"/>
        <color theme="5" tint="-0.249977111117893"/>
      </colorScale>
    </cfRule>
    <cfRule type="colorScale" priority="681">
      <colorScale>
        <cfvo type="num" val="1"/>
        <cfvo type="num" val="28"/>
        <color theme="7" tint="0.79998168889431442"/>
        <color theme="5" tint="-0.249977111117893"/>
      </colorScale>
    </cfRule>
    <cfRule type="colorScale" priority="682">
      <colorScale>
        <cfvo type="num" val="1"/>
        <cfvo type="num" val="28"/>
        <color theme="7" tint="0.79998168889431442"/>
        <color theme="5" tint="-0.249977111117893"/>
      </colorScale>
    </cfRule>
    <cfRule type="colorScale" priority="683">
      <colorScale>
        <cfvo type="num" val="1"/>
        <cfvo type="num" val="28"/>
        <color theme="7" tint="0.79998168889431442"/>
        <color theme="5" tint="-0.249977111117893"/>
      </colorScale>
    </cfRule>
    <cfRule type="colorScale" priority="684">
      <colorScale>
        <cfvo type="num" val="1"/>
        <cfvo type="num" val="28"/>
        <color theme="7" tint="0.79998168889431442"/>
        <color theme="5" tint="-0.249977111117893"/>
      </colorScale>
    </cfRule>
  </conditionalFormatting>
  <conditionalFormatting sqref="JD179:LI179">
    <cfRule type="colorScale" priority="532">
      <colorScale>
        <cfvo type="num" val="1"/>
        <cfvo type="num" val="28"/>
        <color theme="7" tint="0.79998168889431442"/>
        <color theme="5" tint="-0.249977111117893"/>
      </colorScale>
    </cfRule>
    <cfRule type="colorScale" priority="533">
      <colorScale>
        <cfvo type="num" val="1"/>
        <cfvo type="num" val="28"/>
        <color theme="7" tint="0.79998168889431442"/>
        <color theme="5" tint="-0.249977111117893"/>
      </colorScale>
    </cfRule>
    <cfRule type="colorScale" priority="534">
      <colorScale>
        <cfvo type="num" val="1"/>
        <cfvo type="num" val="28"/>
        <color theme="7" tint="0.79998168889431442"/>
        <color theme="5" tint="-0.249977111117893"/>
      </colorScale>
    </cfRule>
    <cfRule type="colorScale" priority="535">
      <colorScale>
        <cfvo type="num" val="1"/>
        <cfvo type="num" val="28"/>
        <color theme="7" tint="0.79998168889431442"/>
        <color theme="5" tint="-0.249977111117893"/>
      </colorScale>
    </cfRule>
    <cfRule type="colorScale" priority="536">
      <colorScale>
        <cfvo type="num" val="1"/>
        <cfvo type="num" val="28"/>
        <color theme="7" tint="0.79998168889431442"/>
        <color theme="5" tint="-0.249977111117893"/>
      </colorScale>
    </cfRule>
    <cfRule type="colorScale" priority="537">
      <colorScale>
        <cfvo type="num" val="1"/>
        <cfvo type="num" val="28"/>
        <color theme="7" tint="0.79998168889431442"/>
        <color theme="5" tint="-0.249977111117893"/>
      </colorScale>
    </cfRule>
    <cfRule type="colorScale" priority="538">
      <colorScale>
        <cfvo type="num" val="1"/>
        <cfvo type="num" val="28"/>
        <color theme="7" tint="0.79998168889431442"/>
        <color theme="5" tint="-0.249977111117893"/>
      </colorScale>
    </cfRule>
    <cfRule type="colorScale" priority="539">
      <colorScale>
        <cfvo type="num" val="1"/>
        <cfvo type="num" val="28"/>
        <color theme="7" tint="0.79998168889431442"/>
        <color theme="5" tint="-0.249977111117893"/>
      </colorScale>
    </cfRule>
  </conditionalFormatting>
  <conditionalFormatting sqref="JF179:LI179">
    <cfRule type="colorScale" priority="524">
      <colorScale>
        <cfvo type="num" val="1"/>
        <cfvo type="num" val="28"/>
        <color theme="7" tint="0.79998168889431442"/>
        <color theme="5" tint="-0.249977111117893"/>
      </colorScale>
    </cfRule>
    <cfRule type="colorScale" priority="525">
      <colorScale>
        <cfvo type="num" val="1"/>
        <cfvo type="num" val="28"/>
        <color theme="7" tint="0.79998168889431442"/>
        <color theme="5" tint="-0.249977111117893"/>
      </colorScale>
    </cfRule>
    <cfRule type="colorScale" priority="526">
      <colorScale>
        <cfvo type="num" val="1"/>
        <cfvo type="num" val="28"/>
        <color theme="7" tint="0.79998168889431442"/>
        <color theme="5" tint="-0.249977111117893"/>
      </colorScale>
    </cfRule>
    <cfRule type="colorScale" priority="527">
      <colorScale>
        <cfvo type="num" val="1"/>
        <cfvo type="num" val="28"/>
        <color theme="7" tint="0.79998168889431442"/>
        <color theme="5" tint="-0.249977111117893"/>
      </colorScale>
    </cfRule>
    <cfRule type="colorScale" priority="528">
      <colorScale>
        <cfvo type="num" val="1"/>
        <cfvo type="num" val="28"/>
        <color theme="7" tint="0.79998168889431442"/>
        <color theme="5" tint="-0.249977111117893"/>
      </colorScale>
    </cfRule>
    <cfRule type="colorScale" priority="529">
      <colorScale>
        <cfvo type="num" val="1"/>
        <cfvo type="num" val="28"/>
        <color theme="7" tint="0.79998168889431442"/>
        <color theme="5" tint="-0.249977111117893"/>
      </colorScale>
    </cfRule>
    <cfRule type="colorScale" priority="530">
      <colorScale>
        <cfvo type="num" val="1"/>
        <cfvo type="num" val="28"/>
        <color theme="7" tint="0.79998168889431442"/>
        <color theme="5" tint="-0.249977111117893"/>
      </colorScale>
    </cfRule>
    <cfRule type="colorScale" priority="531">
      <colorScale>
        <cfvo type="num" val="1"/>
        <cfvo type="num" val="28"/>
        <color theme="7" tint="0.79998168889431442"/>
        <color theme="5" tint="-0.249977111117893"/>
      </colorScale>
    </cfRule>
  </conditionalFormatting>
  <conditionalFormatting sqref="JH179:LE179 KD191:LY191">
    <cfRule type="colorScale" priority="508">
      <colorScale>
        <cfvo type="num" val="1"/>
        <cfvo type="num" val="28"/>
        <color theme="7" tint="0.79998168889431442"/>
        <color theme="5" tint="-0.249977111117893"/>
      </colorScale>
    </cfRule>
    <cfRule type="colorScale" priority="509">
      <colorScale>
        <cfvo type="num" val="1"/>
        <cfvo type="num" val="28"/>
        <color theme="7" tint="0.79998168889431442"/>
        <color theme="5" tint="-0.249977111117893"/>
      </colorScale>
    </cfRule>
    <cfRule type="colorScale" priority="510">
      <colorScale>
        <cfvo type="num" val="1"/>
        <cfvo type="num" val="28"/>
        <color theme="7" tint="0.79998168889431442"/>
        <color theme="5" tint="-0.249977111117893"/>
      </colorScale>
    </cfRule>
    <cfRule type="colorScale" priority="511">
      <colorScale>
        <cfvo type="num" val="1"/>
        <cfvo type="num" val="28"/>
        <color theme="7" tint="0.79998168889431442"/>
        <color theme="5" tint="-0.249977111117893"/>
      </colorScale>
    </cfRule>
    <cfRule type="colorScale" priority="512">
      <colorScale>
        <cfvo type="num" val="1"/>
        <cfvo type="num" val="28"/>
        <color theme="7" tint="0.79998168889431442"/>
        <color theme="5" tint="-0.249977111117893"/>
      </colorScale>
    </cfRule>
    <cfRule type="colorScale" priority="513">
      <colorScale>
        <cfvo type="num" val="1"/>
        <cfvo type="num" val="28"/>
        <color theme="7" tint="0.79998168889431442"/>
        <color theme="5" tint="-0.249977111117893"/>
      </colorScale>
    </cfRule>
    <cfRule type="colorScale" priority="514">
      <colorScale>
        <cfvo type="num" val="1"/>
        <cfvo type="num" val="28"/>
        <color theme="7" tint="0.79998168889431442"/>
        <color theme="5" tint="-0.249977111117893"/>
      </colorScale>
    </cfRule>
    <cfRule type="colorScale" priority="515">
      <colorScale>
        <cfvo type="num" val="1"/>
        <cfvo type="num" val="28"/>
        <color theme="7" tint="0.79998168889431442"/>
        <color theme="5" tint="-0.249977111117893"/>
      </colorScale>
    </cfRule>
    <cfRule type="colorScale" priority="516">
      <colorScale>
        <cfvo type="num" val="1"/>
        <cfvo type="num" val="28"/>
        <color theme="7" tint="0.79998168889431442"/>
        <color theme="5" tint="-0.249977111117893"/>
      </colorScale>
    </cfRule>
    <cfRule type="colorScale" priority="517">
      <colorScale>
        <cfvo type="num" val="1"/>
        <cfvo type="num" val="28"/>
        <color theme="7" tint="0.79998168889431442"/>
        <color theme="5" tint="-0.249977111117893"/>
      </colorScale>
    </cfRule>
  </conditionalFormatting>
  <conditionalFormatting sqref="JH185:LE185">
    <cfRule type="colorScale" priority="636">
      <colorScale>
        <cfvo type="num" val="1"/>
        <cfvo type="num" val="28"/>
        <color theme="7" tint="0.79998168889431442"/>
        <color theme="5" tint="-0.249977111117893"/>
      </colorScale>
    </cfRule>
    <cfRule type="colorScale" priority="637">
      <colorScale>
        <cfvo type="num" val="1"/>
        <cfvo type="num" val="28"/>
        <color theme="7" tint="0.79998168889431442"/>
        <color theme="5" tint="-0.249977111117893"/>
      </colorScale>
    </cfRule>
    <cfRule type="colorScale" priority="638">
      <colorScale>
        <cfvo type="num" val="1"/>
        <cfvo type="num" val="28"/>
        <color theme="7" tint="0.79998168889431442"/>
        <color theme="5" tint="-0.249977111117893"/>
      </colorScale>
    </cfRule>
    <cfRule type="colorScale" priority="639">
      <colorScale>
        <cfvo type="num" val="1"/>
        <cfvo type="num" val="28"/>
        <color theme="7" tint="0.79998168889431442"/>
        <color theme="5" tint="-0.249977111117893"/>
      </colorScale>
    </cfRule>
    <cfRule type="colorScale" priority="640">
      <colorScale>
        <cfvo type="num" val="1"/>
        <cfvo type="num" val="28"/>
        <color theme="7" tint="0.79998168889431442"/>
        <color theme="5" tint="-0.249977111117893"/>
      </colorScale>
    </cfRule>
    <cfRule type="colorScale" priority="641">
      <colorScale>
        <cfvo type="num" val="1"/>
        <cfvo type="num" val="28"/>
        <color theme="7" tint="0.79998168889431442"/>
        <color theme="5" tint="-0.249977111117893"/>
      </colorScale>
    </cfRule>
    <cfRule type="colorScale" priority="642">
      <colorScale>
        <cfvo type="num" val="1"/>
        <cfvo type="num" val="28"/>
        <color theme="7" tint="0.79998168889431442"/>
        <color theme="5" tint="-0.249977111117893"/>
      </colorScale>
    </cfRule>
    <cfRule type="colorScale" priority="643">
      <colorScale>
        <cfvo type="num" val="1"/>
        <cfvo type="num" val="28"/>
        <color theme="7" tint="0.79998168889431442"/>
        <color theme="5" tint="-0.249977111117893"/>
      </colorScale>
    </cfRule>
    <cfRule type="colorScale" priority="644">
      <colorScale>
        <cfvo type="num" val="1"/>
        <cfvo type="num" val="28"/>
        <color theme="7" tint="0.79998168889431442"/>
        <color theme="5" tint="-0.249977111117893"/>
      </colorScale>
    </cfRule>
    <cfRule type="colorScale" priority="645">
      <colorScale>
        <cfvo type="num" val="1"/>
        <cfvo type="num" val="28"/>
        <color theme="7" tint="0.79998168889431442"/>
        <color theme="5" tint="-0.249977111117893"/>
      </colorScale>
    </cfRule>
  </conditionalFormatting>
  <conditionalFormatting sqref="JH187:LQ188 JF195:LQ195 KH194:LY194 JV191:LY191 KF192:MA192 JH192:LQ194 KD193:MA193 JF186:LE187 JH190:LK191 JF188:LS189 JF190:LW190 JZ189:LU189">
    <cfRule type="colorScale" priority="606">
      <colorScale>
        <cfvo type="num" val="1"/>
        <cfvo type="num" val="28"/>
        <color theme="7" tint="0.79998168889431442"/>
        <color theme="5" tint="-0.249977111117893"/>
      </colorScale>
    </cfRule>
    <cfRule type="colorScale" priority="607">
      <colorScale>
        <cfvo type="num" val="1"/>
        <cfvo type="num" val="28"/>
        <color theme="7" tint="0.79998168889431442"/>
        <color theme="5" tint="-0.249977111117893"/>
      </colorScale>
    </cfRule>
    <cfRule type="colorScale" priority="608">
      <colorScale>
        <cfvo type="num" val="1"/>
        <cfvo type="num" val="28"/>
        <color theme="7" tint="0.79998168889431442"/>
        <color theme="5" tint="-0.249977111117893"/>
      </colorScale>
    </cfRule>
    <cfRule type="colorScale" priority="609">
      <colorScale>
        <cfvo type="num" val="1"/>
        <cfvo type="num" val="28"/>
        <color theme="7" tint="0.79998168889431442"/>
        <color theme="5" tint="-0.249977111117893"/>
      </colorScale>
    </cfRule>
    <cfRule type="colorScale" priority="610">
      <colorScale>
        <cfvo type="num" val="1"/>
        <cfvo type="num" val="28"/>
        <color theme="7" tint="0.79998168889431442"/>
        <color theme="5" tint="-0.249977111117893"/>
      </colorScale>
    </cfRule>
    <cfRule type="colorScale" priority="611">
      <colorScale>
        <cfvo type="num" val="1"/>
        <cfvo type="num" val="28"/>
        <color theme="7" tint="0.79998168889431442"/>
        <color theme="5" tint="-0.249977111117893"/>
      </colorScale>
    </cfRule>
    <cfRule type="colorScale" priority="612">
      <colorScale>
        <cfvo type="num" val="1"/>
        <cfvo type="num" val="28"/>
        <color theme="7" tint="0.79998168889431442"/>
        <color theme="5" tint="-0.249977111117893"/>
      </colorScale>
    </cfRule>
    <cfRule type="colorScale" priority="613">
      <colorScale>
        <cfvo type="num" val="1"/>
        <cfvo type="num" val="28"/>
        <color theme="7" tint="0.79998168889431442"/>
        <color theme="5" tint="-0.249977111117893"/>
      </colorScale>
    </cfRule>
    <cfRule type="colorScale" priority="614">
      <colorScale>
        <cfvo type="num" val="1"/>
        <cfvo type="num" val="28"/>
        <color theme="7" tint="0.79998168889431442"/>
        <color theme="5" tint="-0.249977111117893"/>
      </colorScale>
    </cfRule>
    <cfRule type="colorScale" priority="615">
      <colorScale>
        <cfvo type="num" val="1"/>
        <cfvo type="num" val="28"/>
        <color theme="7" tint="0.79998168889431442"/>
        <color theme="5" tint="-0.249977111117893"/>
      </colorScale>
    </cfRule>
  </conditionalFormatting>
  <conditionalFormatting sqref="JJ195:LK195">
    <cfRule type="colorScale" priority="626">
      <colorScale>
        <cfvo type="num" val="1"/>
        <cfvo type="num" val="28"/>
        <color theme="7" tint="0.79998168889431442"/>
        <color theme="5" tint="-0.249977111117893"/>
      </colorScale>
    </cfRule>
    <cfRule type="colorScale" priority="627">
      <colorScale>
        <cfvo type="num" val="1"/>
        <cfvo type="num" val="28"/>
        <color theme="7" tint="0.79998168889431442"/>
        <color theme="5" tint="-0.249977111117893"/>
      </colorScale>
    </cfRule>
    <cfRule type="colorScale" priority="628">
      <colorScale>
        <cfvo type="num" val="1"/>
        <cfvo type="num" val="28"/>
        <color theme="7" tint="0.79998168889431442"/>
        <color theme="5" tint="-0.249977111117893"/>
      </colorScale>
    </cfRule>
    <cfRule type="colorScale" priority="629">
      <colorScale>
        <cfvo type="num" val="1"/>
        <cfvo type="num" val="28"/>
        <color theme="7" tint="0.79998168889431442"/>
        <color theme="5" tint="-0.249977111117893"/>
      </colorScale>
    </cfRule>
    <cfRule type="colorScale" priority="630">
      <colorScale>
        <cfvo type="num" val="1"/>
        <cfvo type="num" val="28"/>
        <color theme="7" tint="0.79998168889431442"/>
        <color theme="5" tint="-0.249977111117893"/>
      </colorScale>
    </cfRule>
    <cfRule type="colorScale" priority="631">
      <colorScale>
        <cfvo type="num" val="1"/>
        <cfvo type="num" val="28"/>
        <color theme="7" tint="0.79998168889431442"/>
        <color theme="5" tint="-0.249977111117893"/>
      </colorScale>
    </cfRule>
    <cfRule type="colorScale" priority="632">
      <colorScale>
        <cfvo type="num" val="1"/>
        <cfvo type="num" val="28"/>
        <color theme="7" tint="0.79998168889431442"/>
        <color theme="5" tint="-0.249977111117893"/>
      </colorScale>
    </cfRule>
    <cfRule type="colorScale" priority="633">
      <colorScale>
        <cfvo type="num" val="1"/>
        <cfvo type="num" val="28"/>
        <color theme="7" tint="0.79998168889431442"/>
        <color theme="5" tint="-0.249977111117893"/>
      </colorScale>
    </cfRule>
    <cfRule type="colorScale" priority="634">
      <colorScale>
        <cfvo type="num" val="1"/>
        <cfvo type="num" val="28"/>
        <color theme="7" tint="0.79998168889431442"/>
        <color theme="5" tint="-0.249977111117893"/>
      </colorScale>
    </cfRule>
    <cfRule type="colorScale" priority="635">
      <colorScale>
        <cfvo type="num" val="1"/>
        <cfvo type="num" val="28"/>
        <color theme="7" tint="0.79998168889431442"/>
        <color theme="5" tint="-0.249977111117893"/>
      </colorScale>
    </cfRule>
  </conditionalFormatting>
  <conditionalFormatting sqref="JN179:LI179">
    <cfRule type="colorScale" priority="540">
      <colorScale>
        <cfvo type="num" val="1"/>
        <cfvo type="num" val="28"/>
        <color theme="7" tint="0.79998168889431442"/>
        <color theme="5" tint="-0.249977111117893"/>
      </colorScale>
    </cfRule>
    <cfRule type="colorScale" priority="541">
      <colorScale>
        <cfvo type="num" val="1"/>
        <cfvo type="num" val="28"/>
        <color theme="7" tint="0.79998168889431442"/>
        <color theme="5" tint="-0.249977111117893"/>
      </colorScale>
    </cfRule>
    <cfRule type="colorScale" priority="542">
      <colorScale>
        <cfvo type="num" val="1"/>
        <cfvo type="num" val="28"/>
        <color theme="7" tint="0.79998168889431442"/>
        <color theme="5" tint="-0.249977111117893"/>
      </colorScale>
    </cfRule>
    <cfRule type="colorScale" priority="543">
      <colorScale>
        <cfvo type="num" val="1"/>
        <cfvo type="num" val="28"/>
        <color theme="7" tint="0.79998168889431442"/>
        <color theme="5" tint="-0.249977111117893"/>
      </colorScale>
    </cfRule>
    <cfRule type="colorScale" priority="544">
      <colorScale>
        <cfvo type="num" val="1"/>
        <cfvo type="num" val="28"/>
        <color theme="7" tint="0.79998168889431442"/>
        <color theme="5" tint="-0.249977111117893"/>
      </colorScale>
    </cfRule>
    <cfRule type="colorScale" priority="545">
      <colorScale>
        <cfvo type="num" val="1"/>
        <cfvo type="num" val="28"/>
        <color theme="7" tint="0.79998168889431442"/>
        <color theme="5" tint="-0.249977111117893"/>
      </colorScale>
    </cfRule>
    <cfRule type="colorScale" priority="546">
      <colorScale>
        <cfvo type="num" val="1"/>
        <cfvo type="num" val="28"/>
        <color theme="7" tint="0.79998168889431442"/>
        <color theme="5" tint="-0.249977111117893"/>
      </colorScale>
    </cfRule>
    <cfRule type="colorScale" priority="547">
      <colorScale>
        <cfvo type="num" val="1"/>
        <cfvo type="num" val="28"/>
        <color theme="7" tint="0.79998168889431442"/>
        <color theme="5" tint="-0.249977111117893"/>
      </colorScale>
    </cfRule>
    <cfRule type="colorScale" priority="548">
      <colorScale>
        <cfvo type="num" val="1"/>
        <cfvo type="num" val="28"/>
        <color theme="7" tint="0.79998168889431442"/>
        <color theme="5" tint="-0.249977111117893"/>
      </colorScale>
    </cfRule>
    <cfRule type="colorScale" priority="549">
      <colorScale>
        <cfvo type="num" val="1"/>
        <cfvo type="num" val="28"/>
        <color theme="7" tint="0.79998168889431442"/>
        <color theme="5" tint="-0.249977111117893"/>
      </colorScale>
    </cfRule>
    <cfRule type="colorScale" priority="550">
      <colorScale>
        <cfvo type="num" val="1"/>
        <cfvo type="num" val="28"/>
        <color theme="7" tint="0.79998168889431442"/>
        <color theme="5" tint="-0.249977111117893"/>
      </colorScale>
    </cfRule>
    <cfRule type="colorScale" priority="551">
      <colorScale>
        <cfvo type="num" val="1"/>
        <cfvo type="num" val="28"/>
        <color theme="7" tint="0.79998168889431442"/>
        <color theme="5" tint="-0.249977111117893"/>
      </colorScale>
    </cfRule>
    <cfRule type="colorScale" priority="552">
      <colorScale>
        <cfvo type="num" val="1"/>
        <cfvo type="num" val="28"/>
        <color theme="7" tint="0.79998168889431442"/>
        <color theme="5" tint="-0.249977111117893"/>
      </colorScale>
    </cfRule>
    <cfRule type="colorScale" priority="553">
      <colorScale>
        <cfvo type="num" val="1"/>
        <cfvo type="num" val="28"/>
        <color theme="7" tint="0.79998168889431442"/>
        <color theme="5" tint="-0.249977111117893"/>
      </colorScale>
    </cfRule>
    <cfRule type="colorScale" priority="554">
      <colorScale>
        <cfvo type="num" val="1"/>
        <cfvo type="num" val="28"/>
        <color theme="7" tint="0.79998168889431442"/>
        <color theme="5" tint="-0.249977111117893"/>
      </colorScale>
    </cfRule>
    <cfRule type="colorScale" priority="555">
      <colorScale>
        <cfvo type="num" val="1"/>
        <cfvo type="num" val="28"/>
        <color theme="7" tint="0.79998168889431442"/>
        <color theme="5" tint="-0.249977111117893"/>
      </colorScale>
    </cfRule>
    <cfRule type="colorScale" priority="556">
      <colorScale>
        <cfvo type="num" val="1"/>
        <cfvo type="num" val="28"/>
        <color theme="7" tint="0.79998168889431442"/>
        <color theme="5" tint="-0.249977111117893"/>
      </colorScale>
    </cfRule>
    <cfRule type="colorScale" priority="557">
      <colorScale>
        <cfvo type="num" val="1"/>
        <cfvo type="num" val="28"/>
        <color theme="7" tint="0.79998168889431442"/>
        <color theme="5" tint="-0.249977111117893"/>
      </colorScale>
    </cfRule>
    <cfRule type="colorScale" priority="558">
      <colorScale>
        <cfvo type="num" val="1"/>
        <cfvo type="num" val="28"/>
        <color theme="7" tint="0.79998168889431442"/>
        <color theme="5" tint="-0.249977111117893"/>
      </colorScale>
    </cfRule>
    <cfRule type="colorScale" priority="559">
      <colorScale>
        <cfvo type="num" val="1"/>
        <cfvo type="num" val="28"/>
        <color theme="7" tint="0.79998168889431442"/>
        <color theme="5" tint="-0.249977111117893"/>
      </colorScale>
    </cfRule>
  </conditionalFormatting>
  <conditionalFormatting sqref="JN191:LY191">
    <cfRule type="colorScale" priority="586">
      <colorScale>
        <cfvo type="num" val="1"/>
        <cfvo type="num" val="28"/>
        <color theme="7" tint="0.79998168889431442"/>
        <color theme="5" tint="-0.249977111117893"/>
      </colorScale>
    </cfRule>
    <cfRule type="colorScale" priority="587">
      <colorScale>
        <cfvo type="num" val="1"/>
        <cfvo type="num" val="28"/>
        <color theme="7" tint="0.79998168889431442"/>
        <color theme="5" tint="-0.249977111117893"/>
      </colorScale>
    </cfRule>
    <cfRule type="colorScale" priority="588">
      <colorScale>
        <cfvo type="num" val="1"/>
        <cfvo type="num" val="28"/>
        <color theme="7" tint="0.79998168889431442"/>
        <color theme="5" tint="-0.249977111117893"/>
      </colorScale>
    </cfRule>
    <cfRule type="colorScale" priority="589">
      <colorScale>
        <cfvo type="num" val="1"/>
        <cfvo type="num" val="28"/>
        <color theme="7" tint="0.79998168889431442"/>
        <color theme="5" tint="-0.249977111117893"/>
      </colorScale>
    </cfRule>
    <cfRule type="colorScale" priority="590">
      <colorScale>
        <cfvo type="num" val="1"/>
        <cfvo type="num" val="28"/>
        <color theme="7" tint="0.79998168889431442"/>
        <color theme="5" tint="-0.249977111117893"/>
      </colorScale>
    </cfRule>
    <cfRule type="colorScale" priority="591">
      <colorScale>
        <cfvo type="num" val="1"/>
        <cfvo type="num" val="28"/>
        <color theme="7" tint="0.79998168889431442"/>
        <color theme="5" tint="-0.249977111117893"/>
      </colorScale>
    </cfRule>
    <cfRule type="colorScale" priority="592">
      <colorScale>
        <cfvo type="num" val="1"/>
        <cfvo type="num" val="28"/>
        <color theme="7" tint="0.79998168889431442"/>
        <color theme="5" tint="-0.249977111117893"/>
      </colorScale>
    </cfRule>
    <cfRule type="colorScale" priority="593">
      <colorScale>
        <cfvo type="num" val="1"/>
        <cfvo type="num" val="28"/>
        <color theme="7" tint="0.79998168889431442"/>
        <color theme="5" tint="-0.249977111117893"/>
      </colorScale>
    </cfRule>
    <cfRule type="colorScale" priority="594">
      <colorScale>
        <cfvo type="num" val="1"/>
        <cfvo type="num" val="28"/>
        <color theme="7" tint="0.79998168889431442"/>
        <color theme="5" tint="-0.249977111117893"/>
      </colorScale>
    </cfRule>
    <cfRule type="colorScale" priority="595">
      <colorScale>
        <cfvo type="num" val="1"/>
        <cfvo type="num" val="28"/>
        <color theme="7" tint="0.79998168889431442"/>
        <color theme="5" tint="-0.249977111117893"/>
      </colorScale>
    </cfRule>
    <cfRule type="colorScale" priority="596">
      <colorScale>
        <cfvo type="num" val="1"/>
        <cfvo type="num" val="28"/>
        <color theme="7" tint="0.79998168889431442"/>
        <color theme="5" tint="-0.249977111117893"/>
      </colorScale>
    </cfRule>
    <cfRule type="colorScale" priority="597">
      <colorScale>
        <cfvo type="num" val="1"/>
        <cfvo type="num" val="28"/>
        <color theme="7" tint="0.79998168889431442"/>
        <color theme="5" tint="-0.249977111117893"/>
      </colorScale>
    </cfRule>
    <cfRule type="colorScale" priority="598">
      <colorScale>
        <cfvo type="num" val="1"/>
        <cfvo type="num" val="28"/>
        <color theme="7" tint="0.79998168889431442"/>
        <color theme="5" tint="-0.249977111117893"/>
      </colorScale>
    </cfRule>
    <cfRule type="colorScale" priority="599">
      <colorScale>
        <cfvo type="num" val="1"/>
        <cfvo type="num" val="28"/>
        <color theme="7" tint="0.79998168889431442"/>
        <color theme="5" tint="-0.249977111117893"/>
      </colorScale>
    </cfRule>
    <cfRule type="colorScale" priority="600">
      <colorScale>
        <cfvo type="num" val="1"/>
        <cfvo type="num" val="28"/>
        <color theme="7" tint="0.79998168889431442"/>
        <color theme="5" tint="-0.249977111117893"/>
      </colorScale>
    </cfRule>
    <cfRule type="colorScale" priority="601">
      <colorScale>
        <cfvo type="num" val="1"/>
        <cfvo type="num" val="28"/>
        <color theme="7" tint="0.79998168889431442"/>
        <color theme="5" tint="-0.249977111117893"/>
      </colorScale>
    </cfRule>
    <cfRule type="colorScale" priority="602">
      <colorScale>
        <cfvo type="num" val="1"/>
        <cfvo type="num" val="28"/>
        <color theme="7" tint="0.79998168889431442"/>
        <color theme="5" tint="-0.249977111117893"/>
      </colorScale>
    </cfRule>
    <cfRule type="colorScale" priority="603">
      <colorScale>
        <cfvo type="num" val="1"/>
        <cfvo type="num" val="28"/>
        <color theme="7" tint="0.79998168889431442"/>
        <color theme="5" tint="-0.249977111117893"/>
      </colorScale>
    </cfRule>
    <cfRule type="colorScale" priority="604">
      <colorScale>
        <cfvo type="num" val="1"/>
        <cfvo type="num" val="28"/>
        <color theme="7" tint="0.79998168889431442"/>
        <color theme="5" tint="-0.249977111117893"/>
      </colorScale>
    </cfRule>
    <cfRule type="colorScale" priority="605">
      <colorScale>
        <cfvo type="num" val="1"/>
        <cfvo type="num" val="28"/>
        <color theme="7" tint="0.79998168889431442"/>
        <color theme="5" tint="-0.249977111117893"/>
      </colorScale>
    </cfRule>
  </conditionalFormatting>
  <conditionalFormatting sqref="JP195:LK195">
    <cfRule type="colorScale" priority="616">
      <colorScale>
        <cfvo type="num" val="1"/>
        <cfvo type="num" val="28"/>
        <color theme="7" tint="0.79998168889431442"/>
        <color theme="5" tint="-0.249977111117893"/>
      </colorScale>
    </cfRule>
    <cfRule type="colorScale" priority="617">
      <colorScale>
        <cfvo type="num" val="1"/>
        <cfvo type="num" val="28"/>
        <color theme="7" tint="0.79998168889431442"/>
        <color theme="5" tint="-0.249977111117893"/>
      </colorScale>
    </cfRule>
    <cfRule type="colorScale" priority="618">
      <colorScale>
        <cfvo type="num" val="1"/>
        <cfvo type="num" val="28"/>
        <color theme="7" tint="0.79998168889431442"/>
        <color theme="5" tint="-0.249977111117893"/>
      </colorScale>
    </cfRule>
    <cfRule type="colorScale" priority="619">
      <colorScale>
        <cfvo type="num" val="1"/>
        <cfvo type="num" val="28"/>
        <color theme="7" tint="0.79998168889431442"/>
        <color theme="5" tint="-0.249977111117893"/>
      </colorScale>
    </cfRule>
    <cfRule type="colorScale" priority="620">
      <colorScale>
        <cfvo type="num" val="1"/>
        <cfvo type="num" val="28"/>
        <color theme="7" tint="0.79998168889431442"/>
        <color theme="5" tint="-0.249977111117893"/>
      </colorScale>
    </cfRule>
    <cfRule type="colorScale" priority="621">
      <colorScale>
        <cfvo type="num" val="1"/>
        <cfvo type="num" val="28"/>
        <color theme="7" tint="0.79998168889431442"/>
        <color theme="5" tint="-0.249977111117893"/>
      </colorScale>
    </cfRule>
    <cfRule type="colorScale" priority="622">
      <colorScale>
        <cfvo type="num" val="1"/>
        <cfvo type="num" val="28"/>
        <color theme="7" tint="0.79998168889431442"/>
        <color theme="5" tint="-0.249977111117893"/>
      </colorScale>
    </cfRule>
    <cfRule type="colorScale" priority="623">
      <colorScale>
        <cfvo type="num" val="1"/>
        <cfvo type="num" val="28"/>
        <color theme="7" tint="0.79998168889431442"/>
        <color theme="5" tint="-0.249977111117893"/>
      </colorScale>
    </cfRule>
    <cfRule type="colorScale" priority="624">
      <colorScale>
        <cfvo type="num" val="1"/>
        <cfvo type="num" val="28"/>
        <color theme="7" tint="0.79998168889431442"/>
        <color theme="5" tint="-0.249977111117893"/>
      </colorScale>
    </cfRule>
    <cfRule type="colorScale" priority="625">
      <colorScale>
        <cfvo type="num" val="1"/>
        <cfvo type="num" val="28"/>
        <color theme="7" tint="0.79998168889431442"/>
        <color theme="5" tint="-0.249977111117893"/>
      </colorScale>
    </cfRule>
  </conditionalFormatting>
  <conditionalFormatting sqref="JR188:LS190 JZ189:LU189">
    <cfRule type="colorScale" priority="392">
      <colorScale>
        <cfvo type="num" val="1"/>
        <cfvo type="num" val="28"/>
        <color theme="7" tint="0.79998168889431442"/>
        <color theme="5" tint="-0.249977111117893"/>
      </colorScale>
    </cfRule>
    <cfRule type="colorScale" priority="393">
      <colorScale>
        <cfvo type="num" val="1"/>
        <cfvo type="num" val="28"/>
        <color theme="7" tint="0.79998168889431442"/>
        <color theme="5" tint="-0.249977111117893"/>
      </colorScale>
    </cfRule>
    <cfRule type="colorScale" priority="394">
      <colorScale>
        <cfvo type="num" val="1"/>
        <cfvo type="num" val="28"/>
        <color theme="7" tint="0.79998168889431442"/>
        <color theme="5" tint="-0.249977111117893"/>
      </colorScale>
    </cfRule>
    <cfRule type="colorScale" priority="395">
      <colorScale>
        <cfvo type="num" val="1"/>
        <cfvo type="num" val="28"/>
        <color theme="7" tint="0.79998168889431442"/>
        <color theme="5" tint="-0.249977111117893"/>
      </colorScale>
    </cfRule>
    <cfRule type="colorScale" priority="396">
      <colorScale>
        <cfvo type="num" val="1"/>
        <cfvo type="num" val="28"/>
        <color theme="7" tint="0.79998168889431442"/>
        <color theme="5" tint="-0.249977111117893"/>
      </colorScale>
    </cfRule>
    <cfRule type="colorScale" priority="397">
      <colorScale>
        <cfvo type="num" val="1"/>
        <cfvo type="num" val="28"/>
        <color theme="7" tint="0.79998168889431442"/>
        <color theme="5" tint="-0.249977111117893"/>
      </colorScale>
    </cfRule>
    <cfRule type="colorScale" priority="398">
      <colorScale>
        <cfvo type="num" val="1"/>
        <cfvo type="num" val="28"/>
        <color theme="7" tint="0.79998168889431442"/>
        <color theme="5" tint="-0.249977111117893"/>
      </colorScale>
    </cfRule>
    <cfRule type="colorScale" priority="399">
      <colorScale>
        <cfvo type="num" val="1"/>
        <cfvo type="num" val="28"/>
        <color theme="7" tint="0.79998168889431442"/>
        <color theme="5" tint="-0.249977111117893"/>
      </colorScale>
    </cfRule>
    <cfRule type="colorScale" priority="400">
      <colorScale>
        <cfvo type="num" val="1"/>
        <cfvo type="num" val="28"/>
        <color theme="7" tint="0.79998168889431442"/>
        <color theme="5" tint="-0.249977111117893"/>
      </colorScale>
    </cfRule>
    <cfRule type="colorScale" priority="401">
      <colorScale>
        <cfvo type="num" val="1"/>
        <cfvo type="num" val="28"/>
        <color theme="7" tint="0.79998168889431442"/>
        <color theme="5" tint="-0.249977111117893"/>
      </colorScale>
    </cfRule>
    <cfRule type="colorScale" priority="402">
      <colorScale>
        <cfvo type="num" val="1"/>
        <cfvo type="num" val="28"/>
        <color theme="7" tint="0.79998168889431442"/>
        <color theme="5" tint="-0.249977111117893"/>
      </colorScale>
    </cfRule>
    <cfRule type="colorScale" priority="403">
      <colorScale>
        <cfvo type="num" val="1"/>
        <cfvo type="num" val="28"/>
        <color theme="7" tint="0.79998168889431442"/>
        <color theme="5" tint="-0.249977111117893"/>
      </colorScale>
    </cfRule>
    <cfRule type="colorScale" priority="404">
      <colorScale>
        <cfvo type="num" val="1"/>
        <cfvo type="num" val="28"/>
        <color theme="7" tint="0.79998168889431442"/>
        <color theme="5" tint="-0.249977111117893"/>
      </colorScale>
    </cfRule>
    <cfRule type="colorScale" priority="405">
      <colorScale>
        <cfvo type="num" val="1"/>
        <cfvo type="num" val="28"/>
        <color theme="7" tint="0.79998168889431442"/>
        <color theme="5" tint="-0.249977111117893"/>
      </colorScale>
    </cfRule>
    <cfRule type="colorScale" priority="406">
      <colorScale>
        <cfvo type="num" val="1"/>
        <cfvo type="num" val="28"/>
        <color theme="7" tint="0.79998168889431442"/>
        <color theme="5" tint="-0.249977111117893"/>
      </colorScale>
    </cfRule>
    <cfRule type="colorScale" priority="407">
      <colorScale>
        <cfvo type="num" val="1"/>
        <cfvo type="num" val="28"/>
        <color theme="7" tint="0.79998168889431442"/>
        <color theme="5" tint="-0.249977111117893"/>
      </colorScale>
    </cfRule>
    <cfRule type="colorScale" priority="408">
      <colorScale>
        <cfvo type="num" val="1"/>
        <cfvo type="num" val="28"/>
        <color theme="7" tint="0.79998168889431442"/>
        <color theme="5" tint="-0.249977111117893"/>
      </colorScale>
    </cfRule>
    <cfRule type="colorScale" priority="409">
      <colorScale>
        <cfvo type="num" val="1"/>
        <cfvo type="num" val="28"/>
        <color theme="7" tint="0.79998168889431442"/>
        <color theme="5" tint="-0.249977111117893"/>
      </colorScale>
    </cfRule>
    <cfRule type="colorScale" priority="410">
      <colorScale>
        <cfvo type="num" val="1"/>
        <cfvo type="num" val="28"/>
        <color theme="7" tint="0.79998168889431442"/>
        <color theme="5" tint="-0.249977111117893"/>
      </colorScale>
    </cfRule>
    <cfRule type="colorScale" priority="411">
      <colorScale>
        <cfvo type="num" val="1"/>
        <cfvo type="num" val="28"/>
        <color theme="7" tint="0.79998168889431442"/>
        <color theme="5" tint="-0.249977111117893"/>
      </colorScale>
    </cfRule>
    <cfRule type="colorScale" priority="412">
      <colorScale>
        <cfvo type="num" val="1"/>
        <cfvo type="num" val="28"/>
        <color theme="7" tint="0.79998168889431442"/>
        <color theme="5" tint="-0.249977111117893"/>
      </colorScale>
    </cfRule>
    <cfRule type="colorScale" priority="413">
      <colorScale>
        <cfvo type="num" val="1"/>
        <cfvo type="num" val="28"/>
        <color theme="7" tint="0.79998168889431442"/>
        <color theme="5" tint="-0.249977111117893"/>
      </colorScale>
    </cfRule>
    <cfRule type="colorScale" priority="414">
      <colorScale>
        <cfvo type="num" val="1"/>
        <cfvo type="num" val="28"/>
        <color theme="7" tint="0.79998168889431442"/>
        <color theme="5" tint="-0.249977111117893"/>
      </colorScale>
    </cfRule>
    <cfRule type="colorScale" priority="415">
      <colorScale>
        <cfvo type="num" val="1"/>
        <cfvo type="num" val="28"/>
        <color theme="7" tint="0.79998168889431442"/>
        <color theme="5" tint="-0.249977111117893"/>
      </colorScale>
    </cfRule>
    <cfRule type="colorScale" priority="416">
      <colorScale>
        <cfvo type="num" val="1"/>
        <cfvo type="num" val="28"/>
        <color theme="7" tint="0.79998168889431442"/>
        <color theme="5" tint="-0.249977111117893"/>
      </colorScale>
    </cfRule>
    <cfRule type="colorScale" priority="417">
      <colorScale>
        <cfvo type="num" val="1"/>
        <cfvo type="num" val="28"/>
        <color theme="7" tint="0.79998168889431442"/>
        <color theme="5" tint="-0.249977111117893"/>
      </colorScale>
    </cfRule>
    <cfRule type="colorScale" priority="418">
      <colorScale>
        <cfvo type="num" val="1"/>
        <cfvo type="num" val="28"/>
        <color theme="7" tint="0.79998168889431442"/>
        <color theme="5" tint="-0.249977111117893"/>
      </colorScale>
    </cfRule>
    <cfRule type="colorScale" priority="419">
      <colorScale>
        <cfvo type="num" val="1"/>
        <cfvo type="num" val="28"/>
        <color theme="7" tint="0.79998168889431442"/>
        <color theme="5" tint="-0.249977111117893"/>
      </colorScale>
    </cfRule>
    <cfRule type="colorScale" priority="420">
      <colorScale>
        <cfvo type="num" val="1"/>
        <cfvo type="num" val="28"/>
        <color theme="7" tint="0.79998168889431442"/>
        <color theme="5" tint="-0.249977111117893"/>
      </colorScale>
    </cfRule>
    <cfRule type="colorScale" priority="421">
      <colorScale>
        <cfvo type="num" val="1"/>
        <cfvo type="num" val="28"/>
        <color theme="7" tint="0.79998168889431442"/>
        <color theme="5" tint="-0.249977111117893"/>
      </colorScale>
    </cfRule>
  </conditionalFormatting>
  <conditionalFormatting sqref="JV187:LQ188 JV195:LQ195 JV193:LU194 KH194:MC194 JV192:MA192 KD193:MA193 JV188:LS188 JV190:LW190 JX188:LS189 JZ189:LU189">
    <cfRule type="colorScale" priority="691">
      <colorScale>
        <cfvo type="num" val="1"/>
        <cfvo type="num" val="28"/>
        <color theme="7" tint="0.79998168889431442"/>
        <color theme="5" tint="-0.249977111117893"/>
      </colorScale>
    </cfRule>
    <cfRule type="colorScale" priority="692">
      <colorScale>
        <cfvo type="num" val="1"/>
        <cfvo type="num" val="28"/>
        <color theme="7" tint="0.79998168889431442"/>
        <color theme="5" tint="-0.249977111117893"/>
      </colorScale>
    </cfRule>
    <cfRule type="colorScale" priority="693">
      <colorScale>
        <cfvo type="num" val="1"/>
        <cfvo type="num" val="28"/>
        <color theme="7" tint="0.79998168889431442"/>
        <color theme="5" tint="-0.249977111117893"/>
      </colorScale>
    </cfRule>
    <cfRule type="colorScale" priority="694">
      <colorScale>
        <cfvo type="num" val="1"/>
        <cfvo type="num" val="28"/>
        <color theme="7" tint="0.79998168889431442"/>
        <color theme="5" tint="-0.249977111117893"/>
      </colorScale>
    </cfRule>
    <cfRule type="colorScale" priority="695">
      <colorScale>
        <cfvo type="num" val="1"/>
        <cfvo type="num" val="28"/>
        <color theme="7" tint="0.79998168889431442"/>
        <color theme="5" tint="-0.249977111117893"/>
      </colorScale>
    </cfRule>
    <cfRule type="colorScale" priority="696">
      <colorScale>
        <cfvo type="num" val="1"/>
        <cfvo type="num" val="28"/>
        <color theme="7" tint="0.79998168889431442"/>
        <color theme="5" tint="-0.249977111117893"/>
      </colorScale>
    </cfRule>
    <cfRule type="colorScale" priority="697">
      <colorScale>
        <cfvo type="num" val="1"/>
        <cfvo type="num" val="28"/>
        <color theme="7" tint="0.79998168889431442"/>
        <color theme="5" tint="-0.249977111117893"/>
      </colorScale>
    </cfRule>
    <cfRule type="colorScale" priority="698">
      <colorScale>
        <cfvo type="num" val="1"/>
        <cfvo type="num" val="28"/>
        <color theme="7" tint="0.79998168889431442"/>
        <color theme="5" tint="-0.249977111117893"/>
      </colorScale>
    </cfRule>
    <cfRule type="colorScale" priority="704">
      <colorScale>
        <cfvo type="num" val="1"/>
        <cfvo type="num" val="28"/>
        <color theme="7" tint="0.79998168889431442"/>
        <color theme="5" tint="-0.249977111117893"/>
      </colorScale>
    </cfRule>
    <cfRule type="colorScale" priority="705">
      <colorScale>
        <cfvo type="num" val="1"/>
        <cfvo type="num" val="28"/>
        <color theme="7" tint="0.79998168889431442"/>
        <color theme="5" tint="-0.249977111117893"/>
      </colorScale>
    </cfRule>
    <cfRule type="colorScale" priority="706">
      <colorScale>
        <cfvo type="num" val="1"/>
        <cfvo type="num" val="28"/>
        <color theme="7" tint="0.79998168889431442"/>
        <color theme="5" tint="-0.249977111117893"/>
      </colorScale>
    </cfRule>
    <cfRule type="colorScale" priority="707">
      <colorScale>
        <cfvo type="num" val="1"/>
        <cfvo type="num" val="28"/>
        <color theme="7" tint="0.79998168889431442"/>
        <color theme="5" tint="-0.249977111117893"/>
      </colorScale>
    </cfRule>
    <cfRule type="colorScale" priority="708">
      <colorScale>
        <cfvo type="num" val="1"/>
        <cfvo type="num" val="28"/>
        <color theme="7" tint="0.79998168889431442"/>
        <color theme="5" tint="-0.249977111117893"/>
      </colorScale>
    </cfRule>
    <cfRule type="colorScale" priority="709">
      <colorScale>
        <cfvo type="num" val="1"/>
        <cfvo type="num" val="28"/>
        <color theme="7" tint="0.79998168889431442"/>
        <color theme="5" tint="-0.249977111117893"/>
      </colorScale>
    </cfRule>
    <cfRule type="colorScale" priority="710">
      <colorScale>
        <cfvo type="num" val="1"/>
        <cfvo type="num" val="28"/>
        <color theme="7" tint="0.79998168889431442"/>
        <color theme="5" tint="-0.249977111117893"/>
      </colorScale>
    </cfRule>
    <cfRule type="colorScale" priority="711">
      <colorScale>
        <cfvo type="num" val="1"/>
        <cfvo type="num" val="28"/>
        <color theme="7" tint="0.79998168889431442"/>
        <color theme="5" tint="-0.249977111117893"/>
      </colorScale>
    </cfRule>
    <cfRule type="colorScale" priority="761">
      <colorScale>
        <cfvo type="num" val="1"/>
        <cfvo type="num" val="28"/>
        <color theme="7" tint="0.79998168889431442"/>
        <color theme="5" tint="-0.249977111117893"/>
      </colorScale>
    </cfRule>
    <cfRule type="colorScale" priority="762">
      <colorScale>
        <cfvo type="num" val="1"/>
        <cfvo type="num" val="28"/>
        <color theme="7" tint="0.79998168889431442"/>
        <color theme="5" tint="-0.249977111117893"/>
      </colorScale>
    </cfRule>
    <cfRule type="colorScale" priority="763">
      <colorScale>
        <cfvo type="num" val="1"/>
        <cfvo type="num" val="28"/>
        <color theme="7" tint="0.79998168889431442"/>
        <color theme="5" tint="-0.249977111117893"/>
      </colorScale>
    </cfRule>
    <cfRule type="colorScale" priority="764">
      <colorScale>
        <cfvo type="num" val="1"/>
        <cfvo type="num" val="28"/>
        <color theme="7" tint="0.79998168889431442"/>
        <color theme="5" tint="-0.249977111117893"/>
      </colorScale>
    </cfRule>
    <cfRule type="colorScale" priority="765">
      <colorScale>
        <cfvo type="num" val="1"/>
        <cfvo type="num" val="28"/>
        <color theme="7" tint="0.79998168889431442"/>
        <color theme="5" tint="-0.249977111117893"/>
      </colorScale>
    </cfRule>
    <cfRule type="colorScale" priority="766">
      <colorScale>
        <cfvo type="num" val="1"/>
        <cfvo type="num" val="28"/>
        <color theme="7" tint="0.79998168889431442"/>
        <color theme="5" tint="-0.249977111117893"/>
      </colorScale>
    </cfRule>
  </conditionalFormatting>
  <conditionalFormatting sqref="JV191:LY191">
    <cfRule type="colorScale" priority="422">
      <colorScale>
        <cfvo type="num" val="1"/>
        <cfvo type="num" val="28"/>
        <color theme="7" tint="0.79998168889431442"/>
        <color theme="5" tint="-0.249977111117893"/>
      </colorScale>
    </cfRule>
    <cfRule type="colorScale" priority="423">
      <colorScale>
        <cfvo type="num" val="1"/>
        <cfvo type="num" val="28"/>
        <color theme="7" tint="0.79998168889431442"/>
        <color theme="5" tint="-0.249977111117893"/>
      </colorScale>
    </cfRule>
    <cfRule type="colorScale" priority="424">
      <colorScale>
        <cfvo type="num" val="1"/>
        <cfvo type="num" val="28"/>
        <color theme="7" tint="0.79998168889431442"/>
        <color theme="5" tint="-0.249977111117893"/>
      </colorScale>
    </cfRule>
    <cfRule type="colorScale" priority="425">
      <colorScale>
        <cfvo type="num" val="1"/>
        <cfvo type="num" val="28"/>
        <color theme="7" tint="0.79998168889431442"/>
        <color theme="5" tint="-0.249977111117893"/>
      </colorScale>
    </cfRule>
    <cfRule type="colorScale" priority="426">
      <colorScale>
        <cfvo type="num" val="1"/>
        <cfvo type="num" val="28"/>
        <color theme="7" tint="0.79998168889431442"/>
        <color theme="5" tint="-0.249977111117893"/>
      </colorScale>
    </cfRule>
    <cfRule type="colorScale" priority="427">
      <colorScale>
        <cfvo type="num" val="1"/>
        <cfvo type="num" val="28"/>
        <color theme="7" tint="0.79998168889431442"/>
        <color theme="5" tint="-0.249977111117893"/>
      </colorScale>
    </cfRule>
    <cfRule type="colorScale" priority="428">
      <colorScale>
        <cfvo type="num" val="1"/>
        <cfvo type="num" val="28"/>
        <color theme="7" tint="0.79998168889431442"/>
        <color theme="5" tint="-0.249977111117893"/>
      </colorScale>
    </cfRule>
    <cfRule type="colorScale" priority="429">
      <colorScale>
        <cfvo type="num" val="1"/>
        <cfvo type="num" val="28"/>
        <color theme="7" tint="0.79998168889431442"/>
        <color theme="5" tint="-0.249977111117893"/>
      </colorScale>
    </cfRule>
    <cfRule type="colorScale" priority="430">
      <colorScale>
        <cfvo type="num" val="1"/>
        <cfvo type="num" val="28"/>
        <color theme="7" tint="0.79998168889431442"/>
        <color theme="5" tint="-0.249977111117893"/>
      </colorScale>
    </cfRule>
    <cfRule type="colorScale" priority="431">
      <colorScale>
        <cfvo type="num" val="1"/>
        <cfvo type="num" val="28"/>
        <color theme="7" tint="0.79998168889431442"/>
        <color theme="5" tint="-0.249977111117893"/>
      </colorScale>
    </cfRule>
    <cfRule type="colorScale" priority="432">
      <colorScale>
        <cfvo type="num" val="1"/>
        <cfvo type="num" val="28"/>
        <color theme="7" tint="0.79998168889431442"/>
        <color theme="5" tint="-0.249977111117893"/>
      </colorScale>
    </cfRule>
    <cfRule type="colorScale" priority="433">
      <colorScale>
        <cfvo type="num" val="1"/>
        <cfvo type="num" val="28"/>
        <color theme="7" tint="0.79998168889431442"/>
        <color theme="5" tint="-0.249977111117893"/>
      </colorScale>
    </cfRule>
    <cfRule type="colorScale" priority="434">
      <colorScale>
        <cfvo type="num" val="1"/>
        <cfvo type="num" val="28"/>
        <color theme="7" tint="0.79998168889431442"/>
        <color theme="5" tint="-0.249977111117893"/>
      </colorScale>
    </cfRule>
    <cfRule type="colorScale" priority="435">
      <colorScale>
        <cfvo type="num" val="1"/>
        <cfvo type="num" val="28"/>
        <color theme="7" tint="0.79998168889431442"/>
        <color theme="5" tint="-0.249977111117893"/>
      </colorScale>
    </cfRule>
    <cfRule type="colorScale" priority="436">
      <colorScale>
        <cfvo type="num" val="1"/>
        <cfvo type="num" val="28"/>
        <color theme="7" tint="0.79998168889431442"/>
        <color theme="5" tint="-0.249977111117893"/>
      </colorScale>
    </cfRule>
    <cfRule type="colorScale" priority="437">
      <colorScale>
        <cfvo type="num" val="1"/>
        <cfvo type="num" val="28"/>
        <color theme="7" tint="0.79998168889431442"/>
        <color theme="5" tint="-0.249977111117893"/>
      </colorScale>
    </cfRule>
    <cfRule type="colorScale" priority="438">
      <colorScale>
        <cfvo type="num" val="1"/>
        <cfvo type="num" val="28"/>
        <color theme="7" tint="0.79998168889431442"/>
        <color theme="5" tint="-0.249977111117893"/>
      </colorScale>
    </cfRule>
    <cfRule type="colorScale" priority="439">
      <colorScale>
        <cfvo type="num" val="1"/>
        <cfvo type="num" val="28"/>
        <color theme="7" tint="0.79998168889431442"/>
        <color theme="5" tint="-0.249977111117893"/>
      </colorScale>
    </cfRule>
    <cfRule type="colorScale" priority="440">
      <colorScale>
        <cfvo type="num" val="1"/>
        <cfvo type="num" val="28"/>
        <color theme="7" tint="0.79998168889431442"/>
        <color theme="5" tint="-0.249977111117893"/>
      </colorScale>
    </cfRule>
    <cfRule type="colorScale" priority="441">
      <colorScale>
        <cfvo type="num" val="1"/>
        <cfvo type="num" val="28"/>
        <color theme="7" tint="0.79998168889431442"/>
        <color theme="5" tint="-0.249977111117893"/>
      </colorScale>
    </cfRule>
    <cfRule type="colorScale" priority="442">
      <colorScale>
        <cfvo type="num" val="1"/>
        <cfvo type="num" val="28"/>
        <color theme="7" tint="0.79998168889431442"/>
        <color theme="5" tint="-0.249977111117893"/>
      </colorScale>
    </cfRule>
    <cfRule type="colorScale" priority="443">
      <colorScale>
        <cfvo type="num" val="1"/>
        <cfvo type="num" val="28"/>
        <color theme="7" tint="0.79998168889431442"/>
        <color theme="5" tint="-0.249977111117893"/>
      </colorScale>
    </cfRule>
    <cfRule type="colorScale" priority="444">
      <colorScale>
        <cfvo type="num" val="1"/>
        <cfvo type="num" val="28"/>
        <color theme="7" tint="0.79998168889431442"/>
        <color theme="5" tint="-0.249977111117893"/>
      </colorScale>
    </cfRule>
    <cfRule type="colorScale" priority="445">
      <colorScale>
        <cfvo type="num" val="1"/>
        <cfvo type="num" val="28"/>
        <color theme="7" tint="0.79998168889431442"/>
        <color theme="5" tint="-0.249977111117893"/>
      </colorScale>
    </cfRule>
    <cfRule type="colorScale" priority="446">
      <colorScale>
        <cfvo type="num" val="1"/>
        <cfvo type="num" val="28"/>
        <color theme="7" tint="0.79998168889431442"/>
        <color theme="5" tint="-0.249977111117893"/>
      </colorScale>
    </cfRule>
    <cfRule type="colorScale" priority="447">
      <colorScale>
        <cfvo type="num" val="1"/>
        <cfvo type="num" val="28"/>
        <color theme="7" tint="0.79998168889431442"/>
        <color theme="5" tint="-0.249977111117893"/>
      </colorScale>
    </cfRule>
    <cfRule type="colorScale" priority="448">
      <colorScale>
        <cfvo type="num" val="1"/>
        <cfvo type="num" val="28"/>
        <color theme="7" tint="0.79998168889431442"/>
        <color theme="5" tint="-0.249977111117893"/>
      </colorScale>
    </cfRule>
    <cfRule type="colorScale" priority="449">
      <colorScale>
        <cfvo type="num" val="1"/>
        <cfvo type="num" val="28"/>
        <color theme="7" tint="0.79998168889431442"/>
        <color theme="5" tint="-0.249977111117893"/>
      </colorScale>
    </cfRule>
    <cfRule type="colorScale" priority="450">
      <colorScale>
        <cfvo type="num" val="1"/>
        <cfvo type="num" val="28"/>
        <color theme="7" tint="0.79998168889431442"/>
        <color theme="5" tint="-0.249977111117893"/>
      </colorScale>
    </cfRule>
    <cfRule type="colorScale" priority="451">
      <colorScale>
        <cfvo type="num" val="1"/>
        <cfvo type="num" val="28"/>
        <color theme="7" tint="0.79998168889431442"/>
        <color theme="5" tint="-0.249977111117893"/>
      </colorScale>
    </cfRule>
    <cfRule type="colorScale" priority="488">
      <colorScale>
        <cfvo type="num" val="1"/>
        <cfvo type="num" val="28"/>
        <color theme="7" tint="0.79998168889431442"/>
        <color theme="5" tint="-0.249977111117893"/>
      </colorScale>
    </cfRule>
    <cfRule type="colorScale" priority="489">
      <colorScale>
        <cfvo type="num" val="1"/>
        <cfvo type="num" val="28"/>
        <color theme="7" tint="0.79998168889431442"/>
        <color theme="5" tint="-0.249977111117893"/>
      </colorScale>
    </cfRule>
    <cfRule type="colorScale" priority="490">
      <colorScale>
        <cfvo type="num" val="1"/>
        <cfvo type="num" val="28"/>
        <color theme="7" tint="0.79998168889431442"/>
        <color theme="5" tint="-0.249977111117893"/>
      </colorScale>
    </cfRule>
    <cfRule type="colorScale" priority="491">
      <colorScale>
        <cfvo type="num" val="1"/>
        <cfvo type="num" val="28"/>
        <color theme="7" tint="0.79998168889431442"/>
        <color theme="5" tint="-0.249977111117893"/>
      </colorScale>
    </cfRule>
    <cfRule type="colorScale" priority="492">
      <colorScale>
        <cfvo type="num" val="1"/>
        <cfvo type="num" val="28"/>
        <color theme="7" tint="0.79998168889431442"/>
        <color theme="5" tint="-0.249977111117893"/>
      </colorScale>
    </cfRule>
    <cfRule type="colorScale" priority="493">
      <colorScale>
        <cfvo type="num" val="1"/>
        <cfvo type="num" val="28"/>
        <color theme="7" tint="0.79998168889431442"/>
        <color theme="5" tint="-0.249977111117893"/>
      </colorScale>
    </cfRule>
    <cfRule type="colorScale" priority="494">
      <colorScale>
        <cfvo type="num" val="1"/>
        <cfvo type="num" val="28"/>
        <color theme="7" tint="0.79998168889431442"/>
        <color theme="5" tint="-0.249977111117893"/>
      </colorScale>
    </cfRule>
    <cfRule type="colorScale" priority="495">
      <colorScale>
        <cfvo type="num" val="1"/>
        <cfvo type="num" val="28"/>
        <color theme="7" tint="0.79998168889431442"/>
        <color theme="5" tint="-0.249977111117893"/>
      </colorScale>
    </cfRule>
    <cfRule type="colorScale" priority="496">
      <colorScale>
        <cfvo type="num" val="1"/>
        <cfvo type="num" val="28"/>
        <color theme="7" tint="0.79998168889431442"/>
        <color theme="5" tint="-0.249977111117893"/>
      </colorScale>
    </cfRule>
    <cfRule type="colorScale" priority="497">
      <colorScale>
        <cfvo type="num" val="1"/>
        <cfvo type="num" val="28"/>
        <color theme="7" tint="0.79998168889431442"/>
        <color theme="5" tint="-0.249977111117893"/>
      </colorScale>
    </cfRule>
    <cfRule type="colorScale" priority="498">
      <colorScale>
        <cfvo type="num" val="1"/>
        <cfvo type="num" val="28"/>
        <color theme="7" tint="0.79998168889431442"/>
        <color theme="5" tint="-0.249977111117893"/>
      </colorScale>
    </cfRule>
    <cfRule type="colorScale" priority="499">
      <colorScale>
        <cfvo type="num" val="1"/>
        <cfvo type="num" val="28"/>
        <color theme="7" tint="0.79998168889431442"/>
        <color theme="5" tint="-0.249977111117893"/>
      </colorScale>
    </cfRule>
    <cfRule type="colorScale" priority="500">
      <colorScale>
        <cfvo type="num" val="1"/>
        <cfvo type="num" val="28"/>
        <color theme="7" tint="0.79998168889431442"/>
        <color theme="5" tint="-0.249977111117893"/>
      </colorScale>
    </cfRule>
    <cfRule type="colorScale" priority="501">
      <colorScale>
        <cfvo type="num" val="1"/>
        <cfvo type="num" val="28"/>
        <color theme="7" tint="0.79998168889431442"/>
        <color theme="5" tint="-0.249977111117893"/>
      </colorScale>
    </cfRule>
    <cfRule type="colorScale" priority="502">
      <colorScale>
        <cfvo type="num" val="1"/>
        <cfvo type="num" val="28"/>
        <color theme="7" tint="0.79998168889431442"/>
        <color theme="5" tint="-0.249977111117893"/>
      </colorScale>
    </cfRule>
    <cfRule type="colorScale" priority="503">
      <colorScale>
        <cfvo type="num" val="1"/>
        <cfvo type="num" val="28"/>
        <color theme="7" tint="0.79998168889431442"/>
        <color theme="5" tint="-0.249977111117893"/>
      </colorScale>
    </cfRule>
    <cfRule type="colorScale" priority="504">
      <colorScale>
        <cfvo type="num" val="1"/>
        <cfvo type="num" val="28"/>
        <color theme="7" tint="0.79998168889431442"/>
        <color theme="5" tint="-0.249977111117893"/>
      </colorScale>
    </cfRule>
    <cfRule type="colorScale" priority="505">
      <colorScale>
        <cfvo type="num" val="1"/>
        <cfvo type="num" val="28"/>
        <color theme="7" tint="0.79998168889431442"/>
        <color theme="5" tint="-0.249977111117893"/>
      </colorScale>
    </cfRule>
    <cfRule type="colorScale" priority="506">
      <colorScale>
        <cfvo type="num" val="1"/>
        <cfvo type="num" val="28"/>
        <color theme="7" tint="0.79998168889431442"/>
        <color theme="5" tint="-0.249977111117893"/>
      </colorScale>
    </cfRule>
    <cfRule type="colorScale" priority="507">
      <colorScale>
        <cfvo type="num" val="1"/>
        <cfvo type="num" val="28"/>
        <color theme="7" tint="0.79998168889431442"/>
        <color theme="5" tint="-0.249977111117893"/>
      </colorScale>
    </cfRule>
  </conditionalFormatting>
  <conditionalFormatting sqref="JZ192:LU194 KH194:MC194 JX190:LW190 KF192:MA192 KD193:MA193">
    <cfRule type="colorScale" priority="741">
      <colorScale>
        <cfvo type="num" val="1"/>
        <cfvo type="num" val="28"/>
        <color theme="7" tint="0.79998168889431442"/>
        <color theme="5" tint="-0.249977111117893"/>
      </colorScale>
    </cfRule>
    <cfRule type="colorScale" priority="742">
      <colorScale>
        <cfvo type="num" val="1"/>
        <cfvo type="num" val="28"/>
        <color theme="7" tint="0.79998168889431442"/>
        <color theme="5" tint="-0.249977111117893"/>
      </colorScale>
    </cfRule>
    <cfRule type="colorScale" priority="743">
      <colorScale>
        <cfvo type="num" val="1"/>
        <cfvo type="num" val="28"/>
        <color theme="7" tint="0.79998168889431442"/>
        <color theme="5" tint="-0.249977111117893"/>
      </colorScale>
    </cfRule>
    <cfRule type="colorScale" priority="744">
      <colorScale>
        <cfvo type="num" val="1"/>
        <cfvo type="num" val="28"/>
        <color theme="7" tint="0.79998168889431442"/>
        <color theme="5" tint="-0.249977111117893"/>
      </colorScale>
    </cfRule>
    <cfRule type="colorScale" priority="745">
      <colorScale>
        <cfvo type="num" val="1"/>
        <cfvo type="num" val="28"/>
        <color theme="7" tint="0.79998168889431442"/>
        <color theme="5" tint="-0.249977111117893"/>
      </colorScale>
    </cfRule>
    <cfRule type="colorScale" priority="746">
      <colorScale>
        <cfvo type="num" val="1"/>
        <cfvo type="num" val="28"/>
        <color theme="7" tint="0.79998168889431442"/>
        <color theme="5" tint="-0.249977111117893"/>
      </colorScale>
    </cfRule>
    <cfRule type="colorScale" priority="747">
      <colorScale>
        <cfvo type="num" val="1"/>
        <cfvo type="num" val="28"/>
        <color theme="7" tint="0.79998168889431442"/>
        <color theme="5" tint="-0.249977111117893"/>
      </colorScale>
    </cfRule>
    <cfRule type="colorScale" priority="748">
      <colorScale>
        <cfvo type="num" val="1"/>
        <cfvo type="num" val="28"/>
        <color theme="7" tint="0.79998168889431442"/>
        <color theme="5" tint="-0.249977111117893"/>
      </colorScale>
    </cfRule>
    <cfRule type="colorScale" priority="749">
      <colorScale>
        <cfvo type="num" val="1"/>
        <cfvo type="num" val="28"/>
        <color theme="7" tint="0.79998168889431442"/>
        <color theme="5" tint="-0.249977111117893"/>
      </colorScale>
    </cfRule>
    <cfRule type="colorScale" priority="750">
      <colorScale>
        <cfvo type="num" val="1"/>
        <cfvo type="num" val="28"/>
        <color theme="7" tint="0.79998168889431442"/>
        <color theme="5" tint="-0.249977111117893"/>
      </colorScale>
    </cfRule>
    <cfRule type="colorScale" priority="751">
      <colorScale>
        <cfvo type="num" val="1"/>
        <cfvo type="num" val="28"/>
        <color theme="7" tint="0.79998168889431442"/>
        <color theme="5" tint="-0.249977111117893"/>
      </colorScale>
    </cfRule>
    <cfRule type="colorScale" priority="752">
      <colorScale>
        <cfvo type="num" val="1"/>
        <cfvo type="num" val="28"/>
        <color theme="7" tint="0.79998168889431442"/>
        <color theme="5" tint="-0.249977111117893"/>
      </colorScale>
    </cfRule>
    <cfRule type="colorScale" priority="753">
      <colorScale>
        <cfvo type="num" val="1"/>
        <cfvo type="num" val="28"/>
        <color theme="7" tint="0.79998168889431442"/>
        <color theme="5" tint="-0.249977111117893"/>
      </colorScale>
    </cfRule>
    <cfRule type="colorScale" priority="754">
      <colorScale>
        <cfvo type="num" val="1"/>
        <cfvo type="num" val="28"/>
        <color theme="7" tint="0.79998168889431442"/>
        <color theme="5" tint="-0.249977111117893"/>
      </colorScale>
    </cfRule>
    <cfRule type="colorScale" priority="755">
      <colorScale>
        <cfvo type="num" val="1"/>
        <cfvo type="num" val="28"/>
        <color theme="7" tint="0.79998168889431442"/>
        <color theme="5" tint="-0.249977111117893"/>
      </colorScale>
    </cfRule>
    <cfRule type="colorScale" priority="756">
      <colorScale>
        <cfvo type="num" val="1"/>
        <cfvo type="num" val="28"/>
        <color theme="7" tint="0.79998168889431442"/>
        <color theme="5" tint="-0.249977111117893"/>
      </colorScale>
    </cfRule>
    <cfRule type="colorScale" priority="757">
      <colorScale>
        <cfvo type="num" val="1"/>
        <cfvo type="num" val="28"/>
        <color theme="7" tint="0.79998168889431442"/>
        <color theme="5" tint="-0.249977111117893"/>
      </colorScale>
    </cfRule>
    <cfRule type="colorScale" priority="758">
      <colorScale>
        <cfvo type="num" val="1"/>
        <cfvo type="num" val="28"/>
        <color theme="7" tint="0.79998168889431442"/>
        <color theme="5" tint="-0.249977111117893"/>
      </colorScale>
    </cfRule>
    <cfRule type="colorScale" priority="759">
      <colorScale>
        <cfvo type="num" val="1"/>
        <cfvo type="num" val="28"/>
        <color theme="7" tint="0.79998168889431442"/>
        <color theme="5" tint="-0.249977111117893"/>
      </colorScale>
    </cfRule>
    <cfRule type="colorScale" priority="760">
      <colorScale>
        <cfvo type="num" val="1"/>
        <cfvo type="num" val="28"/>
        <color theme="7" tint="0.79998168889431442"/>
        <color theme="5" tint="-0.249977111117893"/>
      </colorScale>
    </cfRule>
  </conditionalFormatting>
  <conditionalFormatting sqref="KD191:LY191 JJ186:LE187 JP190:LK191 JJ188:LS190 JZ189:LU189">
    <cfRule type="colorScale" priority="452">
      <colorScale>
        <cfvo type="num" val="1"/>
        <cfvo type="num" val="28"/>
        <color theme="7" tint="0.79998168889431442"/>
        <color theme="5" tint="-0.249977111117893"/>
      </colorScale>
    </cfRule>
    <cfRule type="colorScale" priority="453">
      <colorScale>
        <cfvo type="num" val="1"/>
        <cfvo type="num" val="28"/>
        <color theme="7" tint="0.79998168889431442"/>
        <color theme="5" tint="-0.249977111117893"/>
      </colorScale>
    </cfRule>
    <cfRule type="colorScale" priority="454">
      <colorScale>
        <cfvo type="num" val="1"/>
        <cfvo type="num" val="28"/>
        <color theme="7" tint="0.79998168889431442"/>
        <color theme="5" tint="-0.249977111117893"/>
      </colorScale>
    </cfRule>
    <cfRule type="colorScale" priority="455">
      <colorScale>
        <cfvo type="num" val="1"/>
        <cfvo type="num" val="28"/>
        <color theme="7" tint="0.79998168889431442"/>
        <color theme="5" tint="-0.249977111117893"/>
      </colorScale>
    </cfRule>
    <cfRule type="colorScale" priority="456">
      <colorScale>
        <cfvo type="num" val="1"/>
        <cfvo type="num" val="28"/>
        <color theme="7" tint="0.79998168889431442"/>
        <color theme="5" tint="-0.249977111117893"/>
      </colorScale>
    </cfRule>
    <cfRule type="colorScale" priority="457">
      <colorScale>
        <cfvo type="num" val="1"/>
        <cfvo type="num" val="28"/>
        <color theme="7" tint="0.79998168889431442"/>
        <color theme="5" tint="-0.249977111117893"/>
      </colorScale>
    </cfRule>
    <cfRule type="colorScale" priority="458">
      <colorScale>
        <cfvo type="num" val="1"/>
        <cfvo type="num" val="28"/>
        <color theme="7" tint="0.79998168889431442"/>
        <color theme="5" tint="-0.249977111117893"/>
      </colorScale>
    </cfRule>
    <cfRule type="colorScale" priority="459">
      <colorScale>
        <cfvo type="num" val="1"/>
        <cfvo type="num" val="28"/>
        <color theme="7" tint="0.79998168889431442"/>
        <color theme="5" tint="-0.249977111117893"/>
      </colorScale>
    </cfRule>
    <cfRule type="colorScale" priority="460">
      <colorScale>
        <cfvo type="num" val="1"/>
        <cfvo type="num" val="28"/>
        <color theme="7" tint="0.79998168889431442"/>
        <color theme="5" tint="-0.249977111117893"/>
      </colorScale>
    </cfRule>
    <cfRule type="colorScale" priority="461">
      <colorScale>
        <cfvo type="num" val="1"/>
        <cfvo type="num" val="28"/>
        <color theme="7" tint="0.79998168889431442"/>
        <color theme="5" tint="-0.249977111117893"/>
      </colorScale>
    </cfRule>
    <cfRule type="colorScale" priority="462">
      <colorScale>
        <cfvo type="num" val="1"/>
        <cfvo type="num" val="28"/>
        <color theme="7" tint="0.79998168889431442"/>
        <color theme="5" tint="-0.249977111117893"/>
      </colorScale>
    </cfRule>
    <cfRule type="colorScale" priority="463">
      <colorScale>
        <cfvo type="num" val="1"/>
        <cfvo type="num" val="28"/>
        <color theme="7" tint="0.79998168889431442"/>
        <color theme="5" tint="-0.249977111117893"/>
      </colorScale>
    </cfRule>
    <cfRule type="colorScale" priority="464">
      <colorScale>
        <cfvo type="num" val="1"/>
        <cfvo type="num" val="28"/>
        <color theme="7" tint="0.79998168889431442"/>
        <color theme="5" tint="-0.249977111117893"/>
      </colorScale>
    </cfRule>
    <cfRule type="colorScale" priority="465">
      <colorScale>
        <cfvo type="num" val="1"/>
        <cfvo type="num" val="28"/>
        <color theme="7" tint="0.79998168889431442"/>
        <color theme="5" tint="-0.249977111117893"/>
      </colorScale>
    </cfRule>
    <cfRule type="colorScale" priority="466">
      <colorScale>
        <cfvo type="num" val="1"/>
        <cfvo type="num" val="28"/>
        <color theme="7" tint="0.79998168889431442"/>
        <color theme="5" tint="-0.249977111117893"/>
      </colorScale>
    </cfRule>
    <cfRule type="colorScale" priority="467">
      <colorScale>
        <cfvo type="num" val="1"/>
        <cfvo type="num" val="28"/>
        <color theme="7" tint="0.79998168889431442"/>
        <color theme="5" tint="-0.249977111117893"/>
      </colorScale>
    </cfRule>
    <cfRule type="colorScale" priority="468">
      <colorScale>
        <cfvo type="num" val="1"/>
        <cfvo type="num" val="28"/>
        <color theme="7" tint="0.79998168889431442"/>
        <color theme="5" tint="-0.249977111117893"/>
      </colorScale>
    </cfRule>
    <cfRule type="colorScale" priority="469">
      <colorScale>
        <cfvo type="num" val="1"/>
        <cfvo type="num" val="28"/>
        <color theme="7" tint="0.79998168889431442"/>
        <color theme="5" tint="-0.249977111117893"/>
      </colorScale>
    </cfRule>
    <cfRule type="colorScale" priority="470">
      <colorScale>
        <cfvo type="num" val="1"/>
        <cfvo type="num" val="28"/>
        <color theme="7" tint="0.79998168889431442"/>
        <color theme="5" tint="-0.249977111117893"/>
      </colorScale>
    </cfRule>
    <cfRule type="colorScale" priority="471">
      <colorScale>
        <cfvo type="num" val="1"/>
        <cfvo type="num" val="28"/>
        <color theme="7" tint="0.79998168889431442"/>
        <color theme="5" tint="-0.249977111117893"/>
      </colorScale>
    </cfRule>
  </conditionalFormatting>
  <conditionalFormatting sqref="KD191:LY191">
    <cfRule type="colorScale" priority="331">
      <colorScale>
        <cfvo type="num" val="1"/>
        <cfvo type="num" val="28"/>
        <color theme="7" tint="0.79998168889431442"/>
        <color theme="5" tint="-0.249977111117893"/>
      </colorScale>
    </cfRule>
    <cfRule type="colorScale" priority="332">
      <colorScale>
        <cfvo type="num" val="1"/>
        <cfvo type="num" val="28"/>
        <color theme="7" tint="0.79998168889431442"/>
        <color theme="5" tint="-0.249977111117893"/>
      </colorScale>
    </cfRule>
    <cfRule type="colorScale" priority="333">
      <colorScale>
        <cfvo type="num" val="1"/>
        <cfvo type="num" val="28"/>
        <color theme="7" tint="0.79998168889431442"/>
        <color theme="5" tint="-0.249977111117893"/>
      </colorScale>
    </cfRule>
    <cfRule type="colorScale" priority="334">
      <colorScale>
        <cfvo type="num" val="1"/>
        <cfvo type="num" val="28"/>
        <color theme="7" tint="0.79998168889431442"/>
        <color theme="5" tint="-0.249977111117893"/>
      </colorScale>
    </cfRule>
    <cfRule type="colorScale" priority="335">
      <colorScale>
        <cfvo type="num" val="1"/>
        <cfvo type="num" val="28"/>
        <color theme="7" tint="0.79998168889431442"/>
        <color theme="5" tint="-0.249977111117893"/>
      </colorScale>
    </cfRule>
    <cfRule type="colorScale" priority="336">
      <colorScale>
        <cfvo type="num" val="1"/>
        <cfvo type="num" val="28"/>
        <color theme="7" tint="0.79998168889431442"/>
        <color theme="5" tint="-0.249977111117893"/>
      </colorScale>
    </cfRule>
    <cfRule type="colorScale" priority="337">
      <colorScale>
        <cfvo type="num" val="1"/>
        <cfvo type="num" val="28"/>
        <color theme="7" tint="0.79998168889431442"/>
        <color theme="5" tint="-0.249977111117893"/>
      </colorScale>
    </cfRule>
    <cfRule type="colorScale" priority="338">
      <colorScale>
        <cfvo type="num" val="1"/>
        <cfvo type="num" val="28"/>
        <color theme="7" tint="0.79998168889431442"/>
        <color theme="5" tint="-0.249977111117893"/>
      </colorScale>
    </cfRule>
    <cfRule type="colorScale" priority="339">
      <colorScale>
        <cfvo type="num" val="1"/>
        <cfvo type="num" val="28"/>
        <color theme="7" tint="0.79998168889431442"/>
        <color theme="5" tint="-0.249977111117893"/>
      </colorScale>
    </cfRule>
    <cfRule type="colorScale" priority="340">
      <colorScale>
        <cfvo type="num" val="1"/>
        <cfvo type="num" val="28"/>
        <color theme="7" tint="0.79998168889431442"/>
        <color theme="5" tint="-0.249977111117893"/>
      </colorScale>
    </cfRule>
    <cfRule type="colorScale" priority="341">
      <colorScale>
        <cfvo type="num" val="1"/>
        <cfvo type="num" val="28"/>
        <color theme="7" tint="0.79998168889431442"/>
        <color theme="5" tint="-0.249977111117893"/>
      </colorScale>
    </cfRule>
    <cfRule type="colorScale" priority="342">
      <colorScale>
        <cfvo type="num" val="1"/>
        <cfvo type="num" val="28"/>
        <color theme="7" tint="0.79998168889431442"/>
        <color theme="5" tint="-0.249977111117893"/>
      </colorScale>
    </cfRule>
    <cfRule type="colorScale" priority="343">
      <colorScale>
        <cfvo type="num" val="1"/>
        <cfvo type="num" val="28"/>
        <color theme="7" tint="0.79998168889431442"/>
        <color theme="5" tint="-0.249977111117893"/>
      </colorScale>
    </cfRule>
    <cfRule type="colorScale" priority="344">
      <colorScale>
        <cfvo type="num" val="1"/>
        <cfvo type="num" val="28"/>
        <color theme="7" tint="0.79998168889431442"/>
        <color theme="5" tint="-0.249977111117893"/>
      </colorScale>
    </cfRule>
    <cfRule type="colorScale" priority="345">
      <colorScale>
        <cfvo type="num" val="1"/>
        <cfvo type="num" val="28"/>
        <color theme="7" tint="0.79998168889431442"/>
        <color theme="5" tint="-0.249977111117893"/>
      </colorScale>
    </cfRule>
    <cfRule type="colorScale" priority="346">
      <colorScale>
        <cfvo type="num" val="1"/>
        <cfvo type="num" val="28"/>
        <color theme="7" tint="0.79998168889431442"/>
        <color theme="5" tint="-0.249977111117893"/>
      </colorScale>
    </cfRule>
    <cfRule type="colorScale" priority="347">
      <colorScale>
        <cfvo type="num" val="1"/>
        <cfvo type="num" val="28"/>
        <color theme="7" tint="0.79998168889431442"/>
        <color theme="5" tint="-0.249977111117893"/>
      </colorScale>
    </cfRule>
    <cfRule type="colorScale" priority="348">
      <colorScale>
        <cfvo type="num" val="1"/>
        <cfvo type="num" val="28"/>
        <color theme="7" tint="0.79998168889431442"/>
        <color theme="5" tint="-0.249977111117893"/>
      </colorScale>
    </cfRule>
    <cfRule type="colorScale" priority="349">
      <colorScale>
        <cfvo type="num" val="1"/>
        <cfvo type="num" val="28"/>
        <color theme="7" tint="0.79998168889431442"/>
        <color theme="5" tint="-0.249977111117893"/>
      </colorScale>
    </cfRule>
    <cfRule type="colorScale" priority="350">
      <colorScale>
        <cfvo type="num" val="1"/>
        <cfvo type="num" val="28"/>
        <color theme="7" tint="0.79998168889431442"/>
        <color theme="5" tint="-0.249977111117893"/>
      </colorScale>
    </cfRule>
    <cfRule type="colorScale" priority="351">
      <colorScale>
        <cfvo type="num" val="1"/>
        <cfvo type="num" val="28"/>
        <color theme="7" tint="0.79998168889431442"/>
        <color theme="5" tint="-0.249977111117893"/>
      </colorScale>
    </cfRule>
    <cfRule type="colorScale" priority="352">
      <colorScale>
        <cfvo type="num" val="1"/>
        <cfvo type="num" val="28"/>
        <color theme="7" tint="0.79998168889431442"/>
        <color theme="5" tint="-0.249977111117893"/>
      </colorScale>
    </cfRule>
    <cfRule type="colorScale" priority="353">
      <colorScale>
        <cfvo type="num" val="1"/>
        <cfvo type="num" val="28"/>
        <color theme="7" tint="0.79998168889431442"/>
        <color theme="5" tint="-0.249977111117893"/>
      </colorScale>
    </cfRule>
    <cfRule type="colorScale" priority="354">
      <colorScale>
        <cfvo type="num" val="1"/>
        <cfvo type="num" val="28"/>
        <color theme="7" tint="0.79998168889431442"/>
        <color theme="5" tint="-0.249977111117893"/>
      </colorScale>
    </cfRule>
    <cfRule type="colorScale" priority="355">
      <colorScale>
        <cfvo type="num" val="1"/>
        <cfvo type="num" val="28"/>
        <color theme="7" tint="0.79998168889431442"/>
        <color theme="5" tint="-0.249977111117893"/>
      </colorScale>
    </cfRule>
    <cfRule type="colorScale" priority="356">
      <colorScale>
        <cfvo type="num" val="1"/>
        <cfvo type="num" val="28"/>
        <color theme="7" tint="0.79998168889431442"/>
        <color theme="5" tint="-0.249977111117893"/>
      </colorScale>
    </cfRule>
    <cfRule type="colorScale" priority="357">
      <colorScale>
        <cfvo type="num" val="1"/>
        <cfvo type="num" val="28"/>
        <color theme="7" tint="0.79998168889431442"/>
        <color theme="5" tint="-0.249977111117893"/>
      </colorScale>
    </cfRule>
    <cfRule type="colorScale" priority="358">
      <colorScale>
        <cfvo type="num" val="1"/>
        <cfvo type="num" val="28"/>
        <color theme="7" tint="0.79998168889431442"/>
        <color theme="5" tint="-0.249977111117893"/>
      </colorScale>
    </cfRule>
    <cfRule type="colorScale" priority="359">
      <colorScale>
        <cfvo type="num" val="1"/>
        <cfvo type="num" val="28"/>
        <color theme="7" tint="0.79998168889431442"/>
        <color theme="5" tint="-0.249977111117893"/>
      </colorScale>
    </cfRule>
    <cfRule type="colorScale" priority="360">
      <colorScale>
        <cfvo type="num" val="1"/>
        <cfvo type="num" val="28"/>
        <color theme="7" tint="0.79998168889431442"/>
        <color theme="5" tint="-0.249977111117893"/>
      </colorScale>
    </cfRule>
    <cfRule type="colorScale" priority="361">
      <colorScale>
        <cfvo type="num" val="1"/>
        <cfvo type="num" val="28"/>
        <color theme="7" tint="0.79998168889431442"/>
        <color theme="5" tint="-0.249977111117893"/>
      </colorScale>
    </cfRule>
    <cfRule type="colorScale" priority="362">
      <colorScale>
        <cfvo type="num" val="1"/>
        <cfvo type="num" val="28"/>
        <color theme="7" tint="0.79998168889431442"/>
        <color theme="5" tint="-0.249977111117893"/>
      </colorScale>
    </cfRule>
    <cfRule type="colorScale" priority="363">
      <colorScale>
        <cfvo type="num" val="1"/>
        <cfvo type="num" val="28"/>
        <color theme="7" tint="0.79998168889431442"/>
        <color theme="5" tint="-0.249977111117893"/>
      </colorScale>
    </cfRule>
    <cfRule type="colorScale" priority="364">
      <colorScale>
        <cfvo type="num" val="1"/>
        <cfvo type="num" val="28"/>
        <color theme="7" tint="0.79998168889431442"/>
        <color theme="5" tint="-0.249977111117893"/>
      </colorScale>
    </cfRule>
    <cfRule type="colorScale" priority="365">
      <colorScale>
        <cfvo type="num" val="1"/>
        <cfvo type="num" val="28"/>
        <color theme="7" tint="0.79998168889431442"/>
        <color theme="5" tint="-0.249977111117893"/>
      </colorScale>
    </cfRule>
    <cfRule type="colorScale" priority="366">
      <colorScale>
        <cfvo type="num" val="1"/>
        <cfvo type="num" val="28"/>
        <color theme="7" tint="0.79998168889431442"/>
        <color theme="5" tint="-0.249977111117893"/>
      </colorScale>
    </cfRule>
    <cfRule type="colorScale" priority="367">
      <colorScale>
        <cfvo type="num" val="1"/>
        <cfvo type="num" val="28"/>
        <color theme="7" tint="0.79998168889431442"/>
        <color theme="5" tint="-0.249977111117893"/>
      </colorScale>
    </cfRule>
    <cfRule type="colorScale" priority="368">
      <colorScale>
        <cfvo type="num" val="1"/>
        <cfvo type="num" val="28"/>
        <color theme="7" tint="0.79998168889431442"/>
        <color theme="5" tint="-0.249977111117893"/>
      </colorScale>
    </cfRule>
    <cfRule type="colorScale" priority="369">
      <colorScale>
        <cfvo type="num" val="1"/>
        <cfvo type="num" val="28"/>
        <color theme="7" tint="0.79998168889431442"/>
        <color theme="5" tint="-0.249977111117893"/>
      </colorScale>
    </cfRule>
    <cfRule type="colorScale" priority="370">
      <colorScale>
        <cfvo type="num" val="1"/>
        <cfvo type="num" val="28"/>
        <color theme="7" tint="0.79998168889431442"/>
        <color theme="5" tint="-0.249977111117893"/>
      </colorScale>
    </cfRule>
    <cfRule type="colorScale" priority="371">
      <colorScale>
        <cfvo type="num" val="1"/>
        <cfvo type="num" val="28"/>
        <color theme="7" tint="0.79998168889431442"/>
        <color theme="5" tint="-0.249977111117893"/>
      </colorScale>
    </cfRule>
    <cfRule type="colorScale" priority="372">
      <colorScale>
        <cfvo type="num" val="1"/>
        <cfvo type="num" val="28"/>
        <color theme="7" tint="0.79998168889431442"/>
        <color theme="5" tint="-0.249977111117893"/>
      </colorScale>
    </cfRule>
    <cfRule type="colorScale" priority="373">
      <colorScale>
        <cfvo type="num" val="1"/>
        <cfvo type="num" val="28"/>
        <color theme="7" tint="0.79998168889431442"/>
        <color theme="5" tint="-0.249977111117893"/>
      </colorScale>
    </cfRule>
    <cfRule type="colorScale" priority="374">
      <colorScale>
        <cfvo type="num" val="1"/>
        <cfvo type="num" val="28"/>
        <color theme="7" tint="0.79998168889431442"/>
        <color theme="5" tint="-0.249977111117893"/>
      </colorScale>
    </cfRule>
    <cfRule type="colorScale" priority="375">
      <colorScale>
        <cfvo type="num" val="1"/>
        <cfvo type="num" val="28"/>
        <color theme="7" tint="0.79998168889431442"/>
        <color theme="5" tint="-0.249977111117893"/>
      </colorScale>
    </cfRule>
    <cfRule type="colorScale" priority="376">
      <colorScale>
        <cfvo type="num" val="1"/>
        <cfvo type="num" val="28"/>
        <color theme="7" tint="0.79998168889431442"/>
        <color theme="5" tint="-0.249977111117893"/>
      </colorScale>
    </cfRule>
    <cfRule type="colorScale" priority="377">
      <colorScale>
        <cfvo type="num" val="1"/>
        <cfvo type="num" val="28"/>
        <color theme="7" tint="0.79998168889431442"/>
        <color theme="5" tint="-0.249977111117893"/>
      </colorScale>
    </cfRule>
    <cfRule type="colorScale" priority="378">
      <colorScale>
        <cfvo type="num" val="1"/>
        <cfvo type="num" val="28"/>
        <color theme="7" tint="0.79998168889431442"/>
        <color theme="5" tint="-0.249977111117893"/>
      </colorScale>
    </cfRule>
    <cfRule type="colorScale" priority="379">
      <colorScale>
        <cfvo type="num" val="1"/>
        <cfvo type="num" val="28"/>
        <color theme="7" tint="0.79998168889431442"/>
        <color theme="5" tint="-0.249977111117893"/>
      </colorScale>
    </cfRule>
    <cfRule type="colorScale" priority="380">
      <colorScale>
        <cfvo type="num" val="1"/>
        <cfvo type="num" val="28"/>
        <color theme="7" tint="0.79998168889431442"/>
        <color theme="5" tint="-0.249977111117893"/>
      </colorScale>
    </cfRule>
    <cfRule type="colorScale" priority="381">
      <colorScale>
        <cfvo type="num" val="1"/>
        <cfvo type="num" val="28"/>
        <color theme="7" tint="0.79998168889431442"/>
        <color theme="5" tint="-0.249977111117893"/>
      </colorScale>
    </cfRule>
    <cfRule type="colorScale" priority="382">
      <colorScale>
        <cfvo type="num" val="1"/>
        <cfvo type="num" val="28"/>
        <color theme="7" tint="0.79998168889431442"/>
        <color theme="5" tint="-0.249977111117893"/>
      </colorScale>
    </cfRule>
    <cfRule type="colorScale" priority="383">
      <colorScale>
        <cfvo type="num" val="1"/>
        <cfvo type="num" val="28"/>
        <color theme="7" tint="0.79998168889431442"/>
        <color theme="5" tint="-0.249977111117893"/>
      </colorScale>
    </cfRule>
    <cfRule type="colorScale" priority="384">
      <colorScale>
        <cfvo type="num" val="1"/>
        <cfvo type="num" val="28"/>
        <color theme="7" tint="0.79998168889431442"/>
        <color theme="5" tint="-0.249977111117893"/>
      </colorScale>
    </cfRule>
    <cfRule type="colorScale" priority="385">
      <colorScale>
        <cfvo type="num" val="1"/>
        <cfvo type="num" val="28"/>
        <color theme="7" tint="0.79998168889431442"/>
        <color theme="5" tint="-0.249977111117893"/>
      </colorScale>
    </cfRule>
    <cfRule type="colorScale" priority="386">
      <colorScale>
        <cfvo type="num" val="1"/>
        <cfvo type="num" val="28"/>
        <color theme="7" tint="0.79998168889431442"/>
        <color theme="5" tint="-0.249977111117893"/>
      </colorScale>
    </cfRule>
    <cfRule type="colorScale" priority="387">
      <colorScale>
        <cfvo type="num" val="1"/>
        <cfvo type="num" val="28"/>
        <color theme="7" tint="0.79998168889431442"/>
        <color theme="5" tint="-0.249977111117893"/>
      </colorScale>
    </cfRule>
    <cfRule type="colorScale" priority="388">
      <colorScale>
        <cfvo type="num" val="1"/>
        <cfvo type="num" val="28"/>
        <color theme="7" tint="0.79998168889431442"/>
        <color theme="5" tint="-0.249977111117893"/>
      </colorScale>
    </cfRule>
    <cfRule type="colorScale" priority="389">
      <colorScale>
        <cfvo type="num" val="1"/>
        <cfvo type="num" val="28"/>
        <color theme="7" tint="0.79998168889431442"/>
        <color theme="5" tint="-0.249977111117893"/>
      </colorScale>
    </cfRule>
    <cfRule type="colorScale" priority="390">
      <colorScale>
        <cfvo type="num" val="1"/>
        <cfvo type="num" val="28"/>
        <color theme="7" tint="0.79998168889431442"/>
        <color theme="5" tint="-0.249977111117893"/>
      </colorScale>
    </cfRule>
  </conditionalFormatting>
  <conditionalFormatting sqref="KF193:MA193">
    <cfRule type="colorScale" priority="1">
      <colorScale>
        <cfvo type="num" val="1"/>
        <cfvo type="num" val="28"/>
        <color theme="7" tint="0.79998168889431442"/>
        <color theme="5" tint="-0.249977111117893"/>
      </colorScale>
    </cfRule>
    <cfRule type="colorScale" priority="2">
      <colorScale>
        <cfvo type="num" val="1"/>
        <cfvo type="num" val="28"/>
        <color theme="7" tint="0.79998168889431442"/>
        <color theme="5" tint="-0.249977111117893"/>
      </colorScale>
    </cfRule>
    <cfRule type="colorScale" priority="3">
      <colorScale>
        <cfvo type="num" val="1"/>
        <cfvo type="num" val="28"/>
        <color theme="7" tint="0.79998168889431442"/>
        <color theme="5" tint="-0.249977111117893"/>
      </colorScale>
    </cfRule>
    <cfRule type="colorScale" priority="4">
      <colorScale>
        <cfvo type="num" val="1"/>
        <cfvo type="num" val="28"/>
        <color theme="7" tint="0.79998168889431442"/>
        <color theme="5" tint="-0.249977111117893"/>
      </colorScale>
    </cfRule>
    <cfRule type="colorScale" priority="5">
      <colorScale>
        <cfvo type="num" val="1"/>
        <cfvo type="num" val="28"/>
        <color theme="7" tint="0.79998168889431442"/>
        <color theme="5" tint="-0.249977111117893"/>
      </colorScale>
    </cfRule>
    <cfRule type="colorScale" priority="6">
      <colorScale>
        <cfvo type="num" val="1"/>
        <cfvo type="num" val="28"/>
        <color theme="7" tint="0.79998168889431442"/>
        <color theme="5" tint="-0.249977111117893"/>
      </colorScale>
    </cfRule>
    <cfRule type="colorScale" priority="7">
      <colorScale>
        <cfvo type="num" val="1"/>
        <cfvo type="num" val="28"/>
        <color theme="7" tint="0.79998168889431442"/>
        <color theme="5" tint="-0.249977111117893"/>
      </colorScale>
    </cfRule>
    <cfRule type="colorScale" priority="8">
      <colorScale>
        <cfvo type="num" val="1"/>
        <cfvo type="num" val="28"/>
        <color theme="7" tint="0.79998168889431442"/>
        <color theme="5" tint="-0.249977111117893"/>
      </colorScale>
    </cfRule>
    <cfRule type="colorScale" priority="9">
      <colorScale>
        <cfvo type="num" val="1"/>
        <cfvo type="num" val="28"/>
        <color theme="7" tint="0.79998168889431442"/>
        <color theme="5" tint="-0.249977111117893"/>
      </colorScale>
    </cfRule>
    <cfRule type="colorScale" priority="10">
      <colorScale>
        <cfvo type="num" val="1"/>
        <cfvo type="num" val="28"/>
        <color theme="7" tint="0.79998168889431442"/>
        <color theme="5" tint="-0.249977111117893"/>
      </colorScale>
    </cfRule>
    <cfRule type="colorScale" priority="11">
      <colorScale>
        <cfvo type="num" val="1"/>
        <cfvo type="num" val="28"/>
        <color theme="7" tint="0.79998168889431442"/>
        <color theme="5" tint="-0.249977111117893"/>
      </colorScale>
    </cfRule>
    <cfRule type="colorScale" priority="12">
      <colorScale>
        <cfvo type="num" val="1"/>
        <cfvo type="num" val="28"/>
        <color theme="7" tint="0.79998168889431442"/>
        <color theme="5" tint="-0.249977111117893"/>
      </colorScale>
    </cfRule>
    <cfRule type="colorScale" priority="13">
      <colorScale>
        <cfvo type="num" val="1"/>
        <cfvo type="num" val="28"/>
        <color theme="7" tint="0.79998168889431442"/>
        <color theme="5" tint="-0.249977111117893"/>
      </colorScale>
    </cfRule>
    <cfRule type="colorScale" priority="14">
      <colorScale>
        <cfvo type="num" val="1"/>
        <cfvo type="num" val="28"/>
        <color theme="7" tint="0.79998168889431442"/>
        <color theme="5" tint="-0.249977111117893"/>
      </colorScale>
    </cfRule>
    <cfRule type="colorScale" priority="15">
      <colorScale>
        <cfvo type="num" val="1"/>
        <cfvo type="num" val="28"/>
        <color theme="7" tint="0.79998168889431442"/>
        <color theme="5" tint="-0.249977111117893"/>
      </colorScale>
    </cfRule>
    <cfRule type="colorScale" priority="16">
      <colorScale>
        <cfvo type="num" val="1"/>
        <cfvo type="num" val="28"/>
        <color theme="7" tint="0.79998168889431442"/>
        <color theme="5" tint="-0.249977111117893"/>
      </colorScale>
    </cfRule>
    <cfRule type="colorScale" priority="17">
      <colorScale>
        <cfvo type="num" val="1"/>
        <cfvo type="num" val="28"/>
        <color theme="7" tint="0.79998168889431442"/>
        <color theme="5" tint="-0.249977111117893"/>
      </colorScale>
    </cfRule>
    <cfRule type="colorScale" priority="18">
      <colorScale>
        <cfvo type="num" val="1"/>
        <cfvo type="num" val="28"/>
        <color theme="7" tint="0.79998168889431442"/>
        <color theme="5" tint="-0.249977111117893"/>
      </colorScale>
    </cfRule>
    <cfRule type="colorScale" priority="19">
      <colorScale>
        <cfvo type="num" val="1"/>
        <cfvo type="num" val="28"/>
        <color theme="7" tint="0.79998168889431442"/>
        <color theme="5" tint="-0.249977111117893"/>
      </colorScale>
    </cfRule>
    <cfRule type="colorScale" priority="20">
      <colorScale>
        <cfvo type="num" val="1"/>
        <cfvo type="num" val="28"/>
        <color theme="7" tint="0.79998168889431442"/>
        <color theme="5" tint="-0.249977111117893"/>
      </colorScale>
    </cfRule>
    <cfRule type="colorScale" priority="21">
      <colorScale>
        <cfvo type="num" val="1"/>
        <cfvo type="num" val="28"/>
        <color theme="7" tint="0.79998168889431442"/>
        <color theme="5" tint="-0.249977111117893"/>
      </colorScale>
    </cfRule>
    <cfRule type="colorScale" priority="22">
      <colorScale>
        <cfvo type="num" val="1"/>
        <cfvo type="num" val="28"/>
        <color theme="7" tint="0.79998168889431442"/>
        <color theme="5" tint="-0.249977111117893"/>
      </colorScale>
    </cfRule>
    <cfRule type="colorScale" priority="23">
      <colorScale>
        <cfvo type="num" val="1"/>
        <cfvo type="num" val="28"/>
        <color theme="7" tint="0.79998168889431442"/>
        <color theme="5" tint="-0.249977111117893"/>
      </colorScale>
    </cfRule>
    <cfRule type="colorScale" priority="24">
      <colorScale>
        <cfvo type="num" val="1"/>
        <cfvo type="num" val="28"/>
        <color theme="7" tint="0.79998168889431442"/>
        <color theme="5" tint="-0.249977111117893"/>
      </colorScale>
    </cfRule>
    <cfRule type="colorScale" priority="25">
      <colorScale>
        <cfvo type="num" val="1"/>
        <cfvo type="num" val="28"/>
        <color theme="7" tint="0.79998168889431442"/>
        <color theme="5" tint="-0.249977111117893"/>
      </colorScale>
    </cfRule>
    <cfRule type="colorScale" priority="26">
      <colorScale>
        <cfvo type="num" val="1"/>
        <cfvo type="num" val="28"/>
        <color theme="7" tint="0.79998168889431442"/>
        <color theme="5" tint="-0.249977111117893"/>
      </colorScale>
    </cfRule>
    <cfRule type="colorScale" priority="27">
      <colorScale>
        <cfvo type="num" val="1"/>
        <cfvo type="num" val="28"/>
        <color theme="7" tint="0.79998168889431442"/>
        <color theme="5" tint="-0.249977111117893"/>
      </colorScale>
    </cfRule>
    <cfRule type="colorScale" priority="28">
      <colorScale>
        <cfvo type="num" val="1"/>
        <cfvo type="num" val="28"/>
        <color theme="7" tint="0.79998168889431442"/>
        <color theme="5" tint="-0.249977111117893"/>
      </colorScale>
    </cfRule>
    <cfRule type="colorScale" priority="29">
      <colorScale>
        <cfvo type="num" val="1"/>
        <cfvo type="num" val="28"/>
        <color theme="7" tint="0.79998168889431442"/>
        <color theme="5" tint="-0.249977111117893"/>
      </colorScale>
    </cfRule>
    <cfRule type="colorScale" priority="30">
      <colorScale>
        <cfvo type="num" val="1"/>
        <cfvo type="num" val="28"/>
        <color theme="7" tint="0.79998168889431442"/>
        <color theme="5" tint="-0.249977111117893"/>
      </colorScale>
    </cfRule>
    <cfRule type="colorScale" priority="31">
      <colorScale>
        <cfvo type="num" val="1"/>
        <cfvo type="num" val="28"/>
        <color theme="7" tint="0.79998168889431442"/>
        <color theme="5" tint="-0.249977111117893"/>
      </colorScale>
    </cfRule>
    <cfRule type="colorScale" priority="32">
      <colorScale>
        <cfvo type="num" val="1"/>
        <cfvo type="num" val="28"/>
        <color theme="7" tint="0.79998168889431442"/>
        <color theme="5" tint="-0.249977111117893"/>
      </colorScale>
    </cfRule>
    <cfRule type="colorScale" priority="33">
      <colorScale>
        <cfvo type="num" val="1"/>
        <cfvo type="num" val="28"/>
        <color theme="7" tint="0.79998168889431442"/>
        <color theme="5" tint="-0.249977111117893"/>
      </colorScale>
    </cfRule>
    <cfRule type="colorScale" priority="34">
      <colorScale>
        <cfvo type="num" val="1"/>
        <cfvo type="num" val="28"/>
        <color theme="7" tint="0.79998168889431442"/>
        <color theme="5" tint="-0.249977111117893"/>
      </colorScale>
    </cfRule>
    <cfRule type="colorScale" priority="35">
      <colorScale>
        <cfvo type="num" val="1"/>
        <cfvo type="num" val="28"/>
        <color theme="7" tint="0.79998168889431442"/>
        <color theme="5" tint="-0.249977111117893"/>
      </colorScale>
    </cfRule>
    <cfRule type="colorScale" priority="36">
      <colorScale>
        <cfvo type="num" val="1"/>
        <cfvo type="num" val="28"/>
        <color theme="7" tint="0.79998168889431442"/>
        <color theme="5" tint="-0.249977111117893"/>
      </colorScale>
    </cfRule>
    <cfRule type="colorScale" priority="37">
      <colorScale>
        <cfvo type="num" val="1"/>
        <cfvo type="num" val="28"/>
        <color theme="7" tint="0.79998168889431442"/>
        <color theme="5" tint="-0.249977111117893"/>
      </colorScale>
    </cfRule>
    <cfRule type="colorScale" priority="38">
      <colorScale>
        <cfvo type="num" val="1"/>
        <cfvo type="num" val="28"/>
        <color theme="7" tint="0.79998168889431442"/>
        <color theme="5" tint="-0.249977111117893"/>
      </colorScale>
    </cfRule>
    <cfRule type="colorScale" priority="39">
      <colorScale>
        <cfvo type="num" val="1"/>
        <cfvo type="num" val="28"/>
        <color theme="7" tint="0.79998168889431442"/>
        <color theme="5" tint="-0.249977111117893"/>
      </colorScale>
    </cfRule>
    <cfRule type="colorScale" priority="40">
      <colorScale>
        <cfvo type="num" val="1"/>
        <cfvo type="num" val="28"/>
        <color theme="7" tint="0.79998168889431442"/>
        <color theme="5" tint="-0.249977111117893"/>
      </colorScale>
    </cfRule>
    <cfRule type="colorScale" priority="41">
      <colorScale>
        <cfvo type="num" val="1"/>
        <cfvo type="num" val="28"/>
        <color theme="7" tint="0.79998168889431442"/>
        <color theme="5" tint="-0.249977111117893"/>
      </colorScale>
    </cfRule>
    <cfRule type="colorScale" priority="42">
      <colorScale>
        <cfvo type="num" val="1"/>
        <cfvo type="num" val="28"/>
        <color theme="7" tint="0.79998168889431442"/>
        <color theme="5" tint="-0.249977111117893"/>
      </colorScale>
    </cfRule>
    <cfRule type="colorScale" priority="43">
      <colorScale>
        <cfvo type="num" val="1"/>
        <cfvo type="num" val="28"/>
        <color theme="7" tint="0.79998168889431442"/>
        <color theme="5" tint="-0.249977111117893"/>
      </colorScale>
    </cfRule>
    <cfRule type="colorScale" priority="44">
      <colorScale>
        <cfvo type="num" val="1"/>
        <cfvo type="num" val="28"/>
        <color theme="7" tint="0.79998168889431442"/>
        <color theme="5" tint="-0.249977111117893"/>
      </colorScale>
    </cfRule>
    <cfRule type="colorScale" priority="45">
      <colorScale>
        <cfvo type="num" val="1"/>
        <cfvo type="num" val="28"/>
        <color theme="7" tint="0.79998168889431442"/>
        <color theme="5" tint="-0.249977111117893"/>
      </colorScale>
    </cfRule>
    <cfRule type="colorScale" priority="46">
      <colorScale>
        <cfvo type="num" val="1"/>
        <cfvo type="num" val="28"/>
        <color theme="7" tint="0.79998168889431442"/>
        <color theme="5" tint="-0.249977111117893"/>
      </colorScale>
    </cfRule>
    <cfRule type="colorScale" priority="47">
      <colorScale>
        <cfvo type="num" val="1"/>
        <cfvo type="num" val="28"/>
        <color theme="7" tint="0.79998168889431442"/>
        <color theme="5" tint="-0.249977111117893"/>
      </colorScale>
    </cfRule>
    <cfRule type="colorScale" priority="48">
      <colorScale>
        <cfvo type="num" val="1"/>
        <cfvo type="num" val="28"/>
        <color theme="7" tint="0.79998168889431442"/>
        <color theme="5" tint="-0.249977111117893"/>
      </colorScale>
    </cfRule>
    <cfRule type="colorScale" priority="49">
      <colorScale>
        <cfvo type="num" val="1"/>
        <cfvo type="num" val="28"/>
        <color theme="7" tint="0.79998168889431442"/>
        <color theme="5" tint="-0.249977111117893"/>
      </colorScale>
    </cfRule>
    <cfRule type="colorScale" priority="50">
      <colorScale>
        <cfvo type="num" val="1"/>
        <cfvo type="num" val="28"/>
        <color theme="7" tint="0.79998168889431442"/>
        <color theme="5" tint="-0.249977111117893"/>
      </colorScale>
    </cfRule>
    <cfRule type="colorScale" priority="51">
      <colorScale>
        <cfvo type="num" val="1"/>
        <cfvo type="num" val="28"/>
        <color theme="7" tint="0.79998168889431442"/>
        <color theme="5" tint="-0.249977111117893"/>
      </colorScale>
    </cfRule>
    <cfRule type="colorScale" priority="52">
      <colorScale>
        <cfvo type="num" val="1"/>
        <cfvo type="num" val="28"/>
        <color theme="7" tint="0.79998168889431442"/>
        <color theme="5" tint="-0.249977111117893"/>
      </colorScale>
    </cfRule>
    <cfRule type="colorScale" priority="53">
      <colorScale>
        <cfvo type="num" val="1"/>
        <cfvo type="num" val="28"/>
        <color theme="7" tint="0.79998168889431442"/>
        <color theme="5" tint="-0.249977111117893"/>
      </colorScale>
    </cfRule>
    <cfRule type="colorScale" priority="54">
      <colorScale>
        <cfvo type="num" val="1"/>
        <cfvo type="num" val="28"/>
        <color theme="7" tint="0.79998168889431442"/>
        <color theme="5" tint="-0.249977111117893"/>
      </colorScale>
    </cfRule>
    <cfRule type="colorScale" priority="55">
      <colorScale>
        <cfvo type="num" val="1"/>
        <cfvo type="num" val="28"/>
        <color theme="7" tint="0.79998168889431442"/>
        <color theme="5" tint="-0.249977111117893"/>
      </colorScale>
    </cfRule>
    <cfRule type="colorScale" priority="56">
      <colorScale>
        <cfvo type="num" val="1"/>
        <cfvo type="num" val="28"/>
        <color theme="7" tint="0.79998168889431442"/>
        <color theme="5" tint="-0.249977111117893"/>
      </colorScale>
    </cfRule>
    <cfRule type="colorScale" priority="57">
      <colorScale>
        <cfvo type="num" val="1"/>
        <cfvo type="num" val="28"/>
        <color theme="7" tint="0.79998168889431442"/>
        <color theme="5" tint="-0.249977111117893"/>
      </colorScale>
    </cfRule>
    <cfRule type="colorScale" priority="58">
      <colorScale>
        <cfvo type="num" val="1"/>
        <cfvo type="num" val="28"/>
        <color theme="7" tint="0.79998168889431442"/>
        <color theme="5" tint="-0.249977111117893"/>
      </colorScale>
    </cfRule>
    <cfRule type="colorScale" priority="59">
      <colorScale>
        <cfvo type="num" val="1"/>
        <cfvo type="num" val="28"/>
        <color theme="7" tint="0.79998168889431442"/>
        <color theme="5" tint="-0.249977111117893"/>
      </colorScale>
    </cfRule>
    <cfRule type="colorScale" priority="60">
      <colorScale>
        <cfvo type="num" val="1"/>
        <cfvo type="num" val="28"/>
        <color theme="7" tint="0.79998168889431442"/>
        <color theme="5" tint="-0.249977111117893"/>
      </colorScale>
    </cfRule>
    <cfRule type="colorScale" priority="61">
      <colorScale>
        <cfvo type="num" val="1"/>
        <cfvo type="num" val="28"/>
        <color theme="7" tint="0.79998168889431442"/>
        <color theme="5" tint="-0.249977111117893"/>
      </colorScale>
    </cfRule>
    <cfRule type="colorScale" priority="62">
      <colorScale>
        <cfvo type="num" val="1"/>
        <cfvo type="num" val="28"/>
        <color theme="7" tint="0.79998168889431442"/>
        <color theme="5" tint="-0.249977111117893"/>
      </colorScale>
    </cfRule>
    <cfRule type="colorScale" priority="63">
      <colorScale>
        <cfvo type="num" val="1"/>
        <cfvo type="num" val="28"/>
        <color theme="7" tint="0.79998168889431442"/>
        <color theme="5" tint="-0.249977111117893"/>
      </colorScale>
    </cfRule>
    <cfRule type="colorScale" priority="64">
      <colorScale>
        <cfvo type="num" val="1"/>
        <cfvo type="num" val="28"/>
        <color theme="7" tint="0.79998168889431442"/>
        <color theme="5" tint="-0.249977111117893"/>
      </colorScale>
    </cfRule>
    <cfRule type="colorScale" priority="65">
      <colorScale>
        <cfvo type="num" val="1"/>
        <cfvo type="num" val="28"/>
        <color theme="7" tint="0.79998168889431442"/>
        <color theme="5" tint="-0.249977111117893"/>
      </colorScale>
    </cfRule>
    <cfRule type="colorScale" priority="66">
      <colorScale>
        <cfvo type="num" val="1"/>
        <cfvo type="num" val="28"/>
        <color theme="7" tint="0.79998168889431442"/>
        <color theme="5" tint="-0.249977111117893"/>
      </colorScale>
    </cfRule>
    <cfRule type="colorScale" priority="67">
      <colorScale>
        <cfvo type="num" val="1"/>
        <cfvo type="num" val="28"/>
        <color theme="7" tint="0.79998168889431442"/>
        <color theme="5" tint="-0.249977111117893"/>
      </colorScale>
    </cfRule>
    <cfRule type="colorScale" priority="68">
      <colorScale>
        <cfvo type="num" val="1"/>
        <cfvo type="num" val="28"/>
        <color theme="7" tint="0.79998168889431442"/>
        <color theme="5" tint="-0.249977111117893"/>
      </colorScale>
    </cfRule>
    <cfRule type="colorScale" priority="69">
      <colorScale>
        <cfvo type="num" val="1"/>
        <cfvo type="num" val="28"/>
        <color theme="7" tint="0.79998168889431442"/>
        <color theme="5" tint="-0.249977111117893"/>
      </colorScale>
    </cfRule>
    <cfRule type="colorScale" priority="70">
      <colorScale>
        <cfvo type="num" val="1"/>
        <cfvo type="num" val="28"/>
        <color theme="7" tint="0.79998168889431442"/>
        <color theme="5" tint="-0.249977111117893"/>
      </colorScale>
    </cfRule>
    <cfRule type="colorScale" priority="71">
      <colorScale>
        <cfvo type="num" val="1"/>
        <cfvo type="num" val="28"/>
        <color theme="7" tint="0.79998168889431442"/>
        <color theme="5" tint="-0.249977111117893"/>
      </colorScale>
    </cfRule>
    <cfRule type="colorScale" priority="72">
      <colorScale>
        <cfvo type="num" val="1"/>
        <cfvo type="num" val="28"/>
        <color theme="7" tint="0.79998168889431442"/>
        <color theme="5" tint="-0.249977111117893"/>
      </colorScale>
    </cfRule>
    <cfRule type="colorScale" priority="73">
      <colorScale>
        <cfvo type="num" val="1"/>
        <cfvo type="num" val="28"/>
        <color theme="7" tint="0.79998168889431442"/>
        <color theme="5" tint="-0.249977111117893"/>
      </colorScale>
    </cfRule>
    <cfRule type="colorScale" priority="74">
      <colorScale>
        <cfvo type="num" val="1"/>
        <cfvo type="num" val="28"/>
        <color theme="7" tint="0.79998168889431442"/>
        <color theme="5" tint="-0.249977111117893"/>
      </colorScale>
    </cfRule>
    <cfRule type="colorScale" priority="75">
      <colorScale>
        <cfvo type="num" val="1"/>
        <cfvo type="num" val="28"/>
        <color theme="7" tint="0.79998168889431442"/>
        <color theme="5" tint="-0.249977111117893"/>
      </colorScale>
    </cfRule>
    <cfRule type="colorScale" priority="76">
      <colorScale>
        <cfvo type="num" val="1"/>
        <cfvo type="num" val="28"/>
        <color theme="7" tint="0.79998168889431442"/>
        <color theme="5" tint="-0.249977111117893"/>
      </colorScale>
    </cfRule>
    <cfRule type="colorScale" priority="77">
      <colorScale>
        <cfvo type="num" val="1"/>
        <cfvo type="num" val="28"/>
        <color theme="7" tint="0.79998168889431442"/>
        <color theme="5" tint="-0.249977111117893"/>
      </colorScale>
    </cfRule>
    <cfRule type="colorScale" priority="78">
      <colorScale>
        <cfvo type="num" val="1"/>
        <cfvo type="num" val="28"/>
        <color theme="7" tint="0.79998168889431442"/>
        <color theme="5" tint="-0.249977111117893"/>
      </colorScale>
    </cfRule>
    <cfRule type="colorScale" priority="79">
      <colorScale>
        <cfvo type="num" val="1"/>
        <cfvo type="num" val="28"/>
        <color theme="7" tint="0.79998168889431442"/>
        <color theme="5" tint="-0.249977111117893"/>
      </colorScale>
    </cfRule>
    <cfRule type="colorScale" priority="80">
      <colorScale>
        <cfvo type="num" val="1"/>
        <cfvo type="num" val="28"/>
        <color theme="7" tint="0.79998168889431442"/>
        <color theme="5" tint="-0.249977111117893"/>
      </colorScale>
    </cfRule>
    <cfRule type="colorScale" priority="81">
      <colorScale>
        <cfvo type="num" val="1"/>
        <cfvo type="num" val="28"/>
        <color theme="7" tint="0.79998168889431442"/>
        <color theme="5" tint="-0.249977111117893"/>
      </colorScale>
    </cfRule>
    <cfRule type="colorScale" priority="82">
      <colorScale>
        <cfvo type="num" val="1"/>
        <cfvo type="num" val="28"/>
        <color theme="7" tint="0.79998168889431442"/>
        <color theme="5" tint="-0.249977111117893"/>
      </colorScale>
    </cfRule>
    <cfRule type="colorScale" priority="83">
      <colorScale>
        <cfvo type="num" val="1"/>
        <cfvo type="num" val="28"/>
        <color theme="7" tint="0.79998168889431442"/>
        <color theme="5" tint="-0.249977111117893"/>
      </colorScale>
    </cfRule>
    <cfRule type="colorScale" priority="84">
      <colorScale>
        <cfvo type="num" val="1"/>
        <cfvo type="num" val="28"/>
        <color theme="7" tint="0.79998168889431442"/>
        <color theme="5" tint="-0.249977111117893"/>
      </colorScale>
    </cfRule>
    <cfRule type="colorScale" priority="85">
      <colorScale>
        <cfvo type="num" val="1"/>
        <cfvo type="num" val="28"/>
        <color theme="7" tint="0.79998168889431442"/>
        <color theme="5" tint="-0.249977111117893"/>
      </colorScale>
    </cfRule>
    <cfRule type="colorScale" priority="86">
      <colorScale>
        <cfvo type="num" val="1"/>
        <cfvo type="num" val="28"/>
        <color theme="7" tint="0.79998168889431442"/>
        <color theme="5" tint="-0.249977111117893"/>
      </colorScale>
    </cfRule>
    <cfRule type="colorScale" priority="87">
      <colorScale>
        <cfvo type="num" val="1"/>
        <cfvo type="num" val="28"/>
        <color theme="7" tint="0.79998168889431442"/>
        <color theme="5" tint="-0.249977111117893"/>
      </colorScale>
    </cfRule>
    <cfRule type="colorScale" priority="88">
      <colorScale>
        <cfvo type="num" val="1"/>
        <cfvo type="num" val="28"/>
        <color theme="7" tint="0.79998168889431442"/>
        <color theme="5" tint="-0.249977111117893"/>
      </colorScale>
    </cfRule>
    <cfRule type="colorScale" priority="89">
      <colorScale>
        <cfvo type="num" val="1"/>
        <cfvo type="num" val="28"/>
        <color theme="7" tint="0.79998168889431442"/>
        <color theme="5" tint="-0.249977111117893"/>
      </colorScale>
    </cfRule>
    <cfRule type="colorScale" priority="90">
      <colorScale>
        <cfvo type="num" val="1"/>
        <cfvo type="num" val="28"/>
        <color theme="7" tint="0.79998168889431442"/>
        <color theme="5" tint="-0.249977111117893"/>
      </colorScale>
    </cfRule>
    <cfRule type="colorScale" priority="91">
      <colorScale>
        <cfvo type="num" val="1"/>
        <cfvo type="num" val="28"/>
        <color theme="7" tint="0.79998168889431442"/>
        <color theme="5" tint="-0.249977111117893"/>
      </colorScale>
    </cfRule>
    <cfRule type="colorScale" priority="92">
      <colorScale>
        <cfvo type="num" val="1"/>
        <cfvo type="num" val="28"/>
        <color theme="7" tint="0.79998168889431442"/>
        <color theme="5" tint="-0.249977111117893"/>
      </colorScale>
    </cfRule>
    <cfRule type="colorScale" priority="93">
      <colorScale>
        <cfvo type="num" val="1"/>
        <cfvo type="num" val="28"/>
        <color theme="7" tint="0.79998168889431442"/>
        <color theme="5" tint="-0.249977111117893"/>
      </colorScale>
    </cfRule>
    <cfRule type="colorScale" priority="94">
      <colorScale>
        <cfvo type="num" val="1"/>
        <cfvo type="num" val="28"/>
        <color theme="7" tint="0.79998168889431442"/>
        <color theme="5" tint="-0.249977111117893"/>
      </colorScale>
    </cfRule>
    <cfRule type="colorScale" priority="95">
      <colorScale>
        <cfvo type="num" val="1"/>
        <cfvo type="num" val="28"/>
        <color theme="7" tint="0.79998168889431442"/>
        <color theme="5" tint="-0.249977111117893"/>
      </colorScale>
    </cfRule>
    <cfRule type="colorScale" priority="96">
      <colorScale>
        <cfvo type="num" val="1"/>
        <cfvo type="num" val="28"/>
        <color theme="7" tint="0.79998168889431442"/>
        <color theme="5" tint="-0.249977111117893"/>
      </colorScale>
    </cfRule>
    <cfRule type="colorScale" priority="97">
      <colorScale>
        <cfvo type="num" val="1"/>
        <cfvo type="num" val="28"/>
        <color theme="7" tint="0.79998168889431442"/>
        <color theme="5" tint="-0.249977111117893"/>
      </colorScale>
    </cfRule>
    <cfRule type="colorScale" priority="98">
      <colorScale>
        <cfvo type="num" val="1"/>
        <cfvo type="num" val="28"/>
        <color theme="7" tint="0.79998168889431442"/>
        <color theme="5" tint="-0.249977111117893"/>
      </colorScale>
    </cfRule>
    <cfRule type="colorScale" priority="99">
      <colorScale>
        <cfvo type="num" val="1"/>
        <cfvo type="num" val="28"/>
        <color theme="7" tint="0.79998168889431442"/>
        <color theme="5" tint="-0.249977111117893"/>
      </colorScale>
    </cfRule>
    <cfRule type="colorScale" priority="100">
      <colorScale>
        <cfvo type="num" val="1"/>
        <cfvo type="num" val="28"/>
        <color theme="7" tint="0.79998168889431442"/>
        <color theme="5" tint="-0.249977111117893"/>
      </colorScale>
    </cfRule>
    <cfRule type="colorScale" priority="101">
      <colorScale>
        <cfvo type="num" val="1"/>
        <cfvo type="num" val="28"/>
        <color theme="7" tint="0.79998168889431442"/>
        <color theme="5" tint="-0.249977111117893"/>
      </colorScale>
    </cfRule>
    <cfRule type="colorScale" priority="102">
      <colorScale>
        <cfvo type="num" val="1"/>
        <cfvo type="num" val="28"/>
        <color theme="7" tint="0.79998168889431442"/>
        <color theme="5" tint="-0.249977111117893"/>
      </colorScale>
    </cfRule>
    <cfRule type="colorScale" priority="103">
      <colorScale>
        <cfvo type="num" val="1"/>
        <cfvo type="num" val="28"/>
        <color theme="7" tint="0.79998168889431442"/>
        <color theme="5" tint="-0.249977111117893"/>
      </colorScale>
    </cfRule>
    <cfRule type="colorScale" priority="104">
      <colorScale>
        <cfvo type="num" val="1"/>
        <cfvo type="num" val="28"/>
        <color theme="7" tint="0.79998168889431442"/>
        <color theme="5" tint="-0.249977111117893"/>
      </colorScale>
    </cfRule>
    <cfRule type="colorScale" priority="105">
      <colorScale>
        <cfvo type="num" val="1"/>
        <cfvo type="num" val="28"/>
        <color theme="7" tint="0.79998168889431442"/>
        <color theme="5" tint="-0.249977111117893"/>
      </colorScale>
    </cfRule>
    <cfRule type="colorScale" priority="106">
      <colorScale>
        <cfvo type="num" val="1"/>
        <cfvo type="num" val="28"/>
        <color theme="7" tint="0.79998168889431442"/>
        <color theme="5" tint="-0.249977111117893"/>
      </colorScale>
    </cfRule>
    <cfRule type="colorScale" priority="107">
      <colorScale>
        <cfvo type="num" val="1"/>
        <cfvo type="num" val="28"/>
        <color theme="7" tint="0.79998168889431442"/>
        <color theme="5" tint="-0.249977111117893"/>
      </colorScale>
    </cfRule>
    <cfRule type="colorScale" priority="108">
      <colorScale>
        <cfvo type="num" val="1"/>
        <cfvo type="num" val="28"/>
        <color theme="7" tint="0.79998168889431442"/>
        <color theme="5" tint="-0.249977111117893"/>
      </colorScale>
    </cfRule>
    <cfRule type="colorScale" priority="109">
      <colorScale>
        <cfvo type="num" val="1"/>
        <cfvo type="num" val="28"/>
        <color theme="7" tint="0.79998168889431442"/>
        <color theme="5" tint="-0.249977111117893"/>
      </colorScale>
    </cfRule>
    <cfRule type="colorScale" priority="110">
      <colorScale>
        <cfvo type="num" val="1"/>
        <cfvo type="num" val="28"/>
        <color theme="7" tint="0.79998168889431442"/>
        <color theme="5" tint="-0.249977111117893"/>
      </colorScale>
    </cfRule>
    <cfRule type="colorScale" priority="111">
      <colorScale>
        <cfvo type="num" val="1"/>
        <cfvo type="num" val="28"/>
        <color theme="7" tint="0.79998168889431442"/>
        <color theme="5" tint="-0.249977111117893"/>
      </colorScale>
    </cfRule>
    <cfRule type="colorScale" priority="112">
      <colorScale>
        <cfvo type="num" val="1"/>
        <cfvo type="num" val="28"/>
        <color theme="7" tint="0.79998168889431442"/>
        <color theme="5" tint="-0.249977111117893"/>
      </colorScale>
    </cfRule>
    <cfRule type="colorScale" priority="113">
      <colorScale>
        <cfvo type="num" val="1"/>
        <cfvo type="num" val="28"/>
        <color theme="7" tint="0.79998168889431442"/>
        <color theme="5" tint="-0.249977111117893"/>
      </colorScale>
    </cfRule>
    <cfRule type="colorScale" priority="114">
      <colorScale>
        <cfvo type="num" val="1"/>
        <cfvo type="num" val="28"/>
        <color theme="7" tint="0.79998168889431442"/>
        <color theme="5" tint="-0.249977111117893"/>
      </colorScale>
    </cfRule>
    <cfRule type="colorScale" priority="115">
      <colorScale>
        <cfvo type="num" val="1"/>
        <cfvo type="num" val="28"/>
        <color theme="7" tint="0.79998168889431442"/>
        <color theme="5" tint="-0.249977111117893"/>
      </colorScale>
    </cfRule>
    <cfRule type="colorScale" priority="116">
      <colorScale>
        <cfvo type="num" val="1"/>
        <cfvo type="num" val="28"/>
        <color theme="7" tint="0.79998168889431442"/>
        <color theme="5" tint="-0.249977111117893"/>
      </colorScale>
    </cfRule>
    <cfRule type="colorScale" priority="117">
      <colorScale>
        <cfvo type="num" val="1"/>
        <cfvo type="num" val="28"/>
        <color theme="7" tint="0.79998168889431442"/>
        <color theme="5" tint="-0.249977111117893"/>
      </colorScale>
    </cfRule>
    <cfRule type="colorScale" priority="118">
      <colorScale>
        <cfvo type="num" val="1"/>
        <cfvo type="num" val="28"/>
        <color theme="7" tint="0.79998168889431442"/>
        <color theme="5" tint="-0.249977111117893"/>
      </colorScale>
    </cfRule>
    <cfRule type="colorScale" priority="119">
      <colorScale>
        <cfvo type="num" val="1"/>
        <cfvo type="num" val="28"/>
        <color theme="7" tint="0.79998168889431442"/>
        <color theme="5" tint="-0.249977111117893"/>
      </colorScale>
    </cfRule>
    <cfRule type="colorScale" priority="120">
      <colorScale>
        <cfvo type="num" val="1"/>
        <cfvo type="num" val="28"/>
        <color theme="7" tint="0.79998168889431442"/>
        <color theme="5" tint="-0.249977111117893"/>
      </colorScale>
    </cfRule>
    <cfRule type="colorScale" priority="121">
      <colorScale>
        <cfvo type="num" val="1"/>
        <cfvo type="num" val="28"/>
        <color theme="7" tint="0.79998168889431442"/>
        <color theme="5" tint="-0.249977111117893"/>
      </colorScale>
    </cfRule>
    <cfRule type="colorScale" priority="122">
      <colorScale>
        <cfvo type="num" val="1"/>
        <cfvo type="num" val="28"/>
        <color theme="7" tint="0.79998168889431442"/>
        <color theme="5" tint="-0.249977111117893"/>
      </colorScale>
    </cfRule>
    <cfRule type="colorScale" priority="123">
      <colorScale>
        <cfvo type="num" val="1"/>
        <cfvo type="num" val="28"/>
        <color theme="7" tint="0.79998168889431442"/>
        <color theme="5" tint="-0.249977111117893"/>
      </colorScale>
    </cfRule>
    <cfRule type="colorScale" priority="124">
      <colorScale>
        <cfvo type="num" val="1"/>
        <cfvo type="num" val="28"/>
        <color theme="7" tint="0.79998168889431442"/>
        <color theme="5" tint="-0.249977111117893"/>
      </colorScale>
    </cfRule>
    <cfRule type="colorScale" priority="125">
      <colorScale>
        <cfvo type="num" val="1"/>
        <cfvo type="num" val="28"/>
        <color theme="7" tint="0.79998168889431442"/>
        <color theme="5" tint="-0.249977111117893"/>
      </colorScale>
    </cfRule>
    <cfRule type="colorScale" priority="126">
      <colorScale>
        <cfvo type="num" val="1"/>
        <cfvo type="num" val="28"/>
        <color theme="7" tint="0.79998168889431442"/>
        <color theme="5" tint="-0.249977111117893"/>
      </colorScale>
    </cfRule>
    <cfRule type="colorScale" priority="127">
      <colorScale>
        <cfvo type="num" val="1"/>
        <cfvo type="num" val="28"/>
        <color theme="7" tint="0.79998168889431442"/>
        <color theme="5" tint="-0.249977111117893"/>
      </colorScale>
    </cfRule>
    <cfRule type="colorScale" priority="128">
      <colorScale>
        <cfvo type="num" val="1"/>
        <cfvo type="num" val="28"/>
        <color theme="7" tint="0.79998168889431442"/>
        <color theme="5" tint="-0.249977111117893"/>
      </colorScale>
    </cfRule>
    <cfRule type="colorScale" priority="129">
      <colorScale>
        <cfvo type="num" val="1"/>
        <cfvo type="num" val="28"/>
        <color theme="7" tint="0.79998168889431442"/>
        <color theme="5" tint="-0.249977111117893"/>
      </colorScale>
    </cfRule>
    <cfRule type="colorScale" priority="130">
      <colorScale>
        <cfvo type="num" val="1"/>
        <cfvo type="num" val="28"/>
        <color theme="7" tint="0.79998168889431442"/>
        <color theme="5" tint="-0.249977111117893"/>
      </colorScale>
    </cfRule>
    <cfRule type="colorScale" priority="131">
      <colorScale>
        <cfvo type="num" val="1"/>
        <cfvo type="num" val="28"/>
        <color theme="7" tint="0.79998168889431442"/>
        <color theme="5" tint="-0.249977111117893"/>
      </colorScale>
    </cfRule>
    <cfRule type="colorScale" priority="132">
      <colorScale>
        <cfvo type="num" val="1"/>
        <cfvo type="num" val="28"/>
        <color theme="7" tint="0.79998168889431442"/>
        <color theme="5" tint="-0.249977111117893"/>
      </colorScale>
    </cfRule>
    <cfRule type="colorScale" priority="133">
      <colorScale>
        <cfvo type="num" val="1"/>
        <cfvo type="num" val="28"/>
        <color theme="7" tint="0.79998168889431442"/>
        <color theme="5" tint="-0.249977111117893"/>
      </colorScale>
    </cfRule>
    <cfRule type="colorScale" priority="134">
      <colorScale>
        <cfvo type="num" val="1"/>
        <cfvo type="num" val="28"/>
        <color theme="7" tint="0.79998168889431442"/>
        <color theme="5" tint="-0.249977111117893"/>
      </colorScale>
    </cfRule>
    <cfRule type="colorScale" priority="135">
      <colorScale>
        <cfvo type="num" val="1"/>
        <cfvo type="num" val="28"/>
        <color theme="7" tint="0.79998168889431442"/>
        <color theme="5" tint="-0.249977111117893"/>
      </colorScale>
    </cfRule>
    <cfRule type="colorScale" priority="136">
      <colorScale>
        <cfvo type="num" val="1"/>
        <cfvo type="num" val="28"/>
        <color theme="7" tint="0.79998168889431442"/>
        <color theme="5" tint="-0.249977111117893"/>
      </colorScale>
    </cfRule>
    <cfRule type="colorScale" priority="137">
      <colorScale>
        <cfvo type="num" val="1"/>
        <cfvo type="num" val="28"/>
        <color theme="7" tint="0.79998168889431442"/>
        <color theme="5" tint="-0.249977111117893"/>
      </colorScale>
    </cfRule>
    <cfRule type="colorScale" priority="138">
      <colorScale>
        <cfvo type="num" val="1"/>
        <cfvo type="num" val="28"/>
        <color theme="7" tint="0.79998168889431442"/>
        <color theme="5" tint="-0.249977111117893"/>
      </colorScale>
    </cfRule>
    <cfRule type="colorScale" priority="139">
      <colorScale>
        <cfvo type="num" val="1"/>
        <cfvo type="num" val="28"/>
        <color theme="7" tint="0.79998168889431442"/>
        <color theme="5" tint="-0.249977111117893"/>
      </colorScale>
    </cfRule>
    <cfRule type="colorScale" priority="140">
      <colorScale>
        <cfvo type="num" val="1"/>
        <cfvo type="num" val="28"/>
        <color theme="7" tint="0.79998168889431442"/>
        <color theme="5" tint="-0.249977111117893"/>
      </colorScale>
    </cfRule>
    <cfRule type="colorScale" priority="141">
      <colorScale>
        <cfvo type="num" val="1"/>
        <cfvo type="num" val="28"/>
        <color theme="7" tint="0.79998168889431442"/>
        <color theme="5" tint="-0.249977111117893"/>
      </colorScale>
    </cfRule>
    <cfRule type="colorScale" priority="142">
      <colorScale>
        <cfvo type="num" val="1"/>
        <cfvo type="num" val="28"/>
        <color theme="7" tint="0.79998168889431442"/>
        <color theme="5" tint="-0.249977111117893"/>
      </colorScale>
    </cfRule>
    <cfRule type="colorScale" priority="143">
      <colorScale>
        <cfvo type="num" val="1"/>
        <cfvo type="num" val="28"/>
        <color theme="7" tint="0.79998168889431442"/>
        <color theme="5" tint="-0.249977111117893"/>
      </colorScale>
    </cfRule>
    <cfRule type="colorScale" priority="144">
      <colorScale>
        <cfvo type="num" val="1"/>
        <cfvo type="num" val="28"/>
        <color theme="7" tint="0.79998168889431442"/>
        <color theme="5" tint="-0.249977111117893"/>
      </colorScale>
    </cfRule>
    <cfRule type="colorScale" priority="145">
      <colorScale>
        <cfvo type="num" val="1"/>
        <cfvo type="num" val="28"/>
        <color theme="7" tint="0.79998168889431442"/>
        <color theme="5" tint="-0.249977111117893"/>
      </colorScale>
    </cfRule>
    <cfRule type="colorScale" priority="146">
      <colorScale>
        <cfvo type="num" val="1"/>
        <cfvo type="num" val="28"/>
        <color theme="7" tint="0.79998168889431442"/>
        <color theme="5" tint="-0.249977111117893"/>
      </colorScale>
    </cfRule>
    <cfRule type="colorScale" priority="147">
      <colorScale>
        <cfvo type="num" val="1"/>
        <cfvo type="num" val="28"/>
        <color theme="7" tint="0.79998168889431442"/>
        <color theme="5" tint="-0.249977111117893"/>
      </colorScale>
    </cfRule>
    <cfRule type="colorScale" priority="148">
      <colorScale>
        <cfvo type="num" val="1"/>
        <cfvo type="num" val="28"/>
        <color theme="7" tint="0.79998168889431442"/>
        <color theme="5" tint="-0.249977111117893"/>
      </colorScale>
    </cfRule>
    <cfRule type="colorScale" priority="149">
      <colorScale>
        <cfvo type="num" val="1"/>
        <cfvo type="num" val="28"/>
        <color theme="7" tint="0.79998168889431442"/>
        <color theme="5" tint="-0.249977111117893"/>
      </colorScale>
    </cfRule>
    <cfRule type="colorScale" priority="150">
      <colorScale>
        <cfvo type="num" val="1"/>
        <cfvo type="num" val="28"/>
        <color theme="7" tint="0.79998168889431442"/>
        <color theme="5" tint="-0.249977111117893"/>
      </colorScale>
    </cfRule>
    <cfRule type="colorScale" priority="151">
      <colorScale>
        <cfvo type="num" val="1"/>
        <cfvo type="num" val="28"/>
        <color theme="7" tint="0.79998168889431442"/>
        <color theme="5" tint="-0.249977111117893"/>
      </colorScale>
    </cfRule>
    <cfRule type="colorScale" priority="152">
      <colorScale>
        <cfvo type="num" val="1"/>
        <cfvo type="num" val="28"/>
        <color theme="7" tint="0.79998168889431442"/>
        <color theme="5" tint="-0.249977111117893"/>
      </colorScale>
    </cfRule>
    <cfRule type="colorScale" priority="153">
      <colorScale>
        <cfvo type="num" val="1"/>
        <cfvo type="num" val="28"/>
        <color theme="7" tint="0.79998168889431442"/>
        <color theme="5" tint="-0.249977111117893"/>
      </colorScale>
    </cfRule>
    <cfRule type="colorScale" priority="154">
      <colorScale>
        <cfvo type="num" val="1"/>
        <cfvo type="num" val="28"/>
        <color theme="7" tint="0.79998168889431442"/>
        <color theme="5" tint="-0.249977111117893"/>
      </colorScale>
    </cfRule>
    <cfRule type="colorScale" priority="155">
      <colorScale>
        <cfvo type="num" val="1"/>
        <cfvo type="num" val="28"/>
        <color theme="7" tint="0.79998168889431442"/>
        <color theme="5" tint="-0.249977111117893"/>
      </colorScale>
    </cfRule>
    <cfRule type="colorScale" priority="156">
      <colorScale>
        <cfvo type="num" val="1"/>
        <cfvo type="num" val="28"/>
        <color theme="7" tint="0.79998168889431442"/>
        <color theme="5" tint="-0.249977111117893"/>
      </colorScale>
    </cfRule>
    <cfRule type="colorScale" priority="157">
      <colorScale>
        <cfvo type="num" val="1"/>
        <cfvo type="num" val="28"/>
        <color theme="7" tint="0.79998168889431442"/>
        <color theme="5" tint="-0.249977111117893"/>
      </colorScale>
    </cfRule>
    <cfRule type="colorScale" priority="158">
      <colorScale>
        <cfvo type="num" val="1"/>
        <cfvo type="num" val="28"/>
        <color theme="7" tint="0.79998168889431442"/>
        <color theme="5" tint="-0.249977111117893"/>
      </colorScale>
    </cfRule>
    <cfRule type="colorScale" priority="159">
      <colorScale>
        <cfvo type="num" val="1"/>
        <cfvo type="num" val="28"/>
        <color theme="7" tint="0.79998168889431442"/>
        <color theme="5" tint="-0.249977111117893"/>
      </colorScale>
    </cfRule>
    <cfRule type="colorScale" priority="160">
      <colorScale>
        <cfvo type="num" val="1"/>
        <cfvo type="num" val="28"/>
        <color theme="7" tint="0.79998168889431442"/>
        <color theme="5" tint="-0.249977111117893"/>
      </colorScale>
    </cfRule>
  </conditionalFormatting>
  <conditionalFormatting sqref="IH215:IH219 IJ215:IJ219 IF215:IF219 ID215:ID219 IB215:IB219 HZ215:HZ219 HX215:HX219 HV215:HV219 HT215:HT219 IL215:IL219 IN215:IN219 IP215:IP219 IR215:IR219 IT215:IT219 IV215:IV219 IX215:IX219 IZ215:IZ219 JB215:JB219 JD215:JD219 JF215:JF219 JH215:JH219 JJ215:JJ219 JL215:JL219 JN215:JN219 JP215:JP219 JR215:JR219 JT215:JT219 JV215:JV219 JX215:JX219 JZ215:JZ219 KB215:KB219 KD215:KD219 KF215:KF219 KH215:KH219 KJ215:KJ219 KL215:KL219 KN215:KN219 KP215:KP219 KR215:KR219 KT215:KT219 KV215:KV219 KX215:KX219 KZ215:KZ219 LB215:LB219 LD215:LD219 LF215:LF219 LH215:LH219 LJ215:LJ219 LL215:LL219 LN215:LN219 LP215:LP219 LR215:LR219 LT215:LT219 LV215:LV219 LX215:LX219 LZ215:LZ219 MB215:MB219 MD215:MD219 MF215:MF219 MH215:MH219 MJ215:MJ219 ML215:ML219 MN215:MN219 MP215:MP219 MR215:MR219 MT215:MT219 MV215:MV219 MX215:MX219 MZ215:MZ219 NB215:NB219 ND215:ND219 NF215:NF219 NH215:NH219 NJ215:NJ219 NL215:NL219 NN215:NN219 NP215:NP219 NR215:NR219 NT215:NT219 NV215:NV219 NX215:NX219 NZ215:NZ219 OB215:OB219 OD215:OD219 OF215:OF219 OH215:OH219 OJ215:OJ219 OL215:OL219 ON215:ON219 OP215:OP219 OR215:OR219 OT215:OT219 OV215:OV219 OX215:OX219 OZ215:OZ219 PB215:PB219 PD215:PD219 PF215:PF219 PH215:PH219 PJ215:PJ219 PL215:PL219 PN215:PN219 PP215:PP219 PR215:PR219 PT215:PT219 PV215:PV219 PX215:PX219 PZ215:PZ219 QB215:QB219 QD215:QD219 QF215:QF219 QH215:QH219 QJ215:QJ219 QL215:QL219 QN215:QN219 QP215:QP219 QR215:QR219 QT215:QT219 QV215:QV219 QX215:QX219 QZ215:QZ219 RB215:RB219 RD215:RD219 IH224:IH227 IJ224:IJ227 IF224:IF227 ID224:ID227 IB224:IB227 HZ224:HZ227 HX224:HX227 HV224:HV227 HT224:HT227 IL224:IL227 IN224:IN227 IP224:IP227 IR224:IR227 IT224:IT227 IV224:IV227 IX224:IX227 IZ224:IZ227 JB224:JB227 JD224:JD227 JF224:JF227 JH224:JH227 JJ224:JJ227 JL224:JL227 JN224:JN227 JP224:JP227 JR224:JR227 JT224:JT227 JV224:JV227 JX224:JX227 JZ224:JZ227 KB224:KB227 KD224:KD227 KF224:KF227 KH224:KH227 KJ224:KJ227 KL224:KL227 KN224:KN227 KP224:KP227 KR224:KR227 KT224:KT227 KV224:KV227 KX224:KX227 KZ224:KZ227 LB224:LB227 LD224:LD227 LF224:LF227 LH224:LH227 LJ224:LJ227 LL224:LL227 LN224:LN227 LP224:LP227 LR224:LR227 LT224:LT227 LV224:LV227 LX224:LX227 LZ224:LZ227 MB224:MB227 MD224:MD227 MF224:MF227 MH224:MH227 MJ224:MJ227 ML224:ML227 MN224:MN227 MP224:MP227 MR224:MR227 MT224:MT227 MV224:MV227 MX224:MX227 MZ224:MZ227 NB224:NB227 ND224:ND227 NF224:NF227 NH224:NH227 NJ224:NJ227 NL224:NL227 NN224:NN227 NP224:NP227 NR224:NR227 NT224:NT227 NV224:NV227 NX224:NX227 NZ224:NZ227 OB224:OB227 OD224:OD227 OF224:OF227 OH224:OH227 OJ224:OJ227 OL224:OL227 ON224:ON227 OP224:OP227 OR224:OR227 OT224:OT227 OV224:OV227 OX224:OX227 OZ224:OZ227 PB224:PB227 PD224:PD227 PF224:PF227 PH224:PH227 PJ224:PJ227 PL224:PL227 PN224:PN227 PP224:PP227 PR224:PR227 PT224:PT227 PV224:PV227 PX224:PX227 PZ224:PZ227 QB224:QB227 QD224:QD227 QF224:QF227 QH224:QH227 QJ224:QJ227 QL224:QL227 QN224:QN227 QP224:QP227 QR224:QR227 QT224:QT227 QV224:QV227 QX224:QX227 QZ224:QZ227 RB224:RB227 RD224:RD227">
    <cfRule type="colorScale" priority="107126">
      <colorScale>
        <cfvo type="min"/>
        <cfvo type="percentile" val="50"/>
        <cfvo type="max"/>
        <color rgb="FFF8696B"/>
        <color rgb="FFFFEB84"/>
        <color rgb="FF63BE7B"/>
      </colorScale>
    </cfRule>
  </conditionalFormatting>
  <pageMargins left="0.7" right="0.7" top="0.75" bottom="0.75" header="0.3" footer="0.3"/>
  <pageSetup paperSize="2052" scale="13"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3"/>
  <sheetViews>
    <sheetView workbookViewId="0">
      <pane ySplit="1" topLeftCell="A73" activePane="bottomLeft" state="frozen"/>
      <selection pane="bottomLeft" activeCell="H73" sqref="H73"/>
    </sheetView>
  </sheetViews>
  <sheetFormatPr defaultRowHeight="15" x14ac:dyDescent="0.25"/>
  <cols>
    <col min="1" max="1" width="6.28515625" style="1" customWidth="1"/>
    <col min="2" max="2" width="22.5703125" style="1" customWidth="1"/>
    <col min="3" max="4" width="14.28515625" style="1" customWidth="1"/>
    <col min="5" max="6" width="13" style="1" customWidth="1"/>
    <col min="7" max="8" width="12" style="1" customWidth="1"/>
    <col min="9" max="9" width="13.28515625" style="1" customWidth="1"/>
    <col min="10" max="10" width="10.7109375" style="1" customWidth="1"/>
    <col min="11" max="11" width="11.7109375" style="1" customWidth="1"/>
    <col min="12" max="12" width="9.42578125" style="1" customWidth="1"/>
    <col min="13" max="15" width="17.5703125" style="1" customWidth="1"/>
    <col min="16" max="21" width="15.85546875" style="1" customWidth="1"/>
    <col min="22" max="26" width="9.140625" style="1" customWidth="1"/>
  </cols>
  <sheetData>
    <row r="1" spans="1:26" s="16" customFormat="1" ht="30" x14ac:dyDescent="0.25">
      <c r="A1" s="72"/>
      <c r="B1" s="15" t="str">
        <f>Schedule!B1</f>
        <v>Job Name</v>
      </c>
      <c r="C1" s="15" t="str">
        <f>Schedule!C1</f>
        <v>GC</v>
      </c>
      <c r="D1" s="15" t="s">
        <v>30</v>
      </c>
      <c r="E1" s="74" t="s">
        <v>46</v>
      </c>
      <c r="F1" s="75"/>
      <c r="G1" s="74" t="s">
        <v>45</v>
      </c>
      <c r="H1" s="75"/>
      <c r="I1" s="15" t="s">
        <v>42</v>
      </c>
      <c r="J1" s="15" t="s">
        <v>47</v>
      </c>
      <c r="K1" s="15" t="s">
        <v>51</v>
      </c>
      <c r="L1" s="15" t="s">
        <v>67</v>
      </c>
      <c r="M1" s="15" t="s">
        <v>107</v>
      </c>
      <c r="N1" s="15" t="s">
        <v>106</v>
      </c>
      <c r="O1" s="15" t="s">
        <v>105</v>
      </c>
      <c r="P1" s="15" t="s">
        <v>75</v>
      </c>
      <c r="Q1" s="15" t="s">
        <v>1</v>
      </c>
      <c r="R1" s="15" t="s">
        <v>92</v>
      </c>
      <c r="S1" s="15" t="s">
        <v>89</v>
      </c>
      <c r="T1" s="15" t="s">
        <v>100</v>
      </c>
      <c r="U1" s="15" t="s">
        <v>98</v>
      </c>
      <c r="V1" s="15" t="s">
        <v>2</v>
      </c>
      <c r="W1" s="15" t="s">
        <v>78</v>
      </c>
      <c r="X1" s="15" t="s">
        <v>79</v>
      </c>
      <c r="Y1" s="15" t="s">
        <v>28</v>
      </c>
      <c r="Z1" s="15" t="s">
        <v>29</v>
      </c>
    </row>
    <row r="2" spans="1:26" s="16" customFormat="1" x14ac:dyDescent="0.25">
      <c r="A2" s="73"/>
      <c r="B2" s="15"/>
      <c r="C2" s="15"/>
      <c r="D2" s="15"/>
      <c r="E2" s="15" t="s">
        <v>631</v>
      </c>
      <c r="F2" s="15" t="s">
        <v>632</v>
      </c>
      <c r="G2" s="15" t="s">
        <v>631</v>
      </c>
      <c r="H2" s="15" t="s">
        <v>633</v>
      </c>
      <c r="I2" s="15"/>
      <c r="J2" s="15"/>
      <c r="K2" s="15"/>
      <c r="L2" s="15"/>
      <c r="M2" s="15"/>
      <c r="N2" s="15"/>
      <c r="O2" s="15"/>
      <c r="P2" s="15"/>
      <c r="Q2" s="15"/>
      <c r="R2" s="15"/>
      <c r="S2" s="15"/>
      <c r="T2" s="15"/>
      <c r="U2" s="15"/>
      <c r="V2" s="15"/>
      <c r="W2" s="15"/>
      <c r="X2" s="15"/>
      <c r="Y2" s="15"/>
      <c r="Z2" s="15"/>
    </row>
    <row r="3" spans="1:26" x14ac:dyDescent="0.25">
      <c r="A3" s="1">
        <f>Schedule!A2</f>
        <v>2001</v>
      </c>
      <c r="B3" s="1" t="str">
        <f>Schedule!B2</f>
        <v>230 Broadway</v>
      </c>
      <c r="C3" s="1" t="str">
        <f>Schedule!C2</f>
        <v>SRM</v>
      </c>
      <c r="D3" s="1">
        <v>234</v>
      </c>
      <c r="E3" s="2">
        <v>2026045.65</v>
      </c>
      <c r="F3" s="2">
        <f>E3/D3</f>
        <v>8658.3147435897426</v>
      </c>
      <c r="G3" s="2">
        <v>2121873.5</v>
      </c>
      <c r="H3" s="2">
        <f>G3/D3</f>
        <v>9067.8354700854707</v>
      </c>
      <c r="I3" s="2">
        <v>21979</v>
      </c>
      <c r="J3" s="2">
        <v>30000</v>
      </c>
      <c r="K3" s="3">
        <f>I3/Schedule!D2</f>
        <v>93.927350427350433</v>
      </c>
      <c r="L3" s="3"/>
      <c r="M3" s="3"/>
      <c r="N3" s="3"/>
      <c r="O3" s="3"/>
      <c r="Q3" s="1" t="s">
        <v>7</v>
      </c>
    </row>
    <row r="4" spans="1:26" x14ac:dyDescent="0.25">
      <c r="A4" s="1">
        <f>Schedule!A3</f>
        <v>2002</v>
      </c>
      <c r="B4" s="1" t="str">
        <f>Schedule!B3</f>
        <v>Wedgewood</v>
      </c>
      <c r="C4" s="1" t="str">
        <f>Schedule!C3</f>
        <v>Exxel Pacific</v>
      </c>
      <c r="D4" s="1">
        <v>91</v>
      </c>
      <c r="E4" s="2">
        <v>879530</v>
      </c>
      <c r="F4" s="2">
        <f t="shared" ref="F4:F69" si="0">E4/D4</f>
        <v>9665.1648351648346</v>
      </c>
      <c r="G4" s="2">
        <v>864597</v>
      </c>
      <c r="H4" s="2">
        <f t="shared" ref="H4:H49" si="1">G4/D4</f>
        <v>9501.0659340659349</v>
      </c>
      <c r="I4" s="2">
        <v>10520</v>
      </c>
      <c r="J4" s="2">
        <v>25000</v>
      </c>
      <c r="K4" s="3">
        <f>I4/Schedule!D3</f>
        <v>115.60439560439561</v>
      </c>
      <c r="L4" s="3"/>
      <c r="M4" s="3"/>
      <c r="N4" s="3"/>
      <c r="O4" s="3"/>
    </row>
    <row r="5" spans="1:26" x14ac:dyDescent="0.25">
      <c r="A5" s="1">
        <f>Schedule!A4</f>
        <v>2003</v>
      </c>
      <c r="B5" s="1" t="str">
        <f>Schedule!B4</f>
        <v>Evanston Space</v>
      </c>
      <c r="C5" s="1" t="str">
        <f>Schedule!C4</f>
        <v>Exxel Pacific</v>
      </c>
      <c r="D5" s="1">
        <v>5</v>
      </c>
      <c r="E5" s="2"/>
      <c r="F5" s="2">
        <f t="shared" si="0"/>
        <v>0</v>
      </c>
      <c r="G5" s="2"/>
      <c r="H5" s="2">
        <f t="shared" si="1"/>
        <v>0</v>
      </c>
      <c r="I5" s="2">
        <v>8475</v>
      </c>
      <c r="J5" s="2"/>
      <c r="K5" s="3">
        <f>I5/Schedule!D4</f>
        <v>302.67857142857144</v>
      </c>
      <c r="L5" s="3"/>
      <c r="M5" s="3"/>
      <c r="N5" s="3"/>
      <c r="O5" s="3"/>
    </row>
    <row r="6" spans="1:26" ht="45" x14ac:dyDescent="0.25">
      <c r="A6" s="1">
        <f>Schedule!A5</f>
        <v>2005</v>
      </c>
      <c r="B6" s="1" t="str">
        <f>Schedule!B5</f>
        <v>Indigo/Kavela</v>
      </c>
      <c r="C6" s="1" t="str">
        <f>Schedule!C5</f>
        <v>Chinn</v>
      </c>
      <c r="D6" s="1">
        <v>66</v>
      </c>
      <c r="E6" s="2">
        <v>501500</v>
      </c>
      <c r="F6" s="2">
        <f t="shared" si="0"/>
        <v>7598.484848484848</v>
      </c>
      <c r="G6" s="2">
        <v>499368</v>
      </c>
      <c r="H6" s="2">
        <f t="shared" si="1"/>
        <v>7566.181818181818</v>
      </c>
      <c r="I6" s="2">
        <v>13668</v>
      </c>
      <c r="J6" s="2">
        <v>18000</v>
      </c>
      <c r="K6" s="3">
        <f>I6/Schedule!D5</f>
        <v>207.09090909090909</v>
      </c>
      <c r="L6" s="3"/>
      <c r="M6" s="3"/>
      <c r="N6" s="3"/>
      <c r="O6" s="3"/>
      <c r="Q6" s="1" t="s">
        <v>49</v>
      </c>
      <c r="V6" s="1" t="s">
        <v>8</v>
      </c>
    </row>
    <row r="7" spans="1:26" x14ac:dyDescent="0.25">
      <c r="A7" s="1">
        <f>Schedule!A6</f>
        <v>2006</v>
      </c>
      <c r="B7" s="1" t="str">
        <f>Schedule!B6</f>
        <v>Bella Lago</v>
      </c>
      <c r="C7" s="1" t="str">
        <f>Schedule!C6</f>
        <v>ICC</v>
      </c>
      <c r="D7" s="1">
        <v>319</v>
      </c>
      <c r="E7" s="2"/>
      <c r="F7" s="2">
        <f t="shared" si="0"/>
        <v>0</v>
      </c>
      <c r="G7" s="2"/>
      <c r="H7" s="2">
        <f t="shared" si="1"/>
        <v>0</v>
      </c>
      <c r="I7" s="2">
        <v>30611</v>
      </c>
      <c r="J7" s="2"/>
      <c r="K7" s="3">
        <f>I7/Schedule!D6</f>
        <v>95.959247648902817</v>
      </c>
      <c r="L7" s="3"/>
      <c r="M7" s="3"/>
      <c r="N7" s="3"/>
      <c r="O7" s="3"/>
    </row>
    <row r="8" spans="1:26" x14ac:dyDescent="0.25">
      <c r="A8" s="1">
        <f>Schedule!A7</f>
        <v>2008</v>
      </c>
      <c r="B8" s="1" t="str">
        <f>Schedule!B7</f>
        <v>101 Taylor</v>
      </c>
      <c r="C8" s="1" t="str">
        <f>Schedule!C7</f>
        <v>SRM</v>
      </c>
      <c r="D8" s="1">
        <v>258</v>
      </c>
      <c r="E8" s="2"/>
      <c r="F8" s="2">
        <f t="shared" si="0"/>
        <v>0</v>
      </c>
      <c r="G8" s="2"/>
      <c r="H8" s="2">
        <f t="shared" si="1"/>
        <v>0</v>
      </c>
      <c r="I8" s="2">
        <v>56506</v>
      </c>
      <c r="J8" s="2"/>
      <c r="K8" s="3">
        <f>I8/Schedule!D7</f>
        <v>219.01550387596899</v>
      </c>
      <c r="L8" s="3"/>
      <c r="M8" s="3"/>
      <c r="N8" s="3"/>
      <c r="O8" s="1" t="s">
        <v>135</v>
      </c>
      <c r="Q8" s="1" t="s">
        <v>7</v>
      </c>
      <c r="V8" s="1" t="s">
        <v>8</v>
      </c>
    </row>
    <row r="9" spans="1:26" ht="30" x14ac:dyDescent="0.25">
      <c r="A9" s="1">
        <f>Schedule!A8</f>
        <v>2009</v>
      </c>
      <c r="B9" s="1" t="str">
        <f>Schedule!B8</f>
        <v>Greenwood</v>
      </c>
      <c r="C9" s="1" t="str">
        <f>Schedule!C8</f>
        <v>Chinn</v>
      </c>
      <c r="D9" s="1">
        <v>56</v>
      </c>
      <c r="E9" s="2">
        <v>384900</v>
      </c>
      <c r="F9" s="2">
        <f t="shared" si="0"/>
        <v>6873.2142857142853</v>
      </c>
      <c r="G9" s="2">
        <v>392855</v>
      </c>
      <c r="H9" s="2">
        <f t="shared" si="1"/>
        <v>7015.2678571428569</v>
      </c>
      <c r="I9" s="2">
        <v>4895</v>
      </c>
      <c r="J9" s="2">
        <v>5000</v>
      </c>
      <c r="K9" s="3">
        <f>I9/Schedule!D8</f>
        <v>87.410714285714292</v>
      </c>
      <c r="L9" s="3"/>
      <c r="M9" s="3"/>
      <c r="N9" s="3"/>
      <c r="O9" s="3"/>
      <c r="Q9" s="1" t="s">
        <v>48</v>
      </c>
    </row>
    <row r="10" spans="1:26" ht="30" x14ac:dyDescent="0.25">
      <c r="A10" s="1">
        <f>Schedule!A9</f>
        <v>2010</v>
      </c>
      <c r="B10" s="1" t="str">
        <f>Schedule!B9</f>
        <v>Old Town</v>
      </c>
      <c r="C10" s="1" t="str">
        <f>Schedule!C9</f>
        <v>Chinn</v>
      </c>
      <c r="D10" s="1">
        <v>149</v>
      </c>
      <c r="E10" s="2">
        <v>1469800</v>
      </c>
      <c r="F10" s="2">
        <f t="shared" si="0"/>
        <v>9864.4295302013415</v>
      </c>
      <c r="G10" s="2">
        <v>1386419</v>
      </c>
      <c r="H10" s="2">
        <f t="shared" si="1"/>
        <v>9304.8255033557052</v>
      </c>
      <c r="I10" s="2">
        <v>10463</v>
      </c>
      <c r="J10" s="2">
        <v>20000</v>
      </c>
      <c r="K10" s="3">
        <f>I10/Schedule!D9</f>
        <v>70.22147651006712</v>
      </c>
      <c r="L10" s="3"/>
      <c r="M10" s="3"/>
      <c r="N10" s="3"/>
      <c r="O10" s="3"/>
      <c r="Q10" s="1" t="s">
        <v>25</v>
      </c>
      <c r="W10" s="1">
        <v>8</v>
      </c>
    </row>
    <row r="11" spans="1:26" ht="30" x14ac:dyDescent="0.25">
      <c r="A11" s="1">
        <f>Schedule!A10</f>
        <v>2011</v>
      </c>
      <c r="B11" s="1" t="str">
        <f>Schedule!B10</f>
        <v>Barrett Park</v>
      </c>
      <c r="C11" s="1" t="str">
        <f>Schedule!C10</f>
        <v>Chinn</v>
      </c>
      <c r="D11" s="1">
        <v>117</v>
      </c>
      <c r="E11" s="2">
        <v>813050</v>
      </c>
      <c r="F11" s="2">
        <f t="shared" si="0"/>
        <v>6949.1452991452988</v>
      </c>
      <c r="G11" s="2">
        <v>869823.5</v>
      </c>
      <c r="H11" s="2">
        <f t="shared" si="1"/>
        <v>7434.3888888888887</v>
      </c>
      <c r="I11" s="2">
        <v>12487</v>
      </c>
      <c r="J11" s="2">
        <v>25000</v>
      </c>
      <c r="K11" s="3">
        <f>I11/Schedule!D10</f>
        <v>106.72649572649573</v>
      </c>
      <c r="L11" s="3"/>
      <c r="M11" s="3"/>
      <c r="N11" s="3"/>
      <c r="O11" s="3"/>
      <c r="Q11" s="1" t="s">
        <v>48</v>
      </c>
      <c r="V11" s="1" t="s">
        <v>8</v>
      </c>
    </row>
    <row r="12" spans="1:26" x14ac:dyDescent="0.25">
      <c r="A12" s="1">
        <f>Schedule!A11</f>
        <v>2012</v>
      </c>
      <c r="B12" s="1" t="str">
        <f>Schedule!B11</f>
        <v>8th Ave</v>
      </c>
      <c r="C12" s="1" t="str">
        <f>Schedule!C11</f>
        <v>Exxel Pacific</v>
      </c>
      <c r="D12" s="1">
        <v>162</v>
      </c>
      <c r="E12" s="2">
        <v>1394655</v>
      </c>
      <c r="F12" s="2">
        <f t="shared" si="0"/>
        <v>8608.9814814814818</v>
      </c>
      <c r="G12" s="2">
        <v>1393316</v>
      </c>
      <c r="H12" s="2">
        <f t="shared" si="1"/>
        <v>8600.7160493827159</v>
      </c>
      <c r="I12" s="2">
        <v>15613</v>
      </c>
      <c r="J12" s="2"/>
      <c r="K12" s="3">
        <f>I12/Schedule!D11</f>
        <v>96.376543209876544</v>
      </c>
      <c r="L12" s="3"/>
      <c r="M12" s="3"/>
      <c r="N12" s="3"/>
      <c r="O12" s="3"/>
      <c r="Q12" s="1" t="s">
        <v>34</v>
      </c>
      <c r="V12" s="1" t="s">
        <v>35</v>
      </c>
    </row>
    <row r="13" spans="1:26" x14ac:dyDescent="0.25">
      <c r="A13" s="1">
        <f>Schedule!A12</f>
        <v>2013</v>
      </c>
      <c r="B13" s="1" t="str">
        <f>Schedule!B12</f>
        <v>NE 63rd</v>
      </c>
      <c r="C13" s="1" t="str">
        <f>Schedule!C12</f>
        <v>Exxel Pacific</v>
      </c>
      <c r="D13" s="1">
        <v>112</v>
      </c>
      <c r="E13" s="2">
        <v>959780</v>
      </c>
      <c r="F13" s="2">
        <f t="shared" si="0"/>
        <v>8569.4642857142862</v>
      </c>
      <c r="G13" s="2">
        <v>966156</v>
      </c>
      <c r="H13" s="2">
        <f t="shared" si="1"/>
        <v>8626.3928571428569</v>
      </c>
      <c r="I13" s="2">
        <v>18532</v>
      </c>
      <c r="J13" s="2">
        <v>25000</v>
      </c>
      <c r="K13" s="3">
        <f>I13/Schedule!D12</f>
        <v>165.46428571428572</v>
      </c>
      <c r="L13" s="3"/>
      <c r="M13" s="3"/>
      <c r="N13" s="3"/>
      <c r="O13" s="3"/>
      <c r="P13" s="1" t="s">
        <v>77</v>
      </c>
      <c r="Q13" s="1" t="s">
        <v>7</v>
      </c>
      <c r="V13" s="1" t="s">
        <v>35</v>
      </c>
      <c r="W13" s="1">
        <v>6</v>
      </c>
      <c r="X13" s="1">
        <v>1</v>
      </c>
      <c r="Y13" s="1">
        <v>2</v>
      </c>
      <c r="Z13" s="1">
        <v>5</v>
      </c>
    </row>
    <row r="14" spans="1:26" ht="30" x14ac:dyDescent="0.25">
      <c r="A14" s="1">
        <f>Schedule!A14</f>
        <v>2018</v>
      </c>
      <c r="B14" s="1" t="str">
        <f>Schedule!B14</f>
        <v>Astro</v>
      </c>
      <c r="C14" s="1" t="str">
        <f>Schedule!C14</f>
        <v>SRM</v>
      </c>
      <c r="D14" s="1">
        <v>211</v>
      </c>
      <c r="E14" s="2">
        <v>2499584.9700000002</v>
      </c>
      <c r="F14" s="2">
        <f t="shared" si="0"/>
        <v>11846.374265402845</v>
      </c>
      <c r="G14" s="2">
        <v>2524038.4900000002</v>
      </c>
      <c r="H14" s="2">
        <f t="shared" si="1"/>
        <v>11962.267725118485</v>
      </c>
      <c r="I14" s="2">
        <v>24000</v>
      </c>
      <c r="J14" s="2"/>
      <c r="K14" s="3">
        <f>I14/Schedule!D14</f>
        <v>113.74407582938389</v>
      </c>
      <c r="M14" s="1" t="s">
        <v>133</v>
      </c>
      <c r="N14" s="1" t="s">
        <v>136</v>
      </c>
      <c r="O14" s="1" t="s">
        <v>134</v>
      </c>
      <c r="P14" s="1" t="s">
        <v>3</v>
      </c>
      <c r="Q14" s="1" t="s">
        <v>7</v>
      </c>
      <c r="R14" s="1" t="s">
        <v>93</v>
      </c>
      <c r="S14" s="1" t="s">
        <v>90</v>
      </c>
      <c r="V14" s="1" t="s">
        <v>35</v>
      </c>
      <c r="W14" s="1">
        <v>6</v>
      </c>
      <c r="X14" s="1">
        <v>2</v>
      </c>
      <c r="Y14" s="1">
        <v>3</v>
      </c>
      <c r="Z14" s="1">
        <v>5</v>
      </c>
    </row>
    <row r="15" spans="1:26" ht="30" x14ac:dyDescent="0.25">
      <c r="A15" s="1">
        <f>Schedule!A15</f>
        <v>2017</v>
      </c>
      <c r="B15" s="1" t="str">
        <f>Schedule!B15</f>
        <v>36 Stone</v>
      </c>
      <c r="C15" s="1" t="str">
        <f>Schedule!C15</f>
        <v>Exxel Pacific</v>
      </c>
      <c r="D15" s="1">
        <v>119</v>
      </c>
      <c r="E15" s="2">
        <v>1373148</v>
      </c>
      <c r="F15" s="2">
        <f t="shared" si="0"/>
        <v>11539.058823529413</v>
      </c>
      <c r="G15" s="2">
        <v>1365227</v>
      </c>
      <c r="H15" s="2">
        <f t="shared" si="1"/>
        <v>11472.495798319327</v>
      </c>
      <c r="I15" s="2">
        <v>18000</v>
      </c>
      <c r="J15" s="2"/>
      <c r="K15" s="3">
        <f>I15/Schedule!D15</f>
        <v>151.26050420168067</v>
      </c>
      <c r="M15" s="1" t="s">
        <v>132</v>
      </c>
      <c r="N15" s="1" t="s">
        <v>131</v>
      </c>
      <c r="O15" s="1" t="s">
        <v>130</v>
      </c>
      <c r="P15" s="1" t="s">
        <v>80</v>
      </c>
      <c r="Q15" s="1" t="s">
        <v>97</v>
      </c>
      <c r="R15" s="1" t="s">
        <v>94</v>
      </c>
      <c r="S15" s="1" t="s">
        <v>90</v>
      </c>
      <c r="T15" s="1" t="s">
        <v>101</v>
      </c>
      <c r="U15" s="1" t="s">
        <v>99</v>
      </c>
      <c r="V15" s="1" t="s">
        <v>8</v>
      </c>
      <c r="W15" s="1">
        <v>4</v>
      </c>
      <c r="X15" s="1">
        <v>1</v>
      </c>
      <c r="Y15" s="1">
        <v>1</v>
      </c>
      <c r="Z15" s="1">
        <v>4</v>
      </c>
    </row>
    <row r="16" spans="1:26" ht="30" x14ac:dyDescent="0.25">
      <c r="A16" s="1">
        <f>Schedule!A16</f>
        <v>2022</v>
      </c>
      <c r="B16" s="1" t="str">
        <f>Schedule!B16</f>
        <v>Interlake</v>
      </c>
      <c r="C16" s="1" t="str">
        <f>Schedule!C16</f>
        <v>Exxel Pacific</v>
      </c>
      <c r="D16" s="1">
        <v>18</v>
      </c>
      <c r="E16" s="2">
        <v>232454</v>
      </c>
      <c r="F16" s="2">
        <f t="shared" si="0"/>
        <v>12914.111111111111</v>
      </c>
      <c r="G16" s="2">
        <v>242637</v>
      </c>
      <c r="H16" s="2">
        <f t="shared" si="1"/>
        <v>13479.833333333334</v>
      </c>
      <c r="I16" s="33">
        <v>4757</v>
      </c>
      <c r="K16" s="3">
        <f>I16/Schedule!D16</f>
        <v>264.27777777777777</v>
      </c>
      <c r="M16" s="1" t="s">
        <v>130</v>
      </c>
      <c r="N16" s="1" t="s">
        <v>131</v>
      </c>
      <c r="O16" s="1" t="s">
        <v>129</v>
      </c>
      <c r="P16" s="1" t="s">
        <v>80</v>
      </c>
      <c r="Q16" s="1" t="s">
        <v>52</v>
      </c>
      <c r="R16" s="1" t="s">
        <v>96</v>
      </c>
      <c r="W16" s="1">
        <v>3</v>
      </c>
      <c r="X16" s="1">
        <v>0</v>
      </c>
      <c r="Y16" s="1">
        <v>0</v>
      </c>
      <c r="Z16" s="1">
        <v>3</v>
      </c>
    </row>
    <row r="17" spans="1:26" ht="30" x14ac:dyDescent="0.25">
      <c r="A17" s="1">
        <f>Schedule!A17</f>
        <v>2015</v>
      </c>
      <c r="B17" s="1" t="str">
        <f>Schedule!B17</f>
        <v>Rooster</v>
      </c>
      <c r="C17" s="1" t="str">
        <f>Schedule!C17</f>
        <v>Exxel Pacific</v>
      </c>
      <c r="D17" s="1">
        <v>197</v>
      </c>
      <c r="E17" s="2">
        <v>1935285</v>
      </c>
      <c r="F17" s="2">
        <f t="shared" si="0"/>
        <v>9823.7817258883242</v>
      </c>
      <c r="G17" s="2">
        <v>2045883</v>
      </c>
      <c r="H17" s="2">
        <f t="shared" si="1"/>
        <v>10385.192893401016</v>
      </c>
      <c r="I17" s="2">
        <v>48000</v>
      </c>
      <c r="J17" s="2"/>
      <c r="K17" s="3">
        <f>I17/Schedule!D17</f>
        <v>243.65482233502539</v>
      </c>
      <c r="L17" s="1" t="s">
        <v>69</v>
      </c>
      <c r="M17" s="1" t="s">
        <v>126</v>
      </c>
      <c r="N17" s="1" t="s">
        <v>127</v>
      </c>
      <c r="O17" s="1" t="s">
        <v>128</v>
      </c>
      <c r="P17" s="1" t="s">
        <v>102</v>
      </c>
      <c r="Q17" s="1" t="s">
        <v>26</v>
      </c>
      <c r="R17" s="1" t="s">
        <v>94</v>
      </c>
      <c r="S17" s="1" t="s">
        <v>90</v>
      </c>
      <c r="T17" s="1" t="s">
        <v>104</v>
      </c>
      <c r="V17" s="1" t="s">
        <v>8</v>
      </c>
      <c r="W17" s="1">
        <v>7</v>
      </c>
      <c r="X17" s="1">
        <v>2</v>
      </c>
      <c r="Y17" s="1">
        <v>4</v>
      </c>
      <c r="Z17" s="1">
        <v>5</v>
      </c>
    </row>
    <row r="18" spans="1:26" ht="45" x14ac:dyDescent="0.25">
      <c r="A18" s="1">
        <f>Schedule!A18</f>
        <v>2014</v>
      </c>
      <c r="B18" s="1" t="str">
        <f>Schedule!B18</f>
        <v>Pike Motorworks</v>
      </c>
      <c r="C18" s="1" t="str">
        <f>Schedule!C18</f>
        <v>Exxel Pacific</v>
      </c>
      <c r="D18" s="1">
        <v>241</v>
      </c>
      <c r="E18" s="2">
        <v>2661895</v>
      </c>
      <c r="F18" s="2">
        <f t="shared" si="0"/>
        <v>11045.207468879667</v>
      </c>
      <c r="G18" s="2"/>
      <c r="H18" s="2">
        <f t="shared" si="1"/>
        <v>0</v>
      </c>
      <c r="I18" s="2">
        <v>65000</v>
      </c>
      <c r="J18" s="2">
        <v>70000</v>
      </c>
      <c r="K18" s="3">
        <f>I18/Schedule!D18</f>
        <v>251.93798449612405</v>
      </c>
      <c r="L18" s="1" t="s">
        <v>68</v>
      </c>
      <c r="M18" s="1" t="s">
        <v>111</v>
      </c>
      <c r="N18" s="1" t="s">
        <v>112</v>
      </c>
      <c r="O18" s="1" t="s">
        <v>113</v>
      </c>
      <c r="P18" s="1" t="s">
        <v>88</v>
      </c>
      <c r="Q18" s="1" t="s">
        <v>25</v>
      </c>
      <c r="R18" s="1" t="s">
        <v>94</v>
      </c>
      <c r="T18" s="1" t="s">
        <v>103</v>
      </c>
      <c r="U18" s="1" t="s">
        <v>141</v>
      </c>
      <c r="V18" s="1" t="s">
        <v>33</v>
      </c>
      <c r="W18" s="1">
        <v>7</v>
      </c>
      <c r="X18" s="1">
        <v>3</v>
      </c>
      <c r="Y18" s="1">
        <v>5</v>
      </c>
      <c r="Z18" s="1">
        <v>5</v>
      </c>
    </row>
    <row r="19" spans="1:26" ht="30" x14ac:dyDescent="0.25">
      <c r="A19" s="1">
        <f>Schedule!A19</f>
        <v>2020</v>
      </c>
      <c r="B19" s="1" t="str">
        <f>Schedule!B19</f>
        <v>Bellevue Main</v>
      </c>
      <c r="C19" s="1" t="str">
        <f>Schedule!C19</f>
        <v>SRM</v>
      </c>
      <c r="D19" s="1">
        <v>256</v>
      </c>
      <c r="E19" s="2">
        <v>3415305</v>
      </c>
      <c r="F19" s="2">
        <f t="shared" si="0"/>
        <v>13341.03515625</v>
      </c>
      <c r="G19" s="2"/>
      <c r="H19" s="2">
        <f t="shared" si="1"/>
        <v>0</v>
      </c>
      <c r="I19" s="2" t="s">
        <v>84</v>
      </c>
      <c r="K19" s="3" t="s">
        <v>84</v>
      </c>
      <c r="L19" s="1" t="s">
        <v>69</v>
      </c>
      <c r="M19" s="1" t="s">
        <v>108</v>
      </c>
      <c r="N19" s="1" t="s">
        <v>109</v>
      </c>
      <c r="O19" s="1" t="s">
        <v>110</v>
      </c>
      <c r="P19" s="1" t="s">
        <v>137</v>
      </c>
      <c r="Q19" s="1" t="s">
        <v>40</v>
      </c>
      <c r="R19" s="1" t="s">
        <v>93</v>
      </c>
      <c r="S19" s="1" t="s">
        <v>90</v>
      </c>
      <c r="V19" s="1" t="s">
        <v>35</v>
      </c>
      <c r="W19" s="1">
        <v>5</v>
      </c>
      <c r="X19" s="1">
        <v>2</v>
      </c>
      <c r="Y19" s="1">
        <v>3</v>
      </c>
      <c r="Z19" s="1">
        <v>4</v>
      </c>
    </row>
    <row r="20" spans="1:26" ht="60" x14ac:dyDescent="0.25">
      <c r="A20" s="1">
        <f>Schedule!A20</f>
        <v>2019</v>
      </c>
      <c r="B20" s="1" t="str">
        <f>Schedule!B20</f>
        <v>8th Republic</v>
      </c>
      <c r="C20" s="1" t="str">
        <f>Schedule!C20</f>
        <v>Exxel Pacific</v>
      </c>
      <c r="D20" s="1">
        <v>211</v>
      </c>
      <c r="E20" s="2">
        <v>2721210</v>
      </c>
      <c r="F20" s="2">
        <f t="shared" si="0"/>
        <v>12896.729857819906</v>
      </c>
      <c r="G20" s="2"/>
      <c r="H20" s="2">
        <f t="shared" si="1"/>
        <v>0</v>
      </c>
      <c r="I20" s="2">
        <v>70000</v>
      </c>
      <c r="J20" s="2"/>
      <c r="K20" s="3">
        <f>I20/Schedule!D20</f>
        <v>331.7535545023697</v>
      </c>
      <c r="L20" s="1" t="s">
        <v>68</v>
      </c>
      <c r="M20" s="1" t="s">
        <v>114</v>
      </c>
      <c r="N20" s="1" t="s">
        <v>115</v>
      </c>
      <c r="O20" s="1" t="s">
        <v>116</v>
      </c>
      <c r="P20" s="1" t="s">
        <v>88</v>
      </c>
      <c r="Q20" s="1" t="s">
        <v>27</v>
      </c>
      <c r="R20" s="1" t="s">
        <v>94</v>
      </c>
      <c r="S20" s="1" t="s">
        <v>90</v>
      </c>
      <c r="T20" s="1" t="s">
        <v>103</v>
      </c>
      <c r="U20" s="1" t="s">
        <v>140</v>
      </c>
      <c r="V20" s="1" t="s">
        <v>8</v>
      </c>
      <c r="W20" s="1">
        <v>8</v>
      </c>
      <c r="X20" s="1">
        <v>2</v>
      </c>
      <c r="Y20" s="1">
        <v>10</v>
      </c>
      <c r="Z20" s="1">
        <v>0</v>
      </c>
    </row>
    <row r="21" spans="1:26" ht="45" x14ac:dyDescent="0.25">
      <c r="A21" s="1">
        <f>Schedule!A21</f>
        <v>2024</v>
      </c>
      <c r="B21" s="1" t="str">
        <f>Schedule!B21</f>
        <v>Merrill Gardens</v>
      </c>
      <c r="C21" s="1" t="str">
        <f>Schedule!C21</f>
        <v>SRM</v>
      </c>
      <c r="D21" s="1">
        <v>104</v>
      </c>
      <c r="E21" s="2">
        <v>1763480</v>
      </c>
      <c r="F21" s="2">
        <f t="shared" si="0"/>
        <v>16956.538461538461</v>
      </c>
      <c r="G21" s="2"/>
      <c r="H21" s="2">
        <f t="shared" si="1"/>
        <v>0</v>
      </c>
      <c r="I21" s="1" t="s">
        <v>84</v>
      </c>
      <c r="K21" s="3" t="e">
        <f>I21/Schedule!D21</f>
        <v>#VALUE!</v>
      </c>
      <c r="L21" s="1" t="s">
        <v>69</v>
      </c>
      <c r="M21" s="1" t="s">
        <v>117</v>
      </c>
      <c r="N21" s="1" t="s">
        <v>118</v>
      </c>
      <c r="O21" s="1" t="s">
        <v>119</v>
      </c>
      <c r="P21" s="1" t="s">
        <v>83</v>
      </c>
      <c r="Q21" s="1" t="s">
        <v>53</v>
      </c>
      <c r="R21" s="1" t="s">
        <v>93</v>
      </c>
      <c r="S21" s="1" t="s">
        <v>90</v>
      </c>
      <c r="U21" s="1" t="s">
        <v>138</v>
      </c>
      <c r="V21" s="1" t="s">
        <v>54</v>
      </c>
      <c r="W21" s="1">
        <v>7</v>
      </c>
      <c r="X21" s="1">
        <v>1</v>
      </c>
      <c r="Y21" s="1">
        <v>3</v>
      </c>
      <c r="Z21" s="1">
        <v>5</v>
      </c>
    </row>
    <row r="22" spans="1:26" ht="30" x14ac:dyDescent="0.25">
      <c r="A22" s="1">
        <f>Schedule!A22</f>
        <v>2021</v>
      </c>
      <c r="B22" s="1" t="str">
        <f>Schedule!B22</f>
        <v>Admiral</v>
      </c>
      <c r="C22" s="1" t="str">
        <f>Schedule!C22</f>
        <v>Exxel Pacific</v>
      </c>
      <c r="D22" s="1">
        <v>136</v>
      </c>
      <c r="E22" s="2">
        <v>1558650</v>
      </c>
      <c r="F22" s="2">
        <f t="shared" si="0"/>
        <v>11460.661764705883</v>
      </c>
      <c r="G22" s="2"/>
      <c r="H22" s="2">
        <f t="shared" si="1"/>
        <v>0</v>
      </c>
      <c r="I22" s="33">
        <v>53260</v>
      </c>
      <c r="K22" s="3">
        <f>I22/Schedule!D22</f>
        <v>391.61764705882354</v>
      </c>
      <c r="L22" s="1" t="s">
        <v>68</v>
      </c>
      <c r="M22" s="1" t="s">
        <v>120</v>
      </c>
      <c r="N22" s="1" t="s">
        <v>121</v>
      </c>
      <c r="O22" s="1" t="s">
        <v>122</v>
      </c>
      <c r="P22" s="1" t="s">
        <v>77</v>
      </c>
      <c r="Q22" s="1" t="s">
        <v>52</v>
      </c>
      <c r="R22" s="1" t="s">
        <v>95</v>
      </c>
      <c r="S22" s="1" t="s">
        <v>90</v>
      </c>
      <c r="T22" s="1" t="s">
        <v>101</v>
      </c>
      <c r="U22" s="1" t="s">
        <v>99</v>
      </c>
      <c r="V22" s="1" t="s">
        <v>35</v>
      </c>
      <c r="W22" s="1">
        <v>5</v>
      </c>
      <c r="X22" s="1">
        <v>1</v>
      </c>
      <c r="Y22" s="1">
        <v>2</v>
      </c>
      <c r="Z22" s="1">
        <v>4</v>
      </c>
    </row>
    <row r="23" spans="1:26" ht="30" x14ac:dyDescent="0.25">
      <c r="A23" s="1">
        <f>Schedule!A23</f>
        <v>2023</v>
      </c>
      <c r="B23" s="1" t="str">
        <f>Schedule!B23</f>
        <v>Hadley</v>
      </c>
      <c r="C23" s="1" t="str">
        <f>Schedule!C23</f>
        <v>Chinn</v>
      </c>
      <c r="D23" s="1">
        <v>209</v>
      </c>
      <c r="E23" s="2">
        <v>2469500</v>
      </c>
      <c r="F23" s="2">
        <f t="shared" si="0"/>
        <v>11815.78947368421</v>
      </c>
      <c r="G23" s="2"/>
      <c r="H23" s="2">
        <f t="shared" si="1"/>
        <v>0</v>
      </c>
      <c r="I23" s="33">
        <v>28144</v>
      </c>
      <c r="K23" s="3">
        <f>I23/Schedule!D23</f>
        <v>134.6602870813397</v>
      </c>
      <c r="L23" s="1" t="s">
        <v>69</v>
      </c>
      <c r="M23" s="1" t="s">
        <v>123</v>
      </c>
      <c r="N23" s="1" t="s">
        <v>124</v>
      </c>
      <c r="O23" s="1" t="s">
        <v>125</v>
      </c>
      <c r="P23" s="1" t="s">
        <v>82</v>
      </c>
      <c r="Q23" s="1" t="s">
        <v>50</v>
      </c>
      <c r="R23" s="1" t="s">
        <v>95</v>
      </c>
      <c r="S23" s="1" t="s">
        <v>91</v>
      </c>
      <c r="T23" s="1" t="s">
        <v>101</v>
      </c>
      <c r="U23" s="1" t="s">
        <v>139</v>
      </c>
      <c r="V23" s="1" t="s">
        <v>8</v>
      </c>
      <c r="W23" s="1">
        <v>6</v>
      </c>
      <c r="X23" s="1">
        <v>1</v>
      </c>
      <c r="Y23" s="1">
        <v>3</v>
      </c>
      <c r="Z23" s="1">
        <v>4</v>
      </c>
    </row>
    <row r="24" spans="1:26" ht="45" x14ac:dyDescent="0.25">
      <c r="A24" s="1">
        <f>Schedule!A24</f>
        <v>2028</v>
      </c>
      <c r="B24" s="1" t="str">
        <f>Schedule!B24</f>
        <v>Reserve @ Lynnwood</v>
      </c>
      <c r="C24" s="1" t="str">
        <f>Schedule!C24</f>
        <v>Exxel Pacific</v>
      </c>
      <c r="D24" s="1">
        <v>296</v>
      </c>
      <c r="E24" s="2">
        <v>2979880</v>
      </c>
      <c r="F24" s="2">
        <f t="shared" si="0"/>
        <v>10067.162162162162</v>
      </c>
      <c r="G24" s="2"/>
      <c r="H24" s="2">
        <f t="shared" si="1"/>
        <v>0</v>
      </c>
      <c r="I24" s="33">
        <v>20233</v>
      </c>
      <c r="K24" s="3">
        <f>I24/Schedule!D24</f>
        <v>68.354729729729726</v>
      </c>
      <c r="L24" s="1" t="s">
        <v>69</v>
      </c>
      <c r="M24" s="1" t="s">
        <v>142</v>
      </c>
      <c r="N24" s="1" t="s">
        <v>143</v>
      </c>
      <c r="P24" s="1" t="s">
        <v>76</v>
      </c>
      <c r="Q24" s="1" t="s">
        <v>70</v>
      </c>
      <c r="V24" s="1" t="s">
        <v>166</v>
      </c>
      <c r="W24" s="1">
        <v>5</v>
      </c>
      <c r="X24" s="1">
        <v>1</v>
      </c>
      <c r="Y24" s="1">
        <v>1</v>
      </c>
      <c r="Z24" s="1">
        <v>5</v>
      </c>
    </row>
    <row r="25" spans="1:26" ht="30" x14ac:dyDescent="0.25">
      <c r="A25" s="1">
        <f>Schedule!A28</f>
        <v>2027</v>
      </c>
      <c r="B25" s="1" t="str">
        <f>Schedule!B28</f>
        <v>550 Broadway</v>
      </c>
      <c r="C25" s="1" t="str">
        <f>Schedule!C28</f>
        <v>Exxel Pacific</v>
      </c>
      <c r="D25" s="1">
        <v>170</v>
      </c>
      <c r="E25" s="2">
        <v>2230810</v>
      </c>
      <c r="F25" s="2">
        <f t="shared" si="0"/>
        <v>13122.411764705883</v>
      </c>
      <c r="G25" s="2">
        <v>2275444</v>
      </c>
      <c r="H25" s="2">
        <f t="shared" si="1"/>
        <v>13384.964705882352</v>
      </c>
      <c r="I25" s="33">
        <v>39854</v>
      </c>
      <c r="K25" s="3">
        <f>I25/Schedule!D28</f>
        <v>234.43529411764706</v>
      </c>
      <c r="L25" s="1" t="s">
        <v>68</v>
      </c>
      <c r="M25" s="1" t="s">
        <v>743</v>
      </c>
      <c r="N25" s="1" t="s">
        <v>744</v>
      </c>
      <c r="O25" s="1" t="s">
        <v>745</v>
      </c>
      <c r="P25" s="1" t="s">
        <v>77</v>
      </c>
      <c r="Q25" s="1" t="s">
        <v>52</v>
      </c>
      <c r="V25" s="1" t="s">
        <v>35</v>
      </c>
    </row>
    <row r="26" spans="1:26" ht="45" x14ac:dyDescent="0.25">
      <c r="A26" s="1">
        <f>Schedule!A26</f>
        <v>2026</v>
      </c>
      <c r="B26" s="1" t="s">
        <v>627</v>
      </c>
      <c r="C26" s="1" t="str">
        <f>Schedule!C26</f>
        <v>Synnergy</v>
      </c>
      <c r="D26" s="1">
        <v>49</v>
      </c>
      <c r="E26" s="2">
        <v>825370</v>
      </c>
      <c r="F26" s="2">
        <f t="shared" si="0"/>
        <v>16844.285714285714</v>
      </c>
      <c r="G26" s="2"/>
      <c r="H26" s="2">
        <f t="shared" si="1"/>
        <v>0</v>
      </c>
      <c r="I26" s="33">
        <v>17344</v>
      </c>
      <c r="K26" s="3">
        <f>I26/Schedule!D26</f>
        <v>353.9591836734694</v>
      </c>
      <c r="L26" s="1" t="s">
        <v>69</v>
      </c>
      <c r="M26" s="1" t="s">
        <v>747</v>
      </c>
      <c r="N26" s="1" t="s">
        <v>748</v>
      </c>
      <c r="O26" s="1" t="s">
        <v>746</v>
      </c>
    </row>
    <row r="27" spans="1:26" ht="30" x14ac:dyDescent="0.25">
      <c r="A27" s="1">
        <f>Schedule!A25</f>
        <v>2025</v>
      </c>
      <c r="B27" s="1" t="str">
        <f>Schedule!B25</f>
        <v>The Cora</v>
      </c>
      <c r="C27" s="1" t="str">
        <f>Schedule!C25</f>
        <v>Exxel Pacific</v>
      </c>
      <c r="D27" s="1">
        <v>75</v>
      </c>
      <c r="E27" s="2">
        <v>1179300</v>
      </c>
      <c r="F27" s="2">
        <f t="shared" si="0"/>
        <v>15724</v>
      </c>
      <c r="G27" s="2">
        <v>1202633</v>
      </c>
      <c r="H27" s="2">
        <f t="shared" si="1"/>
        <v>16035.106666666667</v>
      </c>
      <c r="I27" s="33">
        <v>27970</v>
      </c>
      <c r="K27" s="3">
        <f>I27/Schedule!D25</f>
        <v>372.93333333333334</v>
      </c>
      <c r="L27" s="1" t="s">
        <v>69</v>
      </c>
      <c r="M27" s="1" t="s">
        <v>749</v>
      </c>
      <c r="N27" s="1" t="s">
        <v>145</v>
      </c>
      <c r="O27" s="1" t="s">
        <v>750</v>
      </c>
      <c r="P27" s="1" t="s">
        <v>74</v>
      </c>
    </row>
    <row r="28" spans="1:26" ht="30" x14ac:dyDescent="0.25">
      <c r="A28" s="1">
        <f>Schedule!A27</f>
        <v>2029</v>
      </c>
      <c r="B28" s="1" t="str">
        <f>Schedule!B27</f>
        <v>Parsonage</v>
      </c>
      <c r="C28" s="1" t="str">
        <f>Schedule!C27</f>
        <v>Exxel Pacific</v>
      </c>
      <c r="D28" s="1">
        <v>83</v>
      </c>
      <c r="E28" s="2">
        <v>1113220</v>
      </c>
      <c r="F28" s="2">
        <f t="shared" si="0"/>
        <v>13412.289156626506</v>
      </c>
      <c r="G28" s="2">
        <v>1129452</v>
      </c>
      <c r="H28" s="2">
        <f t="shared" si="1"/>
        <v>13607.855421686747</v>
      </c>
      <c r="I28" s="33">
        <v>20121</v>
      </c>
      <c r="K28" s="3">
        <f>I28/Schedule!D27</f>
        <v>242.42168674698794</v>
      </c>
      <c r="L28" s="1" t="s">
        <v>69</v>
      </c>
      <c r="M28" s="1" t="s">
        <v>749</v>
      </c>
      <c r="N28" s="1" t="s">
        <v>751</v>
      </c>
      <c r="O28" s="1" t="s">
        <v>752</v>
      </c>
    </row>
    <row r="29" spans="1:26" ht="30" x14ac:dyDescent="0.25">
      <c r="A29" s="1">
        <f>Schedule!A36</f>
        <v>2030</v>
      </c>
      <c r="B29" s="1" t="str">
        <f>Schedule!B36</f>
        <v>East Union</v>
      </c>
      <c r="C29" s="1" t="str">
        <f>Schedule!C36</f>
        <v>Exxel Pacific</v>
      </c>
      <c r="D29" s="1">
        <v>144</v>
      </c>
      <c r="E29" s="2">
        <v>2135080</v>
      </c>
      <c r="F29" s="2">
        <f t="shared" si="0"/>
        <v>14826.944444444445</v>
      </c>
      <c r="G29" s="2">
        <v>2322781</v>
      </c>
      <c r="H29" s="2">
        <f t="shared" si="1"/>
        <v>16130.423611111111</v>
      </c>
      <c r="K29" s="3">
        <f>I29/Schedule!D29</f>
        <v>0</v>
      </c>
      <c r="L29" s="1" t="s">
        <v>69</v>
      </c>
      <c r="M29" s="1" t="s">
        <v>665</v>
      </c>
      <c r="N29" s="1" t="s">
        <v>768</v>
      </c>
      <c r="O29" s="1" t="s">
        <v>769</v>
      </c>
      <c r="P29" s="1" t="s">
        <v>102</v>
      </c>
    </row>
    <row r="30" spans="1:26" ht="30" x14ac:dyDescent="0.25">
      <c r="A30" s="1">
        <v>2031</v>
      </c>
      <c r="B30" s="1" t="s">
        <v>630</v>
      </c>
      <c r="C30" s="1" t="s">
        <v>4</v>
      </c>
      <c r="D30" s="1">
        <v>398</v>
      </c>
      <c r="E30" s="2">
        <v>5051600</v>
      </c>
      <c r="F30" s="2">
        <f t="shared" si="0"/>
        <v>12692.462311557789</v>
      </c>
      <c r="G30" s="2">
        <v>5187754</v>
      </c>
      <c r="H30" s="2">
        <f t="shared" si="1"/>
        <v>13034.557788944723</v>
      </c>
      <c r="K30" s="3"/>
      <c r="L30" s="1" t="s">
        <v>69</v>
      </c>
      <c r="M30" s="1" t="s">
        <v>667</v>
      </c>
      <c r="N30" s="1" t="s">
        <v>668</v>
      </c>
      <c r="O30" s="1" t="s">
        <v>669</v>
      </c>
      <c r="P30" s="1" t="s">
        <v>511</v>
      </c>
      <c r="Q30" s="1" t="s">
        <v>26</v>
      </c>
    </row>
    <row r="31" spans="1:26" x14ac:dyDescent="0.25">
      <c r="A31" s="1">
        <v>2032</v>
      </c>
      <c r="B31" s="1" t="s">
        <v>454</v>
      </c>
      <c r="C31" s="1" t="s">
        <v>165</v>
      </c>
      <c r="D31" s="1">
        <v>71</v>
      </c>
      <c r="E31" s="2">
        <v>685300</v>
      </c>
      <c r="F31" s="2">
        <f t="shared" si="0"/>
        <v>9652.1126760563384</v>
      </c>
      <c r="G31" s="2">
        <v>726903</v>
      </c>
      <c r="H31" s="2">
        <f t="shared" si="1"/>
        <v>10238.070422535211</v>
      </c>
      <c r="K31" s="3"/>
      <c r="L31" s="1" t="s">
        <v>69</v>
      </c>
      <c r="M31" s="1" t="s">
        <v>134</v>
      </c>
      <c r="N31" s="1" t="s">
        <v>781</v>
      </c>
    </row>
    <row r="32" spans="1:26" ht="30" x14ac:dyDescent="0.25">
      <c r="A32" s="1">
        <v>2033</v>
      </c>
      <c r="B32" s="1" t="s">
        <v>628</v>
      </c>
      <c r="C32" s="1" t="s">
        <v>230</v>
      </c>
      <c r="D32" s="1">
        <v>137</v>
      </c>
      <c r="E32" s="2">
        <v>2447600</v>
      </c>
      <c r="F32" s="2">
        <f t="shared" si="0"/>
        <v>17865.693430656935</v>
      </c>
      <c r="G32" s="2">
        <v>2286188</v>
      </c>
      <c r="H32" s="2">
        <f t="shared" si="1"/>
        <v>16687.503649635037</v>
      </c>
      <c r="K32" s="3">
        <f>I32/Schedule!D42</f>
        <v>0</v>
      </c>
      <c r="L32" s="1" t="s">
        <v>68</v>
      </c>
      <c r="M32" s="1" t="s">
        <v>290</v>
      </c>
      <c r="N32" s="1" t="s">
        <v>291</v>
      </c>
      <c r="O32" s="1" t="s">
        <v>292</v>
      </c>
      <c r="P32" s="1" t="s">
        <v>677</v>
      </c>
    </row>
    <row r="33" spans="1:21" x14ac:dyDescent="0.25">
      <c r="A33" s="1">
        <v>2034</v>
      </c>
      <c r="B33" s="1" t="s">
        <v>629</v>
      </c>
      <c r="C33" s="1" t="s">
        <v>230</v>
      </c>
      <c r="D33" s="1">
        <v>128</v>
      </c>
      <c r="E33" s="2">
        <v>1784000</v>
      </c>
      <c r="F33" s="2">
        <f t="shared" si="0"/>
        <v>13937.5</v>
      </c>
      <c r="G33" s="2">
        <v>1842651</v>
      </c>
      <c r="H33" s="2">
        <f t="shared" si="1"/>
        <v>14395.7109375</v>
      </c>
      <c r="K33" s="3">
        <f>I33/Schedule!D35</f>
        <v>0</v>
      </c>
      <c r="L33" s="1" t="s">
        <v>68</v>
      </c>
      <c r="M33" s="1" t="s">
        <v>731</v>
      </c>
      <c r="N33" s="1" t="s">
        <v>732</v>
      </c>
      <c r="O33" s="1" t="s">
        <v>733</v>
      </c>
      <c r="P33" s="1" t="s">
        <v>677</v>
      </c>
      <c r="Q33" s="1" t="s">
        <v>262</v>
      </c>
      <c r="R33" s="1" t="s">
        <v>734</v>
      </c>
      <c r="U33" s="1" t="s">
        <v>735</v>
      </c>
    </row>
    <row r="34" spans="1:21" x14ac:dyDescent="0.25">
      <c r="A34" s="1">
        <v>2035</v>
      </c>
      <c r="B34" s="1" t="s">
        <v>265</v>
      </c>
      <c r="C34" s="1" t="s">
        <v>257</v>
      </c>
      <c r="D34" s="1">
        <v>97</v>
      </c>
      <c r="E34" s="2">
        <v>717400</v>
      </c>
      <c r="F34" s="2">
        <f t="shared" si="0"/>
        <v>7395.8762886597942</v>
      </c>
      <c r="G34" s="2">
        <f>E34+5500</f>
        <v>722900</v>
      </c>
      <c r="H34" s="2">
        <f t="shared" si="1"/>
        <v>7452.5773195876291</v>
      </c>
      <c r="K34" s="3">
        <f>I34/Schedule!D30</f>
        <v>0</v>
      </c>
      <c r="L34" s="1" t="s">
        <v>69</v>
      </c>
      <c r="M34" s="1" t="s">
        <v>679</v>
      </c>
    </row>
    <row r="35" spans="1:21" x14ac:dyDescent="0.25">
      <c r="A35" s="1">
        <v>2036</v>
      </c>
      <c r="B35" s="1" t="s">
        <v>249</v>
      </c>
      <c r="C35" s="1" t="s">
        <v>4</v>
      </c>
      <c r="D35" s="1">
        <v>31</v>
      </c>
      <c r="E35" s="2">
        <v>388515</v>
      </c>
      <c r="F35" s="2">
        <f t="shared" si="0"/>
        <v>12532.741935483871</v>
      </c>
      <c r="G35" s="2">
        <v>418677</v>
      </c>
      <c r="H35" s="2">
        <f t="shared" si="1"/>
        <v>13505.709677419354</v>
      </c>
      <c r="K35" s="3">
        <f>I35/Schedule!D36</f>
        <v>0</v>
      </c>
      <c r="L35" s="1" t="s">
        <v>69</v>
      </c>
      <c r="M35" s="1" t="s">
        <v>753</v>
      </c>
      <c r="N35" s="1" t="s">
        <v>755</v>
      </c>
      <c r="O35" s="1" t="s">
        <v>754</v>
      </c>
    </row>
    <row r="36" spans="1:21" ht="30" x14ac:dyDescent="0.25">
      <c r="A36" s="1">
        <v>2037</v>
      </c>
      <c r="B36" s="1" t="s">
        <v>615</v>
      </c>
      <c r="C36" s="1" t="s">
        <v>237</v>
      </c>
      <c r="D36" s="1">
        <v>122</v>
      </c>
      <c r="E36" s="2">
        <v>1920850</v>
      </c>
      <c r="F36" s="2">
        <f t="shared" si="0"/>
        <v>15744.672131147541</v>
      </c>
      <c r="G36" s="2">
        <v>2076783</v>
      </c>
      <c r="H36" s="2">
        <f t="shared" si="1"/>
        <v>17022.811475409835</v>
      </c>
      <c r="K36" s="3">
        <f>I36/Schedule!D32</f>
        <v>0</v>
      </c>
      <c r="L36" s="1" t="s">
        <v>69</v>
      </c>
      <c r="M36" s="1" t="s">
        <v>736</v>
      </c>
      <c r="N36" s="1" t="s">
        <v>737</v>
      </c>
    </row>
    <row r="37" spans="1:21" x14ac:dyDescent="0.25">
      <c r="A37" s="1">
        <v>2038</v>
      </c>
      <c r="B37" s="1" t="s">
        <v>258</v>
      </c>
      <c r="C37" s="1" t="s">
        <v>230</v>
      </c>
      <c r="D37" s="1">
        <v>80</v>
      </c>
      <c r="E37" s="2">
        <v>1175378</v>
      </c>
      <c r="F37" s="2">
        <f t="shared" si="0"/>
        <v>14692.225</v>
      </c>
      <c r="G37" s="2">
        <v>1195660</v>
      </c>
      <c r="H37" s="2">
        <f t="shared" si="1"/>
        <v>14945.75</v>
      </c>
      <c r="L37" s="1" t="s">
        <v>68</v>
      </c>
      <c r="M37" s="1" t="s">
        <v>673</v>
      </c>
      <c r="N37" s="1" t="s">
        <v>756</v>
      </c>
      <c r="O37" s="1" t="s">
        <v>757</v>
      </c>
      <c r="P37" s="1" t="s">
        <v>677</v>
      </c>
    </row>
    <row r="38" spans="1:21" ht="30" x14ac:dyDescent="0.25">
      <c r="A38" s="1">
        <v>2039</v>
      </c>
      <c r="B38" s="1" t="s">
        <v>610</v>
      </c>
      <c r="C38" s="1" t="s">
        <v>209</v>
      </c>
      <c r="D38" s="1" t="s">
        <v>388</v>
      </c>
      <c r="E38" s="2">
        <v>54900</v>
      </c>
      <c r="F38" s="2"/>
      <c r="G38" s="2"/>
      <c r="H38" s="2"/>
      <c r="L38" s="1" t="s">
        <v>69</v>
      </c>
      <c r="M38" s="1" t="s">
        <v>110</v>
      </c>
      <c r="N38" s="1" t="s">
        <v>117</v>
      </c>
    </row>
    <row r="39" spans="1:21" x14ac:dyDescent="0.25">
      <c r="A39" s="1">
        <v>2040</v>
      </c>
      <c r="B39" s="1" t="s">
        <v>611</v>
      </c>
      <c r="C39" s="1" t="s">
        <v>165</v>
      </c>
      <c r="D39" s="1">
        <v>55</v>
      </c>
      <c r="E39" s="2">
        <v>604000</v>
      </c>
      <c r="F39" s="2">
        <f t="shared" si="0"/>
        <v>10981.818181818182</v>
      </c>
      <c r="G39" s="2">
        <v>624171</v>
      </c>
      <c r="H39" s="2">
        <f t="shared" si="1"/>
        <v>11348.563636363637</v>
      </c>
      <c r="L39" s="1" t="s">
        <v>69</v>
      </c>
      <c r="M39" s="1" t="s">
        <v>134</v>
      </c>
      <c r="N39" s="1" t="s">
        <v>759</v>
      </c>
      <c r="O39" s="1" t="s">
        <v>758</v>
      </c>
    </row>
    <row r="40" spans="1:21" x14ac:dyDescent="0.25">
      <c r="A40" s="1">
        <v>2041</v>
      </c>
      <c r="B40" s="1" t="s">
        <v>454</v>
      </c>
      <c r="C40" s="1" t="s">
        <v>5</v>
      </c>
      <c r="D40" s="1">
        <v>108</v>
      </c>
      <c r="E40" s="2">
        <v>1766205</v>
      </c>
      <c r="F40" s="2">
        <f t="shared" si="0"/>
        <v>16353.75</v>
      </c>
      <c r="G40" s="2">
        <v>1878824</v>
      </c>
      <c r="H40" s="2">
        <f t="shared" si="1"/>
        <v>17396.518518518518</v>
      </c>
      <c r="L40" s="1" t="s">
        <v>69</v>
      </c>
      <c r="M40" s="1" t="s">
        <v>738</v>
      </c>
      <c r="N40" s="1" t="s">
        <v>760</v>
      </c>
      <c r="O40" s="1" t="s">
        <v>761</v>
      </c>
    </row>
    <row r="41" spans="1:21" ht="30" x14ac:dyDescent="0.25">
      <c r="A41" s="1">
        <v>2042</v>
      </c>
      <c r="B41" s="1" t="s">
        <v>612</v>
      </c>
      <c r="C41" s="1" t="s">
        <v>209</v>
      </c>
      <c r="D41" s="1">
        <v>72</v>
      </c>
      <c r="E41" s="2">
        <v>906587</v>
      </c>
      <c r="F41" s="2">
        <f t="shared" si="0"/>
        <v>12591.486111111111</v>
      </c>
      <c r="G41" s="2">
        <f>E41+15775</f>
        <v>922362</v>
      </c>
      <c r="H41" s="2">
        <f t="shared" si="1"/>
        <v>12810.583333333334</v>
      </c>
      <c r="L41" s="1" t="s">
        <v>69</v>
      </c>
      <c r="M41" s="1" t="s">
        <v>110</v>
      </c>
      <c r="N41" s="1" t="s">
        <v>117</v>
      </c>
      <c r="O41" s="1" t="s">
        <v>739</v>
      </c>
      <c r="P41" s="1" t="s">
        <v>209</v>
      </c>
    </row>
    <row r="42" spans="1:21" x14ac:dyDescent="0.25">
      <c r="A42" s="1">
        <v>2043</v>
      </c>
      <c r="B42" s="1" t="s">
        <v>294</v>
      </c>
      <c r="C42" s="1" t="s">
        <v>230</v>
      </c>
      <c r="D42" s="1">
        <v>98</v>
      </c>
      <c r="E42" s="2">
        <v>1576200</v>
      </c>
      <c r="F42" s="2">
        <f t="shared" si="0"/>
        <v>16083.673469387755</v>
      </c>
      <c r="G42" s="2">
        <v>1583445</v>
      </c>
      <c r="H42" s="2">
        <f t="shared" si="1"/>
        <v>16157.602040816326</v>
      </c>
      <c r="L42" s="1" t="s">
        <v>69</v>
      </c>
      <c r="M42" s="1" t="s">
        <v>740</v>
      </c>
      <c r="N42" s="1" t="s">
        <v>741</v>
      </c>
      <c r="O42" s="1" t="s">
        <v>742</v>
      </c>
      <c r="P42" s="1" t="s">
        <v>330</v>
      </c>
    </row>
    <row r="43" spans="1:21" ht="30" x14ac:dyDescent="0.25">
      <c r="A43" s="1">
        <v>2044</v>
      </c>
      <c r="B43" s="1" t="s">
        <v>613</v>
      </c>
      <c r="C43" s="1" t="s">
        <v>165</v>
      </c>
      <c r="D43" s="1">
        <v>75</v>
      </c>
      <c r="E43" s="2">
        <v>832900</v>
      </c>
      <c r="F43" s="2">
        <f t="shared" si="0"/>
        <v>11105.333333333334</v>
      </c>
      <c r="G43" s="2">
        <v>855264</v>
      </c>
      <c r="H43" s="2">
        <f t="shared" si="1"/>
        <v>11403.52</v>
      </c>
      <c r="L43" s="1" t="s">
        <v>69</v>
      </c>
      <c r="M43" s="1" t="s">
        <v>134</v>
      </c>
      <c r="N43" s="1" t="s">
        <v>776</v>
      </c>
      <c r="O43" s="1" t="s">
        <v>758</v>
      </c>
      <c r="P43" s="1" t="s">
        <v>165</v>
      </c>
    </row>
    <row r="44" spans="1:21" ht="45" x14ac:dyDescent="0.25">
      <c r="A44" s="1">
        <v>2045</v>
      </c>
      <c r="B44" s="1" t="s">
        <v>620</v>
      </c>
      <c r="C44" s="1" t="s">
        <v>369</v>
      </c>
      <c r="D44" s="1">
        <v>158</v>
      </c>
      <c r="E44" s="2">
        <v>1898200</v>
      </c>
      <c r="F44" s="2">
        <f t="shared" si="0"/>
        <v>12013.924050632912</v>
      </c>
      <c r="G44" s="2">
        <v>2110205</v>
      </c>
      <c r="H44" s="2">
        <f t="shared" si="1"/>
        <v>13355.727848101265</v>
      </c>
      <c r="L44" s="1" t="s">
        <v>69</v>
      </c>
      <c r="M44" s="1" t="s">
        <v>763</v>
      </c>
      <c r="N44" s="1" t="s">
        <v>762</v>
      </c>
      <c r="O44" s="1" t="s">
        <v>764</v>
      </c>
    </row>
    <row r="45" spans="1:21" ht="30" x14ac:dyDescent="0.25">
      <c r="A45" s="1">
        <v>2046</v>
      </c>
      <c r="B45" s="1" t="s">
        <v>614</v>
      </c>
      <c r="C45" s="1" t="s">
        <v>237</v>
      </c>
      <c r="D45" s="1">
        <v>110</v>
      </c>
      <c r="E45" s="2">
        <v>1648500</v>
      </c>
      <c r="F45" s="2">
        <f t="shared" si="0"/>
        <v>14986.363636363636</v>
      </c>
      <c r="G45" s="2">
        <v>1721867</v>
      </c>
      <c r="H45" s="2">
        <f t="shared" si="1"/>
        <v>15653.336363636363</v>
      </c>
      <c r="L45" s="1" t="s">
        <v>69</v>
      </c>
      <c r="M45" s="1" t="s">
        <v>765</v>
      </c>
      <c r="N45" s="1" t="s">
        <v>767</v>
      </c>
      <c r="O45" s="1" t="s">
        <v>766</v>
      </c>
    </row>
    <row r="46" spans="1:21" ht="30" x14ac:dyDescent="0.25">
      <c r="A46" s="1">
        <v>2047</v>
      </c>
      <c r="B46" s="1" t="s">
        <v>616</v>
      </c>
      <c r="C46" s="1" t="s">
        <v>369</v>
      </c>
      <c r="D46" s="1">
        <v>70</v>
      </c>
      <c r="E46" s="2">
        <v>475800</v>
      </c>
      <c r="F46" s="2">
        <f t="shared" si="0"/>
        <v>6797.1428571428569</v>
      </c>
      <c r="G46" s="2">
        <v>553189</v>
      </c>
      <c r="H46" s="2">
        <f t="shared" si="1"/>
        <v>7902.7</v>
      </c>
      <c r="L46" s="1" t="s">
        <v>69</v>
      </c>
      <c r="M46" s="1" t="s">
        <v>144</v>
      </c>
      <c r="N46" s="1" t="s">
        <v>770</v>
      </c>
      <c r="O46" s="1" t="s">
        <v>771</v>
      </c>
    </row>
    <row r="47" spans="1:21" ht="30" x14ac:dyDescent="0.25">
      <c r="A47" s="1">
        <v>2048</v>
      </c>
      <c r="B47" s="1" t="s">
        <v>617</v>
      </c>
      <c r="C47" s="1" t="s">
        <v>369</v>
      </c>
      <c r="D47" s="1">
        <v>72</v>
      </c>
      <c r="E47" s="2">
        <v>498700</v>
      </c>
      <c r="F47" s="2">
        <f t="shared" si="0"/>
        <v>6926.3888888888887</v>
      </c>
      <c r="G47" s="2">
        <v>517068</v>
      </c>
      <c r="H47" s="2">
        <f t="shared" si="1"/>
        <v>7181.5</v>
      </c>
      <c r="L47" s="1" t="s">
        <v>69</v>
      </c>
      <c r="M47" s="1" t="s">
        <v>144</v>
      </c>
      <c r="N47" s="1" t="s">
        <v>772</v>
      </c>
      <c r="O47" s="1" t="s">
        <v>771</v>
      </c>
    </row>
    <row r="48" spans="1:21" ht="30" x14ac:dyDescent="0.25">
      <c r="A48" s="1">
        <v>2049</v>
      </c>
      <c r="B48" s="1" t="s">
        <v>618</v>
      </c>
      <c r="C48" s="1" t="s">
        <v>4</v>
      </c>
      <c r="D48" s="1">
        <v>296</v>
      </c>
      <c r="E48" s="2">
        <v>2588665</v>
      </c>
      <c r="F48" s="2">
        <f t="shared" si="0"/>
        <v>8745.489864864865</v>
      </c>
      <c r="G48" s="2">
        <f>E48+100761</f>
        <v>2689426</v>
      </c>
      <c r="H48" s="2">
        <f t="shared" si="1"/>
        <v>9085.8986486486483</v>
      </c>
      <c r="L48" s="1" t="s">
        <v>69</v>
      </c>
      <c r="M48" s="1" t="s">
        <v>665</v>
      </c>
      <c r="N48" s="1" t="s">
        <v>666</v>
      </c>
      <c r="O48" s="1" t="s">
        <v>279</v>
      </c>
      <c r="P48" s="1" t="s">
        <v>594</v>
      </c>
    </row>
    <row r="49" spans="1:17" x14ac:dyDescent="0.25">
      <c r="A49" s="1">
        <v>2050</v>
      </c>
      <c r="B49" s="1" t="s">
        <v>619</v>
      </c>
      <c r="C49" s="1" t="s">
        <v>230</v>
      </c>
      <c r="D49" s="1">
        <v>50</v>
      </c>
      <c r="E49" s="2">
        <v>897800</v>
      </c>
      <c r="F49" s="2">
        <f t="shared" si="0"/>
        <v>17956</v>
      </c>
      <c r="G49" s="2">
        <v>918566</v>
      </c>
      <c r="H49" s="2">
        <f t="shared" si="1"/>
        <v>18371.32</v>
      </c>
      <c r="L49" s="1" t="s">
        <v>69</v>
      </c>
      <c r="M49" s="1" t="s">
        <v>773</v>
      </c>
      <c r="N49" s="1" t="s">
        <v>775</v>
      </c>
      <c r="O49" s="1" t="s">
        <v>774</v>
      </c>
    </row>
    <row r="50" spans="1:17" ht="30" x14ac:dyDescent="0.25">
      <c r="A50" s="1">
        <v>2051</v>
      </c>
      <c r="B50" s="1" t="s">
        <v>416</v>
      </c>
      <c r="C50" s="1" t="s">
        <v>230</v>
      </c>
      <c r="D50" s="1">
        <v>163</v>
      </c>
      <c r="E50" s="2">
        <v>2672000</v>
      </c>
      <c r="F50" s="2">
        <f t="shared" si="0"/>
        <v>16392.638036809814</v>
      </c>
      <c r="G50" s="2"/>
      <c r="H50" s="2"/>
      <c r="L50" s="1" t="s">
        <v>69</v>
      </c>
      <c r="M50" s="1" t="s">
        <v>673</v>
      </c>
      <c r="N50" s="1" t="s">
        <v>674</v>
      </c>
      <c r="O50" s="1" t="s">
        <v>675</v>
      </c>
      <c r="P50" s="1" t="s">
        <v>639</v>
      </c>
    </row>
    <row r="51" spans="1:17" x14ac:dyDescent="0.25">
      <c r="A51" s="1">
        <v>2052</v>
      </c>
      <c r="B51" s="1" t="s">
        <v>375</v>
      </c>
      <c r="C51" s="1" t="s">
        <v>625</v>
      </c>
      <c r="D51" s="1">
        <v>107</v>
      </c>
      <c r="E51" s="2">
        <v>2134000</v>
      </c>
      <c r="F51" s="2">
        <f t="shared" si="0"/>
        <v>19943.925233644859</v>
      </c>
      <c r="G51" s="2"/>
      <c r="H51" s="2"/>
      <c r="L51" s="1" t="s">
        <v>69</v>
      </c>
      <c r="M51" s="1" t="s">
        <v>670</v>
      </c>
      <c r="N51" s="1" t="s">
        <v>671</v>
      </c>
      <c r="O51" s="1" t="s">
        <v>672</v>
      </c>
      <c r="P51" s="1" t="s">
        <v>572</v>
      </c>
    </row>
    <row r="52" spans="1:17" x14ac:dyDescent="0.25">
      <c r="A52" s="1">
        <v>2053</v>
      </c>
      <c r="B52" s="1" t="s">
        <v>368</v>
      </c>
      <c r="C52" s="1" t="s">
        <v>230</v>
      </c>
      <c r="D52" s="1">
        <v>135</v>
      </c>
      <c r="E52" s="2">
        <v>2241309</v>
      </c>
      <c r="F52" s="2">
        <f t="shared" si="0"/>
        <v>16602.288888888888</v>
      </c>
      <c r="G52" s="2"/>
      <c r="H52" s="2"/>
      <c r="L52" s="1" t="s">
        <v>68</v>
      </c>
      <c r="M52" s="1" t="s">
        <v>292</v>
      </c>
      <c r="N52" s="1" t="s">
        <v>291</v>
      </c>
      <c r="O52" s="1" t="s">
        <v>676</v>
      </c>
      <c r="P52" s="1" t="s">
        <v>677</v>
      </c>
    </row>
    <row r="53" spans="1:17" x14ac:dyDescent="0.25">
      <c r="A53" s="1">
        <v>2054</v>
      </c>
      <c r="B53" s="1" t="s">
        <v>621</v>
      </c>
      <c r="C53" s="1" t="s">
        <v>165</v>
      </c>
      <c r="D53" s="1">
        <v>63</v>
      </c>
      <c r="E53" s="2">
        <v>785600</v>
      </c>
      <c r="F53" s="2">
        <f t="shared" si="0"/>
        <v>12469.84126984127</v>
      </c>
      <c r="G53" s="2"/>
      <c r="H53" s="2"/>
      <c r="L53" s="1" t="s">
        <v>69</v>
      </c>
      <c r="M53" s="1" t="s">
        <v>134</v>
      </c>
      <c r="N53" s="1" t="s">
        <v>682</v>
      </c>
      <c r="O53" s="1" t="s">
        <v>683</v>
      </c>
      <c r="P53" s="1" t="s">
        <v>165</v>
      </c>
    </row>
    <row r="54" spans="1:17" x14ac:dyDescent="0.25">
      <c r="A54" s="1">
        <v>2055</v>
      </c>
      <c r="B54" s="1" t="s">
        <v>585</v>
      </c>
      <c r="C54" s="1" t="s">
        <v>165</v>
      </c>
      <c r="D54" s="1">
        <v>98</v>
      </c>
      <c r="E54" s="2">
        <f>1142340+151002</f>
        <v>1293342</v>
      </c>
      <c r="F54" s="2">
        <f t="shared" si="0"/>
        <v>13197.367346938776</v>
      </c>
      <c r="G54" s="2"/>
      <c r="H54" s="2"/>
      <c r="L54" s="1" t="s">
        <v>69</v>
      </c>
    </row>
    <row r="55" spans="1:17" ht="30" x14ac:dyDescent="0.25">
      <c r="A55" s="1">
        <v>2056</v>
      </c>
      <c r="B55" s="1" t="s">
        <v>460</v>
      </c>
      <c r="C55" s="1" t="s">
        <v>4</v>
      </c>
      <c r="D55" s="1">
        <v>321</v>
      </c>
      <c r="E55" s="2">
        <v>5877400</v>
      </c>
      <c r="F55" s="2">
        <f t="shared" si="0"/>
        <v>18309.657320872273</v>
      </c>
      <c r="G55" s="2"/>
      <c r="H55" s="2"/>
      <c r="K55" s="3"/>
      <c r="L55" s="1" t="s">
        <v>68</v>
      </c>
      <c r="M55" s="1" t="s">
        <v>678</v>
      </c>
      <c r="N55" s="1" t="s">
        <v>684</v>
      </c>
      <c r="O55" s="1" t="s">
        <v>685</v>
      </c>
      <c r="P55" s="1" t="s">
        <v>77</v>
      </c>
    </row>
    <row r="56" spans="1:17" x14ac:dyDescent="0.25">
      <c r="A56" s="1">
        <v>2057</v>
      </c>
      <c r="B56" s="1" t="s">
        <v>622</v>
      </c>
      <c r="C56" s="1" t="s">
        <v>257</v>
      </c>
      <c r="D56" s="1">
        <v>111</v>
      </c>
      <c r="E56" s="2">
        <v>1098897</v>
      </c>
      <c r="F56" s="2">
        <f t="shared" si="0"/>
        <v>9899.9729729729734</v>
      </c>
      <c r="G56" s="2"/>
      <c r="H56" s="2"/>
      <c r="K56" s="3"/>
      <c r="L56" s="1" t="s">
        <v>69</v>
      </c>
      <c r="M56" s="1" t="s">
        <v>679</v>
      </c>
      <c r="N56" s="1" t="s">
        <v>686</v>
      </c>
      <c r="O56" s="1" t="s">
        <v>388</v>
      </c>
      <c r="P56" s="1" t="s">
        <v>257</v>
      </c>
    </row>
    <row r="57" spans="1:17" ht="30" x14ac:dyDescent="0.25">
      <c r="A57" s="1">
        <v>2058</v>
      </c>
      <c r="B57" s="1" t="s">
        <v>484</v>
      </c>
      <c r="C57" s="1" t="s">
        <v>165</v>
      </c>
      <c r="D57" s="1">
        <v>76</v>
      </c>
      <c r="E57" s="2">
        <v>928800</v>
      </c>
      <c r="F57" s="2">
        <f t="shared" si="0"/>
        <v>12221.052631578947</v>
      </c>
      <c r="G57" s="2"/>
      <c r="H57" s="2"/>
      <c r="K57" s="3"/>
      <c r="L57" s="1" t="s">
        <v>69</v>
      </c>
      <c r="M57" s="1" t="s">
        <v>134</v>
      </c>
      <c r="N57" s="1" t="s">
        <v>776</v>
      </c>
      <c r="O57" s="1" t="s">
        <v>758</v>
      </c>
      <c r="P57" s="1" t="s">
        <v>165</v>
      </c>
    </row>
    <row r="58" spans="1:17" ht="60" x14ac:dyDescent="0.25">
      <c r="A58" s="1">
        <v>2059</v>
      </c>
      <c r="B58" s="1" t="s">
        <v>483</v>
      </c>
      <c r="C58" s="1" t="s">
        <v>369</v>
      </c>
      <c r="D58" s="1">
        <v>365</v>
      </c>
      <c r="E58" s="2">
        <v>4378750</v>
      </c>
      <c r="F58" s="2">
        <f t="shared" si="0"/>
        <v>11996.575342465754</v>
      </c>
      <c r="G58" s="2"/>
      <c r="H58" s="2"/>
      <c r="K58" s="3"/>
      <c r="L58" s="1" t="s">
        <v>69</v>
      </c>
      <c r="M58" s="1" t="s">
        <v>144</v>
      </c>
      <c r="N58" s="1" t="s">
        <v>778</v>
      </c>
      <c r="O58" s="1" t="s">
        <v>777</v>
      </c>
      <c r="P58" s="1" t="s">
        <v>369</v>
      </c>
    </row>
    <row r="59" spans="1:17" ht="45" x14ac:dyDescent="0.25">
      <c r="A59" s="1">
        <v>2060</v>
      </c>
      <c r="B59" s="1" t="s">
        <v>472</v>
      </c>
      <c r="C59" s="1" t="s">
        <v>230</v>
      </c>
      <c r="D59" s="1">
        <v>270</v>
      </c>
      <c r="E59" s="2">
        <v>5307510</v>
      </c>
      <c r="F59" s="2">
        <f t="shared" si="0"/>
        <v>19657.444444444445</v>
      </c>
      <c r="G59" s="2"/>
      <c r="H59" s="2"/>
      <c r="K59" s="3"/>
      <c r="L59" s="1" t="s">
        <v>69</v>
      </c>
      <c r="M59" s="1" t="s">
        <v>680</v>
      </c>
      <c r="N59" s="1" t="s">
        <v>779</v>
      </c>
      <c r="O59" s="1" t="s">
        <v>780</v>
      </c>
      <c r="P59" s="1" t="s">
        <v>694</v>
      </c>
      <c r="Q59" s="1" t="s">
        <v>637</v>
      </c>
    </row>
    <row r="60" spans="1:17" ht="45" x14ac:dyDescent="0.25">
      <c r="A60" s="1">
        <v>2061</v>
      </c>
      <c r="B60" s="1" t="s">
        <v>364</v>
      </c>
      <c r="C60" s="1" t="s">
        <v>4</v>
      </c>
      <c r="D60" s="1">
        <v>242</v>
      </c>
      <c r="E60" s="2">
        <v>4305550</v>
      </c>
      <c r="F60" s="2">
        <f t="shared" si="0"/>
        <v>17791.528925619834</v>
      </c>
      <c r="G60" s="2"/>
      <c r="H60" s="2"/>
      <c r="K60" s="3"/>
      <c r="L60" s="1" t="s">
        <v>68</v>
      </c>
      <c r="M60" s="1" t="s">
        <v>783</v>
      </c>
      <c r="N60" s="1" t="s">
        <v>145</v>
      </c>
      <c r="O60" s="1" t="s">
        <v>782</v>
      </c>
    </row>
    <row r="61" spans="1:17" x14ac:dyDescent="0.25">
      <c r="A61" s="1">
        <v>2062</v>
      </c>
      <c r="B61" s="1" t="s">
        <v>623</v>
      </c>
      <c r="C61" s="1" t="s">
        <v>237</v>
      </c>
      <c r="D61" s="1" t="s">
        <v>846</v>
      </c>
      <c r="E61" s="2"/>
      <c r="F61" s="2"/>
      <c r="G61" s="2"/>
      <c r="H61" s="2"/>
      <c r="K61" s="3"/>
      <c r="L61" s="1" t="s">
        <v>69</v>
      </c>
    </row>
    <row r="62" spans="1:17" ht="30" x14ac:dyDescent="0.25">
      <c r="A62" s="1">
        <v>2063</v>
      </c>
      <c r="B62" s="1" t="s">
        <v>567</v>
      </c>
      <c r="C62" s="1" t="s">
        <v>230</v>
      </c>
      <c r="D62" s="1">
        <v>102</v>
      </c>
      <c r="E62" s="2">
        <v>1535729</v>
      </c>
      <c r="F62" s="2">
        <f t="shared" si="0"/>
        <v>15056.166666666666</v>
      </c>
      <c r="G62" s="2"/>
      <c r="H62" s="2"/>
      <c r="K62" s="3"/>
      <c r="L62" s="1" t="s">
        <v>68</v>
      </c>
      <c r="M62" s="1" t="s">
        <v>681</v>
      </c>
      <c r="N62" s="1" t="s">
        <v>784</v>
      </c>
      <c r="O62" s="1" t="s">
        <v>785</v>
      </c>
    </row>
    <row r="63" spans="1:17" x14ac:dyDescent="0.25">
      <c r="A63" s="1">
        <v>2064</v>
      </c>
      <c r="B63" s="1" t="s">
        <v>598</v>
      </c>
      <c r="C63" s="1" t="s">
        <v>599</v>
      </c>
      <c r="D63" s="1">
        <v>186</v>
      </c>
      <c r="E63" s="2">
        <v>2952000</v>
      </c>
      <c r="F63" s="2">
        <f t="shared" si="0"/>
        <v>15870.967741935483</v>
      </c>
      <c r="G63" s="2"/>
      <c r="H63" s="2"/>
      <c r="K63" s="3"/>
      <c r="L63" s="1" t="s">
        <v>69</v>
      </c>
      <c r="M63" s="1" t="s">
        <v>786</v>
      </c>
      <c r="N63" s="1" t="s">
        <v>787</v>
      </c>
    </row>
    <row r="64" spans="1:17" x14ac:dyDescent="0.25">
      <c r="A64" s="1">
        <v>2065</v>
      </c>
      <c r="B64" s="1" t="s">
        <v>624</v>
      </c>
      <c r="C64" s="1" t="s">
        <v>626</v>
      </c>
      <c r="D64" s="1" t="s">
        <v>846</v>
      </c>
      <c r="E64" s="2"/>
      <c r="F64" s="2"/>
      <c r="G64" s="2"/>
      <c r="H64" s="2"/>
      <c r="K64" s="3"/>
    </row>
    <row r="65" spans="1:15" x14ac:dyDescent="0.25">
      <c r="A65" s="1">
        <v>2066</v>
      </c>
      <c r="B65" s="1" t="s">
        <v>590</v>
      </c>
      <c r="C65" s="1" t="s">
        <v>230</v>
      </c>
      <c r="D65" s="1">
        <v>102</v>
      </c>
      <c r="E65" s="2">
        <v>1565600</v>
      </c>
      <c r="F65" s="2">
        <f t="shared" si="0"/>
        <v>15349.019607843138</v>
      </c>
      <c r="G65" s="2"/>
      <c r="H65" s="2"/>
      <c r="K65" s="3"/>
      <c r="M65" s="1" t="s">
        <v>675</v>
      </c>
      <c r="N65" s="1" t="s">
        <v>1256</v>
      </c>
      <c r="O65" s="1" t="s">
        <v>1247</v>
      </c>
    </row>
    <row r="66" spans="1:15" x14ac:dyDescent="0.25">
      <c r="A66" s="1">
        <v>2067</v>
      </c>
      <c r="B66" s="1" t="s">
        <v>566</v>
      </c>
      <c r="C66" s="1" t="s">
        <v>369</v>
      </c>
      <c r="D66" s="1">
        <v>192</v>
      </c>
      <c r="E66" s="2">
        <v>2485780</v>
      </c>
      <c r="F66" s="2">
        <f t="shared" si="0"/>
        <v>12946.770833333334</v>
      </c>
      <c r="G66" s="2"/>
      <c r="H66" s="2"/>
      <c r="K66" s="3"/>
      <c r="M66" s="1" t="s">
        <v>1253</v>
      </c>
      <c r="N66" s="1" t="s">
        <v>1254</v>
      </c>
      <c r="O66" s="1" t="s">
        <v>1255</v>
      </c>
    </row>
    <row r="67" spans="1:15" x14ac:dyDescent="0.25">
      <c r="A67" s="1">
        <v>2068</v>
      </c>
      <c r="B67" s="1" t="s">
        <v>845</v>
      </c>
      <c r="C67" s="1" t="s">
        <v>506</v>
      </c>
      <c r="D67" s="1" t="s">
        <v>846</v>
      </c>
      <c r="E67" s="2"/>
      <c r="F67" s="2"/>
      <c r="G67" s="2"/>
      <c r="H67" s="2"/>
      <c r="K67" s="3"/>
    </row>
    <row r="68" spans="1:15" ht="45" x14ac:dyDescent="0.25">
      <c r="A68" s="1">
        <v>2069</v>
      </c>
      <c r="B68" s="1" t="s">
        <v>714</v>
      </c>
      <c r="C68" s="1" t="s">
        <v>4</v>
      </c>
      <c r="D68" s="1">
        <v>171</v>
      </c>
      <c r="E68" s="2">
        <v>3872036</v>
      </c>
      <c r="F68" s="2">
        <f t="shared" si="0"/>
        <v>22643.485380116959</v>
      </c>
      <c r="G68" s="2"/>
      <c r="H68" s="2"/>
      <c r="K68" s="3"/>
      <c r="M68" s="1" t="s">
        <v>1248</v>
      </c>
      <c r="N68" s="1" t="s">
        <v>751</v>
      </c>
      <c r="O68" s="1" t="s">
        <v>1249</v>
      </c>
    </row>
    <row r="69" spans="1:15" x14ac:dyDescent="0.25">
      <c r="A69" s="1">
        <v>2070</v>
      </c>
      <c r="B69" s="1" t="s">
        <v>709</v>
      </c>
      <c r="C69" s="1" t="s">
        <v>5</v>
      </c>
      <c r="D69" s="1" t="s">
        <v>846</v>
      </c>
      <c r="E69" s="2"/>
      <c r="F69" s="2" t="e">
        <f t="shared" si="0"/>
        <v>#VALUE!</v>
      </c>
      <c r="G69" s="2"/>
      <c r="H69" s="2"/>
      <c r="K69" s="3"/>
    </row>
    <row r="70" spans="1:15" x14ac:dyDescent="0.25">
      <c r="A70" s="1">
        <v>2071</v>
      </c>
      <c r="B70" s="1" t="s">
        <v>634</v>
      </c>
      <c r="C70" s="1" t="s">
        <v>5</v>
      </c>
      <c r="D70" s="1">
        <v>160</v>
      </c>
      <c r="E70" s="2">
        <v>2966700</v>
      </c>
      <c r="F70" s="2">
        <f t="shared" ref="F70:F101" si="2">E70/D70</f>
        <v>18541.875</v>
      </c>
      <c r="G70" s="2"/>
      <c r="H70" s="2"/>
      <c r="K70" s="3"/>
      <c r="M70" s="1" t="s">
        <v>1250</v>
      </c>
      <c r="N70" s="1" t="s">
        <v>1252</v>
      </c>
      <c r="O70" s="1" t="s">
        <v>1251</v>
      </c>
    </row>
    <row r="71" spans="1:15" x14ac:dyDescent="0.25">
      <c r="A71" s="1">
        <v>2072</v>
      </c>
      <c r="B71" s="1" t="s">
        <v>847</v>
      </c>
      <c r="C71" s="1" t="s">
        <v>4</v>
      </c>
      <c r="D71" s="1" t="s">
        <v>846</v>
      </c>
      <c r="E71" s="2"/>
      <c r="F71" s="2"/>
      <c r="G71" s="2"/>
      <c r="H71" s="2"/>
      <c r="K71" s="3"/>
    </row>
    <row r="72" spans="1:15" x14ac:dyDescent="0.25">
      <c r="A72" s="1">
        <v>2073</v>
      </c>
      <c r="B72" s="1" t="s">
        <v>848</v>
      </c>
      <c r="C72" s="1" t="s">
        <v>4</v>
      </c>
      <c r="D72" s="1" t="s">
        <v>846</v>
      </c>
      <c r="E72" s="2"/>
      <c r="F72" s="2"/>
      <c r="G72" s="2"/>
      <c r="H72" s="2"/>
      <c r="K72" s="3"/>
    </row>
    <row r="73" spans="1:15" ht="30" x14ac:dyDescent="0.25">
      <c r="A73" s="1">
        <v>2074</v>
      </c>
      <c r="B73" s="1" t="s">
        <v>788</v>
      </c>
      <c r="C73" s="1" t="s">
        <v>237</v>
      </c>
      <c r="D73" s="1" t="s">
        <v>84</v>
      </c>
      <c r="E73" s="2">
        <v>333600</v>
      </c>
      <c r="F73" s="2"/>
      <c r="G73" s="2"/>
      <c r="H73" s="2"/>
      <c r="K73" s="3"/>
      <c r="M73" s="1" t="s">
        <v>1257</v>
      </c>
      <c r="N73" s="1" t="s">
        <v>1259</v>
      </c>
      <c r="O73" s="1" t="s">
        <v>1258</v>
      </c>
    </row>
    <row r="74" spans="1:15" ht="30" x14ac:dyDescent="0.25">
      <c r="A74" s="1">
        <v>2075</v>
      </c>
      <c r="B74" s="1" t="s">
        <v>726</v>
      </c>
      <c r="C74" s="1" t="s">
        <v>527</v>
      </c>
      <c r="D74" s="1">
        <v>165</v>
      </c>
      <c r="E74" s="2">
        <v>2387900</v>
      </c>
      <c r="F74" s="2">
        <f t="shared" si="2"/>
        <v>14472.121212121212</v>
      </c>
      <c r="G74" s="2"/>
      <c r="H74" s="2"/>
      <c r="K74" s="3"/>
      <c r="M74" s="1" t="s">
        <v>1262</v>
      </c>
      <c r="N74" s="1" t="s">
        <v>1260</v>
      </c>
      <c r="O74" s="1" t="s">
        <v>1261</v>
      </c>
    </row>
    <row r="75" spans="1:15" ht="45" x14ac:dyDescent="0.25">
      <c r="A75" s="1">
        <v>2076</v>
      </c>
      <c r="B75" s="1" t="s">
        <v>841</v>
      </c>
      <c r="C75" s="1" t="s">
        <v>230</v>
      </c>
      <c r="D75" s="1">
        <v>215</v>
      </c>
      <c r="E75" s="2">
        <v>3112600</v>
      </c>
      <c r="F75" s="2">
        <f>E75/D75</f>
        <v>14477.209302325582</v>
      </c>
      <c r="G75" s="2"/>
      <c r="H75" s="2"/>
      <c r="K75" s="3"/>
      <c r="M75" s="1" t="s">
        <v>1263</v>
      </c>
      <c r="N75" s="1" t="s">
        <v>1265</v>
      </c>
      <c r="O75" s="1" t="s">
        <v>1264</v>
      </c>
    </row>
    <row r="76" spans="1:15" ht="45" x14ac:dyDescent="0.25">
      <c r="A76" s="1">
        <v>2077</v>
      </c>
      <c r="B76" s="1" t="s">
        <v>842</v>
      </c>
      <c r="C76" s="1" t="s">
        <v>444</v>
      </c>
      <c r="D76" s="1">
        <v>299</v>
      </c>
      <c r="E76" s="2">
        <v>5560950</v>
      </c>
      <c r="F76" s="2">
        <f t="shared" si="2"/>
        <v>18598.494983277593</v>
      </c>
      <c r="G76" s="2"/>
      <c r="H76" s="2"/>
      <c r="K76" s="3"/>
      <c r="M76" s="1" t="s">
        <v>1266</v>
      </c>
      <c r="N76" s="1" t="s">
        <v>1268</v>
      </c>
      <c r="O76" s="1" t="s">
        <v>1267</v>
      </c>
    </row>
    <row r="77" spans="1:15" ht="30" x14ac:dyDescent="0.25">
      <c r="A77" s="1">
        <v>2078</v>
      </c>
      <c r="B77" s="1" t="s">
        <v>580</v>
      </c>
      <c r="C77" s="1" t="s">
        <v>230</v>
      </c>
      <c r="D77" s="1">
        <v>141</v>
      </c>
      <c r="E77" s="2">
        <v>2711810</v>
      </c>
      <c r="F77" s="2">
        <f t="shared" si="2"/>
        <v>19232.695035460994</v>
      </c>
      <c r="G77" s="2"/>
      <c r="H77" s="2"/>
      <c r="K77" s="3"/>
      <c r="M77" s="1" t="s">
        <v>1269</v>
      </c>
      <c r="N77" s="1" t="s">
        <v>1271</v>
      </c>
      <c r="O77" s="1" t="s">
        <v>1270</v>
      </c>
    </row>
    <row r="78" spans="1:15" ht="30" x14ac:dyDescent="0.25">
      <c r="A78" s="1">
        <v>2079</v>
      </c>
      <c r="B78" s="1" t="s">
        <v>557</v>
      </c>
      <c r="C78" s="1" t="s">
        <v>813</v>
      </c>
      <c r="D78" s="1">
        <v>54</v>
      </c>
      <c r="E78" s="2">
        <v>992600</v>
      </c>
      <c r="F78" s="2">
        <f t="shared" si="2"/>
        <v>18381.481481481482</v>
      </c>
      <c r="G78" s="2"/>
      <c r="H78" s="2"/>
      <c r="K78" s="3"/>
      <c r="M78" s="1" t="s">
        <v>1272</v>
      </c>
      <c r="N78" s="1" t="s">
        <v>1274</v>
      </c>
      <c r="O78" s="1" t="s">
        <v>1273</v>
      </c>
    </row>
    <row r="79" spans="1:15" ht="60" x14ac:dyDescent="0.25">
      <c r="A79" s="1">
        <v>2080</v>
      </c>
      <c r="B79" s="1" t="s">
        <v>843</v>
      </c>
      <c r="C79" s="1" t="s">
        <v>230</v>
      </c>
      <c r="D79" s="1">
        <v>311</v>
      </c>
      <c r="E79" s="2">
        <v>5848945</v>
      </c>
      <c r="F79" s="2">
        <f t="shared" si="2"/>
        <v>18806.897106109325</v>
      </c>
      <c r="G79" s="2"/>
      <c r="H79" s="2"/>
      <c r="K79" s="3"/>
      <c r="M79" s="1" t="s">
        <v>1275</v>
      </c>
      <c r="N79" s="1" t="s">
        <v>1277</v>
      </c>
      <c r="O79" s="1" t="s">
        <v>1276</v>
      </c>
    </row>
    <row r="80" spans="1:15" ht="30" x14ac:dyDescent="0.25">
      <c r="A80" s="1">
        <v>2081</v>
      </c>
      <c r="B80" s="1" t="s">
        <v>701</v>
      </c>
      <c r="C80" s="1" t="s">
        <v>230</v>
      </c>
      <c r="D80" s="1">
        <v>143</v>
      </c>
      <c r="E80" s="2">
        <v>2409160</v>
      </c>
      <c r="F80" s="2">
        <f t="shared" si="2"/>
        <v>16847.272727272728</v>
      </c>
      <c r="G80" s="2"/>
      <c r="H80" s="2"/>
      <c r="K80" s="3"/>
      <c r="M80" s="1" t="s">
        <v>1279</v>
      </c>
      <c r="N80" s="1" t="s">
        <v>1280</v>
      </c>
      <c r="O80" s="1" t="s">
        <v>1278</v>
      </c>
    </row>
    <row r="81" spans="1:15" ht="30" x14ac:dyDescent="0.25">
      <c r="A81" s="1">
        <v>2082</v>
      </c>
      <c r="B81" s="1" t="s">
        <v>844</v>
      </c>
      <c r="C81" s="1" t="s">
        <v>369</v>
      </c>
      <c r="D81" s="1">
        <v>235</v>
      </c>
      <c r="E81" s="2">
        <v>3417420</v>
      </c>
      <c r="F81" s="2">
        <f t="shared" si="2"/>
        <v>14542.212765957447</v>
      </c>
      <c r="G81" s="2"/>
      <c r="H81" s="2"/>
      <c r="K81" s="3"/>
      <c r="M81" s="1" t="s">
        <v>1281</v>
      </c>
      <c r="N81" s="1" t="s">
        <v>1282</v>
      </c>
      <c r="O81" s="1" t="s">
        <v>1283</v>
      </c>
    </row>
    <row r="82" spans="1:15" x14ac:dyDescent="0.25">
      <c r="A82" s="1">
        <v>2083</v>
      </c>
      <c r="B82" s="1" t="s">
        <v>824</v>
      </c>
      <c r="C82" s="1" t="s">
        <v>230</v>
      </c>
      <c r="D82" s="1">
        <v>312</v>
      </c>
      <c r="E82" s="2"/>
      <c r="F82" s="2">
        <f t="shared" si="2"/>
        <v>0</v>
      </c>
      <c r="G82" s="2"/>
      <c r="H82" s="2"/>
      <c r="K82" s="3"/>
    </row>
    <row r="83" spans="1:15" x14ac:dyDescent="0.25">
      <c r="A83" s="1">
        <v>2084</v>
      </c>
      <c r="B83" s="1" t="s">
        <v>792</v>
      </c>
      <c r="C83" s="1" t="s">
        <v>369</v>
      </c>
      <c r="D83" s="1">
        <v>195</v>
      </c>
      <c r="E83" s="2">
        <v>3398000</v>
      </c>
      <c r="F83" s="2">
        <f t="shared" si="2"/>
        <v>17425.641025641027</v>
      </c>
      <c r="G83" s="2"/>
      <c r="H83" s="2"/>
      <c r="K83" s="3"/>
      <c r="M83" s="1" t="s">
        <v>1286</v>
      </c>
      <c r="N83" s="1" t="s">
        <v>1284</v>
      </c>
      <c r="O83" s="1" t="s">
        <v>1285</v>
      </c>
    </row>
    <row r="84" spans="1:15" x14ac:dyDescent="0.25">
      <c r="A84" s="1">
        <v>2085</v>
      </c>
      <c r="B84" s="1" t="s">
        <v>826</v>
      </c>
      <c r="C84" s="1" t="s">
        <v>165</v>
      </c>
      <c r="D84" s="1">
        <v>77</v>
      </c>
      <c r="E84" s="2">
        <v>1288000</v>
      </c>
      <c r="F84" s="2">
        <f t="shared" si="2"/>
        <v>16727.272727272728</v>
      </c>
      <c r="G84" s="2"/>
      <c r="H84" s="2"/>
      <c r="K84" s="3"/>
    </row>
    <row r="85" spans="1:15" x14ac:dyDescent="0.25">
      <c r="A85" s="1">
        <v>2086</v>
      </c>
      <c r="B85" s="1" t="s">
        <v>832</v>
      </c>
      <c r="C85" s="1" t="s">
        <v>230</v>
      </c>
      <c r="D85" s="1">
        <v>207</v>
      </c>
      <c r="E85" s="2">
        <v>5369136</v>
      </c>
      <c r="F85" s="2">
        <f t="shared" si="2"/>
        <v>25937.855072463768</v>
      </c>
      <c r="G85" s="2"/>
      <c r="H85" s="2"/>
      <c r="K85" s="3"/>
      <c r="M85" s="1" t="s">
        <v>1287</v>
      </c>
      <c r="N85" s="1" t="s">
        <v>1288</v>
      </c>
      <c r="O85" s="1" t="s">
        <v>1289</v>
      </c>
    </row>
    <row r="86" spans="1:15" ht="30" x14ac:dyDescent="0.25">
      <c r="A86" s="1">
        <v>2087</v>
      </c>
      <c r="B86" s="1" t="s">
        <v>865</v>
      </c>
      <c r="C86" s="1" t="s">
        <v>4</v>
      </c>
      <c r="D86" s="1">
        <v>295</v>
      </c>
      <c r="E86" s="2">
        <f>5456100+110000</f>
        <v>5566100</v>
      </c>
      <c r="F86" s="2">
        <f t="shared" si="2"/>
        <v>18868.135593220341</v>
      </c>
      <c r="G86" s="2"/>
      <c r="H86" s="2"/>
      <c r="K86" s="3"/>
      <c r="M86" s="1" t="s">
        <v>1290</v>
      </c>
      <c r="N86" s="1" t="s">
        <v>1291</v>
      </c>
      <c r="O86" s="1" t="s">
        <v>1292</v>
      </c>
    </row>
    <row r="87" spans="1:15" ht="45" x14ac:dyDescent="0.25">
      <c r="A87" s="1">
        <v>2088</v>
      </c>
      <c r="B87" s="1" t="s">
        <v>996</v>
      </c>
      <c r="C87" s="1" t="s">
        <v>3</v>
      </c>
      <c r="D87" s="1">
        <v>178</v>
      </c>
      <c r="E87" s="2">
        <f>4086535+7250</f>
        <v>4093785</v>
      </c>
      <c r="F87" s="2">
        <f t="shared" si="2"/>
        <v>22998.792134831459</v>
      </c>
      <c r="G87" s="2"/>
      <c r="H87" s="2"/>
      <c r="K87" s="3"/>
      <c r="M87" s="1" t="s">
        <v>1294</v>
      </c>
      <c r="N87" s="1" t="s">
        <v>118</v>
      </c>
      <c r="O87" s="1" t="s">
        <v>1293</v>
      </c>
    </row>
    <row r="88" spans="1:15" ht="45" x14ac:dyDescent="0.25">
      <c r="A88" s="1">
        <v>2089</v>
      </c>
      <c r="B88" s="1" t="s">
        <v>863</v>
      </c>
      <c r="C88" s="1" t="s">
        <v>626</v>
      </c>
      <c r="D88" s="1">
        <v>238</v>
      </c>
      <c r="E88" s="2">
        <v>6052169</v>
      </c>
      <c r="F88" s="2">
        <f t="shared" si="2"/>
        <v>25429.281512605041</v>
      </c>
      <c r="G88" s="2"/>
      <c r="H88" s="2"/>
      <c r="K88" s="3"/>
      <c r="M88" s="1" t="s">
        <v>1296</v>
      </c>
      <c r="N88" s="1" t="s">
        <v>1295</v>
      </c>
      <c r="O88" s="1" t="s">
        <v>1297</v>
      </c>
    </row>
    <row r="89" spans="1:15" x14ac:dyDescent="0.25">
      <c r="A89" s="1">
        <v>2090</v>
      </c>
      <c r="B89" s="1" t="s">
        <v>866</v>
      </c>
      <c r="C89" s="1" t="s">
        <v>165</v>
      </c>
      <c r="D89" s="1">
        <v>78</v>
      </c>
      <c r="E89" s="2">
        <v>1455000</v>
      </c>
      <c r="F89" s="2">
        <f t="shared" si="2"/>
        <v>18653.846153846152</v>
      </c>
      <c r="G89" s="2"/>
      <c r="H89" s="2"/>
      <c r="K89" s="3"/>
    </row>
    <row r="90" spans="1:15" x14ac:dyDescent="0.25">
      <c r="A90" s="1">
        <v>2091</v>
      </c>
      <c r="B90" s="1" t="s">
        <v>918</v>
      </c>
      <c r="C90" s="1" t="s">
        <v>369</v>
      </c>
      <c r="D90" s="1" t="s">
        <v>84</v>
      </c>
      <c r="E90" s="2">
        <v>51144</v>
      </c>
      <c r="F90" s="2"/>
      <c r="G90" s="2"/>
      <c r="H90" s="2"/>
      <c r="K90" s="3"/>
    </row>
    <row r="91" spans="1:15" x14ac:dyDescent="0.25">
      <c r="A91" s="1">
        <v>2092</v>
      </c>
      <c r="B91" s="1" t="s">
        <v>890</v>
      </c>
      <c r="C91" s="1" t="s">
        <v>165</v>
      </c>
      <c r="D91" s="1">
        <v>125</v>
      </c>
      <c r="E91" s="2">
        <v>2456100</v>
      </c>
      <c r="F91" s="2">
        <f t="shared" si="2"/>
        <v>19648.8</v>
      </c>
      <c r="G91" s="2"/>
      <c r="H91" s="2"/>
      <c r="K91" s="3"/>
    </row>
    <row r="92" spans="1:15" x14ac:dyDescent="0.25">
      <c r="A92" s="1">
        <v>2093</v>
      </c>
      <c r="B92" s="1" t="s">
        <v>909</v>
      </c>
      <c r="C92" s="1" t="s">
        <v>599</v>
      </c>
      <c r="D92" s="1">
        <v>51</v>
      </c>
      <c r="E92" s="2">
        <v>1051120</v>
      </c>
      <c r="F92" s="2">
        <f t="shared" si="2"/>
        <v>20610.196078431374</v>
      </c>
      <c r="G92" s="2"/>
      <c r="H92" s="2"/>
      <c r="K92" s="3"/>
      <c r="M92" s="1" t="s">
        <v>786</v>
      </c>
      <c r="N92" s="1" t="s">
        <v>787</v>
      </c>
    </row>
    <row r="93" spans="1:15" x14ac:dyDescent="0.25">
      <c r="A93" s="1">
        <v>2094</v>
      </c>
      <c r="B93" s="1" t="s">
        <v>914</v>
      </c>
      <c r="C93" s="1" t="s">
        <v>165</v>
      </c>
      <c r="D93" s="1">
        <v>86</v>
      </c>
      <c r="E93" s="2">
        <v>1689000</v>
      </c>
      <c r="F93" s="2">
        <f t="shared" si="2"/>
        <v>19639.534883720931</v>
      </c>
      <c r="G93" s="2"/>
      <c r="H93" s="2"/>
      <c r="K93" s="3"/>
    </row>
    <row r="94" spans="1:15" x14ac:dyDescent="0.25">
      <c r="A94" s="1">
        <v>2095</v>
      </c>
      <c r="B94" s="1" t="s">
        <v>892</v>
      </c>
      <c r="C94" s="1" t="s">
        <v>893</v>
      </c>
      <c r="D94" s="1" t="s">
        <v>846</v>
      </c>
      <c r="E94" s="2"/>
      <c r="F94" s="2"/>
      <c r="G94" s="2"/>
      <c r="H94" s="2"/>
      <c r="K94" s="3"/>
    </row>
    <row r="95" spans="1:15" x14ac:dyDescent="0.25">
      <c r="A95" s="1">
        <v>2096</v>
      </c>
      <c r="B95" s="1" t="s">
        <v>915</v>
      </c>
      <c r="C95" s="1" t="s">
        <v>5</v>
      </c>
      <c r="D95" s="1">
        <v>27</v>
      </c>
      <c r="E95" s="2">
        <v>448000</v>
      </c>
      <c r="F95" s="2">
        <f t="shared" si="2"/>
        <v>16592.592592592591</v>
      </c>
      <c r="G95" s="2"/>
      <c r="H95" s="2"/>
      <c r="K95" s="3"/>
      <c r="N95" s="1" t="s">
        <v>1298</v>
      </c>
    </row>
    <row r="96" spans="1:15" x14ac:dyDescent="0.25">
      <c r="A96" s="1">
        <v>2097</v>
      </c>
      <c r="B96" s="1" t="s">
        <v>946</v>
      </c>
      <c r="C96" s="1" t="s">
        <v>444</v>
      </c>
      <c r="D96" s="1">
        <v>228</v>
      </c>
      <c r="E96" s="2">
        <v>5135097</v>
      </c>
      <c r="F96" s="2">
        <f t="shared" si="2"/>
        <v>22522.355263157893</v>
      </c>
      <c r="G96" s="2"/>
      <c r="H96" s="2"/>
      <c r="K96" s="3"/>
    </row>
    <row r="97" spans="1:15" ht="45" x14ac:dyDescent="0.25">
      <c r="A97" s="1">
        <v>2098</v>
      </c>
      <c r="B97" s="1" t="s">
        <v>944</v>
      </c>
      <c r="C97" s="1" t="s">
        <v>5</v>
      </c>
      <c r="D97" s="1">
        <v>170</v>
      </c>
      <c r="E97" s="2">
        <v>6885880</v>
      </c>
      <c r="F97" s="2">
        <f t="shared" si="2"/>
        <v>40505.176470588238</v>
      </c>
      <c r="G97" s="2"/>
      <c r="H97" s="2"/>
      <c r="K97" s="3"/>
      <c r="M97" s="1" t="s">
        <v>738</v>
      </c>
      <c r="N97" s="1" t="s">
        <v>1300</v>
      </c>
      <c r="O97" s="1" t="s">
        <v>1299</v>
      </c>
    </row>
    <row r="98" spans="1:15" ht="30" x14ac:dyDescent="0.25">
      <c r="A98" s="1">
        <v>2099</v>
      </c>
      <c r="B98" s="1" t="s">
        <v>1246</v>
      </c>
      <c r="C98" s="1" t="s">
        <v>720</v>
      </c>
      <c r="D98" s="1">
        <v>169</v>
      </c>
      <c r="E98" s="2">
        <v>2950000</v>
      </c>
      <c r="F98" s="2">
        <f t="shared" si="2"/>
        <v>17455.621301775147</v>
      </c>
      <c r="G98" s="2"/>
      <c r="H98" s="2"/>
      <c r="K98" s="3"/>
      <c r="M98" s="1" t="s">
        <v>1302</v>
      </c>
      <c r="N98" s="1" t="s">
        <v>1301</v>
      </c>
    </row>
    <row r="99" spans="1:15" x14ac:dyDescent="0.25">
      <c r="A99" s="1">
        <v>2100</v>
      </c>
      <c r="B99" s="1" t="s">
        <v>1009</v>
      </c>
      <c r="C99" s="1" t="s">
        <v>527</v>
      </c>
      <c r="D99" s="1">
        <v>204</v>
      </c>
      <c r="E99" s="2"/>
      <c r="F99" s="2">
        <f t="shared" si="2"/>
        <v>0</v>
      </c>
      <c r="G99" s="2"/>
      <c r="H99" s="2"/>
      <c r="K99" s="3"/>
    </row>
    <row r="100" spans="1:15" ht="30" x14ac:dyDescent="0.25">
      <c r="A100" s="1">
        <v>2101</v>
      </c>
      <c r="B100" s="1" t="s">
        <v>1070</v>
      </c>
      <c r="C100" s="1" t="s">
        <v>625</v>
      </c>
      <c r="D100" s="1" t="s">
        <v>84</v>
      </c>
      <c r="E100" s="2">
        <v>167100</v>
      </c>
      <c r="F100" s="2"/>
      <c r="G100" s="2"/>
      <c r="H100" s="2"/>
      <c r="K100" s="3"/>
    </row>
    <row r="101" spans="1:15" x14ac:dyDescent="0.25">
      <c r="A101" s="1">
        <v>2102</v>
      </c>
      <c r="B101" s="1" t="s">
        <v>1156</v>
      </c>
      <c r="C101" s="1" t="s">
        <v>165</v>
      </c>
      <c r="D101" s="1">
        <v>54</v>
      </c>
      <c r="E101" s="2"/>
      <c r="F101" s="2">
        <f t="shared" si="2"/>
        <v>0</v>
      </c>
      <c r="G101" s="2"/>
      <c r="H101" s="2"/>
      <c r="K101" s="3"/>
    </row>
    <row r="102" spans="1:15" x14ac:dyDescent="0.25">
      <c r="A102" s="1">
        <v>2103</v>
      </c>
      <c r="B102" s="1" t="s">
        <v>1039</v>
      </c>
      <c r="C102" s="1" t="s">
        <v>230</v>
      </c>
      <c r="D102" s="1">
        <v>234</v>
      </c>
      <c r="E102" s="2">
        <v>6030791</v>
      </c>
      <c r="F102" s="2">
        <f>E102/D102</f>
        <v>25772.611111111109</v>
      </c>
      <c r="G102" s="2"/>
      <c r="H102" s="2"/>
      <c r="K102" s="3"/>
    </row>
    <row r="103" spans="1:15" x14ac:dyDescent="0.25">
      <c r="A103" s="1">
        <v>2104</v>
      </c>
      <c r="B103" s="1" t="s">
        <v>1115</v>
      </c>
      <c r="C103" s="1" t="s">
        <v>813</v>
      </c>
      <c r="D103" s="1">
        <v>24</v>
      </c>
      <c r="E103" s="2"/>
      <c r="F103" s="2"/>
      <c r="G103" s="2"/>
      <c r="H103" s="2"/>
      <c r="K103" s="3"/>
    </row>
    <row r="104" spans="1:15" x14ac:dyDescent="0.25">
      <c r="A104" s="1">
        <v>2105</v>
      </c>
      <c r="B104" s="1" t="s">
        <v>1160</v>
      </c>
      <c r="C104" s="1" t="s">
        <v>230</v>
      </c>
      <c r="D104" s="1">
        <v>219</v>
      </c>
      <c r="E104" s="2"/>
      <c r="F104" s="2"/>
      <c r="G104" s="2"/>
      <c r="H104" s="2"/>
      <c r="K104" s="3"/>
    </row>
    <row r="105" spans="1:15" x14ac:dyDescent="0.25">
      <c r="E105" s="2"/>
      <c r="F105" s="2"/>
      <c r="G105" s="2"/>
      <c r="H105" s="2"/>
      <c r="K105" s="3"/>
    </row>
    <row r="106" spans="1:15" x14ac:dyDescent="0.25">
      <c r="E106" s="2"/>
      <c r="F106" s="2"/>
      <c r="G106" s="2"/>
      <c r="H106" s="2"/>
      <c r="K106" s="3"/>
    </row>
    <row r="107" spans="1:15" x14ac:dyDescent="0.25">
      <c r="E107" s="2"/>
      <c r="F107" s="2"/>
      <c r="G107" s="2"/>
      <c r="H107" s="2"/>
      <c r="K107" s="3"/>
    </row>
    <row r="108" spans="1:15" x14ac:dyDescent="0.25">
      <c r="E108" s="2"/>
      <c r="F108" s="2"/>
      <c r="G108" s="2"/>
      <c r="H108" s="2"/>
      <c r="K108" s="3"/>
    </row>
    <row r="109" spans="1:15" x14ac:dyDescent="0.25">
      <c r="E109" s="2"/>
      <c r="F109" s="2"/>
      <c r="G109" s="2"/>
      <c r="H109" s="2"/>
      <c r="K109" s="3"/>
    </row>
    <row r="110" spans="1:15" x14ac:dyDescent="0.25">
      <c r="E110" s="2"/>
      <c r="F110" s="2"/>
      <c r="G110" s="2"/>
      <c r="H110" s="2"/>
      <c r="K110" s="3"/>
    </row>
    <row r="111" spans="1:15" x14ac:dyDescent="0.25">
      <c r="E111" s="2"/>
      <c r="F111" s="2"/>
      <c r="G111" s="2"/>
      <c r="H111" s="2"/>
      <c r="K111" s="3"/>
    </row>
    <row r="112" spans="1:15" x14ac:dyDescent="0.25">
      <c r="E112" s="2"/>
      <c r="F112" s="2"/>
      <c r="G112" s="2"/>
      <c r="H112" s="2"/>
      <c r="K112" s="3"/>
    </row>
    <row r="113" spans="5:11" x14ac:dyDescent="0.25">
      <c r="E113" s="2"/>
      <c r="F113" s="2"/>
      <c r="G113" s="2"/>
      <c r="H113" s="2"/>
      <c r="K113" s="3"/>
    </row>
    <row r="114" spans="5:11" x14ac:dyDescent="0.25">
      <c r="E114" s="2"/>
      <c r="F114" s="2"/>
      <c r="G114" s="2"/>
      <c r="H114" s="2"/>
      <c r="K114" s="3"/>
    </row>
    <row r="115" spans="5:11" x14ac:dyDescent="0.25">
      <c r="E115" s="2"/>
      <c r="F115" s="2"/>
      <c r="G115" s="2"/>
      <c r="H115" s="2"/>
      <c r="K115" s="3"/>
    </row>
    <row r="116" spans="5:11" x14ac:dyDescent="0.25">
      <c r="E116" s="2"/>
      <c r="F116" s="2"/>
      <c r="G116" s="2"/>
      <c r="H116" s="2"/>
      <c r="K116" s="3"/>
    </row>
    <row r="117" spans="5:11" x14ac:dyDescent="0.25">
      <c r="E117" s="2"/>
      <c r="F117" s="2"/>
      <c r="G117" s="2"/>
      <c r="H117" s="2"/>
      <c r="K117" s="3"/>
    </row>
    <row r="118" spans="5:11" x14ac:dyDescent="0.25">
      <c r="E118" s="2"/>
      <c r="F118" s="2"/>
      <c r="G118" s="2"/>
      <c r="H118" s="2"/>
      <c r="K118" s="3"/>
    </row>
    <row r="119" spans="5:11" x14ac:dyDescent="0.25">
      <c r="E119" s="2"/>
      <c r="F119" s="2"/>
      <c r="G119" s="2"/>
      <c r="H119" s="2"/>
      <c r="K119" s="3"/>
    </row>
    <row r="120" spans="5:11" x14ac:dyDescent="0.25">
      <c r="E120" s="2"/>
      <c r="F120" s="2"/>
      <c r="G120" s="2"/>
      <c r="H120" s="2"/>
      <c r="K120" s="3"/>
    </row>
    <row r="121" spans="5:11" x14ac:dyDescent="0.25">
      <c r="E121" s="2"/>
      <c r="F121" s="2"/>
      <c r="G121" s="2"/>
      <c r="H121" s="2"/>
      <c r="K121" s="3"/>
    </row>
    <row r="122" spans="5:11" x14ac:dyDescent="0.25">
      <c r="E122" s="2"/>
      <c r="F122" s="2"/>
      <c r="G122" s="2"/>
      <c r="H122" s="2"/>
      <c r="K122" s="3"/>
    </row>
    <row r="123" spans="5:11" x14ac:dyDescent="0.25">
      <c r="E123" s="2"/>
      <c r="F123" s="2"/>
      <c r="G123" s="2"/>
      <c r="H123" s="2"/>
      <c r="K123" s="3"/>
    </row>
    <row r="124" spans="5:11" x14ac:dyDescent="0.25">
      <c r="E124" s="2"/>
      <c r="F124" s="2"/>
      <c r="G124" s="2"/>
      <c r="H124" s="2"/>
      <c r="K124" s="3"/>
    </row>
    <row r="125" spans="5:11" x14ac:dyDescent="0.25">
      <c r="E125" s="2"/>
      <c r="F125" s="2"/>
      <c r="G125" s="2"/>
      <c r="H125" s="2"/>
      <c r="K125" s="3"/>
    </row>
    <row r="126" spans="5:11" x14ac:dyDescent="0.25">
      <c r="E126" s="2"/>
      <c r="F126" s="2"/>
      <c r="G126" s="2"/>
      <c r="H126" s="2"/>
      <c r="K126" s="3"/>
    </row>
    <row r="127" spans="5:11" x14ac:dyDescent="0.25">
      <c r="E127" s="2"/>
      <c r="F127" s="2"/>
      <c r="G127" s="2"/>
      <c r="H127" s="2"/>
      <c r="K127" s="3"/>
    </row>
    <row r="128" spans="5:11" x14ac:dyDescent="0.25">
      <c r="E128" s="2"/>
      <c r="F128" s="2"/>
      <c r="G128" s="2"/>
      <c r="H128" s="2"/>
      <c r="K128" s="3"/>
    </row>
    <row r="129" spans="5:11" x14ac:dyDescent="0.25">
      <c r="E129" s="2"/>
      <c r="F129" s="2"/>
      <c r="G129" s="2"/>
      <c r="H129" s="2"/>
      <c r="K129" s="3"/>
    </row>
    <row r="130" spans="5:11" x14ac:dyDescent="0.25">
      <c r="E130" s="2"/>
      <c r="F130" s="2"/>
      <c r="G130" s="2"/>
      <c r="H130" s="2"/>
      <c r="K130" s="3"/>
    </row>
    <row r="131" spans="5:11" x14ac:dyDescent="0.25">
      <c r="E131" s="2"/>
      <c r="F131" s="2"/>
      <c r="G131" s="2"/>
      <c r="H131" s="2"/>
      <c r="K131" s="3"/>
    </row>
    <row r="132" spans="5:11" x14ac:dyDescent="0.25">
      <c r="E132" s="2"/>
      <c r="F132" s="2"/>
      <c r="G132" s="2"/>
      <c r="H132" s="2"/>
      <c r="K132" s="3"/>
    </row>
    <row r="133" spans="5:11" x14ac:dyDescent="0.25">
      <c r="E133" s="2"/>
      <c r="F133" s="2"/>
      <c r="G133" s="2"/>
      <c r="H133" s="2"/>
      <c r="K133" s="3"/>
    </row>
    <row r="134" spans="5:11" x14ac:dyDescent="0.25">
      <c r="E134" s="2"/>
      <c r="F134" s="2"/>
      <c r="G134" s="2"/>
      <c r="H134" s="2"/>
      <c r="K134" s="3"/>
    </row>
    <row r="135" spans="5:11" x14ac:dyDescent="0.25">
      <c r="E135" s="2"/>
      <c r="F135" s="2"/>
      <c r="G135" s="2"/>
      <c r="H135" s="2"/>
      <c r="K135" s="3"/>
    </row>
    <row r="136" spans="5:11" x14ac:dyDescent="0.25">
      <c r="E136" s="2"/>
      <c r="F136" s="2"/>
      <c r="G136" s="2"/>
      <c r="H136" s="2"/>
      <c r="K136" s="3"/>
    </row>
    <row r="137" spans="5:11" x14ac:dyDescent="0.25">
      <c r="E137" s="2"/>
      <c r="F137" s="2"/>
      <c r="G137" s="2"/>
      <c r="H137" s="2"/>
      <c r="K137" s="3"/>
    </row>
    <row r="138" spans="5:11" x14ac:dyDescent="0.25">
      <c r="E138" s="2"/>
      <c r="F138" s="2"/>
      <c r="G138" s="2"/>
      <c r="H138" s="2"/>
      <c r="K138" s="3"/>
    </row>
    <row r="139" spans="5:11" x14ac:dyDescent="0.25">
      <c r="E139" s="2"/>
      <c r="F139" s="2"/>
      <c r="G139" s="2"/>
      <c r="H139" s="2"/>
      <c r="K139" s="3"/>
    </row>
    <row r="140" spans="5:11" x14ac:dyDescent="0.25">
      <c r="E140" s="2"/>
      <c r="F140" s="2"/>
      <c r="G140" s="2"/>
      <c r="H140" s="2"/>
      <c r="K140" s="3"/>
    </row>
    <row r="141" spans="5:11" x14ac:dyDescent="0.25">
      <c r="E141" s="2"/>
      <c r="F141" s="2"/>
      <c r="G141" s="2"/>
      <c r="H141" s="2"/>
      <c r="K141" s="3"/>
    </row>
    <row r="142" spans="5:11" x14ac:dyDescent="0.25">
      <c r="E142" s="2"/>
      <c r="F142" s="2"/>
      <c r="G142" s="2"/>
      <c r="H142" s="2"/>
      <c r="K142" s="3"/>
    </row>
    <row r="143" spans="5:11" x14ac:dyDescent="0.25">
      <c r="E143" s="2"/>
      <c r="F143" s="2"/>
      <c r="G143" s="2"/>
      <c r="H143" s="2"/>
      <c r="K143" s="3"/>
    </row>
    <row r="144" spans="5:11" x14ac:dyDescent="0.25">
      <c r="E144" s="2"/>
      <c r="F144" s="2"/>
      <c r="G144" s="2"/>
      <c r="H144" s="2"/>
      <c r="K144" s="3"/>
    </row>
    <row r="145" spans="5:11" x14ac:dyDescent="0.25">
      <c r="E145" s="2"/>
      <c r="F145" s="2"/>
      <c r="G145" s="2"/>
      <c r="H145" s="2"/>
      <c r="K145" s="3"/>
    </row>
    <row r="146" spans="5:11" x14ac:dyDescent="0.25">
      <c r="E146" s="2"/>
      <c r="F146" s="2"/>
      <c r="G146" s="2"/>
      <c r="H146" s="2"/>
      <c r="K146" s="3"/>
    </row>
    <row r="147" spans="5:11" x14ac:dyDescent="0.25">
      <c r="E147" s="2"/>
      <c r="F147" s="2"/>
      <c r="G147" s="2"/>
      <c r="H147" s="2"/>
      <c r="K147" s="3"/>
    </row>
    <row r="148" spans="5:11" x14ac:dyDescent="0.25">
      <c r="E148" s="2"/>
      <c r="F148" s="2"/>
      <c r="G148" s="2"/>
      <c r="H148" s="2"/>
      <c r="K148" s="3"/>
    </row>
    <row r="149" spans="5:11" x14ac:dyDescent="0.25">
      <c r="E149" s="2"/>
      <c r="F149" s="2"/>
      <c r="G149" s="2"/>
      <c r="H149" s="2"/>
      <c r="K149" s="3"/>
    </row>
    <row r="150" spans="5:11" x14ac:dyDescent="0.25">
      <c r="E150" s="2"/>
      <c r="F150" s="2"/>
      <c r="G150" s="2"/>
      <c r="H150" s="2"/>
      <c r="K150" s="3"/>
    </row>
    <row r="151" spans="5:11" x14ac:dyDescent="0.25">
      <c r="E151" s="2"/>
      <c r="F151" s="2"/>
      <c r="G151" s="2"/>
      <c r="H151" s="2"/>
      <c r="K151" s="3"/>
    </row>
    <row r="152" spans="5:11" x14ac:dyDescent="0.25">
      <c r="E152" s="2"/>
      <c r="F152" s="2"/>
      <c r="G152" s="2"/>
      <c r="H152" s="2"/>
      <c r="K152" s="3"/>
    </row>
    <row r="153" spans="5:11" x14ac:dyDescent="0.25">
      <c r="E153" s="2"/>
      <c r="F153" s="2"/>
      <c r="G153" s="2"/>
      <c r="H153" s="2"/>
      <c r="K153" s="3"/>
    </row>
    <row r="154" spans="5:11" x14ac:dyDescent="0.25">
      <c r="E154" s="2"/>
      <c r="F154" s="2"/>
      <c r="G154" s="2"/>
      <c r="H154" s="2"/>
      <c r="K154" s="3"/>
    </row>
    <row r="155" spans="5:11" x14ac:dyDescent="0.25">
      <c r="E155" s="2"/>
      <c r="F155" s="2"/>
      <c r="G155" s="2"/>
      <c r="H155" s="2"/>
      <c r="K155" s="3"/>
    </row>
    <row r="156" spans="5:11" x14ac:dyDescent="0.25">
      <c r="E156" s="2"/>
      <c r="F156" s="2"/>
      <c r="G156" s="2"/>
      <c r="H156" s="2"/>
      <c r="K156" s="3"/>
    </row>
    <row r="157" spans="5:11" x14ac:dyDescent="0.25">
      <c r="E157" s="2"/>
      <c r="F157" s="2"/>
      <c r="G157" s="2"/>
      <c r="H157" s="2"/>
      <c r="K157" s="3"/>
    </row>
    <row r="158" spans="5:11" x14ac:dyDescent="0.25">
      <c r="E158" s="2"/>
      <c r="F158" s="2"/>
      <c r="G158" s="2"/>
      <c r="H158" s="2"/>
      <c r="K158" s="3"/>
    </row>
    <row r="159" spans="5:11" x14ac:dyDescent="0.25">
      <c r="E159" s="2"/>
      <c r="F159" s="2"/>
      <c r="G159" s="2"/>
      <c r="H159" s="2"/>
      <c r="K159" s="3"/>
    </row>
    <row r="160" spans="5:11" x14ac:dyDescent="0.25">
      <c r="E160" s="2"/>
      <c r="F160" s="2"/>
      <c r="G160" s="2"/>
      <c r="H160" s="2"/>
      <c r="K160" s="3"/>
    </row>
    <row r="161" spans="5:11" x14ac:dyDescent="0.25">
      <c r="E161" s="2"/>
      <c r="F161" s="2"/>
      <c r="G161" s="2"/>
      <c r="H161" s="2"/>
      <c r="K161" s="3"/>
    </row>
    <row r="162" spans="5:11" x14ac:dyDescent="0.25">
      <c r="E162" s="2"/>
      <c r="F162" s="2"/>
      <c r="G162" s="2"/>
      <c r="H162" s="2"/>
      <c r="K162" s="3"/>
    </row>
    <row r="163" spans="5:11" x14ac:dyDescent="0.25">
      <c r="E163" s="2"/>
      <c r="F163" s="2"/>
      <c r="G163" s="2"/>
      <c r="H163" s="2"/>
      <c r="K163" s="3"/>
    </row>
    <row r="164" spans="5:11" x14ac:dyDescent="0.25">
      <c r="E164" s="2"/>
      <c r="F164" s="2"/>
      <c r="G164" s="2"/>
      <c r="H164" s="2"/>
      <c r="K164" s="3"/>
    </row>
    <row r="165" spans="5:11" x14ac:dyDescent="0.25">
      <c r="E165" s="2"/>
      <c r="F165" s="2"/>
      <c r="G165" s="2"/>
      <c r="H165" s="2"/>
      <c r="K165" s="3"/>
    </row>
    <row r="166" spans="5:11" x14ac:dyDescent="0.25">
      <c r="E166" s="2"/>
      <c r="F166" s="2"/>
      <c r="G166" s="2"/>
      <c r="H166" s="2"/>
      <c r="K166" s="3"/>
    </row>
    <row r="167" spans="5:11" x14ac:dyDescent="0.25">
      <c r="E167" s="2"/>
      <c r="F167" s="2"/>
      <c r="G167" s="2"/>
      <c r="H167" s="2"/>
      <c r="K167" s="3"/>
    </row>
    <row r="168" spans="5:11" x14ac:dyDescent="0.25">
      <c r="E168" s="2"/>
      <c r="F168" s="2"/>
      <c r="G168" s="2"/>
      <c r="H168" s="2"/>
      <c r="K168" s="3"/>
    </row>
    <row r="169" spans="5:11" x14ac:dyDescent="0.25">
      <c r="E169" s="2"/>
      <c r="F169" s="2"/>
      <c r="G169" s="2"/>
      <c r="H169" s="2"/>
      <c r="K169" s="3"/>
    </row>
    <row r="170" spans="5:11" x14ac:dyDescent="0.25">
      <c r="E170" s="2"/>
      <c r="F170" s="2"/>
      <c r="G170" s="2"/>
      <c r="H170" s="2"/>
      <c r="K170" s="3"/>
    </row>
    <row r="171" spans="5:11" x14ac:dyDescent="0.25">
      <c r="E171" s="2"/>
      <c r="F171" s="2"/>
      <c r="G171" s="2"/>
      <c r="H171" s="2"/>
      <c r="K171" s="3"/>
    </row>
    <row r="172" spans="5:11" x14ac:dyDescent="0.25">
      <c r="E172" s="2"/>
      <c r="F172" s="2"/>
      <c r="G172" s="2"/>
      <c r="H172" s="2"/>
      <c r="K172" s="3"/>
    </row>
    <row r="173" spans="5:11" x14ac:dyDescent="0.25">
      <c r="E173" s="2"/>
      <c r="F173" s="2"/>
      <c r="G173" s="2"/>
      <c r="H173" s="2"/>
      <c r="K173" s="3"/>
    </row>
    <row r="174" spans="5:11" x14ac:dyDescent="0.25">
      <c r="E174" s="2"/>
      <c r="F174" s="2"/>
      <c r="G174" s="2"/>
      <c r="H174" s="2"/>
      <c r="K174" s="3"/>
    </row>
    <row r="175" spans="5:11" x14ac:dyDescent="0.25">
      <c r="E175" s="2"/>
      <c r="F175" s="2"/>
      <c r="G175" s="2"/>
      <c r="H175" s="2"/>
      <c r="K175" s="3"/>
    </row>
    <row r="176" spans="5:11" x14ac:dyDescent="0.25">
      <c r="E176" s="2"/>
      <c r="F176" s="2"/>
      <c r="G176" s="2"/>
      <c r="H176" s="2"/>
      <c r="K176" s="3"/>
    </row>
    <row r="177" spans="5:11" x14ac:dyDescent="0.25">
      <c r="E177" s="2"/>
      <c r="F177" s="2"/>
      <c r="G177" s="2"/>
      <c r="H177" s="2"/>
      <c r="K177" s="3"/>
    </row>
    <row r="178" spans="5:11" x14ac:dyDescent="0.25">
      <c r="E178" s="2"/>
      <c r="F178" s="2"/>
      <c r="G178" s="2"/>
      <c r="H178" s="2"/>
      <c r="K178" s="3"/>
    </row>
    <row r="179" spans="5:11" x14ac:dyDescent="0.25">
      <c r="E179" s="2"/>
      <c r="F179" s="2"/>
      <c r="G179" s="2"/>
      <c r="H179" s="2"/>
      <c r="K179" s="3"/>
    </row>
    <row r="180" spans="5:11" x14ac:dyDescent="0.25">
      <c r="E180" s="2"/>
      <c r="F180" s="2"/>
      <c r="G180" s="2"/>
      <c r="H180" s="2"/>
      <c r="K180" s="3"/>
    </row>
    <row r="181" spans="5:11" x14ac:dyDescent="0.25">
      <c r="E181" s="2"/>
      <c r="F181" s="2"/>
      <c r="G181" s="2"/>
      <c r="H181" s="2"/>
      <c r="K181" s="3"/>
    </row>
    <row r="182" spans="5:11" x14ac:dyDescent="0.25">
      <c r="E182" s="2"/>
      <c r="F182" s="2"/>
      <c r="G182" s="2"/>
      <c r="H182" s="2"/>
      <c r="K182" s="3"/>
    </row>
    <row r="183" spans="5:11" x14ac:dyDescent="0.25">
      <c r="E183" s="2"/>
      <c r="F183" s="2"/>
      <c r="G183" s="2"/>
      <c r="H183" s="2"/>
      <c r="K183" s="3"/>
    </row>
    <row r="184" spans="5:11" x14ac:dyDescent="0.25">
      <c r="E184" s="2"/>
      <c r="F184" s="2"/>
      <c r="G184" s="2"/>
      <c r="H184" s="2"/>
      <c r="K184" s="3"/>
    </row>
    <row r="185" spans="5:11" x14ac:dyDescent="0.25">
      <c r="E185" s="2"/>
      <c r="F185" s="2"/>
      <c r="G185" s="2"/>
      <c r="H185" s="2"/>
      <c r="K185" s="3"/>
    </row>
    <row r="186" spans="5:11" x14ac:dyDescent="0.25">
      <c r="E186" s="2"/>
      <c r="F186" s="2"/>
      <c r="G186" s="2"/>
      <c r="H186" s="2"/>
      <c r="K186" s="3"/>
    </row>
    <row r="187" spans="5:11" x14ac:dyDescent="0.25">
      <c r="E187" s="2"/>
      <c r="F187" s="2"/>
      <c r="G187" s="2"/>
      <c r="H187" s="2"/>
      <c r="K187" s="3"/>
    </row>
    <row r="188" spans="5:11" x14ac:dyDescent="0.25">
      <c r="E188" s="2"/>
      <c r="F188" s="2"/>
      <c r="G188" s="2"/>
      <c r="H188" s="2"/>
      <c r="K188" s="3"/>
    </row>
    <row r="189" spans="5:11" x14ac:dyDescent="0.25">
      <c r="E189" s="2"/>
      <c r="F189" s="2"/>
      <c r="G189" s="2"/>
      <c r="H189" s="2"/>
      <c r="K189" s="3"/>
    </row>
    <row r="190" spans="5:11" x14ac:dyDescent="0.25">
      <c r="E190" s="2"/>
      <c r="F190" s="2"/>
      <c r="G190" s="2"/>
      <c r="H190" s="2"/>
      <c r="K190" s="3"/>
    </row>
    <row r="191" spans="5:11" x14ac:dyDescent="0.25">
      <c r="E191" s="2"/>
      <c r="F191" s="2"/>
      <c r="G191" s="2"/>
      <c r="H191" s="2"/>
      <c r="K191" s="3"/>
    </row>
    <row r="192" spans="5:11" x14ac:dyDescent="0.25">
      <c r="E192" s="2"/>
      <c r="F192" s="2"/>
      <c r="G192" s="2"/>
      <c r="H192" s="2"/>
      <c r="K192" s="3"/>
    </row>
    <row r="193" spans="5:11" x14ac:dyDescent="0.25">
      <c r="E193" s="2"/>
      <c r="F193" s="2"/>
      <c r="G193" s="2"/>
      <c r="H193" s="2"/>
      <c r="K193" s="3"/>
    </row>
    <row r="194" spans="5:11" x14ac:dyDescent="0.25">
      <c r="E194" s="2"/>
      <c r="F194" s="2"/>
      <c r="G194" s="2"/>
      <c r="H194" s="2"/>
      <c r="K194" s="3"/>
    </row>
    <row r="195" spans="5:11" x14ac:dyDescent="0.25">
      <c r="E195" s="2"/>
      <c r="F195" s="2"/>
      <c r="G195" s="2"/>
      <c r="H195" s="2"/>
      <c r="K195" s="3"/>
    </row>
    <row r="196" spans="5:11" x14ac:dyDescent="0.25">
      <c r="E196" s="2"/>
      <c r="F196" s="2"/>
      <c r="G196" s="2"/>
      <c r="H196" s="2"/>
      <c r="K196" s="3"/>
    </row>
    <row r="197" spans="5:11" x14ac:dyDescent="0.25">
      <c r="E197" s="2"/>
      <c r="F197" s="2"/>
      <c r="G197" s="2"/>
      <c r="H197" s="2"/>
      <c r="K197" s="3"/>
    </row>
    <row r="198" spans="5:11" x14ac:dyDescent="0.25">
      <c r="E198" s="2"/>
      <c r="F198" s="2"/>
      <c r="G198" s="2"/>
      <c r="H198" s="2"/>
      <c r="K198" s="3"/>
    </row>
    <row r="199" spans="5:11" x14ac:dyDescent="0.25">
      <c r="E199" s="2"/>
      <c r="F199" s="2"/>
      <c r="G199" s="2"/>
      <c r="H199" s="2"/>
      <c r="K199" s="3"/>
    </row>
    <row r="200" spans="5:11" x14ac:dyDescent="0.25">
      <c r="E200" s="2"/>
      <c r="F200" s="2"/>
      <c r="G200" s="2"/>
      <c r="H200" s="2"/>
      <c r="K200" s="3"/>
    </row>
    <row r="201" spans="5:11" x14ac:dyDescent="0.25">
      <c r="E201" s="2"/>
      <c r="F201" s="2"/>
      <c r="G201" s="2"/>
      <c r="H201" s="2"/>
      <c r="K201" s="3"/>
    </row>
    <row r="202" spans="5:11" x14ac:dyDescent="0.25">
      <c r="E202" s="2"/>
      <c r="F202" s="2"/>
      <c r="G202" s="2"/>
      <c r="H202" s="2"/>
      <c r="K202" s="3"/>
    </row>
    <row r="203" spans="5:11" x14ac:dyDescent="0.25">
      <c r="E203" s="2"/>
      <c r="F203" s="2"/>
      <c r="G203" s="2"/>
      <c r="H203" s="2"/>
      <c r="K203" s="3"/>
    </row>
    <row r="204" spans="5:11" x14ac:dyDescent="0.25">
      <c r="E204" s="2"/>
      <c r="F204" s="2"/>
      <c r="G204" s="2"/>
      <c r="H204" s="2"/>
      <c r="K204" s="3"/>
    </row>
    <row r="205" spans="5:11" x14ac:dyDescent="0.25">
      <c r="E205" s="2"/>
      <c r="F205" s="2"/>
      <c r="G205" s="2"/>
      <c r="H205" s="2"/>
      <c r="K205" s="3"/>
    </row>
    <row r="206" spans="5:11" x14ac:dyDescent="0.25">
      <c r="E206" s="2"/>
      <c r="F206" s="2"/>
      <c r="G206" s="2"/>
      <c r="H206" s="2"/>
      <c r="K206" s="3"/>
    </row>
    <row r="207" spans="5:11" x14ac:dyDescent="0.25">
      <c r="E207" s="2"/>
      <c r="F207" s="2"/>
      <c r="G207" s="2"/>
      <c r="H207" s="2"/>
      <c r="K207" s="3"/>
    </row>
    <row r="208" spans="5:11" x14ac:dyDescent="0.25">
      <c r="E208" s="2"/>
      <c r="F208" s="2"/>
      <c r="G208" s="2"/>
      <c r="H208" s="2"/>
      <c r="K208" s="3"/>
    </row>
    <row r="209" spans="5:11" x14ac:dyDescent="0.25">
      <c r="E209" s="2"/>
      <c r="F209" s="2"/>
      <c r="G209" s="2"/>
      <c r="H209" s="2"/>
      <c r="K209" s="3"/>
    </row>
    <row r="210" spans="5:11" x14ac:dyDescent="0.25">
      <c r="E210" s="2"/>
      <c r="F210" s="2"/>
      <c r="G210" s="2"/>
      <c r="H210" s="2"/>
      <c r="K210" s="3"/>
    </row>
    <row r="211" spans="5:11" x14ac:dyDescent="0.25">
      <c r="E211" s="2"/>
      <c r="F211" s="2"/>
      <c r="G211" s="2"/>
      <c r="H211" s="2"/>
      <c r="K211" s="3"/>
    </row>
    <row r="212" spans="5:11" x14ac:dyDescent="0.25">
      <c r="E212" s="2"/>
      <c r="F212" s="2"/>
      <c r="G212" s="2"/>
      <c r="H212" s="2"/>
      <c r="K212" s="3"/>
    </row>
    <row r="213" spans="5:11" x14ac:dyDescent="0.25">
      <c r="E213" s="2"/>
      <c r="F213" s="2"/>
      <c r="G213" s="2"/>
      <c r="H213" s="2"/>
      <c r="K213" s="3"/>
    </row>
    <row r="214" spans="5:11" x14ac:dyDescent="0.25">
      <c r="E214" s="2"/>
      <c r="F214" s="2"/>
      <c r="G214" s="2"/>
      <c r="H214" s="2"/>
      <c r="K214" s="3"/>
    </row>
    <row r="215" spans="5:11" x14ac:dyDescent="0.25">
      <c r="E215" s="2"/>
      <c r="F215" s="2"/>
      <c r="G215" s="2"/>
      <c r="H215" s="2"/>
      <c r="K215" s="3"/>
    </row>
    <row r="216" spans="5:11" x14ac:dyDescent="0.25">
      <c r="E216" s="2"/>
      <c r="F216" s="2"/>
      <c r="G216" s="2"/>
      <c r="H216" s="2"/>
      <c r="K216" s="3"/>
    </row>
    <row r="217" spans="5:11" x14ac:dyDescent="0.25">
      <c r="E217" s="2"/>
      <c r="F217" s="2"/>
      <c r="G217" s="2"/>
      <c r="H217" s="2"/>
      <c r="K217" s="3"/>
    </row>
    <row r="218" spans="5:11" x14ac:dyDescent="0.25">
      <c r="E218" s="2"/>
      <c r="F218" s="2"/>
      <c r="G218" s="2"/>
      <c r="H218" s="2"/>
      <c r="K218" s="3"/>
    </row>
    <row r="219" spans="5:11" x14ac:dyDescent="0.25">
      <c r="E219" s="2"/>
      <c r="F219" s="2"/>
      <c r="G219" s="2"/>
      <c r="H219" s="2"/>
      <c r="K219" s="3"/>
    </row>
    <row r="220" spans="5:11" x14ac:dyDescent="0.25">
      <c r="E220" s="2"/>
      <c r="F220" s="2"/>
      <c r="G220" s="2"/>
      <c r="H220" s="2"/>
      <c r="K220" s="3"/>
    </row>
    <row r="221" spans="5:11" x14ac:dyDescent="0.25">
      <c r="E221" s="2"/>
      <c r="F221" s="2"/>
      <c r="G221" s="2"/>
      <c r="H221" s="2"/>
      <c r="K221" s="3"/>
    </row>
    <row r="222" spans="5:11" x14ac:dyDescent="0.25">
      <c r="E222" s="2"/>
      <c r="F222" s="2"/>
      <c r="G222" s="2"/>
      <c r="H222" s="2"/>
      <c r="K222" s="3"/>
    </row>
    <row r="223" spans="5:11" x14ac:dyDescent="0.25">
      <c r="E223" s="2"/>
      <c r="F223" s="2"/>
      <c r="G223" s="2"/>
      <c r="H223" s="2"/>
      <c r="K223" s="3"/>
    </row>
    <row r="224" spans="5:11" x14ac:dyDescent="0.25">
      <c r="E224" s="2"/>
      <c r="F224" s="2"/>
      <c r="G224" s="2"/>
      <c r="H224" s="2"/>
      <c r="K224" s="3"/>
    </row>
    <row r="225" spans="5:11" x14ac:dyDescent="0.25">
      <c r="E225" s="2"/>
      <c r="F225" s="2"/>
      <c r="G225" s="2"/>
      <c r="H225" s="2"/>
      <c r="K225" s="3"/>
    </row>
    <row r="226" spans="5:11" x14ac:dyDescent="0.25">
      <c r="E226" s="2"/>
      <c r="F226" s="2"/>
      <c r="G226" s="2"/>
      <c r="H226" s="2"/>
      <c r="K226" s="3"/>
    </row>
    <row r="227" spans="5:11" x14ac:dyDescent="0.25">
      <c r="E227" s="2"/>
      <c r="F227" s="2"/>
      <c r="G227" s="2"/>
      <c r="H227" s="2"/>
      <c r="K227" s="3"/>
    </row>
    <row r="228" spans="5:11" x14ac:dyDescent="0.25">
      <c r="E228" s="2"/>
      <c r="F228" s="2"/>
      <c r="G228" s="2"/>
      <c r="H228" s="2"/>
      <c r="K228" s="3"/>
    </row>
    <row r="229" spans="5:11" x14ac:dyDescent="0.25">
      <c r="E229" s="2"/>
      <c r="F229" s="2"/>
      <c r="G229" s="2"/>
      <c r="H229" s="2"/>
      <c r="K229" s="3"/>
    </row>
    <row r="230" spans="5:11" x14ac:dyDescent="0.25">
      <c r="E230" s="2"/>
      <c r="F230" s="2"/>
      <c r="G230" s="2"/>
      <c r="H230" s="2"/>
      <c r="K230" s="3"/>
    </row>
    <row r="231" spans="5:11" x14ac:dyDescent="0.25">
      <c r="E231" s="2"/>
      <c r="F231" s="2"/>
      <c r="G231" s="2"/>
      <c r="H231" s="2"/>
      <c r="K231" s="3"/>
    </row>
    <row r="232" spans="5:11" x14ac:dyDescent="0.25">
      <c r="E232" s="2"/>
      <c r="F232" s="2"/>
      <c r="G232" s="2"/>
      <c r="H232" s="2"/>
      <c r="K232" s="3"/>
    </row>
    <row r="233" spans="5:11" x14ac:dyDescent="0.25">
      <c r="E233" s="2"/>
      <c r="F233" s="2"/>
      <c r="G233" s="2"/>
      <c r="H233" s="2"/>
      <c r="K233" s="3"/>
    </row>
    <row r="234" spans="5:11" x14ac:dyDescent="0.25">
      <c r="E234" s="2"/>
      <c r="F234" s="2"/>
      <c r="G234" s="2"/>
      <c r="H234" s="2"/>
      <c r="K234" s="3"/>
    </row>
    <row r="235" spans="5:11" x14ac:dyDescent="0.25">
      <c r="E235" s="2"/>
      <c r="F235" s="2"/>
      <c r="G235" s="2"/>
      <c r="H235" s="2"/>
      <c r="K235" s="3"/>
    </row>
    <row r="236" spans="5:11" x14ac:dyDescent="0.25">
      <c r="E236" s="2"/>
      <c r="F236" s="2"/>
      <c r="G236" s="2"/>
      <c r="H236" s="2"/>
      <c r="K236" s="3"/>
    </row>
    <row r="237" spans="5:11" x14ac:dyDescent="0.25">
      <c r="E237" s="2"/>
      <c r="F237" s="2"/>
      <c r="G237" s="2"/>
      <c r="H237" s="2"/>
      <c r="K237" s="3"/>
    </row>
    <row r="238" spans="5:11" x14ac:dyDescent="0.25">
      <c r="E238" s="2"/>
      <c r="F238" s="2"/>
      <c r="G238" s="2"/>
      <c r="H238" s="2"/>
      <c r="K238" s="3"/>
    </row>
    <row r="239" spans="5:11" x14ac:dyDescent="0.25">
      <c r="E239" s="2"/>
      <c r="F239" s="2"/>
      <c r="G239" s="2"/>
      <c r="H239" s="2"/>
      <c r="K239" s="3"/>
    </row>
    <row r="240" spans="5:11" x14ac:dyDescent="0.25">
      <c r="E240" s="2"/>
      <c r="F240" s="2"/>
      <c r="G240" s="2"/>
      <c r="H240" s="2"/>
      <c r="K240" s="3"/>
    </row>
    <row r="241" spans="5:11" x14ac:dyDescent="0.25">
      <c r="E241" s="2"/>
      <c r="F241" s="2"/>
      <c r="G241" s="2"/>
      <c r="H241" s="2"/>
      <c r="K241" s="3"/>
    </row>
    <row r="242" spans="5:11" x14ac:dyDescent="0.25">
      <c r="E242" s="2"/>
      <c r="F242" s="2"/>
      <c r="G242" s="2"/>
      <c r="H242" s="2"/>
      <c r="K242" s="3"/>
    </row>
    <row r="243" spans="5:11" x14ac:dyDescent="0.25">
      <c r="E243" s="2"/>
      <c r="F243" s="2"/>
      <c r="G243" s="2"/>
      <c r="H243" s="2"/>
      <c r="K243" s="3"/>
    </row>
    <row r="244" spans="5:11" x14ac:dyDescent="0.25">
      <c r="E244" s="2"/>
      <c r="F244" s="2"/>
      <c r="G244" s="2"/>
      <c r="H244" s="2"/>
      <c r="K244" s="3"/>
    </row>
    <row r="245" spans="5:11" x14ac:dyDescent="0.25">
      <c r="E245" s="2"/>
      <c r="F245" s="2"/>
      <c r="G245" s="2"/>
      <c r="H245" s="2"/>
      <c r="K245" s="3"/>
    </row>
    <row r="246" spans="5:11" x14ac:dyDescent="0.25">
      <c r="E246" s="2"/>
      <c r="F246" s="2"/>
      <c r="G246" s="2"/>
      <c r="H246" s="2"/>
      <c r="K246" s="3"/>
    </row>
    <row r="247" spans="5:11" x14ac:dyDescent="0.25">
      <c r="E247" s="2"/>
      <c r="F247" s="2"/>
      <c r="G247" s="2"/>
      <c r="H247" s="2"/>
      <c r="K247" s="3"/>
    </row>
    <row r="248" spans="5:11" x14ac:dyDescent="0.25">
      <c r="E248" s="2"/>
      <c r="F248" s="2"/>
      <c r="G248" s="2"/>
      <c r="H248" s="2"/>
      <c r="K248" s="3"/>
    </row>
    <row r="249" spans="5:11" x14ac:dyDescent="0.25">
      <c r="E249" s="2"/>
      <c r="F249" s="2"/>
      <c r="G249" s="2"/>
      <c r="H249" s="2"/>
      <c r="K249" s="3"/>
    </row>
    <row r="250" spans="5:11" x14ac:dyDescent="0.25">
      <c r="E250" s="2"/>
      <c r="F250" s="2"/>
      <c r="G250" s="2"/>
      <c r="H250" s="2"/>
      <c r="K250" s="3"/>
    </row>
    <row r="251" spans="5:11" x14ac:dyDescent="0.25">
      <c r="E251" s="2"/>
      <c r="F251" s="2"/>
      <c r="G251" s="2"/>
      <c r="H251" s="2"/>
      <c r="K251" s="3"/>
    </row>
    <row r="252" spans="5:11" x14ac:dyDescent="0.25">
      <c r="E252" s="2"/>
      <c r="F252" s="2"/>
      <c r="G252" s="2"/>
      <c r="H252" s="2"/>
      <c r="K252" s="3"/>
    </row>
    <row r="253" spans="5:11" x14ac:dyDescent="0.25">
      <c r="E253" s="2"/>
      <c r="F253" s="2"/>
      <c r="G253" s="2"/>
      <c r="H253" s="2"/>
      <c r="K253" s="3"/>
    </row>
    <row r="254" spans="5:11" x14ac:dyDescent="0.25">
      <c r="E254" s="2"/>
      <c r="F254" s="2"/>
      <c r="G254" s="2"/>
      <c r="H254" s="2"/>
      <c r="K254" s="3"/>
    </row>
    <row r="255" spans="5:11" x14ac:dyDescent="0.25">
      <c r="E255" s="2"/>
      <c r="F255" s="2"/>
      <c r="G255" s="2"/>
      <c r="H255" s="2"/>
      <c r="K255" s="3"/>
    </row>
    <row r="256" spans="5:11" x14ac:dyDescent="0.25">
      <c r="E256" s="2"/>
      <c r="F256" s="2"/>
      <c r="G256" s="2"/>
      <c r="H256" s="2"/>
      <c r="K256" s="3"/>
    </row>
    <row r="257" spans="5:11" x14ac:dyDescent="0.25">
      <c r="E257" s="2"/>
      <c r="F257" s="2"/>
      <c r="G257" s="2"/>
      <c r="H257" s="2"/>
      <c r="K257" s="3"/>
    </row>
    <row r="258" spans="5:11" x14ac:dyDescent="0.25">
      <c r="E258" s="2"/>
      <c r="F258" s="2"/>
      <c r="G258" s="2"/>
      <c r="H258" s="2"/>
      <c r="K258" s="3"/>
    </row>
    <row r="259" spans="5:11" x14ac:dyDescent="0.25">
      <c r="E259" s="2"/>
      <c r="F259" s="2"/>
      <c r="G259" s="2"/>
      <c r="H259" s="2"/>
      <c r="K259" s="3"/>
    </row>
    <row r="260" spans="5:11" x14ac:dyDescent="0.25">
      <c r="E260" s="2"/>
      <c r="F260" s="2"/>
      <c r="G260" s="2"/>
      <c r="H260" s="2"/>
      <c r="K260" s="3"/>
    </row>
    <row r="261" spans="5:11" x14ac:dyDescent="0.25">
      <c r="E261" s="2"/>
      <c r="F261" s="2"/>
      <c r="G261" s="2"/>
      <c r="H261" s="2"/>
      <c r="K261" s="3"/>
    </row>
    <row r="262" spans="5:11" x14ac:dyDescent="0.25">
      <c r="E262" s="2"/>
      <c r="F262" s="2"/>
      <c r="G262" s="2"/>
      <c r="H262" s="2"/>
      <c r="K262" s="3"/>
    </row>
    <row r="263" spans="5:11" x14ac:dyDescent="0.25">
      <c r="E263" s="2"/>
      <c r="F263" s="2"/>
      <c r="G263" s="2"/>
      <c r="H263" s="2"/>
      <c r="K263" s="3"/>
    </row>
    <row r="264" spans="5:11" x14ac:dyDescent="0.25">
      <c r="E264" s="2"/>
      <c r="F264" s="2"/>
      <c r="G264" s="2"/>
      <c r="H264" s="2"/>
      <c r="K264" s="3"/>
    </row>
    <row r="265" spans="5:11" x14ac:dyDescent="0.25">
      <c r="E265" s="2"/>
      <c r="F265" s="2"/>
      <c r="G265" s="2"/>
      <c r="H265" s="2"/>
      <c r="K265" s="3"/>
    </row>
    <row r="266" spans="5:11" x14ac:dyDescent="0.25">
      <c r="E266" s="2"/>
      <c r="F266" s="2"/>
      <c r="G266" s="2"/>
      <c r="H266" s="2"/>
      <c r="K266" s="3"/>
    </row>
    <row r="267" spans="5:11" x14ac:dyDescent="0.25">
      <c r="E267" s="2"/>
      <c r="F267" s="2"/>
      <c r="G267" s="2"/>
      <c r="H267" s="2"/>
      <c r="K267" s="3"/>
    </row>
    <row r="268" spans="5:11" x14ac:dyDescent="0.25">
      <c r="E268" s="2"/>
      <c r="F268" s="2"/>
      <c r="G268" s="2"/>
      <c r="H268" s="2"/>
      <c r="K268" s="3"/>
    </row>
    <row r="269" spans="5:11" x14ac:dyDescent="0.25">
      <c r="E269" s="2"/>
      <c r="F269" s="2"/>
      <c r="G269" s="2"/>
      <c r="H269" s="2"/>
      <c r="K269" s="3"/>
    </row>
    <row r="270" spans="5:11" x14ac:dyDescent="0.25">
      <c r="E270" s="2"/>
      <c r="F270" s="2"/>
      <c r="G270" s="2"/>
      <c r="H270" s="2"/>
      <c r="K270" s="3"/>
    </row>
    <row r="271" spans="5:11" x14ac:dyDescent="0.25">
      <c r="E271" s="2"/>
      <c r="F271" s="2"/>
      <c r="G271" s="2"/>
      <c r="H271" s="2"/>
      <c r="K271" s="3"/>
    </row>
    <row r="272" spans="5:11" x14ac:dyDescent="0.25">
      <c r="E272" s="2"/>
      <c r="F272" s="2"/>
      <c r="G272" s="2"/>
      <c r="H272" s="2"/>
      <c r="K272" s="3"/>
    </row>
    <row r="273" spans="5:11" x14ac:dyDescent="0.25">
      <c r="E273" s="2"/>
      <c r="F273" s="2"/>
      <c r="G273" s="2"/>
      <c r="H273" s="2"/>
      <c r="K273" s="3"/>
    </row>
    <row r="274" spans="5:11" x14ac:dyDescent="0.25">
      <c r="E274" s="2"/>
      <c r="F274" s="2"/>
      <c r="G274" s="2"/>
      <c r="H274" s="2"/>
      <c r="K274" s="3"/>
    </row>
    <row r="275" spans="5:11" x14ac:dyDescent="0.25">
      <c r="E275" s="2"/>
      <c r="F275" s="2"/>
      <c r="G275" s="2"/>
      <c r="H275" s="2"/>
      <c r="K275" s="3"/>
    </row>
    <row r="276" spans="5:11" x14ac:dyDescent="0.25">
      <c r="E276" s="2"/>
      <c r="F276" s="2"/>
      <c r="G276" s="2"/>
      <c r="H276" s="2"/>
      <c r="K276" s="3"/>
    </row>
    <row r="277" spans="5:11" x14ac:dyDescent="0.25">
      <c r="E277" s="2"/>
      <c r="F277" s="2"/>
      <c r="G277" s="2"/>
      <c r="H277" s="2"/>
      <c r="K277" s="3"/>
    </row>
    <row r="278" spans="5:11" x14ac:dyDescent="0.25">
      <c r="E278" s="2"/>
      <c r="F278" s="2"/>
      <c r="G278" s="2"/>
      <c r="H278" s="2"/>
      <c r="K278" s="3"/>
    </row>
    <row r="279" spans="5:11" x14ac:dyDescent="0.25">
      <c r="E279" s="2"/>
      <c r="F279" s="2"/>
      <c r="G279" s="2"/>
      <c r="H279" s="2"/>
      <c r="K279" s="3"/>
    </row>
    <row r="280" spans="5:11" x14ac:dyDescent="0.25">
      <c r="E280" s="2"/>
      <c r="F280" s="2"/>
      <c r="G280" s="2"/>
      <c r="H280" s="2"/>
      <c r="K280" s="3"/>
    </row>
    <row r="281" spans="5:11" x14ac:dyDescent="0.25">
      <c r="E281" s="2"/>
      <c r="F281" s="2"/>
      <c r="G281" s="2"/>
      <c r="H281" s="2"/>
      <c r="K281" s="3"/>
    </row>
    <row r="282" spans="5:11" x14ac:dyDescent="0.25">
      <c r="E282" s="2"/>
      <c r="F282" s="2"/>
      <c r="G282" s="2"/>
      <c r="H282" s="2"/>
      <c r="K282" s="3"/>
    </row>
    <row r="283" spans="5:11" x14ac:dyDescent="0.25">
      <c r="E283" s="2"/>
      <c r="F283" s="2"/>
      <c r="G283" s="2"/>
      <c r="H283" s="2"/>
      <c r="K283" s="3"/>
    </row>
    <row r="284" spans="5:11" x14ac:dyDescent="0.25">
      <c r="E284" s="2"/>
      <c r="F284" s="2"/>
      <c r="G284" s="2"/>
      <c r="H284" s="2"/>
      <c r="K284" s="3"/>
    </row>
    <row r="285" spans="5:11" x14ac:dyDescent="0.25">
      <c r="E285" s="2"/>
      <c r="F285" s="2"/>
      <c r="G285" s="2"/>
      <c r="H285" s="2"/>
      <c r="K285" s="3"/>
    </row>
    <row r="286" spans="5:11" x14ac:dyDescent="0.25">
      <c r="E286" s="2"/>
      <c r="F286" s="2"/>
      <c r="G286" s="2"/>
      <c r="H286" s="2"/>
      <c r="K286" s="3"/>
    </row>
    <row r="287" spans="5:11" x14ac:dyDescent="0.25">
      <c r="E287" s="2"/>
      <c r="F287" s="2"/>
      <c r="G287" s="2"/>
      <c r="H287" s="2"/>
      <c r="K287" s="3"/>
    </row>
    <row r="288" spans="5:11" x14ac:dyDescent="0.25">
      <c r="E288" s="2"/>
      <c r="F288" s="2"/>
      <c r="G288" s="2"/>
      <c r="H288" s="2"/>
      <c r="K288" s="3"/>
    </row>
    <row r="289" spans="5:11" x14ac:dyDescent="0.25">
      <c r="E289" s="2"/>
      <c r="F289" s="2"/>
      <c r="G289" s="2"/>
      <c r="H289" s="2"/>
      <c r="K289" s="3"/>
    </row>
    <row r="290" spans="5:11" x14ac:dyDescent="0.25">
      <c r="E290" s="2"/>
      <c r="F290" s="2"/>
      <c r="G290" s="2"/>
      <c r="H290" s="2"/>
      <c r="K290" s="3"/>
    </row>
    <row r="291" spans="5:11" x14ac:dyDescent="0.25">
      <c r="E291" s="2"/>
      <c r="F291" s="2"/>
      <c r="G291" s="2"/>
      <c r="H291" s="2"/>
      <c r="K291" s="3"/>
    </row>
    <row r="292" spans="5:11" x14ac:dyDescent="0.25">
      <c r="E292" s="2"/>
      <c r="F292" s="2"/>
      <c r="G292" s="2"/>
      <c r="H292" s="2"/>
      <c r="K292" s="3"/>
    </row>
    <row r="293" spans="5:11" x14ac:dyDescent="0.25">
      <c r="E293" s="2"/>
      <c r="F293" s="2"/>
      <c r="G293" s="2"/>
      <c r="H293" s="2"/>
      <c r="K293" s="3"/>
    </row>
    <row r="294" spans="5:11" x14ac:dyDescent="0.25">
      <c r="E294" s="2"/>
      <c r="F294" s="2"/>
      <c r="G294" s="2"/>
      <c r="H294" s="2"/>
      <c r="K294" s="3"/>
    </row>
    <row r="295" spans="5:11" x14ac:dyDescent="0.25">
      <c r="E295" s="2"/>
      <c r="F295" s="2"/>
      <c r="G295" s="2"/>
      <c r="H295" s="2"/>
      <c r="K295" s="3"/>
    </row>
    <row r="296" spans="5:11" x14ac:dyDescent="0.25">
      <c r="E296" s="2"/>
      <c r="F296" s="2"/>
      <c r="G296" s="2"/>
      <c r="H296" s="2"/>
      <c r="K296" s="3"/>
    </row>
    <row r="297" spans="5:11" x14ac:dyDescent="0.25">
      <c r="E297" s="2"/>
      <c r="F297" s="2"/>
      <c r="G297" s="2"/>
      <c r="H297" s="2"/>
      <c r="K297" s="3"/>
    </row>
    <row r="298" spans="5:11" x14ac:dyDescent="0.25">
      <c r="E298" s="2"/>
      <c r="F298" s="2"/>
      <c r="G298" s="2"/>
      <c r="H298" s="2"/>
      <c r="K298" s="3"/>
    </row>
    <row r="299" spans="5:11" x14ac:dyDescent="0.25">
      <c r="E299" s="2"/>
      <c r="F299" s="2"/>
      <c r="G299" s="2"/>
      <c r="H299" s="2"/>
      <c r="K299" s="3"/>
    </row>
    <row r="300" spans="5:11" x14ac:dyDescent="0.25">
      <c r="E300" s="2"/>
      <c r="F300" s="2"/>
      <c r="G300" s="2"/>
      <c r="H300" s="2"/>
      <c r="K300" s="3"/>
    </row>
    <row r="301" spans="5:11" x14ac:dyDescent="0.25">
      <c r="E301" s="2"/>
      <c r="F301" s="2"/>
      <c r="G301" s="2"/>
      <c r="H301" s="2"/>
      <c r="K301" s="3"/>
    </row>
    <row r="302" spans="5:11" x14ac:dyDescent="0.25">
      <c r="E302" s="2"/>
      <c r="F302" s="2"/>
      <c r="G302" s="2"/>
      <c r="H302" s="2"/>
      <c r="K302" s="3"/>
    </row>
    <row r="303" spans="5:11" x14ac:dyDescent="0.25">
      <c r="E303" s="2"/>
      <c r="F303" s="2"/>
      <c r="G303" s="2"/>
      <c r="H303" s="2"/>
      <c r="K303" s="3"/>
    </row>
  </sheetData>
  <mergeCells count="3">
    <mergeCell ref="A1:A2"/>
    <mergeCell ref="E1:F1"/>
    <mergeCell ref="G1:H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41"/>
  <sheetViews>
    <sheetView topLeftCell="A387" workbookViewId="0">
      <selection activeCell="I404" sqref="I404"/>
    </sheetView>
  </sheetViews>
  <sheetFormatPr defaultRowHeight="15" x14ac:dyDescent="0.25"/>
  <cols>
    <col min="1" max="1" width="7.42578125" customWidth="1"/>
    <col min="2" max="2" width="28.7109375" customWidth="1"/>
    <col min="3" max="3" width="14.28515625" customWidth="1"/>
    <col min="4" max="4" width="16" customWidth="1"/>
    <col min="5" max="5" width="6.42578125" customWidth="1"/>
    <col min="6" max="6" width="16.140625" customWidth="1"/>
    <col min="7" max="7" width="10.85546875" customWidth="1"/>
    <col min="8" max="8" width="21.140625" customWidth="1"/>
    <col min="9" max="9" width="15.85546875" customWidth="1"/>
    <col min="10" max="10" width="14.5703125" customWidth="1"/>
    <col min="11" max="11" width="20.5703125" customWidth="1"/>
    <col min="12" max="13" width="18" customWidth="1"/>
    <col min="14" max="14" width="16.140625" customWidth="1"/>
    <col min="15" max="15" width="18.42578125" customWidth="1"/>
    <col min="16" max="19" width="16.140625" customWidth="1"/>
    <col min="20" max="20" width="255.5703125" customWidth="1"/>
  </cols>
  <sheetData>
    <row r="1" spans="1:20" s="5" customFormat="1" ht="28.5" customHeight="1" x14ac:dyDescent="0.25">
      <c r="A1" s="8" t="s">
        <v>31</v>
      </c>
      <c r="B1" s="8" t="s">
        <v>32</v>
      </c>
      <c r="C1" s="8" t="s">
        <v>183</v>
      </c>
      <c r="D1" s="8" t="s">
        <v>0</v>
      </c>
      <c r="E1" s="8" t="s">
        <v>30</v>
      </c>
      <c r="F1" s="8" t="s">
        <v>160</v>
      </c>
      <c r="G1" s="8" t="s">
        <v>242</v>
      </c>
      <c r="H1" s="8" t="s">
        <v>192</v>
      </c>
      <c r="I1" s="9" t="s">
        <v>1</v>
      </c>
      <c r="J1" s="9" t="s">
        <v>2</v>
      </c>
      <c r="K1" s="8" t="s">
        <v>167</v>
      </c>
      <c r="L1" s="8" t="s">
        <v>161</v>
      </c>
      <c r="M1" s="8" t="s">
        <v>162</v>
      </c>
      <c r="N1" s="8" t="s">
        <v>173</v>
      </c>
      <c r="O1" s="8" t="s">
        <v>174</v>
      </c>
      <c r="P1" s="8" t="s">
        <v>173</v>
      </c>
      <c r="Q1" s="8" t="s">
        <v>174</v>
      </c>
      <c r="R1" s="8" t="s">
        <v>173</v>
      </c>
      <c r="S1" s="8" t="s">
        <v>174</v>
      </c>
      <c r="T1" s="8" t="s">
        <v>224</v>
      </c>
    </row>
    <row r="2" spans="1:20" s="5" customFormat="1" x14ac:dyDescent="0.25">
      <c r="A2" s="5" t="s">
        <v>71</v>
      </c>
      <c r="B2" s="5" t="s">
        <v>72</v>
      </c>
      <c r="C2" s="13">
        <v>42391</v>
      </c>
      <c r="D2" s="5" t="s">
        <v>4</v>
      </c>
      <c r="E2" s="5">
        <v>386</v>
      </c>
      <c r="F2" s="7">
        <v>6599000</v>
      </c>
      <c r="G2" s="7">
        <f>F2/E2</f>
        <v>17095.854922279792</v>
      </c>
      <c r="H2" s="10" t="s">
        <v>193</v>
      </c>
      <c r="I2" s="10" t="s">
        <v>7</v>
      </c>
      <c r="J2" s="10" t="s">
        <v>33</v>
      </c>
      <c r="K2" s="5" t="s">
        <v>168</v>
      </c>
      <c r="L2" s="12">
        <v>42613</v>
      </c>
      <c r="M2" s="11" t="s">
        <v>163</v>
      </c>
      <c r="N2" s="11" t="s">
        <v>184</v>
      </c>
      <c r="O2" s="7"/>
      <c r="P2" s="11" t="s">
        <v>176</v>
      </c>
      <c r="Q2" s="7"/>
      <c r="R2" s="11" t="s">
        <v>175</v>
      </c>
      <c r="S2" s="7"/>
    </row>
    <row r="3" spans="1:20" x14ac:dyDescent="0.25">
      <c r="A3" s="5" t="s">
        <v>71</v>
      </c>
      <c r="B3" s="1" t="s">
        <v>164</v>
      </c>
      <c r="C3" s="14">
        <v>42396</v>
      </c>
      <c r="D3" s="5" t="s">
        <v>165</v>
      </c>
      <c r="E3" s="5">
        <v>58</v>
      </c>
      <c r="F3" s="7">
        <v>569000</v>
      </c>
      <c r="G3" s="7">
        <f t="shared" ref="G3:G14" si="0">F3/E3</f>
        <v>9810.3448275862065</v>
      </c>
      <c r="H3" s="11" t="s">
        <v>165</v>
      </c>
      <c r="I3" s="11" t="s">
        <v>170</v>
      </c>
      <c r="J3" s="11" t="s">
        <v>166</v>
      </c>
      <c r="K3" s="5" t="s">
        <v>169</v>
      </c>
      <c r="L3" s="11" t="s">
        <v>171</v>
      </c>
      <c r="M3" s="11" t="s">
        <v>172</v>
      </c>
      <c r="N3" s="11" t="s">
        <v>218</v>
      </c>
      <c r="O3" s="11" t="s">
        <v>219</v>
      </c>
      <c r="P3" s="11"/>
      <c r="Q3" s="7"/>
      <c r="R3" s="11"/>
      <c r="S3" s="7"/>
      <c r="T3" s="5" t="s">
        <v>225</v>
      </c>
    </row>
    <row r="4" spans="1:20" s="29" customFormat="1" x14ac:dyDescent="0.25">
      <c r="A4" s="25" t="s">
        <v>71</v>
      </c>
      <c r="B4" s="25" t="s">
        <v>73</v>
      </c>
      <c r="C4" s="26">
        <v>42391</v>
      </c>
      <c r="D4" s="25" t="s">
        <v>4</v>
      </c>
      <c r="E4" s="25">
        <v>144</v>
      </c>
      <c r="F4" s="27">
        <v>2063000</v>
      </c>
      <c r="G4" s="27">
        <f t="shared" si="0"/>
        <v>14326.388888888889</v>
      </c>
      <c r="H4" s="28" t="s">
        <v>102</v>
      </c>
      <c r="I4" s="28" t="s">
        <v>190</v>
      </c>
      <c r="J4" s="28" t="s">
        <v>8</v>
      </c>
      <c r="K4" s="25" t="s">
        <v>187</v>
      </c>
      <c r="L4" s="25" t="s">
        <v>188</v>
      </c>
      <c r="M4" s="25" t="s">
        <v>189</v>
      </c>
      <c r="N4" s="28" t="s">
        <v>184</v>
      </c>
      <c r="O4" s="27" t="s">
        <v>185</v>
      </c>
      <c r="P4" s="28" t="s">
        <v>186</v>
      </c>
      <c r="Q4" s="27" t="s">
        <v>191</v>
      </c>
      <c r="R4" s="28"/>
      <c r="S4" s="27"/>
      <c r="T4" s="25"/>
    </row>
    <row r="5" spans="1:20" x14ac:dyDescent="0.25">
      <c r="A5" s="5" t="s">
        <v>71</v>
      </c>
      <c r="B5" s="5" t="s">
        <v>181</v>
      </c>
      <c r="C5" s="14">
        <v>42419</v>
      </c>
      <c r="D5" s="5" t="s">
        <v>182</v>
      </c>
      <c r="E5" s="5">
        <v>107</v>
      </c>
      <c r="F5" s="7">
        <v>1025000</v>
      </c>
      <c r="G5" s="7">
        <f t="shared" si="0"/>
        <v>9579.4392523364495</v>
      </c>
      <c r="H5" s="10" t="s">
        <v>196</v>
      </c>
      <c r="I5" s="11" t="s">
        <v>194</v>
      </c>
      <c r="J5" s="11" t="s">
        <v>166</v>
      </c>
      <c r="K5" s="5" t="s">
        <v>240</v>
      </c>
      <c r="L5" s="10">
        <v>42491</v>
      </c>
      <c r="M5" s="5" t="s">
        <v>195</v>
      </c>
      <c r="N5" s="11"/>
      <c r="O5" s="7"/>
      <c r="P5" s="11"/>
      <c r="Q5" s="7"/>
      <c r="R5" s="11"/>
      <c r="S5" s="7"/>
      <c r="T5" s="5"/>
    </row>
    <row r="6" spans="1:20" x14ac:dyDescent="0.25">
      <c r="A6" s="5" t="s">
        <v>71</v>
      </c>
      <c r="B6" s="5" t="s">
        <v>297</v>
      </c>
      <c r="C6" s="14">
        <v>42426</v>
      </c>
      <c r="D6" s="5" t="s">
        <v>4</v>
      </c>
      <c r="E6" s="5">
        <v>398</v>
      </c>
      <c r="F6" s="7">
        <v>4919200</v>
      </c>
      <c r="G6" s="7">
        <f t="shared" si="0"/>
        <v>12359.798994974873</v>
      </c>
      <c r="H6" s="11" t="s">
        <v>197</v>
      </c>
      <c r="I6" s="11" t="s">
        <v>198</v>
      </c>
      <c r="J6" s="11" t="s">
        <v>199</v>
      </c>
      <c r="K6" s="5" t="s">
        <v>200</v>
      </c>
      <c r="L6" s="5" t="s">
        <v>188</v>
      </c>
      <c r="M6" s="5" t="s">
        <v>208</v>
      </c>
      <c r="N6" s="11"/>
      <c r="O6" s="7"/>
      <c r="P6" s="11"/>
      <c r="Q6" s="7"/>
      <c r="R6" s="11"/>
      <c r="S6" s="7"/>
      <c r="T6" s="5"/>
    </row>
    <row r="7" spans="1:20" x14ac:dyDescent="0.25">
      <c r="A7" s="5" t="s">
        <v>71</v>
      </c>
      <c r="B7" s="5" t="s">
        <v>201</v>
      </c>
      <c r="C7" s="14">
        <v>42444</v>
      </c>
      <c r="D7" s="5" t="s">
        <v>4</v>
      </c>
      <c r="E7" s="5">
        <v>206</v>
      </c>
      <c r="F7" s="7">
        <v>2996000</v>
      </c>
      <c r="G7" s="7">
        <f t="shared" si="0"/>
        <v>14543.68932038835</v>
      </c>
      <c r="H7" s="11" t="s">
        <v>203</v>
      </c>
      <c r="I7" s="11" t="s">
        <v>190</v>
      </c>
      <c r="J7" s="11"/>
      <c r="K7" s="5" t="s">
        <v>202</v>
      </c>
      <c r="L7" s="5"/>
      <c r="M7" s="5"/>
      <c r="N7" s="11"/>
      <c r="O7" s="7"/>
      <c r="P7" s="11"/>
      <c r="Q7" s="7"/>
      <c r="R7" s="11"/>
      <c r="S7" s="7"/>
      <c r="T7" s="5"/>
    </row>
    <row r="8" spans="1:20" x14ac:dyDescent="0.25">
      <c r="A8" s="5" t="s">
        <v>71</v>
      </c>
      <c r="B8" s="5" t="s">
        <v>204</v>
      </c>
      <c r="C8" s="14">
        <v>42444</v>
      </c>
      <c r="D8" s="5" t="s">
        <v>4</v>
      </c>
      <c r="E8" s="5">
        <v>222</v>
      </c>
      <c r="F8" s="7">
        <v>3343000</v>
      </c>
      <c r="G8" s="7">
        <f t="shared" si="0"/>
        <v>15058.558558558558</v>
      </c>
      <c r="H8" s="11" t="s">
        <v>205</v>
      </c>
      <c r="I8" s="11" t="s">
        <v>206</v>
      </c>
      <c r="J8" s="11" t="s">
        <v>207</v>
      </c>
      <c r="K8" s="5" t="s">
        <v>202</v>
      </c>
      <c r="L8" s="5"/>
      <c r="M8" s="5"/>
      <c r="N8" s="11"/>
      <c r="O8" s="7"/>
      <c r="P8" s="11"/>
      <c r="Q8" s="7"/>
      <c r="R8" s="11"/>
      <c r="S8" s="7"/>
      <c r="T8" s="5"/>
    </row>
    <row r="9" spans="1:20" x14ac:dyDescent="0.25">
      <c r="A9" s="5" t="s">
        <v>71</v>
      </c>
      <c r="B9" s="5" t="s">
        <v>211</v>
      </c>
      <c r="C9" s="14">
        <v>42465</v>
      </c>
      <c r="D9" s="5" t="s">
        <v>5</v>
      </c>
      <c r="E9" s="5">
        <v>162</v>
      </c>
      <c r="F9" s="7">
        <v>2867000</v>
      </c>
      <c r="G9" s="7">
        <f t="shared" si="0"/>
        <v>17697.530864197532</v>
      </c>
      <c r="H9" s="11" t="s">
        <v>213</v>
      </c>
      <c r="I9" s="11" t="s">
        <v>206</v>
      </c>
      <c r="J9" s="11" t="s">
        <v>8</v>
      </c>
      <c r="K9" s="5" t="s">
        <v>212</v>
      </c>
      <c r="L9" s="5"/>
      <c r="M9" s="5"/>
      <c r="N9" s="11" t="s">
        <v>210</v>
      </c>
      <c r="O9" s="7">
        <v>2650000</v>
      </c>
      <c r="P9" s="11" t="s">
        <v>214</v>
      </c>
      <c r="Q9" s="7" t="s">
        <v>215</v>
      </c>
      <c r="R9" s="11"/>
      <c r="S9" s="7"/>
      <c r="T9" s="5"/>
    </row>
    <row r="10" spans="1:20" x14ac:dyDescent="0.25">
      <c r="A10" s="5" t="s">
        <v>71</v>
      </c>
      <c r="B10" s="5" t="s">
        <v>226</v>
      </c>
      <c r="C10" s="14">
        <v>42486</v>
      </c>
      <c r="D10" s="5" t="s">
        <v>209</v>
      </c>
      <c r="E10" s="5">
        <v>102</v>
      </c>
      <c r="F10" s="7">
        <v>1465800</v>
      </c>
      <c r="G10" s="7">
        <f t="shared" si="0"/>
        <v>14370.588235294117</v>
      </c>
      <c r="H10" s="11" t="s">
        <v>209</v>
      </c>
      <c r="I10" s="11" t="s">
        <v>221</v>
      </c>
      <c r="J10" s="11" t="s">
        <v>222</v>
      </c>
      <c r="K10" s="5" t="s">
        <v>223</v>
      </c>
      <c r="L10" s="10">
        <v>42552</v>
      </c>
      <c r="M10" s="11" t="s">
        <v>172</v>
      </c>
      <c r="N10" s="11" t="s">
        <v>220</v>
      </c>
      <c r="O10" s="7"/>
      <c r="P10" s="11" t="s">
        <v>227</v>
      </c>
      <c r="Q10" s="7" t="s">
        <v>228</v>
      </c>
      <c r="R10" s="11"/>
      <c r="S10" s="7"/>
      <c r="T10" s="5"/>
    </row>
    <row r="11" spans="1:20" s="29" customFormat="1" x14ac:dyDescent="0.25">
      <c r="A11" s="25" t="s">
        <v>71</v>
      </c>
      <c r="B11" s="25" t="s">
        <v>268</v>
      </c>
      <c r="C11" s="26">
        <v>42496</v>
      </c>
      <c r="D11" s="25" t="s">
        <v>237</v>
      </c>
      <c r="E11" s="25">
        <v>122</v>
      </c>
      <c r="F11" s="27">
        <v>1793000</v>
      </c>
      <c r="G11" s="27">
        <f t="shared" si="0"/>
        <v>14696.72131147541</v>
      </c>
      <c r="H11" s="28"/>
      <c r="I11" s="28" t="s">
        <v>269</v>
      </c>
      <c r="J11" s="28" t="s">
        <v>166</v>
      </c>
      <c r="K11" s="25" t="s">
        <v>270</v>
      </c>
      <c r="L11" s="30">
        <v>42705</v>
      </c>
      <c r="M11" s="25"/>
      <c r="N11" s="28"/>
      <c r="O11" s="27"/>
      <c r="P11" s="28"/>
      <c r="Q11" s="27"/>
      <c r="R11" s="28"/>
      <c r="S11" s="27"/>
      <c r="T11" s="25"/>
    </row>
    <row r="12" spans="1:20" s="29" customFormat="1" x14ac:dyDescent="0.25">
      <c r="A12" s="25" t="s">
        <v>71</v>
      </c>
      <c r="B12" s="25" t="s">
        <v>229</v>
      </c>
      <c r="C12" s="26">
        <v>42507</v>
      </c>
      <c r="D12" s="25" t="s">
        <v>230</v>
      </c>
      <c r="E12" s="25">
        <v>139</v>
      </c>
      <c r="F12" s="27">
        <v>2419000</v>
      </c>
      <c r="G12" s="27">
        <f t="shared" si="0"/>
        <v>17402.877697841726</v>
      </c>
      <c r="H12" s="28" t="s">
        <v>232</v>
      </c>
      <c r="I12" s="28" t="s">
        <v>233</v>
      </c>
      <c r="J12" s="28" t="s">
        <v>234</v>
      </c>
      <c r="K12" s="25" t="s">
        <v>212</v>
      </c>
      <c r="L12" s="30">
        <v>42567</v>
      </c>
      <c r="M12" s="25" t="s">
        <v>235</v>
      </c>
      <c r="N12" s="28" t="s">
        <v>231</v>
      </c>
      <c r="O12" s="27" t="s">
        <v>360</v>
      </c>
      <c r="P12" s="28"/>
      <c r="Q12" s="27"/>
      <c r="R12" s="28"/>
      <c r="S12" s="27"/>
      <c r="T12" s="25"/>
    </row>
    <row r="13" spans="1:20" s="29" customFormat="1" x14ac:dyDescent="0.25">
      <c r="A13" s="25" t="s">
        <v>71</v>
      </c>
      <c r="B13" s="25" t="s">
        <v>244</v>
      </c>
      <c r="C13" s="26">
        <v>42508</v>
      </c>
      <c r="D13" s="25" t="s">
        <v>165</v>
      </c>
      <c r="E13" s="25">
        <v>71</v>
      </c>
      <c r="F13" s="27">
        <v>662800</v>
      </c>
      <c r="G13" s="27">
        <f t="shared" si="0"/>
        <v>9335.2112676056331</v>
      </c>
      <c r="H13" s="28" t="s">
        <v>165</v>
      </c>
      <c r="I13" s="28" t="s">
        <v>170</v>
      </c>
      <c r="J13" s="28" t="s">
        <v>166</v>
      </c>
      <c r="K13" s="25" t="s">
        <v>202</v>
      </c>
      <c r="L13" s="30">
        <v>42675</v>
      </c>
      <c r="M13" s="25"/>
      <c r="N13" s="28" t="s">
        <v>245</v>
      </c>
      <c r="O13" s="27" t="s">
        <v>246</v>
      </c>
      <c r="P13" s="28"/>
      <c r="Q13" s="27"/>
      <c r="R13" s="28"/>
      <c r="S13" s="27"/>
      <c r="T13" s="25"/>
    </row>
    <row r="14" spans="1:20" x14ac:dyDescent="0.25">
      <c r="A14" s="5" t="s">
        <v>71</v>
      </c>
      <c r="B14" s="5" t="s">
        <v>236</v>
      </c>
      <c r="C14" s="14">
        <v>42514</v>
      </c>
      <c r="D14" s="5" t="s">
        <v>237</v>
      </c>
      <c r="E14" s="5">
        <v>55</v>
      </c>
      <c r="F14" s="7">
        <v>891000</v>
      </c>
      <c r="G14" s="7">
        <f t="shared" si="0"/>
        <v>16200</v>
      </c>
      <c r="H14" s="11" t="s">
        <v>238</v>
      </c>
      <c r="I14" s="11" t="s">
        <v>239</v>
      </c>
      <c r="J14" s="11" t="s">
        <v>166</v>
      </c>
      <c r="K14" s="5" t="s">
        <v>240</v>
      </c>
      <c r="L14" s="5" t="s">
        <v>241</v>
      </c>
      <c r="M14" s="5"/>
      <c r="N14" s="11" t="s">
        <v>247</v>
      </c>
      <c r="O14" s="7"/>
      <c r="P14" s="11"/>
      <c r="Q14" s="7"/>
      <c r="R14" s="21" t="s">
        <v>214</v>
      </c>
      <c r="S14" s="22" t="s">
        <v>250</v>
      </c>
      <c r="T14" s="5" t="s">
        <v>251</v>
      </c>
    </row>
    <row r="15" spans="1:20" s="29" customFormat="1" x14ac:dyDescent="0.25">
      <c r="A15" s="25" t="s">
        <v>71</v>
      </c>
      <c r="B15" s="25" t="s">
        <v>252</v>
      </c>
      <c r="C15" s="26">
        <v>42523</v>
      </c>
      <c r="D15" s="25" t="s">
        <v>4</v>
      </c>
      <c r="E15" s="25">
        <v>398</v>
      </c>
      <c r="F15" s="27">
        <v>5049100</v>
      </c>
      <c r="G15" s="27">
        <f t="shared" ref="G15:G24" si="1">F15/E15</f>
        <v>12686.180904522613</v>
      </c>
      <c r="H15" s="28" t="s">
        <v>197</v>
      </c>
      <c r="I15" s="28" t="s">
        <v>198</v>
      </c>
      <c r="J15" s="28" t="s">
        <v>199</v>
      </c>
      <c r="K15" s="25" t="s">
        <v>200</v>
      </c>
      <c r="L15" s="25" t="s">
        <v>188</v>
      </c>
      <c r="M15" s="25" t="s">
        <v>208</v>
      </c>
      <c r="N15" s="28" t="s">
        <v>253</v>
      </c>
      <c r="O15" s="27"/>
      <c r="P15" s="28"/>
      <c r="Q15" s="27"/>
      <c r="R15" s="28"/>
      <c r="S15" s="27"/>
      <c r="T15" s="25"/>
    </row>
    <row r="16" spans="1:20" s="29" customFormat="1" x14ac:dyDescent="0.25">
      <c r="A16" s="25" t="s">
        <v>71</v>
      </c>
      <c r="B16" s="25" t="s">
        <v>259</v>
      </c>
      <c r="C16" s="26">
        <v>42534</v>
      </c>
      <c r="D16" s="25" t="s">
        <v>230</v>
      </c>
      <c r="E16" s="25">
        <v>128</v>
      </c>
      <c r="F16" s="27">
        <v>1839000</v>
      </c>
      <c r="G16" s="27">
        <f t="shared" si="1"/>
        <v>14367.1875</v>
      </c>
      <c r="H16" s="28" t="s">
        <v>232</v>
      </c>
      <c r="I16" s="28" t="s">
        <v>262</v>
      </c>
      <c r="J16" s="28" t="s">
        <v>234</v>
      </c>
      <c r="K16" s="25" t="s">
        <v>263</v>
      </c>
      <c r="L16" s="30">
        <v>42583</v>
      </c>
      <c r="M16" s="25" t="s">
        <v>264</v>
      </c>
      <c r="N16" s="28" t="s">
        <v>210</v>
      </c>
      <c r="O16" s="27" t="s">
        <v>260</v>
      </c>
      <c r="P16" s="28" t="s">
        <v>261</v>
      </c>
      <c r="Q16" s="27"/>
      <c r="R16" s="28"/>
      <c r="S16" s="27"/>
      <c r="T16" s="25"/>
    </row>
    <row r="17" spans="1:20" x14ac:dyDescent="0.25">
      <c r="A17" s="5" t="s">
        <v>71</v>
      </c>
      <c r="B17" s="5" t="s">
        <v>298</v>
      </c>
      <c r="C17" s="14">
        <v>42534</v>
      </c>
      <c r="D17" s="5" t="s">
        <v>4</v>
      </c>
      <c r="E17" s="5">
        <v>146</v>
      </c>
      <c r="F17" s="7">
        <v>2249000</v>
      </c>
      <c r="G17" s="7">
        <f t="shared" si="1"/>
        <v>15404.109589041096</v>
      </c>
      <c r="H17" s="11" t="s">
        <v>197</v>
      </c>
      <c r="I17" s="11" t="s">
        <v>198</v>
      </c>
      <c r="J17" s="11" t="s">
        <v>166</v>
      </c>
      <c r="K17" s="5" t="s">
        <v>200</v>
      </c>
      <c r="L17" s="10" t="s">
        <v>279</v>
      </c>
      <c r="M17" s="5" t="s">
        <v>279</v>
      </c>
      <c r="N17" s="11" t="s">
        <v>301</v>
      </c>
      <c r="O17" s="7">
        <v>2055000</v>
      </c>
      <c r="P17" s="11"/>
      <c r="Q17" s="7"/>
      <c r="R17" s="11"/>
      <c r="S17" s="7"/>
      <c r="T17" s="5" t="s">
        <v>299</v>
      </c>
    </row>
    <row r="18" spans="1:20" s="29" customFormat="1" x14ac:dyDescent="0.25">
      <c r="A18" s="25" t="s">
        <v>71</v>
      </c>
      <c r="B18" s="25" t="s">
        <v>258</v>
      </c>
      <c r="C18" s="26">
        <v>42565</v>
      </c>
      <c r="D18" s="25" t="s">
        <v>230</v>
      </c>
      <c r="E18" s="25">
        <v>80</v>
      </c>
      <c r="F18" s="27">
        <v>1179000</v>
      </c>
      <c r="G18" s="27">
        <f t="shared" si="1"/>
        <v>14737.5</v>
      </c>
      <c r="H18" s="28" t="s">
        <v>232</v>
      </c>
      <c r="I18" s="28" t="s">
        <v>97</v>
      </c>
      <c r="J18" s="28" t="s">
        <v>234</v>
      </c>
      <c r="K18" s="25" t="s">
        <v>240</v>
      </c>
      <c r="L18" s="30">
        <v>42614</v>
      </c>
      <c r="M18" s="25" t="s">
        <v>172</v>
      </c>
      <c r="N18" s="28"/>
      <c r="O18" s="27"/>
      <c r="P18" s="28"/>
      <c r="Q18" s="27"/>
      <c r="R18" s="28"/>
      <c r="S18" s="27"/>
      <c r="T18" s="25"/>
    </row>
    <row r="19" spans="1:20" s="29" customFormat="1" x14ac:dyDescent="0.25">
      <c r="A19" s="25" t="s">
        <v>71</v>
      </c>
      <c r="B19" s="25" t="s">
        <v>265</v>
      </c>
      <c r="C19" s="26">
        <v>42576</v>
      </c>
      <c r="D19" s="25" t="s">
        <v>266</v>
      </c>
      <c r="E19" s="25">
        <v>96</v>
      </c>
      <c r="F19" s="27">
        <v>698400</v>
      </c>
      <c r="G19" s="27">
        <f t="shared" si="1"/>
        <v>7275</v>
      </c>
      <c r="H19" s="28" t="s">
        <v>257</v>
      </c>
      <c r="I19" s="28" t="s">
        <v>267</v>
      </c>
      <c r="J19" s="28" t="s">
        <v>35</v>
      </c>
      <c r="K19" s="25" t="s">
        <v>223</v>
      </c>
      <c r="L19" s="30"/>
      <c r="M19" s="25"/>
      <c r="N19" s="28"/>
      <c r="O19" s="27"/>
      <c r="P19" s="28"/>
      <c r="Q19" s="27"/>
      <c r="R19" s="28"/>
      <c r="S19" s="27"/>
      <c r="T19" s="25"/>
    </row>
    <row r="20" spans="1:20" x14ac:dyDescent="0.25">
      <c r="A20" s="5" t="s">
        <v>71</v>
      </c>
      <c r="B20" s="5" t="s">
        <v>273</v>
      </c>
      <c r="C20" s="14">
        <v>42607</v>
      </c>
      <c r="D20" s="5" t="s">
        <v>4</v>
      </c>
      <c r="E20" s="5">
        <v>54</v>
      </c>
      <c r="F20" s="7">
        <v>916400</v>
      </c>
      <c r="G20" s="7">
        <f t="shared" si="1"/>
        <v>16970.370370370369</v>
      </c>
      <c r="H20" s="11" t="s">
        <v>274</v>
      </c>
      <c r="I20" s="11" t="s">
        <v>275</v>
      </c>
      <c r="J20" s="11" t="s">
        <v>276</v>
      </c>
      <c r="K20" s="5" t="s">
        <v>277</v>
      </c>
      <c r="L20" s="5" t="s">
        <v>278</v>
      </c>
      <c r="M20" s="5"/>
      <c r="N20" s="11"/>
      <c r="O20" s="7"/>
      <c r="P20" s="11"/>
      <c r="Q20" s="7"/>
      <c r="R20" s="11"/>
      <c r="S20" s="7"/>
      <c r="T20" s="5"/>
    </row>
    <row r="21" spans="1:20" x14ac:dyDescent="0.25">
      <c r="A21" s="5" t="s">
        <v>71</v>
      </c>
      <c r="B21" s="5" t="s">
        <v>304</v>
      </c>
      <c r="C21" s="14">
        <v>42662</v>
      </c>
      <c r="D21" s="5" t="s">
        <v>237</v>
      </c>
      <c r="E21" s="5">
        <v>49</v>
      </c>
      <c r="F21" s="7">
        <v>822000</v>
      </c>
      <c r="G21" s="7">
        <f>F21/E21</f>
        <v>16775.510204081631</v>
      </c>
      <c r="H21" s="11"/>
      <c r="I21" s="11" t="s">
        <v>233</v>
      </c>
      <c r="J21" s="11"/>
      <c r="K21" s="5" t="s">
        <v>307</v>
      </c>
      <c r="L21" s="5" t="s">
        <v>308</v>
      </c>
      <c r="M21" s="5" t="s">
        <v>309</v>
      </c>
      <c r="N21" s="11" t="s">
        <v>306</v>
      </c>
      <c r="O21" s="7">
        <v>700000</v>
      </c>
      <c r="P21" s="7" t="s">
        <v>305</v>
      </c>
      <c r="Q21" s="7">
        <v>586000</v>
      </c>
      <c r="R21" s="11" t="s">
        <v>214</v>
      </c>
      <c r="S21" s="7">
        <v>930000</v>
      </c>
      <c r="T21" s="5"/>
    </row>
    <row r="22" spans="1:20" s="29" customFormat="1" x14ac:dyDescent="0.25">
      <c r="A22" s="25" t="s">
        <v>71</v>
      </c>
      <c r="B22" s="25" t="s">
        <v>294</v>
      </c>
      <c r="C22" s="26">
        <v>42682</v>
      </c>
      <c r="D22" s="25" t="s">
        <v>230</v>
      </c>
      <c r="E22" s="25">
        <v>89</v>
      </c>
      <c r="F22" s="27">
        <v>1481800</v>
      </c>
      <c r="G22" s="27">
        <f>F22/E22</f>
        <v>16649.438202247191</v>
      </c>
      <c r="H22" s="28" t="s">
        <v>330</v>
      </c>
      <c r="I22" s="28" t="s">
        <v>333</v>
      </c>
      <c r="J22" s="28" t="s">
        <v>331</v>
      </c>
      <c r="K22" s="25" t="s">
        <v>332</v>
      </c>
      <c r="L22" s="25"/>
      <c r="M22" s="25"/>
      <c r="N22" s="28"/>
      <c r="O22" s="27"/>
      <c r="P22" s="27"/>
      <c r="Q22" s="27"/>
      <c r="R22" s="28"/>
      <c r="S22" s="27"/>
      <c r="T22" s="25"/>
    </row>
    <row r="23" spans="1:20" s="29" customFormat="1" x14ac:dyDescent="0.25">
      <c r="A23" s="25" t="s">
        <v>71</v>
      </c>
      <c r="B23" s="25" t="s">
        <v>295</v>
      </c>
      <c r="C23" s="26">
        <v>42690</v>
      </c>
      <c r="D23" s="25" t="s">
        <v>165</v>
      </c>
      <c r="E23" s="25">
        <v>55</v>
      </c>
      <c r="F23" s="27">
        <v>604000</v>
      </c>
      <c r="G23" s="27">
        <f t="shared" si="1"/>
        <v>10981.818181818182</v>
      </c>
      <c r="H23" s="28" t="s">
        <v>165</v>
      </c>
      <c r="I23" s="28" t="s">
        <v>170</v>
      </c>
      <c r="J23" s="28" t="s">
        <v>166</v>
      </c>
      <c r="K23" s="25" t="s">
        <v>202</v>
      </c>
      <c r="L23" s="25" t="s">
        <v>278</v>
      </c>
      <c r="M23" s="25"/>
      <c r="N23" s="28"/>
      <c r="O23" s="27"/>
      <c r="P23" s="27"/>
      <c r="Q23" s="27"/>
      <c r="R23" s="28"/>
      <c r="S23" s="27"/>
      <c r="T23" s="25"/>
    </row>
    <row r="24" spans="1:20" s="29" customFormat="1" x14ac:dyDescent="0.25">
      <c r="A24" s="25" t="s">
        <v>71</v>
      </c>
      <c r="B24" s="25" t="s">
        <v>296</v>
      </c>
      <c r="C24" s="26">
        <v>42690</v>
      </c>
      <c r="D24" s="25" t="s">
        <v>165</v>
      </c>
      <c r="E24" s="25">
        <v>78</v>
      </c>
      <c r="F24" s="27">
        <v>839500</v>
      </c>
      <c r="G24" s="27">
        <f t="shared" si="1"/>
        <v>10762.820512820514</v>
      </c>
      <c r="H24" s="28" t="s">
        <v>165</v>
      </c>
      <c r="I24" s="28" t="s">
        <v>170</v>
      </c>
      <c r="J24" s="28" t="s">
        <v>166</v>
      </c>
      <c r="K24" s="25" t="s">
        <v>202</v>
      </c>
      <c r="L24" s="25" t="s">
        <v>278</v>
      </c>
      <c r="M24" s="25"/>
      <c r="N24" s="28"/>
      <c r="O24" s="27"/>
      <c r="P24" s="27"/>
      <c r="Q24" s="27"/>
      <c r="R24" s="28"/>
      <c r="S24" s="27"/>
      <c r="T24" s="25" t="s">
        <v>302</v>
      </c>
    </row>
    <row r="25" spans="1:20" x14ac:dyDescent="0.25">
      <c r="A25" s="5" t="s">
        <v>71</v>
      </c>
      <c r="B25" s="5" t="s">
        <v>298</v>
      </c>
      <c r="C25" s="14">
        <v>42704</v>
      </c>
      <c r="D25" s="5" t="s">
        <v>4</v>
      </c>
      <c r="E25" s="5">
        <v>146</v>
      </c>
      <c r="F25" s="7">
        <v>2369000</v>
      </c>
      <c r="G25" s="7">
        <f t="shared" ref="G25:G81" si="2">F25/E25</f>
        <v>16226.027397260274</v>
      </c>
      <c r="H25" s="11" t="s">
        <v>197</v>
      </c>
      <c r="I25" s="11" t="s">
        <v>198</v>
      </c>
      <c r="J25" s="11" t="s">
        <v>199</v>
      </c>
      <c r="K25" s="5" t="s">
        <v>200</v>
      </c>
      <c r="L25" s="10">
        <v>42705</v>
      </c>
      <c r="M25" s="5" t="s">
        <v>279</v>
      </c>
      <c r="N25" s="11" t="s">
        <v>231</v>
      </c>
      <c r="O25" s="7">
        <v>2150000</v>
      </c>
      <c r="P25" s="11" t="s">
        <v>214</v>
      </c>
      <c r="Q25" s="7">
        <v>2350000</v>
      </c>
      <c r="R25" s="11" t="s">
        <v>424</v>
      </c>
      <c r="S25" s="7"/>
      <c r="T25" s="5" t="s">
        <v>300</v>
      </c>
    </row>
    <row r="26" spans="1:20" x14ac:dyDescent="0.25">
      <c r="A26" s="5" t="s">
        <v>71</v>
      </c>
      <c r="B26" s="5" t="s">
        <v>315</v>
      </c>
      <c r="C26" s="14">
        <v>42717</v>
      </c>
      <c r="D26" s="5" t="s">
        <v>146</v>
      </c>
      <c r="E26" s="5">
        <v>98</v>
      </c>
      <c r="F26" s="7">
        <v>1542000</v>
      </c>
      <c r="G26" s="7">
        <f t="shared" si="2"/>
        <v>15734.693877551021</v>
      </c>
      <c r="H26" s="11" t="s">
        <v>316</v>
      </c>
      <c r="I26" s="11" t="s">
        <v>198</v>
      </c>
      <c r="J26" s="11" t="s">
        <v>199</v>
      </c>
      <c r="K26" s="5" t="s">
        <v>168</v>
      </c>
      <c r="L26" s="5" t="s">
        <v>279</v>
      </c>
      <c r="M26" s="5" t="s">
        <v>279</v>
      </c>
      <c r="N26" s="11"/>
      <c r="O26" s="7"/>
      <c r="P26" s="7"/>
      <c r="Q26" s="7"/>
      <c r="R26" s="11"/>
      <c r="S26" s="7"/>
      <c r="T26" s="5"/>
    </row>
    <row r="27" spans="1:20" x14ac:dyDescent="0.25">
      <c r="A27" s="5" t="s">
        <v>71</v>
      </c>
      <c r="B27" s="5" t="s">
        <v>340</v>
      </c>
      <c r="C27" s="14">
        <v>42726</v>
      </c>
      <c r="D27" s="5" t="s">
        <v>4</v>
      </c>
      <c r="E27" s="5">
        <v>110</v>
      </c>
      <c r="F27" s="7">
        <v>1809400</v>
      </c>
      <c r="G27" s="7">
        <f>F27/E27</f>
        <v>16449.090909090908</v>
      </c>
      <c r="H27" s="11" t="s">
        <v>344</v>
      </c>
      <c r="I27" s="11" t="s">
        <v>345</v>
      </c>
      <c r="J27" s="11" t="s">
        <v>33</v>
      </c>
      <c r="K27" s="5" t="s">
        <v>200</v>
      </c>
      <c r="L27" s="5" t="s">
        <v>346</v>
      </c>
      <c r="M27" s="5" t="s">
        <v>346</v>
      </c>
      <c r="N27" s="11" t="s">
        <v>343</v>
      </c>
      <c r="O27" s="7">
        <v>1388500</v>
      </c>
      <c r="P27" s="11" t="s">
        <v>341</v>
      </c>
      <c r="Q27" s="7" t="s">
        <v>342</v>
      </c>
      <c r="R27" s="11"/>
      <c r="S27" s="7"/>
      <c r="T27" s="5"/>
    </row>
    <row r="28" spans="1:20" x14ac:dyDescent="0.25">
      <c r="A28" s="5" t="s">
        <v>71</v>
      </c>
      <c r="B28" s="5" t="s">
        <v>317</v>
      </c>
      <c r="C28" s="14">
        <v>42754</v>
      </c>
      <c r="D28" s="5" t="s">
        <v>325</v>
      </c>
      <c r="E28" s="5">
        <v>85</v>
      </c>
      <c r="F28" s="7">
        <v>1817800</v>
      </c>
      <c r="G28" s="7">
        <f t="shared" si="2"/>
        <v>21385.882352941175</v>
      </c>
      <c r="H28" s="11" t="s">
        <v>328</v>
      </c>
      <c r="I28" s="11" t="s">
        <v>233</v>
      </c>
      <c r="J28" s="11" t="s">
        <v>8</v>
      </c>
      <c r="K28" s="5" t="s">
        <v>10</v>
      </c>
      <c r="L28" s="6" t="s">
        <v>326</v>
      </c>
      <c r="M28" s="5" t="s">
        <v>327</v>
      </c>
      <c r="N28" s="11" t="s">
        <v>329</v>
      </c>
      <c r="O28" s="7"/>
      <c r="P28" s="7"/>
      <c r="Q28" s="7"/>
      <c r="R28" s="11"/>
      <c r="S28" s="7"/>
      <c r="T28" s="5"/>
    </row>
    <row r="29" spans="1:20" x14ac:dyDescent="0.25">
      <c r="A29" s="5" t="s">
        <v>71</v>
      </c>
      <c r="B29" s="5" t="s">
        <v>322</v>
      </c>
      <c r="C29" s="14">
        <v>42769</v>
      </c>
      <c r="D29" s="5" t="s">
        <v>318</v>
      </c>
      <c r="E29" s="5">
        <v>42</v>
      </c>
      <c r="F29" s="7">
        <v>724400</v>
      </c>
      <c r="G29" s="7">
        <f t="shared" si="2"/>
        <v>17247.619047619046</v>
      </c>
      <c r="H29" s="11" t="s">
        <v>323</v>
      </c>
      <c r="I29" s="11" t="s">
        <v>324</v>
      </c>
      <c r="J29" s="11" t="s">
        <v>222</v>
      </c>
      <c r="K29" s="5" t="s">
        <v>321</v>
      </c>
      <c r="L29" s="5" t="s">
        <v>319</v>
      </c>
      <c r="M29" s="5" t="s">
        <v>320</v>
      </c>
      <c r="N29" s="11"/>
      <c r="O29" s="7"/>
      <c r="P29" s="7"/>
      <c r="Q29" s="7"/>
      <c r="R29" s="11"/>
      <c r="S29" s="7"/>
      <c r="T29" s="5"/>
    </row>
    <row r="30" spans="1:20" x14ac:dyDescent="0.25">
      <c r="A30" s="5" t="s">
        <v>337</v>
      </c>
      <c r="B30" s="5" t="s">
        <v>338</v>
      </c>
      <c r="C30" s="14" t="s">
        <v>84</v>
      </c>
      <c r="D30" s="5" t="s">
        <v>5</v>
      </c>
      <c r="E30" s="5">
        <v>15</v>
      </c>
      <c r="F30" s="7" t="s">
        <v>84</v>
      </c>
      <c r="G30" s="7" t="s">
        <v>84</v>
      </c>
      <c r="H30" s="11"/>
      <c r="I30" s="11"/>
      <c r="J30" s="11"/>
      <c r="K30" s="5" t="s">
        <v>169</v>
      </c>
      <c r="L30" s="5"/>
      <c r="M30" s="5"/>
      <c r="N30" s="11" t="s">
        <v>210</v>
      </c>
      <c r="O30" s="7">
        <v>921000</v>
      </c>
      <c r="P30" s="7"/>
      <c r="Q30" s="7"/>
      <c r="R30" s="11"/>
      <c r="S30" s="7"/>
      <c r="T30" s="5" t="s">
        <v>339</v>
      </c>
    </row>
    <row r="31" spans="1:20" x14ac:dyDescent="0.25">
      <c r="A31" s="5" t="s">
        <v>71</v>
      </c>
      <c r="B31" s="5" t="s">
        <v>347</v>
      </c>
      <c r="C31" s="14">
        <v>42824</v>
      </c>
      <c r="D31" s="5" t="s">
        <v>5</v>
      </c>
      <c r="E31" s="5">
        <v>110</v>
      </c>
      <c r="F31" s="7">
        <v>1485200</v>
      </c>
      <c r="G31" s="7">
        <f t="shared" si="2"/>
        <v>13501.818181818182</v>
      </c>
      <c r="H31" s="11" t="s">
        <v>348</v>
      </c>
      <c r="I31" s="11" t="s">
        <v>349</v>
      </c>
      <c r="J31" s="11" t="s">
        <v>350</v>
      </c>
      <c r="K31" s="5" t="s">
        <v>351</v>
      </c>
      <c r="L31" s="5" t="s">
        <v>352</v>
      </c>
      <c r="M31" s="5" t="s">
        <v>352</v>
      </c>
      <c r="N31" s="11"/>
      <c r="O31" s="7"/>
      <c r="P31" s="7"/>
      <c r="Q31" s="7"/>
      <c r="R31" s="11"/>
      <c r="S31" s="7"/>
      <c r="T31" s="5"/>
    </row>
    <row r="32" spans="1:20" x14ac:dyDescent="0.25">
      <c r="A32" s="5" t="s">
        <v>71</v>
      </c>
      <c r="B32" s="5" t="s">
        <v>353</v>
      </c>
      <c r="C32" s="14">
        <v>42832</v>
      </c>
      <c r="D32" s="5" t="s">
        <v>354</v>
      </c>
      <c r="E32" s="5">
        <v>360</v>
      </c>
      <c r="F32" s="7">
        <v>5430700</v>
      </c>
      <c r="G32" s="7">
        <f t="shared" si="2"/>
        <v>15085.277777777777</v>
      </c>
      <c r="H32" s="11" t="s">
        <v>355</v>
      </c>
      <c r="I32" s="11" t="s">
        <v>356</v>
      </c>
      <c r="J32" s="11" t="s">
        <v>357</v>
      </c>
      <c r="K32" s="5" t="s">
        <v>223</v>
      </c>
      <c r="L32" s="5" t="s">
        <v>334</v>
      </c>
      <c r="M32" s="5" t="s">
        <v>358</v>
      </c>
      <c r="N32" s="7" t="s">
        <v>210</v>
      </c>
      <c r="O32" s="7"/>
      <c r="P32" s="7" t="s">
        <v>425</v>
      </c>
      <c r="Q32" s="7"/>
      <c r="R32" s="7"/>
      <c r="S32" s="7"/>
      <c r="T32" s="5" t="s">
        <v>406</v>
      </c>
    </row>
    <row r="33" spans="1:20" s="29" customFormat="1" x14ac:dyDescent="0.25">
      <c r="A33" s="25" t="s">
        <v>71</v>
      </c>
      <c r="B33" s="25" t="s">
        <v>347</v>
      </c>
      <c r="C33" s="26">
        <v>42863</v>
      </c>
      <c r="D33" s="25" t="s">
        <v>237</v>
      </c>
      <c r="E33" s="25">
        <v>110</v>
      </c>
      <c r="F33" s="27">
        <v>1648500</v>
      </c>
      <c r="G33" s="27">
        <f>F33/E33</f>
        <v>14986.363636363636</v>
      </c>
      <c r="H33" s="28" t="s">
        <v>348</v>
      </c>
      <c r="I33" s="28" t="s">
        <v>349</v>
      </c>
      <c r="J33" s="28" t="s">
        <v>350</v>
      </c>
      <c r="K33" s="25" t="s">
        <v>351</v>
      </c>
      <c r="L33" s="25" t="s">
        <v>365</v>
      </c>
      <c r="M33" s="25" t="s">
        <v>352</v>
      </c>
      <c r="N33" s="28" t="s">
        <v>210</v>
      </c>
      <c r="O33" s="27"/>
      <c r="P33" s="27"/>
      <c r="Q33" s="27"/>
      <c r="R33" s="28"/>
      <c r="S33" s="27"/>
      <c r="T33" s="25" t="s">
        <v>366</v>
      </c>
    </row>
    <row r="34" spans="1:20" x14ac:dyDescent="0.25">
      <c r="A34" s="5" t="s">
        <v>71</v>
      </c>
      <c r="B34" s="5" t="s">
        <v>361</v>
      </c>
      <c r="C34" s="14">
        <v>42873</v>
      </c>
      <c r="D34" s="5" t="s">
        <v>230</v>
      </c>
      <c r="E34" s="5">
        <v>118</v>
      </c>
      <c r="F34" s="7">
        <v>3210500</v>
      </c>
      <c r="G34" s="7">
        <f t="shared" si="2"/>
        <v>27207.627118644068</v>
      </c>
      <c r="H34" s="11" t="s">
        <v>330</v>
      </c>
      <c r="I34" s="11" t="s">
        <v>333</v>
      </c>
      <c r="J34" s="11" t="s">
        <v>331</v>
      </c>
      <c r="K34" s="5" t="s">
        <v>362</v>
      </c>
      <c r="L34" s="6"/>
      <c r="M34" s="5"/>
      <c r="N34" s="11" t="s">
        <v>461</v>
      </c>
      <c r="O34" s="7"/>
      <c r="P34" s="7"/>
      <c r="Q34" s="7"/>
      <c r="R34" s="11"/>
      <c r="S34" s="7"/>
      <c r="T34" s="5"/>
    </row>
    <row r="35" spans="1:20" s="29" customFormat="1" x14ac:dyDescent="0.25">
      <c r="A35" s="25" t="s">
        <v>71</v>
      </c>
      <c r="B35" s="25" t="s">
        <v>256</v>
      </c>
      <c r="C35" s="26">
        <v>42885</v>
      </c>
      <c r="D35" s="25" t="s">
        <v>209</v>
      </c>
      <c r="E35" s="25">
        <v>72</v>
      </c>
      <c r="F35" s="27">
        <v>934800</v>
      </c>
      <c r="G35" s="27">
        <f t="shared" si="2"/>
        <v>12983.333333333334</v>
      </c>
      <c r="H35" s="28" t="s">
        <v>209</v>
      </c>
      <c r="I35" s="28" t="s">
        <v>324</v>
      </c>
      <c r="J35" s="28" t="s">
        <v>166</v>
      </c>
      <c r="K35" s="25" t="s">
        <v>403</v>
      </c>
      <c r="L35" s="25" t="s">
        <v>279</v>
      </c>
      <c r="M35" s="25" t="s">
        <v>279</v>
      </c>
      <c r="N35" s="28"/>
      <c r="O35" s="27"/>
      <c r="P35" s="27"/>
      <c r="Q35" s="27"/>
      <c r="R35" s="28"/>
      <c r="S35" s="27"/>
      <c r="T35" s="25"/>
    </row>
    <row r="36" spans="1:20" x14ac:dyDescent="0.25">
      <c r="A36" s="5" t="s">
        <v>71</v>
      </c>
      <c r="B36" s="5" t="s">
        <v>372</v>
      </c>
      <c r="C36" s="14">
        <v>42892</v>
      </c>
      <c r="D36" s="5" t="s">
        <v>230</v>
      </c>
      <c r="E36" s="5">
        <v>205</v>
      </c>
      <c r="F36" s="7">
        <v>3209000</v>
      </c>
      <c r="G36" s="7">
        <f t="shared" si="2"/>
        <v>15653.658536585366</v>
      </c>
      <c r="H36" s="11" t="s">
        <v>44</v>
      </c>
      <c r="I36" s="11" t="s">
        <v>53</v>
      </c>
      <c r="J36" s="11" t="s">
        <v>166</v>
      </c>
      <c r="K36" s="5" t="s">
        <v>373</v>
      </c>
      <c r="L36" s="6" t="s">
        <v>279</v>
      </c>
      <c r="M36" s="5" t="s">
        <v>279</v>
      </c>
      <c r="N36" s="11"/>
      <c r="O36" s="7"/>
      <c r="P36" s="7"/>
      <c r="Q36" s="7"/>
      <c r="R36" s="11"/>
      <c r="S36" s="7"/>
      <c r="T36" s="5" t="s">
        <v>374</v>
      </c>
    </row>
    <row r="37" spans="1:20" x14ac:dyDescent="0.25">
      <c r="A37" s="5" t="s">
        <v>71</v>
      </c>
      <c r="B37" s="5" t="s">
        <v>368</v>
      </c>
      <c r="C37" s="14">
        <v>42908</v>
      </c>
      <c r="D37" s="5" t="s">
        <v>230</v>
      </c>
      <c r="E37" s="5">
        <v>136</v>
      </c>
      <c r="F37" s="7">
        <v>2592500</v>
      </c>
      <c r="G37" s="7">
        <f t="shared" si="2"/>
        <v>19062.5</v>
      </c>
      <c r="H37" s="11" t="s">
        <v>232</v>
      </c>
      <c r="I37" s="11" t="s">
        <v>233</v>
      </c>
      <c r="J37" s="11" t="s">
        <v>234</v>
      </c>
      <c r="K37" s="5" t="s">
        <v>362</v>
      </c>
      <c r="L37" s="6" t="s">
        <v>415</v>
      </c>
      <c r="M37" s="5" t="s">
        <v>279</v>
      </c>
      <c r="N37" s="11" t="s">
        <v>245</v>
      </c>
      <c r="O37" s="7"/>
      <c r="P37" s="7" t="s">
        <v>438</v>
      </c>
      <c r="Q37" s="7"/>
      <c r="R37" s="11"/>
      <c r="S37" s="7"/>
      <c r="T37" s="5"/>
    </row>
    <row r="38" spans="1:20" s="29" customFormat="1" x14ac:dyDescent="0.25">
      <c r="A38" s="25" t="s">
        <v>71</v>
      </c>
      <c r="B38" s="25" t="s">
        <v>439</v>
      </c>
      <c r="C38" s="26">
        <v>43126</v>
      </c>
      <c r="D38" s="25" t="s">
        <v>230</v>
      </c>
      <c r="E38" s="25">
        <v>136</v>
      </c>
      <c r="F38" s="27">
        <f>2623500-321000</f>
        <v>2302500</v>
      </c>
      <c r="G38" s="27">
        <f>F38/E38</f>
        <v>16930.147058823528</v>
      </c>
      <c r="H38" s="28" t="s">
        <v>232</v>
      </c>
      <c r="I38" s="28" t="s">
        <v>233</v>
      </c>
      <c r="J38" s="28" t="s">
        <v>234</v>
      </c>
      <c r="K38" s="25" t="s">
        <v>362</v>
      </c>
      <c r="L38" s="25" t="s">
        <v>415</v>
      </c>
      <c r="M38" s="25" t="s">
        <v>279</v>
      </c>
      <c r="N38" s="28" t="s">
        <v>245</v>
      </c>
      <c r="O38" s="27"/>
      <c r="P38" s="27" t="s">
        <v>438</v>
      </c>
      <c r="Q38" s="27"/>
      <c r="R38" s="28"/>
      <c r="S38" s="27"/>
      <c r="T38" s="25"/>
    </row>
    <row r="39" spans="1:20" s="29" customFormat="1" x14ac:dyDescent="0.25">
      <c r="A39" s="25" t="s">
        <v>71</v>
      </c>
      <c r="B39" s="25" t="s">
        <v>363</v>
      </c>
      <c r="C39" s="26">
        <v>42912</v>
      </c>
      <c r="D39" s="25" t="s">
        <v>4</v>
      </c>
      <c r="E39" s="25">
        <v>242</v>
      </c>
      <c r="F39" s="27">
        <v>3974000</v>
      </c>
      <c r="G39" s="27">
        <f t="shared" si="2"/>
        <v>16421.487603305784</v>
      </c>
      <c r="H39" s="28" t="s">
        <v>102</v>
      </c>
      <c r="I39" s="28" t="s">
        <v>190</v>
      </c>
      <c r="J39" s="28" t="s">
        <v>8</v>
      </c>
      <c r="K39" s="25" t="s">
        <v>364</v>
      </c>
      <c r="L39" s="25" t="s">
        <v>279</v>
      </c>
      <c r="M39" s="25" t="s">
        <v>279</v>
      </c>
      <c r="N39" s="28"/>
      <c r="O39" s="27"/>
      <c r="P39" s="27"/>
      <c r="Q39" s="27"/>
      <c r="R39" s="28"/>
      <c r="S39" s="27"/>
      <c r="T39" s="25"/>
    </row>
    <row r="40" spans="1:20" x14ac:dyDescent="0.25">
      <c r="A40" s="5" t="s">
        <v>386</v>
      </c>
      <c r="B40" s="5" t="s">
        <v>387</v>
      </c>
      <c r="C40" s="14" t="s">
        <v>388</v>
      </c>
      <c r="D40" s="5" t="s">
        <v>4</v>
      </c>
      <c r="E40" s="5">
        <v>532</v>
      </c>
      <c r="F40" s="7"/>
      <c r="G40" s="7"/>
      <c r="H40" s="11" t="s">
        <v>193</v>
      </c>
      <c r="I40" s="11"/>
      <c r="J40" s="11" t="s">
        <v>33</v>
      </c>
      <c r="K40" s="5"/>
      <c r="L40" s="6"/>
      <c r="M40" s="5"/>
      <c r="N40" s="11" t="s">
        <v>389</v>
      </c>
      <c r="O40" s="7"/>
      <c r="P40" s="7"/>
      <c r="Q40" s="7"/>
      <c r="R40" s="11"/>
      <c r="S40" s="7"/>
      <c r="T40" s="5"/>
    </row>
    <row r="41" spans="1:20" x14ac:dyDescent="0.25">
      <c r="A41" s="5" t="s">
        <v>71</v>
      </c>
      <c r="B41" s="5" t="s">
        <v>376</v>
      </c>
      <c r="C41" s="14">
        <v>42979</v>
      </c>
      <c r="D41" s="5" t="s">
        <v>4</v>
      </c>
      <c r="E41" s="5">
        <v>269</v>
      </c>
      <c r="F41" s="7">
        <v>5379300</v>
      </c>
      <c r="G41" s="7">
        <f t="shared" si="2"/>
        <v>19997.397769516727</v>
      </c>
      <c r="H41" s="11" t="s">
        <v>274</v>
      </c>
      <c r="I41" s="11" t="s">
        <v>206</v>
      </c>
      <c r="J41" s="11" t="s">
        <v>8</v>
      </c>
      <c r="K41" s="5" t="s">
        <v>381</v>
      </c>
      <c r="L41" s="6" t="s">
        <v>382</v>
      </c>
      <c r="M41" s="5" t="s">
        <v>383</v>
      </c>
      <c r="N41" s="11" t="s">
        <v>404</v>
      </c>
      <c r="O41" s="7"/>
      <c r="P41" s="11" t="s">
        <v>379</v>
      </c>
      <c r="Q41" s="7"/>
      <c r="R41" s="11" t="s">
        <v>380</v>
      </c>
      <c r="S41" s="7"/>
      <c r="T41" s="5" t="s">
        <v>405</v>
      </c>
    </row>
    <row r="42" spans="1:20" x14ac:dyDescent="0.25">
      <c r="A42" s="5" t="s">
        <v>71</v>
      </c>
      <c r="B42" s="5" t="s">
        <v>377</v>
      </c>
      <c r="C42" s="14">
        <v>42993</v>
      </c>
      <c r="D42" s="5" t="s">
        <v>230</v>
      </c>
      <c r="E42" s="5">
        <v>79</v>
      </c>
      <c r="F42" s="7">
        <v>1342000</v>
      </c>
      <c r="G42" s="7">
        <f t="shared" si="2"/>
        <v>16987.3417721519</v>
      </c>
      <c r="H42" s="11" t="s">
        <v>384</v>
      </c>
      <c r="I42" s="11" t="s">
        <v>345</v>
      </c>
      <c r="J42" s="11" t="s">
        <v>234</v>
      </c>
      <c r="K42" s="5" t="s">
        <v>385</v>
      </c>
      <c r="L42" s="6">
        <v>43132</v>
      </c>
      <c r="M42" s="5" t="s">
        <v>279</v>
      </c>
      <c r="N42" s="11" t="s">
        <v>210</v>
      </c>
      <c r="O42" s="7"/>
      <c r="P42" s="7"/>
      <c r="Q42" s="7"/>
      <c r="R42" s="11"/>
      <c r="S42" s="7"/>
      <c r="T42" s="5"/>
    </row>
    <row r="43" spans="1:20" x14ac:dyDescent="0.25">
      <c r="A43" s="5" t="s">
        <v>71</v>
      </c>
      <c r="B43" s="5" t="s">
        <v>452</v>
      </c>
      <c r="C43" s="14">
        <v>43146</v>
      </c>
      <c r="D43" s="5" t="s">
        <v>230</v>
      </c>
      <c r="E43" s="5">
        <v>79</v>
      </c>
      <c r="F43" s="7">
        <v>1477000</v>
      </c>
      <c r="G43" s="7">
        <f>F43/E43</f>
        <v>18696.202531645569</v>
      </c>
      <c r="H43" s="11" t="s">
        <v>384</v>
      </c>
      <c r="I43" s="11" t="s">
        <v>345</v>
      </c>
      <c r="J43" s="11" t="s">
        <v>234</v>
      </c>
      <c r="K43" s="5" t="s">
        <v>385</v>
      </c>
      <c r="L43" s="6">
        <v>43191</v>
      </c>
      <c r="M43" s="5" t="s">
        <v>279</v>
      </c>
      <c r="N43" s="11" t="s">
        <v>453</v>
      </c>
      <c r="O43" s="7"/>
      <c r="P43" s="7"/>
      <c r="Q43" s="7"/>
      <c r="R43" s="11"/>
      <c r="S43" s="7"/>
      <c r="T43" s="5" t="s">
        <v>501</v>
      </c>
    </row>
    <row r="44" spans="1:20" x14ac:dyDescent="0.25">
      <c r="A44" s="5" t="s">
        <v>71</v>
      </c>
      <c r="B44" s="5" t="s">
        <v>395</v>
      </c>
      <c r="C44" s="14">
        <v>42999</v>
      </c>
      <c r="D44" s="5" t="s">
        <v>230</v>
      </c>
      <c r="E44" s="5">
        <v>67</v>
      </c>
      <c r="F44" s="7">
        <v>1189500</v>
      </c>
      <c r="G44" s="7">
        <f t="shared" si="2"/>
        <v>17753.731343283584</v>
      </c>
      <c r="H44" s="11" t="s">
        <v>396</v>
      </c>
      <c r="I44" s="11" t="s">
        <v>190</v>
      </c>
      <c r="J44" s="11" t="s">
        <v>33</v>
      </c>
      <c r="K44" s="5" t="s">
        <v>397</v>
      </c>
      <c r="L44" s="6" t="s">
        <v>279</v>
      </c>
      <c r="M44" s="5" t="s">
        <v>279</v>
      </c>
      <c r="N44" s="11"/>
      <c r="O44" s="7"/>
      <c r="P44" s="7"/>
      <c r="Q44" s="7"/>
      <c r="R44" s="11"/>
      <c r="S44" s="7"/>
      <c r="T44" s="5" t="s">
        <v>581</v>
      </c>
    </row>
    <row r="45" spans="1:20" x14ac:dyDescent="0.25">
      <c r="A45" s="5" t="s">
        <v>71</v>
      </c>
      <c r="B45" s="5" t="s">
        <v>390</v>
      </c>
      <c r="C45" s="14">
        <v>43024</v>
      </c>
      <c r="D45" s="5" t="s">
        <v>237</v>
      </c>
      <c r="E45" s="5">
        <v>24</v>
      </c>
      <c r="F45" s="7">
        <v>758900</v>
      </c>
      <c r="G45" s="7">
        <f t="shared" si="2"/>
        <v>31620.833333333332</v>
      </c>
      <c r="H45" s="11" t="s">
        <v>392</v>
      </c>
      <c r="I45" s="11" t="s">
        <v>393</v>
      </c>
      <c r="J45" s="11" t="s">
        <v>166</v>
      </c>
      <c r="K45" s="5" t="s">
        <v>394</v>
      </c>
      <c r="L45" s="6" t="s">
        <v>279</v>
      </c>
      <c r="M45" s="5" t="s">
        <v>279</v>
      </c>
      <c r="N45" s="11" t="s">
        <v>391</v>
      </c>
      <c r="O45" s="7"/>
      <c r="P45" s="7"/>
      <c r="Q45" s="7"/>
      <c r="R45" s="11"/>
      <c r="S45" s="7"/>
      <c r="T45" s="5"/>
    </row>
    <row r="46" spans="1:20" x14ac:dyDescent="0.25">
      <c r="A46" s="5" t="s">
        <v>71</v>
      </c>
      <c r="B46" s="5" t="s">
        <v>407</v>
      </c>
      <c r="C46" s="14">
        <v>43042</v>
      </c>
      <c r="D46" s="5" t="s">
        <v>401</v>
      </c>
      <c r="E46" s="5">
        <v>93</v>
      </c>
      <c r="F46" s="7">
        <v>1552600</v>
      </c>
      <c r="G46" s="7">
        <f t="shared" si="2"/>
        <v>16694.62365591398</v>
      </c>
      <c r="H46" s="11" t="s">
        <v>408</v>
      </c>
      <c r="I46" s="11" t="s">
        <v>53</v>
      </c>
      <c r="J46" s="11" t="s">
        <v>166</v>
      </c>
      <c r="K46" s="5" t="s">
        <v>400</v>
      </c>
      <c r="L46" s="6">
        <v>43191</v>
      </c>
      <c r="M46" s="5" t="s">
        <v>279</v>
      </c>
      <c r="N46" s="11"/>
      <c r="O46" s="7"/>
      <c r="P46" s="7"/>
      <c r="Q46" s="7"/>
      <c r="R46" s="11"/>
      <c r="S46" s="7"/>
      <c r="T46" s="5" t="s">
        <v>409</v>
      </c>
    </row>
    <row r="47" spans="1:20" x14ac:dyDescent="0.25">
      <c r="A47" s="5" t="s">
        <v>71</v>
      </c>
      <c r="B47" s="5" t="s">
        <v>410</v>
      </c>
      <c r="C47" s="14">
        <v>43056</v>
      </c>
      <c r="D47" s="5" t="s">
        <v>399</v>
      </c>
      <c r="E47" s="5">
        <v>316</v>
      </c>
      <c r="F47" s="7">
        <v>4710000</v>
      </c>
      <c r="G47" s="7">
        <f t="shared" si="2"/>
        <v>14905.06329113924</v>
      </c>
      <c r="H47" s="11" t="s">
        <v>412</v>
      </c>
      <c r="I47" s="11" t="s">
        <v>413</v>
      </c>
      <c r="J47" s="11" t="s">
        <v>166</v>
      </c>
      <c r="K47" s="5" t="s">
        <v>414</v>
      </c>
      <c r="L47" s="6">
        <v>43101</v>
      </c>
      <c r="M47" s="5" t="s">
        <v>358</v>
      </c>
      <c r="N47" s="11" t="s">
        <v>411</v>
      </c>
      <c r="O47" s="7"/>
      <c r="P47" s="7"/>
      <c r="Q47" s="7"/>
      <c r="R47" s="11"/>
      <c r="S47" s="7"/>
      <c r="T47" s="5" t="s">
        <v>433</v>
      </c>
    </row>
    <row r="48" spans="1:20" s="29" customFormat="1" x14ac:dyDescent="0.25">
      <c r="A48" s="25" t="s">
        <v>272</v>
      </c>
      <c r="B48" s="25" t="s">
        <v>416</v>
      </c>
      <c r="C48" s="26">
        <v>43061</v>
      </c>
      <c r="D48" s="25" t="s">
        <v>230</v>
      </c>
      <c r="E48" s="25">
        <v>163</v>
      </c>
      <c r="F48" s="27">
        <v>2738000</v>
      </c>
      <c r="G48" s="27">
        <f t="shared" si="2"/>
        <v>16797.546012269937</v>
      </c>
      <c r="H48" s="28" t="s">
        <v>419</v>
      </c>
      <c r="I48" s="28" t="s">
        <v>420</v>
      </c>
      <c r="J48" s="28" t="s">
        <v>421</v>
      </c>
      <c r="K48" s="25" t="s">
        <v>422</v>
      </c>
      <c r="L48" s="25" t="s">
        <v>279</v>
      </c>
      <c r="M48" s="25" t="s">
        <v>279</v>
      </c>
      <c r="N48" s="28"/>
      <c r="O48" s="27"/>
      <c r="P48" s="27"/>
      <c r="Q48" s="27"/>
      <c r="R48" s="28"/>
      <c r="S48" s="27"/>
      <c r="T48" s="25"/>
    </row>
    <row r="49" spans="1:20" s="29" customFormat="1" x14ac:dyDescent="0.25">
      <c r="A49" s="25" t="s">
        <v>272</v>
      </c>
      <c r="B49" s="25" t="s">
        <v>417</v>
      </c>
      <c r="C49" s="26">
        <v>43067</v>
      </c>
      <c r="D49" s="25" t="s">
        <v>230</v>
      </c>
      <c r="E49" s="25">
        <v>50</v>
      </c>
      <c r="F49" s="27">
        <v>897800</v>
      </c>
      <c r="G49" s="27">
        <f t="shared" si="2"/>
        <v>17956</v>
      </c>
      <c r="H49" s="28" t="s">
        <v>418</v>
      </c>
      <c r="I49" s="28" t="s">
        <v>190</v>
      </c>
      <c r="J49" s="28" t="s">
        <v>166</v>
      </c>
      <c r="K49" s="25" t="s">
        <v>240</v>
      </c>
      <c r="L49" s="25" t="s">
        <v>279</v>
      </c>
      <c r="M49" s="25" t="s">
        <v>279</v>
      </c>
      <c r="N49" s="28"/>
      <c r="O49" s="27"/>
      <c r="P49" s="27"/>
      <c r="Q49" s="27"/>
      <c r="R49" s="28"/>
      <c r="S49" s="27"/>
      <c r="T49" s="25"/>
    </row>
    <row r="50" spans="1:20" s="29" customFormat="1" x14ac:dyDescent="0.25">
      <c r="A50" s="25" t="s">
        <v>71</v>
      </c>
      <c r="B50" s="25" t="s">
        <v>423</v>
      </c>
      <c r="C50" s="26">
        <v>43068</v>
      </c>
      <c r="D50" s="25" t="s">
        <v>165</v>
      </c>
      <c r="E50" s="25">
        <v>68</v>
      </c>
      <c r="F50" s="27">
        <v>785600</v>
      </c>
      <c r="G50" s="27">
        <f t="shared" si="2"/>
        <v>11552.941176470587</v>
      </c>
      <c r="H50" s="28" t="s">
        <v>165</v>
      </c>
      <c r="I50" s="28" t="s">
        <v>194</v>
      </c>
      <c r="J50" s="28" t="s">
        <v>166</v>
      </c>
      <c r="K50" s="25" t="s">
        <v>381</v>
      </c>
      <c r="L50" s="25" t="s">
        <v>279</v>
      </c>
      <c r="M50" s="25" t="s">
        <v>279</v>
      </c>
      <c r="N50" s="28"/>
      <c r="O50" s="27"/>
      <c r="P50" s="27"/>
      <c r="Q50" s="27"/>
      <c r="R50" s="28"/>
      <c r="S50" s="27"/>
      <c r="T50" s="25"/>
    </row>
    <row r="51" spans="1:20" x14ac:dyDescent="0.25">
      <c r="A51" s="5" t="s">
        <v>71</v>
      </c>
      <c r="B51" s="5" t="s">
        <v>427</v>
      </c>
      <c r="C51" s="14"/>
      <c r="D51" s="5" t="s">
        <v>428</v>
      </c>
      <c r="E51" s="5"/>
      <c r="F51" s="7" t="s">
        <v>429</v>
      </c>
      <c r="G51" s="7"/>
      <c r="H51" s="11" t="s">
        <v>428</v>
      </c>
      <c r="I51" s="11"/>
      <c r="J51" s="11"/>
      <c r="K51" s="5"/>
      <c r="L51" s="6"/>
      <c r="M51" s="5"/>
      <c r="N51" s="11" t="s">
        <v>227</v>
      </c>
      <c r="O51" s="7"/>
      <c r="P51" s="7"/>
      <c r="Q51" s="7"/>
      <c r="R51" s="11"/>
      <c r="S51" s="7"/>
      <c r="T51" s="5"/>
    </row>
    <row r="52" spans="1:20" x14ac:dyDescent="0.25">
      <c r="A52" s="5" t="s">
        <v>71</v>
      </c>
      <c r="B52" s="5" t="s">
        <v>430</v>
      </c>
      <c r="C52" s="14">
        <v>43111</v>
      </c>
      <c r="D52" s="5" t="s">
        <v>230</v>
      </c>
      <c r="E52" s="5">
        <v>308</v>
      </c>
      <c r="F52" s="7">
        <v>5469500</v>
      </c>
      <c r="G52" s="7">
        <f t="shared" si="2"/>
        <v>17758.116883116883</v>
      </c>
      <c r="H52" s="11" t="s">
        <v>82</v>
      </c>
      <c r="I52" s="11" t="s">
        <v>233</v>
      </c>
      <c r="J52" s="11" t="s">
        <v>8</v>
      </c>
      <c r="K52" s="5" t="s">
        <v>169</v>
      </c>
      <c r="L52" s="6" t="s">
        <v>279</v>
      </c>
      <c r="M52" s="5" t="s">
        <v>279</v>
      </c>
      <c r="N52" s="11"/>
      <c r="O52" s="7"/>
      <c r="P52" s="7"/>
      <c r="Q52" s="7"/>
      <c r="R52" s="11"/>
      <c r="S52" s="7"/>
      <c r="T52" s="5"/>
    </row>
    <row r="53" spans="1:20" x14ac:dyDescent="0.25">
      <c r="A53" s="5" t="s">
        <v>71</v>
      </c>
      <c r="B53" s="5" t="s">
        <v>431</v>
      </c>
      <c r="C53" s="14">
        <v>43130</v>
      </c>
      <c r="D53" s="5" t="s">
        <v>230</v>
      </c>
      <c r="E53" s="5">
        <v>104</v>
      </c>
      <c r="F53" s="7">
        <v>1598800</v>
      </c>
      <c r="G53" s="7">
        <f t="shared" si="2"/>
        <v>15373.076923076924</v>
      </c>
      <c r="H53" s="11" t="s">
        <v>436</v>
      </c>
      <c r="I53" s="11" t="s">
        <v>437</v>
      </c>
      <c r="J53" s="11" t="s">
        <v>54</v>
      </c>
      <c r="K53" s="5" t="s">
        <v>223</v>
      </c>
      <c r="L53" s="6"/>
      <c r="M53" s="5"/>
      <c r="N53" s="11" t="s">
        <v>435</v>
      </c>
      <c r="O53" s="7"/>
      <c r="P53" s="7" t="s">
        <v>459</v>
      </c>
      <c r="Q53" s="7"/>
      <c r="R53" s="11"/>
      <c r="S53" s="7"/>
      <c r="T53" s="5"/>
    </row>
    <row r="54" spans="1:20" s="29" customFormat="1" x14ac:dyDescent="0.25">
      <c r="A54" s="25" t="s">
        <v>71</v>
      </c>
      <c r="B54" s="25" t="s">
        <v>442</v>
      </c>
      <c r="C54" s="26">
        <v>43131</v>
      </c>
      <c r="D54" s="25" t="s">
        <v>443</v>
      </c>
      <c r="E54" s="25">
        <v>321</v>
      </c>
      <c r="F54" s="27">
        <v>5759300</v>
      </c>
      <c r="G54" s="27">
        <f t="shared" si="2"/>
        <v>17941.744548286606</v>
      </c>
      <c r="H54" s="28" t="s">
        <v>444</v>
      </c>
      <c r="I54" s="28" t="s">
        <v>445</v>
      </c>
      <c r="J54" s="28" t="s">
        <v>166</v>
      </c>
      <c r="K54" s="25" t="s">
        <v>307</v>
      </c>
      <c r="L54" s="25" t="s">
        <v>446</v>
      </c>
      <c r="M54" s="25"/>
      <c r="N54" s="28" t="s">
        <v>458</v>
      </c>
      <c r="O54" s="27"/>
      <c r="P54" s="27"/>
      <c r="Q54" s="27"/>
      <c r="R54" s="28"/>
      <c r="S54" s="27"/>
      <c r="T54" s="25"/>
    </row>
    <row r="55" spans="1:20" x14ac:dyDescent="0.25">
      <c r="A55" s="5" t="s">
        <v>71</v>
      </c>
      <c r="B55" s="5" t="s">
        <v>432</v>
      </c>
      <c r="C55" s="14">
        <v>43137</v>
      </c>
      <c r="D55" s="5" t="s">
        <v>237</v>
      </c>
      <c r="E55" s="5">
        <v>243</v>
      </c>
      <c r="F55" s="7">
        <v>4045200</v>
      </c>
      <c r="G55" s="7">
        <f t="shared" si="2"/>
        <v>16646.913580246914</v>
      </c>
      <c r="H55" s="11" t="s">
        <v>449</v>
      </c>
      <c r="I55" s="11" t="s">
        <v>448</v>
      </c>
      <c r="J55" s="11" t="s">
        <v>448</v>
      </c>
      <c r="K55" s="5" t="s">
        <v>450</v>
      </c>
      <c r="L55" s="6" t="s">
        <v>451</v>
      </c>
      <c r="M55" s="5" t="s">
        <v>279</v>
      </c>
      <c r="N55" s="11"/>
      <c r="O55" s="7"/>
      <c r="P55" s="7"/>
      <c r="Q55" s="7"/>
      <c r="R55" s="11"/>
      <c r="S55" s="7"/>
      <c r="T55" s="5"/>
    </row>
    <row r="56" spans="1:20" x14ac:dyDescent="0.25">
      <c r="A56" s="5" t="s">
        <v>71</v>
      </c>
      <c r="B56" s="5" t="s">
        <v>455</v>
      </c>
      <c r="C56" s="14">
        <v>43158</v>
      </c>
      <c r="D56" s="5" t="s">
        <v>3</v>
      </c>
      <c r="E56" s="5">
        <v>52</v>
      </c>
      <c r="F56" s="7">
        <v>997500</v>
      </c>
      <c r="G56" s="7">
        <f t="shared" si="2"/>
        <v>19182.692307692309</v>
      </c>
      <c r="H56" s="11" t="s">
        <v>44</v>
      </c>
      <c r="I56" s="11" t="s">
        <v>53</v>
      </c>
      <c r="J56" s="11" t="s">
        <v>388</v>
      </c>
      <c r="K56" s="5" t="s">
        <v>447</v>
      </c>
      <c r="L56" s="6" t="s">
        <v>279</v>
      </c>
      <c r="M56" s="5"/>
      <c r="N56" s="11"/>
      <c r="O56" s="7"/>
      <c r="P56" s="7"/>
      <c r="Q56" s="7"/>
      <c r="R56" s="11"/>
      <c r="S56" s="7"/>
      <c r="T56" s="5"/>
    </row>
    <row r="57" spans="1:20" s="29" customFormat="1" x14ac:dyDescent="0.25">
      <c r="A57" s="25" t="s">
        <v>71</v>
      </c>
      <c r="B57" s="25" t="s">
        <v>456</v>
      </c>
      <c r="C57" s="26">
        <v>43161</v>
      </c>
      <c r="D57" s="25" t="s">
        <v>266</v>
      </c>
      <c r="E57" s="25">
        <v>107</v>
      </c>
      <c r="F57" s="27">
        <v>1128800</v>
      </c>
      <c r="G57" s="27">
        <f t="shared" si="2"/>
        <v>10549.532710280373</v>
      </c>
      <c r="H57" s="28" t="s">
        <v>257</v>
      </c>
      <c r="I57" s="28" t="s">
        <v>457</v>
      </c>
      <c r="J57" s="28" t="s">
        <v>35</v>
      </c>
      <c r="K57" s="25" t="s">
        <v>263</v>
      </c>
      <c r="L57" s="25" t="s">
        <v>279</v>
      </c>
      <c r="M57" s="25"/>
      <c r="N57" s="28"/>
      <c r="O57" s="27"/>
      <c r="P57" s="27"/>
      <c r="Q57" s="27"/>
      <c r="R57" s="28"/>
      <c r="S57" s="27"/>
      <c r="T57" s="25"/>
    </row>
    <row r="58" spans="1:20" x14ac:dyDescent="0.25">
      <c r="A58" s="5" t="s">
        <v>71</v>
      </c>
      <c r="B58" s="5" t="s">
        <v>462</v>
      </c>
      <c r="C58" s="14"/>
      <c r="D58" s="5"/>
      <c r="E58" s="5"/>
      <c r="F58" s="7"/>
      <c r="G58" s="7" t="e">
        <f t="shared" si="2"/>
        <v>#DIV/0!</v>
      </c>
      <c r="H58" s="11"/>
      <c r="I58" s="11"/>
      <c r="J58" s="11"/>
      <c r="K58" s="5"/>
      <c r="L58" s="6"/>
      <c r="M58" s="5"/>
      <c r="N58" s="11"/>
      <c r="O58" s="7"/>
      <c r="P58" s="7"/>
      <c r="Q58" s="7"/>
      <c r="R58" s="11"/>
      <c r="S58" s="7"/>
      <c r="T58" s="5" t="s">
        <v>463</v>
      </c>
    </row>
    <row r="59" spans="1:20" s="29" customFormat="1" x14ac:dyDescent="0.25">
      <c r="A59" s="25" t="s">
        <v>71</v>
      </c>
      <c r="B59" s="25" t="s">
        <v>472</v>
      </c>
      <c r="C59" s="26">
        <v>43280</v>
      </c>
      <c r="D59" s="25" t="s">
        <v>230</v>
      </c>
      <c r="E59" s="25">
        <v>266</v>
      </c>
      <c r="F59" s="27">
        <v>5278000</v>
      </c>
      <c r="G59" s="27">
        <f t="shared" si="2"/>
        <v>19842.105263157893</v>
      </c>
      <c r="H59" s="28"/>
      <c r="I59" s="28"/>
      <c r="J59" s="28"/>
      <c r="K59" s="25"/>
      <c r="L59" s="25"/>
      <c r="M59" s="25"/>
      <c r="N59" s="28" t="s">
        <v>473</v>
      </c>
      <c r="O59" s="27"/>
      <c r="P59" s="27"/>
      <c r="Q59" s="27"/>
      <c r="R59" s="28"/>
      <c r="S59" s="27"/>
      <c r="T59" s="25" t="s">
        <v>471</v>
      </c>
    </row>
    <row r="60" spans="1:20" x14ac:dyDescent="0.25">
      <c r="A60" s="5" t="s">
        <v>71</v>
      </c>
      <c r="B60" s="5" t="s">
        <v>474</v>
      </c>
      <c r="C60" s="14">
        <v>43301</v>
      </c>
      <c r="D60" s="5" t="s">
        <v>4</v>
      </c>
      <c r="E60" s="5">
        <v>161</v>
      </c>
      <c r="F60" s="7">
        <v>3572000</v>
      </c>
      <c r="G60" s="7">
        <f t="shared" si="2"/>
        <v>22186.335403726709</v>
      </c>
      <c r="H60" s="11"/>
      <c r="I60" s="11"/>
      <c r="J60" s="11"/>
      <c r="K60" s="5"/>
      <c r="L60" s="6"/>
      <c r="M60" s="5"/>
      <c r="N60" s="11" t="s">
        <v>475</v>
      </c>
      <c r="O60" s="7"/>
      <c r="P60" s="7" t="s">
        <v>492</v>
      </c>
      <c r="Q60" s="7"/>
      <c r="R60" s="11"/>
      <c r="S60" s="7"/>
      <c r="T60" s="5"/>
    </row>
    <row r="61" spans="1:20" x14ac:dyDescent="0.25">
      <c r="A61" s="5" t="s">
        <v>272</v>
      </c>
      <c r="B61" s="5" t="s">
        <v>372</v>
      </c>
      <c r="C61" s="14">
        <v>43307</v>
      </c>
      <c r="D61" s="5" t="s">
        <v>230</v>
      </c>
      <c r="E61" s="5">
        <v>226</v>
      </c>
      <c r="F61" s="7">
        <v>4746000</v>
      </c>
      <c r="G61" s="7">
        <f t="shared" si="2"/>
        <v>21000</v>
      </c>
      <c r="H61" s="11" t="s">
        <v>477</v>
      </c>
      <c r="I61" s="11" t="s">
        <v>53</v>
      </c>
      <c r="J61" s="11" t="s">
        <v>166</v>
      </c>
      <c r="K61" s="5" t="s">
        <v>373</v>
      </c>
      <c r="L61" s="6" t="s">
        <v>279</v>
      </c>
      <c r="M61" s="5" t="s">
        <v>279</v>
      </c>
      <c r="N61" s="11" t="s">
        <v>476</v>
      </c>
      <c r="O61" s="7"/>
      <c r="P61" s="7"/>
      <c r="Q61" s="7"/>
      <c r="R61" s="11"/>
      <c r="S61" s="7"/>
      <c r="T61" s="5" t="s">
        <v>491</v>
      </c>
    </row>
    <row r="62" spans="1:20" x14ac:dyDescent="0.25">
      <c r="A62" s="5" t="s">
        <v>71</v>
      </c>
      <c r="B62" s="5" t="s">
        <v>520</v>
      </c>
      <c r="C62" s="14">
        <v>43318</v>
      </c>
      <c r="D62" s="5" t="s">
        <v>4</v>
      </c>
      <c r="E62" s="5">
        <v>122</v>
      </c>
      <c r="F62" s="7">
        <v>2186000</v>
      </c>
      <c r="G62" s="7">
        <f t="shared" si="2"/>
        <v>17918.032786885247</v>
      </c>
      <c r="H62" s="11" t="s">
        <v>521</v>
      </c>
      <c r="I62" s="11" t="s">
        <v>495</v>
      </c>
      <c r="J62" s="11" t="s">
        <v>496</v>
      </c>
      <c r="K62" s="5" t="s">
        <v>422</v>
      </c>
      <c r="L62" s="6"/>
      <c r="M62" s="5"/>
      <c r="N62" s="11"/>
      <c r="O62" s="7"/>
      <c r="P62" s="7"/>
      <c r="Q62" s="7"/>
      <c r="R62" s="11"/>
      <c r="S62" s="7"/>
      <c r="T62" s="5"/>
    </row>
    <row r="63" spans="1:20" x14ac:dyDescent="0.25">
      <c r="A63" s="5" t="s">
        <v>272</v>
      </c>
      <c r="B63" s="5" t="s">
        <v>478</v>
      </c>
      <c r="C63" s="14">
        <v>43319</v>
      </c>
      <c r="D63" s="5" t="s">
        <v>230</v>
      </c>
      <c r="E63" s="5">
        <v>296</v>
      </c>
      <c r="F63" s="7">
        <v>6216000</v>
      </c>
      <c r="G63" s="7">
        <f t="shared" si="2"/>
        <v>21000</v>
      </c>
      <c r="H63" s="11" t="s">
        <v>479</v>
      </c>
      <c r="I63" s="11" t="s">
        <v>52</v>
      </c>
      <c r="J63" s="11" t="s">
        <v>166</v>
      </c>
      <c r="K63" s="5" t="s">
        <v>480</v>
      </c>
      <c r="L63" s="6" t="s">
        <v>279</v>
      </c>
      <c r="M63" s="5" t="s">
        <v>279</v>
      </c>
      <c r="N63" s="11" t="s">
        <v>476</v>
      </c>
      <c r="O63" s="7"/>
      <c r="P63" s="7"/>
      <c r="Q63" s="7"/>
      <c r="R63" s="11"/>
      <c r="S63" s="7"/>
      <c r="T63" s="5" t="s">
        <v>500</v>
      </c>
    </row>
    <row r="64" spans="1:20" x14ac:dyDescent="0.25">
      <c r="A64" s="5" t="s">
        <v>272</v>
      </c>
      <c r="B64" s="5" t="s">
        <v>481</v>
      </c>
      <c r="C64" s="14">
        <v>43349</v>
      </c>
      <c r="D64" s="5" t="s">
        <v>230</v>
      </c>
      <c r="E64" s="5">
        <v>461</v>
      </c>
      <c r="F64" s="7">
        <v>8528500</v>
      </c>
      <c r="G64" s="7">
        <f t="shared" si="2"/>
        <v>18500</v>
      </c>
      <c r="H64" s="11" t="s">
        <v>279</v>
      </c>
      <c r="I64" s="11"/>
      <c r="J64" s="11"/>
      <c r="K64" s="5" t="s">
        <v>482</v>
      </c>
      <c r="L64" s="6"/>
      <c r="M64" s="5"/>
      <c r="N64" s="11"/>
      <c r="O64" s="7"/>
      <c r="P64" s="7"/>
      <c r="Q64" s="7"/>
      <c r="R64" s="11"/>
      <c r="S64" s="7"/>
      <c r="T64" s="5" t="s">
        <v>499</v>
      </c>
    </row>
    <row r="65" spans="1:20" x14ac:dyDescent="0.25">
      <c r="A65" s="5" t="s">
        <v>272</v>
      </c>
      <c r="B65" s="5" t="s">
        <v>526</v>
      </c>
      <c r="C65" s="14">
        <v>43350</v>
      </c>
      <c r="D65" s="5" t="s">
        <v>237</v>
      </c>
      <c r="E65" s="5">
        <v>68</v>
      </c>
      <c r="F65" s="7">
        <v>1632000</v>
      </c>
      <c r="G65" s="7">
        <f t="shared" si="2"/>
        <v>24000</v>
      </c>
      <c r="H65" s="11"/>
      <c r="I65" s="11"/>
      <c r="J65" s="11"/>
      <c r="K65" s="5"/>
      <c r="L65" s="6"/>
      <c r="M65" s="5"/>
      <c r="N65" s="11"/>
      <c r="O65" s="7"/>
      <c r="P65" s="7"/>
      <c r="Q65" s="7"/>
      <c r="R65" s="11"/>
      <c r="S65" s="7"/>
      <c r="T65" s="5" t="s">
        <v>549</v>
      </c>
    </row>
    <row r="66" spans="1:20" x14ac:dyDescent="0.25">
      <c r="A66" s="5" t="s">
        <v>71</v>
      </c>
      <c r="B66" s="5" t="s">
        <v>503</v>
      </c>
      <c r="C66" s="14">
        <v>43742</v>
      </c>
      <c r="D66" s="5" t="s">
        <v>502</v>
      </c>
      <c r="E66" s="5">
        <f>73+82</f>
        <v>155</v>
      </c>
      <c r="F66" s="7">
        <f>1558800+1447400</f>
        <v>3006200</v>
      </c>
      <c r="G66" s="7">
        <f t="shared" si="2"/>
        <v>19394.83870967742</v>
      </c>
      <c r="H66" s="11" t="s">
        <v>502</v>
      </c>
      <c r="I66" s="11" t="s">
        <v>324</v>
      </c>
      <c r="J66" s="11" t="s">
        <v>496</v>
      </c>
      <c r="K66" s="5" t="s">
        <v>504</v>
      </c>
      <c r="L66" s="6"/>
      <c r="M66" s="5"/>
      <c r="N66" s="11"/>
      <c r="O66" s="7"/>
      <c r="P66" s="7"/>
      <c r="Q66" s="7"/>
      <c r="R66" s="11"/>
      <c r="S66" s="7"/>
      <c r="T66" s="5"/>
    </row>
    <row r="67" spans="1:20" x14ac:dyDescent="0.25">
      <c r="A67" s="5" t="s">
        <v>272</v>
      </c>
      <c r="B67" s="5" t="s">
        <v>485</v>
      </c>
      <c r="C67" s="14">
        <v>43413</v>
      </c>
      <c r="D67" s="5" t="s">
        <v>230</v>
      </c>
      <c r="E67" s="5">
        <v>160</v>
      </c>
      <c r="F67" s="7">
        <v>3120000</v>
      </c>
      <c r="G67" s="7">
        <f t="shared" si="2"/>
        <v>19500</v>
      </c>
      <c r="H67" s="11" t="s">
        <v>488</v>
      </c>
      <c r="I67" s="11" t="s">
        <v>233</v>
      </c>
      <c r="J67" s="11" t="s">
        <v>388</v>
      </c>
      <c r="K67" s="5" t="s">
        <v>362</v>
      </c>
      <c r="L67" s="6"/>
      <c r="M67" s="5"/>
      <c r="N67" s="11" t="s">
        <v>487</v>
      </c>
      <c r="O67" s="7"/>
      <c r="P67" s="7"/>
      <c r="Q67" s="7"/>
      <c r="R67" s="11" t="s">
        <v>486</v>
      </c>
      <c r="S67" s="7"/>
      <c r="T67" s="5" t="s">
        <v>551</v>
      </c>
    </row>
    <row r="68" spans="1:20" x14ac:dyDescent="0.25">
      <c r="A68" s="5" t="s">
        <v>71</v>
      </c>
      <c r="B68" s="5" t="s">
        <v>514</v>
      </c>
      <c r="C68" s="14">
        <v>43419</v>
      </c>
      <c r="D68" s="5" t="s">
        <v>515</v>
      </c>
      <c r="E68" s="5">
        <v>49</v>
      </c>
      <c r="F68" s="7">
        <v>887000</v>
      </c>
      <c r="G68" s="7">
        <f t="shared" si="2"/>
        <v>18102.040816326531</v>
      </c>
      <c r="H68" s="11" t="s">
        <v>516</v>
      </c>
      <c r="I68" s="11" t="s">
        <v>190</v>
      </c>
      <c r="J68" s="11" t="s">
        <v>388</v>
      </c>
      <c r="K68" s="5" t="s">
        <v>351</v>
      </c>
      <c r="L68" s="6"/>
      <c r="M68" s="5"/>
      <c r="N68" s="11"/>
      <c r="O68" s="7"/>
      <c r="P68" s="7"/>
      <c r="Q68" s="7"/>
      <c r="R68" s="11"/>
      <c r="S68" s="7"/>
      <c r="T68" s="5"/>
    </row>
    <row r="69" spans="1:20" x14ac:dyDescent="0.25">
      <c r="A69" s="5" t="s">
        <v>272</v>
      </c>
      <c r="B69" s="5" t="s">
        <v>552</v>
      </c>
      <c r="C69" s="14">
        <v>43434</v>
      </c>
      <c r="D69" s="5" t="s">
        <v>230</v>
      </c>
      <c r="E69" s="5">
        <v>548</v>
      </c>
      <c r="F69" s="7">
        <f>E69*G69</f>
        <v>10686000</v>
      </c>
      <c r="G69" s="7">
        <v>19500</v>
      </c>
      <c r="H69" s="11" t="s">
        <v>554</v>
      </c>
      <c r="I69" s="11" t="s">
        <v>333</v>
      </c>
      <c r="J69" s="11" t="s">
        <v>555</v>
      </c>
      <c r="K69" s="5" t="s">
        <v>480</v>
      </c>
      <c r="L69" s="6"/>
      <c r="M69" s="5"/>
      <c r="N69" s="11" t="s">
        <v>553</v>
      </c>
      <c r="O69" s="7"/>
      <c r="P69" s="7"/>
      <c r="Q69" s="7"/>
      <c r="R69" s="11"/>
      <c r="S69" s="7"/>
      <c r="T69" s="5" t="s">
        <v>556</v>
      </c>
    </row>
    <row r="70" spans="1:20" x14ac:dyDescent="0.25">
      <c r="A70" s="5" t="s">
        <v>272</v>
      </c>
      <c r="B70" s="5" t="s">
        <v>489</v>
      </c>
      <c r="C70" s="14"/>
      <c r="D70" s="5" t="s">
        <v>230</v>
      </c>
      <c r="E70" s="5"/>
      <c r="F70" s="7"/>
      <c r="G70" s="7"/>
      <c r="H70" s="11"/>
      <c r="I70" s="11" t="s">
        <v>490</v>
      </c>
      <c r="J70" s="11"/>
      <c r="K70" s="5"/>
      <c r="L70" s="6"/>
      <c r="M70" s="5"/>
      <c r="N70" s="11"/>
      <c r="O70" s="7"/>
      <c r="P70" s="7"/>
      <c r="Q70" s="7"/>
      <c r="R70" s="11"/>
      <c r="S70" s="7"/>
      <c r="T70" s="5" t="s">
        <v>498</v>
      </c>
    </row>
    <row r="71" spans="1:20" x14ac:dyDescent="0.25">
      <c r="A71" s="5" t="s">
        <v>71</v>
      </c>
      <c r="B71" s="5" t="s">
        <v>508</v>
      </c>
      <c r="C71" s="14">
        <v>43462</v>
      </c>
      <c r="D71" s="5" t="s">
        <v>165</v>
      </c>
      <c r="E71" s="5">
        <v>61</v>
      </c>
      <c r="F71" s="7">
        <v>795900</v>
      </c>
      <c r="G71" s="7">
        <f t="shared" si="2"/>
        <v>13047.540983606557</v>
      </c>
      <c r="H71" s="11" t="s">
        <v>165</v>
      </c>
      <c r="I71" s="11" t="s">
        <v>509</v>
      </c>
      <c r="J71" s="11" t="s">
        <v>388</v>
      </c>
      <c r="K71" s="5" t="s">
        <v>321</v>
      </c>
      <c r="L71" s="6"/>
      <c r="M71" s="5"/>
      <c r="N71" s="11"/>
      <c r="O71" s="7"/>
      <c r="P71" s="7"/>
      <c r="Q71" s="7"/>
      <c r="R71" s="11"/>
      <c r="S71" s="7"/>
      <c r="T71" s="5"/>
    </row>
    <row r="72" spans="1:20" x14ac:dyDescent="0.25">
      <c r="A72" s="5" t="s">
        <v>71</v>
      </c>
      <c r="B72" s="5" t="s">
        <v>517</v>
      </c>
      <c r="C72" s="14">
        <v>43467</v>
      </c>
      <c r="D72" s="5" t="s">
        <v>5</v>
      </c>
      <c r="E72" s="5">
        <v>127</v>
      </c>
      <c r="F72" s="7">
        <v>1943400</v>
      </c>
      <c r="G72" s="7">
        <f t="shared" si="2"/>
        <v>15302.36220472441</v>
      </c>
      <c r="H72" s="11" t="s">
        <v>518</v>
      </c>
      <c r="I72" s="11" t="s">
        <v>519</v>
      </c>
      <c r="J72" s="11" t="s">
        <v>234</v>
      </c>
      <c r="K72" s="5" t="s">
        <v>351</v>
      </c>
      <c r="L72" s="6"/>
      <c r="M72" s="5"/>
      <c r="N72" s="11"/>
      <c r="O72" s="7"/>
      <c r="P72" s="7"/>
      <c r="Q72" s="7"/>
      <c r="R72" s="11"/>
      <c r="S72" s="7"/>
      <c r="T72" s="5" t="s">
        <v>573</v>
      </c>
    </row>
    <row r="73" spans="1:20" x14ac:dyDescent="0.25">
      <c r="A73" s="5" t="s">
        <v>71</v>
      </c>
      <c r="B73" s="5" t="s">
        <v>493</v>
      </c>
      <c r="C73" s="14">
        <v>43476</v>
      </c>
      <c r="D73" s="5" t="s">
        <v>5</v>
      </c>
      <c r="E73" s="5">
        <v>53</v>
      </c>
      <c r="F73" s="7">
        <v>746500</v>
      </c>
      <c r="G73" s="7">
        <f t="shared" si="2"/>
        <v>14084.905660377359</v>
      </c>
      <c r="H73" s="11" t="s">
        <v>494</v>
      </c>
      <c r="I73" s="11" t="s">
        <v>495</v>
      </c>
      <c r="J73" s="11" t="s">
        <v>496</v>
      </c>
      <c r="K73" s="5" t="s">
        <v>240</v>
      </c>
      <c r="L73" s="6" t="s">
        <v>497</v>
      </c>
      <c r="M73" s="5"/>
      <c r="N73" s="11"/>
      <c r="O73" s="7"/>
      <c r="P73" s="7"/>
      <c r="Q73" s="7"/>
      <c r="R73" s="11"/>
      <c r="S73" s="7"/>
      <c r="T73" s="5" t="s">
        <v>550</v>
      </c>
    </row>
    <row r="74" spans="1:20" x14ac:dyDescent="0.25">
      <c r="A74" s="5" t="s">
        <v>71</v>
      </c>
      <c r="B74" s="5" t="s">
        <v>505</v>
      </c>
      <c r="C74" s="14">
        <v>43486</v>
      </c>
      <c r="D74" s="5" t="s">
        <v>506</v>
      </c>
      <c r="E74" s="5">
        <v>95</v>
      </c>
      <c r="F74" s="7">
        <v>2078400</v>
      </c>
      <c r="G74" s="7">
        <f t="shared" si="2"/>
        <v>21877.894736842107</v>
      </c>
      <c r="H74" s="11" t="s">
        <v>507</v>
      </c>
      <c r="I74" s="11" t="s">
        <v>324</v>
      </c>
      <c r="J74" s="11" t="s">
        <v>496</v>
      </c>
      <c r="K74" s="5"/>
      <c r="L74" s="6"/>
      <c r="M74" s="5"/>
      <c r="N74" s="11"/>
      <c r="O74" s="7"/>
      <c r="P74" s="7"/>
      <c r="Q74" s="7"/>
      <c r="R74" s="11"/>
      <c r="S74" s="7"/>
      <c r="T74" s="5"/>
    </row>
    <row r="75" spans="1:20" x14ac:dyDescent="0.25">
      <c r="A75" s="5" t="s">
        <v>71</v>
      </c>
      <c r="B75" s="5" t="s">
        <v>510</v>
      </c>
      <c r="C75" s="14">
        <v>43489</v>
      </c>
      <c r="D75" s="5" t="s">
        <v>230</v>
      </c>
      <c r="E75" s="5">
        <v>240</v>
      </c>
      <c r="F75" s="7">
        <v>3042000</v>
      </c>
      <c r="G75" s="7">
        <f t="shared" si="2"/>
        <v>12675</v>
      </c>
      <c r="H75" s="11" t="s">
        <v>511</v>
      </c>
      <c r="I75" s="11" t="s">
        <v>512</v>
      </c>
      <c r="J75" s="11" t="s">
        <v>512</v>
      </c>
      <c r="K75" s="5" t="s">
        <v>513</v>
      </c>
      <c r="L75" s="6"/>
      <c r="M75" s="5"/>
      <c r="N75" s="11" t="s">
        <v>245</v>
      </c>
      <c r="O75" s="7"/>
      <c r="P75" s="7"/>
      <c r="Q75" s="7"/>
      <c r="R75" s="11"/>
      <c r="S75" s="7"/>
      <c r="T75" s="5" t="s">
        <v>525</v>
      </c>
    </row>
    <row r="76" spans="1:20" x14ac:dyDescent="0.25">
      <c r="A76" s="5" t="s">
        <v>71</v>
      </c>
      <c r="B76" s="5" t="s">
        <v>557</v>
      </c>
      <c r="C76" s="14">
        <v>43496</v>
      </c>
      <c r="D76" s="5" t="s">
        <v>527</v>
      </c>
      <c r="E76" s="5">
        <v>54</v>
      </c>
      <c r="F76" s="7">
        <v>1135400</v>
      </c>
      <c r="G76" s="7">
        <f t="shared" si="2"/>
        <v>21025.925925925927</v>
      </c>
      <c r="H76" s="11" t="s">
        <v>527</v>
      </c>
      <c r="I76" s="11" t="s">
        <v>324</v>
      </c>
      <c r="J76" s="11" t="s">
        <v>496</v>
      </c>
      <c r="K76" s="5" t="s">
        <v>557</v>
      </c>
      <c r="L76" s="6"/>
      <c r="M76" s="5"/>
      <c r="N76" s="11"/>
      <c r="O76" s="7"/>
      <c r="P76" s="7"/>
      <c r="Q76" s="7"/>
      <c r="R76" s="11"/>
      <c r="S76" s="7"/>
      <c r="T76" s="5" t="s">
        <v>558</v>
      </c>
    </row>
    <row r="77" spans="1:20" x14ac:dyDescent="0.25">
      <c r="A77" s="5" t="s">
        <v>71</v>
      </c>
      <c r="B77" s="5" t="s">
        <v>532</v>
      </c>
      <c r="C77" s="14">
        <v>43517</v>
      </c>
      <c r="D77" s="5" t="s">
        <v>230</v>
      </c>
      <c r="E77" s="5">
        <v>360</v>
      </c>
      <c r="F77" s="7">
        <v>4760000</v>
      </c>
      <c r="G77" s="7">
        <f>F77/E77</f>
        <v>13222.222222222223</v>
      </c>
      <c r="H77" s="11" t="s">
        <v>511</v>
      </c>
      <c r="I77" s="11" t="s">
        <v>512</v>
      </c>
      <c r="J77" s="11" t="s">
        <v>512</v>
      </c>
      <c r="K77" s="5" t="s">
        <v>559</v>
      </c>
      <c r="L77" s="6"/>
      <c r="M77" s="5"/>
      <c r="N77" s="11"/>
      <c r="O77" s="7"/>
      <c r="P77" s="7"/>
      <c r="Q77" s="7"/>
      <c r="R77" s="11"/>
      <c r="S77" s="7"/>
      <c r="T77" s="5" t="s">
        <v>582</v>
      </c>
    </row>
    <row r="78" spans="1:20" x14ac:dyDescent="0.25">
      <c r="A78" s="5" t="s">
        <v>71</v>
      </c>
      <c r="B78" s="5" t="s">
        <v>662</v>
      </c>
      <c r="C78" s="14">
        <v>43518</v>
      </c>
      <c r="D78" s="5" t="s">
        <v>506</v>
      </c>
      <c r="E78" s="5">
        <v>155</v>
      </c>
      <c r="F78" s="7">
        <v>3040800</v>
      </c>
      <c r="G78" s="7">
        <f>F78/E78</f>
        <v>19618.064516129034</v>
      </c>
      <c r="H78" s="11" t="s">
        <v>663</v>
      </c>
      <c r="I78" s="11" t="s">
        <v>324</v>
      </c>
      <c r="J78" s="11" t="s">
        <v>388</v>
      </c>
      <c r="K78" s="5" t="s">
        <v>364</v>
      </c>
      <c r="L78" s="6"/>
      <c r="M78" s="5"/>
      <c r="N78" s="11"/>
      <c r="O78" s="7"/>
      <c r="P78" s="7"/>
      <c r="Q78" s="7"/>
      <c r="R78" s="11"/>
      <c r="S78" s="7"/>
      <c r="T78" s="5"/>
    </row>
    <row r="79" spans="1:20" x14ac:dyDescent="0.25">
      <c r="A79" s="5" t="s">
        <v>71</v>
      </c>
      <c r="B79" s="5" t="s">
        <v>534</v>
      </c>
      <c r="C79" s="14">
        <v>43522</v>
      </c>
      <c r="D79" s="5" t="s">
        <v>414</v>
      </c>
      <c r="E79" s="5">
        <v>233</v>
      </c>
      <c r="F79" s="7">
        <v>3727200</v>
      </c>
      <c r="G79" s="7">
        <f>F79/E79</f>
        <v>15996.56652360515</v>
      </c>
      <c r="H79" s="11" t="s">
        <v>414</v>
      </c>
      <c r="I79" s="11" t="s">
        <v>206</v>
      </c>
      <c r="J79" s="11" t="s">
        <v>166</v>
      </c>
      <c r="K79" s="5" t="s">
        <v>223</v>
      </c>
      <c r="L79" s="6"/>
      <c r="M79" s="5"/>
      <c r="N79" s="11"/>
      <c r="O79" s="7"/>
      <c r="P79" s="7"/>
      <c r="Q79" s="7"/>
      <c r="R79" s="11"/>
      <c r="S79" s="7"/>
      <c r="T79" s="5" t="s">
        <v>535</v>
      </c>
    </row>
    <row r="80" spans="1:20" ht="30" x14ac:dyDescent="0.25">
      <c r="A80" s="5" t="s">
        <v>71</v>
      </c>
      <c r="B80" s="5" t="s">
        <v>528</v>
      </c>
      <c r="C80" s="14">
        <v>43551</v>
      </c>
      <c r="D80" s="5" t="s">
        <v>4</v>
      </c>
      <c r="E80" s="5">
        <v>320</v>
      </c>
      <c r="F80" s="7">
        <v>4122000</v>
      </c>
      <c r="G80" s="7">
        <f t="shared" si="2"/>
        <v>12881.25</v>
      </c>
      <c r="H80" s="11" t="s">
        <v>529</v>
      </c>
      <c r="I80" s="11" t="s">
        <v>530</v>
      </c>
      <c r="J80" s="11" t="s">
        <v>279</v>
      </c>
      <c r="K80" s="5" t="s">
        <v>531</v>
      </c>
      <c r="L80" s="6" t="s">
        <v>279</v>
      </c>
      <c r="M80" s="5"/>
      <c r="N80" s="11" t="s">
        <v>404</v>
      </c>
      <c r="O80" s="7">
        <v>4107000</v>
      </c>
      <c r="P80" s="7" t="s">
        <v>379</v>
      </c>
      <c r="Q80" s="7">
        <f>O80-400000</f>
        <v>3707000</v>
      </c>
      <c r="R80" s="11"/>
      <c r="S80" s="7"/>
      <c r="T80" s="1" t="s">
        <v>536</v>
      </c>
    </row>
    <row r="81" spans="1:20" x14ac:dyDescent="0.25">
      <c r="A81" s="5" t="s">
        <v>71</v>
      </c>
      <c r="B81" s="5" t="s">
        <v>533</v>
      </c>
      <c r="C81" s="14">
        <v>43556</v>
      </c>
      <c r="D81" s="5" t="s">
        <v>230</v>
      </c>
      <c r="E81" s="5">
        <v>102</v>
      </c>
      <c r="F81" s="7">
        <v>1821000</v>
      </c>
      <c r="G81" s="7">
        <f t="shared" si="2"/>
        <v>17852.941176470587</v>
      </c>
      <c r="H81" s="11" t="s">
        <v>541</v>
      </c>
      <c r="I81" s="11" t="s">
        <v>233</v>
      </c>
      <c r="J81" s="11" t="s">
        <v>199</v>
      </c>
      <c r="K81" s="5" t="s">
        <v>223</v>
      </c>
      <c r="L81" s="6"/>
      <c r="M81" s="5"/>
      <c r="N81" s="11" t="s">
        <v>540</v>
      </c>
      <c r="O81" s="7"/>
      <c r="P81" s="7" t="s">
        <v>538</v>
      </c>
      <c r="Q81" s="7"/>
      <c r="R81" s="11" t="s">
        <v>539</v>
      </c>
      <c r="S81" s="7"/>
      <c r="T81" s="5" t="s">
        <v>542</v>
      </c>
    </row>
    <row r="82" spans="1:20" x14ac:dyDescent="0.25">
      <c r="A82" s="5" t="s">
        <v>71</v>
      </c>
      <c r="B82" s="5" t="s">
        <v>560</v>
      </c>
      <c r="C82" s="14">
        <v>43572</v>
      </c>
      <c r="D82" s="5" t="s">
        <v>237</v>
      </c>
      <c r="E82" s="5">
        <v>65</v>
      </c>
      <c r="F82" s="7">
        <v>1293000</v>
      </c>
      <c r="G82" s="7">
        <f>F82/E82</f>
        <v>19892.307692307691</v>
      </c>
      <c r="H82" s="11" t="s">
        <v>561</v>
      </c>
      <c r="I82" s="11" t="s">
        <v>275</v>
      </c>
      <c r="J82" s="11" t="s">
        <v>562</v>
      </c>
      <c r="K82" s="5" t="s">
        <v>277</v>
      </c>
      <c r="L82" s="6"/>
      <c r="M82" s="5"/>
      <c r="N82" s="11" t="s">
        <v>564</v>
      </c>
      <c r="O82" s="7"/>
      <c r="P82" s="7"/>
      <c r="Q82" s="7"/>
      <c r="R82" s="11"/>
      <c r="S82" s="7"/>
      <c r="T82" s="5"/>
    </row>
    <row r="83" spans="1:20" x14ac:dyDescent="0.25">
      <c r="A83" s="5" t="s">
        <v>71</v>
      </c>
      <c r="B83" s="5" t="s">
        <v>544</v>
      </c>
      <c r="C83" s="14">
        <v>43573</v>
      </c>
      <c r="D83" s="5" t="s">
        <v>230</v>
      </c>
      <c r="E83" s="5">
        <v>59</v>
      </c>
      <c r="F83" s="7">
        <v>1474000</v>
      </c>
      <c r="G83" s="7">
        <f>F83/E83</f>
        <v>24983.050847457627</v>
      </c>
      <c r="H83" s="11" t="s">
        <v>545</v>
      </c>
      <c r="I83" s="11" t="s">
        <v>546</v>
      </c>
      <c r="J83" s="11" t="s">
        <v>547</v>
      </c>
      <c r="K83" s="5" t="s">
        <v>263</v>
      </c>
      <c r="L83" s="6"/>
      <c r="M83" s="5"/>
      <c r="N83" s="11"/>
      <c r="O83" s="7"/>
      <c r="P83" s="7"/>
      <c r="Q83" s="7"/>
      <c r="R83" s="11"/>
      <c r="S83" s="7"/>
      <c r="T83" s="5" t="s">
        <v>548</v>
      </c>
    </row>
    <row r="84" spans="1:20" s="29" customFormat="1" x14ac:dyDescent="0.25">
      <c r="A84" s="25" t="s">
        <v>71</v>
      </c>
      <c r="B84" s="25" t="s">
        <v>543</v>
      </c>
      <c r="C84" s="26">
        <v>43609</v>
      </c>
      <c r="D84" s="25" t="s">
        <v>230</v>
      </c>
      <c r="E84" s="25">
        <v>102</v>
      </c>
      <c r="F84" s="27">
        <v>1753000</v>
      </c>
      <c r="G84" s="27">
        <f>F84/E84</f>
        <v>17186.274509803923</v>
      </c>
      <c r="H84" s="28" t="s">
        <v>541</v>
      </c>
      <c r="I84" s="28" t="s">
        <v>233</v>
      </c>
      <c r="J84" s="28" t="s">
        <v>199</v>
      </c>
      <c r="K84" s="25" t="s">
        <v>223</v>
      </c>
      <c r="L84" s="25"/>
      <c r="M84" s="25"/>
      <c r="N84" s="28" t="s">
        <v>540</v>
      </c>
      <c r="O84" s="27"/>
      <c r="P84" s="27" t="s">
        <v>538</v>
      </c>
      <c r="Q84" s="27"/>
      <c r="R84" s="28" t="s">
        <v>539</v>
      </c>
      <c r="S84" s="27"/>
      <c r="T84" s="25" t="s">
        <v>542</v>
      </c>
    </row>
    <row r="85" spans="1:20" s="29" customFormat="1" x14ac:dyDescent="0.25">
      <c r="A85" s="25" t="s">
        <v>71</v>
      </c>
      <c r="B85" s="25" t="s">
        <v>563</v>
      </c>
      <c r="C85" s="26">
        <v>43620</v>
      </c>
      <c r="D85" s="25" t="s">
        <v>237</v>
      </c>
      <c r="E85" s="25">
        <v>65</v>
      </c>
      <c r="F85" s="27">
        <v>1185300</v>
      </c>
      <c r="G85" s="27">
        <f t="shared" ref="G85:G92" si="3">F85/E85</f>
        <v>18235.384615384617</v>
      </c>
      <c r="H85" s="28" t="s">
        <v>561</v>
      </c>
      <c r="I85" s="28" t="s">
        <v>275</v>
      </c>
      <c r="J85" s="28" t="s">
        <v>562</v>
      </c>
      <c r="K85" s="25" t="s">
        <v>277</v>
      </c>
      <c r="L85" s="25">
        <v>43770</v>
      </c>
      <c r="M85" s="25"/>
      <c r="N85" s="28"/>
      <c r="O85" s="27"/>
      <c r="P85" s="27"/>
      <c r="Q85" s="27"/>
      <c r="R85" s="28"/>
      <c r="S85" s="27"/>
      <c r="T85" s="25"/>
    </row>
    <row r="86" spans="1:20" x14ac:dyDescent="0.25">
      <c r="A86" s="5" t="s">
        <v>71</v>
      </c>
      <c r="B86" s="5" t="s">
        <v>568</v>
      </c>
      <c r="C86" s="14">
        <v>43633</v>
      </c>
      <c r="D86" s="5" t="s">
        <v>165</v>
      </c>
      <c r="E86" s="5">
        <v>66</v>
      </c>
      <c r="F86" s="7">
        <v>863500</v>
      </c>
      <c r="G86" s="7">
        <f>F86/E86</f>
        <v>13083.333333333334</v>
      </c>
      <c r="H86" s="11" t="s">
        <v>165</v>
      </c>
      <c r="I86" s="11"/>
      <c r="J86" s="11"/>
      <c r="K86" s="5"/>
      <c r="L86" s="6"/>
      <c r="M86" s="5"/>
      <c r="N86" s="11"/>
      <c r="O86" s="7"/>
      <c r="P86" s="7"/>
      <c r="Q86" s="7"/>
      <c r="R86" s="11"/>
      <c r="S86" s="7"/>
      <c r="T86" s="5" t="s">
        <v>687</v>
      </c>
    </row>
    <row r="87" spans="1:20" x14ac:dyDescent="0.25">
      <c r="A87" s="5" t="s">
        <v>272</v>
      </c>
      <c r="B87" s="5" t="s">
        <v>574</v>
      </c>
      <c r="C87" s="14">
        <v>43661</v>
      </c>
      <c r="D87" s="5" t="s">
        <v>230</v>
      </c>
      <c r="E87" s="5">
        <v>442</v>
      </c>
      <c r="F87" s="7">
        <v>7381400</v>
      </c>
      <c r="G87" s="7">
        <f t="shared" si="3"/>
        <v>16700</v>
      </c>
      <c r="H87" s="11" t="s">
        <v>80</v>
      </c>
      <c r="I87" s="11" t="s">
        <v>206</v>
      </c>
      <c r="J87" s="11" t="s">
        <v>575</v>
      </c>
      <c r="K87" s="5" t="s">
        <v>576</v>
      </c>
      <c r="L87" s="6"/>
      <c r="M87" s="5"/>
      <c r="N87" s="11"/>
      <c r="O87" s="7"/>
      <c r="P87" s="7"/>
      <c r="Q87" s="7"/>
      <c r="R87" s="11"/>
      <c r="S87" s="7"/>
      <c r="T87" s="5" t="s">
        <v>577</v>
      </c>
    </row>
    <row r="88" spans="1:20" x14ac:dyDescent="0.25">
      <c r="A88" s="5" t="s">
        <v>272</v>
      </c>
      <c r="B88" s="5" t="s">
        <v>565</v>
      </c>
      <c r="C88" s="14">
        <v>43678</v>
      </c>
      <c r="D88" s="5" t="s">
        <v>230</v>
      </c>
      <c r="E88" s="5">
        <v>126</v>
      </c>
      <c r="F88" s="7">
        <v>2470800</v>
      </c>
      <c r="G88" s="7">
        <f t="shared" si="3"/>
        <v>19609.523809523809</v>
      </c>
      <c r="H88" s="11" t="s">
        <v>569</v>
      </c>
      <c r="I88" s="11" t="s">
        <v>333</v>
      </c>
      <c r="J88" s="11" t="s">
        <v>570</v>
      </c>
      <c r="K88" s="5" t="s">
        <v>571</v>
      </c>
      <c r="L88" s="6"/>
      <c r="M88" s="5"/>
      <c r="N88" s="11"/>
      <c r="O88" s="7"/>
      <c r="P88" s="7"/>
      <c r="Q88" s="7"/>
      <c r="R88" s="11"/>
      <c r="S88" s="7"/>
      <c r="T88" s="5"/>
    </row>
    <row r="89" spans="1:20" x14ac:dyDescent="0.25">
      <c r="A89" s="5" t="s">
        <v>71</v>
      </c>
      <c r="B89" s="5" t="s">
        <v>566</v>
      </c>
      <c r="C89" s="14">
        <v>43707</v>
      </c>
      <c r="D89" s="5" t="s">
        <v>369</v>
      </c>
      <c r="E89" s="5">
        <v>192</v>
      </c>
      <c r="F89" s="7">
        <v>2371900</v>
      </c>
      <c r="G89" s="7">
        <f>F89/E89</f>
        <v>12353.645833333334</v>
      </c>
      <c r="H89" s="11" t="s">
        <v>369</v>
      </c>
      <c r="I89" s="11" t="s">
        <v>48</v>
      </c>
      <c r="J89" s="11" t="s">
        <v>388</v>
      </c>
      <c r="K89" s="5" t="s">
        <v>571</v>
      </c>
      <c r="L89" s="6"/>
      <c r="M89" s="5"/>
      <c r="N89" s="11"/>
      <c r="O89" s="7"/>
      <c r="P89" s="7"/>
      <c r="Q89" s="7"/>
      <c r="R89" s="11"/>
      <c r="S89" s="7"/>
      <c r="T89" s="5"/>
    </row>
    <row r="90" spans="1:20" x14ac:dyDescent="0.25">
      <c r="A90" s="5" t="s">
        <v>272</v>
      </c>
      <c r="B90" s="5" t="s">
        <v>478</v>
      </c>
      <c r="C90" s="14">
        <v>43728</v>
      </c>
      <c r="D90" s="5" t="s">
        <v>182</v>
      </c>
      <c r="E90" s="5">
        <v>269</v>
      </c>
      <c r="F90" s="7">
        <f>4599000+95000</f>
        <v>4694000</v>
      </c>
      <c r="G90" s="7">
        <f t="shared" si="3"/>
        <v>17449.814126394052</v>
      </c>
      <c r="H90" s="11" t="s">
        <v>578</v>
      </c>
      <c r="I90" s="11" t="s">
        <v>490</v>
      </c>
      <c r="J90" s="11" t="s">
        <v>388</v>
      </c>
      <c r="K90" s="5" t="s">
        <v>480</v>
      </c>
      <c r="L90" s="6"/>
      <c r="M90" s="5"/>
      <c r="N90" s="11"/>
      <c r="O90" s="7"/>
      <c r="P90" s="7"/>
      <c r="Q90" s="7"/>
      <c r="R90" s="11"/>
      <c r="S90" s="7"/>
      <c r="T90" s="5" t="s">
        <v>579</v>
      </c>
    </row>
    <row r="91" spans="1:20" x14ac:dyDescent="0.25">
      <c r="A91" s="5" t="s">
        <v>71</v>
      </c>
      <c r="B91" s="5" t="s">
        <v>583</v>
      </c>
      <c r="C91" s="14">
        <v>43734</v>
      </c>
      <c r="D91" s="5" t="s">
        <v>586</v>
      </c>
      <c r="E91" s="5">
        <v>112</v>
      </c>
      <c r="F91" s="7">
        <v>1130700</v>
      </c>
      <c r="G91" s="7">
        <f t="shared" si="3"/>
        <v>10095.535714285714</v>
      </c>
      <c r="H91" s="11" t="s">
        <v>587</v>
      </c>
      <c r="I91" s="11" t="s">
        <v>588</v>
      </c>
      <c r="J91" s="11" t="s">
        <v>166</v>
      </c>
      <c r="K91" s="5" t="s">
        <v>589</v>
      </c>
      <c r="L91" s="6"/>
      <c r="M91" s="5"/>
      <c r="N91" s="11"/>
      <c r="O91" s="7"/>
      <c r="P91" s="7"/>
      <c r="Q91" s="7"/>
      <c r="R91" s="11"/>
      <c r="S91" s="7"/>
      <c r="T91" s="5" t="s">
        <v>664</v>
      </c>
    </row>
    <row r="92" spans="1:20" x14ac:dyDescent="0.25">
      <c r="A92" s="5" t="s">
        <v>71</v>
      </c>
      <c r="B92" s="5" t="s">
        <v>514</v>
      </c>
      <c r="C92" s="14">
        <v>43747</v>
      </c>
      <c r="D92" s="5" t="s">
        <v>237</v>
      </c>
      <c r="E92" s="5">
        <v>49</v>
      </c>
      <c r="F92" s="7">
        <v>874800</v>
      </c>
      <c r="G92" s="7">
        <f t="shared" si="3"/>
        <v>17853.061224489797</v>
      </c>
      <c r="H92" s="5" t="s">
        <v>661</v>
      </c>
      <c r="I92" s="11" t="s">
        <v>190</v>
      </c>
      <c r="J92" s="11" t="s">
        <v>388</v>
      </c>
      <c r="K92" s="5" t="s">
        <v>351</v>
      </c>
      <c r="L92" s="6"/>
      <c r="M92" s="5"/>
      <c r="N92" s="11"/>
      <c r="O92" s="7"/>
      <c r="P92" s="7"/>
      <c r="Q92" s="7"/>
      <c r="R92" s="11"/>
      <c r="S92" s="7"/>
      <c r="T92" s="5"/>
    </row>
    <row r="93" spans="1:20" x14ac:dyDescent="0.25">
      <c r="A93" s="5" t="s">
        <v>71</v>
      </c>
      <c r="B93" s="5" t="s">
        <v>660</v>
      </c>
      <c r="C93" s="14">
        <v>43769</v>
      </c>
      <c r="D93" s="5" t="s">
        <v>586</v>
      </c>
      <c r="E93" s="5">
        <v>112</v>
      </c>
      <c r="F93" s="7">
        <v>1151400</v>
      </c>
      <c r="G93" s="7">
        <f t="shared" ref="G93:G107" si="4">F93/E93</f>
        <v>10280.357142857143</v>
      </c>
      <c r="H93" s="11" t="s">
        <v>587</v>
      </c>
      <c r="I93" s="11" t="s">
        <v>588</v>
      </c>
      <c r="J93" s="11" t="s">
        <v>166</v>
      </c>
      <c r="K93" s="5" t="s">
        <v>589</v>
      </c>
      <c r="L93" s="6"/>
      <c r="M93" s="5"/>
      <c r="N93" s="11"/>
      <c r="O93" s="7"/>
      <c r="P93" s="7"/>
      <c r="Q93" s="7"/>
      <c r="R93" s="11"/>
      <c r="S93" s="7"/>
      <c r="T93" s="5" t="s">
        <v>664</v>
      </c>
    </row>
    <row r="94" spans="1:20" x14ac:dyDescent="0.25">
      <c r="A94" s="5" t="s">
        <v>272</v>
      </c>
      <c r="B94" s="5" t="s">
        <v>580</v>
      </c>
      <c r="C94" s="14">
        <v>43767</v>
      </c>
      <c r="D94" s="5" t="s">
        <v>230</v>
      </c>
      <c r="E94" s="5">
        <v>142</v>
      </c>
      <c r="F94" s="7">
        <v>2734000</v>
      </c>
      <c r="G94" s="7">
        <f t="shared" si="4"/>
        <v>19253.521126760563</v>
      </c>
      <c r="H94" s="11" t="s">
        <v>232</v>
      </c>
      <c r="I94" s="11" t="s">
        <v>637</v>
      </c>
      <c r="J94" s="11" t="s">
        <v>388</v>
      </c>
      <c r="K94" s="5" t="s">
        <v>263</v>
      </c>
      <c r="L94" s="6"/>
      <c r="M94" s="5"/>
      <c r="N94" s="11"/>
      <c r="O94" s="7"/>
      <c r="P94" s="7"/>
      <c r="Q94" s="7"/>
      <c r="R94" s="11"/>
      <c r="S94" s="7"/>
      <c r="T94" s="5"/>
    </row>
    <row r="95" spans="1:20" x14ac:dyDescent="0.25">
      <c r="A95" s="5" t="s">
        <v>71</v>
      </c>
      <c r="B95" s="5" t="s">
        <v>592</v>
      </c>
      <c r="C95" s="14">
        <v>43768</v>
      </c>
      <c r="D95" s="5" t="s">
        <v>4</v>
      </c>
      <c r="E95" s="5">
        <v>150</v>
      </c>
      <c r="F95" s="7">
        <v>1466000</v>
      </c>
      <c r="G95" s="7">
        <f t="shared" si="4"/>
        <v>9773.3333333333339</v>
      </c>
      <c r="H95" s="11" t="s">
        <v>594</v>
      </c>
      <c r="I95" s="11" t="s">
        <v>445</v>
      </c>
      <c r="J95" s="11" t="s">
        <v>595</v>
      </c>
      <c r="K95" s="5" t="s">
        <v>596</v>
      </c>
      <c r="L95" s="6"/>
      <c r="M95" s="5"/>
      <c r="N95" s="11" t="s">
        <v>593</v>
      </c>
      <c r="O95" s="7">
        <v>1115000</v>
      </c>
      <c r="P95" s="7" t="s">
        <v>475</v>
      </c>
      <c r="Q95" s="7">
        <v>1115000</v>
      </c>
      <c r="R95" s="11" t="s">
        <v>511</v>
      </c>
      <c r="S95" s="7">
        <v>1420000</v>
      </c>
      <c r="T95" s="5" t="s">
        <v>597</v>
      </c>
    </row>
    <row r="96" spans="1:20" x14ac:dyDescent="0.25">
      <c r="A96" s="5" t="s">
        <v>272</v>
      </c>
      <c r="B96" s="5" t="s">
        <v>607</v>
      </c>
      <c r="C96" s="14">
        <v>43774</v>
      </c>
      <c r="D96" s="5" t="s">
        <v>5</v>
      </c>
      <c r="E96" s="5">
        <v>68</v>
      </c>
      <c r="F96" s="7">
        <v>1199500</v>
      </c>
      <c r="G96" s="7">
        <f t="shared" si="4"/>
        <v>17639.705882352941</v>
      </c>
      <c r="H96" s="11" t="s">
        <v>641</v>
      </c>
      <c r="I96" s="11" t="s">
        <v>48</v>
      </c>
      <c r="J96" s="11" t="s">
        <v>388</v>
      </c>
      <c r="K96" s="5" t="s">
        <v>240</v>
      </c>
      <c r="L96" s="6"/>
      <c r="M96" s="5"/>
      <c r="N96" s="11"/>
      <c r="O96" s="7"/>
      <c r="P96" s="7"/>
      <c r="Q96" s="7"/>
      <c r="R96" s="11"/>
      <c r="S96" s="7"/>
      <c r="T96" s="5" t="s">
        <v>609</v>
      </c>
    </row>
    <row r="97" spans="1:20" x14ac:dyDescent="0.25">
      <c r="A97" s="5" t="s">
        <v>272</v>
      </c>
      <c r="B97" s="5" t="s">
        <v>647</v>
      </c>
      <c r="C97" s="14">
        <v>44148</v>
      </c>
      <c r="D97" s="5" t="s">
        <v>5</v>
      </c>
      <c r="E97" s="5">
        <v>186</v>
      </c>
      <c r="F97" s="7">
        <v>5529000</v>
      </c>
      <c r="G97" s="7">
        <f t="shared" si="4"/>
        <v>29725.806451612902</v>
      </c>
      <c r="H97" s="11" t="s">
        <v>648</v>
      </c>
      <c r="I97" s="11" t="s">
        <v>649</v>
      </c>
      <c r="J97" s="11" t="s">
        <v>388</v>
      </c>
      <c r="K97" s="5" t="s">
        <v>351</v>
      </c>
      <c r="L97" s="6"/>
      <c r="M97" s="5"/>
      <c r="N97" s="11"/>
      <c r="O97" s="7"/>
      <c r="P97" s="7"/>
      <c r="Q97" s="7"/>
      <c r="R97" s="11"/>
      <c r="S97" s="7"/>
      <c r="T97" s="5"/>
    </row>
    <row r="98" spans="1:20" x14ac:dyDescent="0.25">
      <c r="A98" s="5" t="s">
        <v>71</v>
      </c>
      <c r="B98" s="5" t="s">
        <v>655</v>
      </c>
      <c r="C98" s="14">
        <v>43789</v>
      </c>
      <c r="D98" s="5" t="s">
        <v>4</v>
      </c>
      <c r="E98" s="5">
        <v>183</v>
      </c>
      <c r="F98" s="7">
        <v>3596000</v>
      </c>
      <c r="G98" s="7">
        <f t="shared" si="4"/>
        <v>19650.273224043714</v>
      </c>
      <c r="H98" s="11" t="s">
        <v>656</v>
      </c>
      <c r="I98" s="11" t="s">
        <v>275</v>
      </c>
      <c r="J98" s="11" t="s">
        <v>8</v>
      </c>
      <c r="K98" s="5" t="s">
        <v>657</v>
      </c>
      <c r="L98" s="6"/>
      <c r="M98" s="5"/>
      <c r="N98" s="11"/>
      <c r="O98" s="7"/>
      <c r="P98" s="7"/>
      <c r="Q98" s="7"/>
      <c r="R98" s="11"/>
      <c r="S98" s="7"/>
      <c r="T98" s="5"/>
    </row>
    <row r="99" spans="1:20" s="29" customFormat="1" x14ac:dyDescent="0.25">
      <c r="A99" s="25" t="s">
        <v>71</v>
      </c>
      <c r="B99" s="25" t="s">
        <v>590</v>
      </c>
      <c r="C99" s="26">
        <v>43789</v>
      </c>
      <c r="D99" s="25" t="s">
        <v>230</v>
      </c>
      <c r="E99" s="25">
        <v>102</v>
      </c>
      <c r="F99" s="27">
        <v>1734000</v>
      </c>
      <c r="G99" s="27">
        <f t="shared" si="4"/>
        <v>17000</v>
      </c>
      <c r="H99" s="28" t="s">
        <v>541</v>
      </c>
      <c r="I99" s="28" t="s">
        <v>637</v>
      </c>
      <c r="J99" s="28" t="s">
        <v>388</v>
      </c>
      <c r="K99" s="25" t="s">
        <v>202</v>
      </c>
      <c r="L99" s="25"/>
      <c r="M99" s="25"/>
      <c r="N99" s="28"/>
      <c r="O99" s="27"/>
      <c r="P99" s="27"/>
      <c r="Q99" s="27"/>
      <c r="R99" s="28"/>
      <c r="S99" s="27"/>
      <c r="T99" s="25"/>
    </row>
    <row r="100" spans="1:20" x14ac:dyDescent="0.25">
      <c r="A100" s="5" t="s">
        <v>272</v>
      </c>
      <c r="B100" s="5" t="s">
        <v>605</v>
      </c>
      <c r="C100" s="14">
        <v>43791</v>
      </c>
      <c r="D100" s="5" t="s">
        <v>5</v>
      </c>
      <c r="E100" s="5">
        <v>98</v>
      </c>
      <c r="F100" s="7">
        <v>1599000</v>
      </c>
      <c r="G100" s="7">
        <f t="shared" si="4"/>
        <v>16316.326530612245</v>
      </c>
      <c r="H100" s="11" t="s">
        <v>653</v>
      </c>
      <c r="I100" s="11" t="s">
        <v>654</v>
      </c>
      <c r="J100" s="11" t="s">
        <v>652</v>
      </c>
      <c r="K100" s="5" t="s">
        <v>373</v>
      </c>
      <c r="L100" s="6"/>
      <c r="M100" s="5"/>
      <c r="N100" s="11"/>
      <c r="O100" s="7"/>
      <c r="P100" s="7"/>
      <c r="Q100" s="7"/>
      <c r="R100" s="11"/>
      <c r="S100" s="7"/>
      <c r="T100" s="5"/>
    </row>
    <row r="101" spans="1:20" x14ac:dyDescent="0.25">
      <c r="A101" s="5" t="s">
        <v>71</v>
      </c>
      <c r="B101" s="5" t="s">
        <v>606</v>
      </c>
      <c r="C101" s="14">
        <v>43804</v>
      </c>
      <c r="D101" s="5" t="s">
        <v>5</v>
      </c>
      <c r="E101" s="5">
        <v>131</v>
      </c>
      <c r="F101" s="7">
        <v>2118000</v>
      </c>
      <c r="G101" s="7">
        <f t="shared" si="4"/>
        <v>16167.938931297709</v>
      </c>
      <c r="H101" s="11" t="s">
        <v>643</v>
      </c>
      <c r="I101" s="11" t="s">
        <v>642</v>
      </c>
      <c r="J101" s="11"/>
      <c r="K101" s="5" t="s">
        <v>644</v>
      </c>
      <c r="L101" s="6"/>
      <c r="M101" s="5"/>
      <c r="N101" s="11"/>
      <c r="O101" s="7"/>
      <c r="P101" s="7"/>
      <c r="Q101" s="7"/>
      <c r="R101" s="11"/>
      <c r="S101" s="7"/>
      <c r="T101" s="5" t="s">
        <v>608</v>
      </c>
    </row>
    <row r="102" spans="1:20" x14ac:dyDescent="0.25">
      <c r="A102" s="5" t="s">
        <v>272</v>
      </c>
      <c r="B102" s="5" t="s">
        <v>638</v>
      </c>
      <c r="C102" s="14">
        <v>43804</v>
      </c>
      <c r="D102" s="5" t="s">
        <v>230</v>
      </c>
      <c r="E102" s="5">
        <v>144</v>
      </c>
      <c r="F102" s="7">
        <v>2295000</v>
      </c>
      <c r="G102" s="7">
        <f t="shared" si="4"/>
        <v>15937.5</v>
      </c>
      <c r="H102" s="11" t="s">
        <v>193</v>
      </c>
      <c r="I102" s="11" t="s">
        <v>333</v>
      </c>
      <c r="J102" s="11" t="s">
        <v>388</v>
      </c>
      <c r="K102" s="5" t="s">
        <v>168</v>
      </c>
      <c r="L102" s="6"/>
      <c r="M102" s="5"/>
      <c r="N102" s="11"/>
      <c r="O102" s="7"/>
      <c r="P102" s="7"/>
      <c r="Q102" s="7"/>
      <c r="R102" s="11"/>
      <c r="S102" s="7"/>
      <c r="T102" s="5"/>
    </row>
    <row r="103" spans="1:20" s="29" customFormat="1" x14ac:dyDescent="0.25">
      <c r="A103" s="25" t="s">
        <v>71</v>
      </c>
      <c r="B103" s="25" t="s">
        <v>598</v>
      </c>
      <c r="C103" s="26">
        <v>43810</v>
      </c>
      <c r="D103" s="25" t="s">
        <v>599</v>
      </c>
      <c r="E103" s="25">
        <v>186</v>
      </c>
      <c r="F103" s="27">
        <v>2952000</v>
      </c>
      <c r="G103" s="27">
        <f t="shared" si="4"/>
        <v>15870.967741935483</v>
      </c>
      <c r="H103" s="28" t="s">
        <v>600</v>
      </c>
      <c r="I103" s="28" t="s">
        <v>601</v>
      </c>
      <c r="J103" s="28" t="s">
        <v>388</v>
      </c>
      <c r="K103" s="25" t="s">
        <v>602</v>
      </c>
      <c r="L103" s="25" t="s">
        <v>603</v>
      </c>
      <c r="M103" s="25"/>
      <c r="N103" s="28"/>
      <c r="O103" s="27"/>
      <c r="P103" s="27"/>
      <c r="Q103" s="27"/>
      <c r="R103" s="28"/>
      <c r="S103" s="27"/>
      <c r="T103" s="25" t="s">
        <v>604</v>
      </c>
    </row>
    <row r="104" spans="1:20" s="29" customFormat="1" x14ac:dyDescent="0.25">
      <c r="A104" s="25" t="s">
        <v>71</v>
      </c>
      <c r="B104" s="25" t="s">
        <v>659</v>
      </c>
      <c r="C104" s="26">
        <v>43816</v>
      </c>
      <c r="D104" s="25" t="s">
        <v>626</v>
      </c>
      <c r="E104" s="25">
        <v>85</v>
      </c>
      <c r="F104" s="27">
        <v>1348500</v>
      </c>
      <c r="G104" s="27">
        <f t="shared" si="4"/>
        <v>15864.705882352941</v>
      </c>
      <c r="H104" s="28" t="s">
        <v>626</v>
      </c>
      <c r="I104" s="28" t="s">
        <v>25</v>
      </c>
      <c r="J104" s="28" t="s">
        <v>8</v>
      </c>
      <c r="K104" s="25" t="s">
        <v>168</v>
      </c>
      <c r="L104" s="25"/>
      <c r="M104" s="25"/>
      <c r="N104" s="28"/>
      <c r="O104" s="27"/>
      <c r="P104" s="27"/>
      <c r="Q104" s="27"/>
      <c r="R104" s="28"/>
      <c r="S104" s="27"/>
      <c r="T104" s="25"/>
    </row>
    <row r="105" spans="1:20" x14ac:dyDescent="0.25">
      <c r="A105" s="5" t="s">
        <v>272</v>
      </c>
      <c r="B105" s="5" t="s">
        <v>634</v>
      </c>
      <c r="C105" s="14">
        <v>43822</v>
      </c>
      <c r="D105" s="5" t="s">
        <v>506</v>
      </c>
      <c r="E105" s="5">
        <v>169</v>
      </c>
      <c r="F105" s="7">
        <v>2395000</v>
      </c>
      <c r="G105" s="7">
        <f t="shared" si="4"/>
        <v>14171.597633136094</v>
      </c>
      <c r="H105" s="11" t="s">
        <v>444</v>
      </c>
      <c r="I105" s="11" t="s">
        <v>239</v>
      </c>
      <c r="J105" s="11" t="s">
        <v>388</v>
      </c>
      <c r="K105" s="5" t="s">
        <v>168</v>
      </c>
      <c r="L105" s="6"/>
      <c r="M105" s="5"/>
      <c r="N105" s="11"/>
      <c r="O105" s="7"/>
      <c r="P105" s="7"/>
      <c r="Q105" s="7"/>
      <c r="R105" s="11"/>
      <c r="S105" s="7"/>
      <c r="T105" s="5"/>
    </row>
    <row r="106" spans="1:20" x14ac:dyDescent="0.25">
      <c r="A106" s="5" t="s">
        <v>272</v>
      </c>
      <c r="B106" s="5" t="s">
        <v>636</v>
      </c>
      <c r="C106" s="14">
        <v>43832</v>
      </c>
      <c r="D106" s="5" t="s">
        <v>5</v>
      </c>
      <c r="E106" s="5">
        <v>106</v>
      </c>
      <c r="F106" s="7">
        <v>1710000</v>
      </c>
      <c r="G106" s="7">
        <f t="shared" si="4"/>
        <v>16132.075471698114</v>
      </c>
      <c r="H106" s="11" t="s">
        <v>650</v>
      </c>
      <c r="I106" s="11" t="s">
        <v>651</v>
      </c>
      <c r="J106" s="11" t="s">
        <v>388</v>
      </c>
      <c r="K106" s="5" t="s">
        <v>397</v>
      </c>
      <c r="L106" s="6"/>
      <c r="M106" s="5"/>
      <c r="N106" s="11"/>
      <c r="O106" s="7"/>
      <c r="P106" s="7"/>
      <c r="Q106" s="7"/>
      <c r="R106" s="11"/>
      <c r="S106" s="7"/>
      <c r="T106" s="5"/>
    </row>
    <row r="107" spans="1:20" x14ac:dyDescent="0.25">
      <c r="A107" s="5" t="s">
        <v>272</v>
      </c>
      <c r="B107" s="5" t="s">
        <v>645</v>
      </c>
      <c r="C107" s="14">
        <v>43840</v>
      </c>
      <c r="D107" s="5" t="s">
        <v>5</v>
      </c>
      <c r="E107" s="5">
        <v>615</v>
      </c>
      <c r="F107" s="7">
        <v>10885500</v>
      </c>
      <c r="G107" s="7">
        <f t="shared" si="4"/>
        <v>17700</v>
      </c>
      <c r="H107" s="11" t="s">
        <v>82</v>
      </c>
      <c r="I107" s="11" t="s">
        <v>646</v>
      </c>
      <c r="J107" s="11" t="s">
        <v>388</v>
      </c>
      <c r="K107" s="5" t="s">
        <v>223</v>
      </c>
      <c r="L107" s="6"/>
      <c r="M107" s="5"/>
      <c r="N107" s="11"/>
      <c r="O107" s="7"/>
      <c r="P107" s="7"/>
      <c r="Q107" s="7"/>
      <c r="R107" s="11"/>
      <c r="S107" s="7"/>
      <c r="T107" s="5"/>
    </row>
    <row r="108" spans="1:20" x14ac:dyDescent="0.25">
      <c r="A108" s="5" t="s">
        <v>272</v>
      </c>
      <c r="B108" s="5" t="s">
        <v>635</v>
      </c>
      <c r="C108" s="14">
        <v>43852</v>
      </c>
      <c r="D108" s="5" t="s">
        <v>230</v>
      </c>
      <c r="E108" s="5">
        <v>215</v>
      </c>
      <c r="F108" s="7">
        <f>3569000-299500</f>
        <v>3269500</v>
      </c>
      <c r="G108" s="7">
        <f t="shared" ref="G108:G129" si="5">F108/E108</f>
        <v>15206.976744186046</v>
      </c>
      <c r="H108" s="11" t="s">
        <v>639</v>
      </c>
      <c r="I108" s="11" t="s">
        <v>640</v>
      </c>
      <c r="J108" s="11" t="s">
        <v>388</v>
      </c>
      <c r="K108" s="5" t="s">
        <v>422</v>
      </c>
      <c r="L108" s="6"/>
      <c r="M108" s="5"/>
      <c r="N108" s="11"/>
      <c r="O108" s="7"/>
      <c r="P108" s="7"/>
      <c r="Q108" s="7"/>
      <c r="R108" s="11"/>
      <c r="S108" s="7"/>
      <c r="T108" s="5"/>
    </row>
    <row r="109" spans="1:20" s="29" customFormat="1" x14ac:dyDescent="0.25">
      <c r="A109" s="25" t="s">
        <v>71</v>
      </c>
      <c r="B109" s="25" t="s">
        <v>658</v>
      </c>
      <c r="C109" s="26">
        <v>43854</v>
      </c>
      <c r="D109" s="25" t="s">
        <v>369</v>
      </c>
      <c r="E109" s="25">
        <v>192</v>
      </c>
      <c r="F109" s="27">
        <v>2418700</v>
      </c>
      <c r="G109" s="27">
        <f t="shared" si="5"/>
        <v>12597.395833333334</v>
      </c>
      <c r="H109" s="28" t="s">
        <v>369</v>
      </c>
      <c r="I109" s="28" t="s">
        <v>48</v>
      </c>
      <c r="J109" s="28" t="s">
        <v>388</v>
      </c>
      <c r="K109" s="25" t="s">
        <v>571</v>
      </c>
      <c r="L109" s="25"/>
      <c r="M109" s="25"/>
      <c r="N109" s="28"/>
      <c r="O109" s="27"/>
      <c r="P109" s="27"/>
      <c r="Q109" s="27"/>
      <c r="R109" s="28"/>
      <c r="S109" s="27"/>
      <c r="T109" s="25"/>
    </row>
    <row r="110" spans="1:20" x14ac:dyDescent="0.25">
      <c r="A110" s="5" t="s">
        <v>71</v>
      </c>
      <c r="B110" s="5" t="s">
        <v>688</v>
      </c>
      <c r="C110" s="14">
        <v>43880</v>
      </c>
      <c r="D110" s="5" t="s">
        <v>689</v>
      </c>
      <c r="E110" s="5">
        <v>171</v>
      </c>
      <c r="F110" s="7">
        <v>3084000</v>
      </c>
      <c r="G110" s="7">
        <f t="shared" si="5"/>
        <v>18035.087719298244</v>
      </c>
      <c r="H110" s="11" t="s">
        <v>689</v>
      </c>
      <c r="I110" s="11" t="s">
        <v>198</v>
      </c>
      <c r="J110" s="11" t="s">
        <v>690</v>
      </c>
      <c r="K110" s="5" t="s">
        <v>691</v>
      </c>
      <c r="L110" s="6"/>
      <c r="M110" s="5"/>
      <c r="N110" s="11" t="s">
        <v>697</v>
      </c>
      <c r="O110" s="7"/>
      <c r="P110" s="7"/>
      <c r="Q110" s="7"/>
      <c r="R110" s="11"/>
      <c r="S110" s="7"/>
      <c r="T110" s="5"/>
    </row>
    <row r="111" spans="1:20" x14ac:dyDescent="0.25">
      <c r="A111" s="5" t="s">
        <v>71</v>
      </c>
      <c r="B111" s="5" t="s">
        <v>395</v>
      </c>
      <c r="C111" s="14">
        <v>43882</v>
      </c>
      <c r="D111" s="5" t="s">
        <v>5</v>
      </c>
      <c r="E111" s="5">
        <v>67</v>
      </c>
      <c r="F111" s="7">
        <v>1190000</v>
      </c>
      <c r="G111" s="7">
        <f t="shared" si="5"/>
        <v>17761.194029850747</v>
      </c>
      <c r="H111" s="11" t="s">
        <v>396</v>
      </c>
      <c r="I111" s="11" t="s">
        <v>190</v>
      </c>
      <c r="J111" s="11" t="s">
        <v>692</v>
      </c>
      <c r="K111" s="5" t="s">
        <v>397</v>
      </c>
      <c r="L111" s="6"/>
      <c r="M111" s="5"/>
      <c r="N111" s="11"/>
      <c r="O111" s="7"/>
      <c r="P111" s="7"/>
      <c r="Q111" s="7"/>
      <c r="R111" s="11"/>
      <c r="S111" s="7"/>
      <c r="T111" s="5"/>
    </row>
    <row r="112" spans="1:20" x14ac:dyDescent="0.25">
      <c r="A112" s="5" t="s">
        <v>272</v>
      </c>
      <c r="B112" s="5" t="s">
        <v>693</v>
      </c>
      <c r="C112" s="14">
        <v>43889</v>
      </c>
      <c r="D112" s="5" t="s">
        <v>230</v>
      </c>
      <c r="E112" s="5">
        <v>109</v>
      </c>
      <c r="F112" s="7">
        <v>2119000</v>
      </c>
      <c r="G112" s="7">
        <f t="shared" si="5"/>
        <v>19440.366972477063</v>
      </c>
      <c r="H112" s="11" t="s">
        <v>694</v>
      </c>
      <c r="I112" s="11" t="s">
        <v>437</v>
      </c>
      <c r="J112" s="11" t="s">
        <v>388</v>
      </c>
      <c r="K112" s="5" t="s">
        <v>695</v>
      </c>
      <c r="L112" s="6"/>
      <c r="M112" s="5"/>
      <c r="N112" s="11" t="s">
        <v>699</v>
      </c>
      <c r="O112" s="7"/>
      <c r="P112" s="7"/>
      <c r="Q112" s="7"/>
      <c r="R112" s="11"/>
      <c r="S112" s="7"/>
      <c r="T112" s="5"/>
    </row>
    <row r="113" spans="1:20" x14ac:dyDescent="0.25">
      <c r="A113" s="5" t="s">
        <v>71</v>
      </c>
      <c r="B113" s="5" t="s">
        <v>698</v>
      </c>
      <c r="C113" s="14">
        <v>43901</v>
      </c>
      <c r="D113" s="5" t="s">
        <v>369</v>
      </c>
      <c r="E113" s="5">
        <v>235</v>
      </c>
      <c r="F113" s="7">
        <v>3192400</v>
      </c>
      <c r="G113" s="7">
        <f t="shared" si="5"/>
        <v>13584.680851063829</v>
      </c>
      <c r="H113" s="11" t="s">
        <v>369</v>
      </c>
      <c r="I113" s="11" t="s">
        <v>345</v>
      </c>
      <c r="J113" s="11" t="s">
        <v>388</v>
      </c>
      <c r="K113" s="5" t="s">
        <v>696</v>
      </c>
      <c r="L113" s="6"/>
      <c r="M113" s="5"/>
      <c r="N113" s="11"/>
      <c r="O113" s="7"/>
      <c r="P113" s="7"/>
      <c r="Q113" s="7"/>
      <c r="R113" s="11"/>
      <c r="S113" s="7"/>
      <c r="T113" s="5"/>
    </row>
    <row r="114" spans="1:20" x14ac:dyDescent="0.25">
      <c r="A114" s="5" t="s">
        <v>272</v>
      </c>
      <c r="B114" s="5" t="s">
        <v>700</v>
      </c>
      <c r="C114" s="14">
        <v>43913</v>
      </c>
      <c r="D114" s="5" t="s">
        <v>4</v>
      </c>
      <c r="E114" s="5">
        <v>323</v>
      </c>
      <c r="F114" s="7">
        <v>6215000</v>
      </c>
      <c r="G114" s="7">
        <f t="shared" si="5"/>
        <v>19241.486068111455</v>
      </c>
      <c r="H114" s="11" t="s">
        <v>274</v>
      </c>
      <c r="I114" s="11" t="s">
        <v>7</v>
      </c>
      <c r="J114" s="11" t="s">
        <v>357</v>
      </c>
      <c r="K114" s="5" t="s">
        <v>381</v>
      </c>
      <c r="L114" s="6" t="s">
        <v>718</v>
      </c>
      <c r="M114" s="5"/>
      <c r="N114" s="11"/>
      <c r="O114" s="7"/>
      <c r="P114" s="7"/>
      <c r="Q114" s="7"/>
      <c r="R114" s="11"/>
      <c r="S114" s="7"/>
      <c r="T114" s="5"/>
    </row>
    <row r="115" spans="1:20" x14ac:dyDescent="0.25">
      <c r="A115" s="5" t="s">
        <v>71</v>
      </c>
      <c r="B115" s="5" t="s">
        <v>705</v>
      </c>
      <c r="C115" s="14">
        <v>43920</v>
      </c>
      <c r="D115" s="5" t="s">
        <v>209</v>
      </c>
      <c r="E115" s="5">
        <v>172</v>
      </c>
      <c r="F115" s="7">
        <v>3298000</v>
      </c>
      <c r="G115" s="7">
        <f t="shared" si="5"/>
        <v>19174.418604651164</v>
      </c>
      <c r="H115" s="11" t="s">
        <v>209</v>
      </c>
      <c r="I115" s="11" t="s">
        <v>221</v>
      </c>
      <c r="J115" s="11" t="s">
        <v>199</v>
      </c>
      <c r="K115" s="5" t="s">
        <v>531</v>
      </c>
      <c r="L115" s="6"/>
      <c r="M115" s="5"/>
      <c r="N115" s="11"/>
      <c r="O115" s="7"/>
      <c r="P115" s="7"/>
      <c r="Q115" s="7"/>
      <c r="R115" s="11"/>
      <c r="S115" s="7"/>
      <c r="T115" s="5"/>
    </row>
    <row r="116" spans="1:20" s="29" customFormat="1" x14ac:dyDescent="0.25">
      <c r="A116" s="25" t="s">
        <v>71</v>
      </c>
      <c r="B116" s="25" t="s">
        <v>590</v>
      </c>
      <c r="C116" s="26">
        <v>43920</v>
      </c>
      <c r="D116" s="25" t="s">
        <v>5</v>
      </c>
      <c r="E116" s="25">
        <v>102</v>
      </c>
      <c r="F116" s="27">
        <v>1739000</v>
      </c>
      <c r="G116" s="27">
        <f t="shared" si="5"/>
        <v>17049.019607843136</v>
      </c>
      <c r="H116" s="28" t="s">
        <v>541</v>
      </c>
      <c r="I116" s="28" t="s">
        <v>637</v>
      </c>
      <c r="J116" s="28" t="s">
        <v>388</v>
      </c>
      <c r="K116" s="25" t="s">
        <v>202</v>
      </c>
      <c r="L116" s="25"/>
      <c r="M116" s="25"/>
      <c r="N116" s="28"/>
      <c r="O116" s="27"/>
      <c r="P116" s="27"/>
      <c r="Q116" s="27"/>
      <c r="R116" s="28"/>
      <c r="S116" s="27"/>
      <c r="T116" s="25"/>
    </row>
    <row r="117" spans="1:20" x14ac:dyDescent="0.25">
      <c r="A117" s="5" t="s">
        <v>71</v>
      </c>
      <c r="B117" s="5" t="s">
        <v>635</v>
      </c>
      <c r="C117" s="14">
        <v>43927</v>
      </c>
      <c r="D117" s="5" t="s">
        <v>702</v>
      </c>
      <c r="E117" s="5">
        <v>215</v>
      </c>
      <c r="F117" s="7">
        <v>3269500</v>
      </c>
      <c r="G117" s="7">
        <f t="shared" si="5"/>
        <v>15206.976744186046</v>
      </c>
      <c r="H117" s="11" t="s">
        <v>639</v>
      </c>
      <c r="I117" s="11" t="s">
        <v>640</v>
      </c>
      <c r="J117" s="11" t="s">
        <v>706</v>
      </c>
      <c r="K117" s="5" t="s">
        <v>422</v>
      </c>
      <c r="L117" s="6" t="s">
        <v>710</v>
      </c>
      <c r="M117" s="5"/>
      <c r="N117" s="11"/>
      <c r="O117" s="7"/>
      <c r="P117" s="7"/>
      <c r="Q117" s="7"/>
      <c r="R117" s="11"/>
      <c r="S117" s="7"/>
      <c r="T117" s="5"/>
    </row>
    <row r="118" spans="1:20" x14ac:dyDescent="0.25">
      <c r="A118" s="5" t="s">
        <v>71</v>
      </c>
      <c r="B118" s="5" t="s">
        <v>703</v>
      </c>
      <c r="C118" s="14">
        <v>43931</v>
      </c>
      <c r="D118" s="5" t="s">
        <v>230</v>
      </c>
      <c r="E118" s="5">
        <v>167</v>
      </c>
      <c r="F118" s="7">
        <v>2789000</v>
      </c>
      <c r="G118" s="7">
        <f t="shared" si="5"/>
        <v>16700.598802395209</v>
      </c>
      <c r="H118" s="11" t="s">
        <v>232</v>
      </c>
      <c r="I118" s="11" t="s">
        <v>262</v>
      </c>
      <c r="J118" s="11" t="s">
        <v>234</v>
      </c>
      <c r="K118" s="5" t="s">
        <v>381</v>
      </c>
      <c r="L118" s="6"/>
      <c r="M118" s="5"/>
      <c r="N118" s="11"/>
      <c r="O118" s="7"/>
      <c r="P118" s="7"/>
      <c r="Q118" s="7"/>
      <c r="R118" s="11"/>
      <c r="S118" s="7"/>
      <c r="T118" s="5"/>
    </row>
    <row r="119" spans="1:20" x14ac:dyDescent="0.25">
      <c r="A119" s="5" t="s">
        <v>272</v>
      </c>
      <c r="B119" s="5" t="s">
        <v>407</v>
      </c>
      <c r="C119" s="14">
        <v>43964</v>
      </c>
      <c r="D119" s="5" t="s">
        <v>702</v>
      </c>
      <c r="E119" s="5">
        <v>168</v>
      </c>
      <c r="F119" s="7">
        <v>2753000</v>
      </c>
      <c r="G119" s="7">
        <f t="shared" si="5"/>
        <v>16386.904761904763</v>
      </c>
      <c r="H119" s="11" t="s">
        <v>639</v>
      </c>
      <c r="I119" s="11" t="s">
        <v>490</v>
      </c>
      <c r="J119" s="11" t="s">
        <v>166</v>
      </c>
      <c r="K119" s="5" t="s">
        <v>400</v>
      </c>
      <c r="L119" s="6"/>
      <c r="M119" s="5"/>
      <c r="N119" s="11"/>
      <c r="O119" s="7"/>
      <c r="P119" s="7"/>
      <c r="Q119" s="7"/>
      <c r="R119" s="11"/>
      <c r="S119" s="7"/>
      <c r="T119" s="5"/>
    </row>
    <row r="120" spans="1:20" x14ac:dyDescent="0.25">
      <c r="A120" s="5" t="s">
        <v>272</v>
      </c>
      <c r="B120" s="5" t="s">
        <v>711</v>
      </c>
      <c r="C120" s="14">
        <v>43966</v>
      </c>
      <c r="D120" s="5" t="s">
        <v>230</v>
      </c>
      <c r="E120" s="5">
        <f>186+228</f>
        <v>414</v>
      </c>
      <c r="F120" s="7">
        <v>8485000</v>
      </c>
      <c r="G120" s="7">
        <f t="shared" si="5"/>
        <v>20495.169082125605</v>
      </c>
      <c r="H120" s="11" t="s">
        <v>712</v>
      </c>
      <c r="I120" s="11" t="s">
        <v>206</v>
      </c>
      <c r="J120" s="11" t="s">
        <v>33</v>
      </c>
      <c r="K120" s="5" t="s">
        <v>696</v>
      </c>
      <c r="L120" s="6"/>
      <c r="M120" s="5"/>
      <c r="N120" s="11"/>
      <c r="O120" s="7"/>
      <c r="P120" s="7"/>
      <c r="Q120" s="7"/>
      <c r="R120" s="11"/>
      <c r="S120" s="7"/>
      <c r="T120" s="5"/>
    </row>
    <row r="121" spans="1:20" x14ac:dyDescent="0.25">
      <c r="A121" s="5" t="s">
        <v>272</v>
      </c>
      <c r="B121" s="5" t="s">
        <v>708</v>
      </c>
      <c r="C121" s="14">
        <v>43972</v>
      </c>
      <c r="D121" s="5" t="s">
        <v>713</v>
      </c>
      <c r="E121" s="5">
        <v>129</v>
      </c>
      <c r="F121" s="7">
        <v>2059000</v>
      </c>
      <c r="G121" s="7">
        <f t="shared" si="5"/>
        <v>15961.240310077519</v>
      </c>
      <c r="H121" s="11" t="s">
        <v>713</v>
      </c>
      <c r="I121" s="11" t="s">
        <v>7</v>
      </c>
      <c r="J121" s="11" t="s">
        <v>234</v>
      </c>
      <c r="K121" s="5" t="s">
        <v>240</v>
      </c>
      <c r="L121" s="6"/>
      <c r="M121" s="5"/>
      <c r="N121" s="11"/>
      <c r="O121" s="7"/>
      <c r="P121" s="7"/>
      <c r="Q121" s="7"/>
      <c r="R121" s="11"/>
      <c r="S121" s="7"/>
      <c r="T121" s="5"/>
    </row>
    <row r="122" spans="1:20" x14ac:dyDescent="0.25">
      <c r="A122" s="5" t="s">
        <v>71</v>
      </c>
      <c r="B122" s="5" t="s">
        <v>728</v>
      </c>
      <c r="C122" s="14">
        <v>43983</v>
      </c>
      <c r="D122" s="5" t="s">
        <v>4</v>
      </c>
      <c r="E122" s="5">
        <v>80</v>
      </c>
      <c r="F122" s="55">
        <v>1352800</v>
      </c>
      <c r="G122" s="55">
        <f t="shared" si="5"/>
        <v>16910</v>
      </c>
      <c r="H122" s="11" t="s">
        <v>730</v>
      </c>
      <c r="I122" s="11" t="s">
        <v>206</v>
      </c>
      <c r="J122" s="11" t="s">
        <v>166</v>
      </c>
      <c r="K122" s="5" t="s">
        <v>691</v>
      </c>
      <c r="L122" s="5"/>
      <c r="M122" s="5"/>
      <c r="N122" s="11"/>
      <c r="O122" s="55"/>
      <c r="P122" s="55"/>
      <c r="Q122" s="55"/>
      <c r="R122" s="11"/>
      <c r="S122" s="55"/>
      <c r="T122" s="5"/>
    </row>
    <row r="123" spans="1:20" x14ac:dyDescent="0.25">
      <c r="A123" s="5" t="s">
        <v>71</v>
      </c>
      <c r="B123" s="5" t="s">
        <v>729</v>
      </c>
      <c r="C123" s="14">
        <v>43983</v>
      </c>
      <c r="D123" s="5" t="s">
        <v>4</v>
      </c>
      <c r="E123" s="5">
        <v>51</v>
      </c>
      <c r="F123" s="55">
        <v>912400</v>
      </c>
      <c r="G123" s="55">
        <f t="shared" si="5"/>
        <v>17890.196078431374</v>
      </c>
      <c r="H123" s="11" t="s">
        <v>730</v>
      </c>
      <c r="I123" s="11" t="s">
        <v>206</v>
      </c>
      <c r="J123" s="11" t="s">
        <v>166</v>
      </c>
      <c r="K123" s="5" t="s">
        <v>691</v>
      </c>
      <c r="L123" s="5"/>
      <c r="M123" s="5"/>
      <c r="N123" s="11"/>
      <c r="O123" s="55"/>
      <c r="P123" s="55"/>
      <c r="Q123" s="55"/>
      <c r="R123" s="11"/>
      <c r="S123" s="55"/>
      <c r="T123" s="5"/>
    </row>
    <row r="124" spans="1:20" x14ac:dyDescent="0.25">
      <c r="A124" s="5" t="s">
        <v>71</v>
      </c>
      <c r="B124" s="5" t="s">
        <v>715</v>
      </c>
      <c r="C124" s="14">
        <v>43985</v>
      </c>
      <c r="D124" s="5" t="s">
        <v>716</v>
      </c>
      <c r="E124" s="5">
        <v>204</v>
      </c>
      <c r="F124" s="7">
        <v>2659000</v>
      </c>
      <c r="G124" s="7">
        <f t="shared" si="5"/>
        <v>13034.313725490196</v>
      </c>
      <c r="H124" s="11" t="s">
        <v>716</v>
      </c>
      <c r="I124" s="11" t="s">
        <v>48</v>
      </c>
      <c r="J124" s="11" t="s">
        <v>234</v>
      </c>
      <c r="K124" s="5" t="s">
        <v>717</v>
      </c>
      <c r="L124" s="6"/>
      <c r="M124" s="5"/>
      <c r="N124" s="11"/>
      <c r="O124" s="7"/>
      <c r="P124" s="7"/>
      <c r="Q124" s="7"/>
      <c r="R124" s="11"/>
      <c r="S124" s="7"/>
      <c r="T124" s="5"/>
    </row>
    <row r="125" spans="1:20" x14ac:dyDescent="0.25">
      <c r="A125" s="5" t="s">
        <v>71</v>
      </c>
      <c r="B125" s="5" t="s">
        <v>638</v>
      </c>
      <c r="C125" s="14">
        <v>44022</v>
      </c>
      <c r="D125" s="5" t="s">
        <v>4</v>
      </c>
      <c r="E125" s="5">
        <v>143</v>
      </c>
      <c r="F125" s="7">
        <v>3269000</v>
      </c>
      <c r="G125" s="7">
        <f t="shared" si="5"/>
        <v>22860.139860139861</v>
      </c>
      <c r="H125" s="11" t="s">
        <v>193</v>
      </c>
      <c r="I125" s="11" t="s">
        <v>333</v>
      </c>
      <c r="J125" s="11" t="s">
        <v>8</v>
      </c>
      <c r="K125" s="5" t="s">
        <v>168</v>
      </c>
      <c r="L125" s="6"/>
      <c r="M125" s="5"/>
      <c r="N125" s="11"/>
      <c r="O125" s="7"/>
      <c r="P125" s="7"/>
      <c r="Q125" s="7"/>
      <c r="R125" s="11"/>
      <c r="S125" s="7"/>
      <c r="T125" s="5" t="s">
        <v>790</v>
      </c>
    </row>
    <row r="126" spans="1:20" s="29" customFormat="1" x14ac:dyDescent="0.25">
      <c r="A126" s="25" t="s">
        <v>71</v>
      </c>
      <c r="B126" s="25" t="s">
        <v>722</v>
      </c>
      <c r="C126" s="26">
        <v>44022</v>
      </c>
      <c r="D126" s="25" t="s">
        <v>230</v>
      </c>
      <c r="E126" s="25">
        <v>215</v>
      </c>
      <c r="F126" s="27">
        <v>3359000</v>
      </c>
      <c r="G126" s="27">
        <f t="shared" si="5"/>
        <v>15623.255813953489</v>
      </c>
      <c r="H126" s="28" t="s">
        <v>723</v>
      </c>
      <c r="I126" s="28" t="s">
        <v>333</v>
      </c>
      <c r="J126" s="28" t="s">
        <v>724</v>
      </c>
      <c r="K126" s="25" t="s">
        <v>480</v>
      </c>
      <c r="L126" s="25" t="s">
        <v>725</v>
      </c>
      <c r="M126" s="25"/>
      <c r="N126" s="28"/>
      <c r="O126" s="27"/>
      <c r="P126" s="27"/>
      <c r="Q126" s="27"/>
      <c r="R126" s="28"/>
      <c r="S126" s="27"/>
      <c r="T126" s="25"/>
    </row>
    <row r="127" spans="1:20" x14ac:dyDescent="0.25">
      <c r="A127" s="5" t="s">
        <v>272</v>
      </c>
      <c r="B127" s="5" t="s">
        <v>721</v>
      </c>
      <c r="C127" s="14">
        <v>44036</v>
      </c>
      <c r="D127" s="5" t="s">
        <v>720</v>
      </c>
      <c r="E127" s="5">
        <v>295</v>
      </c>
      <c r="F127" s="7">
        <v>5174000</v>
      </c>
      <c r="G127" s="7">
        <f t="shared" si="5"/>
        <v>17538.983050847459</v>
      </c>
      <c r="H127" s="11" t="s">
        <v>444</v>
      </c>
      <c r="I127" s="11" t="s">
        <v>48</v>
      </c>
      <c r="J127" s="11" t="s">
        <v>166</v>
      </c>
      <c r="K127" s="5" t="s">
        <v>696</v>
      </c>
      <c r="L127" s="6"/>
      <c r="M127" s="5"/>
      <c r="N127" s="11"/>
      <c r="O127" s="7"/>
      <c r="P127" s="7"/>
      <c r="Q127" s="7"/>
      <c r="R127" s="11"/>
      <c r="S127" s="7"/>
      <c r="T127" s="5"/>
    </row>
    <row r="128" spans="1:20" x14ac:dyDescent="0.25">
      <c r="A128" s="5" t="s">
        <v>71</v>
      </c>
      <c r="B128" s="5" t="s">
        <v>580</v>
      </c>
      <c r="C128" s="14">
        <v>44036</v>
      </c>
      <c r="D128" s="5" t="s">
        <v>230</v>
      </c>
      <c r="E128" s="5">
        <v>140</v>
      </c>
      <c r="F128" s="7">
        <v>2659000</v>
      </c>
      <c r="G128" s="7">
        <f t="shared" si="5"/>
        <v>18992.857142857141</v>
      </c>
      <c r="H128" s="11" t="s">
        <v>232</v>
      </c>
      <c r="I128" s="11" t="s">
        <v>637</v>
      </c>
      <c r="J128" s="11" t="s">
        <v>234</v>
      </c>
      <c r="K128" s="5" t="s">
        <v>263</v>
      </c>
      <c r="L128" s="6"/>
      <c r="M128" s="5"/>
      <c r="N128" s="11"/>
      <c r="O128" s="7"/>
      <c r="P128" s="7"/>
      <c r="Q128" s="7"/>
      <c r="R128" s="11"/>
      <c r="S128" s="7"/>
      <c r="T128" s="5"/>
    </row>
    <row r="129" spans="1:20" s="29" customFormat="1" x14ac:dyDescent="0.25">
      <c r="A129" s="25" t="s">
        <v>71</v>
      </c>
      <c r="B129" s="25" t="s">
        <v>726</v>
      </c>
      <c r="C129" s="26">
        <v>44042</v>
      </c>
      <c r="D129" s="25" t="s">
        <v>527</v>
      </c>
      <c r="E129" s="25">
        <v>165</v>
      </c>
      <c r="F129" s="27">
        <v>2459000</v>
      </c>
      <c r="G129" s="27">
        <f t="shared" si="5"/>
        <v>14903.030303030304</v>
      </c>
      <c r="H129" s="28" t="s">
        <v>727</v>
      </c>
      <c r="I129" s="28" t="s">
        <v>490</v>
      </c>
      <c r="J129" s="28" t="s">
        <v>706</v>
      </c>
      <c r="K129" s="25" t="s">
        <v>531</v>
      </c>
      <c r="L129" s="25"/>
      <c r="M129" s="25"/>
      <c r="N129" s="28"/>
      <c r="O129" s="27"/>
      <c r="P129" s="27"/>
      <c r="Q129" s="27"/>
      <c r="R129" s="28"/>
      <c r="S129" s="27"/>
      <c r="T129" s="25"/>
    </row>
    <row r="130" spans="1:20" x14ac:dyDescent="0.25">
      <c r="A130" s="5" t="s">
        <v>71</v>
      </c>
      <c r="B130" s="5" t="s">
        <v>791</v>
      </c>
      <c r="C130" s="14">
        <v>44069</v>
      </c>
      <c r="D130" s="5" t="s">
        <v>209</v>
      </c>
      <c r="E130" s="5">
        <v>172</v>
      </c>
      <c r="F130" s="7">
        <v>3338000</v>
      </c>
      <c r="G130" s="7">
        <f>F130/E130</f>
        <v>19406.976744186046</v>
      </c>
      <c r="H130" s="11" t="s">
        <v>209</v>
      </c>
      <c r="I130" s="11" t="s">
        <v>221</v>
      </c>
      <c r="J130" s="11" t="s">
        <v>199</v>
      </c>
      <c r="K130" s="5" t="s">
        <v>531</v>
      </c>
      <c r="L130" s="6"/>
      <c r="M130" s="5"/>
      <c r="N130" s="11"/>
      <c r="O130" s="7"/>
      <c r="P130" s="7"/>
      <c r="Q130" s="7"/>
      <c r="R130" s="11"/>
      <c r="S130" s="7"/>
      <c r="T130" s="5"/>
    </row>
    <row r="131" spans="1:20" x14ac:dyDescent="0.25">
      <c r="A131" s="5" t="s">
        <v>272</v>
      </c>
      <c r="B131" s="5" t="s">
        <v>796</v>
      </c>
      <c r="C131" s="14">
        <v>44090</v>
      </c>
      <c r="D131" s="5" t="s">
        <v>266</v>
      </c>
      <c r="E131" s="5">
        <v>99</v>
      </c>
      <c r="F131" s="7">
        <v>1415700</v>
      </c>
      <c r="G131" s="7">
        <f>F131/E131</f>
        <v>14300</v>
      </c>
      <c r="H131" s="11" t="s">
        <v>257</v>
      </c>
      <c r="I131" s="11" t="s">
        <v>457</v>
      </c>
      <c r="J131" s="11" t="s">
        <v>35</v>
      </c>
      <c r="K131" s="5" t="s">
        <v>223</v>
      </c>
      <c r="L131" s="6"/>
      <c r="M131" s="5"/>
      <c r="N131" s="11"/>
      <c r="O131" s="7"/>
      <c r="P131" s="7"/>
      <c r="Q131" s="7"/>
      <c r="R131" s="11"/>
      <c r="S131" s="7"/>
      <c r="T131" s="5"/>
    </row>
    <row r="132" spans="1:20" x14ac:dyDescent="0.25">
      <c r="A132" s="5" t="s">
        <v>272</v>
      </c>
      <c r="B132" s="5" t="s">
        <v>793</v>
      </c>
      <c r="C132" s="14">
        <v>44091</v>
      </c>
      <c r="D132" s="5" t="s">
        <v>230</v>
      </c>
      <c r="E132" s="5">
        <v>384</v>
      </c>
      <c r="F132" s="7">
        <v>5081000</v>
      </c>
      <c r="G132" s="7">
        <f>F132/E132</f>
        <v>13231.770833333334</v>
      </c>
      <c r="H132" s="11" t="s">
        <v>794</v>
      </c>
      <c r="I132" s="11" t="s">
        <v>795</v>
      </c>
      <c r="J132" s="11" t="s">
        <v>595</v>
      </c>
      <c r="K132" s="5" t="s">
        <v>513</v>
      </c>
      <c r="L132" s="6"/>
      <c r="M132" s="5"/>
      <c r="N132" s="11"/>
      <c r="O132" s="7"/>
      <c r="P132" s="7"/>
      <c r="Q132" s="7"/>
      <c r="R132" s="11"/>
      <c r="S132" s="7"/>
      <c r="T132" s="5"/>
    </row>
    <row r="133" spans="1:20" x14ac:dyDescent="0.25">
      <c r="A133" s="5" t="s">
        <v>272</v>
      </c>
      <c r="B133" s="5" t="s">
        <v>808</v>
      </c>
      <c r="C133" s="14">
        <v>44097</v>
      </c>
      <c r="D133" s="5" t="s">
        <v>230</v>
      </c>
      <c r="E133" s="5">
        <v>210</v>
      </c>
      <c r="F133" s="7">
        <v>3499000</v>
      </c>
      <c r="G133" s="7">
        <f>F133/E133</f>
        <v>16661.904761904763</v>
      </c>
      <c r="H133" s="11" t="s">
        <v>810</v>
      </c>
      <c r="I133" s="11" t="s">
        <v>809</v>
      </c>
      <c r="J133" s="11" t="s">
        <v>234</v>
      </c>
      <c r="K133" s="5" t="s">
        <v>691</v>
      </c>
      <c r="L133" s="6"/>
      <c r="M133" s="5"/>
      <c r="N133" s="11"/>
      <c r="O133" s="7"/>
      <c r="P133" s="7"/>
      <c r="Q133" s="7"/>
      <c r="R133" s="11"/>
      <c r="S133" s="7"/>
      <c r="T133" s="5"/>
    </row>
    <row r="134" spans="1:20" s="29" customFormat="1" x14ac:dyDescent="0.25">
      <c r="A134" s="25" t="s">
        <v>71</v>
      </c>
      <c r="B134" s="25" t="s">
        <v>580</v>
      </c>
      <c r="C134" s="26">
        <v>44106</v>
      </c>
      <c r="D134" s="25" t="s">
        <v>230</v>
      </c>
      <c r="E134" s="25">
        <v>140</v>
      </c>
      <c r="F134" s="27">
        <v>2968000</v>
      </c>
      <c r="G134" s="27">
        <f>F134/E134</f>
        <v>21200</v>
      </c>
      <c r="H134" s="28" t="s">
        <v>232</v>
      </c>
      <c r="I134" s="28" t="s">
        <v>637</v>
      </c>
      <c r="J134" s="28" t="s">
        <v>234</v>
      </c>
      <c r="K134" s="25" t="s">
        <v>263</v>
      </c>
      <c r="L134" s="25"/>
      <c r="M134" s="25"/>
      <c r="N134" s="28"/>
      <c r="O134" s="27"/>
      <c r="P134" s="27"/>
      <c r="Q134" s="27"/>
      <c r="R134" s="28"/>
      <c r="S134" s="27"/>
      <c r="T134" s="25"/>
    </row>
    <row r="135" spans="1:20" s="29" customFormat="1" x14ac:dyDescent="0.25">
      <c r="A135" s="25" t="s">
        <v>71</v>
      </c>
      <c r="B135" s="25" t="s">
        <v>701</v>
      </c>
      <c r="C135" s="26">
        <v>44127</v>
      </c>
      <c r="D135" s="25" t="s">
        <v>230</v>
      </c>
      <c r="E135" s="25">
        <v>143</v>
      </c>
      <c r="F135" s="27">
        <v>2469000</v>
      </c>
      <c r="G135" s="27">
        <f t="shared" ref="G135:G149" si="6">F135/E135</f>
        <v>17265.734265734267</v>
      </c>
      <c r="H135" s="28" t="s">
        <v>677</v>
      </c>
      <c r="I135" s="28" t="s">
        <v>345</v>
      </c>
      <c r="J135" s="28" t="s">
        <v>234</v>
      </c>
      <c r="K135" s="25" t="s">
        <v>381</v>
      </c>
      <c r="L135" s="25"/>
      <c r="M135" s="25"/>
      <c r="N135" s="28"/>
      <c r="O135" s="27"/>
      <c r="P135" s="27"/>
      <c r="Q135" s="27"/>
      <c r="R135" s="28"/>
      <c r="S135" s="27"/>
      <c r="T135" s="25"/>
    </row>
    <row r="136" spans="1:20" x14ac:dyDescent="0.25">
      <c r="A136" s="5" t="s">
        <v>71</v>
      </c>
      <c r="B136" s="5" t="s">
        <v>605</v>
      </c>
      <c r="C136" s="14">
        <v>44132</v>
      </c>
      <c r="D136" s="5" t="s">
        <v>5</v>
      </c>
      <c r="E136" s="5">
        <v>98</v>
      </c>
      <c r="F136" s="7">
        <v>1747000</v>
      </c>
      <c r="G136" s="7">
        <f t="shared" si="6"/>
        <v>17826.530612244896</v>
      </c>
      <c r="H136" s="11" t="s">
        <v>653</v>
      </c>
      <c r="I136" s="11" t="s">
        <v>654</v>
      </c>
      <c r="J136" s="11" t="s">
        <v>797</v>
      </c>
      <c r="K136" s="5" t="s">
        <v>373</v>
      </c>
      <c r="L136" s="6" t="s">
        <v>798</v>
      </c>
      <c r="M136" s="5"/>
      <c r="N136" s="11"/>
      <c r="O136" s="7"/>
      <c r="P136" s="7"/>
      <c r="Q136" s="7"/>
      <c r="R136" s="11"/>
      <c r="S136" s="7"/>
      <c r="T136" s="5"/>
    </row>
    <row r="137" spans="1:20" x14ac:dyDescent="0.25">
      <c r="A137" s="5" t="s">
        <v>272</v>
      </c>
      <c r="B137" s="5" t="s">
        <v>805</v>
      </c>
      <c r="C137" s="14">
        <v>44134</v>
      </c>
      <c r="D137" s="5" t="s">
        <v>230</v>
      </c>
      <c r="E137" s="5">
        <f>245+146</f>
        <v>391</v>
      </c>
      <c r="F137" s="7">
        <f>4410000+3796000</f>
        <v>8206000</v>
      </c>
      <c r="G137" s="7">
        <f t="shared" si="6"/>
        <v>20987.212276214832</v>
      </c>
      <c r="H137" s="11" t="s">
        <v>806</v>
      </c>
      <c r="I137" s="11" t="s">
        <v>807</v>
      </c>
      <c r="J137" s="11" t="s">
        <v>84</v>
      </c>
      <c r="K137" s="5" t="s">
        <v>422</v>
      </c>
      <c r="L137" s="6"/>
      <c r="M137" s="5"/>
      <c r="N137" s="11"/>
      <c r="O137" s="7"/>
      <c r="P137" s="7"/>
      <c r="Q137" s="7"/>
      <c r="R137" s="11"/>
      <c r="S137" s="7"/>
      <c r="T137" s="5"/>
    </row>
    <row r="138" spans="1:20" x14ac:dyDescent="0.25">
      <c r="A138" s="5" t="s">
        <v>272</v>
      </c>
      <c r="B138" s="5" t="s">
        <v>799</v>
      </c>
      <c r="C138" s="14">
        <v>44140</v>
      </c>
      <c r="D138" s="5" t="s">
        <v>230</v>
      </c>
      <c r="E138" s="5">
        <v>311</v>
      </c>
      <c r="F138" s="7">
        <v>5441000</v>
      </c>
      <c r="G138" s="7">
        <f t="shared" si="6"/>
        <v>17495.176848874598</v>
      </c>
      <c r="H138" s="11" t="s">
        <v>82</v>
      </c>
      <c r="I138" s="11" t="s">
        <v>800</v>
      </c>
      <c r="J138" s="11" t="s">
        <v>234</v>
      </c>
      <c r="K138" s="5" t="s">
        <v>223</v>
      </c>
      <c r="L138" s="6" t="s">
        <v>801</v>
      </c>
      <c r="M138" s="5"/>
      <c r="N138" s="11"/>
      <c r="O138" s="7"/>
      <c r="P138" s="7"/>
      <c r="Q138" s="7"/>
      <c r="R138" s="11"/>
      <c r="S138" s="7"/>
      <c r="T138" s="5"/>
    </row>
    <row r="139" spans="1:20" x14ac:dyDescent="0.25">
      <c r="A139" s="5" t="s">
        <v>71</v>
      </c>
      <c r="B139" s="5" t="s">
        <v>802</v>
      </c>
      <c r="C139" s="14">
        <v>44151</v>
      </c>
      <c r="D139" s="5" t="s">
        <v>5</v>
      </c>
      <c r="E139" s="5">
        <v>139</v>
      </c>
      <c r="F139" s="7">
        <v>2769000</v>
      </c>
      <c r="G139" s="7">
        <f t="shared" si="6"/>
        <v>19920.863309352517</v>
      </c>
      <c r="H139" s="11" t="s">
        <v>794</v>
      </c>
      <c r="I139" s="11" t="s">
        <v>803</v>
      </c>
      <c r="J139" s="11" t="s">
        <v>234</v>
      </c>
      <c r="K139" s="5" t="s">
        <v>202</v>
      </c>
      <c r="L139" s="6" t="s">
        <v>804</v>
      </c>
      <c r="M139" s="5"/>
      <c r="N139" s="11"/>
      <c r="O139" s="7"/>
      <c r="P139" s="7"/>
      <c r="Q139" s="7"/>
      <c r="R139" s="11"/>
      <c r="S139" s="7"/>
      <c r="T139" s="5"/>
    </row>
    <row r="140" spans="1:20" x14ac:dyDescent="0.25">
      <c r="A140" s="5" t="s">
        <v>272</v>
      </c>
      <c r="B140" s="5" t="s">
        <v>811</v>
      </c>
      <c r="C140" s="14">
        <v>44153</v>
      </c>
      <c r="D140" s="5" t="s">
        <v>230</v>
      </c>
      <c r="E140" s="5">
        <v>292</v>
      </c>
      <c r="F140" s="7">
        <v>5498000</v>
      </c>
      <c r="G140" s="7">
        <f t="shared" si="6"/>
        <v>18828.767123287671</v>
      </c>
      <c r="H140" s="11" t="s">
        <v>82</v>
      </c>
      <c r="I140" s="11" t="s">
        <v>637</v>
      </c>
      <c r="J140" s="11" t="s">
        <v>84</v>
      </c>
      <c r="K140" s="5" t="s">
        <v>362</v>
      </c>
      <c r="L140" s="6" t="s">
        <v>801</v>
      </c>
      <c r="M140" s="5"/>
      <c r="N140" s="11"/>
      <c r="O140" s="7"/>
      <c r="P140" s="7"/>
      <c r="Q140" s="7"/>
      <c r="R140" s="11"/>
      <c r="S140" s="7"/>
      <c r="T140" s="5"/>
    </row>
    <row r="141" spans="1:20" x14ac:dyDescent="0.25">
      <c r="A141" s="5" t="s">
        <v>272</v>
      </c>
      <c r="B141" s="5" t="s">
        <v>814</v>
      </c>
      <c r="C141" s="14">
        <v>44167</v>
      </c>
      <c r="D141" s="5" t="s">
        <v>230</v>
      </c>
      <c r="E141" s="5">
        <v>158</v>
      </c>
      <c r="F141" s="7">
        <v>3137000</v>
      </c>
      <c r="G141" s="7">
        <f t="shared" si="6"/>
        <v>19854.430379746835</v>
      </c>
      <c r="H141" s="11" t="s">
        <v>102</v>
      </c>
      <c r="I141" s="11" t="s">
        <v>815</v>
      </c>
      <c r="J141" s="11" t="s">
        <v>234</v>
      </c>
      <c r="K141" s="5" t="s">
        <v>602</v>
      </c>
      <c r="L141" s="6"/>
      <c r="M141" s="5"/>
      <c r="N141" s="11"/>
      <c r="O141" s="7"/>
      <c r="P141" s="7"/>
      <c r="Q141" s="7"/>
      <c r="R141" s="11"/>
      <c r="S141" s="7"/>
      <c r="T141" s="5"/>
    </row>
    <row r="142" spans="1:20" x14ac:dyDescent="0.25">
      <c r="A142" s="5" t="s">
        <v>272</v>
      </c>
      <c r="B142" s="5" t="s">
        <v>816</v>
      </c>
      <c r="C142" s="14">
        <v>44173</v>
      </c>
      <c r="D142" s="5" t="s">
        <v>165</v>
      </c>
      <c r="E142" s="5">
        <v>77</v>
      </c>
      <c r="F142" s="7">
        <v>1225000</v>
      </c>
      <c r="G142" s="7">
        <f t="shared" si="6"/>
        <v>15909.09090909091</v>
      </c>
      <c r="H142" s="11" t="s">
        <v>165</v>
      </c>
      <c r="I142" s="11" t="s">
        <v>170</v>
      </c>
      <c r="J142" s="11" t="s">
        <v>84</v>
      </c>
      <c r="K142" s="5" t="s">
        <v>169</v>
      </c>
      <c r="L142" s="6"/>
      <c r="M142" s="5"/>
      <c r="N142" s="11"/>
      <c r="O142" s="7"/>
      <c r="P142" s="7"/>
      <c r="Q142" s="7"/>
      <c r="R142" s="11"/>
      <c r="S142" s="7"/>
      <c r="T142" s="5"/>
    </row>
    <row r="143" spans="1:20" x14ac:dyDescent="0.25">
      <c r="A143" s="5" t="s">
        <v>272</v>
      </c>
      <c r="B143" s="5" t="s">
        <v>808</v>
      </c>
      <c r="C143" s="14">
        <v>44176</v>
      </c>
      <c r="D143" s="5" t="s">
        <v>5</v>
      </c>
      <c r="E143" s="5">
        <v>210</v>
      </c>
      <c r="F143" s="7">
        <v>3677000</v>
      </c>
      <c r="G143" s="7">
        <f t="shared" si="6"/>
        <v>17509.523809523809</v>
      </c>
      <c r="H143" s="11" t="s">
        <v>810</v>
      </c>
      <c r="I143" s="11" t="s">
        <v>809</v>
      </c>
      <c r="J143" s="11" t="s">
        <v>234</v>
      </c>
      <c r="K143" s="5" t="s">
        <v>691</v>
      </c>
      <c r="L143" s="6"/>
      <c r="M143" s="5"/>
      <c r="N143" s="11"/>
      <c r="O143" s="7"/>
      <c r="P143" s="7"/>
      <c r="Q143" s="7"/>
      <c r="R143" s="11"/>
      <c r="S143" s="7"/>
      <c r="T143" s="5"/>
    </row>
    <row r="144" spans="1:20" x14ac:dyDescent="0.25">
      <c r="A144" s="5" t="s">
        <v>71</v>
      </c>
      <c r="B144" s="5" t="s">
        <v>721</v>
      </c>
      <c r="C144" s="14">
        <v>44239</v>
      </c>
      <c r="D144" s="5" t="s">
        <v>837</v>
      </c>
      <c r="E144" s="5">
        <v>295</v>
      </c>
      <c r="F144" s="7">
        <v>5258000</v>
      </c>
      <c r="G144" s="7">
        <f t="shared" si="6"/>
        <v>17823.728813559323</v>
      </c>
      <c r="H144" s="11" t="s">
        <v>444</v>
      </c>
      <c r="I144" s="11" t="s">
        <v>48</v>
      </c>
      <c r="J144" s="11" t="s">
        <v>166</v>
      </c>
      <c r="K144" s="5" t="s">
        <v>696</v>
      </c>
      <c r="L144" s="6"/>
      <c r="M144" s="5"/>
      <c r="N144" s="11"/>
      <c r="O144" s="7"/>
      <c r="P144" s="7"/>
      <c r="Q144" s="7"/>
      <c r="R144" s="11"/>
      <c r="S144" s="7"/>
      <c r="T144" s="5"/>
    </row>
    <row r="145" spans="1:20" x14ac:dyDescent="0.25">
      <c r="A145" s="5" t="s">
        <v>71</v>
      </c>
      <c r="B145" s="5" t="s">
        <v>825</v>
      </c>
      <c r="C145" s="14">
        <v>44242</v>
      </c>
      <c r="D145" s="5" t="s">
        <v>527</v>
      </c>
      <c r="E145" s="5">
        <v>108</v>
      </c>
      <c r="F145" s="7">
        <v>1889000</v>
      </c>
      <c r="G145" s="7">
        <f t="shared" si="6"/>
        <v>17490.740740740741</v>
      </c>
      <c r="H145" s="11" t="s">
        <v>727</v>
      </c>
      <c r="I145" s="11" t="s">
        <v>490</v>
      </c>
      <c r="J145" s="11" t="s">
        <v>595</v>
      </c>
      <c r="K145" s="5" t="s">
        <v>830</v>
      </c>
      <c r="L145" s="6" t="s">
        <v>831</v>
      </c>
      <c r="M145" s="5"/>
      <c r="N145" s="11"/>
      <c r="O145" s="7"/>
      <c r="P145" s="7"/>
      <c r="Q145" s="7"/>
      <c r="R145" s="11"/>
      <c r="S145" s="7"/>
      <c r="T145" s="5"/>
    </row>
    <row r="146" spans="1:20" x14ac:dyDescent="0.25">
      <c r="A146" s="5" t="s">
        <v>71</v>
      </c>
      <c r="B146" s="5" t="s">
        <v>820</v>
      </c>
      <c r="C146" s="14">
        <v>44253</v>
      </c>
      <c r="D146" s="5" t="s">
        <v>4</v>
      </c>
      <c r="E146" s="5">
        <v>175</v>
      </c>
      <c r="F146" s="7">
        <v>3698000</v>
      </c>
      <c r="G146" s="7">
        <f t="shared" si="6"/>
        <v>21131.428571428572</v>
      </c>
      <c r="H146" s="11" t="s">
        <v>821</v>
      </c>
      <c r="I146" s="11" t="s">
        <v>333</v>
      </c>
      <c r="J146" s="11" t="s">
        <v>8</v>
      </c>
      <c r="K146" s="5" t="s">
        <v>822</v>
      </c>
      <c r="L146" s="6" t="s">
        <v>828</v>
      </c>
      <c r="M146" s="5"/>
      <c r="N146" s="11"/>
      <c r="O146" s="7"/>
      <c r="P146" s="7"/>
      <c r="Q146" s="7"/>
      <c r="R146" s="11"/>
      <c r="S146" s="7"/>
      <c r="T146" s="5"/>
    </row>
    <row r="147" spans="1:20" x14ac:dyDescent="0.25">
      <c r="A147" s="5" t="s">
        <v>71</v>
      </c>
      <c r="B147" s="5" t="s">
        <v>823</v>
      </c>
      <c r="C147" s="14">
        <v>44253</v>
      </c>
      <c r="D147" s="5" t="s">
        <v>230</v>
      </c>
      <c r="E147" s="5">
        <v>292</v>
      </c>
      <c r="F147" s="7">
        <v>5696000</v>
      </c>
      <c r="G147" s="7">
        <f t="shared" si="6"/>
        <v>19506.849315068492</v>
      </c>
      <c r="H147" s="11" t="s">
        <v>82</v>
      </c>
      <c r="I147" s="11" t="s">
        <v>637</v>
      </c>
      <c r="J147" s="11" t="s">
        <v>234</v>
      </c>
      <c r="K147" s="5" t="s">
        <v>362</v>
      </c>
      <c r="L147" s="6" t="s">
        <v>801</v>
      </c>
      <c r="M147" s="5"/>
      <c r="N147" s="11"/>
      <c r="O147" s="7"/>
      <c r="P147" s="7"/>
      <c r="Q147" s="7"/>
      <c r="R147" s="11"/>
      <c r="S147" s="7"/>
      <c r="T147" s="5"/>
    </row>
    <row r="148" spans="1:20" x14ac:dyDescent="0.25">
      <c r="A148" s="5" t="s">
        <v>71</v>
      </c>
      <c r="B148" s="5" t="s">
        <v>860</v>
      </c>
      <c r="C148" s="14">
        <v>44253</v>
      </c>
      <c r="D148" s="5" t="s">
        <v>444</v>
      </c>
      <c r="E148" s="5">
        <v>299</v>
      </c>
      <c r="F148" s="7">
        <v>4825500</v>
      </c>
      <c r="G148" s="7">
        <f t="shared" si="6"/>
        <v>16138.795986622074</v>
      </c>
      <c r="H148" s="11" t="s">
        <v>444</v>
      </c>
      <c r="I148" s="11" t="s">
        <v>267</v>
      </c>
      <c r="J148" s="11" t="s">
        <v>84</v>
      </c>
      <c r="K148" s="5" t="s">
        <v>422</v>
      </c>
      <c r="L148" s="6"/>
      <c r="M148" s="5"/>
      <c r="N148" s="11"/>
      <c r="O148" s="7"/>
      <c r="P148" s="7"/>
      <c r="Q148" s="7"/>
      <c r="R148" s="11"/>
      <c r="S148" s="7"/>
      <c r="T148" s="5"/>
    </row>
    <row r="149" spans="1:20" s="29" customFormat="1" x14ac:dyDescent="0.25">
      <c r="A149" s="25" t="s">
        <v>272</v>
      </c>
      <c r="B149" s="25" t="s">
        <v>824</v>
      </c>
      <c r="C149" s="26">
        <v>44272</v>
      </c>
      <c r="D149" s="25" t="s">
        <v>230</v>
      </c>
      <c r="E149" s="25">
        <v>312</v>
      </c>
      <c r="F149" s="27">
        <v>6027000</v>
      </c>
      <c r="G149" s="27">
        <f t="shared" si="6"/>
        <v>19317.307692307691</v>
      </c>
      <c r="H149" s="28" t="s">
        <v>408</v>
      </c>
      <c r="I149" s="28" t="s">
        <v>637</v>
      </c>
      <c r="J149" s="28" t="s">
        <v>84</v>
      </c>
      <c r="K149" s="25" t="s">
        <v>362</v>
      </c>
      <c r="L149" s="25"/>
      <c r="M149" s="25"/>
      <c r="N149" s="28"/>
      <c r="O149" s="27"/>
      <c r="P149" s="27"/>
      <c r="Q149" s="27"/>
      <c r="R149" s="28"/>
      <c r="S149" s="27"/>
      <c r="T149" s="25"/>
    </row>
    <row r="150" spans="1:20" x14ac:dyDescent="0.25">
      <c r="A150" s="5" t="s">
        <v>272</v>
      </c>
      <c r="B150" s="5" t="s">
        <v>814</v>
      </c>
      <c r="C150" s="14">
        <v>44274</v>
      </c>
      <c r="D150" s="5" t="s">
        <v>527</v>
      </c>
      <c r="E150" s="5">
        <v>158</v>
      </c>
      <c r="F150" s="7">
        <v>3222000</v>
      </c>
      <c r="G150" s="7">
        <f>F150/E150</f>
        <v>20392.405063291139</v>
      </c>
      <c r="H150" s="11" t="s">
        <v>102</v>
      </c>
      <c r="I150" s="11" t="s">
        <v>815</v>
      </c>
      <c r="J150" s="11" t="s">
        <v>234</v>
      </c>
      <c r="K150" s="5" t="s">
        <v>602</v>
      </c>
      <c r="L150" s="6"/>
      <c r="M150" s="5"/>
      <c r="N150" s="11"/>
      <c r="O150" s="7"/>
      <c r="P150" s="7"/>
      <c r="Q150" s="7"/>
      <c r="R150" s="11"/>
      <c r="S150" s="7"/>
      <c r="T150" s="5"/>
    </row>
    <row r="151" spans="1:20" s="29" customFormat="1" x14ac:dyDescent="0.25">
      <c r="A151" s="25" t="s">
        <v>71</v>
      </c>
      <c r="B151" s="25" t="s">
        <v>799</v>
      </c>
      <c r="C151" s="26">
        <v>44287</v>
      </c>
      <c r="D151" s="25" t="s">
        <v>230</v>
      </c>
      <c r="E151" s="25">
        <v>311</v>
      </c>
      <c r="F151" s="27">
        <v>5475000</v>
      </c>
      <c r="G151" s="27">
        <f>F151/E151</f>
        <v>17604.50160771704</v>
      </c>
      <c r="H151" s="28" t="s">
        <v>82</v>
      </c>
      <c r="I151" s="28" t="s">
        <v>800</v>
      </c>
      <c r="J151" s="28" t="s">
        <v>234</v>
      </c>
      <c r="K151" s="25" t="s">
        <v>223</v>
      </c>
      <c r="L151" s="25" t="s">
        <v>827</v>
      </c>
      <c r="M151" s="25"/>
      <c r="N151" s="28"/>
      <c r="O151" s="27"/>
      <c r="P151" s="27"/>
      <c r="Q151" s="27"/>
      <c r="R151" s="28"/>
      <c r="S151" s="27"/>
      <c r="T151" s="25"/>
    </row>
    <row r="152" spans="1:20" x14ac:dyDescent="0.25">
      <c r="A152" s="5" t="s">
        <v>71</v>
      </c>
      <c r="B152" s="5" t="s">
        <v>836</v>
      </c>
      <c r="C152" s="14">
        <v>44355</v>
      </c>
      <c r="D152" s="5" t="s">
        <v>713</v>
      </c>
      <c r="E152" s="5">
        <v>178</v>
      </c>
      <c r="F152" s="7">
        <v>3777000</v>
      </c>
      <c r="G152" s="7">
        <f>F152/E152</f>
        <v>21219.101123595505</v>
      </c>
      <c r="H152" s="11" t="s">
        <v>713</v>
      </c>
      <c r="I152" s="11" t="s">
        <v>7</v>
      </c>
      <c r="J152" s="11" t="s">
        <v>234</v>
      </c>
      <c r="K152" s="5" t="s">
        <v>240</v>
      </c>
      <c r="L152" s="6"/>
      <c r="M152" s="5"/>
      <c r="N152" s="11"/>
      <c r="O152" s="7"/>
      <c r="P152" s="7"/>
      <c r="Q152" s="7"/>
      <c r="R152" s="11"/>
      <c r="S152" s="7"/>
      <c r="T152" s="5"/>
    </row>
    <row r="153" spans="1:20" x14ac:dyDescent="0.25">
      <c r="A153" s="5" t="s">
        <v>71</v>
      </c>
      <c r="B153" s="5" t="s">
        <v>796</v>
      </c>
      <c r="C153" s="14">
        <v>44418</v>
      </c>
      <c r="D153" s="5" t="s">
        <v>266</v>
      </c>
      <c r="E153" s="5">
        <v>99</v>
      </c>
      <c r="F153" s="7">
        <v>1435000</v>
      </c>
      <c r="G153" s="7">
        <f>F153/E153</f>
        <v>14494.949494949495</v>
      </c>
      <c r="H153" s="11" t="s">
        <v>257</v>
      </c>
      <c r="I153" s="11" t="s">
        <v>835</v>
      </c>
      <c r="J153" s="11" t="s">
        <v>35</v>
      </c>
      <c r="K153" s="5" t="s">
        <v>223</v>
      </c>
      <c r="L153" s="6"/>
      <c r="M153" s="5"/>
      <c r="N153" s="11"/>
      <c r="O153" s="7"/>
      <c r="P153" s="7"/>
      <c r="Q153" s="7"/>
      <c r="R153" s="11"/>
      <c r="S153" s="7"/>
      <c r="T153" s="5"/>
    </row>
    <row r="154" spans="1:20" s="29" customFormat="1" x14ac:dyDescent="0.25">
      <c r="A154" s="25" t="s">
        <v>272</v>
      </c>
      <c r="B154" s="25" t="s">
        <v>838</v>
      </c>
      <c r="C154" s="26">
        <v>44421</v>
      </c>
      <c r="D154" s="25" t="s">
        <v>626</v>
      </c>
      <c r="E154" s="25">
        <v>238</v>
      </c>
      <c r="F154" s="27">
        <v>5450000</v>
      </c>
      <c r="G154" s="27">
        <f>F154/E154</f>
        <v>22899.159663865546</v>
      </c>
      <c r="H154" s="28" t="s">
        <v>626</v>
      </c>
      <c r="I154" s="28" t="s">
        <v>640</v>
      </c>
      <c r="J154" s="28" t="s">
        <v>166</v>
      </c>
      <c r="K154" s="25" t="s">
        <v>691</v>
      </c>
      <c r="L154" s="25"/>
      <c r="M154" s="25"/>
      <c r="N154" s="28"/>
      <c r="O154" s="27"/>
      <c r="P154" s="27"/>
      <c r="Q154" s="27"/>
      <c r="R154" s="28"/>
      <c r="S154" s="27"/>
      <c r="T154" s="25"/>
    </row>
    <row r="155" spans="1:20" x14ac:dyDescent="0.25">
      <c r="A155" s="5" t="s">
        <v>71</v>
      </c>
      <c r="B155" s="5" t="s">
        <v>814</v>
      </c>
      <c r="C155" s="14">
        <v>44421</v>
      </c>
      <c r="D155" s="5" t="s">
        <v>527</v>
      </c>
      <c r="E155" s="5">
        <v>158</v>
      </c>
      <c r="F155" s="7">
        <v>3289000</v>
      </c>
      <c r="G155" s="7">
        <f t="shared" ref="G155:G162" si="7">F155/E155</f>
        <v>20816.455696202531</v>
      </c>
      <c r="H155" s="11" t="s">
        <v>102</v>
      </c>
      <c r="I155" s="11" t="s">
        <v>815</v>
      </c>
      <c r="J155" s="11" t="s">
        <v>234</v>
      </c>
      <c r="K155" s="5" t="s">
        <v>602</v>
      </c>
      <c r="L155" s="6"/>
      <c r="M155" s="5"/>
      <c r="N155" s="11"/>
      <c r="O155" s="7"/>
      <c r="P155" s="7"/>
      <c r="Q155" s="7"/>
      <c r="R155" s="11"/>
      <c r="S155" s="7"/>
      <c r="T155" s="5"/>
    </row>
    <row r="156" spans="1:20" x14ac:dyDescent="0.25">
      <c r="A156" s="5" t="s">
        <v>272</v>
      </c>
      <c r="B156" s="5" t="s">
        <v>840</v>
      </c>
      <c r="C156" s="14">
        <v>44439</v>
      </c>
      <c r="D156" s="5" t="s">
        <v>5</v>
      </c>
      <c r="E156" s="5">
        <v>112</v>
      </c>
      <c r="F156" s="7">
        <v>2912000</v>
      </c>
      <c r="G156" s="7">
        <f t="shared" si="7"/>
        <v>26000</v>
      </c>
      <c r="H156" s="11" t="s">
        <v>849</v>
      </c>
      <c r="I156" s="11" t="s">
        <v>850</v>
      </c>
      <c r="J156" s="11" t="s">
        <v>388</v>
      </c>
      <c r="K156" s="5" t="s">
        <v>691</v>
      </c>
      <c r="L156" s="6"/>
      <c r="M156" s="5"/>
      <c r="N156" s="11"/>
      <c r="O156" s="7"/>
      <c r="P156" s="7"/>
      <c r="Q156" s="7"/>
      <c r="R156" s="11"/>
      <c r="S156" s="7"/>
      <c r="T156" s="5"/>
    </row>
    <row r="157" spans="1:20" x14ac:dyDescent="0.25">
      <c r="A157" s="5" t="s">
        <v>272</v>
      </c>
      <c r="B157" s="5" t="s">
        <v>839</v>
      </c>
      <c r="C157" s="14">
        <v>44442</v>
      </c>
      <c r="D157" s="5" t="s">
        <v>230</v>
      </c>
      <c r="E157" s="5">
        <v>252</v>
      </c>
      <c r="F157" s="7">
        <v>5160000</v>
      </c>
      <c r="G157" s="7">
        <f t="shared" si="7"/>
        <v>20476.190476190477</v>
      </c>
      <c r="H157" s="11" t="s">
        <v>639</v>
      </c>
      <c r="I157" s="11" t="s">
        <v>53</v>
      </c>
      <c r="J157" s="11" t="s">
        <v>652</v>
      </c>
      <c r="K157" s="5" t="s">
        <v>422</v>
      </c>
      <c r="L157" s="6" t="s">
        <v>862</v>
      </c>
      <c r="M157" s="5"/>
      <c r="N157" s="11"/>
      <c r="O157" s="7"/>
      <c r="P157" s="7"/>
      <c r="Q157" s="7"/>
      <c r="R157" s="11"/>
      <c r="S157" s="7"/>
      <c r="T157" s="5"/>
    </row>
    <row r="158" spans="1:20" x14ac:dyDescent="0.25">
      <c r="A158" s="5" t="s">
        <v>272</v>
      </c>
      <c r="B158" s="5" t="s">
        <v>851</v>
      </c>
      <c r="C158" s="14">
        <v>44449</v>
      </c>
      <c r="D158" s="5" t="s">
        <v>4</v>
      </c>
      <c r="E158" s="5">
        <v>275</v>
      </c>
      <c r="F158" s="7">
        <v>6397000</v>
      </c>
      <c r="G158" s="7">
        <f t="shared" si="7"/>
        <v>23261.81818181818</v>
      </c>
      <c r="H158" s="11" t="s">
        <v>203</v>
      </c>
      <c r="I158" s="11" t="s">
        <v>333</v>
      </c>
      <c r="J158" s="11" t="s">
        <v>33</v>
      </c>
      <c r="K158" s="5" t="s">
        <v>202</v>
      </c>
      <c r="L158" s="6" t="s">
        <v>854</v>
      </c>
      <c r="M158" s="5"/>
      <c r="N158" s="11"/>
      <c r="O158" s="7"/>
      <c r="P158" s="7"/>
      <c r="Q158" s="7"/>
      <c r="R158" s="11"/>
      <c r="S158" s="7"/>
      <c r="T158" s="5"/>
    </row>
    <row r="159" spans="1:20" x14ac:dyDescent="0.25">
      <c r="A159" s="5" t="s">
        <v>272</v>
      </c>
      <c r="B159" s="5" t="s">
        <v>852</v>
      </c>
      <c r="C159" s="14">
        <v>44456</v>
      </c>
      <c r="D159" s="5" t="s">
        <v>5</v>
      </c>
      <c r="E159" s="5">
        <v>122</v>
      </c>
      <c r="F159" s="7">
        <v>2929000</v>
      </c>
      <c r="G159" s="7">
        <f t="shared" si="7"/>
        <v>24008.196721311477</v>
      </c>
      <c r="H159" s="11" t="s">
        <v>849</v>
      </c>
      <c r="I159" s="11" t="s">
        <v>850</v>
      </c>
      <c r="J159" s="11" t="s">
        <v>388</v>
      </c>
      <c r="K159" s="5" t="s">
        <v>691</v>
      </c>
      <c r="L159" s="6"/>
      <c r="M159" s="5"/>
      <c r="N159" s="11"/>
      <c r="O159" s="7"/>
      <c r="P159" s="7"/>
      <c r="Q159" s="7"/>
      <c r="R159" s="11"/>
      <c r="S159" s="7"/>
      <c r="T159" s="5"/>
    </row>
    <row r="160" spans="1:20" x14ac:dyDescent="0.25">
      <c r="A160" s="5" t="s">
        <v>272</v>
      </c>
      <c r="B160" s="5" t="s">
        <v>853</v>
      </c>
      <c r="C160" s="14">
        <v>44468</v>
      </c>
      <c r="D160" s="5" t="s">
        <v>813</v>
      </c>
      <c r="E160" s="5">
        <v>226</v>
      </c>
      <c r="F160" s="7">
        <v>5150000</v>
      </c>
      <c r="G160" s="7">
        <f t="shared" si="7"/>
        <v>22787.610619469026</v>
      </c>
      <c r="H160" s="11" t="s">
        <v>102</v>
      </c>
      <c r="I160" s="11" t="s">
        <v>855</v>
      </c>
      <c r="J160" s="11" t="s">
        <v>234</v>
      </c>
      <c r="K160" s="5" t="s">
        <v>602</v>
      </c>
      <c r="L160" s="6"/>
      <c r="M160" s="5"/>
      <c r="N160" s="11"/>
      <c r="O160" s="7"/>
      <c r="P160" s="7"/>
      <c r="Q160" s="7"/>
      <c r="R160" s="11"/>
      <c r="S160" s="7"/>
      <c r="T160" s="5"/>
    </row>
    <row r="161" spans="1:20" x14ac:dyDescent="0.25">
      <c r="A161" s="5" t="s">
        <v>272</v>
      </c>
      <c r="B161" s="5" t="s">
        <v>857</v>
      </c>
      <c r="C161" s="14">
        <v>44476</v>
      </c>
      <c r="D161" s="5" t="s">
        <v>369</v>
      </c>
      <c r="E161" s="5">
        <v>134</v>
      </c>
      <c r="F161" s="7">
        <v>2608000</v>
      </c>
      <c r="G161" s="7">
        <f t="shared" si="7"/>
        <v>19462.686567164179</v>
      </c>
      <c r="H161" s="11" t="s">
        <v>369</v>
      </c>
      <c r="I161" s="11" t="s">
        <v>345</v>
      </c>
      <c r="J161" s="11" t="s">
        <v>388</v>
      </c>
      <c r="K161" s="5" t="s">
        <v>223</v>
      </c>
      <c r="L161" s="6"/>
      <c r="M161" s="5"/>
      <c r="N161" s="11"/>
      <c r="O161" s="7"/>
      <c r="P161" s="7"/>
      <c r="Q161" s="7"/>
      <c r="R161" s="11"/>
      <c r="S161" s="7"/>
      <c r="T161" s="5"/>
    </row>
    <row r="162" spans="1:20" x14ac:dyDescent="0.25">
      <c r="A162" s="5" t="s">
        <v>272</v>
      </c>
      <c r="B162" s="5" t="s">
        <v>858</v>
      </c>
      <c r="C162" s="14">
        <v>44481</v>
      </c>
      <c r="D162" s="5" t="s">
        <v>4</v>
      </c>
      <c r="E162" s="5">
        <v>92</v>
      </c>
      <c r="F162" s="7">
        <v>2170000</v>
      </c>
      <c r="G162" s="7">
        <f t="shared" si="7"/>
        <v>23586.956521739132</v>
      </c>
      <c r="H162" s="11" t="s">
        <v>641</v>
      </c>
      <c r="I162" s="11" t="s">
        <v>48</v>
      </c>
      <c r="J162" s="11" t="s">
        <v>234</v>
      </c>
      <c r="K162" s="5" t="s">
        <v>240</v>
      </c>
      <c r="L162" s="6"/>
      <c r="M162" s="5"/>
      <c r="N162" s="11"/>
      <c r="O162" s="7"/>
      <c r="P162" s="7"/>
      <c r="Q162" s="7"/>
      <c r="R162" s="11"/>
      <c r="S162" s="7"/>
      <c r="T162" s="5"/>
    </row>
    <row r="163" spans="1:20" x14ac:dyDescent="0.25">
      <c r="A163" s="5" t="s">
        <v>71</v>
      </c>
      <c r="B163" s="5" t="s">
        <v>836</v>
      </c>
      <c r="C163" s="14">
        <v>44481</v>
      </c>
      <c r="D163" s="5" t="s">
        <v>713</v>
      </c>
      <c r="E163" s="5">
        <v>178</v>
      </c>
      <c r="F163" s="55">
        <v>3941000</v>
      </c>
      <c r="G163" s="55">
        <f>F163/E163</f>
        <v>22140.449438202246</v>
      </c>
      <c r="H163" s="11" t="s">
        <v>713</v>
      </c>
      <c r="I163" s="11" t="s">
        <v>7</v>
      </c>
      <c r="J163" s="11" t="s">
        <v>234</v>
      </c>
      <c r="K163" s="5" t="s">
        <v>240</v>
      </c>
      <c r="L163" s="5"/>
      <c r="M163" s="5"/>
      <c r="N163" s="11"/>
      <c r="O163" s="55"/>
      <c r="P163" s="55"/>
      <c r="Q163" s="55"/>
      <c r="R163" s="11"/>
      <c r="S163" s="55"/>
      <c r="T163" s="5"/>
    </row>
    <row r="164" spans="1:20" s="29" customFormat="1" x14ac:dyDescent="0.25">
      <c r="A164" s="25" t="s">
        <v>71</v>
      </c>
      <c r="B164" s="25" t="s">
        <v>859</v>
      </c>
      <c r="C164" s="26">
        <v>44484</v>
      </c>
      <c r="D164" s="25" t="s">
        <v>444</v>
      </c>
      <c r="E164" s="25">
        <v>299</v>
      </c>
      <c r="F164" s="27">
        <v>5568600</v>
      </c>
      <c r="G164" s="27">
        <f t="shared" ref="G164:G180" si="8">F164/E164</f>
        <v>18624.080267558529</v>
      </c>
      <c r="H164" s="28" t="s">
        <v>444</v>
      </c>
      <c r="I164" s="28" t="s">
        <v>267</v>
      </c>
      <c r="J164" s="28" t="s">
        <v>84</v>
      </c>
      <c r="K164" s="25" t="s">
        <v>422</v>
      </c>
      <c r="L164" s="25"/>
      <c r="M164" s="25"/>
      <c r="N164" s="28"/>
      <c r="O164" s="27"/>
      <c r="P164" s="27"/>
      <c r="Q164" s="27"/>
      <c r="R164" s="28"/>
      <c r="S164" s="27"/>
      <c r="T164" s="25"/>
    </row>
    <row r="165" spans="1:20" x14ac:dyDescent="0.25">
      <c r="A165" s="5" t="s">
        <v>861</v>
      </c>
      <c r="B165" s="5" t="s">
        <v>856</v>
      </c>
      <c r="C165" s="14">
        <v>44489</v>
      </c>
      <c r="D165" s="5" t="s">
        <v>230</v>
      </c>
      <c r="E165" s="5">
        <v>325</v>
      </c>
      <c r="F165" s="7">
        <v>8395000</v>
      </c>
      <c r="G165" s="7">
        <f t="shared" si="8"/>
        <v>25830.76923076923</v>
      </c>
      <c r="H165" s="11" t="s">
        <v>274</v>
      </c>
      <c r="I165" s="11" t="s">
        <v>7</v>
      </c>
      <c r="J165" s="11" t="s">
        <v>547</v>
      </c>
      <c r="K165" s="5" t="s">
        <v>381</v>
      </c>
      <c r="L165" s="6"/>
      <c r="M165" s="5"/>
      <c r="N165" s="11"/>
      <c r="O165" s="7"/>
      <c r="P165" s="7"/>
      <c r="Q165" s="7"/>
      <c r="R165" s="11"/>
      <c r="S165" s="7"/>
      <c r="T165" s="5"/>
    </row>
    <row r="166" spans="1:20" x14ac:dyDescent="0.25">
      <c r="A166" s="5" t="s">
        <v>272</v>
      </c>
      <c r="B166" s="5" t="s">
        <v>824</v>
      </c>
      <c r="C166" s="14">
        <v>44538</v>
      </c>
      <c r="D166" s="5" t="s">
        <v>230</v>
      </c>
      <c r="E166" s="5">
        <v>312</v>
      </c>
      <c r="F166" s="7">
        <v>6386400</v>
      </c>
      <c r="G166" s="7">
        <f t="shared" si="8"/>
        <v>20469.23076923077</v>
      </c>
      <c r="H166" s="11" t="s">
        <v>408</v>
      </c>
      <c r="I166" s="11" t="s">
        <v>637</v>
      </c>
      <c r="J166" s="11" t="s">
        <v>388</v>
      </c>
      <c r="K166" s="5" t="s">
        <v>362</v>
      </c>
      <c r="L166" s="6"/>
      <c r="M166" s="5"/>
      <c r="N166" s="11"/>
      <c r="O166" s="7"/>
      <c r="P166" s="7"/>
      <c r="Q166" s="7"/>
      <c r="R166" s="11"/>
      <c r="S166" s="7"/>
      <c r="T166" s="5"/>
    </row>
    <row r="167" spans="1:20" s="29" customFormat="1" x14ac:dyDescent="0.25">
      <c r="A167" s="25" t="s">
        <v>71</v>
      </c>
      <c r="B167" s="25" t="s">
        <v>875</v>
      </c>
      <c r="C167" s="26">
        <v>44544</v>
      </c>
      <c r="D167" s="25" t="s">
        <v>4</v>
      </c>
      <c r="E167" s="25">
        <v>295</v>
      </c>
      <c r="F167" s="27">
        <v>5989000</v>
      </c>
      <c r="G167" s="27">
        <f>F167/E167</f>
        <v>20301.694915254237</v>
      </c>
      <c r="H167" s="28" t="s">
        <v>444</v>
      </c>
      <c r="I167" s="28" t="s">
        <v>48</v>
      </c>
      <c r="J167" s="28" t="s">
        <v>388</v>
      </c>
      <c r="K167" s="25" t="s">
        <v>696</v>
      </c>
      <c r="L167" s="25"/>
      <c r="M167" s="25"/>
      <c r="N167" s="28"/>
      <c r="O167" s="27"/>
      <c r="P167" s="27"/>
      <c r="Q167" s="27"/>
      <c r="R167" s="28"/>
      <c r="S167" s="27"/>
      <c r="T167" s="25"/>
    </row>
    <row r="168" spans="1:20" x14ac:dyDescent="0.25">
      <c r="A168" s="5" t="s">
        <v>71</v>
      </c>
      <c r="B168" s="5" t="s">
        <v>709</v>
      </c>
      <c r="C168" s="14">
        <v>44546</v>
      </c>
      <c r="D168" s="5" t="s">
        <v>5</v>
      </c>
      <c r="E168" s="5">
        <v>103</v>
      </c>
      <c r="F168" s="7">
        <v>2174500</v>
      </c>
      <c r="G168" s="7">
        <f>F168/E168</f>
        <v>21111.650485436894</v>
      </c>
      <c r="H168" s="11" t="s">
        <v>874</v>
      </c>
      <c r="I168" s="11" t="s">
        <v>800</v>
      </c>
      <c r="J168" s="11" t="s">
        <v>388</v>
      </c>
      <c r="K168" s="5" t="s">
        <v>397</v>
      </c>
      <c r="L168" s="6"/>
      <c r="M168" s="5"/>
      <c r="N168" s="11"/>
      <c r="O168" s="7"/>
      <c r="P168" s="7"/>
      <c r="Q168" s="7"/>
      <c r="R168" s="11"/>
      <c r="S168" s="7"/>
      <c r="T168" s="5"/>
    </row>
    <row r="169" spans="1:20" s="29" customFormat="1" x14ac:dyDescent="0.25">
      <c r="A169" s="25" t="s">
        <v>71</v>
      </c>
      <c r="B169" s="25" t="s">
        <v>866</v>
      </c>
      <c r="C169" s="26">
        <v>44552</v>
      </c>
      <c r="D169" s="25" t="s">
        <v>165</v>
      </c>
      <c r="E169" s="25">
        <v>78</v>
      </c>
      <c r="F169" s="27">
        <v>1455000</v>
      </c>
      <c r="G169" s="27">
        <f t="shared" si="8"/>
        <v>18653.846153846152</v>
      </c>
      <c r="H169" s="28" t="s">
        <v>165</v>
      </c>
      <c r="I169" s="28" t="s">
        <v>170</v>
      </c>
      <c r="J169" s="28" t="s">
        <v>388</v>
      </c>
      <c r="K169" s="25" t="s">
        <v>873</v>
      </c>
      <c r="L169" s="25"/>
      <c r="M169" s="25"/>
      <c r="N169" s="28"/>
      <c r="O169" s="27"/>
      <c r="P169" s="27"/>
      <c r="Q169" s="27"/>
      <c r="R169" s="28"/>
      <c r="S169" s="27"/>
      <c r="T169" s="25"/>
    </row>
    <row r="170" spans="1:20" x14ac:dyDescent="0.25">
      <c r="A170" s="5" t="s">
        <v>71</v>
      </c>
      <c r="B170" s="5" t="s">
        <v>871</v>
      </c>
      <c r="C170" s="14">
        <v>44571</v>
      </c>
      <c r="D170" s="5" t="s">
        <v>5</v>
      </c>
      <c r="E170" s="5">
        <v>182</v>
      </c>
      <c r="F170" s="7">
        <v>3345700</v>
      </c>
      <c r="G170" s="7">
        <f>F170/E170</f>
        <v>18382.967032967033</v>
      </c>
      <c r="H170" s="11" t="s">
        <v>872</v>
      </c>
      <c r="I170" s="11" t="s">
        <v>349</v>
      </c>
      <c r="J170" s="11" t="s">
        <v>388</v>
      </c>
      <c r="K170" s="5" t="s">
        <v>830</v>
      </c>
      <c r="L170" s="6"/>
      <c r="M170" s="5"/>
      <c r="N170" s="11"/>
      <c r="O170" s="7"/>
      <c r="P170" s="7"/>
      <c r="Q170" s="7"/>
      <c r="R170" s="11"/>
      <c r="S170" s="7"/>
      <c r="T170" s="5"/>
    </row>
    <row r="171" spans="1:20" x14ac:dyDescent="0.25">
      <c r="A171" s="5" t="s">
        <v>71</v>
      </c>
      <c r="B171" s="5" t="s">
        <v>623</v>
      </c>
      <c r="C171" s="14">
        <v>44578</v>
      </c>
      <c r="D171" s="5" t="s">
        <v>864</v>
      </c>
      <c r="E171" s="5">
        <v>66</v>
      </c>
      <c r="F171" s="7">
        <v>1457000</v>
      </c>
      <c r="G171" s="7">
        <f>F171/E171</f>
        <v>22075.757575757576</v>
      </c>
      <c r="H171" s="11" t="s">
        <v>864</v>
      </c>
      <c r="I171" s="11" t="s">
        <v>275</v>
      </c>
      <c r="J171" s="11" t="s">
        <v>388</v>
      </c>
      <c r="K171" s="5" t="s">
        <v>602</v>
      </c>
      <c r="L171" s="6" t="s">
        <v>907</v>
      </c>
      <c r="M171" s="5"/>
      <c r="N171" s="11"/>
      <c r="O171" s="7"/>
      <c r="P171" s="7"/>
      <c r="Q171" s="7"/>
      <c r="R171" s="11"/>
      <c r="S171" s="7"/>
      <c r="T171" s="5"/>
    </row>
    <row r="172" spans="1:20" s="29" customFormat="1" x14ac:dyDescent="0.25">
      <c r="A172" s="25" t="s">
        <v>71</v>
      </c>
      <c r="B172" s="25" t="s">
        <v>836</v>
      </c>
      <c r="C172" s="26">
        <v>44586</v>
      </c>
      <c r="D172" s="25" t="s">
        <v>3</v>
      </c>
      <c r="E172" s="25">
        <v>178</v>
      </c>
      <c r="F172" s="27">
        <v>4049320</v>
      </c>
      <c r="G172" s="27">
        <f t="shared" si="8"/>
        <v>22748.988764044945</v>
      </c>
      <c r="H172" s="28" t="s">
        <v>713</v>
      </c>
      <c r="I172" s="28" t="s">
        <v>7</v>
      </c>
      <c r="J172" s="28" t="s">
        <v>234</v>
      </c>
      <c r="K172" s="25" t="s">
        <v>240</v>
      </c>
      <c r="L172" s="25"/>
      <c r="M172" s="25"/>
      <c r="N172" s="28"/>
      <c r="O172" s="27"/>
      <c r="P172" s="27"/>
      <c r="Q172" s="27"/>
      <c r="R172" s="28"/>
      <c r="S172" s="27"/>
      <c r="T172" s="25"/>
    </row>
    <row r="173" spans="1:20" x14ac:dyDescent="0.25">
      <c r="A173" s="5" t="s">
        <v>71</v>
      </c>
      <c r="B173" s="5" t="s">
        <v>868</v>
      </c>
      <c r="C173" s="14">
        <v>44589</v>
      </c>
      <c r="D173" s="5" t="s">
        <v>869</v>
      </c>
      <c r="E173" s="5">
        <v>210</v>
      </c>
      <c r="F173" s="7">
        <v>3966400</v>
      </c>
      <c r="G173" s="7">
        <f t="shared" si="8"/>
        <v>18887.619047619046</v>
      </c>
      <c r="H173" s="11" t="s">
        <v>870</v>
      </c>
      <c r="I173" s="11" t="s">
        <v>48</v>
      </c>
      <c r="J173" s="11" t="s">
        <v>234</v>
      </c>
      <c r="K173" s="5" t="s">
        <v>422</v>
      </c>
      <c r="L173" s="6" t="s">
        <v>910</v>
      </c>
      <c r="M173" s="5"/>
      <c r="N173" s="11"/>
      <c r="O173" s="7"/>
      <c r="P173" s="7"/>
      <c r="Q173" s="7"/>
      <c r="R173" s="11"/>
      <c r="S173" s="7"/>
      <c r="T173" s="5"/>
    </row>
    <row r="174" spans="1:20" x14ac:dyDescent="0.25">
      <c r="A174" s="5" t="s">
        <v>272</v>
      </c>
      <c r="B174" s="5" t="s">
        <v>876</v>
      </c>
      <c r="C174" s="14">
        <v>44596</v>
      </c>
      <c r="D174" s="5" t="s">
        <v>230</v>
      </c>
      <c r="E174" s="5">
        <v>583</v>
      </c>
      <c r="F174" s="7">
        <v>13600000</v>
      </c>
      <c r="G174" s="7">
        <f t="shared" si="8"/>
        <v>23327.615780445969</v>
      </c>
      <c r="H174" s="11" t="s">
        <v>877</v>
      </c>
      <c r="I174" s="11" t="s">
        <v>637</v>
      </c>
      <c r="J174" s="11" t="s">
        <v>388</v>
      </c>
      <c r="K174" s="5" t="s">
        <v>878</v>
      </c>
      <c r="L174" s="6"/>
      <c r="M174" s="5"/>
      <c r="N174" s="11"/>
      <c r="O174" s="7"/>
      <c r="P174" s="7"/>
      <c r="Q174" s="7"/>
      <c r="R174" s="11"/>
      <c r="S174" s="7"/>
      <c r="T174" s="5"/>
    </row>
    <row r="175" spans="1:20" x14ac:dyDescent="0.25">
      <c r="A175" s="5" t="s">
        <v>71</v>
      </c>
      <c r="B175" s="5" t="s">
        <v>703</v>
      </c>
      <c r="C175" s="14">
        <v>44608</v>
      </c>
      <c r="D175" s="5" t="s">
        <v>230</v>
      </c>
      <c r="E175" s="5">
        <v>167</v>
      </c>
      <c r="F175" s="7">
        <v>4069000</v>
      </c>
      <c r="G175" s="7">
        <f t="shared" si="8"/>
        <v>24365.269461077845</v>
      </c>
      <c r="H175" s="11" t="s">
        <v>232</v>
      </c>
      <c r="I175" s="11" t="s">
        <v>262</v>
      </c>
      <c r="J175" s="11" t="s">
        <v>234</v>
      </c>
      <c r="K175" s="5" t="s">
        <v>381</v>
      </c>
      <c r="L175" s="6" t="s">
        <v>906</v>
      </c>
      <c r="M175" s="5"/>
      <c r="N175" s="11"/>
      <c r="O175" s="7"/>
      <c r="P175" s="7"/>
      <c r="Q175" s="7"/>
      <c r="R175" s="11"/>
      <c r="S175" s="7"/>
      <c r="T175" s="5"/>
    </row>
    <row r="176" spans="1:20" x14ac:dyDescent="0.25">
      <c r="A176" s="5" t="s">
        <v>71</v>
      </c>
      <c r="B176" s="5" t="s">
        <v>884</v>
      </c>
      <c r="C176" s="14">
        <v>44636</v>
      </c>
      <c r="D176" s="5" t="s">
        <v>3</v>
      </c>
      <c r="E176" s="5">
        <v>168</v>
      </c>
      <c r="F176" s="7">
        <v>4763000</v>
      </c>
      <c r="G176" s="7">
        <f t="shared" si="8"/>
        <v>28351.190476190477</v>
      </c>
      <c r="H176" s="11" t="s">
        <v>885</v>
      </c>
      <c r="I176" s="11" t="s">
        <v>7</v>
      </c>
      <c r="J176" s="11" t="s">
        <v>234</v>
      </c>
      <c r="K176" s="5" t="s">
        <v>381</v>
      </c>
      <c r="L176" s="6" t="s">
        <v>908</v>
      </c>
      <c r="M176" s="5"/>
      <c r="N176" s="11"/>
      <c r="O176" s="7"/>
      <c r="P176" s="7"/>
      <c r="Q176" s="7"/>
      <c r="R176" s="11"/>
      <c r="S176" s="7"/>
      <c r="T176" s="5"/>
    </row>
    <row r="177" spans="1:20" x14ac:dyDescent="0.25">
      <c r="A177" s="5" t="s">
        <v>71</v>
      </c>
      <c r="B177" s="5" t="s">
        <v>880</v>
      </c>
      <c r="C177" s="14">
        <v>44642</v>
      </c>
      <c r="D177" s="5" t="s">
        <v>879</v>
      </c>
      <c r="E177" s="5">
        <v>376</v>
      </c>
      <c r="F177" s="7">
        <v>9980000</v>
      </c>
      <c r="G177" s="7">
        <f t="shared" si="8"/>
        <v>26542.553191489362</v>
      </c>
      <c r="H177" s="11" t="s">
        <v>886</v>
      </c>
      <c r="I177" s="11" t="s">
        <v>887</v>
      </c>
      <c r="J177" s="11" t="s">
        <v>199</v>
      </c>
      <c r="K177" s="5" t="s">
        <v>223</v>
      </c>
      <c r="L177" s="6" t="s">
        <v>894</v>
      </c>
      <c r="M177" s="5"/>
      <c r="N177" s="11"/>
      <c r="O177" s="7"/>
      <c r="P177" s="7"/>
      <c r="Q177" s="7"/>
      <c r="R177" s="11"/>
      <c r="S177" s="7"/>
      <c r="T177" s="5"/>
    </row>
    <row r="178" spans="1:20" x14ac:dyDescent="0.25">
      <c r="A178" s="5" t="s">
        <v>71</v>
      </c>
      <c r="B178" s="5" t="s">
        <v>888</v>
      </c>
      <c r="C178" s="14">
        <v>44642</v>
      </c>
      <c r="D178" s="5" t="s">
        <v>4</v>
      </c>
      <c r="E178" s="5">
        <v>68</v>
      </c>
      <c r="F178" s="7">
        <v>1722000</v>
      </c>
      <c r="G178" s="7">
        <f t="shared" si="8"/>
        <v>25323.529411764706</v>
      </c>
      <c r="H178" s="11" t="s">
        <v>641</v>
      </c>
      <c r="I178" s="11" t="s">
        <v>48</v>
      </c>
      <c r="J178" s="11" t="s">
        <v>234</v>
      </c>
      <c r="K178" s="5" t="s">
        <v>240</v>
      </c>
      <c r="L178" s="6"/>
      <c r="M178" s="5"/>
      <c r="N178" s="11"/>
      <c r="O178" s="7"/>
      <c r="P178" s="7"/>
      <c r="Q178" s="7"/>
      <c r="R178" s="11"/>
      <c r="S178" s="7"/>
      <c r="T178" s="5"/>
    </row>
    <row r="179" spans="1:20" x14ac:dyDescent="0.25">
      <c r="A179" s="5" t="s">
        <v>71</v>
      </c>
      <c r="B179" s="5" t="s">
        <v>895</v>
      </c>
      <c r="C179" s="14">
        <v>44659</v>
      </c>
      <c r="D179" s="5" t="s">
        <v>3</v>
      </c>
      <c r="E179" s="5">
        <v>113</v>
      </c>
      <c r="F179" s="7">
        <v>3321000</v>
      </c>
      <c r="G179" s="7">
        <f t="shared" si="8"/>
        <v>29389.380530973453</v>
      </c>
      <c r="H179" s="11" t="s">
        <v>3</v>
      </c>
      <c r="I179" s="11" t="s">
        <v>7</v>
      </c>
      <c r="J179" s="11" t="s">
        <v>234</v>
      </c>
      <c r="K179" s="5" t="s">
        <v>381</v>
      </c>
      <c r="L179" s="6" t="s">
        <v>908</v>
      </c>
      <c r="M179" s="5"/>
      <c r="N179" s="11"/>
      <c r="O179" s="7"/>
      <c r="P179" s="7"/>
      <c r="Q179" s="7"/>
      <c r="R179" s="11"/>
      <c r="S179" s="7"/>
      <c r="T179" s="5"/>
    </row>
    <row r="180" spans="1:20" x14ac:dyDescent="0.25">
      <c r="A180" s="5" t="s">
        <v>71</v>
      </c>
      <c r="B180" s="5" t="s">
        <v>891</v>
      </c>
      <c r="C180" s="14">
        <v>44663</v>
      </c>
      <c r="D180" s="5" t="s">
        <v>230</v>
      </c>
      <c r="E180" s="5">
        <v>93</v>
      </c>
      <c r="F180" s="7">
        <v>2078000</v>
      </c>
      <c r="G180" s="7">
        <f t="shared" si="8"/>
        <v>22344.086021505376</v>
      </c>
      <c r="H180" s="11" t="s">
        <v>408</v>
      </c>
      <c r="I180" s="11" t="s">
        <v>896</v>
      </c>
      <c r="J180" s="11" t="s">
        <v>547</v>
      </c>
      <c r="K180" s="5" t="s">
        <v>657</v>
      </c>
      <c r="L180" s="6"/>
      <c r="M180" s="5"/>
      <c r="N180" s="11"/>
      <c r="O180" s="7"/>
      <c r="P180" s="7"/>
      <c r="Q180" s="7"/>
      <c r="R180" s="11"/>
      <c r="S180" s="7"/>
      <c r="T180" s="5"/>
    </row>
    <row r="181" spans="1:20" s="29" customFormat="1" x14ac:dyDescent="0.25">
      <c r="A181" s="25" t="s">
        <v>71</v>
      </c>
      <c r="B181" s="25" t="s">
        <v>838</v>
      </c>
      <c r="C181" s="26">
        <v>44669</v>
      </c>
      <c r="D181" s="25" t="s">
        <v>626</v>
      </c>
      <c r="E181" s="25">
        <v>238</v>
      </c>
      <c r="F181" s="27">
        <v>5852000</v>
      </c>
      <c r="G181" s="27">
        <f>F181/E181</f>
        <v>24588.235294117647</v>
      </c>
      <c r="H181" s="28" t="s">
        <v>626</v>
      </c>
      <c r="I181" s="28" t="s">
        <v>640</v>
      </c>
      <c r="J181" s="28" t="s">
        <v>166</v>
      </c>
      <c r="K181" s="25" t="s">
        <v>691</v>
      </c>
      <c r="L181" s="25"/>
      <c r="M181" s="25"/>
      <c r="N181" s="28"/>
      <c r="O181" s="27"/>
      <c r="P181" s="27"/>
      <c r="Q181" s="27"/>
      <c r="R181" s="28"/>
      <c r="S181" s="27"/>
      <c r="T181" s="25"/>
    </row>
    <row r="182" spans="1:20" x14ac:dyDescent="0.25">
      <c r="A182" s="5" t="s">
        <v>71</v>
      </c>
      <c r="B182" s="5" t="s">
        <v>891</v>
      </c>
      <c r="C182" s="14">
        <v>44670</v>
      </c>
      <c r="D182" s="5" t="s">
        <v>5</v>
      </c>
      <c r="E182" s="5">
        <v>93</v>
      </c>
      <c r="F182" s="7">
        <v>2078000</v>
      </c>
      <c r="G182" s="7">
        <f t="shared" ref="G182:G197" si="9">F182/E182</f>
        <v>22344.086021505376</v>
      </c>
      <c r="H182" s="11" t="s">
        <v>408</v>
      </c>
      <c r="I182" s="11" t="s">
        <v>896</v>
      </c>
      <c r="J182" s="11" t="s">
        <v>547</v>
      </c>
      <c r="K182" s="5" t="s">
        <v>657</v>
      </c>
      <c r="L182" s="6"/>
      <c r="M182" s="5"/>
      <c r="N182" s="11"/>
      <c r="O182" s="7"/>
      <c r="P182" s="7"/>
      <c r="Q182" s="7"/>
      <c r="R182" s="11"/>
      <c r="S182" s="7"/>
      <c r="T182" s="5"/>
    </row>
    <row r="183" spans="1:20" s="29" customFormat="1" x14ac:dyDescent="0.25">
      <c r="A183" s="25" t="s">
        <v>71</v>
      </c>
      <c r="B183" s="25" t="s">
        <v>890</v>
      </c>
      <c r="C183" s="26">
        <v>44670</v>
      </c>
      <c r="D183" s="25" t="s">
        <v>165</v>
      </c>
      <c r="E183" s="25">
        <v>125</v>
      </c>
      <c r="F183" s="27">
        <v>2483000</v>
      </c>
      <c r="G183" s="27">
        <f t="shared" si="9"/>
        <v>19864</v>
      </c>
      <c r="H183" s="28" t="s">
        <v>165</v>
      </c>
      <c r="I183" s="28" t="s">
        <v>170</v>
      </c>
      <c r="J183" s="28" t="s">
        <v>388</v>
      </c>
      <c r="K183" s="25" t="s">
        <v>873</v>
      </c>
      <c r="L183" s="25"/>
      <c r="M183" s="25"/>
      <c r="N183" s="28"/>
      <c r="O183" s="27"/>
      <c r="P183" s="27"/>
      <c r="Q183" s="27"/>
      <c r="R183" s="28"/>
      <c r="S183" s="27"/>
      <c r="T183" s="25"/>
    </row>
    <row r="184" spans="1:20" x14ac:dyDescent="0.25">
      <c r="A184" s="5" t="s">
        <v>71</v>
      </c>
      <c r="B184" s="5" t="s">
        <v>796</v>
      </c>
      <c r="C184" s="14">
        <v>44680</v>
      </c>
      <c r="D184" s="5" t="s">
        <v>266</v>
      </c>
      <c r="E184" s="5">
        <v>99</v>
      </c>
      <c r="F184" s="7">
        <v>1739000</v>
      </c>
      <c r="G184" s="7">
        <f t="shared" si="9"/>
        <v>17565.656565656565</v>
      </c>
      <c r="H184" s="11" t="s">
        <v>257</v>
      </c>
      <c r="I184" s="11" t="s">
        <v>835</v>
      </c>
      <c r="J184" s="11" t="s">
        <v>35</v>
      </c>
      <c r="K184" s="5" t="s">
        <v>223</v>
      </c>
      <c r="L184" s="6"/>
      <c r="M184" s="5"/>
      <c r="N184" s="11"/>
      <c r="O184" s="7"/>
      <c r="P184" s="7"/>
      <c r="Q184" s="7"/>
      <c r="R184" s="11"/>
      <c r="S184" s="7"/>
      <c r="T184" s="5"/>
    </row>
    <row r="185" spans="1:20" x14ac:dyDescent="0.25">
      <c r="A185" s="5" t="s">
        <v>71</v>
      </c>
      <c r="B185" s="5" t="s">
        <v>898</v>
      </c>
      <c r="C185" s="14">
        <v>44684</v>
      </c>
      <c r="D185" s="5" t="s">
        <v>4</v>
      </c>
      <c r="E185" s="5">
        <v>326</v>
      </c>
      <c r="F185" s="7">
        <f>3750900+3440500</f>
        <v>7191400</v>
      </c>
      <c r="G185" s="7">
        <f t="shared" si="9"/>
        <v>22059.509202453988</v>
      </c>
      <c r="H185" s="11" t="s">
        <v>899</v>
      </c>
      <c r="I185" s="11" t="s">
        <v>800</v>
      </c>
      <c r="J185" s="11" t="s">
        <v>595</v>
      </c>
      <c r="K185" s="5" t="s">
        <v>513</v>
      </c>
      <c r="L185" s="6"/>
      <c r="M185" s="5"/>
      <c r="N185" s="11"/>
      <c r="O185" s="7"/>
      <c r="P185" s="7"/>
      <c r="Q185" s="7"/>
      <c r="R185" s="11"/>
      <c r="S185" s="7"/>
      <c r="T185" s="5"/>
    </row>
    <row r="186" spans="1:20" x14ac:dyDescent="0.25">
      <c r="A186" s="5" t="s">
        <v>71</v>
      </c>
      <c r="B186" s="5" t="s">
        <v>891</v>
      </c>
      <c r="C186" s="14">
        <v>44697</v>
      </c>
      <c r="D186" s="5" t="s">
        <v>230</v>
      </c>
      <c r="E186" s="5">
        <v>93</v>
      </c>
      <c r="F186" s="7">
        <v>2078000</v>
      </c>
      <c r="G186" s="7">
        <f t="shared" si="9"/>
        <v>22344.086021505376</v>
      </c>
      <c r="H186" s="11" t="s">
        <v>408</v>
      </c>
      <c r="I186" s="11" t="s">
        <v>896</v>
      </c>
      <c r="J186" s="11" t="s">
        <v>547</v>
      </c>
      <c r="K186" s="5" t="s">
        <v>657</v>
      </c>
      <c r="L186" s="6"/>
      <c r="M186" s="5"/>
      <c r="N186" s="11"/>
      <c r="O186" s="7"/>
      <c r="P186" s="7"/>
      <c r="Q186" s="7"/>
      <c r="R186" s="11"/>
      <c r="S186" s="7"/>
      <c r="T186" s="5"/>
    </row>
    <row r="187" spans="1:20" x14ac:dyDescent="0.25">
      <c r="A187" s="5" t="s">
        <v>71</v>
      </c>
      <c r="B187" s="5" t="s">
        <v>932</v>
      </c>
      <c r="C187" s="14">
        <v>44707</v>
      </c>
      <c r="D187" s="5" t="s">
        <v>4</v>
      </c>
      <c r="E187" s="5">
        <v>424</v>
      </c>
      <c r="F187" s="7">
        <v>9251000</v>
      </c>
      <c r="G187" s="7">
        <f t="shared" si="9"/>
        <v>21818.396226415094</v>
      </c>
      <c r="H187" s="11" t="s">
        <v>900</v>
      </c>
      <c r="I187" s="11" t="s">
        <v>7</v>
      </c>
      <c r="J187" s="11" t="s">
        <v>595</v>
      </c>
      <c r="K187" s="5" t="s">
        <v>901</v>
      </c>
      <c r="L187" s="6"/>
      <c r="M187" s="5"/>
      <c r="N187" s="11"/>
      <c r="O187" s="7"/>
      <c r="P187" s="7"/>
      <c r="Q187" s="7"/>
      <c r="R187" s="11"/>
      <c r="S187" s="7"/>
      <c r="T187" s="5"/>
    </row>
    <row r="188" spans="1:20" s="29" customFormat="1" x14ac:dyDescent="0.25">
      <c r="A188" s="25" t="s">
        <v>71</v>
      </c>
      <c r="B188" s="25" t="s">
        <v>902</v>
      </c>
      <c r="C188" s="26">
        <v>44713</v>
      </c>
      <c r="D188" s="25" t="s">
        <v>165</v>
      </c>
      <c r="E188" s="25">
        <v>86</v>
      </c>
      <c r="F188" s="27">
        <v>1689000</v>
      </c>
      <c r="G188" s="27">
        <f t="shared" si="9"/>
        <v>19639.534883720931</v>
      </c>
      <c r="H188" s="28" t="s">
        <v>165</v>
      </c>
      <c r="I188" s="28" t="s">
        <v>165</v>
      </c>
      <c r="J188" s="28" t="s">
        <v>388</v>
      </c>
      <c r="K188" s="25" t="s">
        <v>691</v>
      </c>
      <c r="L188" s="25"/>
      <c r="M188" s="25"/>
      <c r="N188" s="28"/>
      <c r="O188" s="27"/>
      <c r="P188" s="27"/>
      <c r="Q188" s="27"/>
      <c r="R188" s="28"/>
      <c r="S188" s="27"/>
      <c r="T188" s="25"/>
    </row>
    <row r="189" spans="1:20" s="29" customFormat="1" x14ac:dyDescent="0.25">
      <c r="A189" s="25" t="s">
        <v>71</v>
      </c>
      <c r="B189" s="25" t="s">
        <v>909</v>
      </c>
      <c r="C189" s="26">
        <v>44736</v>
      </c>
      <c r="D189" s="25" t="s">
        <v>599</v>
      </c>
      <c r="E189" s="25">
        <v>51</v>
      </c>
      <c r="F189" s="27">
        <v>998500</v>
      </c>
      <c r="G189" s="27">
        <f t="shared" si="9"/>
        <v>19578.431372549021</v>
      </c>
      <c r="H189" s="28" t="s">
        <v>600</v>
      </c>
      <c r="I189" s="28" t="s">
        <v>601</v>
      </c>
      <c r="J189" s="28" t="s">
        <v>388</v>
      </c>
      <c r="K189" s="25" t="s">
        <v>602</v>
      </c>
      <c r="L189" s="25"/>
      <c r="M189" s="25"/>
      <c r="N189" s="28"/>
      <c r="O189" s="27"/>
      <c r="P189" s="27"/>
      <c r="Q189" s="27"/>
      <c r="R189" s="28"/>
      <c r="S189" s="27"/>
      <c r="T189" s="25"/>
    </row>
    <row r="190" spans="1:20" x14ac:dyDescent="0.25">
      <c r="A190" s="5" t="s">
        <v>272</v>
      </c>
      <c r="B190" s="5" t="s">
        <v>911</v>
      </c>
      <c r="C190" s="14">
        <v>44750</v>
      </c>
      <c r="D190" s="5" t="s">
        <v>626</v>
      </c>
      <c r="E190" s="5">
        <v>225</v>
      </c>
      <c r="F190" s="7">
        <v>5849000</v>
      </c>
      <c r="G190" s="7">
        <f t="shared" si="9"/>
        <v>25995.555555555555</v>
      </c>
      <c r="H190" s="11" t="s">
        <v>626</v>
      </c>
      <c r="I190" s="11" t="s">
        <v>912</v>
      </c>
      <c r="J190" s="11" t="s">
        <v>388</v>
      </c>
      <c r="K190" s="5" t="s">
        <v>362</v>
      </c>
      <c r="L190" s="6"/>
      <c r="M190" s="5"/>
      <c r="N190" s="11"/>
      <c r="O190" s="7"/>
      <c r="P190" s="7"/>
      <c r="Q190" s="7"/>
      <c r="R190" s="11"/>
      <c r="S190" s="7"/>
      <c r="T190" s="5"/>
    </row>
    <row r="191" spans="1:20" x14ac:dyDescent="0.25">
      <c r="A191" s="5" t="s">
        <v>71</v>
      </c>
      <c r="B191" s="5" t="s">
        <v>905</v>
      </c>
      <c r="C191" s="14">
        <v>44777</v>
      </c>
      <c r="D191" s="5" t="s">
        <v>904</v>
      </c>
      <c r="E191" s="5">
        <v>69</v>
      </c>
      <c r="F191" s="7">
        <v>1687000</v>
      </c>
      <c r="G191" s="7">
        <f t="shared" si="9"/>
        <v>24449.27536231884</v>
      </c>
      <c r="H191" s="11" t="s">
        <v>913</v>
      </c>
      <c r="I191" s="11" t="s">
        <v>345</v>
      </c>
      <c r="J191" s="11" t="s">
        <v>234</v>
      </c>
      <c r="K191" s="5" t="s">
        <v>447</v>
      </c>
      <c r="L191" s="6" t="s">
        <v>936</v>
      </c>
      <c r="M191" s="54">
        <v>1360000</v>
      </c>
      <c r="N191" s="11" t="s">
        <v>227</v>
      </c>
      <c r="O191" s="7">
        <v>1420000</v>
      </c>
      <c r="P191" s="7"/>
      <c r="Q191" s="7"/>
      <c r="R191" s="11"/>
      <c r="S191" s="7"/>
      <c r="T191" s="5"/>
    </row>
    <row r="192" spans="1:20" s="29" customFormat="1" x14ac:dyDescent="0.25">
      <c r="A192" s="25" t="s">
        <v>71</v>
      </c>
      <c r="B192" s="25" t="s">
        <v>915</v>
      </c>
      <c r="C192" s="26">
        <v>44792</v>
      </c>
      <c r="D192" s="25" t="s">
        <v>5</v>
      </c>
      <c r="E192" s="25">
        <v>27</v>
      </c>
      <c r="F192" s="27">
        <v>448000</v>
      </c>
      <c r="G192" s="27">
        <f t="shared" si="9"/>
        <v>16592.592592592591</v>
      </c>
      <c r="H192" s="28" t="s">
        <v>916</v>
      </c>
      <c r="I192" s="28" t="s">
        <v>917</v>
      </c>
      <c r="J192" s="28" t="s">
        <v>388</v>
      </c>
      <c r="K192" s="25" t="s">
        <v>873</v>
      </c>
      <c r="L192" s="25"/>
      <c r="M192" s="25"/>
      <c r="N192" s="28"/>
      <c r="O192" s="27"/>
      <c r="P192" s="27"/>
      <c r="Q192" s="27"/>
      <c r="R192" s="28"/>
      <c r="S192" s="27"/>
      <c r="T192" s="25"/>
    </row>
    <row r="193" spans="1:20" x14ac:dyDescent="0.25">
      <c r="A193" s="5" t="s">
        <v>71</v>
      </c>
      <c r="B193" s="5" t="s">
        <v>903</v>
      </c>
      <c r="C193" s="14">
        <v>44805</v>
      </c>
      <c r="D193" s="5" t="s">
        <v>4</v>
      </c>
      <c r="E193" s="5">
        <v>397</v>
      </c>
      <c r="F193" s="7">
        <v>9728000</v>
      </c>
      <c r="G193" s="7">
        <f t="shared" si="9"/>
        <v>24503.778337531487</v>
      </c>
      <c r="H193" s="11" t="s">
        <v>919</v>
      </c>
      <c r="I193" s="11" t="s">
        <v>7</v>
      </c>
      <c r="J193" s="11" t="s">
        <v>234</v>
      </c>
      <c r="K193" s="5" t="s">
        <v>362</v>
      </c>
      <c r="L193" s="6" t="s">
        <v>964</v>
      </c>
      <c r="M193" s="5"/>
      <c r="N193" s="11"/>
      <c r="O193" s="7"/>
      <c r="P193" s="7"/>
      <c r="Q193" s="7"/>
      <c r="R193" s="11"/>
      <c r="S193" s="7"/>
      <c r="T193" s="5"/>
    </row>
    <row r="194" spans="1:20" x14ac:dyDescent="0.25">
      <c r="A194" s="5" t="s">
        <v>272</v>
      </c>
      <c r="B194" s="5" t="s">
        <v>922</v>
      </c>
      <c r="C194" s="14">
        <v>44848</v>
      </c>
      <c r="D194" s="5" t="s">
        <v>923</v>
      </c>
      <c r="E194" s="5">
        <v>228</v>
      </c>
      <c r="F194" s="7">
        <v>5588000</v>
      </c>
      <c r="G194" s="7">
        <f t="shared" si="9"/>
        <v>24508.771929824561</v>
      </c>
      <c r="H194" s="11" t="s">
        <v>923</v>
      </c>
      <c r="I194" s="11" t="s">
        <v>53</v>
      </c>
      <c r="J194" s="11" t="s">
        <v>234</v>
      </c>
      <c r="K194" s="5" t="s">
        <v>422</v>
      </c>
      <c r="L194" s="6"/>
      <c r="M194" s="5"/>
      <c r="N194" s="11"/>
      <c r="O194" s="7"/>
      <c r="P194" s="7"/>
      <c r="Q194" s="7"/>
      <c r="R194" s="11"/>
      <c r="S194" s="7"/>
      <c r="T194" s="5"/>
    </row>
    <row r="195" spans="1:20" x14ac:dyDescent="0.25">
      <c r="A195" s="5" t="s">
        <v>272</v>
      </c>
      <c r="B195" s="5" t="s">
        <v>929</v>
      </c>
      <c r="C195" s="14">
        <v>44851</v>
      </c>
      <c r="D195" s="5" t="s">
        <v>165</v>
      </c>
      <c r="E195" s="5">
        <v>54</v>
      </c>
      <c r="F195" s="7">
        <v>1275000</v>
      </c>
      <c r="G195" s="7">
        <f t="shared" si="9"/>
        <v>23611.111111111109</v>
      </c>
      <c r="H195" s="11" t="s">
        <v>165</v>
      </c>
      <c r="I195" s="11" t="s">
        <v>165</v>
      </c>
      <c r="J195" s="11" t="s">
        <v>388</v>
      </c>
      <c r="K195" s="5" t="s">
        <v>657</v>
      </c>
      <c r="L195" s="6"/>
      <c r="M195" s="5"/>
      <c r="N195" s="11"/>
      <c r="O195" s="7"/>
      <c r="P195" s="7"/>
      <c r="Q195" s="7"/>
      <c r="R195" s="11"/>
      <c r="S195" s="7"/>
      <c r="T195" s="5"/>
    </row>
    <row r="196" spans="1:20" x14ac:dyDescent="0.25">
      <c r="A196" s="5" t="s">
        <v>272</v>
      </c>
      <c r="B196" s="5" t="s">
        <v>924</v>
      </c>
      <c r="C196" s="14">
        <v>44852</v>
      </c>
      <c r="D196" s="5" t="s">
        <v>923</v>
      </c>
      <c r="E196" s="5">
        <v>357</v>
      </c>
      <c r="F196" s="7">
        <v>8648000</v>
      </c>
      <c r="G196" s="7">
        <f t="shared" si="9"/>
        <v>24224.089635854343</v>
      </c>
      <c r="H196" s="11" t="s">
        <v>923</v>
      </c>
      <c r="I196" s="11" t="s">
        <v>490</v>
      </c>
      <c r="J196" s="11" t="s">
        <v>652</v>
      </c>
      <c r="K196" s="5" t="s">
        <v>422</v>
      </c>
      <c r="L196" s="6" t="s">
        <v>1130</v>
      </c>
      <c r="M196" s="5"/>
      <c r="N196" s="11"/>
      <c r="O196" s="7"/>
      <c r="P196" s="7"/>
      <c r="Q196" s="7"/>
      <c r="R196" s="11"/>
      <c r="S196" s="7"/>
      <c r="T196" s="5"/>
    </row>
    <row r="197" spans="1:20" x14ac:dyDescent="0.25">
      <c r="A197" s="5" t="s">
        <v>71</v>
      </c>
      <c r="B197" s="5" t="s">
        <v>927</v>
      </c>
      <c r="C197" s="14">
        <v>44854</v>
      </c>
      <c r="D197" s="5" t="s">
        <v>506</v>
      </c>
      <c r="E197" s="5">
        <v>81</v>
      </c>
      <c r="F197" s="7">
        <v>2188000</v>
      </c>
      <c r="G197" s="7">
        <f t="shared" si="9"/>
        <v>27012.345679012345</v>
      </c>
      <c r="H197" s="11" t="s">
        <v>930</v>
      </c>
      <c r="I197" s="11" t="s">
        <v>275</v>
      </c>
      <c r="J197" s="11" t="s">
        <v>388</v>
      </c>
      <c r="K197" s="5" t="s">
        <v>202</v>
      </c>
      <c r="L197" s="6" t="s">
        <v>963</v>
      </c>
      <c r="M197" s="5"/>
      <c r="N197" s="11"/>
      <c r="O197" s="7"/>
      <c r="P197" s="7"/>
      <c r="Q197" s="7"/>
      <c r="R197" s="11"/>
      <c r="S197" s="7"/>
      <c r="T197" s="5"/>
    </row>
    <row r="198" spans="1:20" x14ac:dyDescent="0.25">
      <c r="A198" s="5" t="s">
        <v>71</v>
      </c>
      <c r="B198" s="5" t="s">
        <v>927</v>
      </c>
      <c r="C198" s="14">
        <v>44854</v>
      </c>
      <c r="D198" s="5" t="s">
        <v>5</v>
      </c>
      <c r="E198" s="5">
        <v>81</v>
      </c>
      <c r="F198" s="7">
        <v>2188000</v>
      </c>
      <c r="G198" s="7">
        <f t="shared" ref="G198:G218" si="10">F198/E198</f>
        <v>27012.345679012345</v>
      </c>
      <c r="H198" s="11" t="s">
        <v>930</v>
      </c>
      <c r="I198" s="11" t="s">
        <v>275</v>
      </c>
      <c r="J198" s="11" t="s">
        <v>388</v>
      </c>
      <c r="K198" s="5" t="s">
        <v>202</v>
      </c>
      <c r="L198" s="6"/>
      <c r="M198" s="5"/>
      <c r="N198" s="11"/>
      <c r="O198" s="7"/>
      <c r="P198" s="7"/>
      <c r="Q198" s="7"/>
      <c r="R198" s="11"/>
      <c r="S198" s="7"/>
      <c r="T198" s="5"/>
    </row>
    <row r="199" spans="1:20" x14ac:dyDescent="0.25">
      <c r="A199" s="5" t="s">
        <v>71</v>
      </c>
      <c r="B199" s="5" t="s">
        <v>921</v>
      </c>
      <c r="C199" s="14">
        <v>44855</v>
      </c>
      <c r="D199" s="5" t="s">
        <v>5</v>
      </c>
      <c r="E199" s="5">
        <v>244</v>
      </c>
      <c r="F199" s="7">
        <v>5844000</v>
      </c>
      <c r="G199" s="7">
        <f t="shared" si="10"/>
        <v>23950.819672131147</v>
      </c>
      <c r="H199" s="11" t="s">
        <v>931</v>
      </c>
      <c r="I199" s="11" t="s">
        <v>190</v>
      </c>
      <c r="J199" s="11" t="s">
        <v>234</v>
      </c>
      <c r="K199" s="5" t="s">
        <v>202</v>
      </c>
      <c r="L199" s="6"/>
      <c r="M199" s="5"/>
      <c r="N199" s="11"/>
      <c r="O199" s="7"/>
      <c r="P199" s="7"/>
      <c r="Q199" s="7"/>
      <c r="R199" s="11"/>
      <c r="S199" s="7"/>
      <c r="T199" s="5"/>
    </row>
    <row r="200" spans="1:20" x14ac:dyDescent="0.25">
      <c r="A200" s="5" t="s">
        <v>71</v>
      </c>
      <c r="B200" s="5" t="s">
        <v>932</v>
      </c>
      <c r="C200" s="14">
        <v>44861</v>
      </c>
      <c r="D200" s="5" t="s">
        <v>4</v>
      </c>
      <c r="E200" s="5">
        <v>425</v>
      </c>
      <c r="F200" s="7">
        <v>9488000</v>
      </c>
      <c r="G200" s="7">
        <f t="shared" si="10"/>
        <v>22324.705882352941</v>
      </c>
      <c r="H200" s="11" t="s">
        <v>933</v>
      </c>
      <c r="I200" s="11" t="s">
        <v>7</v>
      </c>
      <c r="J200" s="11" t="s">
        <v>595</v>
      </c>
      <c r="K200" s="5" t="s">
        <v>901</v>
      </c>
      <c r="L200" s="6" t="s">
        <v>969</v>
      </c>
      <c r="M200" s="5"/>
      <c r="N200" s="11"/>
      <c r="O200" s="7"/>
      <c r="P200" s="7"/>
      <c r="Q200" s="7"/>
      <c r="R200" s="11"/>
      <c r="S200" s="7"/>
      <c r="T200" s="5"/>
    </row>
    <row r="201" spans="1:20" x14ac:dyDescent="0.25">
      <c r="A201" s="5" t="s">
        <v>272</v>
      </c>
      <c r="B201" s="5" t="s">
        <v>928</v>
      </c>
      <c r="C201" s="14">
        <v>44862</v>
      </c>
      <c r="D201" s="5" t="s">
        <v>230</v>
      </c>
      <c r="E201" s="5">
        <v>210</v>
      </c>
      <c r="F201" s="7">
        <v>4165000</v>
      </c>
      <c r="G201" s="7">
        <f t="shared" si="10"/>
        <v>19833.333333333332</v>
      </c>
      <c r="H201" s="11" t="s">
        <v>934</v>
      </c>
      <c r="I201" s="11" t="s">
        <v>935</v>
      </c>
      <c r="J201" s="11" t="s">
        <v>388</v>
      </c>
      <c r="K201" s="5" t="s">
        <v>270</v>
      </c>
      <c r="L201" s="6" t="s">
        <v>976</v>
      </c>
      <c r="M201" s="5"/>
      <c r="N201" s="11"/>
      <c r="O201" s="7"/>
      <c r="P201" s="7"/>
      <c r="Q201" s="7"/>
      <c r="R201" s="11"/>
      <c r="S201" s="7"/>
      <c r="T201" s="5"/>
    </row>
    <row r="202" spans="1:20" x14ac:dyDescent="0.25">
      <c r="A202" s="5" t="s">
        <v>272</v>
      </c>
      <c r="B202" s="5" t="s">
        <v>937</v>
      </c>
      <c r="C202" s="14">
        <v>44880</v>
      </c>
      <c r="D202" s="5" t="s">
        <v>3</v>
      </c>
      <c r="E202" s="5">
        <v>51</v>
      </c>
      <c r="F202" s="7">
        <v>2548000</v>
      </c>
      <c r="G202" s="7">
        <f t="shared" si="10"/>
        <v>49960.784313725489</v>
      </c>
      <c r="H202" s="11" t="s">
        <v>938</v>
      </c>
      <c r="I202" s="11" t="s">
        <v>198</v>
      </c>
      <c r="J202" s="11" t="s">
        <v>8</v>
      </c>
      <c r="K202" s="5" t="s">
        <v>878</v>
      </c>
      <c r="L202" s="6" t="s">
        <v>985</v>
      </c>
      <c r="M202" s="5"/>
      <c r="N202" s="11"/>
      <c r="O202" s="7"/>
      <c r="P202" s="7"/>
      <c r="Q202" s="7"/>
      <c r="R202" s="11"/>
      <c r="S202" s="7"/>
      <c r="T202" s="5"/>
    </row>
    <row r="203" spans="1:20" s="29" customFormat="1" x14ac:dyDescent="0.25">
      <c r="A203" s="25" t="s">
        <v>71</v>
      </c>
      <c r="B203" s="25" t="s">
        <v>944</v>
      </c>
      <c r="C203" s="26">
        <v>44887</v>
      </c>
      <c r="D203" s="25" t="s">
        <v>5</v>
      </c>
      <c r="E203" s="25">
        <v>170</v>
      </c>
      <c r="F203" s="27">
        <v>6714000</v>
      </c>
      <c r="G203" s="27">
        <f t="shared" si="10"/>
        <v>39494.117647058825</v>
      </c>
      <c r="H203" s="28" t="s">
        <v>945</v>
      </c>
      <c r="I203" s="28" t="s">
        <v>25</v>
      </c>
      <c r="J203" s="28" t="s">
        <v>8</v>
      </c>
      <c r="K203" s="25" t="s">
        <v>450</v>
      </c>
      <c r="L203" s="25"/>
      <c r="M203" s="25"/>
      <c r="N203" s="28"/>
      <c r="O203" s="27"/>
      <c r="P203" s="27"/>
      <c r="Q203" s="27"/>
      <c r="R203" s="28"/>
      <c r="S203" s="27"/>
      <c r="T203" s="25"/>
    </row>
    <row r="204" spans="1:20" x14ac:dyDescent="0.25">
      <c r="A204" s="5" t="s">
        <v>272</v>
      </c>
      <c r="B204" s="5" t="s">
        <v>949</v>
      </c>
      <c r="C204" s="14">
        <v>44895</v>
      </c>
      <c r="D204" s="5" t="s">
        <v>230</v>
      </c>
      <c r="E204" s="5">
        <v>139</v>
      </c>
      <c r="F204" s="7">
        <v>3450000</v>
      </c>
      <c r="G204" s="7">
        <f t="shared" si="10"/>
        <v>24820.143884892088</v>
      </c>
      <c r="H204" s="11" t="s">
        <v>950</v>
      </c>
      <c r="I204" s="11" t="s">
        <v>951</v>
      </c>
      <c r="J204" s="11" t="s">
        <v>952</v>
      </c>
      <c r="K204" s="5" t="s">
        <v>240</v>
      </c>
      <c r="L204" s="6"/>
      <c r="M204" s="5"/>
      <c r="N204" s="11"/>
      <c r="O204" s="7"/>
      <c r="P204" s="7"/>
      <c r="Q204" s="7"/>
      <c r="R204" s="11"/>
      <c r="S204" s="7"/>
      <c r="T204" s="5"/>
    </row>
    <row r="205" spans="1:20" x14ac:dyDescent="0.25">
      <c r="A205" s="5" t="s">
        <v>71</v>
      </c>
      <c r="B205" s="5" t="s">
        <v>948</v>
      </c>
      <c r="C205" s="14">
        <v>44897</v>
      </c>
      <c r="D205" s="5" t="s">
        <v>527</v>
      </c>
      <c r="E205" s="5">
        <v>108</v>
      </c>
      <c r="F205" s="7">
        <v>2498000</v>
      </c>
      <c r="G205" s="7">
        <f t="shared" si="10"/>
        <v>23129.629629629631</v>
      </c>
      <c r="H205" s="11" t="s">
        <v>727</v>
      </c>
      <c r="I205" s="11" t="s">
        <v>490</v>
      </c>
      <c r="J205" s="11" t="s">
        <v>652</v>
      </c>
      <c r="K205" s="5" t="s">
        <v>830</v>
      </c>
      <c r="L205" s="6" t="s">
        <v>953</v>
      </c>
      <c r="M205" s="54">
        <v>1895000</v>
      </c>
      <c r="N205" s="11"/>
      <c r="O205" s="7"/>
      <c r="P205" s="7"/>
      <c r="Q205" s="7"/>
      <c r="R205" s="11"/>
      <c r="S205" s="7"/>
      <c r="T205" s="5"/>
    </row>
    <row r="206" spans="1:20" x14ac:dyDescent="0.25">
      <c r="A206" s="5" t="s">
        <v>71</v>
      </c>
      <c r="B206" s="5" t="s">
        <v>946</v>
      </c>
      <c r="C206" s="14">
        <v>44911</v>
      </c>
      <c r="D206" s="5" t="s">
        <v>444</v>
      </c>
      <c r="E206" s="5">
        <v>474</v>
      </c>
      <c r="F206" s="7">
        <v>10422514</v>
      </c>
      <c r="G206" s="7">
        <f t="shared" si="10"/>
        <v>21988.426160337553</v>
      </c>
      <c r="H206" s="11" t="s">
        <v>444</v>
      </c>
      <c r="I206" s="11" t="s">
        <v>530</v>
      </c>
      <c r="J206" s="11" t="s">
        <v>388</v>
      </c>
      <c r="K206" s="5" t="s">
        <v>946</v>
      </c>
      <c r="L206" s="6"/>
      <c r="M206" s="5"/>
      <c r="N206" s="11"/>
      <c r="O206" s="7"/>
      <c r="P206" s="7"/>
      <c r="Q206" s="7"/>
      <c r="R206" s="11"/>
      <c r="S206" s="7"/>
      <c r="T206" s="5"/>
    </row>
    <row r="207" spans="1:20" x14ac:dyDescent="0.25">
      <c r="A207" s="5" t="s">
        <v>71</v>
      </c>
      <c r="B207" s="5" t="s">
        <v>947</v>
      </c>
      <c r="C207" s="14">
        <v>44925</v>
      </c>
      <c r="D207" s="5" t="s">
        <v>369</v>
      </c>
      <c r="E207" s="5">
        <v>134</v>
      </c>
      <c r="F207" s="7">
        <v>2778000</v>
      </c>
      <c r="G207" s="7">
        <f t="shared" si="10"/>
        <v>20731.343283582089</v>
      </c>
      <c r="H207" s="11" t="s">
        <v>369</v>
      </c>
      <c r="I207" s="11" t="s">
        <v>345</v>
      </c>
      <c r="J207" s="11" t="s">
        <v>388</v>
      </c>
      <c r="K207" s="5" t="s">
        <v>223</v>
      </c>
      <c r="L207" s="6" t="s">
        <v>967</v>
      </c>
      <c r="M207" s="5"/>
      <c r="N207" s="11"/>
      <c r="O207" s="7"/>
      <c r="P207" s="7"/>
      <c r="Q207" s="7"/>
      <c r="R207" s="11"/>
      <c r="S207" s="7"/>
      <c r="T207" s="5"/>
    </row>
    <row r="208" spans="1:20" x14ac:dyDescent="0.25">
      <c r="A208" s="5" t="s">
        <v>272</v>
      </c>
      <c r="B208" s="5" t="s">
        <v>966</v>
      </c>
      <c r="C208" s="14">
        <v>44932</v>
      </c>
      <c r="D208" s="5" t="s">
        <v>230</v>
      </c>
      <c r="E208" s="5">
        <v>752</v>
      </c>
      <c r="F208" s="7">
        <v>18700000</v>
      </c>
      <c r="G208" s="7">
        <f t="shared" si="10"/>
        <v>24867.021276595744</v>
      </c>
      <c r="H208" s="11" t="s">
        <v>968</v>
      </c>
      <c r="I208" s="11" t="s">
        <v>7</v>
      </c>
      <c r="J208" s="11" t="s">
        <v>388</v>
      </c>
      <c r="K208" s="5" t="s">
        <v>362</v>
      </c>
      <c r="L208" s="6"/>
      <c r="M208" s="5"/>
      <c r="N208" s="11"/>
      <c r="O208" s="7"/>
      <c r="P208" s="7"/>
      <c r="Q208" s="7"/>
      <c r="R208" s="11"/>
      <c r="S208" s="7"/>
      <c r="T208" s="5"/>
    </row>
    <row r="209" spans="1:20" x14ac:dyDescent="0.25">
      <c r="A209" s="5" t="s">
        <v>71</v>
      </c>
      <c r="B209" s="5" t="s">
        <v>965</v>
      </c>
      <c r="C209" s="14">
        <v>44950</v>
      </c>
      <c r="D209" s="5" t="s">
        <v>4</v>
      </c>
      <c r="E209" s="5">
        <v>295</v>
      </c>
      <c r="F209" s="7">
        <v>7058000</v>
      </c>
      <c r="G209" s="7">
        <f t="shared" si="10"/>
        <v>23925.423728813559</v>
      </c>
      <c r="H209" s="11" t="s">
        <v>899</v>
      </c>
      <c r="I209" s="11" t="s">
        <v>800</v>
      </c>
      <c r="J209" s="11" t="s">
        <v>595</v>
      </c>
      <c r="K209" s="5" t="s">
        <v>422</v>
      </c>
      <c r="L209" s="6" t="s">
        <v>984</v>
      </c>
      <c r="M209" s="5"/>
      <c r="N209" s="11"/>
      <c r="O209" s="7"/>
      <c r="P209" s="7"/>
      <c r="Q209" s="7"/>
      <c r="R209" s="11"/>
      <c r="S209" s="7"/>
      <c r="T209" s="5"/>
    </row>
    <row r="210" spans="1:20" x14ac:dyDescent="0.25">
      <c r="A210" s="5" t="s">
        <v>272</v>
      </c>
      <c r="B210" s="5" t="s">
        <v>39</v>
      </c>
      <c r="C210" s="14">
        <v>44953</v>
      </c>
      <c r="D210" s="5" t="s">
        <v>626</v>
      </c>
      <c r="E210" s="5">
        <v>360</v>
      </c>
      <c r="F210" s="7">
        <v>9650000</v>
      </c>
      <c r="G210" s="7">
        <f t="shared" si="10"/>
        <v>26805.555555555555</v>
      </c>
      <c r="H210" s="11" t="s">
        <v>626</v>
      </c>
      <c r="I210" s="11" t="s">
        <v>25</v>
      </c>
      <c r="J210" s="11" t="s">
        <v>388</v>
      </c>
      <c r="K210" s="5" t="s">
        <v>362</v>
      </c>
      <c r="L210" s="6" t="s">
        <v>1029</v>
      </c>
      <c r="M210" s="5"/>
      <c r="N210" s="11"/>
      <c r="O210" s="7"/>
      <c r="P210" s="7"/>
      <c r="Q210" s="7"/>
      <c r="R210" s="11"/>
      <c r="S210" s="7"/>
      <c r="T210" s="5"/>
    </row>
    <row r="211" spans="1:20" x14ac:dyDescent="0.25">
      <c r="A211" s="5" t="s">
        <v>71</v>
      </c>
      <c r="B211" s="5" t="s">
        <v>947</v>
      </c>
      <c r="C211" s="14">
        <v>44985</v>
      </c>
      <c r="D211" s="5" t="s">
        <v>369</v>
      </c>
      <c r="E211" s="5">
        <v>139</v>
      </c>
      <c r="F211" s="7">
        <v>2826000</v>
      </c>
      <c r="G211" s="7">
        <f t="shared" si="10"/>
        <v>20330.935251798561</v>
      </c>
      <c r="H211" s="11" t="s">
        <v>369</v>
      </c>
      <c r="I211" s="11" t="s">
        <v>345</v>
      </c>
      <c r="J211" s="11" t="s">
        <v>388</v>
      </c>
      <c r="K211" s="5" t="s">
        <v>223</v>
      </c>
      <c r="L211" s="6"/>
      <c r="M211" s="5"/>
      <c r="N211" s="11"/>
      <c r="O211" s="7"/>
      <c r="P211" s="7"/>
      <c r="Q211" s="7"/>
      <c r="R211" s="11"/>
      <c r="S211" s="7"/>
      <c r="T211" s="5"/>
    </row>
    <row r="212" spans="1:20" x14ac:dyDescent="0.25">
      <c r="A212" s="5" t="s">
        <v>71</v>
      </c>
      <c r="B212" s="5" t="s">
        <v>986</v>
      </c>
      <c r="C212" s="14">
        <v>44988</v>
      </c>
      <c r="D212" s="5" t="s">
        <v>599</v>
      </c>
      <c r="E212" s="5" t="s">
        <v>388</v>
      </c>
      <c r="F212" s="7">
        <v>405000</v>
      </c>
      <c r="G212" s="7" t="s">
        <v>388</v>
      </c>
      <c r="H212" s="11" t="s">
        <v>600</v>
      </c>
      <c r="I212" s="11" t="s">
        <v>987</v>
      </c>
      <c r="J212" s="11" t="s">
        <v>988</v>
      </c>
      <c r="K212" s="5" t="s">
        <v>602</v>
      </c>
      <c r="L212" s="6" t="s">
        <v>989</v>
      </c>
      <c r="M212" s="5"/>
      <c r="N212" s="11"/>
      <c r="O212" s="7"/>
      <c r="P212" s="7"/>
      <c r="Q212" s="7"/>
      <c r="R212" s="11"/>
      <c r="S212" s="7"/>
      <c r="T212" s="5"/>
    </row>
    <row r="213" spans="1:20" x14ac:dyDescent="0.25">
      <c r="A213" s="5" t="s">
        <v>71</v>
      </c>
      <c r="B213" s="5" t="s">
        <v>937</v>
      </c>
      <c r="C213" s="14">
        <v>44998</v>
      </c>
      <c r="D213" s="5" t="s">
        <v>4</v>
      </c>
      <c r="E213" s="5">
        <v>51</v>
      </c>
      <c r="F213" s="7">
        <v>2228000</v>
      </c>
      <c r="G213" s="7">
        <f t="shared" si="10"/>
        <v>43686.274509803923</v>
      </c>
      <c r="H213" s="11" t="s">
        <v>938</v>
      </c>
      <c r="I213" s="11" t="s">
        <v>198</v>
      </c>
      <c r="J213" s="11" t="s">
        <v>8</v>
      </c>
      <c r="K213" s="5" t="s">
        <v>263</v>
      </c>
      <c r="L213" s="6" t="s">
        <v>995</v>
      </c>
      <c r="M213" s="5"/>
      <c r="N213" s="11"/>
      <c r="O213" s="7"/>
      <c r="P213" s="7"/>
      <c r="Q213" s="7"/>
      <c r="R213" s="11"/>
      <c r="S213" s="7"/>
      <c r="T213" s="5"/>
    </row>
    <row r="214" spans="1:20" x14ac:dyDescent="0.25">
      <c r="A214" s="5" t="s">
        <v>71</v>
      </c>
      <c r="B214" s="5" t="s">
        <v>891</v>
      </c>
      <c r="C214" s="14">
        <v>45007</v>
      </c>
      <c r="D214" s="5" t="s">
        <v>230</v>
      </c>
      <c r="E214" s="5">
        <v>93</v>
      </c>
      <c r="F214" s="7">
        <v>2040000</v>
      </c>
      <c r="G214" s="7">
        <f t="shared" si="10"/>
        <v>21935.483870967742</v>
      </c>
      <c r="H214" s="11" t="s">
        <v>408</v>
      </c>
      <c r="I214" s="11" t="s">
        <v>896</v>
      </c>
      <c r="J214" s="11" t="s">
        <v>547</v>
      </c>
      <c r="K214" s="5" t="s">
        <v>657</v>
      </c>
      <c r="L214" s="6" t="s">
        <v>1018</v>
      </c>
      <c r="M214" s="5"/>
      <c r="N214" s="11"/>
      <c r="O214" s="7"/>
      <c r="P214" s="7"/>
      <c r="Q214" s="7"/>
      <c r="R214" s="11"/>
      <c r="S214" s="7"/>
      <c r="T214" s="5"/>
    </row>
    <row r="215" spans="1:20" x14ac:dyDescent="0.25">
      <c r="A215" s="5" t="s">
        <v>71</v>
      </c>
      <c r="B215" s="5" t="s">
        <v>922</v>
      </c>
      <c r="C215" s="14">
        <v>45012</v>
      </c>
      <c r="D215" s="5" t="s">
        <v>923</v>
      </c>
      <c r="E215" s="5">
        <v>230</v>
      </c>
      <c r="F215" s="7">
        <v>5518000</v>
      </c>
      <c r="G215" s="7">
        <f t="shared" si="10"/>
        <v>23991.304347826088</v>
      </c>
      <c r="H215" s="11" t="s">
        <v>923</v>
      </c>
      <c r="I215" s="11" t="s">
        <v>53</v>
      </c>
      <c r="J215" s="11" t="s">
        <v>234</v>
      </c>
      <c r="K215" s="5" t="s">
        <v>422</v>
      </c>
      <c r="L215" s="6" t="s">
        <v>1015</v>
      </c>
      <c r="M215" s="5"/>
      <c r="N215" s="11"/>
      <c r="O215" s="7"/>
      <c r="P215" s="7"/>
      <c r="Q215" s="7"/>
      <c r="R215" s="11"/>
      <c r="S215" s="7"/>
      <c r="T215" s="5"/>
    </row>
    <row r="216" spans="1:20" x14ac:dyDescent="0.25">
      <c r="A216" s="5" t="s">
        <v>71</v>
      </c>
      <c r="B216" s="5" t="s">
        <v>991</v>
      </c>
      <c r="C216" s="14">
        <v>45015</v>
      </c>
      <c r="D216" s="5" t="s">
        <v>957</v>
      </c>
      <c r="E216" s="5">
        <v>169</v>
      </c>
      <c r="F216" s="7">
        <v>3328000</v>
      </c>
      <c r="G216" s="7">
        <f t="shared" si="10"/>
        <v>19692.307692307691</v>
      </c>
      <c r="H216" s="11" t="s">
        <v>992</v>
      </c>
      <c r="I216" s="11" t="s">
        <v>993</v>
      </c>
      <c r="J216" s="11" t="s">
        <v>234</v>
      </c>
      <c r="K216" s="5" t="s">
        <v>381</v>
      </c>
      <c r="L216" s="6" t="s">
        <v>994</v>
      </c>
      <c r="M216" s="5"/>
      <c r="N216" s="11"/>
      <c r="O216" s="7"/>
      <c r="P216" s="7"/>
      <c r="Q216" s="7"/>
      <c r="R216" s="11"/>
      <c r="S216" s="7"/>
      <c r="T216" s="5"/>
    </row>
    <row r="217" spans="1:20" x14ac:dyDescent="0.25">
      <c r="A217" s="5" t="s">
        <v>272</v>
      </c>
      <c r="B217" s="5" t="s">
        <v>921</v>
      </c>
      <c r="C217" s="14">
        <v>45022</v>
      </c>
      <c r="D217" s="5" t="s">
        <v>5</v>
      </c>
      <c r="E217" s="5">
        <v>244</v>
      </c>
      <c r="F217" s="7">
        <v>6038000</v>
      </c>
      <c r="G217" s="7">
        <f t="shared" si="10"/>
        <v>24745.901639344262</v>
      </c>
      <c r="H217" s="11" t="s">
        <v>931</v>
      </c>
      <c r="I217" s="11" t="s">
        <v>190</v>
      </c>
      <c r="J217" s="11" t="s">
        <v>234</v>
      </c>
      <c r="K217" s="5" t="s">
        <v>202</v>
      </c>
      <c r="L217" s="6" t="s">
        <v>1129</v>
      </c>
      <c r="M217" s="5"/>
      <c r="N217" s="11"/>
      <c r="O217" s="7"/>
      <c r="P217" s="7"/>
      <c r="Q217" s="7"/>
      <c r="R217" s="11"/>
      <c r="S217" s="7"/>
      <c r="T217" s="5"/>
    </row>
    <row r="218" spans="1:20" x14ac:dyDescent="0.25">
      <c r="A218" s="5" t="s">
        <v>272</v>
      </c>
      <c r="B218" s="5" t="s">
        <v>990</v>
      </c>
      <c r="C218" s="14">
        <v>45028</v>
      </c>
      <c r="D218" s="5" t="s">
        <v>997</v>
      </c>
      <c r="E218" s="5">
        <v>104</v>
      </c>
      <c r="F218" s="7">
        <v>2368000</v>
      </c>
      <c r="G218" s="7">
        <f t="shared" si="10"/>
        <v>22769.23076923077</v>
      </c>
      <c r="H218" s="11" t="s">
        <v>408</v>
      </c>
      <c r="I218" s="11" t="s">
        <v>53</v>
      </c>
      <c r="J218" s="11" t="s">
        <v>388</v>
      </c>
      <c r="K218" s="5" t="s">
        <v>531</v>
      </c>
      <c r="L218" s="6"/>
      <c r="M218" s="5"/>
      <c r="N218" s="11"/>
      <c r="O218" s="7"/>
      <c r="P218" s="7"/>
      <c r="Q218" s="7"/>
      <c r="R218" s="11"/>
      <c r="S218" s="7"/>
      <c r="T218" s="5"/>
    </row>
    <row r="219" spans="1:20" x14ac:dyDescent="0.25">
      <c r="A219" s="5" t="s">
        <v>71</v>
      </c>
      <c r="B219" s="5" t="s">
        <v>999</v>
      </c>
      <c r="C219" s="14">
        <v>45035</v>
      </c>
      <c r="D219" s="5" t="s">
        <v>957</v>
      </c>
      <c r="E219" s="5">
        <v>169</v>
      </c>
      <c r="F219" s="7">
        <v>3198000</v>
      </c>
      <c r="G219" s="7">
        <f t="shared" ref="G219:G225" si="11">F219/E219</f>
        <v>18923.076923076922</v>
      </c>
      <c r="H219" s="11" t="s">
        <v>992</v>
      </c>
      <c r="I219" s="11" t="s">
        <v>993</v>
      </c>
      <c r="J219" s="11" t="s">
        <v>234</v>
      </c>
      <c r="K219" s="5" t="s">
        <v>381</v>
      </c>
      <c r="L219" s="6" t="s">
        <v>998</v>
      </c>
      <c r="M219" s="5"/>
      <c r="N219" s="11"/>
      <c r="O219" s="7"/>
      <c r="P219" s="7"/>
      <c r="Q219" s="7"/>
      <c r="R219" s="11"/>
      <c r="S219" s="7"/>
      <c r="T219" s="5"/>
    </row>
    <row r="220" spans="1:20" x14ac:dyDescent="0.25">
      <c r="A220" s="5" t="s">
        <v>272</v>
      </c>
      <c r="B220" s="5" t="s">
        <v>1001</v>
      </c>
      <c r="C220" s="14">
        <v>45050</v>
      </c>
      <c r="D220" s="5" t="s">
        <v>626</v>
      </c>
      <c r="E220" s="5">
        <v>256</v>
      </c>
      <c r="F220" s="7">
        <v>7300000</v>
      </c>
      <c r="G220" s="7">
        <f t="shared" si="11"/>
        <v>28515.625</v>
      </c>
      <c r="H220" s="11" t="s">
        <v>626</v>
      </c>
      <c r="I220" s="11" t="s">
        <v>1008</v>
      </c>
      <c r="J220" s="11" t="s">
        <v>234</v>
      </c>
      <c r="K220" s="5" t="s">
        <v>1002</v>
      </c>
      <c r="L220" s="6" t="s">
        <v>1045</v>
      </c>
      <c r="M220" s="5"/>
      <c r="N220" s="11"/>
      <c r="O220" s="7"/>
      <c r="P220" s="7"/>
      <c r="Q220" s="7"/>
      <c r="R220" s="11"/>
      <c r="S220" s="7"/>
      <c r="T220" s="5"/>
    </row>
    <row r="221" spans="1:20" x14ac:dyDescent="0.25">
      <c r="A221" s="5" t="s">
        <v>272</v>
      </c>
      <c r="B221" s="5" t="s">
        <v>1000</v>
      </c>
      <c r="C221" s="14">
        <v>45056</v>
      </c>
      <c r="D221" s="5" t="s">
        <v>4</v>
      </c>
      <c r="E221" s="5">
        <v>169</v>
      </c>
      <c r="F221" s="7">
        <v>4700000</v>
      </c>
      <c r="G221" s="7">
        <f t="shared" si="11"/>
        <v>27810.650887573964</v>
      </c>
      <c r="H221" s="11" t="s">
        <v>1012</v>
      </c>
      <c r="I221" s="11" t="s">
        <v>1013</v>
      </c>
      <c r="J221" s="11" t="s">
        <v>234</v>
      </c>
      <c r="K221" s="5" t="s">
        <v>1014</v>
      </c>
      <c r="L221" s="6"/>
      <c r="M221" s="5"/>
      <c r="N221" s="11"/>
      <c r="O221" s="7"/>
      <c r="P221" s="7"/>
      <c r="Q221" s="7"/>
      <c r="R221" s="11"/>
      <c r="S221" s="7"/>
      <c r="T221" s="5"/>
    </row>
    <row r="222" spans="1:20" x14ac:dyDescent="0.25">
      <c r="A222" s="5" t="s">
        <v>272</v>
      </c>
      <c r="B222" s="5" t="s">
        <v>1007</v>
      </c>
      <c r="C222" s="14">
        <v>45058</v>
      </c>
      <c r="D222" s="5" t="s">
        <v>702</v>
      </c>
      <c r="E222" s="5">
        <v>71</v>
      </c>
      <c r="F222" s="7">
        <v>2090000</v>
      </c>
      <c r="G222" s="7">
        <f t="shared" si="11"/>
        <v>29436.619718309859</v>
      </c>
      <c r="H222" s="11" t="s">
        <v>1016</v>
      </c>
      <c r="I222" s="11" t="s">
        <v>1017</v>
      </c>
      <c r="J222" s="11" t="s">
        <v>8</v>
      </c>
      <c r="K222" s="5" t="s">
        <v>657</v>
      </c>
      <c r="L222" s="6"/>
      <c r="M222" s="5"/>
      <c r="N222" s="11"/>
      <c r="O222" s="7"/>
      <c r="P222" s="7"/>
      <c r="Q222" s="7"/>
      <c r="R222" s="11"/>
      <c r="S222" s="7"/>
      <c r="T222" s="5"/>
    </row>
    <row r="223" spans="1:20" x14ac:dyDescent="0.25">
      <c r="A223" s="5" t="s">
        <v>71</v>
      </c>
      <c r="B223" s="5" t="s">
        <v>903</v>
      </c>
      <c r="C223" s="14">
        <v>45069</v>
      </c>
      <c r="D223" s="5" t="s">
        <v>4</v>
      </c>
      <c r="E223" s="5">
        <v>397</v>
      </c>
      <c r="F223" s="7">
        <v>9128000</v>
      </c>
      <c r="G223" s="7">
        <f t="shared" si="11"/>
        <v>22992.443324937027</v>
      </c>
      <c r="H223" s="11" t="s">
        <v>919</v>
      </c>
      <c r="I223" s="11" t="s">
        <v>7</v>
      </c>
      <c r="J223" s="11" t="s">
        <v>234</v>
      </c>
      <c r="K223" s="5" t="s">
        <v>362</v>
      </c>
      <c r="L223" s="6"/>
      <c r="M223" s="5"/>
      <c r="N223" s="11"/>
      <c r="O223" s="7"/>
      <c r="P223" s="7"/>
      <c r="Q223" s="7"/>
      <c r="R223" s="11"/>
      <c r="S223" s="7"/>
      <c r="T223" s="5"/>
    </row>
    <row r="224" spans="1:20" x14ac:dyDescent="0.25">
      <c r="A224" s="5" t="s">
        <v>71</v>
      </c>
      <c r="B224" s="5" t="s">
        <v>1019</v>
      </c>
      <c r="C224" s="14">
        <v>45070</v>
      </c>
      <c r="D224" s="5" t="s">
        <v>444</v>
      </c>
      <c r="E224" s="5" t="s">
        <v>388</v>
      </c>
      <c r="F224" s="7" t="s">
        <v>388</v>
      </c>
      <c r="G224" s="7"/>
      <c r="H224" s="11" t="s">
        <v>444</v>
      </c>
      <c r="I224" s="11" t="s">
        <v>530</v>
      </c>
      <c r="J224" s="11" t="s">
        <v>388</v>
      </c>
      <c r="K224" s="5" t="s">
        <v>946</v>
      </c>
      <c r="L224" s="6"/>
      <c r="M224" s="5"/>
      <c r="N224" s="11"/>
      <c r="O224" s="7"/>
      <c r="P224" s="7"/>
      <c r="Q224" s="7"/>
      <c r="R224" s="11"/>
      <c r="S224" s="7"/>
      <c r="T224" s="5"/>
    </row>
    <row r="225" spans="1:20" x14ac:dyDescent="0.25">
      <c r="A225" s="5" t="s">
        <v>71</v>
      </c>
      <c r="B225" s="5" t="s">
        <v>1020</v>
      </c>
      <c r="C225" s="14">
        <v>45072</v>
      </c>
      <c r="D225" s="5" t="s">
        <v>230</v>
      </c>
      <c r="E225" s="5">
        <v>65</v>
      </c>
      <c r="F225" s="7">
        <v>1688000</v>
      </c>
      <c r="G225" s="7">
        <f t="shared" si="11"/>
        <v>25969.23076923077</v>
      </c>
      <c r="H225" s="11" t="s">
        <v>1021</v>
      </c>
      <c r="I225" s="11" t="s">
        <v>912</v>
      </c>
      <c r="J225" s="11" t="s">
        <v>652</v>
      </c>
      <c r="K225" s="5" t="s">
        <v>1014</v>
      </c>
      <c r="L225" s="6"/>
      <c r="M225" s="5"/>
      <c r="N225" s="11"/>
      <c r="O225" s="7"/>
      <c r="P225" s="7"/>
      <c r="Q225" s="7"/>
      <c r="R225" s="11"/>
      <c r="S225" s="7"/>
      <c r="T225" s="5"/>
    </row>
    <row r="226" spans="1:20" x14ac:dyDescent="0.25">
      <c r="A226" s="5" t="s">
        <v>71</v>
      </c>
      <c r="B226" s="5" t="s">
        <v>1020</v>
      </c>
      <c r="C226" s="14">
        <v>45072</v>
      </c>
      <c r="D226" s="5" t="s">
        <v>869</v>
      </c>
      <c r="E226" s="5">
        <v>65</v>
      </c>
      <c r="F226" s="7">
        <v>1708000</v>
      </c>
      <c r="G226" s="7">
        <f t="shared" ref="G226:G232" si="12">F226/E226</f>
        <v>26276.923076923078</v>
      </c>
      <c r="H226" s="11" t="s">
        <v>1021</v>
      </c>
      <c r="I226" s="11" t="s">
        <v>912</v>
      </c>
      <c r="J226" s="11" t="s">
        <v>652</v>
      </c>
      <c r="K226" s="5" t="s">
        <v>1014</v>
      </c>
      <c r="L226" s="6"/>
      <c r="M226" s="5"/>
      <c r="N226" s="11"/>
      <c r="O226" s="7"/>
      <c r="P226" s="7"/>
      <c r="Q226" s="7"/>
      <c r="R226" s="11"/>
      <c r="S226" s="7"/>
      <c r="T226" s="5"/>
    </row>
    <row r="227" spans="1:20" s="29" customFormat="1" x14ac:dyDescent="0.25">
      <c r="A227" s="25" t="s">
        <v>71</v>
      </c>
      <c r="B227" s="25" t="s">
        <v>1009</v>
      </c>
      <c r="C227" s="26">
        <v>45084</v>
      </c>
      <c r="D227" s="25" t="s">
        <v>527</v>
      </c>
      <c r="E227" s="25">
        <v>204</v>
      </c>
      <c r="F227" s="27">
        <v>4178000</v>
      </c>
      <c r="G227" s="27">
        <f t="shared" si="12"/>
        <v>20480.392156862745</v>
      </c>
      <c r="H227" s="28" t="s">
        <v>1022</v>
      </c>
      <c r="I227" s="28" t="s">
        <v>815</v>
      </c>
      <c r="J227" s="28" t="s">
        <v>1023</v>
      </c>
      <c r="K227" s="25" t="s">
        <v>602</v>
      </c>
      <c r="L227" s="25" t="s">
        <v>1024</v>
      </c>
      <c r="M227" s="25"/>
      <c r="N227" s="28"/>
      <c r="O227" s="27"/>
      <c r="P227" s="27"/>
      <c r="Q227" s="27"/>
      <c r="R227" s="28"/>
      <c r="S227" s="27"/>
      <c r="T227" s="25"/>
    </row>
    <row r="228" spans="1:20" s="29" customFormat="1" x14ac:dyDescent="0.25">
      <c r="A228" s="25" t="s">
        <v>71</v>
      </c>
      <c r="B228" s="25" t="s">
        <v>929</v>
      </c>
      <c r="C228" s="26">
        <v>45086</v>
      </c>
      <c r="D228" s="25" t="s">
        <v>165</v>
      </c>
      <c r="E228" s="25">
        <v>54</v>
      </c>
      <c r="F228" s="27">
        <v>1224000</v>
      </c>
      <c r="G228" s="27">
        <f t="shared" si="12"/>
        <v>22666.666666666668</v>
      </c>
      <c r="H228" s="28" t="s">
        <v>165</v>
      </c>
      <c r="I228" s="28" t="s">
        <v>165</v>
      </c>
      <c r="J228" s="28" t="s">
        <v>388</v>
      </c>
      <c r="K228" s="25" t="s">
        <v>657</v>
      </c>
      <c r="L228" s="25" t="s">
        <v>1030</v>
      </c>
      <c r="M228" s="25"/>
      <c r="N228" s="28"/>
      <c r="O228" s="27"/>
      <c r="P228" s="27"/>
      <c r="Q228" s="27"/>
      <c r="R228" s="28"/>
      <c r="S228" s="27"/>
      <c r="T228" s="25"/>
    </row>
    <row r="229" spans="1:20" x14ac:dyDescent="0.25">
      <c r="A229" s="5" t="s">
        <v>71</v>
      </c>
      <c r="B229" s="5" t="s">
        <v>824</v>
      </c>
      <c r="C229" s="14">
        <v>45092</v>
      </c>
      <c r="D229" s="5" t="s">
        <v>230</v>
      </c>
      <c r="E229" s="5">
        <v>312</v>
      </c>
      <c r="F229" s="7">
        <v>6722300</v>
      </c>
      <c r="G229" s="7">
        <f t="shared" si="12"/>
        <v>21545.833333333332</v>
      </c>
      <c r="H229" s="11" t="s">
        <v>408</v>
      </c>
      <c r="I229" s="11" t="s">
        <v>637</v>
      </c>
      <c r="J229" s="11" t="s">
        <v>388</v>
      </c>
      <c r="K229" s="5" t="s">
        <v>362</v>
      </c>
      <c r="L229" s="6" t="s">
        <v>1028</v>
      </c>
      <c r="M229" s="5"/>
      <c r="N229" s="11"/>
      <c r="O229" s="7"/>
      <c r="P229" s="7"/>
      <c r="Q229" s="7"/>
      <c r="R229" s="11"/>
      <c r="S229" s="7"/>
      <c r="T229" s="5"/>
    </row>
    <row r="230" spans="1:20" x14ac:dyDescent="0.25">
      <c r="A230" s="5" t="s">
        <v>272</v>
      </c>
      <c r="B230" s="5" t="s">
        <v>1031</v>
      </c>
      <c r="C230" s="14">
        <v>45098</v>
      </c>
      <c r="D230" s="5" t="s">
        <v>230</v>
      </c>
      <c r="E230" s="5">
        <v>139</v>
      </c>
      <c r="F230" s="7">
        <v>3537000</v>
      </c>
      <c r="G230" s="7">
        <f t="shared" si="12"/>
        <v>25446.043165467625</v>
      </c>
      <c r="H230" s="11" t="s">
        <v>950</v>
      </c>
      <c r="I230" s="11" t="s">
        <v>951</v>
      </c>
      <c r="J230" s="11" t="s">
        <v>952</v>
      </c>
      <c r="K230" s="5" t="s">
        <v>240</v>
      </c>
      <c r="L230" s="6" t="s">
        <v>1100</v>
      </c>
      <c r="M230" s="5"/>
      <c r="N230" s="11"/>
      <c r="O230" s="7"/>
      <c r="P230" s="7"/>
      <c r="Q230" s="7"/>
      <c r="R230" s="11"/>
      <c r="S230" s="7"/>
      <c r="T230" s="5"/>
    </row>
    <row r="231" spans="1:20" x14ac:dyDescent="0.25">
      <c r="A231" s="5" t="s">
        <v>71</v>
      </c>
      <c r="B231" s="5" t="s">
        <v>946</v>
      </c>
      <c r="C231" s="14">
        <v>45107</v>
      </c>
      <c r="D231" s="5" t="s">
        <v>444</v>
      </c>
      <c r="E231" s="5">
        <v>474</v>
      </c>
      <c r="F231" s="7">
        <v>10609805</v>
      </c>
      <c r="G231" s="7">
        <f t="shared" si="12"/>
        <v>22383.554852320674</v>
      </c>
      <c r="H231" s="11" t="s">
        <v>444</v>
      </c>
      <c r="I231" s="11" t="s">
        <v>530</v>
      </c>
      <c r="J231" s="11" t="s">
        <v>388</v>
      </c>
      <c r="K231" s="5" t="s">
        <v>946</v>
      </c>
      <c r="L231" s="6"/>
      <c r="M231" s="5"/>
      <c r="N231" s="11"/>
      <c r="O231" s="7"/>
      <c r="P231" s="7"/>
      <c r="Q231" s="7"/>
      <c r="R231" s="11"/>
      <c r="S231" s="7"/>
      <c r="T231" s="5"/>
    </row>
    <row r="232" spans="1:20" s="29" customFormat="1" x14ac:dyDescent="0.25">
      <c r="A232" s="25" t="s">
        <v>71</v>
      </c>
      <c r="B232" s="25" t="s">
        <v>1039</v>
      </c>
      <c r="C232" s="26">
        <v>45119</v>
      </c>
      <c r="D232" s="25" t="s">
        <v>230</v>
      </c>
      <c r="E232" s="25">
        <v>234</v>
      </c>
      <c r="F232" s="27">
        <v>6038000</v>
      </c>
      <c r="G232" s="27">
        <f t="shared" si="12"/>
        <v>25803.418803418805</v>
      </c>
      <c r="H232" s="28" t="s">
        <v>712</v>
      </c>
      <c r="I232" s="28" t="s">
        <v>206</v>
      </c>
      <c r="J232" s="28" t="s">
        <v>33</v>
      </c>
      <c r="K232" s="25" t="s">
        <v>696</v>
      </c>
      <c r="L232" s="25" t="s">
        <v>1040</v>
      </c>
      <c r="M232" s="25"/>
      <c r="N232" s="28"/>
      <c r="O232" s="27"/>
      <c r="P232" s="27"/>
      <c r="Q232" s="27"/>
      <c r="R232" s="28"/>
      <c r="S232" s="27"/>
      <c r="T232" s="25"/>
    </row>
    <row r="233" spans="1:20" x14ac:dyDescent="0.25">
      <c r="A233" s="5" t="s">
        <v>71</v>
      </c>
      <c r="B233" s="5" t="s">
        <v>1041</v>
      </c>
      <c r="C233" s="14">
        <v>45119</v>
      </c>
      <c r="D233" s="5" t="s">
        <v>230</v>
      </c>
      <c r="E233" s="5">
        <v>186</v>
      </c>
      <c r="F233" s="7">
        <v>4667000</v>
      </c>
      <c r="G233" s="7">
        <f t="shared" ref="G233:G243" si="13">F233/E233</f>
        <v>25091.397849462366</v>
      </c>
      <c r="H233" s="11" t="s">
        <v>712</v>
      </c>
      <c r="I233" s="11" t="s">
        <v>206</v>
      </c>
      <c r="J233" s="11" t="s">
        <v>33</v>
      </c>
      <c r="K233" s="5" t="s">
        <v>696</v>
      </c>
      <c r="L233" s="6" t="s">
        <v>1040</v>
      </c>
      <c r="M233" s="5"/>
      <c r="N233" s="11"/>
      <c r="O233" s="7"/>
      <c r="P233" s="7"/>
      <c r="Q233" s="7"/>
      <c r="R233" s="11"/>
      <c r="S233" s="7"/>
      <c r="T233" s="5"/>
    </row>
    <row r="234" spans="1:20" x14ac:dyDescent="0.25">
      <c r="A234" s="5" t="s">
        <v>71</v>
      </c>
      <c r="B234" s="5" t="s">
        <v>796</v>
      </c>
      <c r="C234" s="14">
        <v>45126</v>
      </c>
      <c r="D234" s="5" t="s">
        <v>1046</v>
      </c>
      <c r="E234" s="5">
        <v>99</v>
      </c>
      <c r="F234" s="7">
        <v>1758000</v>
      </c>
      <c r="G234" s="7">
        <f t="shared" si="13"/>
        <v>17757.575757575756</v>
      </c>
      <c r="H234" s="11" t="s">
        <v>1046</v>
      </c>
      <c r="I234" s="11" t="s">
        <v>835</v>
      </c>
      <c r="J234" s="11" t="s">
        <v>35</v>
      </c>
      <c r="K234" s="5" t="s">
        <v>223</v>
      </c>
      <c r="L234" s="6"/>
      <c r="M234" s="5"/>
      <c r="N234" s="11"/>
      <c r="O234" s="7"/>
      <c r="P234" s="7"/>
      <c r="Q234" s="7"/>
      <c r="R234" s="11"/>
      <c r="S234" s="7"/>
      <c r="T234" s="5"/>
    </row>
    <row r="235" spans="1:20" x14ac:dyDescent="0.25">
      <c r="A235" s="5" t="s">
        <v>71</v>
      </c>
      <c r="B235" s="5" t="s">
        <v>1058</v>
      </c>
      <c r="C235" s="14">
        <v>45140</v>
      </c>
      <c r="D235" s="5" t="s">
        <v>414</v>
      </c>
      <c r="E235" s="5">
        <v>397</v>
      </c>
      <c r="F235" s="7">
        <v>8638000</v>
      </c>
      <c r="G235" s="7">
        <f t="shared" si="13"/>
        <v>21758.186397984886</v>
      </c>
      <c r="H235" s="11" t="s">
        <v>414</v>
      </c>
      <c r="I235" s="11" t="s">
        <v>800</v>
      </c>
      <c r="J235" s="11" t="s">
        <v>547</v>
      </c>
      <c r="K235" s="5" t="s">
        <v>1044</v>
      </c>
      <c r="L235" s="6"/>
      <c r="M235" s="5"/>
      <c r="N235" s="11"/>
      <c r="O235" s="7"/>
      <c r="P235" s="7"/>
      <c r="Q235" s="7"/>
      <c r="R235" s="11"/>
      <c r="S235" s="7"/>
      <c r="T235" s="5"/>
    </row>
    <row r="236" spans="1:20" s="29" customFormat="1" x14ac:dyDescent="0.25">
      <c r="A236" s="25" t="s">
        <v>71</v>
      </c>
      <c r="B236" s="25" t="s">
        <v>999</v>
      </c>
      <c r="C236" s="26">
        <v>45146</v>
      </c>
      <c r="D236" s="25" t="s">
        <v>957</v>
      </c>
      <c r="E236" s="25">
        <v>169</v>
      </c>
      <c r="F236" s="27">
        <v>3065000</v>
      </c>
      <c r="G236" s="27">
        <f t="shared" si="13"/>
        <v>18136.094674556214</v>
      </c>
      <c r="H236" s="28" t="s">
        <v>992</v>
      </c>
      <c r="I236" s="28" t="s">
        <v>993</v>
      </c>
      <c r="J236" s="28" t="s">
        <v>234</v>
      </c>
      <c r="K236" s="25" t="s">
        <v>381</v>
      </c>
      <c r="L236" s="25" t="s">
        <v>1068</v>
      </c>
      <c r="M236" s="25"/>
      <c r="N236" s="28"/>
      <c r="O236" s="27"/>
      <c r="P236" s="27"/>
      <c r="Q236" s="27"/>
      <c r="R236" s="28"/>
      <c r="S236" s="27"/>
      <c r="T236" s="25"/>
    </row>
    <row r="237" spans="1:20" x14ac:dyDescent="0.25">
      <c r="A237" s="5" t="s">
        <v>71</v>
      </c>
      <c r="B237" s="5" t="s">
        <v>824</v>
      </c>
      <c r="C237" s="14">
        <v>45147</v>
      </c>
      <c r="D237" s="5" t="s">
        <v>230</v>
      </c>
      <c r="E237" s="5">
        <v>312</v>
      </c>
      <c r="F237" s="7">
        <v>6250000</v>
      </c>
      <c r="G237" s="7">
        <f t="shared" si="13"/>
        <v>20032.051282051281</v>
      </c>
      <c r="H237" s="11" t="s">
        <v>408</v>
      </c>
      <c r="I237" s="11" t="s">
        <v>637</v>
      </c>
      <c r="J237" s="11" t="s">
        <v>388</v>
      </c>
      <c r="K237" s="5" t="s">
        <v>362</v>
      </c>
      <c r="L237" s="6" t="s">
        <v>1069</v>
      </c>
      <c r="M237" s="5"/>
      <c r="N237" s="11"/>
      <c r="O237" s="7"/>
      <c r="P237" s="7"/>
      <c r="Q237" s="7"/>
      <c r="R237" s="11"/>
      <c r="S237" s="7"/>
      <c r="T237" s="5"/>
    </row>
    <row r="238" spans="1:20" s="29" customFormat="1" x14ac:dyDescent="0.25">
      <c r="A238" s="25" t="s">
        <v>71</v>
      </c>
      <c r="B238" s="25" t="s">
        <v>1070</v>
      </c>
      <c r="C238" s="26">
        <v>45147</v>
      </c>
      <c r="D238" s="25" t="s">
        <v>586</v>
      </c>
      <c r="E238" s="25" t="s">
        <v>388</v>
      </c>
      <c r="F238" s="27">
        <v>167100</v>
      </c>
      <c r="G238" s="27"/>
      <c r="H238" s="28" t="s">
        <v>586</v>
      </c>
      <c r="I238" s="28" t="s">
        <v>388</v>
      </c>
      <c r="J238" s="28" t="s">
        <v>388</v>
      </c>
      <c r="K238" s="25" t="s">
        <v>644</v>
      </c>
      <c r="L238" s="25" t="s">
        <v>1071</v>
      </c>
      <c r="M238" s="25"/>
      <c r="N238" s="28"/>
      <c r="O238" s="27"/>
      <c r="P238" s="27"/>
      <c r="Q238" s="27"/>
      <c r="R238" s="28"/>
      <c r="S238" s="27"/>
      <c r="T238" s="25"/>
    </row>
    <row r="239" spans="1:20" x14ac:dyDescent="0.25">
      <c r="A239" s="5" t="s">
        <v>272</v>
      </c>
      <c r="B239" s="5" t="s">
        <v>1074</v>
      </c>
      <c r="C239" s="14">
        <v>45166</v>
      </c>
      <c r="D239" s="5" t="s">
        <v>4</v>
      </c>
      <c r="E239" s="5">
        <v>231</v>
      </c>
      <c r="F239" s="7">
        <v>5200000</v>
      </c>
      <c r="G239" s="7">
        <f t="shared" si="13"/>
        <v>22510.822510822512</v>
      </c>
      <c r="H239" s="11" t="s">
        <v>1012</v>
      </c>
      <c r="I239" s="11" t="s">
        <v>1013</v>
      </c>
      <c r="J239" s="11" t="s">
        <v>234</v>
      </c>
      <c r="K239" s="5" t="s">
        <v>1014</v>
      </c>
      <c r="L239" s="6"/>
      <c r="M239" s="5"/>
      <c r="N239" s="11"/>
      <c r="O239" s="7"/>
      <c r="P239" s="7"/>
      <c r="Q239" s="7"/>
      <c r="R239" s="11"/>
      <c r="S239" s="7"/>
      <c r="T239" s="5"/>
    </row>
    <row r="240" spans="1:20" x14ac:dyDescent="0.25">
      <c r="A240" s="5" t="s">
        <v>71</v>
      </c>
      <c r="B240" s="5" t="s">
        <v>1061</v>
      </c>
      <c r="C240" s="14">
        <v>45168</v>
      </c>
      <c r="D240" s="5" t="s">
        <v>4</v>
      </c>
      <c r="E240" s="5">
        <v>96</v>
      </c>
      <c r="F240" s="7">
        <v>2048000</v>
      </c>
      <c r="G240" s="7">
        <f t="shared" si="13"/>
        <v>21333.333333333332</v>
      </c>
      <c r="H240" s="11" t="s">
        <v>1077</v>
      </c>
      <c r="I240" s="11" t="s">
        <v>1078</v>
      </c>
      <c r="J240" s="11" t="s">
        <v>652</v>
      </c>
      <c r="K240" s="5" t="s">
        <v>240</v>
      </c>
      <c r="L240" s="6" t="s">
        <v>1096</v>
      </c>
      <c r="M240" s="5"/>
      <c r="N240" s="11"/>
      <c r="O240" s="7"/>
      <c r="P240" s="7"/>
      <c r="Q240" s="7"/>
      <c r="R240" s="11"/>
      <c r="S240" s="7"/>
      <c r="T240" s="5"/>
    </row>
    <row r="241" spans="1:20" x14ac:dyDescent="0.25">
      <c r="A241" s="5" t="s">
        <v>71</v>
      </c>
      <c r="B241" s="5" t="s">
        <v>1062</v>
      </c>
      <c r="C241" s="14">
        <v>45175</v>
      </c>
      <c r="D241" s="5" t="s">
        <v>230</v>
      </c>
      <c r="E241" s="5">
        <v>165</v>
      </c>
      <c r="F241" s="7">
        <v>3498000</v>
      </c>
      <c r="G241" s="7">
        <f t="shared" si="13"/>
        <v>21200</v>
      </c>
      <c r="H241" s="11" t="s">
        <v>1079</v>
      </c>
      <c r="I241" s="11" t="s">
        <v>815</v>
      </c>
      <c r="J241" s="11" t="s">
        <v>234</v>
      </c>
      <c r="K241" s="5" t="s">
        <v>691</v>
      </c>
      <c r="L241" s="6"/>
      <c r="M241" s="5"/>
      <c r="N241" s="11"/>
      <c r="O241" s="7"/>
      <c r="P241" s="7"/>
      <c r="Q241" s="7"/>
      <c r="R241" s="11"/>
      <c r="S241" s="7"/>
      <c r="T241" s="5"/>
    </row>
    <row r="242" spans="1:20" x14ac:dyDescent="0.25">
      <c r="A242" s="5" t="s">
        <v>272</v>
      </c>
      <c r="B242" s="5" t="s">
        <v>1055</v>
      </c>
      <c r="C242" s="14">
        <v>45182</v>
      </c>
      <c r="D242" s="5" t="s">
        <v>230</v>
      </c>
      <c r="E242" s="5">
        <v>274</v>
      </c>
      <c r="F242" s="7">
        <v>5988000</v>
      </c>
      <c r="G242" s="7">
        <f t="shared" si="13"/>
        <v>21854.014598540147</v>
      </c>
      <c r="H242" s="11" t="s">
        <v>1065</v>
      </c>
      <c r="I242" s="11" t="s">
        <v>7</v>
      </c>
      <c r="J242" s="11" t="s">
        <v>33</v>
      </c>
      <c r="K242" s="5" t="s">
        <v>362</v>
      </c>
      <c r="L242" s="6"/>
      <c r="M242" s="5"/>
      <c r="N242" s="11"/>
      <c r="O242" s="7"/>
      <c r="P242" s="7"/>
      <c r="Q242" s="7"/>
      <c r="R242" s="11"/>
      <c r="S242" s="7"/>
      <c r="T242" s="5"/>
    </row>
    <row r="243" spans="1:20" x14ac:dyDescent="0.25">
      <c r="A243" s="5" t="s">
        <v>71</v>
      </c>
      <c r="B243" s="5" t="s">
        <v>1087</v>
      </c>
      <c r="C243" s="14">
        <v>45191</v>
      </c>
      <c r="D243" s="5" t="s">
        <v>230</v>
      </c>
      <c r="E243" s="5">
        <v>536</v>
      </c>
      <c r="F243" s="7">
        <v>10890000</v>
      </c>
      <c r="G243" s="7">
        <f t="shared" si="13"/>
        <v>20317.164179104479</v>
      </c>
      <c r="H243" s="11" t="s">
        <v>1088</v>
      </c>
      <c r="I243" s="11" t="s">
        <v>795</v>
      </c>
      <c r="J243" s="11" t="s">
        <v>234</v>
      </c>
      <c r="K243" s="5" t="s">
        <v>385</v>
      </c>
      <c r="L243" s="6" t="s">
        <v>1089</v>
      </c>
      <c r="M243" s="5"/>
      <c r="N243" s="11"/>
      <c r="O243" s="7"/>
      <c r="P243" s="7"/>
      <c r="Q243" s="7"/>
      <c r="R243" s="11"/>
      <c r="S243" s="7"/>
      <c r="T243" s="5"/>
    </row>
    <row r="244" spans="1:20" x14ac:dyDescent="0.25">
      <c r="A244" s="5" t="s">
        <v>71</v>
      </c>
      <c r="B244" s="5" t="s">
        <v>1087</v>
      </c>
      <c r="C244" s="14">
        <v>45191</v>
      </c>
      <c r="D244" s="5" t="s">
        <v>4</v>
      </c>
      <c r="E244" s="5">
        <v>536</v>
      </c>
      <c r="F244" s="7">
        <v>10890000</v>
      </c>
      <c r="G244" s="7">
        <f t="shared" ref="G244:G250" si="14">F244/E244</f>
        <v>20317.164179104479</v>
      </c>
      <c r="H244" s="11" t="s">
        <v>1088</v>
      </c>
      <c r="I244" s="11" t="s">
        <v>795</v>
      </c>
      <c r="J244" s="11" t="s">
        <v>234</v>
      </c>
      <c r="K244" s="5" t="s">
        <v>385</v>
      </c>
      <c r="L244" s="6" t="s">
        <v>1089</v>
      </c>
      <c r="M244" s="5"/>
      <c r="N244" s="11"/>
      <c r="O244" s="7"/>
      <c r="P244" s="7"/>
      <c r="Q244" s="7"/>
      <c r="R244" s="11"/>
      <c r="S244" s="7"/>
      <c r="T244" s="5"/>
    </row>
    <row r="245" spans="1:20" x14ac:dyDescent="0.25">
      <c r="A245" s="5" t="s">
        <v>71</v>
      </c>
      <c r="B245" s="5" t="s">
        <v>1090</v>
      </c>
      <c r="C245" s="14">
        <v>45198</v>
      </c>
      <c r="D245" s="5" t="s">
        <v>957</v>
      </c>
      <c r="E245" s="5">
        <v>131</v>
      </c>
      <c r="F245" s="7">
        <v>2418000</v>
      </c>
      <c r="G245" s="7">
        <f t="shared" si="14"/>
        <v>18458.015267175571</v>
      </c>
      <c r="H245" s="11" t="s">
        <v>992</v>
      </c>
      <c r="I245" s="11" t="s">
        <v>993</v>
      </c>
      <c r="J245" s="11" t="s">
        <v>54</v>
      </c>
      <c r="K245" s="5" t="s">
        <v>602</v>
      </c>
      <c r="L245" s="6" t="s">
        <v>1126</v>
      </c>
      <c r="M245" s="5"/>
      <c r="N245" s="11"/>
      <c r="O245" s="7"/>
      <c r="P245" s="7"/>
      <c r="Q245" s="7"/>
      <c r="R245" s="11"/>
      <c r="S245" s="7"/>
      <c r="T245" s="5"/>
    </row>
    <row r="246" spans="1:20" x14ac:dyDescent="0.25">
      <c r="A246" s="5" t="s">
        <v>272</v>
      </c>
      <c r="B246" s="5" t="s">
        <v>1091</v>
      </c>
      <c r="C246" s="14">
        <v>45203</v>
      </c>
      <c r="D246" s="5" t="s">
        <v>230</v>
      </c>
      <c r="E246" s="5">
        <v>313</v>
      </c>
      <c r="F246" s="7">
        <v>8360000</v>
      </c>
      <c r="G246" s="7">
        <f t="shared" si="14"/>
        <v>26709.265175718851</v>
      </c>
      <c r="H246" s="11" t="s">
        <v>1092</v>
      </c>
      <c r="I246" s="11" t="s">
        <v>1093</v>
      </c>
      <c r="J246" s="11" t="s">
        <v>8</v>
      </c>
      <c r="K246" s="5" t="s">
        <v>531</v>
      </c>
      <c r="L246" s="6" t="s">
        <v>1095</v>
      </c>
      <c r="M246" s="5"/>
      <c r="N246" s="11"/>
      <c r="O246" s="7"/>
      <c r="P246" s="7"/>
      <c r="Q246" s="7"/>
      <c r="R246" s="11"/>
      <c r="S246" s="7"/>
      <c r="T246" s="5"/>
    </row>
    <row r="247" spans="1:20" x14ac:dyDescent="0.25">
      <c r="A247" s="5" t="s">
        <v>272</v>
      </c>
      <c r="B247" s="5" t="s">
        <v>1091</v>
      </c>
      <c r="C247" s="14">
        <v>45204</v>
      </c>
      <c r="D247" s="5" t="s">
        <v>1094</v>
      </c>
      <c r="E247" s="5">
        <v>313</v>
      </c>
      <c r="F247" s="7">
        <v>8360000</v>
      </c>
      <c r="G247" s="7">
        <f t="shared" si="14"/>
        <v>26709.265175718851</v>
      </c>
      <c r="H247" s="11" t="s">
        <v>1092</v>
      </c>
      <c r="I247" s="11" t="s">
        <v>1093</v>
      </c>
      <c r="J247" s="11" t="s">
        <v>8</v>
      </c>
      <c r="K247" s="5" t="s">
        <v>531</v>
      </c>
      <c r="L247" s="6" t="s">
        <v>1095</v>
      </c>
      <c r="M247" s="5"/>
      <c r="N247" s="11"/>
      <c r="O247" s="7"/>
      <c r="P247" s="7"/>
      <c r="Q247" s="7"/>
      <c r="R247" s="11"/>
      <c r="S247" s="7"/>
      <c r="T247" s="5"/>
    </row>
    <row r="248" spans="1:20" s="29" customFormat="1" x14ac:dyDescent="0.25">
      <c r="A248" s="25" t="s">
        <v>71</v>
      </c>
      <c r="B248" s="25" t="s">
        <v>946</v>
      </c>
      <c r="C248" s="26">
        <v>45205</v>
      </c>
      <c r="D248" s="25" t="s">
        <v>444</v>
      </c>
      <c r="E248" s="25">
        <v>474</v>
      </c>
      <c r="F248" s="27">
        <f>131072+10372520</f>
        <v>10503592</v>
      </c>
      <c r="G248" s="27">
        <f t="shared" si="14"/>
        <v>22159.476793248945</v>
      </c>
      <c r="H248" s="28" t="s">
        <v>444</v>
      </c>
      <c r="I248" s="28" t="s">
        <v>530</v>
      </c>
      <c r="J248" s="28" t="s">
        <v>388</v>
      </c>
      <c r="K248" s="25" t="s">
        <v>946</v>
      </c>
      <c r="L248" s="25"/>
      <c r="M248" s="25"/>
      <c r="N248" s="28"/>
      <c r="O248" s="27"/>
      <c r="P248" s="27"/>
      <c r="Q248" s="27"/>
      <c r="R248" s="28"/>
      <c r="S248" s="27"/>
      <c r="T248" s="25"/>
    </row>
    <row r="249" spans="1:20" x14ac:dyDescent="0.25">
      <c r="A249" s="5" t="s">
        <v>71</v>
      </c>
      <c r="B249" s="5" t="s">
        <v>1081</v>
      </c>
      <c r="C249" s="14">
        <v>45212</v>
      </c>
      <c r="D249" s="5" t="s">
        <v>230</v>
      </c>
      <c r="E249" s="5">
        <v>191</v>
      </c>
      <c r="F249" s="7">
        <v>3518000</v>
      </c>
      <c r="G249" s="7">
        <f t="shared" si="14"/>
        <v>18418.848167539269</v>
      </c>
      <c r="H249" s="11" t="s">
        <v>1097</v>
      </c>
      <c r="I249" s="11" t="s">
        <v>1098</v>
      </c>
      <c r="J249" s="11" t="s">
        <v>176</v>
      </c>
      <c r="K249" s="5" t="s">
        <v>602</v>
      </c>
      <c r="L249" s="6" t="s">
        <v>1099</v>
      </c>
      <c r="M249" s="5"/>
      <c r="N249" s="11"/>
      <c r="O249" s="7"/>
      <c r="P249" s="7"/>
      <c r="Q249" s="7"/>
      <c r="R249" s="11"/>
      <c r="S249" s="7"/>
      <c r="T249" s="5"/>
    </row>
    <row r="250" spans="1:20" x14ac:dyDescent="0.25">
      <c r="A250" s="5" t="s">
        <v>272</v>
      </c>
      <c r="B250" s="5" t="s">
        <v>1107</v>
      </c>
      <c r="C250" s="14">
        <v>45218</v>
      </c>
      <c r="D250" s="5" t="s">
        <v>4</v>
      </c>
      <c r="E250" s="5">
        <v>169</v>
      </c>
      <c r="F250" s="7">
        <v>3898000</v>
      </c>
      <c r="G250" s="7">
        <f t="shared" si="14"/>
        <v>23065.08875739645</v>
      </c>
      <c r="H250" s="11" t="s">
        <v>1012</v>
      </c>
      <c r="I250" s="11" t="s">
        <v>1013</v>
      </c>
      <c r="J250" s="11" t="s">
        <v>234</v>
      </c>
      <c r="K250" s="5" t="s">
        <v>1014</v>
      </c>
      <c r="L250" s="6"/>
      <c r="M250" s="5"/>
      <c r="N250" s="11"/>
      <c r="O250" s="7"/>
      <c r="P250" s="7"/>
      <c r="Q250" s="7"/>
      <c r="R250" s="11"/>
      <c r="S250" s="7"/>
      <c r="T250" s="5"/>
    </row>
    <row r="251" spans="1:20" x14ac:dyDescent="0.25">
      <c r="A251" s="5" t="s">
        <v>272</v>
      </c>
      <c r="B251" s="5" t="s">
        <v>1091</v>
      </c>
      <c r="C251" s="14">
        <v>45230</v>
      </c>
      <c r="D251" s="5" t="s">
        <v>230</v>
      </c>
      <c r="E251" s="5">
        <v>313</v>
      </c>
      <c r="F251" s="7">
        <v>7488000</v>
      </c>
      <c r="G251" s="7">
        <f t="shared" ref="G251:G253" si="15">F251/E251</f>
        <v>23923.322683706072</v>
      </c>
      <c r="H251" s="11" t="s">
        <v>1092</v>
      </c>
      <c r="I251" s="11" t="s">
        <v>1093</v>
      </c>
      <c r="J251" s="11" t="s">
        <v>8</v>
      </c>
      <c r="K251" s="5" t="s">
        <v>531</v>
      </c>
      <c r="L251" s="6" t="s">
        <v>1108</v>
      </c>
      <c r="M251" s="5"/>
      <c r="N251" s="11"/>
      <c r="O251" s="7"/>
      <c r="P251" s="7"/>
      <c r="Q251" s="7"/>
      <c r="R251" s="11"/>
      <c r="S251" s="7"/>
      <c r="T251" s="5"/>
    </row>
    <row r="252" spans="1:20" x14ac:dyDescent="0.25">
      <c r="A252" s="5" t="s">
        <v>272</v>
      </c>
      <c r="B252" s="5" t="s">
        <v>1109</v>
      </c>
      <c r="C252" s="14">
        <v>45230</v>
      </c>
      <c r="D252" s="5" t="s">
        <v>230</v>
      </c>
      <c r="E252" s="5">
        <v>59</v>
      </c>
      <c r="F252" s="7">
        <v>1640000</v>
      </c>
      <c r="G252" s="7">
        <f t="shared" si="15"/>
        <v>27796.610169491527</v>
      </c>
      <c r="H252" s="11" t="s">
        <v>1110</v>
      </c>
      <c r="I252" s="11" t="s">
        <v>1111</v>
      </c>
      <c r="J252" s="11" t="s">
        <v>388</v>
      </c>
      <c r="K252" s="5" t="s">
        <v>381</v>
      </c>
      <c r="L252" s="6"/>
      <c r="M252" s="5"/>
      <c r="N252" s="11"/>
      <c r="O252" s="7"/>
      <c r="P252" s="7"/>
      <c r="Q252" s="7"/>
      <c r="R252" s="11"/>
      <c r="S252" s="7"/>
      <c r="T252" s="5"/>
    </row>
    <row r="253" spans="1:20" x14ac:dyDescent="0.25">
      <c r="A253" s="5" t="s">
        <v>272</v>
      </c>
      <c r="B253" s="5" t="s">
        <v>1118</v>
      </c>
      <c r="C253" s="14">
        <v>45244</v>
      </c>
      <c r="D253" s="5" t="s">
        <v>230</v>
      </c>
      <c r="E253" s="5">
        <v>360</v>
      </c>
      <c r="F253" s="7">
        <v>7198000</v>
      </c>
      <c r="G253" s="7">
        <f t="shared" si="15"/>
        <v>19994.444444444445</v>
      </c>
      <c r="H253" s="11" t="s">
        <v>1105</v>
      </c>
      <c r="I253" s="11" t="s">
        <v>800</v>
      </c>
      <c r="J253" s="11" t="s">
        <v>595</v>
      </c>
      <c r="K253" s="5" t="s">
        <v>422</v>
      </c>
      <c r="L253" s="6"/>
      <c r="M253" s="5"/>
      <c r="N253" s="11"/>
      <c r="O253" s="7"/>
      <c r="P253" s="7"/>
      <c r="Q253" s="7"/>
      <c r="R253" s="11"/>
      <c r="S253" s="7"/>
      <c r="T253" s="5"/>
    </row>
    <row r="254" spans="1:20" x14ac:dyDescent="0.25">
      <c r="A254" s="5" t="s">
        <v>272</v>
      </c>
      <c r="B254" s="5" t="s">
        <v>1118</v>
      </c>
      <c r="C254" s="14">
        <v>45244</v>
      </c>
      <c r="D254" s="5" t="s">
        <v>4</v>
      </c>
      <c r="E254" s="5">
        <v>360</v>
      </c>
      <c r="F254" s="7">
        <v>7198000</v>
      </c>
      <c r="G254" s="7">
        <f t="shared" ref="G254:G263" si="16">F254/E254</f>
        <v>19994.444444444445</v>
      </c>
      <c r="H254" s="11" t="s">
        <v>1105</v>
      </c>
      <c r="I254" s="11" t="s">
        <v>800</v>
      </c>
      <c r="J254" s="11" t="s">
        <v>595</v>
      </c>
      <c r="K254" s="5" t="s">
        <v>422</v>
      </c>
      <c r="L254" s="6"/>
      <c r="M254" s="5"/>
      <c r="N254" s="11"/>
      <c r="O254" s="7"/>
      <c r="P254" s="7"/>
      <c r="Q254" s="7"/>
      <c r="R254" s="11"/>
      <c r="S254" s="7"/>
      <c r="T254" s="5"/>
    </row>
    <row r="255" spans="1:20" s="29" customFormat="1" x14ac:dyDescent="0.25">
      <c r="A255" s="25" t="s">
        <v>71</v>
      </c>
      <c r="B255" s="25" t="s">
        <v>1115</v>
      </c>
      <c r="C255" s="26">
        <v>45247</v>
      </c>
      <c r="D255" s="25" t="s">
        <v>813</v>
      </c>
      <c r="E255" s="25">
        <v>24</v>
      </c>
      <c r="F255" s="27">
        <v>1198000</v>
      </c>
      <c r="G255" s="27">
        <f t="shared" si="16"/>
        <v>49916.666666666664</v>
      </c>
      <c r="H255" s="28" t="s">
        <v>1122</v>
      </c>
      <c r="I255" s="28" t="s">
        <v>815</v>
      </c>
      <c r="J255" s="28" t="s">
        <v>1116</v>
      </c>
      <c r="K255" s="25" t="s">
        <v>240</v>
      </c>
      <c r="L255" s="25"/>
      <c r="M255" s="25"/>
      <c r="N255" s="28"/>
      <c r="O255" s="27"/>
      <c r="P255" s="27"/>
      <c r="Q255" s="27"/>
      <c r="R255" s="28"/>
      <c r="S255" s="27"/>
      <c r="T255" s="25"/>
    </row>
    <row r="256" spans="1:20" x14ac:dyDescent="0.25">
      <c r="A256" s="5" t="s">
        <v>71</v>
      </c>
      <c r="B256" s="5" t="s">
        <v>1020</v>
      </c>
      <c r="C256" s="14">
        <v>45250</v>
      </c>
      <c r="D256" s="5" t="s">
        <v>230</v>
      </c>
      <c r="E256" s="5">
        <v>65</v>
      </c>
      <c r="F256" s="7">
        <v>1658000</v>
      </c>
      <c r="G256" s="7">
        <f t="shared" si="16"/>
        <v>25507.692307692309</v>
      </c>
      <c r="H256" s="11" t="s">
        <v>1021</v>
      </c>
      <c r="I256" s="11" t="s">
        <v>912</v>
      </c>
      <c r="J256" s="11" t="s">
        <v>652</v>
      </c>
      <c r="K256" s="5" t="s">
        <v>1014</v>
      </c>
      <c r="L256" s="6" t="s">
        <v>1125</v>
      </c>
      <c r="M256" s="5"/>
      <c r="N256" s="11"/>
      <c r="O256" s="7"/>
      <c r="P256" s="7"/>
      <c r="Q256" s="7"/>
      <c r="R256" s="11"/>
      <c r="S256" s="7"/>
      <c r="T256" s="5"/>
    </row>
    <row r="257" spans="1:20" x14ac:dyDescent="0.25">
      <c r="A257" s="5" t="s">
        <v>272</v>
      </c>
      <c r="B257" s="5" t="s">
        <v>1127</v>
      </c>
      <c r="C257" s="14">
        <v>45258</v>
      </c>
      <c r="D257" s="5" t="s">
        <v>4</v>
      </c>
      <c r="E257" s="5">
        <v>383</v>
      </c>
      <c r="F257" s="7">
        <v>8250000</v>
      </c>
      <c r="G257" s="7">
        <f t="shared" si="16"/>
        <v>21540.46997389034</v>
      </c>
      <c r="H257" s="11" t="s">
        <v>1104</v>
      </c>
      <c r="I257" s="11" t="s">
        <v>7</v>
      </c>
      <c r="J257" s="11" t="s">
        <v>8</v>
      </c>
      <c r="K257" s="5" t="s">
        <v>223</v>
      </c>
      <c r="L257" s="6" t="s">
        <v>1128</v>
      </c>
      <c r="M257" s="5"/>
      <c r="N257" s="11"/>
      <c r="O257" s="7"/>
      <c r="P257" s="7"/>
      <c r="Q257" s="7"/>
      <c r="R257" s="11"/>
      <c r="S257" s="7"/>
      <c r="T257" s="5"/>
    </row>
    <row r="258" spans="1:20" x14ac:dyDescent="0.25">
      <c r="A258" s="5" t="s">
        <v>272</v>
      </c>
      <c r="B258" s="5" t="s">
        <v>1112</v>
      </c>
      <c r="C258" s="14">
        <v>45261</v>
      </c>
      <c r="D258" s="5" t="s">
        <v>230</v>
      </c>
      <c r="E258" s="5">
        <v>203</v>
      </c>
      <c r="F258" s="7">
        <v>3739000</v>
      </c>
      <c r="G258" s="7">
        <f t="shared" si="16"/>
        <v>18418.719211822659</v>
      </c>
      <c r="H258" s="11" t="s">
        <v>1097</v>
      </c>
      <c r="I258" s="11" t="s">
        <v>1098</v>
      </c>
      <c r="J258" s="11" t="s">
        <v>388</v>
      </c>
      <c r="K258" s="5" t="s">
        <v>602</v>
      </c>
      <c r="L258" s="6"/>
      <c r="M258" s="5"/>
      <c r="N258" s="11"/>
      <c r="O258" s="7"/>
      <c r="P258" s="7"/>
      <c r="Q258" s="7"/>
      <c r="R258" s="11"/>
      <c r="S258" s="7"/>
      <c r="T258" s="5"/>
    </row>
    <row r="259" spans="1:20" x14ac:dyDescent="0.25">
      <c r="A259" s="5" t="s">
        <v>272</v>
      </c>
      <c r="B259" s="5" t="s">
        <v>1132</v>
      </c>
      <c r="C259" s="14">
        <v>45261</v>
      </c>
      <c r="D259" s="5" t="s">
        <v>230</v>
      </c>
      <c r="E259" s="5">
        <v>76</v>
      </c>
      <c r="F259" s="7">
        <v>1788000</v>
      </c>
      <c r="G259" s="7">
        <f t="shared" si="16"/>
        <v>23526.315789473683</v>
      </c>
      <c r="H259" s="11" t="s">
        <v>1133</v>
      </c>
      <c r="I259" s="11" t="s">
        <v>53</v>
      </c>
      <c r="J259" s="11" t="s">
        <v>388</v>
      </c>
      <c r="K259" s="5" t="s">
        <v>1117</v>
      </c>
      <c r="L259" s="6" t="s">
        <v>1135</v>
      </c>
      <c r="M259" s="5"/>
      <c r="N259" s="11"/>
      <c r="O259" s="7"/>
      <c r="P259" s="7"/>
      <c r="Q259" s="7"/>
      <c r="R259" s="11"/>
      <c r="S259" s="7"/>
      <c r="T259" s="5"/>
    </row>
    <row r="260" spans="1:20" x14ac:dyDescent="0.25">
      <c r="A260" s="5" t="s">
        <v>71</v>
      </c>
      <c r="B260" s="5" t="s">
        <v>1081</v>
      </c>
      <c r="C260" s="14">
        <v>45267</v>
      </c>
      <c r="D260" s="5" t="s">
        <v>230</v>
      </c>
      <c r="E260" s="5">
        <v>191</v>
      </c>
      <c r="F260" s="7">
        <v>3480000</v>
      </c>
      <c r="G260" s="7">
        <f t="shared" si="16"/>
        <v>18219.895287958116</v>
      </c>
      <c r="H260" s="11" t="s">
        <v>1097</v>
      </c>
      <c r="I260" s="11" t="s">
        <v>1098</v>
      </c>
      <c r="J260" s="11" t="s">
        <v>176</v>
      </c>
      <c r="K260" s="5" t="s">
        <v>602</v>
      </c>
      <c r="L260" s="6" t="s">
        <v>1158</v>
      </c>
      <c r="M260" s="5"/>
      <c r="N260" s="11"/>
      <c r="O260" s="7"/>
      <c r="P260" s="7"/>
      <c r="Q260" s="7"/>
      <c r="R260" s="11"/>
      <c r="S260" s="7"/>
      <c r="T260" s="5"/>
    </row>
    <row r="261" spans="1:20" x14ac:dyDescent="0.25">
      <c r="A261" s="5" t="s">
        <v>71</v>
      </c>
      <c r="B261" s="5" t="s">
        <v>1140</v>
      </c>
      <c r="C261" s="14">
        <v>45272</v>
      </c>
      <c r="D261" s="5" t="s">
        <v>1141</v>
      </c>
      <c r="E261" s="5">
        <v>318</v>
      </c>
      <c r="F261" s="7">
        <v>6598000</v>
      </c>
      <c r="G261" s="7">
        <f t="shared" si="16"/>
        <v>20748.427672955975</v>
      </c>
      <c r="H261" s="11" t="s">
        <v>1142</v>
      </c>
      <c r="I261" s="11" t="s">
        <v>1142</v>
      </c>
      <c r="J261" s="11" t="s">
        <v>1116</v>
      </c>
      <c r="K261" s="5" t="s">
        <v>513</v>
      </c>
      <c r="L261" s="6" t="s">
        <v>1143</v>
      </c>
      <c r="M261" s="5"/>
      <c r="N261" s="11"/>
      <c r="O261" s="7"/>
      <c r="P261" s="7"/>
      <c r="Q261" s="7"/>
      <c r="R261" s="11"/>
      <c r="S261" s="7"/>
      <c r="T261" s="5"/>
    </row>
    <row r="262" spans="1:20" x14ac:dyDescent="0.25">
      <c r="A262" s="5" t="s">
        <v>272</v>
      </c>
      <c r="B262" s="5" t="s">
        <v>1145</v>
      </c>
      <c r="C262" s="14">
        <v>45275</v>
      </c>
      <c r="D262" s="5" t="s">
        <v>165</v>
      </c>
      <c r="E262" s="5">
        <v>132</v>
      </c>
      <c r="F262" s="7">
        <v>2610000</v>
      </c>
      <c r="G262" s="7">
        <f t="shared" si="16"/>
        <v>19772.727272727272</v>
      </c>
      <c r="H262" s="11" t="s">
        <v>165</v>
      </c>
      <c r="I262" s="11" t="s">
        <v>1146</v>
      </c>
      <c r="J262" s="11" t="s">
        <v>234</v>
      </c>
      <c r="K262" s="5" t="s">
        <v>873</v>
      </c>
      <c r="L262" s="6"/>
      <c r="M262" s="5"/>
      <c r="N262" s="11"/>
      <c r="O262" s="7"/>
      <c r="P262" s="7"/>
      <c r="Q262" s="7"/>
      <c r="R262" s="11"/>
      <c r="S262" s="7"/>
      <c r="T262" s="5"/>
    </row>
    <row r="263" spans="1:20" x14ac:dyDescent="0.25">
      <c r="A263" s="5" t="s">
        <v>71</v>
      </c>
      <c r="B263" s="5" t="s">
        <v>1120</v>
      </c>
      <c r="C263" s="14">
        <v>45279</v>
      </c>
      <c r="D263" s="5" t="s">
        <v>5</v>
      </c>
      <c r="E263" s="5">
        <v>50</v>
      </c>
      <c r="F263" s="7">
        <v>1378000</v>
      </c>
      <c r="G263" s="7">
        <f t="shared" si="16"/>
        <v>27560</v>
      </c>
      <c r="H263" s="11" t="s">
        <v>1149</v>
      </c>
      <c r="I263" s="11" t="s">
        <v>1150</v>
      </c>
      <c r="J263" s="11" t="s">
        <v>1121</v>
      </c>
      <c r="K263" s="5" t="s">
        <v>240</v>
      </c>
      <c r="L263" s="6"/>
      <c r="M263" s="5"/>
      <c r="N263" s="11"/>
      <c r="O263" s="7"/>
      <c r="P263" s="7"/>
      <c r="Q263" s="7"/>
      <c r="R263" s="11"/>
      <c r="S263" s="7"/>
      <c r="T263" s="5"/>
    </row>
    <row r="264" spans="1:20" x14ac:dyDescent="0.25">
      <c r="A264" s="5" t="s">
        <v>71</v>
      </c>
      <c r="B264" s="5" t="s">
        <v>1120</v>
      </c>
      <c r="C264" s="14">
        <v>45279</v>
      </c>
      <c r="D264" s="5" t="s">
        <v>1151</v>
      </c>
      <c r="E264" s="5">
        <v>50</v>
      </c>
      <c r="F264" s="7">
        <v>1378000</v>
      </c>
      <c r="G264" s="7">
        <f t="shared" ref="G264:G267" si="17">F264/E264</f>
        <v>27560</v>
      </c>
      <c r="H264" s="11" t="s">
        <v>1149</v>
      </c>
      <c r="I264" s="11" t="s">
        <v>1150</v>
      </c>
      <c r="J264" s="11" t="s">
        <v>1121</v>
      </c>
      <c r="K264" s="5" t="s">
        <v>240</v>
      </c>
      <c r="L264" s="6" t="s">
        <v>1215</v>
      </c>
      <c r="M264" s="5"/>
      <c r="N264" s="11"/>
      <c r="O264" s="7"/>
      <c r="P264" s="7"/>
      <c r="Q264" s="7"/>
      <c r="R264" s="11"/>
      <c r="S264" s="7"/>
      <c r="T264" s="5"/>
    </row>
    <row r="265" spans="1:20" x14ac:dyDescent="0.25">
      <c r="A265" s="5" t="s">
        <v>272</v>
      </c>
      <c r="B265" s="5" t="s">
        <v>1154</v>
      </c>
      <c r="C265" s="14">
        <v>45281</v>
      </c>
      <c r="D265" s="5" t="s">
        <v>1141</v>
      </c>
      <c r="E265" s="5">
        <v>463</v>
      </c>
      <c r="F265" s="7">
        <v>10178000</v>
      </c>
      <c r="G265" s="7">
        <f t="shared" si="17"/>
        <v>21982.721382289415</v>
      </c>
      <c r="H265" s="11" t="s">
        <v>1142</v>
      </c>
      <c r="I265" s="11" t="s">
        <v>1142</v>
      </c>
      <c r="J265" s="11" t="s">
        <v>1116</v>
      </c>
      <c r="K265" s="5" t="s">
        <v>1037</v>
      </c>
      <c r="L265" s="6" t="s">
        <v>1143</v>
      </c>
      <c r="M265" s="5"/>
      <c r="N265" s="11"/>
      <c r="O265" s="7"/>
      <c r="P265" s="7"/>
      <c r="Q265" s="7"/>
      <c r="R265" s="11"/>
      <c r="S265" s="7"/>
      <c r="T265" s="5"/>
    </row>
    <row r="266" spans="1:20" x14ac:dyDescent="0.25">
      <c r="A266" s="5" t="s">
        <v>272</v>
      </c>
      <c r="B266" s="5" t="s">
        <v>1074</v>
      </c>
      <c r="C266" s="14">
        <v>45282</v>
      </c>
      <c r="D266" s="5" t="s">
        <v>4</v>
      </c>
      <c r="E266" s="5">
        <v>231</v>
      </c>
      <c r="F266" s="7">
        <v>5300000</v>
      </c>
      <c r="G266" s="7">
        <f t="shared" si="17"/>
        <v>22943.722943722943</v>
      </c>
      <c r="H266" s="11" t="s">
        <v>1012</v>
      </c>
      <c r="I266" s="11" t="s">
        <v>1013</v>
      </c>
      <c r="J266" s="11" t="s">
        <v>234</v>
      </c>
      <c r="K266" s="5" t="s">
        <v>1014</v>
      </c>
      <c r="L266" s="6" t="s">
        <v>1155</v>
      </c>
      <c r="M266" s="5"/>
      <c r="N266" s="11"/>
      <c r="O266" s="7"/>
      <c r="P266" s="7"/>
      <c r="Q266" s="7"/>
      <c r="R266" s="11"/>
      <c r="S266" s="7"/>
      <c r="T266" s="5"/>
    </row>
    <row r="267" spans="1:20" x14ac:dyDescent="0.25">
      <c r="A267" s="5" t="s">
        <v>71</v>
      </c>
      <c r="B267" s="5" t="s">
        <v>824</v>
      </c>
      <c r="C267" s="14">
        <v>45294</v>
      </c>
      <c r="D267" s="5" t="s">
        <v>230</v>
      </c>
      <c r="E267" s="5">
        <v>312</v>
      </c>
      <c r="F267" s="7">
        <v>6250000</v>
      </c>
      <c r="G267" s="7">
        <f t="shared" si="17"/>
        <v>20032.051282051281</v>
      </c>
      <c r="H267" s="11" t="s">
        <v>408</v>
      </c>
      <c r="I267" s="11" t="s">
        <v>637</v>
      </c>
      <c r="J267" s="11" t="s">
        <v>388</v>
      </c>
      <c r="K267" s="5" t="s">
        <v>362</v>
      </c>
      <c r="L267" s="6" t="s">
        <v>1159</v>
      </c>
      <c r="M267" s="5"/>
      <c r="N267" s="11"/>
      <c r="O267" s="7"/>
      <c r="P267" s="7"/>
      <c r="Q267" s="7"/>
      <c r="R267" s="11"/>
      <c r="S267" s="7"/>
      <c r="T267" s="5"/>
    </row>
    <row r="268" spans="1:20" x14ac:dyDescent="0.25">
      <c r="A268" s="5" t="s">
        <v>71</v>
      </c>
      <c r="B268" s="5" t="s">
        <v>824</v>
      </c>
      <c r="C268" s="14">
        <v>45299</v>
      </c>
      <c r="D268" s="5" t="s">
        <v>230</v>
      </c>
      <c r="E268" s="5">
        <v>312</v>
      </c>
      <c r="F268" s="7">
        <f>6250000-600000</f>
        <v>5650000</v>
      </c>
      <c r="G268" s="7">
        <f t="shared" ref="G268:G271" si="18">F268/E268</f>
        <v>18108.974358974359</v>
      </c>
      <c r="H268" s="11" t="s">
        <v>408</v>
      </c>
      <c r="I268" s="11" t="s">
        <v>637</v>
      </c>
      <c r="J268" s="11" t="s">
        <v>388</v>
      </c>
      <c r="K268" s="5" t="s">
        <v>362</v>
      </c>
      <c r="L268" s="6" t="s">
        <v>1159</v>
      </c>
      <c r="M268" s="5"/>
      <c r="N268" s="11"/>
      <c r="O268" s="7"/>
      <c r="P268" s="7"/>
      <c r="Q268" s="7"/>
      <c r="R268" s="11"/>
      <c r="S268" s="7"/>
      <c r="T268" s="5"/>
    </row>
    <row r="269" spans="1:20" x14ac:dyDescent="0.25">
      <c r="A269" s="5" t="s">
        <v>71</v>
      </c>
      <c r="B269" s="5" t="s">
        <v>1161</v>
      </c>
      <c r="C269" s="14">
        <v>45301</v>
      </c>
      <c r="D269" s="5" t="s">
        <v>1151</v>
      </c>
      <c r="E269" s="5">
        <v>119</v>
      </c>
      <c r="F269" s="7">
        <v>2999000</v>
      </c>
      <c r="G269" s="7">
        <f t="shared" si="18"/>
        <v>25201.680672268907</v>
      </c>
      <c r="H269" s="11" t="s">
        <v>1022</v>
      </c>
      <c r="I269" s="11" t="s">
        <v>1146</v>
      </c>
      <c r="J269" s="11" t="s">
        <v>547</v>
      </c>
      <c r="K269" s="5" t="s">
        <v>240</v>
      </c>
      <c r="L269" s="6" t="s">
        <v>1169</v>
      </c>
      <c r="M269" s="5"/>
      <c r="N269" s="11"/>
      <c r="O269" s="7"/>
      <c r="P269" s="7"/>
      <c r="Q269" s="7"/>
      <c r="R269" s="11"/>
      <c r="S269" s="7"/>
      <c r="T269" s="5"/>
    </row>
    <row r="270" spans="1:20" x14ac:dyDescent="0.25">
      <c r="A270" s="5" t="s">
        <v>272</v>
      </c>
      <c r="B270" s="5" t="s">
        <v>1055</v>
      </c>
      <c r="C270" s="14">
        <v>45315</v>
      </c>
      <c r="D270" s="5" t="s">
        <v>230</v>
      </c>
      <c r="E270" s="5">
        <v>274</v>
      </c>
      <c r="F270" s="7">
        <v>5899000</v>
      </c>
      <c r="G270" s="7">
        <f t="shared" si="18"/>
        <v>21529.197080291971</v>
      </c>
      <c r="H270" s="11" t="s">
        <v>1065</v>
      </c>
      <c r="I270" s="11" t="s">
        <v>7</v>
      </c>
      <c r="J270" s="11" t="s">
        <v>33</v>
      </c>
      <c r="K270" s="5" t="s">
        <v>362</v>
      </c>
      <c r="L270" s="6" t="s">
        <v>245</v>
      </c>
      <c r="M270" s="5"/>
      <c r="N270" s="11"/>
      <c r="O270" s="7"/>
      <c r="P270" s="7"/>
      <c r="Q270" s="7"/>
      <c r="R270" s="11"/>
      <c r="S270" s="7"/>
      <c r="T270" s="5"/>
    </row>
    <row r="271" spans="1:20" x14ac:dyDescent="0.25">
      <c r="A271" s="5" t="s">
        <v>272</v>
      </c>
      <c r="B271" s="5" t="s">
        <v>1160</v>
      </c>
      <c r="C271" s="14">
        <v>45317</v>
      </c>
      <c r="D271" s="5" t="s">
        <v>230</v>
      </c>
      <c r="E271" s="5">
        <v>219</v>
      </c>
      <c r="F271" s="7">
        <v>6388000</v>
      </c>
      <c r="G271" s="7">
        <f t="shared" si="18"/>
        <v>29168.949771689498</v>
      </c>
      <c r="H271" s="11" t="s">
        <v>656</v>
      </c>
      <c r="I271" s="11" t="s">
        <v>637</v>
      </c>
      <c r="J271" s="11" t="s">
        <v>199</v>
      </c>
      <c r="K271" s="5" t="s">
        <v>1165</v>
      </c>
      <c r="L271" s="6" t="s">
        <v>1172</v>
      </c>
      <c r="M271" s="5"/>
      <c r="N271" s="11"/>
      <c r="O271" s="7"/>
      <c r="P271" s="7"/>
      <c r="Q271" s="7"/>
      <c r="R271" s="11"/>
      <c r="S271" s="7"/>
      <c r="T271" s="5"/>
    </row>
    <row r="272" spans="1:20" x14ac:dyDescent="0.25">
      <c r="A272" s="5" t="s">
        <v>272</v>
      </c>
      <c r="B272" s="5" t="s">
        <v>1160</v>
      </c>
      <c r="C272" s="14">
        <v>45317</v>
      </c>
      <c r="D272" s="5" t="s">
        <v>1094</v>
      </c>
      <c r="E272" s="5">
        <v>219</v>
      </c>
      <c r="F272" s="7">
        <v>6388000</v>
      </c>
      <c r="G272" s="7">
        <f t="shared" ref="G272:G274" si="19">F272/E272</f>
        <v>29168.949771689498</v>
      </c>
      <c r="H272" s="11" t="s">
        <v>656</v>
      </c>
      <c r="I272" s="11" t="s">
        <v>637</v>
      </c>
      <c r="J272" s="11" t="s">
        <v>199</v>
      </c>
      <c r="K272" s="5" t="s">
        <v>1165</v>
      </c>
      <c r="L272" s="6" t="s">
        <v>1172</v>
      </c>
      <c r="M272" s="5"/>
      <c r="N272" s="11"/>
      <c r="O272" s="7"/>
      <c r="P272" s="7"/>
      <c r="Q272" s="7"/>
      <c r="R272" s="11"/>
      <c r="S272" s="7"/>
      <c r="T272" s="5"/>
    </row>
    <row r="273" spans="1:20" x14ac:dyDescent="0.25">
      <c r="A273" s="5" t="s">
        <v>71</v>
      </c>
      <c r="B273" s="5" t="s">
        <v>1162</v>
      </c>
      <c r="C273" s="14">
        <v>45323</v>
      </c>
      <c r="D273" s="5" t="s">
        <v>1166</v>
      </c>
      <c r="E273" s="5" t="s">
        <v>388</v>
      </c>
      <c r="F273" s="7">
        <v>235000</v>
      </c>
      <c r="G273" s="7" t="s">
        <v>388</v>
      </c>
      <c r="H273" s="11" t="s">
        <v>1167</v>
      </c>
      <c r="I273" s="11" t="s">
        <v>951</v>
      </c>
      <c r="J273" s="11" t="s">
        <v>1168</v>
      </c>
      <c r="K273" s="5" t="s">
        <v>240</v>
      </c>
      <c r="L273" s="6"/>
      <c r="M273" s="5"/>
      <c r="N273" s="11"/>
      <c r="O273" s="7"/>
      <c r="P273" s="7"/>
      <c r="Q273" s="7"/>
      <c r="R273" s="11"/>
      <c r="S273" s="7"/>
      <c r="T273" s="5"/>
    </row>
    <row r="274" spans="1:20" x14ac:dyDescent="0.25">
      <c r="A274" s="5" t="s">
        <v>71</v>
      </c>
      <c r="B274" s="5" t="s">
        <v>1164</v>
      </c>
      <c r="C274" s="14">
        <v>45336</v>
      </c>
      <c r="D274" s="5" t="s">
        <v>230</v>
      </c>
      <c r="E274" s="5">
        <v>48</v>
      </c>
      <c r="F274" s="7">
        <v>960000</v>
      </c>
      <c r="G274" s="7">
        <f t="shared" si="19"/>
        <v>20000</v>
      </c>
      <c r="H274" s="11" t="s">
        <v>1170</v>
      </c>
      <c r="I274" s="11" t="s">
        <v>1171</v>
      </c>
      <c r="J274" s="11" t="s">
        <v>54</v>
      </c>
      <c r="K274" s="5" t="s">
        <v>513</v>
      </c>
      <c r="L274" s="6"/>
      <c r="M274" s="5"/>
      <c r="N274" s="11"/>
      <c r="O274" s="7"/>
      <c r="P274" s="7"/>
      <c r="Q274" s="7"/>
      <c r="R274" s="11"/>
      <c r="S274" s="7"/>
      <c r="T274" s="5"/>
    </row>
    <row r="275" spans="1:20" x14ac:dyDescent="0.25">
      <c r="A275" s="5" t="s">
        <v>71</v>
      </c>
      <c r="B275" s="5" t="s">
        <v>1164</v>
      </c>
      <c r="C275" s="14">
        <v>45336</v>
      </c>
      <c r="D275" s="5" t="s">
        <v>4</v>
      </c>
      <c r="E275" s="5">
        <v>48</v>
      </c>
      <c r="F275" s="7">
        <v>960000</v>
      </c>
      <c r="G275" s="7">
        <f t="shared" ref="G275:G276" si="20">F275/E275</f>
        <v>20000</v>
      </c>
      <c r="H275" s="11" t="s">
        <v>1170</v>
      </c>
      <c r="I275" s="11" t="s">
        <v>1171</v>
      </c>
      <c r="J275" s="11" t="s">
        <v>54</v>
      </c>
      <c r="K275" s="5" t="s">
        <v>513</v>
      </c>
      <c r="L275" s="6"/>
      <c r="M275" s="5"/>
      <c r="N275" s="11"/>
      <c r="O275" s="7"/>
      <c r="P275" s="7"/>
      <c r="Q275" s="7"/>
      <c r="R275" s="11"/>
      <c r="S275" s="7"/>
      <c r="T275" s="5"/>
    </row>
    <row r="276" spans="1:20" x14ac:dyDescent="0.25">
      <c r="A276" s="5" t="s">
        <v>71</v>
      </c>
      <c r="B276" s="5" t="s">
        <v>1164</v>
      </c>
      <c r="C276" s="14">
        <v>45336</v>
      </c>
      <c r="D276" s="5" t="s">
        <v>957</v>
      </c>
      <c r="E276" s="5">
        <v>48</v>
      </c>
      <c r="F276" s="7">
        <v>960000</v>
      </c>
      <c r="G276" s="7">
        <f t="shared" si="20"/>
        <v>20000</v>
      </c>
      <c r="H276" s="11" t="s">
        <v>1170</v>
      </c>
      <c r="I276" s="11" t="s">
        <v>1171</v>
      </c>
      <c r="J276" s="11" t="s">
        <v>54</v>
      </c>
      <c r="K276" s="5" t="s">
        <v>513</v>
      </c>
      <c r="L276" s="6"/>
      <c r="M276" s="5"/>
      <c r="N276" s="11"/>
      <c r="O276" s="7"/>
      <c r="P276" s="7"/>
      <c r="Q276" s="7"/>
      <c r="R276" s="11"/>
      <c r="S276" s="7"/>
      <c r="T276" s="5"/>
    </row>
    <row r="277" spans="1:20" x14ac:dyDescent="0.25">
      <c r="A277" s="5" t="s">
        <v>272</v>
      </c>
      <c r="B277" s="5" t="s">
        <v>852</v>
      </c>
      <c r="C277" s="14">
        <v>45336</v>
      </c>
      <c r="D277" s="5" t="s">
        <v>5</v>
      </c>
      <c r="E277" s="5">
        <v>122</v>
      </c>
      <c r="F277" s="7">
        <v>2698000</v>
      </c>
      <c r="G277" s="7">
        <f>F277/E277</f>
        <v>22114.754098360656</v>
      </c>
      <c r="H277" s="11" t="s">
        <v>849</v>
      </c>
      <c r="I277" s="11" t="s">
        <v>850</v>
      </c>
      <c r="J277" s="11" t="s">
        <v>388</v>
      </c>
      <c r="K277" s="5" t="s">
        <v>691</v>
      </c>
      <c r="L277" s="6" t="s">
        <v>1131</v>
      </c>
      <c r="M277" s="5"/>
      <c r="N277" s="11"/>
      <c r="O277" s="7"/>
      <c r="P277" s="7"/>
      <c r="Q277" s="7"/>
      <c r="R277" s="11"/>
      <c r="S277" s="7"/>
      <c r="T277" s="5"/>
    </row>
    <row r="278" spans="1:20" s="29" customFormat="1" x14ac:dyDescent="0.25">
      <c r="A278" s="25" t="s">
        <v>71</v>
      </c>
      <c r="B278" s="25" t="s">
        <v>921</v>
      </c>
      <c r="C278" s="26">
        <v>45357</v>
      </c>
      <c r="D278" s="25" t="s">
        <v>5</v>
      </c>
      <c r="E278" s="25">
        <v>244</v>
      </c>
      <c r="F278" s="27">
        <v>5098000</v>
      </c>
      <c r="G278" s="27">
        <f t="shared" ref="G278" si="21">F278/E278</f>
        <v>20893.442622950821</v>
      </c>
      <c r="H278" s="28" t="s">
        <v>931</v>
      </c>
      <c r="I278" s="28" t="s">
        <v>190</v>
      </c>
      <c r="J278" s="28" t="s">
        <v>234</v>
      </c>
      <c r="K278" s="25" t="s">
        <v>202</v>
      </c>
      <c r="L278" s="25" t="s">
        <v>1318</v>
      </c>
      <c r="M278" s="25"/>
      <c r="N278" s="28"/>
      <c r="O278" s="27"/>
      <c r="P278" s="27"/>
      <c r="Q278" s="27"/>
      <c r="R278" s="28"/>
      <c r="S278" s="27"/>
      <c r="T278" s="25"/>
    </row>
    <row r="279" spans="1:20" x14ac:dyDescent="0.25">
      <c r="A279" s="5" t="s">
        <v>71</v>
      </c>
      <c r="B279" s="5" t="s">
        <v>921</v>
      </c>
      <c r="C279" s="14">
        <v>45357</v>
      </c>
      <c r="D279" s="5" t="s">
        <v>527</v>
      </c>
      <c r="E279" s="5">
        <v>244</v>
      </c>
      <c r="F279" s="7">
        <v>5098000</v>
      </c>
      <c r="G279" s="7">
        <f t="shared" ref="G279:G284" si="22">F279/E279</f>
        <v>20893.442622950821</v>
      </c>
      <c r="H279" s="11" t="s">
        <v>931</v>
      </c>
      <c r="I279" s="11" t="s">
        <v>190</v>
      </c>
      <c r="J279" s="11" t="s">
        <v>234</v>
      </c>
      <c r="K279" s="5" t="s">
        <v>202</v>
      </c>
      <c r="L279" s="6" t="s">
        <v>1318</v>
      </c>
      <c r="M279" s="5"/>
      <c r="N279" s="11"/>
      <c r="O279" s="7"/>
      <c r="P279" s="7"/>
      <c r="Q279" s="7"/>
      <c r="R279" s="11"/>
      <c r="S279" s="7"/>
      <c r="T279" s="5"/>
    </row>
    <row r="280" spans="1:20" x14ac:dyDescent="0.25">
      <c r="A280" s="5" t="s">
        <v>71</v>
      </c>
      <c r="B280" s="5" t="s">
        <v>921</v>
      </c>
      <c r="C280" s="14">
        <v>45357</v>
      </c>
      <c r="D280" s="5" t="s">
        <v>230</v>
      </c>
      <c r="E280" s="5">
        <v>244</v>
      </c>
      <c r="F280" s="7">
        <v>5098000</v>
      </c>
      <c r="G280" s="7">
        <f t="shared" si="22"/>
        <v>20893.442622950821</v>
      </c>
      <c r="H280" s="11" t="s">
        <v>931</v>
      </c>
      <c r="I280" s="11" t="s">
        <v>190</v>
      </c>
      <c r="J280" s="11" t="s">
        <v>234</v>
      </c>
      <c r="K280" s="5" t="s">
        <v>202</v>
      </c>
      <c r="L280" s="6" t="s">
        <v>1318</v>
      </c>
      <c r="M280" s="5"/>
      <c r="N280" s="11"/>
      <c r="O280" s="7"/>
      <c r="P280" s="7"/>
      <c r="Q280" s="7"/>
      <c r="R280" s="11"/>
      <c r="S280" s="7"/>
      <c r="T280" s="5"/>
    </row>
    <row r="281" spans="1:20" x14ac:dyDescent="0.25">
      <c r="A281" s="5" t="s">
        <v>71</v>
      </c>
      <c r="B281" s="5" t="s">
        <v>921</v>
      </c>
      <c r="C281" s="14">
        <v>45357</v>
      </c>
      <c r="D281" s="5" t="s">
        <v>1033</v>
      </c>
      <c r="E281" s="5">
        <v>244</v>
      </c>
      <c r="F281" s="7">
        <v>5148000</v>
      </c>
      <c r="G281" s="7">
        <f t="shared" si="22"/>
        <v>21098.360655737706</v>
      </c>
      <c r="H281" s="11" t="s">
        <v>931</v>
      </c>
      <c r="I281" s="11" t="s">
        <v>190</v>
      </c>
      <c r="J281" s="11" t="s">
        <v>234</v>
      </c>
      <c r="K281" s="5" t="s">
        <v>202</v>
      </c>
      <c r="L281" s="6" t="s">
        <v>1318</v>
      </c>
      <c r="M281" s="5"/>
      <c r="N281" s="11"/>
      <c r="O281" s="7"/>
      <c r="P281" s="7"/>
      <c r="Q281" s="7"/>
      <c r="R281" s="11"/>
      <c r="S281" s="7"/>
      <c r="T281" s="5"/>
    </row>
    <row r="282" spans="1:20" x14ac:dyDescent="0.25">
      <c r="A282" s="5" t="s">
        <v>71</v>
      </c>
      <c r="B282" s="5" t="s">
        <v>1140</v>
      </c>
      <c r="C282" s="14">
        <v>45359</v>
      </c>
      <c r="D282" s="5" t="s">
        <v>1141</v>
      </c>
      <c r="E282" s="5">
        <v>316</v>
      </c>
      <c r="F282" s="7">
        <v>6598000</v>
      </c>
      <c r="G282" s="7">
        <f t="shared" si="22"/>
        <v>20879.746835443038</v>
      </c>
      <c r="H282" s="11" t="s">
        <v>1142</v>
      </c>
      <c r="I282" s="11" t="s">
        <v>1142</v>
      </c>
      <c r="J282" s="11" t="s">
        <v>1116</v>
      </c>
      <c r="K282" s="5" t="s">
        <v>513</v>
      </c>
      <c r="L282" s="6" t="s">
        <v>1239</v>
      </c>
      <c r="M282" s="5"/>
      <c r="N282" s="11"/>
      <c r="O282" s="7"/>
      <c r="P282" s="7"/>
      <c r="Q282" s="7"/>
      <c r="R282" s="11"/>
      <c r="S282" s="7"/>
      <c r="T282" s="5"/>
    </row>
    <row r="283" spans="1:20" x14ac:dyDescent="0.25">
      <c r="A283" s="5" t="s">
        <v>71</v>
      </c>
      <c r="B283" s="5" t="s">
        <v>1161</v>
      </c>
      <c r="C283" s="14">
        <v>45363</v>
      </c>
      <c r="D283" s="5" t="s">
        <v>527</v>
      </c>
      <c r="E283" s="5">
        <v>119</v>
      </c>
      <c r="F283" s="7">
        <v>2849000</v>
      </c>
      <c r="G283" s="7">
        <f t="shared" si="22"/>
        <v>23941.176470588234</v>
      </c>
      <c r="H283" s="11" t="s">
        <v>1022</v>
      </c>
      <c r="I283" s="11" t="s">
        <v>1146</v>
      </c>
      <c r="J283" s="11" t="s">
        <v>547</v>
      </c>
      <c r="K283" s="5" t="s">
        <v>240</v>
      </c>
      <c r="L283" s="6" t="s">
        <v>1189</v>
      </c>
      <c r="M283" s="5"/>
      <c r="N283" s="11"/>
      <c r="O283" s="7"/>
      <c r="P283" s="7"/>
      <c r="Q283" s="7"/>
      <c r="R283" s="11"/>
      <c r="S283" s="7"/>
      <c r="T283" s="5"/>
    </row>
    <row r="284" spans="1:20" x14ac:dyDescent="0.25">
      <c r="A284" s="5" t="s">
        <v>71</v>
      </c>
      <c r="B284" s="5" t="s">
        <v>911</v>
      </c>
      <c r="C284" s="14">
        <v>45366</v>
      </c>
      <c r="D284" s="5" t="s">
        <v>626</v>
      </c>
      <c r="E284" s="5">
        <v>224</v>
      </c>
      <c r="F284" s="7">
        <v>5488000</v>
      </c>
      <c r="G284" s="7">
        <f t="shared" si="22"/>
        <v>24500</v>
      </c>
      <c r="H284" s="11" t="s">
        <v>626</v>
      </c>
      <c r="I284" s="11" t="s">
        <v>912</v>
      </c>
      <c r="J284" s="11" t="s">
        <v>176</v>
      </c>
      <c r="K284" s="5" t="s">
        <v>362</v>
      </c>
      <c r="L284" s="6" t="s">
        <v>1192</v>
      </c>
      <c r="M284" s="5"/>
      <c r="N284" s="11"/>
      <c r="O284" s="7"/>
      <c r="P284" s="7"/>
      <c r="Q284" s="7"/>
      <c r="R284" s="11"/>
      <c r="S284" s="7"/>
      <c r="T284" s="5"/>
    </row>
    <row r="285" spans="1:20" x14ac:dyDescent="0.25">
      <c r="A285" s="5" t="s">
        <v>71</v>
      </c>
      <c r="B285" s="5" t="s">
        <v>911</v>
      </c>
      <c r="C285" s="14">
        <v>45378</v>
      </c>
      <c r="D285" s="5" t="s">
        <v>626</v>
      </c>
      <c r="E285" s="5">
        <v>224</v>
      </c>
      <c r="F285" s="7">
        <v>5353000</v>
      </c>
      <c r="G285" s="7">
        <f t="shared" ref="G285:G295" si="23">F285/E285</f>
        <v>23897.321428571428</v>
      </c>
      <c r="H285" s="11" t="s">
        <v>626</v>
      </c>
      <c r="I285" s="11" t="s">
        <v>912</v>
      </c>
      <c r="J285" s="11" t="s">
        <v>176</v>
      </c>
      <c r="K285" s="5" t="s">
        <v>362</v>
      </c>
      <c r="L285" s="6" t="s">
        <v>1200</v>
      </c>
      <c r="M285" s="5"/>
      <c r="N285" s="11"/>
      <c r="O285" s="7"/>
      <c r="P285" s="7"/>
      <c r="Q285" s="7"/>
      <c r="R285" s="11"/>
      <c r="S285" s="7"/>
      <c r="T285" s="5"/>
    </row>
    <row r="286" spans="1:20" x14ac:dyDescent="0.25">
      <c r="A286" s="5" t="s">
        <v>71</v>
      </c>
      <c r="B286" s="5" t="s">
        <v>1174</v>
      </c>
      <c r="C286" s="14">
        <v>45380</v>
      </c>
      <c r="D286" s="5" t="s">
        <v>4</v>
      </c>
      <c r="E286" s="5">
        <v>406</v>
      </c>
      <c r="F286" s="7">
        <v>8198000</v>
      </c>
      <c r="G286" s="7">
        <f t="shared" si="23"/>
        <v>20192.118226600986</v>
      </c>
      <c r="H286" s="11" t="s">
        <v>1201</v>
      </c>
      <c r="I286" s="11" t="s">
        <v>490</v>
      </c>
      <c r="J286" s="11" t="s">
        <v>8</v>
      </c>
      <c r="K286" s="5" t="s">
        <v>571</v>
      </c>
      <c r="L286" s="6"/>
      <c r="M286" s="5"/>
      <c r="N286" s="11"/>
      <c r="O286" s="7"/>
      <c r="P286" s="7"/>
      <c r="Q286" s="7"/>
      <c r="R286" s="11"/>
      <c r="S286" s="7"/>
      <c r="T286" s="5"/>
    </row>
    <row r="287" spans="1:20" x14ac:dyDescent="0.25">
      <c r="A287" s="5" t="s">
        <v>272</v>
      </c>
      <c r="B287" s="5" t="s">
        <v>1160</v>
      </c>
      <c r="C287" s="14">
        <v>45384</v>
      </c>
      <c r="D287" s="5" t="s">
        <v>230</v>
      </c>
      <c r="E287" s="5">
        <v>219</v>
      </c>
      <c r="F287" s="55">
        <v>6328000</v>
      </c>
      <c r="G287" s="55">
        <f t="shared" si="23"/>
        <v>28894.977168949772</v>
      </c>
      <c r="H287" s="11" t="s">
        <v>656</v>
      </c>
      <c r="I287" s="11" t="s">
        <v>637</v>
      </c>
      <c r="J287" s="11" t="s">
        <v>199</v>
      </c>
      <c r="K287" s="5" t="s">
        <v>1165</v>
      </c>
      <c r="L287" s="5" t="s">
        <v>1172</v>
      </c>
      <c r="M287" s="5"/>
      <c r="N287" s="11"/>
      <c r="O287" s="55"/>
      <c r="P287" s="55"/>
      <c r="Q287" s="55"/>
      <c r="R287" s="11"/>
      <c r="S287" s="55"/>
      <c r="T287" s="5"/>
    </row>
    <row r="288" spans="1:20" x14ac:dyDescent="0.25">
      <c r="A288" s="5" t="s">
        <v>272</v>
      </c>
      <c r="B288" s="5" t="s">
        <v>1202</v>
      </c>
      <c r="C288" s="14">
        <v>45385</v>
      </c>
      <c r="D288" s="5" t="s">
        <v>230</v>
      </c>
      <c r="E288" s="5" t="s">
        <v>279</v>
      </c>
      <c r="F288" s="7" t="s">
        <v>279</v>
      </c>
      <c r="G288" s="7">
        <v>22800</v>
      </c>
      <c r="H288" s="11" t="s">
        <v>1208</v>
      </c>
      <c r="I288" s="11" t="s">
        <v>333</v>
      </c>
      <c r="J288" s="11" t="s">
        <v>1209</v>
      </c>
      <c r="K288" s="5" t="s">
        <v>873</v>
      </c>
      <c r="L288" s="6" t="s">
        <v>1210</v>
      </c>
      <c r="M288" s="5"/>
      <c r="N288" s="11"/>
      <c r="O288" s="7"/>
      <c r="P288" s="7"/>
      <c r="Q288" s="7"/>
      <c r="R288" s="11"/>
      <c r="S288" s="7"/>
      <c r="T288" s="5"/>
    </row>
    <row r="289" spans="1:20" x14ac:dyDescent="0.25">
      <c r="A289" s="5" t="s">
        <v>71</v>
      </c>
      <c r="B289" s="5" t="s">
        <v>1194</v>
      </c>
      <c r="C289" s="14">
        <v>45386</v>
      </c>
      <c r="D289" s="5" t="s">
        <v>1193</v>
      </c>
      <c r="E289" s="5">
        <v>126</v>
      </c>
      <c r="F289" s="7">
        <v>2698000</v>
      </c>
      <c r="G289" s="7">
        <f t="shared" si="23"/>
        <v>21412.698412698413</v>
      </c>
      <c r="H289" s="11" t="s">
        <v>1193</v>
      </c>
      <c r="I289" s="11" t="s">
        <v>1078</v>
      </c>
      <c r="J289" s="11" t="s">
        <v>1116</v>
      </c>
      <c r="K289" s="5" t="s">
        <v>1213</v>
      </c>
      <c r="L289" s="6" t="s">
        <v>1242</v>
      </c>
      <c r="M289" s="5"/>
      <c r="N289" s="11"/>
      <c r="O289" s="7"/>
      <c r="P289" s="7"/>
      <c r="Q289" s="7"/>
      <c r="R289" s="11"/>
      <c r="S289" s="7"/>
      <c r="T289" s="5"/>
    </row>
    <row r="290" spans="1:20" x14ac:dyDescent="0.25">
      <c r="A290" s="5" t="s">
        <v>71</v>
      </c>
      <c r="B290" s="5" t="s">
        <v>1204</v>
      </c>
      <c r="C290" s="14">
        <v>45397</v>
      </c>
      <c r="D290" s="5" t="s">
        <v>5</v>
      </c>
      <c r="E290" s="5">
        <v>56</v>
      </c>
      <c r="F290" s="7">
        <v>1058000</v>
      </c>
      <c r="G290" s="7">
        <f t="shared" si="23"/>
        <v>18892.857142857141</v>
      </c>
      <c r="H290" s="11" t="s">
        <v>1223</v>
      </c>
      <c r="I290" s="11" t="s">
        <v>490</v>
      </c>
      <c r="J290" s="11" t="s">
        <v>54</v>
      </c>
      <c r="K290" s="5" t="s">
        <v>873</v>
      </c>
      <c r="L290" s="6" t="s">
        <v>1317</v>
      </c>
      <c r="M290" s="5"/>
      <c r="N290" s="11"/>
      <c r="O290" s="7"/>
      <c r="P290" s="7"/>
      <c r="Q290" s="7"/>
      <c r="R290" s="11"/>
      <c r="S290" s="7"/>
      <c r="T290" s="5"/>
    </row>
    <row r="291" spans="1:20" x14ac:dyDescent="0.25">
      <c r="A291" s="5" t="s">
        <v>272</v>
      </c>
      <c r="B291" s="5" t="s">
        <v>1203</v>
      </c>
      <c r="C291" s="14">
        <v>45405</v>
      </c>
      <c r="D291" s="5" t="s">
        <v>230</v>
      </c>
      <c r="E291" s="5">
        <v>202</v>
      </c>
      <c r="F291" s="7">
        <v>3650000</v>
      </c>
      <c r="G291" s="7">
        <f t="shared" si="23"/>
        <v>18069.30693069307</v>
      </c>
      <c r="H291" s="11" t="s">
        <v>1230</v>
      </c>
      <c r="I291" s="11" t="s">
        <v>190</v>
      </c>
      <c r="J291" s="11" t="s">
        <v>496</v>
      </c>
      <c r="K291" s="5" t="s">
        <v>1231</v>
      </c>
      <c r="L291" s="6" t="s">
        <v>1354</v>
      </c>
      <c r="M291" s="5"/>
      <c r="N291" s="11"/>
      <c r="O291" s="7"/>
      <c r="P291" s="7"/>
      <c r="Q291" s="7"/>
      <c r="R291" s="11"/>
      <c r="S291" s="7"/>
      <c r="T291" s="5"/>
    </row>
    <row r="292" spans="1:20" x14ac:dyDescent="0.25">
      <c r="A292" s="5" t="s">
        <v>71</v>
      </c>
      <c r="B292" s="5" t="s">
        <v>871</v>
      </c>
      <c r="C292" s="14">
        <v>45406</v>
      </c>
      <c r="D292" s="5" t="s">
        <v>5</v>
      </c>
      <c r="E292" s="5">
        <v>182</v>
      </c>
      <c r="F292" s="7">
        <v>3128000</v>
      </c>
      <c r="G292" s="7">
        <f t="shared" si="23"/>
        <v>17186.813186813186</v>
      </c>
      <c r="H292" s="11" t="s">
        <v>1232</v>
      </c>
      <c r="I292" s="11" t="s">
        <v>1233</v>
      </c>
      <c r="J292" s="11" t="s">
        <v>1234</v>
      </c>
      <c r="K292" s="5" t="s">
        <v>830</v>
      </c>
      <c r="L292" s="6" t="s">
        <v>1320</v>
      </c>
      <c r="M292" s="5"/>
      <c r="N292" s="11"/>
      <c r="O292" s="7"/>
      <c r="P292" s="7"/>
      <c r="Q292" s="7"/>
      <c r="R292" s="11"/>
      <c r="S292" s="7"/>
      <c r="T292" s="5"/>
    </row>
    <row r="293" spans="1:20" x14ac:dyDescent="0.25">
      <c r="A293" s="5" t="s">
        <v>71</v>
      </c>
      <c r="B293" s="5" t="s">
        <v>1161</v>
      </c>
      <c r="C293" s="14">
        <v>45407</v>
      </c>
      <c r="D293" s="5" t="s">
        <v>527</v>
      </c>
      <c r="E293" s="5">
        <v>119</v>
      </c>
      <c r="F293" s="7">
        <v>2788000</v>
      </c>
      <c r="G293" s="7">
        <f t="shared" si="23"/>
        <v>23428.571428571428</v>
      </c>
      <c r="H293" s="11" t="s">
        <v>1022</v>
      </c>
      <c r="I293" s="11" t="s">
        <v>1146</v>
      </c>
      <c r="J293" s="11" t="s">
        <v>547</v>
      </c>
      <c r="K293" s="5" t="s">
        <v>240</v>
      </c>
      <c r="L293" s="6" t="s">
        <v>1236</v>
      </c>
      <c r="M293" s="5"/>
      <c r="N293" s="11"/>
      <c r="O293" s="7"/>
      <c r="P293" s="7"/>
      <c r="Q293" s="7"/>
      <c r="R293" s="11"/>
      <c r="S293" s="7"/>
      <c r="T293" s="5"/>
    </row>
    <row r="294" spans="1:20" x14ac:dyDescent="0.25">
      <c r="A294" s="5" t="s">
        <v>71</v>
      </c>
      <c r="B294" s="5" t="s">
        <v>1237</v>
      </c>
      <c r="C294" s="14">
        <v>45412</v>
      </c>
      <c r="D294" s="5" t="s">
        <v>209</v>
      </c>
      <c r="E294" s="5">
        <v>168</v>
      </c>
      <c r="F294" s="7">
        <v>3298000</v>
      </c>
      <c r="G294" s="7">
        <f t="shared" si="23"/>
        <v>19630.952380952382</v>
      </c>
      <c r="H294" s="11" t="s">
        <v>209</v>
      </c>
      <c r="I294" s="11" t="s">
        <v>1013</v>
      </c>
      <c r="J294" s="11" t="s">
        <v>1116</v>
      </c>
      <c r="K294" s="5" t="s">
        <v>531</v>
      </c>
      <c r="L294" s="6" t="s">
        <v>1238</v>
      </c>
      <c r="M294" s="5"/>
      <c r="N294" s="11"/>
      <c r="O294" s="7"/>
      <c r="P294" s="7"/>
      <c r="Q294" s="7"/>
      <c r="R294" s="11"/>
      <c r="S294" s="7"/>
      <c r="T294" s="5"/>
    </row>
    <row r="295" spans="1:20" x14ac:dyDescent="0.25">
      <c r="A295" s="5" t="s">
        <v>71</v>
      </c>
      <c r="B295" s="5" t="s">
        <v>1020</v>
      </c>
      <c r="C295" s="14">
        <v>45414</v>
      </c>
      <c r="D295" s="5" t="s">
        <v>230</v>
      </c>
      <c r="E295" s="5">
        <v>65</v>
      </c>
      <c r="F295" s="7">
        <v>1518000</v>
      </c>
      <c r="G295" s="7">
        <f t="shared" si="23"/>
        <v>23353.846153846152</v>
      </c>
      <c r="H295" s="11" t="s">
        <v>1021</v>
      </c>
      <c r="I295" s="11" t="s">
        <v>912</v>
      </c>
      <c r="J295" s="11" t="s">
        <v>652</v>
      </c>
      <c r="K295" s="5" t="s">
        <v>1014</v>
      </c>
      <c r="L295" s="6"/>
      <c r="M295" s="5"/>
      <c r="N295" s="11"/>
      <c r="O295" s="7"/>
      <c r="P295" s="7"/>
      <c r="Q295" s="7"/>
      <c r="R295" s="11"/>
      <c r="S295" s="7"/>
      <c r="T295" s="5"/>
    </row>
    <row r="296" spans="1:20" x14ac:dyDescent="0.25">
      <c r="A296" s="5" t="s">
        <v>71</v>
      </c>
      <c r="B296" s="5" t="s">
        <v>1020</v>
      </c>
      <c r="C296" s="14">
        <v>45414</v>
      </c>
      <c r="D296" s="5" t="s">
        <v>4</v>
      </c>
      <c r="E296" s="5">
        <v>65</v>
      </c>
      <c r="F296" s="7">
        <v>1518000</v>
      </c>
      <c r="G296" s="7">
        <f t="shared" ref="G296:G298" si="24">F296/E296</f>
        <v>23353.846153846152</v>
      </c>
      <c r="H296" s="11" t="s">
        <v>1021</v>
      </c>
      <c r="I296" s="11" t="s">
        <v>912</v>
      </c>
      <c r="J296" s="11" t="s">
        <v>652</v>
      </c>
      <c r="K296" s="5" t="s">
        <v>1014</v>
      </c>
      <c r="L296" s="6" t="s">
        <v>1353</v>
      </c>
      <c r="M296" s="5"/>
      <c r="N296" s="11"/>
      <c r="O296" s="7"/>
      <c r="P296" s="7"/>
      <c r="Q296" s="7"/>
      <c r="R296" s="11"/>
      <c r="S296" s="7"/>
      <c r="T296" s="5"/>
    </row>
    <row r="297" spans="1:20" x14ac:dyDescent="0.25">
      <c r="A297" s="5" t="s">
        <v>71</v>
      </c>
      <c r="B297" s="5" t="s">
        <v>1020</v>
      </c>
      <c r="C297" s="14">
        <v>45414</v>
      </c>
      <c r="D297" s="5" t="s">
        <v>1151</v>
      </c>
      <c r="E297" s="5">
        <v>65</v>
      </c>
      <c r="F297" s="7">
        <v>1518000</v>
      </c>
      <c r="G297" s="7">
        <f t="shared" si="24"/>
        <v>23353.846153846152</v>
      </c>
      <c r="H297" s="11" t="s">
        <v>1021</v>
      </c>
      <c r="I297" s="11" t="s">
        <v>912</v>
      </c>
      <c r="J297" s="11" t="s">
        <v>652</v>
      </c>
      <c r="K297" s="5" t="s">
        <v>1014</v>
      </c>
      <c r="L297" s="6"/>
      <c r="M297" s="5"/>
      <c r="N297" s="11"/>
      <c r="O297" s="7"/>
      <c r="P297" s="7"/>
      <c r="Q297" s="7"/>
      <c r="R297" s="11"/>
      <c r="S297" s="7"/>
      <c r="T297" s="5"/>
    </row>
    <row r="298" spans="1:20" x14ac:dyDescent="0.25">
      <c r="A298" s="5" t="s">
        <v>71</v>
      </c>
      <c r="B298" s="5" t="s">
        <v>1225</v>
      </c>
      <c r="C298" s="14">
        <v>45420</v>
      </c>
      <c r="D298" s="5" t="s">
        <v>4</v>
      </c>
      <c r="E298" s="5">
        <v>61</v>
      </c>
      <c r="F298" s="7">
        <v>1068000</v>
      </c>
      <c r="G298" s="7">
        <f t="shared" si="24"/>
        <v>17508.196721311477</v>
      </c>
      <c r="H298" s="11" t="s">
        <v>1243</v>
      </c>
      <c r="I298" s="11" t="s">
        <v>1244</v>
      </c>
      <c r="J298" s="11" t="s">
        <v>1168</v>
      </c>
      <c r="K298" s="5" t="s">
        <v>240</v>
      </c>
      <c r="L298" s="6" t="s">
        <v>1352</v>
      </c>
      <c r="M298" s="5"/>
      <c r="N298" s="11"/>
      <c r="O298" s="7"/>
      <c r="P298" s="7"/>
      <c r="Q298" s="7"/>
      <c r="R298" s="11"/>
      <c r="S298" s="7"/>
      <c r="T298" s="5"/>
    </row>
    <row r="299" spans="1:20" x14ac:dyDescent="0.25">
      <c r="A299" s="5" t="s">
        <v>71</v>
      </c>
      <c r="B299" s="5" t="s">
        <v>1225</v>
      </c>
      <c r="C299" s="14">
        <v>45420</v>
      </c>
      <c r="D299" s="5" t="s">
        <v>1151</v>
      </c>
      <c r="E299" s="5">
        <v>61</v>
      </c>
      <c r="F299" s="7">
        <v>1068000</v>
      </c>
      <c r="G299" s="7">
        <f t="shared" ref="G299:G305" si="25">F299/E299</f>
        <v>17508.196721311477</v>
      </c>
      <c r="H299" s="11" t="s">
        <v>1243</v>
      </c>
      <c r="I299" s="11" t="s">
        <v>1244</v>
      </c>
      <c r="J299" s="11" t="s">
        <v>1168</v>
      </c>
      <c r="K299" s="5" t="s">
        <v>240</v>
      </c>
      <c r="L299" s="6"/>
      <c r="M299" s="5"/>
      <c r="N299" s="11"/>
      <c r="O299" s="7"/>
      <c r="P299" s="7"/>
      <c r="Q299" s="7"/>
      <c r="R299" s="11"/>
      <c r="S299" s="7"/>
      <c r="T299" s="5"/>
    </row>
    <row r="300" spans="1:20" x14ac:dyDescent="0.25">
      <c r="A300" s="5" t="s">
        <v>71</v>
      </c>
      <c r="B300" s="5" t="s">
        <v>1245</v>
      </c>
      <c r="C300" s="14">
        <v>45422</v>
      </c>
      <c r="D300" s="5" t="s">
        <v>813</v>
      </c>
      <c r="E300" s="5">
        <v>37</v>
      </c>
      <c r="F300" s="7">
        <v>1098000</v>
      </c>
      <c r="G300" s="7">
        <f t="shared" si="25"/>
        <v>29675.675675675677</v>
      </c>
      <c r="H300" s="11" t="s">
        <v>1205</v>
      </c>
      <c r="I300" s="11" t="s">
        <v>815</v>
      </c>
      <c r="J300" s="11" t="s">
        <v>547</v>
      </c>
      <c r="K300" s="5" t="s">
        <v>602</v>
      </c>
      <c r="L300" s="6" t="s">
        <v>1335</v>
      </c>
      <c r="M300" s="5"/>
      <c r="N300" s="11"/>
      <c r="O300" s="7"/>
      <c r="P300" s="7"/>
      <c r="Q300" s="7"/>
      <c r="R300" s="11"/>
      <c r="S300" s="7"/>
      <c r="T300" s="5"/>
    </row>
    <row r="301" spans="1:20" x14ac:dyDescent="0.25">
      <c r="A301" s="5" t="s">
        <v>272</v>
      </c>
      <c r="B301" s="5" t="s">
        <v>1235</v>
      </c>
      <c r="C301" s="14">
        <v>45441</v>
      </c>
      <c r="D301" s="5" t="s">
        <v>230</v>
      </c>
      <c r="E301" s="5">
        <v>336</v>
      </c>
      <c r="F301" s="7">
        <v>7870000</v>
      </c>
      <c r="G301" s="7">
        <f t="shared" si="25"/>
        <v>23422.619047619046</v>
      </c>
      <c r="H301" s="11" t="s">
        <v>1312</v>
      </c>
      <c r="I301" s="11" t="s">
        <v>25</v>
      </c>
      <c r="J301" s="11" t="s">
        <v>234</v>
      </c>
      <c r="K301" s="5" t="s">
        <v>240</v>
      </c>
      <c r="L301" s="6" t="s">
        <v>1313</v>
      </c>
      <c r="M301" s="5"/>
      <c r="N301" s="11"/>
      <c r="O301" s="7"/>
      <c r="P301" s="7"/>
      <c r="Q301" s="7"/>
      <c r="R301" s="11"/>
      <c r="S301" s="7"/>
      <c r="T301" s="5"/>
    </row>
    <row r="302" spans="1:20" x14ac:dyDescent="0.25">
      <c r="A302" s="5" t="s">
        <v>71</v>
      </c>
      <c r="B302" s="5" t="s">
        <v>1237</v>
      </c>
      <c r="C302" s="14">
        <v>45443</v>
      </c>
      <c r="D302" s="5" t="s">
        <v>209</v>
      </c>
      <c r="E302" s="5">
        <v>168</v>
      </c>
      <c r="F302" s="7">
        <v>3268000</v>
      </c>
      <c r="G302" s="7">
        <f t="shared" si="25"/>
        <v>19452.380952380954</v>
      </c>
      <c r="H302" s="11" t="s">
        <v>209</v>
      </c>
      <c r="I302" s="11" t="s">
        <v>1013</v>
      </c>
      <c r="J302" s="11" t="s">
        <v>1116</v>
      </c>
      <c r="K302" s="5" t="s">
        <v>531</v>
      </c>
      <c r="L302" s="6" t="s">
        <v>1238</v>
      </c>
      <c r="M302" s="5"/>
      <c r="N302" s="11"/>
      <c r="O302" s="7"/>
      <c r="P302" s="7"/>
      <c r="Q302" s="7"/>
      <c r="R302" s="11"/>
      <c r="S302" s="7"/>
      <c r="T302" s="5"/>
    </row>
    <row r="303" spans="1:20" x14ac:dyDescent="0.25">
      <c r="A303" s="5" t="s">
        <v>272</v>
      </c>
      <c r="B303" s="5" t="s">
        <v>1321</v>
      </c>
      <c r="C303" s="14">
        <v>45450</v>
      </c>
      <c r="D303" s="5" t="s">
        <v>4</v>
      </c>
      <c r="E303" s="5">
        <v>172</v>
      </c>
      <c r="F303" s="7">
        <v>3418000</v>
      </c>
      <c r="G303" s="7">
        <f t="shared" si="25"/>
        <v>19872.093023255813</v>
      </c>
      <c r="H303" s="11" t="s">
        <v>641</v>
      </c>
      <c r="I303" s="11" t="s">
        <v>7</v>
      </c>
      <c r="J303" s="11" t="s">
        <v>33</v>
      </c>
      <c r="K303" s="5" t="s">
        <v>240</v>
      </c>
      <c r="L303" s="6" t="s">
        <v>1389</v>
      </c>
      <c r="M303" s="5"/>
      <c r="N303" s="11"/>
      <c r="O303" s="7"/>
      <c r="P303" s="7"/>
      <c r="Q303" s="7"/>
      <c r="R303" s="11"/>
      <c r="S303" s="7"/>
      <c r="T303" s="5"/>
    </row>
    <row r="304" spans="1:20" x14ac:dyDescent="0.25">
      <c r="A304" s="5" t="s">
        <v>71</v>
      </c>
      <c r="B304" s="5" t="s">
        <v>1322</v>
      </c>
      <c r="C304" s="14">
        <v>45455</v>
      </c>
      <c r="D304" s="5" t="s">
        <v>325</v>
      </c>
      <c r="E304" s="5">
        <v>140</v>
      </c>
      <c r="F304" s="7">
        <v>2225000</v>
      </c>
      <c r="G304" s="7">
        <f t="shared" si="25"/>
        <v>15892.857142857143</v>
      </c>
      <c r="H304" s="11" t="s">
        <v>1314</v>
      </c>
      <c r="I304" s="11" t="s">
        <v>1171</v>
      </c>
      <c r="J304" s="11" t="s">
        <v>54</v>
      </c>
      <c r="K304" s="5" t="s">
        <v>1311</v>
      </c>
      <c r="L304" s="6" t="s">
        <v>245</v>
      </c>
      <c r="M304" s="5"/>
      <c r="N304" s="11"/>
      <c r="O304" s="7"/>
      <c r="P304" s="7"/>
      <c r="Q304" s="7"/>
      <c r="R304" s="11"/>
      <c r="S304" s="7"/>
      <c r="T304" s="5"/>
    </row>
    <row r="305" spans="1:20" x14ac:dyDescent="0.25">
      <c r="A305" s="5" t="s">
        <v>272</v>
      </c>
      <c r="B305" s="5" t="s">
        <v>1325</v>
      </c>
      <c r="C305" s="14">
        <v>45462</v>
      </c>
      <c r="D305" s="5" t="s">
        <v>4</v>
      </c>
      <c r="E305" s="5">
        <v>231</v>
      </c>
      <c r="F305" s="7">
        <v>4798000</v>
      </c>
      <c r="G305" s="7">
        <f t="shared" si="25"/>
        <v>20770.56277056277</v>
      </c>
      <c r="H305" s="11" t="s">
        <v>1326</v>
      </c>
      <c r="I305" s="11" t="s">
        <v>333</v>
      </c>
      <c r="J305" s="11" t="s">
        <v>234</v>
      </c>
      <c r="K305" s="5" t="s">
        <v>1315</v>
      </c>
      <c r="L305" s="6" t="s">
        <v>308</v>
      </c>
      <c r="M305" s="5"/>
      <c r="N305" s="11"/>
      <c r="O305" s="7"/>
      <c r="P305" s="7"/>
      <c r="Q305" s="7"/>
      <c r="R305" s="11"/>
      <c r="S305" s="7"/>
      <c r="T305" s="5"/>
    </row>
    <row r="306" spans="1:20" x14ac:dyDescent="0.25">
      <c r="A306" s="5" t="s">
        <v>272</v>
      </c>
      <c r="B306" s="5" t="s">
        <v>1325</v>
      </c>
      <c r="C306" s="14">
        <v>45462</v>
      </c>
      <c r="D306" s="5" t="s">
        <v>230</v>
      </c>
      <c r="E306" s="5">
        <v>231</v>
      </c>
      <c r="F306" s="7">
        <v>4798000</v>
      </c>
      <c r="G306" s="7">
        <f t="shared" ref="G306:G319" si="26">F306/E306</f>
        <v>20770.56277056277</v>
      </c>
      <c r="H306" s="11" t="s">
        <v>1326</v>
      </c>
      <c r="I306" s="11" t="s">
        <v>333</v>
      </c>
      <c r="J306" s="11" t="s">
        <v>234</v>
      </c>
      <c r="K306" s="5" t="s">
        <v>1315</v>
      </c>
      <c r="L306" s="6" t="s">
        <v>308</v>
      </c>
      <c r="M306" s="5"/>
      <c r="N306" s="11"/>
      <c r="O306" s="7"/>
      <c r="P306" s="7"/>
      <c r="Q306" s="7"/>
      <c r="R306" s="11"/>
      <c r="S306" s="7"/>
      <c r="T306" s="5"/>
    </row>
    <row r="307" spans="1:20" x14ac:dyDescent="0.25">
      <c r="A307" s="5" t="s">
        <v>272</v>
      </c>
      <c r="B307" s="5" t="s">
        <v>1325</v>
      </c>
      <c r="C307" s="14">
        <v>45462</v>
      </c>
      <c r="D307" s="5" t="s">
        <v>1327</v>
      </c>
      <c r="E307" s="5">
        <v>231</v>
      </c>
      <c r="F307" s="7">
        <v>4798000</v>
      </c>
      <c r="G307" s="7">
        <f t="shared" si="26"/>
        <v>20770.56277056277</v>
      </c>
      <c r="H307" s="11" t="s">
        <v>1326</v>
      </c>
      <c r="I307" s="11" t="s">
        <v>333</v>
      </c>
      <c r="J307" s="11" t="s">
        <v>234</v>
      </c>
      <c r="K307" s="5" t="s">
        <v>1315</v>
      </c>
      <c r="L307" s="6" t="s">
        <v>308</v>
      </c>
      <c r="M307" s="5"/>
      <c r="N307" s="11"/>
      <c r="O307" s="7"/>
      <c r="P307" s="7"/>
      <c r="Q307" s="7"/>
      <c r="R307" s="11"/>
      <c r="S307" s="7"/>
      <c r="T307" s="5"/>
    </row>
    <row r="308" spans="1:20" x14ac:dyDescent="0.25">
      <c r="A308" s="5" t="s">
        <v>272</v>
      </c>
      <c r="B308" s="5" t="s">
        <v>1309</v>
      </c>
      <c r="C308" s="14">
        <v>45467</v>
      </c>
      <c r="D308" s="5" t="s">
        <v>230</v>
      </c>
      <c r="E308" s="5">
        <v>396</v>
      </c>
      <c r="F308" s="7">
        <v>8117000</v>
      </c>
      <c r="G308" s="7">
        <f t="shared" si="26"/>
        <v>20497.474747474749</v>
      </c>
      <c r="H308" s="11" t="s">
        <v>1332</v>
      </c>
      <c r="I308" s="11" t="s">
        <v>267</v>
      </c>
      <c r="J308" s="11" t="s">
        <v>1116</v>
      </c>
      <c r="K308" s="5" t="s">
        <v>1310</v>
      </c>
      <c r="L308" s="6" t="s">
        <v>308</v>
      </c>
      <c r="M308" s="5"/>
      <c r="N308" s="11"/>
      <c r="O308" s="7"/>
      <c r="P308" s="7"/>
      <c r="Q308" s="7"/>
      <c r="R308" s="11"/>
      <c r="S308" s="7"/>
      <c r="T308" s="5"/>
    </row>
    <row r="309" spans="1:20" x14ac:dyDescent="0.25">
      <c r="A309" s="5" t="s">
        <v>272</v>
      </c>
      <c r="B309" s="5" t="s">
        <v>1328</v>
      </c>
      <c r="C309" s="14">
        <v>45475</v>
      </c>
      <c r="D309" s="5" t="s">
        <v>4</v>
      </c>
      <c r="E309" s="5">
        <v>513</v>
      </c>
      <c r="F309" s="7">
        <v>12775000</v>
      </c>
      <c r="G309" s="7">
        <f t="shared" si="26"/>
        <v>24902.534113060428</v>
      </c>
      <c r="H309" s="11" t="s">
        <v>1312</v>
      </c>
      <c r="I309" s="11" t="s">
        <v>138</v>
      </c>
      <c r="J309" s="11" t="s">
        <v>199</v>
      </c>
      <c r="K309" s="5" t="s">
        <v>450</v>
      </c>
      <c r="L309" s="6" t="s">
        <v>1361</v>
      </c>
      <c r="M309" s="5"/>
      <c r="N309" s="11"/>
      <c r="O309" s="7"/>
      <c r="P309" s="7"/>
      <c r="Q309" s="7"/>
      <c r="R309" s="11"/>
      <c r="S309" s="7"/>
      <c r="T309" s="5"/>
    </row>
    <row r="310" spans="1:20" x14ac:dyDescent="0.25">
      <c r="A310" s="5" t="s">
        <v>272</v>
      </c>
      <c r="B310" s="5" t="s">
        <v>1329</v>
      </c>
      <c r="C310" s="14">
        <v>45475</v>
      </c>
      <c r="D310" s="5" t="s">
        <v>4</v>
      </c>
      <c r="E310" s="5">
        <v>340</v>
      </c>
      <c r="F310" s="7">
        <v>8053000</v>
      </c>
      <c r="G310" s="7">
        <f t="shared" si="26"/>
        <v>23685.294117647059</v>
      </c>
      <c r="H310" s="11" t="s">
        <v>1312</v>
      </c>
      <c r="I310" s="11" t="s">
        <v>25</v>
      </c>
      <c r="J310" s="11" t="s">
        <v>199</v>
      </c>
      <c r="K310" s="5" t="s">
        <v>450</v>
      </c>
      <c r="L310" s="6" t="s">
        <v>1362</v>
      </c>
      <c r="M310" s="5"/>
      <c r="N310" s="11"/>
      <c r="O310" s="7"/>
      <c r="P310" s="7"/>
      <c r="Q310" s="7"/>
      <c r="R310" s="11"/>
      <c r="S310" s="7"/>
      <c r="T310" s="5"/>
    </row>
    <row r="311" spans="1:20" x14ac:dyDescent="0.25">
      <c r="A311" s="5" t="s">
        <v>71</v>
      </c>
      <c r="B311" s="5" t="s">
        <v>1322</v>
      </c>
      <c r="C311" s="14">
        <v>45476</v>
      </c>
      <c r="D311" s="5" t="s">
        <v>325</v>
      </c>
      <c r="E311" s="5">
        <v>140</v>
      </c>
      <c r="F311" s="7">
        <v>2108000</v>
      </c>
      <c r="G311" s="7">
        <f t="shared" si="26"/>
        <v>15057.142857142857</v>
      </c>
      <c r="H311" s="11" t="s">
        <v>1314</v>
      </c>
      <c r="I311" s="11" t="s">
        <v>1171</v>
      </c>
      <c r="J311" s="11" t="s">
        <v>54</v>
      </c>
      <c r="K311" s="5" t="s">
        <v>1311</v>
      </c>
      <c r="L311" s="6" t="s">
        <v>1351</v>
      </c>
      <c r="M311" s="5"/>
      <c r="N311" s="11"/>
      <c r="O311" s="7"/>
      <c r="P311" s="7"/>
      <c r="Q311" s="7"/>
      <c r="R311" s="11"/>
      <c r="S311" s="7"/>
      <c r="T311" s="5"/>
    </row>
    <row r="312" spans="1:20" x14ac:dyDescent="0.25">
      <c r="A312" s="5" t="s">
        <v>71</v>
      </c>
      <c r="B312" s="5" t="s">
        <v>1339</v>
      </c>
      <c r="C312" s="14">
        <v>45483</v>
      </c>
      <c r="D312" s="5" t="s">
        <v>599</v>
      </c>
      <c r="E312" s="5">
        <v>58</v>
      </c>
      <c r="F312" s="7">
        <v>1074000</v>
      </c>
      <c r="G312" s="7">
        <f t="shared" si="26"/>
        <v>18517.241379310344</v>
      </c>
      <c r="H312" s="11" t="s">
        <v>600</v>
      </c>
      <c r="I312" s="11" t="s">
        <v>601</v>
      </c>
      <c r="J312" s="11" t="s">
        <v>388</v>
      </c>
      <c r="K312" s="5" t="s">
        <v>602</v>
      </c>
      <c r="L312" s="6"/>
      <c r="M312" s="5"/>
      <c r="N312" s="11"/>
      <c r="O312" s="7"/>
      <c r="P312" s="7"/>
      <c r="Q312" s="7"/>
      <c r="R312" s="11"/>
      <c r="S312" s="7"/>
      <c r="T312" s="5"/>
    </row>
    <row r="313" spans="1:20" x14ac:dyDescent="0.25">
      <c r="A313" s="5" t="s">
        <v>71</v>
      </c>
      <c r="B313" s="5" t="s">
        <v>1154</v>
      </c>
      <c r="C313" s="14">
        <v>45484</v>
      </c>
      <c r="D313" s="5" t="s">
        <v>1141</v>
      </c>
      <c r="E313" s="5">
        <v>461</v>
      </c>
      <c r="F313" s="7">
        <v>9380000</v>
      </c>
      <c r="G313" s="7">
        <f t="shared" si="26"/>
        <v>20347.071583514098</v>
      </c>
      <c r="H313" s="11" t="s">
        <v>1142</v>
      </c>
      <c r="I313" s="11" t="s">
        <v>1142</v>
      </c>
      <c r="J313" s="11" t="s">
        <v>1116</v>
      </c>
      <c r="K313" s="5" t="s">
        <v>1037</v>
      </c>
      <c r="L313" s="6" t="s">
        <v>1340</v>
      </c>
      <c r="M313" s="5"/>
      <c r="N313" s="11"/>
      <c r="O313" s="7"/>
      <c r="P313" s="7"/>
      <c r="Q313" s="7"/>
      <c r="R313" s="11"/>
      <c r="S313" s="7"/>
      <c r="T313" s="5"/>
    </row>
    <row r="314" spans="1:20" x14ac:dyDescent="0.25">
      <c r="A314" s="5" t="s">
        <v>272</v>
      </c>
      <c r="B314" s="5" t="s">
        <v>1343</v>
      </c>
      <c r="C314" s="14">
        <v>45492</v>
      </c>
      <c r="D314" s="5" t="s">
        <v>230</v>
      </c>
      <c r="E314" s="5">
        <v>796</v>
      </c>
      <c r="F314" s="7">
        <v>16860000</v>
      </c>
      <c r="G314" s="7">
        <f t="shared" si="26"/>
        <v>21180.904522613066</v>
      </c>
      <c r="H314" s="11" t="s">
        <v>1344</v>
      </c>
      <c r="I314" s="11" t="s">
        <v>233</v>
      </c>
      <c r="J314" s="11" t="s">
        <v>1345</v>
      </c>
      <c r="K314" s="5" t="s">
        <v>450</v>
      </c>
      <c r="L314" s="6" t="s">
        <v>1346</v>
      </c>
      <c r="M314" s="5"/>
      <c r="N314" s="11"/>
      <c r="O314" s="7"/>
      <c r="P314" s="7"/>
      <c r="Q314" s="7"/>
      <c r="R314" s="11"/>
      <c r="S314" s="7"/>
      <c r="T314" s="5"/>
    </row>
    <row r="315" spans="1:20" x14ac:dyDescent="0.25">
      <c r="A315" s="5" t="s">
        <v>1347</v>
      </c>
      <c r="B315" s="5" t="s">
        <v>1341</v>
      </c>
      <c r="C315" s="14">
        <v>45492</v>
      </c>
      <c r="D315" s="5" t="s">
        <v>230</v>
      </c>
      <c r="E315" s="5">
        <v>126</v>
      </c>
      <c r="F315" s="7">
        <v>2850000</v>
      </c>
      <c r="G315" s="7">
        <f t="shared" si="26"/>
        <v>22619.047619047618</v>
      </c>
      <c r="H315" s="11" t="s">
        <v>1110</v>
      </c>
      <c r="I315" s="11" t="s">
        <v>951</v>
      </c>
      <c r="J315" s="11" t="s">
        <v>388</v>
      </c>
      <c r="K315" s="5" t="s">
        <v>1348</v>
      </c>
      <c r="L315" s="6" t="s">
        <v>1349</v>
      </c>
      <c r="M315" s="5"/>
      <c r="N315" s="11"/>
      <c r="O315" s="7"/>
      <c r="P315" s="7"/>
      <c r="Q315" s="7"/>
      <c r="R315" s="11"/>
      <c r="S315" s="7"/>
      <c r="T315" s="5"/>
    </row>
    <row r="316" spans="1:20" x14ac:dyDescent="0.25">
      <c r="A316" s="5" t="s">
        <v>71</v>
      </c>
      <c r="B316" s="5" t="s">
        <v>1338</v>
      </c>
      <c r="C316" s="14">
        <v>45497</v>
      </c>
      <c r="D316" s="5" t="s">
        <v>1094</v>
      </c>
      <c r="E316" s="5">
        <v>124</v>
      </c>
      <c r="F316" s="7">
        <v>2438000</v>
      </c>
      <c r="G316" s="7">
        <f t="shared" si="26"/>
        <v>19661.290322580644</v>
      </c>
      <c r="H316" s="11" t="s">
        <v>730</v>
      </c>
      <c r="I316" s="11" t="s">
        <v>206</v>
      </c>
      <c r="J316" s="11" t="s">
        <v>8</v>
      </c>
      <c r="K316" s="5" t="s">
        <v>691</v>
      </c>
      <c r="L316" s="6" t="s">
        <v>1366</v>
      </c>
      <c r="M316" s="5"/>
      <c r="N316" s="11"/>
      <c r="O316" s="7"/>
      <c r="P316" s="7"/>
      <c r="Q316" s="7"/>
      <c r="R316" s="11"/>
      <c r="S316" s="7"/>
      <c r="T316" s="5"/>
    </row>
    <row r="317" spans="1:20" x14ac:dyDescent="0.25">
      <c r="A317" s="5" t="s">
        <v>272</v>
      </c>
      <c r="B317" s="5" t="s">
        <v>1127</v>
      </c>
      <c r="C317" s="14">
        <v>45497</v>
      </c>
      <c r="D317" s="5" t="s">
        <v>4</v>
      </c>
      <c r="E317" s="5">
        <v>382</v>
      </c>
      <c r="F317" s="7">
        <v>7640000</v>
      </c>
      <c r="G317" s="7">
        <f t="shared" si="26"/>
        <v>20000</v>
      </c>
      <c r="H317" s="11" t="s">
        <v>1104</v>
      </c>
      <c r="I317" s="11" t="s">
        <v>7</v>
      </c>
      <c r="J317" s="11" t="s">
        <v>8</v>
      </c>
      <c r="K317" s="5" t="s">
        <v>223</v>
      </c>
      <c r="L317" s="6" t="s">
        <v>1405</v>
      </c>
      <c r="M317" s="5"/>
      <c r="N317" s="11"/>
      <c r="O317" s="7"/>
      <c r="P317" s="7"/>
      <c r="Q317" s="7"/>
      <c r="R317" s="11"/>
      <c r="S317" s="7"/>
      <c r="T317" s="5"/>
    </row>
    <row r="318" spans="1:20" x14ac:dyDescent="0.25">
      <c r="A318" s="5" t="s">
        <v>1347</v>
      </c>
      <c r="B318" s="5" t="s">
        <v>1357</v>
      </c>
      <c r="C318" s="14">
        <v>45506</v>
      </c>
      <c r="D318" s="5" t="s">
        <v>599</v>
      </c>
      <c r="E318" s="5">
        <v>10</v>
      </c>
      <c r="F318" s="7">
        <v>400000</v>
      </c>
      <c r="G318" s="7">
        <f t="shared" si="26"/>
        <v>40000</v>
      </c>
      <c r="H318" s="11" t="s">
        <v>1358</v>
      </c>
      <c r="I318" s="11" t="s">
        <v>1359</v>
      </c>
      <c r="J318" s="11" t="s">
        <v>1168</v>
      </c>
      <c r="K318" s="5" t="s">
        <v>1360</v>
      </c>
      <c r="L318" s="6"/>
      <c r="M318" s="5"/>
      <c r="N318" s="11"/>
      <c r="O318" s="7"/>
      <c r="P318" s="7"/>
      <c r="Q318" s="7"/>
      <c r="R318" s="11"/>
      <c r="S318" s="7"/>
      <c r="T318" s="5"/>
    </row>
    <row r="319" spans="1:20" x14ac:dyDescent="0.25">
      <c r="A319" s="5" t="s">
        <v>272</v>
      </c>
      <c r="B319" s="5" t="s">
        <v>1342</v>
      </c>
      <c r="C319" s="14">
        <v>45512</v>
      </c>
      <c r="D319" s="5" t="s">
        <v>4</v>
      </c>
      <c r="E319" s="5">
        <v>146</v>
      </c>
      <c r="F319" s="7">
        <v>2800000</v>
      </c>
      <c r="G319" s="7">
        <f t="shared" si="26"/>
        <v>19178.082191780821</v>
      </c>
      <c r="H319" s="11" t="s">
        <v>945</v>
      </c>
      <c r="I319" s="11" t="s">
        <v>25</v>
      </c>
      <c r="J319" s="11" t="s">
        <v>234</v>
      </c>
      <c r="K319" s="5" t="s">
        <v>202</v>
      </c>
      <c r="L319" s="6"/>
      <c r="M319" s="5"/>
      <c r="N319" s="11"/>
      <c r="O319" s="7"/>
      <c r="P319" s="7"/>
      <c r="Q319" s="7"/>
      <c r="R319" s="11"/>
      <c r="S319" s="7"/>
      <c r="T319" s="5"/>
    </row>
    <row r="320" spans="1:20" x14ac:dyDescent="0.25">
      <c r="A320" s="5" t="s">
        <v>272</v>
      </c>
      <c r="B320" s="5" t="s">
        <v>1342</v>
      </c>
      <c r="C320" s="14">
        <v>45512</v>
      </c>
      <c r="D320" s="5" t="s">
        <v>230</v>
      </c>
      <c r="E320" s="5">
        <v>146</v>
      </c>
      <c r="F320" s="7">
        <v>2800000</v>
      </c>
      <c r="G320" s="7">
        <f t="shared" ref="G320:G322" si="27">F320/E320</f>
        <v>19178.082191780821</v>
      </c>
      <c r="H320" s="11" t="s">
        <v>945</v>
      </c>
      <c r="I320" s="11" t="s">
        <v>25</v>
      </c>
      <c r="J320" s="11" t="s">
        <v>234</v>
      </c>
      <c r="K320" s="5" t="s">
        <v>202</v>
      </c>
      <c r="L320" s="6"/>
      <c r="M320" s="5"/>
      <c r="N320" s="11"/>
      <c r="O320" s="7"/>
      <c r="P320" s="7"/>
      <c r="Q320" s="7"/>
      <c r="R320" s="11"/>
      <c r="S320" s="7"/>
      <c r="T320" s="5"/>
    </row>
    <row r="321" spans="1:20" x14ac:dyDescent="0.25">
      <c r="A321" s="5" t="s">
        <v>71</v>
      </c>
      <c r="B321" s="5" t="s">
        <v>1350</v>
      </c>
      <c r="C321" s="14">
        <v>45512</v>
      </c>
      <c r="D321" s="5" t="s">
        <v>325</v>
      </c>
      <c r="E321" s="5">
        <v>121</v>
      </c>
      <c r="F321" s="7">
        <v>1985000</v>
      </c>
      <c r="G321" s="7">
        <f t="shared" si="27"/>
        <v>16404.958677685951</v>
      </c>
      <c r="H321" s="11" t="s">
        <v>1363</v>
      </c>
      <c r="I321" s="11" t="s">
        <v>1364</v>
      </c>
      <c r="J321" s="11" t="s">
        <v>1365</v>
      </c>
      <c r="K321" s="5" t="s">
        <v>504</v>
      </c>
      <c r="L321" s="6" t="s">
        <v>1395</v>
      </c>
      <c r="M321" s="5"/>
      <c r="N321" s="11"/>
      <c r="O321" s="7"/>
      <c r="P321" s="7"/>
      <c r="Q321" s="7"/>
      <c r="R321" s="11"/>
      <c r="S321" s="7"/>
      <c r="T321" s="5"/>
    </row>
    <row r="322" spans="1:20" x14ac:dyDescent="0.25">
      <c r="A322" s="5" t="s">
        <v>71</v>
      </c>
      <c r="B322" s="5" t="s">
        <v>1204</v>
      </c>
      <c r="C322" s="14">
        <v>45520</v>
      </c>
      <c r="D322" s="5" t="s">
        <v>1369</v>
      </c>
      <c r="E322" s="5">
        <v>56</v>
      </c>
      <c r="F322" s="7">
        <v>998000</v>
      </c>
      <c r="G322" s="7">
        <f t="shared" si="27"/>
        <v>17821.428571428572</v>
      </c>
      <c r="H322" s="5" t="s">
        <v>1369</v>
      </c>
      <c r="I322" s="11" t="s">
        <v>490</v>
      </c>
      <c r="J322" s="11" t="s">
        <v>54</v>
      </c>
      <c r="K322" s="5" t="s">
        <v>873</v>
      </c>
      <c r="L322" s="6" t="s">
        <v>1370</v>
      </c>
      <c r="M322" s="5"/>
      <c r="N322" s="11"/>
      <c r="O322" s="7"/>
      <c r="P322" s="7"/>
      <c r="Q322" s="7"/>
      <c r="R322" s="11"/>
      <c r="S322" s="7"/>
      <c r="T322" s="5"/>
    </row>
    <row r="323" spans="1:20" x14ac:dyDescent="0.25">
      <c r="A323" s="5" t="s">
        <v>71</v>
      </c>
      <c r="B323" s="5" t="s">
        <v>1350</v>
      </c>
      <c r="C323" s="14">
        <v>45520</v>
      </c>
      <c r="D323" s="5" t="s">
        <v>230</v>
      </c>
      <c r="E323" s="5">
        <v>121</v>
      </c>
      <c r="F323" s="7">
        <v>1985000</v>
      </c>
      <c r="G323" s="7">
        <f t="shared" ref="G323:G329" si="28">F323/E323</f>
        <v>16404.958677685951</v>
      </c>
      <c r="H323" s="11" t="s">
        <v>1363</v>
      </c>
      <c r="I323" s="11" t="s">
        <v>1364</v>
      </c>
      <c r="J323" s="11" t="s">
        <v>1365</v>
      </c>
      <c r="K323" s="5" t="s">
        <v>504</v>
      </c>
      <c r="L323" s="6" t="s">
        <v>1395</v>
      </c>
      <c r="M323" s="5"/>
      <c r="N323" s="11"/>
      <c r="O323" s="7"/>
      <c r="P323" s="7"/>
      <c r="Q323" s="7"/>
      <c r="R323" s="11"/>
      <c r="S323" s="7"/>
      <c r="T323" s="5"/>
    </row>
    <row r="324" spans="1:20" x14ac:dyDescent="0.25">
      <c r="A324" s="5" t="s">
        <v>272</v>
      </c>
      <c r="B324" s="5" t="s">
        <v>1342</v>
      </c>
      <c r="C324" s="14">
        <v>45520</v>
      </c>
      <c r="D324" s="5" t="s">
        <v>5</v>
      </c>
      <c r="E324" s="5">
        <v>146</v>
      </c>
      <c r="F324" s="7">
        <v>2800000</v>
      </c>
      <c r="G324" s="7">
        <f t="shared" si="28"/>
        <v>19178.082191780821</v>
      </c>
      <c r="H324" s="11" t="s">
        <v>945</v>
      </c>
      <c r="I324" s="11" t="s">
        <v>25</v>
      </c>
      <c r="J324" s="11" t="s">
        <v>234</v>
      </c>
      <c r="K324" s="5" t="s">
        <v>202</v>
      </c>
      <c r="L324" s="6"/>
      <c r="M324" s="5"/>
      <c r="N324" s="11"/>
      <c r="O324" s="7"/>
      <c r="P324" s="7"/>
      <c r="Q324" s="7"/>
      <c r="R324" s="11"/>
      <c r="S324" s="7"/>
      <c r="T324" s="5"/>
    </row>
    <row r="325" spans="1:20" x14ac:dyDescent="0.25">
      <c r="A325" s="5" t="s">
        <v>71</v>
      </c>
      <c r="B325" s="5" t="s">
        <v>911</v>
      </c>
      <c r="C325" s="14">
        <v>45525</v>
      </c>
      <c r="D325" s="5" t="s">
        <v>626</v>
      </c>
      <c r="E325" s="5">
        <v>224</v>
      </c>
      <c r="F325" s="7">
        <v>5053000</v>
      </c>
      <c r="G325" s="7">
        <f t="shared" si="28"/>
        <v>22558.035714285714</v>
      </c>
      <c r="H325" s="11" t="s">
        <v>626</v>
      </c>
      <c r="I325" s="11" t="s">
        <v>912</v>
      </c>
      <c r="J325" s="11" t="s">
        <v>176</v>
      </c>
      <c r="K325" s="5" t="s">
        <v>362</v>
      </c>
      <c r="L325" s="6" t="s">
        <v>1402</v>
      </c>
      <c r="M325" s="5"/>
      <c r="N325" s="11"/>
      <c r="O325" s="7"/>
      <c r="P325" s="7"/>
      <c r="Q325" s="7"/>
      <c r="R325" s="11"/>
      <c r="S325" s="7"/>
      <c r="T325" s="5"/>
    </row>
    <row r="326" spans="1:20" x14ac:dyDescent="0.25">
      <c r="A326" s="5" t="s">
        <v>71</v>
      </c>
      <c r="B326" s="5" t="s">
        <v>1107</v>
      </c>
      <c r="C326" s="14">
        <v>45532</v>
      </c>
      <c r="D326" s="5" t="s">
        <v>4</v>
      </c>
      <c r="E326" s="5">
        <v>169</v>
      </c>
      <c r="F326" s="7">
        <v>3598000</v>
      </c>
      <c r="G326" s="7">
        <f t="shared" si="28"/>
        <v>21289.940828402367</v>
      </c>
      <c r="H326" s="11" t="s">
        <v>1012</v>
      </c>
      <c r="I326" s="11" t="s">
        <v>1013</v>
      </c>
      <c r="J326" s="11" t="s">
        <v>234</v>
      </c>
      <c r="K326" s="5" t="s">
        <v>1014</v>
      </c>
      <c r="L326" s="6" t="s">
        <v>1377</v>
      </c>
      <c r="M326" s="5"/>
      <c r="N326" s="11"/>
      <c r="O326" s="7"/>
      <c r="P326" s="7"/>
      <c r="Q326" s="7"/>
      <c r="R326" s="11"/>
      <c r="S326" s="7"/>
      <c r="T326" s="5"/>
    </row>
    <row r="327" spans="1:20" x14ac:dyDescent="0.25">
      <c r="A327" s="5" t="s">
        <v>71</v>
      </c>
      <c r="B327" s="5" t="s">
        <v>1378</v>
      </c>
      <c r="C327" s="14">
        <v>45533</v>
      </c>
      <c r="D327" s="5" t="s">
        <v>230</v>
      </c>
      <c r="E327" s="5">
        <v>61</v>
      </c>
      <c r="F327" s="7">
        <v>1220000</v>
      </c>
      <c r="G327" s="7">
        <f t="shared" si="28"/>
        <v>20000</v>
      </c>
      <c r="H327" s="11" t="s">
        <v>1326</v>
      </c>
      <c r="I327" s="11" t="s">
        <v>1013</v>
      </c>
      <c r="J327" s="11" t="s">
        <v>331</v>
      </c>
      <c r="K327" s="5" t="s">
        <v>1315</v>
      </c>
      <c r="L327" s="6" t="s">
        <v>1527</v>
      </c>
      <c r="M327" s="5"/>
      <c r="N327" s="11"/>
      <c r="O327" s="7"/>
      <c r="P327" s="7"/>
      <c r="Q327" s="7"/>
      <c r="R327" s="11"/>
      <c r="S327" s="7"/>
      <c r="T327" s="5"/>
    </row>
    <row r="328" spans="1:20" x14ac:dyDescent="0.25">
      <c r="A328" s="5" t="s">
        <v>71</v>
      </c>
      <c r="B328" s="5" t="s">
        <v>1367</v>
      </c>
      <c r="C328" s="14">
        <v>45540</v>
      </c>
      <c r="D328" s="5" t="s">
        <v>1094</v>
      </c>
      <c r="E328" s="5">
        <v>197</v>
      </c>
      <c r="F328" s="7">
        <v>3888000</v>
      </c>
      <c r="G328" s="7">
        <f t="shared" si="28"/>
        <v>19736.040609137057</v>
      </c>
      <c r="H328" s="11" t="s">
        <v>727</v>
      </c>
      <c r="I328" s="11" t="s">
        <v>490</v>
      </c>
      <c r="J328" s="11" t="s">
        <v>595</v>
      </c>
      <c r="K328" s="5" t="s">
        <v>422</v>
      </c>
      <c r="L328" s="6" t="s">
        <v>1380</v>
      </c>
      <c r="M328" s="5"/>
      <c r="N328" s="11"/>
      <c r="O328" s="7"/>
      <c r="P328" s="7"/>
      <c r="Q328" s="7"/>
      <c r="R328" s="11"/>
      <c r="S328" s="7"/>
      <c r="T328" s="5"/>
    </row>
    <row r="329" spans="1:20" x14ac:dyDescent="0.25">
      <c r="A329" s="5" t="s">
        <v>71</v>
      </c>
      <c r="B329" s="5" t="s">
        <v>1371</v>
      </c>
      <c r="C329" s="14">
        <v>45545</v>
      </c>
      <c r="D329" s="5" t="s">
        <v>325</v>
      </c>
      <c r="E329" s="5">
        <v>376</v>
      </c>
      <c r="F329" s="7">
        <v>6698000</v>
      </c>
      <c r="G329" s="7">
        <f t="shared" si="28"/>
        <v>17813.829787234041</v>
      </c>
      <c r="H329" s="11" t="s">
        <v>727</v>
      </c>
      <c r="I329" s="11" t="s">
        <v>815</v>
      </c>
      <c r="J329" s="11" t="s">
        <v>595</v>
      </c>
      <c r="K329" s="5" t="s">
        <v>644</v>
      </c>
      <c r="L329" s="6" t="s">
        <v>1383</v>
      </c>
      <c r="M329" s="5"/>
      <c r="N329" s="11"/>
      <c r="O329" s="7"/>
      <c r="P329" s="7"/>
      <c r="Q329" s="7"/>
      <c r="R329" s="11"/>
      <c r="S329" s="7"/>
      <c r="T329" s="5"/>
    </row>
    <row r="330" spans="1:20" x14ac:dyDescent="0.25">
      <c r="A330" s="5" t="s">
        <v>71</v>
      </c>
      <c r="B330" s="5" t="s">
        <v>1107</v>
      </c>
      <c r="C330" s="14">
        <v>45545</v>
      </c>
      <c r="D330" s="5" t="s">
        <v>1180</v>
      </c>
      <c r="E330" s="5">
        <v>169</v>
      </c>
      <c r="F330" s="7">
        <v>3898000</v>
      </c>
      <c r="G330" s="7">
        <f t="shared" ref="G330:G333" si="29">F330/E330</f>
        <v>23065.08875739645</v>
      </c>
      <c r="H330" s="11" t="s">
        <v>1012</v>
      </c>
      <c r="I330" s="11" t="s">
        <v>1013</v>
      </c>
      <c r="J330" s="11" t="s">
        <v>234</v>
      </c>
      <c r="K330" s="5" t="s">
        <v>1014</v>
      </c>
      <c r="L330" s="6" t="s">
        <v>1377</v>
      </c>
      <c r="M330" s="5"/>
      <c r="N330" s="11"/>
      <c r="O330" s="7"/>
      <c r="P330" s="7"/>
      <c r="Q330" s="7"/>
      <c r="R330" s="11"/>
      <c r="S330" s="7"/>
      <c r="T330" s="5"/>
    </row>
    <row r="331" spans="1:20" x14ac:dyDescent="0.25">
      <c r="A331" s="5" t="s">
        <v>71</v>
      </c>
      <c r="B331" s="5" t="s">
        <v>1109</v>
      </c>
      <c r="C331" s="14">
        <v>45551</v>
      </c>
      <c r="D331" s="5" t="s">
        <v>230</v>
      </c>
      <c r="E331" s="5">
        <v>74</v>
      </c>
      <c r="F331" s="7">
        <v>1330000</v>
      </c>
      <c r="G331" s="7">
        <f t="shared" si="29"/>
        <v>17972.972972972973</v>
      </c>
      <c r="H331" s="11" t="s">
        <v>1110</v>
      </c>
      <c r="I331" s="11" t="s">
        <v>951</v>
      </c>
      <c r="J331" s="11" t="s">
        <v>595</v>
      </c>
      <c r="K331" s="5" t="s">
        <v>381</v>
      </c>
      <c r="L331" s="6" t="s">
        <v>309</v>
      </c>
      <c r="M331" s="5"/>
      <c r="N331" s="11"/>
      <c r="O331" s="7"/>
      <c r="P331" s="7"/>
      <c r="Q331" s="7"/>
      <c r="R331" s="11"/>
      <c r="S331" s="7"/>
      <c r="T331" s="5"/>
    </row>
    <row r="332" spans="1:20" x14ac:dyDescent="0.25">
      <c r="A332" s="5" t="s">
        <v>272</v>
      </c>
      <c r="B332" s="5" t="s">
        <v>1385</v>
      </c>
      <c r="C332" s="14">
        <v>45552</v>
      </c>
      <c r="D332" s="5" t="s">
        <v>5</v>
      </c>
      <c r="E332" s="5">
        <v>126</v>
      </c>
      <c r="F332" s="7" t="s">
        <v>1386</v>
      </c>
      <c r="G332" s="7" t="s">
        <v>388</v>
      </c>
      <c r="H332" s="11" t="s">
        <v>279</v>
      </c>
      <c r="I332" s="11" t="s">
        <v>1387</v>
      </c>
      <c r="J332" s="11" t="s">
        <v>279</v>
      </c>
      <c r="K332" s="5" t="s">
        <v>240</v>
      </c>
      <c r="L332" s="6" t="s">
        <v>309</v>
      </c>
      <c r="M332" s="5"/>
      <c r="N332" s="11"/>
      <c r="O332" s="7"/>
      <c r="P332" s="7"/>
      <c r="Q332" s="7"/>
      <c r="R332" s="11"/>
      <c r="S332" s="7"/>
      <c r="T332" s="5"/>
    </row>
    <row r="333" spans="1:20" x14ac:dyDescent="0.25">
      <c r="A333" s="5" t="s">
        <v>272</v>
      </c>
      <c r="B333" s="5" t="s">
        <v>1381</v>
      </c>
      <c r="C333" s="14">
        <v>45559</v>
      </c>
      <c r="D333" s="5" t="s">
        <v>4</v>
      </c>
      <c r="E333" s="5">
        <v>385</v>
      </c>
      <c r="F333" s="7">
        <v>7670000</v>
      </c>
      <c r="G333" s="7">
        <f t="shared" si="29"/>
        <v>19922.077922077922</v>
      </c>
      <c r="H333" s="11" t="s">
        <v>193</v>
      </c>
      <c r="I333" s="11" t="s">
        <v>1390</v>
      </c>
      <c r="J333" s="11" t="s">
        <v>8</v>
      </c>
      <c r="K333" s="5" t="s">
        <v>447</v>
      </c>
      <c r="L333" s="6" t="s">
        <v>1404</v>
      </c>
      <c r="M333" s="5"/>
      <c r="N333" s="11"/>
      <c r="O333" s="7"/>
      <c r="P333" s="7"/>
      <c r="Q333" s="7"/>
      <c r="R333" s="11"/>
      <c r="S333" s="7"/>
      <c r="T333" s="5"/>
    </row>
    <row r="334" spans="1:20" x14ac:dyDescent="0.25">
      <c r="A334" s="5" t="s">
        <v>272</v>
      </c>
      <c r="B334" s="5" t="s">
        <v>1381</v>
      </c>
      <c r="C334" s="14">
        <v>45559</v>
      </c>
      <c r="D334" s="5" t="s">
        <v>1094</v>
      </c>
      <c r="E334" s="5">
        <v>385</v>
      </c>
      <c r="F334" s="7">
        <v>7670000</v>
      </c>
      <c r="G334" s="7">
        <f t="shared" ref="G334:G336" si="30">F334/E334</f>
        <v>19922.077922077922</v>
      </c>
      <c r="H334" s="11" t="s">
        <v>193</v>
      </c>
      <c r="I334" s="11" t="s">
        <v>1390</v>
      </c>
      <c r="J334" s="11" t="s">
        <v>8</v>
      </c>
      <c r="K334" s="5" t="s">
        <v>447</v>
      </c>
      <c r="L334" s="6" t="s">
        <v>1404</v>
      </c>
      <c r="M334" s="5"/>
      <c r="N334" s="11"/>
      <c r="O334" s="7"/>
      <c r="P334" s="7"/>
      <c r="Q334" s="7"/>
      <c r="R334" s="11"/>
      <c r="S334" s="7"/>
      <c r="T334" s="5"/>
    </row>
    <row r="335" spans="1:20" x14ac:dyDescent="0.25">
      <c r="A335" s="5" t="s">
        <v>71</v>
      </c>
      <c r="B335" s="5" t="s">
        <v>1391</v>
      </c>
      <c r="C335" s="14">
        <v>45561</v>
      </c>
      <c r="D335" s="5" t="s">
        <v>957</v>
      </c>
      <c r="E335" s="5">
        <v>169</v>
      </c>
      <c r="F335" s="7">
        <v>2230000</v>
      </c>
      <c r="G335" s="7">
        <f t="shared" si="30"/>
        <v>13195.266272189348</v>
      </c>
      <c r="H335" s="11" t="s">
        <v>992</v>
      </c>
      <c r="I335" s="11" t="s">
        <v>993</v>
      </c>
      <c r="J335" s="11" t="s">
        <v>54</v>
      </c>
      <c r="K335" s="5" t="s">
        <v>531</v>
      </c>
      <c r="L335" s="6" t="s">
        <v>1392</v>
      </c>
      <c r="M335" s="5"/>
      <c r="N335" s="11"/>
      <c r="O335" s="7"/>
      <c r="P335" s="7"/>
      <c r="Q335" s="7"/>
      <c r="R335" s="11"/>
      <c r="S335" s="7"/>
      <c r="T335" s="5"/>
    </row>
    <row r="336" spans="1:20" x14ac:dyDescent="0.25">
      <c r="A336" s="5" t="s">
        <v>71</v>
      </c>
      <c r="B336" s="5" t="s">
        <v>1382</v>
      </c>
      <c r="C336" s="14">
        <v>45567</v>
      </c>
      <c r="D336" s="5" t="s">
        <v>1094</v>
      </c>
      <c r="E336" s="5">
        <v>302</v>
      </c>
      <c r="F336" s="7">
        <v>7328000</v>
      </c>
      <c r="G336" s="7">
        <f t="shared" si="30"/>
        <v>24264.900662251657</v>
      </c>
      <c r="H336" s="11" t="s">
        <v>193</v>
      </c>
      <c r="I336" s="11" t="s">
        <v>233</v>
      </c>
      <c r="J336" s="11" t="s">
        <v>8</v>
      </c>
      <c r="K336" s="5" t="s">
        <v>362</v>
      </c>
      <c r="L336" s="6" t="s">
        <v>1397</v>
      </c>
      <c r="M336" s="5"/>
      <c r="N336" s="11"/>
      <c r="O336" s="7"/>
      <c r="P336" s="7"/>
      <c r="Q336" s="7"/>
      <c r="R336" s="11"/>
      <c r="S336" s="7"/>
      <c r="T336" s="5"/>
    </row>
    <row r="337" spans="1:20" x14ac:dyDescent="0.25">
      <c r="A337" s="5" t="s">
        <v>71</v>
      </c>
      <c r="B337" s="5" t="s">
        <v>1382</v>
      </c>
      <c r="C337" s="14">
        <v>45567</v>
      </c>
      <c r="D337" s="5" t="s">
        <v>4</v>
      </c>
      <c r="E337" s="5">
        <v>302</v>
      </c>
      <c r="F337" s="7">
        <v>7328000</v>
      </c>
      <c r="G337" s="7">
        <f t="shared" ref="G337:G354" si="31">F337/E337</f>
        <v>24264.900662251657</v>
      </c>
      <c r="H337" s="11" t="s">
        <v>193</v>
      </c>
      <c r="I337" s="11" t="s">
        <v>233</v>
      </c>
      <c r="J337" s="11" t="s">
        <v>8</v>
      </c>
      <c r="K337" s="5" t="s">
        <v>362</v>
      </c>
      <c r="L337" s="6" t="s">
        <v>1397</v>
      </c>
      <c r="M337" s="5"/>
      <c r="N337" s="11"/>
      <c r="O337" s="7"/>
      <c r="P337" s="7"/>
      <c r="Q337" s="7"/>
      <c r="R337" s="11"/>
      <c r="S337" s="7"/>
      <c r="T337" s="5"/>
    </row>
    <row r="338" spans="1:20" x14ac:dyDescent="0.25">
      <c r="A338" s="5" t="s">
        <v>71</v>
      </c>
      <c r="B338" s="5" t="s">
        <v>1398</v>
      </c>
      <c r="C338" s="14">
        <v>45569</v>
      </c>
      <c r="D338" s="5" t="s">
        <v>1394</v>
      </c>
      <c r="E338" s="5">
        <v>101</v>
      </c>
      <c r="F338" s="7">
        <v>2650000</v>
      </c>
      <c r="G338" s="7">
        <f t="shared" si="31"/>
        <v>26237.623762376239</v>
      </c>
      <c r="H338" s="11" t="s">
        <v>1394</v>
      </c>
      <c r="I338" s="11" t="s">
        <v>1399</v>
      </c>
      <c r="J338" s="11" t="s">
        <v>1400</v>
      </c>
      <c r="K338" s="5" t="s">
        <v>362</v>
      </c>
      <c r="L338" s="6" t="s">
        <v>309</v>
      </c>
      <c r="M338" s="5"/>
      <c r="N338" s="11"/>
      <c r="O338" s="7"/>
      <c r="P338" s="7"/>
      <c r="Q338" s="7"/>
      <c r="R338" s="11"/>
      <c r="S338" s="7"/>
      <c r="T338" s="5"/>
    </row>
    <row r="339" spans="1:20" x14ac:dyDescent="0.25">
      <c r="A339" s="5" t="s">
        <v>71</v>
      </c>
      <c r="B339" s="5" t="s">
        <v>1388</v>
      </c>
      <c r="C339" s="14">
        <v>45573</v>
      </c>
      <c r="D339" s="5" t="s">
        <v>527</v>
      </c>
      <c r="E339" s="5">
        <v>263</v>
      </c>
      <c r="F339" s="7">
        <v>4460000</v>
      </c>
      <c r="G339" s="7">
        <f t="shared" si="31"/>
        <v>16958.174904942967</v>
      </c>
      <c r="H339" s="11" t="s">
        <v>1401</v>
      </c>
      <c r="I339" s="11" t="s">
        <v>855</v>
      </c>
      <c r="J339" s="11" t="s">
        <v>234</v>
      </c>
      <c r="K339" s="5" t="s">
        <v>602</v>
      </c>
      <c r="L339" s="6" t="s">
        <v>1383</v>
      </c>
      <c r="M339" s="5"/>
      <c r="N339" s="11"/>
      <c r="O339" s="7"/>
      <c r="P339" s="7"/>
      <c r="Q339" s="7"/>
      <c r="R339" s="11"/>
      <c r="S339" s="7"/>
      <c r="T339" s="5"/>
    </row>
    <row r="340" spans="1:20" x14ac:dyDescent="0.25">
      <c r="A340" s="5" t="s">
        <v>71</v>
      </c>
      <c r="B340" s="5" t="s">
        <v>1406</v>
      </c>
      <c r="C340" s="14">
        <v>45576</v>
      </c>
      <c r="D340" s="5" t="s">
        <v>444</v>
      </c>
      <c r="E340" s="5">
        <v>246</v>
      </c>
      <c r="F340" s="7">
        <v>4574995</v>
      </c>
      <c r="G340" s="7">
        <f t="shared" si="31"/>
        <v>18597.540650406503</v>
      </c>
      <c r="H340" s="11" t="s">
        <v>444</v>
      </c>
      <c r="I340" s="11" t="s">
        <v>444</v>
      </c>
      <c r="J340" s="11" t="s">
        <v>530</v>
      </c>
      <c r="K340" s="5" t="s">
        <v>388</v>
      </c>
      <c r="L340" s="6" t="s">
        <v>946</v>
      </c>
      <c r="M340" s="5"/>
      <c r="N340" s="11"/>
      <c r="O340" s="7"/>
      <c r="P340" s="7"/>
      <c r="Q340" s="7"/>
      <c r="R340" s="11"/>
      <c r="S340" s="7"/>
      <c r="T340" s="5"/>
    </row>
    <row r="341" spans="1:20" x14ac:dyDescent="0.25">
      <c r="A341" s="5" t="s">
        <v>71</v>
      </c>
      <c r="B341" s="5" t="s">
        <v>1160</v>
      </c>
      <c r="C341" s="14">
        <v>45582</v>
      </c>
      <c r="D341" s="5" t="s">
        <v>230</v>
      </c>
      <c r="E341" s="5">
        <v>219</v>
      </c>
      <c r="F341" s="7">
        <v>6428528</v>
      </c>
      <c r="G341" s="7">
        <f t="shared" si="31"/>
        <v>29354.009132420091</v>
      </c>
      <c r="H341" s="11" t="s">
        <v>656</v>
      </c>
      <c r="I341" s="11" t="s">
        <v>637</v>
      </c>
      <c r="J341" s="11" t="s">
        <v>199</v>
      </c>
      <c r="K341" s="5" t="s">
        <v>1165</v>
      </c>
      <c r="L341" s="6" t="s">
        <v>1410</v>
      </c>
      <c r="M341" s="5"/>
      <c r="N341" s="11"/>
      <c r="O341" s="7"/>
      <c r="P341" s="7"/>
      <c r="Q341" s="7"/>
      <c r="R341" s="11"/>
      <c r="S341" s="7"/>
      <c r="T341" s="5"/>
    </row>
    <row r="342" spans="1:20" x14ac:dyDescent="0.25">
      <c r="A342" s="5" t="s">
        <v>272</v>
      </c>
      <c r="B342" s="5" t="s">
        <v>1145</v>
      </c>
      <c r="C342" s="14">
        <v>45582</v>
      </c>
      <c r="D342" s="5" t="s">
        <v>165</v>
      </c>
      <c r="E342" s="5">
        <v>106</v>
      </c>
      <c r="F342" s="7">
        <v>2100000</v>
      </c>
      <c r="G342" s="7">
        <f t="shared" si="31"/>
        <v>19811.32075471698</v>
      </c>
      <c r="H342" s="11" t="s">
        <v>165</v>
      </c>
      <c r="I342" s="11" t="s">
        <v>170</v>
      </c>
      <c r="J342" s="11" t="s">
        <v>1411</v>
      </c>
      <c r="K342" s="5" t="s">
        <v>873</v>
      </c>
      <c r="L342" s="6"/>
      <c r="M342" s="5"/>
      <c r="N342" s="11"/>
      <c r="O342" s="7"/>
      <c r="P342" s="7"/>
      <c r="Q342" s="7"/>
      <c r="R342" s="11"/>
      <c r="S342" s="7"/>
      <c r="T342" s="5"/>
    </row>
    <row r="343" spans="1:20" x14ac:dyDescent="0.25">
      <c r="A343" s="5" t="s">
        <v>71</v>
      </c>
      <c r="B343" s="5" t="s">
        <v>1154</v>
      </c>
      <c r="C343" s="14">
        <v>45586</v>
      </c>
      <c r="D343" s="5" t="s">
        <v>1141</v>
      </c>
      <c r="E343" s="5">
        <v>453</v>
      </c>
      <c r="F343" s="7">
        <v>9590000</v>
      </c>
      <c r="G343" s="7">
        <f t="shared" si="31"/>
        <v>21169.977924944811</v>
      </c>
      <c r="H343" s="11" t="s">
        <v>1142</v>
      </c>
      <c r="I343" s="11" t="s">
        <v>1142</v>
      </c>
      <c r="J343" s="11" t="s">
        <v>1116</v>
      </c>
      <c r="K343" s="5" t="s">
        <v>1037</v>
      </c>
      <c r="L343" s="6" t="s">
        <v>1421</v>
      </c>
      <c r="M343" s="5"/>
      <c r="N343" s="11"/>
      <c r="O343" s="7"/>
      <c r="P343" s="7"/>
      <c r="Q343" s="7"/>
      <c r="R343" s="11"/>
      <c r="S343" s="7"/>
      <c r="T343" s="5"/>
    </row>
    <row r="344" spans="1:20" x14ac:dyDescent="0.25">
      <c r="A344" s="5" t="s">
        <v>71</v>
      </c>
      <c r="B344" s="5" t="s">
        <v>1417</v>
      </c>
      <c r="C344" s="14">
        <v>45597</v>
      </c>
      <c r="D344" s="5" t="s">
        <v>1418</v>
      </c>
      <c r="E344" s="5">
        <v>20</v>
      </c>
      <c r="F344" s="7">
        <v>610000</v>
      </c>
      <c r="G344" s="7">
        <f t="shared" si="31"/>
        <v>30500</v>
      </c>
      <c r="H344" s="11" t="s">
        <v>1419</v>
      </c>
      <c r="I344" s="11" t="s">
        <v>1420</v>
      </c>
      <c r="J344" s="11" t="s">
        <v>1116</v>
      </c>
      <c r="K344" s="5" t="s">
        <v>240</v>
      </c>
      <c r="L344" s="6"/>
      <c r="M344" s="5"/>
      <c r="N344" s="11"/>
      <c r="O344" s="7"/>
      <c r="P344" s="7"/>
      <c r="Q344" s="7"/>
      <c r="R344" s="11"/>
      <c r="S344" s="7"/>
      <c r="T344" s="5"/>
    </row>
    <row r="345" spans="1:20" x14ac:dyDescent="0.25">
      <c r="A345" s="5" t="s">
        <v>71</v>
      </c>
      <c r="B345" s="5" t="s">
        <v>1367</v>
      </c>
      <c r="C345" s="14">
        <v>45607</v>
      </c>
      <c r="D345" s="5" t="s">
        <v>527</v>
      </c>
      <c r="E345" s="5">
        <v>197</v>
      </c>
      <c r="F345" s="7">
        <v>3888000</v>
      </c>
      <c r="G345" s="7">
        <f t="shared" si="31"/>
        <v>19736.040609137057</v>
      </c>
      <c r="H345" s="11" t="s">
        <v>727</v>
      </c>
      <c r="I345" s="11" t="s">
        <v>490</v>
      </c>
      <c r="J345" s="11" t="s">
        <v>595</v>
      </c>
      <c r="K345" s="5" t="s">
        <v>422</v>
      </c>
      <c r="L345" s="6" t="s">
        <v>1380</v>
      </c>
      <c r="M345" s="5"/>
      <c r="N345" s="11"/>
      <c r="O345" s="7"/>
      <c r="P345" s="7"/>
      <c r="Q345" s="7"/>
      <c r="R345" s="11"/>
      <c r="S345" s="7"/>
      <c r="T345" s="5"/>
    </row>
    <row r="346" spans="1:20" x14ac:dyDescent="0.25">
      <c r="A346" s="5" t="s">
        <v>71</v>
      </c>
      <c r="B346" s="5" t="s">
        <v>1391</v>
      </c>
      <c r="C346" s="14">
        <v>45610</v>
      </c>
      <c r="D346" s="5" t="s">
        <v>957</v>
      </c>
      <c r="E346" s="5">
        <v>169</v>
      </c>
      <c r="F346" s="7">
        <v>2200000</v>
      </c>
      <c r="G346" s="7">
        <f t="shared" si="31"/>
        <v>13017.75147928994</v>
      </c>
      <c r="H346" s="11" t="s">
        <v>992</v>
      </c>
      <c r="I346" s="11" t="s">
        <v>993</v>
      </c>
      <c r="J346" s="11" t="s">
        <v>54</v>
      </c>
      <c r="K346" s="5" t="s">
        <v>531</v>
      </c>
      <c r="L346" s="6" t="s">
        <v>1551</v>
      </c>
      <c r="M346" s="5"/>
      <c r="N346" s="11"/>
      <c r="O346" s="7"/>
      <c r="P346" s="7"/>
      <c r="Q346" s="7"/>
      <c r="R346" s="11"/>
      <c r="S346" s="7"/>
      <c r="T346" s="5"/>
    </row>
    <row r="347" spans="1:20" x14ac:dyDescent="0.25">
      <c r="A347" s="5" t="s">
        <v>272</v>
      </c>
      <c r="B347" s="5" t="s">
        <v>1014</v>
      </c>
      <c r="C347" s="14">
        <v>45622</v>
      </c>
      <c r="D347" s="5" t="s">
        <v>626</v>
      </c>
      <c r="E347" s="5">
        <v>189</v>
      </c>
      <c r="F347" s="7">
        <v>4900000</v>
      </c>
      <c r="G347" s="7">
        <f t="shared" si="31"/>
        <v>25925.925925925927</v>
      </c>
      <c r="H347" s="11" t="s">
        <v>1425</v>
      </c>
      <c r="I347" s="11" t="s">
        <v>25</v>
      </c>
      <c r="J347" s="11" t="s">
        <v>84</v>
      </c>
      <c r="K347" s="5" t="s">
        <v>1014</v>
      </c>
      <c r="L347" s="6" t="s">
        <v>1426</v>
      </c>
      <c r="M347" s="5"/>
      <c r="N347" s="11"/>
      <c r="O347" s="7"/>
      <c r="P347" s="7"/>
      <c r="Q347" s="7"/>
      <c r="R347" s="11"/>
      <c r="S347" s="7"/>
      <c r="T347" s="5"/>
    </row>
    <row r="348" spans="1:20" x14ac:dyDescent="0.25">
      <c r="A348" s="5" t="s">
        <v>272</v>
      </c>
      <c r="B348" s="5" t="s">
        <v>1342</v>
      </c>
      <c r="C348" s="14">
        <v>45637</v>
      </c>
      <c r="D348" s="5" t="s">
        <v>5</v>
      </c>
      <c r="E348" s="5">
        <v>147</v>
      </c>
      <c r="F348" s="7">
        <v>2988000</v>
      </c>
      <c r="G348" s="7">
        <f t="shared" si="31"/>
        <v>20326.530612244896</v>
      </c>
      <c r="H348" s="11" t="s">
        <v>945</v>
      </c>
      <c r="I348" s="11" t="s">
        <v>25</v>
      </c>
      <c r="J348" s="11" t="s">
        <v>234</v>
      </c>
      <c r="K348" s="5" t="s">
        <v>202</v>
      </c>
      <c r="L348" s="6"/>
      <c r="M348" s="5"/>
      <c r="N348" s="11"/>
      <c r="O348" s="7"/>
      <c r="P348" s="7"/>
      <c r="Q348" s="7"/>
      <c r="R348" s="11"/>
      <c r="S348" s="7"/>
      <c r="T348" s="5"/>
    </row>
    <row r="349" spans="1:20" x14ac:dyDescent="0.25">
      <c r="A349" s="5" t="s">
        <v>71</v>
      </c>
      <c r="B349" s="5" t="s">
        <v>1432</v>
      </c>
      <c r="C349" s="14">
        <v>45644</v>
      </c>
      <c r="D349" s="5" t="s">
        <v>230</v>
      </c>
      <c r="E349" s="5">
        <v>224</v>
      </c>
      <c r="F349" s="7">
        <v>5298000</v>
      </c>
      <c r="G349" s="7">
        <f t="shared" si="31"/>
        <v>23651.785714285714</v>
      </c>
      <c r="H349" s="11" t="s">
        <v>1110</v>
      </c>
      <c r="I349" s="11" t="s">
        <v>951</v>
      </c>
      <c r="J349" s="11" t="s">
        <v>1345</v>
      </c>
      <c r="K349" s="5" t="s">
        <v>1433</v>
      </c>
      <c r="L349" s="6" t="s">
        <v>1434</v>
      </c>
      <c r="M349" s="5"/>
      <c r="N349" s="11"/>
      <c r="O349" s="7"/>
      <c r="P349" s="7"/>
      <c r="Q349" s="7"/>
      <c r="R349" s="11"/>
      <c r="S349" s="7"/>
      <c r="T349" s="5"/>
    </row>
    <row r="350" spans="1:20" x14ac:dyDescent="0.25">
      <c r="A350" s="5" t="s">
        <v>71</v>
      </c>
      <c r="B350" s="5" t="s">
        <v>1424</v>
      </c>
      <c r="C350" s="14">
        <v>45646</v>
      </c>
      <c r="D350" s="5" t="s">
        <v>813</v>
      </c>
      <c r="E350" s="5">
        <v>70</v>
      </c>
      <c r="F350" s="7">
        <v>1578000</v>
      </c>
      <c r="G350" s="7">
        <f t="shared" si="31"/>
        <v>22542.857142857141</v>
      </c>
      <c r="H350" s="11" t="s">
        <v>1435</v>
      </c>
      <c r="I350" s="11" t="s">
        <v>1387</v>
      </c>
      <c r="J350" s="11" t="s">
        <v>234</v>
      </c>
      <c r="K350" s="5" t="s">
        <v>1436</v>
      </c>
      <c r="L350" s="6"/>
      <c r="M350" s="5"/>
      <c r="N350" s="11"/>
      <c r="O350" s="7"/>
      <c r="P350" s="7"/>
      <c r="Q350" s="7"/>
      <c r="R350" s="11"/>
      <c r="S350" s="7"/>
      <c r="T350" s="5"/>
    </row>
    <row r="351" spans="1:20" x14ac:dyDescent="0.25">
      <c r="A351" s="5" t="s">
        <v>71</v>
      </c>
      <c r="B351" s="5" t="s">
        <v>1439</v>
      </c>
      <c r="C351" s="14">
        <v>45653</v>
      </c>
      <c r="D351" s="5" t="s">
        <v>3</v>
      </c>
      <c r="E351" s="5">
        <v>376</v>
      </c>
      <c r="F351" s="7">
        <v>8148000</v>
      </c>
      <c r="G351" s="7">
        <f t="shared" si="31"/>
        <v>21670.212765957447</v>
      </c>
      <c r="H351" s="11" t="s">
        <v>713</v>
      </c>
      <c r="I351" s="11" t="s">
        <v>7</v>
      </c>
      <c r="J351" s="11" t="s">
        <v>199</v>
      </c>
      <c r="K351" s="5" t="s">
        <v>362</v>
      </c>
      <c r="L351" s="6"/>
      <c r="M351" s="5"/>
      <c r="N351" s="11"/>
      <c r="O351" s="7"/>
      <c r="P351" s="7"/>
      <c r="Q351" s="7"/>
      <c r="R351" s="11"/>
      <c r="S351" s="7"/>
      <c r="T351" s="5"/>
    </row>
    <row r="352" spans="1:20" x14ac:dyDescent="0.25">
      <c r="A352" s="5" t="s">
        <v>71</v>
      </c>
      <c r="B352" s="5" t="s">
        <v>1423</v>
      </c>
      <c r="C352" s="14">
        <v>45653</v>
      </c>
      <c r="D352" s="5" t="s">
        <v>1442</v>
      </c>
      <c r="E352" s="5">
        <v>58</v>
      </c>
      <c r="F352" s="7">
        <v>1298000</v>
      </c>
      <c r="G352" s="7">
        <f t="shared" si="31"/>
        <v>22379.310344827587</v>
      </c>
      <c r="H352" s="11" t="s">
        <v>1440</v>
      </c>
      <c r="I352" s="11" t="s">
        <v>1441</v>
      </c>
      <c r="J352" s="11" t="s">
        <v>54</v>
      </c>
      <c r="K352" s="5" t="s">
        <v>946</v>
      </c>
      <c r="L352" s="6"/>
      <c r="M352" s="5"/>
      <c r="N352" s="11"/>
      <c r="O352" s="7"/>
      <c r="P352" s="7"/>
      <c r="Q352" s="7"/>
      <c r="R352" s="11"/>
      <c r="S352" s="7"/>
      <c r="T352" s="5"/>
    </row>
    <row r="353" spans="1:20" s="29" customFormat="1" x14ac:dyDescent="0.25">
      <c r="A353" s="25" t="s">
        <v>71</v>
      </c>
      <c r="B353" s="25" t="s">
        <v>1406</v>
      </c>
      <c r="C353" s="26">
        <v>45664</v>
      </c>
      <c r="D353" s="25" t="s">
        <v>444</v>
      </c>
      <c r="E353" s="25">
        <v>246</v>
      </c>
      <c r="F353" s="27">
        <v>3700937</v>
      </c>
      <c r="G353" s="27">
        <f t="shared" ref="G353" si="32">F353/E353</f>
        <v>15044.459349593495</v>
      </c>
      <c r="H353" s="28" t="s">
        <v>444</v>
      </c>
      <c r="I353" s="28" t="s">
        <v>444</v>
      </c>
      <c r="J353" s="28" t="s">
        <v>530</v>
      </c>
      <c r="K353" s="25" t="s">
        <v>388</v>
      </c>
      <c r="L353" s="59" t="s">
        <v>946</v>
      </c>
      <c r="M353" s="25"/>
      <c r="N353" s="28"/>
      <c r="O353" s="27"/>
      <c r="P353" s="27"/>
      <c r="Q353" s="27"/>
      <c r="R353" s="28"/>
      <c r="S353" s="27"/>
      <c r="T353" s="25"/>
    </row>
    <row r="354" spans="1:20" x14ac:dyDescent="0.25">
      <c r="A354" s="5" t="s">
        <v>71</v>
      </c>
      <c r="B354" s="5" t="s">
        <v>1427</v>
      </c>
      <c r="C354" s="14">
        <v>45665</v>
      </c>
      <c r="D354" s="5" t="s">
        <v>527</v>
      </c>
      <c r="E354" s="5">
        <v>118</v>
      </c>
      <c r="F354" s="7">
        <v>2598000</v>
      </c>
      <c r="G354" s="7">
        <f t="shared" si="31"/>
        <v>22016.949152542373</v>
      </c>
      <c r="H354" s="11" t="s">
        <v>193</v>
      </c>
      <c r="I354" s="11" t="s">
        <v>815</v>
      </c>
      <c r="J354" s="11" t="s">
        <v>1116</v>
      </c>
      <c r="K354" s="5" t="s">
        <v>168</v>
      </c>
      <c r="L354" s="6" t="s">
        <v>1445</v>
      </c>
      <c r="M354" s="5"/>
      <c r="N354" s="11"/>
      <c r="O354" s="7"/>
      <c r="P354" s="7"/>
      <c r="Q354" s="7"/>
      <c r="R354" s="11"/>
      <c r="S354" s="7"/>
      <c r="T354" s="5"/>
    </row>
    <row r="355" spans="1:20" x14ac:dyDescent="0.25">
      <c r="A355" s="5" t="s">
        <v>71</v>
      </c>
      <c r="B355" s="5" t="s">
        <v>1427</v>
      </c>
      <c r="C355" s="14">
        <v>45665</v>
      </c>
      <c r="D355" s="5" t="s">
        <v>1094</v>
      </c>
      <c r="E355" s="5">
        <v>118</v>
      </c>
      <c r="F355" s="7">
        <v>2598000</v>
      </c>
      <c r="G355" s="7">
        <f t="shared" ref="G355:G367" si="33">F355/E355</f>
        <v>22016.949152542373</v>
      </c>
      <c r="H355" s="11" t="s">
        <v>193</v>
      </c>
      <c r="I355" s="11" t="s">
        <v>815</v>
      </c>
      <c r="J355" s="11" t="s">
        <v>1116</v>
      </c>
      <c r="K355" s="5" t="s">
        <v>168</v>
      </c>
      <c r="L355" s="6" t="s">
        <v>1445</v>
      </c>
      <c r="M355" s="5"/>
      <c r="N355" s="11"/>
      <c r="O355" s="7"/>
      <c r="P355" s="7"/>
      <c r="Q355" s="7"/>
      <c r="R355" s="11"/>
      <c r="S355" s="7"/>
      <c r="T355" s="5"/>
    </row>
    <row r="356" spans="1:20" x14ac:dyDescent="0.25">
      <c r="A356" s="5" t="s">
        <v>272</v>
      </c>
      <c r="B356" s="5" t="s">
        <v>1438</v>
      </c>
      <c r="C356" s="14">
        <v>45667</v>
      </c>
      <c r="D356" s="5" t="s">
        <v>4</v>
      </c>
      <c r="E356" s="5">
        <v>152</v>
      </c>
      <c r="F356" s="7">
        <v>3428000</v>
      </c>
      <c r="G356" s="7">
        <f t="shared" si="33"/>
        <v>22552.63157894737</v>
      </c>
      <c r="H356" s="11" t="s">
        <v>1446</v>
      </c>
      <c r="I356" s="11" t="s">
        <v>850</v>
      </c>
      <c r="J356" s="11" t="s">
        <v>1447</v>
      </c>
      <c r="K356" s="5" t="s">
        <v>381</v>
      </c>
      <c r="L356" s="6" t="s">
        <v>1512</v>
      </c>
      <c r="M356" s="5"/>
      <c r="N356" s="11"/>
      <c r="O356" s="7"/>
      <c r="P356" s="7"/>
      <c r="Q356" s="7"/>
      <c r="R356" s="11"/>
      <c r="S356" s="7"/>
      <c r="T356" s="5"/>
    </row>
    <row r="357" spans="1:20" x14ac:dyDescent="0.25">
      <c r="A357" s="5" t="s">
        <v>71</v>
      </c>
      <c r="B357" s="5" t="s">
        <v>1417</v>
      </c>
      <c r="C357" s="14">
        <v>45670</v>
      </c>
      <c r="D357" s="5" t="s">
        <v>813</v>
      </c>
      <c r="E357" s="5">
        <v>20</v>
      </c>
      <c r="F357" s="7">
        <v>610000</v>
      </c>
      <c r="G357" s="7">
        <f t="shared" si="33"/>
        <v>30500</v>
      </c>
      <c r="H357" s="11" t="s">
        <v>1419</v>
      </c>
      <c r="I357" s="11" t="s">
        <v>1420</v>
      </c>
      <c r="J357" s="11" t="s">
        <v>1116</v>
      </c>
      <c r="K357" s="5" t="s">
        <v>240</v>
      </c>
      <c r="L357" s="6"/>
      <c r="M357" s="5"/>
      <c r="N357" s="11"/>
      <c r="O357" s="7"/>
      <c r="P357" s="7"/>
      <c r="Q357" s="7"/>
      <c r="R357" s="11"/>
      <c r="S357" s="7"/>
      <c r="T357" s="5"/>
    </row>
    <row r="358" spans="1:20" x14ac:dyDescent="0.25">
      <c r="A358" s="5" t="s">
        <v>71</v>
      </c>
      <c r="B358" s="5" t="s">
        <v>1437</v>
      </c>
      <c r="C358" s="14">
        <v>45681</v>
      </c>
      <c r="D358" s="5" t="s">
        <v>720</v>
      </c>
      <c r="E358" s="5">
        <v>109</v>
      </c>
      <c r="F358" s="7">
        <v>1998000</v>
      </c>
      <c r="G358" s="7">
        <f t="shared" si="33"/>
        <v>18330.275229357798</v>
      </c>
      <c r="H358" s="11" t="s">
        <v>1465</v>
      </c>
      <c r="I358" s="11" t="s">
        <v>1466</v>
      </c>
      <c r="J358" s="11" t="s">
        <v>547</v>
      </c>
      <c r="K358" s="5" t="s">
        <v>1014</v>
      </c>
      <c r="L358" s="6" t="s">
        <v>1467</v>
      </c>
      <c r="M358" s="5"/>
      <c r="N358" s="11"/>
      <c r="O358" s="7"/>
      <c r="P358" s="7"/>
      <c r="Q358" s="7"/>
      <c r="R358" s="11"/>
      <c r="S358" s="7"/>
      <c r="T358" s="5"/>
    </row>
    <row r="359" spans="1:20" s="29" customFormat="1" x14ac:dyDescent="0.25">
      <c r="A359" s="25" t="s">
        <v>71</v>
      </c>
      <c r="B359" s="25" t="s">
        <v>1041</v>
      </c>
      <c r="C359" s="26">
        <v>45685</v>
      </c>
      <c r="D359" s="25" t="s">
        <v>230</v>
      </c>
      <c r="E359" s="25">
        <v>186</v>
      </c>
      <c r="F359" s="27">
        <v>4268000</v>
      </c>
      <c r="G359" s="27">
        <f t="shared" si="33"/>
        <v>22946.236559139787</v>
      </c>
      <c r="H359" s="28" t="s">
        <v>712</v>
      </c>
      <c r="I359" s="28" t="s">
        <v>206</v>
      </c>
      <c r="J359" s="28" t="s">
        <v>33</v>
      </c>
      <c r="K359" s="25" t="s">
        <v>696</v>
      </c>
      <c r="L359" s="59" t="s">
        <v>1468</v>
      </c>
      <c r="M359" s="25"/>
      <c r="N359" s="28"/>
      <c r="O359" s="27"/>
      <c r="P359" s="27"/>
      <c r="Q359" s="27"/>
      <c r="R359" s="28"/>
      <c r="S359" s="27"/>
      <c r="T359" s="25"/>
    </row>
    <row r="360" spans="1:20" x14ac:dyDescent="0.25">
      <c r="A360" s="5" t="s">
        <v>71</v>
      </c>
      <c r="B360" s="5" t="s">
        <v>1444</v>
      </c>
      <c r="C360" s="14">
        <v>45686</v>
      </c>
      <c r="D360" s="5" t="s">
        <v>1327</v>
      </c>
      <c r="E360" s="5">
        <v>137</v>
      </c>
      <c r="F360" s="7">
        <v>2598000</v>
      </c>
      <c r="G360" s="7">
        <f t="shared" si="33"/>
        <v>18963.503649635037</v>
      </c>
      <c r="H360" s="11" t="s">
        <v>1469</v>
      </c>
      <c r="I360" s="11" t="s">
        <v>1387</v>
      </c>
      <c r="J360" s="11" t="s">
        <v>8</v>
      </c>
      <c r="K360" s="5" t="s">
        <v>202</v>
      </c>
      <c r="L360" s="6" t="s">
        <v>1470</v>
      </c>
      <c r="M360" s="5"/>
      <c r="N360" s="11"/>
      <c r="O360" s="7"/>
      <c r="P360" s="7"/>
      <c r="Q360" s="7"/>
      <c r="R360" s="11"/>
      <c r="S360" s="7"/>
      <c r="T360" s="5"/>
    </row>
    <row r="361" spans="1:20" x14ac:dyDescent="0.25">
      <c r="A361" s="5" t="s">
        <v>71</v>
      </c>
      <c r="B361" s="5" t="s">
        <v>1174</v>
      </c>
      <c r="C361" s="14">
        <v>45695</v>
      </c>
      <c r="D361" s="5" t="s">
        <v>4</v>
      </c>
      <c r="E361" s="5">
        <v>409</v>
      </c>
      <c r="F361" s="7">
        <v>7390000</v>
      </c>
      <c r="G361" s="7">
        <f t="shared" si="33"/>
        <v>18068.459657701711</v>
      </c>
      <c r="H361" s="11" t="s">
        <v>1201</v>
      </c>
      <c r="I361" s="11" t="s">
        <v>490</v>
      </c>
      <c r="J361" s="11" t="s">
        <v>8</v>
      </c>
      <c r="K361" s="5" t="s">
        <v>571</v>
      </c>
      <c r="L361" s="6" t="s">
        <v>1474</v>
      </c>
      <c r="M361" s="5"/>
      <c r="N361" s="11"/>
      <c r="O361" s="7"/>
      <c r="P361" s="7"/>
      <c r="Q361" s="7"/>
      <c r="R361" s="11"/>
      <c r="S361" s="7"/>
      <c r="T361" s="5"/>
    </row>
    <row r="362" spans="1:20" x14ac:dyDescent="0.25">
      <c r="A362" s="5" t="s">
        <v>272</v>
      </c>
      <c r="B362" s="5" t="s">
        <v>1342</v>
      </c>
      <c r="C362" s="14">
        <v>45712</v>
      </c>
      <c r="D362" s="5" t="s">
        <v>5</v>
      </c>
      <c r="E362" s="5">
        <v>147</v>
      </c>
      <c r="F362" s="7">
        <v>2937000</v>
      </c>
      <c r="G362" s="7">
        <f t="shared" si="33"/>
        <v>19979.591836734693</v>
      </c>
      <c r="H362" s="11" t="s">
        <v>945</v>
      </c>
      <c r="I362" s="11" t="s">
        <v>25</v>
      </c>
      <c r="J362" s="11" t="s">
        <v>234</v>
      </c>
      <c r="K362" s="5" t="s">
        <v>202</v>
      </c>
      <c r="L362" s="6"/>
      <c r="M362" s="5"/>
      <c r="N362" s="11"/>
      <c r="O362" s="7"/>
      <c r="P362" s="7"/>
      <c r="Q362" s="7"/>
      <c r="R362" s="11"/>
      <c r="S362" s="7"/>
      <c r="T362" s="5"/>
    </row>
    <row r="363" spans="1:20" x14ac:dyDescent="0.25">
      <c r="A363" s="5" t="s">
        <v>71</v>
      </c>
      <c r="B363" s="5" t="s">
        <v>1237</v>
      </c>
      <c r="C363" s="14">
        <v>45713</v>
      </c>
      <c r="D363" s="5" t="s">
        <v>209</v>
      </c>
      <c r="E363" s="5">
        <v>168</v>
      </c>
      <c r="F363" s="7">
        <v>3133000</v>
      </c>
      <c r="G363" s="7">
        <f t="shared" si="33"/>
        <v>18648.809523809523</v>
      </c>
      <c r="H363" s="11" t="s">
        <v>209</v>
      </c>
      <c r="I363" s="11" t="s">
        <v>1013</v>
      </c>
      <c r="J363" s="11" t="s">
        <v>1116</v>
      </c>
      <c r="K363" s="5" t="s">
        <v>531</v>
      </c>
      <c r="L363" s="6" t="s">
        <v>1238</v>
      </c>
      <c r="M363" s="5"/>
      <c r="N363" s="11"/>
      <c r="O363" s="7"/>
      <c r="P363" s="7"/>
      <c r="Q363" s="7"/>
      <c r="R363" s="11"/>
      <c r="S363" s="7"/>
      <c r="T363" s="5"/>
    </row>
    <row r="364" spans="1:20" s="29" customFormat="1" x14ac:dyDescent="0.25">
      <c r="A364" s="25" t="s">
        <v>71</v>
      </c>
      <c r="B364" s="25" t="s">
        <v>1388</v>
      </c>
      <c r="C364" s="26">
        <v>45715</v>
      </c>
      <c r="D364" s="25" t="s">
        <v>527</v>
      </c>
      <c r="E364" s="25">
        <v>263</v>
      </c>
      <c r="F364" s="27">
        <v>4619052</v>
      </c>
      <c r="G364" s="27">
        <f t="shared" si="33"/>
        <v>17562.935361216729</v>
      </c>
      <c r="H364" s="28" t="s">
        <v>1401</v>
      </c>
      <c r="I364" s="28" t="s">
        <v>855</v>
      </c>
      <c r="J364" s="28" t="s">
        <v>234</v>
      </c>
      <c r="K364" s="25" t="s">
        <v>602</v>
      </c>
      <c r="L364" s="59"/>
      <c r="M364" s="25"/>
      <c r="N364" s="28"/>
      <c r="O364" s="27"/>
      <c r="P364" s="27"/>
      <c r="Q364" s="27"/>
      <c r="R364" s="28"/>
      <c r="S364" s="27"/>
      <c r="T364" s="25"/>
    </row>
    <row r="365" spans="1:20" x14ac:dyDescent="0.25">
      <c r="A365" s="5" t="s">
        <v>71</v>
      </c>
      <c r="B365" s="5" t="s">
        <v>1154</v>
      </c>
      <c r="C365" s="14">
        <v>45720</v>
      </c>
      <c r="D365" s="5" t="s">
        <v>1141</v>
      </c>
      <c r="E365" s="5">
        <v>453</v>
      </c>
      <c r="F365" s="7">
        <v>9498000</v>
      </c>
      <c r="G365" s="7">
        <f t="shared" si="33"/>
        <v>20966.887417218542</v>
      </c>
      <c r="H365" s="11" t="s">
        <v>1142</v>
      </c>
      <c r="I365" s="11" t="s">
        <v>1142</v>
      </c>
      <c r="J365" s="11" t="s">
        <v>1116</v>
      </c>
      <c r="K365" s="5" t="s">
        <v>1037</v>
      </c>
      <c r="L365" s="6" t="s">
        <v>1485</v>
      </c>
      <c r="M365" s="5"/>
      <c r="N365" s="11"/>
      <c r="O365" s="7"/>
      <c r="P365" s="7"/>
      <c r="Q365" s="7"/>
      <c r="R365" s="11"/>
      <c r="S365" s="7"/>
      <c r="T365" s="5"/>
    </row>
    <row r="366" spans="1:20" x14ac:dyDescent="0.25">
      <c r="A366" s="5" t="s">
        <v>71</v>
      </c>
      <c r="B366" s="5" t="s">
        <v>1109</v>
      </c>
      <c r="C366" s="14">
        <v>45720</v>
      </c>
      <c r="D366" s="5" t="s">
        <v>230</v>
      </c>
      <c r="E366" s="5">
        <v>74</v>
      </c>
      <c r="F366" s="7">
        <v>1498000</v>
      </c>
      <c r="G366" s="7">
        <f t="shared" si="33"/>
        <v>20243.243243243243</v>
      </c>
      <c r="H366" s="11" t="s">
        <v>1110</v>
      </c>
      <c r="I366" s="11" t="s">
        <v>951</v>
      </c>
      <c r="J366" s="11" t="s">
        <v>595</v>
      </c>
      <c r="K366" s="5" t="s">
        <v>381</v>
      </c>
      <c r="L366" s="6" t="s">
        <v>1482</v>
      </c>
      <c r="M366" s="5"/>
      <c r="N366" s="11"/>
      <c r="O366" s="7"/>
      <c r="P366" s="7"/>
      <c r="Q366" s="7"/>
      <c r="R366" s="11"/>
      <c r="S366" s="7"/>
      <c r="T366" s="5"/>
    </row>
    <row r="367" spans="1:20" x14ac:dyDescent="0.25">
      <c r="A367" s="5" t="s">
        <v>71</v>
      </c>
      <c r="B367" s="5" t="s">
        <v>1476</v>
      </c>
      <c r="C367" s="14">
        <v>45730</v>
      </c>
      <c r="D367" s="5" t="s">
        <v>813</v>
      </c>
      <c r="E367" s="5">
        <v>40</v>
      </c>
      <c r="F367" s="7">
        <v>788000</v>
      </c>
      <c r="G367" s="7">
        <f t="shared" si="33"/>
        <v>19700</v>
      </c>
      <c r="H367" s="11" t="s">
        <v>1480</v>
      </c>
      <c r="I367" s="11" t="s">
        <v>1481</v>
      </c>
      <c r="J367" s="11" t="s">
        <v>388</v>
      </c>
      <c r="K367" s="5" t="s">
        <v>602</v>
      </c>
      <c r="L367" s="6"/>
      <c r="M367" s="5"/>
      <c r="N367" s="11"/>
      <c r="O367" s="7"/>
      <c r="P367" s="7"/>
      <c r="Q367" s="7"/>
      <c r="R367" s="11"/>
      <c r="S367" s="7"/>
      <c r="T367" s="5"/>
    </row>
    <row r="368" spans="1:20" s="29" customFormat="1" x14ac:dyDescent="0.25">
      <c r="A368" s="25" t="s">
        <v>71</v>
      </c>
      <c r="B368" s="25" t="s">
        <v>1417</v>
      </c>
      <c r="C368" s="26">
        <v>45736</v>
      </c>
      <c r="D368" s="25" t="s">
        <v>813</v>
      </c>
      <c r="E368" s="25">
        <v>20</v>
      </c>
      <c r="F368" s="27">
        <v>630000</v>
      </c>
      <c r="G368" s="27">
        <f t="shared" ref="G368:G371" si="34">F368/E368</f>
        <v>31500</v>
      </c>
      <c r="H368" s="28" t="s">
        <v>1419</v>
      </c>
      <c r="I368" s="28" t="s">
        <v>1420</v>
      </c>
      <c r="J368" s="28" t="s">
        <v>1116</v>
      </c>
      <c r="K368" s="25" t="s">
        <v>240</v>
      </c>
      <c r="L368" s="59"/>
      <c r="M368" s="25"/>
      <c r="N368" s="28"/>
      <c r="O368" s="27"/>
      <c r="P368" s="27"/>
      <c r="Q368" s="27"/>
      <c r="R368" s="28"/>
      <c r="S368" s="27"/>
      <c r="T368" s="25"/>
    </row>
    <row r="369" spans="1:20" x14ac:dyDescent="0.25">
      <c r="A369" s="5" t="s">
        <v>71</v>
      </c>
      <c r="B369" s="5" t="s">
        <v>1174</v>
      </c>
      <c r="C369" s="14">
        <v>45740</v>
      </c>
      <c r="D369" s="5" t="s">
        <v>4</v>
      </c>
      <c r="E369" s="5">
        <v>409</v>
      </c>
      <c r="F369" s="7">
        <v>7158000</v>
      </c>
      <c r="G369" s="7">
        <f t="shared" si="34"/>
        <v>17501.22249388753</v>
      </c>
      <c r="H369" s="11" t="s">
        <v>1201</v>
      </c>
      <c r="I369" s="11" t="s">
        <v>490</v>
      </c>
      <c r="J369" s="11" t="s">
        <v>8</v>
      </c>
      <c r="K369" s="5" t="s">
        <v>571</v>
      </c>
      <c r="L369" s="6" t="s">
        <v>1484</v>
      </c>
      <c r="M369" s="5"/>
      <c r="N369" s="11"/>
      <c r="O369" s="7"/>
      <c r="P369" s="7"/>
      <c r="Q369" s="7"/>
      <c r="R369" s="11"/>
      <c r="S369" s="7"/>
      <c r="T369" s="5"/>
    </row>
    <row r="370" spans="1:20" x14ac:dyDescent="0.25">
      <c r="A370" s="5" t="s">
        <v>71</v>
      </c>
      <c r="B370" s="5" t="s">
        <v>1475</v>
      </c>
      <c r="C370" s="14">
        <v>45741</v>
      </c>
      <c r="D370" s="5" t="s">
        <v>4</v>
      </c>
      <c r="E370" s="5">
        <v>231</v>
      </c>
      <c r="F370" s="7">
        <v>4828000</v>
      </c>
      <c r="G370" s="7">
        <f t="shared" si="34"/>
        <v>20900.432900432901</v>
      </c>
      <c r="H370" s="11" t="s">
        <v>1012</v>
      </c>
      <c r="I370" s="11" t="s">
        <v>1013</v>
      </c>
      <c r="J370" s="11" t="s">
        <v>234</v>
      </c>
      <c r="K370" s="5" t="s">
        <v>1014</v>
      </c>
      <c r="L370" s="6" t="s">
        <v>1486</v>
      </c>
      <c r="M370" s="5"/>
      <c r="N370" s="11"/>
      <c r="O370" s="7"/>
      <c r="P370" s="7"/>
      <c r="Q370" s="7"/>
      <c r="R370" s="11"/>
      <c r="S370" s="7"/>
      <c r="T370" s="5"/>
    </row>
    <row r="371" spans="1:20" x14ac:dyDescent="0.25">
      <c r="A371" s="5" t="s">
        <v>71</v>
      </c>
      <c r="B371" s="5" t="s">
        <v>903</v>
      </c>
      <c r="C371" s="14">
        <v>45741</v>
      </c>
      <c r="D371" s="5" t="s">
        <v>4</v>
      </c>
      <c r="E371" s="5">
        <v>397</v>
      </c>
      <c r="F371" s="7">
        <v>7498000</v>
      </c>
      <c r="G371" s="7">
        <f t="shared" si="34"/>
        <v>18886.649874055416</v>
      </c>
      <c r="H371" s="11" t="s">
        <v>919</v>
      </c>
      <c r="I371" s="11" t="s">
        <v>7</v>
      </c>
      <c r="J371" s="11" t="s">
        <v>234</v>
      </c>
      <c r="K371" s="5" t="s">
        <v>362</v>
      </c>
      <c r="L371" s="6"/>
      <c r="M371" s="5"/>
      <c r="N371" s="11"/>
      <c r="O371" s="7"/>
      <c r="P371" s="7"/>
      <c r="Q371" s="7"/>
      <c r="R371" s="11"/>
      <c r="S371" s="7"/>
      <c r="T371" s="5"/>
    </row>
    <row r="372" spans="1:20" x14ac:dyDescent="0.25">
      <c r="A372" s="5" t="s">
        <v>71</v>
      </c>
      <c r="B372" s="5" t="s">
        <v>903</v>
      </c>
      <c r="C372" s="14">
        <v>45741</v>
      </c>
      <c r="D372" s="5" t="s">
        <v>230</v>
      </c>
      <c r="E372" s="5">
        <v>397</v>
      </c>
      <c r="F372" s="7">
        <v>7498000</v>
      </c>
      <c r="G372" s="7">
        <f t="shared" ref="G372:G390" si="35">F372/E372</f>
        <v>18886.649874055416</v>
      </c>
      <c r="H372" s="11" t="s">
        <v>919</v>
      </c>
      <c r="I372" s="11" t="s">
        <v>7</v>
      </c>
      <c r="J372" s="11" t="s">
        <v>234</v>
      </c>
      <c r="K372" s="5" t="s">
        <v>362</v>
      </c>
      <c r="L372" s="6"/>
      <c r="M372" s="5"/>
      <c r="N372" s="11"/>
      <c r="O372" s="7"/>
      <c r="P372" s="7"/>
      <c r="Q372" s="7"/>
      <c r="R372" s="11"/>
      <c r="S372" s="7"/>
      <c r="T372" s="5"/>
    </row>
    <row r="373" spans="1:20" x14ac:dyDescent="0.25">
      <c r="A373" s="5" t="s">
        <v>71</v>
      </c>
      <c r="B373" s="5" t="s">
        <v>903</v>
      </c>
      <c r="C373" s="14">
        <v>45741</v>
      </c>
      <c r="D373" s="5" t="s">
        <v>1094</v>
      </c>
      <c r="E373" s="5">
        <v>397</v>
      </c>
      <c r="F373" s="7">
        <v>7498000</v>
      </c>
      <c r="G373" s="7">
        <f t="shared" si="35"/>
        <v>18886.649874055416</v>
      </c>
      <c r="H373" s="11" t="s">
        <v>919</v>
      </c>
      <c r="I373" s="11" t="s">
        <v>7</v>
      </c>
      <c r="J373" s="11" t="s">
        <v>234</v>
      </c>
      <c r="K373" s="5" t="s">
        <v>362</v>
      </c>
      <c r="L373" s="6"/>
      <c r="M373" s="5"/>
      <c r="N373" s="11"/>
      <c r="O373" s="7"/>
      <c r="P373" s="7"/>
      <c r="Q373" s="7"/>
      <c r="R373" s="11"/>
      <c r="S373" s="7"/>
      <c r="T373" s="5"/>
    </row>
    <row r="374" spans="1:20" x14ac:dyDescent="0.25">
      <c r="A374" s="5" t="s">
        <v>71</v>
      </c>
      <c r="B374" s="5" t="s">
        <v>1325</v>
      </c>
      <c r="C374" s="14">
        <v>45749</v>
      </c>
      <c r="D374" s="5" t="s">
        <v>230</v>
      </c>
      <c r="E374" s="5">
        <v>231</v>
      </c>
      <c r="F374" s="7">
        <v>4778000</v>
      </c>
      <c r="G374" s="7">
        <f t="shared" si="35"/>
        <v>20683.982683982686</v>
      </c>
      <c r="H374" s="11" t="s">
        <v>1326</v>
      </c>
      <c r="I374" s="11" t="s">
        <v>333</v>
      </c>
      <c r="J374" s="11" t="s">
        <v>234</v>
      </c>
      <c r="K374" s="5" t="s">
        <v>1315</v>
      </c>
      <c r="L374" s="6" t="s">
        <v>1526</v>
      </c>
      <c r="M374" s="5"/>
      <c r="N374" s="11"/>
      <c r="O374" s="7"/>
      <c r="P374" s="7"/>
      <c r="Q374" s="7"/>
      <c r="R374" s="11"/>
      <c r="S374" s="7"/>
      <c r="T374" s="5"/>
    </row>
    <row r="375" spans="1:20" x14ac:dyDescent="0.25">
      <c r="A375" s="5" t="s">
        <v>71</v>
      </c>
      <c r="B375" s="5" t="s">
        <v>1009</v>
      </c>
      <c r="C375" s="14">
        <v>45751</v>
      </c>
      <c r="D375" s="5" t="s">
        <v>527</v>
      </c>
      <c r="E375" s="5">
        <v>204</v>
      </c>
      <c r="F375" s="7">
        <v>4162000</v>
      </c>
      <c r="G375" s="7">
        <f t="shared" si="35"/>
        <v>20401.960784313724</v>
      </c>
      <c r="H375" s="11" t="s">
        <v>1022</v>
      </c>
      <c r="I375" s="11" t="s">
        <v>815</v>
      </c>
      <c r="J375" s="11" t="s">
        <v>1023</v>
      </c>
      <c r="K375" s="5" t="s">
        <v>602</v>
      </c>
      <c r="L375" s="6" t="s">
        <v>1024</v>
      </c>
      <c r="M375" s="5"/>
      <c r="N375" s="11"/>
      <c r="O375" s="7"/>
      <c r="P375" s="7"/>
      <c r="Q375" s="7"/>
      <c r="R375" s="11"/>
      <c r="S375" s="7"/>
      <c r="T375" s="5"/>
    </row>
    <row r="376" spans="1:20" x14ac:dyDescent="0.25">
      <c r="A376" s="5" t="s">
        <v>71</v>
      </c>
      <c r="B376" s="5" t="s">
        <v>1014</v>
      </c>
      <c r="C376" s="14">
        <v>45757</v>
      </c>
      <c r="D376" s="5" t="s">
        <v>626</v>
      </c>
      <c r="E376" s="5">
        <v>185</v>
      </c>
      <c r="F376" s="7">
        <v>4900000</v>
      </c>
      <c r="G376" s="7">
        <f t="shared" si="35"/>
        <v>26486.486486486487</v>
      </c>
      <c r="H376" s="11" t="s">
        <v>626</v>
      </c>
      <c r="I376" s="11" t="s">
        <v>25</v>
      </c>
      <c r="J376" s="11" t="s">
        <v>207</v>
      </c>
      <c r="K376" s="5" t="s">
        <v>1014</v>
      </c>
      <c r="L376" s="6" t="s">
        <v>1503</v>
      </c>
      <c r="M376" s="5"/>
      <c r="N376" s="11"/>
      <c r="O376" s="7"/>
      <c r="P376" s="7"/>
      <c r="Q376" s="7"/>
      <c r="R376" s="11"/>
      <c r="S376" s="7"/>
      <c r="T376" s="5"/>
    </row>
    <row r="377" spans="1:20" x14ac:dyDescent="0.25">
      <c r="A377" s="5" t="s">
        <v>71</v>
      </c>
      <c r="B377" s="5" t="s">
        <v>1127</v>
      </c>
      <c r="C377" s="14">
        <v>45763</v>
      </c>
      <c r="D377" s="5" t="s">
        <v>4</v>
      </c>
      <c r="E377" s="5">
        <v>382</v>
      </c>
      <c r="F377" s="7">
        <v>7748000</v>
      </c>
      <c r="G377" s="7">
        <f t="shared" si="35"/>
        <v>20282.722513089004</v>
      </c>
      <c r="H377" s="11" t="s">
        <v>1104</v>
      </c>
      <c r="I377" s="11" t="s">
        <v>7</v>
      </c>
      <c r="J377" s="11" t="s">
        <v>8</v>
      </c>
      <c r="K377" s="5" t="s">
        <v>223</v>
      </c>
      <c r="L377" s="6" t="s">
        <v>1590</v>
      </c>
      <c r="M377" s="5"/>
      <c r="N377" s="11"/>
      <c r="O377" s="7"/>
      <c r="P377" s="7"/>
      <c r="Q377" s="7"/>
      <c r="R377" s="11"/>
      <c r="S377" s="7"/>
      <c r="T377" s="5"/>
    </row>
    <row r="378" spans="1:20" x14ac:dyDescent="0.25">
      <c r="A378" s="5" t="s">
        <v>272</v>
      </c>
      <c r="B378" s="5" t="s">
        <v>1342</v>
      </c>
      <c r="C378" s="14">
        <v>45783</v>
      </c>
      <c r="D378" s="5" t="s">
        <v>5</v>
      </c>
      <c r="E378" s="5">
        <v>147</v>
      </c>
      <c r="F378" s="7">
        <v>2968000</v>
      </c>
      <c r="G378" s="7">
        <f t="shared" si="35"/>
        <v>20190.476190476191</v>
      </c>
      <c r="H378" s="11" t="s">
        <v>945</v>
      </c>
      <c r="I378" s="11" t="s">
        <v>25</v>
      </c>
      <c r="J378" s="11" t="s">
        <v>234</v>
      </c>
      <c r="K378" s="5" t="s">
        <v>202</v>
      </c>
      <c r="L378" s="6"/>
      <c r="M378" s="5"/>
      <c r="N378" s="11"/>
      <c r="O378" s="7"/>
      <c r="P378" s="7"/>
      <c r="Q378" s="7"/>
      <c r="R378" s="11"/>
      <c r="S378" s="7"/>
      <c r="T378" s="5"/>
    </row>
    <row r="379" spans="1:20" x14ac:dyDescent="0.25">
      <c r="A379" s="5" t="s">
        <v>71</v>
      </c>
      <c r="B379" s="5" t="s">
        <v>1497</v>
      </c>
      <c r="C379" s="14">
        <v>45784</v>
      </c>
      <c r="D379" s="5" t="s">
        <v>3</v>
      </c>
      <c r="E379" s="5">
        <v>230</v>
      </c>
      <c r="F379" s="7">
        <v>5498000</v>
      </c>
      <c r="G379" s="7">
        <f t="shared" si="35"/>
        <v>23904.347826086956</v>
      </c>
      <c r="H379" s="11" t="s">
        <v>713</v>
      </c>
      <c r="I379" s="11" t="s">
        <v>48</v>
      </c>
      <c r="J379" s="11" t="s">
        <v>1116</v>
      </c>
      <c r="K379" s="5" t="s">
        <v>362</v>
      </c>
      <c r="L379" s="6" t="s">
        <v>1500</v>
      </c>
      <c r="M379" s="5"/>
      <c r="N379" s="11"/>
      <c r="O379" s="7"/>
      <c r="P379" s="7"/>
      <c r="Q379" s="7"/>
      <c r="R379" s="11"/>
      <c r="S379" s="7"/>
      <c r="T379" s="5"/>
    </row>
    <row r="380" spans="1:20" x14ac:dyDescent="0.25">
      <c r="A380" s="5" t="s">
        <v>71</v>
      </c>
      <c r="B380" s="5" t="s">
        <v>1498</v>
      </c>
      <c r="C380" s="14">
        <v>45785</v>
      </c>
      <c r="D380" s="5" t="s">
        <v>3</v>
      </c>
      <c r="E380" s="5">
        <v>220</v>
      </c>
      <c r="F380" s="7">
        <v>5159000</v>
      </c>
      <c r="G380" s="7">
        <f t="shared" si="35"/>
        <v>23450</v>
      </c>
      <c r="H380" s="11" t="s">
        <v>713</v>
      </c>
      <c r="I380" s="11" t="s">
        <v>7</v>
      </c>
      <c r="J380" s="11" t="s">
        <v>1499</v>
      </c>
      <c r="K380" s="5" t="s">
        <v>362</v>
      </c>
      <c r="L380" s="6"/>
      <c r="M380" s="5"/>
      <c r="N380" s="11"/>
      <c r="O380" s="7"/>
      <c r="P380" s="7"/>
      <c r="Q380" s="7"/>
      <c r="R380" s="11"/>
      <c r="S380" s="7"/>
      <c r="T380" s="5"/>
    </row>
    <row r="381" spans="1:20" x14ac:dyDescent="0.25">
      <c r="A381" s="5" t="s">
        <v>272</v>
      </c>
      <c r="B381" s="5" t="s">
        <v>1496</v>
      </c>
      <c r="C381" s="14">
        <v>45791</v>
      </c>
      <c r="D381" s="5" t="s">
        <v>626</v>
      </c>
      <c r="E381" s="5">
        <v>239</v>
      </c>
      <c r="F381" s="7">
        <v>6320000</v>
      </c>
      <c r="G381" s="7">
        <f t="shared" si="35"/>
        <v>26443.514644351464</v>
      </c>
      <c r="H381" s="11" t="s">
        <v>626</v>
      </c>
      <c r="I381" s="11" t="s">
        <v>333</v>
      </c>
      <c r="J381" s="11" t="s">
        <v>207</v>
      </c>
      <c r="K381" s="5" t="s">
        <v>691</v>
      </c>
      <c r="L381" s="6"/>
      <c r="M381" s="5"/>
      <c r="N381" s="11"/>
      <c r="O381" s="7"/>
      <c r="P381" s="7"/>
      <c r="Q381" s="7"/>
      <c r="R381" s="11"/>
      <c r="S381" s="7"/>
      <c r="T381" s="5"/>
    </row>
    <row r="382" spans="1:20" x14ac:dyDescent="0.25">
      <c r="A382" s="5" t="s">
        <v>71</v>
      </c>
      <c r="B382" s="5" t="s">
        <v>1439</v>
      </c>
      <c r="C382" s="14">
        <v>45792</v>
      </c>
      <c r="D382" s="5" t="s">
        <v>3</v>
      </c>
      <c r="E382" s="5">
        <v>376</v>
      </c>
      <c r="F382" s="7">
        <v>8395000</v>
      </c>
      <c r="G382" s="7">
        <f t="shared" si="35"/>
        <v>22327.127659574468</v>
      </c>
      <c r="H382" s="11" t="s">
        <v>713</v>
      </c>
      <c r="I382" s="11" t="s">
        <v>7</v>
      </c>
      <c r="J382" s="11" t="s">
        <v>199</v>
      </c>
      <c r="K382" s="5" t="s">
        <v>362</v>
      </c>
      <c r="L382" s="6"/>
      <c r="M382" s="5"/>
      <c r="N382" s="11"/>
      <c r="O382" s="7"/>
      <c r="P382" s="7"/>
      <c r="Q382" s="7"/>
      <c r="R382" s="11"/>
      <c r="S382" s="7"/>
      <c r="T382" s="5"/>
    </row>
    <row r="383" spans="1:20" x14ac:dyDescent="0.25">
      <c r="A383" s="5" t="s">
        <v>71</v>
      </c>
      <c r="B383" s="5" t="s">
        <v>1444</v>
      </c>
      <c r="C383" s="14">
        <v>45793</v>
      </c>
      <c r="D383" s="5" t="s">
        <v>1327</v>
      </c>
      <c r="E383" s="5">
        <v>137</v>
      </c>
      <c r="F383" s="7">
        <f>2598000+93000</f>
        <v>2691000</v>
      </c>
      <c r="G383" s="7">
        <f t="shared" si="35"/>
        <v>19642.335766423359</v>
      </c>
      <c r="H383" s="11" t="s">
        <v>1469</v>
      </c>
      <c r="I383" s="11" t="s">
        <v>1387</v>
      </c>
      <c r="J383" s="11" t="s">
        <v>8</v>
      </c>
      <c r="K383" s="5" t="s">
        <v>202</v>
      </c>
      <c r="L383" s="6" t="s">
        <v>1470</v>
      </c>
      <c r="M383" s="5"/>
      <c r="N383" s="11"/>
      <c r="O383" s="7"/>
      <c r="P383" s="7"/>
      <c r="Q383" s="7"/>
      <c r="R383" s="11"/>
      <c r="S383" s="7"/>
      <c r="T383" s="5"/>
    </row>
    <row r="384" spans="1:20" s="29" customFormat="1" x14ac:dyDescent="0.25">
      <c r="A384" s="25" t="s">
        <v>71</v>
      </c>
      <c r="B384" s="25" t="s">
        <v>1496</v>
      </c>
      <c r="C384" s="26">
        <v>46175</v>
      </c>
      <c r="D384" s="25" t="s">
        <v>626</v>
      </c>
      <c r="E384" s="25">
        <v>239</v>
      </c>
      <c r="F384" s="27">
        <v>5670000</v>
      </c>
      <c r="G384" s="27">
        <f t="shared" ref="G384" si="36">F384/E384</f>
        <v>23723.849372384939</v>
      </c>
      <c r="H384" s="28" t="s">
        <v>626</v>
      </c>
      <c r="I384" s="28" t="s">
        <v>333</v>
      </c>
      <c r="J384" s="28" t="s">
        <v>207</v>
      </c>
      <c r="K384" s="25" t="s">
        <v>691</v>
      </c>
      <c r="L384" s="59"/>
      <c r="M384" s="25"/>
      <c r="N384" s="28"/>
      <c r="O384" s="27"/>
      <c r="P384" s="27"/>
      <c r="Q384" s="27"/>
      <c r="R384" s="28"/>
      <c r="S384" s="27"/>
      <c r="T384" s="25"/>
    </row>
    <row r="385" spans="1:20" x14ac:dyDescent="0.25">
      <c r="A385" s="5" t="s">
        <v>272</v>
      </c>
      <c r="B385" s="5" t="s">
        <v>1504</v>
      </c>
      <c r="C385" s="14">
        <v>45814</v>
      </c>
      <c r="D385" s="5" t="s">
        <v>4</v>
      </c>
      <c r="E385" s="5">
        <v>225</v>
      </c>
      <c r="F385" s="7">
        <v>7198000</v>
      </c>
      <c r="G385" s="7">
        <f t="shared" si="35"/>
        <v>31991.111111111109</v>
      </c>
      <c r="H385" s="11" t="s">
        <v>1505</v>
      </c>
      <c r="I385" s="11" t="s">
        <v>1506</v>
      </c>
      <c r="J385" s="11" t="s">
        <v>357</v>
      </c>
      <c r="K385" s="5" t="s">
        <v>200</v>
      </c>
      <c r="L385" s="6" t="s">
        <v>1546</v>
      </c>
      <c r="M385" s="5"/>
      <c r="N385" s="11"/>
      <c r="O385" s="7"/>
      <c r="P385" s="7"/>
      <c r="Q385" s="7"/>
      <c r="R385" s="11"/>
      <c r="S385" s="7"/>
      <c r="T385" s="5"/>
    </row>
    <row r="386" spans="1:20" x14ac:dyDescent="0.25">
      <c r="A386" s="5" t="s">
        <v>71</v>
      </c>
      <c r="B386" s="5" t="s">
        <v>1343</v>
      </c>
      <c r="C386" s="14">
        <v>45847</v>
      </c>
      <c r="D386" s="5" t="s">
        <v>230</v>
      </c>
      <c r="E386" s="5">
        <v>796</v>
      </c>
      <c r="F386" s="7">
        <v>16659000</v>
      </c>
      <c r="G386" s="7">
        <f t="shared" si="35"/>
        <v>20928.391959798995</v>
      </c>
      <c r="H386" s="11" t="s">
        <v>1344</v>
      </c>
      <c r="I386" s="11" t="s">
        <v>233</v>
      </c>
      <c r="J386" s="11" t="s">
        <v>1513</v>
      </c>
      <c r="K386" s="5" t="s">
        <v>450</v>
      </c>
      <c r="L386" s="6" t="s">
        <v>1491</v>
      </c>
      <c r="M386" s="5"/>
      <c r="N386" s="11"/>
      <c r="O386" s="7"/>
      <c r="P386" s="7"/>
      <c r="Q386" s="7"/>
      <c r="R386" s="11"/>
      <c r="S386" s="7"/>
      <c r="T386" s="5"/>
    </row>
    <row r="387" spans="1:20" x14ac:dyDescent="0.25">
      <c r="A387" s="5" t="s">
        <v>71</v>
      </c>
      <c r="B387" s="5" t="s">
        <v>1519</v>
      </c>
      <c r="C387" s="14">
        <v>45860</v>
      </c>
      <c r="D387" s="5" t="s">
        <v>1520</v>
      </c>
      <c r="E387" s="5">
        <v>110</v>
      </c>
      <c r="F387" s="7">
        <v>2110000</v>
      </c>
      <c r="G387" s="7">
        <f t="shared" si="35"/>
        <v>19181.81818181818</v>
      </c>
      <c r="H387" s="11" t="s">
        <v>1521</v>
      </c>
      <c r="I387" s="11" t="s">
        <v>1522</v>
      </c>
      <c r="J387" s="11" t="s">
        <v>199</v>
      </c>
      <c r="K387" s="5" t="s">
        <v>422</v>
      </c>
      <c r="L387" s="6"/>
      <c r="M387" s="5"/>
      <c r="N387" s="11"/>
      <c r="O387" s="7"/>
      <c r="P387" s="7"/>
      <c r="Q387" s="7"/>
      <c r="R387" s="11"/>
      <c r="S387" s="7"/>
      <c r="T387" s="5"/>
    </row>
    <row r="388" spans="1:20" x14ac:dyDescent="0.25">
      <c r="A388" s="5" t="s">
        <v>71</v>
      </c>
      <c r="B388" s="5" t="s">
        <v>1161</v>
      </c>
      <c r="C388" s="14">
        <v>45881</v>
      </c>
      <c r="D388" s="5" t="s">
        <v>527</v>
      </c>
      <c r="E388" s="5">
        <v>118</v>
      </c>
      <c r="F388" s="7">
        <v>2638000</v>
      </c>
      <c r="G388" s="7">
        <f t="shared" si="35"/>
        <v>22355.932203389832</v>
      </c>
      <c r="H388" s="11" t="s">
        <v>1022</v>
      </c>
      <c r="I388" s="11" t="s">
        <v>1146</v>
      </c>
      <c r="J388" s="11" t="s">
        <v>547</v>
      </c>
      <c r="K388" s="5" t="s">
        <v>240</v>
      </c>
      <c r="L388" s="6" t="s">
        <v>1568</v>
      </c>
      <c r="M388" s="5"/>
      <c r="N388" s="11"/>
      <c r="O388" s="7"/>
      <c r="P388" s="7"/>
      <c r="Q388" s="7"/>
      <c r="R388" s="11"/>
      <c r="S388" s="7"/>
      <c r="T388" s="5"/>
    </row>
    <row r="389" spans="1:20" x14ac:dyDescent="0.25">
      <c r="A389" s="5" t="s">
        <v>71</v>
      </c>
      <c r="B389" s="5" t="s">
        <v>1529</v>
      </c>
      <c r="C389" s="14">
        <v>45888</v>
      </c>
      <c r="D389" s="5" t="s">
        <v>1530</v>
      </c>
      <c r="E389" s="5">
        <v>26</v>
      </c>
      <c r="F389" s="7">
        <v>1798000</v>
      </c>
      <c r="G389" s="7">
        <f t="shared" si="35"/>
        <v>69153.846153846156</v>
      </c>
      <c r="H389" s="11" t="s">
        <v>1530</v>
      </c>
      <c r="I389" s="11" t="s">
        <v>97</v>
      </c>
      <c r="J389" s="11" t="s">
        <v>1116</v>
      </c>
      <c r="K389" s="5" t="s">
        <v>263</v>
      </c>
      <c r="L389" s="6"/>
      <c r="M389" s="5"/>
      <c r="N389" s="11"/>
      <c r="O389" s="7"/>
      <c r="P389" s="7"/>
      <c r="Q389" s="7"/>
      <c r="R389" s="11"/>
      <c r="S389" s="7"/>
      <c r="T389" s="5"/>
    </row>
    <row r="390" spans="1:20" x14ac:dyDescent="0.25">
      <c r="A390" s="5" t="s">
        <v>71</v>
      </c>
      <c r="B390" s="5" t="s">
        <v>1424</v>
      </c>
      <c r="C390" s="14">
        <v>45891</v>
      </c>
      <c r="D390" s="5" t="s">
        <v>813</v>
      </c>
      <c r="E390" s="5">
        <v>70</v>
      </c>
      <c r="F390" s="7">
        <v>1550000</v>
      </c>
      <c r="G390" s="7">
        <f t="shared" si="35"/>
        <v>22142.857142857141</v>
      </c>
      <c r="H390" s="11" t="s">
        <v>1435</v>
      </c>
      <c r="I390" s="11" t="s">
        <v>1387</v>
      </c>
      <c r="J390" s="11" t="s">
        <v>234</v>
      </c>
      <c r="K390" s="5" t="s">
        <v>1436</v>
      </c>
      <c r="L390" s="6"/>
      <c r="M390" s="5"/>
      <c r="N390" s="11"/>
      <c r="O390" s="7"/>
      <c r="P390" s="7"/>
      <c r="Q390" s="7"/>
      <c r="R390" s="11"/>
      <c r="S390" s="7"/>
      <c r="T390" s="5"/>
    </row>
    <row r="391" spans="1:20" x14ac:dyDescent="0.25">
      <c r="A391" s="5" t="s">
        <v>71</v>
      </c>
      <c r="B391" s="5" t="s">
        <v>1529</v>
      </c>
      <c r="C391" s="14">
        <v>45894</v>
      </c>
      <c r="D391" s="5" t="s">
        <v>1530</v>
      </c>
      <c r="E391" s="5">
        <v>26</v>
      </c>
      <c r="F391" s="7">
        <v>1620000</v>
      </c>
      <c r="G391" s="7">
        <f t="shared" ref="G391:G401" si="37">F391/E391</f>
        <v>62307.692307692305</v>
      </c>
      <c r="H391" s="11" t="s">
        <v>1530</v>
      </c>
      <c r="I391" s="11" t="s">
        <v>97</v>
      </c>
      <c r="J391" s="11" t="s">
        <v>1116</v>
      </c>
      <c r="K391" s="5" t="s">
        <v>263</v>
      </c>
      <c r="L391" s="6"/>
      <c r="M391" s="5"/>
      <c r="N391" s="11"/>
      <c r="O391" s="7"/>
      <c r="P391" s="7"/>
      <c r="Q391" s="7"/>
      <c r="R391" s="11"/>
      <c r="S391" s="7"/>
      <c r="T391" s="5"/>
    </row>
    <row r="392" spans="1:20" x14ac:dyDescent="0.25">
      <c r="A392" s="5" t="s">
        <v>272</v>
      </c>
      <c r="B392" s="5" t="s">
        <v>1537</v>
      </c>
      <c r="C392" s="14">
        <v>45904</v>
      </c>
      <c r="D392" s="5" t="s">
        <v>325</v>
      </c>
      <c r="E392" s="5">
        <v>170</v>
      </c>
      <c r="F392" s="7">
        <v>3348000</v>
      </c>
      <c r="G392" s="7">
        <f t="shared" si="37"/>
        <v>19694.117647058825</v>
      </c>
      <c r="H392" s="11" t="s">
        <v>1538</v>
      </c>
      <c r="I392" s="11" t="s">
        <v>53</v>
      </c>
      <c r="J392" s="11" t="s">
        <v>199</v>
      </c>
      <c r="K392" s="5" t="s">
        <v>1014</v>
      </c>
      <c r="L392" s="6" t="s">
        <v>1541</v>
      </c>
      <c r="M392" s="5"/>
      <c r="N392" s="11"/>
      <c r="O392" s="7"/>
      <c r="P392" s="7"/>
      <c r="Q392" s="7"/>
      <c r="R392" s="11"/>
      <c r="S392" s="7"/>
      <c r="T392" s="5"/>
    </row>
    <row r="393" spans="1:20" x14ac:dyDescent="0.25">
      <c r="A393" s="5" t="s">
        <v>71</v>
      </c>
      <c r="B393" s="5" t="s">
        <v>1515</v>
      </c>
      <c r="C393" s="14">
        <v>45904</v>
      </c>
      <c r="D393" s="5" t="s">
        <v>4</v>
      </c>
      <c r="E393" s="5">
        <v>259</v>
      </c>
      <c r="F393" s="7">
        <v>5068000</v>
      </c>
      <c r="G393" s="7">
        <f t="shared" si="37"/>
        <v>19567.567567567567</v>
      </c>
      <c r="H393" s="11" t="s">
        <v>1516</v>
      </c>
      <c r="I393" s="11" t="s">
        <v>1539</v>
      </c>
      <c r="J393" s="11" t="s">
        <v>1540</v>
      </c>
      <c r="K393" s="5" t="s">
        <v>1165</v>
      </c>
      <c r="L393" s="6" t="s">
        <v>1559</v>
      </c>
      <c r="M393" s="5"/>
      <c r="N393" s="11"/>
      <c r="O393" s="7"/>
      <c r="P393" s="7"/>
      <c r="Q393" s="7"/>
      <c r="R393" s="11"/>
      <c r="S393" s="7"/>
      <c r="T393" s="5"/>
    </row>
    <row r="394" spans="1:20" x14ac:dyDescent="0.25">
      <c r="A394" s="5" t="s">
        <v>71</v>
      </c>
      <c r="B394" s="5" t="s">
        <v>1055</v>
      </c>
      <c r="C394" s="14">
        <v>45910</v>
      </c>
      <c r="D394" s="5" t="s">
        <v>4</v>
      </c>
      <c r="E394" s="5">
        <v>274</v>
      </c>
      <c r="F394" s="7">
        <v>5099000</v>
      </c>
      <c r="G394" s="7">
        <f t="shared" si="37"/>
        <v>18609.48905109489</v>
      </c>
      <c r="H394" s="11" t="s">
        <v>1065</v>
      </c>
      <c r="I394" s="11" t="s">
        <v>7</v>
      </c>
      <c r="J394" s="11" t="s">
        <v>33</v>
      </c>
      <c r="K394" s="5" t="s">
        <v>362</v>
      </c>
      <c r="L394" s="6" t="s">
        <v>1542</v>
      </c>
      <c r="M394" s="5"/>
      <c r="N394" s="11"/>
      <c r="O394" s="7"/>
      <c r="P394" s="7"/>
      <c r="Q394" s="7"/>
      <c r="R394" s="11"/>
      <c r="S394" s="7"/>
      <c r="T394" s="5"/>
    </row>
    <row r="395" spans="1:20" s="29" customFormat="1" x14ac:dyDescent="0.25">
      <c r="A395" s="25" t="s">
        <v>71</v>
      </c>
      <c r="B395" s="25" t="s">
        <v>1543</v>
      </c>
      <c r="C395" s="26">
        <v>45913</v>
      </c>
      <c r="D395" s="25" t="s">
        <v>3</v>
      </c>
      <c r="E395" s="25">
        <v>166</v>
      </c>
      <c r="F395" s="27">
        <v>3258000</v>
      </c>
      <c r="G395" s="27">
        <f t="shared" si="37"/>
        <v>19626.506024096387</v>
      </c>
      <c r="H395" s="28" t="s">
        <v>713</v>
      </c>
      <c r="I395" s="28" t="s">
        <v>53</v>
      </c>
      <c r="J395" s="28" t="s">
        <v>234</v>
      </c>
      <c r="K395" s="25" t="s">
        <v>362</v>
      </c>
      <c r="L395" s="59"/>
      <c r="M395" s="25"/>
      <c r="N395" s="28"/>
      <c r="O395" s="27"/>
      <c r="P395" s="27"/>
      <c r="Q395" s="27"/>
      <c r="R395" s="28"/>
      <c r="S395" s="27"/>
      <c r="T395" s="25"/>
    </row>
    <row r="396" spans="1:20" x14ac:dyDescent="0.25">
      <c r="A396" s="5" t="s">
        <v>272</v>
      </c>
      <c r="B396" s="5" t="s">
        <v>1547</v>
      </c>
      <c r="C396" s="14">
        <v>45917</v>
      </c>
      <c r="D396" s="5" t="s">
        <v>1327</v>
      </c>
      <c r="E396" s="5">
        <v>302</v>
      </c>
      <c r="F396" s="7">
        <v>5888000</v>
      </c>
      <c r="G396" s="7">
        <f t="shared" si="37"/>
        <v>19496.688741721853</v>
      </c>
      <c r="H396" s="11" t="s">
        <v>102</v>
      </c>
      <c r="I396" s="11" t="s">
        <v>190</v>
      </c>
      <c r="J396" s="11" t="s">
        <v>234</v>
      </c>
      <c r="K396" s="5" t="s">
        <v>696</v>
      </c>
      <c r="L396" s="6"/>
      <c r="M396" s="5"/>
      <c r="N396" s="11"/>
      <c r="O396" s="7"/>
      <c r="P396" s="7"/>
      <c r="Q396" s="7"/>
      <c r="R396" s="11"/>
      <c r="S396" s="7"/>
      <c r="T396" s="5"/>
    </row>
    <row r="397" spans="1:20" s="29" customFormat="1" x14ac:dyDescent="0.25">
      <c r="A397" s="25" t="s">
        <v>272</v>
      </c>
      <c r="B397" s="25" t="s">
        <v>1545</v>
      </c>
      <c r="C397" s="26">
        <v>45924</v>
      </c>
      <c r="D397" s="25" t="s">
        <v>5</v>
      </c>
      <c r="E397" s="25">
        <v>201</v>
      </c>
      <c r="F397" s="27">
        <v>3950000</v>
      </c>
      <c r="G397" s="27">
        <f t="shared" si="37"/>
        <v>19651.741293532337</v>
      </c>
      <c r="H397" s="28" t="s">
        <v>408</v>
      </c>
      <c r="I397" s="28" t="s">
        <v>53</v>
      </c>
      <c r="J397" s="28" t="s">
        <v>84</v>
      </c>
      <c r="K397" s="25" t="s">
        <v>1311</v>
      </c>
      <c r="L397" s="59"/>
      <c r="M397" s="25"/>
      <c r="N397" s="28"/>
      <c r="O397" s="27"/>
      <c r="P397" s="27"/>
      <c r="Q397" s="27"/>
      <c r="R397" s="28"/>
      <c r="S397" s="27"/>
      <c r="T397" s="25"/>
    </row>
    <row r="398" spans="1:20" x14ac:dyDescent="0.25">
      <c r="A398" s="5" t="s">
        <v>71</v>
      </c>
      <c r="B398" s="5" t="s">
        <v>1550</v>
      </c>
      <c r="C398" s="14">
        <v>45946</v>
      </c>
      <c r="D398" s="5" t="s">
        <v>230</v>
      </c>
      <c r="E398" s="5">
        <v>290</v>
      </c>
      <c r="F398" s="7">
        <v>6770000</v>
      </c>
      <c r="G398" s="7">
        <f t="shared" si="37"/>
        <v>23344.827586206895</v>
      </c>
      <c r="H398" s="11" t="s">
        <v>1312</v>
      </c>
      <c r="I398" s="11" t="s">
        <v>25</v>
      </c>
      <c r="J398" s="11" t="s">
        <v>234</v>
      </c>
      <c r="K398" s="5" t="s">
        <v>240</v>
      </c>
      <c r="L398" s="6"/>
      <c r="M398" s="5"/>
      <c r="N398" s="11"/>
      <c r="O398" s="7"/>
      <c r="P398" s="7"/>
      <c r="Q398" s="7"/>
      <c r="R398" s="11"/>
      <c r="S398" s="7"/>
      <c r="T398" s="5"/>
    </row>
    <row r="399" spans="1:20" x14ac:dyDescent="0.25">
      <c r="A399" s="5" t="s">
        <v>272</v>
      </c>
      <c r="B399" s="5" t="s">
        <v>1549</v>
      </c>
      <c r="C399" s="14">
        <v>45946</v>
      </c>
      <c r="D399" s="5" t="s">
        <v>4</v>
      </c>
      <c r="E399" s="5">
        <v>394</v>
      </c>
      <c r="F399" s="7">
        <v>7600000</v>
      </c>
      <c r="G399" s="7">
        <f t="shared" si="37"/>
        <v>19289.340101522841</v>
      </c>
      <c r="H399" s="11" t="s">
        <v>1552</v>
      </c>
      <c r="I399" s="11" t="s">
        <v>1013</v>
      </c>
      <c r="J399" s="11" t="s">
        <v>1116</v>
      </c>
      <c r="K399" s="5" t="s">
        <v>480</v>
      </c>
      <c r="L399" s="6" t="s">
        <v>1560</v>
      </c>
      <c r="M399" s="5"/>
      <c r="N399" s="11"/>
      <c r="O399" s="7"/>
      <c r="P399" s="7"/>
      <c r="Q399" s="7"/>
      <c r="R399" s="11"/>
      <c r="S399" s="7"/>
      <c r="T399" s="5"/>
    </row>
    <row r="400" spans="1:20" x14ac:dyDescent="0.25">
      <c r="A400" s="5" t="s">
        <v>272</v>
      </c>
      <c r="B400" s="5" t="s">
        <v>1553</v>
      </c>
      <c r="C400" s="14">
        <v>45954</v>
      </c>
      <c r="D400" s="5" t="s">
        <v>1594</v>
      </c>
      <c r="E400" s="5">
        <v>205</v>
      </c>
      <c r="F400" s="7">
        <v>6798000</v>
      </c>
      <c r="G400" s="7">
        <f t="shared" si="37"/>
        <v>33160.975609756097</v>
      </c>
      <c r="H400" s="11" t="s">
        <v>1554</v>
      </c>
      <c r="I400" s="11" t="s">
        <v>53</v>
      </c>
      <c r="J400" s="11" t="s">
        <v>595</v>
      </c>
      <c r="K400" s="5" t="s">
        <v>422</v>
      </c>
      <c r="L400" s="6" t="s">
        <v>1595</v>
      </c>
      <c r="M400" s="5"/>
      <c r="N400" s="11"/>
      <c r="O400" s="7"/>
      <c r="P400" s="7"/>
      <c r="Q400" s="7"/>
      <c r="R400" s="11"/>
      <c r="S400" s="7"/>
      <c r="T400" s="5"/>
    </row>
    <row r="401" spans="1:20" x14ac:dyDescent="0.25">
      <c r="A401" s="5" t="s">
        <v>71</v>
      </c>
      <c r="B401" s="5" t="s">
        <v>903</v>
      </c>
      <c r="C401" s="14">
        <v>45958</v>
      </c>
      <c r="D401" s="5" t="s">
        <v>4</v>
      </c>
      <c r="E401" s="5">
        <v>397</v>
      </c>
      <c r="F401" s="7">
        <v>7168000</v>
      </c>
      <c r="G401" s="7">
        <f t="shared" si="37"/>
        <v>18055.415617128463</v>
      </c>
      <c r="H401" s="11" t="s">
        <v>919</v>
      </c>
      <c r="I401" s="11" t="s">
        <v>7</v>
      </c>
      <c r="J401" s="11" t="s">
        <v>234</v>
      </c>
      <c r="K401" s="5" t="s">
        <v>362</v>
      </c>
      <c r="L401" s="6" t="s">
        <v>1555</v>
      </c>
      <c r="M401" s="5"/>
      <c r="N401" s="11"/>
      <c r="O401" s="7"/>
      <c r="P401" s="7"/>
      <c r="Q401" s="7"/>
      <c r="R401" s="11"/>
      <c r="S401" s="7"/>
      <c r="T401" s="5"/>
    </row>
    <row r="402" spans="1:20" x14ac:dyDescent="0.25">
      <c r="A402" s="5" t="s">
        <v>71</v>
      </c>
      <c r="B402" s="5" t="s">
        <v>1055</v>
      </c>
      <c r="C402" s="14">
        <v>45975</v>
      </c>
      <c r="D402" s="5" t="s">
        <v>230</v>
      </c>
      <c r="E402" s="5">
        <v>274</v>
      </c>
      <c r="F402" s="7">
        <v>5267600</v>
      </c>
      <c r="G402" s="7">
        <f t="shared" ref="G402:G421" si="38">F402/E402</f>
        <v>19224.817518248175</v>
      </c>
      <c r="H402" s="11" t="s">
        <v>1065</v>
      </c>
      <c r="I402" s="11" t="s">
        <v>7</v>
      </c>
      <c r="J402" s="11" t="s">
        <v>33</v>
      </c>
      <c r="K402" s="5" t="s">
        <v>362</v>
      </c>
      <c r="L402" s="6" t="s">
        <v>1542</v>
      </c>
      <c r="M402" s="5"/>
      <c r="N402" s="11"/>
      <c r="O402" s="7"/>
      <c r="P402" s="7"/>
      <c r="Q402" s="7"/>
      <c r="R402" s="11"/>
      <c r="S402" s="7"/>
      <c r="T402" s="5"/>
    </row>
    <row r="403" spans="1:20" s="29" customFormat="1" x14ac:dyDescent="0.25">
      <c r="A403" s="25" t="s">
        <v>71</v>
      </c>
      <c r="B403" s="25" t="s">
        <v>1145</v>
      </c>
      <c r="C403" s="26">
        <v>45980</v>
      </c>
      <c r="D403" s="25" t="s">
        <v>1562</v>
      </c>
      <c r="E403" s="25">
        <v>104</v>
      </c>
      <c r="F403" s="27">
        <v>1948000</v>
      </c>
      <c r="G403" s="27">
        <f t="shared" si="38"/>
        <v>18730.76923076923</v>
      </c>
      <c r="H403" s="28" t="s">
        <v>1562</v>
      </c>
      <c r="I403" s="28" t="s">
        <v>170</v>
      </c>
      <c r="J403" s="28" t="s">
        <v>84</v>
      </c>
      <c r="K403" s="25" t="s">
        <v>1014</v>
      </c>
      <c r="L403" s="59"/>
      <c r="M403" s="25"/>
      <c r="N403" s="28"/>
      <c r="O403" s="27"/>
      <c r="P403" s="27"/>
      <c r="Q403" s="27"/>
      <c r="R403" s="28"/>
      <c r="S403" s="27"/>
      <c r="T403" s="25"/>
    </row>
    <row r="404" spans="1:20" s="29" customFormat="1" x14ac:dyDescent="0.25">
      <c r="A404" s="25" t="s">
        <v>71</v>
      </c>
      <c r="B404" s="25" t="s">
        <v>1342</v>
      </c>
      <c r="C404" s="26">
        <v>45995</v>
      </c>
      <c r="D404" s="25" t="s">
        <v>5</v>
      </c>
      <c r="E404" s="25">
        <v>147</v>
      </c>
      <c r="F404" s="27">
        <v>3042140</v>
      </c>
      <c r="G404" s="27">
        <f t="shared" si="38"/>
        <v>20694.829931972788</v>
      </c>
      <c r="H404" s="28" t="s">
        <v>945</v>
      </c>
      <c r="I404" s="28" t="s">
        <v>25</v>
      </c>
      <c r="J404" s="28" t="s">
        <v>234</v>
      </c>
      <c r="K404" s="25" t="s">
        <v>202</v>
      </c>
      <c r="L404" s="59" t="s">
        <v>1572</v>
      </c>
      <c r="M404" s="25"/>
      <c r="N404" s="28"/>
      <c r="O404" s="27"/>
      <c r="P404" s="27"/>
      <c r="Q404" s="27"/>
      <c r="R404" s="28"/>
      <c r="S404" s="27"/>
      <c r="T404" s="25"/>
    </row>
    <row r="405" spans="1:20" x14ac:dyDescent="0.25">
      <c r="A405" s="5" t="s">
        <v>272</v>
      </c>
      <c r="B405" s="5" t="s">
        <v>1564</v>
      </c>
      <c r="C405" s="14">
        <v>45996</v>
      </c>
      <c r="D405" s="5" t="s">
        <v>4</v>
      </c>
      <c r="E405" s="5">
        <v>316</v>
      </c>
      <c r="F405" s="7">
        <v>6800000</v>
      </c>
      <c r="G405" s="7">
        <f t="shared" si="38"/>
        <v>21518.98734177215</v>
      </c>
      <c r="H405" s="11" t="s">
        <v>1034</v>
      </c>
      <c r="I405" s="11" t="s">
        <v>1573</v>
      </c>
      <c r="J405" s="11" t="s">
        <v>496</v>
      </c>
      <c r="K405" s="5" t="s">
        <v>1574</v>
      </c>
      <c r="L405" s="6" t="s">
        <v>1584</v>
      </c>
      <c r="M405" s="5"/>
      <c r="N405" s="11"/>
      <c r="O405" s="7"/>
      <c r="P405" s="7"/>
      <c r="Q405" s="7"/>
      <c r="R405" s="11"/>
      <c r="S405" s="7"/>
      <c r="T405" s="5"/>
    </row>
    <row r="406" spans="1:20" x14ac:dyDescent="0.25">
      <c r="A406" s="5" t="s">
        <v>272</v>
      </c>
      <c r="B406" s="5" t="s">
        <v>1567</v>
      </c>
      <c r="C406" s="14">
        <v>46002</v>
      </c>
      <c r="D406" s="5" t="s">
        <v>5</v>
      </c>
      <c r="E406" s="5">
        <v>215</v>
      </c>
      <c r="F406" s="7">
        <v>4700000</v>
      </c>
      <c r="G406" s="7">
        <f t="shared" si="38"/>
        <v>21860.465116279069</v>
      </c>
      <c r="H406" s="11" t="s">
        <v>931</v>
      </c>
      <c r="I406" s="11" t="s">
        <v>25</v>
      </c>
      <c r="J406" s="11" t="s">
        <v>84</v>
      </c>
      <c r="K406" s="5" t="s">
        <v>362</v>
      </c>
      <c r="L406" s="6"/>
      <c r="M406" s="5"/>
      <c r="N406" s="11"/>
      <c r="O406" s="7"/>
      <c r="P406" s="7"/>
      <c r="Q406" s="7"/>
      <c r="R406" s="11"/>
      <c r="S406" s="7"/>
      <c r="T406" s="5"/>
    </row>
    <row r="407" spans="1:20" x14ac:dyDescent="0.25">
      <c r="A407" s="5" t="s">
        <v>71</v>
      </c>
      <c r="B407" s="5" t="s">
        <v>1577</v>
      </c>
      <c r="C407" s="14">
        <v>46007</v>
      </c>
      <c r="D407" s="5" t="s">
        <v>1576</v>
      </c>
      <c r="E407" s="5">
        <v>30</v>
      </c>
      <c r="F407" s="7">
        <v>818000</v>
      </c>
      <c r="G407" s="7">
        <f t="shared" si="38"/>
        <v>27266.666666666668</v>
      </c>
      <c r="H407" s="11" t="s">
        <v>1578</v>
      </c>
      <c r="I407" s="11" t="s">
        <v>1420</v>
      </c>
      <c r="J407" s="11" t="s">
        <v>1116</v>
      </c>
      <c r="K407" s="5" t="s">
        <v>1360</v>
      </c>
      <c r="L407" s="6"/>
      <c r="M407" s="5"/>
      <c r="N407" s="11"/>
      <c r="O407" s="7"/>
      <c r="P407" s="7"/>
      <c r="Q407" s="7"/>
      <c r="R407" s="11"/>
      <c r="S407" s="7"/>
      <c r="T407" s="5"/>
    </row>
    <row r="408" spans="1:20" x14ac:dyDescent="0.25">
      <c r="A408" s="5" t="s">
        <v>272</v>
      </c>
      <c r="B408" s="5" t="s">
        <v>1566</v>
      </c>
      <c r="C408" s="14">
        <v>46027</v>
      </c>
      <c r="D408" s="5" t="s">
        <v>230</v>
      </c>
      <c r="E408" s="5">
        <v>126</v>
      </c>
      <c r="F408" s="7">
        <v>2345000</v>
      </c>
      <c r="G408" s="7">
        <f t="shared" si="38"/>
        <v>18611.111111111109</v>
      </c>
      <c r="H408" s="11" t="s">
        <v>1579</v>
      </c>
      <c r="I408" s="11" t="s">
        <v>1580</v>
      </c>
      <c r="J408" s="11" t="s">
        <v>234</v>
      </c>
      <c r="K408" s="5" t="s">
        <v>385</v>
      </c>
      <c r="L408" s="6"/>
      <c r="M408" s="5"/>
      <c r="N408" s="11"/>
      <c r="O408" s="7"/>
      <c r="P408" s="7"/>
      <c r="Q408" s="7"/>
      <c r="R408" s="11"/>
      <c r="S408" s="7"/>
      <c r="T408" s="5"/>
    </row>
    <row r="409" spans="1:20" s="29" customFormat="1" x14ac:dyDescent="0.25">
      <c r="A409" s="25" t="s">
        <v>71</v>
      </c>
      <c r="B409" s="25" t="s">
        <v>1174</v>
      </c>
      <c r="C409" s="26">
        <v>46038</v>
      </c>
      <c r="D409" s="25" t="s">
        <v>4</v>
      </c>
      <c r="E409" s="25">
        <v>409</v>
      </c>
      <c r="F409" s="27">
        <v>7183400</v>
      </c>
      <c r="G409" s="27">
        <f t="shared" si="38"/>
        <v>17563.325183374083</v>
      </c>
      <c r="H409" s="28" t="s">
        <v>1201</v>
      </c>
      <c r="I409" s="28" t="s">
        <v>490</v>
      </c>
      <c r="J409" s="28" t="s">
        <v>8</v>
      </c>
      <c r="K409" s="25" t="s">
        <v>571</v>
      </c>
      <c r="L409" s="59"/>
      <c r="M409" s="25"/>
      <c r="N409" s="28"/>
      <c r="O409" s="27"/>
      <c r="P409" s="27"/>
      <c r="Q409" s="27"/>
      <c r="R409" s="28"/>
      <c r="S409" s="27"/>
      <c r="T409" s="25"/>
    </row>
    <row r="410" spans="1:20" x14ac:dyDescent="0.25">
      <c r="A410" s="5" t="s">
        <v>272</v>
      </c>
      <c r="B410" s="5" t="s">
        <v>1587</v>
      </c>
      <c r="C410" s="14">
        <v>46042</v>
      </c>
      <c r="D410" s="5" t="s">
        <v>444</v>
      </c>
      <c r="E410" s="5">
        <v>336</v>
      </c>
      <c r="F410" s="7">
        <v>5772100</v>
      </c>
      <c r="G410" s="7">
        <f t="shared" si="38"/>
        <v>17178.869047619046</v>
      </c>
      <c r="H410" s="11" t="s">
        <v>444</v>
      </c>
      <c r="I410" s="11" t="s">
        <v>530</v>
      </c>
      <c r="J410" s="11" t="s">
        <v>388</v>
      </c>
      <c r="K410" s="5" t="s">
        <v>1588</v>
      </c>
      <c r="L410" s="6"/>
      <c r="M410" s="5"/>
      <c r="N410" s="11"/>
      <c r="O410" s="7"/>
      <c r="P410" s="7"/>
      <c r="Q410" s="7"/>
      <c r="R410" s="11"/>
      <c r="S410" s="7"/>
      <c r="T410" s="5"/>
    </row>
    <row r="411" spans="1:20" s="29" customFormat="1" x14ac:dyDescent="0.25">
      <c r="A411" s="25" t="s">
        <v>71</v>
      </c>
      <c r="B411" s="25" t="s">
        <v>1444</v>
      </c>
      <c r="C411" s="26">
        <v>46042</v>
      </c>
      <c r="D411" s="25" t="s">
        <v>1327</v>
      </c>
      <c r="E411" s="25">
        <v>137</v>
      </c>
      <c r="F411" s="27">
        <v>2583277</v>
      </c>
      <c r="G411" s="27">
        <f>F411/E411</f>
        <v>18856.036496350363</v>
      </c>
      <c r="H411" s="28" t="s">
        <v>1469</v>
      </c>
      <c r="I411" s="28" t="s">
        <v>1387</v>
      </c>
      <c r="J411" s="28" t="s">
        <v>8</v>
      </c>
      <c r="K411" s="25" t="s">
        <v>202</v>
      </c>
      <c r="L411" s="59"/>
      <c r="M411" s="25"/>
      <c r="N411" s="28"/>
      <c r="O411" s="27"/>
      <c r="P411" s="27"/>
      <c r="Q411" s="27"/>
      <c r="R411" s="28"/>
      <c r="S411" s="27"/>
      <c r="T411" s="25"/>
    </row>
    <row r="412" spans="1:20" s="29" customFormat="1" x14ac:dyDescent="0.25">
      <c r="A412" s="25" t="s">
        <v>71</v>
      </c>
      <c r="B412" s="25" t="s">
        <v>1107</v>
      </c>
      <c r="C412" s="26">
        <v>46049</v>
      </c>
      <c r="D412" s="25" t="s">
        <v>4</v>
      </c>
      <c r="E412" s="25">
        <v>169</v>
      </c>
      <c r="F412" s="27">
        <v>3528000</v>
      </c>
      <c r="G412" s="27">
        <f t="shared" si="38"/>
        <v>20875.739644970414</v>
      </c>
      <c r="H412" s="28" t="s">
        <v>1012</v>
      </c>
      <c r="I412" s="28" t="s">
        <v>1013</v>
      </c>
      <c r="J412" s="28" t="s">
        <v>234</v>
      </c>
      <c r="K412" s="25" t="s">
        <v>1014</v>
      </c>
      <c r="L412" s="59" t="s">
        <v>1589</v>
      </c>
      <c r="M412" s="25"/>
      <c r="N412" s="28"/>
      <c r="O412" s="27"/>
      <c r="P412" s="27"/>
      <c r="Q412" s="27"/>
      <c r="R412" s="28"/>
      <c r="S412" s="27"/>
      <c r="T412" s="25"/>
    </row>
    <row r="413" spans="1:20" x14ac:dyDescent="0.25">
      <c r="A413" s="5" t="s">
        <v>71</v>
      </c>
      <c r="B413" s="5" t="s">
        <v>1160</v>
      </c>
      <c r="C413" s="14">
        <v>46059</v>
      </c>
      <c r="D413" s="5" t="s">
        <v>1312</v>
      </c>
      <c r="E413" s="5">
        <v>219</v>
      </c>
      <c r="F413" s="7">
        <v>4798000</v>
      </c>
      <c r="G413" s="7">
        <f t="shared" si="38"/>
        <v>21908.675799086759</v>
      </c>
      <c r="H413" s="11" t="s">
        <v>1312</v>
      </c>
      <c r="I413" s="11" t="s">
        <v>637</v>
      </c>
      <c r="J413" s="11" t="s">
        <v>199</v>
      </c>
      <c r="K413" s="5" t="s">
        <v>1165</v>
      </c>
      <c r="L413" s="6"/>
      <c r="M413" s="5"/>
      <c r="N413" s="11"/>
      <c r="O413" s="7"/>
      <c r="P413" s="7"/>
      <c r="Q413" s="7"/>
      <c r="R413" s="11"/>
      <c r="S413" s="7"/>
      <c r="T413" s="5"/>
    </row>
    <row r="414" spans="1:20" x14ac:dyDescent="0.25">
      <c r="A414" s="5" t="s">
        <v>71</v>
      </c>
      <c r="B414" s="5" t="s">
        <v>1437</v>
      </c>
      <c r="C414" s="14">
        <v>46076</v>
      </c>
      <c r="D414" s="5" t="s">
        <v>720</v>
      </c>
      <c r="E414" s="5">
        <v>109</v>
      </c>
      <c r="F414" s="7">
        <v>1988000</v>
      </c>
      <c r="G414" s="7">
        <f t="shared" si="38"/>
        <v>18238.532110091743</v>
      </c>
      <c r="H414" s="11" t="s">
        <v>1465</v>
      </c>
      <c r="I414" s="11" t="s">
        <v>1466</v>
      </c>
      <c r="J414" s="11" t="s">
        <v>547</v>
      </c>
      <c r="K414" s="5" t="s">
        <v>1014</v>
      </c>
      <c r="L414" s="6" t="s">
        <v>1607</v>
      </c>
      <c r="M414" s="5"/>
      <c r="N414" s="11"/>
      <c r="O414" s="7"/>
      <c r="P414" s="7"/>
      <c r="Q414" s="7"/>
      <c r="R414" s="11"/>
      <c r="S414" s="7"/>
      <c r="T414" s="5"/>
    </row>
    <row r="415" spans="1:20" x14ac:dyDescent="0.25">
      <c r="A415" s="5" t="s">
        <v>71</v>
      </c>
      <c r="B415" s="5" t="s">
        <v>1127</v>
      </c>
      <c r="C415" s="14">
        <v>46079</v>
      </c>
      <c r="D415" s="5" t="s">
        <v>414</v>
      </c>
      <c r="E415" s="5">
        <v>382</v>
      </c>
      <c r="F415" s="7">
        <v>7498000</v>
      </c>
      <c r="G415" s="7">
        <f t="shared" si="38"/>
        <v>19628.272251308899</v>
      </c>
      <c r="H415" s="11" t="s">
        <v>1104</v>
      </c>
      <c r="I415" s="11" t="s">
        <v>7</v>
      </c>
      <c r="J415" s="11" t="s">
        <v>8</v>
      </c>
      <c r="K415" s="5" t="s">
        <v>223</v>
      </c>
      <c r="L415" s="6" t="s">
        <v>1598</v>
      </c>
      <c r="M415" s="5"/>
      <c r="N415" s="11"/>
      <c r="O415" s="7"/>
      <c r="P415" s="7"/>
      <c r="Q415" s="7"/>
      <c r="R415" s="11"/>
      <c r="S415" s="7"/>
      <c r="T415" s="5"/>
    </row>
    <row r="416" spans="1:20" x14ac:dyDescent="0.25">
      <c r="A416" s="5" t="s">
        <v>71</v>
      </c>
      <c r="B416" s="5" t="s">
        <v>1382</v>
      </c>
      <c r="C416" s="14">
        <v>46087</v>
      </c>
      <c r="D416" s="5" t="s">
        <v>626</v>
      </c>
      <c r="E416" s="5">
        <v>294</v>
      </c>
      <c r="F416" s="7">
        <v>8120000</v>
      </c>
      <c r="G416" s="7">
        <f t="shared" si="38"/>
        <v>27619.047619047618</v>
      </c>
      <c r="H416" s="11" t="s">
        <v>626</v>
      </c>
      <c r="I416" s="11" t="s">
        <v>637</v>
      </c>
      <c r="J416" s="11" t="s">
        <v>84</v>
      </c>
      <c r="K416" s="5" t="s">
        <v>362</v>
      </c>
      <c r="L416" s="6"/>
      <c r="M416" s="5"/>
      <c r="N416" s="11"/>
      <c r="O416" s="7"/>
      <c r="P416" s="7"/>
      <c r="Q416" s="7"/>
      <c r="R416" s="11"/>
      <c r="S416" s="7"/>
      <c r="T416" s="5"/>
    </row>
    <row r="417" spans="1:20" x14ac:dyDescent="0.25">
      <c r="A417" s="5" t="s">
        <v>272</v>
      </c>
      <c r="B417" s="5" t="s">
        <v>1608</v>
      </c>
      <c r="C417" s="14">
        <v>46094</v>
      </c>
      <c r="D417" s="5" t="s">
        <v>527</v>
      </c>
      <c r="E417" s="5">
        <v>174</v>
      </c>
      <c r="F417" s="7">
        <v>3700000</v>
      </c>
      <c r="G417" s="7">
        <f t="shared" si="38"/>
        <v>21264.367816091955</v>
      </c>
      <c r="H417" s="11" t="s">
        <v>1610</v>
      </c>
      <c r="I417" s="11" t="s">
        <v>1387</v>
      </c>
      <c r="J417" s="11" t="s">
        <v>234</v>
      </c>
      <c r="K417" s="5" t="s">
        <v>873</v>
      </c>
      <c r="L417" s="6"/>
      <c r="M417" s="5"/>
      <c r="N417" s="11"/>
      <c r="O417" s="7"/>
      <c r="P417" s="7"/>
      <c r="Q417" s="7"/>
      <c r="R417" s="11"/>
      <c r="S417" s="7"/>
      <c r="T417" s="5"/>
    </row>
    <row r="418" spans="1:20" x14ac:dyDescent="0.25">
      <c r="A418" s="5" t="s">
        <v>71</v>
      </c>
      <c r="B418" s="5" t="s">
        <v>1515</v>
      </c>
      <c r="C418" s="14">
        <v>46094</v>
      </c>
      <c r="D418" s="5" t="s">
        <v>689</v>
      </c>
      <c r="E418" s="5">
        <v>258</v>
      </c>
      <c r="F418" s="7">
        <v>5438000</v>
      </c>
      <c r="G418" s="7">
        <f t="shared" si="38"/>
        <v>21077.519379844962</v>
      </c>
      <c r="H418" s="11" t="s">
        <v>1516</v>
      </c>
      <c r="I418" s="11" t="s">
        <v>1539</v>
      </c>
      <c r="J418" s="11" t="s">
        <v>1540</v>
      </c>
      <c r="K418" s="5" t="s">
        <v>1165</v>
      </c>
      <c r="L418" s="6" t="s">
        <v>1612</v>
      </c>
      <c r="M418" s="5"/>
      <c r="N418" s="11"/>
      <c r="O418" s="7"/>
      <c r="P418" s="7"/>
      <c r="Q418" s="7"/>
      <c r="R418" s="11"/>
      <c r="S418" s="7"/>
      <c r="T418" s="5"/>
    </row>
    <row r="419" spans="1:20" x14ac:dyDescent="0.25">
      <c r="A419" s="5" t="s">
        <v>71</v>
      </c>
      <c r="B419" s="5" t="s">
        <v>1616</v>
      </c>
      <c r="C419" s="14">
        <v>46101</v>
      </c>
      <c r="D419" s="5" t="s">
        <v>599</v>
      </c>
      <c r="E419" s="5">
        <v>130</v>
      </c>
      <c r="F419" s="7">
        <v>2488000</v>
      </c>
      <c r="G419" s="7">
        <f t="shared" si="38"/>
        <v>19138.461538461539</v>
      </c>
      <c r="H419" s="11" t="s">
        <v>600</v>
      </c>
      <c r="I419" s="11" t="s">
        <v>1617</v>
      </c>
      <c r="J419" s="11" t="s">
        <v>595</v>
      </c>
      <c r="K419" s="5" t="s">
        <v>644</v>
      </c>
      <c r="L419" s="6" t="s">
        <v>1618</v>
      </c>
      <c r="M419" s="5"/>
      <c r="N419" s="11"/>
      <c r="O419" s="7"/>
      <c r="P419" s="7"/>
      <c r="Q419" s="7"/>
      <c r="R419" s="11"/>
      <c r="S419" s="7"/>
      <c r="T419" s="5"/>
    </row>
    <row r="420" spans="1:20" x14ac:dyDescent="0.25">
      <c r="A420" s="5" t="s">
        <v>71</v>
      </c>
      <c r="B420" s="5" t="s">
        <v>1611</v>
      </c>
      <c r="C420" s="14">
        <v>46108</v>
      </c>
      <c r="D420" s="5" t="s">
        <v>230</v>
      </c>
      <c r="E420" s="5">
        <v>152</v>
      </c>
      <c r="F420" s="7">
        <v>2564000</v>
      </c>
      <c r="G420" s="7">
        <f t="shared" si="38"/>
        <v>16868.42105263158</v>
      </c>
      <c r="H420" s="11" t="s">
        <v>1620</v>
      </c>
      <c r="I420" s="11" t="s">
        <v>1621</v>
      </c>
      <c r="J420" s="11" t="s">
        <v>84</v>
      </c>
      <c r="K420" s="5" t="s">
        <v>1622</v>
      </c>
      <c r="L420" s="6"/>
      <c r="M420" s="5"/>
      <c r="N420" s="11"/>
      <c r="O420" s="7"/>
      <c r="P420" s="7"/>
      <c r="Q420" s="7"/>
      <c r="R420" s="11"/>
      <c r="S420" s="7"/>
      <c r="T420" s="5"/>
    </row>
    <row r="421" spans="1:20" x14ac:dyDescent="0.25">
      <c r="A421" s="5" t="s">
        <v>71</v>
      </c>
      <c r="B421" s="5" t="s">
        <v>1439</v>
      </c>
      <c r="C421" s="14">
        <v>46118</v>
      </c>
      <c r="D421" s="5" t="s">
        <v>3</v>
      </c>
      <c r="E421" s="5">
        <v>376</v>
      </c>
      <c r="F421" s="7">
        <v>8395000</v>
      </c>
      <c r="G421" s="7">
        <f t="shared" si="38"/>
        <v>22327.127659574468</v>
      </c>
      <c r="H421" s="11" t="s">
        <v>713</v>
      </c>
      <c r="I421" s="11" t="s">
        <v>7</v>
      </c>
      <c r="J421" s="11" t="s">
        <v>199</v>
      </c>
      <c r="K421" s="5" t="s">
        <v>362</v>
      </c>
      <c r="L421" s="6"/>
      <c r="M421" s="5"/>
      <c r="N421" s="11"/>
      <c r="O421" s="7"/>
      <c r="P421" s="7"/>
      <c r="Q421" s="7"/>
      <c r="R421" s="11"/>
      <c r="S421" s="7"/>
      <c r="T421" s="5"/>
    </row>
    <row r="422" spans="1:20" x14ac:dyDescent="0.25">
      <c r="A422" s="5" t="s">
        <v>71</v>
      </c>
      <c r="B422" s="5" t="s">
        <v>1382</v>
      </c>
      <c r="C422" s="14">
        <v>46120</v>
      </c>
      <c r="D422" s="5" t="s">
        <v>626</v>
      </c>
      <c r="E422" s="5">
        <v>294</v>
      </c>
      <c r="F422" s="7">
        <f>8120000-300000</f>
        <v>7820000</v>
      </c>
      <c r="G422" s="7">
        <f t="shared" ref="G422" si="39">F422/E422</f>
        <v>26598.639455782311</v>
      </c>
      <c r="H422" s="11" t="s">
        <v>626</v>
      </c>
      <c r="I422" s="11" t="s">
        <v>637</v>
      </c>
      <c r="J422" s="11" t="s">
        <v>84</v>
      </c>
      <c r="K422" s="5" t="s">
        <v>362</v>
      </c>
      <c r="L422" s="6"/>
      <c r="M422" s="5"/>
      <c r="N422" s="11"/>
      <c r="O422" s="7"/>
      <c r="P422" s="7"/>
      <c r="Q422" s="7"/>
      <c r="R422" s="11"/>
      <c r="S422" s="7"/>
      <c r="T422" s="5"/>
    </row>
    <row r="423" spans="1:20" x14ac:dyDescent="0.25">
      <c r="A423" s="5"/>
      <c r="B423" s="5"/>
      <c r="C423" s="14"/>
      <c r="D423" s="5"/>
      <c r="E423" s="5"/>
      <c r="F423" s="7"/>
      <c r="G423" s="7"/>
      <c r="H423" s="11"/>
      <c r="I423" s="11"/>
      <c r="J423" s="11"/>
      <c r="K423" s="5"/>
      <c r="L423" s="6"/>
      <c r="M423" s="5"/>
      <c r="N423" s="11"/>
      <c r="O423" s="7"/>
      <c r="P423" s="7"/>
      <c r="Q423" s="7"/>
      <c r="R423" s="11"/>
      <c r="S423" s="7"/>
      <c r="T423" s="5"/>
    </row>
    <row r="424" spans="1:20" x14ac:dyDescent="0.25">
      <c r="A424" s="5"/>
      <c r="B424" s="5"/>
      <c r="C424" s="14"/>
      <c r="D424" s="5"/>
      <c r="E424" s="5"/>
      <c r="F424" s="7"/>
      <c r="G424" s="7"/>
      <c r="H424" s="11"/>
      <c r="I424" s="11"/>
      <c r="J424" s="11"/>
      <c r="K424" s="5"/>
      <c r="L424" s="6"/>
      <c r="M424" s="5"/>
      <c r="N424" s="11"/>
      <c r="O424" s="7"/>
      <c r="P424" s="7"/>
      <c r="Q424" s="7"/>
      <c r="R424" s="11"/>
      <c r="S424" s="7"/>
      <c r="T424" s="5"/>
    </row>
    <row r="425" spans="1:20" x14ac:dyDescent="0.25">
      <c r="A425" s="5"/>
      <c r="B425" s="5"/>
      <c r="C425" s="14"/>
      <c r="D425" s="5"/>
      <c r="E425" s="5"/>
      <c r="F425" s="7"/>
      <c r="G425" s="7"/>
      <c r="H425" s="11"/>
      <c r="I425" s="11"/>
      <c r="J425" s="11"/>
      <c r="K425" s="5"/>
      <c r="L425" s="6"/>
      <c r="M425" s="5"/>
      <c r="N425" s="11"/>
      <c r="O425" s="7"/>
      <c r="P425" s="7"/>
      <c r="Q425" s="7"/>
      <c r="R425" s="11"/>
      <c r="S425" s="7"/>
      <c r="T425" s="5"/>
    </row>
    <row r="426" spans="1:20" x14ac:dyDescent="0.25">
      <c r="A426" s="5"/>
      <c r="B426" s="5"/>
      <c r="C426" s="14"/>
      <c r="D426" s="5"/>
      <c r="E426" s="5"/>
      <c r="F426" s="7"/>
      <c r="G426" s="7"/>
      <c r="H426" s="11"/>
      <c r="I426" s="11"/>
      <c r="J426" s="11"/>
      <c r="K426" s="5"/>
      <c r="L426" s="6"/>
      <c r="M426" s="5"/>
      <c r="N426" s="11"/>
      <c r="O426" s="7"/>
      <c r="P426" s="7"/>
      <c r="Q426" s="7"/>
      <c r="R426" s="11"/>
      <c r="S426" s="7"/>
      <c r="T426" s="5"/>
    </row>
    <row r="427" spans="1:20" x14ac:dyDescent="0.25">
      <c r="A427" s="5"/>
      <c r="B427" s="5"/>
      <c r="C427" s="14"/>
      <c r="D427" s="5"/>
      <c r="E427" s="5"/>
      <c r="F427" s="7"/>
      <c r="G427" s="7"/>
      <c r="H427" s="11"/>
      <c r="I427" s="11"/>
      <c r="J427" s="11"/>
      <c r="K427" s="5"/>
      <c r="L427" s="6"/>
      <c r="M427" s="5"/>
      <c r="N427" s="11"/>
      <c r="O427" s="7"/>
      <c r="P427" s="7"/>
      <c r="Q427" s="7"/>
      <c r="R427" s="11"/>
      <c r="S427" s="7"/>
      <c r="T427" s="5"/>
    </row>
    <row r="428" spans="1:20" x14ac:dyDescent="0.25">
      <c r="A428" s="5"/>
      <c r="B428" s="5"/>
      <c r="C428" s="14"/>
      <c r="D428" s="5"/>
      <c r="E428" s="5"/>
      <c r="F428" s="7"/>
      <c r="G428" s="7"/>
      <c r="H428" s="11"/>
      <c r="I428" s="11"/>
      <c r="J428" s="11"/>
      <c r="K428" s="5"/>
      <c r="L428" s="6"/>
      <c r="M428" s="5"/>
      <c r="N428" s="11"/>
      <c r="O428" s="7"/>
      <c r="P428" s="7"/>
      <c r="Q428" s="7"/>
      <c r="R428" s="11"/>
      <c r="S428" s="7"/>
      <c r="T428" s="5"/>
    </row>
    <row r="429" spans="1:20" x14ac:dyDescent="0.25">
      <c r="A429" s="5"/>
      <c r="B429" s="5"/>
      <c r="C429" s="14"/>
      <c r="D429" s="5"/>
      <c r="E429" s="5"/>
      <c r="F429" s="7"/>
      <c r="G429" s="7"/>
      <c r="H429" s="11"/>
      <c r="I429" s="11"/>
      <c r="J429" s="11"/>
      <c r="K429" s="5"/>
      <c r="L429" s="6"/>
      <c r="M429" s="5"/>
      <c r="N429" s="11"/>
      <c r="O429" s="7"/>
      <c r="P429" s="7"/>
      <c r="Q429" s="7"/>
      <c r="R429" s="11"/>
      <c r="S429" s="7"/>
      <c r="T429" s="5"/>
    </row>
    <row r="430" spans="1:20" x14ac:dyDescent="0.25">
      <c r="A430" s="5"/>
      <c r="B430" s="5"/>
      <c r="C430" s="14"/>
      <c r="D430" s="5"/>
      <c r="E430" s="5"/>
      <c r="F430" s="7"/>
      <c r="G430" s="7"/>
      <c r="H430" s="11"/>
      <c r="I430" s="11"/>
      <c r="J430" s="11"/>
      <c r="K430" s="5"/>
      <c r="L430" s="6"/>
      <c r="M430" s="5"/>
      <c r="N430" s="11"/>
      <c r="O430" s="7"/>
      <c r="P430" s="7"/>
      <c r="Q430" s="7"/>
      <c r="R430" s="11"/>
      <c r="S430" s="7"/>
      <c r="T430" s="5"/>
    </row>
    <row r="431" spans="1:20" x14ac:dyDescent="0.25">
      <c r="A431" s="5"/>
      <c r="B431" s="5"/>
      <c r="C431" s="14"/>
      <c r="D431" s="5"/>
      <c r="E431" s="5"/>
      <c r="F431" s="7"/>
      <c r="G431" s="7"/>
      <c r="H431" s="11"/>
      <c r="I431" s="11"/>
      <c r="J431" s="11"/>
      <c r="K431" s="5"/>
      <c r="L431" s="6"/>
      <c r="M431" s="5"/>
      <c r="N431" s="11"/>
      <c r="O431" s="7"/>
      <c r="P431" s="7"/>
      <c r="Q431" s="7"/>
      <c r="R431" s="11"/>
      <c r="S431" s="7"/>
      <c r="T431" s="5"/>
    </row>
    <row r="432" spans="1:20" x14ac:dyDescent="0.25">
      <c r="A432" s="5"/>
      <c r="B432" s="5"/>
      <c r="C432" s="14"/>
      <c r="D432" s="5"/>
      <c r="E432" s="5"/>
      <c r="F432" s="7"/>
      <c r="G432" s="7"/>
      <c r="H432" s="11"/>
      <c r="I432" s="11"/>
      <c r="J432" s="11"/>
      <c r="K432" s="5"/>
      <c r="L432" s="6"/>
      <c r="M432" s="5"/>
      <c r="N432" s="11"/>
      <c r="O432" s="7"/>
      <c r="P432" s="7"/>
      <c r="Q432" s="7"/>
      <c r="R432" s="11"/>
      <c r="S432" s="7"/>
      <c r="T432" s="5"/>
    </row>
    <row r="433" spans="1:20" x14ac:dyDescent="0.25">
      <c r="A433" s="5"/>
      <c r="B433" s="5"/>
      <c r="C433" s="14"/>
      <c r="D433" s="5"/>
      <c r="E433" s="5"/>
      <c r="F433" s="7"/>
      <c r="G433" s="7"/>
      <c r="H433" s="11"/>
      <c r="I433" s="11"/>
      <c r="J433" s="11"/>
      <c r="K433" s="5"/>
      <c r="L433" s="6"/>
      <c r="M433" s="5"/>
      <c r="N433" s="11"/>
      <c r="O433" s="7"/>
      <c r="P433" s="7"/>
      <c r="Q433" s="7"/>
      <c r="R433" s="11"/>
      <c r="S433" s="7"/>
      <c r="T433" s="5"/>
    </row>
    <row r="434" spans="1:20" x14ac:dyDescent="0.25">
      <c r="A434" s="5"/>
      <c r="B434" s="5"/>
      <c r="C434" s="14"/>
      <c r="D434" s="5"/>
      <c r="E434" s="5"/>
      <c r="F434" s="7"/>
      <c r="G434" s="7"/>
      <c r="H434" s="11"/>
      <c r="I434" s="11"/>
      <c r="J434" s="11"/>
      <c r="K434" s="5"/>
      <c r="L434" s="6"/>
      <c r="M434" s="5"/>
      <c r="N434" s="11"/>
      <c r="O434" s="7"/>
      <c r="P434" s="7"/>
      <c r="Q434" s="7"/>
      <c r="R434" s="11"/>
      <c r="S434" s="7"/>
      <c r="T434" s="5"/>
    </row>
    <row r="435" spans="1:20" x14ac:dyDescent="0.25">
      <c r="A435" s="5"/>
      <c r="B435" s="5"/>
      <c r="C435" s="14"/>
      <c r="D435" s="5"/>
      <c r="E435" s="5"/>
      <c r="F435" s="7"/>
      <c r="G435" s="7"/>
      <c r="H435" s="11"/>
      <c r="I435" s="11"/>
      <c r="J435" s="11"/>
      <c r="K435" s="5"/>
      <c r="L435" s="6"/>
      <c r="M435" s="5"/>
      <c r="N435" s="11"/>
      <c r="O435" s="7"/>
      <c r="P435" s="7"/>
      <c r="Q435" s="7"/>
      <c r="R435" s="11"/>
      <c r="S435" s="7"/>
      <c r="T435" s="5"/>
    </row>
    <row r="436" spans="1:20" x14ac:dyDescent="0.25">
      <c r="A436" s="5"/>
      <c r="B436" s="5"/>
      <c r="C436" s="14"/>
      <c r="D436" s="5"/>
      <c r="E436" s="5"/>
      <c r="F436" s="7"/>
      <c r="G436" s="7"/>
      <c r="H436" s="11"/>
      <c r="I436" s="11"/>
      <c r="J436" s="11"/>
      <c r="K436" s="5"/>
      <c r="L436" s="6"/>
      <c r="M436" s="5"/>
      <c r="N436" s="11"/>
      <c r="O436" s="7"/>
      <c r="P436" s="7"/>
      <c r="Q436" s="7"/>
      <c r="R436" s="11"/>
      <c r="S436" s="7"/>
      <c r="T436" s="5"/>
    </row>
    <row r="437" spans="1:20" x14ac:dyDescent="0.25">
      <c r="A437" s="5"/>
      <c r="B437" s="5"/>
      <c r="C437" s="14"/>
      <c r="D437" s="5"/>
      <c r="E437" s="5"/>
      <c r="F437" s="7"/>
      <c r="G437" s="7"/>
      <c r="H437" s="11"/>
      <c r="I437" s="11"/>
      <c r="J437" s="11"/>
      <c r="K437" s="5"/>
      <c r="L437" s="6"/>
      <c r="M437" s="5"/>
      <c r="N437" s="11"/>
      <c r="O437" s="7"/>
      <c r="P437" s="7"/>
      <c r="Q437" s="7"/>
      <c r="R437" s="11"/>
      <c r="S437" s="7"/>
      <c r="T437" s="5"/>
    </row>
    <row r="438" spans="1:20" x14ac:dyDescent="0.25">
      <c r="A438" s="5"/>
      <c r="B438" s="5"/>
      <c r="C438" s="14"/>
      <c r="D438" s="5"/>
      <c r="E438" s="5"/>
      <c r="F438" s="7"/>
      <c r="G438" s="7"/>
      <c r="H438" s="11"/>
      <c r="I438" s="11"/>
      <c r="J438" s="11"/>
      <c r="K438" s="5"/>
      <c r="L438" s="6"/>
      <c r="M438" s="5"/>
      <c r="N438" s="11"/>
      <c r="O438" s="7"/>
      <c r="P438" s="7"/>
      <c r="Q438" s="7"/>
      <c r="R438" s="11"/>
      <c r="S438" s="7"/>
      <c r="T438" s="5"/>
    </row>
    <row r="439" spans="1:20" x14ac:dyDescent="0.25">
      <c r="A439" s="5"/>
      <c r="B439" s="5"/>
      <c r="C439" s="14"/>
      <c r="D439" s="5"/>
      <c r="E439" s="5"/>
      <c r="F439" s="7"/>
      <c r="G439" s="7"/>
      <c r="H439" s="11"/>
      <c r="I439" s="11"/>
      <c r="J439" s="11"/>
      <c r="K439" s="5"/>
      <c r="L439" s="6"/>
      <c r="M439" s="5"/>
      <c r="N439" s="11"/>
      <c r="O439" s="7"/>
      <c r="P439" s="7"/>
      <c r="Q439" s="7"/>
      <c r="R439" s="11"/>
      <c r="S439" s="7"/>
      <c r="T439" s="5"/>
    </row>
    <row r="440" spans="1:20" x14ac:dyDescent="0.25">
      <c r="A440" s="5"/>
      <c r="B440" s="5"/>
      <c r="C440" s="14"/>
      <c r="D440" s="5"/>
      <c r="E440" s="5"/>
      <c r="F440" s="7"/>
      <c r="G440" s="7"/>
      <c r="H440" s="11"/>
      <c r="I440" s="11"/>
      <c r="J440" s="11"/>
      <c r="K440" s="5"/>
      <c r="L440" s="6"/>
      <c r="M440" s="5"/>
      <c r="N440" s="11"/>
      <c r="O440" s="7"/>
      <c r="P440" s="7"/>
      <c r="Q440" s="7"/>
      <c r="R440" s="11"/>
      <c r="S440" s="7"/>
      <c r="T440" s="5"/>
    </row>
    <row r="441" spans="1:20" x14ac:dyDescent="0.25">
      <c r="A441" s="5"/>
      <c r="B441" s="5"/>
      <c r="C441" s="14"/>
      <c r="D441" s="5"/>
      <c r="E441" s="5"/>
      <c r="F441" s="7"/>
      <c r="G441" s="7"/>
      <c r="H441" s="11"/>
      <c r="I441" s="11"/>
      <c r="J441" s="11"/>
      <c r="K441" s="5"/>
      <c r="L441" s="6"/>
      <c r="M441" s="5"/>
      <c r="N441" s="11"/>
      <c r="O441" s="7"/>
      <c r="P441" s="7"/>
      <c r="Q441" s="7"/>
      <c r="R441" s="11"/>
      <c r="S441" s="7"/>
      <c r="T441" s="5"/>
    </row>
    <row r="442" spans="1:20" x14ac:dyDescent="0.25">
      <c r="A442" s="5"/>
      <c r="B442" s="5"/>
      <c r="C442" s="14"/>
      <c r="D442" s="5"/>
      <c r="E442" s="5"/>
      <c r="F442" s="7"/>
      <c r="G442" s="7"/>
      <c r="H442" s="11"/>
      <c r="I442" s="11"/>
      <c r="J442" s="11"/>
      <c r="K442" s="5"/>
      <c r="L442" s="6"/>
      <c r="M442" s="5"/>
      <c r="N442" s="11"/>
      <c r="O442" s="7"/>
      <c r="P442" s="7"/>
      <c r="Q442" s="7"/>
      <c r="R442" s="11"/>
      <c r="S442" s="7"/>
      <c r="T442" s="5"/>
    </row>
    <row r="443" spans="1:20" x14ac:dyDescent="0.25">
      <c r="A443" s="5"/>
      <c r="B443" s="5"/>
      <c r="C443" s="14"/>
      <c r="D443" s="5"/>
      <c r="E443" s="5"/>
      <c r="F443" s="7"/>
      <c r="G443" s="7"/>
      <c r="H443" s="11"/>
      <c r="I443" s="11"/>
      <c r="J443" s="11"/>
      <c r="K443" s="5"/>
      <c r="L443" s="6"/>
      <c r="M443" s="5"/>
      <c r="N443" s="11"/>
      <c r="O443" s="7"/>
      <c r="P443" s="7"/>
      <c r="Q443" s="7"/>
      <c r="R443" s="11"/>
      <c r="S443" s="7"/>
      <c r="T443" s="5"/>
    </row>
    <row r="444" spans="1:20" x14ac:dyDescent="0.25">
      <c r="A444" s="5"/>
      <c r="B444" s="5"/>
      <c r="C444" s="14"/>
      <c r="D444" s="5"/>
      <c r="E444" s="5"/>
      <c r="F444" s="7"/>
      <c r="G444" s="7"/>
      <c r="H444" s="11"/>
      <c r="I444" s="11"/>
      <c r="J444" s="11"/>
      <c r="K444" s="5"/>
      <c r="L444" s="6"/>
      <c r="M444" s="5"/>
      <c r="N444" s="11"/>
      <c r="O444" s="7"/>
      <c r="P444" s="7"/>
      <c r="Q444" s="7"/>
      <c r="R444" s="11"/>
      <c r="S444" s="7"/>
      <c r="T444" s="5"/>
    </row>
    <row r="445" spans="1:20" x14ac:dyDescent="0.25">
      <c r="A445" s="5"/>
      <c r="B445" s="5"/>
      <c r="C445" s="14"/>
      <c r="D445" s="5"/>
      <c r="E445" s="5"/>
      <c r="F445" s="7"/>
      <c r="G445" s="7"/>
      <c r="H445" s="11"/>
      <c r="I445" s="11"/>
      <c r="J445" s="11"/>
      <c r="K445" s="5"/>
      <c r="L445" s="6"/>
      <c r="M445" s="5"/>
      <c r="N445" s="11"/>
      <c r="O445" s="7"/>
      <c r="P445" s="7"/>
      <c r="Q445" s="7"/>
      <c r="R445" s="11"/>
      <c r="S445" s="7"/>
      <c r="T445" s="5"/>
    </row>
    <row r="446" spans="1:20" x14ac:dyDescent="0.25">
      <c r="A446" s="5"/>
      <c r="B446" s="5"/>
      <c r="C446" s="14"/>
      <c r="D446" s="5"/>
      <c r="E446" s="5"/>
      <c r="F446" s="7"/>
      <c r="G446" s="7"/>
      <c r="H446" s="11"/>
      <c r="I446" s="11"/>
      <c r="J446" s="11"/>
      <c r="K446" s="5"/>
      <c r="L446" s="6"/>
      <c r="M446" s="5"/>
      <c r="N446" s="11"/>
      <c r="O446" s="7"/>
      <c r="P446" s="7"/>
      <c r="Q446" s="7"/>
      <c r="R446" s="11"/>
      <c r="S446" s="7"/>
      <c r="T446" s="5"/>
    </row>
    <row r="447" spans="1:20" x14ac:dyDescent="0.25">
      <c r="A447" s="5"/>
      <c r="B447" s="5"/>
      <c r="C447" s="14"/>
      <c r="D447" s="5"/>
      <c r="E447" s="5"/>
      <c r="F447" s="7"/>
      <c r="G447" s="7"/>
      <c r="H447" s="11"/>
      <c r="I447" s="11"/>
      <c r="J447" s="11"/>
      <c r="K447" s="5"/>
      <c r="L447" s="6"/>
      <c r="M447" s="5"/>
      <c r="N447" s="11"/>
      <c r="O447" s="7"/>
      <c r="P447" s="7"/>
      <c r="Q447" s="7"/>
      <c r="R447" s="11"/>
      <c r="S447" s="7"/>
      <c r="T447" s="5"/>
    </row>
    <row r="448" spans="1:20" x14ac:dyDescent="0.25">
      <c r="A448" s="5"/>
      <c r="B448" s="5"/>
      <c r="C448" s="14"/>
      <c r="D448" s="5"/>
      <c r="E448" s="5"/>
      <c r="F448" s="7"/>
      <c r="G448" s="7"/>
      <c r="H448" s="11"/>
      <c r="I448" s="11"/>
      <c r="J448" s="11"/>
      <c r="K448" s="5"/>
      <c r="L448" s="6"/>
      <c r="M448" s="5"/>
      <c r="N448" s="11"/>
      <c r="O448" s="7"/>
      <c r="P448" s="7"/>
      <c r="Q448" s="7"/>
      <c r="R448" s="11"/>
      <c r="S448" s="7"/>
      <c r="T448" s="5"/>
    </row>
    <row r="449" spans="1:20" x14ac:dyDescent="0.25">
      <c r="A449" s="5"/>
      <c r="B449" s="5"/>
      <c r="C449" s="14"/>
      <c r="D449" s="5"/>
      <c r="E449" s="5"/>
      <c r="F449" s="7"/>
      <c r="G449" s="7"/>
      <c r="H449" s="11"/>
      <c r="I449" s="11"/>
      <c r="J449" s="11"/>
      <c r="K449" s="5"/>
      <c r="L449" s="6"/>
      <c r="M449" s="5"/>
      <c r="N449" s="11"/>
      <c r="O449" s="7"/>
      <c r="P449" s="7"/>
      <c r="Q449" s="7"/>
      <c r="R449" s="11"/>
      <c r="S449" s="7"/>
      <c r="T449" s="5"/>
    </row>
    <row r="450" spans="1:20" x14ac:dyDescent="0.25">
      <c r="A450" s="5"/>
      <c r="B450" s="5"/>
      <c r="C450" s="14"/>
      <c r="D450" s="5"/>
      <c r="E450" s="5"/>
      <c r="F450" s="7"/>
      <c r="G450" s="7"/>
      <c r="H450" s="11"/>
      <c r="I450" s="11"/>
      <c r="J450" s="11"/>
      <c r="K450" s="5"/>
      <c r="L450" s="6"/>
      <c r="M450" s="5"/>
      <c r="N450" s="11"/>
      <c r="O450" s="7"/>
      <c r="P450" s="7"/>
      <c r="Q450" s="7"/>
      <c r="R450" s="11"/>
      <c r="S450" s="7"/>
      <c r="T450" s="5"/>
    </row>
    <row r="451" spans="1:20" x14ac:dyDescent="0.25">
      <c r="A451" s="5"/>
      <c r="B451" s="5"/>
      <c r="C451" s="14"/>
      <c r="D451" s="5"/>
      <c r="E451" s="5"/>
      <c r="F451" s="7"/>
      <c r="G451" s="7"/>
      <c r="H451" s="11"/>
      <c r="I451" s="11"/>
      <c r="J451" s="11"/>
      <c r="K451" s="5"/>
      <c r="L451" s="6"/>
      <c r="M451" s="5"/>
      <c r="N451" s="11"/>
      <c r="O451" s="7"/>
      <c r="P451" s="7"/>
      <c r="Q451" s="7"/>
      <c r="R451" s="11"/>
      <c r="S451" s="7"/>
      <c r="T451" s="5"/>
    </row>
    <row r="452" spans="1:20" x14ac:dyDescent="0.25">
      <c r="A452" s="5"/>
      <c r="B452" s="5"/>
      <c r="C452" s="14"/>
      <c r="D452" s="5"/>
      <c r="E452" s="5"/>
      <c r="F452" s="7"/>
      <c r="G452" s="7"/>
      <c r="H452" s="11"/>
      <c r="I452" s="11"/>
      <c r="J452" s="11"/>
      <c r="K452" s="5"/>
      <c r="L452" s="6"/>
      <c r="M452" s="5"/>
      <c r="N452" s="11"/>
      <c r="O452" s="7"/>
      <c r="P452" s="7"/>
      <c r="Q452" s="7"/>
      <c r="R452" s="11"/>
      <c r="S452" s="7"/>
      <c r="T452" s="5"/>
    </row>
    <row r="453" spans="1:20" x14ac:dyDescent="0.25">
      <c r="A453" s="5"/>
      <c r="B453" s="5"/>
      <c r="C453" s="14"/>
      <c r="D453" s="5"/>
      <c r="E453" s="5"/>
      <c r="F453" s="7"/>
      <c r="G453" s="7"/>
      <c r="H453" s="11"/>
      <c r="I453" s="11"/>
      <c r="J453" s="11"/>
      <c r="K453" s="5"/>
      <c r="L453" s="6"/>
      <c r="M453" s="5"/>
      <c r="N453" s="11"/>
      <c r="O453" s="7"/>
      <c r="P453" s="7"/>
      <c r="Q453" s="7"/>
      <c r="R453" s="11"/>
      <c r="S453" s="7"/>
      <c r="T453" s="5"/>
    </row>
    <row r="454" spans="1:20" x14ac:dyDescent="0.25">
      <c r="A454" s="5"/>
      <c r="B454" s="5"/>
      <c r="C454" s="14"/>
      <c r="D454" s="5"/>
      <c r="E454" s="5"/>
      <c r="F454" s="7"/>
      <c r="G454" s="7"/>
      <c r="H454" s="11"/>
      <c r="I454" s="11"/>
      <c r="J454" s="11"/>
      <c r="K454" s="5"/>
      <c r="L454" s="6"/>
      <c r="M454" s="5"/>
      <c r="N454" s="11"/>
      <c r="O454" s="7"/>
      <c r="P454" s="7"/>
      <c r="Q454" s="7"/>
      <c r="R454" s="11"/>
      <c r="S454" s="7"/>
      <c r="T454" s="5"/>
    </row>
    <row r="455" spans="1:20" x14ac:dyDescent="0.25">
      <c r="A455" s="5"/>
      <c r="B455" s="5"/>
      <c r="C455" s="14"/>
      <c r="D455" s="5"/>
      <c r="E455" s="5"/>
      <c r="F455" s="7"/>
      <c r="G455" s="7"/>
      <c r="H455" s="11"/>
      <c r="I455" s="11"/>
      <c r="J455" s="11"/>
      <c r="K455" s="5"/>
      <c r="L455" s="6"/>
      <c r="M455" s="5"/>
      <c r="N455" s="11"/>
      <c r="O455" s="7"/>
      <c r="P455" s="7"/>
      <c r="Q455" s="7"/>
      <c r="R455" s="11"/>
      <c r="S455" s="7"/>
      <c r="T455" s="5"/>
    </row>
    <row r="456" spans="1:20" x14ac:dyDescent="0.25">
      <c r="A456" s="5"/>
      <c r="B456" s="5"/>
      <c r="C456" s="14"/>
      <c r="D456" s="5"/>
      <c r="E456" s="5"/>
      <c r="F456" s="7"/>
      <c r="G456" s="7"/>
      <c r="H456" s="11"/>
      <c r="I456" s="11"/>
      <c r="J456" s="11"/>
      <c r="K456" s="5"/>
      <c r="L456" s="6"/>
      <c r="M456" s="5"/>
      <c r="N456" s="11"/>
      <c r="O456" s="7"/>
      <c r="P456" s="7"/>
      <c r="Q456" s="7"/>
      <c r="R456" s="11"/>
      <c r="S456" s="7"/>
      <c r="T456" s="5"/>
    </row>
    <row r="457" spans="1:20" x14ac:dyDescent="0.25">
      <c r="A457" s="5"/>
      <c r="B457" s="5"/>
      <c r="C457" s="14"/>
      <c r="D457" s="5"/>
      <c r="E457" s="5"/>
      <c r="F457" s="7"/>
      <c r="G457" s="7"/>
      <c r="H457" s="11"/>
      <c r="I457" s="11"/>
      <c r="J457" s="11"/>
      <c r="K457" s="5"/>
      <c r="L457" s="6"/>
      <c r="M457" s="5"/>
      <c r="N457" s="11"/>
      <c r="O457" s="7"/>
      <c r="P457" s="7"/>
      <c r="Q457" s="7"/>
      <c r="R457" s="11"/>
      <c r="S457" s="7"/>
      <c r="T457" s="5"/>
    </row>
    <row r="458" spans="1:20" x14ac:dyDescent="0.25">
      <c r="A458" s="5"/>
      <c r="B458" s="5"/>
      <c r="C458" s="14"/>
      <c r="D458" s="5"/>
      <c r="E458" s="5"/>
      <c r="F458" s="7"/>
      <c r="G458" s="7"/>
      <c r="H458" s="11"/>
      <c r="I458" s="11"/>
      <c r="J458" s="11"/>
      <c r="K458" s="5"/>
      <c r="L458" s="6"/>
      <c r="M458" s="5"/>
      <c r="N458" s="11"/>
      <c r="O458" s="7"/>
      <c r="P458" s="7"/>
      <c r="Q458" s="7"/>
      <c r="R458" s="11"/>
      <c r="S458" s="7"/>
      <c r="T458" s="5"/>
    </row>
    <row r="459" spans="1:20" x14ac:dyDescent="0.25">
      <c r="A459" s="5"/>
      <c r="B459" s="5"/>
      <c r="C459" s="14"/>
      <c r="D459" s="5"/>
      <c r="E459" s="5"/>
      <c r="F459" s="7"/>
      <c r="G459" s="7"/>
      <c r="H459" s="11"/>
      <c r="I459" s="11"/>
      <c r="J459" s="11"/>
      <c r="K459" s="5"/>
      <c r="L459" s="6"/>
      <c r="M459" s="5"/>
      <c r="N459" s="11"/>
      <c r="O459" s="7"/>
      <c r="P459" s="7"/>
      <c r="Q459" s="7"/>
      <c r="R459" s="11"/>
      <c r="S459" s="7"/>
      <c r="T459" s="5"/>
    </row>
    <row r="460" spans="1:20" x14ac:dyDescent="0.25">
      <c r="A460" s="5"/>
      <c r="B460" s="5"/>
      <c r="C460" s="14"/>
      <c r="D460" s="5"/>
      <c r="E460" s="5"/>
      <c r="F460" s="7"/>
      <c r="G460" s="7"/>
      <c r="H460" s="11"/>
      <c r="I460" s="11"/>
      <c r="J460" s="11"/>
      <c r="K460" s="5"/>
      <c r="L460" s="6"/>
      <c r="M460" s="5"/>
      <c r="N460" s="11"/>
      <c r="O460" s="7"/>
      <c r="P460" s="7"/>
      <c r="Q460" s="7"/>
      <c r="R460" s="11"/>
      <c r="S460" s="7"/>
      <c r="T460" s="5"/>
    </row>
    <row r="461" spans="1:20" x14ac:dyDescent="0.25">
      <c r="A461" s="5"/>
      <c r="B461" s="5"/>
      <c r="C461" s="14"/>
      <c r="D461" s="5"/>
      <c r="E461" s="5"/>
      <c r="F461" s="7"/>
      <c r="G461" s="7"/>
      <c r="H461" s="11"/>
      <c r="I461" s="11"/>
      <c r="J461" s="11"/>
      <c r="K461" s="5"/>
      <c r="L461" s="6"/>
      <c r="M461" s="5"/>
      <c r="N461" s="11"/>
      <c r="O461" s="7"/>
      <c r="P461" s="7"/>
      <c r="Q461" s="7"/>
      <c r="R461" s="11"/>
      <c r="S461" s="7"/>
      <c r="T461" s="5"/>
    </row>
    <row r="462" spans="1:20" x14ac:dyDescent="0.25">
      <c r="A462" s="5"/>
      <c r="B462" s="5"/>
      <c r="C462" s="14"/>
      <c r="D462" s="5"/>
      <c r="E462" s="5"/>
      <c r="F462" s="7"/>
      <c r="G462" s="7"/>
      <c r="H462" s="11"/>
      <c r="I462" s="11"/>
      <c r="J462" s="11"/>
      <c r="K462" s="5"/>
      <c r="L462" s="6"/>
      <c r="M462" s="5"/>
      <c r="N462" s="11"/>
      <c r="O462" s="7"/>
      <c r="P462" s="7"/>
      <c r="Q462" s="7"/>
      <c r="R462" s="11"/>
      <c r="S462" s="7"/>
      <c r="T462" s="5"/>
    </row>
    <row r="463" spans="1:20" x14ac:dyDescent="0.25">
      <c r="A463" s="5"/>
      <c r="B463" s="5"/>
      <c r="C463" s="14"/>
      <c r="D463" s="5"/>
      <c r="E463" s="5"/>
      <c r="F463" s="7"/>
      <c r="G463" s="7"/>
      <c r="H463" s="11"/>
      <c r="I463" s="11"/>
      <c r="J463" s="11"/>
      <c r="K463" s="5"/>
      <c r="L463" s="6"/>
      <c r="M463" s="5"/>
      <c r="N463" s="11"/>
      <c r="O463" s="7"/>
      <c r="P463" s="7"/>
      <c r="Q463" s="7"/>
      <c r="R463" s="11"/>
      <c r="S463" s="7"/>
      <c r="T463" s="5"/>
    </row>
    <row r="464" spans="1:20" x14ac:dyDescent="0.25">
      <c r="A464" s="5"/>
      <c r="B464" s="5"/>
      <c r="C464" s="14"/>
      <c r="D464" s="5"/>
      <c r="E464" s="5"/>
      <c r="F464" s="7"/>
      <c r="G464" s="7"/>
      <c r="H464" s="11"/>
      <c r="I464" s="11"/>
      <c r="J464" s="11"/>
      <c r="K464" s="5"/>
      <c r="L464" s="6"/>
      <c r="M464" s="5"/>
      <c r="N464" s="11"/>
      <c r="O464" s="7"/>
      <c r="P464" s="7"/>
      <c r="Q464" s="7"/>
      <c r="R464" s="11"/>
      <c r="S464" s="7"/>
      <c r="T464" s="5"/>
    </row>
    <row r="465" spans="1:20" x14ac:dyDescent="0.25">
      <c r="A465" s="5"/>
      <c r="B465" s="5"/>
      <c r="C465" s="14"/>
      <c r="D465" s="5"/>
      <c r="E465" s="5"/>
      <c r="F465" s="7"/>
      <c r="G465" s="7"/>
      <c r="H465" s="11"/>
      <c r="I465" s="11"/>
      <c r="J465" s="11"/>
      <c r="K465" s="5"/>
      <c r="L465" s="6"/>
      <c r="M465" s="5"/>
      <c r="N465" s="11"/>
      <c r="O465" s="7"/>
      <c r="P465" s="7"/>
      <c r="Q465" s="7"/>
      <c r="R465" s="11"/>
      <c r="S465" s="7"/>
      <c r="T465" s="5"/>
    </row>
    <row r="466" spans="1:20" x14ac:dyDescent="0.25">
      <c r="A466" s="5"/>
      <c r="B466" s="5"/>
      <c r="C466" s="14"/>
      <c r="D466" s="5"/>
      <c r="E466" s="5"/>
      <c r="F466" s="7"/>
      <c r="G466" s="7"/>
      <c r="H466" s="11"/>
      <c r="I466" s="11"/>
      <c r="J466" s="11"/>
      <c r="K466" s="5"/>
      <c r="L466" s="6"/>
      <c r="M466" s="5"/>
      <c r="N466" s="11"/>
      <c r="O466" s="7"/>
      <c r="P466" s="7"/>
      <c r="Q466" s="7"/>
      <c r="R466" s="11"/>
      <c r="S466" s="7"/>
      <c r="T466" s="5"/>
    </row>
    <row r="467" spans="1:20" x14ac:dyDescent="0.25">
      <c r="A467" s="5"/>
      <c r="B467" s="5"/>
      <c r="C467" s="14"/>
      <c r="D467" s="5"/>
      <c r="E467" s="5"/>
      <c r="F467" s="7"/>
      <c r="G467" s="7"/>
      <c r="H467" s="11"/>
      <c r="I467" s="11"/>
      <c r="J467" s="11"/>
      <c r="K467" s="5"/>
      <c r="L467" s="6"/>
      <c r="M467" s="5"/>
      <c r="N467" s="11"/>
      <c r="O467" s="7"/>
      <c r="P467" s="7"/>
      <c r="Q467" s="7"/>
      <c r="R467" s="11"/>
      <c r="S467" s="7"/>
      <c r="T467" s="5"/>
    </row>
    <row r="468" spans="1:20" x14ac:dyDescent="0.25">
      <c r="A468" s="5"/>
      <c r="B468" s="5"/>
      <c r="C468" s="14"/>
      <c r="D468" s="5"/>
      <c r="E468" s="5"/>
      <c r="F468" s="7"/>
      <c r="G468" s="7"/>
      <c r="H468" s="11"/>
      <c r="I468" s="11"/>
      <c r="J468" s="11"/>
      <c r="K468" s="5"/>
      <c r="L468" s="6"/>
      <c r="M468" s="5"/>
      <c r="N468" s="11"/>
      <c r="O468" s="7"/>
      <c r="P468" s="7"/>
      <c r="Q468" s="7"/>
      <c r="R468" s="11"/>
      <c r="S468" s="7"/>
      <c r="T468" s="5"/>
    </row>
    <row r="469" spans="1:20" x14ac:dyDescent="0.25">
      <c r="A469" s="5"/>
      <c r="B469" s="5"/>
      <c r="C469" s="14"/>
      <c r="D469" s="5"/>
      <c r="E469" s="5"/>
      <c r="F469" s="7"/>
      <c r="G469" s="7"/>
      <c r="H469" s="11"/>
      <c r="I469" s="11"/>
      <c r="J469" s="11"/>
      <c r="K469" s="5"/>
      <c r="L469" s="6"/>
      <c r="M469" s="5"/>
      <c r="N469" s="11"/>
      <c r="O469" s="7"/>
      <c r="P469" s="7"/>
      <c r="Q469" s="7"/>
      <c r="R469" s="11"/>
      <c r="S469" s="7"/>
      <c r="T469" s="5"/>
    </row>
    <row r="470" spans="1:20" x14ac:dyDescent="0.25">
      <c r="A470" s="5"/>
      <c r="B470" s="5"/>
      <c r="C470" s="14"/>
      <c r="D470" s="5"/>
      <c r="E470" s="5"/>
      <c r="F470" s="7"/>
      <c r="G470" s="7"/>
      <c r="H470" s="11"/>
      <c r="I470" s="11"/>
      <c r="J470" s="11"/>
      <c r="K470" s="5"/>
      <c r="L470" s="6"/>
      <c r="M470" s="5"/>
      <c r="N470" s="11"/>
      <c r="O470" s="7"/>
      <c r="P470" s="7"/>
      <c r="Q470" s="7"/>
      <c r="R470" s="11"/>
      <c r="S470" s="7"/>
      <c r="T470" s="5"/>
    </row>
    <row r="471" spans="1:20" x14ac:dyDescent="0.25">
      <c r="A471" s="5"/>
      <c r="B471" s="5"/>
      <c r="C471" s="14"/>
      <c r="D471" s="5"/>
      <c r="E471" s="5"/>
      <c r="F471" s="7"/>
      <c r="G471" s="7"/>
      <c r="H471" s="11"/>
      <c r="I471" s="11"/>
      <c r="J471" s="11"/>
      <c r="K471" s="5"/>
      <c r="L471" s="6"/>
      <c r="M471" s="5"/>
      <c r="N471" s="11"/>
      <c r="O471" s="7"/>
      <c r="P471" s="7"/>
      <c r="Q471" s="7"/>
      <c r="R471" s="11"/>
      <c r="S471" s="7"/>
      <c r="T471" s="5"/>
    </row>
    <row r="472" spans="1:20" x14ac:dyDescent="0.25">
      <c r="A472" s="5"/>
      <c r="B472" s="5"/>
      <c r="C472" s="14"/>
      <c r="D472" s="5"/>
      <c r="E472" s="5"/>
      <c r="F472" s="7"/>
      <c r="G472" s="7"/>
      <c r="H472" s="11"/>
      <c r="I472" s="11"/>
      <c r="J472" s="11"/>
      <c r="K472" s="5"/>
      <c r="L472" s="6"/>
      <c r="M472" s="5"/>
      <c r="N472" s="11"/>
      <c r="O472" s="7"/>
      <c r="P472" s="7"/>
      <c r="Q472" s="7"/>
      <c r="R472" s="11"/>
      <c r="S472" s="7"/>
      <c r="T472" s="5"/>
    </row>
    <row r="473" spans="1:20" x14ac:dyDescent="0.25">
      <c r="A473" s="5"/>
      <c r="B473" s="5"/>
      <c r="C473" s="14"/>
      <c r="D473" s="5"/>
      <c r="E473" s="5"/>
      <c r="F473" s="7"/>
      <c r="G473" s="7"/>
      <c r="H473" s="11"/>
      <c r="I473" s="11"/>
      <c r="J473" s="11"/>
      <c r="K473" s="5"/>
      <c r="L473" s="6"/>
      <c r="M473" s="5"/>
      <c r="N473" s="11"/>
      <c r="O473" s="7"/>
      <c r="P473" s="7"/>
      <c r="Q473" s="7"/>
      <c r="R473" s="11"/>
      <c r="S473" s="7"/>
      <c r="T473" s="5"/>
    </row>
    <row r="474" spans="1:20" x14ac:dyDescent="0.25">
      <c r="A474" s="5"/>
      <c r="B474" s="5"/>
      <c r="C474" s="14"/>
      <c r="D474" s="5"/>
      <c r="E474" s="5"/>
      <c r="F474" s="7"/>
      <c r="G474" s="7"/>
      <c r="H474" s="11"/>
      <c r="I474" s="11"/>
      <c r="J474" s="11"/>
      <c r="K474" s="5"/>
      <c r="L474" s="6"/>
      <c r="M474" s="5"/>
      <c r="N474" s="11"/>
      <c r="O474" s="7"/>
      <c r="P474" s="7"/>
      <c r="Q474" s="7"/>
      <c r="R474" s="11"/>
      <c r="S474" s="7"/>
      <c r="T474" s="5"/>
    </row>
    <row r="475" spans="1:20" x14ac:dyDescent="0.25">
      <c r="A475" s="5"/>
      <c r="B475" s="5"/>
      <c r="C475" s="14"/>
      <c r="D475" s="5"/>
      <c r="E475" s="5"/>
      <c r="F475" s="7"/>
      <c r="G475" s="7"/>
      <c r="H475" s="11"/>
      <c r="I475" s="11"/>
      <c r="J475" s="11"/>
      <c r="K475" s="5"/>
      <c r="L475" s="6"/>
      <c r="M475" s="5"/>
      <c r="N475" s="11"/>
      <c r="O475" s="7"/>
      <c r="P475" s="7"/>
      <c r="Q475" s="7"/>
      <c r="R475" s="11"/>
      <c r="S475" s="7"/>
      <c r="T475" s="5"/>
    </row>
    <row r="476" spans="1:20" x14ac:dyDescent="0.25">
      <c r="A476" s="5"/>
      <c r="B476" s="5"/>
      <c r="C476" s="14"/>
      <c r="D476" s="5"/>
      <c r="E476" s="5"/>
      <c r="F476" s="7"/>
      <c r="G476" s="7"/>
      <c r="H476" s="11"/>
      <c r="I476" s="11"/>
      <c r="J476" s="11"/>
      <c r="K476" s="5"/>
      <c r="L476" s="6"/>
      <c r="M476" s="5"/>
      <c r="N476" s="11"/>
      <c r="O476" s="7"/>
      <c r="P476" s="7"/>
      <c r="Q476" s="7"/>
      <c r="R476" s="11"/>
      <c r="S476" s="7"/>
      <c r="T476" s="5"/>
    </row>
    <row r="477" spans="1:20" x14ac:dyDescent="0.25">
      <c r="A477" s="5"/>
      <c r="B477" s="5"/>
      <c r="C477" s="14"/>
      <c r="D477" s="5"/>
      <c r="E477" s="5"/>
      <c r="F477" s="7"/>
      <c r="G477" s="7"/>
      <c r="H477" s="11"/>
      <c r="I477" s="11"/>
      <c r="J477" s="11"/>
      <c r="K477" s="5"/>
      <c r="L477" s="6"/>
      <c r="M477" s="5"/>
      <c r="N477" s="11"/>
      <c r="O477" s="7"/>
      <c r="P477" s="7"/>
      <c r="Q477" s="7"/>
      <c r="R477" s="11"/>
      <c r="S477" s="7"/>
      <c r="T477" s="5"/>
    </row>
    <row r="478" spans="1:20" x14ac:dyDescent="0.25">
      <c r="A478" s="5"/>
      <c r="B478" s="5"/>
      <c r="C478" s="14"/>
      <c r="D478" s="5"/>
      <c r="E478" s="5"/>
      <c r="F478" s="7"/>
      <c r="G478" s="7"/>
      <c r="H478" s="11"/>
      <c r="I478" s="11"/>
      <c r="J478" s="11"/>
      <c r="K478" s="5"/>
      <c r="L478" s="6"/>
      <c r="M478" s="5"/>
      <c r="N478" s="11"/>
      <c r="O478" s="7"/>
      <c r="P478" s="7"/>
      <c r="Q478" s="7"/>
      <c r="R478" s="11"/>
      <c r="S478" s="7"/>
      <c r="T478" s="5"/>
    </row>
    <row r="479" spans="1:20" x14ac:dyDescent="0.25">
      <c r="A479" s="5"/>
      <c r="B479" s="5"/>
      <c r="C479" s="14"/>
      <c r="D479" s="5"/>
      <c r="E479" s="5"/>
      <c r="F479" s="7"/>
      <c r="G479" s="7"/>
      <c r="H479" s="11"/>
      <c r="I479" s="11"/>
      <c r="J479" s="11"/>
      <c r="K479" s="5"/>
      <c r="L479" s="6"/>
      <c r="M479" s="5"/>
      <c r="N479" s="11"/>
      <c r="O479" s="7"/>
      <c r="P479" s="7"/>
      <c r="Q479" s="7"/>
      <c r="R479" s="11"/>
      <c r="S479" s="7"/>
      <c r="T479" s="5"/>
    </row>
    <row r="480" spans="1:20" x14ac:dyDescent="0.25">
      <c r="A480" s="5"/>
      <c r="B480" s="5"/>
      <c r="C480" s="14"/>
      <c r="D480" s="5"/>
      <c r="E480" s="5"/>
      <c r="F480" s="7"/>
      <c r="G480" s="7"/>
      <c r="H480" s="11"/>
      <c r="I480" s="11"/>
      <c r="J480" s="11"/>
      <c r="K480" s="5"/>
      <c r="L480" s="6"/>
      <c r="M480" s="5"/>
      <c r="N480" s="11"/>
      <c r="O480" s="7"/>
      <c r="P480" s="7"/>
      <c r="Q480" s="7"/>
      <c r="R480" s="11"/>
      <c r="S480" s="7"/>
      <c r="T480" s="5"/>
    </row>
    <row r="481" spans="1:20" x14ac:dyDescent="0.25">
      <c r="A481" s="5"/>
      <c r="B481" s="5"/>
      <c r="C481" s="14"/>
      <c r="D481" s="5"/>
      <c r="E481" s="5"/>
      <c r="F481" s="7"/>
      <c r="G481" s="7"/>
      <c r="H481" s="11"/>
      <c r="I481" s="11"/>
      <c r="J481" s="11"/>
      <c r="K481" s="5"/>
      <c r="L481" s="6"/>
      <c r="M481" s="5"/>
      <c r="N481" s="11"/>
      <c r="O481" s="7"/>
      <c r="P481" s="7"/>
      <c r="Q481" s="7"/>
      <c r="R481" s="11"/>
      <c r="S481" s="7"/>
      <c r="T481" s="5"/>
    </row>
    <row r="482" spans="1:20" x14ac:dyDescent="0.25">
      <c r="A482" s="5"/>
      <c r="B482" s="5"/>
      <c r="C482" s="14"/>
      <c r="D482" s="5"/>
      <c r="E482" s="5"/>
      <c r="F482" s="7"/>
      <c r="G482" s="7"/>
      <c r="H482" s="11"/>
      <c r="I482" s="11"/>
      <c r="J482" s="11"/>
      <c r="K482" s="5"/>
      <c r="L482" s="6"/>
      <c r="M482" s="5"/>
      <c r="N482" s="11"/>
      <c r="O482" s="7"/>
      <c r="P482" s="7"/>
      <c r="Q482" s="7"/>
      <c r="R482" s="11"/>
      <c r="S482" s="7"/>
      <c r="T482" s="5"/>
    </row>
    <row r="483" spans="1:20" x14ac:dyDescent="0.25">
      <c r="A483" s="5"/>
      <c r="B483" s="5"/>
      <c r="C483" s="14"/>
      <c r="D483" s="5"/>
      <c r="E483" s="5"/>
      <c r="F483" s="7"/>
      <c r="G483" s="7"/>
      <c r="H483" s="11"/>
      <c r="I483" s="11"/>
      <c r="J483" s="11"/>
      <c r="K483" s="5"/>
      <c r="L483" s="6"/>
      <c r="M483" s="5"/>
      <c r="N483" s="11"/>
      <c r="O483" s="7"/>
      <c r="P483" s="7"/>
      <c r="Q483" s="7"/>
      <c r="R483" s="11"/>
      <c r="S483" s="7"/>
      <c r="T483" s="5"/>
    </row>
    <row r="484" spans="1:20" x14ac:dyDescent="0.25">
      <c r="A484" s="5"/>
      <c r="B484" s="5"/>
      <c r="C484" s="14"/>
      <c r="D484" s="5"/>
      <c r="E484" s="5"/>
      <c r="F484" s="7"/>
      <c r="G484" s="7"/>
      <c r="H484" s="11"/>
      <c r="I484" s="11"/>
      <c r="J484" s="11"/>
      <c r="K484" s="5"/>
      <c r="L484" s="6"/>
      <c r="M484" s="5"/>
      <c r="N484" s="11"/>
      <c r="O484" s="7"/>
      <c r="P484" s="7"/>
      <c r="Q484" s="7"/>
      <c r="R484" s="11"/>
      <c r="S484" s="7"/>
      <c r="T484" s="5"/>
    </row>
    <row r="485" spans="1:20" x14ac:dyDescent="0.25">
      <c r="A485" s="5"/>
      <c r="B485" s="5"/>
      <c r="C485" s="14"/>
      <c r="D485" s="5"/>
      <c r="E485" s="5"/>
      <c r="F485" s="7"/>
      <c r="G485" s="7"/>
      <c r="H485" s="11"/>
      <c r="I485" s="11"/>
      <c r="J485" s="11"/>
      <c r="K485" s="5"/>
      <c r="L485" s="6"/>
      <c r="M485" s="5"/>
      <c r="N485" s="11"/>
      <c r="O485" s="7"/>
      <c r="P485" s="7"/>
      <c r="Q485" s="7"/>
      <c r="R485" s="11"/>
      <c r="S485" s="7"/>
      <c r="T485" s="5"/>
    </row>
    <row r="486" spans="1:20" x14ac:dyDescent="0.25">
      <c r="A486" s="5"/>
      <c r="B486" s="5"/>
      <c r="C486" s="14"/>
      <c r="D486" s="5"/>
      <c r="E486" s="5"/>
      <c r="F486" s="7"/>
      <c r="G486" s="7"/>
      <c r="H486" s="11"/>
      <c r="I486" s="11"/>
      <c r="J486" s="11"/>
      <c r="K486" s="5"/>
      <c r="L486" s="6"/>
      <c r="M486" s="5"/>
      <c r="N486" s="11"/>
      <c r="O486" s="7"/>
      <c r="P486" s="7"/>
      <c r="Q486" s="7"/>
      <c r="R486" s="11"/>
      <c r="S486" s="7"/>
      <c r="T486" s="5"/>
    </row>
    <row r="487" spans="1:20" x14ac:dyDescent="0.25">
      <c r="A487" s="5"/>
      <c r="B487" s="5"/>
      <c r="C487" s="14"/>
      <c r="D487" s="5"/>
      <c r="E487" s="5"/>
      <c r="F487" s="7"/>
      <c r="G487" s="7"/>
      <c r="H487" s="11"/>
      <c r="I487" s="11"/>
      <c r="J487" s="11"/>
      <c r="K487" s="5"/>
      <c r="L487" s="6"/>
      <c r="M487" s="5"/>
      <c r="N487" s="11"/>
      <c r="O487" s="7"/>
      <c r="P487" s="7"/>
      <c r="Q487" s="7"/>
      <c r="R487" s="11"/>
      <c r="S487" s="7"/>
      <c r="T487" s="5"/>
    </row>
    <row r="488" spans="1:20" x14ac:dyDescent="0.25">
      <c r="A488" s="5"/>
      <c r="B488" s="5"/>
      <c r="C488" s="14"/>
      <c r="D488" s="5"/>
      <c r="E488" s="5"/>
      <c r="F488" s="7"/>
      <c r="G488" s="7"/>
      <c r="H488" s="11"/>
      <c r="I488" s="11"/>
      <c r="J488" s="11"/>
      <c r="K488" s="5"/>
      <c r="L488" s="6"/>
      <c r="M488" s="5"/>
      <c r="N488" s="11"/>
      <c r="O488" s="7"/>
      <c r="P488" s="7"/>
      <c r="Q488" s="7"/>
      <c r="R488" s="11"/>
      <c r="S488" s="7"/>
      <c r="T488" s="5"/>
    </row>
    <row r="489" spans="1:20" x14ac:dyDescent="0.25">
      <c r="A489" s="5"/>
      <c r="B489" s="5"/>
      <c r="C489" s="14"/>
      <c r="D489" s="5"/>
      <c r="E489" s="5"/>
      <c r="F489" s="7"/>
      <c r="G489" s="7"/>
      <c r="H489" s="11"/>
      <c r="I489" s="11"/>
      <c r="J489" s="11"/>
      <c r="K489" s="5"/>
      <c r="L489" s="6"/>
      <c r="M489" s="5"/>
      <c r="N489" s="11"/>
      <c r="O489" s="7"/>
      <c r="P489" s="7"/>
      <c r="Q489" s="7"/>
      <c r="R489" s="11"/>
      <c r="S489" s="7"/>
      <c r="T489" s="5"/>
    </row>
    <row r="490" spans="1:20" x14ac:dyDescent="0.25">
      <c r="A490" s="5"/>
      <c r="B490" s="5"/>
      <c r="C490" s="14"/>
      <c r="D490" s="5"/>
      <c r="E490" s="5"/>
      <c r="F490" s="7"/>
      <c r="G490" s="7"/>
      <c r="H490" s="11"/>
      <c r="I490" s="11"/>
      <c r="J490" s="11"/>
      <c r="K490" s="5"/>
      <c r="L490" s="6"/>
      <c r="M490" s="5"/>
      <c r="N490" s="11"/>
      <c r="O490" s="7"/>
      <c r="P490" s="7"/>
      <c r="Q490" s="7"/>
      <c r="R490" s="11"/>
      <c r="S490" s="7"/>
      <c r="T490" s="5"/>
    </row>
    <row r="491" spans="1:20" x14ac:dyDescent="0.25">
      <c r="A491" s="5"/>
      <c r="B491" s="5"/>
      <c r="C491" s="14"/>
      <c r="D491" s="5"/>
      <c r="E491" s="5"/>
      <c r="F491" s="7"/>
      <c r="G491" s="7"/>
      <c r="H491" s="11"/>
      <c r="I491" s="11"/>
      <c r="J491" s="11"/>
      <c r="K491" s="5"/>
      <c r="L491" s="6"/>
      <c r="M491" s="5"/>
      <c r="N491" s="11"/>
      <c r="O491" s="7"/>
      <c r="P491" s="7"/>
      <c r="Q491" s="7"/>
      <c r="R491" s="11"/>
      <c r="S491" s="7"/>
      <c r="T491" s="5"/>
    </row>
    <row r="492" spans="1:20" x14ac:dyDescent="0.25">
      <c r="A492" s="5"/>
      <c r="B492" s="5"/>
      <c r="C492" s="14"/>
      <c r="D492" s="5"/>
      <c r="E492" s="5"/>
      <c r="F492" s="7"/>
      <c r="G492" s="7"/>
      <c r="H492" s="11"/>
      <c r="I492" s="11"/>
      <c r="J492" s="11"/>
      <c r="K492" s="5"/>
      <c r="L492" s="6"/>
      <c r="M492" s="5"/>
      <c r="N492" s="11"/>
      <c r="O492" s="7"/>
      <c r="P492" s="7"/>
      <c r="Q492" s="7"/>
      <c r="R492" s="11"/>
      <c r="S492" s="7"/>
      <c r="T492" s="5"/>
    </row>
    <row r="493" spans="1:20" x14ac:dyDescent="0.25">
      <c r="A493" s="5"/>
      <c r="B493" s="5"/>
      <c r="C493" s="14"/>
      <c r="D493" s="5"/>
      <c r="E493" s="5"/>
      <c r="F493" s="7"/>
      <c r="G493" s="7"/>
      <c r="H493" s="11"/>
      <c r="I493" s="11"/>
      <c r="J493" s="11"/>
      <c r="K493" s="5"/>
      <c r="L493" s="6"/>
      <c r="M493" s="5"/>
      <c r="N493" s="11"/>
      <c r="O493" s="7"/>
      <c r="P493" s="7"/>
      <c r="Q493" s="7"/>
      <c r="R493" s="11"/>
      <c r="S493" s="7"/>
      <c r="T493" s="5"/>
    </row>
    <row r="494" spans="1:20" x14ac:dyDescent="0.25">
      <c r="A494" s="5"/>
      <c r="B494" s="5"/>
      <c r="C494" s="14"/>
      <c r="D494" s="5"/>
      <c r="E494" s="5"/>
      <c r="F494" s="7"/>
      <c r="G494" s="7"/>
      <c r="H494" s="11"/>
      <c r="I494" s="11"/>
      <c r="J494" s="11"/>
      <c r="K494" s="5"/>
      <c r="L494" s="6"/>
      <c r="M494" s="5"/>
      <c r="N494" s="11"/>
      <c r="O494" s="7"/>
      <c r="P494" s="7"/>
      <c r="Q494" s="7"/>
      <c r="R494" s="11"/>
      <c r="S494" s="7"/>
      <c r="T494" s="5"/>
    </row>
    <row r="495" spans="1:20" x14ac:dyDescent="0.25">
      <c r="A495" s="5"/>
      <c r="B495" s="5"/>
      <c r="C495" s="14"/>
      <c r="D495" s="5"/>
      <c r="E495" s="5"/>
      <c r="F495" s="7"/>
      <c r="G495" s="7"/>
      <c r="H495" s="11"/>
      <c r="I495" s="11"/>
      <c r="J495" s="11"/>
      <c r="K495" s="5"/>
      <c r="L495" s="6"/>
      <c r="M495" s="5"/>
      <c r="N495" s="11"/>
      <c r="O495" s="7"/>
      <c r="P495" s="7"/>
      <c r="Q495" s="7"/>
      <c r="R495" s="11"/>
      <c r="S495" s="7"/>
      <c r="T495" s="5"/>
    </row>
    <row r="496" spans="1:20" x14ac:dyDescent="0.25">
      <c r="A496" s="5"/>
      <c r="B496" s="5"/>
      <c r="C496" s="14"/>
      <c r="D496" s="5"/>
      <c r="E496" s="5"/>
      <c r="F496" s="7"/>
      <c r="G496" s="7"/>
      <c r="H496" s="11"/>
      <c r="I496" s="11"/>
      <c r="J496" s="11"/>
      <c r="K496" s="5"/>
      <c r="L496" s="6"/>
      <c r="M496" s="5"/>
      <c r="N496" s="11"/>
      <c r="O496" s="7"/>
      <c r="P496" s="7"/>
      <c r="Q496" s="7"/>
      <c r="R496" s="11"/>
      <c r="S496" s="7"/>
      <c r="T496" s="5"/>
    </row>
    <row r="497" spans="1:20" x14ac:dyDescent="0.25">
      <c r="A497" s="5"/>
      <c r="B497" s="5"/>
      <c r="C497" s="14"/>
      <c r="D497" s="5"/>
      <c r="E497" s="5"/>
      <c r="F497" s="7"/>
      <c r="G497" s="7"/>
      <c r="H497" s="11"/>
      <c r="I497" s="11"/>
      <c r="J497" s="11"/>
      <c r="K497" s="5"/>
      <c r="L497" s="6"/>
      <c r="M497" s="5"/>
      <c r="N497" s="11"/>
      <c r="O497" s="7"/>
      <c r="P497" s="7"/>
      <c r="Q497" s="7"/>
      <c r="R497" s="11"/>
      <c r="S497" s="7"/>
      <c r="T497" s="5"/>
    </row>
    <row r="498" spans="1:20" x14ac:dyDescent="0.25">
      <c r="A498" s="5"/>
      <c r="B498" s="5"/>
      <c r="C498" s="14"/>
      <c r="D498" s="5"/>
      <c r="E498" s="5"/>
      <c r="F498" s="7"/>
      <c r="G498" s="7"/>
      <c r="H498" s="11"/>
      <c r="I498" s="11"/>
      <c r="J498" s="11"/>
      <c r="K498" s="5"/>
      <c r="L498" s="6"/>
      <c r="M498" s="5"/>
      <c r="N498" s="11"/>
      <c r="O498" s="7"/>
      <c r="P498" s="7"/>
      <c r="Q498" s="7"/>
      <c r="R498" s="11"/>
      <c r="S498" s="7"/>
      <c r="T498" s="5"/>
    </row>
    <row r="499" spans="1:20" x14ac:dyDescent="0.25">
      <c r="A499" s="5"/>
      <c r="B499" s="5"/>
      <c r="C499" s="14"/>
      <c r="D499" s="5"/>
      <c r="E499" s="5"/>
      <c r="F499" s="7"/>
      <c r="G499" s="7"/>
      <c r="H499" s="11"/>
      <c r="I499" s="11"/>
      <c r="J499" s="11"/>
      <c r="K499" s="5"/>
      <c r="L499" s="6"/>
      <c r="M499" s="5"/>
      <c r="N499" s="11"/>
      <c r="O499" s="7"/>
      <c r="P499" s="7"/>
      <c r="Q499" s="7"/>
      <c r="R499" s="11"/>
      <c r="S499" s="7"/>
      <c r="T499" s="5"/>
    </row>
    <row r="500" spans="1:20" x14ac:dyDescent="0.25">
      <c r="A500" s="5"/>
      <c r="B500" s="5"/>
      <c r="C500" s="14"/>
      <c r="D500" s="5"/>
      <c r="E500" s="5"/>
      <c r="F500" s="7"/>
      <c r="G500" s="7"/>
      <c r="H500" s="11"/>
      <c r="I500" s="11"/>
      <c r="J500" s="11"/>
      <c r="K500" s="5"/>
      <c r="L500" s="6"/>
      <c r="M500" s="5"/>
      <c r="N500" s="11"/>
      <c r="O500" s="7"/>
      <c r="P500" s="7"/>
      <c r="Q500" s="7"/>
      <c r="R500" s="11"/>
      <c r="S500" s="7"/>
      <c r="T500" s="5"/>
    </row>
    <row r="501" spans="1:20" x14ac:dyDescent="0.25">
      <c r="A501" s="5"/>
      <c r="B501" s="5"/>
      <c r="C501" s="14"/>
      <c r="D501" s="5"/>
      <c r="E501" s="5"/>
      <c r="F501" s="7"/>
      <c r="G501" s="7"/>
      <c r="H501" s="11"/>
      <c r="I501" s="11"/>
      <c r="J501" s="11"/>
      <c r="K501" s="5"/>
      <c r="L501" s="6"/>
      <c r="M501" s="5"/>
      <c r="N501" s="11"/>
      <c r="O501" s="7"/>
      <c r="P501" s="7"/>
      <c r="Q501" s="7"/>
      <c r="R501" s="11"/>
      <c r="S501" s="7"/>
      <c r="T501" s="5"/>
    </row>
    <row r="502" spans="1:20" x14ac:dyDescent="0.25">
      <c r="A502" s="5"/>
      <c r="B502" s="5"/>
      <c r="C502" s="14"/>
      <c r="D502" s="5"/>
      <c r="E502" s="5"/>
      <c r="F502" s="7"/>
      <c r="G502" s="7"/>
      <c r="H502" s="11"/>
      <c r="I502" s="11"/>
      <c r="J502" s="11"/>
      <c r="K502" s="5"/>
      <c r="L502" s="6"/>
      <c r="M502" s="5"/>
      <c r="N502" s="11"/>
      <c r="O502" s="7"/>
      <c r="P502" s="7"/>
      <c r="Q502" s="7"/>
      <c r="R502" s="11"/>
      <c r="S502" s="7"/>
      <c r="T502" s="5"/>
    </row>
    <row r="503" spans="1:20" x14ac:dyDescent="0.25">
      <c r="A503" s="5"/>
      <c r="B503" s="5"/>
      <c r="C503" s="14"/>
      <c r="D503" s="5"/>
      <c r="E503" s="5"/>
      <c r="F503" s="7"/>
      <c r="G503" s="7"/>
      <c r="H503" s="11"/>
      <c r="I503" s="11"/>
      <c r="J503" s="11"/>
      <c r="K503" s="5"/>
      <c r="L503" s="6"/>
      <c r="M503" s="5"/>
      <c r="N503" s="11"/>
      <c r="O503" s="7"/>
      <c r="P503" s="7"/>
      <c r="Q503" s="7"/>
      <c r="R503" s="11"/>
      <c r="S503" s="7"/>
      <c r="T503" s="5"/>
    </row>
    <row r="504" spans="1:20" x14ac:dyDescent="0.25">
      <c r="A504" s="5"/>
      <c r="B504" s="5"/>
      <c r="C504" s="14"/>
      <c r="D504" s="5"/>
      <c r="E504" s="5"/>
      <c r="F504" s="7"/>
      <c r="G504" s="7"/>
      <c r="H504" s="11"/>
      <c r="I504" s="11"/>
      <c r="J504" s="11"/>
      <c r="K504" s="5"/>
      <c r="L504" s="6"/>
      <c r="M504" s="5"/>
      <c r="N504" s="11"/>
      <c r="O504" s="7"/>
      <c r="P504" s="7"/>
      <c r="Q504" s="7"/>
      <c r="R504" s="11"/>
      <c r="S504" s="7"/>
      <c r="T504" s="5"/>
    </row>
    <row r="505" spans="1:20" x14ac:dyDescent="0.25">
      <c r="A505" s="5"/>
      <c r="B505" s="5"/>
      <c r="C505" s="14"/>
      <c r="D505" s="5"/>
      <c r="E505" s="5"/>
      <c r="F505" s="7"/>
      <c r="G505" s="7"/>
      <c r="H505" s="11"/>
      <c r="I505" s="11"/>
      <c r="J505" s="11"/>
      <c r="K505" s="5"/>
      <c r="L505" s="6"/>
      <c r="M505" s="5"/>
      <c r="N505" s="11"/>
      <c r="O505" s="7"/>
      <c r="P505" s="7"/>
      <c r="Q505" s="7"/>
      <c r="R505" s="11"/>
      <c r="S505" s="7"/>
      <c r="T505" s="5"/>
    </row>
    <row r="506" spans="1:20" x14ac:dyDescent="0.25">
      <c r="A506" s="5"/>
      <c r="B506" s="5"/>
      <c r="C506" s="14"/>
      <c r="D506" s="5"/>
      <c r="E506" s="5"/>
      <c r="F506" s="7"/>
      <c r="G506" s="7"/>
      <c r="H506" s="11"/>
      <c r="I506" s="11"/>
      <c r="J506" s="11"/>
      <c r="K506" s="5"/>
      <c r="L506" s="6"/>
      <c r="M506" s="5"/>
      <c r="N506" s="11"/>
      <c r="O506" s="7"/>
      <c r="P506" s="7"/>
      <c r="Q506" s="7"/>
      <c r="R506" s="11"/>
      <c r="S506" s="7"/>
      <c r="T506" s="5"/>
    </row>
    <row r="507" spans="1:20" x14ac:dyDescent="0.25">
      <c r="A507" s="5"/>
      <c r="B507" s="5"/>
      <c r="C507" s="14"/>
      <c r="D507" s="5"/>
      <c r="E507" s="5"/>
      <c r="F507" s="7"/>
      <c r="G507" s="7"/>
      <c r="H507" s="11"/>
      <c r="I507" s="11"/>
      <c r="J507" s="11"/>
      <c r="K507" s="5"/>
      <c r="L507" s="6"/>
      <c r="M507" s="5"/>
      <c r="N507" s="11"/>
      <c r="O507" s="7"/>
      <c r="P507" s="7"/>
      <c r="Q507" s="7"/>
      <c r="R507" s="11"/>
      <c r="S507" s="7"/>
      <c r="T507" s="5"/>
    </row>
    <row r="508" spans="1:20" x14ac:dyDescent="0.25">
      <c r="A508" s="5"/>
      <c r="B508" s="5"/>
      <c r="C508" s="14"/>
      <c r="D508" s="5"/>
      <c r="E508" s="5"/>
      <c r="F508" s="7"/>
      <c r="G508" s="7"/>
      <c r="H508" s="11"/>
      <c r="I508" s="11"/>
      <c r="J508" s="11"/>
      <c r="K508" s="5"/>
      <c r="L508" s="6"/>
      <c r="M508" s="5"/>
      <c r="N508" s="11"/>
      <c r="O508" s="7"/>
      <c r="P508" s="7"/>
      <c r="Q508" s="7"/>
      <c r="R508" s="11"/>
      <c r="S508" s="7"/>
      <c r="T508" s="5"/>
    </row>
    <row r="509" spans="1:20" x14ac:dyDescent="0.25">
      <c r="A509" s="5"/>
      <c r="B509" s="5"/>
      <c r="C509" s="14"/>
      <c r="D509" s="5"/>
      <c r="E509" s="5"/>
      <c r="F509" s="7"/>
      <c r="G509" s="7"/>
      <c r="H509" s="11"/>
      <c r="I509" s="11"/>
      <c r="J509" s="11"/>
      <c r="K509" s="5"/>
      <c r="L509" s="6"/>
      <c r="M509" s="5"/>
      <c r="N509" s="11"/>
      <c r="O509" s="7"/>
      <c r="P509" s="7"/>
      <c r="Q509" s="7"/>
      <c r="R509" s="11"/>
      <c r="S509" s="7"/>
      <c r="T509" s="5"/>
    </row>
    <row r="510" spans="1:20" x14ac:dyDescent="0.25">
      <c r="A510" s="5"/>
      <c r="B510" s="5"/>
      <c r="C510" s="14"/>
      <c r="D510" s="5"/>
      <c r="E510" s="5"/>
      <c r="F510" s="7"/>
      <c r="G510" s="7"/>
      <c r="H510" s="11"/>
      <c r="I510" s="11"/>
      <c r="J510" s="11"/>
      <c r="K510" s="5"/>
      <c r="L510" s="6"/>
      <c r="M510" s="5"/>
      <c r="N510" s="11"/>
      <c r="O510" s="7"/>
      <c r="P510" s="7"/>
      <c r="Q510" s="7"/>
      <c r="R510" s="11"/>
      <c r="S510" s="7"/>
      <c r="T510" s="5"/>
    </row>
    <row r="511" spans="1:20" x14ac:dyDescent="0.25">
      <c r="A511" s="5"/>
      <c r="B511" s="5"/>
      <c r="C511" s="14"/>
      <c r="D511" s="5"/>
      <c r="E511" s="5"/>
      <c r="F511" s="7"/>
      <c r="G511" s="7"/>
      <c r="H511" s="11"/>
      <c r="I511" s="11"/>
      <c r="J511" s="11"/>
      <c r="K511" s="5"/>
      <c r="L511" s="6"/>
      <c r="M511" s="5"/>
      <c r="N511" s="11"/>
      <c r="O511" s="7"/>
      <c r="P511" s="7"/>
      <c r="Q511" s="7"/>
      <c r="R511" s="11"/>
      <c r="S511" s="7"/>
      <c r="T511" s="5"/>
    </row>
    <row r="512" spans="1:20" x14ac:dyDescent="0.25">
      <c r="A512" s="5"/>
      <c r="B512" s="5"/>
      <c r="C512" s="14"/>
      <c r="D512" s="5"/>
      <c r="E512" s="5"/>
      <c r="F512" s="7"/>
      <c r="G512" s="7"/>
      <c r="H512" s="11"/>
      <c r="I512" s="11"/>
      <c r="J512" s="11"/>
      <c r="K512" s="5"/>
      <c r="L512" s="6"/>
      <c r="M512" s="5"/>
      <c r="N512" s="11"/>
      <c r="O512" s="7"/>
      <c r="P512" s="7"/>
      <c r="Q512" s="7"/>
      <c r="R512" s="11"/>
      <c r="S512" s="7"/>
      <c r="T512" s="5"/>
    </row>
    <row r="513" spans="1:20" x14ac:dyDescent="0.25">
      <c r="A513" s="5"/>
      <c r="B513" s="5"/>
      <c r="C513" s="14"/>
      <c r="D513" s="5"/>
      <c r="E513" s="5"/>
      <c r="F513" s="7"/>
      <c r="G513" s="7"/>
      <c r="H513" s="11"/>
      <c r="I513" s="11"/>
      <c r="J513" s="11"/>
      <c r="K513" s="5"/>
      <c r="L513" s="6"/>
      <c r="M513" s="5"/>
      <c r="N513" s="11"/>
      <c r="O513" s="7"/>
      <c r="P513" s="7"/>
      <c r="Q513" s="7"/>
      <c r="R513" s="11"/>
      <c r="S513" s="7"/>
      <c r="T513" s="5"/>
    </row>
    <row r="514" spans="1:20" x14ac:dyDescent="0.25">
      <c r="A514" s="5"/>
      <c r="B514" s="5"/>
      <c r="C514" s="14"/>
      <c r="D514" s="5"/>
      <c r="E514" s="5"/>
      <c r="F514" s="7"/>
      <c r="G514" s="7"/>
      <c r="H514" s="11"/>
      <c r="I514" s="11"/>
      <c r="J514" s="11"/>
      <c r="K514" s="5"/>
      <c r="L514" s="6"/>
      <c r="M514" s="5"/>
      <c r="N514" s="11"/>
      <c r="O514" s="7"/>
      <c r="P514" s="7"/>
      <c r="Q514" s="7"/>
      <c r="R514" s="11"/>
      <c r="S514" s="7"/>
      <c r="T514" s="5"/>
    </row>
    <row r="515" spans="1:20" x14ac:dyDescent="0.25">
      <c r="A515" s="5"/>
      <c r="B515" s="5"/>
      <c r="C515" s="14"/>
      <c r="D515" s="5"/>
      <c r="E515" s="5"/>
      <c r="F515" s="7"/>
      <c r="G515" s="7"/>
      <c r="H515" s="11"/>
      <c r="I515" s="11"/>
      <c r="J515" s="11"/>
      <c r="K515" s="5"/>
      <c r="L515" s="6"/>
      <c r="M515" s="5"/>
      <c r="N515" s="11"/>
      <c r="O515" s="7"/>
      <c r="P515" s="7"/>
      <c r="Q515" s="7"/>
      <c r="R515" s="11"/>
      <c r="S515" s="7"/>
      <c r="T515" s="5"/>
    </row>
    <row r="516" spans="1:20" x14ac:dyDescent="0.25">
      <c r="A516" s="5"/>
      <c r="B516" s="5"/>
      <c r="C516" s="14"/>
      <c r="D516" s="5"/>
      <c r="E516" s="5"/>
      <c r="F516" s="7"/>
      <c r="G516" s="7"/>
      <c r="H516" s="11"/>
      <c r="I516" s="11"/>
      <c r="J516" s="11"/>
      <c r="K516" s="5"/>
      <c r="L516" s="6"/>
      <c r="M516" s="5"/>
      <c r="N516" s="11"/>
      <c r="O516" s="7"/>
      <c r="P516" s="7"/>
      <c r="Q516" s="7"/>
      <c r="R516" s="11"/>
      <c r="S516" s="7"/>
      <c r="T516" s="5"/>
    </row>
    <row r="517" spans="1:20" x14ac:dyDescent="0.25">
      <c r="A517" s="5"/>
      <c r="B517" s="5"/>
      <c r="C517" s="14"/>
      <c r="D517" s="5"/>
      <c r="E517" s="5"/>
      <c r="F517" s="7"/>
      <c r="G517" s="7"/>
      <c r="H517" s="11"/>
      <c r="I517" s="11"/>
      <c r="J517" s="11"/>
      <c r="K517" s="5"/>
      <c r="L517" s="6"/>
      <c r="M517" s="5"/>
      <c r="N517" s="11"/>
      <c r="O517" s="7"/>
      <c r="P517" s="7"/>
      <c r="Q517" s="7"/>
      <c r="R517" s="11"/>
      <c r="S517" s="7"/>
      <c r="T517" s="5"/>
    </row>
    <row r="518" spans="1:20" x14ac:dyDescent="0.25">
      <c r="A518" s="5"/>
      <c r="B518" s="5"/>
      <c r="C518" s="14"/>
      <c r="D518" s="5"/>
      <c r="E518" s="5"/>
      <c r="F518" s="7"/>
      <c r="G518" s="7"/>
      <c r="H518" s="11"/>
      <c r="I518" s="11"/>
      <c r="J518" s="11"/>
      <c r="K518" s="5"/>
      <c r="L518" s="6"/>
      <c r="M518" s="5"/>
      <c r="N518" s="11"/>
      <c r="O518" s="7"/>
      <c r="P518" s="7"/>
      <c r="Q518" s="7"/>
      <c r="R518" s="11"/>
      <c r="S518" s="7"/>
      <c r="T518" s="5"/>
    </row>
    <row r="519" spans="1:20" x14ac:dyDescent="0.25">
      <c r="A519" s="5"/>
      <c r="B519" s="5"/>
      <c r="C519" s="14"/>
      <c r="D519" s="5"/>
      <c r="E519" s="5"/>
      <c r="F519" s="7"/>
      <c r="G519" s="7"/>
      <c r="H519" s="11"/>
      <c r="I519" s="11"/>
      <c r="J519" s="11"/>
      <c r="K519" s="5"/>
      <c r="L519" s="6"/>
      <c r="M519" s="5"/>
      <c r="N519" s="11"/>
      <c r="O519" s="7"/>
      <c r="P519" s="7"/>
      <c r="Q519" s="7"/>
      <c r="R519" s="11"/>
      <c r="S519" s="7"/>
      <c r="T519" s="5"/>
    </row>
    <row r="520" spans="1:20" x14ac:dyDescent="0.25">
      <c r="A520" s="5"/>
      <c r="B520" s="5"/>
      <c r="C520" s="14"/>
      <c r="D520" s="5"/>
      <c r="E520" s="5"/>
      <c r="F520" s="7"/>
      <c r="G520" s="7"/>
      <c r="H520" s="11"/>
      <c r="I520" s="11"/>
      <c r="J520" s="11"/>
      <c r="K520" s="5"/>
      <c r="L520" s="6"/>
      <c r="M520" s="5"/>
      <c r="N520" s="11"/>
      <c r="O520" s="7"/>
      <c r="P520" s="7"/>
      <c r="Q520" s="7"/>
      <c r="R520" s="11"/>
      <c r="S520" s="7"/>
      <c r="T520" s="5"/>
    </row>
    <row r="521" spans="1:20" x14ac:dyDescent="0.25">
      <c r="A521" s="5"/>
      <c r="B521" s="5"/>
      <c r="C521" s="14"/>
      <c r="D521" s="5"/>
      <c r="E521" s="5"/>
      <c r="F521" s="7"/>
      <c r="G521" s="7"/>
      <c r="H521" s="11"/>
      <c r="I521" s="11"/>
      <c r="J521" s="11"/>
      <c r="K521" s="5"/>
      <c r="L521" s="6"/>
      <c r="M521" s="5"/>
      <c r="N521" s="11"/>
      <c r="O521" s="7"/>
      <c r="P521" s="7"/>
      <c r="Q521" s="7"/>
      <c r="R521" s="11"/>
      <c r="S521" s="7"/>
      <c r="T521" s="5"/>
    </row>
    <row r="522" spans="1:20" x14ac:dyDescent="0.25">
      <c r="A522" s="5"/>
      <c r="B522" s="5"/>
      <c r="C522" s="14"/>
      <c r="D522" s="5"/>
      <c r="E522" s="5"/>
      <c r="F522" s="7"/>
      <c r="G522" s="7"/>
      <c r="H522" s="11"/>
      <c r="I522" s="11"/>
      <c r="J522" s="11"/>
      <c r="K522" s="5"/>
      <c r="L522" s="6"/>
      <c r="M522" s="5"/>
      <c r="N522" s="11"/>
      <c r="O522" s="7"/>
      <c r="P522" s="7"/>
      <c r="Q522" s="7"/>
      <c r="R522" s="11"/>
      <c r="S522" s="7"/>
      <c r="T522" s="5"/>
    </row>
    <row r="523" spans="1:20" x14ac:dyDescent="0.25">
      <c r="A523" s="5"/>
      <c r="B523" s="5"/>
      <c r="C523" s="14"/>
      <c r="D523" s="5"/>
      <c r="E523" s="5"/>
      <c r="F523" s="7"/>
      <c r="G523" s="7"/>
      <c r="H523" s="11"/>
      <c r="I523" s="11"/>
      <c r="J523" s="11"/>
      <c r="K523" s="5"/>
      <c r="L523" s="6"/>
      <c r="M523" s="5"/>
      <c r="N523" s="11"/>
      <c r="O523" s="7"/>
      <c r="P523" s="7"/>
      <c r="Q523" s="7"/>
      <c r="R523" s="11"/>
      <c r="S523" s="7"/>
      <c r="T523" s="5"/>
    </row>
    <row r="524" spans="1:20" x14ac:dyDescent="0.25">
      <c r="A524" s="5"/>
      <c r="B524" s="5"/>
      <c r="C524" s="14"/>
      <c r="D524" s="5"/>
      <c r="E524" s="5"/>
      <c r="F524" s="7"/>
      <c r="G524" s="7"/>
      <c r="H524" s="11"/>
      <c r="I524" s="11"/>
      <c r="J524" s="11"/>
      <c r="K524" s="5"/>
      <c r="L524" s="6"/>
      <c r="M524" s="5"/>
      <c r="N524" s="11"/>
      <c r="O524" s="7"/>
      <c r="P524" s="7"/>
      <c r="Q524" s="7"/>
      <c r="R524" s="11"/>
      <c r="S524" s="7"/>
      <c r="T524" s="5"/>
    </row>
    <row r="525" spans="1:20" x14ac:dyDescent="0.25">
      <c r="A525" s="5"/>
      <c r="B525" s="5"/>
      <c r="C525" s="14"/>
      <c r="D525" s="5"/>
      <c r="E525" s="5"/>
      <c r="F525" s="7"/>
      <c r="G525" s="7"/>
      <c r="H525" s="11"/>
      <c r="I525" s="11"/>
      <c r="J525" s="11"/>
      <c r="K525" s="5"/>
      <c r="L525" s="6"/>
      <c r="M525" s="5"/>
      <c r="N525" s="11"/>
      <c r="O525" s="7"/>
      <c r="P525" s="7"/>
      <c r="Q525" s="7"/>
      <c r="R525" s="11"/>
      <c r="S525" s="7"/>
      <c r="T525" s="5"/>
    </row>
    <row r="526" spans="1:20" x14ac:dyDescent="0.25">
      <c r="A526" s="5"/>
      <c r="B526" s="5"/>
      <c r="C526" s="14"/>
      <c r="D526" s="5"/>
      <c r="E526" s="5"/>
      <c r="F526" s="7"/>
      <c r="G526" s="7"/>
      <c r="H526" s="11"/>
      <c r="I526" s="11"/>
      <c r="J526" s="11"/>
      <c r="K526" s="5"/>
      <c r="L526" s="6"/>
      <c r="M526" s="5"/>
      <c r="N526" s="11"/>
      <c r="O526" s="7"/>
      <c r="P526" s="7"/>
      <c r="Q526" s="7"/>
      <c r="R526" s="11"/>
      <c r="S526" s="7"/>
      <c r="T526" s="5"/>
    </row>
    <row r="527" spans="1:20" x14ac:dyDescent="0.25">
      <c r="A527" s="5"/>
      <c r="B527" s="5"/>
      <c r="C527" s="14"/>
      <c r="D527" s="5"/>
      <c r="E527" s="5"/>
      <c r="F527" s="7"/>
      <c r="G527" s="7"/>
      <c r="H527" s="11"/>
      <c r="I527" s="11"/>
      <c r="J527" s="11"/>
      <c r="K527" s="5"/>
      <c r="L527" s="6"/>
      <c r="M527" s="5"/>
      <c r="N527" s="11"/>
      <c r="O527" s="7"/>
      <c r="P527" s="7"/>
      <c r="Q527" s="7"/>
      <c r="R527" s="11"/>
      <c r="S527" s="7"/>
      <c r="T527" s="5"/>
    </row>
    <row r="528" spans="1:20" x14ac:dyDescent="0.25">
      <c r="A528" s="5"/>
      <c r="B528" s="5"/>
      <c r="C528" s="14"/>
      <c r="D528" s="5"/>
      <c r="E528" s="5"/>
      <c r="F528" s="7"/>
      <c r="G528" s="7"/>
      <c r="H528" s="11"/>
      <c r="I528" s="11"/>
      <c r="J528" s="11"/>
      <c r="K528" s="5"/>
      <c r="L528" s="6"/>
      <c r="M528" s="5"/>
      <c r="N528" s="11"/>
      <c r="O528" s="7"/>
      <c r="P528" s="7"/>
      <c r="Q528" s="7"/>
      <c r="R528" s="11"/>
      <c r="S528" s="7"/>
      <c r="T528" s="5"/>
    </row>
    <row r="529" spans="1:20" x14ac:dyDescent="0.25">
      <c r="A529" s="5"/>
      <c r="B529" s="5"/>
      <c r="C529" s="14"/>
      <c r="D529" s="5"/>
      <c r="E529" s="5"/>
      <c r="F529" s="7"/>
      <c r="G529" s="7"/>
      <c r="H529" s="11"/>
      <c r="I529" s="11"/>
      <c r="J529" s="11"/>
      <c r="K529" s="5"/>
      <c r="L529" s="6"/>
      <c r="M529" s="5"/>
      <c r="N529" s="11"/>
      <c r="O529" s="7"/>
      <c r="P529" s="7"/>
      <c r="Q529" s="7"/>
      <c r="R529" s="11"/>
      <c r="S529" s="7"/>
      <c r="T529" s="5"/>
    </row>
    <row r="530" spans="1:20" x14ac:dyDescent="0.25">
      <c r="A530" s="5"/>
      <c r="B530" s="5"/>
      <c r="C530" s="14"/>
      <c r="D530" s="5"/>
      <c r="E530" s="5"/>
      <c r="F530" s="7"/>
      <c r="G530" s="7"/>
      <c r="H530" s="11"/>
      <c r="I530" s="11"/>
      <c r="J530" s="11"/>
      <c r="K530" s="5"/>
      <c r="L530" s="6"/>
      <c r="M530" s="5"/>
      <c r="N530" s="11"/>
      <c r="O530" s="7"/>
      <c r="P530" s="7"/>
      <c r="Q530" s="7"/>
      <c r="R530" s="11"/>
      <c r="S530" s="7"/>
      <c r="T530" s="5"/>
    </row>
    <row r="531" spans="1:20" x14ac:dyDescent="0.25">
      <c r="A531" s="5"/>
      <c r="B531" s="5"/>
      <c r="C531" s="14"/>
      <c r="D531" s="5"/>
      <c r="E531" s="5"/>
      <c r="F531" s="7"/>
      <c r="G531" s="7"/>
      <c r="H531" s="11"/>
      <c r="I531" s="11"/>
      <c r="J531" s="11"/>
      <c r="K531" s="5"/>
      <c r="L531" s="6"/>
      <c r="M531" s="5"/>
      <c r="N531" s="11"/>
      <c r="O531" s="7"/>
      <c r="P531" s="7"/>
      <c r="Q531" s="7"/>
      <c r="R531" s="11"/>
      <c r="S531" s="7"/>
      <c r="T531" s="5"/>
    </row>
    <row r="532" spans="1:20" x14ac:dyDescent="0.25">
      <c r="A532" s="5"/>
      <c r="B532" s="5"/>
      <c r="C532" s="14"/>
      <c r="D532" s="5"/>
      <c r="E532" s="5"/>
      <c r="F532" s="7"/>
      <c r="G532" s="7"/>
      <c r="H532" s="11"/>
      <c r="I532" s="11"/>
      <c r="J532" s="11"/>
      <c r="K532" s="5"/>
      <c r="L532" s="6"/>
      <c r="M532" s="5"/>
      <c r="N532" s="11"/>
      <c r="O532" s="7"/>
      <c r="P532" s="7"/>
      <c r="Q532" s="7"/>
      <c r="R532" s="11"/>
      <c r="S532" s="7"/>
      <c r="T532" s="5"/>
    </row>
    <row r="533" spans="1:20" x14ac:dyDescent="0.25">
      <c r="A533" s="5"/>
      <c r="B533" s="5"/>
      <c r="C533" s="14"/>
      <c r="D533" s="5"/>
      <c r="E533" s="5"/>
      <c r="F533" s="7"/>
      <c r="G533" s="7"/>
      <c r="H533" s="11"/>
      <c r="I533" s="11"/>
      <c r="J533" s="11"/>
      <c r="K533" s="5"/>
      <c r="L533" s="6"/>
      <c r="M533" s="5"/>
      <c r="N533" s="11"/>
      <c r="O533" s="7"/>
      <c r="P533" s="7"/>
      <c r="Q533" s="7"/>
      <c r="R533" s="11"/>
      <c r="S533" s="7"/>
      <c r="T533" s="5"/>
    </row>
    <row r="534" spans="1:20" x14ac:dyDescent="0.25">
      <c r="A534" s="5"/>
      <c r="B534" s="5"/>
      <c r="C534" s="14"/>
      <c r="D534" s="5"/>
      <c r="E534" s="5"/>
      <c r="F534" s="7"/>
      <c r="G534" s="7"/>
      <c r="H534" s="11"/>
      <c r="I534" s="11"/>
      <c r="J534" s="11"/>
      <c r="K534" s="5"/>
      <c r="L534" s="6"/>
      <c r="M534" s="5"/>
      <c r="N534" s="11"/>
      <c r="O534" s="7"/>
      <c r="P534" s="7"/>
      <c r="Q534" s="7"/>
      <c r="R534" s="11"/>
      <c r="S534" s="7"/>
      <c r="T534" s="5"/>
    </row>
    <row r="535" spans="1:20" x14ac:dyDescent="0.25">
      <c r="A535" s="5"/>
      <c r="B535" s="5"/>
      <c r="C535" s="14"/>
      <c r="D535" s="5"/>
      <c r="E535" s="5"/>
      <c r="F535" s="7"/>
      <c r="G535" s="7"/>
      <c r="H535" s="11"/>
      <c r="I535" s="11"/>
      <c r="J535" s="11"/>
      <c r="K535" s="5"/>
      <c r="L535" s="6"/>
      <c r="M535" s="5"/>
      <c r="N535" s="11"/>
      <c r="O535" s="7"/>
      <c r="P535" s="7"/>
      <c r="Q535" s="7"/>
      <c r="R535" s="11"/>
      <c r="S535" s="7"/>
      <c r="T535" s="5"/>
    </row>
    <row r="536" spans="1:20" x14ac:dyDescent="0.25">
      <c r="A536" s="5"/>
      <c r="B536" s="5"/>
      <c r="C536" s="14"/>
      <c r="D536" s="5"/>
      <c r="E536" s="5"/>
      <c r="F536" s="7"/>
      <c r="G536" s="7"/>
      <c r="H536" s="11"/>
      <c r="I536" s="11"/>
      <c r="J536" s="11"/>
      <c r="K536" s="5"/>
      <c r="L536" s="6"/>
      <c r="M536" s="5"/>
      <c r="N536" s="11"/>
      <c r="O536" s="7"/>
      <c r="P536" s="7"/>
      <c r="Q536" s="7"/>
      <c r="R536" s="11"/>
      <c r="S536" s="7"/>
      <c r="T536" s="5"/>
    </row>
    <row r="537" spans="1:20" x14ac:dyDescent="0.25">
      <c r="A537" s="5"/>
      <c r="B537" s="5"/>
      <c r="C537" s="14"/>
      <c r="D537" s="5"/>
      <c r="E537" s="5"/>
      <c r="F537" s="7"/>
      <c r="G537" s="7"/>
      <c r="H537" s="11"/>
      <c r="I537" s="11"/>
      <c r="J537" s="11"/>
      <c r="K537" s="5"/>
      <c r="L537" s="6"/>
      <c r="M537" s="5"/>
      <c r="N537" s="11"/>
      <c r="O537" s="7"/>
      <c r="P537" s="7"/>
      <c r="Q537" s="7"/>
      <c r="R537" s="11"/>
      <c r="S537" s="7"/>
      <c r="T537" s="5"/>
    </row>
    <row r="538" spans="1:20" x14ac:dyDescent="0.25">
      <c r="A538" s="5"/>
      <c r="B538" s="5"/>
      <c r="C538" s="14"/>
      <c r="D538" s="5"/>
      <c r="E538" s="5"/>
      <c r="F538" s="7"/>
      <c r="G538" s="7"/>
      <c r="H538" s="11"/>
      <c r="I538" s="11"/>
      <c r="J538" s="11"/>
      <c r="K538" s="5"/>
      <c r="L538" s="6"/>
      <c r="M538" s="5"/>
      <c r="N538" s="11"/>
      <c r="O538" s="7"/>
      <c r="P538" s="7"/>
      <c r="Q538" s="7"/>
      <c r="R538" s="11"/>
      <c r="S538" s="7"/>
      <c r="T538" s="5"/>
    </row>
    <row r="539" spans="1:20" x14ac:dyDescent="0.25">
      <c r="A539" s="5"/>
      <c r="B539" s="5"/>
      <c r="C539" s="14"/>
      <c r="D539" s="5"/>
      <c r="E539" s="5"/>
      <c r="F539" s="7"/>
      <c r="G539" s="7"/>
      <c r="H539" s="11"/>
      <c r="I539" s="11"/>
      <c r="J539" s="11"/>
      <c r="K539" s="5"/>
      <c r="L539" s="6"/>
      <c r="M539" s="5"/>
      <c r="N539" s="11"/>
      <c r="O539" s="7"/>
      <c r="P539" s="7"/>
      <c r="Q539" s="7"/>
      <c r="R539" s="11"/>
      <c r="S539" s="7"/>
      <c r="T539" s="5"/>
    </row>
    <row r="540" spans="1:20" x14ac:dyDescent="0.25">
      <c r="A540" s="5"/>
      <c r="B540" s="5"/>
      <c r="C540" s="14"/>
      <c r="D540" s="5"/>
      <c r="E540" s="5"/>
      <c r="F540" s="7"/>
      <c r="G540" s="7"/>
      <c r="H540" s="11"/>
      <c r="I540" s="11"/>
      <c r="J540" s="11"/>
      <c r="K540" s="5"/>
      <c r="L540" s="6"/>
      <c r="M540" s="5"/>
      <c r="N540" s="11"/>
      <c r="O540" s="7"/>
      <c r="P540" s="7"/>
      <c r="Q540" s="7"/>
      <c r="R540" s="11"/>
      <c r="S540" s="7"/>
      <c r="T540" s="5"/>
    </row>
    <row r="541" spans="1:20" x14ac:dyDescent="0.25">
      <c r="A541" s="5"/>
      <c r="B541" s="5"/>
      <c r="C541" s="14"/>
      <c r="D541" s="5"/>
      <c r="E541" s="5"/>
      <c r="F541" s="7"/>
      <c r="G541" s="7"/>
      <c r="H541" s="11"/>
      <c r="I541" s="11"/>
      <c r="J541" s="11"/>
      <c r="K541" s="5"/>
      <c r="L541" s="6"/>
      <c r="M541" s="5"/>
      <c r="N541" s="11"/>
      <c r="O541" s="7"/>
      <c r="P541" s="7"/>
      <c r="Q541" s="7"/>
      <c r="R541" s="11"/>
      <c r="S541" s="7"/>
      <c r="T541" s="5"/>
    </row>
    <row r="542" spans="1:20" x14ac:dyDescent="0.25">
      <c r="A542" s="5"/>
      <c r="B542" s="5"/>
      <c r="C542" s="14"/>
      <c r="D542" s="5"/>
      <c r="E542" s="5"/>
      <c r="F542" s="7"/>
      <c r="G542" s="7"/>
      <c r="H542" s="11"/>
      <c r="I542" s="11"/>
      <c r="J542" s="11"/>
      <c r="K542" s="5"/>
      <c r="L542" s="6"/>
      <c r="M542" s="5"/>
      <c r="N542" s="11"/>
      <c r="O542" s="7"/>
      <c r="P542" s="7"/>
      <c r="Q542" s="7"/>
      <c r="R542" s="11"/>
      <c r="S542" s="7"/>
      <c r="T542" s="5"/>
    </row>
    <row r="543" spans="1:20" x14ac:dyDescent="0.25">
      <c r="A543" s="5"/>
      <c r="B543" s="5"/>
      <c r="C543" s="14"/>
      <c r="D543" s="5"/>
      <c r="E543" s="5"/>
      <c r="F543" s="7"/>
      <c r="G543" s="7"/>
      <c r="H543" s="11"/>
      <c r="I543" s="11"/>
      <c r="J543" s="11"/>
      <c r="K543" s="5"/>
      <c r="L543" s="6"/>
      <c r="M543" s="5"/>
      <c r="N543" s="11"/>
      <c r="O543" s="7"/>
      <c r="P543" s="7"/>
      <c r="Q543" s="7"/>
      <c r="R543" s="11"/>
      <c r="S543" s="7"/>
      <c r="T543" s="5"/>
    </row>
    <row r="544" spans="1:20" x14ac:dyDescent="0.25">
      <c r="A544" s="5"/>
      <c r="B544" s="5"/>
      <c r="C544" s="14"/>
      <c r="D544" s="5"/>
      <c r="E544" s="5"/>
      <c r="F544" s="7"/>
      <c r="G544" s="7"/>
      <c r="H544" s="11"/>
      <c r="I544" s="11"/>
      <c r="J544" s="11"/>
      <c r="K544" s="5"/>
      <c r="L544" s="6"/>
      <c r="M544" s="5"/>
      <c r="N544" s="11"/>
      <c r="O544" s="7"/>
      <c r="P544" s="7"/>
      <c r="Q544" s="7"/>
      <c r="R544" s="11"/>
      <c r="S544" s="7"/>
      <c r="T544" s="5"/>
    </row>
    <row r="545" spans="1:20" x14ac:dyDescent="0.25">
      <c r="A545" s="5"/>
      <c r="B545" s="5"/>
      <c r="C545" s="14"/>
      <c r="D545" s="5"/>
      <c r="E545" s="5"/>
      <c r="F545" s="7"/>
      <c r="G545" s="7"/>
      <c r="H545" s="11"/>
      <c r="I545" s="11"/>
      <c r="J545" s="11"/>
      <c r="K545" s="5"/>
      <c r="L545" s="6"/>
      <c r="M545" s="5"/>
      <c r="N545" s="11"/>
      <c r="O545" s="7"/>
      <c r="P545" s="7"/>
      <c r="Q545" s="7"/>
      <c r="R545" s="11"/>
      <c r="S545" s="7"/>
      <c r="T545" s="5"/>
    </row>
    <row r="546" spans="1:20" x14ac:dyDescent="0.25">
      <c r="A546" s="5"/>
      <c r="B546" s="5"/>
      <c r="C546" s="14"/>
      <c r="D546" s="5"/>
      <c r="E546" s="5"/>
      <c r="F546" s="7"/>
      <c r="G546" s="7"/>
      <c r="H546" s="11"/>
      <c r="I546" s="11"/>
      <c r="J546" s="11"/>
      <c r="K546" s="5"/>
      <c r="L546" s="6"/>
      <c r="M546" s="5"/>
      <c r="N546" s="11"/>
      <c r="O546" s="7"/>
      <c r="P546" s="7"/>
      <c r="Q546" s="7"/>
      <c r="R546" s="11"/>
      <c r="S546" s="7"/>
      <c r="T546" s="5"/>
    </row>
    <row r="547" spans="1:20" x14ac:dyDescent="0.25">
      <c r="A547" s="5"/>
      <c r="B547" s="5"/>
      <c r="C547" s="14"/>
      <c r="D547" s="5"/>
      <c r="E547" s="5"/>
      <c r="F547" s="7"/>
      <c r="G547" s="7"/>
      <c r="H547" s="11"/>
      <c r="I547" s="11"/>
      <c r="J547" s="11"/>
      <c r="K547" s="5"/>
      <c r="L547" s="6"/>
      <c r="M547" s="5"/>
      <c r="N547" s="11"/>
      <c r="O547" s="7"/>
      <c r="P547" s="7"/>
      <c r="Q547" s="7"/>
      <c r="R547" s="11"/>
      <c r="S547" s="7"/>
      <c r="T547" s="5"/>
    </row>
    <row r="548" spans="1:20" x14ac:dyDescent="0.25">
      <c r="A548" s="5"/>
      <c r="B548" s="5"/>
      <c r="C548" s="14"/>
      <c r="D548" s="5"/>
      <c r="E548" s="5"/>
      <c r="F548" s="7"/>
      <c r="G548" s="7"/>
      <c r="H548" s="11"/>
      <c r="I548" s="11"/>
      <c r="J548" s="11"/>
      <c r="K548" s="5"/>
      <c r="L548" s="6"/>
      <c r="M548" s="5"/>
      <c r="N548" s="11"/>
      <c r="O548" s="7"/>
      <c r="P548" s="7"/>
      <c r="Q548" s="7"/>
      <c r="R548" s="11"/>
      <c r="S548" s="7"/>
      <c r="T548" s="5"/>
    </row>
    <row r="549" spans="1:20" x14ac:dyDescent="0.25">
      <c r="A549" s="5"/>
      <c r="B549" s="5"/>
      <c r="C549" s="14"/>
      <c r="D549" s="5"/>
      <c r="E549" s="5"/>
      <c r="F549" s="7"/>
      <c r="G549" s="7"/>
      <c r="H549" s="11"/>
      <c r="I549" s="11"/>
      <c r="J549" s="11"/>
      <c r="K549" s="5"/>
      <c r="L549" s="6"/>
      <c r="M549" s="5"/>
      <c r="N549" s="11"/>
      <c r="O549" s="7"/>
      <c r="P549" s="7"/>
      <c r="Q549" s="7"/>
      <c r="R549" s="11"/>
      <c r="S549" s="7"/>
      <c r="T549" s="5"/>
    </row>
    <row r="550" spans="1:20" x14ac:dyDescent="0.25">
      <c r="A550" s="5"/>
      <c r="B550" s="5"/>
      <c r="C550" s="14"/>
      <c r="D550" s="5"/>
      <c r="E550" s="5"/>
      <c r="F550" s="7"/>
      <c r="G550" s="7"/>
      <c r="H550" s="11"/>
      <c r="I550" s="11"/>
      <c r="J550" s="11"/>
      <c r="K550" s="5"/>
      <c r="L550" s="6"/>
      <c r="M550" s="5"/>
      <c r="N550" s="11"/>
      <c r="O550" s="7"/>
      <c r="P550" s="7"/>
      <c r="Q550" s="7"/>
      <c r="R550" s="11"/>
      <c r="S550" s="7"/>
      <c r="T550" s="5"/>
    </row>
    <row r="551" spans="1:20" x14ac:dyDescent="0.25">
      <c r="A551" s="5"/>
      <c r="B551" s="5"/>
      <c r="C551" s="14"/>
      <c r="D551" s="5"/>
      <c r="E551" s="5"/>
      <c r="F551" s="7"/>
      <c r="G551" s="7"/>
      <c r="H551" s="11"/>
      <c r="I551" s="11"/>
      <c r="J551" s="11"/>
      <c r="K551" s="5"/>
      <c r="L551" s="6"/>
      <c r="M551" s="5"/>
      <c r="N551" s="11"/>
      <c r="O551" s="7"/>
      <c r="P551" s="7"/>
      <c r="Q551" s="7"/>
      <c r="R551" s="11"/>
      <c r="S551" s="7"/>
      <c r="T551" s="5"/>
    </row>
    <row r="552" spans="1:20" x14ac:dyDescent="0.25">
      <c r="A552" s="5"/>
      <c r="B552" s="5"/>
      <c r="C552" s="14"/>
      <c r="D552" s="5"/>
      <c r="E552" s="5"/>
      <c r="F552" s="7"/>
      <c r="G552" s="7"/>
      <c r="H552" s="11"/>
      <c r="I552" s="11"/>
      <c r="J552" s="11"/>
      <c r="K552" s="5"/>
      <c r="L552" s="6"/>
      <c r="M552" s="5"/>
      <c r="N552" s="11"/>
      <c r="O552" s="7"/>
      <c r="P552" s="7"/>
      <c r="Q552" s="7"/>
      <c r="R552" s="11"/>
      <c r="S552" s="7"/>
      <c r="T552" s="5"/>
    </row>
    <row r="553" spans="1:20" x14ac:dyDescent="0.25">
      <c r="A553" s="5"/>
      <c r="B553" s="5"/>
      <c r="C553" s="14"/>
      <c r="D553" s="5"/>
      <c r="E553" s="5"/>
      <c r="F553" s="7"/>
      <c r="G553" s="7"/>
      <c r="H553" s="11"/>
      <c r="I553" s="11"/>
      <c r="J553" s="11"/>
      <c r="K553" s="5"/>
      <c r="L553" s="6"/>
      <c r="M553" s="5"/>
      <c r="N553" s="11"/>
      <c r="O553" s="7"/>
      <c r="P553" s="7"/>
      <c r="Q553" s="7"/>
      <c r="R553" s="11"/>
      <c r="S553" s="7"/>
      <c r="T553" s="5"/>
    </row>
    <row r="554" spans="1:20" x14ac:dyDescent="0.25">
      <c r="A554" s="5"/>
      <c r="B554" s="5"/>
      <c r="C554" s="14"/>
      <c r="D554" s="5"/>
      <c r="E554" s="5"/>
      <c r="F554" s="7"/>
      <c r="G554" s="7"/>
      <c r="H554" s="11"/>
      <c r="I554" s="11"/>
      <c r="J554" s="11"/>
      <c r="K554" s="5"/>
      <c r="L554" s="6"/>
      <c r="M554" s="5"/>
      <c r="N554" s="11"/>
      <c r="O554" s="7"/>
      <c r="P554" s="7"/>
      <c r="Q554" s="7"/>
      <c r="R554" s="11"/>
      <c r="S554" s="7"/>
      <c r="T554" s="5"/>
    </row>
    <row r="555" spans="1:20" x14ac:dyDescent="0.25">
      <c r="A555" s="5"/>
      <c r="B555" s="5"/>
      <c r="C555" s="14"/>
      <c r="D555" s="5"/>
      <c r="E555" s="5"/>
      <c r="F555" s="7"/>
      <c r="G555" s="7"/>
      <c r="H555" s="11"/>
      <c r="I555" s="11"/>
      <c r="J555" s="11"/>
      <c r="K555" s="5"/>
      <c r="L555" s="6"/>
      <c r="M555" s="5"/>
      <c r="N555" s="11"/>
      <c r="O555" s="7"/>
      <c r="P555" s="7"/>
      <c r="Q555" s="7"/>
      <c r="R555" s="11"/>
      <c r="S555" s="7"/>
      <c r="T555" s="5"/>
    </row>
    <row r="556" spans="1:20" x14ac:dyDescent="0.25">
      <c r="A556" s="5"/>
      <c r="B556" s="5"/>
      <c r="C556" s="14"/>
      <c r="D556" s="5"/>
      <c r="E556" s="5"/>
      <c r="F556" s="7"/>
      <c r="G556" s="7"/>
      <c r="H556" s="11"/>
      <c r="I556" s="11"/>
      <c r="J556" s="11"/>
      <c r="K556" s="5"/>
      <c r="L556" s="6"/>
      <c r="M556" s="5"/>
      <c r="N556" s="11"/>
      <c r="O556" s="7"/>
      <c r="P556" s="7"/>
      <c r="Q556" s="7"/>
      <c r="R556" s="11"/>
      <c r="S556" s="7"/>
      <c r="T556" s="5"/>
    </row>
    <row r="557" spans="1:20" x14ac:dyDescent="0.25">
      <c r="A557" s="5"/>
      <c r="B557" s="5"/>
      <c r="C557" s="14"/>
      <c r="D557" s="5"/>
      <c r="E557" s="5"/>
      <c r="F557" s="7"/>
      <c r="G557" s="7"/>
      <c r="H557" s="11"/>
      <c r="I557" s="11"/>
      <c r="J557" s="11"/>
      <c r="K557" s="5"/>
      <c r="L557" s="6"/>
      <c r="M557" s="5"/>
      <c r="N557" s="11"/>
      <c r="O557" s="7"/>
      <c r="P557" s="7"/>
      <c r="Q557" s="7"/>
      <c r="R557" s="11"/>
      <c r="S557" s="7"/>
      <c r="T557" s="5"/>
    </row>
    <row r="558" spans="1:20" x14ac:dyDescent="0.25">
      <c r="A558" s="5"/>
      <c r="B558" s="5"/>
      <c r="C558" s="14"/>
      <c r="D558" s="5"/>
      <c r="E558" s="5"/>
      <c r="F558" s="7"/>
      <c r="G558" s="7"/>
      <c r="H558" s="11"/>
      <c r="I558" s="11"/>
      <c r="J558" s="11"/>
      <c r="K558" s="5"/>
      <c r="L558" s="6"/>
      <c r="M558" s="5"/>
      <c r="N558" s="11"/>
      <c r="O558" s="7"/>
      <c r="P558" s="7"/>
      <c r="Q558" s="7"/>
      <c r="R558" s="11"/>
      <c r="S558" s="7"/>
      <c r="T558" s="5"/>
    </row>
    <row r="559" spans="1:20" x14ac:dyDescent="0.25">
      <c r="A559" s="5"/>
      <c r="B559" s="5"/>
      <c r="C559" s="14"/>
      <c r="D559" s="5"/>
      <c r="E559" s="5"/>
      <c r="F559" s="7"/>
      <c r="G559" s="7"/>
      <c r="H559" s="11"/>
      <c r="I559" s="11"/>
      <c r="J559" s="11"/>
      <c r="K559" s="5"/>
      <c r="L559" s="6"/>
      <c r="M559" s="5"/>
      <c r="N559" s="11"/>
      <c r="O559" s="7"/>
      <c r="P559" s="7"/>
      <c r="Q559" s="7"/>
      <c r="R559" s="11"/>
      <c r="S559" s="7"/>
      <c r="T559" s="5"/>
    </row>
    <row r="560" spans="1:20" x14ac:dyDescent="0.25">
      <c r="A560" s="5"/>
      <c r="B560" s="5"/>
      <c r="C560" s="14"/>
      <c r="D560" s="5"/>
      <c r="E560" s="5"/>
      <c r="F560" s="7"/>
      <c r="G560" s="7"/>
      <c r="H560" s="11"/>
      <c r="I560" s="11"/>
      <c r="J560" s="11"/>
      <c r="K560" s="5"/>
      <c r="L560" s="6"/>
      <c r="M560" s="5"/>
      <c r="N560" s="11"/>
      <c r="O560" s="7"/>
      <c r="P560" s="7"/>
      <c r="Q560" s="7"/>
      <c r="R560" s="11"/>
      <c r="S560" s="7"/>
      <c r="T560" s="5"/>
    </row>
    <row r="561" spans="1:20" x14ac:dyDescent="0.25">
      <c r="A561" s="5"/>
      <c r="B561" s="5"/>
      <c r="C561" s="14"/>
      <c r="D561" s="5"/>
      <c r="E561" s="5"/>
      <c r="F561" s="7"/>
      <c r="G561" s="7"/>
      <c r="H561" s="11"/>
      <c r="I561" s="11"/>
      <c r="J561" s="11"/>
      <c r="K561" s="5"/>
      <c r="L561" s="6"/>
      <c r="M561" s="5"/>
      <c r="N561" s="11"/>
      <c r="O561" s="7"/>
      <c r="P561" s="7"/>
      <c r="Q561" s="7"/>
      <c r="R561" s="11"/>
      <c r="S561" s="7"/>
      <c r="T561" s="5"/>
    </row>
    <row r="562" spans="1:20" x14ac:dyDescent="0.25">
      <c r="A562" s="5"/>
      <c r="B562" s="5"/>
      <c r="C562" s="14"/>
      <c r="D562" s="5"/>
      <c r="E562" s="5"/>
      <c r="F562" s="7"/>
      <c r="G562" s="7"/>
      <c r="H562" s="11"/>
      <c r="I562" s="11"/>
      <c r="J562" s="11"/>
      <c r="K562" s="5"/>
      <c r="L562" s="6"/>
      <c r="M562" s="5"/>
      <c r="N562" s="11"/>
      <c r="O562" s="7"/>
      <c r="P562" s="7"/>
      <c r="Q562" s="7"/>
      <c r="R562" s="11"/>
      <c r="S562" s="7"/>
      <c r="T562" s="5"/>
    </row>
    <row r="563" spans="1:20" x14ac:dyDescent="0.25">
      <c r="A563" s="5"/>
      <c r="B563" s="5"/>
      <c r="C563" s="14"/>
      <c r="D563" s="5"/>
      <c r="E563" s="5"/>
      <c r="F563" s="7"/>
      <c r="G563" s="7"/>
      <c r="H563" s="11"/>
      <c r="I563" s="11"/>
      <c r="J563" s="11"/>
      <c r="K563" s="5"/>
      <c r="L563" s="6"/>
      <c r="M563" s="5"/>
      <c r="N563" s="11"/>
      <c r="O563" s="7"/>
      <c r="P563" s="7"/>
      <c r="Q563" s="7"/>
      <c r="R563" s="11"/>
      <c r="S563" s="7"/>
      <c r="T563" s="5"/>
    </row>
    <row r="564" spans="1:20" x14ac:dyDescent="0.25">
      <c r="A564" s="5"/>
      <c r="B564" s="5"/>
      <c r="C564" s="14"/>
      <c r="D564" s="5"/>
      <c r="E564" s="5"/>
      <c r="F564" s="7"/>
      <c r="G564" s="7"/>
      <c r="H564" s="11"/>
      <c r="I564" s="11"/>
      <c r="J564" s="11"/>
      <c r="K564" s="5"/>
      <c r="L564" s="6"/>
      <c r="M564" s="5"/>
      <c r="N564" s="11"/>
      <c r="O564" s="7"/>
      <c r="P564" s="7"/>
      <c r="Q564" s="7"/>
      <c r="R564" s="11"/>
      <c r="S564" s="7"/>
      <c r="T564" s="5"/>
    </row>
    <row r="565" spans="1:20" x14ac:dyDescent="0.25">
      <c r="A565" s="5"/>
      <c r="B565" s="5"/>
      <c r="C565" s="14"/>
      <c r="D565" s="5"/>
      <c r="E565" s="5"/>
      <c r="F565" s="7"/>
      <c r="G565" s="7"/>
      <c r="H565" s="11"/>
      <c r="I565" s="11"/>
      <c r="J565" s="11"/>
      <c r="K565" s="5"/>
      <c r="L565" s="6"/>
      <c r="M565" s="5"/>
      <c r="N565" s="11"/>
      <c r="O565" s="7"/>
      <c r="P565" s="7"/>
      <c r="Q565" s="7"/>
      <c r="R565" s="11"/>
      <c r="S565" s="7"/>
      <c r="T565" s="5"/>
    </row>
    <row r="566" spans="1:20" x14ac:dyDescent="0.25">
      <c r="A566" s="5"/>
      <c r="B566" s="5"/>
      <c r="C566" s="14"/>
      <c r="D566" s="5"/>
      <c r="E566" s="5"/>
      <c r="F566" s="7"/>
      <c r="G566" s="7"/>
      <c r="H566" s="11"/>
      <c r="I566" s="11"/>
      <c r="J566" s="11"/>
      <c r="K566" s="5"/>
      <c r="L566" s="6"/>
      <c r="M566" s="5"/>
      <c r="N566" s="11"/>
      <c r="O566" s="7"/>
      <c r="P566" s="7"/>
      <c r="Q566" s="7"/>
      <c r="R566" s="11"/>
      <c r="S566" s="7"/>
      <c r="T566" s="5"/>
    </row>
    <row r="567" spans="1:20" x14ac:dyDescent="0.25">
      <c r="A567" s="5"/>
      <c r="B567" s="5"/>
      <c r="C567" s="14"/>
      <c r="D567" s="5"/>
      <c r="E567" s="5"/>
      <c r="F567" s="7"/>
      <c r="G567" s="7"/>
      <c r="H567" s="11"/>
      <c r="I567" s="11"/>
      <c r="J567" s="11"/>
      <c r="K567" s="5"/>
      <c r="L567" s="6"/>
      <c r="M567" s="5"/>
      <c r="N567" s="11"/>
      <c r="O567" s="7"/>
      <c r="P567" s="7"/>
      <c r="Q567" s="7"/>
      <c r="R567" s="11"/>
      <c r="S567" s="7"/>
      <c r="T567" s="5"/>
    </row>
    <row r="568" spans="1:20" x14ac:dyDescent="0.25">
      <c r="A568" s="5"/>
      <c r="B568" s="5"/>
      <c r="C568" s="14"/>
      <c r="D568" s="5"/>
      <c r="E568" s="5"/>
      <c r="F568" s="7"/>
      <c r="G568" s="7"/>
      <c r="H568" s="11"/>
      <c r="I568" s="11"/>
      <c r="J568" s="11"/>
      <c r="K568" s="5"/>
      <c r="L568" s="6"/>
      <c r="M568" s="5"/>
      <c r="N568" s="11"/>
      <c r="O568" s="7"/>
      <c r="P568" s="7"/>
      <c r="Q568" s="7"/>
      <c r="R568" s="11"/>
      <c r="S568" s="7"/>
      <c r="T568" s="5"/>
    </row>
    <row r="569" spans="1:20" x14ac:dyDescent="0.25">
      <c r="A569" s="5"/>
      <c r="B569" s="5"/>
      <c r="C569" s="14"/>
      <c r="D569" s="5"/>
      <c r="E569" s="5"/>
      <c r="F569" s="7"/>
      <c r="G569" s="7"/>
      <c r="H569" s="11"/>
      <c r="I569" s="11"/>
      <c r="J569" s="11"/>
      <c r="K569" s="5"/>
      <c r="L569" s="6"/>
      <c r="M569" s="5"/>
      <c r="N569" s="11"/>
      <c r="O569" s="7"/>
      <c r="P569" s="7"/>
      <c r="Q569" s="7"/>
      <c r="R569" s="11"/>
      <c r="S569" s="7"/>
      <c r="T569" s="5"/>
    </row>
    <row r="570" spans="1:20" x14ac:dyDescent="0.25">
      <c r="A570" s="5"/>
      <c r="B570" s="5"/>
      <c r="C570" s="14"/>
      <c r="D570" s="5"/>
      <c r="E570" s="5"/>
      <c r="F570" s="7"/>
      <c r="G570" s="7"/>
      <c r="H570" s="11"/>
      <c r="I570" s="11"/>
      <c r="J570" s="11"/>
      <c r="K570" s="5"/>
      <c r="L570" s="6"/>
      <c r="M570" s="5"/>
      <c r="N570" s="11"/>
      <c r="O570" s="7"/>
      <c r="P570" s="7"/>
      <c r="Q570" s="7"/>
      <c r="R570" s="11"/>
      <c r="S570" s="7"/>
      <c r="T570" s="5"/>
    </row>
    <row r="571" spans="1:20" x14ac:dyDescent="0.25">
      <c r="A571" s="5"/>
      <c r="B571" s="5"/>
      <c r="C571" s="14"/>
      <c r="D571" s="5"/>
      <c r="E571" s="5"/>
      <c r="F571" s="7"/>
      <c r="G571" s="7"/>
      <c r="H571" s="11"/>
      <c r="I571" s="11"/>
      <c r="J571" s="11"/>
      <c r="K571" s="5"/>
      <c r="L571" s="6"/>
      <c r="M571" s="5"/>
      <c r="N571" s="11"/>
      <c r="O571" s="7"/>
      <c r="P571" s="7"/>
      <c r="Q571" s="7"/>
      <c r="R571" s="11"/>
      <c r="S571" s="7"/>
      <c r="T571" s="5"/>
    </row>
    <row r="572" spans="1:20" x14ac:dyDescent="0.25">
      <c r="A572" s="5"/>
      <c r="B572" s="5"/>
      <c r="C572" s="14"/>
      <c r="D572" s="5"/>
      <c r="E572" s="5"/>
      <c r="F572" s="7"/>
      <c r="G572" s="7"/>
      <c r="H572" s="11"/>
      <c r="I572" s="11"/>
      <c r="J572" s="11"/>
      <c r="K572" s="5"/>
      <c r="L572" s="6"/>
      <c r="M572" s="5"/>
      <c r="N572" s="11"/>
      <c r="O572" s="7"/>
      <c r="P572" s="7"/>
      <c r="Q572" s="7"/>
      <c r="R572" s="11"/>
      <c r="S572" s="7"/>
      <c r="T572" s="5"/>
    </row>
    <row r="573" spans="1:20" x14ac:dyDescent="0.25">
      <c r="A573" s="5"/>
      <c r="B573" s="5"/>
      <c r="C573" s="14"/>
      <c r="D573" s="5"/>
      <c r="E573" s="5"/>
      <c r="F573" s="7"/>
      <c r="G573" s="7"/>
      <c r="H573" s="11"/>
      <c r="I573" s="11"/>
      <c r="J573" s="11"/>
      <c r="K573" s="5"/>
      <c r="L573" s="6"/>
      <c r="M573" s="5"/>
      <c r="N573" s="11"/>
      <c r="O573" s="7"/>
      <c r="P573" s="7"/>
      <c r="Q573" s="7"/>
      <c r="R573" s="11"/>
      <c r="S573" s="7"/>
      <c r="T573" s="5"/>
    </row>
    <row r="574" spans="1:20" x14ac:dyDescent="0.25">
      <c r="A574" s="5"/>
      <c r="B574" s="5"/>
      <c r="C574" s="14"/>
      <c r="D574" s="5"/>
      <c r="E574" s="5"/>
      <c r="F574" s="7"/>
      <c r="G574" s="7"/>
      <c r="H574" s="11"/>
      <c r="I574" s="11"/>
      <c r="J574" s="11"/>
      <c r="K574" s="5"/>
      <c r="L574" s="6"/>
      <c r="M574" s="5"/>
      <c r="N574" s="11"/>
      <c r="O574" s="7"/>
      <c r="P574" s="7"/>
      <c r="Q574" s="7"/>
      <c r="R574" s="11"/>
      <c r="S574" s="7"/>
      <c r="T574" s="5"/>
    </row>
    <row r="575" spans="1:20" x14ac:dyDescent="0.25">
      <c r="A575" s="5"/>
      <c r="B575" s="5"/>
      <c r="C575" s="14"/>
      <c r="D575" s="5"/>
      <c r="E575" s="5"/>
      <c r="F575" s="7"/>
      <c r="G575" s="7"/>
      <c r="H575" s="11"/>
      <c r="I575" s="11"/>
      <c r="J575" s="11"/>
      <c r="K575" s="5"/>
      <c r="L575" s="6"/>
      <c r="M575" s="5"/>
      <c r="N575" s="11"/>
      <c r="O575" s="7"/>
      <c r="P575" s="7"/>
      <c r="Q575" s="7"/>
      <c r="R575" s="11"/>
      <c r="S575" s="7"/>
      <c r="T575" s="5"/>
    </row>
    <row r="576" spans="1:20" x14ac:dyDescent="0.25">
      <c r="A576" s="5"/>
      <c r="B576" s="5"/>
      <c r="C576" s="14"/>
      <c r="D576" s="5"/>
      <c r="E576" s="5"/>
      <c r="F576" s="7"/>
      <c r="G576" s="7"/>
      <c r="H576" s="11"/>
      <c r="I576" s="11"/>
      <c r="J576" s="11"/>
      <c r="K576" s="5"/>
      <c r="L576" s="6"/>
      <c r="M576" s="5"/>
      <c r="N576" s="11"/>
      <c r="O576" s="7"/>
      <c r="P576" s="7"/>
      <c r="Q576" s="7"/>
      <c r="R576" s="11"/>
      <c r="S576" s="7"/>
      <c r="T576" s="5"/>
    </row>
    <row r="577" spans="1:20" x14ac:dyDescent="0.25">
      <c r="A577" s="5"/>
      <c r="B577" s="5"/>
      <c r="C577" s="14"/>
      <c r="D577" s="5"/>
      <c r="E577" s="5"/>
      <c r="F577" s="7"/>
      <c r="G577" s="7"/>
      <c r="H577" s="11"/>
      <c r="I577" s="11"/>
      <c r="J577" s="11"/>
      <c r="K577" s="5"/>
      <c r="L577" s="6"/>
      <c r="M577" s="5"/>
      <c r="N577" s="11"/>
      <c r="O577" s="7"/>
      <c r="P577" s="7"/>
      <c r="Q577" s="7"/>
      <c r="R577" s="11"/>
      <c r="S577" s="7"/>
      <c r="T577" s="5"/>
    </row>
    <row r="578" spans="1:20" x14ac:dyDescent="0.25">
      <c r="A578" s="5"/>
      <c r="B578" s="5"/>
      <c r="C578" s="14"/>
      <c r="D578" s="5"/>
      <c r="E578" s="5"/>
      <c r="F578" s="7"/>
      <c r="G578" s="7"/>
      <c r="H578" s="11"/>
      <c r="I578" s="11"/>
      <c r="J578" s="11"/>
      <c r="K578" s="5"/>
      <c r="L578" s="6"/>
      <c r="M578" s="5"/>
      <c r="N578" s="11"/>
      <c r="O578" s="7"/>
      <c r="P578" s="7"/>
      <c r="Q578" s="7"/>
      <c r="R578" s="11"/>
      <c r="S578" s="7"/>
      <c r="T578" s="5"/>
    </row>
    <row r="579" spans="1:20" x14ac:dyDescent="0.25">
      <c r="A579" s="5"/>
      <c r="B579" s="5"/>
      <c r="C579" s="14"/>
      <c r="D579" s="5"/>
      <c r="E579" s="5"/>
      <c r="F579" s="7"/>
      <c r="G579" s="7"/>
      <c r="H579" s="11"/>
      <c r="I579" s="11"/>
      <c r="J579" s="11"/>
      <c r="K579" s="5"/>
      <c r="L579" s="6"/>
      <c r="M579" s="5"/>
      <c r="N579" s="11"/>
      <c r="O579" s="7"/>
      <c r="P579" s="7"/>
      <c r="Q579" s="7"/>
      <c r="R579" s="11"/>
      <c r="S579" s="7"/>
      <c r="T579" s="5"/>
    </row>
    <row r="580" spans="1:20" x14ac:dyDescent="0.25">
      <c r="A580" s="5"/>
      <c r="B580" s="5"/>
      <c r="C580" s="14"/>
      <c r="D580" s="5"/>
      <c r="E580" s="5"/>
      <c r="F580" s="7"/>
      <c r="G580" s="7"/>
      <c r="H580" s="11"/>
      <c r="I580" s="11"/>
      <c r="J580" s="11"/>
      <c r="K580" s="5"/>
      <c r="L580" s="6"/>
      <c r="M580" s="5"/>
      <c r="N580" s="11"/>
      <c r="O580" s="7"/>
      <c r="P580" s="7"/>
      <c r="Q580" s="7"/>
      <c r="R580" s="11"/>
      <c r="S580" s="7"/>
      <c r="T580" s="5"/>
    </row>
    <row r="581" spans="1:20" x14ac:dyDescent="0.25">
      <c r="A581" s="5"/>
      <c r="B581" s="5"/>
      <c r="C581" s="14"/>
      <c r="D581" s="5"/>
      <c r="E581" s="5"/>
      <c r="F581" s="7"/>
      <c r="G581" s="7"/>
      <c r="H581" s="11"/>
      <c r="I581" s="11"/>
      <c r="J581" s="11"/>
      <c r="K581" s="5"/>
      <c r="L581" s="6"/>
      <c r="M581" s="5"/>
      <c r="N581" s="11"/>
      <c r="O581" s="7"/>
      <c r="P581" s="7"/>
      <c r="Q581" s="7"/>
      <c r="R581" s="11"/>
      <c r="S581" s="7"/>
      <c r="T581" s="5"/>
    </row>
    <row r="582" spans="1:20" x14ac:dyDescent="0.25">
      <c r="A582" s="5"/>
      <c r="B582" s="5"/>
      <c r="C582" s="14"/>
      <c r="D582" s="5"/>
      <c r="E582" s="5"/>
      <c r="F582" s="7"/>
      <c r="G582" s="7"/>
      <c r="H582" s="11"/>
      <c r="I582" s="11"/>
      <c r="J582" s="11"/>
      <c r="K582" s="5"/>
      <c r="L582" s="6"/>
      <c r="M582" s="5"/>
      <c r="N582" s="11"/>
      <c r="O582" s="7"/>
      <c r="P582" s="7"/>
      <c r="Q582" s="7"/>
      <c r="R582" s="11"/>
      <c r="S582" s="7"/>
      <c r="T582" s="5"/>
    </row>
    <row r="583" spans="1:20" x14ac:dyDescent="0.25">
      <c r="A583" s="5"/>
      <c r="B583" s="5"/>
      <c r="C583" s="14"/>
      <c r="D583" s="5"/>
      <c r="E583" s="5"/>
      <c r="F583" s="7"/>
      <c r="G583" s="7"/>
      <c r="H583" s="11"/>
      <c r="I583" s="11"/>
      <c r="J583" s="11"/>
      <c r="K583" s="5"/>
      <c r="L583" s="6"/>
      <c r="M583" s="5"/>
      <c r="N583" s="11"/>
      <c r="O583" s="7"/>
      <c r="P583" s="7"/>
      <c r="Q583" s="7"/>
      <c r="R583" s="11"/>
      <c r="S583" s="7"/>
      <c r="T583" s="5"/>
    </row>
    <row r="584" spans="1:20" x14ac:dyDescent="0.25">
      <c r="A584" s="5"/>
      <c r="B584" s="5"/>
      <c r="C584" s="14"/>
      <c r="D584" s="5"/>
      <c r="E584" s="5"/>
      <c r="F584" s="7"/>
      <c r="G584" s="7"/>
      <c r="H584" s="11"/>
      <c r="I584" s="11"/>
      <c r="J584" s="11"/>
      <c r="K584" s="5"/>
      <c r="L584" s="6"/>
      <c r="M584" s="5"/>
      <c r="N584" s="11"/>
      <c r="O584" s="7"/>
      <c r="P584" s="7"/>
      <c r="Q584" s="7"/>
      <c r="R584" s="11"/>
      <c r="S584" s="7"/>
      <c r="T584" s="5"/>
    </row>
    <row r="585" spans="1:20" x14ac:dyDescent="0.25">
      <c r="A585" s="5"/>
      <c r="B585" s="5"/>
      <c r="C585" s="14"/>
      <c r="D585" s="5"/>
      <c r="E585" s="5"/>
      <c r="F585" s="7"/>
      <c r="G585" s="7"/>
      <c r="H585" s="11"/>
      <c r="I585" s="11"/>
      <c r="J585" s="11"/>
      <c r="K585" s="5"/>
      <c r="L585" s="6"/>
      <c r="M585" s="5"/>
      <c r="N585" s="11"/>
      <c r="O585" s="7"/>
      <c r="P585" s="7"/>
      <c r="Q585" s="7"/>
      <c r="R585" s="11"/>
      <c r="S585" s="7"/>
      <c r="T585" s="5"/>
    </row>
    <row r="586" spans="1:20" x14ac:dyDescent="0.25">
      <c r="A586" s="5"/>
      <c r="B586" s="5"/>
      <c r="C586" s="14"/>
      <c r="D586" s="5"/>
      <c r="E586" s="5"/>
      <c r="F586" s="7"/>
      <c r="G586" s="7"/>
      <c r="H586" s="11"/>
      <c r="I586" s="11"/>
      <c r="J586" s="11"/>
      <c r="K586" s="5"/>
      <c r="L586" s="6"/>
      <c r="M586" s="5"/>
      <c r="N586" s="11"/>
      <c r="O586" s="7"/>
      <c r="P586" s="7"/>
      <c r="Q586" s="7"/>
      <c r="R586" s="11"/>
      <c r="S586" s="7"/>
      <c r="T586" s="5"/>
    </row>
    <row r="587" spans="1:20" x14ac:dyDescent="0.25">
      <c r="A587" s="5"/>
      <c r="B587" s="5"/>
      <c r="C587" s="14"/>
      <c r="D587" s="5"/>
      <c r="E587" s="5"/>
      <c r="F587" s="7"/>
      <c r="G587" s="7"/>
      <c r="H587" s="11"/>
      <c r="I587" s="11"/>
      <c r="J587" s="11"/>
      <c r="K587" s="5"/>
      <c r="L587" s="6"/>
      <c r="M587" s="5"/>
      <c r="N587" s="11"/>
      <c r="O587" s="7"/>
      <c r="P587" s="7"/>
      <c r="Q587" s="7"/>
      <c r="R587" s="11"/>
      <c r="S587" s="7"/>
      <c r="T587" s="5"/>
    </row>
    <row r="588" spans="1:20" x14ac:dyDescent="0.25">
      <c r="A588" s="5"/>
      <c r="B588" s="5"/>
      <c r="C588" s="14"/>
      <c r="D588" s="5"/>
      <c r="E588" s="5"/>
      <c r="F588" s="7"/>
      <c r="G588" s="7"/>
      <c r="H588" s="11"/>
      <c r="I588" s="11"/>
      <c r="J588" s="11"/>
      <c r="K588" s="5"/>
      <c r="L588" s="6"/>
      <c r="M588" s="5"/>
      <c r="N588" s="11"/>
      <c r="O588" s="7"/>
      <c r="P588" s="7"/>
      <c r="Q588" s="7"/>
      <c r="R588" s="11"/>
      <c r="S588" s="7"/>
      <c r="T588" s="5"/>
    </row>
    <row r="589" spans="1:20" x14ac:dyDescent="0.25">
      <c r="A589" s="5"/>
      <c r="B589" s="5"/>
      <c r="C589" s="14"/>
      <c r="D589" s="5"/>
      <c r="E589" s="5"/>
      <c r="F589" s="7"/>
      <c r="G589" s="7"/>
      <c r="H589" s="11"/>
      <c r="I589" s="11"/>
      <c r="J589" s="11"/>
      <c r="K589" s="5"/>
      <c r="L589" s="6"/>
      <c r="M589" s="5"/>
      <c r="N589" s="11"/>
      <c r="O589" s="7"/>
      <c r="P589" s="7"/>
      <c r="Q589" s="7"/>
      <c r="R589" s="11"/>
      <c r="S589" s="7"/>
      <c r="T589" s="5"/>
    </row>
    <row r="590" spans="1:20" x14ac:dyDescent="0.25">
      <c r="A590" s="5"/>
      <c r="B590" s="5"/>
      <c r="C590" s="14"/>
      <c r="D590" s="5"/>
      <c r="E590" s="5"/>
      <c r="F590" s="7"/>
      <c r="G590" s="7"/>
      <c r="H590" s="11"/>
      <c r="I590" s="11"/>
      <c r="J590" s="11"/>
      <c r="K590" s="5"/>
      <c r="L590" s="6"/>
      <c r="M590" s="5"/>
      <c r="N590" s="11"/>
      <c r="O590" s="7"/>
      <c r="P590" s="7"/>
      <c r="Q590" s="7"/>
      <c r="R590" s="11"/>
      <c r="S590" s="7"/>
      <c r="T590" s="5"/>
    </row>
    <row r="591" spans="1:20" x14ac:dyDescent="0.25">
      <c r="A591" s="5"/>
      <c r="B591" s="5"/>
      <c r="C591" s="14"/>
      <c r="D591" s="5"/>
      <c r="E591" s="5"/>
      <c r="F591" s="7"/>
      <c r="G591" s="7"/>
      <c r="H591" s="11"/>
      <c r="I591" s="11"/>
      <c r="J591" s="11"/>
      <c r="K591" s="5"/>
      <c r="L591" s="6"/>
      <c r="M591" s="5"/>
      <c r="N591" s="11"/>
      <c r="O591" s="7"/>
      <c r="P591" s="7"/>
      <c r="Q591" s="7"/>
      <c r="R591" s="11"/>
      <c r="S591" s="7"/>
      <c r="T591" s="5"/>
    </row>
    <row r="592" spans="1:20" x14ac:dyDescent="0.25">
      <c r="A592" s="5"/>
      <c r="B592" s="5"/>
      <c r="C592" s="14"/>
      <c r="D592" s="5"/>
      <c r="E592" s="5"/>
      <c r="F592" s="7"/>
      <c r="G592" s="7"/>
      <c r="H592" s="11"/>
      <c r="I592" s="11"/>
      <c r="J592" s="11"/>
      <c r="K592" s="5"/>
      <c r="L592" s="6"/>
      <c r="M592" s="5"/>
      <c r="N592" s="11"/>
      <c r="O592" s="7"/>
      <c r="P592" s="7"/>
      <c r="Q592" s="7"/>
      <c r="R592" s="11"/>
      <c r="S592" s="7"/>
      <c r="T592" s="5"/>
    </row>
    <row r="593" spans="1:20" x14ac:dyDescent="0.25">
      <c r="A593" s="5"/>
      <c r="B593" s="5"/>
      <c r="C593" s="14"/>
      <c r="D593" s="5"/>
      <c r="E593" s="5"/>
      <c r="F593" s="7"/>
      <c r="G593" s="7"/>
      <c r="H593" s="11"/>
      <c r="I593" s="11"/>
      <c r="J593" s="11"/>
      <c r="K593" s="5"/>
      <c r="L593" s="6"/>
      <c r="M593" s="5"/>
      <c r="N593" s="11"/>
      <c r="O593" s="7"/>
      <c r="P593" s="7"/>
      <c r="Q593" s="7"/>
      <c r="R593" s="11"/>
      <c r="S593" s="7"/>
      <c r="T593" s="5"/>
    </row>
    <row r="594" spans="1:20" x14ac:dyDescent="0.25">
      <c r="A594" s="5"/>
      <c r="B594" s="5"/>
      <c r="C594" s="14"/>
      <c r="D594" s="5"/>
      <c r="E594" s="5"/>
      <c r="F594" s="7"/>
      <c r="G594" s="7"/>
      <c r="H594" s="11"/>
      <c r="I594" s="11"/>
      <c r="J594" s="11"/>
      <c r="K594" s="5"/>
      <c r="L594" s="6"/>
      <c r="M594" s="5"/>
      <c r="N594" s="11"/>
      <c r="O594" s="7"/>
      <c r="P594" s="7"/>
      <c r="Q594" s="7"/>
      <c r="R594" s="11"/>
      <c r="S594" s="7"/>
      <c r="T594" s="5"/>
    </row>
    <row r="595" spans="1:20" x14ac:dyDescent="0.25">
      <c r="A595" s="5"/>
      <c r="B595" s="5"/>
      <c r="C595" s="14"/>
      <c r="D595" s="5"/>
      <c r="E595" s="5"/>
      <c r="F595" s="7"/>
      <c r="G595" s="7"/>
      <c r="H595" s="11"/>
      <c r="I595" s="11"/>
      <c r="J595" s="11"/>
      <c r="K595" s="5"/>
      <c r="L595" s="6"/>
      <c r="M595" s="5"/>
      <c r="N595" s="11"/>
      <c r="O595" s="7"/>
      <c r="P595" s="7"/>
      <c r="Q595" s="7"/>
      <c r="R595" s="11"/>
      <c r="S595" s="7"/>
      <c r="T595" s="5"/>
    </row>
    <row r="596" spans="1:20" x14ac:dyDescent="0.25">
      <c r="A596" s="5"/>
      <c r="B596" s="5"/>
      <c r="C596" s="14"/>
      <c r="D596" s="5"/>
      <c r="E596" s="5"/>
      <c r="F596" s="7"/>
      <c r="G596" s="7"/>
      <c r="H596" s="11"/>
      <c r="I596" s="11"/>
      <c r="J596" s="11"/>
      <c r="K596" s="5"/>
      <c r="L596" s="6"/>
      <c r="M596" s="5"/>
      <c r="N596" s="11"/>
      <c r="O596" s="7"/>
      <c r="P596" s="7"/>
      <c r="Q596" s="7"/>
      <c r="R596" s="11"/>
      <c r="S596" s="7"/>
      <c r="T596" s="5"/>
    </row>
    <row r="597" spans="1:20" x14ac:dyDescent="0.25">
      <c r="A597" s="5"/>
      <c r="B597" s="5"/>
      <c r="C597" s="14"/>
      <c r="D597" s="5"/>
      <c r="E597" s="5"/>
      <c r="F597" s="7"/>
      <c r="G597" s="7"/>
      <c r="H597" s="11"/>
      <c r="I597" s="11"/>
      <c r="J597" s="11"/>
      <c r="K597" s="5"/>
      <c r="L597" s="6"/>
      <c r="M597" s="5"/>
      <c r="N597" s="11"/>
      <c r="O597" s="7"/>
      <c r="P597" s="7"/>
      <c r="Q597" s="7"/>
      <c r="R597" s="11"/>
      <c r="S597" s="7"/>
      <c r="T597" s="5"/>
    </row>
    <row r="598" spans="1:20" x14ac:dyDescent="0.25">
      <c r="A598" s="5"/>
      <c r="B598" s="5"/>
      <c r="C598" s="14"/>
      <c r="D598" s="5"/>
      <c r="E598" s="5"/>
      <c r="F598" s="7"/>
      <c r="G598" s="7"/>
      <c r="H598" s="11"/>
      <c r="I598" s="11"/>
      <c r="J598" s="11"/>
      <c r="K598" s="5"/>
      <c r="L598" s="6"/>
      <c r="M598" s="5"/>
      <c r="N598" s="11"/>
      <c r="O598" s="7"/>
      <c r="P598" s="7"/>
      <c r="Q598" s="7"/>
      <c r="R598" s="11"/>
      <c r="S598" s="7"/>
      <c r="T598" s="5"/>
    </row>
    <row r="599" spans="1:20" x14ac:dyDescent="0.25">
      <c r="A599" s="5"/>
      <c r="B599" s="5"/>
      <c r="C599" s="14"/>
      <c r="D599" s="5"/>
      <c r="E599" s="5"/>
      <c r="F599" s="7"/>
      <c r="G599" s="7"/>
      <c r="H599" s="11"/>
      <c r="I599" s="11"/>
      <c r="J599" s="11"/>
      <c r="K599" s="5"/>
      <c r="L599" s="6"/>
      <c r="M599" s="5"/>
      <c r="N599" s="11"/>
      <c r="O599" s="7"/>
      <c r="P599" s="7"/>
      <c r="Q599" s="7"/>
      <c r="R599" s="11"/>
      <c r="S599" s="7"/>
      <c r="T599" s="5"/>
    </row>
    <row r="600" spans="1:20" x14ac:dyDescent="0.25">
      <c r="A600" s="5"/>
      <c r="B600" s="5"/>
      <c r="C600" s="14"/>
      <c r="D600" s="5"/>
      <c r="E600" s="5"/>
      <c r="F600" s="7"/>
      <c r="G600" s="7"/>
      <c r="H600" s="11"/>
      <c r="I600" s="11"/>
      <c r="J600" s="11"/>
      <c r="K600" s="5"/>
      <c r="L600" s="6"/>
      <c r="M600" s="5"/>
      <c r="N600" s="11"/>
      <c r="O600" s="7"/>
      <c r="P600" s="7"/>
      <c r="Q600" s="7"/>
      <c r="R600" s="11"/>
      <c r="S600" s="7"/>
      <c r="T600" s="5"/>
    </row>
    <row r="601" spans="1:20" x14ac:dyDescent="0.25">
      <c r="A601" s="5"/>
      <c r="B601" s="5"/>
      <c r="C601" s="14"/>
      <c r="D601" s="5"/>
      <c r="E601" s="5"/>
      <c r="F601" s="7"/>
      <c r="G601" s="7"/>
      <c r="H601" s="11"/>
      <c r="I601" s="11"/>
      <c r="J601" s="11"/>
      <c r="K601" s="5"/>
      <c r="L601" s="6"/>
      <c r="M601" s="5"/>
      <c r="N601" s="11"/>
      <c r="O601" s="7"/>
      <c r="P601" s="7"/>
      <c r="Q601" s="7"/>
      <c r="R601" s="11"/>
      <c r="S601" s="7"/>
      <c r="T601" s="5"/>
    </row>
    <row r="602" spans="1:20" x14ac:dyDescent="0.25">
      <c r="A602" s="5"/>
      <c r="B602" s="5"/>
      <c r="C602" s="14"/>
      <c r="D602" s="5"/>
      <c r="E602" s="5"/>
      <c r="F602" s="7"/>
      <c r="G602" s="7"/>
      <c r="H602" s="11"/>
      <c r="I602" s="11"/>
      <c r="J602" s="11"/>
      <c r="K602" s="5"/>
      <c r="L602" s="6"/>
      <c r="M602" s="5"/>
      <c r="N602" s="11"/>
      <c r="O602" s="7"/>
      <c r="P602" s="7"/>
      <c r="Q602" s="7"/>
      <c r="R602" s="11"/>
      <c r="S602" s="7"/>
      <c r="T602" s="5"/>
    </row>
    <row r="603" spans="1:20" x14ac:dyDescent="0.25">
      <c r="A603" s="5"/>
      <c r="B603" s="5"/>
      <c r="C603" s="14"/>
      <c r="D603" s="5"/>
      <c r="E603" s="5"/>
      <c r="F603" s="7"/>
      <c r="G603" s="7"/>
      <c r="H603" s="11"/>
      <c r="I603" s="11"/>
      <c r="J603" s="11"/>
      <c r="K603" s="5"/>
      <c r="L603" s="6"/>
      <c r="M603" s="5"/>
      <c r="N603" s="11"/>
      <c r="O603" s="7"/>
      <c r="P603" s="7"/>
      <c r="Q603" s="7"/>
      <c r="R603" s="11"/>
      <c r="S603" s="7"/>
      <c r="T603" s="5"/>
    </row>
    <row r="604" spans="1:20" x14ac:dyDescent="0.25">
      <c r="A604" s="5"/>
      <c r="B604" s="5"/>
      <c r="C604" s="14"/>
      <c r="D604" s="5"/>
      <c r="E604" s="5"/>
      <c r="F604" s="7"/>
      <c r="G604" s="7"/>
      <c r="H604" s="11"/>
      <c r="I604" s="11"/>
      <c r="J604" s="11"/>
      <c r="K604" s="5"/>
      <c r="L604" s="6"/>
      <c r="M604" s="5"/>
      <c r="N604" s="11"/>
      <c r="O604" s="7"/>
      <c r="P604" s="7"/>
      <c r="Q604" s="7"/>
      <c r="R604" s="11"/>
      <c r="S604" s="7"/>
      <c r="T604" s="5"/>
    </row>
    <row r="605" spans="1:20" x14ac:dyDescent="0.25">
      <c r="A605" s="5"/>
      <c r="B605" s="5"/>
      <c r="C605" s="14"/>
      <c r="D605" s="5"/>
      <c r="E605" s="5"/>
      <c r="F605" s="7"/>
      <c r="G605" s="7"/>
      <c r="H605" s="11"/>
      <c r="I605" s="11"/>
      <c r="J605" s="11"/>
      <c r="K605" s="5"/>
      <c r="L605" s="6"/>
      <c r="M605" s="5"/>
      <c r="N605" s="11"/>
      <c r="O605" s="7"/>
      <c r="P605" s="7"/>
      <c r="Q605" s="7"/>
      <c r="R605" s="11"/>
      <c r="S605" s="7"/>
      <c r="T605" s="5"/>
    </row>
    <row r="606" spans="1:20" x14ac:dyDescent="0.25">
      <c r="A606" s="5"/>
      <c r="B606" s="5"/>
      <c r="C606" s="14"/>
      <c r="D606" s="5"/>
      <c r="E606" s="5"/>
      <c r="F606" s="7"/>
      <c r="G606" s="7"/>
      <c r="H606" s="11"/>
      <c r="I606" s="11"/>
      <c r="J606" s="11"/>
      <c r="K606" s="5"/>
      <c r="L606" s="6"/>
      <c r="M606" s="5"/>
      <c r="N606" s="11"/>
      <c r="O606" s="7"/>
      <c r="P606" s="7"/>
      <c r="Q606" s="7"/>
      <c r="R606" s="11"/>
      <c r="S606" s="7"/>
      <c r="T606" s="5"/>
    </row>
    <row r="607" spans="1:20" x14ac:dyDescent="0.25">
      <c r="A607" s="5"/>
      <c r="B607" s="5"/>
      <c r="C607" s="14"/>
      <c r="D607" s="5"/>
      <c r="E607" s="5"/>
      <c r="F607" s="7"/>
      <c r="G607" s="7"/>
      <c r="H607" s="11"/>
      <c r="I607" s="11"/>
      <c r="J607" s="11"/>
      <c r="K607" s="5"/>
      <c r="L607" s="6"/>
      <c r="M607" s="5"/>
      <c r="N607" s="11"/>
      <c r="O607" s="7"/>
      <c r="P607" s="7"/>
      <c r="Q607" s="7"/>
      <c r="R607" s="11"/>
      <c r="S607" s="7"/>
      <c r="T607" s="5"/>
    </row>
    <row r="608" spans="1:20" x14ac:dyDescent="0.25">
      <c r="A608" s="5"/>
      <c r="B608" s="5"/>
      <c r="C608" s="14"/>
      <c r="D608" s="5"/>
      <c r="E608" s="5"/>
      <c r="F608" s="7"/>
      <c r="G608" s="7"/>
      <c r="H608" s="11"/>
      <c r="I608" s="11"/>
      <c r="J608" s="11"/>
      <c r="K608" s="5"/>
      <c r="L608" s="6"/>
      <c r="M608" s="5"/>
      <c r="N608" s="11"/>
      <c r="O608" s="7"/>
      <c r="P608" s="7"/>
      <c r="Q608" s="7"/>
      <c r="R608" s="11"/>
      <c r="S608" s="7"/>
      <c r="T608" s="5"/>
    </row>
    <row r="609" spans="1:20" x14ac:dyDescent="0.25">
      <c r="A609" s="5"/>
      <c r="B609" s="5"/>
      <c r="C609" s="14"/>
      <c r="D609" s="5"/>
      <c r="E609" s="5"/>
      <c r="F609" s="7"/>
      <c r="G609" s="7"/>
      <c r="H609" s="11"/>
      <c r="I609" s="11"/>
      <c r="J609" s="11"/>
      <c r="K609" s="5"/>
      <c r="L609" s="6"/>
      <c r="M609" s="5"/>
      <c r="N609" s="11"/>
      <c r="O609" s="7"/>
      <c r="P609" s="7"/>
      <c r="Q609" s="7"/>
      <c r="R609" s="11"/>
      <c r="S609" s="7"/>
      <c r="T609" s="5"/>
    </row>
    <row r="610" spans="1:20" x14ac:dyDescent="0.25">
      <c r="A610" s="5"/>
      <c r="B610" s="5"/>
      <c r="C610" s="14"/>
      <c r="D610" s="5"/>
      <c r="E610" s="5"/>
      <c r="F610" s="7"/>
      <c r="G610" s="7"/>
      <c r="H610" s="11"/>
      <c r="I610" s="11"/>
      <c r="J610" s="11"/>
      <c r="K610" s="5"/>
      <c r="L610" s="6"/>
      <c r="M610" s="5"/>
      <c r="N610" s="11"/>
      <c r="O610" s="7"/>
      <c r="P610" s="7"/>
      <c r="Q610" s="7"/>
      <c r="R610" s="11"/>
      <c r="S610" s="7"/>
      <c r="T610" s="5"/>
    </row>
    <row r="611" spans="1:20" x14ac:dyDescent="0.25">
      <c r="A611" s="5"/>
      <c r="B611" s="5"/>
      <c r="C611" s="14"/>
      <c r="D611" s="5"/>
      <c r="E611" s="5"/>
      <c r="F611" s="7"/>
      <c r="G611" s="7"/>
      <c r="H611" s="11"/>
      <c r="I611" s="11"/>
      <c r="J611" s="11"/>
      <c r="K611" s="5"/>
      <c r="L611" s="6"/>
      <c r="M611" s="5"/>
      <c r="N611" s="11"/>
      <c r="O611" s="7"/>
      <c r="P611" s="7"/>
      <c r="Q611" s="7"/>
      <c r="R611" s="11"/>
      <c r="S611" s="7"/>
      <c r="T611" s="5"/>
    </row>
    <row r="612" spans="1:20" x14ac:dyDescent="0.25">
      <c r="A612" s="5"/>
      <c r="B612" s="5"/>
      <c r="C612" s="14"/>
      <c r="D612" s="5"/>
      <c r="E612" s="5"/>
      <c r="F612" s="7"/>
      <c r="G612" s="7"/>
      <c r="H612" s="11"/>
      <c r="I612" s="11"/>
      <c r="J612" s="11"/>
      <c r="K612" s="5"/>
      <c r="L612" s="6"/>
      <c r="M612" s="5"/>
      <c r="N612" s="11"/>
      <c r="O612" s="7"/>
      <c r="P612" s="7"/>
      <c r="Q612" s="7"/>
      <c r="R612" s="11"/>
      <c r="S612" s="7"/>
      <c r="T612" s="5"/>
    </row>
    <row r="613" spans="1:20" x14ac:dyDescent="0.25">
      <c r="A613" s="5"/>
      <c r="B613" s="5"/>
      <c r="C613" s="14"/>
      <c r="D613" s="5"/>
      <c r="E613" s="5"/>
      <c r="F613" s="7"/>
      <c r="G613" s="7"/>
      <c r="H613" s="11"/>
      <c r="I613" s="11"/>
      <c r="J613" s="11"/>
      <c r="K613" s="5"/>
      <c r="L613" s="6"/>
      <c r="M613" s="5"/>
      <c r="N613" s="11"/>
      <c r="O613" s="7"/>
      <c r="P613" s="7"/>
      <c r="Q613" s="7"/>
      <c r="R613" s="11"/>
      <c r="S613" s="7"/>
      <c r="T613" s="5"/>
    </row>
    <row r="614" spans="1:20" x14ac:dyDescent="0.25">
      <c r="A614" s="5"/>
      <c r="B614" s="5"/>
      <c r="C614" s="14"/>
      <c r="D614" s="5"/>
      <c r="E614" s="5"/>
      <c r="F614" s="7"/>
      <c r="G614" s="7"/>
      <c r="H614" s="11"/>
      <c r="I614" s="11"/>
      <c r="J614" s="11"/>
      <c r="K614" s="5"/>
      <c r="L614" s="6"/>
      <c r="M614" s="5"/>
      <c r="N614" s="11"/>
      <c r="O614" s="7"/>
      <c r="P614" s="7"/>
      <c r="Q614" s="7"/>
      <c r="R614" s="11"/>
      <c r="S614" s="7"/>
      <c r="T614" s="5"/>
    </row>
    <row r="615" spans="1:20" x14ac:dyDescent="0.25">
      <c r="A615" s="5"/>
      <c r="B615" s="5"/>
      <c r="C615" s="14"/>
      <c r="D615" s="5"/>
      <c r="E615" s="5"/>
      <c r="F615" s="7"/>
      <c r="G615" s="7"/>
      <c r="H615" s="11"/>
      <c r="I615" s="11"/>
      <c r="J615" s="11"/>
      <c r="K615" s="5"/>
      <c r="L615" s="6"/>
      <c r="M615" s="5"/>
      <c r="N615" s="11"/>
      <c r="O615" s="7"/>
      <c r="P615" s="7"/>
      <c r="Q615" s="7"/>
      <c r="R615" s="11"/>
      <c r="S615" s="7"/>
      <c r="T615" s="5"/>
    </row>
    <row r="616" spans="1:20" x14ac:dyDescent="0.25">
      <c r="A616" s="5"/>
      <c r="B616" s="5"/>
      <c r="C616" s="14"/>
      <c r="D616" s="5"/>
      <c r="E616" s="5"/>
      <c r="F616" s="7"/>
      <c r="G616" s="7"/>
      <c r="H616" s="11"/>
      <c r="I616" s="11"/>
      <c r="J616" s="11"/>
      <c r="K616" s="5"/>
      <c r="L616" s="6"/>
      <c r="M616" s="5"/>
      <c r="N616" s="11"/>
      <c r="O616" s="7"/>
      <c r="P616" s="7"/>
      <c r="Q616" s="7"/>
      <c r="R616" s="11"/>
      <c r="S616" s="7"/>
      <c r="T616" s="5"/>
    </row>
    <row r="617" spans="1:20" x14ac:dyDescent="0.25">
      <c r="A617" s="5"/>
      <c r="B617" s="5"/>
      <c r="C617" s="14"/>
      <c r="D617" s="5"/>
      <c r="E617" s="5"/>
      <c r="F617" s="7"/>
      <c r="G617" s="7"/>
      <c r="H617" s="11"/>
      <c r="I617" s="11"/>
      <c r="J617" s="11"/>
      <c r="K617" s="5"/>
      <c r="L617" s="6"/>
      <c r="M617" s="5"/>
      <c r="N617" s="11"/>
      <c r="O617" s="7"/>
      <c r="P617" s="7"/>
      <c r="Q617" s="7"/>
      <c r="R617" s="11"/>
      <c r="S617" s="7"/>
      <c r="T617" s="5"/>
    </row>
    <row r="618" spans="1:20" x14ac:dyDescent="0.25">
      <c r="A618" s="5"/>
      <c r="B618" s="5"/>
      <c r="C618" s="14"/>
      <c r="D618" s="5"/>
      <c r="E618" s="5"/>
      <c r="F618" s="7"/>
      <c r="G618" s="7"/>
      <c r="H618" s="11"/>
      <c r="I618" s="11"/>
      <c r="J618" s="11"/>
      <c r="K618" s="5"/>
      <c r="L618" s="6"/>
      <c r="M618" s="5"/>
      <c r="N618" s="11"/>
      <c r="O618" s="7"/>
      <c r="P618" s="7"/>
      <c r="Q618" s="7"/>
      <c r="R618" s="11"/>
      <c r="S618" s="7"/>
      <c r="T618" s="5"/>
    </row>
    <row r="619" spans="1:20" x14ac:dyDescent="0.25">
      <c r="A619" s="5"/>
      <c r="B619" s="5"/>
      <c r="C619" s="14"/>
      <c r="D619" s="5"/>
      <c r="E619" s="5"/>
      <c r="F619" s="7"/>
      <c r="G619" s="7"/>
      <c r="H619" s="11"/>
      <c r="I619" s="11"/>
      <c r="J619" s="11"/>
      <c r="K619" s="5"/>
      <c r="L619" s="6"/>
      <c r="M619" s="5"/>
      <c r="N619" s="11"/>
      <c r="O619" s="7"/>
      <c r="P619" s="7"/>
      <c r="Q619" s="7"/>
      <c r="R619" s="11"/>
      <c r="S619" s="7"/>
      <c r="T619" s="5"/>
    </row>
    <row r="620" spans="1:20" x14ac:dyDescent="0.25">
      <c r="A620" s="5"/>
      <c r="B620" s="5"/>
      <c r="C620" s="14"/>
      <c r="D620" s="5"/>
      <c r="E620" s="5"/>
      <c r="F620" s="7"/>
      <c r="G620" s="7"/>
      <c r="H620" s="11"/>
      <c r="I620" s="11"/>
      <c r="J620" s="11"/>
      <c r="K620" s="5"/>
      <c r="L620" s="6"/>
      <c r="M620" s="5"/>
      <c r="N620" s="11"/>
      <c r="O620" s="7"/>
      <c r="P620" s="7"/>
      <c r="Q620" s="7"/>
      <c r="R620" s="11"/>
      <c r="S620" s="7"/>
      <c r="T620" s="5"/>
    </row>
    <row r="621" spans="1:20" x14ac:dyDescent="0.25">
      <c r="A621" s="5"/>
      <c r="B621" s="5"/>
      <c r="C621" s="14"/>
      <c r="D621" s="5"/>
      <c r="E621" s="5"/>
      <c r="F621" s="7"/>
      <c r="G621" s="7"/>
      <c r="H621" s="11"/>
      <c r="I621" s="11"/>
      <c r="J621" s="11"/>
      <c r="K621" s="5"/>
      <c r="L621" s="6"/>
      <c r="M621" s="5"/>
      <c r="N621" s="11"/>
      <c r="O621" s="7"/>
      <c r="P621" s="7"/>
      <c r="Q621" s="7"/>
      <c r="R621" s="11"/>
      <c r="S621" s="7"/>
      <c r="T621" s="5"/>
    </row>
    <row r="622" spans="1:20" x14ac:dyDescent="0.25">
      <c r="A622" s="5"/>
      <c r="B622" s="5"/>
      <c r="C622" s="14"/>
      <c r="D622" s="5"/>
      <c r="E622" s="5"/>
      <c r="F622" s="7"/>
      <c r="G622" s="7"/>
      <c r="H622" s="11"/>
      <c r="I622" s="11"/>
      <c r="J622" s="11"/>
      <c r="K622" s="5"/>
      <c r="L622" s="6"/>
      <c r="M622" s="5"/>
      <c r="N622" s="11"/>
      <c r="O622" s="7"/>
      <c r="P622" s="7"/>
      <c r="Q622" s="7"/>
      <c r="R622" s="11"/>
      <c r="S622" s="7"/>
      <c r="T622" s="5"/>
    </row>
    <row r="623" spans="1:20" x14ac:dyDescent="0.25">
      <c r="A623" s="5"/>
      <c r="B623" s="5"/>
      <c r="C623" s="14"/>
      <c r="D623" s="5"/>
      <c r="E623" s="5"/>
      <c r="F623" s="7"/>
      <c r="G623" s="7"/>
      <c r="H623" s="11"/>
      <c r="I623" s="11"/>
      <c r="J623" s="11"/>
      <c r="K623" s="5"/>
      <c r="L623" s="6"/>
      <c r="M623" s="5"/>
      <c r="N623" s="11"/>
      <c r="O623" s="7"/>
      <c r="P623" s="7"/>
      <c r="Q623" s="7"/>
      <c r="R623" s="11"/>
      <c r="S623" s="7"/>
      <c r="T623" s="5"/>
    </row>
    <row r="624" spans="1:20" x14ac:dyDescent="0.25">
      <c r="A624" s="5"/>
      <c r="B624" s="5"/>
      <c r="C624" s="14"/>
      <c r="D624" s="5"/>
      <c r="E624" s="5"/>
      <c r="F624" s="7"/>
      <c r="G624" s="7"/>
      <c r="H624" s="11"/>
      <c r="I624" s="11"/>
      <c r="J624" s="11"/>
      <c r="K624" s="5"/>
      <c r="L624" s="6"/>
      <c r="M624" s="5"/>
      <c r="N624" s="11"/>
      <c r="O624" s="7"/>
      <c r="P624" s="7"/>
      <c r="Q624" s="7"/>
      <c r="R624" s="11"/>
      <c r="S624" s="7"/>
      <c r="T624" s="5"/>
    </row>
    <row r="625" spans="1:20" x14ac:dyDescent="0.25">
      <c r="A625" s="5"/>
      <c r="B625" s="5"/>
      <c r="C625" s="14"/>
      <c r="D625" s="5"/>
      <c r="E625" s="5"/>
      <c r="F625" s="7"/>
      <c r="G625" s="7"/>
      <c r="H625" s="11"/>
      <c r="I625" s="11"/>
      <c r="J625" s="11"/>
      <c r="K625" s="5"/>
      <c r="L625" s="6"/>
      <c r="M625" s="5"/>
      <c r="N625" s="11"/>
      <c r="O625" s="7"/>
      <c r="P625" s="7"/>
      <c r="Q625" s="7"/>
      <c r="R625" s="11"/>
      <c r="S625" s="7"/>
      <c r="T625" s="5"/>
    </row>
    <row r="626" spans="1:20" x14ac:dyDescent="0.25">
      <c r="A626" s="5"/>
      <c r="B626" s="5"/>
      <c r="C626" s="14"/>
      <c r="D626" s="5"/>
      <c r="E626" s="5"/>
      <c r="F626" s="7"/>
      <c r="G626" s="7"/>
      <c r="H626" s="11"/>
      <c r="I626" s="11"/>
      <c r="J626" s="11"/>
      <c r="K626" s="5"/>
      <c r="L626" s="6"/>
      <c r="M626" s="5"/>
      <c r="N626" s="11"/>
      <c r="O626" s="7"/>
      <c r="P626" s="7"/>
      <c r="Q626" s="7"/>
      <c r="R626" s="11"/>
      <c r="S626" s="7"/>
      <c r="T626" s="5"/>
    </row>
    <row r="627" spans="1:20" x14ac:dyDescent="0.25">
      <c r="A627" s="5"/>
      <c r="B627" s="5"/>
      <c r="C627" s="14"/>
      <c r="D627" s="5"/>
      <c r="E627" s="5"/>
      <c r="F627" s="7"/>
      <c r="G627" s="7"/>
      <c r="H627" s="11"/>
      <c r="I627" s="11"/>
      <c r="J627" s="11"/>
      <c r="K627" s="5"/>
      <c r="L627" s="6"/>
      <c r="M627" s="5"/>
      <c r="N627" s="11"/>
      <c r="O627" s="7"/>
      <c r="P627" s="7"/>
      <c r="Q627" s="7"/>
      <c r="R627" s="11"/>
      <c r="S627" s="7"/>
      <c r="T627" s="5"/>
    </row>
    <row r="628" spans="1:20" x14ac:dyDescent="0.25">
      <c r="A628" s="5"/>
      <c r="B628" s="5"/>
      <c r="C628" s="14"/>
      <c r="D628" s="5"/>
      <c r="E628" s="5"/>
      <c r="F628" s="7"/>
      <c r="G628" s="7"/>
      <c r="H628" s="11"/>
      <c r="I628" s="11"/>
      <c r="J628" s="11"/>
      <c r="K628" s="5"/>
      <c r="L628" s="6"/>
      <c r="M628" s="5"/>
      <c r="N628" s="11"/>
      <c r="O628" s="7"/>
      <c r="P628" s="7"/>
      <c r="Q628" s="7"/>
      <c r="R628" s="11"/>
      <c r="S628" s="7"/>
      <c r="T628" s="5"/>
    </row>
    <row r="629" spans="1:20" x14ac:dyDescent="0.25">
      <c r="A629" s="5"/>
      <c r="B629" s="5"/>
      <c r="C629" s="14"/>
      <c r="D629" s="5"/>
      <c r="E629" s="5"/>
      <c r="F629" s="7"/>
      <c r="G629" s="7"/>
      <c r="H629" s="11"/>
      <c r="I629" s="11"/>
      <c r="J629" s="11"/>
      <c r="K629" s="5"/>
      <c r="L629" s="6"/>
      <c r="M629" s="5"/>
      <c r="N629" s="11"/>
      <c r="O629" s="7"/>
      <c r="P629" s="7"/>
      <c r="Q629" s="7"/>
      <c r="R629" s="11"/>
      <c r="S629" s="7"/>
      <c r="T629" s="5"/>
    </row>
    <row r="630" spans="1:20" x14ac:dyDescent="0.25">
      <c r="A630" s="5"/>
      <c r="B630" s="5"/>
      <c r="C630" s="14"/>
      <c r="D630" s="5"/>
      <c r="E630" s="5"/>
      <c r="F630" s="7"/>
      <c r="G630" s="7"/>
      <c r="H630" s="11"/>
      <c r="I630" s="11"/>
      <c r="J630" s="11"/>
      <c r="K630" s="5"/>
      <c r="L630" s="6"/>
      <c r="M630" s="5"/>
      <c r="N630" s="11"/>
      <c r="O630" s="7"/>
      <c r="P630" s="7"/>
      <c r="Q630" s="7"/>
      <c r="R630" s="11"/>
      <c r="S630" s="7"/>
      <c r="T630" s="5"/>
    </row>
    <row r="631" spans="1:20" x14ac:dyDescent="0.25">
      <c r="A631" s="5"/>
      <c r="B631" s="5"/>
      <c r="C631" s="14"/>
      <c r="D631" s="5"/>
      <c r="E631" s="5"/>
      <c r="F631" s="7"/>
      <c r="G631" s="7"/>
      <c r="H631" s="11"/>
      <c r="I631" s="11"/>
      <c r="J631" s="11"/>
      <c r="K631" s="5"/>
      <c r="L631" s="6"/>
      <c r="M631" s="5"/>
      <c r="N631" s="11"/>
      <c r="O631" s="7"/>
      <c r="P631" s="7"/>
      <c r="Q631" s="7"/>
      <c r="R631" s="11"/>
      <c r="S631" s="7"/>
      <c r="T631" s="5"/>
    </row>
    <row r="632" spans="1:20" x14ac:dyDescent="0.25">
      <c r="A632" s="5"/>
      <c r="B632" s="5"/>
      <c r="C632" s="14"/>
      <c r="D632" s="5"/>
      <c r="E632" s="5"/>
      <c r="F632" s="7"/>
      <c r="G632" s="7"/>
      <c r="H632" s="11"/>
      <c r="I632" s="11"/>
      <c r="J632" s="11"/>
      <c r="K632" s="5"/>
      <c r="L632" s="6"/>
      <c r="M632" s="5"/>
      <c r="N632" s="11"/>
      <c r="O632" s="7"/>
      <c r="P632" s="7"/>
      <c r="Q632" s="7"/>
      <c r="R632" s="11"/>
      <c r="S632" s="7"/>
      <c r="T632" s="5"/>
    </row>
    <row r="633" spans="1:20" x14ac:dyDescent="0.25">
      <c r="A633" s="5"/>
      <c r="B633" s="5"/>
      <c r="C633" s="14"/>
      <c r="D633" s="5"/>
      <c r="E633" s="5"/>
      <c r="F633" s="7"/>
      <c r="G633" s="7"/>
      <c r="H633" s="11"/>
      <c r="I633" s="11"/>
      <c r="J633" s="11"/>
      <c r="K633" s="5"/>
      <c r="L633" s="6"/>
      <c r="M633" s="5"/>
      <c r="N633" s="11"/>
      <c r="O633" s="7"/>
      <c r="P633" s="7"/>
      <c r="Q633" s="7"/>
      <c r="R633" s="11"/>
      <c r="S633" s="7"/>
      <c r="T633" s="5"/>
    </row>
    <row r="634" spans="1:20" x14ac:dyDescent="0.25">
      <c r="A634" s="5"/>
      <c r="B634" s="5"/>
      <c r="C634" s="14"/>
      <c r="D634" s="5"/>
      <c r="E634" s="5"/>
      <c r="F634" s="7"/>
      <c r="G634" s="7"/>
      <c r="H634" s="11"/>
      <c r="I634" s="11"/>
      <c r="J634" s="11"/>
      <c r="K634" s="5"/>
      <c r="L634" s="6"/>
      <c r="M634" s="5"/>
      <c r="N634" s="11"/>
      <c r="O634" s="7"/>
      <c r="P634" s="7"/>
      <c r="Q634" s="7"/>
      <c r="R634" s="11"/>
      <c r="S634" s="7"/>
      <c r="T634" s="5"/>
    </row>
    <row r="635" spans="1:20" x14ac:dyDescent="0.25">
      <c r="A635" s="5"/>
      <c r="B635" s="5"/>
      <c r="C635" s="14"/>
      <c r="D635" s="5"/>
      <c r="E635" s="5"/>
      <c r="F635" s="7"/>
      <c r="G635" s="7"/>
      <c r="H635" s="11"/>
      <c r="I635" s="11"/>
      <c r="J635" s="11"/>
      <c r="K635" s="5"/>
      <c r="L635" s="6"/>
      <c r="M635" s="5"/>
      <c r="N635" s="11"/>
      <c r="O635" s="7"/>
      <c r="P635" s="7"/>
      <c r="Q635" s="7"/>
      <c r="R635" s="11"/>
      <c r="S635" s="7"/>
      <c r="T635" s="5"/>
    </row>
    <row r="636" spans="1:20" x14ac:dyDescent="0.25">
      <c r="A636" s="5"/>
      <c r="B636" s="5"/>
      <c r="C636" s="14"/>
      <c r="D636" s="5"/>
      <c r="E636" s="5"/>
      <c r="F636" s="7"/>
      <c r="G636" s="7"/>
      <c r="H636" s="11"/>
      <c r="I636" s="11"/>
      <c r="J636" s="11"/>
      <c r="K636" s="5"/>
      <c r="L636" s="6"/>
      <c r="M636" s="5"/>
      <c r="N636" s="11"/>
      <c r="O636" s="7"/>
      <c r="P636" s="7"/>
      <c r="Q636" s="7"/>
      <c r="R636" s="11"/>
      <c r="S636" s="7"/>
      <c r="T636" s="5"/>
    </row>
    <row r="637" spans="1:20" x14ac:dyDescent="0.25">
      <c r="A637" s="5"/>
      <c r="B637" s="5"/>
      <c r="C637" s="14"/>
      <c r="D637" s="5"/>
      <c r="E637" s="5"/>
      <c r="F637" s="7"/>
      <c r="G637" s="7"/>
      <c r="H637" s="11"/>
      <c r="I637" s="11"/>
      <c r="J637" s="11"/>
      <c r="K637" s="5"/>
      <c r="L637" s="6"/>
      <c r="M637" s="5"/>
      <c r="N637" s="11"/>
      <c r="O637" s="7"/>
      <c r="P637" s="7"/>
      <c r="Q637" s="7"/>
      <c r="R637" s="11"/>
      <c r="S637" s="7"/>
      <c r="T637" s="5"/>
    </row>
    <row r="638" spans="1:20" x14ac:dyDescent="0.25">
      <c r="A638" s="5"/>
      <c r="B638" s="5"/>
      <c r="C638" s="14"/>
      <c r="D638" s="5"/>
      <c r="E638" s="5"/>
      <c r="F638" s="7"/>
      <c r="G638" s="7"/>
      <c r="H638" s="11"/>
      <c r="I638" s="11"/>
      <c r="J638" s="11"/>
      <c r="K638" s="5"/>
      <c r="L638" s="6"/>
      <c r="M638" s="5"/>
      <c r="N638" s="11"/>
      <c r="O638" s="7"/>
      <c r="P638" s="7"/>
      <c r="Q638" s="7"/>
      <c r="R638" s="11"/>
      <c r="S638" s="7"/>
      <c r="T638" s="5"/>
    </row>
    <row r="639" spans="1:20" x14ac:dyDescent="0.25">
      <c r="A639" s="5"/>
      <c r="B639" s="5"/>
      <c r="C639" s="14"/>
      <c r="D639" s="5"/>
      <c r="E639" s="5"/>
      <c r="F639" s="7"/>
      <c r="G639" s="7"/>
      <c r="H639" s="11"/>
      <c r="I639" s="11"/>
      <c r="J639" s="11"/>
      <c r="K639" s="5"/>
      <c r="L639" s="6"/>
      <c r="M639" s="5"/>
      <c r="N639" s="11"/>
      <c r="O639" s="7"/>
      <c r="P639" s="7"/>
      <c r="Q639" s="7"/>
      <c r="R639" s="11"/>
      <c r="S639" s="7"/>
      <c r="T639" s="5"/>
    </row>
    <row r="640" spans="1:20" x14ac:dyDescent="0.25">
      <c r="A640" s="5"/>
      <c r="B640" s="5"/>
      <c r="C640" s="14"/>
      <c r="D640" s="5"/>
      <c r="E640" s="5"/>
      <c r="F640" s="7"/>
      <c r="G640" s="7"/>
      <c r="H640" s="11"/>
      <c r="I640" s="11"/>
      <c r="J640" s="11"/>
      <c r="K640" s="5"/>
      <c r="L640" s="6"/>
      <c r="M640" s="5"/>
      <c r="N640" s="11"/>
      <c r="O640" s="7"/>
      <c r="P640" s="7"/>
      <c r="Q640" s="7"/>
      <c r="R640" s="11"/>
      <c r="S640" s="7"/>
      <c r="T640" s="5"/>
    </row>
    <row r="641" spans="1:20" x14ac:dyDescent="0.25">
      <c r="A641" s="5"/>
      <c r="B641" s="5"/>
      <c r="C641" s="14"/>
      <c r="D641" s="5"/>
      <c r="E641" s="5"/>
      <c r="F641" s="7"/>
      <c r="G641" s="7"/>
      <c r="H641" s="11"/>
      <c r="I641" s="11"/>
      <c r="J641" s="11"/>
      <c r="K641" s="5"/>
      <c r="L641" s="6"/>
      <c r="M641" s="5"/>
      <c r="N641" s="11"/>
      <c r="O641" s="7"/>
      <c r="P641" s="7"/>
      <c r="Q641" s="7"/>
      <c r="R641" s="11"/>
      <c r="S641" s="7"/>
      <c r="T641" s="5"/>
    </row>
    <row r="642" spans="1:20" x14ac:dyDescent="0.25">
      <c r="A642" s="5"/>
      <c r="B642" s="5"/>
      <c r="C642" s="14"/>
      <c r="D642" s="5"/>
      <c r="E642" s="5"/>
      <c r="F642" s="7"/>
      <c r="G642" s="7"/>
      <c r="H642" s="11"/>
      <c r="I642" s="11"/>
      <c r="J642" s="11"/>
      <c r="K642" s="5"/>
      <c r="L642" s="6"/>
      <c r="M642" s="5"/>
      <c r="N642" s="11"/>
      <c r="O642" s="7"/>
      <c r="P642" s="7"/>
      <c r="Q642" s="7"/>
      <c r="R642" s="11"/>
      <c r="S642" s="7"/>
      <c r="T642" s="5"/>
    </row>
    <row r="643" spans="1:20" x14ac:dyDescent="0.25">
      <c r="A643" s="5"/>
      <c r="B643" s="5"/>
      <c r="C643" s="14"/>
      <c r="D643" s="5"/>
      <c r="E643" s="5"/>
      <c r="F643" s="7"/>
      <c r="G643" s="7"/>
      <c r="H643" s="11"/>
      <c r="I643" s="11"/>
      <c r="J643" s="11"/>
      <c r="K643" s="5"/>
      <c r="L643" s="6"/>
      <c r="M643" s="5"/>
      <c r="N643" s="11"/>
      <c r="O643" s="7"/>
      <c r="P643" s="7"/>
      <c r="Q643" s="7"/>
      <c r="R643" s="11"/>
      <c r="S643" s="7"/>
      <c r="T643" s="5"/>
    </row>
    <row r="644" spans="1:20" x14ac:dyDescent="0.25">
      <c r="A644" s="5"/>
      <c r="B644" s="5"/>
      <c r="C644" s="14"/>
      <c r="D644" s="5"/>
      <c r="E644" s="5"/>
      <c r="F644" s="7"/>
      <c r="G644" s="7"/>
      <c r="H644" s="11"/>
      <c r="I644" s="11"/>
      <c r="J644" s="11"/>
      <c r="K644" s="5"/>
      <c r="L644" s="6"/>
      <c r="M644" s="5"/>
      <c r="N644" s="11"/>
      <c r="O644" s="7"/>
      <c r="P644" s="7"/>
      <c r="Q644" s="7"/>
      <c r="R644" s="11"/>
      <c r="S644" s="7"/>
      <c r="T644" s="5"/>
    </row>
    <row r="645" spans="1:20" x14ac:dyDescent="0.25">
      <c r="A645" s="5"/>
      <c r="B645" s="5"/>
      <c r="C645" s="14"/>
      <c r="D645" s="5"/>
      <c r="E645" s="5"/>
      <c r="F645" s="7"/>
      <c r="G645" s="7"/>
      <c r="H645" s="11"/>
      <c r="I645" s="11"/>
      <c r="J645" s="11"/>
      <c r="K645" s="5"/>
      <c r="L645" s="6"/>
      <c r="M645" s="5"/>
      <c r="N645" s="11"/>
      <c r="O645" s="7"/>
      <c r="P645" s="7"/>
      <c r="Q645" s="7"/>
      <c r="R645" s="11"/>
      <c r="S645" s="7"/>
      <c r="T645" s="5"/>
    </row>
    <row r="646" spans="1:20" x14ac:dyDescent="0.25">
      <c r="A646" s="5"/>
      <c r="B646" s="5"/>
      <c r="C646" s="14"/>
      <c r="D646" s="5"/>
      <c r="E646" s="5"/>
      <c r="F646" s="7"/>
      <c r="G646" s="7"/>
      <c r="H646" s="11"/>
      <c r="I646" s="11"/>
      <c r="J646" s="11"/>
      <c r="K646" s="5"/>
      <c r="L646" s="6"/>
      <c r="M646" s="5"/>
      <c r="N646" s="11"/>
      <c r="O646" s="7"/>
      <c r="P646" s="7"/>
      <c r="Q646" s="7"/>
      <c r="R646" s="11"/>
      <c r="S646" s="7"/>
      <c r="T646" s="5"/>
    </row>
    <row r="647" spans="1:20" x14ac:dyDescent="0.25">
      <c r="A647" s="5"/>
      <c r="B647" s="5"/>
      <c r="C647" s="14"/>
      <c r="D647" s="5"/>
      <c r="E647" s="5"/>
      <c r="F647" s="7"/>
      <c r="G647" s="7"/>
      <c r="H647" s="11"/>
      <c r="I647" s="11"/>
      <c r="J647" s="11"/>
      <c r="K647" s="5"/>
      <c r="L647" s="6"/>
      <c r="M647" s="5"/>
      <c r="N647" s="11"/>
      <c r="O647" s="7"/>
      <c r="P647" s="7"/>
      <c r="Q647" s="7"/>
      <c r="R647" s="11"/>
      <c r="S647" s="7"/>
      <c r="T647" s="5"/>
    </row>
    <row r="648" spans="1:20" x14ac:dyDescent="0.25">
      <c r="A648" s="5"/>
      <c r="B648" s="5"/>
      <c r="C648" s="14"/>
      <c r="D648" s="5"/>
      <c r="E648" s="5"/>
      <c r="F648" s="7"/>
      <c r="G648" s="7"/>
      <c r="H648" s="11"/>
      <c r="I648" s="11"/>
      <c r="J648" s="11"/>
      <c r="K648" s="5"/>
      <c r="L648" s="6"/>
      <c r="M648" s="5"/>
      <c r="N648" s="11"/>
      <c r="O648" s="7"/>
      <c r="P648" s="7"/>
      <c r="Q648" s="7"/>
      <c r="R648" s="11"/>
      <c r="S648" s="7"/>
      <c r="T648" s="5"/>
    </row>
    <row r="649" spans="1:20" x14ac:dyDescent="0.25">
      <c r="A649" s="5"/>
      <c r="B649" s="5"/>
      <c r="C649" s="14"/>
      <c r="D649" s="5"/>
      <c r="E649" s="5"/>
      <c r="F649" s="7"/>
      <c r="G649" s="7"/>
      <c r="H649" s="11"/>
      <c r="I649" s="11"/>
      <c r="J649" s="11"/>
      <c r="K649" s="5"/>
      <c r="L649" s="6"/>
      <c r="M649" s="5"/>
      <c r="N649" s="11"/>
      <c r="O649" s="7"/>
      <c r="P649" s="7"/>
      <c r="Q649" s="7"/>
      <c r="R649" s="11"/>
      <c r="S649" s="7"/>
      <c r="T649" s="5"/>
    </row>
    <row r="650" spans="1:20" x14ac:dyDescent="0.25">
      <c r="A650" s="5"/>
      <c r="B650" s="5"/>
      <c r="C650" s="14"/>
      <c r="D650" s="5"/>
      <c r="E650" s="5"/>
      <c r="F650" s="7"/>
      <c r="G650" s="7"/>
      <c r="H650" s="11"/>
      <c r="I650" s="11"/>
      <c r="J650" s="11"/>
      <c r="K650" s="5"/>
      <c r="L650" s="6"/>
      <c r="M650" s="5"/>
      <c r="N650" s="11"/>
      <c r="O650" s="7"/>
      <c r="P650" s="7"/>
      <c r="Q650" s="7"/>
      <c r="R650" s="11"/>
      <c r="S650" s="7"/>
      <c r="T650" s="5"/>
    </row>
    <row r="651" spans="1:20" x14ac:dyDescent="0.25">
      <c r="A651" s="5"/>
      <c r="B651" s="5"/>
      <c r="C651" s="14"/>
      <c r="D651" s="5"/>
      <c r="E651" s="5"/>
      <c r="F651" s="7"/>
      <c r="G651" s="7"/>
      <c r="H651" s="11"/>
      <c r="I651" s="11"/>
      <c r="J651" s="11"/>
      <c r="K651" s="5"/>
      <c r="L651" s="6"/>
      <c r="M651" s="5"/>
      <c r="N651" s="11"/>
      <c r="O651" s="7"/>
      <c r="P651" s="7"/>
      <c r="Q651" s="7"/>
      <c r="R651" s="11"/>
      <c r="S651" s="7"/>
      <c r="T651" s="5"/>
    </row>
    <row r="652" spans="1:20" x14ac:dyDescent="0.25">
      <c r="A652" s="5"/>
      <c r="B652" s="5"/>
      <c r="C652" s="14"/>
      <c r="D652" s="5"/>
      <c r="E652" s="5"/>
      <c r="F652" s="7"/>
      <c r="G652" s="7"/>
      <c r="H652" s="11"/>
      <c r="I652" s="11"/>
      <c r="J652" s="11"/>
      <c r="K652" s="5"/>
      <c r="L652" s="6"/>
      <c r="M652" s="5"/>
      <c r="N652" s="11"/>
      <c r="O652" s="7"/>
      <c r="P652" s="7"/>
      <c r="Q652" s="7"/>
      <c r="R652" s="11"/>
      <c r="S652" s="7"/>
      <c r="T652" s="5"/>
    </row>
    <row r="653" spans="1:20" x14ac:dyDescent="0.25">
      <c r="A653" s="5"/>
      <c r="B653" s="5"/>
      <c r="C653" s="14"/>
      <c r="D653" s="5"/>
      <c r="E653" s="5"/>
      <c r="F653" s="7"/>
      <c r="G653" s="7"/>
      <c r="H653" s="11"/>
      <c r="I653" s="11"/>
      <c r="J653" s="11"/>
      <c r="K653" s="5"/>
      <c r="L653" s="6"/>
      <c r="M653" s="5"/>
      <c r="N653" s="11"/>
      <c r="O653" s="7"/>
      <c r="P653" s="7"/>
      <c r="Q653" s="7"/>
      <c r="R653" s="11"/>
      <c r="S653" s="7"/>
      <c r="T653" s="5"/>
    </row>
    <row r="654" spans="1:20" x14ac:dyDescent="0.25">
      <c r="A654" s="5"/>
      <c r="B654" s="5"/>
      <c r="C654" s="14"/>
      <c r="D654" s="5"/>
      <c r="E654" s="5"/>
      <c r="F654" s="7"/>
      <c r="G654" s="7"/>
      <c r="H654" s="11"/>
      <c r="I654" s="11"/>
      <c r="J654" s="11"/>
      <c r="K654" s="5"/>
      <c r="L654" s="6"/>
      <c r="M654" s="5"/>
      <c r="N654" s="11"/>
      <c r="O654" s="7"/>
      <c r="P654" s="7"/>
      <c r="Q654" s="7"/>
      <c r="R654" s="11"/>
      <c r="S654" s="7"/>
      <c r="T654" s="5"/>
    </row>
    <row r="655" spans="1:20" x14ac:dyDescent="0.25">
      <c r="A655" s="5"/>
      <c r="B655" s="5"/>
      <c r="C655" s="14"/>
      <c r="D655" s="5"/>
      <c r="E655" s="5"/>
      <c r="F655" s="7"/>
      <c r="G655" s="7"/>
      <c r="H655" s="11"/>
      <c r="I655" s="11"/>
      <c r="J655" s="11"/>
      <c r="K655" s="5"/>
      <c r="L655" s="6"/>
      <c r="M655" s="5"/>
      <c r="N655" s="11"/>
      <c r="O655" s="7"/>
      <c r="P655" s="7"/>
      <c r="Q655" s="7"/>
      <c r="R655" s="11"/>
      <c r="S655" s="7"/>
      <c r="T655" s="5"/>
    </row>
    <row r="656" spans="1:20" x14ac:dyDescent="0.25">
      <c r="A656" s="5"/>
      <c r="B656" s="5"/>
      <c r="C656" s="14"/>
      <c r="D656" s="5"/>
      <c r="E656" s="5"/>
      <c r="F656" s="7"/>
      <c r="G656" s="7"/>
      <c r="H656" s="11"/>
      <c r="I656" s="11"/>
      <c r="J656" s="11"/>
      <c r="K656" s="5"/>
      <c r="L656" s="6"/>
      <c r="M656" s="5"/>
      <c r="N656" s="11"/>
      <c r="O656" s="7"/>
      <c r="P656" s="7"/>
      <c r="Q656" s="7"/>
      <c r="R656" s="11"/>
      <c r="S656" s="7"/>
      <c r="T656" s="5"/>
    </row>
    <row r="657" spans="1:20" x14ac:dyDescent="0.25">
      <c r="A657" s="5"/>
      <c r="B657" s="5"/>
      <c r="C657" s="14"/>
      <c r="D657" s="5"/>
      <c r="E657" s="5"/>
      <c r="F657" s="7"/>
      <c r="G657" s="7"/>
      <c r="H657" s="11"/>
      <c r="I657" s="11"/>
      <c r="J657" s="11"/>
      <c r="K657" s="5"/>
      <c r="L657" s="6"/>
      <c r="M657" s="5"/>
      <c r="N657" s="11"/>
      <c r="O657" s="7"/>
      <c r="P657" s="7"/>
      <c r="Q657" s="7"/>
      <c r="R657" s="11"/>
      <c r="S657" s="7"/>
      <c r="T657" s="5"/>
    </row>
    <row r="658" spans="1:20" x14ac:dyDescent="0.25">
      <c r="A658" s="5"/>
      <c r="B658" s="5"/>
      <c r="C658" s="14"/>
      <c r="D658" s="5"/>
      <c r="E658" s="5"/>
      <c r="F658" s="7"/>
      <c r="G658" s="7"/>
      <c r="H658" s="11"/>
      <c r="I658" s="11"/>
      <c r="J658" s="11"/>
      <c r="K658" s="5"/>
      <c r="L658" s="6"/>
      <c r="M658" s="5"/>
      <c r="N658" s="11"/>
      <c r="O658" s="7"/>
      <c r="P658" s="7"/>
      <c r="Q658" s="7"/>
      <c r="R658" s="11"/>
      <c r="S658" s="7"/>
      <c r="T658" s="5"/>
    </row>
    <row r="659" spans="1:20" x14ac:dyDescent="0.25">
      <c r="A659" s="5"/>
      <c r="B659" s="5"/>
      <c r="C659" s="14"/>
      <c r="D659" s="5"/>
      <c r="E659" s="5"/>
      <c r="F659" s="7"/>
      <c r="G659" s="7"/>
      <c r="H659" s="11"/>
      <c r="I659" s="11"/>
      <c r="J659" s="11"/>
      <c r="K659" s="5"/>
      <c r="L659" s="6"/>
      <c r="M659" s="5"/>
      <c r="N659" s="11"/>
      <c r="O659" s="7"/>
      <c r="P659" s="7"/>
      <c r="Q659" s="7"/>
      <c r="R659" s="11"/>
      <c r="S659" s="7"/>
      <c r="T659" s="5"/>
    </row>
    <row r="660" spans="1:20" x14ac:dyDescent="0.25">
      <c r="A660" s="5"/>
      <c r="B660" s="5"/>
      <c r="C660" s="14"/>
      <c r="D660" s="5"/>
      <c r="E660" s="5"/>
      <c r="F660" s="7"/>
      <c r="G660" s="7"/>
      <c r="H660" s="11"/>
      <c r="I660" s="11"/>
      <c r="J660" s="11"/>
      <c r="K660" s="5"/>
      <c r="L660" s="6"/>
      <c r="M660" s="5"/>
      <c r="N660" s="11"/>
      <c r="O660" s="7"/>
      <c r="P660" s="7"/>
      <c r="Q660" s="7"/>
      <c r="R660" s="11"/>
      <c r="S660" s="7"/>
      <c r="T660" s="5"/>
    </row>
    <row r="661" spans="1:20" x14ac:dyDescent="0.25">
      <c r="A661" s="5"/>
      <c r="B661" s="5"/>
      <c r="C661" s="14"/>
      <c r="D661" s="5"/>
      <c r="E661" s="5"/>
      <c r="F661" s="7"/>
      <c r="G661" s="7"/>
      <c r="H661" s="11"/>
      <c r="I661" s="11"/>
      <c r="J661" s="11"/>
      <c r="K661" s="5"/>
      <c r="L661" s="6"/>
      <c r="M661" s="5"/>
      <c r="N661" s="11"/>
      <c r="O661" s="7"/>
      <c r="P661" s="7"/>
      <c r="Q661" s="7"/>
      <c r="R661" s="11"/>
      <c r="S661" s="7"/>
      <c r="T661" s="5"/>
    </row>
    <row r="662" spans="1:20" x14ac:dyDescent="0.25">
      <c r="A662" s="5"/>
      <c r="B662" s="5"/>
      <c r="C662" s="14"/>
      <c r="D662" s="5"/>
      <c r="E662" s="5"/>
      <c r="F662" s="7"/>
      <c r="G662" s="7"/>
      <c r="H662" s="11"/>
      <c r="I662" s="11"/>
      <c r="J662" s="11"/>
      <c r="K662" s="5"/>
      <c r="L662" s="6"/>
      <c r="M662" s="5"/>
      <c r="N662" s="11"/>
      <c r="O662" s="7"/>
      <c r="P662" s="7"/>
      <c r="Q662" s="7"/>
      <c r="R662" s="11"/>
      <c r="S662" s="7"/>
      <c r="T662" s="5"/>
    </row>
    <row r="663" spans="1:20" x14ac:dyDescent="0.25">
      <c r="A663" s="5"/>
      <c r="B663" s="5"/>
      <c r="C663" s="14"/>
      <c r="D663" s="5"/>
      <c r="E663" s="5"/>
      <c r="F663" s="7"/>
      <c r="G663" s="7"/>
      <c r="H663" s="11"/>
      <c r="I663" s="11"/>
      <c r="J663" s="11"/>
      <c r="K663" s="5"/>
      <c r="L663" s="6"/>
      <c r="M663" s="5"/>
      <c r="N663" s="11"/>
      <c r="O663" s="7"/>
      <c r="P663" s="7"/>
      <c r="Q663" s="7"/>
      <c r="R663" s="11"/>
      <c r="S663" s="7"/>
      <c r="T663" s="5"/>
    </row>
    <row r="664" spans="1:20" x14ac:dyDescent="0.25">
      <c r="A664" s="5"/>
      <c r="B664" s="5"/>
      <c r="C664" s="14"/>
      <c r="D664" s="5"/>
      <c r="E664" s="5"/>
      <c r="F664" s="7"/>
      <c r="G664" s="7"/>
      <c r="H664" s="11"/>
      <c r="I664" s="11"/>
      <c r="J664" s="11"/>
      <c r="K664" s="5"/>
      <c r="L664" s="6"/>
      <c r="M664" s="5"/>
      <c r="N664" s="11"/>
      <c r="O664" s="7"/>
      <c r="P664" s="7"/>
      <c r="Q664" s="7"/>
      <c r="R664" s="11"/>
      <c r="S664" s="7"/>
      <c r="T664" s="5"/>
    </row>
    <row r="665" spans="1:20" x14ac:dyDescent="0.25">
      <c r="A665" s="5"/>
      <c r="B665" s="5"/>
      <c r="C665" s="14"/>
      <c r="D665" s="5"/>
      <c r="E665" s="5"/>
      <c r="F665" s="7"/>
      <c r="G665" s="7"/>
      <c r="H665" s="11"/>
      <c r="I665" s="11"/>
      <c r="J665" s="11"/>
      <c r="K665" s="5"/>
      <c r="L665" s="6"/>
      <c r="M665" s="5"/>
      <c r="N665" s="11"/>
      <c r="O665" s="7"/>
      <c r="P665" s="7"/>
      <c r="Q665" s="7"/>
      <c r="R665" s="11"/>
      <c r="S665" s="7"/>
      <c r="T665" s="5"/>
    </row>
    <row r="666" spans="1:20" x14ac:dyDescent="0.25">
      <c r="A666" s="5"/>
      <c r="B666" s="5"/>
      <c r="C666" s="14"/>
      <c r="D666" s="5"/>
      <c r="E666" s="5"/>
      <c r="F666" s="7"/>
      <c r="G666" s="7"/>
      <c r="H666" s="11"/>
      <c r="I666" s="11"/>
      <c r="J666" s="11"/>
      <c r="K666" s="5"/>
      <c r="L666" s="6"/>
      <c r="M666" s="5"/>
      <c r="N666" s="11"/>
      <c r="O666" s="7"/>
      <c r="P666" s="7"/>
      <c r="Q666" s="7"/>
      <c r="R666" s="11"/>
      <c r="S666" s="7"/>
      <c r="T666" s="5"/>
    </row>
    <row r="667" spans="1:20" x14ac:dyDescent="0.25">
      <c r="A667" s="5"/>
      <c r="B667" s="5"/>
      <c r="C667" s="14"/>
      <c r="D667" s="5"/>
      <c r="E667" s="5"/>
      <c r="F667" s="7"/>
      <c r="G667" s="7"/>
      <c r="H667" s="11"/>
      <c r="I667" s="11"/>
      <c r="J667" s="11"/>
      <c r="K667" s="5"/>
      <c r="L667" s="6"/>
      <c r="M667" s="5"/>
      <c r="N667" s="11"/>
      <c r="O667" s="7"/>
      <c r="P667" s="7"/>
      <c r="Q667" s="7"/>
      <c r="R667" s="11"/>
      <c r="S667" s="7"/>
      <c r="T667" s="5"/>
    </row>
    <row r="668" spans="1:20" x14ac:dyDescent="0.25">
      <c r="A668" s="5"/>
      <c r="B668" s="5"/>
      <c r="C668" s="14"/>
      <c r="D668" s="5"/>
      <c r="E668" s="5"/>
      <c r="F668" s="7"/>
      <c r="G668" s="7"/>
      <c r="H668" s="11"/>
      <c r="I668" s="11"/>
      <c r="J668" s="11"/>
      <c r="K668" s="5"/>
      <c r="L668" s="6"/>
      <c r="M668" s="5"/>
      <c r="N668" s="11"/>
      <c r="O668" s="7"/>
      <c r="P668" s="7"/>
      <c r="Q668" s="7"/>
      <c r="R668" s="11"/>
      <c r="S668" s="7"/>
      <c r="T668" s="5"/>
    </row>
    <row r="669" spans="1:20" x14ac:dyDescent="0.25">
      <c r="A669" s="5"/>
      <c r="B669" s="5"/>
      <c r="C669" s="14"/>
      <c r="D669" s="5"/>
      <c r="E669" s="5"/>
      <c r="F669" s="7"/>
      <c r="G669" s="7"/>
      <c r="H669" s="11"/>
      <c r="I669" s="11"/>
      <c r="J669" s="11"/>
      <c r="K669" s="5"/>
      <c r="L669" s="6"/>
      <c r="M669" s="5"/>
      <c r="N669" s="11"/>
      <c r="O669" s="7"/>
      <c r="P669" s="7"/>
      <c r="Q669" s="7"/>
      <c r="R669" s="11"/>
      <c r="S669" s="7"/>
      <c r="T669" s="5"/>
    </row>
    <row r="670" spans="1:20" x14ac:dyDescent="0.25">
      <c r="A670" s="5"/>
      <c r="B670" s="5"/>
      <c r="C670" s="14"/>
      <c r="D670" s="5"/>
      <c r="E670" s="5"/>
      <c r="F670" s="7"/>
      <c r="G670" s="7"/>
      <c r="H670" s="11"/>
      <c r="I670" s="11"/>
      <c r="J670" s="11"/>
      <c r="K670" s="5"/>
      <c r="L670" s="6"/>
      <c r="M670" s="5"/>
      <c r="N670" s="11"/>
      <c r="O670" s="7"/>
      <c r="P670" s="7"/>
      <c r="Q670" s="7"/>
      <c r="R670" s="11"/>
      <c r="S670" s="7"/>
      <c r="T670" s="5"/>
    </row>
    <row r="671" spans="1:20" x14ac:dyDescent="0.25">
      <c r="A671" s="5"/>
      <c r="B671" s="5"/>
      <c r="C671" s="14"/>
      <c r="D671" s="5"/>
      <c r="E671" s="5"/>
      <c r="F671" s="7"/>
      <c r="G671" s="7"/>
      <c r="H671" s="11"/>
      <c r="I671" s="11"/>
      <c r="J671" s="11"/>
      <c r="K671" s="5"/>
      <c r="L671" s="6"/>
      <c r="M671" s="5"/>
      <c r="N671" s="11"/>
      <c r="O671" s="7"/>
      <c r="P671" s="7"/>
      <c r="Q671" s="7"/>
      <c r="R671" s="11"/>
      <c r="S671" s="7"/>
      <c r="T671" s="5"/>
    </row>
    <row r="672" spans="1:20" x14ac:dyDescent="0.25">
      <c r="A672" s="5"/>
      <c r="B672" s="5"/>
      <c r="C672" s="14"/>
      <c r="D672" s="5"/>
      <c r="E672" s="5"/>
      <c r="F672" s="7"/>
      <c r="G672" s="7"/>
      <c r="H672" s="11"/>
      <c r="I672" s="11"/>
      <c r="J672" s="11"/>
      <c r="K672" s="5"/>
      <c r="L672" s="6"/>
      <c r="M672" s="5"/>
      <c r="N672" s="11"/>
      <c r="O672" s="7"/>
      <c r="P672" s="7"/>
      <c r="Q672" s="7"/>
      <c r="R672" s="11"/>
      <c r="S672" s="7"/>
      <c r="T672" s="5"/>
    </row>
    <row r="673" spans="1:20" x14ac:dyDescent="0.25">
      <c r="A673" s="5"/>
      <c r="B673" s="5"/>
      <c r="C673" s="14"/>
      <c r="D673" s="5"/>
      <c r="E673" s="5"/>
      <c r="F673" s="7"/>
      <c r="G673" s="7"/>
      <c r="H673" s="11"/>
      <c r="I673" s="11"/>
      <c r="J673" s="11"/>
      <c r="K673" s="5"/>
      <c r="L673" s="6"/>
      <c r="M673" s="5"/>
      <c r="N673" s="11"/>
      <c r="O673" s="7"/>
      <c r="P673" s="7"/>
      <c r="Q673" s="7"/>
      <c r="R673" s="11"/>
      <c r="S673" s="7"/>
      <c r="T673" s="5"/>
    </row>
    <row r="674" spans="1:20" x14ac:dyDescent="0.25">
      <c r="A674" s="5"/>
      <c r="B674" s="5"/>
      <c r="C674" s="14"/>
      <c r="D674" s="5"/>
      <c r="E674" s="5"/>
      <c r="F674" s="7"/>
      <c r="G674" s="7"/>
      <c r="H674" s="11"/>
      <c r="I674" s="11"/>
      <c r="J674" s="11"/>
      <c r="K674" s="5"/>
      <c r="L674" s="6"/>
      <c r="M674" s="5"/>
      <c r="N674" s="11"/>
      <c r="O674" s="7"/>
      <c r="P674" s="7"/>
      <c r="Q674" s="7"/>
      <c r="R674" s="11"/>
      <c r="S674" s="7"/>
      <c r="T674" s="5"/>
    </row>
    <row r="675" spans="1:20" x14ac:dyDescent="0.25">
      <c r="A675" s="5"/>
      <c r="B675" s="5"/>
      <c r="C675" s="14"/>
      <c r="D675" s="5"/>
      <c r="E675" s="5"/>
      <c r="F675" s="7"/>
      <c r="G675" s="7"/>
      <c r="H675" s="11"/>
      <c r="I675" s="11"/>
      <c r="J675" s="11"/>
      <c r="K675" s="5"/>
      <c r="L675" s="6"/>
      <c r="M675" s="5"/>
      <c r="N675" s="11"/>
      <c r="O675" s="7"/>
      <c r="P675" s="7"/>
      <c r="Q675" s="7"/>
      <c r="R675" s="11"/>
      <c r="S675" s="7"/>
      <c r="T675" s="5"/>
    </row>
    <row r="676" spans="1:20" x14ac:dyDescent="0.25">
      <c r="A676" s="5"/>
      <c r="B676" s="5"/>
      <c r="C676" s="14"/>
      <c r="D676" s="5"/>
      <c r="E676" s="5"/>
      <c r="F676" s="7"/>
      <c r="G676" s="7"/>
      <c r="H676" s="11"/>
      <c r="I676" s="11"/>
      <c r="J676" s="11"/>
      <c r="K676" s="5"/>
      <c r="L676" s="6"/>
      <c r="M676" s="5"/>
      <c r="N676" s="11"/>
      <c r="O676" s="7"/>
      <c r="P676" s="7"/>
      <c r="Q676" s="7"/>
      <c r="R676" s="11"/>
      <c r="S676" s="7"/>
      <c r="T676" s="5"/>
    </row>
    <row r="677" spans="1:20" x14ac:dyDescent="0.25">
      <c r="A677" s="5"/>
      <c r="B677" s="5"/>
      <c r="C677" s="14"/>
      <c r="D677" s="5"/>
      <c r="E677" s="5"/>
      <c r="F677" s="7"/>
      <c r="G677" s="7"/>
      <c r="H677" s="11"/>
      <c r="I677" s="11"/>
      <c r="J677" s="11"/>
      <c r="K677" s="5"/>
      <c r="L677" s="6"/>
      <c r="M677" s="5"/>
      <c r="N677" s="11"/>
      <c r="O677" s="7"/>
      <c r="P677" s="7"/>
      <c r="Q677" s="7"/>
      <c r="R677" s="11"/>
      <c r="S677" s="7"/>
      <c r="T677" s="5"/>
    </row>
    <row r="678" spans="1:20" x14ac:dyDescent="0.25">
      <c r="A678" s="5"/>
      <c r="B678" s="5"/>
      <c r="C678" s="14"/>
      <c r="D678" s="5"/>
      <c r="E678" s="5"/>
      <c r="F678" s="7"/>
      <c r="G678" s="7"/>
      <c r="H678" s="11"/>
      <c r="I678" s="11"/>
      <c r="J678" s="11"/>
      <c r="K678" s="5"/>
      <c r="L678" s="6"/>
      <c r="M678" s="5"/>
      <c r="N678" s="11"/>
      <c r="O678" s="7"/>
      <c r="P678" s="7"/>
      <c r="Q678" s="7"/>
      <c r="R678" s="11"/>
      <c r="S678" s="7"/>
      <c r="T678" s="5"/>
    </row>
    <row r="679" spans="1:20" x14ac:dyDescent="0.25">
      <c r="A679" s="5"/>
      <c r="B679" s="5"/>
      <c r="C679" s="14"/>
      <c r="D679" s="5"/>
      <c r="E679" s="5"/>
      <c r="F679" s="7"/>
      <c r="G679" s="7"/>
      <c r="H679" s="11"/>
      <c r="I679" s="11"/>
      <c r="J679" s="11"/>
      <c r="K679" s="5"/>
      <c r="L679" s="6"/>
      <c r="M679" s="5"/>
      <c r="N679" s="11"/>
      <c r="O679" s="7"/>
      <c r="P679" s="7"/>
      <c r="Q679" s="7"/>
      <c r="R679" s="11"/>
      <c r="S679" s="7"/>
      <c r="T679" s="5"/>
    </row>
    <row r="680" spans="1:20" x14ac:dyDescent="0.25">
      <c r="A680" s="5"/>
      <c r="B680" s="5"/>
      <c r="C680" s="14"/>
      <c r="D680" s="5"/>
      <c r="E680" s="5"/>
      <c r="F680" s="7"/>
      <c r="G680" s="7"/>
      <c r="H680" s="11"/>
      <c r="I680" s="11"/>
      <c r="J680" s="11"/>
      <c r="K680" s="5"/>
      <c r="L680" s="6"/>
      <c r="M680" s="5"/>
      <c r="N680" s="11"/>
      <c r="O680" s="7"/>
      <c r="P680" s="7"/>
      <c r="Q680" s="7"/>
      <c r="R680" s="11"/>
      <c r="S680" s="7"/>
      <c r="T680" s="5"/>
    </row>
    <row r="681" spans="1:20" x14ac:dyDescent="0.25">
      <c r="A681" s="5"/>
      <c r="B681" s="5"/>
      <c r="C681" s="14"/>
      <c r="D681" s="5"/>
      <c r="E681" s="5"/>
      <c r="F681" s="7"/>
      <c r="G681" s="7"/>
      <c r="H681" s="11"/>
      <c r="I681" s="11"/>
      <c r="J681" s="11"/>
      <c r="K681" s="5"/>
      <c r="L681" s="6"/>
      <c r="M681" s="5"/>
      <c r="N681" s="11"/>
      <c r="O681" s="7"/>
      <c r="P681" s="7"/>
      <c r="Q681" s="7"/>
      <c r="R681" s="11"/>
      <c r="S681" s="7"/>
      <c r="T681" s="5"/>
    </row>
    <row r="682" spans="1:20" x14ac:dyDescent="0.25">
      <c r="A682" s="5"/>
      <c r="B682" s="5"/>
      <c r="C682" s="14"/>
      <c r="D682" s="5"/>
      <c r="E682" s="5"/>
      <c r="F682" s="7"/>
      <c r="G682" s="7"/>
      <c r="H682" s="11"/>
      <c r="I682" s="11"/>
      <c r="J682" s="11"/>
      <c r="K682" s="5"/>
      <c r="L682" s="6"/>
      <c r="M682" s="5"/>
      <c r="N682" s="11"/>
      <c r="O682" s="7"/>
      <c r="P682" s="7"/>
      <c r="Q682" s="7"/>
      <c r="R682" s="11"/>
      <c r="S682" s="7"/>
      <c r="T682" s="5"/>
    </row>
    <row r="683" spans="1:20" x14ac:dyDescent="0.25">
      <c r="A683" s="5"/>
      <c r="B683" s="5"/>
      <c r="C683" s="14"/>
      <c r="D683" s="5"/>
      <c r="E683" s="5"/>
      <c r="F683" s="7"/>
      <c r="G683" s="7"/>
      <c r="H683" s="11"/>
      <c r="I683" s="11"/>
      <c r="J683" s="11"/>
      <c r="K683" s="5"/>
      <c r="L683" s="6"/>
      <c r="M683" s="5"/>
      <c r="N683" s="11"/>
      <c r="O683" s="7"/>
      <c r="P683" s="7"/>
      <c r="Q683" s="7"/>
      <c r="R683" s="11"/>
      <c r="S683" s="7"/>
      <c r="T683" s="5"/>
    </row>
    <row r="684" spans="1:20" x14ac:dyDescent="0.25">
      <c r="A684" s="5"/>
      <c r="B684" s="5"/>
      <c r="C684" s="14"/>
      <c r="D684" s="5"/>
      <c r="E684" s="5"/>
      <c r="F684" s="7"/>
      <c r="G684" s="7"/>
      <c r="H684" s="11"/>
      <c r="I684" s="11"/>
      <c r="J684" s="11"/>
      <c r="K684" s="5"/>
      <c r="L684" s="6"/>
      <c r="M684" s="5"/>
      <c r="N684" s="11"/>
      <c r="O684" s="7"/>
      <c r="P684" s="7"/>
      <c r="Q684" s="7"/>
      <c r="R684" s="11"/>
      <c r="S684" s="7"/>
      <c r="T684" s="5"/>
    </row>
    <row r="685" spans="1:20" x14ac:dyDescent="0.25">
      <c r="A685" s="5"/>
      <c r="B685" s="5"/>
      <c r="C685" s="14"/>
      <c r="D685" s="5"/>
      <c r="E685" s="5"/>
      <c r="F685" s="7"/>
      <c r="G685" s="7"/>
      <c r="H685" s="11"/>
      <c r="I685" s="11"/>
      <c r="J685" s="11"/>
      <c r="K685" s="5"/>
      <c r="L685" s="6"/>
      <c r="M685" s="5"/>
      <c r="N685" s="11"/>
      <c r="O685" s="7"/>
      <c r="P685" s="7"/>
      <c r="Q685" s="7"/>
      <c r="R685" s="11"/>
      <c r="S685" s="7"/>
      <c r="T685" s="5"/>
    </row>
    <row r="686" spans="1:20" x14ac:dyDescent="0.25">
      <c r="A686" s="5"/>
      <c r="B686" s="5"/>
      <c r="C686" s="14"/>
      <c r="D686" s="5"/>
      <c r="E686" s="5"/>
      <c r="F686" s="7"/>
      <c r="G686" s="7"/>
      <c r="H686" s="11"/>
      <c r="I686" s="11"/>
      <c r="J686" s="11"/>
      <c r="K686" s="5"/>
      <c r="L686" s="6"/>
      <c r="M686" s="5"/>
      <c r="N686" s="11"/>
      <c r="O686" s="7"/>
      <c r="P686" s="7"/>
      <c r="Q686" s="7"/>
      <c r="R686" s="11"/>
      <c r="S686" s="7"/>
      <c r="T686" s="5"/>
    </row>
    <row r="687" spans="1:20" x14ac:dyDescent="0.25">
      <c r="A687" s="5"/>
      <c r="B687" s="5"/>
      <c r="C687" s="14"/>
      <c r="D687" s="5"/>
      <c r="E687" s="5"/>
      <c r="F687" s="7"/>
      <c r="G687" s="7"/>
      <c r="H687" s="11"/>
      <c r="I687" s="11"/>
      <c r="J687" s="11"/>
      <c r="K687" s="5"/>
      <c r="L687" s="6"/>
      <c r="M687" s="5"/>
      <c r="N687" s="11"/>
      <c r="O687" s="7"/>
      <c r="P687" s="7"/>
      <c r="Q687" s="7"/>
      <c r="R687" s="11"/>
      <c r="S687" s="7"/>
      <c r="T687" s="5"/>
    </row>
    <row r="688" spans="1:20" x14ac:dyDescent="0.25">
      <c r="A688" s="5"/>
      <c r="B688" s="5"/>
      <c r="C688" s="14"/>
      <c r="D688" s="5"/>
      <c r="E688" s="5"/>
      <c r="F688" s="7"/>
      <c r="G688" s="7"/>
      <c r="H688" s="11"/>
      <c r="I688" s="11"/>
      <c r="J688" s="11"/>
      <c r="K688" s="5"/>
      <c r="L688" s="6"/>
      <c r="M688" s="5"/>
      <c r="N688" s="11"/>
      <c r="O688" s="7"/>
      <c r="P688" s="7"/>
      <c r="Q688" s="7"/>
      <c r="R688" s="11"/>
      <c r="S688" s="7"/>
      <c r="T688" s="5"/>
    </row>
    <row r="689" spans="1:20" x14ac:dyDescent="0.25">
      <c r="A689" s="5"/>
      <c r="B689" s="5"/>
      <c r="C689" s="14"/>
      <c r="D689" s="5"/>
      <c r="E689" s="5"/>
      <c r="F689" s="7"/>
      <c r="G689" s="7"/>
      <c r="H689" s="11"/>
      <c r="I689" s="11"/>
      <c r="J689" s="11"/>
      <c r="K689" s="5"/>
      <c r="L689" s="6"/>
      <c r="M689" s="5"/>
      <c r="N689" s="11"/>
      <c r="O689" s="7"/>
      <c r="P689" s="7"/>
      <c r="Q689" s="7"/>
      <c r="R689" s="11"/>
      <c r="S689" s="7"/>
      <c r="T689" s="5"/>
    </row>
    <row r="690" spans="1:20" x14ac:dyDescent="0.25">
      <c r="A690" s="5"/>
      <c r="B690" s="5"/>
      <c r="C690" s="14"/>
      <c r="D690" s="5"/>
      <c r="E690" s="5"/>
      <c r="F690" s="7"/>
      <c r="G690" s="7"/>
      <c r="H690" s="11"/>
      <c r="I690" s="11"/>
      <c r="J690" s="11"/>
      <c r="K690" s="5"/>
      <c r="L690" s="6"/>
      <c r="M690" s="5"/>
      <c r="N690" s="11"/>
      <c r="O690" s="7"/>
      <c r="P690" s="7"/>
      <c r="Q690" s="7"/>
      <c r="R690" s="11"/>
      <c r="S690" s="7"/>
      <c r="T690" s="5"/>
    </row>
    <row r="691" spans="1:20" x14ac:dyDescent="0.25">
      <c r="A691" s="5"/>
      <c r="B691" s="5"/>
      <c r="C691" s="14"/>
      <c r="D691" s="5"/>
      <c r="E691" s="5"/>
      <c r="F691" s="7"/>
      <c r="G691" s="7"/>
      <c r="H691" s="11"/>
      <c r="I691" s="11"/>
      <c r="J691" s="11"/>
      <c r="K691" s="5"/>
      <c r="L691" s="6"/>
      <c r="M691" s="5"/>
      <c r="N691" s="11"/>
      <c r="O691" s="7"/>
      <c r="P691" s="7"/>
      <c r="Q691" s="7"/>
      <c r="R691" s="11"/>
      <c r="S691" s="7"/>
      <c r="T691" s="5"/>
    </row>
    <row r="692" spans="1:20" x14ac:dyDescent="0.25">
      <c r="A692" s="5"/>
      <c r="B692" s="5"/>
      <c r="C692" s="14"/>
      <c r="D692" s="5"/>
      <c r="E692" s="5"/>
      <c r="F692" s="7"/>
      <c r="G692" s="7"/>
      <c r="H692" s="11"/>
      <c r="I692" s="11"/>
      <c r="J692" s="11"/>
      <c r="K692" s="5"/>
      <c r="L692" s="6"/>
      <c r="M692" s="5"/>
      <c r="N692" s="11"/>
      <c r="O692" s="7"/>
      <c r="P692" s="7"/>
      <c r="Q692" s="7"/>
      <c r="R692" s="11"/>
      <c r="S692" s="7"/>
      <c r="T692" s="5"/>
    </row>
    <row r="693" spans="1:20" x14ac:dyDescent="0.25">
      <c r="A693" s="5"/>
      <c r="B693" s="5"/>
      <c r="C693" s="14"/>
      <c r="D693" s="5"/>
      <c r="E693" s="5"/>
      <c r="F693" s="7"/>
      <c r="G693" s="7"/>
      <c r="H693" s="11"/>
      <c r="I693" s="11"/>
      <c r="J693" s="11"/>
      <c r="K693" s="5"/>
      <c r="L693" s="6"/>
      <c r="M693" s="5"/>
      <c r="N693" s="11"/>
      <c r="O693" s="7"/>
      <c r="P693" s="7"/>
      <c r="Q693" s="7"/>
      <c r="R693" s="11"/>
      <c r="S693" s="7"/>
      <c r="T693" s="5"/>
    </row>
    <row r="694" spans="1:20" x14ac:dyDescent="0.25">
      <c r="A694" s="5"/>
      <c r="B694" s="5"/>
      <c r="C694" s="14"/>
      <c r="D694" s="5"/>
      <c r="E694" s="5"/>
      <c r="F694" s="7"/>
      <c r="G694" s="7"/>
      <c r="H694" s="11"/>
      <c r="I694" s="11"/>
      <c r="J694" s="11"/>
      <c r="K694" s="5"/>
      <c r="L694" s="6"/>
      <c r="M694" s="5"/>
      <c r="N694" s="11"/>
      <c r="O694" s="7"/>
      <c r="P694" s="7"/>
      <c r="Q694" s="7"/>
      <c r="R694" s="11"/>
      <c r="S694" s="7"/>
      <c r="T694" s="5"/>
    </row>
    <row r="695" spans="1:20" x14ac:dyDescent="0.25">
      <c r="A695" s="5"/>
      <c r="B695" s="5"/>
      <c r="C695" s="14"/>
      <c r="D695" s="5"/>
      <c r="E695" s="5"/>
      <c r="F695" s="7"/>
      <c r="G695" s="7"/>
      <c r="H695" s="11"/>
      <c r="I695" s="11"/>
      <c r="J695" s="11"/>
      <c r="K695" s="5"/>
      <c r="L695" s="6"/>
      <c r="M695" s="5"/>
      <c r="N695" s="11"/>
      <c r="O695" s="7"/>
      <c r="P695" s="7"/>
      <c r="Q695" s="7"/>
      <c r="R695" s="11"/>
      <c r="S695" s="7"/>
      <c r="T695" s="5"/>
    </row>
    <row r="696" spans="1:20" x14ac:dyDescent="0.25">
      <c r="A696" s="5"/>
      <c r="B696" s="5"/>
      <c r="C696" s="14"/>
      <c r="D696" s="5"/>
      <c r="E696" s="5"/>
      <c r="F696" s="7"/>
      <c r="G696" s="7"/>
      <c r="H696" s="11"/>
      <c r="I696" s="11"/>
      <c r="J696" s="11"/>
      <c r="K696" s="5"/>
      <c r="L696" s="6"/>
      <c r="M696" s="5"/>
      <c r="N696" s="11"/>
      <c r="O696" s="7"/>
      <c r="P696" s="7"/>
      <c r="Q696" s="7"/>
      <c r="R696" s="11"/>
      <c r="S696" s="7"/>
      <c r="T696" s="5"/>
    </row>
    <row r="697" spans="1:20" x14ac:dyDescent="0.25">
      <c r="A697" s="5"/>
      <c r="B697" s="5"/>
      <c r="C697" s="14"/>
      <c r="D697" s="5"/>
      <c r="E697" s="5"/>
      <c r="F697" s="7"/>
      <c r="G697" s="7"/>
      <c r="H697" s="11"/>
      <c r="I697" s="11"/>
      <c r="J697" s="11"/>
      <c r="K697" s="5"/>
      <c r="L697" s="6"/>
      <c r="M697" s="5"/>
      <c r="N697" s="11"/>
      <c r="O697" s="7"/>
      <c r="P697" s="7"/>
      <c r="Q697" s="7"/>
      <c r="R697" s="11"/>
      <c r="S697" s="7"/>
      <c r="T697" s="5"/>
    </row>
    <row r="698" spans="1:20" x14ac:dyDescent="0.25">
      <c r="A698" s="5"/>
      <c r="B698" s="5"/>
      <c r="C698" s="14"/>
      <c r="D698" s="5"/>
      <c r="E698" s="5"/>
      <c r="F698" s="7"/>
      <c r="G698" s="7"/>
      <c r="H698" s="11"/>
      <c r="I698" s="11"/>
      <c r="J698" s="11"/>
      <c r="K698" s="5"/>
      <c r="L698" s="6"/>
      <c r="M698" s="5"/>
      <c r="N698" s="11"/>
      <c r="O698" s="7"/>
      <c r="P698" s="7"/>
      <c r="Q698" s="7"/>
      <c r="R698" s="11"/>
      <c r="S698" s="7"/>
      <c r="T698" s="5"/>
    </row>
    <row r="699" spans="1:20" x14ac:dyDescent="0.25">
      <c r="A699" s="5"/>
      <c r="B699" s="5"/>
      <c r="C699" s="14"/>
      <c r="D699" s="5"/>
      <c r="E699" s="5"/>
      <c r="F699" s="7"/>
      <c r="G699" s="7"/>
      <c r="H699" s="11"/>
      <c r="I699" s="11"/>
      <c r="J699" s="11"/>
      <c r="K699" s="5"/>
      <c r="L699" s="6"/>
      <c r="M699" s="5"/>
      <c r="N699" s="11"/>
      <c r="O699" s="7"/>
      <c r="P699" s="7"/>
      <c r="Q699" s="7"/>
      <c r="R699" s="11"/>
      <c r="S699" s="7"/>
      <c r="T699" s="5"/>
    </row>
    <row r="700" spans="1:20" x14ac:dyDescent="0.25">
      <c r="A700" s="5"/>
      <c r="B700" s="5"/>
      <c r="C700" s="14"/>
      <c r="D700" s="5"/>
      <c r="E700" s="5"/>
      <c r="F700" s="7"/>
      <c r="G700" s="7"/>
      <c r="H700" s="11"/>
      <c r="I700" s="11"/>
      <c r="J700" s="11"/>
      <c r="K700" s="5"/>
      <c r="L700" s="6"/>
      <c r="M700" s="5"/>
      <c r="N700" s="11"/>
      <c r="O700" s="7"/>
      <c r="P700" s="7"/>
      <c r="Q700" s="7"/>
      <c r="R700" s="11"/>
      <c r="S700" s="7"/>
      <c r="T700" s="5"/>
    </row>
    <row r="701" spans="1:20" x14ac:dyDescent="0.25">
      <c r="A701" s="5"/>
      <c r="B701" s="5"/>
      <c r="C701" s="14"/>
      <c r="D701" s="5"/>
      <c r="E701" s="5"/>
      <c r="F701" s="7"/>
      <c r="G701" s="7"/>
      <c r="H701" s="11"/>
      <c r="I701" s="11"/>
      <c r="J701" s="11"/>
      <c r="K701" s="5"/>
      <c r="L701" s="6"/>
      <c r="M701" s="5"/>
      <c r="N701" s="11"/>
      <c r="O701" s="7"/>
      <c r="P701" s="7"/>
      <c r="Q701" s="7"/>
      <c r="R701" s="11"/>
      <c r="S701" s="7"/>
      <c r="T701" s="5"/>
    </row>
    <row r="702" spans="1:20" x14ac:dyDescent="0.25">
      <c r="A702" s="5"/>
      <c r="B702" s="5"/>
      <c r="C702" s="14"/>
      <c r="D702" s="5"/>
      <c r="E702" s="5"/>
      <c r="F702" s="7"/>
      <c r="G702" s="7"/>
      <c r="H702" s="11"/>
      <c r="I702" s="11"/>
      <c r="J702" s="11"/>
      <c r="K702" s="5"/>
      <c r="L702" s="6"/>
      <c r="M702" s="5"/>
      <c r="N702" s="11"/>
      <c r="O702" s="7"/>
      <c r="P702" s="7"/>
      <c r="Q702" s="7"/>
      <c r="R702" s="11"/>
      <c r="S702" s="7"/>
      <c r="T702" s="5"/>
    </row>
    <row r="703" spans="1:20" x14ac:dyDescent="0.25">
      <c r="A703" s="5"/>
      <c r="B703" s="5"/>
      <c r="C703" s="14"/>
      <c r="D703" s="5"/>
      <c r="E703" s="5"/>
      <c r="F703" s="7"/>
      <c r="G703" s="7"/>
      <c r="H703" s="11"/>
      <c r="I703" s="11"/>
      <c r="J703" s="11"/>
      <c r="K703" s="5"/>
      <c r="L703" s="6"/>
      <c r="M703" s="5"/>
      <c r="N703" s="11"/>
      <c r="O703" s="7"/>
      <c r="P703" s="7"/>
      <c r="Q703" s="7"/>
      <c r="R703" s="11"/>
      <c r="S703" s="7"/>
      <c r="T703" s="5"/>
    </row>
    <row r="704" spans="1:20" x14ac:dyDescent="0.25">
      <c r="A704" s="5"/>
      <c r="B704" s="5"/>
      <c r="C704" s="14"/>
      <c r="D704" s="5"/>
      <c r="E704" s="5"/>
      <c r="F704" s="7"/>
      <c r="G704" s="7"/>
      <c r="H704" s="11"/>
      <c r="I704" s="11"/>
      <c r="J704" s="11"/>
      <c r="K704" s="5"/>
      <c r="L704" s="6"/>
      <c r="M704" s="5"/>
      <c r="N704" s="11"/>
      <c r="O704" s="7"/>
      <c r="P704" s="7"/>
      <c r="Q704" s="7"/>
      <c r="R704" s="11"/>
      <c r="S704" s="7"/>
      <c r="T704" s="5"/>
    </row>
    <row r="705" spans="1:20" x14ac:dyDescent="0.25">
      <c r="A705" s="5"/>
      <c r="B705" s="5"/>
      <c r="C705" s="14"/>
      <c r="D705" s="5"/>
      <c r="E705" s="5"/>
      <c r="F705" s="7"/>
      <c r="G705" s="7"/>
      <c r="H705" s="11"/>
      <c r="I705" s="11"/>
      <c r="J705" s="11"/>
      <c r="K705" s="5"/>
      <c r="L705" s="6"/>
      <c r="M705" s="5"/>
      <c r="N705" s="11"/>
      <c r="O705" s="7"/>
      <c r="P705" s="7"/>
      <c r="Q705" s="7"/>
      <c r="R705" s="11"/>
      <c r="S705" s="7"/>
      <c r="T705" s="5"/>
    </row>
    <row r="706" spans="1:20" x14ac:dyDescent="0.25">
      <c r="A706" s="5"/>
      <c r="B706" s="5"/>
      <c r="C706" s="14"/>
      <c r="D706" s="5"/>
      <c r="E706" s="5"/>
      <c r="F706" s="7"/>
      <c r="G706" s="7"/>
      <c r="H706" s="11"/>
      <c r="I706" s="11"/>
      <c r="J706" s="11"/>
      <c r="K706" s="5"/>
      <c r="L706" s="6"/>
      <c r="M706" s="5"/>
      <c r="N706" s="11"/>
      <c r="O706" s="7"/>
      <c r="P706" s="7"/>
      <c r="Q706" s="7"/>
      <c r="R706" s="11"/>
      <c r="S706" s="7"/>
      <c r="T706" s="5"/>
    </row>
    <row r="707" spans="1:20" x14ac:dyDescent="0.25">
      <c r="A707" s="5"/>
      <c r="B707" s="5"/>
      <c r="C707" s="14"/>
      <c r="D707" s="5"/>
      <c r="E707" s="5"/>
      <c r="F707" s="7"/>
      <c r="G707" s="7"/>
      <c r="H707" s="11"/>
      <c r="I707" s="11"/>
      <c r="J707" s="11"/>
      <c r="K707" s="5"/>
      <c r="L707" s="6"/>
      <c r="M707" s="5"/>
      <c r="N707" s="11"/>
      <c r="O707" s="7"/>
      <c r="P707" s="7"/>
      <c r="Q707" s="7"/>
      <c r="R707" s="11"/>
      <c r="S707" s="7"/>
      <c r="T707" s="5"/>
    </row>
    <row r="708" spans="1:20" x14ac:dyDescent="0.25">
      <c r="A708" s="5"/>
      <c r="B708" s="5"/>
      <c r="C708" s="14"/>
      <c r="D708" s="5"/>
      <c r="E708" s="5"/>
      <c r="F708" s="7"/>
      <c r="G708" s="7"/>
      <c r="H708" s="11"/>
      <c r="I708" s="11"/>
      <c r="J708" s="11"/>
      <c r="K708" s="5"/>
      <c r="L708" s="6"/>
      <c r="M708" s="5"/>
      <c r="N708" s="11"/>
      <c r="O708" s="7"/>
      <c r="P708" s="7"/>
      <c r="Q708" s="7"/>
      <c r="R708" s="11"/>
      <c r="S708" s="7"/>
      <c r="T708" s="5"/>
    </row>
    <row r="709" spans="1:20" x14ac:dyDescent="0.25">
      <c r="A709" s="5"/>
      <c r="B709" s="5"/>
      <c r="C709" s="14"/>
      <c r="D709" s="5"/>
      <c r="E709" s="5"/>
      <c r="F709" s="7"/>
      <c r="G709" s="7"/>
      <c r="H709" s="11"/>
      <c r="I709" s="11"/>
      <c r="J709" s="11"/>
      <c r="K709" s="5"/>
      <c r="L709" s="6"/>
      <c r="M709" s="5"/>
      <c r="N709" s="11"/>
      <c r="O709" s="7"/>
      <c r="P709" s="7"/>
      <c r="Q709" s="7"/>
      <c r="R709" s="11"/>
      <c r="S709" s="7"/>
      <c r="T709" s="5"/>
    </row>
    <row r="710" spans="1:20" x14ac:dyDescent="0.25">
      <c r="A710" s="5"/>
      <c r="B710" s="5"/>
      <c r="C710" s="14"/>
      <c r="D710" s="5"/>
      <c r="E710" s="5"/>
      <c r="F710" s="7"/>
      <c r="G710" s="7"/>
      <c r="H710" s="11"/>
      <c r="I710" s="11"/>
      <c r="J710" s="11"/>
      <c r="K710" s="5"/>
      <c r="L710" s="6"/>
      <c r="M710" s="5"/>
      <c r="N710" s="11"/>
      <c r="O710" s="7"/>
      <c r="P710" s="7"/>
      <c r="Q710" s="7"/>
      <c r="R710" s="11"/>
      <c r="S710" s="7"/>
      <c r="T710" s="5"/>
    </row>
    <row r="711" spans="1:20" x14ac:dyDescent="0.25">
      <c r="A711" s="5"/>
      <c r="B711" s="5"/>
      <c r="C711" s="14"/>
      <c r="D711" s="5"/>
      <c r="E711" s="5"/>
      <c r="F711" s="7"/>
      <c r="G711" s="7"/>
      <c r="H711" s="11"/>
      <c r="I711" s="11"/>
      <c r="J711" s="11"/>
      <c r="K711" s="5"/>
      <c r="L711" s="6"/>
      <c r="M711" s="5"/>
      <c r="N711" s="11"/>
      <c r="O711" s="7"/>
      <c r="P711" s="7"/>
      <c r="Q711" s="7"/>
      <c r="R711" s="11"/>
      <c r="S711" s="7"/>
      <c r="T711" s="5"/>
    </row>
    <row r="712" spans="1:20" x14ac:dyDescent="0.25">
      <c r="A712" s="5"/>
      <c r="B712" s="5"/>
      <c r="C712" s="14"/>
      <c r="D712" s="5"/>
      <c r="E712" s="5"/>
      <c r="F712" s="7"/>
      <c r="G712" s="7"/>
      <c r="H712" s="11"/>
      <c r="I712" s="11"/>
      <c r="J712" s="11"/>
      <c r="K712" s="5"/>
      <c r="L712" s="6"/>
      <c r="M712" s="5"/>
      <c r="N712" s="11"/>
      <c r="O712" s="7"/>
      <c r="P712" s="7"/>
      <c r="Q712" s="7"/>
      <c r="R712" s="11"/>
      <c r="S712" s="7"/>
      <c r="T712" s="5"/>
    </row>
    <row r="713" spans="1:20" x14ac:dyDescent="0.25">
      <c r="A713" s="5"/>
      <c r="B713" s="5"/>
      <c r="C713" s="14"/>
      <c r="D713" s="5"/>
      <c r="E713" s="5"/>
      <c r="F713" s="7"/>
      <c r="G713" s="7"/>
      <c r="H713" s="11"/>
      <c r="I713" s="11"/>
      <c r="J713" s="11"/>
      <c r="K713" s="5"/>
      <c r="L713" s="6"/>
      <c r="M713" s="5"/>
      <c r="N713" s="11"/>
      <c r="O713" s="7"/>
      <c r="P713" s="7"/>
      <c r="Q713" s="7"/>
      <c r="R713" s="11"/>
      <c r="S713" s="7"/>
      <c r="T713" s="5"/>
    </row>
    <row r="714" spans="1:20" x14ac:dyDescent="0.25">
      <c r="A714" s="5"/>
      <c r="B714" s="5"/>
      <c r="C714" s="14"/>
      <c r="D714" s="5"/>
      <c r="E714" s="5"/>
      <c r="F714" s="7"/>
      <c r="G714" s="7"/>
      <c r="H714" s="11"/>
      <c r="I714" s="11"/>
      <c r="J714" s="11"/>
      <c r="K714" s="5"/>
      <c r="L714" s="6"/>
      <c r="M714" s="5"/>
      <c r="N714" s="11"/>
      <c r="O714" s="7"/>
      <c r="P714" s="7"/>
      <c r="Q714" s="7"/>
      <c r="R714" s="11"/>
      <c r="S714" s="7"/>
      <c r="T714" s="5"/>
    </row>
    <row r="715" spans="1:20" x14ac:dyDescent="0.25">
      <c r="A715" s="5"/>
      <c r="B715" s="5"/>
      <c r="C715" s="14"/>
      <c r="D715" s="5"/>
      <c r="E715" s="5"/>
      <c r="F715" s="7"/>
      <c r="G715" s="7"/>
      <c r="H715" s="11"/>
      <c r="I715" s="11"/>
      <c r="J715" s="11"/>
      <c r="K715" s="5"/>
      <c r="L715" s="6"/>
      <c r="M715" s="5"/>
      <c r="N715" s="11"/>
      <c r="O715" s="7"/>
      <c r="P715" s="7"/>
      <c r="Q715" s="7"/>
      <c r="R715" s="11"/>
      <c r="S715" s="7"/>
      <c r="T715" s="5"/>
    </row>
    <row r="716" spans="1:20" x14ac:dyDescent="0.25">
      <c r="A716" s="5"/>
      <c r="B716" s="5"/>
      <c r="C716" s="14"/>
      <c r="D716" s="5"/>
      <c r="E716" s="5"/>
      <c r="F716" s="7"/>
      <c r="G716" s="7"/>
      <c r="H716" s="11"/>
      <c r="I716" s="11"/>
      <c r="J716" s="11"/>
      <c r="K716" s="5"/>
      <c r="L716" s="6"/>
      <c r="M716" s="5"/>
      <c r="N716" s="11"/>
      <c r="O716" s="7"/>
      <c r="P716" s="7"/>
      <c r="Q716" s="7"/>
      <c r="R716" s="11"/>
      <c r="S716" s="7"/>
      <c r="T716" s="5"/>
    </row>
    <row r="717" spans="1:20" x14ac:dyDescent="0.25">
      <c r="A717" s="5"/>
      <c r="B717" s="5"/>
      <c r="C717" s="14"/>
      <c r="D717" s="5"/>
      <c r="E717" s="5"/>
      <c r="F717" s="7"/>
      <c r="G717" s="7"/>
      <c r="H717" s="11"/>
      <c r="I717" s="11"/>
      <c r="J717" s="11"/>
      <c r="K717" s="5"/>
      <c r="L717" s="6"/>
      <c r="M717" s="5"/>
      <c r="N717" s="11"/>
      <c r="O717" s="7"/>
      <c r="P717" s="7"/>
      <c r="Q717" s="7"/>
      <c r="R717" s="11"/>
      <c r="S717" s="7"/>
      <c r="T717" s="5"/>
    </row>
    <row r="718" spans="1:20" x14ac:dyDescent="0.25">
      <c r="A718" s="5"/>
      <c r="B718" s="5"/>
      <c r="C718" s="14"/>
      <c r="D718" s="5"/>
      <c r="E718" s="5"/>
      <c r="F718" s="7"/>
      <c r="G718" s="7"/>
      <c r="H718" s="11"/>
      <c r="I718" s="11"/>
      <c r="J718" s="11"/>
      <c r="K718" s="5"/>
      <c r="L718" s="6"/>
      <c r="M718" s="5"/>
      <c r="N718" s="11"/>
      <c r="O718" s="7"/>
      <c r="P718" s="7"/>
      <c r="Q718" s="7"/>
      <c r="R718" s="11"/>
      <c r="S718" s="7"/>
      <c r="T718" s="5"/>
    </row>
    <row r="719" spans="1:20" x14ac:dyDescent="0.25">
      <c r="A719" s="5"/>
      <c r="B719" s="5"/>
      <c r="C719" s="14"/>
      <c r="D719" s="5"/>
      <c r="E719" s="5"/>
      <c r="F719" s="7"/>
      <c r="G719" s="7"/>
      <c r="H719" s="11"/>
      <c r="I719" s="11"/>
      <c r="J719" s="11"/>
      <c r="K719" s="5"/>
      <c r="L719" s="6"/>
      <c r="M719" s="5"/>
      <c r="N719" s="11"/>
      <c r="O719" s="7"/>
      <c r="P719" s="7"/>
      <c r="Q719" s="7"/>
      <c r="R719" s="11"/>
      <c r="S719" s="7"/>
      <c r="T719" s="5"/>
    </row>
    <row r="720" spans="1:20" x14ac:dyDescent="0.25">
      <c r="A720" s="5"/>
      <c r="B720" s="5"/>
      <c r="C720" s="14"/>
      <c r="D720" s="5"/>
      <c r="E720" s="5"/>
      <c r="F720" s="7"/>
      <c r="G720" s="7"/>
      <c r="H720" s="11"/>
      <c r="I720" s="11"/>
      <c r="J720" s="11"/>
      <c r="K720" s="5"/>
      <c r="L720" s="6"/>
      <c r="M720" s="5"/>
      <c r="N720" s="11"/>
      <c r="O720" s="7"/>
      <c r="P720" s="7"/>
      <c r="Q720" s="7"/>
      <c r="R720" s="11"/>
      <c r="S720" s="7"/>
      <c r="T720" s="5"/>
    </row>
    <row r="721" spans="1:20" x14ac:dyDescent="0.25">
      <c r="A721" s="5"/>
      <c r="B721" s="5"/>
      <c r="C721" s="14"/>
      <c r="D721" s="5"/>
      <c r="E721" s="5"/>
      <c r="F721" s="7"/>
      <c r="G721" s="7"/>
      <c r="H721" s="11"/>
      <c r="I721" s="11"/>
      <c r="J721" s="11"/>
      <c r="K721" s="5"/>
      <c r="L721" s="6"/>
      <c r="M721" s="5"/>
      <c r="N721" s="11"/>
      <c r="O721" s="7"/>
      <c r="P721" s="7"/>
      <c r="Q721" s="7"/>
      <c r="R721" s="11"/>
      <c r="S721" s="7"/>
      <c r="T721" s="5"/>
    </row>
    <row r="722" spans="1:20" x14ac:dyDescent="0.25">
      <c r="A722" s="5"/>
      <c r="B722" s="5"/>
      <c r="C722" s="14"/>
      <c r="D722" s="5"/>
      <c r="E722" s="5"/>
      <c r="F722" s="7"/>
      <c r="G722" s="7"/>
      <c r="H722" s="11"/>
      <c r="I722" s="11"/>
      <c r="J722" s="11"/>
      <c r="K722" s="5"/>
      <c r="L722" s="6"/>
      <c r="M722" s="5"/>
      <c r="N722" s="11"/>
      <c r="O722" s="7"/>
      <c r="P722" s="7"/>
      <c r="Q722" s="7"/>
      <c r="R722" s="11"/>
      <c r="S722" s="7"/>
      <c r="T722" s="5"/>
    </row>
    <row r="723" spans="1:20" x14ac:dyDescent="0.25">
      <c r="A723" s="5"/>
      <c r="B723" s="5"/>
      <c r="C723" s="14"/>
      <c r="D723" s="5"/>
      <c r="E723" s="5"/>
      <c r="F723" s="7"/>
      <c r="G723" s="7"/>
      <c r="H723" s="11"/>
      <c r="I723" s="11"/>
      <c r="J723" s="11"/>
      <c r="K723" s="5"/>
      <c r="L723" s="6"/>
      <c r="M723" s="5"/>
      <c r="N723" s="11"/>
      <c r="O723" s="7"/>
      <c r="P723" s="7"/>
      <c r="Q723" s="7"/>
      <c r="R723" s="11"/>
      <c r="S723" s="7"/>
      <c r="T723" s="5"/>
    </row>
    <row r="724" spans="1:20" x14ac:dyDescent="0.25">
      <c r="A724" s="5"/>
      <c r="B724" s="5"/>
      <c r="C724" s="14"/>
      <c r="D724" s="5"/>
      <c r="E724" s="5"/>
      <c r="F724" s="7"/>
      <c r="G724" s="7"/>
      <c r="H724" s="11"/>
      <c r="I724" s="11"/>
      <c r="J724" s="11"/>
      <c r="K724" s="5"/>
      <c r="L724" s="6"/>
      <c r="M724" s="5"/>
      <c r="N724" s="11"/>
      <c r="O724" s="7"/>
      <c r="P724" s="7"/>
      <c r="Q724" s="7"/>
      <c r="R724" s="11"/>
      <c r="S724" s="7"/>
      <c r="T724" s="5"/>
    </row>
    <row r="725" spans="1:20" x14ac:dyDescent="0.25">
      <c r="A725" s="5"/>
      <c r="B725" s="5"/>
      <c r="C725" s="14"/>
      <c r="D725" s="5"/>
      <c r="E725" s="5"/>
      <c r="F725" s="7"/>
      <c r="G725" s="7"/>
      <c r="H725" s="11"/>
      <c r="I725" s="11"/>
      <c r="J725" s="11"/>
      <c r="K725" s="5"/>
      <c r="L725" s="6"/>
      <c r="M725" s="5"/>
      <c r="N725" s="11"/>
      <c r="O725" s="7"/>
      <c r="P725" s="7"/>
      <c r="Q725" s="7"/>
      <c r="R725" s="11"/>
      <c r="S725" s="7"/>
      <c r="T725" s="5"/>
    </row>
    <row r="726" spans="1:20" x14ac:dyDescent="0.25">
      <c r="A726" s="5"/>
      <c r="B726" s="5"/>
      <c r="C726" s="14"/>
      <c r="D726" s="5"/>
      <c r="E726" s="5"/>
      <c r="F726" s="7"/>
      <c r="G726" s="7"/>
      <c r="H726" s="11"/>
      <c r="I726" s="11"/>
      <c r="J726" s="11"/>
      <c r="K726" s="5"/>
      <c r="L726" s="6"/>
      <c r="M726" s="5"/>
      <c r="N726" s="11"/>
      <c r="O726" s="7"/>
      <c r="P726" s="7"/>
      <c r="Q726" s="7"/>
      <c r="R726" s="11"/>
      <c r="S726" s="7"/>
      <c r="T726" s="5"/>
    </row>
    <row r="727" spans="1:20" x14ac:dyDescent="0.25">
      <c r="A727" s="5"/>
      <c r="B727" s="5"/>
      <c r="C727" s="14"/>
      <c r="D727" s="5"/>
      <c r="E727" s="5"/>
      <c r="F727" s="7"/>
      <c r="G727" s="7"/>
      <c r="H727" s="11"/>
      <c r="I727" s="11"/>
      <c r="J727" s="11"/>
      <c r="K727" s="5"/>
      <c r="L727" s="6"/>
      <c r="M727" s="5"/>
      <c r="N727" s="11"/>
      <c r="O727" s="7"/>
      <c r="P727" s="7"/>
      <c r="Q727" s="7"/>
      <c r="R727" s="11"/>
      <c r="S727" s="7"/>
      <c r="T727" s="5"/>
    </row>
    <row r="728" spans="1:20" x14ac:dyDescent="0.25">
      <c r="A728" s="5"/>
      <c r="B728" s="5"/>
      <c r="C728" s="14"/>
      <c r="D728" s="5"/>
      <c r="E728" s="5"/>
      <c r="F728" s="7"/>
      <c r="G728" s="7"/>
      <c r="H728" s="11"/>
      <c r="I728" s="11"/>
      <c r="J728" s="11"/>
      <c r="K728" s="5"/>
      <c r="L728" s="6"/>
      <c r="M728" s="5"/>
      <c r="N728" s="11"/>
      <c r="O728" s="7"/>
      <c r="P728" s="7"/>
      <c r="Q728" s="7"/>
      <c r="R728" s="11"/>
      <c r="S728" s="7"/>
      <c r="T728" s="5"/>
    </row>
    <row r="729" spans="1:20" x14ac:dyDescent="0.25">
      <c r="A729" s="5"/>
      <c r="B729" s="5"/>
      <c r="C729" s="14"/>
      <c r="D729" s="5"/>
      <c r="E729" s="5"/>
      <c r="F729" s="7"/>
      <c r="G729" s="7"/>
      <c r="H729" s="11"/>
      <c r="I729" s="11"/>
      <c r="J729" s="11"/>
      <c r="K729" s="5"/>
      <c r="L729" s="6"/>
      <c r="M729" s="5"/>
      <c r="N729" s="11"/>
      <c r="O729" s="7"/>
      <c r="P729" s="7"/>
      <c r="Q729" s="7"/>
      <c r="R729" s="11"/>
      <c r="S729" s="7"/>
      <c r="T729" s="5"/>
    </row>
    <row r="730" spans="1:20" x14ac:dyDescent="0.25">
      <c r="A730" s="5"/>
      <c r="B730" s="5"/>
      <c r="C730" s="14"/>
      <c r="D730" s="5"/>
      <c r="E730" s="5"/>
      <c r="F730" s="7"/>
      <c r="G730" s="7"/>
      <c r="H730" s="11"/>
      <c r="I730" s="11"/>
      <c r="J730" s="11"/>
      <c r="K730" s="5"/>
      <c r="L730" s="6"/>
      <c r="M730" s="5"/>
      <c r="N730" s="11"/>
      <c r="O730" s="7"/>
      <c r="P730" s="7"/>
      <c r="Q730" s="7"/>
      <c r="R730" s="11"/>
      <c r="S730" s="7"/>
      <c r="T730" s="5"/>
    </row>
    <row r="731" spans="1:20" x14ac:dyDescent="0.25">
      <c r="A731" s="5"/>
      <c r="B731" s="5"/>
      <c r="C731" s="14"/>
      <c r="D731" s="5"/>
      <c r="E731" s="5"/>
      <c r="F731" s="7"/>
      <c r="G731" s="7"/>
      <c r="H731" s="11"/>
      <c r="I731" s="11"/>
      <c r="J731" s="11"/>
      <c r="K731" s="5"/>
      <c r="L731" s="6"/>
      <c r="M731" s="5"/>
      <c r="N731" s="11"/>
      <c r="O731" s="7"/>
      <c r="P731" s="7"/>
      <c r="Q731" s="7"/>
      <c r="R731" s="11"/>
      <c r="S731" s="7"/>
      <c r="T731" s="5"/>
    </row>
    <row r="732" spans="1:20" x14ac:dyDescent="0.25">
      <c r="A732" s="5"/>
      <c r="B732" s="5"/>
      <c r="C732" s="14"/>
      <c r="D732" s="5"/>
      <c r="E732" s="5"/>
      <c r="F732" s="7"/>
      <c r="G732" s="7"/>
      <c r="H732" s="11"/>
      <c r="I732" s="11"/>
      <c r="J732" s="11"/>
      <c r="K732" s="5"/>
      <c r="L732" s="6"/>
      <c r="M732" s="5"/>
      <c r="N732" s="11"/>
      <c r="O732" s="7"/>
      <c r="P732" s="7"/>
      <c r="Q732" s="7"/>
      <c r="R732" s="11"/>
      <c r="S732" s="7"/>
      <c r="T732" s="5"/>
    </row>
    <row r="733" spans="1:20" x14ac:dyDescent="0.25">
      <c r="A733" s="5"/>
      <c r="B733" s="5"/>
      <c r="C733" s="14"/>
      <c r="D733" s="5"/>
      <c r="E733" s="5"/>
      <c r="F733" s="7"/>
      <c r="G733" s="7"/>
      <c r="H733" s="11"/>
      <c r="I733" s="11"/>
      <c r="J733" s="11"/>
      <c r="K733" s="5"/>
      <c r="L733" s="6"/>
      <c r="M733" s="5"/>
      <c r="N733" s="11"/>
      <c r="O733" s="7"/>
      <c r="P733" s="7"/>
      <c r="Q733" s="7"/>
      <c r="R733" s="11"/>
      <c r="S733" s="7"/>
      <c r="T733" s="5"/>
    </row>
    <row r="734" spans="1:20" x14ac:dyDescent="0.25">
      <c r="A734" s="5"/>
      <c r="B734" s="5"/>
      <c r="C734" s="14"/>
      <c r="D734" s="5"/>
      <c r="E734" s="5"/>
      <c r="F734" s="7"/>
      <c r="G734" s="7"/>
      <c r="H734" s="11"/>
      <c r="I734" s="11"/>
      <c r="J734" s="11"/>
      <c r="K734" s="5"/>
      <c r="L734" s="6"/>
      <c r="M734" s="5"/>
      <c r="N734" s="11"/>
      <c r="O734" s="7"/>
      <c r="P734" s="7"/>
      <c r="Q734" s="7"/>
      <c r="R734" s="11"/>
      <c r="S734" s="7"/>
      <c r="T734" s="5"/>
    </row>
    <row r="735" spans="1:20" x14ac:dyDescent="0.25">
      <c r="A735" s="5"/>
      <c r="B735" s="5"/>
      <c r="C735" s="14"/>
      <c r="D735" s="5"/>
      <c r="E735" s="5"/>
      <c r="F735" s="7"/>
      <c r="G735" s="7"/>
      <c r="H735" s="11"/>
      <c r="I735" s="11"/>
      <c r="J735" s="11"/>
      <c r="K735" s="5"/>
      <c r="L735" s="6"/>
      <c r="M735" s="5"/>
      <c r="N735" s="11"/>
      <c r="O735" s="7"/>
      <c r="P735" s="7"/>
      <c r="Q735" s="7"/>
      <c r="R735" s="11"/>
      <c r="S735" s="7"/>
      <c r="T735" s="5"/>
    </row>
    <row r="736" spans="1:20" x14ac:dyDescent="0.25">
      <c r="A736" s="5"/>
      <c r="B736" s="5"/>
      <c r="C736" s="14"/>
      <c r="D736" s="5"/>
      <c r="E736" s="5"/>
      <c r="F736" s="7"/>
      <c r="G736" s="7"/>
      <c r="H736" s="11"/>
      <c r="I736" s="11"/>
      <c r="J736" s="11"/>
      <c r="K736" s="5"/>
      <c r="L736" s="6"/>
      <c r="M736" s="5"/>
      <c r="N736" s="11"/>
      <c r="O736" s="7"/>
      <c r="P736" s="7"/>
      <c r="Q736" s="7"/>
      <c r="R736" s="11"/>
      <c r="S736" s="7"/>
      <c r="T736" s="5"/>
    </row>
    <row r="737" spans="1:20" x14ac:dyDescent="0.25">
      <c r="A737" s="5"/>
      <c r="B737" s="5"/>
      <c r="C737" s="14"/>
      <c r="D737" s="5"/>
      <c r="E737" s="5"/>
      <c r="F737" s="7"/>
      <c r="G737" s="7"/>
      <c r="H737" s="11"/>
      <c r="I737" s="11"/>
      <c r="J737" s="11"/>
      <c r="K737" s="5"/>
      <c r="L737" s="6"/>
      <c r="M737" s="5"/>
      <c r="N737" s="11"/>
      <c r="O737" s="7"/>
      <c r="P737" s="7"/>
      <c r="Q737" s="7"/>
      <c r="R737" s="11"/>
      <c r="S737" s="7"/>
      <c r="T737" s="5"/>
    </row>
    <row r="738" spans="1:20" x14ac:dyDescent="0.25">
      <c r="A738" s="5"/>
      <c r="B738" s="5"/>
      <c r="C738" s="14"/>
      <c r="D738" s="5"/>
      <c r="E738" s="5"/>
      <c r="F738" s="7"/>
      <c r="G738" s="7"/>
      <c r="H738" s="11"/>
      <c r="I738" s="11"/>
      <c r="J738" s="11"/>
      <c r="K738" s="5"/>
      <c r="L738" s="6"/>
      <c r="M738" s="5"/>
      <c r="N738" s="11"/>
      <c r="O738" s="7"/>
      <c r="P738" s="7"/>
      <c r="Q738" s="7"/>
      <c r="R738" s="11"/>
      <c r="S738" s="7"/>
      <c r="T738" s="5"/>
    </row>
    <row r="739" spans="1:20" x14ac:dyDescent="0.25">
      <c r="A739" s="5"/>
      <c r="B739" s="5"/>
      <c r="C739" s="14"/>
      <c r="D739" s="5"/>
      <c r="E739" s="5"/>
      <c r="F739" s="7"/>
      <c r="G739" s="7"/>
      <c r="H739" s="11"/>
      <c r="I739" s="11"/>
      <c r="J739" s="11"/>
      <c r="K739" s="5"/>
      <c r="L739" s="6"/>
      <c r="M739" s="5"/>
      <c r="N739" s="11"/>
      <c r="O739" s="7"/>
      <c r="P739" s="7"/>
      <c r="Q739" s="7"/>
      <c r="R739" s="11"/>
      <c r="S739" s="7"/>
      <c r="T739" s="5"/>
    </row>
    <row r="740" spans="1:20" x14ac:dyDescent="0.25">
      <c r="A740" s="5"/>
      <c r="B740" s="5"/>
      <c r="C740" s="14"/>
      <c r="D740" s="5"/>
      <c r="E740" s="5"/>
      <c r="F740" s="7"/>
      <c r="G740" s="7"/>
      <c r="H740" s="11"/>
      <c r="I740" s="11"/>
      <c r="J740" s="11"/>
      <c r="K740" s="5"/>
      <c r="L740" s="6"/>
      <c r="M740" s="5"/>
      <c r="N740" s="11"/>
      <c r="O740" s="7"/>
      <c r="P740" s="7"/>
      <c r="Q740" s="7"/>
      <c r="R740" s="11"/>
      <c r="S740" s="7"/>
      <c r="T740" s="5"/>
    </row>
    <row r="741" spans="1:20" x14ac:dyDescent="0.25">
      <c r="A741" s="5"/>
      <c r="B741" s="5"/>
      <c r="C741" s="14"/>
      <c r="D741" s="5"/>
      <c r="E741" s="5"/>
      <c r="F741" s="7"/>
      <c r="G741" s="7"/>
      <c r="H741" s="11"/>
      <c r="I741" s="11"/>
      <c r="J741" s="11"/>
      <c r="K741" s="5"/>
      <c r="L741" s="6"/>
      <c r="M741" s="5"/>
      <c r="N741" s="11"/>
      <c r="O741" s="7"/>
      <c r="P741" s="7"/>
      <c r="Q741" s="7"/>
      <c r="R741" s="11"/>
      <c r="S741" s="7"/>
      <c r="T741" s="5"/>
    </row>
  </sheetData>
  <conditionalFormatting sqref="H3:H4">
    <cfRule type="colorScale" priority="889">
      <colorScale>
        <cfvo type="min"/>
        <cfvo type="percentile" val="50"/>
        <cfvo type="max"/>
        <color rgb="FFF8696B"/>
        <color rgb="FFFFEB84"/>
        <color rgb="FF63BE7B"/>
      </colorScale>
    </cfRule>
  </conditionalFormatting>
  <conditionalFormatting sqref="H6">
    <cfRule type="cellIs" dxfId="151" priority="733" operator="equal">
      <formula>"GW"</formula>
    </cfRule>
    <cfRule type="cellIs" dxfId="150" priority="734" operator="equal">
      <formula>"PT"</formula>
    </cfRule>
    <cfRule type="cellIs" dxfId="149" priority="735" operator="equal">
      <formula>"TRIM"</formula>
    </cfRule>
    <cfRule type="cellIs" dxfId="148" priority="736" operator="equal">
      <formula>"RI"</formula>
    </cfRule>
    <cfRule type="colorScale" priority="737">
      <colorScale>
        <cfvo type="min"/>
        <cfvo type="percentile" val="50"/>
        <cfvo type="max"/>
        <color rgb="FFF8696B"/>
        <color rgb="FFFFEB84"/>
        <color rgb="FF63BE7B"/>
      </colorScale>
    </cfRule>
  </conditionalFormatting>
  <conditionalFormatting sqref="H7:H10 H18 H13:H14 H20:H21 H26:H31 H23">
    <cfRule type="colorScale" priority="4227">
      <colorScale>
        <cfvo type="min"/>
        <cfvo type="percentile" val="50"/>
        <cfvo type="max"/>
        <color rgb="FFF8696B"/>
        <color rgb="FFFFEB84"/>
        <color rgb="FF63BE7B"/>
      </colorScale>
    </cfRule>
  </conditionalFormatting>
  <conditionalFormatting sqref="H11">
    <cfRule type="colorScale" priority="773">
      <colorScale>
        <cfvo type="min"/>
        <cfvo type="percentile" val="50"/>
        <cfvo type="max"/>
        <color rgb="FFF8696B"/>
        <color rgb="FFFFEB84"/>
        <color rgb="FF63BE7B"/>
      </colorScale>
    </cfRule>
  </conditionalFormatting>
  <conditionalFormatting sqref="H12">
    <cfRule type="colorScale" priority="810">
      <colorScale>
        <cfvo type="min"/>
        <cfvo type="percentile" val="50"/>
        <cfvo type="max"/>
        <color rgb="FFF8696B"/>
        <color rgb="FFFFEB84"/>
        <color rgb="FF63BE7B"/>
      </colorScale>
    </cfRule>
  </conditionalFormatting>
  <conditionalFormatting sqref="H15">
    <cfRule type="colorScale" priority="824">
      <colorScale>
        <cfvo type="min"/>
        <cfvo type="percentile" val="50"/>
        <cfvo type="max"/>
        <color rgb="FFF8696B"/>
        <color rgb="FFFFEB84"/>
        <color rgb="FF63BE7B"/>
      </colorScale>
    </cfRule>
  </conditionalFormatting>
  <conditionalFormatting sqref="H16">
    <cfRule type="colorScale" priority="800">
      <colorScale>
        <cfvo type="min"/>
        <cfvo type="percentile" val="50"/>
        <cfvo type="max"/>
        <color rgb="FFF8696B"/>
        <color rgb="FFFFEB84"/>
        <color rgb="FF63BE7B"/>
      </colorScale>
    </cfRule>
  </conditionalFormatting>
  <conditionalFormatting sqref="H17">
    <cfRule type="colorScale" priority="723">
      <colorScale>
        <cfvo type="min"/>
        <cfvo type="percentile" val="50"/>
        <cfvo type="max"/>
        <color rgb="FFF8696B"/>
        <color rgb="FFFFEB84"/>
        <color rgb="FF63BE7B"/>
      </colorScale>
    </cfRule>
  </conditionalFormatting>
  <conditionalFormatting sqref="H19">
    <cfRule type="colorScale" priority="783">
      <colorScale>
        <cfvo type="min"/>
        <cfvo type="percentile" val="50"/>
        <cfvo type="max"/>
        <color rgb="FFF8696B"/>
        <color rgb="FFFFEB84"/>
        <color rgb="FF63BE7B"/>
      </colorScale>
    </cfRule>
  </conditionalFormatting>
  <conditionalFormatting sqref="H22">
    <cfRule type="colorScale" priority="623">
      <colorScale>
        <cfvo type="min"/>
        <cfvo type="percentile" val="50"/>
        <cfvo type="max"/>
        <color rgb="FFF8696B"/>
        <color rgb="FFFFEB84"/>
        <color rgb="FF63BE7B"/>
      </colorScale>
    </cfRule>
  </conditionalFormatting>
  <conditionalFormatting sqref="H24">
    <cfRule type="colorScale" priority="678">
      <colorScale>
        <cfvo type="min"/>
        <cfvo type="percentile" val="50"/>
        <cfvo type="max"/>
        <color rgb="FFF8696B"/>
        <color rgb="FFFFEB84"/>
        <color rgb="FF63BE7B"/>
      </colorScale>
    </cfRule>
  </conditionalFormatting>
  <conditionalFormatting sqref="H25">
    <cfRule type="colorScale" priority="713">
      <colorScale>
        <cfvo type="min"/>
        <cfvo type="percentile" val="50"/>
        <cfvo type="max"/>
        <color rgb="FFF8696B"/>
        <color rgb="FFFFEB84"/>
        <color rgb="FF63BE7B"/>
      </colorScale>
    </cfRule>
  </conditionalFormatting>
  <conditionalFormatting sqref="H32">
    <cfRule type="colorScale" priority="702">
      <colorScale>
        <cfvo type="min"/>
        <cfvo type="percentile" val="50"/>
        <cfvo type="max"/>
        <color rgb="FFF8696B"/>
        <color rgb="FFFFEB84"/>
        <color rgb="FF63BE7B"/>
      </colorScale>
    </cfRule>
  </conditionalFormatting>
  <conditionalFormatting sqref="H33">
    <cfRule type="colorScale" priority="669">
      <colorScale>
        <cfvo type="min"/>
        <cfvo type="percentile" val="50"/>
        <cfvo type="max"/>
        <color rgb="FFF8696B"/>
        <color rgb="FFFFEB84"/>
        <color rgb="FF63BE7B"/>
      </colorScale>
    </cfRule>
  </conditionalFormatting>
  <conditionalFormatting sqref="H35">
    <cfRule type="colorScale" priority="660">
      <colorScale>
        <cfvo type="min"/>
        <cfvo type="percentile" val="50"/>
        <cfvo type="max"/>
        <color rgb="FFF8696B"/>
        <color rgb="FFFFEB84"/>
        <color rgb="FF63BE7B"/>
      </colorScale>
    </cfRule>
  </conditionalFormatting>
  <conditionalFormatting sqref="H36:H37 H34 H40:H42 H44:H47">
    <cfRule type="colorScale" priority="696">
      <colorScale>
        <cfvo type="min"/>
        <cfvo type="percentile" val="50"/>
        <cfvo type="max"/>
        <color rgb="FFF8696B"/>
        <color rgb="FFFFEB84"/>
        <color rgb="FF63BE7B"/>
      </colorScale>
    </cfRule>
  </conditionalFormatting>
  <conditionalFormatting sqref="H38">
    <cfRule type="colorScale" priority="578">
      <colorScale>
        <cfvo type="min"/>
        <cfvo type="percentile" val="50"/>
        <cfvo type="max"/>
        <color rgb="FFF8696B"/>
        <color rgb="FFFFEB84"/>
        <color rgb="FF63BE7B"/>
      </colorScale>
    </cfRule>
  </conditionalFormatting>
  <conditionalFormatting sqref="H39">
    <cfRule type="colorScale" priority="492">
      <colorScale>
        <cfvo type="min"/>
        <cfvo type="percentile" val="50"/>
        <cfvo type="max"/>
        <color rgb="FFF8696B"/>
        <color rgb="FFFFEB84"/>
        <color rgb="FF63BE7B"/>
      </colorScale>
    </cfRule>
  </conditionalFormatting>
  <conditionalFormatting sqref="H43">
    <cfRule type="colorScale" priority="569">
      <colorScale>
        <cfvo type="min"/>
        <cfvo type="percentile" val="50"/>
        <cfvo type="max"/>
        <color rgb="FFF8696B"/>
        <color rgb="FFFFEB84"/>
        <color rgb="FF63BE7B"/>
      </colorScale>
    </cfRule>
  </conditionalFormatting>
  <conditionalFormatting sqref="H48">
    <cfRule type="colorScale" priority="605">
      <colorScale>
        <cfvo type="min"/>
        <cfvo type="percentile" val="50"/>
        <cfvo type="max"/>
        <color rgb="FFF8696B"/>
        <color rgb="FFFFEB84"/>
        <color rgb="FF63BE7B"/>
      </colorScale>
    </cfRule>
  </conditionalFormatting>
  <conditionalFormatting sqref="H49">
    <cfRule type="colorScale" priority="596">
      <colorScale>
        <cfvo type="min"/>
        <cfvo type="percentile" val="50"/>
        <cfvo type="max"/>
        <color rgb="FFF8696B"/>
        <color rgb="FFFFEB84"/>
        <color rgb="FF63BE7B"/>
      </colorScale>
    </cfRule>
  </conditionalFormatting>
  <conditionalFormatting sqref="H50">
    <cfRule type="colorScale" priority="587">
      <colorScale>
        <cfvo type="min"/>
        <cfvo type="percentile" val="50"/>
        <cfvo type="max"/>
        <color rgb="FFF8696B"/>
        <color rgb="FFFFEB84"/>
        <color rgb="FF63BE7B"/>
      </colorScale>
    </cfRule>
  </conditionalFormatting>
  <conditionalFormatting sqref="H51:H53">
    <cfRule type="colorScale" priority="641">
      <colorScale>
        <cfvo type="min"/>
        <cfvo type="percentile" val="50"/>
        <cfvo type="max"/>
        <color rgb="FFF8696B"/>
        <color rgb="FFFFEB84"/>
        <color rgb="FF63BE7B"/>
      </colorScale>
    </cfRule>
  </conditionalFormatting>
  <conditionalFormatting sqref="H54">
    <cfRule type="colorScale" priority="530">
      <colorScale>
        <cfvo type="min"/>
        <cfvo type="percentile" val="50"/>
        <cfvo type="max"/>
        <color rgb="FFF8696B"/>
        <color rgb="FFFFEB84"/>
        <color rgb="FF63BE7B"/>
      </colorScale>
    </cfRule>
  </conditionalFormatting>
  <conditionalFormatting sqref="H55:H56 H86 H58 H60:H75 H80">
    <cfRule type="colorScale" priority="6441">
      <colorScale>
        <cfvo type="min"/>
        <cfvo type="percentile" val="50"/>
        <cfvo type="max"/>
        <color rgb="FFF8696B"/>
        <color rgb="FFFFEB84"/>
        <color rgb="FF63BE7B"/>
      </colorScale>
    </cfRule>
  </conditionalFormatting>
  <conditionalFormatting sqref="H57">
    <cfRule type="colorScale" priority="560">
      <colorScale>
        <cfvo type="min"/>
        <cfvo type="percentile" val="50"/>
        <cfvo type="max"/>
        <color rgb="FFF8696B"/>
        <color rgb="FFFFEB84"/>
        <color rgb="FF63BE7B"/>
      </colorScale>
    </cfRule>
  </conditionalFormatting>
  <conditionalFormatting sqref="H59">
    <cfRule type="colorScale" priority="539">
      <colorScale>
        <cfvo type="min"/>
        <cfvo type="percentile" val="50"/>
        <cfvo type="max"/>
        <color rgb="FFF8696B"/>
        <color rgb="FFFFEB84"/>
        <color rgb="FF63BE7B"/>
      </colorScale>
    </cfRule>
  </conditionalFormatting>
  <conditionalFormatting sqref="H81:H83 H76:H79 H94:H98 H88:H91 H100:H102 H106:H108 H110:H115 H117:H121 H124:H125 H127:H128 H132:H133 H148 H136:H143 H152:H153 H145:H146 H157:H158 H160:H162 H165:H166 H168 H184:H185 H170:H171 H187 H190:H191 H193:H202 H173:H180 H204:H213 H215:H226 H229:H231 H249:H254 H237 H239:H247 H256:H276 H233:H235 H279:H286 H288:H321 H323:H741">
    <cfRule type="colorScale" priority="25650">
      <colorScale>
        <cfvo type="min"/>
        <cfvo type="percentile" val="50"/>
        <cfvo type="max"/>
        <color rgb="FFF8696B"/>
        <color rgb="FFFFEB84"/>
        <color rgb="FF63BE7B"/>
      </colorScale>
    </cfRule>
  </conditionalFormatting>
  <conditionalFormatting sqref="H84">
    <cfRule type="colorScale" priority="483">
      <colorScale>
        <cfvo type="min"/>
        <cfvo type="percentile" val="50"/>
        <cfvo type="max"/>
        <color rgb="FFF8696B"/>
        <color rgb="FFFFEB84"/>
        <color rgb="FF63BE7B"/>
      </colorScale>
    </cfRule>
  </conditionalFormatting>
  <conditionalFormatting sqref="H85">
    <cfRule type="colorScale" priority="501">
      <colorScale>
        <cfvo type="min"/>
        <cfvo type="percentile" val="50"/>
        <cfvo type="max"/>
        <color rgb="FFF8696B"/>
        <color rgb="FFFFEB84"/>
        <color rgb="FF63BE7B"/>
      </colorScale>
    </cfRule>
  </conditionalFormatting>
  <conditionalFormatting sqref="H87">
    <cfRule type="colorScale" priority="474">
      <colorScale>
        <cfvo type="min"/>
        <cfvo type="percentile" val="50"/>
        <cfvo type="max"/>
        <color rgb="FFF8696B"/>
        <color rgb="FFFFEB84"/>
        <color rgb="FF63BE7B"/>
      </colorScale>
    </cfRule>
  </conditionalFormatting>
  <conditionalFormatting sqref="H93">
    <cfRule type="colorScale" priority="465">
      <colorScale>
        <cfvo type="min"/>
        <cfvo type="percentile" val="50"/>
        <cfvo type="max"/>
        <color rgb="FFF8696B"/>
        <color rgb="FFFFEB84"/>
        <color rgb="FF63BE7B"/>
      </colorScale>
    </cfRule>
  </conditionalFormatting>
  <conditionalFormatting sqref="H99">
    <cfRule type="colorScale" priority="456">
      <colorScale>
        <cfvo type="min"/>
        <cfvo type="percentile" val="50"/>
        <cfvo type="max"/>
        <color rgb="FFF8696B"/>
        <color rgb="FFFFEB84"/>
        <color rgb="FF63BE7B"/>
      </colorScale>
    </cfRule>
  </conditionalFormatting>
  <conditionalFormatting sqref="H103">
    <cfRule type="colorScale" priority="447">
      <colorScale>
        <cfvo type="min"/>
        <cfvo type="percentile" val="50"/>
        <cfvo type="max"/>
        <color rgb="FFF8696B"/>
        <color rgb="FFFFEB84"/>
        <color rgb="FF63BE7B"/>
      </colorScale>
    </cfRule>
  </conditionalFormatting>
  <conditionalFormatting sqref="H104">
    <cfRule type="colorScale" priority="429">
      <colorScale>
        <cfvo type="min"/>
        <cfvo type="percentile" val="50"/>
        <cfvo type="max"/>
        <color rgb="FFF8696B"/>
        <color rgb="FFFFEB84"/>
        <color rgb="FF63BE7B"/>
      </colorScale>
    </cfRule>
  </conditionalFormatting>
  <conditionalFormatting sqref="H105">
    <cfRule type="colorScale" priority="420">
      <colorScale>
        <cfvo type="min"/>
        <cfvo type="percentile" val="50"/>
        <cfvo type="max"/>
        <color rgb="FFF8696B"/>
        <color rgb="FFFFEB84"/>
        <color rgb="FF63BE7B"/>
      </colorScale>
    </cfRule>
  </conditionalFormatting>
  <conditionalFormatting sqref="H109">
    <cfRule type="colorScale" priority="371">
      <colorScale>
        <cfvo type="min"/>
        <cfvo type="percentile" val="50"/>
        <cfvo type="max"/>
        <color rgb="FFF8696B"/>
        <color rgb="FFFFEB84"/>
        <color rgb="FF63BE7B"/>
      </colorScale>
    </cfRule>
  </conditionalFormatting>
  <conditionalFormatting sqref="H116">
    <cfRule type="colorScale" priority="407">
      <colorScale>
        <cfvo type="min"/>
        <cfvo type="percentile" val="50"/>
        <cfvo type="max"/>
        <color rgb="FFF8696B"/>
        <color rgb="FFFFEB84"/>
        <color rgb="FF63BE7B"/>
      </colorScale>
    </cfRule>
  </conditionalFormatting>
  <conditionalFormatting sqref="H122:H123">
    <cfRule type="colorScale" priority="398">
      <colorScale>
        <cfvo type="min"/>
        <cfvo type="percentile" val="50"/>
        <cfvo type="max"/>
        <color rgb="FFF8696B"/>
        <color rgb="FFFFEB84"/>
        <color rgb="FF63BE7B"/>
      </colorScale>
    </cfRule>
  </conditionalFormatting>
  <conditionalFormatting sqref="H126">
    <cfRule type="colorScale" priority="389">
      <colorScale>
        <cfvo type="min"/>
        <cfvo type="percentile" val="50"/>
        <cfvo type="max"/>
        <color rgb="FFF8696B"/>
        <color rgb="FFFFEB84"/>
        <color rgb="FF63BE7B"/>
      </colorScale>
    </cfRule>
  </conditionalFormatting>
  <conditionalFormatting sqref="H129">
    <cfRule type="colorScale" priority="380">
      <colorScale>
        <cfvo type="min"/>
        <cfvo type="percentile" val="50"/>
        <cfvo type="max"/>
        <color rgb="FFF8696B"/>
        <color rgb="FFFFEB84"/>
        <color rgb="FF63BE7B"/>
      </colorScale>
    </cfRule>
  </conditionalFormatting>
  <conditionalFormatting sqref="H130:H131">
    <cfRule type="colorScale" priority="362">
      <colorScale>
        <cfvo type="min"/>
        <cfvo type="percentile" val="50"/>
        <cfvo type="max"/>
        <color rgb="FFF8696B"/>
        <color rgb="FFFFEB84"/>
        <color rgb="FF63BE7B"/>
      </colorScale>
    </cfRule>
  </conditionalFormatting>
  <conditionalFormatting sqref="H134">
    <cfRule type="colorScale" priority="337">
      <colorScale>
        <cfvo type="min"/>
        <cfvo type="percentile" val="50"/>
        <cfvo type="max"/>
        <color rgb="FFF8696B"/>
        <color rgb="FFFFEB84"/>
        <color rgb="FF63BE7B"/>
      </colorScale>
    </cfRule>
  </conditionalFormatting>
  <conditionalFormatting sqref="H135">
    <cfRule type="colorScale" priority="261">
      <colorScale>
        <cfvo type="min"/>
        <cfvo type="percentile" val="50"/>
        <cfvo type="max"/>
        <color rgb="FFF8696B"/>
        <color rgb="FFFFEB84"/>
        <color rgb="FF63BE7B"/>
      </colorScale>
    </cfRule>
  </conditionalFormatting>
  <conditionalFormatting sqref="H144">
    <cfRule type="colorScale" priority="315">
      <colorScale>
        <cfvo type="min"/>
        <cfvo type="percentile" val="50"/>
        <cfvo type="max"/>
        <color rgb="FFF8696B"/>
        <color rgb="FFFFEB84"/>
        <color rgb="FF63BE7B"/>
      </colorScale>
    </cfRule>
  </conditionalFormatting>
  <conditionalFormatting sqref="H147">
    <cfRule type="colorScale" priority="344">
      <colorScale>
        <cfvo type="min"/>
        <cfvo type="percentile" val="50"/>
        <cfvo type="max"/>
        <color rgb="FFF8696B"/>
        <color rgb="FFFFEB84"/>
        <color rgb="FF63BE7B"/>
      </colorScale>
    </cfRule>
  </conditionalFormatting>
  <conditionalFormatting sqref="H149">
    <cfRule type="colorScale" priority="225">
      <colorScale>
        <cfvo type="min"/>
        <cfvo type="percentile" val="50"/>
        <cfvo type="max"/>
        <color rgb="FFF8696B"/>
        <color rgb="FFFFEB84"/>
        <color rgb="FF63BE7B"/>
      </colorScale>
    </cfRule>
  </conditionalFormatting>
  <conditionalFormatting sqref="H150">
    <cfRule type="colorScale" priority="328">
      <colorScale>
        <cfvo type="min"/>
        <cfvo type="percentile" val="50"/>
        <cfvo type="max"/>
        <color rgb="FFF8696B"/>
        <color rgb="FFFFEB84"/>
        <color rgb="FF63BE7B"/>
      </colorScale>
    </cfRule>
  </conditionalFormatting>
  <conditionalFormatting sqref="H151">
    <cfRule type="colorScale" priority="252">
      <colorScale>
        <cfvo type="min"/>
        <cfvo type="percentile" val="50"/>
        <cfvo type="max"/>
        <color rgb="FFF8696B"/>
        <color rgb="FFFFEB84"/>
        <color rgb="FF63BE7B"/>
      </colorScale>
    </cfRule>
  </conditionalFormatting>
  <conditionalFormatting sqref="H154">
    <cfRule type="colorScale" priority="216">
      <colorScale>
        <cfvo type="min"/>
        <cfvo type="percentile" val="50"/>
        <cfvo type="max"/>
        <color rgb="FFF8696B"/>
        <color rgb="FFFFEB84"/>
        <color rgb="FF63BE7B"/>
      </colorScale>
    </cfRule>
  </conditionalFormatting>
  <conditionalFormatting sqref="H155:H156">
    <cfRule type="colorScale" priority="297">
      <colorScale>
        <cfvo type="min"/>
        <cfvo type="percentile" val="50"/>
        <cfvo type="max"/>
        <color rgb="FFF8696B"/>
        <color rgb="FFFFEB84"/>
        <color rgb="FF63BE7B"/>
      </colorScale>
    </cfRule>
  </conditionalFormatting>
  <conditionalFormatting sqref="H159">
    <cfRule type="colorScale" priority="290">
      <colorScale>
        <cfvo type="min"/>
        <cfvo type="percentile" val="50"/>
        <cfvo type="max"/>
        <color rgb="FFF8696B"/>
        <color rgb="FFFFEB84"/>
        <color rgb="FF63BE7B"/>
      </colorScale>
    </cfRule>
  </conditionalFormatting>
  <conditionalFormatting sqref="H163">
    <cfRule type="colorScale" priority="243">
      <colorScale>
        <cfvo type="min"/>
        <cfvo type="percentile" val="50"/>
        <cfvo type="max"/>
        <color rgb="FFF8696B"/>
        <color rgb="FFFFEB84"/>
        <color rgb="FF63BE7B"/>
      </colorScale>
    </cfRule>
  </conditionalFormatting>
  <conditionalFormatting sqref="H164">
    <cfRule type="colorScale" priority="234">
      <colorScale>
        <cfvo type="min"/>
        <cfvo type="percentile" val="50"/>
        <cfvo type="max"/>
        <color rgb="FFF8696B"/>
        <color rgb="FFFFEB84"/>
        <color rgb="FF63BE7B"/>
      </colorScale>
    </cfRule>
  </conditionalFormatting>
  <conditionalFormatting sqref="H167">
    <cfRule type="colorScale" priority="207">
      <colorScale>
        <cfvo type="min"/>
        <cfvo type="percentile" val="50"/>
        <cfvo type="max"/>
        <color rgb="FFF8696B"/>
        <color rgb="FFFFEB84"/>
        <color rgb="FF63BE7B"/>
      </colorScale>
    </cfRule>
  </conditionalFormatting>
  <conditionalFormatting sqref="H169">
    <cfRule type="colorScale" priority="155">
      <colorScale>
        <cfvo type="min"/>
        <cfvo type="percentile" val="50"/>
        <cfvo type="max"/>
        <color rgb="FFF8696B"/>
        <color rgb="FFFFEB84"/>
        <color rgb="FF63BE7B"/>
      </colorScale>
    </cfRule>
  </conditionalFormatting>
  <conditionalFormatting sqref="H172">
    <cfRule type="colorScale" priority="128">
      <colorScale>
        <cfvo type="min"/>
        <cfvo type="percentile" val="50"/>
        <cfvo type="max"/>
        <color rgb="FFF8696B"/>
        <color rgb="FFFFEB84"/>
        <color rgb="FF63BE7B"/>
      </colorScale>
    </cfRule>
  </conditionalFormatting>
  <conditionalFormatting sqref="H181">
    <cfRule type="colorScale" priority="191">
      <colorScale>
        <cfvo type="min"/>
        <cfvo type="percentile" val="50"/>
        <cfvo type="max"/>
        <color rgb="FFF8696B"/>
        <color rgb="FFFFEB84"/>
        <color rgb="FF63BE7B"/>
      </colorScale>
    </cfRule>
  </conditionalFormatting>
  <conditionalFormatting sqref="H182">
    <cfRule type="colorScale" priority="182">
      <colorScale>
        <cfvo type="min"/>
        <cfvo type="percentile" val="50"/>
        <cfvo type="max"/>
        <color rgb="FFF8696B"/>
        <color rgb="FFFFEB84"/>
        <color rgb="FF63BE7B"/>
      </colorScale>
    </cfRule>
  </conditionalFormatting>
  <conditionalFormatting sqref="H183">
    <cfRule type="colorScale" priority="173">
      <colorScale>
        <cfvo type="min"/>
        <cfvo type="percentile" val="50"/>
        <cfvo type="max"/>
        <color rgb="FFF8696B"/>
        <color rgb="FFFFEB84"/>
        <color rgb="FF63BE7B"/>
      </colorScale>
    </cfRule>
  </conditionalFormatting>
  <conditionalFormatting sqref="H186">
    <cfRule type="colorScale" priority="164">
      <colorScale>
        <cfvo type="min"/>
        <cfvo type="percentile" val="50"/>
        <cfvo type="max"/>
        <color rgb="FFF8696B"/>
        <color rgb="FFFFEB84"/>
        <color rgb="FF63BE7B"/>
      </colorScale>
    </cfRule>
  </conditionalFormatting>
  <conditionalFormatting sqref="H188:H189">
    <cfRule type="colorScale" priority="146">
      <colorScale>
        <cfvo type="min"/>
        <cfvo type="percentile" val="50"/>
        <cfvo type="max"/>
        <color rgb="FFF8696B"/>
        <color rgb="FFFFEB84"/>
        <color rgb="FF63BE7B"/>
      </colorScale>
    </cfRule>
  </conditionalFormatting>
  <conditionalFormatting sqref="H192">
    <cfRule type="colorScale" priority="137">
      <colorScale>
        <cfvo type="min"/>
        <cfvo type="percentile" val="50"/>
        <cfvo type="max"/>
        <color rgb="FFF8696B"/>
        <color rgb="FFFFEB84"/>
        <color rgb="FF63BE7B"/>
      </colorScale>
    </cfRule>
  </conditionalFormatting>
  <conditionalFormatting sqref="H203">
    <cfRule type="colorScale" priority="108">
      <colorScale>
        <cfvo type="min"/>
        <cfvo type="percentile" val="50"/>
        <cfvo type="max"/>
        <color rgb="FFF8696B"/>
        <color rgb="FFFFEB84"/>
        <color rgb="FF63BE7B"/>
      </colorScale>
    </cfRule>
  </conditionalFormatting>
  <conditionalFormatting sqref="H214">
    <cfRule type="colorScale" priority="99">
      <colorScale>
        <cfvo type="min"/>
        <cfvo type="percentile" val="50"/>
        <cfvo type="max"/>
        <color rgb="FFF8696B"/>
        <color rgb="FFFFEB84"/>
        <color rgb="FF63BE7B"/>
      </colorScale>
    </cfRule>
  </conditionalFormatting>
  <conditionalFormatting sqref="H227:H228">
    <cfRule type="colorScale" priority="86">
      <colorScale>
        <cfvo type="min"/>
        <cfvo type="percentile" val="50"/>
        <cfvo type="max"/>
        <color rgb="FFF8696B"/>
        <color rgb="FFFFEB84"/>
        <color rgb="FF63BE7B"/>
      </colorScale>
    </cfRule>
  </conditionalFormatting>
  <conditionalFormatting sqref="H232">
    <cfRule type="colorScale" priority="38">
      <colorScale>
        <cfvo type="min"/>
        <cfvo type="percentile" val="50"/>
        <cfvo type="max"/>
        <color rgb="FFF8696B"/>
        <color rgb="FFFFEB84"/>
        <color rgb="FF63BE7B"/>
      </colorScale>
    </cfRule>
  </conditionalFormatting>
  <conditionalFormatting sqref="H236">
    <cfRule type="colorScale" priority="68">
      <colorScale>
        <cfvo type="min"/>
        <cfvo type="percentile" val="50"/>
        <cfvo type="max"/>
        <color rgb="FFF8696B"/>
        <color rgb="FFFFEB84"/>
        <color rgb="FF63BE7B"/>
      </colorScale>
    </cfRule>
  </conditionalFormatting>
  <conditionalFormatting sqref="H238">
    <cfRule type="colorScale" priority="59">
      <colorScale>
        <cfvo type="min"/>
        <cfvo type="percentile" val="50"/>
        <cfvo type="max"/>
        <color rgb="FFF8696B"/>
        <color rgb="FFFFEB84"/>
        <color rgb="FF63BE7B"/>
      </colorScale>
    </cfRule>
  </conditionalFormatting>
  <conditionalFormatting sqref="H248">
    <cfRule type="colorScale" priority="77">
      <colorScale>
        <cfvo type="min"/>
        <cfvo type="percentile" val="50"/>
        <cfvo type="max"/>
        <color rgb="FFF8696B"/>
        <color rgb="FFFFEB84"/>
        <color rgb="FF63BE7B"/>
      </colorScale>
    </cfRule>
  </conditionalFormatting>
  <conditionalFormatting sqref="H255">
    <cfRule type="colorScale" priority="50">
      <colorScale>
        <cfvo type="min"/>
        <cfvo type="percentile" val="50"/>
        <cfvo type="max"/>
        <color rgb="FFF8696B"/>
        <color rgb="FFFFEB84"/>
        <color rgb="FF63BE7B"/>
      </colorScale>
    </cfRule>
  </conditionalFormatting>
  <conditionalFormatting sqref="H277">
    <cfRule type="colorScale" priority="119">
      <colorScale>
        <cfvo type="min"/>
        <cfvo type="percentile" val="50"/>
        <cfvo type="max"/>
        <color rgb="FFF8696B"/>
        <color rgb="FFFFEB84"/>
        <color rgb="FF63BE7B"/>
      </colorScale>
    </cfRule>
  </conditionalFormatting>
  <conditionalFormatting sqref="H278">
    <cfRule type="colorScale" priority="15">
      <colorScale>
        <cfvo type="min"/>
        <cfvo type="percentile" val="50"/>
        <cfvo type="max"/>
        <color rgb="FFF8696B"/>
        <color rgb="FFFFEB84"/>
        <color rgb="FF63BE7B"/>
      </colorScale>
    </cfRule>
  </conditionalFormatting>
  <conditionalFormatting sqref="H287">
    <cfRule type="colorScale" priority="33">
      <colorScale>
        <cfvo type="min"/>
        <cfvo type="percentile" val="50"/>
        <cfvo type="max"/>
        <color rgb="FFF8696B"/>
        <color rgb="FFFFEB84"/>
        <color rgb="FF63BE7B"/>
      </colorScale>
    </cfRule>
  </conditionalFormatting>
  <conditionalFormatting sqref="H3:J4">
    <cfRule type="cellIs" dxfId="147" priority="885" operator="equal">
      <formula>"GW"</formula>
    </cfRule>
    <cfRule type="cellIs" dxfId="146" priority="886" operator="equal">
      <formula>"PT"</formula>
    </cfRule>
    <cfRule type="cellIs" dxfId="145" priority="887" operator="equal">
      <formula>"TRIM"</formula>
    </cfRule>
    <cfRule type="cellIs" dxfId="144" priority="888" operator="equal">
      <formula>"RI"</formula>
    </cfRule>
  </conditionalFormatting>
  <conditionalFormatting sqref="H32:J32">
    <cfRule type="cellIs" dxfId="143" priority="698" operator="equal">
      <formula>"GW"</formula>
    </cfRule>
    <cfRule type="cellIs" dxfId="142" priority="699" operator="equal">
      <formula>"PT"</formula>
    </cfRule>
    <cfRule type="cellIs" dxfId="141" priority="700" operator="equal">
      <formula>"TRIM"</formula>
    </cfRule>
    <cfRule type="cellIs" dxfId="140" priority="701" operator="equal">
      <formula>"RI"</formula>
    </cfRule>
  </conditionalFormatting>
  <conditionalFormatting sqref="H33:J59 R33:R59">
    <cfRule type="cellIs" dxfId="139" priority="484" operator="equal">
      <formula>"GW"</formula>
    </cfRule>
    <cfRule type="cellIs" dxfId="138" priority="485" operator="equal">
      <formula>"PT"</formula>
    </cfRule>
    <cfRule type="cellIs" dxfId="137" priority="486" operator="equal">
      <formula>"TRIM"</formula>
    </cfRule>
    <cfRule type="cellIs" dxfId="136" priority="487" operator="equal">
      <formula>"RI"</formula>
    </cfRule>
  </conditionalFormatting>
  <conditionalFormatting sqref="H60:J83">
    <cfRule type="cellIs" dxfId="135" priority="624" operator="equal">
      <formula>"GW"</formula>
    </cfRule>
    <cfRule type="cellIs" dxfId="134" priority="625" operator="equal">
      <formula>"PT"</formula>
    </cfRule>
    <cfRule type="cellIs" dxfId="133" priority="626" operator="equal">
      <formula>"TRIM"</formula>
    </cfRule>
    <cfRule type="cellIs" dxfId="132" priority="627" operator="equal">
      <formula>"RI"</formula>
    </cfRule>
  </conditionalFormatting>
  <conditionalFormatting sqref="H84:J91">
    <cfRule type="cellIs" dxfId="131" priority="466" operator="equal">
      <formula>"GW"</formula>
    </cfRule>
    <cfRule type="cellIs" dxfId="130" priority="467" operator="equal">
      <formula>"PT"</formula>
    </cfRule>
    <cfRule type="cellIs" dxfId="129" priority="468" operator="equal">
      <formula>"TRIM"</formula>
    </cfRule>
    <cfRule type="cellIs" dxfId="128" priority="469" operator="equal">
      <formula>"RI"</formula>
    </cfRule>
  </conditionalFormatting>
  <conditionalFormatting sqref="H93:J321 I322:J322">
    <cfRule type="cellIs" dxfId="127" priority="354" operator="equal">
      <formula>"GW"</formula>
    </cfRule>
    <cfRule type="cellIs" dxfId="126" priority="355" operator="equal">
      <formula>"PT"</formula>
    </cfRule>
    <cfRule type="cellIs" dxfId="125" priority="356" operator="equal">
      <formula>"TRIM"</formula>
    </cfRule>
    <cfRule type="cellIs" dxfId="124" priority="357" operator="equal">
      <formula>"RI"</formula>
    </cfRule>
  </conditionalFormatting>
  <conditionalFormatting sqref="I6">
    <cfRule type="colorScale" priority="747">
      <colorScale>
        <cfvo type="min"/>
        <cfvo type="percentile" val="50"/>
        <cfvo type="max"/>
        <color rgb="FFF8696B"/>
        <color rgb="FFFFEB84"/>
        <color rgb="FF63BE7B"/>
      </colorScale>
    </cfRule>
  </conditionalFormatting>
  <conditionalFormatting sqref="I11">
    <cfRule type="colorScale" priority="775">
      <colorScale>
        <cfvo type="min"/>
        <cfvo type="percentile" val="50"/>
        <cfvo type="max"/>
        <color rgb="FFF8696B"/>
        <color rgb="FFFFEB84"/>
        <color rgb="FF63BE7B"/>
      </colorScale>
    </cfRule>
  </conditionalFormatting>
  <conditionalFormatting sqref="I12">
    <cfRule type="colorScale" priority="812">
      <colorScale>
        <cfvo type="min"/>
        <cfvo type="percentile" val="50"/>
        <cfvo type="max"/>
        <color rgb="FFF8696B"/>
        <color rgb="FFFFEB84"/>
        <color rgb="FF63BE7B"/>
      </colorScale>
    </cfRule>
  </conditionalFormatting>
  <conditionalFormatting sqref="I15">
    <cfRule type="colorScale" priority="834">
      <colorScale>
        <cfvo type="min"/>
        <cfvo type="percentile" val="50"/>
        <cfvo type="max"/>
        <color rgb="FFF8696B"/>
        <color rgb="FFFFEB84"/>
        <color rgb="FF63BE7B"/>
      </colorScale>
    </cfRule>
  </conditionalFormatting>
  <conditionalFormatting sqref="I16">
    <cfRule type="colorScale" priority="802">
      <colorScale>
        <cfvo type="min"/>
        <cfvo type="percentile" val="50"/>
        <cfvo type="max"/>
        <color rgb="FFF8696B"/>
        <color rgb="FFFFEB84"/>
        <color rgb="FF63BE7B"/>
      </colorScale>
    </cfRule>
  </conditionalFormatting>
  <conditionalFormatting sqref="I17">
    <cfRule type="colorScale" priority="725">
      <colorScale>
        <cfvo type="min"/>
        <cfvo type="percentile" val="50"/>
        <cfvo type="max"/>
        <color rgb="FFF8696B"/>
        <color rgb="FFFFEB84"/>
        <color rgb="FF63BE7B"/>
      </colorScale>
    </cfRule>
  </conditionalFormatting>
  <conditionalFormatting sqref="I18 I5 I13:I14 I7:I10 I20:I21 I26:I31 I23">
    <cfRule type="colorScale" priority="4211">
      <colorScale>
        <cfvo type="min"/>
        <cfvo type="percentile" val="50"/>
        <cfvo type="max"/>
        <color rgb="FFF8696B"/>
        <color rgb="FFFFEB84"/>
        <color rgb="FF63BE7B"/>
      </colorScale>
    </cfRule>
  </conditionalFormatting>
  <conditionalFormatting sqref="I19">
    <cfRule type="colorScale" priority="785">
      <colorScale>
        <cfvo type="min"/>
        <cfvo type="percentile" val="50"/>
        <cfvo type="max"/>
        <color rgb="FFF8696B"/>
        <color rgb="FFFFEB84"/>
        <color rgb="FF63BE7B"/>
      </colorScale>
    </cfRule>
  </conditionalFormatting>
  <conditionalFormatting sqref="I22">
    <cfRule type="colorScale" priority="621">
      <colorScale>
        <cfvo type="min"/>
        <cfvo type="percentile" val="50"/>
        <cfvo type="max"/>
        <color rgb="FFF8696B"/>
        <color rgb="FFFFEB84"/>
        <color rgb="FF63BE7B"/>
      </colorScale>
    </cfRule>
  </conditionalFormatting>
  <conditionalFormatting sqref="I24">
    <cfRule type="colorScale" priority="676">
      <colorScale>
        <cfvo type="min"/>
        <cfvo type="percentile" val="50"/>
        <cfvo type="max"/>
        <color rgb="FFF8696B"/>
        <color rgb="FFFFEB84"/>
        <color rgb="FF63BE7B"/>
      </colorScale>
    </cfRule>
  </conditionalFormatting>
  <conditionalFormatting sqref="I25">
    <cfRule type="colorScale" priority="715">
      <colorScale>
        <cfvo type="min"/>
        <cfvo type="percentile" val="50"/>
        <cfvo type="max"/>
        <color rgb="FFF8696B"/>
        <color rgb="FFFFEB84"/>
        <color rgb="FF63BE7B"/>
      </colorScale>
    </cfRule>
  </conditionalFormatting>
  <conditionalFormatting sqref="I32">
    <cfRule type="colorScale" priority="697">
      <colorScale>
        <cfvo type="min"/>
        <cfvo type="percentile" val="50"/>
        <cfvo type="max"/>
        <color rgb="FFF8696B"/>
        <color rgb="FFFFEB84"/>
        <color rgb="FF63BE7B"/>
      </colorScale>
    </cfRule>
  </conditionalFormatting>
  <conditionalFormatting sqref="I33">
    <cfRule type="colorScale" priority="667">
      <colorScale>
        <cfvo type="min"/>
        <cfvo type="percentile" val="50"/>
        <cfvo type="max"/>
        <color rgb="FFF8696B"/>
        <color rgb="FFFFEB84"/>
        <color rgb="FF63BE7B"/>
      </colorScale>
    </cfRule>
  </conditionalFormatting>
  <conditionalFormatting sqref="I35">
    <cfRule type="colorScale" priority="658">
      <colorScale>
        <cfvo type="min"/>
        <cfvo type="percentile" val="50"/>
        <cfvo type="max"/>
        <color rgb="FFF8696B"/>
        <color rgb="FFFFEB84"/>
        <color rgb="FF63BE7B"/>
      </colorScale>
    </cfRule>
  </conditionalFormatting>
  <conditionalFormatting sqref="I36:I37 I34 I40:I42 I44:I47">
    <cfRule type="colorScale" priority="694">
      <colorScale>
        <cfvo type="min"/>
        <cfvo type="percentile" val="50"/>
        <cfvo type="max"/>
        <color rgb="FFF8696B"/>
        <color rgb="FFFFEB84"/>
        <color rgb="FF63BE7B"/>
      </colorScale>
    </cfRule>
  </conditionalFormatting>
  <conditionalFormatting sqref="I38">
    <cfRule type="colorScale" priority="576">
      <colorScale>
        <cfvo type="min"/>
        <cfvo type="percentile" val="50"/>
        <cfvo type="max"/>
        <color rgb="FFF8696B"/>
        <color rgb="FFFFEB84"/>
        <color rgb="FF63BE7B"/>
      </colorScale>
    </cfRule>
  </conditionalFormatting>
  <conditionalFormatting sqref="I39">
    <cfRule type="colorScale" priority="490">
      <colorScale>
        <cfvo type="min"/>
        <cfvo type="percentile" val="50"/>
        <cfvo type="max"/>
        <color rgb="FFF8696B"/>
        <color rgb="FFFFEB84"/>
        <color rgb="FF63BE7B"/>
      </colorScale>
    </cfRule>
  </conditionalFormatting>
  <conditionalFormatting sqref="I43">
    <cfRule type="colorScale" priority="567">
      <colorScale>
        <cfvo type="min"/>
        <cfvo type="percentile" val="50"/>
        <cfvo type="max"/>
        <color rgb="FFF8696B"/>
        <color rgb="FFFFEB84"/>
        <color rgb="FF63BE7B"/>
      </colorScale>
    </cfRule>
  </conditionalFormatting>
  <conditionalFormatting sqref="I48">
    <cfRule type="colorScale" priority="603">
      <colorScale>
        <cfvo type="min"/>
        <cfvo type="percentile" val="50"/>
        <cfvo type="max"/>
        <color rgb="FFF8696B"/>
        <color rgb="FFFFEB84"/>
        <color rgb="FF63BE7B"/>
      </colorScale>
    </cfRule>
  </conditionalFormatting>
  <conditionalFormatting sqref="I49">
    <cfRule type="colorScale" priority="594">
      <colorScale>
        <cfvo type="min"/>
        <cfvo type="percentile" val="50"/>
        <cfvo type="max"/>
        <color rgb="FFF8696B"/>
        <color rgb="FFFFEB84"/>
        <color rgb="FF63BE7B"/>
      </colorScale>
    </cfRule>
  </conditionalFormatting>
  <conditionalFormatting sqref="I50">
    <cfRule type="colorScale" priority="585">
      <colorScale>
        <cfvo type="min"/>
        <cfvo type="percentile" val="50"/>
        <cfvo type="max"/>
        <color rgb="FFF8696B"/>
        <color rgb="FFFFEB84"/>
        <color rgb="FF63BE7B"/>
      </colorScale>
    </cfRule>
  </conditionalFormatting>
  <conditionalFormatting sqref="I51:I53">
    <cfRule type="colorScale" priority="639">
      <colorScale>
        <cfvo type="min"/>
        <cfvo type="percentile" val="50"/>
        <cfvo type="max"/>
        <color rgb="FFF8696B"/>
        <color rgb="FFFFEB84"/>
        <color rgb="FF63BE7B"/>
      </colorScale>
    </cfRule>
  </conditionalFormatting>
  <conditionalFormatting sqref="I54">
    <cfRule type="colorScale" priority="528">
      <colorScale>
        <cfvo type="min"/>
        <cfvo type="percentile" val="50"/>
        <cfvo type="max"/>
        <color rgb="FFF8696B"/>
        <color rgb="FFFFEB84"/>
        <color rgb="FF63BE7B"/>
      </colorScale>
    </cfRule>
  </conditionalFormatting>
  <conditionalFormatting sqref="I55:I56 I86 I58 I60:I75 I80">
    <cfRule type="colorScale" priority="6431">
      <colorScale>
        <cfvo type="min"/>
        <cfvo type="percentile" val="50"/>
        <cfvo type="max"/>
        <color rgb="FFF8696B"/>
        <color rgb="FFFFEB84"/>
        <color rgb="FF63BE7B"/>
      </colorScale>
    </cfRule>
  </conditionalFormatting>
  <conditionalFormatting sqref="I57">
    <cfRule type="colorScale" priority="558">
      <colorScale>
        <cfvo type="min"/>
        <cfvo type="percentile" val="50"/>
        <cfvo type="max"/>
        <color rgb="FFF8696B"/>
        <color rgb="FFFFEB84"/>
        <color rgb="FF63BE7B"/>
      </colorScale>
    </cfRule>
  </conditionalFormatting>
  <conditionalFormatting sqref="I59">
    <cfRule type="colorScale" priority="537">
      <colorScale>
        <cfvo type="min"/>
        <cfvo type="percentile" val="50"/>
        <cfvo type="max"/>
        <color rgb="FFF8696B"/>
        <color rgb="FFFFEB84"/>
        <color rgb="FF63BE7B"/>
      </colorScale>
    </cfRule>
  </conditionalFormatting>
  <conditionalFormatting sqref="I69">
    <cfRule type="colorScale" priority="511">
      <colorScale>
        <cfvo type="min"/>
        <cfvo type="percentile" val="50"/>
        <cfvo type="max"/>
        <color rgb="FFF8696B"/>
        <color rgb="FFFFEB84"/>
        <color rgb="FF63BE7B"/>
      </colorScale>
    </cfRule>
  </conditionalFormatting>
  <conditionalFormatting sqref="I71:I72">
    <cfRule type="colorScale" priority="550">
      <colorScale>
        <cfvo type="min"/>
        <cfvo type="percentile" val="50"/>
        <cfvo type="max"/>
        <color rgb="FFF8696B"/>
        <color rgb="FFFFEB84"/>
        <color rgb="FF63BE7B"/>
      </colorScale>
    </cfRule>
  </conditionalFormatting>
  <conditionalFormatting sqref="I79 I81">
    <cfRule type="colorScale" priority="5555">
      <colorScale>
        <cfvo type="min"/>
        <cfvo type="percentile" val="50"/>
        <cfvo type="max"/>
        <color rgb="FFF8696B"/>
        <color rgb="FFFFEB84"/>
        <color rgb="FF63BE7B"/>
      </colorScale>
    </cfRule>
  </conditionalFormatting>
  <conditionalFormatting sqref="I81:I83 I76:I79 I94:I98 I88:I92 I100:I102 I106:I108 I110:I115 I117:I121 I124:I125 I127:I128 I132:I133 I148 I136:I143 I152:I153 I145:I146 I157:I158 I160:I162 I165:I166 I168 I184:I185 I170:I171 I187 I190:I191 I193:I202 I173:I180 I204:I213 I215:I226 I229:I231 I249:I254 I237 I239:I247 I256:I276 I233:I235 I279:I286 I288:I311 I313:I412 I414:I741">
    <cfRule type="colorScale" priority="25612">
      <colorScale>
        <cfvo type="min"/>
        <cfvo type="percentile" val="50"/>
        <cfvo type="max"/>
        <color rgb="FFF8696B"/>
        <color rgb="FFFFEB84"/>
        <color rgb="FF63BE7B"/>
      </colorScale>
    </cfRule>
  </conditionalFormatting>
  <conditionalFormatting sqref="I84">
    <cfRule type="colorScale" priority="481">
      <colorScale>
        <cfvo type="min"/>
        <cfvo type="percentile" val="50"/>
        <cfvo type="max"/>
        <color rgb="FFF8696B"/>
        <color rgb="FFFFEB84"/>
        <color rgb="FF63BE7B"/>
      </colorScale>
    </cfRule>
  </conditionalFormatting>
  <conditionalFormatting sqref="I85">
    <cfRule type="colorScale" priority="499">
      <colorScale>
        <cfvo type="min"/>
        <cfvo type="percentile" val="50"/>
        <cfvo type="max"/>
        <color rgb="FFF8696B"/>
        <color rgb="FFFFEB84"/>
        <color rgb="FF63BE7B"/>
      </colorScale>
    </cfRule>
  </conditionalFormatting>
  <conditionalFormatting sqref="I87">
    <cfRule type="colorScale" priority="472">
      <colorScale>
        <cfvo type="min"/>
        <cfvo type="percentile" val="50"/>
        <cfvo type="max"/>
        <color rgb="FFF8696B"/>
        <color rgb="FFFFEB84"/>
        <color rgb="FF63BE7B"/>
      </colorScale>
    </cfRule>
  </conditionalFormatting>
  <conditionalFormatting sqref="I93">
    <cfRule type="colorScale" priority="463">
      <colorScale>
        <cfvo type="min"/>
        <cfvo type="percentile" val="50"/>
        <cfvo type="max"/>
        <color rgb="FFF8696B"/>
        <color rgb="FFFFEB84"/>
        <color rgb="FF63BE7B"/>
      </colorScale>
    </cfRule>
  </conditionalFormatting>
  <conditionalFormatting sqref="I99">
    <cfRule type="colorScale" priority="454">
      <colorScale>
        <cfvo type="min"/>
        <cfvo type="percentile" val="50"/>
        <cfvo type="max"/>
        <color rgb="FFF8696B"/>
        <color rgb="FFFFEB84"/>
        <color rgb="FF63BE7B"/>
      </colorScale>
    </cfRule>
  </conditionalFormatting>
  <conditionalFormatting sqref="I103">
    <cfRule type="colorScale" priority="445">
      <colorScale>
        <cfvo type="min"/>
        <cfvo type="percentile" val="50"/>
        <cfvo type="max"/>
        <color rgb="FFF8696B"/>
        <color rgb="FFFFEB84"/>
        <color rgb="FF63BE7B"/>
      </colorScale>
    </cfRule>
  </conditionalFormatting>
  <conditionalFormatting sqref="I104">
    <cfRule type="colorScale" priority="427">
      <colorScale>
        <cfvo type="min"/>
        <cfvo type="percentile" val="50"/>
        <cfvo type="max"/>
        <color rgb="FFF8696B"/>
        <color rgb="FFFFEB84"/>
        <color rgb="FF63BE7B"/>
      </colorScale>
    </cfRule>
  </conditionalFormatting>
  <conditionalFormatting sqref="I105">
    <cfRule type="colorScale" priority="418">
      <colorScale>
        <cfvo type="min"/>
        <cfvo type="percentile" val="50"/>
        <cfvo type="max"/>
        <color rgb="FFF8696B"/>
        <color rgb="FFFFEB84"/>
        <color rgb="FF63BE7B"/>
      </colorScale>
    </cfRule>
  </conditionalFormatting>
  <conditionalFormatting sqref="I109">
    <cfRule type="colorScale" priority="369">
      <colorScale>
        <cfvo type="min"/>
        <cfvo type="percentile" val="50"/>
        <cfvo type="max"/>
        <color rgb="FFF8696B"/>
        <color rgb="FFFFEB84"/>
        <color rgb="FF63BE7B"/>
      </colorScale>
    </cfRule>
  </conditionalFormatting>
  <conditionalFormatting sqref="I116">
    <cfRule type="colorScale" priority="405">
      <colorScale>
        <cfvo type="min"/>
        <cfvo type="percentile" val="50"/>
        <cfvo type="max"/>
        <color rgb="FFF8696B"/>
        <color rgb="FFFFEB84"/>
        <color rgb="FF63BE7B"/>
      </colorScale>
    </cfRule>
  </conditionalFormatting>
  <conditionalFormatting sqref="I122:I123">
    <cfRule type="colorScale" priority="396">
      <colorScale>
        <cfvo type="min"/>
        <cfvo type="percentile" val="50"/>
        <cfvo type="max"/>
        <color rgb="FFF8696B"/>
        <color rgb="FFFFEB84"/>
        <color rgb="FF63BE7B"/>
      </colorScale>
    </cfRule>
  </conditionalFormatting>
  <conditionalFormatting sqref="I126">
    <cfRule type="colorScale" priority="387">
      <colorScale>
        <cfvo type="min"/>
        <cfvo type="percentile" val="50"/>
        <cfvo type="max"/>
        <color rgb="FFF8696B"/>
        <color rgb="FFFFEB84"/>
        <color rgb="FF63BE7B"/>
      </colorScale>
    </cfRule>
  </conditionalFormatting>
  <conditionalFormatting sqref="I129">
    <cfRule type="colorScale" priority="378">
      <colorScale>
        <cfvo type="min"/>
        <cfvo type="percentile" val="50"/>
        <cfvo type="max"/>
        <color rgb="FFF8696B"/>
        <color rgb="FFFFEB84"/>
        <color rgb="FF63BE7B"/>
      </colorScale>
    </cfRule>
  </conditionalFormatting>
  <conditionalFormatting sqref="I130:I131">
    <cfRule type="colorScale" priority="360">
      <colorScale>
        <cfvo type="min"/>
        <cfvo type="percentile" val="50"/>
        <cfvo type="max"/>
        <color rgb="FFF8696B"/>
        <color rgb="FFFFEB84"/>
        <color rgb="FF63BE7B"/>
      </colorScale>
    </cfRule>
  </conditionalFormatting>
  <conditionalFormatting sqref="I133">
    <cfRule type="colorScale" priority="353">
      <colorScale>
        <cfvo type="min"/>
        <cfvo type="percentile" val="50"/>
        <cfvo type="max"/>
        <color rgb="FFF8696B"/>
        <color rgb="FFFFEB84"/>
        <color rgb="FF63BE7B"/>
      </colorScale>
    </cfRule>
  </conditionalFormatting>
  <conditionalFormatting sqref="I134">
    <cfRule type="colorScale" priority="335">
      <colorScale>
        <cfvo type="min"/>
        <cfvo type="percentile" val="50"/>
        <cfvo type="max"/>
        <color rgb="FFF8696B"/>
        <color rgb="FFFFEB84"/>
        <color rgb="FF63BE7B"/>
      </colorScale>
    </cfRule>
  </conditionalFormatting>
  <conditionalFormatting sqref="I135">
    <cfRule type="colorScale" priority="259">
      <colorScale>
        <cfvo type="min"/>
        <cfvo type="percentile" val="50"/>
        <cfvo type="max"/>
        <color rgb="FFF8696B"/>
        <color rgb="FFFFEB84"/>
        <color rgb="FF63BE7B"/>
      </colorScale>
    </cfRule>
  </conditionalFormatting>
  <conditionalFormatting sqref="I144">
    <cfRule type="colorScale" priority="313">
      <colorScale>
        <cfvo type="min"/>
        <cfvo type="percentile" val="50"/>
        <cfvo type="max"/>
        <color rgb="FFF8696B"/>
        <color rgb="FFFFEB84"/>
        <color rgb="FF63BE7B"/>
      </colorScale>
    </cfRule>
  </conditionalFormatting>
  <conditionalFormatting sqref="I147">
    <cfRule type="colorScale" priority="342">
      <colorScale>
        <cfvo type="min"/>
        <cfvo type="percentile" val="50"/>
        <cfvo type="max"/>
        <color rgb="FFF8696B"/>
        <color rgb="FFFFEB84"/>
        <color rgb="FF63BE7B"/>
      </colorScale>
    </cfRule>
  </conditionalFormatting>
  <conditionalFormatting sqref="I149">
    <cfRule type="colorScale" priority="223">
      <colorScale>
        <cfvo type="min"/>
        <cfvo type="percentile" val="50"/>
        <cfvo type="max"/>
        <color rgb="FFF8696B"/>
        <color rgb="FFFFEB84"/>
        <color rgb="FF63BE7B"/>
      </colorScale>
    </cfRule>
  </conditionalFormatting>
  <conditionalFormatting sqref="I150">
    <cfRule type="colorScale" priority="326">
      <colorScale>
        <cfvo type="min"/>
        <cfvo type="percentile" val="50"/>
        <cfvo type="max"/>
        <color rgb="FFF8696B"/>
        <color rgb="FFFFEB84"/>
        <color rgb="FF63BE7B"/>
      </colorScale>
    </cfRule>
  </conditionalFormatting>
  <conditionalFormatting sqref="I151">
    <cfRule type="colorScale" priority="250">
      <colorScale>
        <cfvo type="min"/>
        <cfvo type="percentile" val="50"/>
        <cfvo type="max"/>
        <color rgb="FFF8696B"/>
        <color rgb="FFFFEB84"/>
        <color rgb="FF63BE7B"/>
      </colorScale>
    </cfRule>
  </conditionalFormatting>
  <conditionalFormatting sqref="I154">
    <cfRule type="colorScale" priority="214">
      <colorScale>
        <cfvo type="min"/>
        <cfvo type="percentile" val="50"/>
        <cfvo type="max"/>
        <color rgb="FFF8696B"/>
        <color rgb="FFFFEB84"/>
        <color rgb="FF63BE7B"/>
      </colorScale>
    </cfRule>
  </conditionalFormatting>
  <conditionalFormatting sqref="I155:I156">
    <cfRule type="colorScale" priority="295">
      <colorScale>
        <cfvo type="min"/>
        <cfvo type="percentile" val="50"/>
        <cfvo type="max"/>
        <color rgb="FFF8696B"/>
        <color rgb="FFFFEB84"/>
        <color rgb="FF63BE7B"/>
      </colorScale>
    </cfRule>
  </conditionalFormatting>
  <conditionalFormatting sqref="I159">
    <cfRule type="colorScale" priority="284">
      <colorScale>
        <cfvo type="min"/>
        <cfvo type="percentile" val="50"/>
        <cfvo type="max"/>
        <color rgb="FFF8696B"/>
        <color rgb="FFFFEB84"/>
        <color rgb="FF63BE7B"/>
      </colorScale>
    </cfRule>
  </conditionalFormatting>
  <conditionalFormatting sqref="I163">
    <cfRule type="colorScale" priority="241">
      <colorScale>
        <cfvo type="min"/>
        <cfvo type="percentile" val="50"/>
        <cfvo type="max"/>
        <color rgb="FFF8696B"/>
        <color rgb="FFFFEB84"/>
        <color rgb="FF63BE7B"/>
      </colorScale>
    </cfRule>
  </conditionalFormatting>
  <conditionalFormatting sqref="I164">
    <cfRule type="colorScale" priority="232">
      <colorScale>
        <cfvo type="min"/>
        <cfvo type="percentile" val="50"/>
        <cfvo type="max"/>
        <color rgb="FFF8696B"/>
        <color rgb="FFFFEB84"/>
        <color rgb="FF63BE7B"/>
      </colorScale>
    </cfRule>
  </conditionalFormatting>
  <conditionalFormatting sqref="I167">
    <cfRule type="colorScale" priority="205">
      <colorScale>
        <cfvo type="min"/>
        <cfvo type="percentile" val="50"/>
        <cfvo type="max"/>
        <color rgb="FFF8696B"/>
        <color rgb="FFFFEB84"/>
        <color rgb="FF63BE7B"/>
      </colorScale>
    </cfRule>
  </conditionalFormatting>
  <conditionalFormatting sqref="I169">
    <cfRule type="colorScale" priority="153">
      <colorScale>
        <cfvo type="min"/>
        <cfvo type="percentile" val="50"/>
        <cfvo type="max"/>
        <color rgb="FFF8696B"/>
        <color rgb="FFFFEB84"/>
        <color rgb="FF63BE7B"/>
      </colorScale>
    </cfRule>
  </conditionalFormatting>
  <conditionalFormatting sqref="I172">
    <cfRule type="colorScale" priority="126">
      <colorScale>
        <cfvo type="min"/>
        <cfvo type="percentile" val="50"/>
        <cfvo type="max"/>
        <color rgb="FFF8696B"/>
        <color rgb="FFFFEB84"/>
        <color rgb="FF63BE7B"/>
      </colorScale>
    </cfRule>
  </conditionalFormatting>
  <conditionalFormatting sqref="I181">
    <cfRule type="colorScale" priority="189">
      <colorScale>
        <cfvo type="min"/>
        <cfvo type="percentile" val="50"/>
        <cfvo type="max"/>
        <color rgb="FFF8696B"/>
        <color rgb="FFFFEB84"/>
        <color rgb="FF63BE7B"/>
      </colorScale>
    </cfRule>
  </conditionalFormatting>
  <conditionalFormatting sqref="I182">
    <cfRule type="colorScale" priority="180">
      <colorScale>
        <cfvo type="min"/>
        <cfvo type="percentile" val="50"/>
        <cfvo type="max"/>
        <color rgb="FFF8696B"/>
        <color rgb="FFFFEB84"/>
        <color rgb="FF63BE7B"/>
      </colorScale>
    </cfRule>
  </conditionalFormatting>
  <conditionalFormatting sqref="I183">
    <cfRule type="colorScale" priority="171">
      <colorScale>
        <cfvo type="min"/>
        <cfvo type="percentile" val="50"/>
        <cfvo type="max"/>
        <color rgb="FFF8696B"/>
        <color rgb="FFFFEB84"/>
        <color rgb="FF63BE7B"/>
      </colorScale>
    </cfRule>
  </conditionalFormatting>
  <conditionalFormatting sqref="I186">
    <cfRule type="colorScale" priority="162">
      <colorScale>
        <cfvo type="min"/>
        <cfvo type="percentile" val="50"/>
        <cfvo type="max"/>
        <color rgb="FFF8696B"/>
        <color rgb="FFFFEB84"/>
        <color rgb="FF63BE7B"/>
      </colorScale>
    </cfRule>
  </conditionalFormatting>
  <conditionalFormatting sqref="I188:I189">
    <cfRule type="colorScale" priority="144">
      <colorScale>
        <cfvo type="min"/>
        <cfvo type="percentile" val="50"/>
        <cfvo type="max"/>
        <color rgb="FFF8696B"/>
        <color rgb="FFFFEB84"/>
        <color rgb="FF63BE7B"/>
      </colorScale>
    </cfRule>
  </conditionalFormatting>
  <conditionalFormatting sqref="I192">
    <cfRule type="colorScale" priority="135">
      <colorScale>
        <cfvo type="min"/>
        <cfvo type="percentile" val="50"/>
        <cfvo type="max"/>
        <color rgb="FFF8696B"/>
        <color rgb="FFFFEB84"/>
        <color rgb="FF63BE7B"/>
      </colorScale>
    </cfRule>
  </conditionalFormatting>
  <conditionalFormatting sqref="I203">
    <cfRule type="colorScale" priority="106">
      <colorScale>
        <cfvo type="min"/>
        <cfvo type="percentile" val="50"/>
        <cfvo type="max"/>
        <color rgb="FFF8696B"/>
        <color rgb="FFFFEB84"/>
        <color rgb="FF63BE7B"/>
      </colorScale>
    </cfRule>
  </conditionalFormatting>
  <conditionalFormatting sqref="I214">
    <cfRule type="colorScale" priority="97">
      <colorScale>
        <cfvo type="min"/>
        <cfvo type="percentile" val="50"/>
        <cfvo type="max"/>
        <color rgb="FFF8696B"/>
        <color rgb="FFFFEB84"/>
        <color rgb="FF63BE7B"/>
      </colorScale>
    </cfRule>
  </conditionalFormatting>
  <conditionalFormatting sqref="I227:I228">
    <cfRule type="colorScale" priority="84">
      <colorScale>
        <cfvo type="min"/>
        <cfvo type="percentile" val="50"/>
        <cfvo type="max"/>
        <color rgb="FFF8696B"/>
        <color rgb="FFFFEB84"/>
        <color rgb="FF63BE7B"/>
      </colorScale>
    </cfRule>
  </conditionalFormatting>
  <conditionalFormatting sqref="I232">
    <cfRule type="colorScale" priority="36">
      <colorScale>
        <cfvo type="min"/>
        <cfvo type="percentile" val="50"/>
        <cfvo type="max"/>
        <color rgb="FFF8696B"/>
        <color rgb="FFFFEB84"/>
        <color rgb="FF63BE7B"/>
      </colorScale>
    </cfRule>
  </conditionalFormatting>
  <conditionalFormatting sqref="I236">
    <cfRule type="colorScale" priority="66">
      <colorScale>
        <cfvo type="min"/>
        <cfvo type="percentile" val="50"/>
        <cfvo type="max"/>
        <color rgb="FFF8696B"/>
        <color rgb="FFFFEB84"/>
        <color rgb="FF63BE7B"/>
      </colorScale>
    </cfRule>
  </conditionalFormatting>
  <conditionalFormatting sqref="I238">
    <cfRule type="colorScale" priority="57">
      <colorScale>
        <cfvo type="min"/>
        <cfvo type="percentile" val="50"/>
        <cfvo type="max"/>
        <color rgb="FFF8696B"/>
        <color rgb="FFFFEB84"/>
        <color rgb="FF63BE7B"/>
      </colorScale>
    </cfRule>
  </conditionalFormatting>
  <conditionalFormatting sqref="I248">
    <cfRule type="colorScale" priority="75">
      <colorScale>
        <cfvo type="min"/>
        <cfvo type="percentile" val="50"/>
        <cfvo type="max"/>
        <color rgb="FFF8696B"/>
        <color rgb="FFFFEB84"/>
        <color rgb="FF63BE7B"/>
      </colorScale>
    </cfRule>
  </conditionalFormatting>
  <conditionalFormatting sqref="I255">
    <cfRule type="colorScale" priority="48">
      <colorScale>
        <cfvo type="min"/>
        <cfvo type="percentile" val="50"/>
        <cfvo type="max"/>
        <color rgb="FFF8696B"/>
        <color rgb="FFFFEB84"/>
        <color rgb="FF63BE7B"/>
      </colorScale>
    </cfRule>
  </conditionalFormatting>
  <conditionalFormatting sqref="I261">
    <cfRule type="colorScale" priority="90">
      <colorScale>
        <cfvo type="min"/>
        <cfvo type="percentile" val="50"/>
        <cfvo type="max"/>
        <color rgb="FFF8696B"/>
        <color rgb="FFFFEB84"/>
        <color rgb="FF63BE7B"/>
      </colorScale>
    </cfRule>
    <cfRule type="colorScale" priority="92">
      <colorScale>
        <cfvo type="min"/>
        <cfvo type="percentile" val="50"/>
        <cfvo type="max"/>
        <color rgb="FFF8696B"/>
        <color rgb="FFFFEB84"/>
        <color rgb="FF63BE7B"/>
      </colorScale>
    </cfRule>
  </conditionalFormatting>
  <conditionalFormatting sqref="I265">
    <cfRule type="colorScale" priority="87">
      <colorScale>
        <cfvo type="min"/>
        <cfvo type="percentile" val="50"/>
        <cfvo type="max"/>
        <color rgb="FFF8696B"/>
        <color rgb="FFFFEB84"/>
        <color rgb="FF63BE7B"/>
      </colorScale>
    </cfRule>
    <cfRule type="colorScale" priority="89">
      <colorScale>
        <cfvo type="min"/>
        <cfvo type="percentile" val="50"/>
        <cfvo type="max"/>
        <color rgb="FFF8696B"/>
        <color rgb="FFFFEB84"/>
        <color rgb="FF63BE7B"/>
      </colorScale>
    </cfRule>
  </conditionalFormatting>
  <conditionalFormatting sqref="I277">
    <cfRule type="colorScale" priority="113">
      <colorScale>
        <cfvo type="min"/>
        <cfvo type="percentile" val="50"/>
        <cfvo type="max"/>
        <color rgb="FFF8696B"/>
        <color rgb="FFFFEB84"/>
        <color rgb="FF63BE7B"/>
      </colorScale>
    </cfRule>
  </conditionalFormatting>
  <conditionalFormatting sqref="I278">
    <cfRule type="colorScale" priority="13">
      <colorScale>
        <cfvo type="min"/>
        <cfvo type="percentile" val="50"/>
        <cfvo type="max"/>
        <color rgb="FFF8696B"/>
        <color rgb="FFFFEB84"/>
        <color rgb="FF63BE7B"/>
      </colorScale>
    </cfRule>
  </conditionalFormatting>
  <conditionalFormatting sqref="I282">
    <cfRule type="colorScale" priority="39">
      <colorScale>
        <cfvo type="min"/>
        <cfvo type="percentile" val="50"/>
        <cfvo type="max"/>
        <color rgb="FFF8696B"/>
        <color rgb="FFFFEB84"/>
        <color rgb="FF63BE7B"/>
      </colorScale>
    </cfRule>
    <cfRule type="colorScale" priority="41">
      <colorScale>
        <cfvo type="min"/>
        <cfvo type="percentile" val="50"/>
        <cfvo type="max"/>
        <color rgb="FFF8696B"/>
        <color rgb="FFFFEB84"/>
        <color rgb="FF63BE7B"/>
      </colorScale>
    </cfRule>
  </conditionalFormatting>
  <conditionalFormatting sqref="I287">
    <cfRule type="colorScale" priority="31">
      <colorScale>
        <cfvo type="min"/>
        <cfvo type="percentile" val="50"/>
        <cfvo type="max"/>
        <color rgb="FFF8696B"/>
        <color rgb="FFFFEB84"/>
        <color rgb="FF63BE7B"/>
      </colorScale>
    </cfRule>
  </conditionalFormatting>
  <conditionalFormatting sqref="I312">
    <cfRule type="colorScale" priority="27">
      <colorScale>
        <cfvo type="min"/>
        <cfvo type="percentile" val="50"/>
        <cfvo type="max"/>
        <color rgb="FFF8696B"/>
        <color rgb="FFFFEB84"/>
        <color rgb="FF63BE7B"/>
      </colorScale>
    </cfRule>
  </conditionalFormatting>
  <conditionalFormatting sqref="I313">
    <cfRule type="colorScale" priority="24">
      <colorScale>
        <cfvo type="min"/>
        <cfvo type="percentile" val="50"/>
        <cfvo type="max"/>
        <color rgb="FFF8696B"/>
        <color rgb="FFFFEB84"/>
        <color rgb="FF63BE7B"/>
      </colorScale>
    </cfRule>
    <cfRule type="colorScale" priority="26">
      <colorScale>
        <cfvo type="min"/>
        <cfvo type="percentile" val="50"/>
        <cfvo type="max"/>
        <color rgb="FFF8696B"/>
        <color rgb="FFFFEB84"/>
        <color rgb="FF63BE7B"/>
      </colorScale>
    </cfRule>
  </conditionalFormatting>
  <conditionalFormatting sqref="I343">
    <cfRule type="colorScale" priority="16">
      <colorScale>
        <cfvo type="min"/>
        <cfvo type="percentile" val="50"/>
        <cfvo type="max"/>
        <color rgb="FFF8696B"/>
        <color rgb="FFFFEB84"/>
        <color rgb="FF63BE7B"/>
      </colorScale>
    </cfRule>
    <cfRule type="colorScale" priority="18">
      <colorScale>
        <cfvo type="min"/>
        <cfvo type="percentile" val="50"/>
        <cfvo type="max"/>
        <color rgb="FFF8696B"/>
        <color rgb="FFFFEB84"/>
        <color rgb="FF63BE7B"/>
      </colorScale>
    </cfRule>
  </conditionalFormatting>
  <conditionalFormatting sqref="I365">
    <cfRule type="colorScale" priority="8">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onditionalFormatting>
  <conditionalFormatting sqref="I413">
    <cfRule type="colorScale" priority="1">
      <colorScale>
        <cfvo type="min"/>
        <cfvo type="percentile" val="50"/>
        <cfvo type="max"/>
        <color rgb="FFF8696B"/>
        <color rgb="FFFFEB84"/>
        <color rgb="FF63BE7B"/>
      </colorScale>
    </cfRule>
  </conditionalFormatting>
  <conditionalFormatting sqref="I3:J4">
    <cfRule type="colorScale" priority="2341">
      <colorScale>
        <cfvo type="min"/>
        <cfvo type="percentile" val="50"/>
        <cfvo type="max"/>
        <color rgb="FFF8696B"/>
        <color rgb="FFFFEB84"/>
        <color rgb="FF63BE7B"/>
      </colorScale>
    </cfRule>
  </conditionalFormatting>
  <conditionalFormatting sqref="I5:J6">
    <cfRule type="cellIs" dxfId="123" priority="738" operator="equal">
      <formula>"GW"</formula>
    </cfRule>
    <cfRule type="cellIs" dxfId="122" priority="739" operator="equal">
      <formula>"PT"</formula>
    </cfRule>
    <cfRule type="cellIs" dxfId="121" priority="740" operator="equal">
      <formula>"TRIM"</formula>
    </cfRule>
    <cfRule type="cellIs" dxfId="120" priority="741" operator="equal">
      <formula>"RI"</formula>
    </cfRule>
  </conditionalFormatting>
  <conditionalFormatting sqref="I32:J32">
    <cfRule type="colorScale" priority="2042">
      <colorScale>
        <cfvo type="min"/>
        <cfvo type="percentile" val="50"/>
        <cfvo type="max"/>
        <color rgb="FFF8696B"/>
        <color rgb="FFFFEB84"/>
        <color rgb="FF63BE7B"/>
      </colorScale>
    </cfRule>
    <cfRule type="colorScale" priority="2342">
      <colorScale>
        <cfvo type="min"/>
        <cfvo type="percentile" val="50"/>
        <cfvo type="max"/>
        <color rgb="FFF8696B"/>
        <color rgb="FFFFEB84"/>
        <color rgb="FF63BE7B"/>
      </colorScale>
    </cfRule>
  </conditionalFormatting>
  <conditionalFormatting sqref="I152:J152">
    <cfRule type="cellIs" dxfId="119" priority="316" operator="equal">
      <formula>"GW"</formula>
    </cfRule>
    <cfRule type="cellIs" dxfId="118" priority="317" operator="equal">
      <formula>"PT"</formula>
    </cfRule>
    <cfRule type="cellIs" dxfId="117" priority="318" operator="equal">
      <formula>"TRIM"</formula>
    </cfRule>
    <cfRule type="cellIs" dxfId="116" priority="319" operator="equal">
      <formula>"RI"</formula>
    </cfRule>
  </conditionalFormatting>
  <conditionalFormatting sqref="J6">
    <cfRule type="colorScale" priority="742">
      <colorScale>
        <cfvo type="min"/>
        <cfvo type="percentile" val="50"/>
        <cfvo type="max"/>
        <color rgb="FFF8696B"/>
        <color rgb="FFFFEB84"/>
        <color rgb="FF63BE7B"/>
      </colorScale>
    </cfRule>
  </conditionalFormatting>
  <conditionalFormatting sqref="J11">
    <cfRule type="colorScale" priority="774">
      <colorScale>
        <cfvo type="min"/>
        <cfvo type="percentile" val="50"/>
        <cfvo type="max"/>
        <color rgb="FFF8696B"/>
        <color rgb="FFFFEB84"/>
        <color rgb="FF63BE7B"/>
      </colorScale>
    </cfRule>
  </conditionalFormatting>
  <conditionalFormatting sqref="J12">
    <cfRule type="colorScale" priority="811">
      <colorScale>
        <cfvo type="min"/>
        <cfvo type="percentile" val="50"/>
        <cfvo type="max"/>
        <color rgb="FFF8696B"/>
        <color rgb="FFFFEB84"/>
        <color rgb="FF63BE7B"/>
      </colorScale>
    </cfRule>
  </conditionalFormatting>
  <conditionalFormatting sqref="J15">
    <cfRule type="colorScale" priority="829">
      <colorScale>
        <cfvo type="min"/>
        <cfvo type="percentile" val="50"/>
        <cfvo type="max"/>
        <color rgb="FFF8696B"/>
        <color rgb="FFFFEB84"/>
        <color rgb="FF63BE7B"/>
      </colorScale>
    </cfRule>
  </conditionalFormatting>
  <conditionalFormatting sqref="J16">
    <cfRule type="colorScale" priority="801">
      <colorScale>
        <cfvo type="min"/>
        <cfvo type="percentile" val="50"/>
        <cfvo type="max"/>
        <color rgb="FFF8696B"/>
        <color rgb="FFFFEB84"/>
        <color rgb="FF63BE7B"/>
      </colorScale>
    </cfRule>
  </conditionalFormatting>
  <conditionalFormatting sqref="J17">
    <cfRule type="colorScale" priority="724">
      <colorScale>
        <cfvo type="min"/>
        <cfvo type="percentile" val="50"/>
        <cfvo type="max"/>
        <color rgb="FFF8696B"/>
        <color rgb="FFFFEB84"/>
        <color rgb="FF63BE7B"/>
      </colorScale>
    </cfRule>
  </conditionalFormatting>
  <conditionalFormatting sqref="J18 J5 J13:J14 J7:J10 J20:J21 J26:J31 J23">
    <cfRule type="colorScale" priority="4219">
      <colorScale>
        <cfvo type="min"/>
        <cfvo type="percentile" val="50"/>
        <cfvo type="max"/>
        <color rgb="FFF8696B"/>
        <color rgb="FFFFEB84"/>
        <color rgb="FF63BE7B"/>
      </colorScale>
    </cfRule>
  </conditionalFormatting>
  <conditionalFormatting sqref="J19">
    <cfRule type="colorScale" priority="784">
      <colorScale>
        <cfvo type="min"/>
        <cfvo type="percentile" val="50"/>
        <cfvo type="max"/>
        <color rgb="FFF8696B"/>
        <color rgb="FFFFEB84"/>
        <color rgb="FF63BE7B"/>
      </colorScale>
    </cfRule>
  </conditionalFormatting>
  <conditionalFormatting sqref="J22">
    <cfRule type="colorScale" priority="622">
      <colorScale>
        <cfvo type="min"/>
        <cfvo type="percentile" val="50"/>
        <cfvo type="max"/>
        <color rgb="FFF8696B"/>
        <color rgb="FFFFEB84"/>
        <color rgb="FF63BE7B"/>
      </colorScale>
    </cfRule>
  </conditionalFormatting>
  <conditionalFormatting sqref="J24">
    <cfRule type="colorScale" priority="677">
      <colorScale>
        <cfvo type="min"/>
        <cfvo type="percentile" val="50"/>
        <cfvo type="max"/>
        <color rgb="FFF8696B"/>
        <color rgb="FFFFEB84"/>
        <color rgb="FF63BE7B"/>
      </colorScale>
    </cfRule>
  </conditionalFormatting>
  <conditionalFormatting sqref="J25">
    <cfRule type="colorScale" priority="714">
      <colorScale>
        <cfvo type="min"/>
        <cfvo type="percentile" val="50"/>
        <cfvo type="max"/>
        <color rgb="FFF8696B"/>
        <color rgb="FFFFEB84"/>
        <color rgb="FF63BE7B"/>
      </colorScale>
    </cfRule>
  </conditionalFormatting>
  <conditionalFormatting sqref="J33">
    <cfRule type="colorScale" priority="668">
      <colorScale>
        <cfvo type="min"/>
        <cfvo type="percentile" val="50"/>
        <cfvo type="max"/>
        <color rgb="FFF8696B"/>
        <color rgb="FFFFEB84"/>
        <color rgb="FF63BE7B"/>
      </colorScale>
    </cfRule>
  </conditionalFormatting>
  <conditionalFormatting sqref="J35">
    <cfRule type="colorScale" priority="659">
      <colorScale>
        <cfvo type="min"/>
        <cfvo type="percentile" val="50"/>
        <cfvo type="max"/>
        <color rgb="FFF8696B"/>
        <color rgb="FFFFEB84"/>
        <color rgb="FF63BE7B"/>
      </colorScale>
    </cfRule>
  </conditionalFormatting>
  <conditionalFormatting sqref="J36:J37 J34 J40:J42 J44:J47">
    <cfRule type="colorScale" priority="695">
      <colorScale>
        <cfvo type="min"/>
        <cfvo type="percentile" val="50"/>
        <cfvo type="max"/>
        <color rgb="FFF8696B"/>
        <color rgb="FFFFEB84"/>
        <color rgb="FF63BE7B"/>
      </colorScale>
    </cfRule>
  </conditionalFormatting>
  <conditionalFormatting sqref="J38">
    <cfRule type="colorScale" priority="577">
      <colorScale>
        <cfvo type="min"/>
        <cfvo type="percentile" val="50"/>
        <cfvo type="max"/>
        <color rgb="FFF8696B"/>
        <color rgb="FFFFEB84"/>
        <color rgb="FF63BE7B"/>
      </colorScale>
    </cfRule>
  </conditionalFormatting>
  <conditionalFormatting sqref="J39">
    <cfRule type="colorScale" priority="491">
      <colorScale>
        <cfvo type="min"/>
        <cfvo type="percentile" val="50"/>
        <cfvo type="max"/>
        <color rgb="FFF8696B"/>
        <color rgb="FFFFEB84"/>
        <color rgb="FF63BE7B"/>
      </colorScale>
    </cfRule>
  </conditionalFormatting>
  <conditionalFormatting sqref="J43">
    <cfRule type="colorScale" priority="568">
      <colorScale>
        <cfvo type="min"/>
        <cfvo type="percentile" val="50"/>
        <cfvo type="max"/>
        <color rgb="FFF8696B"/>
        <color rgb="FFFFEB84"/>
        <color rgb="FF63BE7B"/>
      </colorScale>
    </cfRule>
  </conditionalFormatting>
  <conditionalFormatting sqref="J48">
    <cfRule type="colorScale" priority="604">
      <colorScale>
        <cfvo type="min"/>
        <cfvo type="percentile" val="50"/>
        <cfvo type="max"/>
        <color rgb="FFF8696B"/>
        <color rgb="FFFFEB84"/>
        <color rgb="FF63BE7B"/>
      </colorScale>
    </cfRule>
  </conditionalFormatting>
  <conditionalFormatting sqref="J49">
    <cfRule type="colorScale" priority="595">
      <colorScale>
        <cfvo type="min"/>
        <cfvo type="percentile" val="50"/>
        <cfvo type="max"/>
        <color rgb="FFF8696B"/>
        <color rgb="FFFFEB84"/>
        <color rgb="FF63BE7B"/>
      </colorScale>
    </cfRule>
  </conditionalFormatting>
  <conditionalFormatting sqref="J50">
    <cfRule type="colorScale" priority="586">
      <colorScale>
        <cfvo type="min"/>
        <cfvo type="percentile" val="50"/>
        <cfvo type="max"/>
        <color rgb="FFF8696B"/>
        <color rgb="FFFFEB84"/>
        <color rgb="FF63BE7B"/>
      </colorScale>
    </cfRule>
  </conditionalFormatting>
  <conditionalFormatting sqref="J51:J53">
    <cfRule type="colorScale" priority="640">
      <colorScale>
        <cfvo type="min"/>
        <cfvo type="percentile" val="50"/>
        <cfvo type="max"/>
        <color rgb="FFF8696B"/>
        <color rgb="FFFFEB84"/>
        <color rgb="FF63BE7B"/>
      </colorScale>
    </cfRule>
  </conditionalFormatting>
  <conditionalFormatting sqref="J54">
    <cfRule type="colorScale" priority="529">
      <colorScale>
        <cfvo type="min"/>
        <cfvo type="percentile" val="50"/>
        <cfvo type="max"/>
        <color rgb="FFF8696B"/>
        <color rgb="FFFFEB84"/>
        <color rgb="FF63BE7B"/>
      </colorScale>
    </cfRule>
  </conditionalFormatting>
  <conditionalFormatting sqref="J55:J56 J86 J58 J60:J75 J80">
    <cfRule type="colorScale" priority="6436">
      <colorScale>
        <cfvo type="min"/>
        <cfvo type="percentile" val="50"/>
        <cfvo type="max"/>
        <color rgb="FFF8696B"/>
        <color rgb="FFFFEB84"/>
        <color rgb="FF63BE7B"/>
      </colorScale>
    </cfRule>
  </conditionalFormatting>
  <conditionalFormatting sqref="J57">
    <cfRule type="colorScale" priority="559">
      <colorScale>
        <cfvo type="min"/>
        <cfvo type="percentile" val="50"/>
        <cfvo type="max"/>
        <color rgb="FFF8696B"/>
        <color rgb="FFFFEB84"/>
        <color rgb="FF63BE7B"/>
      </colorScale>
    </cfRule>
  </conditionalFormatting>
  <conditionalFormatting sqref="J59">
    <cfRule type="colorScale" priority="538">
      <colorScale>
        <cfvo type="min"/>
        <cfvo type="percentile" val="50"/>
        <cfvo type="max"/>
        <color rgb="FFF8696B"/>
        <color rgb="FFFFEB84"/>
        <color rgb="FF63BE7B"/>
      </colorScale>
    </cfRule>
  </conditionalFormatting>
  <conditionalFormatting sqref="J81:J83 J76:J79 J94:J98 J88:J92 J100:J102 J106:J108 J110:J115 J117:J121 J124:J125 J127:J128 J132:J133 J148 J136:J143 J152:J153 J145:J146 J157:J158 J160:J162 J165:J166 J168 J184:J185 J170:J171 J187 J190:J191 J193:J202 J173:J180 J204:J213 J215:J226 J229:J231 J249:J254 J237 J239:J247 J256:J276 J233:J235 J279:J286 J288:J311 J313:J412 J414:J741">
    <cfRule type="colorScale" priority="25631">
      <colorScale>
        <cfvo type="min"/>
        <cfvo type="percentile" val="50"/>
        <cfvo type="max"/>
        <color rgb="FFF8696B"/>
        <color rgb="FFFFEB84"/>
        <color rgb="FF63BE7B"/>
      </colorScale>
    </cfRule>
  </conditionalFormatting>
  <conditionalFormatting sqref="J84">
    <cfRule type="colorScale" priority="482">
      <colorScale>
        <cfvo type="min"/>
        <cfvo type="percentile" val="50"/>
        <cfvo type="max"/>
        <color rgb="FFF8696B"/>
        <color rgb="FFFFEB84"/>
        <color rgb="FF63BE7B"/>
      </colorScale>
    </cfRule>
  </conditionalFormatting>
  <conditionalFormatting sqref="J85">
    <cfRule type="colorScale" priority="500">
      <colorScale>
        <cfvo type="min"/>
        <cfvo type="percentile" val="50"/>
        <cfvo type="max"/>
        <color rgb="FFF8696B"/>
        <color rgb="FFFFEB84"/>
        <color rgb="FF63BE7B"/>
      </colorScale>
    </cfRule>
  </conditionalFormatting>
  <conditionalFormatting sqref="J87">
    <cfRule type="colorScale" priority="473">
      <colorScale>
        <cfvo type="min"/>
        <cfvo type="percentile" val="50"/>
        <cfvo type="max"/>
        <color rgb="FFF8696B"/>
        <color rgb="FFFFEB84"/>
        <color rgb="FF63BE7B"/>
      </colorScale>
    </cfRule>
  </conditionalFormatting>
  <conditionalFormatting sqref="J93">
    <cfRule type="colorScale" priority="464">
      <colorScale>
        <cfvo type="min"/>
        <cfvo type="percentile" val="50"/>
        <cfvo type="max"/>
        <color rgb="FFF8696B"/>
        <color rgb="FFFFEB84"/>
        <color rgb="FF63BE7B"/>
      </colorScale>
    </cfRule>
  </conditionalFormatting>
  <conditionalFormatting sqref="J99">
    <cfRule type="colorScale" priority="455">
      <colorScale>
        <cfvo type="min"/>
        <cfvo type="percentile" val="50"/>
        <cfvo type="max"/>
        <color rgb="FFF8696B"/>
        <color rgb="FFFFEB84"/>
        <color rgb="FF63BE7B"/>
      </colorScale>
    </cfRule>
  </conditionalFormatting>
  <conditionalFormatting sqref="J103">
    <cfRule type="colorScale" priority="446">
      <colorScale>
        <cfvo type="min"/>
        <cfvo type="percentile" val="50"/>
        <cfvo type="max"/>
        <color rgb="FFF8696B"/>
        <color rgb="FFFFEB84"/>
        <color rgb="FF63BE7B"/>
      </colorScale>
    </cfRule>
  </conditionalFormatting>
  <conditionalFormatting sqref="J104">
    <cfRule type="colorScale" priority="428">
      <colorScale>
        <cfvo type="min"/>
        <cfvo type="percentile" val="50"/>
        <cfvo type="max"/>
        <color rgb="FFF8696B"/>
        <color rgb="FFFFEB84"/>
        <color rgb="FF63BE7B"/>
      </colorScale>
    </cfRule>
  </conditionalFormatting>
  <conditionalFormatting sqref="J105">
    <cfRule type="colorScale" priority="419">
      <colorScale>
        <cfvo type="min"/>
        <cfvo type="percentile" val="50"/>
        <cfvo type="max"/>
        <color rgb="FFF8696B"/>
        <color rgb="FFFFEB84"/>
        <color rgb="FF63BE7B"/>
      </colorScale>
    </cfRule>
  </conditionalFormatting>
  <conditionalFormatting sqref="J109">
    <cfRule type="colorScale" priority="370">
      <colorScale>
        <cfvo type="min"/>
        <cfvo type="percentile" val="50"/>
        <cfvo type="max"/>
        <color rgb="FFF8696B"/>
        <color rgb="FFFFEB84"/>
        <color rgb="FF63BE7B"/>
      </colorScale>
    </cfRule>
  </conditionalFormatting>
  <conditionalFormatting sqref="J116">
    <cfRule type="colorScale" priority="406">
      <colorScale>
        <cfvo type="min"/>
        <cfvo type="percentile" val="50"/>
        <cfvo type="max"/>
        <color rgb="FFF8696B"/>
        <color rgb="FFFFEB84"/>
        <color rgb="FF63BE7B"/>
      </colorScale>
    </cfRule>
  </conditionalFormatting>
  <conditionalFormatting sqref="J122:J123">
    <cfRule type="colorScale" priority="397">
      <colorScale>
        <cfvo type="min"/>
        <cfvo type="percentile" val="50"/>
        <cfvo type="max"/>
        <color rgb="FFF8696B"/>
        <color rgb="FFFFEB84"/>
        <color rgb="FF63BE7B"/>
      </colorScale>
    </cfRule>
  </conditionalFormatting>
  <conditionalFormatting sqref="J126">
    <cfRule type="colorScale" priority="388">
      <colorScale>
        <cfvo type="min"/>
        <cfvo type="percentile" val="50"/>
        <cfvo type="max"/>
        <color rgb="FFF8696B"/>
        <color rgb="FFFFEB84"/>
        <color rgb="FF63BE7B"/>
      </colorScale>
    </cfRule>
  </conditionalFormatting>
  <conditionalFormatting sqref="J129">
    <cfRule type="colorScale" priority="379">
      <colorScale>
        <cfvo type="min"/>
        <cfvo type="percentile" val="50"/>
        <cfvo type="max"/>
        <color rgb="FFF8696B"/>
        <color rgb="FFFFEB84"/>
        <color rgb="FF63BE7B"/>
      </colorScale>
    </cfRule>
  </conditionalFormatting>
  <conditionalFormatting sqref="J130:J131">
    <cfRule type="colorScale" priority="361">
      <colorScale>
        <cfvo type="min"/>
        <cfvo type="percentile" val="50"/>
        <cfvo type="max"/>
        <color rgb="FFF8696B"/>
        <color rgb="FFFFEB84"/>
        <color rgb="FF63BE7B"/>
      </colorScale>
    </cfRule>
  </conditionalFormatting>
  <conditionalFormatting sqref="J133">
    <cfRule type="colorScale" priority="352">
      <colorScale>
        <cfvo type="min"/>
        <cfvo type="percentile" val="50"/>
        <cfvo type="max"/>
        <color rgb="FFF8696B"/>
        <color rgb="FFFFEB84"/>
        <color rgb="FF63BE7B"/>
      </colorScale>
    </cfRule>
  </conditionalFormatting>
  <conditionalFormatting sqref="J134">
    <cfRule type="colorScale" priority="336">
      <colorScale>
        <cfvo type="min"/>
        <cfvo type="percentile" val="50"/>
        <cfvo type="max"/>
        <color rgb="FFF8696B"/>
        <color rgb="FFFFEB84"/>
        <color rgb="FF63BE7B"/>
      </colorScale>
    </cfRule>
  </conditionalFormatting>
  <conditionalFormatting sqref="J135">
    <cfRule type="colorScale" priority="260">
      <colorScale>
        <cfvo type="min"/>
        <cfvo type="percentile" val="50"/>
        <cfvo type="max"/>
        <color rgb="FFF8696B"/>
        <color rgb="FFFFEB84"/>
        <color rgb="FF63BE7B"/>
      </colorScale>
    </cfRule>
  </conditionalFormatting>
  <conditionalFormatting sqref="J144">
    <cfRule type="colorScale" priority="314">
      <colorScale>
        <cfvo type="min"/>
        <cfvo type="percentile" val="50"/>
        <cfvo type="max"/>
        <color rgb="FFF8696B"/>
        <color rgb="FFFFEB84"/>
        <color rgb="FF63BE7B"/>
      </colorScale>
    </cfRule>
  </conditionalFormatting>
  <conditionalFormatting sqref="J147">
    <cfRule type="colorScale" priority="343">
      <colorScale>
        <cfvo type="min"/>
        <cfvo type="percentile" val="50"/>
        <cfvo type="max"/>
        <color rgb="FFF8696B"/>
        <color rgb="FFFFEB84"/>
        <color rgb="FF63BE7B"/>
      </colorScale>
    </cfRule>
  </conditionalFormatting>
  <conditionalFormatting sqref="J149">
    <cfRule type="colorScale" priority="224">
      <colorScale>
        <cfvo type="min"/>
        <cfvo type="percentile" val="50"/>
        <cfvo type="max"/>
        <color rgb="FFF8696B"/>
        <color rgb="FFFFEB84"/>
        <color rgb="FF63BE7B"/>
      </colorScale>
    </cfRule>
  </conditionalFormatting>
  <conditionalFormatting sqref="J150">
    <cfRule type="colorScale" priority="327">
      <colorScale>
        <cfvo type="min"/>
        <cfvo type="percentile" val="50"/>
        <cfvo type="max"/>
        <color rgb="FFF8696B"/>
        <color rgb="FFFFEB84"/>
        <color rgb="FF63BE7B"/>
      </colorScale>
    </cfRule>
  </conditionalFormatting>
  <conditionalFormatting sqref="J151">
    <cfRule type="colorScale" priority="251">
      <colorScale>
        <cfvo type="min"/>
        <cfvo type="percentile" val="50"/>
        <cfvo type="max"/>
        <color rgb="FFF8696B"/>
        <color rgb="FFFFEB84"/>
        <color rgb="FF63BE7B"/>
      </colorScale>
    </cfRule>
  </conditionalFormatting>
  <conditionalFormatting sqref="J154">
    <cfRule type="colorScale" priority="215">
      <colorScale>
        <cfvo type="min"/>
        <cfvo type="percentile" val="50"/>
        <cfvo type="max"/>
        <color rgb="FFF8696B"/>
        <color rgb="FFFFEB84"/>
        <color rgb="FF63BE7B"/>
      </colorScale>
    </cfRule>
  </conditionalFormatting>
  <conditionalFormatting sqref="J155:J156">
    <cfRule type="colorScale" priority="296">
      <colorScale>
        <cfvo type="min"/>
        <cfvo type="percentile" val="50"/>
        <cfvo type="max"/>
        <color rgb="FFF8696B"/>
        <color rgb="FFFFEB84"/>
        <color rgb="FF63BE7B"/>
      </colorScale>
    </cfRule>
  </conditionalFormatting>
  <conditionalFormatting sqref="J159">
    <cfRule type="colorScale" priority="285">
      <colorScale>
        <cfvo type="min"/>
        <cfvo type="percentile" val="50"/>
        <cfvo type="max"/>
        <color rgb="FFF8696B"/>
        <color rgb="FFFFEB84"/>
        <color rgb="FF63BE7B"/>
      </colorScale>
    </cfRule>
  </conditionalFormatting>
  <conditionalFormatting sqref="J163">
    <cfRule type="colorScale" priority="242">
      <colorScale>
        <cfvo type="min"/>
        <cfvo type="percentile" val="50"/>
        <cfvo type="max"/>
        <color rgb="FFF8696B"/>
        <color rgb="FFFFEB84"/>
        <color rgb="FF63BE7B"/>
      </colorScale>
    </cfRule>
  </conditionalFormatting>
  <conditionalFormatting sqref="J164">
    <cfRule type="colorScale" priority="233">
      <colorScale>
        <cfvo type="min"/>
        <cfvo type="percentile" val="50"/>
        <cfvo type="max"/>
        <color rgb="FFF8696B"/>
        <color rgb="FFFFEB84"/>
        <color rgb="FF63BE7B"/>
      </colorScale>
    </cfRule>
  </conditionalFormatting>
  <conditionalFormatting sqref="J167">
    <cfRule type="colorScale" priority="206">
      <colorScale>
        <cfvo type="min"/>
        <cfvo type="percentile" val="50"/>
        <cfvo type="max"/>
        <color rgb="FFF8696B"/>
        <color rgb="FFFFEB84"/>
        <color rgb="FF63BE7B"/>
      </colorScale>
    </cfRule>
  </conditionalFormatting>
  <conditionalFormatting sqref="J169">
    <cfRule type="colorScale" priority="154">
      <colorScale>
        <cfvo type="min"/>
        <cfvo type="percentile" val="50"/>
        <cfvo type="max"/>
        <color rgb="FFF8696B"/>
        <color rgb="FFFFEB84"/>
        <color rgb="FF63BE7B"/>
      </colorScale>
    </cfRule>
  </conditionalFormatting>
  <conditionalFormatting sqref="J172">
    <cfRule type="colorScale" priority="127">
      <colorScale>
        <cfvo type="min"/>
        <cfvo type="percentile" val="50"/>
        <cfvo type="max"/>
        <color rgb="FFF8696B"/>
        <color rgb="FFFFEB84"/>
        <color rgb="FF63BE7B"/>
      </colorScale>
    </cfRule>
  </conditionalFormatting>
  <conditionalFormatting sqref="J181">
    <cfRule type="colorScale" priority="190">
      <colorScale>
        <cfvo type="min"/>
        <cfvo type="percentile" val="50"/>
        <cfvo type="max"/>
        <color rgb="FFF8696B"/>
        <color rgb="FFFFEB84"/>
        <color rgb="FF63BE7B"/>
      </colorScale>
    </cfRule>
  </conditionalFormatting>
  <conditionalFormatting sqref="J182">
    <cfRule type="colorScale" priority="181">
      <colorScale>
        <cfvo type="min"/>
        <cfvo type="percentile" val="50"/>
        <cfvo type="max"/>
        <color rgb="FFF8696B"/>
        <color rgb="FFFFEB84"/>
        <color rgb="FF63BE7B"/>
      </colorScale>
    </cfRule>
  </conditionalFormatting>
  <conditionalFormatting sqref="J183">
    <cfRule type="colorScale" priority="172">
      <colorScale>
        <cfvo type="min"/>
        <cfvo type="percentile" val="50"/>
        <cfvo type="max"/>
        <color rgb="FFF8696B"/>
        <color rgb="FFFFEB84"/>
        <color rgb="FF63BE7B"/>
      </colorScale>
    </cfRule>
  </conditionalFormatting>
  <conditionalFormatting sqref="J186">
    <cfRule type="colorScale" priority="163">
      <colorScale>
        <cfvo type="min"/>
        <cfvo type="percentile" val="50"/>
        <cfvo type="max"/>
        <color rgb="FFF8696B"/>
        <color rgb="FFFFEB84"/>
        <color rgb="FF63BE7B"/>
      </colorScale>
    </cfRule>
  </conditionalFormatting>
  <conditionalFormatting sqref="J188:J189">
    <cfRule type="colorScale" priority="145">
      <colorScale>
        <cfvo type="min"/>
        <cfvo type="percentile" val="50"/>
        <cfvo type="max"/>
        <color rgb="FFF8696B"/>
        <color rgb="FFFFEB84"/>
        <color rgb="FF63BE7B"/>
      </colorScale>
    </cfRule>
  </conditionalFormatting>
  <conditionalFormatting sqref="J192">
    <cfRule type="colorScale" priority="136">
      <colorScale>
        <cfvo type="min"/>
        <cfvo type="percentile" val="50"/>
        <cfvo type="max"/>
        <color rgb="FFF8696B"/>
        <color rgb="FFFFEB84"/>
        <color rgb="FF63BE7B"/>
      </colorScale>
    </cfRule>
  </conditionalFormatting>
  <conditionalFormatting sqref="J203">
    <cfRule type="colorScale" priority="107">
      <colorScale>
        <cfvo type="min"/>
        <cfvo type="percentile" val="50"/>
        <cfvo type="max"/>
        <color rgb="FFF8696B"/>
        <color rgb="FFFFEB84"/>
        <color rgb="FF63BE7B"/>
      </colorScale>
    </cfRule>
  </conditionalFormatting>
  <conditionalFormatting sqref="J214">
    <cfRule type="colorScale" priority="98">
      <colorScale>
        <cfvo type="min"/>
        <cfvo type="percentile" val="50"/>
        <cfvo type="max"/>
        <color rgb="FFF8696B"/>
        <color rgb="FFFFEB84"/>
        <color rgb="FF63BE7B"/>
      </colorScale>
    </cfRule>
  </conditionalFormatting>
  <conditionalFormatting sqref="J227:J228">
    <cfRule type="colorScale" priority="85">
      <colorScale>
        <cfvo type="min"/>
        <cfvo type="percentile" val="50"/>
        <cfvo type="max"/>
        <color rgb="FFF8696B"/>
        <color rgb="FFFFEB84"/>
        <color rgb="FF63BE7B"/>
      </colorScale>
    </cfRule>
  </conditionalFormatting>
  <conditionalFormatting sqref="J232">
    <cfRule type="colorScale" priority="37">
      <colorScale>
        <cfvo type="min"/>
        <cfvo type="percentile" val="50"/>
        <cfvo type="max"/>
        <color rgb="FFF8696B"/>
        <color rgb="FFFFEB84"/>
        <color rgb="FF63BE7B"/>
      </colorScale>
    </cfRule>
  </conditionalFormatting>
  <conditionalFormatting sqref="J236">
    <cfRule type="colorScale" priority="67">
      <colorScale>
        <cfvo type="min"/>
        <cfvo type="percentile" val="50"/>
        <cfvo type="max"/>
        <color rgb="FFF8696B"/>
        <color rgb="FFFFEB84"/>
        <color rgb="FF63BE7B"/>
      </colorScale>
    </cfRule>
  </conditionalFormatting>
  <conditionalFormatting sqref="J238">
    <cfRule type="colorScale" priority="58">
      <colorScale>
        <cfvo type="min"/>
        <cfvo type="percentile" val="50"/>
        <cfvo type="max"/>
        <color rgb="FFF8696B"/>
        <color rgb="FFFFEB84"/>
        <color rgb="FF63BE7B"/>
      </colorScale>
    </cfRule>
  </conditionalFormatting>
  <conditionalFormatting sqref="J248">
    <cfRule type="colorScale" priority="76">
      <colorScale>
        <cfvo type="min"/>
        <cfvo type="percentile" val="50"/>
        <cfvo type="max"/>
        <color rgb="FFF8696B"/>
        <color rgb="FFFFEB84"/>
        <color rgb="FF63BE7B"/>
      </colorScale>
    </cfRule>
  </conditionalFormatting>
  <conditionalFormatting sqref="J255">
    <cfRule type="colorScale" priority="49">
      <colorScale>
        <cfvo type="min"/>
        <cfvo type="percentile" val="50"/>
        <cfvo type="max"/>
        <color rgb="FFF8696B"/>
        <color rgb="FFFFEB84"/>
        <color rgb="FF63BE7B"/>
      </colorScale>
    </cfRule>
  </conditionalFormatting>
  <conditionalFormatting sqref="J261">
    <cfRule type="colorScale" priority="91">
      <colorScale>
        <cfvo type="min"/>
        <cfvo type="percentile" val="50"/>
        <cfvo type="max"/>
        <color rgb="FFF8696B"/>
        <color rgb="FFFFEB84"/>
        <color rgb="FF63BE7B"/>
      </colorScale>
    </cfRule>
  </conditionalFormatting>
  <conditionalFormatting sqref="J265">
    <cfRule type="colorScale" priority="88">
      <colorScale>
        <cfvo type="min"/>
        <cfvo type="percentile" val="50"/>
        <cfvo type="max"/>
        <color rgb="FFF8696B"/>
        <color rgb="FFFFEB84"/>
        <color rgb="FF63BE7B"/>
      </colorScale>
    </cfRule>
  </conditionalFormatting>
  <conditionalFormatting sqref="J277">
    <cfRule type="colorScale" priority="114">
      <colorScale>
        <cfvo type="min"/>
        <cfvo type="percentile" val="50"/>
        <cfvo type="max"/>
        <color rgb="FFF8696B"/>
        <color rgb="FFFFEB84"/>
        <color rgb="FF63BE7B"/>
      </colorScale>
    </cfRule>
  </conditionalFormatting>
  <conditionalFormatting sqref="J278">
    <cfRule type="colorScale" priority="14">
      <colorScale>
        <cfvo type="min"/>
        <cfvo type="percentile" val="50"/>
        <cfvo type="max"/>
        <color rgb="FFF8696B"/>
        <color rgb="FFFFEB84"/>
        <color rgb="FF63BE7B"/>
      </colorScale>
    </cfRule>
  </conditionalFormatting>
  <conditionalFormatting sqref="J282">
    <cfRule type="colorScale" priority="40">
      <colorScale>
        <cfvo type="min"/>
        <cfvo type="percentile" val="50"/>
        <cfvo type="max"/>
        <color rgb="FFF8696B"/>
        <color rgb="FFFFEB84"/>
        <color rgb="FF63BE7B"/>
      </colorScale>
    </cfRule>
  </conditionalFormatting>
  <conditionalFormatting sqref="J287">
    <cfRule type="colorScale" priority="32">
      <colorScale>
        <cfvo type="min"/>
        <cfvo type="percentile" val="50"/>
        <cfvo type="max"/>
        <color rgb="FFF8696B"/>
        <color rgb="FFFFEB84"/>
        <color rgb="FF63BE7B"/>
      </colorScale>
    </cfRule>
  </conditionalFormatting>
  <conditionalFormatting sqref="J312">
    <cfRule type="colorScale" priority="28">
      <colorScale>
        <cfvo type="min"/>
        <cfvo type="percentile" val="50"/>
        <cfvo type="max"/>
        <color rgb="FFF8696B"/>
        <color rgb="FFFFEB84"/>
        <color rgb="FF63BE7B"/>
      </colorScale>
    </cfRule>
  </conditionalFormatting>
  <conditionalFormatting sqref="J313">
    <cfRule type="colorScale" priority="25">
      <colorScale>
        <cfvo type="min"/>
        <cfvo type="percentile" val="50"/>
        <cfvo type="max"/>
        <color rgb="FFF8696B"/>
        <color rgb="FFFFEB84"/>
        <color rgb="FF63BE7B"/>
      </colorScale>
    </cfRule>
  </conditionalFormatting>
  <conditionalFormatting sqref="J343">
    <cfRule type="colorScale" priority="17">
      <colorScale>
        <cfvo type="min"/>
        <cfvo type="percentile" val="50"/>
        <cfvo type="max"/>
        <color rgb="FFF8696B"/>
        <color rgb="FFFFEB84"/>
        <color rgb="FF63BE7B"/>
      </colorScale>
    </cfRule>
  </conditionalFormatting>
  <conditionalFormatting sqref="J365">
    <cfRule type="colorScale" priority="9">
      <colorScale>
        <cfvo type="min"/>
        <cfvo type="percentile" val="50"/>
        <cfvo type="max"/>
        <color rgb="FFF8696B"/>
        <color rgb="FFFFEB84"/>
        <color rgb="FF63BE7B"/>
      </colorScale>
    </cfRule>
  </conditionalFormatting>
  <conditionalFormatting sqref="J413">
    <cfRule type="colorScale" priority="2">
      <colorScale>
        <cfvo type="min"/>
        <cfvo type="percentile" val="50"/>
        <cfvo type="max"/>
        <color rgb="FFF8696B"/>
        <color rgb="FFFFEB84"/>
        <color rgb="FF63BE7B"/>
      </colorScale>
    </cfRule>
  </conditionalFormatting>
  <conditionalFormatting sqref="N2:N5 N18 N13:N14 N7:N10 N20:N21 N26:N31 N23">
    <cfRule type="colorScale" priority="4195">
      <colorScale>
        <cfvo type="min"/>
        <cfvo type="percentile" val="50"/>
        <cfvo type="max"/>
        <color rgb="FFF8696B"/>
        <color rgb="FFFFEB84"/>
        <color rgb="FF63BE7B"/>
      </colorScale>
    </cfRule>
  </conditionalFormatting>
  <conditionalFormatting sqref="N2:N6">
    <cfRule type="cellIs" dxfId="115" priority="758" operator="equal">
      <formula>"GW"</formula>
    </cfRule>
    <cfRule type="cellIs" dxfId="114" priority="759" operator="equal">
      <formula>"PT"</formula>
    </cfRule>
    <cfRule type="cellIs" dxfId="113" priority="760" operator="equal">
      <formula>"TRIM"</formula>
    </cfRule>
    <cfRule type="cellIs" dxfId="112" priority="761" operator="equal">
      <formula>"RI"</formula>
    </cfRule>
  </conditionalFormatting>
  <conditionalFormatting sqref="N6">
    <cfRule type="colorScale" priority="762">
      <colorScale>
        <cfvo type="min"/>
        <cfvo type="percentile" val="50"/>
        <cfvo type="max"/>
        <color rgb="FFF8696B"/>
        <color rgb="FFFFEB84"/>
        <color rgb="FF63BE7B"/>
      </colorScale>
    </cfRule>
  </conditionalFormatting>
  <conditionalFormatting sqref="N7:N11 P7:P11 R7:R11 H7:J11">
    <cfRule type="cellIs" dxfId="111" priority="779" operator="equal">
      <formula>"GW"</formula>
    </cfRule>
    <cfRule type="cellIs" dxfId="110" priority="780" operator="equal">
      <formula>"PT"</formula>
    </cfRule>
    <cfRule type="cellIs" dxfId="109" priority="781" operator="equal">
      <formula>"TRIM"</formula>
    </cfRule>
    <cfRule type="cellIs" dxfId="108" priority="782" operator="equal">
      <formula>"RI"</formula>
    </cfRule>
  </conditionalFormatting>
  <conditionalFormatting sqref="N11">
    <cfRule type="colorScale" priority="778">
      <colorScale>
        <cfvo type="min"/>
        <cfvo type="percentile" val="50"/>
        <cfvo type="max"/>
        <color rgb="FFF8696B"/>
        <color rgb="FFFFEB84"/>
        <color rgb="FF63BE7B"/>
      </colorScale>
    </cfRule>
  </conditionalFormatting>
  <conditionalFormatting sqref="N12">
    <cfRule type="colorScale" priority="815">
      <colorScale>
        <cfvo type="min"/>
        <cfvo type="percentile" val="50"/>
        <cfvo type="max"/>
        <color rgb="FFF8696B"/>
        <color rgb="FFFFEB84"/>
        <color rgb="FF63BE7B"/>
      </colorScale>
    </cfRule>
  </conditionalFormatting>
  <conditionalFormatting sqref="N12:N15 P12 R12:R15 H12:J15">
    <cfRule type="cellIs" dxfId="107" priority="816" operator="equal">
      <formula>"GW"</formula>
    </cfRule>
    <cfRule type="cellIs" dxfId="106" priority="817" operator="equal">
      <formula>"PT"</formula>
    </cfRule>
    <cfRule type="cellIs" dxfId="105" priority="818" operator="equal">
      <formula>"TRIM"</formula>
    </cfRule>
    <cfRule type="cellIs" dxfId="104" priority="819" operator="equal">
      <formula>"RI"</formula>
    </cfRule>
  </conditionalFormatting>
  <conditionalFormatting sqref="N15">
    <cfRule type="colorScale" priority="849">
      <colorScale>
        <cfvo type="min"/>
        <cfvo type="percentile" val="50"/>
        <cfvo type="max"/>
        <color rgb="FFF8696B"/>
        <color rgb="FFFFEB84"/>
        <color rgb="FF63BE7B"/>
      </colorScale>
    </cfRule>
  </conditionalFormatting>
  <conditionalFormatting sqref="N16 P15:P16 R16 H16:J16">
    <cfRule type="cellIs" dxfId="103" priority="806" operator="equal">
      <formula>"GW"</formula>
    </cfRule>
    <cfRule type="cellIs" dxfId="102" priority="807" operator="equal">
      <formula>"PT"</formula>
    </cfRule>
    <cfRule type="cellIs" dxfId="101" priority="808" operator="equal">
      <formula>"TRIM"</formula>
    </cfRule>
    <cfRule type="cellIs" dxfId="100" priority="809" operator="equal">
      <formula>"RI"</formula>
    </cfRule>
  </conditionalFormatting>
  <conditionalFormatting sqref="N16">
    <cfRule type="colorScale" priority="805">
      <colorScale>
        <cfvo type="min"/>
        <cfvo type="percentile" val="50"/>
        <cfvo type="max"/>
        <color rgb="FFF8696B"/>
        <color rgb="FFFFEB84"/>
        <color rgb="FF63BE7B"/>
      </colorScale>
    </cfRule>
  </conditionalFormatting>
  <conditionalFormatting sqref="N17">
    <cfRule type="colorScale" priority="708">
      <colorScale>
        <cfvo type="min"/>
        <cfvo type="percentile" val="50"/>
        <cfvo type="max"/>
        <color rgb="FFF8696B"/>
        <color rgb="FFFFEB84"/>
        <color rgb="FF63BE7B"/>
      </colorScale>
    </cfRule>
    <cfRule type="cellIs" dxfId="99" priority="709" operator="equal">
      <formula>"GW"</formula>
    </cfRule>
    <cfRule type="cellIs" dxfId="98" priority="710" operator="equal">
      <formula>"PT"</formula>
    </cfRule>
    <cfRule type="cellIs" dxfId="97" priority="711" operator="equal">
      <formula>"TRIM"</formula>
    </cfRule>
    <cfRule type="cellIs" dxfId="96" priority="712" operator="equal">
      <formula>"RI"</formula>
    </cfRule>
  </conditionalFormatting>
  <conditionalFormatting sqref="N18:N21 P19 R18:R21 H18:J21">
    <cfRule type="cellIs" dxfId="95" priority="789" operator="equal">
      <formula>"GW"</formula>
    </cfRule>
    <cfRule type="cellIs" dxfId="94" priority="790" operator="equal">
      <formula>"PT"</formula>
    </cfRule>
    <cfRule type="cellIs" dxfId="93" priority="791" operator="equal">
      <formula>"TRIM"</formula>
    </cfRule>
    <cfRule type="cellIs" dxfId="92" priority="792" operator="equal">
      <formula>"RI"</formula>
    </cfRule>
  </conditionalFormatting>
  <conditionalFormatting sqref="N19">
    <cfRule type="colorScale" priority="788">
      <colorScale>
        <cfvo type="min"/>
        <cfvo type="percentile" val="50"/>
        <cfvo type="max"/>
        <color rgb="FFF8696B"/>
        <color rgb="FFFFEB84"/>
        <color rgb="FF63BE7B"/>
      </colorScale>
    </cfRule>
  </conditionalFormatting>
  <conditionalFormatting sqref="N22">
    <cfRule type="colorScale" priority="619">
      <colorScale>
        <cfvo type="min"/>
        <cfvo type="percentile" val="50"/>
        <cfvo type="max"/>
        <color rgb="FFF8696B"/>
        <color rgb="FFFFEB84"/>
        <color rgb="FF63BE7B"/>
      </colorScale>
    </cfRule>
  </conditionalFormatting>
  <conditionalFormatting sqref="N24">
    <cfRule type="colorScale" priority="674">
      <colorScale>
        <cfvo type="min"/>
        <cfvo type="percentile" val="50"/>
        <cfvo type="max"/>
        <color rgb="FFF8696B"/>
        <color rgb="FFFFEB84"/>
        <color rgb="FF63BE7B"/>
      </colorScale>
    </cfRule>
  </conditionalFormatting>
  <conditionalFormatting sqref="N25">
    <cfRule type="colorScale" priority="718">
      <colorScale>
        <cfvo type="min"/>
        <cfvo type="percentile" val="50"/>
        <cfvo type="max"/>
        <color rgb="FFF8696B"/>
        <color rgb="FFFFEB84"/>
        <color rgb="FF63BE7B"/>
      </colorScale>
    </cfRule>
  </conditionalFormatting>
  <conditionalFormatting sqref="N25:N31 P25 R25:R31 H25:J31">
    <cfRule type="cellIs" dxfId="91" priority="719" operator="equal">
      <formula>"GW"</formula>
    </cfRule>
    <cfRule type="cellIs" dxfId="90" priority="720" operator="equal">
      <formula>"PT"</formula>
    </cfRule>
    <cfRule type="cellIs" dxfId="89" priority="721" operator="equal">
      <formula>"TRIM"</formula>
    </cfRule>
    <cfRule type="cellIs" dxfId="88" priority="722" operator="equal">
      <formula>"RI"</formula>
    </cfRule>
  </conditionalFormatting>
  <conditionalFormatting sqref="N33">
    <cfRule type="colorScale" priority="665">
      <colorScale>
        <cfvo type="min"/>
        <cfvo type="percentile" val="50"/>
        <cfvo type="max"/>
        <color rgb="FFF8696B"/>
        <color rgb="FFFFEB84"/>
        <color rgb="FF63BE7B"/>
      </colorScale>
    </cfRule>
  </conditionalFormatting>
  <conditionalFormatting sqref="N33:N741 R60:R741 H323:J741 H22:J24 N22:N24 R22:R24">
    <cfRule type="cellIs" dxfId="87" priority="615" operator="equal">
      <formula>"GW"</formula>
    </cfRule>
    <cfRule type="cellIs" dxfId="86" priority="616" operator="equal">
      <formula>"PT"</formula>
    </cfRule>
    <cfRule type="cellIs" dxfId="85" priority="617" operator="equal">
      <formula>"TRIM"</formula>
    </cfRule>
    <cfRule type="cellIs" dxfId="84" priority="618" operator="equal">
      <formula>"RI"</formula>
    </cfRule>
  </conditionalFormatting>
  <conditionalFormatting sqref="N35">
    <cfRule type="colorScale" priority="656">
      <colorScale>
        <cfvo type="min"/>
        <cfvo type="percentile" val="50"/>
        <cfvo type="max"/>
        <color rgb="FFF8696B"/>
        <color rgb="FFFFEB84"/>
        <color rgb="FF63BE7B"/>
      </colorScale>
    </cfRule>
  </conditionalFormatting>
  <conditionalFormatting sqref="N36:N37 N34 N42 N40 N44:N47">
    <cfRule type="colorScale" priority="692">
      <colorScale>
        <cfvo type="min"/>
        <cfvo type="percentile" val="50"/>
        <cfvo type="max"/>
        <color rgb="FFF8696B"/>
        <color rgb="FFFFEB84"/>
        <color rgb="FF63BE7B"/>
      </colorScale>
    </cfRule>
  </conditionalFormatting>
  <conditionalFormatting sqref="N38">
    <cfRule type="colorScale" priority="574">
      <colorScale>
        <cfvo type="min"/>
        <cfvo type="percentile" val="50"/>
        <cfvo type="max"/>
        <color rgb="FFF8696B"/>
        <color rgb="FFFFEB84"/>
        <color rgb="FF63BE7B"/>
      </colorScale>
    </cfRule>
  </conditionalFormatting>
  <conditionalFormatting sqref="N39">
    <cfRule type="colorScale" priority="488">
      <colorScale>
        <cfvo type="min"/>
        <cfvo type="percentile" val="50"/>
        <cfvo type="max"/>
        <color rgb="FFF8696B"/>
        <color rgb="FFFFEB84"/>
        <color rgb="FF63BE7B"/>
      </colorScale>
    </cfRule>
  </conditionalFormatting>
  <conditionalFormatting sqref="N41">
    <cfRule type="colorScale" priority="651">
      <colorScale>
        <cfvo type="min"/>
        <cfvo type="percentile" val="50"/>
        <cfvo type="max"/>
        <color rgb="FFF8696B"/>
        <color rgb="FFFFEB84"/>
        <color rgb="FF63BE7B"/>
      </colorScale>
    </cfRule>
  </conditionalFormatting>
  <conditionalFormatting sqref="N43">
    <cfRule type="colorScale" priority="565">
      <colorScale>
        <cfvo type="min"/>
        <cfvo type="percentile" val="50"/>
        <cfvo type="max"/>
        <color rgb="FFF8696B"/>
        <color rgb="FFFFEB84"/>
        <color rgb="FF63BE7B"/>
      </colorScale>
    </cfRule>
  </conditionalFormatting>
  <conditionalFormatting sqref="N48">
    <cfRule type="colorScale" priority="601">
      <colorScale>
        <cfvo type="min"/>
        <cfvo type="percentile" val="50"/>
        <cfvo type="max"/>
        <color rgb="FFF8696B"/>
        <color rgb="FFFFEB84"/>
        <color rgb="FF63BE7B"/>
      </colorScale>
    </cfRule>
  </conditionalFormatting>
  <conditionalFormatting sqref="N49">
    <cfRule type="colorScale" priority="592">
      <colorScale>
        <cfvo type="min"/>
        <cfvo type="percentile" val="50"/>
        <cfvo type="max"/>
        <color rgb="FFF8696B"/>
        <color rgb="FFFFEB84"/>
        <color rgb="FF63BE7B"/>
      </colorScale>
    </cfRule>
  </conditionalFormatting>
  <conditionalFormatting sqref="N50">
    <cfRule type="colorScale" priority="583">
      <colorScale>
        <cfvo type="min"/>
        <cfvo type="percentile" val="50"/>
        <cfvo type="max"/>
        <color rgb="FFF8696B"/>
        <color rgb="FFFFEB84"/>
        <color rgb="FF63BE7B"/>
      </colorScale>
    </cfRule>
  </conditionalFormatting>
  <conditionalFormatting sqref="N51:N53">
    <cfRule type="colorScale" priority="637">
      <colorScale>
        <cfvo type="min"/>
        <cfvo type="percentile" val="50"/>
        <cfvo type="max"/>
        <color rgb="FFF8696B"/>
        <color rgb="FFFFEB84"/>
        <color rgb="FF63BE7B"/>
      </colorScale>
    </cfRule>
  </conditionalFormatting>
  <conditionalFormatting sqref="N54">
    <cfRule type="colorScale" priority="526">
      <colorScale>
        <cfvo type="min"/>
        <cfvo type="percentile" val="50"/>
        <cfvo type="max"/>
        <color rgb="FFF8696B"/>
        <color rgb="FFFFEB84"/>
        <color rgb="FF63BE7B"/>
      </colorScale>
    </cfRule>
  </conditionalFormatting>
  <conditionalFormatting sqref="N55:N56 N86 N58 N60:N75 N80">
    <cfRule type="colorScale" priority="6421">
      <colorScale>
        <cfvo type="min"/>
        <cfvo type="percentile" val="50"/>
        <cfvo type="max"/>
        <color rgb="FFF8696B"/>
        <color rgb="FFFFEB84"/>
        <color rgb="FF63BE7B"/>
      </colorScale>
    </cfRule>
  </conditionalFormatting>
  <conditionalFormatting sqref="N57">
    <cfRule type="colorScale" priority="556">
      <colorScale>
        <cfvo type="min"/>
        <cfvo type="percentile" val="50"/>
        <cfvo type="max"/>
        <color rgb="FFF8696B"/>
        <color rgb="FFFFEB84"/>
        <color rgb="FF63BE7B"/>
      </colorScale>
    </cfRule>
  </conditionalFormatting>
  <conditionalFormatting sqref="N59">
    <cfRule type="colorScale" priority="535">
      <colorScale>
        <cfvo type="min"/>
        <cfvo type="percentile" val="50"/>
        <cfvo type="max"/>
        <color rgb="FFF8696B"/>
        <color rgb="FFFFEB84"/>
        <color rgb="FF63BE7B"/>
      </colorScale>
    </cfRule>
  </conditionalFormatting>
  <conditionalFormatting sqref="N84">
    <cfRule type="colorScale" priority="479">
      <colorScale>
        <cfvo type="min"/>
        <cfvo type="percentile" val="50"/>
        <cfvo type="max"/>
        <color rgb="FFF8696B"/>
        <color rgb="FFFFEB84"/>
        <color rgb="FF63BE7B"/>
      </colorScale>
    </cfRule>
  </conditionalFormatting>
  <conditionalFormatting sqref="N85">
    <cfRule type="colorScale" priority="497">
      <colorScale>
        <cfvo type="min"/>
        <cfvo type="percentile" val="50"/>
        <cfvo type="max"/>
        <color rgb="FFF8696B"/>
        <color rgb="FFFFEB84"/>
        <color rgb="FF63BE7B"/>
      </colorScale>
    </cfRule>
  </conditionalFormatting>
  <conditionalFormatting sqref="N87">
    <cfRule type="colorScale" priority="470">
      <colorScale>
        <cfvo type="min"/>
        <cfvo type="percentile" val="50"/>
        <cfvo type="max"/>
        <color rgb="FFF8696B"/>
        <color rgb="FFFFEB84"/>
        <color rgb="FF63BE7B"/>
      </colorScale>
    </cfRule>
  </conditionalFormatting>
  <conditionalFormatting sqref="N93">
    <cfRule type="colorScale" priority="461">
      <colorScale>
        <cfvo type="min"/>
        <cfvo type="percentile" val="50"/>
        <cfvo type="max"/>
        <color rgb="FFF8696B"/>
        <color rgb="FFFFEB84"/>
        <color rgb="FF63BE7B"/>
      </colorScale>
    </cfRule>
  </conditionalFormatting>
  <conditionalFormatting sqref="N99">
    <cfRule type="colorScale" priority="452">
      <colorScale>
        <cfvo type="min"/>
        <cfvo type="percentile" val="50"/>
        <cfvo type="max"/>
        <color rgb="FFF8696B"/>
        <color rgb="FFFFEB84"/>
        <color rgb="FF63BE7B"/>
      </colorScale>
    </cfRule>
  </conditionalFormatting>
  <conditionalFormatting sqref="N103">
    <cfRule type="colorScale" priority="443">
      <colorScale>
        <cfvo type="min"/>
        <cfvo type="percentile" val="50"/>
        <cfvo type="max"/>
        <color rgb="FFF8696B"/>
        <color rgb="FFFFEB84"/>
        <color rgb="FF63BE7B"/>
      </colorScale>
    </cfRule>
  </conditionalFormatting>
  <conditionalFormatting sqref="N104">
    <cfRule type="colorScale" priority="425">
      <colorScale>
        <cfvo type="min"/>
        <cfvo type="percentile" val="50"/>
        <cfvo type="max"/>
        <color rgb="FFF8696B"/>
        <color rgb="FFFFEB84"/>
        <color rgb="FF63BE7B"/>
      </colorScale>
    </cfRule>
  </conditionalFormatting>
  <conditionalFormatting sqref="N105">
    <cfRule type="colorScale" priority="416">
      <colorScale>
        <cfvo type="min"/>
        <cfvo type="percentile" val="50"/>
        <cfvo type="max"/>
        <color rgb="FFF8696B"/>
        <color rgb="FFFFEB84"/>
        <color rgb="FF63BE7B"/>
      </colorScale>
    </cfRule>
  </conditionalFormatting>
  <conditionalFormatting sqref="N109">
    <cfRule type="colorScale" priority="367">
      <colorScale>
        <cfvo type="min"/>
        <cfvo type="percentile" val="50"/>
        <cfvo type="max"/>
        <color rgb="FFF8696B"/>
        <color rgb="FFFFEB84"/>
        <color rgb="FF63BE7B"/>
      </colorScale>
    </cfRule>
  </conditionalFormatting>
  <conditionalFormatting sqref="N110:N115 N81:N83 N76:N79 N94:N98 N88:N92 N100:N102 N106:N108 N117:N121 N124:N125 N127:N128 N132:N133 N136:N143 N145:N148 N157:N162 N152:N153 N165:N166 N150 N168 N184:N185 N187 N170:N171 N190:N191 N193:N202 N173:N180 N204:N226 N229:N231 N249:N254 N237 N239:N247 N256:N277 N233:N235 N279:N286 N288:N741">
    <cfRule type="colorScale" priority="25576">
      <colorScale>
        <cfvo type="min"/>
        <cfvo type="percentile" val="50"/>
        <cfvo type="max"/>
        <color rgb="FFF8696B"/>
        <color rgb="FFFFEB84"/>
        <color rgb="FF63BE7B"/>
      </colorScale>
    </cfRule>
  </conditionalFormatting>
  <conditionalFormatting sqref="N116">
    <cfRule type="colorScale" priority="403">
      <colorScale>
        <cfvo type="min"/>
        <cfvo type="percentile" val="50"/>
        <cfvo type="max"/>
        <color rgb="FFF8696B"/>
        <color rgb="FFFFEB84"/>
        <color rgb="FF63BE7B"/>
      </colorScale>
    </cfRule>
  </conditionalFormatting>
  <conditionalFormatting sqref="N122:N123">
    <cfRule type="colorScale" priority="394">
      <colorScale>
        <cfvo type="min"/>
        <cfvo type="percentile" val="50"/>
        <cfvo type="max"/>
        <color rgb="FFF8696B"/>
        <color rgb="FFFFEB84"/>
        <color rgb="FF63BE7B"/>
      </colorScale>
    </cfRule>
  </conditionalFormatting>
  <conditionalFormatting sqref="N126">
    <cfRule type="colorScale" priority="385">
      <colorScale>
        <cfvo type="min"/>
        <cfvo type="percentile" val="50"/>
        <cfvo type="max"/>
        <color rgb="FFF8696B"/>
        <color rgb="FFFFEB84"/>
        <color rgb="FF63BE7B"/>
      </colorScale>
    </cfRule>
  </conditionalFormatting>
  <conditionalFormatting sqref="N129">
    <cfRule type="colorScale" priority="376">
      <colorScale>
        <cfvo type="min"/>
        <cfvo type="percentile" val="50"/>
        <cfvo type="max"/>
        <color rgb="FFF8696B"/>
        <color rgb="FFFFEB84"/>
        <color rgb="FF63BE7B"/>
      </colorScale>
    </cfRule>
  </conditionalFormatting>
  <conditionalFormatting sqref="N130:N131">
    <cfRule type="colorScale" priority="358">
      <colorScale>
        <cfvo type="min"/>
        <cfvo type="percentile" val="50"/>
        <cfvo type="max"/>
        <color rgb="FFF8696B"/>
        <color rgb="FFFFEB84"/>
        <color rgb="FF63BE7B"/>
      </colorScale>
    </cfRule>
  </conditionalFormatting>
  <conditionalFormatting sqref="N134">
    <cfRule type="colorScale" priority="333">
      <colorScale>
        <cfvo type="min"/>
        <cfvo type="percentile" val="50"/>
        <cfvo type="max"/>
        <color rgb="FFF8696B"/>
        <color rgb="FFFFEB84"/>
        <color rgb="FF63BE7B"/>
      </colorScale>
    </cfRule>
  </conditionalFormatting>
  <conditionalFormatting sqref="N135">
    <cfRule type="colorScale" priority="257">
      <colorScale>
        <cfvo type="min"/>
        <cfvo type="percentile" val="50"/>
        <cfvo type="max"/>
        <color rgb="FFF8696B"/>
        <color rgb="FFFFEB84"/>
        <color rgb="FF63BE7B"/>
      </colorScale>
    </cfRule>
  </conditionalFormatting>
  <conditionalFormatting sqref="N144">
    <cfRule type="colorScale" priority="311">
      <colorScale>
        <cfvo type="min"/>
        <cfvo type="percentile" val="50"/>
        <cfvo type="max"/>
        <color rgb="FFF8696B"/>
        <color rgb="FFFFEB84"/>
        <color rgb="FF63BE7B"/>
      </colorScale>
    </cfRule>
  </conditionalFormatting>
  <conditionalFormatting sqref="N149">
    <cfRule type="colorScale" priority="221">
      <colorScale>
        <cfvo type="min"/>
        <cfvo type="percentile" val="50"/>
        <cfvo type="max"/>
        <color rgb="FFF8696B"/>
        <color rgb="FFFFEB84"/>
        <color rgb="FF63BE7B"/>
      </colorScale>
    </cfRule>
  </conditionalFormatting>
  <conditionalFormatting sqref="N151">
    <cfRule type="colorScale" priority="248">
      <colorScale>
        <cfvo type="min"/>
        <cfvo type="percentile" val="50"/>
        <cfvo type="max"/>
        <color rgb="FFF8696B"/>
        <color rgb="FFFFEB84"/>
        <color rgb="FF63BE7B"/>
      </colorScale>
    </cfRule>
  </conditionalFormatting>
  <conditionalFormatting sqref="N154">
    <cfRule type="colorScale" priority="212">
      <colorScale>
        <cfvo type="min"/>
        <cfvo type="percentile" val="50"/>
        <cfvo type="max"/>
        <color rgb="FFF8696B"/>
        <color rgb="FFFFEB84"/>
        <color rgb="FF63BE7B"/>
      </colorScale>
    </cfRule>
  </conditionalFormatting>
  <conditionalFormatting sqref="N155:N156">
    <cfRule type="colorScale" priority="302">
      <colorScale>
        <cfvo type="min"/>
        <cfvo type="percentile" val="50"/>
        <cfvo type="max"/>
        <color rgb="FFF8696B"/>
        <color rgb="FFFFEB84"/>
        <color rgb="FF63BE7B"/>
      </colorScale>
    </cfRule>
  </conditionalFormatting>
  <conditionalFormatting sqref="N163">
    <cfRule type="colorScale" priority="239">
      <colorScale>
        <cfvo type="min"/>
        <cfvo type="percentile" val="50"/>
        <cfvo type="max"/>
        <color rgb="FFF8696B"/>
        <color rgb="FFFFEB84"/>
        <color rgb="FF63BE7B"/>
      </colorScale>
    </cfRule>
  </conditionalFormatting>
  <conditionalFormatting sqref="N164">
    <cfRule type="colorScale" priority="230">
      <colorScale>
        <cfvo type="min"/>
        <cfvo type="percentile" val="50"/>
        <cfvo type="max"/>
        <color rgb="FFF8696B"/>
        <color rgb="FFFFEB84"/>
        <color rgb="FF63BE7B"/>
      </colorScale>
    </cfRule>
  </conditionalFormatting>
  <conditionalFormatting sqref="N167">
    <cfRule type="colorScale" priority="203">
      <colorScale>
        <cfvo type="min"/>
        <cfvo type="percentile" val="50"/>
        <cfvo type="max"/>
        <color rgb="FFF8696B"/>
        <color rgb="FFFFEB84"/>
        <color rgb="FF63BE7B"/>
      </colorScale>
    </cfRule>
  </conditionalFormatting>
  <conditionalFormatting sqref="N169">
    <cfRule type="colorScale" priority="151">
      <colorScale>
        <cfvo type="min"/>
        <cfvo type="percentile" val="50"/>
        <cfvo type="max"/>
        <color rgb="FFF8696B"/>
        <color rgb="FFFFEB84"/>
        <color rgb="FF63BE7B"/>
      </colorScale>
    </cfRule>
  </conditionalFormatting>
  <conditionalFormatting sqref="N172">
    <cfRule type="colorScale" priority="124">
      <colorScale>
        <cfvo type="min"/>
        <cfvo type="percentile" val="50"/>
        <cfvo type="max"/>
        <color rgb="FFF8696B"/>
        <color rgb="FFFFEB84"/>
        <color rgb="FF63BE7B"/>
      </colorScale>
    </cfRule>
  </conditionalFormatting>
  <conditionalFormatting sqref="N181">
    <cfRule type="colorScale" priority="187">
      <colorScale>
        <cfvo type="min"/>
        <cfvo type="percentile" val="50"/>
        <cfvo type="max"/>
        <color rgb="FFF8696B"/>
        <color rgb="FFFFEB84"/>
        <color rgb="FF63BE7B"/>
      </colorScale>
    </cfRule>
  </conditionalFormatting>
  <conditionalFormatting sqref="N182">
    <cfRule type="colorScale" priority="178">
      <colorScale>
        <cfvo type="min"/>
        <cfvo type="percentile" val="50"/>
        <cfvo type="max"/>
        <color rgb="FFF8696B"/>
        <color rgb="FFFFEB84"/>
        <color rgb="FF63BE7B"/>
      </colorScale>
    </cfRule>
  </conditionalFormatting>
  <conditionalFormatting sqref="N183">
    <cfRule type="colorScale" priority="169">
      <colorScale>
        <cfvo type="min"/>
        <cfvo type="percentile" val="50"/>
        <cfvo type="max"/>
        <color rgb="FFF8696B"/>
        <color rgb="FFFFEB84"/>
        <color rgb="FF63BE7B"/>
      </colorScale>
    </cfRule>
  </conditionalFormatting>
  <conditionalFormatting sqref="N186">
    <cfRule type="colorScale" priority="160">
      <colorScale>
        <cfvo type="min"/>
        <cfvo type="percentile" val="50"/>
        <cfvo type="max"/>
        <color rgb="FFF8696B"/>
        <color rgb="FFFFEB84"/>
        <color rgb="FF63BE7B"/>
      </colorScale>
    </cfRule>
  </conditionalFormatting>
  <conditionalFormatting sqref="N188:N189">
    <cfRule type="colorScale" priority="142">
      <colorScale>
        <cfvo type="min"/>
        <cfvo type="percentile" val="50"/>
        <cfvo type="max"/>
        <color rgb="FFF8696B"/>
        <color rgb="FFFFEB84"/>
        <color rgb="FF63BE7B"/>
      </colorScale>
    </cfRule>
  </conditionalFormatting>
  <conditionalFormatting sqref="N192">
    <cfRule type="colorScale" priority="133">
      <colorScale>
        <cfvo type="min"/>
        <cfvo type="percentile" val="50"/>
        <cfvo type="max"/>
        <color rgb="FFF8696B"/>
        <color rgb="FFFFEB84"/>
        <color rgb="FF63BE7B"/>
      </colorScale>
    </cfRule>
  </conditionalFormatting>
  <conditionalFormatting sqref="N203">
    <cfRule type="colorScale" priority="104">
      <colorScale>
        <cfvo type="min"/>
        <cfvo type="percentile" val="50"/>
        <cfvo type="max"/>
        <color rgb="FFF8696B"/>
        <color rgb="FFFFEB84"/>
        <color rgb="FF63BE7B"/>
      </colorScale>
    </cfRule>
  </conditionalFormatting>
  <conditionalFormatting sqref="N227:N228">
    <cfRule type="colorScale" priority="82">
      <colorScale>
        <cfvo type="min"/>
        <cfvo type="percentile" val="50"/>
        <cfvo type="max"/>
        <color rgb="FFF8696B"/>
        <color rgb="FFFFEB84"/>
        <color rgb="FF63BE7B"/>
      </colorScale>
    </cfRule>
  </conditionalFormatting>
  <conditionalFormatting sqref="N232">
    <cfRule type="colorScale" priority="34">
      <colorScale>
        <cfvo type="min"/>
        <cfvo type="percentile" val="50"/>
        <cfvo type="max"/>
        <color rgb="FFF8696B"/>
        <color rgb="FFFFEB84"/>
        <color rgb="FF63BE7B"/>
      </colorScale>
    </cfRule>
  </conditionalFormatting>
  <conditionalFormatting sqref="N236">
    <cfRule type="colorScale" priority="64">
      <colorScale>
        <cfvo type="min"/>
        <cfvo type="percentile" val="50"/>
        <cfvo type="max"/>
        <color rgb="FFF8696B"/>
        <color rgb="FFFFEB84"/>
        <color rgb="FF63BE7B"/>
      </colorScale>
    </cfRule>
  </conditionalFormatting>
  <conditionalFormatting sqref="N238">
    <cfRule type="colorScale" priority="55">
      <colorScale>
        <cfvo type="min"/>
        <cfvo type="percentile" val="50"/>
        <cfvo type="max"/>
        <color rgb="FFF8696B"/>
        <color rgb="FFFFEB84"/>
        <color rgb="FF63BE7B"/>
      </colorScale>
    </cfRule>
  </conditionalFormatting>
  <conditionalFormatting sqref="N248">
    <cfRule type="colorScale" priority="73">
      <colorScale>
        <cfvo type="min"/>
        <cfvo type="percentile" val="50"/>
        <cfvo type="max"/>
        <color rgb="FFF8696B"/>
        <color rgb="FFFFEB84"/>
        <color rgb="FF63BE7B"/>
      </colorScale>
    </cfRule>
  </conditionalFormatting>
  <conditionalFormatting sqref="N255">
    <cfRule type="colorScale" priority="46">
      <colorScale>
        <cfvo type="min"/>
        <cfvo type="percentile" val="50"/>
        <cfvo type="max"/>
        <color rgb="FFF8696B"/>
        <color rgb="FFFFEB84"/>
        <color rgb="FF63BE7B"/>
      </colorScale>
    </cfRule>
  </conditionalFormatting>
  <conditionalFormatting sqref="N278">
    <cfRule type="colorScale" priority="11">
      <colorScale>
        <cfvo type="min"/>
        <cfvo type="percentile" val="50"/>
        <cfvo type="max"/>
        <color rgb="FFF8696B"/>
        <color rgb="FFFFEB84"/>
        <color rgb="FF63BE7B"/>
      </colorScale>
    </cfRule>
  </conditionalFormatting>
  <conditionalFormatting sqref="N287">
    <cfRule type="colorScale" priority="29">
      <colorScale>
        <cfvo type="min"/>
        <cfvo type="percentile" val="50"/>
        <cfvo type="max"/>
        <color rgb="FFF8696B"/>
        <color rgb="FFFFEB84"/>
        <color rgb="FF63BE7B"/>
      </colorScale>
    </cfRule>
  </conditionalFormatting>
  <conditionalFormatting sqref="O3">
    <cfRule type="cellIs" dxfId="83" priority="850" operator="equal">
      <formula>"GW"</formula>
    </cfRule>
    <cfRule type="cellIs" dxfId="82" priority="851" operator="equal">
      <formula>"PT"</formula>
    </cfRule>
    <cfRule type="cellIs" dxfId="81" priority="852" operator="equal">
      <formula>"TRIM"</formula>
    </cfRule>
    <cfRule type="cellIs" dxfId="80" priority="853" operator="equal">
      <formula>"RI"</formula>
    </cfRule>
    <cfRule type="colorScale" priority="854">
      <colorScale>
        <cfvo type="min"/>
        <cfvo type="percentile" val="50"/>
        <cfvo type="max"/>
        <color rgb="FFF8696B"/>
        <color rgb="FFFFEB84"/>
        <color rgb="FF63BE7B"/>
      </colorScale>
    </cfRule>
  </conditionalFormatting>
  <conditionalFormatting sqref="P2:P5 P18 P13:P14 P20 P7:P10">
    <cfRule type="colorScale" priority="879">
      <colorScale>
        <cfvo type="min"/>
        <cfvo type="percentile" val="50"/>
        <cfvo type="max"/>
        <color rgb="FFF8696B"/>
        <color rgb="FFFFEB84"/>
        <color rgb="FF63BE7B"/>
      </colorScale>
    </cfRule>
  </conditionalFormatting>
  <conditionalFormatting sqref="P2:P6">
    <cfRule type="cellIs" dxfId="79" priority="753" operator="equal">
      <formula>"GW"</formula>
    </cfRule>
    <cfRule type="cellIs" dxfId="78" priority="754" operator="equal">
      <formula>"PT"</formula>
    </cfRule>
    <cfRule type="cellIs" dxfId="77" priority="755" operator="equal">
      <formula>"TRIM"</formula>
    </cfRule>
    <cfRule type="cellIs" dxfId="76" priority="756" operator="equal">
      <formula>"RI"</formula>
    </cfRule>
  </conditionalFormatting>
  <conditionalFormatting sqref="P6">
    <cfRule type="colorScale" priority="757">
      <colorScale>
        <cfvo type="min"/>
        <cfvo type="percentile" val="50"/>
        <cfvo type="max"/>
        <color rgb="FFF8696B"/>
        <color rgb="FFFFEB84"/>
        <color rgb="FF63BE7B"/>
      </colorScale>
    </cfRule>
  </conditionalFormatting>
  <conditionalFormatting sqref="P11">
    <cfRule type="colorScale" priority="777">
      <colorScale>
        <cfvo type="min"/>
        <cfvo type="percentile" val="50"/>
        <cfvo type="max"/>
        <color rgb="FFF8696B"/>
        <color rgb="FFFFEB84"/>
        <color rgb="FF63BE7B"/>
      </colorScale>
    </cfRule>
  </conditionalFormatting>
  <conditionalFormatting sqref="P12">
    <cfRule type="colorScale" priority="814">
      <colorScale>
        <cfvo type="min"/>
        <cfvo type="percentile" val="50"/>
        <cfvo type="max"/>
        <color rgb="FFF8696B"/>
        <color rgb="FFFFEB84"/>
        <color rgb="FF63BE7B"/>
      </colorScale>
    </cfRule>
  </conditionalFormatting>
  <conditionalFormatting sqref="P13:P14 P18 P20 I92:J92">
    <cfRule type="cellIs" dxfId="75" priority="921" operator="equal">
      <formula>"GW"</formula>
    </cfRule>
    <cfRule type="cellIs" dxfId="74" priority="922" operator="equal">
      <formula>"PT"</formula>
    </cfRule>
    <cfRule type="cellIs" dxfId="73" priority="923" operator="equal">
      <formula>"TRIM"</formula>
    </cfRule>
    <cfRule type="cellIs" dxfId="72" priority="924" operator="equal">
      <formula>"RI"</formula>
    </cfRule>
  </conditionalFormatting>
  <conditionalFormatting sqref="P15">
    <cfRule type="colorScale" priority="844">
      <colorScale>
        <cfvo type="min"/>
        <cfvo type="percentile" val="50"/>
        <cfvo type="max"/>
        <color rgb="FFF8696B"/>
        <color rgb="FFFFEB84"/>
        <color rgb="FF63BE7B"/>
      </colorScale>
    </cfRule>
  </conditionalFormatting>
  <conditionalFormatting sqref="P16">
    <cfRule type="colorScale" priority="804">
      <colorScale>
        <cfvo type="min"/>
        <cfvo type="percentile" val="50"/>
        <cfvo type="max"/>
        <color rgb="FFF8696B"/>
        <color rgb="FFFFEB84"/>
        <color rgb="FF63BE7B"/>
      </colorScale>
    </cfRule>
  </conditionalFormatting>
  <conditionalFormatting sqref="P17 R17 H17:J17">
    <cfRule type="cellIs" dxfId="71" priority="729" operator="equal">
      <formula>"GW"</formula>
    </cfRule>
    <cfRule type="cellIs" dxfId="70" priority="730" operator="equal">
      <formula>"PT"</formula>
    </cfRule>
    <cfRule type="cellIs" dxfId="69" priority="731" operator="equal">
      <formula>"TRIM"</formula>
    </cfRule>
    <cfRule type="cellIs" dxfId="68" priority="732" operator="equal">
      <formula>"RI"</formula>
    </cfRule>
  </conditionalFormatting>
  <conditionalFormatting sqref="P17">
    <cfRule type="colorScale" priority="727">
      <colorScale>
        <cfvo type="min"/>
        <cfvo type="percentile" val="50"/>
        <cfvo type="max"/>
        <color rgb="FFF8696B"/>
        <color rgb="FFFFEB84"/>
        <color rgb="FF63BE7B"/>
      </colorScale>
    </cfRule>
  </conditionalFormatting>
  <conditionalFormatting sqref="P19">
    <cfRule type="colorScale" priority="787">
      <colorScale>
        <cfvo type="min"/>
        <cfvo type="percentile" val="50"/>
        <cfvo type="max"/>
        <color rgb="FFF8696B"/>
        <color rgb="FFFFEB84"/>
        <color rgb="FF63BE7B"/>
      </colorScale>
    </cfRule>
  </conditionalFormatting>
  <conditionalFormatting sqref="P25">
    <cfRule type="colorScale" priority="717">
      <colorScale>
        <cfvo type="min"/>
        <cfvo type="percentile" val="50"/>
        <cfvo type="max"/>
        <color rgb="FFF8696B"/>
        <color rgb="FFFFEB84"/>
        <color rgb="FF63BE7B"/>
      </colorScale>
    </cfRule>
  </conditionalFormatting>
  <conditionalFormatting sqref="P27">
    <cfRule type="cellIs" dxfId="67" priority="703" operator="equal">
      <formula>"GW"</formula>
    </cfRule>
    <cfRule type="cellIs" dxfId="66" priority="704" operator="equal">
      <formula>"PT"</formula>
    </cfRule>
    <cfRule type="cellIs" dxfId="65" priority="705" operator="equal">
      <formula>"TRIM"</formula>
    </cfRule>
    <cfRule type="cellIs" dxfId="64" priority="706" operator="equal">
      <formula>"RI"</formula>
    </cfRule>
    <cfRule type="colorScale" priority="707">
      <colorScale>
        <cfvo type="min"/>
        <cfvo type="percentile" val="50"/>
        <cfvo type="max"/>
        <color rgb="FFF8696B"/>
        <color rgb="FFFFEB84"/>
        <color rgb="FF63BE7B"/>
      </colorScale>
    </cfRule>
  </conditionalFormatting>
  <conditionalFormatting sqref="P41">
    <cfRule type="cellIs" dxfId="63" priority="642" operator="equal">
      <formula>"GW"</formula>
    </cfRule>
    <cfRule type="cellIs" dxfId="62" priority="643" operator="equal">
      <formula>"PT"</formula>
    </cfRule>
    <cfRule type="cellIs" dxfId="61" priority="644" operator="equal">
      <formula>"TRIM"</formula>
    </cfRule>
    <cfRule type="cellIs" dxfId="60" priority="645" operator="equal">
      <formula>"RI"</formula>
    </cfRule>
    <cfRule type="colorScale" priority="646">
      <colorScale>
        <cfvo type="min"/>
        <cfvo type="percentile" val="50"/>
        <cfvo type="max"/>
        <color rgb="FFF8696B"/>
        <color rgb="FFFFEB84"/>
        <color rgb="FF63BE7B"/>
      </colorScale>
    </cfRule>
  </conditionalFormatting>
  <conditionalFormatting sqref="R2:R5 R18 R13:R14 R7:R10 R20:R21 R26:R31 R23">
    <cfRule type="colorScale" priority="4203">
      <colorScale>
        <cfvo type="min"/>
        <cfvo type="percentile" val="50"/>
        <cfvo type="max"/>
        <color rgb="FFF8696B"/>
        <color rgb="FFFFEB84"/>
        <color rgb="FF63BE7B"/>
      </colorScale>
    </cfRule>
  </conditionalFormatting>
  <conditionalFormatting sqref="R2:R6">
    <cfRule type="cellIs" dxfId="59" priority="748" operator="equal">
      <formula>"GW"</formula>
    </cfRule>
    <cfRule type="cellIs" dxfId="58" priority="749" operator="equal">
      <formula>"PT"</formula>
    </cfRule>
    <cfRule type="cellIs" dxfId="57" priority="750" operator="equal">
      <formula>"TRIM"</formula>
    </cfRule>
    <cfRule type="cellIs" dxfId="56" priority="751" operator="equal">
      <formula>"RI"</formula>
    </cfRule>
  </conditionalFormatting>
  <conditionalFormatting sqref="R6">
    <cfRule type="colorScale" priority="752">
      <colorScale>
        <cfvo type="min"/>
        <cfvo type="percentile" val="50"/>
        <cfvo type="max"/>
        <color rgb="FFF8696B"/>
        <color rgb="FFFFEB84"/>
        <color rgb="FF63BE7B"/>
      </colorScale>
    </cfRule>
  </conditionalFormatting>
  <conditionalFormatting sqref="R11">
    <cfRule type="colorScale" priority="776">
      <colorScale>
        <cfvo type="min"/>
        <cfvo type="percentile" val="50"/>
        <cfvo type="max"/>
        <color rgb="FFF8696B"/>
        <color rgb="FFFFEB84"/>
        <color rgb="FF63BE7B"/>
      </colorScale>
    </cfRule>
  </conditionalFormatting>
  <conditionalFormatting sqref="R12">
    <cfRule type="colorScale" priority="813">
      <colorScale>
        <cfvo type="min"/>
        <cfvo type="percentile" val="50"/>
        <cfvo type="max"/>
        <color rgb="FFF8696B"/>
        <color rgb="FFFFEB84"/>
        <color rgb="FF63BE7B"/>
      </colorScale>
    </cfRule>
  </conditionalFormatting>
  <conditionalFormatting sqref="R15">
    <cfRule type="colorScale" priority="839">
      <colorScale>
        <cfvo type="min"/>
        <cfvo type="percentile" val="50"/>
        <cfvo type="max"/>
        <color rgb="FFF8696B"/>
        <color rgb="FFFFEB84"/>
        <color rgb="FF63BE7B"/>
      </colorScale>
    </cfRule>
  </conditionalFormatting>
  <conditionalFormatting sqref="R16">
    <cfRule type="colorScale" priority="803">
      <colorScale>
        <cfvo type="min"/>
        <cfvo type="percentile" val="50"/>
        <cfvo type="max"/>
        <color rgb="FFF8696B"/>
        <color rgb="FFFFEB84"/>
        <color rgb="FF63BE7B"/>
      </colorScale>
    </cfRule>
  </conditionalFormatting>
  <conditionalFormatting sqref="R17">
    <cfRule type="colorScale" priority="726">
      <colorScale>
        <cfvo type="min"/>
        <cfvo type="percentile" val="50"/>
        <cfvo type="max"/>
        <color rgb="FFF8696B"/>
        <color rgb="FFFFEB84"/>
        <color rgb="FF63BE7B"/>
      </colorScale>
    </cfRule>
  </conditionalFormatting>
  <conditionalFormatting sqref="R19">
    <cfRule type="colorScale" priority="786">
      <colorScale>
        <cfvo type="min"/>
        <cfvo type="percentile" val="50"/>
        <cfvo type="max"/>
        <color rgb="FFF8696B"/>
        <color rgb="FFFFEB84"/>
        <color rgb="FF63BE7B"/>
      </colorScale>
    </cfRule>
  </conditionalFormatting>
  <conditionalFormatting sqref="R22">
    <cfRule type="colorScale" priority="620">
      <colorScale>
        <cfvo type="min"/>
        <cfvo type="percentile" val="50"/>
        <cfvo type="max"/>
        <color rgb="FFF8696B"/>
        <color rgb="FFFFEB84"/>
        <color rgb="FF63BE7B"/>
      </colorScale>
    </cfRule>
  </conditionalFormatting>
  <conditionalFormatting sqref="R24">
    <cfRule type="colorScale" priority="675">
      <colorScale>
        <cfvo type="min"/>
        <cfvo type="percentile" val="50"/>
        <cfvo type="max"/>
        <color rgb="FFF8696B"/>
        <color rgb="FFFFEB84"/>
        <color rgb="FF63BE7B"/>
      </colorScale>
    </cfRule>
  </conditionalFormatting>
  <conditionalFormatting sqref="R25">
    <cfRule type="colorScale" priority="716">
      <colorScale>
        <cfvo type="min"/>
        <cfvo type="percentile" val="50"/>
        <cfvo type="max"/>
        <color rgb="FFF8696B"/>
        <color rgb="FFFFEB84"/>
        <color rgb="FF63BE7B"/>
      </colorScale>
    </cfRule>
  </conditionalFormatting>
  <conditionalFormatting sqref="R33">
    <cfRule type="colorScale" priority="666">
      <colorScale>
        <cfvo type="min"/>
        <cfvo type="percentile" val="50"/>
        <cfvo type="max"/>
        <color rgb="FFF8696B"/>
        <color rgb="FFFFEB84"/>
        <color rgb="FF63BE7B"/>
      </colorScale>
    </cfRule>
  </conditionalFormatting>
  <conditionalFormatting sqref="R35">
    <cfRule type="colorScale" priority="657">
      <colorScale>
        <cfvo type="min"/>
        <cfvo type="percentile" val="50"/>
        <cfvo type="max"/>
        <color rgb="FFF8696B"/>
        <color rgb="FFFFEB84"/>
        <color rgb="FF63BE7B"/>
      </colorScale>
    </cfRule>
  </conditionalFormatting>
  <conditionalFormatting sqref="R36:R37 R34 R40:R42 R44:R47">
    <cfRule type="colorScale" priority="693">
      <colorScale>
        <cfvo type="min"/>
        <cfvo type="percentile" val="50"/>
        <cfvo type="max"/>
        <color rgb="FFF8696B"/>
        <color rgb="FFFFEB84"/>
        <color rgb="FF63BE7B"/>
      </colorScale>
    </cfRule>
  </conditionalFormatting>
  <conditionalFormatting sqref="R38">
    <cfRule type="colorScale" priority="575">
      <colorScale>
        <cfvo type="min"/>
        <cfvo type="percentile" val="50"/>
        <cfvo type="max"/>
        <color rgb="FFF8696B"/>
        <color rgb="FFFFEB84"/>
        <color rgb="FF63BE7B"/>
      </colorScale>
    </cfRule>
  </conditionalFormatting>
  <conditionalFormatting sqref="R39">
    <cfRule type="colorScale" priority="489">
      <colorScale>
        <cfvo type="min"/>
        <cfvo type="percentile" val="50"/>
        <cfvo type="max"/>
        <color rgb="FFF8696B"/>
        <color rgb="FFFFEB84"/>
        <color rgb="FF63BE7B"/>
      </colorScale>
    </cfRule>
  </conditionalFormatting>
  <conditionalFormatting sqref="R43">
    <cfRule type="colorScale" priority="566">
      <colorScale>
        <cfvo type="min"/>
        <cfvo type="percentile" val="50"/>
        <cfvo type="max"/>
        <color rgb="FFF8696B"/>
        <color rgb="FFFFEB84"/>
        <color rgb="FF63BE7B"/>
      </colorScale>
    </cfRule>
  </conditionalFormatting>
  <conditionalFormatting sqref="R48">
    <cfRule type="colorScale" priority="602">
      <colorScale>
        <cfvo type="min"/>
        <cfvo type="percentile" val="50"/>
        <cfvo type="max"/>
        <color rgb="FFF8696B"/>
        <color rgb="FFFFEB84"/>
        <color rgb="FF63BE7B"/>
      </colorScale>
    </cfRule>
  </conditionalFormatting>
  <conditionalFormatting sqref="R49">
    <cfRule type="colorScale" priority="593">
      <colorScale>
        <cfvo type="min"/>
        <cfvo type="percentile" val="50"/>
        <cfvo type="max"/>
        <color rgb="FFF8696B"/>
        <color rgb="FFFFEB84"/>
        <color rgb="FF63BE7B"/>
      </colorScale>
    </cfRule>
  </conditionalFormatting>
  <conditionalFormatting sqref="R50">
    <cfRule type="colorScale" priority="584">
      <colorScale>
        <cfvo type="min"/>
        <cfvo type="percentile" val="50"/>
        <cfvo type="max"/>
        <color rgb="FFF8696B"/>
        <color rgb="FFFFEB84"/>
        <color rgb="FF63BE7B"/>
      </colorScale>
    </cfRule>
  </conditionalFormatting>
  <conditionalFormatting sqref="R51:R53">
    <cfRule type="colorScale" priority="638">
      <colorScale>
        <cfvo type="min"/>
        <cfvo type="percentile" val="50"/>
        <cfvo type="max"/>
        <color rgb="FFF8696B"/>
        <color rgb="FFFFEB84"/>
        <color rgb="FF63BE7B"/>
      </colorScale>
    </cfRule>
  </conditionalFormatting>
  <conditionalFormatting sqref="R54">
    <cfRule type="colorScale" priority="527">
      <colorScale>
        <cfvo type="min"/>
        <cfvo type="percentile" val="50"/>
        <cfvo type="max"/>
        <color rgb="FFF8696B"/>
        <color rgb="FFFFEB84"/>
        <color rgb="FF63BE7B"/>
      </colorScale>
    </cfRule>
  </conditionalFormatting>
  <conditionalFormatting sqref="R55:R56 R86 R58 R60:R75 R80">
    <cfRule type="colorScale" priority="6426">
      <colorScale>
        <cfvo type="min"/>
        <cfvo type="percentile" val="50"/>
        <cfvo type="max"/>
        <color rgb="FFF8696B"/>
        <color rgb="FFFFEB84"/>
        <color rgb="FF63BE7B"/>
      </colorScale>
    </cfRule>
  </conditionalFormatting>
  <conditionalFormatting sqref="R57">
    <cfRule type="colorScale" priority="557">
      <colorScale>
        <cfvo type="min"/>
        <cfvo type="percentile" val="50"/>
        <cfvo type="max"/>
        <color rgb="FFF8696B"/>
        <color rgb="FFFFEB84"/>
        <color rgb="FF63BE7B"/>
      </colorScale>
    </cfRule>
  </conditionalFormatting>
  <conditionalFormatting sqref="R59">
    <cfRule type="colorScale" priority="536">
      <colorScale>
        <cfvo type="min"/>
        <cfvo type="percentile" val="50"/>
        <cfvo type="max"/>
        <color rgb="FFF8696B"/>
        <color rgb="FFFFEB84"/>
        <color rgb="FF63BE7B"/>
      </colorScale>
    </cfRule>
  </conditionalFormatting>
  <conditionalFormatting sqref="R67:R69">
    <cfRule type="colorScale" priority="551">
      <colorScale>
        <cfvo type="min"/>
        <cfvo type="percentile" val="50"/>
        <cfvo type="max"/>
        <color rgb="FFF8696B"/>
        <color rgb="FFFFEB84"/>
        <color rgb="FF63BE7B"/>
      </colorScale>
    </cfRule>
  </conditionalFormatting>
  <conditionalFormatting sqref="R84">
    <cfRule type="colorScale" priority="480">
      <colorScale>
        <cfvo type="min"/>
        <cfvo type="percentile" val="50"/>
        <cfvo type="max"/>
        <color rgb="FFF8696B"/>
        <color rgb="FFFFEB84"/>
        <color rgb="FF63BE7B"/>
      </colorScale>
    </cfRule>
  </conditionalFormatting>
  <conditionalFormatting sqref="R85">
    <cfRule type="colorScale" priority="498">
      <colorScale>
        <cfvo type="min"/>
        <cfvo type="percentile" val="50"/>
        <cfvo type="max"/>
        <color rgb="FFF8696B"/>
        <color rgb="FFFFEB84"/>
        <color rgb="FF63BE7B"/>
      </colorScale>
    </cfRule>
  </conditionalFormatting>
  <conditionalFormatting sqref="R87">
    <cfRule type="colorScale" priority="471">
      <colorScale>
        <cfvo type="min"/>
        <cfvo type="percentile" val="50"/>
        <cfvo type="max"/>
        <color rgb="FFF8696B"/>
        <color rgb="FFFFEB84"/>
        <color rgb="FF63BE7B"/>
      </colorScale>
    </cfRule>
  </conditionalFormatting>
  <conditionalFormatting sqref="R93">
    <cfRule type="colorScale" priority="462">
      <colorScale>
        <cfvo type="min"/>
        <cfvo type="percentile" val="50"/>
        <cfvo type="max"/>
        <color rgb="FFF8696B"/>
        <color rgb="FFFFEB84"/>
        <color rgb="FF63BE7B"/>
      </colorScale>
    </cfRule>
  </conditionalFormatting>
  <conditionalFormatting sqref="R99">
    <cfRule type="colorScale" priority="453">
      <colorScale>
        <cfvo type="min"/>
        <cfvo type="percentile" val="50"/>
        <cfvo type="max"/>
        <color rgb="FFF8696B"/>
        <color rgb="FFFFEB84"/>
        <color rgb="FF63BE7B"/>
      </colorScale>
    </cfRule>
  </conditionalFormatting>
  <conditionalFormatting sqref="R103">
    <cfRule type="colorScale" priority="444">
      <colorScale>
        <cfvo type="min"/>
        <cfvo type="percentile" val="50"/>
        <cfvo type="max"/>
        <color rgb="FFF8696B"/>
        <color rgb="FFFFEB84"/>
        <color rgb="FF63BE7B"/>
      </colorScale>
    </cfRule>
  </conditionalFormatting>
  <conditionalFormatting sqref="R104">
    <cfRule type="colorScale" priority="426">
      <colorScale>
        <cfvo type="min"/>
        <cfvo type="percentile" val="50"/>
        <cfvo type="max"/>
        <color rgb="FFF8696B"/>
        <color rgb="FFFFEB84"/>
        <color rgb="FF63BE7B"/>
      </colorScale>
    </cfRule>
  </conditionalFormatting>
  <conditionalFormatting sqref="R105">
    <cfRule type="colorScale" priority="417">
      <colorScale>
        <cfvo type="min"/>
        <cfvo type="percentile" val="50"/>
        <cfvo type="max"/>
        <color rgb="FFF8696B"/>
        <color rgb="FFFFEB84"/>
        <color rgb="FF63BE7B"/>
      </colorScale>
    </cfRule>
  </conditionalFormatting>
  <conditionalFormatting sqref="R109">
    <cfRule type="colorScale" priority="368">
      <colorScale>
        <cfvo type="min"/>
        <cfvo type="percentile" val="50"/>
        <cfvo type="max"/>
        <color rgb="FFF8696B"/>
        <color rgb="FFFFEB84"/>
        <color rgb="FF63BE7B"/>
      </colorScale>
    </cfRule>
  </conditionalFormatting>
  <conditionalFormatting sqref="R110:R115 R81:R83 R76:R79 R94:R98 R88:R92 R100:R102 R106:R108 R117:R121 R124:R125 R127:R128 R132:R133 R136:R143 R145:R148 R157:R162 R152:R153 R165:R166 R150 R168 R184:R185 R187 R170:R171 R190:R191 R193:R202 R173:R180 R204:R226 R229:R231 R249:R254 R237 R239:R247 R256:R277 R233:R235 R279:R286 R288:R741">
    <cfRule type="colorScale" priority="25594">
      <colorScale>
        <cfvo type="min"/>
        <cfvo type="percentile" val="50"/>
        <cfvo type="max"/>
        <color rgb="FFF8696B"/>
        <color rgb="FFFFEB84"/>
        <color rgb="FF63BE7B"/>
      </colorScale>
    </cfRule>
  </conditionalFormatting>
  <conditionalFormatting sqref="R116">
    <cfRule type="colorScale" priority="404">
      <colorScale>
        <cfvo type="min"/>
        <cfvo type="percentile" val="50"/>
        <cfvo type="max"/>
        <color rgb="FFF8696B"/>
        <color rgb="FFFFEB84"/>
        <color rgb="FF63BE7B"/>
      </colorScale>
    </cfRule>
  </conditionalFormatting>
  <conditionalFormatting sqref="R122:R123">
    <cfRule type="colorScale" priority="395">
      <colorScale>
        <cfvo type="min"/>
        <cfvo type="percentile" val="50"/>
        <cfvo type="max"/>
        <color rgb="FFF8696B"/>
        <color rgb="FFFFEB84"/>
        <color rgb="FF63BE7B"/>
      </colorScale>
    </cfRule>
  </conditionalFormatting>
  <conditionalFormatting sqref="R126">
    <cfRule type="colorScale" priority="386">
      <colorScale>
        <cfvo type="min"/>
        <cfvo type="percentile" val="50"/>
        <cfvo type="max"/>
        <color rgb="FFF8696B"/>
        <color rgb="FFFFEB84"/>
        <color rgb="FF63BE7B"/>
      </colorScale>
    </cfRule>
  </conditionalFormatting>
  <conditionalFormatting sqref="R129">
    <cfRule type="colorScale" priority="377">
      <colorScale>
        <cfvo type="min"/>
        <cfvo type="percentile" val="50"/>
        <cfvo type="max"/>
        <color rgb="FFF8696B"/>
        <color rgb="FFFFEB84"/>
        <color rgb="FF63BE7B"/>
      </colorScale>
    </cfRule>
  </conditionalFormatting>
  <conditionalFormatting sqref="R130:R131">
    <cfRule type="colorScale" priority="359">
      <colorScale>
        <cfvo type="min"/>
        <cfvo type="percentile" val="50"/>
        <cfvo type="max"/>
        <color rgb="FFF8696B"/>
        <color rgb="FFFFEB84"/>
        <color rgb="FF63BE7B"/>
      </colorScale>
    </cfRule>
  </conditionalFormatting>
  <conditionalFormatting sqref="R134">
    <cfRule type="colorScale" priority="334">
      <colorScale>
        <cfvo type="min"/>
        <cfvo type="percentile" val="50"/>
        <cfvo type="max"/>
        <color rgb="FFF8696B"/>
        <color rgb="FFFFEB84"/>
        <color rgb="FF63BE7B"/>
      </colorScale>
    </cfRule>
  </conditionalFormatting>
  <conditionalFormatting sqref="R135">
    <cfRule type="colorScale" priority="258">
      <colorScale>
        <cfvo type="min"/>
        <cfvo type="percentile" val="50"/>
        <cfvo type="max"/>
        <color rgb="FFF8696B"/>
        <color rgb="FFFFEB84"/>
        <color rgb="FF63BE7B"/>
      </colorScale>
    </cfRule>
  </conditionalFormatting>
  <conditionalFormatting sqref="R144">
    <cfRule type="colorScale" priority="312">
      <colorScale>
        <cfvo type="min"/>
        <cfvo type="percentile" val="50"/>
        <cfvo type="max"/>
        <color rgb="FFF8696B"/>
        <color rgb="FFFFEB84"/>
        <color rgb="FF63BE7B"/>
      </colorScale>
    </cfRule>
  </conditionalFormatting>
  <conditionalFormatting sqref="R149">
    <cfRule type="colorScale" priority="222">
      <colorScale>
        <cfvo type="min"/>
        <cfvo type="percentile" val="50"/>
        <cfvo type="max"/>
        <color rgb="FFF8696B"/>
        <color rgb="FFFFEB84"/>
        <color rgb="FF63BE7B"/>
      </colorScale>
    </cfRule>
  </conditionalFormatting>
  <conditionalFormatting sqref="R151">
    <cfRule type="colorScale" priority="249">
      <colorScale>
        <cfvo type="min"/>
        <cfvo type="percentile" val="50"/>
        <cfvo type="max"/>
        <color rgb="FFF8696B"/>
        <color rgb="FFFFEB84"/>
        <color rgb="FF63BE7B"/>
      </colorScale>
    </cfRule>
  </conditionalFormatting>
  <conditionalFormatting sqref="R154">
    <cfRule type="colorScale" priority="213">
      <colorScale>
        <cfvo type="min"/>
        <cfvo type="percentile" val="50"/>
        <cfvo type="max"/>
        <color rgb="FFF8696B"/>
        <color rgb="FFFFEB84"/>
        <color rgb="FF63BE7B"/>
      </colorScale>
    </cfRule>
  </conditionalFormatting>
  <conditionalFormatting sqref="R155:R156">
    <cfRule type="colorScale" priority="303">
      <colorScale>
        <cfvo type="min"/>
        <cfvo type="percentile" val="50"/>
        <cfvo type="max"/>
        <color rgb="FFF8696B"/>
        <color rgb="FFFFEB84"/>
        <color rgb="FF63BE7B"/>
      </colorScale>
    </cfRule>
  </conditionalFormatting>
  <conditionalFormatting sqref="R163">
    <cfRule type="colorScale" priority="240">
      <colorScale>
        <cfvo type="min"/>
        <cfvo type="percentile" val="50"/>
        <cfvo type="max"/>
        <color rgb="FFF8696B"/>
        <color rgb="FFFFEB84"/>
        <color rgb="FF63BE7B"/>
      </colorScale>
    </cfRule>
  </conditionalFormatting>
  <conditionalFormatting sqref="R164">
    <cfRule type="colorScale" priority="231">
      <colorScale>
        <cfvo type="min"/>
        <cfvo type="percentile" val="50"/>
        <cfvo type="max"/>
        <color rgb="FFF8696B"/>
        <color rgb="FFFFEB84"/>
        <color rgb="FF63BE7B"/>
      </colorScale>
    </cfRule>
  </conditionalFormatting>
  <conditionalFormatting sqref="R167">
    <cfRule type="colorScale" priority="204">
      <colorScale>
        <cfvo type="min"/>
        <cfvo type="percentile" val="50"/>
        <cfvo type="max"/>
        <color rgb="FFF8696B"/>
        <color rgb="FFFFEB84"/>
        <color rgb="FF63BE7B"/>
      </colorScale>
    </cfRule>
  </conditionalFormatting>
  <conditionalFormatting sqref="R169">
    <cfRule type="colorScale" priority="152">
      <colorScale>
        <cfvo type="min"/>
        <cfvo type="percentile" val="50"/>
        <cfvo type="max"/>
        <color rgb="FFF8696B"/>
        <color rgb="FFFFEB84"/>
        <color rgb="FF63BE7B"/>
      </colorScale>
    </cfRule>
  </conditionalFormatting>
  <conditionalFormatting sqref="R172">
    <cfRule type="colorScale" priority="125">
      <colorScale>
        <cfvo type="min"/>
        <cfvo type="percentile" val="50"/>
        <cfvo type="max"/>
        <color rgb="FFF8696B"/>
        <color rgb="FFFFEB84"/>
        <color rgb="FF63BE7B"/>
      </colorScale>
    </cfRule>
  </conditionalFormatting>
  <conditionalFormatting sqref="R181">
    <cfRule type="colorScale" priority="188">
      <colorScale>
        <cfvo type="min"/>
        <cfvo type="percentile" val="50"/>
        <cfvo type="max"/>
        <color rgb="FFF8696B"/>
        <color rgb="FFFFEB84"/>
        <color rgb="FF63BE7B"/>
      </colorScale>
    </cfRule>
  </conditionalFormatting>
  <conditionalFormatting sqref="R182">
    <cfRule type="colorScale" priority="179">
      <colorScale>
        <cfvo type="min"/>
        <cfvo type="percentile" val="50"/>
        <cfvo type="max"/>
        <color rgb="FFF8696B"/>
        <color rgb="FFFFEB84"/>
        <color rgb="FF63BE7B"/>
      </colorScale>
    </cfRule>
  </conditionalFormatting>
  <conditionalFormatting sqref="R183">
    <cfRule type="colorScale" priority="170">
      <colorScale>
        <cfvo type="min"/>
        <cfvo type="percentile" val="50"/>
        <cfvo type="max"/>
        <color rgb="FFF8696B"/>
        <color rgb="FFFFEB84"/>
        <color rgb="FF63BE7B"/>
      </colorScale>
    </cfRule>
  </conditionalFormatting>
  <conditionalFormatting sqref="R186">
    <cfRule type="colorScale" priority="161">
      <colorScale>
        <cfvo type="min"/>
        <cfvo type="percentile" val="50"/>
        <cfvo type="max"/>
        <color rgb="FFF8696B"/>
        <color rgb="FFFFEB84"/>
        <color rgb="FF63BE7B"/>
      </colorScale>
    </cfRule>
  </conditionalFormatting>
  <conditionalFormatting sqref="R188:R189">
    <cfRule type="colorScale" priority="143">
      <colorScale>
        <cfvo type="min"/>
        <cfvo type="percentile" val="50"/>
        <cfvo type="max"/>
        <color rgb="FFF8696B"/>
        <color rgb="FFFFEB84"/>
        <color rgb="FF63BE7B"/>
      </colorScale>
    </cfRule>
  </conditionalFormatting>
  <conditionalFormatting sqref="R192">
    <cfRule type="colorScale" priority="134">
      <colorScale>
        <cfvo type="min"/>
        <cfvo type="percentile" val="50"/>
        <cfvo type="max"/>
        <color rgb="FFF8696B"/>
        <color rgb="FFFFEB84"/>
        <color rgb="FF63BE7B"/>
      </colorScale>
    </cfRule>
  </conditionalFormatting>
  <conditionalFormatting sqref="R203">
    <cfRule type="colorScale" priority="105">
      <colorScale>
        <cfvo type="min"/>
        <cfvo type="percentile" val="50"/>
        <cfvo type="max"/>
        <color rgb="FFF8696B"/>
        <color rgb="FFFFEB84"/>
        <color rgb="FF63BE7B"/>
      </colorScale>
    </cfRule>
  </conditionalFormatting>
  <conditionalFormatting sqref="R227:R228">
    <cfRule type="colorScale" priority="83">
      <colorScale>
        <cfvo type="min"/>
        <cfvo type="percentile" val="50"/>
        <cfvo type="max"/>
        <color rgb="FFF8696B"/>
        <color rgb="FFFFEB84"/>
        <color rgb="FF63BE7B"/>
      </colorScale>
    </cfRule>
  </conditionalFormatting>
  <conditionalFormatting sqref="R232">
    <cfRule type="colorScale" priority="35">
      <colorScale>
        <cfvo type="min"/>
        <cfvo type="percentile" val="50"/>
        <cfvo type="max"/>
        <color rgb="FFF8696B"/>
        <color rgb="FFFFEB84"/>
        <color rgb="FF63BE7B"/>
      </colorScale>
    </cfRule>
  </conditionalFormatting>
  <conditionalFormatting sqref="R236">
    <cfRule type="colorScale" priority="65">
      <colorScale>
        <cfvo type="min"/>
        <cfvo type="percentile" val="50"/>
        <cfvo type="max"/>
        <color rgb="FFF8696B"/>
        <color rgb="FFFFEB84"/>
        <color rgb="FF63BE7B"/>
      </colorScale>
    </cfRule>
  </conditionalFormatting>
  <conditionalFormatting sqref="R238">
    <cfRule type="colorScale" priority="56">
      <colorScale>
        <cfvo type="min"/>
        <cfvo type="percentile" val="50"/>
        <cfvo type="max"/>
        <color rgb="FFF8696B"/>
        <color rgb="FFFFEB84"/>
        <color rgb="FF63BE7B"/>
      </colorScale>
    </cfRule>
  </conditionalFormatting>
  <conditionalFormatting sqref="R248">
    <cfRule type="colorScale" priority="74">
      <colorScale>
        <cfvo type="min"/>
        <cfvo type="percentile" val="50"/>
        <cfvo type="max"/>
        <color rgb="FFF8696B"/>
        <color rgb="FFFFEB84"/>
        <color rgb="FF63BE7B"/>
      </colorScale>
    </cfRule>
  </conditionalFormatting>
  <conditionalFormatting sqref="R255">
    <cfRule type="colorScale" priority="47">
      <colorScale>
        <cfvo type="min"/>
        <cfvo type="percentile" val="50"/>
        <cfvo type="max"/>
        <color rgb="FFF8696B"/>
        <color rgb="FFFFEB84"/>
        <color rgb="FF63BE7B"/>
      </colorScale>
    </cfRule>
  </conditionalFormatting>
  <conditionalFormatting sqref="R278">
    <cfRule type="colorScale" priority="12">
      <colorScale>
        <cfvo type="min"/>
        <cfvo type="percentile" val="50"/>
        <cfvo type="max"/>
        <color rgb="FFF8696B"/>
        <color rgb="FFFFEB84"/>
        <color rgb="FF63BE7B"/>
      </colorScale>
    </cfRule>
  </conditionalFormatting>
  <conditionalFormatting sqref="R287">
    <cfRule type="colorScale" priority="30">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DF28-D447-46E6-9D22-746AD2E8510F}">
  <dimension ref="A1:B1"/>
  <sheetViews>
    <sheetView workbookViewId="0"/>
  </sheetViews>
  <sheetFormatPr defaultRowHeight="15" x14ac:dyDescent="0.25"/>
  <sheetData>
    <row r="1" spans="1:2" ht="285" x14ac:dyDescent="0.25">
      <c r="A1" s="56" t="s">
        <v>970</v>
      </c>
      <c r="B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4C4F-F946-47F5-B746-642290955457}">
  <dimension ref="A1:J262"/>
  <sheetViews>
    <sheetView topLeftCell="A36" workbookViewId="0">
      <selection activeCell="C69" sqref="C69"/>
    </sheetView>
  </sheetViews>
  <sheetFormatPr defaultRowHeight="15" x14ac:dyDescent="0.25"/>
  <cols>
    <col min="1" max="1" width="28.7109375" customWidth="1"/>
    <col min="2" max="2" width="14.28515625" customWidth="1"/>
    <col min="3" max="3" width="16" customWidth="1"/>
    <col min="4" max="4" width="6.42578125" customWidth="1"/>
    <col min="5" max="5" width="21.140625" customWidth="1"/>
    <col min="6" max="6" width="20.5703125" customWidth="1"/>
    <col min="7" max="7" width="24.42578125" customWidth="1"/>
    <col min="8" max="8" width="16.140625" customWidth="1"/>
    <col min="9" max="9" width="18.42578125" customWidth="1"/>
    <col min="10" max="10" width="47.140625" customWidth="1"/>
  </cols>
  <sheetData>
    <row r="1" spans="1:10" s="5" customFormat="1" ht="28.5" customHeight="1" x14ac:dyDescent="0.25">
      <c r="A1" s="8" t="s">
        <v>32</v>
      </c>
      <c r="B1" s="8" t="s">
        <v>939</v>
      </c>
      <c r="C1" s="8" t="s">
        <v>0</v>
      </c>
      <c r="D1" s="8" t="s">
        <v>30</v>
      </c>
      <c r="E1" s="8" t="s">
        <v>192</v>
      </c>
      <c r="F1" s="8" t="s">
        <v>167</v>
      </c>
      <c r="G1" s="8" t="s">
        <v>940</v>
      </c>
      <c r="H1" s="8" t="s">
        <v>173</v>
      </c>
      <c r="I1" s="8" t="s">
        <v>174</v>
      </c>
      <c r="J1" s="8" t="s">
        <v>224</v>
      </c>
    </row>
    <row r="2" spans="1:10" s="5" customFormat="1" x14ac:dyDescent="0.25">
      <c r="A2" s="5" t="s">
        <v>941</v>
      </c>
      <c r="B2" s="13">
        <v>44876</v>
      </c>
      <c r="C2" s="5" t="s">
        <v>942</v>
      </c>
      <c r="D2" s="5">
        <v>400</v>
      </c>
      <c r="E2" s="10" t="s">
        <v>942</v>
      </c>
      <c r="F2" s="5" t="s">
        <v>385</v>
      </c>
      <c r="G2" s="5" t="s">
        <v>943</v>
      </c>
      <c r="H2" s="11"/>
      <c r="I2" s="55"/>
    </row>
    <row r="3" spans="1:10" x14ac:dyDescent="0.25">
      <c r="A3" s="1" t="s">
        <v>926</v>
      </c>
      <c r="B3" s="14">
        <v>44831</v>
      </c>
      <c r="C3" s="5" t="s">
        <v>925</v>
      </c>
      <c r="D3" s="5">
        <v>176</v>
      </c>
      <c r="E3" s="11" t="s">
        <v>954</v>
      </c>
      <c r="F3" s="5" t="s">
        <v>644</v>
      </c>
      <c r="G3" s="11" t="s">
        <v>955</v>
      </c>
      <c r="H3" s="11"/>
      <c r="I3" s="11"/>
      <c r="J3" s="5"/>
    </row>
    <row r="4" spans="1:10" x14ac:dyDescent="0.25">
      <c r="A4" s="5" t="s">
        <v>956</v>
      </c>
      <c r="B4" s="14">
        <v>44887</v>
      </c>
      <c r="C4" s="5" t="s">
        <v>957</v>
      </c>
      <c r="D4" s="5">
        <v>200</v>
      </c>
      <c r="E4" s="11" t="s">
        <v>958</v>
      </c>
      <c r="F4" s="5" t="s">
        <v>513</v>
      </c>
      <c r="G4" s="5" t="s">
        <v>959</v>
      </c>
      <c r="H4" s="11"/>
      <c r="I4" s="55"/>
      <c r="J4" s="5"/>
    </row>
    <row r="5" spans="1:10" x14ac:dyDescent="0.25">
      <c r="A5" s="5" t="s">
        <v>960</v>
      </c>
      <c r="B5" s="14">
        <v>44894</v>
      </c>
      <c r="C5" s="5" t="s">
        <v>5</v>
      </c>
      <c r="D5" s="5">
        <v>110</v>
      </c>
      <c r="E5" s="10" t="s">
        <v>961</v>
      </c>
      <c r="F5" s="5" t="s">
        <v>691</v>
      </c>
      <c r="G5" s="10" t="s">
        <v>962</v>
      </c>
      <c r="H5" s="11"/>
      <c r="I5" s="55"/>
      <c r="J5" s="5"/>
    </row>
    <row r="6" spans="1:10" x14ac:dyDescent="0.25">
      <c r="A6" s="5" t="s">
        <v>971</v>
      </c>
      <c r="B6" s="14">
        <v>44943</v>
      </c>
      <c r="C6" s="5" t="s">
        <v>3</v>
      </c>
      <c r="D6" s="5">
        <v>376</v>
      </c>
      <c r="E6" s="11" t="s">
        <v>3</v>
      </c>
      <c r="F6" s="5" t="s">
        <v>362</v>
      </c>
      <c r="G6" s="5" t="s">
        <v>972</v>
      </c>
      <c r="H6" s="11"/>
      <c r="I6" s="55"/>
      <c r="J6" s="5"/>
    </row>
    <row r="7" spans="1:10" x14ac:dyDescent="0.25">
      <c r="A7" s="5" t="s">
        <v>973</v>
      </c>
      <c r="B7" s="14">
        <v>44936</v>
      </c>
      <c r="C7" s="5" t="s">
        <v>4</v>
      </c>
      <c r="D7" s="5">
        <v>255</v>
      </c>
      <c r="E7" s="11" t="s">
        <v>974</v>
      </c>
      <c r="F7" s="5" t="s">
        <v>571</v>
      </c>
      <c r="G7" s="5" t="s">
        <v>975</v>
      </c>
      <c r="H7" s="11"/>
      <c r="I7" s="55"/>
      <c r="J7" s="5"/>
    </row>
    <row r="8" spans="1:10" x14ac:dyDescent="0.25">
      <c r="A8" s="5" t="s">
        <v>980</v>
      </c>
      <c r="B8" s="14">
        <v>44957</v>
      </c>
      <c r="C8" s="5" t="s">
        <v>5</v>
      </c>
      <c r="D8" s="5">
        <v>198</v>
      </c>
      <c r="E8" s="11"/>
      <c r="F8" s="5" t="s">
        <v>830</v>
      </c>
      <c r="G8" s="5" t="s">
        <v>975</v>
      </c>
      <c r="H8" s="11"/>
      <c r="I8" s="55"/>
      <c r="J8" s="5"/>
    </row>
    <row r="9" spans="1:10" x14ac:dyDescent="0.25">
      <c r="A9" s="5" t="s">
        <v>981</v>
      </c>
      <c r="B9" s="14">
        <v>44965</v>
      </c>
      <c r="C9" s="5" t="s">
        <v>4</v>
      </c>
      <c r="D9" s="5">
        <v>230</v>
      </c>
      <c r="E9" s="11" t="s">
        <v>982</v>
      </c>
      <c r="F9" s="5" t="s">
        <v>873</v>
      </c>
      <c r="G9" s="5" t="s">
        <v>983</v>
      </c>
      <c r="H9" s="11"/>
      <c r="I9" s="55"/>
      <c r="J9" s="5"/>
    </row>
    <row r="10" spans="1:10" x14ac:dyDescent="0.25">
      <c r="A10" s="5" t="s">
        <v>1025</v>
      </c>
      <c r="B10" s="14">
        <v>45071</v>
      </c>
      <c r="C10" s="5" t="s">
        <v>237</v>
      </c>
      <c r="D10" s="5">
        <v>400</v>
      </c>
      <c r="E10" s="11" t="s">
        <v>1027</v>
      </c>
      <c r="F10" s="5" t="s">
        <v>1026</v>
      </c>
      <c r="G10" s="10" t="s">
        <v>975</v>
      </c>
      <c r="H10" s="11"/>
      <c r="I10" s="55"/>
      <c r="J10" s="5"/>
    </row>
    <row r="11" spans="1:10" x14ac:dyDescent="0.25">
      <c r="A11" s="5" t="s">
        <v>1032</v>
      </c>
      <c r="B11" s="14">
        <v>45085</v>
      </c>
      <c r="C11" s="5" t="s">
        <v>1033</v>
      </c>
      <c r="D11" s="5">
        <v>206</v>
      </c>
      <c r="E11" s="11" t="s">
        <v>1034</v>
      </c>
      <c r="F11" s="5" t="s">
        <v>691</v>
      </c>
      <c r="G11" s="10" t="s">
        <v>975</v>
      </c>
      <c r="H11" s="11"/>
      <c r="I11" s="55"/>
      <c r="J11" s="5"/>
    </row>
    <row r="12" spans="1:10" x14ac:dyDescent="0.25">
      <c r="A12" s="5" t="s">
        <v>1035</v>
      </c>
      <c r="B12" s="14">
        <v>45100</v>
      </c>
      <c r="C12" s="5" t="s">
        <v>1033</v>
      </c>
      <c r="D12" s="5">
        <v>170</v>
      </c>
      <c r="E12" s="11" t="s">
        <v>1036</v>
      </c>
      <c r="F12" s="5" t="s">
        <v>1037</v>
      </c>
      <c r="G12" s="10" t="s">
        <v>1038</v>
      </c>
      <c r="H12" s="11"/>
      <c r="I12" s="55"/>
      <c r="J12" s="5"/>
    </row>
    <row r="13" spans="1:10" x14ac:dyDescent="0.25">
      <c r="A13" s="5" t="s">
        <v>1047</v>
      </c>
      <c r="B13" s="14">
        <v>45121</v>
      </c>
      <c r="C13" s="5" t="s">
        <v>1043</v>
      </c>
      <c r="D13" s="5">
        <v>75</v>
      </c>
      <c r="E13" s="11" t="s">
        <v>1048</v>
      </c>
      <c r="F13" s="5" t="s">
        <v>240</v>
      </c>
      <c r="G13" s="10" t="s">
        <v>1049</v>
      </c>
      <c r="H13" s="11"/>
      <c r="I13" s="55"/>
      <c r="J13" s="5"/>
    </row>
    <row r="14" spans="1:10" x14ac:dyDescent="0.25">
      <c r="A14" s="5" t="s">
        <v>1042</v>
      </c>
      <c r="B14" s="14">
        <v>45120</v>
      </c>
      <c r="C14" s="5" t="s">
        <v>689</v>
      </c>
      <c r="D14" s="5">
        <v>569</v>
      </c>
      <c r="E14" s="11" t="s">
        <v>689</v>
      </c>
      <c r="F14" s="5" t="s">
        <v>1050</v>
      </c>
      <c r="G14" s="5" t="s">
        <v>1051</v>
      </c>
      <c r="H14" s="11"/>
      <c r="I14" s="55"/>
      <c r="J14" s="5"/>
    </row>
    <row r="15" spans="1:10" x14ac:dyDescent="0.25">
      <c r="A15" s="5" t="s">
        <v>1052</v>
      </c>
      <c r="B15" s="14">
        <v>45133</v>
      </c>
      <c r="C15" s="5" t="s">
        <v>1190</v>
      </c>
      <c r="D15" s="5">
        <v>256</v>
      </c>
      <c r="E15" s="11" t="s">
        <v>1053</v>
      </c>
      <c r="F15" s="5" t="s">
        <v>513</v>
      </c>
      <c r="G15" s="5" t="s">
        <v>1191</v>
      </c>
      <c r="H15" s="11"/>
      <c r="I15" s="55"/>
      <c r="J15" s="5"/>
    </row>
    <row r="16" spans="1:10" x14ac:dyDescent="0.25">
      <c r="A16" s="5" t="s">
        <v>1059</v>
      </c>
      <c r="B16" s="14">
        <v>45139</v>
      </c>
      <c r="C16" s="5" t="s">
        <v>414</v>
      </c>
      <c r="D16" s="5">
        <v>372</v>
      </c>
      <c r="E16" s="11" t="s">
        <v>414</v>
      </c>
      <c r="F16" s="5" t="s">
        <v>263</v>
      </c>
      <c r="G16" s="10" t="s">
        <v>1063</v>
      </c>
      <c r="H16" s="11"/>
      <c r="I16" s="55"/>
      <c r="J16" s="5"/>
    </row>
    <row r="17" spans="1:10" x14ac:dyDescent="0.25">
      <c r="A17" s="5" t="s">
        <v>1055</v>
      </c>
      <c r="B17" s="14">
        <v>45135</v>
      </c>
      <c r="C17" s="5" t="s">
        <v>230</v>
      </c>
      <c r="D17" s="5">
        <v>274</v>
      </c>
      <c r="E17" s="11" t="s">
        <v>1065</v>
      </c>
      <c r="F17" s="5" t="s">
        <v>362</v>
      </c>
      <c r="G17" s="10" t="s">
        <v>1066</v>
      </c>
      <c r="H17" s="11"/>
      <c r="I17" s="55"/>
      <c r="J17" s="5"/>
    </row>
    <row r="18" spans="1:10" x14ac:dyDescent="0.25">
      <c r="A18" s="5" t="s">
        <v>1054</v>
      </c>
      <c r="B18" s="14">
        <v>45134</v>
      </c>
      <c r="C18" s="5" t="s">
        <v>444</v>
      </c>
      <c r="D18" s="5">
        <v>216</v>
      </c>
      <c r="E18" s="11" t="s">
        <v>444</v>
      </c>
      <c r="F18" s="5" t="s">
        <v>1060</v>
      </c>
      <c r="G18" s="10" t="s">
        <v>975</v>
      </c>
      <c r="H18" s="11"/>
      <c r="I18" s="55"/>
      <c r="J18" s="5"/>
    </row>
    <row r="19" spans="1:10" x14ac:dyDescent="0.25">
      <c r="A19" s="5" t="s">
        <v>1075</v>
      </c>
      <c r="B19" s="14">
        <v>45163</v>
      </c>
      <c r="C19" s="5" t="s">
        <v>230</v>
      </c>
      <c r="D19" s="5">
        <v>343</v>
      </c>
      <c r="E19" s="11" t="s">
        <v>639</v>
      </c>
      <c r="F19" s="5" t="s">
        <v>447</v>
      </c>
      <c r="G19" s="10" t="s">
        <v>1076</v>
      </c>
      <c r="H19" s="11"/>
      <c r="I19" s="55"/>
      <c r="J19" s="5"/>
    </row>
    <row r="20" spans="1:10" x14ac:dyDescent="0.25">
      <c r="A20" s="5" t="s">
        <v>1083</v>
      </c>
      <c r="B20" s="14">
        <v>45187</v>
      </c>
      <c r="C20" s="5" t="s">
        <v>1082</v>
      </c>
      <c r="D20" s="5">
        <v>272</v>
      </c>
      <c r="E20" s="11" t="s">
        <v>1085</v>
      </c>
      <c r="F20" s="5" t="s">
        <v>1084</v>
      </c>
      <c r="G20" s="5" t="s">
        <v>1086</v>
      </c>
      <c r="H20" s="11"/>
      <c r="I20" s="55"/>
      <c r="J20" s="5"/>
    </row>
    <row r="21" spans="1:10" x14ac:dyDescent="0.25">
      <c r="A21" s="5" t="s">
        <v>1101</v>
      </c>
      <c r="B21" s="14">
        <v>45211</v>
      </c>
      <c r="C21" s="5" t="s">
        <v>942</v>
      </c>
      <c r="D21" s="5">
        <v>399</v>
      </c>
      <c r="E21" s="10" t="s">
        <v>942</v>
      </c>
      <c r="F21" s="5" t="s">
        <v>385</v>
      </c>
      <c r="G21" s="5" t="s">
        <v>1103</v>
      </c>
      <c r="H21" s="11"/>
      <c r="I21" s="55"/>
      <c r="J21" s="5"/>
    </row>
    <row r="22" spans="1:10" x14ac:dyDescent="0.25">
      <c r="A22" s="5" t="s">
        <v>1102</v>
      </c>
      <c r="B22" s="14">
        <v>45215</v>
      </c>
      <c r="C22" s="5" t="s">
        <v>4</v>
      </c>
      <c r="D22" s="5">
        <v>390</v>
      </c>
      <c r="E22" s="11" t="s">
        <v>1104</v>
      </c>
      <c r="F22" s="5" t="s">
        <v>223</v>
      </c>
      <c r="G22" s="5" t="s">
        <v>1106</v>
      </c>
      <c r="H22" s="11"/>
      <c r="I22" s="55"/>
      <c r="J22" s="5"/>
    </row>
    <row r="23" spans="1:10" x14ac:dyDescent="0.25">
      <c r="A23" s="5" t="s">
        <v>1119</v>
      </c>
      <c r="B23" s="14">
        <v>45243</v>
      </c>
      <c r="C23" s="5" t="s">
        <v>4</v>
      </c>
      <c r="D23" s="5">
        <v>194</v>
      </c>
      <c r="E23" s="5" t="s">
        <v>1123</v>
      </c>
      <c r="F23" s="13" t="s">
        <v>480</v>
      </c>
      <c r="G23" s="43" t="s">
        <v>1124</v>
      </c>
      <c r="H23" s="5"/>
      <c r="I23" s="5"/>
      <c r="J23" s="5"/>
    </row>
    <row r="24" spans="1:10" x14ac:dyDescent="0.25">
      <c r="A24" s="5" t="s">
        <v>1136</v>
      </c>
      <c r="B24" s="14">
        <v>45266</v>
      </c>
      <c r="C24" s="5" t="s">
        <v>1138</v>
      </c>
      <c r="D24" s="5">
        <v>252</v>
      </c>
      <c r="E24" s="11" t="s">
        <v>639</v>
      </c>
      <c r="F24" s="5" t="s">
        <v>422</v>
      </c>
      <c r="G24" s="5" t="s">
        <v>1139</v>
      </c>
      <c r="H24" s="11"/>
      <c r="I24" s="55"/>
      <c r="J24" s="5"/>
    </row>
    <row r="25" spans="1:10" x14ac:dyDescent="0.25">
      <c r="A25" s="5" t="s">
        <v>1137</v>
      </c>
      <c r="B25" s="14">
        <v>45266</v>
      </c>
      <c r="C25" s="5" t="s">
        <v>1138</v>
      </c>
      <c r="D25" s="5">
        <v>310</v>
      </c>
      <c r="E25" s="11" t="s">
        <v>639</v>
      </c>
      <c r="F25" s="5" t="s">
        <v>422</v>
      </c>
      <c r="G25" s="10" t="s">
        <v>1139</v>
      </c>
      <c r="H25" s="11"/>
      <c r="I25" s="55"/>
      <c r="J25" s="5"/>
    </row>
    <row r="26" spans="1:10" x14ac:dyDescent="0.25">
      <c r="A26" s="5" t="s">
        <v>1147</v>
      </c>
      <c r="B26" s="14">
        <v>45271</v>
      </c>
      <c r="C26" s="5" t="s">
        <v>527</v>
      </c>
      <c r="D26" s="5">
        <v>139</v>
      </c>
      <c r="E26" s="11" t="s">
        <v>950</v>
      </c>
      <c r="F26" s="5" t="s">
        <v>240</v>
      </c>
      <c r="G26" s="5" t="s">
        <v>1148</v>
      </c>
      <c r="H26" s="11"/>
      <c r="I26" s="55"/>
      <c r="J26" s="5"/>
    </row>
    <row r="27" spans="1:10" x14ac:dyDescent="0.25">
      <c r="A27" s="5" t="s">
        <v>1144</v>
      </c>
      <c r="B27" s="14">
        <v>45271</v>
      </c>
      <c r="C27" s="5" t="s">
        <v>1157</v>
      </c>
      <c r="D27" s="5">
        <v>50</v>
      </c>
      <c r="E27" s="11" t="s">
        <v>1152</v>
      </c>
      <c r="F27" s="5" t="s">
        <v>1060</v>
      </c>
      <c r="G27" s="5" t="s">
        <v>1153</v>
      </c>
      <c r="H27" s="11"/>
      <c r="I27" s="55"/>
      <c r="J27" s="5"/>
    </row>
    <row r="28" spans="1:10" x14ac:dyDescent="0.25">
      <c r="A28" s="5" t="s">
        <v>1163</v>
      </c>
      <c r="B28" s="14">
        <v>45310</v>
      </c>
      <c r="C28" s="5" t="s">
        <v>5</v>
      </c>
      <c r="D28" s="5">
        <v>486</v>
      </c>
      <c r="E28" s="11" t="s">
        <v>1176</v>
      </c>
      <c r="F28" s="5" t="s">
        <v>223</v>
      </c>
      <c r="G28" s="6" t="s">
        <v>1177</v>
      </c>
      <c r="H28" s="11"/>
      <c r="I28" s="55"/>
      <c r="J28" s="5"/>
    </row>
    <row r="29" spans="1:10" x14ac:dyDescent="0.25">
      <c r="A29" s="5" t="s">
        <v>1179</v>
      </c>
      <c r="B29" s="14">
        <v>45355</v>
      </c>
      <c r="C29" s="5" t="s">
        <v>1180</v>
      </c>
      <c r="D29" s="5">
        <v>70</v>
      </c>
      <c r="E29" s="11" t="s">
        <v>1181</v>
      </c>
      <c r="F29" s="5" t="s">
        <v>1173</v>
      </c>
      <c r="G29" s="5" t="s">
        <v>1182</v>
      </c>
      <c r="H29" s="11"/>
      <c r="I29" s="55"/>
      <c r="J29" s="5"/>
    </row>
    <row r="30" spans="1:10" x14ac:dyDescent="0.25">
      <c r="A30" s="5" t="s">
        <v>1178</v>
      </c>
      <c r="B30" s="14">
        <v>45349</v>
      </c>
      <c r="C30" s="5" t="s">
        <v>1094</v>
      </c>
      <c r="D30" s="5">
        <v>130</v>
      </c>
      <c r="E30" s="11" t="s">
        <v>1183</v>
      </c>
      <c r="F30" s="5" t="s">
        <v>1173</v>
      </c>
      <c r="G30" s="5" t="s">
        <v>1184</v>
      </c>
      <c r="H30" s="11"/>
      <c r="I30" s="55"/>
      <c r="J30" s="5"/>
    </row>
    <row r="31" spans="1:10" x14ac:dyDescent="0.25">
      <c r="A31" s="5" t="s">
        <v>1185</v>
      </c>
      <c r="B31" s="14">
        <v>45356</v>
      </c>
      <c r="C31" s="5" t="s">
        <v>3</v>
      </c>
      <c r="D31" s="5">
        <v>166</v>
      </c>
      <c r="E31" s="11" t="s">
        <v>3</v>
      </c>
      <c r="F31" s="5" t="s">
        <v>362</v>
      </c>
      <c r="G31" s="5" t="s">
        <v>1186</v>
      </c>
      <c r="H31" s="11"/>
      <c r="I31" s="55"/>
      <c r="J31" s="5"/>
    </row>
    <row r="32" spans="1:10" x14ac:dyDescent="0.25">
      <c r="A32" s="5" t="s">
        <v>1175</v>
      </c>
      <c r="B32" s="14">
        <v>45351</v>
      </c>
      <c r="C32" s="5" t="s">
        <v>1187</v>
      </c>
      <c r="D32" s="5">
        <v>146</v>
      </c>
      <c r="E32" s="11" t="s">
        <v>1188</v>
      </c>
      <c r="F32" s="5" t="s">
        <v>332</v>
      </c>
      <c r="G32" s="5" t="s">
        <v>1224</v>
      </c>
      <c r="H32" s="55"/>
      <c r="I32" s="55"/>
      <c r="J32" s="5"/>
    </row>
    <row r="33" spans="1:10" x14ac:dyDescent="0.25">
      <c r="A33" s="5" t="s">
        <v>1195</v>
      </c>
      <c r="B33" s="14">
        <v>45373</v>
      </c>
      <c r="C33" s="5" t="s">
        <v>1094</v>
      </c>
      <c r="D33" s="5">
        <v>230</v>
      </c>
      <c r="E33" s="11" t="s">
        <v>1197</v>
      </c>
      <c r="F33" s="5" t="s">
        <v>1198</v>
      </c>
      <c r="G33" s="5" t="s">
        <v>1199</v>
      </c>
      <c r="H33" s="11"/>
      <c r="I33" s="55"/>
      <c r="J33" s="5"/>
    </row>
    <row r="34" spans="1:10" x14ac:dyDescent="0.25">
      <c r="A34" s="5" t="s">
        <v>1196</v>
      </c>
      <c r="B34" s="14">
        <v>45377</v>
      </c>
      <c r="C34" s="5" t="s">
        <v>813</v>
      </c>
      <c r="D34" s="5">
        <v>36</v>
      </c>
      <c r="E34" s="11" t="s">
        <v>1205</v>
      </c>
      <c r="F34" s="5" t="s">
        <v>1026</v>
      </c>
      <c r="G34" s="6" t="s">
        <v>1206</v>
      </c>
      <c r="H34" s="11"/>
      <c r="I34" s="55"/>
      <c r="J34" s="5"/>
    </row>
    <row r="35" spans="1:10" x14ac:dyDescent="0.25">
      <c r="A35" s="5" t="s">
        <v>960</v>
      </c>
      <c r="B35" s="14">
        <v>45327</v>
      </c>
      <c r="C35" s="5" t="s">
        <v>5</v>
      </c>
      <c r="D35" s="5">
        <v>110</v>
      </c>
      <c r="E35" s="11" t="s">
        <v>961</v>
      </c>
      <c r="F35" s="5" t="s">
        <v>691</v>
      </c>
      <c r="G35" s="6" t="s">
        <v>1207</v>
      </c>
      <c r="H35" s="11"/>
      <c r="I35" s="55"/>
      <c r="J35" s="5"/>
    </row>
    <row r="36" spans="1:10" x14ac:dyDescent="0.25">
      <c r="A36" s="5" t="s">
        <v>927</v>
      </c>
      <c r="B36" s="14">
        <v>45392</v>
      </c>
      <c r="C36" s="5" t="s">
        <v>1216</v>
      </c>
      <c r="D36" s="5">
        <v>81</v>
      </c>
      <c r="E36" s="11" t="s">
        <v>1217</v>
      </c>
      <c r="F36" s="5" t="s">
        <v>202</v>
      </c>
      <c r="G36" s="6" t="s">
        <v>1218</v>
      </c>
      <c r="H36" s="11"/>
      <c r="I36" s="55"/>
      <c r="J36" s="5"/>
    </row>
    <row r="37" spans="1:10" x14ac:dyDescent="0.25">
      <c r="A37" s="5" t="s">
        <v>1214</v>
      </c>
      <c r="B37" s="14">
        <v>45385</v>
      </c>
      <c r="C37" s="5" t="s">
        <v>1151</v>
      </c>
      <c r="D37" s="5">
        <v>61</v>
      </c>
      <c r="E37" s="11" t="s">
        <v>1219</v>
      </c>
      <c r="F37" s="5" t="s">
        <v>240</v>
      </c>
      <c r="G37" s="6" t="s">
        <v>1220</v>
      </c>
      <c r="H37" s="11"/>
      <c r="I37" s="55"/>
      <c r="J37" s="5"/>
    </row>
    <row r="38" spans="1:10" x14ac:dyDescent="0.25">
      <c r="A38" s="5" t="s">
        <v>1226</v>
      </c>
      <c r="B38" s="14">
        <v>45401</v>
      </c>
      <c r="C38" s="5" t="s">
        <v>1227</v>
      </c>
      <c r="D38" s="5">
        <v>71</v>
      </c>
      <c r="E38" s="11" t="s">
        <v>309</v>
      </c>
      <c r="F38" s="5" t="s">
        <v>1228</v>
      </c>
      <c r="G38" s="5" t="s">
        <v>1229</v>
      </c>
      <c r="H38" s="11"/>
      <c r="I38" s="55"/>
      <c r="J38" s="5"/>
    </row>
    <row r="39" spans="1:10" x14ac:dyDescent="0.25">
      <c r="A39" s="5" t="s">
        <v>1240</v>
      </c>
      <c r="B39" s="14">
        <v>45414</v>
      </c>
      <c r="C39" s="5" t="s">
        <v>1094</v>
      </c>
      <c r="D39" s="5">
        <v>92</v>
      </c>
      <c r="E39" s="11" t="s">
        <v>1241</v>
      </c>
      <c r="F39" s="5" t="s">
        <v>309</v>
      </c>
      <c r="G39" s="5" t="s">
        <v>1229</v>
      </c>
      <c r="H39" s="11"/>
      <c r="I39" s="55"/>
      <c r="J39" s="5"/>
    </row>
    <row r="40" spans="1:10" x14ac:dyDescent="0.25">
      <c r="A40" s="5" t="s">
        <v>1303</v>
      </c>
      <c r="B40" s="14">
        <v>45401</v>
      </c>
      <c r="C40" s="5" t="s">
        <v>1304</v>
      </c>
      <c r="D40" s="5">
        <v>98</v>
      </c>
      <c r="E40" s="11" t="s">
        <v>279</v>
      </c>
      <c r="F40" s="5" t="s">
        <v>644</v>
      </c>
      <c r="G40" s="6" t="s">
        <v>1305</v>
      </c>
      <c r="H40" s="11"/>
      <c r="I40" s="55"/>
      <c r="J40" s="5"/>
    </row>
    <row r="41" spans="1:10" x14ac:dyDescent="0.25">
      <c r="A41" s="5" t="s">
        <v>1306</v>
      </c>
      <c r="B41" s="14">
        <v>45394</v>
      </c>
      <c r="C41" s="5" t="s">
        <v>1221</v>
      </c>
      <c r="D41" s="5">
        <v>516</v>
      </c>
      <c r="E41" s="11" t="s">
        <v>1221</v>
      </c>
      <c r="F41" s="5" t="s">
        <v>1222</v>
      </c>
      <c r="G41" s="6" t="s">
        <v>1307</v>
      </c>
      <c r="H41" s="11"/>
      <c r="I41" s="55"/>
      <c r="J41" s="5"/>
    </row>
    <row r="42" spans="1:10" x14ac:dyDescent="0.25">
      <c r="A42" s="5" t="s">
        <v>1308</v>
      </c>
      <c r="B42" s="14">
        <v>45425</v>
      </c>
      <c r="C42" s="5" t="s">
        <v>414</v>
      </c>
      <c r="D42" s="5">
        <v>426</v>
      </c>
      <c r="E42" s="11" t="s">
        <v>414</v>
      </c>
      <c r="F42" s="5" t="s">
        <v>1198</v>
      </c>
      <c r="G42" s="6" t="s">
        <v>1316</v>
      </c>
      <c r="H42" s="11"/>
      <c r="I42" s="55"/>
      <c r="J42" s="5"/>
    </row>
    <row r="43" spans="1:10" x14ac:dyDescent="0.25">
      <c r="A43" s="5" t="s">
        <v>1323</v>
      </c>
      <c r="B43" s="14">
        <v>45449</v>
      </c>
      <c r="C43" s="5" t="s">
        <v>1314</v>
      </c>
      <c r="D43" s="5">
        <v>65</v>
      </c>
      <c r="E43" s="11" t="s">
        <v>309</v>
      </c>
      <c r="F43" s="5" t="s">
        <v>200</v>
      </c>
      <c r="G43" s="6" t="s">
        <v>1324</v>
      </c>
      <c r="H43" s="11"/>
      <c r="I43" s="55"/>
      <c r="J43" s="5"/>
    </row>
    <row r="44" spans="1:10" x14ac:dyDescent="0.25">
      <c r="A44" s="5" t="s">
        <v>1331</v>
      </c>
      <c r="B44" s="14">
        <v>45456</v>
      </c>
      <c r="C44" s="5" t="s">
        <v>1330</v>
      </c>
      <c r="D44" s="5">
        <v>218</v>
      </c>
      <c r="E44" s="11" t="s">
        <v>1336</v>
      </c>
      <c r="F44" s="5" t="s">
        <v>10</v>
      </c>
      <c r="G44" s="6" t="s">
        <v>1337</v>
      </c>
      <c r="H44" s="11"/>
      <c r="I44" s="55"/>
      <c r="J44" s="5"/>
    </row>
    <row r="45" spans="1:10" x14ac:dyDescent="0.25">
      <c r="A45" s="5" t="s">
        <v>1333</v>
      </c>
      <c r="B45" s="14">
        <v>45467</v>
      </c>
      <c r="C45" s="5" t="s">
        <v>5</v>
      </c>
      <c r="D45" s="5">
        <v>810</v>
      </c>
      <c r="E45" s="11" t="s">
        <v>1355</v>
      </c>
      <c r="F45" s="5" t="s">
        <v>263</v>
      </c>
      <c r="G45" s="6" t="s">
        <v>1356</v>
      </c>
      <c r="H45" s="11"/>
      <c r="I45" s="55"/>
      <c r="J45" s="5"/>
    </row>
    <row r="46" spans="1:10" x14ac:dyDescent="0.25">
      <c r="A46" s="5" t="s">
        <v>1368</v>
      </c>
      <c r="B46" s="14">
        <v>45518</v>
      </c>
      <c r="C46" s="5" t="s">
        <v>1373</v>
      </c>
      <c r="D46" s="5">
        <v>26</v>
      </c>
      <c r="E46" s="11" t="s">
        <v>279</v>
      </c>
      <c r="F46" s="5" t="s">
        <v>422</v>
      </c>
      <c r="G46" s="6" t="s">
        <v>1379</v>
      </c>
      <c r="H46" s="11"/>
      <c r="I46" s="55"/>
      <c r="J46" s="5"/>
    </row>
    <row r="47" spans="1:10" x14ac:dyDescent="0.25">
      <c r="A47" s="5" t="s">
        <v>1374</v>
      </c>
      <c r="B47" s="14">
        <v>45523</v>
      </c>
      <c r="C47" s="5" t="s">
        <v>904</v>
      </c>
      <c r="D47" s="5">
        <v>12</v>
      </c>
      <c r="E47" s="11"/>
      <c r="F47" s="5" t="s">
        <v>422</v>
      </c>
      <c r="G47" s="6" t="s">
        <v>1375</v>
      </c>
      <c r="H47" s="11"/>
      <c r="I47" s="55"/>
      <c r="J47" s="5"/>
    </row>
    <row r="48" spans="1:10" x14ac:dyDescent="0.25">
      <c r="A48" s="5" t="s">
        <v>1376</v>
      </c>
      <c r="B48" s="14">
        <v>45527</v>
      </c>
      <c r="C48" s="5" t="s">
        <v>1094</v>
      </c>
      <c r="D48" s="5">
        <v>77</v>
      </c>
      <c r="E48" s="11" t="s">
        <v>1197</v>
      </c>
      <c r="F48" s="5" t="s">
        <v>277</v>
      </c>
      <c r="G48" s="5" t="s">
        <v>1384</v>
      </c>
      <c r="H48" s="11"/>
      <c r="I48" s="55"/>
      <c r="J48" s="5"/>
    </row>
    <row r="49" spans="1:10" x14ac:dyDescent="0.25">
      <c r="A49" s="5" t="s">
        <v>839</v>
      </c>
      <c r="B49" s="14">
        <v>45559</v>
      </c>
      <c r="C49" s="5" t="s">
        <v>1372</v>
      </c>
      <c r="D49" s="5">
        <v>252</v>
      </c>
      <c r="E49" s="11" t="s">
        <v>639</v>
      </c>
      <c r="F49" s="5" t="s">
        <v>422</v>
      </c>
      <c r="G49" s="5" t="s">
        <v>1393</v>
      </c>
      <c r="H49" s="11"/>
      <c r="I49" s="55"/>
      <c r="J49" s="5"/>
    </row>
    <row r="50" spans="1:10" x14ac:dyDescent="0.25">
      <c r="A50" s="5" t="s">
        <v>1403</v>
      </c>
      <c r="B50" s="14"/>
      <c r="C50" s="5" t="s">
        <v>1407</v>
      </c>
      <c r="D50" s="5">
        <v>127</v>
      </c>
      <c r="E50" s="11"/>
      <c r="F50" s="5" t="s">
        <v>644</v>
      </c>
      <c r="G50" s="5" t="s">
        <v>1408</v>
      </c>
      <c r="H50" s="11"/>
      <c r="I50" s="55"/>
      <c r="J50" s="5"/>
    </row>
    <row r="51" spans="1:10" x14ac:dyDescent="0.25">
      <c r="A51" s="5" t="s">
        <v>1195</v>
      </c>
      <c r="B51" s="14"/>
      <c r="C51" s="5" t="s">
        <v>1094</v>
      </c>
      <c r="D51" s="5">
        <v>233</v>
      </c>
      <c r="E51" s="11" t="s">
        <v>1197</v>
      </c>
      <c r="F51" s="5" t="s">
        <v>1198</v>
      </c>
      <c r="G51" s="6" t="s">
        <v>1409</v>
      </c>
      <c r="H51" s="11"/>
      <c r="I51" s="55"/>
      <c r="J51" s="5"/>
    </row>
    <row r="52" spans="1:10" x14ac:dyDescent="0.25">
      <c r="A52" s="5" t="s">
        <v>1412</v>
      </c>
      <c r="B52" s="14">
        <v>45581</v>
      </c>
      <c r="C52" s="5" t="s">
        <v>230</v>
      </c>
      <c r="D52" s="5">
        <v>215</v>
      </c>
      <c r="E52" s="11" t="s">
        <v>1022</v>
      </c>
      <c r="F52" s="5" t="s">
        <v>381</v>
      </c>
      <c r="G52" s="6" t="s">
        <v>1413</v>
      </c>
      <c r="H52" s="11"/>
      <c r="I52" s="55"/>
      <c r="J52" s="5"/>
    </row>
    <row r="53" spans="1:10" x14ac:dyDescent="0.25">
      <c r="A53" s="5" t="s">
        <v>1414</v>
      </c>
      <c r="B53" s="14">
        <v>45581</v>
      </c>
      <c r="C53" s="5" t="s">
        <v>1094</v>
      </c>
      <c r="D53" s="5">
        <v>102</v>
      </c>
      <c r="E53" s="11" t="s">
        <v>1415</v>
      </c>
      <c r="F53" s="5" t="s">
        <v>362</v>
      </c>
      <c r="G53" s="6" t="s">
        <v>1416</v>
      </c>
      <c r="H53" s="11"/>
      <c r="I53" s="55"/>
      <c r="J53" s="5"/>
    </row>
    <row r="54" spans="1:10" x14ac:dyDescent="0.25">
      <c r="A54" s="5" t="s">
        <v>1428</v>
      </c>
      <c r="B54" s="14">
        <v>45636</v>
      </c>
      <c r="C54" s="5" t="s">
        <v>1429</v>
      </c>
      <c r="D54" s="5">
        <v>89</v>
      </c>
      <c r="E54" s="11" t="s">
        <v>1430</v>
      </c>
      <c r="F54" s="5" t="s">
        <v>1231</v>
      </c>
      <c r="G54" s="5" t="s">
        <v>1431</v>
      </c>
      <c r="H54" s="11"/>
      <c r="I54" s="55"/>
      <c r="J54" s="5"/>
    </row>
    <row r="55" spans="1:10" x14ac:dyDescent="0.25">
      <c r="A55" s="5" t="s">
        <v>1448</v>
      </c>
      <c r="B55" s="14">
        <v>45667</v>
      </c>
      <c r="C55" s="5" t="s">
        <v>1449</v>
      </c>
      <c r="D55" s="5">
        <v>39</v>
      </c>
      <c r="E55" s="11" t="s">
        <v>1450</v>
      </c>
      <c r="F55" s="5" t="s">
        <v>202</v>
      </c>
      <c r="G55" s="6" t="s">
        <v>1451</v>
      </c>
      <c r="H55" s="11"/>
      <c r="I55" s="55"/>
      <c r="J55" s="5"/>
    </row>
    <row r="56" spans="1:10" x14ac:dyDescent="0.25">
      <c r="A56" s="5" t="s">
        <v>1452</v>
      </c>
      <c r="B56" s="14">
        <v>45665</v>
      </c>
      <c r="C56" s="5" t="s">
        <v>1453</v>
      </c>
      <c r="D56" s="5">
        <v>179</v>
      </c>
      <c r="E56" s="11" t="s">
        <v>1454</v>
      </c>
      <c r="F56" s="5" t="s">
        <v>1198</v>
      </c>
      <c r="G56" s="6" t="s">
        <v>1455</v>
      </c>
      <c r="H56" s="11"/>
      <c r="I56" s="55"/>
      <c r="J56" s="5"/>
    </row>
    <row r="57" spans="1:10" x14ac:dyDescent="0.25">
      <c r="A57" s="5" t="s">
        <v>1456</v>
      </c>
      <c r="B57" s="14">
        <v>45671</v>
      </c>
      <c r="C57" s="5" t="s">
        <v>1372</v>
      </c>
      <c r="D57" s="5">
        <v>134</v>
      </c>
      <c r="E57" s="11" t="s">
        <v>1457</v>
      </c>
      <c r="F57" s="5" t="s">
        <v>240</v>
      </c>
      <c r="G57" s="5" t="s">
        <v>1458</v>
      </c>
      <c r="H57" s="11"/>
      <c r="I57" s="55"/>
      <c r="J57" s="5"/>
    </row>
    <row r="58" spans="1:10" x14ac:dyDescent="0.25">
      <c r="A58" s="5" t="s">
        <v>1350</v>
      </c>
      <c r="B58" s="14">
        <v>45672</v>
      </c>
      <c r="C58" s="5" t="s">
        <v>1372</v>
      </c>
      <c r="D58" s="5">
        <v>121</v>
      </c>
      <c r="E58" s="11" t="s">
        <v>1363</v>
      </c>
      <c r="F58" s="5" t="s">
        <v>504</v>
      </c>
      <c r="G58" s="6" t="s">
        <v>1459</v>
      </c>
      <c r="H58" s="11"/>
      <c r="I58" s="55"/>
      <c r="J58" s="5"/>
    </row>
    <row r="59" spans="1:10" x14ac:dyDescent="0.25">
      <c r="A59" s="5" t="s">
        <v>820</v>
      </c>
      <c r="B59" s="14">
        <v>45674</v>
      </c>
      <c r="C59" s="5" t="s">
        <v>1372</v>
      </c>
      <c r="D59" s="5">
        <v>175</v>
      </c>
      <c r="E59" s="11" t="s">
        <v>1460</v>
      </c>
      <c r="F59" s="5" t="s">
        <v>822</v>
      </c>
      <c r="G59" s="5" t="s">
        <v>1461</v>
      </c>
      <c r="H59" s="11"/>
      <c r="I59" s="55"/>
      <c r="J59" s="5"/>
    </row>
    <row r="60" spans="1:10" x14ac:dyDescent="0.25">
      <c r="A60" s="5" t="s">
        <v>1462</v>
      </c>
      <c r="B60" s="14">
        <v>45679</v>
      </c>
      <c r="C60" s="5" t="s">
        <v>1453</v>
      </c>
      <c r="D60" s="5">
        <v>202</v>
      </c>
      <c r="E60" s="11" t="s">
        <v>1463</v>
      </c>
      <c r="F60" s="5" t="s">
        <v>644</v>
      </c>
      <c r="G60" s="6" t="s">
        <v>1464</v>
      </c>
      <c r="H60" s="11"/>
      <c r="I60" s="55"/>
      <c r="J60" s="5"/>
    </row>
    <row r="61" spans="1:10" x14ac:dyDescent="0.25">
      <c r="A61" s="5" t="s">
        <v>1471</v>
      </c>
      <c r="B61" s="14">
        <v>45684</v>
      </c>
      <c r="C61" s="5" t="s">
        <v>1372</v>
      </c>
      <c r="D61" s="5">
        <v>98</v>
      </c>
      <c r="E61" s="11" t="s">
        <v>1372</v>
      </c>
      <c r="F61" s="5" t="s">
        <v>644</v>
      </c>
      <c r="G61" s="6" t="s">
        <v>1473</v>
      </c>
      <c r="H61" s="11"/>
      <c r="I61" s="55"/>
      <c r="J61" s="5"/>
    </row>
    <row r="62" spans="1:10" x14ac:dyDescent="0.25">
      <c r="A62" s="5" t="s">
        <v>1472</v>
      </c>
      <c r="B62" s="14">
        <v>45688</v>
      </c>
      <c r="C62" s="5" t="s">
        <v>1372</v>
      </c>
      <c r="D62" s="5">
        <v>147</v>
      </c>
      <c r="E62" s="11" t="s">
        <v>1372</v>
      </c>
      <c r="F62" s="5" t="s">
        <v>644</v>
      </c>
      <c r="G62" s="6" t="s">
        <v>1473</v>
      </c>
      <c r="H62" s="11"/>
      <c r="I62" s="55"/>
      <c r="J62" s="5"/>
    </row>
    <row r="63" spans="1:10" x14ac:dyDescent="0.25">
      <c r="A63" s="5" t="s">
        <v>1323</v>
      </c>
      <c r="B63" s="14">
        <v>45742</v>
      </c>
      <c r="C63" s="5" t="s">
        <v>1151</v>
      </c>
      <c r="D63" s="5">
        <v>65</v>
      </c>
      <c r="E63" s="11" t="s">
        <v>309</v>
      </c>
      <c r="F63" s="5" t="s">
        <v>200</v>
      </c>
      <c r="G63" s="6" t="s">
        <v>1487</v>
      </c>
      <c r="H63" s="11"/>
      <c r="I63" s="55"/>
      <c r="J63" s="5"/>
    </row>
    <row r="64" spans="1:10" x14ac:dyDescent="0.25">
      <c r="A64" s="5" t="s">
        <v>1488</v>
      </c>
      <c r="B64" s="14">
        <v>45747</v>
      </c>
      <c r="C64" s="5" t="s">
        <v>1372</v>
      </c>
      <c r="D64" s="5">
        <v>178</v>
      </c>
      <c r="E64" s="11" t="s">
        <v>1489</v>
      </c>
      <c r="F64" s="5" t="s">
        <v>691</v>
      </c>
      <c r="G64" s="6" t="s">
        <v>1490</v>
      </c>
      <c r="H64" s="11"/>
      <c r="I64" s="55"/>
      <c r="J64" s="5"/>
    </row>
    <row r="65" spans="1:10" x14ac:dyDescent="0.25">
      <c r="A65" s="5" t="s">
        <v>1492</v>
      </c>
      <c r="B65" s="14">
        <v>45763</v>
      </c>
      <c r="C65" s="5" t="s">
        <v>1443</v>
      </c>
      <c r="D65" s="5">
        <v>351</v>
      </c>
      <c r="E65" s="11" t="s">
        <v>1493</v>
      </c>
      <c r="F65" s="5" t="s">
        <v>362</v>
      </c>
      <c r="G65" s="6" t="s">
        <v>1494</v>
      </c>
      <c r="H65" s="11"/>
      <c r="I65" s="55"/>
      <c r="J65" s="5"/>
    </row>
    <row r="66" spans="1:10" x14ac:dyDescent="0.25">
      <c r="A66" s="5" t="s">
        <v>1502</v>
      </c>
      <c r="B66" s="14">
        <v>45792</v>
      </c>
      <c r="C66" s="5" t="s">
        <v>527</v>
      </c>
      <c r="D66" s="5">
        <v>86</v>
      </c>
      <c r="E66" s="11" t="s">
        <v>527</v>
      </c>
      <c r="F66" s="5" t="s">
        <v>169</v>
      </c>
      <c r="G66" s="6" t="s">
        <v>1509</v>
      </c>
      <c r="H66" s="11"/>
      <c r="I66" s="55"/>
      <c r="J66" s="5"/>
    </row>
    <row r="67" spans="1:10" x14ac:dyDescent="0.25">
      <c r="A67" s="5" t="s">
        <v>1507</v>
      </c>
      <c r="B67" s="14">
        <v>45818</v>
      </c>
      <c r="C67" s="5" t="s">
        <v>942</v>
      </c>
      <c r="D67" s="5">
        <v>349</v>
      </c>
      <c r="E67" s="11" t="s">
        <v>942</v>
      </c>
      <c r="F67" s="5" t="s">
        <v>223</v>
      </c>
      <c r="G67" s="6" t="s">
        <v>1508</v>
      </c>
      <c r="H67" s="11"/>
      <c r="I67" s="55"/>
      <c r="J67" s="5"/>
    </row>
    <row r="68" spans="1:10" x14ac:dyDescent="0.25">
      <c r="A68" s="5" t="s">
        <v>1515</v>
      </c>
      <c r="B68" s="14">
        <v>45845</v>
      </c>
      <c r="C68" s="5" t="s">
        <v>4</v>
      </c>
      <c r="D68" s="5">
        <v>259</v>
      </c>
      <c r="E68" s="11" t="s">
        <v>1516</v>
      </c>
      <c r="F68" s="5" t="s">
        <v>1173</v>
      </c>
      <c r="G68" s="6" t="s">
        <v>1517</v>
      </c>
      <c r="H68" s="11"/>
      <c r="I68" s="55"/>
      <c r="J68" s="5"/>
    </row>
    <row r="69" spans="1:10" x14ac:dyDescent="0.25">
      <c r="A69" s="5" t="s">
        <v>1523</v>
      </c>
      <c r="B69" s="14">
        <v>45868</v>
      </c>
      <c r="C69" s="5" t="s">
        <v>4</v>
      </c>
      <c r="D69" s="5">
        <v>10</v>
      </c>
      <c r="E69" s="11" t="s">
        <v>1524</v>
      </c>
      <c r="F69" s="5" t="s">
        <v>571</v>
      </c>
      <c r="G69" s="6" t="s">
        <v>1525</v>
      </c>
      <c r="H69" s="11"/>
      <c r="I69" s="55"/>
      <c r="J69" s="5"/>
    </row>
    <row r="70" spans="1:10" x14ac:dyDescent="0.25">
      <c r="A70" s="5" t="s">
        <v>1531</v>
      </c>
      <c r="B70" s="14">
        <v>45880</v>
      </c>
      <c r="C70" s="5" t="s">
        <v>1033</v>
      </c>
      <c r="D70" s="5">
        <v>158</v>
      </c>
      <c r="E70" s="11" t="s">
        <v>1036</v>
      </c>
      <c r="F70" s="5" t="s">
        <v>1532</v>
      </c>
      <c r="G70" s="6" t="s">
        <v>1533</v>
      </c>
      <c r="H70" s="11"/>
      <c r="I70" s="55"/>
      <c r="J70" s="5"/>
    </row>
    <row r="71" spans="1:10" x14ac:dyDescent="0.25">
      <c r="A71" s="5" t="s">
        <v>1534</v>
      </c>
      <c r="B71" s="14">
        <v>45896</v>
      </c>
      <c r="C71" s="5" t="s">
        <v>1033</v>
      </c>
      <c r="D71" s="5">
        <v>309</v>
      </c>
      <c r="E71" s="11" t="s">
        <v>1535</v>
      </c>
      <c r="F71" s="5" t="s">
        <v>362</v>
      </c>
      <c r="G71" s="6" t="s">
        <v>1536</v>
      </c>
      <c r="H71" s="11"/>
      <c r="I71" s="55"/>
      <c r="J71" s="5"/>
    </row>
    <row r="72" spans="1:10" x14ac:dyDescent="0.25">
      <c r="A72" s="5" t="s">
        <v>1412</v>
      </c>
      <c r="B72" s="14">
        <v>45876</v>
      </c>
      <c r="C72" s="5" t="s">
        <v>230</v>
      </c>
      <c r="D72" s="5">
        <v>215</v>
      </c>
      <c r="E72" s="11" t="s">
        <v>1022</v>
      </c>
      <c r="F72" s="5" t="s">
        <v>381</v>
      </c>
      <c r="G72" s="6" t="s">
        <v>1548</v>
      </c>
      <c r="H72" s="11"/>
      <c r="I72" s="55"/>
      <c r="J72" s="5"/>
    </row>
    <row r="73" spans="1:10" x14ac:dyDescent="0.25">
      <c r="A73" s="5" t="s">
        <v>1556</v>
      </c>
      <c r="B73" s="14">
        <v>45965</v>
      </c>
      <c r="C73" s="5" t="s">
        <v>942</v>
      </c>
      <c r="D73" s="5">
        <v>367</v>
      </c>
      <c r="E73" s="11" t="s">
        <v>942</v>
      </c>
      <c r="F73" s="5" t="s">
        <v>223</v>
      </c>
      <c r="G73" s="6" t="s">
        <v>1557</v>
      </c>
      <c r="H73" s="11"/>
      <c r="I73" s="55"/>
      <c r="J73" s="5"/>
    </row>
    <row r="74" spans="1:10" x14ac:dyDescent="0.25">
      <c r="A74" s="5" t="s">
        <v>927</v>
      </c>
      <c r="B74" s="14">
        <v>45978</v>
      </c>
      <c r="C74" s="5" t="s">
        <v>1151</v>
      </c>
      <c r="D74" s="5">
        <v>81</v>
      </c>
      <c r="E74" s="11" t="s">
        <v>1217</v>
      </c>
      <c r="F74" s="5" t="s">
        <v>202</v>
      </c>
      <c r="G74" s="6" t="s">
        <v>1565</v>
      </c>
      <c r="H74" s="11"/>
      <c r="I74" s="55"/>
      <c r="J74" s="5"/>
    </row>
    <row r="75" spans="1:10" x14ac:dyDescent="0.25">
      <c r="A75" s="5" t="s">
        <v>1581</v>
      </c>
      <c r="B75" s="14">
        <v>46013</v>
      </c>
      <c r="C75" s="5" t="s">
        <v>1330</v>
      </c>
      <c r="D75" s="5">
        <v>199</v>
      </c>
      <c r="E75" s="11" t="s">
        <v>1330</v>
      </c>
      <c r="F75" s="5" t="s">
        <v>168</v>
      </c>
      <c r="G75" s="6" t="s">
        <v>1582</v>
      </c>
      <c r="H75" s="11"/>
      <c r="I75" s="55"/>
      <c r="J75" s="5"/>
    </row>
    <row r="76" spans="1:10" x14ac:dyDescent="0.25">
      <c r="A76" s="5" t="s">
        <v>1412</v>
      </c>
      <c r="B76" s="14">
        <v>46010</v>
      </c>
      <c r="C76" s="5" t="s">
        <v>1372</v>
      </c>
      <c r="D76" s="5">
        <v>204</v>
      </c>
      <c r="E76" s="11" t="s">
        <v>1022</v>
      </c>
      <c r="F76" s="5" t="s">
        <v>381</v>
      </c>
      <c r="G76" s="6" t="s">
        <v>1583</v>
      </c>
      <c r="H76" s="11"/>
      <c r="I76" s="55"/>
      <c r="J76" s="5"/>
    </row>
    <row r="77" spans="1:10" x14ac:dyDescent="0.25">
      <c r="A77" s="5" t="s">
        <v>1592</v>
      </c>
      <c r="B77" s="14">
        <v>46066</v>
      </c>
      <c r="C77" s="5" t="s">
        <v>1593</v>
      </c>
      <c r="D77" s="5">
        <v>201</v>
      </c>
      <c r="E77" s="11" t="s">
        <v>1596</v>
      </c>
      <c r="F77" s="5" t="s">
        <v>385</v>
      </c>
      <c r="G77" s="6" t="s">
        <v>1597</v>
      </c>
      <c r="H77" s="11"/>
      <c r="I77" s="55"/>
      <c r="J77" s="5"/>
    </row>
    <row r="78" spans="1:10" x14ac:dyDescent="0.25">
      <c r="A78" s="5" t="s">
        <v>1323</v>
      </c>
      <c r="B78" s="14">
        <v>46076</v>
      </c>
      <c r="C78" s="5" t="s">
        <v>237</v>
      </c>
      <c r="D78" s="5">
        <v>65</v>
      </c>
      <c r="E78" s="11" t="s">
        <v>309</v>
      </c>
      <c r="F78" s="5" t="s">
        <v>200</v>
      </c>
      <c r="G78" s="6" t="s">
        <v>1603</v>
      </c>
      <c r="H78" s="11"/>
      <c r="I78" s="55"/>
      <c r="J78" s="5"/>
    </row>
    <row r="79" spans="1:10" x14ac:dyDescent="0.25">
      <c r="A79" s="5" t="s">
        <v>1604</v>
      </c>
      <c r="B79" s="14">
        <v>46059</v>
      </c>
      <c r="C79" s="5" t="s">
        <v>230</v>
      </c>
      <c r="D79" s="5">
        <v>171</v>
      </c>
      <c r="E79" s="11" t="s">
        <v>1605</v>
      </c>
      <c r="F79" s="5" t="s">
        <v>422</v>
      </c>
      <c r="G79" s="6" t="s">
        <v>1606</v>
      </c>
      <c r="H79" s="11"/>
      <c r="I79" s="55"/>
      <c r="J79" s="5"/>
    </row>
    <row r="80" spans="1:10" x14ac:dyDescent="0.25">
      <c r="A80" s="5" t="s">
        <v>1599</v>
      </c>
      <c r="B80" s="14"/>
      <c r="C80" s="5" t="s">
        <v>230</v>
      </c>
      <c r="D80" s="5"/>
      <c r="E80" s="11"/>
      <c r="F80" s="5"/>
      <c r="G80" s="6" t="s">
        <v>1614</v>
      </c>
      <c r="H80" s="11"/>
      <c r="I80" s="55"/>
      <c r="J80" s="5"/>
    </row>
    <row r="81" spans="1:10" x14ac:dyDescent="0.25">
      <c r="A81" s="5" t="s">
        <v>1613</v>
      </c>
      <c r="B81" s="14">
        <v>46098</v>
      </c>
      <c r="C81" s="5" t="s">
        <v>1082</v>
      </c>
      <c r="D81" s="5">
        <f>367+364</f>
        <v>731</v>
      </c>
      <c r="E81" s="11" t="s">
        <v>1082</v>
      </c>
      <c r="F81" s="5" t="s">
        <v>223</v>
      </c>
      <c r="G81" s="6" t="s">
        <v>1614</v>
      </c>
      <c r="H81" s="11"/>
      <c r="I81" s="55"/>
      <c r="J81" s="1"/>
    </row>
    <row r="82" spans="1:10" x14ac:dyDescent="0.25">
      <c r="A82" s="5" t="s">
        <v>1626</v>
      </c>
      <c r="B82" s="14">
        <v>46088</v>
      </c>
      <c r="C82" s="5" t="s">
        <v>879</v>
      </c>
      <c r="D82" s="5">
        <v>297</v>
      </c>
      <c r="E82" s="11" t="s">
        <v>886</v>
      </c>
      <c r="F82" s="5" t="s">
        <v>362</v>
      </c>
      <c r="G82" s="6" t="s">
        <v>1627</v>
      </c>
      <c r="H82" s="11"/>
      <c r="I82" s="55"/>
      <c r="J82" s="5"/>
    </row>
    <row r="83" spans="1:10" x14ac:dyDescent="0.25">
      <c r="A83" s="5"/>
      <c r="B83" s="14"/>
      <c r="C83" s="5"/>
      <c r="D83" s="5"/>
      <c r="E83" s="11"/>
      <c r="F83" s="5"/>
      <c r="G83" s="6"/>
      <c r="H83" s="11"/>
      <c r="I83" s="55"/>
      <c r="J83" s="5"/>
    </row>
    <row r="84" spans="1:10" x14ac:dyDescent="0.25">
      <c r="A84" s="5"/>
      <c r="B84" s="14"/>
      <c r="C84" s="5"/>
      <c r="D84" s="5"/>
      <c r="E84" s="11"/>
      <c r="F84" s="5"/>
      <c r="G84" s="6"/>
      <c r="H84" s="11"/>
      <c r="I84" s="55"/>
      <c r="J84" s="5"/>
    </row>
    <row r="85" spans="1:10" x14ac:dyDescent="0.25">
      <c r="A85" s="5"/>
      <c r="B85" s="14"/>
      <c r="C85" s="5"/>
      <c r="D85" s="5"/>
      <c r="E85" s="11"/>
      <c r="F85" s="5"/>
      <c r="G85" s="5"/>
      <c r="H85" s="11"/>
      <c r="I85" s="55"/>
      <c r="J85" s="5"/>
    </row>
    <row r="86" spans="1:10" x14ac:dyDescent="0.25">
      <c r="A86" s="5"/>
      <c r="B86" s="14"/>
      <c r="C86" s="5"/>
      <c r="D86" s="5"/>
      <c r="E86" s="11"/>
      <c r="F86" s="5"/>
      <c r="G86" s="5"/>
      <c r="H86" s="11"/>
      <c r="I86" s="55"/>
      <c r="J86" s="5"/>
    </row>
    <row r="87" spans="1:10" x14ac:dyDescent="0.25">
      <c r="A87" s="5"/>
      <c r="B87" s="14"/>
      <c r="C87" s="5"/>
      <c r="D87" s="5"/>
      <c r="E87" s="11"/>
      <c r="F87" s="5"/>
      <c r="G87" s="6"/>
      <c r="H87" s="11"/>
      <c r="I87" s="55"/>
      <c r="J87" s="5"/>
    </row>
    <row r="88" spans="1:10" x14ac:dyDescent="0.25">
      <c r="A88" s="5"/>
      <c r="B88" s="14"/>
      <c r="C88" s="5"/>
      <c r="D88" s="5"/>
      <c r="E88" s="11"/>
      <c r="F88" s="5"/>
      <c r="G88" s="6"/>
      <c r="H88" s="11"/>
      <c r="I88" s="55"/>
      <c r="J88" s="5"/>
    </row>
    <row r="89" spans="1:10" x14ac:dyDescent="0.25">
      <c r="A89" s="5"/>
      <c r="B89" s="14"/>
      <c r="C89" s="5"/>
      <c r="D89" s="5"/>
      <c r="E89" s="11"/>
      <c r="F89" s="5"/>
      <c r="G89" s="6"/>
      <c r="H89" s="11"/>
      <c r="I89" s="55"/>
      <c r="J89" s="5"/>
    </row>
    <row r="90" spans="1:10" x14ac:dyDescent="0.25">
      <c r="A90" s="5"/>
      <c r="B90" s="14"/>
      <c r="C90" s="5"/>
      <c r="D90" s="5"/>
      <c r="E90" s="11"/>
      <c r="F90" s="5"/>
      <c r="G90" s="6"/>
      <c r="H90" s="11"/>
      <c r="I90" s="55"/>
      <c r="J90" s="5"/>
    </row>
    <row r="91" spans="1:10" x14ac:dyDescent="0.25">
      <c r="A91" s="5"/>
      <c r="B91" s="14"/>
      <c r="C91" s="5"/>
      <c r="D91" s="5"/>
      <c r="E91" s="11"/>
      <c r="F91" s="5"/>
      <c r="G91" s="6"/>
      <c r="H91" s="11"/>
      <c r="I91" s="55"/>
      <c r="J91" s="5"/>
    </row>
    <row r="92" spans="1:10" x14ac:dyDescent="0.25">
      <c r="A92" s="5"/>
      <c r="B92" s="14"/>
      <c r="C92" s="5"/>
      <c r="D92" s="5"/>
      <c r="E92" s="11"/>
      <c r="F92" s="5"/>
      <c r="G92" s="6"/>
      <c r="H92" s="11"/>
      <c r="I92" s="55"/>
      <c r="J92" s="5"/>
    </row>
    <row r="93" spans="1:10" x14ac:dyDescent="0.25">
      <c r="A93" s="5"/>
      <c r="B93" s="14"/>
      <c r="C93" s="5"/>
      <c r="D93" s="5"/>
      <c r="E93" s="5"/>
      <c r="F93" s="5"/>
      <c r="G93" s="6"/>
      <c r="H93" s="11"/>
      <c r="I93" s="55"/>
      <c r="J93" s="5"/>
    </row>
    <row r="94" spans="1:10" x14ac:dyDescent="0.25">
      <c r="A94" s="5"/>
      <c r="B94" s="14"/>
      <c r="C94" s="5"/>
      <c r="D94" s="5"/>
      <c r="E94" s="11"/>
      <c r="F94" s="5"/>
      <c r="G94" s="6"/>
      <c r="H94" s="11"/>
      <c r="I94" s="55"/>
      <c r="J94" s="5"/>
    </row>
    <row r="95" spans="1:10" x14ac:dyDescent="0.25">
      <c r="A95" s="5"/>
      <c r="B95" s="14"/>
      <c r="C95" s="5"/>
      <c r="D95" s="5"/>
      <c r="E95" s="11"/>
      <c r="F95" s="5"/>
      <c r="G95" s="6"/>
      <c r="H95" s="11"/>
      <c r="I95" s="55"/>
      <c r="J95" s="5"/>
    </row>
    <row r="96" spans="1:10" x14ac:dyDescent="0.25">
      <c r="A96" s="5"/>
      <c r="B96" s="14"/>
      <c r="C96" s="5"/>
      <c r="D96" s="5"/>
      <c r="E96" s="11"/>
      <c r="F96" s="5"/>
      <c r="G96" s="6"/>
      <c r="H96" s="11"/>
      <c r="I96" s="55"/>
      <c r="J96" s="5"/>
    </row>
    <row r="97" spans="1:10" x14ac:dyDescent="0.25">
      <c r="A97" s="5"/>
      <c r="B97" s="14"/>
      <c r="C97" s="5"/>
      <c r="D97" s="5"/>
      <c r="E97" s="11"/>
      <c r="F97" s="5"/>
      <c r="G97" s="6"/>
      <c r="H97" s="11"/>
      <c r="I97" s="55"/>
      <c r="J97" s="5"/>
    </row>
    <row r="98" spans="1:10" x14ac:dyDescent="0.25">
      <c r="A98" s="5"/>
      <c r="B98" s="14"/>
      <c r="C98" s="5"/>
      <c r="D98" s="5"/>
      <c r="E98" s="11"/>
      <c r="F98" s="5"/>
      <c r="G98" s="6"/>
      <c r="H98" s="11"/>
      <c r="I98" s="55"/>
      <c r="J98" s="5"/>
    </row>
    <row r="99" spans="1:10" x14ac:dyDescent="0.25">
      <c r="A99" s="5"/>
      <c r="B99" s="14"/>
      <c r="C99" s="5"/>
      <c r="D99" s="5"/>
      <c r="E99" s="11"/>
      <c r="F99" s="5"/>
      <c r="G99" s="6"/>
      <c r="H99" s="11"/>
      <c r="I99" s="55"/>
      <c r="J99" s="5"/>
    </row>
    <row r="100" spans="1:10" x14ac:dyDescent="0.25">
      <c r="A100" s="5"/>
      <c r="B100" s="14"/>
      <c r="C100" s="5"/>
      <c r="D100" s="5"/>
      <c r="E100" s="11"/>
      <c r="F100" s="5"/>
      <c r="G100" s="5"/>
      <c r="H100" s="11"/>
      <c r="I100" s="55"/>
      <c r="J100" s="5"/>
    </row>
    <row r="101" spans="1:10" x14ac:dyDescent="0.25">
      <c r="A101" s="5"/>
      <c r="B101" s="14"/>
      <c r="C101" s="5"/>
      <c r="D101" s="5"/>
      <c r="E101" s="11"/>
      <c r="F101" s="5"/>
      <c r="G101" s="6"/>
      <c r="H101" s="11"/>
      <c r="I101" s="55"/>
      <c r="J101" s="5"/>
    </row>
    <row r="102" spans="1:10" x14ac:dyDescent="0.25">
      <c r="A102" s="5"/>
      <c r="B102" s="14"/>
      <c r="C102" s="5"/>
      <c r="D102" s="5"/>
      <c r="E102" s="11"/>
      <c r="F102" s="5"/>
      <c r="G102" s="6"/>
      <c r="H102" s="11"/>
      <c r="I102" s="55"/>
      <c r="J102" s="5"/>
    </row>
    <row r="103" spans="1:10" x14ac:dyDescent="0.25">
      <c r="A103" s="5"/>
      <c r="B103" s="14"/>
      <c r="C103" s="5"/>
      <c r="D103" s="5"/>
      <c r="E103" s="11"/>
      <c r="F103" s="5"/>
      <c r="G103" s="6"/>
      <c r="H103" s="11"/>
      <c r="I103" s="55"/>
      <c r="J103" s="5"/>
    </row>
    <row r="104" spans="1:10" x14ac:dyDescent="0.25">
      <c r="A104" s="5"/>
      <c r="B104" s="14"/>
      <c r="C104" s="5"/>
      <c r="D104" s="5"/>
      <c r="E104" s="11"/>
      <c r="F104" s="5"/>
      <c r="G104" s="5"/>
      <c r="H104" s="11"/>
      <c r="I104" s="55"/>
      <c r="J104" s="5"/>
    </row>
    <row r="105" spans="1:10" x14ac:dyDescent="0.25">
      <c r="A105" s="5"/>
      <c r="B105" s="14"/>
      <c r="C105" s="5"/>
      <c r="D105" s="5"/>
      <c r="E105" s="11"/>
      <c r="F105" s="5"/>
      <c r="G105" s="5"/>
      <c r="H105" s="11"/>
      <c r="I105" s="55"/>
      <c r="J105" s="5"/>
    </row>
    <row r="106" spans="1:10" x14ac:dyDescent="0.25">
      <c r="A106" s="5"/>
      <c r="B106" s="14"/>
      <c r="C106" s="5"/>
      <c r="D106" s="5"/>
      <c r="E106" s="11"/>
      <c r="F106" s="5"/>
      <c r="G106" s="6"/>
      <c r="H106" s="11"/>
      <c r="I106" s="55"/>
      <c r="J106" s="5"/>
    </row>
    <row r="107" spans="1:10" x14ac:dyDescent="0.25">
      <c r="A107" s="5"/>
      <c r="B107" s="14"/>
      <c r="C107" s="5"/>
      <c r="D107" s="5"/>
      <c r="E107" s="11"/>
      <c r="F107" s="5"/>
      <c r="G107" s="6"/>
      <c r="H107" s="11"/>
      <c r="I107" s="55"/>
      <c r="J107" s="5"/>
    </row>
    <row r="108" spans="1:10" x14ac:dyDescent="0.25">
      <c r="A108" s="5"/>
      <c r="B108" s="14"/>
      <c r="C108" s="5"/>
      <c r="D108" s="5"/>
      <c r="E108" s="11"/>
      <c r="F108" s="5"/>
      <c r="G108" s="6"/>
      <c r="H108" s="11"/>
      <c r="I108" s="55"/>
      <c r="J108" s="5"/>
    </row>
    <row r="109" spans="1:10" x14ac:dyDescent="0.25">
      <c r="A109" s="5"/>
      <c r="B109" s="14"/>
      <c r="C109" s="5"/>
      <c r="D109" s="5"/>
      <c r="E109" s="11"/>
      <c r="F109" s="5"/>
      <c r="G109" s="6"/>
      <c r="H109" s="11"/>
      <c r="I109" s="55"/>
      <c r="J109" s="5"/>
    </row>
    <row r="110" spans="1:10" x14ac:dyDescent="0.25">
      <c r="A110" s="5"/>
      <c r="B110" s="14"/>
      <c r="C110" s="5"/>
      <c r="D110" s="5"/>
      <c r="E110" s="11"/>
      <c r="F110" s="5"/>
      <c r="G110" s="5"/>
      <c r="H110" s="11"/>
      <c r="I110" s="55"/>
      <c r="J110" s="5"/>
    </row>
    <row r="111" spans="1:10" x14ac:dyDescent="0.25">
      <c r="A111" s="5"/>
      <c r="B111" s="14"/>
      <c r="C111" s="5"/>
      <c r="D111" s="5"/>
      <c r="E111" s="11"/>
      <c r="F111" s="5"/>
      <c r="G111" s="6"/>
      <c r="H111" s="11"/>
      <c r="I111" s="55"/>
      <c r="J111" s="5"/>
    </row>
    <row r="112" spans="1:10" x14ac:dyDescent="0.25">
      <c r="A112" s="5"/>
      <c r="B112" s="14"/>
      <c r="C112" s="5"/>
      <c r="D112" s="5"/>
      <c r="E112" s="11"/>
      <c r="F112" s="5"/>
      <c r="G112" s="6"/>
      <c r="H112" s="11"/>
      <c r="I112" s="55"/>
      <c r="J112" s="5"/>
    </row>
    <row r="113" spans="1:10" x14ac:dyDescent="0.25">
      <c r="A113" s="5"/>
      <c r="B113" s="14"/>
      <c r="C113" s="5"/>
      <c r="D113" s="5"/>
      <c r="E113" s="11"/>
      <c r="F113" s="5"/>
      <c r="G113" s="6"/>
      <c r="H113" s="11"/>
      <c r="I113" s="55"/>
      <c r="J113" s="5"/>
    </row>
    <row r="114" spans="1:10" x14ac:dyDescent="0.25">
      <c r="A114" s="5"/>
      <c r="B114" s="14"/>
      <c r="C114" s="5"/>
      <c r="D114" s="5"/>
      <c r="E114" s="11"/>
      <c r="F114" s="5"/>
      <c r="G114" s="6"/>
      <c r="H114" s="11"/>
      <c r="I114" s="55"/>
      <c r="J114" s="5"/>
    </row>
    <row r="115" spans="1:10" x14ac:dyDescent="0.25">
      <c r="A115" s="5"/>
      <c r="B115" s="14"/>
      <c r="C115" s="5"/>
      <c r="D115" s="5"/>
      <c r="E115" s="11"/>
      <c r="F115" s="5"/>
      <c r="G115" s="6"/>
      <c r="H115" s="11"/>
      <c r="I115" s="55"/>
      <c r="J115" s="5"/>
    </row>
    <row r="116" spans="1:10" x14ac:dyDescent="0.25">
      <c r="A116" s="5"/>
      <c r="B116" s="14"/>
      <c r="C116" s="5"/>
      <c r="D116" s="5"/>
      <c r="E116" s="11"/>
      <c r="F116" s="5"/>
      <c r="G116" s="6"/>
      <c r="H116" s="11"/>
      <c r="I116" s="55"/>
      <c r="J116" s="5"/>
    </row>
    <row r="117" spans="1:10" x14ac:dyDescent="0.25">
      <c r="A117" s="5"/>
      <c r="B117" s="14"/>
      <c r="C117" s="5"/>
      <c r="D117" s="5"/>
      <c r="E117" s="11"/>
      <c r="F117" s="5"/>
      <c r="G117" s="5"/>
      <c r="H117" s="11"/>
      <c r="I117" s="55"/>
      <c r="J117" s="5"/>
    </row>
    <row r="118" spans="1:10" x14ac:dyDescent="0.25">
      <c r="A118" s="5"/>
      <c r="B118" s="14"/>
      <c r="C118" s="5"/>
      <c r="D118" s="5"/>
      <c r="E118" s="11"/>
      <c r="F118" s="5"/>
      <c r="G118" s="6"/>
      <c r="H118" s="11"/>
      <c r="I118" s="55"/>
      <c r="J118" s="5"/>
    </row>
    <row r="119" spans="1:10" x14ac:dyDescent="0.25">
      <c r="A119" s="5"/>
      <c r="B119" s="14"/>
      <c r="C119" s="5"/>
      <c r="D119" s="5"/>
      <c r="E119" s="11"/>
      <c r="F119" s="5"/>
      <c r="G119" s="6"/>
      <c r="H119" s="11"/>
      <c r="I119" s="55"/>
      <c r="J119" s="5"/>
    </row>
    <row r="120" spans="1:10" x14ac:dyDescent="0.25">
      <c r="A120" s="5"/>
      <c r="B120" s="14"/>
      <c r="C120" s="5"/>
      <c r="D120" s="5"/>
      <c r="E120" s="11"/>
      <c r="F120" s="5"/>
      <c r="G120" s="6"/>
      <c r="H120" s="11"/>
      <c r="I120" s="55"/>
      <c r="J120" s="5"/>
    </row>
    <row r="121" spans="1:10" x14ac:dyDescent="0.25">
      <c r="A121" s="5"/>
      <c r="B121" s="14"/>
      <c r="C121" s="5"/>
      <c r="D121" s="5"/>
      <c r="E121" s="11"/>
      <c r="F121" s="5"/>
      <c r="G121" s="6"/>
      <c r="H121" s="11"/>
      <c r="I121" s="55"/>
      <c r="J121" s="5"/>
    </row>
    <row r="122" spans="1:10" x14ac:dyDescent="0.25">
      <c r="A122" s="5"/>
      <c r="B122" s="14"/>
      <c r="C122" s="5"/>
      <c r="D122" s="5"/>
      <c r="E122" s="11"/>
      <c r="F122" s="5"/>
      <c r="G122" s="6"/>
      <c r="H122" s="11"/>
      <c r="I122" s="55"/>
      <c r="J122" s="5"/>
    </row>
    <row r="123" spans="1:10" x14ac:dyDescent="0.25">
      <c r="A123" s="5"/>
      <c r="B123" s="14"/>
      <c r="C123" s="5"/>
      <c r="D123" s="5"/>
      <c r="E123" s="11"/>
      <c r="F123" s="5"/>
      <c r="G123" s="5"/>
      <c r="H123" s="11"/>
      <c r="I123" s="55"/>
      <c r="J123" s="5"/>
    </row>
    <row r="124" spans="1:10" x14ac:dyDescent="0.25">
      <c r="A124" s="5"/>
      <c r="B124" s="14"/>
      <c r="C124" s="5"/>
      <c r="D124" s="5"/>
      <c r="E124" s="11"/>
      <c r="F124" s="5"/>
      <c r="G124" s="5"/>
      <c r="H124" s="11"/>
      <c r="I124" s="55"/>
      <c r="J124" s="5"/>
    </row>
    <row r="125" spans="1:10" x14ac:dyDescent="0.25">
      <c r="A125" s="5"/>
      <c r="B125" s="14"/>
      <c r="C125" s="5"/>
      <c r="D125" s="5"/>
      <c r="E125" s="11"/>
      <c r="F125" s="5"/>
      <c r="G125" s="6"/>
      <c r="H125" s="11"/>
      <c r="I125" s="55"/>
      <c r="J125" s="5"/>
    </row>
    <row r="126" spans="1:10" x14ac:dyDescent="0.25">
      <c r="A126" s="5"/>
      <c r="B126" s="14"/>
      <c r="C126" s="5"/>
      <c r="D126" s="5"/>
      <c r="E126" s="11"/>
      <c r="F126" s="5"/>
      <c r="G126" s="6"/>
      <c r="H126" s="11"/>
      <c r="I126" s="55"/>
      <c r="J126" s="5"/>
    </row>
    <row r="127" spans="1:10" x14ac:dyDescent="0.25">
      <c r="A127" s="5"/>
      <c r="B127" s="14"/>
      <c r="C127" s="5"/>
      <c r="D127" s="5"/>
      <c r="E127" s="11"/>
      <c r="F127" s="5"/>
      <c r="G127" s="5"/>
      <c r="H127" s="11"/>
      <c r="I127" s="55"/>
      <c r="J127" s="5"/>
    </row>
    <row r="128" spans="1:10" x14ac:dyDescent="0.25">
      <c r="A128" s="5"/>
      <c r="B128" s="14"/>
      <c r="C128" s="5"/>
      <c r="D128" s="5"/>
      <c r="E128" s="11"/>
      <c r="F128" s="5"/>
      <c r="G128" s="6"/>
      <c r="H128" s="11"/>
      <c r="I128" s="55"/>
      <c r="J128" s="5"/>
    </row>
    <row r="129" spans="1:10" x14ac:dyDescent="0.25">
      <c r="A129" s="5"/>
      <c r="B129" s="14"/>
      <c r="C129" s="5"/>
      <c r="D129" s="5"/>
      <c r="E129" s="11"/>
      <c r="F129" s="5"/>
      <c r="G129" s="6"/>
      <c r="H129" s="11"/>
      <c r="I129" s="55"/>
      <c r="J129" s="5"/>
    </row>
    <row r="130" spans="1:10" x14ac:dyDescent="0.25">
      <c r="A130" s="5"/>
      <c r="B130" s="14"/>
      <c r="C130" s="5"/>
      <c r="D130" s="5"/>
      <c r="E130" s="11"/>
      <c r="F130" s="5"/>
      <c r="G130" s="5"/>
      <c r="H130" s="11"/>
      <c r="I130" s="55"/>
      <c r="J130" s="5"/>
    </row>
    <row r="131" spans="1:10" x14ac:dyDescent="0.25">
      <c r="A131" s="5"/>
      <c r="B131" s="14"/>
      <c r="C131" s="5"/>
      <c r="D131" s="5"/>
      <c r="E131" s="11"/>
      <c r="F131" s="5"/>
      <c r="G131" s="6"/>
      <c r="H131" s="11"/>
      <c r="I131" s="55"/>
      <c r="J131" s="5"/>
    </row>
    <row r="132" spans="1:10" x14ac:dyDescent="0.25">
      <c r="A132" s="5"/>
      <c r="B132" s="14"/>
      <c r="C132" s="5"/>
      <c r="D132" s="5"/>
      <c r="E132" s="11"/>
      <c r="F132" s="5"/>
      <c r="G132" s="6"/>
      <c r="H132" s="11"/>
      <c r="I132" s="55"/>
      <c r="J132" s="5"/>
    </row>
    <row r="133" spans="1:10" x14ac:dyDescent="0.25">
      <c r="A133" s="5"/>
      <c r="B133" s="14"/>
      <c r="C133" s="5"/>
      <c r="D133" s="5"/>
      <c r="E133" s="11"/>
      <c r="F133" s="5"/>
      <c r="G133" s="6"/>
      <c r="H133" s="11"/>
      <c r="I133" s="55"/>
      <c r="J133" s="5"/>
    </row>
    <row r="134" spans="1:10" x14ac:dyDescent="0.25">
      <c r="A134" s="5"/>
      <c r="B134" s="14"/>
      <c r="C134" s="5"/>
      <c r="D134" s="5"/>
      <c r="E134" s="11"/>
      <c r="F134" s="5"/>
      <c r="G134" s="6"/>
      <c r="H134" s="11"/>
      <c r="I134" s="55"/>
      <c r="J134" s="5"/>
    </row>
    <row r="135" spans="1:10" x14ac:dyDescent="0.25">
      <c r="A135" s="5"/>
      <c r="B135" s="14"/>
      <c r="C135" s="5"/>
      <c r="D135" s="5"/>
      <c r="E135" s="11"/>
      <c r="F135" s="5"/>
      <c r="G135" s="5"/>
      <c r="H135" s="11"/>
      <c r="I135" s="55"/>
      <c r="J135" s="5"/>
    </row>
    <row r="136" spans="1:10" x14ac:dyDescent="0.25">
      <c r="A136" s="5"/>
      <c r="B136" s="14"/>
      <c r="C136" s="5"/>
      <c r="D136" s="5"/>
      <c r="E136" s="11"/>
      <c r="F136" s="5"/>
      <c r="G136" s="5"/>
      <c r="H136" s="11"/>
      <c r="I136" s="55"/>
      <c r="J136" s="5"/>
    </row>
    <row r="137" spans="1:10" x14ac:dyDescent="0.25">
      <c r="A137" s="5"/>
      <c r="B137" s="14"/>
      <c r="C137" s="5"/>
      <c r="D137" s="5"/>
      <c r="E137" s="11"/>
      <c r="F137" s="5"/>
      <c r="G137" s="6"/>
      <c r="H137" s="11"/>
      <c r="I137" s="55"/>
      <c r="J137" s="5"/>
    </row>
    <row r="138" spans="1:10" x14ac:dyDescent="0.25">
      <c r="A138" s="5"/>
      <c r="B138" s="14"/>
      <c r="C138" s="5"/>
      <c r="D138" s="5"/>
      <c r="E138" s="11"/>
      <c r="F138" s="5"/>
      <c r="G138" s="6"/>
      <c r="H138" s="11"/>
      <c r="I138" s="55"/>
      <c r="J138" s="5"/>
    </row>
    <row r="139" spans="1:10" x14ac:dyDescent="0.25">
      <c r="A139" s="5"/>
      <c r="B139" s="14"/>
      <c r="C139" s="5"/>
      <c r="D139" s="5"/>
      <c r="E139" s="11"/>
      <c r="F139" s="5"/>
      <c r="G139" s="6"/>
      <c r="H139" s="11"/>
      <c r="I139" s="55"/>
      <c r="J139" s="5"/>
    </row>
    <row r="140" spans="1:10" x14ac:dyDescent="0.25">
      <c r="A140" s="5"/>
      <c r="B140" s="14"/>
      <c r="C140" s="5"/>
      <c r="D140" s="5"/>
      <c r="E140" s="11"/>
      <c r="F140" s="5"/>
      <c r="G140" s="6"/>
      <c r="H140" s="11"/>
      <c r="I140" s="55"/>
      <c r="J140" s="5"/>
    </row>
    <row r="141" spans="1:10" x14ac:dyDescent="0.25">
      <c r="A141" s="5"/>
      <c r="B141" s="14"/>
      <c r="C141" s="5"/>
      <c r="D141" s="5"/>
      <c r="E141" s="11"/>
      <c r="F141" s="5"/>
      <c r="G141" s="6"/>
      <c r="H141" s="11"/>
      <c r="I141" s="55"/>
      <c r="J141" s="5"/>
    </row>
    <row r="142" spans="1:10" x14ac:dyDescent="0.25">
      <c r="A142" s="5"/>
      <c r="B142" s="14"/>
      <c r="C142" s="5"/>
      <c r="D142" s="5"/>
      <c r="E142" s="11"/>
      <c r="F142" s="5"/>
      <c r="G142" s="6"/>
      <c r="H142" s="11"/>
      <c r="I142" s="55"/>
      <c r="J142" s="5"/>
    </row>
    <row r="143" spans="1:10" x14ac:dyDescent="0.25">
      <c r="A143" s="5"/>
      <c r="B143" s="14"/>
      <c r="C143" s="5"/>
      <c r="D143" s="5"/>
      <c r="E143" s="11"/>
      <c r="F143" s="5"/>
      <c r="G143" s="6"/>
      <c r="H143" s="11"/>
      <c r="I143" s="55"/>
      <c r="J143" s="5"/>
    </row>
    <row r="144" spans="1:10" x14ac:dyDescent="0.25">
      <c r="A144" s="5"/>
      <c r="B144" s="14"/>
      <c r="C144" s="5"/>
      <c r="D144" s="5"/>
      <c r="E144" s="11"/>
      <c r="F144" s="5"/>
      <c r="G144" s="6"/>
      <c r="H144" s="11"/>
      <c r="I144" s="55"/>
      <c r="J144" s="5"/>
    </row>
    <row r="145" spans="1:10" x14ac:dyDescent="0.25">
      <c r="A145" s="5"/>
      <c r="B145" s="14"/>
      <c r="C145" s="5"/>
      <c r="D145" s="5"/>
      <c r="E145" s="11"/>
      <c r="F145" s="5"/>
      <c r="G145" s="6"/>
      <c r="H145" s="11"/>
      <c r="I145" s="55"/>
      <c r="J145" s="5"/>
    </row>
    <row r="146" spans="1:10" x14ac:dyDescent="0.25">
      <c r="A146" s="5"/>
      <c r="B146" s="14"/>
      <c r="C146" s="5"/>
      <c r="D146" s="5"/>
      <c r="E146" s="11"/>
      <c r="F146" s="5"/>
      <c r="G146" s="6"/>
      <c r="H146" s="11"/>
      <c r="I146" s="55"/>
      <c r="J146" s="5"/>
    </row>
    <row r="147" spans="1:10" x14ac:dyDescent="0.25">
      <c r="A147" s="5"/>
      <c r="B147" s="14"/>
      <c r="C147" s="5"/>
      <c r="D147" s="5"/>
      <c r="E147" s="11"/>
      <c r="F147" s="5"/>
      <c r="G147" s="6"/>
      <c r="H147" s="11"/>
      <c r="I147" s="55"/>
      <c r="J147" s="5"/>
    </row>
    <row r="148" spans="1:10" x14ac:dyDescent="0.25">
      <c r="A148" s="5"/>
      <c r="B148" s="14"/>
      <c r="C148" s="5"/>
      <c r="D148" s="5"/>
      <c r="E148" s="11"/>
      <c r="F148" s="5"/>
      <c r="G148" s="6"/>
      <c r="H148" s="11"/>
      <c r="I148" s="55"/>
      <c r="J148" s="5"/>
    </row>
    <row r="149" spans="1:10" x14ac:dyDescent="0.25">
      <c r="A149" s="5"/>
      <c r="B149" s="14"/>
      <c r="C149" s="5"/>
      <c r="D149" s="5"/>
      <c r="E149" s="11"/>
      <c r="F149" s="5"/>
      <c r="G149" s="6"/>
      <c r="H149" s="11"/>
      <c r="I149" s="55"/>
      <c r="J149" s="5"/>
    </row>
    <row r="150" spans="1:10" x14ac:dyDescent="0.25">
      <c r="A150" s="5"/>
      <c r="B150" s="14"/>
      <c r="C150" s="5"/>
      <c r="D150" s="5"/>
      <c r="E150" s="11"/>
      <c r="F150" s="5"/>
      <c r="G150" s="5"/>
      <c r="H150" s="11"/>
      <c r="I150" s="55"/>
      <c r="J150" s="5"/>
    </row>
    <row r="151" spans="1:10" x14ac:dyDescent="0.25">
      <c r="A151" s="5"/>
      <c r="B151" s="14"/>
      <c r="C151" s="5"/>
      <c r="D151" s="5"/>
      <c r="E151" s="11"/>
      <c r="F151" s="5"/>
      <c r="G151" s="6"/>
      <c r="H151" s="11"/>
      <c r="I151" s="55"/>
      <c r="J151" s="5"/>
    </row>
    <row r="152" spans="1:10" x14ac:dyDescent="0.25">
      <c r="A152" s="5"/>
      <c r="B152" s="14"/>
      <c r="C152" s="5"/>
      <c r="D152" s="5"/>
      <c r="E152" s="11"/>
      <c r="F152" s="5"/>
      <c r="G152" s="5"/>
      <c r="H152" s="11"/>
      <c r="I152" s="55"/>
      <c r="J152" s="5"/>
    </row>
    <row r="153" spans="1:10" x14ac:dyDescent="0.25">
      <c r="A153" s="5"/>
      <c r="B153" s="14"/>
      <c r="C153" s="5"/>
      <c r="D153" s="5"/>
      <c r="E153" s="11"/>
      <c r="F153" s="5"/>
      <c r="G153" s="6"/>
      <c r="H153" s="11"/>
      <c r="I153" s="55"/>
      <c r="J153" s="5"/>
    </row>
    <row r="154" spans="1:10" x14ac:dyDescent="0.25">
      <c r="A154" s="5"/>
      <c r="B154" s="14"/>
      <c r="C154" s="5"/>
      <c r="D154" s="5"/>
      <c r="E154" s="11"/>
      <c r="F154" s="5"/>
      <c r="G154" s="6"/>
      <c r="H154" s="11"/>
      <c r="I154" s="55"/>
      <c r="J154" s="5"/>
    </row>
    <row r="155" spans="1:10" x14ac:dyDescent="0.25">
      <c r="A155" s="5"/>
      <c r="B155" s="14"/>
      <c r="C155" s="5"/>
      <c r="D155" s="5"/>
      <c r="E155" s="11"/>
      <c r="F155" s="5"/>
      <c r="G155" s="5"/>
      <c r="H155" s="11"/>
      <c r="I155" s="55"/>
      <c r="J155" s="5"/>
    </row>
    <row r="156" spans="1:10" x14ac:dyDescent="0.25">
      <c r="A156" s="5"/>
      <c r="B156" s="14"/>
      <c r="C156" s="5"/>
      <c r="D156" s="5"/>
      <c r="E156" s="11"/>
      <c r="F156" s="5"/>
      <c r="G156" s="6"/>
      <c r="H156" s="11"/>
      <c r="I156" s="55"/>
      <c r="J156" s="5"/>
    </row>
    <row r="157" spans="1:10" x14ac:dyDescent="0.25">
      <c r="A157" s="5"/>
      <c r="B157" s="14"/>
      <c r="C157" s="5"/>
      <c r="D157" s="5"/>
      <c r="E157" s="11"/>
      <c r="F157" s="5"/>
      <c r="G157" s="6"/>
      <c r="H157" s="11"/>
      <c r="I157" s="55"/>
      <c r="J157" s="5"/>
    </row>
    <row r="158" spans="1:10" x14ac:dyDescent="0.25">
      <c r="A158" s="5"/>
      <c r="B158" s="14"/>
      <c r="C158" s="5"/>
      <c r="D158" s="5"/>
      <c r="E158" s="11"/>
      <c r="F158" s="5"/>
      <c r="G158" s="6"/>
      <c r="H158" s="11"/>
      <c r="I158" s="55"/>
      <c r="J158" s="5"/>
    </row>
    <row r="159" spans="1:10" x14ac:dyDescent="0.25">
      <c r="A159" s="5"/>
      <c r="B159" s="14"/>
      <c r="C159" s="5"/>
      <c r="D159" s="5"/>
      <c r="E159" s="11"/>
      <c r="F159" s="5"/>
      <c r="G159" s="6"/>
      <c r="H159" s="11"/>
      <c r="I159" s="55"/>
      <c r="J159" s="5"/>
    </row>
    <row r="160" spans="1:10" x14ac:dyDescent="0.25">
      <c r="A160" s="5"/>
      <c r="B160" s="14"/>
      <c r="C160" s="5"/>
      <c r="D160" s="5"/>
      <c r="E160" s="11"/>
      <c r="F160" s="5"/>
      <c r="G160" s="6"/>
      <c r="H160" s="11"/>
      <c r="I160" s="55"/>
      <c r="J160" s="5"/>
    </row>
    <row r="161" spans="1:10" x14ac:dyDescent="0.25">
      <c r="A161" s="5"/>
      <c r="B161" s="14"/>
      <c r="C161" s="5"/>
      <c r="D161" s="5"/>
      <c r="E161" s="11"/>
      <c r="F161" s="5"/>
      <c r="G161" s="6"/>
      <c r="H161" s="11"/>
      <c r="I161" s="55"/>
      <c r="J161" s="5"/>
    </row>
    <row r="162" spans="1:10" x14ac:dyDescent="0.25">
      <c r="A162" s="5"/>
      <c r="B162" s="14"/>
      <c r="C162" s="5"/>
      <c r="D162" s="5"/>
      <c r="E162" s="11"/>
      <c r="F162" s="5"/>
      <c r="G162" s="6"/>
      <c r="H162" s="11"/>
      <c r="I162" s="55"/>
      <c r="J162" s="5"/>
    </row>
    <row r="163" spans="1:10" x14ac:dyDescent="0.25">
      <c r="A163" s="5"/>
      <c r="B163" s="14"/>
      <c r="C163" s="5"/>
      <c r="D163" s="5"/>
      <c r="E163" s="11"/>
      <c r="F163" s="5"/>
      <c r="G163" s="6"/>
      <c r="H163" s="11"/>
      <c r="I163" s="55"/>
      <c r="J163" s="5"/>
    </row>
    <row r="164" spans="1:10" x14ac:dyDescent="0.25">
      <c r="A164" s="5"/>
      <c r="B164" s="14"/>
      <c r="C164" s="5"/>
      <c r="D164" s="5"/>
      <c r="E164" s="11"/>
      <c r="F164" s="5"/>
      <c r="G164" s="5"/>
      <c r="H164" s="11"/>
      <c r="I164" s="55"/>
      <c r="J164" s="5"/>
    </row>
    <row r="165" spans="1:10" x14ac:dyDescent="0.25">
      <c r="A165" s="5"/>
      <c r="B165" s="14"/>
      <c r="C165" s="5"/>
      <c r="D165" s="5"/>
      <c r="E165" s="11"/>
      <c r="F165" s="5"/>
      <c r="G165" s="5"/>
      <c r="H165" s="11"/>
      <c r="I165" s="55"/>
      <c r="J165" s="5"/>
    </row>
    <row r="166" spans="1:10" x14ac:dyDescent="0.25">
      <c r="A166" s="5"/>
      <c r="B166" s="14"/>
      <c r="C166" s="5"/>
      <c r="D166" s="5"/>
      <c r="E166" s="11"/>
      <c r="F166" s="5"/>
      <c r="G166" s="6"/>
      <c r="H166" s="11"/>
      <c r="I166" s="55"/>
      <c r="J166" s="5"/>
    </row>
    <row r="167" spans="1:10" x14ac:dyDescent="0.25">
      <c r="A167" s="5"/>
      <c r="B167" s="14"/>
      <c r="C167" s="5"/>
      <c r="D167" s="5"/>
      <c r="E167" s="11"/>
      <c r="F167" s="5"/>
      <c r="G167" s="6"/>
      <c r="H167" s="11"/>
      <c r="I167" s="55"/>
      <c r="J167" s="5"/>
    </row>
    <row r="168" spans="1:10" x14ac:dyDescent="0.25">
      <c r="A168" s="5"/>
      <c r="B168" s="14"/>
      <c r="C168" s="5"/>
      <c r="D168" s="5"/>
      <c r="E168" s="11"/>
      <c r="F168" s="5"/>
      <c r="G168" s="5"/>
      <c r="H168" s="11"/>
      <c r="I168" s="55"/>
      <c r="J168" s="5"/>
    </row>
    <row r="169" spans="1:10" x14ac:dyDescent="0.25">
      <c r="A169" s="5"/>
      <c r="B169" s="14"/>
      <c r="C169" s="5"/>
      <c r="D169" s="5"/>
      <c r="E169" s="11"/>
      <c r="F169" s="5"/>
      <c r="G169" s="6"/>
      <c r="H169" s="11"/>
      <c r="I169" s="55"/>
      <c r="J169" s="5"/>
    </row>
    <row r="170" spans="1:10" x14ac:dyDescent="0.25">
      <c r="A170" s="5"/>
      <c r="B170" s="14"/>
      <c r="C170" s="5"/>
      <c r="D170" s="5"/>
      <c r="E170" s="11"/>
      <c r="F170" s="5"/>
      <c r="G170" s="5"/>
      <c r="H170" s="11"/>
      <c r="I170" s="55"/>
      <c r="J170" s="5"/>
    </row>
    <row r="171" spans="1:10" x14ac:dyDescent="0.25">
      <c r="A171" s="5"/>
      <c r="B171" s="14"/>
      <c r="C171" s="5"/>
      <c r="D171" s="5"/>
      <c r="E171" s="11"/>
      <c r="F171" s="5"/>
      <c r="G171" s="6"/>
      <c r="H171" s="11"/>
      <c r="I171" s="55"/>
      <c r="J171" s="5"/>
    </row>
    <row r="172" spans="1:10" x14ac:dyDescent="0.25">
      <c r="A172" s="5"/>
      <c r="B172" s="14"/>
      <c r="C172" s="5"/>
      <c r="D172" s="5"/>
      <c r="E172" s="11"/>
      <c r="F172" s="5"/>
      <c r="G172" s="6"/>
      <c r="H172" s="11"/>
      <c r="I172" s="55"/>
      <c r="J172" s="5"/>
    </row>
    <row r="173" spans="1:10" x14ac:dyDescent="0.25">
      <c r="A173" s="5"/>
      <c r="B173" s="14"/>
      <c r="C173" s="5"/>
      <c r="D173" s="5"/>
      <c r="E173" s="11"/>
      <c r="F173" s="5"/>
      <c r="G173" s="6"/>
      <c r="H173" s="11"/>
      <c r="I173" s="55"/>
      <c r="J173" s="5"/>
    </row>
    <row r="174" spans="1:10" x14ac:dyDescent="0.25">
      <c r="A174" s="5"/>
      <c r="B174" s="14"/>
      <c r="C174" s="5"/>
      <c r="D174" s="5"/>
      <c r="E174" s="11"/>
      <c r="F174" s="5"/>
      <c r="G174" s="6"/>
      <c r="H174" s="11"/>
      <c r="I174" s="55"/>
      <c r="J174" s="5"/>
    </row>
    <row r="175" spans="1:10" x14ac:dyDescent="0.25">
      <c r="A175" s="5"/>
      <c r="B175" s="14"/>
      <c r="C175" s="5"/>
      <c r="D175" s="5"/>
      <c r="E175" s="11"/>
      <c r="F175" s="5"/>
      <c r="G175" s="6"/>
      <c r="H175" s="11"/>
      <c r="I175" s="55"/>
      <c r="J175" s="5"/>
    </row>
    <row r="176" spans="1:10" x14ac:dyDescent="0.25">
      <c r="A176" s="5"/>
      <c r="B176" s="14"/>
      <c r="C176" s="5"/>
      <c r="D176" s="5"/>
      <c r="E176" s="11"/>
      <c r="F176" s="5"/>
      <c r="G176" s="6"/>
      <c r="H176" s="11"/>
      <c r="I176" s="55"/>
      <c r="J176" s="5"/>
    </row>
    <row r="177" spans="1:10" x14ac:dyDescent="0.25">
      <c r="A177" s="5"/>
      <c r="B177" s="14"/>
      <c r="C177" s="5"/>
      <c r="D177" s="5"/>
      <c r="E177" s="11"/>
      <c r="F177" s="5"/>
      <c r="G177" s="6"/>
      <c r="H177" s="11"/>
      <c r="I177" s="55"/>
      <c r="J177" s="5"/>
    </row>
    <row r="178" spans="1:10" x14ac:dyDescent="0.25">
      <c r="A178" s="5"/>
      <c r="B178" s="14"/>
      <c r="C178" s="5"/>
      <c r="D178" s="5"/>
      <c r="E178" s="11"/>
      <c r="F178" s="5"/>
      <c r="G178" s="6"/>
      <c r="H178" s="11"/>
      <c r="I178" s="55"/>
      <c r="J178" s="5"/>
    </row>
    <row r="179" spans="1:10" x14ac:dyDescent="0.25">
      <c r="A179" s="5"/>
      <c r="B179" s="14"/>
      <c r="C179" s="5"/>
      <c r="D179" s="5"/>
      <c r="E179" s="11"/>
      <c r="F179" s="5"/>
      <c r="G179" s="6"/>
      <c r="H179" s="11"/>
      <c r="I179" s="55"/>
      <c r="J179" s="5"/>
    </row>
    <row r="180" spans="1:10" x14ac:dyDescent="0.25">
      <c r="A180" s="5"/>
      <c r="B180" s="14"/>
      <c r="C180" s="5"/>
      <c r="D180" s="5"/>
      <c r="E180" s="11"/>
      <c r="F180" s="5"/>
      <c r="G180" s="6"/>
      <c r="H180" s="11"/>
      <c r="I180" s="55"/>
      <c r="J180" s="5"/>
    </row>
    <row r="181" spans="1:10" x14ac:dyDescent="0.25">
      <c r="A181" s="5"/>
      <c r="B181" s="14"/>
      <c r="C181" s="5"/>
      <c r="D181" s="5"/>
      <c r="E181" s="11"/>
      <c r="F181" s="5"/>
      <c r="G181" s="6"/>
      <c r="H181" s="11"/>
      <c r="I181" s="55"/>
      <c r="J181" s="5"/>
    </row>
    <row r="182" spans="1:10" x14ac:dyDescent="0.25">
      <c r="A182" s="5"/>
      <c r="B182" s="14"/>
      <c r="C182" s="5"/>
      <c r="D182" s="5"/>
      <c r="E182" s="11"/>
      <c r="F182" s="5"/>
      <c r="G182" s="5"/>
      <c r="H182" s="11"/>
      <c r="I182" s="55"/>
      <c r="J182" s="5"/>
    </row>
    <row r="183" spans="1:10" x14ac:dyDescent="0.25">
      <c r="A183" s="5"/>
      <c r="B183" s="14"/>
      <c r="C183" s="5"/>
      <c r="D183" s="5"/>
      <c r="E183" s="11"/>
      <c r="F183" s="5"/>
      <c r="G183" s="6"/>
      <c r="H183" s="11"/>
      <c r="I183" s="55"/>
      <c r="J183" s="5"/>
    </row>
    <row r="184" spans="1:10" x14ac:dyDescent="0.25">
      <c r="A184" s="5"/>
      <c r="B184" s="14"/>
      <c r="C184" s="5"/>
      <c r="D184" s="5"/>
      <c r="E184" s="11"/>
      <c r="F184" s="5"/>
      <c r="G184" s="5"/>
      <c r="H184" s="11"/>
      <c r="I184" s="55"/>
      <c r="J184" s="5"/>
    </row>
    <row r="185" spans="1:10" x14ac:dyDescent="0.25">
      <c r="A185" s="5"/>
      <c r="B185" s="14"/>
      <c r="C185" s="5"/>
      <c r="D185" s="5"/>
      <c r="E185" s="11"/>
      <c r="F185" s="5"/>
      <c r="G185" s="6"/>
      <c r="H185" s="11"/>
      <c r="I185" s="55"/>
      <c r="J185" s="5"/>
    </row>
    <row r="186" spans="1:10" x14ac:dyDescent="0.25">
      <c r="A186" s="5"/>
      <c r="B186" s="14"/>
      <c r="C186" s="5"/>
      <c r="D186" s="5"/>
      <c r="E186" s="11"/>
      <c r="F186" s="5"/>
      <c r="G186" s="6"/>
      <c r="H186" s="11"/>
      <c r="I186" s="55"/>
      <c r="J186" s="5"/>
    </row>
    <row r="187" spans="1:10" x14ac:dyDescent="0.25">
      <c r="A187" s="5"/>
      <c r="B187" s="14"/>
      <c r="C187" s="5"/>
      <c r="D187" s="5"/>
      <c r="E187" s="11"/>
      <c r="F187" s="5"/>
      <c r="G187" s="6"/>
      <c r="H187" s="11"/>
      <c r="I187" s="55"/>
      <c r="J187" s="5"/>
    </row>
    <row r="188" spans="1:10" x14ac:dyDescent="0.25">
      <c r="A188" s="5"/>
      <c r="B188" s="14"/>
      <c r="C188" s="5"/>
      <c r="D188" s="5"/>
      <c r="E188" s="11"/>
      <c r="F188" s="5"/>
      <c r="G188" s="6"/>
      <c r="H188" s="11"/>
      <c r="I188" s="55"/>
      <c r="J188" s="5"/>
    </row>
    <row r="189" spans="1:10" x14ac:dyDescent="0.25">
      <c r="A189" s="5"/>
      <c r="B189" s="14"/>
      <c r="C189" s="5"/>
      <c r="D189" s="5"/>
      <c r="E189" s="11"/>
      <c r="F189" s="5"/>
      <c r="G189" s="6"/>
      <c r="H189" s="11"/>
      <c r="I189" s="55"/>
      <c r="J189" s="5"/>
    </row>
    <row r="190" spans="1:10" x14ac:dyDescent="0.25">
      <c r="A190" s="5"/>
      <c r="B190" s="14"/>
      <c r="C190" s="5"/>
      <c r="D190" s="5"/>
      <c r="E190" s="11"/>
      <c r="F190" s="5"/>
      <c r="G190" s="6"/>
      <c r="H190" s="11"/>
      <c r="I190" s="55"/>
      <c r="J190" s="5"/>
    </row>
    <row r="191" spans="1:10" x14ac:dyDescent="0.25">
      <c r="A191" s="5"/>
      <c r="B191" s="14"/>
      <c r="C191" s="5"/>
      <c r="D191" s="5"/>
      <c r="E191" s="11"/>
      <c r="F191" s="5"/>
      <c r="G191" s="6"/>
      <c r="H191" s="11"/>
      <c r="I191" s="55"/>
      <c r="J191" s="5"/>
    </row>
    <row r="192" spans="1:10" x14ac:dyDescent="0.25">
      <c r="A192" s="5"/>
      <c r="B192" s="14"/>
      <c r="C192" s="5"/>
      <c r="D192" s="5"/>
      <c r="E192" s="11"/>
      <c r="F192" s="5"/>
      <c r="G192" s="6"/>
      <c r="H192" s="11"/>
      <c r="I192" s="55"/>
      <c r="J192" s="5"/>
    </row>
    <row r="193" spans="1:10" x14ac:dyDescent="0.25">
      <c r="A193" s="5"/>
      <c r="B193" s="14"/>
      <c r="C193" s="5"/>
      <c r="D193" s="5"/>
      <c r="E193" s="11"/>
      <c r="F193" s="5"/>
      <c r="G193" s="6"/>
      <c r="H193" s="11"/>
      <c r="I193" s="55"/>
      <c r="J193" s="5"/>
    </row>
    <row r="194" spans="1:10" x14ac:dyDescent="0.25">
      <c r="A194" s="5"/>
      <c r="B194" s="14"/>
      <c r="C194" s="5"/>
      <c r="D194" s="5"/>
      <c r="E194" s="11"/>
      <c r="F194" s="5"/>
      <c r="G194" s="6"/>
      <c r="H194" s="11"/>
      <c r="I194" s="55"/>
      <c r="J194" s="5"/>
    </row>
    <row r="195" spans="1:10" x14ac:dyDescent="0.25">
      <c r="A195" s="5"/>
      <c r="B195" s="14"/>
      <c r="C195" s="5"/>
      <c r="D195" s="5"/>
      <c r="E195" s="11"/>
      <c r="F195" s="5"/>
      <c r="G195" s="6"/>
      <c r="H195" s="11"/>
      <c r="I195" s="55"/>
      <c r="J195" s="5"/>
    </row>
    <row r="196" spans="1:10" x14ac:dyDescent="0.25">
      <c r="A196" s="5"/>
      <c r="B196" s="14"/>
      <c r="C196" s="5"/>
      <c r="D196" s="5"/>
      <c r="E196" s="11"/>
      <c r="F196" s="5"/>
      <c r="G196" s="6"/>
      <c r="H196" s="11"/>
      <c r="I196" s="55"/>
      <c r="J196" s="5"/>
    </row>
    <row r="197" spans="1:10" x14ac:dyDescent="0.25">
      <c r="A197" s="5"/>
      <c r="B197" s="14"/>
      <c r="C197" s="5"/>
      <c r="D197" s="5"/>
      <c r="E197" s="11"/>
      <c r="F197" s="5"/>
      <c r="G197" s="6"/>
      <c r="H197" s="11"/>
      <c r="I197" s="55"/>
      <c r="J197" s="5"/>
    </row>
    <row r="198" spans="1:10" x14ac:dyDescent="0.25">
      <c r="A198" s="5"/>
      <c r="B198" s="14"/>
      <c r="C198" s="5"/>
      <c r="D198" s="5"/>
      <c r="E198" s="11"/>
      <c r="F198" s="5"/>
      <c r="G198" s="6"/>
      <c r="H198" s="11"/>
      <c r="I198" s="55"/>
      <c r="J198" s="5"/>
    </row>
    <row r="199" spans="1:10" x14ac:dyDescent="0.25">
      <c r="A199" s="5"/>
      <c r="B199" s="14"/>
      <c r="C199" s="5"/>
      <c r="D199" s="5"/>
      <c r="E199" s="11"/>
      <c r="F199" s="5"/>
      <c r="G199" s="6"/>
      <c r="H199" s="11"/>
      <c r="I199" s="55"/>
      <c r="J199" s="5"/>
    </row>
    <row r="200" spans="1:10" x14ac:dyDescent="0.25">
      <c r="A200" s="5"/>
      <c r="B200" s="14"/>
      <c r="C200" s="5"/>
      <c r="D200" s="5"/>
      <c r="E200" s="11"/>
      <c r="F200" s="5"/>
      <c r="G200" s="6"/>
      <c r="H200" s="11"/>
      <c r="I200" s="55"/>
      <c r="J200" s="5"/>
    </row>
    <row r="201" spans="1:10" x14ac:dyDescent="0.25">
      <c r="A201" s="5"/>
      <c r="B201" s="14"/>
      <c r="C201" s="5"/>
      <c r="D201" s="5"/>
      <c r="E201" s="11"/>
      <c r="F201" s="5"/>
      <c r="G201" s="6"/>
      <c r="H201" s="11"/>
      <c r="I201" s="55"/>
      <c r="J201" s="5"/>
    </row>
    <row r="202" spans="1:10" x14ac:dyDescent="0.25">
      <c r="A202" s="5"/>
      <c r="B202" s="14"/>
      <c r="C202" s="5"/>
      <c r="D202" s="5"/>
      <c r="E202" s="11"/>
      <c r="F202" s="5"/>
      <c r="G202" s="6"/>
      <c r="H202" s="11"/>
      <c r="I202" s="55"/>
      <c r="J202" s="5"/>
    </row>
    <row r="203" spans="1:10" x14ac:dyDescent="0.25">
      <c r="A203" s="5"/>
      <c r="B203" s="14"/>
      <c r="C203" s="5"/>
      <c r="D203" s="5"/>
      <c r="E203" s="11"/>
      <c r="F203" s="5"/>
      <c r="G203" s="6"/>
      <c r="H203" s="11"/>
      <c r="I203" s="55"/>
      <c r="J203" s="5"/>
    </row>
    <row r="204" spans="1:10" x14ac:dyDescent="0.25">
      <c r="A204" s="5"/>
      <c r="B204" s="14"/>
      <c r="C204" s="5"/>
      <c r="D204" s="5"/>
      <c r="E204" s="11"/>
      <c r="F204" s="5"/>
      <c r="G204" s="6"/>
      <c r="H204" s="11"/>
      <c r="I204" s="55"/>
      <c r="J204" s="5"/>
    </row>
    <row r="205" spans="1:10" x14ac:dyDescent="0.25">
      <c r="A205" s="5"/>
      <c r="B205" s="14"/>
      <c r="C205" s="5"/>
      <c r="D205" s="5"/>
      <c r="E205" s="11"/>
      <c r="F205" s="5"/>
      <c r="G205" s="6"/>
      <c r="H205" s="11"/>
      <c r="I205" s="55"/>
      <c r="J205" s="5"/>
    </row>
    <row r="206" spans="1:10" x14ac:dyDescent="0.25">
      <c r="A206" s="5"/>
      <c r="B206" s="14"/>
      <c r="C206" s="5"/>
      <c r="D206" s="5"/>
      <c r="E206" s="11"/>
      <c r="F206" s="5"/>
      <c r="G206" s="6"/>
      <c r="H206" s="11"/>
      <c r="I206" s="55"/>
      <c r="J206" s="5"/>
    </row>
    <row r="207" spans="1:10" x14ac:dyDescent="0.25">
      <c r="A207" s="5"/>
      <c r="B207" s="14"/>
      <c r="C207" s="5"/>
      <c r="D207" s="5"/>
      <c r="E207" s="11"/>
      <c r="F207" s="5"/>
      <c r="G207" s="6"/>
      <c r="H207" s="11"/>
      <c r="I207" s="55"/>
      <c r="J207" s="5"/>
    </row>
    <row r="208" spans="1:10" x14ac:dyDescent="0.25">
      <c r="A208" s="5"/>
      <c r="B208" s="14"/>
      <c r="C208" s="5"/>
      <c r="D208" s="5"/>
      <c r="E208" s="11"/>
      <c r="F208" s="5"/>
      <c r="G208" s="6"/>
      <c r="H208" s="11"/>
      <c r="I208" s="55"/>
      <c r="J208" s="5"/>
    </row>
    <row r="209" spans="1:10" x14ac:dyDescent="0.25">
      <c r="A209" s="5"/>
      <c r="B209" s="14"/>
      <c r="C209" s="5"/>
      <c r="D209" s="5"/>
      <c r="E209" s="11"/>
      <c r="F209" s="5"/>
      <c r="G209" s="6"/>
      <c r="H209" s="11"/>
      <c r="I209" s="55"/>
      <c r="J209" s="5"/>
    </row>
    <row r="210" spans="1:10" x14ac:dyDescent="0.25">
      <c r="A210" s="5"/>
      <c r="B210" s="14"/>
      <c r="C210" s="5"/>
      <c r="D210" s="5"/>
      <c r="E210" s="11"/>
      <c r="F210" s="5"/>
      <c r="G210" s="6"/>
      <c r="H210" s="11"/>
      <c r="I210" s="55"/>
      <c r="J210" s="5"/>
    </row>
    <row r="211" spans="1:10" x14ac:dyDescent="0.25">
      <c r="A211" s="5"/>
      <c r="B211" s="14"/>
      <c r="C211" s="5"/>
      <c r="D211" s="5"/>
      <c r="E211" s="11"/>
      <c r="F211" s="5"/>
      <c r="G211" s="6"/>
      <c r="H211" s="11"/>
      <c r="I211" s="55"/>
      <c r="J211" s="5"/>
    </row>
    <row r="212" spans="1:10" x14ac:dyDescent="0.25">
      <c r="A212" s="5"/>
      <c r="B212" s="14"/>
      <c r="C212" s="5"/>
      <c r="D212" s="5"/>
      <c r="E212" s="11"/>
      <c r="F212" s="5"/>
      <c r="G212" s="6"/>
      <c r="H212" s="11"/>
      <c r="I212" s="55"/>
      <c r="J212" s="5"/>
    </row>
    <row r="213" spans="1:10" x14ac:dyDescent="0.25">
      <c r="A213" s="5"/>
      <c r="B213" s="14"/>
      <c r="C213" s="5"/>
      <c r="D213" s="5"/>
      <c r="E213" s="11"/>
      <c r="F213" s="5"/>
      <c r="G213" s="6"/>
      <c r="H213" s="11"/>
      <c r="I213" s="55"/>
      <c r="J213" s="5"/>
    </row>
    <row r="214" spans="1:10" x14ac:dyDescent="0.25">
      <c r="A214" s="5"/>
      <c r="B214" s="14"/>
      <c r="C214" s="5"/>
      <c r="D214" s="5"/>
      <c r="E214" s="11"/>
      <c r="F214" s="5"/>
      <c r="G214" s="6"/>
      <c r="H214" s="11"/>
      <c r="I214" s="55"/>
      <c r="J214" s="5"/>
    </row>
    <row r="215" spans="1:10" x14ac:dyDescent="0.25">
      <c r="A215" s="5"/>
      <c r="B215" s="14"/>
      <c r="C215" s="5"/>
      <c r="D215" s="5"/>
      <c r="E215" s="11"/>
      <c r="F215" s="5"/>
      <c r="G215" s="6"/>
      <c r="H215" s="11"/>
      <c r="I215" s="55"/>
      <c r="J215" s="5"/>
    </row>
    <row r="216" spans="1:10" x14ac:dyDescent="0.25">
      <c r="A216" s="5"/>
      <c r="B216" s="14"/>
      <c r="C216" s="5"/>
      <c r="D216" s="5"/>
      <c r="E216" s="11"/>
      <c r="F216" s="5"/>
      <c r="G216" s="6"/>
      <c r="H216" s="11"/>
      <c r="I216" s="55"/>
      <c r="J216" s="5"/>
    </row>
    <row r="217" spans="1:10" x14ac:dyDescent="0.25">
      <c r="A217" s="5"/>
      <c r="B217" s="14"/>
      <c r="C217" s="5"/>
      <c r="D217" s="5"/>
      <c r="E217" s="11"/>
      <c r="F217" s="5"/>
      <c r="G217" s="6"/>
      <c r="H217" s="11"/>
      <c r="I217" s="55"/>
      <c r="J217" s="5"/>
    </row>
    <row r="218" spans="1:10" x14ac:dyDescent="0.25">
      <c r="A218" s="5"/>
      <c r="B218" s="14"/>
      <c r="C218" s="5"/>
      <c r="D218" s="5"/>
      <c r="E218" s="11"/>
      <c r="F218" s="5"/>
      <c r="G218" s="6"/>
      <c r="H218" s="11"/>
      <c r="I218" s="55"/>
      <c r="J218" s="5"/>
    </row>
    <row r="219" spans="1:10" x14ac:dyDescent="0.25">
      <c r="A219" s="5"/>
      <c r="B219" s="14"/>
      <c r="C219" s="5"/>
      <c r="D219" s="5"/>
      <c r="E219" s="11"/>
      <c r="F219" s="5"/>
      <c r="G219" s="6"/>
      <c r="H219" s="11"/>
      <c r="I219" s="55"/>
      <c r="J219" s="5"/>
    </row>
    <row r="220" spans="1:10" x14ac:dyDescent="0.25">
      <c r="A220" s="5"/>
      <c r="B220" s="14"/>
      <c r="C220" s="5"/>
      <c r="D220" s="5"/>
      <c r="E220" s="11"/>
      <c r="F220" s="5"/>
      <c r="G220" s="6"/>
      <c r="H220" s="11"/>
      <c r="I220" s="55"/>
      <c r="J220" s="5"/>
    </row>
    <row r="221" spans="1:10" x14ac:dyDescent="0.25">
      <c r="A221" s="5"/>
      <c r="B221" s="14"/>
      <c r="C221" s="5"/>
      <c r="D221" s="5"/>
      <c r="E221" s="11"/>
      <c r="F221" s="5"/>
      <c r="G221" s="6"/>
      <c r="H221" s="11"/>
      <c r="I221" s="55"/>
      <c r="J221" s="5"/>
    </row>
    <row r="222" spans="1:10" x14ac:dyDescent="0.25">
      <c r="A222" s="5"/>
      <c r="B222" s="14"/>
      <c r="C222" s="5"/>
      <c r="D222" s="5"/>
      <c r="E222" s="11"/>
      <c r="F222" s="5"/>
      <c r="G222" s="6"/>
      <c r="H222" s="11"/>
      <c r="I222" s="55"/>
      <c r="J222" s="5"/>
    </row>
    <row r="223" spans="1:10" x14ac:dyDescent="0.25">
      <c r="A223" s="5"/>
      <c r="B223" s="14"/>
      <c r="C223" s="5"/>
      <c r="D223" s="5"/>
      <c r="E223" s="11"/>
      <c r="F223" s="5"/>
      <c r="G223" s="6"/>
      <c r="H223" s="11"/>
      <c r="I223" s="55"/>
      <c r="J223" s="5"/>
    </row>
    <row r="224" spans="1:10" x14ac:dyDescent="0.25">
      <c r="A224" s="5"/>
      <c r="B224" s="14"/>
      <c r="C224" s="5"/>
      <c r="D224" s="5"/>
      <c r="E224" s="11"/>
      <c r="F224" s="5"/>
      <c r="G224" s="6"/>
      <c r="H224" s="11"/>
      <c r="I224" s="55"/>
      <c r="J224" s="5"/>
    </row>
    <row r="225" spans="1:10" x14ac:dyDescent="0.25">
      <c r="A225" s="5"/>
      <c r="B225" s="14"/>
      <c r="C225" s="5"/>
      <c r="D225" s="5"/>
      <c r="E225" s="11"/>
      <c r="F225" s="5"/>
      <c r="G225" s="6"/>
      <c r="H225" s="11"/>
      <c r="I225" s="55"/>
      <c r="J225" s="5"/>
    </row>
    <row r="226" spans="1:10" x14ac:dyDescent="0.25">
      <c r="A226" s="5"/>
      <c r="B226" s="14"/>
      <c r="C226" s="5"/>
      <c r="D226" s="5"/>
      <c r="E226" s="11"/>
      <c r="F226" s="5"/>
      <c r="G226" s="6"/>
      <c r="H226" s="11"/>
      <c r="I226" s="55"/>
      <c r="J226" s="5"/>
    </row>
    <row r="227" spans="1:10" x14ac:dyDescent="0.25">
      <c r="A227" s="5"/>
      <c r="B227" s="14"/>
      <c r="C227" s="5"/>
      <c r="D227" s="5"/>
      <c r="E227" s="11"/>
      <c r="F227" s="5"/>
      <c r="G227" s="6"/>
      <c r="H227" s="11"/>
      <c r="I227" s="55"/>
      <c r="J227" s="5"/>
    </row>
    <row r="228" spans="1:10" x14ac:dyDescent="0.25">
      <c r="A228" s="5"/>
      <c r="B228" s="14"/>
      <c r="C228" s="5"/>
      <c r="D228" s="5"/>
      <c r="E228" s="11"/>
      <c r="F228" s="5"/>
      <c r="G228" s="6"/>
      <c r="H228" s="11"/>
      <c r="I228" s="55"/>
      <c r="J228" s="5"/>
    </row>
    <row r="229" spans="1:10" x14ac:dyDescent="0.25">
      <c r="A229" s="5"/>
      <c r="B229" s="14"/>
      <c r="C229" s="5"/>
      <c r="D229" s="5"/>
      <c r="E229" s="11"/>
      <c r="F229" s="5"/>
      <c r="G229" s="6"/>
      <c r="H229" s="11"/>
      <c r="I229" s="55"/>
      <c r="J229" s="5"/>
    </row>
    <row r="230" spans="1:10" x14ac:dyDescent="0.25">
      <c r="A230" s="5"/>
      <c r="B230" s="14"/>
      <c r="C230" s="5"/>
      <c r="D230" s="5"/>
      <c r="E230" s="11"/>
      <c r="F230" s="5"/>
      <c r="G230" s="6"/>
      <c r="H230" s="11"/>
      <c r="I230" s="55"/>
      <c r="J230" s="5"/>
    </row>
    <row r="231" spans="1:10" x14ac:dyDescent="0.25">
      <c r="A231" s="5"/>
      <c r="B231" s="14"/>
      <c r="C231" s="5"/>
      <c r="D231" s="5"/>
      <c r="E231" s="11"/>
      <c r="F231" s="5"/>
      <c r="G231" s="6"/>
      <c r="H231" s="11"/>
      <c r="I231" s="55"/>
      <c r="J231" s="5"/>
    </row>
    <row r="232" spans="1:10" x14ac:dyDescent="0.25">
      <c r="A232" s="5"/>
      <c r="B232" s="14"/>
      <c r="C232" s="5"/>
      <c r="D232" s="5"/>
      <c r="E232" s="11"/>
      <c r="F232" s="5"/>
      <c r="G232" s="6"/>
      <c r="H232" s="11"/>
      <c r="I232" s="55"/>
      <c r="J232" s="5"/>
    </row>
    <row r="233" spans="1:10" x14ac:dyDescent="0.25">
      <c r="A233" s="5"/>
      <c r="B233" s="14"/>
      <c r="C233" s="5"/>
      <c r="D233" s="5"/>
      <c r="E233" s="11"/>
      <c r="F233" s="5"/>
      <c r="G233" s="6"/>
      <c r="H233" s="11"/>
      <c r="I233" s="55"/>
      <c r="J233" s="5"/>
    </row>
    <row r="234" spans="1:10" x14ac:dyDescent="0.25">
      <c r="A234" s="5"/>
      <c r="B234" s="14"/>
      <c r="C234" s="5"/>
      <c r="D234" s="5"/>
      <c r="E234" s="11"/>
      <c r="F234" s="5"/>
      <c r="G234" s="6"/>
      <c r="H234" s="11"/>
      <c r="I234" s="55"/>
      <c r="J234" s="5"/>
    </row>
    <row r="235" spans="1:10" x14ac:dyDescent="0.25">
      <c r="A235" s="5"/>
      <c r="B235" s="14"/>
      <c r="C235" s="5"/>
      <c r="D235" s="5"/>
      <c r="E235" s="11"/>
      <c r="F235" s="5"/>
      <c r="G235" s="6"/>
      <c r="H235" s="11"/>
      <c r="I235" s="55"/>
      <c r="J235" s="5"/>
    </row>
    <row r="236" spans="1:10" x14ac:dyDescent="0.25">
      <c r="A236" s="5"/>
      <c r="B236" s="14"/>
      <c r="C236" s="5"/>
      <c r="D236" s="5"/>
      <c r="E236" s="11"/>
      <c r="F236" s="5"/>
      <c r="G236" s="6"/>
      <c r="H236" s="11"/>
      <c r="I236" s="55"/>
      <c r="J236" s="5"/>
    </row>
    <row r="237" spans="1:10" x14ac:dyDescent="0.25">
      <c r="A237" s="5"/>
      <c r="B237" s="14"/>
      <c r="C237" s="5"/>
      <c r="D237" s="5"/>
      <c r="E237" s="11"/>
      <c r="F237" s="5"/>
      <c r="G237" s="6"/>
      <c r="H237" s="11"/>
      <c r="I237" s="55"/>
      <c r="J237" s="5"/>
    </row>
    <row r="238" spans="1:10" x14ac:dyDescent="0.25">
      <c r="A238" s="5"/>
      <c r="B238" s="14"/>
      <c r="C238" s="5"/>
      <c r="D238" s="5"/>
      <c r="E238" s="11"/>
      <c r="F238" s="5"/>
      <c r="G238" s="6"/>
      <c r="H238" s="11"/>
      <c r="I238" s="55"/>
      <c r="J238" s="5"/>
    </row>
    <row r="239" spans="1:10" x14ac:dyDescent="0.25">
      <c r="A239" s="5"/>
      <c r="B239" s="14"/>
      <c r="C239" s="5"/>
      <c r="D239" s="5"/>
      <c r="E239" s="11"/>
      <c r="F239" s="5"/>
      <c r="G239" s="6"/>
      <c r="H239" s="11"/>
      <c r="I239" s="55"/>
      <c r="J239" s="5"/>
    </row>
    <row r="240" spans="1:10" x14ac:dyDescent="0.25">
      <c r="A240" s="5"/>
      <c r="B240" s="14"/>
      <c r="C240" s="5"/>
      <c r="D240" s="5"/>
      <c r="E240" s="11"/>
      <c r="F240" s="5"/>
      <c r="G240" s="6"/>
      <c r="H240" s="11"/>
      <c r="I240" s="55"/>
      <c r="J240" s="5"/>
    </row>
    <row r="241" spans="1:10" x14ac:dyDescent="0.25">
      <c r="A241" s="5"/>
      <c r="B241" s="14"/>
      <c r="C241" s="5"/>
      <c r="D241" s="5"/>
      <c r="E241" s="11"/>
      <c r="F241" s="5"/>
      <c r="G241" s="6"/>
      <c r="H241" s="11"/>
      <c r="I241" s="55"/>
      <c r="J241" s="5"/>
    </row>
    <row r="242" spans="1:10" x14ac:dyDescent="0.25">
      <c r="A242" s="5"/>
      <c r="B242" s="14"/>
      <c r="C242" s="5"/>
      <c r="D242" s="5"/>
      <c r="E242" s="11"/>
      <c r="F242" s="5"/>
      <c r="G242" s="6"/>
      <c r="H242" s="11"/>
      <c r="I242" s="55"/>
      <c r="J242" s="5"/>
    </row>
    <row r="243" spans="1:10" x14ac:dyDescent="0.25">
      <c r="A243" s="5"/>
      <c r="B243" s="14"/>
      <c r="C243" s="5"/>
      <c r="D243" s="5"/>
      <c r="E243" s="11"/>
      <c r="F243" s="5"/>
      <c r="G243" s="6"/>
      <c r="H243" s="11"/>
      <c r="I243" s="55"/>
      <c r="J243" s="5"/>
    </row>
    <row r="244" spans="1:10" x14ac:dyDescent="0.25">
      <c r="A244" s="5"/>
      <c r="B244" s="14"/>
      <c r="C244" s="5"/>
      <c r="D244" s="5"/>
      <c r="E244" s="11"/>
      <c r="F244" s="5"/>
      <c r="G244" s="6"/>
      <c r="H244" s="11"/>
      <c r="I244" s="55"/>
      <c r="J244" s="5"/>
    </row>
    <row r="245" spans="1:10" x14ac:dyDescent="0.25">
      <c r="A245" s="5"/>
      <c r="B245" s="14"/>
      <c r="C245" s="5"/>
      <c r="D245" s="5"/>
      <c r="E245" s="11"/>
      <c r="F245" s="5"/>
      <c r="G245" s="6"/>
      <c r="H245" s="11"/>
      <c r="I245" s="55"/>
      <c r="J245" s="5"/>
    </row>
    <row r="246" spans="1:10" x14ac:dyDescent="0.25">
      <c r="A246" s="5"/>
      <c r="B246" s="14"/>
      <c r="C246" s="5"/>
      <c r="D246" s="5"/>
      <c r="E246" s="11"/>
      <c r="F246" s="5"/>
      <c r="G246" s="6"/>
      <c r="H246" s="11"/>
      <c r="I246" s="55"/>
      <c r="J246" s="5"/>
    </row>
    <row r="247" spans="1:10" x14ac:dyDescent="0.25">
      <c r="A247" s="5"/>
      <c r="B247" s="14"/>
      <c r="C247" s="5"/>
      <c r="D247" s="5"/>
      <c r="E247" s="11"/>
      <c r="F247" s="5"/>
      <c r="G247" s="6"/>
      <c r="H247" s="11"/>
      <c r="I247" s="55"/>
      <c r="J247" s="5"/>
    </row>
    <row r="248" spans="1:10" x14ac:dyDescent="0.25">
      <c r="A248" s="5"/>
      <c r="B248" s="14"/>
      <c r="C248" s="5"/>
      <c r="D248" s="5"/>
      <c r="E248" s="11"/>
      <c r="F248" s="5"/>
      <c r="G248" s="6"/>
      <c r="H248" s="11"/>
      <c r="I248" s="55"/>
      <c r="J248" s="5"/>
    </row>
    <row r="249" spans="1:10" x14ac:dyDescent="0.25">
      <c r="A249" s="5"/>
      <c r="B249" s="14"/>
      <c r="C249" s="5"/>
      <c r="D249" s="5"/>
      <c r="E249" s="11"/>
      <c r="F249" s="5"/>
      <c r="G249" s="6"/>
      <c r="H249" s="11"/>
      <c r="I249" s="55"/>
      <c r="J249" s="5"/>
    </row>
    <row r="250" spans="1:10" x14ac:dyDescent="0.25">
      <c r="A250" s="5"/>
      <c r="B250" s="14"/>
      <c r="C250" s="5"/>
      <c r="D250" s="5"/>
      <c r="E250" s="11"/>
      <c r="F250" s="5"/>
      <c r="G250" s="6"/>
      <c r="H250" s="11"/>
      <c r="I250" s="55"/>
      <c r="J250" s="5"/>
    </row>
    <row r="251" spans="1:10" x14ac:dyDescent="0.25">
      <c r="A251" s="5"/>
      <c r="B251" s="14"/>
      <c r="C251" s="5"/>
      <c r="D251" s="5"/>
      <c r="E251" s="11"/>
      <c r="F251" s="5"/>
      <c r="G251" s="6"/>
      <c r="H251" s="11"/>
      <c r="I251" s="55"/>
      <c r="J251" s="5"/>
    </row>
    <row r="252" spans="1:10" x14ac:dyDescent="0.25">
      <c r="A252" s="5"/>
      <c r="B252" s="14"/>
      <c r="C252" s="5"/>
      <c r="D252" s="5"/>
      <c r="E252" s="11"/>
      <c r="F252" s="5"/>
      <c r="G252" s="6"/>
      <c r="H252" s="11"/>
      <c r="I252" s="55"/>
      <c r="J252" s="5"/>
    </row>
    <row r="253" spans="1:10" x14ac:dyDescent="0.25">
      <c r="A253" s="5"/>
      <c r="B253" s="14"/>
      <c r="C253" s="5"/>
      <c r="D253" s="5"/>
      <c r="E253" s="11"/>
      <c r="F253" s="5"/>
      <c r="G253" s="6"/>
      <c r="H253" s="11"/>
      <c r="I253" s="55"/>
      <c r="J253" s="5"/>
    </row>
    <row r="254" spans="1:10" x14ac:dyDescent="0.25">
      <c r="A254" s="5"/>
      <c r="B254" s="14"/>
      <c r="C254" s="5"/>
      <c r="D254" s="5"/>
      <c r="E254" s="11"/>
      <c r="F254" s="5"/>
      <c r="G254" s="6"/>
      <c r="H254" s="11"/>
      <c r="I254" s="55"/>
      <c r="J254" s="5"/>
    </row>
    <row r="255" spans="1:10" x14ac:dyDescent="0.25">
      <c r="A255" s="5"/>
      <c r="B255" s="14"/>
      <c r="C255" s="5"/>
      <c r="D255" s="5"/>
      <c r="E255" s="11"/>
      <c r="F255" s="5"/>
      <c r="G255" s="6"/>
      <c r="H255" s="11"/>
      <c r="I255" s="55"/>
      <c r="J255" s="5"/>
    </row>
    <row r="256" spans="1:10" x14ac:dyDescent="0.25">
      <c r="A256" s="5"/>
      <c r="B256" s="14"/>
      <c r="C256" s="5"/>
      <c r="D256" s="5"/>
      <c r="E256" s="11"/>
      <c r="F256" s="5"/>
      <c r="G256" s="6"/>
      <c r="H256" s="11"/>
      <c r="I256" s="55"/>
      <c r="J256" s="5"/>
    </row>
    <row r="257" spans="1:10" x14ac:dyDescent="0.25">
      <c r="A257" s="5"/>
      <c r="B257" s="14"/>
      <c r="C257" s="5"/>
      <c r="D257" s="5"/>
      <c r="E257" s="11"/>
      <c r="F257" s="5"/>
      <c r="G257" s="6"/>
      <c r="H257" s="11"/>
      <c r="I257" s="55"/>
      <c r="J257" s="5"/>
    </row>
    <row r="258" spans="1:10" x14ac:dyDescent="0.25">
      <c r="A258" s="5"/>
      <c r="B258" s="14"/>
      <c r="C258" s="5"/>
      <c r="D258" s="5"/>
      <c r="E258" s="11"/>
      <c r="F258" s="5"/>
      <c r="G258" s="6"/>
      <c r="H258" s="11"/>
      <c r="I258" s="55"/>
      <c r="J258" s="5"/>
    </row>
    <row r="259" spans="1:10" x14ac:dyDescent="0.25">
      <c r="A259" s="5"/>
      <c r="B259" s="14"/>
      <c r="C259" s="5"/>
      <c r="D259" s="5"/>
      <c r="E259" s="11"/>
      <c r="F259" s="5"/>
      <c r="G259" s="6"/>
      <c r="H259" s="11"/>
      <c r="I259" s="55"/>
      <c r="J259" s="5"/>
    </row>
    <row r="260" spans="1:10" x14ac:dyDescent="0.25">
      <c r="A260" s="5"/>
      <c r="B260" s="14"/>
      <c r="C260" s="5"/>
      <c r="D260" s="5"/>
      <c r="E260" s="11"/>
      <c r="F260" s="5"/>
      <c r="G260" s="6"/>
      <c r="H260" s="11"/>
      <c r="I260" s="55"/>
      <c r="J260" s="5"/>
    </row>
    <row r="261" spans="1:10" x14ac:dyDescent="0.25">
      <c r="A261" s="5"/>
      <c r="B261" s="14"/>
      <c r="C261" s="5"/>
      <c r="D261" s="5"/>
      <c r="E261" s="11"/>
      <c r="F261" s="5"/>
      <c r="G261" s="6"/>
      <c r="H261" s="11"/>
      <c r="I261" s="55"/>
      <c r="J261" s="5"/>
    </row>
    <row r="262" spans="1:10" x14ac:dyDescent="0.25">
      <c r="A262" s="5"/>
      <c r="B262" s="14"/>
      <c r="C262" s="5"/>
      <c r="D262" s="5"/>
      <c r="E262" s="11"/>
      <c r="F262" s="5"/>
      <c r="G262" s="6"/>
      <c r="H262" s="11"/>
      <c r="I262" s="55"/>
      <c r="J262" s="5"/>
    </row>
  </sheetData>
  <conditionalFormatting sqref="E3:E4">
    <cfRule type="cellIs" dxfId="55" priority="625" operator="equal">
      <formula>"GW"</formula>
    </cfRule>
    <cfRule type="cellIs" dxfId="54" priority="626" operator="equal">
      <formula>"PT"</formula>
    </cfRule>
    <cfRule type="cellIs" dxfId="53" priority="627" operator="equal">
      <formula>"TRIM"</formula>
    </cfRule>
    <cfRule type="cellIs" dxfId="52" priority="628" operator="equal">
      <formula>"RI"</formula>
    </cfRule>
    <cfRule type="colorScale" priority="629">
      <colorScale>
        <cfvo type="min"/>
        <cfvo type="percentile" val="50"/>
        <cfvo type="max"/>
        <color rgb="FFF8696B"/>
        <color rgb="FFFFEB84"/>
        <color rgb="FF63BE7B"/>
      </colorScale>
    </cfRule>
  </conditionalFormatting>
  <conditionalFormatting sqref="E6">
    <cfRule type="cellIs" dxfId="51" priority="495" operator="equal">
      <formula>"GW"</formula>
    </cfRule>
    <cfRule type="cellIs" dxfId="50" priority="496" operator="equal">
      <formula>"PT"</formula>
    </cfRule>
    <cfRule type="cellIs" dxfId="49" priority="497" operator="equal">
      <formula>"TRIM"</formula>
    </cfRule>
    <cfRule type="cellIs" dxfId="48" priority="498" operator="equal">
      <formula>"RI"</formula>
    </cfRule>
    <cfRule type="colorScale" priority="499">
      <colorScale>
        <cfvo type="min"/>
        <cfvo type="percentile" val="50"/>
        <cfvo type="max"/>
        <color rgb="FFF8696B"/>
        <color rgb="FFFFEB84"/>
        <color rgb="FF63BE7B"/>
      </colorScale>
    </cfRule>
  </conditionalFormatting>
  <conditionalFormatting sqref="E11">
    <cfRule type="colorScale" priority="525">
      <colorScale>
        <cfvo type="min"/>
        <cfvo type="percentile" val="50"/>
        <cfvo type="max"/>
        <color rgb="FFF8696B"/>
        <color rgb="FFFFEB84"/>
        <color rgb="FF63BE7B"/>
      </colorScale>
    </cfRule>
  </conditionalFormatting>
  <conditionalFormatting sqref="E12">
    <cfRule type="colorScale" priority="555">
      <colorScale>
        <cfvo type="min"/>
        <cfvo type="percentile" val="50"/>
        <cfvo type="max"/>
        <color rgb="FFF8696B"/>
        <color rgb="FFFFEB84"/>
        <color rgb="FF63BE7B"/>
      </colorScale>
    </cfRule>
  </conditionalFormatting>
  <conditionalFormatting sqref="E15">
    <cfRule type="colorScale" priority="569">
      <colorScale>
        <cfvo type="min"/>
        <cfvo type="percentile" val="50"/>
        <cfvo type="max"/>
        <color rgb="FFF8696B"/>
        <color rgb="FFFFEB84"/>
        <color rgb="FF63BE7B"/>
      </colorScale>
    </cfRule>
  </conditionalFormatting>
  <conditionalFormatting sqref="E16">
    <cfRule type="colorScale" priority="545">
      <colorScale>
        <cfvo type="min"/>
        <cfvo type="percentile" val="50"/>
        <cfvo type="max"/>
        <color rgb="FFF8696B"/>
        <color rgb="FFFFEB84"/>
        <color rgb="FF63BE7B"/>
      </colorScale>
    </cfRule>
  </conditionalFormatting>
  <conditionalFormatting sqref="E17">
    <cfRule type="colorScale" priority="486">
      <colorScale>
        <cfvo type="min"/>
        <cfvo type="percentile" val="50"/>
        <cfvo type="max"/>
        <color rgb="FFF8696B"/>
        <color rgb="FFFFEB84"/>
        <color rgb="FF63BE7B"/>
      </colorScale>
    </cfRule>
    <cfRule type="cellIs" dxfId="47" priority="491" operator="equal">
      <formula>"GW"</formula>
    </cfRule>
    <cfRule type="cellIs" dxfId="46" priority="492" operator="equal">
      <formula>"PT"</formula>
    </cfRule>
    <cfRule type="cellIs" dxfId="45" priority="493" operator="equal">
      <formula>"TRIM"</formula>
    </cfRule>
    <cfRule type="cellIs" dxfId="44" priority="494" operator="equal">
      <formula>"RI"</formula>
    </cfRule>
  </conditionalFormatting>
  <conditionalFormatting sqref="E19">
    <cfRule type="colorScale" priority="535">
      <colorScale>
        <cfvo type="min"/>
        <cfvo type="percentile" val="50"/>
        <cfvo type="max"/>
        <color rgb="FFF8696B"/>
        <color rgb="FFFFEB84"/>
        <color rgb="FF63BE7B"/>
      </colorScale>
    </cfRule>
  </conditionalFormatting>
  <conditionalFormatting sqref="E22:E92 H33:H262">
    <cfRule type="cellIs" dxfId="43" priority="3" operator="equal">
      <formula>"GW"</formula>
    </cfRule>
    <cfRule type="cellIs" dxfId="42" priority="4" operator="equal">
      <formula>"PT"</formula>
    </cfRule>
    <cfRule type="cellIs" dxfId="41" priority="5" operator="equal">
      <formula>"TRIM"</formula>
    </cfRule>
    <cfRule type="cellIs" dxfId="40" priority="6" operator="equal">
      <formula>"RI"</formula>
    </cfRule>
  </conditionalFormatting>
  <conditionalFormatting sqref="E24:E25">
    <cfRule type="colorScale" priority="450">
      <colorScale>
        <cfvo type="min"/>
        <cfvo type="percentile" val="50"/>
        <cfvo type="max"/>
        <color rgb="FFF8696B"/>
        <color rgb="FFFFEB84"/>
        <color rgb="FF63BE7B"/>
      </colorScale>
    </cfRule>
  </conditionalFormatting>
  <conditionalFormatting sqref="E26">
    <cfRule type="colorScale" priority="7">
      <colorScale>
        <cfvo type="min"/>
        <cfvo type="percentile" val="50"/>
        <cfvo type="max"/>
        <color rgb="FFF8696B"/>
        <color rgb="FFFFEB84"/>
        <color rgb="FF63BE7B"/>
      </colorScale>
    </cfRule>
  </conditionalFormatting>
  <conditionalFormatting sqref="E27:E31 E7:E10 E18 E13:E14 E20 E22:E23">
    <cfRule type="colorScale" priority="651">
      <colorScale>
        <cfvo type="min"/>
        <cfvo type="percentile" val="50"/>
        <cfvo type="max"/>
        <color rgb="FFF8696B"/>
        <color rgb="FFFFEB84"/>
        <color rgb="FF63BE7B"/>
      </colorScale>
    </cfRule>
  </conditionalFormatting>
  <conditionalFormatting sqref="E32">
    <cfRule type="colorScale" priority="465">
      <colorScale>
        <cfvo type="min"/>
        <cfvo type="percentile" val="50"/>
        <cfvo type="max"/>
        <color rgb="FFF8696B"/>
        <color rgb="FFFFEB84"/>
        <color rgb="FF63BE7B"/>
      </colorScale>
    </cfRule>
  </conditionalFormatting>
  <conditionalFormatting sqref="E33">
    <cfRule type="colorScale" priority="441">
      <colorScale>
        <cfvo type="min"/>
        <cfvo type="percentile" val="50"/>
        <cfvo type="max"/>
        <color rgb="FFF8696B"/>
        <color rgb="FFFFEB84"/>
        <color rgb="FF63BE7B"/>
      </colorScale>
    </cfRule>
  </conditionalFormatting>
  <conditionalFormatting sqref="E35">
    <cfRule type="colorScale" priority="432">
      <colorScale>
        <cfvo type="min"/>
        <cfvo type="percentile" val="50"/>
        <cfvo type="max"/>
        <color rgb="FFF8696B"/>
        <color rgb="FFFFEB84"/>
        <color rgb="FF63BE7B"/>
      </colorScale>
    </cfRule>
  </conditionalFormatting>
  <conditionalFormatting sqref="E36:E37 E34 E40:E42 E44:E47">
    <cfRule type="colorScale" priority="459">
      <colorScale>
        <cfvo type="min"/>
        <cfvo type="percentile" val="50"/>
        <cfvo type="max"/>
        <color rgb="FFF8696B"/>
        <color rgb="FFFFEB84"/>
        <color rgb="FF63BE7B"/>
      </colorScale>
    </cfRule>
  </conditionalFormatting>
  <conditionalFormatting sqref="E38">
    <cfRule type="colorScale" priority="364">
      <colorScale>
        <cfvo type="min"/>
        <cfvo type="percentile" val="50"/>
        <cfvo type="max"/>
        <color rgb="FFF8696B"/>
        <color rgb="FFFFEB84"/>
        <color rgb="FF63BE7B"/>
      </colorScale>
    </cfRule>
  </conditionalFormatting>
  <conditionalFormatting sqref="E39">
    <cfRule type="colorScale" priority="307">
      <colorScale>
        <cfvo type="min"/>
        <cfvo type="percentile" val="50"/>
        <cfvo type="max"/>
        <color rgb="FFF8696B"/>
        <color rgb="FFFFEB84"/>
        <color rgb="FF63BE7B"/>
      </colorScale>
    </cfRule>
  </conditionalFormatting>
  <conditionalFormatting sqref="E43">
    <cfRule type="colorScale" priority="355">
      <colorScale>
        <cfvo type="min"/>
        <cfvo type="percentile" val="50"/>
        <cfvo type="max"/>
        <color rgb="FFF8696B"/>
        <color rgb="FFFFEB84"/>
        <color rgb="FF63BE7B"/>
      </colorScale>
    </cfRule>
  </conditionalFormatting>
  <conditionalFormatting sqref="E48">
    <cfRule type="colorScale" priority="391">
      <colorScale>
        <cfvo type="min"/>
        <cfvo type="percentile" val="50"/>
        <cfvo type="max"/>
        <color rgb="FFF8696B"/>
        <color rgb="FFFFEB84"/>
        <color rgb="FF63BE7B"/>
      </colorScale>
    </cfRule>
  </conditionalFormatting>
  <conditionalFormatting sqref="E49">
    <cfRule type="colorScale" priority="382">
      <colorScale>
        <cfvo type="min"/>
        <cfvo type="percentile" val="50"/>
        <cfvo type="max"/>
        <color rgb="FFF8696B"/>
        <color rgb="FFFFEB84"/>
        <color rgb="FF63BE7B"/>
      </colorScale>
    </cfRule>
  </conditionalFormatting>
  <conditionalFormatting sqref="E50">
    <cfRule type="colorScale" priority="373">
      <colorScale>
        <cfvo type="min"/>
        <cfvo type="percentile" val="50"/>
        <cfvo type="max"/>
        <color rgb="FFF8696B"/>
        <color rgb="FFFFEB84"/>
        <color rgb="FF63BE7B"/>
      </colorScale>
    </cfRule>
  </conditionalFormatting>
  <conditionalFormatting sqref="E51:E53">
    <cfRule type="colorScale" priority="413">
      <colorScale>
        <cfvo type="min"/>
        <cfvo type="percentile" val="50"/>
        <cfvo type="max"/>
        <color rgb="FFF8696B"/>
        <color rgb="FFFFEB84"/>
        <color rgb="FF63BE7B"/>
      </colorScale>
    </cfRule>
  </conditionalFormatting>
  <conditionalFormatting sqref="E54">
    <cfRule type="colorScale" priority="326">
      <colorScale>
        <cfvo type="min"/>
        <cfvo type="percentile" val="50"/>
        <cfvo type="max"/>
        <color rgb="FFF8696B"/>
        <color rgb="FFFFEB84"/>
        <color rgb="FF63BE7B"/>
      </colorScale>
    </cfRule>
  </conditionalFormatting>
  <conditionalFormatting sqref="E55:E56 E87 E58 E81 E60:E73 E75:E76">
    <cfRule type="colorScale" priority="657">
      <colorScale>
        <cfvo type="min"/>
        <cfvo type="percentile" val="50"/>
        <cfvo type="max"/>
        <color rgb="FFF8696B"/>
        <color rgb="FFFFEB84"/>
        <color rgb="FF63BE7B"/>
      </colorScale>
    </cfRule>
  </conditionalFormatting>
  <conditionalFormatting sqref="E57">
    <cfRule type="colorScale" priority="346">
      <colorScale>
        <cfvo type="min"/>
        <cfvo type="percentile" val="50"/>
        <cfvo type="max"/>
        <color rgb="FFF8696B"/>
        <color rgb="FFFFEB84"/>
        <color rgb="FF63BE7B"/>
      </colorScale>
    </cfRule>
  </conditionalFormatting>
  <conditionalFormatting sqref="E59">
    <cfRule type="colorScale" priority="335">
      <colorScale>
        <cfvo type="min"/>
        <cfvo type="percentile" val="50"/>
        <cfvo type="max"/>
        <color rgb="FFF8696B"/>
        <color rgb="FFFFEB84"/>
        <color rgb="FF63BE7B"/>
      </colorScale>
    </cfRule>
  </conditionalFormatting>
  <conditionalFormatting sqref="E74">
    <cfRule type="colorScale" priority="2">
      <colorScale>
        <cfvo type="min"/>
        <cfvo type="percentile" val="50"/>
        <cfvo type="max"/>
        <color rgb="FFF8696B"/>
        <color rgb="FFFFEB84"/>
        <color rgb="FF63BE7B"/>
      </colorScale>
    </cfRule>
  </conditionalFormatting>
  <conditionalFormatting sqref="E78">
    <cfRule type="colorScale" priority="1">
      <colorScale>
        <cfvo type="min"/>
        <cfvo type="percentile" val="50"/>
        <cfvo type="max"/>
        <color rgb="FFF8696B"/>
        <color rgb="FFFFEB84"/>
        <color rgb="FF63BE7B"/>
      </colorScale>
    </cfRule>
  </conditionalFormatting>
  <conditionalFormatting sqref="E82:E84 E77 E95:E99 E89:E92 E101:E103 E107:E109 E111:E116 E118:E122 E125:E126 E128:E129 E133:E134 E149 E137:E144 E153:E154 E146:E147 E158:E159 E161:E163 E166:E167 E169 E185:E186 E171:E181 E188:E262 E79:E80">
    <cfRule type="colorScale" priority="662">
      <colorScale>
        <cfvo type="min"/>
        <cfvo type="percentile" val="50"/>
        <cfvo type="max"/>
        <color rgb="FFF8696B"/>
        <color rgb="FFFFEB84"/>
        <color rgb="FF63BE7B"/>
      </colorScale>
    </cfRule>
  </conditionalFormatting>
  <conditionalFormatting sqref="E85">
    <cfRule type="colorScale" priority="298">
      <colorScale>
        <cfvo type="min"/>
        <cfvo type="percentile" val="50"/>
        <cfvo type="max"/>
        <color rgb="FFF8696B"/>
        <color rgb="FFFFEB84"/>
        <color rgb="FF63BE7B"/>
      </colorScale>
    </cfRule>
  </conditionalFormatting>
  <conditionalFormatting sqref="E86">
    <cfRule type="colorScale" priority="316">
      <colorScale>
        <cfvo type="min"/>
        <cfvo type="percentile" val="50"/>
        <cfvo type="max"/>
        <color rgb="FFF8696B"/>
        <color rgb="FFFFEB84"/>
        <color rgb="FF63BE7B"/>
      </colorScale>
    </cfRule>
  </conditionalFormatting>
  <conditionalFormatting sqref="E88">
    <cfRule type="colorScale" priority="289">
      <colorScale>
        <cfvo type="min"/>
        <cfvo type="percentile" val="50"/>
        <cfvo type="max"/>
        <color rgb="FFF8696B"/>
        <color rgb="FFFFEB84"/>
        <color rgb="FF63BE7B"/>
      </colorScale>
    </cfRule>
  </conditionalFormatting>
  <conditionalFormatting sqref="E94">
    <cfRule type="colorScale" priority="280">
      <colorScale>
        <cfvo type="min"/>
        <cfvo type="percentile" val="50"/>
        <cfvo type="max"/>
        <color rgb="FFF8696B"/>
        <color rgb="FFFFEB84"/>
        <color rgb="FF63BE7B"/>
      </colorScale>
    </cfRule>
  </conditionalFormatting>
  <conditionalFormatting sqref="E94:E262">
    <cfRule type="cellIs" dxfId="39" priority="8" operator="equal">
      <formula>"GW"</formula>
    </cfRule>
    <cfRule type="cellIs" dxfId="38" priority="9" operator="equal">
      <formula>"PT"</formula>
    </cfRule>
    <cfRule type="cellIs" dxfId="37" priority="10" operator="equal">
      <formula>"TRIM"</formula>
    </cfRule>
    <cfRule type="cellIs" dxfId="36" priority="11" operator="equal">
      <formula>"RI"</formula>
    </cfRule>
  </conditionalFormatting>
  <conditionalFormatting sqref="E100">
    <cfRule type="colorScale" priority="271">
      <colorScale>
        <cfvo type="min"/>
        <cfvo type="percentile" val="50"/>
        <cfvo type="max"/>
        <color rgb="FFF8696B"/>
        <color rgb="FFFFEB84"/>
        <color rgb="FF63BE7B"/>
      </colorScale>
    </cfRule>
  </conditionalFormatting>
  <conditionalFormatting sqref="E104">
    <cfRule type="colorScale" priority="262">
      <colorScale>
        <cfvo type="min"/>
        <cfvo type="percentile" val="50"/>
        <cfvo type="max"/>
        <color rgb="FFF8696B"/>
        <color rgb="FFFFEB84"/>
        <color rgb="FF63BE7B"/>
      </colorScale>
    </cfRule>
  </conditionalFormatting>
  <conditionalFormatting sqref="E105">
    <cfRule type="colorScale" priority="253">
      <colorScale>
        <cfvo type="min"/>
        <cfvo type="percentile" val="50"/>
        <cfvo type="max"/>
        <color rgb="FFF8696B"/>
        <color rgb="FFFFEB84"/>
        <color rgb="FF63BE7B"/>
      </colorScale>
    </cfRule>
  </conditionalFormatting>
  <conditionalFormatting sqref="E106">
    <cfRule type="colorScale" priority="244">
      <colorScale>
        <cfvo type="min"/>
        <cfvo type="percentile" val="50"/>
        <cfvo type="max"/>
        <color rgb="FFF8696B"/>
        <color rgb="FFFFEB84"/>
        <color rgb="FF63BE7B"/>
      </colorScale>
    </cfRule>
  </conditionalFormatting>
  <conditionalFormatting sqref="E110">
    <cfRule type="colorScale" priority="195">
      <colorScale>
        <cfvo type="min"/>
        <cfvo type="percentile" val="50"/>
        <cfvo type="max"/>
        <color rgb="FFF8696B"/>
        <color rgb="FFFFEB84"/>
        <color rgb="FF63BE7B"/>
      </colorScale>
    </cfRule>
  </conditionalFormatting>
  <conditionalFormatting sqref="E117">
    <cfRule type="colorScale" priority="231">
      <colorScale>
        <cfvo type="min"/>
        <cfvo type="percentile" val="50"/>
        <cfvo type="max"/>
        <color rgb="FFF8696B"/>
        <color rgb="FFFFEB84"/>
        <color rgb="FF63BE7B"/>
      </colorScale>
    </cfRule>
  </conditionalFormatting>
  <conditionalFormatting sqref="E123:E124">
    <cfRule type="colorScale" priority="222">
      <colorScale>
        <cfvo type="min"/>
        <cfvo type="percentile" val="50"/>
        <cfvo type="max"/>
        <color rgb="FFF8696B"/>
        <color rgb="FFFFEB84"/>
        <color rgb="FF63BE7B"/>
      </colorScale>
    </cfRule>
  </conditionalFormatting>
  <conditionalFormatting sqref="E127">
    <cfRule type="colorScale" priority="213">
      <colorScale>
        <cfvo type="min"/>
        <cfvo type="percentile" val="50"/>
        <cfvo type="max"/>
        <color rgb="FFF8696B"/>
        <color rgb="FFFFEB84"/>
        <color rgb="FF63BE7B"/>
      </colorScale>
    </cfRule>
  </conditionalFormatting>
  <conditionalFormatting sqref="E130">
    <cfRule type="colorScale" priority="204">
      <colorScale>
        <cfvo type="min"/>
        <cfvo type="percentile" val="50"/>
        <cfvo type="max"/>
        <color rgb="FFF8696B"/>
        <color rgb="FFFFEB84"/>
        <color rgb="FF63BE7B"/>
      </colorScale>
    </cfRule>
  </conditionalFormatting>
  <conditionalFormatting sqref="E131:E132">
    <cfRule type="colorScale" priority="186">
      <colorScale>
        <cfvo type="min"/>
        <cfvo type="percentile" val="50"/>
        <cfvo type="max"/>
        <color rgb="FFF8696B"/>
        <color rgb="FFFFEB84"/>
        <color rgb="FF63BE7B"/>
      </colorScale>
    </cfRule>
  </conditionalFormatting>
  <conditionalFormatting sqref="E135">
    <cfRule type="colorScale" priority="168">
      <colorScale>
        <cfvo type="min"/>
        <cfvo type="percentile" val="50"/>
        <cfvo type="max"/>
        <color rgb="FFF8696B"/>
        <color rgb="FFFFEB84"/>
        <color rgb="FF63BE7B"/>
      </colorScale>
    </cfRule>
  </conditionalFormatting>
  <conditionalFormatting sqref="E136">
    <cfRule type="colorScale" priority="115">
      <colorScale>
        <cfvo type="min"/>
        <cfvo type="percentile" val="50"/>
        <cfvo type="max"/>
        <color rgb="FFF8696B"/>
        <color rgb="FFFFEB84"/>
        <color rgb="FF63BE7B"/>
      </colorScale>
    </cfRule>
  </conditionalFormatting>
  <conditionalFormatting sqref="E145">
    <cfRule type="colorScale" priority="148">
      <colorScale>
        <cfvo type="min"/>
        <cfvo type="percentile" val="50"/>
        <cfvo type="max"/>
        <color rgb="FFF8696B"/>
        <color rgb="FFFFEB84"/>
        <color rgb="FF63BE7B"/>
      </colorScale>
    </cfRule>
  </conditionalFormatting>
  <conditionalFormatting sqref="E148">
    <cfRule type="colorScale" priority="175">
      <colorScale>
        <cfvo type="min"/>
        <cfvo type="percentile" val="50"/>
        <cfvo type="max"/>
        <color rgb="FFF8696B"/>
        <color rgb="FFFFEB84"/>
        <color rgb="FF63BE7B"/>
      </colorScale>
    </cfRule>
  </conditionalFormatting>
  <conditionalFormatting sqref="E150">
    <cfRule type="colorScale" priority="79">
      <colorScale>
        <cfvo type="min"/>
        <cfvo type="percentile" val="50"/>
        <cfvo type="max"/>
        <color rgb="FFF8696B"/>
        <color rgb="FFFFEB84"/>
        <color rgb="FF63BE7B"/>
      </colorScale>
    </cfRule>
  </conditionalFormatting>
  <conditionalFormatting sqref="E151">
    <cfRule type="colorScale" priority="159">
      <colorScale>
        <cfvo type="min"/>
        <cfvo type="percentile" val="50"/>
        <cfvo type="max"/>
        <color rgb="FFF8696B"/>
        <color rgb="FFFFEB84"/>
        <color rgb="FF63BE7B"/>
      </colorScale>
    </cfRule>
  </conditionalFormatting>
  <conditionalFormatting sqref="E152">
    <cfRule type="colorScale" priority="106">
      <colorScale>
        <cfvo type="min"/>
        <cfvo type="percentile" val="50"/>
        <cfvo type="max"/>
        <color rgb="FFF8696B"/>
        <color rgb="FFFFEB84"/>
        <color rgb="FF63BE7B"/>
      </colorScale>
    </cfRule>
  </conditionalFormatting>
  <conditionalFormatting sqref="E155">
    <cfRule type="colorScale" priority="70">
      <colorScale>
        <cfvo type="min"/>
        <cfvo type="percentile" val="50"/>
        <cfvo type="max"/>
        <color rgb="FFF8696B"/>
        <color rgb="FFFFEB84"/>
        <color rgb="FF63BE7B"/>
      </colorScale>
    </cfRule>
  </conditionalFormatting>
  <conditionalFormatting sqref="E156:E157">
    <cfRule type="colorScale" priority="133">
      <colorScale>
        <cfvo type="min"/>
        <cfvo type="percentile" val="50"/>
        <cfvo type="max"/>
        <color rgb="FFF8696B"/>
        <color rgb="FFFFEB84"/>
        <color rgb="FF63BE7B"/>
      </colorScale>
    </cfRule>
  </conditionalFormatting>
  <conditionalFormatting sqref="E160">
    <cfRule type="colorScale" priority="126">
      <colorScale>
        <cfvo type="min"/>
        <cfvo type="percentile" val="50"/>
        <cfvo type="max"/>
        <color rgb="FFF8696B"/>
        <color rgb="FFFFEB84"/>
        <color rgb="FF63BE7B"/>
      </colorScale>
    </cfRule>
  </conditionalFormatting>
  <conditionalFormatting sqref="E164">
    <cfRule type="colorScale" priority="97">
      <colorScale>
        <cfvo type="min"/>
        <cfvo type="percentile" val="50"/>
        <cfvo type="max"/>
        <color rgb="FFF8696B"/>
        <color rgb="FFFFEB84"/>
        <color rgb="FF63BE7B"/>
      </colorScale>
    </cfRule>
  </conditionalFormatting>
  <conditionalFormatting sqref="E165">
    <cfRule type="colorScale" priority="88">
      <colorScale>
        <cfvo type="min"/>
        <cfvo type="percentile" val="50"/>
        <cfvo type="max"/>
        <color rgb="FFF8696B"/>
        <color rgb="FFFFEB84"/>
        <color rgb="FF63BE7B"/>
      </colorScale>
    </cfRule>
  </conditionalFormatting>
  <conditionalFormatting sqref="E168">
    <cfRule type="colorScale" priority="61">
      <colorScale>
        <cfvo type="min"/>
        <cfvo type="percentile" val="50"/>
        <cfvo type="max"/>
        <color rgb="FFF8696B"/>
        <color rgb="FFFFEB84"/>
        <color rgb="FF63BE7B"/>
      </colorScale>
    </cfRule>
  </conditionalFormatting>
  <conditionalFormatting sqref="E170">
    <cfRule type="colorScale" priority="16">
      <colorScale>
        <cfvo type="min"/>
        <cfvo type="percentile" val="50"/>
        <cfvo type="max"/>
        <color rgb="FFF8696B"/>
        <color rgb="FFFFEB84"/>
        <color rgb="FF63BE7B"/>
      </colorScale>
    </cfRule>
  </conditionalFormatting>
  <conditionalFormatting sqref="E182">
    <cfRule type="colorScale" priority="52">
      <colorScale>
        <cfvo type="min"/>
        <cfvo type="percentile" val="50"/>
        <cfvo type="max"/>
        <color rgb="FFF8696B"/>
        <color rgb="FFFFEB84"/>
        <color rgb="FF63BE7B"/>
      </colorScale>
    </cfRule>
  </conditionalFormatting>
  <conditionalFormatting sqref="E183">
    <cfRule type="colorScale" priority="43">
      <colorScale>
        <cfvo type="min"/>
        <cfvo type="percentile" val="50"/>
        <cfvo type="max"/>
        <color rgb="FFF8696B"/>
        <color rgb="FFFFEB84"/>
        <color rgb="FF63BE7B"/>
      </colorScale>
    </cfRule>
  </conditionalFormatting>
  <conditionalFormatting sqref="E184">
    <cfRule type="colorScale" priority="34">
      <colorScale>
        <cfvo type="min"/>
        <cfvo type="percentile" val="50"/>
        <cfvo type="max"/>
        <color rgb="FFF8696B"/>
        <color rgb="FFFFEB84"/>
        <color rgb="FF63BE7B"/>
      </colorScale>
    </cfRule>
  </conditionalFormatting>
  <conditionalFormatting sqref="E187">
    <cfRule type="colorScale" priority="25">
      <colorScale>
        <cfvo type="min"/>
        <cfvo type="percentile" val="50"/>
        <cfvo type="max"/>
        <color rgb="FFF8696B"/>
        <color rgb="FFFFEB84"/>
        <color rgb="FF63BE7B"/>
      </colorScale>
    </cfRule>
  </conditionalFormatting>
  <conditionalFormatting sqref="H2:H6">
    <cfRule type="cellIs" dxfId="35" priority="520" operator="equal">
      <formula>"GW"</formula>
    </cfRule>
    <cfRule type="cellIs" dxfId="34" priority="521" operator="equal">
      <formula>"PT"</formula>
    </cfRule>
    <cfRule type="cellIs" dxfId="33" priority="522" operator="equal">
      <formula>"TRIM"</formula>
    </cfRule>
    <cfRule type="cellIs" dxfId="32" priority="523" operator="equal">
      <formula>"RI"</formula>
    </cfRule>
  </conditionalFormatting>
  <conditionalFormatting sqref="H6">
    <cfRule type="colorScale" priority="524">
      <colorScale>
        <cfvo type="min"/>
        <cfvo type="percentile" val="50"/>
        <cfvo type="max"/>
        <color rgb="FFF8696B"/>
        <color rgb="FFFFEB84"/>
        <color rgb="FF63BE7B"/>
      </colorScale>
    </cfRule>
  </conditionalFormatting>
  <conditionalFormatting sqref="H7:H11 E7:E11">
    <cfRule type="cellIs" dxfId="31" priority="531" operator="equal">
      <formula>"GW"</formula>
    </cfRule>
    <cfRule type="cellIs" dxfId="30" priority="532" operator="equal">
      <formula>"PT"</formula>
    </cfRule>
    <cfRule type="cellIs" dxfId="29" priority="533" operator="equal">
      <formula>"TRIM"</formula>
    </cfRule>
    <cfRule type="cellIs" dxfId="28" priority="534" operator="equal">
      <formula>"RI"</formula>
    </cfRule>
  </conditionalFormatting>
  <conditionalFormatting sqref="H11">
    <cfRule type="colorScale" priority="530">
      <colorScale>
        <cfvo type="min"/>
        <cfvo type="percentile" val="50"/>
        <cfvo type="max"/>
        <color rgb="FFF8696B"/>
        <color rgb="FFFFEB84"/>
        <color rgb="FF63BE7B"/>
      </colorScale>
    </cfRule>
  </conditionalFormatting>
  <conditionalFormatting sqref="H12">
    <cfRule type="colorScale" priority="560">
      <colorScale>
        <cfvo type="min"/>
        <cfvo type="percentile" val="50"/>
        <cfvo type="max"/>
        <color rgb="FFF8696B"/>
        <color rgb="FFFFEB84"/>
        <color rgb="FF63BE7B"/>
      </colorScale>
    </cfRule>
  </conditionalFormatting>
  <conditionalFormatting sqref="H12:H15 E12:E15">
    <cfRule type="cellIs" dxfId="27" priority="561" operator="equal">
      <formula>"GW"</formula>
    </cfRule>
    <cfRule type="cellIs" dxfId="26" priority="562" operator="equal">
      <formula>"PT"</formula>
    </cfRule>
    <cfRule type="cellIs" dxfId="25" priority="563" operator="equal">
      <formula>"TRIM"</formula>
    </cfRule>
    <cfRule type="cellIs" dxfId="24" priority="564" operator="equal">
      <formula>"RI"</formula>
    </cfRule>
  </conditionalFormatting>
  <conditionalFormatting sqref="H15">
    <cfRule type="colorScale" priority="594">
      <colorScale>
        <cfvo type="min"/>
        <cfvo type="percentile" val="50"/>
        <cfvo type="max"/>
        <color rgb="FFF8696B"/>
        <color rgb="FFFFEB84"/>
        <color rgb="FF63BE7B"/>
      </colorScale>
    </cfRule>
  </conditionalFormatting>
  <conditionalFormatting sqref="H16 E16">
    <cfRule type="cellIs" dxfId="23" priority="551" operator="equal">
      <formula>"GW"</formula>
    </cfRule>
    <cfRule type="cellIs" dxfId="22" priority="552" operator="equal">
      <formula>"PT"</formula>
    </cfRule>
    <cfRule type="cellIs" dxfId="21" priority="553" operator="equal">
      <formula>"TRIM"</formula>
    </cfRule>
    <cfRule type="cellIs" dxfId="20" priority="554" operator="equal">
      <formula>"RI"</formula>
    </cfRule>
  </conditionalFormatting>
  <conditionalFormatting sqref="H16">
    <cfRule type="colorScale" priority="550">
      <colorScale>
        <cfvo type="min"/>
        <cfvo type="percentile" val="50"/>
        <cfvo type="max"/>
        <color rgb="FFF8696B"/>
        <color rgb="FFFFEB84"/>
        <color rgb="FF63BE7B"/>
      </colorScale>
    </cfRule>
  </conditionalFormatting>
  <conditionalFormatting sqref="H17">
    <cfRule type="colorScale" priority="471">
      <colorScale>
        <cfvo type="min"/>
        <cfvo type="percentile" val="50"/>
        <cfvo type="max"/>
        <color rgb="FFF8696B"/>
        <color rgb="FFFFEB84"/>
        <color rgb="FF63BE7B"/>
      </colorScale>
    </cfRule>
    <cfRule type="cellIs" dxfId="19" priority="472" operator="equal">
      <formula>"GW"</formula>
    </cfRule>
    <cfRule type="cellIs" dxfId="18" priority="473" operator="equal">
      <formula>"PT"</formula>
    </cfRule>
    <cfRule type="cellIs" dxfId="17" priority="474" operator="equal">
      <formula>"TRIM"</formula>
    </cfRule>
    <cfRule type="cellIs" dxfId="16" priority="475" operator="equal">
      <formula>"RI"</formula>
    </cfRule>
  </conditionalFormatting>
  <conditionalFormatting sqref="H18:H21 E18:E20">
    <cfRule type="cellIs" dxfId="15" priority="541" operator="equal">
      <formula>"GW"</formula>
    </cfRule>
    <cfRule type="cellIs" dxfId="14" priority="542" operator="equal">
      <formula>"PT"</formula>
    </cfRule>
    <cfRule type="cellIs" dxfId="13" priority="543" operator="equal">
      <formula>"TRIM"</formula>
    </cfRule>
    <cfRule type="cellIs" dxfId="12" priority="544" operator="equal">
      <formula>"RI"</formula>
    </cfRule>
  </conditionalFormatting>
  <conditionalFormatting sqref="H19">
    <cfRule type="colorScale" priority="540">
      <colorScale>
        <cfvo type="min"/>
        <cfvo type="percentile" val="50"/>
        <cfvo type="max"/>
        <color rgb="FFF8696B"/>
        <color rgb="FFFFEB84"/>
        <color rgb="FF63BE7B"/>
      </colorScale>
    </cfRule>
  </conditionalFormatting>
  <conditionalFormatting sqref="H22">
    <cfRule type="colorScale" priority="396">
      <colorScale>
        <cfvo type="min"/>
        <cfvo type="percentile" val="50"/>
        <cfvo type="max"/>
        <color rgb="FFF8696B"/>
        <color rgb="FFFFEB84"/>
        <color rgb="FF63BE7B"/>
      </colorScale>
    </cfRule>
  </conditionalFormatting>
  <conditionalFormatting sqref="H22:H24">
    <cfRule type="cellIs" dxfId="11" priority="392" operator="equal">
      <formula>"GW"</formula>
    </cfRule>
    <cfRule type="cellIs" dxfId="10" priority="393" operator="equal">
      <formula>"PT"</formula>
    </cfRule>
    <cfRule type="cellIs" dxfId="9" priority="394" operator="equal">
      <formula>"TRIM"</formula>
    </cfRule>
    <cfRule type="cellIs" dxfId="8" priority="395" operator="equal">
      <formula>"RI"</formula>
    </cfRule>
  </conditionalFormatting>
  <conditionalFormatting sqref="H24">
    <cfRule type="colorScale" priority="446">
      <colorScale>
        <cfvo type="min"/>
        <cfvo type="percentile" val="50"/>
        <cfvo type="max"/>
        <color rgb="FFF8696B"/>
        <color rgb="FFFFEB84"/>
        <color rgb="FF63BE7B"/>
      </colorScale>
    </cfRule>
  </conditionalFormatting>
  <conditionalFormatting sqref="H25">
    <cfRule type="colorScale" priority="481">
      <colorScale>
        <cfvo type="min"/>
        <cfvo type="percentile" val="50"/>
        <cfvo type="max"/>
        <color rgb="FFF8696B"/>
        <color rgb="FFFFEB84"/>
        <color rgb="FF63BE7B"/>
      </colorScale>
    </cfRule>
  </conditionalFormatting>
  <conditionalFormatting sqref="H25:H31">
    <cfRule type="cellIs" dxfId="7" priority="482" operator="equal">
      <formula>"GW"</formula>
    </cfRule>
    <cfRule type="cellIs" dxfId="6" priority="483" operator="equal">
      <formula>"PT"</formula>
    </cfRule>
    <cfRule type="cellIs" dxfId="5" priority="484" operator="equal">
      <formula>"TRIM"</formula>
    </cfRule>
    <cfRule type="cellIs" dxfId="4" priority="485" operator="equal">
      <formula>"RI"</formula>
    </cfRule>
  </conditionalFormatting>
  <conditionalFormatting sqref="H26:H31 H2:H5 H18 H13:H14 H7:H10 H20:H21 H23">
    <cfRule type="colorScale" priority="647">
      <colorScale>
        <cfvo type="min"/>
        <cfvo type="percentile" val="50"/>
        <cfvo type="max"/>
        <color rgb="FFF8696B"/>
        <color rgb="FFFFEB84"/>
        <color rgb="FF63BE7B"/>
      </colorScale>
    </cfRule>
  </conditionalFormatting>
  <conditionalFormatting sqref="H33">
    <cfRule type="colorScale" priority="437">
      <colorScale>
        <cfvo type="min"/>
        <cfvo type="percentile" val="50"/>
        <cfvo type="max"/>
        <color rgb="FFF8696B"/>
        <color rgb="FFFFEB84"/>
        <color rgb="FF63BE7B"/>
      </colorScale>
    </cfRule>
  </conditionalFormatting>
  <conditionalFormatting sqref="H35">
    <cfRule type="colorScale" priority="428">
      <colorScale>
        <cfvo type="min"/>
        <cfvo type="percentile" val="50"/>
        <cfvo type="max"/>
        <color rgb="FFF8696B"/>
        <color rgb="FFFFEB84"/>
        <color rgb="FF63BE7B"/>
      </colorScale>
    </cfRule>
  </conditionalFormatting>
  <conditionalFormatting sqref="H36:H37 H34 H42 H40 H44:H47">
    <cfRule type="colorScale" priority="455">
      <colorScale>
        <cfvo type="min"/>
        <cfvo type="percentile" val="50"/>
        <cfvo type="max"/>
        <color rgb="FFF8696B"/>
        <color rgb="FFFFEB84"/>
        <color rgb="FF63BE7B"/>
      </colorScale>
    </cfRule>
  </conditionalFormatting>
  <conditionalFormatting sqref="H38">
    <cfRule type="colorScale" priority="360">
      <colorScale>
        <cfvo type="min"/>
        <cfvo type="percentile" val="50"/>
        <cfvo type="max"/>
        <color rgb="FFF8696B"/>
        <color rgb="FFFFEB84"/>
        <color rgb="FF63BE7B"/>
      </colorScale>
    </cfRule>
  </conditionalFormatting>
  <conditionalFormatting sqref="H39">
    <cfRule type="colorScale" priority="303">
      <colorScale>
        <cfvo type="min"/>
        <cfvo type="percentile" val="50"/>
        <cfvo type="max"/>
        <color rgb="FFF8696B"/>
        <color rgb="FFFFEB84"/>
        <color rgb="FF63BE7B"/>
      </colorScale>
    </cfRule>
  </conditionalFormatting>
  <conditionalFormatting sqref="H41">
    <cfRule type="colorScale" priority="423">
      <colorScale>
        <cfvo type="min"/>
        <cfvo type="percentile" val="50"/>
        <cfvo type="max"/>
        <color rgb="FFF8696B"/>
        <color rgb="FFFFEB84"/>
        <color rgb="FF63BE7B"/>
      </colorScale>
    </cfRule>
  </conditionalFormatting>
  <conditionalFormatting sqref="H43">
    <cfRule type="colorScale" priority="351">
      <colorScale>
        <cfvo type="min"/>
        <cfvo type="percentile" val="50"/>
        <cfvo type="max"/>
        <color rgb="FFF8696B"/>
        <color rgb="FFFFEB84"/>
        <color rgb="FF63BE7B"/>
      </colorScale>
    </cfRule>
  </conditionalFormatting>
  <conditionalFormatting sqref="H48">
    <cfRule type="colorScale" priority="387">
      <colorScale>
        <cfvo type="min"/>
        <cfvo type="percentile" val="50"/>
        <cfvo type="max"/>
        <color rgb="FFF8696B"/>
        <color rgb="FFFFEB84"/>
        <color rgb="FF63BE7B"/>
      </colorScale>
    </cfRule>
  </conditionalFormatting>
  <conditionalFormatting sqref="H49">
    <cfRule type="colorScale" priority="378">
      <colorScale>
        <cfvo type="min"/>
        <cfvo type="percentile" val="50"/>
        <cfvo type="max"/>
        <color rgb="FFF8696B"/>
        <color rgb="FFFFEB84"/>
        <color rgb="FF63BE7B"/>
      </colorScale>
    </cfRule>
  </conditionalFormatting>
  <conditionalFormatting sqref="H50">
    <cfRule type="colorScale" priority="369">
      <colorScale>
        <cfvo type="min"/>
        <cfvo type="percentile" val="50"/>
        <cfvo type="max"/>
        <color rgb="FFF8696B"/>
        <color rgb="FFFFEB84"/>
        <color rgb="FF63BE7B"/>
      </colorScale>
    </cfRule>
  </conditionalFormatting>
  <conditionalFormatting sqref="H51:H53">
    <cfRule type="colorScale" priority="409">
      <colorScale>
        <cfvo type="min"/>
        <cfvo type="percentile" val="50"/>
        <cfvo type="max"/>
        <color rgb="FFF8696B"/>
        <color rgb="FFFFEB84"/>
        <color rgb="FF63BE7B"/>
      </colorScale>
    </cfRule>
  </conditionalFormatting>
  <conditionalFormatting sqref="H54">
    <cfRule type="colorScale" priority="322">
      <colorScale>
        <cfvo type="min"/>
        <cfvo type="percentile" val="50"/>
        <cfvo type="max"/>
        <color rgb="FFF8696B"/>
        <color rgb="FFFFEB84"/>
        <color rgb="FF63BE7B"/>
      </colorScale>
    </cfRule>
  </conditionalFormatting>
  <conditionalFormatting sqref="H55:H56 H87 H58 H81 H60:H76">
    <cfRule type="colorScale" priority="653">
      <colorScale>
        <cfvo type="min"/>
        <cfvo type="percentile" val="50"/>
        <cfvo type="max"/>
        <color rgb="FFF8696B"/>
        <color rgb="FFFFEB84"/>
        <color rgb="FF63BE7B"/>
      </colorScale>
    </cfRule>
  </conditionalFormatting>
  <conditionalFormatting sqref="H57">
    <cfRule type="colorScale" priority="342">
      <colorScale>
        <cfvo type="min"/>
        <cfvo type="percentile" val="50"/>
        <cfvo type="max"/>
        <color rgb="FFF8696B"/>
        <color rgb="FFFFEB84"/>
        <color rgb="FF63BE7B"/>
      </colorScale>
    </cfRule>
  </conditionalFormatting>
  <conditionalFormatting sqref="H59">
    <cfRule type="colorScale" priority="331">
      <colorScale>
        <cfvo type="min"/>
        <cfvo type="percentile" val="50"/>
        <cfvo type="max"/>
        <color rgb="FFF8696B"/>
        <color rgb="FFFFEB84"/>
        <color rgb="FF63BE7B"/>
      </colorScale>
    </cfRule>
  </conditionalFormatting>
  <conditionalFormatting sqref="H85">
    <cfRule type="colorScale" priority="294">
      <colorScale>
        <cfvo type="min"/>
        <cfvo type="percentile" val="50"/>
        <cfvo type="max"/>
        <color rgb="FFF8696B"/>
        <color rgb="FFFFEB84"/>
        <color rgb="FF63BE7B"/>
      </colorScale>
    </cfRule>
  </conditionalFormatting>
  <conditionalFormatting sqref="H86">
    <cfRule type="colorScale" priority="312">
      <colorScale>
        <cfvo type="min"/>
        <cfvo type="percentile" val="50"/>
        <cfvo type="max"/>
        <color rgb="FFF8696B"/>
        <color rgb="FFFFEB84"/>
        <color rgb="FF63BE7B"/>
      </colorScale>
    </cfRule>
  </conditionalFormatting>
  <conditionalFormatting sqref="H88">
    <cfRule type="colorScale" priority="285">
      <colorScale>
        <cfvo type="min"/>
        <cfvo type="percentile" val="50"/>
        <cfvo type="max"/>
        <color rgb="FFF8696B"/>
        <color rgb="FFFFEB84"/>
        <color rgb="FF63BE7B"/>
      </colorScale>
    </cfRule>
  </conditionalFormatting>
  <conditionalFormatting sqref="H94">
    <cfRule type="colorScale" priority="276">
      <colorScale>
        <cfvo type="min"/>
        <cfvo type="percentile" val="50"/>
        <cfvo type="max"/>
        <color rgb="FFF8696B"/>
        <color rgb="FFFFEB84"/>
        <color rgb="FF63BE7B"/>
      </colorScale>
    </cfRule>
  </conditionalFormatting>
  <conditionalFormatting sqref="H100">
    <cfRule type="colorScale" priority="267">
      <colorScale>
        <cfvo type="min"/>
        <cfvo type="percentile" val="50"/>
        <cfvo type="max"/>
        <color rgb="FFF8696B"/>
        <color rgb="FFFFEB84"/>
        <color rgb="FF63BE7B"/>
      </colorScale>
    </cfRule>
  </conditionalFormatting>
  <conditionalFormatting sqref="H104">
    <cfRule type="colorScale" priority="258">
      <colorScale>
        <cfvo type="min"/>
        <cfvo type="percentile" val="50"/>
        <cfvo type="max"/>
        <color rgb="FFF8696B"/>
        <color rgb="FFFFEB84"/>
        <color rgb="FF63BE7B"/>
      </colorScale>
    </cfRule>
  </conditionalFormatting>
  <conditionalFormatting sqref="H105">
    <cfRule type="colorScale" priority="249">
      <colorScale>
        <cfvo type="min"/>
        <cfvo type="percentile" val="50"/>
        <cfvo type="max"/>
        <color rgb="FFF8696B"/>
        <color rgb="FFFFEB84"/>
        <color rgb="FF63BE7B"/>
      </colorScale>
    </cfRule>
  </conditionalFormatting>
  <conditionalFormatting sqref="H106">
    <cfRule type="colorScale" priority="240">
      <colorScale>
        <cfvo type="min"/>
        <cfvo type="percentile" val="50"/>
        <cfvo type="max"/>
        <color rgb="FFF8696B"/>
        <color rgb="FFFFEB84"/>
        <color rgb="FF63BE7B"/>
      </colorScale>
    </cfRule>
  </conditionalFormatting>
  <conditionalFormatting sqref="H110">
    <cfRule type="colorScale" priority="191">
      <colorScale>
        <cfvo type="min"/>
        <cfvo type="percentile" val="50"/>
        <cfvo type="max"/>
        <color rgb="FFF8696B"/>
        <color rgb="FFFFEB84"/>
        <color rgb="FF63BE7B"/>
      </colorScale>
    </cfRule>
  </conditionalFormatting>
  <conditionalFormatting sqref="H111:H116 H82:H84 H77:H80 H95:H99 H89:H93 H101:H103 H107:H109 H118:H122 H125:H126 H128:H129 H133:H134 H137:H144 H146:H149 H158:H163 H153:H154 H166:H167 H151 H169 H185:H186 H188:H262 H171:H181">
    <cfRule type="colorScale" priority="658">
      <colorScale>
        <cfvo type="min"/>
        <cfvo type="percentile" val="50"/>
        <cfvo type="max"/>
        <color rgb="FFF8696B"/>
        <color rgb="FFFFEB84"/>
        <color rgb="FF63BE7B"/>
      </colorScale>
    </cfRule>
  </conditionalFormatting>
  <conditionalFormatting sqref="H117">
    <cfRule type="colorScale" priority="227">
      <colorScale>
        <cfvo type="min"/>
        <cfvo type="percentile" val="50"/>
        <cfvo type="max"/>
        <color rgb="FFF8696B"/>
        <color rgb="FFFFEB84"/>
        <color rgb="FF63BE7B"/>
      </colorScale>
    </cfRule>
  </conditionalFormatting>
  <conditionalFormatting sqref="H123:H124">
    <cfRule type="colorScale" priority="218">
      <colorScale>
        <cfvo type="min"/>
        <cfvo type="percentile" val="50"/>
        <cfvo type="max"/>
        <color rgb="FFF8696B"/>
        <color rgb="FFFFEB84"/>
        <color rgb="FF63BE7B"/>
      </colorScale>
    </cfRule>
  </conditionalFormatting>
  <conditionalFormatting sqref="H127">
    <cfRule type="colorScale" priority="209">
      <colorScale>
        <cfvo type="min"/>
        <cfvo type="percentile" val="50"/>
        <cfvo type="max"/>
        <color rgb="FFF8696B"/>
        <color rgb="FFFFEB84"/>
        <color rgb="FF63BE7B"/>
      </colorScale>
    </cfRule>
  </conditionalFormatting>
  <conditionalFormatting sqref="H130">
    <cfRule type="colorScale" priority="200">
      <colorScale>
        <cfvo type="min"/>
        <cfvo type="percentile" val="50"/>
        <cfvo type="max"/>
        <color rgb="FFF8696B"/>
        <color rgb="FFFFEB84"/>
        <color rgb="FF63BE7B"/>
      </colorScale>
    </cfRule>
  </conditionalFormatting>
  <conditionalFormatting sqref="H131:H132">
    <cfRule type="colorScale" priority="182">
      <colorScale>
        <cfvo type="min"/>
        <cfvo type="percentile" val="50"/>
        <cfvo type="max"/>
        <color rgb="FFF8696B"/>
        <color rgb="FFFFEB84"/>
        <color rgb="FF63BE7B"/>
      </colorScale>
    </cfRule>
  </conditionalFormatting>
  <conditionalFormatting sqref="H135">
    <cfRule type="colorScale" priority="164">
      <colorScale>
        <cfvo type="min"/>
        <cfvo type="percentile" val="50"/>
        <cfvo type="max"/>
        <color rgb="FFF8696B"/>
        <color rgb="FFFFEB84"/>
        <color rgb="FF63BE7B"/>
      </colorScale>
    </cfRule>
  </conditionalFormatting>
  <conditionalFormatting sqref="H136">
    <cfRule type="colorScale" priority="111">
      <colorScale>
        <cfvo type="min"/>
        <cfvo type="percentile" val="50"/>
        <cfvo type="max"/>
        <color rgb="FFF8696B"/>
        <color rgb="FFFFEB84"/>
        <color rgb="FF63BE7B"/>
      </colorScale>
    </cfRule>
  </conditionalFormatting>
  <conditionalFormatting sqref="H145">
    <cfRule type="colorScale" priority="144">
      <colorScale>
        <cfvo type="min"/>
        <cfvo type="percentile" val="50"/>
        <cfvo type="max"/>
        <color rgb="FFF8696B"/>
        <color rgb="FFFFEB84"/>
        <color rgb="FF63BE7B"/>
      </colorScale>
    </cfRule>
  </conditionalFormatting>
  <conditionalFormatting sqref="H150">
    <cfRule type="colorScale" priority="75">
      <colorScale>
        <cfvo type="min"/>
        <cfvo type="percentile" val="50"/>
        <cfvo type="max"/>
        <color rgb="FFF8696B"/>
        <color rgb="FFFFEB84"/>
        <color rgb="FF63BE7B"/>
      </colorScale>
    </cfRule>
  </conditionalFormatting>
  <conditionalFormatting sqref="H152">
    <cfRule type="colorScale" priority="102">
      <colorScale>
        <cfvo type="min"/>
        <cfvo type="percentile" val="50"/>
        <cfvo type="max"/>
        <color rgb="FFF8696B"/>
        <color rgb="FFFFEB84"/>
        <color rgb="FF63BE7B"/>
      </colorScale>
    </cfRule>
  </conditionalFormatting>
  <conditionalFormatting sqref="H155">
    <cfRule type="colorScale" priority="66">
      <colorScale>
        <cfvo type="min"/>
        <cfvo type="percentile" val="50"/>
        <cfvo type="max"/>
        <color rgb="FFF8696B"/>
        <color rgb="FFFFEB84"/>
        <color rgb="FF63BE7B"/>
      </colorScale>
    </cfRule>
  </conditionalFormatting>
  <conditionalFormatting sqref="H156:H157">
    <cfRule type="colorScale" priority="138">
      <colorScale>
        <cfvo type="min"/>
        <cfvo type="percentile" val="50"/>
        <cfvo type="max"/>
        <color rgb="FFF8696B"/>
        <color rgb="FFFFEB84"/>
        <color rgb="FF63BE7B"/>
      </colorScale>
    </cfRule>
  </conditionalFormatting>
  <conditionalFormatting sqref="H164">
    <cfRule type="colorScale" priority="93">
      <colorScale>
        <cfvo type="min"/>
        <cfvo type="percentile" val="50"/>
        <cfvo type="max"/>
        <color rgb="FFF8696B"/>
        <color rgb="FFFFEB84"/>
        <color rgb="FF63BE7B"/>
      </colorScale>
    </cfRule>
  </conditionalFormatting>
  <conditionalFormatting sqref="H165">
    <cfRule type="colorScale" priority="84">
      <colorScale>
        <cfvo type="min"/>
        <cfvo type="percentile" val="50"/>
        <cfvo type="max"/>
        <color rgb="FFF8696B"/>
        <color rgb="FFFFEB84"/>
        <color rgb="FF63BE7B"/>
      </colorScale>
    </cfRule>
  </conditionalFormatting>
  <conditionalFormatting sqref="H168">
    <cfRule type="colorScale" priority="57">
      <colorScale>
        <cfvo type="min"/>
        <cfvo type="percentile" val="50"/>
        <cfvo type="max"/>
        <color rgb="FFF8696B"/>
        <color rgb="FFFFEB84"/>
        <color rgb="FF63BE7B"/>
      </colorScale>
    </cfRule>
  </conditionalFormatting>
  <conditionalFormatting sqref="H170">
    <cfRule type="colorScale" priority="12">
      <colorScale>
        <cfvo type="min"/>
        <cfvo type="percentile" val="50"/>
        <cfvo type="max"/>
        <color rgb="FFF8696B"/>
        <color rgb="FFFFEB84"/>
        <color rgb="FF63BE7B"/>
      </colorScale>
    </cfRule>
  </conditionalFormatting>
  <conditionalFormatting sqref="H182">
    <cfRule type="colorScale" priority="48">
      <colorScale>
        <cfvo type="min"/>
        <cfvo type="percentile" val="50"/>
        <cfvo type="max"/>
        <color rgb="FFF8696B"/>
        <color rgb="FFFFEB84"/>
        <color rgb="FF63BE7B"/>
      </colorScale>
    </cfRule>
  </conditionalFormatting>
  <conditionalFormatting sqref="H183">
    <cfRule type="colorScale" priority="39">
      <colorScale>
        <cfvo type="min"/>
        <cfvo type="percentile" val="50"/>
        <cfvo type="max"/>
        <color rgb="FFF8696B"/>
        <color rgb="FFFFEB84"/>
        <color rgb="FF63BE7B"/>
      </colorScale>
    </cfRule>
  </conditionalFormatting>
  <conditionalFormatting sqref="H184">
    <cfRule type="colorScale" priority="30">
      <colorScale>
        <cfvo type="min"/>
        <cfvo type="percentile" val="50"/>
        <cfvo type="max"/>
        <color rgb="FFF8696B"/>
        <color rgb="FFFFEB84"/>
        <color rgb="FF63BE7B"/>
      </colorScale>
    </cfRule>
  </conditionalFormatting>
  <conditionalFormatting sqref="H187">
    <cfRule type="colorScale" priority="21">
      <colorScale>
        <cfvo type="min"/>
        <cfvo type="percentile" val="50"/>
        <cfvo type="max"/>
        <color rgb="FFF8696B"/>
        <color rgb="FFFFEB84"/>
        <color rgb="FF63BE7B"/>
      </colorScale>
    </cfRule>
  </conditionalFormatting>
  <conditionalFormatting sqref="I3">
    <cfRule type="cellIs" dxfId="3" priority="595" operator="equal">
      <formula>"GW"</formula>
    </cfRule>
    <cfRule type="cellIs" dxfId="2" priority="596" operator="equal">
      <formula>"PT"</formula>
    </cfRule>
    <cfRule type="cellIs" dxfId="1" priority="597" operator="equal">
      <formula>"TRIM"</formula>
    </cfRule>
    <cfRule type="cellIs" dxfId="0" priority="598" operator="equal">
      <formula>"RI"</formula>
    </cfRule>
    <cfRule type="colorScale" priority="599">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vt:lpstr>
      <vt:lpstr>Job Info</vt:lpstr>
      <vt:lpstr>Projects Bid</vt:lpstr>
      <vt:lpstr>Projects NOT Bid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Donelson</dc:creator>
  <cp:lastModifiedBy>Richard Donelson</cp:lastModifiedBy>
  <cp:lastPrinted>2020-03-17T17:34:03Z</cp:lastPrinted>
  <dcterms:created xsi:type="dcterms:W3CDTF">2014-10-02T23:24:50Z</dcterms:created>
  <dcterms:modified xsi:type="dcterms:W3CDTF">2026-04-08T22:36:36Z</dcterms:modified>
</cp:coreProperties>
</file>