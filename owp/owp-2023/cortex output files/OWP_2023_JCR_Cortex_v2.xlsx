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6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#2023 · Chinn, Legacy Apts — Legacy @ Mercer Island Apartments</t>
        </is>
      </c>
    </row>
    <row r="3">
      <c r="B3" s="2" t="inlineStr">
        <is>
          <t>Cortex JCR Cortex v2  •  Chinn Construction, LLC (customer 2023CC)  •  2601 76th Ave SE, Mercer Island WA 98040  •  Owner: Hadley Improvements Owner, LLC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2023</t>
        </is>
      </c>
      <c r="D6" s="6" t="n"/>
      <c r="E6" s="7" t="n"/>
      <c r="F6" s="8" t="inlineStr">
        <is>
          <t>2023 Job Detail Report.pdf (Sage Timberline, 04/03/2026, 285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Chinn, Legacy Apts</t>
        </is>
      </c>
      <c r="D7" s="6" t="n"/>
      <c r="E7" s="7" t="n"/>
      <c r="F7" s="8" t="inlineStr">
        <is>
          <t>2023 Job Detail Report.pdf (Sage Timberline, 04/03/2026, 285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Legacy @ Mercer Island Apartments (Hadley) — full plumbing, 241 units</t>
        </is>
      </c>
      <c r="D8" s="6" t="n"/>
      <c r="E8" s="7" t="n"/>
      <c r="F8" s="8" t="inlineStr">
        <is>
          <t>Legacy contract OCR_d.pdf (Chinn↔OWP subcontract, Lump Sum $2,469,500)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Chinn Construction, LLC</t>
        </is>
      </c>
      <c r="D9" s="6" t="n"/>
      <c r="E9" s="7" t="n"/>
      <c r="F9" s="8" t="inlineStr">
        <is>
          <t>Legacy contract OCR_d.pdf (Chinn↔OWP subcontract, Lump Sum $2,469,500)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2023CC</t>
        </is>
      </c>
      <c r="D10" s="6" t="n"/>
      <c r="E10" s="7" t="n"/>
      <c r="F10" s="8" t="inlineStr">
        <is>
          <t>2023 Job Detail Report.pdf (Sage Timberline, 04/03/2026, 285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Hadley Improvements Owner, LLC</t>
        </is>
      </c>
      <c r="D11" s="6" t="n"/>
      <c r="E11" s="7" t="n"/>
      <c r="F11" s="8" t="inlineStr">
        <is>
          <t>Legacy contract OCR_d.pdf (Chinn↔OWP subcontract, Lump Sum $2,469,500)</t>
        </is>
      </c>
      <c r="G11" s="6" t="n"/>
      <c r="H11" s="6" t="n"/>
      <c r="I11" s="6" t="n"/>
      <c r="J11" s="7" t="n"/>
    </row>
    <row r="12">
      <c r="B12" s="4" t="inlineStr">
        <is>
          <t>Architect</t>
        </is>
      </c>
      <c r="C12" s="5" t="inlineStr">
        <is>
          <t>VIA Architecture</t>
        </is>
      </c>
      <c r="D12" s="6" t="n"/>
      <c r="E12" s="7" t="n"/>
      <c r="F12" s="8" t="inlineStr">
        <is>
          <t>ASI-RFI responses (e.g. 'VIA Response' RFI 168)</t>
        </is>
      </c>
      <c r="G12" s="6" t="n"/>
      <c r="H12" s="6" t="n"/>
      <c r="I12" s="6" t="n"/>
      <c r="J12" s="7" t="n"/>
    </row>
    <row r="13">
      <c r="B13" s="4" t="inlineStr">
        <is>
          <t>Jobsite Location</t>
        </is>
      </c>
      <c r="C13" s="5" t="inlineStr">
        <is>
          <t>2601 76th Ave SE, Mercer Island, WA 98040</t>
        </is>
      </c>
      <c r="D13" s="6" t="n"/>
      <c r="E13" s="7" t="n"/>
      <c r="F13" s="8" t="inlineStr">
        <is>
          <t>Legacy contract OCR_d.pdf (Chinn↔OWP subcontract, Lump Sum $2,469,500)</t>
        </is>
      </c>
      <c r="G13" s="6" t="n"/>
      <c r="H13" s="6" t="n"/>
      <c r="I13" s="6" t="n"/>
      <c r="J13" s="7" t="n"/>
    </row>
    <row r="14">
      <c r="B14" s="4" t="inlineStr">
        <is>
          <t>Contract / PO Document</t>
        </is>
      </c>
      <c r="C14" s="5" t="inlineStr">
        <is>
          <t>Legacy contract OCR_d.pdf (Chinn↔OWP subcontract, Lump Sum $2,469,500)</t>
        </is>
      </c>
      <c r="D14" s="6" t="n"/>
      <c r="E14" s="7" t="n"/>
      <c r="F14" s="8" t="inlineStr">
        <is>
          <t>Fully executed subcontract (Lump Sum)</t>
        </is>
      </c>
      <c r="G14" s="6" t="n"/>
      <c r="H14" s="6" t="n"/>
      <c r="I14" s="6" t="n"/>
      <c r="J14" s="7" t="n"/>
    </row>
    <row r="15">
      <c r="B15" s="4" t="inlineStr">
        <is>
          <t>Plans / Specifications</t>
        </is>
      </c>
      <c r="C15" s="5" t="inlineStr">
        <is>
          <t>Plans/ folder — full drawing set + VIA Architecture specs + Div 22 plumbing spec</t>
        </is>
      </c>
      <c r="D15" s="6" t="n"/>
      <c r="E15" s="7" t="n"/>
      <c r="F15" s="8" t="inlineStr">
        <is>
          <t>Folder scan</t>
        </is>
      </c>
      <c r="G15" s="6" t="n"/>
      <c r="H15" s="6" t="n"/>
      <c r="I15" s="6" t="n"/>
      <c r="J15" s="7" t="n"/>
    </row>
    <row r="16">
      <c r="B16" s="4" t="inlineStr">
        <is>
          <t>Bid Sheet</t>
        </is>
      </c>
      <c r="C16" s="5" t="inlineStr">
        <is>
          <t>Chinn Legacy Mercer Island Sept 9 2014.xlsx (original 9/9/2014 bid with full fixture schedule)</t>
        </is>
      </c>
      <c r="D16" s="6" t="n"/>
      <c r="E16" s="7" t="n"/>
      <c r="F16" s="8" t="inlineStr">
        <is>
          <t>Bid Sheets folder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Legacy contract OCR_d.pdf (Chinn↔OWP subcontract, Lump Sum $2,469,500)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01/19/2015 (first invoice) – 12/15/2016 (last invoice) ≈ 23 months</t>
        </is>
      </c>
      <c r="D18" s="6" t="n"/>
      <c r="E18" s="7" t="n"/>
      <c r="F18" s="8" t="inlineStr">
        <is>
          <t>2023 Job Detail Report.pdf (Sage Timberline, 04/03/2026, 285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inlineStr">
        <is>
          <t>1000+ across 4 mirror folders</t>
        </is>
      </c>
      <c r="D19" s="6" t="n"/>
      <c r="E19" s="7" t="n"/>
      <c r="F19" s="8" t="inlineStr">
        <is>
          <t>File inventory across owp-2023/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2771369</v>
      </c>
      <c r="D22" s="9" t="n">
        <v>898027.5600000001</v>
      </c>
      <c r="F22" s="9" t="n">
        <v>1873341.44</v>
      </c>
      <c r="H22" s="10" t="n">
        <v>33107</v>
      </c>
    </row>
    <row r="23">
      <c r="B23" s="11" t="inlineStr">
        <is>
          <t>Original $2,469,500.00 + $301,869.00 COs (+12.22%)</t>
        </is>
      </c>
      <c r="D23" s="11" t="inlineStr">
        <is>
          <t>32.4% margin</t>
        </is>
      </c>
      <c r="F23" s="11" t="inlineStr">
        <is>
          <t>67.6% of revenue</t>
        </is>
      </c>
      <c r="H23" s="11" t="inlineStr">
        <is>
          <t>52 workers</t>
        </is>
      </c>
    </row>
    <row r="26">
      <c r="B26" s="3" t="inlineStr">
        <is>
          <t>SCOPE OF WORK (from bid sheet + plans)</t>
        </is>
      </c>
    </row>
    <row r="27">
      <c r="B27" s="5" t="inlineStr">
        <is>
          <t>Full plumbing: underground, garage/podium, rough-in, finish, gas, water main, insulation, mech room.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Bid sheet (9/9/2014) itemizes 241 apartment units (230 standard + 11 ADA Type A).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Fixtures: 244 water closets (241 unit + 3 amenity), 244 lavatories, 241 bathing fixtures (~197 tub/shower + 44 showers),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211 kitchen sinks, 31 hose bibs, 4 water heaters, 17 roof drains, trench/area drains, sand/oil separator.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WA UPC, Mercer Island jurisdiction (permits via Mercer Island).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2023 Job Detail Report.pdf (Sage Timberline, 04/03/2026, 285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$2,771,369.00 / Expenses $1,873,341.44 / Net $898,027.56 / Retainage $138,568.45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$110,321.43 · AP $682,284.56 · PR $1,080,735.45 · AR $2,771,369.00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Legacy contract OCR_d.pdf (Chinn↔OWP subcontract, Lump Sum $2,469,500) (Lump Sum $2,469,500.00)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Bid sheet: Chinn Legacy Mercer Island Sept 9 2014.xlsx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Change Orders: 5 CO PDFs in Change Orders/CO_s/ (Legacy CO 11, 19, 20, 21, 22) — ALL image-only scans; individual values not machine-readable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ASI-RFI: 125 PDFs (ASIs 07/09/10/14/16/25REV1/26 + Hadley RFI 051-360+; VIA &amp; BCRA responses)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Submittals: 100+ across EQUIPMENT, FIXTURE, MATERIAL, UNDERGROUND &amp; GARAGE, RESPONSES folders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POs: 180+ across 1 Placed / 2 Scheduled / 3 Completed / Trim PO_s folders (+ 38 Trim POs)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Billing: Legacy sent invoices &amp; releases folder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Photos: on-site photo library (not machine-readable)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Meetings-Schedules: project meeting notes and schedules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</sheetData>
  <mergeCells count="47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45:J45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46:J46"/>
    <mergeCell ref="B31:J31"/>
    <mergeCell ref="B27:J27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30 cost codes from JDR. Contract $2,469,500 → $2,771,369 (COs +$301,869.00).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14630</v>
      </c>
      <c r="E6" s="15" t="n">
        <v>15828</v>
      </c>
      <c r="F6" s="15" t="n">
        <v>13424.5</v>
      </c>
      <c r="G6" s="15">
        <f>F6-E6</f>
        <v/>
      </c>
      <c r="H6" s="16">
        <f>IF(E6=0,"",F6/E6)</f>
        <v/>
      </c>
      <c r="I6" s="17" t="n">
        <v>308.5</v>
      </c>
      <c r="J6" s="8" t="inlineStr">
        <is>
          <t>2023 Job Detail Report.pdf (Sage Timberline, 04/03/2026, 285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14630</v>
      </c>
      <c r="E7" s="15" t="n">
        <v>19827</v>
      </c>
      <c r="F7" s="15" t="n">
        <v>29564</v>
      </c>
      <c r="G7" s="15">
        <f>F7-E7</f>
        <v/>
      </c>
      <c r="H7" s="16">
        <f>IF(E7=0,"",F7/E7)</f>
        <v/>
      </c>
      <c r="I7" s="17" t="n">
        <v>683.5</v>
      </c>
      <c r="J7" s="8" t="inlineStr">
        <is>
          <t>2023 Job Detail Report.pdf (Sage Timberline, 04/03/2026, 285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18865</v>
      </c>
      <c r="E8" s="15" t="n">
        <v>27189</v>
      </c>
      <c r="F8" s="15" t="n">
        <v>25629.12</v>
      </c>
      <c r="G8" s="15">
        <f>F8-E8</f>
        <v/>
      </c>
      <c r="H8" s="16">
        <f>IF(E8=0,"",F8/E8)</f>
        <v/>
      </c>
      <c r="I8" s="17" t="n">
        <v>1086.5</v>
      </c>
      <c r="J8" s="8" t="inlineStr">
        <is>
          <t>2023 Job Detail Report.pdf (Sage Timberline, 04/03/2026, 285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121140</v>
      </c>
      <c r="E9" s="15" t="n">
        <v>123844</v>
      </c>
      <c r="F9" s="15" t="n">
        <v>84983.82000000001</v>
      </c>
      <c r="G9" s="15">
        <f>F9-E9</f>
        <v/>
      </c>
      <c r="H9" s="16">
        <f>IF(E9=0,"",F9/E9)</f>
        <v/>
      </c>
      <c r="I9" s="17" t="n">
        <v>4461</v>
      </c>
      <c r="J9" s="8" t="inlineStr">
        <is>
          <t>2023 Job Detail Report.pdf (Sage Timberline, 04/03/2026, 285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15000</v>
      </c>
      <c r="E10" s="15" t="n">
        <v>15000</v>
      </c>
      <c r="F10" s="15" t="n">
        <v>16227.22</v>
      </c>
      <c r="G10" s="15">
        <f>F10-E10</f>
        <v/>
      </c>
      <c r="H10" s="16">
        <f>IF(E10=0,"",F10/E10)</f>
        <v/>
      </c>
      <c r="I10" s="17" t="n">
        <v>825</v>
      </c>
      <c r="J10" s="8" t="inlineStr">
        <is>
          <t>2023 Job Detail Report.pdf (Sage Timberline, 04/03/2026, 285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230840</v>
      </c>
      <c r="E11" s="15" t="n">
        <v>304097</v>
      </c>
      <c r="F11" s="15" t="n">
        <v>373123.5</v>
      </c>
      <c r="G11" s="15">
        <f>F11-E11</f>
        <v/>
      </c>
      <c r="H11" s="16">
        <f>IF(E11=0,"",F11/E11)</f>
        <v/>
      </c>
      <c r="I11" s="17" t="n">
        <v>17765</v>
      </c>
      <c r="J11" s="8" t="inlineStr">
        <is>
          <t>2023 Job Detail Report.pdf (Sage Timberline, 04/03/2026, 285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46160</v>
      </c>
      <c r="E12" s="15" t="n">
        <v>48864</v>
      </c>
      <c r="F12" s="15" t="n">
        <v>62630.5</v>
      </c>
      <c r="G12" s="15">
        <f>F12-E12</f>
        <v/>
      </c>
      <c r="H12" s="16">
        <f>IF(E12=0,"",F12/E12)</f>
        <v/>
      </c>
      <c r="I12" s="17" t="n">
        <v>2906.5</v>
      </c>
      <c r="J12" s="8" t="inlineStr">
        <is>
          <t>2023 Job Detail Report.pdf (Sage Timberline, 04/03/2026, 285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7975</v>
      </c>
      <c r="E13" s="15" t="n">
        <v>11915</v>
      </c>
      <c r="F13" s="15" t="n">
        <v>21481</v>
      </c>
      <c r="G13" s="15">
        <f>F13-E13</f>
        <v/>
      </c>
      <c r="H13" s="16">
        <f>IF(E13=0,"",F13/E13)</f>
        <v/>
      </c>
      <c r="I13" s="17" t="n">
        <v>971</v>
      </c>
      <c r="J13" s="8" t="inlineStr">
        <is>
          <t>2023 Job Detail Report.pdf (Sage Timberline, 04/03/2026, 285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29430</v>
      </c>
      <c r="E14" s="15" t="n">
        <v>35287</v>
      </c>
      <c r="F14" s="15" t="n">
        <v>54198.43</v>
      </c>
      <c r="G14" s="15">
        <f>F14-E14</f>
        <v/>
      </c>
      <c r="H14" s="16">
        <f>IF(E14=0,"",F14/E14)</f>
        <v/>
      </c>
      <c r="I14" s="17" t="n">
        <v>3214.5</v>
      </c>
      <c r="J14" s="8" t="inlineStr">
        <is>
          <t>2023 Job Detail Report.pdf (Sage Timberline, 04/03/2026, 285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7200</v>
      </c>
      <c r="E15" s="15" t="n">
        <v>7200</v>
      </c>
      <c r="F15" s="15" t="n">
        <v>21196.26</v>
      </c>
      <c r="G15" s="15">
        <f>F15-E15</f>
        <v/>
      </c>
      <c r="H15" s="16">
        <f>IF(E15=0,"",F15/E15)</f>
        <v/>
      </c>
      <c r="I15" s="17" t="n">
        <v>875.5</v>
      </c>
      <c r="J15" s="8" t="inlineStr">
        <is>
          <t>2023 Job Detail Report.pdf (Sage Timberline, 04/03/2026, 285 pages)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0</v>
      </c>
      <c r="F16" s="15" t="n">
        <v>175</v>
      </c>
      <c r="G16" s="15">
        <f>F16-E16</f>
        <v/>
      </c>
      <c r="H16" s="16">
        <f>IF(E16=0,"",F16/E16)</f>
        <v/>
      </c>
      <c r="I16" s="17" t="n">
        <v>7</v>
      </c>
      <c r="J16" s="8" t="inlineStr">
        <is>
          <t>2023 Job Detail Report.pdf (Sage Timberline, 04/03/2026, 285 pages)</t>
        </is>
      </c>
    </row>
    <row r="17">
      <c r="B17" s="14" t="inlineStr">
        <is>
          <t>150</t>
        </is>
      </c>
      <c r="C17" s="5" t="inlineStr">
        <is>
          <t>Warranty Labor</t>
        </is>
      </c>
      <c r="D17" s="15" t="n">
        <v>0</v>
      </c>
      <c r="E17" s="15" t="n">
        <v>96</v>
      </c>
      <c r="F17" s="15" t="n">
        <v>111</v>
      </c>
      <c r="G17" s="15">
        <f>F17-E17</f>
        <v/>
      </c>
      <c r="H17" s="16">
        <f>IF(E17=0,"",F17/E17)</f>
        <v/>
      </c>
      <c r="I17" s="17" t="n">
        <v>3</v>
      </c>
      <c r="J17" s="8" t="inlineStr">
        <is>
          <t>2023 Job Detail Report.pdf (Sage Timberline, 04/03/2026, 285 pages)</t>
        </is>
      </c>
    </row>
    <row r="18">
      <c r="B18" s="14" t="inlineStr">
        <is>
          <t>210</t>
        </is>
      </c>
      <c r="C18" s="5" t="inlineStr">
        <is>
          <t>Underground Material</t>
        </is>
      </c>
      <c r="D18" s="15" t="n">
        <v>23150</v>
      </c>
      <c r="E18" s="15" t="n">
        <v>38304</v>
      </c>
      <c r="F18" s="15" t="n">
        <v>45918.24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2023 Job Detail Report.pdf (Sage Timberline, 04/03/2026, 285 pages)</t>
        </is>
      </c>
    </row>
    <row r="19">
      <c r="B19" s="14" t="inlineStr">
        <is>
          <t>211</t>
        </is>
      </c>
      <c r="C19" s="5" t="inlineStr">
        <is>
          <t>Garage Material</t>
        </is>
      </c>
      <c r="D19" s="15" t="n">
        <v>101825</v>
      </c>
      <c r="E19" s="15" t="n">
        <v>102635</v>
      </c>
      <c r="F19" s="15" t="n">
        <v>33922.59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2023 Job Detail Report.pdf (Sage Timberline, 04/03/2026, 285 pages)</t>
        </is>
      </c>
    </row>
    <row r="20">
      <c r="B20" s="14" t="inlineStr">
        <is>
          <t>212</t>
        </is>
      </c>
      <c r="C20" s="5" t="inlineStr">
        <is>
          <t>Canout Material</t>
        </is>
      </c>
      <c r="D20" s="15" t="n">
        <v>17500</v>
      </c>
      <c r="E20" s="15" t="n">
        <v>17660</v>
      </c>
      <c r="F20" s="15" t="n">
        <v>11617.32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2023 Job Detail Report.pdf (Sage Timberline, 04/03/2026, 285 pages)</t>
        </is>
      </c>
    </row>
    <row r="21">
      <c r="B21" s="14" t="inlineStr">
        <is>
          <t>220</t>
        </is>
      </c>
      <c r="C21" s="5" t="inlineStr">
        <is>
          <t>Roughin Material</t>
        </is>
      </c>
      <c r="D21" s="15" t="n">
        <v>156630</v>
      </c>
      <c r="E21" s="15" t="n">
        <v>224127</v>
      </c>
      <c r="F21" s="15" t="n">
        <v>158305.23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2023 Job Detail Report.pdf (Sage Timberline, 04/03/2026, 285 pages)</t>
        </is>
      </c>
    </row>
    <row r="22">
      <c r="B22" s="14" t="inlineStr">
        <is>
          <t>230</t>
        </is>
      </c>
      <c r="C22" s="5" t="inlineStr">
        <is>
          <t>Finish Material</t>
        </is>
      </c>
      <c r="D22" s="15" t="n">
        <v>496970</v>
      </c>
      <c r="E22" s="15" t="n">
        <v>491330</v>
      </c>
      <c r="F22" s="15" t="n">
        <v>287126.83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2023 Job Detail Report.pdf (Sage Timberline, 04/03/2026, 285 pages)</t>
        </is>
      </c>
    </row>
    <row r="23">
      <c r="B23" s="14" t="inlineStr">
        <is>
          <t>240</t>
        </is>
      </c>
      <c r="C23" s="5" t="inlineStr">
        <is>
          <t>Gas Material</t>
        </is>
      </c>
      <c r="D23" s="15" t="n">
        <v>5500</v>
      </c>
      <c r="E23" s="15" t="n">
        <v>8897</v>
      </c>
      <c r="F23" s="15" t="n">
        <v>4873.37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2023 Job Detail Report.pdf (Sage Timberline, 04/03/2026, 285 pages)</t>
        </is>
      </c>
    </row>
    <row r="24">
      <c r="B24" s="14" t="inlineStr">
        <is>
          <t>241</t>
        </is>
      </c>
      <c r="C24" s="5" t="inlineStr">
        <is>
          <t>Water Main/Insulation Mat</t>
        </is>
      </c>
      <c r="D24" s="15" t="n">
        <v>76300</v>
      </c>
      <c r="E24" s="15" t="n">
        <v>76847</v>
      </c>
      <c r="F24" s="15" t="n">
        <v>77345.28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2023 Job Detail Report.pdf (Sage Timberline, 04/03/2026, 285 pages)</t>
        </is>
      </c>
    </row>
    <row r="25">
      <c r="B25" s="14" t="inlineStr">
        <is>
          <t>242</t>
        </is>
      </c>
      <c r="C25" s="5" t="inlineStr">
        <is>
          <t>Mech Room Material</t>
        </is>
      </c>
      <c r="D25" s="15" t="n">
        <v>22500</v>
      </c>
      <c r="E25" s="15" t="n">
        <v>22500</v>
      </c>
      <c r="F25" s="15" t="n">
        <v>105558.69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2023 Job Detail Report.pdf (Sage Timberline, 04/03/2026, 285 pages)</t>
        </is>
      </c>
    </row>
    <row r="26">
      <c r="B26" s="14" t="inlineStr">
        <is>
          <t>243</t>
        </is>
      </c>
      <c r="C26" s="5" t="inlineStr">
        <is>
          <t>Condensation Drains Mat</t>
        </is>
      </c>
      <c r="D26" s="15" t="n">
        <v>0</v>
      </c>
      <c r="E26" s="15" t="n">
        <v>0</v>
      </c>
      <c r="F26" s="15" t="n">
        <v>182.88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2023 Job Detail Report.pdf (Sage Timberline, 04/03/2026, 285 pages)</t>
        </is>
      </c>
    </row>
    <row r="27">
      <c r="B27" s="14" t="inlineStr">
        <is>
          <t>244</t>
        </is>
      </c>
      <c r="C27" s="5" t="inlineStr">
        <is>
          <t>Fire Caulking Material</t>
        </is>
      </c>
      <c r="D27" s="15" t="n">
        <v>0</v>
      </c>
      <c r="E27" s="15" t="n">
        <v>0</v>
      </c>
      <c r="F27" s="15" t="n">
        <v>654.39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2023 Job Detail Report.pdf (Sage Timberline, 04/03/2026, 285 pages)</t>
        </is>
      </c>
    </row>
    <row r="28">
      <c r="B28" s="14" t="inlineStr">
        <is>
          <t>600</t>
        </is>
      </c>
      <c r="C28" s="5" t="inlineStr">
        <is>
          <t>Subcontractor</t>
        </is>
      </c>
      <c r="D28" s="15" t="n">
        <v>500</v>
      </c>
      <c r="E28" s="15" t="n">
        <v>11843</v>
      </c>
      <c r="F28" s="15" t="n">
        <v>14130.5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2023 Job Detail Report.pdf (Sage Timberline, 04/03/2026, 285 pages)</t>
        </is>
      </c>
    </row>
    <row r="29">
      <c r="B29" s="14" t="inlineStr">
        <is>
          <t>601</t>
        </is>
      </c>
      <c r="C29" s="5" t="inlineStr">
        <is>
          <t>Engineering/Plans</t>
        </is>
      </c>
      <c r="D29" s="15" t="n">
        <v>50000</v>
      </c>
      <c r="E29" s="15" t="n">
        <v>50770</v>
      </c>
      <c r="F29" s="15" t="n">
        <v>28143.85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2023 Job Detail Report.pdf (Sage Timberline, 04/03/2026, 285 pages)</t>
        </is>
      </c>
    </row>
    <row r="30">
      <c r="B30" s="14" t="inlineStr">
        <is>
          <t>602</t>
        </is>
      </c>
      <c r="C30" s="5" t="inlineStr">
        <is>
          <t>Rental Equipment</t>
        </is>
      </c>
      <c r="D30" s="15" t="n">
        <v>5000</v>
      </c>
      <c r="E30" s="15" t="n">
        <v>5919</v>
      </c>
      <c r="F30" s="15" t="n">
        <v>6870.79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2023 Job Detail Report.pdf (Sage Timberline, 04/03/2026, 285 pages)</t>
        </is>
      </c>
    </row>
    <row r="31">
      <c r="B31" s="14" t="inlineStr">
        <is>
          <t>603</t>
        </is>
      </c>
      <c r="C31" s="5" t="inlineStr">
        <is>
          <t>Permits &amp; Licenses</t>
        </is>
      </c>
      <c r="D31" s="15" t="n">
        <v>28000</v>
      </c>
      <c r="E31" s="15" t="n">
        <v>28000</v>
      </c>
      <c r="F31" s="15" t="n">
        <v>29245.43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2023 Job Detail Report.pdf (Sage Timberline, 04/03/2026, 285 pages)</t>
        </is>
      </c>
    </row>
    <row r="32">
      <c r="B32" s="14" t="inlineStr">
        <is>
          <t>607</t>
        </is>
      </c>
      <c r="C32" s="5" t="inlineStr">
        <is>
          <t>Other Expenses</t>
        </is>
      </c>
      <c r="D32" s="15" t="n">
        <v>10000</v>
      </c>
      <c r="E32" s="15" t="n">
        <v>10000</v>
      </c>
      <c r="F32" s="15" t="n">
        <v>49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2023 Job Detail Report.pdf (Sage Timberline, 04/03/2026, 285 pages)</t>
        </is>
      </c>
    </row>
    <row r="33">
      <c r="B33" s="14" t="inlineStr">
        <is>
          <t>995</t>
        </is>
      </c>
      <c r="C33" s="5" t="inlineStr">
        <is>
          <t>Payroll Burden</t>
        </is>
      </c>
      <c r="D33" s="15" t="n">
        <v>219294.65</v>
      </c>
      <c r="E33" s="15" t="n">
        <v>266088.03</v>
      </c>
      <c r="F33" s="15" t="n">
        <v>312024.89</v>
      </c>
      <c r="G33" s="15">
        <f>F33-E33</f>
        <v/>
      </c>
      <c r="H33" s="16">
        <f>IF(E33=0,"",F33/E33)</f>
        <v/>
      </c>
      <c r="I33" s="17" t="inlineStr"/>
      <c r="J33" s="8" t="inlineStr">
        <is>
          <t>2023 Job Detail Report.pdf (Sage Timberline, 04/03/2026, 285 pages)</t>
        </is>
      </c>
    </row>
    <row r="34">
      <c r="B34" s="14" t="inlineStr">
        <is>
          <t>998</t>
        </is>
      </c>
      <c r="C34" s="5" t="inlineStr">
        <is>
          <t>Payroll Taxes</t>
        </is>
      </c>
      <c r="D34" s="15" t="n">
        <v>38699.06</v>
      </c>
      <c r="E34" s="15" t="n">
        <v>46110.4</v>
      </c>
      <c r="F34" s="15" t="n">
        <v>54627.81</v>
      </c>
      <c r="G34" s="15">
        <f>F34-E34</f>
        <v/>
      </c>
      <c r="H34" s="16">
        <f>IF(E34=0,"",F34/E34)</f>
        <v/>
      </c>
      <c r="I34" s="17" t="inlineStr"/>
      <c r="J34" s="8" t="inlineStr">
        <is>
          <t>2023 Job Detail Report.pdf (Sage Timberline, 04/03/2026, 285 pages)</t>
        </is>
      </c>
    </row>
    <row r="35">
      <c r="B35" s="14" t="inlineStr">
        <is>
          <t>999</t>
        </is>
      </c>
      <c r="C35" s="5" t="inlineStr">
        <is>
          <t>Sales</t>
        </is>
      </c>
      <c r="D35" s="15" t="n">
        <v>-2469500</v>
      </c>
      <c r="E35" s="15" t="n">
        <v>-2771369</v>
      </c>
      <c r="F35" s="15" t="n">
        <v>-2771369</v>
      </c>
      <c r="G35" s="15">
        <f>F35-E35</f>
        <v/>
      </c>
      <c r="H35" s="16">
        <f>IF(E35=0,"",F35/E35)</f>
        <v/>
      </c>
      <c r="I35" s="17" t="inlineStr"/>
      <c r="J35" s="8" t="inlineStr">
        <is>
          <t>2023 Job Detail Report.pdf (Sage Timberline, 04/03/2026, 285 pages)</t>
        </is>
      </c>
    </row>
    <row r="36">
      <c r="B36" s="18" t="inlineStr">
        <is>
          <t>TOTAL</t>
        </is>
      </c>
      <c r="D36" s="19">
        <f>SUM(D6:D35)</f>
        <v/>
      </c>
      <c r="E36" s="19">
        <f>SUM(E6:E35)</f>
        <v/>
      </c>
      <c r="F36" s="19">
        <f>SUM(F6:F35)</f>
        <v/>
      </c>
      <c r="G36" s="19">
        <f>F36-E36</f>
        <v/>
      </c>
      <c r="I36" s="10">
        <f>SUM(I6:I35)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100,101,110,111,112,120,130,140,141,142,143,150</t>
        </is>
      </c>
      <c r="D6" s="20" t="n">
        <v>702744.3500000001</v>
      </c>
      <c r="E6" s="16">
        <f>D6/$D$11</f>
        <v/>
      </c>
      <c r="F6" s="16">
        <f>D6/2771369.0</f>
        <v/>
      </c>
      <c r="G6" s="8" t="inlineStr">
        <is>
          <t>2023 Job Detail Report.pdf (Sage Timberline, 04/03/2026, 285 pages)</t>
        </is>
      </c>
    </row>
    <row r="7">
      <c r="B7" s="4" t="inlineStr">
        <is>
          <t>Material</t>
        </is>
      </c>
      <c r="C7" s="14" t="inlineStr">
        <is>
          <t>210,211,212,220,230,240,241,242,243,244</t>
        </is>
      </c>
      <c r="D7" s="20" t="n">
        <v>725504.8200000001</v>
      </c>
      <c r="E7" s="16">
        <f>D7/$D$11</f>
        <v/>
      </c>
      <c r="F7" s="16">
        <f>D7/2771369.0</f>
        <v/>
      </c>
      <c r="G7" s="8" t="inlineStr">
        <is>
          <t>2023 Job Detail Report.pdf (Sage Timberline, 04/03/2026, 285 pages)</t>
        </is>
      </c>
    </row>
    <row r="8">
      <c r="B8" s="4" t="inlineStr">
        <is>
          <t>Subcontractor + Engineering + Rental + Permits + Other</t>
        </is>
      </c>
      <c r="C8" s="14" t="inlineStr">
        <is>
          <t>600,601,602,603,607</t>
        </is>
      </c>
      <c r="D8" s="20" t="n">
        <v>78439.57000000001</v>
      </c>
      <c r="E8" s="16">
        <f>D8/$D$11</f>
        <v/>
      </c>
      <c r="F8" s="16">
        <f>D8/2771369.0</f>
        <v/>
      </c>
      <c r="G8" s="8" t="inlineStr">
        <is>
          <t>2023 Job Detail Report.pdf (Sage Timberline, 04/03/2026, 285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312024.89</v>
      </c>
      <c r="E9" s="16">
        <f>D9/$D$11</f>
        <v/>
      </c>
      <c r="F9" s="16">
        <f>D9/2771369.0</f>
        <v/>
      </c>
      <c r="G9" s="8" t="inlineStr">
        <is>
          <t>2023 Job Detail Report.pdf (Sage Timberline, 04/03/2026, 285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54627.81</v>
      </c>
      <c r="E10" s="16">
        <f>D10/$D$11</f>
        <v/>
      </c>
      <c r="F10" s="16">
        <f>D10/2771369.0</f>
        <v/>
      </c>
      <c r="G10" s="8" t="inlineStr">
        <is>
          <t>2023 Job Detail Report.pdf (Sage Timberline, 04/03/2026, 285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D11/2771369.0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0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2023RS</t>
        </is>
      </c>
      <c r="C6" s="5" t="inlineStr">
        <is>
          <t>Rosen Supply Company, Inc. $Legacy</t>
        </is>
      </c>
      <c r="D6" s="15" t="n">
        <v>190637.3500000001</v>
      </c>
      <c r="E6" s="14" t="n">
        <v>116</v>
      </c>
      <c r="F6" s="14" t="inlineStr">
        <is>
          <t>Plumbing / Supplies</t>
        </is>
      </c>
      <c r="G6" s="8" t="inlineStr">
        <is>
          <t>2023 Job Detail Report.pdf (Sage Timberline, 04/03/2026, 285 pages)</t>
        </is>
      </c>
    </row>
    <row r="7">
      <c r="B7" s="14" t="inlineStr">
        <is>
          <t>2023CS</t>
        </is>
      </c>
      <c r="C7" s="5" t="inlineStr">
        <is>
          <t>Consolidated Supply Co. $Legacy</t>
        </is>
      </c>
      <c r="D7" s="15" t="n">
        <v>164734.54</v>
      </c>
      <c r="E7" s="14" t="n">
        <v>73</v>
      </c>
      <c r="F7" s="14" t="inlineStr">
        <is>
          <t>Plumbing / Supplies</t>
        </is>
      </c>
      <c r="G7" s="8" t="inlineStr">
        <is>
          <t>2023 Job Detail Report.pdf (Sage Timberline, 04/03/2026, 285 pages)</t>
        </is>
      </c>
    </row>
    <row r="8">
      <c r="B8" s="14" t="inlineStr">
        <is>
          <t>2023FE</t>
        </is>
      </c>
      <c r="C8" s="5" t="inlineStr">
        <is>
          <t>Ferguson Enterprises, Inc. $Legacy</t>
        </is>
      </c>
      <c r="D8" s="15" t="n">
        <v>161354.82</v>
      </c>
      <c r="E8" s="14" t="n">
        <v>71</v>
      </c>
      <c r="F8" s="14" t="inlineStr">
        <is>
          <t>Plumbing / Supplies</t>
        </is>
      </c>
      <c r="G8" s="8" t="inlineStr">
        <is>
          <t>2023 Job Detail Report.pdf (Sage Timberline, 04/03/2026, 285 pages)</t>
        </is>
      </c>
    </row>
    <row r="9">
      <c r="B9" s="14" t="inlineStr">
        <is>
          <t>2023KS</t>
        </is>
      </c>
      <c r="C9" s="5" t="inlineStr">
        <is>
          <t>Keller Supply Company $Legacy</t>
        </is>
      </c>
      <c r="D9" s="15" t="n">
        <v>66440.23</v>
      </c>
      <c r="E9" s="14" t="n">
        <v>39</v>
      </c>
      <c r="F9" s="14" t="inlineStr">
        <is>
          <t>Plumbing / Supplies</t>
        </is>
      </c>
      <c r="G9" s="8" t="inlineStr">
        <is>
          <t>2023 Job Detail Report.pdf (Sage Timberline, 04/03/2026, 285 pages)</t>
        </is>
      </c>
    </row>
    <row r="10">
      <c r="B10" s="14" t="inlineStr">
        <is>
          <t>3612MS</t>
        </is>
      </c>
      <c r="C10" s="5" t="inlineStr">
        <is>
          <t>Mechanical Sales, Inc.</t>
        </is>
      </c>
      <c r="D10" s="15" t="n">
        <v>28019.56</v>
      </c>
      <c r="E10" s="14" t="n">
        <v>4</v>
      </c>
      <c r="F10" s="14" t="inlineStr">
        <is>
          <t>Plumbing / Supplies</t>
        </is>
      </c>
      <c r="G10" s="8" t="inlineStr">
        <is>
          <t>2023 Job Detail Report.pdf (Sage Timberline, 04/03/2026, 285 pages)</t>
        </is>
      </c>
    </row>
    <row r="11">
      <c r="B11" s="14" t="inlineStr">
        <is>
          <t>1625FE</t>
        </is>
      </c>
      <c r="C11" s="5" t="inlineStr">
        <is>
          <t>Franklin Engineering</t>
        </is>
      </c>
      <c r="D11" s="15" t="n">
        <v>27834</v>
      </c>
      <c r="E11" s="14" t="n">
        <v>6</v>
      </c>
      <c r="F11" s="14" t="inlineStr">
        <is>
          <t>Engineering (601)</t>
        </is>
      </c>
      <c r="G11" s="8" t="inlineStr">
        <is>
          <t>2023 Job Detail Report.pdf (Sage Timberline, 04/03/2026, 285 pages)</t>
        </is>
      </c>
    </row>
    <row r="12">
      <c r="B12" s="14" t="inlineStr">
        <is>
          <t>3181SC</t>
        </is>
      </c>
      <c r="C12" s="5" t="inlineStr">
        <is>
          <t>Scan2Core, Inc.</t>
        </is>
      </c>
      <c r="D12" s="15" t="n">
        <v>9291</v>
      </c>
      <c r="E12" s="14" t="n">
        <v>7</v>
      </c>
      <c r="F12" s="14" t="inlineStr">
        <is>
          <t>Concrete coring / subcon</t>
        </is>
      </c>
      <c r="G12" s="8" t="inlineStr">
        <is>
          <t>2023 Job Detail Report.pdf (Sage Timberline, 04/03/2026, 285 pages)</t>
        </is>
      </c>
    </row>
    <row r="13">
      <c r="B13" s="14" t="inlineStr">
        <is>
          <t>1231KS</t>
        </is>
      </c>
      <c r="C13" s="5" t="inlineStr">
        <is>
          <t>Keller Supply Company</t>
        </is>
      </c>
      <c r="D13" s="15" t="n">
        <v>6943.87</v>
      </c>
      <c r="E13" s="14" t="n">
        <v>3</v>
      </c>
      <c r="F13" s="14" t="inlineStr">
        <is>
          <t>Plumbing / Supplies</t>
        </is>
      </c>
      <c r="G13" s="8" t="inlineStr">
        <is>
          <t>2023 Job Detail Report.pdf (Sage Timberline, 04/03/2026, 285 pages)</t>
        </is>
      </c>
    </row>
    <row r="14">
      <c r="B14" s="14" t="inlineStr">
        <is>
          <t>7200UR</t>
        </is>
      </c>
      <c r="C14" s="5" t="inlineStr">
        <is>
          <t>United Rentals, Inc.</t>
        </is>
      </c>
      <c r="D14" s="15" t="n">
        <v>6785.949999999999</v>
      </c>
      <c r="E14" s="14" t="n">
        <v>11</v>
      </c>
      <c r="F14" s="14" t="inlineStr">
        <is>
          <t>Rental Equipment (602)</t>
        </is>
      </c>
      <c r="G14" s="8" t="inlineStr">
        <is>
          <t>2023 Job Detail Report.pdf (Sage Timberline, 04/03/2026, 285 pages)</t>
        </is>
      </c>
    </row>
    <row r="15">
      <c r="B15" s="14" t="inlineStr">
        <is>
          <t>1609QC</t>
        </is>
      </c>
      <c r="C15" s="5" t="inlineStr">
        <is>
          <t>Quality Concrete Products, Inc. $32</t>
        </is>
      </c>
      <c r="D15" s="15" t="n">
        <v>6488</v>
      </c>
      <c r="E15" s="14" t="n">
        <v>4</v>
      </c>
      <c r="F15" s="14" t="inlineStr">
        <is>
          <t>Concrete / subcon</t>
        </is>
      </c>
      <c r="G15" s="8" t="inlineStr">
        <is>
          <t>2023 Job Detail Report.pdf (Sage Timberline, 04/03/2026, 285 pages)</t>
        </is>
      </c>
    </row>
    <row r="16">
      <c r="B16" s="14" t="inlineStr">
        <is>
          <t>1516DS</t>
        </is>
      </c>
      <c r="C16" s="5" t="inlineStr">
        <is>
          <t>Duraseal, Inc.</t>
        </is>
      </c>
      <c r="D16" s="15" t="n">
        <v>3860</v>
      </c>
      <c r="E16" s="14" t="n">
        <v>1</v>
      </c>
      <c r="F16" s="14" t="inlineStr">
        <is>
          <t>Uncategorized</t>
        </is>
      </c>
      <c r="G16" s="8" t="inlineStr">
        <is>
          <t>2023 Job Detail Report.pdf (Sage Timberline, 04/03/2026, 285 pages)</t>
        </is>
      </c>
    </row>
    <row r="17">
      <c r="B17" s="14" t="inlineStr">
        <is>
          <t>5621HD</t>
        </is>
      </c>
      <c r="C17" s="5" t="inlineStr">
        <is>
          <t>Core &amp; Main LP $HD Supply Waterworks</t>
        </is>
      </c>
      <c r="D17" s="15" t="n">
        <v>2464.39</v>
      </c>
      <c r="E17" s="14" t="n">
        <v>2</v>
      </c>
      <c r="F17" s="14" t="inlineStr">
        <is>
          <t>Plumbing / Supplies</t>
        </is>
      </c>
      <c r="G17" s="8" t="inlineStr">
        <is>
          <t>2023 Job Detail Report.pdf (Sage Timberline, 04/03/2026, 285 pages)</t>
        </is>
      </c>
    </row>
    <row r="18">
      <c r="B18" s="14" t="inlineStr">
        <is>
          <t>1380RS</t>
        </is>
      </c>
      <c r="C18" s="5" t="inlineStr">
        <is>
          <t>Rosen Supply Kirkland</t>
        </is>
      </c>
      <c r="D18" s="15" t="n">
        <v>1670.93</v>
      </c>
      <c r="E18" s="14" t="n">
        <v>9</v>
      </c>
      <c r="F18" s="14" t="inlineStr">
        <is>
          <t>Plumbing / Supplies</t>
        </is>
      </c>
      <c r="G18" s="8" t="inlineStr">
        <is>
          <t>2023 Job Detail Report.pdf (Sage Timberline, 04/03/2026, 285 pages)</t>
        </is>
      </c>
    </row>
    <row r="19">
      <c r="B19" s="14" t="inlineStr">
        <is>
          <t>2132MH</t>
        </is>
      </c>
      <c r="C19" s="5" t="inlineStr">
        <is>
          <t>Manor Hardware &amp; Construction Supply</t>
        </is>
      </c>
      <c r="D19" s="15" t="n">
        <v>908.02</v>
      </c>
      <c r="E19" s="14" t="n">
        <v>3</v>
      </c>
      <c r="F19" s="14" t="inlineStr">
        <is>
          <t>Plumbing / Supplies</t>
        </is>
      </c>
      <c r="G19" s="8" t="inlineStr">
        <is>
          <t>2023 Job Detail Report.pdf (Sage Timberline, 04/03/2026, 285 pages)</t>
        </is>
      </c>
    </row>
    <row r="20">
      <c r="B20" s="14" t="inlineStr">
        <is>
          <t>1504CA</t>
        </is>
      </c>
      <c r="C20" s="5" t="inlineStr">
        <is>
          <t>Chip Away Bathtub Repair, Inc.</t>
        </is>
      </c>
      <c r="D20" s="15" t="n">
        <v>750</v>
      </c>
      <c r="E20" s="14" t="n">
        <v>1</v>
      </c>
      <c r="F20" s="14" t="inlineStr">
        <is>
          <t>Uncategorized</t>
        </is>
      </c>
      <c r="G20" s="8" t="inlineStr">
        <is>
          <t>2023 Job Detail Report.pdf (Sage Timberline, 04/03/2026, 285 pages)</t>
        </is>
      </c>
    </row>
    <row r="21">
      <c r="B21" s="14" t="inlineStr">
        <is>
          <t>8068MI</t>
        </is>
      </c>
      <c r="C21" s="5" t="inlineStr">
        <is>
          <t>Kele, Inc $ MI Controls</t>
        </is>
      </c>
      <c r="D21" s="15" t="n">
        <v>694.25</v>
      </c>
      <c r="E21" s="14" t="n">
        <v>1</v>
      </c>
      <c r="F21" s="14" t="inlineStr">
        <is>
          <t>Uncategorized</t>
        </is>
      </c>
      <c r="G21" s="8" t="inlineStr">
        <is>
          <t>2023 Job Detail Report.pdf (Sage Timberline, 04/03/2026, 285 pages)</t>
        </is>
      </c>
    </row>
    <row r="22">
      <c r="B22" s="14" t="inlineStr">
        <is>
          <t>1303CM</t>
        </is>
      </c>
      <c r="C22" s="5" t="inlineStr">
        <is>
          <t>C.M. Hoskins Company</t>
        </is>
      </c>
      <c r="D22" s="15" t="n">
        <v>564.48</v>
      </c>
      <c r="E22" s="14" t="n">
        <v>3</v>
      </c>
      <c r="F22" s="14" t="inlineStr">
        <is>
          <t>Uncategorized</t>
        </is>
      </c>
      <c r="G22" s="8" t="inlineStr">
        <is>
          <t>2023 Job Detail Report.pdf (Sage Timberline, 04/03/2026, 285 pages)</t>
        </is>
      </c>
    </row>
    <row r="23">
      <c r="B23" s="14" t="inlineStr">
        <is>
          <t>2024FE</t>
        </is>
      </c>
      <c r="C23" s="5" t="inlineStr">
        <is>
          <t>Ferguson Enterprises, Inc. $MG-Ballard</t>
        </is>
      </c>
      <c r="D23" s="15" t="n">
        <v>533.1900000000001</v>
      </c>
      <c r="E23" s="14" t="n">
        <v>1</v>
      </c>
      <c r="F23" s="14" t="inlineStr">
        <is>
          <t>Plumbing / Supplies</t>
        </is>
      </c>
      <c r="G23" s="8" t="inlineStr">
        <is>
          <t>2023 Job Detail Report.pdf (Sage Timberline, 04/03/2026, 285 pages)</t>
        </is>
      </c>
    </row>
    <row r="24">
      <c r="B24" s="14" t="inlineStr">
        <is>
          <t>1175FE</t>
        </is>
      </c>
      <c r="C24" s="5" t="inlineStr">
        <is>
          <t>Ferguson Enterprises, Inc. #3007</t>
        </is>
      </c>
      <c r="D24" s="15" t="n">
        <v>436.87</v>
      </c>
      <c r="E24" s="14" t="n">
        <v>1</v>
      </c>
      <c r="F24" s="14" t="inlineStr">
        <is>
          <t>Plumbing / Supplies</t>
        </is>
      </c>
      <c r="G24" s="8" t="inlineStr">
        <is>
          <t>2023 Job Detail Report.pdf (Sage Timberline, 04/03/2026, 285 pages)</t>
        </is>
      </c>
    </row>
    <row r="25">
      <c r="B25" s="14" t="inlineStr">
        <is>
          <t>1611AS</t>
        </is>
      </c>
      <c r="C25" s="5" t="inlineStr">
        <is>
          <t>Beacon Building Products $Atlas</t>
        </is>
      </c>
      <c r="D25" s="15" t="n">
        <v>361.89</v>
      </c>
      <c r="E25" s="14" t="n">
        <v>2</v>
      </c>
      <c r="F25" s="14" t="inlineStr">
        <is>
          <t>Uncategorized</t>
        </is>
      </c>
      <c r="G25" s="8" t="inlineStr">
        <is>
          <t>2023 Job Detail Report.pdf (Sage Timberline, 04/03/2026, 285 pages)</t>
        </is>
      </c>
    </row>
    <row r="26">
      <c r="B26" s="14" t="inlineStr">
        <is>
          <t>1288DR</t>
        </is>
      </c>
      <c r="C26" s="5" t="inlineStr">
        <is>
          <t>DRSi</t>
        </is>
      </c>
      <c r="D26" s="15" t="n">
        <v>309.85</v>
      </c>
      <c r="E26" s="14" t="n">
        <v>2</v>
      </c>
      <c r="F26" s="14" t="inlineStr">
        <is>
          <t>Uncategorized</t>
        </is>
      </c>
      <c r="G26" s="8" t="inlineStr">
        <is>
          <t>2023 Job Detail Report.pdf (Sage Timberline, 04/03/2026, 285 pages)</t>
        </is>
      </c>
    </row>
    <row r="27">
      <c r="B27" s="14" t="inlineStr">
        <is>
          <t>1234CO</t>
        </is>
      </c>
      <c r="C27" s="5" t="inlineStr">
        <is>
          <t>Capital One Credit Card</t>
        </is>
      </c>
      <c r="D27" s="15" t="n">
        <v>293.86</v>
      </c>
      <c r="E27" s="14" t="n">
        <v>2</v>
      </c>
      <c r="F27" s="14" t="inlineStr">
        <is>
          <t>Credit Card (mixed)</t>
        </is>
      </c>
      <c r="G27" s="8" t="inlineStr">
        <is>
          <t>2023 Job Detail Report.pdf (Sage Timberline, 04/03/2026, 285 pages)</t>
        </is>
      </c>
    </row>
    <row r="28">
      <c r="B28" s="14" t="inlineStr">
        <is>
          <t>3820HI</t>
        </is>
      </c>
      <c r="C28" s="5" t="inlineStr">
        <is>
          <t>Hilti, Inc.</t>
        </is>
      </c>
      <c r="D28" s="15" t="n">
        <v>292.5</v>
      </c>
      <c r="E28" s="14" t="n">
        <v>1</v>
      </c>
      <c r="F28" s="14" t="inlineStr">
        <is>
          <t>Uncategorized</t>
        </is>
      </c>
      <c r="G28" s="8" t="inlineStr">
        <is>
          <t>2023 Job Detail Report.pdf (Sage Timberline, 04/03/2026, 285 pages)</t>
        </is>
      </c>
    </row>
    <row r="29">
      <c r="B29" s="14" t="inlineStr">
        <is>
          <t>2021RS</t>
        </is>
      </c>
      <c r="C29" s="5" t="inlineStr">
        <is>
          <t>Rosen Supply Company $Admiral</t>
        </is>
      </c>
      <c r="D29" s="15" t="n">
        <v>290.47</v>
      </c>
      <c r="E29" s="14" t="n">
        <v>2</v>
      </c>
      <c r="F29" s="14" t="inlineStr">
        <is>
          <t>Plumbing / Supplies</t>
        </is>
      </c>
      <c r="G29" s="8" t="inlineStr">
        <is>
          <t>2023 Job Detail Report.pdf (Sage Timberline, 04/03/2026, 285 pages)</t>
        </is>
      </c>
    </row>
    <row r="30">
      <c r="B30" s="14" t="inlineStr">
        <is>
          <t>1421RA</t>
        </is>
      </c>
      <c r="C30" s="5" t="inlineStr">
        <is>
          <t>R.A. Brown Backflow Testing</t>
        </is>
      </c>
      <c r="D30" s="15" t="n">
        <v>229.5</v>
      </c>
      <c r="E30" s="14" t="n">
        <v>1</v>
      </c>
      <c r="F30" s="14" t="inlineStr">
        <is>
          <t>Testing subcontractor</t>
        </is>
      </c>
      <c r="G30" s="8" t="inlineStr">
        <is>
          <t>2023 Job Detail Report.pdf (Sage Timberline, 04/03/2026, 285 pages)</t>
        </is>
      </c>
    </row>
    <row r="31">
      <c r="B31" s="14" t="inlineStr">
        <is>
          <t>1799AW</t>
        </is>
      </c>
      <c r="C31" s="5" t="inlineStr">
        <is>
          <t>AllWest Underground, Inc.</t>
        </is>
      </c>
      <c r="D31" s="15" t="n">
        <v>84.84</v>
      </c>
      <c r="E31" s="14" t="n">
        <v>1</v>
      </c>
      <c r="F31" s="14" t="inlineStr">
        <is>
          <t>Uncategorized</t>
        </is>
      </c>
      <c r="G31" s="8" t="inlineStr">
        <is>
          <t>2023 Job Detail Report.pdf (Sage Timberline, 04/03/2026, 285 pages)</t>
        </is>
      </c>
    </row>
    <row r="32">
      <c r="B32" s="14" t="inlineStr">
        <is>
          <t>1126SS</t>
        </is>
      </c>
      <c r="C32" s="5" t="inlineStr">
        <is>
          <t>Specification Sales, Inc.</t>
        </is>
      </c>
      <c r="D32" s="15" t="n">
        <v>71.04000000000001</v>
      </c>
      <c r="E32" s="14" t="n">
        <v>2</v>
      </c>
      <c r="F32" s="14" t="inlineStr">
        <is>
          <t>Uncategorized</t>
        </is>
      </c>
      <c r="G32" s="8" t="inlineStr">
        <is>
          <t>2023 Job Detail Report.pdf (Sage Timberline, 04/03/2026, 285 pages)</t>
        </is>
      </c>
    </row>
    <row r="33">
      <c r="B33" s="14" t="inlineStr">
        <is>
          <t>1234BA</t>
        </is>
      </c>
      <c r="C33" s="5" t="inlineStr">
        <is>
          <t>Bank of America CC</t>
        </is>
      </c>
      <c r="D33" s="15" t="n">
        <v>66.73999999999999</v>
      </c>
      <c r="E33" s="14" t="n">
        <v>1</v>
      </c>
      <c r="F33" s="14" t="inlineStr">
        <is>
          <t>Credit Card (mixed)</t>
        </is>
      </c>
      <c r="G33" s="8" t="inlineStr">
        <is>
          <t>2023 Job Detail Report.pdf (Sage Timberline, 04/03/2026, 285 pages)</t>
        </is>
      </c>
    </row>
    <row r="34">
      <c r="B34" s="14" t="inlineStr">
        <is>
          <t>1344HD</t>
        </is>
      </c>
      <c r="C34" s="5" t="inlineStr">
        <is>
          <t>HD Fowler Company</t>
        </is>
      </c>
      <c r="D34" s="15" t="n">
        <v>61.12</v>
      </c>
      <c r="E34" s="14" t="n">
        <v>1</v>
      </c>
      <c r="F34" s="14" t="inlineStr">
        <is>
          <t>Uncategorized</t>
        </is>
      </c>
      <c r="G34" s="8" t="inlineStr">
        <is>
          <t>2023 Job Detail Report.pdf (Sage Timberline, 04/03/2026, 285 pages)</t>
        </is>
      </c>
    </row>
    <row r="35">
      <c r="B35" s="14" t="inlineStr">
        <is>
          <t>2019RS</t>
        </is>
      </c>
      <c r="C35" s="5" t="inlineStr">
        <is>
          <t>Rosen Supply Company, Inc. $8th, Republi</t>
        </is>
      </c>
      <c r="D35" s="15" t="n">
        <v>49.61</v>
      </c>
      <c r="E35" s="14" t="n">
        <v>2</v>
      </c>
      <c r="F35" s="14" t="inlineStr">
        <is>
          <t>Plumbing / Supplies</t>
        </is>
      </c>
      <c r="G35" s="8" t="inlineStr">
        <is>
          <t>2023 Job Detail Report.pdf (Sage Timberline, 04/03/2026, 285 pages)</t>
        </is>
      </c>
    </row>
    <row r="36">
      <c r="B36" s="14" t="inlineStr">
        <is>
          <t>2027FE</t>
        </is>
      </c>
      <c r="C36" s="5" t="inlineStr">
        <is>
          <t>Ferguson Enterprises, Inc. $550 Broadway</t>
        </is>
      </c>
      <c r="D36" s="15" t="n">
        <v>45.53</v>
      </c>
      <c r="E36" s="14" t="n">
        <v>1</v>
      </c>
      <c r="F36" s="14" t="inlineStr">
        <is>
          <t>Plumbing / Supplies</t>
        </is>
      </c>
      <c r="G36" s="8" t="inlineStr">
        <is>
          <t>2023 Job Detail Report.pdf (Sage Timberline, 04/03/2026, 285 pages)</t>
        </is>
      </c>
    </row>
    <row r="37">
      <c r="B37" s="14" t="inlineStr">
        <is>
          <t>1130CS</t>
        </is>
      </c>
      <c r="C37" s="5" t="inlineStr">
        <is>
          <t>Consolidated Supply Co.</t>
        </is>
      </c>
      <c r="D37" s="15" t="n">
        <v>-283.84</v>
      </c>
      <c r="E37" s="14" t="n">
        <v>2</v>
      </c>
      <c r="F37" s="14" t="inlineStr">
        <is>
          <t>Plumbing / Supplies</t>
        </is>
      </c>
      <c r="G37" s="8" t="inlineStr">
        <is>
          <t>2023 Job Detail Report.pdf (Sage Timberline, 04/03/2026, 285 pages)</t>
        </is>
      </c>
    </row>
    <row r="38">
      <c r="B38" s="18" t="inlineStr">
        <is>
          <t>TOTAL</t>
        </is>
      </c>
      <c r="D38" s="21">
        <f>SUM(D6:D37)</f>
        <v/>
      </c>
      <c r="E38" s="23">
        <f>SUM(E6:E37)</f>
        <v/>
      </c>
    </row>
    <row r="40">
      <c r="B40" s="24" t="inlineStr">
        <is>
          <t>NOTE: AP total per JDR footer = $682,284.56. Top vendors: Rosen Supply, Consolidated Supply, Ferguson, Keller Supply, Mechanical Sales, Franklin Engineering. Submittals folder contains 100+ submittals documenting approved products. POs folder shows 180+ POs (152 completed, 2 placed, 26 scheduled) + 38 Trim POs.</t>
        </is>
      </c>
      <c r="C40" s="6" t="n"/>
      <c r="D40" s="6" t="n"/>
      <c r="E40" s="6" t="n"/>
      <c r="F40" s="6" t="n"/>
      <c r="G40" s="7" t="n"/>
    </row>
  </sheetData>
  <mergeCells count="3">
    <mergeCell ref="B3:J3"/>
    <mergeCell ref="B2:J2"/>
    <mergeCell ref="B40:G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52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WI46</t>
        </is>
      </c>
      <c r="C6" s="5" t="inlineStr">
        <is>
          <t>Wilson, Garret A</t>
        </is>
      </c>
      <c r="D6" s="17" t="n">
        <v>1778.5</v>
      </c>
      <c r="E6" s="20" t="n">
        <v>39599</v>
      </c>
      <c r="F6" s="20">
        <f>IF(D6=0,0,E6/D6)</f>
        <v/>
      </c>
      <c r="G6" s="14" t="n">
        <v>54</v>
      </c>
      <c r="H6" s="8" t="inlineStr">
        <is>
          <t>2023 Job Detail Report.pdf (Sage Timberline, 04/03/2026, 285 pages)</t>
        </is>
      </c>
    </row>
    <row r="7">
      <c r="B7" s="14" t="inlineStr">
        <is>
          <t>RI84</t>
        </is>
      </c>
      <c r="C7" s="5" t="inlineStr">
        <is>
          <t>Rivera, Eli P</t>
        </is>
      </c>
      <c r="D7" s="17" t="n">
        <v>1659</v>
      </c>
      <c r="E7" s="20" t="n">
        <v>29349.5</v>
      </c>
      <c r="F7" s="20">
        <f>IF(D7=0,0,E7/D7)</f>
        <v/>
      </c>
      <c r="G7" s="14" t="n">
        <v>47</v>
      </c>
      <c r="H7" s="8" t="inlineStr">
        <is>
          <t>2023 Job Detail Report.pdf (Sage Timberline, 04/03/2026, 285 pages)</t>
        </is>
      </c>
    </row>
    <row r="8">
      <c r="B8" s="14" t="inlineStr">
        <is>
          <t>GA70</t>
        </is>
      </c>
      <c r="C8" s="5" t="inlineStr">
        <is>
          <t>Garcia, Jordan X</t>
        </is>
      </c>
      <c r="D8" s="17" t="n">
        <v>1594</v>
      </c>
      <c r="E8" s="20" t="n">
        <v>35278.5</v>
      </c>
      <c r="F8" s="20">
        <f>IF(D8=0,0,E8/D8)</f>
        <v/>
      </c>
      <c r="G8" s="14" t="n">
        <v>45</v>
      </c>
      <c r="H8" s="8" t="inlineStr">
        <is>
          <t>2023 Job Detail Report.pdf (Sage Timberline, 04/03/2026, 285 pages)</t>
        </is>
      </c>
    </row>
    <row r="9">
      <c r="B9" s="14" t="inlineStr">
        <is>
          <t>BA70</t>
        </is>
      </c>
      <c r="C9" s="5" t="inlineStr">
        <is>
          <t>Barnhart, Joseph N</t>
        </is>
      </c>
      <c r="D9" s="17" t="n">
        <v>1567</v>
      </c>
      <c r="E9" s="20" t="n">
        <v>56102.5</v>
      </c>
      <c r="F9" s="20">
        <f>IF(D9=0,0,E9/D9)</f>
        <v/>
      </c>
      <c r="G9" s="14" t="n">
        <v>68</v>
      </c>
      <c r="H9" s="8" t="inlineStr">
        <is>
          <t>2023 Job Detail Report.pdf (Sage Timberline, 04/03/2026, 285 pages)</t>
        </is>
      </c>
    </row>
    <row r="10">
      <c r="B10" s="14" t="inlineStr">
        <is>
          <t>BA45</t>
        </is>
      </c>
      <c r="C10" s="5" t="inlineStr">
        <is>
          <t>Balderas Ortiz, Ricardo I</t>
        </is>
      </c>
      <c r="D10" s="17" t="n">
        <v>1490.5</v>
      </c>
      <c r="E10" s="20" t="n">
        <v>28807</v>
      </c>
      <c r="F10" s="20">
        <f>IF(D10=0,0,E10/D10)</f>
        <v/>
      </c>
      <c r="G10" s="14" t="n">
        <v>43</v>
      </c>
      <c r="H10" s="8" t="inlineStr">
        <is>
          <t>2023 Job Detail Report.pdf (Sage Timberline, 04/03/2026, 285 pages)</t>
        </is>
      </c>
    </row>
    <row r="11">
      <c r="B11" s="14" t="inlineStr">
        <is>
          <t>GA72</t>
        </is>
      </c>
      <c r="C11" s="5" t="inlineStr">
        <is>
          <t>Gardner, Andrew M</t>
        </is>
      </c>
      <c r="D11" s="17" t="n">
        <v>1461.5</v>
      </c>
      <c r="E11" s="20" t="n">
        <v>20909</v>
      </c>
      <c r="F11" s="20">
        <f>IF(D11=0,0,E11/D11)</f>
        <v/>
      </c>
      <c r="G11" s="14" t="n">
        <v>49</v>
      </c>
      <c r="H11" s="8" t="inlineStr">
        <is>
          <t>2023 Job Detail Report.pdf (Sage Timberline, 04/03/2026, 285 pages)</t>
        </is>
      </c>
    </row>
    <row r="12">
      <c r="B12" s="14" t="inlineStr">
        <is>
          <t>BR59</t>
        </is>
      </c>
      <c r="C12" s="5" t="inlineStr">
        <is>
          <t>Brown, Steven D</t>
        </is>
      </c>
      <c r="D12" s="17" t="n">
        <v>1400.5</v>
      </c>
      <c r="E12" s="20" t="n">
        <v>19720</v>
      </c>
      <c r="F12" s="20">
        <f>IF(D12=0,0,E12/D12)</f>
        <v/>
      </c>
      <c r="G12" s="14" t="n">
        <v>42</v>
      </c>
      <c r="H12" s="8" t="inlineStr">
        <is>
          <t>2023 Job Detail Report.pdf (Sage Timberline, 04/03/2026, 285 pages)</t>
        </is>
      </c>
    </row>
    <row r="13">
      <c r="B13" s="14" t="inlineStr">
        <is>
          <t>KI55</t>
        </is>
      </c>
      <c r="C13" s="5" t="inlineStr">
        <is>
          <t>Kinssies, Jr, John E</t>
        </is>
      </c>
      <c r="D13" s="17" t="n">
        <v>1279.5</v>
      </c>
      <c r="E13" s="20" t="n">
        <v>21995.5</v>
      </c>
      <c r="F13" s="20">
        <f>IF(D13=0,0,E13/D13)</f>
        <v/>
      </c>
      <c r="G13" s="14" t="n">
        <v>41</v>
      </c>
      <c r="H13" s="8" t="inlineStr">
        <is>
          <t>2023 Job Detail Report.pdf (Sage Timberline, 04/03/2026, 285 pages)</t>
        </is>
      </c>
    </row>
    <row r="14">
      <c r="B14" s="14" t="inlineStr">
        <is>
          <t>ME53</t>
        </is>
      </c>
      <c r="C14" s="5" t="inlineStr">
        <is>
          <t>Mendoza Morales, Jesus A</t>
        </is>
      </c>
      <c r="D14" s="17" t="n">
        <v>1271</v>
      </c>
      <c r="E14" s="20" t="n">
        <v>18612</v>
      </c>
      <c r="F14" s="20">
        <f>IF(D14=0,0,E14/D14)</f>
        <v/>
      </c>
      <c r="G14" s="14" t="n">
        <v>35</v>
      </c>
      <c r="H14" s="8" t="inlineStr">
        <is>
          <t>2023 Job Detail Report.pdf (Sage Timberline, 04/03/2026, 285 pages)</t>
        </is>
      </c>
    </row>
    <row r="15">
      <c r="B15" s="14" t="inlineStr">
        <is>
          <t>ES62</t>
        </is>
      </c>
      <c r="C15" s="5" t="inlineStr">
        <is>
          <t>Esparza Jimenez, Jose D</t>
        </is>
      </c>
      <c r="D15" s="17" t="n">
        <v>1231.5</v>
      </c>
      <c r="E15" s="20" t="n">
        <v>30124.5</v>
      </c>
      <c r="F15" s="20">
        <f>IF(D15=0,0,E15/D15)</f>
        <v/>
      </c>
      <c r="G15" s="14" t="n">
        <v>37</v>
      </c>
      <c r="H15" s="8" t="inlineStr">
        <is>
          <t>2023 Job Detail Report.pdf (Sage Timberline, 04/03/2026, 285 pages)</t>
        </is>
      </c>
    </row>
    <row r="16">
      <c r="B16" s="14" t="inlineStr">
        <is>
          <t>WE55</t>
        </is>
      </c>
      <c r="C16" s="5" t="inlineStr">
        <is>
          <t>Wennig, Johnathan M</t>
        </is>
      </c>
      <c r="D16" s="17" t="n">
        <v>1153.5</v>
      </c>
      <c r="E16" s="20" t="n">
        <v>19680</v>
      </c>
      <c r="F16" s="20">
        <f>IF(D16=0,0,E16/D16)</f>
        <v/>
      </c>
      <c r="G16" s="14" t="n">
        <v>38</v>
      </c>
      <c r="H16" s="8" t="inlineStr">
        <is>
          <t>2023 Job Detail Report.pdf (Sage Timberline, 04/03/2026, 285 pages)</t>
        </is>
      </c>
    </row>
    <row r="17">
      <c r="B17" s="14" t="inlineStr">
        <is>
          <t>SA45</t>
        </is>
      </c>
      <c r="C17" s="5" t="inlineStr">
        <is>
          <t>Salazar, Hajdar L</t>
        </is>
      </c>
      <c r="D17" s="17" t="n">
        <v>1114.5</v>
      </c>
      <c r="E17" s="20" t="n">
        <v>19328</v>
      </c>
      <c r="F17" s="20">
        <f>IF(D17=0,0,E17/D17)</f>
        <v/>
      </c>
      <c r="G17" s="14" t="n">
        <v>35</v>
      </c>
      <c r="H17" s="8" t="inlineStr">
        <is>
          <t>2023 Job Detail Report.pdf (Sage Timberline, 04/03/2026, 285 pages)</t>
        </is>
      </c>
    </row>
    <row r="18">
      <c r="B18" s="14" t="inlineStr">
        <is>
          <t>RO75</t>
        </is>
      </c>
      <c r="C18" s="5" t="inlineStr">
        <is>
          <t>Ross, Kelli M</t>
        </is>
      </c>
      <c r="D18" s="17" t="n">
        <v>1075.5</v>
      </c>
      <c r="E18" s="20" t="n">
        <v>34736.5</v>
      </c>
      <c r="F18" s="20">
        <f>IF(D18=0,0,E18/D18)</f>
        <v/>
      </c>
      <c r="G18" s="14" t="n">
        <v>31</v>
      </c>
      <c r="H18" s="8" t="inlineStr">
        <is>
          <t>2023 Job Detail Report.pdf (Sage Timberline, 04/03/2026, 285 pages)</t>
        </is>
      </c>
    </row>
    <row r="19">
      <c r="B19" s="14" t="inlineStr">
        <is>
          <t>MA71</t>
        </is>
      </c>
      <c r="C19" s="5" t="inlineStr">
        <is>
          <t>Martinez Reyes, Juan C</t>
        </is>
      </c>
      <c r="D19" s="17" t="n">
        <v>1008</v>
      </c>
      <c r="E19" s="20" t="n">
        <v>14054</v>
      </c>
      <c r="F19" s="20">
        <f>IF(D19=0,0,E19/D19)</f>
        <v/>
      </c>
      <c r="G19" s="14" t="n">
        <v>29</v>
      </c>
      <c r="H19" s="8" t="inlineStr">
        <is>
          <t>2023 Job Detail Report.pdf (Sage Timberline, 04/03/2026, 285 pages)</t>
        </is>
      </c>
    </row>
    <row r="20">
      <c r="B20" s="14" t="inlineStr">
        <is>
          <t>AY19</t>
        </is>
      </c>
      <c r="C20" s="5" t="inlineStr">
        <is>
          <t>Ayers, Jordan L</t>
        </is>
      </c>
      <c r="D20" s="17" t="n">
        <v>745.5</v>
      </c>
      <c r="E20" s="20" t="n">
        <v>12673.5</v>
      </c>
      <c r="F20" s="20">
        <f>IF(D20=0,0,E20/D20)</f>
        <v/>
      </c>
      <c r="G20" s="14" t="n">
        <v>22</v>
      </c>
      <c r="H20" s="8" t="inlineStr">
        <is>
          <t>2023 Job Detail Report.pdf (Sage Timberline, 04/03/2026, 285 pages)</t>
        </is>
      </c>
    </row>
    <row r="21">
      <c r="B21" s="14" t="inlineStr">
        <is>
          <t>WA35</t>
        </is>
      </c>
      <c r="C21" s="5" t="inlineStr">
        <is>
          <t>Waites, Thaddeus Z</t>
        </is>
      </c>
      <c r="D21" s="17" t="n">
        <v>698.5</v>
      </c>
      <c r="E21" s="20" t="n">
        <v>25116.5</v>
      </c>
      <c r="F21" s="20">
        <f>IF(D21=0,0,E21/D21)</f>
        <v/>
      </c>
      <c r="G21" s="14" t="n">
        <v>23</v>
      </c>
      <c r="H21" s="8" t="inlineStr">
        <is>
          <t>2023 Job Detail Report.pdf (Sage Timberline, 04/03/2026, 285 pages)</t>
        </is>
      </c>
    </row>
    <row r="22">
      <c r="B22" s="14" t="inlineStr">
        <is>
          <t>RE18</t>
        </is>
      </c>
      <c r="C22" s="5" t="inlineStr">
        <is>
          <t>Reed, Reuben H</t>
        </is>
      </c>
      <c r="D22" s="17" t="n">
        <v>682.5</v>
      </c>
      <c r="E22" s="20" t="n">
        <v>21661</v>
      </c>
      <c r="F22" s="20">
        <f>IF(D22=0,0,E22/D22)</f>
        <v/>
      </c>
      <c r="G22" s="14" t="n">
        <v>20</v>
      </c>
      <c r="H22" s="8" t="inlineStr">
        <is>
          <t>2023 Job Detail Report.pdf (Sage Timberline, 04/03/2026, 285 pages)</t>
        </is>
      </c>
    </row>
    <row r="23">
      <c r="B23" s="14" t="inlineStr">
        <is>
          <t>EL33</t>
        </is>
      </c>
      <c r="C23" s="5" t="inlineStr">
        <is>
          <t>Eliassen, Cory H</t>
        </is>
      </c>
      <c r="D23" s="17" t="n">
        <v>636.5</v>
      </c>
      <c r="E23" s="20" t="n">
        <v>9517.5</v>
      </c>
      <c r="F23" s="20">
        <f>IF(D23=0,0,E23/D23)</f>
        <v/>
      </c>
      <c r="G23" s="14" t="n">
        <v>24</v>
      </c>
      <c r="H23" s="8" t="inlineStr">
        <is>
          <t>2023 Job Detail Report.pdf (Sage Timberline, 04/03/2026, 285 pages)</t>
        </is>
      </c>
    </row>
    <row r="24">
      <c r="B24" s="14" t="inlineStr">
        <is>
          <t>PE70</t>
        </is>
      </c>
      <c r="C24" s="5" t="inlineStr">
        <is>
          <t>Perez Ortiz, Jesus I</t>
        </is>
      </c>
      <c r="D24" s="17" t="n">
        <v>632.5</v>
      </c>
      <c r="E24" s="20" t="n">
        <v>9288.5</v>
      </c>
      <c r="F24" s="20">
        <f>IF(D24=0,0,E24/D24)</f>
        <v/>
      </c>
      <c r="G24" s="14" t="n">
        <v>19</v>
      </c>
      <c r="H24" s="8" t="inlineStr">
        <is>
          <t>2023 Job Detail Report.pdf (Sage Timberline, 04/03/2026, 285 pages)</t>
        </is>
      </c>
    </row>
    <row r="25">
      <c r="B25" s="14" t="inlineStr">
        <is>
          <t>AN98</t>
        </is>
      </c>
      <c r="C25" s="5" t="inlineStr">
        <is>
          <t>Anzora, William</t>
        </is>
      </c>
      <c r="D25" s="17" t="n">
        <v>616</v>
      </c>
      <c r="E25" s="20" t="n">
        <v>10016</v>
      </c>
      <c r="F25" s="20">
        <f>IF(D25=0,0,E25/D25)</f>
        <v/>
      </c>
      <c r="G25" s="14" t="n">
        <v>19</v>
      </c>
      <c r="H25" s="8" t="inlineStr">
        <is>
          <t>2023 Job Detail Report.pdf (Sage Timberline, 04/03/2026, 285 pages)</t>
        </is>
      </c>
    </row>
    <row r="26">
      <c r="B26" s="14" t="inlineStr">
        <is>
          <t>MC09</t>
        </is>
      </c>
      <c r="C26" s="5" t="inlineStr">
        <is>
          <t>McCabe, Thomas C</t>
        </is>
      </c>
      <c r="D26" s="17" t="n">
        <v>588</v>
      </c>
      <c r="E26" s="20" t="n">
        <v>14658</v>
      </c>
      <c r="F26" s="20">
        <f>IF(D26=0,0,E26/D26)</f>
        <v/>
      </c>
      <c r="G26" s="14" t="n">
        <v>21</v>
      </c>
      <c r="H26" s="8" t="inlineStr">
        <is>
          <t>2023 Job Detail Report.pdf (Sage Timberline, 04/03/2026, 285 pages)</t>
        </is>
      </c>
    </row>
    <row r="27">
      <c r="B27" s="14" t="inlineStr">
        <is>
          <t>BA68</t>
        </is>
      </c>
      <c r="C27" s="5" t="inlineStr">
        <is>
          <t>Barbosa, Michael S</t>
        </is>
      </c>
      <c r="D27" s="17" t="n">
        <v>583</v>
      </c>
      <c r="E27" s="20" t="n">
        <v>8367</v>
      </c>
      <c r="F27" s="20">
        <f>IF(D27=0,0,E27/D27)</f>
        <v/>
      </c>
      <c r="G27" s="14" t="n">
        <v>17</v>
      </c>
      <c r="H27" s="8" t="inlineStr">
        <is>
          <t>2023 Job Detail Report.pdf (Sage Timberline, 04/03/2026, 285 pages)</t>
        </is>
      </c>
    </row>
    <row r="28">
      <c r="B28" s="14" t="inlineStr">
        <is>
          <t>VE42</t>
        </is>
      </c>
      <c r="C28" s="5" t="inlineStr">
        <is>
          <t>Velasquez Cruz, Denis M</t>
        </is>
      </c>
      <c r="D28" s="17" t="n">
        <v>561.5</v>
      </c>
      <c r="E28" s="20" t="n">
        <v>10219</v>
      </c>
      <c r="F28" s="20">
        <f>IF(D28=0,0,E28/D28)</f>
        <v/>
      </c>
      <c r="G28" s="14" t="n">
        <v>17</v>
      </c>
      <c r="H28" s="8" t="inlineStr">
        <is>
          <t>2023 Job Detail Report.pdf (Sage Timberline, 04/03/2026, 285 pages)</t>
        </is>
      </c>
    </row>
    <row r="29">
      <c r="B29" s="14" t="inlineStr">
        <is>
          <t>CO73</t>
        </is>
      </c>
      <c r="C29" s="5" t="inlineStr">
        <is>
          <t>Cortes Sepulveda, Jose R</t>
        </is>
      </c>
      <c r="D29" s="17" t="n">
        <v>545</v>
      </c>
      <c r="E29" s="20" t="n">
        <v>7353</v>
      </c>
      <c r="F29" s="20">
        <f>IF(D29=0,0,E29/D29)</f>
        <v/>
      </c>
      <c r="G29" s="14" t="n">
        <v>16</v>
      </c>
      <c r="H29" s="8" t="inlineStr">
        <is>
          <t>2023 Job Detail Report.pdf (Sage Timberline, 04/03/2026, 285 pages)</t>
        </is>
      </c>
    </row>
    <row r="30">
      <c r="B30" s="14" t="inlineStr">
        <is>
          <t>SE64</t>
        </is>
      </c>
      <c r="C30" s="5" t="inlineStr">
        <is>
          <t>Sepulveda Gonzalez, Alfredo</t>
        </is>
      </c>
      <c r="D30" s="17" t="n">
        <v>544</v>
      </c>
      <c r="E30" s="20" t="n">
        <v>15504</v>
      </c>
      <c r="F30" s="20">
        <f>IF(D30=0,0,E30/D30)</f>
        <v/>
      </c>
      <c r="G30" s="14" t="n">
        <v>16</v>
      </c>
      <c r="H30" s="8" t="inlineStr">
        <is>
          <t>2023 Job Detail Report.pdf (Sage Timberline, 04/03/2026, 285 pages)</t>
        </is>
      </c>
    </row>
    <row r="31">
      <c r="B31" s="14" t="inlineStr">
        <is>
          <t>TA96</t>
        </is>
      </c>
      <c r="C31" s="5" t="inlineStr">
        <is>
          <t>Taylor, Evan R</t>
        </is>
      </c>
      <c r="D31" s="17" t="n">
        <v>542.5</v>
      </c>
      <c r="E31" s="20" t="n">
        <v>8704</v>
      </c>
      <c r="F31" s="20">
        <f>IF(D31=0,0,E31/D31)</f>
        <v/>
      </c>
      <c r="G31" s="14" t="n">
        <v>20</v>
      </c>
      <c r="H31" s="8" t="inlineStr">
        <is>
          <t>2023 Job Detail Report.pdf (Sage Timberline, 04/03/2026, 285 pages)</t>
        </is>
      </c>
    </row>
    <row r="32">
      <c r="B32" s="14" t="inlineStr">
        <is>
          <t>GE69</t>
        </is>
      </c>
      <c r="C32" s="5" t="inlineStr">
        <is>
          <t>Gerard, Jeffrey S</t>
        </is>
      </c>
      <c r="D32" s="17" t="n">
        <v>533</v>
      </c>
      <c r="E32" s="20" t="n">
        <v>22171.5</v>
      </c>
      <c r="F32" s="20">
        <f>IF(D32=0,0,E32/D32)</f>
        <v/>
      </c>
      <c r="G32" s="14" t="n">
        <v>83</v>
      </c>
      <c r="H32" s="8" t="inlineStr">
        <is>
          <t>2023 Job Detail Report.pdf (Sage Timberline, 04/03/2026, 285 pages)</t>
        </is>
      </c>
    </row>
    <row r="33">
      <c r="B33" s="14" t="inlineStr">
        <is>
          <t>NE91</t>
        </is>
      </c>
      <c r="C33" s="5" t="inlineStr">
        <is>
          <t>Newton, Carson T</t>
        </is>
      </c>
      <c r="D33" s="17" t="n">
        <v>481.5</v>
      </c>
      <c r="E33" s="20" t="n">
        <v>6786</v>
      </c>
      <c r="F33" s="20">
        <f>IF(D33=0,0,E33/D33)</f>
        <v/>
      </c>
      <c r="G33" s="14" t="n">
        <v>15</v>
      </c>
      <c r="H33" s="8" t="inlineStr">
        <is>
          <t>2023 Job Detail Report.pdf (Sage Timberline, 04/03/2026, 285 pages)</t>
        </is>
      </c>
    </row>
    <row r="34">
      <c r="B34" s="14" t="inlineStr">
        <is>
          <t>UL81</t>
        </is>
      </c>
      <c r="C34" s="5" t="inlineStr">
        <is>
          <t>Ulu, Flynn M</t>
        </is>
      </c>
      <c r="D34" s="17" t="n">
        <v>473</v>
      </c>
      <c r="E34" s="20" t="n">
        <v>12000</v>
      </c>
      <c r="F34" s="20">
        <f>IF(D34=0,0,E34/D34)</f>
        <v/>
      </c>
      <c r="G34" s="14" t="n">
        <v>15</v>
      </c>
      <c r="H34" s="8" t="inlineStr">
        <is>
          <t>2023 Job Detail Report.pdf (Sage Timberline, 04/03/2026, 285 pages)</t>
        </is>
      </c>
    </row>
    <row r="35">
      <c r="B35" s="14" t="inlineStr">
        <is>
          <t>DO56</t>
        </is>
      </c>
      <c r="C35" s="5" t="inlineStr">
        <is>
          <t>Donelson, Richard T</t>
        </is>
      </c>
      <c r="D35" s="17" t="n">
        <v>470</v>
      </c>
      <c r="E35" s="20" t="n">
        <v>21370</v>
      </c>
      <c r="F35" s="20">
        <f>IF(D35=0,0,E35/D35)</f>
        <v/>
      </c>
      <c r="G35" s="14" t="n">
        <v>94</v>
      </c>
      <c r="H35" s="8" t="inlineStr">
        <is>
          <t>2023 Job Detail Report.pdf (Sage Timberline, 04/03/2026, 285 pages)</t>
        </is>
      </c>
    </row>
    <row r="36">
      <c r="B36" s="14" t="inlineStr">
        <is>
          <t>ME98</t>
        </is>
      </c>
      <c r="C36" s="5" t="inlineStr">
        <is>
          <t>Meza Fuentes, Erick A</t>
        </is>
      </c>
      <c r="D36" s="17" t="n">
        <v>430</v>
      </c>
      <c r="E36" s="20" t="n">
        <v>10520</v>
      </c>
      <c r="F36" s="20">
        <f>IF(D36=0,0,E36/D36)</f>
        <v/>
      </c>
      <c r="G36" s="14" t="n">
        <v>14</v>
      </c>
      <c r="H36" s="8" t="inlineStr">
        <is>
          <t>2023 Job Detail Report.pdf (Sage Timberline, 04/03/2026, 285 pages)</t>
        </is>
      </c>
    </row>
    <row r="37">
      <c r="B37" s="14" t="inlineStr">
        <is>
          <t>QU35</t>
        </is>
      </c>
      <c r="C37" s="5" t="inlineStr">
        <is>
          <t>Quintanilla, Esteban R</t>
        </is>
      </c>
      <c r="D37" s="17" t="n">
        <v>409</v>
      </c>
      <c r="E37" s="20" t="n">
        <v>13765</v>
      </c>
      <c r="F37" s="20">
        <f>IF(D37=0,0,E37/D37)</f>
        <v/>
      </c>
      <c r="G37" s="14" t="n">
        <v>21</v>
      </c>
      <c r="H37" s="8" t="inlineStr">
        <is>
          <t>2023 Job Detail Report.pdf (Sage Timberline, 04/03/2026, 285 pages)</t>
        </is>
      </c>
    </row>
    <row r="38">
      <c r="B38" s="14" t="inlineStr">
        <is>
          <t>MO56</t>
        </is>
      </c>
      <c r="C38" s="5" t="inlineStr">
        <is>
          <t>Montenegro, Carlos E</t>
        </is>
      </c>
      <c r="D38" s="17" t="n">
        <v>406</v>
      </c>
      <c r="E38" s="20" t="n">
        <v>6640</v>
      </c>
      <c r="F38" s="20">
        <f>IF(D38=0,0,E38/D38)</f>
        <v/>
      </c>
      <c r="G38" s="14" t="n">
        <v>19</v>
      </c>
      <c r="H38" s="8" t="inlineStr">
        <is>
          <t>2023 Job Detail Report.pdf (Sage Timberline, 04/03/2026, 285 pages)</t>
        </is>
      </c>
    </row>
    <row r="39">
      <c r="B39" s="14" t="inlineStr">
        <is>
          <t>RO12</t>
        </is>
      </c>
      <c r="C39" s="5" t="inlineStr">
        <is>
          <t>Rodriguez Rodriguez, Aminadab N</t>
        </is>
      </c>
      <c r="D39" s="17" t="n">
        <v>385.5</v>
      </c>
      <c r="E39" s="20" t="n">
        <v>5990.5</v>
      </c>
      <c r="F39" s="20">
        <f>IF(D39=0,0,E39/D39)</f>
        <v/>
      </c>
      <c r="G39" s="14" t="n">
        <v>12</v>
      </c>
      <c r="H39" s="8" t="inlineStr">
        <is>
          <t>2023 Job Detail Report.pdf (Sage Timberline, 04/03/2026, 285 pages)</t>
        </is>
      </c>
    </row>
    <row r="40">
      <c r="B40" s="14" t="inlineStr">
        <is>
          <t>RI87</t>
        </is>
      </c>
      <c r="C40" s="5" t="inlineStr">
        <is>
          <t>Rivera, Jorge A</t>
        </is>
      </c>
      <c r="D40" s="17" t="n">
        <v>370</v>
      </c>
      <c r="E40" s="20" t="n">
        <v>7946</v>
      </c>
      <c r="F40" s="20">
        <f>IF(D40=0,0,E40/D40)</f>
        <v/>
      </c>
      <c r="G40" s="14" t="n">
        <v>17</v>
      </c>
      <c r="H40" s="8" t="inlineStr">
        <is>
          <t>2023 Job Detail Report.pdf (Sage Timberline, 04/03/2026, 285 pages)</t>
        </is>
      </c>
    </row>
    <row r="41">
      <c r="B41" s="14" t="inlineStr">
        <is>
          <t>SA54</t>
        </is>
      </c>
      <c r="C41" s="5" t="inlineStr">
        <is>
          <t>Sanders, Allen O</t>
        </is>
      </c>
      <c r="D41" s="17" t="n">
        <v>346</v>
      </c>
      <c r="E41" s="20" t="n">
        <v>12802</v>
      </c>
      <c r="F41" s="20">
        <f>IF(D41=0,0,E41/D41)</f>
        <v/>
      </c>
      <c r="G41" s="14" t="n">
        <v>22</v>
      </c>
      <c r="H41" s="8" t="inlineStr">
        <is>
          <t>2023 Job Detail Report.pdf (Sage Timberline, 04/03/2026, 285 pages)</t>
        </is>
      </c>
    </row>
    <row r="42">
      <c r="B42" s="14" t="inlineStr">
        <is>
          <t>PA46</t>
        </is>
      </c>
      <c r="C42" s="5" t="inlineStr">
        <is>
          <t>Palma Vides, Hugo</t>
        </is>
      </c>
      <c r="D42" s="17" t="n">
        <v>328.5</v>
      </c>
      <c r="E42" s="20" t="n">
        <v>11412.5</v>
      </c>
      <c r="F42" s="20">
        <f>IF(D42=0,0,E42/D42)</f>
        <v/>
      </c>
      <c r="G42" s="14" t="n">
        <v>10</v>
      </c>
      <c r="H42" s="8" t="inlineStr">
        <is>
          <t>2023 Job Detail Report.pdf (Sage Timberline, 04/03/2026, 285 pages)</t>
        </is>
      </c>
    </row>
    <row r="43">
      <c r="B43" s="14" t="inlineStr">
        <is>
          <t>MA79</t>
        </is>
      </c>
      <c r="C43" s="5" t="inlineStr">
        <is>
          <t>Matthias, Joseph S</t>
        </is>
      </c>
      <c r="D43" s="17" t="n">
        <v>272</v>
      </c>
      <c r="E43" s="20" t="n">
        <v>3536</v>
      </c>
      <c r="F43" s="20">
        <f>IF(D43=0,0,E43/D43)</f>
        <v/>
      </c>
      <c r="G43" s="14" t="n">
        <v>9</v>
      </c>
      <c r="H43" s="8" t="inlineStr">
        <is>
          <t>2023 Job Detail Report.pdf (Sage Timberline, 04/03/2026, 285 pages)</t>
        </is>
      </c>
    </row>
    <row r="44">
      <c r="B44" s="14" t="inlineStr">
        <is>
          <t>MO54</t>
        </is>
      </c>
      <c r="C44" s="5" t="inlineStr">
        <is>
          <t>Monico Brambila, Jesus S</t>
        </is>
      </c>
      <c r="D44" s="17" t="n">
        <v>246</v>
      </c>
      <c r="E44" s="20" t="n">
        <v>4476</v>
      </c>
      <c r="F44" s="20">
        <f>IF(D44=0,0,E44/D44)</f>
        <v/>
      </c>
      <c r="G44" s="14" t="n">
        <v>8</v>
      </c>
      <c r="H44" s="8" t="inlineStr">
        <is>
          <t>2023 Job Detail Report.pdf (Sage Timberline, 04/03/2026, 285 pages)</t>
        </is>
      </c>
    </row>
    <row r="45">
      <c r="B45" s="14" t="inlineStr">
        <is>
          <t>GE71</t>
        </is>
      </c>
      <c r="C45" s="5" t="inlineStr">
        <is>
          <t>Gerard, Mitchell J</t>
        </is>
      </c>
      <c r="D45" s="17" t="n">
        <v>236</v>
      </c>
      <c r="E45" s="20" t="n">
        <v>4626</v>
      </c>
      <c r="F45" s="20">
        <f>IF(D45=0,0,E45/D45)</f>
        <v/>
      </c>
      <c r="G45" s="14" t="n">
        <v>12</v>
      </c>
      <c r="H45" s="8" t="inlineStr">
        <is>
          <t>2023 Job Detail Report.pdf (Sage Timberline, 04/03/2026, 285 pages)</t>
        </is>
      </c>
    </row>
    <row r="46">
      <c r="B46" s="14" t="inlineStr">
        <is>
          <t>PA47</t>
        </is>
      </c>
      <c r="C46" s="5" t="inlineStr">
        <is>
          <t>Palma Vides, Jorge A</t>
        </is>
      </c>
      <c r="D46" s="17" t="n">
        <v>230.5</v>
      </c>
      <c r="E46" s="20" t="n">
        <v>3918.5</v>
      </c>
      <c r="F46" s="20">
        <f>IF(D46=0,0,E46/D46)</f>
        <v/>
      </c>
      <c r="G46" s="14" t="n">
        <v>8</v>
      </c>
      <c r="H46" s="8" t="inlineStr">
        <is>
          <t>2023 Job Detail Report.pdf (Sage Timberline, 04/03/2026, 285 pages)</t>
        </is>
      </c>
    </row>
    <row r="47">
      <c r="B47" s="14" t="inlineStr">
        <is>
          <t>HU06</t>
        </is>
      </c>
      <c r="C47" s="5" t="inlineStr">
        <is>
          <t>Hubbard, Robert W</t>
        </is>
      </c>
      <c r="D47" s="17" t="n">
        <v>177</v>
      </c>
      <c r="E47" s="20" t="n">
        <v>6683.5</v>
      </c>
      <c r="F47" s="20">
        <f>IF(D47=0,0,E47/D47)</f>
        <v/>
      </c>
      <c r="G47" s="14" t="n">
        <v>26</v>
      </c>
      <c r="H47" s="8" t="inlineStr">
        <is>
          <t>2023 Job Detail Report.pdf (Sage Timberline, 04/03/2026, 285 pages)</t>
        </is>
      </c>
    </row>
    <row r="48">
      <c r="B48" s="14" t="inlineStr">
        <is>
          <t>LO87</t>
        </is>
      </c>
      <c r="C48" s="5" t="inlineStr">
        <is>
          <t>Lovo, German G</t>
        </is>
      </c>
      <c r="D48" s="17" t="n">
        <v>176</v>
      </c>
      <c r="E48" s="20" t="n">
        <v>2688</v>
      </c>
      <c r="F48" s="20">
        <f>IF(D48=0,0,E48/D48)</f>
        <v/>
      </c>
      <c r="G48" s="14" t="n">
        <v>7</v>
      </c>
      <c r="H48" s="8" t="inlineStr">
        <is>
          <t>2023 Job Detail Report.pdf (Sage Timberline, 04/03/2026, 285 pages)</t>
        </is>
      </c>
    </row>
    <row r="49">
      <c r="B49" s="14" t="inlineStr">
        <is>
          <t>HO14</t>
        </is>
      </c>
      <c r="C49" s="5" t="inlineStr">
        <is>
          <t>Holmes, Anthony R</t>
        </is>
      </c>
      <c r="D49" s="17" t="n">
        <v>165</v>
      </c>
      <c r="E49" s="20" t="n">
        <v>3255</v>
      </c>
      <c r="F49" s="20">
        <f>IF(D49=0,0,E49/D49)</f>
        <v/>
      </c>
      <c r="G49" s="14" t="n">
        <v>7</v>
      </c>
      <c r="H49" s="8" t="inlineStr">
        <is>
          <t>2023 Job Detail Report.pdf (Sage Timberline, 04/03/2026, 285 pages)</t>
        </is>
      </c>
    </row>
    <row r="50">
      <c r="B50" s="14" t="inlineStr">
        <is>
          <t>SO78</t>
        </is>
      </c>
      <c r="C50" s="5" t="inlineStr">
        <is>
          <t>Soto Cruz, Jovani</t>
        </is>
      </c>
      <c r="D50" s="17" t="n">
        <v>131.5</v>
      </c>
      <c r="E50" s="20" t="n">
        <v>2498.5</v>
      </c>
      <c r="F50" s="20">
        <f>IF(D50=0,0,E50/D50)</f>
        <v/>
      </c>
      <c r="G50" s="14" t="n">
        <v>4</v>
      </c>
      <c r="H50" s="8" t="inlineStr">
        <is>
          <t>2023 Job Detail Report.pdf (Sage Timberline, 04/03/2026, 285 pages)</t>
        </is>
      </c>
    </row>
    <row r="51">
      <c r="B51" s="14" t="inlineStr">
        <is>
          <t>HU04</t>
        </is>
      </c>
      <c r="C51" s="5" t="inlineStr">
        <is>
          <t>Hubbard, Dustin R</t>
        </is>
      </c>
      <c r="D51" s="17" t="n">
        <v>97</v>
      </c>
      <c r="E51" s="20" t="n">
        <v>1558</v>
      </c>
      <c r="F51" s="20">
        <f>IF(D51=0,0,E51/D51)</f>
        <v/>
      </c>
      <c r="G51" s="14" t="n">
        <v>32</v>
      </c>
      <c r="H51" s="8" t="inlineStr">
        <is>
          <t>2023 Job Detail Report.pdf (Sage Timberline, 04/03/2026, 285 pages)</t>
        </is>
      </c>
    </row>
    <row r="52">
      <c r="B52" s="14" t="inlineStr">
        <is>
          <t>VA86</t>
        </is>
      </c>
      <c r="C52" s="5" t="inlineStr">
        <is>
          <t>Vaughan, Tyler J</t>
        </is>
      </c>
      <c r="D52" s="17" t="n">
        <v>85.5</v>
      </c>
      <c r="E52" s="20" t="n">
        <v>1795.5</v>
      </c>
      <c r="F52" s="20">
        <f>IF(D52=0,0,E52/D52)</f>
        <v/>
      </c>
      <c r="G52" s="14" t="n">
        <v>3</v>
      </c>
      <c r="H52" s="8" t="inlineStr">
        <is>
          <t>2023 Job Detail Report.pdf (Sage Timberline, 04/03/2026, 285 pages)</t>
        </is>
      </c>
    </row>
    <row r="53">
      <c r="B53" s="14" t="inlineStr">
        <is>
          <t>AL05</t>
        </is>
      </c>
      <c r="C53" s="5" t="inlineStr">
        <is>
          <t>Alba Martinez, Santiago</t>
        </is>
      </c>
      <c r="D53" s="17" t="n">
        <v>61</v>
      </c>
      <c r="E53" s="20" t="n">
        <v>1098</v>
      </c>
      <c r="F53" s="20">
        <f>IF(D53=0,0,E53/D53)</f>
        <v/>
      </c>
      <c r="G53" s="14" t="n">
        <v>3</v>
      </c>
      <c r="H53" s="8" t="inlineStr">
        <is>
          <t>2023 Job Detail Report.pdf (Sage Timberline, 04/03/2026, 285 pages)</t>
        </is>
      </c>
    </row>
    <row r="54">
      <c r="B54" s="14" t="inlineStr">
        <is>
          <t>VE45</t>
        </is>
      </c>
      <c r="C54" s="5" t="inlineStr">
        <is>
          <t>Veley, Nathaniel S</t>
        </is>
      </c>
      <c r="D54" s="17" t="n">
        <v>58</v>
      </c>
      <c r="E54" s="20" t="n">
        <v>1914</v>
      </c>
      <c r="F54" s="20">
        <f>IF(D54=0,0,E54/D54)</f>
        <v/>
      </c>
      <c r="G54" s="14" t="n">
        <v>3</v>
      </c>
      <c r="H54" s="8" t="inlineStr">
        <is>
          <t>2023 Job Detail Report.pdf (Sage Timberline, 04/03/2026, 285 pages)</t>
        </is>
      </c>
    </row>
    <row r="55">
      <c r="B55" s="14" t="inlineStr">
        <is>
          <t>CR79</t>
        </is>
      </c>
      <c r="C55" s="5" t="inlineStr">
        <is>
          <t>Cruz Guzman, Joel A</t>
        </is>
      </c>
      <c r="D55" s="17" t="n">
        <v>55</v>
      </c>
      <c r="E55" s="20" t="n">
        <v>715</v>
      </c>
      <c r="F55" s="20">
        <f>IF(D55=0,0,E55/D55)</f>
        <v/>
      </c>
      <c r="G55" s="14" t="n">
        <v>4</v>
      </c>
      <c r="H55" s="8" t="inlineStr">
        <is>
          <t>2023 Job Detail Report.pdf (Sage Timberline, 04/03/2026, 285 pages)</t>
        </is>
      </c>
    </row>
    <row r="56">
      <c r="B56" s="14" t="inlineStr">
        <is>
          <t>RE96</t>
        </is>
      </c>
      <c r="C56" s="5" t="inlineStr">
        <is>
          <t>Reyes Cruz, Denis A</t>
        </is>
      </c>
      <c r="D56" s="17" t="n">
        <v>40</v>
      </c>
      <c r="E56" s="20" t="n">
        <v>600</v>
      </c>
      <c r="F56" s="20">
        <f>IF(D56=0,0,E56/D56)</f>
        <v/>
      </c>
      <c r="G56" s="14" t="n">
        <v>4</v>
      </c>
      <c r="H56" s="8" t="inlineStr">
        <is>
          <t>2023 Job Detail Report.pdf (Sage Timberline, 04/03/2026, 285 pages)</t>
        </is>
      </c>
    </row>
    <row r="57">
      <c r="B57" s="14" t="inlineStr">
        <is>
          <t>WA46</t>
        </is>
      </c>
      <c r="C57" s="5" t="inlineStr">
        <is>
          <t>Walker, Craig M</t>
        </is>
      </c>
      <c r="D57" s="17" t="n">
        <v>40</v>
      </c>
      <c r="E57" s="20" t="n">
        <v>600</v>
      </c>
      <c r="F57" s="20">
        <f>IF(D57=0,0,E57/D57)</f>
        <v/>
      </c>
      <c r="G57" s="14" t="n">
        <v>2</v>
      </c>
      <c r="H57" s="8" t="inlineStr">
        <is>
          <t>2023 Job Detail Report.pdf (Sage Timberline, 04/03/2026, 285 pages)</t>
        </is>
      </c>
    </row>
    <row r="58">
      <c r="B58" s="18" t="inlineStr">
        <is>
          <t>TOTAL</t>
        </is>
      </c>
      <c r="D58" s="10">
        <f>SUM(D6:D57)</f>
        <v/>
      </c>
      <c r="E58" s="9">
        <f>SUM(E6:E57)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52</v>
      </c>
      <c r="D7" s="5" t="inlineStr">
        <is>
          <t>Unique payroll IDs</t>
        </is>
      </c>
      <c r="E7" s="8" t="inlineStr">
        <is>
          <t>2023 Job Detail Report.pdf (Sage Timberline, 04/03/2026, 285 pages)</t>
        </is>
      </c>
    </row>
    <row r="8">
      <c r="B8" s="5" t="inlineStr">
        <is>
          <t>Total Labor Hours</t>
        </is>
      </c>
      <c r="C8" s="17" t="n">
        <v>33107</v>
      </c>
      <c r="D8" s="5" t="inlineStr">
        <is>
          <t>Sum of codes 100-150</t>
        </is>
      </c>
      <c r="E8" s="8" t="inlineStr">
        <is>
          <t>2023 Job Detail Report.pdf (Sage Timberline, 04/03/2026, 285 pages)</t>
        </is>
      </c>
    </row>
    <row r="9">
      <c r="B9" s="5" t="inlineStr">
        <is>
          <t>Total Gross Pay</t>
        </is>
      </c>
      <c r="C9" s="17" t="n">
        <v>702744.3500000001</v>
      </c>
      <c r="D9" s="5" t="inlineStr">
        <is>
          <t>Sum of codes 100-150</t>
        </is>
      </c>
      <c r="E9" s="8" t="inlineStr">
        <is>
          <t>2023 Job Detail Report.pdf (Sage Timberline, 04/03/2026, 285 pages)</t>
        </is>
      </c>
    </row>
    <row r="10">
      <c r="B10" s="5" t="inlineStr">
        <is>
          <t>Blended Gross Wage ($/hr)</t>
        </is>
      </c>
      <c r="C10" s="20" t="n">
        <v>21.22645815084423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0.05371975715105567</v>
      </c>
      <c r="D11" s="5" t="inlineStr">
        <is>
          <t>WI46 Wilson, Garret A (1778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0.2443289938683662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45.46808510638298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13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636.6730769230769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24.65384615384615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241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2771369.0/33107.0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898027.56/33107.0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702744.3500000001/33107.0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(702744.3500000001+312024.89+54627.81)/33107.0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(702744.3500000001+312024.89+54627.81)/702744.3500000001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17765</v>
      </c>
      <c r="D11" s="14" t="inlineStr">
        <is>
          <t>JDR</t>
        </is>
      </c>
      <c r="E11" s="8" t="inlineStr">
        <is>
          <t>17765 hrs</t>
        </is>
      </c>
    </row>
    <row r="12">
      <c r="B12" s="5" t="inlineStr">
        <is>
          <t>Finish Hours (code 130)</t>
        </is>
      </c>
      <c r="C12" s="17" t="n">
        <v>2906.5</v>
      </c>
      <c r="D12" s="14" t="inlineStr">
        <is>
          <t>JDR</t>
        </is>
      </c>
      <c r="E12" s="8" t="inlineStr">
        <is>
          <t>2906 hrs</t>
        </is>
      </c>
    </row>
    <row r="13">
      <c r="B13" s="5" t="inlineStr">
        <is>
          <t>Rough-in % of Total Hours</t>
        </is>
      </c>
      <c r="C13" s="16">
        <f>17765.0/33107.0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898027.56/2771369.0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702744.3500000001/2771369.0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725504.8200000001/2771369.0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1873341.44/2771369.0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(241)</t>
        </is>
      </c>
      <c r="C18" s="20">
        <f>2771369.0/241</f>
        <v/>
      </c>
      <c r="D18" s="14" t="inlineStr">
        <is>
          <t>Formula</t>
        </is>
      </c>
      <c r="E18" s="8" t="inlineStr">
        <is>
          <t>241 units (bid)</t>
        </is>
      </c>
    </row>
    <row r="19">
      <c r="B19" s="5" t="inlineStr">
        <is>
          <t>Labor Hours per Unit</t>
        </is>
      </c>
      <c r="C19" s="17">
        <f>33107.0/241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702744.3500000001/241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725504.8200000001/241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1873341.44/241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17765.0/241</f>
        <v/>
      </c>
      <c r="D23" s="14" t="inlineStr">
        <is>
          <t>Formula</t>
        </is>
      </c>
      <c r="E23" s="8" t="inlineStr">
        <is>
          <t>Code 120 / 241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Legacy Prime</t>
        </is>
      </c>
      <c r="C6" s="5" t="inlineStr">
        <is>
          <t>2014-09-09 (bid) / subcontract executed</t>
        </is>
      </c>
      <c r="D6" s="5" t="inlineStr">
        <is>
          <t>Chinn Construction, LLC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Legacy @ Mercer Island Apts plumbing — full scope per bid sheet</t>
        </is>
      </c>
      <c r="H6" s="20" t="n">
        <v>2469500</v>
      </c>
      <c r="I6" s="8" t="inlineStr">
        <is>
          <t>Legacy contract OCR_d.pdf (Chinn↔OWP subcontract, Lump Sum $2,469,500)</t>
        </is>
      </c>
    </row>
    <row r="7">
      <c r="B7" s="14" t="inlineStr">
        <is>
          <t>Legacy CO 11</t>
        </is>
      </c>
      <c r="C7" s="28" t="inlineStr">
        <is>
          <t>NOT FOUND</t>
        </is>
      </c>
      <c r="D7" s="5" t="inlineStr">
        <is>
          <t>Chinn Construction, LLC</t>
        </is>
      </c>
      <c r="E7" s="14" t="inlineStr">
        <is>
          <t>Change Order</t>
        </is>
      </c>
      <c r="F7" s="27" t="inlineStr">
        <is>
          <t>Executed (scan)</t>
        </is>
      </c>
      <c r="G7" s="5" t="inlineStr">
        <is>
          <t>Documented CO (image-only PDF — value not machine-readable)</t>
        </is>
      </c>
      <c r="H7" s="28" t="inlineStr">
        <is>
          <t>NOT FOUND</t>
        </is>
      </c>
      <c r="I7" s="8" t="inlineStr">
        <is>
          <t>Change Orders/CO_s/Legacy CO 11 Signed.pdf (image scan; value NOT machine-readable)</t>
        </is>
      </c>
    </row>
    <row r="8">
      <c r="B8" s="14" t="inlineStr">
        <is>
          <t>Legacy CO 19</t>
        </is>
      </c>
      <c r="C8" s="28" t="inlineStr">
        <is>
          <t>NOT FOUND</t>
        </is>
      </c>
      <c r="D8" s="5" t="inlineStr">
        <is>
          <t>Chinn Construction, LLC</t>
        </is>
      </c>
      <c r="E8" s="14" t="inlineStr">
        <is>
          <t>Change Order</t>
        </is>
      </c>
      <c r="F8" s="27" t="inlineStr">
        <is>
          <t>Executed (scan)</t>
        </is>
      </c>
      <c r="G8" s="5" t="inlineStr">
        <is>
          <t>Documented CO (image-only PDF — value not machine-readable)</t>
        </is>
      </c>
      <c r="H8" s="28" t="inlineStr">
        <is>
          <t>NOT FOUND</t>
        </is>
      </c>
      <c r="I8" s="8" t="inlineStr">
        <is>
          <t>Change Orders/CO_s/Legacy CO 19.pdf (image scan)</t>
        </is>
      </c>
    </row>
    <row r="9">
      <c r="B9" s="14" t="inlineStr">
        <is>
          <t>Legacy CO 20</t>
        </is>
      </c>
      <c r="C9" s="28" t="inlineStr">
        <is>
          <t>NOT FOUND</t>
        </is>
      </c>
      <c r="D9" s="5" t="inlineStr">
        <is>
          <t>Chinn Construction, LLC</t>
        </is>
      </c>
      <c r="E9" s="14" t="inlineStr">
        <is>
          <t>Change Order</t>
        </is>
      </c>
      <c r="F9" s="27" t="inlineStr">
        <is>
          <t>Executed (scan)</t>
        </is>
      </c>
      <c r="G9" s="5" t="inlineStr">
        <is>
          <t>Documented CO (image-only PDF — value not machine-readable)</t>
        </is>
      </c>
      <c r="H9" s="28" t="inlineStr">
        <is>
          <t>NOT FOUND</t>
        </is>
      </c>
      <c r="I9" s="8" t="inlineStr">
        <is>
          <t>Change Orders/CO_s/Legacy CO 20.pdf (image scan)</t>
        </is>
      </c>
    </row>
    <row r="10">
      <c r="B10" s="14" t="inlineStr">
        <is>
          <t>Legacy CO 21</t>
        </is>
      </c>
      <c r="C10" s="28" t="inlineStr">
        <is>
          <t>NOT FOUND</t>
        </is>
      </c>
      <c r="D10" s="5" t="inlineStr">
        <is>
          <t>Chinn Construction, LLC</t>
        </is>
      </c>
      <c r="E10" s="14" t="inlineStr">
        <is>
          <t>Change Order</t>
        </is>
      </c>
      <c r="F10" s="27" t="inlineStr">
        <is>
          <t>Executed (scan)</t>
        </is>
      </c>
      <c r="G10" s="5" t="inlineStr">
        <is>
          <t>Documented CO (image-only PDF — value not machine-readable)</t>
        </is>
      </c>
      <c r="H10" s="28" t="inlineStr">
        <is>
          <t>NOT FOUND</t>
        </is>
      </c>
      <c r="I10" s="8" t="inlineStr">
        <is>
          <t>Change Orders/CO_s/Legacy CO 21.pdf (image scan)</t>
        </is>
      </c>
    </row>
    <row r="11">
      <c r="B11" s="14" t="inlineStr">
        <is>
          <t>Legacy CO 22</t>
        </is>
      </c>
      <c r="C11" s="28" t="inlineStr">
        <is>
          <t>NOT FOUND</t>
        </is>
      </c>
      <c r="D11" s="5" t="inlineStr">
        <is>
          <t>Chinn Construction, LLC</t>
        </is>
      </c>
      <c r="E11" s="14" t="inlineStr">
        <is>
          <t>Change Order</t>
        </is>
      </c>
      <c r="F11" s="27" t="inlineStr">
        <is>
          <t>Executed (scan)</t>
        </is>
      </c>
      <c r="G11" s="5" t="inlineStr">
        <is>
          <t>Documented CO (image-only PDF — value not machine-readable)</t>
        </is>
      </c>
      <c r="H11" s="28" t="inlineStr">
        <is>
          <t>NOT FOUND</t>
        </is>
      </c>
      <c r="I11" s="8" t="inlineStr">
        <is>
          <t>Change Orders/CO_s/Legacy CO 22.pdf (image scan)</t>
        </is>
      </c>
    </row>
    <row r="12">
      <c r="B12" s="14" t="inlineStr">
        <is>
          <t>CO-IMPLIED</t>
        </is>
      </c>
      <c r="C12" s="5" t="inlineStr">
        <is>
          <t>2014-09 to 2016-12</t>
        </is>
      </c>
      <c r="D12" s="5" t="inlineStr">
        <is>
          <t>Chinn Construction, LLC</t>
        </is>
      </c>
      <c r="E12" s="14" t="inlineStr">
        <is>
          <t>CO Aggregate (JDR)</t>
        </is>
      </c>
      <c r="F12" s="29" t="inlineStr">
        <is>
          <t>Absorbed</t>
        </is>
      </c>
      <c r="G12" s="5" t="inlineStr">
        <is>
          <t>Aggregate CO impact per JDR code 999 (Rev − Orig): $301,869.00. Individual CO values not OCR-readable.</t>
        </is>
      </c>
      <c r="H12" s="20" t="n">
        <v>301869</v>
      </c>
      <c r="I12" s="8" t="inlineStr">
        <is>
          <t>2023 Job Detail Report.pdf (Sage Timberline, 04/03/2026, 285 pages) (code 999)</t>
        </is>
      </c>
    </row>
    <row r="13">
      <c r="B13" s="18" t="inlineStr">
        <is>
          <t>TOTAL (contract + COs)</t>
        </is>
      </c>
      <c r="H13" s="21" t="n">
        <v>2771369</v>
      </c>
    </row>
    <row r="15">
      <c r="B15" s="24" t="inlineStr">
        <is>
          <t>NOTE: JDR-implied CO total = $301,869.00. 5 CO PDFs on file (CO 11, 19, 20, 21, 22) are image-only scans; individual values require OCR. CO numbering gap (jump from 11 to 19) suggests 6+ additional COs exist but are not in the CO_s folder. Outbound POs: 180+ total (2 placed, 26 scheduled, 152 completed) + 38 Trim POs — see POs/ folders.</t>
        </is>
      </c>
      <c r="C15" s="6" t="n"/>
      <c r="D15" s="6" t="n"/>
      <c r="E15" s="6" t="n"/>
      <c r="F15" s="6" t="n"/>
      <c r="G15" s="6" t="n"/>
      <c r="H15" s="6" t="n"/>
      <c r="I15" s="7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25 unique invoices to Chinn Construction, LLC. Retainage $138,568.45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036573</t>
        </is>
      </c>
      <c r="C6" s="14" t="inlineStr">
        <is>
          <t>01/19/15</t>
        </is>
      </c>
      <c r="D6" s="15" t="n">
        <v>-51150</v>
      </c>
      <c r="E6" s="15" t="n">
        <v>-2557.5</v>
      </c>
      <c r="F6" s="14" t="n">
        <v>1</v>
      </c>
      <c r="G6" s="8" t="inlineStr">
        <is>
          <t>2023 Job Detail Report.pdf (Sage Timberline, 04/03/2026, 285 pages)</t>
        </is>
      </c>
    </row>
    <row r="7">
      <c r="B7" s="14" t="inlineStr">
        <is>
          <t>036580</t>
        </is>
      </c>
      <c r="C7" s="14" t="inlineStr">
        <is>
          <t>02/11/15</t>
        </is>
      </c>
      <c r="D7" s="15" t="n">
        <v>-30000</v>
      </c>
      <c r="E7" s="15" t="n">
        <v>-1500</v>
      </c>
      <c r="F7" s="14" t="n">
        <v>2</v>
      </c>
      <c r="G7" s="8" t="inlineStr">
        <is>
          <t>2023 Job Detail Report.pdf (Sage Timberline, 04/03/2026, 285 pages)</t>
        </is>
      </c>
    </row>
    <row r="8">
      <c r="B8" s="14" t="inlineStr">
        <is>
          <t>036595</t>
        </is>
      </c>
      <c r="C8" s="14" t="inlineStr">
        <is>
          <t>03/18/15</t>
        </is>
      </c>
      <c r="D8" s="15" t="n">
        <v>-64810</v>
      </c>
      <c r="E8" s="15" t="n">
        <v>-3240.5</v>
      </c>
      <c r="F8" s="14" t="n">
        <v>4</v>
      </c>
      <c r="G8" s="8" t="inlineStr">
        <is>
          <t>2023 Job Detail Report.pdf (Sage Timberline, 04/03/2026, 285 pages)</t>
        </is>
      </c>
    </row>
    <row r="9">
      <c r="B9" s="14" t="inlineStr">
        <is>
          <t>036602</t>
        </is>
      </c>
      <c r="C9" s="14" t="inlineStr">
        <is>
          <t>04/20/15</t>
        </is>
      </c>
      <c r="D9" s="15" t="n">
        <v>-54040</v>
      </c>
      <c r="E9" s="15" t="n">
        <v>-2702</v>
      </c>
      <c r="F9" s="14" t="n">
        <v>4</v>
      </c>
      <c r="G9" s="8" t="inlineStr">
        <is>
          <t>2023 Job Detail Report.pdf (Sage Timberline, 04/03/2026, 285 pages)</t>
        </is>
      </c>
    </row>
    <row r="10">
      <c r="B10" s="14" t="inlineStr">
        <is>
          <t>036608</t>
        </is>
      </c>
      <c r="C10" s="14" t="inlineStr">
        <is>
          <t>05/19/15</t>
        </is>
      </c>
      <c r="D10" s="15" t="n">
        <v>-73600</v>
      </c>
      <c r="E10" s="15" t="n">
        <v>-3680</v>
      </c>
      <c r="F10" s="14" t="n">
        <v>4</v>
      </c>
      <c r="G10" s="8" t="inlineStr">
        <is>
          <t>2023 Job Detail Report.pdf (Sage Timberline, 04/03/2026, 285 pages)</t>
        </is>
      </c>
    </row>
    <row r="11">
      <c r="B11" s="14" t="inlineStr">
        <is>
          <t>036616</t>
        </is>
      </c>
      <c r="C11" s="14" t="inlineStr">
        <is>
          <t>06/18/15</t>
        </is>
      </c>
      <c r="D11" s="15" t="n">
        <v>-12450</v>
      </c>
      <c r="E11" s="15" t="n">
        <v>-622.5</v>
      </c>
      <c r="F11" s="14" t="n">
        <v>1</v>
      </c>
      <c r="G11" s="8" t="inlineStr">
        <is>
          <t>2023 Job Detail Report.pdf (Sage Timberline, 04/03/2026, 285 pages)</t>
        </is>
      </c>
    </row>
    <row r="12">
      <c r="B12" s="14" t="inlineStr">
        <is>
          <t>036626</t>
        </is>
      </c>
      <c r="C12" s="14" t="inlineStr">
        <is>
          <t>07/20/15</t>
        </is>
      </c>
      <c r="D12" s="15" t="n">
        <v>-20008</v>
      </c>
      <c r="E12" s="15" t="n">
        <v>-1000.4</v>
      </c>
      <c r="F12" s="14" t="n">
        <v>3</v>
      </c>
      <c r="G12" s="8" t="inlineStr">
        <is>
          <t>2023 Job Detail Report.pdf (Sage Timberline, 04/03/2026, 285 pages)</t>
        </is>
      </c>
    </row>
    <row r="13">
      <c r="B13" s="14" t="inlineStr">
        <is>
          <t>036632</t>
        </is>
      </c>
      <c r="C13" s="14" t="inlineStr">
        <is>
          <t>08/20/15</t>
        </is>
      </c>
      <c r="D13" s="15" t="n">
        <v>-276500</v>
      </c>
      <c r="E13" s="15" t="n">
        <v>-13825</v>
      </c>
      <c r="F13" s="14" t="n">
        <v>4</v>
      </c>
      <c r="G13" s="8" t="inlineStr">
        <is>
          <t>2023 Job Detail Report.pdf (Sage Timberline, 04/03/2026, 285 pages)</t>
        </is>
      </c>
    </row>
    <row r="14">
      <c r="B14" s="14" t="inlineStr">
        <is>
          <t>036641</t>
        </is>
      </c>
      <c r="C14" s="14" t="inlineStr">
        <is>
          <t>09/18/15</t>
        </is>
      </c>
      <c r="D14" s="15" t="n">
        <v>-371953</v>
      </c>
      <c r="E14" s="15" t="n">
        <v>-18597.65</v>
      </c>
      <c r="F14" s="14" t="n">
        <v>10</v>
      </c>
      <c r="G14" s="8" t="inlineStr">
        <is>
          <t>2023 Job Detail Report.pdf (Sage Timberline, 04/03/2026, 285 pages)</t>
        </is>
      </c>
    </row>
    <row r="15">
      <c r="B15" s="14" t="inlineStr">
        <is>
          <t>036649</t>
        </is>
      </c>
      <c r="C15" s="14" t="inlineStr">
        <is>
          <t>10/19/15</t>
        </is>
      </c>
      <c r="D15" s="15" t="n">
        <v>-243958</v>
      </c>
      <c r="E15" s="15" t="n">
        <v>-12197.9</v>
      </c>
      <c r="F15" s="14" t="n">
        <v>5</v>
      </c>
      <c r="G15" s="8" t="inlineStr">
        <is>
          <t>2023 Job Detail Report.pdf (Sage Timberline, 04/03/2026, 285 pages)</t>
        </is>
      </c>
    </row>
    <row r="16">
      <c r="B16" s="14" t="inlineStr">
        <is>
          <t>036657</t>
        </is>
      </c>
      <c r="C16" s="14" t="inlineStr">
        <is>
          <t>11/16/15</t>
        </is>
      </c>
      <c r="D16" s="15" t="n">
        <v>-322600</v>
      </c>
      <c r="E16" s="15" t="n">
        <v>-16130</v>
      </c>
      <c r="F16" s="14" t="n">
        <v>5</v>
      </c>
      <c r="G16" s="8" t="inlineStr">
        <is>
          <t>2023 Job Detail Report.pdf (Sage Timberline, 04/03/2026, 285 pages)</t>
        </is>
      </c>
    </row>
    <row r="17">
      <c r="B17" s="14" t="inlineStr">
        <is>
          <t>036671</t>
        </is>
      </c>
      <c r="C17" s="14" t="inlineStr">
        <is>
          <t>12/18/15</t>
        </is>
      </c>
      <c r="D17" s="15" t="n">
        <v>-275039</v>
      </c>
      <c r="E17" s="15" t="n">
        <v>-13751.95</v>
      </c>
      <c r="F17" s="14" t="n">
        <v>10</v>
      </c>
      <c r="G17" s="8" t="inlineStr">
        <is>
          <t>2023 Job Detail Report.pdf (Sage Timberline, 04/03/2026, 285 pages)</t>
        </is>
      </c>
    </row>
    <row r="18">
      <c r="B18" s="14" t="inlineStr">
        <is>
          <t>036676</t>
        </is>
      </c>
      <c r="C18" s="14" t="inlineStr">
        <is>
          <t>01/20/16</t>
        </is>
      </c>
      <c r="D18" s="15" t="n">
        <v>-319545</v>
      </c>
      <c r="E18" s="15" t="n">
        <v>-15977.25</v>
      </c>
      <c r="F18" s="14" t="n">
        <v>14</v>
      </c>
      <c r="G18" s="8" t="inlineStr">
        <is>
          <t>2023 Job Detail Report.pdf (Sage Timberline, 04/03/2026, 285 pages)</t>
        </is>
      </c>
    </row>
    <row r="19">
      <c r="B19" s="14" t="inlineStr">
        <is>
          <t>036684</t>
        </is>
      </c>
      <c r="C19" s="14" t="inlineStr">
        <is>
          <t>02/19/16</t>
        </is>
      </c>
      <c r="D19" s="15" t="n">
        <v>-240145</v>
      </c>
      <c r="E19" s="15" t="n">
        <v>-12007.25</v>
      </c>
      <c r="F19" s="14" t="n">
        <v>10</v>
      </c>
      <c r="G19" s="8" t="inlineStr">
        <is>
          <t>2023 Job Detail Report.pdf (Sage Timberline, 04/03/2026, 285 pages)</t>
        </is>
      </c>
    </row>
    <row r="20">
      <c r="B20" s="14" t="inlineStr">
        <is>
          <t>036698</t>
        </is>
      </c>
      <c r="C20" s="14" t="inlineStr">
        <is>
          <t>03/18/16</t>
        </is>
      </c>
      <c r="D20" s="15" t="n">
        <v>-23143</v>
      </c>
      <c r="E20" s="15" t="n">
        <v>-1157.15</v>
      </c>
      <c r="F20" s="14" t="n">
        <v>3</v>
      </c>
      <c r="G20" s="8" t="inlineStr">
        <is>
          <t>2023 Job Detail Report.pdf (Sage Timberline, 04/03/2026, 285 pages)</t>
        </is>
      </c>
    </row>
    <row r="21">
      <c r="B21" s="14" t="inlineStr">
        <is>
          <t>036713</t>
        </is>
      </c>
      <c r="C21" s="14" t="inlineStr">
        <is>
          <t>04/20/16</t>
        </is>
      </c>
      <c r="D21" s="15" t="n">
        <v>-15700</v>
      </c>
      <c r="E21" s="15" t="n">
        <v>-785</v>
      </c>
      <c r="F21" s="14" t="n">
        <v>4</v>
      </c>
      <c r="G21" s="8" t="inlineStr">
        <is>
          <t>2023 Job Detail Report.pdf (Sage Timberline, 04/03/2026, 285 pages)</t>
        </is>
      </c>
    </row>
    <row r="22">
      <c r="B22" s="14" t="inlineStr">
        <is>
          <t>036724</t>
        </is>
      </c>
      <c r="C22" s="14" t="inlineStr">
        <is>
          <t>05/20/16</t>
        </is>
      </c>
      <c r="D22" s="15" t="n">
        <v>-34044</v>
      </c>
      <c r="E22" s="15" t="n">
        <v>-1702.2</v>
      </c>
      <c r="F22" s="14" t="n">
        <v>3</v>
      </c>
      <c r="G22" s="8" t="inlineStr">
        <is>
          <t>2023 Job Detail Report.pdf (Sage Timberline, 04/03/2026, 285 pages)</t>
        </is>
      </c>
    </row>
    <row r="23">
      <c r="B23" s="14" t="inlineStr">
        <is>
          <t>036742</t>
        </is>
      </c>
      <c r="C23" s="14" t="inlineStr">
        <is>
          <t>06/20/16</t>
        </is>
      </c>
      <c r="D23" s="15" t="n">
        <v>-123239</v>
      </c>
      <c r="E23" s="15" t="n">
        <v>-6161.950000000001</v>
      </c>
      <c r="F23" s="14" t="n">
        <v>6</v>
      </c>
      <c r="G23" s="8" t="inlineStr">
        <is>
          <t>2023 Job Detail Report.pdf (Sage Timberline, 04/03/2026, 285 pages)</t>
        </is>
      </c>
    </row>
    <row r="24">
      <c r="B24" s="14" t="inlineStr">
        <is>
          <t>036756</t>
        </is>
      </c>
      <c r="C24" s="14" t="inlineStr">
        <is>
          <t>07/20/16</t>
        </is>
      </c>
      <c r="D24" s="15" t="n">
        <v>-37060</v>
      </c>
      <c r="E24" s="15" t="n">
        <v>-1853</v>
      </c>
      <c r="F24" s="14" t="n">
        <v>4</v>
      </c>
      <c r="G24" s="8" t="inlineStr">
        <is>
          <t>2023 Job Detail Report.pdf (Sage Timberline, 04/03/2026, 285 pages)</t>
        </is>
      </c>
    </row>
    <row r="25">
      <c r="B25" s="14" t="inlineStr">
        <is>
          <t>036759</t>
        </is>
      </c>
      <c r="C25" s="14" t="inlineStr">
        <is>
          <t>07/20/16</t>
        </is>
      </c>
      <c r="D25" s="15" t="n">
        <v>37060</v>
      </c>
      <c r="E25" s="15" t="n">
        <v>1853</v>
      </c>
      <c r="F25" s="14" t="n">
        <v>4</v>
      </c>
      <c r="G25" s="8" t="inlineStr">
        <is>
          <t>2023 Job Detail Report.pdf (Sage Timberline, 04/03/2026, 285 pages)</t>
        </is>
      </c>
    </row>
    <row r="26">
      <c r="B26" s="14" t="inlineStr">
        <is>
          <t>036760</t>
        </is>
      </c>
      <c r="C26" s="14" t="inlineStr">
        <is>
          <t>07/20/16</t>
        </is>
      </c>
      <c r="D26" s="15" t="n">
        <v>-56200</v>
      </c>
      <c r="E26" s="15" t="n">
        <v>-2810</v>
      </c>
      <c r="F26" s="14" t="n">
        <v>5</v>
      </c>
      <c r="G26" s="8" t="inlineStr">
        <is>
          <t>2023 Job Detail Report.pdf (Sage Timberline, 04/03/2026, 285 pages)</t>
        </is>
      </c>
    </row>
    <row r="27">
      <c r="B27" s="14" t="inlineStr">
        <is>
          <t>036774</t>
        </is>
      </c>
      <c r="C27" s="14" t="inlineStr">
        <is>
          <t>08/19/16</t>
        </is>
      </c>
      <c r="D27" s="15" t="n">
        <v>-89840</v>
      </c>
      <c r="E27" s="15" t="n">
        <v>-4492</v>
      </c>
      <c r="F27" s="14" t="n">
        <v>5</v>
      </c>
      <c r="G27" s="8" t="inlineStr">
        <is>
          <t>2023 Job Detail Report.pdf (Sage Timberline, 04/03/2026, 285 pages)</t>
        </is>
      </c>
    </row>
    <row r="28">
      <c r="B28" s="14" t="inlineStr">
        <is>
          <t>036788</t>
        </is>
      </c>
      <c r="C28" s="14" t="inlineStr">
        <is>
          <t>09/22/16</t>
        </is>
      </c>
      <c r="D28" s="15" t="n">
        <v>-67236</v>
      </c>
      <c r="E28" s="15" t="n">
        <v>-3361.8</v>
      </c>
      <c r="F28" s="14" t="n">
        <v>8</v>
      </c>
      <c r="G28" s="8" t="inlineStr">
        <is>
          <t>2023 Job Detail Report.pdf (Sage Timberline, 04/03/2026, 285 pages)</t>
        </is>
      </c>
    </row>
    <row r="29">
      <c r="B29" s="14" t="inlineStr">
        <is>
          <t>036793</t>
        </is>
      </c>
      <c r="C29" s="14" t="inlineStr">
        <is>
          <t>10/20/16</t>
        </is>
      </c>
      <c r="D29" s="15" t="n">
        <v>-1200</v>
      </c>
      <c r="E29" s="15" t="n">
        <v>-60</v>
      </c>
      <c r="F29" s="14" t="n">
        <v>1</v>
      </c>
      <c r="G29" s="8" t="inlineStr">
        <is>
          <t>2023 Job Detail Report.pdf (Sage Timberline, 04/03/2026, 285 pages)</t>
        </is>
      </c>
    </row>
    <row r="30">
      <c r="B30" s="14" t="inlineStr">
        <is>
          <t>036809</t>
        </is>
      </c>
      <c r="C30" s="14" t="inlineStr">
        <is>
          <t>12/15/16</t>
        </is>
      </c>
      <c r="D30" s="15" t="n">
        <v>-4969</v>
      </c>
      <c r="E30" s="15" t="n">
        <v>-248.45</v>
      </c>
      <c r="F30" s="14" t="n">
        <v>4</v>
      </c>
      <c r="G30" s="8" t="inlineStr">
        <is>
          <t>2023 Job Detail Report.pdf (Sage Timberline, 04/03/2026, 285 pages)</t>
        </is>
      </c>
    </row>
    <row r="31">
      <c r="B31" s="18" t="inlineStr">
        <is>
          <t>TOTAL (signed)</t>
        </is>
      </c>
      <c r="D31" s="30">
        <f>SUM(D6:D30)</f>
        <v/>
      </c>
      <c r="E31" s="30">
        <f>SUM(E6:E30)</f>
        <v/>
      </c>
    </row>
    <row r="33">
      <c r="B33" s="24" t="inlineStr">
        <is>
          <t>NOTE: AR entries signed negative per Sage convention. Net billed = $2,771,369.00; retainage $138,568.45 outstanding on JDR dated 04/03/2026. First invoice 036573 (01/19/15); last invoice 036809 (12/15/16). Billing folder contains 'Legacy sent invoices &amp; releases' subfolder.</t>
        </is>
      </c>
      <c r="C33" s="6" t="n"/>
      <c r="D33" s="6" t="n"/>
      <c r="E33" s="6" t="n"/>
      <c r="F33" s="6" t="n"/>
      <c r="G33" s="7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STRONG MARGIN</t>
        </is>
      </c>
      <c r="D6" s="5" t="inlineStr">
        <is>
          <t>Net profit $898,027.56 on $2,771,369.00 revenue = 32.4% gross margin. Well above typical multifamily plumbing (25-30%).</t>
        </is>
      </c>
      <c r="E6" s="27" t="inlineStr">
        <is>
          <t>Verified</t>
        </is>
      </c>
      <c r="F6" s="8" t="inlineStr">
        <is>
          <t>2023 Job Detail Report.pdf (Sage Timberline, 04/03/2026, 285 pages)</t>
        </is>
      </c>
    </row>
    <row r="7" ht="58" customHeight="1">
      <c r="B7" s="14" t="n">
        <v>2</v>
      </c>
      <c r="C7" s="4" t="inlineStr">
        <is>
          <t>LABOR-HEAVY EXECUTION</t>
        </is>
      </c>
      <c r="D7" s="5" t="inlineStr">
        <is>
          <t>Labor cost $702,744.35 (25.4% of rev) across 33,107.0 hrs and 52 workers. Rough-in (120) = 17765 hrs = 54% of labor.</t>
        </is>
      </c>
      <c r="E7" s="27" t="inlineStr">
        <is>
          <t>Verified</t>
        </is>
      </c>
      <c r="F7" s="8" t="inlineStr">
        <is>
          <t>2023 Job Detail Report.pdf (Sage Timberline, 04/03/2026, 285 pages)</t>
        </is>
      </c>
    </row>
    <row r="8" ht="58" customHeight="1">
      <c r="B8" s="14" t="n">
        <v>3</v>
      </c>
      <c r="C8" s="4" t="inlineStr">
        <is>
          <t>ROUGH-IN OVERRUN</t>
        </is>
      </c>
      <c r="D8" s="5" t="inlineStr">
        <is>
          <t>Code 120 Rough-in Labor: $373,123.50 actual vs $304,097.00 revised budget = +$69,026.50 (22.7% over). Primary labor variance driver.</t>
        </is>
      </c>
      <c r="E8" s="27" t="inlineStr">
        <is>
          <t>Verified</t>
        </is>
      </c>
      <c r="F8" s="8" t="inlineStr">
        <is>
          <t>2023 Job Detail Report.pdf (Sage Timberline, 04/03/2026, 285 pages)</t>
        </is>
      </c>
    </row>
    <row r="9" ht="58" customHeight="1">
      <c r="B9" s="14" t="n">
        <v>4</v>
      </c>
      <c r="C9" s="4" t="inlineStr">
        <is>
          <t>MECH-ROOM MATERIAL BLOWOUT</t>
        </is>
      </c>
      <c r="D9" s="5" t="inlineStr">
        <is>
          <t>Code 242 Mech Room Material: $105,558.69 actual vs $22,500.00 revised = +$83,058.69 (369% over). Unusual magnitude.</t>
        </is>
      </c>
      <c r="E9" s="27" t="inlineStr">
        <is>
          <t>Verified</t>
        </is>
      </c>
      <c r="F9" s="8" t="inlineStr">
        <is>
          <t>2023 Job Detail Report.pdf (Sage Timberline, 04/03/2026, 285 pages)</t>
        </is>
      </c>
    </row>
    <row r="10" ht="58" customHeight="1">
      <c r="B10" s="14" t="n">
        <v>5</v>
      </c>
      <c r="C10" s="4" t="inlineStr">
        <is>
          <t>FINISH MATERIAL UNDER-RUN</t>
        </is>
      </c>
      <c r="D10" s="5" t="inlineStr">
        <is>
          <t>Code 230 Finish Material: $287,126.83 actual vs $491,330.00 = $-204,203.17 (-41.6% under). Major profit contributor.</t>
        </is>
      </c>
      <c r="E10" s="27" t="inlineStr">
        <is>
          <t>Verified</t>
        </is>
      </c>
      <c r="F10" s="8" t="inlineStr">
        <is>
          <t>2023 Job Detail Report.pdf (Sage Timberline, 04/03/2026, 285 pages)</t>
        </is>
      </c>
    </row>
    <row r="11" ht="58" customHeight="1">
      <c r="B11" s="14" t="n">
        <v>6</v>
      </c>
      <c r="C11" s="4" t="inlineStr">
        <is>
          <t>BURDEN-HEAVY</t>
        </is>
      </c>
      <c r="D11" s="5" t="inlineStr">
        <is>
          <t>Payroll Burden $312,024.89 + Taxes $54,627.81 = $366,652.70 = 52.2% of gross labor. Burden multiplier = 1.52x.</t>
        </is>
      </c>
      <c r="E11" s="27" t="inlineStr">
        <is>
          <t>Verified</t>
        </is>
      </c>
      <c r="F11" s="8" t="inlineStr">
        <is>
          <t>2023 Job Detail Report.pdf (Sage Timberline, 04/03/2026, 285 pages)</t>
        </is>
      </c>
    </row>
    <row r="12" ht="58" customHeight="1">
      <c r="B12" s="14" t="n">
        <v>7</v>
      </c>
      <c r="C12" s="4" t="inlineStr">
        <is>
          <t>TOP-WORKER CONCENTRATION</t>
        </is>
      </c>
      <c r="D12" s="5" t="inlineStr">
        <is>
          <t>Wilson, Garret A (ID WI46) logged 1778 hrs = 5.4% of project labor. Top 5 workers = 24.4%.</t>
        </is>
      </c>
      <c r="E12" s="27" t="inlineStr">
        <is>
          <t>Verified</t>
        </is>
      </c>
      <c r="F12" s="8" t="inlineStr">
        <is>
          <t>2023 Job Detail Report.pdf (Sage Timberline, 04/03/2026, 285 pages)</t>
        </is>
      </c>
    </row>
    <row r="13" ht="58" customHeight="1">
      <c r="B13" s="14" t="n">
        <v>8</v>
      </c>
      <c r="C13" s="4" t="inlineStr">
        <is>
          <t>VENDOR CONCENTRATION</t>
        </is>
      </c>
      <c r="D13" s="5" t="inlineStr">
        <is>
          <t>Top vendor Rosen Supply Company, Inc. $Legacy ($190,637.35). Top 4 suppliers (Rosen, Consolidated, Ferguson, Keller) account for majority of material spend.</t>
        </is>
      </c>
      <c r="E13" s="27" t="inlineStr">
        <is>
          <t>Verified</t>
        </is>
      </c>
      <c r="F13" s="8" t="inlineStr">
        <is>
          <t>2023 Job Detail Report.pdf (Sage Timberline, 04/03/2026, 285 pages)</t>
        </is>
      </c>
    </row>
    <row r="14" ht="58" customHeight="1">
      <c r="B14" s="14" t="n">
        <v>9</v>
      </c>
      <c r="C14" s="4" t="inlineStr">
        <is>
          <t>CO DOCUMENTATION GAP</t>
        </is>
      </c>
      <c r="D14" s="5" t="inlineStr">
        <is>
          <t>Original $2,469,500.00 → Final $2,771,369.00 = +$301,869.00 (12.22%). Only 5 CO PDFs on file (CO 11, 19, 20, 21, 22) — all image-only scans. CO# gap (11→19) suggests 6+ missing COs.</t>
        </is>
      </c>
      <c r="E14" s="29" t="inlineStr">
        <is>
          <t>Medium</t>
        </is>
      </c>
      <c r="F14" s="8" t="inlineStr">
        <is>
          <t>CO folder + 2023 Job Detail Report.pdf (Sage Timberline, 04/03/2026, 285 pages)</t>
        </is>
      </c>
    </row>
    <row r="15" ht="58" customHeight="1">
      <c r="B15" s="14" t="n">
        <v>10</v>
      </c>
      <c r="C15" s="4" t="inlineStr">
        <is>
          <t>RETAINAGE OUTSTANDING</t>
        </is>
      </c>
      <c r="D15" s="5" t="inlineStr">
        <is>
          <t>Retainage $138,568.45 still open on JDR dated 04/03/2026, 9+ years after last billing 12/15/2016. Release or write-off pending.</t>
        </is>
      </c>
      <c r="E15" s="27" t="inlineStr">
        <is>
          <t>Verified</t>
        </is>
      </c>
      <c r="F15" s="8" t="inlineStr">
        <is>
          <t>2023 Job Detail Report.pdf (Sage Timberline, 04/03/2026, 285 pages)</t>
        </is>
      </c>
    </row>
    <row r="16" ht="58" customHeight="1">
      <c r="B16" s="14" t="n">
        <v>11</v>
      </c>
      <c r="C16" s="4" t="inlineStr">
        <is>
          <t>RICH COORDINATION TRAIL</t>
        </is>
      </c>
      <c r="D16" s="5" t="inlineStr">
        <is>
          <t>125 ASI-RFI documents on file (ASIs 07/09/10/14/16/25/26 + Hadley RFIs 051-360+). Heavy RFI volume consistent with large multifamily project complexity.</t>
        </is>
      </c>
      <c r="E16" s="27" t="inlineStr">
        <is>
          <t>Verified</t>
        </is>
      </c>
      <c r="F16" s="8" t="inlineStr">
        <is>
          <t>ASI-RFI folder</t>
        </is>
      </c>
    </row>
    <row r="17" ht="58" customHeight="1">
      <c r="B17" s="14" t="n">
        <v>12</v>
      </c>
      <c r="C17" s="4" t="inlineStr">
        <is>
          <t>EXTENSIVE SUBMITTAL LOG</t>
        </is>
      </c>
      <c r="D17" s="5" t="inlineStr">
        <is>
          <t>100+ submittals across Equipment, Fixture, Material, Underground &amp; Garage, Responses folders — thorough approval trail.</t>
        </is>
      </c>
      <c r="E17" s="27" t="inlineStr">
        <is>
          <t>Verified</t>
        </is>
      </c>
      <c r="F17" s="8" t="inlineStr">
        <is>
          <t>Submittals folder</t>
        </is>
      </c>
    </row>
    <row r="18" ht="58" customHeight="1">
      <c r="B18" s="14" t="n">
        <v>13</v>
      </c>
      <c r="C18" s="4" t="inlineStr">
        <is>
          <t>LARGE PO VOLUME</t>
        </is>
      </c>
      <c r="D18" s="5" t="inlineStr">
        <is>
          <t>180+ POs total (152 completed, 2 placed, 26 scheduled) + 38 Trim POs. Indicates tight procurement control on this $2.8M project.</t>
        </is>
      </c>
      <c r="E18" s="27" t="inlineStr">
        <is>
          <t>Verified</t>
        </is>
      </c>
      <c r="F18" s="8" t="inlineStr">
        <is>
          <t>POs folder</t>
        </is>
      </c>
    </row>
    <row r="19" ht="58" customHeight="1">
      <c r="B19" s="14" t="n">
        <v>14</v>
      </c>
      <c r="C19" s="4" t="inlineStr">
        <is>
          <t>BID-LEVEL FIXTURE DETAIL</t>
        </is>
      </c>
      <c r="D19" s="5" t="inlineStr">
        <is>
          <t>Bid sheet (9/9/2014) itemizes 241 units (230 std + 11 ADA), 244 WCs, 244 lavs, 241 bathing fixtures, 211 kitchen sinks, 31 hose bibs, 4 water heaters, 17 roof drains.</t>
        </is>
      </c>
      <c r="E19" s="27" t="inlineStr">
        <is>
          <t>Verified</t>
        </is>
      </c>
      <c r="F19" s="8" t="inlineStr">
        <is>
          <t>Chinn Legacy Mercer Island Sept 9 2014.xlsx</t>
        </is>
      </c>
    </row>
    <row r="20" ht="58" customHeight="1">
      <c r="B20" s="14" t="n">
        <v>15</v>
      </c>
      <c r="C20" s="4" t="inlineStr">
        <is>
          <t>LONG DURATION</t>
        </is>
      </c>
      <c r="D20" s="5" t="inlineStr">
        <is>
          <t>Work span 01/19/2015 – 12/15/2016 = ~23 months. Sustained execution on a large multifamily build.</t>
        </is>
      </c>
      <c r="E20" s="27" t="inlineStr">
        <is>
          <t>Verified</t>
        </is>
      </c>
      <c r="F20" s="8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2023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2023 Job Detail Report.pdf (Sage Timberline, 04/03/2026, 285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Chinn, Legacy Apts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2023 Job Detail Report.pdf (Sage Timberline, 04/03/2026, 285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Legacy @ Mercer Island Apts (Hadley)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Legacy contract OCR_d.pdf (Chinn↔OWP subcontract, Lump Sum $2,469,500)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Chinn Construction, LLC</t>
        </is>
      </c>
      <c r="E9" s="14" t="inlineStr">
        <is>
          <t>Profile</t>
        </is>
      </c>
      <c r="F9" s="5" t="inlineStr">
        <is>
          <t>Customer 2023CC</t>
        </is>
      </c>
      <c r="G9" s="27" t="inlineStr">
        <is>
          <t>Verified</t>
        </is>
      </c>
      <c r="H9" s="5" t="inlineStr">
        <is>
          <t>Legacy contract OCR_d.pdf (Chinn↔OWP subcontract, Lump Sum $2,469,500)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Hadley Improvements Owner, LLC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Legacy contract OCR_d.pdf (Chinn↔OWP subcontract, Lump Sum $2,469,500)</t>
        </is>
      </c>
    </row>
    <row r="11">
      <c r="B11" s="5" t="inlineStr">
        <is>
          <t>Architect</t>
        </is>
      </c>
      <c r="C11" s="5" t="inlineStr">
        <is>
          <t>architect</t>
        </is>
      </c>
      <c r="D11" s="14" t="inlineStr">
        <is>
          <t>VIA Architecture</t>
        </is>
      </c>
      <c r="E11" s="14" t="inlineStr">
        <is>
          <t>Profile</t>
        </is>
      </c>
      <c r="F11" s="5" t="inlineStr">
        <is>
          <t>Per RFI responses</t>
        </is>
      </c>
      <c r="G11" s="27" t="inlineStr">
        <is>
          <t>Verified</t>
        </is>
      </c>
      <c r="H11" s="5" t="inlineStr">
        <is>
          <t>ASI-RFI folder</t>
        </is>
      </c>
    </row>
    <row r="12">
      <c r="B12" s="5" t="inlineStr">
        <is>
          <t>Location</t>
        </is>
      </c>
      <c r="C12" s="5" t="inlineStr">
        <is>
          <t>location</t>
        </is>
      </c>
      <c r="D12" s="14" t="inlineStr">
        <is>
          <t>2601 76th Ave SE, Mercer Island, WA 98040</t>
        </is>
      </c>
      <c r="E12" s="14" t="inlineStr">
        <is>
          <t>Profile</t>
        </is>
      </c>
      <c r="F12" s="5" t="inlineStr">
        <is>
          <t>Contract address</t>
        </is>
      </c>
      <c r="G12" s="27" t="inlineStr">
        <is>
          <t>Verified</t>
        </is>
      </c>
      <c r="H12" s="5" t="inlineStr">
        <is>
          <t>Legacy contract OCR_d.pdf (Chinn↔OWP subcontract, Lump Sum $2,469,500)</t>
        </is>
      </c>
    </row>
    <row r="13">
      <c r="B13" s="5" t="inlineStr">
        <is>
          <t>Project Type</t>
        </is>
      </c>
      <c r="C13" s="5" t="inlineStr">
        <is>
          <t>project_type</t>
        </is>
      </c>
      <c r="D13" s="14" t="inlineStr">
        <is>
          <t>Multifamily New Construction — Plumbing (~241 units)</t>
        </is>
      </c>
      <c r="E13" s="14" t="inlineStr">
        <is>
          <t>Profile</t>
        </is>
      </c>
      <c r="F13" s="5" t="inlineStr">
        <is>
          <t>Bid sheet</t>
        </is>
      </c>
      <c r="G13" s="27" t="inlineStr">
        <is>
          <t>Verified</t>
        </is>
      </c>
      <c r="H13" s="5" t="inlineStr">
        <is>
          <t>Chinn Legacy Mercer Island Sept 9 2014.xlsx</t>
        </is>
      </c>
    </row>
    <row r="14">
      <c r="B14" s="5" t="inlineStr">
        <is>
          <t>Work Start Date</t>
        </is>
      </c>
      <c r="C14" s="5" t="inlineStr">
        <is>
          <t>start_date</t>
        </is>
      </c>
      <c r="D14" s="14" t="inlineStr">
        <is>
          <t>2015-01-19</t>
        </is>
      </c>
      <c r="E14" s="14" t="inlineStr">
        <is>
          <t>Profile</t>
        </is>
      </c>
      <c r="F14" s="5" t="inlineStr">
        <is>
          <t>First invoice</t>
        </is>
      </c>
      <c r="G14" s="27" t="inlineStr">
        <is>
          <t>Verified</t>
        </is>
      </c>
      <c r="H14" s="5" t="inlineStr">
        <is>
          <t>2023 Job Detail Report.pdf (Sage Timberline, 04/03/2026, 285 pages)</t>
        </is>
      </c>
    </row>
    <row r="15">
      <c r="B15" s="5" t="inlineStr">
        <is>
          <t>Work End Date</t>
        </is>
      </c>
      <c r="C15" s="5" t="inlineStr">
        <is>
          <t>end_date</t>
        </is>
      </c>
      <c r="D15" s="14" t="inlineStr">
        <is>
          <t>2016-12-15</t>
        </is>
      </c>
      <c r="E15" s="14" t="inlineStr">
        <is>
          <t>Profile</t>
        </is>
      </c>
      <c r="F15" s="5" t="inlineStr">
        <is>
          <t>Last AR posting</t>
        </is>
      </c>
      <c r="G15" s="27" t="inlineStr">
        <is>
          <t>Verified</t>
        </is>
      </c>
      <c r="H15" s="5" t="inlineStr">
        <is>
          <t>2023 Job Detail Report.pdf (Sage Timberline, 04/03/2026, 285 pages)</t>
        </is>
      </c>
    </row>
    <row r="16">
      <c r="B16" s="5" t="inlineStr">
        <is>
          <t>Duration (months)</t>
        </is>
      </c>
      <c r="C16" s="5" t="inlineStr">
        <is>
          <t>duration_months</t>
        </is>
      </c>
      <c r="D16" s="31" t="n">
        <v>23</v>
      </c>
      <c r="E16" s="14" t="inlineStr">
        <is>
          <t>Profile</t>
        </is>
      </c>
      <c r="F16" s="5" t="inlineStr">
        <is>
          <t>Payroll + AR span</t>
        </is>
      </c>
      <c r="G16" s="27" t="inlineStr">
        <is>
          <t>Verified</t>
        </is>
      </c>
      <c r="H16" s="5" t="inlineStr">
        <is>
          <t>Derived</t>
        </is>
      </c>
    </row>
    <row r="17">
      <c r="B17" s="5" t="inlineStr">
        <is>
          <t>Unit Count</t>
        </is>
      </c>
      <c r="C17" s="5" t="inlineStr">
        <is>
          <t>unit_count</t>
        </is>
      </c>
      <c r="D17" s="32" t="n">
        <v>241</v>
      </c>
      <c r="E17" s="14" t="inlineStr">
        <is>
          <t>Profile</t>
        </is>
      </c>
      <c r="F17" s="5" t="inlineStr">
        <is>
          <t>230 std + 11 ADA</t>
        </is>
      </c>
      <c r="G17" s="27" t="inlineStr">
        <is>
          <t>Verified</t>
        </is>
      </c>
      <c r="H17" s="5" t="inlineStr">
        <is>
          <t>Chinn Legacy Mercer Island Sept 9 2014.xlsx</t>
        </is>
      </c>
    </row>
    <row r="18">
      <c r="B18" s="5" t="inlineStr">
        <is>
          <t>ADA Type A Units</t>
        </is>
      </c>
      <c r="C18" s="5" t="inlineStr">
        <is>
          <t>ada_units</t>
        </is>
      </c>
      <c r="D18" s="32" t="n">
        <v>11</v>
      </c>
      <c r="E18" s="14" t="inlineStr">
        <is>
          <t>Profile</t>
        </is>
      </c>
      <c r="F18" s="5" t="inlineStr">
        <is>
          <t>Per bid sheet</t>
        </is>
      </c>
      <c r="G18" s="27" t="inlineStr">
        <is>
          <t>Verified</t>
        </is>
      </c>
      <c r="H18" s="5" t="inlineStr">
        <is>
          <t>Chinn Legacy Mercer Island Sept 9 2014.xlsx</t>
        </is>
      </c>
    </row>
    <row r="19">
      <c r="B19" s="5" t="inlineStr">
        <is>
          <t>Contract Original</t>
        </is>
      </c>
      <c r="C19" s="5" t="inlineStr">
        <is>
          <t>contract_original</t>
        </is>
      </c>
      <c r="D19" s="33" t="n">
        <v>2469500</v>
      </c>
      <c r="E19" s="14" t="inlineStr">
        <is>
          <t>Financial</t>
        </is>
      </c>
      <c r="F19" s="5" t="inlineStr">
        <is>
          <t>Subcontract Lump Sum</t>
        </is>
      </c>
      <c r="G19" s="27" t="inlineStr">
        <is>
          <t>Verified</t>
        </is>
      </c>
      <c r="H19" s="5" t="inlineStr">
        <is>
          <t>Legacy contract OCR_d.pdf (Chinn↔OWP subcontract, Lump Sum $2,469,500)</t>
        </is>
      </c>
    </row>
    <row r="20">
      <c r="B20" s="5" t="inlineStr">
        <is>
          <t>Contract Final</t>
        </is>
      </c>
      <c r="C20" s="5" t="inlineStr">
        <is>
          <t>contract_final</t>
        </is>
      </c>
      <c r="D20" s="33" t="n">
        <v>2771369</v>
      </c>
      <c r="E20" s="14" t="inlineStr">
        <is>
          <t>Financial</t>
        </is>
      </c>
      <c r="F20" s="5" t="inlineStr">
        <is>
          <t>Code 999 Rev Budget = AR total</t>
        </is>
      </c>
      <c r="G20" s="27" t="inlineStr">
        <is>
          <t>Verified</t>
        </is>
      </c>
      <c r="H20" s="5" t="inlineStr">
        <is>
          <t>2023 Job Detail Report.pdf (Sage Timberline, 04/03/2026, 285 pages)</t>
        </is>
      </c>
    </row>
    <row r="21">
      <c r="B21" s="5" t="inlineStr">
        <is>
          <t>Change Orders ($, implied)</t>
        </is>
      </c>
      <c r="C21" s="5" t="inlineStr">
        <is>
          <t>change_orders_implied</t>
        </is>
      </c>
      <c r="D21" s="33" t="n">
        <v>301869</v>
      </c>
      <c r="E21" s="14" t="inlineStr">
        <is>
          <t>Financial</t>
        </is>
      </c>
      <c r="F21" s="5" t="inlineStr">
        <is>
          <t>Final - Original</t>
        </is>
      </c>
      <c r="G21" s="27" t="inlineStr">
        <is>
          <t>Verified</t>
        </is>
      </c>
      <c r="H21" s="5" t="inlineStr">
        <is>
          <t>2023 Job Detail Report.pdf (Sage Timberline, 04/03/2026, 285 pages)</t>
        </is>
      </c>
    </row>
    <row r="22">
      <c r="B22" s="5" t="inlineStr">
        <is>
          <t>Change Orders ($, documented)</t>
        </is>
      </c>
      <c r="C22" s="5" t="inlineStr">
        <is>
          <t>change_orders_documented</t>
        </is>
      </c>
      <c r="D22" s="28" t="inlineStr">
        <is>
          <t>NOT FOUND</t>
        </is>
      </c>
      <c r="E22" s="14" t="inlineStr">
        <is>
          <t>Financial</t>
        </is>
      </c>
      <c r="F22" s="5" t="inlineStr">
        <is>
          <t>CO PDFs are image-only scans</t>
        </is>
      </c>
      <c r="G22" s="34" t="inlineStr">
        <is>
          <t>Low</t>
        </is>
      </c>
      <c r="H22" s="5" t="inlineStr">
        <is>
          <t>CO folder</t>
        </is>
      </c>
    </row>
    <row r="23">
      <c r="B23" s="5" t="inlineStr">
        <is>
          <t>CO Count Documented</t>
        </is>
      </c>
      <c r="C23" s="5" t="inlineStr">
        <is>
          <t>co_count</t>
        </is>
      </c>
      <c r="D23" s="32" t="n">
        <v>5</v>
      </c>
      <c r="E23" s="14" t="inlineStr">
        <is>
          <t>Financial</t>
        </is>
      </c>
      <c r="F23" s="5" t="inlineStr">
        <is>
          <t>Legacy CO 11, 19, 20, 21, 22</t>
        </is>
      </c>
      <c r="G23" s="27" t="inlineStr">
        <is>
          <t>Verified</t>
        </is>
      </c>
      <c r="H23" s="5" t="inlineStr">
        <is>
          <t>CO folder</t>
        </is>
      </c>
    </row>
    <row r="24">
      <c r="B24" s="5" t="inlineStr">
        <is>
          <t>Change Order % of Contract</t>
        </is>
      </c>
      <c r="C24" s="5" t="inlineStr">
        <is>
          <t>co_pct</t>
        </is>
      </c>
      <c r="D24" s="35" t="n">
        <v>0.1222389147600729</v>
      </c>
      <c r="E24" s="14" t="inlineStr">
        <is>
          <t>Financial</t>
        </is>
      </c>
      <c r="F24" s="5" t="inlineStr"/>
      <c r="G24" s="27" t="inlineStr">
        <is>
          <t>Verified</t>
        </is>
      </c>
      <c r="H24" s="5" t="inlineStr">
        <is>
          <t>Derived</t>
        </is>
      </c>
    </row>
    <row r="25">
      <c r="B25" s="5" t="inlineStr">
        <is>
          <t>Revenue</t>
        </is>
      </c>
      <c r="C25" s="5" t="inlineStr">
        <is>
          <t>revenue</t>
        </is>
      </c>
      <c r="D25" s="33" t="n">
        <v>2771369</v>
      </c>
      <c r="E25" s="14" t="inlineStr">
        <is>
          <t>Financial</t>
        </is>
      </c>
      <c r="F25" s="5" t="inlineStr">
        <is>
          <t>AR total</t>
        </is>
      </c>
      <c r="G25" s="27" t="inlineStr">
        <is>
          <t>Verified</t>
        </is>
      </c>
      <c r="H25" s="5" t="inlineStr">
        <is>
          <t>2023 Job Detail Report.pdf (Sage Timberline, 04/03/2026, 285 pages)</t>
        </is>
      </c>
    </row>
    <row r="26">
      <c r="B26" s="5" t="inlineStr">
        <is>
          <t>Direct Cost</t>
        </is>
      </c>
      <c r="C26" s="5" t="inlineStr">
        <is>
          <t>direct_cost</t>
        </is>
      </c>
      <c r="D26" s="33" t="n">
        <v>1873341.44</v>
      </c>
      <c r="E26" s="14" t="inlineStr">
        <is>
          <t>Financial</t>
        </is>
      </c>
      <c r="F26" s="5" t="inlineStr">
        <is>
          <t>JDR Job Totals Expenses</t>
        </is>
      </c>
      <c r="G26" s="27" t="inlineStr">
        <is>
          <t>Verified</t>
        </is>
      </c>
      <c r="H26" s="5" t="inlineStr">
        <is>
          <t>2023 Job Detail Report.pdf (Sage Timberline, 04/03/2026, 285 pages)</t>
        </is>
      </c>
    </row>
    <row r="27">
      <c r="B27" s="5" t="inlineStr">
        <is>
          <t>Net Profit</t>
        </is>
      </c>
      <c r="C27" s="5" t="inlineStr">
        <is>
          <t>net_profit</t>
        </is>
      </c>
      <c r="D27" s="33" t="n">
        <v>898027.5600000001</v>
      </c>
      <c r="E27" s="14" t="inlineStr">
        <is>
          <t>Financial</t>
        </is>
      </c>
      <c r="F27" s="5" t="inlineStr">
        <is>
          <t>Rev - Expenses</t>
        </is>
      </c>
      <c r="G27" s="27" t="inlineStr">
        <is>
          <t>Verified</t>
        </is>
      </c>
      <c r="H27" s="5" t="inlineStr">
        <is>
          <t>2023 Job Detail Report.pdf (Sage Timberline, 04/03/2026, 285 pages)</t>
        </is>
      </c>
    </row>
    <row r="28">
      <c r="B28" s="5" t="inlineStr">
        <is>
          <t>Gross Margin</t>
        </is>
      </c>
      <c r="C28" s="5" t="inlineStr">
        <is>
          <t>gross_margin</t>
        </is>
      </c>
      <c r="D28" s="35" t="n">
        <v>0.3240375280231539</v>
      </c>
      <c r="E28" s="14" t="inlineStr">
        <is>
          <t>Financial</t>
        </is>
      </c>
      <c r="F28" s="5" t="inlineStr"/>
      <c r="G28" s="27" t="inlineStr">
        <is>
          <t>Verified</t>
        </is>
      </c>
      <c r="H28" s="5" t="inlineStr">
        <is>
          <t>Derived</t>
        </is>
      </c>
    </row>
    <row r="29">
      <c r="B29" s="5" t="inlineStr">
        <is>
          <t>Retainage Outstanding</t>
        </is>
      </c>
      <c r="C29" s="5" t="inlineStr">
        <is>
          <t>retainage</t>
        </is>
      </c>
      <c r="D29" s="33" t="n">
        <v>138568.45</v>
      </c>
      <c r="E29" s="14" t="inlineStr">
        <is>
          <t>Financial</t>
        </is>
      </c>
      <c r="F29" s="5" t="inlineStr">
        <is>
          <t>Open per JDR</t>
        </is>
      </c>
      <c r="G29" s="27" t="inlineStr">
        <is>
          <t>Verified</t>
        </is>
      </c>
      <c r="H29" s="5" t="inlineStr">
        <is>
          <t>2023 Job Detail Report.pdf (Sage Timberline, 04/03/2026, 285 pages)</t>
        </is>
      </c>
    </row>
    <row r="30">
      <c r="B30" s="5" t="inlineStr">
        <is>
          <t>Retainage % of Revenue</t>
        </is>
      </c>
      <c r="C30" s="5" t="inlineStr">
        <is>
          <t>retainage_pct</t>
        </is>
      </c>
      <c r="D30" s="35" t="n">
        <v>0.05</v>
      </c>
      <c r="E30" s="14" t="inlineStr">
        <is>
          <t>Financial</t>
        </is>
      </c>
      <c r="F30" s="5" t="inlineStr"/>
      <c r="G30" s="27" t="inlineStr">
        <is>
          <t>Verified</t>
        </is>
      </c>
      <c r="H30" s="5" t="inlineStr">
        <is>
          <t>Derived</t>
        </is>
      </c>
    </row>
    <row r="31">
      <c r="B31" s="5" t="inlineStr">
        <is>
          <t>Labor Cost</t>
        </is>
      </c>
      <c r="C31" s="5" t="inlineStr">
        <is>
          <t>labor_cost</t>
        </is>
      </c>
      <c r="D31" s="33" t="n">
        <v>702744.3500000001</v>
      </c>
      <c r="E31" s="14" t="inlineStr">
        <is>
          <t>Labor</t>
        </is>
      </c>
      <c r="F31" s="5" t="inlineStr">
        <is>
          <t>Codes 100-150</t>
        </is>
      </c>
      <c r="G31" s="27" t="inlineStr">
        <is>
          <t>Verified</t>
        </is>
      </c>
      <c r="H31" s="5" t="inlineStr">
        <is>
          <t>2023 Job Detail Report.pdf (Sage Timberline, 04/03/2026, 285 pages)</t>
        </is>
      </c>
    </row>
    <row r="32">
      <c r="B32" s="5" t="inlineStr">
        <is>
          <t>Material Cost</t>
        </is>
      </c>
      <c r="C32" s="5" t="inlineStr">
        <is>
          <t>material_cost</t>
        </is>
      </c>
      <c r="D32" s="33" t="n">
        <v>725504.8200000001</v>
      </c>
      <c r="E32" s="14" t="inlineStr">
        <is>
          <t>Material</t>
        </is>
      </c>
      <c r="F32" s="5" t="inlineStr">
        <is>
          <t>Codes 210-244</t>
        </is>
      </c>
      <c r="G32" s="27" t="inlineStr">
        <is>
          <t>Verified</t>
        </is>
      </c>
      <c r="H32" s="5" t="inlineStr">
        <is>
          <t>2023 Job Detail Report.pdf (Sage Timberline, 04/03/2026, 285 pages)</t>
        </is>
      </c>
    </row>
    <row r="33">
      <c r="B33" s="5" t="inlineStr">
        <is>
          <t>Subcontractor+OH Cost</t>
        </is>
      </c>
      <c r="C33" s="5" t="inlineStr">
        <is>
          <t>overhead_cost</t>
        </is>
      </c>
      <c r="D33" s="33" t="n">
        <v>78439.57000000001</v>
      </c>
      <c r="E33" s="14" t="inlineStr">
        <is>
          <t>Financial</t>
        </is>
      </c>
      <c r="F33" s="5" t="inlineStr">
        <is>
          <t>Codes 600-607</t>
        </is>
      </c>
      <c r="G33" s="27" t="inlineStr">
        <is>
          <t>Verified</t>
        </is>
      </c>
      <c r="H33" s="5" t="inlineStr">
        <is>
          <t>2023 Job Detail Report.pdf (Sage Timberline, 04/03/2026, 285 pages)</t>
        </is>
      </c>
    </row>
    <row r="34">
      <c r="B34" s="5" t="inlineStr">
        <is>
          <t>Burden Cost</t>
        </is>
      </c>
      <c r="C34" s="5" t="inlineStr">
        <is>
          <t>burden_cost</t>
        </is>
      </c>
      <c r="D34" s="33" t="n">
        <v>312024.89</v>
      </c>
      <c r="E34" s="14" t="inlineStr">
        <is>
          <t>Labor</t>
        </is>
      </c>
      <c r="F34" s="5" t="inlineStr">
        <is>
          <t>Code 995</t>
        </is>
      </c>
      <c r="G34" s="27" t="inlineStr">
        <is>
          <t>Verified</t>
        </is>
      </c>
      <c r="H34" s="5" t="inlineStr">
        <is>
          <t>2023 Job Detail Report.pdf (Sage Timberline, 04/03/2026, 285 pages)</t>
        </is>
      </c>
    </row>
    <row r="35">
      <c r="B35" s="5" t="inlineStr">
        <is>
          <t>Tax Cost</t>
        </is>
      </c>
      <c r="C35" s="5" t="inlineStr">
        <is>
          <t>tax_cost</t>
        </is>
      </c>
      <c r="D35" s="33" t="n">
        <v>54627.81</v>
      </c>
      <c r="E35" s="14" t="inlineStr">
        <is>
          <t>Labor</t>
        </is>
      </c>
      <c r="F35" s="5" t="inlineStr">
        <is>
          <t>Code 998</t>
        </is>
      </c>
      <c r="G35" s="27" t="inlineStr">
        <is>
          <t>Verified</t>
        </is>
      </c>
      <c r="H35" s="5" t="inlineStr">
        <is>
          <t>2023 Job Detail Report.pdf (Sage Timberline, 04/03/2026, 285 pages)</t>
        </is>
      </c>
    </row>
    <row r="36">
      <c r="B36" s="5" t="inlineStr">
        <is>
          <t>Total Labor Hours</t>
        </is>
      </c>
      <c r="C36" s="5" t="inlineStr">
        <is>
          <t>total_hours</t>
        </is>
      </c>
      <c r="D36" s="31" t="n">
        <v>33107</v>
      </c>
      <c r="E36" s="14" t="inlineStr">
        <is>
          <t>Labor</t>
        </is>
      </c>
      <c r="F36" s="5" t="inlineStr">
        <is>
          <t>Sum labor codes</t>
        </is>
      </c>
      <c r="G36" s="27" t="inlineStr">
        <is>
          <t>Verified</t>
        </is>
      </c>
      <c r="H36" s="5" t="inlineStr">
        <is>
          <t>2023 Job Detail Report.pdf (Sage Timberline, 04/03/2026, 285 pages)</t>
        </is>
      </c>
    </row>
    <row r="37">
      <c r="B37" s="5" t="inlineStr">
        <is>
          <t>Total Workers</t>
        </is>
      </c>
      <c r="C37" s="5" t="inlineStr">
        <is>
          <t>total_workers</t>
        </is>
      </c>
      <c r="D37" s="32" t="n">
        <v>52</v>
      </c>
      <c r="E37" s="14" t="inlineStr">
        <is>
          <t>Labor</t>
        </is>
      </c>
      <c r="F37" s="5" t="inlineStr">
        <is>
          <t>Unique payroll IDs</t>
        </is>
      </c>
      <c r="G37" s="27" t="inlineStr">
        <is>
          <t>Verified</t>
        </is>
      </c>
      <c r="H37" s="5" t="inlineStr">
        <is>
          <t>2023 Job Detail Report.pdf (Sage Timberline, 04/03/2026, 285 pages)</t>
        </is>
      </c>
    </row>
    <row r="38">
      <c r="B38" s="5" t="inlineStr">
        <is>
          <t>Blended Gross Wage ($/hr)</t>
        </is>
      </c>
      <c r="C38" s="5" t="inlineStr">
        <is>
          <t>blended_gross_wage</t>
        </is>
      </c>
      <c r="D38" s="33" t="n">
        <v>21.22645815084423</v>
      </c>
      <c r="E38" s="14" t="inlineStr">
        <is>
          <t>Labor</t>
        </is>
      </c>
      <c r="F38" s="5" t="inlineStr">
        <is>
          <t>Pre-burden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Fully-Loaded Wage ($/hr)</t>
        </is>
      </c>
      <c r="C39" s="5" t="inlineStr">
        <is>
          <t>fully_loaded_wage</t>
        </is>
      </c>
      <c r="D39" s="33" t="n">
        <v>32.3012368985411</v>
      </c>
      <c r="E39" s="14" t="inlineStr">
        <is>
          <t>Labor</t>
        </is>
      </c>
      <c r="F39" s="5" t="inlineStr">
        <is>
          <t>Incl burden + tax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Burden Multiplier</t>
        </is>
      </c>
      <c r="C40" s="5" t="inlineStr">
        <is>
          <t>burden_multiplier</t>
        </is>
      </c>
      <c r="D40" s="36" t="n">
        <v>1.521744073787288</v>
      </c>
      <c r="E40" s="14" t="inlineStr">
        <is>
          <t>Labor</t>
        </is>
      </c>
      <c r="F40" s="5" t="inlineStr">
        <is>
          <t>Fully-loaded/blended</t>
        </is>
      </c>
      <c r="G40" s="27" t="inlineStr">
        <is>
          <t>Verified</t>
        </is>
      </c>
      <c r="H40" s="5" t="inlineStr">
        <is>
          <t>Derived</t>
        </is>
      </c>
    </row>
    <row r="41">
      <c r="B41" s="5" t="inlineStr">
        <is>
          <t>Rough-in Hours</t>
        </is>
      </c>
      <c r="C41" s="5" t="inlineStr">
        <is>
          <t>roughin_hours</t>
        </is>
      </c>
      <c r="D41" s="31" t="n">
        <v>17765</v>
      </c>
      <c r="E41" s="14" t="inlineStr">
        <is>
          <t>Labor</t>
        </is>
      </c>
      <c r="F41" s="5" t="inlineStr">
        <is>
          <t>Code 120</t>
        </is>
      </c>
      <c r="G41" s="27" t="inlineStr">
        <is>
          <t>Verified</t>
        </is>
      </c>
      <c r="H41" s="5" t="inlineStr">
        <is>
          <t>2023 Job Detail Report.pdf (Sage Timberline, 04/03/2026, 285 pages)</t>
        </is>
      </c>
    </row>
    <row r="42">
      <c r="B42" s="5" t="inlineStr">
        <is>
          <t>Finish Hours</t>
        </is>
      </c>
      <c r="C42" s="5" t="inlineStr">
        <is>
          <t>finish_hours</t>
        </is>
      </c>
      <c r="D42" s="31" t="n">
        <v>2906.5</v>
      </c>
      <c r="E42" s="14" t="inlineStr">
        <is>
          <t>Labor</t>
        </is>
      </c>
      <c r="F42" s="5" t="inlineStr">
        <is>
          <t>Code 130</t>
        </is>
      </c>
      <c r="G42" s="27" t="inlineStr">
        <is>
          <t>Verified</t>
        </is>
      </c>
      <c r="H42" s="5" t="inlineStr">
        <is>
          <t>2023 Job Detail Report.pdf (Sage Timberline, 04/03/2026, 285 pages)</t>
        </is>
      </c>
    </row>
    <row r="43">
      <c r="B43" s="5" t="inlineStr">
        <is>
          <t>Revenue per Hour</t>
        </is>
      </c>
      <c r="C43" s="5" t="inlineStr">
        <is>
          <t>revenue_per_hour</t>
        </is>
      </c>
      <c r="D43" s="31" t="n">
        <v>83.70945721448636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Profit per Hour</t>
        </is>
      </c>
      <c r="C44" s="5" t="inlineStr">
        <is>
          <t>profit_per_hour</t>
        </is>
      </c>
      <c r="D44" s="31" t="n">
        <v>27.12500558794213</v>
      </c>
      <c r="E44" s="14" t="inlineStr">
        <is>
          <t>Productivity</t>
        </is>
      </c>
      <c r="F44" s="5" t="inlineStr"/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Revenue per Unit</t>
        </is>
      </c>
      <c r="C45" s="5" t="inlineStr">
        <is>
          <t>revenue_per_unit</t>
        </is>
      </c>
      <c r="D45" s="33" t="n">
        <v>11499.45643153527</v>
      </c>
      <c r="E45" s="14" t="inlineStr">
        <is>
          <t>Productivity</t>
        </is>
      </c>
      <c r="F45" s="5" t="inlineStr">
        <is>
          <t>241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Direct Cost per Unit</t>
        </is>
      </c>
      <c r="C46" s="5" t="inlineStr">
        <is>
          <t>cost_per_unit</t>
        </is>
      </c>
      <c r="D46" s="33" t="n">
        <v>7773.200995850622</v>
      </c>
      <c r="E46" s="14" t="inlineStr">
        <is>
          <t>Productivity</t>
        </is>
      </c>
      <c r="F46" s="5" t="inlineStr">
        <is>
          <t>241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Hours per Unit</t>
        </is>
      </c>
      <c r="C47" s="5" t="inlineStr">
        <is>
          <t>hours_per_unit</t>
        </is>
      </c>
      <c r="D47" s="31" t="n">
        <v>137.3734439834025</v>
      </c>
      <c r="E47" s="14" t="inlineStr">
        <is>
          <t>Productivity</t>
        </is>
      </c>
      <c r="F47" s="5" t="inlineStr">
        <is>
          <t>241 units</t>
        </is>
      </c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Labor % of Revenue</t>
        </is>
      </c>
      <c r="C48" s="5" t="inlineStr">
        <is>
          <t>labor_pct_revenue</t>
        </is>
      </c>
      <c r="D48" s="35" t="n">
        <v>0.2535729994814837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Material % of Revenue</t>
        </is>
      </c>
      <c r="C49" s="5" t="inlineStr">
        <is>
          <t>material_pct_revenue</t>
        </is>
      </c>
      <c r="D49" s="35" t="n">
        <v>0.2617857167342206</v>
      </c>
      <c r="E49" s="14" t="inlineStr">
        <is>
          <t>Cost Mix</t>
        </is>
      </c>
      <c r="F49" s="5" t="inlineStr"/>
      <c r="G49" s="27" t="inlineStr">
        <is>
          <t>Verified</t>
        </is>
      </c>
      <c r="H49" s="5" t="inlineStr">
        <is>
          <t>Derived</t>
        </is>
      </c>
    </row>
    <row r="50">
      <c r="B50" s="5" t="inlineStr">
        <is>
          <t>Total Vendors (AP)</t>
        </is>
      </c>
      <c r="C50" s="5" t="inlineStr">
        <is>
          <t>total_vendors</t>
        </is>
      </c>
      <c r="D50" s="32" t="n">
        <v>32</v>
      </c>
      <c r="E50" s="14" t="inlineStr">
        <is>
          <t>Material</t>
        </is>
      </c>
      <c r="F50" s="5" t="inlineStr">
        <is>
          <t>Unique vendor IDs</t>
        </is>
      </c>
      <c r="G50" s="27" t="inlineStr">
        <is>
          <t>Verified</t>
        </is>
      </c>
      <c r="H50" s="5" t="inlineStr">
        <is>
          <t>2023 Job Detail Report.pdf (Sage Timberline, 04/03/2026, 285 pages)</t>
        </is>
      </c>
    </row>
    <row r="51">
      <c r="B51" s="5" t="inlineStr">
        <is>
          <t>Total Invoices (AR)</t>
        </is>
      </c>
      <c r="C51" s="5" t="inlineStr">
        <is>
          <t>total_invoices</t>
        </is>
      </c>
      <c r="D51" s="32" t="n">
        <v>25</v>
      </c>
      <c r="E51" s="14" t="inlineStr">
        <is>
          <t>Billing</t>
        </is>
      </c>
      <c r="F51" s="5" t="inlineStr">
        <is>
          <t>Unique invoice numbers</t>
        </is>
      </c>
      <c r="G51" s="27" t="inlineStr">
        <is>
          <t>Verified</t>
        </is>
      </c>
      <c r="H51" s="5" t="inlineStr">
        <is>
          <t>2023 Job Detail Report.pdf (Sage Timberline, 04/03/2026, 285 pages)</t>
        </is>
      </c>
    </row>
    <row r="52">
      <c r="B52" s="5" t="inlineStr">
        <is>
          <t>ASI-RFI Count</t>
        </is>
      </c>
      <c r="C52" s="5" t="inlineStr">
        <is>
          <t>rfi_count</t>
        </is>
      </c>
      <c r="D52" s="32" t="n">
        <v>125</v>
      </c>
      <c r="E52" s="14" t="inlineStr">
        <is>
          <t>Docs</t>
        </is>
      </c>
      <c r="F52" s="5" t="inlineStr">
        <is>
          <t>Per folder scan</t>
        </is>
      </c>
      <c r="G52" s="27" t="inlineStr">
        <is>
          <t>Verified</t>
        </is>
      </c>
      <c r="H52" s="5" t="inlineStr">
        <is>
          <t>ASI-RFI folder</t>
        </is>
      </c>
    </row>
    <row r="53">
      <c r="B53" s="5" t="inlineStr">
        <is>
          <t>Submittal Count</t>
        </is>
      </c>
      <c r="C53" s="5" t="inlineStr">
        <is>
          <t>submittal_count</t>
        </is>
      </c>
      <c r="D53" s="32" t="n">
        <v>100</v>
      </c>
      <c r="E53" s="14" t="inlineStr">
        <is>
          <t>Docs</t>
        </is>
      </c>
      <c r="F53" s="5" t="inlineStr">
        <is>
          <t>100+ across all submittal subfolders</t>
        </is>
      </c>
      <c r="G53" s="29" t="inlineStr">
        <is>
          <t>Medium</t>
        </is>
      </c>
      <c r="H53" s="5" t="inlineStr">
        <is>
          <t>Submittals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32" t="n">
        <v>180</v>
      </c>
      <c r="E54" s="14" t="inlineStr">
        <is>
          <t>Docs</t>
        </is>
      </c>
      <c r="F54" s="5" t="inlineStr">
        <is>
          <t>152 completed + 2 placed + 26 scheduled + trim</t>
        </is>
      </c>
      <c r="G54" s="27" t="inlineStr">
        <is>
          <t>Verified</t>
        </is>
      </c>
      <c r="H54" s="5" t="inlineStr">
        <is>
          <t>POs folders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32" t="n">
        <v>244</v>
      </c>
      <c r="E55" s="14" t="inlineStr">
        <is>
          <t>Scope</t>
        </is>
      </c>
      <c r="F55" s="5" t="inlineStr">
        <is>
          <t>241 unit + 3 amenity</t>
        </is>
      </c>
      <c r="G55" s="27" t="inlineStr">
        <is>
          <t>Verified</t>
        </is>
      </c>
      <c r="H55" s="5" t="inlineStr">
        <is>
          <t>Chinn Legacy Mercer Island Sept 9 2014.xlsx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32" t="n">
        <v>244</v>
      </c>
      <c r="E56" s="14" t="inlineStr">
        <is>
          <t>Scope</t>
        </is>
      </c>
      <c r="F56" s="5" t="inlineStr">
        <is>
          <t>241 unit + 3 amenity</t>
        </is>
      </c>
      <c r="G56" s="27" t="inlineStr">
        <is>
          <t>Verified</t>
        </is>
      </c>
      <c r="H56" s="5" t="inlineStr">
        <is>
          <t>Chinn Legacy Mercer Island Sept 9 2014.xlsx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32" t="n">
        <v>241</v>
      </c>
      <c r="E57" s="14" t="inlineStr">
        <is>
          <t>Scope</t>
        </is>
      </c>
      <c r="F57" s="5" t="inlineStr">
        <is>
          <t>197 tub/shower + 44 shower</t>
        </is>
      </c>
      <c r="G57" s="27" t="inlineStr">
        <is>
          <t>Verified</t>
        </is>
      </c>
      <c r="H57" s="5" t="inlineStr">
        <is>
          <t>Chinn Legacy Mercer Island Sept 9 2014.xlsx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32" t="n">
        <v>211</v>
      </c>
      <c r="E58" s="14" t="inlineStr">
        <is>
          <t>Scope</t>
        </is>
      </c>
      <c r="F58" s="5" t="inlineStr">
        <is>
          <t>Standard + ADA kitchen sinks</t>
        </is>
      </c>
      <c r="G58" s="27" t="inlineStr">
        <is>
          <t>Verified</t>
        </is>
      </c>
      <c r="H58" s="5" t="inlineStr">
        <is>
          <t>Chinn Legacy Mercer Island Sept 9 2014.xlsx</t>
        </is>
      </c>
    </row>
    <row r="59">
      <c r="B59" s="5" t="inlineStr">
        <is>
          <t>Hose Bibs</t>
        </is>
      </c>
      <c r="C59" s="5" t="inlineStr">
        <is>
          <t>hose_bibs</t>
        </is>
      </c>
      <c r="D59" s="32" t="n">
        <v>31</v>
      </c>
      <c r="E59" s="14" t="inlineStr">
        <is>
          <t>Scope</t>
        </is>
      </c>
      <c r="F59" s="5" t="inlineStr">
        <is>
          <t>Exterior + common-area</t>
        </is>
      </c>
      <c r="G59" s="27" t="inlineStr">
        <is>
          <t>Verified</t>
        </is>
      </c>
      <c r="H59" s="5" t="inlineStr">
        <is>
          <t>Chinn Legacy Mercer Island Sept 9 2014.xlsx</t>
        </is>
      </c>
    </row>
    <row r="60">
      <c r="B60" s="5" t="inlineStr">
        <is>
          <t>Water Heaters</t>
        </is>
      </c>
      <c r="C60" s="5" t="inlineStr">
        <is>
          <t>water_heaters</t>
        </is>
      </c>
      <c r="D60" s="32" t="n">
        <v>4</v>
      </c>
      <c r="E60" s="14" t="inlineStr">
        <is>
          <t>Scope</t>
        </is>
      </c>
      <c r="F60" s="5" t="inlineStr">
        <is>
          <t>Central plant</t>
        </is>
      </c>
      <c r="G60" s="27" t="inlineStr">
        <is>
          <t>Verified</t>
        </is>
      </c>
      <c r="H60" s="5" t="inlineStr">
        <is>
          <t>Chinn Legacy Mercer Island Sept 9 2014.xlsx</t>
        </is>
      </c>
    </row>
    <row r="61">
      <c r="B61" s="5" t="inlineStr">
        <is>
          <t>Roof Drains</t>
        </is>
      </c>
      <c r="C61" s="5" t="inlineStr">
        <is>
          <t>roof_drains</t>
        </is>
      </c>
      <c r="D61" s="32" t="n">
        <v>17</v>
      </c>
      <c r="E61" s="14" t="inlineStr">
        <is>
          <t>Scope</t>
        </is>
      </c>
      <c r="F61" s="5" t="inlineStr">
        <is>
          <t>Per bid sheet</t>
        </is>
      </c>
      <c r="G61" s="27" t="inlineStr">
        <is>
          <t>Verified</t>
        </is>
      </c>
      <c r="H61" s="5" t="inlineStr">
        <is>
          <t>Chinn Legacy Mercer Island Sept 9 2014.xlsx</t>
        </is>
      </c>
    </row>
    <row r="62">
      <c r="B62" s="5" t="inlineStr">
        <is>
          <t>AP Spend (JDR footer)</t>
        </is>
      </c>
      <c r="C62" s="5" t="inlineStr">
        <is>
          <t>ap_total</t>
        </is>
      </c>
      <c r="D62" s="33" t="n">
        <v>682284.5600000001</v>
      </c>
      <c r="E62" s="14" t="inlineStr">
        <is>
          <t>Material</t>
        </is>
      </c>
      <c r="F62" s="5" t="inlineStr">
        <is>
          <t>JDR footer</t>
        </is>
      </c>
      <c r="G62" s="27" t="inlineStr">
        <is>
          <t>Verified</t>
        </is>
      </c>
      <c r="H62" s="5" t="inlineStr">
        <is>
          <t>2023 Job Detail Report.pdf (Sage Timberline, 04/03/2026, 285 pages)</t>
        </is>
      </c>
    </row>
    <row r="63">
      <c r="B63" s="5" t="inlineStr">
        <is>
          <t>PR Spend (JDR footer)</t>
        </is>
      </c>
      <c r="C63" s="5" t="inlineStr">
        <is>
          <t>pr_total</t>
        </is>
      </c>
      <c r="D63" s="33" t="n">
        <v>1080735.45</v>
      </c>
      <c r="E63" s="14" t="inlineStr">
        <is>
          <t>Labor</t>
        </is>
      </c>
      <c r="F63" s="5" t="inlineStr">
        <is>
          <t>JDR footer (labor+burden+tax)</t>
        </is>
      </c>
      <c r="G63" s="27" t="inlineStr">
        <is>
          <t>Verified</t>
        </is>
      </c>
      <c r="H63" s="5" t="inlineStr">
        <is>
          <t>2023 Job Detail Report.pdf (Sage Timberline, 04/03/2026, 285 pages)</t>
        </is>
      </c>
    </row>
    <row r="64">
      <c r="B64" s="5" t="inlineStr">
        <is>
          <t>GL Spend (JDR footer)</t>
        </is>
      </c>
      <c r="C64" s="5" t="inlineStr">
        <is>
          <t>gl_total</t>
        </is>
      </c>
      <c r="D64" s="33" t="n">
        <v>110321.43</v>
      </c>
      <c r="E64" s="14" t="inlineStr">
        <is>
          <t>Financial</t>
        </is>
      </c>
      <c r="F64" s="5" t="inlineStr">
        <is>
          <t>JDR footer</t>
        </is>
      </c>
      <c r="G64" s="27" t="inlineStr">
        <is>
          <t>Verified</t>
        </is>
      </c>
      <c r="H64" s="5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2023RS</t>
        </is>
      </c>
      <c r="D6" s="5" t="inlineStr">
        <is>
          <t>Rosen Supply Company, Inc. $Legacy</t>
        </is>
      </c>
      <c r="E6" s="15" t="n">
        <v>190637.3500000001</v>
      </c>
      <c r="F6" s="14" t="n">
        <v>116</v>
      </c>
      <c r="G6" s="16">
        <f>E6/682284.5600000002</f>
        <v/>
      </c>
      <c r="H6" s="8" t="inlineStr">
        <is>
          <t>2023 Job Detail Report.pdf (Sage Timberline, 04/03/2026, 285 pages)</t>
        </is>
      </c>
    </row>
    <row r="7">
      <c r="B7" s="14" t="n">
        <v>2</v>
      </c>
      <c r="C7" s="14" t="inlineStr">
        <is>
          <t>2023CS</t>
        </is>
      </c>
      <c r="D7" s="5" t="inlineStr">
        <is>
          <t>Consolidated Supply Co. $Legacy</t>
        </is>
      </c>
      <c r="E7" s="15" t="n">
        <v>164734.54</v>
      </c>
      <c r="F7" s="14" t="n">
        <v>73</v>
      </c>
      <c r="G7" s="16">
        <f>E7/682284.5600000002</f>
        <v/>
      </c>
      <c r="H7" s="8" t="inlineStr">
        <is>
          <t>2023 Job Detail Report.pdf (Sage Timberline, 04/03/2026, 285 pages)</t>
        </is>
      </c>
    </row>
    <row r="8">
      <c r="B8" s="14" t="n">
        <v>3</v>
      </c>
      <c r="C8" s="14" t="inlineStr">
        <is>
          <t>2023FE</t>
        </is>
      </c>
      <c r="D8" s="5" t="inlineStr">
        <is>
          <t>Ferguson Enterprises, Inc. $Legacy</t>
        </is>
      </c>
      <c r="E8" s="15" t="n">
        <v>161354.82</v>
      </c>
      <c r="F8" s="14" t="n">
        <v>71</v>
      </c>
      <c r="G8" s="16">
        <f>E8/682284.5600000002</f>
        <v/>
      </c>
      <c r="H8" s="8" t="inlineStr">
        <is>
          <t>2023 Job Detail Report.pdf (Sage Timberline, 04/03/2026, 285 pages)</t>
        </is>
      </c>
    </row>
    <row r="9">
      <c r="B9" s="14" t="n">
        <v>4</v>
      </c>
      <c r="C9" s="14" t="inlineStr">
        <is>
          <t>2023KS</t>
        </is>
      </c>
      <c r="D9" s="5" t="inlineStr">
        <is>
          <t>Keller Supply Company $Legacy</t>
        </is>
      </c>
      <c r="E9" s="15" t="n">
        <v>66440.23</v>
      </c>
      <c r="F9" s="14" t="n">
        <v>39</v>
      </c>
      <c r="G9" s="16">
        <f>E9/682284.5600000002</f>
        <v/>
      </c>
      <c r="H9" s="8" t="inlineStr">
        <is>
          <t>2023 Job Detail Report.pdf (Sage Timberline, 04/03/2026, 285 pages)</t>
        </is>
      </c>
    </row>
    <row r="10">
      <c r="B10" s="14" t="n">
        <v>5</v>
      </c>
      <c r="C10" s="14" t="inlineStr">
        <is>
          <t>3612MS</t>
        </is>
      </c>
      <c r="D10" s="5" t="inlineStr">
        <is>
          <t>Mechanical Sales, Inc.</t>
        </is>
      </c>
      <c r="E10" s="15" t="n">
        <v>28019.56</v>
      </c>
      <c r="F10" s="14" t="n">
        <v>4</v>
      </c>
      <c r="G10" s="16">
        <f>E10/682284.5600000002</f>
        <v/>
      </c>
      <c r="H10" s="8" t="inlineStr">
        <is>
          <t>2023 Job Detail Report.pdf (Sage Timberline, 04/03/2026, 285 pages)</t>
        </is>
      </c>
    </row>
    <row r="11">
      <c r="B11" s="14" t="n">
        <v>6</v>
      </c>
      <c r="C11" s="14" t="inlineStr">
        <is>
          <t>1625FE</t>
        </is>
      </c>
      <c r="D11" s="5" t="inlineStr">
        <is>
          <t>Franklin Engineering</t>
        </is>
      </c>
      <c r="E11" s="15" t="n">
        <v>27834</v>
      </c>
      <c r="F11" s="14" t="n">
        <v>6</v>
      </c>
      <c r="G11" s="16">
        <f>E11/682284.5600000002</f>
        <v/>
      </c>
      <c r="H11" s="8" t="inlineStr">
        <is>
          <t>2023 Job Detail Report.pdf (Sage Timberline, 04/03/2026, 285 pages)</t>
        </is>
      </c>
    </row>
    <row r="12">
      <c r="B12" s="14" t="n">
        <v>7</v>
      </c>
      <c r="C12" s="14" t="inlineStr">
        <is>
          <t>3181SC</t>
        </is>
      </c>
      <c r="D12" s="5" t="inlineStr">
        <is>
          <t>Scan2Core, Inc.</t>
        </is>
      </c>
      <c r="E12" s="15" t="n">
        <v>9291</v>
      </c>
      <c r="F12" s="14" t="n">
        <v>7</v>
      </c>
      <c r="G12" s="16">
        <f>E12/682284.5600000002</f>
        <v/>
      </c>
      <c r="H12" s="8" t="inlineStr">
        <is>
          <t>2023 Job Detail Report.pdf (Sage Timberline, 04/03/2026, 285 pages)</t>
        </is>
      </c>
    </row>
    <row r="13">
      <c r="B13" s="14" t="n">
        <v>8</v>
      </c>
      <c r="C13" s="14" t="inlineStr">
        <is>
          <t>1231KS</t>
        </is>
      </c>
      <c r="D13" s="5" t="inlineStr">
        <is>
          <t>Keller Supply Company</t>
        </is>
      </c>
      <c r="E13" s="15" t="n">
        <v>6943.87</v>
      </c>
      <c r="F13" s="14" t="n">
        <v>3</v>
      </c>
      <c r="G13" s="16">
        <f>E13/682284.5600000002</f>
        <v/>
      </c>
      <c r="H13" s="8" t="inlineStr">
        <is>
          <t>2023 Job Detail Report.pdf (Sage Timberline, 04/03/2026, 285 pages)</t>
        </is>
      </c>
    </row>
    <row r="14">
      <c r="B14" s="14" t="n">
        <v>9</v>
      </c>
      <c r="C14" s="14" t="inlineStr">
        <is>
          <t>7200UR</t>
        </is>
      </c>
      <c r="D14" s="5" t="inlineStr">
        <is>
          <t>United Rentals, Inc.</t>
        </is>
      </c>
      <c r="E14" s="15" t="n">
        <v>6785.949999999999</v>
      </c>
      <c r="F14" s="14" t="n">
        <v>11</v>
      </c>
      <c r="G14" s="16">
        <f>E14/682284.5600000002</f>
        <v/>
      </c>
      <c r="H14" s="8" t="inlineStr">
        <is>
          <t>2023 Job Detail Report.pdf (Sage Timberline, 04/03/2026, 285 pages)</t>
        </is>
      </c>
    </row>
    <row r="15">
      <c r="B15" s="14" t="n">
        <v>10</v>
      </c>
      <c r="C15" s="14" t="inlineStr">
        <is>
          <t>1609QC</t>
        </is>
      </c>
      <c r="D15" s="5" t="inlineStr">
        <is>
          <t>Quality Concrete Products, Inc. $32</t>
        </is>
      </c>
      <c r="E15" s="15" t="n">
        <v>6488</v>
      </c>
      <c r="F15" s="14" t="n">
        <v>4</v>
      </c>
      <c r="G15" s="16">
        <f>E15/682284.5600000002</f>
        <v/>
      </c>
      <c r="H15" s="8" t="inlineStr">
        <is>
          <t>2023 Job Detail Report.pdf (Sage Timberline, 04/03/2026, 285 pages)</t>
        </is>
      </c>
    </row>
    <row r="16">
      <c r="B16" s="14" t="n">
        <v>11</v>
      </c>
      <c r="C16" s="14" t="inlineStr">
        <is>
          <t>1516DS</t>
        </is>
      </c>
      <c r="D16" s="5" t="inlineStr">
        <is>
          <t>Duraseal, Inc.</t>
        </is>
      </c>
      <c r="E16" s="15" t="n">
        <v>3860</v>
      </c>
      <c r="F16" s="14" t="n">
        <v>1</v>
      </c>
      <c r="G16" s="16">
        <f>E16/682284.5600000002</f>
        <v/>
      </c>
      <c r="H16" s="8" t="inlineStr">
        <is>
          <t>2023 Job Detail Report.pdf (Sage Timberline, 04/03/2026, 285 pages)</t>
        </is>
      </c>
    </row>
    <row r="17">
      <c r="B17" s="14" t="n">
        <v>12</v>
      </c>
      <c r="C17" s="14" t="inlineStr">
        <is>
          <t>5621HD</t>
        </is>
      </c>
      <c r="D17" s="5" t="inlineStr">
        <is>
          <t>Core &amp; Main LP $HD Supply Waterworks</t>
        </is>
      </c>
      <c r="E17" s="15" t="n">
        <v>2464.39</v>
      </c>
      <c r="F17" s="14" t="n">
        <v>2</v>
      </c>
      <c r="G17" s="16">
        <f>E17/682284.5600000002</f>
        <v/>
      </c>
      <c r="H17" s="8" t="inlineStr">
        <is>
          <t>2023 Job Detail Report.pdf (Sage Timberline, 04/03/2026, 285 pages)</t>
        </is>
      </c>
    </row>
    <row r="18">
      <c r="B18" s="14" t="n">
        <v>13</v>
      </c>
      <c r="C18" s="14" t="inlineStr">
        <is>
          <t>1380RS</t>
        </is>
      </c>
      <c r="D18" s="5" t="inlineStr">
        <is>
          <t>Rosen Supply Kirkland</t>
        </is>
      </c>
      <c r="E18" s="15" t="n">
        <v>1670.93</v>
      </c>
      <c r="F18" s="14" t="n">
        <v>9</v>
      </c>
      <c r="G18" s="16">
        <f>E18/682284.5600000002</f>
        <v/>
      </c>
      <c r="H18" s="8" t="inlineStr">
        <is>
          <t>2023 Job Detail Report.pdf (Sage Timberline, 04/03/2026, 285 pages)</t>
        </is>
      </c>
    </row>
    <row r="19">
      <c r="B19" s="14" t="n">
        <v>14</v>
      </c>
      <c r="C19" s="14" t="inlineStr">
        <is>
          <t>2132MH</t>
        </is>
      </c>
      <c r="D19" s="5" t="inlineStr">
        <is>
          <t>Manor Hardware &amp; Construction Supply</t>
        </is>
      </c>
      <c r="E19" s="15" t="n">
        <v>908.02</v>
      </c>
      <c r="F19" s="14" t="n">
        <v>3</v>
      </c>
      <c r="G19" s="16">
        <f>E19/682284.5600000002</f>
        <v/>
      </c>
      <c r="H19" s="8" t="inlineStr">
        <is>
          <t>2023 Job Detail Report.pdf (Sage Timberline, 04/03/2026, 285 pages)</t>
        </is>
      </c>
    </row>
    <row r="20">
      <c r="B20" s="14" t="n">
        <v>15</v>
      </c>
      <c r="C20" s="14" t="inlineStr">
        <is>
          <t>1504CA</t>
        </is>
      </c>
      <c r="D20" s="5" t="inlineStr">
        <is>
          <t>Chip Away Bathtub Repair, Inc.</t>
        </is>
      </c>
      <c r="E20" s="15" t="n">
        <v>750</v>
      </c>
      <c r="F20" s="14" t="n">
        <v>1</v>
      </c>
      <c r="G20" s="16">
        <f>E20/682284.5600000002</f>
        <v/>
      </c>
      <c r="H20" s="8" t="inlineStr">
        <is>
          <t>2023 Job Detail Report.pdf (Sage Timberline, 04/03/2026, 285 pages)</t>
        </is>
      </c>
    </row>
    <row r="21">
      <c r="B21" s="14" t="n">
        <v>16</v>
      </c>
      <c r="C21" s="14" t="inlineStr">
        <is>
          <t>8068MI</t>
        </is>
      </c>
      <c r="D21" s="5" t="inlineStr">
        <is>
          <t>Kele, Inc $ MI Controls</t>
        </is>
      </c>
      <c r="E21" s="15" t="n">
        <v>694.25</v>
      </c>
      <c r="F21" s="14" t="n">
        <v>1</v>
      </c>
      <c r="G21" s="16">
        <f>E21/682284.5600000002</f>
        <v/>
      </c>
      <c r="H21" s="8" t="inlineStr">
        <is>
          <t>2023 Job Detail Report.pdf (Sage Timberline, 04/03/2026, 285 pages)</t>
        </is>
      </c>
    </row>
    <row r="22">
      <c r="B22" s="14" t="n">
        <v>17</v>
      </c>
      <c r="C22" s="14" t="inlineStr">
        <is>
          <t>1303CM</t>
        </is>
      </c>
      <c r="D22" s="5" t="inlineStr">
        <is>
          <t>C.M. Hoskins Company</t>
        </is>
      </c>
      <c r="E22" s="15" t="n">
        <v>564.48</v>
      </c>
      <c r="F22" s="14" t="n">
        <v>3</v>
      </c>
      <c r="G22" s="16">
        <f>E22/682284.5600000002</f>
        <v/>
      </c>
      <c r="H22" s="8" t="inlineStr">
        <is>
          <t>2023 Job Detail Report.pdf (Sage Timberline, 04/03/2026, 285 pages)</t>
        </is>
      </c>
    </row>
    <row r="23">
      <c r="B23" s="14" t="n">
        <v>18</v>
      </c>
      <c r="C23" s="14" t="inlineStr">
        <is>
          <t>2024FE</t>
        </is>
      </c>
      <c r="D23" s="5" t="inlineStr">
        <is>
          <t>Ferguson Enterprises, Inc. $MG-Ballard</t>
        </is>
      </c>
      <c r="E23" s="15" t="n">
        <v>533.1900000000001</v>
      </c>
      <c r="F23" s="14" t="n">
        <v>1</v>
      </c>
      <c r="G23" s="16">
        <f>E23/682284.5600000002</f>
        <v/>
      </c>
      <c r="H23" s="8" t="inlineStr">
        <is>
          <t>2023 Job Detail Report.pdf (Sage Timberline, 04/03/2026, 285 pages)</t>
        </is>
      </c>
    </row>
    <row r="24">
      <c r="B24" s="14" t="n">
        <v>19</v>
      </c>
      <c r="C24" s="14" t="inlineStr">
        <is>
          <t>1175FE</t>
        </is>
      </c>
      <c r="D24" s="5" t="inlineStr">
        <is>
          <t>Ferguson Enterprises, Inc. #3007</t>
        </is>
      </c>
      <c r="E24" s="15" t="n">
        <v>436.87</v>
      </c>
      <c r="F24" s="14" t="n">
        <v>1</v>
      </c>
      <c r="G24" s="16">
        <f>E24/682284.5600000002</f>
        <v/>
      </c>
      <c r="H24" s="8" t="inlineStr">
        <is>
          <t>2023 Job Detail Report.pdf (Sage Timberline, 04/03/2026, 285 pages)</t>
        </is>
      </c>
    </row>
    <row r="25">
      <c r="B25" s="14" t="n">
        <v>20</v>
      </c>
      <c r="C25" s="14" t="inlineStr">
        <is>
          <t>1611AS</t>
        </is>
      </c>
      <c r="D25" s="5" t="inlineStr">
        <is>
          <t>Beacon Building Products $Atlas</t>
        </is>
      </c>
      <c r="E25" s="15" t="n">
        <v>361.89</v>
      </c>
      <c r="F25" s="14" t="n">
        <v>2</v>
      </c>
      <c r="G25" s="16">
        <f>E25/682284.5600000002</f>
        <v/>
      </c>
      <c r="H25" s="8" t="inlineStr">
        <is>
          <t>2023 Job Detail Report.pdf (Sage Timberline, 04/03/2026, 285 pages)</t>
        </is>
      </c>
    </row>
    <row r="26">
      <c r="B26" s="14" t="n">
        <v>21</v>
      </c>
      <c r="C26" s="14" t="inlineStr">
        <is>
          <t>1288DR</t>
        </is>
      </c>
      <c r="D26" s="5" t="inlineStr">
        <is>
          <t>DRSi</t>
        </is>
      </c>
      <c r="E26" s="15" t="n">
        <v>309.85</v>
      </c>
      <c r="F26" s="14" t="n">
        <v>2</v>
      </c>
      <c r="G26" s="16">
        <f>E26/682284.5600000002</f>
        <v/>
      </c>
      <c r="H26" s="8" t="inlineStr">
        <is>
          <t>2023 Job Detail Report.pdf (Sage Timberline, 04/03/2026, 285 pages)</t>
        </is>
      </c>
    </row>
    <row r="27">
      <c r="B27" s="14" t="n">
        <v>22</v>
      </c>
      <c r="C27" s="14" t="inlineStr">
        <is>
          <t>1234CO</t>
        </is>
      </c>
      <c r="D27" s="5" t="inlineStr">
        <is>
          <t>Capital One Credit Card</t>
        </is>
      </c>
      <c r="E27" s="15" t="n">
        <v>293.86</v>
      </c>
      <c r="F27" s="14" t="n">
        <v>2</v>
      </c>
      <c r="G27" s="16">
        <f>E27/682284.5600000002</f>
        <v/>
      </c>
      <c r="H27" s="8" t="inlineStr">
        <is>
          <t>2023 Job Detail Report.pdf (Sage Timberline, 04/03/2026, 285 pages)</t>
        </is>
      </c>
    </row>
    <row r="28">
      <c r="B28" s="14" t="n">
        <v>23</v>
      </c>
      <c r="C28" s="14" t="inlineStr">
        <is>
          <t>3820HI</t>
        </is>
      </c>
      <c r="D28" s="5" t="inlineStr">
        <is>
          <t>Hilti, Inc.</t>
        </is>
      </c>
      <c r="E28" s="15" t="n">
        <v>292.5</v>
      </c>
      <c r="F28" s="14" t="n">
        <v>1</v>
      </c>
      <c r="G28" s="16">
        <f>E28/682284.5600000002</f>
        <v/>
      </c>
      <c r="H28" s="8" t="inlineStr">
        <is>
          <t>2023 Job Detail Report.pdf (Sage Timberline, 04/03/2026, 285 pages)</t>
        </is>
      </c>
    </row>
    <row r="29">
      <c r="B29" s="14" t="n">
        <v>24</v>
      </c>
      <c r="C29" s="14" t="inlineStr">
        <is>
          <t>2021RS</t>
        </is>
      </c>
      <c r="D29" s="5" t="inlineStr">
        <is>
          <t>Rosen Supply Company $Admiral</t>
        </is>
      </c>
      <c r="E29" s="15" t="n">
        <v>290.47</v>
      </c>
      <c r="F29" s="14" t="n">
        <v>2</v>
      </c>
      <c r="G29" s="16">
        <f>E29/682284.5600000002</f>
        <v/>
      </c>
      <c r="H29" s="8" t="inlineStr">
        <is>
          <t>2023 Job Detail Report.pdf (Sage Timberline, 04/03/2026, 285 pages)</t>
        </is>
      </c>
    </row>
    <row r="30">
      <c r="B30" s="14" t="n">
        <v>25</v>
      </c>
      <c r="C30" s="14" t="inlineStr">
        <is>
          <t>1421RA</t>
        </is>
      </c>
      <c r="D30" s="5" t="inlineStr">
        <is>
          <t>R.A. Brown Backflow Testing</t>
        </is>
      </c>
      <c r="E30" s="15" t="n">
        <v>229.5</v>
      </c>
      <c r="F30" s="14" t="n">
        <v>1</v>
      </c>
      <c r="G30" s="16">
        <f>E30/682284.5600000002</f>
        <v/>
      </c>
      <c r="H30" s="8" t="inlineStr">
        <is>
          <t>2023 Job Detail Report.pdf (Sage Timberline, 04/03/2026, 285 pages)</t>
        </is>
      </c>
    </row>
    <row r="31">
      <c r="B31" s="14" t="n">
        <v>26</v>
      </c>
      <c r="C31" s="14" t="inlineStr">
        <is>
          <t>1799AW</t>
        </is>
      </c>
      <c r="D31" s="5" t="inlineStr">
        <is>
          <t>AllWest Underground, Inc.</t>
        </is>
      </c>
      <c r="E31" s="15" t="n">
        <v>84.84</v>
      </c>
      <c r="F31" s="14" t="n">
        <v>1</v>
      </c>
      <c r="G31" s="16">
        <f>E31/682284.5600000002</f>
        <v/>
      </c>
      <c r="H31" s="8" t="inlineStr">
        <is>
          <t>2023 Job Detail Report.pdf (Sage Timberline, 04/03/2026, 285 pages)</t>
        </is>
      </c>
    </row>
    <row r="32">
      <c r="B32" s="14" t="n">
        <v>27</v>
      </c>
      <c r="C32" s="14" t="inlineStr">
        <is>
          <t>1126SS</t>
        </is>
      </c>
      <c r="D32" s="5" t="inlineStr">
        <is>
          <t>Specification Sales, Inc.</t>
        </is>
      </c>
      <c r="E32" s="15" t="n">
        <v>71.04000000000001</v>
      </c>
      <c r="F32" s="14" t="n">
        <v>2</v>
      </c>
      <c r="G32" s="16">
        <f>E32/682284.5600000002</f>
        <v/>
      </c>
      <c r="H32" s="8" t="inlineStr">
        <is>
          <t>2023 Job Detail Report.pdf (Sage Timberline, 04/03/2026, 285 pages)</t>
        </is>
      </c>
    </row>
    <row r="33">
      <c r="B33" s="14" t="n">
        <v>28</v>
      </c>
      <c r="C33" s="14" t="inlineStr">
        <is>
          <t>1234BA</t>
        </is>
      </c>
      <c r="D33" s="5" t="inlineStr">
        <is>
          <t>Bank of America CC</t>
        </is>
      </c>
      <c r="E33" s="15" t="n">
        <v>66.73999999999999</v>
      </c>
      <c r="F33" s="14" t="n">
        <v>1</v>
      </c>
      <c r="G33" s="16">
        <f>E33/682284.5600000002</f>
        <v/>
      </c>
      <c r="H33" s="8" t="inlineStr">
        <is>
          <t>2023 Job Detail Report.pdf (Sage Timberline, 04/03/2026, 285 pages)</t>
        </is>
      </c>
    </row>
    <row r="34">
      <c r="B34" s="14" t="n">
        <v>29</v>
      </c>
      <c r="C34" s="14" t="inlineStr">
        <is>
          <t>1344HD</t>
        </is>
      </c>
      <c r="D34" s="5" t="inlineStr">
        <is>
          <t>HD Fowler Company</t>
        </is>
      </c>
      <c r="E34" s="15" t="n">
        <v>61.12</v>
      </c>
      <c r="F34" s="14" t="n">
        <v>1</v>
      </c>
      <c r="G34" s="16">
        <f>E34/682284.5600000002</f>
        <v/>
      </c>
      <c r="H34" s="8" t="inlineStr">
        <is>
          <t>2023 Job Detail Report.pdf (Sage Timberline, 04/03/2026, 285 pages)</t>
        </is>
      </c>
    </row>
    <row r="35">
      <c r="B35" s="14" t="n">
        <v>30</v>
      </c>
      <c r="C35" s="14" t="inlineStr">
        <is>
          <t>2019RS</t>
        </is>
      </c>
      <c r="D35" s="5" t="inlineStr">
        <is>
          <t>Rosen Supply Company, Inc. $8th, Republi</t>
        </is>
      </c>
      <c r="E35" s="15" t="n">
        <v>49.61</v>
      </c>
      <c r="F35" s="14" t="n">
        <v>2</v>
      </c>
      <c r="G35" s="16">
        <f>E35/682284.5600000002</f>
        <v/>
      </c>
      <c r="H35" s="8" t="inlineStr">
        <is>
          <t>2023 Job Detail Report.pdf (Sage Timberline, 04/03/2026, 285 pages)</t>
        </is>
      </c>
    </row>
    <row r="36">
      <c r="B36" s="14" t="n">
        <v>31</v>
      </c>
      <c r="C36" s="14" t="inlineStr">
        <is>
          <t>2027FE</t>
        </is>
      </c>
      <c r="D36" s="5" t="inlineStr">
        <is>
          <t>Ferguson Enterprises, Inc. $550 Broadway</t>
        </is>
      </c>
      <c r="E36" s="15" t="n">
        <v>45.53</v>
      </c>
      <c r="F36" s="14" t="n">
        <v>1</v>
      </c>
      <c r="G36" s="16">
        <f>E36/682284.5600000002</f>
        <v/>
      </c>
      <c r="H36" s="8" t="inlineStr">
        <is>
          <t>2023 Job Detail Report.pdf (Sage Timberline, 04/03/2026, 285 pages)</t>
        </is>
      </c>
    </row>
    <row r="37">
      <c r="B37" s="14" t="n">
        <v>32</v>
      </c>
      <c r="C37" s="14" t="inlineStr">
        <is>
          <t>1130CS</t>
        </is>
      </c>
      <c r="D37" s="5" t="inlineStr">
        <is>
          <t>Consolidated Supply Co.</t>
        </is>
      </c>
      <c r="E37" s="15" t="n">
        <v>-283.84</v>
      </c>
      <c r="F37" s="14" t="n">
        <v>2</v>
      </c>
      <c r="G37" s="16">
        <f>E37/682284.5600000002</f>
        <v/>
      </c>
      <c r="H37" s="8" t="inlineStr">
        <is>
          <t>2023 Job Detail Report.pdf (Sage Timberline, 04/03/2026, 285 pages)</t>
        </is>
      </c>
    </row>
    <row r="38">
      <c r="B38" s="18" t="inlineStr">
        <is>
          <t>TOTAL</t>
        </is>
      </c>
      <c r="E38" s="9">
        <f>SUM(E6:E37)</f>
        <v/>
      </c>
      <c r="F38" s="23">
        <f>SUM(F6:F37)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2014-09 (bid) / 2015-01 (work start)</t>
        </is>
      </c>
      <c r="E6" s="5" t="inlineStr">
        <is>
          <t>Prime subcontract — Lump Sum $2,469,500.00</t>
        </is>
      </c>
      <c r="F6" s="5" t="inlineStr">
        <is>
          <t>Chinn Construction, LLC</t>
        </is>
      </c>
      <c r="G6" s="15" t="n">
        <v>2469500</v>
      </c>
      <c r="H6" s="14" t="inlineStr">
        <is>
          <t>Executed</t>
        </is>
      </c>
      <c r="I6" s="8" t="inlineStr">
        <is>
          <t>Legacy contract OCR_d.pdf (Chinn↔OWP subcontract, Lump Sum $2,469,500)</t>
        </is>
      </c>
    </row>
    <row r="7">
      <c r="B7" s="14" t="inlineStr">
        <is>
          <t>CO-11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Legacy CO 11 — image-scan PDF, value NOT extractable</t>
        </is>
      </c>
      <c r="F7" s="5" t="inlineStr">
        <is>
          <t>Chinn Construction, LLC</t>
        </is>
      </c>
      <c r="G7" s="28" t="inlineStr">
        <is>
          <t>NOT FOUND</t>
        </is>
      </c>
      <c r="H7" s="14" t="inlineStr">
        <is>
          <t>Executed</t>
        </is>
      </c>
      <c r="I7" s="8" t="inlineStr">
        <is>
          <t>CO_s/Legacy CO 11 Signed.pdf</t>
        </is>
      </c>
    </row>
    <row r="8">
      <c r="B8" s="14" t="inlineStr">
        <is>
          <t>CO-19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Legacy CO 19 — image-scan PDF, value NOT extractable</t>
        </is>
      </c>
      <c r="F8" s="5" t="inlineStr">
        <is>
          <t>Chinn Construction, LLC</t>
        </is>
      </c>
      <c r="G8" s="28" t="inlineStr">
        <is>
          <t>NOT FOUND</t>
        </is>
      </c>
      <c r="H8" s="14" t="inlineStr">
        <is>
          <t>Executed</t>
        </is>
      </c>
      <c r="I8" s="8" t="inlineStr">
        <is>
          <t>CO_s/Legacy CO 19.pdf</t>
        </is>
      </c>
    </row>
    <row r="9">
      <c r="B9" s="14" t="inlineStr">
        <is>
          <t>CO-20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Legacy CO 20 — image-scan PDF, value NOT extractable</t>
        </is>
      </c>
      <c r="F9" s="5" t="inlineStr">
        <is>
          <t>Chinn Construction, LLC</t>
        </is>
      </c>
      <c r="G9" s="28" t="inlineStr">
        <is>
          <t>NOT FOUND</t>
        </is>
      </c>
      <c r="H9" s="14" t="inlineStr">
        <is>
          <t>Executed</t>
        </is>
      </c>
      <c r="I9" s="8" t="inlineStr">
        <is>
          <t>CO_s/Legacy CO 20.pdf</t>
        </is>
      </c>
    </row>
    <row r="10">
      <c r="B10" s="14" t="inlineStr">
        <is>
          <t>CO-21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Legacy CO 21 — image-scan PDF, value NOT extractable</t>
        </is>
      </c>
      <c r="F10" s="5" t="inlineStr">
        <is>
          <t>Chinn Construction, LLC</t>
        </is>
      </c>
      <c r="G10" s="28" t="inlineStr">
        <is>
          <t>NOT FOUND</t>
        </is>
      </c>
      <c r="H10" s="14" t="inlineStr">
        <is>
          <t>Executed</t>
        </is>
      </c>
      <c r="I10" s="8" t="inlineStr">
        <is>
          <t>CO_s/Legacy CO 21.pdf</t>
        </is>
      </c>
    </row>
    <row r="11">
      <c r="B11" s="14" t="inlineStr">
        <is>
          <t>CO-22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Legacy CO 22 — image-scan PDF, value NOT extractable</t>
        </is>
      </c>
      <c r="F11" s="5" t="inlineStr">
        <is>
          <t>Chinn Construction, LLC</t>
        </is>
      </c>
      <c r="G11" s="28" t="inlineStr">
        <is>
          <t>NOT FOUND</t>
        </is>
      </c>
      <c r="H11" s="14" t="inlineStr">
        <is>
          <t>Executed</t>
        </is>
      </c>
      <c r="I11" s="8" t="inlineStr">
        <is>
          <t>CO_s/Legacy CO 22.pdf</t>
        </is>
      </c>
    </row>
    <row r="12">
      <c r="B12" s="14" t="inlineStr">
        <is>
          <t>CO-IMPLIED</t>
        </is>
      </c>
      <c r="C12" s="14" t="inlineStr">
        <is>
          <t>CO Aggregate</t>
        </is>
      </c>
      <c r="D12" s="14" t="inlineStr">
        <is>
          <t>Thru 2016-12</t>
        </is>
      </c>
      <c r="E12" s="5" t="inlineStr">
        <is>
          <t>Aggregate CO impact per JDR code 999 delta = $301,869.00</t>
        </is>
      </c>
      <c r="F12" s="5" t="inlineStr">
        <is>
          <t>Chinn Construction, LLC</t>
        </is>
      </c>
      <c r="G12" s="15" t="n">
        <v>301869</v>
      </c>
      <c r="H12" s="14" t="inlineStr">
        <is>
          <t>Absorbed</t>
        </is>
      </c>
      <c r="I12" s="8" t="inlineStr">
        <is>
          <t>2023 Job Detail Report.pdf (Sage Timberline, 04/03/2026, 285 pages)</t>
        </is>
      </c>
    </row>
    <row r="13">
      <c r="B13" s="14" t="inlineStr">
        <is>
          <t>CO-GAP</t>
        </is>
      </c>
      <c r="C13" s="14" t="inlineStr">
        <is>
          <t>CO Numbering Gap</t>
        </is>
      </c>
      <c r="D13" s="14" t="inlineStr">
        <is>
          <t>—</t>
        </is>
      </c>
      <c r="E13" s="5" t="inlineStr">
        <is>
          <t>CO# jumps 11→19 in folder — suggests 6+ COs missing from folder</t>
        </is>
      </c>
      <c r="F13" s="5" t="inlineStr">
        <is>
          <t>—</t>
        </is>
      </c>
      <c r="G13" s="15" t="n">
        <v>0</v>
      </c>
      <c r="H13" s="14" t="inlineStr">
        <is>
          <t>Unresolved</t>
        </is>
      </c>
      <c r="I13" s="8" t="inlineStr">
        <is>
          <t>CO folder scan</t>
        </is>
      </c>
    </row>
    <row r="14">
      <c r="B14" s="14" t="inlineStr">
        <is>
          <t>ASI-RFI-BATCH</t>
        </is>
      </c>
      <c r="C14" s="14" t="inlineStr">
        <is>
          <t>RFI/ASI batch</t>
        </is>
      </c>
      <c r="D14" s="14" t="inlineStr">
        <is>
          <t>2015-2016</t>
        </is>
      </c>
      <c r="E14" s="5" t="inlineStr">
        <is>
          <t>125 ASI-RFI docs (ASIs 07/09/10/14/16/25/26 + Hadley RFIs 051-360+; VIA &amp; BCRA responses)</t>
        </is>
      </c>
      <c r="F14" s="5" t="inlineStr">
        <is>
          <t>VIA Architecture / Sub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DROPBOX-RFI</t>
        </is>
      </c>
      <c r="C15" s="14" t="inlineStr">
        <is>
          <t>RFI batch</t>
        </is>
      </c>
      <c r="D15" s="28" t="inlineStr">
        <is>
          <t>NOT FOUND</t>
        </is>
      </c>
      <c r="E15" s="5" t="inlineStr">
        <is>
          <t>Additional RFI docs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TABLETS/</t>
        </is>
      </c>
    </row>
    <row r="16">
      <c r="B16" s="14" t="inlineStr">
        <is>
          <t>SUB-EQUIPMENT</t>
        </is>
      </c>
      <c r="C16" s="14" t="inlineStr">
        <is>
          <t>Submittal batch</t>
        </is>
      </c>
      <c r="D16" s="28" t="inlineStr">
        <is>
          <t>NOT FOUND</t>
        </is>
      </c>
      <c r="E16" s="5" t="inlineStr">
        <is>
          <t>Equipment submittals (Backflow preventer, Expansion tank,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Submittals/EQUIPMENT SUBMITTALS/</t>
        </is>
      </c>
    </row>
    <row r="17">
      <c r="B17" s="14" t="inlineStr">
        <is>
          <t>SUB-FIXTURE</t>
        </is>
      </c>
      <c r="C17" s="14" t="inlineStr">
        <is>
          <t>Submittal batch</t>
        </is>
      </c>
      <c r="D17" s="28" t="inlineStr">
        <is>
          <t>NOT FOUND</t>
        </is>
      </c>
      <c r="E17" s="5" t="inlineStr">
        <is>
          <t>Fixture submittals (WC, lav, tub/shower, sinks) — multiple revision rounds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Submittals/FIXTURE SUBMITTALS/ (incl. REVISED SUBMITTALS 09.21.15)</t>
        </is>
      </c>
    </row>
    <row r="18">
      <c r="B18" s="14" t="inlineStr">
        <is>
          <t>SUB-MATERIAL</t>
        </is>
      </c>
      <c r="C18" s="14" t="inlineStr">
        <is>
          <t>Submittal batch</t>
        </is>
      </c>
      <c r="D18" s="28" t="inlineStr">
        <is>
          <t>NOT FOUND</t>
        </is>
      </c>
      <c r="E18" s="5" t="inlineStr">
        <is>
          <t>Material submittals (PVC pipe &amp; fittings, full material submittal package)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Submittals/MATERIAL SUBMITTALS/</t>
        </is>
      </c>
    </row>
    <row r="19">
      <c r="B19" s="14" t="inlineStr">
        <is>
          <t>SUB-UG</t>
        </is>
      </c>
      <c r="C19" s="14" t="inlineStr">
        <is>
          <t>Submittal batch</t>
        </is>
      </c>
      <c r="D19" s="28" t="inlineStr">
        <is>
          <t>NOT FOUND</t>
        </is>
      </c>
      <c r="E19" s="5" t="inlineStr">
        <is>
          <t>Underground &amp; Garage submittals (pump basin, oil-water separator, Proset toilet detail)</t>
        </is>
      </c>
      <c r="F19" s="5" t="inlineStr">
        <is>
          <t>Sub (OWP)</t>
        </is>
      </c>
      <c r="G19" s="15" t="n">
        <v>0</v>
      </c>
      <c r="H19" s="14" t="inlineStr">
        <is>
          <t>Approved</t>
        </is>
      </c>
      <c r="I19" s="8" t="inlineStr">
        <is>
          <t>Submittals/UNDERGROUND &amp; GARAGE SUBMITTALS/</t>
        </is>
      </c>
    </row>
    <row r="20">
      <c r="B20" s="14" t="inlineStr">
        <is>
          <t>SUB-RESPONSES</t>
        </is>
      </c>
      <c r="C20" s="14" t="inlineStr">
        <is>
          <t>Submittal Responses</t>
        </is>
      </c>
      <c r="D20" s="28" t="inlineStr">
        <is>
          <t>NOT FOUND</t>
        </is>
      </c>
      <c r="E20" s="5" t="inlineStr">
        <is>
          <t>Returned submittal responses from GC/Architect</t>
        </is>
      </c>
      <c r="F20" s="5" t="inlineStr">
        <is>
          <t>VIA Architecture / Chinn Construction, LLC</t>
        </is>
      </c>
      <c r="G20" s="15" t="n">
        <v>0</v>
      </c>
      <c r="H20" s="14" t="inlineStr">
        <is>
          <t>Logged</t>
        </is>
      </c>
      <c r="I20" s="8" t="inlineStr">
        <is>
          <t>Submittals/RESPONSES/</t>
        </is>
      </c>
    </row>
    <row r="21">
      <c r="B21" s="14" t="inlineStr">
        <is>
          <t>PO-COMPLETED</t>
        </is>
      </c>
      <c r="C21" s="14" t="inlineStr">
        <is>
          <t>PO batch</t>
        </is>
      </c>
      <c r="D21" s="28" t="inlineStr">
        <is>
          <t>NOT FOUND</t>
        </is>
      </c>
      <c r="E21" s="5" t="inlineStr">
        <is>
          <t>152 completed POs</t>
        </is>
      </c>
      <c r="F21" s="5" t="inlineStr">
        <is>
          <t>Sub (OWP)</t>
        </is>
      </c>
      <c r="G21" s="15" t="n">
        <v>0</v>
      </c>
      <c r="H21" s="14" t="inlineStr">
        <is>
          <t>Complete</t>
        </is>
      </c>
      <c r="I21" s="8" t="inlineStr">
        <is>
          <t>PO_s/3 Completed/</t>
        </is>
      </c>
    </row>
    <row r="22">
      <c r="B22" s="14" t="inlineStr">
        <is>
          <t>PO-PLACED</t>
        </is>
      </c>
      <c r="C22" s="14" t="inlineStr">
        <is>
          <t>PO batch</t>
        </is>
      </c>
      <c r="D22" s="28" t="inlineStr">
        <is>
          <t>NOT FOUND</t>
        </is>
      </c>
      <c r="E22" s="5" t="inlineStr">
        <is>
          <t>2 placed POs</t>
        </is>
      </c>
      <c r="F22" s="5" t="inlineStr">
        <is>
          <t>Sub (OWP)</t>
        </is>
      </c>
      <c r="G22" s="15" t="n">
        <v>0</v>
      </c>
      <c r="H22" s="14" t="inlineStr">
        <is>
          <t>Placed</t>
        </is>
      </c>
      <c r="I22" s="8" t="inlineStr">
        <is>
          <t>PO_s/1 Placed/</t>
        </is>
      </c>
    </row>
    <row r="23">
      <c r="B23" s="14" t="inlineStr">
        <is>
          <t>PO-SCHEDULED</t>
        </is>
      </c>
      <c r="C23" s="14" t="inlineStr">
        <is>
          <t>PO batch</t>
        </is>
      </c>
      <c r="D23" s="28" t="inlineStr">
        <is>
          <t>NOT FOUND</t>
        </is>
      </c>
      <c r="E23" s="5" t="inlineStr">
        <is>
          <t>26 scheduled POs</t>
        </is>
      </c>
      <c r="F23" s="5" t="inlineStr">
        <is>
          <t>Sub (OWP)</t>
        </is>
      </c>
      <c r="G23" s="15" t="n">
        <v>0</v>
      </c>
      <c r="H23" s="14" t="inlineStr">
        <is>
          <t>Scheduled</t>
        </is>
      </c>
      <c r="I23" s="8" t="inlineStr">
        <is>
          <t>PO_s/2 Scheduled/</t>
        </is>
      </c>
    </row>
    <row r="24">
      <c r="B24" s="14" t="inlineStr">
        <is>
          <t>PO-TRIM</t>
        </is>
      </c>
      <c r="C24" s="14" t="inlineStr">
        <is>
          <t>PO batch (trim)</t>
        </is>
      </c>
      <c r="D24" s="28" t="inlineStr">
        <is>
          <t>NOT FOUND</t>
        </is>
      </c>
      <c r="E24" s="5" t="inlineStr">
        <is>
          <t>38 Trim POs (fixture trim-out)</t>
        </is>
      </c>
      <c r="F24" s="5" t="inlineStr">
        <is>
          <t>Sub (OWP)</t>
        </is>
      </c>
      <c r="G24" s="15" t="n">
        <v>0</v>
      </c>
      <c r="H24" s="14" t="inlineStr">
        <is>
          <t>Complete</t>
        </is>
      </c>
      <c r="I24" s="8" t="inlineStr">
        <is>
          <t>PO_s/Trim PO_s/</t>
        </is>
      </c>
    </row>
    <row r="25">
      <c r="B25" s="14" t="inlineStr">
        <is>
          <t>MEETINGS</t>
        </is>
      </c>
      <c r="C25" s="14" t="inlineStr">
        <is>
          <t>Meeting log</t>
        </is>
      </c>
      <c r="D25" s="28" t="inlineStr">
        <is>
          <t>NOT FOUND</t>
        </is>
      </c>
      <c r="E25" s="5" t="inlineStr">
        <is>
          <t>Project meeting notes &amp; schedules</t>
        </is>
      </c>
      <c r="F25" s="5" t="inlineStr">
        <is>
          <t>Chinn Construction, LLC</t>
        </is>
      </c>
      <c r="G25" s="15" t="n">
        <v>0</v>
      </c>
      <c r="H25" s="14" t="inlineStr">
        <is>
          <t>Logged</t>
        </is>
      </c>
      <c r="I25" s="8" t="inlineStr">
        <is>
          <t>Meetings-Schedules/</t>
        </is>
      </c>
    </row>
    <row r="26">
      <c r="B26" s="14" t="inlineStr">
        <is>
          <t>OM-TURNOVER</t>
        </is>
      </c>
      <c r="C26" s="14" t="inlineStr">
        <is>
          <t>O&amp;M Closeout</t>
        </is>
      </c>
      <c r="D26" s="28" t="inlineStr">
        <is>
          <t>NOT FOUND</t>
        </is>
      </c>
      <c r="E26" s="5" t="inlineStr">
        <is>
          <t>Operations &amp; Maintenance closeout package</t>
        </is>
      </c>
      <c r="F26" s="5" t="inlineStr">
        <is>
          <t>Sub (OWP)</t>
        </is>
      </c>
      <c r="G26" s="15" t="n">
        <v>0</v>
      </c>
      <c r="H26" s="14" t="inlineStr">
        <is>
          <t>Delivered</t>
        </is>
      </c>
      <c r="I26" s="8" t="inlineStr">
        <is>
          <t>O&amp;M_s/</t>
        </is>
      </c>
    </row>
    <row r="27">
      <c r="B27" s="14" t="inlineStr">
        <is>
          <t>FRANKLIN-ENG</t>
        </is>
      </c>
      <c r="C27" s="14" t="inlineStr">
        <is>
          <t>Engineering</t>
        </is>
      </c>
      <c r="D27" s="28" t="inlineStr">
        <is>
          <t>NOT FOUND</t>
        </is>
      </c>
      <c r="E27" s="5" t="inlineStr">
        <is>
          <t>Franklin Mercer Island engineering package (code 601)</t>
        </is>
      </c>
      <c r="F27" s="5" t="inlineStr">
        <is>
          <t>Franklin Engineering</t>
        </is>
      </c>
      <c r="G27" s="15" t="n">
        <v>0</v>
      </c>
      <c r="H27" s="14" t="inlineStr">
        <is>
          <t>Completed</t>
        </is>
      </c>
      <c r="I27" s="8" t="inlineStr">
        <is>
          <t>Franklin Mercer Island/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01/19/15</t>
        </is>
      </c>
      <c r="E28" s="5" t="inlineStr">
        <is>
          <t>First billing #036573</t>
        </is>
      </c>
      <c r="F28" s="5" t="inlineStr">
        <is>
          <t>Sub (OWP)</t>
        </is>
      </c>
      <c r="G28" s="15" t="n">
        <v>51150</v>
      </c>
      <c r="H28" s="14" t="inlineStr">
        <is>
          <t>Paid</t>
        </is>
      </c>
      <c r="I28" s="8" t="inlineStr">
        <is>
          <t>2023 Job Detail Report.pdf (Sage Timberline, 04/03/2026, 285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12/15/16</t>
        </is>
      </c>
      <c r="E29" s="5" t="inlineStr">
        <is>
          <t>Last billing #036809</t>
        </is>
      </c>
      <c r="F29" s="5" t="inlineStr">
        <is>
          <t>Sub (OWP)</t>
        </is>
      </c>
      <c r="G29" s="15" t="n">
        <v>4969</v>
      </c>
      <c r="H29" s="14" t="inlineStr">
        <is>
          <t>Paid</t>
        </is>
      </c>
      <c r="I29" s="8" t="inlineStr">
        <is>
          <t>2023 Job Detail Report.pdf (Sage Timberline, 04/03/2026, 285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$138,568.45 outstanding 9+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40" customWidth="1" min="3" max="3"/>
    <col width="18" customWidth="1" min="4" max="4"/>
    <col width="44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Variance drivers — rough-in labor &amp; mech-room material overruns offset by finish-material savings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Rough-in labor overrun</t>
        </is>
      </c>
      <c r="C7" s="5" t="inlineStr">
        <is>
          <t>120 Rough-in Labor</t>
        </is>
      </c>
      <c r="D7" s="15" t="n">
        <v>69026.5</v>
      </c>
      <c r="E7" s="5" t="inlineStr">
        <is>
          <t>Field productivity below estimate; 125 RFIs indicate coordination churn</t>
        </is>
      </c>
      <c r="F7" s="8" t="inlineStr">
        <is>
          <t>$69,026 over — largest labor variance driver</t>
        </is>
      </c>
    </row>
    <row r="8">
      <c r="B8" s="5" t="inlineStr">
        <is>
          <t>Gas / Water-Main / Mech labor overruns</t>
        </is>
      </c>
      <c r="C8" s="5" t="inlineStr">
        <is>
          <t>140, 141, 142, 143</t>
        </is>
      </c>
      <c r="D8" s="15" t="n">
        <v>42648.69</v>
      </c>
      <c r="E8" s="5" t="inlineStr">
        <is>
          <t>Scope growth in piping work</t>
        </is>
      </c>
      <c r="F8" s="8" t="inlineStr">
        <is>
          <t>Field supplemental scope</t>
        </is>
      </c>
    </row>
    <row r="9">
      <c r="B9" s="5" t="inlineStr">
        <is>
          <t>Finish &amp; Takeoff labor overruns</t>
        </is>
      </c>
      <c r="C9" s="5" t="inlineStr">
        <is>
          <t>101, 130</t>
        </is>
      </c>
      <c r="D9" s="15" t="n">
        <v>23503.5</v>
      </c>
      <c r="E9" s="5" t="inlineStr">
        <is>
          <t>Takeoff labor significantly over; finish labor modestly over</t>
        </is>
      </c>
      <c r="F9" s="8" t="inlineStr">
        <is>
          <t>Estimating gap</t>
        </is>
      </c>
    </row>
    <row r="10">
      <c r="B10" s="5" t="inlineStr">
        <is>
          <t>Garage labor under-run</t>
        </is>
      </c>
      <c r="C10" s="5" t="inlineStr">
        <is>
          <t>111</t>
        </is>
      </c>
      <c r="D10" s="15" t="n">
        <v>-38860.17999999999</v>
      </c>
      <c r="E10" s="5" t="inlineStr">
        <is>
          <t>Efficient garage/podium execution</t>
        </is>
      </c>
      <c r="F10" s="8" t="inlineStr">
        <is>
          <t>Savings</t>
        </is>
      </c>
    </row>
    <row r="11">
      <c r="B11" s="5" t="inlineStr">
        <is>
          <t>Other labor (small)</t>
        </is>
      </c>
      <c r="C11" s="5" t="inlineStr">
        <is>
          <t>100, 110, 112, 150</t>
        </is>
      </c>
      <c r="D11" s="15" t="n">
        <v>-2721.160000000002</v>
      </c>
      <c r="E11" s="5" t="inlineStr">
        <is>
          <t>Mixed</t>
        </is>
      </c>
      <c r="F11" s="8" t="inlineStr">
        <is>
          <t>Minor variances</t>
        </is>
      </c>
    </row>
    <row r="12">
      <c r="B12" s="5" t="inlineStr">
        <is>
          <t>Finish material savings</t>
        </is>
      </c>
      <c r="C12" s="5" t="inlineStr">
        <is>
          <t>230</t>
        </is>
      </c>
      <c r="D12" s="15" t="n">
        <v>-204203.17</v>
      </c>
      <c r="E12" s="5" t="inlineStr">
        <is>
          <t>Favorable procurement on fixtures/finish goods</t>
        </is>
      </c>
      <c r="F12" s="8" t="inlineStr">
        <is>
          <t>Primary material profit driver</t>
        </is>
      </c>
    </row>
    <row r="13">
      <c r="B13" s="5" t="inlineStr">
        <is>
          <t>Mech Room material overrun</t>
        </is>
      </c>
      <c r="C13" s="5" t="inlineStr">
        <is>
          <t>242 Mech Room Material</t>
        </is>
      </c>
      <c r="D13" s="15" t="n">
        <v>83058.69</v>
      </c>
      <c r="E13" s="5" t="inlineStr">
        <is>
          <t>Likely scope addition (CO-absorbed equipment)</t>
        </is>
      </c>
      <c r="F13" s="8" t="inlineStr">
        <is>
          <t>$83,059 over — 4-5x budget</t>
        </is>
      </c>
    </row>
    <row r="14">
      <c r="B14" s="5" t="inlineStr">
        <is>
          <t>UG/Garage/Canout material</t>
        </is>
      </c>
      <c r="C14" s="5" t="inlineStr">
        <is>
          <t>210, 211, 212</t>
        </is>
      </c>
      <c r="D14" s="15" t="n">
        <v>-67140.85000000001</v>
      </c>
      <c r="E14" s="5" t="inlineStr">
        <is>
          <t>Mixed: UG over, Garage/Canout under</t>
        </is>
      </c>
      <c r="F14" s="8" t="inlineStr">
        <is>
          <t>Net savings</t>
        </is>
      </c>
    </row>
    <row r="15">
      <c r="B15" s="5" t="inlineStr">
        <is>
          <t>Rough-in / Gas / Water material</t>
        </is>
      </c>
      <c r="C15" s="5" t="inlineStr">
        <is>
          <t>220, 240, 241</t>
        </is>
      </c>
      <c r="D15" s="15" t="n">
        <v>-69347.12</v>
      </c>
      <c r="E15" s="5" t="inlineStr">
        <is>
          <t>Rough-in under; gas/water close to budget</t>
        </is>
      </c>
      <c r="F15" s="8" t="inlineStr">
        <is>
          <t>Net savings</t>
        </is>
      </c>
    </row>
    <row r="16">
      <c r="B16" s="5" t="inlineStr">
        <is>
          <t>Burden / Tax accrual</t>
        </is>
      </c>
      <c r="C16" s="5" t="inlineStr">
        <is>
          <t>995, 998</t>
        </is>
      </c>
      <c r="D16" s="15" t="n">
        <v>54454.26999999998</v>
      </c>
      <c r="E16" s="5" t="inlineStr">
        <is>
          <t>Rate growth on higher labor base</t>
        </is>
      </c>
      <c r="F16" s="8" t="inlineStr">
        <is>
          <t>OWP internal</t>
        </is>
      </c>
    </row>
    <row r="17">
      <c r="B17" s="5" t="inlineStr">
        <is>
          <t>Support codes (600-607)</t>
        </is>
      </c>
      <c r="C17" s="5" t="inlineStr">
        <is>
          <t>600,601,602,603,607</t>
        </is>
      </c>
      <c r="D17" s="15" t="n">
        <v>-28092.43</v>
      </c>
      <c r="E17" s="5" t="inlineStr">
        <is>
          <t>Engineering + Other Expenses savings; small Subcontractor/Rental/Permit overruns</t>
        </is>
      </c>
      <c r="F17" s="8" t="inlineStr">
        <is>
          <t>Net savings</t>
        </is>
      </c>
    </row>
    <row r="18">
      <c r="B18" s="18" t="inlineStr">
        <is>
          <t>TOTAL NET VARIANCE (Rev Budget vs Actual)</t>
        </is>
      </c>
      <c r="D18" s="19">
        <f>SUM(D7:D17)</f>
        <v/>
      </c>
    </row>
    <row r="21">
      <c r="B21" s="3" t="inlineStr">
        <is>
          <t>RESPONSIBILITY ATTRIBUTION</t>
        </is>
      </c>
    </row>
    <row r="22">
      <c r="B22" s="13" t="inlineStr">
        <is>
          <t>Responsible Party</t>
        </is>
      </c>
      <c r="C22" s="13" t="inlineStr">
        <is>
          <t># Drivers</t>
        </is>
      </c>
      <c r="D22" s="13" t="inlineStr">
        <is>
          <t>Net $ Impact</t>
        </is>
      </c>
      <c r="E22" s="13" t="inlineStr">
        <is>
          <t>Notes</t>
        </is>
      </c>
    </row>
    <row r="23">
      <c r="B23" s="5" t="inlineStr">
        <is>
          <t>Sub (OWP) — rough-in productivity</t>
        </is>
      </c>
      <c r="C23" s="14" t="n">
        <v>1</v>
      </c>
      <c r="D23" s="15" t="n">
        <v>69026.5</v>
      </c>
      <c r="E23" s="5" t="inlineStr">
        <is>
          <t>$69,026 overrun in code 120</t>
        </is>
      </c>
    </row>
    <row r="24">
      <c r="B24" s="5" t="inlineStr">
        <is>
          <t>Sub (OWP) — piping/gas/mech labor</t>
        </is>
      </c>
      <c r="C24" s="14" t="n">
        <v>4</v>
      </c>
      <c r="D24" s="15" t="n">
        <v>42648.69</v>
      </c>
      <c r="E24" s="5" t="inlineStr">
        <is>
          <t>Gas/water-main/mech labor over budget</t>
        </is>
      </c>
    </row>
    <row r="25">
      <c r="B25" s="5" t="inlineStr">
        <is>
          <t>Sub (OWP) — procurement savings (finish)</t>
        </is>
      </c>
      <c r="C25" s="14" t="n">
        <v>1</v>
      </c>
      <c r="D25" s="15" t="n">
        <v>-204203.17</v>
      </c>
      <c r="E25" s="5" t="inlineStr">
        <is>
          <t>Finish material came in well under</t>
        </is>
      </c>
    </row>
    <row r="26">
      <c r="B26" s="5" t="inlineStr">
        <is>
          <t>Sub (OWP) — mech-room material risk</t>
        </is>
      </c>
      <c r="C26" s="14" t="n">
        <v>1</v>
      </c>
      <c r="D26" s="15" t="n">
        <v>83058.69</v>
      </c>
      <c r="E26" s="5" t="inlineStr">
        <is>
          <t>Major $ overrun — likely scope absorbed</t>
        </is>
      </c>
    </row>
    <row r="27">
      <c r="B27" s="5" t="inlineStr">
        <is>
          <t>Sub (OWP) — estimating discipline</t>
        </is>
      </c>
      <c r="C27" s="14" t="n">
        <v>4</v>
      </c>
      <c r="D27" s="15" t="n">
        <v>-311288.62</v>
      </c>
      <c r="E27" s="5" t="inlineStr">
        <is>
          <t>Mix of savings</t>
        </is>
      </c>
    </row>
    <row r="28">
      <c r="B28" s="5" t="inlineStr">
        <is>
          <t>Designer (VIA) / GC (RFI churn)</t>
        </is>
      </c>
      <c r="C28" s="14" t="n">
        <v>125</v>
      </c>
      <c r="D28" s="15" t="n">
        <v>0</v>
      </c>
      <c r="E28" s="5" t="inlineStr">
        <is>
          <t>125 ASI-RFIs — coordination cost absorbed in 120 labor</t>
        </is>
      </c>
    </row>
    <row r="29">
      <c r="B29" s="5" t="inlineStr">
        <is>
          <t>Burden rate — OWP internal</t>
        </is>
      </c>
      <c r="C29" s="14" t="n">
        <v>2</v>
      </c>
      <c r="D29" s="15" t="n">
        <v>54454.26999999998</v>
      </c>
      <c r="E29" s="5" t="inlineStr">
        <is>
          <t>Rate growth</t>
        </is>
      </c>
    </row>
    <row r="30">
      <c r="B30" s="5" t="inlineStr">
        <is>
          <t>Support codes — OWP</t>
        </is>
      </c>
      <c r="C30" s="14" t="n">
        <v>5</v>
      </c>
      <c r="D30" s="15" t="n">
        <v>-28092.43</v>
      </c>
      <c r="E30" s="5" t="inlineStr">
        <is>
          <t>Net 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2" customWidth="1" min="4" max="4"/>
    <col width="22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ASI-RFI Count</t>
        </is>
      </c>
      <c r="C7" s="14" t="n">
        <v>125</v>
      </c>
      <c r="D7" s="14" t="inlineStr">
        <is>
          <t>&lt;100 for mid-size MF</t>
        </is>
      </c>
      <c r="E7" s="29" t="inlineStr">
        <is>
          <t>ELEVATED</t>
        </is>
      </c>
      <c r="F7" s="5" t="inlineStr">
        <is>
          <t>125 ASI-RFIs — heavy coordination load</t>
        </is>
      </c>
    </row>
    <row r="8">
      <c r="B8" s="5" t="inlineStr">
        <is>
          <t>Submittal Count</t>
        </is>
      </c>
      <c r="C8" s="14" t="inlineStr">
        <is>
          <t>100+</t>
        </is>
      </c>
      <c r="D8" s="14" t="inlineStr">
        <is>
          <t>varies</t>
        </is>
      </c>
      <c r="E8" s="37" t="inlineStr">
        <is>
          <t>INFO</t>
        </is>
      </c>
      <c r="F8" s="5" t="inlineStr">
        <is>
          <t>Thorough submittal trail</t>
        </is>
      </c>
    </row>
    <row r="9">
      <c r="B9" s="5" t="inlineStr">
        <is>
          <t>ASI Count</t>
        </is>
      </c>
      <c r="C9" s="14" t="n">
        <v>7</v>
      </c>
      <c r="D9" s="14" t="inlineStr">
        <is>
          <t>&lt;10</t>
        </is>
      </c>
      <c r="E9" s="27" t="inlineStr">
        <is>
          <t>HEALTHY</t>
        </is>
      </c>
      <c r="F9" s="5" t="inlineStr">
        <is>
          <t>7 ASIs — moderate design changes</t>
        </is>
      </c>
    </row>
    <row r="10">
      <c r="B10" s="5" t="inlineStr">
        <is>
          <t>Documented CO Count</t>
        </is>
      </c>
      <c r="C10" s="14" t="n">
        <v>5</v>
      </c>
      <c r="D10" s="14" t="inlineStr">
        <is>
          <t>all on file</t>
        </is>
      </c>
      <c r="E10" s="29" t="inlineStr">
        <is>
          <t>ELEVATED</t>
        </is>
      </c>
      <c r="F10" s="5" t="inlineStr">
        <is>
          <t>Only 5 CO PDFs (image-only); CO# gap 11→19 suggests 6+ missing</t>
        </is>
      </c>
    </row>
    <row r="11">
      <c r="B11" s="5" t="inlineStr">
        <is>
          <t>Contract Growth %</t>
        </is>
      </c>
      <c r="C11" s="14" t="inlineStr">
        <is>
          <t>12.22%</t>
        </is>
      </c>
      <c r="D11" s="14" t="inlineStr">
        <is>
          <t>&lt;15%</t>
        </is>
      </c>
      <c r="E11" s="29" t="inlineStr">
        <is>
          <t>ELEVATED</t>
        </is>
      </c>
      <c r="F11" s="5" t="inlineStr">
        <is>
          <t>12.2% growth — meaningful scope changes</t>
        </is>
      </c>
    </row>
    <row r="12">
      <c r="B12" s="5" t="inlineStr">
        <is>
          <t>CO Value Traceability</t>
        </is>
      </c>
      <c r="C12" s="14" t="inlineStr">
        <is>
          <t>LOW</t>
        </is>
      </c>
      <c r="D12" s="14" t="inlineStr">
        <is>
          <t>all CO $ readable</t>
        </is>
      </c>
      <c r="E12" s="34" t="inlineStr">
        <is>
          <t>RISK</t>
        </is>
      </c>
      <c r="F12" s="5" t="inlineStr">
        <is>
          <t>CO PDFs image-only — individual $ values not machine-readable</t>
        </is>
      </c>
    </row>
    <row r="13">
      <c r="B13" s="5" t="inlineStr">
        <is>
          <t>Labor Hrs vs Budget</t>
        </is>
      </c>
      <c r="C13" s="14" t="inlineStr">
        <is>
          <t>33,107</t>
        </is>
      </c>
      <c r="D13" s="14" t="inlineStr">
        <is>
          <t>varies</t>
        </is>
      </c>
      <c r="E13" s="37" t="inlineStr">
        <is>
          <t>INFO</t>
        </is>
      </c>
      <c r="F13" s="5" t="inlineStr">
        <is>
          <t>33,107 hrs</t>
        </is>
      </c>
    </row>
    <row r="14">
      <c r="B14" s="5" t="inlineStr">
        <is>
          <t>Labor Cost % of Revenue</t>
        </is>
      </c>
      <c r="C14" s="38" t="n">
        <v>0.2535729994814837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25.4%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29" t="inlineStr">
        <is>
          <t>ELEVATED</t>
        </is>
      </c>
      <c r="F15" s="5" t="inlineStr">
        <is>
          <t>$138,568 open 9+ years</t>
        </is>
      </c>
    </row>
    <row r="16">
      <c r="B16" s="5" t="inlineStr">
        <is>
          <t>Worker Concentration (top 1)</t>
        </is>
      </c>
      <c r="C16" s="38" t="n">
        <v>0.05371975715105567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5.4% from single worker</t>
        </is>
      </c>
    </row>
    <row r="17">
      <c r="B17" s="5" t="inlineStr">
        <is>
          <t>Rough-in Labor Share</t>
        </is>
      </c>
      <c r="C17" s="38" t="n">
        <v>0.5365934696589845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54% on rough-in</t>
        </is>
      </c>
    </row>
    <row r="18">
      <c r="B18" s="5" t="inlineStr">
        <is>
          <t>Rough-in Budget Variance</t>
        </is>
      </c>
      <c r="C18" s="38" t="n">
        <v>0.2269884280344758</v>
      </c>
      <c r="D18" s="14" t="inlineStr">
        <is>
          <t>±10%</t>
        </is>
      </c>
      <c r="E18" s="29" t="inlineStr">
        <is>
          <t>ELEVATED</t>
        </is>
      </c>
      <c r="F18" s="5" t="inlineStr">
        <is>
          <t>22.7% over</t>
        </is>
      </c>
    </row>
    <row r="19">
      <c r="B19" s="5" t="inlineStr">
        <is>
          <t>Mech Room Material Variance</t>
        </is>
      </c>
      <c r="C19" s="38" t="n">
        <v>3.691497333333333</v>
      </c>
      <c r="D19" s="14" t="inlineStr">
        <is>
          <t>±10%</t>
        </is>
      </c>
      <c r="E19" s="34" t="inlineStr">
        <is>
          <t>RISK</t>
        </is>
      </c>
      <c r="F19" s="5" t="inlineStr">
        <is>
          <t>369% over</t>
        </is>
      </c>
    </row>
    <row r="20">
      <c r="B20" s="5" t="inlineStr">
        <is>
          <t>PO Volume</t>
        </is>
      </c>
      <c r="C20" s="14" t="n">
        <v>180</v>
      </c>
      <c r="D20" s="14" t="inlineStr">
        <is>
          <t>&gt;100 for large MF</t>
        </is>
      </c>
      <c r="E20" s="27" t="inlineStr">
        <is>
          <t>HEALTHY</t>
        </is>
      </c>
      <c r="F20" s="5" t="inlineStr">
        <is>
          <t>180+ POs — tight procurement</t>
        </is>
      </c>
    </row>
    <row r="21">
      <c r="B21" s="5" t="inlineStr">
        <is>
          <t>Document Completeness</t>
        </is>
      </c>
      <c r="C21" s="14" t="inlineStr">
        <is>
          <t>HIGH (with CO caveat)</t>
        </is>
      </c>
      <c r="D21" s="14" t="inlineStr">
        <is>
          <t>Full CO/RFI/Submittal trail</t>
        </is>
      </c>
      <c r="E21" s="29" t="inlineStr">
        <is>
          <t>ELEVATED</t>
        </is>
      </c>
      <c r="F21" s="5" t="inlineStr">
        <is>
          <t>Contract, RFIs, Submittals, POs, Bid Sheet complete; CO PDFs image-only + folder gap</t>
        </is>
      </c>
    </row>
    <row r="24">
      <c r="B24" s="3" t="inlineStr">
        <is>
          <t>FORECAST MODELS</t>
        </is>
      </c>
    </row>
    <row r="25">
      <c r="B25" s="13" t="inlineStr">
        <is>
          <t>Forecast</t>
        </is>
      </c>
      <c r="C25" s="13" t="inlineStr">
        <is>
          <t>Current Estimate</t>
        </is>
      </c>
      <c r="D25" s="13" t="inlineStr">
        <is>
          <t>Confidence</t>
        </is>
      </c>
      <c r="E25" s="13" t="inlineStr">
        <is>
          <t>Driver</t>
        </is>
      </c>
      <c r="F25" s="13" t="inlineStr">
        <is>
          <t>Model Note</t>
        </is>
      </c>
    </row>
    <row r="26">
      <c r="B26" s="5" t="inlineStr">
        <is>
          <t>Final margin (actual)</t>
        </is>
      </c>
      <c r="C26" s="38" t="n">
        <v>0.3240375280231539</v>
      </c>
      <c r="D26" s="14" t="inlineStr">
        <is>
          <t>Actual</t>
        </is>
      </c>
      <c r="E26" s="14" t="inlineStr">
        <is>
          <t>Job closed</t>
        </is>
      </c>
      <c r="F26" s="5" t="inlineStr">
        <is>
          <t>32.4% — strong</t>
        </is>
      </c>
    </row>
    <row r="27">
      <c r="B27" s="5" t="inlineStr">
        <is>
          <t>Retainage collection probability</t>
        </is>
      </c>
      <c r="C27" s="14" t="inlineStr">
        <is>
          <t>LOW (very stale)</t>
        </is>
      </c>
      <c r="D27" s="14" t="inlineStr">
        <is>
          <t>Qualitative</t>
        </is>
      </c>
      <c r="E27" s="14" t="inlineStr">
        <is>
          <t>9+ years outstanding</t>
        </is>
      </c>
      <c r="F27" s="5" t="inlineStr">
        <is>
          <t>Likely requires AR write-off or dispute resolution</t>
        </is>
      </c>
    </row>
    <row r="28">
      <c r="B28" s="5" t="inlineStr">
        <is>
          <t>Composite risk score (0-100)</t>
        </is>
      </c>
      <c r="C28" s="14" t="n">
        <v>40</v>
      </c>
      <c r="D28" s="14" t="inlineStr">
        <is>
          <t>Medium</t>
        </is>
      </c>
      <c r="E28" s="14" t="inlineStr">
        <is>
          <t>Stale retainage + CO doc gap + mech-room variance; financials strong</t>
        </is>
      </c>
      <c r="F28" s="5" t="inlineStr">
        <is>
          <t>Financials strong; docs mostly strong but CO image-only</t>
        </is>
      </c>
    </row>
    <row r="29">
      <c r="B29" s="5" t="inlineStr">
        <is>
          <t>Would re-bid margin target</t>
        </is>
      </c>
      <c r="C29" s="14" t="inlineStr">
        <is>
          <t>≥32%</t>
        </is>
      </c>
      <c r="D29" s="14" t="inlineStr">
        <is>
          <t>Derived</t>
        </is>
      </c>
      <c r="E29" s="14" t="inlineStr">
        <is>
          <t>Historical close</t>
        </is>
      </c>
      <c r="F29" s="5" t="inlineStr">
        <is>
          <t>Assumes similar scope; tighten 120 rough-in and 242 mech-room estimating</t>
        </is>
      </c>
    </row>
    <row r="30">
      <c r="B30" s="5" t="inlineStr">
        <is>
          <t>Unit-level economics</t>
        </is>
      </c>
      <c r="C30" s="14" t="inlineStr">
        <is>
          <t>$11,499/unit rev, $3,726/unit profit</t>
        </is>
      </c>
      <c r="D30" s="14" t="inlineStr">
        <is>
          <t>Verified</t>
        </is>
      </c>
      <c r="E30" s="14" t="inlineStr">
        <is>
          <t>241 units</t>
        </is>
      </c>
      <c r="F30" s="5" t="inlineStr">
        <is>
          <t>Benchmark for future large MF bids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2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2023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2023 Job Detail Report.pdf (Sage Timberline, 04/03/2026, 285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Chinn, Legacy Apts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2023 Job Detail Report.pdf (Sage Timberline, 04/03/2026, 285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Legacy @ Mercer Island Apts (Hadley)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Legacy contract OCR_d.pdf (Chinn↔OWP subcontract, Lump Sum $2,469,500)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Chinn Construction, LLC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Legacy contract OCR_d.pdf (Chinn↔OWP subcontract, Lump Sum $2,469,500)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2023CC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2023 Job Detail Report.pdf (Sage Timberline, 04/03/2026, 285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Hadley Improvements Owner, LLC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Legacy contract OCR_d.pdf (Chinn↔OWP subcontract, Lump Sum $2,469,500)</t>
        </is>
      </c>
    </row>
    <row r="12">
      <c r="B12" s="14" t="n">
        <v>7</v>
      </c>
      <c r="C12" s="5" t="inlineStr">
        <is>
          <t>architect</t>
        </is>
      </c>
      <c r="D12" s="5" t="inlineStr">
        <is>
          <t>Architect</t>
        </is>
      </c>
      <c r="E12" s="14" t="inlineStr">
        <is>
          <t>VIA Architecture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ASI-RFI</t>
        </is>
      </c>
    </row>
    <row r="13">
      <c r="B13" s="14" t="n">
        <v>8</v>
      </c>
      <c r="C13" s="5" t="inlineStr">
        <is>
          <t>location</t>
        </is>
      </c>
      <c r="D13" s="5" t="inlineStr">
        <is>
          <t>Location</t>
        </is>
      </c>
      <c r="E13" s="14" t="inlineStr">
        <is>
          <t>2601 76th Ave SE, Mercer Island WA 98040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Legacy contract OCR_d.pdf (Chinn↔OWP subcontract, Lump Sum $2,469,500)</t>
        </is>
      </c>
    </row>
    <row r="14">
      <c r="B14" s="14" t="n">
        <v>9</v>
      </c>
      <c r="C14" s="5" t="inlineStr">
        <is>
          <t>project_type</t>
        </is>
      </c>
      <c r="D14" s="5" t="inlineStr">
        <is>
          <t>Project Type</t>
        </is>
      </c>
      <c r="E14" s="14" t="inlineStr">
        <is>
          <t>Multifamily Plumbing (241 units)</t>
        </is>
      </c>
      <c r="F14" s="14" t="inlineStr">
        <is>
          <t>text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Chinn Legacy Mercer Island Sept 9 2014.xlsx</t>
        </is>
      </c>
    </row>
    <row r="15">
      <c r="B15" s="14" t="n">
        <v>10</v>
      </c>
      <c r="C15" s="5" t="inlineStr">
        <is>
          <t>start_date</t>
        </is>
      </c>
      <c r="D15" s="5" t="inlineStr">
        <is>
          <t>Work Start</t>
        </is>
      </c>
      <c r="E15" s="14" t="inlineStr">
        <is>
          <t>2015-01-19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2023 Job Detail Report.pdf (Sage Timberline, 04/03/2026, 285 pages)</t>
        </is>
      </c>
    </row>
    <row r="16">
      <c r="B16" s="14" t="n">
        <v>11</v>
      </c>
      <c r="C16" s="5" t="inlineStr">
        <is>
          <t>end_date</t>
        </is>
      </c>
      <c r="D16" s="5" t="inlineStr">
        <is>
          <t>Work End</t>
        </is>
      </c>
      <c r="E16" s="14" t="inlineStr">
        <is>
          <t>2016-12-15</t>
        </is>
      </c>
      <c r="F16" s="14" t="inlineStr">
        <is>
          <t>date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2023 Job Detail Report.pdf (Sage Timberline, 04/03/2026, 285 pages)</t>
        </is>
      </c>
    </row>
    <row r="17">
      <c r="B17" s="14" t="n">
        <v>12</v>
      </c>
      <c r="C17" s="5" t="inlineStr">
        <is>
          <t>duration_months</t>
        </is>
      </c>
      <c r="D17" s="5" t="inlineStr">
        <is>
          <t>Duration (months)</t>
        </is>
      </c>
      <c r="E17" s="31" t="n">
        <v>23</v>
      </c>
      <c r="F17" s="14" t="inlineStr">
        <is>
          <t>months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Derived</t>
        </is>
      </c>
    </row>
    <row r="18">
      <c r="B18" s="14" t="n">
        <v>13</v>
      </c>
      <c r="C18" s="5" t="inlineStr">
        <is>
          <t>unit_count</t>
        </is>
      </c>
      <c r="D18" s="5" t="inlineStr">
        <is>
          <t>Unit Count</t>
        </is>
      </c>
      <c r="E18" s="32" t="n">
        <v>241</v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Chinn Legacy Mercer Island Sept 9 2014.xlsx</t>
        </is>
      </c>
    </row>
    <row r="19">
      <c r="B19" s="14" t="n">
        <v>14</v>
      </c>
      <c r="C19" s="5" t="inlineStr">
        <is>
          <t>ada_units</t>
        </is>
      </c>
      <c r="D19" s="5" t="inlineStr">
        <is>
          <t>ADA Type A Units</t>
        </is>
      </c>
      <c r="E19" s="32" t="n">
        <v>11</v>
      </c>
      <c r="F19" s="14" t="inlineStr">
        <is>
          <t>units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Chinn Legacy Mercer Island Sept 9 2014.xlsx</t>
        </is>
      </c>
    </row>
    <row r="20">
      <c r="B20" s="14" t="n">
        <v>15</v>
      </c>
      <c r="C20" s="5" t="inlineStr">
        <is>
          <t>wc_count</t>
        </is>
      </c>
      <c r="D20" s="5" t="inlineStr">
        <is>
          <t>WC Fixture Count</t>
        </is>
      </c>
      <c r="E20" s="32" t="n">
        <v>244</v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Chinn Legacy Mercer Island Sept 9 2014.xlsx</t>
        </is>
      </c>
    </row>
    <row r="21">
      <c r="B21" s="14" t="n">
        <v>16</v>
      </c>
      <c r="C21" s="5" t="inlineStr">
        <is>
          <t>lav_count</t>
        </is>
      </c>
      <c r="D21" s="5" t="inlineStr">
        <is>
          <t>Lavatory Count</t>
        </is>
      </c>
      <c r="E21" s="32" t="n">
        <v>244</v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Chinn Legacy Mercer Island Sept 9 2014.xlsx</t>
        </is>
      </c>
    </row>
    <row r="22">
      <c r="B22" s="14" t="n">
        <v>17</v>
      </c>
      <c r="C22" s="5" t="inlineStr">
        <is>
          <t>bath_count</t>
        </is>
      </c>
      <c r="D22" s="5" t="inlineStr">
        <is>
          <t>Bathing Fixture Count</t>
        </is>
      </c>
      <c r="E22" s="32" t="n">
        <v>241</v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Chinn Legacy Mercer Island Sept 9 2014.xlsx</t>
        </is>
      </c>
    </row>
    <row r="23">
      <c r="B23" s="14" t="n">
        <v>18</v>
      </c>
      <c r="C23" s="5" t="inlineStr">
        <is>
          <t>ks_count</t>
        </is>
      </c>
      <c r="D23" s="5" t="inlineStr">
        <is>
          <t>Kitchen Sink Count</t>
        </is>
      </c>
      <c r="E23" s="32" t="n">
        <v>211</v>
      </c>
      <c r="F23" s="14" t="inlineStr">
        <is>
          <t>count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Chinn Legacy Mercer Island Sept 9 2014.xlsx</t>
        </is>
      </c>
    </row>
    <row r="24">
      <c r="B24" s="14" t="n">
        <v>19</v>
      </c>
      <c r="C24" s="5" t="inlineStr">
        <is>
          <t>hose_bibs</t>
        </is>
      </c>
      <c r="D24" s="5" t="inlineStr">
        <is>
          <t>Hose Bibs</t>
        </is>
      </c>
      <c r="E24" s="32" t="n">
        <v>31</v>
      </c>
      <c r="F24" s="14" t="inlineStr">
        <is>
          <t>count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Chinn Legacy Mercer Island Sept 9 2014.xlsx</t>
        </is>
      </c>
    </row>
    <row r="25">
      <c r="B25" s="14" t="n">
        <v>20</v>
      </c>
      <c r="C25" s="5" t="inlineStr">
        <is>
          <t>water_heaters</t>
        </is>
      </c>
      <c r="D25" s="5" t="inlineStr">
        <is>
          <t>Water Heaters</t>
        </is>
      </c>
      <c r="E25" s="32" t="n">
        <v>4</v>
      </c>
      <c r="F25" s="14" t="inlineStr">
        <is>
          <t>count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Chinn Legacy Mercer Island Sept 9 2014.xlsx</t>
        </is>
      </c>
    </row>
    <row r="26">
      <c r="B26" s="14" t="n">
        <v>21</v>
      </c>
      <c r="C26" s="5" t="inlineStr">
        <is>
          <t>roof_drains</t>
        </is>
      </c>
      <c r="D26" s="5" t="inlineStr">
        <is>
          <t>Roof Drains</t>
        </is>
      </c>
      <c r="E26" s="32" t="n">
        <v>17</v>
      </c>
      <c r="F26" s="14" t="inlineStr">
        <is>
          <t>count</t>
        </is>
      </c>
      <c r="G26" s="14" t="inlineStr">
        <is>
          <t>Benchmark KPIs</t>
        </is>
      </c>
      <c r="H26" s="27" t="inlineStr">
        <is>
          <t>Verified</t>
        </is>
      </c>
      <c r="I26" s="5" t="inlineStr">
        <is>
          <t>Chinn Legacy Mercer Island Sept 9 2014.xlsx</t>
        </is>
      </c>
    </row>
    <row r="27">
      <c r="B27" s="14" t="n">
        <v>22</v>
      </c>
      <c r="C27" s="5" t="inlineStr">
        <is>
          <t>contract_original</t>
        </is>
      </c>
      <c r="D27" s="5" t="inlineStr">
        <is>
          <t>Contract Original</t>
        </is>
      </c>
      <c r="E27" s="33" t="n">
        <v>2469500</v>
      </c>
      <c r="F27" s="14" t="inlineStr">
        <is>
          <t>USD</t>
        </is>
      </c>
      <c r="G27" s="14" t="inlineStr">
        <is>
          <t>Benchmark KPIs</t>
        </is>
      </c>
      <c r="H27" s="27" t="inlineStr">
        <is>
          <t>Verified</t>
        </is>
      </c>
      <c r="I27" s="5" t="inlineStr">
        <is>
          <t>Legacy contract OCR_d.pdf (Chinn↔OWP subcontract, Lump Sum $2,469,500)</t>
        </is>
      </c>
    </row>
    <row r="28">
      <c r="B28" s="14" t="n">
        <v>23</v>
      </c>
      <c r="C28" s="5" t="inlineStr">
        <is>
          <t>contract_final</t>
        </is>
      </c>
      <c r="D28" s="5" t="inlineStr">
        <is>
          <t>Contract Final</t>
        </is>
      </c>
      <c r="E28" s="33" t="n">
        <v>2771369</v>
      </c>
      <c r="F28" s="14" t="inlineStr">
        <is>
          <t>USD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2023 Job Detail Report.pdf (Sage Timberline, 04/03/2026, 285 pages)</t>
        </is>
      </c>
    </row>
    <row r="29">
      <c r="B29" s="14" t="n">
        <v>24</v>
      </c>
      <c r="C29" s="5" t="inlineStr">
        <is>
          <t>change_orders_implied</t>
        </is>
      </c>
      <c r="D29" s="5" t="inlineStr">
        <is>
          <t>COs (implied)</t>
        </is>
      </c>
      <c r="E29" s="33" t="n">
        <v>301869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2023 Job Detail Report.pdf (Sage Timberline, 04/03/2026, 285 pages)</t>
        </is>
      </c>
    </row>
    <row r="30">
      <c r="B30" s="14" t="n">
        <v>25</v>
      </c>
      <c r="C30" s="5" t="inlineStr">
        <is>
          <t>co_count</t>
        </is>
      </c>
      <c r="D30" s="5" t="inlineStr">
        <is>
          <t>CO Count (documented)</t>
        </is>
      </c>
      <c r="E30" s="32" t="n">
        <v>5</v>
      </c>
      <c r="F30" s="14" t="inlineStr">
        <is>
          <t>count</t>
        </is>
      </c>
      <c r="G30" s="14" t="inlineStr">
        <is>
          <t>Change Log</t>
        </is>
      </c>
      <c r="H30" s="27" t="inlineStr">
        <is>
          <t>Verified</t>
        </is>
      </c>
      <c r="I30" s="5" t="inlineStr">
        <is>
          <t>CO folder</t>
        </is>
      </c>
    </row>
    <row r="31">
      <c r="B31" s="14" t="n">
        <v>26</v>
      </c>
      <c r="C31" s="5" t="inlineStr">
        <is>
          <t>co_pct</t>
        </is>
      </c>
      <c r="D31" s="5" t="inlineStr">
        <is>
          <t>CO % of Contract</t>
        </is>
      </c>
      <c r="E31" s="35" t="n">
        <v>0.1222389147600729</v>
      </c>
      <c r="F31" s="14" t="inlineStr">
        <is>
          <t>%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revenue</t>
        </is>
      </c>
      <c r="D32" s="5" t="inlineStr">
        <is>
          <t>Revenue</t>
        </is>
      </c>
      <c r="E32" s="33" t="n">
        <v>2771369</v>
      </c>
      <c r="F32" s="14" t="inlineStr">
        <is>
          <t>USD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2023 Job Detail Report.pdf (Sage Timberline, 04/03/2026, 285 pages)</t>
        </is>
      </c>
    </row>
    <row r="33">
      <c r="B33" s="14" t="n">
        <v>28</v>
      </c>
      <c r="C33" s="5" t="inlineStr">
        <is>
          <t>direct_cost</t>
        </is>
      </c>
      <c r="D33" s="5" t="inlineStr">
        <is>
          <t>Direct Cost</t>
        </is>
      </c>
      <c r="E33" s="33" t="n">
        <v>1873341.44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2023 Job Detail Report.pdf (Sage Timberline, 04/03/2026, 285 pages)</t>
        </is>
      </c>
    </row>
    <row r="34">
      <c r="B34" s="14" t="n">
        <v>29</v>
      </c>
      <c r="C34" s="5" t="inlineStr">
        <is>
          <t>net_profit</t>
        </is>
      </c>
      <c r="D34" s="5" t="inlineStr">
        <is>
          <t>Net Profit</t>
        </is>
      </c>
      <c r="E34" s="33" t="n">
        <v>898027.5600000001</v>
      </c>
      <c r="F34" s="14" t="inlineStr">
        <is>
          <t>USD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2023 Job Detail Report.pdf (Sage Timberline, 04/03/2026, 285 pages)</t>
        </is>
      </c>
    </row>
    <row r="35">
      <c r="B35" s="14" t="n">
        <v>30</v>
      </c>
      <c r="C35" s="5" t="inlineStr">
        <is>
          <t>gross_margin</t>
        </is>
      </c>
      <c r="D35" s="5" t="inlineStr">
        <is>
          <t>Gross Margin</t>
        </is>
      </c>
      <c r="E35" s="35" t="n">
        <v>0.3240375280231539</v>
      </c>
      <c r="F35" s="14" t="inlineStr">
        <is>
          <t>%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Derived</t>
        </is>
      </c>
    </row>
    <row r="36">
      <c r="B36" s="14" t="n">
        <v>31</v>
      </c>
      <c r="C36" s="5" t="inlineStr">
        <is>
          <t>retainage</t>
        </is>
      </c>
      <c r="D36" s="5" t="inlineStr">
        <is>
          <t>Retainage Outstanding</t>
        </is>
      </c>
      <c r="E36" s="33" t="n">
        <v>138568.45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2023 Job Detail Report.pdf (Sage Timberline, 04/03/2026, 285 pages)</t>
        </is>
      </c>
    </row>
    <row r="37">
      <c r="B37" s="14" t="n">
        <v>32</v>
      </c>
      <c r="C37" s="5" t="inlineStr">
        <is>
          <t>retainage_pct</t>
        </is>
      </c>
      <c r="D37" s="5" t="inlineStr">
        <is>
          <t>Retainage % of Revenue</t>
        </is>
      </c>
      <c r="E37" s="35" t="n">
        <v>0.05</v>
      </c>
      <c r="F37" s="14" t="inlineStr">
        <is>
          <t>%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Derived</t>
        </is>
      </c>
    </row>
    <row r="38">
      <c r="B38" s="14" t="n">
        <v>33</v>
      </c>
      <c r="C38" s="5" t="inlineStr">
        <is>
          <t>labor_cost</t>
        </is>
      </c>
      <c r="D38" s="5" t="inlineStr">
        <is>
          <t>Labor Cost</t>
        </is>
      </c>
      <c r="E38" s="33" t="n">
        <v>702744.3500000001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2023 Job Detail Report.pdf (Sage Timberline, 04/03/2026, 285 pages)</t>
        </is>
      </c>
    </row>
    <row r="39">
      <c r="B39" s="14" t="n">
        <v>34</v>
      </c>
      <c r="C39" s="5" t="inlineStr">
        <is>
          <t>material_cost</t>
        </is>
      </c>
      <c r="D39" s="5" t="inlineStr">
        <is>
          <t>Material Cost</t>
        </is>
      </c>
      <c r="E39" s="33" t="n">
        <v>725504.8200000001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2023 Job Detail Report.pdf (Sage Timberline, 04/03/2026, 285 pages)</t>
        </is>
      </c>
    </row>
    <row r="40">
      <c r="B40" s="14" t="n">
        <v>35</v>
      </c>
      <c r="C40" s="5" t="inlineStr">
        <is>
          <t>overhead_cost</t>
        </is>
      </c>
      <c r="D40" s="5" t="inlineStr">
        <is>
          <t>Subcon+OH Cost</t>
        </is>
      </c>
      <c r="E40" s="33" t="n">
        <v>78439.57000000001</v>
      </c>
      <c r="F40" s="14" t="inlineStr">
        <is>
          <t>USD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2023 Job Detail Report.pdf (Sage Timberline, 04/03/2026, 285 pages)</t>
        </is>
      </c>
    </row>
    <row r="41">
      <c r="B41" s="14" t="n">
        <v>36</v>
      </c>
      <c r="C41" s="5" t="inlineStr">
        <is>
          <t>burden_cost</t>
        </is>
      </c>
      <c r="D41" s="5" t="inlineStr">
        <is>
          <t>Burden Cost</t>
        </is>
      </c>
      <c r="E41" s="33" t="n">
        <v>312024.89</v>
      </c>
      <c r="F41" s="14" t="inlineStr">
        <is>
          <t>USD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2023 Job Detail Report.pdf (Sage Timberline, 04/03/2026, 285 pages)</t>
        </is>
      </c>
    </row>
    <row r="42">
      <c r="B42" s="14" t="n">
        <v>37</v>
      </c>
      <c r="C42" s="5" t="inlineStr">
        <is>
          <t>tax_cost</t>
        </is>
      </c>
      <c r="D42" s="5" t="inlineStr">
        <is>
          <t>Tax Cost</t>
        </is>
      </c>
      <c r="E42" s="33" t="n">
        <v>54627.81</v>
      </c>
      <c r="F42" s="14" t="inlineStr">
        <is>
          <t>USD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2023 Job Detail Report.pdf (Sage Timberline, 04/03/2026, 285 pages)</t>
        </is>
      </c>
    </row>
    <row r="43">
      <c r="B43" s="14" t="n">
        <v>38</v>
      </c>
      <c r="C43" s="5" t="inlineStr">
        <is>
          <t>total_hours</t>
        </is>
      </c>
      <c r="D43" s="5" t="inlineStr">
        <is>
          <t>Total Labor Hours</t>
        </is>
      </c>
      <c r="E43" s="31" t="n">
        <v>33107</v>
      </c>
      <c r="F43" s="14" t="inlineStr">
        <is>
          <t>hours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2023 Job Detail Report.pdf (Sage Timberline, 04/03/2026, 285 pages)</t>
        </is>
      </c>
    </row>
    <row r="44">
      <c r="B44" s="14" t="n">
        <v>39</v>
      </c>
      <c r="C44" s="5" t="inlineStr">
        <is>
          <t>total_workers</t>
        </is>
      </c>
      <c r="D44" s="5" t="inlineStr">
        <is>
          <t>Total Workers</t>
        </is>
      </c>
      <c r="E44" s="32" t="n">
        <v>52</v>
      </c>
      <c r="F44" s="14" t="inlineStr">
        <is>
          <t>count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2023 Job Detail Report.pdf (Sage Timberline, 04/03/2026, 285 pages)</t>
        </is>
      </c>
    </row>
    <row r="45">
      <c r="B45" s="14" t="n">
        <v>40</v>
      </c>
      <c r="C45" s="5" t="inlineStr">
        <is>
          <t>blended_gross_wage</t>
        </is>
      </c>
      <c r="D45" s="5" t="inlineStr">
        <is>
          <t>Blended Gross Wage</t>
        </is>
      </c>
      <c r="E45" s="33" t="n">
        <v>21.22645815084423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fully_loaded_wage</t>
        </is>
      </c>
      <c r="D46" s="5" t="inlineStr">
        <is>
          <t>Fully-Loaded Wage</t>
        </is>
      </c>
      <c r="E46" s="33" t="n">
        <v>32.3012368985411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burden_multiplier</t>
        </is>
      </c>
      <c r="D47" s="5" t="inlineStr">
        <is>
          <t>Burden Multiplier</t>
        </is>
      </c>
      <c r="E47" s="36" t="n">
        <v>1.521744073787288</v>
      </c>
      <c r="F47" s="14" t="inlineStr">
        <is>
          <t>x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revenue_per_hour</t>
        </is>
      </c>
      <c r="D48" s="5" t="inlineStr">
        <is>
          <t>Revenue per Hour</t>
        </is>
      </c>
      <c r="E48" s="33" t="n">
        <v>83.70945721448636</v>
      </c>
      <c r="F48" s="14" t="inlineStr">
        <is>
          <t>USD/hr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profit_per_hour</t>
        </is>
      </c>
      <c r="D49" s="5" t="inlineStr">
        <is>
          <t>Profit per Hour</t>
        </is>
      </c>
      <c r="E49" s="33" t="n">
        <v>27.12500558794213</v>
      </c>
      <c r="F49" s="14" t="inlineStr">
        <is>
          <t>USD/hr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revenue_per_unit</t>
        </is>
      </c>
      <c r="D50" s="5" t="inlineStr">
        <is>
          <t>Revenue per Unit</t>
        </is>
      </c>
      <c r="E50" s="33" t="n">
        <v>11499.45643153527</v>
      </c>
      <c r="F50" s="14" t="inlineStr">
        <is>
          <t>USD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cost_per_unit</t>
        </is>
      </c>
      <c r="D51" s="5" t="inlineStr">
        <is>
          <t>Direct Cost per Unit</t>
        </is>
      </c>
      <c r="E51" s="33" t="n">
        <v>7773.200995850622</v>
      </c>
      <c r="F51" s="14" t="inlineStr">
        <is>
          <t>USD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hours_per_unit</t>
        </is>
      </c>
      <c r="D52" s="5" t="inlineStr">
        <is>
          <t>Labor Hours per Unit</t>
        </is>
      </c>
      <c r="E52" s="31" t="n">
        <v>137.3734439834025</v>
      </c>
      <c r="F52" s="14" t="inlineStr">
        <is>
          <t>hours</t>
        </is>
      </c>
      <c r="G52" s="14" t="inlineStr">
        <is>
          <t>Benchmark KPIs</t>
        </is>
      </c>
      <c r="H52" s="27" t="inlineStr">
        <is>
          <t>Verified</t>
        </is>
      </c>
      <c r="I52" s="5" t="inlineStr">
        <is>
          <t>Derived</t>
        </is>
      </c>
    </row>
    <row r="53">
      <c r="B53" s="14" t="n">
        <v>48</v>
      </c>
      <c r="C53" s="5" t="inlineStr">
        <is>
          <t>labor_pct_revenue</t>
        </is>
      </c>
      <c r="D53" s="5" t="inlineStr">
        <is>
          <t>Labor % of Revenue</t>
        </is>
      </c>
      <c r="E53" s="35" t="n">
        <v>0.2535729994814837</v>
      </c>
      <c r="F53" s="14" t="inlineStr">
        <is>
          <t>%</t>
        </is>
      </c>
      <c r="G53" s="14" t="inlineStr">
        <is>
          <t>Benchmark KPIs</t>
        </is>
      </c>
      <c r="H53" s="27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material_pct_revenue</t>
        </is>
      </c>
      <c r="D54" s="5" t="inlineStr">
        <is>
          <t>Material % of Revenue</t>
        </is>
      </c>
      <c r="E54" s="35" t="n">
        <v>0.2617857167342206</v>
      </c>
      <c r="F54" s="14" t="inlineStr">
        <is>
          <t>%</t>
        </is>
      </c>
      <c r="G54" s="14" t="inlineStr">
        <is>
          <t>Benchmark KPIs</t>
        </is>
      </c>
      <c r="H54" s="27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total_vendors</t>
        </is>
      </c>
      <c r="D55" s="5" t="inlineStr">
        <is>
          <t>Total Vendors (AP)</t>
        </is>
      </c>
      <c r="E55" s="32" t="n">
        <v>32</v>
      </c>
      <c r="F55" s="14" t="inlineStr">
        <is>
          <t>count</t>
        </is>
      </c>
      <c r="G55" s="14" t="inlineStr">
        <is>
          <t>Vendors</t>
        </is>
      </c>
      <c r="H55" s="27" t="inlineStr">
        <is>
          <t>Verified</t>
        </is>
      </c>
      <c r="I55" s="5" t="inlineStr">
        <is>
          <t>2023 Job Detail Report.pdf (Sage Timberline, 04/03/2026, 285 pages)</t>
        </is>
      </c>
    </row>
    <row r="56">
      <c r="B56" s="14" t="n">
        <v>51</v>
      </c>
      <c r="C56" s="5" t="inlineStr">
        <is>
          <t>total_invoices</t>
        </is>
      </c>
      <c r="D56" s="5" t="inlineStr">
        <is>
          <t>Total Invoices (AR)</t>
        </is>
      </c>
      <c r="E56" s="32" t="n">
        <v>25</v>
      </c>
      <c r="F56" s="14" t="inlineStr">
        <is>
          <t>count</t>
        </is>
      </c>
      <c r="G56" s="14" t="inlineStr">
        <is>
          <t>Billing &amp; SOV</t>
        </is>
      </c>
      <c r="H56" s="27" t="inlineStr">
        <is>
          <t>Verified</t>
        </is>
      </c>
      <c r="I56" s="5" t="inlineStr">
        <is>
          <t>2023 Job Detail Report.pdf (Sage Timberline, 04/03/2026, 285 pages)</t>
        </is>
      </c>
    </row>
    <row r="57">
      <c r="B57" s="14" t="n">
        <v>52</v>
      </c>
      <c r="C57" s="5" t="inlineStr">
        <is>
          <t>rfi_count</t>
        </is>
      </c>
      <c r="D57" s="5" t="inlineStr">
        <is>
          <t>ASI-RFI Count</t>
        </is>
      </c>
      <c r="E57" s="32" t="n">
        <v>125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ASI-RFI folder</t>
        </is>
      </c>
    </row>
    <row r="58">
      <c r="B58" s="14" t="n">
        <v>53</v>
      </c>
      <c r="C58" s="5" t="inlineStr">
        <is>
          <t>asi_count</t>
        </is>
      </c>
      <c r="D58" s="5" t="inlineStr">
        <is>
          <t>ASI Count</t>
        </is>
      </c>
      <c r="E58" s="32" t="n">
        <v>7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ASI-RFI folder</t>
        </is>
      </c>
    </row>
    <row r="59">
      <c r="B59" s="14" t="n">
        <v>54</v>
      </c>
      <c r="C59" s="5" t="inlineStr">
        <is>
          <t>submittal_count</t>
        </is>
      </c>
      <c r="D59" s="5" t="inlineStr">
        <is>
          <t>Submittal Count (≥)</t>
        </is>
      </c>
      <c r="E59" s="32" t="n">
        <v>100</v>
      </c>
      <c r="F59" s="14" t="inlineStr">
        <is>
          <t>count</t>
        </is>
      </c>
      <c r="G59" s="14" t="inlineStr">
        <is>
          <t>Change Log</t>
        </is>
      </c>
      <c r="H59" s="29" t="inlineStr">
        <is>
          <t>Medium</t>
        </is>
      </c>
      <c r="I59" s="5" t="inlineStr">
        <is>
          <t>Submittals folders</t>
        </is>
      </c>
    </row>
    <row r="60">
      <c r="B60" s="14" t="n">
        <v>55</v>
      </c>
      <c r="C60" s="5" t="inlineStr">
        <is>
          <t>po_count</t>
        </is>
      </c>
      <c r="D60" s="5" t="inlineStr">
        <is>
          <t>PO Count (≥)</t>
        </is>
      </c>
      <c r="E60" s="32" t="n">
        <v>180</v>
      </c>
      <c r="F60" s="14" t="inlineStr">
        <is>
          <t>count</t>
        </is>
      </c>
      <c r="G60" s="14" t="inlineStr">
        <is>
          <t>Change Log</t>
        </is>
      </c>
      <c r="H60" s="27" t="inlineStr">
        <is>
          <t>Verified</t>
        </is>
      </c>
      <c r="I60" s="5" t="inlineStr">
        <is>
          <t>PO_s folders</t>
        </is>
      </c>
    </row>
    <row r="61">
      <c r="B61" s="14" t="n">
        <v>56</v>
      </c>
      <c r="C61" s="5" t="inlineStr">
        <is>
          <t>top_worker_hours_share</t>
        </is>
      </c>
      <c r="D61" s="5" t="inlineStr">
        <is>
          <t>Top Worker Hours Share</t>
        </is>
      </c>
      <c r="E61" s="35" t="n">
        <v>0.05371975715105567</v>
      </c>
      <c r="F61" s="14" t="inlineStr">
        <is>
          <t>%</t>
        </is>
      </c>
      <c r="G61" s="14" t="inlineStr">
        <is>
          <t>Crew Analytics</t>
        </is>
      </c>
      <c r="H61" s="27" t="inlineStr">
        <is>
          <t>Verified</t>
        </is>
      </c>
      <c r="I61" s="5" t="inlineStr">
        <is>
          <t>Derived</t>
        </is>
      </c>
    </row>
    <row r="62">
      <c r="B62" s="14" t="n">
        <v>57</v>
      </c>
      <c r="C62" s="5" t="inlineStr">
        <is>
          <t>top5_worker_hours_share</t>
        </is>
      </c>
      <c r="D62" s="5" t="inlineStr">
        <is>
          <t>Top 5 Worker Hours Share</t>
        </is>
      </c>
      <c r="E62" s="35" t="n">
        <v>0.2443289938683662</v>
      </c>
      <c r="F62" s="14" t="inlineStr">
        <is>
          <t>%</t>
        </is>
      </c>
      <c r="G62" s="14" t="inlineStr">
        <is>
          <t>Crew Analytics</t>
        </is>
      </c>
      <c r="H62" s="27" t="inlineStr">
        <is>
          <t>Verified</t>
        </is>
      </c>
      <c r="I62" s="5" t="inlineStr">
        <is>
          <t>Derived</t>
        </is>
      </c>
    </row>
    <row r="63">
      <c r="B63" s="14" t="n">
        <v>58</v>
      </c>
      <c r="C63" s="5" t="inlineStr">
        <is>
          <t>cost_code_count</t>
        </is>
      </c>
      <c r="D63" s="5" t="inlineStr">
        <is>
          <t>Cost Codes Active</t>
        </is>
      </c>
      <c r="E63" s="32" t="n">
        <v>30</v>
      </c>
      <c r="F63" s="14" t="inlineStr">
        <is>
          <t>count</t>
        </is>
      </c>
      <c r="G63" s="14" t="inlineStr">
        <is>
          <t>Budget vs Actual</t>
        </is>
      </c>
      <c r="H63" s="27" t="inlineStr">
        <is>
          <t>Verified</t>
        </is>
      </c>
      <c r="I63" s="5" t="inlineStr">
        <is>
          <t>2023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6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2771369</v>
      </c>
      <c r="E6" s="20" t="n">
        <v>2771369</v>
      </c>
      <c r="F6" s="15">
        <f>D6-E6</f>
        <v/>
      </c>
      <c r="G6" s="14">
        <f>IF(ABS(F6)&lt;=1,"TIES",IF(ABS(F6)&lt;=ABS(E6)*0.05,"WITHIN","OFF"))</f>
        <v/>
      </c>
      <c r="H6" s="39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1873341.44</v>
      </c>
      <c r="E7" s="20" t="n">
        <v>1873341.44</v>
      </c>
      <c r="F7" s="15">
        <f>D7-E7</f>
        <v/>
      </c>
      <c r="G7" s="14">
        <f>IF(ABS(F7)&lt;=1,"TIES",IF(ABS(F7)&lt;=ABS(E7)*0.05,"WITHIN","OFF"))</f>
        <v/>
      </c>
      <c r="H7" s="39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898027.5600000001</v>
      </c>
      <c r="E8" s="20" t="n">
        <v>898027.5600000001</v>
      </c>
      <c r="F8" s="15">
        <f>D8-E8</f>
        <v/>
      </c>
      <c r="G8" s="14">
        <f>IF(ABS(F8)&lt;=1,"TIES",IF(ABS(F8)&lt;=ABS(E8)*0.05,"WITHIN","OFF"))</f>
        <v/>
      </c>
      <c r="H8" s="39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1873341.44</v>
      </c>
      <c r="E9" s="20" t="n">
        <v>1873341.44</v>
      </c>
      <c r="F9" s="15">
        <f>D9-E9</f>
        <v/>
      </c>
      <c r="G9" s="14">
        <f>IF(ABS(F9)&lt;=1,"TIES",IF(ABS(F9)&lt;=ABS(E9)*0.05,"WITHIN","OFF"))</f>
        <v/>
      </c>
      <c r="H9" s="39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2771369</v>
      </c>
      <c r="E10" s="20" t="n">
        <v>2771369</v>
      </c>
      <c r="F10" s="15">
        <f>D10-E10</f>
        <v/>
      </c>
      <c r="G10" s="14">
        <f>IF(ABS(F10)&lt;=1,"TIES",IF(ABS(F10)&lt;=ABS(E10)*0.05,"WITHIN","OFF"))</f>
        <v/>
      </c>
      <c r="H10" s="39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33107</v>
      </c>
      <c r="E11" s="20" t="n">
        <v>33163</v>
      </c>
      <c r="F11" s="15">
        <f>D11-E11</f>
        <v/>
      </c>
      <c r="G11" s="14">
        <f>IF(ABS(F11)&lt;=1,"TIES",IF(ABS(F11)&lt;=ABS(E11)*0.05,"WITHIN","OFF"))</f>
        <v/>
      </c>
      <c r="H11" s="39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702744.3500000001</v>
      </c>
      <c r="E12" s="20" t="n">
        <v>712739.5</v>
      </c>
      <c r="F12" s="15">
        <f>D12-E12</f>
        <v/>
      </c>
      <c r="G12" s="14">
        <f>IF(ABS(F12)&lt;=1,"TIES",IF(ABS(F12)&lt;=ABS(E12)*0.05,"WITHIN","OFF"))</f>
        <v/>
      </c>
      <c r="H12" s="39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682284.5600000002</v>
      </c>
      <c r="E13" s="20" t="n">
        <v>682284.5600000001</v>
      </c>
      <c r="F13" s="15">
        <f>D13-E13</f>
        <v/>
      </c>
      <c r="G13" s="14">
        <f>IF(ABS(F13)&lt;=1,"TIES",IF(ABS(F13)&lt;=ABS(E13)*0.05,"WITHIN","OFF"))</f>
        <v/>
      </c>
      <c r="H13" s="39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40" t="n">
        <v>25</v>
      </c>
      <c r="E14" s="40" t="n">
        <v>25</v>
      </c>
      <c r="F14" s="15">
        <f>D14-E14</f>
        <v/>
      </c>
      <c r="G14" s="14">
        <f>IF(ABS(F14)&lt;=1,"TIES",IF(ABS(F14)&lt;=ABS(E14)*0.05,"WITHIN","OFF"))</f>
        <v/>
      </c>
      <c r="H14" s="39" t="inlineStr">
        <is>
          <t>9↔11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301869</v>
      </c>
      <c r="E15" s="20" t="n">
        <v>301869</v>
      </c>
      <c r="F15" s="15">
        <f>D15-E15</f>
        <v/>
      </c>
      <c r="G15" s="14">
        <f>IF(ABS(F15)&lt;=1,"TIES",IF(ABS(F15)&lt;=ABS(E15)*0.05,"WITHIN","OFF"))</f>
        <v/>
      </c>
      <c r="H15" s="39" t="inlineStr">
        <is>
          <t>11↔Derived</t>
        </is>
      </c>
    </row>
    <row r="16">
      <c r="B16" s="14" t="n">
        <v>11</v>
      </c>
      <c r="C16" s="5" t="inlineStr">
        <is>
          <t>Retainage outstanding</t>
        </is>
      </c>
      <c r="D16" s="20" t="n">
        <v>138568.45</v>
      </c>
      <c r="E16" s="20" t="n">
        <v>138568.45</v>
      </c>
      <c r="F16" s="15">
        <f>D16-E16</f>
        <v/>
      </c>
      <c r="G16" s="14">
        <f>IF(ABS(F16)&lt;=1,"TIES",IF(ABS(F16)&lt;=ABS(E16)*0.05,"WITHIN","OFF"))</f>
        <v/>
      </c>
      <c r="H16" s="39" t="inlineStr">
        <is>
          <t>9↔JDR footer</t>
        </is>
      </c>
    </row>
    <row r="17">
      <c r="B17" s="14" t="n">
        <v>12</v>
      </c>
      <c r="C17" s="5" t="inlineStr">
        <is>
          <t>Retainage sum from invoices</t>
        </is>
      </c>
      <c r="D17" s="20" t="n">
        <v>138568.45</v>
      </c>
      <c r="E17" s="20" t="n">
        <v>138568.45</v>
      </c>
      <c r="F17" s="15">
        <f>D17-E17</f>
        <v/>
      </c>
      <c r="G17" s="14">
        <f>IF(ABS(F17)&lt;=1,"TIES",IF(ABS(F17)&lt;=ABS(E17)*0.05,"WITHIN","OFF"))</f>
        <v/>
      </c>
      <c r="H17" s="39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40" t="n">
        <v>52</v>
      </c>
      <c r="E18" s="40" t="n">
        <v>52</v>
      </c>
      <c r="F18" s="15">
        <f>D18-E18</f>
        <v/>
      </c>
      <c r="G18" s="14">
        <f>IF(ABS(F18)&lt;=1,"TIES",IF(ABS(F18)&lt;=ABS(E18)*0.05,"WITHIN","OFF"))</f>
        <v/>
      </c>
      <c r="H18" s="39" t="inlineStr">
        <is>
          <t>5↔11</t>
        </is>
      </c>
    </row>
    <row r="19">
      <c r="B19" s="14" t="n">
        <v>14</v>
      </c>
      <c r="C19" s="5" t="inlineStr">
        <is>
          <t>Cost code count</t>
        </is>
      </c>
      <c r="D19" s="40" t="n">
        <v>30</v>
      </c>
      <c r="E19" s="40" t="n">
        <v>30</v>
      </c>
      <c r="F19" s="15">
        <f>D19-E19</f>
        <v/>
      </c>
      <c r="G19" s="14">
        <f>IF(ABS(F19)&lt;=1,"TIES",IF(ABS(F19)&lt;=ABS(E19)*0.05,"WITHIN","OFF"))</f>
        <v/>
      </c>
      <c r="H19" s="39" t="inlineStr">
        <is>
          <t>2↔16</t>
        </is>
      </c>
    </row>
    <row r="22">
      <c r="B22" s="41" t="inlineStr">
        <is>
          <t>SOURCES</t>
        </is>
      </c>
      <c r="C22" s="42" t="n"/>
      <c r="D22" s="42" t="n"/>
      <c r="E22" s="42" t="n"/>
      <c r="F22" s="42" t="n"/>
      <c r="G22" s="42" t="n"/>
      <c r="H22" s="42" t="n"/>
    </row>
    <row r="23">
      <c r="B23" s="8" t="inlineStr">
        <is>
          <t>Job #2023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2023 Job Detail Report.pdf (Sage Timberline, 04/03/2026, 285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$2,771,369.00 / Expenses $1,873,341.44 / Net $898,027.56 / Retainage $138,568.45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$110,321.43 · AP $682,284.56 · PR $1,080,735.45 · AR $2,771,369.00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Legacy contract OCR_d.pdf (Chinn↔OWP subcontract, Lump Sum $2,469,500) (Lump Sum $2,469,500.00 to Hadley Improvements Owner, LLC, Mercer Island)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Sheet: Chinn Legacy Mercer Island Sept 9 2014.xlsx (241 units detailed fixture schedule)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Change Orders: 5 CO PDFs (image-only scans) — individual $ not OCR-readable; CO# gap 11→19 suggests 6+ missing; aggregate CO impact = $301,869 per JDR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ASI-RFI: 125 PDFs (ASIs 07/09/10/14/16/25/26 + Hadley RFIs 051-360+; VIA &amp; BCRA responses)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Submittals: 100+ total (Equipment, Fixture, Material, Underground &amp; Garage, Responses)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POs: 180+ total (152 completed / 2 placed / 26 scheduled) + 38 Trim POs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Billing: Legacy sent invoices &amp; releases folder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O&amp;M: closeout package on file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Unresolved: (a) CO individual $ values require OCR; (b) 6+ COs missing from folder (gap 11→19); (c) $138,568 retainage outstanding 9+ years</t>
        </is>
      </c>
      <c r="C35" s="6" t="n"/>
      <c r="D35" s="6" t="n"/>
      <c r="E35" s="6" t="n"/>
      <c r="F35" s="6" t="n"/>
      <c r="G35" s="6" t="n"/>
      <c r="H35" s="7" t="n"/>
    </row>
    <row r="36">
      <c r="B36" s="8" t="inlineStr">
        <is>
          <t>TIES = within $1  ·  WITHIN = within 5%  ·  OFF = investigate</t>
        </is>
      </c>
      <c r="C36" s="6" t="n"/>
      <c r="D36" s="6" t="n"/>
      <c r="E36" s="6" t="n"/>
      <c r="F36" s="6" t="n"/>
      <c r="G36" s="6" t="n"/>
      <c r="H36" s="7" t="n"/>
    </row>
  </sheetData>
  <mergeCells count="16">
    <mergeCell ref="B36:H36"/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2026-04-16T14:56:52Z</dcterms:created>
  <dcterms:modified xmlns:dcterms="http://purl.org/dc/terms/" xmlns:xsi="http://www.w3.org/2001/XMLSchema-instance" xsi:type="dcterms:W3CDTF">2026-04-16T14:56:52Z</dcterms:modified>
</cp:coreProperties>
</file>