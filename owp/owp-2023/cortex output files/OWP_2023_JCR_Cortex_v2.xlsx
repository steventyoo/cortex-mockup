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verview" sheetId="1" state="visible" r:id="rId3"/>
    <sheet name="Budget vs Actual" sheetId="2" state="visible" r:id="rId4"/>
    <sheet name="Cost Breakdown" sheetId="3" state="visible" r:id="rId5"/>
    <sheet name="Material" sheetId="4" state="visible" r:id="rId6"/>
    <sheet name="Crew &amp; Labor" sheetId="5" state="visible" r:id="rId7"/>
    <sheet name="Crew Analytics" sheetId="6" state="visible" r:id="rId8"/>
    <sheet name="Productivity" sheetId="7" state="visible" r:id="rId9"/>
    <sheet name="PO Commitments" sheetId="8" state="visible" r:id="rId10"/>
    <sheet name="Billing &amp; SOV" sheetId="9" state="visible" r:id="rId11"/>
    <sheet name="Insights" sheetId="10" state="visible" r:id="rId12"/>
    <sheet name="Benchmark KPIs" sheetId="11" state="visible" r:id="rId13"/>
    <sheet name="Vendors" sheetId="12" state="visible" r:id="rId14"/>
    <sheet name="Change Log" sheetId="13" state="visible" r:id="rId15"/>
    <sheet name="Root Cause Analysis" sheetId="14" state="visible" r:id="rId16"/>
    <sheet name="Predictive Signals" sheetId="15" state="visible" r:id="rId17"/>
    <sheet name="Metric Registry" sheetId="16" state="visible" r:id="rId18"/>
    <sheet name="Reconciliation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<sst xmlns="http://schemas.openxmlformats.org/spreadsheetml/2006/main" count="2072" uniqueCount="1064">
  <si>
    <t xml:space="preserve">Job #2023 · Chinn, Legacy Apts — Legacy @ Mercer Island Apartments</t>
  </si>
  <si>
    <t xml:space="preserve">Cortex JCR Cortex v2  •  Chinn Construction, LLC (customer 2023CC)  •  2601 76th Ave SE, Mercer Island WA 98040  •  Owner: Hadley Improvements Owner, LLC</t>
  </si>
  <si>
    <t xml:space="preserve">PROJECT OVERVIEW</t>
  </si>
  <si>
    <t xml:space="preserve">Project Job #</t>
  </si>
  <si>
    <t xml:space="preserve">2023</t>
  </si>
  <si>
    <t xml:space="preserve">2023 Job Detail Report.pdf (Sage Timberline, 04/03/2026, 285 pages) header</t>
  </si>
  <si>
    <t xml:space="preserve">Project Name (Sage)</t>
  </si>
  <si>
    <t xml:space="preserve">Chinn, Legacy Apts</t>
  </si>
  <si>
    <t xml:space="preserve">Project Description</t>
  </si>
  <si>
    <t xml:space="preserve">Legacy @ Mercer Island Apartments (Hadley) — full plumbing, 241 units</t>
  </si>
  <si>
    <t xml:space="preserve">Legacy contract OCR_d.pdf (Chinn↔OWP subcontract, Lump Sum $2,469,500) / AR line descriptions</t>
  </si>
  <si>
    <t xml:space="preserve">General Contractor</t>
  </si>
  <si>
    <t xml:space="preserve">Chinn Construction, LLC</t>
  </si>
  <si>
    <t xml:space="preserve">Legacy contract OCR_d.pdf (Chinn↔OWP subcontract, Lump Sum $2,469,500)</t>
  </si>
  <si>
    <t xml:space="preserve">Customer Code (Sage)</t>
  </si>
  <si>
    <t xml:space="preserve">2023CC</t>
  </si>
  <si>
    <t xml:space="preserve">2023 Job Detail Report.pdf (Sage Timberline, 04/03/2026, 285 pages)</t>
  </si>
  <si>
    <t xml:space="preserve">Owner / Developer</t>
  </si>
  <si>
    <t xml:space="preserve">Hadley Improvements Owner, LLC</t>
  </si>
  <si>
    <t xml:space="preserve">Architect</t>
  </si>
  <si>
    <t xml:space="preserve">VIA Architecture</t>
  </si>
  <si>
    <t xml:space="preserve">ASI-RFI responses (e.g. 'VIA Response' RFI 168)</t>
  </si>
  <si>
    <t xml:space="preserve">Jobsite Location</t>
  </si>
  <si>
    <t xml:space="preserve">2601 76th Ave SE, Mercer Island, WA 98040</t>
  </si>
  <si>
    <t xml:space="preserve">Contract / PO Document</t>
  </si>
  <si>
    <t xml:space="preserve">Fully executed subcontract (Lump Sum)</t>
  </si>
  <si>
    <t xml:space="preserve">Plans / Specifications</t>
  </si>
  <si>
    <t xml:space="preserve">Plans/ folder — full drawing set + VIA Architecture specs + Div 22 plumbing spec</t>
  </si>
  <si>
    <t xml:space="preserve">Folder scan</t>
  </si>
  <si>
    <t xml:space="preserve">Bid Sheet</t>
  </si>
  <si>
    <t xml:space="preserve">Chinn Legacy Mercer Island Sept 9 2014.xlsx (original 9/9/2014 bid with full fixture schedule)</t>
  </si>
  <si>
    <t xml:space="preserve">Bid Sheets folder</t>
  </si>
  <si>
    <t xml:space="preserve">Contract Type</t>
  </si>
  <si>
    <t xml:space="preserve">Lump Sum</t>
  </si>
  <si>
    <t xml:space="preserve">Work Period</t>
  </si>
  <si>
    <t xml:space="preserve">01/19/2015 (first invoice) – 12/15/2016 (last invoice) ≈ 23 months</t>
  </si>
  <si>
    <t xml:space="preserve">Total Unique Documents Reviewed</t>
  </si>
  <si>
    <t xml:space="preserve">1000+ across 4 mirror folders</t>
  </si>
  <si>
    <t xml:space="preserve">File inventory across owp-2023/</t>
  </si>
  <si>
    <t xml:space="preserve">CONTRACT VALUE</t>
  </si>
  <si>
    <t xml:space="preserve">NET PROFIT</t>
  </si>
  <si>
    <t xml:space="preserve">DIRECT COST</t>
  </si>
  <si>
    <t xml:space="preserve">LABOR HOURS</t>
  </si>
  <si>
    <t xml:space="preserve">Original $2,469,500.00 + $301,869.00 COs (+12.22%)</t>
  </si>
  <si>
    <t xml:space="preserve">32.4% margin</t>
  </si>
  <si>
    <t xml:space="preserve">67.6% of revenue</t>
  </si>
  <si>
    <t xml:space="preserve">52 workers</t>
  </si>
  <si>
    <t xml:space="preserve">SCOPE OF WORK (from bid sheet + plans)</t>
  </si>
  <si>
    <t xml:space="preserve">Full plumbing: underground, garage/podium, rough-in, finish, gas, water main, insulation, mech room.</t>
  </si>
  <si>
    <t xml:space="preserve">Bid sheet (9/9/2014) itemizes 241 apartment units (230 standard + 11 ADA Type A).</t>
  </si>
  <si>
    <t xml:space="preserve">Fixtures: 244 water closets (241 unit + 3 amenity), 244 lavatories, 241 bathing fixtures (~197 tub/shower + 44 showers),</t>
  </si>
  <si>
    <t xml:space="preserve">211 kitchen sinks, 31 hose bibs, 4 water heaters, 17 roof drains, trench/area drains, sand/oil separator.</t>
  </si>
  <si>
    <t xml:space="preserve">Spec compliance: WA UPC, Mercer Island jurisdiction (permits via Mercer Island).</t>
  </si>
  <si>
    <t xml:space="preserve">SOURCES</t>
  </si>
  <si>
    <t xml:space="preserve">Canonical financial source: 2023 Job Detail Report.pdf (Sage Timberline, 04/03/2026, 285 pages)</t>
  </si>
  <si>
    <t xml:space="preserve">Job totals (JDR footer): Revenue $2,771,369.00 / Expenses $1,873,341.44 / Net $898,027.56 / Retainage $138,568.45</t>
  </si>
  <si>
    <t xml:space="preserve">Source breakdown: GL $110,321.43 · AP $682,284.56 · PR $1,080,735.45 · AR $2,771,369.00</t>
  </si>
  <si>
    <t xml:space="preserve">Contract: Legacy contract OCR_d.pdf (Chinn↔OWP subcontract, Lump Sum $2,469,500) (Lump Sum $2,469,500.00)</t>
  </si>
  <si>
    <t xml:space="preserve">Bid sheet: Chinn Legacy Mercer Island Sept 9 2014.xlsx</t>
  </si>
  <si>
    <t xml:space="preserve">Change Orders: 5 CO PDFs in Change Orders/CO_s/ (Legacy CO 11, 19, 20, 21, 22) — ALL image-only scans; individual values not machine-readable</t>
  </si>
  <si>
    <t xml:space="preserve">ASI-RFI: 125 PDFs (ASIs 07/09/10/14/16/25REV1/26 + Hadley RFI 051-360+; VIA &amp; BCRA responses)</t>
  </si>
  <si>
    <t xml:space="preserve">Submittals: 100+ across EQUIPMENT, FIXTURE, MATERIAL, UNDERGROUND &amp; GARAGE, RESPONSES folders</t>
  </si>
  <si>
    <t xml:space="preserve">POs: 180+ across 1 Placed / 2 Scheduled / 3 Completed / Trim PO_s folders (+ 38 Trim POs)</t>
  </si>
  <si>
    <t xml:space="preserve">Billing: Legacy sent invoices &amp; releases folder</t>
  </si>
  <si>
    <t xml:space="preserve">Photos: on-site photo library (not machine-readable)</t>
  </si>
  <si>
    <t xml:space="preserve">Meetings-Schedules: project meeting notes and schedules</t>
  </si>
  <si>
    <t xml:space="preserve">Budget vs Actual</t>
  </si>
  <si>
    <t xml:space="preserve">All 30 cost codes from JDR. Contract $2,469,500 → $2,771,369 (COs +$301,869.00).</t>
  </si>
  <si>
    <t xml:space="preserve">Cost Code</t>
  </si>
  <si>
    <t xml:space="preserve">Description</t>
  </si>
  <si>
    <t xml:space="preserve">Original Budget</t>
  </si>
  <si>
    <t xml:space="preserve">Revised Budget</t>
  </si>
  <si>
    <t xml:space="preserve">Actual</t>
  </si>
  <si>
    <t xml:space="preserve">Variance</t>
  </si>
  <si>
    <t xml:space="preserve">% of Revised</t>
  </si>
  <si>
    <t xml:space="preserve">Hours</t>
  </si>
  <si>
    <t xml:space="preserve">Source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</si>
  <si>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</si>
  <si>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</si>
  <si>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</si>
  <si>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</si>
  <si>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110</t>
  </si>
  <si>
    <t xml:space="preserve">Underground Labor</t>
  </si>
  <si>
    <t xml:space="preserve">111</t>
  </si>
  <si>
    <t xml:space="preserve">Garage Labor</t>
  </si>
  <si>
    <t xml:space="preserve">112</t>
  </si>
  <si>
    <t xml:space="preserve">Canout Labor</t>
  </si>
  <si>
    <t xml:space="preserve">120</t>
  </si>
  <si>
    <t xml:space="preserve">Roughin Labor</t>
  </si>
  <si>
    <t xml:space="preserve">130</t>
  </si>
  <si>
    <t xml:space="preserve">Finish Labor</t>
  </si>
  <si>
    <t xml:space="preserve">140</t>
  </si>
  <si>
    <t xml:space="preserve">Gas Labor</t>
  </si>
  <si>
    <t xml:space="preserve">141</t>
  </si>
  <si>
    <t xml:space="preserve">Water Main/Insulation Lab</t>
  </si>
  <si>
    <t xml:space="preserve">142</t>
  </si>
  <si>
    <t xml:space="preserve">Mech Room Labor</t>
  </si>
  <si>
    <t xml:space="preserve">143</t>
  </si>
  <si>
    <t xml:space="preserve">Condensation Drains Labor</t>
  </si>
  <si>
    <t xml:space="preserve">150</t>
  </si>
  <si>
    <t xml:space="preserve">Warranty Labor</t>
  </si>
  <si>
    <t xml:space="preserve">210</t>
  </si>
  <si>
    <t xml:space="preserve">Underground Material</t>
  </si>
  <si>
    <t xml:space="preserve">211</t>
  </si>
  <si>
    <t xml:space="preserve">Garage Material</t>
  </si>
  <si>
    <t xml:space="preserve">212</t>
  </si>
  <si>
    <t xml:space="preserve">Canout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</si>
  <si>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</si>
  <si>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</si>
  <si>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</si>
  <si>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</si>
  <si>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240</t>
  </si>
  <si>
    <t xml:space="preserve">Gas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</si>
  <si>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</si>
  <si>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</si>
  <si>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</si>
  <si>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</si>
  <si>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243</t>
  </si>
  <si>
    <t xml:space="preserve">Condensation Drains Mat</t>
  </si>
  <si>
    <t xml:space="preserve">244</t>
  </si>
  <si>
    <t xml:space="preserve">Fire Caulking Material</t>
  </si>
  <si>
    <t xml:space="preserve">600</t>
  </si>
  <si>
    <t xml:space="preserve">Subcontractor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</si>
  <si>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</si>
  <si>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</si>
  <si>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</si>
  <si>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</si>
  <si>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</si>
  <si>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</si>
  <si>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</si>
  <si>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</si>
  <si>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995</t>
  </si>
  <si>
    <t xml:space="preserve">Payroll Burden</t>
  </si>
  <si>
    <t xml:space="preserve">998</t>
  </si>
  <si>
    <t xml:space="preserve">Payroll Taxes</t>
  </si>
  <si>
    <t xml:space="preserve">999</t>
  </si>
  <si>
    <t xml:space="preserve">Sales</t>
  </si>
  <si>
    <t xml:space="preserve">TOTAL</t>
  </si>
  <si>
    <t xml:space="preserve">Cost Breakdown by Category</t>
  </si>
  <si>
    <t xml:space="preserve">Direct cost composition by category from JDR cost codes</t>
  </si>
  <si>
    <t xml:space="preserve">Category</t>
  </si>
  <si>
    <t xml:space="preserve">Cost Codes</t>
  </si>
  <si>
    <t xml:space="preserve">Actual $</t>
  </si>
  <si>
    <t xml:space="preserve">% of Direct Cost</t>
  </si>
  <si>
    <t xml:space="preserve">% of Revenue</t>
  </si>
  <si>
    <t xml:space="preserve">Labor</t>
  </si>
  <si>
    <t xml:space="preserve">100,101,110,111,112,120,130,140,141,142,143,150</t>
  </si>
  <si>
    <t xml:space="preserve">Material</t>
  </si>
  <si>
    <t xml:space="preserve">210,211,212,220,230,240,241,242,243,244</t>
  </si>
  <si>
    <t xml:space="preserve">Subcontractor + Engineering + Rental + Permits + Other</t>
  </si>
  <si>
    <t xml:space="preserve">600,601,602,603,607</t>
  </si>
  <si>
    <t xml:space="preserve">TOTAL DIRECT COST</t>
  </si>
  <si>
    <t xml:space="preserve">Material Purchases — AP Vendors</t>
  </si>
  <si>
    <t xml:space="preserve">Material + subcontractor spend by vendor (AP records from JDR). Supplemented with submittal/PO inventory.</t>
  </si>
  <si>
    <t xml:space="preserve">Vendor ID</t>
  </si>
  <si>
    <t xml:space="preserve">Vendor Name</t>
  </si>
  <si>
    <t xml:space="preserve">Total Spend</t>
  </si>
  <si>
    <t xml:space="preserve"># Transactions</t>
  </si>
  <si>
    <t xml:space="preserve">Category (inferred)</t>
  </si>
  <si>
    <t xml:space="preserve">2023RS</t>
  </si>
  <si>
    <t xml:space="preserve">Rosen Supply Company, Inc. $Legacy</t>
  </si>
  <si>
    <t xml:space="preserve">Plumbing / Supplies</t>
  </si>
  <si>
    <t xml:space="preserve">2023CS</t>
  </si>
  <si>
    <t xml:space="preserve">Consolidated Supply Co. $Legacy</t>
  </si>
  <si>
    <t xml:space="preserve">2023FE</t>
  </si>
  <si>
    <t xml:space="preserve">Ferguson Enterprises, Inc. $Legacy</t>
  </si>
  <si>
    <t xml:space="preserve">2023KS</t>
  </si>
  <si>
    <t xml:space="preserve">Keller Supply Company $Legacy</t>
  </si>
  <si>
    <t xml:space="preserve">3612MS</t>
  </si>
  <si>
    <t xml:space="preserve">Mechanical Sales, Inc.</t>
  </si>
  <si>
    <t xml:space="preserve">1625FE</t>
  </si>
  <si>
    <t xml:space="preserve">Franklin Engineering</t>
  </si>
  <si>
    <t xml:space="preserve">Engineering (601)</t>
  </si>
  <si>
    <t xml:space="preserve">3181SC</t>
  </si>
  <si>
    <t xml:space="preserve">Scan2Core, Inc.</t>
  </si>
  <si>
    <t xml:space="preserve">Concrete coring / subcon</t>
  </si>
  <si>
    <t xml:space="preserve">1231KS</t>
  </si>
  <si>
    <t xml:space="preserve">Keller Supply Company</t>
  </si>
  <si>
    <t xml:space="preserve">7200UR</t>
  </si>
  <si>
    <t xml:space="preserve">United Rentals, Inc.</t>
  </si>
  <si>
    <t xml:space="preserve">Rental Equipment (602)</t>
  </si>
  <si>
    <t xml:space="preserve">1609QC</t>
  </si>
  <si>
    <t xml:space="preserve">Quality Concrete Products, Inc. $32</t>
  </si>
  <si>
    <t xml:space="preserve">Concrete / subcon</t>
  </si>
  <si>
    <t xml:space="preserve">1516DS</t>
  </si>
  <si>
    <t xml:space="preserve">Duraseal, Inc.</t>
  </si>
  <si>
    <t xml:space="preserve">Uncategorized</t>
  </si>
  <si>
    <t xml:space="preserve">5621HD</t>
  </si>
  <si>
    <t xml:space="preserve">Core &amp; Main LP $HD Supply Waterworks</t>
  </si>
  <si>
    <t xml:space="preserve">1380RS</t>
  </si>
  <si>
    <t xml:space="preserve">Rosen Supply Kirkland</t>
  </si>
  <si>
    <t xml:space="preserve">2132MH</t>
  </si>
  <si>
    <t xml:space="preserve">Manor Hardware &amp; Construction Supply</t>
  </si>
  <si>
    <t xml:space="preserve">1504CA</t>
  </si>
  <si>
    <t xml:space="preserve">Chip Away Bathtub Repair, Inc.</t>
  </si>
  <si>
    <t xml:space="preserve">8068MI</t>
  </si>
  <si>
    <t xml:space="preserve">Kele, Inc $ MI Controls</t>
  </si>
  <si>
    <t xml:space="preserve">1303CM</t>
  </si>
  <si>
    <t xml:space="preserve">C.M. Hoskins Company</t>
  </si>
  <si>
    <t xml:space="preserve">2024FE</t>
  </si>
  <si>
    <t xml:space="preserve">Ferguson Enterprises, Inc. $MG-Ballard</t>
  </si>
  <si>
    <t xml:space="preserve">1175FE</t>
  </si>
  <si>
    <t xml:space="preserve">Ferguson Enterprises, Inc. #3007</t>
  </si>
  <si>
    <t xml:space="preserve">1611AS</t>
  </si>
  <si>
    <t xml:space="preserve">Beacon Building Products $Atlas</t>
  </si>
  <si>
    <t xml:space="preserve">1288DR</t>
  </si>
  <si>
    <t xml:space="preserve">DRSi</t>
  </si>
  <si>
    <t xml:space="preserve">1234CO</t>
  </si>
  <si>
    <t xml:space="preserve">Capital One Credit Card</t>
  </si>
  <si>
    <t xml:space="preserve">Credit Card (mixed)</t>
  </si>
  <si>
    <t xml:space="preserve">3820HI</t>
  </si>
  <si>
    <t xml:space="preserve">Hilti, Inc.</t>
  </si>
  <si>
    <t xml:space="preserve">2021RS</t>
  </si>
  <si>
    <t xml:space="preserve">Rosen Supply Company $Admiral</t>
  </si>
  <si>
    <t xml:space="preserve">1421RA</t>
  </si>
  <si>
    <t xml:space="preserve">R.A. Brown Backflow Testing</t>
  </si>
  <si>
    <t xml:space="preserve">Testing subcontractor</t>
  </si>
  <si>
    <t xml:space="preserve">1799AW</t>
  </si>
  <si>
    <t xml:space="preserve">AllWest Underground, Inc.</t>
  </si>
  <si>
    <t xml:space="preserve">1126SS</t>
  </si>
  <si>
    <t xml:space="preserve">Specification Sales, Inc.</t>
  </si>
  <si>
    <t xml:space="preserve">1234BA</t>
  </si>
  <si>
    <t xml:space="preserve">Bank of America CC</t>
  </si>
  <si>
    <t xml:space="preserve">1344HD</t>
  </si>
  <si>
    <t xml:space="preserve">HD Fowler Company</t>
  </si>
  <si>
    <t xml:space="preserve">2019RS</t>
  </si>
  <si>
    <t xml:space="preserve">Rosen Supply Company, Inc. $8th, Republi</t>
  </si>
  <si>
    <t xml:space="preserve">2027FE</t>
  </si>
  <si>
    <t xml:space="preserve">Ferguson Enterprises, Inc. $550 Broadway</t>
  </si>
  <si>
    <t xml:space="preserve">1130CS</t>
  </si>
  <si>
    <t xml:space="preserve">Consolidated Supply Co.</t>
  </si>
  <si>
    <t xml:space="preserve">NOTE: AP total per JDR footer = $682,284.56. Top vendors: Rosen Supply, Consolidated Supply, Ferguson, Keller Supply, Mechanical Sales, Franklin Engineering. Submittals folder contains 100+ submittals documenting approved products. POs folder shows 180+ POs (152 completed, 2 placed, 26 scheduled) + 38 Trim POs.</t>
  </si>
  <si>
    <t xml:space="preserve">Crew &amp; Labor — Worker Roster</t>
  </si>
  <si>
    <t xml:space="preserve">All 52 unique payroll workers from JDR.</t>
  </si>
  <si>
    <t xml:space="preserve">Worker ID</t>
  </si>
  <si>
    <t xml:space="preserve">Worker Name</t>
  </si>
  <si>
    <t xml:space="preserve">Total Hours</t>
  </si>
  <si>
    <t xml:space="preserve">Gross Pay</t>
  </si>
  <si>
    <t xml:space="preserve">Blended Wage ($/hr)</t>
  </si>
  <si>
    <t xml:space="preserve"># Work Days</t>
  </si>
  <si>
    <t xml:space="preserve">WI46</t>
  </si>
  <si>
    <t xml:space="preserve">Wilson, Garret A</t>
  </si>
  <si>
    <t xml:space="preserve">RI84</t>
  </si>
  <si>
    <t xml:space="preserve">Rivera, Eli P</t>
  </si>
  <si>
    <t xml:space="preserve">GA70</t>
  </si>
  <si>
    <t xml:space="preserve">Garcia, Jordan X</t>
  </si>
  <si>
    <t xml:space="preserve">BA70</t>
  </si>
  <si>
    <t xml:space="preserve">Barnhart, Joseph N</t>
  </si>
  <si>
    <t xml:space="preserve">BA45</t>
  </si>
  <si>
    <t xml:space="preserve">Balderas Ortiz, Ricardo I</t>
  </si>
  <si>
    <t xml:space="preserve">GA72</t>
  </si>
  <si>
    <t xml:space="preserve">Gardner, Andrew M</t>
  </si>
  <si>
    <t xml:space="preserve">BR59</t>
  </si>
  <si>
    <t xml:space="preserve">Brown, Steven D</t>
  </si>
  <si>
    <t xml:space="preserve">KI55</t>
  </si>
  <si>
    <t xml:space="preserve">Kinssies, Jr, John E</t>
  </si>
  <si>
    <t xml:space="preserve">ME53</t>
  </si>
  <si>
    <t xml:space="preserve">Mendoza Morales, Jesus A</t>
  </si>
  <si>
    <t xml:space="preserve">ES62</t>
  </si>
  <si>
    <t xml:space="preserve">Esparza Jimenez, Jose D</t>
  </si>
  <si>
    <t xml:space="preserve">WE55</t>
  </si>
  <si>
    <t xml:space="preserve">Wennig, Johnathan M</t>
  </si>
  <si>
    <t xml:space="preserve">SA45</t>
  </si>
  <si>
    <t xml:space="preserve">Salazar, Hajdar L</t>
  </si>
  <si>
    <t xml:space="preserve">RO75</t>
  </si>
  <si>
    <t xml:space="preserve">Ross, Kelli M</t>
  </si>
  <si>
    <t xml:space="preserve">MA71</t>
  </si>
  <si>
    <t xml:space="preserve">Martinez Reyes, Juan C</t>
  </si>
  <si>
    <t xml:space="preserve">AY19</t>
  </si>
  <si>
    <t xml:space="preserve">Ayers, Jordan L</t>
  </si>
  <si>
    <t xml:space="preserve">WA35</t>
  </si>
  <si>
    <t xml:space="preserve">Waites, Thaddeus Z</t>
  </si>
  <si>
    <t xml:space="preserve">RE18</t>
  </si>
  <si>
    <t xml:space="preserve">Reed, Reuben H</t>
  </si>
  <si>
    <t xml:space="preserve">EL33</t>
  </si>
  <si>
    <t xml:space="preserve">Eliassen, Cory H</t>
  </si>
  <si>
    <t xml:space="preserve">PE70</t>
  </si>
  <si>
    <t xml:space="preserve">Perez Ortiz, Jesus I</t>
  </si>
  <si>
    <t xml:space="preserve">AN98</t>
  </si>
  <si>
    <t xml:space="preserve">Anzora, William</t>
  </si>
  <si>
    <t xml:space="preserve">MC09</t>
  </si>
  <si>
    <t xml:space="preserve">McCabe, Thomas C</t>
  </si>
  <si>
    <t xml:space="preserve">BA68</t>
  </si>
  <si>
    <t xml:space="preserve">Barbosa, Michael S</t>
  </si>
  <si>
    <t xml:space="preserve">VE42</t>
  </si>
  <si>
    <t xml:space="preserve">Velasquez Cruz, Denis M</t>
  </si>
  <si>
    <t xml:space="preserve">CO73</t>
  </si>
  <si>
    <t xml:space="preserve">Cortes Sepulveda, Jose R</t>
  </si>
  <si>
    <t xml:space="preserve">SE64</t>
  </si>
  <si>
    <t xml:space="preserve">Sepulveda Gonzalez, Alfredo</t>
  </si>
  <si>
    <t xml:space="preserve">TA96</t>
  </si>
  <si>
    <t xml:space="preserve">Taylor, Evan R</t>
  </si>
  <si>
    <t xml:space="preserve">GE69</t>
  </si>
  <si>
    <t xml:space="preserve">Gerard, Jeffrey S</t>
  </si>
  <si>
    <t xml:space="preserve">NE91</t>
  </si>
  <si>
    <t xml:space="preserve">Newton, Carson T</t>
  </si>
  <si>
    <t xml:space="preserve">UL81</t>
  </si>
  <si>
    <t xml:space="preserve">Ulu, Flynn M</t>
  </si>
  <si>
    <t xml:space="preserve">DO56</t>
  </si>
  <si>
    <t xml:space="preserve">Donelson, Richard T</t>
  </si>
  <si>
    <t xml:space="preserve">ME98</t>
  </si>
  <si>
    <t xml:space="preserve">Meza Fuentes, Erick A</t>
  </si>
  <si>
    <t xml:space="preserve">QU35</t>
  </si>
  <si>
    <t xml:space="preserve">Quintanilla, Esteban R</t>
  </si>
  <si>
    <t xml:space="preserve">MO56</t>
  </si>
  <si>
    <t xml:space="preserve">Montenegro, Carlos E</t>
  </si>
  <si>
    <t xml:space="preserve">RO12</t>
  </si>
  <si>
    <t xml:space="preserve">Rodriguez Rodriguez, Aminadab N</t>
  </si>
  <si>
    <t xml:space="preserve">RI87</t>
  </si>
  <si>
    <t xml:space="preserve">Rivera, Jorge A</t>
  </si>
  <si>
    <t xml:space="preserve">SA54</t>
  </si>
  <si>
    <t xml:space="preserve">Sanders, Allen O</t>
  </si>
  <si>
    <t xml:space="preserve">PA46</t>
  </si>
  <si>
    <t xml:space="preserve">Palma Vides, Hugo</t>
  </si>
  <si>
    <t xml:space="preserve">MA79</t>
  </si>
  <si>
    <t xml:space="preserve">Matthias, Joseph S</t>
  </si>
  <si>
    <t xml:space="preserve">MO54</t>
  </si>
  <si>
    <t xml:space="preserve">Monico Brambila, Jesus S</t>
  </si>
  <si>
    <t xml:space="preserve">GE71</t>
  </si>
  <si>
    <t xml:space="preserve">Gerard, Mitchell J</t>
  </si>
  <si>
    <t xml:space="preserve">PA47</t>
  </si>
  <si>
    <t xml:space="preserve">Palma Vides, Jorge A</t>
  </si>
  <si>
    <t xml:space="preserve">HU06</t>
  </si>
  <si>
    <t xml:space="preserve">Hubbard, Robert W</t>
  </si>
  <si>
    <t xml:space="preserve">LO87</t>
  </si>
  <si>
    <t xml:space="preserve">Lovo, German G</t>
  </si>
  <si>
    <t xml:space="preserve">HO14</t>
  </si>
  <si>
    <t xml:space="preserve">Holmes, Anthony R</t>
  </si>
  <si>
    <t xml:space="preserve">SO78</t>
  </si>
  <si>
    <t xml:space="preserve">Soto Cruz, Jovani</t>
  </si>
  <si>
    <t xml:space="preserve">HU04</t>
  </si>
  <si>
    <t xml:space="preserve">Hubbard, Dustin R</t>
  </si>
  <si>
    <t xml:space="preserve">VA86</t>
  </si>
  <si>
    <t xml:space="preserve">Vaughan, Tyler J</t>
  </si>
  <si>
    <t xml:space="preserve">AL05</t>
  </si>
  <si>
    <t xml:space="preserve">Alba Martinez, Santiago</t>
  </si>
  <si>
    <t xml:space="preserve">VE45</t>
  </si>
  <si>
    <t xml:space="preserve">Veley, Nathaniel S</t>
  </si>
  <si>
    <t xml:space="preserve">CR79</t>
  </si>
  <si>
    <t xml:space="preserve">Cruz Guzman, Joel A</t>
  </si>
  <si>
    <t xml:space="preserve">RE96</t>
  </si>
  <si>
    <t xml:space="preserve">Reyes Cruz, Denis A</t>
  </si>
  <si>
    <t xml:space="preserve">WA46</t>
  </si>
  <si>
    <t xml:space="preserve">Walker, Craig M</t>
  </si>
  <si>
    <t xml:space="preserve">Crew Analytics</t>
  </si>
  <si>
    <t xml:space="preserve">Team-level labor productivity, concentration, wage dispersion</t>
  </si>
  <si>
    <t xml:space="preserve">TEAM-LEVEL METRICS</t>
  </si>
  <si>
    <t xml:space="preserve">Metric</t>
  </si>
  <si>
    <t xml:space="preserve">Value</t>
  </si>
  <si>
    <t xml:space="preserve">Notes</t>
  </si>
  <si>
    <t xml:space="preserve">Total Workers</t>
  </si>
  <si>
    <t xml:space="preserve">Unique payroll IDs</t>
  </si>
  <si>
    <t xml:space="preserve">Total Labor Hours</t>
  </si>
  <si>
    <t xml:space="preserve">Sum of codes 100-150</t>
  </si>
  <si>
    <t xml:space="preserve">Total Gross Pay</t>
  </si>
  <si>
    <t xml:space="preserve">Blended Gross Wage ($/hr)</t>
  </si>
  <si>
    <t xml:space="preserve">Labor$ / Hrs (pre-burden)</t>
  </si>
  <si>
    <t xml:space="preserve">Derived</t>
  </si>
  <si>
    <t xml:space="preserve">Top Worker Hours Share</t>
  </si>
  <si>
    <t xml:space="preserve">WI46 Wilson, Garret A (1778 hrs)</t>
  </si>
  <si>
    <t xml:space="preserve">Top 5 Workers Hours Share</t>
  </si>
  <si>
    <t xml:space="preserve">Concentration metric</t>
  </si>
  <si>
    <t xml:space="preserve">Highest Wage Rate ($/hr)</t>
  </si>
  <si>
    <t xml:space="preserve">Single-worker blended</t>
  </si>
  <si>
    <t xml:space="preserve">Lowest Wage Rate ($/hr)</t>
  </si>
  <si>
    <t xml:space="preserve">Avg Hours per Worker</t>
  </si>
  <si>
    <t xml:space="preserve">Includes short-tenure workers</t>
  </si>
  <si>
    <t xml:space="preserve">Avg Project Days per Worker</t>
  </si>
  <si>
    <t xml:space="preserve">Mean days</t>
  </si>
  <si>
    <t xml:space="preserve">Productivity Metrics</t>
  </si>
  <si>
    <t xml:space="preserve">Normalized labor and financial ratios. Per-unit metrics from bid 241 units.</t>
  </si>
  <si>
    <t xml:space="preserve">Basis</t>
  </si>
  <si>
    <t xml:space="preserve">Source / Note</t>
  </si>
  <si>
    <t xml:space="preserve">Revenue per Labor Hour</t>
  </si>
  <si>
    <t xml:space="preserve">Formula</t>
  </si>
  <si>
    <t xml:space="preserve">Rev / Total Hrs</t>
  </si>
  <si>
    <t xml:space="preserve">Profit per Labor Hour</t>
  </si>
  <si>
    <t xml:space="preserve">Net Profit / Hrs</t>
  </si>
  <si>
    <t xml:space="preserve">Labor Cost per Hour (blended)</t>
  </si>
  <si>
    <t xml:space="preserve">Pre-burden</t>
  </si>
  <si>
    <t xml:space="preserve">Fully-Loaded Labor Rate ($/hr)</t>
  </si>
  <si>
    <t xml:space="preserve">Incl burden + taxes</t>
  </si>
  <si>
    <t xml:space="preserve">Burden Multiplier</t>
  </si>
  <si>
    <t xml:space="preserve">Fully-loaded / blended</t>
  </si>
  <si>
    <t xml:space="preserve">Rough-in Hours (code 120)</t>
  </si>
  <si>
    <t xml:space="preserve">JDR</t>
  </si>
  <si>
    <t xml:space="preserve">17765 hrs</t>
  </si>
  <si>
    <t xml:space="preserve">Finish Hours (code 130)</t>
  </si>
  <si>
    <t xml:space="preserve">2906 hrs</t>
  </si>
  <si>
    <t xml:space="preserve">Rough-in % of Total Hours</t>
  </si>
  <si>
    <t xml:space="preserve">Code 120 share</t>
  </si>
  <si>
    <t xml:space="preserve">Gross Margin</t>
  </si>
  <si>
    <t xml:space="preserve">Net / Revenue</t>
  </si>
  <si>
    <t xml:space="preserve">Labor % of Revenue</t>
  </si>
  <si>
    <t xml:space="preserve">Material % of Revenue</t>
  </si>
  <si>
    <t xml:space="preserve">Direct Cost Ratio</t>
  </si>
  <si>
    <t xml:space="preserve">All expenses / Rev</t>
  </si>
  <si>
    <t xml:space="preserve">Revenue per Unit (241)</t>
  </si>
  <si>
    <t xml:space="preserve">241 units (bid)</t>
  </si>
  <si>
    <t xml:space="preserve">Labor Hours per Unit</t>
  </si>
  <si>
    <t xml:space="preserve">Labor Cost per Unit</t>
  </si>
  <si>
    <t xml:space="preserve">Material Cost per Unit</t>
  </si>
  <si>
    <t xml:space="preserve">Direct Cost per Unit</t>
  </si>
  <si>
    <t xml:space="preserve">Rough-in Hours per Unit</t>
  </si>
  <si>
    <t xml:space="preserve">Code 120 / 241</t>
  </si>
  <si>
    <t xml:space="preserve">PO Commitments</t>
  </si>
  <si>
    <t xml:space="preserve">Inbound contract value (GC → OWP). Outbound vendor commitments — see Material tab + POs folder.</t>
  </si>
  <si>
    <t xml:space="preserve">PO #</t>
  </si>
  <si>
    <t xml:space="preserve">Date</t>
  </si>
  <si>
    <t xml:space="preserve">Issuer</t>
  </si>
  <si>
    <t xml:space="preserve">Type</t>
  </si>
  <si>
    <t xml:space="preserve">Status</t>
  </si>
  <si>
    <t xml:space="preserve">Amount</t>
  </si>
  <si>
    <t xml:space="preserve">Legacy Prime</t>
  </si>
  <si>
    <t xml:space="preserve">2014-09-09 (bid) / subcontract executed</t>
  </si>
  <si>
    <t xml:space="preserve">Lump Sum Subcontract</t>
  </si>
  <si>
    <t xml:space="preserve">Closed (100% billed)</t>
  </si>
  <si>
    <t xml:space="preserve">Legacy @ Mercer Island Apts plumbing — full scope per bid sheet</t>
  </si>
  <si>
    <t xml:space="preserve">Legacy CO 11</t>
  </si>
  <si>
    <t xml:space="preserve">NOT FOUND</t>
  </si>
  <si>
    <t xml:space="preserve">Change Order</t>
  </si>
  <si>
    <t xml:space="preserve">Executed (scan)</t>
  </si>
  <si>
    <t xml:space="preserve">Documented CO (image-only PDF — value not machine-readable)</t>
  </si>
  <si>
    <t xml:space="preserve">Change Orders/CO_s/Legacy CO 11 Signed.pdf (image scan; value NOT machine-readable)</t>
  </si>
  <si>
    <t xml:space="preserve">Legacy CO 19</t>
  </si>
  <si>
    <t xml:space="preserve">Change Orders/CO_s/Legacy CO 19.pdf (image scan)</t>
  </si>
  <si>
    <t xml:space="preserve">Legacy CO 20</t>
  </si>
  <si>
    <t xml:space="preserve">Change Orders/CO_s/Legacy CO 20.pdf (image scan)</t>
  </si>
  <si>
    <t xml:space="preserve">Legacy CO 21</t>
  </si>
  <si>
    <t xml:space="preserve">Change Orders/CO_s/Legacy CO 21.pdf (image scan)</t>
  </si>
  <si>
    <t xml:space="preserve">Legacy CO 22</t>
  </si>
  <si>
    <t xml:space="preserve">Change Orders/CO_s/Legacy CO 22.pdf (image scan)</t>
  </si>
  <si>
    <t xml:space="preserve">CO-IMPLIED</t>
  </si>
  <si>
    <t xml:space="preserve">2014-09 to 2016-12</t>
  </si>
  <si>
    <t xml:space="preserve">CO Aggregate (JDR)</t>
  </si>
  <si>
    <t xml:space="preserve">Absorbed</t>
  </si>
  <si>
    <t xml:space="preserve">Aggregate CO impact per JDR code 999 (Rev − Orig): $301,869.00. Individual CO values not OCR-readable.</t>
  </si>
  <si>
    <t xml:space="preserve">2023 Job Detail Report.pdf (Sage Timberline, 04/03/2026, 285 pages) (code 999)</t>
  </si>
  <si>
    <t xml:space="preserve">TOTAL (contract + COs)</t>
  </si>
  <si>
    <t xml:space="preserve">NOTE: JDR-implied CO total = $301,869.00. 5 CO PDFs on file (CO 11, 19, 20, 21, 22) are image-only scans; individual values require OCR. CO numbering gap (jump from 11 to 19) suggests 6+ additional COs exist but are not in the CO_s folder. Outbound POs: 180+ total (2 placed, 26 scheduled, 152 completed) + 38 Trim POs — see POs/ folders.</t>
  </si>
  <si>
    <t xml:space="preserve">Billing &amp; Schedule of Values</t>
  </si>
  <si>
    <t xml:space="preserve">25 unique invoices to Chinn Construction, LLC. Retainage $138,568.45 = 5.0% of revenue.</t>
  </si>
  <si>
    <t xml:space="preserve">Invoice #</t>
  </si>
  <si>
    <t xml:space="preserve">Total Billed (signed)</t>
  </si>
  <si>
    <t xml:space="preserve">Retainage (signed)</t>
  </si>
  <si>
    <t xml:space="preserve"># Lines</t>
  </si>
  <si>
    <t xml:space="preserve">036573</t>
  </si>
  <si>
    <t xml:space="preserve">01/19/15</t>
  </si>
  <si>
    <t xml:space="preserve">036580</t>
  </si>
  <si>
    <t xml:space="preserve">02/11/15</t>
  </si>
  <si>
    <t xml:space="preserve">036595</t>
  </si>
  <si>
    <t xml:space="preserve">03/18/15</t>
  </si>
  <si>
    <t xml:space="preserve">036602</t>
  </si>
  <si>
    <t xml:space="preserve">04/20/15</t>
  </si>
  <si>
    <t xml:space="preserve">036608</t>
  </si>
  <si>
    <t xml:space="preserve">05/19/15</t>
  </si>
  <si>
    <t xml:space="preserve">036616</t>
  </si>
  <si>
    <t xml:space="preserve">06/18/15</t>
  </si>
  <si>
    <t xml:space="preserve">036626</t>
  </si>
  <si>
    <t xml:space="preserve">07/20/15</t>
  </si>
  <si>
    <t xml:space="preserve">036632</t>
  </si>
  <si>
    <t xml:space="preserve">08/20/15</t>
  </si>
  <si>
    <t xml:space="preserve">036641</t>
  </si>
  <si>
    <t xml:space="preserve">09/18/15</t>
  </si>
  <si>
    <t xml:space="preserve">036649</t>
  </si>
  <si>
    <t xml:space="preserve">10/19/15</t>
  </si>
  <si>
    <t xml:space="preserve">036657</t>
  </si>
  <si>
    <t xml:space="preserve">11/16/15</t>
  </si>
  <si>
    <t xml:space="preserve">036671</t>
  </si>
  <si>
    <t xml:space="preserve">12/18/15</t>
  </si>
  <si>
    <t xml:space="preserve">036676</t>
  </si>
  <si>
    <t xml:space="preserve">01/20/16</t>
  </si>
  <si>
    <t xml:space="preserve">036684</t>
  </si>
  <si>
    <t xml:space="preserve">02/19/16</t>
  </si>
  <si>
    <t xml:space="preserve">036698</t>
  </si>
  <si>
    <t xml:space="preserve">03/18/16</t>
  </si>
  <si>
    <t xml:space="preserve">036713</t>
  </si>
  <si>
    <t xml:space="preserve">04/20/16</t>
  </si>
  <si>
    <t xml:space="preserve">036724</t>
  </si>
  <si>
    <t xml:space="preserve">05/20/16</t>
  </si>
  <si>
    <t xml:space="preserve">036742</t>
  </si>
  <si>
    <t xml:space="preserve">06/20/16</t>
  </si>
  <si>
    <t xml:space="preserve">036756</t>
  </si>
  <si>
    <t xml:space="preserve">07/20/16</t>
  </si>
  <si>
    <t xml:space="preserve">036759</t>
  </si>
  <si>
    <t xml:space="preserve">036760</t>
  </si>
  <si>
    <t xml:space="preserve">036774</t>
  </si>
  <si>
    <t xml:space="preserve">08/19/16</t>
  </si>
  <si>
    <t xml:space="preserve">036788</t>
  </si>
  <si>
    <t xml:space="preserve">09/22/16</t>
  </si>
  <si>
    <t xml:space="preserve">036793</t>
  </si>
  <si>
    <t xml:space="preserve">10/20/16</t>
  </si>
  <si>
    <t xml:space="preserve">036809</t>
  </si>
  <si>
    <t xml:space="preserve">12/15/16</t>
  </si>
  <si>
    <t xml:space="preserve">TOTAL (signed)</t>
  </si>
  <si>
    <t xml:space="preserve">NOTE: AR entries signed negative per Sage convention. Net billed = $2,771,369.00; retainage $138,568.45 outstanding on JDR dated 04/03/2026. First invoice 036573 (01/19/15); last invoice 036809 (12/15/16). Billing folder contains 'Legacy sent invoices &amp; releases' subfolder.</t>
  </si>
  <si>
    <t xml:space="preserve">Insights &amp; Observations</t>
  </si>
  <si>
    <t xml:space="preserve">Narrative findings from JDR + source documents</t>
  </si>
  <si>
    <t xml:space="preserve">#</t>
  </si>
  <si>
    <t xml:space="preserve">Insight</t>
  </si>
  <si>
    <t xml:space="preserve">Detail</t>
  </si>
  <si>
    <t xml:space="preserve">Confidence</t>
  </si>
  <si>
    <t xml:space="preserve">STRONG MARGIN</t>
  </si>
  <si>
    <t xml:space="preserve">Net profit $898,027.56 on $2,771,369.00 revenue = 32.4% gross margin. Well above typical multifamily plumbing (25-30%).</t>
  </si>
  <si>
    <t xml:space="preserve">Verified</t>
  </si>
  <si>
    <t xml:space="preserve">LABOR-HEAVY EXECUTION</t>
  </si>
  <si>
    <t xml:space="preserve">Labor cost $702,744.35 (25.4% of rev) across 33,107.0 hrs and 52 workers. Rough-in (120) = 17765 hrs = 54% of labor.</t>
  </si>
  <si>
    <t xml:space="preserve">ROUGH-IN OVERRUN</t>
  </si>
  <si>
    <t xml:space="preserve">Code 120 Rough-in Labor: $373,123.50 actual vs $304,097.00 revised budget = +$69,026.50 (22.7% over). Primary labor variance driver.</t>
  </si>
  <si>
    <t xml:space="preserve">MECH-ROOM MATERIAL BLOWOUT</t>
  </si>
  <si>
    <t xml:space="preserve">Code 242 Mech Room Material: $105,558.69 actual vs $22,500.00 revised = +$83,058.69 (369% over). Unusual magnitude.</t>
  </si>
  <si>
    <t xml:space="preserve">FINISH MATERIAL UNDER-RUN</t>
  </si>
  <si>
    <t xml:space="preserve">Code 230 Finish Material: $287,126.83 actual vs $491,330.00 = $-204,203.17 (-41.6% under). Major profit contributor.</t>
  </si>
  <si>
    <t xml:space="preserve">BURDEN-HEAVY</t>
  </si>
  <si>
    <t xml:space="preserve">Payroll Burden $312,024.89 + Taxes $54,627.81 = $366,652.70 = 52.2% of gross labor. Burden multiplier = 1.52x.</t>
  </si>
  <si>
    <t xml:space="preserve">TOP-WORKER CONCENTRATION</t>
  </si>
  <si>
    <t xml:space="preserve">Wilson, Garret A (ID WI46) logged 1778 hrs = 5.4% of project labor. Top 5 workers = 24.4%.</t>
  </si>
  <si>
    <t xml:space="preserve">VENDOR CONCENTRATION</t>
  </si>
  <si>
    <t xml:space="preserve">Top vendor Rosen Supply Company, Inc. $Legacy ($190,637.35). Top 4 suppliers (Rosen, Consolidated, Ferguson, Keller) account for majority of material spend.</t>
  </si>
  <si>
    <t xml:space="preserve">CO DOCUMENTATION GAP</t>
  </si>
  <si>
    <t xml:space="preserve">Original $2,469,500.00 → Final $2,771,369.00 = +$301,869.00 (12.22%). Only 5 CO PDFs on file (CO 11, 19, 20, 21, 22) — all image-only scans. CO# gap (11→19) suggests 6+ missing COs.</t>
  </si>
  <si>
    <t xml:space="preserve">Medium</t>
  </si>
  <si>
    <t xml:space="preserve">CO folder + 2023 Job Detail Report.pdf (Sage Timberline, 04/03/2026, 285 pages)</t>
  </si>
  <si>
    <t xml:space="preserve">RETAINAGE OUTSTANDING</t>
  </si>
  <si>
    <t xml:space="preserve">Retainage $138,568.45 still open on JDR dated 04/03/2026, 9+ years after last billing 12/15/2016. Release or write-off pending.</t>
  </si>
  <si>
    <t xml:space="preserve">RICH COORDINATION TRAIL</t>
  </si>
  <si>
    <t xml:space="preserve">125 ASI-RFI documents on file (ASIs 07/09/10/14/16/25/26 + Hadley RFIs 051-360+). Heavy RFI volume consistent with large multifamily project complexity.</t>
  </si>
  <si>
    <t xml:space="preserve">ASI-RFI folder</t>
  </si>
  <si>
    <t xml:space="preserve">EXTENSIVE SUBMITTAL LOG</t>
  </si>
  <si>
    <t xml:space="preserve">100+ submittals across Equipment, Fixture, Material, Underground &amp; Garage, Responses folders — thorough approval trail.</t>
  </si>
  <si>
    <t xml:space="preserve">Submittals folder</t>
  </si>
  <si>
    <t xml:space="preserve">LARGE PO VOLUME</t>
  </si>
  <si>
    <t xml:space="preserve">180+ POs total (152 completed, 2 placed, 26 scheduled) + 38 Trim POs. Indicates tight procurement control on this $2.8M project.</t>
  </si>
  <si>
    <t xml:space="preserve">POs folder</t>
  </si>
  <si>
    <t xml:space="preserve">BID-LEVEL FIXTURE DETAIL</t>
  </si>
  <si>
    <t xml:space="preserve">Bid sheet (9/9/2014) itemizes 241 units (230 std + 11 ADA), 244 WCs, 244 lavs, 241 bathing fixtures, 211 kitchen sinks, 31 hose bibs, 4 water heaters, 17 roof drains.</t>
  </si>
  <si>
    <t xml:space="preserve">Chinn Legacy Mercer Island Sept 9 2014.xlsx</t>
  </si>
  <si>
    <t xml:space="preserve">LONG DURATION</t>
  </si>
  <si>
    <t xml:space="preserve">Work span 01/19/2015 – 12/15/2016 = ~23 months. Sustained execution on a large multifamily build.</t>
  </si>
  <si>
    <t xml:space="preserve">Benchmark KPIs</t>
  </si>
  <si>
    <t xml:space="preserve">Normalized metrics for cross-project comparison</t>
  </si>
  <si>
    <t xml:space="preserve">KPI</t>
  </si>
  <si>
    <t xml:space="preserve">Data Name</t>
  </si>
  <si>
    <t xml:space="preserve">Source Document</t>
  </si>
  <si>
    <t xml:space="preserve">Job Number</t>
  </si>
  <si>
    <t xml:space="preserve">job_number</t>
  </si>
  <si>
    <t xml:space="preserve">Profile</t>
  </si>
  <si>
    <t xml:space="preserve">OWP job ID</t>
  </si>
  <si>
    <t xml:space="preserve">Job Name</t>
  </si>
  <si>
    <t xml:space="preserve">job_name</t>
  </si>
  <si>
    <t xml:space="preserve">Sage short name</t>
  </si>
  <si>
    <t xml:space="preserve">project_desc</t>
  </si>
  <si>
    <t xml:space="preserve">Legacy @ Mercer Island Apts (Hadley)</t>
  </si>
  <si>
    <t xml:space="preserve">Contract + AR lines</t>
  </si>
  <si>
    <t xml:space="preserve">general_contractor</t>
  </si>
  <si>
    <t xml:space="preserve">Customer 2023CC</t>
  </si>
  <si>
    <t xml:space="preserve">owner</t>
  </si>
  <si>
    <t xml:space="preserve">Per subcontract</t>
  </si>
  <si>
    <t xml:space="preserve">architect</t>
  </si>
  <si>
    <t xml:space="preserve">Per RFI responses</t>
  </si>
  <si>
    <t xml:space="preserve">Location</t>
  </si>
  <si>
    <t xml:space="preserve">location</t>
  </si>
  <si>
    <t xml:space="preserve">Contract address</t>
  </si>
  <si>
    <t xml:space="preserve">Project Type</t>
  </si>
  <si>
    <t xml:space="preserve">project_type</t>
  </si>
  <si>
    <t xml:space="preserve">Multifamily New Construction — Plumbing (~241 units)</t>
  </si>
  <si>
    <t xml:space="preserve">Bid sheet</t>
  </si>
  <si>
    <t xml:space="preserve">Work Start Date</t>
  </si>
  <si>
    <t xml:space="preserve">start_date</t>
  </si>
  <si>
    <t xml:space="preserve">2015-01-19</t>
  </si>
  <si>
    <t xml:space="preserve">First invoice</t>
  </si>
  <si>
    <t xml:space="preserve">Work End Date</t>
  </si>
  <si>
    <t xml:space="preserve">end_date</t>
  </si>
  <si>
    <t xml:space="preserve">2016-12-15</t>
  </si>
  <si>
    <t xml:space="preserve">Last AR posting</t>
  </si>
  <si>
    <t xml:space="preserve">Duration (months)</t>
  </si>
  <si>
    <t xml:space="preserve">duration_months</t>
  </si>
  <si>
    <t xml:space="preserve">Payroll + AR span</t>
  </si>
  <si>
    <t xml:space="preserve">Unit Count</t>
  </si>
  <si>
    <t xml:space="preserve">unit_count</t>
  </si>
  <si>
    <t xml:space="preserve">230 std + 11 ADA</t>
  </si>
  <si>
    <t xml:space="preserve">ADA Type A Units</t>
  </si>
  <si>
    <t xml:space="preserve">ada_units</t>
  </si>
  <si>
    <t xml:space="preserve">Per bid sheet</t>
  </si>
  <si>
    <t xml:space="preserve">Contract Original</t>
  </si>
  <si>
    <t xml:space="preserve">contract_original</t>
  </si>
  <si>
    <t xml:space="preserve">Financial</t>
  </si>
  <si>
    <t xml:space="preserve">Subcontract Lump Sum</t>
  </si>
  <si>
    <t xml:space="preserve">Contract Final</t>
  </si>
  <si>
    <t xml:space="preserve">contract_final</t>
  </si>
  <si>
    <t xml:space="preserve">Code 999 Rev Budget = AR total</t>
  </si>
  <si>
    <t xml:space="preserve">Change Orders ($, implied)</t>
  </si>
  <si>
    <t xml:space="preserve">change_orders_implied</t>
  </si>
  <si>
    <t xml:space="preserve">Final - Original</t>
  </si>
  <si>
    <t xml:space="preserve">Change Orders ($, documented)</t>
  </si>
  <si>
    <t xml:space="preserve">change_orders_documented</t>
  </si>
  <si>
    <t xml:space="preserve">CO PDFs are image-only scans</t>
  </si>
  <si>
    <t xml:space="preserve">Low</t>
  </si>
  <si>
    <t xml:space="preserve">CO folder</t>
  </si>
  <si>
    <t xml:space="preserve">CO Count Documented</t>
  </si>
  <si>
    <t xml:space="preserve">co_count</t>
  </si>
  <si>
    <t xml:space="preserve">Legacy CO 11, 19, 20, 21, 22</t>
  </si>
  <si>
    <t xml:space="preserve">Change Order % of Contract</t>
  </si>
  <si>
    <t xml:space="preserve">co_pct</t>
  </si>
  <si>
    <t xml:space="preserve">Revenue</t>
  </si>
  <si>
    <t xml:space="preserve">revenue</t>
  </si>
  <si>
    <t xml:space="preserve">AR total</t>
  </si>
  <si>
    <t xml:space="preserve">Direct Cost</t>
  </si>
  <si>
    <t xml:space="preserve">direct_cost</t>
  </si>
  <si>
    <t xml:space="preserve">JDR Job Totals Expenses</t>
  </si>
  <si>
    <t xml:space="preserve">Net Profit</t>
  </si>
  <si>
    <t xml:space="preserve">net_profit</t>
  </si>
  <si>
    <t xml:space="preserve">Rev - Expenses</t>
  </si>
  <si>
    <t xml:space="preserve">gross_margin</t>
  </si>
  <si>
    <t xml:space="preserve">Retainage Outstanding</t>
  </si>
  <si>
    <t xml:space="preserve">retainage</t>
  </si>
  <si>
    <t xml:space="preserve">Open per JDR</t>
  </si>
  <si>
    <t xml:space="preserve">Retainage % of Revenue</t>
  </si>
  <si>
    <t xml:space="preserve">retainage_pct</t>
  </si>
  <si>
    <t xml:space="preserve">Labor Cost</t>
  </si>
  <si>
    <t xml:space="preserve">labor_cost</t>
  </si>
  <si>
    <t xml:space="preserve">Codes 100-150</t>
  </si>
  <si>
    <t xml:space="preserve">Material Cost</t>
  </si>
  <si>
    <t xml:space="preserve">material_cost</t>
  </si>
  <si>
    <t xml:space="preserve">Codes 210-244</t>
  </si>
  <si>
    <t xml:space="preserve">Subcontractor+OH Cost</t>
  </si>
  <si>
    <t xml:space="preserve">overhead_cost</t>
  </si>
  <si>
    <t xml:space="preserve">Codes 600-607</t>
  </si>
  <si>
    <t xml:space="preserve">Burden Cost</t>
  </si>
  <si>
    <t xml:space="preserve">burden_cost</t>
  </si>
  <si>
    <t xml:space="preserve">Code 995</t>
  </si>
  <si>
    <t xml:space="preserve">Tax Cost</t>
  </si>
  <si>
    <t xml:space="preserve">tax_cost</t>
  </si>
  <si>
    <t xml:space="preserve">Code 998</t>
  </si>
  <si>
    <t xml:space="preserve">total_hours</t>
  </si>
  <si>
    <t xml:space="preserve">Sum labor codes</t>
  </si>
  <si>
    <t xml:space="preserve">total_workers</t>
  </si>
  <si>
    <t xml:space="preserve">blended_gross_wage</t>
  </si>
  <si>
    <t xml:space="preserve">Fully-Loaded Wage ($/hr)</t>
  </si>
  <si>
    <t xml:space="preserve">fully_loaded_wage</t>
  </si>
  <si>
    <t xml:space="preserve">Incl burden + tax</t>
  </si>
  <si>
    <t xml:space="preserve">burden_multiplier</t>
  </si>
  <si>
    <t xml:space="preserve">Fully-loaded/blended</t>
  </si>
  <si>
    <t xml:space="preserve">Rough-in Hours</t>
  </si>
  <si>
    <t xml:space="preserve">roughin_hours</t>
  </si>
  <si>
    <t xml:space="preserve">Code 120</t>
  </si>
  <si>
    <t xml:space="preserve">Finish Hours</t>
  </si>
  <si>
    <t xml:space="preserve">finish_hours</t>
  </si>
  <si>
    <t xml:space="preserve">Code 130</t>
  </si>
  <si>
    <t xml:space="preserve">Revenue per Hour</t>
  </si>
  <si>
    <t xml:space="preserve">revenue_per_hour</t>
  </si>
  <si>
    <t xml:space="preserve">Productivity</t>
  </si>
  <si>
    <t xml:space="preserve">Profit per Hour</t>
  </si>
  <si>
    <t xml:space="preserve">profit_per_hour</t>
  </si>
  <si>
    <t xml:space="preserve">Revenue per Unit</t>
  </si>
  <si>
    <t xml:space="preserve">revenue_per_unit</t>
  </si>
  <si>
    <t xml:space="preserve">241 units</t>
  </si>
  <si>
    <t xml:space="preserve">cost_per_unit</t>
  </si>
  <si>
    <t xml:space="preserve">hours_per_unit</t>
  </si>
  <si>
    <t xml:space="preserve">labor_pct_revenue</t>
  </si>
  <si>
    <t xml:space="preserve">Cost Mix</t>
  </si>
  <si>
    <t xml:space="preserve">material_pct_revenue</t>
  </si>
  <si>
    <t xml:space="preserve">Total Vendors (AP)</t>
  </si>
  <si>
    <t xml:space="preserve">total_vendors</t>
  </si>
  <si>
    <t xml:space="preserve">Unique vendor IDs</t>
  </si>
  <si>
    <t xml:space="preserve">Total Invoices (AR)</t>
  </si>
  <si>
    <t xml:space="preserve">total_invoices</t>
  </si>
  <si>
    <t xml:space="preserve">Billing</t>
  </si>
  <si>
    <t xml:space="preserve">Unique invoice numbers</t>
  </si>
  <si>
    <t xml:space="preserve">ASI-RFI Count</t>
  </si>
  <si>
    <t xml:space="preserve">rfi_count</t>
  </si>
  <si>
    <t xml:space="preserve">Docs</t>
  </si>
  <si>
    <t xml:space="preserve">Per folder scan</t>
  </si>
  <si>
    <t xml:space="preserve">Submittal Count</t>
  </si>
  <si>
    <t xml:space="preserve">submittal_count</t>
  </si>
  <si>
    <t xml:space="preserve">100+ across all submittal subfolders</t>
  </si>
  <si>
    <t xml:space="preserve">PO Count</t>
  </si>
  <si>
    <t xml:space="preserve">po_count</t>
  </si>
  <si>
    <t xml:space="preserve">152 completed + 2 placed + 26 scheduled + trim</t>
  </si>
  <si>
    <t xml:space="preserve">POs folders</t>
  </si>
  <si>
    <t xml:space="preserve">Fixture Count (WCs)</t>
  </si>
  <si>
    <t xml:space="preserve">wc_count</t>
  </si>
  <si>
    <t xml:space="preserve">Scope</t>
  </si>
  <si>
    <t xml:space="preserve">241 unit + 3 amenity</t>
  </si>
  <si>
    <t xml:space="preserve">Fixture Count (Lavs)</t>
  </si>
  <si>
    <t xml:space="preserve">lav_count</t>
  </si>
  <si>
    <t xml:space="preserve">Bathing Fixtures</t>
  </si>
  <si>
    <t xml:space="preserve">bath_count</t>
  </si>
  <si>
    <t xml:space="preserve">197 tub/shower + 44 shower</t>
  </si>
  <si>
    <t xml:space="preserve">Kitchen Sinks</t>
  </si>
  <si>
    <t xml:space="preserve">ks_count</t>
  </si>
  <si>
    <t xml:space="preserve">Standard + ADA kitchen sinks</t>
  </si>
  <si>
    <t xml:space="preserve">Hose Bibs</t>
  </si>
  <si>
    <t xml:space="preserve">hose_bibs</t>
  </si>
  <si>
    <t xml:space="preserve">Exterior + common-area</t>
  </si>
  <si>
    <t xml:space="preserve">Water Heaters</t>
  </si>
  <si>
    <t xml:space="preserve">water_heaters</t>
  </si>
  <si>
    <t xml:space="preserve">Central plant</t>
  </si>
  <si>
    <t xml:space="preserve">Roof Drains</t>
  </si>
  <si>
    <t xml:space="preserve">roof_drains</t>
  </si>
  <si>
    <t xml:space="preserve">AP Spend (JDR footer)</t>
  </si>
  <si>
    <t xml:space="preserve">ap_total</t>
  </si>
  <si>
    <t xml:space="preserve">JDR footer</t>
  </si>
  <si>
    <t xml:space="preserve">PR Spend (JDR footer)</t>
  </si>
  <si>
    <t xml:space="preserve">pr_total</t>
  </si>
  <si>
    <t xml:space="preserve">JDR footer (labor+burden+tax)</t>
  </si>
  <si>
    <t xml:space="preserve">GL Spend (JDR footer)</t>
  </si>
  <si>
    <t xml:space="preserve">gl_total</t>
  </si>
  <si>
    <t xml:space="preserve">Vendors — AP Summary</t>
  </si>
  <si>
    <t xml:space="preserve">Vendor-level spend ranking</t>
  </si>
  <si>
    <t xml:space="preserve">Rank</t>
  </si>
  <si>
    <t xml:space="preserve">% of AP</t>
  </si>
  <si>
    <t xml:space="preserve">Change Log — Master Register</t>
  </si>
  <si>
    <t xml:space="preserve">COs, RFIs, ASIs, Submittals, POs — from project folders</t>
  </si>
  <si>
    <t xml:space="preserve">Event ID</t>
  </si>
  <si>
    <t xml:space="preserve">Subject</t>
  </si>
  <si>
    <t xml:space="preserve">Originator</t>
  </si>
  <si>
    <t xml:space="preserve">Cost Impact ($)</t>
  </si>
  <si>
    <t xml:space="preserve">CONTRACT-ORIG</t>
  </si>
  <si>
    <t xml:space="preserve">Contract</t>
  </si>
  <si>
    <t xml:space="preserve">2014-09 (bid) / 2015-01 (work start)</t>
  </si>
  <si>
    <t xml:space="preserve">Prime subcontract — Lump Sum $2,469,500.00</t>
  </si>
  <si>
    <t xml:space="preserve">Executed</t>
  </si>
  <si>
    <t xml:space="preserve">CO-11</t>
  </si>
  <si>
    <t xml:space="preserve">Legacy CO 11 — image-scan PDF, value NOT extractable</t>
  </si>
  <si>
    <t xml:space="preserve">CO_s/Legacy CO 11 Signed.pdf</t>
  </si>
  <si>
    <t xml:space="preserve">CO-19</t>
  </si>
  <si>
    <t xml:space="preserve">Legacy CO 19 — image-scan PDF, value NOT extractable</t>
  </si>
  <si>
    <t xml:space="preserve">CO_s/Legacy CO 19.pdf</t>
  </si>
  <si>
    <t xml:space="preserve">CO-20</t>
  </si>
  <si>
    <t xml:space="preserve">Legacy CO 20 — image-scan PDF, value NOT extractable</t>
  </si>
  <si>
    <t xml:space="preserve">CO_s/Legacy CO 20.pdf</t>
  </si>
  <si>
    <t xml:space="preserve">CO-21</t>
  </si>
  <si>
    <t xml:space="preserve">Legacy CO 21 — image-scan PDF, value NOT extractable</t>
  </si>
  <si>
    <t xml:space="preserve">CO_s/Legacy CO 21.pdf</t>
  </si>
  <si>
    <t xml:space="preserve">CO-22</t>
  </si>
  <si>
    <t xml:space="preserve">Legacy CO 22 — image-scan PDF, value NOT extractable</t>
  </si>
  <si>
    <t xml:space="preserve">CO_s/Legacy CO 22.pdf</t>
  </si>
  <si>
    <t xml:space="preserve">CO Aggregate</t>
  </si>
  <si>
    <t xml:space="preserve">Thru 2016-12</t>
  </si>
  <si>
    <t xml:space="preserve">Aggregate CO impact per JDR code 999 delta = $301,869.00</t>
  </si>
  <si>
    <t xml:space="preserve">CO-GAP</t>
  </si>
  <si>
    <t xml:space="preserve">CO Numbering Gap</t>
  </si>
  <si>
    <t xml:space="preserve">—</t>
  </si>
  <si>
    <t xml:space="preserve">CO# jumps 11→19 in folder — suggests 6+ COs missing from folder</t>
  </si>
  <si>
    <t xml:space="preserve">Unresolved</t>
  </si>
  <si>
    <t xml:space="preserve">CO folder scan</t>
  </si>
  <si>
    <t xml:space="preserve">ASI-RFI-BATCH</t>
  </si>
  <si>
    <t xml:space="preserve">RFI/ASI batch</t>
  </si>
  <si>
    <t xml:space="preserve">2015-2016</t>
  </si>
  <si>
    <t xml:space="preserve">125 ASI-RFI docs (ASIs 07/09/10/14/16/25/26 + Hadley RFIs 051-360+; VIA &amp; BCRA responses)</t>
  </si>
  <si>
    <t xml:space="preserve">VIA Architecture / Sub / GC</t>
  </si>
  <si>
    <t xml:space="preserve">Resolved</t>
  </si>
  <si>
    <t xml:space="preserve">ASI-RFI/</t>
  </si>
  <si>
    <t xml:space="preserve">DROPBOX-RFI</t>
  </si>
  <si>
    <t xml:space="preserve">RFI batch</t>
  </si>
  <si>
    <t xml:space="preserve">Additional RFI docs from field tablets</t>
  </si>
  <si>
    <t xml:space="preserve">Sub (OWP)</t>
  </si>
  <si>
    <t xml:space="preserve">DROPBOX FILES FROM TABLETS/</t>
  </si>
  <si>
    <t xml:space="preserve">SUB-EQUIPMENT</t>
  </si>
  <si>
    <t xml:space="preserve">Submittal batch</t>
  </si>
  <si>
    <t xml:space="preserve">Equipment submittals (Backflow preventer, Expansion tank, etc.)</t>
  </si>
  <si>
    <t xml:space="preserve">Approved</t>
  </si>
  <si>
    <t xml:space="preserve">Submittals/EQUIPMENT SUBMITTALS/</t>
  </si>
  <si>
    <t xml:space="preserve">SUB-FIXTURE</t>
  </si>
  <si>
    <t xml:space="preserve">Fixture submittals (WC, lav, tub/shower, sinks) — multiple revision rounds</t>
  </si>
  <si>
    <t xml:space="preserve">Submittals/FIXTURE SUBMITTALS/ (incl. REVISED SUBMITTALS 09.21.15)</t>
  </si>
  <si>
    <t xml:space="preserve">SUB-MATERIAL</t>
  </si>
  <si>
    <t xml:space="preserve">Material submittals (PVC pipe &amp; fittings, full material submittal package)</t>
  </si>
  <si>
    <t xml:space="preserve">Submittals/MATERIAL SUBMITTALS/</t>
  </si>
  <si>
    <t xml:space="preserve">SUB-UG</t>
  </si>
  <si>
    <t xml:space="preserve">Underground &amp; Garage submittals (pump basin, oil-water separator, Proset toilet detail)</t>
  </si>
  <si>
    <t xml:space="preserve">Submittals/UNDERGROUND &amp; GARAGE SUBMITTALS/</t>
  </si>
  <si>
    <t xml:space="preserve">SUB-RESPONSES</t>
  </si>
  <si>
    <t xml:space="preserve">Submittal Responses</t>
  </si>
  <si>
    <t xml:space="preserve">Returned submittal responses from GC/Architect</t>
  </si>
  <si>
    <t xml:space="preserve">VIA Architecture / Chinn Construction, LLC</t>
  </si>
  <si>
    <t xml:space="preserve">Logged</t>
  </si>
  <si>
    <t xml:space="preserve">Submittals/RESPONSES/</t>
  </si>
  <si>
    <t xml:space="preserve">PO-COMPLETED</t>
  </si>
  <si>
    <t xml:space="preserve">PO batch</t>
  </si>
  <si>
    <t xml:space="preserve">152 completed POs</t>
  </si>
  <si>
    <t xml:space="preserve">Complete</t>
  </si>
  <si>
    <t xml:space="preserve">PO_s/3 Completed/</t>
  </si>
  <si>
    <t xml:space="preserve">PO-PLACED</t>
  </si>
  <si>
    <t xml:space="preserve">2 placed POs</t>
  </si>
  <si>
    <t xml:space="preserve">Placed</t>
  </si>
  <si>
    <t xml:space="preserve">PO_s/1 Placed/</t>
  </si>
  <si>
    <t xml:space="preserve">PO-SCHEDULED</t>
  </si>
  <si>
    <t xml:space="preserve">26 scheduled POs</t>
  </si>
  <si>
    <t xml:space="preserve">Scheduled</t>
  </si>
  <si>
    <t xml:space="preserve">PO_s/2 Scheduled/</t>
  </si>
  <si>
    <t xml:space="preserve">PO-TRIM</t>
  </si>
  <si>
    <t xml:space="preserve">PO batch (trim)</t>
  </si>
  <si>
    <t xml:space="preserve">38 Trim POs (fixture trim-out)</t>
  </si>
  <si>
    <t xml:space="preserve">PO_s/Trim PO_s/</t>
  </si>
  <si>
    <t xml:space="preserve">MEETINGS</t>
  </si>
  <si>
    <t xml:space="preserve">Meeting log</t>
  </si>
  <si>
    <t xml:space="preserve">Project meeting notes &amp; schedules</t>
  </si>
  <si>
    <t xml:space="preserve">Meetings-Schedules/</t>
  </si>
  <si>
    <t xml:space="preserve">OM-TURNOVER</t>
  </si>
  <si>
    <t xml:space="preserve">O&amp;M Closeout</t>
  </si>
  <si>
    <t xml:space="preserve">Operations &amp; Maintenance closeout package</t>
  </si>
  <si>
    <t xml:space="preserve">Delivered</t>
  </si>
  <si>
    <t xml:space="preserve">O&amp;M_s/</t>
  </si>
  <si>
    <t xml:space="preserve">FRANKLIN-ENG</t>
  </si>
  <si>
    <t xml:space="preserve">Engineering</t>
  </si>
  <si>
    <t xml:space="preserve">Franklin Mercer Island engineering package (code 601)</t>
  </si>
  <si>
    <t xml:space="preserve">Completed</t>
  </si>
  <si>
    <t xml:space="preserve">Franklin Mercer Island/</t>
  </si>
  <si>
    <t xml:space="preserve">FIRST-INVOICE</t>
  </si>
  <si>
    <t xml:space="preserve">Invoice</t>
  </si>
  <si>
    <t xml:space="preserve">First billing #036573</t>
  </si>
  <si>
    <t xml:space="preserve">Paid</t>
  </si>
  <si>
    <t xml:space="preserve">LAST-INVOICE</t>
  </si>
  <si>
    <t xml:space="preserve">Last billing #036809</t>
  </si>
  <si>
    <t xml:space="preserve">RETAINAGE-OPEN</t>
  </si>
  <si>
    <t xml:space="preserve">Retainage</t>
  </si>
  <si>
    <t xml:space="preserve">As of 04/03/2026</t>
  </si>
  <si>
    <t xml:space="preserve">Retainage $138,568.45 outstanding 9+ years post-closeout</t>
  </si>
  <si>
    <t xml:space="preserve">GC</t>
  </si>
  <si>
    <t xml:space="preserve">Outstanding</t>
  </si>
  <si>
    <t xml:space="preserve">Root Cause Analysis</t>
  </si>
  <si>
    <t xml:space="preserve">Variance drivers — rough-in labor &amp; mech-room material overruns offset by finish-material savings</t>
  </si>
  <si>
    <t xml:space="preserve">COST-CODE VARIANCE CATEGORIES</t>
  </si>
  <si>
    <t xml:space="preserve">Codes Affected</t>
  </si>
  <si>
    <t xml:space="preserve">Net $ Variance</t>
  </si>
  <si>
    <t xml:space="preserve">Root Cause (inferred)</t>
  </si>
  <si>
    <t xml:space="preserve">Rough-in labor overrun</t>
  </si>
  <si>
    <t xml:space="preserve">120 Rough-in Labor</t>
  </si>
  <si>
    <t xml:space="preserve">Field productivity below estimate; 125 RFIs indicate coordination churn</t>
  </si>
  <si>
    <t xml:space="preserve">$69,026 over — largest labor variance driver</t>
  </si>
  <si>
    <t xml:space="preserve">Gas / Water-Main / Mech labor overruns</t>
  </si>
  <si>
    <t xml:space="preserve">140, 141, 142, 143</t>
  </si>
  <si>
    <t xml:space="preserve">Scope growth in piping work</t>
  </si>
  <si>
    <t xml:space="preserve">Field supplemental scope</t>
  </si>
  <si>
    <t xml:space="preserve">Finish &amp; Takeoff labor overruns</t>
  </si>
  <si>
    <t xml:space="preserve">101, 130</t>
  </si>
  <si>
    <t xml:space="preserve">Takeoff labor significantly over; finish labor modestly over</t>
  </si>
  <si>
    <t xml:space="preserve">Estimating gap</t>
  </si>
  <si>
    <t xml:space="preserve">Garage labor under-run</t>
  </si>
  <si>
    <t xml:space="preserve">Efficient garage/podium execution</t>
  </si>
  <si>
    <t xml:space="preserve">Savings</t>
  </si>
  <si>
    <t xml:space="preserve">Other labor (small)</t>
  </si>
  <si>
    <t xml:space="preserve">100, 110, 112, 150</t>
  </si>
  <si>
    <t xml:space="preserve">Mixed</t>
  </si>
  <si>
    <t xml:space="preserve">Minor variances</t>
  </si>
  <si>
    <t xml:space="preserve">Finish material savings</t>
  </si>
  <si>
    <t xml:space="preserve">Favorable procurement on fixtures/finish goods</t>
  </si>
  <si>
    <t xml:space="preserve">Primary material profit driver</t>
  </si>
  <si>
    <t xml:space="preserve">Mech Room material overrun</t>
  </si>
  <si>
    <t xml:space="preserve">242 Mech Room Material</t>
  </si>
  <si>
    <t xml:space="preserve">Likely scope addition (CO-absorbed equipment)</t>
  </si>
  <si>
    <t xml:space="preserve">$83,059 over — 4-5x budget</t>
  </si>
  <si>
    <t xml:space="preserve">UG/Garage/Canout material</t>
  </si>
  <si>
    <t xml:space="preserve">210, 211, 212</t>
  </si>
  <si>
    <t xml:space="preserve">Mixed: UG over, Garage/Canout under</t>
  </si>
  <si>
    <t xml:space="preserve">Net savings</t>
  </si>
  <si>
    <t xml:space="preserve">Rough-in / Gas / Water material</t>
  </si>
  <si>
    <t xml:space="preserve">220, 240, 241</t>
  </si>
  <si>
    <t xml:space="preserve">Rough-in under; gas/water close to budget</t>
  </si>
  <si>
    <t xml:space="preserve">Burden / Tax accrual</t>
  </si>
  <si>
    <t xml:space="preserve">995, 998</t>
  </si>
  <si>
    <t xml:space="preserve">Rate growth on higher labor base</t>
  </si>
  <si>
    <t xml:space="preserve">OWP internal</t>
  </si>
  <si>
    <t xml:space="preserve">Support codes (600-607)</t>
  </si>
  <si>
    <t xml:space="preserve">Engineering + Other Expenses savings; small Subcontractor/Rental/Permit overruns</t>
  </si>
  <si>
    <t xml:space="preserve">TOTAL NET VARIANCE (Rev Budget vs Actual)</t>
  </si>
  <si>
    <t xml:space="preserve">RESPONSIBILITY ATTRIBUTION</t>
  </si>
  <si>
    <t xml:space="preserve">Responsible Party</t>
  </si>
  <si>
    <t xml:space="preserve"># Drivers</t>
  </si>
  <si>
    <t xml:space="preserve">Net $ Impact</t>
  </si>
  <si>
    <t xml:space="preserve">Sub (OWP) — rough-in productivity</t>
  </si>
  <si>
    <t xml:space="preserve">$69,026 overrun in code 120</t>
  </si>
  <si>
    <t xml:space="preserve">Sub (OWP) — piping/gas/mech labor</t>
  </si>
  <si>
    <t xml:space="preserve">Gas/water-main/mech labor over budget</t>
  </si>
  <si>
    <t xml:space="preserve">Sub (OWP) — procurement savings (finish)</t>
  </si>
  <si>
    <t xml:space="preserve">Finish material came in well under</t>
  </si>
  <si>
    <t xml:space="preserve">Sub (OWP) — mech-room material risk</t>
  </si>
  <si>
    <t xml:space="preserve">Major $ overrun — likely scope absorbed</t>
  </si>
  <si>
    <t xml:space="preserve">Sub (OWP) — estimating discipline</t>
  </si>
  <si>
    <t xml:space="preserve">Mix of savings</t>
  </si>
  <si>
    <t xml:space="preserve">Designer (VIA) / GC (RFI churn)</t>
  </si>
  <si>
    <t xml:space="preserve">125 ASI-RFIs — coordination cost absorbed in 120 labor</t>
  </si>
  <si>
    <t xml:space="preserve">Burden rate — OWP internal</t>
  </si>
  <si>
    <t xml:space="preserve">Rate growth</t>
  </si>
  <si>
    <t xml:space="preserve">Support codes — OWP</t>
  </si>
  <si>
    <t xml:space="preserve">Predictive Signals</t>
  </si>
  <si>
    <t xml:space="preserve">Leading indicators from project documents + JDR</t>
  </si>
  <si>
    <t xml:space="preserve">CURRENT-STATE SIGNALS</t>
  </si>
  <si>
    <t xml:space="preserve">Indicator</t>
  </si>
  <si>
    <t xml:space="preserve">Current Value</t>
  </si>
  <si>
    <t xml:space="preserve">Benchmark</t>
  </si>
  <si>
    <t xml:space="preserve">Meaning</t>
  </si>
  <si>
    <t xml:space="preserve">&lt;100 for mid-size MF</t>
  </si>
  <si>
    <t xml:space="preserve">ELEVATED</t>
  </si>
  <si>
    <t xml:space="preserve">125 ASI-RFIs — heavy coordination load</t>
  </si>
  <si>
    <t xml:space="preserve">100+</t>
  </si>
  <si>
    <t xml:space="preserve">varies</t>
  </si>
  <si>
    <t xml:space="preserve">INFO</t>
  </si>
  <si>
    <t xml:space="preserve">Thorough submittal trail</t>
  </si>
  <si>
    <t xml:space="preserve">ASI Count</t>
  </si>
  <si>
    <t xml:space="preserve">&lt;10</t>
  </si>
  <si>
    <t xml:space="preserve">HEALTHY</t>
  </si>
  <si>
    <t xml:space="preserve">7 ASIs — moderate design changes</t>
  </si>
  <si>
    <t xml:space="preserve">Documented CO Count</t>
  </si>
  <si>
    <t xml:space="preserve">all on file</t>
  </si>
  <si>
    <t xml:space="preserve">Only 5 CO PDFs (image-only); CO# gap 11→19 suggests 6+ missing</t>
  </si>
  <si>
    <t xml:space="preserve">Contract Growth %</t>
  </si>
  <si>
    <t xml:space="preserve">12.22%</t>
  </si>
  <si>
    <t xml:space="preserve">&lt;15%</t>
  </si>
  <si>
    <t xml:space="preserve">12.2% growth — meaningful scope changes</t>
  </si>
  <si>
    <t xml:space="preserve">CO Value Traceability</t>
  </si>
  <si>
    <t xml:space="preserve">LOW</t>
  </si>
  <si>
    <t xml:space="preserve">all CO $ readable</t>
  </si>
  <si>
    <t xml:space="preserve">RISK</t>
  </si>
  <si>
    <t xml:space="preserve">CO PDFs image-only — individual $ values not machine-readable</t>
  </si>
  <si>
    <t xml:space="preserve">Labor Hrs vs Budget</t>
  </si>
  <si>
    <t xml:space="preserve">33,107</t>
  </si>
  <si>
    <t xml:space="preserve">33,107 hrs</t>
  </si>
  <si>
    <t xml:space="preserve">Labor Cost % of Revenue</t>
  </si>
  <si>
    <t xml:space="preserve">&lt;30%</t>
  </si>
  <si>
    <t xml:space="preserve">25.4%</t>
  </si>
  <si>
    <t xml:space="preserve">Retainage Release Pending</t>
  </si>
  <si>
    <t xml:space="preserve">YES</t>
  </si>
  <si>
    <t xml:space="preserve">Released within 90 days post-closeout</t>
  </si>
  <si>
    <t xml:space="preserve">$138,568 open 9+ years</t>
  </si>
  <si>
    <t xml:space="preserve">Worker Concentration (top 1)</t>
  </si>
  <si>
    <t xml:space="preserve">&lt;25%</t>
  </si>
  <si>
    <t xml:space="preserve">5.4% from single worker</t>
  </si>
  <si>
    <t xml:space="preserve">Rough-in Labor Share</t>
  </si>
  <si>
    <t xml:space="preserve">40-65%</t>
  </si>
  <si>
    <t xml:space="preserve">54% on rough-in</t>
  </si>
  <si>
    <t xml:space="preserve">Rough-in Budget Variance</t>
  </si>
  <si>
    <t xml:space="preserve">±10%</t>
  </si>
  <si>
    <t xml:space="preserve">22.7% over</t>
  </si>
  <si>
    <t xml:space="preserve">Mech Room Material Variance</t>
  </si>
  <si>
    <t xml:space="preserve">369% over</t>
  </si>
  <si>
    <t xml:space="preserve">PO Volume</t>
  </si>
  <si>
    <t xml:space="preserve">&gt;100 for large MF</t>
  </si>
  <si>
    <t xml:space="preserve">180+ POs — tight procurement</t>
  </si>
  <si>
    <t xml:space="preserve">Document Completeness</t>
  </si>
  <si>
    <t xml:space="preserve">HIGH (with CO caveat)</t>
  </si>
  <si>
    <t xml:space="preserve">Full CO/RFI/Submittal trail</t>
  </si>
  <si>
    <t xml:space="preserve">Contract, RFIs, Submittals, POs, Bid Sheet complete; CO PDFs image-only + folder gap</t>
  </si>
  <si>
    <t xml:space="preserve">FORECAST MODELS</t>
  </si>
  <si>
    <t xml:space="preserve">Forecast</t>
  </si>
  <si>
    <t xml:space="preserve">Current Estimate</t>
  </si>
  <si>
    <t xml:space="preserve">Driver</t>
  </si>
  <si>
    <t xml:space="preserve">Model Note</t>
  </si>
  <si>
    <t xml:space="preserve">Final margin (actual)</t>
  </si>
  <si>
    <t xml:space="preserve">Job closed</t>
  </si>
  <si>
    <t xml:space="preserve">32.4% — strong</t>
  </si>
  <si>
    <t xml:space="preserve">Retainage collection probability</t>
  </si>
  <si>
    <t xml:space="preserve">LOW (very stale)</t>
  </si>
  <si>
    <t xml:space="preserve">Qualitative</t>
  </si>
  <si>
    <t xml:space="preserve">9+ years outstanding</t>
  </si>
  <si>
    <t xml:space="preserve">Likely requires AR write-off or dispute resolution</t>
  </si>
  <si>
    <t xml:space="preserve">Composite risk score (0-100)</t>
  </si>
  <si>
    <t xml:space="preserve">Stale retainage + CO doc gap + mech-room variance; financials strong</t>
  </si>
  <si>
    <t xml:space="preserve">Financials strong; docs mostly strong but CO image-only</t>
  </si>
  <si>
    <t xml:space="preserve">Would re-bid margin target</t>
  </si>
  <si>
    <t xml:space="preserve">≥32%</t>
  </si>
  <si>
    <t xml:space="preserve">Historical close</t>
  </si>
  <si>
    <t xml:space="preserve">Assumes similar scope; tighten 120 rough-in and 242 mech-room estimating</t>
  </si>
  <si>
    <t xml:space="preserve">Unit-level economics</t>
  </si>
  <si>
    <t xml:space="preserve">$11,499/unit rev, $3,726/unit profit</t>
  </si>
  <si>
    <t xml:space="preserve">Benchmark for future large MF bids</t>
  </si>
  <si>
    <t xml:space="preserve">Metric Registry — Cortex Data Catalog</t>
  </si>
  <si>
    <t xml:space="preserve">Every metric with data_label, confidence, and source</t>
  </si>
  <si>
    <t xml:space="preserve">Data Label</t>
  </si>
  <si>
    <t xml:space="preserve">Human Label</t>
  </si>
  <si>
    <t xml:space="preserve">Unit</t>
  </si>
  <si>
    <t xml:space="preserve">Source Tab</t>
  </si>
  <si>
    <t xml:space="preserve">Source Document(s)</t>
  </si>
  <si>
    <t xml:space="preserve">id</t>
  </si>
  <si>
    <t xml:space="preserve">text</t>
  </si>
  <si>
    <t xml:space="preserve">customer_code</t>
  </si>
  <si>
    <t xml:space="preserve">Customer Code</t>
  </si>
  <si>
    <t xml:space="preserve">Overview</t>
  </si>
  <si>
    <t xml:space="preserve">Owner</t>
  </si>
  <si>
    <t xml:space="preserve">ASI-RFI</t>
  </si>
  <si>
    <t xml:space="preserve">2601 76th Ave SE, Mercer Island WA 98040</t>
  </si>
  <si>
    <t xml:space="preserve">Multifamily Plumbing (241 units)</t>
  </si>
  <si>
    <t xml:space="preserve">Work Start</t>
  </si>
  <si>
    <t xml:space="preserve">date</t>
  </si>
  <si>
    <t xml:space="preserve">Work End</t>
  </si>
  <si>
    <t xml:space="preserve">months</t>
  </si>
  <si>
    <t xml:space="preserve">units</t>
  </si>
  <si>
    <t xml:space="preserve">WC Fixture Count</t>
  </si>
  <si>
    <t xml:space="preserve">count</t>
  </si>
  <si>
    <t xml:space="preserve">Lavatory Count</t>
  </si>
  <si>
    <t xml:space="preserve">Bathing Fixture Count</t>
  </si>
  <si>
    <t xml:space="preserve">Kitchen Sink Count</t>
  </si>
  <si>
    <t xml:space="preserve">USD</t>
  </si>
  <si>
    <t xml:space="preserve">COs (implied)</t>
  </si>
  <si>
    <t xml:space="preserve">CO Count (documented)</t>
  </si>
  <si>
    <t xml:space="preserve">Change Log</t>
  </si>
  <si>
    <t xml:space="preserve">CO % of Contract</t>
  </si>
  <si>
    <t xml:space="preserve">%</t>
  </si>
  <si>
    <t xml:space="preserve">Subcon+OH Cost</t>
  </si>
  <si>
    <t xml:space="preserve">hours</t>
  </si>
  <si>
    <t xml:space="preserve">Blended Gross Wage</t>
  </si>
  <si>
    <t xml:space="preserve">USD/hr</t>
  </si>
  <si>
    <t xml:space="preserve">Fully-Loaded Wage</t>
  </si>
  <si>
    <t xml:space="preserve">x</t>
  </si>
  <si>
    <t xml:space="preserve">Vendors</t>
  </si>
  <si>
    <t xml:space="preserve">Billing &amp; SOV</t>
  </si>
  <si>
    <t xml:space="preserve">asi_count</t>
  </si>
  <si>
    <t xml:space="preserve">Submittal Count (≥)</t>
  </si>
  <si>
    <t xml:space="preserve">Submittals folders</t>
  </si>
  <si>
    <t xml:space="preserve">PO Count (≥)</t>
  </si>
  <si>
    <t xml:space="preserve">PO_s folders</t>
  </si>
  <si>
    <t xml:space="preserve">top_worker_hours_share</t>
  </si>
  <si>
    <t xml:space="preserve">top5_worker_hours_share</t>
  </si>
  <si>
    <t xml:space="preserve">Top 5 Worker Hours Share</t>
  </si>
  <si>
    <t xml:space="preserve">cost_code_count</t>
  </si>
  <si>
    <t xml:space="preserve">Cost Codes Active</t>
  </si>
  <si>
    <t xml:space="preserve">Reconciliation</t>
  </si>
  <si>
    <t xml:space="preserve">Cross-sheet formula checks</t>
  </si>
  <si>
    <t xml:space="preserve">Check</t>
  </si>
  <si>
    <t xml:space="preserve">Value A</t>
  </si>
  <si>
    <t xml:space="preserve">Value B</t>
  </si>
  <si>
    <t xml:space="preserve">Delta</t>
  </si>
  <si>
    <t xml:space="preserve">Tabs</t>
  </si>
  <si>
    <t xml:space="preserve">Revenue (JDR) = Contract Final</t>
  </si>
  <si>
    <t xml:space="preserve">1↔8</t>
  </si>
  <si>
    <t xml:space="preserve">Expenses = Labor+Material+OH+Burden+Tax</t>
  </si>
  <si>
    <t xml:space="preserve">1↔3</t>
  </si>
  <si>
    <t xml:space="preserve">Net Profit = Revenue - Expenses</t>
  </si>
  <si>
    <t xml:space="preserve">1↔Derived</t>
  </si>
  <si>
    <t xml:space="preserve">JDR Source: AP+PR+GL = Expenses</t>
  </si>
  <si>
    <t xml:space="preserve">1↔Derived (footer)</t>
  </si>
  <si>
    <t xml:space="preserve">Budget vs Actual (code 999) = -Revenue</t>
  </si>
  <si>
    <t xml:space="preserve">2↔1</t>
  </si>
  <si>
    <t xml:space="preserve">Total Labor Hours = Worker hours sum</t>
  </si>
  <si>
    <t xml:space="preserve">5↔2</t>
  </si>
  <si>
    <t xml:space="preserve">Labor Cost = Worker gross sum</t>
  </si>
  <si>
    <t xml:space="preserve">5↔3</t>
  </si>
  <si>
    <t xml:space="preserve">Vendor total ≈ AP footer</t>
  </si>
  <si>
    <t xml:space="preserve">12↔1 (approximate)</t>
  </si>
  <si>
    <t xml:space="preserve">Invoice count</t>
  </si>
  <si>
    <t xml:space="preserve">9↔11</t>
  </si>
  <si>
    <t xml:space="preserve">Contract Final - Orig = CO implied</t>
  </si>
  <si>
    <t xml:space="preserve">11↔Derived</t>
  </si>
  <si>
    <t xml:space="preserve">Retainage outstanding</t>
  </si>
  <si>
    <t xml:space="preserve">9↔JDR footer</t>
  </si>
  <si>
    <t xml:space="preserve">Retainage sum from invoices</t>
  </si>
  <si>
    <t xml:space="preserve">Worker count</t>
  </si>
  <si>
    <t xml:space="preserve">5↔11</t>
  </si>
  <si>
    <t xml:space="preserve">Cost code count</t>
  </si>
  <si>
    <t xml:space="preserve">2↔16</t>
  </si>
  <si>
    <t xml:space="preserve">Job #2023 — Cortex v2 17-tab (built from-scratch)</t>
  </si>
  <si>
    <t xml:space="preserve">JDR Job Totals: Revenue $2,771,369.00 / Expenses $1,873,341.44 / Net $898,027.56 / Retainage $138,568.45</t>
  </si>
  <si>
    <t xml:space="preserve">JDR Source breakdown: GL $110,321.43 · AP $682,284.56 · PR $1,080,735.45 · AR $2,771,369.00</t>
  </si>
  <si>
    <t xml:space="preserve">Contract: Legacy contract OCR_d.pdf (Chinn↔OWP subcontract, Lump Sum $2,469,500) (Lump Sum $2,469,500.00 to Hadley Improvements Owner, LLC, Mercer Island)</t>
  </si>
  <si>
    <t xml:space="preserve">Bid Sheet: Chinn Legacy Mercer Island Sept 9 2014.xlsx (241 units detailed fixture schedule)</t>
  </si>
  <si>
    <t xml:space="preserve">Change Orders: 5 CO PDFs (image-only scans) — individual $ not OCR-readable; CO# gap 11→19 suggests 6+ missing; aggregate CO impact = $301,869 per JDR</t>
  </si>
  <si>
    <t xml:space="preserve">ASI-RFI: 125 PDFs (ASIs 07/09/10/14/16/25/26 + Hadley RFIs 051-360+; VIA &amp; BCRA responses)</t>
  </si>
  <si>
    <t xml:space="preserve">Submittals: 100+ total (Equipment, Fixture, Material, Underground &amp; Garage, Responses)</t>
  </si>
  <si>
    <t xml:space="preserve">POs: 180+ total (152 completed / 2 placed / 26 scheduled) + 38 Trim POs</t>
  </si>
  <si>
    <t xml:space="preserve">O&amp;M: closeout package on file</t>
  </si>
  <si>
    <t xml:space="preserve">Unresolved: (a) CO individual $ values require OCR; (b) 6+ COs missing from folder (gap 11→19); (c) $138,568 retainage outstanding 9+ years</t>
  </si>
  <si>
    <t xml:space="preserve">TIES = within $1  ·  WITHIN = within 5%  ·  OFF = investigate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</si>
</sst>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#,##0.00"/>
    <numFmt numFmtId="167" formatCode="\$#,##0.00;[RED]&quot;-$&quot;#,##0.00"/>
    <numFmt numFmtId="168" formatCode="0.0%"/>
    <numFmt numFmtId="169" formatCode="#,##0"/>
    <numFmt numFmtId="170" formatCode="0.00\x"/>
    <numFmt numFmtId="171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2EFDA"/>
      </patternFill>
    </fill>
    <fill>
      <patternFill patternType="solid">
        <fgColor rgb="FF2E5090"/>
        <bgColor rgb="FF1F3864"/>
      </patternFill>
    </fill>
    <fill>
      <patternFill patternType="solid">
        <fgColor rgb="FFE2EFDA"/>
        <bgColor rgb="FFF2F2F2"/>
      </patternFill>
    </fill>
    <fill>
      <patternFill patternType="solid">
        <fgColor rgb="FFFFC7CE"/>
        <bgColor rgb="FFFFE6E6"/>
      </patternFill>
    </fill>
    <fill>
      <patternFill patternType="solid">
        <fgColor rgb="FFFFF2CC"/>
        <bgColor rgb="FFFFE6E6"/>
      </patternFill>
    </fill>
    <fill>
      <patternFill patternType="solid">
        <fgColor rgb="FFFFE6E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E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09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5" min="4" style="0" width="16"/>
    <col collapsed="false" customWidth="true" hidden="false" outlineLevel="0" max="7" min="6" style="0" width="18"/>
    <col collapsed="false" customWidth="true" hidden="false" outlineLevel="0" max="10" min="8" style="0" width="14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3" t="s">
        <v>2</v>
      </c>
    </row>
    <row r="6" customFormat="false" ht="15" hidden="false" customHeight="true" outlineLevel="0" collapsed="false">
      <c r="B6" s="4" t="s">
        <v>3</v>
      </c>
      <c r="C6" s="5" t="s">
        <v>4</v>
      </c>
      <c r="D6" s="5"/>
      <c r="E6" s="5"/>
      <c r="F6" s="6" t="s">
        <v>5</v>
      </c>
      <c r="G6" s="6"/>
      <c r="H6" s="6"/>
      <c r="I6" s="6"/>
      <c r="J6" s="6"/>
    </row>
    <row r="7" customFormat="false" ht="15" hidden="false" customHeight="true" outlineLevel="0" collapsed="false">
      <c r="B7" s="4" t="s">
        <v>6</v>
      </c>
      <c r="C7" s="5" t="s">
        <v>7</v>
      </c>
      <c r="D7" s="5"/>
      <c r="E7" s="5"/>
      <c r="F7" s="6" t="s">
        <v>5</v>
      </c>
      <c r="G7" s="6"/>
      <c r="H7" s="6"/>
      <c r="I7" s="6"/>
      <c r="J7" s="6"/>
    </row>
    <row r="8" customFormat="false" ht="23.85" hidden="false" customHeight="true" outlineLevel="0" collapsed="false">
      <c r="B8" s="4" t="s">
        <v>8</v>
      </c>
      <c r="C8" s="5" t="s">
        <v>9</v>
      </c>
      <c r="D8" s="5"/>
      <c r="E8" s="5"/>
      <c r="F8" s="6" t="s">
        <v>10</v>
      </c>
      <c r="G8" s="6"/>
      <c r="H8" s="6"/>
      <c r="I8" s="6"/>
      <c r="J8" s="6"/>
    </row>
    <row r="9" customFormat="false" ht="15" hidden="false" customHeight="true" outlineLevel="0" collapsed="false">
      <c r="B9" s="4" t="s">
        <v>11</v>
      </c>
      <c r="C9" s="5" t="s">
        <v>12</v>
      </c>
      <c r="D9" s="5"/>
      <c r="E9" s="5"/>
      <c r="F9" s="6" t="s">
        <v>13</v>
      </c>
      <c r="G9" s="6"/>
      <c r="H9" s="6"/>
      <c r="I9" s="6"/>
      <c r="J9" s="6"/>
    </row>
    <row r="10" customFormat="false" ht="15" hidden="false" customHeight="true" outlineLevel="0" collapsed="false">
      <c r="B10" s="4" t="s">
        <v>14</v>
      </c>
      <c r="C10" s="5" t="s">
        <v>15</v>
      </c>
      <c r="D10" s="5"/>
      <c r="E10" s="5"/>
      <c r="F10" s="6" t="s">
        <v>16</v>
      </c>
      <c r="G10" s="6"/>
      <c r="H10" s="6"/>
      <c r="I10" s="6"/>
      <c r="J10" s="6"/>
    </row>
    <row r="11" customFormat="false" ht="15" hidden="false" customHeight="true" outlineLevel="0" collapsed="false">
      <c r="B11" s="4" t="s">
        <v>17</v>
      </c>
      <c r="C11" s="5" t="s">
        <v>18</v>
      </c>
      <c r="D11" s="5"/>
      <c r="E11" s="5"/>
      <c r="F11" s="6" t="s">
        <v>13</v>
      </c>
      <c r="G11" s="6"/>
      <c r="H11" s="6"/>
      <c r="I11" s="6"/>
      <c r="J11" s="6"/>
    </row>
    <row r="12" customFormat="false" ht="15" hidden="false" customHeight="true" outlineLevel="0" collapsed="false">
      <c r="B12" s="4" t="s">
        <v>19</v>
      </c>
      <c r="C12" s="5" t="s">
        <v>20</v>
      </c>
      <c r="D12" s="5"/>
      <c r="E12" s="5"/>
      <c r="F12" s="6" t="s">
        <v>21</v>
      </c>
      <c r="G12" s="6"/>
      <c r="H12" s="6"/>
      <c r="I12" s="6"/>
      <c r="J12" s="6"/>
    </row>
    <row r="13" customFormat="false" ht="15" hidden="false" customHeight="true" outlineLevel="0" collapsed="false">
      <c r="B13" s="4" t="s">
        <v>22</v>
      </c>
      <c r="C13" s="5" t="s">
        <v>23</v>
      </c>
      <c r="D13" s="5"/>
      <c r="E13" s="5"/>
      <c r="F13" s="6" t="s">
        <v>13</v>
      </c>
      <c r="G13" s="6"/>
      <c r="H13" s="6"/>
      <c r="I13" s="6"/>
      <c r="J13" s="6"/>
    </row>
    <row r="14" customFormat="false" ht="23.85" hidden="false" customHeight="true" outlineLevel="0" collapsed="false">
      <c r="B14" s="4" t="s">
        <v>24</v>
      </c>
      <c r="C14" s="5" t="s">
        <v>13</v>
      </c>
      <c r="D14" s="5"/>
      <c r="E14" s="5"/>
      <c r="F14" s="6" t="s">
        <v>25</v>
      </c>
      <c r="G14" s="6"/>
      <c r="H14" s="6"/>
      <c r="I14" s="6"/>
      <c r="J14" s="6"/>
    </row>
    <row r="15" customFormat="false" ht="23.85" hidden="false" customHeight="true" outlineLevel="0" collapsed="false">
      <c r="B15" s="4" t="s">
        <v>26</v>
      </c>
      <c r="C15" s="5" t="s">
        <v>27</v>
      </c>
      <c r="D15" s="5"/>
      <c r="E15" s="5"/>
      <c r="F15" s="6" t="s">
        <v>28</v>
      </c>
      <c r="G15" s="6"/>
      <c r="H15" s="6"/>
      <c r="I15" s="6"/>
      <c r="J15" s="6"/>
    </row>
    <row r="16" customFormat="false" ht="23.85" hidden="false" customHeight="true" outlineLevel="0" collapsed="false">
      <c r="B16" s="4" t="s">
        <v>29</v>
      </c>
      <c r="C16" s="5" t="s">
        <v>30</v>
      </c>
      <c r="D16" s="5"/>
      <c r="E16" s="5"/>
      <c r="F16" s="6" t="s">
        <v>31</v>
      </c>
      <c r="G16" s="6"/>
      <c r="H16" s="6"/>
      <c r="I16" s="6"/>
      <c r="J16" s="6"/>
    </row>
    <row r="17" customFormat="false" ht="15" hidden="false" customHeight="true" outlineLevel="0" collapsed="false">
      <c r="B17" s="4" t="s">
        <v>32</v>
      </c>
      <c r="C17" s="5" t="s">
        <v>33</v>
      </c>
      <c r="D17" s="5"/>
      <c r="E17" s="5"/>
      <c r="F17" s="6" t="s">
        <v>13</v>
      </c>
      <c r="G17" s="6"/>
      <c r="H17" s="6"/>
      <c r="I17" s="6"/>
      <c r="J17" s="6"/>
    </row>
    <row r="18" customFormat="false" ht="15" hidden="false" customHeight="true" outlineLevel="0" collapsed="false">
      <c r="B18" s="4" t="s">
        <v>34</v>
      </c>
      <c r="C18" s="5" t="s">
        <v>35</v>
      </c>
      <c r="D18" s="5"/>
      <c r="E18" s="5"/>
      <c r="F18" s="6" t="s">
        <v>16</v>
      </c>
      <c r="G18" s="6"/>
      <c r="H18" s="6"/>
      <c r="I18" s="6"/>
      <c r="J18" s="6"/>
    </row>
    <row r="19" customFormat="false" ht="23.85" hidden="false" customHeight="true" outlineLevel="0" collapsed="false">
      <c r="B19" s="4" t="s">
        <v>36</v>
      </c>
      <c r="C19" s="5" t="s">
        <v>37</v>
      </c>
      <c r="D19" s="5"/>
      <c r="E19" s="5"/>
      <c r="F19" s="6" t="s">
        <v>38</v>
      </c>
      <c r="G19" s="6"/>
      <c r="H19" s="6"/>
      <c r="I19" s="6"/>
      <c r="J19" s="6"/>
    </row>
    <row r="21" customFormat="false" ht="15" hidden="false" customHeight="false" outlineLevel="0" collapsed="false">
      <c r="B21" s="3" t="s">
        <v>39</v>
      </c>
      <c r="D21" s="3" t="s">
        <v>40</v>
      </c>
      <c r="F21" s="3" t="s">
        <v>41</v>
      </c>
      <c r="H21" s="3" t="s">
        <v>42</v>
      </c>
    </row>
    <row r="22" customFormat="false" ht="15" hidden="false" customHeight="false" outlineLevel="0" collapsed="false">
      <c r="B22" s="7" t="n">
        <v>2771369</v>
      </c>
      <c r="D22" s="7" t="n">
        <v>898027.56</v>
      </c>
      <c r="F22" s="7" t="n">
        <v>1873341.44</v>
      </c>
      <c r="H22" s="8" t="n">
        <v>33107</v>
      </c>
    </row>
    <row r="23" customFormat="false" ht="15" hidden="false" customHeight="false" outlineLevel="0" collapsed="false">
      <c r="B23" s="9" t="s">
        <v>43</v>
      </c>
      <c r="D23" s="9" t="s">
        <v>44</v>
      </c>
      <c r="F23" s="9" t="s">
        <v>45</v>
      </c>
      <c r="H23" s="9" t="s">
        <v>46</v>
      </c>
    </row>
    <row r="26" customFormat="false" ht="15" hidden="false" customHeight="false" outlineLevel="0" collapsed="false">
      <c r="B26" s="3" t="s">
        <v>47</v>
      </c>
    </row>
    <row r="27" customFormat="false" ht="15" hidden="false" customHeight="true" outlineLevel="0" collapsed="false">
      <c r="B27" s="5" t="s">
        <v>48</v>
      </c>
      <c r="C27" s="5"/>
      <c r="D27" s="5"/>
      <c r="E27" s="5"/>
      <c r="F27" s="5"/>
      <c r="G27" s="5"/>
      <c r="H27" s="5"/>
      <c r="I27" s="5"/>
      <c r="J27" s="5"/>
    </row>
    <row r="28" customFormat="false" ht="15" hidden="false" customHeight="true" outlineLevel="0" collapsed="false">
      <c r="B28" s="5" t="s">
        <v>49</v>
      </c>
      <c r="C28" s="5"/>
      <c r="D28" s="5"/>
      <c r="E28" s="5"/>
      <c r="F28" s="5"/>
      <c r="G28" s="5"/>
      <c r="H28" s="5"/>
      <c r="I28" s="5"/>
      <c r="J28" s="5"/>
    </row>
    <row r="29" customFormat="false" ht="15" hidden="false" customHeight="true" outlineLevel="0" collapsed="false">
      <c r="B29" s="5" t="s">
        <v>50</v>
      </c>
      <c r="C29" s="5"/>
      <c r="D29" s="5"/>
      <c r="E29" s="5"/>
      <c r="F29" s="5"/>
      <c r="G29" s="5"/>
      <c r="H29" s="5"/>
      <c r="I29" s="5"/>
      <c r="J29" s="5"/>
    </row>
    <row r="30" customFormat="false" ht="15" hidden="false" customHeight="true" outlineLevel="0" collapsed="false">
      <c r="B30" s="5" t="s">
        <v>51</v>
      </c>
      <c r="C30" s="5"/>
      <c r="D30" s="5"/>
      <c r="E30" s="5"/>
      <c r="F30" s="5"/>
      <c r="G30" s="5"/>
      <c r="H30" s="5"/>
      <c r="I30" s="5"/>
      <c r="J30" s="5"/>
    </row>
    <row r="31" customFormat="false" ht="15" hidden="false" customHeight="true" outlineLevel="0" collapsed="false">
      <c r="B31" s="5" t="s">
        <v>52</v>
      </c>
      <c r="C31" s="5"/>
      <c r="D31" s="5"/>
      <c r="E31" s="5"/>
      <c r="F31" s="5"/>
      <c r="G31" s="5"/>
      <c r="H31" s="5"/>
      <c r="I31" s="5"/>
      <c r="J31" s="5"/>
    </row>
    <row r="34" customFormat="false" ht="15" hidden="false" customHeight="false" outlineLevel="0" collapsed="false">
      <c r="B34" s="10" t="s">
        <v>53</v>
      </c>
      <c r="C34" s="10"/>
      <c r="D34" s="10"/>
      <c r="E34" s="10"/>
      <c r="F34" s="10"/>
      <c r="G34" s="10"/>
      <c r="H34" s="10"/>
      <c r="I34" s="10"/>
      <c r="J34" s="10"/>
    </row>
    <row r="35" customFormat="false" ht="15" hidden="false" customHeight="true" outlineLevel="0" collapsed="false">
      <c r="B35" s="6" t="s">
        <v>54</v>
      </c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true" outlineLevel="0" collapsed="false">
      <c r="B36" s="6" t="s">
        <v>55</v>
      </c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true" outlineLevel="0" collapsed="false">
      <c r="B37" s="6" t="s">
        <v>56</v>
      </c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true" outlineLevel="0" collapsed="false">
      <c r="B38" s="6" t="s">
        <v>57</v>
      </c>
      <c r="C38" s="6"/>
      <c r="D38" s="6"/>
      <c r="E38" s="6"/>
      <c r="F38" s="6"/>
      <c r="G38" s="6"/>
      <c r="H38" s="6"/>
      <c r="I38" s="6"/>
      <c r="J38" s="6"/>
    </row>
    <row r="39" customFormat="false" ht="15" hidden="false" customHeight="true" outlineLevel="0" collapsed="false">
      <c r="B39" s="6" t="s">
        <v>58</v>
      </c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true" outlineLevel="0" collapsed="false">
      <c r="B40" s="6" t="s">
        <v>59</v>
      </c>
      <c r="C40" s="6"/>
      <c r="D40" s="6"/>
      <c r="E40" s="6"/>
      <c r="F40" s="6"/>
      <c r="G40" s="6"/>
      <c r="H40" s="6"/>
      <c r="I40" s="6"/>
      <c r="J40" s="6"/>
    </row>
    <row r="41" customFormat="false" ht="15" hidden="false" customHeight="true" outlineLevel="0" collapsed="false">
      <c r="B41" s="6" t="s">
        <v>60</v>
      </c>
      <c r="C41" s="6"/>
      <c r="D41" s="6"/>
      <c r="E41" s="6"/>
      <c r="F41" s="6"/>
      <c r="G41" s="6"/>
      <c r="H41" s="6"/>
      <c r="I41" s="6"/>
      <c r="J41" s="6"/>
    </row>
    <row r="42" customFormat="false" ht="15" hidden="false" customHeight="true" outlineLevel="0" collapsed="false">
      <c r="B42" s="6" t="s">
        <v>61</v>
      </c>
      <c r="C42" s="6"/>
      <c r="D42" s="6"/>
      <c r="E42" s="6"/>
      <c r="F42" s="6"/>
      <c r="G42" s="6"/>
      <c r="H42" s="6"/>
      <c r="I42" s="6"/>
      <c r="J42" s="6"/>
    </row>
    <row r="43" customFormat="false" ht="15" hidden="false" customHeight="true" outlineLevel="0" collapsed="false">
      <c r="B43" s="6" t="s">
        <v>62</v>
      </c>
      <c r="C43" s="6"/>
      <c r="D43" s="6"/>
      <c r="E43" s="6"/>
      <c r="F43" s="6"/>
      <c r="G43" s="6"/>
      <c r="H43" s="6"/>
      <c r="I43" s="6"/>
      <c r="J43" s="6"/>
    </row>
    <row r="44" customFormat="false" ht="15" hidden="false" customHeight="true" outlineLevel="0" collapsed="false">
      <c r="B44" s="6" t="s">
        <v>63</v>
      </c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true" outlineLevel="0" collapsed="false">
      <c r="B45" s="6" t="s">
        <v>64</v>
      </c>
      <c r="C45" s="6"/>
      <c r="D45" s="6"/>
      <c r="E45" s="6"/>
      <c r="F45" s="6"/>
      <c r="G45" s="6"/>
      <c r="H45" s="6"/>
      <c r="I45" s="6"/>
      <c r="J45" s="6"/>
    </row>
    <row r="46" customFormat="false" ht="15" hidden="false" customHeight="true" outlineLevel="0" collapsed="false">
      <c r="B46" s="6" t="s">
        <v>65</v>
      </c>
      <c r="C46" s="6"/>
      <c r="D46" s="6"/>
      <c r="E46" s="6"/>
      <c r="F46" s="6"/>
      <c r="G46" s="6"/>
      <c r="H46" s="6"/>
      <c r="I46" s="6"/>
      <c r="J46" s="6"/>
    </row>
  </sheetData>
  <mergeCells count="47">
    <mergeCell ref="B2:J2"/>
    <mergeCell ref="B3:J3"/>
    <mergeCell ref="C6:E6"/>
    <mergeCell ref="F6:J6"/>
    <mergeCell ref="C7:E7"/>
    <mergeCell ref="F7:J7"/>
    <mergeCell ref="C8:E8"/>
    <mergeCell ref="F8:J8"/>
    <mergeCell ref="C9:E9"/>
    <mergeCell ref="F9:J9"/>
    <mergeCell ref="C10:E10"/>
    <mergeCell ref="F10:J10"/>
    <mergeCell ref="C11:E11"/>
    <mergeCell ref="F11:J11"/>
    <mergeCell ref="C12:E12"/>
    <mergeCell ref="F12:J12"/>
    <mergeCell ref="C13:E13"/>
    <mergeCell ref="F13:J13"/>
    <mergeCell ref="C14:E14"/>
    <mergeCell ref="F14:J14"/>
    <mergeCell ref="C15:E15"/>
    <mergeCell ref="F15:J15"/>
    <mergeCell ref="C16:E16"/>
    <mergeCell ref="F16:J16"/>
    <mergeCell ref="C17:E17"/>
    <mergeCell ref="F17:J17"/>
    <mergeCell ref="C18:E18"/>
    <mergeCell ref="F18:J18"/>
    <mergeCell ref="C19:E19"/>
    <mergeCell ref="F19:J19"/>
    <mergeCell ref="B27:J27"/>
    <mergeCell ref="B28:J28"/>
    <mergeCell ref="B29:J29"/>
    <mergeCell ref="B30:J30"/>
    <mergeCell ref="B31:J31"/>
    <mergeCell ref="B35:J35"/>
    <mergeCell ref="B36:J36"/>
    <mergeCell ref="B37:J37"/>
    <mergeCell ref="B38:J38"/>
    <mergeCell ref="B39:J39"/>
    <mergeCell ref="B40:J40"/>
    <mergeCell ref="B41:J41"/>
    <mergeCell ref="B42:J42"/>
    <mergeCell ref="B43:J43"/>
    <mergeCell ref="B44:J44"/>
    <mergeCell ref="B45:J45"/>
    <mergeCell ref="B46:J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28"/>
    <col collapsed="false" customWidth="true" hidden="false" outlineLevel="0" max="7" min="4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40"/>
  </cols>
  <sheetData>
    <row r="2" customFormat="false" ht="27.75" hidden="false" customHeight="true" outlineLevel="0" collapsed="false">
      <c r="B2" s="1" t="s">
        <v>66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67</v>
      </c>
      <c r="C3" s="2"/>
      <c r="D3" s="2"/>
      <c r="E3" s="2"/>
      <c r="F3" s="2"/>
      <c r="G3" s="2"/>
      <c r="H3" s="2"/>
      <c r="I3" s="2"/>
      <c r="J3" s="2"/>
    </row>
    <row r="5" customFormat="false" ht="23.85" hidden="false" customHeight="false" outlineLevel="0" collapsed="false">
      <c r="B5" s="11" t="s">
        <v>68</v>
      </c>
      <c r="C5" s="11" t="s">
        <v>69</v>
      </c>
      <c r="D5" s="11" t="s">
        <v>70</v>
      </c>
      <c r="E5" s="11" t="s">
        <v>71</v>
      </c>
      <c r="F5" s="11" t="s">
        <v>72</v>
      </c>
      <c r="G5" s="11" t="s">
        <v>73</v>
      </c>
      <c r="H5" s="11" t="s">
        <v>74</v>
      </c>
      <c r="I5" s="11" t="s">
        <v>75</v>
      </c>
      <c r="J5" s="11" t="s">
        <v>76</v>
      </c>
    </row>
    <row r="6" customFormat="false" ht="19.4" hidden="false" customHeight="false" outlineLevel="0" collapsed="false">
      <c r="B6" s="12" t="s">
        <v>77</v>
      </c>
      <c r="C6" s="5" t="s">
        <v>78</v>
      </c>
      <c r="D6" s="13" t="n">
        <v>14630</v>
      </c>
      <c r="E6" s="13" t="n">
        <v>15828</v>
      </c>
      <c r="F6" s="13" t="n">
        <v>13424.5</v>
      </c>
      <c r="G6" s="13" t="n">
        <f aca="false">F6-E6</f>
        <v>-2403.5</v>
      </c>
      <c r="H6" s="14" t="n">
        <f aca="false">IF(E6=0,"",F6/E6)</f>
        <v>0.848148850138994</v>
      </c>
      <c r="I6" s="15" t="n">
        <v>308.5</v>
      </c>
      <c r="J6" s="6" t="s">
        <v>16</v>
      </c>
    </row>
    <row r="7" customFormat="false" ht="19.4" hidden="false" customHeight="false" outlineLevel="0" collapsed="false">
      <c r="B7" s="12" t="s">
        <v>79</v>
      </c>
      <c r="C7" s="5" t="s">
        <v>80</v>
      </c>
      <c r="D7" s="13" t="n">
        <v>14630</v>
      </c>
      <c r="E7" s="13" t="n">
        <v>19827</v>
      </c>
      <c r="F7" s="13" t="n">
        <v>29564</v>
      </c>
      <c r="G7" s="13" t="n">
        <f aca="false">F7-E7</f>
        <v>9737</v>
      </c>
      <c r="H7" s="14" t="n">
        <f aca="false">IF(E7=0,"",F7/E7)</f>
        <v>1.49109799767993</v>
      </c>
      <c r="I7" s="15" t="n">
        <v>683.5</v>
      </c>
      <c r="J7" s="6" t="s">
        <v>16</v>
      </c>
    </row>
    <row r="8" customFormat="false" ht="19.4" hidden="false" customHeight="false" outlineLevel="0" collapsed="false">
      <c r="B8" s="12" t="s">
        <v>81</v>
      </c>
      <c r="C8" s="5" t="s">
        <v>82</v>
      </c>
      <c r="D8" s="13" t="n">
        <v>18865</v>
      </c>
      <c r="E8" s="13" t="n">
        <v>27189</v>
      </c>
      <c r="F8" s="13" t="n">
        <v>25629.12</v>
      </c>
      <c r="G8" s="13" t="n">
        <f aca="false">F8-E8</f>
        <v>-1559.88</v>
      </c>
      <c r="H8" s="14" t="n">
        <f aca="false">IF(E8=0,"",F8/E8)</f>
        <v>0.942628268785171</v>
      </c>
      <c r="I8" s="15" t="n">
        <v>1086.5</v>
      </c>
      <c r="J8" s="6" t="s">
        <v>16</v>
      </c>
    </row>
    <row r="9" customFormat="false" ht="19.4" hidden="false" customHeight="false" outlineLevel="0" collapsed="false">
      <c r="B9" s="12" t="s">
        <v>83</v>
      </c>
      <c r="C9" s="5" t="s">
        <v>84</v>
      </c>
      <c r="D9" s="13" t="n">
        <v>121140</v>
      </c>
      <c r="E9" s="13" t="n">
        <v>123844</v>
      </c>
      <c r="F9" s="13" t="n">
        <v>84983.82</v>
      </c>
      <c r="G9" s="13" t="n">
        <f aca="false">F9-E9</f>
        <v>-38860.18</v>
      </c>
      <c r="H9" s="14" t="n">
        <f aca="false">IF(E9=0,"",F9/E9)</f>
        <v>0.686216691967314</v>
      </c>
      <c r="I9" s="15" t="n">
        <v>4461</v>
      </c>
      <c r="J9" s="6" t="s">
        <v>16</v>
      </c>
    </row>
    <row r="10" customFormat="false" ht="19.4" hidden="false" customHeight="false" outlineLevel="0" collapsed="false">
      <c r="B10" s="12" t="s">
        <v>85</v>
      </c>
      <c r="C10" s="5" t="s">
        <v>86</v>
      </c>
      <c r="D10" s="13" t="n">
        <v>15000</v>
      </c>
      <c r="E10" s="13" t="n">
        <v>15000</v>
      </c>
      <c r="F10" s="13" t="n">
        <v>16227.22</v>
      </c>
      <c r="G10" s="13" t="n">
        <f aca="false">F10-E10</f>
        <v>1227.22</v>
      </c>
      <c r="H10" s="14" t="n">
        <f aca="false">IF(E10=0,"",F10/E10)</f>
        <v>1.08181466666667</v>
      </c>
      <c r="I10" s="15" t="n">
        <v>825</v>
      </c>
      <c r="J10" s="6" t="s">
        <v>16</v>
      </c>
    </row>
    <row r="11" customFormat="false" ht="19.4" hidden="false" customHeight="false" outlineLevel="0" collapsed="false">
      <c r="B11" s="12" t="s">
        <v>87</v>
      </c>
      <c r="C11" s="5" t="s">
        <v>88</v>
      </c>
      <c r="D11" s="13" t="n">
        <v>230840</v>
      </c>
      <c r="E11" s="13" t="n">
        <v>304097</v>
      </c>
      <c r="F11" s="13" t="n">
        <v>373123.5</v>
      </c>
      <c r="G11" s="13" t="n">
        <f aca="false">F11-E11</f>
        <v>69026.5</v>
      </c>
      <c r="H11" s="14" t="n">
        <f aca="false">IF(E11=0,"",F11/E11)</f>
        <v>1.22698842803448</v>
      </c>
      <c r="I11" s="15" t="n">
        <v>17765</v>
      </c>
      <c r="J11" s="6" t="s">
        <v>16</v>
      </c>
    </row>
    <row r="12" customFormat="false" ht="19.4" hidden="false" customHeight="false" outlineLevel="0" collapsed="false">
      <c r="B12" s="12" t="s">
        <v>89</v>
      </c>
      <c r="C12" s="5" t="s">
        <v>90</v>
      </c>
      <c r="D12" s="13" t="n">
        <v>46160</v>
      </c>
      <c r="E12" s="13" t="n">
        <v>48864</v>
      </c>
      <c r="F12" s="13" t="n">
        <v>62630.5</v>
      </c>
      <c r="G12" s="13" t="n">
        <f aca="false">F12-E12</f>
        <v>13766.5</v>
      </c>
      <c r="H12" s="14" t="n">
        <f aca="false">IF(E12=0,"",F12/E12)</f>
        <v>1.28173092665357</v>
      </c>
      <c r="I12" s="15" t="n">
        <v>2906.5</v>
      </c>
      <c r="J12" s="6" t="s">
        <v>16</v>
      </c>
    </row>
    <row r="13" customFormat="false" ht="19.4" hidden="false" customHeight="false" outlineLevel="0" collapsed="false">
      <c r="B13" s="12" t="s">
        <v>91</v>
      </c>
      <c r="C13" s="5" t="s">
        <v>92</v>
      </c>
      <c r="D13" s="13" t="n">
        <v>7975</v>
      </c>
      <c r="E13" s="13" t="n">
        <v>11915</v>
      </c>
      <c r="F13" s="13" t="n">
        <v>21481</v>
      </c>
      <c r="G13" s="13" t="n">
        <f aca="false">F13-E13</f>
        <v>9566</v>
      </c>
      <c r="H13" s="14" t="n">
        <f aca="false">IF(E13=0,"",F13/E13)</f>
        <v>1.80285354595048</v>
      </c>
      <c r="I13" s="15" t="n">
        <v>971</v>
      </c>
      <c r="J13" s="6" t="s">
        <v>16</v>
      </c>
    </row>
    <row r="14" customFormat="false" ht="19.4" hidden="false" customHeight="false" outlineLevel="0" collapsed="false">
      <c r="B14" s="12" t="s">
        <v>93</v>
      </c>
      <c r="C14" s="5" t="s">
        <v>94</v>
      </c>
      <c r="D14" s="13" t="n">
        <v>29430</v>
      </c>
      <c r="E14" s="13" t="n">
        <v>35287</v>
      </c>
      <c r="F14" s="13" t="n">
        <v>54198.43</v>
      </c>
      <c r="G14" s="13" t="n">
        <f aca="false">F14-E14</f>
        <v>18911.43</v>
      </c>
      <c r="H14" s="14" t="n">
        <f aca="false">IF(E14=0,"",F14/E14)</f>
        <v>1.5359319296058</v>
      </c>
      <c r="I14" s="15" t="n">
        <v>3214.5</v>
      </c>
      <c r="J14" s="6" t="s">
        <v>16</v>
      </c>
    </row>
    <row r="15" customFormat="false" ht="19.4" hidden="false" customHeight="false" outlineLevel="0" collapsed="false">
      <c r="B15" s="12" t="s">
        <v>95</v>
      </c>
      <c r="C15" s="5" t="s">
        <v>96</v>
      </c>
      <c r="D15" s="13" t="n">
        <v>7200</v>
      </c>
      <c r="E15" s="13" t="n">
        <v>7200</v>
      </c>
      <c r="F15" s="13" t="n">
        <v>21196.26</v>
      </c>
      <c r="G15" s="13" t="n">
        <f aca="false">F15-E15</f>
        <v>13996.26</v>
      </c>
      <c r="H15" s="14" t="n">
        <f aca="false">IF(E15=0,"",F15/E15)</f>
        <v>2.943925</v>
      </c>
      <c r="I15" s="15" t="n">
        <v>875.5</v>
      </c>
      <c r="J15" s="6" t="s">
        <v>16</v>
      </c>
    </row>
    <row r="16" customFormat="false" ht="19.4" hidden="false" customHeight="false" outlineLevel="0" collapsed="false">
      <c r="B16" s="12" t="s">
        <v>97</v>
      </c>
      <c r="C16" s="5" t="s">
        <v>98</v>
      </c>
      <c r="D16" s="13" t="n">
        <v>0</v>
      </c>
      <c r="E16" s="13" t="n">
        <v>0</v>
      </c>
      <c r="F16" s="13" t="n">
        <v>175</v>
      </c>
      <c r="G16" s="13" t="n">
        <f aca="false">F16-E16</f>
        <v>175</v>
      </c>
      <c r="H16" s="14" t="str">
        <f aca="false">IF(E16=0,"",F16/E16)</f>
        <v/>
      </c>
      <c r="I16" s="15" t="n">
        <v>7</v>
      </c>
      <c r="J16" s="6" t="s">
        <v>16</v>
      </c>
    </row>
    <row r="17" customFormat="false" ht="19.4" hidden="false" customHeight="false" outlineLevel="0" collapsed="false">
      <c r="B17" s="12" t="s">
        <v>99</v>
      </c>
      <c r="C17" s="5" t="s">
        <v>100</v>
      </c>
      <c r="D17" s="13" t="n">
        <v>0</v>
      </c>
      <c r="E17" s="13" t="n">
        <v>96</v>
      </c>
      <c r="F17" s="13" t="n">
        <v>111</v>
      </c>
      <c r="G17" s="13" t="n">
        <f aca="false">F17-E17</f>
        <v>15</v>
      </c>
      <c r="H17" s="14" t="n">
        <f aca="false">IF(E17=0,"",F17/E17)</f>
        <v>1.15625</v>
      </c>
      <c r="I17" s="15" t="n">
        <v>3</v>
      </c>
      <c r="J17" s="6" t="s">
        <v>16</v>
      </c>
    </row>
    <row r="18" customFormat="false" ht="19.4" hidden="false" customHeight="false" outlineLevel="0" collapsed="false">
      <c r="B18" s="12" t="s">
        <v>101</v>
      </c>
      <c r="C18" s="5" t="s">
        <v>102</v>
      </c>
      <c r="D18" s="13" t="n">
        <v>23150</v>
      </c>
      <c r="E18" s="13" t="n">
        <v>38304</v>
      </c>
      <c r="F18" s="13" t="n">
        <v>45918.24</v>
      </c>
      <c r="G18" s="13" t="n">
        <f aca="false">F18-E18</f>
        <v>7614.24</v>
      </c>
      <c r="H18" s="14" t="n">
        <f aca="false">IF(E18=0,"",F18/E18)</f>
        <v>1.19878446115288</v>
      </c>
      <c r="I18" s="15"/>
      <c r="J18" s="6" t="s">
        <v>16</v>
      </c>
    </row>
    <row r="19" customFormat="false" ht="19.4" hidden="false" customHeight="false" outlineLevel="0" collapsed="false">
      <c r="B19" s="12" t="s">
        <v>103</v>
      </c>
      <c r="C19" s="5" t="s">
        <v>104</v>
      </c>
      <c r="D19" s="13" t="n">
        <v>101825</v>
      </c>
      <c r="E19" s="13" t="n">
        <v>102635</v>
      </c>
      <c r="F19" s="13" t="n">
        <v>33922.59</v>
      </c>
      <c r="G19" s="13" t="n">
        <f aca="false">F19-E19</f>
        <v>-68712.41</v>
      </c>
      <c r="H19" s="14" t="n">
        <f aca="false">IF(E19=0,"",F19/E19)</f>
        <v>0.330516782773908</v>
      </c>
      <c r="I19" s="15"/>
      <c r="J19" s="6" t="s">
        <v>16</v>
      </c>
    </row>
    <row r="20" customFormat="false" ht="19.4" hidden="false" customHeight="false" outlineLevel="0" collapsed="false">
      <c r="B20" s="12" t="s">
        <v>105</v>
      </c>
      <c r="C20" s="5" t="s">
        <v>106</v>
      </c>
      <c r="D20" s="13" t="n">
        <v>17500</v>
      </c>
      <c r="E20" s="13" t="n">
        <v>17660</v>
      </c>
      <c r="F20" s="13" t="n">
        <v>11617.32</v>
      </c>
      <c r="G20" s="13" t="n">
        <f aca="false">F20-E20</f>
        <v>-6042.68</v>
      </c>
      <c r="H20" s="14" t="n">
        <f aca="false">IF(E20=0,"",F20/E20)</f>
        <v>0.657832389580974</v>
      </c>
      <c r="I20" s="15"/>
      <c r="J20" s="6" t="s">
        <v>16</v>
      </c>
    </row>
    <row r="21" customFormat="false" ht="19.4" hidden="false" customHeight="false" outlineLevel="0" collapsed="false">
      <c r="B21" s="12" t="s">
        <v>107</v>
      </c>
      <c r="C21" s="5" t="s">
        <v>108</v>
      </c>
      <c r="D21" s="13" t="n">
        <v>156630</v>
      </c>
      <c r="E21" s="13" t="n">
        <v>224127</v>
      </c>
      <c r="F21" s="13" t="n">
        <v>158305.23</v>
      </c>
      <c r="G21" s="13" t="n">
        <f aca="false">F21-E21</f>
        <v>-65821.77</v>
      </c>
      <c r="H21" s="14" t="n">
        <f aca="false">IF(E21=0,"",F21/E21)</f>
        <v>0.706319318957555</v>
      </c>
      <c r="I21" s="15"/>
      <c r="J21" s="6" t="s">
        <v>16</v>
      </c>
    </row>
    <row r="22" customFormat="false" ht="19.4" hidden="false" customHeight="false" outlineLevel="0" collapsed="false">
      <c r="B22" s="12" t="s">
        <v>109</v>
      </c>
      <c r="C22" s="5" t="s">
        <v>110</v>
      </c>
      <c r="D22" s="13" t="n">
        <v>496970</v>
      </c>
      <c r="E22" s="13" t="n">
        <v>491330</v>
      </c>
      <c r="F22" s="13" t="n">
        <v>287126.83</v>
      </c>
      <c r="G22" s="13" t="n">
        <f aca="false">F22-E22</f>
        <v>-204203.17</v>
      </c>
      <c r="H22" s="14" t="n">
        <f aca="false">IF(E22=0,"",F22/E22)</f>
        <v>0.584386929355016</v>
      </c>
      <c r="I22" s="15"/>
      <c r="J22" s="6" t="s">
        <v>16</v>
      </c>
    </row>
    <row r="23" customFormat="false" ht="19.4" hidden="false" customHeight="false" outlineLevel="0" collapsed="false">
      <c r="B23" s="12" t="s">
        <v>111</v>
      </c>
      <c r="C23" s="5" t="s">
        <v>112</v>
      </c>
      <c r="D23" s="13" t="n">
        <v>5500</v>
      </c>
      <c r="E23" s="13" t="n">
        <v>8897</v>
      </c>
      <c r="F23" s="13" t="n">
        <v>4873.37</v>
      </c>
      <c r="G23" s="13" t="n">
        <f aca="false">F23-E23</f>
        <v>-4023.63</v>
      </c>
      <c r="H23" s="14" t="n">
        <f aca="false">IF(E23=0,"",F23/E23)</f>
        <v>0.547754299201978</v>
      </c>
      <c r="I23" s="15"/>
      <c r="J23" s="6" t="s">
        <v>16</v>
      </c>
    </row>
    <row r="24" customFormat="false" ht="19.4" hidden="false" customHeight="false" outlineLevel="0" collapsed="false">
      <c r="B24" s="12" t="s">
        <v>113</v>
      </c>
      <c r="C24" s="5" t="s">
        <v>114</v>
      </c>
      <c r="D24" s="13" t="n">
        <v>76300</v>
      </c>
      <c r="E24" s="13" t="n">
        <v>76847</v>
      </c>
      <c r="F24" s="13" t="n">
        <v>77345.28</v>
      </c>
      <c r="G24" s="13" t="n">
        <f aca="false">F24-E24</f>
        <v>498.279999999999</v>
      </c>
      <c r="H24" s="14" t="n">
        <f aca="false">IF(E24=0,"",F24/E24)</f>
        <v>1.00648405272815</v>
      </c>
      <c r="I24" s="15"/>
      <c r="J24" s="6" t="s">
        <v>16</v>
      </c>
    </row>
    <row r="25" customFormat="false" ht="19.4" hidden="false" customHeight="false" outlineLevel="0" collapsed="false">
      <c r="B25" s="12" t="s">
        <v>115</v>
      </c>
      <c r="C25" s="5" t="s">
        <v>116</v>
      </c>
      <c r="D25" s="13" t="n">
        <v>22500</v>
      </c>
      <c r="E25" s="13" t="n">
        <v>22500</v>
      </c>
      <c r="F25" s="13" t="n">
        <v>105558.69</v>
      </c>
      <c r="G25" s="13" t="n">
        <f aca="false">F25-E25</f>
        <v>83058.69</v>
      </c>
      <c r="H25" s="14" t="n">
        <f aca="false">IF(E25=0,"",F25/E25)</f>
        <v>4.69149733333333</v>
      </c>
      <c r="I25" s="15"/>
      <c r="J25" s="6" t="s">
        <v>16</v>
      </c>
    </row>
    <row r="26" customFormat="false" ht="19.4" hidden="false" customHeight="false" outlineLevel="0" collapsed="false">
      <c r="B26" s="12" t="s">
        <v>117</v>
      </c>
      <c r="C26" s="5" t="s">
        <v>118</v>
      </c>
      <c r="D26" s="13" t="n">
        <v>0</v>
      </c>
      <c r="E26" s="13" t="n">
        <v>0</v>
      </c>
      <c r="F26" s="13" t="n">
        <v>182.88</v>
      </c>
      <c r="G26" s="13" t="n">
        <f aca="false">F26-E26</f>
        <v>182.88</v>
      </c>
      <c r="H26" s="14" t="str">
        <f aca="false">IF(E26=0,"",F26/E26)</f>
        <v/>
      </c>
      <c r="I26" s="15"/>
      <c r="J26" s="6" t="s">
        <v>16</v>
      </c>
    </row>
    <row r="27" customFormat="false" ht="19.4" hidden="false" customHeight="false" outlineLevel="0" collapsed="false">
      <c r="B27" s="12" t="s">
        <v>119</v>
      </c>
      <c r="C27" s="5" t="s">
        <v>120</v>
      </c>
      <c r="D27" s="13" t="n">
        <v>0</v>
      </c>
      <c r="E27" s="13" t="n">
        <v>0</v>
      </c>
      <c r="F27" s="13" t="n">
        <v>654.39</v>
      </c>
      <c r="G27" s="13" t="n">
        <f aca="false">F27-E27</f>
        <v>654.39</v>
      </c>
      <c r="H27" s="14" t="str">
        <f aca="false">IF(E27=0,"",F27/E27)</f>
        <v/>
      </c>
      <c r="I27" s="15"/>
      <c r="J27" s="6" t="s">
        <v>16</v>
      </c>
    </row>
    <row r="28" customFormat="false" ht="19.4" hidden="false" customHeight="false" outlineLevel="0" collapsed="false">
      <c r="B28" s="12" t="s">
        <v>121</v>
      </c>
      <c r="C28" s="5" t="s">
        <v>122</v>
      </c>
      <c r="D28" s="13" t="n">
        <v>500</v>
      </c>
      <c r="E28" s="13" t="n">
        <v>11843</v>
      </c>
      <c r="F28" s="13" t="n">
        <v>14130.5</v>
      </c>
      <c r="G28" s="13" t="n">
        <f aca="false">F28-E28</f>
        <v>2287.5</v>
      </c>
      <c r="H28" s="14" t="n">
        <f aca="false">IF(E28=0,"",F28/E28)</f>
        <v>1.19315207295449</v>
      </c>
      <c r="I28" s="15"/>
      <c r="J28" s="6" t="s">
        <v>16</v>
      </c>
    </row>
    <row r="29" customFormat="false" ht="19.4" hidden="false" customHeight="false" outlineLevel="0" collapsed="false">
      <c r="B29" s="12" t="s">
        <v>123</v>
      </c>
      <c r="C29" s="5" t="s">
        <v>124</v>
      </c>
      <c r="D29" s="13" t="n">
        <v>50000</v>
      </c>
      <c r="E29" s="13" t="n">
        <v>50770</v>
      </c>
      <c r="F29" s="13" t="n">
        <v>28143.85</v>
      </c>
      <c r="G29" s="13" t="n">
        <f aca="false">F29-E29</f>
        <v>-22626.15</v>
      </c>
      <c r="H29" s="14" t="n">
        <f aca="false">IF(E29=0,"",F29/E29)</f>
        <v>0.554340161512704</v>
      </c>
      <c r="I29" s="15"/>
      <c r="J29" s="6" t="s">
        <v>16</v>
      </c>
    </row>
    <row r="30" customFormat="false" ht="19.4" hidden="false" customHeight="false" outlineLevel="0" collapsed="false">
      <c r="B30" s="12" t="s">
        <v>125</v>
      </c>
      <c r="C30" s="5" t="s">
        <v>126</v>
      </c>
      <c r="D30" s="13" t="n">
        <v>5000</v>
      </c>
      <c r="E30" s="13" t="n">
        <v>5919</v>
      </c>
      <c r="F30" s="13" t="n">
        <v>6870.79</v>
      </c>
      <c r="G30" s="13" t="n">
        <f aca="false">F30-E30</f>
        <v>951.79</v>
      </c>
      <c r="H30" s="14" t="n">
        <f aca="false">IF(E30=0,"",F30/E30)</f>
        <v>1.16080250042237</v>
      </c>
      <c r="I30" s="15"/>
      <c r="J30" s="6" t="s">
        <v>16</v>
      </c>
    </row>
    <row r="31" customFormat="false" ht="19.4" hidden="false" customHeight="false" outlineLevel="0" collapsed="false">
      <c r="B31" s="12" t="s">
        <v>127</v>
      </c>
      <c r="C31" s="5" t="s">
        <v>128</v>
      </c>
      <c r="D31" s="13" t="n">
        <v>28000</v>
      </c>
      <c r="E31" s="13" t="n">
        <v>28000</v>
      </c>
      <c r="F31" s="13" t="n">
        <v>29245.43</v>
      </c>
      <c r="G31" s="13" t="n">
        <f aca="false">F31-E31</f>
        <v>1245.43</v>
      </c>
      <c r="H31" s="14" t="n">
        <f aca="false">IF(E31=0,"",F31/E31)</f>
        <v>1.04447964285714</v>
      </c>
      <c r="I31" s="15"/>
      <c r="J31" s="6" t="s">
        <v>16</v>
      </c>
    </row>
    <row r="32" customFormat="false" ht="19.4" hidden="false" customHeight="false" outlineLevel="0" collapsed="false">
      <c r="B32" s="12" t="s">
        <v>129</v>
      </c>
      <c r="C32" s="5" t="s">
        <v>130</v>
      </c>
      <c r="D32" s="13" t="n">
        <v>10000</v>
      </c>
      <c r="E32" s="13" t="n">
        <v>10000</v>
      </c>
      <c r="F32" s="13" t="n">
        <v>49</v>
      </c>
      <c r="G32" s="13" t="n">
        <f aca="false">F32-E32</f>
        <v>-9951</v>
      </c>
      <c r="H32" s="14" t="n">
        <f aca="false">IF(E32=0,"",F32/E32)</f>
        <v>0.0049</v>
      </c>
      <c r="I32" s="15"/>
      <c r="J32" s="6" t="s">
        <v>16</v>
      </c>
    </row>
    <row r="33" customFormat="false" ht="19.4" hidden="false" customHeight="false" outlineLevel="0" collapsed="false">
      <c r="B33" s="12" t="s">
        <v>131</v>
      </c>
      <c r="C33" s="5" t="s">
        <v>132</v>
      </c>
      <c r="D33" s="13" t="n">
        <v>219294.65</v>
      </c>
      <c r="E33" s="13" t="n">
        <v>266088.03</v>
      </c>
      <c r="F33" s="13" t="n">
        <v>312024.89</v>
      </c>
      <c r="G33" s="13" t="n">
        <f aca="false">F33-E33</f>
        <v>45936.86</v>
      </c>
      <c r="H33" s="14" t="n">
        <f aca="false">IF(E33=0,"",F33/E33)</f>
        <v>1.17263782966863</v>
      </c>
      <c r="I33" s="15"/>
      <c r="J33" s="6" t="s">
        <v>16</v>
      </c>
    </row>
    <row r="34" customFormat="false" ht="19.4" hidden="false" customHeight="false" outlineLevel="0" collapsed="false">
      <c r="B34" s="12" t="s">
        <v>133</v>
      </c>
      <c r="C34" s="5" t="s">
        <v>134</v>
      </c>
      <c r="D34" s="13" t="n">
        <v>38699.06</v>
      </c>
      <c r="E34" s="13" t="n">
        <v>46110.4</v>
      </c>
      <c r="F34" s="13" t="n">
        <v>54627.81</v>
      </c>
      <c r="G34" s="13" t="n">
        <f aca="false">F34-E34</f>
        <v>8517.41</v>
      </c>
      <c r="H34" s="14" t="n">
        <f aca="false">IF(E34=0,"",F34/E34)</f>
        <v>1.18471776432215</v>
      </c>
      <c r="I34" s="15"/>
      <c r="J34" s="6" t="s">
        <v>16</v>
      </c>
    </row>
    <row r="35" customFormat="false" ht="19.4" hidden="false" customHeight="false" outlineLevel="0" collapsed="false">
      <c r="B35" s="12" t="s">
        <v>135</v>
      </c>
      <c r="C35" s="5" t="s">
        <v>136</v>
      </c>
      <c r="D35" s="13" t="n">
        <v>-2469500</v>
      </c>
      <c r="E35" s="13" t="n">
        <v>-2771369</v>
      </c>
      <c r="F35" s="13" t="n">
        <v>-2771369</v>
      </c>
      <c r="G35" s="13" t="n">
        <f aca="false">F35-E35</f>
        <v>0</v>
      </c>
      <c r="H35" s="14" t="n">
        <f aca="false">IF(E35=0,"",F35/E35)</f>
        <v>1</v>
      </c>
      <c r="I35" s="15"/>
      <c r="J35" s="6" t="s">
        <v>16</v>
      </c>
    </row>
    <row r="36" customFormat="false" ht="15" hidden="false" customHeight="false" outlineLevel="0" collapsed="false">
      <c r="B36" s="16" t="s">
        <v>137</v>
      </c>
      <c r="D36" s="17" t="n">
        <f aca="false">SUM(D6:D35)</f>
        <v>-711761.29</v>
      </c>
      <c r="E36" s="17" t="n">
        <f aca="false">SUM(E6:E35)</f>
        <v>-761191.57</v>
      </c>
      <c r="F36" s="17" t="n">
        <f aca="false">SUM(F6:F35)</f>
        <v>-898027.56</v>
      </c>
      <c r="G36" s="17" t="n">
        <f aca="false">F36-E36</f>
        <v>-136835.99</v>
      </c>
      <c r="I36" s="8" t="n">
        <f aca="false">SUM(I6:I35)</f>
        <v>33107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5"/>
    <col collapsed="false" customWidth="true" hidden="false" outlineLevel="0" max="3" min="3" style="0" width="40"/>
    <col collapsed="false" customWidth="true" hidden="false" outlineLevel="0" max="6" min="4" style="0" width="18"/>
    <col collapsed="false" customWidth="true" hidden="false" outlineLevel="0" max="7" min="7" style="0" width="40"/>
  </cols>
  <sheetData>
    <row r="2" customFormat="false" ht="27.75" hidden="false" customHeight="true" outlineLevel="0" collapsed="false">
      <c r="B2" s="1" t="s">
        <v>138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139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140</v>
      </c>
      <c r="C5" s="11" t="s">
        <v>141</v>
      </c>
      <c r="D5" s="11" t="s">
        <v>142</v>
      </c>
      <c r="E5" s="11" t="s">
        <v>143</v>
      </c>
      <c r="F5" s="11" t="s">
        <v>144</v>
      </c>
      <c r="G5" s="11" t="s">
        <v>76</v>
      </c>
    </row>
    <row r="6" customFormat="false" ht="23.85" hidden="false" customHeight="false" outlineLevel="0" collapsed="false">
      <c r="B6" s="4" t="s">
        <v>145</v>
      </c>
      <c r="C6" s="12" t="s">
        <v>146</v>
      </c>
      <c r="D6" s="18" t="n">
        <v>702744.35</v>
      </c>
      <c r="E6" s="14" t="n">
        <f aca="false">D6/$D$11</f>
        <v>0.375128812609836</v>
      </c>
      <c r="F6" s="14" t="n">
        <f aca="false">D6/2771369</f>
        <v>0.253572999481484</v>
      </c>
      <c r="G6" s="6" t="s">
        <v>16</v>
      </c>
    </row>
    <row r="7" customFormat="false" ht="19.4" hidden="false" customHeight="false" outlineLevel="0" collapsed="false">
      <c r="B7" s="4" t="s">
        <v>147</v>
      </c>
      <c r="C7" s="12" t="s">
        <v>148</v>
      </c>
      <c r="D7" s="18" t="n">
        <v>725504.82</v>
      </c>
      <c r="E7" s="14" t="n">
        <f aca="false">D7/$D$11</f>
        <v>0.387278477115202</v>
      </c>
      <c r="F7" s="14" t="n">
        <f aca="false">D7/2771369</f>
        <v>0.261785716734221</v>
      </c>
      <c r="G7" s="6" t="s">
        <v>16</v>
      </c>
    </row>
    <row r="8" customFormat="false" ht="23.85" hidden="false" customHeight="false" outlineLevel="0" collapsed="false">
      <c r="B8" s="4" t="s">
        <v>149</v>
      </c>
      <c r="C8" s="12" t="s">
        <v>150</v>
      </c>
      <c r="D8" s="18" t="n">
        <v>78439.57</v>
      </c>
      <c r="E8" s="14" t="n">
        <f aca="false">D8/$D$11</f>
        <v>0.0418714753889179</v>
      </c>
      <c r="F8" s="14" t="n">
        <f aca="false">D8/2771369</f>
        <v>0.0283035460092106</v>
      </c>
      <c r="G8" s="6" t="s">
        <v>16</v>
      </c>
    </row>
    <row r="9" customFormat="false" ht="19.4" hidden="false" customHeight="false" outlineLevel="0" collapsed="false">
      <c r="B9" s="4" t="s">
        <v>132</v>
      </c>
      <c r="C9" s="12" t="s">
        <v>131</v>
      </c>
      <c r="D9" s="18" t="n">
        <v>312024.89</v>
      </c>
      <c r="E9" s="14" t="n">
        <f aca="false">D9/$D$11</f>
        <v>0.166560608406762</v>
      </c>
      <c r="F9" s="14" t="n">
        <f aca="false">D9/2771369</f>
        <v>0.112588720592602</v>
      </c>
      <c r="G9" s="6" t="s">
        <v>16</v>
      </c>
    </row>
    <row r="10" customFormat="false" ht="19.4" hidden="false" customHeight="false" outlineLevel="0" collapsed="false">
      <c r="B10" s="4" t="s">
        <v>134</v>
      </c>
      <c r="C10" s="12" t="s">
        <v>133</v>
      </c>
      <c r="D10" s="18" t="n">
        <v>54627.81</v>
      </c>
      <c r="E10" s="14" t="n">
        <f aca="false">D10/$D$11</f>
        <v>0.0291606264792819</v>
      </c>
      <c r="F10" s="14" t="n">
        <f aca="false">D10/2771369</f>
        <v>0.0197114891593288</v>
      </c>
      <c r="G10" s="6" t="s">
        <v>16</v>
      </c>
    </row>
    <row r="11" customFormat="false" ht="15" hidden="false" customHeight="false" outlineLevel="0" collapsed="false">
      <c r="B11" s="16" t="s">
        <v>151</v>
      </c>
      <c r="D11" s="19" t="n">
        <f aca="false">SUM(D6:D10)</f>
        <v>1873341.44</v>
      </c>
      <c r="E11" s="20" t="n">
        <v>1</v>
      </c>
      <c r="F11" s="20" t="n">
        <f aca="false">D11/2771369</f>
        <v>0.675962471976846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40"/>
  </cols>
  <sheetData>
    <row r="2" customFormat="false" ht="27.75" hidden="false" customHeight="true" outlineLevel="0" collapsed="false">
      <c r="B2" s="1" t="s">
        <v>152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153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154</v>
      </c>
      <c r="C5" s="11" t="s">
        <v>155</v>
      </c>
      <c r="D5" s="11" t="s">
        <v>156</v>
      </c>
      <c r="E5" s="11" t="s">
        <v>157</v>
      </c>
      <c r="F5" s="11" t="s">
        <v>158</v>
      </c>
      <c r="G5" s="11" t="s">
        <v>76</v>
      </c>
    </row>
    <row r="6" customFormat="false" ht="19.4" hidden="false" customHeight="false" outlineLevel="0" collapsed="false">
      <c r="B6" s="12" t="s">
        <v>159</v>
      </c>
      <c r="C6" s="5" t="s">
        <v>160</v>
      </c>
      <c r="D6" s="13" t="n">
        <v>190637.35</v>
      </c>
      <c r="E6" s="12" t="n">
        <v>116</v>
      </c>
      <c r="F6" s="12" t="s">
        <v>161</v>
      </c>
      <c r="G6" s="6" t="s">
        <v>16</v>
      </c>
    </row>
    <row r="7" customFormat="false" ht="19.4" hidden="false" customHeight="false" outlineLevel="0" collapsed="false">
      <c r="B7" s="12" t="s">
        <v>162</v>
      </c>
      <c r="C7" s="5" t="s">
        <v>163</v>
      </c>
      <c r="D7" s="13" t="n">
        <v>164734.54</v>
      </c>
      <c r="E7" s="12" t="n">
        <v>73</v>
      </c>
      <c r="F7" s="12" t="s">
        <v>161</v>
      </c>
      <c r="G7" s="6" t="s">
        <v>16</v>
      </c>
    </row>
    <row r="8" customFormat="false" ht="19.4" hidden="false" customHeight="false" outlineLevel="0" collapsed="false">
      <c r="B8" s="12" t="s">
        <v>164</v>
      </c>
      <c r="C8" s="5" t="s">
        <v>165</v>
      </c>
      <c r="D8" s="13" t="n">
        <v>161354.82</v>
      </c>
      <c r="E8" s="12" t="n">
        <v>71</v>
      </c>
      <c r="F8" s="12" t="s">
        <v>161</v>
      </c>
      <c r="G8" s="6" t="s">
        <v>16</v>
      </c>
    </row>
    <row r="9" customFormat="false" ht="19.4" hidden="false" customHeight="false" outlineLevel="0" collapsed="false">
      <c r="B9" s="12" t="s">
        <v>166</v>
      </c>
      <c r="C9" s="5" t="s">
        <v>167</v>
      </c>
      <c r="D9" s="13" t="n">
        <v>66440.23</v>
      </c>
      <c r="E9" s="12" t="n">
        <v>39</v>
      </c>
      <c r="F9" s="12" t="s">
        <v>161</v>
      </c>
      <c r="G9" s="6" t="s">
        <v>16</v>
      </c>
    </row>
    <row r="10" customFormat="false" ht="19.4" hidden="false" customHeight="false" outlineLevel="0" collapsed="false">
      <c r="B10" s="12" t="s">
        <v>168</v>
      </c>
      <c r="C10" s="5" t="s">
        <v>169</v>
      </c>
      <c r="D10" s="13" t="n">
        <v>28019.56</v>
      </c>
      <c r="E10" s="12" t="n">
        <v>4</v>
      </c>
      <c r="F10" s="12" t="s">
        <v>161</v>
      </c>
      <c r="G10" s="6" t="s">
        <v>16</v>
      </c>
    </row>
    <row r="11" customFormat="false" ht="19.4" hidden="false" customHeight="false" outlineLevel="0" collapsed="false">
      <c r="B11" s="12" t="s">
        <v>170</v>
      </c>
      <c r="C11" s="5" t="s">
        <v>171</v>
      </c>
      <c r="D11" s="13" t="n">
        <v>27834</v>
      </c>
      <c r="E11" s="12" t="n">
        <v>6</v>
      </c>
      <c r="F11" s="12" t="s">
        <v>172</v>
      </c>
      <c r="G11" s="6" t="s">
        <v>16</v>
      </c>
    </row>
    <row r="12" customFormat="false" ht="19.4" hidden="false" customHeight="false" outlineLevel="0" collapsed="false">
      <c r="B12" s="12" t="s">
        <v>173</v>
      </c>
      <c r="C12" s="5" t="s">
        <v>174</v>
      </c>
      <c r="D12" s="13" t="n">
        <v>9291</v>
      </c>
      <c r="E12" s="12" t="n">
        <v>7</v>
      </c>
      <c r="F12" s="12" t="s">
        <v>175</v>
      </c>
      <c r="G12" s="6" t="s">
        <v>16</v>
      </c>
    </row>
    <row r="13" customFormat="false" ht="19.4" hidden="false" customHeight="false" outlineLevel="0" collapsed="false">
      <c r="B13" s="12" t="s">
        <v>176</v>
      </c>
      <c r="C13" s="5" t="s">
        <v>177</v>
      </c>
      <c r="D13" s="13" t="n">
        <v>6943.87</v>
      </c>
      <c r="E13" s="12" t="n">
        <v>3</v>
      </c>
      <c r="F13" s="12" t="s">
        <v>161</v>
      </c>
      <c r="G13" s="6" t="s">
        <v>16</v>
      </c>
    </row>
    <row r="14" customFormat="false" ht="19.4" hidden="false" customHeight="false" outlineLevel="0" collapsed="false">
      <c r="B14" s="12" t="s">
        <v>178</v>
      </c>
      <c r="C14" s="5" t="s">
        <v>179</v>
      </c>
      <c r="D14" s="13" t="n">
        <v>6785.95</v>
      </c>
      <c r="E14" s="12" t="n">
        <v>11</v>
      </c>
      <c r="F14" s="12" t="s">
        <v>180</v>
      </c>
      <c r="G14" s="6" t="s">
        <v>16</v>
      </c>
    </row>
    <row r="15" customFormat="false" ht="19.4" hidden="false" customHeight="false" outlineLevel="0" collapsed="false">
      <c r="B15" s="12" t="s">
        <v>181</v>
      </c>
      <c r="C15" s="5" t="s">
        <v>182</v>
      </c>
      <c r="D15" s="13" t="n">
        <v>6488</v>
      </c>
      <c r="E15" s="12" t="n">
        <v>4</v>
      </c>
      <c r="F15" s="12" t="s">
        <v>183</v>
      </c>
      <c r="G15" s="6" t="s">
        <v>16</v>
      </c>
    </row>
    <row r="16" customFormat="false" ht="19.4" hidden="false" customHeight="false" outlineLevel="0" collapsed="false">
      <c r="B16" s="12" t="s">
        <v>184</v>
      </c>
      <c r="C16" s="5" t="s">
        <v>185</v>
      </c>
      <c r="D16" s="13" t="n">
        <v>3860</v>
      </c>
      <c r="E16" s="12" t="n">
        <v>1</v>
      </c>
      <c r="F16" s="12" t="s">
        <v>186</v>
      </c>
      <c r="G16" s="6" t="s">
        <v>16</v>
      </c>
    </row>
    <row r="17" customFormat="false" ht="19.4" hidden="false" customHeight="false" outlineLevel="0" collapsed="false">
      <c r="B17" s="12" t="s">
        <v>187</v>
      </c>
      <c r="C17" s="5" t="s">
        <v>188</v>
      </c>
      <c r="D17" s="13" t="n">
        <v>2464.39</v>
      </c>
      <c r="E17" s="12" t="n">
        <v>2</v>
      </c>
      <c r="F17" s="12" t="s">
        <v>161</v>
      </c>
      <c r="G17" s="6" t="s">
        <v>16</v>
      </c>
    </row>
    <row r="18" customFormat="false" ht="19.4" hidden="false" customHeight="false" outlineLevel="0" collapsed="false">
      <c r="B18" s="12" t="s">
        <v>189</v>
      </c>
      <c r="C18" s="5" t="s">
        <v>190</v>
      </c>
      <c r="D18" s="13" t="n">
        <v>1670.93</v>
      </c>
      <c r="E18" s="12" t="n">
        <v>9</v>
      </c>
      <c r="F18" s="12" t="s">
        <v>161</v>
      </c>
      <c r="G18" s="6" t="s">
        <v>16</v>
      </c>
    </row>
    <row r="19" customFormat="false" ht="19.4" hidden="false" customHeight="false" outlineLevel="0" collapsed="false">
      <c r="B19" s="12" t="s">
        <v>191</v>
      </c>
      <c r="C19" s="5" t="s">
        <v>192</v>
      </c>
      <c r="D19" s="13" t="n">
        <v>908.02</v>
      </c>
      <c r="E19" s="12" t="n">
        <v>3</v>
      </c>
      <c r="F19" s="12" t="s">
        <v>161</v>
      </c>
      <c r="G19" s="6" t="s">
        <v>16</v>
      </c>
    </row>
    <row r="20" customFormat="false" ht="19.4" hidden="false" customHeight="false" outlineLevel="0" collapsed="false">
      <c r="B20" s="12" t="s">
        <v>193</v>
      </c>
      <c r="C20" s="5" t="s">
        <v>194</v>
      </c>
      <c r="D20" s="13" t="n">
        <v>750</v>
      </c>
      <c r="E20" s="12" t="n">
        <v>1</v>
      </c>
      <c r="F20" s="12" t="s">
        <v>186</v>
      </c>
      <c r="G20" s="6" t="s">
        <v>16</v>
      </c>
    </row>
    <row r="21" customFormat="false" ht="19.4" hidden="false" customHeight="false" outlineLevel="0" collapsed="false">
      <c r="B21" s="12" t="s">
        <v>195</v>
      </c>
      <c r="C21" s="5" t="s">
        <v>196</v>
      </c>
      <c r="D21" s="13" t="n">
        <v>694.25</v>
      </c>
      <c r="E21" s="12" t="n">
        <v>1</v>
      </c>
      <c r="F21" s="12" t="s">
        <v>186</v>
      </c>
      <c r="G21" s="6" t="s">
        <v>16</v>
      </c>
    </row>
    <row r="22" customFormat="false" ht="19.4" hidden="false" customHeight="false" outlineLevel="0" collapsed="false">
      <c r="B22" s="12" t="s">
        <v>197</v>
      </c>
      <c r="C22" s="5" t="s">
        <v>198</v>
      </c>
      <c r="D22" s="13" t="n">
        <v>564.48</v>
      </c>
      <c r="E22" s="12" t="n">
        <v>3</v>
      </c>
      <c r="F22" s="12" t="s">
        <v>186</v>
      </c>
      <c r="G22" s="6" t="s">
        <v>16</v>
      </c>
    </row>
    <row r="23" customFormat="false" ht="19.4" hidden="false" customHeight="false" outlineLevel="0" collapsed="false">
      <c r="B23" s="12" t="s">
        <v>199</v>
      </c>
      <c r="C23" s="5" t="s">
        <v>200</v>
      </c>
      <c r="D23" s="13" t="n">
        <v>533.19</v>
      </c>
      <c r="E23" s="12" t="n">
        <v>1</v>
      </c>
      <c r="F23" s="12" t="s">
        <v>161</v>
      </c>
      <c r="G23" s="6" t="s">
        <v>16</v>
      </c>
    </row>
    <row r="24" customFormat="false" ht="19.4" hidden="false" customHeight="false" outlineLevel="0" collapsed="false">
      <c r="B24" s="12" t="s">
        <v>201</v>
      </c>
      <c r="C24" s="5" t="s">
        <v>202</v>
      </c>
      <c r="D24" s="13" t="n">
        <v>436.87</v>
      </c>
      <c r="E24" s="12" t="n">
        <v>1</v>
      </c>
      <c r="F24" s="12" t="s">
        <v>161</v>
      </c>
      <c r="G24" s="6" t="s">
        <v>16</v>
      </c>
    </row>
    <row r="25" customFormat="false" ht="19.4" hidden="false" customHeight="false" outlineLevel="0" collapsed="false">
      <c r="B25" s="12" t="s">
        <v>203</v>
      </c>
      <c r="C25" s="5" t="s">
        <v>204</v>
      </c>
      <c r="D25" s="13" t="n">
        <v>361.89</v>
      </c>
      <c r="E25" s="12" t="n">
        <v>2</v>
      </c>
      <c r="F25" s="12" t="s">
        <v>186</v>
      </c>
      <c r="G25" s="6" t="s">
        <v>16</v>
      </c>
    </row>
    <row r="26" customFormat="false" ht="19.4" hidden="false" customHeight="false" outlineLevel="0" collapsed="false">
      <c r="B26" s="12" t="s">
        <v>205</v>
      </c>
      <c r="C26" s="5" t="s">
        <v>206</v>
      </c>
      <c r="D26" s="13" t="n">
        <v>309.85</v>
      </c>
      <c r="E26" s="12" t="n">
        <v>2</v>
      </c>
      <c r="F26" s="12" t="s">
        <v>186</v>
      </c>
      <c r="G26" s="6" t="s">
        <v>16</v>
      </c>
    </row>
    <row r="27" customFormat="false" ht="19.4" hidden="false" customHeight="false" outlineLevel="0" collapsed="false">
      <c r="B27" s="12" t="s">
        <v>207</v>
      </c>
      <c r="C27" s="5" t="s">
        <v>208</v>
      </c>
      <c r="D27" s="13" t="n">
        <v>293.86</v>
      </c>
      <c r="E27" s="12" t="n">
        <v>2</v>
      </c>
      <c r="F27" s="12" t="s">
        <v>209</v>
      </c>
      <c r="G27" s="6" t="s">
        <v>16</v>
      </c>
    </row>
    <row r="28" customFormat="false" ht="19.4" hidden="false" customHeight="false" outlineLevel="0" collapsed="false">
      <c r="B28" s="12" t="s">
        <v>210</v>
      </c>
      <c r="C28" s="5" t="s">
        <v>211</v>
      </c>
      <c r="D28" s="13" t="n">
        <v>292.5</v>
      </c>
      <c r="E28" s="12" t="n">
        <v>1</v>
      </c>
      <c r="F28" s="12" t="s">
        <v>186</v>
      </c>
      <c r="G28" s="6" t="s">
        <v>16</v>
      </c>
    </row>
    <row r="29" customFormat="false" ht="19.4" hidden="false" customHeight="false" outlineLevel="0" collapsed="false">
      <c r="B29" s="12" t="s">
        <v>212</v>
      </c>
      <c r="C29" s="5" t="s">
        <v>213</v>
      </c>
      <c r="D29" s="13" t="n">
        <v>290.47</v>
      </c>
      <c r="E29" s="12" t="n">
        <v>2</v>
      </c>
      <c r="F29" s="12" t="s">
        <v>161</v>
      </c>
      <c r="G29" s="6" t="s">
        <v>16</v>
      </c>
    </row>
    <row r="30" customFormat="false" ht="19.4" hidden="false" customHeight="false" outlineLevel="0" collapsed="false">
      <c r="B30" s="12" t="s">
        <v>214</v>
      </c>
      <c r="C30" s="5" t="s">
        <v>215</v>
      </c>
      <c r="D30" s="13" t="n">
        <v>229.5</v>
      </c>
      <c r="E30" s="12" t="n">
        <v>1</v>
      </c>
      <c r="F30" s="12" t="s">
        <v>216</v>
      </c>
      <c r="G30" s="6" t="s">
        <v>16</v>
      </c>
    </row>
    <row r="31" customFormat="false" ht="19.4" hidden="false" customHeight="false" outlineLevel="0" collapsed="false">
      <c r="B31" s="12" t="s">
        <v>217</v>
      </c>
      <c r="C31" s="5" t="s">
        <v>218</v>
      </c>
      <c r="D31" s="13" t="n">
        <v>84.84</v>
      </c>
      <c r="E31" s="12" t="n">
        <v>1</v>
      </c>
      <c r="F31" s="12" t="s">
        <v>186</v>
      </c>
      <c r="G31" s="6" t="s">
        <v>16</v>
      </c>
    </row>
    <row r="32" customFormat="false" ht="19.4" hidden="false" customHeight="false" outlineLevel="0" collapsed="false">
      <c r="B32" s="12" t="s">
        <v>219</v>
      </c>
      <c r="C32" s="5" t="s">
        <v>220</v>
      </c>
      <c r="D32" s="13" t="n">
        <v>71.04</v>
      </c>
      <c r="E32" s="12" t="n">
        <v>2</v>
      </c>
      <c r="F32" s="12" t="s">
        <v>186</v>
      </c>
      <c r="G32" s="6" t="s">
        <v>16</v>
      </c>
    </row>
    <row r="33" customFormat="false" ht="19.4" hidden="false" customHeight="false" outlineLevel="0" collapsed="false">
      <c r="B33" s="12" t="s">
        <v>221</v>
      </c>
      <c r="C33" s="5" t="s">
        <v>222</v>
      </c>
      <c r="D33" s="13" t="n">
        <v>66.74</v>
      </c>
      <c r="E33" s="12" t="n">
        <v>1</v>
      </c>
      <c r="F33" s="12" t="s">
        <v>209</v>
      </c>
      <c r="G33" s="6" t="s">
        <v>16</v>
      </c>
    </row>
    <row r="34" customFormat="false" ht="19.4" hidden="false" customHeight="false" outlineLevel="0" collapsed="false">
      <c r="B34" s="12" t="s">
        <v>223</v>
      </c>
      <c r="C34" s="5" t="s">
        <v>224</v>
      </c>
      <c r="D34" s="13" t="n">
        <v>61.12</v>
      </c>
      <c r="E34" s="12" t="n">
        <v>1</v>
      </c>
      <c r="F34" s="12" t="s">
        <v>186</v>
      </c>
      <c r="G34" s="6" t="s">
        <v>16</v>
      </c>
    </row>
    <row r="35" customFormat="false" ht="19.4" hidden="false" customHeight="false" outlineLevel="0" collapsed="false">
      <c r="B35" s="12" t="s">
        <v>225</v>
      </c>
      <c r="C35" s="5" t="s">
        <v>226</v>
      </c>
      <c r="D35" s="13" t="n">
        <v>49.61</v>
      </c>
      <c r="E35" s="12" t="n">
        <v>2</v>
      </c>
      <c r="F35" s="12" t="s">
        <v>161</v>
      </c>
      <c r="G35" s="6" t="s">
        <v>16</v>
      </c>
    </row>
    <row r="36" customFormat="false" ht="19.4" hidden="false" customHeight="false" outlineLevel="0" collapsed="false">
      <c r="B36" s="12" t="s">
        <v>227</v>
      </c>
      <c r="C36" s="5" t="s">
        <v>228</v>
      </c>
      <c r="D36" s="13" t="n">
        <v>45.53</v>
      </c>
      <c r="E36" s="12" t="n">
        <v>1</v>
      </c>
      <c r="F36" s="12" t="s">
        <v>161</v>
      </c>
      <c r="G36" s="6" t="s">
        <v>16</v>
      </c>
    </row>
    <row r="37" customFormat="false" ht="19.4" hidden="false" customHeight="false" outlineLevel="0" collapsed="false">
      <c r="B37" s="12" t="s">
        <v>229</v>
      </c>
      <c r="C37" s="5" t="s">
        <v>230</v>
      </c>
      <c r="D37" s="13" t="n">
        <v>-283.84</v>
      </c>
      <c r="E37" s="12" t="n">
        <v>2</v>
      </c>
      <c r="F37" s="12" t="s">
        <v>161</v>
      </c>
      <c r="G37" s="6" t="s">
        <v>16</v>
      </c>
    </row>
    <row r="38" customFormat="false" ht="15" hidden="false" customHeight="false" outlineLevel="0" collapsed="false">
      <c r="B38" s="16" t="s">
        <v>137</v>
      </c>
      <c r="D38" s="19" t="n">
        <f aca="false">SUM(D6:D37)</f>
        <v>682284.56</v>
      </c>
      <c r="E38" s="21" t="n">
        <f aca="false">SUM(E6:E37)</f>
        <v>376</v>
      </c>
    </row>
    <row r="40" customFormat="false" ht="23.85" hidden="false" customHeight="true" outlineLevel="0" collapsed="false">
      <c r="B40" s="22" t="s">
        <v>231</v>
      </c>
      <c r="C40" s="22"/>
      <c r="D40" s="22"/>
      <c r="E40" s="22"/>
      <c r="F40" s="22"/>
      <c r="G40" s="22"/>
    </row>
  </sheetData>
  <mergeCells count="3">
    <mergeCell ref="B2:J2"/>
    <mergeCell ref="B3:J3"/>
    <mergeCell ref="B40:G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40"/>
  </cols>
  <sheetData>
    <row r="2" customFormat="false" ht="27.75" hidden="false" customHeight="true" outlineLevel="0" collapsed="false">
      <c r="B2" s="1" t="s">
        <v>232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233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234</v>
      </c>
      <c r="C5" s="11" t="s">
        <v>235</v>
      </c>
      <c r="D5" s="11" t="s">
        <v>236</v>
      </c>
      <c r="E5" s="11" t="s">
        <v>237</v>
      </c>
      <c r="F5" s="11" t="s">
        <v>238</v>
      </c>
      <c r="G5" s="11" t="s">
        <v>239</v>
      </c>
      <c r="H5" s="11" t="s">
        <v>76</v>
      </c>
    </row>
    <row r="6" customFormat="false" ht="19.4" hidden="false" customHeight="false" outlineLevel="0" collapsed="false">
      <c r="B6" s="12" t="s">
        <v>240</v>
      </c>
      <c r="C6" s="5" t="s">
        <v>241</v>
      </c>
      <c r="D6" s="15" t="n">
        <v>1778.5</v>
      </c>
      <c r="E6" s="18" t="n">
        <v>39599</v>
      </c>
      <c r="F6" s="18" t="n">
        <f aca="false">IF(D6=0,0,E6/D6)</f>
        <v>22.2653921844251</v>
      </c>
      <c r="G6" s="12" t="n">
        <v>54</v>
      </c>
      <c r="H6" s="6" t="s">
        <v>16</v>
      </c>
    </row>
    <row r="7" customFormat="false" ht="19.4" hidden="false" customHeight="false" outlineLevel="0" collapsed="false">
      <c r="B7" s="12" t="s">
        <v>242</v>
      </c>
      <c r="C7" s="5" t="s">
        <v>243</v>
      </c>
      <c r="D7" s="15" t="n">
        <v>1659</v>
      </c>
      <c r="E7" s="18" t="n">
        <v>29349.5</v>
      </c>
      <c r="F7" s="18" t="n">
        <f aca="false">IF(D7=0,0,E7/D7)</f>
        <v>17.6910789632309</v>
      </c>
      <c r="G7" s="12" t="n">
        <v>47</v>
      </c>
      <c r="H7" s="6" t="s">
        <v>16</v>
      </c>
    </row>
    <row r="8" customFormat="false" ht="19.4" hidden="false" customHeight="false" outlineLevel="0" collapsed="false">
      <c r="B8" s="12" t="s">
        <v>244</v>
      </c>
      <c r="C8" s="5" t="s">
        <v>245</v>
      </c>
      <c r="D8" s="15" t="n">
        <v>1594</v>
      </c>
      <c r="E8" s="18" t="n">
        <v>35278.5</v>
      </c>
      <c r="F8" s="18" t="n">
        <f aca="false">IF(D8=0,0,E8/D8)</f>
        <v>22.1320577164366</v>
      </c>
      <c r="G8" s="12" t="n">
        <v>45</v>
      </c>
      <c r="H8" s="6" t="s">
        <v>16</v>
      </c>
    </row>
    <row r="9" customFormat="false" ht="19.4" hidden="false" customHeight="false" outlineLevel="0" collapsed="false">
      <c r="B9" s="12" t="s">
        <v>246</v>
      </c>
      <c r="C9" s="5" t="s">
        <v>247</v>
      </c>
      <c r="D9" s="15" t="n">
        <v>1567</v>
      </c>
      <c r="E9" s="18" t="n">
        <v>56102.5</v>
      </c>
      <c r="F9" s="18" t="n">
        <f aca="false">IF(D9=0,0,E9/D9)</f>
        <v>35.8024888321634</v>
      </c>
      <c r="G9" s="12" t="n">
        <v>68</v>
      </c>
      <c r="H9" s="6" t="s">
        <v>16</v>
      </c>
    </row>
    <row r="10" customFormat="false" ht="19.4" hidden="false" customHeight="false" outlineLevel="0" collapsed="false">
      <c r="B10" s="12" t="s">
        <v>248</v>
      </c>
      <c r="C10" s="5" t="s">
        <v>249</v>
      </c>
      <c r="D10" s="15" t="n">
        <v>1490.5</v>
      </c>
      <c r="E10" s="18" t="n">
        <v>28807</v>
      </c>
      <c r="F10" s="18" t="n">
        <f aca="false">IF(D10=0,0,E10/D10)</f>
        <v>19.3270714525327</v>
      </c>
      <c r="G10" s="12" t="n">
        <v>43</v>
      </c>
      <c r="H10" s="6" t="s">
        <v>16</v>
      </c>
    </row>
    <row r="11" customFormat="false" ht="19.4" hidden="false" customHeight="false" outlineLevel="0" collapsed="false">
      <c r="B11" s="12" t="s">
        <v>250</v>
      </c>
      <c r="C11" s="5" t="s">
        <v>251</v>
      </c>
      <c r="D11" s="15" t="n">
        <v>1461.5</v>
      </c>
      <c r="E11" s="18" t="n">
        <v>20909</v>
      </c>
      <c r="F11" s="18" t="n">
        <f aca="false">IF(D11=0,0,E11/D11)</f>
        <v>14.3065343824837</v>
      </c>
      <c r="G11" s="12" t="n">
        <v>49</v>
      </c>
      <c r="H11" s="6" t="s">
        <v>16</v>
      </c>
    </row>
    <row r="12" customFormat="false" ht="19.4" hidden="false" customHeight="false" outlineLevel="0" collapsed="false">
      <c r="B12" s="12" t="s">
        <v>252</v>
      </c>
      <c r="C12" s="5" t="s">
        <v>253</v>
      </c>
      <c r="D12" s="15" t="n">
        <v>1400.5</v>
      </c>
      <c r="E12" s="18" t="n">
        <v>19720</v>
      </c>
      <c r="F12" s="18" t="n">
        <f aca="false">IF(D12=0,0,E12/D12)</f>
        <v>14.0806854694752</v>
      </c>
      <c r="G12" s="12" t="n">
        <v>42</v>
      </c>
      <c r="H12" s="6" t="s">
        <v>16</v>
      </c>
    </row>
    <row r="13" customFormat="false" ht="19.4" hidden="false" customHeight="false" outlineLevel="0" collapsed="false">
      <c r="B13" s="12" t="s">
        <v>254</v>
      </c>
      <c r="C13" s="5" t="s">
        <v>255</v>
      </c>
      <c r="D13" s="15" t="n">
        <v>1279.5</v>
      </c>
      <c r="E13" s="18" t="n">
        <v>21995.5</v>
      </c>
      <c r="F13" s="18" t="n">
        <f aca="false">IF(D13=0,0,E13/D13)</f>
        <v>17.1906994919891</v>
      </c>
      <c r="G13" s="12" t="n">
        <v>41</v>
      </c>
      <c r="H13" s="6" t="s">
        <v>16</v>
      </c>
    </row>
    <row r="14" customFormat="false" ht="19.4" hidden="false" customHeight="false" outlineLevel="0" collapsed="false">
      <c r="B14" s="12" t="s">
        <v>256</v>
      </c>
      <c r="C14" s="5" t="s">
        <v>257</v>
      </c>
      <c r="D14" s="15" t="n">
        <v>1271</v>
      </c>
      <c r="E14" s="18" t="n">
        <v>18612</v>
      </c>
      <c r="F14" s="18" t="n">
        <f aca="false">IF(D14=0,0,E14/D14)</f>
        <v>14.6435877261998</v>
      </c>
      <c r="G14" s="12" t="n">
        <v>35</v>
      </c>
      <c r="H14" s="6" t="s">
        <v>16</v>
      </c>
    </row>
    <row r="15" customFormat="false" ht="19.4" hidden="false" customHeight="false" outlineLevel="0" collapsed="false">
      <c r="B15" s="12" t="s">
        <v>258</v>
      </c>
      <c r="C15" s="5" t="s">
        <v>259</v>
      </c>
      <c r="D15" s="15" t="n">
        <v>1231.5</v>
      </c>
      <c r="E15" s="18" t="n">
        <v>30124.5</v>
      </c>
      <c r="F15" s="18" t="n">
        <f aca="false">IF(D15=0,0,E15/D15)</f>
        <v>24.4616321559074</v>
      </c>
      <c r="G15" s="12" t="n">
        <v>37</v>
      </c>
      <c r="H15" s="6" t="s">
        <v>16</v>
      </c>
    </row>
    <row r="16" customFormat="false" ht="19.4" hidden="false" customHeight="false" outlineLevel="0" collapsed="false">
      <c r="B16" s="12" t="s">
        <v>260</v>
      </c>
      <c r="C16" s="5" t="s">
        <v>261</v>
      </c>
      <c r="D16" s="15" t="n">
        <v>1153.5</v>
      </c>
      <c r="E16" s="18" t="n">
        <v>19680</v>
      </c>
      <c r="F16" s="18" t="n">
        <f aca="false">IF(D16=0,0,E16/D16)</f>
        <v>17.0611183355007</v>
      </c>
      <c r="G16" s="12" t="n">
        <v>38</v>
      </c>
      <c r="H16" s="6" t="s">
        <v>16</v>
      </c>
    </row>
    <row r="17" customFormat="false" ht="19.4" hidden="false" customHeight="false" outlineLevel="0" collapsed="false">
      <c r="B17" s="12" t="s">
        <v>262</v>
      </c>
      <c r="C17" s="5" t="s">
        <v>263</v>
      </c>
      <c r="D17" s="15" t="n">
        <v>1114.5</v>
      </c>
      <c r="E17" s="18" t="n">
        <v>19328</v>
      </c>
      <c r="F17" s="18" t="n">
        <f aca="false">IF(D17=0,0,E17/D17)</f>
        <v>17.3423059668013</v>
      </c>
      <c r="G17" s="12" t="n">
        <v>35</v>
      </c>
      <c r="H17" s="6" t="s">
        <v>16</v>
      </c>
    </row>
    <row r="18" customFormat="false" ht="19.4" hidden="false" customHeight="false" outlineLevel="0" collapsed="false">
      <c r="B18" s="12" t="s">
        <v>264</v>
      </c>
      <c r="C18" s="5" t="s">
        <v>265</v>
      </c>
      <c r="D18" s="15" t="n">
        <v>1075.5</v>
      </c>
      <c r="E18" s="18" t="n">
        <v>34736.5</v>
      </c>
      <c r="F18" s="18" t="n">
        <f aca="false">IF(D18=0,0,E18/D18)</f>
        <v>32.2980009298001</v>
      </c>
      <c r="G18" s="12" t="n">
        <v>31</v>
      </c>
      <c r="H18" s="6" t="s">
        <v>16</v>
      </c>
    </row>
    <row r="19" customFormat="false" ht="19.4" hidden="false" customHeight="false" outlineLevel="0" collapsed="false">
      <c r="B19" s="12" t="s">
        <v>266</v>
      </c>
      <c r="C19" s="5" t="s">
        <v>267</v>
      </c>
      <c r="D19" s="15" t="n">
        <v>1008</v>
      </c>
      <c r="E19" s="18" t="n">
        <v>14054</v>
      </c>
      <c r="F19" s="18" t="n">
        <f aca="false">IF(D19=0,0,E19/D19)</f>
        <v>13.9424603174603</v>
      </c>
      <c r="G19" s="12" t="n">
        <v>29</v>
      </c>
      <c r="H19" s="6" t="s">
        <v>16</v>
      </c>
    </row>
    <row r="20" customFormat="false" ht="19.4" hidden="false" customHeight="false" outlineLevel="0" collapsed="false">
      <c r="B20" s="12" t="s">
        <v>268</v>
      </c>
      <c r="C20" s="5" t="s">
        <v>269</v>
      </c>
      <c r="D20" s="15" t="n">
        <v>745.5</v>
      </c>
      <c r="E20" s="18" t="n">
        <v>12673.5</v>
      </c>
      <c r="F20" s="18" t="n">
        <f aca="false">IF(D20=0,0,E20/D20)</f>
        <v>17</v>
      </c>
      <c r="G20" s="12" t="n">
        <v>22</v>
      </c>
      <c r="H20" s="6" t="s">
        <v>16</v>
      </c>
    </row>
    <row r="21" customFormat="false" ht="19.4" hidden="false" customHeight="false" outlineLevel="0" collapsed="false">
      <c r="B21" s="12" t="s">
        <v>270</v>
      </c>
      <c r="C21" s="5" t="s">
        <v>271</v>
      </c>
      <c r="D21" s="15" t="n">
        <v>698.5</v>
      </c>
      <c r="E21" s="18" t="n">
        <v>25116.5</v>
      </c>
      <c r="F21" s="18" t="n">
        <f aca="false">IF(D21=0,0,E21/D21)</f>
        <v>35.957766642806</v>
      </c>
      <c r="G21" s="12" t="n">
        <v>23</v>
      </c>
      <c r="H21" s="6" t="s">
        <v>16</v>
      </c>
    </row>
    <row r="22" customFormat="false" ht="19.4" hidden="false" customHeight="false" outlineLevel="0" collapsed="false">
      <c r="B22" s="12" t="s">
        <v>272</v>
      </c>
      <c r="C22" s="5" t="s">
        <v>273</v>
      </c>
      <c r="D22" s="15" t="n">
        <v>682.5</v>
      </c>
      <c r="E22" s="18" t="n">
        <v>21661</v>
      </c>
      <c r="F22" s="18" t="n">
        <f aca="false">IF(D22=0,0,E22/D22)</f>
        <v>31.7377289377289</v>
      </c>
      <c r="G22" s="12" t="n">
        <v>20</v>
      </c>
      <c r="H22" s="6" t="s">
        <v>16</v>
      </c>
    </row>
    <row r="23" customFormat="false" ht="19.4" hidden="false" customHeight="false" outlineLevel="0" collapsed="false">
      <c r="B23" s="12" t="s">
        <v>274</v>
      </c>
      <c r="C23" s="5" t="s">
        <v>275</v>
      </c>
      <c r="D23" s="15" t="n">
        <v>636.5</v>
      </c>
      <c r="E23" s="18" t="n">
        <v>9517.5</v>
      </c>
      <c r="F23" s="18" t="n">
        <f aca="false">IF(D23=0,0,E23/D23)</f>
        <v>14.9528672427337</v>
      </c>
      <c r="G23" s="12" t="n">
        <v>24</v>
      </c>
      <c r="H23" s="6" t="s">
        <v>16</v>
      </c>
    </row>
    <row r="24" customFormat="false" ht="19.4" hidden="false" customHeight="false" outlineLevel="0" collapsed="false">
      <c r="B24" s="12" t="s">
        <v>276</v>
      </c>
      <c r="C24" s="5" t="s">
        <v>277</v>
      </c>
      <c r="D24" s="15" t="n">
        <v>632.5</v>
      </c>
      <c r="E24" s="18" t="n">
        <v>9288.5</v>
      </c>
      <c r="F24" s="18" t="n">
        <f aca="false">IF(D24=0,0,E24/D24)</f>
        <v>14.6853754940711</v>
      </c>
      <c r="G24" s="12" t="n">
        <v>19</v>
      </c>
      <c r="H24" s="6" t="s">
        <v>16</v>
      </c>
    </row>
    <row r="25" customFormat="false" ht="19.4" hidden="false" customHeight="false" outlineLevel="0" collapsed="false">
      <c r="B25" s="12" t="s">
        <v>278</v>
      </c>
      <c r="C25" s="5" t="s">
        <v>279</v>
      </c>
      <c r="D25" s="15" t="n">
        <v>616</v>
      </c>
      <c r="E25" s="18" t="n">
        <v>10016</v>
      </c>
      <c r="F25" s="18" t="n">
        <f aca="false">IF(D25=0,0,E25/D25)</f>
        <v>16.2597402597403</v>
      </c>
      <c r="G25" s="12" t="n">
        <v>19</v>
      </c>
      <c r="H25" s="6" t="s">
        <v>16</v>
      </c>
    </row>
    <row r="26" customFormat="false" ht="19.4" hidden="false" customHeight="false" outlineLevel="0" collapsed="false">
      <c r="B26" s="12" t="s">
        <v>280</v>
      </c>
      <c r="C26" s="5" t="s">
        <v>281</v>
      </c>
      <c r="D26" s="15" t="n">
        <v>588</v>
      </c>
      <c r="E26" s="18" t="n">
        <v>14658</v>
      </c>
      <c r="F26" s="18" t="n">
        <f aca="false">IF(D26=0,0,E26/D26)</f>
        <v>24.9285714285714</v>
      </c>
      <c r="G26" s="12" t="n">
        <v>21</v>
      </c>
      <c r="H26" s="6" t="s">
        <v>16</v>
      </c>
    </row>
    <row r="27" customFormat="false" ht="19.4" hidden="false" customHeight="false" outlineLevel="0" collapsed="false">
      <c r="B27" s="12" t="s">
        <v>282</v>
      </c>
      <c r="C27" s="5" t="s">
        <v>283</v>
      </c>
      <c r="D27" s="15" t="n">
        <v>583</v>
      </c>
      <c r="E27" s="18" t="n">
        <v>8367</v>
      </c>
      <c r="F27" s="18" t="n">
        <f aca="false">IF(D27=0,0,E27/D27)</f>
        <v>14.3516295025729</v>
      </c>
      <c r="G27" s="12" t="n">
        <v>17</v>
      </c>
      <c r="H27" s="6" t="s">
        <v>16</v>
      </c>
    </row>
    <row r="28" customFormat="false" ht="19.4" hidden="false" customHeight="false" outlineLevel="0" collapsed="false">
      <c r="B28" s="12" t="s">
        <v>284</v>
      </c>
      <c r="C28" s="5" t="s">
        <v>285</v>
      </c>
      <c r="D28" s="15" t="n">
        <v>561.5</v>
      </c>
      <c r="E28" s="18" t="n">
        <v>10219</v>
      </c>
      <c r="F28" s="18" t="n">
        <f aca="false">IF(D28=0,0,E28/D28)</f>
        <v>18.1994657168299</v>
      </c>
      <c r="G28" s="12" t="n">
        <v>17</v>
      </c>
      <c r="H28" s="6" t="s">
        <v>16</v>
      </c>
    </row>
    <row r="29" customFormat="false" ht="19.4" hidden="false" customHeight="false" outlineLevel="0" collapsed="false">
      <c r="B29" s="12" t="s">
        <v>286</v>
      </c>
      <c r="C29" s="5" t="s">
        <v>287</v>
      </c>
      <c r="D29" s="15" t="n">
        <v>545</v>
      </c>
      <c r="E29" s="18" t="n">
        <v>7353</v>
      </c>
      <c r="F29" s="18" t="n">
        <f aca="false">IF(D29=0,0,E29/D29)</f>
        <v>13.4917431192661</v>
      </c>
      <c r="G29" s="12" t="n">
        <v>16</v>
      </c>
      <c r="H29" s="6" t="s">
        <v>16</v>
      </c>
    </row>
    <row r="30" customFormat="false" ht="19.4" hidden="false" customHeight="false" outlineLevel="0" collapsed="false">
      <c r="B30" s="12" t="s">
        <v>288</v>
      </c>
      <c r="C30" s="5" t="s">
        <v>289</v>
      </c>
      <c r="D30" s="15" t="n">
        <v>544</v>
      </c>
      <c r="E30" s="18" t="n">
        <v>15504</v>
      </c>
      <c r="F30" s="18" t="n">
        <f aca="false">IF(D30=0,0,E30/D30)</f>
        <v>28.5</v>
      </c>
      <c r="G30" s="12" t="n">
        <v>16</v>
      </c>
      <c r="H30" s="6" t="s">
        <v>16</v>
      </c>
    </row>
    <row r="31" customFormat="false" ht="19.4" hidden="false" customHeight="false" outlineLevel="0" collapsed="false">
      <c r="B31" s="12" t="s">
        <v>290</v>
      </c>
      <c r="C31" s="5" t="s">
        <v>291</v>
      </c>
      <c r="D31" s="15" t="n">
        <v>542.5</v>
      </c>
      <c r="E31" s="18" t="n">
        <v>8704</v>
      </c>
      <c r="F31" s="18" t="n">
        <f aca="false">IF(D31=0,0,E31/D31)</f>
        <v>16.0442396313364</v>
      </c>
      <c r="G31" s="12" t="n">
        <v>20</v>
      </c>
      <c r="H31" s="6" t="s">
        <v>16</v>
      </c>
    </row>
    <row r="32" customFormat="false" ht="19.4" hidden="false" customHeight="false" outlineLevel="0" collapsed="false">
      <c r="B32" s="12" t="s">
        <v>292</v>
      </c>
      <c r="C32" s="5" t="s">
        <v>293</v>
      </c>
      <c r="D32" s="15" t="n">
        <v>533</v>
      </c>
      <c r="E32" s="18" t="n">
        <v>22171.5</v>
      </c>
      <c r="F32" s="18" t="n">
        <f aca="false">IF(D32=0,0,E32/D32)</f>
        <v>41.5975609756098</v>
      </c>
      <c r="G32" s="12" t="n">
        <v>83</v>
      </c>
      <c r="H32" s="6" t="s">
        <v>16</v>
      </c>
    </row>
    <row r="33" customFormat="false" ht="19.4" hidden="false" customHeight="false" outlineLevel="0" collapsed="false">
      <c r="B33" s="12" t="s">
        <v>294</v>
      </c>
      <c r="C33" s="5" t="s">
        <v>295</v>
      </c>
      <c r="D33" s="15" t="n">
        <v>481.5</v>
      </c>
      <c r="E33" s="18" t="n">
        <v>6786</v>
      </c>
      <c r="F33" s="18" t="n">
        <f aca="false">IF(D33=0,0,E33/D33)</f>
        <v>14.0934579439252</v>
      </c>
      <c r="G33" s="12" t="n">
        <v>15</v>
      </c>
      <c r="H33" s="6" t="s">
        <v>16</v>
      </c>
    </row>
    <row r="34" customFormat="false" ht="19.4" hidden="false" customHeight="false" outlineLevel="0" collapsed="false">
      <c r="B34" s="12" t="s">
        <v>296</v>
      </c>
      <c r="C34" s="5" t="s">
        <v>297</v>
      </c>
      <c r="D34" s="15" t="n">
        <v>473</v>
      </c>
      <c r="E34" s="18" t="n">
        <v>12000</v>
      </c>
      <c r="F34" s="18" t="n">
        <f aca="false">IF(D34=0,0,E34/D34)</f>
        <v>25.369978858351</v>
      </c>
      <c r="G34" s="12" t="n">
        <v>15</v>
      </c>
      <c r="H34" s="6" t="s">
        <v>16</v>
      </c>
    </row>
    <row r="35" customFormat="false" ht="19.4" hidden="false" customHeight="false" outlineLevel="0" collapsed="false">
      <c r="B35" s="12" t="s">
        <v>298</v>
      </c>
      <c r="C35" s="5" t="s">
        <v>299</v>
      </c>
      <c r="D35" s="15" t="n">
        <v>470</v>
      </c>
      <c r="E35" s="18" t="n">
        <v>21370</v>
      </c>
      <c r="F35" s="18" t="n">
        <f aca="false">IF(D35=0,0,E35/D35)</f>
        <v>45.468085106383</v>
      </c>
      <c r="G35" s="12" t="n">
        <v>94</v>
      </c>
      <c r="H35" s="6" t="s">
        <v>16</v>
      </c>
    </row>
    <row r="36" customFormat="false" ht="19.4" hidden="false" customHeight="false" outlineLevel="0" collapsed="false">
      <c r="B36" s="12" t="s">
        <v>300</v>
      </c>
      <c r="C36" s="5" t="s">
        <v>301</v>
      </c>
      <c r="D36" s="15" t="n">
        <v>430</v>
      </c>
      <c r="E36" s="18" t="n">
        <v>10520</v>
      </c>
      <c r="F36" s="18" t="n">
        <f aca="false">IF(D36=0,0,E36/D36)</f>
        <v>24.4651162790698</v>
      </c>
      <c r="G36" s="12" t="n">
        <v>14</v>
      </c>
      <c r="H36" s="6" t="s">
        <v>16</v>
      </c>
    </row>
    <row r="37" customFormat="false" ht="19.4" hidden="false" customHeight="false" outlineLevel="0" collapsed="false">
      <c r="B37" s="12" t="s">
        <v>302</v>
      </c>
      <c r="C37" s="5" t="s">
        <v>303</v>
      </c>
      <c r="D37" s="15" t="n">
        <v>409</v>
      </c>
      <c r="E37" s="18" t="n">
        <v>13765</v>
      </c>
      <c r="F37" s="18" t="n">
        <f aca="false">IF(D37=0,0,E37/D37)</f>
        <v>33.6552567237164</v>
      </c>
      <c r="G37" s="12" t="n">
        <v>21</v>
      </c>
      <c r="H37" s="6" t="s">
        <v>16</v>
      </c>
    </row>
    <row r="38" customFormat="false" ht="19.4" hidden="false" customHeight="false" outlineLevel="0" collapsed="false">
      <c r="B38" s="12" t="s">
        <v>304</v>
      </c>
      <c r="C38" s="5" t="s">
        <v>305</v>
      </c>
      <c r="D38" s="15" t="n">
        <v>406</v>
      </c>
      <c r="E38" s="18" t="n">
        <v>6640</v>
      </c>
      <c r="F38" s="18" t="n">
        <f aca="false">IF(D38=0,0,E38/D38)</f>
        <v>16.3546798029557</v>
      </c>
      <c r="G38" s="12" t="n">
        <v>19</v>
      </c>
      <c r="H38" s="6" t="s">
        <v>16</v>
      </c>
    </row>
    <row r="39" customFormat="false" ht="19.4" hidden="false" customHeight="false" outlineLevel="0" collapsed="false">
      <c r="B39" s="12" t="s">
        <v>306</v>
      </c>
      <c r="C39" s="5" t="s">
        <v>307</v>
      </c>
      <c r="D39" s="15" t="n">
        <v>385.5</v>
      </c>
      <c r="E39" s="18" t="n">
        <v>5990.5</v>
      </c>
      <c r="F39" s="18" t="n">
        <f aca="false">IF(D39=0,0,E39/D39)</f>
        <v>15.5395590142672</v>
      </c>
      <c r="G39" s="12" t="n">
        <v>12</v>
      </c>
      <c r="H39" s="6" t="s">
        <v>16</v>
      </c>
    </row>
    <row r="40" customFormat="false" ht="19.4" hidden="false" customHeight="false" outlineLevel="0" collapsed="false">
      <c r="B40" s="12" t="s">
        <v>308</v>
      </c>
      <c r="C40" s="5" t="s">
        <v>309</v>
      </c>
      <c r="D40" s="15" t="n">
        <v>370</v>
      </c>
      <c r="E40" s="18" t="n">
        <v>7946</v>
      </c>
      <c r="F40" s="18" t="n">
        <f aca="false">IF(D40=0,0,E40/D40)</f>
        <v>21.4756756756757</v>
      </c>
      <c r="G40" s="12" t="n">
        <v>17</v>
      </c>
      <c r="H40" s="6" t="s">
        <v>16</v>
      </c>
    </row>
    <row r="41" customFormat="false" ht="19.4" hidden="false" customHeight="false" outlineLevel="0" collapsed="false">
      <c r="B41" s="12" t="s">
        <v>310</v>
      </c>
      <c r="C41" s="5" t="s">
        <v>311</v>
      </c>
      <c r="D41" s="15" t="n">
        <v>346</v>
      </c>
      <c r="E41" s="18" t="n">
        <v>12802</v>
      </c>
      <c r="F41" s="18" t="n">
        <f aca="false">IF(D41=0,0,E41/D41)</f>
        <v>37</v>
      </c>
      <c r="G41" s="12" t="n">
        <v>22</v>
      </c>
      <c r="H41" s="6" t="s">
        <v>16</v>
      </c>
    </row>
    <row r="42" customFormat="false" ht="19.4" hidden="false" customHeight="false" outlineLevel="0" collapsed="false">
      <c r="B42" s="12" t="s">
        <v>312</v>
      </c>
      <c r="C42" s="5" t="s">
        <v>313</v>
      </c>
      <c r="D42" s="15" t="n">
        <v>328.5</v>
      </c>
      <c r="E42" s="18" t="n">
        <v>11412.5</v>
      </c>
      <c r="F42" s="18" t="n">
        <f aca="false">IF(D42=0,0,E42/D42)</f>
        <v>34.7412480974125</v>
      </c>
      <c r="G42" s="12" t="n">
        <v>10</v>
      </c>
      <c r="H42" s="6" t="s">
        <v>16</v>
      </c>
    </row>
    <row r="43" customFormat="false" ht="19.4" hidden="false" customHeight="false" outlineLevel="0" collapsed="false">
      <c r="B43" s="12" t="s">
        <v>314</v>
      </c>
      <c r="C43" s="5" t="s">
        <v>315</v>
      </c>
      <c r="D43" s="15" t="n">
        <v>272</v>
      </c>
      <c r="E43" s="18" t="n">
        <v>3536</v>
      </c>
      <c r="F43" s="18" t="n">
        <f aca="false">IF(D43=0,0,E43/D43)</f>
        <v>13</v>
      </c>
      <c r="G43" s="12" t="n">
        <v>9</v>
      </c>
      <c r="H43" s="6" t="s">
        <v>16</v>
      </c>
    </row>
    <row r="44" customFormat="false" ht="19.4" hidden="false" customHeight="false" outlineLevel="0" collapsed="false">
      <c r="B44" s="12" t="s">
        <v>316</v>
      </c>
      <c r="C44" s="5" t="s">
        <v>317</v>
      </c>
      <c r="D44" s="15" t="n">
        <v>246</v>
      </c>
      <c r="E44" s="18" t="n">
        <v>4476</v>
      </c>
      <c r="F44" s="18" t="n">
        <f aca="false">IF(D44=0,0,E44/D44)</f>
        <v>18.1951219512195</v>
      </c>
      <c r="G44" s="12" t="n">
        <v>8</v>
      </c>
      <c r="H44" s="6" t="s">
        <v>16</v>
      </c>
    </row>
    <row r="45" customFormat="false" ht="19.4" hidden="false" customHeight="false" outlineLevel="0" collapsed="false">
      <c r="B45" s="12" t="s">
        <v>318</v>
      </c>
      <c r="C45" s="5" t="s">
        <v>319</v>
      </c>
      <c r="D45" s="15" t="n">
        <v>236</v>
      </c>
      <c r="E45" s="18" t="n">
        <v>4626</v>
      </c>
      <c r="F45" s="18" t="n">
        <f aca="false">IF(D45=0,0,E45/D45)</f>
        <v>19.6016949152542</v>
      </c>
      <c r="G45" s="12" t="n">
        <v>12</v>
      </c>
      <c r="H45" s="6" t="s">
        <v>16</v>
      </c>
    </row>
    <row r="46" customFormat="false" ht="19.4" hidden="false" customHeight="false" outlineLevel="0" collapsed="false">
      <c r="B46" s="12" t="s">
        <v>320</v>
      </c>
      <c r="C46" s="5" t="s">
        <v>321</v>
      </c>
      <c r="D46" s="15" t="n">
        <v>230.5</v>
      </c>
      <c r="E46" s="18" t="n">
        <v>3918.5</v>
      </c>
      <c r="F46" s="18" t="n">
        <f aca="false">IF(D46=0,0,E46/D46)</f>
        <v>17</v>
      </c>
      <c r="G46" s="12" t="n">
        <v>8</v>
      </c>
      <c r="H46" s="6" t="s">
        <v>16</v>
      </c>
    </row>
    <row r="47" customFormat="false" ht="19.4" hidden="false" customHeight="false" outlineLevel="0" collapsed="false">
      <c r="B47" s="12" t="s">
        <v>322</v>
      </c>
      <c r="C47" s="5" t="s">
        <v>323</v>
      </c>
      <c r="D47" s="15" t="n">
        <v>177</v>
      </c>
      <c r="E47" s="18" t="n">
        <v>6683.5</v>
      </c>
      <c r="F47" s="18" t="n">
        <f aca="false">IF(D47=0,0,E47/D47)</f>
        <v>37.7598870056497</v>
      </c>
      <c r="G47" s="12" t="n">
        <v>26</v>
      </c>
      <c r="H47" s="6" t="s">
        <v>16</v>
      </c>
    </row>
    <row r="48" customFormat="false" ht="19.4" hidden="false" customHeight="false" outlineLevel="0" collapsed="false">
      <c r="B48" s="12" t="s">
        <v>324</v>
      </c>
      <c r="C48" s="5" t="s">
        <v>325</v>
      </c>
      <c r="D48" s="15" t="n">
        <v>176</v>
      </c>
      <c r="E48" s="18" t="n">
        <v>2688</v>
      </c>
      <c r="F48" s="18" t="n">
        <f aca="false">IF(D48=0,0,E48/D48)</f>
        <v>15.2727272727273</v>
      </c>
      <c r="G48" s="12" t="n">
        <v>7</v>
      </c>
      <c r="H48" s="6" t="s">
        <v>16</v>
      </c>
    </row>
    <row r="49" customFormat="false" ht="19.4" hidden="false" customHeight="false" outlineLevel="0" collapsed="false">
      <c r="B49" s="12" t="s">
        <v>326</v>
      </c>
      <c r="C49" s="5" t="s">
        <v>327</v>
      </c>
      <c r="D49" s="15" t="n">
        <v>165</v>
      </c>
      <c r="E49" s="18" t="n">
        <v>3255</v>
      </c>
      <c r="F49" s="18" t="n">
        <f aca="false">IF(D49=0,0,E49/D49)</f>
        <v>19.7272727272727</v>
      </c>
      <c r="G49" s="12" t="n">
        <v>7</v>
      </c>
      <c r="H49" s="6" t="s">
        <v>16</v>
      </c>
    </row>
    <row r="50" customFormat="false" ht="19.4" hidden="false" customHeight="false" outlineLevel="0" collapsed="false">
      <c r="B50" s="12" t="s">
        <v>328</v>
      </c>
      <c r="C50" s="5" t="s">
        <v>329</v>
      </c>
      <c r="D50" s="15" t="n">
        <v>131.5</v>
      </c>
      <c r="E50" s="18" t="n">
        <v>2498.5</v>
      </c>
      <c r="F50" s="18" t="n">
        <f aca="false">IF(D50=0,0,E50/D50)</f>
        <v>19</v>
      </c>
      <c r="G50" s="12" t="n">
        <v>4</v>
      </c>
      <c r="H50" s="6" t="s">
        <v>16</v>
      </c>
    </row>
    <row r="51" customFormat="false" ht="19.4" hidden="false" customHeight="false" outlineLevel="0" collapsed="false">
      <c r="B51" s="12" t="s">
        <v>330</v>
      </c>
      <c r="C51" s="5" t="s">
        <v>331</v>
      </c>
      <c r="D51" s="15" t="n">
        <v>97</v>
      </c>
      <c r="E51" s="18" t="n">
        <v>1558</v>
      </c>
      <c r="F51" s="18" t="n">
        <f aca="false">IF(D51=0,0,E51/D51)</f>
        <v>16.0618556701031</v>
      </c>
      <c r="G51" s="12" t="n">
        <v>32</v>
      </c>
      <c r="H51" s="6" t="s">
        <v>16</v>
      </c>
    </row>
    <row r="52" customFormat="false" ht="19.4" hidden="false" customHeight="false" outlineLevel="0" collapsed="false">
      <c r="B52" s="12" t="s">
        <v>332</v>
      </c>
      <c r="C52" s="5" t="s">
        <v>333</v>
      </c>
      <c r="D52" s="15" t="n">
        <v>85.5</v>
      </c>
      <c r="E52" s="18" t="n">
        <v>1795.5</v>
      </c>
      <c r="F52" s="18" t="n">
        <f aca="false">IF(D52=0,0,E52/D52)</f>
        <v>21</v>
      </c>
      <c r="G52" s="12" t="n">
        <v>3</v>
      </c>
      <c r="H52" s="6" t="s">
        <v>16</v>
      </c>
    </row>
    <row r="53" customFormat="false" ht="19.4" hidden="false" customHeight="false" outlineLevel="0" collapsed="false">
      <c r="B53" s="12" t="s">
        <v>334</v>
      </c>
      <c r="C53" s="5" t="s">
        <v>335</v>
      </c>
      <c r="D53" s="15" t="n">
        <v>61</v>
      </c>
      <c r="E53" s="18" t="n">
        <v>1098</v>
      </c>
      <c r="F53" s="18" t="n">
        <f aca="false">IF(D53=0,0,E53/D53)</f>
        <v>18</v>
      </c>
      <c r="G53" s="12" t="n">
        <v>3</v>
      </c>
      <c r="H53" s="6" t="s">
        <v>16</v>
      </c>
    </row>
    <row r="54" customFormat="false" ht="19.4" hidden="false" customHeight="false" outlineLevel="0" collapsed="false">
      <c r="B54" s="12" t="s">
        <v>336</v>
      </c>
      <c r="C54" s="5" t="s">
        <v>337</v>
      </c>
      <c r="D54" s="15" t="n">
        <v>58</v>
      </c>
      <c r="E54" s="18" t="n">
        <v>1914</v>
      </c>
      <c r="F54" s="18" t="n">
        <f aca="false">IF(D54=0,0,E54/D54)</f>
        <v>33</v>
      </c>
      <c r="G54" s="12" t="n">
        <v>3</v>
      </c>
      <c r="H54" s="6" t="s">
        <v>16</v>
      </c>
    </row>
    <row r="55" customFormat="false" ht="19.4" hidden="false" customHeight="false" outlineLevel="0" collapsed="false">
      <c r="B55" s="12" t="s">
        <v>338</v>
      </c>
      <c r="C55" s="5" t="s">
        <v>339</v>
      </c>
      <c r="D55" s="15" t="n">
        <v>55</v>
      </c>
      <c r="E55" s="18" t="n">
        <v>715</v>
      </c>
      <c r="F55" s="18" t="n">
        <f aca="false">IF(D55=0,0,E55/D55)</f>
        <v>13</v>
      </c>
      <c r="G55" s="12" t="n">
        <v>4</v>
      </c>
      <c r="H55" s="6" t="s">
        <v>16</v>
      </c>
    </row>
    <row r="56" customFormat="false" ht="19.4" hidden="false" customHeight="false" outlineLevel="0" collapsed="false">
      <c r="B56" s="12" t="s">
        <v>340</v>
      </c>
      <c r="C56" s="5" t="s">
        <v>341</v>
      </c>
      <c r="D56" s="15" t="n">
        <v>40</v>
      </c>
      <c r="E56" s="18" t="n">
        <v>600</v>
      </c>
      <c r="F56" s="18" t="n">
        <f aca="false">IF(D56=0,0,E56/D56)</f>
        <v>15</v>
      </c>
      <c r="G56" s="12" t="n">
        <v>4</v>
      </c>
      <c r="H56" s="6" t="s">
        <v>16</v>
      </c>
    </row>
    <row r="57" customFormat="false" ht="19.4" hidden="false" customHeight="false" outlineLevel="0" collapsed="false">
      <c r="B57" s="12" t="s">
        <v>342</v>
      </c>
      <c r="C57" s="5" t="s">
        <v>343</v>
      </c>
      <c r="D57" s="15" t="n">
        <v>40</v>
      </c>
      <c r="E57" s="18" t="n">
        <v>600</v>
      </c>
      <c r="F57" s="18" t="n">
        <f aca="false">IF(D57=0,0,E57/D57)</f>
        <v>15</v>
      </c>
      <c r="G57" s="12" t="n">
        <v>2</v>
      </c>
      <c r="H57" s="6" t="s">
        <v>16</v>
      </c>
    </row>
    <row r="58" customFormat="false" ht="15" hidden="false" customHeight="false" outlineLevel="0" collapsed="false">
      <c r="B58" s="16" t="s">
        <v>137</v>
      </c>
      <c r="D58" s="8" t="n">
        <f aca="false">SUM(D6:D57)</f>
        <v>33163</v>
      </c>
      <c r="E58" s="7" t="n">
        <f aca="false">SUM(E6:E57)</f>
        <v>712739.5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40"/>
  </cols>
  <sheetData>
    <row r="2" customFormat="false" ht="27.75" hidden="false" customHeight="true" outlineLevel="0" collapsed="false">
      <c r="B2" s="1" t="s">
        <v>344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345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3" t="s">
        <v>346</v>
      </c>
    </row>
    <row r="6" customFormat="false" ht="15" hidden="false" customHeight="false" outlineLevel="0" collapsed="false">
      <c r="B6" s="11" t="s">
        <v>347</v>
      </c>
      <c r="C6" s="11" t="s">
        <v>348</v>
      </c>
      <c r="D6" s="11" t="s">
        <v>349</v>
      </c>
      <c r="E6" s="11" t="s">
        <v>76</v>
      </c>
    </row>
    <row r="7" customFormat="false" ht="19.4" hidden="false" customHeight="false" outlineLevel="0" collapsed="false">
      <c r="B7" s="5" t="s">
        <v>350</v>
      </c>
      <c r="C7" s="23" t="n">
        <v>52</v>
      </c>
      <c r="D7" s="5" t="s">
        <v>351</v>
      </c>
      <c r="E7" s="6" t="s">
        <v>16</v>
      </c>
    </row>
    <row r="8" customFormat="false" ht="19.4" hidden="false" customHeight="false" outlineLevel="0" collapsed="false">
      <c r="B8" s="5" t="s">
        <v>352</v>
      </c>
      <c r="C8" s="15" t="n">
        <v>33107</v>
      </c>
      <c r="D8" s="5" t="s">
        <v>353</v>
      </c>
      <c r="E8" s="6" t="s">
        <v>16</v>
      </c>
    </row>
    <row r="9" customFormat="false" ht="19.4" hidden="false" customHeight="false" outlineLevel="0" collapsed="false">
      <c r="B9" s="5" t="s">
        <v>354</v>
      </c>
      <c r="C9" s="15" t="n">
        <v>702744.35</v>
      </c>
      <c r="D9" s="5" t="s">
        <v>353</v>
      </c>
      <c r="E9" s="6" t="s">
        <v>16</v>
      </c>
    </row>
    <row r="10" customFormat="false" ht="15" hidden="false" customHeight="false" outlineLevel="0" collapsed="false">
      <c r="B10" s="5" t="s">
        <v>355</v>
      </c>
      <c r="C10" s="18" t="n">
        <v>21.2264581508442</v>
      </c>
      <c r="D10" s="5" t="s">
        <v>356</v>
      </c>
      <c r="E10" s="6" t="s">
        <v>357</v>
      </c>
    </row>
    <row r="11" customFormat="false" ht="15" hidden="false" customHeight="false" outlineLevel="0" collapsed="false">
      <c r="B11" s="5" t="s">
        <v>358</v>
      </c>
      <c r="C11" s="14" t="n">
        <v>0.0537197571510557</v>
      </c>
      <c r="D11" s="5" t="s">
        <v>359</v>
      </c>
      <c r="E11" s="6" t="s">
        <v>357</v>
      </c>
    </row>
    <row r="12" customFormat="false" ht="15" hidden="false" customHeight="false" outlineLevel="0" collapsed="false">
      <c r="B12" s="5" t="s">
        <v>360</v>
      </c>
      <c r="C12" s="14" t="n">
        <v>0.244328993868366</v>
      </c>
      <c r="D12" s="5" t="s">
        <v>361</v>
      </c>
      <c r="E12" s="6" t="s">
        <v>357</v>
      </c>
    </row>
    <row r="13" customFormat="false" ht="15" hidden="false" customHeight="false" outlineLevel="0" collapsed="false">
      <c r="B13" s="5" t="s">
        <v>362</v>
      </c>
      <c r="C13" s="18" t="n">
        <v>45.468085106383</v>
      </c>
      <c r="D13" s="5" t="s">
        <v>363</v>
      </c>
      <c r="E13" s="6" t="s">
        <v>357</v>
      </c>
    </row>
    <row r="14" customFormat="false" ht="15" hidden="false" customHeight="false" outlineLevel="0" collapsed="false">
      <c r="B14" s="5" t="s">
        <v>364</v>
      </c>
      <c r="C14" s="18" t="n">
        <v>13</v>
      </c>
      <c r="D14" s="5" t="s">
        <v>363</v>
      </c>
      <c r="E14" s="6" t="s">
        <v>357</v>
      </c>
    </row>
    <row r="15" customFormat="false" ht="15" hidden="false" customHeight="false" outlineLevel="0" collapsed="false">
      <c r="B15" s="5" t="s">
        <v>365</v>
      </c>
      <c r="C15" s="15" t="n">
        <v>636.673076923077</v>
      </c>
      <c r="D15" s="5" t="s">
        <v>366</v>
      </c>
      <c r="E15" s="6" t="s">
        <v>357</v>
      </c>
    </row>
    <row r="16" customFormat="false" ht="15" hidden="false" customHeight="false" outlineLevel="0" collapsed="false">
      <c r="B16" s="5" t="s">
        <v>367</v>
      </c>
      <c r="C16" s="15" t="n">
        <v>24.6538461538462</v>
      </c>
      <c r="D16" s="5" t="s">
        <v>368</v>
      </c>
      <c r="E16" s="6" t="s">
        <v>357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4"/>
  </cols>
  <sheetData>
    <row r="2" customFormat="false" ht="27.75" hidden="false" customHeight="true" outlineLevel="0" collapsed="false">
      <c r="B2" s="1" t="s">
        <v>369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370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347</v>
      </c>
      <c r="C5" s="11" t="s">
        <v>348</v>
      </c>
      <c r="D5" s="11" t="s">
        <v>371</v>
      </c>
      <c r="E5" s="11" t="s">
        <v>372</v>
      </c>
    </row>
    <row r="6" customFormat="false" ht="15" hidden="false" customHeight="false" outlineLevel="0" collapsed="false">
      <c r="B6" s="5" t="s">
        <v>373</v>
      </c>
      <c r="C6" s="18" t="n">
        <f aca="false">2771369/33107</f>
        <v>83.7094572144864</v>
      </c>
      <c r="D6" s="12" t="s">
        <v>374</v>
      </c>
      <c r="E6" s="6" t="s">
        <v>375</v>
      </c>
    </row>
    <row r="7" customFormat="false" ht="15" hidden="false" customHeight="false" outlineLevel="0" collapsed="false">
      <c r="B7" s="5" t="s">
        <v>376</v>
      </c>
      <c r="C7" s="18" t="n">
        <f aca="false">898027.56/33107</f>
        <v>27.1250055879421</v>
      </c>
      <c r="D7" s="12" t="s">
        <v>374</v>
      </c>
      <c r="E7" s="6" t="s">
        <v>377</v>
      </c>
    </row>
    <row r="8" customFormat="false" ht="15" hidden="false" customHeight="false" outlineLevel="0" collapsed="false">
      <c r="B8" s="5" t="s">
        <v>378</v>
      </c>
      <c r="C8" s="18" t="n">
        <f aca="false">702744.35/33107</f>
        <v>21.2264581508442</v>
      </c>
      <c r="D8" s="12" t="s">
        <v>374</v>
      </c>
      <c r="E8" s="6" t="s">
        <v>379</v>
      </c>
    </row>
    <row r="9" customFormat="false" ht="15" hidden="false" customHeight="false" outlineLevel="0" collapsed="false">
      <c r="B9" s="5" t="s">
        <v>380</v>
      </c>
      <c r="C9" s="18" t="n">
        <f aca="false">(702744.35+312024.89+54627.81)/33107</f>
        <v>32.3012368985411</v>
      </c>
      <c r="D9" s="12" t="s">
        <v>374</v>
      </c>
      <c r="E9" s="6" t="s">
        <v>381</v>
      </c>
    </row>
    <row r="10" customFormat="false" ht="15" hidden="false" customHeight="false" outlineLevel="0" collapsed="false">
      <c r="B10" s="5" t="s">
        <v>382</v>
      </c>
      <c r="C10" s="24" t="n">
        <f aca="false">(702744.35+312024.89+54627.81)/702744.35</f>
        <v>1.52174407378729</v>
      </c>
      <c r="D10" s="12" t="s">
        <v>374</v>
      </c>
      <c r="E10" s="6" t="s">
        <v>383</v>
      </c>
    </row>
    <row r="11" customFormat="false" ht="15" hidden="false" customHeight="false" outlineLevel="0" collapsed="false">
      <c r="B11" s="5" t="s">
        <v>384</v>
      </c>
      <c r="C11" s="15" t="n">
        <v>17765</v>
      </c>
      <c r="D11" s="12" t="s">
        <v>385</v>
      </c>
      <c r="E11" s="6" t="s">
        <v>386</v>
      </c>
    </row>
    <row r="12" customFormat="false" ht="15" hidden="false" customHeight="false" outlineLevel="0" collapsed="false">
      <c r="B12" s="5" t="s">
        <v>387</v>
      </c>
      <c r="C12" s="15" t="n">
        <v>2906.5</v>
      </c>
      <c r="D12" s="12" t="s">
        <v>385</v>
      </c>
      <c r="E12" s="6" t="s">
        <v>388</v>
      </c>
    </row>
    <row r="13" customFormat="false" ht="15" hidden="false" customHeight="false" outlineLevel="0" collapsed="false">
      <c r="B13" s="5" t="s">
        <v>389</v>
      </c>
      <c r="C13" s="14" t="n">
        <f aca="false">17765/33107</f>
        <v>0.536593469658985</v>
      </c>
      <c r="D13" s="12" t="s">
        <v>374</v>
      </c>
      <c r="E13" s="6" t="s">
        <v>390</v>
      </c>
    </row>
    <row r="14" customFormat="false" ht="15" hidden="false" customHeight="false" outlineLevel="0" collapsed="false">
      <c r="B14" s="5" t="s">
        <v>391</v>
      </c>
      <c r="C14" s="14" t="n">
        <f aca="false">898027.56/2771369</f>
        <v>0.324037528023154</v>
      </c>
      <c r="D14" s="12" t="s">
        <v>374</v>
      </c>
      <c r="E14" s="6" t="s">
        <v>392</v>
      </c>
    </row>
    <row r="15" customFormat="false" ht="15" hidden="false" customHeight="false" outlineLevel="0" collapsed="false">
      <c r="B15" s="5" t="s">
        <v>393</v>
      </c>
      <c r="C15" s="14" t="n">
        <f aca="false">702744.35/2771369</f>
        <v>0.253572999481484</v>
      </c>
      <c r="D15" s="12" t="s">
        <v>374</v>
      </c>
      <c r="E15" s="6"/>
    </row>
    <row r="16" customFormat="false" ht="15" hidden="false" customHeight="false" outlineLevel="0" collapsed="false">
      <c r="B16" s="5" t="s">
        <v>394</v>
      </c>
      <c r="C16" s="14" t="n">
        <f aca="false">725504.82/2771369</f>
        <v>0.261785716734221</v>
      </c>
      <c r="D16" s="12" t="s">
        <v>374</v>
      </c>
      <c r="E16" s="6"/>
    </row>
    <row r="17" customFormat="false" ht="15" hidden="false" customHeight="false" outlineLevel="0" collapsed="false">
      <c r="B17" s="5" t="s">
        <v>395</v>
      </c>
      <c r="C17" s="14" t="n">
        <f aca="false">1873341.44/2771369</f>
        <v>0.675962471976846</v>
      </c>
      <c r="D17" s="12" t="s">
        <v>374</v>
      </c>
      <c r="E17" s="6" t="s">
        <v>396</v>
      </c>
    </row>
    <row r="18" customFormat="false" ht="15" hidden="false" customHeight="false" outlineLevel="0" collapsed="false">
      <c r="B18" s="5" t="s">
        <v>397</v>
      </c>
      <c r="C18" s="18" t="n">
        <f aca="false">2771369/241</f>
        <v>11499.4564315353</v>
      </c>
      <c r="D18" s="12" t="s">
        <v>374</v>
      </c>
      <c r="E18" s="6" t="s">
        <v>398</v>
      </c>
    </row>
    <row r="19" customFormat="false" ht="15" hidden="false" customHeight="false" outlineLevel="0" collapsed="false">
      <c r="B19" s="5" t="s">
        <v>399</v>
      </c>
      <c r="C19" s="15" t="n">
        <f aca="false">33107/241</f>
        <v>137.373443983403</v>
      </c>
      <c r="D19" s="12" t="s">
        <v>374</v>
      </c>
      <c r="E19" s="6"/>
    </row>
    <row r="20" customFormat="false" ht="15" hidden="false" customHeight="false" outlineLevel="0" collapsed="false">
      <c r="B20" s="5" t="s">
        <v>400</v>
      </c>
      <c r="C20" s="18" t="n">
        <f aca="false">702744.35/241</f>
        <v>2915.95165975104</v>
      </c>
      <c r="D20" s="12" t="s">
        <v>374</v>
      </c>
      <c r="E20" s="6"/>
    </row>
    <row r="21" customFormat="false" ht="15" hidden="false" customHeight="false" outlineLevel="0" collapsed="false">
      <c r="B21" s="5" t="s">
        <v>401</v>
      </c>
      <c r="C21" s="18" t="n">
        <f aca="false">725504.82/241</f>
        <v>3010.3934439834</v>
      </c>
      <c r="D21" s="12" t="s">
        <v>374</v>
      </c>
      <c r="E21" s="6"/>
    </row>
    <row r="22" customFormat="false" ht="15" hidden="false" customHeight="false" outlineLevel="0" collapsed="false">
      <c r="B22" s="5" t="s">
        <v>402</v>
      </c>
      <c r="C22" s="18" t="n">
        <f aca="false">1873341.44/241</f>
        <v>7773.20099585062</v>
      </c>
      <c r="D22" s="12" t="s">
        <v>374</v>
      </c>
      <c r="E22" s="6"/>
    </row>
    <row r="23" customFormat="false" ht="15" hidden="false" customHeight="false" outlineLevel="0" collapsed="false">
      <c r="B23" s="5" t="s">
        <v>403</v>
      </c>
      <c r="C23" s="15" t="n">
        <f aca="false">17765/241</f>
        <v>73.7136929460581</v>
      </c>
      <c r="D23" s="12" t="s">
        <v>374</v>
      </c>
      <c r="E23" s="6" t="s">
        <v>404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5" min="4" style="0" width="22"/>
    <col collapsed="false" customWidth="true" hidden="false" outlineLevel="0" max="6" min="6" style="0" width="18"/>
    <col collapsed="false" customWidth="true" hidden="false" outlineLevel="0" max="7" min="7" style="0" width="42"/>
    <col collapsed="false" customWidth="true" hidden="false" outlineLevel="0" max="8" min="8" style="0" width="14"/>
    <col collapsed="false" customWidth="true" hidden="false" outlineLevel="0" max="9" min="9" style="0" width="42"/>
  </cols>
  <sheetData>
    <row r="2" customFormat="false" ht="27.75" hidden="false" customHeight="true" outlineLevel="0" collapsed="false">
      <c r="B2" s="1" t="s">
        <v>405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406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407</v>
      </c>
      <c r="C5" s="11" t="s">
        <v>408</v>
      </c>
      <c r="D5" s="11" t="s">
        <v>409</v>
      </c>
      <c r="E5" s="11" t="s">
        <v>410</v>
      </c>
      <c r="F5" s="11" t="s">
        <v>411</v>
      </c>
      <c r="G5" s="11" t="s">
        <v>69</v>
      </c>
      <c r="H5" s="11" t="s">
        <v>412</v>
      </c>
      <c r="I5" s="11" t="s">
        <v>76</v>
      </c>
    </row>
    <row r="6" customFormat="false" ht="23.85" hidden="false" customHeight="false" outlineLevel="0" collapsed="false">
      <c r="B6" s="12" t="s">
        <v>413</v>
      </c>
      <c r="C6" s="5" t="s">
        <v>414</v>
      </c>
      <c r="D6" s="5" t="s">
        <v>12</v>
      </c>
      <c r="E6" s="12" t="s">
        <v>415</v>
      </c>
      <c r="F6" s="25" t="s">
        <v>416</v>
      </c>
      <c r="G6" s="5" t="s">
        <v>417</v>
      </c>
      <c r="H6" s="18" t="n">
        <v>2469500</v>
      </c>
      <c r="I6" s="6" t="s">
        <v>13</v>
      </c>
    </row>
    <row r="7" customFormat="false" ht="23.85" hidden="false" customHeight="false" outlineLevel="0" collapsed="false">
      <c r="B7" s="12" t="s">
        <v>418</v>
      </c>
      <c r="C7" s="26" t="s">
        <v>419</v>
      </c>
      <c r="D7" s="5" t="s">
        <v>12</v>
      </c>
      <c r="E7" s="12" t="s">
        <v>420</v>
      </c>
      <c r="F7" s="25" t="s">
        <v>421</v>
      </c>
      <c r="G7" s="5" t="s">
        <v>422</v>
      </c>
      <c r="H7" s="26" t="s">
        <v>419</v>
      </c>
      <c r="I7" s="6" t="s">
        <v>423</v>
      </c>
    </row>
    <row r="8" customFormat="false" ht="23.85" hidden="false" customHeight="false" outlineLevel="0" collapsed="false">
      <c r="B8" s="12" t="s">
        <v>424</v>
      </c>
      <c r="C8" s="26" t="s">
        <v>419</v>
      </c>
      <c r="D8" s="5" t="s">
        <v>12</v>
      </c>
      <c r="E8" s="12" t="s">
        <v>420</v>
      </c>
      <c r="F8" s="25" t="s">
        <v>421</v>
      </c>
      <c r="G8" s="5" t="s">
        <v>422</v>
      </c>
      <c r="H8" s="26" t="s">
        <v>419</v>
      </c>
      <c r="I8" s="6" t="s">
        <v>425</v>
      </c>
    </row>
    <row r="9" customFormat="false" ht="23.85" hidden="false" customHeight="false" outlineLevel="0" collapsed="false">
      <c r="B9" s="12" t="s">
        <v>426</v>
      </c>
      <c r="C9" s="26" t="s">
        <v>419</v>
      </c>
      <c r="D9" s="5" t="s">
        <v>12</v>
      </c>
      <c r="E9" s="12" t="s">
        <v>420</v>
      </c>
      <c r="F9" s="25" t="s">
        <v>421</v>
      </c>
      <c r="G9" s="5" t="s">
        <v>422</v>
      </c>
      <c r="H9" s="26" t="s">
        <v>419</v>
      </c>
      <c r="I9" s="6" t="s">
        <v>427</v>
      </c>
    </row>
    <row r="10" customFormat="false" ht="23.85" hidden="false" customHeight="false" outlineLevel="0" collapsed="false">
      <c r="B10" s="12" t="s">
        <v>428</v>
      </c>
      <c r="C10" s="26" t="s">
        <v>419</v>
      </c>
      <c r="D10" s="5" t="s">
        <v>12</v>
      </c>
      <c r="E10" s="12" t="s">
        <v>420</v>
      </c>
      <c r="F10" s="25" t="s">
        <v>421</v>
      </c>
      <c r="G10" s="5" t="s">
        <v>422</v>
      </c>
      <c r="H10" s="26" t="s">
        <v>419</v>
      </c>
      <c r="I10" s="6" t="s">
        <v>429</v>
      </c>
    </row>
    <row r="11" customFormat="false" ht="23.85" hidden="false" customHeight="false" outlineLevel="0" collapsed="false">
      <c r="B11" s="12" t="s">
        <v>430</v>
      </c>
      <c r="C11" s="26" t="s">
        <v>419</v>
      </c>
      <c r="D11" s="5" t="s">
        <v>12</v>
      </c>
      <c r="E11" s="12" t="s">
        <v>420</v>
      </c>
      <c r="F11" s="25" t="s">
        <v>421</v>
      </c>
      <c r="G11" s="5" t="s">
        <v>422</v>
      </c>
      <c r="H11" s="26" t="s">
        <v>419</v>
      </c>
      <c r="I11" s="6" t="s">
        <v>431</v>
      </c>
    </row>
    <row r="12" customFormat="false" ht="35.05" hidden="false" customHeight="false" outlineLevel="0" collapsed="false">
      <c r="B12" s="12" t="s">
        <v>432</v>
      </c>
      <c r="C12" s="5" t="s">
        <v>433</v>
      </c>
      <c r="D12" s="5" t="s">
        <v>12</v>
      </c>
      <c r="E12" s="12" t="s">
        <v>434</v>
      </c>
      <c r="F12" s="27" t="s">
        <v>435</v>
      </c>
      <c r="G12" s="5" t="s">
        <v>436</v>
      </c>
      <c r="H12" s="18" t="n">
        <v>301869</v>
      </c>
      <c r="I12" s="6" t="s">
        <v>437</v>
      </c>
    </row>
    <row r="13" customFormat="false" ht="15" hidden="false" customHeight="false" outlineLevel="0" collapsed="false">
      <c r="B13" s="16" t="s">
        <v>438</v>
      </c>
      <c r="H13" s="19" t="n">
        <v>2771369</v>
      </c>
    </row>
    <row r="15" customFormat="false" ht="23.85" hidden="false" customHeight="true" outlineLevel="0" collapsed="false">
      <c r="B15" s="22" t="s">
        <v>439</v>
      </c>
      <c r="C15" s="22"/>
      <c r="D15" s="22"/>
      <c r="E15" s="22"/>
      <c r="F15" s="22"/>
      <c r="G15" s="22"/>
      <c r="H15" s="22"/>
      <c r="I15" s="22"/>
    </row>
  </sheetData>
  <mergeCells count="3">
    <mergeCell ref="B2:J2"/>
    <mergeCell ref="B3:J3"/>
    <mergeCell ref="B15:I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50"/>
  </cols>
  <sheetData>
    <row r="2" customFormat="false" ht="27.75" hidden="false" customHeight="true" outlineLevel="0" collapsed="false">
      <c r="B2" s="1" t="s">
        <v>440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441</v>
      </c>
      <c r="C3" s="2"/>
      <c r="D3" s="2"/>
      <c r="E3" s="2"/>
      <c r="F3" s="2"/>
      <c r="G3" s="2"/>
      <c r="H3" s="2"/>
      <c r="I3" s="2"/>
      <c r="J3" s="2"/>
    </row>
    <row r="5" customFormat="false" ht="23.85" hidden="false" customHeight="false" outlineLevel="0" collapsed="false">
      <c r="B5" s="11" t="s">
        <v>442</v>
      </c>
      <c r="C5" s="11" t="s">
        <v>408</v>
      </c>
      <c r="D5" s="11" t="s">
        <v>443</v>
      </c>
      <c r="E5" s="11" t="s">
        <v>444</v>
      </c>
      <c r="F5" s="11" t="s">
        <v>445</v>
      </c>
      <c r="G5" s="11" t="s">
        <v>76</v>
      </c>
    </row>
    <row r="6" customFormat="false" ht="15" hidden="false" customHeight="false" outlineLevel="0" collapsed="false">
      <c r="B6" s="12" t="s">
        <v>446</v>
      </c>
      <c r="C6" s="12" t="s">
        <v>447</v>
      </c>
      <c r="D6" s="13" t="n">
        <v>-51150</v>
      </c>
      <c r="E6" s="13" t="n">
        <v>-2557.5</v>
      </c>
      <c r="F6" s="12" t="n">
        <v>1</v>
      </c>
      <c r="G6" s="6" t="s">
        <v>16</v>
      </c>
    </row>
    <row r="7" customFormat="false" ht="15" hidden="false" customHeight="false" outlineLevel="0" collapsed="false">
      <c r="B7" s="12" t="s">
        <v>448</v>
      </c>
      <c r="C7" s="12" t="s">
        <v>449</v>
      </c>
      <c r="D7" s="13" t="n">
        <v>-30000</v>
      </c>
      <c r="E7" s="13" t="n">
        <v>-1500</v>
      </c>
      <c r="F7" s="12" t="n">
        <v>2</v>
      </c>
      <c r="G7" s="6" t="s">
        <v>16</v>
      </c>
    </row>
    <row r="8" customFormat="false" ht="15" hidden="false" customHeight="false" outlineLevel="0" collapsed="false">
      <c r="B8" s="12" t="s">
        <v>450</v>
      </c>
      <c r="C8" s="12" t="s">
        <v>451</v>
      </c>
      <c r="D8" s="13" t="n">
        <v>-64810</v>
      </c>
      <c r="E8" s="13" t="n">
        <v>-3240.5</v>
      </c>
      <c r="F8" s="12" t="n">
        <v>4</v>
      </c>
      <c r="G8" s="6" t="s">
        <v>16</v>
      </c>
    </row>
    <row r="9" customFormat="false" ht="15" hidden="false" customHeight="false" outlineLevel="0" collapsed="false">
      <c r="B9" s="12" t="s">
        <v>452</v>
      </c>
      <c r="C9" s="12" t="s">
        <v>453</v>
      </c>
      <c r="D9" s="13" t="n">
        <v>-54040</v>
      </c>
      <c r="E9" s="13" t="n">
        <v>-2702</v>
      </c>
      <c r="F9" s="12" t="n">
        <v>4</v>
      </c>
      <c r="G9" s="6" t="s">
        <v>16</v>
      </c>
    </row>
    <row r="10" customFormat="false" ht="15" hidden="false" customHeight="false" outlineLevel="0" collapsed="false">
      <c r="B10" s="12" t="s">
        <v>454</v>
      </c>
      <c r="C10" s="12" t="s">
        <v>455</v>
      </c>
      <c r="D10" s="13" t="n">
        <v>-73600</v>
      </c>
      <c r="E10" s="13" t="n">
        <v>-3680</v>
      </c>
      <c r="F10" s="12" t="n">
        <v>4</v>
      </c>
      <c r="G10" s="6" t="s">
        <v>16</v>
      </c>
    </row>
    <row r="11" customFormat="false" ht="15" hidden="false" customHeight="false" outlineLevel="0" collapsed="false">
      <c r="B11" s="12" t="s">
        <v>456</v>
      </c>
      <c r="C11" s="12" t="s">
        <v>457</v>
      </c>
      <c r="D11" s="13" t="n">
        <v>-12450</v>
      </c>
      <c r="E11" s="13" t="n">
        <v>-622.5</v>
      </c>
      <c r="F11" s="12" t="n">
        <v>1</v>
      </c>
      <c r="G11" s="6" t="s">
        <v>16</v>
      </c>
    </row>
    <row r="12" customFormat="false" ht="15" hidden="false" customHeight="false" outlineLevel="0" collapsed="false">
      <c r="B12" s="12" t="s">
        <v>458</v>
      </c>
      <c r="C12" s="12" t="s">
        <v>459</v>
      </c>
      <c r="D12" s="13" t="n">
        <v>-20008</v>
      </c>
      <c r="E12" s="13" t="n">
        <v>-1000.4</v>
      </c>
      <c r="F12" s="12" t="n">
        <v>3</v>
      </c>
      <c r="G12" s="6" t="s">
        <v>16</v>
      </c>
    </row>
    <row r="13" customFormat="false" ht="15" hidden="false" customHeight="false" outlineLevel="0" collapsed="false">
      <c r="B13" s="12" t="s">
        <v>460</v>
      </c>
      <c r="C13" s="12" t="s">
        <v>461</v>
      </c>
      <c r="D13" s="13" t="n">
        <v>-276500</v>
      </c>
      <c r="E13" s="13" t="n">
        <v>-13825</v>
      </c>
      <c r="F13" s="12" t="n">
        <v>4</v>
      </c>
      <c r="G13" s="6" t="s">
        <v>16</v>
      </c>
    </row>
    <row r="14" customFormat="false" ht="15" hidden="false" customHeight="false" outlineLevel="0" collapsed="false">
      <c r="B14" s="12" t="s">
        <v>462</v>
      </c>
      <c r="C14" s="12" t="s">
        <v>463</v>
      </c>
      <c r="D14" s="13" t="n">
        <v>-371953</v>
      </c>
      <c r="E14" s="13" t="n">
        <v>-18597.65</v>
      </c>
      <c r="F14" s="12" t="n">
        <v>10</v>
      </c>
      <c r="G14" s="6" t="s">
        <v>16</v>
      </c>
    </row>
    <row r="15" customFormat="false" ht="15" hidden="false" customHeight="false" outlineLevel="0" collapsed="false">
      <c r="B15" s="12" t="s">
        <v>464</v>
      </c>
      <c r="C15" s="12" t="s">
        <v>465</v>
      </c>
      <c r="D15" s="13" t="n">
        <v>-243958</v>
      </c>
      <c r="E15" s="13" t="n">
        <v>-12197.9</v>
      </c>
      <c r="F15" s="12" t="n">
        <v>5</v>
      </c>
      <c r="G15" s="6" t="s">
        <v>16</v>
      </c>
    </row>
    <row r="16" customFormat="false" ht="15" hidden="false" customHeight="false" outlineLevel="0" collapsed="false">
      <c r="B16" s="12" t="s">
        <v>466</v>
      </c>
      <c r="C16" s="12" t="s">
        <v>467</v>
      </c>
      <c r="D16" s="13" t="n">
        <v>-322600</v>
      </c>
      <c r="E16" s="13" t="n">
        <v>-16130</v>
      </c>
      <c r="F16" s="12" t="n">
        <v>5</v>
      </c>
      <c r="G16" s="6" t="s">
        <v>16</v>
      </c>
    </row>
    <row r="17" customFormat="false" ht="15" hidden="false" customHeight="false" outlineLevel="0" collapsed="false">
      <c r="B17" s="12" t="s">
        <v>468</v>
      </c>
      <c r="C17" s="12" t="s">
        <v>469</v>
      </c>
      <c r="D17" s="13" t="n">
        <v>-275039</v>
      </c>
      <c r="E17" s="13" t="n">
        <v>-13751.95</v>
      </c>
      <c r="F17" s="12" t="n">
        <v>10</v>
      </c>
      <c r="G17" s="6" t="s">
        <v>16</v>
      </c>
    </row>
    <row r="18" customFormat="false" ht="15" hidden="false" customHeight="false" outlineLevel="0" collapsed="false">
      <c r="B18" s="12" t="s">
        <v>470</v>
      </c>
      <c r="C18" s="12" t="s">
        <v>471</v>
      </c>
      <c r="D18" s="13" t="n">
        <v>-319545</v>
      </c>
      <c r="E18" s="13" t="n">
        <v>-15977.25</v>
      </c>
      <c r="F18" s="12" t="n">
        <v>14</v>
      </c>
      <c r="G18" s="6" t="s">
        <v>16</v>
      </c>
    </row>
    <row r="19" customFormat="false" ht="15" hidden="false" customHeight="false" outlineLevel="0" collapsed="false">
      <c r="B19" s="12" t="s">
        <v>472</v>
      </c>
      <c r="C19" s="12" t="s">
        <v>473</v>
      </c>
      <c r="D19" s="13" t="n">
        <v>-240145</v>
      </c>
      <c r="E19" s="13" t="n">
        <v>-12007.25</v>
      </c>
      <c r="F19" s="12" t="n">
        <v>10</v>
      </c>
      <c r="G19" s="6" t="s">
        <v>16</v>
      </c>
    </row>
    <row r="20" customFormat="false" ht="15" hidden="false" customHeight="false" outlineLevel="0" collapsed="false">
      <c r="B20" s="12" t="s">
        <v>474</v>
      </c>
      <c r="C20" s="12" t="s">
        <v>475</v>
      </c>
      <c r="D20" s="13" t="n">
        <v>-23143</v>
      </c>
      <c r="E20" s="13" t="n">
        <v>-1157.15</v>
      </c>
      <c r="F20" s="12" t="n">
        <v>3</v>
      </c>
      <c r="G20" s="6" t="s">
        <v>16</v>
      </c>
    </row>
    <row r="21" customFormat="false" ht="15" hidden="false" customHeight="false" outlineLevel="0" collapsed="false">
      <c r="B21" s="12" t="s">
        <v>476</v>
      </c>
      <c r="C21" s="12" t="s">
        <v>477</v>
      </c>
      <c r="D21" s="13" t="n">
        <v>-15700</v>
      </c>
      <c r="E21" s="13" t="n">
        <v>-785</v>
      </c>
      <c r="F21" s="12" t="n">
        <v>4</v>
      </c>
      <c r="G21" s="6" t="s">
        <v>16</v>
      </c>
    </row>
    <row r="22" customFormat="false" ht="15" hidden="false" customHeight="false" outlineLevel="0" collapsed="false">
      <c r="B22" s="12" t="s">
        <v>478</v>
      </c>
      <c r="C22" s="12" t="s">
        <v>479</v>
      </c>
      <c r="D22" s="13" t="n">
        <v>-34044</v>
      </c>
      <c r="E22" s="13" t="n">
        <v>-1702.2</v>
      </c>
      <c r="F22" s="12" t="n">
        <v>3</v>
      </c>
      <c r="G22" s="6" t="s">
        <v>16</v>
      </c>
    </row>
    <row r="23" customFormat="false" ht="15" hidden="false" customHeight="false" outlineLevel="0" collapsed="false">
      <c r="B23" s="12" t="s">
        <v>480</v>
      </c>
      <c r="C23" s="12" t="s">
        <v>481</v>
      </c>
      <c r="D23" s="13" t="n">
        <v>-123239</v>
      </c>
      <c r="E23" s="13" t="n">
        <v>-6161.95</v>
      </c>
      <c r="F23" s="12" t="n">
        <v>6</v>
      </c>
      <c r="G23" s="6" t="s">
        <v>16</v>
      </c>
    </row>
    <row r="24" customFormat="false" ht="15" hidden="false" customHeight="false" outlineLevel="0" collapsed="false">
      <c r="B24" s="12" t="s">
        <v>482</v>
      </c>
      <c r="C24" s="12" t="s">
        <v>483</v>
      </c>
      <c r="D24" s="13" t="n">
        <v>-37060</v>
      </c>
      <c r="E24" s="13" t="n">
        <v>-1853</v>
      </c>
      <c r="F24" s="12" t="n">
        <v>4</v>
      </c>
      <c r="G24" s="6" t="s">
        <v>16</v>
      </c>
    </row>
    <row r="25" customFormat="false" ht="15" hidden="false" customHeight="false" outlineLevel="0" collapsed="false">
      <c r="B25" s="12" t="s">
        <v>484</v>
      </c>
      <c r="C25" s="12" t="s">
        <v>483</v>
      </c>
      <c r="D25" s="13" t="n">
        <v>37060</v>
      </c>
      <c r="E25" s="13" t="n">
        <v>1853</v>
      </c>
      <c r="F25" s="12" t="n">
        <v>4</v>
      </c>
      <c r="G25" s="6" t="s">
        <v>16</v>
      </c>
    </row>
    <row r="26" customFormat="false" ht="15" hidden="false" customHeight="false" outlineLevel="0" collapsed="false">
      <c r="B26" s="12" t="s">
        <v>485</v>
      </c>
      <c r="C26" s="12" t="s">
        <v>483</v>
      </c>
      <c r="D26" s="13" t="n">
        <v>-56200</v>
      </c>
      <c r="E26" s="13" t="n">
        <v>-2810</v>
      </c>
      <c r="F26" s="12" t="n">
        <v>5</v>
      </c>
      <c r="G26" s="6" t="s">
        <v>16</v>
      </c>
    </row>
    <row r="27" customFormat="false" ht="15" hidden="false" customHeight="false" outlineLevel="0" collapsed="false">
      <c r="B27" s="12" t="s">
        <v>486</v>
      </c>
      <c r="C27" s="12" t="s">
        <v>487</v>
      </c>
      <c r="D27" s="13" t="n">
        <v>-89840</v>
      </c>
      <c r="E27" s="13" t="n">
        <v>-4492</v>
      </c>
      <c r="F27" s="12" t="n">
        <v>5</v>
      </c>
      <c r="G27" s="6" t="s">
        <v>16</v>
      </c>
    </row>
    <row r="28" customFormat="false" ht="15" hidden="false" customHeight="false" outlineLevel="0" collapsed="false">
      <c r="B28" s="12" t="s">
        <v>488</v>
      </c>
      <c r="C28" s="12" t="s">
        <v>489</v>
      </c>
      <c r="D28" s="13" t="n">
        <v>-67236</v>
      </c>
      <c r="E28" s="13" t="n">
        <v>-3361.8</v>
      </c>
      <c r="F28" s="12" t="n">
        <v>8</v>
      </c>
      <c r="G28" s="6" t="s">
        <v>16</v>
      </c>
    </row>
    <row r="29" customFormat="false" ht="15" hidden="false" customHeight="false" outlineLevel="0" collapsed="false">
      <c r="B29" s="12" t="s">
        <v>490</v>
      </c>
      <c r="C29" s="12" t="s">
        <v>491</v>
      </c>
      <c r="D29" s="13" t="n">
        <v>-1200</v>
      </c>
      <c r="E29" s="13" t="n">
        <v>-60</v>
      </c>
      <c r="F29" s="12" t="n">
        <v>1</v>
      </c>
      <c r="G29" s="6" t="s">
        <v>16</v>
      </c>
    </row>
    <row r="30" customFormat="false" ht="15" hidden="false" customHeight="false" outlineLevel="0" collapsed="false">
      <c r="B30" s="12" t="s">
        <v>492</v>
      </c>
      <c r="C30" s="12" t="s">
        <v>493</v>
      </c>
      <c r="D30" s="13" t="n">
        <v>-4969</v>
      </c>
      <c r="E30" s="13" t="n">
        <v>-248.45</v>
      </c>
      <c r="F30" s="12" t="n">
        <v>4</v>
      </c>
      <c r="G30" s="6" t="s">
        <v>16</v>
      </c>
    </row>
    <row r="31" customFormat="false" ht="15" hidden="false" customHeight="false" outlineLevel="0" collapsed="false">
      <c r="B31" s="16" t="s">
        <v>494</v>
      </c>
      <c r="D31" s="28" t="n">
        <f aca="false">SUM(D6:D30)</f>
        <v>-2771369</v>
      </c>
      <c r="E31" s="28" t="n">
        <f aca="false">SUM(E6:E30)</f>
        <v>-138568.45</v>
      </c>
    </row>
    <row r="33" customFormat="false" ht="23.85" hidden="false" customHeight="true" outlineLevel="0" collapsed="false">
      <c r="B33" s="22" t="s">
        <v>495</v>
      </c>
      <c r="C33" s="22"/>
      <c r="D33" s="22"/>
      <c r="E33" s="22"/>
      <c r="F33" s="22"/>
      <c r="G33" s="22"/>
    </row>
  </sheetData>
  <mergeCells count="3">
    <mergeCell ref="B2:J2"/>
    <mergeCell ref="B3:J3"/>
    <mergeCell ref="B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2"/>
    <col collapsed="false" customWidth="true" hidden="false" outlineLevel="0" max="4" min="4" style="0" width="78"/>
    <col collapsed="false" customWidth="true" hidden="false" outlineLevel="0" max="5" min="5" style="0" width="12"/>
    <col collapsed="false" customWidth="true" hidden="false" outlineLevel="0" max="6" min="6" style="0" width="40"/>
  </cols>
  <sheetData>
    <row r="2" customFormat="false" ht="27.75" hidden="false" customHeight="true" outlineLevel="0" collapsed="false">
      <c r="B2" s="1" t="s">
        <v>496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497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498</v>
      </c>
      <c r="C5" s="11" t="s">
        <v>499</v>
      </c>
      <c r="D5" s="11" t="s">
        <v>500</v>
      </c>
      <c r="E5" s="11" t="s">
        <v>501</v>
      </c>
      <c r="F5" s="11" t="s">
        <v>76</v>
      </c>
    </row>
    <row r="6" customFormat="false" ht="57.75" hidden="false" customHeight="true" outlineLevel="0" collapsed="false">
      <c r="B6" s="12" t="n">
        <v>1</v>
      </c>
      <c r="C6" s="4" t="s">
        <v>502</v>
      </c>
      <c r="D6" s="5" t="s">
        <v>503</v>
      </c>
      <c r="E6" s="25" t="s">
        <v>504</v>
      </c>
      <c r="F6" s="6" t="s">
        <v>16</v>
      </c>
    </row>
    <row r="7" customFormat="false" ht="57.75" hidden="false" customHeight="true" outlineLevel="0" collapsed="false">
      <c r="B7" s="12" t="n">
        <v>2</v>
      </c>
      <c r="C7" s="4" t="s">
        <v>505</v>
      </c>
      <c r="D7" s="5" t="s">
        <v>506</v>
      </c>
      <c r="E7" s="25" t="s">
        <v>504</v>
      </c>
      <c r="F7" s="6" t="s">
        <v>16</v>
      </c>
    </row>
    <row r="8" customFormat="false" ht="57.75" hidden="false" customHeight="true" outlineLevel="0" collapsed="false">
      <c r="B8" s="12" t="n">
        <v>3</v>
      </c>
      <c r="C8" s="4" t="s">
        <v>507</v>
      </c>
      <c r="D8" s="5" t="s">
        <v>508</v>
      </c>
      <c r="E8" s="25" t="s">
        <v>504</v>
      </c>
      <c r="F8" s="6" t="s">
        <v>16</v>
      </c>
    </row>
    <row r="9" customFormat="false" ht="57.75" hidden="false" customHeight="true" outlineLevel="0" collapsed="false">
      <c r="B9" s="12" t="n">
        <v>4</v>
      </c>
      <c r="C9" s="4" t="s">
        <v>509</v>
      </c>
      <c r="D9" s="5" t="s">
        <v>510</v>
      </c>
      <c r="E9" s="25" t="s">
        <v>504</v>
      </c>
      <c r="F9" s="6" t="s">
        <v>16</v>
      </c>
    </row>
    <row r="10" customFormat="false" ht="57.75" hidden="false" customHeight="true" outlineLevel="0" collapsed="false">
      <c r="B10" s="12" t="n">
        <v>5</v>
      </c>
      <c r="C10" s="4" t="s">
        <v>511</v>
      </c>
      <c r="D10" s="5" t="s">
        <v>512</v>
      </c>
      <c r="E10" s="25" t="s">
        <v>504</v>
      </c>
      <c r="F10" s="6" t="s">
        <v>16</v>
      </c>
    </row>
    <row r="11" customFormat="false" ht="57.75" hidden="false" customHeight="true" outlineLevel="0" collapsed="false">
      <c r="B11" s="12" t="n">
        <v>6</v>
      </c>
      <c r="C11" s="4" t="s">
        <v>513</v>
      </c>
      <c r="D11" s="5" t="s">
        <v>514</v>
      </c>
      <c r="E11" s="25" t="s">
        <v>504</v>
      </c>
      <c r="F11" s="6" t="s">
        <v>16</v>
      </c>
    </row>
    <row r="12" customFormat="false" ht="57.75" hidden="false" customHeight="true" outlineLevel="0" collapsed="false">
      <c r="B12" s="12" t="n">
        <v>7</v>
      </c>
      <c r="C12" s="4" t="s">
        <v>515</v>
      </c>
      <c r="D12" s="5" t="s">
        <v>516</v>
      </c>
      <c r="E12" s="25" t="s">
        <v>504</v>
      </c>
      <c r="F12" s="6" t="s">
        <v>16</v>
      </c>
    </row>
    <row r="13" customFormat="false" ht="57.75" hidden="false" customHeight="true" outlineLevel="0" collapsed="false">
      <c r="B13" s="12" t="n">
        <v>8</v>
      </c>
      <c r="C13" s="4" t="s">
        <v>517</v>
      </c>
      <c r="D13" s="5" t="s">
        <v>518</v>
      </c>
      <c r="E13" s="25" t="s">
        <v>504</v>
      </c>
      <c r="F13" s="6" t="s">
        <v>16</v>
      </c>
    </row>
    <row r="14" customFormat="false" ht="57.75" hidden="false" customHeight="true" outlineLevel="0" collapsed="false">
      <c r="B14" s="12" t="n">
        <v>9</v>
      </c>
      <c r="C14" s="4" t="s">
        <v>519</v>
      </c>
      <c r="D14" s="5" t="s">
        <v>520</v>
      </c>
      <c r="E14" s="27" t="s">
        <v>521</v>
      </c>
      <c r="F14" s="6" t="s">
        <v>522</v>
      </c>
    </row>
    <row r="15" customFormat="false" ht="57.75" hidden="false" customHeight="true" outlineLevel="0" collapsed="false">
      <c r="B15" s="12" t="n">
        <v>10</v>
      </c>
      <c r="C15" s="4" t="s">
        <v>523</v>
      </c>
      <c r="D15" s="5" t="s">
        <v>524</v>
      </c>
      <c r="E15" s="25" t="s">
        <v>504</v>
      </c>
      <c r="F15" s="6" t="s">
        <v>16</v>
      </c>
    </row>
    <row r="16" customFormat="false" ht="57.75" hidden="false" customHeight="true" outlineLevel="0" collapsed="false">
      <c r="B16" s="12" t="n">
        <v>11</v>
      </c>
      <c r="C16" s="4" t="s">
        <v>525</v>
      </c>
      <c r="D16" s="5" t="s">
        <v>526</v>
      </c>
      <c r="E16" s="25" t="s">
        <v>504</v>
      </c>
      <c r="F16" s="6" t="s">
        <v>527</v>
      </c>
    </row>
    <row r="17" customFormat="false" ht="57.75" hidden="false" customHeight="true" outlineLevel="0" collapsed="false">
      <c r="B17" s="12" t="n">
        <v>12</v>
      </c>
      <c r="C17" s="4" t="s">
        <v>528</v>
      </c>
      <c r="D17" s="5" t="s">
        <v>529</v>
      </c>
      <c r="E17" s="25" t="s">
        <v>504</v>
      </c>
      <c r="F17" s="6" t="s">
        <v>530</v>
      </c>
    </row>
    <row r="18" customFormat="false" ht="57.75" hidden="false" customHeight="true" outlineLevel="0" collapsed="false">
      <c r="B18" s="12" t="n">
        <v>13</v>
      </c>
      <c r="C18" s="4" t="s">
        <v>531</v>
      </c>
      <c r="D18" s="5" t="s">
        <v>532</v>
      </c>
      <c r="E18" s="25" t="s">
        <v>504</v>
      </c>
      <c r="F18" s="6" t="s">
        <v>533</v>
      </c>
    </row>
    <row r="19" customFormat="false" ht="57.75" hidden="false" customHeight="true" outlineLevel="0" collapsed="false">
      <c r="B19" s="12" t="n">
        <v>14</v>
      </c>
      <c r="C19" s="4" t="s">
        <v>534</v>
      </c>
      <c r="D19" s="5" t="s">
        <v>535</v>
      </c>
      <c r="E19" s="25" t="s">
        <v>504</v>
      </c>
      <c r="F19" s="6" t="s">
        <v>536</v>
      </c>
    </row>
    <row r="20" customFormat="false" ht="57.75" hidden="false" customHeight="true" outlineLevel="0" collapsed="false">
      <c r="B20" s="12" t="n">
        <v>15</v>
      </c>
      <c r="C20" s="4" t="s">
        <v>537</v>
      </c>
      <c r="D20" s="5" t="s">
        <v>538</v>
      </c>
      <c r="E20" s="25" t="s">
        <v>504</v>
      </c>
      <c r="F20" s="6" t="s">
        <v>16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38"/>
  </cols>
  <sheetData>
    <row r="2" customFormat="false" ht="27.75" hidden="false" customHeight="true" outlineLevel="0" collapsed="false">
      <c r="B2" s="1" t="s">
        <v>539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540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541</v>
      </c>
      <c r="C5" s="11" t="s">
        <v>542</v>
      </c>
      <c r="D5" s="11" t="s">
        <v>348</v>
      </c>
      <c r="E5" s="11" t="s">
        <v>140</v>
      </c>
      <c r="F5" s="11" t="s">
        <v>349</v>
      </c>
      <c r="G5" s="11" t="s">
        <v>501</v>
      </c>
      <c r="H5" s="11" t="s">
        <v>543</v>
      </c>
    </row>
    <row r="6" customFormat="false" ht="23.85" hidden="false" customHeight="false" outlineLevel="0" collapsed="false">
      <c r="B6" s="5" t="s">
        <v>544</v>
      </c>
      <c r="C6" s="5" t="s">
        <v>545</v>
      </c>
      <c r="D6" s="12" t="s">
        <v>4</v>
      </c>
      <c r="E6" s="12" t="s">
        <v>546</v>
      </c>
      <c r="F6" s="5" t="s">
        <v>547</v>
      </c>
      <c r="G6" s="25" t="s">
        <v>504</v>
      </c>
      <c r="H6" s="5" t="s">
        <v>16</v>
      </c>
    </row>
    <row r="7" customFormat="false" ht="23.85" hidden="false" customHeight="false" outlineLevel="0" collapsed="false">
      <c r="B7" s="5" t="s">
        <v>548</v>
      </c>
      <c r="C7" s="5" t="s">
        <v>549</v>
      </c>
      <c r="D7" s="12" t="s">
        <v>7</v>
      </c>
      <c r="E7" s="12" t="s">
        <v>546</v>
      </c>
      <c r="F7" s="5" t="s">
        <v>550</v>
      </c>
      <c r="G7" s="25" t="s">
        <v>504</v>
      </c>
      <c r="H7" s="5" t="s">
        <v>16</v>
      </c>
    </row>
    <row r="8" customFormat="false" ht="23.85" hidden="false" customHeight="false" outlineLevel="0" collapsed="false">
      <c r="B8" s="5" t="s">
        <v>8</v>
      </c>
      <c r="C8" s="5" t="s">
        <v>551</v>
      </c>
      <c r="D8" s="12" t="s">
        <v>552</v>
      </c>
      <c r="E8" s="12" t="s">
        <v>546</v>
      </c>
      <c r="F8" s="5" t="s">
        <v>553</v>
      </c>
      <c r="G8" s="25" t="s">
        <v>504</v>
      </c>
      <c r="H8" s="5" t="s">
        <v>13</v>
      </c>
    </row>
    <row r="9" customFormat="false" ht="23.85" hidden="false" customHeight="false" outlineLevel="0" collapsed="false">
      <c r="B9" s="5" t="s">
        <v>11</v>
      </c>
      <c r="C9" s="5" t="s">
        <v>554</v>
      </c>
      <c r="D9" s="12" t="s">
        <v>12</v>
      </c>
      <c r="E9" s="12" t="s">
        <v>546</v>
      </c>
      <c r="F9" s="5" t="s">
        <v>555</v>
      </c>
      <c r="G9" s="25" t="s">
        <v>504</v>
      </c>
      <c r="H9" s="5" t="s">
        <v>13</v>
      </c>
    </row>
    <row r="10" customFormat="false" ht="23.85" hidden="false" customHeight="false" outlineLevel="0" collapsed="false">
      <c r="B10" s="5" t="s">
        <v>17</v>
      </c>
      <c r="C10" s="5" t="s">
        <v>556</v>
      </c>
      <c r="D10" s="12" t="s">
        <v>18</v>
      </c>
      <c r="E10" s="12" t="s">
        <v>546</v>
      </c>
      <c r="F10" s="5" t="s">
        <v>557</v>
      </c>
      <c r="G10" s="25" t="s">
        <v>504</v>
      </c>
      <c r="H10" s="5" t="s">
        <v>13</v>
      </c>
    </row>
    <row r="11" customFormat="false" ht="15" hidden="false" customHeight="false" outlineLevel="0" collapsed="false">
      <c r="B11" s="5" t="s">
        <v>19</v>
      </c>
      <c r="C11" s="5" t="s">
        <v>558</v>
      </c>
      <c r="D11" s="12" t="s">
        <v>20</v>
      </c>
      <c r="E11" s="12" t="s">
        <v>546</v>
      </c>
      <c r="F11" s="5" t="s">
        <v>559</v>
      </c>
      <c r="G11" s="25" t="s">
        <v>504</v>
      </c>
      <c r="H11" s="5" t="s">
        <v>527</v>
      </c>
    </row>
    <row r="12" customFormat="false" ht="23.85" hidden="false" customHeight="false" outlineLevel="0" collapsed="false">
      <c r="B12" s="5" t="s">
        <v>560</v>
      </c>
      <c r="C12" s="5" t="s">
        <v>561</v>
      </c>
      <c r="D12" s="12" t="s">
        <v>23</v>
      </c>
      <c r="E12" s="12" t="s">
        <v>546</v>
      </c>
      <c r="F12" s="5" t="s">
        <v>562</v>
      </c>
      <c r="G12" s="25" t="s">
        <v>504</v>
      </c>
      <c r="H12" s="5" t="s">
        <v>13</v>
      </c>
    </row>
    <row r="13" customFormat="false" ht="35.05" hidden="false" customHeight="false" outlineLevel="0" collapsed="false">
      <c r="B13" s="5" t="s">
        <v>563</v>
      </c>
      <c r="C13" s="5" t="s">
        <v>564</v>
      </c>
      <c r="D13" s="12" t="s">
        <v>565</v>
      </c>
      <c r="E13" s="12" t="s">
        <v>546</v>
      </c>
      <c r="F13" s="5" t="s">
        <v>566</v>
      </c>
      <c r="G13" s="25" t="s">
        <v>504</v>
      </c>
      <c r="H13" s="5" t="s">
        <v>536</v>
      </c>
    </row>
    <row r="14" customFormat="false" ht="23.85" hidden="false" customHeight="false" outlineLevel="0" collapsed="false">
      <c r="B14" s="5" t="s">
        <v>567</v>
      </c>
      <c r="C14" s="5" t="s">
        <v>568</v>
      </c>
      <c r="D14" s="12" t="s">
        <v>569</v>
      </c>
      <c r="E14" s="12" t="s">
        <v>546</v>
      </c>
      <c r="F14" s="5" t="s">
        <v>570</v>
      </c>
      <c r="G14" s="25" t="s">
        <v>504</v>
      </c>
      <c r="H14" s="5" t="s">
        <v>16</v>
      </c>
    </row>
    <row r="15" customFormat="false" ht="23.85" hidden="false" customHeight="false" outlineLevel="0" collapsed="false">
      <c r="B15" s="5" t="s">
        <v>571</v>
      </c>
      <c r="C15" s="5" t="s">
        <v>572</v>
      </c>
      <c r="D15" s="12" t="s">
        <v>573</v>
      </c>
      <c r="E15" s="12" t="s">
        <v>546</v>
      </c>
      <c r="F15" s="5" t="s">
        <v>574</v>
      </c>
      <c r="G15" s="25" t="s">
        <v>504</v>
      </c>
      <c r="H15" s="5" t="s">
        <v>16</v>
      </c>
    </row>
    <row r="16" customFormat="false" ht="15" hidden="false" customHeight="false" outlineLevel="0" collapsed="false">
      <c r="B16" s="5" t="s">
        <v>575</v>
      </c>
      <c r="C16" s="5" t="s">
        <v>576</v>
      </c>
      <c r="D16" s="29" t="n">
        <v>23</v>
      </c>
      <c r="E16" s="12" t="s">
        <v>546</v>
      </c>
      <c r="F16" s="5" t="s">
        <v>577</v>
      </c>
      <c r="G16" s="25" t="s">
        <v>504</v>
      </c>
      <c r="H16" s="5" t="s">
        <v>357</v>
      </c>
    </row>
    <row r="17" customFormat="false" ht="15" hidden="false" customHeight="false" outlineLevel="0" collapsed="false">
      <c r="B17" s="5" t="s">
        <v>578</v>
      </c>
      <c r="C17" s="5" t="s">
        <v>579</v>
      </c>
      <c r="D17" s="30" t="n">
        <v>241</v>
      </c>
      <c r="E17" s="12" t="s">
        <v>546</v>
      </c>
      <c r="F17" s="5" t="s">
        <v>580</v>
      </c>
      <c r="G17" s="25" t="s">
        <v>504</v>
      </c>
      <c r="H17" s="5" t="s">
        <v>536</v>
      </c>
    </row>
    <row r="18" customFormat="false" ht="15" hidden="false" customHeight="false" outlineLevel="0" collapsed="false">
      <c r="B18" s="5" t="s">
        <v>581</v>
      </c>
      <c r="C18" s="5" t="s">
        <v>582</v>
      </c>
      <c r="D18" s="30" t="n">
        <v>11</v>
      </c>
      <c r="E18" s="12" t="s">
        <v>546</v>
      </c>
      <c r="F18" s="5" t="s">
        <v>583</v>
      </c>
      <c r="G18" s="25" t="s">
        <v>504</v>
      </c>
      <c r="H18" s="5" t="s">
        <v>536</v>
      </c>
    </row>
    <row r="19" customFormat="false" ht="23.85" hidden="false" customHeight="false" outlineLevel="0" collapsed="false">
      <c r="B19" s="5" t="s">
        <v>584</v>
      </c>
      <c r="C19" s="5" t="s">
        <v>585</v>
      </c>
      <c r="D19" s="31" t="n">
        <v>2469500</v>
      </c>
      <c r="E19" s="12" t="s">
        <v>586</v>
      </c>
      <c r="F19" s="5" t="s">
        <v>587</v>
      </c>
      <c r="G19" s="25" t="s">
        <v>504</v>
      </c>
      <c r="H19" s="5" t="s">
        <v>13</v>
      </c>
    </row>
    <row r="20" customFormat="false" ht="23.85" hidden="false" customHeight="false" outlineLevel="0" collapsed="false">
      <c r="B20" s="5" t="s">
        <v>588</v>
      </c>
      <c r="C20" s="5" t="s">
        <v>589</v>
      </c>
      <c r="D20" s="31" t="n">
        <v>2771369</v>
      </c>
      <c r="E20" s="12" t="s">
        <v>586</v>
      </c>
      <c r="F20" s="5" t="s">
        <v>590</v>
      </c>
      <c r="G20" s="25" t="s">
        <v>504</v>
      </c>
      <c r="H20" s="5" t="s">
        <v>16</v>
      </c>
    </row>
    <row r="21" customFormat="false" ht="23.85" hidden="false" customHeight="false" outlineLevel="0" collapsed="false">
      <c r="B21" s="5" t="s">
        <v>591</v>
      </c>
      <c r="C21" s="5" t="s">
        <v>592</v>
      </c>
      <c r="D21" s="31" t="n">
        <v>301869</v>
      </c>
      <c r="E21" s="12" t="s">
        <v>586</v>
      </c>
      <c r="F21" s="5" t="s">
        <v>593</v>
      </c>
      <c r="G21" s="25" t="s">
        <v>504</v>
      </c>
      <c r="H21" s="5" t="s">
        <v>16</v>
      </c>
    </row>
    <row r="22" customFormat="false" ht="15" hidden="false" customHeight="false" outlineLevel="0" collapsed="false">
      <c r="B22" s="5" t="s">
        <v>594</v>
      </c>
      <c r="C22" s="5" t="s">
        <v>595</v>
      </c>
      <c r="D22" s="26" t="s">
        <v>419</v>
      </c>
      <c r="E22" s="12" t="s">
        <v>586</v>
      </c>
      <c r="F22" s="5" t="s">
        <v>596</v>
      </c>
      <c r="G22" s="32" t="s">
        <v>597</v>
      </c>
      <c r="H22" s="5" t="s">
        <v>598</v>
      </c>
    </row>
    <row r="23" customFormat="false" ht="15" hidden="false" customHeight="false" outlineLevel="0" collapsed="false">
      <c r="B23" s="5" t="s">
        <v>599</v>
      </c>
      <c r="C23" s="5" t="s">
        <v>600</v>
      </c>
      <c r="D23" s="30" t="n">
        <v>5</v>
      </c>
      <c r="E23" s="12" t="s">
        <v>586</v>
      </c>
      <c r="F23" s="5" t="s">
        <v>601</v>
      </c>
      <c r="G23" s="25" t="s">
        <v>504</v>
      </c>
      <c r="H23" s="5" t="s">
        <v>598</v>
      </c>
    </row>
    <row r="24" customFormat="false" ht="15" hidden="false" customHeight="false" outlineLevel="0" collapsed="false">
      <c r="B24" s="5" t="s">
        <v>602</v>
      </c>
      <c r="C24" s="5" t="s">
        <v>603</v>
      </c>
      <c r="D24" s="33" t="n">
        <v>0.122238914760073</v>
      </c>
      <c r="E24" s="12" t="s">
        <v>586</v>
      </c>
      <c r="F24" s="5"/>
      <c r="G24" s="25" t="s">
        <v>504</v>
      </c>
      <c r="H24" s="5" t="s">
        <v>357</v>
      </c>
    </row>
    <row r="25" customFormat="false" ht="23.85" hidden="false" customHeight="false" outlineLevel="0" collapsed="false">
      <c r="B25" s="5" t="s">
        <v>604</v>
      </c>
      <c r="C25" s="5" t="s">
        <v>605</v>
      </c>
      <c r="D25" s="31" t="n">
        <v>2771369</v>
      </c>
      <c r="E25" s="12" t="s">
        <v>586</v>
      </c>
      <c r="F25" s="5" t="s">
        <v>606</v>
      </c>
      <c r="G25" s="25" t="s">
        <v>504</v>
      </c>
      <c r="H25" s="5" t="s">
        <v>16</v>
      </c>
    </row>
    <row r="26" customFormat="false" ht="23.85" hidden="false" customHeight="false" outlineLevel="0" collapsed="false">
      <c r="B26" s="5" t="s">
        <v>607</v>
      </c>
      <c r="C26" s="5" t="s">
        <v>608</v>
      </c>
      <c r="D26" s="31" t="n">
        <v>1873341.44</v>
      </c>
      <c r="E26" s="12" t="s">
        <v>586</v>
      </c>
      <c r="F26" s="5" t="s">
        <v>609</v>
      </c>
      <c r="G26" s="25" t="s">
        <v>504</v>
      </c>
      <c r="H26" s="5" t="s">
        <v>16</v>
      </c>
    </row>
    <row r="27" customFormat="false" ht="23.85" hidden="false" customHeight="false" outlineLevel="0" collapsed="false">
      <c r="B27" s="5" t="s">
        <v>610</v>
      </c>
      <c r="C27" s="5" t="s">
        <v>611</v>
      </c>
      <c r="D27" s="31" t="n">
        <v>898027.56</v>
      </c>
      <c r="E27" s="12" t="s">
        <v>586</v>
      </c>
      <c r="F27" s="5" t="s">
        <v>612</v>
      </c>
      <c r="G27" s="25" t="s">
        <v>504</v>
      </c>
      <c r="H27" s="5" t="s">
        <v>16</v>
      </c>
    </row>
    <row r="28" customFormat="false" ht="15" hidden="false" customHeight="false" outlineLevel="0" collapsed="false">
      <c r="B28" s="5" t="s">
        <v>391</v>
      </c>
      <c r="C28" s="5" t="s">
        <v>613</v>
      </c>
      <c r="D28" s="33" t="n">
        <v>0.324037528023154</v>
      </c>
      <c r="E28" s="12" t="s">
        <v>586</v>
      </c>
      <c r="F28" s="5"/>
      <c r="G28" s="25" t="s">
        <v>504</v>
      </c>
      <c r="H28" s="5" t="s">
        <v>357</v>
      </c>
    </row>
    <row r="29" customFormat="false" ht="23.85" hidden="false" customHeight="false" outlineLevel="0" collapsed="false">
      <c r="B29" s="5" t="s">
        <v>614</v>
      </c>
      <c r="C29" s="5" t="s">
        <v>615</v>
      </c>
      <c r="D29" s="31" t="n">
        <v>138568.45</v>
      </c>
      <c r="E29" s="12" t="s">
        <v>586</v>
      </c>
      <c r="F29" s="5" t="s">
        <v>616</v>
      </c>
      <c r="G29" s="25" t="s">
        <v>504</v>
      </c>
      <c r="H29" s="5" t="s">
        <v>16</v>
      </c>
    </row>
    <row r="30" customFormat="false" ht="15" hidden="false" customHeight="false" outlineLevel="0" collapsed="false">
      <c r="B30" s="5" t="s">
        <v>617</v>
      </c>
      <c r="C30" s="5" t="s">
        <v>618</v>
      </c>
      <c r="D30" s="33" t="n">
        <v>0.05</v>
      </c>
      <c r="E30" s="12" t="s">
        <v>586</v>
      </c>
      <c r="F30" s="5"/>
      <c r="G30" s="25" t="s">
        <v>504</v>
      </c>
      <c r="H30" s="5" t="s">
        <v>357</v>
      </c>
    </row>
    <row r="31" customFormat="false" ht="23.85" hidden="false" customHeight="false" outlineLevel="0" collapsed="false">
      <c r="B31" s="5" t="s">
        <v>619</v>
      </c>
      <c r="C31" s="5" t="s">
        <v>620</v>
      </c>
      <c r="D31" s="31" t="n">
        <v>702744.35</v>
      </c>
      <c r="E31" s="12" t="s">
        <v>145</v>
      </c>
      <c r="F31" s="5" t="s">
        <v>621</v>
      </c>
      <c r="G31" s="25" t="s">
        <v>504</v>
      </c>
      <c r="H31" s="5" t="s">
        <v>16</v>
      </c>
    </row>
    <row r="32" customFormat="false" ht="23.85" hidden="false" customHeight="false" outlineLevel="0" collapsed="false">
      <c r="B32" s="5" t="s">
        <v>622</v>
      </c>
      <c r="C32" s="5" t="s">
        <v>623</v>
      </c>
      <c r="D32" s="31" t="n">
        <v>725504.82</v>
      </c>
      <c r="E32" s="12" t="s">
        <v>147</v>
      </c>
      <c r="F32" s="5" t="s">
        <v>624</v>
      </c>
      <c r="G32" s="25" t="s">
        <v>504</v>
      </c>
      <c r="H32" s="5" t="s">
        <v>16</v>
      </c>
    </row>
    <row r="33" customFormat="false" ht="23.85" hidden="false" customHeight="false" outlineLevel="0" collapsed="false">
      <c r="B33" s="5" t="s">
        <v>625</v>
      </c>
      <c r="C33" s="5" t="s">
        <v>626</v>
      </c>
      <c r="D33" s="31" t="n">
        <v>78439.57</v>
      </c>
      <c r="E33" s="12" t="s">
        <v>586</v>
      </c>
      <c r="F33" s="5" t="s">
        <v>627</v>
      </c>
      <c r="G33" s="25" t="s">
        <v>504</v>
      </c>
      <c r="H33" s="5" t="s">
        <v>16</v>
      </c>
    </row>
    <row r="34" customFormat="false" ht="23.85" hidden="false" customHeight="false" outlineLevel="0" collapsed="false">
      <c r="B34" s="5" t="s">
        <v>628</v>
      </c>
      <c r="C34" s="5" t="s">
        <v>629</v>
      </c>
      <c r="D34" s="31" t="n">
        <v>312024.89</v>
      </c>
      <c r="E34" s="12" t="s">
        <v>145</v>
      </c>
      <c r="F34" s="5" t="s">
        <v>630</v>
      </c>
      <c r="G34" s="25" t="s">
        <v>504</v>
      </c>
      <c r="H34" s="5" t="s">
        <v>16</v>
      </c>
    </row>
    <row r="35" customFormat="false" ht="23.85" hidden="false" customHeight="false" outlineLevel="0" collapsed="false">
      <c r="B35" s="5" t="s">
        <v>631</v>
      </c>
      <c r="C35" s="5" t="s">
        <v>632</v>
      </c>
      <c r="D35" s="31" t="n">
        <v>54627.81</v>
      </c>
      <c r="E35" s="12" t="s">
        <v>145</v>
      </c>
      <c r="F35" s="5" t="s">
        <v>633</v>
      </c>
      <c r="G35" s="25" t="s">
        <v>504</v>
      </c>
      <c r="H35" s="5" t="s">
        <v>16</v>
      </c>
    </row>
    <row r="36" customFormat="false" ht="23.85" hidden="false" customHeight="false" outlineLevel="0" collapsed="false">
      <c r="B36" s="5" t="s">
        <v>352</v>
      </c>
      <c r="C36" s="5" t="s">
        <v>634</v>
      </c>
      <c r="D36" s="29" t="n">
        <v>33107</v>
      </c>
      <c r="E36" s="12" t="s">
        <v>145</v>
      </c>
      <c r="F36" s="5" t="s">
        <v>635</v>
      </c>
      <c r="G36" s="25" t="s">
        <v>504</v>
      </c>
      <c r="H36" s="5" t="s">
        <v>16</v>
      </c>
    </row>
    <row r="37" customFormat="false" ht="23.85" hidden="false" customHeight="false" outlineLevel="0" collapsed="false">
      <c r="B37" s="5" t="s">
        <v>350</v>
      </c>
      <c r="C37" s="5" t="s">
        <v>636</v>
      </c>
      <c r="D37" s="30" t="n">
        <v>52</v>
      </c>
      <c r="E37" s="12" t="s">
        <v>145</v>
      </c>
      <c r="F37" s="5" t="s">
        <v>351</v>
      </c>
      <c r="G37" s="25" t="s">
        <v>504</v>
      </c>
      <c r="H37" s="5" t="s">
        <v>16</v>
      </c>
    </row>
    <row r="38" customFormat="false" ht="15" hidden="false" customHeight="false" outlineLevel="0" collapsed="false">
      <c r="B38" s="5" t="s">
        <v>355</v>
      </c>
      <c r="C38" s="5" t="s">
        <v>637</v>
      </c>
      <c r="D38" s="31" t="n">
        <v>21.2264581508442</v>
      </c>
      <c r="E38" s="12" t="s">
        <v>145</v>
      </c>
      <c r="F38" s="5" t="s">
        <v>379</v>
      </c>
      <c r="G38" s="25" t="s">
        <v>504</v>
      </c>
      <c r="H38" s="5" t="s">
        <v>357</v>
      </c>
    </row>
    <row r="39" customFormat="false" ht="15" hidden="false" customHeight="false" outlineLevel="0" collapsed="false">
      <c r="B39" s="5" t="s">
        <v>638</v>
      </c>
      <c r="C39" s="5" t="s">
        <v>639</v>
      </c>
      <c r="D39" s="31" t="n">
        <v>32.3012368985411</v>
      </c>
      <c r="E39" s="12" t="s">
        <v>145</v>
      </c>
      <c r="F39" s="5" t="s">
        <v>640</v>
      </c>
      <c r="G39" s="25" t="s">
        <v>504</v>
      </c>
      <c r="H39" s="5" t="s">
        <v>357</v>
      </c>
    </row>
    <row r="40" customFormat="false" ht="15" hidden="false" customHeight="false" outlineLevel="0" collapsed="false">
      <c r="B40" s="5" t="s">
        <v>382</v>
      </c>
      <c r="C40" s="5" t="s">
        <v>641</v>
      </c>
      <c r="D40" s="34" t="n">
        <v>1.52174407378729</v>
      </c>
      <c r="E40" s="12" t="s">
        <v>145</v>
      </c>
      <c r="F40" s="5" t="s">
        <v>642</v>
      </c>
      <c r="G40" s="25" t="s">
        <v>504</v>
      </c>
      <c r="H40" s="5" t="s">
        <v>357</v>
      </c>
    </row>
    <row r="41" customFormat="false" ht="23.85" hidden="false" customHeight="false" outlineLevel="0" collapsed="false">
      <c r="B41" s="5" t="s">
        <v>643</v>
      </c>
      <c r="C41" s="5" t="s">
        <v>644</v>
      </c>
      <c r="D41" s="29" t="n">
        <v>17765</v>
      </c>
      <c r="E41" s="12" t="s">
        <v>145</v>
      </c>
      <c r="F41" s="5" t="s">
        <v>645</v>
      </c>
      <c r="G41" s="25" t="s">
        <v>504</v>
      </c>
      <c r="H41" s="5" t="s">
        <v>16</v>
      </c>
    </row>
    <row r="42" customFormat="false" ht="23.85" hidden="false" customHeight="false" outlineLevel="0" collapsed="false">
      <c r="B42" s="5" t="s">
        <v>646</v>
      </c>
      <c r="C42" s="5" t="s">
        <v>647</v>
      </c>
      <c r="D42" s="29" t="n">
        <v>2906.5</v>
      </c>
      <c r="E42" s="12" t="s">
        <v>145</v>
      </c>
      <c r="F42" s="5" t="s">
        <v>648</v>
      </c>
      <c r="G42" s="25" t="s">
        <v>504</v>
      </c>
      <c r="H42" s="5" t="s">
        <v>16</v>
      </c>
    </row>
    <row r="43" customFormat="false" ht="15" hidden="false" customHeight="false" outlineLevel="0" collapsed="false">
      <c r="B43" s="5" t="s">
        <v>649</v>
      </c>
      <c r="C43" s="5" t="s">
        <v>650</v>
      </c>
      <c r="D43" s="29" t="n">
        <v>83.7094572144864</v>
      </c>
      <c r="E43" s="12" t="s">
        <v>651</v>
      </c>
      <c r="F43" s="5"/>
      <c r="G43" s="25" t="s">
        <v>504</v>
      </c>
      <c r="H43" s="5" t="s">
        <v>357</v>
      </c>
    </row>
    <row r="44" customFormat="false" ht="15" hidden="false" customHeight="false" outlineLevel="0" collapsed="false">
      <c r="B44" s="5" t="s">
        <v>652</v>
      </c>
      <c r="C44" s="5" t="s">
        <v>653</v>
      </c>
      <c r="D44" s="29" t="n">
        <v>27.1250055879421</v>
      </c>
      <c r="E44" s="12" t="s">
        <v>651</v>
      </c>
      <c r="F44" s="5"/>
      <c r="G44" s="25" t="s">
        <v>504</v>
      </c>
      <c r="H44" s="5" t="s">
        <v>357</v>
      </c>
    </row>
    <row r="45" customFormat="false" ht="15" hidden="false" customHeight="false" outlineLevel="0" collapsed="false">
      <c r="B45" s="5" t="s">
        <v>654</v>
      </c>
      <c r="C45" s="5" t="s">
        <v>655</v>
      </c>
      <c r="D45" s="31" t="n">
        <v>11499.4564315353</v>
      </c>
      <c r="E45" s="12" t="s">
        <v>651</v>
      </c>
      <c r="F45" s="5" t="s">
        <v>656</v>
      </c>
      <c r="G45" s="25" t="s">
        <v>504</v>
      </c>
      <c r="H45" s="5" t="s">
        <v>357</v>
      </c>
    </row>
    <row r="46" customFormat="false" ht="15" hidden="false" customHeight="false" outlineLevel="0" collapsed="false">
      <c r="B46" s="5" t="s">
        <v>402</v>
      </c>
      <c r="C46" s="5" t="s">
        <v>657</v>
      </c>
      <c r="D46" s="31" t="n">
        <v>7773.20099585062</v>
      </c>
      <c r="E46" s="12" t="s">
        <v>651</v>
      </c>
      <c r="F46" s="5" t="s">
        <v>656</v>
      </c>
      <c r="G46" s="25" t="s">
        <v>504</v>
      </c>
      <c r="H46" s="5" t="s">
        <v>357</v>
      </c>
    </row>
    <row r="47" customFormat="false" ht="15" hidden="false" customHeight="false" outlineLevel="0" collapsed="false">
      <c r="B47" s="5" t="s">
        <v>399</v>
      </c>
      <c r="C47" s="5" t="s">
        <v>658</v>
      </c>
      <c r="D47" s="29" t="n">
        <v>137.373443983403</v>
      </c>
      <c r="E47" s="12" t="s">
        <v>651</v>
      </c>
      <c r="F47" s="5" t="s">
        <v>656</v>
      </c>
      <c r="G47" s="25" t="s">
        <v>504</v>
      </c>
      <c r="H47" s="5" t="s">
        <v>357</v>
      </c>
    </row>
    <row r="48" customFormat="false" ht="15" hidden="false" customHeight="false" outlineLevel="0" collapsed="false">
      <c r="B48" s="5" t="s">
        <v>393</v>
      </c>
      <c r="C48" s="5" t="s">
        <v>659</v>
      </c>
      <c r="D48" s="33" t="n">
        <v>0.253572999481484</v>
      </c>
      <c r="E48" s="12" t="s">
        <v>660</v>
      </c>
      <c r="F48" s="5"/>
      <c r="G48" s="25" t="s">
        <v>504</v>
      </c>
      <c r="H48" s="5" t="s">
        <v>357</v>
      </c>
    </row>
    <row r="49" customFormat="false" ht="15" hidden="false" customHeight="false" outlineLevel="0" collapsed="false">
      <c r="B49" s="5" t="s">
        <v>394</v>
      </c>
      <c r="C49" s="5" t="s">
        <v>661</v>
      </c>
      <c r="D49" s="33" t="n">
        <v>0.261785716734221</v>
      </c>
      <c r="E49" s="12" t="s">
        <v>660</v>
      </c>
      <c r="F49" s="5"/>
      <c r="G49" s="25" t="s">
        <v>504</v>
      </c>
      <c r="H49" s="5" t="s">
        <v>357</v>
      </c>
    </row>
    <row r="50" customFormat="false" ht="23.85" hidden="false" customHeight="false" outlineLevel="0" collapsed="false">
      <c r="B50" s="5" t="s">
        <v>662</v>
      </c>
      <c r="C50" s="5" t="s">
        <v>663</v>
      </c>
      <c r="D50" s="30" t="n">
        <v>32</v>
      </c>
      <c r="E50" s="12" t="s">
        <v>147</v>
      </c>
      <c r="F50" s="5" t="s">
        <v>664</v>
      </c>
      <c r="G50" s="25" t="s">
        <v>504</v>
      </c>
      <c r="H50" s="5" t="s">
        <v>16</v>
      </c>
    </row>
    <row r="51" customFormat="false" ht="23.85" hidden="false" customHeight="false" outlineLevel="0" collapsed="false">
      <c r="B51" s="5" t="s">
        <v>665</v>
      </c>
      <c r="C51" s="5" t="s">
        <v>666</v>
      </c>
      <c r="D51" s="30" t="n">
        <v>25</v>
      </c>
      <c r="E51" s="12" t="s">
        <v>667</v>
      </c>
      <c r="F51" s="5" t="s">
        <v>668</v>
      </c>
      <c r="G51" s="25" t="s">
        <v>504</v>
      </c>
      <c r="H51" s="5" t="s">
        <v>16</v>
      </c>
    </row>
    <row r="52" customFormat="false" ht="15" hidden="false" customHeight="false" outlineLevel="0" collapsed="false">
      <c r="B52" s="5" t="s">
        <v>669</v>
      </c>
      <c r="C52" s="5" t="s">
        <v>670</v>
      </c>
      <c r="D52" s="30" t="n">
        <v>125</v>
      </c>
      <c r="E52" s="12" t="s">
        <v>671</v>
      </c>
      <c r="F52" s="5" t="s">
        <v>672</v>
      </c>
      <c r="G52" s="25" t="s">
        <v>504</v>
      </c>
      <c r="H52" s="5" t="s">
        <v>527</v>
      </c>
    </row>
    <row r="53" customFormat="false" ht="15" hidden="false" customHeight="false" outlineLevel="0" collapsed="false">
      <c r="B53" s="5" t="s">
        <v>673</v>
      </c>
      <c r="C53" s="5" t="s">
        <v>674</v>
      </c>
      <c r="D53" s="30" t="n">
        <v>100</v>
      </c>
      <c r="E53" s="12" t="s">
        <v>671</v>
      </c>
      <c r="F53" s="5" t="s">
        <v>675</v>
      </c>
      <c r="G53" s="27" t="s">
        <v>521</v>
      </c>
      <c r="H53" s="5" t="s">
        <v>530</v>
      </c>
    </row>
    <row r="54" customFormat="false" ht="23.85" hidden="false" customHeight="false" outlineLevel="0" collapsed="false">
      <c r="B54" s="5" t="s">
        <v>676</v>
      </c>
      <c r="C54" s="5" t="s">
        <v>677</v>
      </c>
      <c r="D54" s="30" t="n">
        <v>180</v>
      </c>
      <c r="E54" s="12" t="s">
        <v>671</v>
      </c>
      <c r="F54" s="5" t="s">
        <v>678</v>
      </c>
      <c r="G54" s="25" t="s">
        <v>504</v>
      </c>
      <c r="H54" s="5" t="s">
        <v>679</v>
      </c>
    </row>
    <row r="55" customFormat="false" ht="15" hidden="false" customHeight="false" outlineLevel="0" collapsed="false">
      <c r="B55" s="5" t="s">
        <v>680</v>
      </c>
      <c r="C55" s="5" t="s">
        <v>681</v>
      </c>
      <c r="D55" s="30" t="n">
        <v>244</v>
      </c>
      <c r="E55" s="12" t="s">
        <v>682</v>
      </c>
      <c r="F55" s="5" t="s">
        <v>683</v>
      </c>
      <c r="G55" s="25" t="s">
        <v>504</v>
      </c>
      <c r="H55" s="5" t="s">
        <v>536</v>
      </c>
    </row>
    <row r="56" customFormat="false" ht="15" hidden="false" customHeight="false" outlineLevel="0" collapsed="false">
      <c r="B56" s="5" t="s">
        <v>684</v>
      </c>
      <c r="C56" s="5" t="s">
        <v>685</v>
      </c>
      <c r="D56" s="30" t="n">
        <v>244</v>
      </c>
      <c r="E56" s="12" t="s">
        <v>682</v>
      </c>
      <c r="F56" s="5" t="s">
        <v>683</v>
      </c>
      <c r="G56" s="25" t="s">
        <v>504</v>
      </c>
      <c r="H56" s="5" t="s">
        <v>536</v>
      </c>
    </row>
    <row r="57" customFormat="false" ht="15" hidden="false" customHeight="false" outlineLevel="0" collapsed="false">
      <c r="B57" s="5" t="s">
        <v>686</v>
      </c>
      <c r="C57" s="5" t="s">
        <v>687</v>
      </c>
      <c r="D57" s="30" t="n">
        <v>241</v>
      </c>
      <c r="E57" s="12" t="s">
        <v>682</v>
      </c>
      <c r="F57" s="5" t="s">
        <v>688</v>
      </c>
      <c r="G57" s="25" t="s">
        <v>504</v>
      </c>
      <c r="H57" s="5" t="s">
        <v>536</v>
      </c>
    </row>
    <row r="58" customFormat="false" ht="15" hidden="false" customHeight="false" outlineLevel="0" collapsed="false">
      <c r="B58" s="5" t="s">
        <v>689</v>
      </c>
      <c r="C58" s="5" t="s">
        <v>690</v>
      </c>
      <c r="D58" s="30" t="n">
        <v>211</v>
      </c>
      <c r="E58" s="12" t="s">
        <v>682</v>
      </c>
      <c r="F58" s="5" t="s">
        <v>691</v>
      </c>
      <c r="G58" s="25" t="s">
        <v>504</v>
      </c>
      <c r="H58" s="5" t="s">
        <v>536</v>
      </c>
    </row>
    <row r="59" customFormat="false" ht="15" hidden="false" customHeight="false" outlineLevel="0" collapsed="false">
      <c r="B59" s="5" t="s">
        <v>692</v>
      </c>
      <c r="C59" s="5" t="s">
        <v>693</v>
      </c>
      <c r="D59" s="30" t="n">
        <v>31</v>
      </c>
      <c r="E59" s="12" t="s">
        <v>682</v>
      </c>
      <c r="F59" s="5" t="s">
        <v>694</v>
      </c>
      <c r="G59" s="25" t="s">
        <v>504</v>
      </c>
      <c r="H59" s="5" t="s">
        <v>536</v>
      </c>
    </row>
    <row r="60" customFormat="false" ht="15" hidden="false" customHeight="false" outlineLevel="0" collapsed="false">
      <c r="B60" s="5" t="s">
        <v>695</v>
      </c>
      <c r="C60" s="5" t="s">
        <v>696</v>
      </c>
      <c r="D60" s="30" t="n">
        <v>4</v>
      </c>
      <c r="E60" s="12" t="s">
        <v>682</v>
      </c>
      <c r="F60" s="5" t="s">
        <v>697</v>
      </c>
      <c r="G60" s="25" t="s">
        <v>504</v>
      </c>
      <c r="H60" s="5" t="s">
        <v>536</v>
      </c>
    </row>
    <row r="61" customFormat="false" ht="15" hidden="false" customHeight="false" outlineLevel="0" collapsed="false">
      <c r="B61" s="5" t="s">
        <v>698</v>
      </c>
      <c r="C61" s="5" t="s">
        <v>699</v>
      </c>
      <c r="D61" s="30" t="n">
        <v>17</v>
      </c>
      <c r="E61" s="12" t="s">
        <v>682</v>
      </c>
      <c r="F61" s="5" t="s">
        <v>583</v>
      </c>
      <c r="G61" s="25" t="s">
        <v>504</v>
      </c>
      <c r="H61" s="5" t="s">
        <v>536</v>
      </c>
    </row>
    <row r="62" customFormat="false" ht="23.85" hidden="false" customHeight="false" outlineLevel="0" collapsed="false">
      <c r="B62" s="5" t="s">
        <v>700</v>
      </c>
      <c r="C62" s="5" t="s">
        <v>701</v>
      </c>
      <c r="D62" s="31" t="n">
        <v>682284.56</v>
      </c>
      <c r="E62" s="12" t="s">
        <v>147</v>
      </c>
      <c r="F62" s="5" t="s">
        <v>702</v>
      </c>
      <c r="G62" s="25" t="s">
        <v>504</v>
      </c>
      <c r="H62" s="5" t="s">
        <v>16</v>
      </c>
    </row>
    <row r="63" customFormat="false" ht="23.85" hidden="false" customHeight="false" outlineLevel="0" collapsed="false">
      <c r="B63" s="5" t="s">
        <v>703</v>
      </c>
      <c r="C63" s="5" t="s">
        <v>704</v>
      </c>
      <c r="D63" s="31" t="n">
        <v>1080735.45</v>
      </c>
      <c r="E63" s="12" t="s">
        <v>145</v>
      </c>
      <c r="F63" s="5" t="s">
        <v>705</v>
      </c>
      <c r="G63" s="25" t="s">
        <v>504</v>
      </c>
      <c r="H63" s="5" t="s">
        <v>16</v>
      </c>
    </row>
    <row r="64" customFormat="false" ht="23.85" hidden="false" customHeight="false" outlineLevel="0" collapsed="false">
      <c r="B64" s="5" t="s">
        <v>706</v>
      </c>
      <c r="C64" s="5" t="s">
        <v>707</v>
      </c>
      <c r="D64" s="31" t="n">
        <v>110321.43</v>
      </c>
      <c r="E64" s="12" t="s">
        <v>586</v>
      </c>
      <c r="F64" s="5" t="s">
        <v>702</v>
      </c>
      <c r="G64" s="25" t="s">
        <v>504</v>
      </c>
      <c r="H64" s="5" t="s">
        <v>16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38"/>
    <col collapsed="false" customWidth="true" hidden="false" outlineLevel="0" max="6" min="5" style="0" width="14"/>
    <col collapsed="false" customWidth="true" hidden="false" outlineLevel="0" max="7" min="7" style="0" width="12"/>
    <col collapsed="false" customWidth="true" hidden="false" outlineLevel="0" max="8" min="8" style="0" width="40"/>
  </cols>
  <sheetData>
    <row r="2" customFormat="false" ht="27.75" hidden="false" customHeight="true" outlineLevel="0" collapsed="false">
      <c r="B2" s="1" t="s">
        <v>708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709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710</v>
      </c>
      <c r="C5" s="11" t="s">
        <v>154</v>
      </c>
      <c r="D5" s="11" t="s">
        <v>155</v>
      </c>
      <c r="E5" s="11" t="s">
        <v>156</v>
      </c>
      <c r="F5" s="11" t="s">
        <v>157</v>
      </c>
      <c r="G5" s="11" t="s">
        <v>711</v>
      </c>
      <c r="H5" s="11" t="s">
        <v>76</v>
      </c>
    </row>
    <row r="6" customFormat="false" ht="19.4" hidden="false" customHeight="false" outlineLevel="0" collapsed="false">
      <c r="B6" s="12" t="n">
        <v>1</v>
      </c>
      <c r="C6" s="12" t="s">
        <v>159</v>
      </c>
      <c r="D6" s="5" t="s">
        <v>160</v>
      </c>
      <c r="E6" s="13" t="n">
        <v>190637.35</v>
      </c>
      <c r="F6" s="12" t="n">
        <v>116</v>
      </c>
      <c r="G6" s="14" t="n">
        <f aca="false">E6/682284.56</f>
        <v>0.279410324044267</v>
      </c>
      <c r="H6" s="6" t="s">
        <v>16</v>
      </c>
    </row>
    <row r="7" customFormat="false" ht="19.4" hidden="false" customHeight="false" outlineLevel="0" collapsed="false">
      <c r="B7" s="12" t="n">
        <v>2</v>
      </c>
      <c r="C7" s="12" t="s">
        <v>162</v>
      </c>
      <c r="D7" s="5" t="s">
        <v>163</v>
      </c>
      <c r="E7" s="13" t="n">
        <v>164734.54</v>
      </c>
      <c r="F7" s="12" t="n">
        <v>73</v>
      </c>
      <c r="G7" s="14" t="n">
        <f aca="false">E7/682284.56</f>
        <v>0.241445504790552</v>
      </c>
      <c r="H7" s="6" t="s">
        <v>16</v>
      </c>
    </row>
    <row r="8" customFormat="false" ht="19.4" hidden="false" customHeight="false" outlineLevel="0" collapsed="false">
      <c r="B8" s="12" t="n">
        <v>3</v>
      </c>
      <c r="C8" s="12" t="s">
        <v>164</v>
      </c>
      <c r="D8" s="5" t="s">
        <v>165</v>
      </c>
      <c r="E8" s="13" t="n">
        <v>161354.82</v>
      </c>
      <c r="F8" s="12" t="n">
        <v>71</v>
      </c>
      <c r="G8" s="14" t="n">
        <f aca="false">E8/682284.56</f>
        <v>0.236491970447052</v>
      </c>
      <c r="H8" s="6" t="s">
        <v>16</v>
      </c>
    </row>
    <row r="9" customFormat="false" ht="19.4" hidden="false" customHeight="false" outlineLevel="0" collapsed="false">
      <c r="B9" s="12" t="n">
        <v>4</v>
      </c>
      <c r="C9" s="12" t="s">
        <v>166</v>
      </c>
      <c r="D9" s="5" t="s">
        <v>167</v>
      </c>
      <c r="E9" s="13" t="n">
        <v>66440.23</v>
      </c>
      <c r="F9" s="12" t="n">
        <v>39</v>
      </c>
      <c r="G9" s="14" t="n">
        <f aca="false">E9/682284.56</f>
        <v>0.0973790613113097</v>
      </c>
      <c r="H9" s="6" t="s">
        <v>16</v>
      </c>
    </row>
    <row r="10" customFormat="false" ht="19.4" hidden="false" customHeight="false" outlineLevel="0" collapsed="false">
      <c r="B10" s="12" t="n">
        <v>5</v>
      </c>
      <c r="C10" s="12" t="s">
        <v>168</v>
      </c>
      <c r="D10" s="5" t="s">
        <v>169</v>
      </c>
      <c r="E10" s="13" t="n">
        <v>28019.56</v>
      </c>
      <c r="F10" s="12" t="n">
        <v>4</v>
      </c>
      <c r="G10" s="14" t="n">
        <f aca="false">E10/682284.56</f>
        <v>0.0410672637821381</v>
      </c>
      <c r="H10" s="6" t="s">
        <v>16</v>
      </c>
    </row>
    <row r="11" customFormat="false" ht="19.4" hidden="false" customHeight="false" outlineLevel="0" collapsed="false">
      <c r="B11" s="12" t="n">
        <v>6</v>
      </c>
      <c r="C11" s="12" t="s">
        <v>170</v>
      </c>
      <c r="D11" s="5" t="s">
        <v>171</v>
      </c>
      <c r="E11" s="13" t="n">
        <v>27834</v>
      </c>
      <c r="F11" s="12" t="n">
        <v>6</v>
      </c>
      <c r="G11" s="14" t="n">
        <f aca="false">E11/682284.56</f>
        <v>0.0407952951478193</v>
      </c>
      <c r="H11" s="6" t="s">
        <v>16</v>
      </c>
    </row>
    <row r="12" customFormat="false" ht="19.4" hidden="false" customHeight="false" outlineLevel="0" collapsed="false">
      <c r="B12" s="12" t="n">
        <v>7</v>
      </c>
      <c r="C12" s="12" t="s">
        <v>173</v>
      </c>
      <c r="D12" s="5" t="s">
        <v>174</v>
      </c>
      <c r="E12" s="13" t="n">
        <v>9291</v>
      </c>
      <c r="F12" s="12" t="n">
        <v>7</v>
      </c>
      <c r="G12" s="14" t="n">
        <f aca="false">E12/682284.56</f>
        <v>0.0136174853495146</v>
      </c>
      <c r="H12" s="6" t="s">
        <v>16</v>
      </c>
    </row>
    <row r="13" customFormat="false" ht="19.4" hidden="false" customHeight="false" outlineLevel="0" collapsed="false">
      <c r="B13" s="12" t="n">
        <v>8</v>
      </c>
      <c r="C13" s="12" t="s">
        <v>176</v>
      </c>
      <c r="D13" s="5" t="s">
        <v>177</v>
      </c>
      <c r="E13" s="13" t="n">
        <v>6943.87</v>
      </c>
      <c r="F13" s="12" t="n">
        <v>3</v>
      </c>
      <c r="G13" s="14" t="n">
        <f aca="false">E13/682284.56</f>
        <v>0.0101773811208625</v>
      </c>
      <c r="H13" s="6" t="s">
        <v>16</v>
      </c>
    </row>
    <row r="14" customFormat="false" ht="19.4" hidden="false" customHeight="false" outlineLevel="0" collapsed="false">
      <c r="B14" s="12" t="n">
        <v>9</v>
      </c>
      <c r="C14" s="12" t="s">
        <v>178</v>
      </c>
      <c r="D14" s="5" t="s">
        <v>179</v>
      </c>
      <c r="E14" s="13" t="n">
        <v>6785.95</v>
      </c>
      <c r="F14" s="12" t="n">
        <v>11</v>
      </c>
      <c r="G14" s="14" t="n">
        <f aca="false">E14/682284.56</f>
        <v>0.00994592344285205</v>
      </c>
      <c r="H14" s="6" t="s">
        <v>16</v>
      </c>
    </row>
    <row r="15" customFormat="false" ht="19.4" hidden="false" customHeight="false" outlineLevel="0" collapsed="false">
      <c r="B15" s="12" t="n">
        <v>10</v>
      </c>
      <c r="C15" s="12" t="s">
        <v>181</v>
      </c>
      <c r="D15" s="5" t="s">
        <v>182</v>
      </c>
      <c r="E15" s="13" t="n">
        <v>6488</v>
      </c>
      <c r="F15" s="12" t="n">
        <v>4</v>
      </c>
      <c r="G15" s="14" t="n">
        <f aca="false">E15/682284.56</f>
        <v>0.0095092288179583</v>
      </c>
      <c r="H15" s="6" t="s">
        <v>16</v>
      </c>
    </row>
    <row r="16" customFormat="false" ht="19.4" hidden="false" customHeight="false" outlineLevel="0" collapsed="false">
      <c r="B16" s="12" t="n">
        <v>11</v>
      </c>
      <c r="C16" s="12" t="s">
        <v>184</v>
      </c>
      <c r="D16" s="5" t="s">
        <v>185</v>
      </c>
      <c r="E16" s="13" t="n">
        <v>3860</v>
      </c>
      <c r="F16" s="12" t="n">
        <v>1</v>
      </c>
      <c r="G16" s="14" t="n">
        <f aca="false">E16/682284.56</f>
        <v>0.00565746350760158</v>
      </c>
      <c r="H16" s="6" t="s">
        <v>16</v>
      </c>
    </row>
    <row r="17" customFormat="false" ht="19.4" hidden="false" customHeight="false" outlineLevel="0" collapsed="false">
      <c r="B17" s="12" t="n">
        <v>12</v>
      </c>
      <c r="C17" s="12" t="s">
        <v>187</v>
      </c>
      <c r="D17" s="5" t="s">
        <v>188</v>
      </c>
      <c r="E17" s="13" t="n">
        <v>2464.39</v>
      </c>
      <c r="F17" s="12" t="n">
        <v>2</v>
      </c>
      <c r="G17" s="14" t="n">
        <f aca="false">E17/682284.56</f>
        <v>0.00361196800349696</v>
      </c>
      <c r="H17" s="6" t="s">
        <v>16</v>
      </c>
    </row>
    <row r="18" customFormat="false" ht="19.4" hidden="false" customHeight="false" outlineLevel="0" collapsed="false">
      <c r="B18" s="12" t="n">
        <v>13</v>
      </c>
      <c r="C18" s="12" t="s">
        <v>189</v>
      </c>
      <c r="D18" s="5" t="s">
        <v>190</v>
      </c>
      <c r="E18" s="13" t="n">
        <v>1670.93</v>
      </c>
      <c r="F18" s="12" t="n">
        <v>9</v>
      </c>
      <c r="G18" s="14" t="n">
        <f aca="false">E18/682284.56</f>
        <v>0.00244902214993697</v>
      </c>
      <c r="H18" s="6" t="s">
        <v>16</v>
      </c>
    </row>
    <row r="19" customFormat="false" ht="19.4" hidden="false" customHeight="false" outlineLevel="0" collapsed="false">
      <c r="B19" s="12" t="n">
        <v>14</v>
      </c>
      <c r="C19" s="12" t="s">
        <v>191</v>
      </c>
      <c r="D19" s="5" t="s">
        <v>192</v>
      </c>
      <c r="E19" s="13" t="n">
        <v>908.02</v>
      </c>
      <c r="F19" s="12" t="n">
        <v>3</v>
      </c>
      <c r="G19" s="14" t="n">
        <f aca="false">E19/682284.56</f>
        <v>0.00133085233527782</v>
      </c>
      <c r="H19" s="6" t="s">
        <v>16</v>
      </c>
    </row>
    <row r="20" customFormat="false" ht="19.4" hidden="false" customHeight="false" outlineLevel="0" collapsed="false">
      <c r="B20" s="12" t="n">
        <v>15</v>
      </c>
      <c r="C20" s="12" t="s">
        <v>193</v>
      </c>
      <c r="D20" s="5" t="s">
        <v>194</v>
      </c>
      <c r="E20" s="13" t="n">
        <v>750</v>
      </c>
      <c r="F20" s="12" t="n">
        <v>1</v>
      </c>
      <c r="G20" s="14" t="n">
        <f aca="false">E20/682284.56</f>
        <v>0.00109924809085523</v>
      </c>
      <c r="H20" s="6" t="s">
        <v>16</v>
      </c>
    </row>
    <row r="21" customFormat="false" ht="19.4" hidden="false" customHeight="false" outlineLevel="0" collapsed="false">
      <c r="B21" s="12" t="n">
        <v>16</v>
      </c>
      <c r="C21" s="12" t="s">
        <v>195</v>
      </c>
      <c r="D21" s="5" t="s">
        <v>196</v>
      </c>
      <c r="E21" s="13" t="n">
        <v>694.25</v>
      </c>
      <c r="F21" s="12" t="n">
        <v>1</v>
      </c>
      <c r="G21" s="14" t="n">
        <f aca="false">E21/682284.56</f>
        <v>0.00101753731610166</v>
      </c>
      <c r="H21" s="6" t="s">
        <v>16</v>
      </c>
    </row>
    <row r="22" customFormat="false" ht="19.4" hidden="false" customHeight="false" outlineLevel="0" collapsed="false">
      <c r="B22" s="12" t="n">
        <v>17</v>
      </c>
      <c r="C22" s="12" t="s">
        <v>197</v>
      </c>
      <c r="D22" s="5" t="s">
        <v>198</v>
      </c>
      <c r="E22" s="13" t="n">
        <v>564.48</v>
      </c>
      <c r="F22" s="12" t="n">
        <v>3</v>
      </c>
      <c r="G22" s="14" t="n">
        <f aca="false">E22/682284.56</f>
        <v>0.000827338083101279</v>
      </c>
      <c r="H22" s="6" t="s">
        <v>16</v>
      </c>
    </row>
    <row r="23" customFormat="false" ht="19.4" hidden="false" customHeight="false" outlineLevel="0" collapsed="false">
      <c r="B23" s="12" t="n">
        <v>18</v>
      </c>
      <c r="C23" s="12" t="s">
        <v>199</v>
      </c>
      <c r="D23" s="5" t="s">
        <v>200</v>
      </c>
      <c r="E23" s="13" t="n">
        <v>533.19</v>
      </c>
      <c r="F23" s="12" t="n">
        <v>1</v>
      </c>
      <c r="G23" s="14" t="n">
        <f aca="false">E23/682284.56</f>
        <v>0.000781477452750799</v>
      </c>
      <c r="H23" s="6" t="s">
        <v>16</v>
      </c>
    </row>
    <row r="24" customFormat="false" ht="19.4" hidden="false" customHeight="false" outlineLevel="0" collapsed="false">
      <c r="B24" s="12" t="n">
        <v>19</v>
      </c>
      <c r="C24" s="12" t="s">
        <v>201</v>
      </c>
      <c r="D24" s="5" t="s">
        <v>202</v>
      </c>
      <c r="E24" s="13" t="n">
        <v>436.87</v>
      </c>
      <c r="F24" s="12" t="n">
        <v>1</v>
      </c>
      <c r="G24" s="14" t="n">
        <f aca="false">E24/682284.56</f>
        <v>0.000640304684602565</v>
      </c>
      <c r="H24" s="6" t="s">
        <v>16</v>
      </c>
    </row>
    <row r="25" customFormat="false" ht="19.4" hidden="false" customHeight="false" outlineLevel="0" collapsed="false">
      <c r="B25" s="12" t="n">
        <v>20</v>
      </c>
      <c r="C25" s="12" t="s">
        <v>203</v>
      </c>
      <c r="D25" s="5" t="s">
        <v>204</v>
      </c>
      <c r="E25" s="13" t="n">
        <v>361.89</v>
      </c>
      <c r="F25" s="12" t="n">
        <v>2</v>
      </c>
      <c r="G25" s="14" t="n">
        <f aca="false">E25/682284.56</f>
        <v>0.000530409188799465</v>
      </c>
      <c r="H25" s="6" t="s">
        <v>16</v>
      </c>
    </row>
    <row r="26" customFormat="false" ht="19.4" hidden="false" customHeight="false" outlineLevel="0" collapsed="false">
      <c r="B26" s="12" t="n">
        <v>21</v>
      </c>
      <c r="C26" s="12" t="s">
        <v>205</v>
      </c>
      <c r="D26" s="5" t="s">
        <v>206</v>
      </c>
      <c r="E26" s="13" t="n">
        <v>309.85</v>
      </c>
      <c r="F26" s="12" t="n">
        <v>2</v>
      </c>
      <c r="G26" s="14" t="n">
        <f aca="false">E26/682284.56</f>
        <v>0.000454136027935324</v>
      </c>
      <c r="H26" s="6" t="s">
        <v>16</v>
      </c>
    </row>
    <row r="27" customFormat="false" ht="19.4" hidden="false" customHeight="false" outlineLevel="0" collapsed="false">
      <c r="B27" s="12" t="n">
        <v>22</v>
      </c>
      <c r="C27" s="12" t="s">
        <v>207</v>
      </c>
      <c r="D27" s="5" t="s">
        <v>208</v>
      </c>
      <c r="E27" s="13" t="n">
        <v>293.86</v>
      </c>
      <c r="F27" s="12" t="n">
        <v>2</v>
      </c>
      <c r="G27" s="14" t="n">
        <f aca="false">E27/682284.56</f>
        <v>0.00043070005863829</v>
      </c>
      <c r="H27" s="6" t="s">
        <v>16</v>
      </c>
    </row>
    <row r="28" customFormat="false" ht="19.4" hidden="false" customHeight="false" outlineLevel="0" collapsed="false">
      <c r="B28" s="12" t="n">
        <v>23</v>
      </c>
      <c r="C28" s="12" t="s">
        <v>210</v>
      </c>
      <c r="D28" s="5" t="s">
        <v>211</v>
      </c>
      <c r="E28" s="13" t="n">
        <v>292.5</v>
      </c>
      <c r="F28" s="12" t="n">
        <v>1</v>
      </c>
      <c r="G28" s="14" t="n">
        <f aca="false">E28/682284.56</f>
        <v>0.000428706755433539</v>
      </c>
      <c r="H28" s="6" t="s">
        <v>16</v>
      </c>
    </row>
    <row r="29" customFormat="false" ht="19.4" hidden="false" customHeight="false" outlineLevel="0" collapsed="false">
      <c r="B29" s="12" t="n">
        <v>24</v>
      </c>
      <c r="C29" s="12" t="s">
        <v>212</v>
      </c>
      <c r="D29" s="5" t="s">
        <v>213</v>
      </c>
      <c r="E29" s="13" t="n">
        <v>290.47</v>
      </c>
      <c r="F29" s="12" t="n">
        <v>2</v>
      </c>
      <c r="G29" s="14" t="n">
        <f aca="false">E29/682284.56</f>
        <v>0.000425731457267625</v>
      </c>
      <c r="H29" s="6" t="s">
        <v>16</v>
      </c>
    </row>
    <row r="30" customFormat="false" ht="19.4" hidden="false" customHeight="false" outlineLevel="0" collapsed="false">
      <c r="B30" s="12" t="n">
        <v>25</v>
      </c>
      <c r="C30" s="12" t="s">
        <v>214</v>
      </c>
      <c r="D30" s="5" t="s">
        <v>215</v>
      </c>
      <c r="E30" s="13" t="n">
        <v>229.5</v>
      </c>
      <c r="F30" s="12" t="n">
        <v>1</v>
      </c>
      <c r="G30" s="14" t="n">
        <f aca="false">E30/682284.56</f>
        <v>0.0003363699158017</v>
      </c>
      <c r="H30" s="6" t="s">
        <v>16</v>
      </c>
    </row>
    <row r="31" customFormat="false" ht="19.4" hidden="false" customHeight="false" outlineLevel="0" collapsed="false">
      <c r="B31" s="12" t="n">
        <v>26</v>
      </c>
      <c r="C31" s="12" t="s">
        <v>217</v>
      </c>
      <c r="D31" s="5" t="s">
        <v>218</v>
      </c>
      <c r="E31" s="13" t="n">
        <v>84.84</v>
      </c>
      <c r="F31" s="12" t="n">
        <v>1</v>
      </c>
      <c r="G31" s="14" t="n">
        <f aca="false">E31/682284.56</f>
        <v>0.000124346944037543</v>
      </c>
      <c r="H31" s="6" t="s">
        <v>16</v>
      </c>
    </row>
    <row r="32" customFormat="false" ht="19.4" hidden="false" customHeight="false" outlineLevel="0" collapsed="false">
      <c r="B32" s="12" t="n">
        <v>27</v>
      </c>
      <c r="C32" s="12" t="s">
        <v>219</v>
      </c>
      <c r="D32" s="5" t="s">
        <v>220</v>
      </c>
      <c r="E32" s="13" t="n">
        <v>71.04</v>
      </c>
      <c r="F32" s="12" t="n">
        <v>2</v>
      </c>
      <c r="G32" s="14" t="n">
        <f aca="false">E32/682284.56</f>
        <v>0.000104120779165807</v>
      </c>
      <c r="H32" s="6" t="s">
        <v>16</v>
      </c>
    </row>
    <row r="33" customFormat="false" ht="19.4" hidden="false" customHeight="false" outlineLevel="0" collapsed="false">
      <c r="B33" s="12" t="n">
        <v>28</v>
      </c>
      <c r="C33" s="12" t="s">
        <v>221</v>
      </c>
      <c r="D33" s="5" t="s">
        <v>222</v>
      </c>
      <c r="E33" s="13" t="n">
        <v>66.74</v>
      </c>
      <c r="F33" s="12" t="n">
        <v>1</v>
      </c>
      <c r="G33" s="14" t="n">
        <f aca="false">E33/682284.56</f>
        <v>9.7818423444904E-005</v>
      </c>
      <c r="H33" s="6" t="s">
        <v>16</v>
      </c>
    </row>
    <row r="34" customFormat="false" ht="19.4" hidden="false" customHeight="false" outlineLevel="0" collapsed="false">
      <c r="B34" s="12" t="n">
        <v>29</v>
      </c>
      <c r="C34" s="12" t="s">
        <v>223</v>
      </c>
      <c r="D34" s="5" t="s">
        <v>224</v>
      </c>
      <c r="E34" s="13" t="n">
        <v>61.12</v>
      </c>
      <c r="F34" s="12" t="n">
        <v>1</v>
      </c>
      <c r="G34" s="14" t="n">
        <f aca="false">E34/682284.56</f>
        <v>8.95813910840954E-005</v>
      </c>
      <c r="H34" s="6" t="s">
        <v>16</v>
      </c>
    </row>
    <row r="35" customFormat="false" ht="19.4" hidden="false" customHeight="false" outlineLevel="0" collapsed="false">
      <c r="B35" s="12" t="n">
        <v>30</v>
      </c>
      <c r="C35" s="12" t="s">
        <v>225</v>
      </c>
      <c r="D35" s="5" t="s">
        <v>226</v>
      </c>
      <c r="E35" s="13" t="n">
        <v>49.61</v>
      </c>
      <c r="F35" s="12" t="n">
        <v>2</v>
      </c>
      <c r="G35" s="14" t="n">
        <f aca="false">E35/682284.56</f>
        <v>7.27115970497705E-005</v>
      </c>
      <c r="H35" s="6" t="s">
        <v>16</v>
      </c>
    </row>
    <row r="36" customFormat="false" ht="19.4" hidden="false" customHeight="false" outlineLevel="0" collapsed="false">
      <c r="B36" s="12" t="n">
        <v>31</v>
      </c>
      <c r="C36" s="12" t="s">
        <v>227</v>
      </c>
      <c r="D36" s="5" t="s">
        <v>228</v>
      </c>
      <c r="E36" s="13" t="n">
        <v>45.53</v>
      </c>
      <c r="F36" s="12" t="n">
        <v>1</v>
      </c>
      <c r="G36" s="14" t="n">
        <f aca="false">E36/682284.56</f>
        <v>6.67316874355181E-005</v>
      </c>
      <c r="H36" s="6" t="s">
        <v>16</v>
      </c>
    </row>
    <row r="37" customFormat="false" ht="19.4" hidden="false" customHeight="false" outlineLevel="0" collapsed="false">
      <c r="B37" s="12" t="n">
        <v>32</v>
      </c>
      <c r="C37" s="12" t="s">
        <v>229</v>
      </c>
      <c r="D37" s="5" t="s">
        <v>230</v>
      </c>
      <c r="E37" s="13" t="n">
        <v>-283.84</v>
      </c>
      <c r="F37" s="12" t="n">
        <v>2</v>
      </c>
      <c r="G37" s="14" t="n">
        <f aca="false">E37/682284.56</f>
        <v>-0.000416014104144464</v>
      </c>
      <c r="H37" s="6" t="s">
        <v>16</v>
      </c>
    </row>
    <row r="38" customFormat="false" ht="15" hidden="false" customHeight="false" outlineLevel="0" collapsed="false">
      <c r="B38" s="16" t="s">
        <v>137</v>
      </c>
      <c r="E38" s="7" t="n">
        <f aca="false">SUM(E6:E37)</f>
        <v>682284.56</v>
      </c>
      <c r="F38" s="21" t="n">
        <f aca="false">SUM(F6:F37)</f>
        <v>376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4" min="3" style="0" width="22"/>
    <col collapsed="false" customWidth="true" hidden="false" outlineLevel="0" max="5" min="5" style="0" width="50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18"/>
    <col collapsed="false" customWidth="true" hidden="false" outlineLevel="0" max="9" min="9" style="0" width="42"/>
  </cols>
  <sheetData>
    <row r="2" customFormat="false" ht="27.75" hidden="false" customHeight="true" outlineLevel="0" collapsed="false">
      <c r="B2" s="1" t="s">
        <v>712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713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714</v>
      </c>
      <c r="C5" s="11" t="s">
        <v>410</v>
      </c>
      <c r="D5" s="11" t="s">
        <v>408</v>
      </c>
      <c r="E5" s="11" t="s">
        <v>715</v>
      </c>
      <c r="F5" s="11" t="s">
        <v>716</v>
      </c>
      <c r="G5" s="11" t="s">
        <v>717</v>
      </c>
      <c r="H5" s="11" t="s">
        <v>411</v>
      </c>
      <c r="I5" s="11" t="s">
        <v>76</v>
      </c>
    </row>
    <row r="6" customFormat="false" ht="23.85" hidden="false" customHeight="false" outlineLevel="0" collapsed="false">
      <c r="B6" s="12" t="s">
        <v>718</v>
      </c>
      <c r="C6" s="12" t="s">
        <v>719</v>
      </c>
      <c r="D6" s="12" t="s">
        <v>720</v>
      </c>
      <c r="E6" s="5" t="s">
        <v>721</v>
      </c>
      <c r="F6" s="5" t="s">
        <v>12</v>
      </c>
      <c r="G6" s="13" t="n">
        <v>2469500</v>
      </c>
      <c r="H6" s="12" t="s">
        <v>722</v>
      </c>
      <c r="I6" s="6" t="s">
        <v>13</v>
      </c>
    </row>
    <row r="7" customFormat="false" ht="15" hidden="false" customHeight="false" outlineLevel="0" collapsed="false">
      <c r="B7" s="12" t="s">
        <v>723</v>
      </c>
      <c r="C7" s="12" t="s">
        <v>420</v>
      </c>
      <c r="D7" s="26" t="s">
        <v>419</v>
      </c>
      <c r="E7" s="5" t="s">
        <v>724</v>
      </c>
      <c r="F7" s="5" t="s">
        <v>12</v>
      </c>
      <c r="G7" s="26" t="s">
        <v>419</v>
      </c>
      <c r="H7" s="12" t="s">
        <v>722</v>
      </c>
      <c r="I7" s="6" t="s">
        <v>725</v>
      </c>
    </row>
    <row r="8" customFormat="false" ht="15" hidden="false" customHeight="false" outlineLevel="0" collapsed="false">
      <c r="B8" s="12" t="s">
        <v>726</v>
      </c>
      <c r="C8" s="12" t="s">
        <v>420</v>
      </c>
      <c r="D8" s="26" t="s">
        <v>419</v>
      </c>
      <c r="E8" s="5" t="s">
        <v>727</v>
      </c>
      <c r="F8" s="5" t="s">
        <v>12</v>
      </c>
      <c r="G8" s="26" t="s">
        <v>419</v>
      </c>
      <c r="H8" s="12" t="s">
        <v>722</v>
      </c>
      <c r="I8" s="6" t="s">
        <v>728</v>
      </c>
    </row>
    <row r="9" customFormat="false" ht="15" hidden="false" customHeight="false" outlineLevel="0" collapsed="false">
      <c r="B9" s="12" t="s">
        <v>729</v>
      </c>
      <c r="C9" s="12" t="s">
        <v>420</v>
      </c>
      <c r="D9" s="26" t="s">
        <v>419</v>
      </c>
      <c r="E9" s="5" t="s">
        <v>730</v>
      </c>
      <c r="F9" s="5" t="s">
        <v>12</v>
      </c>
      <c r="G9" s="26" t="s">
        <v>419</v>
      </c>
      <c r="H9" s="12" t="s">
        <v>722</v>
      </c>
      <c r="I9" s="6" t="s">
        <v>731</v>
      </c>
    </row>
    <row r="10" customFormat="false" ht="15" hidden="false" customHeight="false" outlineLevel="0" collapsed="false">
      <c r="B10" s="12" t="s">
        <v>732</v>
      </c>
      <c r="C10" s="12" t="s">
        <v>420</v>
      </c>
      <c r="D10" s="26" t="s">
        <v>419</v>
      </c>
      <c r="E10" s="5" t="s">
        <v>733</v>
      </c>
      <c r="F10" s="5" t="s">
        <v>12</v>
      </c>
      <c r="G10" s="26" t="s">
        <v>419</v>
      </c>
      <c r="H10" s="12" t="s">
        <v>722</v>
      </c>
      <c r="I10" s="6" t="s">
        <v>734</v>
      </c>
    </row>
    <row r="11" customFormat="false" ht="15" hidden="false" customHeight="false" outlineLevel="0" collapsed="false">
      <c r="B11" s="12" t="s">
        <v>735</v>
      </c>
      <c r="C11" s="12" t="s">
        <v>420</v>
      </c>
      <c r="D11" s="26" t="s">
        <v>419</v>
      </c>
      <c r="E11" s="5" t="s">
        <v>736</v>
      </c>
      <c r="F11" s="5" t="s">
        <v>12</v>
      </c>
      <c r="G11" s="26" t="s">
        <v>419</v>
      </c>
      <c r="H11" s="12" t="s">
        <v>722</v>
      </c>
      <c r="I11" s="6" t="s">
        <v>737</v>
      </c>
    </row>
    <row r="12" customFormat="false" ht="19.4" hidden="false" customHeight="false" outlineLevel="0" collapsed="false">
      <c r="B12" s="12" t="s">
        <v>432</v>
      </c>
      <c r="C12" s="12" t="s">
        <v>738</v>
      </c>
      <c r="D12" s="12" t="s">
        <v>739</v>
      </c>
      <c r="E12" s="5" t="s">
        <v>740</v>
      </c>
      <c r="F12" s="5" t="s">
        <v>12</v>
      </c>
      <c r="G12" s="13" t="n">
        <v>301869</v>
      </c>
      <c r="H12" s="12" t="s">
        <v>435</v>
      </c>
      <c r="I12" s="6" t="s">
        <v>16</v>
      </c>
    </row>
    <row r="13" customFormat="false" ht="23.85" hidden="false" customHeight="false" outlineLevel="0" collapsed="false">
      <c r="B13" s="12" t="s">
        <v>741</v>
      </c>
      <c r="C13" s="12" t="s">
        <v>742</v>
      </c>
      <c r="D13" s="12" t="s">
        <v>743</v>
      </c>
      <c r="E13" s="5" t="s">
        <v>744</v>
      </c>
      <c r="F13" s="5" t="s">
        <v>743</v>
      </c>
      <c r="G13" s="13" t="n">
        <v>0</v>
      </c>
      <c r="H13" s="12" t="s">
        <v>745</v>
      </c>
      <c r="I13" s="6" t="s">
        <v>746</v>
      </c>
    </row>
    <row r="14" customFormat="false" ht="23.85" hidden="false" customHeight="false" outlineLevel="0" collapsed="false">
      <c r="B14" s="12" t="s">
        <v>747</v>
      </c>
      <c r="C14" s="12" t="s">
        <v>748</v>
      </c>
      <c r="D14" s="12" t="s">
        <v>749</v>
      </c>
      <c r="E14" s="5" t="s">
        <v>750</v>
      </c>
      <c r="F14" s="5" t="s">
        <v>751</v>
      </c>
      <c r="G14" s="13" t="n">
        <v>0</v>
      </c>
      <c r="H14" s="12" t="s">
        <v>752</v>
      </c>
      <c r="I14" s="6" t="s">
        <v>753</v>
      </c>
    </row>
    <row r="15" customFormat="false" ht="15" hidden="false" customHeight="false" outlineLevel="0" collapsed="false">
      <c r="B15" s="12" t="s">
        <v>754</v>
      </c>
      <c r="C15" s="12" t="s">
        <v>755</v>
      </c>
      <c r="D15" s="26" t="s">
        <v>419</v>
      </c>
      <c r="E15" s="5" t="s">
        <v>756</v>
      </c>
      <c r="F15" s="5" t="s">
        <v>757</v>
      </c>
      <c r="G15" s="13" t="n">
        <v>0</v>
      </c>
      <c r="H15" s="12" t="s">
        <v>752</v>
      </c>
      <c r="I15" s="6" t="s">
        <v>758</v>
      </c>
    </row>
    <row r="16" customFormat="false" ht="23.85" hidden="false" customHeight="false" outlineLevel="0" collapsed="false">
      <c r="B16" s="12" t="s">
        <v>759</v>
      </c>
      <c r="C16" s="12" t="s">
        <v>760</v>
      </c>
      <c r="D16" s="26" t="s">
        <v>419</v>
      </c>
      <c r="E16" s="5" t="s">
        <v>761</v>
      </c>
      <c r="F16" s="5" t="s">
        <v>757</v>
      </c>
      <c r="G16" s="13" t="n">
        <v>0</v>
      </c>
      <c r="H16" s="12" t="s">
        <v>762</v>
      </c>
      <c r="I16" s="6" t="s">
        <v>763</v>
      </c>
    </row>
    <row r="17" customFormat="false" ht="23.85" hidden="false" customHeight="false" outlineLevel="0" collapsed="false">
      <c r="B17" s="12" t="s">
        <v>764</v>
      </c>
      <c r="C17" s="12" t="s">
        <v>760</v>
      </c>
      <c r="D17" s="26" t="s">
        <v>419</v>
      </c>
      <c r="E17" s="5" t="s">
        <v>765</v>
      </c>
      <c r="F17" s="5" t="s">
        <v>757</v>
      </c>
      <c r="G17" s="13" t="n">
        <v>0</v>
      </c>
      <c r="H17" s="12" t="s">
        <v>762</v>
      </c>
      <c r="I17" s="6" t="s">
        <v>766</v>
      </c>
    </row>
    <row r="18" customFormat="false" ht="23.85" hidden="false" customHeight="false" outlineLevel="0" collapsed="false">
      <c r="B18" s="12" t="s">
        <v>767</v>
      </c>
      <c r="C18" s="12" t="s">
        <v>760</v>
      </c>
      <c r="D18" s="26" t="s">
        <v>419</v>
      </c>
      <c r="E18" s="5" t="s">
        <v>768</v>
      </c>
      <c r="F18" s="5" t="s">
        <v>757</v>
      </c>
      <c r="G18" s="13" t="n">
        <v>0</v>
      </c>
      <c r="H18" s="12" t="s">
        <v>762</v>
      </c>
      <c r="I18" s="6" t="s">
        <v>769</v>
      </c>
    </row>
    <row r="19" customFormat="false" ht="23.85" hidden="false" customHeight="false" outlineLevel="0" collapsed="false">
      <c r="B19" s="12" t="s">
        <v>770</v>
      </c>
      <c r="C19" s="12" t="s">
        <v>760</v>
      </c>
      <c r="D19" s="26" t="s">
        <v>419</v>
      </c>
      <c r="E19" s="5" t="s">
        <v>771</v>
      </c>
      <c r="F19" s="5" t="s">
        <v>757</v>
      </c>
      <c r="G19" s="13" t="n">
        <v>0</v>
      </c>
      <c r="H19" s="12" t="s">
        <v>762</v>
      </c>
      <c r="I19" s="6" t="s">
        <v>772</v>
      </c>
    </row>
    <row r="20" customFormat="false" ht="23.85" hidden="false" customHeight="false" outlineLevel="0" collapsed="false">
      <c r="B20" s="12" t="s">
        <v>773</v>
      </c>
      <c r="C20" s="12" t="s">
        <v>774</v>
      </c>
      <c r="D20" s="26" t="s">
        <v>419</v>
      </c>
      <c r="E20" s="5" t="s">
        <v>775</v>
      </c>
      <c r="F20" s="5" t="s">
        <v>776</v>
      </c>
      <c r="G20" s="13" t="n">
        <v>0</v>
      </c>
      <c r="H20" s="12" t="s">
        <v>777</v>
      </c>
      <c r="I20" s="6" t="s">
        <v>778</v>
      </c>
    </row>
    <row r="21" customFormat="false" ht="15" hidden="false" customHeight="false" outlineLevel="0" collapsed="false">
      <c r="B21" s="12" t="s">
        <v>779</v>
      </c>
      <c r="C21" s="12" t="s">
        <v>780</v>
      </c>
      <c r="D21" s="26" t="s">
        <v>419</v>
      </c>
      <c r="E21" s="5" t="s">
        <v>781</v>
      </c>
      <c r="F21" s="5" t="s">
        <v>757</v>
      </c>
      <c r="G21" s="13" t="n">
        <v>0</v>
      </c>
      <c r="H21" s="12" t="s">
        <v>782</v>
      </c>
      <c r="I21" s="6" t="s">
        <v>783</v>
      </c>
    </row>
    <row r="22" customFormat="false" ht="15" hidden="false" customHeight="false" outlineLevel="0" collapsed="false">
      <c r="B22" s="12" t="s">
        <v>784</v>
      </c>
      <c r="C22" s="12" t="s">
        <v>780</v>
      </c>
      <c r="D22" s="26" t="s">
        <v>419</v>
      </c>
      <c r="E22" s="5" t="s">
        <v>785</v>
      </c>
      <c r="F22" s="5" t="s">
        <v>757</v>
      </c>
      <c r="G22" s="13" t="n">
        <v>0</v>
      </c>
      <c r="H22" s="12" t="s">
        <v>786</v>
      </c>
      <c r="I22" s="6" t="s">
        <v>787</v>
      </c>
    </row>
    <row r="23" customFormat="false" ht="15" hidden="false" customHeight="false" outlineLevel="0" collapsed="false">
      <c r="B23" s="12" t="s">
        <v>788</v>
      </c>
      <c r="C23" s="12" t="s">
        <v>780</v>
      </c>
      <c r="D23" s="26" t="s">
        <v>419</v>
      </c>
      <c r="E23" s="5" t="s">
        <v>789</v>
      </c>
      <c r="F23" s="5" t="s">
        <v>757</v>
      </c>
      <c r="G23" s="13" t="n">
        <v>0</v>
      </c>
      <c r="H23" s="12" t="s">
        <v>790</v>
      </c>
      <c r="I23" s="6" t="s">
        <v>791</v>
      </c>
    </row>
    <row r="24" customFormat="false" ht="15" hidden="false" customHeight="false" outlineLevel="0" collapsed="false">
      <c r="B24" s="12" t="s">
        <v>792</v>
      </c>
      <c r="C24" s="12" t="s">
        <v>793</v>
      </c>
      <c r="D24" s="26" t="s">
        <v>419</v>
      </c>
      <c r="E24" s="5" t="s">
        <v>794</v>
      </c>
      <c r="F24" s="5" t="s">
        <v>757</v>
      </c>
      <c r="G24" s="13" t="n">
        <v>0</v>
      </c>
      <c r="H24" s="12" t="s">
        <v>782</v>
      </c>
      <c r="I24" s="6" t="s">
        <v>795</v>
      </c>
    </row>
    <row r="25" customFormat="false" ht="15" hidden="false" customHeight="false" outlineLevel="0" collapsed="false">
      <c r="B25" s="12" t="s">
        <v>796</v>
      </c>
      <c r="C25" s="12" t="s">
        <v>797</v>
      </c>
      <c r="D25" s="26" t="s">
        <v>419</v>
      </c>
      <c r="E25" s="5" t="s">
        <v>798</v>
      </c>
      <c r="F25" s="5" t="s">
        <v>12</v>
      </c>
      <c r="G25" s="13" t="n">
        <v>0</v>
      </c>
      <c r="H25" s="12" t="s">
        <v>777</v>
      </c>
      <c r="I25" s="6" t="s">
        <v>799</v>
      </c>
    </row>
    <row r="26" customFormat="false" ht="15" hidden="false" customHeight="false" outlineLevel="0" collapsed="false">
      <c r="B26" s="12" t="s">
        <v>800</v>
      </c>
      <c r="C26" s="12" t="s">
        <v>801</v>
      </c>
      <c r="D26" s="26" t="s">
        <v>419</v>
      </c>
      <c r="E26" s="5" t="s">
        <v>802</v>
      </c>
      <c r="F26" s="5" t="s">
        <v>757</v>
      </c>
      <c r="G26" s="13" t="n">
        <v>0</v>
      </c>
      <c r="H26" s="12" t="s">
        <v>803</v>
      </c>
      <c r="I26" s="6" t="s">
        <v>804</v>
      </c>
    </row>
    <row r="27" customFormat="false" ht="15" hidden="false" customHeight="false" outlineLevel="0" collapsed="false">
      <c r="B27" s="12" t="s">
        <v>805</v>
      </c>
      <c r="C27" s="12" t="s">
        <v>806</v>
      </c>
      <c r="D27" s="26" t="s">
        <v>419</v>
      </c>
      <c r="E27" s="5" t="s">
        <v>807</v>
      </c>
      <c r="F27" s="5" t="s">
        <v>171</v>
      </c>
      <c r="G27" s="13" t="n">
        <v>0</v>
      </c>
      <c r="H27" s="12" t="s">
        <v>808</v>
      </c>
      <c r="I27" s="6" t="s">
        <v>809</v>
      </c>
    </row>
    <row r="28" customFormat="false" ht="19.4" hidden="false" customHeight="false" outlineLevel="0" collapsed="false">
      <c r="B28" s="12" t="s">
        <v>810</v>
      </c>
      <c r="C28" s="12" t="s">
        <v>811</v>
      </c>
      <c r="D28" s="12" t="s">
        <v>447</v>
      </c>
      <c r="E28" s="5" t="s">
        <v>812</v>
      </c>
      <c r="F28" s="5" t="s">
        <v>757</v>
      </c>
      <c r="G28" s="13" t="n">
        <v>51150</v>
      </c>
      <c r="H28" s="12" t="s">
        <v>813</v>
      </c>
      <c r="I28" s="6" t="s">
        <v>16</v>
      </c>
    </row>
    <row r="29" customFormat="false" ht="19.4" hidden="false" customHeight="false" outlineLevel="0" collapsed="false">
      <c r="B29" s="12" t="s">
        <v>814</v>
      </c>
      <c r="C29" s="12" t="s">
        <v>811</v>
      </c>
      <c r="D29" s="12" t="s">
        <v>493</v>
      </c>
      <c r="E29" s="5" t="s">
        <v>815</v>
      </c>
      <c r="F29" s="5" t="s">
        <v>757</v>
      </c>
      <c r="G29" s="13" t="n">
        <v>4969</v>
      </c>
      <c r="H29" s="12" t="s">
        <v>813</v>
      </c>
      <c r="I29" s="6" t="s">
        <v>16</v>
      </c>
    </row>
    <row r="30" customFormat="false" ht="19.4" hidden="false" customHeight="false" outlineLevel="0" collapsed="false">
      <c r="B30" s="12" t="s">
        <v>816</v>
      </c>
      <c r="C30" s="12" t="s">
        <v>817</v>
      </c>
      <c r="D30" s="12" t="s">
        <v>818</v>
      </c>
      <c r="E30" s="5" t="s">
        <v>819</v>
      </c>
      <c r="F30" s="5" t="s">
        <v>820</v>
      </c>
      <c r="G30" s="13" t="n">
        <v>0</v>
      </c>
      <c r="H30" s="12" t="s">
        <v>821</v>
      </c>
      <c r="I30" s="6" t="s">
        <v>16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40"/>
    <col collapsed="false" customWidth="true" hidden="false" outlineLevel="0" max="4" min="4" style="0" width="18"/>
    <col collapsed="false" customWidth="true" hidden="false" outlineLevel="0" max="6" min="5" style="0" width="44"/>
  </cols>
  <sheetData>
    <row r="2" customFormat="false" ht="27.75" hidden="false" customHeight="true" outlineLevel="0" collapsed="false">
      <c r="B2" s="1" t="s">
        <v>822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823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3" t="s">
        <v>824</v>
      </c>
    </row>
    <row r="6" customFormat="false" ht="15" hidden="false" customHeight="false" outlineLevel="0" collapsed="false">
      <c r="B6" s="11" t="s">
        <v>140</v>
      </c>
      <c r="C6" s="11" t="s">
        <v>825</v>
      </c>
      <c r="D6" s="11" t="s">
        <v>826</v>
      </c>
      <c r="E6" s="11" t="s">
        <v>827</v>
      </c>
      <c r="F6" s="11" t="s">
        <v>349</v>
      </c>
    </row>
    <row r="7" customFormat="false" ht="23.85" hidden="false" customHeight="false" outlineLevel="0" collapsed="false">
      <c r="B7" s="5" t="s">
        <v>828</v>
      </c>
      <c r="C7" s="5" t="s">
        <v>829</v>
      </c>
      <c r="D7" s="13" t="n">
        <v>69026.5</v>
      </c>
      <c r="E7" s="5" t="s">
        <v>830</v>
      </c>
      <c r="F7" s="6" t="s">
        <v>831</v>
      </c>
    </row>
    <row r="8" customFormat="false" ht="15" hidden="false" customHeight="false" outlineLevel="0" collapsed="false">
      <c r="B8" s="5" t="s">
        <v>832</v>
      </c>
      <c r="C8" s="5" t="s">
        <v>833</v>
      </c>
      <c r="D8" s="13" t="n">
        <v>42648.69</v>
      </c>
      <c r="E8" s="5" t="s">
        <v>834</v>
      </c>
      <c r="F8" s="6" t="s">
        <v>835</v>
      </c>
    </row>
    <row r="9" customFormat="false" ht="23.85" hidden="false" customHeight="false" outlineLevel="0" collapsed="false">
      <c r="B9" s="5" t="s">
        <v>836</v>
      </c>
      <c r="C9" s="5" t="s">
        <v>837</v>
      </c>
      <c r="D9" s="13" t="n">
        <v>23503.5</v>
      </c>
      <c r="E9" s="5" t="s">
        <v>838</v>
      </c>
      <c r="F9" s="6" t="s">
        <v>839</v>
      </c>
    </row>
    <row r="10" customFormat="false" ht="15" hidden="false" customHeight="false" outlineLevel="0" collapsed="false">
      <c r="B10" s="5" t="s">
        <v>840</v>
      </c>
      <c r="C10" s="5" t="s">
        <v>83</v>
      </c>
      <c r="D10" s="13" t="n">
        <v>-38860.18</v>
      </c>
      <c r="E10" s="5" t="s">
        <v>841</v>
      </c>
      <c r="F10" s="6" t="s">
        <v>842</v>
      </c>
    </row>
    <row r="11" customFormat="false" ht="15" hidden="false" customHeight="false" outlineLevel="0" collapsed="false">
      <c r="B11" s="5" t="s">
        <v>843</v>
      </c>
      <c r="C11" s="5" t="s">
        <v>844</v>
      </c>
      <c r="D11" s="13" t="n">
        <v>-2721.16</v>
      </c>
      <c r="E11" s="5" t="s">
        <v>845</v>
      </c>
      <c r="F11" s="6" t="s">
        <v>846</v>
      </c>
    </row>
    <row r="12" customFormat="false" ht="15" hidden="false" customHeight="false" outlineLevel="0" collapsed="false">
      <c r="B12" s="5" t="s">
        <v>847</v>
      </c>
      <c r="C12" s="5" t="s">
        <v>109</v>
      </c>
      <c r="D12" s="13" t="n">
        <v>-204203.17</v>
      </c>
      <c r="E12" s="5" t="s">
        <v>848</v>
      </c>
      <c r="F12" s="6" t="s">
        <v>849</v>
      </c>
    </row>
    <row r="13" customFormat="false" ht="15" hidden="false" customHeight="false" outlineLevel="0" collapsed="false">
      <c r="B13" s="5" t="s">
        <v>850</v>
      </c>
      <c r="C13" s="5" t="s">
        <v>851</v>
      </c>
      <c r="D13" s="13" t="n">
        <v>83058.69</v>
      </c>
      <c r="E13" s="5" t="s">
        <v>852</v>
      </c>
      <c r="F13" s="6" t="s">
        <v>853</v>
      </c>
    </row>
    <row r="14" customFormat="false" ht="15" hidden="false" customHeight="false" outlineLevel="0" collapsed="false">
      <c r="B14" s="5" t="s">
        <v>854</v>
      </c>
      <c r="C14" s="5" t="s">
        <v>855</v>
      </c>
      <c r="D14" s="13" t="n">
        <v>-67140.85</v>
      </c>
      <c r="E14" s="5" t="s">
        <v>856</v>
      </c>
      <c r="F14" s="6" t="s">
        <v>857</v>
      </c>
    </row>
    <row r="15" customFormat="false" ht="15" hidden="false" customHeight="false" outlineLevel="0" collapsed="false">
      <c r="B15" s="5" t="s">
        <v>858</v>
      </c>
      <c r="C15" s="5" t="s">
        <v>859</v>
      </c>
      <c r="D15" s="13" t="n">
        <v>-69347.12</v>
      </c>
      <c r="E15" s="5" t="s">
        <v>860</v>
      </c>
      <c r="F15" s="6" t="s">
        <v>857</v>
      </c>
    </row>
    <row r="16" customFormat="false" ht="15" hidden="false" customHeight="false" outlineLevel="0" collapsed="false">
      <c r="B16" s="5" t="s">
        <v>861</v>
      </c>
      <c r="C16" s="5" t="s">
        <v>862</v>
      </c>
      <c r="D16" s="13" t="n">
        <v>54454.27</v>
      </c>
      <c r="E16" s="5" t="s">
        <v>863</v>
      </c>
      <c r="F16" s="6" t="s">
        <v>864</v>
      </c>
    </row>
    <row r="17" customFormat="false" ht="23.85" hidden="false" customHeight="false" outlineLevel="0" collapsed="false">
      <c r="B17" s="5" t="s">
        <v>865</v>
      </c>
      <c r="C17" s="5" t="s">
        <v>150</v>
      </c>
      <c r="D17" s="13" t="n">
        <v>-28092.43</v>
      </c>
      <c r="E17" s="5" t="s">
        <v>866</v>
      </c>
      <c r="F17" s="6" t="s">
        <v>857</v>
      </c>
    </row>
    <row r="18" customFormat="false" ht="15" hidden="false" customHeight="false" outlineLevel="0" collapsed="false">
      <c r="B18" s="16" t="s">
        <v>867</v>
      </c>
      <c r="D18" s="17" t="n">
        <f aca="false">SUM(D7:D17)</f>
        <v>-137673.26</v>
      </c>
    </row>
    <row r="21" customFormat="false" ht="15" hidden="false" customHeight="false" outlineLevel="0" collapsed="false">
      <c r="B21" s="3" t="s">
        <v>868</v>
      </c>
    </row>
    <row r="22" customFormat="false" ht="15" hidden="false" customHeight="false" outlineLevel="0" collapsed="false">
      <c r="B22" s="11" t="s">
        <v>869</v>
      </c>
      <c r="C22" s="11" t="s">
        <v>870</v>
      </c>
      <c r="D22" s="11" t="s">
        <v>871</v>
      </c>
      <c r="E22" s="11" t="s">
        <v>349</v>
      </c>
    </row>
    <row r="23" customFormat="false" ht="15" hidden="false" customHeight="false" outlineLevel="0" collapsed="false">
      <c r="B23" s="5" t="s">
        <v>872</v>
      </c>
      <c r="C23" s="12" t="n">
        <v>1</v>
      </c>
      <c r="D23" s="13" t="n">
        <v>69026.5</v>
      </c>
      <c r="E23" s="5" t="s">
        <v>873</v>
      </c>
    </row>
    <row r="24" customFormat="false" ht="15" hidden="false" customHeight="false" outlineLevel="0" collapsed="false">
      <c r="B24" s="5" t="s">
        <v>874</v>
      </c>
      <c r="C24" s="12" t="n">
        <v>4</v>
      </c>
      <c r="D24" s="13" t="n">
        <v>42648.69</v>
      </c>
      <c r="E24" s="5" t="s">
        <v>875</v>
      </c>
    </row>
    <row r="25" customFormat="false" ht="15" hidden="false" customHeight="false" outlineLevel="0" collapsed="false">
      <c r="B25" s="5" t="s">
        <v>876</v>
      </c>
      <c r="C25" s="12" t="n">
        <v>1</v>
      </c>
      <c r="D25" s="13" t="n">
        <v>-204203.17</v>
      </c>
      <c r="E25" s="5" t="s">
        <v>877</v>
      </c>
    </row>
    <row r="26" customFormat="false" ht="15" hidden="false" customHeight="false" outlineLevel="0" collapsed="false">
      <c r="B26" s="5" t="s">
        <v>878</v>
      </c>
      <c r="C26" s="12" t="n">
        <v>1</v>
      </c>
      <c r="D26" s="13" t="n">
        <v>83058.69</v>
      </c>
      <c r="E26" s="5" t="s">
        <v>879</v>
      </c>
    </row>
    <row r="27" customFormat="false" ht="15" hidden="false" customHeight="false" outlineLevel="0" collapsed="false">
      <c r="B27" s="5" t="s">
        <v>880</v>
      </c>
      <c r="C27" s="12" t="n">
        <v>4</v>
      </c>
      <c r="D27" s="13" t="n">
        <v>-311288.62</v>
      </c>
      <c r="E27" s="5" t="s">
        <v>881</v>
      </c>
    </row>
    <row r="28" customFormat="false" ht="23.85" hidden="false" customHeight="false" outlineLevel="0" collapsed="false">
      <c r="B28" s="5" t="s">
        <v>882</v>
      </c>
      <c r="C28" s="12" t="n">
        <v>125</v>
      </c>
      <c r="D28" s="13" t="n">
        <v>0</v>
      </c>
      <c r="E28" s="5" t="s">
        <v>883</v>
      </c>
    </row>
    <row r="29" customFormat="false" ht="15" hidden="false" customHeight="false" outlineLevel="0" collapsed="false">
      <c r="B29" s="5" t="s">
        <v>884</v>
      </c>
      <c r="C29" s="12" t="n">
        <v>2</v>
      </c>
      <c r="D29" s="13" t="n">
        <v>54454.27</v>
      </c>
      <c r="E29" s="5" t="s">
        <v>885</v>
      </c>
    </row>
    <row r="30" customFormat="false" ht="15" hidden="false" customHeight="false" outlineLevel="0" collapsed="false">
      <c r="B30" s="5" t="s">
        <v>886</v>
      </c>
      <c r="C30" s="12" t="n">
        <v>5</v>
      </c>
      <c r="D30" s="13" t="n">
        <v>-28092.43</v>
      </c>
      <c r="E30" s="5" t="s">
        <v>857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5" min="3" style="0" width="22"/>
    <col collapsed="false" customWidth="true" hidden="false" outlineLevel="0" max="6" min="6" style="0" width="58"/>
  </cols>
  <sheetData>
    <row r="2" customFormat="false" ht="27.75" hidden="false" customHeight="true" outlineLevel="0" collapsed="false">
      <c r="B2" s="1" t="s">
        <v>887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888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3" t="s">
        <v>889</v>
      </c>
    </row>
    <row r="6" customFormat="false" ht="15" hidden="false" customHeight="false" outlineLevel="0" collapsed="false">
      <c r="B6" s="11" t="s">
        <v>890</v>
      </c>
      <c r="C6" s="11" t="s">
        <v>891</v>
      </c>
      <c r="D6" s="11" t="s">
        <v>892</v>
      </c>
      <c r="E6" s="11" t="s">
        <v>411</v>
      </c>
      <c r="F6" s="11" t="s">
        <v>893</v>
      </c>
    </row>
    <row r="7" customFormat="false" ht="15" hidden="false" customHeight="false" outlineLevel="0" collapsed="false">
      <c r="B7" s="5" t="s">
        <v>669</v>
      </c>
      <c r="C7" s="12" t="n">
        <v>125</v>
      </c>
      <c r="D7" s="12" t="s">
        <v>894</v>
      </c>
      <c r="E7" s="27" t="s">
        <v>895</v>
      </c>
      <c r="F7" s="5" t="s">
        <v>896</v>
      </c>
    </row>
    <row r="8" customFormat="false" ht="15" hidden="false" customHeight="false" outlineLevel="0" collapsed="false">
      <c r="B8" s="5" t="s">
        <v>673</v>
      </c>
      <c r="C8" s="12" t="s">
        <v>897</v>
      </c>
      <c r="D8" s="12" t="s">
        <v>898</v>
      </c>
      <c r="E8" s="35" t="s">
        <v>899</v>
      </c>
      <c r="F8" s="5" t="s">
        <v>900</v>
      </c>
    </row>
    <row r="9" customFormat="false" ht="15" hidden="false" customHeight="false" outlineLevel="0" collapsed="false">
      <c r="B9" s="5" t="s">
        <v>901</v>
      </c>
      <c r="C9" s="12" t="n">
        <v>7</v>
      </c>
      <c r="D9" s="12" t="s">
        <v>902</v>
      </c>
      <c r="E9" s="25" t="s">
        <v>903</v>
      </c>
      <c r="F9" s="5" t="s">
        <v>904</v>
      </c>
    </row>
    <row r="10" customFormat="false" ht="15" hidden="false" customHeight="false" outlineLevel="0" collapsed="false">
      <c r="B10" s="5" t="s">
        <v>905</v>
      </c>
      <c r="C10" s="12" t="n">
        <v>5</v>
      </c>
      <c r="D10" s="12" t="s">
        <v>906</v>
      </c>
      <c r="E10" s="27" t="s">
        <v>895</v>
      </c>
      <c r="F10" s="5" t="s">
        <v>907</v>
      </c>
    </row>
    <row r="11" customFormat="false" ht="15" hidden="false" customHeight="false" outlineLevel="0" collapsed="false">
      <c r="B11" s="5" t="s">
        <v>908</v>
      </c>
      <c r="C11" s="12" t="s">
        <v>909</v>
      </c>
      <c r="D11" s="12" t="s">
        <v>910</v>
      </c>
      <c r="E11" s="27" t="s">
        <v>895</v>
      </c>
      <c r="F11" s="5" t="s">
        <v>911</v>
      </c>
    </row>
    <row r="12" customFormat="false" ht="15" hidden="false" customHeight="false" outlineLevel="0" collapsed="false">
      <c r="B12" s="5" t="s">
        <v>912</v>
      </c>
      <c r="C12" s="12" t="s">
        <v>913</v>
      </c>
      <c r="D12" s="12" t="s">
        <v>914</v>
      </c>
      <c r="E12" s="32" t="s">
        <v>915</v>
      </c>
      <c r="F12" s="5" t="s">
        <v>916</v>
      </c>
    </row>
    <row r="13" customFormat="false" ht="15" hidden="false" customHeight="false" outlineLevel="0" collapsed="false">
      <c r="B13" s="5" t="s">
        <v>917</v>
      </c>
      <c r="C13" s="12" t="s">
        <v>918</v>
      </c>
      <c r="D13" s="12" t="s">
        <v>898</v>
      </c>
      <c r="E13" s="35" t="s">
        <v>899</v>
      </c>
      <c r="F13" s="5" t="s">
        <v>919</v>
      </c>
    </row>
    <row r="14" customFormat="false" ht="15" hidden="false" customHeight="false" outlineLevel="0" collapsed="false">
      <c r="B14" s="5" t="s">
        <v>920</v>
      </c>
      <c r="C14" s="36" t="n">
        <v>0.253572999481484</v>
      </c>
      <c r="D14" s="12" t="s">
        <v>921</v>
      </c>
      <c r="E14" s="25" t="s">
        <v>903</v>
      </c>
      <c r="F14" s="5" t="s">
        <v>922</v>
      </c>
    </row>
    <row r="15" customFormat="false" ht="23.85" hidden="false" customHeight="false" outlineLevel="0" collapsed="false">
      <c r="B15" s="5" t="s">
        <v>923</v>
      </c>
      <c r="C15" s="12" t="s">
        <v>924</v>
      </c>
      <c r="D15" s="12" t="s">
        <v>925</v>
      </c>
      <c r="E15" s="27" t="s">
        <v>895</v>
      </c>
      <c r="F15" s="5" t="s">
        <v>926</v>
      </c>
    </row>
    <row r="16" customFormat="false" ht="15" hidden="false" customHeight="false" outlineLevel="0" collapsed="false">
      <c r="B16" s="5" t="s">
        <v>927</v>
      </c>
      <c r="C16" s="36" t="n">
        <v>0.0537197571510557</v>
      </c>
      <c r="D16" s="12" t="s">
        <v>928</v>
      </c>
      <c r="E16" s="25" t="s">
        <v>903</v>
      </c>
      <c r="F16" s="5" t="s">
        <v>929</v>
      </c>
    </row>
    <row r="17" customFormat="false" ht="15" hidden="false" customHeight="false" outlineLevel="0" collapsed="false">
      <c r="B17" s="5" t="s">
        <v>930</v>
      </c>
      <c r="C17" s="36" t="n">
        <v>0.536593469658985</v>
      </c>
      <c r="D17" s="12" t="s">
        <v>931</v>
      </c>
      <c r="E17" s="25" t="s">
        <v>903</v>
      </c>
      <c r="F17" s="5" t="s">
        <v>932</v>
      </c>
    </row>
    <row r="18" customFormat="false" ht="15" hidden="false" customHeight="false" outlineLevel="0" collapsed="false">
      <c r="B18" s="5" t="s">
        <v>933</v>
      </c>
      <c r="C18" s="36" t="n">
        <v>0.226988428034476</v>
      </c>
      <c r="D18" s="12" t="s">
        <v>934</v>
      </c>
      <c r="E18" s="27" t="s">
        <v>895</v>
      </c>
      <c r="F18" s="5" t="s">
        <v>935</v>
      </c>
    </row>
    <row r="19" customFormat="false" ht="15" hidden="false" customHeight="false" outlineLevel="0" collapsed="false">
      <c r="B19" s="5" t="s">
        <v>936</v>
      </c>
      <c r="C19" s="36" t="n">
        <v>3.69149733333333</v>
      </c>
      <c r="D19" s="12" t="s">
        <v>934</v>
      </c>
      <c r="E19" s="32" t="s">
        <v>915</v>
      </c>
      <c r="F19" s="5" t="s">
        <v>937</v>
      </c>
    </row>
    <row r="20" customFormat="false" ht="15" hidden="false" customHeight="false" outlineLevel="0" collapsed="false">
      <c r="B20" s="5" t="s">
        <v>938</v>
      </c>
      <c r="C20" s="12" t="n">
        <v>180</v>
      </c>
      <c r="D20" s="12" t="s">
        <v>939</v>
      </c>
      <c r="E20" s="25" t="s">
        <v>903</v>
      </c>
      <c r="F20" s="5" t="s">
        <v>940</v>
      </c>
    </row>
    <row r="21" customFormat="false" ht="23.85" hidden="false" customHeight="false" outlineLevel="0" collapsed="false">
      <c r="B21" s="5" t="s">
        <v>941</v>
      </c>
      <c r="C21" s="12" t="s">
        <v>942</v>
      </c>
      <c r="D21" s="12" t="s">
        <v>943</v>
      </c>
      <c r="E21" s="27" t="s">
        <v>895</v>
      </c>
      <c r="F21" s="5" t="s">
        <v>944</v>
      </c>
    </row>
    <row r="24" customFormat="false" ht="15" hidden="false" customHeight="false" outlineLevel="0" collapsed="false">
      <c r="B24" s="3" t="s">
        <v>945</v>
      </c>
    </row>
    <row r="25" customFormat="false" ht="15" hidden="false" customHeight="false" outlineLevel="0" collapsed="false">
      <c r="B25" s="11" t="s">
        <v>946</v>
      </c>
      <c r="C25" s="11" t="s">
        <v>947</v>
      </c>
      <c r="D25" s="11" t="s">
        <v>501</v>
      </c>
      <c r="E25" s="11" t="s">
        <v>948</v>
      </c>
      <c r="F25" s="11" t="s">
        <v>949</v>
      </c>
    </row>
    <row r="26" customFormat="false" ht="15" hidden="false" customHeight="false" outlineLevel="0" collapsed="false">
      <c r="B26" s="5" t="s">
        <v>950</v>
      </c>
      <c r="C26" s="36" t="n">
        <v>0.324037528023154</v>
      </c>
      <c r="D26" s="12" t="s">
        <v>72</v>
      </c>
      <c r="E26" s="12" t="s">
        <v>951</v>
      </c>
      <c r="F26" s="5" t="s">
        <v>952</v>
      </c>
    </row>
    <row r="27" customFormat="false" ht="15" hidden="false" customHeight="false" outlineLevel="0" collapsed="false">
      <c r="B27" s="5" t="s">
        <v>953</v>
      </c>
      <c r="C27" s="12" t="s">
        <v>954</v>
      </c>
      <c r="D27" s="12" t="s">
        <v>955</v>
      </c>
      <c r="E27" s="12" t="s">
        <v>956</v>
      </c>
      <c r="F27" s="5" t="s">
        <v>957</v>
      </c>
    </row>
    <row r="28" customFormat="false" ht="35.05" hidden="false" customHeight="false" outlineLevel="0" collapsed="false">
      <c r="B28" s="5" t="s">
        <v>958</v>
      </c>
      <c r="C28" s="12" t="n">
        <v>40</v>
      </c>
      <c r="D28" s="12" t="s">
        <v>521</v>
      </c>
      <c r="E28" s="12" t="s">
        <v>959</v>
      </c>
      <c r="F28" s="5" t="s">
        <v>960</v>
      </c>
    </row>
    <row r="29" customFormat="false" ht="23.85" hidden="false" customHeight="false" outlineLevel="0" collapsed="false">
      <c r="B29" s="5" t="s">
        <v>961</v>
      </c>
      <c r="C29" s="12" t="s">
        <v>962</v>
      </c>
      <c r="D29" s="12" t="s">
        <v>357</v>
      </c>
      <c r="E29" s="12" t="s">
        <v>963</v>
      </c>
      <c r="F29" s="5" t="s">
        <v>964</v>
      </c>
    </row>
    <row r="30" customFormat="false" ht="23.85" hidden="false" customHeight="false" outlineLevel="0" collapsed="false">
      <c r="B30" s="5" t="s">
        <v>965</v>
      </c>
      <c r="C30" s="12" t="s">
        <v>966</v>
      </c>
      <c r="D30" s="12" t="s">
        <v>504</v>
      </c>
      <c r="E30" s="12" t="s">
        <v>656</v>
      </c>
      <c r="F30" s="5" t="s">
        <v>967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28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36"/>
  </cols>
  <sheetData>
    <row r="2" customFormat="false" ht="27.75" hidden="false" customHeight="true" outlineLevel="0" collapsed="false">
      <c r="B2" s="1" t="s">
        <v>968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969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498</v>
      </c>
      <c r="C5" s="11" t="s">
        <v>970</v>
      </c>
      <c r="D5" s="11" t="s">
        <v>971</v>
      </c>
      <c r="E5" s="11" t="s">
        <v>348</v>
      </c>
      <c r="F5" s="11" t="s">
        <v>972</v>
      </c>
      <c r="G5" s="11" t="s">
        <v>973</v>
      </c>
      <c r="H5" s="11" t="s">
        <v>501</v>
      </c>
      <c r="I5" s="11" t="s">
        <v>974</v>
      </c>
    </row>
    <row r="6" customFormat="false" ht="23.85" hidden="false" customHeight="false" outlineLevel="0" collapsed="false">
      <c r="B6" s="12" t="n">
        <v>1</v>
      </c>
      <c r="C6" s="5" t="s">
        <v>545</v>
      </c>
      <c r="D6" s="5" t="s">
        <v>544</v>
      </c>
      <c r="E6" s="12" t="s">
        <v>4</v>
      </c>
      <c r="F6" s="12" t="s">
        <v>975</v>
      </c>
      <c r="G6" s="12" t="s">
        <v>539</v>
      </c>
      <c r="H6" s="25" t="s">
        <v>504</v>
      </c>
      <c r="I6" s="5" t="s">
        <v>16</v>
      </c>
    </row>
    <row r="7" customFormat="false" ht="23.85" hidden="false" customHeight="false" outlineLevel="0" collapsed="false">
      <c r="B7" s="12" t="n">
        <v>2</v>
      </c>
      <c r="C7" s="5" t="s">
        <v>549</v>
      </c>
      <c r="D7" s="5" t="s">
        <v>548</v>
      </c>
      <c r="E7" s="12" t="s">
        <v>7</v>
      </c>
      <c r="F7" s="12" t="s">
        <v>976</v>
      </c>
      <c r="G7" s="12" t="s">
        <v>539</v>
      </c>
      <c r="H7" s="25" t="s">
        <v>504</v>
      </c>
      <c r="I7" s="5" t="s">
        <v>16</v>
      </c>
    </row>
    <row r="8" customFormat="false" ht="23.85" hidden="false" customHeight="false" outlineLevel="0" collapsed="false">
      <c r="B8" s="12" t="n">
        <v>3</v>
      </c>
      <c r="C8" s="5" t="s">
        <v>551</v>
      </c>
      <c r="D8" s="5" t="s">
        <v>8</v>
      </c>
      <c r="E8" s="12" t="s">
        <v>552</v>
      </c>
      <c r="F8" s="12" t="s">
        <v>976</v>
      </c>
      <c r="G8" s="12" t="s">
        <v>539</v>
      </c>
      <c r="H8" s="25" t="s">
        <v>504</v>
      </c>
      <c r="I8" s="5" t="s">
        <v>13</v>
      </c>
    </row>
    <row r="9" customFormat="false" ht="23.85" hidden="false" customHeight="false" outlineLevel="0" collapsed="false">
      <c r="B9" s="12" t="n">
        <v>4</v>
      </c>
      <c r="C9" s="5" t="s">
        <v>554</v>
      </c>
      <c r="D9" s="5" t="s">
        <v>820</v>
      </c>
      <c r="E9" s="12" t="s">
        <v>12</v>
      </c>
      <c r="F9" s="12" t="s">
        <v>976</v>
      </c>
      <c r="G9" s="12" t="s">
        <v>539</v>
      </c>
      <c r="H9" s="25" t="s">
        <v>504</v>
      </c>
      <c r="I9" s="5" t="s">
        <v>13</v>
      </c>
    </row>
    <row r="10" customFormat="false" ht="23.85" hidden="false" customHeight="false" outlineLevel="0" collapsed="false">
      <c r="B10" s="12" t="n">
        <v>5</v>
      </c>
      <c r="C10" s="5" t="s">
        <v>977</v>
      </c>
      <c r="D10" s="5" t="s">
        <v>978</v>
      </c>
      <c r="E10" s="12" t="s">
        <v>15</v>
      </c>
      <c r="F10" s="12" t="s">
        <v>975</v>
      </c>
      <c r="G10" s="12" t="s">
        <v>979</v>
      </c>
      <c r="H10" s="25" t="s">
        <v>504</v>
      </c>
      <c r="I10" s="5" t="s">
        <v>16</v>
      </c>
    </row>
    <row r="11" customFormat="false" ht="23.85" hidden="false" customHeight="false" outlineLevel="0" collapsed="false">
      <c r="B11" s="12" t="n">
        <v>6</v>
      </c>
      <c r="C11" s="5" t="s">
        <v>556</v>
      </c>
      <c r="D11" s="5" t="s">
        <v>980</v>
      </c>
      <c r="E11" s="12" t="s">
        <v>18</v>
      </c>
      <c r="F11" s="12" t="s">
        <v>976</v>
      </c>
      <c r="G11" s="12" t="s">
        <v>539</v>
      </c>
      <c r="H11" s="25" t="s">
        <v>504</v>
      </c>
      <c r="I11" s="5" t="s">
        <v>13</v>
      </c>
    </row>
    <row r="12" customFormat="false" ht="15" hidden="false" customHeight="false" outlineLevel="0" collapsed="false">
      <c r="B12" s="12" t="n">
        <v>7</v>
      </c>
      <c r="C12" s="5" t="s">
        <v>558</v>
      </c>
      <c r="D12" s="5" t="s">
        <v>19</v>
      </c>
      <c r="E12" s="12" t="s">
        <v>20</v>
      </c>
      <c r="F12" s="12" t="s">
        <v>976</v>
      </c>
      <c r="G12" s="12" t="s">
        <v>539</v>
      </c>
      <c r="H12" s="25" t="s">
        <v>504</v>
      </c>
      <c r="I12" s="5" t="s">
        <v>981</v>
      </c>
    </row>
    <row r="13" customFormat="false" ht="23.85" hidden="false" customHeight="false" outlineLevel="0" collapsed="false">
      <c r="B13" s="12" t="n">
        <v>8</v>
      </c>
      <c r="C13" s="5" t="s">
        <v>561</v>
      </c>
      <c r="D13" s="5" t="s">
        <v>560</v>
      </c>
      <c r="E13" s="12" t="s">
        <v>982</v>
      </c>
      <c r="F13" s="12" t="s">
        <v>976</v>
      </c>
      <c r="G13" s="12" t="s">
        <v>539</v>
      </c>
      <c r="H13" s="25" t="s">
        <v>504</v>
      </c>
      <c r="I13" s="5" t="s">
        <v>13</v>
      </c>
    </row>
    <row r="14" customFormat="false" ht="23.85" hidden="false" customHeight="false" outlineLevel="0" collapsed="false">
      <c r="B14" s="12" t="n">
        <v>9</v>
      </c>
      <c r="C14" s="5" t="s">
        <v>564</v>
      </c>
      <c r="D14" s="5" t="s">
        <v>563</v>
      </c>
      <c r="E14" s="12" t="s">
        <v>983</v>
      </c>
      <c r="F14" s="12" t="s">
        <v>976</v>
      </c>
      <c r="G14" s="12" t="s">
        <v>539</v>
      </c>
      <c r="H14" s="25" t="s">
        <v>504</v>
      </c>
      <c r="I14" s="5" t="s">
        <v>536</v>
      </c>
    </row>
    <row r="15" customFormat="false" ht="23.85" hidden="false" customHeight="false" outlineLevel="0" collapsed="false">
      <c r="B15" s="12" t="n">
        <v>10</v>
      </c>
      <c r="C15" s="5" t="s">
        <v>568</v>
      </c>
      <c r="D15" s="5" t="s">
        <v>984</v>
      </c>
      <c r="E15" s="12" t="s">
        <v>569</v>
      </c>
      <c r="F15" s="12" t="s">
        <v>985</v>
      </c>
      <c r="G15" s="12" t="s">
        <v>539</v>
      </c>
      <c r="H15" s="25" t="s">
        <v>504</v>
      </c>
      <c r="I15" s="5" t="s">
        <v>16</v>
      </c>
    </row>
    <row r="16" customFormat="false" ht="23.85" hidden="false" customHeight="false" outlineLevel="0" collapsed="false">
      <c r="B16" s="12" t="n">
        <v>11</v>
      </c>
      <c r="C16" s="5" t="s">
        <v>572</v>
      </c>
      <c r="D16" s="5" t="s">
        <v>986</v>
      </c>
      <c r="E16" s="12" t="s">
        <v>573</v>
      </c>
      <c r="F16" s="12" t="s">
        <v>985</v>
      </c>
      <c r="G16" s="12" t="s">
        <v>539</v>
      </c>
      <c r="H16" s="25" t="s">
        <v>504</v>
      </c>
      <c r="I16" s="5" t="s">
        <v>16</v>
      </c>
    </row>
    <row r="17" customFormat="false" ht="15" hidden="false" customHeight="false" outlineLevel="0" collapsed="false">
      <c r="B17" s="12" t="n">
        <v>12</v>
      </c>
      <c r="C17" s="5" t="s">
        <v>576</v>
      </c>
      <c r="D17" s="5" t="s">
        <v>575</v>
      </c>
      <c r="E17" s="29" t="n">
        <v>23</v>
      </c>
      <c r="F17" s="12" t="s">
        <v>987</v>
      </c>
      <c r="G17" s="12" t="s">
        <v>539</v>
      </c>
      <c r="H17" s="25" t="s">
        <v>504</v>
      </c>
      <c r="I17" s="5" t="s">
        <v>357</v>
      </c>
    </row>
    <row r="18" customFormat="false" ht="23.85" hidden="false" customHeight="false" outlineLevel="0" collapsed="false">
      <c r="B18" s="12" t="n">
        <v>13</v>
      </c>
      <c r="C18" s="5" t="s">
        <v>579</v>
      </c>
      <c r="D18" s="5" t="s">
        <v>578</v>
      </c>
      <c r="E18" s="30" t="n">
        <v>241</v>
      </c>
      <c r="F18" s="12" t="s">
        <v>988</v>
      </c>
      <c r="G18" s="12" t="s">
        <v>539</v>
      </c>
      <c r="H18" s="25" t="s">
        <v>504</v>
      </c>
      <c r="I18" s="5" t="s">
        <v>536</v>
      </c>
    </row>
    <row r="19" customFormat="false" ht="23.85" hidden="false" customHeight="false" outlineLevel="0" collapsed="false">
      <c r="B19" s="12" t="n">
        <v>14</v>
      </c>
      <c r="C19" s="5" t="s">
        <v>582</v>
      </c>
      <c r="D19" s="5" t="s">
        <v>581</v>
      </c>
      <c r="E19" s="30" t="n">
        <v>11</v>
      </c>
      <c r="F19" s="12" t="s">
        <v>988</v>
      </c>
      <c r="G19" s="12" t="s">
        <v>539</v>
      </c>
      <c r="H19" s="25" t="s">
        <v>504</v>
      </c>
      <c r="I19" s="5" t="s">
        <v>536</v>
      </c>
    </row>
    <row r="20" customFormat="false" ht="23.85" hidden="false" customHeight="false" outlineLevel="0" collapsed="false">
      <c r="B20" s="12" t="n">
        <v>15</v>
      </c>
      <c r="C20" s="5" t="s">
        <v>681</v>
      </c>
      <c r="D20" s="5" t="s">
        <v>989</v>
      </c>
      <c r="E20" s="30" t="n">
        <v>244</v>
      </c>
      <c r="F20" s="12" t="s">
        <v>990</v>
      </c>
      <c r="G20" s="12" t="s">
        <v>539</v>
      </c>
      <c r="H20" s="25" t="s">
        <v>504</v>
      </c>
      <c r="I20" s="5" t="s">
        <v>536</v>
      </c>
    </row>
    <row r="21" customFormat="false" ht="23.85" hidden="false" customHeight="false" outlineLevel="0" collapsed="false">
      <c r="B21" s="12" t="n">
        <v>16</v>
      </c>
      <c r="C21" s="5" t="s">
        <v>685</v>
      </c>
      <c r="D21" s="5" t="s">
        <v>991</v>
      </c>
      <c r="E21" s="30" t="n">
        <v>244</v>
      </c>
      <c r="F21" s="12" t="s">
        <v>990</v>
      </c>
      <c r="G21" s="12" t="s">
        <v>539</v>
      </c>
      <c r="H21" s="25" t="s">
        <v>504</v>
      </c>
      <c r="I21" s="5" t="s">
        <v>536</v>
      </c>
    </row>
    <row r="22" customFormat="false" ht="23.85" hidden="false" customHeight="false" outlineLevel="0" collapsed="false">
      <c r="B22" s="12" t="n">
        <v>17</v>
      </c>
      <c r="C22" s="5" t="s">
        <v>687</v>
      </c>
      <c r="D22" s="5" t="s">
        <v>992</v>
      </c>
      <c r="E22" s="30" t="n">
        <v>241</v>
      </c>
      <c r="F22" s="12" t="s">
        <v>990</v>
      </c>
      <c r="G22" s="12" t="s">
        <v>539</v>
      </c>
      <c r="H22" s="25" t="s">
        <v>504</v>
      </c>
      <c r="I22" s="5" t="s">
        <v>536</v>
      </c>
    </row>
    <row r="23" customFormat="false" ht="23.85" hidden="false" customHeight="false" outlineLevel="0" collapsed="false">
      <c r="B23" s="12" t="n">
        <v>18</v>
      </c>
      <c r="C23" s="5" t="s">
        <v>690</v>
      </c>
      <c r="D23" s="5" t="s">
        <v>993</v>
      </c>
      <c r="E23" s="30" t="n">
        <v>211</v>
      </c>
      <c r="F23" s="12" t="s">
        <v>990</v>
      </c>
      <c r="G23" s="12" t="s">
        <v>539</v>
      </c>
      <c r="H23" s="25" t="s">
        <v>504</v>
      </c>
      <c r="I23" s="5" t="s">
        <v>536</v>
      </c>
    </row>
    <row r="24" customFormat="false" ht="23.85" hidden="false" customHeight="false" outlineLevel="0" collapsed="false">
      <c r="B24" s="12" t="n">
        <v>19</v>
      </c>
      <c r="C24" s="5" t="s">
        <v>693</v>
      </c>
      <c r="D24" s="5" t="s">
        <v>692</v>
      </c>
      <c r="E24" s="30" t="n">
        <v>31</v>
      </c>
      <c r="F24" s="12" t="s">
        <v>990</v>
      </c>
      <c r="G24" s="12" t="s">
        <v>539</v>
      </c>
      <c r="H24" s="25" t="s">
        <v>504</v>
      </c>
      <c r="I24" s="5" t="s">
        <v>536</v>
      </c>
    </row>
    <row r="25" customFormat="false" ht="23.85" hidden="false" customHeight="false" outlineLevel="0" collapsed="false">
      <c r="B25" s="12" t="n">
        <v>20</v>
      </c>
      <c r="C25" s="5" t="s">
        <v>696</v>
      </c>
      <c r="D25" s="5" t="s">
        <v>695</v>
      </c>
      <c r="E25" s="30" t="n">
        <v>4</v>
      </c>
      <c r="F25" s="12" t="s">
        <v>990</v>
      </c>
      <c r="G25" s="12" t="s">
        <v>539</v>
      </c>
      <c r="H25" s="25" t="s">
        <v>504</v>
      </c>
      <c r="I25" s="5" t="s">
        <v>536</v>
      </c>
    </row>
    <row r="26" customFormat="false" ht="23.85" hidden="false" customHeight="false" outlineLevel="0" collapsed="false">
      <c r="B26" s="12" t="n">
        <v>21</v>
      </c>
      <c r="C26" s="5" t="s">
        <v>699</v>
      </c>
      <c r="D26" s="5" t="s">
        <v>698</v>
      </c>
      <c r="E26" s="30" t="n">
        <v>17</v>
      </c>
      <c r="F26" s="12" t="s">
        <v>990</v>
      </c>
      <c r="G26" s="12" t="s">
        <v>539</v>
      </c>
      <c r="H26" s="25" t="s">
        <v>504</v>
      </c>
      <c r="I26" s="5" t="s">
        <v>536</v>
      </c>
    </row>
    <row r="27" customFormat="false" ht="23.85" hidden="false" customHeight="false" outlineLevel="0" collapsed="false">
      <c r="B27" s="12" t="n">
        <v>22</v>
      </c>
      <c r="C27" s="5" t="s">
        <v>585</v>
      </c>
      <c r="D27" s="5" t="s">
        <v>584</v>
      </c>
      <c r="E27" s="31" t="n">
        <v>2469500</v>
      </c>
      <c r="F27" s="12" t="s">
        <v>994</v>
      </c>
      <c r="G27" s="12" t="s">
        <v>539</v>
      </c>
      <c r="H27" s="25" t="s">
        <v>504</v>
      </c>
      <c r="I27" s="5" t="s">
        <v>13</v>
      </c>
    </row>
    <row r="28" customFormat="false" ht="23.85" hidden="false" customHeight="false" outlineLevel="0" collapsed="false">
      <c r="B28" s="12" t="n">
        <v>23</v>
      </c>
      <c r="C28" s="5" t="s">
        <v>589</v>
      </c>
      <c r="D28" s="5" t="s">
        <v>588</v>
      </c>
      <c r="E28" s="31" t="n">
        <v>2771369</v>
      </c>
      <c r="F28" s="12" t="s">
        <v>994</v>
      </c>
      <c r="G28" s="12" t="s">
        <v>539</v>
      </c>
      <c r="H28" s="25" t="s">
        <v>504</v>
      </c>
      <c r="I28" s="5" t="s">
        <v>16</v>
      </c>
    </row>
    <row r="29" customFormat="false" ht="23.85" hidden="false" customHeight="false" outlineLevel="0" collapsed="false">
      <c r="B29" s="12" t="n">
        <v>24</v>
      </c>
      <c r="C29" s="5" t="s">
        <v>592</v>
      </c>
      <c r="D29" s="5" t="s">
        <v>995</v>
      </c>
      <c r="E29" s="31" t="n">
        <v>301869</v>
      </c>
      <c r="F29" s="12" t="s">
        <v>994</v>
      </c>
      <c r="G29" s="12" t="s">
        <v>539</v>
      </c>
      <c r="H29" s="25" t="s">
        <v>504</v>
      </c>
      <c r="I29" s="5" t="s">
        <v>16</v>
      </c>
    </row>
    <row r="30" customFormat="false" ht="15" hidden="false" customHeight="false" outlineLevel="0" collapsed="false">
      <c r="B30" s="12" t="n">
        <v>25</v>
      </c>
      <c r="C30" s="5" t="s">
        <v>600</v>
      </c>
      <c r="D30" s="5" t="s">
        <v>996</v>
      </c>
      <c r="E30" s="30" t="n">
        <v>5</v>
      </c>
      <c r="F30" s="12" t="s">
        <v>990</v>
      </c>
      <c r="G30" s="12" t="s">
        <v>997</v>
      </c>
      <c r="H30" s="25" t="s">
        <v>504</v>
      </c>
      <c r="I30" s="5" t="s">
        <v>598</v>
      </c>
    </row>
    <row r="31" customFormat="false" ht="15" hidden="false" customHeight="false" outlineLevel="0" collapsed="false">
      <c r="B31" s="12" t="n">
        <v>26</v>
      </c>
      <c r="C31" s="5" t="s">
        <v>603</v>
      </c>
      <c r="D31" s="5" t="s">
        <v>998</v>
      </c>
      <c r="E31" s="33" t="n">
        <v>0.122238914760073</v>
      </c>
      <c r="F31" s="12" t="s">
        <v>999</v>
      </c>
      <c r="G31" s="12" t="s">
        <v>539</v>
      </c>
      <c r="H31" s="25" t="s">
        <v>504</v>
      </c>
      <c r="I31" s="5" t="s">
        <v>357</v>
      </c>
    </row>
    <row r="32" customFormat="false" ht="23.85" hidden="false" customHeight="false" outlineLevel="0" collapsed="false">
      <c r="B32" s="12" t="n">
        <v>27</v>
      </c>
      <c r="C32" s="5" t="s">
        <v>605</v>
      </c>
      <c r="D32" s="5" t="s">
        <v>604</v>
      </c>
      <c r="E32" s="31" t="n">
        <v>2771369</v>
      </c>
      <c r="F32" s="12" t="s">
        <v>994</v>
      </c>
      <c r="G32" s="12" t="s">
        <v>539</v>
      </c>
      <c r="H32" s="25" t="s">
        <v>504</v>
      </c>
      <c r="I32" s="5" t="s">
        <v>16</v>
      </c>
    </row>
    <row r="33" customFormat="false" ht="23.85" hidden="false" customHeight="false" outlineLevel="0" collapsed="false">
      <c r="B33" s="12" t="n">
        <v>28</v>
      </c>
      <c r="C33" s="5" t="s">
        <v>608</v>
      </c>
      <c r="D33" s="5" t="s">
        <v>607</v>
      </c>
      <c r="E33" s="31" t="n">
        <v>1873341.44</v>
      </c>
      <c r="F33" s="12" t="s">
        <v>994</v>
      </c>
      <c r="G33" s="12" t="s">
        <v>539</v>
      </c>
      <c r="H33" s="25" t="s">
        <v>504</v>
      </c>
      <c r="I33" s="5" t="s">
        <v>16</v>
      </c>
    </row>
    <row r="34" customFormat="false" ht="23.85" hidden="false" customHeight="false" outlineLevel="0" collapsed="false">
      <c r="B34" s="12" t="n">
        <v>29</v>
      </c>
      <c r="C34" s="5" t="s">
        <v>611</v>
      </c>
      <c r="D34" s="5" t="s">
        <v>610</v>
      </c>
      <c r="E34" s="31" t="n">
        <v>898027.56</v>
      </c>
      <c r="F34" s="12" t="s">
        <v>994</v>
      </c>
      <c r="G34" s="12" t="s">
        <v>539</v>
      </c>
      <c r="H34" s="25" t="s">
        <v>504</v>
      </c>
      <c r="I34" s="5" t="s">
        <v>16</v>
      </c>
    </row>
    <row r="35" customFormat="false" ht="15" hidden="false" customHeight="false" outlineLevel="0" collapsed="false">
      <c r="B35" s="12" t="n">
        <v>30</v>
      </c>
      <c r="C35" s="5" t="s">
        <v>613</v>
      </c>
      <c r="D35" s="5" t="s">
        <v>391</v>
      </c>
      <c r="E35" s="33" t="n">
        <v>0.324037528023154</v>
      </c>
      <c r="F35" s="12" t="s">
        <v>999</v>
      </c>
      <c r="G35" s="12" t="s">
        <v>539</v>
      </c>
      <c r="H35" s="25" t="s">
        <v>504</v>
      </c>
      <c r="I35" s="5" t="s">
        <v>357</v>
      </c>
    </row>
    <row r="36" customFormat="false" ht="23.85" hidden="false" customHeight="false" outlineLevel="0" collapsed="false">
      <c r="B36" s="12" t="n">
        <v>31</v>
      </c>
      <c r="C36" s="5" t="s">
        <v>615</v>
      </c>
      <c r="D36" s="5" t="s">
        <v>614</v>
      </c>
      <c r="E36" s="31" t="n">
        <v>138568.45</v>
      </c>
      <c r="F36" s="12" t="s">
        <v>994</v>
      </c>
      <c r="G36" s="12" t="s">
        <v>539</v>
      </c>
      <c r="H36" s="25" t="s">
        <v>504</v>
      </c>
      <c r="I36" s="5" t="s">
        <v>16</v>
      </c>
    </row>
    <row r="37" customFormat="false" ht="15" hidden="false" customHeight="false" outlineLevel="0" collapsed="false">
      <c r="B37" s="12" t="n">
        <v>32</v>
      </c>
      <c r="C37" s="5" t="s">
        <v>618</v>
      </c>
      <c r="D37" s="5" t="s">
        <v>617</v>
      </c>
      <c r="E37" s="33" t="n">
        <v>0.05</v>
      </c>
      <c r="F37" s="12" t="s">
        <v>999</v>
      </c>
      <c r="G37" s="12" t="s">
        <v>539</v>
      </c>
      <c r="H37" s="25" t="s">
        <v>504</v>
      </c>
      <c r="I37" s="5" t="s">
        <v>357</v>
      </c>
    </row>
    <row r="38" customFormat="false" ht="23.85" hidden="false" customHeight="false" outlineLevel="0" collapsed="false">
      <c r="B38" s="12" t="n">
        <v>33</v>
      </c>
      <c r="C38" s="5" t="s">
        <v>620</v>
      </c>
      <c r="D38" s="5" t="s">
        <v>619</v>
      </c>
      <c r="E38" s="31" t="n">
        <v>702744.35</v>
      </c>
      <c r="F38" s="12" t="s">
        <v>994</v>
      </c>
      <c r="G38" s="12" t="s">
        <v>539</v>
      </c>
      <c r="H38" s="25" t="s">
        <v>504</v>
      </c>
      <c r="I38" s="5" t="s">
        <v>16</v>
      </c>
    </row>
    <row r="39" customFormat="false" ht="23.85" hidden="false" customHeight="false" outlineLevel="0" collapsed="false">
      <c r="B39" s="12" t="n">
        <v>34</v>
      </c>
      <c r="C39" s="5" t="s">
        <v>623</v>
      </c>
      <c r="D39" s="5" t="s">
        <v>622</v>
      </c>
      <c r="E39" s="31" t="n">
        <v>725504.82</v>
      </c>
      <c r="F39" s="12" t="s">
        <v>994</v>
      </c>
      <c r="G39" s="12" t="s">
        <v>539</v>
      </c>
      <c r="H39" s="25" t="s">
        <v>504</v>
      </c>
      <c r="I39" s="5" t="s">
        <v>16</v>
      </c>
    </row>
    <row r="40" customFormat="false" ht="23.85" hidden="false" customHeight="false" outlineLevel="0" collapsed="false">
      <c r="B40" s="12" t="n">
        <v>35</v>
      </c>
      <c r="C40" s="5" t="s">
        <v>626</v>
      </c>
      <c r="D40" s="5" t="s">
        <v>1000</v>
      </c>
      <c r="E40" s="31" t="n">
        <v>78439.57</v>
      </c>
      <c r="F40" s="12" t="s">
        <v>994</v>
      </c>
      <c r="G40" s="12" t="s">
        <v>539</v>
      </c>
      <c r="H40" s="25" t="s">
        <v>504</v>
      </c>
      <c r="I40" s="5" t="s">
        <v>16</v>
      </c>
    </row>
    <row r="41" customFormat="false" ht="23.85" hidden="false" customHeight="false" outlineLevel="0" collapsed="false">
      <c r="B41" s="12" t="n">
        <v>36</v>
      </c>
      <c r="C41" s="5" t="s">
        <v>629</v>
      </c>
      <c r="D41" s="5" t="s">
        <v>628</v>
      </c>
      <c r="E41" s="31" t="n">
        <v>312024.89</v>
      </c>
      <c r="F41" s="12" t="s">
        <v>994</v>
      </c>
      <c r="G41" s="12" t="s">
        <v>539</v>
      </c>
      <c r="H41" s="25" t="s">
        <v>504</v>
      </c>
      <c r="I41" s="5" t="s">
        <v>16</v>
      </c>
    </row>
    <row r="42" customFormat="false" ht="23.85" hidden="false" customHeight="false" outlineLevel="0" collapsed="false">
      <c r="B42" s="12" t="n">
        <v>37</v>
      </c>
      <c r="C42" s="5" t="s">
        <v>632</v>
      </c>
      <c r="D42" s="5" t="s">
        <v>631</v>
      </c>
      <c r="E42" s="31" t="n">
        <v>54627.81</v>
      </c>
      <c r="F42" s="12" t="s">
        <v>994</v>
      </c>
      <c r="G42" s="12" t="s">
        <v>539</v>
      </c>
      <c r="H42" s="25" t="s">
        <v>504</v>
      </c>
      <c r="I42" s="5" t="s">
        <v>16</v>
      </c>
    </row>
    <row r="43" customFormat="false" ht="23.85" hidden="false" customHeight="false" outlineLevel="0" collapsed="false">
      <c r="B43" s="12" t="n">
        <v>38</v>
      </c>
      <c r="C43" s="5" t="s">
        <v>634</v>
      </c>
      <c r="D43" s="5" t="s">
        <v>352</v>
      </c>
      <c r="E43" s="29" t="n">
        <v>33107</v>
      </c>
      <c r="F43" s="12" t="s">
        <v>1001</v>
      </c>
      <c r="G43" s="12" t="s">
        <v>539</v>
      </c>
      <c r="H43" s="25" t="s">
        <v>504</v>
      </c>
      <c r="I43" s="5" t="s">
        <v>16</v>
      </c>
    </row>
    <row r="44" customFormat="false" ht="23.85" hidden="false" customHeight="false" outlineLevel="0" collapsed="false">
      <c r="B44" s="12" t="n">
        <v>39</v>
      </c>
      <c r="C44" s="5" t="s">
        <v>636</v>
      </c>
      <c r="D44" s="5" t="s">
        <v>350</v>
      </c>
      <c r="E44" s="30" t="n">
        <v>52</v>
      </c>
      <c r="F44" s="12" t="s">
        <v>990</v>
      </c>
      <c r="G44" s="12" t="s">
        <v>539</v>
      </c>
      <c r="H44" s="25" t="s">
        <v>504</v>
      </c>
      <c r="I44" s="5" t="s">
        <v>16</v>
      </c>
    </row>
    <row r="45" customFormat="false" ht="15" hidden="false" customHeight="false" outlineLevel="0" collapsed="false">
      <c r="B45" s="12" t="n">
        <v>40</v>
      </c>
      <c r="C45" s="5" t="s">
        <v>637</v>
      </c>
      <c r="D45" s="5" t="s">
        <v>1002</v>
      </c>
      <c r="E45" s="31" t="n">
        <v>21.2264581508442</v>
      </c>
      <c r="F45" s="12" t="s">
        <v>1003</v>
      </c>
      <c r="G45" s="12" t="s">
        <v>539</v>
      </c>
      <c r="H45" s="25" t="s">
        <v>504</v>
      </c>
      <c r="I45" s="5" t="s">
        <v>357</v>
      </c>
    </row>
    <row r="46" customFormat="false" ht="15" hidden="false" customHeight="false" outlineLevel="0" collapsed="false">
      <c r="B46" s="12" t="n">
        <v>41</v>
      </c>
      <c r="C46" s="5" t="s">
        <v>639</v>
      </c>
      <c r="D46" s="5" t="s">
        <v>1004</v>
      </c>
      <c r="E46" s="31" t="n">
        <v>32.3012368985411</v>
      </c>
      <c r="F46" s="12" t="s">
        <v>1003</v>
      </c>
      <c r="G46" s="12" t="s">
        <v>539</v>
      </c>
      <c r="H46" s="25" t="s">
        <v>504</v>
      </c>
      <c r="I46" s="5" t="s">
        <v>357</v>
      </c>
    </row>
    <row r="47" customFormat="false" ht="15" hidden="false" customHeight="false" outlineLevel="0" collapsed="false">
      <c r="B47" s="12" t="n">
        <v>42</v>
      </c>
      <c r="C47" s="5" t="s">
        <v>641</v>
      </c>
      <c r="D47" s="5" t="s">
        <v>382</v>
      </c>
      <c r="E47" s="34" t="n">
        <v>1.52174407378729</v>
      </c>
      <c r="F47" s="12" t="s">
        <v>1005</v>
      </c>
      <c r="G47" s="12" t="s">
        <v>539</v>
      </c>
      <c r="H47" s="25" t="s">
        <v>504</v>
      </c>
      <c r="I47" s="5" t="s">
        <v>357</v>
      </c>
    </row>
    <row r="48" customFormat="false" ht="15" hidden="false" customHeight="false" outlineLevel="0" collapsed="false">
      <c r="B48" s="12" t="n">
        <v>43</v>
      </c>
      <c r="C48" s="5" t="s">
        <v>650</v>
      </c>
      <c r="D48" s="5" t="s">
        <v>649</v>
      </c>
      <c r="E48" s="31" t="n">
        <v>83.7094572144864</v>
      </c>
      <c r="F48" s="12" t="s">
        <v>1003</v>
      </c>
      <c r="G48" s="12" t="s">
        <v>539</v>
      </c>
      <c r="H48" s="25" t="s">
        <v>504</v>
      </c>
      <c r="I48" s="5" t="s">
        <v>357</v>
      </c>
    </row>
    <row r="49" customFormat="false" ht="15" hidden="false" customHeight="false" outlineLevel="0" collapsed="false">
      <c r="B49" s="12" t="n">
        <v>44</v>
      </c>
      <c r="C49" s="5" t="s">
        <v>653</v>
      </c>
      <c r="D49" s="5" t="s">
        <v>652</v>
      </c>
      <c r="E49" s="31" t="n">
        <v>27.1250055879421</v>
      </c>
      <c r="F49" s="12" t="s">
        <v>1003</v>
      </c>
      <c r="G49" s="12" t="s">
        <v>539</v>
      </c>
      <c r="H49" s="25" t="s">
        <v>504</v>
      </c>
      <c r="I49" s="5" t="s">
        <v>357</v>
      </c>
    </row>
    <row r="50" customFormat="false" ht="15" hidden="false" customHeight="false" outlineLevel="0" collapsed="false">
      <c r="B50" s="12" t="n">
        <v>45</v>
      </c>
      <c r="C50" s="5" t="s">
        <v>655</v>
      </c>
      <c r="D50" s="5" t="s">
        <v>654</v>
      </c>
      <c r="E50" s="31" t="n">
        <v>11499.4564315353</v>
      </c>
      <c r="F50" s="12" t="s">
        <v>994</v>
      </c>
      <c r="G50" s="12" t="s">
        <v>539</v>
      </c>
      <c r="H50" s="25" t="s">
        <v>504</v>
      </c>
      <c r="I50" s="5" t="s">
        <v>357</v>
      </c>
    </row>
    <row r="51" customFormat="false" ht="15" hidden="false" customHeight="false" outlineLevel="0" collapsed="false">
      <c r="B51" s="12" t="n">
        <v>46</v>
      </c>
      <c r="C51" s="5" t="s">
        <v>657</v>
      </c>
      <c r="D51" s="5" t="s">
        <v>402</v>
      </c>
      <c r="E51" s="31" t="n">
        <v>7773.20099585062</v>
      </c>
      <c r="F51" s="12" t="s">
        <v>994</v>
      </c>
      <c r="G51" s="12" t="s">
        <v>539</v>
      </c>
      <c r="H51" s="25" t="s">
        <v>504</v>
      </c>
      <c r="I51" s="5" t="s">
        <v>357</v>
      </c>
    </row>
    <row r="52" customFormat="false" ht="15" hidden="false" customHeight="false" outlineLevel="0" collapsed="false">
      <c r="B52" s="12" t="n">
        <v>47</v>
      </c>
      <c r="C52" s="5" t="s">
        <v>658</v>
      </c>
      <c r="D52" s="5" t="s">
        <v>399</v>
      </c>
      <c r="E52" s="29" t="n">
        <v>137.373443983403</v>
      </c>
      <c r="F52" s="12" t="s">
        <v>1001</v>
      </c>
      <c r="G52" s="12" t="s">
        <v>539</v>
      </c>
      <c r="H52" s="25" t="s">
        <v>504</v>
      </c>
      <c r="I52" s="5" t="s">
        <v>357</v>
      </c>
    </row>
    <row r="53" customFormat="false" ht="15" hidden="false" customHeight="false" outlineLevel="0" collapsed="false">
      <c r="B53" s="12" t="n">
        <v>48</v>
      </c>
      <c r="C53" s="5" t="s">
        <v>659</v>
      </c>
      <c r="D53" s="5" t="s">
        <v>393</v>
      </c>
      <c r="E53" s="33" t="n">
        <v>0.253572999481484</v>
      </c>
      <c r="F53" s="12" t="s">
        <v>999</v>
      </c>
      <c r="G53" s="12" t="s">
        <v>539</v>
      </c>
      <c r="H53" s="25" t="s">
        <v>504</v>
      </c>
      <c r="I53" s="5" t="s">
        <v>357</v>
      </c>
    </row>
    <row r="54" customFormat="false" ht="15" hidden="false" customHeight="false" outlineLevel="0" collapsed="false">
      <c r="B54" s="12" t="n">
        <v>49</v>
      </c>
      <c r="C54" s="5" t="s">
        <v>661</v>
      </c>
      <c r="D54" s="5" t="s">
        <v>394</v>
      </c>
      <c r="E54" s="33" t="n">
        <v>0.261785716734221</v>
      </c>
      <c r="F54" s="12" t="s">
        <v>999</v>
      </c>
      <c r="G54" s="12" t="s">
        <v>539</v>
      </c>
      <c r="H54" s="25" t="s">
        <v>504</v>
      </c>
      <c r="I54" s="5" t="s">
        <v>357</v>
      </c>
    </row>
    <row r="55" customFormat="false" ht="23.85" hidden="false" customHeight="false" outlineLevel="0" collapsed="false">
      <c r="B55" s="12" t="n">
        <v>50</v>
      </c>
      <c r="C55" s="5" t="s">
        <v>663</v>
      </c>
      <c r="D55" s="5" t="s">
        <v>662</v>
      </c>
      <c r="E55" s="30" t="n">
        <v>32</v>
      </c>
      <c r="F55" s="12" t="s">
        <v>990</v>
      </c>
      <c r="G55" s="12" t="s">
        <v>1006</v>
      </c>
      <c r="H55" s="25" t="s">
        <v>504</v>
      </c>
      <c r="I55" s="5" t="s">
        <v>16</v>
      </c>
    </row>
    <row r="56" customFormat="false" ht="23.85" hidden="false" customHeight="false" outlineLevel="0" collapsed="false">
      <c r="B56" s="12" t="n">
        <v>51</v>
      </c>
      <c r="C56" s="5" t="s">
        <v>666</v>
      </c>
      <c r="D56" s="5" t="s">
        <v>665</v>
      </c>
      <c r="E56" s="30" t="n">
        <v>25</v>
      </c>
      <c r="F56" s="12" t="s">
        <v>990</v>
      </c>
      <c r="G56" s="12" t="s">
        <v>1007</v>
      </c>
      <c r="H56" s="25" t="s">
        <v>504</v>
      </c>
      <c r="I56" s="5" t="s">
        <v>16</v>
      </c>
    </row>
    <row r="57" customFormat="false" ht="15" hidden="false" customHeight="false" outlineLevel="0" collapsed="false">
      <c r="B57" s="12" t="n">
        <v>52</v>
      </c>
      <c r="C57" s="5" t="s">
        <v>670</v>
      </c>
      <c r="D57" s="5" t="s">
        <v>669</v>
      </c>
      <c r="E57" s="30" t="n">
        <v>125</v>
      </c>
      <c r="F57" s="12" t="s">
        <v>990</v>
      </c>
      <c r="G57" s="12" t="s">
        <v>997</v>
      </c>
      <c r="H57" s="25" t="s">
        <v>504</v>
      </c>
      <c r="I57" s="5" t="s">
        <v>527</v>
      </c>
    </row>
    <row r="58" customFormat="false" ht="15" hidden="false" customHeight="false" outlineLevel="0" collapsed="false">
      <c r="B58" s="12" t="n">
        <v>53</v>
      </c>
      <c r="C58" s="5" t="s">
        <v>1008</v>
      </c>
      <c r="D58" s="5" t="s">
        <v>901</v>
      </c>
      <c r="E58" s="30" t="n">
        <v>7</v>
      </c>
      <c r="F58" s="12" t="s">
        <v>990</v>
      </c>
      <c r="G58" s="12" t="s">
        <v>997</v>
      </c>
      <c r="H58" s="25" t="s">
        <v>504</v>
      </c>
      <c r="I58" s="5" t="s">
        <v>527</v>
      </c>
    </row>
    <row r="59" customFormat="false" ht="15" hidden="false" customHeight="false" outlineLevel="0" collapsed="false">
      <c r="B59" s="12" t="n">
        <v>54</v>
      </c>
      <c r="C59" s="5" t="s">
        <v>674</v>
      </c>
      <c r="D59" s="5" t="s">
        <v>1009</v>
      </c>
      <c r="E59" s="30" t="n">
        <v>100</v>
      </c>
      <c r="F59" s="12" t="s">
        <v>990</v>
      </c>
      <c r="G59" s="12" t="s">
        <v>997</v>
      </c>
      <c r="H59" s="27" t="s">
        <v>521</v>
      </c>
      <c r="I59" s="5" t="s">
        <v>1010</v>
      </c>
    </row>
    <row r="60" customFormat="false" ht="15" hidden="false" customHeight="false" outlineLevel="0" collapsed="false">
      <c r="B60" s="12" t="n">
        <v>55</v>
      </c>
      <c r="C60" s="5" t="s">
        <v>677</v>
      </c>
      <c r="D60" s="5" t="s">
        <v>1011</v>
      </c>
      <c r="E60" s="30" t="n">
        <v>180</v>
      </c>
      <c r="F60" s="12" t="s">
        <v>990</v>
      </c>
      <c r="G60" s="12" t="s">
        <v>997</v>
      </c>
      <c r="H60" s="25" t="s">
        <v>504</v>
      </c>
      <c r="I60" s="5" t="s">
        <v>1012</v>
      </c>
    </row>
    <row r="61" customFormat="false" ht="15" hidden="false" customHeight="false" outlineLevel="0" collapsed="false">
      <c r="B61" s="12" t="n">
        <v>56</v>
      </c>
      <c r="C61" s="5" t="s">
        <v>1013</v>
      </c>
      <c r="D61" s="5" t="s">
        <v>358</v>
      </c>
      <c r="E61" s="33" t="n">
        <v>0.0537197571510557</v>
      </c>
      <c r="F61" s="12" t="s">
        <v>999</v>
      </c>
      <c r="G61" s="12" t="s">
        <v>344</v>
      </c>
      <c r="H61" s="25" t="s">
        <v>504</v>
      </c>
      <c r="I61" s="5" t="s">
        <v>357</v>
      </c>
    </row>
    <row r="62" customFormat="false" ht="15" hidden="false" customHeight="false" outlineLevel="0" collapsed="false">
      <c r="B62" s="12" t="n">
        <v>57</v>
      </c>
      <c r="C62" s="5" t="s">
        <v>1014</v>
      </c>
      <c r="D62" s="5" t="s">
        <v>1015</v>
      </c>
      <c r="E62" s="33" t="n">
        <v>0.244328993868366</v>
      </c>
      <c r="F62" s="12" t="s">
        <v>999</v>
      </c>
      <c r="G62" s="12" t="s">
        <v>344</v>
      </c>
      <c r="H62" s="25" t="s">
        <v>504</v>
      </c>
      <c r="I62" s="5" t="s">
        <v>357</v>
      </c>
    </row>
    <row r="63" customFormat="false" ht="23.85" hidden="false" customHeight="false" outlineLevel="0" collapsed="false">
      <c r="B63" s="12" t="n">
        <v>58</v>
      </c>
      <c r="C63" s="5" t="s">
        <v>1016</v>
      </c>
      <c r="D63" s="5" t="s">
        <v>1017</v>
      </c>
      <c r="E63" s="30" t="n">
        <v>30</v>
      </c>
      <c r="F63" s="12" t="s">
        <v>990</v>
      </c>
      <c r="G63" s="12" t="s">
        <v>66</v>
      </c>
      <c r="H63" s="25" t="s">
        <v>504</v>
      </c>
      <c r="I63" s="5" t="s">
        <v>16</v>
      </c>
    </row>
  </sheetData>
  <mergeCells count="2">
    <mergeCell ref="B2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48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2"/>
  </cols>
  <sheetData>
    <row r="2" customFormat="false" ht="27.75" hidden="false" customHeight="true" outlineLevel="0" collapsed="false">
      <c r="B2" s="1" t="s">
        <v>1018</v>
      </c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B3" s="2" t="s">
        <v>1019</v>
      </c>
      <c r="C3" s="2"/>
      <c r="D3" s="2"/>
      <c r="E3" s="2"/>
      <c r="F3" s="2"/>
      <c r="G3" s="2"/>
      <c r="H3" s="2"/>
      <c r="I3" s="2"/>
      <c r="J3" s="2"/>
    </row>
    <row r="5" customFormat="false" ht="15" hidden="false" customHeight="false" outlineLevel="0" collapsed="false">
      <c r="B5" s="11" t="s">
        <v>498</v>
      </c>
      <c r="C5" s="11" t="s">
        <v>1020</v>
      </c>
      <c r="D5" s="11" t="s">
        <v>1021</v>
      </c>
      <c r="E5" s="11" t="s">
        <v>1022</v>
      </c>
      <c r="F5" s="11" t="s">
        <v>1023</v>
      </c>
      <c r="G5" s="11" t="s">
        <v>411</v>
      </c>
      <c r="H5" s="11" t="s">
        <v>1024</v>
      </c>
    </row>
    <row r="6" customFormat="false" ht="15" hidden="false" customHeight="false" outlineLevel="0" collapsed="false">
      <c r="B6" s="12" t="n">
        <v>1</v>
      </c>
      <c r="C6" s="5" t="s">
        <v>1025</v>
      </c>
      <c r="D6" s="18" t="n">
        <v>2771369</v>
      </c>
      <c r="E6" s="18" t="n">
        <v>2771369</v>
      </c>
      <c r="F6" s="13" t="n">
        <f aca="false">D6-E6</f>
        <v>0</v>
      </c>
      <c r="G6" s="12" t="str">
        <f aca="false">IF(ABS(F6)&lt;=1,"TIES",IF(ABS(F6)&lt;=ABS(E6)*0.05,"WITHIN","OFF"))</f>
        <v>TIES</v>
      </c>
      <c r="H6" s="37" t="s">
        <v>1026</v>
      </c>
    </row>
    <row r="7" customFormat="false" ht="15" hidden="false" customHeight="false" outlineLevel="0" collapsed="false">
      <c r="B7" s="12" t="n">
        <v>2</v>
      </c>
      <c r="C7" s="5" t="s">
        <v>1027</v>
      </c>
      <c r="D7" s="18" t="n">
        <v>1873341.44</v>
      </c>
      <c r="E7" s="18" t="n">
        <v>1873341.44</v>
      </c>
      <c r="F7" s="13" t="n">
        <f aca="false">D7-E7</f>
        <v>0</v>
      </c>
      <c r="G7" s="12" t="str">
        <f aca="false">IF(ABS(F7)&lt;=1,"TIES",IF(ABS(F7)&lt;=ABS(E7)*0.05,"WITHIN","OFF"))</f>
        <v>TIES</v>
      </c>
      <c r="H7" s="37" t="s">
        <v>1028</v>
      </c>
    </row>
    <row r="8" customFormat="false" ht="15" hidden="false" customHeight="false" outlineLevel="0" collapsed="false">
      <c r="B8" s="12" t="n">
        <v>3</v>
      </c>
      <c r="C8" s="5" t="s">
        <v>1029</v>
      </c>
      <c r="D8" s="18" t="n">
        <v>898027.56</v>
      </c>
      <c r="E8" s="18" t="n">
        <v>898027.56</v>
      </c>
      <c r="F8" s="13" t="n">
        <f aca="false">D8-E8</f>
        <v>0</v>
      </c>
      <c r="G8" s="12" t="str">
        <f aca="false">IF(ABS(F8)&lt;=1,"TIES",IF(ABS(F8)&lt;=ABS(E8)*0.05,"WITHIN","OFF"))</f>
        <v>TIES</v>
      </c>
      <c r="H8" s="37" t="s">
        <v>1030</v>
      </c>
    </row>
    <row r="9" customFormat="false" ht="15" hidden="false" customHeight="false" outlineLevel="0" collapsed="false">
      <c r="B9" s="12" t="n">
        <v>4</v>
      </c>
      <c r="C9" s="5" t="s">
        <v>1031</v>
      </c>
      <c r="D9" s="18" t="n">
        <v>1873341.44</v>
      </c>
      <c r="E9" s="18" t="n">
        <v>1873341.44</v>
      </c>
      <c r="F9" s="13" t="n">
        <f aca="false">D9-E9</f>
        <v>0</v>
      </c>
      <c r="G9" s="12" t="str">
        <f aca="false">IF(ABS(F9)&lt;=1,"TIES",IF(ABS(F9)&lt;=ABS(E9)*0.05,"WITHIN","OFF"))</f>
        <v>TIES</v>
      </c>
      <c r="H9" s="37" t="s">
        <v>1032</v>
      </c>
    </row>
    <row r="10" customFormat="false" ht="15" hidden="false" customHeight="false" outlineLevel="0" collapsed="false">
      <c r="B10" s="12" t="n">
        <v>5</v>
      </c>
      <c r="C10" s="5" t="s">
        <v>1033</v>
      </c>
      <c r="D10" s="18" t="n">
        <v>2771369</v>
      </c>
      <c r="E10" s="18" t="n">
        <v>2771369</v>
      </c>
      <c r="F10" s="13" t="n">
        <f aca="false">D10-E10</f>
        <v>0</v>
      </c>
      <c r="G10" s="12" t="str">
        <f aca="false">IF(ABS(F10)&lt;=1,"TIES",IF(ABS(F10)&lt;=ABS(E10)*0.05,"WITHIN","OFF"))</f>
        <v>TIES</v>
      </c>
      <c r="H10" s="37" t="s">
        <v>1034</v>
      </c>
    </row>
    <row r="11" customFormat="false" ht="15" hidden="false" customHeight="false" outlineLevel="0" collapsed="false">
      <c r="B11" s="12" t="n">
        <v>6</v>
      </c>
      <c r="C11" s="5" t="s">
        <v>1035</v>
      </c>
      <c r="D11" s="18" t="n">
        <v>33107</v>
      </c>
      <c r="E11" s="18" t="n">
        <v>33163</v>
      </c>
      <c r="F11" s="13" t="n">
        <f aca="false">D11-E11</f>
        <v>-56</v>
      </c>
      <c r="G11" s="12" t="str">
        <f aca="false">IF(ABS(F11)&lt;=1,"TIES",IF(ABS(F11)&lt;=ABS(E11)*0.05,"WITHIN","OFF"))</f>
        <v>WITHIN</v>
      </c>
      <c r="H11" s="37" t="s">
        <v>1036</v>
      </c>
    </row>
    <row r="12" customFormat="false" ht="15" hidden="false" customHeight="false" outlineLevel="0" collapsed="false">
      <c r="B12" s="12" t="n">
        <v>7</v>
      </c>
      <c r="C12" s="5" t="s">
        <v>1037</v>
      </c>
      <c r="D12" s="18" t="n">
        <v>702744.35</v>
      </c>
      <c r="E12" s="18" t="n">
        <v>712739.5</v>
      </c>
      <c r="F12" s="13" t="n">
        <f aca="false">D12-E12</f>
        <v>-9995.14999999991</v>
      </c>
      <c r="G12" s="12" t="str">
        <f aca="false">IF(ABS(F12)&lt;=1,"TIES",IF(ABS(F12)&lt;=ABS(E12)*0.05,"WITHIN","OFF"))</f>
        <v>WITHIN</v>
      </c>
      <c r="H12" s="37" t="s">
        <v>1038</v>
      </c>
    </row>
    <row r="13" customFormat="false" ht="15" hidden="false" customHeight="false" outlineLevel="0" collapsed="false">
      <c r="B13" s="12" t="n">
        <v>8</v>
      </c>
      <c r="C13" s="5" t="s">
        <v>1039</v>
      </c>
      <c r="D13" s="18" t="n">
        <v>682284.56</v>
      </c>
      <c r="E13" s="18" t="n">
        <v>682284.56</v>
      </c>
      <c r="F13" s="13" t="n">
        <f aca="false">D13-E13</f>
        <v>0</v>
      </c>
      <c r="G13" s="12" t="str">
        <f aca="false">IF(ABS(F13)&lt;=1,"TIES",IF(ABS(F13)&lt;=ABS(E13)*0.05,"WITHIN","OFF"))</f>
        <v>TIES</v>
      </c>
      <c r="H13" s="37" t="s">
        <v>1040</v>
      </c>
    </row>
    <row r="14" customFormat="false" ht="15" hidden="false" customHeight="false" outlineLevel="0" collapsed="false">
      <c r="B14" s="12" t="n">
        <v>9</v>
      </c>
      <c r="C14" s="5" t="s">
        <v>1041</v>
      </c>
      <c r="D14" s="38" t="n">
        <v>25</v>
      </c>
      <c r="E14" s="38" t="n">
        <v>25</v>
      </c>
      <c r="F14" s="13" t="n">
        <f aca="false">D14-E14</f>
        <v>0</v>
      </c>
      <c r="G14" s="12" t="str">
        <f aca="false">IF(ABS(F14)&lt;=1,"TIES",IF(ABS(F14)&lt;=ABS(E14)*0.05,"WITHIN","OFF"))</f>
        <v>TIES</v>
      </c>
      <c r="H14" s="37" t="s">
        <v>1042</v>
      </c>
    </row>
    <row r="15" customFormat="false" ht="15" hidden="false" customHeight="false" outlineLevel="0" collapsed="false">
      <c r="B15" s="12" t="n">
        <v>10</v>
      </c>
      <c r="C15" s="5" t="s">
        <v>1043</v>
      </c>
      <c r="D15" s="18" t="n">
        <v>301869</v>
      </c>
      <c r="E15" s="18" t="n">
        <v>301869</v>
      </c>
      <c r="F15" s="13" t="n">
        <f aca="false">D15-E15</f>
        <v>0</v>
      </c>
      <c r="G15" s="12" t="str">
        <f aca="false">IF(ABS(F15)&lt;=1,"TIES",IF(ABS(F15)&lt;=ABS(E15)*0.05,"WITHIN","OFF"))</f>
        <v>TIES</v>
      </c>
      <c r="H15" s="37" t="s">
        <v>1044</v>
      </c>
    </row>
    <row r="16" customFormat="false" ht="15" hidden="false" customHeight="false" outlineLevel="0" collapsed="false">
      <c r="B16" s="12" t="n">
        <v>11</v>
      </c>
      <c r="C16" s="5" t="s">
        <v>1045</v>
      </c>
      <c r="D16" s="18" t="n">
        <v>138568.45</v>
      </c>
      <c r="E16" s="18" t="n">
        <v>138568.45</v>
      </c>
      <c r="F16" s="13" t="n">
        <f aca="false">D16-E16</f>
        <v>0</v>
      </c>
      <c r="G16" s="12" t="str">
        <f aca="false">IF(ABS(F16)&lt;=1,"TIES",IF(ABS(F16)&lt;=ABS(E16)*0.05,"WITHIN","OFF"))</f>
        <v>TIES</v>
      </c>
      <c r="H16" s="37" t="s">
        <v>1046</v>
      </c>
    </row>
    <row r="17" customFormat="false" ht="15" hidden="false" customHeight="false" outlineLevel="0" collapsed="false">
      <c r="B17" s="12" t="n">
        <v>12</v>
      </c>
      <c r="C17" s="5" t="s">
        <v>1047</v>
      </c>
      <c r="D17" s="18" t="n">
        <v>138568.45</v>
      </c>
      <c r="E17" s="18" t="n">
        <v>138568.45</v>
      </c>
      <c r="F17" s="13" t="n">
        <f aca="false">D17-E17</f>
        <v>0</v>
      </c>
      <c r="G17" s="12" t="str">
        <f aca="false">IF(ABS(F17)&lt;=1,"TIES",IF(ABS(F17)&lt;=ABS(E17)*0.05,"WITHIN","OFF"))</f>
        <v>TIES</v>
      </c>
      <c r="H17" s="37" t="s">
        <v>1046</v>
      </c>
    </row>
    <row r="18" customFormat="false" ht="15" hidden="false" customHeight="false" outlineLevel="0" collapsed="false">
      <c r="B18" s="12" t="n">
        <v>13</v>
      </c>
      <c r="C18" s="5" t="s">
        <v>1048</v>
      </c>
      <c r="D18" s="38" t="n">
        <v>52</v>
      </c>
      <c r="E18" s="38" t="n">
        <v>52</v>
      </c>
      <c r="F18" s="13" t="n">
        <f aca="false">D18-E18</f>
        <v>0</v>
      </c>
      <c r="G18" s="12" t="str">
        <f aca="false">IF(ABS(F18)&lt;=1,"TIES",IF(ABS(F18)&lt;=ABS(E18)*0.05,"WITHIN","OFF"))</f>
        <v>TIES</v>
      </c>
      <c r="H18" s="37" t="s">
        <v>1049</v>
      </c>
    </row>
    <row r="19" customFormat="false" ht="15" hidden="false" customHeight="false" outlineLevel="0" collapsed="false">
      <c r="B19" s="12" t="n">
        <v>14</v>
      </c>
      <c r="C19" s="5" t="s">
        <v>1050</v>
      </c>
      <c r="D19" s="38" t="n">
        <v>30</v>
      </c>
      <c r="E19" s="38" t="n">
        <v>30</v>
      </c>
      <c r="F19" s="13" t="n">
        <f aca="false">D19-E19</f>
        <v>0</v>
      </c>
      <c r="G19" s="12" t="str">
        <f aca="false">IF(ABS(F19)&lt;=1,"TIES",IF(ABS(F19)&lt;=ABS(E19)*0.05,"WITHIN","OFF"))</f>
        <v>TIES</v>
      </c>
      <c r="H19" s="37" t="s">
        <v>1051</v>
      </c>
    </row>
    <row r="22" customFormat="false" ht="15" hidden="false" customHeight="false" outlineLevel="0" collapsed="false">
      <c r="B22" s="39" t="s">
        <v>53</v>
      </c>
      <c r="C22" s="40"/>
      <c r="D22" s="40"/>
      <c r="E22" s="40"/>
      <c r="F22" s="40"/>
      <c r="G22" s="40"/>
      <c r="H22" s="40"/>
    </row>
    <row r="23" customFormat="false" ht="15" hidden="false" customHeight="true" outlineLevel="0" collapsed="false">
      <c r="B23" s="6" t="s">
        <v>1052</v>
      </c>
      <c r="C23" s="6"/>
      <c r="D23" s="6"/>
      <c r="E23" s="6"/>
      <c r="F23" s="6"/>
      <c r="G23" s="6"/>
      <c r="H23" s="6"/>
    </row>
    <row r="24" customFormat="false" ht="15" hidden="false" customHeight="true" outlineLevel="0" collapsed="false">
      <c r="B24" s="6" t="s">
        <v>54</v>
      </c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B25" s="6" t="s">
        <v>1053</v>
      </c>
      <c r="C25" s="6"/>
      <c r="D25" s="6"/>
      <c r="E25" s="6"/>
      <c r="F25" s="6"/>
      <c r="G25" s="6"/>
      <c r="H25" s="6"/>
    </row>
    <row r="26" customFormat="false" ht="15" hidden="false" customHeight="true" outlineLevel="0" collapsed="false">
      <c r="B26" s="6" t="s">
        <v>1054</v>
      </c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B27" s="6" t="s">
        <v>1055</v>
      </c>
      <c r="C27" s="6"/>
      <c r="D27" s="6"/>
      <c r="E27" s="6"/>
      <c r="F27" s="6"/>
      <c r="G27" s="6"/>
      <c r="H27" s="6"/>
    </row>
    <row r="28" customFormat="false" ht="15" hidden="false" customHeight="true" outlineLevel="0" collapsed="false">
      <c r="B28" s="6" t="s">
        <v>1056</v>
      </c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B29" s="6" t="s">
        <v>1057</v>
      </c>
      <c r="C29" s="6"/>
      <c r="D29" s="6"/>
      <c r="E29" s="6"/>
      <c r="F29" s="6"/>
      <c r="G29" s="6"/>
      <c r="H29" s="6"/>
    </row>
    <row r="30" customFormat="false" ht="15" hidden="false" customHeight="true" outlineLevel="0" collapsed="false">
      <c r="B30" s="6" t="s">
        <v>1058</v>
      </c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B31" s="6" t="s">
        <v>1059</v>
      </c>
      <c r="C31" s="6"/>
      <c r="D31" s="6"/>
      <c r="E31" s="6"/>
      <c r="F31" s="6"/>
      <c r="G31" s="6"/>
      <c r="H31" s="6"/>
    </row>
    <row r="32" customFormat="false" ht="15" hidden="false" customHeight="true" outlineLevel="0" collapsed="false">
      <c r="B32" s="6" t="s">
        <v>1060</v>
      </c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B33" s="6" t="s">
        <v>63</v>
      </c>
      <c r="C33" s="6"/>
      <c r="D33" s="6"/>
      <c r="E33" s="6"/>
      <c r="F33" s="6"/>
      <c r="G33" s="6"/>
      <c r="H33" s="6"/>
    </row>
    <row r="34" customFormat="false" ht="15" hidden="false" customHeight="true" outlineLevel="0" collapsed="false">
      <c r="B34" s="6" t="s">
        <v>1061</v>
      </c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B35" s="6" t="s">
        <v>1062</v>
      </c>
      <c r="C35" s="6"/>
      <c r="D35" s="6"/>
      <c r="E35" s="6"/>
      <c r="F35" s="6"/>
      <c r="G35" s="6"/>
      <c r="H35" s="6"/>
    </row>
    <row r="36" customFormat="false" ht="15" hidden="false" customHeight="true" outlineLevel="0" collapsed="false">
      <c r="B36" s="6" t="s">
        <v>1063</v>
      </c>
      <c r="C36" s="6"/>
      <c r="D36" s="6"/>
      <c r="E36" s="6"/>
      <c r="F36" s="6"/>
      <c r="G36" s="6"/>
      <c r="H36" s="6"/>
    </row>
  </sheetData>
  <mergeCells count="16">
    <mergeCell ref="B2:J2"/>
    <mergeCell ref="B3:J3"/>
    <mergeCell ref="B23:H23"/>
    <mergeCell ref="B24:H24"/>
    <mergeCell ref="B25:H25"/>
    <mergeCell ref="B26:H26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2026-04-14T14:55:08Z</dcterms:created>
  <dc:creator>openpyxl</dc:creator>
  <dc:description/>
  <dc:language>en-US</dc:language>
  <cp:lastModifiedBy/>
  <dcterms:modified xsi:type="dcterms:W3CDTF">2026-04-14T14:55:09Z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