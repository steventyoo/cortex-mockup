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<sst xmlns="http://schemas.openxmlformats.org/spreadsheetml/2006/main" count="167" uniqueCount="129">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</sst>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43" zoomScale="120" zoomScaleNormal="120" zoomScaleSheetLayoutView="100" workbookViewId="0">
      <selection activeCell="H69" sqref="H69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15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42447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42460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4" t="s">
        <v>29</v>
      </c>
      <c r="I8" s="75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2" t="s">
        <v>32</v>
      </c>
      <c r="F9" s="73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2208400</v>
      </c>
      <c r="F13" s="35">
        <f>SUM(F14:F54)</f>
        <v>0</v>
      </c>
      <c r="G13" s="35"/>
      <c r="H13" s="35">
        <f>SUM(H14:H54)</f>
        <v>2208400</v>
      </c>
      <c r="I13" s="12">
        <f>H13/D13</f>
        <v>0.89427009516096378</v>
      </c>
      <c r="J13" s="42">
        <f>SUM(J14:J54)</f>
        <v>261100</v>
      </c>
      <c r="K13" s="26">
        <f>SUM(K14:K54)</f>
        <v>110420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0</v>
      </c>
      <c r="F36" s="38">
        <f t="shared" si="0"/>
        <v>0</v>
      </c>
      <c r="G36" s="40"/>
      <c r="H36" s="39">
        <v>0</v>
      </c>
      <c r="I36" s="16">
        <f t="shared" si="1"/>
        <v>0</v>
      </c>
      <c r="J36" s="45">
        <f t="shared" si="2"/>
        <v>1200</v>
      </c>
      <c r="K36" s="27">
        <f t="shared" si="7"/>
        <v>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3800</v>
      </c>
      <c r="F39" s="38">
        <f t="shared" si="8"/>
        <v>0</v>
      </c>
      <c r="G39" s="40"/>
      <c r="H39" s="39">
        <v>3800</v>
      </c>
      <c r="I39" s="16">
        <f t="shared" si="9"/>
        <v>0.5</v>
      </c>
      <c r="J39" s="45">
        <f t="shared" si="10"/>
        <v>3800</v>
      </c>
      <c r="K39" s="27">
        <f t="shared" si="11"/>
        <v>190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4000</v>
      </c>
      <c r="F42" s="38">
        <f t="shared" si="8"/>
        <v>0</v>
      </c>
      <c r="G42" s="40"/>
      <c r="H42" s="39">
        <v>4000</v>
      </c>
      <c r="I42" s="16">
        <f t="shared" si="9"/>
        <v>0.5</v>
      </c>
      <c r="J42" s="45">
        <f t="shared" si="10"/>
        <v>4000</v>
      </c>
      <c r="K42" s="27">
        <f t="shared" si="11"/>
        <v>200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4000</v>
      </c>
      <c r="F45" s="38">
        <f t="shared" si="0"/>
        <v>0</v>
      </c>
      <c r="G45" s="40"/>
      <c r="H45" s="39">
        <v>4000</v>
      </c>
      <c r="I45" s="16">
        <f t="shared" si="1"/>
        <v>0.5</v>
      </c>
      <c r="J45" s="45">
        <f t="shared" si="2"/>
        <v>4000</v>
      </c>
      <c r="K45" s="27">
        <f t="shared" si="7"/>
        <v>200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3900</v>
      </c>
      <c r="F48" s="38">
        <f t="shared" si="0"/>
        <v>0</v>
      </c>
      <c r="G48" s="40"/>
      <c r="H48" s="39">
        <v>3900</v>
      </c>
      <c r="I48" s="16">
        <f t="shared" si="1"/>
        <v>0.5</v>
      </c>
      <c r="J48" s="45">
        <f t="shared" si="2"/>
        <v>3900</v>
      </c>
      <c r="K48" s="27">
        <f t="shared" si="7"/>
        <v>195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0</v>
      </c>
      <c r="G49" s="40"/>
      <c r="H49" s="39">
        <v>0</v>
      </c>
      <c r="I49" s="16">
        <f t="shared" ref="I49:I52" si="13">H49/D49</f>
        <v>0</v>
      </c>
      <c r="J49" s="45">
        <f t="shared" ref="J49:J52" si="14">D49-H49</f>
        <v>9400</v>
      </c>
      <c r="K49" s="27">
        <f t="shared" si="7"/>
        <v>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0</v>
      </c>
      <c r="F50" s="38">
        <f t="shared" si="12"/>
        <v>0</v>
      </c>
      <c r="G50" s="40"/>
      <c r="H50" s="39">
        <v>0</v>
      </c>
      <c r="I50" s="16">
        <f t="shared" si="13"/>
        <v>0</v>
      </c>
      <c r="J50" s="45">
        <f t="shared" si="14"/>
        <v>57200</v>
      </c>
      <c r="K50" s="27">
        <f t="shared" si="7"/>
        <v>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0</v>
      </c>
      <c r="F51" s="38">
        <f t="shared" si="12"/>
        <v>0</v>
      </c>
      <c r="G51" s="40"/>
      <c r="H51" s="39">
        <v>0</v>
      </c>
      <c r="I51" s="16">
        <f t="shared" si="13"/>
        <v>0</v>
      </c>
      <c r="J51" s="45">
        <f t="shared" si="14"/>
        <v>59600</v>
      </c>
      <c r="K51" s="27">
        <f t="shared" si="7"/>
        <v>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0</v>
      </c>
      <c r="F52" s="38">
        <f t="shared" si="12"/>
        <v>0</v>
      </c>
      <c r="G52" s="40"/>
      <c r="H52" s="39">
        <v>0</v>
      </c>
      <c r="I52" s="16">
        <f t="shared" si="13"/>
        <v>0</v>
      </c>
      <c r="J52" s="45">
        <f t="shared" si="14"/>
        <v>59600</v>
      </c>
      <c r="K52" s="27">
        <f t="shared" si="7"/>
        <v>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0</v>
      </c>
      <c r="F53" s="38">
        <f>H53-E53</f>
        <v>0</v>
      </c>
      <c r="G53" s="40"/>
      <c r="H53" s="39">
        <v>0</v>
      </c>
      <c r="I53" s="16">
        <f>H53/D53</f>
        <v>0</v>
      </c>
      <c r="J53" s="45">
        <f t="shared" ref="J53:J73" si="15">D53-H53</f>
        <v>58400</v>
      </c>
      <c r="K53" s="27">
        <f t="shared" si="7"/>
        <v>0</v>
      </c>
    </row>
    <row r="54" spans="1:11" ht="13.5" x14ac:dyDescent="0.25">
      <c r="A54" s="60" t="s">
        <v>6</v>
      </c>
      <c r="B54" s="61" t="s">
        <v>6</v>
      </c>
      <c r="C54" s="15"/>
      <c r="D54" s="37">
        <v>0</v>
      </c>
      <c r="E54" s="37">
        <v>0</v>
      </c>
      <c r="F54" s="38">
        <f>H54-E54</f>
        <v>0</v>
      </c>
      <c r="G54" s="40"/>
      <c r="H54" s="39">
        <v>0</v>
      </c>
      <c r="I54" s="16" t="e">
        <f>H54/D54</f>
        <v>#DIV/0!</v>
      </c>
      <c r="J54" s="45">
        <f t="shared" si="15"/>
        <v>0</v>
      </c>
      <c r="K54" s="27">
        <f>0.05*H54</f>
        <v>0</v>
      </c>
    </row>
    <row r="55" spans="1:11" ht="15" x14ac:dyDescent="0.25">
      <c r="A55" s="76" t="s">
        <v>20</v>
      </c>
      <c r="B55" s="77"/>
      <c r="C55" s="15"/>
      <c r="D55" s="37">
        <f t="shared" ref="D55:I55" si="16">SUM(D14:D54)</f>
        <v>2469500</v>
      </c>
      <c r="E55" s="37">
        <f t="shared" si="16"/>
        <v>2208400</v>
      </c>
      <c r="F55" s="37">
        <f t="shared" si="16"/>
        <v>0</v>
      </c>
      <c r="G55" s="37">
        <f t="shared" si="16"/>
        <v>0</v>
      </c>
      <c r="H55" s="37">
        <f t="shared" si="16"/>
        <v>2208400</v>
      </c>
      <c r="I55" s="37" t="e">
        <f t="shared" si="16"/>
        <v>#DIV/0!</v>
      </c>
      <c r="J55" s="45">
        <f>D55-H55</f>
        <v>261100</v>
      </c>
      <c r="K55" s="37">
        <f>SUM(K14:K54)</f>
        <v>110420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2" si="17">H57-E57</f>
        <v>0</v>
      </c>
      <c r="G57" s="41"/>
      <c r="H57" s="39">
        <v>26645</v>
      </c>
      <c r="I57" s="16">
        <f t="shared" ref="I57:I72" si="18">H57/D57</f>
        <v>1</v>
      </c>
      <c r="J57" s="45">
        <f t="shared" si="15"/>
        <v>0</v>
      </c>
      <c r="K57" s="27">
        <f t="shared" ref="K57:K72" si="19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0">H58-E58</f>
        <v>0</v>
      </c>
      <c r="G58" s="40"/>
      <c r="H58" s="39">
        <v>121400</v>
      </c>
      <c r="I58" s="16">
        <f t="shared" ref="I58:I59" si="21">H58/D58</f>
        <v>1</v>
      </c>
      <c r="J58" s="45">
        <f t="shared" ref="J58:J59" si="22">D58-H58</f>
        <v>0</v>
      </c>
      <c r="K58" s="27">
        <f t="shared" ref="K58:K59" si="23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0"/>
        <v>0</v>
      </c>
      <c r="G59" s="40"/>
      <c r="H59" s="39">
        <v>-32700</v>
      </c>
      <c r="I59" s="16">
        <f t="shared" si="21"/>
        <v>1</v>
      </c>
      <c r="J59" s="45">
        <f t="shared" si="22"/>
        <v>0</v>
      </c>
      <c r="K59" s="27">
        <f t="shared" si="23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4">H62-E62</f>
        <v>0</v>
      </c>
      <c r="G62" s="41"/>
      <c r="H62" s="39">
        <v>3265</v>
      </c>
      <c r="I62" s="16">
        <f t="shared" ref="I62:I64" si="25">H62/D62</f>
        <v>1</v>
      </c>
      <c r="J62" s="45">
        <f t="shared" ref="J62:J64" si="26">D62-H62</f>
        <v>0</v>
      </c>
      <c r="K62" s="27">
        <f t="shared" ref="K62:K64" si="27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0</v>
      </c>
      <c r="F63" s="38">
        <f t="shared" si="24"/>
        <v>0</v>
      </c>
      <c r="G63" s="40"/>
      <c r="H63" s="39">
        <v>0</v>
      </c>
      <c r="I63" s="16">
        <f t="shared" si="25"/>
        <v>0</v>
      </c>
      <c r="J63" s="45">
        <f t="shared" si="26"/>
        <v>27681</v>
      </c>
      <c r="K63" s="27">
        <f t="shared" si="27"/>
        <v>0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4"/>
        <v>0</v>
      </c>
      <c r="G64" s="40"/>
      <c r="H64" s="39">
        <v>32700</v>
      </c>
      <c r="I64" s="16">
        <f t="shared" si="25"/>
        <v>1</v>
      </c>
      <c r="J64" s="45">
        <f t="shared" si="26"/>
        <v>0</v>
      </c>
      <c r="K64" s="27">
        <f t="shared" si="27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7"/>
        <v>0</v>
      </c>
      <c r="G65" s="40"/>
      <c r="H65" s="39">
        <v>10620</v>
      </c>
      <c r="I65" s="16">
        <f t="shared" si="18"/>
        <v>1</v>
      </c>
      <c r="J65" s="45">
        <f t="shared" si="15"/>
        <v>0</v>
      </c>
      <c r="K65" s="27">
        <f t="shared" si="19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0</v>
      </c>
      <c r="F66" s="38">
        <f t="shared" si="17"/>
        <v>6290</v>
      </c>
      <c r="G66" s="40"/>
      <c r="H66" s="39">
        <v>6290</v>
      </c>
      <c r="I66" s="16">
        <f t="shared" si="18"/>
        <v>1</v>
      </c>
      <c r="J66" s="45">
        <f t="shared" si="15"/>
        <v>0</v>
      </c>
      <c r="K66" s="27">
        <f t="shared" si="19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0</v>
      </c>
      <c r="F67" s="38">
        <f>H67-E67</f>
        <v>4634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0</v>
      </c>
      <c r="F68" s="38">
        <f>H68-E68</f>
        <v>12219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/>
      <c r="C69" s="15"/>
      <c r="D69" s="37">
        <v>0</v>
      </c>
      <c r="E69" s="37">
        <v>0</v>
      </c>
      <c r="F69" s="38">
        <f t="shared" si="17"/>
        <v>0</v>
      </c>
      <c r="G69" s="41"/>
      <c r="H69" s="39">
        <v>0</v>
      </c>
      <c r="I69" s="16" t="e">
        <f t="shared" si="18"/>
        <v>#DIV/0!</v>
      </c>
      <c r="J69" s="45">
        <f t="shared" si="15"/>
        <v>0</v>
      </c>
      <c r="K69" s="27">
        <f t="shared" si="19"/>
        <v>0</v>
      </c>
    </row>
    <row r="70" spans="1:11" ht="12" customHeight="1" x14ac:dyDescent="0.2">
      <c r="A70" s="65" t="s">
        <v>112</v>
      </c>
      <c r="B70" s="70"/>
      <c r="C70" s="15"/>
      <c r="D70" s="37">
        <v>0</v>
      </c>
      <c r="E70" s="37">
        <v>0</v>
      </c>
      <c r="F70" s="38">
        <f t="shared" si="17"/>
        <v>0</v>
      </c>
      <c r="G70" s="40"/>
      <c r="H70" s="39">
        <v>0</v>
      </c>
      <c r="I70" s="16" t="e">
        <f t="shared" si="18"/>
        <v>#DIV/0!</v>
      </c>
      <c r="J70" s="45">
        <f t="shared" si="15"/>
        <v>0</v>
      </c>
      <c r="K70" s="27">
        <f t="shared" si="19"/>
        <v>0</v>
      </c>
    </row>
    <row r="71" spans="1:11" ht="12" customHeight="1" x14ac:dyDescent="0.2">
      <c r="A71" s="65" t="s">
        <v>113</v>
      </c>
      <c r="B71" s="70"/>
      <c r="C71" s="15"/>
      <c r="D71" s="37">
        <v>0</v>
      </c>
      <c r="E71" s="37">
        <v>0</v>
      </c>
      <c r="F71" s="38">
        <f t="shared" si="17"/>
        <v>0</v>
      </c>
      <c r="G71" s="40"/>
      <c r="H71" s="39">
        <v>0</v>
      </c>
      <c r="I71" s="16" t="e">
        <f t="shared" si="18"/>
        <v>#DIV/0!</v>
      </c>
      <c r="J71" s="45">
        <f t="shared" si="15"/>
        <v>0</v>
      </c>
      <c r="K71" s="27">
        <f t="shared" si="19"/>
        <v>0</v>
      </c>
    </row>
    <row r="72" spans="1:11" x14ac:dyDescent="0.2">
      <c r="A72" s="65" t="s">
        <v>114</v>
      </c>
      <c r="B72" s="71"/>
      <c r="C72" s="15"/>
      <c r="D72" s="37">
        <v>0</v>
      </c>
      <c r="E72" s="37">
        <v>0</v>
      </c>
      <c r="F72" s="38">
        <f t="shared" si="17"/>
        <v>0</v>
      </c>
      <c r="G72" s="40"/>
      <c r="H72" s="39">
        <v>0</v>
      </c>
      <c r="I72" s="16" t="e">
        <f t="shared" si="18"/>
        <v>#DIV/0!</v>
      </c>
      <c r="J72" s="45">
        <f t="shared" si="15"/>
        <v>0</v>
      </c>
      <c r="K72" s="27">
        <f t="shared" si="19"/>
        <v>0</v>
      </c>
    </row>
    <row r="73" spans="1:11" ht="15" x14ac:dyDescent="0.25">
      <c r="A73" s="66">
        <f>SUM(D57:D72)</f>
        <v>198222</v>
      </c>
      <c r="B73" s="63" t="s">
        <v>21</v>
      </c>
      <c r="C73" s="64"/>
      <c r="D73" s="37">
        <f t="shared" ref="D73:I73" si="28">SUM(D55:D72)</f>
        <v>2667722</v>
      </c>
      <c r="E73" s="37">
        <f t="shared" si="28"/>
        <v>2355798</v>
      </c>
      <c r="F73" s="37">
        <f t="shared" si="28"/>
        <v>23143</v>
      </c>
      <c r="G73" s="37">
        <f t="shared" si="28"/>
        <v>0</v>
      </c>
      <c r="H73" s="37">
        <f t="shared" si="28"/>
        <v>2378941</v>
      </c>
      <c r="I73" s="37" t="e">
        <f t="shared" si="28"/>
        <v>#DIV/0!</v>
      </c>
      <c r="J73" s="45">
        <f t="shared" si="15"/>
        <v>288781</v>
      </c>
      <c r="K73" s="37">
        <f>SUM(K55:K72)</f>
        <v>118947.04999999999</v>
      </c>
    </row>
    <row r="74" spans="1:11" x14ac:dyDescent="0.2">
      <c r="I74" s="2"/>
    </row>
    <row r="75" spans="1:11" x14ac:dyDescent="0.2">
      <c r="I75" s="2"/>
    </row>
    <row r="76" spans="1:11" x14ac:dyDescent="0.2">
      <c r="C76" s="18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2016-03-18T15:29:49Z</dcterms:modified>
</cp:coreProperties>
</file>