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<sst xmlns="http://schemas.openxmlformats.org/spreadsheetml/2006/main" count="161" uniqueCount="123">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</sst>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G54" sqref="G54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9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42265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42277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558900</v>
      </c>
      <c r="F13" s="36">
        <f>SUM(F14:F54)</f>
        <v>362040</v>
      </c>
      <c r="G13" s="36"/>
      <c r="H13" s="36">
        <f>SUM(H14:H54)</f>
        <v>920940</v>
      </c>
      <c r="I13" s="12">
        <f>H13/D13</f>
        <v>0.37292569346021459</v>
      </c>
      <c r="J13" s="43">
        <f>SUM(J14:J54)</f>
        <v>1548560</v>
      </c>
      <c r="K13" s="27">
        <f>SUM(K14:K54)</f>
        <v>46047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137600</v>
      </c>
      <c r="F24" s="39">
        <f>H24-E24</f>
        <v>34400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28000</v>
      </c>
      <c r="F25" s="39">
        <f t="shared" si="0"/>
        <v>160600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19700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33500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65300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19880</v>
      </c>
      <c r="G34" s="41"/>
      <c r="H34" s="40">
        <v>19880</v>
      </c>
      <c r="I34" s="16">
        <f t="shared" si="1"/>
        <v>0.4</v>
      </c>
      <c r="J34" s="46">
        <f t="shared" si="2"/>
        <v>29820</v>
      </c>
      <c r="K34" s="28">
        <f t="shared" si="7"/>
        <v>994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28660</v>
      </c>
      <c r="G37" s="41"/>
      <c r="H37" s="40">
        <v>28660</v>
      </c>
      <c r="I37" s="16">
        <f t="shared" ref="I37:I42" si="9">H37/D37</f>
        <v>0.1</v>
      </c>
      <c r="J37" s="46">
        <f t="shared" ref="J37:J42" si="10">D37-H37</f>
        <v>257940</v>
      </c>
      <c r="K37" s="28">
        <f t="shared" ref="K37:K42" si="11">0.05*H37</f>
        <v>1433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558900</v>
      </c>
      <c r="F55" s="38">
        <f t="shared" si="16"/>
        <v>362040</v>
      </c>
      <c r="G55" s="38">
        <f t="shared" si="16"/>
        <v>0</v>
      </c>
      <c r="H55" s="38">
        <f t="shared" si="16"/>
        <v>920940</v>
      </c>
      <c r="I55" s="38" t="e">
        <f t="shared" si="16"/>
        <v>#DIV/0!</v>
      </c>
      <c r="J55" s="46">
        <f>D55-H55</f>
        <v>1548560</v>
      </c>
      <c r="K55" s="38">
        <f>SUM(K14:K54)</f>
        <v>46047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21000</v>
      </c>
      <c r="F57" s="39">
        <f t="shared" ref="F57:F72" si="17">H57-E57</f>
        <v>5645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0</v>
      </c>
      <c r="F58" s="39">
        <f t="shared" ref="F58:F59" si="20">H58-E58</f>
        <v>5707</v>
      </c>
      <c r="G58" s="41"/>
      <c r="H58" s="40">
        <v>5707</v>
      </c>
      <c r="I58" s="16">
        <f t="shared" ref="I58:I59" si="21">H58/D58</f>
        <v>4.7009884678747942E-2</v>
      </c>
      <c r="J58" s="46">
        <f t="shared" ref="J58:J59" si="22">D58-H58</f>
        <v>115693</v>
      </c>
      <c r="K58" s="28">
        <f t="shared" ref="K58:K59" si="23">0.05*H58</f>
        <v>285.35000000000002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0</v>
      </c>
      <c r="F59" s="39">
        <f t="shared" si="20"/>
        <v>-1439</v>
      </c>
      <c r="G59" s="41"/>
      <c r="H59" s="40">
        <v>-1439</v>
      </c>
      <c r="I59" s="16">
        <f t="shared" si="21"/>
        <v>4.4006116207951071E-2</v>
      </c>
      <c r="J59" s="46">
        <f t="shared" si="22"/>
        <v>-31261</v>
      </c>
      <c r="K59" s="28">
        <f t="shared" si="23"/>
        <v>-71.95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0</v>
      </c>
      <c r="F61" s="39">
        <f>H61-E61</f>
        <v>0</v>
      </c>
      <c r="G61" s="41"/>
      <c r="H61" s="40">
        <v>0</v>
      </c>
      <c r="I61" s="16">
        <f>H61/D61</f>
        <v>0</v>
      </c>
      <c r="J61" s="46">
        <f>D61-H61</f>
        <v>-17190</v>
      </c>
      <c r="K61" s="28">
        <f>0.05*H61</f>
        <v>0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4075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>
        <f t="shared" ref="I62:I64" si="25">H62/D62</f>
        <v>0</v>
      </c>
      <c r="J62" s="46">
        <f t="shared" ref="J62:J64" si="26">D62-H62</f>
        <v>4075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104888</v>
      </c>
      <c r="B73" s="64" t="s">
        <v>21</v>
      </c>
      <c r="C73" s="65"/>
      <c r="D73" s="38">
        <f t="shared" ref="D73:I73" si="28">SUM(D55:D72)</f>
        <v>2574388</v>
      </c>
      <c r="E73" s="38">
        <f t="shared" si="28"/>
        <v>582558</v>
      </c>
      <c r="F73" s="38">
        <f t="shared" si="28"/>
        <v>371953</v>
      </c>
      <c r="G73" s="38">
        <f t="shared" si="28"/>
        <v>0</v>
      </c>
      <c r="H73" s="38">
        <f t="shared" si="28"/>
        <v>954511</v>
      </c>
      <c r="I73" s="38" t="e">
        <f t="shared" si="28"/>
        <v>#DIV/0!</v>
      </c>
      <c r="J73" s="46">
        <f t="shared" si="15"/>
        <v>1619877</v>
      </c>
      <c r="K73" s="38">
        <f>SUM(K55:K72)</f>
        <v>47725.55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2015-09-18T15:58:38Z</dcterms:modified>
</cp:coreProperties>
</file>