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Backup'!$A$2:$K$78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3" i="6" l="1"/>
  <c r="F74" i="6"/>
  <c r="F75" i="6"/>
  <c r="F76" i="6"/>
  <c r="F77" i="6"/>
  <c r="K73" i="6" l="1"/>
  <c r="A78" i="6" l="1"/>
  <c r="J74" i="6"/>
  <c r="J75" i="6"/>
  <c r="J76" i="6"/>
  <c r="J77" i="6"/>
  <c r="J73" i="6"/>
  <c r="I73" i="6" l="1"/>
  <c r="I74" i="6"/>
  <c r="I75" i="6"/>
  <c r="I76" i="6"/>
  <c r="I77" i="6"/>
  <c r="G78" i="6"/>
  <c r="D78" i="6"/>
  <c r="F59" i="6" l="1"/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E55" i="6"/>
  <c r="E78" i="6" s="1"/>
  <c r="G55" i="6"/>
  <c r="H55" i="6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I55" i="6" l="1"/>
  <c r="H78" i="6"/>
  <c r="I78" i="6" s="1"/>
  <c r="K13" i="6"/>
  <c r="J55" i="6"/>
  <c r="J78" i="6" s="1"/>
  <c r="K55" i="6"/>
  <c r="K78" i="6" s="1"/>
  <c r="J13" i="6"/>
  <c r="F55" i="6"/>
  <c r="F78" i="6" s="1"/>
  <c r="F13" i="6"/>
</calcChain>
</file>

<file path=xl/sharedStrings.xml><?xml version="1.0" encoding="utf-8"?>
<sst xmlns="http://schemas.openxmlformats.org/spreadsheetml/2006/main" count="174" uniqueCount="136">
  <si>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</si>
  <si>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</si>
  <si>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</si>
  <si>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</si>
  <si>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</si>
  <si>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</si>
  <si>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</si>
  <si>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</si>
  <si>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</si>
  <si>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</si>
  <si>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</si>
  <si>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</si>
  <si>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</si>
  <si>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</si>
  <si>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</si>
  <si>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</si>
  <si>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</si>
  <si>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</si>
  <si>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</si>
  <si>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</si>
  <si>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</si>
  <si>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</si>
  <si>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</si>
  <si>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</si>
  <si>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</si>
  <si>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</si>
  <si>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</si>
  <si>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</si>
  <si>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</si>
  <si>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</si>
  <si>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</si>
  <si>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</si>
  <si>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</si>
  <si>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</si>
  <si>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</si>
  <si>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</si>
  <si>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</si>
  <si>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</si>
  <si>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</si>
  <si>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</si>
  <si>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</si>
  <si>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</si>
  <si>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</si>
  <si>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</si>
  <si>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</si>
  <si>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</si>
  <si>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</si>
  <si>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</si>
  <si>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</si>
  <si>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</si>
  <si>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</si>
  <si>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</si>
  <si>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</si>
  <si>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</si>
  <si>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</si>
  <si>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</si>
  <si>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</si>
  <si>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</si>
  <si>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</si>
  <si>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</si>
  <si>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</si>
  <si>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</si>
  <si>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</si>
  <si>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</si>
  <si>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</si>
  <si>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</si>
  <si>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</si>
  <si>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</si>
  <si>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</si>
  <si>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</si>
  <si>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</si>
  <si>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</si>
  <si>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</si>
  <si>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</si>
  <si>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</si>
  <si>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</si>
  <si>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</si>
  <si>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</si>
  <si>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</si>
  <si>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</si>
  <si>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</si>
  <si>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</si>
  <si>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</si>
  <si>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</si>
  <si>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</si>
  <si>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</si>
  <si>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</si>
  <si>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</si>
  <si>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</si>
  <si>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</si>
  <si>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</si>
  <si>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</si>
  <si>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</si>
  <si>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</si>
  <si>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</si>
  <si>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</si>
  <si>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</si>
  <si>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</si>
  <si>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</si>
  <si>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</si>
  <si>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</si>
  <si>
    <t>CO# 1</t>
  </si>
  <si>
    <t>CO# 3</t>
  </si>
  <si>
    <t>CO# 4</t>
  </si>
  <si>
    <t>CO# 5</t>
  </si>
  <si>
    <t>CO# 6</t>
  </si>
  <si>
    <t>CO# 7</t>
  </si>
  <si>
    <t>CO# 8</t>
  </si>
  <si>
    <t>CO# 9</t>
  </si>
  <si>
    <t>CO# 10</t>
  </si>
  <si>
    <t>CO# 11</t>
  </si>
  <si>
    <t>CO# 12</t>
  </si>
  <si>
    <t>CO# 13</t>
  </si>
  <si>
    <t>CO# 14</t>
  </si>
  <si>
    <t>CO# 15</t>
  </si>
  <si>
    <t>added piping, basins &amp; pumps for sub slab ventalation system</t>
  </si>
  <si>
    <t>add cast iron waste stacks in residential units</t>
  </si>
  <si>
    <t>delete ice maker boxes</t>
  </si>
  <si>
    <t>CO# 2-2</t>
  </si>
  <si>
    <t>CO# 2-1</t>
  </si>
  <si>
    <t>add piping for future grease trap</t>
  </si>
  <si>
    <t>Aquatic tub and shower stall changes</t>
  </si>
  <si>
    <t>add underground gas piping</t>
  </si>
  <si>
    <t>COP 079 - Upgrade plumbing fixtures</t>
  </si>
  <si>
    <t>COP059 ice maker boxes</t>
  </si>
  <si>
    <t>RFC 096 gas piping &amp; sleeve</t>
  </si>
  <si>
    <t>correct error when adding Ice makers back into contract</t>
  </si>
  <si>
    <t>add floor drain for future trash room</t>
  </si>
  <si>
    <t>COP104-RFI 125 revise plumbing for revised washer closets</t>
  </si>
  <si>
    <t>ASI 24 shower remodel</t>
  </si>
  <si>
    <t>add CI in Media Room</t>
  </si>
  <si>
    <t>providegas line to skylounge</t>
  </si>
  <si>
    <t>shower changes</t>
  </si>
  <si>
    <t>CO# 16</t>
  </si>
  <si>
    <t>CO# 17</t>
  </si>
  <si>
    <t>furnish &amp; install zurn trench 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</si>
</sst>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3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8" xfId="3" quotePrefix="1" applyFont="1" applyFill="1" applyBorder="1"/>
    <xf numFmtId="4" fontId="2" fillId="0" borderId="7" xfId="3" applyNumberFormat="1" applyFont="1" applyBorder="1" applyAlignment="1">
      <alignment horizontal="center"/>
    </xf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0" fontId="12" fillId="0" borderId="0" xfId="3" applyFont="1"/>
    <xf numFmtId="0" fontId="12" fillId="0" borderId="7" xfId="3" applyFont="1" applyBorder="1"/>
    <xf numFmtId="0" fontId="12" fillId="0" borderId="7" xfId="3" applyFont="1" applyFill="1" applyBorder="1"/>
    <xf numFmtId="0" fontId="5" fillId="0" borderId="31" xfId="3" quotePrefix="1" applyFont="1" applyFill="1" applyBorder="1"/>
    <xf numFmtId="4" fontId="4" fillId="0" borderId="32" xfId="3" applyNumberFormat="1" applyFont="1" applyBorder="1"/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7"/>
  <sheetViews>
    <sheetView tabSelected="1" view="pageBreakPreview" topLeftCell="A24" zoomScaleNormal="120" zoomScaleSheetLayoutView="100" workbookViewId="0">
      <selection activeCell="H64" sqref="H64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1" customWidth="1"/>
    <col min="5" max="5" width="15" style="21" customWidth="1"/>
    <col min="6" max="6" width="13.42578125" style="21" customWidth="1"/>
    <col min="7" max="7" width="6.28515625" style="21" customWidth="1"/>
    <col min="8" max="8" width="19" style="21" customWidth="1"/>
    <col min="9" max="9" width="14.42578125" style="1" customWidth="1"/>
    <col min="10" max="10" width="20" style="21" customWidth="1"/>
    <col min="11" max="11" width="16.5703125" style="21" customWidth="1"/>
    <col min="12" max="16384" width="9.140625" style="1"/>
  </cols>
  <sheetData>
    <row r="1" spans="1:11" ht="31.5" customHeight="1" thickBot="1" x14ac:dyDescent="0.4">
      <c r="A1" s="47"/>
      <c r="B1" s="48"/>
      <c r="C1" s="48"/>
      <c r="D1" s="49"/>
      <c r="E1" s="49"/>
      <c r="F1" s="49"/>
      <c r="G1" s="49"/>
      <c r="H1" s="49"/>
      <c r="I1" s="50"/>
      <c r="J1" s="49"/>
      <c r="K1" s="49"/>
    </row>
    <row r="2" spans="1:11" ht="23.25" x14ac:dyDescent="0.35">
      <c r="A2" s="46" t="s">
        <v>39</v>
      </c>
      <c r="I2" s="2"/>
    </row>
    <row r="3" spans="1:11" x14ac:dyDescent="0.2">
      <c r="A3" s="3" t="s">
        <v>44</v>
      </c>
      <c r="B3" s="1" t="s">
        <v>52</v>
      </c>
      <c r="F3" s="28" t="s">
        <v>7</v>
      </c>
      <c r="G3" s="28"/>
      <c r="H3" s="67">
        <v>20</v>
      </c>
      <c r="I3" s="2"/>
      <c r="J3" s="43"/>
    </row>
    <row r="4" spans="1:11" x14ac:dyDescent="0.2">
      <c r="A4" s="3" t="s">
        <v>43</v>
      </c>
      <c r="B4" s="1" t="s">
        <v>53</v>
      </c>
      <c r="F4" s="28" t="s">
        <v>22</v>
      </c>
      <c r="G4" s="28"/>
      <c r="H4" s="68">
        <v>42601</v>
      </c>
      <c r="I4" s="2"/>
      <c r="J4" s="43"/>
    </row>
    <row r="5" spans="1:11" x14ac:dyDescent="0.2">
      <c r="A5" s="3" t="s">
        <v>8</v>
      </c>
      <c r="E5" s="21" t="s">
        <v>9</v>
      </c>
      <c r="F5" s="28" t="s">
        <v>0</v>
      </c>
      <c r="G5" s="28"/>
      <c r="H5" s="68">
        <v>42613</v>
      </c>
      <c r="I5" s="2"/>
    </row>
    <row r="6" spans="1:11" x14ac:dyDescent="0.2">
      <c r="A6" s="3"/>
      <c r="F6" s="28"/>
      <c r="G6" s="28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2" t="s">
        <v>24</v>
      </c>
      <c r="B8" s="52" t="s">
        <v>25</v>
      </c>
      <c r="C8" s="51"/>
      <c r="D8" s="53" t="s">
        <v>23</v>
      </c>
      <c r="E8" s="53" t="s">
        <v>26</v>
      </c>
      <c r="F8" s="53" t="s">
        <v>27</v>
      </c>
      <c r="G8" s="54" t="s">
        <v>28</v>
      </c>
      <c r="H8" s="76" t="s">
        <v>29</v>
      </c>
      <c r="I8" s="77"/>
      <c r="J8" s="53" t="s">
        <v>30</v>
      </c>
      <c r="K8" s="53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29" t="s">
        <v>12</v>
      </c>
      <c r="E9" s="74" t="s">
        <v>32</v>
      </c>
      <c r="F9" s="75"/>
      <c r="G9" s="57" t="s">
        <v>6</v>
      </c>
      <c r="H9" s="29" t="s">
        <v>18</v>
      </c>
      <c r="I9" s="6" t="s">
        <v>13</v>
      </c>
      <c r="J9" s="22" t="s">
        <v>2</v>
      </c>
      <c r="K9" s="22" t="s">
        <v>3</v>
      </c>
    </row>
    <row r="10" spans="1:11" x14ac:dyDescent="0.2">
      <c r="A10" s="7" t="s">
        <v>42</v>
      </c>
      <c r="B10" s="8"/>
      <c r="C10" s="8" t="s">
        <v>15</v>
      </c>
      <c r="D10" s="30" t="s">
        <v>19</v>
      </c>
      <c r="E10" s="30" t="s">
        <v>33</v>
      </c>
      <c r="F10" s="23" t="s">
        <v>14</v>
      </c>
      <c r="G10" s="55" t="s">
        <v>6</v>
      </c>
      <c r="H10" s="30" t="s">
        <v>1</v>
      </c>
      <c r="I10" s="9" t="s">
        <v>16</v>
      </c>
      <c r="J10" s="23" t="s">
        <v>5</v>
      </c>
      <c r="K10" s="59">
        <v>0.05</v>
      </c>
    </row>
    <row r="11" spans="1:11" ht="13.5" thickBot="1" x14ac:dyDescent="0.25">
      <c r="A11" s="7" t="s">
        <v>40</v>
      </c>
      <c r="B11" s="8"/>
      <c r="C11" s="8"/>
      <c r="D11" s="30"/>
      <c r="E11" s="30" t="s">
        <v>38</v>
      </c>
      <c r="F11" s="23" t="s">
        <v>34</v>
      </c>
      <c r="G11" s="55"/>
      <c r="H11" s="30" t="s">
        <v>4</v>
      </c>
      <c r="I11" s="20"/>
      <c r="J11" s="23"/>
      <c r="K11" s="24"/>
    </row>
    <row r="12" spans="1:11" x14ac:dyDescent="0.2">
      <c r="A12" s="10"/>
      <c r="B12" s="11"/>
      <c r="C12" s="11"/>
      <c r="D12" s="31"/>
      <c r="E12" s="31"/>
      <c r="F12" s="32"/>
      <c r="G12" s="56"/>
      <c r="H12" s="31"/>
      <c r="I12" s="19"/>
      <c r="J12" s="44"/>
      <c r="K12" s="25"/>
    </row>
    <row r="13" spans="1:11" ht="15" x14ac:dyDescent="0.25">
      <c r="A13" s="58" t="s">
        <v>35</v>
      </c>
      <c r="B13" s="13" t="s">
        <v>36</v>
      </c>
      <c r="C13" s="14"/>
      <c r="D13" s="33">
        <f>SUM(D14:D54)</f>
        <v>2469500</v>
      </c>
      <c r="E13" s="34">
        <f>SUM(E14:E54)</f>
        <v>2334960</v>
      </c>
      <c r="F13" s="35">
        <f>SUM(F14:F54)</f>
        <v>80340</v>
      </c>
      <c r="G13" s="35"/>
      <c r="H13" s="35">
        <f>SUM(H14:H54)</f>
        <v>2415300</v>
      </c>
      <c r="I13" s="12">
        <f>H13/D13</f>
        <v>0.97805223729499902</v>
      </c>
      <c r="J13" s="42">
        <f>SUM(J14:J54)</f>
        <v>54200</v>
      </c>
      <c r="K13" s="26">
        <f>SUM(K14:K54)</f>
        <v>120765</v>
      </c>
    </row>
    <row r="14" spans="1:11" ht="13.5" x14ac:dyDescent="0.25">
      <c r="A14" s="60"/>
      <c r="B14" s="61" t="s">
        <v>72</v>
      </c>
      <c r="C14" s="15" t="s">
        <v>37</v>
      </c>
      <c r="D14" s="36">
        <v>68200</v>
      </c>
      <c r="E14" s="37">
        <v>68200</v>
      </c>
      <c r="F14" s="38">
        <f t="shared" ref="F14:F48" si="0">H14-E14</f>
        <v>0</v>
      </c>
      <c r="G14" s="40"/>
      <c r="H14" s="39">
        <v>68200</v>
      </c>
      <c r="I14" s="16">
        <f t="shared" ref="I14:I48" si="1">H14/D14</f>
        <v>1</v>
      </c>
      <c r="J14" s="45">
        <f t="shared" ref="J14:J48" si="2">D14-H14</f>
        <v>0</v>
      </c>
      <c r="K14" s="27">
        <f>0.05*H14</f>
        <v>3410</v>
      </c>
    </row>
    <row r="15" spans="1:11" ht="13.5" x14ac:dyDescent="0.25">
      <c r="A15" s="60"/>
      <c r="B15" s="61" t="s">
        <v>54</v>
      </c>
      <c r="C15" s="15" t="s">
        <v>37</v>
      </c>
      <c r="D15" s="36">
        <v>32200</v>
      </c>
      <c r="E15" s="37">
        <v>32200</v>
      </c>
      <c r="F15" s="38">
        <f t="shared" ref="F15" si="3">H15-E15</f>
        <v>0</v>
      </c>
      <c r="G15" s="40"/>
      <c r="H15" s="39">
        <v>32200</v>
      </c>
      <c r="I15" s="16">
        <f t="shared" ref="I15" si="4">H15/D15</f>
        <v>1</v>
      </c>
      <c r="J15" s="45">
        <f t="shared" ref="J15" si="5">D15-H15</f>
        <v>0</v>
      </c>
      <c r="K15" s="27">
        <f t="shared" ref="K15" si="6">0.05*H15</f>
        <v>1610</v>
      </c>
    </row>
    <row r="16" spans="1:11" ht="13.5" x14ac:dyDescent="0.25">
      <c r="A16" s="60" t="s">
        <v>55</v>
      </c>
      <c r="B16" s="61" t="s">
        <v>56</v>
      </c>
      <c r="C16" s="15" t="s">
        <v>37</v>
      </c>
      <c r="D16" s="36">
        <v>25200</v>
      </c>
      <c r="E16" s="37">
        <v>25200</v>
      </c>
      <c r="F16" s="38">
        <f t="shared" si="0"/>
        <v>0</v>
      </c>
      <c r="G16" s="40"/>
      <c r="H16" s="39">
        <v>25200</v>
      </c>
      <c r="I16" s="16">
        <f t="shared" si="1"/>
        <v>1</v>
      </c>
      <c r="J16" s="45">
        <f t="shared" si="2"/>
        <v>0</v>
      </c>
      <c r="K16" s="27">
        <f t="shared" ref="K16:K53" si="7">0.05*H16</f>
        <v>1260</v>
      </c>
    </row>
    <row r="17" spans="1:11" ht="13.5" x14ac:dyDescent="0.25">
      <c r="A17" s="60" t="s">
        <v>55</v>
      </c>
      <c r="B17" s="61" t="s">
        <v>57</v>
      </c>
      <c r="C17" s="15" t="s">
        <v>37</v>
      </c>
      <c r="D17" s="37">
        <v>38600</v>
      </c>
      <c r="E17" s="37">
        <v>38600</v>
      </c>
      <c r="F17" s="38">
        <f t="shared" si="0"/>
        <v>0</v>
      </c>
      <c r="G17" s="40"/>
      <c r="H17" s="39">
        <v>38600</v>
      </c>
      <c r="I17" s="16">
        <f t="shared" si="1"/>
        <v>1</v>
      </c>
      <c r="J17" s="45">
        <f t="shared" si="2"/>
        <v>0</v>
      </c>
      <c r="K17" s="27">
        <f t="shared" si="7"/>
        <v>1930</v>
      </c>
    </row>
    <row r="18" spans="1:11" ht="13.5" x14ac:dyDescent="0.25">
      <c r="A18" s="60" t="s">
        <v>58</v>
      </c>
      <c r="B18" s="61" t="s">
        <v>59</v>
      </c>
      <c r="C18" s="15"/>
      <c r="D18" s="36">
        <v>23400</v>
      </c>
      <c r="E18" s="37">
        <v>23400</v>
      </c>
      <c r="F18" s="38">
        <f t="shared" si="0"/>
        <v>0</v>
      </c>
      <c r="G18" s="40"/>
      <c r="H18" s="39">
        <v>23400</v>
      </c>
      <c r="I18" s="16">
        <f t="shared" si="1"/>
        <v>1</v>
      </c>
      <c r="J18" s="45">
        <f t="shared" si="2"/>
        <v>0</v>
      </c>
      <c r="K18" s="27">
        <f t="shared" si="7"/>
        <v>1170</v>
      </c>
    </row>
    <row r="19" spans="1:11" ht="13.5" x14ac:dyDescent="0.25">
      <c r="A19" s="60" t="s">
        <v>58</v>
      </c>
      <c r="B19" s="61" t="s">
        <v>60</v>
      </c>
      <c r="C19" s="15" t="s">
        <v>37</v>
      </c>
      <c r="D19" s="37">
        <v>35700</v>
      </c>
      <c r="E19" s="37">
        <v>35700</v>
      </c>
      <c r="F19" s="38">
        <f t="shared" si="0"/>
        <v>0</v>
      </c>
      <c r="G19" s="40"/>
      <c r="H19" s="39">
        <v>35700</v>
      </c>
      <c r="I19" s="16">
        <f t="shared" si="1"/>
        <v>1</v>
      </c>
      <c r="J19" s="45">
        <f t="shared" si="2"/>
        <v>0</v>
      </c>
      <c r="K19" s="27">
        <f t="shared" si="7"/>
        <v>1785</v>
      </c>
    </row>
    <row r="20" spans="1:11" ht="13.5" x14ac:dyDescent="0.25">
      <c r="A20" s="60" t="s">
        <v>46</v>
      </c>
      <c r="B20" s="61" t="s">
        <v>49</v>
      </c>
      <c r="C20" s="15" t="s">
        <v>37</v>
      </c>
      <c r="D20" s="37">
        <v>14800</v>
      </c>
      <c r="E20" s="37">
        <v>14800</v>
      </c>
      <c r="F20" s="38">
        <f t="shared" si="0"/>
        <v>0</v>
      </c>
      <c r="G20" s="40"/>
      <c r="H20" s="39">
        <v>14800</v>
      </c>
      <c r="I20" s="16">
        <f t="shared" si="1"/>
        <v>1</v>
      </c>
      <c r="J20" s="45">
        <f t="shared" si="2"/>
        <v>0</v>
      </c>
      <c r="K20" s="27">
        <f t="shared" si="7"/>
        <v>740</v>
      </c>
    </row>
    <row r="21" spans="1:11" ht="13.5" x14ac:dyDescent="0.25">
      <c r="A21" s="60" t="s">
        <v>47</v>
      </c>
      <c r="B21" s="61" t="s">
        <v>50</v>
      </c>
      <c r="C21" s="15"/>
      <c r="D21" s="37">
        <v>19400</v>
      </c>
      <c r="E21" s="37">
        <v>19400</v>
      </c>
      <c r="F21" s="38">
        <f t="shared" si="0"/>
        <v>0</v>
      </c>
      <c r="G21" s="40"/>
      <c r="H21" s="39">
        <v>19400</v>
      </c>
      <c r="I21" s="16">
        <f t="shared" si="1"/>
        <v>1</v>
      </c>
      <c r="J21" s="45">
        <f t="shared" si="2"/>
        <v>0</v>
      </c>
      <c r="K21" s="27">
        <f t="shared" si="7"/>
        <v>970</v>
      </c>
    </row>
    <row r="22" spans="1:11" ht="13.5" x14ac:dyDescent="0.25">
      <c r="A22" s="60" t="s">
        <v>48</v>
      </c>
      <c r="B22" s="61" t="s">
        <v>51</v>
      </c>
      <c r="C22" s="15"/>
      <c r="D22" s="37">
        <v>49800</v>
      </c>
      <c r="E22" s="37">
        <v>49800</v>
      </c>
      <c r="F22" s="38">
        <f t="shared" si="0"/>
        <v>0</v>
      </c>
      <c r="G22" s="40"/>
      <c r="H22" s="39">
        <v>49800</v>
      </c>
      <c r="I22" s="16">
        <f t="shared" si="1"/>
        <v>1</v>
      </c>
      <c r="J22" s="45">
        <f t="shared" si="2"/>
        <v>0</v>
      </c>
      <c r="K22" s="27">
        <f t="shared" si="7"/>
        <v>2490</v>
      </c>
    </row>
    <row r="23" spans="1:11" ht="13.5" x14ac:dyDescent="0.25">
      <c r="A23" s="60" t="s">
        <v>61</v>
      </c>
      <c r="B23" s="61" t="s">
        <v>62</v>
      </c>
      <c r="C23" s="15" t="s">
        <v>37</v>
      </c>
      <c r="D23" s="37">
        <v>86000</v>
      </c>
      <c r="E23" s="37">
        <v>86000</v>
      </c>
      <c r="F23" s="38">
        <f t="shared" si="0"/>
        <v>0</v>
      </c>
      <c r="G23" s="40"/>
      <c r="H23" s="39">
        <v>86000</v>
      </c>
      <c r="I23" s="16">
        <f t="shared" si="1"/>
        <v>1</v>
      </c>
      <c r="J23" s="45">
        <f t="shared" si="2"/>
        <v>0</v>
      </c>
      <c r="K23" s="27">
        <f t="shared" si="7"/>
        <v>4300</v>
      </c>
    </row>
    <row r="24" spans="1:11" ht="13.5" x14ac:dyDescent="0.25">
      <c r="A24" s="60" t="s">
        <v>63</v>
      </c>
      <c r="B24" s="61" t="s">
        <v>66</v>
      </c>
      <c r="C24" s="15" t="s">
        <v>37</v>
      </c>
      <c r="D24" s="37">
        <v>172000</v>
      </c>
      <c r="E24" s="37">
        <v>172000</v>
      </c>
      <c r="F24" s="38">
        <f>H24-E24</f>
        <v>0</v>
      </c>
      <c r="G24" s="40"/>
      <c r="H24" s="39">
        <v>172000</v>
      </c>
      <c r="I24" s="16">
        <f>H24/D24</f>
        <v>1</v>
      </c>
      <c r="J24" s="45">
        <f>D24-H24</f>
        <v>0</v>
      </c>
      <c r="K24" s="27">
        <f>0.05*H24</f>
        <v>8600</v>
      </c>
    </row>
    <row r="25" spans="1:11" ht="13.5" x14ac:dyDescent="0.25">
      <c r="A25" s="60" t="s">
        <v>64</v>
      </c>
      <c r="B25" s="61" t="s">
        <v>65</v>
      </c>
      <c r="C25" s="15" t="s">
        <v>37</v>
      </c>
      <c r="D25" s="37">
        <v>188600</v>
      </c>
      <c r="E25" s="37">
        <v>188600</v>
      </c>
      <c r="F25" s="38">
        <f t="shared" si="0"/>
        <v>0</v>
      </c>
      <c r="G25" s="40"/>
      <c r="H25" s="39">
        <v>188600</v>
      </c>
      <c r="I25" s="16">
        <f t="shared" si="1"/>
        <v>1</v>
      </c>
      <c r="J25" s="45">
        <f t="shared" si="2"/>
        <v>0</v>
      </c>
      <c r="K25" s="27">
        <f t="shared" si="7"/>
        <v>9430</v>
      </c>
    </row>
    <row r="26" spans="1:11" ht="13.5" x14ac:dyDescent="0.25">
      <c r="A26" s="60" t="s">
        <v>67</v>
      </c>
      <c r="B26" s="61" t="s">
        <v>99</v>
      </c>
      <c r="C26" s="15" t="s">
        <v>37</v>
      </c>
      <c r="D26" s="37">
        <v>73600</v>
      </c>
      <c r="E26" s="37">
        <v>73600</v>
      </c>
      <c r="F26" s="38">
        <f t="shared" si="0"/>
        <v>0</v>
      </c>
      <c r="G26" s="40"/>
      <c r="H26" s="39">
        <v>73600</v>
      </c>
      <c r="I26" s="16">
        <f t="shared" si="1"/>
        <v>1</v>
      </c>
      <c r="J26" s="45">
        <f t="shared" si="2"/>
        <v>0</v>
      </c>
      <c r="K26" s="27">
        <f t="shared" si="7"/>
        <v>3680</v>
      </c>
    </row>
    <row r="27" spans="1:11" ht="13.5" x14ac:dyDescent="0.25">
      <c r="A27" s="60" t="s">
        <v>67</v>
      </c>
      <c r="B27" s="61" t="s">
        <v>68</v>
      </c>
      <c r="C27" s="15"/>
      <c r="D27" s="37">
        <v>24200</v>
      </c>
      <c r="E27" s="37">
        <v>24200</v>
      </c>
      <c r="F27" s="38">
        <f t="shared" si="0"/>
        <v>0</v>
      </c>
      <c r="G27" s="40"/>
      <c r="H27" s="39">
        <v>24200</v>
      </c>
      <c r="I27" s="16">
        <f t="shared" si="1"/>
        <v>1</v>
      </c>
      <c r="J27" s="45">
        <f t="shared" si="2"/>
        <v>0</v>
      </c>
      <c r="K27" s="27">
        <f t="shared" si="7"/>
        <v>1210</v>
      </c>
    </row>
    <row r="28" spans="1:11" ht="13.5" x14ac:dyDescent="0.25">
      <c r="A28" s="60" t="s">
        <v>69</v>
      </c>
      <c r="B28" s="61" t="s">
        <v>100</v>
      </c>
      <c r="C28" s="15" t="s">
        <v>37</v>
      </c>
      <c r="D28" s="37">
        <v>28900</v>
      </c>
      <c r="E28" s="37">
        <v>28900</v>
      </c>
      <c r="F28" s="38">
        <f t="shared" si="0"/>
        <v>0</v>
      </c>
      <c r="G28" s="40"/>
      <c r="H28" s="39">
        <v>28900</v>
      </c>
      <c r="I28" s="16">
        <f t="shared" si="1"/>
        <v>1</v>
      </c>
      <c r="J28" s="45">
        <f t="shared" si="2"/>
        <v>0</v>
      </c>
      <c r="K28" s="27">
        <f t="shared" si="7"/>
        <v>1445</v>
      </c>
    </row>
    <row r="29" spans="1:11" ht="13.5" x14ac:dyDescent="0.25">
      <c r="A29" s="60" t="s">
        <v>69</v>
      </c>
      <c r="B29" s="61" t="s">
        <v>73</v>
      </c>
      <c r="C29" s="15"/>
      <c r="D29" s="37">
        <v>24900</v>
      </c>
      <c r="E29" s="37">
        <v>24900</v>
      </c>
      <c r="F29" s="38">
        <f t="shared" si="0"/>
        <v>0</v>
      </c>
      <c r="G29" s="40"/>
      <c r="H29" s="39">
        <v>24900</v>
      </c>
      <c r="I29" s="16">
        <f t="shared" si="1"/>
        <v>1</v>
      </c>
      <c r="J29" s="45">
        <f t="shared" si="2"/>
        <v>0</v>
      </c>
      <c r="K29" s="27">
        <f t="shared" si="7"/>
        <v>1245</v>
      </c>
    </row>
    <row r="30" spans="1:11" ht="13.5" x14ac:dyDescent="0.25">
      <c r="A30" s="60" t="s">
        <v>61</v>
      </c>
      <c r="B30" s="61" t="s">
        <v>70</v>
      </c>
      <c r="C30" s="15"/>
      <c r="D30" s="37">
        <v>19700</v>
      </c>
      <c r="E30" s="37">
        <v>19700</v>
      </c>
      <c r="F30" s="38">
        <f t="shared" si="0"/>
        <v>0</v>
      </c>
      <c r="G30" s="40"/>
      <c r="H30" s="39">
        <v>19700</v>
      </c>
      <c r="I30" s="16">
        <f t="shared" si="1"/>
        <v>1</v>
      </c>
      <c r="J30" s="45">
        <f t="shared" si="2"/>
        <v>0</v>
      </c>
      <c r="K30" s="27">
        <f t="shared" si="7"/>
        <v>985</v>
      </c>
    </row>
    <row r="31" spans="1:11" ht="13.5" x14ac:dyDescent="0.25">
      <c r="A31" s="60" t="s">
        <v>63</v>
      </c>
      <c r="B31" s="61" t="s">
        <v>70</v>
      </c>
      <c r="C31" s="15" t="s">
        <v>37</v>
      </c>
      <c r="D31" s="37">
        <v>33500</v>
      </c>
      <c r="E31" s="37">
        <v>33500</v>
      </c>
      <c r="F31" s="38">
        <f t="shared" si="0"/>
        <v>0</v>
      </c>
      <c r="G31" s="40"/>
      <c r="H31" s="39">
        <v>33500</v>
      </c>
      <c r="I31" s="16">
        <f t="shared" si="1"/>
        <v>1</v>
      </c>
      <c r="J31" s="45">
        <f t="shared" si="2"/>
        <v>0</v>
      </c>
      <c r="K31" s="27">
        <f t="shared" si="7"/>
        <v>1675</v>
      </c>
    </row>
    <row r="32" spans="1:11" ht="13.5" x14ac:dyDescent="0.25">
      <c r="A32" s="60" t="s">
        <v>64</v>
      </c>
      <c r="B32" s="61" t="s">
        <v>70</v>
      </c>
      <c r="C32" s="15"/>
      <c r="D32" s="37">
        <v>65300</v>
      </c>
      <c r="E32" s="37">
        <v>65300</v>
      </c>
      <c r="F32" s="38">
        <f t="shared" si="0"/>
        <v>0</v>
      </c>
      <c r="G32" s="40"/>
      <c r="H32" s="39">
        <v>65300</v>
      </c>
      <c r="I32" s="16">
        <f t="shared" si="1"/>
        <v>1</v>
      </c>
      <c r="J32" s="45">
        <f t="shared" si="2"/>
        <v>0</v>
      </c>
      <c r="K32" s="27">
        <f t="shared" si="7"/>
        <v>3265</v>
      </c>
    </row>
    <row r="33" spans="1:11" ht="13.5" x14ac:dyDescent="0.25">
      <c r="A33" s="60" t="s">
        <v>45</v>
      </c>
      <c r="B33" s="61" t="s">
        <v>71</v>
      </c>
      <c r="C33" s="15"/>
      <c r="D33" s="37">
        <v>22200</v>
      </c>
      <c r="E33" s="37">
        <v>22200</v>
      </c>
      <c r="F33" s="38">
        <f t="shared" si="0"/>
        <v>0</v>
      </c>
      <c r="G33" s="40"/>
      <c r="H33" s="39">
        <v>22200</v>
      </c>
      <c r="I33" s="16">
        <f t="shared" si="1"/>
        <v>1</v>
      </c>
      <c r="J33" s="45">
        <f t="shared" si="2"/>
        <v>0</v>
      </c>
      <c r="K33" s="27">
        <f t="shared" si="7"/>
        <v>1110</v>
      </c>
    </row>
    <row r="34" spans="1:11" ht="13.5" x14ac:dyDescent="0.25">
      <c r="A34" s="60" t="s">
        <v>74</v>
      </c>
      <c r="B34" s="61" t="s">
        <v>84</v>
      </c>
      <c r="C34" s="15"/>
      <c r="D34" s="37">
        <v>49700</v>
      </c>
      <c r="E34" s="37">
        <v>49700</v>
      </c>
      <c r="F34" s="38">
        <f t="shared" si="0"/>
        <v>0</v>
      </c>
      <c r="G34" s="40"/>
      <c r="H34" s="39">
        <v>49700</v>
      </c>
      <c r="I34" s="16">
        <f t="shared" si="1"/>
        <v>1</v>
      </c>
      <c r="J34" s="45">
        <f t="shared" si="2"/>
        <v>0</v>
      </c>
      <c r="K34" s="27">
        <f t="shared" si="7"/>
        <v>2485</v>
      </c>
    </row>
    <row r="35" spans="1:11" ht="13.5" x14ac:dyDescent="0.25">
      <c r="A35" s="60" t="s">
        <v>74</v>
      </c>
      <c r="B35" s="61" t="s">
        <v>85</v>
      </c>
      <c r="C35" s="15"/>
      <c r="D35" s="37">
        <v>4800</v>
      </c>
      <c r="E35" s="37">
        <v>4800</v>
      </c>
      <c r="F35" s="38">
        <f t="shared" si="0"/>
        <v>0</v>
      </c>
      <c r="G35" s="40"/>
      <c r="H35" s="39">
        <v>4800</v>
      </c>
      <c r="I35" s="16">
        <f t="shared" si="1"/>
        <v>1</v>
      </c>
      <c r="J35" s="45">
        <f t="shared" si="2"/>
        <v>0</v>
      </c>
      <c r="K35" s="27">
        <f t="shared" si="7"/>
        <v>240</v>
      </c>
    </row>
    <row r="36" spans="1:11" ht="13.5" x14ac:dyDescent="0.25">
      <c r="A36" s="60" t="s">
        <v>74</v>
      </c>
      <c r="B36" s="61" t="s">
        <v>86</v>
      </c>
      <c r="C36" s="15"/>
      <c r="D36" s="37">
        <v>1200</v>
      </c>
      <c r="E36" s="37">
        <v>1200</v>
      </c>
      <c r="F36" s="38">
        <f t="shared" si="0"/>
        <v>0</v>
      </c>
      <c r="G36" s="40"/>
      <c r="H36" s="39">
        <v>1200</v>
      </c>
      <c r="I36" s="16">
        <f t="shared" si="1"/>
        <v>1</v>
      </c>
      <c r="J36" s="45">
        <f t="shared" si="2"/>
        <v>0</v>
      </c>
      <c r="K36" s="27">
        <f t="shared" si="7"/>
        <v>60</v>
      </c>
    </row>
    <row r="37" spans="1:11" ht="13.5" x14ac:dyDescent="0.25">
      <c r="A37" s="60" t="s">
        <v>75</v>
      </c>
      <c r="B37" s="61" t="s">
        <v>87</v>
      </c>
      <c r="C37" s="15"/>
      <c r="D37" s="37">
        <v>286600</v>
      </c>
      <c r="E37" s="37">
        <v>286600</v>
      </c>
      <c r="F37" s="38">
        <f t="shared" ref="F37:F42" si="8">H37-E37</f>
        <v>0</v>
      </c>
      <c r="G37" s="40"/>
      <c r="H37" s="39">
        <v>286600</v>
      </c>
      <c r="I37" s="16">
        <f t="shared" ref="I37:I42" si="9">H37/D37</f>
        <v>1</v>
      </c>
      <c r="J37" s="45">
        <f t="shared" ref="J37:J42" si="10">D37-H37</f>
        <v>0</v>
      </c>
      <c r="K37" s="27">
        <f t="shared" ref="K37:K42" si="11">0.05*H37</f>
        <v>14330</v>
      </c>
    </row>
    <row r="38" spans="1:11" ht="13.5" x14ac:dyDescent="0.25">
      <c r="A38" s="60" t="s">
        <v>75</v>
      </c>
      <c r="B38" s="61" t="s">
        <v>88</v>
      </c>
      <c r="C38" s="15"/>
      <c r="D38" s="37">
        <v>29700</v>
      </c>
      <c r="E38" s="37">
        <v>29700</v>
      </c>
      <c r="F38" s="38">
        <f t="shared" si="8"/>
        <v>0</v>
      </c>
      <c r="G38" s="40"/>
      <c r="H38" s="39">
        <v>29700</v>
      </c>
      <c r="I38" s="16">
        <f t="shared" si="9"/>
        <v>1</v>
      </c>
      <c r="J38" s="45">
        <f t="shared" si="10"/>
        <v>0</v>
      </c>
      <c r="K38" s="27">
        <f t="shared" si="11"/>
        <v>1485</v>
      </c>
    </row>
    <row r="39" spans="1:11" ht="13.5" x14ac:dyDescent="0.25">
      <c r="A39" s="60" t="s">
        <v>75</v>
      </c>
      <c r="B39" s="61" t="s">
        <v>89</v>
      </c>
      <c r="C39" s="15"/>
      <c r="D39" s="37">
        <v>7600</v>
      </c>
      <c r="E39" s="37">
        <v>7600</v>
      </c>
      <c r="F39" s="38">
        <f t="shared" si="8"/>
        <v>0</v>
      </c>
      <c r="G39" s="40"/>
      <c r="H39" s="39">
        <v>7600</v>
      </c>
      <c r="I39" s="16">
        <f t="shared" si="9"/>
        <v>1</v>
      </c>
      <c r="J39" s="45">
        <f t="shared" si="10"/>
        <v>0</v>
      </c>
      <c r="K39" s="27">
        <f t="shared" si="11"/>
        <v>380</v>
      </c>
    </row>
    <row r="40" spans="1:11" ht="13.5" x14ac:dyDescent="0.25">
      <c r="A40" s="60" t="s">
        <v>77</v>
      </c>
      <c r="B40" s="61" t="s">
        <v>90</v>
      </c>
      <c r="C40" s="15"/>
      <c r="D40" s="37">
        <v>249500</v>
      </c>
      <c r="E40" s="37">
        <v>249500</v>
      </c>
      <c r="F40" s="38">
        <f t="shared" si="8"/>
        <v>0</v>
      </c>
      <c r="G40" s="40"/>
      <c r="H40" s="39">
        <v>249500</v>
      </c>
      <c r="I40" s="16">
        <f t="shared" si="9"/>
        <v>1</v>
      </c>
      <c r="J40" s="45">
        <f t="shared" si="10"/>
        <v>0</v>
      </c>
      <c r="K40" s="27">
        <f t="shared" si="11"/>
        <v>12475</v>
      </c>
    </row>
    <row r="41" spans="1:11" ht="13.5" x14ac:dyDescent="0.25">
      <c r="A41" s="60" t="s">
        <v>77</v>
      </c>
      <c r="B41" s="61" t="s">
        <v>91</v>
      </c>
      <c r="C41" s="15"/>
      <c r="D41" s="37">
        <v>31300</v>
      </c>
      <c r="E41" s="37">
        <v>31300</v>
      </c>
      <c r="F41" s="38">
        <f t="shared" si="8"/>
        <v>0</v>
      </c>
      <c r="G41" s="40"/>
      <c r="H41" s="39">
        <v>31300</v>
      </c>
      <c r="I41" s="16">
        <f t="shared" si="9"/>
        <v>1</v>
      </c>
      <c r="J41" s="45">
        <f t="shared" si="10"/>
        <v>0</v>
      </c>
      <c r="K41" s="27">
        <f t="shared" si="11"/>
        <v>1565</v>
      </c>
    </row>
    <row r="42" spans="1:11" ht="13.5" x14ac:dyDescent="0.25">
      <c r="A42" s="60" t="s">
        <v>77</v>
      </c>
      <c r="B42" s="61" t="s">
        <v>92</v>
      </c>
      <c r="C42" s="15"/>
      <c r="D42" s="37">
        <v>8000</v>
      </c>
      <c r="E42" s="37">
        <v>8000</v>
      </c>
      <c r="F42" s="38">
        <f t="shared" si="8"/>
        <v>0</v>
      </c>
      <c r="G42" s="40"/>
      <c r="H42" s="39">
        <v>8000</v>
      </c>
      <c r="I42" s="16">
        <f t="shared" si="9"/>
        <v>1</v>
      </c>
      <c r="J42" s="45">
        <f t="shared" si="10"/>
        <v>0</v>
      </c>
      <c r="K42" s="27">
        <f t="shared" si="11"/>
        <v>400</v>
      </c>
    </row>
    <row r="43" spans="1:11" ht="13.5" x14ac:dyDescent="0.25">
      <c r="A43" s="60" t="s">
        <v>78</v>
      </c>
      <c r="B43" s="61" t="s">
        <v>93</v>
      </c>
      <c r="C43" s="15"/>
      <c r="D43" s="37">
        <v>249500</v>
      </c>
      <c r="E43" s="37">
        <v>249500</v>
      </c>
      <c r="F43" s="38">
        <f t="shared" si="0"/>
        <v>0</v>
      </c>
      <c r="G43" s="40"/>
      <c r="H43" s="39">
        <v>249500</v>
      </c>
      <c r="I43" s="16">
        <f t="shared" si="1"/>
        <v>1</v>
      </c>
      <c r="J43" s="45">
        <f t="shared" si="2"/>
        <v>0</v>
      </c>
      <c r="K43" s="27">
        <f t="shared" si="7"/>
        <v>12475</v>
      </c>
    </row>
    <row r="44" spans="1:11" ht="13.5" x14ac:dyDescent="0.25">
      <c r="A44" s="60" t="s">
        <v>78</v>
      </c>
      <c r="B44" s="61" t="s">
        <v>94</v>
      </c>
      <c r="C44" s="15"/>
      <c r="D44" s="37">
        <v>31300</v>
      </c>
      <c r="E44" s="37">
        <v>31300</v>
      </c>
      <c r="F44" s="38">
        <f t="shared" si="0"/>
        <v>0</v>
      </c>
      <c r="G44" s="40"/>
      <c r="H44" s="39">
        <v>31300</v>
      </c>
      <c r="I44" s="16">
        <f t="shared" si="1"/>
        <v>1</v>
      </c>
      <c r="J44" s="45">
        <f t="shared" si="2"/>
        <v>0</v>
      </c>
      <c r="K44" s="27">
        <f t="shared" si="7"/>
        <v>1565</v>
      </c>
    </row>
    <row r="45" spans="1:11" ht="13.5" x14ac:dyDescent="0.25">
      <c r="A45" s="60" t="s">
        <v>78</v>
      </c>
      <c r="B45" s="61" t="s">
        <v>95</v>
      </c>
      <c r="C45" s="15"/>
      <c r="D45" s="37">
        <v>8000</v>
      </c>
      <c r="E45" s="37">
        <v>8000</v>
      </c>
      <c r="F45" s="38">
        <f t="shared" si="0"/>
        <v>0</v>
      </c>
      <c r="G45" s="40"/>
      <c r="H45" s="39">
        <v>8000</v>
      </c>
      <c r="I45" s="16">
        <f t="shared" si="1"/>
        <v>1</v>
      </c>
      <c r="J45" s="45">
        <f t="shared" si="2"/>
        <v>0</v>
      </c>
      <c r="K45" s="27">
        <f t="shared" si="7"/>
        <v>400</v>
      </c>
    </row>
    <row r="46" spans="1:11" ht="13.5" x14ac:dyDescent="0.25">
      <c r="A46" s="60" t="s">
        <v>79</v>
      </c>
      <c r="B46" s="61" t="s">
        <v>96</v>
      </c>
      <c r="C46" s="15"/>
      <c r="D46" s="37">
        <v>183400</v>
      </c>
      <c r="E46" s="37">
        <v>183400</v>
      </c>
      <c r="F46" s="38">
        <f t="shared" si="0"/>
        <v>0</v>
      </c>
      <c r="G46" s="40"/>
      <c r="H46" s="39">
        <v>183400</v>
      </c>
      <c r="I46" s="16">
        <f t="shared" si="1"/>
        <v>1</v>
      </c>
      <c r="J46" s="45">
        <f t="shared" si="2"/>
        <v>0</v>
      </c>
      <c r="K46" s="27">
        <f t="shared" si="7"/>
        <v>9170</v>
      </c>
    </row>
    <row r="47" spans="1:11" ht="13.5" x14ac:dyDescent="0.25">
      <c r="A47" s="60" t="s">
        <v>79</v>
      </c>
      <c r="B47" s="61" t="s">
        <v>97</v>
      </c>
      <c r="C47" s="15"/>
      <c r="D47" s="37">
        <v>30700</v>
      </c>
      <c r="E47" s="37">
        <v>30700</v>
      </c>
      <c r="F47" s="38">
        <f t="shared" si="0"/>
        <v>0</v>
      </c>
      <c r="G47" s="40"/>
      <c r="H47" s="39">
        <v>30700</v>
      </c>
      <c r="I47" s="16">
        <f t="shared" si="1"/>
        <v>1</v>
      </c>
      <c r="J47" s="45">
        <f t="shared" si="2"/>
        <v>0</v>
      </c>
      <c r="K47" s="27">
        <f t="shared" si="7"/>
        <v>1535</v>
      </c>
    </row>
    <row r="48" spans="1:11" ht="13.5" x14ac:dyDescent="0.25">
      <c r="A48" s="60" t="s">
        <v>79</v>
      </c>
      <c r="B48" s="61" t="s">
        <v>98</v>
      </c>
      <c r="C48" s="15"/>
      <c r="D48" s="37">
        <v>7800</v>
      </c>
      <c r="E48" s="37">
        <v>7800</v>
      </c>
      <c r="F48" s="38">
        <f t="shared" si="0"/>
        <v>0</v>
      </c>
      <c r="G48" s="40"/>
      <c r="H48" s="39">
        <v>7800</v>
      </c>
      <c r="I48" s="16">
        <f t="shared" si="1"/>
        <v>1</v>
      </c>
      <c r="J48" s="45">
        <f t="shared" si="2"/>
        <v>0</v>
      </c>
      <c r="K48" s="27">
        <f t="shared" si="7"/>
        <v>390</v>
      </c>
    </row>
    <row r="49" spans="1:11" ht="13.5" x14ac:dyDescent="0.25">
      <c r="A49" s="60" t="s">
        <v>74</v>
      </c>
      <c r="B49" s="61" t="s">
        <v>76</v>
      </c>
      <c r="C49" s="15"/>
      <c r="D49" s="37">
        <v>9400</v>
      </c>
      <c r="E49" s="37">
        <v>0</v>
      </c>
      <c r="F49" s="38">
        <f t="shared" ref="F49:F52" si="12">H49-E49</f>
        <v>0</v>
      </c>
      <c r="G49" s="40"/>
      <c r="H49" s="39">
        <v>0</v>
      </c>
      <c r="I49" s="16">
        <f t="shared" ref="I49:I52" si="13">H49/D49</f>
        <v>0</v>
      </c>
      <c r="J49" s="45">
        <f t="shared" ref="J49:J52" si="14">D49-H49</f>
        <v>9400</v>
      </c>
      <c r="K49" s="27">
        <f t="shared" si="7"/>
        <v>0</v>
      </c>
    </row>
    <row r="50" spans="1:11" ht="13.5" x14ac:dyDescent="0.25">
      <c r="A50" s="60" t="s">
        <v>75</v>
      </c>
      <c r="B50" s="61" t="s">
        <v>80</v>
      </c>
      <c r="C50" s="15"/>
      <c r="D50" s="37">
        <v>57200</v>
      </c>
      <c r="E50" s="37">
        <v>0</v>
      </c>
      <c r="F50" s="38">
        <f t="shared" si="12"/>
        <v>34000</v>
      </c>
      <c r="G50" s="40"/>
      <c r="H50" s="39">
        <v>34000</v>
      </c>
      <c r="I50" s="16">
        <f t="shared" si="13"/>
        <v>0.59440559440559437</v>
      </c>
      <c r="J50" s="45">
        <f t="shared" si="14"/>
        <v>23200</v>
      </c>
      <c r="K50" s="27">
        <f t="shared" si="7"/>
        <v>1700</v>
      </c>
    </row>
    <row r="51" spans="1:11" ht="13.5" x14ac:dyDescent="0.25">
      <c r="A51" s="60" t="s">
        <v>77</v>
      </c>
      <c r="B51" s="61" t="s">
        <v>81</v>
      </c>
      <c r="C51" s="15"/>
      <c r="D51" s="37">
        <v>59600</v>
      </c>
      <c r="E51" s="37">
        <v>38740</v>
      </c>
      <c r="F51" s="38">
        <f t="shared" si="12"/>
        <v>17260</v>
      </c>
      <c r="G51" s="40"/>
      <c r="H51" s="39">
        <v>56000</v>
      </c>
      <c r="I51" s="16">
        <f t="shared" si="13"/>
        <v>0.93959731543624159</v>
      </c>
      <c r="J51" s="45">
        <f t="shared" si="14"/>
        <v>3600</v>
      </c>
      <c r="K51" s="27">
        <f t="shared" si="7"/>
        <v>2800</v>
      </c>
    </row>
    <row r="52" spans="1:11" ht="13.5" x14ac:dyDescent="0.25">
      <c r="A52" s="60" t="s">
        <v>78</v>
      </c>
      <c r="B52" s="61" t="s">
        <v>82</v>
      </c>
      <c r="C52" s="15"/>
      <c r="D52" s="37">
        <v>59600</v>
      </c>
      <c r="E52" s="37">
        <v>41720</v>
      </c>
      <c r="F52" s="38">
        <f t="shared" si="12"/>
        <v>14280</v>
      </c>
      <c r="G52" s="40"/>
      <c r="H52" s="39">
        <v>56000</v>
      </c>
      <c r="I52" s="16">
        <f t="shared" si="13"/>
        <v>0.93959731543624159</v>
      </c>
      <c r="J52" s="45">
        <f t="shared" si="14"/>
        <v>3600</v>
      </c>
      <c r="K52" s="27">
        <f t="shared" si="7"/>
        <v>2800</v>
      </c>
    </row>
    <row r="53" spans="1:11" ht="13.5" x14ac:dyDescent="0.25">
      <c r="A53" s="62" t="s">
        <v>79</v>
      </c>
      <c r="B53" s="61" t="s">
        <v>83</v>
      </c>
      <c r="C53" s="15"/>
      <c r="D53" s="37">
        <v>58400</v>
      </c>
      <c r="E53" s="37">
        <v>29200</v>
      </c>
      <c r="F53" s="38">
        <f>H53-E53</f>
        <v>14800</v>
      </c>
      <c r="G53" s="40"/>
      <c r="H53" s="39">
        <v>44000</v>
      </c>
      <c r="I53" s="16">
        <f>H53/D53</f>
        <v>0.75342465753424659</v>
      </c>
      <c r="J53" s="45">
        <f t="shared" ref="J53:J77" si="15">D53-H53</f>
        <v>14400</v>
      </c>
      <c r="K53" s="27">
        <f t="shared" si="7"/>
        <v>2200</v>
      </c>
    </row>
    <row r="54" spans="1:11" ht="13.5" x14ac:dyDescent="0.25">
      <c r="A54" s="60" t="s">
        <v>6</v>
      </c>
      <c r="B54" s="61" t="s">
        <v>6</v>
      </c>
      <c r="C54" s="15"/>
      <c r="D54" s="37"/>
      <c r="E54" s="37"/>
      <c r="F54" s="38"/>
      <c r="G54" s="40"/>
      <c r="H54" s="39"/>
      <c r="I54" s="16"/>
      <c r="J54" s="45"/>
      <c r="K54" s="27"/>
    </row>
    <row r="55" spans="1:11" ht="15" x14ac:dyDescent="0.25">
      <c r="A55" s="78" t="s">
        <v>20</v>
      </c>
      <c r="B55" s="79"/>
      <c r="C55" s="15"/>
      <c r="D55" s="37">
        <f t="shared" ref="D55:H55" si="16">SUM(D14:D54)</f>
        <v>2469500</v>
      </c>
      <c r="E55" s="37">
        <f t="shared" si="16"/>
        <v>2334960</v>
      </c>
      <c r="F55" s="37">
        <f t="shared" si="16"/>
        <v>80340</v>
      </c>
      <c r="G55" s="37">
        <f t="shared" si="16"/>
        <v>0</v>
      </c>
      <c r="H55" s="37">
        <f t="shared" si="16"/>
        <v>2415300</v>
      </c>
      <c r="I55" s="16">
        <f t="shared" ref="I55" si="17">H55/D55</f>
        <v>0.97805223729499902</v>
      </c>
      <c r="J55" s="45">
        <f>D55-H55</f>
        <v>54200</v>
      </c>
      <c r="K55" s="37">
        <f>SUM(K14:K54)</f>
        <v>120765</v>
      </c>
    </row>
    <row r="56" spans="1:11" ht="20.100000000000001" customHeight="1" x14ac:dyDescent="0.2">
      <c r="A56" s="17"/>
      <c r="B56" s="14" t="s">
        <v>17</v>
      </c>
      <c r="C56" s="15"/>
      <c r="D56" s="37"/>
      <c r="E56" s="37"/>
      <c r="F56" s="38"/>
      <c r="G56" s="40"/>
      <c r="H56" s="39"/>
      <c r="I56" s="16"/>
      <c r="J56" s="45"/>
      <c r="K56" s="27"/>
    </row>
    <row r="57" spans="1:11" ht="12" customHeight="1" x14ac:dyDescent="0.2">
      <c r="A57" s="65" t="s">
        <v>101</v>
      </c>
      <c r="B57" s="69" t="s">
        <v>115</v>
      </c>
      <c r="C57" s="15"/>
      <c r="D57" s="37">
        <v>26645</v>
      </c>
      <c r="E57" s="37">
        <v>26645</v>
      </c>
      <c r="F57" s="38">
        <f t="shared" ref="F57:F77" si="18">H57-E57</f>
        <v>0</v>
      </c>
      <c r="G57" s="41"/>
      <c r="H57" s="39">
        <v>26645</v>
      </c>
      <c r="I57" s="16">
        <f t="shared" ref="I57:I78" si="19">H57/D57</f>
        <v>1</v>
      </c>
      <c r="J57" s="45">
        <f t="shared" si="15"/>
        <v>0</v>
      </c>
      <c r="K57" s="27">
        <f t="shared" ref="K57:K73" si="20">0.05*H57</f>
        <v>1332.25</v>
      </c>
    </row>
    <row r="58" spans="1:11" ht="12" customHeight="1" x14ac:dyDescent="0.2">
      <c r="A58" s="65" t="s">
        <v>119</v>
      </c>
      <c r="B58" s="70" t="s">
        <v>116</v>
      </c>
      <c r="C58" s="15"/>
      <c r="D58" s="37">
        <v>121400</v>
      </c>
      <c r="E58" s="37">
        <v>121400</v>
      </c>
      <c r="F58" s="38">
        <f t="shared" ref="F58:F59" si="21">H58-E58</f>
        <v>0</v>
      </c>
      <c r="G58" s="40"/>
      <c r="H58" s="39">
        <v>121400</v>
      </c>
      <c r="I58" s="16">
        <f t="shared" ref="I58:I59" si="22">H58/D58</f>
        <v>1</v>
      </c>
      <c r="J58" s="45">
        <f t="shared" ref="J58:J59" si="23">D58-H58</f>
        <v>0</v>
      </c>
      <c r="K58" s="27">
        <f t="shared" ref="K58:K59" si="24">0.05*H58</f>
        <v>6070</v>
      </c>
    </row>
    <row r="59" spans="1:11" ht="12" customHeight="1" x14ac:dyDescent="0.2">
      <c r="A59" s="65" t="s">
        <v>118</v>
      </c>
      <c r="B59" s="70" t="s">
        <v>117</v>
      </c>
      <c r="C59" s="15"/>
      <c r="D59" s="37">
        <v>-32700</v>
      </c>
      <c r="E59" s="37">
        <v>-32700</v>
      </c>
      <c r="F59" s="38">
        <f t="shared" si="21"/>
        <v>0</v>
      </c>
      <c r="G59" s="40"/>
      <c r="H59" s="39">
        <v>-32700</v>
      </c>
      <c r="I59" s="16">
        <f t="shared" si="22"/>
        <v>1</v>
      </c>
      <c r="J59" s="45">
        <f t="shared" si="23"/>
        <v>0</v>
      </c>
      <c r="K59" s="27">
        <f t="shared" si="24"/>
        <v>-1635</v>
      </c>
    </row>
    <row r="60" spans="1:11" ht="12" customHeight="1" x14ac:dyDescent="0.2">
      <c r="A60" s="65" t="s">
        <v>102</v>
      </c>
      <c r="B60" s="70" t="s">
        <v>120</v>
      </c>
      <c r="C60" s="15"/>
      <c r="D60" s="37">
        <v>2658</v>
      </c>
      <c r="E60" s="37">
        <v>2658</v>
      </c>
      <c r="F60" s="38">
        <f>H60-E60</f>
        <v>0</v>
      </c>
      <c r="G60" s="40"/>
      <c r="H60" s="39">
        <v>2658</v>
      </c>
      <c r="I60" s="16">
        <f>H60/D60</f>
        <v>1</v>
      </c>
      <c r="J60" s="45">
        <f>D60-H60</f>
        <v>0</v>
      </c>
      <c r="K60" s="27">
        <f>0.05*H60</f>
        <v>132.9</v>
      </c>
    </row>
    <row r="61" spans="1:11" ht="12" customHeight="1" x14ac:dyDescent="0.2">
      <c r="A61" s="65" t="s">
        <v>103</v>
      </c>
      <c r="B61" s="70" t="s">
        <v>121</v>
      </c>
      <c r="C61" s="15"/>
      <c r="D61" s="37">
        <v>-17190</v>
      </c>
      <c r="E61" s="37">
        <v>-17190</v>
      </c>
      <c r="F61" s="38">
        <f>H61-E61</f>
        <v>0</v>
      </c>
      <c r="G61" s="40"/>
      <c r="H61" s="39">
        <v>-17190</v>
      </c>
      <c r="I61" s="16">
        <f>H61/D61</f>
        <v>1</v>
      </c>
      <c r="J61" s="45">
        <f>D61-H61</f>
        <v>0</v>
      </c>
      <c r="K61" s="27">
        <f>0.05*H61</f>
        <v>-859.5</v>
      </c>
    </row>
    <row r="62" spans="1:11" ht="12" customHeight="1" x14ac:dyDescent="0.2">
      <c r="A62" s="65" t="s">
        <v>104</v>
      </c>
      <c r="B62" s="69" t="s">
        <v>122</v>
      </c>
      <c r="C62" s="15"/>
      <c r="D62" s="37">
        <v>3265</v>
      </c>
      <c r="E62" s="37">
        <v>3265</v>
      </c>
      <c r="F62" s="38">
        <f t="shared" ref="F62:F64" si="25">H62-E62</f>
        <v>0</v>
      </c>
      <c r="G62" s="41"/>
      <c r="H62" s="39">
        <v>3265</v>
      </c>
      <c r="I62" s="16">
        <f t="shared" ref="I62:I64" si="26">H62/D62</f>
        <v>1</v>
      </c>
      <c r="J62" s="45">
        <f t="shared" ref="J62:J64" si="27">D62-H62</f>
        <v>0</v>
      </c>
      <c r="K62" s="27">
        <f t="shared" ref="K62:K64" si="28">0.05*H62</f>
        <v>163.25</v>
      </c>
    </row>
    <row r="63" spans="1:11" ht="12" customHeight="1" x14ac:dyDescent="0.2">
      <c r="A63" s="65" t="s">
        <v>105</v>
      </c>
      <c r="B63" s="70" t="s">
        <v>123</v>
      </c>
      <c r="C63" s="15"/>
      <c r="D63" s="37">
        <v>27681</v>
      </c>
      <c r="E63" s="37">
        <v>12000</v>
      </c>
      <c r="F63" s="38">
        <f t="shared" si="25"/>
        <v>9500</v>
      </c>
      <c r="G63" s="40"/>
      <c r="H63" s="39">
        <v>21500</v>
      </c>
      <c r="I63" s="16">
        <f t="shared" si="26"/>
        <v>0.77670604385679709</v>
      </c>
      <c r="J63" s="45">
        <f t="shared" si="27"/>
        <v>6181</v>
      </c>
      <c r="K63" s="27">
        <f t="shared" si="28"/>
        <v>1075</v>
      </c>
    </row>
    <row r="64" spans="1:11" ht="12" customHeight="1" x14ac:dyDescent="0.2">
      <c r="A64" s="65" t="s">
        <v>106</v>
      </c>
      <c r="B64" s="70" t="s">
        <v>124</v>
      </c>
      <c r="C64" s="15"/>
      <c r="D64" s="37">
        <v>32700</v>
      </c>
      <c r="E64" s="37">
        <v>32700</v>
      </c>
      <c r="F64" s="38">
        <f t="shared" si="25"/>
        <v>0</v>
      </c>
      <c r="G64" s="40"/>
      <c r="H64" s="39">
        <v>32700</v>
      </c>
      <c r="I64" s="16">
        <f t="shared" si="26"/>
        <v>1</v>
      </c>
      <c r="J64" s="45">
        <f t="shared" si="27"/>
        <v>0</v>
      </c>
      <c r="K64" s="27">
        <f t="shared" si="28"/>
        <v>1635</v>
      </c>
    </row>
    <row r="65" spans="1:11" ht="12" customHeight="1" x14ac:dyDescent="0.2">
      <c r="A65" s="65" t="s">
        <v>107</v>
      </c>
      <c r="B65" s="70" t="s">
        <v>125</v>
      </c>
      <c r="C65" s="15"/>
      <c r="D65" s="37">
        <v>10620</v>
      </c>
      <c r="E65" s="37">
        <v>10620</v>
      </c>
      <c r="F65" s="38">
        <f t="shared" si="18"/>
        <v>0</v>
      </c>
      <c r="G65" s="40"/>
      <c r="H65" s="39">
        <v>10620</v>
      </c>
      <c r="I65" s="16">
        <f t="shared" si="19"/>
        <v>1</v>
      </c>
      <c r="J65" s="45">
        <f t="shared" si="15"/>
        <v>0</v>
      </c>
      <c r="K65" s="27">
        <f t="shared" si="20"/>
        <v>531</v>
      </c>
    </row>
    <row r="66" spans="1:11" ht="12" customHeight="1" x14ac:dyDescent="0.2">
      <c r="A66" s="65" t="s">
        <v>108</v>
      </c>
      <c r="B66" s="70" t="s">
        <v>126</v>
      </c>
      <c r="C66" s="15"/>
      <c r="D66" s="37">
        <v>6290</v>
      </c>
      <c r="E66" s="37">
        <v>6290</v>
      </c>
      <c r="F66" s="38">
        <f t="shared" si="18"/>
        <v>0</v>
      </c>
      <c r="G66" s="40"/>
      <c r="H66" s="39">
        <v>6290</v>
      </c>
      <c r="I66" s="16">
        <f t="shared" si="19"/>
        <v>1</v>
      </c>
      <c r="J66" s="45">
        <f t="shared" si="15"/>
        <v>0</v>
      </c>
      <c r="K66" s="27">
        <f t="shared" si="20"/>
        <v>314.5</v>
      </c>
    </row>
    <row r="67" spans="1:11" ht="12" customHeight="1" x14ac:dyDescent="0.2">
      <c r="A67" s="65" t="s">
        <v>109</v>
      </c>
      <c r="B67" s="70" t="s">
        <v>127</v>
      </c>
      <c r="C67" s="15"/>
      <c r="D67" s="37">
        <v>4634</v>
      </c>
      <c r="E67" s="37">
        <v>4634</v>
      </c>
      <c r="F67" s="38">
        <f>H67-E67</f>
        <v>0</v>
      </c>
      <c r="G67" s="40"/>
      <c r="H67" s="39">
        <v>4634</v>
      </c>
      <c r="I67" s="16">
        <f>H67/D67</f>
        <v>1</v>
      </c>
      <c r="J67" s="45">
        <f>D67-H67</f>
        <v>0</v>
      </c>
      <c r="K67" s="27">
        <f>0.05*H67</f>
        <v>231.70000000000002</v>
      </c>
    </row>
    <row r="68" spans="1:11" ht="12" customHeight="1" x14ac:dyDescent="0.2">
      <c r="A68" s="65" t="s">
        <v>110</v>
      </c>
      <c r="B68" s="70" t="s">
        <v>128</v>
      </c>
      <c r="C68" s="15"/>
      <c r="D68" s="37">
        <v>12219</v>
      </c>
      <c r="E68" s="37">
        <v>12219</v>
      </c>
      <c r="F68" s="38">
        <f>H68-E68</f>
        <v>0</v>
      </c>
      <c r="G68" s="40"/>
      <c r="H68" s="39">
        <v>12219</v>
      </c>
      <c r="I68" s="16">
        <f>H68/D68</f>
        <v>1</v>
      </c>
      <c r="J68" s="45">
        <f>D68-H68</f>
        <v>0</v>
      </c>
      <c r="K68" s="27">
        <f>0.05*H68</f>
        <v>610.95000000000005</v>
      </c>
    </row>
    <row r="69" spans="1:11" ht="12" customHeight="1" x14ac:dyDescent="0.2">
      <c r="A69" s="65" t="s">
        <v>111</v>
      </c>
      <c r="B69" s="69" t="s">
        <v>130</v>
      </c>
      <c r="C69" s="15"/>
      <c r="D69" s="37">
        <v>1232</v>
      </c>
      <c r="E69" s="37">
        <v>1232</v>
      </c>
      <c r="F69" s="38">
        <f t="shared" si="18"/>
        <v>0</v>
      </c>
      <c r="G69" s="41"/>
      <c r="H69" s="39">
        <v>1232</v>
      </c>
      <c r="I69" s="16">
        <f t="shared" si="19"/>
        <v>1</v>
      </c>
      <c r="J69" s="45">
        <f t="shared" si="15"/>
        <v>0</v>
      </c>
      <c r="K69" s="27">
        <f t="shared" si="20"/>
        <v>61.6</v>
      </c>
    </row>
    <row r="70" spans="1:11" ht="12" customHeight="1" x14ac:dyDescent="0.2">
      <c r="A70" s="65" t="s">
        <v>112</v>
      </c>
      <c r="B70" s="70" t="s">
        <v>129</v>
      </c>
      <c r="C70" s="15"/>
      <c r="D70" s="37">
        <v>31612</v>
      </c>
      <c r="E70" s="37">
        <v>31612</v>
      </c>
      <c r="F70" s="38">
        <f t="shared" si="18"/>
        <v>0</v>
      </c>
      <c r="G70" s="40"/>
      <c r="H70" s="39">
        <v>31612</v>
      </c>
      <c r="I70" s="16">
        <f t="shared" si="19"/>
        <v>1</v>
      </c>
      <c r="J70" s="45">
        <f t="shared" si="15"/>
        <v>0</v>
      </c>
      <c r="K70" s="27">
        <f t="shared" si="20"/>
        <v>1580.6000000000001</v>
      </c>
    </row>
    <row r="71" spans="1:11" ht="12" customHeight="1" x14ac:dyDescent="0.2">
      <c r="A71" s="65" t="s">
        <v>113</v>
      </c>
      <c r="B71" s="70" t="s">
        <v>131</v>
      </c>
      <c r="C71" s="15"/>
      <c r="D71" s="37">
        <v>1891</v>
      </c>
      <c r="E71" s="37">
        <v>1891</v>
      </c>
      <c r="F71" s="38">
        <f t="shared" si="18"/>
        <v>0</v>
      </c>
      <c r="G71" s="40"/>
      <c r="H71" s="39">
        <v>1891</v>
      </c>
      <c r="I71" s="16">
        <f t="shared" si="19"/>
        <v>1</v>
      </c>
      <c r="J71" s="45">
        <f t="shared" si="15"/>
        <v>0</v>
      </c>
      <c r="K71" s="27">
        <f t="shared" si="20"/>
        <v>94.550000000000011</v>
      </c>
    </row>
    <row r="72" spans="1:11" x14ac:dyDescent="0.2">
      <c r="A72" s="65" t="s">
        <v>114</v>
      </c>
      <c r="B72" s="71" t="s">
        <v>132</v>
      </c>
      <c r="C72" s="15"/>
      <c r="D72" s="37">
        <v>36748</v>
      </c>
      <c r="E72" s="37">
        <v>36748</v>
      </c>
      <c r="F72" s="38">
        <f t="shared" si="18"/>
        <v>0</v>
      </c>
      <c r="G72" s="40"/>
      <c r="H72" s="39">
        <v>36748</v>
      </c>
      <c r="I72" s="16">
        <f t="shared" si="19"/>
        <v>1</v>
      </c>
      <c r="J72" s="45">
        <f t="shared" si="15"/>
        <v>0</v>
      </c>
      <c r="K72" s="27">
        <f t="shared" si="20"/>
        <v>1837.4</v>
      </c>
    </row>
    <row r="73" spans="1:11" x14ac:dyDescent="0.2">
      <c r="A73" s="65" t="s">
        <v>133</v>
      </c>
      <c r="B73" s="71" t="s">
        <v>135</v>
      </c>
      <c r="C73" s="15"/>
      <c r="D73" s="37">
        <v>19140</v>
      </c>
      <c r="E73" s="37">
        <v>19140</v>
      </c>
      <c r="F73" s="38">
        <f t="shared" si="18"/>
        <v>0</v>
      </c>
      <c r="G73" s="40"/>
      <c r="H73" s="39">
        <v>19140</v>
      </c>
      <c r="I73" s="16">
        <f t="shared" si="19"/>
        <v>1</v>
      </c>
      <c r="J73" s="45">
        <f t="shared" si="15"/>
        <v>0</v>
      </c>
      <c r="K73" s="73">
        <f t="shared" si="20"/>
        <v>957</v>
      </c>
    </row>
    <row r="74" spans="1:11" x14ac:dyDescent="0.2">
      <c r="A74" s="65" t="s">
        <v>134</v>
      </c>
      <c r="B74" s="71"/>
      <c r="C74" s="15"/>
      <c r="D74" s="37"/>
      <c r="E74" s="37"/>
      <c r="F74" s="38">
        <f t="shared" si="18"/>
        <v>0</v>
      </c>
      <c r="G74" s="40"/>
      <c r="H74" s="39"/>
      <c r="I74" s="16" t="e">
        <f t="shared" si="19"/>
        <v>#DIV/0!</v>
      </c>
      <c r="J74" s="45">
        <f t="shared" si="15"/>
        <v>0</v>
      </c>
      <c r="K74" s="73"/>
    </row>
    <row r="75" spans="1:11" x14ac:dyDescent="0.2">
      <c r="A75" s="72"/>
      <c r="B75" s="71"/>
      <c r="C75" s="15"/>
      <c r="D75" s="37"/>
      <c r="E75" s="37"/>
      <c r="F75" s="38">
        <f t="shared" si="18"/>
        <v>0</v>
      </c>
      <c r="G75" s="40"/>
      <c r="H75" s="39"/>
      <c r="I75" s="16" t="e">
        <f t="shared" si="19"/>
        <v>#DIV/0!</v>
      </c>
      <c r="J75" s="45">
        <f t="shared" si="15"/>
        <v>0</v>
      </c>
      <c r="K75" s="73"/>
    </row>
    <row r="76" spans="1:11" x14ac:dyDescent="0.2">
      <c r="A76" s="72"/>
      <c r="B76" s="71"/>
      <c r="C76" s="15"/>
      <c r="D76" s="37"/>
      <c r="E76" s="37"/>
      <c r="F76" s="38">
        <f t="shared" si="18"/>
        <v>0</v>
      </c>
      <c r="G76" s="40"/>
      <c r="H76" s="39"/>
      <c r="I76" s="16" t="e">
        <f t="shared" si="19"/>
        <v>#DIV/0!</v>
      </c>
      <c r="J76" s="45">
        <f t="shared" si="15"/>
        <v>0</v>
      </c>
      <c r="K76" s="73"/>
    </row>
    <row r="77" spans="1:11" x14ac:dyDescent="0.2">
      <c r="A77" s="72"/>
      <c r="B77" s="71"/>
      <c r="C77" s="15"/>
      <c r="D77" s="37"/>
      <c r="E77" s="37"/>
      <c r="F77" s="38">
        <f t="shared" si="18"/>
        <v>0</v>
      </c>
      <c r="G77" s="40"/>
      <c r="H77" s="39"/>
      <c r="I77" s="16" t="e">
        <f t="shared" si="19"/>
        <v>#DIV/0!</v>
      </c>
      <c r="J77" s="45">
        <f t="shared" si="15"/>
        <v>0</v>
      </c>
      <c r="K77" s="73"/>
    </row>
    <row r="78" spans="1:11" ht="15" x14ac:dyDescent="0.25">
      <c r="A78" s="66">
        <f>SUM(D57:D77)</f>
        <v>288845</v>
      </c>
      <c r="B78" s="63" t="s">
        <v>21</v>
      </c>
      <c r="C78" s="64"/>
      <c r="D78" s="37">
        <f>SUM(D55:D77)</f>
        <v>2758345</v>
      </c>
      <c r="E78" s="37">
        <f>SUM(E55:E77)</f>
        <v>2608124</v>
      </c>
      <c r="F78" s="37">
        <f t="shared" ref="F78:K78" si="29">SUM(F55:F77)</f>
        <v>89840</v>
      </c>
      <c r="G78" s="37">
        <f t="shared" si="29"/>
        <v>0</v>
      </c>
      <c r="H78" s="37">
        <f t="shared" si="29"/>
        <v>2697964</v>
      </c>
      <c r="I78" s="16">
        <f t="shared" si="19"/>
        <v>0.97810969983812757</v>
      </c>
      <c r="J78" s="37">
        <f t="shared" si="29"/>
        <v>60381</v>
      </c>
      <c r="K78" s="37">
        <f t="shared" si="29"/>
        <v>134898.19999999998</v>
      </c>
    </row>
    <row r="79" spans="1:11" x14ac:dyDescent="0.2">
      <c r="I79" s="2"/>
    </row>
    <row r="80" spans="1:11" x14ac:dyDescent="0.2">
      <c r="I80" s="2"/>
    </row>
    <row r="81" spans="3:9" x14ac:dyDescent="0.2">
      <c r="C81" s="18"/>
      <c r="I81" s="2"/>
    </row>
    <row r="82" spans="3:9" x14ac:dyDescent="0.2">
      <c r="I82" s="2"/>
    </row>
    <row r="83" spans="3:9" x14ac:dyDescent="0.2">
      <c r="I83" s="2"/>
    </row>
    <row r="84" spans="3:9" x14ac:dyDescent="0.2">
      <c r="I84" s="2"/>
    </row>
    <row r="85" spans="3:9" x14ac:dyDescent="0.2">
      <c r="I85" s="2"/>
    </row>
    <row r="86" spans="3:9" x14ac:dyDescent="0.2">
      <c r="I86" s="2"/>
    </row>
    <row r="87" spans="3:9" x14ac:dyDescent="0.2">
      <c r="I87" s="2"/>
    </row>
    <row r="88" spans="3:9" x14ac:dyDescent="0.2">
      <c r="I88" s="2"/>
    </row>
    <row r="89" spans="3:9" x14ac:dyDescent="0.2">
      <c r="I89" s="2"/>
    </row>
    <row r="90" spans="3:9" x14ac:dyDescent="0.2">
      <c r="I90" s="2"/>
    </row>
    <row r="91" spans="3:9" x14ac:dyDescent="0.2">
      <c r="I91" s="2"/>
    </row>
    <row r="92" spans="3:9" x14ac:dyDescent="0.2">
      <c r="I92" s="2"/>
    </row>
    <row r="93" spans="3:9" x14ac:dyDescent="0.2">
      <c r="I93" s="2"/>
    </row>
    <row r="94" spans="3:9" x14ac:dyDescent="0.2">
      <c r="I94" s="2"/>
    </row>
    <row r="95" spans="3:9" x14ac:dyDescent="0.2">
      <c r="I95" s="2"/>
    </row>
    <row r="96" spans="3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</sheetData>
  <mergeCells count="3"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rowBreaks count="1" manualBreakCount="1">
    <brk id="55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2016-08-19T16:20:44Z</cp:lastPrinted>
  <dcterms:created xsi:type="dcterms:W3CDTF">2001-02-05T15:33:02Z</dcterms:created>
  <dcterms:modified xsi:type="dcterms:W3CDTF">2016-08-19T16:21:07Z</dcterms:modified>
</cp:coreProperties>
</file>