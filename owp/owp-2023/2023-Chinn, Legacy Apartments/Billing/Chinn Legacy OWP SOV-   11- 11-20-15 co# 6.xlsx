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<sst xmlns="http://schemas.openxmlformats.org/spreadsheetml/2006/main" count="162" uniqueCount="124">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</sst>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0" fontId="1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B1" zoomScale="130" zoomScaleNormal="130" zoomScaleSheetLayoutView="100" workbookViewId="0">
      <selection activeCell="H63" sqref="H63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11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42328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11628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5" t="s">
        <v>29</v>
      </c>
      <c r="I8" s="76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3" t="s">
        <v>32</v>
      </c>
      <c r="F9" s="74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1142105</v>
      </c>
      <c r="F13" s="36">
        <f>SUM(F14:F54)</f>
        <v>284430</v>
      </c>
      <c r="G13" s="36"/>
      <c r="H13" s="36">
        <f>SUM(H14:H54)</f>
        <v>1426535</v>
      </c>
      <c r="I13" s="12">
        <f>H13/D13</f>
        <v>0.5776614699331849</v>
      </c>
      <c r="J13" s="43">
        <f>SUM(J14:J54)</f>
        <v>1042965</v>
      </c>
      <c r="K13" s="27">
        <f>SUM(K14:K54)</f>
        <v>71326.75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49800</v>
      </c>
      <c r="F22" s="39">
        <f t="shared" si="0"/>
        <v>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86000</v>
      </c>
      <c r="F23" s="39">
        <f t="shared" si="0"/>
        <v>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172000</v>
      </c>
      <c r="F24" s="39">
        <f>H24-E24</f>
        <v>0</v>
      </c>
      <c r="G24" s="41"/>
      <c r="H24" s="40">
        <v>172000</v>
      </c>
      <c r="I24" s="16">
        <f>H24/D24</f>
        <v>1</v>
      </c>
      <c r="J24" s="46">
        <f>D24-H24</f>
        <v>0</v>
      </c>
      <c r="K24" s="28">
        <f>0.05*H24</f>
        <v>8600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188600</v>
      </c>
      <c r="F25" s="39">
        <f t="shared" si="0"/>
        <v>0</v>
      </c>
      <c r="G25" s="41"/>
      <c r="H25" s="40">
        <v>188600</v>
      </c>
      <c r="I25" s="16">
        <f t="shared" si="1"/>
        <v>1</v>
      </c>
      <c r="J25" s="46">
        <f t="shared" si="2"/>
        <v>0</v>
      </c>
      <c r="K25" s="28">
        <f t="shared" si="7"/>
        <v>9430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19700</v>
      </c>
      <c r="F30" s="39">
        <f t="shared" si="0"/>
        <v>0</v>
      </c>
      <c r="G30" s="41"/>
      <c r="H30" s="40">
        <v>19700</v>
      </c>
      <c r="I30" s="16">
        <f t="shared" si="1"/>
        <v>1</v>
      </c>
      <c r="J30" s="46">
        <f t="shared" si="2"/>
        <v>0</v>
      </c>
      <c r="K30" s="28">
        <f t="shared" si="7"/>
        <v>985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33500</v>
      </c>
      <c r="F31" s="39">
        <f t="shared" si="0"/>
        <v>0</v>
      </c>
      <c r="G31" s="41"/>
      <c r="H31" s="40">
        <v>33500</v>
      </c>
      <c r="I31" s="16">
        <f t="shared" si="1"/>
        <v>1</v>
      </c>
      <c r="J31" s="46">
        <f t="shared" si="2"/>
        <v>0</v>
      </c>
      <c r="K31" s="28">
        <f t="shared" si="7"/>
        <v>1675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65300</v>
      </c>
      <c r="F32" s="39">
        <f t="shared" si="0"/>
        <v>0</v>
      </c>
      <c r="G32" s="41"/>
      <c r="H32" s="40">
        <v>65300</v>
      </c>
      <c r="I32" s="16">
        <f t="shared" si="1"/>
        <v>1</v>
      </c>
      <c r="J32" s="46">
        <f t="shared" si="2"/>
        <v>0</v>
      </c>
      <c r="K32" s="28">
        <f t="shared" si="7"/>
        <v>3265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49700</v>
      </c>
      <c r="F34" s="39">
        <f t="shared" si="0"/>
        <v>0</v>
      </c>
      <c r="G34" s="41"/>
      <c r="H34" s="40">
        <v>49700</v>
      </c>
      <c r="I34" s="16">
        <f t="shared" si="1"/>
        <v>1</v>
      </c>
      <c r="J34" s="46">
        <f t="shared" si="2"/>
        <v>0</v>
      </c>
      <c r="K34" s="28">
        <f t="shared" si="7"/>
        <v>2485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157630</v>
      </c>
      <c r="F37" s="39">
        <f t="shared" ref="F37:F42" si="8">H37-E37</f>
        <v>57320</v>
      </c>
      <c r="G37" s="41"/>
      <c r="H37" s="40">
        <v>214950</v>
      </c>
      <c r="I37" s="16">
        <f t="shared" ref="I37:I42" si="9">H37/D37</f>
        <v>0.75</v>
      </c>
      <c r="J37" s="46">
        <f t="shared" ref="J37:J42" si="10">D37-H37</f>
        <v>71650</v>
      </c>
      <c r="K37" s="28">
        <f t="shared" ref="K37:K42" si="11">0.05*H37</f>
        <v>10747.5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62375</v>
      </c>
      <c r="F40" s="39">
        <f t="shared" si="8"/>
        <v>124750</v>
      </c>
      <c r="G40" s="41"/>
      <c r="H40" s="40">
        <v>187125</v>
      </c>
      <c r="I40" s="16">
        <f t="shared" si="9"/>
        <v>0.75</v>
      </c>
      <c r="J40" s="46">
        <f t="shared" si="10"/>
        <v>62375</v>
      </c>
      <c r="K40" s="28">
        <f t="shared" si="11"/>
        <v>9356.25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74850</v>
      </c>
      <c r="G43" s="41"/>
      <c r="H43" s="40">
        <v>74850</v>
      </c>
      <c r="I43" s="16">
        <f t="shared" si="1"/>
        <v>0.3</v>
      </c>
      <c r="J43" s="46">
        <f t="shared" si="2"/>
        <v>174650</v>
      </c>
      <c r="K43" s="28">
        <f t="shared" si="7"/>
        <v>3742.5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27510</v>
      </c>
      <c r="G46" s="41"/>
      <c r="H46" s="40">
        <v>27510</v>
      </c>
      <c r="I46" s="16">
        <f t="shared" si="1"/>
        <v>0.15</v>
      </c>
      <c r="J46" s="46">
        <f t="shared" si="2"/>
        <v>155890</v>
      </c>
      <c r="K46" s="28">
        <f t="shared" si="7"/>
        <v>1375.5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7" t="s">
        <v>20</v>
      </c>
      <c r="B55" s="78"/>
      <c r="C55" s="15"/>
      <c r="D55" s="38">
        <f t="shared" ref="D55:I55" si="16">SUM(D14:D54)</f>
        <v>2469500</v>
      </c>
      <c r="E55" s="38">
        <f t="shared" si="16"/>
        <v>1142105</v>
      </c>
      <c r="F55" s="38">
        <f t="shared" si="16"/>
        <v>284430</v>
      </c>
      <c r="G55" s="38">
        <f t="shared" si="16"/>
        <v>0</v>
      </c>
      <c r="H55" s="38">
        <f t="shared" si="16"/>
        <v>1426535</v>
      </c>
      <c r="I55" s="38" t="e">
        <f t="shared" si="16"/>
        <v>#DIV/0!</v>
      </c>
      <c r="J55" s="46">
        <f>D55-H55</f>
        <v>1042965</v>
      </c>
      <c r="K55" s="38">
        <f>SUM(K14:K54)</f>
        <v>71326.75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26645</v>
      </c>
      <c r="F57" s="39">
        <f t="shared" ref="F57:F72" si="17">H57-E57</f>
        <v>0</v>
      </c>
      <c r="G57" s="42"/>
      <c r="H57" s="40">
        <v>26645</v>
      </c>
      <c r="I57" s="16">
        <f t="shared" ref="I57:I72" si="18">H57/D57</f>
        <v>1</v>
      </c>
      <c r="J57" s="46">
        <f t="shared" si="15"/>
        <v>0</v>
      </c>
      <c r="K57" s="28">
        <f t="shared" ref="K57:K72" si="19">0.05*H57</f>
        <v>1332.25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34974</v>
      </c>
      <c r="F58" s="39">
        <f t="shared" ref="F58:F59" si="20">H58-E58</f>
        <v>38170</v>
      </c>
      <c r="G58" s="41"/>
      <c r="H58" s="40">
        <v>73144</v>
      </c>
      <c r="I58" s="16">
        <f t="shared" ref="I58:I59" si="21">H58/D58</f>
        <v>0.60250411861614495</v>
      </c>
      <c r="J58" s="46">
        <f t="shared" ref="J58:J59" si="22">D58-H58</f>
        <v>48256</v>
      </c>
      <c r="K58" s="28">
        <f t="shared" ref="K58:K59" si="23">0.05*H58</f>
        <v>3657.2000000000003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-7913</v>
      </c>
      <c r="F59" s="39">
        <f t="shared" si="20"/>
        <v>0</v>
      </c>
      <c r="G59" s="41"/>
      <c r="H59" s="40">
        <v>-7913</v>
      </c>
      <c r="I59" s="16">
        <f t="shared" si="21"/>
        <v>0.24198776758409785</v>
      </c>
      <c r="J59" s="46">
        <f t="shared" si="22"/>
        <v>-24787</v>
      </c>
      <c r="K59" s="28">
        <f t="shared" si="23"/>
        <v>-395.65000000000003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0</v>
      </c>
      <c r="F61" s="39">
        <f>H61-E61</f>
        <v>0</v>
      </c>
      <c r="G61" s="41"/>
      <c r="H61" s="40">
        <v>0</v>
      </c>
      <c r="I61" s="16">
        <f>H61/D61</f>
        <v>0</v>
      </c>
      <c r="J61" s="46">
        <f>D61-H61</f>
        <v>-17190</v>
      </c>
      <c r="K61" s="28">
        <f>0.05*H61</f>
        <v>0</v>
      </c>
    </row>
    <row r="62" spans="1:11" ht="12" customHeight="1" x14ac:dyDescent="0.2">
      <c r="A62" s="66" t="s">
        <v>104</v>
      </c>
      <c r="B62" s="72" t="s">
        <v>122</v>
      </c>
      <c r="C62" s="15"/>
      <c r="D62" s="38">
        <v>3265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>
        <f t="shared" ref="I62:I64" si="25">H62/D62</f>
        <v>0</v>
      </c>
      <c r="J62" s="46">
        <f t="shared" ref="J62:J64" si="26">D62-H62</f>
        <v>3265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71" t="s">
        <v>123</v>
      </c>
      <c r="C63" s="15"/>
      <c r="D63" s="38">
        <v>27681</v>
      </c>
      <c r="E63" s="38">
        <v>0</v>
      </c>
      <c r="F63" s="39">
        <f t="shared" si="24"/>
        <v>0</v>
      </c>
      <c r="G63" s="41"/>
      <c r="H63" s="40">
        <v>0</v>
      </c>
      <c r="I63" s="16">
        <f t="shared" si="25"/>
        <v>0</v>
      </c>
      <c r="J63" s="46">
        <f t="shared" si="26"/>
        <v>27681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131759</v>
      </c>
      <c r="B73" s="64" t="s">
        <v>21</v>
      </c>
      <c r="C73" s="65"/>
      <c r="D73" s="38">
        <f t="shared" ref="D73:I73" si="28">SUM(D55:D72)</f>
        <v>2601259</v>
      </c>
      <c r="E73" s="38">
        <f t="shared" si="28"/>
        <v>1198469</v>
      </c>
      <c r="F73" s="38">
        <f t="shared" si="28"/>
        <v>322600</v>
      </c>
      <c r="G73" s="38">
        <f t="shared" si="28"/>
        <v>0</v>
      </c>
      <c r="H73" s="38">
        <f t="shared" si="28"/>
        <v>1521069</v>
      </c>
      <c r="I73" s="38" t="e">
        <f t="shared" si="28"/>
        <v>#DIV/0!</v>
      </c>
      <c r="J73" s="46">
        <f t="shared" si="15"/>
        <v>1080190</v>
      </c>
      <c r="K73" s="38">
        <f>SUM(K55:K72)</f>
        <v>76053.45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2015-11-16T17:19:47Z</dcterms:modified>
</cp:coreProperties>
</file>