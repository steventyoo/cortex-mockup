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75" i="6" l="1"/>
  <c r="K74" i="6"/>
  <c r="F73" i="6" l="1"/>
  <c r="F74" i="6"/>
  <c r="F75" i="6"/>
  <c r="F76" i="6"/>
  <c r="F77" i="6"/>
  <c r="K73" i="6" l="1"/>
  <c r="A78" i="6" l="1"/>
  <c r="J74" i="6"/>
  <c r="J75" i="6"/>
  <c r="J76" i="6"/>
  <c r="J77" i="6"/>
  <c r="J73" i="6"/>
  <c r="I73" i="6" l="1"/>
  <c r="I74" i="6"/>
  <c r="I75" i="6"/>
  <c r="I76" i="6"/>
  <c r="I77" i="6"/>
  <c r="G78" i="6"/>
  <c r="D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E78" i="6" s="1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I55" i="6" l="1"/>
  <c r="H78" i="6"/>
  <c r="I78" i="6" s="1"/>
  <c r="K13" i="6"/>
  <c r="J55" i="6"/>
  <c r="J78" i="6" s="1"/>
  <c r="K55" i="6"/>
  <c r="K78" i="6" s="1"/>
  <c r="J13" i="6"/>
  <c r="F55" i="6"/>
  <c r="F78" i="6" s="1"/>
  <c r="F13" i="6"/>
</calcChain>
</file>

<file path=xl/sharedStrings.xml><?xml version="1.0" encoding="utf-8"?>
<sst xmlns="http://schemas.openxmlformats.org/spreadsheetml/2006/main" count="177" uniqueCount="139">
  <si>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</si>
  <si>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</si>
  <si>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</si>
  <si>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</si>
  <si>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</si>
  <si>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</si>
  <si>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</si>
  <si>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</si>
  <si>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</si>
  <si>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</si>
  <si>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</si>
  <si>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</si>
  <si>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</si>
  <si>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</si>
  <si>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</si>
  <si>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</si>
  <si>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</si>
  <si>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</si>
  <si>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</si>
  <si>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</si>
  <si>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</si>
  <si>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</si>
  <si>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</si>
  <si>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</si>
  <si>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</si>
  <si>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</si>
  <si>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</si>
  <si>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</si>
  <si>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</si>
  <si>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</si>
  <si>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</si>
  <si>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</si>
  <si>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</si>
  <si>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</si>
  <si>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</si>
  <si>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</si>
  <si>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</si>
  <si>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</si>
  <si>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</si>
  <si>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</si>
  <si>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</si>
  <si>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</si>
  <si>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</si>
  <si>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</si>
  <si>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</si>
  <si>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</si>
  <si>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</si>
  <si>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</si>
  <si>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</si>
  <si>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</si>
  <si>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</si>
  <si>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</si>
  <si>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</si>
  <si>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</si>
  <si>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</si>
  <si>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</si>
  <si>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</si>
  <si>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</si>
  <si>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</si>
  <si>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</si>
  <si>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</si>
  <si>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</si>
  <si>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</si>
  <si>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</si>
  <si>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</si>
  <si>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</si>
  <si>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</si>
  <si>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</si>
  <si>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</si>
  <si>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</si>
  <si>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</si>
  <si>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</si>
  <si>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</si>
  <si>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</si>
  <si>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</si>
  <si>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</si>
  <si>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</si>
  <si>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</si>
  <si>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</si>
  <si>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</si>
  <si>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</si>
  <si>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</si>
  <si>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</si>
  <si>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</si>
  <si>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</si>
  <si>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</si>
  <si>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</si>
  <si>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</si>
  <si>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</si>
  <si>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</si>
  <si>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</si>
  <si>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</si>
  <si>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</si>
  <si>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</si>
  <si>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</si>
  <si>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</si>
  <si>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</si>
  <si>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</si>
  <si>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</si>
  <si>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</si>
  <si>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</si>
  <si>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</si>
  <si>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</si>
  <si>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</si>
  <si>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</si>
  <si>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</si>
  <si>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</si>
  <si>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</si>
  <si>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</si>
  <si>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</si>
  <si>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</si>
  <si>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</si>
  <si>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</si>
  <si>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</si>
  <si>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</si>
  <si>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</si>
  <si>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</si>
  <si>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</si>
  <si>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</si>
  <si>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</si>
  <si>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</si>
  <si>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</si>
  <si>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</si>
  <si>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</si>
  <si>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</si>
  <si>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</si>
  <si>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</si>
  <si>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</si>
  <si>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</si>
  <si>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</si>
  <si>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</si>
  <si>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</si>
  <si>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</si>
  <si>
    <t>CO# 16</t>
  </si>
  <si>
    <t>CO# 17</t>
  </si>
  <si>
    <t>furnish &amp; install zurn trench drain</t>
  </si>
  <si>
    <t>CO# 18</t>
  </si>
  <si>
    <t>realign boiler flues</t>
  </si>
  <si>
    <t>final/reconciliation cost for ADA shower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</si>
</sst>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0" fontId="5" fillId="0" borderId="31" xfId="3" quotePrefix="1" applyFont="1" applyFill="1" applyBorder="1"/>
    <xf numFmtId="4" fontId="4" fillId="0" borderId="32" xfId="3" applyNumberFormat="1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view="pageBreakPreview" zoomScaleNormal="120" zoomScaleSheetLayoutView="100" workbookViewId="0">
      <selection activeCell="I15" sqref="I15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22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42663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42674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6" t="s">
        <v>29</v>
      </c>
      <c r="I8" s="77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4" t="s">
        <v>32</v>
      </c>
      <c r="F9" s="75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2468300</v>
      </c>
      <c r="F13" s="35">
        <f>SUM(F14:F54)</f>
        <v>1200</v>
      </c>
      <c r="G13" s="35"/>
      <c r="H13" s="35">
        <f>SUM(H14:H54)</f>
        <v>2469500</v>
      </c>
      <c r="I13" s="12">
        <f>H13/D13</f>
        <v>1</v>
      </c>
      <c r="J13" s="42">
        <f>SUM(J14:J54)</f>
        <v>0</v>
      </c>
      <c r="K13" s="26">
        <f>SUM(K14:K54)</f>
        <v>123475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8200</v>
      </c>
      <c r="F49" s="38">
        <f t="shared" ref="F49:F52" si="12">H49-E49</f>
        <v>1200</v>
      </c>
      <c r="G49" s="40"/>
      <c r="H49" s="39">
        <v>9400</v>
      </c>
      <c r="I49" s="16">
        <f t="shared" ref="I49:I52" si="13">H49/D49</f>
        <v>1</v>
      </c>
      <c r="J49" s="45">
        <f t="shared" ref="J49:J52" si="14">D49-H49</f>
        <v>0</v>
      </c>
      <c r="K49" s="27">
        <f t="shared" si="7"/>
        <v>470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57200</v>
      </c>
      <c r="F50" s="38">
        <f t="shared" si="12"/>
        <v>0</v>
      </c>
      <c r="G50" s="40"/>
      <c r="H50" s="39">
        <v>57200</v>
      </c>
      <c r="I50" s="16">
        <f t="shared" si="13"/>
        <v>1</v>
      </c>
      <c r="J50" s="45">
        <f t="shared" si="14"/>
        <v>0</v>
      </c>
      <c r="K50" s="27">
        <f t="shared" si="7"/>
        <v>2860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59600</v>
      </c>
      <c r="F51" s="38">
        <f t="shared" si="12"/>
        <v>0</v>
      </c>
      <c r="G51" s="40"/>
      <c r="H51" s="39">
        <v>59600</v>
      </c>
      <c r="I51" s="16">
        <f t="shared" si="13"/>
        <v>1</v>
      </c>
      <c r="J51" s="45">
        <f t="shared" si="14"/>
        <v>0</v>
      </c>
      <c r="K51" s="27">
        <f t="shared" si="7"/>
        <v>2980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59600</v>
      </c>
      <c r="F52" s="38">
        <f t="shared" si="12"/>
        <v>0</v>
      </c>
      <c r="G52" s="40"/>
      <c r="H52" s="39">
        <v>59600</v>
      </c>
      <c r="I52" s="16">
        <f t="shared" si="13"/>
        <v>1</v>
      </c>
      <c r="J52" s="45">
        <f t="shared" si="14"/>
        <v>0</v>
      </c>
      <c r="K52" s="27">
        <f t="shared" si="7"/>
        <v>2980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58400</v>
      </c>
      <c r="F53" s="38">
        <f>H53-E53</f>
        <v>0</v>
      </c>
      <c r="G53" s="40"/>
      <c r="H53" s="39">
        <v>58400</v>
      </c>
      <c r="I53" s="16">
        <f>H53/D53</f>
        <v>1</v>
      </c>
      <c r="J53" s="45">
        <f t="shared" ref="J53:J77" si="15">D53-H53</f>
        <v>0</v>
      </c>
      <c r="K53" s="27">
        <f t="shared" si="7"/>
        <v>2920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8" t="s">
        <v>20</v>
      </c>
      <c r="B55" s="79"/>
      <c r="C55" s="15"/>
      <c r="D55" s="37">
        <f t="shared" ref="D55:H55" si="16">SUM(D14:D54)</f>
        <v>2469500</v>
      </c>
      <c r="E55" s="37">
        <f t="shared" si="16"/>
        <v>2468300</v>
      </c>
      <c r="F55" s="37">
        <f t="shared" si="16"/>
        <v>1200</v>
      </c>
      <c r="G55" s="37">
        <f t="shared" si="16"/>
        <v>0</v>
      </c>
      <c r="H55" s="37">
        <f t="shared" si="16"/>
        <v>2469500</v>
      </c>
      <c r="I55" s="16">
        <f t="shared" ref="I55" si="17">H55/D55</f>
        <v>1</v>
      </c>
      <c r="J55" s="45">
        <f>D55-H55</f>
        <v>0</v>
      </c>
      <c r="K55" s="37">
        <f>SUM(K14:K54)</f>
        <v>123475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7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5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27681</v>
      </c>
      <c r="F63" s="38">
        <f t="shared" si="25"/>
        <v>0</v>
      </c>
      <c r="G63" s="40"/>
      <c r="H63" s="39">
        <v>27681</v>
      </c>
      <c r="I63" s="16">
        <f t="shared" si="26"/>
        <v>1</v>
      </c>
      <c r="J63" s="45">
        <f t="shared" si="27"/>
        <v>0</v>
      </c>
      <c r="K63" s="27">
        <f t="shared" si="28"/>
        <v>1384.0500000000002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1891</v>
      </c>
      <c r="F71" s="38">
        <f t="shared" si="18"/>
        <v>0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36748</v>
      </c>
      <c r="F72" s="38">
        <f t="shared" si="18"/>
        <v>0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65" t="s">
        <v>133</v>
      </c>
      <c r="B73" s="71" t="s">
        <v>135</v>
      </c>
      <c r="C73" s="15"/>
      <c r="D73" s="37">
        <v>19140</v>
      </c>
      <c r="E73" s="37">
        <v>19140</v>
      </c>
      <c r="F73" s="38">
        <f t="shared" si="18"/>
        <v>0</v>
      </c>
      <c r="G73" s="40"/>
      <c r="H73" s="39">
        <v>19140</v>
      </c>
      <c r="I73" s="16">
        <f t="shared" si="19"/>
        <v>1</v>
      </c>
      <c r="J73" s="45">
        <f t="shared" si="15"/>
        <v>0</v>
      </c>
      <c r="K73" s="73">
        <f t="shared" si="20"/>
        <v>957</v>
      </c>
    </row>
    <row r="74" spans="1:11" x14ac:dyDescent="0.2">
      <c r="A74" s="65" t="s">
        <v>134</v>
      </c>
      <c r="B74" s="71" t="s">
        <v>137</v>
      </c>
      <c r="C74" s="15"/>
      <c r="D74" s="37">
        <v>1617</v>
      </c>
      <c r="E74" s="37">
        <v>1617</v>
      </c>
      <c r="F74" s="38">
        <f t="shared" si="18"/>
        <v>0</v>
      </c>
      <c r="G74" s="40"/>
      <c r="H74" s="39">
        <v>1617</v>
      </c>
      <c r="I74" s="16">
        <f t="shared" si="19"/>
        <v>1</v>
      </c>
      <c r="J74" s="45">
        <f t="shared" si="15"/>
        <v>0</v>
      </c>
      <c r="K74" s="73">
        <f t="shared" si="20"/>
        <v>80.850000000000009</v>
      </c>
    </row>
    <row r="75" spans="1:11" x14ac:dyDescent="0.2">
      <c r="A75" s="65" t="s">
        <v>136</v>
      </c>
      <c r="B75" s="71" t="s">
        <v>138</v>
      </c>
      <c r="C75" s="15"/>
      <c r="D75" s="37">
        <v>6438</v>
      </c>
      <c r="E75" s="37">
        <v>6438</v>
      </c>
      <c r="F75" s="38">
        <f t="shared" si="18"/>
        <v>0</v>
      </c>
      <c r="G75" s="40"/>
      <c r="H75" s="39">
        <v>6438</v>
      </c>
      <c r="I75" s="16">
        <f t="shared" si="19"/>
        <v>1</v>
      </c>
      <c r="J75" s="45">
        <f t="shared" si="15"/>
        <v>0</v>
      </c>
      <c r="K75" s="73">
        <f t="shared" si="20"/>
        <v>321.90000000000003</v>
      </c>
    </row>
    <row r="76" spans="1:11" x14ac:dyDescent="0.2">
      <c r="A76" s="72"/>
      <c r="B76" s="71"/>
      <c r="C76" s="15"/>
      <c r="D76" s="37"/>
      <c r="E76" s="37"/>
      <c r="F76" s="38">
        <f t="shared" si="18"/>
        <v>0</v>
      </c>
      <c r="G76" s="40"/>
      <c r="H76" s="39"/>
      <c r="I76" s="16" t="e">
        <f t="shared" si="19"/>
        <v>#DIV/0!</v>
      </c>
      <c r="J76" s="45">
        <f t="shared" si="15"/>
        <v>0</v>
      </c>
      <c r="K76" s="73"/>
    </row>
    <row r="77" spans="1:11" x14ac:dyDescent="0.2">
      <c r="A77" s="72"/>
      <c r="B77" s="71"/>
      <c r="C77" s="15"/>
      <c r="D77" s="37"/>
      <c r="E77" s="37"/>
      <c r="F77" s="38">
        <f t="shared" si="18"/>
        <v>0</v>
      </c>
      <c r="G77" s="40"/>
      <c r="H77" s="39"/>
      <c r="I77" s="16" t="e">
        <f t="shared" si="19"/>
        <v>#DIV/0!</v>
      </c>
      <c r="J77" s="45">
        <f t="shared" si="15"/>
        <v>0</v>
      </c>
      <c r="K77" s="73"/>
    </row>
    <row r="78" spans="1:11" ht="15" x14ac:dyDescent="0.25">
      <c r="A78" s="66">
        <f>SUM(D57:D77)</f>
        <v>296900</v>
      </c>
      <c r="B78" s="63" t="s">
        <v>21</v>
      </c>
      <c r="C78" s="64"/>
      <c r="D78" s="37">
        <f>SUM(D55:D77)</f>
        <v>2766400</v>
      </c>
      <c r="E78" s="37">
        <f>SUM(E55:E77)</f>
        <v>2765200</v>
      </c>
      <c r="F78" s="37">
        <f t="shared" ref="F78:K78" si="29">SUM(F55:F77)</f>
        <v>1200</v>
      </c>
      <c r="G78" s="37">
        <f t="shared" si="29"/>
        <v>0</v>
      </c>
      <c r="H78" s="37">
        <f t="shared" si="29"/>
        <v>2766400</v>
      </c>
      <c r="I78" s="16">
        <f t="shared" si="19"/>
        <v>1</v>
      </c>
      <c r="J78" s="37">
        <f t="shared" si="29"/>
        <v>0</v>
      </c>
      <c r="K78" s="37">
        <f t="shared" si="29"/>
        <v>138320.00000000003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rowBreaks count="1" manualBreakCount="1">
    <brk id="55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2016-08-19T16:20:44Z</cp:lastPrinted>
  <dcterms:created xsi:type="dcterms:W3CDTF">2001-02-05T15:33:02Z</dcterms:created>
  <dcterms:modified xsi:type="dcterms:W3CDTF">2016-10-20T14:50:19Z</dcterms:modified>
</cp:coreProperties>
</file>