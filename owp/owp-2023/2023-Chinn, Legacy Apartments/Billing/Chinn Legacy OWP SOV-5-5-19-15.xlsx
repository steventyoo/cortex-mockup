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<sst xmlns="http://schemas.openxmlformats.org/spreadsheetml/2006/main" count="159" uniqueCount="121">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</sst>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30" zoomScaleNormal="130" zoomScaleSheetLayoutView="100" workbookViewId="0">
      <selection activeCell="H62" sqref="H62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5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42143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42155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4" t="s">
        <v>29</v>
      </c>
      <c r="I8" s="75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2" t="s">
        <v>32</v>
      </c>
      <c r="F9" s="73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179000</v>
      </c>
      <c r="F13" s="36">
        <f>SUM(F14:F54)</f>
        <v>71600</v>
      </c>
      <c r="G13" s="36"/>
      <c r="H13" s="36">
        <f>SUM(H14:H54)</f>
        <v>250600</v>
      </c>
      <c r="I13" s="12">
        <f>H13/D13</f>
        <v>0.10147803199028144</v>
      </c>
      <c r="J13" s="43">
        <f>SUM(J14:J54)</f>
        <v>2218900</v>
      </c>
      <c r="K13" s="27">
        <f>SUM(K14:K54)</f>
        <v>12530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0</v>
      </c>
      <c r="F18" s="39">
        <f t="shared" si="0"/>
        <v>23400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0</v>
      </c>
      <c r="F19" s="39">
        <f t="shared" si="0"/>
        <v>35700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0</v>
      </c>
      <c r="F21" s="39">
        <f t="shared" si="0"/>
        <v>12500</v>
      </c>
      <c r="G21" s="41"/>
      <c r="H21" s="40">
        <v>12500</v>
      </c>
      <c r="I21" s="16">
        <f t="shared" si="1"/>
        <v>0.64432989690721654</v>
      </c>
      <c r="J21" s="46">
        <f t="shared" si="2"/>
        <v>6900</v>
      </c>
      <c r="K21" s="28">
        <f t="shared" si="7"/>
        <v>625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0</v>
      </c>
      <c r="F22" s="39">
        <f t="shared" si="0"/>
        <v>0</v>
      </c>
      <c r="G22" s="41"/>
      <c r="H22" s="40">
        <v>0</v>
      </c>
      <c r="I22" s="16">
        <f t="shared" si="1"/>
        <v>0</v>
      </c>
      <c r="J22" s="46">
        <f t="shared" si="2"/>
        <v>49800</v>
      </c>
      <c r="K22" s="28">
        <f t="shared" si="7"/>
        <v>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0</v>
      </c>
      <c r="F23" s="39">
        <f t="shared" si="0"/>
        <v>0</v>
      </c>
      <c r="G23" s="41"/>
      <c r="H23" s="40">
        <v>0</v>
      </c>
      <c r="I23" s="16">
        <f t="shared" si="1"/>
        <v>0</v>
      </c>
      <c r="J23" s="46">
        <f t="shared" si="2"/>
        <v>86000</v>
      </c>
      <c r="K23" s="28">
        <f t="shared" si="7"/>
        <v>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0</v>
      </c>
      <c r="F24" s="39">
        <f>H24-E24</f>
        <v>0</v>
      </c>
      <c r="G24" s="41"/>
      <c r="H24" s="40">
        <v>0</v>
      </c>
      <c r="I24" s="16">
        <f>H24/D24</f>
        <v>0</v>
      </c>
      <c r="J24" s="46">
        <f>D24-H24</f>
        <v>172000</v>
      </c>
      <c r="K24" s="28">
        <f>0.05*H24</f>
        <v>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0</v>
      </c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188600</v>
      </c>
      <c r="K25" s="28">
        <f t="shared" si="7"/>
        <v>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0</v>
      </c>
      <c r="F26" s="39">
        <f t="shared" si="0"/>
        <v>0</v>
      </c>
      <c r="G26" s="41"/>
      <c r="H26" s="40">
        <v>0</v>
      </c>
      <c r="I26" s="16">
        <f t="shared" si="1"/>
        <v>0</v>
      </c>
      <c r="J26" s="46">
        <f t="shared" si="2"/>
        <v>73600</v>
      </c>
      <c r="K26" s="28">
        <f t="shared" si="7"/>
        <v>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0</v>
      </c>
      <c r="G27" s="41"/>
      <c r="H27" s="40">
        <v>0</v>
      </c>
      <c r="I27" s="16">
        <f t="shared" si="1"/>
        <v>0</v>
      </c>
      <c r="J27" s="46">
        <f t="shared" si="2"/>
        <v>24200</v>
      </c>
      <c r="K27" s="28">
        <f t="shared" si="7"/>
        <v>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0</v>
      </c>
      <c r="F28" s="39">
        <f t="shared" si="0"/>
        <v>0</v>
      </c>
      <c r="G28" s="41"/>
      <c r="H28" s="40">
        <v>0</v>
      </c>
      <c r="I28" s="16">
        <f t="shared" si="1"/>
        <v>0</v>
      </c>
      <c r="J28" s="46">
        <f t="shared" si="2"/>
        <v>28900</v>
      </c>
      <c r="K28" s="28">
        <f t="shared" si="7"/>
        <v>0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0</v>
      </c>
      <c r="F29" s="39">
        <f t="shared" si="0"/>
        <v>0</v>
      </c>
      <c r="G29" s="41"/>
      <c r="H29" s="40">
        <v>0</v>
      </c>
      <c r="I29" s="16">
        <f t="shared" si="1"/>
        <v>0</v>
      </c>
      <c r="J29" s="46">
        <f t="shared" si="2"/>
        <v>24900</v>
      </c>
      <c r="K29" s="28">
        <f t="shared" si="7"/>
        <v>0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0</v>
      </c>
      <c r="F30" s="39">
        <f t="shared" si="0"/>
        <v>0</v>
      </c>
      <c r="G30" s="41"/>
      <c r="H30" s="40">
        <v>0</v>
      </c>
      <c r="I30" s="16">
        <f t="shared" si="1"/>
        <v>0</v>
      </c>
      <c r="J30" s="46">
        <f t="shared" si="2"/>
        <v>19700</v>
      </c>
      <c r="K30" s="28">
        <f t="shared" si="7"/>
        <v>0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0</v>
      </c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33500</v>
      </c>
      <c r="K31" s="28">
        <f t="shared" si="7"/>
        <v>0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0</v>
      </c>
      <c r="F32" s="39">
        <f t="shared" si="0"/>
        <v>0</v>
      </c>
      <c r="G32" s="41"/>
      <c r="H32" s="40">
        <v>0</v>
      </c>
      <c r="I32" s="16">
        <f t="shared" si="1"/>
        <v>0</v>
      </c>
      <c r="J32" s="46">
        <f t="shared" si="2"/>
        <v>65300</v>
      </c>
      <c r="K32" s="28">
        <f t="shared" si="7"/>
        <v>0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0</v>
      </c>
      <c r="F33" s="39">
        <f t="shared" si="0"/>
        <v>0</v>
      </c>
      <c r="G33" s="41"/>
      <c r="H33" s="40">
        <v>0</v>
      </c>
      <c r="I33" s="16">
        <f t="shared" si="1"/>
        <v>0</v>
      </c>
      <c r="J33" s="46">
        <f t="shared" si="2"/>
        <v>22200</v>
      </c>
      <c r="K33" s="28">
        <f t="shared" si="7"/>
        <v>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0</v>
      </c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49700</v>
      </c>
      <c r="K34" s="28">
        <f t="shared" si="7"/>
        <v>0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0</v>
      </c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4800</v>
      </c>
      <c r="K35" s="28">
        <f t="shared" si="7"/>
        <v>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0</v>
      </c>
      <c r="F37" s="39">
        <f t="shared" ref="F37:F42" si="8">H37-E37</f>
        <v>0</v>
      </c>
      <c r="G37" s="41"/>
      <c r="H37" s="40">
        <v>0</v>
      </c>
      <c r="I37" s="16">
        <f t="shared" ref="I37:I42" si="9">H37/D37</f>
        <v>0</v>
      </c>
      <c r="J37" s="46">
        <f t="shared" ref="J37:J42" si="10">D37-H37</f>
        <v>286600</v>
      </c>
      <c r="K37" s="28">
        <f t="shared" ref="K37:K42" si="11">0.05*H37</f>
        <v>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0</v>
      </c>
      <c r="F38" s="39">
        <f t="shared" si="8"/>
        <v>0</v>
      </c>
      <c r="G38" s="41"/>
      <c r="H38" s="40">
        <v>0</v>
      </c>
      <c r="I38" s="16">
        <f t="shared" si="9"/>
        <v>0</v>
      </c>
      <c r="J38" s="46">
        <f t="shared" si="10"/>
        <v>29700</v>
      </c>
      <c r="K38" s="28">
        <f t="shared" si="11"/>
        <v>0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0</v>
      </c>
      <c r="G39" s="41"/>
      <c r="H39" s="40">
        <v>0</v>
      </c>
      <c r="I39" s="16">
        <f t="shared" si="9"/>
        <v>0</v>
      </c>
      <c r="J39" s="46">
        <f t="shared" si="10"/>
        <v>7600</v>
      </c>
      <c r="K39" s="28">
        <f t="shared" si="11"/>
        <v>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0</v>
      </c>
      <c r="F40" s="39">
        <f t="shared" si="8"/>
        <v>0</v>
      </c>
      <c r="G40" s="41"/>
      <c r="H40" s="40">
        <v>0</v>
      </c>
      <c r="I40" s="16">
        <f t="shared" si="9"/>
        <v>0</v>
      </c>
      <c r="J40" s="46">
        <f t="shared" si="10"/>
        <v>249500</v>
      </c>
      <c r="K40" s="28">
        <f t="shared" si="11"/>
        <v>0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0</v>
      </c>
      <c r="F41" s="39">
        <f t="shared" si="8"/>
        <v>0</v>
      </c>
      <c r="G41" s="41"/>
      <c r="H41" s="40">
        <v>0</v>
      </c>
      <c r="I41" s="16">
        <f t="shared" si="9"/>
        <v>0</v>
      </c>
      <c r="J41" s="46">
        <f t="shared" si="10"/>
        <v>31300</v>
      </c>
      <c r="K41" s="28">
        <f t="shared" si="11"/>
        <v>0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0</v>
      </c>
      <c r="G42" s="41"/>
      <c r="H42" s="40">
        <v>0</v>
      </c>
      <c r="I42" s="16">
        <f t="shared" si="9"/>
        <v>0</v>
      </c>
      <c r="J42" s="46">
        <f t="shared" si="10"/>
        <v>8000</v>
      </c>
      <c r="K42" s="28">
        <f t="shared" si="11"/>
        <v>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0</v>
      </c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249500</v>
      </c>
      <c r="K43" s="28">
        <f t="shared" si="7"/>
        <v>0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0</v>
      </c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31300</v>
      </c>
      <c r="K44" s="28">
        <f t="shared" si="7"/>
        <v>0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8000</v>
      </c>
      <c r="K45" s="28">
        <f t="shared" si="7"/>
        <v>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0</v>
      </c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183400</v>
      </c>
      <c r="K46" s="28">
        <f t="shared" si="7"/>
        <v>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0</v>
      </c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30700</v>
      </c>
      <c r="K47" s="28">
        <f t="shared" si="7"/>
        <v>0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0</v>
      </c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7800</v>
      </c>
      <c r="K48" s="28">
        <f t="shared" si="7"/>
        <v>0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6" t="s">
        <v>20</v>
      </c>
      <c r="B55" s="77"/>
      <c r="C55" s="15"/>
      <c r="D55" s="38">
        <f t="shared" ref="D55:I55" si="16">SUM(D14:D54)</f>
        <v>2469500</v>
      </c>
      <c r="E55" s="38">
        <f t="shared" si="16"/>
        <v>179000</v>
      </c>
      <c r="F55" s="38">
        <f t="shared" si="16"/>
        <v>71600</v>
      </c>
      <c r="G55" s="38">
        <f t="shared" si="16"/>
        <v>0</v>
      </c>
      <c r="H55" s="38">
        <f t="shared" si="16"/>
        <v>250600</v>
      </c>
      <c r="I55" s="38" t="e">
        <f t="shared" si="16"/>
        <v>#DIV/0!</v>
      </c>
      <c r="J55" s="46">
        <f>D55-H55</f>
        <v>2218900</v>
      </c>
      <c r="K55" s="38">
        <f>SUM(K14:K54)</f>
        <v>12530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21000</v>
      </c>
      <c r="F57" s="39">
        <f t="shared" ref="F57:F72" si="17">H57-E57</f>
        <v>0</v>
      </c>
      <c r="G57" s="42"/>
      <c r="H57" s="40">
        <v>21000</v>
      </c>
      <c r="I57" s="16">
        <f t="shared" ref="I57:I72" si="18">H57/D57</f>
        <v>0.78814036404578725</v>
      </c>
      <c r="J57" s="46">
        <f t="shared" si="15"/>
        <v>5645</v>
      </c>
      <c r="K57" s="28">
        <f t="shared" ref="K57:K72" si="19">0.05*H57</f>
        <v>1050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0</v>
      </c>
      <c r="F58" s="39">
        <f t="shared" ref="F58:F59" si="20">H58-E58</f>
        <v>0</v>
      </c>
      <c r="G58" s="41"/>
      <c r="H58" s="40">
        <v>0</v>
      </c>
      <c r="I58" s="16">
        <f t="shared" ref="I58:I59" si="21">H58/D58</f>
        <v>0</v>
      </c>
      <c r="J58" s="46">
        <f t="shared" ref="J58:J59" si="22">D58-H58</f>
        <v>121400</v>
      </c>
      <c r="K58" s="28">
        <f t="shared" ref="K58:K59" si="23">0.05*H58</f>
        <v>0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0</v>
      </c>
      <c r="F59" s="39">
        <f t="shared" si="20"/>
        <v>0</v>
      </c>
      <c r="G59" s="41"/>
      <c r="H59" s="40">
        <v>0</v>
      </c>
      <c r="I59" s="16">
        <f t="shared" si="21"/>
        <v>0</v>
      </c>
      <c r="J59" s="46">
        <f t="shared" si="22"/>
        <v>-32700</v>
      </c>
      <c r="K59" s="28">
        <f t="shared" si="23"/>
        <v>0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0</v>
      </c>
      <c r="F60" s="39">
        <f>H60-E60</f>
        <v>2000</v>
      </c>
      <c r="G60" s="41"/>
      <c r="H60" s="40">
        <v>2000</v>
      </c>
      <c r="I60" s="16">
        <f>H60/D60</f>
        <v>0.7524454477050414</v>
      </c>
      <c r="J60" s="46">
        <f>D60-H60</f>
        <v>658</v>
      </c>
      <c r="K60" s="28">
        <f>0.05*H60</f>
        <v>100</v>
      </c>
    </row>
    <row r="61" spans="1:11" ht="12" customHeight="1" x14ac:dyDescent="0.2">
      <c r="A61" s="66" t="s">
        <v>103</v>
      </c>
      <c r="B61" s="15"/>
      <c r="C61" s="15"/>
      <c r="D61" s="38">
        <v>0</v>
      </c>
      <c r="E61" s="38">
        <v>0</v>
      </c>
      <c r="F61" s="39">
        <f>H61-E61</f>
        <v>0</v>
      </c>
      <c r="G61" s="41"/>
      <c r="H61" s="40">
        <v>0</v>
      </c>
      <c r="I61" s="16" t="e">
        <f>H61/D61</f>
        <v>#DIV/0!</v>
      </c>
      <c r="J61" s="46">
        <f>D61-H61</f>
        <v>0</v>
      </c>
      <c r="K61" s="28">
        <f>0.05*H61</f>
        <v>0</v>
      </c>
    </row>
    <row r="62" spans="1:11" ht="12" customHeight="1" x14ac:dyDescent="0.2">
      <c r="A62" s="66" t="s">
        <v>104</v>
      </c>
      <c r="C62" s="15"/>
      <c r="D62" s="38">
        <v>0</v>
      </c>
      <c r="E62" s="38">
        <v>0</v>
      </c>
      <c r="F62" s="39">
        <f t="shared" ref="F62:F64" si="24">H62-E62</f>
        <v>0</v>
      </c>
      <c r="G62" s="42"/>
      <c r="H62" s="40">
        <v>0</v>
      </c>
      <c r="I62" s="16" t="e">
        <f t="shared" ref="I62:I64" si="25">H62/D62</f>
        <v>#DIV/0!</v>
      </c>
      <c r="J62" s="46">
        <f t="shared" ref="J62:J64" si="26">D62-H62</f>
        <v>0</v>
      </c>
      <c r="K62" s="28">
        <f t="shared" ref="K62:K64" si="27">0.05*H62</f>
        <v>0</v>
      </c>
    </row>
    <row r="63" spans="1:11" ht="12" customHeight="1" x14ac:dyDescent="0.2">
      <c r="A63" s="66" t="s">
        <v>105</v>
      </c>
      <c r="B63" s="15"/>
      <c r="C63" s="15"/>
      <c r="D63" s="38">
        <v>0</v>
      </c>
      <c r="E63" s="38">
        <v>0</v>
      </c>
      <c r="F63" s="39">
        <f t="shared" si="24"/>
        <v>0</v>
      </c>
      <c r="G63" s="41"/>
      <c r="H63" s="40">
        <v>0</v>
      </c>
      <c r="I63" s="16" t="e">
        <f t="shared" si="25"/>
        <v>#DIV/0!</v>
      </c>
      <c r="J63" s="46">
        <f t="shared" si="26"/>
        <v>0</v>
      </c>
      <c r="K63" s="28">
        <f t="shared" si="27"/>
        <v>0</v>
      </c>
    </row>
    <row r="64" spans="1:11" ht="12" customHeight="1" x14ac:dyDescent="0.2">
      <c r="A64" s="66" t="s">
        <v>106</v>
      </c>
      <c r="B64" s="15"/>
      <c r="C64" s="15"/>
      <c r="D64" s="38">
        <v>0</v>
      </c>
      <c r="E64" s="38">
        <v>0</v>
      </c>
      <c r="F64" s="39">
        <f t="shared" si="24"/>
        <v>0</v>
      </c>
      <c r="G64" s="41"/>
      <c r="H64" s="40">
        <v>0</v>
      </c>
      <c r="I64" s="16" t="e">
        <f t="shared" si="25"/>
        <v>#DIV/0!</v>
      </c>
      <c r="J64" s="46">
        <f t="shared" si="26"/>
        <v>0</v>
      </c>
      <c r="K64" s="28">
        <f t="shared" si="27"/>
        <v>0</v>
      </c>
    </row>
    <row r="65" spans="1:11" ht="12" customHeight="1" x14ac:dyDescent="0.2">
      <c r="A65" s="66" t="s">
        <v>107</v>
      </c>
      <c r="B65" s="15"/>
      <c r="C65" s="15"/>
      <c r="D65" s="38">
        <v>0</v>
      </c>
      <c r="E65" s="38">
        <v>0</v>
      </c>
      <c r="F65" s="39">
        <f t="shared" si="17"/>
        <v>0</v>
      </c>
      <c r="G65" s="41"/>
      <c r="H65" s="40">
        <v>0</v>
      </c>
      <c r="I65" s="16" t="e">
        <f t="shared" si="18"/>
        <v>#DIV/0!</v>
      </c>
      <c r="J65" s="46">
        <f t="shared" si="15"/>
        <v>0</v>
      </c>
      <c r="K65" s="28">
        <f t="shared" si="19"/>
        <v>0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118003</v>
      </c>
      <c r="B73" s="64" t="s">
        <v>21</v>
      </c>
      <c r="C73" s="65"/>
      <c r="D73" s="38">
        <f t="shared" ref="D73:I73" si="28">SUM(D55:D72)</f>
        <v>2587503</v>
      </c>
      <c r="E73" s="38">
        <f t="shared" si="28"/>
        <v>200000</v>
      </c>
      <c r="F73" s="38">
        <f t="shared" si="28"/>
        <v>73600</v>
      </c>
      <c r="G73" s="38">
        <f t="shared" si="28"/>
        <v>0</v>
      </c>
      <c r="H73" s="38">
        <f t="shared" si="28"/>
        <v>273600</v>
      </c>
      <c r="I73" s="38" t="e">
        <f t="shared" si="28"/>
        <v>#DIV/0!</v>
      </c>
      <c r="J73" s="46">
        <f t="shared" si="15"/>
        <v>2313903</v>
      </c>
      <c r="K73" s="38">
        <f>SUM(K55:K72)</f>
        <v>13680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2015-01-19T23:27:06Z</cp:lastPrinted>
  <dcterms:created xsi:type="dcterms:W3CDTF">2001-02-05T15:33:02Z</dcterms:created>
  <dcterms:modified xsi:type="dcterms:W3CDTF">2015-05-19T15:38:08Z</dcterms:modified>
</cp:coreProperties>
</file>