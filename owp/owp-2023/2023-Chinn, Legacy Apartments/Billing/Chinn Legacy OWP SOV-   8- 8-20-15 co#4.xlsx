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F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<sst xmlns="http://schemas.openxmlformats.org/spreadsheetml/2006/main" count="160" uniqueCount="122">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</sst>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" fillId="0" borderId="7" xfId="3" applyFont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topLeftCell="A43" zoomScale="130" zoomScaleNormal="130" zoomScaleSheetLayoutView="100" workbookViewId="0">
      <selection activeCell="H69" sqref="H69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31.5" customHeight="1" thickBot="1" x14ac:dyDescent="0.4">
      <c r="A1" s="48"/>
      <c r="B1" s="49"/>
      <c r="C1" s="49"/>
      <c r="D1" s="50"/>
      <c r="E1" s="50"/>
      <c r="F1" s="50"/>
      <c r="G1" s="50"/>
      <c r="H1" s="50"/>
      <c r="I1" s="51"/>
      <c r="J1" s="50"/>
      <c r="K1" s="50"/>
    </row>
    <row r="2" spans="1:11" ht="23.25" x14ac:dyDescent="0.35">
      <c r="A2" s="47" t="s">
        <v>39</v>
      </c>
      <c r="I2" s="2"/>
    </row>
    <row r="3" spans="1:11" x14ac:dyDescent="0.2">
      <c r="A3" s="3" t="s">
        <v>44</v>
      </c>
      <c r="B3" s="1" t="s">
        <v>52</v>
      </c>
      <c r="F3" s="29" t="s">
        <v>7</v>
      </c>
      <c r="G3" s="29"/>
      <c r="H3" s="68">
        <v>8</v>
      </c>
      <c r="I3" s="2"/>
      <c r="J3" s="44"/>
    </row>
    <row r="4" spans="1:11" x14ac:dyDescent="0.2">
      <c r="A4" s="3" t="s">
        <v>43</v>
      </c>
      <c r="B4" s="1" t="s">
        <v>53</v>
      </c>
      <c r="F4" s="29" t="s">
        <v>22</v>
      </c>
      <c r="G4" s="29"/>
      <c r="H4" s="69">
        <v>42236</v>
      </c>
      <c r="I4" s="2"/>
      <c r="J4" s="44"/>
    </row>
    <row r="5" spans="1:11" x14ac:dyDescent="0.2">
      <c r="A5" s="3" t="s">
        <v>8</v>
      </c>
      <c r="E5" s="22" t="s">
        <v>9</v>
      </c>
      <c r="F5" s="29" t="s">
        <v>0</v>
      </c>
      <c r="G5" s="29"/>
      <c r="H5" s="69">
        <v>42247</v>
      </c>
      <c r="I5" s="2"/>
    </row>
    <row r="6" spans="1:11" x14ac:dyDescent="0.2">
      <c r="A6" s="3"/>
      <c r="F6" s="29"/>
      <c r="G6" s="29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3" t="s">
        <v>24</v>
      </c>
      <c r="B8" s="53" t="s">
        <v>25</v>
      </c>
      <c r="C8" s="52"/>
      <c r="D8" s="54" t="s">
        <v>23</v>
      </c>
      <c r="E8" s="54" t="s">
        <v>26</v>
      </c>
      <c r="F8" s="54" t="s">
        <v>27</v>
      </c>
      <c r="G8" s="55" t="s">
        <v>28</v>
      </c>
      <c r="H8" s="74" t="s">
        <v>29</v>
      </c>
      <c r="I8" s="75"/>
      <c r="J8" s="54" t="s">
        <v>30</v>
      </c>
      <c r="K8" s="54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0" t="s">
        <v>12</v>
      </c>
      <c r="E9" s="72" t="s">
        <v>32</v>
      </c>
      <c r="F9" s="73"/>
      <c r="G9" s="58" t="s">
        <v>6</v>
      </c>
      <c r="H9" s="30" t="s">
        <v>18</v>
      </c>
      <c r="I9" s="6" t="s">
        <v>13</v>
      </c>
      <c r="J9" s="23" t="s">
        <v>2</v>
      </c>
      <c r="K9" s="23" t="s">
        <v>3</v>
      </c>
    </row>
    <row r="10" spans="1:11" x14ac:dyDescent="0.2">
      <c r="A10" s="7" t="s">
        <v>42</v>
      </c>
      <c r="B10" s="8"/>
      <c r="C10" s="8" t="s">
        <v>15</v>
      </c>
      <c r="D10" s="31" t="s">
        <v>19</v>
      </c>
      <c r="E10" s="31" t="s">
        <v>33</v>
      </c>
      <c r="F10" s="24" t="s">
        <v>14</v>
      </c>
      <c r="G10" s="56" t="s">
        <v>6</v>
      </c>
      <c r="H10" s="31" t="s">
        <v>1</v>
      </c>
      <c r="I10" s="9" t="s">
        <v>16</v>
      </c>
      <c r="J10" s="24" t="s">
        <v>5</v>
      </c>
      <c r="K10" s="60">
        <v>0.05</v>
      </c>
    </row>
    <row r="11" spans="1:11" ht="13.5" thickBot="1" x14ac:dyDescent="0.25">
      <c r="A11" s="7" t="s">
        <v>40</v>
      </c>
      <c r="B11" s="8"/>
      <c r="C11" s="8"/>
      <c r="D11" s="31"/>
      <c r="E11" s="31" t="s">
        <v>38</v>
      </c>
      <c r="F11" s="24" t="s">
        <v>34</v>
      </c>
      <c r="G11" s="56"/>
      <c r="H11" s="31" t="s">
        <v>4</v>
      </c>
      <c r="I11" s="21"/>
      <c r="J11" s="24"/>
      <c r="K11" s="25"/>
    </row>
    <row r="12" spans="1:11" x14ac:dyDescent="0.2">
      <c r="A12" s="10"/>
      <c r="B12" s="11"/>
      <c r="C12" s="11"/>
      <c r="D12" s="32"/>
      <c r="E12" s="32"/>
      <c r="F12" s="33"/>
      <c r="G12" s="57"/>
      <c r="H12" s="32"/>
      <c r="I12" s="20"/>
      <c r="J12" s="45"/>
      <c r="K12" s="26"/>
    </row>
    <row r="13" spans="1:11" ht="15" x14ac:dyDescent="0.25">
      <c r="A13" s="59" t="s">
        <v>35</v>
      </c>
      <c r="B13" s="13" t="s">
        <v>36</v>
      </c>
      <c r="C13" s="14"/>
      <c r="D13" s="34">
        <f>SUM(D14:D54)</f>
        <v>2469500</v>
      </c>
      <c r="E13" s="35">
        <f>SUM(E14:E54)</f>
        <v>282400</v>
      </c>
      <c r="F13" s="36">
        <f>SUM(F14:F54)</f>
        <v>276500</v>
      </c>
      <c r="G13" s="36"/>
      <c r="H13" s="36">
        <f>SUM(H14:H54)</f>
        <v>558900</v>
      </c>
      <c r="I13" s="12">
        <f>H13/D13</f>
        <v>0.22632111763514881</v>
      </c>
      <c r="J13" s="43">
        <f>SUM(J14:J54)</f>
        <v>1910600</v>
      </c>
      <c r="K13" s="27">
        <f>SUM(K14:K54)</f>
        <v>27945</v>
      </c>
    </row>
    <row r="14" spans="1:11" ht="13.5" x14ac:dyDescent="0.25">
      <c r="A14" s="61"/>
      <c r="B14" s="62" t="s">
        <v>72</v>
      </c>
      <c r="C14" s="15" t="s">
        <v>37</v>
      </c>
      <c r="D14" s="37">
        <v>68200</v>
      </c>
      <c r="E14" s="38">
        <v>68200</v>
      </c>
      <c r="F14" s="39">
        <f t="shared" ref="F14:F48" si="0">H14-E14</f>
        <v>0</v>
      </c>
      <c r="G14" s="41"/>
      <c r="H14" s="40">
        <v>68200</v>
      </c>
      <c r="I14" s="16">
        <f t="shared" ref="I14:I48" si="1">H14/D14</f>
        <v>1</v>
      </c>
      <c r="J14" s="46">
        <f t="shared" ref="J14:J48" si="2">D14-H14</f>
        <v>0</v>
      </c>
      <c r="K14" s="28">
        <f>0.05*H14</f>
        <v>3410</v>
      </c>
    </row>
    <row r="15" spans="1:11" ht="13.5" x14ac:dyDescent="0.25">
      <c r="A15" s="61"/>
      <c r="B15" s="62" t="s">
        <v>54</v>
      </c>
      <c r="C15" s="15" t="s">
        <v>37</v>
      </c>
      <c r="D15" s="37">
        <v>32200</v>
      </c>
      <c r="E15" s="38">
        <v>32200</v>
      </c>
      <c r="F15" s="39">
        <f t="shared" ref="F15" si="3">H15-E15</f>
        <v>0</v>
      </c>
      <c r="G15" s="41"/>
      <c r="H15" s="40">
        <v>32200</v>
      </c>
      <c r="I15" s="16">
        <f t="shared" ref="I15" si="4">H15/D15</f>
        <v>1</v>
      </c>
      <c r="J15" s="46">
        <f t="shared" ref="J15" si="5">D15-H15</f>
        <v>0</v>
      </c>
      <c r="K15" s="28">
        <f t="shared" ref="K15" si="6">0.05*H15</f>
        <v>1610</v>
      </c>
    </row>
    <row r="16" spans="1:11" ht="13.5" x14ac:dyDescent="0.25">
      <c r="A16" s="61" t="s">
        <v>55</v>
      </c>
      <c r="B16" s="62" t="s">
        <v>56</v>
      </c>
      <c r="C16" s="15" t="s">
        <v>37</v>
      </c>
      <c r="D16" s="37">
        <v>25200</v>
      </c>
      <c r="E16" s="38">
        <v>25200</v>
      </c>
      <c r="F16" s="39">
        <f t="shared" si="0"/>
        <v>0</v>
      </c>
      <c r="G16" s="41"/>
      <c r="H16" s="40">
        <v>25200</v>
      </c>
      <c r="I16" s="16">
        <f t="shared" si="1"/>
        <v>1</v>
      </c>
      <c r="J16" s="46">
        <f t="shared" si="2"/>
        <v>0</v>
      </c>
      <c r="K16" s="28">
        <f t="shared" ref="K16:K53" si="7">0.05*H16</f>
        <v>1260</v>
      </c>
    </row>
    <row r="17" spans="1:11" ht="13.5" x14ac:dyDescent="0.25">
      <c r="A17" s="61" t="s">
        <v>55</v>
      </c>
      <c r="B17" s="62" t="s">
        <v>57</v>
      </c>
      <c r="C17" s="15" t="s">
        <v>37</v>
      </c>
      <c r="D17" s="38">
        <v>38600</v>
      </c>
      <c r="E17" s="38">
        <v>38600</v>
      </c>
      <c r="F17" s="39">
        <f t="shared" si="0"/>
        <v>0</v>
      </c>
      <c r="G17" s="41"/>
      <c r="H17" s="40">
        <v>38600</v>
      </c>
      <c r="I17" s="16">
        <f t="shared" si="1"/>
        <v>1</v>
      </c>
      <c r="J17" s="46">
        <f t="shared" si="2"/>
        <v>0</v>
      </c>
      <c r="K17" s="28">
        <f t="shared" si="7"/>
        <v>1930</v>
      </c>
    </row>
    <row r="18" spans="1:11" ht="13.5" x14ac:dyDescent="0.25">
      <c r="A18" s="61" t="s">
        <v>58</v>
      </c>
      <c r="B18" s="62" t="s">
        <v>59</v>
      </c>
      <c r="C18" s="15"/>
      <c r="D18" s="37">
        <v>23400</v>
      </c>
      <c r="E18" s="38">
        <v>23400</v>
      </c>
      <c r="F18" s="39">
        <f t="shared" si="0"/>
        <v>0</v>
      </c>
      <c r="G18" s="41"/>
      <c r="H18" s="40">
        <v>23400</v>
      </c>
      <c r="I18" s="16">
        <f t="shared" si="1"/>
        <v>1</v>
      </c>
      <c r="J18" s="46">
        <f t="shared" si="2"/>
        <v>0</v>
      </c>
      <c r="K18" s="28">
        <f t="shared" si="7"/>
        <v>1170</v>
      </c>
    </row>
    <row r="19" spans="1:11" ht="13.5" x14ac:dyDescent="0.25">
      <c r="A19" s="61" t="s">
        <v>58</v>
      </c>
      <c r="B19" s="62" t="s">
        <v>60</v>
      </c>
      <c r="C19" s="15" t="s">
        <v>37</v>
      </c>
      <c r="D19" s="38">
        <v>35700</v>
      </c>
      <c r="E19" s="38">
        <v>35700</v>
      </c>
      <c r="F19" s="39">
        <f t="shared" si="0"/>
        <v>0</v>
      </c>
      <c r="G19" s="41"/>
      <c r="H19" s="40">
        <v>35700</v>
      </c>
      <c r="I19" s="16">
        <f t="shared" si="1"/>
        <v>1</v>
      </c>
      <c r="J19" s="46">
        <f t="shared" si="2"/>
        <v>0</v>
      </c>
      <c r="K19" s="28">
        <f t="shared" si="7"/>
        <v>1785</v>
      </c>
    </row>
    <row r="20" spans="1:11" ht="13.5" x14ac:dyDescent="0.25">
      <c r="A20" s="61" t="s">
        <v>46</v>
      </c>
      <c r="B20" s="62" t="s">
        <v>49</v>
      </c>
      <c r="C20" s="15" t="s">
        <v>37</v>
      </c>
      <c r="D20" s="38">
        <v>14800</v>
      </c>
      <c r="E20" s="38">
        <v>14800</v>
      </c>
      <c r="F20" s="39">
        <f t="shared" si="0"/>
        <v>0</v>
      </c>
      <c r="G20" s="41"/>
      <c r="H20" s="40">
        <v>14800</v>
      </c>
      <c r="I20" s="16">
        <f t="shared" si="1"/>
        <v>1</v>
      </c>
      <c r="J20" s="46">
        <f t="shared" si="2"/>
        <v>0</v>
      </c>
      <c r="K20" s="28">
        <f t="shared" si="7"/>
        <v>740</v>
      </c>
    </row>
    <row r="21" spans="1:11" ht="13.5" x14ac:dyDescent="0.25">
      <c r="A21" s="61" t="s">
        <v>47</v>
      </c>
      <c r="B21" s="62" t="s">
        <v>50</v>
      </c>
      <c r="C21" s="15"/>
      <c r="D21" s="38">
        <v>19400</v>
      </c>
      <c r="E21" s="38">
        <v>19400</v>
      </c>
      <c r="F21" s="39">
        <f t="shared" si="0"/>
        <v>0</v>
      </c>
      <c r="G21" s="41"/>
      <c r="H21" s="40">
        <v>19400</v>
      </c>
      <c r="I21" s="16">
        <f t="shared" si="1"/>
        <v>1</v>
      </c>
      <c r="J21" s="46">
        <f t="shared" si="2"/>
        <v>0</v>
      </c>
      <c r="K21" s="28">
        <f t="shared" si="7"/>
        <v>970</v>
      </c>
    </row>
    <row r="22" spans="1:11" ht="13.5" x14ac:dyDescent="0.25">
      <c r="A22" s="61" t="s">
        <v>48</v>
      </c>
      <c r="B22" s="62" t="s">
        <v>51</v>
      </c>
      <c r="C22" s="15"/>
      <c r="D22" s="38">
        <v>49800</v>
      </c>
      <c r="E22" s="38">
        <v>24900</v>
      </c>
      <c r="F22" s="39">
        <f t="shared" si="0"/>
        <v>24900</v>
      </c>
      <c r="G22" s="41"/>
      <c r="H22" s="40">
        <v>49800</v>
      </c>
      <c r="I22" s="16">
        <f t="shared" si="1"/>
        <v>1</v>
      </c>
      <c r="J22" s="46">
        <f t="shared" si="2"/>
        <v>0</v>
      </c>
      <c r="K22" s="28">
        <f t="shared" si="7"/>
        <v>2490</v>
      </c>
    </row>
    <row r="23" spans="1:11" ht="13.5" x14ac:dyDescent="0.25">
      <c r="A23" s="61" t="s">
        <v>61</v>
      </c>
      <c r="B23" s="62" t="s">
        <v>62</v>
      </c>
      <c r="C23" s="15" t="s">
        <v>37</v>
      </c>
      <c r="D23" s="38">
        <v>86000</v>
      </c>
      <c r="E23" s="38">
        <v>0</v>
      </c>
      <c r="F23" s="39">
        <f t="shared" si="0"/>
        <v>86000</v>
      </c>
      <c r="G23" s="41"/>
      <c r="H23" s="40">
        <v>86000</v>
      </c>
      <c r="I23" s="16">
        <f t="shared" si="1"/>
        <v>1</v>
      </c>
      <c r="J23" s="46">
        <f t="shared" si="2"/>
        <v>0</v>
      </c>
      <c r="K23" s="28">
        <f t="shared" si="7"/>
        <v>4300</v>
      </c>
    </row>
    <row r="24" spans="1:11" ht="13.5" x14ac:dyDescent="0.25">
      <c r="A24" s="61" t="s">
        <v>63</v>
      </c>
      <c r="B24" s="62" t="s">
        <v>66</v>
      </c>
      <c r="C24" s="15" t="s">
        <v>37</v>
      </c>
      <c r="D24" s="38">
        <v>172000</v>
      </c>
      <c r="E24" s="38">
        <v>0</v>
      </c>
      <c r="F24" s="39">
        <f>H24-E24</f>
        <v>137600</v>
      </c>
      <c r="G24" s="41"/>
      <c r="H24" s="40">
        <v>137600</v>
      </c>
      <c r="I24" s="16">
        <f>H24/D24</f>
        <v>0.8</v>
      </c>
      <c r="J24" s="46">
        <f>D24-H24</f>
        <v>34400</v>
      </c>
      <c r="K24" s="28">
        <f>0.05*H24</f>
        <v>6880</v>
      </c>
    </row>
    <row r="25" spans="1:11" ht="13.5" x14ac:dyDescent="0.25">
      <c r="A25" s="61" t="s">
        <v>64</v>
      </c>
      <c r="B25" s="62" t="s">
        <v>65</v>
      </c>
      <c r="C25" s="15" t="s">
        <v>37</v>
      </c>
      <c r="D25" s="38">
        <v>188600</v>
      </c>
      <c r="E25" s="38">
        <v>0</v>
      </c>
      <c r="F25" s="39">
        <f t="shared" si="0"/>
        <v>28000</v>
      </c>
      <c r="G25" s="41"/>
      <c r="H25" s="40">
        <v>28000</v>
      </c>
      <c r="I25" s="16">
        <f t="shared" si="1"/>
        <v>0.14846235418875928</v>
      </c>
      <c r="J25" s="46">
        <f t="shared" si="2"/>
        <v>160600</v>
      </c>
      <c r="K25" s="28">
        <f t="shared" si="7"/>
        <v>1400</v>
      </c>
    </row>
    <row r="26" spans="1:11" ht="13.5" x14ac:dyDescent="0.25">
      <c r="A26" s="61" t="s">
        <v>67</v>
      </c>
      <c r="B26" s="62" t="s">
        <v>99</v>
      </c>
      <c r="C26" s="15" t="s">
        <v>37</v>
      </c>
      <c r="D26" s="38">
        <v>73600</v>
      </c>
      <c r="E26" s="38">
        <v>0</v>
      </c>
      <c r="F26" s="39">
        <f t="shared" si="0"/>
        <v>0</v>
      </c>
      <c r="G26" s="41"/>
      <c r="H26" s="40">
        <v>0</v>
      </c>
      <c r="I26" s="16">
        <f t="shared" si="1"/>
        <v>0</v>
      </c>
      <c r="J26" s="46">
        <f t="shared" si="2"/>
        <v>73600</v>
      </c>
      <c r="K26" s="28">
        <f t="shared" si="7"/>
        <v>0</v>
      </c>
    </row>
    <row r="27" spans="1:11" ht="13.5" x14ac:dyDescent="0.25">
      <c r="A27" s="61" t="s">
        <v>67</v>
      </c>
      <c r="B27" s="62" t="s">
        <v>68</v>
      </c>
      <c r="C27" s="15"/>
      <c r="D27" s="38">
        <v>24200</v>
      </c>
      <c r="E27" s="38">
        <v>0</v>
      </c>
      <c r="F27" s="39">
        <f t="shared" si="0"/>
        <v>0</v>
      </c>
      <c r="G27" s="41"/>
      <c r="H27" s="40">
        <v>0</v>
      </c>
      <c r="I27" s="16">
        <f t="shared" si="1"/>
        <v>0</v>
      </c>
      <c r="J27" s="46">
        <f t="shared" si="2"/>
        <v>24200</v>
      </c>
      <c r="K27" s="28">
        <f t="shared" si="7"/>
        <v>0</v>
      </c>
    </row>
    <row r="28" spans="1:11" ht="13.5" x14ac:dyDescent="0.25">
      <c r="A28" s="61" t="s">
        <v>69</v>
      </c>
      <c r="B28" s="62" t="s">
        <v>100</v>
      </c>
      <c r="C28" s="15" t="s">
        <v>37</v>
      </c>
      <c r="D28" s="38">
        <v>28900</v>
      </c>
      <c r="E28" s="38">
        <v>0</v>
      </c>
      <c r="F28" s="39">
        <f t="shared" si="0"/>
        <v>0</v>
      </c>
      <c r="G28" s="41"/>
      <c r="H28" s="40">
        <v>0</v>
      </c>
      <c r="I28" s="16">
        <f t="shared" si="1"/>
        <v>0</v>
      </c>
      <c r="J28" s="46">
        <f t="shared" si="2"/>
        <v>28900</v>
      </c>
      <c r="K28" s="28">
        <f t="shared" si="7"/>
        <v>0</v>
      </c>
    </row>
    <row r="29" spans="1:11" ht="13.5" x14ac:dyDescent="0.25">
      <c r="A29" s="61" t="s">
        <v>69</v>
      </c>
      <c r="B29" s="62" t="s">
        <v>73</v>
      </c>
      <c r="C29" s="15"/>
      <c r="D29" s="38">
        <v>24900</v>
      </c>
      <c r="E29" s="38">
        <v>0</v>
      </c>
      <c r="F29" s="39">
        <f t="shared" si="0"/>
        <v>0</v>
      </c>
      <c r="G29" s="41"/>
      <c r="H29" s="40">
        <v>0</v>
      </c>
      <c r="I29" s="16">
        <f t="shared" si="1"/>
        <v>0</v>
      </c>
      <c r="J29" s="46">
        <f t="shared" si="2"/>
        <v>24900</v>
      </c>
      <c r="K29" s="28">
        <f t="shared" si="7"/>
        <v>0</v>
      </c>
    </row>
    <row r="30" spans="1:11" ht="13.5" x14ac:dyDescent="0.25">
      <c r="A30" s="61" t="s">
        <v>61</v>
      </c>
      <c r="B30" s="62" t="s">
        <v>70</v>
      </c>
      <c r="C30" s="15"/>
      <c r="D30" s="38">
        <v>19700</v>
      </c>
      <c r="E30" s="38">
        <v>0</v>
      </c>
      <c r="F30" s="39">
        <f t="shared" si="0"/>
        <v>0</v>
      </c>
      <c r="G30" s="41"/>
      <c r="H30" s="40">
        <v>0</v>
      </c>
      <c r="I30" s="16">
        <f t="shared" si="1"/>
        <v>0</v>
      </c>
      <c r="J30" s="46">
        <f t="shared" si="2"/>
        <v>19700</v>
      </c>
      <c r="K30" s="28">
        <f t="shared" si="7"/>
        <v>0</v>
      </c>
    </row>
    <row r="31" spans="1:11" ht="13.5" x14ac:dyDescent="0.25">
      <c r="A31" s="61" t="s">
        <v>63</v>
      </c>
      <c r="B31" s="62" t="s">
        <v>70</v>
      </c>
      <c r="C31" s="15" t="s">
        <v>37</v>
      </c>
      <c r="D31" s="38">
        <v>33500</v>
      </c>
      <c r="E31" s="38">
        <v>0</v>
      </c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33500</v>
      </c>
      <c r="K31" s="28">
        <f t="shared" si="7"/>
        <v>0</v>
      </c>
    </row>
    <row r="32" spans="1:11" ht="13.5" x14ac:dyDescent="0.25">
      <c r="A32" s="61" t="s">
        <v>64</v>
      </c>
      <c r="B32" s="62" t="s">
        <v>70</v>
      </c>
      <c r="C32" s="15"/>
      <c r="D32" s="38">
        <v>65300</v>
      </c>
      <c r="E32" s="38">
        <v>0</v>
      </c>
      <c r="F32" s="39">
        <f t="shared" si="0"/>
        <v>0</v>
      </c>
      <c r="G32" s="41"/>
      <c r="H32" s="40">
        <v>0</v>
      </c>
      <c r="I32" s="16">
        <f t="shared" si="1"/>
        <v>0</v>
      </c>
      <c r="J32" s="46">
        <f t="shared" si="2"/>
        <v>65300</v>
      </c>
      <c r="K32" s="28">
        <f t="shared" si="7"/>
        <v>0</v>
      </c>
    </row>
    <row r="33" spans="1:11" ht="13.5" x14ac:dyDescent="0.25">
      <c r="A33" s="61" t="s">
        <v>45</v>
      </c>
      <c r="B33" s="62" t="s">
        <v>71</v>
      </c>
      <c r="C33" s="15"/>
      <c r="D33" s="38">
        <v>22200</v>
      </c>
      <c r="E33" s="38">
        <v>0</v>
      </c>
      <c r="F33" s="39">
        <f t="shared" si="0"/>
        <v>0</v>
      </c>
      <c r="G33" s="41"/>
      <c r="H33" s="40">
        <v>0</v>
      </c>
      <c r="I33" s="16">
        <f t="shared" si="1"/>
        <v>0</v>
      </c>
      <c r="J33" s="46">
        <f t="shared" si="2"/>
        <v>22200</v>
      </c>
      <c r="K33" s="28">
        <f t="shared" si="7"/>
        <v>0</v>
      </c>
    </row>
    <row r="34" spans="1:11" ht="13.5" x14ac:dyDescent="0.25">
      <c r="A34" s="61" t="s">
        <v>74</v>
      </c>
      <c r="B34" s="62" t="s">
        <v>84</v>
      </c>
      <c r="C34" s="15"/>
      <c r="D34" s="38">
        <v>49700</v>
      </c>
      <c r="E34" s="38">
        <v>0</v>
      </c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49700</v>
      </c>
      <c r="K34" s="28">
        <f t="shared" si="7"/>
        <v>0</v>
      </c>
    </row>
    <row r="35" spans="1:11" ht="13.5" x14ac:dyDescent="0.25">
      <c r="A35" s="61" t="s">
        <v>74</v>
      </c>
      <c r="B35" s="62" t="s">
        <v>85</v>
      </c>
      <c r="C35" s="15"/>
      <c r="D35" s="38">
        <v>4800</v>
      </c>
      <c r="E35" s="38">
        <v>0</v>
      </c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4800</v>
      </c>
      <c r="K35" s="28">
        <f t="shared" si="7"/>
        <v>0</v>
      </c>
    </row>
    <row r="36" spans="1:11" ht="13.5" x14ac:dyDescent="0.25">
      <c r="A36" s="61" t="s">
        <v>74</v>
      </c>
      <c r="B36" s="62" t="s">
        <v>86</v>
      </c>
      <c r="C36" s="15"/>
      <c r="D36" s="38">
        <v>1200</v>
      </c>
      <c r="E36" s="38">
        <v>0</v>
      </c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1200</v>
      </c>
      <c r="K36" s="28">
        <f t="shared" si="7"/>
        <v>0</v>
      </c>
    </row>
    <row r="37" spans="1:11" ht="13.5" x14ac:dyDescent="0.25">
      <c r="A37" s="61" t="s">
        <v>75</v>
      </c>
      <c r="B37" s="62" t="s">
        <v>87</v>
      </c>
      <c r="C37" s="15"/>
      <c r="D37" s="38">
        <v>286600</v>
      </c>
      <c r="E37" s="38">
        <v>0</v>
      </c>
      <c r="F37" s="39">
        <f t="shared" ref="F37:F42" si="8">H37-E37</f>
        <v>0</v>
      </c>
      <c r="G37" s="41"/>
      <c r="H37" s="40">
        <v>0</v>
      </c>
      <c r="I37" s="16">
        <f t="shared" ref="I37:I42" si="9">H37/D37</f>
        <v>0</v>
      </c>
      <c r="J37" s="46">
        <f t="shared" ref="J37:J42" si="10">D37-H37</f>
        <v>286600</v>
      </c>
      <c r="K37" s="28">
        <f t="shared" ref="K37:K42" si="11">0.05*H37</f>
        <v>0</v>
      </c>
    </row>
    <row r="38" spans="1:11" ht="13.5" x14ac:dyDescent="0.25">
      <c r="A38" s="61" t="s">
        <v>75</v>
      </c>
      <c r="B38" s="62" t="s">
        <v>88</v>
      </c>
      <c r="C38" s="15"/>
      <c r="D38" s="38">
        <v>29700</v>
      </c>
      <c r="E38" s="38">
        <v>0</v>
      </c>
      <c r="F38" s="39">
        <f t="shared" si="8"/>
        <v>0</v>
      </c>
      <c r="G38" s="41"/>
      <c r="H38" s="40">
        <v>0</v>
      </c>
      <c r="I38" s="16">
        <f t="shared" si="9"/>
        <v>0</v>
      </c>
      <c r="J38" s="46">
        <f t="shared" si="10"/>
        <v>29700</v>
      </c>
      <c r="K38" s="28">
        <f t="shared" si="11"/>
        <v>0</v>
      </c>
    </row>
    <row r="39" spans="1:11" ht="13.5" x14ac:dyDescent="0.25">
      <c r="A39" s="61" t="s">
        <v>75</v>
      </c>
      <c r="B39" s="62" t="s">
        <v>89</v>
      </c>
      <c r="C39" s="15"/>
      <c r="D39" s="38">
        <v>7600</v>
      </c>
      <c r="E39" s="38">
        <v>0</v>
      </c>
      <c r="F39" s="39">
        <f t="shared" si="8"/>
        <v>0</v>
      </c>
      <c r="G39" s="41"/>
      <c r="H39" s="40">
        <v>0</v>
      </c>
      <c r="I39" s="16">
        <f t="shared" si="9"/>
        <v>0</v>
      </c>
      <c r="J39" s="46">
        <f t="shared" si="10"/>
        <v>7600</v>
      </c>
      <c r="K39" s="28">
        <f t="shared" si="11"/>
        <v>0</v>
      </c>
    </row>
    <row r="40" spans="1:11" ht="13.5" x14ac:dyDescent="0.25">
      <c r="A40" s="61" t="s">
        <v>77</v>
      </c>
      <c r="B40" s="62" t="s">
        <v>90</v>
      </c>
      <c r="C40" s="15"/>
      <c r="D40" s="38">
        <v>249500</v>
      </c>
      <c r="E40" s="38">
        <v>0</v>
      </c>
      <c r="F40" s="39">
        <f t="shared" si="8"/>
        <v>0</v>
      </c>
      <c r="G40" s="41"/>
      <c r="H40" s="40">
        <v>0</v>
      </c>
      <c r="I40" s="16">
        <f t="shared" si="9"/>
        <v>0</v>
      </c>
      <c r="J40" s="46">
        <f t="shared" si="10"/>
        <v>249500</v>
      </c>
      <c r="K40" s="28">
        <f t="shared" si="11"/>
        <v>0</v>
      </c>
    </row>
    <row r="41" spans="1:11" ht="13.5" x14ac:dyDescent="0.25">
      <c r="A41" s="61" t="s">
        <v>77</v>
      </c>
      <c r="B41" s="62" t="s">
        <v>91</v>
      </c>
      <c r="C41" s="15"/>
      <c r="D41" s="38">
        <v>31300</v>
      </c>
      <c r="E41" s="38">
        <v>0</v>
      </c>
      <c r="F41" s="39">
        <f t="shared" si="8"/>
        <v>0</v>
      </c>
      <c r="G41" s="41"/>
      <c r="H41" s="40">
        <v>0</v>
      </c>
      <c r="I41" s="16">
        <f t="shared" si="9"/>
        <v>0</v>
      </c>
      <c r="J41" s="46">
        <f t="shared" si="10"/>
        <v>31300</v>
      </c>
      <c r="K41" s="28">
        <f t="shared" si="11"/>
        <v>0</v>
      </c>
    </row>
    <row r="42" spans="1:11" ht="13.5" x14ac:dyDescent="0.25">
      <c r="A42" s="61" t="s">
        <v>77</v>
      </c>
      <c r="B42" s="62" t="s">
        <v>92</v>
      </c>
      <c r="C42" s="15"/>
      <c r="D42" s="38">
        <v>8000</v>
      </c>
      <c r="E42" s="38">
        <v>0</v>
      </c>
      <c r="F42" s="39">
        <f t="shared" si="8"/>
        <v>0</v>
      </c>
      <c r="G42" s="41"/>
      <c r="H42" s="40">
        <v>0</v>
      </c>
      <c r="I42" s="16">
        <f t="shared" si="9"/>
        <v>0</v>
      </c>
      <c r="J42" s="46">
        <f t="shared" si="10"/>
        <v>8000</v>
      </c>
      <c r="K42" s="28">
        <f t="shared" si="11"/>
        <v>0</v>
      </c>
    </row>
    <row r="43" spans="1:11" ht="13.5" x14ac:dyDescent="0.25">
      <c r="A43" s="61" t="s">
        <v>78</v>
      </c>
      <c r="B43" s="62" t="s">
        <v>93</v>
      </c>
      <c r="C43" s="15"/>
      <c r="D43" s="38">
        <v>249500</v>
      </c>
      <c r="E43" s="38">
        <v>0</v>
      </c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249500</v>
      </c>
      <c r="K43" s="28">
        <f t="shared" si="7"/>
        <v>0</v>
      </c>
    </row>
    <row r="44" spans="1:11" ht="13.5" x14ac:dyDescent="0.25">
      <c r="A44" s="61" t="s">
        <v>78</v>
      </c>
      <c r="B44" s="62" t="s">
        <v>94</v>
      </c>
      <c r="C44" s="15"/>
      <c r="D44" s="38">
        <v>31300</v>
      </c>
      <c r="E44" s="38">
        <v>0</v>
      </c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31300</v>
      </c>
      <c r="K44" s="28">
        <f t="shared" si="7"/>
        <v>0</v>
      </c>
    </row>
    <row r="45" spans="1:11" ht="13.5" x14ac:dyDescent="0.25">
      <c r="A45" s="61" t="s">
        <v>78</v>
      </c>
      <c r="B45" s="62" t="s">
        <v>95</v>
      </c>
      <c r="C45" s="15"/>
      <c r="D45" s="38">
        <v>8000</v>
      </c>
      <c r="E45" s="38">
        <v>0</v>
      </c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8000</v>
      </c>
      <c r="K45" s="28">
        <f t="shared" si="7"/>
        <v>0</v>
      </c>
    </row>
    <row r="46" spans="1:11" ht="13.5" x14ac:dyDescent="0.25">
      <c r="A46" s="61" t="s">
        <v>79</v>
      </c>
      <c r="B46" s="62" t="s">
        <v>96</v>
      </c>
      <c r="C46" s="15"/>
      <c r="D46" s="38">
        <v>183400</v>
      </c>
      <c r="E46" s="38">
        <v>0</v>
      </c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183400</v>
      </c>
      <c r="K46" s="28">
        <f t="shared" si="7"/>
        <v>0</v>
      </c>
    </row>
    <row r="47" spans="1:11" ht="13.5" x14ac:dyDescent="0.25">
      <c r="A47" s="61" t="s">
        <v>79</v>
      </c>
      <c r="B47" s="62" t="s">
        <v>97</v>
      </c>
      <c r="C47" s="15"/>
      <c r="D47" s="38">
        <v>30700</v>
      </c>
      <c r="E47" s="38">
        <v>0</v>
      </c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30700</v>
      </c>
      <c r="K47" s="28">
        <f t="shared" si="7"/>
        <v>0</v>
      </c>
    </row>
    <row r="48" spans="1:11" ht="13.5" x14ac:dyDescent="0.25">
      <c r="A48" s="61" t="s">
        <v>79</v>
      </c>
      <c r="B48" s="62" t="s">
        <v>98</v>
      </c>
      <c r="C48" s="15"/>
      <c r="D48" s="38">
        <v>7800</v>
      </c>
      <c r="E48" s="38">
        <v>0</v>
      </c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7800</v>
      </c>
      <c r="K48" s="28">
        <f t="shared" si="7"/>
        <v>0</v>
      </c>
    </row>
    <row r="49" spans="1:11" ht="13.5" x14ac:dyDescent="0.25">
      <c r="A49" s="61" t="s">
        <v>74</v>
      </c>
      <c r="B49" s="62" t="s">
        <v>76</v>
      </c>
      <c r="C49" s="15"/>
      <c r="D49" s="38">
        <v>9400</v>
      </c>
      <c r="E49" s="38">
        <v>0</v>
      </c>
      <c r="F49" s="39">
        <f t="shared" ref="F49:F52" si="12">H49-E49</f>
        <v>0</v>
      </c>
      <c r="G49" s="41"/>
      <c r="H49" s="40">
        <v>0</v>
      </c>
      <c r="I49" s="16">
        <f t="shared" ref="I49:I52" si="13">H49/D49</f>
        <v>0</v>
      </c>
      <c r="J49" s="46">
        <f t="shared" ref="J49:J52" si="14">D49-H49</f>
        <v>9400</v>
      </c>
      <c r="K49" s="28">
        <f t="shared" si="7"/>
        <v>0</v>
      </c>
    </row>
    <row r="50" spans="1:11" ht="13.5" x14ac:dyDescent="0.25">
      <c r="A50" s="61" t="s">
        <v>75</v>
      </c>
      <c r="B50" s="62" t="s">
        <v>80</v>
      </c>
      <c r="C50" s="15"/>
      <c r="D50" s="38">
        <v>57200</v>
      </c>
      <c r="E50" s="38">
        <v>0</v>
      </c>
      <c r="F50" s="39">
        <f t="shared" si="12"/>
        <v>0</v>
      </c>
      <c r="G50" s="41"/>
      <c r="H50" s="40">
        <v>0</v>
      </c>
      <c r="I50" s="16">
        <f t="shared" si="13"/>
        <v>0</v>
      </c>
      <c r="J50" s="46">
        <f t="shared" si="14"/>
        <v>57200</v>
      </c>
      <c r="K50" s="28">
        <f t="shared" si="7"/>
        <v>0</v>
      </c>
    </row>
    <row r="51" spans="1:11" ht="13.5" x14ac:dyDescent="0.25">
      <c r="A51" s="61" t="s">
        <v>77</v>
      </c>
      <c r="B51" s="62" t="s">
        <v>81</v>
      </c>
      <c r="C51" s="15"/>
      <c r="D51" s="38">
        <v>59600</v>
      </c>
      <c r="E51" s="38">
        <v>0</v>
      </c>
      <c r="F51" s="39">
        <f t="shared" si="12"/>
        <v>0</v>
      </c>
      <c r="G51" s="41"/>
      <c r="H51" s="40">
        <v>0</v>
      </c>
      <c r="I51" s="16">
        <f t="shared" si="13"/>
        <v>0</v>
      </c>
      <c r="J51" s="46">
        <f t="shared" si="14"/>
        <v>59600</v>
      </c>
      <c r="K51" s="28">
        <f t="shared" si="7"/>
        <v>0</v>
      </c>
    </row>
    <row r="52" spans="1:11" ht="13.5" x14ac:dyDescent="0.25">
      <c r="A52" s="61" t="s">
        <v>78</v>
      </c>
      <c r="B52" s="62" t="s">
        <v>82</v>
      </c>
      <c r="C52" s="15"/>
      <c r="D52" s="38">
        <v>59600</v>
      </c>
      <c r="E52" s="38">
        <v>0</v>
      </c>
      <c r="F52" s="39">
        <f t="shared" si="12"/>
        <v>0</v>
      </c>
      <c r="G52" s="41"/>
      <c r="H52" s="40">
        <v>0</v>
      </c>
      <c r="I52" s="16">
        <f t="shared" si="13"/>
        <v>0</v>
      </c>
      <c r="J52" s="46">
        <f t="shared" si="14"/>
        <v>59600</v>
      </c>
      <c r="K52" s="28">
        <f t="shared" si="7"/>
        <v>0</v>
      </c>
    </row>
    <row r="53" spans="1:11" ht="13.5" x14ac:dyDescent="0.25">
      <c r="A53" s="63" t="s">
        <v>79</v>
      </c>
      <c r="B53" s="62" t="s">
        <v>83</v>
      </c>
      <c r="C53" s="15"/>
      <c r="D53" s="38">
        <v>58400</v>
      </c>
      <c r="E53" s="38">
        <v>0</v>
      </c>
      <c r="F53" s="39">
        <f>H53-E53</f>
        <v>0</v>
      </c>
      <c r="G53" s="41"/>
      <c r="H53" s="40">
        <v>0</v>
      </c>
      <c r="I53" s="16">
        <f>H53/D53</f>
        <v>0</v>
      </c>
      <c r="J53" s="46">
        <f t="shared" ref="J53:J73" si="15">D53-H53</f>
        <v>58400</v>
      </c>
      <c r="K53" s="28">
        <f t="shared" si="7"/>
        <v>0</v>
      </c>
    </row>
    <row r="54" spans="1:11" ht="13.5" x14ac:dyDescent="0.25">
      <c r="A54" s="61" t="s">
        <v>6</v>
      </c>
      <c r="B54" s="62" t="s">
        <v>6</v>
      </c>
      <c r="C54" s="15"/>
      <c r="D54" s="38">
        <v>0</v>
      </c>
      <c r="E54" s="38">
        <v>0</v>
      </c>
      <c r="F54" s="39">
        <f>H54-E54</f>
        <v>0</v>
      </c>
      <c r="G54" s="41"/>
      <c r="H54" s="40">
        <v>0</v>
      </c>
      <c r="I54" s="16" t="e">
        <f>H54/D54</f>
        <v>#DIV/0!</v>
      </c>
      <c r="J54" s="46">
        <f t="shared" si="15"/>
        <v>0</v>
      </c>
      <c r="K54" s="28">
        <f>0.05*H54</f>
        <v>0</v>
      </c>
    </row>
    <row r="55" spans="1:11" ht="15" x14ac:dyDescent="0.25">
      <c r="A55" s="76" t="s">
        <v>20</v>
      </c>
      <c r="B55" s="77"/>
      <c r="C55" s="15"/>
      <c r="D55" s="38">
        <f t="shared" ref="D55:I55" si="16">SUM(D14:D54)</f>
        <v>2469500</v>
      </c>
      <c r="E55" s="38">
        <f t="shared" si="16"/>
        <v>282400</v>
      </c>
      <c r="F55" s="38">
        <f t="shared" si="16"/>
        <v>276500</v>
      </c>
      <c r="G55" s="38">
        <f t="shared" si="16"/>
        <v>0</v>
      </c>
      <c r="H55" s="38">
        <f t="shared" si="16"/>
        <v>558900</v>
      </c>
      <c r="I55" s="38" t="e">
        <f t="shared" si="16"/>
        <v>#DIV/0!</v>
      </c>
      <c r="J55" s="46">
        <f>D55-H55</f>
        <v>1910600</v>
      </c>
      <c r="K55" s="38">
        <f>SUM(K14:K54)</f>
        <v>27945</v>
      </c>
    </row>
    <row r="56" spans="1:11" ht="20.100000000000001" customHeight="1" x14ac:dyDescent="0.2">
      <c r="A56" s="17"/>
      <c r="B56" s="14" t="s">
        <v>17</v>
      </c>
      <c r="C56" s="15"/>
      <c r="D56" s="38"/>
      <c r="E56" s="38"/>
      <c r="F56" s="39"/>
      <c r="G56" s="41"/>
      <c r="H56" s="40"/>
      <c r="I56" s="16"/>
      <c r="J56" s="46"/>
      <c r="K56" s="28"/>
    </row>
    <row r="57" spans="1:11" ht="12" customHeight="1" x14ac:dyDescent="0.2">
      <c r="A57" s="66" t="s">
        <v>101</v>
      </c>
      <c r="B57" s="70" t="s">
        <v>115</v>
      </c>
      <c r="C57" s="15"/>
      <c r="D57" s="38">
        <v>26645</v>
      </c>
      <c r="E57" s="38">
        <v>21000</v>
      </c>
      <c r="F57" s="39">
        <f t="shared" ref="F57:F72" si="17">H57-E57</f>
        <v>0</v>
      </c>
      <c r="G57" s="42"/>
      <c r="H57" s="40">
        <v>21000</v>
      </c>
      <c r="I57" s="16">
        <f t="shared" ref="I57:I72" si="18">H57/D57</f>
        <v>0.78814036404578725</v>
      </c>
      <c r="J57" s="46">
        <f t="shared" si="15"/>
        <v>5645</v>
      </c>
      <c r="K57" s="28">
        <f t="shared" ref="K57:K72" si="19">0.05*H57</f>
        <v>1050</v>
      </c>
    </row>
    <row r="58" spans="1:11" ht="12" customHeight="1" x14ac:dyDescent="0.2">
      <c r="A58" s="66" t="s">
        <v>119</v>
      </c>
      <c r="B58" s="71" t="s">
        <v>116</v>
      </c>
      <c r="C58" s="15"/>
      <c r="D58" s="38">
        <v>121400</v>
      </c>
      <c r="E58" s="38">
        <v>0</v>
      </c>
      <c r="F58" s="39">
        <f t="shared" ref="F58:F59" si="20">H58-E58</f>
        <v>0</v>
      </c>
      <c r="G58" s="41"/>
      <c r="H58" s="40">
        <v>0</v>
      </c>
      <c r="I58" s="16">
        <f t="shared" ref="I58:I59" si="21">H58/D58</f>
        <v>0</v>
      </c>
      <c r="J58" s="46">
        <f t="shared" ref="J58:J59" si="22">D58-H58</f>
        <v>121400</v>
      </c>
      <c r="K58" s="28">
        <f t="shared" ref="K58:K59" si="23">0.05*H58</f>
        <v>0</v>
      </c>
    </row>
    <row r="59" spans="1:11" ht="12" customHeight="1" x14ac:dyDescent="0.2">
      <c r="A59" s="66" t="s">
        <v>118</v>
      </c>
      <c r="B59" s="71" t="s">
        <v>117</v>
      </c>
      <c r="C59" s="15"/>
      <c r="D59" s="38">
        <v>-32700</v>
      </c>
      <c r="E59" s="38">
        <v>0</v>
      </c>
      <c r="F59" s="39">
        <f t="shared" si="20"/>
        <v>0</v>
      </c>
      <c r="G59" s="41"/>
      <c r="H59" s="40">
        <v>0</v>
      </c>
      <c r="I59" s="16">
        <f t="shared" si="21"/>
        <v>0</v>
      </c>
      <c r="J59" s="46">
        <f t="shared" si="22"/>
        <v>-32700</v>
      </c>
      <c r="K59" s="28">
        <f t="shared" si="23"/>
        <v>0</v>
      </c>
    </row>
    <row r="60" spans="1:11" ht="12" customHeight="1" x14ac:dyDescent="0.2">
      <c r="A60" s="66" t="s">
        <v>102</v>
      </c>
      <c r="B60" s="71" t="s">
        <v>120</v>
      </c>
      <c r="C60" s="15"/>
      <c r="D60" s="38">
        <v>2658</v>
      </c>
      <c r="E60" s="38">
        <v>2658</v>
      </c>
      <c r="F60" s="39">
        <f>H60-E60</f>
        <v>0</v>
      </c>
      <c r="G60" s="41"/>
      <c r="H60" s="40">
        <v>2658</v>
      </c>
      <c r="I60" s="16">
        <f>H60/D60</f>
        <v>1</v>
      </c>
      <c r="J60" s="46">
        <f>D60-H60</f>
        <v>0</v>
      </c>
      <c r="K60" s="28">
        <f>0.05*H60</f>
        <v>132.9</v>
      </c>
    </row>
    <row r="61" spans="1:11" ht="12" customHeight="1" x14ac:dyDescent="0.2">
      <c r="A61" s="66" t="s">
        <v>103</v>
      </c>
      <c r="B61" s="71" t="s">
        <v>121</v>
      </c>
      <c r="C61" s="15"/>
      <c r="D61" s="38">
        <v>-17190</v>
      </c>
      <c r="E61" s="38">
        <v>0</v>
      </c>
      <c r="F61" s="39">
        <f>H61-E61</f>
        <v>0</v>
      </c>
      <c r="G61" s="41"/>
      <c r="H61" s="40">
        <v>0</v>
      </c>
      <c r="I61" s="16">
        <f>H61/D61</f>
        <v>0</v>
      </c>
      <c r="J61" s="46">
        <f>D61-H61</f>
        <v>-17190</v>
      </c>
      <c r="K61" s="28">
        <f>0.05*H61</f>
        <v>0</v>
      </c>
    </row>
    <row r="62" spans="1:11" ht="12" customHeight="1" x14ac:dyDescent="0.2">
      <c r="A62" s="66" t="s">
        <v>104</v>
      </c>
      <c r="C62" s="15"/>
      <c r="D62" s="38">
        <v>0</v>
      </c>
      <c r="E62" s="38">
        <v>0</v>
      </c>
      <c r="F62" s="39">
        <f t="shared" ref="F62:F64" si="24">H62-E62</f>
        <v>0</v>
      </c>
      <c r="G62" s="42"/>
      <c r="H62" s="40">
        <v>0</v>
      </c>
      <c r="I62" s="16" t="e">
        <f t="shared" ref="I62:I64" si="25">H62/D62</f>
        <v>#DIV/0!</v>
      </c>
      <c r="J62" s="46">
        <f t="shared" ref="J62:J64" si="26">D62-H62</f>
        <v>0</v>
      </c>
      <c r="K62" s="28">
        <f t="shared" ref="K62:K64" si="27">0.05*H62</f>
        <v>0</v>
      </c>
    </row>
    <row r="63" spans="1:11" ht="12" customHeight="1" x14ac:dyDescent="0.2">
      <c r="A63" s="66" t="s">
        <v>105</v>
      </c>
      <c r="B63" s="15"/>
      <c r="C63" s="15"/>
      <c r="D63" s="38">
        <v>0</v>
      </c>
      <c r="E63" s="38">
        <v>0</v>
      </c>
      <c r="F63" s="39">
        <f t="shared" si="24"/>
        <v>0</v>
      </c>
      <c r="G63" s="41"/>
      <c r="H63" s="40">
        <v>0</v>
      </c>
      <c r="I63" s="16" t="e">
        <f t="shared" si="25"/>
        <v>#DIV/0!</v>
      </c>
      <c r="J63" s="46">
        <f t="shared" si="26"/>
        <v>0</v>
      </c>
      <c r="K63" s="28">
        <f t="shared" si="27"/>
        <v>0</v>
      </c>
    </row>
    <row r="64" spans="1:11" ht="12" customHeight="1" x14ac:dyDescent="0.2">
      <c r="A64" s="66" t="s">
        <v>106</v>
      </c>
      <c r="B64" s="15"/>
      <c r="C64" s="15"/>
      <c r="D64" s="38">
        <v>0</v>
      </c>
      <c r="E64" s="38">
        <v>0</v>
      </c>
      <c r="F64" s="39">
        <f t="shared" si="24"/>
        <v>0</v>
      </c>
      <c r="G64" s="41"/>
      <c r="H64" s="40">
        <v>0</v>
      </c>
      <c r="I64" s="16" t="e">
        <f t="shared" si="25"/>
        <v>#DIV/0!</v>
      </c>
      <c r="J64" s="46">
        <f t="shared" si="26"/>
        <v>0</v>
      </c>
      <c r="K64" s="28">
        <f t="shared" si="27"/>
        <v>0</v>
      </c>
    </row>
    <row r="65" spans="1:11" ht="12" customHeight="1" x14ac:dyDescent="0.2">
      <c r="A65" s="66" t="s">
        <v>107</v>
      </c>
      <c r="B65" s="15"/>
      <c r="C65" s="15"/>
      <c r="D65" s="38">
        <v>0</v>
      </c>
      <c r="E65" s="38">
        <v>0</v>
      </c>
      <c r="F65" s="39">
        <f t="shared" si="17"/>
        <v>0</v>
      </c>
      <c r="G65" s="41"/>
      <c r="H65" s="40">
        <v>0</v>
      </c>
      <c r="I65" s="16" t="e">
        <f t="shared" si="18"/>
        <v>#DIV/0!</v>
      </c>
      <c r="J65" s="46">
        <f t="shared" si="15"/>
        <v>0</v>
      </c>
      <c r="K65" s="28">
        <f t="shared" si="19"/>
        <v>0</v>
      </c>
    </row>
    <row r="66" spans="1:11" ht="12" customHeight="1" x14ac:dyDescent="0.2">
      <c r="A66" s="66" t="s">
        <v>108</v>
      </c>
      <c r="B66" s="15"/>
      <c r="C66" s="15"/>
      <c r="D66" s="38">
        <v>0</v>
      </c>
      <c r="E66" s="38">
        <v>0</v>
      </c>
      <c r="F66" s="39">
        <f t="shared" si="17"/>
        <v>0</v>
      </c>
      <c r="G66" s="41"/>
      <c r="H66" s="40">
        <v>0</v>
      </c>
      <c r="I66" s="16" t="e">
        <f t="shared" si="18"/>
        <v>#DIV/0!</v>
      </c>
      <c r="J66" s="46">
        <f t="shared" si="15"/>
        <v>0</v>
      </c>
      <c r="K66" s="28">
        <f t="shared" si="19"/>
        <v>0</v>
      </c>
    </row>
    <row r="67" spans="1:11" ht="12" customHeight="1" x14ac:dyDescent="0.2">
      <c r="A67" s="66" t="s">
        <v>109</v>
      </c>
      <c r="B67" s="15"/>
      <c r="C67" s="15"/>
      <c r="D67" s="38">
        <v>0</v>
      </c>
      <c r="E67" s="38">
        <v>0</v>
      </c>
      <c r="F67" s="39">
        <f>H67-E67</f>
        <v>0</v>
      </c>
      <c r="G67" s="41"/>
      <c r="H67" s="40">
        <v>0</v>
      </c>
      <c r="I67" s="16" t="e">
        <f>H67/D67</f>
        <v>#DIV/0!</v>
      </c>
      <c r="J67" s="46">
        <f>D67-H67</f>
        <v>0</v>
      </c>
      <c r="K67" s="28">
        <f>0.05*H67</f>
        <v>0</v>
      </c>
    </row>
    <row r="68" spans="1:11" ht="12" customHeight="1" x14ac:dyDescent="0.2">
      <c r="A68" s="66" t="s">
        <v>110</v>
      </c>
      <c r="B68" s="15"/>
      <c r="C68" s="15"/>
      <c r="D68" s="38">
        <v>0</v>
      </c>
      <c r="E68" s="38">
        <v>0</v>
      </c>
      <c r="F68" s="39">
        <f>H68-E68</f>
        <v>0</v>
      </c>
      <c r="G68" s="41"/>
      <c r="H68" s="40">
        <v>0</v>
      </c>
      <c r="I68" s="16" t="e">
        <f>H68/D68</f>
        <v>#DIV/0!</v>
      </c>
      <c r="J68" s="46">
        <f>D68-H68</f>
        <v>0</v>
      </c>
      <c r="K68" s="28">
        <f>0.05*H68</f>
        <v>0</v>
      </c>
    </row>
    <row r="69" spans="1:11" ht="12" customHeight="1" x14ac:dyDescent="0.2">
      <c r="A69" s="66" t="s">
        <v>111</v>
      </c>
      <c r="C69" s="15"/>
      <c r="D69" s="38">
        <v>0</v>
      </c>
      <c r="E69" s="38">
        <v>0</v>
      </c>
      <c r="F69" s="39">
        <f t="shared" si="17"/>
        <v>0</v>
      </c>
      <c r="G69" s="42"/>
      <c r="H69" s="40">
        <v>0</v>
      </c>
      <c r="I69" s="16" t="e">
        <f t="shared" si="18"/>
        <v>#DIV/0!</v>
      </c>
      <c r="J69" s="46">
        <f t="shared" si="15"/>
        <v>0</v>
      </c>
      <c r="K69" s="28">
        <f t="shared" si="19"/>
        <v>0</v>
      </c>
    </row>
    <row r="70" spans="1:11" ht="12" customHeight="1" x14ac:dyDescent="0.2">
      <c r="A70" s="66" t="s">
        <v>112</v>
      </c>
      <c r="B70" s="15"/>
      <c r="C70" s="15"/>
      <c r="D70" s="38">
        <v>0</v>
      </c>
      <c r="E70" s="38">
        <v>0</v>
      </c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5"/>
        <v>0</v>
      </c>
      <c r="K70" s="28">
        <f t="shared" si="19"/>
        <v>0</v>
      </c>
    </row>
    <row r="71" spans="1:11" ht="12" customHeight="1" x14ac:dyDescent="0.2">
      <c r="A71" s="66" t="s">
        <v>113</v>
      </c>
      <c r="B71" s="15"/>
      <c r="C71" s="15"/>
      <c r="D71" s="38">
        <v>0</v>
      </c>
      <c r="E71" s="38">
        <v>0</v>
      </c>
      <c r="F71" s="39">
        <f t="shared" si="17"/>
        <v>0</v>
      </c>
      <c r="G71" s="41"/>
      <c r="H71" s="40">
        <v>0</v>
      </c>
      <c r="I71" s="16" t="e">
        <f t="shared" si="18"/>
        <v>#DIV/0!</v>
      </c>
      <c r="J71" s="46">
        <f t="shared" si="15"/>
        <v>0</v>
      </c>
      <c r="K71" s="28">
        <f t="shared" si="19"/>
        <v>0</v>
      </c>
    </row>
    <row r="72" spans="1:11" x14ac:dyDescent="0.2">
      <c r="A72" s="66" t="s">
        <v>114</v>
      </c>
      <c r="B72" s="18"/>
      <c r="C72" s="15"/>
      <c r="D72" s="38">
        <v>0</v>
      </c>
      <c r="E72" s="38">
        <v>0</v>
      </c>
      <c r="F72" s="39">
        <f t="shared" si="17"/>
        <v>0</v>
      </c>
      <c r="G72" s="41"/>
      <c r="H72" s="40">
        <v>0</v>
      </c>
      <c r="I72" s="16" t="e">
        <f t="shared" si="18"/>
        <v>#DIV/0!</v>
      </c>
      <c r="J72" s="46">
        <f t="shared" si="15"/>
        <v>0</v>
      </c>
      <c r="K72" s="28">
        <f t="shared" si="19"/>
        <v>0</v>
      </c>
    </row>
    <row r="73" spans="1:11" ht="15" x14ac:dyDescent="0.25">
      <c r="A73" s="67">
        <f>SUM(D57:D72)</f>
        <v>100813</v>
      </c>
      <c r="B73" s="64" t="s">
        <v>21</v>
      </c>
      <c r="C73" s="65"/>
      <c r="D73" s="38">
        <f t="shared" ref="D73:I73" si="28">SUM(D55:D72)</f>
        <v>2570313</v>
      </c>
      <c r="E73" s="38">
        <f t="shared" si="28"/>
        <v>306058</v>
      </c>
      <c r="F73" s="38">
        <f t="shared" si="28"/>
        <v>276500</v>
      </c>
      <c r="G73" s="38">
        <f t="shared" si="28"/>
        <v>0</v>
      </c>
      <c r="H73" s="38">
        <f t="shared" si="28"/>
        <v>582558</v>
      </c>
      <c r="I73" s="38" t="e">
        <f t="shared" si="28"/>
        <v>#DIV/0!</v>
      </c>
      <c r="J73" s="46">
        <f t="shared" si="15"/>
        <v>1987755</v>
      </c>
      <c r="K73" s="38">
        <f>SUM(K55:K72)</f>
        <v>29127.9</v>
      </c>
    </row>
    <row r="74" spans="1:11" x14ac:dyDescent="0.2">
      <c r="I74" s="2"/>
    </row>
    <row r="75" spans="1:11" x14ac:dyDescent="0.2">
      <c r="I75" s="2"/>
    </row>
    <row r="76" spans="1:11" x14ac:dyDescent="0.2">
      <c r="C76" s="19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</cp:lastModifiedBy>
  <cp:lastPrinted>2015-01-19T23:27:06Z</cp:lastPrinted>
  <dcterms:created xsi:type="dcterms:W3CDTF">2001-02-05T15:33:02Z</dcterms:created>
  <dcterms:modified xsi:type="dcterms:W3CDTF">2015-08-20T17:53:25Z</dcterms:modified>
</cp:coreProperties>
</file>