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Vendor Quotes\"/>
    </mc:Choice>
  </mc:AlternateContent>
  <bookViews>
    <workbookView xWindow="4590" yWindow="2310" windowWidth="9405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Sheet1!$A$1:$S$81</definedName>
    <definedName name="VENDOR">Sheet1!$A$3</definedName>
  </definedNames>
  <calcPr calcId="152511"/>
</workbook>
</file>

<file path=xl/calcChain.xml><?xml version="1.0" encoding="utf-8"?>
<calcChain xmlns="http://schemas.openxmlformats.org/spreadsheetml/2006/main">
  <c r="P60" i="1" l="1"/>
  <c r="O10" i="1" l="1"/>
  <c r="M10" i="1" l="1"/>
  <c r="S10" i="1" l="1"/>
  <c r="K10" i="1"/>
  <c r="Q10" i="1" l="1"/>
  <c r="Q8" i="1" s="1"/>
</calcChain>
</file>

<file path=xl/sharedStrings.xml><?xml version="1.0" encoding="utf-8"?>
<sst xmlns="http://schemas.openxmlformats.org/spreadsheetml/2006/main" count="103" uniqueCount="80">
  <si>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</si>
  <si>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</si>
  <si>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</si>
  <si>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</si>
  <si>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</si>
  <si>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</si>
  <si>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</si>
  <si>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</si>
  <si>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</si>
  <si>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</si>
  <si>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BID#</t>
  </si>
  <si>
    <t>SHIP TO</t>
  </si>
  <si>
    <t>PO#</t>
  </si>
  <si>
    <t>order</t>
  </si>
  <si>
    <t>total</t>
  </si>
  <si>
    <t>FEI</t>
  </si>
  <si>
    <t>ordered</t>
  </si>
  <si>
    <t xml:space="preserve">SHIP </t>
  </si>
  <si>
    <t>ROSEN</t>
  </si>
  <si>
    <t>OWP LLC</t>
  </si>
  <si>
    <t>CONS</t>
  </si>
  <si>
    <t>YELLOW CELLS INDICATE NO PRICING PROVIDED BY SUPPLIER.  COMPETITIORS NUMBER 'PLUGGED' FOR COMPARISON</t>
  </si>
  <si>
    <t>KELLER</t>
  </si>
  <si>
    <t>PAC</t>
  </si>
  <si>
    <t>LEGACY TRIM</t>
  </si>
  <si>
    <t>white Toto CT416 elongated toilet bowl</t>
  </si>
  <si>
    <t>white Toto ST416M duall flush 1.6 &amp; 0.9 GPF toilet tank and cover</t>
  </si>
  <si>
    <t>White SS114 elongated Softclose seat</t>
  </si>
  <si>
    <t>white Toto C744EL elongated toilet bowl, ADA</t>
  </si>
  <si>
    <t>white Toto ST743E &amp; ER tank and cover, 1.28gpf</t>
  </si>
  <si>
    <t>white toto LT502 lavatory sink</t>
  </si>
  <si>
    <t xml:space="preserve">Grohe 34.270.001 chrome faucet  </t>
  </si>
  <si>
    <t xml:space="preserve">white Superior 101C tub/shower stall w/backing </t>
  </si>
  <si>
    <t xml:space="preserve">chrome Moen 52710EP-1.5 hand held shower </t>
  </si>
  <si>
    <t>white Superior 48C-N shower stall (no backing)</t>
  </si>
  <si>
    <t>white Superior 48BF-FWA shower stall (with backing, adaptable)</t>
  </si>
  <si>
    <t xml:space="preserve">Moen G20192, 21”x16”x7.5” undercounter stainless steel sink </t>
  </si>
  <si>
    <t>Moen 7594 chrome kitchen faucet</t>
  </si>
  <si>
    <t xml:space="preserve">Moen G18195, 21”x16”x5.5” ADA undercounter stainless steel sink </t>
  </si>
  <si>
    <t>Common Areas</t>
  </si>
  <si>
    <t>white Superior 101C tub/shower stall w/grab bars &amp; seat - ADA</t>
  </si>
  <si>
    <t>Building Systems</t>
  </si>
  <si>
    <t xml:space="preserve">HB-1 Woodford 25 keyless hose bib </t>
  </si>
  <si>
    <t>HB-2 Woodford 65B frostproof keyless hose bib with recessed box</t>
  </si>
  <si>
    <t>Mustee 63M mop sink w/Mustee wall hung faucet</t>
  </si>
  <si>
    <t xml:space="preserve">AO Smith BTH500, 130-gallon gas fired water heaters </t>
  </si>
  <si>
    <t>Alternate Fixtures</t>
  </si>
  <si>
    <t>white Toto LT155 Vernica Design II Self Rimming China Lavatory</t>
  </si>
  <si>
    <t>white American Standard 0642.001.020 Studio Carre Self Rimming China Lav</t>
  </si>
  <si>
    <t>white Toto LT183 round undercounter china lav</t>
  </si>
  <si>
    <t>Kohler stainless steel oval sink K-2609-SU-NA, satin finish</t>
  </si>
  <si>
    <t>chrome Moen TL182EP shower valve trim, head, spout</t>
  </si>
  <si>
    <t>Moen 62365 rough in valve</t>
  </si>
  <si>
    <t>chrome Moen TL183EP shower valve trim, head, spout</t>
  </si>
  <si>
    <t>chrome Moen T2193EP shower valve trim, head, spout</t>
  </si>
  <si>
    <t>chrome Moen T2192EP shower valve trim, head</t>
  </si>
  <si>
    <t>chrome Moen S3879EP17 hand held shower  - 1.75GPM</t>
  </si>
  <si>
    <t>chrome Grohe Concetto 32665001 kitchen faucet</t>
  </si>
  <si>
    <t>Kohler K-5150-1 Reve Wall Mount Bathroom Sink w/ K-5031 shroud</t>
  </si>
  <si>
    <t>chrome Grohe K7 31380 000 kitchen sink with professional spray head</t>
  </si>
  <si>
    <t>Lenova Aurora LS18304 stainless steel kitchen sink</t>
  </si>
  <si>
    <t>Grohe 19.457.001, chrome balance valve trimset</t>
  </si>
  <si>
    <t>Grohe 28.342.00E, 1.5 gpm, chrome shower head</t>
  </si>
  <si>
    <t>Grohe 27.414.000, chrome shower arm</t>
  </si>
  <si>
    <t>Grohe 13.611.000 chrome tub spout with diverter</t>
  </si>
  <si>
    <t>Grohe 35.015 rough in valve</t>
  </si>
  <si>
    <t>white Aquatic 6032STT (tile look)</t>
  </si>
  <si>
    <t>white Aquatic 2603CTH tub/shower - with grab bars and seat (tile look)</t>
  </si>
  <si>
    <t>white Aquatic 2603CTH tub/shower - with backing - no grab bars, no seat (tile look)</t>
  </si>
  <si>
    <t>white Aquatic 1483BFSD with backing</t>
  </si>
  <si>
    <t>white Aquatic 1423CTC, no backing, tile look</t>
  </si>
  <si>
    <t>chrome Moen 5965 kitchen faucet</t>
  </si>
  <si>
    <t>Vigo VG2318C</t>
  </si>
  <si>
    <t>white Aquatic 1483EN with reinforcing (smooth wall)</t>
  </si>
  <si>
    <t>white Aquatic 1483CST with reinforcing ALL WALLS (smooth wall)</t>
  </si>
  <si>
    <t>white Aquatic 1483CST with reinforcing 30" AND UP (smooth wall)</t>
  </si>
  <si>
    <t>white Aquatic 6032STT with reinforcing 30" AND UP (tile look)</t>
  </si>
  <si>
    <t>white Aquatic 6032STT with reinforcing ALL WALLS (tile look)</t>
  </si>
  <si>
    <t>white Aquatic 2603CTH with reinforcing ALL WALLS (tile look)</t>
  </si>
  <si>
    <t>white Aquatic 2603CTH with reinforcing 30" AND UP (tile look)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</si>
</sst>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7"/>
      <name val="Arial"/>
      <family val="2"/>
    </font>
    <font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Fill="1" applyBorder="1" applyProtection="1"/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8" fillId="2" borderId="1" xfId="0" applyFont="1" applyFill="1" applyBorder="1" applyAlignment="1" applyProtection="1">
      <alignment horizontal="center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/>
      <protection locked="0"/>
    </xf>
    <xf numFmtId="165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Protection="1"/>
    <xf numFmtId="165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Protection="1"/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/>
      <protection locked="0"/>
    </xf>
    <xf numFmtId="165" fontId="6" fillId="0" borderId="1" xfId="0" applyNumberFormat="1" applyFont="1" applyBorder="1" applyAlignment="1" applyProtection="1">
      <alignment vertical="center"/>
      <protection locked="0"/>
    </xf>
    <xf numFmtId="165" fontId="6" fillId="0" borderId="1" xfId="0" applyNumberFormat="1" applyFont="1" applyBorder="1" applyAlignment="1">
      <alignment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165" fontId="6" fillId="4" borderId="1" xfId="0" applyNumberFormat="1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Fill="1" applyBorder="1" applyAlignment="1" applyProtection="1">
      <alignment vertical="center"/>
      <protection locked="0"/>
    </xf>
    <xf numFmtId="165" fontId="6" fillId="0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4" borderId="0" xfId="0" applyFill="1" applyAlignment="1" applyProtection="1">
      <alignment horizontal="center" wrapText="1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center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2"/>
  <sheetViews>
    <sheetView tabSelected="1" view="pageBreakPreview" zoomScaleNormal="100" zoomScaleSheetLayoutView="100" workbookViewId="0">
      <selection activeCell="L80" sqref="L80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5.5703125" style="1" customWidth="1"/>
    <col min="4" max="4" width="8.85546875" style="1" hidden="1" customWidth="1"/>
    <col min="5" max="5" width="60.7109375" style="1" customWidth="1"/>
    <col min="6" max="7" width="8.85546875" style="1" hidden="1" customWidth="1"/>
    <col min="8" max="8" width="4.85546875" style="1" customWidth="1"/>
    <col min="9" max="9" width="5" style="1" customWidth="1"/>
    <col min="10" max="10" width="11.42578125" style="1" customWidth="1"/>
    <col min="11" max="11" width="10.85546875" style="1" customWidth="1"/>
    <col min="12" max="12" width="10.140625" style="1" bestFit="1" customWidth="1"/>
    <col min="13" max="13" width="11" style="1" customWidth="1"/>
    <col min="14" max="14" width="9.140625" style="1" bestFit="1" customWidth="1"/>
    <col min="15" max="15" width="11" style="1" customWidth="1"/>
    <col min="16" max="16" width="10.140625" style="1" bestFit="1" customWidth="1"/>
    <col min="17" max="17" width="10.140625" style="1" customWidth="1"/>
    <col min="18" max="18" width="9.140625" style="1" bestFit="1" customWidth="1"/>
    <col min="19" max="19" width="11" style="1" customWidth="1"/>
    <col min="20" max="16384" width="8.85546875" style="1"/>
  </cols>
  <sheetData>
    <row r="1" spans="1:19" ht="22.5" customHeight="1" x14ac:dyDescent="0.2">
      <c r="A1" s="90" t="s">
        <v>19</v>
      </c>
      <c r="B1" s="91"/>
      <c r="C1" s="92"/>
      <c r="D1" s="10"/>
      <c r="E1" s="24" t="s">
        <v>24</v>
      </c>
      <c r="F1" s="19"/>
      <c r="G1" s="19"/>
      <c r="H1" s="65" t="s">
        <v>12</v>
      </c>
      <c r="I1" s="66"/>
      <c r="J1" s="82"/>
      <c r="K1" s="83"/>
      <c r="L1" s="31"/>
      <c r="M1" s="31"/>
      <c r="N1" s="31"/>
      <c r="O1" s="31"/>
      <c r="Q1" s="67" t="s">
        <v>21</v>
      </c>
      <c r="R1" s="67"/>
      <c r="S1" s="67"/>
    </row>
    <row r="2" spans="1:19" ht="15.75" customHeight="1" x14ac:dyDescent="0.25">
      <c r="A2" s="93"/>
      <c r="B2" s="94"/>
      <c r="C2" s="95"/>
      <c r="D2" s="11"/>
      <c r="E2" s="26"/>
      <c r="F2" s="20"/>
      <c r="G2" s="20"/>
      <c r="H2" s="65"/>
      <c r="I2" s="66"/>
      <c r="J2" s="84"/>
      <c r="K2" s="85"/>
      <c r="L2" s="31"/>
      <c r="M2" s="31"/>
      <c r="N2" s="31"/>
      <c r="O2" s="31"/>
      <c r="Q2" s="67"/>
      <c r="R2" s="67"/>
      <c r="S2" s="67"/>
    </row>
    <row r="3" spans="1:19" ht="13.9" customHeight="1" x14ac:dyDescent="0.2">
      <c r="A3" s="88" t="s">
        <v>3</v>
      </c>
      <c r="B3" s="89"/>
      <c r="C3" s="70"/>
      <c r="D3" s="64"/>
      <c r="E3" s="64"/>
      <c r="F3" s="7"/>
      <c r="G3" s="21"/>
      <c r="H3" s="75" t="s">
        <v>10</v>
      </c>
      <c r="I3" s="76"/>
      <c r="J3" s="71"/>
      <c r="K3" s="72"/>
      <c r="L3" s="32"/>
      <c r="M3" s="32"/>
      <c r="N3" s="32"/>
      <c r="O3" s="32"/>
      <c r="Q3" s="67"/>
      <c r="R3" s="67"/>
      <c r="S3" s="67"/>
    </row>
    <row r="4" spans="1:19" ht="7.9" customHeight="1" x14ac:dyDescent="0.2">
      <c r="A4" s="89"/>
      <c r="B4" s="89"/>
      <c r="C4" s="64"/>
      <c r="D4" s="64"/>
      <c r="E4" s="64"/>
      <c r="F4" s="7"/>
      <c r="G4" s="21"/>
      <c r="H4" s="77"/>
      <c r="I4" s="76"/>
      <c r="J4" s="73"/>
      <c r="K4" s="74"/>
      <c r="L4" s="32"/>
      <c r="M4" s="32"/>
      <c r="N4" s="32"/>
      <c r="O4" s="32"/>
      <c r="Q4" s="67"/>
      <c r="R4" s="67"/>
      <c r="S4" s="67"/>
    </row>
    <row r="5" spans="1:19" ht="16.149999999999999" customHeight="1" outlineLevel="1" x14ac:dyDescent="0.2">
      <c r="A5" s="103" t="s">
        <v>11</v>
      </c>
      <c r="B5" s="89"/>
      <c r="C5" s="78"/>
      <c r="D5" s="79"/>
      <c r="E5" s="79"/>
      <c r="F5" s="79"/>
      <c r="G5" s="79"/>
      <c r="H5" s="79"/>
      <c r="I5" s="79"/>
      <c r="J5" s="64"/>
      <c r="K5" s="64"/>
      <c r="L5" s="33"/>
      <c r="M5" s="33"/>
      <c r="N5" s="33"/>
      <c r="O5" s="33"/>
      <c r="Q5" s="67"/>
      <c r="R5" s="67"/>
      <c r="S5" s="67"/>
    </row>
    <row r="6" spans="1:19" ht="6" customHeight="1" outlineLevel="1" x14ac:dyDescent="0.2">
      <c r="A6" s="89"/>
      <c r="B6" s="89"/>
      <c r="C6" s="79"/>
      <c r="D6" s="79"/>
      <c r="E6" s="79"/>
      <c r="F6" s="79"/>
      <c r="G6" s="79"/>
      <c r="H6" s="79"/>
      <c r="I6" s="79"/>
      <c r="J6" s="64"/>
      <c r="K6" s="64"/>
    </row>
    <row r="7" spans="1:19" ht="10.15" customHeight="1" x14ac:dyDescent="0.2">
      <c r="A7" s="98" t="s">
        <v>4</v>
      </c>
      <c r="B7" s="98"/>
      <c r="C7" s="98"/>
      <c r="D7" s="8"/>
      <c r="E7" s="62" t="s">
        <v>5</v>
      </c>
      <c r="F7" s="80"/>
      <c r="G7" s="80"/>
      <c r="H7" s="80"/>
      <c r="I7" s="81"/>
      <c r="J7" s="65" t="s">
        <v>6</v>
      </c>
      <c r="K7" s="66"/>
    </row>
    <row r="8" spans="1:19" ht="18.600000000000001" customHeight="1" x14ac:dyDescent="0.25">
      <c r="A8" s="96"/>
      <c r="B8" s="97"/>
      <c r="C8" s="97"/>
      <c r="D8" s="4"/>
      <c r="E8" s="58">
        <v>2023</v>
      </c>
      <c r="F8" s="59"/>
      <c r="G8" s="59"/>
      <c r="H8" s="59"/>
      <c r="I8" s="60"/>
      <c r="J8" s="86">
        <v>42107</v>
      </c>
      <c r="K8" s="87"/>
      <c r="Q8" s="13">
        <f>Q10-K10</f>
        <v>0</v>
      </c>
    </row>
    <row r="9" spans="1:19" ht="10.9" customHeight="1" x14ac:dyDescent="0.2">
      <c r="A9" s="98" t="s">
        <v>8</v>
      </c>
      <c r="B9" s="98"/>
      <c r="C9" s="98"/>
      <c r="D9" s="4" t="s">
        <v>7</v>
      </c>
      <c r="E9" s="62" t="s">
        <v>9</v>
      </c>
      <c r="F9" s="59"/>
      <c r="G9" s="59"/>
      <c r="H9" s="59"/>
      <c r="I9" s="60"/>
      <c r="J9" s="22" t="s">
        <v>13</v>
      </c>
      <c r="K9" s="23" t="s">
        <v>14</v>
      </c>
    </row>
    <row r="10" spans="1:19" ht="26.45" customHeight="1" x14ac:dyDescent="0.2">
      <c r="A10" s="100"/>
      <c r="B10" s="101"/>
      <c r="C10" s="102"/>
      <c r="D10" s="4"/>
      <c r="E10" s="61" t="s">
        <v>24</v>
      </c>
      <c r="F10" s="59"/>
      <c r="G10" s="59"/>
      <c r="H10" s="59"/>
      <c r="I10" s="60"/>
      <c r="J10" s="30" t="s">
        <v>20</v>
      </c>
      <c r="K10" s="29">
        <f>SUM(K12:K58)</f>
        <v>0</v>
      </c>
      <c r="L10" s="30" t="s">
        <v>22</v>
      </c>
      <c r="M10" s="29">
        <f>SUM(M12:M58)</f>
        <v>0</v>
      </c>
      <c r="N10" s="30" t="s">
        <v>23</v>
      </c>
      <c r="O10" s="29">
        <f>SUM(O12:O58)</f>
        <v>0</v>
      </c>
      <c r="P10" s="12" t="s">
        <v>15</v>
      </c>
      <c r="Q10" s="29">
        <f>SUM(Q12:Q58)</f>
        <v>0</v>
      </c>
      <c r="R10" s="30" t="s">
        <v>18</v>
      </c>
      <c r="S10" s="29">
        <f>SUM(S12:S58)</f>
        <v>0</v>
      </c>
    </row>
    <row r="11" spans="1:19" x14ac:dyDescent="0.2">
      <c r="A11" s="63" t="s">
        <v>17</v>
      </c>
      <c r="B11" s="99"/>
      <c r="C11" s="27" t="s">
        <v>16</v>
      </c>
      <c r="D11" s="5" t="s">
        <v>0</v>
      </c>
      <c r="E11" s="63" t="s">
        <v>1</v>
      </c>
      <c r="F11" s="64"/>
      <c r="G11" s="64"/>
      <c r="H11" s="64"/>
      <c r="I11" s="64"/>
      <c r="P11" s="56" t="s">
        <v>2</v>
      </c>
      <c r="Q11" s="57"/>
    </row>
    <row r="12" spans="1:19" ht="18" customHeight="1" x14ac:dyDescent="0.2">
      <c r="A12" s="39"/>
      <c r="B12" s="38">
        <v>230</v>
      </c>
      <c r="C12" s="37"/>
      <c r="D12" s="6"/>
      <c r="E12" s="68" t="s">
        <v>25</v>
      </c>
      <c r="F12" s="69"/>
      <c r="G12" s="69"/>
      <c r="H12" s="69"/>
      <c r="I12" s="69"/>
      <c r="J12" s="35">
        <v>154.5</v>
      </c>
      <c r="K12" s="36"/>
      <c r="L12" s="35"/>
      <c r="M12" s="36"/>
      <c r="N12" s="35">
        <v>156.63</v>
      </c>
      <c r="O12" s="36"/>
      <c r="P12" s="35"/>
      <c r="Q12" s="36"/>
      <c r="R12" s="35"/>
      <c r="S12" s="40"/>
    </row>
    <row r="13" spans="1:19" ht="18" customHeight="1" x14ac:dyDescent="0.2">
      <c r="A13" s="39"/>
      <c r="B13" s="38">
        <v>230</v>
      </c>
      <c r="C13" s="37"/>
      <c r="D13" s="6"/>
      <c r="E13" s="68" t="s">
        <v>26</v>
      </c>
      <c r="F13" s="69"/>
      <c r="G13" s="69"/>
      <c r="H13" s="69"/>
      <c r="I13" s="69"/>
      <c r="J13" s="35">
        <v>76</v>
      </c>
      <c r="K13" s="36"/>
      <c r="L13" s="35"/>
      <c r="M13" s="36"/>
      <c r="N13" s="35">
        <v>77.09</v>
      </c>
      <c r="O13" s="36"/>
      <c r="P13" s="35"/>
      <c r="Q13" s="36"/>
      <c r="R13" s="35"/>
      <c r="S13" s="40"/>
    </row>
    <row r="14" spans="1:19" ht="18" customHeight="1" x14ac:dyDescent="0.2">
      <c r="A14" s="39"/>
      <c r="B14" s="38">
        <v>230</v>
      </c>
      <c r="C14" s="37"/>
      <c r="D14" s="6"/>
      <c r="E14" s="68" t="s">
        <v>27</v>
      </c>
      <c r="F14" s="69"/>
      <c r="G14" s="69"/>
      <c r="H14" s="69"/>
      <c r="I14" s="69"/>
      <c r="J14" s="35">
        <v>30.5</v>
      </c>
      <c r="K14" s="36"/>
      <c r="L14" s="35"/>
      <c r="M14" s="36"/>
      <c r="N14" s="35">
        <v>30.91</v>
      </c>
      <c r="O14" s="36"/>
      <c r="P14" s="35"/>
      <c r="Q14" s="36"/>
      <c r="R14" s="35"/>
      <c r="S14" s="40"/>
    </row>
    <row r="15" spans="1:19" ht="18" customHeight="1" x14ac:dyDescent="0.2">
      <c r="A15" s="39"/>
      <c r="B15" s="38">
        <v>11</v>
      </c>
      <c r="C15" s="37"/>
      <c r="D15" s="6"/>
      <c r="E15" s="104" t="s">
        <v>28</v>
      </c>
      <c r="F15" s="105"/>
      <c r="G15" s="105"/>
      <c r="H15" s="105"/>
      <c r="I15" s="105"/>
      <c r="J15" s="35">
        <v>99.5</v>
      </c>
      <c r="K15" s="36"/>
      <c r="L15" s="36"/>
      <c r="M15" s="36"/>
      <c r="N15" s="36">
        <v>101.76</v>
      </c>
      <c r="O15" s="36"/>
      <c r="P15" s="36"/>
      <c r="Q15" s="36"/>
      <c r="R15" s="36"/>
      <c r="S15" s="40"/>
    </row>
    <row r="16" spans="1:19" ht="18" customHeight="1" x14ac:dyDescent="0.2">
      <c r="A16" s="39"/>
      <c r="B16" s="38">
        <v>11</v>
      </c>
      <c r="C16" s="37"/>
      <c r="D16" s="6"/>
      <c r="E16" s="104" t="s">
        <v>29</v>
      </c>
      <c r="F16" s="104"/>
      <c r="G16" s="104"/>
      <c r="H16" s="104"/>
      <c r="I16" s="104"/>
      <c r="J16" s="35">
        <v>62.25</v>
      </c>
      <c r="K16" s="36"/>
      <c r="L16" s="36"/>
      <c r="M16" s="36"/>
      <c r="N16" s="36">
        <v>63.6</v>
      </c>
      <c r="O16" s="36"/>
      <c r="P16" s="18"/>
      <c r="Q16" s="36"/>
      <c r="R16" s="36"/>
      <c r="S16" s="40"/>
    </row>
    <row r="17" spans="1:19" ht="18" customHeight="1" x14ac:dyDescent="0.2">
      <c r="A17" s="39"/>
      <c r="B17" s="38">
        <v>11</v>
      </c>
      <c r="C17" s="37"/>
      <c r="D17" s="6"/>
      <c r="E17" s="68" t="s">
        <v>27</v>
      </c>
      <c r="F17" s="69"/>
      <c r="G17" s="69"/>
      <c r="H17" s="69"/>
      <c r="I17" s="69"/>
      <c r="J17" s="35">
        <v>30.5</v>
      </c>
      <c r="K17" s="36"/>
      <c r="L17" s="36"/>
      <c r="M17" s="36"/>
      <c r="N17" s="36">
        <v>30.91</v>
      </c>
      <c r="O17" s="36"/>
      <c r="P17" s="18"/>
      <c r="Q17" s="36"/>
      <c r="R17" s="36"/>
      <c r="S17" s="40"/>
    </row>
    <row r="18" spans="1:19" ht="18" customHeight="1" x14ac:dyDescent="0.2">
      <c r="A18" s="39"/>
      <c r="B18" s="38">
        <v>241</v>
      </c>
      <c r="C18" s="37"/>
      <c r="D18" s="6"/>
      <c r="E18" s="68" t="s">
        <v>30</v>
      </c>
      <c r="F18" s="69"/>
      <c r="G18" s="69"/>
      <c r="H18" s="69"/>
      <c r="I18" s="69"/>
      <c r="J18" s="36">
        <v>40.5</v>
      </c>
      <c r="K18" s="36"/>
      <c r="L18" s="36"/>
      <c r="M18" s="36"/>
      <c r="N18" s="36">
        <v>43.21</v>
      </c>
      <c r="O18" s="36"/>
      <c r="P18" s="18"/>
      <c r="Q18" s="36"/>
      <c r="R18" s="36"/>
      <c r="S18" s="40"/>
    </row>
    <row r="19" spans="1:19" ht="18" customHeight="1" x14ac:dyDescent="0.2">
      <c r="A19" s="39"/>
      <c r="B19" s="38">
        <v>241</v>
      </c>
      <c r="C19" s="37"/>
      <c r="D19" s="6"/>
      <c r="E19" s="68" t="s">
        <v>31</v>
      </c>
      <c r="F19" s="68"/>
      <c r="G19" s="68"/>
      <c r="H19" s="68"/>
      <c r="I19" s="68"/>
      <c r="J19" s="35">
        <v>56</v>
      </c>
      <c r="K19" s="36"/>
      <c r="L19" s="36">
        <v>53.664000000000001</v>
      </c>
      <c r="M19" s="36"/>
      <c r="N19" s="36">
        <v>98.56</v>
      </c>
      <c r="O19" s="36"/>
      <c r="P19" s="18">
        <v>55.959000000000003</v>
      </c>
      <c r="Q19" s="36"/>
      <c r="R19" s="36">
        <v>54.73</v>
      </c>
      <c r="S19" s="40"/>
    </row>
    <row r="20" spans="1:19" ht="18" customHeight="1" x14ac:dyDescent="0.2">
      <c r="A20" s="39"/>
      <c r="B20" s="38">
        <v>138</v>
      </c>
      <c r="C20" s="38"/>
      <c r="D20" s="14"/>
      <c r="E20" s="68" t="s">
        <v>32</v>
      </c>
      <c r="F20" s="68"/>
      <c r="G20" s="68"/>
      <c r="H20" s="68"/>
      <c r="I20" s="68"/>
      <c r="J20" s="35">
        <v>438</v>
      </c>
      <c r="K20" s="36"/>
      <c r="L20" s="36">
        <v>453.04700000000003</v>
      </c>
      <c r="M20" s="36"/>
      <c r="N20" s="36"/>
      <c r="O20" s="36"/>
      <c r="P20" s="18"/>
      <c r="Q20" s="36"/>
      <c r="R20" s="36"/>
      <c r="S20" s="40"/>
    </row>
    <row r="21" spans="1:19" ht="18" customHeight="1" x14ac:dyDescent="0.2">
      <c r="A21" s="39"/>
      <c r="B21" s="38">
        <v>138</v>
      </c>
      <c r="C21" s="38"/>
      <c r="D21" s="14"/>
      <c r="E21" s="68" t="s">
        <v>53</v>
      </c>
      <c r="F21" s="68"/>
      <c r="G21" s="68"/>
      <c r="H21" s="68"/>
      <c r="I21" s="68"/>
      <c r="J21" s="35">
        <v>25</v>
      </c>
      <c r="K21" s="36"/>
      <c r="L21" s="36"/>
      <c r="M21" s="36"/>
      <c r="N21" s="36"/>
      <c r="O21" s="36"/>
      <c r="P21" s="18">
        <v>25.004999999999999</v>
      </c>
      <c r="Q21" s="36"/>
      <c r="R21" s="36">
        <v>24.82</v>
      </c>
      <c r="S21" s="40"/>
    </row>
    <row r="22" spans="1:19" ht="18" customHeight="1" x14ac:dyDescent="0.2">
      <c r="A22" s="39"/>
      <c r="B22" s="38">
        <v>138</v>
      </c>
      <c r="C22" s="37"/>
      <c r="D22" s="6"/>
      <c r="E22" s="68" t="s">
        <v>52</v>
      </c>
      <c r="F22" s="68"/>
      <c r="G22" s="68"/>
      <c r="H22" s="68"/>
      <c r="I22" s="68"/>
      <c r="J22" s="35">
        <v>44.75</v>
      </c>
      <c r="K22" s="36"/>
      <c r="L22" s="36">
        <v>44.39</v>
      </c>
      <c r="M22" s="36"/>
      <c r="N22" s="36">
        <v>56.99</v>
      </c>
      <c r="O22" s="36"/>
      <c r="P22" s="18">
        <v>45.097999999999999</v>
      </c>
      <c r="Q22" s="36"/>
      <c r="R22" s="36">
        <v>44.86</v>
      </c>
      <c r="S22" s="40"/>
    </row>
    <row r="23" spans="1:19" ht="18" customHeight="1" x14ac:dyDescent="0.2">
      <c r="A23" s="39"/>
      <c r="B23" s="38">
        <v>11</v>
      </c>
      <c r="C23" s="38"/>
      <c r="D23" s="14"/>
      <c r="E23" s="68" t="s">
        <v>40</v>
      </c>
      <c r="F23" s="68"/>
      <c r="G23" s="68"/>
      <c r="H23" s="68"/>
      <c r="I23" s="68"/>
      <c r="J23" s="35">
        <v>948</v>
      </c>
      <c r="K23" s="36"/>
      <c r="L23" s="36">
        <v>976.12</v>
      </c>
      <c r="M23" s="36"/>
      <c r="N23" s="36"/>
      <c r="O23" s="36"/>
      <c r="P23" s="18"/>
      <c r="Q23" s="36"/>
      <c r="R23" s="36"/>
      <c r="S23" s="40"/>
    </row>
    <row r="24" spans="1:19" ht="18" customHeight="1" x14ac:dyDescent="0.2">
      <c r="A24" s="39"/>
      <c r="B24" s="38">
        <v>11</v>
      </c>
      <c r="C24" s="38"/>
      <c r="D24" s="14"/>
      <c r="E24" s="68" t="s">
        <v>53</v>
      </c>
      <c r="F24" s="68"/>
      <c r="G24" s="68"/>
      <c r="H24" s="68"/>
      <c r="I24" s="68"/>
      <c r="J24" s="35">
        <v>25</v>
      </c>
      <c r="K24" s="36"/>
      <c r="L24" s="36"/>
      <c r="M24" s="36"/>
      <c r="N24" s="36"/>
      <c r="O24" s="36"/>
      <c r="P24" s="18">
        <v>25.004999999999999</v>
      </c>
      <c r="Q24" s="36"/>
      <c r="R24" s="36">
        <v>24.82</v>
      </c>
      <c r="S24" s="40"/>
    </row>
    <row r="25" spans="1:19" ht="18" customHeight="1" x14ac:dyDescent="0.2">
      <c r="A25" s="39"/>
      <c r="B25" s="38">
        <v>11</v>
      </c>
      <c r="C25" s="38"/>
      <c r="D25" s="14"/>
      <c r="E25" s="68" t="s">
        <v>52</v>
      </c>
      <c r="F25" s="68"/>
      <c r="G25" s="68"/>
      <c r="H25" s="68"/>
      <c r="I25" s="68"/>
      <c r="J25" s="35">
        <v>44.75</v>
      </c>
      <c r="K25" s="36"/>
      <c r="L25" s="36">
        <v>44.39</v>
      </c>
      <c r="M25" s="36"/>
      <c r="N25" s="36">
        <v>56.99</v>
      </c>
      <c r="O25" s="36"/>
      <c r="P25" s="18">
        <v>45.097999999999999</v>
      </c>
      <c r="Q25" s="36"/>
      <c r="R25" s="36">
        <v>44.86</v>
      </c>
      <c r="S25" s="40"/>
    </row>
    <row r="26" spans="1:19" ht="18" customHeight="1" x14ac:dyDescent="0.2">
      <c r="A26" s="39"/>
      <c r="B26" s="38">
        <v>11</v>
      </c>
      <c r="C26" s="37"/>
      <c r="D26" s="6"/>
      <c r="E26" s="68" t="s">
        <v>33</v>
      </c>
      <c r="F26" s="69"/>
      <c r="G26" s="69"/>
      <c r="H26" s="69"/>
      <c r="I26" s="69"/>
      <c r="J26" s="35">
        <v>114.5</v>
      </c>
      <c r="K26" s="36"/>
      <c r="L26" s="36">
        <v>113.22</v>
      </c>
      <c r="M26" s="36"/>
      <c r="N26" s="36">
        <v>145.37</v>
      </c>
      <c r="O26" s="36"/>
      <c r="P26" s="18">
        <v>115.02500000000001</v>
      </c>
      <c r="Q26" s="36"/>
      <c r="R26" s="36"/>
      <c r="S26" s="40"/>
    </row>
    <row r="27" spans="1:19" ht="18" customHeight="1" x14ac:dyDescent="0.2">
      <c r="A27" s="39"/>
      <c r="B27" s="38">
        <v>28</v>
      </c>
      <c r="C27" s="37"/>
      <c r="D27" s="6"/>
      <c r="E27" s="68" t="s">
        <v>34</v>
      </c>
      <c r="F27" s="69"/>
      <c r="G27" s="69"/>
      <c r="H27" s="69"/>
      <c r="I27" s="69"/>
      <c r="J27" s="35">
        <v>377.25</v>
      </c>
      <c r="K27" s="36"/>
      <c r="L27" s="36"/>
      <c r="M27" s="36"/>
      <c r="N27" s="36"/>
      <c r="O27" s="36"/>
      <c r="P27" s="18"/>
      <c r="Q27" s="36"/>
      <c r="R27" s="36"/>
      <c r="S27" s="40"/>
    </row>
    <row r="28" spans="1:19" ht="18" customHeight="1" x14ac:dyDescent="0.2">
      <c r="A28" s="39"/>
      <c r="B28" s="38">
        <v>28</v>
      </c>
      <c r="C28" s="37"/>
      <c r="D28" s="6"/>
      <c r="E28" s="68" t="s">
        <v>51</v>
      </c>
      <c r="F28" s="68"/>
      <c r="G28" s="68"/>
      <c r="H28" s="68"/>
      <c r="I28" s="68"/>
      <c r="J28" s="35">
        <v>15</v>
      </c>
      <c r="K28" s="36"/>
      <c r="L28" s="35">
        <v>14.81</v>
      </c>
      <c r="M28" s="36"/>
      <c r="N28" s="35">
        <v>19.47</v>
      </c>
      <c r="O28" s="36"/>
      <c r="P28" s="35">
        <v>15.047000000000001</v>
      </c>
      <c r="Q28" s="36"/>
      <c r="R28" s="35">
        <v>14.96</v>
      </c>
      <c r="S28" s="40"/>
    </row>
    <row r="29" spans="1:19" ht="18" customHeight="1" x14ac:dyDescent="0.2">
      <c r="A29" s="39"/>
      <c r="B29" s="38">
        <v>28</v>
      </c>
      <c r="C29" s="37"/>
      <c r="D29" s="6"/>
      <c r="E29" s="68" t="s">
        <v>52</v>
      </c>
      <c r="F29" s="68"/>
      <c r="G29" s="68"/>
      <c r="H29" s="68"/>
      <c r="I29" s="68"/>
      <c r="J29" s="35">
        <v>44.75</v>
      </c>
      <c r="K29" s="36"/>
      <c r="L29" s="36">
        <v>44.39</v>
      </c>
      <c r="M29" s="36"/>
      <c r="N29" s="36">
        <v>56.99</v>
      </c>
      <c r="O29" s="36"/>
      <c r="P29" s="18">
        <v>45.097999999999999</v>
      </c>
      <c r="Q29" s="36"/>
      <c r="R29" s="36">
        <v>44.86</v>
      </c>
      <c r="S29" s="40"/>
    </row>
    <row r="30" spans="1:19" ht="18" customHeight="1" x14ac:dyDescent="0.2">
      <c r="A30" s="39"/>
      <c r="B30" s="38">
        <v>64</v>
      </c>
      <c r="C30" s="37"/>
      <c r="D30" s="6"/>
      <c r="E30" s="68" t="s">
        <v>35</v>
      </c>
      <c r="F30" s="69"/>
      <c r="G30" s="69"/>
      <c r="H30" s="69"/>
      <c r="I30" s="69"/>
      <c r="J30" s="35">
        <v>528.5</v>
      </c>
      <c r="K30" s="36"/>
      <c r="L30" s="36"/>
      <c r="M30" s="36"/>
      <c r="N30" s="36"/>
      <c r="O30" s="36"/>
      <c r="P30" s="18"/>
      <c r="Q30" s="36"/>
      <c r="R30" s="36"/>
      <c r="S30" s="40"/>
    </row>
    <row r="31" spans="1:19" ht="18" customHeight="1" x14ac:dyDescent="0.2">
      <c r="A31" s="39"/>
      <c r="B31" s="38">
        <v>64</v>
      </c>
      <c r="C31" s="37"/>
      <c r="D31" s="6"/>
      <c r="E31" s="68" t="s">
        <v>51</v>
      </c>
      <c r="F31" s="68"/>
      <c r="G31" s="68"/>
      <c r="H31" s="68"/>
      <c r="I31" s="68"/>
      <c r="J31" s="35">
        <v>15</v>
      </c>
      <c r="K31" s="36"/>
      <c r="L31" s="35">
        <v>14.81</v>
      </c>
      <c r="M31" s="36"/>
      <c r="N31" s="35">
        <v>19.47</v>
      </c>
      <c r="O31" s="36"/>
      <c r="P31" s="35">
        <v>15.047000000000001</v>
      </c>
      <c r="Q31" s="36"/>
      <c r="R31" s="35">
        <v>14.96</v>
      </c>
      <c r="S31" s="40"/>
    </row>
    <row r="32" spans="1:19" ht="18" customHeight="1" x14ac:dyDescent="0.2">
      <c r="A32" s="39"/>
      <c r="B32" s="38">
        <v>64</v>
      </c>
      <c r="C32" s="37"/>
      <c r="D32" s="6"/>
      <c r="E32" s="68" t="s">
        <v>52</v>
      </c>
      <c r="F32" s="68"/>
      <c r="G32" s="68"/>
      <c r="H32" s="68"/>
      <c r="I32" s="68"/>
      <c r="J32" s="35">
        <v>44.75</v>
      </c>
      <c r="K32" s="36"/>
      <c r="L32" s="36">
        <v>44.39</v>
      </c>
      <c r="M32" s="36"/>
      <c r="N32" s="36">
        <v>56.99</v>
      </c>
      <c r="O32" s="36"/>
      <c r="P32" s="18">
        <v>45.097999999999999</v>
      </c>
      <c r="Q32" s="36"/>
      <c r="R32" s="36">
        <v>44.86</v>
      </c>
      <c r="S32" s="40"/>
    </row>
    <row r="33" spans="1:19" ht="18" customHeight="1" x14ac:dyDescent="0.2">
      <c r="A33" s="39"/>
      <c r="B33" s="38">
        <v>198</v>
      </c>
      <c r="C33" s="37"/>
      <c r="D33" s="6"/>
      <c r="E33" s="68" t="s">
        <v>36</v>
      </c>
      <c r="F33" s="69"/>
      <c r="G33" s="69"/>
      <c r="H33" s="69"/>
      <c r="I33" s="69"/>
      <c r="J33" s="35">
        <v>72.75</v>
      </c>
      <c r="K33" s="36"/>
      <c r="L33" s="35">
        <v>71.960999999999999</v>
      </c>
      <c r="M33" s="36"/>
      <c r="N33" s="35">
        <v>90.47</v>
      </c>
      <c r="O33" s="36"/>
      <c r="P33" s="35">
        <v>73.108999999999995</v>
      </c>
      <c r="Q33" s="36"/>
      <c r="R33" s="35">
        <v>74.25</v>
      </c>
      <c r="S33" s="40"/>
    </row>
    <row r="34" spans="1:19" ht="18" customHeight="1" x14ac:dyDescent="0.2">
      <c r="A34" s="39"/>
      <c r="B34" s="38">
        <v>198</v>
      </c>
      <c r="C34" s="37"/>
      <c r="D34" s="6"/>
      <c r="E34" s="68" t="s">
        <v>37</v>
      </c>
      <c r="F34" s="69"/>
      <c r="G34" s="69"/>
      <c r="H34" s="69"/>
      <c r="I34" s="69"/>
      <c r="J34" s="35">
        <v>140</v>
      </c>
      <c r="K34" s="36"/>
      <c r="L34" s="35">
        <v>138.72999999999999</v>
      </c>
      <c r="M34" s="36"/>
      <c r="N34" s="35">
        <v>176.41</v>
      </c>
      <c r="O34" s="36"/>
      <c r="P34" s="35">
        <v>140.94300000000001</v>
      </c>
      <c r="Q34" s="36"/>
      <c r="R34" s="35">
        <v>140.21</v>
      </c>
      <c r="S34" s="40"/>
    </row>
    <row r="35" spans="1:19" ht="18" customHeight="1" x14ac:dyDescent="0.2">
      <c r="A35" s="39"/>
      <c r="B35" s="38">
        <v>11</v>
      </c>
      <c r="C35" s="37"/>
      <c r="D35" s="6"/>
      <c r="E35" s="68" t="s">
        <v>38</v>
      </c>
      <c r="F35" s="69"/>
      <c r="G35" s="69"/>
      <c r="H35" s="69"/>
      <c r="I35" s="69"/>
      <c r="J35" s="35">
        <v>101</v>
      </c>
      <c r="K35" s="36"/>
      <c r="L35" s="35">
        <v>99.837999999999994</v>
      </c>
      <c r="M35" s="36"/>
      <c r="N35" s="35">
        <v>124.51</v>
      </c>
      <c r="O35" s="36"/>
      <c r="P35" s="35">
        <v>101.43</v>
      </c>
      <c r="Q35" s="36"/>
      <c r="R35" s="35">
        <v>103.05</v>
      </c>
      <c r="S35" s="40"/>
    </row>
    <row r="36" spans="1:19" ht="18" customHeight="1" x14ac:dyDescent="0.2">
      <c r="A36" s="39"/>
      <c r="B36" s="38">
        <v>11</v>
      </c>
      <c r="C36" s="37"/>
      <c r="D36" s="6"/>
      <c r="E36" s="68" t="s">
        <v>37</v>
      </c>
      <c r="F36" s="69"/>
      <c r="G36" s="69"/>
      <c r="H36" s="69"/>
      <c r="I36" s="69"/>
      <c r="J36" s="35">
        <v>140</v>
      </c>
      <c r="K36" s="36"/>
      <c r="L36" s="35">
        <v>138.72999999999999</v>
      </c>
      <c r="M36" s="36"/>
      <c r="N36" s="35">
        <v>176.41</v>
      </c>
      <c r="O36" s="36"/>
      <c r="P36" s="35">
        <v>140.94300000000001</v>
      </c>
      <c r="Q36" s="36"/>
      <c r="R36" s="35">
        <v>140.21</v>
      </c>
      <c r="S36" s="40"/>
    </row>
    <row r="37" spans="1:19" ht="18" customHeight="1" x14ac:dyDescent="0.2">
      <c r="A37" s="39"/>
      <c r="B37" s="38"/>
      <c r="C37" s="37"/>
      <c r="D37" s="6"/>
      <c r="E37" s="106" t="s">
        <v>39</v>
      </c>
      <c r="F37" s="107"/>
      <c r="G37" s="107"/>
      <c r="H37" s="107"/>
      <c r="I37" s="107"/>
      <c r="J37" s="35"/>
      <c r="K37" s="36"/>
      <c r="L37" s="35"/>
      <c r="M37" s="36"/>
      <c r="N37" s="35"/>
      <c r="O37" s="36"/>
      <c r="P37" s="35"/>
      <c r="Q37" s="36"/>
      <c r="R37" s="35"/>
      <c r="S37" s="40"/>
    </row>
    <row r="38" spans="1:19" ht="18" customHeight="1" x14ac:dyDescent="0.2">
      <c r="A38" s="39"/>
      <c r="B38" s="38">
        <v>3</v>
      </c>
      <c r="C38" s="37"/>
      <c r="D38" s="6"/>
      <c r="E38" s="104" t="s">
        <v>28</v>
      </c>
      <c r="F38" s="105"/>
      <c r="G38" s="105"/>
      <c r="H38" s="105"/>
      <c r="I38" s="105"/>
      <c r="J38" s="35">
        <v>99.5</v>
      </c>
      <c r="K38" s="36"/>
      <c r="L38" s="36"/>
      <c r="M38" s="36"/>
      <c r="N38" s="36">
        <v>101.76</v>
      </c>
      <c r="O38" s="36"/>
      <c r="P38" s="18"/>
      <c r="Q38" s="36"/>
      <c r="R38" s="36"/>
      <c r="S38" s="40"/>
    </row>
    <row r="39" spans="1:19" ht="18" customHeight="1" x14ac:dyDescent="0.2">
      <c r="A39" s="39"/>
      <c r="B39" s="38">
        <v>3</v>
      </c>
      <c r="C39" s="37"/>
      <c r="D39" s="6"/>
      <c r="E39" s="104" t="s">
        <v>29</v>
      </c>
      <c r="F39" s="104"/>
      <c r="G39" s="104"/>
      <c r="H39" s="104"/>
      <c r="I39" s="104"/>
      <c r="J39" s="35">
        <v>62.65</v>
      </c>
      <c r="K39" s="36"/>
      <c r="L39" s="36"/>
      <c r="M39" s="36"/>
      <c r="N39" s="36">
        <v>63.6</v>
      </c>
      <c r="O39" s="36"/>
      <c r="P39" s="18"/>
      <c r="Q39" s="36"/>
      <c r="R39" s="36"/>
      <c r="S39" s="40"/>
    </row>
    <row r="40" spans="1:19" ht="18" customHeight="1" x14ac:dyDescent="0.2">
      <c r="A40" s="39"/>
      <c r="B40" s="38">
        <v>3</v>
      </c>
      <c r="C40" s="37"/>
      <c r="D40" s="6"/>
      <c r="E40" s="68" t="s">
        <v>27</v>
      </c>
      <c r="F40" s="69"/>
      <c r="G40" s="69"/>
      <c r="H40" s="69"/>
      <c r="I40" s="69"/>
      <c r="J40" s="35">
        <v>31</v>
      </c>
      <c r="K40" s="36"/>
      <c r="L40" s="36"/>
      <c r="M40" s="36"/>
      <c r="N40" s="36">
        <v>30.91</v>
      </c>
      <c r="O40" s="36"/>
      <c r="P40" s="18"/>
      <c r="Q40" s="36"/>
      <c r="R40" s="36"/>
      <c r="S40" s="40"/>
    </row>
    <row r="41" spans="1:19" ht="18" customHeight="1" x14ac:dyDescent="0.2">
      <c r="A41" s="39"/>
      <c r="B41" s="38">
        <v>3</v>
      </c>
      <c r="C41" s="37"/>
      <c r="D41" s="6"/>
      <c r="E41" s="68" t="s">
        <v>30</v>
      </c>
      <c r="F41" s="69"/>
      <c r="G41" s="69"/>
      <c r="H41" s="69"/>
      <c r="I41" s="69"/>
      <c r="J41" s="35">
        <v>40.5</v>
      </c>
      <c r="K41" s="36"/>
      <c r="L41" s="35"/>
      <c r="M41" s="36"/>
      <c r="N41" s="35">
        <v>43.21</v>
      </c>
      <c r="O41" s="36"/>
      <c r="P41" s="35"/>
      <c r="Q41" s="36"/>
      <c r="R41" s="35"/>
      <c r="S41" s="40"/>
    </row>
    <row r="42" spans="1:19" ht="18" customHeight="1" x14ac:dyDescent="0.2">
      <c r="A42" s="39"/>
      <c r="B42" s="38">
        <v>3</v>
      </c>
      <c r="C42" s="37"/>
      <c r="D42" s="6"/>
      <c r="E42" s="68" t="s">
        <v>31</v>
      </c>
      <c r="F42" s="68"/>
      <c r="G42" s="68"/>
      <c r="H42" s="68"/>
      <c r="I42" s="68"/>
      <c r="J42" s="35">
        <v>56</v>
      </c>
      <c r="K42" s="36"/>
      <c r="L42" s="35">
        <v>53.664000000000001</v>
      </c>
      <c r="M42" s="36"/>
      <c r="N42" s="35">
        <v>98.56</v>
      </c>
      <c r="O42" s="36"/>
      <c r="P42" s="35">
        <v>55.96</v>
      </c>
      <c r="Q42" s="36"/>
      <c r="R42" s="35">
        <v>54.73</v>
      </c>
      <c r="S42" s="40"/>
    </row>
    <row r="43" spans="1:19" ht="18" customHeight="1" x14ac:dyDescent="0.2">
      <c r="A43" s="39"/>
      <c r="B43" s="38">
        <v>2</v>
      </c>
      <c r="C43" s="38"/>
      <c r="D43" s="15"/>
      <c r="E43" s="68" t="s">
        <v>38</v>
      </c>
      <c r="F43" s="69"/>
      <c r="G43" s="69"/>
      <c r="H43" s="69"/>
      <c r="I43" s="69"/>
      <c r="J43" s="35">
        <v>101</v>
      </c>
      <c r="K43" s="36"/>
      <c r="L43" s="35">
        <v>99.837999999999994</v>
      </c>
      <c r="M43" s="36"/>
      <c r="N43" s="35">
        <v>124.51</v>
      </c>
      <c r="O43" s="36"/>
      <c r="P43" s="35">
        <v>101.43</v>
      </c>
      <c r="Q43" s="36"/>
      <c r="R43" s="35">
        <v>103.05</v>
      </c>
      <c r="S43" s="40"/>
    </row>
    <row r="44" spans="1:19" ht="18" customHeight="1" x14ac:dyDescent="0.2">
      <c r="A44" s="39"/>
      <c r="B44" s="38">
        <v>2</v>
      </c>
      <c r="C44" s="37"/>
      <c r="D44" s="6"/>
      <c r="E44" s="68" t="s">
        <v>37</v>
      </c>
      <c r="F44" s="69"/>
      <c r="G44" s="69"/>
      <c r="H44" s="69"/>
      <c r="I44" s="69"/>
      <c r="J44" s="35">
        <v>140</v>
      </c>
      <c r="K44" s="36"/>
      <c r="L44" s="18">
        <v>138.72999999999999</v>
      </c>
      <c r="M44" s="36"/>
      <c r="N44" s="18">
        <v>176.41</v>
      </c>
      <c r="O44" s="36"/>
      <c r="P44" s="18">
        <v>140.94499999999999</v>
      </c>
      <c r="Q44" s="36"/>
      <c r="R44" s="18">
        <v>140.21</v>
      </c>
      <c r="S44" s="40"/>
    </row>
    <row r="45" spans="1:19" ht="18" customHeight="1" x14ac:dyDescent="0.2">
      <c r="A45" s="39"/>
      <c r="B45" s="38"/>
      <c r="C45" s="37"/>
      <c r="D45" s="6"/>
      <c r="E45" s="106" t="s">
        <v>41</v>
      </c>
      <c r="F45" s="107"/>
      <c r="G45" s="107"/>
      <c r="H45" s="107"/>
      <c r="I45" s="107"/>
      <c r="J45" s="35"/>
      <c r="K45" s="36"/>
      <c r="L45" s="36"/>
      <c r="M45" s="36"/>
      <c r="N45" s="36"/>
      <c r="O45" s="36"/>
      <c r="P45" s="18"/>
      <c r="Q45" s="36"/>
      <c r="R45" s="36"/>
      <c r="S45" s="40"/>
    </row>
    <row r="46" spans="1:19" ht="18" customHeight="1" x14ac:dyDescent="0.2">
      <c r="A46" s="39"/>
      <c r="B46" s="38">
        <v>11</v>
      </c>
      <c r="C46" s="37"/>
      <c r="D46" s="6"/>
      <c r="E46" s="68" t="s">
        <v>42</v>
      </c>
      <c r="F46" s="69"/>
      <c r="G46" s="69"/>
      <c r="H46" s="69"/>
      <c r="I46" s="69"/>
      <c r="J46" s="35">
        <v>39</v>
      </c>
      <c r="K46" s="36"/>
      <c r="L46" s="36">
        <v>40.613999999999997</v>
      </c>
      <c r="M46" s="36"/>
      <c r="N46" s="36"/>
      <c r="O46" s="36"/>
      <c r="P46" s="18">
        <v>42.62</v>
      </c>
      <c r="Q46" s="36"/>
      <c r="R46" s="36"/>
      <c r="S46" s="40"/>
    </row>
    <row r="47" spans="1:19" ht="18" customHeight="1" x14ac:dyDescent="0.2">
      <c r="A47" s="39"/>
      <c r="B47" s="38">
        <v>10</v>
      </c>
      <c r="C47" s="37"/>
      <c r="D47" s="6"/>
      <c r="E47" s="68" t="s">
        <v>43</v>
      </c>
      <c r="F47" s="69"/>
      <c r="G47" s="69"/>
      <c r="H47" s="69"/>
      <c r="I47" s="69"/>
      <c r="J47" s="35">
        <v>212</v>
      </c>
      <c r="K47" s="36"/>
      <c r="L47" s="36">
        <v>226.47900000000001</v>
      </c>
      <c r="M47" s="36"/>
      <c r="N47" s="36"/>
      <c r="O47" s="36"/>
      <c r="P47" s="18">
        <v>124.81100000000001</v>
      </c>
      <c r="Q47" s="36"/>
      <c r="R47" s="36"/>
      <c r="S47" s="40"/>
    </row>
    <row r="48" spans="1:19" ht="18" customHeight="1" x14ac:dyDescent="0.2">
      <c r="A48" s="39"/>
      <c r="B48" s="38">
        <v>3</v>
      </c>
      <c r="C48" s="37"/>
      <c r="D48" s="6"/>
      <c r="E48" s="68" t="s">
        <v>44</v>
      </c>
      <c r="F48" s="69"/>
      <c r="G48" s="69"/>
      <c r="H48" s="69"/>
      <c r="I48" s="69"/>
      <c r="J48" s="35">
        <v>106</v>
      </c>
      <c r="K48" s="36"/>
      <c r="L48" s="36">
        <v>105.77800000000001</v>
      </c>
      <c r="M48" s="36"/>
      <c r="N48" s="36"/>
      <c r="O48" s="36"/>
      <c r="P48" s="18">
        <v>108.92</v>
      </c>
      <c r="Q48" s="36"/>
      <c r="R48" s="36"/>
      <c r="S48" s="40"/>
    </row>
    <row r="49" spans="1:19" ht="18" customHeight="1" x14ac:dyDescent="0.2">
      <c r="A49" s="39"/>
      <c r="B49" s="38">
        <v>4</v>
      </c>
      <c r="C49" s="37"/>
      <c r="D49" s="6"/>
      <c r="E49" s="68" t="s">
        <v>45</v>
      </c>
      <c r="F49" s="69"/>
      <c r="G49" s="69"/>
      <c r="H49" s="69"/>
      <c r="I49" s="69"/>
      <c r="J49" s="35"/>
      <c r="K49" s="36"/>
      <c r="L49" s="36">
        <v>10519.54</v>
      </c>
      <c r="M49" s="36"/>
      <c r="N49" s="36"/>
      <c r="O49" s="36"/>
      <c r="P49" s="18">
        <v>11751.352999999999</v>
      </c>
      <c r="Q49" s="36"/>
      <c r="R49" s="36"/>
      <c r="S49" s="40"/>
    </row>
    <row r="50" spans="1:19" ht="18" customHeight="1" x14ac:dyDescent="0.2">
      <c r="A50" s="39"/>
      <c r="B50" s="38"/>
      <c r="C50" s="37"/>
      <c r="D50" s="6"/>
      <c r="E50" s="106" t="s">
        <v>46</v>
      </c>
      <c r="F50" s="107"/>
      <c r="G50" s="107"/>
      <c r="H50" s="107"/>
      <c r="I50" s="107"/>
      <c r="J50" s="35"/>
      <c r="K50" s="36"/>
      <c r="L50" s="36"/>
      <c r="M50" s="36"/>
      <c r="N50" s="36"/>
      <c r="O50" s="36"/>
      <c r="P50" s="18"/>
      <c r="Q50" s="36"/>
      <c r="R50" s="36"/>
      <c r="S50" s="40"/>
    </row>
    <row r="51" spans="1:19" ht="18" customHeight="1" x14ac:dyDescent="0.2">
      <c r="A51" s="39"/>
      <c r="B51" s="38">
        <v>241</v>
      </c>
      <c r="C51" s="37"/>
      <c r="D51" s="6"/>
      <c r="E51" s="68" t="s">
        <v>47</v>
      </c>
      <c r="F51" s="69"/>
      <c r="G51" s="69"/>
      <c r="H51" s="69"/>
      <c r="I51" s="69"/>
      <c r="J51" s="35">
        <v>253.5</v>
      </c>
      <c r="K51" s="36"/>
      <c r="L51" s="36">
        <v>267.15199999999999</v>
      </c>
      <c r="M51" s="36"/>
      <c r="N51" s="36"/>
      <c r="O51" s="36"/>
      <c r="P51" s="18"/>
      <c r="Q51" s="36"/>
      <c r="R51" s="36"/>
      <c r="S51" s="40"/>
    </row>
    <row r="52" spans="1:19" ht="18" customHeight="1" x14ac:dyDescent="0.2">
      <c r="A52" s="39"/>
      <c r="B52" s="38">
        <v>241</v>
      </c>
      <c r="C52" s="37"/>
      <c r="D52" s="6"/>
      <c r="E52" s="68" t="s">
        <v>48</v>
      </c>
      <c r="F52" s="69"/>
      <c r="G52" s="69"/>
      <c r="H52" s="69"/>
      <c r="I52" s="69"/>
      <c r="J52" s="35">
        <v>92.25</v>
      </c>
      <c r="K52" s="36"/>
      <c r="L52" s="36"/>
      <c r="M52" s="36"/>
      <c r="N52" s="36"/>
      <c r="O52" s="36"/>
      <c r="P52" s="18">
        <v>85.201999999999998</v>
      </c>
      <c r="Q52" s="36"/>
      <c r="R52" s="36"/>
      <c r="S52" s="40"/>
    </row>
    <row r="53" spans="1:19" ht="18" customHeight="1" x14ac:dyDescent="0.2">
      <c r="A53" s="39"/>
      <c r="B53" s="38">
        <v>241</v>
      </c>
      <c r="C53" s="37"/>
      <c r="D53" s="6"/>
      <c r="E53" s="68" t="s">
        <v>49</v>
      </c>
      <c r="F53" s="69"/>
      <c r="G53" s="69"/>
      <c r="H53" s="69"/>
      <c r="I53" s="69"/>
      <c r="J53" s="35">
        <v>129</v>
      </c>
      <c r="K53" s="36"/>
      <c r="L53" s="36">
        <v>135.851</v>
      </c>
      <c r="M53" s="36"/>
      <c r="N53" s="36"/>
      <c r="O53" s="36"/>
      <c r="P53" s="18"/>
      <c r="Q53" s="36"/>
      <c r="R53" s="36"/>
      <c r="S53" s="40"/>
    </row>
    <row r="54" spans="1:19" ht="24" customHeight="1" x14ac:dyDescent="0.2">
      <c r="A54" s="39"/>
      <c r="B54" s="28">
        <v>241</v>
      </c>
      <c r="C54" s="37"/>
      <c r="D54" s="6"/>
      <c r="E54" s="108" t="s">
        <v>50</v>
      </c>
      <c r="F54" s="109"/>
      <c r="G54" s="109"/>
      <c r="H54" s="109"/>
      <c r="I54" s="109"/>
      <c r="J54" s="36"/>
      <c r="K54" s="36"/>
      <c r="L54" s="36">
        <v>89.536000000000001</v>
      </c>
      <c r="M54" s="36"/>
      <c r="N54" s="36"/>
      <c r="O54" s="36"/>
      <c r="P54" s="36">
        <v>88.933000000000007</v>
      </c>
      <c r="Q54" s="36"/>
      <c r="R54" s="36">
        <v>91.465000000000003</v>
      </c>
      <c r="S54" s="40"/>
    </row>
    <row r="55" spans="1:19" ht="18" customHeight="1" x14ac:dyDescent="0.2">
      <c r="A55" s="39"/>
      <c r="B55" s="43">
        <v>149</v>
      </c>
      <c r="C55" s="43"/>
      <c r="D55" s="14"/>
      <c r="E55" s="68" t="s">
        <v>54</v>
      </c>
      <c r="F55" s="68"/>
      <c r="G55" s="68"/>
      <c r="H55" s="68"/>
      <c r="I55" s="68"/>
      <c r="J55" s="35">
        <v>79</v>
      </c>
      <c r="K55" s="40"/>
      <c r="L55" s="40">
        <v>77.697999999999993</v>
      </c>
      <c r="M55" s="40"/>
      <c r="N55" s="40"/>
      <c r="O55" s="36"/>
      <c r="P55" s="18">
        <v>78.86</v>
      </c>
      <c r="Q55" s="36"/>
      <c r="R55" s="40">
        <v>83.92</v>
      </c>
      <c r="S55" s="40"/>
    </row>
    <row r="56" spans="1:19" ht="33.75" customHeight="1" x14ac:dyDescent="0.2">
      <c r="A56" s="39"/>
      <c r="B56" s="43">
        <v>92</v>
      </c>
      <c r="C56" s="43"/>
      <c r="D56" s="14"/>
      <c r="E56" s="68" t="s">
        <v>55</v>
      </c>
      <c r="F56" s="68"/>
      <c r="G56" s="68"/>
      <c r="H56" s="68"/>
      <c r="I56" s="68"/>
      <c r="J56" s="35">
        <v>62</v>
      </c>
      <c r="K56" s="40"/>
      <c r="L56" s="40">
        <v>61.055999999999997</v>
      </c>
      <c r="M56" s="40"/>
      <c r="N56" s="40"/>
      <c r="O56" s="36"/>
      <c r="P56" s="18">
        <v>61.969000000000001</v>
      </c>
      <c r="Q56" s="36"/>
      <c r="R56" s="40">
        <v>65.95</v>
      </c>
      <c r="S56" s="40"/>
    </row>
    <row r="57" spans="1:19" ht="18" customHeight="1" x14ac:dyDescent="0.2">
      <c r="A57" s="39"/>
      <c r="B57" s="43">
        <v>11</v>
      </c>
      <c r="C57" s="42"/>
      <c r="D57" s="6"/>
      <c r="E57" s="68" t="s">
        <v>56</v>
      </c>
      <c r="F57" s="69"/>
      <c r="G57" s="69"/>
      <c r="H57" s="69"/>
      <c r="I57" s="69"/>
      <c r="J57" s="35">
        <v>97</v>
      </c>
      <c r="K57" s="40"/>
      <c r="L57" s="40">
        <v>95.463999999999999</v>
      </c>
      <c r="M57" s="40"/>
      <c r="N57" s="40"/>
      <c r="O57" s="40"/>
      <c r="P57" s="18">
        <v>96.891000000000005</v>
      </c>
      <c r="Q57" s="36"/>
      <c r="R57" s="40">
        <v>103.04</v>
      </c>
      <c r="S57" s="40"/>
    </row>
    <row r="58" spans="1:19" ht="18" customHeight="1" x14ac:dyDescent="0.2">
      <c r="A58" s="39"/>
      <c r="B58" s="43">
        <v>209</v>
      </c>
      <c r="C58" s="42"/>
      <c r="D58" s="6"/>
      <c r="E58" s="68" t="s">
        <v>57</v>
      </c>
      <c r="F58" s="68"/>
      <c r="G58" s="68"/>
      <c r="H58" s="68"/>
      <c r="I58" s="68"/>
      <c r="J58" s="18">
        <v>123.5</v>
      </c>
      <c r="K58" s="40"/>
      <c r="L58" s="40">
        <v>123.84</v>
      </c>
      <c r="M58" s="40"/>
      <c r="N58" s="40"/>
      <c r="O58" s="40"/>
      <c r="P58" s="18">
        <v>124.352</v>
      </c>
      <c r="Q58" s="36"/>
      <c r="R58" s="40">
        <v>126</v>
      </c>
      <c r="S58" s="40"/>
    </row>
    <row r="59" spans="1:19" ht="18" customHeight="1" x14ac:dyDescent="0.2">
      <c r="A59" s="39"/>
      <c r="B59" s="45">
        <v>209</v>
      </c>
      <c r="C59" s="44"/>
      <c r="D59" s="6"/>
      <c r="E59" s="68" t="s">
        <v>71</v>
      </c>
      <c r="F59" s="68"/>
      <c r="G59" s="68"/>
      <c r="H59" s="68"/>
      <c r="I59" s="68"/>
      <c r="J59" s="18">
        <v>142</v>
      </c>
      <c r="K59" s="40"/>
      <c r="L59" s="40"/>
      <c r="M59" s="40"/>
      <c r="N59" s="40"/>
      <c r="O59" s="40"/>
      <c r="P59" s="18">
        <v>142.922</v>
      </c>
      <c r="Q59" s="36"/>
      <c r="R59" s="40">
        <v>150.25</v>
      </c>
      <c r="S59" s="40"/>
    </row>
    <row r="60" spans="1:19" ht="18" customHeight="1" x14ac:dyDescent="0.2">
      <c r="A60" s="41"/>
      <c r="B60" s="37">
        <v>3</v>
      </c>
      <c r="C60" s="6"/>
      <c r="D60" s="6"/>
      <c r="E60" s="68" t="s">
        <v>58</v>
      </c>
      <c r="F60" s="69"/>
      <c r="G60" s="69"/>
      <c r="H60" s="69"/>
      <c r="I60" s="69"/>
      <c r="J60" s="16"/>
      <c r="K60" s="36"/>
      <c r="L60" s="36">
        <v>355.14699999999999</v>
      </c>
      <c r="M60" s="6"/>
      <c r="N60" s="36"/>
      <c r="O60" s="6"/>
      <c r="P60" s="46">
        <f>256.82+93.347</f>
        <v>350.16699999999997</v>
      </c>
      <c r="Q60" s="47"/>
      <c r="R60" s="48">
        <v>359</v>
      </c>
      <c r="S60" s="6"/>
    </row>
    <row r="61" spans="1:19" ht="18" customHeight="1" x14ac:dyDescent="0.2">
      <c r="A61" s="41"/>
      <c r="B61" s="37">
        <v>2</v>
      </c>
      <c r="C61" s="6"/>
      <c r="D61" s="6"/>
      <c r="E61" s="68" t="s">
        <v>59</v>
      </c>
      <c r="F61" s="69"/>
      <c r="G61" s="69"/>
      <c r="H61" s="69"/>
      <c r="I61" s="69"/>
      <c r="J61" s="16">
        <v>270.83300000000003</v>
      </c>
      <c r="K61" s="36"/>
      <c r="L61" s="36">
        <v>392.47</v>
      </c>
      <c r="M61" s="6"/>
      <c r="N61" s="36"/>
      <c r="O61" s="6"/>
      <c r="P61" s="46"/>
      <c r="Q61" s="47"/>
      <c r="R61" s="48">
        <v>400</v>
      </c>
      <c r="S61" s="6"/>
    </row>
    <row r="62" spans="1:19" ht="18" customHeight="1" x14ac:dyDescent="0.2">
      <c r="A62" s="41"/>
      <c r="B62" s="37">
        <v>198</v>
      </c>
      <c r="C62" s="6"/>
      <c r="D62" s="6"/>
      <c r="E62" s="68" t="s">
        <v>60</v>
      </c>
      <c r="F62" s="69"/>
      <c r="G62" s="69"/>
      <c r="H62" s="69"/>
      <c r="I62" s="69"/>
      <c r="J62" s="16">
        <v>61.957000000000001</v>
      </c>
      <c r="K62" s="36"/>
      <c r="L62" s="36"/>
      <c r="M62" s="6"/>
      <c r="N62" s="36"/>
      <c r="O62" s="6"/>
      <c r="P62" s="46"/>
      <c r="Q62" s="47"/>
      <c r="R62" s="48">
        <v>60</v>
      </c>
      <c r="S62" s="6"/>
    </row>
    <row r="63" spans="1:19" ht="18" customHeight="1" x14ac:dyDescent="0.2">
      <c r="A63" s="41"/>
      <c r="B63" s="37">
        <v>241</v>
      </c>
      <c r="C63" s="6"/>
      <c r="D63" s="6"/>
      <c r="E63" s="68" t="s">
        <v>61</v>
      </c>
      <c r="F63" s="69" t="s">
        <v>61</v>
      </c>
      <c r="G63" s="69" t="s">
        <v>61</v>
      </c>
      <c r="H63" s="69"/>
      <c r="I63" s="69"/>
      <c r="J63" s="16">
        <v>31</v>
      </c>
      <c r="K63" s="36"/>
      <c r="L63" s="36">
        <v>30.96</v>
      </c>
      <c r="M63" s="6"/>
      <c r="N63" s="36"/>
      <c r="O63" s="6"/>
      <c r="P63" s="46">
        <v>31.088000000000001</v>
      </c>
      <c r="Q63" s="47"/>
      <c r="R63" s="48">
        <v>31.5</v>
      </c>
      <c r="S63" s="6"/>
    </row>
    <row r="64" spans="1:19" ht="18" customHeight="1" x14ac:dyDescent="0.2">
      <c r="A64" s="41"/>
      <c r="B64" s="37">
        <v>241</v>
      </c>
      <c r="C64" s="6"/>
      <c r="D64" s="6"/>
      <c r="E64" s="68" t="s">
        <v>62</v>
      </c>
      <c r="F64" s="69" t="s">
        <v>62</v>
      </c>
      <c r="G64" s="69" t="s">
        <v>62</v>
      </c>
      <c r="H64" s="69"/>
      <c r="I64" s="69"/>
      <c r="J64" s="16">
        <v>23.5</v>
      </c>
      <c r="K64" s="36"/>
      <c r="L64" s="36">
        <v>23.478000000000002</v>
      </c>
      <c r="M64" s="6"/>
      <c r="N64" s="36"/>
      <c r="O64" s="6"/>
      <c r="P64" s="46">
        <v>23.574999999999999</v>
      </c>
      <c r="Q64" s="47"/>
      <c r="R64" s="48">
        <v>23.34</v>
      </c>
      <c r="S64" s="6"/>
    </row>
    <row r="65" spans="1:19" ht="18" customHeight="1" x14ac:dyDescent="0.2">
      <c r="A65" s="41"/>
      <c r="B65" s="37">
        <v>241</v>
      </c>
      <c r="C65" s="6"/>
      <c r="D65" s="6"/>
      <c r="E65" s="68" t="s">
        <v>63</v>
      </c>
      <c r="F65" s="69" t="s">
        <v>63</v>
      </c>
      <c r="G65" s="69" t="s">
        <v>63</v>
      </c>
      <c r="H65" s="69"/>
      <c r="I65" s="69"/>
      <c r="J65" s="16">
        <v>8.25</v>
      </c>
      <c r="K65" s="36"/>
      <c r="L65" s="36">
        <v>17.553999999999998</v>
      </c>
      <c r="M65" s="6"/>
      <c r="N65" s="36"/>
      <c r="O65" s="6"/>
      <c r="P65" s="46">
        <v>8.2899999999999991</v>
      </c>
      <c r="Q65" s="47"/>
      <c r="R65" s="48">
        <v>9</v>
      </c>
      <c r="S65" s="6"/>
    </row>
    <row r="66" spans="1:19" ht="18" customHeight="1" x14ac:dyDescent="0.2">
      <c r="A66" s="41"/>
      <c r="B66" s="37">
        <v>149</v>
      </c>
      <c r="C66" s="6"/>
      <c r="D66" s="6"/>
      <c r="E66" s="68" t="s">
        <v>64</v>
      </c>
      <c r="F66" s="69" t="s">
        <v>64</v>
      </c>
      <c r="G66" s="69" t="s">
        <v>64</v>
      </c>
      <c r="H66" s="69"/>
      <c r="I66" s="69"/>
      <c r="J66" s="16">
        <v>16.5</v>
      </c>
      <c r="K66" s="36"/>
      <c r="L66" s="36">
        <v>15.48</v>
      </c>
      <c r="M66" s="6"/>
      <c r="N66" s="36"/>
      <c r="O66" s="6"/>
      <c r="P66" s="46">
        <v>16.579999999999998</v>
      </c>
      <c r="Q66" s="47"/>
      <c r="R66" s="48">
        <v>16.850000000000001</v>
      </c>
      <c r="S66" s="6"/>
    </row>
    <row r="67" spans="1:19" ht="18" customHeight="1" x14ac:dyDescent="0.2">
      <c r="A67" s="41"/>
      <c r="B67" s="37">
        <v>241</v>
      </c>
      <c r="C67" s="6"/>
      <c r="D67" s="6"/>
      <c r="E67" s="68" t="s">
        <v>65</v>
      </c>
      <c r="F67" s="69"/>
      <c r="G67" s="69"/>
      <c r="H67" s="69"/>
      <c r="I67" s="69"/>
      <c r="J67" s="16">
        <v>53.5</v>
      </c>
      <c r="K67" s="36"/>
      <c r="L67" s="36">
        <v>55.728000000000002</v>
      </c>
      <c r="M67" s="6"/>
      <c r="N67" s="36"/>
      <c r="O67" s="6"/>
      <c r="P67" s="46">
        <v>53.886000000000003</v>
      </c>
      <c r="Q67" s="47"/>
      <c r="R67" s="48">
        <v>54.75</v>
      </c>
      <c r="S67" s="6"/>
    </row>
    <row r="68" spans="1:19" ht="18" customHeight="1" x14ac:dyDescent="0.2">
      <c r="A68" s="41"/>
      <c r="B68" s="37">
        <v>138</v>
      </c>
      <c r="C68" s="6"/>
      <c r="D68" s="6"/>
      <c r="E68" s="68" t="s">
        <v>66</v>
      </c>
      <c r="F68" s="69"/>
      <c r="G68" s="69"/>
      <c r="H68" s="69"/>
      <c r="I68" s="69"/>
      <c r="J68" s="16">
        <v>309</v>
      </c>
      <c r="K68" s="36"/>
      <c r="L68" s="36"/>
      <c r="M68" s="6"/>
      <c r="N68" s="36"/>
      <c r="O68" s="6"/>
      <c r="P68" s="46">
        <v>271.77999999999997</v>
      </c>
      <c r="Q68" s="47"/>
      <c r="R68" s="48">
        <v>275</v>
      </c>
      <c r="S68" s="6"/>
    </row>
    <row r="69" spans="1:19" ht="18" customHeight="1" x14ac:dyDescent="0.2">
      <c r="A69" s="41"/>
      <c r="B69" s="37">
        <v>11</v>
      </c>
      <c r="C69" s="6"/>
      <c r="D69" s="6"/>
      <c r="E69" s="68" t="s">
        <v>67</v>
      </c>
      <c r="F69" s="69"/>
      <c r="G69" s="69"/>
      <c r="H69" s="69"/>
      <c r="I69" s="69"/>
      <c r="J69" s="16">
        <v>870</v>
      </c>
      <c r="K69" s="36"/>
      <c r="L69" s="36">
        <v>821.89200000000005</v>
      </c>
      <c r="M69" s="6"/>
      <c r="N69" s="36"/>
      <c r="O69" s="6"/>
      <c r="P69" s="46">
        <v>868.67</v>
      </c>
      <c r="Q69" s="47"/>
      <c r="R69" s="48">
        <v>877.8</v>
      </c>
      <c r="S69" s="6"/>
    </row>
    <row r="70" spans="1:19" ht="18" customHeight="1" x14ac:dyDescent="0.2">
      <c r="A70" s="41"/>
      <c r="B70" s="37">
        <v>11</v>
      </c>
      <c r="C70" s="6"/>
      <c r="D70" s="6"/>
      <c r="E70" s="68" t="s">
        <v>68</v>
      </c>
      <c r="F70" s="69"/>
      <c r="G70" s="69"/>
      <c r="H70" s="69"/>
      <c r="I70" s="69"/>
      <c r="J70" s="16">
        <v>308.5</v>
      </c>
      <c r="K70" s="36"/>
      <c r="L70" s="36"/>
      <c r="M70" s="6"/>
      <c r="N70" s="36"/>
      <c r="O70" s="6"/>
      <c r="P70" s="46">
        <v>308.23</v>
      </c>
      <c r="Q70" s="47"/>
      <c r="R70" s="48">
        <v>311.48</v>
      </c>
      <c r="S70" s="6"/>
    </row>
    <row r="71" spans="1:19" ht="18" customHeight="1" x14ac:dyDescent="0.2">
      <c r="A71" s="41"/>
      <c r="B71" s="37">
        <v>64</v>
      </c>
      <c r="C71" s="6"/>
      <c r="D71" s="6"/>
      <c r="E71" s="68" t="s">
        <v>69</v>
      </c>
      <c r="F71" s="69"/>
      <c r="G71" s="69"/>
      <c r="H71" s="69"/>
      <c r="I71" s="69"/>
      <c r="J71" s="16">
        <v>334</v>
      </c>
      <c r="K71" s="36"/>
      <c r="L71" s="36">
        <v>339.74400000000003</v>
      </c>
      <c r="M71" s="6"/>
      <c r="N71" s="36"/>
      <c r="O71" s="6"/>
      <c r="P71" s="46">
        <v>333.24</v>
      </c>
      <c r="Q71" s="47"/>
      <c r="R71" s="48">
        <v>336.74</v>
      </c>
      <c r="S71" s="6"/>
    </row>
    <row r="72" spans="1:19" ht="18" customHeight="1" x14ac:dyDescent="0.2">
      <c r="A72" s="41"/>
      <c r="B72" s="37">
        <v>28</v>
      </c>
      <c r="C72" s="6"/>
      <c r="D72" s="6"/>
      <c r="E72" s="68" t="s">
        <v>70</v>
      </c>
      <c r="F72" s="69"/>
      <c r="G72" s="69"/>
      <c r="H72" s="69"/>
      <c r="I72" s="69"/>
      <c r="J72" s="16">
        <v>276</v>
      </c>
      <c r="K72" s="36"/>
      <c r="L72" s="36">
        <v>281.07</v>
      </c>
      <c r="M72" s="6"/>
      <c r="N72" s="36"/>
      <c r="O72" s="6"/>
      <c r="P72" s="46">
        <v>275.95</v>
      </c>
      <c r="Q72" s="47"/>
      <c r="R72" s="48">
        <v>278.85000000000002</v>
      </c>
      <c r="S72" s="6"/>
    </row>
    <row r="73" spans="1:19" ht="18" customHeight="1" x14ac:dyDescent="0.2">
      <c r="A73" s="41"/>
      <c r="B73" s="50">
        <v>20</v>
      </c>
      <c r="C73" s="51"/>
      <c r="D73" s="51"/>
      <c r="E73" s="110" t="s">
        <v>74</v>
      </c>
      <c r="F73" s="111"/>
      <c r="G73" s="111"/>
      <c r="H73" s="111"/>
      <c r="I73" s="111"/>
      <c r="J73" s="52">
        <v>334.25</v>
      </c>
      <c r="K73" s="36"/>
      <c r="L73" s="36"/>
      <c r="M73" s="15"/>
      <c r="N73" s="36"/>
      <c r="O73" s="15"/>
      <c r="P73" s="35">
        <v>332.55</v>
      </c>
      <c r="Q73" s="53"/>
      <c r="R73" s="54">
        <v>336.05</v>
      </c>
      <c r="S73" s="15"/>
    </row>
    <row r="74" spans="1:19" ht="18" customHeight="1" x14ac:dyDescent="0.2">
      <c r="A74" s="41"/>
      <c r="B74" s="55">
        <v>20</v>
      </c>
      <c r="C74" s="51"/>
      <c r="D74" s="51"/>
      <c r="E74" s="110" t="s">
        <v>75</v>
      </c>
      <c r="F74" s="111"/>
      <c r="G74" s="111"/>
      <c r="H74" s="111"/>
      <c r="I74" s="111"/>
      <c r="J74" s="52"/>
      <c r="K74" s="36"/>
      <c r="L74" s="36"/>
      <c r="M74" s="15"/>
      <c r="N74" s="36"/>
      <c r="O74" s="15"/>
      <c r="P74" s="35">
        <v>321.14999999999998</v>
      </c>
      <c r="Q74" s="53"/>
      <c r="R74" s="54">
        <v>324.05</v>
      </c>
      <c r="S74" s="15"/>
    </row>
    <row r="75" spans="1:19" ht="18" customHeight="1" x14ac:dyDescent="0.2">
      <c r="A75" s="41"/>
      <c r="B75" s="50">
        <v>72</v>
      </c>
      <c r="C75" s="51"/>
      <c r="D75" s="51"/>
      <c r="E75" s="110" t="s">
        <v>73</v>
      </c>
      <c r="F75" s="111"/>
      <c r="G75" s="111"/>
      <c r="H75" s="111"/>
      <c r="I75" s="111"/>
      <c r="J75" s="52">
        <v>419.25</v>
      </c>
      <c r="K75" s="36"/>
      <c r="L75" s="36"/>
      <c r="M75" s="15"/>
      <c r="N75" s="36"/>
      <c r="O75" s="15"/>
      <c r="P75" s="35">
        <v>417.53</v>
      </c>
      <c r="Q75" s="53"/>
      <c r="R75" s="54">
        <v>421.9</v>
      </c>
      <c r="S75" s="15"/>
    </row>
    <row r="76" spans="1:19" ht="18" customHeight="1" x14ac:dyDescent="0.2">
      <c r="A76" s="41"/>
      <c r="B76" s="50">
        <v>138</v>
      </c>
      <c r="C76" s="51"/>
      <c r="D76" s="51"/>
      <c r="E76" s="110" t="s">
        <v>77</v>
      </c>
      <c r="F76" s="111"/>
      <c r="G76" s="111"/>
      <c r="H76" s="111"/>
      <c r="I76" s="111"/>
      <c r="J76" s="52">
        <v>309</v>
      </c>
      <c r="K76" s="36"/>
      <c r="L76" s="36"/>
      <c r="M76" s="15"/>
      <c r="N76" s="36"/>
      <c r="O76" s="15"/>
      <c r="P76" s="35">
        <v>306.63</v>
      </c>
      <c r="Q76" s="53"/>
      <c r="R76" s="54">
        <v>309.85000000000002</v>
      </c>
      <c r="S76" s="15"/>
    </row>
    <row r="77" spans="1:19" ht="18" customHeight="1" x14ac:dyDescent="0.2">
      <c r="A77" s="41"/>
      <c r="B77" s="55">
        <v>138</v>
      </c>
      <c r="C77" s="51"/>
      <c r="D77" s="51"/>
      <c r="E77" s="110" t="s">
        <v>76</v>
      </c>
      <c r="F77" s="111"/>
      <c r="G77" s="111"/>
      <c r="H77" s="111"/>
      <c r="I77" s="111"/>
      <c r="J77" s="52">
        <v>309</v>
      </c>
      <c r="K77" s="36"/>
      <c r="L77" s="36"/>
      <c r="M77" s="15"/>
      <c r="N77" s="36"/>
      <c r="O77" s="15"/>
      <c r="P77" s="35">
        <v>296.27999999999997</v>
      </c>
      <c r="Q77" s="53"/>
      <c r="R77" s="54">
        <v>299.39999999999998</v>
      </c>
      <c r="S77" s="15"/>
    </row>
    <row r="78" spans="1:19" ht="18" customHeight="1" x14ac:dyDescent="0.2">
      <c r="A78" s="41"/>
      <c r="B78" s="50">
        <v>11</v>
      </c>
      <c r="C78" s="51"/>
      <c r="D78" s="51"/>
      <c r="E78" s="110" t="s">
        <v>78</v>
      </c>
      <c r="F78" s="111"/>
      <c r="G78" s="111"/>
      <c r="H78" s="111"/>
      <c r="I78" s="111"/>
      <c r="J78" s="52">
        <v>308.5</v>
      </c>
      <c r="K78" s="36"/>
      <c r="L78" s="36"/>
      <c r="M78" s="15"/>
      <c r="N78" s="36"/>
      <c r="O78" s="15"/>
      <c r="P78" s="35">
        <v>353.27</v>
      </c>
      <c r="Q78" s="53"/>
      <c r="R78" s="54">
        <v>356.95</v>
      </c>
      <c r="S78" s="15"/>
    </row>
    <row r="79" spans="1:19" ht="18" customHeight="1" x14ac:dyDescent="0.2">
      <c r="A79" s="41"/>
      <c r="B79" s="55">
        <v>11</v>
      </c>
      <c r="C79" s="51"/>
      <c r="D79" s="51"/>
      <c r="E79" s="110" t="s">
        <v>79</v>
      </c>
      <c r="F79" s="111"/>
      <c r="G79" s="111"/>
      <c r="H79" s="111"/>
      <c r="I79" s="111"/>
      <c r="J79" s="52">
        <v>308.5</v>
      </c>
      <c r="K79" s="36"/>
      <c r="L79" s="36"/>
      <c r="M79" s="15"/>
      <c r="N79" s="36"/>
      <c r="O79" s="15"/>
      <c r="P79" s="35">
        <v>306.63</v>
      </c>
      <c r="Q79" s="53"/>
      <c r="R79" s="54"/>
      <c r="S79" s="15"/>
    </row>
    <row r="80" spans="1:19" ht="18" customHeight="1" x14ac:dyDescent="0.2">
      <c r="A80" s="41"/>
      <c r="B80" s="49"/>
      <c r="C80" s="6"/>
      <c r="D80" s="6"/>
      <c r="E80" s="68"/>
      <c r="F80" s="69"/>
      <c r="G80" s="69"/>
      <c r="H80" s="69"/>
      <c r="I80" s="69"/>
      <c r="J80" s="16"/>
      <c r="K80" s="36"/>
      <c r="L80" s="36"/>
      <c r="M80" s="6"/>
      <c r="N80" s="36"/>
      <c r="O80" s="6"/>
      <c r="P80" s="46"/>
      <c r="Q80" s="47"/>
      <c r="R80" s="48"/>
      <c r="S80" s="6"/>
    </row>
    <row r="81" spans="1:19" ht="18" customHeight="1" x14ac:dyDescent="0.2">
      <c r="A81" s="41"/>
      <c r="B81" s="37">
        <v>198</v>
      </c>
      <c r="C81" s="6"/>
      <c r="D81" s="6"/>
      <c r="E81" s="68" t="s">
        <v>72</v>
      </c>
      <c r="F81" s="69"/>
      <c r="G81" s="69"/>
      <c r="H81" s="69"/>
      <c r="I81" s="69"/>
      <c r="J81" s="16">
        <v>155</v>
      </c>
      <c r="K81" s="36"/>
      <c r="L81" s="36"/>
      <c r="M81" s="6"/>
      <c r="N81" s="36"/>
      <c r="O81" s="6"/>
      <c r="P81" s="46"/>
      <c r="Q81" s="47"/>
      <c r="R81" s="48">
        <v>198</v>
      </c>
      <c r="S81" s="6"/>
    </row>
    <row r="82" spans="1:19" ht="18" customHeight="1" x14ac:dyDescent="0.2">
      <c r="A82" s="3"/>
      <c r="B82" s="9"/>
      <c r="C82" s="6"/>
      <c r="D82" s="6"/>
      <c r="E82" s="68"/>
      <c r="F82" s="64"/>
      <c r="G82" s="64"/>
      <c r="H82" s="64"/>
      <c r="I82" s="64"/>
      <c r="J82" s="16"/>
      <c r="K82" s="25"/>
      <c r="L82" s="34"/>
      <c r="M82" s="2"/>
      <c r="N82" s="34"/>
      <c r="O82" s="2"/>
      <c r="P82" s="2"/>
      <c r="Q82" s="112"/>
      <c r="R82" s="113"/>
      <c r="S82" s="2"/>
    </row>
    <row r="83" spans="1:19" ht="18" customHeight="1" x14ac:dyDescent="0.2">
      <c r="A83" s="3"/>
      <c r="B83" s="9"/>
      <c r="C83" s="6"/>
      <c r="D83" s="6"/>
      <c r="E83" s="68"/>
      <c r="F83" s="64"/>
      <c r="G83" s="64"/>
      <c r="H83" s="64"/>
      <c r="I83" s="64"/>
      <c r="J83" s="16"/>
      <c r="K83" s="25"/>
      <c r="L83" s="34"/>
      <c r="M83" s="2"/>
      <c r="N83" s="34"/>
      <c r="O83" s="2"/>
      <c r="P83" s="2"/>
      <c r="Q83" s="112"/>
      <c r="R83" s="113"/>
      <c r="S83" s="2"/>
    </row>
    <row r="84" spans="1:19" ht="18" customHeight="1" x14ac:dyDescent="0.2">
      <c r="A84" s="3"/>
      <c r="B84" s="9"/>
      <c r="C84" s="6"/>
      <c r="D84" s="6"/>
      <c r="E84" s="68"/>
      <c r="F84" s="64"/>
      <c r="G84" s="64"/>
      <c r="H84" s="64"/>
      <c r="I84" s="64"/>
      <c r="J84" s="16"/>
      <c r="K84" s="17"/>
      <c r="L84" s="2"/>
      <c r="M84" s="2"/>
      <c r="N84" s="2"/>
      <c r="O84" s="2"/>
      <c r="P84" s="2"/>
      <c r="Q84" s="2"/>
      <c r="R84" s="2"/>
      <c r="S84" s="2"/>
    </row>
    <row r="85" spans="1:19" ht="18" customHeight="1" x14ac:dyDescent="0.2">
      <c r="A85" s="3"/>
      <c r="B85" s="9"/>
      <c r="C85" s="6"/>
      <c r="D85" s="6"/>
      <c r="E85" s="68"/>
      <c r="F85" s="64"/>
      <c r="G85" s="64"/>
      <c r="H85" s="64"/>
      <c r="I85" s="64"/>
      <c r="J85" s="16"/>
      <c r="K85" s="17"/>
      <c r="L85" s="2"/>
      <c r="M85" s="2"/>
      <c r="N85" s="2"/>
      <c r="O85" s="2"/>
      <c r="P85" s="2"/>
      <c r="Q85" s="2"/>
      <c r="R85" s="2"/>
      <c r="S85" s="2"/>
    </row>
    <row r="86" spans="1:19" ht="18" customHeight="1" x14ac:dyDescent="0.2">
      <c r="A86" s="3"/>
      <c r="B86" s="9"/>
      <c r="C86" s="6"/>
      <c r="D86" s="6"/>
      <c r="E86" s="68"/>
      <c r="F86" s="64"/>
      <c r="G86" s="64"/>
      <c r="H86" s="64"/>
      <c r="I86" s="64"/>
      <c r="J86" s="16"/>
      <c r="K86" s="17"/>
      <c r="L86" s="2"/>
      <c r="M86" s="2"/>
      <c r="N86" s="2"/>
      <c r="O86" s="2"/>
      <c r="P86" s="2"/>
      <c r="Q86" s="2"/>
      <c r="R86" s="2"/>
      <c r="S86" s="2"/>
    </row>
    <row r="87" spans="1:19" ht="18" customHeight="1" x14ac:dyDescent="0.2">
      <c r="A87" s="3"/>
      <c r="B87" s="9"/>
      <c r="C87" s="6"/>
      <c r="D87" s="6"/>
      <c r="E87" s="68"/>
      <c r="F87" s="64"/>
      <c r="G87" s="64"/>
      <c r="H87" s="64"/>
      <c r="I87" s="64"/>
      <c r="J87" s="16"/>
      <c r="K87" s="17"/>
      <c r="L87" s="2"/>
      <c r="M87" s="2"/>
      <c r="N87" s="2"/>
      <c r="O87" s="2"/>
      <c r="P87" s="2"/>
      <c r="Q87" s="2"/>
      <c r="R87" s="2"/>
      <c r="S87" s="2"/>
    </row>
    <row r="88" spans="1:19" ht="18" customHeight="1" x14ac:dyDescent="0.2">
      <c r="A88" s="3"/>
      <c r="B88" s="9"/>
      <c r="C88" s="6"/>
      <c r="D88" s="6"/>
      <c r="E88" s="68"/>
      <c r="F88" s="64"/>
      <c r="G88" s="64"/>
      <c r="H88" s="64"/>
      <c r="I88" s="64"/>
      <c r="J88" s="16"/>
      <c r="K88" s="17"/>
      <c r="L88" s="2"/>
      <c r="M88" s="2"/>
      <c r="N88" s="2"/>
      <c r="O88" s="2"/>
      <c r="P88" s="2"/>
      <c r="Q88" s="2"/>
      <c r="R88" s="2"/>
      <c r="S88" s="2"/>
    </row>
    <row r="89" spans="1:19" ht="18" customHeight="1" x14ac:dyDescent="0.2">
      <c r="A89" s="3"/>
      <c r="B89" s="9"/>
      <c r="C89" s="6"/>
      <c r="D89" s="6"/>
      <c r="E89" s="68"/>
      <c r="F89" s="64"/>
      <c r="G89" s="64"/>
      <c r="H89" s="64"/>
      <c r="I89" s="64"/>
      <c r="J89" s="16"/>
      <c r="K89" s="17"/>
      <c r="L89" s="2"/>
      <c r="M89" s="2"/>
      <c r="N89" s="2"/>
      <c r="O89" s="2"/>
      <c r="P89" s="2"/>
      <c r="Q89" s="2"/>
      <c r="R89" s="2"/>
      <c r="S89" s="2"/>
    </row>
    <row r="90" spans="1:19" ht="18" customHeight="1" x14ac:dyDescent="0.2">
      <c r="A90" s="3"/>
      <c r="B90" s="9"/>
      <c r="C90" s="6"/>
      <c r="D90" s="6"/>
      <c r="E90" s="68"/>
      <c r="F90" s="64"/>
      <c r="G90" s="64"/>
      <c r="H90" s="64"/>
      <c r="I90" s="64"/>
      <c r="J90" s="16"/>
      <c r="K90" s="17"/>
      <c r="L90" s="2"/>
      <c r="M90" s="2"/>
      <c r="N90" s="2"/>
      <c r="O90" s="2"/>
      <c r="P90" s="2"/>
      <c r="Q90" s="2"/>
      <c r="R90" s="2"/>
      <c r="S90" s="2"/>
    </row>
    <row r="91" spans="1:19" ht="18" customHeight="1" x14ac:dyDescent="0.2">
      <c r="A91" s="3"/>
      <c r="B91" s="9"/>
      <c r="C91" s="6"/>
      <c r="D91" s="6"/>
      <c r="E91" s="68"/>
      <c r="F91" s="64"/>
      <c r="G91" s="64"/>
      <c r="H91" s="64"/>
      <c r="I91" s="64"/>
      <c r="J91" s="16"/>
      <c r="K91" s="17"/>
      <c r="L91" s="2"/>
      <c r="M91" s="2"/>
      <c r="N91" s="2"/>
      <c r="O91" s="2"/>
      <c r="P91" s="2"/>
      <c r="Q91" s="2"/>
      <c r="R91" s="2"/>
      <c r="S91" s="2"/>
    </row>
    <row r="92" spans="1:19" ht="18" customHeight="1" x14ac:dyDescent="0.2">
      <c r="A92" s="3"/>
      <c r="B92" s="9"/>
      <c r="C92" s="6"/>
      <c r="D92" s="6"/>
      <c r="E92" s="68"/>
      <c r="F92" s="64"/>
      <c r="G92" s="64"/>
      <c r="H92" s="64"/>
      <c r="I92" s="64"/>
      <c r="J92" s="16"/>
      <c r="K92" s="17"/>
      <c r="L92" s="2"/>
      <c r="M92" s="2"/>
      <c r="N92" s="2"/>
      <c r="O92" s="2"/>
      <c r="P92" s="2"/>
      <c r="Q92" s="2"/>
      <c r="R92" s="2"/>
      <c r="S92" s="2"/>
    </row>
    <row r="93" spans="1:19" ht="18" customHeight="1" x14ac:dyDescent="0.2">
      <c r="A93" s="3"/>
      <c r="B93" s="9"/>
      <c r="C93" s="6"/>
      <c r="D93" s="6"/>
      <c r="E93" s="68"/>
      <c r="F93" s="64"/>
      <c r="G93" s="64"/>
      <c r="H93" s="64"/>
      <c r="I93" s="64"/>
      <c r="J93" s="16"/>
      <c r="K93" s="17"/>
      <c r="L93" s="2"/>
      <c r="M93" s="2"/>
      <c r="N93" s="2"/>
      <c r="O93" s="2"/>
      <c r="P93" s="2"/>
      <c r="Q93" s="2"/>
      <c r="R93" s="2"/>
      <c r="S93" s="2"/>
    </row>
    <row r="94" spans="1:19" ht="18" customHeight="1" x14ac:dyDescent="0.2">
      <c r="A94" s="3"/>
      <c r="B94" s="9"/>
      <c r="C94" s="6"/>
      <c r="D94" s="6"/>
      <c r="E94" s="68"/>
      <c r="F94" s="64"/>
      <c r="G94" s="64"/>
      <c r="H94" s="64"/>
      <c r="I94" s="64"/>
      <c r="J94" s="16"/>
      <c r="K94" s="17"/>
      <c r="L94" s="2"/>
      <c r="M94" s="2"/>
      <c r="N94" s="2"/>
      <c r="O94" s="2"/>
      <c r="P94" s="2"/>
      <c r="Q94" s="2"/>
      <c r="R94" s="2"/>
      <c r="S94" s="2"/>
    </row>
    <row r="95" spans="1:19" ht="18" customHeight="1" x14ac:dyDescent="0.2">
      <c r="A95" s="3"/>
      <c r="B95" s="9"/>
      <c r="C95" s="6"/>
      <c r="D95" s="6"/>
      <c r="E95" s="68"/>
      <c r="F95" s="64"/>
      <c r="G95" s="64"/>
      <c r="H95" s="64"/>
      <c r="I95" s="64"/>
      <c r="J95" s="16"/>
      <c r="K95" s="17"/>
    </row>
    <row r="96" spans="1:19" ht="16.899999999999999" customHeight="1" x14ac:dyDescent="0.2">
      <c r="A96" s="3"/>
      <c r="B96" s="9"/>
      <c r="C96" s="6"/>
      <c r="D96" s="6"/>
      <c r="E96" s="68"/>
      <c r="F96" s="64"/>
      <c r="G96" s="64"/>
      <c r="H96" s="64"/>
      <c r="I96" s="64"/>
      <c r="J96" s="16"/>
      <c r="K96" s="17"/>
    </row>
    <row r="97" spans="1:11" ht="16.899999999999999" customHeight="1" x14ac:dyDescent="0.2">
      <c r="A97" s="3"/>
      <c r="B97" s="9"/>
      <c r="C97" s="6"/>
      <c r="D97" s="6"/>
      <c r="E97" s="68"/>
      <c r="F97" s="64"/>
      <c r="G97" s="64"/>
      <c r="H97" s="64"/>
      <c r="I97" s="64"/>
      <c r="J97" s="16"/>
      <c r="K97" s="17"/>
    </row>
    <row r="98" spans="1:11" ht="16.899999999999999" customHeight="1" x14ac:dyDescent="0.2">
      <c r="A98" s="3"/>
      <c r="B98" s="9"/>
      <c r="C98" s="6"/>
      <c r="D98" s="6"/>
      <c r="E98" s="68"/>
      <c r="F98" s="64"/>
      <c r="G98" s="64"/>
      <c r="H98" s="64"/>
      <c r="I98" s="64"/>
      <c r="J98" s="16"/>
      <c r="K98" s="17"/>
    </row>
    <row r="99" spans="1:11" ht="18" customHeight="1" x14ac:dyDescent="0.2">
      <c r="A99" s="3"/>
      <c r="B99" s="9"/>
      <c r="C99" s="6"/>
      <c r="D99" s="6"/>
      <c r="E99" s="68"/>
      <c r="F99" s="64"/>
      <c r="G99" s="64"/>
      <c r="H99" s="64"/>
      <c r="I99" s="64"/>
      <c r="J99" s="16"/>
      <c r="K99" s="17"/>
    </row>
    <row r="100" spans="1:11" ht="18" customHeight="1" x14ac:dyDescent="0.2">
      <c r="A100" s="3"/>
      <c r="B100" s="9"/>
      <c r="C100" s="6"/>
      <c r="D100" s="6"/>
      <c r="E100" s="68"/>
      <c r="F100" s="64"/>
      <c r="G100" s="64"/>
      <c r="H100" s="64"/>
      <c r="I100" s="64"/>
      <c r="J100" s="16"/>
      <c r="K100" s="17"/>
    </row>
    <row r="101" spans="1:11" ht="18" customHeight="1" x14ac:dyDescent="0.2">
      <c r="A101" s="3"/>
      <c r="B101" s="9"/>
      <c r="C101" s="6"/>
      <c r="D101" s="6"/>
      <c r="E101" s="68"/>
      <c r="F101" s="64"/>
      <c r="G101" s="64"/>
      <c r="H101" s="64"/>
      <c r="I101" s="64"/>
      <c r="J101" s="16"/>
      <c r="K101" s="17"/>
    </row>
    <row r="102" spans="1:11" ht="18" customHeight="1" x14ac:dyDescent="0.2">
      <c r="A102" s="3"/>
      <c r="B102" s="9"/>
      <c r="C102" s="6"/>
      <c r="D102" s="6"/>
      <c r="E102" s="68"/>
      <c r="F102" s="64"/>
      <c r="G102" s="64"/>
      <c r="H102" s="64"/>
      <c r="I102" s="64"/>
      <c r="J102" s="16"/>
      <c r="K102" s="17"/>
    </row>
  </sheetData>
  <mergeCells count="116">
    <mergeCell ref="Q82:R82"/>
    <mergeCell ref="Q83:R83"/>
    <mergeCell ref="E51:I51"/>
    <mergeCell ref="E53:I53"/>
    <mergeCell ref="E52:I52"/>
    <mergeCell ref="E64:I64"/>
    <mergeCell ref="E83:I83"/>
    <mergeCell ref="E65:I65"/>
    <mergeCell ref="E66:I66"/>
    <mergeCell ref="E67:I67"/>
    <mergeCell ref="E68:I68"/>
    <mergeCell ref="E71:I71"/>
    <mergeCell ref="E74:I74"/>
    <mergeCell ref="E77:I77"/>
    <mergeCell ref="E79:I79"/>
    <mergeCell ref="E86:I86"/>
    <mergeCell ref="E87:I87"/>
    <mergeCell ref="E88:I88"/>
    <mergeCell ref="E96:I96"/>
    <mergeCell ref="E97:I97"/>
    <mergeCell ref="E40:I40"/>
    <mergeCell ref="E42:I42"/>
    <mergeCell ref="E38:I38"/>
    <mergeCell ref="E44:I44"/>
    <mergeCell ref="E45:I45"/>
    <mergeCell ref="E46:I46"/>
    <mergeCell ref="E47:I47"/>
    <mergeCell ref="E50:I50"/>
    <mergeCell ref="E73:I73"/>
    <mergeCell ref="E75:I75"/>
    <mergeCell ref="E76:I76"/>
    <mergeCell ref="E78:I78"/>
    <mergeCell ref="E80:I80"/>
    <mergeCell ref="E98:I98"/>
    <mergeCell ref="E85:I85"/>
    <mergeCell ref="E35:I35"/>
    <mergeCell ref="E43:I43"/>
    <mergeCell ref="E54:I54"/>
    <mergeCell ref="E57:I57"/>
    <mergeCell ref="E39:I39"/>
    <mergeCell ref="E102:I102"/>
    <mergeCell ref="E101:I101"/>
    <mergeCell ref="E89:I89"/>
    <mergeCell ref="E95:I95"/>
    <mergeCell ref="E90:I90"/>
    <mergeCell ref="E91:I91"/>
    <mergeCell ref="E92:I92"/>
    <mergeCell ref="E93:I93"/>
    <mergeCell ref="E99:I99"/>
    <mergeCell ref="E94:I94"/>
    <mergeCell ref="E100:I100"/>
    <mergeCell ref="E84:I84"/>
    <mergeCell ref="E72:I72"/>
    <mergeCell ref="E70:I70"/>
    <mergeCell ref="E82:I82"/>
    <mergeCell ref="E81:I81"/>
    <mergeCell ref="E49:I49"/>
    <mergeCell ref="E34:I34"/>
    <mergeCell ref="E32:I32"/>
    <mergeCell ref="E58:I58"/>
    <mergeCell ref="E23:I23"/>
    <mergeCell ref="E14:I14"/>
    <mergeCell ref="E69:I69"/>
    <mergeCell ref="E41:I41"/>
    <mergeCell ref="E63:I63"/>
    <mergeCell ref="E60:I60"/>
    <mergeCell ref="E55:I55"/>
    <mergeCell ref="E15:I15"/>
    <mergeCell ref="E22:I22"/>
    <mergeCell ref="E16:I16"/>
    <mergeCell ref="E56:I56"/>
    <mergeCell ref="E21:I21"/>
    <mergeCell ref="E33:I33"/>
    <mergeCell ref="E29:I29"/>
    <mergeCell ref="E31:I31"/>
    <mergeCell ref="E59:I59"/>
    <mergeCell ref="E48:I48"/>
    <mergeCell ref="E61:I61"/>
    <mergeCell ref="E62:I62"/>
    <mergeCell ref="E37:I37"/>
    <mergeCell ref="E36:I36"/>
    <mergeCell ref="A3:B4"/>
    <mergeCell ref="E19:I19"/>
    <mergeCell ref="E27:I27"/>
    <mergeCell ref="E20:I20"/>
    <mergeCell ref="A1:C2"/>
    <mergeCell ref="A8:C8"/>
    <mergeCell ref="A9:C9"/>
    <mergeCell ref="A11:B11"/>
    <mergeCell ref="A10:C10"/>
    <mergeCell ref="A5:B6"/>
    <mergeCell ref="A7:C7"/>
    <mergeCell ref="P11:Q11"/>
    <mergeCell ref="E8:I8"/>
    <mergeCell ref="E10:I10"/>
    <mergeCell ref="E9:I9"/>
    <mergeCell ref="E11:I11"/>
    <mergeCell ref="H1:I2"/>
    <mergeCell ref="Q1:S5"/>
    <mergeCell ref="E17:I17"/>
    <mergeCell ref="E30:I30"/>
    <mergeCell ref="E28:I28"/>
    <mergeCell ref="E18:I18"/>
    <mergeCell ref="E26:I26"/>
    <mergeCell ref="E12:I12"/>
    <mergeCell ref="E13:I13"/>
    <mergeCell ref="E25:I25"/>
    <mergeCell ref="E24:I24"/>
    <mergeCell ref="C3:E4"/>
    <mergeCell ref="J3:K4"/>
    <mergeCell ref="H3:I4"/>
    <mergeCell ref="C5:K6"/>
    <mergeCell ref="J7:K7"/>
    <mergeCell ref="E7:I7"/>
    <mergeCell ref="J1:K2"/>
    <mergeCell ref="J8:K8"/>
  </mergeCells>
  <phoneticPr fontId="0" type="noConversion"/>
  <printOptions horizontalCentered="1" verticalCentered="1"/>
  <pageMargins left="0.5" right="0.5" top="1" bottom="1" header="0.5" footer="0.5"/>
  <pageSetup paperSize="24" scale="4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Richard Donelson</cp:lastModifiedBy>
  <cp:lastPrinted>2014-10-01T21:31:17Z</cp:lastPrinted>
  <dcterms:created xsi:type="dcterms:W3CDTF">2000-09-01T14:58:39Z</dcterms:created>
  <dcterms:modified xsi:type="dcterms:W3CDTF">2015-07-27T18:47:03Z</dcterms:modified>
</cp:coreProperties>
</file>