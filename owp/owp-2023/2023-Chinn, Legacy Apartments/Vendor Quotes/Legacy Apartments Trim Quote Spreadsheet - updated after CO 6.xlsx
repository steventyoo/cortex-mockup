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Vendor Quotes\"/>
    </mc:Choice>
  </mc:AlternateContent>
  <bookViews>
    <workbookView xWindow="4590" yWindow="2310" windowWidth="9405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Sheet1!$A$1:$S$40</definedName>
    <definedName name="VENDOR">Sheet1!$A$3</definedName>
  </definedNames>
  <calcPr calcId="152511"/>
</workbook>
</file>

<file path=xl/calcChain.xml><?xml version="1.0" encoding="utf-8"?>
<calcChain xmlns="http://schemas.openxmlformats.org/spreadsheetml/2006/main">
  <c r="Q28" i="1" l="1"/>
  <c r="Q29" i="1"/>
  <c r="Q30" i="1"/>
  <c r="Q31" i="1"/>
  <c r="Q32" i="1"/>
  <c r="Q33" i="1"/>
  <c r="Q34" i="1"/>
  <c r="Q35" i="1"/>
  <c r="Q36" i="1"/>
  <c r="Q37" i="1"/>
  <c r="Q38" i="1"/>
  <c r="Q39" i="1"/>
  <c r="Q40" i="1"/>
  <c r="Q12" i="1"/>
  <c r="Q13" i="1"/>
  <c r="Q14" i="1"/>
  <c r="Q15" i="1"/>
  <c r="Q16" i="1"/>
  <c r="Q17" i="1"/>
  <c r="Q18" i="1"/>
  <c r="Q19" i="1"/>
  <c r="M12" i="1"/>
  <c r="M13" i="1"/>
  <c r="M14" i="1"/>
  <c r="M15" i="1"/>
  <c r="M16" i="1"/>
  <c r="M17" i="1"/>
  <c r="M18" i="1"/>
  <c r="M19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12" i="1"/>
  <c r="K13" i="1"/>
  <c r="K14" i="1"/>
  <c r="K15" i="1"/>
  <c r="K16" i="1"/>
  <c r="K17" i="1"/>
  <c r="K18" i="1"/>
  <c r="K19" i="1"/>
  <c r="Q24" i="1"/>
  <c r="Q25" i="1"/>
  <c r="Q26" i="1"/>
  <c r="Q27" i="1"/>
  <c r="K21" i="1"/>
  <c r="K22" i="1"/>
  <c r="K23" i="1"/>
  <c r="K24" i="1"/>
  <c r="K25" i="1"/>
  <c r="K26" i="1"/>
  <c r="K27" i="1"/>
  <c r="M21" i="1"/>
  <c r="M22" i="1"/>
  <c r="M23" i="1"/>
  <c r="M24" i="1"/>
  <c r="M25" i="1"/>
  <c r="M26" i="1"/>
  <c r="M27" i="1"/>
  <c r="Q21" i="1"/>
  <c r="Q22" i="1"/>
  <c r="Q23" i="1"/>
  <c r="Q20" i="1"/>
  <c r="M20" i="1"/>
  <c r="K20" i="1"/>
  <c r="O10" i="1" l="1"/>
  <c r="M10" i="1" l="1"/>
  <c r="S10" i="1" l="1"/>
  <c r="K10" i="1"/>
  <c r="Q10" i="1" l="1"/>
  <c r="Q8" i="1" s="1"/>
</calcChain>
</file>

<file path=xl/sharedStrings.xml><?xml version="1.0" encoding="utf-8"?>
<sst xmlns="http://schemas.openxmlformats.org/spreadsheetml/2006/main" count="55" uniqueCount="45">
  <si>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</si>
  <si>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</si>
  <si>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</si>
  <si>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</si>
  <si>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</si>
  <si>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</si>
  <si>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</si>
  <si>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</si>
  <si>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</si>
  <si>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</si>
  <si>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BID#</t>
  </si>
  <si>
    <t>SHIP TO</t>
  </si>
  <si>
    <t>PO#</t>
  </si>
  <si>
    <t>order</t>
  </si>
  <si>
    <t>total</t>
  </si>
  <si>
    <t>FEI</t>
  </si>
  <si>
    <t>ordered</t>
  </si>
  <si>
    <t xml:space="preserve">SHIP </t>
  </si>
  <si>
    <t>ROSEN</t>
  </si>
  <si>
    <t>OWP LLC</t>
  </si>
  <si>
    <t>CONS</t>
  </si>
  <si>
    <t>YELLOW CELLS INDICATE NO PRICING PROVIDED BY SUPPLIER.  COMPETITIORS NUMBER 'PLUGGED' FOR COMPARISON</t>
  </si>
  <si>
    <t>KELLER</t>
  </si>
  <si>
    <t>PAC</t>
  </si>
  <si>
    <t>LEGACY TRIM</t>
  </si>
  <si>
    <t>white Toto CT416 elongated toilet bowl</t>
  </si>
  <si>
    <t>white Toto ST416M duall flush 1.6 &amp; 0.9 GPF toilet tank and cover</t>
  </si>
  <si>
    <t>White SS114 elongated Softclose seat</t>
  </si>
  <si>
    <t>white Toto C744EL elongated toilet bowl, ADA</t>
  </si>
  <si>
    <t>white Toto ST743E &amp; ER tank and cover, 1.28gpf</t>
  </si>
  <si>
    <t xml:space="preserve">Moen G18195, 21”x16”x5.5” ADA undercounter stainless steel sink </t>
  </si>
  <si>
    <t>Common Areas</t>
  </si>
  <si>
    <t>Mustee 63M mop sink w/Mustee wall hung faucet</t>
  </si>
  <si>
    <t>Moen 62365 rough in valve</t>
  </si>
  <si>
    <t>chrome Moen S3879EP17 hand held shower  - 1.75GPM</t>
  </si>
  <si>
    <t>white toto LT231 lavatory sink</t>
  </si>
  <si>
    <t>chrome Moen T2193EP shower valve trim, head, spout, 1.75gpm</t>
  </si>
  <si>
    <t>chrome Moen T2192EP shower valve trim, head, 1.75gpm</t>
  </si>
  <si>
    <t xml:space="preserve">Lenova Aurora LS18304 undercounter stainless steel sink </t>
  </si>
  <si>
    <t>Kohler K-2084 Wall hung sinks</t>
  </si>
  <si>
    <t>Grohe K7 3138000 Chrome Semi-Pro Kitchen Faucet, 1.75gpm</t>
  </si>
  <si>
    <t>Grohe 34.270.001 chrome faucet, 1.5gpm</t>
  </si>
  <si>
    <t>Grohe 32665001 Chrome Kitchen Faucet, 1.75gpm</t>
  </si>
  <si>
    <t>Watts TCA-411 Wall carrier</t>
  </si>
  <si>
    <t>White Toto SS114 elongated Softclose seat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</si>
</sst>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sz val="7"/>
      <name val="Arial"/>
      <family val="2"/>
    </font>
    <font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Fill="1" applyBorder="1" applyProtection="1"/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8" fillId="2" borderId="1" xfId="0" applyFont="1" applyFill="1" applyBorder="1" applyAlignment="1" applyProtection="1">
      <alignment horizontal="center"/>
    </xf>
    <xf numFmtId="165" fontId="3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/>
      <protection locked="0"/>
    </xf>
    <xf numFmtId="165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Protection="1"/>
    <xf numFmtId="165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4" borderId="0" xfId="0" applyFill="1" applyAlignment="1" applyProtection="1">
      <alignment horizontal="center" wrapText="1"/>
      <protection locked="0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7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1"/>
  <sheetViews>
    <sheetView tabSelected="1" view="pageBreakPreview" topLeftCell="A10" zoomScaleNormal="100" zoomScaleSheetLayoutView="100" workbookViewId="0">
      <selection activeCell="E19" sqref="E19:I19"/>
    </sheetView>
  </sheetViews>
  <sheetFormatPr defaultColWidth="8.85546875" defaultRowHeight="12.75" outlineLevelRow="1" x14ac:dyDescent="0.2"/>
  <cols>
    <col min="1" max="1" width="3.28515625" style="1" customWidth="1"/>
    <col min="2" max="2" width="8.5703125" style="1" customWidth="1"/>
    <col min="3" max="3" width="5.5703125" style="1" customWidth="1"/>
    <col min="4" max="4" width="8.85546875" style="1" hidden="1" customWidth="1"/>
    <col min="5" max="5" width="60.7109375" style="1" customWidth="1"/>
    <col min="6" max="7" width="8.85546875" style="1" hidden="1" customWidth="1"/>
    <col min="8" max="8" width="4.85546875" style="1" customWidth="1"/>
    <col min="9" max="9" width="5" style="1" customWidth="1"/>
    <col min="10" max="10" width="11.42578125" style="1" customWidth="1"/>
    <col min="11" max="11" width="10.85546875" style="1" customWidth="1"/>
    <col min="12" max="12" width="10.140625" style="1" bestFit="1" customWidth="1"/>
    <col min="13" max="13" width="11" style="1" customWidth="1"/>
    <col min="14" max="14" width="9.140625" style="1" bestFit="1" customWidth="1"/>
    <col min="15" max="15" width="11" style="1" customWidth="1"/>
    <col min="16" max="16" width="10.140625" style="1" bestFit="1" customWidth="1"/>
    <col min="17" max="17" width="10.140625" style="1" customWidth="1"/>
    <col min="18" max="18" width="9.140625" style="1" bestFit="1" customWidth="1"/>
    <col min="19" max="19" width="11" style="1" customWidth="1"/>
    <col min="20" max="16384" width="8.85546875" style="1"/>
  </cols>
  <sheetData>
    <row r="1" spans="1:19" ht="22.5" customHeight="1" x14ac:dyDescent="0.2">
      <c r="A1" s="71" t="s">
        <v>19</v>
      </c>
      <c r="B1" s="72"/>
      <c r="C1" s="73"/>
      <c r="D1" s="10"/>
      <c r="E1" s="24" t="s">
        <v>24</v>
      </c>
      <c r="F1" s="19"/>
      <c r="G1" s="19"/>
      <c r="H1" s="46" t="s">
        <v>12</v>
      </c>
      <c r="I1" s="47"/>
      <c r="J1" s="63"/>
      <c r="K1" s="64"/>
      <c r="L1" s="30"/>
      <c r="M1" s="30"/>
      <c r="N1" s="30"/>
      <c r="O1" s="30"/>
      <c r="Q1" s="48" t="s">
        <v>21</v>
      </c>
      <c r="R1" s="48"/>
      <c r="S1" s="48"/>
    </row>
    <row r="2" spans="1:19" ht="15.75" customHeight="1" x14ac:dyDescent="0.25">
      <c r="A2" s="74"/>
      <c r="B2" s="75"/>
      <c r="C2" s="76"/>
      <c r="D2" s="11"/>
      <c r="E2" s="26"/>
      <c r="F2" s="20"/>
      <c r="G2" s="20"/>
      <c r="H2" s="46"/>
      <c r="I2" s="47"/>
      <c r="J2" s="65"/>
      <c r="K2" s="66"/>
      <c r="L2" s="30"/>
      <c r="M2" s="30"/>
      <c r="N2" s="30"/>
      <c r="O2" s="30"/>
      <c r="Q2" s="48"/>
      <c r="R2" s="48"/>
      <c r="S2" s="48"/>
    </row>
    <row r="3" spans="1:19" ht="13.9" customHeight="1" x14ac:dyDescent="0.2">
      <c r="A3" s="69" t="s">
        <v>3</v>
      </c>
      <c r="B3" s="70"/>
      <c r="C3" s="49"/>
      <c r="D3" s="50"/>
      <c r="E3" s="50"/>
      <c r="F3" s="7"/>
      <c r="G3" s="21"/>
      <c r="H3" s="55" t="s">
        <v>10</v>
      </c>
      <c r="I3" s="56"/>
      <c r="J3" s="51"/>
      <c r="K3" s="52"/>
      <c r="L3" s="31"/>
      <c r="M3" s="31"/>
      <c r="N3" s="31"/>
      <c r="O3" s="31"/>
      <c r="Q3" s="48"/>
      <c r="R3" s="48"/>
      <c r="S3" s="48"/>
    </row>
    <row r="4" spans="1:19" ht="7.9" customHeight="1" x14ac:dyDescent="0.2">
      <c r="A4" s="70"/>
      <c r="B4" s="70"/>
      <c r="C4" s="50"/>
      <c r="D4" s="50"/>
      <c r="E4" s="50"/>
      <c r="F4" s="7"/>
      <c r="G4" s="21"/>
      <c r="H4" s="57"/>
      <c r="I4" s="56"/>
      <c r="J4" s="53"/>
      <c r="K4" s="54"/>
      <c r="L4" s="31"/>
      <c r="M4" s="31"/>
      <c r="N4" s="31"/>
      <c r="O4" s="31"/>
      <c r="Q4" s="48"/>
      <c r="R4" s="48"/>
      <c r="S4" s="48"/>
    </row>
    <row r="5" spans="1:19" ht="16.149999999999999" customHeight="1" outlineLevel="1" x14ac:dyDescent="0.2">
      <c r="A5" s="85" t="s">
        <v>11</v>
      </c>
      <c r="B5" s="70"/>
      <c r="C5" s="58"/>
      <c r="D5" s="59"/>
      <c r="E5" s="59"/>
      <c r="F5" s="59"/>
      <c r="G5" s="59"/>
      <c r="H5" s="59"/>
      <c r="I5" s="59"/>
      <c r="J5" s="50"/>
      <c r="K5" s="50"/>
      <c r="L5" s="32"/>
      <c r="M5" s="32"/>
      <c r="N5" s="32"/>
      <c r="O5" s="32"/>
      <c r="Q5" s="48"/>
      <c r="R5" s="48"/>
      <c r="S5" s="48"/>
    </row>
    <row r="6" spans="1:19" ht="6" customHeight="1" outlineLevel="1" x14ac:dyDescent="0.2">
      <c r="A6" s="70"/>
      <c r="B6" s="70"/>
      <c r="C6" s="59"/>
      <c r="D6" s="59"/>
      <c r="E6" s="59"/>
      <c r="F6" s="59"/>
      <c r="G6" s="59"/>
      <c r="H6" s="59"/>
      <c r="I6" s="59"/>
      <c r="J6" s="50"/>
      <c r="K6" s="50"/>
    </row>
    <row r="7" spans="1:19" ht="10.15" customHeight="1" x14ac:dyDescent="0.2">
      <c r="A7" s="79" t="s">
        <v>4</v>
      </c>
      <c r="B7" s="79"/>
      <c r="C7" s="79"/>
      <c r="D7" s="8"/>
      <c r="E7" s="60" t="s">
        <v>5</v>
      </c>
      <c r="F7" s="61"/>
      <c r="G7" s="61"/>
      <c r="H7" s="61"/>
      <c r="I7" s="62"/>
      <c r="J7" s="46" t="s">
        <v>6</v>
      </c>
      <c r="K7" s="47"/>
    </row>
    <row r="8" spans="1:19" ht="18.600000000000001" customHeight="1" x14ac:dyDescent="0.25">
      <c r="A8" s="77"/>
      <c r="B8" s="78"/>
      <c r="C8" s="78"/>
      <c r="D8" s="4"/>
      <c r="E8" s="88">
        <v>2023</v>
      </c>
      <c r="F8" s="89"/>
      <c r="G8" s="89"/>
      <c r="H8" s="89"/>
      <c r="I8" s="90"/>
      <c r="J8" s="67">
        <v>42298</v>
      </c>
      <c r="K8" s="68"/>
      <c r="Q8" s="13">
        <f>Q10-K10</f>
        <v>-87841.395000000033</v>
      </c>
    </row>
    <row r="9" spans="1:19" ht="10.9" customHeight="1" x14ac:dyDescent="0.2">
      <c r="A9" s="79" t="s">
        <v>8</v>
      </c>
      <c r="B9" s="79"/>
      <c r="C9" s="79"/>
      <c r="D9" s="4" t="s">
        <v>7</v>
      </c>
      <c r="E9" s="60" t="s">
        <v>9</v>
      </c>
      <c r="F9" s="89"/>
      <c r="G9" s="89"/>
      <c r="H9" s="89"/>
      <c r="I9" s="90"/>
      <c r="J9" s="22" t="s">
        <v>13</v>
      </c>
      <c r="K9" s="23" t="s">
        <v>14</v>
      </c>
    </row>
    <row r="10" spans="1:19" ht="26.45" customHeight="1" x14ac:dyDescent="0.2">
      <c r="A10" s="82"/>
      <c r="B10" s="83"/>
      <c r="C10" s="84"/>
      <c r="D10" s="4"/>
      <c r="E10" s="91" t="s">
        <v>24</v>
      </c>
      <c r="F10" s="89"/>
      <c r="G10" s="89"/>
      <c r="H10" s="89"/>
      <c r="I10" s="90"/>
      <c r="J10" s="29" t="s">
        <v>20</v>
      </c>
      <c r="K10" s="28">
        <f>SUM(K12:K40)</f>
        <v>166679.755</v>
      </c>
      <c r="L10" s="29" t="s">
        <v>22</v>
      </c>
      <c r="M10" s="28">
        <f>SUM(M12:M40)</f>
        <v>30252.007000000001</v>
      </c>
      <c r="N10" s="29" t="s">
        <v>23</v>
      </c>
      <c r="O10" s="28">
        <f>SUM(O12:O40)</f>
        <v>0</v>
      </c>
      <c r="P10" s="12" t="s">
        <v>15</v>
      </c>
      <c r="Q10" s="28">
        <f>SUM(Q12:Q40)</f>
        <v>78838.359999999971</v>
      </c>
      <c r="R10" s="29" t="s">
        <v>18</v>
      </c>
      <c r="S10" s="28">
        <f>SUM(S12:S40)</f>
        <v>0</v>
      </c>
    </row>
    <row r="11" spans="1:19" x14ac:dyDescent="0.2">
      <c r="A11" s="80" t="s">
        <v>17</v>
      </c>
      <c r="B11" s="81"/>
      <c r="C11" s="27" t="s">
        <v>16</v>
      </c>
      <c r="D11" s="5" t="s">
        <v>0</v>
      </c>
      <c r="E11" s="80" t="s">
        <v>1</v>
      </c>
      <c r="F11" s="50"/>
      <c r="G11" s="50"/>
      <c r="H11" s="50"/>
      <c r="I11" s="50"/>
      <c r="P11" s="42" t="s">
        <v>2</v>
      </c>
      <c r="Q11" s="43"/>
    </row>
    <row r="12" spans="1:19" ht="18" customHeight="1" x14ac:dyDescent="0.2">
      <c r="A12" s="38"/>
      <c r="B12" s="37">
        <v>230</v>
      </c>
      <c r="C12" s="36"/>
      <c r="D12" s="6"/>
      <c r="E12" s="44" t="s">
        <v>25</v>
      </c>
      <c r="F12" s="45"/>
      <c r="G12" s="45"/>
      <c r="H12" s="45"/>
      <c r="I12" s="45"/>
      <c r="J12" s="34">
        <v>154.5</v>
      </c>
      <c r="K12" s="35">
        <f t="shared" ref="K12:K19" si="0">B12*J12</f>
        <v>35535</v>
      </c>
      <c r="L12" s="34"/>
      <c r="M12" s="35">
        <f t="shared" ref="M12:M19" si="1">B12*L12</f>
        <v>0</v>
      </c>
      <c r="N12" s="34"/>
      <c r="O12" s="35"/>
      <c r="P12" s="34"/>
      <c r="Q12" s="35">
        <f t="shared" ref="Q12:Q19" si="2">B12*P12</f>
        <v>0</v>
      </c>
      <c r="R12" s="34"/>
      <c r="S12" s="39"/>
    </row>
    <row r="13" spans="1:19" ht="18" customHeight="1" x14ac:dyDescent="0.2">
      <c r="A13" s="38"/>
      <c r="B13" s="37">
        <v>230</v>
      </c>
      <c r="C13" s="36"/>
      <c r="D13" s="6"/>
      <c r="E13" s="44" t="s">
        <v>26</v>
      </c>
      <c r="F13" s="45"/>
      <c r="G13" s="45"/>
      <c r="H13" s="45"/>
      <c r="I13" s="45"/>
      <c r="J13" s="34">
        <v>76</v>
      </c>
      <c r="K13" s="35">
        <f t="shared" si="0"/>
        <v>17480</v>
      </c>
      <c r="L13" s="34"/>
      <c r="M13" s="35">
        <f t="shared" si="1"/>
        <v>0</v>
      </c>
      <c r="N13" s="34"/>
      <c r="O13" s="35"/>
      <c r="P13" s="34"/>
      <c r="Q13" s="35">
        <f t="shared" si="2"/>
        <v>0</v>
      </c>
      <c r="R13" s="34"/>
      <c r="S13" s="39"/>
    </row>
    <row r="14" spans="1:19" ht="18" customHeight="1" x14ac:dyDescent="0.2">
      <c r="A14" s="38"/>
      <c r="B14" s="37">
        <v>230</v>
      </c>
      <c r="C14" s="36"/>
      <c r="D14" s="6"/>
      <c r="E14" s="44" t="s">
        <v>44</v>
      </c>
      <c r="F14" s="45"/>
      <c r="G14" s="45"/>
      <c r="H14" s="45"/>
      <c r="I14" s="45"/>
      <c r="J14" s="34">
        <v>30.5</v>
      </c>
      <c r="K14" s="35">
        <f t="shared" si="0"/>
        <v>7015</v>
      </c>
      <c r="L14" s="34"/>
      <c r="M14" s="35">
        <f t="shared" si="1"/>
        <v>0</v>
      </c>
      <c r="N14" s="34"/>
      <c r="O14" s="35"/>
      <c r="P14" s="34"/>
      <c r="Q14" s="35">
        <f t="shared" si="2"/>
        <v>0</v>
      </c>
      <c r="R14" s="34"/>
      <c r="S14" s="39"/>
    </row>
    <row r="15" spans="1:19" ht="18" customHeight="1" x14ac:dyDescent="0.2">
      <c r="A15" s="38"/>
      <c r="B15" s="37">
        <v>11</v>
      </c>
      <c r="C15" s="36"/>
      <c r="D15" s="6"/>
      <c r="E15" s="86" t="s">
        <v>28</v>
      </c>
      <c r="F15" s="87"/>
      <c r="G15" s="87"/>
      <c r="H15" s="87"/>
      <c r="I15" s="87"/>
      <c r="J15" s="34">
        <v>99.5</v>
      </c>
      <c r="K15" s="35">
        <f t="shared" si="0"/>
        <v>1094.5</v>
      </c>
      <c r="L15" s="35"/>
      <c r="M15" s="35">
        <f t="shared" si="1"/>
        <v>0</v>
      </c>
      <c r="N15" s="35"/>
      <c r="O15" s="35"/>
      <c r="P15" s="35"/>
      <c r="Q15" s="35">
        <f t="shared" si="2"/>
        <v>0</v>
      </c>
      <c r="R15" s="35"/>
      <c r="S15" s="39"/>
    </row>
    <row r="16" spans="1:19" ht="18" customHeight="1" x14ac:dyDescent="0.2">
      <c r="A16" s="38"/>
      <c r="B16" s="37">
        <v>11</v>
      </c>
      <c r="C16" s="36"/>
      <c r="D16" s="6"/>
      <c r="E16" s="86" t="s">
        <v>29</v>
      </c>
      <c r="F16" s="86"/>
      <c r="G16" s="86"/>
      <c r="H16" s="86"/>
      <c r="I16" s="86"/>
      <c r="J16" s="34">
        <v>62.25</v>
      </c>
      <c r="K16" s="35">
        <f t="shared" si="0"/>
        <v>684.75</v>
      </c>
      <c r="L16" s="35"/>
      <c r="M16" s="35">
        <f t="shared" si="1"/>
        <v>0</v>
      </c>
      <c r="N16" s="35"/>
      <c r="O16" s="35"/>
      <c r="P16" s="18"/>
      <c r="Q16" s="35">
        <f t="shared" si="2"/>
        <v>0</v>
      </c>
      <c r="R16" s="35"/>
      <c r="S16" s="39"/>
    </row>
    <row r="17" spans="1:19" ht="18" customHeight="1" x14ac:dyDescent="0.2">
      <c r="A17" s="38"/>
      <c r="B17" s="37">
        <v>11</v>
      </c>
      <c r="C17" s="36"/>
      <c r="D17" s="6"/>
      <c r="E17" s="44" t="s">
        <v>44</v>
      </c>
      <c r="F17" s="45"/>
      <c r="G17" s="45"/>
      <c r="H17" s="45"/>
      <c r="I17" s="45"/>
      <c r="J17" s="34">
        <v>30.5</v>
      </c>
      <c r="K17" s="35">
        <f t="shared" si="0"/>
        <v>335.5</v>
      </c>
      <c r="L17" s="35"/>
      <c r="M17" s="35">
        <f t="shared" si="1"/>
        <v>0</v>
      </c>
      <c r="N17" s="35"/>
      <c r="O17" s="35"/>
      <c r="P17" s="18"/>
      <c r="Q17" s="35">
        <f t="shared" si="2"/>
        <v>0</v>
      </c>
      <c r="R17" s="35"/>
      <c r="S17" s="39"/>
    </row>
    <row r="18" spans="1:19" ht="18" customHeight="1" x14ac:dyDescent="0.2">
      <c r="A18" s="38"/>
      <c r="B18" s="37">
        <v>241</v>
      </c>
      <c r="C18" s="36"/>
      <c r="D18" s="6"/>
      <c r="E18" s="44" t="s">
        <v>35</v>
      </c>
      <c r="F18" s="45"/>
      <c r="G18" s="45"/>
      <c r="H18" s="45"/>
      <c r="I18" s="45"/>
      <c r="J18" s="35">
        <v>54.5</v>
      </c>
      <c r="K18" s="35">
        <f t="shared" si="0"/>
        <v>13134.5</v>
      </c>
      <c r="L18" s="35"/>
      <c r="M18" s="35">
        <f t="shared" si="1"/>
        <v>0</v>
      </c>
      <c r="N18" s="35"/>
      <c r="O18" s="35"/>
      <c r="P18" s="18"/>
      <c r="Q18" s="35">
        <f t="shared" si="2"/>
        <v>0</v>
      </c>
      <c r="R18" s="35"/>
      <c r="S18" s="39"/>
    </row>
    <row r="19" spans="1:19" ht="18" customHeight="1" x14ac:dyDescent="0.2">
      <c r="A19" s="38"/>
      <c r="B19" s="37">
        <v>241</v>
      </c>
      <c r="C19" s="36"/>
      <c r="D19" s="6"/>
      <c r="E19" s="44" t="s">
        <v>41</v>
      </c>
      <c r="F19" s="44"/>
      <c r="G19" s="44"/>
      <c r="H19" s="44"/>
      <c r="I19" s="44"/>
      <c r="J19" s="34">
        <v>56</v>
      </c>
      <c r="K19" s="35">
        <f t="shared" si="0"/>
        <v>13496</v>
      </c>
      <c r="L19" s="35"/>
      <c r="M19" s="35">
        <f t="shared" si="1"/>
        <v>0</v>
      </c>
      <c r="N19" s="35"/>
      <c r="O19" s="35"/>
      <c r="P19" s="18">
        <v>53.607999999999997</v>
      </c>
      <c r="Q19" s="35">
        <f t="shared" si="2"/>
        <v>12919.527999999998</v>
      </c>
      <c r="R19" s="35"/>
      <c r="S19" s="39"/>
    </row>
    <row r="20" spans="1:19" ht="18" customHeight="1" x14ac:dyDescent="0.2">
      <c r="A20" s="38"/>
      <c r="B20" s="37">
        <v>149</v>
      </c>
      <c r="C20" s="37"/>
      <c r="D20" s="14"/>
      <c r="E20" s="44" t="s">
        <v>36</v>
      </c>
      <c r="F20" s="44"/>
      <c r="G20" s="44"/>
      <c r="H20" s="44"/>
      <c r="I20" s="44"/>
      <c r="J20" s="34">
        <v>79</v>
      </c>
      <c r="K20" s="35">
        <f>B20*J20</f>
        <v>11771</v>
      </c>
      <c r="L20" s="35">
        <v>77.697999999999993</v>
      </c>
      <c r="M20" s="35">
        <f>B20*L20</f>
        <v>11577.001999999999</v>
      </c>
      <c r="N20" s="35"/>
      <c r="O20" s="35"/>
      <c r="P20" s="18">
        <v>78.453999999999994</v>
      </c>
      <c r="Q20" s="35">
        <f>B20*P20</f>
        <v>11689.645999999999</v>
      </c>
      <c r="R20" s="35"/>
      <c r="S20" s="39"/>
    </row>
    <row r="21" spans="1:19" ht="18" customHeight="1" x14ac:dyDescent="0.2">
      <c r="A21" s="38"/>
      <c r="B21" s="37">
        <v>92</v>
      </c>
      <c r="C21" s="36"/>
      <c r="D21" s="6"/>
      <c r="E21" s="44" t="s">
        <v>37</v>
      </c>
      <c r="F21" s="44"/>
      <c r="G21" s="44"/>
      <c r="H21" s="44"/>
      <c r="I21" s="44"/>
      <c r="J21" s="34">
        <v>62</v>
      </c>
      <c r="K21" s="35">
        <f t="shared" ref="K21:K40" si="3">B21*J21</f>
        <v>5704</v>
      </c>
      <c r="L21" s="34">
        <v>61.055999999999997</v>
      </c>
      <c r="M21" s="35">
        <f t="shared" ref="M21:M40" si="4">B21*L21</f>
        <v>5617.152</v>
      </c>
      <c r="N21" s="34"/>
      <c r="O21" s="35"/>
      <c r="P21" s="34">
        <v>61.649000000000001</v>
      </c>
      <c r="Q21" s="35">
        <f t="shared" ref="Q21:Q40" si="5">B21*P21</f>
        <v>5671.7080000000005</v>
      </c>
      <c r="R21" s="34"/>
      <c r="S21" s="39"/>
    </row>
    <row r="22" spans="1:19" ht="18" customHeight="1" x14ac:dyDescent="0.2">
      <c r="A22" s="38"/>
      <c r="B22" s="37">
        <v>241</v>
      </c>
      <c r="C22" s="36"/>
      <c r="D22" s="6"/>
      <c r="E22" s="44" t="s">
        <v>33</v>
      </c>
      <c r="F22" s="44"/>
      <c r="G22" s="44"/>
      <c r="H22" s="44"/>
      <c r="I22" s="44"/>
      <c r="J22" s="34">
        <v>44.75</v>
      </c>
      <c r="K22" s="35">
        <f t="shared" si="3"/>
        <v>10784.75</v>
      </c>
      <c r="L22" s="35">
        <v>44.433999999999997</v>
      </c>
      <c r="M22" s="35">
        <f t="shared" si="4"/>
        <v>10708.593999999999</v>
      </c>
      <c r="N22" s="35"/>
      <c r="O22" s="35"/>
      <c r="P22" s="18">
        <v>44.866</v>
      </c>
      <c r="Q22" s="35">
        <f t="shared" si="5"/>
        <v>10812.706</v>
      </c>
      <c r="R22" s="35"/>
      <c r="S22" s="39"/>
    </row>
    <row r="23" spans="1:19" ht="18" customHeight="1" x14ac:dyDescent="0.2">
      <c r="A23" s="38"/>
      <c r="B23" s="37">
        <v>11</v>
      </c>
      <c r="C23" s="36"/>
      <c r="D23" s="6"/>
      <c r="E23" s="44" t="s">
        <v>34</v>
      </c>
      <c r="F23" s="45"/>
      <c r="G23" s="45"/>
      <c r="H23" s="45"/>
      <c r="I23" s="45"/>
      <c r="J23" s="34">
        <v>97</v>
      </c>
      <c r="K23" s="35">
        <f t="shared" si="3"/>
        <v>1067</v>
      </c>
      <c r="L23" s="35">
        <v>95.463999999999999</v>
      </c>
      <c r="M23" s="35">
        <f t="shared" si="4"/>
        <v>1050.104</v>
      </c>
      <c r="N23" s="35"/>
      <c r="O23" s="35"/>
      <c r="P23" s="18">
        <v>96.391999999999996</v>
      </c>
      <c r="Q23" s="35">
        <f t="shared" si="5"/>
        <v>1060.3119999999999</v>
      </c>
      <c r="R23" s="35"/>
      <c r="S23" s="39"/>
    </row>
    <row r="24" spans="1:19" ht="18" customHeight="1" x14ac:dyDescent="0.2">
      <c r="A24" s="38"/>
      <c r="B24" s="37">
        <v>198</v>
      </c>
      <c r="C24" s="36"/>
      <c r="D24" s="6"/>
      <c r="E24" s="44" t="s">
        <v>38</v>
      </c>
      <c r="F24" s="45"/>
      <c r="G24" s="45"/>
      <c r="H24" s="45"/>
      <c r="I24" s="45"/>
      <c r="J24" s="34">
        <v>61.957000000000001</v>
      </c>
      <c r="K24" s="35">
        <f t="shared" si="3"/>
        <v>12267.486000000001</v>
      </c>
      <c r="L24" s="34"/>
      <c r="M24" s="35">
        <f t="shared" si="4"/>
        <v>0</v>
      </c>
      <c r="N24" s="34"/>
      <c r="O24" s="35"/>
      <c r="P24" s="34"/>
      <c r="Q24" s="35">
        <f>B24*P24</f>
        <v>0</v>
      </c>
      <c r="R24" s="34"/>
      <c r="S24" s="39"/>
    </row>
    <row r="25" spans="1:19" ht="18" customHeight="1" x14ac:dyDescent="0.2">
      <c r="A25" s="38"/>
      <c r="B25" s="37">
        <v>147</v>
      </c>
      <c r="C25" s="36"/>
      <c r="D25" s="6"/>
      <c r="E25" s="44" t="s">
        <v>42</v>
      </c>
      <c r="F25" s="45"/>
      <c r="G25" s="45"/>
      <c r="H25" s="45"/>
      <c r="I25" s="45"/>
      <c r="J25" s="34">
        <v>123.5</v>
      </c>
      <c r="K25" s="35">
        <f t="shared" si="3"/>
        <v>18154.5</v>
      </c>
      <c r="L25" s="34"/>
      <c r="M25" s="35">
        <f t="shared" si="4"/>
        <v>0</v>
      </c>
      <c r="N25" s="34"/>
      <c r="O25" s="35"/>
      <c r="P25" s="34">
        <v>123.711</v>
      </c>
      <c r="Q25" s="35">
        <f t="shared" si="5"/>
        <v>18185.517</v>
      </c>
      <c r="R25" s="34"/>
      <c r="S25" s="39"/>
    </row>
    <row r="26" spans="1:19" ht="18" customHeight="1" x14ac:dyDescent="0.2">
      <c r="A26" s="38"/>
      <c r="B26" s="41">
        <v>51</v>
      </c>
      <c r="C26" s="40"/>
      <c r="D26" s="6"/>
      <c r="E26" s="44" t="s">
        <v>40</v>
      </c>
      <c r="F26" s="45"/>
      <c r="G26" s="45"/>
      <c r="H26" s="45"/>
      <c r="I26" s="45"/>
      <c r="J26" s="34">
        <v>268</v>
      </c>
      <c r="K26" s="35">
        <f t="shared" si="3"/>
        <v>13668</v>
      </c>
      <c r="L26" s="34"/>
      <c r="M26" s="35">
        <f t="shared" si="4"/>
        <v>0</v>
      </c>
      <c r="N26" s="34"/>
      <c r="O26" s="35"/>
      <c r="P26" s="34">
        <v>268.041</v>
      </c>
      <c r="Q26" s="35">
        <f t="shared" si="5"/>
        <v>13670.091</v>
      </c>
      <c r="R26" s="34"/>
      <c r="S26" s="39"/>
    </row>
    <row r="27" spans="1:19" ht="18" customHeight="1" x14ac:dyDescent="0.2">
      <c r="A27" s="38"/>
      <c r="B27" s="37">
        <v>11</v>
      </c>
      <c r="C27" s="36"/>
      <c r="D27" s="6"/>
      <c r="E27" s="44" t="s">
        <v>30</v>
      </c>
      <c r="F27" s="45"/>
      <c r="G27" s="45"/>
      <c r="H27" s="45"/>
      <c r="I27" s="45"/>
      <c r="J27" s="34">
        <v>101</v>
      </c>
      <c r="K27" s="35">
        <f t="shared" si="3"/>
        <v>1111</v>
      </c>
      <c r="L27" s="34">
        <v>99.935000000000002</v>
      </c>
      <c r="M27" s="35">
        <f t="shared" si="4"/>
        <v>1099.2850000000001</v>
      </c>
      <c r="N27" s="34"/>
      <c r="O27" s="35"/>
      <c r="P27" s="34">
        <v>101.43</v>
      </c>
      <c r="Q27" s="35">
        <f t="shared" si="5"/>
        <v>1115.73</v>
      </c>
      <c r="R27" s="34"/>
      <c r="S27" s="39"/>
    </row>
    <row r="28" spans="1:19" ht="18" customHeight="1" x14ac:dyDescent="0.2">
      <c r="A28" s="38"/>
      <c r="B28" s="37">
        <v>11</v>
      </c>
      <c r="C28" s="36"/>
      <c r="D28" s="6"/>
      <c r="E28" s="44" t="s">
        <v>42</v>
      </c>
      <c r="F28" s="45"/>
      <c r="G28" s="45"/>
      <c r="H28" s="45"/>
      <c r="I28" s="45"/>
      <c r="J28" s="34">
        <v>123.5</v>
      </c>
      <c r="K28" s="35">
        <f t="shared" si="3"/>
        <v>1358.5</v>
      </c>
      <c r="L28" s="34"/>
      <c r="M28" s="35">
        <f t="shared" si="4"/>
        <v>0</v>
      </c>
      <c r="N28" s="34"/>
      <c r="O28" s="35"/>
      <c r="P28" s="34">
        <v>123.711</v>
      </c>
      <c r="Q28" s="35">
        <f t="shared" si="5"/>
        <v>1360.8209999999999</v>
      </c>
      <c r="R28" s="34"/>
      <c r="S28" s="39"/>
    </row>
    <row r="29" spans="1:19" ht="18" customHeight="1" x14ac:dyDescent="0.2">
      <c r="A29" s="38"/>
      <c r="B29" s="37"/>
      <c r="C29" s="36"/>
      <c r="D29" s="6"/>
      <c r="E29" s="92" t="s">
        <v>31</v>
      </c>
      <c r="F29" s="93"/>
      <c r="G29" s="93"/>
      <c r="H29" s="93"/>
      <c r="I29" s="93"/>
      <c r="J29" s="34"/>
      <c r="K29" s="35">
        <f t="shared" si="3"/>
        <v>0</v>
      </c>
      <c r="L29" s="34"/>
      <c r="M29" s="35">
        <f t="shared" si="4"/>
        <v>0</v>
      </c>
      <c r="N29" s="34"/>
      <c r="O29" s="35"/>
      <c r="P29" s="34"/>
      <c r="Q29" s="35">
        <f t="shared" si="5"/>
        <v>0</v>
      </c>
      <c r="R29" s="34"/>
      <c r="S29" s="39"/>
    </row>
    <row r="30" spans="1:19" ht="18" customHeight="1" x14ac:dyDescent="0.2">
      <c r="A30" s="38"/>
      <c r="B30" s="37">
        <v>3</v>
      </c>
      <c r="C30" s="36"/>
      <c r="D30" s="6"/>
      <c r="E30" s="86" t="s">
        <v>28</v>
      </c>
      <c r="F30" s="87"/>
      <c r="G30" s="87"/>
      <c r="H30" s="87"/>
      <c r="I30" s="87"/>
      <c r="J30" s="34">
        <v>99.5</v>
      </c>
      <c r="K30" s="35">
        <f t="shared" si="3"/>
        <v>298.5</v>
      </c>
      <c r="L30" s="35"/>
      <c r="M30" s="35">
        <f t="shared" si="4"/>
        <v>0</v>
      </c>
      <c r="N30" s="35"/>
      <c r="O30" s="35"/>
      <c r="P30" s="18"/>
      <c r="Q30" s="35">
        <f t="shared" si="5"/>
        <v>0</v>
      </c>
      <c r="R30" s="35"/>
      <c r="S30" s="39"/>
    </row>
    <row r="31" spans="1:19" ht="18" customHeight="1" x14ac:dyDescent="0.2">
      <c r="A31" s="38"/>
      <c r="B31" s="37">
        <v>3</v>
      </c>
      <c r="C31" s="36"/>
      <c r="D31" s="6"/>
      <c r="E31" s="86" t="s">
        <v>29</v>
      </c>
      <c r="F31" s="86"/>
      <c r="G31" s="86"/>
      <c r="H31" s="86"/>
      <c r="I31" s="86"/>
      <c r="J31" s="34">
        <v>62.25</v>
      </c>
      <c r="K31" s="35">
        <f t="shared" si="3"/>
        <v>186.75</v>
      </c>
      <c r="L31" s="35"/>
      <c r="M31" s="35">
        <f t="shared" si="4"/>
        <v>0</v>
      </c>
      <c r="N31" s="35"/>
      <c r="O31" s="35"/>
      <c r="P31" s="18"/>
      <c r="Q31" s="35">
        <f t="shared" si="5"/>
        <v>0</v>
      </c>
      <c r="R31" s="35"/>
      <c r="S31" s="39"/>
    </row>
    <row r="32" spans="1:19" ht="18" customHeight="1" x14ac:dyDescent="0.2">
      <c r="A32" s="38"/>
      <c r="B32" s="37">
        <v>3</v>
      </c>
      <c r="C32" s="36"/>
      <c r="D32" s="6"/>
      <c r="E32" s="44" t="s">
        <v>27</v>
      </c>
      <c r="F32" s="45"/>
      <c r="G32" s="45"/>
      <c r="H32" s="45"/>
      <c r="I32" s="45"/>
      <c r="J32" s="34">
        <v>30.5</v>
      </c>
      <c r="K32" s="35">
        <f t="shared" si="3"/>
        <v>91.5</v>
      </c>
      <c r="L32" s="35"/>
      <c r="M32" s="35">
        <f t="shared" si="4"/>
        <v>0</v>
      </c>
      <c r="N32" s="35"/>
      <c r="O32" s="35"/>
      <c r="P32" s="18"/>
      <c r="Q32" s="35">
        <f t="shared" si="5"/>
        <v>0</v>
      </c>
      <c r="R32" s="35"/>
      <c r="S32" s="39"/>
    </row>
    <row r="33" spans="1:19" ht="18" customHeight="1" x14ac:dyDescent="0.2">
      <c r="A33" s="38"/>
      <c r="B33" s="37">
        <v>3</v>
      </c>
      <c r="C33" s="36"/>
      <c r="D33" s="6"/>
      <c r="E33" s="44" t="s">
        <v>39</v>
      </c>
      <c r="F33" s="45"/>
      <c r="G33" s="45"/>
      <c r="H33" s="45"/>
      <c r="I33" s="45"/>
      <c r="J33" s="34">
        <v>120.673</v>
      </c>
      <c r="K33" s="35">
        <f t="shared" si="3"/>
        <v>362.01900000000001</v>
      </c>
      <c r="L33" s="34"/>
      <c r="M33" s="35">
        <f t="shared" si="4"/>
        <v>0</v>
      </c>
      <c r="N33" s="34"/>
      <c r="O33" s="35"/>
      <c r="P33" s="34">
        <v>107.47</v>
      </c>
      <c r="Q33" s="35">
        <f t="shared" si="5"/>
        <v>322.40999999999997</v>
      </c>
      <c r="R33" s="34"/>
      <c r="S33" s="39"/>
    </row>
    <row r="34" spans="1:19" ht="18" customHeight="1" x14ac:dyDescent="0.2">
      <c r="A34" s="38"/>
      <c r="B34" s="41">
        <v>3</v>
      </c>
      <c r="C34" s="40"/>
      <c r="D34" s="6"/>
      <c r="E34" s="44" t="s">
        <v>43</v>
      </c>
      <c r="F34" s="45"/>
      <c r="G34" s="45"/>
      <c r="H34" s="45"/>
      <c r="I34" s="45"/>
      <c r="J34" s="34"/>
      <c r="K34" s="35">
        <f t="shared" si="3"/>
        <v>0</v>
      </c>
      <c r="L34" s="34"/>
      <c r="M34" s="35">
        <f t="shared" si="4"/>
        <v>0</v>
      </c>
      <c r="N34" s="34"/>
      <c r="O34" s="35"/>
      <c r="P34" s="34">
        <v>315.89999999999998</v>
      </c>
      <c r="Q34" s="35">
        <f t="shared" si="5"/>
        <v>947.69999999999993</v>
      </c>
      <c r="R34" s="34"/>
      <c r="S34" s="39"/>
    </row>
    <row r="35" spans="1:19" ht="18" customHeight="1" x14ac:dyDescent="0.2">
      <c r="A35" s="38"/>
      <c r="B35" s="37">
        <v>3</v>
      </c>
      <c r="C35" s="36"/>
      <c r="D35" s="6"/>
      <c r="E35" s="44" t="s">
        <v>41</v>
      </c>
      <c r="F35" s="44"/>
      <c r="G35" s="44"/>
      <c r="H35" s="44"/>
      <c r="I35" s="44"/>
      <c r="J35" s="34">
        <v>56</v>
      </c>
      <c r="K35" s="35">
        <f t="shared" si="3"/>
        <v>168</v>
      </c>
      <c r="L35" s="34"/>
      <c r="M35" s="35">
        <f t="shared" si="4"/>
        <v>0</v>
      </c>
      <c r="N35" s="34"/>
      <c r="O35" s="35"/>
      <c r="P35" s="34">
        <v>53.606999999999999</v>
      </c>
      <c r="Q35" s="35">
        <f t="shared" si="5"/>
        <v>160.821</v>
      </c>
      <c r="R35" s="34"/>
      <c r="S35" s="39"/>
    </row>
    <row r="36" spans="1:19" ht="18" customHeight="1" x14ac:dyDescent="0.2">
      <c r="A36" s="38"/>
      <c r="B36" s="37">
        <v>1</v>
      </c>
      <c r="C36" s="37"/>
      <c r="D36" s="15"/>
      <c r="E36" s="44" t="s">
        <v>30</v>
      </c>
      <c r="F36" s="45"/>
      <c r="G36" s="45"/>
      <c r="H36" s="45"/>
      <c r="I36" s="45"/>
      <c r="J36" s="34">
        <v>101</v>
      </c>
      <c r="K36" s="35">
        <f t="shared" si="3"/>
        <v>101</v>
      </c>
      <c r="L36" s="34">
        <v>99.935000000000002</v>
      </c>
      <c r="M36" s="35">
        <f t="shared" si="4"/>
        <v>99.935000000000002</v>
      </c>
      <c r="N36" s="34"/>
      <c r="O36" s="35"/>
      <c r="P36" s="34">
        <v>101.43</v>
      </c>
      <c r="Q36" s="35">
        <f t="shared" si="5"/>
        <v>101.43</v>
      </c>
      <c r="R36" s="34"/>
      <c r="S36" s="39"/>
    </row>
    <row r="37" spans="1:19" ht="18" customHeight="1" x14ac:dyDescent="0.2">
      <c r="A37" s="38"/>
      <c r="B37" s="37">
        <v>1</v>
      </c>
      <c r="C37" s="36"/>
      <c r="D37" s="6"/>
      <c r="E37" s="44" t="s">
        <v>42</v>
      </c>
      <c r="F37" s="45"/>
      <c r="G37" s="45"/>
      <c r="H37" s="45"/>
      <c r="I37" s="45"/>
      <c r="J37" s="34">
        <v>123.5</v>
      </c>
      <c r="K37" s="35">
        <f t="shared" si="3"/>
        <v>123.5</v>
      </c>
      <c r="L37" s="18"/>
      <c r="M37" s="35">
        <f t="shared" si="4"/>
        <v>0</v>
      </c>
      <c r="N37" s="18"/>
      <c r="O37" s="35"/>
      <c r="P37" s="18">
        <v>123.71</v>
      </c>
      <c r="Q37" s="35">
        <f t="shared" si="5"/>
        <v>123.71</v>
      </c>
      <c r="R37" s="18"/>
      <c r="S37" s="39"/>
    </row>
    <row r="38" spans="1:19" ht="18" customHeight="1" x14ac:dyDescent="0.2">
      <c r="A38" s="38"/>
      <c r="B38" s="41">
        <v>1</v>
      </c>
      <c r="C38" s="41"/>
      <c r="D38" s="15"/>
      <c r="E38" s="44" t="s">
        <v>30</v>
      </c>
      <c r="F38" s="45"/>
      <c r="G38" s="45"/>
      <c r="H38" s="45"/>
      <c r="I38" s="45"/>
      <c r="J38" s="34">
        <v>101</v>
      </c>
      <c r="K38" s="35">
        <f t="shared" si="3"/>
        <v>101</v>
      </c>
      <c r="L38" s="34">
        <v>99.935000000000002</v>
      </c>
      <c r="M38" s="35">
        <f t="shared" si="4"/>
        <v>99.935000000000002</v>
      </c>
      <c r="N38" s="34"/>
      <c r="O38" s="35"/>
      <c r="P38" s="34">
        <v>101.43</v>
      </c>
      <c r="Q38" s="35">
        <f t="shared" si="5"/>
        <v>101.43</v>
      </c>
      <c r="R38" s="34"/>
      <c r="S38" s="39"/>
    </row>
    <row r="39" spans="1:19" ht="18" customHeight="1" x14ac:dyDescent="0.2">
      <c r="A39" s="38"/>
      <c r="B39" s="41">
        <v>1</v>
      </c>
      <c r="C39" s="40"/>
      <c r="D39" s="6"/>
      <c r="E39" s="44" t="s">
        <v>40</v>
      </c>
      <c r="F39" s="45"/>
      <c r="G39" s="45"/>
      <c r="H39" s="45"/>
      <c r="I39" s="45"/>
      <c r="J39" s="34">
        <v>268</v>
      </c>
      <c r="K39" s="35">
        <f t="shared" si="3"/>
        <v>268</v>
      </c>
      <c r="L39" s="18"/>
      <c r="M39" s="35">
        <f t="shared" si="4"/>
        <v>0</v>
      </c>
      <c r="N39" s="18"/>
      <c r="O39" s="35"/>
      <c r="P39" s="18">
        <v>268.04000000000002</v>
      </c>
      <c r="Q39" s="35">
        <f t="shared" si="5"/>
        <v>268.04000000000002</v>
      </c>
      <c r="R39" s="18"/>
      <c r="S39" s="39"/>
    </row>
    <row r="40" spans="1:19" ht="18" customHeight="1" x14ac:dyDescent="0.2">
      <c r="A40" s="38"/>
      <c r="B40" s="37">
        <v>3</v>
      </c>
      <c r="C40" s="36"/>
      <c r="D40" s="6"/>
      <c r="E40" s="44" t="s">
        <v>32</v>
      </c>
      <c r="F40" s="45"/>
      <c r="G40" s="45"/>
      <c r="H40" s="45"/>
      <c r="I40" s="45"/>
      <c r="J40" s="34">
        <v>106</v>
      </c>
      <c r="K40" s="35">
        <f t="shared" si="3"/>
        <v>318</v>
      </c>
      <c r="L40" s="35"/>
      <c r="M40" s="35">
        <f t="shared" si="4"/>
        <v>0</v>
      </c>
      <c r="N40" s="35"/>
      <c r="O40" s="35"/>
      <c r="P40" s="18">
        <v>108.92</v>
      </c>
      <c r="Q40" s="35">
        <f t="shared" si="5"/>
        <v>326.76</v>
      </c>
      <c r="R40" s="35"/>
      <c r="S40" s="39"/>
    </row>
    <row r="41" spans="1:19" ht="18" customHeight="1" x14ac:dyDescent="0.2">
      <c r="A41" s="3"/>
      <c r="B41" s="9"/>
      <c r="C41" s="6"/>
      <c r="D41" s="6"/>
      <c r="E41" s="44"/>
      <c r="F41" s="50"/>
      <c r="G41" s="50"/>
      <c r="H41" s="50"/>
      <c r="I41" s="50"/>
      <c r="J41" s="16"/>
      <c r="K41" s="25"/>
      <c r="L41" s="33"/>
      <c r="M41" s="2"/>
      <c r="N41" s="33"/>
      <c r="O41" s="2"/>
      <c r="P41" s="2"/>
      <c r="Q41" s="94"/>
      <c r="R41" s="95"/>
      <c r="S41" s="2"/>
    </row>
    <row r="42" spans="1:19" ht="18" customHeight="1" x14ac:dyDescent="0.2">
      <c r="A42" s="3"/>
      <c r="B42" s="9"/>
      <c r="C42" s="6"/>
      <c r="D42" s="6"/>
      <c r="E42" s="44"/>
      <c r="F42" s="50"/>
      <c r="G42" s="50"/>
      <c r="H42" s="50"/>
      <c r="I42" s="50"/>
      <c r="J42" s="16"/>
      <c r="K42" s="25"/>
      <c r="L42" s="33"/>
      <c r="M42" s="2"/>
      <c r="N42" s="33"/>
      <c r="O42" s="2"/>
      <c r="P42" s="2"/>
      <c r="Q42" s="94"/>
      <c r="R42" s="95"/>
      <c r="S42" s="2"/>
    </row>
    <row r="43" spans="1:19" ht="18" customHeight="1" x14ac:dyDescent="0.2">
      <c r="A43" s="3"/>
      <c r="B43" s="9"/>
      <c r="C43" s="6"/>
      <c r="D43" s="6"/>
      <c r="E43" s="44"/>
      <c r="F43" s="50"/>
      <c r="G43" s="50"/>
      <c r="H43" s="50"/>
      <c r="I43" s="50"/>
      <c r="J43" s="16"/>
      <c r="K43" s="17"/>
      <c r="L43" s="2"/>
      <c r="M43" s="2"/>
      <c r="N43" s="2"/>
      <c r="O43" s="2"/>
      <c r="P43" s="2"/>
      <c r="Q43" s="2"/>
      <c r="R43" s="2"/>
      <c r="S43" s="2"/>
    </row>
    <row r="44" spans="1:19" ht="18" customHeight="1" x14ac:dyDescent="0.2">
      <c r="A44" s="3"/>
      <c r="B44" s="9"/>
      <c r="C44" s="6"/>
      <c r="D44" s="6"/>
      <c r="E44" s="44"/>
      <c r="F44" s="50"/>
      <c r="G44" s="50"/>
      <c r="H44" s="50"/>
      <c r="I44" s="50"/>
      <c r="J44" s="16"/>
      <c r="K44" s="17"/>
      <c r="L44" s="2"/>
      <c r="M44" s="2"/>
      <c r="N44" s="2"/>
      <c r="O44" s="2"/>
      <c r="P44" s="2"/>
      <c r="Q44" s="2"/>
      <c r="R44" s="2"/>
      <c r="S44" s="2"/>
    </row>
    <row r="45" spans="1:19" ht="18" customHeight="1" x14ac:dyDescent="0.2">
      <c r="A45" s="3"/>
      <c r="B45" s="9"/>
      <c r="C45" s="6"/>
      <c r="D45" s="6"/>
      <c r="E45" s="44"/>
      <c r="F45" s="50"/>
      <c r="G45" s="50"/>
      <c r="H45" s="50"/>
      <c r="I45" s="50"/>
      <c r="J45" s="16"/>
      <c r="K45" s="17"/>
      <c r="L45" s="2"/>
      <c r="M45" s="2"/>
      <c r="N45" s="2"/>
      <c r="O45" s="2"/>
      <c r="P45" s="2"/>
      <c r="Q45" s="2"/>
      <c r="R45" s="2"/>
      <c r="S45" s="2"/>
    </row>
    <row r="46" spans="1:19" ht="18" customHeight="1" x14ac:dyDescent="0.2">
      <c r="A46" s="3"/>
      <c r="B46" s="9"/>
      <c r="C46" s="6"/>
      <c r="D46" s="6"/>
      <c r="E46" s="44"/>
      <c r="F46" s="50"/>
      <c r="G46" s="50"/>
      <c r="H46" s="50"/>
      <c r="I46" s="50"/>
      <c r="J46" s="16"/>
      <c r="K46" s="17"/>
      <c r="L46" s="2"/>
      <c r="M46" s="2"/>
      <c r="N46" s="2"/>
      <c r="O46" s="2"/>
      <c r="P46" s="2"/>
      <c r="Q46" s="2"/>
      <c r="R46" s="2"/>
      <c r="S46" s="2"/>
    </row>
    <row r="47" spans="1:19" ht="18" customHeight="1" x14ac:dyDescent="0.2">
      <c r="A47" s="3"/>
      <c r="B47" s="9"/>
      <c r="C47" s="6"/>
      <c r="D47" s="6"/>
      <c r="E47" s="44"/>
      <c r="F47" s="50"/>
      <c r="G47" s="50"/>
      <c r="H47" s="50"/>
      <c r="I47" s="50"/>
      <c r="J47" s="16"/>
      <c r="K47" s="17"/>
      <c r="L47" s="2"/>
      <c r="M47" s="2"/>
      <c r="N47" s="2"/>
      <c r="O47" s="2"/>
      <c r="P47" s="2"/>
      <c r="Q47" s="2"/>
      <c r="R47" s="2"/>
      <c r="S47" s="2"/>
    </row>
    <row r="48" spans="1:19" ht="18" customHeight="1" x14ac:dyDescent="0.2">
      <c r="A48" s="3"/>
      <c r="B48" s="9"/>
      <c r="C48" s="6"/>
      <c r="D48" s="6"/>
      <c r="E48" s="44"/>
      <c r="F48" s="50"/>
      <c r="G48" s="50"/>
      <c r="H48" s="50"/>
      <c r="I48" s="50"/>
      <c r="J48" s="16"/>
      <c r="K48" s="17"/>
      <c r="L48" s="2"/>
      <c r="M48" s="2"/>
      <c r="N48" s="2"/>
      <c r="O48" s="2"/>
      <c r="P48" s="2"/>
      <c r="Q48" s="2"/>
      <c r="R48" s="2"/>
      <c r="S48" s="2"/>
    </row>
    <row r="49" spans="1:19" ht="18" customHeight="1" x14ac:dyDescent="0.2">
      <c r="A49" s="3"/>
      <c r="B49" s="9"/>
      <c r="C49" s="6"/>
      <c r="D49" s="6"/>
      <c r="E49" s="44"/>
      <c r="F49" s="50"/>
      <c r="G49" s="50"/>
      <c r="H49" s="50"/>
      <c r="I49" s="50"/>
      <c r="J49" s="16"/>
      <c r="K49" s="17"/>
      <c r="L49" s="2"/>
      <c r="M49" s="2"/>
      <c r="N49" s="2"/>
      <c r="O49" s="2"/>
      <c r="P49" s="2"/>
      <c r="Q49" s="2"/>
      <c r="R49" s="2"/>
      <c r="S49" s="2"/>
    </row>
    <row r="50" spans="1:19" ht="18" customHeight="1" x14ac:dyDescent="0.2">
      <c r="A50" s="3"/>
      <c r="B50" s="9"/>
      <c r="C50" s="6"/>
      <c r="D50" s="6"/>
      <c r="E50" s="44"/>
      <c r="F50" s="50"/>
      <c r="G50" s="50"/>
      <c r="H50" s="50"/>
      <c r="I50" s="50"/>
      <c r="J50" s="16"/>
      <c r="K50" s="17"/>
      <c r="L50" s="2"/>
      <c r="M50" s="2"/>
      <c r="N50" s="2"/>
      <c r="O50" s="2"/>
      <c r="P50" s="2"/>
      <c r="Q50" s="2"/>
      <c r="R50" s="2"/>
      <c r="S50" s="2"/>
    </row>
    <row r="51" spans="1:19" ht="18" customHeight="1" x14ac:dyDescent="0.2">
      <c r="A51" s="3"/>
      <c r="B51" s="9"/>
      <c r="C51" s="6"/>
      <c r="D51" s="6"/>
      <c r="E51" s="44"/>
      <c r="F51" s="50"/>
      <c r="G51" s="50"/>
      <c r="H51" s="50"/>
      <c r="I51" s="50"/>
      <c r="J51" s="16"/>
      <c r="K51" s="17"/>
      <c r="L51" s="2"/>
      <c r="M51" s="2"/>
      <c r="N51" s="2"/>
      <c r="O51" s="2"/>
      <c r="P51" s="2"/>
      <c r="Q51" s="2"/>
      <c r="R51" s="2"/>
      <c r="S51" s="2"/>
    </row>
    <row r="52" spans="1:19" ht="18" customHeight="1" x14ac:dyDescent="0.2">
      <c r="A52" s="3"/>
      <c r="B52" s="9"/>
      <c r="C52" s="6"/>
      <c r="D52" s="6"/>
      <c r="E52" s="44"/>
      <c r="F52" s="50"/>
      <c r="G52" s="50"/>
      <c r="H52" s="50"/>
      <c r="I52" s="50"/>
      <c r="J52" s="16"/>
      <c r="K52" s="17"/>
      <c r="L52" s="2"/>
      <c r="M52" s="2"/>
      <c r="N52" s="2"/>
      <c r="O52" s="2"/>
      <c r="P52" s="2"/>
      <c r="Q52" s="2"/>
      <c r="R52" s="2"/>
      <c r="S52" s="2"/>
    </row>
    <row r="53" spans="1:19" ht="18" customHeight="1" x14ac:dyDescent="0.2">
      <c r="A53" s="3"/>
      <c r="B53" s="9"/>
      <c r="C53" s="6"/>
      <c r="D53" s="6"/>
      <c r="E53" s="44"/>
      <c r="F53" s="50"/>
      <c r="G53" s="50"/>
      <c r="H53" s="50"/>
      <c r="I53" s="50"/>
      <c r="J53" s="16"/>
      <c r="K53" s="17"/>
      <c r="L53" s="2"/>
      <c r="M53" s="2"/>
      <c r="N53" s="2"/>
      <c r="O53" s="2"/>
      <c r="P53" s="2"/>
      <c r="Q53" s="2"/>
      <c r="R53" s="2"/>
      <c r="S53" s="2"/>
    </row>
    <row r="54" spans="1:19" ht="18" customHeight="1" x14ac:dyDescent="0.2">
      <c r="A54" s="3"/>
      <c r="B54" s="9"/>
      <c r="C54" s="6"/>
      <c r="D54" s="6"/>
      <c r="E54" s="44"/>
      <c r="F54" s="50"/>
      <c r="G54" s="50"/>
      <c r="H54" s="50"/>
      <c r="I54" s="50"/>
      <c r="J54" s="16"/>
      <c r="K54" s="17"/>
    </row>
    <row r="55" spans="1:19" ht="16.899999999999999" customHeight="1" x14ac:dyDescent="0.2">
      <c r="A55" s="3"/>
      <c r="B55" s="9"/>
      <c r="C55" s="6"/>
      <c r="D55" s="6"/>
      <c r="E55" s="44"/>
      <c r="F55" s="50"/>
      <c r="G55" s="50"/>
      <c r="H55" s="50"/>
      <c r="I55" s="50"/>
      <c r="J55" s="16"/>
      <c r="K55" s="17"/>
    </row>
    <row r="56" spans="1:19" ht="16.899999999999999" customHeight="1" x14ac:dyDescent="0.2">
      <c r="A56" s="3"/>
      <c r="B56" s="9"/>
      <c r="C56" s="6"/>
      <c r="D56" s="6"/>
      <c r="E56" s="44"/>
      <c r="F56" s="50"/>
      <c r="G56" s="50"/>
      <c r="H56" s="50"/>
      <c r="I56" s="50"/>
      <c r="J56" s="16"/>
      <c r="K56" s="17"/>
    </row>
    <row r="57" spans="1:19" ht="16.899999999999999" customHeight="1" x14ac:dyDescent="0.2">
      <c r="A57" s="3"/>
      <c r="B57" s="9"/>
      <c r="C57" s="6"/>
      <c r="D57" s="6"/>
      <c r="E57" s="44"/>
      <c r="F57" s="50"/>
      <c r="G57" s="50"/>
      <c r="H57" s="50"/>
      <c r="I57" s="50"/>
      <c r="J57" s="16"/>
      <c r="K57" s="17"/>
    </row>
    <row r="58" spans="1:19" ht="18" customHeight="1" x14ac:dyDescent="0.2">
      <c r="A58" s="3"/>
      <c r="B58" s="9"/>
      <c r="C58" s="6"/>
      <c r="D58" s="6"/>
      <c r="E58" s="44"/>
      <c r="F58" s="50"/>
      <c r="G58" s="50"/>
      <c r="H58" s="50"/>
      <c r="I58" s="50"/>
      <c r="J58" s="16"/>
      <c r="K58" s="17"/>
    </row>
    <row r="59" spans="1:19" ht="18" customHeight="1" x14ac:dyDescent="0.2">
      <c r="A59" s="3"/>
      <c r="B59" s="9"/>
      <c r="C59" s="6"/>
      <c r="D59" s="6"/>
      <c r="E59" s="44"/>
      <c r="F59" s="50"/>
      <c r="G59" s="50"/>
      <c r="H59" s="50"/>
      <c r="I59" s="50"/>
      <c r="J59" s="16"/>
      <c r="K59" s="17"/>
    </row>
    <row r="60" spans="1:19" ht="18" customHeight="1" x14ac:dyDescent="0.2">
      <c r="A60" s="3"/>
      <c r="B60" s="9"/>
      <c r="C60" s="6"/>
      <c r="D60" s="6"/>
      <c r="E60" s="44"/>
      <c r="F60" s="50"/>
      <c r="G60" s="50"/>
      <c r="H60" s="50"/>
      <c r="I60" s="50"/>
      <c r="J60" s="16"/>
      <c r="K60" s="17"/>
    </row>
    <row r="61" spans="1:19" ht="18" customHeight="1" x14ac:dyDescent="0.2">
      <c r="A61" s="3"/>
      <c r="B61" s="9"/>
      <c r="C61" s="6"/>
      <c r="D61" s="6"/>
      <c r="E61" s="44"/>
      <c r="F61" s="50"/>
      <c r="G61" s="50"/>
      <c r="H61" s="50"/>
      <c r="I61" s="50"/>
      <c r="J61" s="16"/>
      <c r="K61" s="17"/>
    </row>
  </sheetData>
  <mergeCells count="75">
    <mergeCell ref="Q41:R41"/>
    <mergeCell ref="Q42:R42"/>
    <mergeCell ref="E42:I42"/>
    <mergeCell ref="E61:I61"/>
    <mergeCell ref="E60:I60"/>
    <mergeCell ref="E48:I48"/>
    <mergeCell ref="E54:I54"/>
    <mergeCell ref="E49:I49"/>
    <mergeCell ref="E50:I50"/>
    <mergeCell ref="E51:I51"/>
    <mergeCell ref="E52:I52"/>
    <mergeCell ref="E58:I58"/>
    <mergeCell ref="E53:I53"/>
    <mergeCell ref="E59:I59"/>
    <mergeCell ref="E55:I55"/>
    <mergeCell ref="E56:I56"/>
    <mergeCell ref="E40:I40"/>
    <mergeCell ref="E29:I29"/>
    <mergeCell ref="E28:I28"/>
    <mergeCell ref="E57:I57"/>
    <mergeCell ref="E44:I44"/>
    <mergeCell ref="E36:I36"/>
    <mergeCell ref="E31:I31"/>
    <mergeCell ref="E43:I43"/>
    <mergeCell ref="E41:I41"/>
    <mergeCell ref="E45:I45"/>
    <mergeCell ref="E46:I46"/>
    <mergeCell ref="E47:I47"/>
    <mergeCell ref="E32:I32"/>
    <mergeCell ref="E35:I35"/>
    <mergeCell ref="E30:I30"/>
    <mergeCell ref="E37:I37"/>
    <mergeCell ref="A3:B4"/>
    <mergeCell ref="E19:I19"/>
    <mergeCell ref="A1:C2"/>
    <mergeCell ref="A8:C8"/>
    <mergeCell ref="A9:C9"/>
    <mergeCell ref="A11:B11"/>
    <mergeCell ref="A10:C10"/>
    <mergeCell ref="A5:B6"/>
    <mergeCell ref="A7:C7"/>
    <mergeCell ref="E14:I14"/>
    <mergeCell ref="E15:I15"/>
    <mergeCell ref="E16:I16"/>
    <mergeCell ref="E8:I8"/>
    <mergeCell ref="E10:I10"/>
    <mergeCell ref="E9:I9"/>
    <mergeCell ref="E11:I11"/>
    <mergeCell ref="Q1:S5"/>
    <mergeCell ref="E17:I17"/>
    <mergeCell ref="E21:I21"/>
    <mergeCell ref="E18:I18"/>
    <mergeCell ref="E23:I23"/>
    <mergeCell ref="E12:I12"/>
    <mergeCell ref="E13:I13"/>
    <mergeCell ref="C3:E4"/>
    <mergeCell ref="J3:K4"/>
    <mergeCell ref="H3:I4"/>
    <mergeCell ref="C5:K6"/>
    <mergeCell ref="J7:K7"/>
    <mergeCell ref="E7:I7"/>
    <mergeCell ref="J1:K2"/>
    <mergeCell ref="J8:K8"/>
    <mergeCell ref="E22:I22"/>
    <mergeCell ref="H1:I2"/>
    <mergeCell ref="E26:I26"/>
    <mergeCell ref="E38:I38"/>
    <mergeCell ref="E39:I39"/>
    <mergeCell ref="E34:I34"/>
    <mergeCell ref="P11:Q11"/>
    <mergeCell ref="E25:I25"/>
    <mergeCell ref="E33:I33"/>
    <mergeCell ref="E20:I20"/>
    <mergeCell ref="E24:I24"/>
    <mergeCell ref="E27:I27"/>
  </mergeCells>
  <phoneticPr fontId="0" type="noConversion"/>
  <printOptions horizontalCentered="1" verticalCentered="1"/>
  <pageMargins left="0.5" right="0.5" top="1" bottom="1" header="0.5" footer="0.5"/>
  <pageSetup paperSize="24" scale="50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Richard Donelson</cp:lastModifiedBy>
  <cp:lastPrinted>2014-10-01T21:31:17Z</cp:lastPrinted>
  <dcterms:created xsi:type="dcterms:W3CDTF">2000-09-01T14:58:39Z</dcterms:created>
  <dcterms:modified xsi:type="dcterms:W3CDTF">2015-10-28T18:35:19Z</dcterms:modified>
</cp:coreProperties>
</file>