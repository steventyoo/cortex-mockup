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825" windowWidth="9405" windowHeight="441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Sheet1!$A$2:$K$59</definedName>
  </definedNames>
  <calcPr calcId="144525"/>
</workbook>
</file>

<file path=xl/calcChain.xml><?xml version="1.0" encoding="utf-8"?>
<calcChain xmlns="http://schemas.openxmlformats.org/spreadsheetml/2006/main">
  <c r="G12" i="1" l="1"/>
  <c r="G15" i="1" l="1"/>
  <c r="C56" i="1"/>
  <c r="G13" i="1"/>
  <c r="G16" i="1"/>
  <c r="G14" i="1" l="1"/>
  <c r="G11" i="1"/>
  <c r="C57" i="1"/>
  <c r="K50" i="1"/>
  <c r="G8" i="1" l="1"/>
  <c r="G42" i="1"/>
  <c r="K56" i="1"/>
  <c r="G40" i="1"/>
  <c r="G44" i="1"/>
  <c r="G9" i="1"/>
  <c r="C58" i="1" l="1"/>
  <c r="D58" i="1" l="1"/>
  <c r="G19" i="1"/>
  <c r="K51" i="1" l="1"/>
  <c r="E6" i="1"/>
  <c r="E5" i="1"/>
  <c r="F30" i="1" l="1"/>
  <c r="I12" i="1"/>
  <c r="F41" i="1"/>
  <c r="G32" i="1"/>
  <c r="I32" i="1" s="1"/>
  <c r="G26" i="1"/>
  <c r="I26" i="1" s="1"/>
  <c r="I14" i="1"/>
  <c r="I40" i="1"/>
  <c r="I15" i="1"/>
  <c r="E4" i="1"/>
  <c r="I6" i="1"/>
  <c r="E7" i="1"/>
  <c r="E8" i="1"/>
  <c r="G27" i="1"/>
  <c r="I27" i="1" s="1"/>
  <c r="E9" i="1"/>
  <c r="G28" i="1"/>
  <c r="I28" i="1" s="1"/>
  <c r="E10" i="1"/>
  <c r="I10" i="1"/>
  <c r="E11" i="1"/>
  <c r="I11" i="1"/>
  <c r="E12" i="1"/>
  <c r="E13" i="1"/>
  <c r="E14" i="1"/>
  <c r="E15" i="1"/>
  <c r="E16" i="1"/>
  <c r="G35" i="1"/>
  <c r="I35" i="1" s="1"/>
  <c r="I16" i="1"/>
  <c r="E17" i="1"/>
  <c r="I17" i="1"/>
  <c r="E18" i="1"/>
  <c r="I18" i="1"/>
  <c r="E19" i="1"/>
  <c r="G38" i="1"/>
  <c r="I38" i="1" s="1"/>
  <c r="E20" i="1"/>
  <c r="I20" i="1"/>
  <c r="E21" i="1"/>
  <c r="I21" i="1"/>
  <c r="E22" i="1"/>
  <c r="I22" i="1"/>
  <c r="E23" i="1"/>
  <c r="E24" i="1"/>
  <c r="E25" i="1"/>
  <c r="F25" i="1"/>
  <c r="G25" i="1"/>
  <c r="I25" i="1" s="1"/>
  <c r="E26" i="1"/>
  <c r="F26" i="1"/>
  <c r="E27" i="1"/>
  <c r="F27" i="1"/>
  <c r="E28" i="1"/>
  <c r="F28" i="1"/>
  <c r="E29" i="1"/>
  <c r="F29" i="1"/>
  <c r="G29" i="1"/>
  <c r="I29" i="1" s="1"/>
  <c r="E30" i="1"/>
  <c r="G30" i="1"/>
  <c r="I30" i="1" s="1"/>
  <c r="E31" i="1"/>
  <c r="F31" i="1"/>
  <c r="E32" i="1"/>
  <c r="F32" i="1"/>
  <c r="E33" i="1"/>
  <c r="F33" i="1"/>
  <c r="E34" i="1"/>
  <c r="F34" i="1"/>
  <c r="E35" i="1"/>
  <c r="F35" i="1"/>
  <c r="F36" i="1"/>
  <c r="G36" i="1"/>
  <c r="I36" i="1" s="1"/>
  <c r="E37" i="1"/>
  <c r="F37" i="1"/>
  <c r="G37" i="1"/>
  <c r="I37" i="1" s="1"/>
  <c r="E38" i="1"/>
  <c r="F38" i="1"/>
  <c r="E39" i="1"/>
  <c r="F39" i="1"/>
  <c r="G39" i="1"/>
  <c r="I39" i="1" s="1"/>
  <c r="E40" i="1"/>
  <c r="E41" i="1"/>
  <c r="G41" i="1"/>
  <c r="I41" i="1" s="1"/>
  <c r="E42" i="1"/>
  <c r="I42" i="1"/>
  <c r="E43" i="1"/>
  <c r="E44" i="1"/>
  <c r="K44" i="1"/>
  <c r="E45" i="1"/>
  <c r="G45" i="1"/>
  <c r="K45" i="1" s="1"/>
  <c r="E46" i="1"/>
  <c r="E47" i="1"/>
  <c r="K47" i="1"/>
  <c r="E48" i="1"/>
  <c r="E49" i="1"/>
  <c r="K49" i="1"/>
  <c r="E50" i="1"/>
  <c r="E51" i="1"/>
  <c r="E52" i="1"/>
  <c r="E53" i="1"/>
  <c r="E56" i="1"/>
  <c r="G5" i="1" s="1"/>
  <c r="E57" i="1"/>
  <c r="G46" i="1" s="1"/>
  <c r="K46" i="1" s="1"/>
  <c r="K59" i="1" s="1"/>
  <c r="G31" i="1"/>
  <c r="I31" i="1" s="1"/>
  <c r="I9" i="1"/>
  <c r="I7" i="1"/>
  <c r="I19" i="1"/>
  <c r="I8" i="1"/>
  <c r="E58" i="1"/>
  <c r="E36" i="1" l="1"/>
  <c r="E54" i="1"/>
  <c r="I13" i="1"/>
  <c r="G33" i="1"/>
  <c r="I33" i="1" s="1"/>
  <c r="K55" i="1"/>
  <c r="I5" i="1"/>
  <c r="G34" i="1"/>
  <c r="I34" i="1" s="1"/>
  <c r="G57" i="1"/>
  <c r="G24" i="1"/>
  <c r="I24" i="1" s="1"/>
  <c r="K43" i="1" l="1"/>
  <c r="K58" i="1" s="1"/>
  <c r="K23" i="1"/>
  <c r="K57" i="1" s="1"/>
  <c r="K3" i="1"/>
  <c r="G48" i="1" l="1"/>
  <c r="K48" i="1" s="1"/>
  <c r="K52" i="1" s="1"/>
  <c r="K53" i="1" s="1"/>
  <c r="G53" i="1" s="1"/>
  <c r="G56" i="1"/>
  <c r="G55" i="1" l="1"/>
  <c r="G58" i="1"/>
</calcChain>
</file>

<file path=xl/sharedStrings.xml><?xml version="1.0" encoding="utf-8"?>
<sst xmlns="http://schemas.openxmlformats.org/spreadsheetml/2006/main" count="160" uniqueCount="130">
  <si>
    <t>TOTAL</t>
  </si>
  <si>
    <t>DESCRIPTION</t>
  </si>
  <si>
    <t>R.I. LABOR</t>
  </si>
  <si>
    <t>FINISH LABOR</t>
  </si>
  <si>
    <t>TOTAL LABOR</t>
  </si>
  <si>
    <t>OVERHEAD &amp; PROFIT</t>
  </si>
  <si>
    <t xml:space="preserve">TOTAL R.I. MATERIAL                                     </t>
  </si>
  <si>
    <t xml:space="preserve">TOTAL R.I. LABOR                                            </t>
  </si>
  <si>
    <t xml:space="preserve">TOTAL COST                                                       </t>
  </si>
  <si>
    <t xml:space="preserve">TOTAL BID PRICE                                           </t>
  </si>
  <si>
    <t xml:space="preserve">TOTAL FINISH MATERIAL                                </t>
  </si>
  <si>
    <t>GPH</t>
  </si>
  <si>
    <t>TAKE-OFF</t>
  </si>
  <si>
    <t>SUPERVISION</t>
  </si>
  <si>
    <t>QTY</t>
  </si>
  <si>
    <t>TOTAL FINISH MATERIAL</t>
  </si>
  <si>
    <t>LABOR</t>
  </si>
  <si>
    <t>MATERIAL</t>
  </si>
  <si>
    <t>OTHER</t>
  </si>
  <si>
    <t xml:space="preserve">TOTAL                </t>
  </si>
  <si>
    <t>per fixture</t>
  </si>
  <si>
    <t>per unit</t>
  </si>
  <si>
    <t>total ri fixtures</t>
  </si>
  <si>
    <t>total finish fixtures</t>
  </si>
  <si>
    <t>total permit  fixtures</t>
  </si>
  <si>
    <t>upper</t>
  </si>
  <si>
    <t>lower</t>
  </si>
  <si>
    <t>total</t>
  </si>
  <si>
    <t>wmob</t>
  </si>
  <si>
    <t>kitsk</t>
  </si>
  <si>
    <t>tub</t>
  </si>
  <si>
    <t>lav</t>
  </si>
  <si>
    <t>wc</t>
  </si>
  <si>
    <t>cd</t>
  </si>
  <si>
    <t>price</t>
  </si>
  <si>
    <t>ri mat per fix</t>
  </si>
  <si>
    <t>ri labor per fix</t>
  </si>
  <si>
    <t>fin lbr per fix</t>
  </si>
  <si>
    <t>dw</t>
  </si>
  <si>
    <t>ri material</t>
  </si>
  <si>
    <t>shut offs- hot and cold</t>
  </si>
  <si>
    <t>armstrong circuit balance valves</t>
  </si>
  <si>
    <t>tv</t>
  </si>
  <si>
    <t>cbv</t>
  </si>
  <si>
    <t>pump</t>
  </si>
  <si>
    <t>ext</t>
  </si>
  <si>
    <t>fd</t>
  </si>
  <si>
    <t>bflow</t>
  </si>
  <si>
    <t>gas piping</t>
  </si>
  <si>
    <t xml:space="preserve"> </t>
  </si>
  <si>
    <t>parking garage drains</t>
  </si>
  <si>
    <t>roof drains and overflows</t>
  </si>
  <si>
    <t>armstrong expansion tank</t>
  </si>
  <si>
    <t>TI</t>
  </si>
  <si>
    <t>basin</t>
  </si>
  <si>
    <t>fixtures over garage plastic</t>
  </si>
  <si>
    <t>shower</t>
  </si>
  <si>
    <t>roughin and connect w/mini arrestor</t>
  </si>
  <si>
    <t>roughin recessed box</t>
  </si>
  <si>
    <t>footing &amp; foundation drains</t>
  </si>
  <si>
    <t>hosebibs</t>
  </si>
  <si>
    <t xml:space="preserve">Sand/oil catch basin </t>
  </si>
  <si>
    <t>domestic water pressure pump package</t>
  </si>
  <si>
    <t>irrigation</t>
  </si>
  <si>
    <t>misc</t>
  </si>
  <si>
    <t>boiler venting in PVC</t>
  </si>
  <si>
    <t>TI spaces w/4"waste, 3"vent, 1.5" water supply</t>
  </si>
  <si>
    <t>trench</t>
  </si>
  <si>
    <t>boilers  PRV/DCV  booster</t>
  </si>
  <si>
    <t>plumbing, gas, boiler, RPBA permit</t>
  </si>
  <si>
    <t>woodford 24 keyless hosebib at interior or garage areas</t>
  </si>
  <si>
    <t>recirc/insulate/and water mains</t>
  </si>
  <si>
    <t>HWTs</t>
  </si>
  <si>
    <t>pt deck drains &amp; overflows</t>
  </si>
  <si>
    <t>retail and amenity condensates</t>
  </si>
  <si>
    <t xml:space="preserve"> gas PRV's and  earthquake valves</t>
  </si>
  <si>
    <t xml:space="preserve"> water supply and backflow for trash chutes</t>
  </si>
  <si>
    <t>can out</t>
  </si>
  <si>
    <t>irrigation, trashchute,</t>
  </si>
  <si>
    <t>tub labor</t>
  </si>
  <si>
    <t>cast iron waste stacks in units</t>
  </si>
  <si>
    <t>fixtures over retail and amenity cast iron</t>
  </si>
  <si>
    <t>ADA tub</t>
  </si>
  <si>
    <t>ada kit</t>
  </si>
  <si>
    <t>hb1</t>
  </si>
  <si>
    <t>hb2</t>
  </si>
  <si>
    <t>hb3</t>
  </si>
  <si>
    <t>woodford 65B keyless hosebib with box</t>
  </si>
  <si>
    <t>hot and cold hosebib</t>
  </si>
  <si>
    <t>silt basin and hatch for foundation drains</t>
  </si>
  <si>
    <t>gd1</t>
  </si>
  <si>
    <t>garage floor drain at SOG</t>
  </si>
  <si>
    <t>garage floor drain at PT decks</t>
  </si>
  <si>
    <t>RD1</t>
  </si>
  <si>
    <t>roof drains with overflows</t>
  </si>
  <si>
    <t>gas</t>
  </si>
  <si>
    <t>bflow &amp; PRV</t>
  </si>
  <si>
    <t>lead free tempering valves</t>
  </si>
  <si>
    <t>engineering/parking/rental/DCV test</t>
  </si>
  <si>
    <t>Toto CST744EL, ADA height, 1.28gpf with SS114 seat</t>
  </si>
  <si>
    <t>Toto CST416M, dual flush with Toto SS114 seat</t>
  </si>
  <si>
    <t>Toto LT502 china lav w/Toto TL416SD-CP chrome faucet</t>
  </si>
  <si>
    <t>Toto LT502 china lav w/Toto TL416SD-CP w/insulation kit</t>
  </si>
  <si>
    <t>Superior 101C stall w/backing w/Moen 62385 /TL183EP chrome</t>
  </si>
  <si>
    <t>Superior 100 w/bars/seat w/Moen 62385 /TL183EP/ Moen 52710EP hand shower</t>
  </si>
  <si>
    <t>Superior 48C-N shower stall (not adaptable) w/Moen 62385/TL182EP</t>
  </si>
  <si>
    <t>Superior 48BF-FWA w/ERT threshold/ w/backing w/Moen 62385/TL182EP chrome</t>
  </si>
  <si>
    <t>Moen G20192 undercounter w/Moen 7594 pulldown</t>
  </si>
  <si>
    <t>sink</t>
  </si>
  <si>
    <t>break room/amenity room Moen G218195 ADA undercounter w/Moen 7594 pulldown</t>
  </si>
  <si>
    <t>Amenity space toilet Toto CST744EL, ADA height, 1.28gpf with SS114 seat</t>
  </si>
  <si>
    <t>Amenity lav Toto LT502 china lav w/Toto TL416SD-CP w/insulation kit</t>
  </si>
  <si>
    <t>trench drain at garage and loading bay entries</t>
  </si>
  <si>
    <t>mop</t>
  </si>
  <si>
    <t>Mustee mop sink and faucet</t>
  </si>
  <si>
    <t>trash/sprinkler/standpipe/mech/HUB drains</t>
  </si>
  <si>
    <t>AO Smith BTH500 or equal w/neutralizers</t>
  </si>
  <si>
    <t>4" Watts RPBA and PRV for main water      3" Watts RPBA and PRV for main water</t>
  </si>
  <si>
    <t>CO</t>
  </si>
  <si>
    <t>cleanouts in underground</t>
  </si>
  <si>
    <t>dd</t>
  </si>
  <si>
    <t>armstrong e series pumps w/tekmar 132 control</t>
  </si>
  <si>
    <t xml:space="preserve">startup, gauges, valves, </t>
  </si>
  <si>
    <t>irrigation points of connection at interior courtyard</t>
  </si>
  <si>
    <t>heat trace 80hrs</t>
  </si>
  <si>
    <t>heat trace=6000</t>
  </si>
  <si>
    <t>basins(also included in garage drains)</t>
  </si>
  <si>
    <t>PT deck drains with overflows at level 2 deck</t>
  </si>
  <si>
    <t>PT deck drains with overflows at level 3 and 3 deck</t>
  </si>
  <si>
    <t>Moen G18195 ADA undercounter w/Moen 7594 pulldown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</si>
</sst>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"/>
    <numFmt numFmtId="165" formatCode="&quot;$&quot;#,##0.00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 Narrow"/>
      <family val="2"/>
    </font>
    <font>
      <sz val="11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u/>
      <sz val="11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b/>
      <sz val="6"/>
      <name val="Arial Narrow"/>
      <family val="2"/>
    </font>
    <font>
      <sz val="7"/>
      <name val="Arial Narrow"/>
      <family val="2"/>
    </font>
    <font>
      <sz val="11"/>
      <color rgb="FFFF0000"/>
      <name val="Arial Narrow"/>
      <family val="2"/>
    </font>
    <font>
      <sz val="6"/>
      <name val="Arial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164" fontId="3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8" fillId="0" borderId="0" xfId="0" applyFont="1"/>
    <xf numFmtId="0" fontId="7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9" fillId="0" borderId="0" xfId="0" applyFont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0" fillId="0" borderId="0" xfId="0" applyFont="1"/>
    <xf numFmtId="1" fontId="4" fillId="0" borderId="0" xfId="0" applyNumberFormat="1" applyFont="1" applyAlignment="1">
      <alignment horizontal="center" vertical="center"/>
    </xf>
    <xf numFmtId="0" fontId="13" fillId="0" borderId="0" xfId="0" applyFont="1"/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0" applyFont="1"/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5" fillId="0" borderId="0" xfId="0" applyFont="1" applyAlignment="1">
      <alignment horizontal="center" vertical="center"/>
    </xf>
    <xf numFmtId="0" fontId="14" fillId="0" borderId="0" xfId="0" applyFont="1"/>
    <xf numFmtId="9" fontId="5" fillId="0" borderId="0" xfId="0" applyNumberFormat="1" applyFont="1" applyAlignment="1">
      <alignment horizontal="center" vertical="center"/>
    </xf>
    <xf numFmtId="0" fontId="1" fillId="0" borderId="6" xfId="0" applyFont="1" applyBorder="1"/>
    <xf numFmtId="2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164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1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abSelected="1" view="pageBreakPreview" topLeftCell="A4" zoomScale="210" zoomScaleNormal="110" zoomScaleSheetLayoutView="210" zoomScalePageLayoutView="150" workbookViewId="0">
      <selection activeCell="G12" sqref="G12"/>
    </sheetView>
  </sheetViews>
  <sheetFormatPr defaultRowHeight="12.75" x14ac:dyDescent="0.2"/>
  <cols>
    <col min="1" max="1" width="6" customWidth="1"/>
    <col min="2" max="2" width="36.85546875" customWidth="1"/>
    <col min="3" max="3" width="5.140625" customWidth="1"/>
    <col min="4" max="4" width="6.28515625" customWidth="1"/>
    <col min="5" max="5" width="10.140625" customWidth="1"/>
    <col min="6" max="6" width="19.140625" customWidth="1"/>
    <col min="8" max="8" width="5.28515625" customWidth="1"/>
    <col min="10" max="10" width="3.7109375" customWidth="1"/>
    <col min="11" max="11" width="12.7109375" customWidth="1"/>
  </cols>
  <sheetData>
    <row r="1" spans="1:1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6.5" x14ac:dyDescent="0.3">
      <c r="A2" s="2"/>
      <c r="B2" s="21"/>
      <c r="C2" s="8"/>
      <c r="D2" s="3"/>
      <c r="E2" s="3"/>
      <c r="F2" s="45" t="s">
        <v>49</v>
      </c>
      <c r="G2" s="45"/>
      <c r="H2" s="45"/>
      <c r="I2" s="3"/>
      <c r="J2" s="5" t="s">
        <v>33</v>
      </c>
      <c r="K2" s="5" t="s">
        <v>0</v>
      </c>
    </row>
    <row r="3" spans="1:11" ht="16.5" x14ac:dyDescent="0.2">
      <c r="A3" s="4"/>
      <c r="B3" s="5" t="s">
        <v>1</v>
      </c>
      <c r="C3" s="5" t="s">
        <v>14</v>
      </c>
      <c r="D3" s="5" t="s">
        <v>34</v>
      </c>
      <c r="E3" s="5" t="s">
        <v>0</v>
      </c>
      <c r="F3" s="45" t="s">
        <v>15</v>
      </c>
      <c r="G3" s="46"/>
      <c r="H3" s="46"/>
      <c r="I3" s="46"/>
      <c r="J3" s="5">
        <v>15</v>
      </c>
      <c r="K3" s="6">
        <f>E54+E36</f>
        <v>500855</v>
      </c>
    </row>
    <row r="4" spans="1:11" ht="16.5" x14ac:dyDescent="0.3">
      <c r="A4" s="34" t="s">
        <v>32</v>
      </c>
      <c r="B4" s="20" t="s">
        <v>100</v>
      </c>
      <c r="C4" s="7">
        <v>230</v>
      </c>
      <c r="D4" s="7">
        <v>295</v>
      </c>
      <c r="E4" s="34">
        <f>(C4*D4)</f>
        <v>67850</v>
      </c>
      <c r="F4" s="3"/>
      <c r="G4" s="5" t="s">
        <v>14</v>
      </c>
      <c r="H4" s="5" t="s">
        <v>34</v>
      </c>
      <c r="I4" s="5" t="s">
        <v>0</v>
      </c>
      <c r="J4" s="5"/>
      <c r="K4" s="6"/>
    </row>
    <row r="5" spans="1:11" ht="16.5" x14ac:dyDescent="0.3">
      <c r="A5" s="34" t="s">
        <v>32</v>
      </c>
      <c r="B5" s="20" t="s">
        <v>99</v>
      </c>
      <c r="C5" s="7">
        <v>11</v>
      </c>
      <c r="D5" s="7">
        <v>230</v>
      </c>
      <c r="E5" s="34">
        <f>(C5*D5)</f>
        <v>2530</v>
      </c>
      <c r="F5" s="3" t="s">
        <v>39</v>
      </c>
      <c r="G5" s="7">
        <f>E56</f>
        <v>1170</v>
      </c>
      <c r="H5" s="32">
        <v>100</v>
      </c>
      <c r="I5" s="7">
        <f>(G5*H5)</f>
        <v>117000</v>
      </c>
      <c r="J5" s="5"/>
      <c r="K5" s="6"/>
    </row>
    <row r="6" spans="1:11" ht="16.5" x14ac:dyDescent="0.25">
      <c r="A6" s="34" t="s">
        <v>31</v>
      </c>
      <c r="B6" s="20" t="s">
        <v>101</v>
      </c>
      <c r="C6" s="7">
        <v>230</v>
      </c>
      <c r="D6" s="7">
        <v>200</v>
      </c>
      <c r="E6" s="34">
        <f>(C6*D6)</f>
        <v>46000</v>
      </c>
      <c r="F6" s="23" t="s">
        <v>80</v>
      </c>
      <c r="G6" s="7">
        <v>700</v>
      </c>
      <c r="H6" s="32">
        <v>90</v>
      </c>
      <c r="I6" s="7">
        <f>(G6*H6)</f>
        <v>63000</v>
      </c>
      <c r="J6" s="5"/>
      <c r="K6" s="6"/>
    </row>
    <row r="7" spans="1:11" ht="16.5" x14ac:dyDescent="0.25">
      <c r="A7" s="34" t="s">
        <v>31</v>
      </c>
      <c r="B7" s="20" t="s">
        <v>102</v>
      </c>
      <c r="C7" s="7">
        <v>11</v>
      </c>
      <c r="D7" s="7">
        <v>225</v>
      </c>
      <c r="E7" s="34">
        <f t="shared" ref="E7:E53" si="0">(C7*D7)</f>
        <v>2475</v>
      </c>
      <c r="F7" s="24" t="s">
        <v>68</v>
      </c>
      <c r="G7" s="7">
        <v>3</v>
      </c>
      <c r="H7" s="7">
        <v>7500</v>
      </c>
      <c r="I7" s="7">
        <f t="shared" ref="I7:I22" si="1">(G7*H7)</f>
        <v>22500</v>
      </c>
      <c r="J7" s="5"/>
      <c r="K7" s="6"/>
    </row>
    <row r="8" spans="1:11" ht="16.5" x14ac:dyDescent="0.3">
      <c r="A8" s="34" t="s">
        <v>30</v>
      </c>
      <c r="B8" s="23" t="s">
        <v>103</v>
      </c>
      <c r="C8" s="7">
        <v>138</v>
      </c>
      <c r="D8" s="7">
        <v>465</v>
      </c>
      <c r="E8" s="34">
        <f t="shared" si="0"/>
        <v>64170</v>
      </c>
      <c r="F8" s="3" t="s">
        <v>40</v>
      </c>
      <c r="G8" s="7">
        <f>SUM(C13,C14,C16,C17,C18,C19,C20,C21,C22,C23,C24,C52)</f>
        <v>478</v>
      </c>
      <c r="H8" s="7">
        <v>35</v>
      </c>
      <c r="I8" s="7">
        <f t="shared" si="1"/>
        <v>16730</v>
      </c>
      <c r="J8" s="5"/>
      <c r="K8" s="6"/>
    </row>
    <row r="9" spans="1:11" ht="16.5" x14ac:dyDescent="0.25">
      <c r="A9" s="22" t="s">
        <v>82</v>
      </c>
      <c r="B9" s="33" t="s">
        <v>104</v>
      </c>
      <c r="C9" s="7">
        <v>11</v>
      </c>
      <c r="D9" s="7">
        <v>1180</v>
      </c>
      <c r="E9" s="34">
        <f t="shared" si="0"/>
        <v>12980</v>
      </c>
      <c r="F9" s="20" t="s">
        <v>71</v>
      </c>
      <c r="G9" s="7">
        <f>SUM(C13,C14,C18,C19,C22,C24)</f>
        <v>218</v>
      </c>
      <c r="H9" s="7">
        <v>350</v>
      </c>
      <c r="I9" s="7">
        <f t="shared" si="1"/>
        <v>76300</v>
      </c>
      <c r="J9" s="5"/>
      <c r="K9" s="6"/>
    </row>
    <row r="10" spans="1:11" ht="16.5" x14ac:dyDescent="0.3">
      <c r="A10" s="29" t="s">
        <v>56</v>
      </c>
      <c r="B10" s="33" t="s">
        <v>105</v>
      </c>
      <c r="C10" s="7">
        <v>28</v>
      </c>
      <c r="D10" s="7">
        <v>433</v>
      </c>
      <c r="E10" s="34">
        <f t="shared" si="0"/>
        <v>12124</v>
      </c>
      <c r="F10" s="3" t="s">
        <v>77</v>
      </c>
      <c r="G10" s="7">
        <v>625</v>
      </c>
      <c r="H10" s="7">
        <v>28</v>
      </c>
      <c r="I10" s="7">
        <f t="shared" si="1"/>
        <v>17500</v>
      </c>
      <c r="J10" s="5"/>
      <c r="K10" s="6"/>
    </row>
    <row r="11" spans="1:11" ht="16.5" x14ac:dyDescent="0.2">
      <c r="A11" s="29" t="s">
        <v>56</v>
      </c>
      <c r="B11" s="33" t="s">
        <v>106</v>
      </c>
      <c r="C11" s="7">
        <v>64</v>
      </c>
      <c r="D11" s="7">
        <v>705</v>
      </c>
      <c r="E11" s="34">
        <f t="shared" si="0"/>
        <v>45120</v>
      </c>
      <c r="F11" s="33" t="s">
        <v>126</v>
      </c>
      <c r="G11" s="7">
        <f>SUM(C37,C40)</f>
        <v>2</v>
      </c>
      <c r="H11" s="7">
        <v>700</v>
      </c>
      <c r="I11" s="7">
        <f t="shared" si="1"/>
        <v>1400</v>
      </c>
      <c r="J11" s="5"/>
      <c r="K11" s="6"/>
    </row>
    <row r="12" spans="1:11" ht="16.5" x14ac:dyDescent="0.3">
      <c r="A12" s="29" t="s">
        <v>49</v>
      </c>
      <c r="B12" s="23" t="s">
        <v>49</v>
      </c>
      <c r="C12" s="7">
        <v>0</v>
      </c>
      <c r="D12" s="7">
        <v>0</v>
      </c>
      <c r="E12" s="34">
        <f t="shared" si="0"/>
        <v>0</v>
      </c>
      <c r="F12" s="3" t="s">
        <v>50</v>
      </c>
      <c r="G12" s="7">
        <f>SUM(C37,C39,C40,C41,C42,C43,C44)</f>
        <v>43</v>
      </c>
      <c r="H12" s="7">
        <v>300</v>
      </c>
      <c r="I12" s="7">
        <f t="shared" si="1"/>
        <v>12900</v>
      </c>
      <c r="J12" s="5"/>
      <c r="K12" s="6"/>
    </row>
    <row r="13" spans="1:11" ht="16.5" x14ac:dyDescent="0.25">
      <c r="A13" s="34" t="s">
        <v>29</v>
      </c>
      <c r="B13" s="23" t="s">
        <v>107</v>
      </c>
      <c r="C13" s="7">
        <v>198</v>
      </c>
      <c r="D13" s="7">
        <v>247</v>
      </c>
      <c r="E13" s="34">
        <f t="shared" si="0"/>
        <v>48906</v>
      </c>
      <c r="F13" s="24" t="s">
        <v>73</v>
      </c>
      <c r="G13" s="7">
        <f>SUM(C45,C46,C47)</f>
        <v>46</v>
      </c>
      <c r="H13" s="7">
        <v>400</v>
      </c>
      <c r="I13" s="7">
        <f t="shared" si="1"/>
        <v>18400</v>
      </c>
      <c r="J13" s="5"/>
      <c r="K13" s="6"/>
    </row>
    <row r="14" spans="1:11" ht="16.5" x14ac:dyDescent="0.25">
      <c r="A14" s="34" t="s">
        <v>83</v>
      </c>
      <c r="B14" s="23" t="s">
        <v>129</v>
      </c>
      <c r="C14" s="7">
        <v>11</v>
      </c>
      <c r="D14" s="7">
        <v>295</v>
      </c>
      <c r="E14" s="34">
        <f t="shared" si="0"/>
        <v>3245</v>
      </c>
      <c r="F14" s="24" t="s">
        <v>51</v>
      </c>
      <c r="G14" s="7">
        <f>SUM(C48)</f>
        <v>17</v>
      </c>
      <c r="H14" s="7">
        <v>1000</v>
      </c>
      <c r="I14" s="7">
        <f t="shared" si="1"/>
        <v>17000</v>
      </c>
      <c r="J14" s="5"/>
      <c r="K14" s="6"/>
    </row>
    <row r="15" spans="1:11" ht="16.5" x14ac:dyDescent="0.3">
      <c r="A15" s="34" t="s">
        <v>38</v>
      </c>
      <c r="B15" s="3" t="s">
        <v>57</v>
      </c>
      <c r="C15" s="7">
        <v>211</v>
      </c>
      <c r="D15" s="7">
        <v>20</v>
      </c>
      <c r="E15" s="34">
        <f t="shared" si="0"/>
        <v>4220</v>
      </c>
      <c r="F15" s="23" t="s">
        <v>74</v>
      </c>
      <c r="G15" s="7">
        <f>SUM(C17,C18,C52)</f>
        <v>24</v>
      </c>
      <c r="H15" s="7">
        <v>150</v>
      </c>
      <c r="I15" s="7">
        <f t="shared" si="1"/>
        <v>3600</v>
      </c>
      <c r="J15" s="5"/>
      <c r="K15" s="6"/>
    </row>
    <row r="16" spans="1:11" ht="16.5" x14ac:dyDescent="0.3">
      <c r="A16" s="34" t="s">
        <v>28</v>
      </c>
      <c r="B16" s="3" t="s">
        <v>58</v>
      </c>
      <c r="C16" s="7">
        <v>209</v>
      </c>
      <c r="D16" s="7">
        <v>55</v>
      </c>
      <c r="E16" s="34">
        <f t="shared" si="0"/>
        <v>11495</v>
      </c>
      <c r="F16" s="3" t="s">
        <v>60</v>
      </c>
      <c r="G16" s="7">
        <f>SUM(C20,C21,C22)</f>
        <v>31</v>
      </c>
      <c r="H16" s="7">
        <v>75</v>
      </c>
      <c r="I16" s="7">
        <f t="shared" si="1"/>
        <v>2325</v>
      </c>
      <c r="J16" s="5"/>
      <c r="K16" s="6"/>
    </row>
    <row r="17" spans="1:11" ht="16.5" x14ac:dyDescent="0.25">
      <c r="A17" s="34" t="s">
        <v>32</v>
      </c>
      <c r="B17" s="33" t="s">
        <v>110</v>
      </c>
      <c r="C17" s="7">
        <v>3</v>
      </c>
      <c r="D17" s="7">
        <v>230</v>
      </c>
      <c r="E17" s="34">
        <f t="shared" si="0"/>
        <v>690</v>
      </c>
      <c r="F17" s="20" t="s">
        <v>59</v>
      </c>
      <c r="G17" s="7">
        <v>3750</v>
      </c>
      <c r="H17" s="7">
        <v>4.2</v>
      </c>
      <c r="I17" s="25">
        <f t="shared" si="1"/>
        <v>15750</v>
      </c>
      <c r="J17" s="5"/>
      <c r="K17" s="6"/>
    </row>
    <row r="18" spans="1:11" ht="16.5" x14ac:dyDescent="0.3">
      <c r="A18" s="34" t="s">
        <v>31</v>
      </c>
      <c r="B18" s="33" t="s">
        <v>111</v>
      </c>
      <c r="C18" s="7">
        <v>3</v>
      </c>
      <c r="D18" s="7">
        <v>350</v>
      </c>
      <c r="E18" s="34">
        <f t="shared" si="0"/>
        <v>1050</v>
      </c>
      <c r="F18" s="3" t="s">
        <v>48</v>
      </c>
      <c r="G18" s="7">
        <v>11</v>
      </c>
      <c r="H18" s="7">
        <v>500</v>
      </c>
      <c r="I18" s="7">
        <f t="shared" si="1"/>
        <v>5500</v>
      </c>
      <c r="J18" s="5"/>
      <c r="K18" s="6"/>
    </row>
    <row r="19" spans="1:11" ht="16.5" x14ac:dyDescent="0.2">
      <c r="A19" s="28" t="s">
        <v>108</v>
      </c>
      <c r="B19" s="33" t="s">
        <v>109</v>
      </c>
      <c r="C19" s="7">
        <v>2</v>
      </c>
      <c r="D19" s="7">
        <v>295</v>
      </c>
      <c r="E19" s="34">
        <f t="shared" si="0"/>
        <v>590</v>
      </c>
      <c r="F19" s="30" t="s">
        <v>78</v>
      </c>
      <c r="G19" s="7">
        <f>SUM(C34,C50)</f>
        <v>6</v>
      </c>
      <c r="H19" s="7">
        <v>300</v>
      </c>
      <c r="I19" s="7">
        <f t="shared" si="1"/>
        <v>1800</v>
      </c>
      <c r="J19" s="5"/>
      <c r="K19" s="6"/>
    </row>
    <row r="20" spans="1:11" ht="16.5" x14ac:dyDescent="0.3">
      <c r="A20" s="34" t="s">
        <v>84</v>
      </c>
      <c r="B20" s="23" t="s">
        <v>70</v>
      </c>
      <c r="C20" s="7">
        <v>15</v>
      </c>
      <c r="D20" s="7">
        <v>200</v>
      </c>
      <c r="E20" s="34">
        <f t="shared" si="0"/>
        <v>3000</v>
      </c>
      <c r="F20" s="3" t="s">
        <v>65</v>
      </c>
      <c r="G20" s="7">
        <v>6</v>
      </c>
      <c r="H20" s="7">
        <v>300</v>
      </c>
      <c r="I20" s="7">
        <f t="shared" si="1"/>
        <v>1800</v>
      </c>
      <c r="J20" s="5"/>
      <c r="K20" s="6"/>
    </row>
    <row r="21" spans="1:11" ht="16.5" x14ac:dyDescent="0.25">
      <c r="A21" s="34" t="s">
        <v>85</v>
      </c>
      <c r="B21" s="23" t="s">
        <v>87</v>
      </c>
      <c r="C21" s="7">
        <v>15</v>
      </c>
      <c r="D21" s="7">
        <v>255</v>
      </c>
      <c r="E21" s="34">
        <f t="shared" si="0"/>
        <v>3825</v>
      </c>
      <c r="F21" s="30" t="s">
        <v>81</v>
      </c>
      <c r="G21" s="7">
        <v>95</v>
      </c>
      <c r="H21" s="39">
        <v>200</v>
      </c>
      <c r="I21" s="7">
        <f t="shared" si="1"/>
        <v>19000</v>
      </c>
      <c r="J21" s="5"/>
      <c r="K21" s="6"/>
    </row>
    <row r="22" spans="1:11" ht="16.5" x14ac:dyDescent="0.25">
      <c r="A22" s="34" t="s">
        <v>86</v>
      </c>
      <c r="B22" s="23" t="s">
        <v>88</v>
      </c>
      <c r="C22" s="7">
        <v>1</v>
      </c>
      <c r="D22" s="7">
        <v>300</v>
      </c>
      <c r="E22" s="34">
        <f t="shared" si="0"/>
        <v>300</v>
      </c>
      <c r="F22" s="20" t="s">
        <v>55</v>
      </c>
      <c r="G22" s="7">
        <v>320</v>
      </c>
      <c r="H22" s="32">
        <v>150</v>
      </c>
      <c r="I22" s="7">
        <f t="shared" si="1"/>
        <v>48000</v>
      </c>
      <c r="J22" s="2"/>
      <c r="K22" s="2"/>
    </row>
    <row r="23" spans="1:11" ht="16.5" x14ac:dyDescent="0.3">
      <c r="A23" s="34" t="s">
        <v>49</v>
      </c>
      <c r="B23" s="20" t="s">
        <v>49</v>
      </c>
      <c r="C23" s="7">
        <v>0</v>
      </c>
      <c r="D23" s="7">
        <v>0</v>
      </c>
      <c r="E23" s="34">
        <f t="shared" si="0"/>
        <v>0</v>
      </c>
      <c r="F23" s="8" t="s">
        <v>6</v>
      </c>
      <c r="G23" s="2"/>
      <c r="H23" s="2"/>
      <c r="I23" s="2"/>
      <c r="J23" s="5"/>
      <c r="K23" s="6">
        <f>SUM(I5:I22)</f>
        <v>460505</v>
      </c>
    </row>
    <row r="24" spans="1:11" ht="16.5" x14ac:dyDescent="0.3">
      <c r="A24" s="34" t="s">
        <v>113</v>
      </c>
      <c r="B24" s="3" t="s">
        <v>114</v>
      </c>
      <c r="C24" s="7">
        <v>3</v>
      </c>
      <c r="D24" s="7">
        <v>300</v>
      </c>
      <c r="E24" s="34">
        <f t="shared" si="0"/>
        <v>900</v>
      </c>
      <c r="F24" s="3" t="s">
        <v>2</v>
      </c>
      <c r="G24" s="7">
        <f t="shared" ref="G24:G39" si="2">G5</f>
        <v>1170</v>
      </c>
      <c r="H24" s="32">
        <v>140</v>
      </c>
      <c r="I24" s="7">
        <f>G24*H24</f>
        <v>163800</v>
      </c>
      <c r="J24" s="5"/>
      <c r="K24" s="6"/>
    </row>
    <row r="25" spans="1:11" ht="16.5" x14ac:dyDescent="0.25">
      <c r="A25" s="34" t="s">
        <v>49</v>
      </c>
      <c r="B25" s="33" t="s">
        <v>49</v>
      </c>
      <c r="C25" s="7">
        <v>0</v>
      </c>
      <c r="D25" s="7">
        <v>0</v>
      </c>
      <c r="E25" s="34">
        <f t="shared" si="0"/>
        <v>0</v>
      </c>
      <c r="F25" s="23" t="str">
        <f t="shared" ref="F25:F38" si="3">F6</f>
        <v>cast iron waste stacks in units</v>
      </c>
      <c r="G25" s="7">
        <f t="shared" si="2"/>
        <v>700</v>
      </c>
      <c r="H25" s="7">
        <v>60</v>
      </c>
      <c r="I25" s="7">
        <f>G25*H25</f>
        <v>42000</v>
      </c>
      <c r="J25" s="5"/>
      <c r="K25" s="6"/>
    </row>
    <row r="26" spans="1:11" ht="16.5" x14ac:dyDescent="0.25">
      <c r="A26" s="34" t="s">
        <v>72</v>
      </c>
      <c r="B26" s="23" t="s">
        <v>116</v>
      </c>
      <c r="C26" s="7">
        <v>4</v>
      </c>
      <c r="D26" s="7">
        <v>13000</v>
      </c>
      <c r="E26" s="34">
        <f t="shared" si="0"/>
        <v>52000</v>
      </c>
      <c r="F26" s="24" t="str">
        <f t="shared" si="3"/>
        <v>boilers  PRV/DCV  booster</v>
      </c>
      <c r="G26" s="7">
        <f t="shared" si="2"/>
        <v>3</v>
      </c>
      <c r="H26" s="7">
        <v>2400</v>
      </c>
      <c r="I26" s="7">
        <f t="shared" ref="I26:I42" si="4">G26*H26</f>
        <v>7200</v>
      </c>
      <c r="J26" s="5"/>
      <c r="K26" s="6"/>
    </row>
    <row r="27" spans="1:11" ht="16.5" x14ac:dyDescent="0.3">
      <c r="A27" s="34" t="s">
        <v>49</v>
      </c>
      <c r="B27" s="3" t="s">
        <v>49</v>
      </c>
      <c r="C27" s="7">
        <v>0</v>
      </c>
      <c r="D27" s="7">
        <v>0</v>
      </c>
      <c r="E27" s="34">
        <f t="shared" si="0"/>
        <v>0</v>
      </c>
      <c r="F27" s="3" t="str">
        <f t="shared" si="3"/>
        <v>shut offs- hot and cold</v>
      </c>
      <c r="G27" s="7">
        <f t="shared" si="2"/>
        <v>478</v>
      </c>
      <c r="H27" s="7">
        <v>35</v>
      </c>
      <c r="I27" s="7">
        <f t="shared" si="4"/>
        <v>16730</v>
      </c>
      <c r="J27" s="5"/>
      <c r="K27" s="9"/>
    </row>
    <row r="28" spans="1:11" ht="16.5" x14ac:dyDescent="0.25">
      <c r="A28" s="34" t="s">
        <v>64</v>
      </c>
      <c r="B28" s="23" t="s">
        <v>122</v>
      </c>
      <c r="C28" s="7">
        <v>1</v>
      </c>
      <c r="D28" s="7">
        <v>2300</v>
      </c>
      <c r="E28" s="34">
        <f t="shared" si="0"/>
        <v>2300</v>
      </c>
      <c r="F28" s="20" t="str">
        <f t="shared" si="3"/>
        <v>recirc/insulate/and water mains</v>
      </c>
      <c r="G28" s="7">
        <f t="shared" si="2"/>
        <v>218</v>
      </c>
      <c r="H28" s="7">
        <v>135</v>
      </c>
      <c r="I28" s="7">
        <f t="shared" si="4"/>
        <v>29430</v>
      </c>
      <c r="J28" s="5"/>
      <c r="K28" s="9"/>
    </row>
    <row r="29" spans="1:11" ht="16.5" x14ac:dyDescent="0.3">
      <c r="A29" s="34" t="s">
        <v>45</v>
      </c>
      <c r="B29" s="3" t="s">
        <v>52</v>
      </c>
      <c r="C29" s="7">
        <v>1</v>
      </c>
      <c r="D29" s="7">
        <v>2000</v>
      </c>
      <c r="E29" s="34">
        <f t="shared" si="0"/>
        <v>2000</v>
      </c>
      <c r="F29" s="3" t="str">
        <f t="shared" si="3"/>
        <v>can out</v>
      </c>
      <c r="G29" s="7">
        <f t="shared" si="2"/>
        <v>625</v>
      </c>
      <c r="H29" s="7">
        <v>22</v>
      </c>
      <c r="I29" s="7">
        <f t="shared" si="4"/>
        <v>13750</v>
      </c>
      <c r="J29" s="5"/>
      <c r="K29" s="9"/>
    </row>
    <row r="30" spans="1:11" ht="16.5" x14ac:dyDescent="0.2">
      <c r="A30" s="34" t="s">
        <v>44</v>
      </c>
      <c r="B30" s="30" t="s">
        <v>121</v>
      </c>
      <c r="C30" s="7">
        <v>2</v>
      </c>
      <c r="D30" s="7">
        <v>1500</v>
      </c>
      <c r="E30" s="34">
        <f t="shared" si="0"/>
        <v>3000</v>
      </c>
      <c r="F30" s="33" t="str">
        <f t="shared" si="3"/>
        <v>basins(also included in garage drains)</v>
      </c>
      <c r="G30" s="7">
        <f t="shared" si="2"/>
        <v>2</v>
      </c>
      <c r="H30" s="7">
        <v>1000</v>
      </c>
      <c r="I30" s="7">
        <f t="shared" si="4"/>
        <v>2000</v>
      </c>
      <c r="J30" s="5"/>
      <c r="K30" s="9"/>
    </row>
    <row r="31" spans="1:11" ht="16.5" x14ac:dyDescent="0.3">
      <c r="A31" s="34" t="s">
        <v>43</v>
      </c>
      <c r="B31" s="3" t="s">
        <v>41</v>
      </c>
      <c r="C31" s="7">
        <v>50</v>
      </c>
      <c r="D31" s="7">
        <v>110</v>
      </c>
      <c r="E31" s="34">
        <f t="shared" si="0"/>
        <v>5500</v>
      </c>
      <c r="F31" s="3" t="str">
        <f t="shared" si="3"/>
        <v>parking garage drains</v>
      </c>
      <c r="G31" s="7">
        <f t="shared" si="2"/>
        <v>43</v>
      </c>
      <c r="H31" s="7">
        <v>250</v>
      </c>
      <c r="I31" s="7">
        <f t="shared" si="4"/>
        <v>10750</v>
      </c>
      <c r="J31" s="5"/>
      <c r="K31" s="9"/>
    </row>
    <row r="32" spans="1:11" ht="16.5" x14ac:dyDescent="0.3">
      <c r="A32" s="34" t="s">
        <v>42</v>
      </c>
      <c r="B32" s="3" t="s">
        <v>97</v>
      </c>
      <c r="C32" s="7">
        <v>3</v>
      </c>
      <c r="D32" s="7">
        <v>1500</v>
      </c>
      <c r="E32" s="34">
        <f t="shared" si="0"/>
        <v>4500</v>
      </c>
      <c r="F32" s="3" t="str">
        <f t="shared" si="3"/>
        <v>pt deck drains &amp; overflows</v>
      </c>
      <c r="G32" s="7">
        <f t="shared" si="2"/>
        <v>46</v>
      </c>
      <c r="H32" s="7">
        <v>565</v>
      </c>
      <c r="I32" s="7">
        <f t="shared" si="4"/>
        <v>25990</v>
      </c>
      <c r="J32" s="5"/>
      <c r="K32" s="9"/>
    </row>
    <row r="33" spans="1:11" ht="16.5" x14ac:dyDescent="0.3">
      <c r="A33" s="34" t="s">
        <v>44</v>
      </c>
      <c r="B33" s="3" t="s">
        <v>62</v>
      </c>
      <c r="C33" s="7">
        <v>1</v>
      </c>
      <c r="D33" s="7">
        <v>26000</v>
      </c>
      <c r="E33" s="34">
        <f t="shared" si="0"/>
        <v>26000</v>
      </c>
      <c r="F33" s="3" t="str">
        <f t="shared" si="3"/>
        <v>roof drains and overflows</v>
      </c>
      <c r="G33" s="7">
        <f t="shared" si="2"/>
        <v>17</v>
      </c>
      <c r="H33" s="7">
        <v>900</v>
      </c>
      <c r="I33" s="7">
        <f t="shared" si="4"/>
        <v>15300</v>
      </c>
      <c r="J33" s="5"/>
      <c r="K33" s="9"/>
    </row>
    <row r="34" spans="1:11" ht="16.5" x14ac:dyDescent="0.25">
      <c r="A34" s="28" t="s">
        <v>63</v>
      </c>
      <c r="B34" s="24" t="s">
        <v>123</v>
      </c>
      <c r="C34" s="7">
        <v>5</v>
      </c>
      <c r="D34" s="7">
        <v>250</v>
      </c>
      <c r="E34" s="34">
        <f t="shared" si="0"/>
        <v>1250</v>
      </c>
      <c r="F34" s="23" t="str">
        <f t="shared" si="3"/>
        <v>retail and amenity condensates</v>
      </c>
      <c r="G34" s="7">
        <f t="shared" si="2"/>
        <v>24</v>
      </c>
      <c r="H34" s="7">
        <v>330</v>
      </c>
      <c r="I34" s="7">
        <f t="shared" si="4"/>
        <v>7920</v>
      </c>
      <c r="J34" s="5"/>
      <c r="K34" s="9"/>
    </row>
    <row r="35" spans="1:11" ht="16.5" x14ac:dyDescent="0.3">
      <c r="A35" s="22" t="s">
        <v>49</v>
      </c>
      <c r="B35" s="26" t="s">
        <v>49</v>
      </c>
      <c r="C35" s="7">
        <v>0</v>
      </c>
      <c r="D35" s="7">
        <v>0</v>
      </c>
      <c r="E35" s="34">
        <f t="shared" si="0"/>
        <v>0</v>
      </c>
      <c r="F35" s="3" t="str">
        <f t="shared" si="3"/>
        <v>hosebibs</v>
      </c>
      <c r="G35" s="7">
        <f t="shared" si="2"/>
        <v>31</v>
      </c>
      <c r="H35" s="7">
        <v>180</v>
      </c>
      <c r="I35" s="7">
        <f t="shared" si="4"/>
        <v>5580</v>
      </c>
      <c r="J35" s="5"/>
      <c r="K35" s="6"/>
    </row>
    <row r="36" spans="1:11" ht="16.5" x14ac:dyDescent="0.3">
      <c r="A36" s="34"/>
      <c r="B36" s="8" t="s">
        <v>10</v>
      </c>
      <c r="C36" s="34"/>
      <c r="D36" s="34"/>
      <c r="E36" s="6">
        <f>SUM(E4:E35)</f>
        <v>428020</v>
      </c>
      <c r="F36" s="20" t="str">
        <f t="shared" si="3"/>
        <v>footing &amp; foundation drains</v>
      </c>
      <c r="G36" s="7">
        <f t="shared" si="2"/>
        <v>3750</v>
      </c>
      <c r="H36" s="7">
        <v>2.5</v>
      </c>
      <c r="I36" s="7">
        <f t="shared" si="4"/>
        <v>9375</v>
      </c>
      <c r="J36" s="5"/>
      <c r="K36" s="6"/>
    </row>
    <row r="37" spans="1:11" ht="16.5" x14ac:dyDescent="0.3">
      <c r="A37" s="34" t="s">
        <v>54</v>
      </c>
      <c r="B37" s="3" t="s">
        <v>61</v>
      </c>
      <c r="C37" s="7">
        <v>1</v>
      </c>
      <c r="D37" s="7">
        <v>2500</v>
      </c>
      <c r="E37" s="34">
        <f t="shared" si="0"/>
        <v>2500</v>
      </c>
      <c r="F37" s="3" t="str">
        <f t="shared" si="3"/>
        <v>gas piping</v>
      </c>
      <c r="G37" s="7">
        <f t="shared" si="2"/>
        <v>11</v>
      </c>
      <c r="H37" s="7">
        <v>725</v>
      </c>
      <c r="I37" s="7">
        <f t="shared" si="4"/>
        <v>7975</v>
      </c>
      <c r="J37" s="5"/>
      <c r="K37" s="6"/>
    </row>
    <row r="38" spans="1:11" ht="16.5" x14ac:dyDescent="0.25">
      <c r="A38" s="22" t="s">
        <v>118</v>
      </c>
      <c r="B38" s="24" t="s">
        <v>119</v>
      </c>
      <c r="C38" s="7">
        <v>55</v>
      </c>
      <c r="D38" s="7">
        <v>85</v>
      </c>
      <c r="E38" s="34">
        <f>(C38*D38)</f>
        <v>4675</v>
      </c>
      <c r="F38" s="23" t="str">
        <f t="shared" si="3"/>
        <v>irrigation, trashchute,</v>
      </c>
      <c r="G38" s="7">
        <f t="shared" si="2"/>
        <v>6</v>
      </c>
      <c r="H38" s="7">
        <v>440</v>
      </c>
      <c r="I38" s="7">
        <f t="shared" si="4"/>
        <v>2640</v>
      </c>
      <c r="J38" s="5"/>
      <c r="K38" s="6"/>
    </row>
    <row r="39" spans="1:11" ht="16.5" x14ac:dyDescent="0.3">
      <c r="A39" s="22" t="s">
        <v>49</v>
      </c>
      <c r="B39" s="24" t="s">
        <v>49</v>
      </c>
      <c r="C39" s="7">
        <v>0</v>
      </c>
      <c r="D39" s="7">
        <v>0</v>
      </c>
      <c r="E39" s="34">
        <f>(C39*D39)</f>
        <v>0</v>
      </c>
      <c r="F39" s="3" t="str">
        <f t="shared" ref="F39" si="5">F20</f>
        <v>boiler venting in PVC</v>
      </c>
      <c r="G39" s="7">
        <f t="shared" si="2"/>
        <v>6</v>
      </c>
      <c r="H39" s="7">
        <v>500</v>
      </c>
      <c r="I39" s="7">
        <f t="shared" si="4"/>
        <v>3000</v>
      </c>
      <c r="J39" s="5"/>
      <c r="K39" s="6"/>
    </row>
    <row r="40" spans="1:11" ht="16.5" x14ac:dyDescent="0.2">
      <c r="A40" s="34" t="s">
        <v>54</v>
      </c>
      <c r="B40" s="24" t="s">
        <v>89</v>
      </c>
      <c r="C40" s="7">
        <v>1</v>
      </c>
      <c r="D40" s="7">
        <v>2500</v>
      </c>
      <c r="E40" s="34">
        <f>(C40*D40)</f>
        <v>2500</v>
      </c>
      <c r="F40" s="24" t="s">
        <v>79</v>
      </c>
      <c r="G40" s="7">
        <f>SUM(C8,C9,C10,C11)</f>
        <v>241</v>
      </c>
      <c r="H40" s="32">
        <v>100</v>
      </c>
      <c r="I40" s="7">
        <f t="shared" si="4"/>
        <v>24100</v>
      </c>
      <c r="J40" s="5"/>
      <c r="K40" s="6"/>
    </row>
    <row r="41" spans="1:11" ht="16.5" x14ac:dyDescent="0.3">
      <c r="A41" s="34" t="s">
        <v>67</v>
      </c>
      <c r="B41" s="3" t="s">
        <v>112</v>
      </c>
      <c r="C41" s="7">
        <v>2</v>
      </c>
      <c r="D41" s="7">
        <v>2500</v>
      </c>
      <c r="E41" s="34">
        <f t="shared" si="0"/>
        <v>5000</v>
      </c>
      <c r="F41" s="30" t="str">
        <f>F21</f>
        <v>fixtures over retail and amenity cast iron</v>
      </c>
      <c r="G41" s="7">
        <f>G21</f>
        <v>95</v>
      </c>
      <c r="H41" s="32">
        <v>200</v>
      </c>
      <c r="I41" s="7">
        <f t="shared" si="4"/>
        <v>19000</v>
      </c>
      <c r="J41" s="2"/>
      <c r="K41" s="2"/>
    </row>
    <row r="42" spans="1:11" ht="16.5" x14ac:dyDescent="0.3">
      <c r="A42" s="34" t="s">
        <v>90</v>
      </c>
      <c r="B42" s="3" t="s">
        <v>91</v>
      </c>
      <c r="C42" s="7">
        <v>6</v>
      </c>
      <c r="D42" s="7">
        <v>350</v>
      </c>
      <c r="E42" s="34">
        <f t="shared" si="0"/>
        <v>2100</v>
      </c>
      <c r="F42" s="20" t="s">
        <v>55</v>
      </c>
      <c r="G42" s="7">
        <f>G22</f>
        <v>320</v>
      </c>
      <c r="H42" s="32">
        <v>150</v>
      </c>
      <c r="I42" s="7">
        <f t="shared" si="4"/>
        <v>48000</v>
      </c>
      <c r="J42" s="5"/>
      <c r="K42" s="6"/>
    </row>
    <row r="43" spans="1:11" ht="16.5" x14ac:dyDescent="0.3">
      <c r="A43" s="34" t="s">
        <v>90</v>
      </c>
      <c r="B43" s="20" t="s">
        <v>92</v>
      </c>
      <c r="C43" s="7">
        <v>12</v>
      </c>
      <c r="D43" s="7">
        <v>250</v>
      </c>
      <c r="E43" s="34">
        <f t="shared" si="0"/>
        <v>3000</v>
      </c>
      <c r="F43" s="8" t="s">
        <v>7</v>
      </c>
      <c r="G43" s="7"/>
      <c r="H43" s="7"/>
      <c r="I43" s="7"/>
      <c r="J43" s="5"/>
      <c r="K43" s="6">
        <f>SUM(I24:I42)</f>
        <v>454540</v>
      </c>
    </row>
    <row r="44" spans="1:11" ht="16.5" x14ac:dyDescent="0.3">
      <c r="A44" s="34" t="s">
        <v>46</v>
      </c>
      <c r="B44" s="30" t="s">
        <v>115</v>
      </c>
      <c r="C44" s="7">
        <v>21</v>
      </c>
      <c r="D44" s="7">
        <v>250</v>
      </c>
      <c r="E44" s="34">
        <f t="shared" si="0"/>
        <v>5250</v>
      </c>
      <c r="F44" s="8" t="s">
        <v>13</v>
      </c>
      <c r="G44" s="7">
        <f>SUM(C16)</f>
        <v>209</v>
      </c>
      <c r="H44" s="38">
        <v>50</v>
      </c>
      <c r="I44" s="34"/>
      <c r="J44" s="5">
        <v>1</v>
      </c>
      <c r="K44" s="6">
        <f>G44*H44</f>
        <v>10450</v>
      </c>
    </row>
    <row r="45" spans="1:11" ht="16.5" x14ac:dyDescent="0.3">
      <c r="A45" s="34" t="s">
        <v>120</v>
      </c>
      <c r="B45" s="24" t="s">
        <v>127</v>
      </c>
      <c r="C45" s="7">
        <v>6</v>
      </c>
      <c r="D45" s="7">
        <v>250</v>
      </c>
      <c r="E45" s="34">
        <f t="shared" si="0"/>
        <v>1500</v>
      </c>
      <c r="F45" s="8" t="s">
        <v>12</v>
      </c>
      <c r="G45" s="7">
        <f>SUM(G44)</f>
        <v>209</v>
      </c>
      <c r="H45" s="38">
        <v>70</v>
      </c>
      <c r="I45" s="7"/>
      <c r="J45" s="5">
        <v>12</v>
      </c>
      <c r="K45" s="6">
        <f>G45*H45</f>
        <v>14630</v>
      </c>
    </row>
    <row r="46" spans="1:11" ht="16.5" x14ac:dyDescent="0.3">
      <c r="A46" s="34" t="s">
        <v>120</v>
      </c>
      <c r="B46" s="20" t="s">
        <v>128</v>
      </c>
      <c r="C46" s="7">
        <v>40</v>
      </c>
      <c r="D46" s="7">
        <v>250</v>
      </c>
      <c r="E46" s="34">
        <f t="shared" si="0"/>
        <v>10000</v>
      </c>
      <c r="F46" s="8" t="s">
        <v>3</v>
      </c>
      <c r="G46" s="7">
        <f>E57</f>
        <v>1154</v>
      </c>
      <c r="H46" s="7">
        <v>40</v>
      </c>
      <c r="I46" s="7"/>
      <c r="J46" s="5">
        <v>4</v>
      </c>
      <c r="K46" s="6">
        <f>G46*H46</f>
        <v>46160</v>
      </c>
    </row>
    <row r="47" spans="1:11" ht="16.5" x14ac:dyDescent="0.25">
      <c r="A47" s="34" t="s">
        <v>49</v>
      </c>
      <c r="B47" s="20" t="s">
        <v>49</v>
      </c>
      <c r="C47" s="7">
        <v>0</v>
      </c>
      <c r="D47" s="7">
        <v>0</v>
      </c>
      <c r="E47" s="34">
        <f t="shared" si="0"/>
        <v>0</v>
      </c>
      <c r="F47" s="35" t="s">
        <v>124</v>
      </c>
      <c r="G47" s="10">
        <v>80</v>
      </c>
      <c r="H47" s="25">
        <v>60</v>
      </c>
      <c r="I47" s="34"/>
      <c r="J47" s="5"/>
      <c r="K47" s="6">
        <f>G47*H47</f>
        <v>4800</v>
      </c>
    </row>
    <row r="48" spans="1:11" ht="16.5" x14ac:dyDescent="0.3">
      <c r="A48" s="34" t="s">
        <v>93</v>
      </c>
      <c r="B48" s="24" t="s">
        <v>94</v>
      </c>
      <c r="C48" s="7">
        <v>17</v>
      </c>
      <c r="D48" s="7">
        <v>1330</v>
      </c>
      <c r="E48" s="34">
        <f t="shared" si="0"/>
        <v>22610</v>
      </c>
      <c r="F48" s="8" t="s">
        <v>4</v>
      </c>
      <c r="G48" s="6">
        <f>SUM(K43,K44,K45,K46,K47)</f>
        <v>530580</v>
      </c>
      <c r="H48" s="36">
        <v>0.51</v>
      </c>
      <c r="I48" s="7"/>
      <c r="J48" s="5">
        <v>31</v>
      </c>
      <c r="K48" s="6">
        <f>G48*H48</f>
        <v>270595.8</v>
      </c>
    </row>
    <row r="49" spans="1:11" ht="16.5" x14ac:dyDescent="0.3">
      <c r="A49" s="28" t="s">
        <v>96</v>
      </c>
      <c r="B49" s="33" t="s">
        <v>117</v>
      </c>
      <c r="C49" s="7">
        <v>8</v>
      </c>
      <c r="D49" s="7">
        <v>1200</v>
      </c>
      <c r="E49" s="34">
        <f t="shared" si="0"/>
        <v>9600</v>
      </c>
      <c r="F49" s="30" t="s">
        <v>98</v>
      </c>
      <c r="G49" s="27">
        <v>50000</v>
      </c>
      <c r="H49" s="40">
        <v>10000</v>
      </c>
      <c r="I49" s="7">
        <v>5000</v>
      </c>
      <c r="J49" s="31">
        <v>500</v>
      </c>
      <c r="K49" s="6">
        <f>SUM(G49,H49,I49,J49)</f>
        <v>65500</v>
      </c>
    </row>
    <row r="50" spans="1:11" ht="16.5" x14ac:dyDescent="0.25">
      <c r="A50" s="34" t="s">
        <v>47</v>
      </c>
      <c r="B50" s="20" t="s">
        <v>76</v>
      </c>
      <c r="C50" s="7">
        <v>1</v>
      </c>
      <c r="D50" s="7">
        <v>500</v>
      </c>
      <c r="E50" s="34">
        <f t="shared" si="0"/>
        <v>500</v>
      </c>
      <c r="F50" s="30" t="s">
        <v>69</v>
      </c>
      <c r="G50" s="7">
        <v>20600</v>
      </c>
      <c r="H50" s="7">
        <v>5400</v>
      </c>
      <c r="I50" s="7">
        <v>2000</v>
      </c>
      <c r="J50" s="5"/>
      <c r="K50" s="6">
        <f>G50+H50+I50</f>
        <v>28000</v>
      </c>
    </row>
    <row r="51" spans="1:11" ht="16.5" x14ac:dyDescent="0.2">
      <c r="A51" s="34" t="s">
        <v>49</v>
      </c>
      <c r="B51" s="24" t="s">
        <v>49</v>
      </c>
      <c r="C51" s="7">
        <v>0</v>
      </c>
      <c r="D51" s="7">
        <v>0</v>
      </c>
      <c r="E51" s="34">
        <f t="shared" si="0"/>
        <v>0</v>
      </c>
      <c r="F51" s="33" t="s">
        <v>125</v>
      </c>
      <c r="G51" s="10">
        <v>0</v>
      </c>
      <c r="H51" s="25">
        <v>0</v>
      </c>
      <c r="I51" s="7">
        <v>6000</v>
      </c>
      <c r="J51" s="22">
        <v>0</v>
      </c>
      <c r="K51" s="6">
        <f>(G51*H51)+I51+J51</f>
        <v>6000</v>
      </c>
    </row>
    <row r="52" spans="1:11" ht="16.5" x14ac:dyDescent="0.3">
      <c r="A52" s="34" t="s">
        <v>53</v>
      </c>
      <c r="B52" s="3" t="s">
        <v>66</v>
      </c>
      <c r="C52" s="7">
        <v>18</v>
      </c>
      <c r="D52" s="7">
        <v>0</v>
      </c>
      <c r="E52" s="34">
        <f t="shared" si="0"/>
        <v>0</v>
      </c>
      <c r="F52" s="8" t="s">
        <v>8</v>
      </c>
      <c r="G52" s="7"/>
      <c r="H52" s="7"/>
      <c r="I52" s="7"/>
      <c r="J52" s="5"/>
      <c r="K52" s="6">
        <f>SUM(K3:K51)</f>
        <v>1862035.8</v>
      </c>
    </row>
    <row r="53" spans="1:11" ht="16.5" x14ac:dyDescent="0.3">
      <c r="A53" s="34" t="s">
        <v>95</v>
      </c>
      <c r="B53" s="3" t="s">
        <v>75</v>
      </c>
      <c r="C53" s="7">
        <v>12</v>
      </c>
      <c r="D53" s="7">
        <v>300</v>
      </c>
      <c r="E53" s="34">
        <f t="shared" si="0"/>
        <v>3600</v>
      </c>
      <c r="F53" s="8" t="s">
        <v>5</v>
      </c>
      <c r="G53" s="50">
        <f>K53/K52</f>
        <v>0.39164886088656292</v>
      </c>
      <c r="H53" s="46"/>
      <c r="I53" s="46"/>
      <c r="J53" s="46"/>
      <c r="K53" s="6">
        <f>K54-K52</f>
        <v>729264.2</v>
      </c>
    </row>
    <row r="54" spans="1:11" ht="17.25" thickBot="1" x14ac:dyDescent="0.35">
      <c r="A54" s="34"/>
      <c r="B54" s="51" t="s">
        <v>19</v>
      </c>
      <c r="C54" s="52"/>
      <c r="D54" s="52"/>
      <c r="E54" s="6">
        <f>SUM(E37:E53)</f>
        <v>72835</v>
      </c>
      <c r="F54" s="8" t="s">
        <v>9</v>
      </c>
      <c r="G54" s="7"/>
      <c r="H54" s="7"/>
      <c r="I54" s="7"/>
      <c r="J54" s="5"/>
      <c r="K54" s="6">
        <v>2591300</v>
      </c>
    </row>
    <row r="55" spans="1:11" ht="16.5" x14ac:dyDescent="0.3">
      <c r="A55" s="34"/>
      <c r="B55" s="3"/>
      <c r="C55" s="7" t="s">
        <v>25</v>
      </c>
      <c r="D55" s="7" t="s">
        <v>26</v>
      </c>
      <c r="E55" s="34" t="s">
        <v>27</v>
      </c>
      <c r="F55" s="11" t="s">
        <v>16</v>
      </c>
      <c r="G55" s="47">
        <f>SUM(G48)</f>
        <v>530580</v>
      </c>
      <c r="H55" s="48"/>
      <c r="I55" s="49" t="s">
        <v>20</v>
      </c>
      <c r="J55" s="49"/>
      <c r="K55" s="12">
        <f>K54/G5</f>
        <v>2214.7863247863247</v>
      </c>
    </row>
    <row r="56" spans="1:11" ht="16.5" x14ac:dyDescent="0.3">
      <c r="A56" s="34"/>
      <c r="B56" s="3" t="s">
        <v>22</v>
      </c>
      <c r="C56" s="7">
        <f>SUM(C4,C5,C6,C7,C8,C9,C10,C11,C12,C13,C14,C16,C17,C18,C19,C24,C35,C52)</f>
        <v>1170</v>
      </c>
      <c r="D56" s="7"/>
      <c r="E56" s="34">
        <f>C56+D56</f>
        <v>1170</v>
      </c>
      <c r="F56" s="13" t="s">
        <v>17</v>
      </c>
      <c r="G56" s="42">
        <f>SUM(K23,K3)</f>
        <v>961360</v>
      </c>
      <c r="H56" s="43"/>
      <c r="I56" s="53" t="s">
        <v>21</v>
      </c>
      <c r="J56" s="53"/>
      <c r="K56" s="14">
        <f>K54/G44</f>
        <v>12398.564593301435</v>
      </c>
    </row>
    <row r="57" spans="1:11" ht="16.5" x14ac:dyDescent="0.3">
      <c r="A57" s="34"/>
      <c r="B57" s="3" t="s">
        <v>23</v>
      </c>
      <c r="C57" s="7">
        <f>SUM(C4,C5,C6,C7,C8,C9,C10,C11,C13,C14,C15,C17,C18,C19,C24)</f>
        <v>1154</v>
      </c>
      <c r="D57" s="7"/>
      <c r="E57" s="34">
        <f>C57+D57</f>
        <v>1154</v>
      </c>
      <c r="F57" s="13" t="s">
        <v>18</v>
      </c>
      <c r="G57" s="42">
        <f>SUM(K49,K50,K51)</f>
        <v>99500</v>
      </c>
      <c r="H57" s="43"/>
      <c r="I57" s="53" t="s">
        <v>35</v>
      </c>
      <c r="J57" s="53"/>
      <c r="K57" s="14">
        <f>K23/G5</f>
        <v>393.59401709401709</v>
      </c>
    </row>
    <row r="58" spans="1:11" ht="16.5" x14ac:dyDescent="0.3">
      <c r="A58" s="34"/>
      <c r="B58" s="3" t="s">
        <v>24</v>
      </c>
      <c r="C58" s="7">
        <f>SUM(C4,C5,C6,C7,C8,C9,C10,C11,C12,C13,C14,C15,C16,C17,C18,C19,C25,C26,C27,C29,C33,C34,C35,G18)</f>
        <v>1382</v>
      </c>
      <c r="D58" s="7">
        <f>SUM(C37,C38,C39,C40,C41,C42,C43,C44,C45,C46,C47,C48,C49,C50,C52,C53)</f>
        <v>200</v>
      </c>
      <c r="E58" s="34">
        <f>C58+D58</f>
        <v>1582</v>
      </c>
      <c r="F58" s="13" t="s">
        <v>11</v>
      </c>
      <c r="G58" s="44">
        <f>K53/G48</f>
        <v>1.374466056014173</v>
      </c>
      <c r="H58" s="44"/>
      <c r="I58" s="53" t="s">
        <v>36</v>
      </c>
      <c r="J58" s="53"/>
      <c r="K58" s="14">
        <f>K43/G5</f>
        <v>388.4957264957265</v>
      </c>
    </row>
    <row r="59" spans="1:11" ht="17.25" thickBot="1" x14ac:dyDescent="0.35">
      <c r="A59" s="34"/>
      <c r="B59" s="3"/>
      <c r="C59" s="7"/>
      <c r="D59" s="15"/>
      <c r="E59" s="15"/>
      <c r="F59" s="18"/>
      <c r="G59" s="37"/>
      <c r="H59" s="37"/>
      <c r="I59" s="41" t="s">
        <v>37</v>
      </c>
      <c r="J59" s="41"/>
      <c r="K59" s="19">
        <f>K46/G46</f>
        <v>40</v>
      </c>
    </row>
    <row r="60" spans="1:11" x14ac:dyDescent="0.2">
      <c r="A60" s="16"/>
      <c r="B60" s="16"/>
      <c r="C60" s="16"/>
      <c r="D60" s="16"/>
      <c r="E60" s="16"/>
      <c r="F60" s="17"/>
      <c r="G60" s="16"/>
      <c r="H60" s="16"/>
      <c r="I60" s="16"/>
      <c r="J60" s="16"/>
      <c r="K60" s="16"/>
    </row>
    <row r="61" spans="1:11" x14ac:dyDescent="0.2">
      <c r="A61" s="16"/>
      <c r="B61" s="16"/>
      <c r="C61" s="16"/>
      <c r="D61" s="16"/>
      <c r="E61" s="16"/>
      <c r="F61" s="17"/>
      <c r="G61" s="16"/>
      <c r="H61" s="16"/>
      <c r="I61" s="16"/>
      <c r="J61" s="16"/>
      <c r="K61" s="16"/>
    </row>
    <row r="62" spans="1:11" ht="13.5" x14ac:dyDescent="0.2">
      <c r="F62" s="1"/>
    </row>
    <row r="63" spans="1:11" ht="13.5" x14ac:dyDescent="0.2">
      <c r="F63" s="1"/>
    </row>
  </sheetData>
  <mergeCells count="13">
    <mergeCell ref="B54:D54"/>
    <mergeCell ref="I56:J56"/>
    <mergeCell ref="G56:H56"/>
    <mergeCell ref="I57:J57"/>
    <mergeCell ref="I58:J58"/>
    <mergeCell ref="I59:J59"/>
    <mergeCell ref="G57:H57"/>
    <mergeCell ref="G58:H58"/>
    <mergeCell ref="F2:H2"/>
    <mergeCell ref="F3:I3"/>
    <mergeCell ref="G55:H55"/>
    <mergeCell ref="I55:J55"/>
    <mergeCell ref="G53:J53"/>
  </mergeCells>
  <phoneticPr fontId="0" type="noConversion"/>
  <printOptions horizontalCentered="1" verticalCentered="1" gridLines="1"/>
  <pageMargins left="0.5" right="0" top="0.75" bottom="0.5" header="0.5" footer="0.25"/>
  <pageSetup scale="74" orientation="portrait" horizontalDpi="4294967293" r:id="rId1"/>
  <headerFooter alignWithMargins="0">
    <oddHeader>&amp;L&amp;"Arial,Bold"Chinn Construction&amp;C&amp;"Arial,Bold"Legacy Mercer Island Apartments        Seattle&amp;R&amp;D</oddHeader>
    <oddFooter>&amp;L&amp;F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Mike Donelson</cp:lastModifiedBy>
  <cp:lastPrinted>2014-10-27T17:37:22Z</cp:lastPrinted>
  <dcterms:created xsi:type="dcterms:W3CDTF">2000-02-21T15:23:22Z</dcterms:created>
  <dcterms:modified xsi:type="dcterms:W3CDTF">2015-01-10T01:46:47Z</dcterms:modified>
</cp:coreProperties>
</file>