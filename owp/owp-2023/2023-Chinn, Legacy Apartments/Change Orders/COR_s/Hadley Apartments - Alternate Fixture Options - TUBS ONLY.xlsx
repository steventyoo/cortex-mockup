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Sheet1" sheetId="1" r:id="rId1"/>
  </sheets>
  <definedNames>
    <definedName name="_xlnm.Print_Area" localSheetId="0">Sheet1!$A$1:$F$26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F14" i="1" s="1"/>
  <c r="D19" i="1" l="1"/>
  <c r="D24" i="1"/>
  <c r="G14" i="1" l="1"/>
  <c r="H14" i="1" s="1"/>
  <c r="D9" i="1" l="1"/>
  <c r="F19" i="1" l="1"/>
  <c r="H19" i="1" l="1"/>
  <c r="F9" i="1" l="1"/>
  <c r="F24" i="1"/>
  <c r="F26" i="1" l="1"/>
  <c r="G9" i="1"/>
  <c r="H9" i="1" s="1"/>
  <c r="H24" i="1"/>
</calcChain>
</file>

<file path=xl/sharedStrings.xml><?xml version="1.0" encoding="utf-8"?>
<sst xmlns="http://schemas.openxmlformats.org/spreadsheetml/2006/main" count="30" uniqueCount="24">
  <si>
    <t>Base bid</t>
  </si>
  <si>
    <t>Unit Price</t>
  </si>
  <si>
    <t>Add each</t>
  </si>
  <si>
    <t>OH&amp;P</t>
  </si>
  <si>
    <t>Subtotal</t>
  </si>
  <si>
    <t>Quan</t>
  </si>
  <si>
    <t>Total</t>
  </si>
  <si>
    <t>Alternate</t>
  </si>
  <si>
    <t>TS-1 Type B Bathtubs</t>
  </si>
  <si>
    <t>TS-2 Type A Bathtubs</t>
  </si>
  <si>
    <t>Fiberfab 100H 60" x 34" w/ Grab Bars &amp; Seat</t>
  </si>
  <si>
    <t>SS-1 Shower Stalls (non-adaptable)</t>
  </si>
  <si>
    <t>SS-2 Shower Stalls (adaptable)</t>
  </si>
  <si>
    <t>Superior 101C 60" x 36" with backing</t>
  </si>
  <si>
    <t>Aquatic 6032STT 60" x 32" with Tile Look and backing</t>
  </si>
  <si>
    <t>Fiberfab 48BF-FWA 48" OD x 36" ID with backing, low threshold</t>
  </si>
  <si>
    <t>Superior 48C-N 48" OD x 36" ID with backing and 5" threshold</t>
  </si>
  <si>
    <r>
      <rPr>
        <b/>
        <sz val="12"/>
        <color theme="1"/>
        <rFont val="Calibri"/>
        <family val="2"/>
        <scheme val="minor"/>
      </rPr>
      <t>NOTE</t>
    </r>
    <r>
      <rPr>
        <sz val="12"/>
        <color theme="1"/>
        <rFont val="Calibri"/>
        <family val="2"/>
        <scheme val="minor"/>
      </rPr>
      <t>: Overhead and Profit are not included in pricing.  Once all options are selected, 10% OH&amp;P will be applied if there is a net cost, and no OH&amp;P will be applied if there is a net deduct.</t>
    </r>
  </si>
  <si>
    <r>
      <rPr>
        <b/>
        <sz val="12"/>
        <color theme="1"/>
        <rFont val="Calibri"/>
        <family val="2"/>
        <scheme val="minor"/>
      </rPr>
      <t>NOTE</t>
    </r>
    <r>
      <rPr>
        <sz val="12"/>
        <color theme="1"/>
        <rFont val="Calibri"/>
        <family val="2"/>
        <scheme val="minor"/>
      </rPr>
      <t>: Refer to tub and shower spec sheets for exact dimensions.</t>
    </r>
  </si>
  <si>
    <t>Aquatic 1483CST 48" OD x 33-1/2" ID with backing, 6" threshold (Smooth wall, does not come in Tile Look)</t>
  </si>
  <si>
    <t>Aquatic 1483EN 48" OD x 36-1/4" ID, with backing, 
2-3/8" threshold
(Smooth wall, does not come in Tile Look)
(Note: this unit is manufactured on the east coast.  Pricing includes cost to ship here.  This is a long lead time item, all sales final)</t>
  </si>
  <si>
    <t>TOTAL -&gt;</t>
  </si>
  <si>
    <r>
      <t xml:space="preserve">Aquatic 2603CTH 60" x 32" with Tile Look, </t>
    </r>
    <r>
      <rPr>
        <b/>
        <sz val="11"/>
        <color theme="1"/>
        <rFont val="Calibri"/>
        <family val="2"/>
        <scheme val="minor"/>
      </rPr>
      <t>NO GRAB BARS OR SEAT, BACKING ONLY</t>
    </r>
  </si>
  <si>
    <t>HADLEY APARTMENTS - ALTERNATE TUB/SHOWER  SELECTIONS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</si>
</sst>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5" fontId="1" fillId="2" borderId="1" xfId="0" applyNumberFormat="1" applyFont="1" applyFill="1" applyBorder="1"/>
    <xf numFmtId="165" fontId="1" fillId="0" borderId="1" xfId="0" applyNumberFormat="1" applyFont="1" applyBorder="1"/>
    <xf numFmtId="0" fontId="0" fillId="0" borderId="1" xfId="0" applyBorder="1" applyAlignment="1">
      <alignment wrapText="1"/>
    </xf>
    <xf numFmtId="165" fontId="1" fillId="0" borderId="1" xfId="0" applyNumberFormat="1" applyFont="1" applyFill="1" applyBorder="1"/>
    <xf numFmtId="165" fontId="0" fillId="0" borderId="1" xfId="0" applyNumberFormat="1" applyBorder="1"/>
    <xf numFmtId="0" fontId="2" fillId="0" borderId="1" xfId="0" applyFont="1" applyBorder="1" applyAlignment="1">
      <alignment wrapText="1"/>
    </xf>
    <xf numFmtId="164" fontId="0" fillId="0" borderId="1" xfId="0" applyNumberFormat="1" applyFill="1" applyBorder="1"/>
    <xf numFmtId="164" fontId="0" fillId="0" borderId="1" xfId="0" applyNumberFormat="1" applyBorder="1" applyAlignment="1">
      <alignment wrapText="1"/>
    </xf>
    <xf numFmtId="0" fontId="3" fillId="0" borderId="0" xfId="0" applyFont="1" applyAlignment="1">
      <alignment horizontal="center"/>
    </xf>
    <xf numFmtId="0" fontId="0" fillId="0" borderId="2" xfId="0" applyFill="1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left" wrapText="1"/>
    </xf>
    <xf numFmtId="165" fontId="1" fillId="4" borderId="1" xfId="0" applyNumberFormat="1" applyFont="1" applyFill="1" applyBorder="1"/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2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tabSelected="1" workbookViewId="0">
      <selection activeCell="J11" sqref="J11"/>
    </sheetView>
  </sheetViews>
  <sheetFormatPr defaultRowHeight="15" x14ac:dyDescent="0.25"/>
  <cols>
    <col min="1" max="1" width="10.42578125" customWidth="1"/>
    <col min="2" max="2" width="48.140625" customWidth="1"/>
    <col min="3" max="3" width="9" customWidth="1"/>
    <col min="4" max="4" width="8.28515625" customWidth="1"/>
    <col min="5" max="5" width="5.42578125" customWidth="1"/>
    <col min="6" max="6" width="8.7109375" customWidth="1"/>
    <col min="7" max="7" width="7.140625" hidden="1" customWidth="1"/>
    <col min="8" max="8" width="8.7109375" hidden="1" customWidth="1"/>
    <col min="9" max="9" width="4.5703125" customWidth="1"/>
  </cols>
  <sheetData>
    <row r="1" spans="1:10" ht="23.25" x14ac:dyDescent="0.35">
      <c r="A1" s="16" t="s">
        <v>23</v>
      </c>
      <c r="B1" s="16"/>
      <c r="C1" s="16"/>
      <c r="D1" s="16"/>
      <c r="E1" s="16"/>
      <c r="F1" s="16"/>
    </row>
    <row r="2" spans="1:10" ht="10.5" customHeight="1" x14ac:dyDescent="0.35">
      <c r="A2" s="13"/>
      <c r="B2" s="13"/>
      <c r="C2" s="13"/>
      <c r="D2" s="13"/>
      <c r="E2" s="13"/>
      <c r="F2" s="13"/>
    </row>
    <row r="3" spans="1:10" ht="38.25" customHeight="1" x14ac:dyDescent="0.25">
      <c r="A3" s="17" t="s">
        <v>17</v>
      </c>
      <c r="B3" s="17"/>
      <c r="C3" s="17"/>
      <c r="D3" s="17"/>
      <c r="E3" s="17"/>
      <c r="F3" s="17"/>
    </row>
    <row r="4" spans="1:10" ht="10.5" customHeight="1" x14ac:dyDescent="0.35">
      <c r="A4" s="13"/>
      <c r="B4" s="13"/>
      <c r="C4" s="13"/>
      <c r="D4" s="13"/>
      <c r="E4" s="13"/>
      <c r="F4" s="13"/>
    </row>
    <row r="5" spans="1:10" ht="18" customHeight="1" x14ac:dyDescent="0.25">
      <c r="A5" s="17" t="s">
        <v>18</v>
      </c>
      <c r="B5" s="17"/>
      <c r="C5" s="17"/>
      <c r="D5" s="17"/>
      <c r="E5" s="17"/>
      <c r="F5" s="17"/>
    </row>
    <row r="7" spans="1:10" ht="30" x14ac:dyDescent="0.25">
      <c r="A7" s="2"/>
      <c r="B7" s="10" t="s">
        <v>8</v>
      </c>
      <c r="C7" s="2" t="s">
        <v>1</v>
      </c>
      <c r="D7" s="7" t="s">
        <v>2</v>
      </c>
      <c r="E7" s="2" t="s">
        <v>5</v>
      </c>
      <c r="F7" s="3" t="s">
        <v>4</v>
      </c>
      <c r="G7" s="2" t="s">
        <v>3</v>
      </c>
      <c r="H7" s="3" t="s">
        <v>6</v>
      </c>
      <c r="I7" s="14"/>
      <c r="J7" s="15"/>
    </row>
    <row r="8" spans="1:10" x14ac:dyDescent="0.25">
      <c r="A8" s="7" t="s">
        <v>0</v>
      </c>
      <c r="B8" s="7" t="s">
        <v>13</v>
      </c>
      <c r="C8" s="4">
        <v>360</v>
      </c>
      <c r="D8" s="2"/>
      <c r="E8" s="2"/>
      <c r="F8" s="6"/>
      <c r="G8" s="9"/>
      <c r="H8" s="6"/>
    </row>
    <row r="9" spans="1:10" x14ac:dyDescent="0.25">
      <c r="A9" s="7" t="s">
        <v>7</v>
      </c>
      <c r="B9" s="7" t="s">
        <v>14</v>
      </c>
      <c r="C9" s="12">
        <v>314.798</v>
      </c>
      <c r="D9" s="4">
        <f>C9-C8</f>
        <v>-45.201999999999998</v>
      </c>
      <c r="E9" s="2">
        <v>138</v>
      </c>
      <c r="F9" s="5">
        <f>D9*E9</f>
        <v>-6237.8760000000002</v>
      </c>
      <c r="G9" s="9">
        <f>F9*0.1</f>
        <v>-623.78760000000011</v>
      </c>
      <c r="H9" s="5">
        <f>ROUNDDOWN(F9+G9, 0)</f>
        <v>-6861</v>
      </c>
    </row>
    <row r="10" spans="1:10" x14ac:dyDescent="0.25">
      <c r="A10" s="7"/>
      <c r="B10" s="7"/>
      <c r="C10" s="12"/>
      <c r="D10" s="4"/>
      <c r="E10" s="2"/>
      <c r="F10" s="8"/>
      <c r="G10" s="9"/>
      <c r="H10" s="5"/>
    </row>
    <row r="11" spans="1:10" x14ac:dyDescent="0.25">
      <c r="A11" s="7"/>
      <c r="B11" s="7"/>
      <c r="C11" s="4"/>
      <c r="D11" s="4"/>
      <c r="E11" s="2"/>
      <c r="F11" s="8"/>
      <c r="G11" s="9"/>
      <c r="H11" s="8"/>
    </row>
    <row r="12" spans="1:10" ht="15.75" x14ac:dyDescent="0.25">
      <c r="A12" s="7"/>
      <c r="B12" s="10" t="s">
        <v>9</v>
      </c>
      <c r="C12" s="2"/>
      <c r="D12" s="2"/>
      <c r="E12" s="2"/>
      <c r="F12" s="6"/>
      <c r="G12" s="9"/>
      <c r="H12" s="6"/>
    </row>
    <row r="13" spans="1:10" x14ac:dyDescent="0.25">
      <c r="A13" s="7" t="s">
        <v>0</v>
      </c>
      <c r="B13" s="7" t="s">
        <v>10</v>
      </c>
      <c r="C13" s="4">
        <v>948</v>
      </c>
      <c r="D13" s="2"/>
      <c r="E13" s="2"/>
      <c r="F13" s="6"/>
      <c r="G13" s="9"/>
      <c r="H13" s="6"/>
    </row>
    <row r="14" spans="1:10" ht="30" x14ac:dyDescent="0.25">
      <c r="A14" s="7" t="s">
        <v>7</v>
      </c>
      <c r="B14" s="7" t="s">
        <v>22</v>
      </c>
      <c r="C14" s="4">
        <v>313.13</v>
      </c>
      <c r="D14" s="4">
        <f>C14-C13</f>
        <v>-634.87</v>
      </c>
      <c r="E14" s="2">
        <v>11</v>
      </c>
      <c r="F14" s="5">
        <f>D14*E14</f>
        <v>-6983.57</v>
      </c>
      <c r="G14" s="9">
        <f>F14*0.1</f>
        <v>-698.35699999999997</v>
      </c>
      <c r="H14" s="5">
        <f>ROUNDDOWN(F14+G14, 0)</f>
        <v>-7681</v>
      </c>
    </row>
    <row r="15" spans="1:10" x14ac:dyDescent="0.25">
      <c r="A15" s="7"/>
      <c r="B15" s="7"/>
      <c r="C15" s="4"/>
      <c r="D15" s="4"/>
      <c r="E15" s="2"/>
      <c r="F15" s="8"/>
      <c r="G15" s="9"/>
      <c r="H15" s="8"/>
    </row>
    <row r="16" spans="1:10" x14ac:dyDescent="0.25">
      <c r="A16" s="7"/>
      <c r="B16" s="7"/>
      <c r="C16" s="4"/>
      <c r="D16" s="4"/>
      <c r="E16" s="2"/>
      <c r="F16" s="8"/>
      <c r="G16" s="9"/>
      <c r="H16" s="8"/>
    </row>
    <row r="17" spans="1:8" ht="15.75" x14ac:dyDescent="0.25">
      <c r="A17" s="7"/>
      <c r="B17" s="10" t="s">
        <v>11</v>
      </c>
      <c r="C17" s="4"/>
      <c r="D17" s="4"/>
      <c r="E17" s="2"/>
      <c r="F17" s="6"/>
      <c r="G17" s="9"/>
      <c r="H17" s="6"/>
    </row>
    <row r="18" spans="1:8" ht="30" x14ac:dyDescent="0.25">
      <c r="A18" s="7" t="s">
        <v>0</v>
      </c>
      <c r="B18" s="7" t="s">
        <v>16</v>
      </c>
      <c r="C18" s="4">
        <v>360</v>
      </c>
      <c r="D18" s="4"/>
      <c r="E18" s="2"/>
      <c r="F18" s="6"/>
      <c r="G18" s="9"/>
      <c r="H18" s="6"/>
    </row>
    <row r="19" spans="1:8" ht="30" x14ac:dyDescent="0.25">
      <c r="A19" s="7" t="s">
        <v>7</v>
      </c>
      <c r="B19" s="7" t="s">
        <v>19</v>
      </c>
      <c r="C19" s="11">
        <v>379.59</v>
      </c>
      <c r="D19" s="4">
        <f>C19-C18</f>
        <v>19.589999999999975</v>
      </c>
      <c r="E19" s="2">
        <v>20</v>
      </c>
      <c r="F19" s="5">
        <f t="shared" ref="F19" si="0">D19*E19</f>
        <v>391.7999999999995</v>
      </c>
      <c r="G19" s="9">
        <v>0</v>
      </c>
      <c r="H19" s="5">
        <f t="shared" ref="H19" si="1">ROUNDDOWN(F19+G19, 0)</f>
        <v>391</v>
      </c>
    </row>
    <row r="20" spans="1:8" x14ac:dyDescent="0.25">
      <c r="A20" s="7"/>
      <c r="B20" s="7"/>
      <c r="C20" s="11"/>
      <c r="D20" s="4"/>
      <c r="E20" s="2"/>
      <c r="F20" s="8"/>
      <c r="G20" s="9"/>
      <c r="H20" s="8"/>
    </row>
    <row r="21" spans="1:8" x14ac:dyDescent="0.25">
      <c r="A21" s="7"/>
      <c r="B21" s="7"/>
      <c r="C21" s="11"/>
      <c r="D21" s="4"/>
      <c r="E21" s="2"/>
      <c r="F21" s="8"/>
      <c r="G21" s="9"/>
      <c r="H21" s="8"/>
    </row>
    <row r="22" spans="1:8" ht="15.75" x14ac:dyDescent="0.25">
      <c r="A22" s="7"/>
      <c r="B22" s="10" t="s">
        <v>12</v>
      </c>
      <c r="C22" s="11"/>
      <c r="D22" s="4"/>
      <c r="E22" s="2"/>
      <c r="F22" s="6"/>
      <c r="G22" s="9"/>
      <c r="H22" s="6"/>
    </row>
    <row r="23" spans="1:8" ht="30" x14ac:dyDescent="0.25">
      <c r="A23" s="7" t="s">
        <v>0</v>
      </c>
      <c r="B23" s="7" t="s">
        <v>15</v>
      </c>
      <c r="C23" s="11">
        <v>528.5</v>
      </c>
      <c r="D23" s="4"/>
      <c r="E23" s="2"/>
      <c r="F23" s="6"/>
      <c r="G23" s="9"/>
      <c r="H23" s="6"/>
    </row>
    <row r="24" spans="1:8" ht="90" x14ac:dyDescent="0.25">
      <c r="A24" s="7" t="s">
        <v>7</v>
      </c>
      <c r="B24" s="7" t="s">
        <v>20</v>
      </c>
      <c r="C24" s="12">
        <v>467.95</v>
      </c>
      <c r="D24" s="4">
        <f>C24-C23</f>
        <v>-60.550000000000011</v>
      </c>
      <c r="E24" s="2">
        <v>72</v>
      </c>
      <c r="F24" s="5">
        <f>D24*E24</f>
        <v>-4359.6000000000004</v>
      </c>
      <c r="G24" s="9">
        <v>0</v>
      </c>
      <c r="H24" s="5">
        <f>ROUNDDOWN(F24+G24, 0)</f>
        <v>-4359</v>
      </c>
    </row>
    <row r="25" spans="1:8" x14ac:dyDescent="0.25">
      <c r="A25" s="7"/>
      <c r="B25" s="7"/>
      <c r="C25" s="4"/>
      <c r="D25" s="4"/>
      <c r="E25" s="2"/>
      <c r="F25" s="8"/>
      <c r="G25" s="9"/>
      <c r="H25" s="8"/>
    </row>
    <row r="26" spans="1:8" ht="15.75" customHeight="1" x14ac:dyDescent="0.25">
      <c r="A26" s="7"/>
      <c r="B26" s="19" t="s">
        <v>21</v>
      </c>
      <c r="C26" s="20"/>
      <c r="D26" s="20"/>
      <c r="E26" s="21"/>
      <c r="F26" s="18">
        <f>F9+F14+F19+F24</f>
        <v>-17189.245999999999</v>
      </c>
      <c r="G26" s="9"/>
      <c r="H26" s="8"/>
    </row>
    <row r="27" spans="1:8" x14ac:dyDescent="0.25">
      <c r="C27" s="1"/>
      <c r="D27" s="1"/>
      <c r="F27" s="1"/>
      <c r="G27" s="1"/>
      <c r="H27" s="1"/>
    </row>
    <row r="28" spans="1:8" x14ac:dyDescent="0.25">
      <c r="C28" s="1"/>
      <c r="D28" s="1"/>
      <c r="F28" s="1"/>
      <c r="G28" s="1"/>
      <c r="H28" s="1"/>
    </row>
    <row r="29" spans="1:8" x14ac:dyDescent="0.25">
      <c r="C29" s="1"/>
      <c r="D29" s="1"/>
      <c r="F29" s="1"/>
      <c r="G29" s="1"/>
      <c r="H29" s="1"/>
    </row>
    <row r="30" spans="1:8" x14ac:dyDescent="0.25">
      <c r="C30" s="1"/>
      <c r="D30" s="1"/>
      <c r="F30" s="1"/>
      <c r="G30" s="1"/>
      <c r="H30" s="1"/>
    </row>
    <row r="31" spans="1:8" x14ac:dyDescent="0.25">
      <c r="C31" s="1"/>
      <c r="D31" s="1"/>
      <c r="F31" s="1"/>
      <c r="G31" s="1"/>
      <c r="H31" s="1"/>
    </row>
    <row r="32" spans="1:8" x14ac:dyDescent="0.25">
      <c r="C32" s="1"/>
      <c r="D32" s="1"/>
      <c r="F32" s="1"/>
      <c r="G32" s="1"/>
      <c r="H32" s="1"/>
    </row>
    <row r="33" spans="3:8" x14ac:dyDescent="0.25">
      <c r="C33" s="1"/>
      <c r="D33" s="1"/>
      <c r="F33" s="1"/>
      <c r="G33" s="1"/>
      <c r="H33" s="1"/>
    </row>
    <row r="34" spans="3:8" x14ac:dyDescent="0.25">
      <c r="C34" s="1"/>
      <c r="D34" s="1"/>
      <c r="F34" s="1"/>
      <c r="G34" s="1"/>
      <c r="H34" s="1"/>
    </row>
    <row r="35" spans="3:8" x14ac:dyDescent="0.25">
      <c r="C35" s="1"/>
      <c r="D35" s="1"/>
      <c r="F35" s="1"/>
      <c r="G35" s="1"/>
      <c r="H35" s="1"/>
    </row>
    <row r="36" spans="3:8" x14ac:dyDescent="0.25">
      <c r="C36" s="1"/>
      <c r="D36" s="1"/>
      <c r="F36" s="1"/>
      <c r="G36" s="1"/>
      <c r="H36" s="1"/>
    </row>
    <row r="37" spans="3:8" x14ac:dyDescent="0.25">
      <c r="C37" s="1"/>
      <c r="D37" s="1"/>
      <c r="F37" s="1"/>
      <c r="G37" s="1"/>
      <c r="H37" s="1"/>
    </row>
    <row r="38" spans="3:8" x14ac:dyDescent="0.25">
      <c r="C38" s="1"/>
      <c r="D38" s="1"/>
      <c r="F38" s="1"/>
      <c r="G38" s="1"/>
      <c r="H38" s="1"/>
    </row>
    <row r="39" spans="3:8" x14ac:dyDescent="0.25">
      <c r="C39" s="1"/>
      <c r="D39" s="1"/>
      <c r="F39" s="1"/>
      <c r="G39" s="1"/>
      <c r="H39" s="1"/>
    </row>
    <row r="40" spans="3:8" x14ac:dyDescent="0.25">
      <c r="C40" s="1"/>
      <c r="D40" s="1"/>
      <c r="F40" s="1"/>
      <c r="G40" s="1"/>
      <c r="H40" s="1"/>
    </row>
  </sheetData>
  <mergeCells count="4">
    <mergeCell ref="A1:F1"/>
    <mergeCell ref="A3:F3"/>
    <mergeCell ref="A5:F5"/>
    <mergeCell ref="B26:E26"/>
  </mergeCells>
  <pageMargins left="0.7" right="0.7" top="0.75" bottom="0.75" header="0.3" footer="0.3"/>
  <pageSetup scale="98" fitToHeight="3" orientation="portrait" r:id="rId1"/>
  <rowBreaks count="2" manualBreakCount="2">
    <brk id="10" max="16383" man="1"/>
    <brk id="1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2015-06-29T22:59:52Z</cp:lastPrinted>
  <dcterms:created xsi:type="dcterms:W3CDTF">2014-06-30T23:12:10Z</dcterms:created>
  <dcterms:modified xsi:type="dcterms:W3CDTF">2015-07-27T16:45:47Z</dcterms:modified>
</cp:coreProperties>
</file>