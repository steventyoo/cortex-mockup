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1" l="1"/>
  <c r="J25" i="1"/>
  <c r="F25" i="1"/>
  <c r="J24" i="1"/>
  <c r="F24" i="1"/>
  <c r="J23" i="1"/>
  <c r="F23" i="1"/>
  <c r="C16" i="1" l="1"/>
  <c r="F16" i="1" s="1"/>
  <c r="C21" i="1"/>
  <c r="F21" i="1" s="1"/>
  <c r="J21" i="1"/>
  <c r="J20" i="1"/>
  <c r="C20" i="1"/>
  <c r="F20" i="1" s="1"/>
  <c r="C18" i="1"/>
  <c r="F18" i="1" s="1"/>
  <c r="C19" i="1"/>
  <c r="F19" i="1" s="1"/>
  <c r="C17" i="1"/>
  <c r="F17" i="1" s="1"/>
  <c r="F22" i="1"/>
  <c r="J17" i="1"/>
  <c r="J18" i="1"/>
  <c r="J19" i="1"/>
  <c r="J22" i="1"/>
  <c r="J16" i="1" l="1"/>
  <c r="F26" i="1" l="1"/>
  <c r="L27" i="1" l="1"/>
  <c r="L28" i="1" s="1"/>
  <c r="J26" i="1"/>
  <c r="F27" i="1" l="1"/>
  <c r="F28" i="1" s="1"/>
  <c r="J27" i="1"/>
  <c r="J28" i="1" s="1"/>
  <c r="B31" i="1" l="1"/>
</calcChain>
</file>

<file path=xl/sharedStrings.xml><?xml version="1.0" encoding="utf-8"?>
<sst xmlns="http://schemas.openxmlformats.org/spreadsheetml/2006/main" count="101" uniqueCount="32">
  <si>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</si>
  <si>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</si>
  <si>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</si>
  <si>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</si>
  <si>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</si>
  <si>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</si>
  <si>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</si>
  <si>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</si>
  <si>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</si>
  <si>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</si>
  <si>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</si>
  <si>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</si>
  <si>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</si>
  <si>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</si>
  <si>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</si>
  <si>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</si>
  <si>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Totals</t>
  </si>
  <si>
    <t>HR</t>
  </si>
  <si>
    <t>Quan</t>
  </si>
  <si>
    <t>4" Perf Pipe</t>
  </si>
  <si>
    <t>LF</t>
  </si>
  <si>
    <t>6" Perf Pipe</t>
  </si>
  <si>
    <t>Cleanouts</t>
  </si>
  <si>
    <t>2023 LEGACY APARTMENTS</t>
  </si>
  <si>
    <t>HRS</t>
  </si>
  <si>
    <t>6" Tightline to equipment room</t>
  </si>
  <si>
    <t>4" Fittings</t>
  </si>
  <si>
    <t>6" Fittings</t>
  </si>
  <si>
    <t>Type 241 Catch Basin</t>
  </si>
  <si>
    <t>Type 241 Riser</t>
  </si>
  <si>
    <t>Kor N Seal Boots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</si>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</sst>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0.0_);[Red]\(0.0\)"/>
    <numFmt numFmtId="168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6" fillId="0" borderId="3" xfId="0" applyNumberFormat="1" applyFont="1" applyBorder="1" applyAlignment="1">
      <alignment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168" fontId="1" fillId="4" borderId="7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Continuous"/>
    </xf>
    <xf numFmtId="168" fontId="1" fillId="4" borderId="3" xfId="0" applyNumberFormat="1" applyFont="1" applyFill="1" applyBorder="1" applyAlignment="1">
      <alignment horizontal="center"/>
    </xf>
    <xf numFmtId="0" fontId="4" fillId="0" borderId="3" xfId="0" applyFont="1" applyBorder="1"/>
    <xf numFmtId="0" fontId="4" fillId="4" borderId="3" xfId="0" applyFont="1" applyFill="1" applyBorder="1" applyAlignment="1">
      <alignment horizontal="centerContinuous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8" fontId="4" fillId="0" borderId="3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/>
    <xf numFmtId="9" fontId="9" fillId="0" borderId="0" xfId="0" applyNumberFormat="1" applyFont="1"/>
    <xf numFmtId="0" fontId="1" fillId="0" borderId="0" xfId="0" applyFont="1"/>
    <xf numFmtId="164" fontId="4" fillId="0" borderId="0" xfId="0" applyNumberFormat="1" applyFont="1" applyFill="1"/>
    <xf numFmtId="0" fontId="4" fillId="0" borderId="0" xfId="0" applyFont="1" applyFill="1"/>
    <xf numFmtId="0" fontId="1" fillId="0" borderId="0" xfId="0" applyFont="1" applyFill="1" applyAlignment="1">
      <alignment horizontal="right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REVISIONS TO SUB-SLAB VENTING SYSTEM.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tabSelected="1" topLeftCell="A25" zoomScale="130" zoomScaleNormal="130" workbookViewId="0">
      <selection activeCell="B36" sqref="B36:J53"/>
    </sheetView>
  </sheetViews>
  <sheetFormatPr defaultRowHeight="12.75" x14ac:dyDescent="0.2"/>
  <cols>
    <col min="1" max="1" width="4.5703125" bestFit="1" customWidth="1"/>
    <col min="2" max="2" width="29.5703125" customWidth="1"/>
    <col min="3" max="3" width="5" hidden="1" customWidth="1"/>
    <col min="4" max="4" width="5.140625" hidden="1" customWidth="1"/>
    <col min="5" max="5" width="7.85546875" hidden="1" customWidth="1"/>
    <col min="6" max="6" width="8.7109375" customWidth="1"/>
    <col min="7" max="7" width="5" hidden="1" customWidth="1"/>
    <col min="8" max="8" width="5.140625" hidden="1" customWidth="1"/>
    <col min="9" max="9" width="8.28515625" hidden="1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62" t="s">
        <v>23</v>
      </c>
      <c r="J1" s="62"/>
      <c r="K1" s="62"/>
      <c r="L1" s="62"/>
    </row>
    <row r="2" spans="1:15" x14ac:dyDescent="0.2">
      <c r="D2" s="1"/>
      <c r="G2" s="34"/>
      <c r="H2" s="51" t="s">
        <v>12</v>
      </c>
      <c r="I2" s="63">
        <v>41974</v>
      </c>
      <c r="J2" s="62"/>
      <c r="K2" s="62"/>
      <c r="L2" s="62"/>
    </row>
    <row r="3" spans="1:15" x14ac:dyDescent="0.2">
      <c r="D3" s="1"/>
      <c r="G3" s="34"/>
      <c r="H3" s="51" t="s">
        <v>14</v>
      </c>
      <c r="I3" s="50"/>
      <c r="J3" s="35"/>
      <c r="K3" s="35"/>
      <c r="L3" s="35"/>
    </row>
    <row r="4" spans="1:15" ht="24" thickBot="1" x14ac:dyDescent="0.4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5" ht="4.5" customHeight="1" x14ac:dyDescent="0.2">
      <c r="A5" s="65" t="s">
        <v>11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7"/>
    </row>
    <row r="6" spans="1:15" ht="12.75" customHeight="1" x14ac:dyDescent="0.2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70"/>
    </row>
    <row r="7" spans="1:15" ht="4.5" customHeight="1" thickBot="1" x14ac:dyDescent="0.25">
      <c r="A7" s="71"/>
      <c r="B7" s="72"/>
      <c r="C7" s="72"/>
      <c r="D7" s="72"/>
      <c r="E7" s="72"/>
      <c r="F7" s="72"/>
      <c r="G7" s="72"/>
      <c r="H7" s="72"/>
      <c r="I7" s="72"/>
      <c r="J7" s="72"/>
      <c r="K7" s="72"/>
      <c r="L7" s="73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75" t="s">
        <v>10</v>
      </c>
      <c r="D14" s="75"/>
      <c r="E14" s="75"/>
      <c r="F14" s="75"/>
      <c r="G14" s="28" t="s">
        <v>9</v>
      </c>
      <c r="H14" s="27"/>
      <c r="I14" s="27"/>
      <c r="J14" s="74" t="s">
        <v>31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18</v>
      </c>
      <c r="D15" s="21" t="s">
        <v>4</v>
      </c>
      <c r="E15" s="21" t="s">
        <v>5</v>
      </c>
      <c r="F15" s="22" t="s">
        <v>3</v>
      </c>
      <c r="G15" s="21" t="s">
        <v>18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55" t="s">
        <v>19</v>
      </c>
      <c r="C16" s="16">
        <f>0.1*G16</f>
        <v>-53.1</v>
      </c>
      <c r="D16" s="19" t="s">
        <v>24</v>
      </c>
      <c r="E16" s="18">
        <v>60.5</v>
      </c>
      <c r="F16" s="17">
        <f t="shared" ref="F16:F19" si="0">C16*E16</f>
        <v>-3212.55</v>
      </c>
      <c r="G16" s="16">
        <v>-531</v>
      </c>
      <c r="H16" s="19" t="s">
        <v>20</v>
      </c>
      <c r="I16" s="18">
        <v>2.9</v>
      </c>
      <c r="J16" s="17">
        <f>G16*I16</f>
        <v>-1539.8999999999999</v>
      </c>
      <c r="K16" s="16"/>
      <c r="L16" s="15"/>
      <c r="M16" s="14"/>
      <c r="O16" s="53"/>
    </row>
    <row r="17" spans="1:15" x14ac:dyDescent="0.2">
      <c r="A17" s="20"/>
      <c r="B17" s="55" t="s">
        <v>26</v>
      </c>
      <c r="C17" s="16">
        <f>0.72*G17</f>
        <v>-19.439999999999998</v>
      </c>
      <c r="D17" s="19" t="s">
        <v>24</v>
      </c>
      <c r="E17" s="18">
        <v>60.5</v>
      </c>
      <c r="F17" s="17">
        <f t="shared" si="0"/>
        <v>-1176.1199999999999</v>
      </c>
      <c r="G17" s="16">
        <v>-27</v>
      </c>
      <c r="H17" s="19" t="s">
        <v>15</v>
      </c>
      <c r="I17" s="18">
        <v>5.3</v>
      </c>
      <c r="J17" s="17">
        <f t="shared" ref="J17:J25" si="1">G17*I17</f>
        <v>-143.1</v>
      </c>
      <c r="K17" s="16"/>
      <c r="L17" s="15"/>
      <c r="M17" s="14"/>
      <c r="O17" s="53"/>
    </row>
    <row r="18" spans="1:15" ht="13.5" customHeight="1" x14ac:dyDescent="0.2">
      <c r="A18" s="20"/>
      <c r="B18" s="55" t="s">
        <v>21</v>
      </c>
      <c r="C18" s="16">
        <f>0.18*G18</f>
        <v>118.8</v>
      </c>
      <c r="D18" s="19" t="s">
        <v>24</v>
      </c>
      <c r="E18" s="18">
        <v>60.5</v>
      </c>
      <c r="F18" s="17">
        <f t="shared" si="0"/>
        <v>7187.4</v>
      </c>
      <c r="G18" s="16">
        <v>660</v>
      </c>
      <c r="H18" s="19" t="s">
        <v>20</v>
      </c>
      <c r="I18" s="18">
        <v>4.5</v>
      </c>
      <c r="J18" s="17">
        <f t="shared" si="1"/>
        <v>2970</v>
      </c>
      <c r="K18" s="16"/>
      <c r="L18" s="15"/>
      <c r="M18" s="14"/>
      <c r="O18" s="54"/>
    </row>
    <row r="19" spans="1:15" x14ac:dyDescent="0.2">
      <c r="A19" s="20"/>
      <c r="B19" s="55" t="s">
        <v>27</v>
      </c>
      <c r="C19" s="16">
        <f>1.3*G19</f>
        <v>42.9</v>
      </c>
      <c r="D19" s="19" t="s">
        <v>24</v>
      </c>
      <c r="E19" s="18">
        <v>60.5</v>
      </c>
      <c r="F19" s="17">
        <f t="shared" si="0"/>
        <v>2595.4499999999998</v>
      </c>
      <c r="G19" s="16">
        <v>33</v>
      </c>
      <c r="H19" s="19" t="s">
        <v>15</v>
      </c>
      <c r="I19" s="18">
        <v>17.59</v>
      </c>
      <c r="J19" s="17">
        <f t="shared" si="1"/>
        <v>580.47</v>
      </c>
      <c r="K19" s="16"/>
      <c r="L19" s="15"/>
      <c r="M19" s="14"/>
      <c r="O19" s="54"/>
    </row>
    <row r="20" spans="1:15" x14ac:dyDescent="0.2">
      <c r="A20" s="20"/>
      <c r="B20" s="55" t="s">
        <v>25</v>
      </c>
      <c r="C20" s="16">
        <f>0.18*G20</f>
        <v>11.16</v>
      </c>
      <c r="D20" s="19" t="s">
        <v>24</v>
      </c>
      <c r="E20" s="18">
        <v>60.5</v>
      </c>
      <c r="F20" s="17">
        <f t="shared" ref="F20:F21" si="2">C20*E20</f>
        <v>675.18000000000006</v>
      </c>
      <c r="G20" s="16">
        <v>62</v>
      </c>
      <c r="H20" s="19" t="s">
        <v>20</v>
      </c>
      <c r="I20" s="18">
        <v>3.75</v>
      </c>
      <c r="J20" s="17">
        <f t="shared" ref="J20:J21" si="3">G20*I20</f>
        <v>232.5</v>
      </c>
      <c r="K20" s="16"/>
      <c r="L20" s="15"/>
      <c r="M20" s="14"/>
      <c r="O20" s="54"/>
    </row>
    <row r="21" spans="1:15" x14ac:dyDescent="0.2">
      <c r="A21" s="20"/>
      <c r="B21" s="55" t="s">
        <v>27</v>
      </c>
      <c r="C21" s="16">
        <f>1.3*G21</f>
        <v>7.8000000000000007</v>
      </c>
      <c r="D21" s="19" t="s">
        <v>24</v>
      </c>
      <c r="E21" s="18">
        <v>60.5</v>
      </c>
      <c r="F21" s="17">
        <f t="shared" si="2"/>
        <v>471.90000000000003</v>
      </c>
      <c r="G21" s="16">
        <v>6</v>
      </c>
      <c r="H21" s="19" t="s">
        <v>15</v>
      </c>
      <c r="I21" s="18">
        <v>17.59</v>
      </c>
      <c r="J21" s="17">
        <f t="shared" si="3"/>
        <v>105.53999999999999</v>
      </c>
      <c r="K21" s="16"/>
      <c r="L21" s="15"/>
      <c r="M21" s="14"/>
      <c r="O21" s="54"/>
    </row>
    <row r="22" spans="1:15" x14ac:dyDescent="0.2">
      <c r="A22" s="20"/>
      <c r="B22" s="55" t="s">
        <v>22</v>
      </c>
      <c r="C22" s="16">
        <v>10</v>
      </c>
      <c r="D22" s="19" t="s">
        <v>17</v>
      </c>
      <c r="E22" s="18">
        <v>60.5</v>
      </c>
      <c r="F22" s="17">
        <f>C22*E22</f>
        <v>605</v>
      </c>
      <c r="G22" s="16">
        <v>10</v>
      </c>
      <c r="H22" s="19" t="s">
        <v>15</v>
      </c>
      <c r="I22" s="18">
        <v>66.849999999999994</v>
      </c>
      <c r="J22" s="17">
        <f t="shared" si="1"/>
        <v>668.5</v>
      </c>
      <c r="K22" s="16"/>
      <c r="L22" s="15"/>
      <c r="M22" s="14"/>
      <c r="O22" s="54"/>
    </row>
    <row r="23" spans="1:15" x14ac:dyDescent="0.2">
      <c r="A23" s="20"/>
      <c r="B23" s="55" t="s">
        <v>28</v>
      </c>
      <c r="C23" s="16">
        <v>8</v>
      </c>
      <c r="D23" s="19" t="s">
        <v>17</v>
      </c>
      <c r="E23" s="18">
        <v>60.5</v>
      </c>
      <c r="F23" s="17">
        <f>C23*E23</f>
        <v>484</v>
      </c>
      <c r="G23" s="16">
        <v>1</v>
      </c>
      <c r="H23" s="19" t="s">
        <v>15</v>
      </c>
      <c r="I23" s="18">
        <v>357</v>
      </c>
      <c r="J23" s="17">
        <f t="shared" si="1"/>
        <v>357</v>
      </c>
      <c r="K23" s="16"/>
      <c r="L23" s="15"/>
      <c r="M23" s="14"/>
      <c r="O23" s="54"/>
    </row>
    <row r="24" spans="1:15" x14ac:dyDescent="0.2">
      <c r="A24" s="20"/>
      <c r="B24" s="55" t="s">
        <v>29</v>
      </c>
      <c r="C24" s="61">
        <v>0.5</v>
      </c>
      <c r="D24" s="19" t="s">
        <v>17</v>
      </c>
      <c r="E24" s="18">
        <v>60.5</v>
      </c>
      <c r="F24" s="17">
        <f>C24*E24</f>
        <v>30.25</v>
      </c>
      <c r="G24" s="16">
        <v>1</v>
      </c>
      <c r="H24" s="19" t="s">
        <v>15</v>
      </c>
      <c r="I24" s="18">
        <v>72</v>
      </c>
      <c r="J24" s="17">
        <f t="shared" si="1"/>
        <v>72</v>
      </c>
      <c r="K24" s="16"/>
      <c r="L24" s="15"/>
      <c r="M24" s="14"/>
      <c r="O24" s="54"/>
    </row>
    <row r="25" spans="1:15" x14ac:dyDescent="0.2">
      <c r="A25" s="20"/>
      <c r="B25" s="55" t="s">
        <v>30</v>
      </c>
      <c r="C25" s="61">
        <v>0.5</v>
      </c>
      <c r="D25" s="19" t="s">
        <v>17</v>
      </c>
      <c r="E25" s="18">
        <v>60.5</v>
      </c>
      <c r="F25" s="17">
        <f>C25*E25</f>
        <v>30.25</v>
      </c>
      <c r="G25" s="16">
        <v>2</v>
      </c>
      <c r="H25" s="19" t="s">
        <v>15</v>
      </c>
      <c r="I25" s="18">
        <v>60</v>
      </c>
      <c r="J25" s="17">
        <f t="shared" si="1"/>
        <v>120</v>
      </c>
      <c r="K25" s="16"/>
      <c r="L25" s="15"/>
      <c r="M25" s="14"/>
      <c r="O25" s="54"/>
    </row>
    <row r="26" spans="1:15" x14ac:dyDescent="0.2">
      <c r="B26" s="5" t="s">
        <v>2</v>
      </c>
      <c r="D26" s="1"/>
      <c r="F26" s="14">
        <f>SUM(F16:F25)</f>
        <v>7690.7599999999993</v>
      </c>
      <c r="J26" s="14">
        <f>SUM(J16:J25)</f>
        <v>3423.01</v>
      </c>
      <c r="L26" s="14">
        <f>SUM(L16:L25)</f>
        <v>0</v>
      </c>
    </row>
    <row r="27" spans="1:15" x14ac:dyDescent="0.2">
      <c r="B27" s="12" t="s">
        <v>1</v>
      </c>
      <c r="D27" s="1"/>
      <c r="E27" s="13">
        <v>0.15</v>
      </c>
      <c r="F27" s="56">
        <f>+E27*F26</f>
        <v>1153.6139999999998</v>
      </c>
      <c r="I27" s="13">
        <v>0.15</v>
      </c>
      <c r="J27" s="58">
        <f>+I27*J26</f>
        <v>513.45150000000001</v>
      </c>
      <c r="K27" s="13">
        <v>0.15</v>
      </c>
      <c r="L27" s="11">
        <f>+K27*L26</f>
        <v>0</v>
      </c>
    </row>
    <row r="28" spans="1:15" x14ac:dyDescent="0.2">
      <c r="B28" s="10" t="s">
        <v>16</v>
      </c>
      <c r="D28" s="1"/>
      <c r="F28" s="57">
        <f>F26+F27</f>
        <v>8844.3739999999998</v>
      </c>
      <c r="G28" s="9"/>
      <c r="H28" s="9"/>
      <c r="I28" s="9"/>
      <c r="J28" s="59">
        <f>J26+J27</f>
        <v>3936.4615000000003</v>
      </c>
      <c r="K28" s="9"/>
      <c r="L28" s="8">
        <f>L26+L27</f>
        <v>0</v>
      </c>
    </row>
    <row r="29" spans="1:15" ht="13.5" thickBot="1" x14ac:dyDescent="0.25">
      <c r="B29" s="5"/>
      <c r="D29" s="1"/>
      <c r="F29" s="3"/>
      <c r="G29" s="4"/>
      <c r="H29" s="4"/>
      <c r="I29" s="7"/>
      <c r="J29" s="3"/>
      <c r="K29" s="6"/>
      <c r="L29" s="3"/>
    </row>
    <row r="30" spans="1:15" x14ac:dyDescent="0.2">
      <c r="B30" s="2" t="s">
        <v>0</v>
      </c>
      <c r="D30" s="1"/>
    </row>
    <row r="31" spans="1:15" ht="13.5" thickBot="1" x14ac:dyDescent="0.25">
      <c r="B31" s="60">
        <f>F28+J28+L28</f>
        <v>12780.835500000001</v>
      </c>
      <c r="D31" s="1"/>
    </row>
    <row r="36" spans="2:10" x14ac:dyDescent="0.2">
      <c r="B36" s="78"/>
      <c r="C36" s="75" t="s">
        <v>10</v>
      </c>
      <c r="D36" s="75"/>
      <c r="E36" s="75"/>
      <c r="F36" s="75"/>
      <c r="G36" s="76" t="s">
        <v>9</v>
      </c>
      <c r="H36" s="79"/>
      <c r="I36" s="79"/>
      <c r="J36" s="77" t="s">
        <v>31</v>
      </c>
    </row>
    <row r="37" spans="2:10" x14ac:dyDescent="0.2">
      <c r="B37" s="80" t="s">
        <v>6</v>
      </c>
      <c r="C37" s="81" t="s">
        <v>18</v>
      </c>
      <c r="D37" s="81" t="s">
        <v>4</v>
      </c>
      <c r="E37" s="81" t="s">
        <v>5</v>
      </c>
      <c r="F37" s="82" t="s">
        <v>3</v>
      </c>
      <c r="G37" s="81" t="s">
        <v>18</v>
      </c>
      <c r="H37" s="81" t="s">
        <v>4</v>
      </c>
      <c r="I37" s="81" t="s">
        <v>5</v>
      </c>
      <c r="J37" s="82" t="s">
        <v>3</v>
      </c>
    </row>
    <row r="38" spans="2:10" x14ac:dyDescent="0.2">
      <c r="B38" s="55" t="s">
        <v>19</v>
      </c>
      <c r="C38" s="16">
        <v>-53.1</v>
      </c>
      <c r="D38" s="19" t="s">
        <v>24</v>
      </c>
      <c r="E38" s="18">
        <v>60.5</v>
      </c>
      <c r="F38" s="17">
        <v>-3212.55</v>
      </c>
      <c r="G38" s="16">
        <v>-531</v>
      </c>
      <c r="H38" s="19" t="s">
        <v>20</v>
      </c>
      <c r="I38" s="18">
        <v>2.9</v>
      </c>
      <c r="J38" s="17">
        <v>-1539.8999999999999</v>
      </c>
    </row>
    <row r="39" spans="2:10" x14ac:dyDescent="0.2">
      <c r="B39" s="55" t="s">
        <v>26</v>
      </c>
      <c r="C39" s="16">
        <v>-19.439999999999998</v>
      </c>
      <c r="D39" s="19" t="s">
        <v>24</v>
      </c>
      <c r="E39" s="18">
        <v>60.5</v>
      </c>
      <c r="F39" s="17">
        <v>-1176.1199999999999</v>
      </c>
      <c r="G39" s="16">
        <v>-27</v>
      </c>
      <c r="H39" s="19" t="s">
        <v>15</v>
      </c>
      <c r="I39" s="18">
        <v>5.3</v>
      </c>
      <c r="J39" s="17">
        <v>-143.1</v>
      </c>
    </row>
    <row r="40" spans="2:10" x14ac:dyDescent="0.2">
      <c r="B40" s="55" t="s">
        <v>21</v>
      </c>
      <c r="C40" s="16">
        <v>118.8</v>
      </c>
      <c r="D40" s="19" t="s">
        <v>24</v>
      </c>
      <c r="E40" s="18">
        <v>60.5</v>
      </c>
      <c r="F40" s="17">
        <v>7187.4</v>
      </c>
      <c r="G40" s="16">
        <v>660</v>
      </c>
      <c r="H40" s="19" t="s">
        <v>20</v>
      </c>
      <c r="I40" s="18">
        <v>4.5</v>
      </c>
      <c r="J40" s="17">
        <v>2970</v>
      </c>
    </row>
    <row r="41" spans="2:10" x14ac:dyDescent="0.2">
      <c r="B41" s="55" t="s">
        <v>27</v>
      </c>
      <c r="C41" s="16">
        <v>42.9</v>
      </c>
      <c r="D41" s="19" t="s">
        <v>24</v>
      </c>
      <c r="E41" s="18">
        <v>60.5</v>
      </c>
      <c r="F41" s="17">
        <v>2595.4499999999998</v>
      </c>
      <c r="G41" s="16">
        <v>33</v>
      </c>
      <c r="H41" s="19" t="s">
        <v>15</v>
      </c>
      <c r="I41" s="18">
        <v>17.59</v>
      </c>
      <c r="J41" s="17">
        <v>580.47</v>
      </c>
    </row>
    <row r="42" spans="2:10" x14ac:dyDescent="0.2">
      <c r="B42" s="55" t="s">
        <v>25</v>
      </c>
      <c r="C42" s="16">
        <v>11.16</v>
      </c>
      <c r="D42" s="19" t="s">
        <v>24</v>
      </c>
      <c r="E42" s="18">
        <v>60.5</v>
      </c>
      <c r="F42" s="17">
        <v>675.18000000000006</v>
      </c>
      <c r="G42" s="16">
        <v>62</v>
      </c>
      <c r="H42" s="19" t="s">
        <v>20</v>
      </c>
      <c r="I42" s="18">
        <v>3.75</v>
      </c>
      <c r="J42" s="17">
        <v>232.5</v>
      </c>
    </row>
    <row r="43" spans="2:10" x14ac:dyDescent="0.2">
      <c r="B43" s="55" t="s">
        <v>27</v>
      </c>
      <c r="C43" s="16">
        <v>7.8000000000000007</v>
      </c>
      <c r="D43" s="19" t="s">
        <v>24</v>
      </c>
      <c r="E43" s="18">
        <v>60.5</v>
      </c>
      <c r="F43" s="17">
        <v>471.90000000000003</v>
      </c>
      <c r="G43" s="16">
        <v>6</v>
      </c>
      <c r="H43" s="19" t="s">
        <v>15</v>
      </c>
      <c r="I43" s="18">
        <v>17.59</v>
      </c>
      <c r="J43" s="17">
        <v>105.53999999999999</v>
      </c>
    </row>
    <row r="44" spans="2:10" x14ac:dyDescent="0.2">
      <c r="B44" s="55" t="s">
        <v>22</v>
      </c>
      <c r="C44" s="16">
        <v>10</v>
      </c>
      <c r="D44" s="19" t="s">
        <v>17</v>
      </c>
      <c r="E44" s="18">
        <v>60.5</v>
      </c>
      <c r="F44" s="17">
        <v>605</v>
      </c>
      <c r="G44" s="16">
        <v>10</v>
      </c>
      <c r="H44" s="19" t="s">
        <v>15</v>
      </c>
      <c r="I44" s="18">
        <v>66.849999999999994</v>
      </c>
      <c r="J44" s="17">
        <v>668.5</v>
      </c>
    </row>
    <row r="45" spans="2:10" x14ac:dyDescent="0.2">
      <c r="B45" s="55" t="s">
        <v>28</v>
      </c>
      <c r="C45" s="16">
        <v>8</v>
      </c>
      <c r="D45" s="19" t="s">
        <v>17</v>
      </c>
      <c r="E45" s="18">
        <v>60.5</v>
      </c>
      <c r="F45" s="17">
        <v>484</v>
      </c>
      <c r="G45" s="16">
        <v>1</v>
      </c>
      <c r="H45" s="19" t="s">
        <v>15</v>
      </c>
      <c r="I45" s="18">
        <v>357</v>
      </c>
      <c r="J45" s="17">
        <v>357</v>
      </c>
    </row>
    <row r="46" spans="2:10" x14ac:dyDescent="0.2">
      <c r="B46" s="55" t="s">
        <v>29</v>
      </c>
      <c r="C46" s="61">
        <v>0.5</v>
      </c>
      <c r="D46" s="19" t="s">
        <v>17</v>
      </c>
      <c r="E46" s="18">
        <v>60.5</v>
      </c>
      <c r="F46" s="17">
        <v>30.25</v>
      </c>
      <c r="G46" s="16">
        <v>1</v>
      </c>
      <c r="H46" s="19" t="s">
        <v>15</v>
      </c>
      <c r="I46" s="18">
        <v>72</v>
      </c>
      <c r="J46" s="17">
        <v>72</v>
      </c>
    </row>
    <row r="47" spans="2:10" x14ac:dyDescent="0.2">
      <c r="B47" s="55" t="s">
        <v>30</v>
      </c>
      <c r="C47" s="61">
        <v>0.5</v>
      </c>
      <c r="D47" s="19" t="s">
        <v>17</v>
      </c>
      <c r="E47" s="18">
        <v>60.5</v>
      </c>
      <c r="F47" s="17">
        <v>30.25</v>
      </c>
      <c r="G47" s="16">
        <v>2</v>
      </c>
      <c r="H47" s="19" t="s">
        <v>15</v>
      </c>
      <c r="I47" s="18">
        <v>60</v>
      </c>
      <c r="J47" s="17">
        <v>120</v>
      </c>
    </row>
    <row r="48" spans="2:10" x14ac:dyDescent="0.2">
      <c r="B48" s="5" t="s">
        <v>2</v>
      </c>
      <c r="C48" s="83"/>
      <c r="D48" s="84"/>
      <c r="E48" s="83"/>
      <c r="F48" s="85">
        <v>7690.7599999999993</v>
      </c>
      <c r="G48" s="83"/>
      <c r="H48" s="83"/>
      <c r="I48" s="83"/>
      <c r="J48" s="85">
        <v>3423.01</v>
      </c>
    </row>
    <row r="49" spans="2:10" x14ac:dyDescent="0.2">
      <c r="B49" s="12" t="s">
        <v>1</v>
      </c>
      <c r="C49" s="83"/>
      <c r="D49" s="84"/>
      <c r="E49" s="86">
        <v>0.15</v>
      </c>
      <c r="F49" s="56">
        <v>1153.6139999999998</v>
      </c>
      <c r="G49" s="83"/>
      <c r="H49" s="83"/>
      <c r="I49" s="86">
        <v>0.15</v>
      </c>
      <c r="J49" s="58">
        <v>513.45150000000001</v>
      </c>
    </row>
    <row r="50" spans="2:10" x14ac:dyDescent="0.2">
      <c r="B50" s="5" t="s">
        <v>16</v>
      </c>
      <c r="C50" s="83"/>
      <c r="D50" s="84"/>
      <c r="E50" s="83"/>
      <c r="F50" s="57">
        <v>8844.3739999999998</v>
      </c>
      <c r="G50" s="87"/>
      <c r="H50" s="87"/>
      <c r="I50" s="87"/>
      <c r="J50" s="59">
        <v>3936.4615000000003</v>
      </c>
    </row>
    <row r="51" spans="2:10" ht="13.5" thickBot="1" x14ac:dyDescent="0.25">
      <c r="B51" s="5"/>
      <c r="C51" s="83"/>
      <c r="D51" s="84"/>
      <c r="E51" s="83"/>
      <c r="F51" s="88"/>
      <c r="G51" s="89"/>
      <c r="H51" s="89"/>
      <c r="I51" s="90"/>
      <c r="J51" s="88"/>
    </row>
    <row r="52" spans="2:10" x14ac:dyDescent="0.2">
      <c r="B52" s="2" t="s">
        <v>0</v>
      </c>
      <c r="C52" s="83"/>
      <c r="D52" s="84"/>
      <c r="E52" s="83"/>
      <c r="F52" s="83"/>
      <c r="G52" s="83"/>
      <c r="H52" s="83"/>
      <c r="I52" s="83"/>
      <c r="J52" s="83"/>
    </row>
    <row r="53" spans="2:10" ht="13.5" thickBot="1" x14ac:dyDescent="0.25">
      <c r="B53" s="60">
        <v>12780.835500000001</v>
      </c>
      <c r="C53" s="83"/>
      <c r="D53" s="84"/>
      <c r="E53" s="83"/>
      <c r="F53" s="83"/>
      <c r="G53" s="83"/>
      <c r="H53" s="83"/>
      <c r="I53" s="83"/>
      <c r="J53" s="83"/>
    </row>
  </sheetData>
  <mergeCells count="6">
    <mergeCell ref="C36:F36"/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2014-12-03T00:57:29Z</dcterms:modified>
</cp:coreProperties>
</file>