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# OWP LLC COMPLETED JOB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J17" i="1" l="1"/>
  <c r="L21" i="1" l="1"/>
  <c r="F20" i="1"/>
  <c r="F19" i="1"/>
  <c r="J21" i="1" l="1"/>
  <c r="J22" i="1" s="1"/>
  <c r="J23" i="1" s="1"/>
  <c r="F21" i="1"/>
  <c r="F22" i="1" s="1"/>
  <c r="F23" i="1" s="1"/>
  <c r="L22" i="1"/>
  <c r="L23" i="1" s="1"/>
  <c r="B26" i="1" l="1"/>
</calcChain>
</file>

<file path=xl/sharedStrings.xml><?xml version="1.0" encoding="utf-8"?>
<sst xmlns="http://schemas.openxmlformats.org/spreadsheetml/2006/main" count="32" uniqueCount="24">
  <si>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</si>
  <si>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</si>
  <si>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</si>
  <si>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</si>
  <si>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</si>
  <si>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</si>
  <si>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</si>
  <si>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</si>
  <si>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</si>
  <si>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</si>
  <si>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</si>
  <si>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</si>
  <si>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</si>
  <si>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</si>
  <si>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</si>
  <si>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Quan</t>
  </si>
  <si>
    <t>HRS</t>
  </si>
  <si>
    <t>Subtotal</t>
  </si>
  <si>
    <t>LS</t>
  </si>
  <si>
    <t>LABOR</t>
  </si>
  <si>
    <t>ADMINISTRATIVE</t>
  </si>
  <si>
    <t>2023 Hadley</t>
  </si>
  <si>
    <t>MISCELLANEOUS MATERIAL</t>
  </si>
  <si>
    <t>PAINT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</si>
</sst>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166" fontId="6" fillId="0" borderId="3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0" fontId="8" fillId="0" borderId="3" xfId="0" applyFont="1" applyBorder="1" applyAlignment="1">
      <alignment horizontal="left" vertical="top"/>
    </xf>
    <xf numFmtId="168" fontId="6" fillId="0" borderId="3" xfId="0" applyNumberFormat="1" applyFont="1" applyBorder="1" applyAlignment="1">
      <alignment horizontal="right" vertical="top" wrapText="1"/>
    </xf>
    <xf numFmtId="6" fontId="1" fillId="2" borderId="1" xfId="1" applyNumberFormat="1" applyFont="1" applyFill="1" applyBorder="1"/>
    <xf numFmtId="168" fontId="6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install temporary connection to retail gas meter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tabSelected="1" zoomScale="130" zoomScaleNormal="130" workbookViewId="0">
      <selection activeCell="I25" sqref="I25"/>
    </sheetView>
  </sheetViews>
  <sheetFormatPr defaultRowHeight="12.75" x14ac:dyDescent="0.2"/>
  <cols>
    <col min="1" max="1" width="4.5703125" bestFit="1" customWidth="1"/>
    <col min="2" max="2" width="39.140625" customWidth="1"/>
    <col min="3" max="3" width="5.7109375" customWidth="1"/>
    <col min="4" max="4" width="5.140625" bestFit="1" customWidth="1"/>
    <col min="5" max="5" width="8.28515625" bestFit="1" customWidth="1"/>
    <col min="6" max="6" width="8.28515625" customWidth="1"/>
    <col min="7" max="7" width="5.42578125" customWidth="1"/>
    <col min="8" max="8" width="5.140625" bestFit="1" customWidth="1"/>
    <col min="9" max="9" width="8.140625" customWidth="1"/>
    <col min="10" max="10" width="7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2" x14ac:dyDescent="0.2">
      <c r="D1" s="1"/>
      <c r="H1" s="50" t="s">
        <v>12</v>
      </c>
      <c r="I1" s="58" t="s">
        <v>21</v>
      </c>
      <c r="J1" s="58"/>
      <c r="K1" s="58"/>
      <c r="L1" s="58"/>
    </row>
    <row r="2" spans="1:12" x14ac:dyDescent="0.2">
      <c r="D2" s="1"/>
      <c r="G2" s="32"/>
      <c r="H2" s="49" t="s">
        <v>11</v>
      </c>
      <c r="I2" s="59">
        <v>42712</v>
      </c>
      <c r="J2" s="58"/>
      <c r="K2" s="58"/>
      <c r="L2" s="58"/>
    </row>
    <row r="3" spans="1:12" x14ac:dyDescent="0.2">
      <c r="D3" s="1"/>
      <c r="G3" s="32"/>
      <c r="H3" s="49" t="s">
        <v>13</v>
      </c>
      <c r="I3" s="48"/>
      <c r="J3" s="33"/>
      <c r="K3" s="33"/>
      <c r="L3" s="33"/>
    </row>
    <row r="4" spans="1:12" ht="24" thickBot="1" x14ac:dyDescent="0.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 ht="4.5" customHeight="1" x14ac:dyDescent="0.2">
      <c r="A5" s="64" t="s">
        <v>10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</row>
    <row r="6" spans="1:12" ht="12.75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9"/>
    </row>
    <row r="7" spans="1:12" ht="4.5" customHeight="1" thickBot="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2"/>
    </row>
    <row r="8" spans="1:12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12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12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12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12" ht="6" customHeight="1" x14ac:dyDescent="0.2">
      <c r="D12" s="1"/>
      <c r="G12" s="32"/>
      <c r="H12" s="31"/>
      <c r="I12" s="34"/>
      <c r="J12" s="33"/>
      <c r="K12" s="33"/>
      <c r="L12" s="33"/>
    </row>
    <row r="13" spans="1:12" ht="6" customHeight="1" x14ac:dyDescent="0.2">
      <c r="D13" s="1"/>
      <c r="E13" s="32"/>
      <c r="F13" s="31"/>
      <c r="G13" s="30"/>
      <c r="H13" s="30"/>
      <c r="I13" s="30"/>
      <c r="J13" s="29"/>
    </row>
    <row r="14" spans="1:12" x14ac:dyDescent="0.2">
      <c r="A14" s="28"/>
      <c r="B14" s="27"/>
      <c r="C14" s="60" t="s">
        <v>9</v>
      </c>
      <c r="D14" s="61"/>
      <c r="E14" s="61"/>
      <c r="F14" s="62"/>
      <c r="G14" s="26" t="s">
        <v>8</v>
      </c>
      <c r="H14" s="25"/>
      <c r="I14" s="25"/>
      <c r="J14" s="24"/>
      <c r="K14" s="23" t="s">
        <v>7</v>
      </c>
      <c r="L14" s="22"/>
    </row>
    <row r="15" spans="1:12" x14ac:dyDescent="0.2">
      <c r="A15" s="21" t="s">
        <v>6</v>
      </c>
      <c r="B15" s="20" t="s">
        <v>5</v>
      </c>
      <c r="C15" s="18" t="s">
        <v>15</v>
      </c>
      <c r="D15" s="18" t="s">
        <v>3</v>
      </c>
      <c r="E15" s="18" t="s">
        <v>4</v>
      </c>
      <c r="F15" s="19" t="s">
        <v>2</v>
      </c>
      <c r="G15" s="18" t="s">
        <v>15</v>
      </c>
      <c r="H15" s="18" t="s">
        <v>3</v>
      </c>
      <c r="I15" s="18" t="s">
        <v>4</v>
      </c>
      <c r="J15" s="19" t="s">
        <v>2</v>
      </c>
      <c r="K15" s="18" t="s">
        <v>3</v>
      </c>
      <c r="L15" s="18" t="s">
        <v>2</v>
      </c>
    </row>
    <row r="16" spans="1:12" x14ac:dyDescent="0.2">
      <c r="A16" s="16"/>
      <c r="B16" s="54"/>
      <c r="C16" s="55"/>
      <c r="D16" s="15"/>
      <c r="E16" s="17"/>
      <c r="F16" s="13"/>
      <c r="G16" s="12"/>
      <c r="H16" s="15"/>
      <c r="I16" s="14"/>
      <c r="J16" s="13"/>
      <c r="K16" s="12"/>
      <c r="L16" s="11"/>
    </row>
    <row r="17" spans="1:12" x14ac:dyDescent="0.2">
      <c r="A17" s="16"/>
      <c r="B17" s="51" t="s">
        <v>22</v>
      </c>
      <c r="C17" s="57"/>
      <c r="D17" s="15"/>
      <c r="E17" s="14"/>
      <c r="F17" s="13"/>
      <c r="G17" s="12">
        <v>1</v>
      </c>
      <c r="H17" s="15" t="s">
        <v>18</v>
      </c>
      <c r="I17" s="14">
        <v>102.34</v>
      </c>
      <c r="J17" s="13">
        <f t="shared" ref="J17:J18" si="0">G17*I17</f>
        <v>102.34</v>
      </c>
      <c r="K17" s="12"/>
      <c r="L17" s="11"/>
    </row>
    <row r="18" spans="1:12" x14ac:dyDescent="0.2">
      <c r="A18" s="16"/>
      <c r="B18" s="51" t="s">
        <v>23</v>
      </c>
      <c r="C18" s="12"/>
      <c r="D18" s="15"/>
      <c r="E18" s="14"/>
      <c r="F18" s="13"/>
      <c r="G18" s="12">
        <v>1</v>
      </c>
      <c r="H18" s="15" t="s">
        <v>14</v>
      </c>
      <c r="I18" s="14">
        <v>12</v>
      </c>
      <c r="J18" s="13">
        <f t="shared" si="0"/>
        <v>12</v>
      </c>
      <c r="K18" s="12"/>
      <c r="L18" s="11"/>
    </row>
    <row r="19" spans="1:12" x14ac:dyDescent="0.2">
      <c r="A19" s="16"/>
      <c r="B19" s="51" t="s">
        <v>19</v>
      </c>
      <c r="C19" s="57">
        <v>4</v>
      </c>
      <c r="D19" s="15" t="s">
        <v>16</v>
      </c>
      <c r="E19" s="14">
        <v>80</v>
      </c>
      <c r="F19" s="13">
        <f>E19*C19</f>
        <v>320</v>
      </c>
      <c r="G19" s="12"/>
      <c r="H19" s="15"/>
      <c r="I19" s="14"/>
      <c r="J19" s="13"/>
      <c r="K19" s="12"/>
      <c r="L19" s="11"/>
    </row>
    <row r="20" spans="1:12" x14ac:dyDescent="0.2">
      <c r="A20" s="16"/>
      <c r="B20" s="51" t="s">
        <v>20</v>
      </c>
      <c r="C20" s="57">
        <v>0.5</v>
      </c>
      <c r="D20" s="15" t="s">
        <v>16</v>
      </c>
      <c r="E20" s="14">
        <v>80</v>
      </c>
      <c r="F20" s="13">
        <f>E20*C20</f>
        <v>40</v>
      </c>
      <c r="G20" s="12"/>
      <c r="H20" s="15"/>
      <c r="I20" s="14"/>
      <c r="J20" s="13"/>
      <c r="K20" s="12"/>
      <c r="L20" s="11"/>
    </row>
    <row r="21" spans="1:12" x14ac:dyDescent="0.2">
      <c r="B21" s="5" t="s">
        <v>1</v>
      </c>
      <c r="D21" s="1"/>
      <c r="F21" s="10">
        <f>SUM(F16:F20)</f>
        <v>360</v>
      </c>
      <c r="J21" s="10">
        <f>SUM(J16:J20)</f>
        <v>114.34</v>
      </c>
      <c r="L21" s="10">
        <f>SUM(L16:L20)</f>
        <v>0</v>
      </c>
    </row>
    <row r="22" spans="1:12" x14ac:dyDescent="0.2">
      <c r="B22" s="8" t="s">
        <v>0</v>
      </c>
      <c r="D22" s="1"/>
      <c r="E22" s="9">
        <v>0.4</v>
      </c>
      <c r="F22" s="52">
        <f>+E22*F21</f>
        <v>144</v>
      </c>
      <c r="I22" s="9">
        <v>0.4</v>
      </c>
      <c r="J22" s="52">
        <f>+I22*J21</f>
        <v>45.736000000000004</v>
      </c>
      <c r="K22" s="9">
        <v>0.2</v>
      </c>
      <c r="L22" s="52">
        <f>+K22*L21</f>
        <v>0</v>
      </c>
    </row>
    <row r="23" spans="1:12" x14ac:dyDescent="0.2">
      <c r="B23" s="7" t="s">
        <v>17</v>
      </c>
      <c r="D23" s="1"/>
      <c r="F23" s="53">
        <f>F21+F22</f>
        <v>504</v>
      </c>
      <c r="G23" s="6"/>
      <c r="H23" s="6"/>
      <c r="I23" s="6"/>
      <c r="J23" s="53">
        <f>J21+J22</f>
        <v>160.07600000000002</v>
      </c>
      <c r="K23" s="6"/>
      <c r="L23" s="53">
        <f>L21+L22</f>
        <v>0</v>
      </c>
    </row>
    <row r="24" spans="1:12" ht="13.5" thickBot="1" x14ac:dyDescent="0.25">
      <c r="B24" s="5"/>
      <c r="D24" s="1"/>
      <c r="F24" s="3"/>
      <c r="G24" s="4"/>
      <c r="H24" s="4"/>
      <c r="I24" s="4"/>
      <c r="J24" s="3"/>
      <c r="K24" s="4"/>
      <c r="L24" s="3"/>
    </row>
    <row r="25" spans="1:12" x14ac:dyDescent="0.2">
      <c r="B25" s="2" t="s">
        <v>2</v>
      </c>
      <c r="D25" s="1"/>
    </row>
    <row r="26" spans="1:12" ht="13.5" thickBot="1" x14ac:dyDescent="0.25">
      <c r="B26" s="56">
        <f>F23+J23+L23</f>
        <v>664.07600000000002</v>
      </c>
      <c r="D26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2015-09-01T17:34:10Z</cp:lastPrinted>
  <dcterms:created xsi:type="dcterms:W3CDTF">2014-07-14T23:11:07Z</dcterms:created>
  <dcterms:modified xsi:type="dcterms:W3CDTF">2017-01-31T21:13:05Z</dcterms:modified>
</cp:coreProperties>
</file>