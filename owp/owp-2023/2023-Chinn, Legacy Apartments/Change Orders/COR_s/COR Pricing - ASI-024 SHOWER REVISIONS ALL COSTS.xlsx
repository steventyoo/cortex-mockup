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2435"/>
  </bookViews>
  <sheets>
    <sheet name="COR" sheetId="1" r:id="rId1"/>
    <sheet name="hour breakdown" sheetId="3" r:id="rId2"/>
    <sheet name="4-20" sheetId="4" r:id="rId3"/>
    <sheet name="4-27" sheetId="5" r:id="rId4"/>
    <sheet name="5-4" sheetId="6" r:id="rId5"/>
    <sheet name="5-11" sheetId="7" r:id="rId6"/>
    <sheet name="5-18" sheetId="8" r:id="rId7"/>
    <sheet name="5-25" sheetId="9" r:id="rId8"/>
    <sheet name="6-1" sheetId="10" r:id="rId9"/>
    <sheet name="6-8" sheetId="11" r:id="rId10"/>
    <sheet name="6-15" sheetId="13" r:id="rId11"/>
    <sheet name="RD 4-6" sheetId="14" r:id="rId12"/>
    <sheet name="RD 4-13" sheetId="15" r:id="rId13"/>
    <sheet name="RD 4-20" sheetId="16" r:id="rId14"/>
    <sheet name="RD 5-18" sheetId="17" r:id="rId15"/>
    <sheet name="RD 5-25" sheetId="18" r:id="rId16"/>
    <sheet name="RD 6-15" sheetId="19" r:id="rId17"/>
    <sheet name="JG 4-20" sheetId="20" r:id="rId18"/>
    <sheet name="JG 5-18" sheetId="21" r:id="rId19"/>
    <sheet name="JG 5-25" sheetId="22" r:id="rId20"/>
    <sheet name="JG 6-1" sheetId="23" r:id="rId21"/>
    <sheet name="BH 4-20" sheetId="24" r:id="rId22"/>
    <sheet name="BH 4-27" sheetId="25" r:id="rId23"/>
    <sheet name="BH 6-1" sheetId="26" r:id="rId24"/>
  </sheets>
  <definedNames>
    <definedName name="_xlnm.Print_Area" localSheetId="2">'4-20'!$A$1:$U$36</definedName>
    <definedName name="_xlnm.Print_Area" localSheetId="3">'4-27'!$A$1:$U$36</definedName>
    <definedName name="_xlnm.Print_Area" localSheetId="5">'5-11'!$A$1:$U$38</definedName>
    <definedName name="_xlnm.Print_Area" localSheetId="6">'5-18'!$A$1:$U$36</definedName>
    <definedName name="_xlnm.Print_Area" localSheetId="7">'5-25'!$A$1:$U$39</definedName>
    <definedName name="_xlnm.Print_Area" localSheetId="4">'5-4'!$A$1:$U$35</definedName>
    <definedName name="_xlnm.Print_Area" localSheetId="8">'6-1'!$A$1:$U$35</definedName>
    <definedName name="_xlnm.Print_Area" localSheetId="10">'6-15'!$A$1:$U$37</definedName>
    <definedName name="_xlnm.Print_Area" localSheetId="9">'6-8'!$A$1:$U$37</definedName>
    <definedName name="_xlnm.Print_Area" localSheetId="21">'BH 4-20'!$A$1:$U$31</definedName>
    <definedName name="_xlnm.Print_Area" localSheetId="22">'BH 4-27'!$A$1:$U$31</definedName>
    <definedName name="_xlnm.Print_Area" localSheetId="23">'BH 6-1'!$A$1:$U$32</definedName>
    <definedName name="_xlnm.Print_Area" localSheetId="0">COR!$Q$16:$CF$35</definedName>
    <definedName name="_xlnm.Print_Area" localSheetId="1">'hour breakdown'!$A$2:$AR$46</definedName>
    <definedName name="_xlnm.Print_Area" localSheetId="17">'JG 4-20'!$A$1:$U$31</definedName>
    <definedName name="_xlnm.Print_Area" localSheetId="18">'JG 5-18'!$A$1:$U$31</definedName>
    <definedName name="_xlnm.Print_Area" localSheetId="19">'JG 5-25'!$A$1:$U$31</definedName>
    <definedName name="_xlnm.Print_Area" localSheetId="20">'JG 6-1'!$A$1:$U$31</definedName>
    <definedName name="_xlnm.Print_Area" localSheetId="12">'RD 4-13'!$A$1:$U$31</definedName>
    <definedName name="_xlnm.Print_Area" localSheetId="13">'RD 4-20'!$A$1:$U$31</definedName>
    <definedName name="_xlnm.Print_Area" localSheetId="11">'RD 4-6'!$A$1:$U$31</definedName>
    <definedName name="_xlnm.Print_Area" localSheetId="14">'RD 5-18'!$A$1:$U$31</definedName>
    <definedName name="_xlnm.Print_Area" localSheetId="15">'RD 5-25'!$A$1:$U$31</definedName>
    <definedName name="_xlnm.Print_Area" localSheetId="16">'RD 6-15'!$A$1:$U$31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17" i="1"/>
  <c r="N95" i="1"/>
  <c r="O96" i="1" l="1"/>
  <c r="N94" i="1"/>
  <c r="N96" i="1" s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17" i="1"/>
  <c r="N97" i="1" l="1"/>
  <c r="N98" i="1" s="1"/>
  <c r="J83" i="1"/>
  <c r="AI46" i="3"/>
  <c r="AH46" i="3"/>
  <c r="AG46" i="3"/>
  <c r="AF46" i="3"/>
  <c r="AE46" i="3"/>
  <c r="AD46" i="3"/>
  <c r="AC46" i="3"/>
  <c r="F6" i="26"/>
  <c r="I6" i="26" s="1"/>
  <c r="L6" i="26" s="1"/>
  <c r="O6" i="26" s="1"/>
  <c r="U10" i="26"/>
  <c r="U11" i="26"/>
  <c r="U12" i="26"/>
  <c r="U13" i="26"/>
  <c r="U14" i="26"/>
  <c r="U15" i="26"/>
  <c r="U16" i="26"/>
  <c r="U17" i="26"/>
  <c r="U18" i="26"/>
  <c r="U19" i="26"/>
  <c r="U20" i="26"/>
  <c r="U21" i="26"/>
  <c r="U22" i="26"/>
  <c r="U23" i="26"/>
  <c r="U24" i="26"/>
  <c r="U25" i="26"/>
  <c r="U26" i="26"/>
  <c r="U27" i="26"/>
  <c r="U28" i="26"/>
  <c r="U29" i="26"/>
  <c r="U30" i="26"/>
  <c r="U31" i="26"/>
  <c r="J84" i="1" l="1"/>
  <c r="J85" i="1" s="1"/>
  <c r="R6" i="26"/>
  <c r="F6" i="25"/>
  <c r="I6" i="25" s="1"/>
  <c r="L6" i="25" s="1"/>
  <c r="O6" i="25" s="1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R6" i="25" l="1"/>
  <c r="F6" i="24"/>
  <c r="R6" i="24" s="1"/>
  <c r="I6" i="24"/>
  <c r="L6" i="24" s="1"/>
  <c r="O6" i="24" s="1"/>
  <c r="U10" i="24"/>
  <c r="U11" i="24"/>
  <c r="U12" i="24"/>
  <c r="U13" i="24"/>
  <c r="U14" i="24"/>
  <c r="U15" i="24"/>
  <c r="U16" i="24"/>
  <c r="U17" i="24"/>
  <c r="U18" i="24"/>
  <c r="U19" i="24"/>
  <c r="U20" i="24"/>
  <c r="U21" i="24"/>
  <c r="U22" i="24"/>
  <c r="U23" i="24"/>
  <c r="U24" i="24"/>
  <c r="U25" i="24"/>
  <c r="U26" i="24"/>
  <c r="U27" i="24"/>
  <c r="U28" i="24"/>
  <c r="U29" i="24"/>
  <c r="U30" i="24"/>
  <c r="U31" i="24"/>
  <c r="F6" i="23" l="1"/>
  <c r="I6" i="23" s="1"/>
  <c r="L6" i="23" s="1"/>
  <c r="O6" i="23" s="1"/>
  <c r="U10" i="23"/>
  <c r="U11" i="23"/>
  <c r="U12" i="23"/>
  <c r="U13" i="23"/>
  <c r="U14" i="23"/>
  <c r="U15" i="23"/>
  <c r="U16" i="23"/>
  <c r="U17" i="23"/>
  <c r="U18" i="23"/>
  <c r="U19" i="23"/>
  <c r="U20" i="23"/>
  <c r="U21" i="23"/>
  <c r="U22" i="23"/>
  <c r="U23" i="23"/>
  <c r="U24" i="23"/>
  <c r="U25" i="23"/>
  <c r="U26" i="23"/>
  <c r="U27" i="23"/>
  <c r="U28" i="23"/>
  <c r="U29" i="23"/>
  <c r="U30" i="23"/>
  <c r="U31" i="23"/>
  <c r="R6" i="23" l="1"/>
  <c r="F6" i="22"/>
  <c r="I6" i="22" s="1"/>
  <c r="L6" i="22" s="1"/>
  <c r="O6" i="22" s="1"/>
  <c r="R6" i="22"/>
  <c r="U10" i="22"/>
  <c r="U11" i="22"/>
  <c r="U12" i="22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F6" i="21" l="1"/>
  <c r="I6" i="21" s="1"/>
  <c r="L6" i="21" s="1"/>
  <c r="O6" i="21" s="1"/>
  <c r="U10" i="21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U25" i="21"/>
  <c r="U26" i="21"/>
  <c r="U27" i="21"/>
  <c r="U28" i="21"/>
  <c r="U29" i="21"/>
  <c r="U30" i="21"/>
  <c r="U31" i="21"/>
  <c r="R6" i="21" l="1"/>
  <c r="F6" i="20"/>
  <c r="I6" i="20" s="1"/>
  <c r="L6" i="20" s="1"/>
  <c r="O6" i="20" s="1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U30" i="20"/>
  <c r="U31" i="20"/>
  <c r="R6" i="20" l="1"/>
  <c r="F6" i="19"/>
  <c r="I6" i="19" s="1"/>
  <c r="L6" i="19" s="1"/>
  <c r="O6" i="19" s="1"/>
  <c r="U10" i="19"/>
  <c r="U8" i="19" s="1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R6" i="19" l="1"/>
  <c r="F6" i="18"/>
  <c r="R6" i="18" s="1"/>
  <c r="I6" i="18"/>
  <c r="L6" i="18" s="1"/>
  <c r="O6" i="18" s="1"/>
  <c r="U10" i="18"/>
  <c r="U8" i="18" s="1"/>
  <c r="U11" i="18"/>
  <c r="U12" i="18"/>
  <c r="U13" i="18"/>
  <c r="U14" i="18"/>
  <c r="U15" i="18"/>
  <c r="U16" i="18"/>
  <c r="U17" i="18"/>
  <c r="U18" i="18"/>
  <c r="U19" i="18"/>
  <c r="U20" i="18"/>
  <c r="U21" i="18"/>
  <c r="U22" i="18"/>
  <c r="U23" i="18"/>
  <c r="U24" i="18"/>
  <c r="U25" i="18"/>
  <c r="U26" i="18"/>
  <c r="U27" i="18"/>
  <c r="U28" i="18"/>
  <c r="U29" i="18"/>
  <c r="U30" i="18"/>
  <c r="U31" i="18"/>
  <c r="F6" i="17" l="1"/>
  <c r="I6" i="17" s="1"/>
  <c r="L6" i="17" s="1"/>
  <c r="O6" i="17" s="1"/>
  <c r="U10" i="17"/>
  <c r="U11" i="17"/>
  <c r="U12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8" i="17" l="1"/>
  <c r="R6" i="17"/>
  <c r="F6" i="16"/>
  <c r="I6" i="16" s="1"/>
  <c r="L6" i="16" s="1"/>
  <c r="O6" i="16" s="1"/>
  <c r="R6" i="16"/>
  <c r="U10" i="16"/>
  <c r="U11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8" i="16" l="1"/>
  <c r="F6" i="15"/>
  <c r="I6" i="15" s="1"/>
  <c r="L6" i="15" s="1"/>
  <c r="O6" i="15" s="1"/>
  <c r="U10" i="15"/>
  <c r="U8" i="15" s="1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R6" i="15" l="1"/>
  <c r="F6" i="14"/>
  <c r="R6" i="14" s="1"/>
  <c r="I6" i="14"/>
  <c r="L6" i="14" s="1"/>
  <c r="O6" i="14" s="1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8" i="14" l="1"/>
  <c r="U11" i="8"/>
  <c r="U12" i="8"/>
  <c r="U11" i="6"/>
  <c r="U12" i="6"/>
  <c r="U11" i="7"/>
  <c r="U12" i="7"/>
  <c r="U36" i="7"/>
  <c r="U36" i="4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F6" i="13"/>
  <c r="R6" i="13" s="1"/>
  <c r="I6" i="13" l="1"/>
  <c r="L6" i="13" s="1"/>
  <c r="O6" i="13" s="1"/>
  <c r="U39" i="9"/>
  <c r="U38" i="9"/>
  <c r="U36" i="8" l="1"/>
  <c r="U34" i="8"/>
  <c r="U35" i="8"/>
  <c r="U36" i="5" l="1"/>
  <c r="U35" i="5"/>
  <c r="U38" i="7" l="1"/>
  <c r="U37" i="7"/>
  <c r="U15" i="9" l="1"/>
  <c r="U14" i="9"/>
  <c r="U36" i="11" l="1"/>
  <c r="U35" i="11"/>
  <c r="U34" i="10" l="1"/>
  <c r="U36" i="9" l="1"/>
  <c r="U33" i="8" l="1"/>
  <c r="U35" i="7" l="1"/>
  <c r="U35" i="6" l="1"/>
  <c r="U34" i="5" l="1"/>
  <c r="U33" i="5"/>
  <c r="U10" i="7" l="1"/>
  <c r="U12" i="5"/>
  <c r="U11" i="5"/>
  <c r="U10" i="5"/>
  <c r="U12" i="11"/>
  <c r="U11" i="11"/>
  <c r="U10" i="11"/>
  <c r="U9" i="11"/>
  <c r="U11" i="10" l="1"/>
  <c r="U10" i="10"/>
  <c r="U9" i="10"/>
  <c r="U11" i="9" l="1"/>
  <c r="U10" i="9"/>
  <c r="U9" i="9"/>
  <c r="U10" i="8" l="1"/>
  <c r="U9" i="8"/>
  <c r="U8" i="8"/>
  <c r="U9" i="7" l="1"/>
  <c r="U8" i="7"/>
  <c r="U10" i="6" l="1"/>
  <c r="U9" i="6"/>
  <c r="U8" i="6"/>
  <c r="Q11" i="4" l="1"/>
  <c r="K12" i="4"/>
  <c r="N11" i="4"/>
  <c r="F6" i="11"/>
  <c r="I6" i="11" s="1"/>
  <c r="L6" i="11" s="1"/>
  <c r="O6" i="11" s="1"/>
  <c r="U8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7" i="11"/>
  <c r="R6" i="11" l="1"/>
  <c r="F6" i="10"/>
  <c r="I6" i="10" s="1"/>
  <c r="L6" i="10" s="1"/>
  <c r="O6" i="10" s="1"/>
  <c r="U8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5" i="10"/>
  <c r="R6" i="10" l="1"/>
  <c r="F6" i="9"/>
  <c r="I6" i="9" s="1"/>
  <c r="L6" i="9" s="1"/>
  <c r="O6" i="9" s="1"/>
  <c r="U8" i="9"/>
  <c r="U12" i="9"/>
  <c r="U13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7" i="9"/>
  <c r="R6" i="9" l="1"/>
  <c r="F6" i="8"/>
  <c r="I6" i="8" s="1"/>
  <c r="L6" i="8" s="1"/>
  <c r="O6" i="8" s="1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R6" i="8" l="1"/>
  <c r="F6" i="7"/>
  <c r="I6" i="7" s="1"/>
  <c r="L6" i="7" s="1"/>
  <c r="O6" i="7" s="1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R6" i="7" l="1"/>
  <c r="F6" i="6"/>
  <c r="I6" i="6" s="1"/>
  <c r="L6" i="6" s="1"/>
  <c r="O6" i="6" s="1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R6" i="6" l="1"/>
  <c r="F6" i="5"/>
  <c r="I6" i="5" s="1"/>
  <c r="L6" i="5" s="1"/>
  <c r="O6" i="5" s="1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7" i="5"/>
  <c r="U38" i="5"/>
  <c r="R6" i="5" l="1"/>
  <c r="F6" i="4"/>
  <c r="I6" i="4" s="1"/>
  <c r="L6" i="4" s="1"/>
  <c r="O6" i="4" s="1"/>
  <c r="R6" i="4"/>
  <c r="U13" i="4"/>
  <c r="U14" i="4"/>
  <c r="U10" i="4"/>
  <c r="U11" i="4"/>
  <c r="U12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B28" i="3" l="1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27" i="3"/>
  <c r="B4" i="3" l="1"/>
  <c r="B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C23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N87" i="1"/>
  <c r="N89" i="1" s="1"/>
  <c r="B23" i="3" l="1"/>
  <c r="C18" i="1"/>
  <c r="H18" i="1" s="1"/>
  <c r="C19" i="1"/>
  <c r="H19" i="1" s="1"/>
  <c r="C20" i="1"/>
  <c r="H20" i="1" s="1"/>
  <c r="C21" i="1"/>
  <c r="H21" i="1" s="1"/>
  <c r="C22" i="1"/>
  <c r="H22" i="1" s="1"/>
  <c r="C23" i="1"/>
  <c r="H23" i="1" s="1"/>
  <c r="C24" i="1"/>
  <c r="H24" i="1" s="1"/>
  <c r="C25" i="1"/>
  <c r="H25" i="1" s="1"/>
  <c r="C26" i="1"/>
  <c r="H26" i="1" s="1"/>
  <c r="C27" i="1"/>
  <c r="H27" i="1" s="1"/>
  <c r="C28" i="1"/>
  <c r="H28" i="1" s="1"/>
  <c r="C29" i="1"/>
  <c r="H29" i="1" s="1"/>
  <c r="C30" i="1"/>
  <c r="H30" i="1" s="1"/>
  <c r="C31" i="1"/>
  <c r="H31" i="1" s="1"/>
  <c r="C32" i="1"/>
  <c r="H32" i="1" s="1"/>
  <c r="C33" i="1"/>
  <c r="H33" i="1" s="1"/>
  <c r="C34" i="1"/>
  <c r="H34" i="1" s="1"/>
  <c r="C35" i="1"/>
  <c r="H35" i="1" s="1"/>
  <c r="C17" i="1"/>
  <c r="H17" i="1" s="1"/>
  <c r="H83" i="1" l="1"/>
  <c r="H84" i="1" s="1"/>
  <c r="B107" i="1" s="1"/>
  <c r="H85" i="1" l="1"/>
  <c r="D35" i="1" l="1"/>
  <c r="I35" i="1" s="1"/>
  <c r="D34" i="1"/>
  <c r="I34" i="1" s="1"/>
  <c r="D23" i="1" l="1"/>
  <c r="I23" i="1" s="1"/>
  <c r="D18" i="1" l="1"/>
  <c r="D19" i="1"/>
  <c r="I19" i="1" s="1"/>
  <c r="D20" i="1"/>
  <c r="D21" i="1"/>
  <c r="D22" i="1"/>
  <c r="D24" i="1"/>
  <c r="D25" i="1"/>
  <c r="D26" i="1"/>
  <c r="D27" i="1"/>
  <c r="D28" i="1"/>
  <c r="D29" i="1"/>
  <c r="D30" i="1"/>
  <c r="D31" i="1"/>
  <c r="D32" i="1"/>
  <c r="D33" i="1"/>
  <c r="D17" i="1"/>
  <c r="N81" i="1" l="1"/>
  <c r="K79" i="1"/>
  <c r="N79" i="1" s="1"/>
  <c r="K80" i="1"/>
  <c r="N80" i="1" s="1"/>
  <c r="N76" i="1"/>
  <c r="N75" i="1"/>
  <c r="N73" i="1"/>
  <c r="N54" i="1" l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K52" i="1" l="1"/>
  <c r="N52" i="1" s="1"/>
  <c r="K51" i="1"/>
  <c r="N51" i="1" s="1"/>
  <c r="K50" i="1"/>
  <c r="N50" i="1" s="1"/>
  <c r="K49" i="1"/>
  <c r="N49" i="1" s="1"/>
  <c r="K48" i="1"/>
  <c r="N48" i="1" s="1"/>
  <c r="K47" i="1"/>
  <c r="N47" i="1" s="1"/>
  <c r="K46" i="1"/>
  <c r="N46" i="1" s="1"/>
  <c r="K45" i="1"/>
  <c r="N45" i="1" s="1"/>
  <c r="K44" i="1"/>
  <c r="N44" i="1" s="1"/>
  <c r="K43" i="1"/>
  <c r="N43" i="1" s="1"/>
  <c r="K42" i="1"/>
  <c r="N42" i="1" s="1"/>
  <c r="K41" i="1"/>
  <c r="N41" i="1" s="1"/>
  <c r="I26" i="1"/>
  <c r="I25" i="1"/>
  <c r="P83" i="1"/>
  <c r="I20" i="1"/>
  <c r="I18" i="1"/>
  <c r="I22" i="1"/>
  <c r="I24" i="1"/>
  <c r="I28" i="1"/>
  <c r="I29" i="1"/>
  <c r="I33" i="1"/>
  <c r="I17" i="1"/>
  <c r="I21" i="1"/>
  <c r="I32" i="1"/>
  <c r="I31" i="1"/>
  <c r="I30" i="1"/>
  <c r="N83" i="1" l="1"/>
  <c r="I27" i="1"/>
  <c r="I83" i="1" s="1"/>
  <c r="O83" i="1" l="1"/>
  <c r="O89" i="1" s="1"/>
  <c r="P84" i="1" l="1"/>
  <c r="P85" i="1" l="1"/>
  <c r="I84" i="1" l="1"/>
  <c r="I85" i="1" l="1"/>
  <c r="N84" i="1"/>
  <c r="N85" i="1" l="1"/>
  <c r="B101" i="1" l="1"/>
  <c r="N90" i="1"/>
  <c r="N91" i="1" s="1"/>
  <c r="B104" i="1" s="1"/>
</calcChain>
</file>

<file path=xl/comments1.xml><?xml version="1.0" encoding="utf-8"?>
<comments xmlns="http://schemas.openxmlformats.org/spreadsheetml/2006/main">
  <authors>
    <author>Richard Donelson</author>
  </authors>
  <commentList>
    <comment ref="BA25" authorId="0" shapeId="0">
      <text>
        <r>
          <rPr>
            <b/>
            <sz val="9"/>
            <color indexed="81"/>
            <rFont val="Tahoma"/>
            <charset val="1"/>
          </rPr>
          <t>Richard Donelson:</t>
        </r>
        <r>
          <rPr>
            <sz val="9"/>
            <color indexed="81"/>
            <rFont val="Tahoma"/>
            <charset val="1"/>
          </rPr>
          <t xml:space="preserve">
per joe phone call
</t>
        </r>
      </text>
    </comment>
    <comment ref="BA26" authorId="0" shapeId="0">
      <text>
        <r>
          <rPr>
            <b/>
            <sz val="9"/>
            <color indexed="81"/>
            <rFont val="Tahoma"/>
            <charset val="1"/>
          </rPr>
          <t>Richard Donelson:</t>
        </r>
        <r>
          <rPr>
            <sz val="9"/>
            <color indexed="81"/>
            <rFont val="Tahoma"/>
            <charset val="1"/>
          </rPr>
          <t xml:space="preserve">
per joe phone call</t>
        </r>
      </text>
    </comment>
  </commentList>
</comments>
</file>

<file path=xl/sharedStrings.xml><?xml version="1.0" encoding="utf-8"?>
<sst xmlns="http://schemas.openxmlformats.org/spreadsheetml/2006/main" count="1523" uniqueCount="193">
  <si>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</si>
  <si>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</si>
  <si>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</si>
  <si>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</si>
  <si>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</si>
  <si>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</si>
  <si>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</si>
  <si>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</si>
  <si>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</si>
  <si>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</si>
  <si>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</si>
  <si>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</si>
  <si>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</si>
  <si>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</si>
  <si>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</si>
  <si>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</si>
  <si>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2023 LEGACY APARTMENTS</t>
  </si>
  <si>
    <t>HRS</t>
  </si>
  <si>
    <t>Material</t>
  </si>
  <si>
    <t>LS</t>
  </si>
  <si>
    <t>EA</t>
  </si>
  <si>
    <t>ASI-024 SHOWER CHANGE</t>
  </si>
  <si>
    <t>RICHARD DONELSON - PROJECT MANAGER</t>
  </si>
  <si>
    <t>JEFF GERARD - PROJECT MANAGER</t>
  </si>
  <si>
    <t>BOB HUBBARD - SUPERINTENDENT</t>
  </si>
  <si>
    <t>JOE BARNHART - FOREMAN</t>
  </si>
  <si>
    <t>THADDEUS WAITES - FOREMAN</t>
  </si>
  <si>
    <t>KELLI ROSS - JOURNEYMAN</t>
  </si>
  <si>
    <t>JOSE ESPARZA - APPRENTICE</t>
  </si>
  <si>
    <t>GARRET WILSON - APPRENTICE</t>
  </si>
  <si>
    <t>JOHN WENNIG - APPRENTICE</t>
  </si>
  <si>
    <t>RICARDO BALDARES - APPRENTICE</t>
  </si>
  <si>
    <t>STEVEN BROWN - APPRENTICE</t>
  </si>
  <si>
    <t>MITCH GERARD - APPRENTICE</t>
  </si>
  <si>
    <t>ELI RIVERA - APPRENTICE</t>
  </si>
  <si>
    <t>JJ KINNSIES - APPRENTICE</t>
  </si>
  <si>
    <t>JORDAN GARCIA - APPRENTICE</t>
  </si>
  <si>
    <t>ANDREW GARDNER - APPRENTICE</t>
  </si>
  <si>
    <t>SCISSOR LIFT FOR THE MONTH OF MAY</t>
  </si>
  <si>
    <t>2X1-1/2 TEE</t>
  </si>
  <si>
    <t>1-1/2 90</t>
  </si>
  <si>
    <t>2X1-1/2 BUSH</t>
  </si>
  <si>
    <t>1-1/2 45 ST</t>
  </si>
  <si>
    <t>1-1/2 45 REG</t>
  </si>
  <si>
    <t>2 COUPLING</t>
  </si>
  <si>
    <t>2 45 ST</t>
  </si>
  <si>
    <t>2 45 REG</t>
  </si>
  <si>
    <t>2 90 REG</t>
  </si>
  <si>
    <t>TEST TEE</t>
  </si>
  <si>
    <t>2 PIPE</t>
  </si>
  <si>
    <t>1-1/2 PIPE</t>
  </si>
  <si>
    <t>TUB VENT STACK AND REVENTS MATERIAL X 12:</t>
  </si>
  <si>
    <t>AW VENT STACK AND REVENT AND MISC X 1:</t>
  </si>
  <si>
    <t>2X1-1/2X2 TEE</t>
  </si>
  <si>
    <t>2 PTRAP</t>
  </si>
  <si>
    <t>2 TEST TEE</t>
  </si>
  <si>
    <t>LF</t>
  </si>
  <si>
    <t>ANCHORS, HANGERS, SUPPORTS, GLUE, ACOUSTICAL TAPE, P-TAPE, MISCELLANEOUS</t>
  </si>
  <si>
    <t>PVC MATERIALS:</t>
  </si>
  <si>
    <t>CAST IRON MATERIALS:</t>
  </si>
  <si>
    <t>2" CAST IRON</t>
  </si>
  <si>
    <t>ALL FITTINGS WERE ABLE TO BE RE-USED</t>
  </si>
  <si>
    <t>NO-HUB BANDS</t>
  </si>
  <si>
    <t>PEX MATERIALS:</t>
  </si>
  <si>
    <t>1/2" PEX RING</t>
  </si>
  <si>
    <t>1/2" PEX COUPLING</t>
  </si>
  <si>
    <t>1/2" PEX PIPE</t>
  </si>
  <si>
    <t>SCAN-2-CORE 4/19</t>
  </si>
  <si>
    <t>SCAN-2-CORE 4/20</t>
  </si>
  <si>
    <t>THROUGH 6/10/16</t>
  </si>
  <si>
    <t>HUGO PALMA - JOURNEYMAN</t>
  </si>
  <si>
    <t>TOMMY MCCABE - APPRENTICE</t>
  </si>
  <si>
    <t>JESUS MENDOZA - APPRENTICE</t>
  </si>
  <si>
    <t>Quan 6/10</t>
  </si>
  <si>
    <t>Quan 5/13</t>
  </si>
  <si>
    <t>TOTAL THRU 6/10</t>
  </si>
  <si>
    <t>TOTAL THRU 5/13</t>
  </si>
  <si>
    <t>MATERIALS THROUGH 6/10</t>
  </si>
  <si>
    <t>GROUT</t>
  </si>
  <si>
    <t>Thru 5/13</t>
  </si>
  <si>
    <t>Employee &amp; Title</t>
  </si>
  <si>
    <t>TOTAL</t>
  </si>
  <si>
    <t>APRIL</t>
  </si>
  <si>
    <t>MAY</t>
  </si>
  <si>
    <t>JUNE</t>
  </si>
  <si>
    <t>off</t>
  </si>
  <si>
    <t>WILSON GARRETT</t>
  </si>
  <si>
    <t>pto</t>
  </si>
  <si>
    <t xml:space="preserve">cash out </t>
  </si>
  <si>
    <t>WENNING JOHN</t>
  </si>
  <si>
    <t xml:space="preserve">WAITES THADDEUS </t>
  </si>
  <si>
    <t>WEEKEND</t>
  </si>
  <si>
    <t>WEDNESDAY</t>
  </si>
  <si>
    <t>TUESDAY</t>
  </si>
  <si>
    <t>MONDAY</t>
  </si>
  <si>
    <t xml:space="preserve">   FRIDAY</t>
  </si>
  <si>
    <t>THURSDAY</t>
  </si>
  <si>
    <t>LEGACY</t>
  </si>
  <si>
    <t>ROSS KELLI</t>
  </si>
  <si>
    <t>RIVERA ELI</t>
  </si>
  <si>
    <t>left early</t>
  </si>
  <si>
    <t>McCABE TOM</t>
  </si>
  <si>
    <t>court</t>
  </si>
  <si>
    <t>KINSSIES JJ</t>
  </si>
  <si>
    <t>GARDNER ANDREW</t>
  </si>
  <si>
    <t>GARCIA  JORDAN</t>
  </si>
  <si>
    <t>ESPARZA JOSE</t>
  </si>
  <si>
    <t>BROWN STEVEN</t>
  </si>
  <si>
    <t>BARNHART JOE</t>
  </si>
  <si>
    <t>BALDERAS RICARDO</t>
  </si>
  <si>
    <t xml:space="preserve"> NAME</t>
  </si>
  <si>
    <t>140-GAS</t>
  </si>
  <si>
    <t>112-CANOUT</t>
  </si>
  <si>
    <t>EVERYDAY</t>
  </si>
  <si>
    <t>2031-GATEWAY</t>
  </si>
  <si>
    <t>2027-550 BROADWAY</t>
  </si>
  <si>
    <t>2023-LEGACY</t>
  </si>
  <si>
    <t>143- CONDENSATION</t>
  </si>
  <si>
    <t>130- FINISH</t>
  </si>
  <si>
    <t>111-GARAGE</t>
  </si>
  <si>
    <t xml:space="preserve"> CONFIRM HOURS</t>
  </si>
  <si>
    <t>2030-EAST UNION</t>
  </si>
  <si>
    <t>2026-525 BOREN</t>
  </si>
  <si>
    <t>2021-ADMIRAL</t>
  </si>
  <si>
    <t>142- MECH ROOM</t>
  </si>
  <si>
    <t>120-ROUGH IN</t>
  </si>
  <si>
    <t>110- UNDERGROUND</t>
  </si>
  <si>
    <t>2029-PARSONAGE</t>
  </si>
  <si>
    <t>2025-CORA</t>
  </si>
  <si>
    <t>2019-8REP</t>
  </si>
  <si>
    <t>141- MAIN / INSULATION</t>
  </si>
  <si>
    <t>LABOR CODES</t>
  </si>
  <si>
    <t>050-CLOSED JOBS</t>
  </si>
  <si>
    <t>2028-RESERVE LYNNWOOD</t>
  </si>
  <si>
    <t>2024-MERRILL GARDENS</t>
  </si>
  <si>
    <t>2014-PIKE MOTORWORKS</t>
  </si>
  <si>
    <t>dr.appt</t>
  </si>
  <si>
    <t>SICK</t>
  </si>
  <si>
    <t>OFF</t>
  </si>
  <si>
    <t>PALMA VIDES HUGO</t>
  </si>
  <si>
    <t>PALMA VIDES JORGE</t>
  </si>
  <si>
    <t>surgery</t>
  </si>
  <si>
    <t>SHOP</t>
  </si>
  <si>
    <t>CLASS</t>
  </si>
  <si>
    <t>doc app</t>
  </si>
  <si>
    <t>off testing</t>
  </si>
  <si>
    <t>Lori sick</t>
  </si>
  <si>
    <t>100 A WEEK</t>
  </si>
  <si>
    <t>loan??</t>
  </si>
  <si>
    <t>off court</t>
  </si>
  <si>
    <t>cash out pto</t>
  </si>
  <si>
    <t xml:space="preserve">off </t>
  </si>
  <si>
    <t xml:space="preserve">off   </t>
  </si>
  <si>
    <t>LEFT EARLY</t>
  </si>
  <si>
    <t>PERSONAL</t>
  </si>
  <si>
    <t>MENDOZA JESUS</t>
  </si>
  <si>
    <t>day in jail</t>
  </si>
  <si>
    <t>sick</t>
  </si>
  <si>
    <t>holiday</t>
  </si>
  <si>
    <t xml:space="preserve">holiday </t>
  </si>
  <si>
    <t>call in 😵</t>
  </si>
  <si>
    <t>151-T&amp;M</t>
  </si>
  <si>
    <t>CASH OUT PTO</t>
  </si>
  <si>
    <t>personal</t>
  </si>
  <si>
    <t>GERARD MITCHELL</t>
  </si>
  <si>
    <t>TIMECARD NOT FILLED OUT AT THIS TIME, BUT THE FOLLOWING IS WHAT WAS SPENT ON T&amp;M ISSUE:</t>
  </si>
  <si>
    <t>whistler</t>
  </si>
  <si>
    <t>050</t>
  </si>
  <si>
    <t>DONELSON RICHARD</t>
  </si>
  <si>
    <t>C#</t>
  </si>
  <si>
    <t>OWP</t>
  </si>
  <si>
    <t>RICHARD</t>
  </si>
  <si>
    <t>2026-BOREN</t>
  </si>
  <si>
    <t>101 - TAKEOFF &amp; PURCHASE</t>
  </si>
  <si>
    <t>2025-HARRISON</t>
  </si>
  <si>
    <t>2020-BMV</t>
  </si>
  <si>
    <t>100 - SUPERVISION</t>
  </si>
  <si>
    <t>golf w/ exxel</t>
  </si>
  <si>
    <t>151 - T&amp;M</t>
  </si>
  <si>
    <t>LA wedding</t>
  </si>
  <si>
    <t>HUBBARD DUSTIN</t>
  </si>
  <si>
    <t>GERARD JEFF</t>
  </si>
  <si>
    <t>GERARD</t>
  </si>
  <si>
    <t>2022-INTERLAKE</t>
  </si>
  <si>
    <t>2015-ROOSTER</t>
  </si>
  <si>
    <t>O50</t>
  </si>
  <si>
    <t>HUBBARD BOB</t>
  </si>
  <si>
    <t>HUBBARD</t>
  </si>
  <si>
    <t>Thru 6/15</t>
  </si>
  <si>
    <t>Quan 6/29</t>
  </si>
  <si>
    <t>MATERIALS THROUGH 6/29</t>
  </si>
  <si>
    <t>CORE DRILLING</t>
  </si>
  <si>
    <t>FIRESTOPPING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</si>
</sst>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m/d;@"/>
    <numFmt numFmtId="169" formatCode="0.0_);[Red]\(0.0\)"/>
    <numFmt numFmtId="170" formatCode="0.0"/>
  </numFmts>
  <fonts count="32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rial"/>
    </font>
    <font>
      <b/>
      <sz val="16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4"/>
      <color rgb="FFFF0000"/>
      <name val="Arial"/>
      <family val="2"/>
    </font>
    <font>
      <sz val="11"/>
      <color rgb="FFFF0000"/>
      <name val="Arial"/>
      <family val="2"/>
    </font>
    <font>
      <b/>
      <i/>
      <sz val="8"/>
      <name val="Arial"/>
      <family val="2"/>
    </font>
    <font>
      <b/>
      <sz val="10"/>
      <name val="Arial Black"/>
      <family val="2"/>
    </font>
    <font>
      <b/>
      <sz val="12"/>
      <name val="Arial"/>
      <family val="2"/>
    </font>
    <font>
      <sz val="24"/>
      <name val="Arial"/>
      <family val="2"/>
    </font>
    <font>
      <b/>
      <sz val="24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4"/>
      <color rgb="FFC00000"/>
      <name val="Arial"/>
      <family val="2"/>
    </font>
    <font>
      <sz val="14"/>
      <name val="Arial Black"/>
      <family val="2"/>
    </font>
    <font>
      <sz val="11"/>
      <color rgb="FFC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</borders>
  <cellStyleXfs count="5">
    <xf numFmtId="0" fontId="0" fillId="0" borderId="0"/>
    <xf numFmtId="8" fontId="3" fillId="0" borderId="0" applyFont="0" applyFill="0" applyBorder="0" applyAlignment="0" applyProtection="0"/>
    <xf numFmtId="0" fontId="4" fillId="0" borderId="0"/>
    <xf numFmtId="0" fontId="12" fillId="0" borderId="0"/>
    <xf numFmtId="0" fontId="4" fillId="0" borderId="0"/>
  </cellStyleXfs>
  <cellXfs count="198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168" fontId="0" fillId="0" borderId="3" xfId="0" applyNumberFormat="1" applyBorder="1" applyAlignment="1">
      <alignment horizontal="center"/>
    </xf>
    <xf numFmtId="165" fontId="6" fillId="0" borderId="3" xfId="0" applyNumberFormat="1" applyFont="1" applyBorder="1" applyAlignment="1">
      <alignment horizontal="center" vertical="top" wrapText="1"/>
    </xf>
    <xf numFmtId="168" fontId="0" fillId="7" borderId="3" xfId="0" applyNumberFormat="1" applyFill="1" applyBorder="1" applyAlignment="1">
      <alignment horizontal="center"/>
    </xf>
    <xf numFmtId="165" fontId="6" fillId="7" borderId="3" xfId="0" applyNumberFormat="1" applyFont="1" applyFill="1" applyBorder="1" applyAlignment="1">
      <alignment horizontal="center" vertical="top" wrapText="1"/>
    </xf>
    <xf numFmtId="169" fontId="6" fillId="0" borderId="3" xfId="0" applyNumberFormat="1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/>
    </xf>
    <xf numFmtId="165" fontId="9" fillId="0" borderId="3" xfId="0" applyNumberFormat="1" applyFont="1" applyBorder="1" applyAlignment="1">
      <alignment vertical="top" wrapText="1"/>
    </xf>
    <xf numFmtId="165" fontId="9" fillId="11" borderId="3" xfId="0" applyNumberFormat="1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2" fillId="0" borderId="0" xfId="3"/>
    <xf numFmtId="0" fontId="12" fillId="0" borderId="0" xfId="3" applyAlignment="1">
      <alignment horizontal="left"/>
    </xf>
    <xf numFmtId="0" fontId="12" fillId="0" borderId="0" xfId="3" applyAlignment="1"/>
    <xf numFmtId="170" fontId="13" fillId="0" borderId="20" xfId="3" applyNumberFormat="1" applyFont="1" applyBorder="1" applyAlignment="1">
      <alignment horizontal="center" vertical="center"/>
    </xf>
    <xf numFmtId="0" fontId="12" fillId="0" borderId="0" xfId="3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2" fillId="0" borderId="0" xfId="3" applyFill="1" applyAlignment="1">
      <alignment horizontal="center" vertical="center"/>
    </xf>
    <xf numFmtId="0" fontId="15" fillId="0" borderId="0" xfId="3" applyFont="1" applyFill="1" applyBorder="1" applyAlignment="1">
      <alignment horizontal="center" vertical="center"/>
    </xf>
    <xf numFmtId="0" fontId="14" fillId="0" borderId="0" xfId="3" applyFont="1" applyFill="1" applyBorder="1" applyAlignment="1">
      <alignment horizontal="center" vertical="center"/>
    </xf>
    <xf numFmtId="49" fontId="1" fillId="0" borderId="0" xfId="3" applyNumberFormat="1" applyFont="1" applyAlignment="1">
      <alignment horizontal="center" vertical="center"/>
    </xf>
    <xf numFmtId="0" fontId="14" fillId="0" borderId="0" xfId="3" applyFont="1" applyFill="1" applyAlignment="1">
      <alignment horizontal="center" vertical="center"/>
    </xf>
    <xf numFmtId="0" fontId="15" fillId="0" borderId="0" xfId="3" applyFont="1" applyBorder="1" applyAlignment="1">
      <alignment horizontal="center" vertical="center"/>
    </xf>
    <xf numFmtId="0" fontId="14" fillId="0" borderId="0" xfId="3" applyFont="1" applyBorder="1" applyAlignment="1">
      <alignment horizontal="center" vertical="center"/>
    </xf>
    <xf numFmtId="0" fontId="4" fillId="0" borderId="0" xfId="3" applyFont="1" applyFill="1" applyAlignment="1">
      <alignment horizontal="center" vertical="center"/>
    </xf>
    <xf numFmtId="0" fontId="16" fillId="0" borderId="0" xfId="3" applyFont="1" applyFill="1" applyBorder="1" applyAlignment="1">
      <alignment horizontal="center" vertical="center"/>
    </xf>
    <xf numFmtId="0" fontId="17" fillId="0" borderId="0" xfId="3" applyFont="1" applyFill="1" applyBorder="1" applyAlignment="1">
      <alignment horizontal="center" vertical="center"/>
    </xf>
    <xf numFmtId="8" fontId="15" fillId="0" borderId="0" xfId="3" applyNumberFormat="1" applyFont="1" applyFill="1" applyBorder="1" applyAlignment="1">
      <alignment horizontal="center" vertical="center"/>
    </xf>
    <xf numFmtId="0" fontId="12" fillId="0" borderId="0" xfId="3" applyBorder="1" applyAlignment="1"/>
    <xf numFmtId="6" fontId="15" fillId="0" borderId="0" xfId="3" applyNumberFormat="1" applyFont="1" applyFill="1" applyBorder="1" applyAlignment="1">
      <alignment horizontal="center" vertical="center"/>
    </xf>
    <xf numFmtId="0" fontId="1" fillId="0" borderId="0" xfId="3" applyFont="1" applyBorder="1" applyAlignment="1">
      <alignment horizontal="center" vertical="center"/>
    </xf>
    <xf numFmtId="0" fontId="1" fillId="0" borderId="0" xfId="3" applyFont="1" applyFill="1" applyBorder="1" applyAlignment="1">
      <alignment horizontal="center" vertical="center"/>
    </xf>
    <xf numFmtId="6" fontId="14" fillId="0" borderId="0" xfId="3" applyNumberFormat="1" applyFont="1" applyBorder="1" applyAlignment="1">
      <alignment horizontal="center" vertical="center"/>
    </xf>
    <xf numFmtId="0" fontId="9" fillId="0" borderId="0" xfId="3" applyFont="1" applyBorder="1" applyAlignment="1">
      <alignment horizontal="left"/>
    </xf>
    <xf numFmtId="0" fontId="18" fillId="0" borderId="0" xfId="3" applyFont="1" applyBorder="1" applyAlignment="1">
      <alignment horizontal="center" vertical="center"/>
    </xf>
    <xf numFmtId="0" fontId="17" fillId="0" borderId="0" xfId="3" applyFont="1" applyBorder="1" applyAlignment="1">
      <alignment horizontal="center" vertical="center"/>
    </xf>
    <xf numFmtId="0" fontId="19" fillId="0" borderId="0" xfId="3" applyFont="1" applyBorder="1" applyAlignment="1">
      <alignment horizontal="center" vertical="center"/>
    </xf>
    <xf numFmtId="0" fontId="12" fillId="0" borderId="0" xfId="3" applyBorder="1"/>
    <xf numFmtId="0" fontId="23" fillId="0" borderId="0" xfId="3" applyFont="1" applyAlignment="1">
      <alignment vertical="center"/>
    </xf>
    <xf numFmtId="1" fontId="13" fillId="0" borderId="0" xfId="3" applyNumberFormat="1" applyFont="1" applyAlignment="1">
      <alignment horizontal="center" vertical="center"/>
    </xf>
    <xf numFmtId="1" fontId="13" fillId="0" borderId="20" xfId="3" applyNumberFormat="1" applyFont="1" applyBorder="1" applyAlignment="1">
      <alignment horizontal="center" vertical="center"/>
    </xf>
    <xf numFmtId="0" fontId="19" fillId="0" borderId="0" xfId="3" applyFont="1" applyFill="1" applyBorder="1" applyAlignment="1">
      <alignment horizontal="center" vertical="center"/>
    </xf>
    <xf numFmtId="0" fontId="12" fillId="0" borderId="0" xfId="3" applyBorder="1" applyAlignment="1">
      <alignment horizontal="center" vertical="center"/>
    </xf>
    <xf numFmtId="0" fontId="9" fillId="0" borderId="0" xfId="3" applyFont="1" applyBorder="1" applyAlignment="1">
      <alignment horizontal="center" vertical="center"/>
    </xf>
    <xf numFmtId="0" fontId="20" fillId="0" borderId="0" xfId="3" applyFont="1" applyBorder="1" applyAlignment="1">
      <alignment horizontal="center" vertical="center"/>
    </xf>
    <xf numFmtId="14" fontId="20" fillId="0" borderId="27" xfId="3" applyNumberFormat="1" applyFont="1" applyBorder="1" applyAlignment="1">
      <alignment horizontal="center" vertical="center"/>
    </xf>
    <xf numFmtId="14" fontId="20" fillId="0" borderId="28" xfId="3" applyNumberFormat="1" applyFont="1" applyBorder="1" applyAlignment="1">
      <alignment horizontal="center" vertical="center"/>
    </xf>
    <xf numFmtId="0" fontId="1" fillId="0" borderId="29" xfId="3" applyFont="1" applyBorder="1" applyAlignment="1">
      <alignment horizontal="center" vertical="center"/>
    </xf>
    <xf numFmtId="0" fontId="24" fillId="0" borderId="0" xfId="3" applyFont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0" fontId="12" fillId="0" borderId="0" xfId="3" applyBorder="1" applyAlignment="1">
      <alignment horizontal="left"/>
    </xf>
    <xf numFmtId="0" fontId="24" fillId="0" borderId="0" xfId="3" applyFont="1" applyBorder="1" applyAlignment="1">
      <alignment horizontal="left"/>
    </xf>
    <xf numFmtId="0" fontId="27" fillId="0" borderId="0" xfId="3" applyFont="1" applyFill="1" applyBorder="1" applyAlignment="1">
      <alignment horizontal="center" vertical="center"/>
    </xf>
    <xf numFmtId="0" fontId="28" fillId="0" borderId="0" xfId="3" applyFont="1" applyFill="1" applyBorder="1" applyAlignment="1">
      <alignment horizontal="center" vertical="center"/>
    </xf>
    <xf numFmtId="6" fontId="16" fillId="0" borderId="0" xfId="3" applyNumberFormat="1" applyFont="1" applyFill="1" applyBorder="1" applyAlignment="1">
      <alignment horizontal="center" vertical="center"/>
    </xf>
    <xf numFmtId="1" fontId="13" fillId="0" borderId="0" xfId="3" applyNumberFormat="1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0" fontId="13" fillId="0" borderId="2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170" fontId="13" fillId="0" borderId="0" xfId="3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6" fontId="15" fillId="0" borderId="0" xfId="0" applyNumberFormat="1" applyFont="1" applyBorder="1" applyAlignment="1">
      <alignment horizontal="center" vertical="center"/>
    </xf>
    <xf numFmtId="49" fontId="1" fillId="0" borderId="0" xfId="3" applyNumberFormat="1" applyFont="1" applyBorder="1" applyAlignment="1">
      <alignment horizontal="center" vertical="center"/>
    </xf>
    <xf numFmtId="8" fontId="15" fillId="0" borderId="0" xfId="3" applyNumberFormat="1" applyFont="1" applyBorder="1" applyAlignment="1">
      <alignment horizontal="center" vertical="center"/>
    </xf>
    <xf numFmtId="0" fontId="30" fillId="0" borderId="0" xfId="3" applyFont="1" applyBorder="1" applyAlignment="1">
      <alignment horizontal="center" vertical="center"/>
    </xf>
    <xf numFmtId="14" fontId="20" fillId="0" borderId="0" xfId="3" applyNumberFormat="1" applyFont="1" applyBorder="1" applyAlignment="1">
      <alignment horizontal="center" vertical="center"/>
    </xf>
    <xf numFmtId="0" fontId="31" fillId="0" borderId="0" xfId="3" applyFont="1" applyBorder="1" applyAlignment="1">
      <alignment horizontal="center" vertical="center"/>
    </xf>
    <xf numFmtId="0" fontId="29" fillId="0" borderId="0" xfId="3" applyFont="1" applyFill="1" applyBorder="1" applyAlignment="1">
      <alignment horizontal="center" vertical="center"/>
    </xf>
    <xf numFmtId="0" fontId="15" fillId="0" borderId="0" xfId="3" quotePrefix="1" applyFont="1" applyBorder="1" applyAlignment="1">
      <alignment horizontal="center" vertical="center"/>
    </xf>
    <xf numFmtId="0" fontId="15" fillId="0" borderId="0" xfId="3" quotePrefix="1" applyFont="1" applyFill="1" applyBorder="1" applyAlignment="1">
      <alignment horizontal="center" vertical="center"/>
    </xf>
    <xf numFmtId="6" fontId="15" fillId="0" borderId="0" xfId="3" applyNumberFormat="1" applyFont="1" applyBorder="1" applyAlignment="1">
      <alignment horizontal="center" vertical="center"/>
    </xf>
    <xf numFmtId="170" fontId="9" fillId="0" borderId="0" xfId="3" applyNumberFormat="1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15" fillId="0" borderId="0" xfId="3" applyFont="1" applyAlignment="1">
      <alignment vertical="center"/>
    </xf>
    <xf numFmtId="0" fontId="26" fillId="0" borderId="0" xfId="3" applyFont="1" applyFill="1" applyBorder="1" applyAlignment="1">
      <alignment vertical="center"/>
    </xf>
    <xf numFmtId="0" fontId="15" fillId="0" borderId="0" xfId="3" quotePrefix="1" applyFont="1" applyBorder="1" applyAlignment="1">
      <alignment horizontal="left" vertical="center"/>
    </xf>
    <xf numFmtId="0" fontId="15" fillId="0" borderId="0" xfId="3" quotePrefix="1" applyFont="1" applyFill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20" fillId="0" borderId="0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2" fillId="0" borderId="0" xfId="3" applyAlignment="1"/>
    <xf numFmtId="0" fontId="25" fillId="8" borderId="18" xfId="3" applyFont="1" applyFill="1" applyBorder="1" applyAlignment="1">
      <alignment horizontal="center" vertical="center"/>
    </xf>
    <xf numFmtId="0" fontId="25" fillId="8" borderId="17" xfId="3" applyFont="1" applyFill="1" applyBorder="1" applyAlignment="1">
      <alignment horizontal="center" vertical="center"/>
    </xf>
    <xf numFmtId="0" fontId="25" fillId="8" borderId="16" xfId="3" applyFont="1" applyFill="1" applyBorder="1" applyAlignment="1">
      <alignment horizontal="center" vertical="center"/>
    </xf>
    <xf numFmtId="0" fontId="25" fillId="8" borderId="13" xfId="3" applyFont="1" applyFill="1" applyBorder="1" applyAlignment="1">
      <alignment horizontal="center" vertical="center"/>
    </xf>
    <xf numFmtId="0" fontId="25" fillId="8" borderId="12" xfId="3" applyFont="1" applyFill="1" applyBorder="1" applyAlignment="1">
      <alignment horizontal="center" vertical="center"/>
    </xf>
    <xf numFmtId="0" fontId="25" fillId="8" borderId="11" xfId="3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0" fontId="24" fillId="0" borderId="0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4" fillId="0" borderId="12" xfId="3" applyFont="1" applyBorder="1" applyAlignment="1">
      <alignment horizontal="center" vertical="center"/>
    </xf>
    <xf numFmtId="0" fontId="24" fillId="0" borderId="12" xfId="3" applyFont="1" applyFill="1" applyBorder="1" applyAlignment="1">
      <alignment horizontal="center" vertical="center"/>
    </xf>
    <xf numFmtId="0" fontId="26" fillId="0" borderId="0" xfId="3" applyFont="1" applyFill="1" applyBorder="1" applyAlignment="1">
      <alignment horizontal="center" vertical="center"/>
    </xf>
    <xf numFmtId="0" fontId="12" fillId="0" borderId="0" xfId="3" applyBorder="1" applyAlignment="1">
      <alignment horizontal="center" vertical="center"/>
    </xf>
    <xf numFmtId="14" fontId="22" fillId="0" borderId="26" xfId="3" applyNumberFormat="1" applyFont="1" applyBorder="1" applyAlignment="1">
      <alignment horizontal="center" vertical="center"/>
    </xf>
    <xf numFmtId="0" fontId="21" fillId="0" borderId="25" xfId="3" applyFont="1" applyBorder="1" applyAlignment="1">
      <alignment horizontal="center" vertical="center"/>
    </xf>
    <xf numFmtId="0" fontId="21" fillId="0" borderId="24" xfId="3" applyFont="1" applyBorder="1" applyAlignment="1">
      <alignment horizontal="center" vertical="center"/>
    </xf>
    <xf numFmtId="1" fontId="13" fillId="0" borderId="0" xfId="3" applyNumberFormat="1" applyFont="1" applyBorder="1" applyAlignment="1">
      <alignment horizontal="center" vertical="center"/>
    </xf>
    <xf numFmtId="1" fontId="13" fillId="0" borderId="0" xfId="3" applyNumberFormat="1" applyFont="1" applyAlignment="1">
      <alignment horizontal="center" vertical="center"/>
    </xf>
    <xf numFmtId="1" fontId="13" fillId="0" borderId="0" xfId="0" applyNumberFormat="1" applyFont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3" fillId="0" borderId="20" xfId="3" applyNumberFormat="1" applyFont="1" applyBorder="1" applyAlignment="1">
      <alignment horizontal="center" vertical="center"/>
    </xf>
    <xf numFmtId="0" fontId="24" fillId="0" borderId="15" xfId="3" applyFont="1" applyFill="1" applyBorder="1" applyAlignment="1">
      <alignment horizontal="center" vertical="center"/>
    </xf>
    <xf numFmtId="0" fontId="24" fillId="0" borderId="13" xfId="3" applyFont="1" applyFill="1" applyBorder="1" applyAlignment="1">
      <alignment horizontal="center" vertical="center"/>
    </xf>
    <xf numFmtId="14" fontId="22" fillId="0" borderId="30" xfId="3" applyNumberFormat="1" applyFont="1" applyBorder="1" applyAlignment="1">
      <alignment horizontal="center" vertical="center"/>
    </xf>
    <xf numFmtId="0" fontId="21" fillId="0" borderId="30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14" fontId="22" fillId="0" borderId="23" xfId="3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/>
    </xf>
  </cellXfs>
  <cellStyles count="5">
    <cellStyle name="Currency" xfId="1" builtinId="4"/>
    <cellStyle name="Normal" xfId="0" builtinId="0"/>
    <cellStyle name="Normal 2" xfId="3"/>
    <cellStyle name="Normal 3" xfId="4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15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COSTS FOR ASI-024 SHOWER CHANGE, FROM 5/16/16 THROUGH END OF BUSINESS 06/10/16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O107"/>
  <sheetViews>
    <sheetView tabSelected="1" topLeftCell="A79" workbookViewId="0">
      <pane xSplit="2" topLeftCell="C1" activePane="topRight" state="frozen"/>
      <selection pane="topRight" activeCell="J83" activeCellId="1" sqref="N96 J83"/>
    </sheetView>
  </sheetViews>
  <sheetFormatPr defaultRowHeight="12.75" x14ac:dyDescent="0.2"/>
  <cols>
    <col min="1" max="1" width="4.5703125" bestFit="1" customWidth="1"/>
    <col min="2" max="2" width="39.7109375" customWidth="1"/>
    <col min="3" max="3" width="10.28515625" customWidth="1"/>
    <col min="4" max="5" width="10.7109375" customWidth="1"/>
    <col min="6" max="6" width="5.140625" customWidth="1"/>
    <col min="7" max="7" width="7.85546875" customWidth="1"/>
    <col min="8" max="10" width="8.7109375" customWidth="1"/>
    <col min="11" max="11" width="5" customWidth="1"/>
    <col min="12" max="12" width="5.140625" customWidth="1"/>
    <col min="13" max="13" width="8.28515625" customWidth="1"/>
    <col min="14" max="14" width="9" customWidth="1"/>
    <col min="15" max="15" width="8" bestFit="1" customWidth="1"/>
    <col min="16" max="16" width="10.85546875" customWidth="1"/>
    <col min="17" max="21" width="4.28515625" customWidth="1"/>
    <col min="22" max="23" width="1.140625" customWidth="1"/>
    <col min="24" max="28" width="4.28515625" customWidth="1"/>
    <col min="29" max="30" width="1.140625" customWidth="1"/>
    <col min="31" max="35" width="4.28515625" customWidth="1"/>
    <col min="36" max="37" width="1.140625" customWidth="1"/>
    <col min="38" max="42" width="4.28515625" customWidth="1"/>
    <col min="43" max="44" width="1.140625" customWidth="1"/>
    <col min="45" max="49" width="4.28515625" customWidth="1"/>
    <col min="50" max="51" width="1.140625" customWidth="1"/>
    <col min="52" max="56" width="4.28515625" customWidth="1"/>
    <col min="57" max="58" width="1.140625" customWidth="1"/>
    <col min="59" max="63" width="4.28515625" customWidth="1"/>
    <col min="64" max="65" width="1.140625" customWidth="1"/>
    <col min="66" max="70" width="4.28515625" customWidth="1"/>
    <col min="71" max="73" width="1.140625" customWidth="1"/>
    <col min="74" max="77" width="4.28515625" customWidth="1"/>
    <col min="78" max="79" width="1.140625" customWidth="1"/>
    <col min="80" max="84" width="4.28515625" customWidth="1"/>
    <col min="85" max="86" width="1.140625" customWidth="1"/>
    <col min="87" max="91" width="4.28515625" customWidth="1"/>
    <col min="92" max="93" width="1.140625" customWidth="1"/>
    <col min="94" max="98" width="4.28515625" customWidth="1"/>
    <col min="99" max="100" width="1.140625" customWidth="1"/>
    <col min="101" max="105" width="4.28515625" customWidth="1"/>
    <col min="106" max="107" width="1.140625" customWidth="1"/>
    <col min="108" max="112" width="4.28515625" customWidth="1"/>
    <col min="113" max="114" width="1.140625" customWidth="1"/>
    <col min="115" max="119" width="4.28515625" customWidth="1"/>
  </cols>
  <sheetData>
    <row r="1" spans="1:119" x14ac:dyDescent="0.2">
      <c r="F1" s="1"/>
      <c r="L1" s="50" t="s">
        <v>12</v>
      </c>
      <c r="M1" s="147" t="s">
        <v>16</v>
      </c>
      <c r="N1" s="147"/>
      <c r="O1" s="147"/>
      <c r="P1" s="147"/>
    </row>
    <row r="2" spans="1:119" x14ac:dyDescent="0.2">
      <c r="F2" s="1"/>
      <c r="K2" s="32"/>
      <c r="L2" s="49" t="s">
        <v>11</v>
      </c>
      <c r="M2" s="148">
        <v>42531</v>
      </c>
      <c r="N2" s="147"/>
      <c r="O2" s="147"/>
      <c r="P2" s="147"/>
    </row>
    <row r="3" spans="1:119" x14ac:dyDescent="0.2">
      <c r="F3" s="1"/>
      <c r="K3" s="32"/>
      <c r="L3" s="49" t="s">
        <v>13</v>
      </c>
      <c r="M3" s="48" t="s">
        <v>21</v>
      </c>
      <c r="N3" s="33"/>
      <c r="O3" s="33"/>
      <c r="P3" s="33"/>
    </row>
    <row r="4" spans="1:119" ht="24" thickBot="1" x14ac:dyDescent="0.4">
      <c r="A4" s="150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</row>
    <row r="5" spans="1:119" ht="4.5" customHeight="1" x14ac:dyDescent="0.2">
      <c r="A5" s="151" t="s">
        <v>10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3"/>
    </row>
    <row r="6" spans="1:119" ht="12.75" customHeight="1" x14ac:dyDescent="0.2">
      <c r="A6" s="154"/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6"/>
    </row>
    <row r="7" spans="1:119" ht="4.5" customHeight="1" thickBot="1" x14ac:dyDescent="0.25">
      <c r="A7" s="157"/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9"/>
    </row>
    <row r="8" spans="1:119" x14ac:dyDescent="0.2">
      <c r="A8" s="47"/>
      <c r="B8" s="45"/>
      <c r="C8" s="45"/>
      <c r="D8" s="45"/>
      <c r="E8" s="45"/>
      <c r="F8" s="46"/>
      <c r="G8" s="45"/>
      <c r="H8" s="45"/>
      <c r="I8" s="45"/>
      <c r="J8" s="45"/>
      <c r="K8" s="32"/>
      <c r="L8" s="44"/>
      <c r="M8" s="34"/>
      <c r="N8" s="33"/>
      <c r="O8" s="33"/>
      <c r="P8" s="43"/>
    </row>
    <row r="9" spans="1:119" x14ac:dyDescent="0.2">
      <c r="A9" s="47"/>
      <c r="B9" s="45"/>
      <c r="C9" s="45"/>
      <c r="D9" s="45"/>
      <c r="E9" s="45"/>
      <c r="F9" s="46"/>
      <c r="G9" s="45"/>
      <c r="H9" s="45"/>
      <c r="I9" s="45"/>
      <c r="J9" s="45"/>
      <c r="K9" s="32"/>
      <c r="L9" s="44"/>
      <c r="M9" s="34"/>
      <c r="N9" s="33"/>
      <c r="O9" s="33"/>
      <c r="P9" s="43"/>
    </row>
    <row r="10" spans="1:119" x14ac:dyDescent="0.2">
      <c r="A10" s="47"/>
      <c r="B10" s="45"/>
      <c r="C10" s="45"/>
      <c r="D10" s="45"/>
      <c r="E10" s="45"/>
      <c r="F10" s="46"/>
      <c r="G10" s="45"/>
      <c r="H10" s="45"/>
      <c r="I10" s="45"/>
      <c r="J10" s="45"/>
      <c r="K10" s="32"/>
      <c r="L10" s="44"/>
      <c r="M10" s="34"/>
      <c r="N10" s="33"/>
      <c r="O10" s="33"/>
      <c r="P10" s="43"/>
    </row>
    <row r="11" spans="1:119" ht="13.5" thickBot="1" x14ac:dyDescent="0.25">
      <c r="A11" s="42"/>
      <c r="B11" s="40"/>
      <c r="C11" s="40"/>
      <c r="D11" s="40"/>
      <c r="E11" s="40"/>
      <c r="F11" s="41"/>
      <c r="G11" s="40"/>
      <c r="H11" s="40"/>
      <c r="I11" s="40"/>
      <c r="J11" s="40"/>
      <c r="K11" s="39"/>
      <c r="L11" s="38"/>
      <c r="M11" s="37"/>
      <c r="N11" s="36"/>
      <c r="O11" s="36"/>
      <c r="P11" s="35"/>
    </row>
    <row r="12" spans="1:119" ht="6" customHeight="1" x14ac:dyDescent="0.2">
      <c r="F12" s="1"/>
      <c r="K12" s="32"/>
      <c r="L12" s="31"/>
      <c r="M12" s="34"/>
      <c r="N12" s="33"/>
      <c r="O12" s="33"/>
      <c r="P12" s="33"/>
    </row>
    <row r="13" spans="1:119" ht="6" customHeight="1" x14ac:dyDescent="0.2">
      <c r="F13" s="1"/>
      <c r="G13" s="32"/>
      <c r="H13" s="31"/>
      <c r="I13" s="31"/>
      <c r="J13" s="31"/>
      <c r="K13" s="30"/>
      <c r="L13" s="30"/>
      <c r="M13" s="30"/>
      <c r="N13" s="29"/>
    </row>
    <row r="14" spans="1:119" x14ac:dyDescent="0.2">
      <c r="A14" s="28"/>
      <c r="B14" s="27"/>
      <c r="C14" s="27"/>
      <c r="D14" s="149" t="s">
        <v>9</v>
      </c>
      <c r="E14" s="149"/>
      <c r="F14" s="149"/>
      <c r="G14" s="149"/>
      <c r="H14" s="149"/>
      <c r="I14" s="149"/>
      <c r="J14" s="197"/>
      <c r="K14" s="26" t="s">
        <v>8</v>
      </c>
      <c r="L14" s="25"/>
      <c r="M14" s="25"/>
      <c r="N14" s="58" t="s">
        <v>18</v>
      </c>
      <c r="O14" s="24" t="s">
        <v>7</v>
      </c>
      <c r="P14" s="23"/>
    </row>
    <row r="15" spans="1:119" x14ac:dyDescent="0.2">
      <c r="A15" s="22" t="s">
        <v>6</v>
      </c>
      <c r="B15" s="21" t="s">
        <v>5</v>
      </c>
      <c r="C15" s="19" t="s">
        <v>74</v>
      </c>
      <c r="D15" s="19" t="s">
        <v>73</v>
      </c>
      <c r="E15" s="19" t="s">
        <v>189</v>
      </c>
      <c r="F15" s="19" t="s">
        <v>3</v>
      </c>
      <c r="G15" s="19" t="s">
        <v>4</v>
      </c>
      <c r="H15" s="20" t="s">
        <v>2</v>
      </c>
      <c r="I15" s="20" t="s">
        <v>2</v>
      </c>
      <c r="J15" s="20" t="s">
        <v>2</v>
      </c>
      <c r="K15" s="19" t="s">
        <v>15</v>
      </c>
      <c r="L15" s="19" t="s">
        <v>3</v>
      </c>
      <c r="M15" s="19" t="s">
        <v>4</v>
      </c>
      <c r="N15" s="20" t="s">
        <v>2</v>
      </c>
      <c r="O15" s="19" t="s">
        <v>3</v>
      </c>
      <c r="P15" s="19" t="s">
        <v>2</v>
      </c>
    </row>
    <row r="16" spans="1:119" x14ac:dyDescent="0.2">
      <c r="A16" s="22"/>
      <c r="B16" s="21" t="s">
        <v>69</v>
      </c>
      <c r="C16" s="19"/>
      <c r="D16" s="19"/>
      <c r="E16" s="19"/>
      <c r="F16" s="19"/>
      <c r="G16" s="19"/>
      <c r="H16" s="20"/>
      <c r="I16" s="20"/>
      <c r="J16" s="20"/>
      <c r="K16" s="19"/>
      <c r="L16" s="19"/>
      <c r="M16" s="19"/>
      <c r="N16" s="20"/>
      <c r="O16" s="19"/>
      <c r="P16" s="19"/>
      <c r="Q16" s="62">
        <v>42464</v>
      </c>
      <c r="R16" s="62">
        <v>42465</v>
      </c>
      <c r="S16" s="62">
        <v>42466</v>
      </c>
      <c r="T16" s="62">
        <v>42467</v>
      </c>
      <c r="U16" s="62">
        <v>42468</v>
      </c>
      <c r="V16" s="64">
        <v>42469</v>
      </c>
      <c r="W16" s="64">
        <v>42470</v>
      </c>
      <c r="X16" s="62">
        <v>42471</v>
      </c>
      <c r="Y16" s="62">
        <v>42472</v>
      </c>
      <c r="Z16" s="62">
        <v>42473</v>
      </c>
      <c r="AA16" s="62">
        <v>42474</v>
      </c>
      <c r="AB16" s="62">
        <v>42475</v>
      </c>
      <c r="AC16" s="64">
        <v>42476</v>
      </c>
      <c r="AD16" s="64">
        <v>42477</v>
      </c>
      <c r="AE16" s="62">
        <v>42478</v>
      </c>
      <c r="AF16" s="62">
        <v>42479</v>
      </c>
      <c r="AG16" s="62">
        <v>42480</v>
      </c>
      <c r="AH16" s="62">
        <v>42481</v>
      </c>
      <c r="AI16" s="62">
        <v>42482</v>
      </c>
      <c r="AJ16" s="64">
        <v>42483</v>
      </c>
      <c r="AK16" s="64">
        <v>42484</v>
      </c>
      <c r="AL16" s="62">
        <v>42485</v>
      </c>
      <c r="AM16" s="62">
        <v>42486</v>
      </c>
      <c r="AN16" s="62">
        <v>42487</v>
      </c>
      <c r="AO16" s="62">
        <v>42488</v>
      </c>
      <c r="AP16" s="62">
        <v>42489</v>
      </c>
      <c r="AQ16" s="64">
        <v>42490</v>
      </c>
      <c r="AR16" s="64">
        <v>42491</v>
      </c>
      <c r="AS16" s="62">
        <v>42492</v>
      </c>
      <c r="AT16" s="62">
        <v>42493</v>
      </c>
      <c r="AU16" s="62">
        <v>42494</v>
      </c>
      <c r="AV16" s="62">
        <v>42495</v>
      </c>
      <c r="AW16" s="62">
        <v>42496</v>
      </c>
      <c r="AX16" s="64">
        <v>42497</v>
      </c>
      <c r="AY16" s="64">
        <v>42498</v>
      </c>
      <c r="AZ16" s="62">
        <v>42499</v>
      </c>
      <c r="BA16" s="62">
        <v>42500</v>
      </c>
      <c r="BB16" s="62">
        <v>42501</v>
      </c>
      <c r="BC16" s="62">
        <v>42502</v>
      </c>
      <c r="BD16" s="62">
        <v>42503</v>
      </c>
      <c r="BE16" s="64">
        <v>42504</v>
      </c>
      <c r="BF16" s="64">
        <v>42505</v>
      </c>
      <c r="BG16" s="62">
        <v>42506</v>
      </c>
      <c r="BH16" s="62">
        <v>42507</v>
      </c>
      <c r="BI16" s="62">
        <v>42508</v>
      </c>
      <c r="BJ16" s="62">
        <v>42509</v>
      </c>
      <c r="BK16" s="62">
        <v>42510</v>
      </c>
      <c r="BL16" s="64">
        <v>42511</v>
      </c>
      <c r="BM16" s="64">
        <v>42512</v>
      </c>
      <c r="BN16" s="62">
        <v>42513</v>
      </c>
      <c r="BO16" s="62">
        <v>42514</v>
      </c>
      <c r="BP16" s="62">
        <v>42515</v>
      </c>
      <c r="BQ16" s="62">
        <v>42516</v>
      </c>
      <c r="BR16" s="62">
        <v>42517</v>
      </c>
      <c r="BS16" s="64">
        <v>42518</v>
      </c>
      <c r="BT16" s="64">
        <v>42519</v>
      </c>
      <c r="BU16" s="64">
        <v>42520</v>
      </c>
      <c r="BV16" s="62">
        <v>42521</v>
      </c>
      <c r="BW16" s="62">
        <v>42522</v>
      </c>
      <c r="BX16" s="62">
        <v>42523</v>
      </c>
      <c r="BY16" s="62">
        <v>42524</v>
      </c>
      <c r="BZ16" s="64">
        <v>42525</v>
      </c>
      <c r="CA16" s="64">
        <v>42526</v>
      </c>
      <c r="CB16" s="62">
        <v>42527</v>
      </c>
      <c r="CC16" s="62">
        <v>42528</v>
      </c>
      <c r="CD16" s="62">
        <v>42529</v>
      </c>
      <c r="CE16" s="62">
        <v>42530</v>
      </c>
      <c r="CF16" s="62">
        <v>42531</v>
      </c>
      <c r="CG16" s="64">
        <v>42532</v>
      </c>
      <c r="CH16" s="64">
        <v>42533</v>
      </c>
      <c r="CI16" s="62">
        <v>42534</v>
      </c>
      <c r="CJ16" s="62">
        <v>42535</v>
      </c>
      <c r="CK16" s="62">
        <v>42536</v>
      </c>
      <c r="CL16" s="62">
        <v>42537</v>
      </c>
      <c r="CM16" s="62">
        <v>42538</v>
      </c>
      <c r="CN16" s="64">
        <v>42539</v>
      </c>
      <c r="CO16" s="64">
        <v>42540</v>
      </c>
      <c r="CP16" s="62">
        <v>42541</v>
      </c>
      <c r="CQ16" s="62">
        <v>42542</v>
      </c>
      <c r="CR16" s="62">
        <v>42543</v>
      </c>
      <c r="CS16" s="62">
        <v>42544</v>
      </c>
      <c r="CT16" s="62">
        <v>42545</v>
      </c>
      <c r="CU16" s="64">
        <v>42546</v>
      </c>
      <c r="CV16" s="64">
        <v>42547</v>
      </c>
      <c r="CW16" s="62">
        <v>42548</v>
      </c>
      <c r="CX16" s="62">
        <v>42549</v>
      </c>
      <c r="CY16" s="62">
        <v>42550</v>
      </c>
      <c r="CZ16" s="62">
        <v>42551</v>
      </c>
      <c r="DA16" s="62">
        <v>42552</v>
      </c>
      <c r="DB16" s="62">
        <v>42553</v>
      </c>
      <c r="DC16" s="62">
        <v>42554</v>
      </c>
      <c r="DD16" s="62">
        <v>42555</v>
      </c>
      <c r="DE16" s="62">
        <v>42556</v>
      </c>
      <c r="DF16" s="62">
        <v>42557</v>
      </c>
      <c r="DG16" s="62">
        <v>42558</v>
      </c>
      <c r="DH16" s="62">
        <v>42559</v>
      </c>
      <c r="DI16" s="62">
        <v>42560</v>
      </c>
      <c r="DJ16" s="62">
        <v>42561</v>
      </c>
      <c r="DK16" s="62">
        <v>42562</v>
      </c>
      <c r="DL16" s="62">
        <v>42563</v>
      </c>
      <c r="DM16" s="62">
        <v>42564</v>
      </c>
      <c r="DN16" s="62">
        <v>42565</v>
      </c>
      <c r="DO16" s="62">
        <v>42566</v>
      </c>
    </row>
    <row r="17" spans="1:119" x14ac:dyDescent="0.2">
      <c r="A17" s="18"/>
      <c r="B17" s="52" t="s">
        <v>22</v>
      </c>
      <c r="C17" s="14">
        <f t="shared" ref="C17:C35" si="0">SUM(Q17:BD17)</f>
        <v>12</v>
      </c>
      <c r="D17" s="14">
        <f t="shared" ref="D17:D35" si="1">SUM(BG17:CF17)</f>
        <v>6</v>
      </c>
      <c r="E17" s="14">
        <f>SUM(CI17:DO17)</f>
        <v>1</v>
      </c>
      <c r="F17" s="17" t="s">
        <v>17</v>
      </c>
      <c r="G17" s="16">
        <v>95</v>
      </c>
      <c r="H17" s="15">
        <f>C17*G17</f>
        <v>1140</v>
      </c>
      <c r="I17" s="15">
        <f>D17*G17</f>
        <v>570</v>
      </c>
      <c r="J17" s="15">
        <f>E17*G17</f>
        <v>95</v>
      </c>
      <c r="K17" s="14"/>
      <c r="L17" s="17"/>
      <c r="M17" s="16"/>
      <c r="N17" s="15"/>
      <c r="O17" s="14"/>
      <c r="P17" s="13"/>
      <c r="Q17" s="63"/>
      <c r="R17" s="63">
        <v>2</v>
      </c>
      <c r="S17" s="63"/>
      <c r="T17" s="63">
        <v>1</v>
      </c>
      <c r="U17" s="63">
        <v>1</v>
      </c>
      <c r="V17" s="65"/>
      <c r="W17" s="65"/>
      <c r="X17" s="63"/>
      <c r="Y17" s="63">
        <v>3</v>
      </c>
      <c r="Z17" s="63"/>
      <c r="AA17" s="63"/>
      <c r="AB17" s="63">
        <v>1</v>
      </c>
      <c r="AC17" s="65"/>
      <c r="AD17" s="65"/>
      <c r="AE17" s="63"/>
      <c r="AF17" s="63">
        <v>2</v>
      </c>
      <c r="AG17" s="63"/>
      <c r="AH17" s="63"/>
      <c r="AI17" s="63"/>
      <c r="AJ17" s="65"/>
      <c r="AK17" s="65"/>
      <c r="AL17" s="63"/>
      <c r="AM17" s="63"/>
      <c r="AN17" s="63"/>
      <c r="AO17" s="63"/>
      <c r="AP17" s="63"/>
      <c r="AQ17" s="65"/>
      <c r="AR17" s="65"/>
      <c r="AS17" s="63"/>
      <c r="AT17" s="63"/>
      <c r="AU17" s="63"/>
      <c r="AV17" s="63"/>
      <c r="AW17" s="63"/>
      <c r="AX17" s="65"/>
      <c r="AY17" s="65"/>
      <c r="AZ17" s="63"/>
      <c r="BA17" s="63"/>
      <c r="BB17" s="63"/>
      <c r="BC17" s="63"/>
      <c r="BD17" s="63">
        <v>2</v>
      </c>
      <c r="BE17" s="65"/>
      <c r="BF17" s="65"/>
      <c r="BG17" s="63"/>
      <c r="BH17" s="63">
        <v>2</v>
      </c>
      <c r="BI17" s="63"/>
      <c r="BJ17" s="63"/>
      <c r="BK17" s="63"/>
      <c r="BL17" s="65"/>
      <c r="BM17" s="65"/>
      <c r="BN17" s="63"/>
      <c r="BO17" s="63">
        <v>1</v>
      </c>
      <c r="BP17" s="63"/>
      <c r="BQ17" s="63"/>
      <c r="BR17" s="63"/>
      <c r="BS17" s="65"/>
      <c r="BT17" s="65"/>
      <c r="BU17" s="65"/>
      <c r="BV17" s="63"/>
      <c r="BW17" s="63"/>
      <c r="BX17" s="63"/>
      <c r="BY17" s="63"/>
      <c r="BZ17" s="65"/>
      <c r="CA17" s="65"/>
      <c r="CB17" s="63"/>
      <c r="CC17" s="63"/>
      <c r="CD17" s="63"/>
      <c r="CE17" s="63"/>
      <c r="CF17" s="63">
        <v>3</v>
      </c>
      <c r="CG17" s="65"/>
      <c r="CH17" s="65"/>
      <c r="CI17" s="63"/>
      <c r="CJ17" s="63"/>
      <c r="CK17" s="63"/>
      <c r="CL17" s="63"/>
      <c r="CM17" s="63"/>
      <c r="CN17" s="65"/>
      <c r="CO17" s="65"/>
      <c r="CP17" s="63"/>
      <c r="CQ17" s="63"/>
      <c r="CR17" s="63"/>
      <c r="CS17" s="63"/>
      <c r="CT17" s="63"/>
      <c r="CU17" s="65"/>
      <c r="CV17" s="65"/>
      <c r="CW17" s="63"/>
      <c r="CX17" s="63"/>
      <c r="CY17" s="63"/>
      <c r="CZ17" s="63"/>
      <c r="DA17" s="63"/>
      <c r="DB17" s="65"/>
      <c r="DC17" s="65"/>
      <c r="DD17" s="63"/>
      <c r="DE17" s="63"/>
      <c r="DF17" s="63"/>
      <c r="DG17" s="63"/>
      <c r="DH17" s="63">
        <v>1</v>
      </c>
      <c r="DI17" s="65"/>
      <c r="DJ17" s="65"/>
      <c r="DK17" s="63"/>
      <c r="DL17" s="63"/>
      <c r="DM17" s="63"/>
      <c r="DN17" s="63"/>
      <c r="DO17" s="63"/>
    </row>
    <row r="18" spans="1:119" x14ac:dyDescent="0.2">
      <c r="A18" s="18"/>
      <c r="B18" s="59" t="s">
        <v>23</v>
      </c>
      <c r="C18" s="14">
        <f t="shared" si="0"/>
        <v>2</v>
      </c>
      <c r="D18" s="14">
        <f t="shared" si="1"/>
        <v>4</v>
      </c>
      <c r="E18" s="14">
        <f t="shared" ref="E18:E35" si="2">SUM(CI18:DO18)</f>
        <v>0</v>
      </c>
      <c r="F18" s="17" t="s">
        <v>17</v>
      </c>
      <c r="G18" s="16">
        <v>95</v>
      </c>
      <c r="H18" s="15">
        <f t="shared" ref="H18:H35" si="3">C18*G18</f>
        <v>190</v>
      </c>
      <c r="I18" s="15">
        <f>D18*G18</f>
        <v>380</v>
      </c>
      <c r="J18" s="15">
        <f t="shared" ref="J18:J35" si="4">E18*G18</f>
        <v>0</v>
      </c>
      <c r="K18" s="14"/>
      <c r="L18" s="17"/>
      <c r="M18" s="16"/>
      <c r="N18" s="15"/>
      <c r="O18" s="14"/>
      <c r="P18" s="13"/>
      <c r="Q18" s="63"/>
      <c r="R18" s="63"/>
      <c r="S18" s="63"/>
      <c r="T18" s="63"/>
      <c r="U18" s="63"/>
      <c r="V18" s="65"/>
      <c r="W18" s="65"/>
      <c r="X18" s="63"/>
      <c r="Y18" s="63"/>
      <c r="Z18" s="63"/>
      <c r="AA18" s="63"/>
      <c r="AB18" s="63"/>
      <c r="AC18" s="65"/>
      <c r="AD18" s="65"/>
      <c r="AE18" s="63"/>
      <c r="AF18" s="63">
        <v>2</v>
      </c>
      <c r="AG18" s="63"/>
      <c r="AH18" s="63"/>
      <c r="AI18" s="63"/>
      <c r="AJ18" s="65"/>
      <c r="AK18" s="65"/>
      <c r="AL18" s="63"/>
      <c r="AM18" s="63"/>
      <c r="AN18" s="63"/>
      <c r="AO18" s="63"/>
      <c r="AP18" s="63"/>
      <c r="AQ18" s="65"/>
      <c r="AR18" s="65"/>
      <c r="AS18" s="63"/>
      <c r="AT18" s="63"/>
      <c r="AU18" s="63"/>
      <c r="AV18" s="63"/>
      <c r="AW18" s="63"/>
      <c r="AX18" s="65"/>
      <c r="AY18" s="65"/>
      <c r="AZ18" s="63"/>
      <c r="BA18" s="63"/>
      <c r="BB18" s="63"/>
      <c r="BC18" s="63"/>
      <c r="BD18" s="63"/>
      <c r="BE18" s="65"/>
      <c r="BF18" s="65"/>
      <c r="BG18" s="63"/>
      <c r="BH18" s="63">
        <v>1</v>
      </c>
      <c r="BI18" s="63"/>
      <c r="BJ18" s="63">
        <v>1</v>
      </c>
      <c r="BK18" s="63"/>
      <c r="BL18" s="65"/>
      <c r="BM18" s="65"/>
      <c r="BN18" s="63"/>
      <c r="BO18" s="63"/>
      <c r="BP18" s="63"/>
      <c r="BQ18" s="63">
        <v>1</v>
      </c>
      <c r="BR18" s="63"/>
      <c r="BS18" s="65"/>
      <c r="BT18" s="65"/>
      <c r="BU18" s="65"/>
      <c r="BV18" s="63">
        <v>1</v>
      </c>
      <c r="BW18" s="63"/>
      <c r="BX18" s="63"/>
      <c r="BY18" s="63"/>
      <c r="BZ18" s="65"/>
      <c r="CA18" s="65"/>
      <c r="CB18" s="63"/>
      <c r="CC18" s="63"/>
      <c r="CD18" s="63"/>
      <c r="CE18" s="63"/>
      <c r="CF18" s="63"/>
      <c r="CG18" s="65"/>
      <c r="CH18" s="65"/>
      <c r="CI18" s="63"/>
      <c r="CJ18" s="63"/>
      <c r="CK18" s="63"/>
      <c r="CL18" s="63"/>
      <c r="CM18" s="63"/>
      <c r="CN18" s="65"/>
      <c r="CO18" s="65"/>
      <c r="CP18" s="63"/>
      <c r="CQ18" s="63"/>
      <c r="CR18" s="63"/>
      <c r="CS18" s="63"/>
      <c r="CT18" s="63"/>
      <c r="CU18" s="65"/>
      <c r="CV18" s="65"/>
      <c r="CW18" s="63"/>
      <c r="CX18" s="63"/>
      <c r="CY18" s="63"/>
      <c r="CZ18" s="63"/>
      <c r="DA18" s="63"/>
      <c r="DB18" s="65"/>
      <c r="DC18" s="65"/>
      <c r="DD18" s="63"/>
      <c r="DE18" s="63"/>
      <c r="DF18" s="63"/>
      <c r="DG18" s="63"/>
      <c r="DH18" s="63"/>
      <c r="DI18" s="65"/>
      <c r="DJ18" s="65"/>
      <c r="DK18" s="63"/>
      <c r="DL18" s="63"/>
      <c r="DM18" s="63"/>
      <c r="DN18" s="63"/>
      <c r="DO18" s="63"/>
    </row>
    <row r="19" spans="1:119" x14ac:dyDescent="0.2">
      <c r="A19" s="18"/>
      <c r="B19" s="52" t="s">
        <v>24</v>
      </c>
      <c r="C19" s="14">
        <f t="shared" si="0"/>
        <v>4</v>
      </c>
      <c r="D19" s="14">
        <f t="shared" si="1"/>
        <v>1</v>
      </c>
      <c r="E19" s="14">
        <f t="shared" si="2"/>
        <v>0</v>
      </c>
      <c r="F19" s="17" t="s">
        <v>17</v>
      </c>
      <c r="G19" s="16">
        <v>85</v>
      </c>
      <c r="H19" s="15">
        <f t="shared" si="3"/>
        <v>340</v>
      </c>
      <c r="I19" s="15">
        <f>D19*G19</f>
        <v>85</v>
      </c>
      <c r="J19" s="15">
        <f t="shared" si="4"/>
        <v>0</v>
      </c>
      <c r="K19" s="14"/>
      <c r="L19" s="17"/>
      <c r="M19" s="16"/>
      <c r="N19" s="15"/>
      <c r="O19" s="14"/>
      <c r="P19" s="13"/>
      <c r="Q19" s="63"/>
      <c r="R19" s="63"/>
      <c r="S19" s="63"/>
      <c r="T19" s="63"/>
      <c r="U19" s="63"/>
      <c r="V19" s="65"/>
      <c r="W19" s="65"/>
      <c r="X19" s="63"/>
      <c r="Y19" s="63"/>
      <c r="Z19" s="63"/>
      <c r="AA19" s="63"/>
      <c r="AB19" s="63"/>
      <c r="AC19" s="65"/>
      <c r="AD19" s="65"/>
      <c r="AE19" s="63"/>
      <c r="AF19" s="63"/>
      <c r="AG19" s="63">
        <v>2</v>
      </c>
      <c r="AH19" s="63"/>
      <c r="AI19" s="63">
        <v>2</v>
      </c>
      <c r="AJ19" s="65"/>
      <c r="AK19" s="65"/>
      <c r="AL19" s="63"/>
      <c r="AM19" s="63"/>
      <c r="AN19" s="63"/>
      <c r="AO19" s="63"/>
      <c r="AP19" s="63"/>
      <c r="AQ19" s="65"/>
      <c r="AR19" s="65"/>
      <c r="AS19" s="63"/>
      <c r="AT19" s="63"/>
      <c r="AU19" s="63"/>
      <c r="AV19" s="63"/>
      <c r="AW19" s="63"/>
      <c r="AX19" s="65"/>
      <c r="AY19" s="65"/>
      <c r="AZ19" s="63"/>
      <c r="BA19" s="63"/>
      <c r="BB19" s="63"/>
      <c r="BC19" s="63"/>
      <c r="BD19" s="63"/>
      <c r="BE19" s="65"/>
      <c r="BF19" s="65"/>
      <c r="BG19" s="63"/>
      <c r="BH19" s="63"/>
      <c r="BI19" s="63"/>
      <c r="BJ19" s="63"/>
      <c r="BK19" s="63"/>
      <c r="BL19" s="65"/>
      <c r="BM19" s="65"/>
      <c r="BN19" s="63"/>
      <c r="BO19" s="63"/>
      <c r="BP19" s="63"/>
      <c r="BQ19" s="63">
        <v>1</v>
      </c>
      <c r="BR19" s="63"/>
      <c r="BS19" s="65"/>
      <c r="BT19" s="65"/>
      <c r="BU19" s="65"/>
      <c r="BV19" s="63"/>
      <c r="BW19" s="63"/>
      <c r="BX19" s="63"/>
      <c r="BY19" s="63"/>
      <c r="BZ19" s="65"/>
      <c r="CA19" s="65"/>
      <c r="CB19" s="63"/>
      <c r="CC19" s="63"/>
      <c r="CD19" s="63"/>
      <c r="CE19" s="63"/>
      <c r="CF19" s="63"/>
      <c r="CG19" s="65"/>
      <c r="CH19" s="65"/>
      <c r="CI19" s="63"/>
      <c r="CJ19" s="63"/>
      <c r="CK19" s="63"/>
      <c r="CL19" s="63"/>
      <c r="CM19" s="63"/>
      <c r="CN19" s="65"/>
      <c r="CO19" s="65"/>
      <c r="CP19" s="63"/>
      <c r="CQ19" s="63"/>
      <c r="CR19" s="63"/>
      <c r="CS19" s="63"/>
      <c r="CT19" s="63"/>
      <c r="CU19" s="65"/>
      <c r="CV19" s="65"/>
      <c r="CW19" s="63"/>
      <c r="CX19" s="63"/>
      <c r="CY19" s="63"/>
      <c r="CZ19" s="63"/>
      <c r="DA19" s="63"/>
      <c r="DB19" s="65"/>
      <c r="DC19" s="65"/>
      <c r="DD19" s="63"/>
      <c r="DE19" s="63"/>
      <c r="DF19" s="63"/>
      <c r="DG19" s="63"/>
      <c r="DH19" s="63"/>
      <c r="DI19" s="65"/>
      <c r="DJ19" s="65"/>
      <c r="DK19" s="63"/>
      <c r="DL19" s="63"/>
      <c r="DM19" s="63"/>
      <c r="DN19" s="63"/>
      <c r="DO19" s="63"/>
    </row>
    <row r="20" spans="1:119" x14ac:dyDescent="0.2">
      <c r="A20" s="18"/>
      <c r="B20" s="59" t="s">
        <v>25</v>
      </c>
      <c r="C20" s="14">
        <f t="shared" si="0"/>
        <v>30</v>
      </c>
      <c r="D20" s="14">
        <f t="shared" si="1"/>
        <v>18</v>
      </c>
      <c r="E20" s="14">
        <f t="shared" si="2"/>
        <v>0</v>
      </c>
      <c r="F20" s="17" t="s">
        <v>17</v>
      </c>
      <c r="G20" s="16">
        <v>80</v>
      </c>
      <c r="H20" s="15">
        <f t="shared" si="3"/>
        <v>2400</v>
      </c>
      <c r="I20" s="15">
        <f>D20*G20</f>
        <v>1440</v>
      </c>
      <c r="J20" s="15">
        <f t="shared" si="4"/>
        <v>0</v>
      </c>
      <c r="K20" s="14"/>
      <c r="L20" s="17"/>
      <c r="M20" s="16"/>
      <c r="N20" s="15"/>
      <c r="O20" s="14"/>
      <c r="P20" s="13"/>
      <c r="Q20" s="63"/>
      <c r="R20" s="63"/>
      <c r="S20" s="63"/>
      <c r="T20" s="63"/>
      <c r="U20" s="63"/>
      <c r="V20" s="65"/>
      <c r="W20" s="65"/>
      <c r="X20" s="63"/>
      <c r="Y20" s="63"/>
      <c r="Z20" s="63"/>
      <c r="AA20" s="63"/>
      <c r="AB20" s="63"/>
      <c r="AC20" s="65"/>
      <c r="AD20" s="65"/>
      <c r="AE20" s="63">
        <v>1</v>
      </c>
      <c r="AF20" s="63">
        <v>3</v>
      </c>
      <c r="AG20" s="63">
        <v>3</v>
      </c>
      <c r="AH20" s="63">
        <v>1</v>
      </c>
      <c r="AI20" s="63">
        <v>2</v>
      </c>
      <c r="AJ20" s="65"/>
      <c r="AK20" s="65"/>
      <c r="AL20" s="63"/>
      <c r="AM20" s="63"/>
      <c r="AN20" s="63">
        <v>2</v>
      </c>
      <c r="AO20" s="63">
        <v>4</v>
      </c>
      <c r="AP20" s="63">
        <v>2</v>
      </c>
      <c r="AQ20" s="65"/>
      <c r="AR20" s="65"/>
      <c r="AS20" s="63"/>
      <c r="AT20" s="63"/>
      <c r="AU20" s="63">
        <v>4</v>
      </c>
      <c r="AV20" s="63"/>
      <c r="AW20" s="63"/>
      <c r="AX20" s="65"/>
      <c r="AY20" s="65"/>
      <c r="AZ20" s="63">
        <v>2</v>
      </c>
      <c r="BA20" s="63">
        <v>2</v>
      </c>
      <c r="BB20" s="63"/>
      <c r="BC20" s="63">
        <v>2</v>
      </c>
      <c r="BD20" s="63">
        <v>2</v>
      </c>
      <c r="BE20" s="65"/>
      <c r="BF20" s="65"/>
      <c r="BG20" s="63">
        <v>2</v>
      </c>
      <c r="BH20" s="63">
        <v>1</v>
      </c>
      <c r="BI20" s="63">
        <v>2</v>
      </c>
      <c r="BJ20" s="63">
        <v>2</v>
      </c>
      <c r="BK20" s="63"/>
      <c r="BL20" s="65"/>
      <c r="BM20" s="65"/>
      <c r="BN20" s="63"/>
      <c r="BO20" s="63"/>
      <c r="BP20" s="63"/>
      <c r="BQ20" s="63">
        <v>2</v>
      </c>
      <c r="BR20" s="63"/>
      <c r="BS20" s="65"/>
      <c r="BT20" s="65"/>
      <c r="BU20" s="65"/>
      <c r="BV20" s="63"/>
      <c r="BW20" s="63">
        <v>2</v>
      </c>
      <c r="BX20" s="63">
        <v>2</v>
      </c>
      <c r="BY20" s="63">
        <v>1</v>
      </c>
      <c r="BZ20" s="65"/>
      <c r="CA20" s="65"/>
      <c r="CB20" s="63">
        <v>4</v>
      </c>
      <c r="CC20" s="63"/>
      <c r="CD20" s="63"/>
      <c r="CE20" s="63"/>
      <c r="CF20" s="63"/>
      <c r="CG20" s="65"/>
      <c r="CH20" s="65"/>
      <c r="CI20" s="63"/>
      <c r="CJ20" s="63"/>
      <c r="CK20" s="63"/>
      <c r="CL20" s="63"/>
      <c r="CM20" s="63"/>
      <c r="CN20" s="65"/>
      <c r="CO20" s="65"/>
      <c r="CP20" s="63"/>
      <c r="CQ20" s="63"/>
      <c r="CR20" s="63"/>
      <c r="CS20" s="63"/>
      <c r="CT20" s="63"/>
      <c r="CU20" s="65"/>
      <c r="CV20" s="65"/>
      <c r="CW20" s="63"/>
      <c r="CX20" s="63"/>
      <c r="CY20" s="63"/>
      <c r="CZ20" s="63"/>
      <c r="DA20" s="63"/>
      <c r="DB20" s="65"/>
      <c r="DC20" s="65"/>
      <c r="DD20" s="63"/>
      <c r="DE20" s="63"/>
      <c r="DF20" s="63"/>
      <c r="DG20" s="63"/>
      <c r="DH20" s="63"/>
      <c r="DI20" s="65"/>
      <c r="DJ20" s="65"/>
      <c r="DK20" s="63"/>
      <c r="DL20" s="63"/>
      <c r="DM20" s="63"/>
      <c r="DN20" s="63"/>
      <c r="DO20" s="63"/>
    </row>
    <row r="21" spans="1:119" x14ac:dyDescent="0.2">
      <c r="A21" s="18"/>
      <c r="B21" s="52" t="s">
        <v>26</v>
      </c>
      <c r="C21" s="14">
        <f t="shared" si="0"/>
        <v>60</v>
      </c>
      <c r="D21" s="14">
        <f t="shared" si="1"/>
        <v>47.5</v>
      </c>
      <c r="E21" s="14">
        <f t="shared" si="2"/>
        <v>3</v>
      </c>
      <c r="F21" s="17" t="s">
        <v>17</v>
      </c>
      <c r="G21" s="16">
        <v>80</v>
      </c>
      <c r="H21" s="15">
        <f t="shared" si="3"/>
        <v>4800</v>
      </c>
      <c r="I21" s="15">
        <f>D21*G21</f>
        <v>3800</v>
      </c>
      <c r="J21" s="15">
        <f t="shared" si="4"/>
        <v>240</v>
      </c>
      <c r="K21" s="14"/>
      <c r="L21" s="17"/>
      <c r="M21" s="16"/>
      <c r="N21" s="15"/>
      <c r="O21" s="14"/>
      <c r="P21" s="13"/>
      <c r="Q21" s="63"/>
      <c r="R21" s="63"/>
      <c r="S21" s="66"/>
      <c r="T21" s="63"/>
      <c r="U21" s="63"/>
      <c r="V21" s="65"/>
      <c r="W21" s="65"/>
      <c r="X21" s="63"/>
      <c r="Y21" s="63"/>
      <c r="Z21" s="63"/>
      <c r="AA21" s="63"/>
      <c r="AB21" s="63"/>
      <c r="AC21" s="65"/>
      <c r="AD21" s="65"/>
      <c r="AE21" s="63"/>
      <c r="AF21" s="63">
        <v>8</v>
      </c>
      <c r="AG21" s="63">
        <v>8</v>
      </c>
      <c r="AH21" s="63"/>
      <c r="AI21" s="63">
        <v>8</v>
      </c>
      <c r="AJ21" s="65"/>
      <c r="AK21" s="65"/>
      <c r="AL21" s="63">
        <v>8</v>
      </c>
      <c r="AM21" s="63">
        <v>4</v>
      </c>
      <c r="AN21" s="63"/>
      <c r="AO21" s="63"/>
      <c r="AP21" s="63">
        <v>2</v>
      </c>
      <c r="AQ21" s="65"/>
      <c r="AR21" s="65"/>
      <c r="AS21" s="63"/>
      <c r="AT21" s="63">
        <v>2</v>
      </c>
      <c r="AU21" s="63">
        <v>2</v>
      </c>
      <c r="AV21" s="63">
        <v>8</v>
      </c>
      <c r="AW21" s="63"/>
      <c r="AX21" s="65"/>
      <c r="AY21" s="65"/>
      <c r="AZ21" s="63">
        <v>2</v>
      </c>
      <c r="BA21" s="63">
        <v>2</v>
      </c>
      <c r="BB21" s="63"/>
      <c r="BC21" s="63">
        <v>2</v>
      </c>
      <c r="BD21" s="63">
        <v>4</v>
      </c>
      <c r="BE21" s="65"/>
      <c r="BF21" s="65"/>
      <c r="BG21" s="63">
        <v>2</v>
      </c>
      <c r="BH21" s="63">
        <v>1</v>
      </c>
      <c r="BI21" s="63">
        <v>8</v>
      </c>
      <c r="BJ21" s="63">
        <v>2</v>
      </c>
      <c r="BK21" s="63">
        <v>3</v>
      </c>
      <c r="BL21" s="65"/>
      <c r="BM21" s="65"/>
      <c r="BN21" s="63">
        <v>2</v>
      </c>
      <c r="BO21" s="63">
        <v>2</v>
      </c>
      <c r="BP21" s="66">
        <v>2.5</v>
      </c>
      <c r="BQ21" s="63">
        <v>2</v>
      </c>
      <c r="BR21" s="63">
        <v>3</v>
      </c>
      <c r="BS21" s="65"/>
      <c r="BT21" s="65"/>
      <c r="BU21" s="65"/>
      <c r="BV21" s="63">
        <v>2</v>
      </c>
      <c r="BW21" s="63">
        <v>2</v>
      </c>
      <c r="BX21" s="63">
        <v>2</v>
      </c>
      <c r="BY21" s="63">
        <v>8</v>
      </c>
      <c r="BZ21" s="65"/>
      <c r="CA21" s="65"/>
      <c r="CB21" s="63">
        <v>4</v>
      </c>
      <c r="CC21" s="63"/>
      <c r="CD21" s="63">
        <v>1</v>
      </c>
      <c r="CE21" s="63">
        <v>1</v>
      </c>
      <c r="CF21" s="63"/>
      <c r="CG21" s="65"/>
      <c r="CH21" s="65"/>
      <c r="CI21" s="63"/>
      <c r="CJ21" s="63"/>
      <c r="CK21" s="63"/>
      <c r="CL21" s="63"/>
      <c r="CM21" s="63"/>
      <c r="CN21" s="65"/>
      <c r="CO21" s="65"/>
      <c r="CP21" s="63"/>
      <c r="CQ21" s="63">
        <v>1</v>
      </c>
      <c r="CR21" s="63"/>
      <c r="CS21" s="63"/>
      <c r="CT21" s="63"/>
      <c r="CU21" s="65"/>
      <c r="CV21" s="65"/>
      <c r="CW21" s="63"/>
      <c r="CX21" s="63"/>
      <c r="CY21" s="63">
        <v>1</v>
      </c>
      <c r="CZ21" s="63"/>
      <c r="DA21" s="63"/>
      <c r="DB21" s="65"/>
      <c r="DC21" s="65"/>
      <c r="DD21" s="63"/>
      <c r="DE21" s="63"/>
      <c r="DF21" s="63"/>
      <c r="DG21" s="63"/>
      <c r="DH21" s="63"/>
      <c r="DI21" s="65"/>
      <c r="DJ21" s="65"/>
      <c r="DK21" s="63">
        <v>1</v>
      </c>
      <c r="DL21" s="63"/>
      <c r="DM21" s="63"/>
      <c r="DN21" s="63"/>
      <c r="DO21" s="63"/>
    </row>
    <row r="22" spans="1:119" x14ac:dyDescent="0.2">
      <c r="A22" s="18"/>
      <c r="B22" s="52" t="s">
        <v>27</v>
      </c>
      <c r="C22" s="14">
        <f t="shared" si="0"/>
        <v>76</v>
      </c>
      <c r="D22" s="14">
        <f t="shared" si="1"/>
        <v>16</v>
      </c>
      <c r="E22" s="14">
        <f t="shared" si="2"/>
        <v>0</v>
      </c>
      <c r="F22" s="17" t="s">
        <v>17</v>
      </c>
      <c r="G22" s="16">
        <v>75</v>
      </c>
      <c r="H22" s="15">
        <f t="shared" si="3"/>
        <v>5700</v>
      </c>
      <c r="I22" s="15">
        <f>D22*G22</f>
        <v>1200</v>
      </c>
      <c r="J22" s="15">
        <f t="shared" si="4"/>
        <v>0</v>
      </c>
      <c r="K22" s="14"/>
      <c r="L22" s="17"/>
      <c r="M22" s="16"/>
      <c r="N22" s="15"/>
      <c r="O22" s="14"/>
      <c r="P22" s="13"/>
      <c r="Q22" s="63"/>
      <c r="R22" s="63"/>
      <c r="S22" s="63"/>
      <c r="T22" s="63"/>
      <c r="U22" s="63"/>
      <c r="V22" s="65"/>
      <c r="W22" s="65"/>
      <c r="X22" s="63"/>
      <c r="Y22" s="63"/>
      <c r="Z22" s="63"/>
      <c r="AA22" s="63"/>
      <c r="AB22" s="63"/>
      <c r="AC22" s="65"/>
      <c r="AD22" s="65"/>
      <c r="AE22" s="63"/>
      <c r="AF22" s="63"/>
      <c r="AG22" s="63"/>
      <c r="AH22" s="63"/>
      <c r="AI22" s="63"/>
      <c r="AJ22" s="65"/>
      <c r="AK22" s="65"/>
      <c r="AL22" s="63">
        <v>8</v>
      </c>
      <c r="AM22" s="63"/>
      <c r="AN22" s="63"/>
      <c r="AO22" s="63"/>
      <c r="AP22" s="63">
        <v>4</v>
      </c>
      <c r="AQ22" s="65"/>
      <c r="AR22" s="65"/>
      <c r="AS22" s="63">
        <v>8</v>
      </c>
      <c r="AT22" s="63">
        <v>8</v>
      </c>
      <c r="AU22" s="63"/>
      <c r="AV22" s="63"/>
      <c r="AW22" s="63">
        <v>8</v>
      </c>
      <c r="AX22" s="65"/>
      <c r="AY22" s="65"/>
      <c r="AZ22" s="63">
        <v>8</v>
      </c>
      <c r="BA22" s="63">
        <v>8</v>
      </c>
      <c r="BB22" s="63">
        <v>8</v>
      </c>
      <c r="BC22" s="63">
        <v>8</v>
      </c>
      <c r="BD22" s="63">
        <v>8</v>
      </c>
      <c r="BE22" s="65"/>
      <c r="BF22" s="65"/>
      <c r="BG22" s="63">
        <v>8</v>
      </c>
      <c r="BH22" s="63">
        <v>8</v>
      </c>
      <c r="BI22" s="63"/>
      <c r="BJ22" s="63"/>
      <c r="BK22" s="63"/>
      <c r="BL22" s="65"/>
      <c r="BM22" s="65"/>
      <c r="BN22" s="63"/>
      <c r="BO22" s="63"/>
      <c r="BP22" s="63"/>
      <c r="BQ22" s="63"/>
      <c r="BR22" s="63"/>
      <c r="BS22" s="65"/>
      <c r="BT22" s="65"/>
      <c r="BU22" s="65"/>
      <c r="BV22" s="63"/>
      <c r="BW22" s="63"/>
      <c r="BX22" s="63"/>
      <c r="BY22" s="63"/>
      <c r="BZ22" s="65"/>
      <c r="CA22" s="65"/>
      <c r="CB22" s="63"/>
      <c r="CC22" s="63"/>
      <c r="CD22" s="63"/>
      <c r="CE22" s="63"/>
      <c r="CF22" s="63"/>
      <c r="CG22" s="65"/>
      <c r="CH22" s="65"/>
      <c r="CI22" s="63"/>
      <c r="CJ22" s="63"/>
      <c r="CK22" s="63"/>
      <c r="CL22" s="63"/>
      <c r="CM22" s="63"/>
      <c r="CN22" s="65"/>
      <c r="CO22" s="65"/>
      <c r="CP22" s="63"/>
      <c r="CQ22" s="63"/>
      <c r="CR22" s="63"/>
      <c r="CS22" s="63"/>
      <c r="CT22" s="63"/>
      <c r="CU22" s="65"/>
      <c r="CV22" s="65"/>
      <c r="CW22" s="63"/>
      <c r="CX22" s="63"/>
      <c r="CY22" s="63"/>
      <c r="CZ22" s="63"/>
      <c r="DA22" s="63"/>
      <c r="DB22" s="65"/>
      <c r="DC22" s="65"/>
      <c r="DD22" s="63"/>
      <c r="DE22" s="63"/>
      <c r="DF22" s="63"/>
      <c r="DG22" s="63"/>
      <c r="DH22" s="63"/>
      <c r="DI22" s="65"/>
      <c r="DJ22" s="65"/>
      <c r="DK22" s="63"/>
      <c r="DL22" s="63"/>
      <c r="DM22" s="63"/>
      <c r="DN22" s="63"/>
      <c r="DO22" s="63"/>
    </row>
    <row r="23" spans="1:119" x14ac:dyDescent="0.2">
      <c r="A23" s="18"/>
      <c r="B23" s="52" t="s">
        <v>70</v>
      </c>
      <c r="C23" s="14">
        <f t="shared" si="0"/>
        <v>0</v>
      </c>
      <c r="D23" s="14">
        <f t="shared" si="1"/>
        <v>8</v>
      </c>
      <c r="E23" s="14">
        <f t="shared" si="2"/>
        <v>0</v>
      </c>
      <c r="F23" s="17" t="s">
        <v>17</v>
      </c>
      <c r="G23" s="16">
        <v>75</v>
      </c>
      <c r="H23" s="15">
        <f t="shared" si="3"/>
        <v>0</v>
      </c>
      <c r="I23" s="15">
        <f>D23*G23</f>
        <v>600</v>
      </c>
      <c r="J23" s="15">
        <f t="shared" si="4"/>
        <v>0</v>
      </c>
      <c r="K23" s="14"/>
      <c r="L23" s="17"/>
      <c r="M23" s="16"/>
      <c r="N23" s="15"/>
      <c r="O23" s="14"/>
      <c r="P23" s="13"/>
      <c r="Q23" s="63"/>
      <c r="R23" s="63"/>
      <c r="S23" s="63"/>
      <c r="T23" s="63"/>
      <c r="U23" s="63"/>
      <c r="V23" s="65"/>
      <c r="W23" s="65"/>
      <c r="X23" s="63"/>
      <c r="Y23" s="63"/>
      <c r="Z23" s="63"/>
      <c r="AA23" s="63"/>
      <c r="AB23" s="63"/>
      <c r="AC23" s="65"/>
      <c r="AD23" s="65"/>
      <c r="AE23" s="63"/>
      <c r="AF23" s="63"/>
      <c r="AG23" s="63"/>
      <c r="AH23" s="63"/>
      <c r="AI23" s="63"/>
      <c r="AJ23" s="65"/>
      <c r="AK23" s="65"/>
      <c r="AL23" s="63"/>
      <c r="AM23" s="63"/>
      <c r="AN23" s="63"/>
      <c r="AO23" s="63"/>
      <c r="AP23" s="63"/>
      <c r="AQ23" s="65"/>
      <c r="AR23" s="65"/>
      <c r="AS23" s="63"/>
      <c r="AT23" s="63"/>
      <c r="AU23" s="63"/>
      <c r="AV23" s="63"/>
      <c r="AW23" s="63"/>
      <c r="AX23" s="65"/>
      <c r="AY23" s="65"/>
      <c r="AZ23" s="63"/>
      <c r="BA23" s="63"/>
      <c r="BB23" s="63"/>
      <c r="BC23" s="63"/>
      <c r="BD23" s="63"/>
      <c r="BE23" s="65"/>
      <c r="BF23" s="65"/>
      <c r="BG23" s="63"/>
      <c r="BH23" s="63"/>
      <c r="BI23" s="63"/>
      <c r="BJ23" s="63"/>
      <c r="BK23" s="63">
        <v>8</v>
      </c>
      <c r="BL23" s="65"/>
      <c r="BM23" s="65"/>
      <c r="BN23" s="63"/>
      <c r="BO23" s="63"/>
      <c r="BP23" s="63"/>
      <c r="BQ23" s="63"/>
      <c r="BR23" s="63"/>
      <c r="BS23" s="65"/>
      <c r="BT23" s="65"/>
      <c r="BU23" s="65"/>
      <c r="BV23" s="63"/>
      <c r="BW23" s="63"/>
      <c r="BX23" s="63"/>
      <c r="BY23" s="63"/>
      <c r="BZ23" s="65"/>
      <c r="CA23" s="65"/>
      <c r="CB23" s="63"/>
      <c r="CC23" s="63"/>
      <c r="CD23" s="63"/>
      <c r="CE23" s="63"/>
      <c r="CF23" s="63"/>
      <c r="CG23" s="65"/>
      <c r="CH23" s="65"/>
      <c r="CI23" s="63"/>
      <c r="CJ23" s="63"/>
      <c r="CK23" s="63"/>
      <c r="CL23" s="63"/>
      <c r="CM23" s="63"/>
      <c r="CN23" s="65"/>
      <c r="CO23" s="65"/>
      <c r="CP23" s="63"/>
      <c r="CQ23" s="63"/>
      <c r="CR23" s="63"/>
      <c r="CS23" s="63"/>
      <c r="CT23" s="63"/>
      <c r="CU23" s="65"/>
      <c r="CV23" s="65"/>
      <c r="CW23" s="63"/>
      <c r="CX23" s="63"/>
      <c r="CY23" s="63"/>
      <c r="CZ23" s="63"/>
      <c r="DA23" s="63"/>
      <c r="DB23" s="65"/>
      <c r="DC23" s="65"/>
      <c r="DD23" s="63"/>
      <c r="DE23" s="63"/>
      <c r="DF23" s="63"/>
      <c r="DG23" s="63"/>
      <c r="DH23" s="63"/>
      <c r="DI23" s="65"/>
      <c r="DJ23" s="65"/>
      <c r="DK23" s="63"/>
      <c r="DL23" s="63"/>
      <c r="DM23" s="63"/>
      <c r="DN23" s="63"/>
      <c r="DO23" s="63"/>
    </row>
    <row r="24" spans="1:119" x14ac:dyDescent="0.2">
      <c r="A24" s="18"/>
      <c r="B24" s="52" t="s">
        <v>28</v>
      </c>
      <c r="C24" s="14">
        <f t="shared" si="0"/>
        <v>64</v>
      </c>
      <c r="D24" s="14">
        <f t="shared" si="1"/>
        <v>108</v>
      </c>
      <c r="E24" s="14">
        <f t="shared" si="2"/>
        <v>5</v>
      </c>
      <c r="F24" s="17" t="s">
        <v>17</v>
      </c>
      <c r="G24" s="16">
        <v>46</v>
      </c>
      <c r="H24" s="15">
        <f t="shared" si="3"/>
        <v>2944</v>
      </c>
      <c r="I24" s="15">
        <f>D24*G24</f>
        <v>4968</v>
      </c>
      <c r="J24" s="15">
        <f t="shared" si="4"/>
        <v>230</v>
      </c>
      <c r="K24" s="14"/>
      <c r="L24" s="17"/>
      <c r="M24" s="16"/>
      <c r="N24" s="15"/>
      <c r="O24" s="14"/>
      <c r="P24" s="13"/>
      <c r="Q24" s="63"/>
      <c r="R24" s="63"/>
      <c r="S24" s="63"/>
      <c r="T24" s="63"/>
      <c r="U24" s="63"/>
      <c r="V24" s="65"/>
      <c r="W24" s="65"/>
      <c r="X24" s="63"/>
      <c r="Y24" s="63"/>
      <c r="Z24" s="63"/>
      <c r="AA24" s="63"/>
      <c r="AB24" s="63"/>
      <c r="AC24" s="65"/>
      <c r="AD24" s="65"/>
      <c r="AE24" s="63"/>
      <c r="AF24" s="63"/>
      <c r="AG24" s="63"/>
      <c r="AH24" s="63"/>
      <c r="AI24" s="63"/>
      <c r="AJ24" s="65"/>
      <c r="AK24" s="65"/>
      <c r="AL24" s="63"/>
      <c r="AM24" s="63">
        <v>8</v>
      </c>
      <c r="AN24" s="63"/>
      <c r="AO24" s="63">
        <v>8</v>
      </c>
      <c r="AP24" s="63"/>
      <c r="AQ24" s="65"/>
      <c r="AR24" s="65"/>
      <c r="AS24" s="63"/>
      <c r="AT24" s="63"/>
      <c r="AU24" s="63">
        <v>8</v>
      </c>
      <c r="AV24" s="63"/>
      <c r="AW24" s="63">
        <v>8</v>
      </c>
      <c r="AX24" s="65"/>
      <c r="AY24" s="65"/>
      <c r="AZ24" s="63"/>
      <c r="BA24" s="63">
        <v>8</v>
      </c>
      <c r="BB24" s="63">
        <v>8</v>
      </c>
      <c r="BC24" s="63">
        <v>8</v>
      </c>
      <c r="BD24" s="63">
        <v>8</v>
      </c>
      <c r="BE24" s="65"/>
      <c r="BF24" s="65"/>
      <c r="BG24" s="63">
        <v>8</v>
      </c>
      <c r="BH24" s="63">
        <v>8</v>
      </c>
      <c r="BI24" s="63">
        <v>8</v>
      </c>
      <c r="BJ24" s="63">
        <v>8</v>
      </c>
      <c r="BK24" s="63">
        <v>8</v>
      </c>
      <c r="BL24" s="65"/>
      <c r="BM24" s="65"/>
      <c r="BN24" s="63">
        <v>8</v>
      </c>
      <c r="BO24" s="63"/>
      <c r="BP24" s="63">
        <v>8</v>
      </c>
      <c r="BQ24" s="63">
        <v>8</v>
      </c>
      <c r="BR24" s="63">
        <v>8</v>
      </c>
      <c r="BS24" s="65"/>
      <c r="BT24" s="65"/>
      <c r="BU24" s="65"/>
      <c r="BV24" s="63">
        <v>8</v>
      </c>
      <c r="BW24" s="63">
        <v>8</v>
      </c>
      <c r="BX24" s="63">
        <v>8</v>
      </c>
      <c r="BY24" s="63">
        <v>8</v>
      </c>
      <c r="BZ24" s="65"/>
      <c r="CA24" s="65"/>
      <c r="CB24" s="63">
        <v>4</v>
      </c>
      <c r="CC24" s="63"/>
      <c r="CD24" s="63"/>
      <c r="CE24" s="63"/>
      <c r="CF24" s="63"/>
      <c r="CG24" s="65"/>
      <c r="CH24" s="65"/>
      <c r="CI24" s="63"/>
      <c r="CJ24" s="63"/>
      <c r="CK24" s="63"/>
      <c r="CL24" s="63"/>
      <c r="CM24" s="63"/>
      <c r="CN24" s="65"/>
      <c r="CO24" s="65"/>
      <c r="CP24" s="63"/>
      <c r="CQ24" s="63"/>
      <c r="CR24" s="63"/>
      <c r="CS24" s="63"/>
      <c r="CT24" s="63"/>
      <c r="CU24" s="65"/>
      <c r="CV24" s="65"/>
      <c r="CW24" s="63"/>
      <c r="CX24" s="63"/>
      <c r="CY24" s="63">
        <v>5</v>
      </c>
      <c r="CZ24" s="63"/>
      <c r="DA24" s="63"/>
      <c r="DB24" s="65"/>
      <c r="DC24" s="65"/>
      <c r="DD24" s="63"/>
      <c r="DE24" s="63"/>
      <c r="DF24" s="63"/>
      <c r="DG24" s="63"/>
      <c r="DH24" s="63"/>
      <c r="DI24" s="65"/>
      <c r="DJ24" s="65"/>
      <c r="DK24" s="63"/>
      <c r="DL24" s="63"/>
      <c r="DM24" s="63"/>
      <c r="DN24" s="63"/>
      <c r="DO24" s="63"/>
    </row>
    <row r="25" spans="1:119" x14ac:dyDescent="0.2">
      <c r="A25" s="18"/>
      <c r="B25" s="52" t="s">
        <v>29</v>
      </c>
      <c r="C25" s="14">
        <f t="shared" si="0"/>
        <v>50</v>
      </c>
      <c r="D25" s="14">
        <f t="shared" si="1"/>
        <v>40</v>
      </c>
      <c r="E25" s="14">
        <f t="shared" si="2"/>
        <v>13</v>
      </c>
      <c r="F25" s="17" t="s">
        <v>17</v>
      </c>
      <c r="G25" s="16">
        <v>46</v>
      </c>
      <c r="H25" s="15">
        <f t="shared" si="3"/>
        <v>2300</v>
      </c>
      <c r="I25" s="15">
        <f>D25*G25</f>
        <v>1840</v>
      </c>
      <c r="J25" s="15">
        <f t="shared" si="4"/>
        <v>598</v>
      </c>
      <c r="K25" s="14"/>
      <c r="L25" s="17"/>
      <c r="M25" s="16"/>
      <c r="N25" s="15"/>
      <c r="O25" s="14"/>
      <c r="P25" s="13"/>
      <c r="Q25" s="63"/>
      <c r="R25" s="63"/>
      <c r="S25" s="63"/>
      <c r="T25" s="63"/>
      <c r="U25" s="63"/>
      <c r="V25" s="65"/>
      <c r="W25" s="65"/>
      <c r="X25" s="63"/>
      <c r="Y25" s="63"/>
      <c r="Z25" s="63"/>
      <c r="AA25" s="63"/>
      <c r="AB25" s="63"/>
      <c r="AC25" s="65"/>
      <c r="AD25" s="65"/>
      <c r="AE25" s="63"/>
      <c r="AF25" s="63"/>
      <c r="AG25" s="63"/>
      <c r="AH25" s="63">
        <v>8</v>
      </c>
      <c r="AI25" s="63"/>
      <c r="AJ25" s="65"/>
      <c r="AK25" s="65"/>
      <c r="AL25" s="63"/>
      <c r="AM25" s="63"/>
      <c r="AN25" s="63"/>
      <c r="AO25" s="63">
        <v>8</v>
      </c>
      <c r="AP25" s="63">
        <v>8</v>
      </c>
      <c r="AQ25" s="65"/>
      <c r="AR25" s="65"/>
      <c r="AS25" s="63"/>
      <c r="AT25" s="63"/>
      <c r="AU25" s="63"/>
      <c r="AV25" s="63"/>
      <c r="AW25" s="63"/>
      <c r="AX25" s="65"/>
      <c r="AY25" s="65"/>
      <c r="AZ25" s="63"/>
      <c r="BA25" s="63">
        <v>2</v>
      </c>
      <c r="BB25" s="63">
        <v>8</v>
      </c>
      <c r="BC25" s="63">
        <v>8</v>
      </c>
      <c r="BD25" s="63">
        <v>8</v>
      </c>
      <c r="BE25" s="65"/>
      <c r="BF25" s="65"/>
      <c r="BG25" s="63">
        <v>8</v>
      </c>
      <c r="BH25" s="63">
        <v>8</v>
      </c>
      <c r="BI25" s="63">
        <v>8</v>
      </c>
      <c r="BJ25" s="63">
        <v>8</v>
      </c>
      <c r="BK25" s="63">
        <v>8</v>
      </c>
      <c r="BL25" s="65"/>
      <c r="BM25" s="65"/>
      <c r="BN25" s="63"/>
      <c r="BO25" s="63"/>
      <c r="BP25" s="63"/>
      <c r="BQ25" s="63"/>
      <c r="BR25" s="63"/>
      <c r="BS25" s="65"/>
      <c r="BT25" s="65"/>
      <c r="BU25" s="65"/>
      <c r="BV25" s="63"/>
      <c r="BW25" s="63"/>
      <c r="BX25" s="63"/>
      <c r="BY25" s="63"/>
      <c r="BZ25" s="65"/>
      <c r="CA25" s="65"/>
      <c r="CB25" s="63"/>
      <c r="CC25" s="63"/>
      <c r="CD25" s="63"/>
      <c r="CE25" s="63"/>
      <c r="CF25" s="63"/>
      <c r="CG25" s="65"/>
      <c r="CH25" s="65"/>
      <c r="CI25" s="63"/>
      <c r="CJ25" s="63"/>
      <c r="CK25" s="63"/>
      <c r="CL25" s="63"/>
      <c r="CM25" s="63"/>
      <c r="CN25" s="65"/>
      <c r="CO25" s="65"/>
      <c r="CP25" s="63"/>
      <c r="CQ25" s="63">
        <v>4</v>
      </c>
      <c r="CR25" s="63"/>
      <c r="CS25" s="63"/>
      <c r="CT25" s="63"/>
      <c r="CU25" s="65"/>
      <c r="CV25" s="65"/>
      <c r="CW25" s="63"/>
      <c r="CX25" s="63">
        <v>5</v>
      </c>
      <c r="CY25" s="63"/>
      <c r="CZ25" s="63"/>
      <c r="DA25" s="63"/>
      <c r="DB25" s="65"/>
      <c r="DC25" s="65"/>
      <c r="DD25" s="63"/>
      <c r="DE25" s="63"/>
      <c r="DF25" s="63"/>
      <c r="DG25" s="63"/>
      <c r="DH25" s="63"/>
      <c r="DI25" s="65"/>
      <c r="DJ25" s="65"/>
      <c r="DK25" s="63">
        <v>4</v>
      </c>
      <c r="DL25" s="63"/>
      <c r="DM25" s="63"/>
      <c r="DN25" s="63"/>
      <c r="DO25" s="63"/>
    </row>
    <row r="26" spans="1:119" x14ac:dyDescent="0.2">
      <c r="A26" s="18"/>
      <c r="B26" s="52" t="s">
        <v>30</v>
      </c>
      <c r="C26" s="14">
        <f t="shared" si="0"/>
        <v>34</v>
      </c>
      <c r="D26" s="14">
        <f t="shared" si="1"/>
        <v>72</v>
      </c>
      <c r="E26" s="14">
        <f t="shared" si="2"/>
        <v>0</v>
      </c>
      <c r="F26" s="17" t="s">
        <v>17</v>
      </c>
      <c r="G26" s="16">
        <v>46</v>
      </c>
      <c r="H26" s="15">
        <f t="shared" si="3"/>
        <v>1564</v>
      </c>
      <c r="I26" s="15">
        <f>D26*G26</f>
        <v>3312</v>
      </c>
      <c r="J26" s="15">
        <f t="shared" si="4"/>
        <v>0</v>
      </c>
      <c r="K26" s="14"/>
      <c r="L26" s="17"/>
      <c r="M26" s="16"/>
      <c r="N26" s="15"/>
      <c r="O26" s="14"/>
      <c r="P26" s="13"/>
      <c r="Q26" s="63"/>
      <c r="R26" s="63"/>
      <c r="S26" s="63"/>
      <c r="T26" s="63"/>
      <c r="U26" s="63"/>
      <c r="V26" s="65"/>
      <c r="W26" s="65"/>
      <c r="X26" s="63"/>
      <c r="Y26" s="63"/>
      <c r="Z26" s="63"/>
      <c r="AA26" s="63"/>
      <c r="AB26" s="63"/>
      <c r="AC26" s="65"/>
      <c r="AD26" s="65"/>
      <c r="AE26" s="63"/>
      <c r="AF26" s="63"/>
      <c r="AG26" s="63"/>
      <c r="AH26" s="63"/>
      <c r="AI26" s="63"/>
      <c r="AJ26" s="65"/>
      <c r="AK26" s="65"/>
      <c r="AL26" s="63"/>
      <c r="AM26" s="63"/>
      <c r="AN26" s="63"/>
      <c r="AO26" s="63">
        <v>8</v>
      </c>
      <c r="AP26" s="63">
        <v>8</v>
      </c>
      <c r="AQ26" s="65"/>
      <c r="AR26" s="65"/>
      <c r="AS26" s="63"/>
      <c r="AT26" s="63"/>
      <c r="AU26" s="63"/>
      <c r="AV26" s="63"/>
      <c r="AW26" s="63"/>
      <c r="AX26" s="65"/>
      <c r="AY26" s="65"/>
      <c r="AZ26" s="63"/>
      <c r="BA26" s="63">
        <v>2</v>
      </c>
      <c r="BB26" s="63">
        <v>8</v>
      </c>
      <c r="BC26" s="63"/>
      <c r="BD26" s="63">
        <v>8</v>
      </c>
      <c r="BE26" s="65"/>
      <c r="BF26" s="65"/>
      <c r="BG26" s="63">
        <v>8</v>
      </c>
      <c r="BH26" s="63">
        <v>8</v>
      </c>
      <c r="BI26" s="63">
        <v>8</v>
      </c>
      <c r="BJ26" s="63">
        <v>8</v>
      </c>
      <c r="BK26" s="63"/>
      <c r="BL26" s="65"/>
      <c r="BM26" s="65"/>
      <c r="BN26" s="63">
        <v>8</v>
      </c>
      <c r="BO26" s="63">
        <v>8</v>
      </c>
      <c r="BP26" s="63">
        <v>8</v>
      </c>
      <c r="BQ26" s="63"/>
      <c r="BR26" s="63"/>
      <c r="BS26" s="65"/>
      <c r="BT26" s="65"/>
      <c r="BU26" s="65"/>
      <c r="BV26" s="63">
        <v>8</v>
      </c>
      <c r="BW26" s="63">
        <v>8</v>
      </c>
      <c r="BX26" s="63"/>
      <c r="BY26" s="63"/>
      <c r="BZ26" s="65"/>
      <c r="CA26" s="65"/>
      <c r="CB26" s="63"/>
      <c r="CC26" s="63"/>
      <c r="CD26" s="63"/>
      <c r="CE26" s="63"/>
      <c r="CF26" s="63"/>
      <c r="CG26" s="65"/>
      <c r="CH26" s="65"/>
      <c r="CI26" s="63"/>
      <c r="CJ26" s="63"/>
      <c r="CK26" s="63"/>
      <c r="CL26" s="63"/>
      <c r="CM26" s="63"/>
      <c r="CN26" s="65"/>
      <c r="CO26" s="65"/>
      <c r="CP26" s="63"/>
      <c r="CQ26" s="63"/>
      <c r="CR26" s="63"/>
      <c r="CS26" s="63"/>
      <c r="CT26" s="63"/>
      <c r="CU26" s="65"/>
      <c r="CV26" s="65"/>
      <c r="CW26" s="63"/>
      <c r="CX26" s="63"/>
      <c r="CY26" s="63"/>
      <c r="CZ26" s="63"/>
      <c r="DA26" s="63"/>
      <c r="DB26" s="65"/>
      <c r="DC26" s="65"/>
      <c r="DD26" s="63"/>
      <c r="DE26" s="63"/>
      <c r="DF26" s="63"/>
      <c r="DG26" s="63"/>
      <c r="DH26" s="63"/>
      <c r="DI26" s="65"/>
      <c r="DJ26" s="65"/>
      <c r="DK26" s="63"/>
      <c r="DL26" s="63"/>
      <c r="DM26" s="63"/>
      <c r="DN26" s="63"/>
      <c r="DO26" s="63"/>
    </row>
    <row r="27" spans="1:119" x14ac:dyDescent="0.2">
      <c r="A27" s="18"/>
      <c r="B27" s="52" t="s">
        <v>31</v>
      </c>
      <c r="C27" s="14">
        <f t="shared" si="0"/>
        <v>16</v>
      </c>
      <c r="D27" s="14">
        <f t="shared" si="1"/>
        <v>112</v>
      </c>
      <c r="E27" s="14">
        <f t="shared" si="2"/>
        <v>0</v>
      </c>
      <c r="F27" s="17" t="s">
        <v>17</v>
      </c>
      <c r="G27" s="16">
        <v>46</v>
      </c>
      <c r="H27" s="15">
        <f t="shared" si="3"/>
        <v>736</v>
      </c>
      <c r="I27" s="15">
        <f>D27*G27</f>
        <v>5152</v>
      </c>
      <c r="J27" s="15">
        <f t="shared" si="4"/>
        <v>0</v>
      </c>
      <c r="K27" s="14"/>
      <c r="L27" s="17"/>
      <c r="M27" s="16"/>
      <c r="N27" s="15"/>
      <c r="O27" s="14"/>
      <c r="P27" s="13"/>
      <c r="Q27" s="63"/>
      <c r="R27" s="63"/>
      <c r="S27" s="63"/>
      <c r="T27" s="63"/>
      <c r="U27" s="63"/>
      <c r="V27" s="65"/>
      <c r="W27" s="65"/>
      <c r="X27" s="63"/>
      <c r="Y27" s="63"/>
      <c r="Z27" s="63"/>
      <c r="AA27" s="63"/>
      <c r="AB27" s="63"/>
      <c r="AC27" s="65"/>
      <c r="AD27" s="65"/>
      <c r="AE27" s="63"/>
      <c r="AF27" s="63"/>
      <c r="AG27" s="63"/>
      <c r="AH27" s="63"/>
      <c r="AI27" s="63"/>
      <c r="AJ27" s="65"/>
      <c r="AK27" s="65"/>
      <c r="AL27" s="63"/>
      <c r="AM27" s="63"/>
      <c r="AN27" s="63"/>
      <c r="AO27" s="63">
        <v>8</v>
      </c>
      <c r="AP27" s="63"/>
      <c r="AQ27" s="65"/>
      <c r="AR27" s="65"/>
      <c r="AS27" s="63"/>
      <c r="AT27" s="63"/>
      <c r="AU27" s="63">
        <v>8</v>
      </c>
      <c r="AV27" s="63"/>
      <c r="AW27" s="63"/>
      <c r="AX27" s="65"/>
      <c r="AY27" s="65"/>
      <c r="AZ27" s="63"/>
      <c r="BA27" s="63"/>
      <c r="BB27" s="63"/>
      <c r="BC27" s="63"/>
      <c r="BD27" s="63"/>
      <c r="BE27" s="65"/>
      <c r="BF27" s="65"/>
      <c r="BG27" s="63">
        <v>8</v>
      </c>
      <c r="BH27" s="63">
        <v>8</v>
      </c>
      <c r="BI27" s="63">
        <v>8</v>
      </c>
      <c r="BJ27" s="63">
        <v>8</v>
      </c>
      <c r="BK27" s="63">
        <v>8</v>
      </c>
      <c r="BL27" s="65"/>
      <c r="BM27" s="65"/>
      <c r="BN27" s="63">
        <v>8</v>
      </c>
      <c r="BO27" s="63">
        <v>8</v>
      </c>
      <c r="BP27" s="63">
        <v>8</v>
      </c>
      <c r="BQ27" s="63">
        <v>8</v>
      </c>
      <c r="BR27" s="63">
        <v>8</v>
      </c>
      <c r="BS27" s="65"/>
      <c r="BT27" s="65"/>
      <c r="BU27" s="65"/>
      <c r="BV27" s="63">
        <v>8</v>
      </c>
      <c r="BW27" s="63">
        <v>8</v>
      </c>
      <c r="BX27" s="63">
        <v>8</v>
      </c>
      <c r="BY27" s="63">
        <v>8</v>
      </c>
      <c r="BZ27" s="65"/>
      <c r="CA27" s="65"/>
      <c r="CB27" s="63"/>
      <c r="CC27" s="63"/>
      <c r="CD27" s="63"/>
      <c r="CE27" s="63"/>
      <c r="CF27" s="63"/>
      <c r="CG27" s="65"/>
      <c r="CH27" s="65"/>
      <c r="CI27" s="63"/>
      <c r="CJ27" s="63"/>
      <c r="CK27" s="63"/>
      <c r="CL27" s="63"/>
      <c r="CM27" s="63"/>
      <c r="CN27" s="65"/>
      <c r="CO27" s="65"/>
      <c r="CP27" s="63"/>
      <c r="CQ27" s="63"/>
      <c r="CR27" s="63"/>
      <c r="CS27" s="63"/>
      <c r="CT27" s="63"/>
      <c r="CU27" s="65"/>
      <c r="CV27" s="65"/>
      <c r="CW27" s="63"/>
      <c r="CX27" s="63"/>
      <c r="CY27" s="63"/>
      <c r="CZ27" s="63"/>
      <c r="DA27" s="63"/>
      <c r="DB27" s="65"/>
      <c r="DC27" s="65"/>
      <c r="DD27" s="63"/>
      <c r="DE27" s="63"/>
      <c r="DF27" s="63"/>
      <c r="DG27" s="63"/>
      <c r="DH27" s="63"/>
      <c r="DI27" s="65"/>
      <c r="DJ27" s="65"/>
      <c r="DK27" s="63"/>
      <c r="DL27" s="63"/>
      <c r="DM27" s="63"/>
      <c r="DN27" s="63"/>
      <c r="DO27" s="63"/>
    </row>
    <row r="28" spans="1:119" x14ac:dyDescent="0.2">
      <c r="A28" s="18"/>
      <c r="B28" s="52" t="s">
        <v>32</v>
      </c>
      <c r="C28" s="14">
        <f t="shared" si="0"/>
        <v>2</v>
      </c>
      <c r="D28" s="14">
        <f t="shared" si="1"/>
        <v>16</v>
      </c>
      <c r="E28" s="14">
        <f t="shared" si="2"/>
        <v>0</v>
      </c>
      <c r="F28" s="17" t="s">
        <v>17</v>
      </c>
      <c r="G28" s="16">
        <v>46</v>
      </c>
      <c r="H28" s="15">
        <f t="shared" si="3"/>
        <v>92</v>
      </c>
      <c r="I28" s="15">
        <f>D28*G28</f>
        <v>736</v>
      </c>
      <c r="J28" s="15">
        <f t="shared" si="4"/>
        <v>0</v>
      </c>
      <c r="K28" s="14"/>
      <c r="L28" s="17"/>
      <c r="M28" s="16"/>
      <c r="N28" s="15"/>
      <c r="O28" s="14"/>
      <c r="P28" s="13"/>
      <c r="Q28" s="63"/>
      <c r="R28" s="63"/>
      <c r="S28" s="63"/>
      <c r="T28" s="63"/>
      <c r="U28" s="63"/>
      <c r="V28" s="65"/>
      <c r="W28" s="65"/>
      <c r="X28" s="63"/>
      <c r="Y28" s="63"/>
      <c r="Z28" s="63"/>
      <c r="AA28" s="63"/>
      <c r="AB28" s="63"/>
      <c r="AC28" s="65"/>
      <c r="AD28" s="65"/>
      <c r="AE28" s="63"/>
      <c r="AF28" s="63"/>
      <c r="AG28" s="63"/>
      <c r="AH28" s="63"/>
      <c r="AI28" s="63"/>
      <c r="AJ28" s="65"/>
      <c r="AK28" s="65"/>
      <c r="AL28" s="63"/>
      <c r="AM28" s="63"/>
      <c r="AN28" s="63"/>
      <c r="AO28" s="63"/>
      <c r="AP28" s="63"/>
      <c r="AQ28" s="65"/>
      <c r="AR28" s="65"/>
      <c r="AS28" s="63"/>
      <c r="AT28" s="63">
        <v>2</v>
      </c>
      <c r="AU28" s="63"/>
      <c r="AV28" s="63"/>
      <c r="AW28" s="63"/>
      <c r="AX28" s="65"/>
      <c r="AY28" s="65"/>
      <c r="AZ28" s="63"/>
      <c r="BA28" s="63"/>
      <c r="BB28" s="63"/>
      <c r="BC28" s="63"/>
      <c r="BD28" s="63"/>
      <c r="BE28" s="65"/>
      <c r="BF28" s="65"/>
      <c r="BG28" s="63"/>
      <c r="BH28" s="63"/>
      <c r="BI28" s="63">
        <v>8</v>
      </c>
      <c r="BJ28" s="63"/>
      <c r="BK28" s="63">
        <v>8</v>
      </c>
      <c r="BL28" s="65"/>
      <c r="BM28" s="65"/>
      <c r="BN28" s="63"/>
      <c r="BO28" s="63"/>
      <c r="BP28" s="63"/>
      <c r="BQ28" s="63"/>
      <c r="BR28" s="63"/>
      <c r="BS28" s="65"/>
      <c r="BT28" s="65"/>
      <c r="BU28" s="65"/>
      <c r="BV28" s="63"/>
      <c r="BW28" s="63"/>
      <c r="BX28" s="63"/>
      <c r="BY28" s="63"/>
      <c r="BZ28" s="65"/>
      <c r="CA28" s="65"/>
      <c r="CB28" s="63"/>
      <c r="CC28" s="63"/>
      <c r="CD28" s="63"/>
      <c r="CE28" s="63"/>
      <c r="CF28" s="63"/>
      <c r="CG28" s="65"/>
      <c r="CH28" s="65"/>
      <c r="CI28" s="63"/>
      <c r="CJ28" s="63"/>
      <c r="CK28" s="63"/>
      <c r="CL28" s="63"/>
      <c r="CM28" s="63"/>
      <c r="CN28" s="65"/>
      <c r="CO28" s="65"/>
      <c r="CP28" s="63"/>
      <c r="CQ28" s="63"/>
      <c r="CR28" s="63"/>
      <c r="CS28" s="63"/>
      <c r="CT28" s="63"/>
      <c r="CU28" s="65"/>
      <c r="CV28" s="65"/>
      <c r="CW28" s="63"/>
      <c r="CX28" s="63"/>
      <c r="CY28" s="63"/>
      <c r="CZ28" s="63"/>
      <c r="DA28" s="63"/>
      <c r="DB28" s="65"/>
      <c r="DC28" s="65"/>
      <c r="DD28" s="63"/>
      <c r="DE28" s="63"/>
      <c r="DF28" s="63"/>
      <c r="DG28" s="63"/>
      <c r="DH28" s="63"/>
      <c r="DI28" s="65"/>
      <c r="DJ28" s="65"/>
      <c r="DK28" s="63"/>
      <c r="DL28" s="63"/>
      <c r="DM28" s="63"/>
      <c r="DN28" s="63"/>
      <c r="DO28" s="63"/>
    </row>
    <row r="29" spans="1:119" x14ac:dyDescent="0.2">
      <c r="A29" s="18"/>
      <c r="B29" s="52" t="s">
        <v>33</v>
      </c>
      <c r="C29" s="14">
        <f t="shared" si="0"/>
        <v>8</v>
      </c>
      <c r="D29" s="14">
        <f t="shared" si="1"/>
        <v>0</v>
      </c>
      <c r="E29" s="14">
        <f t="shared" si="2"/>
        <v>0</v>
      </c>
      <c r="F29" s="17" t="s">
        <v>17</v>
      </c>
      <c r="G29" s="16">
        <v>46</v>
      </c>
      <c r="H29" s="15">
        <f t="shared" si="3"/>
        <v>368</v>
      </c>
      <c r="I29" s="15">
        <f>D29*G29</f>
        <v>0</v>
      </c>
      <c r="J29" s="15">
        <f t="shared" si="4"/>
        <v>0</v>
      </c>
      <c r="K29" s="14"/>
      <c r="L29" s="17"/>
      <c r="M29" s="16"/>
      <c r="N29" s="15"/>
      <c r="O29" s="14"/>
      <c r="P29" s="13"/>
      <c r="Q29" s="63"/>
      <c r="R29" s="63"/>
      <c r="S29" s="63"/>
      <c r="T29" s="63"/>
      <c r="U29" s="63"/>
      <c r="V29" s="65"/>
      <c r="W29" s="65"/>
      <c r="X29" s="63"/>
      <c r="Y29" s="63"/>
      <c r="Z29" s="63"/>
      <c r="AA29" s="63"/>
      <c r="AB29" s="63"/>
      <c r="AC29" s="65"/>
      <c r="AD29" s="65"/>
      <c r="AE29" s="63"/>
      <c r="AF29" s="63"/>
      <c r="AG29" s="63"/>
      <c r="AH29" s="63"/>
      <c r="AI29" s="63"/>
      <c r="AJ29" s="65"/>
      <c r="AK29" s="65"/>
      <c r="AL29" s="63"/>
      <c r="AM29" s="63"/>
      <c r="AN29" s="63"/>
      <c r="AO29" s="63"/>
      <c r="AP29" s="63"/>
      <c r="AQ29" s="65"/>
      <c r="AR29" s="65"/>
      <c r="AS29" s="63"/>
      <c r="AT29" s="63"/>
      <c r="AU29" s="63"/>
      <c r="AV29" s="63">
        <v>8</v>
      </c>
      <c r="AW29" s="63"/>
      <c r="AX29" s="65"/>
      <c r="AY29" s="65"/>
      <c r="AZ29" s="63"/>
      <c r="BA29" s="63"/>
      <c r="BB29" s="63"/>
      <c r="BC29" s="63"/>
      <c r="BD29" s="63"/>
      <c r="BE29" s="65"/>
      <c r="BF29" s="65"/>
      <c r="BG29" s="63"/>
      <c r="BH29" s="63"/>
      <c r="BI29" s="63"/>
      <c r="BJ29" s="63"/>
      <c r="BK29" s="63"/>
      <c r="BL29" s="65"/>
      <c r="BM29" s="65"/>
      <c r="BN29" s="63"/>
      <c r="BO29" s="63"/>
      <c r="BP29" s="63"/>
      <c r="BQ29" s="63"/>
      <c r="BR29" s="63"/>
      <c r="BS29" s="65"/>
      <c r="BT29" s="65"/>
      <c r="BU29" s="65"/>
      <c r="BV29" s="63"/>
      <c r="BW29" s="63"/>
      <c r="BX29" s="63"/>
      <c r="BY29" s="63"/>
      <c r="BZ29" s="65"/>
      <c r="CA29" s="65"/>
      <c r="CB29" s="63"/>
      <c r="CC29" s="63"/>
      <c r="CD29" s="63"/>
      <c r="CE29" s="63"/>
      <c r="CF29" s="63"/>
      <c r="CG29" s="65"/>
      <c r="CH29" s="65"/>
      <c r="CI29" s="63"/>
      <c r="CJ29" s="63"/>
      <c r="CK29" s="63"/>
      <c r="CL29" s="63"/>
      <c r="CM29" s="63"/>
      <c r="CN29" s="65"/>
      <c r="CO29" s="65"/>
      <c r="CP29" s="63"/>
      <c r="CQ29" s="63"/>
      <c r="CR29" s="63"/>
      <c r="CS29" s="63"/>
      <c r="CT29" s="63"/>
      <c r="CU29" s="65"/>
      <c r="CV29" s="65"/>
      <c r="CW29" s="63"/>
      <c r="CX29" s="63"/>
      <c r="CY29" s="63"/>
      <c r="CZ29" s="63"/>
      <c r="DA29" s="63"/>
      <c r="DB29" s="65"/>
      <c r="DC29" s="65"/>
      <c r="DD29" s="63"/>
      <c r="DE29" s="63"/>
      <c r="DF29" s="63"/>
      <c r="DG29" s="63"/>
      <c r="DH29" s="63"/>
      <c r="DI29" s="65"/>
      <c r="DJ29" s="65"/>
      <c r="DK29" s="63"/>
      <c r="DL29" s="63"/>
      <c r="DM29" s="63"/>
      <c r="DN29" s="63"/>
      <c r="DO29" s="63"/>
    </row>
    <row r="30" spans="1:119" x14ac:dyDescent="0.2">
      <c r="A30" s="18"/>
      <c r="B30" s="52" t="s">
        <v>34</v>
      </c>
      <c r="C30" s="14">
        <f t="shared" si="0"/>
        <v>20</v>
      </c>
      <c r="D30" s="14">
        <f t="shared" si="1"/>
        <v>8</v>
      </c>
      <c r="E30" s="14">
        <f t="shared" si="2"/>
        <v>0</v>
      </c>
      <c r="F30" s="17" t="s">
        <v>17</v>
      </c>
      <c r="G30" s="16">
        <v>46</v>
      </c>
      <c r="H30" s="15">
        <f t="shared" si="3"/>
        <v>920</v>
      </c>
      <c r="I30" s="15">
        <f>D30*G30</f>
        <v>368</v>
      </c>
      <c r="J30" s="15">
        <f t="shared" si="4"/>
        <v>0</v>
      </c>
      <c r="K30" s="14"/>
      <c r="L30" s="17"/>
      <c r="M30" s="16"/>
      <c r="N30" s="15"/>
      <c r="O30" s="14"/>
      <c r="P30" s="13"/>
      <c r="Q30" s="63"/>
      <c r="R30" s="63"/>
      <c r="S30" s="63"/>
      <c r="T30" s="63"/>
      <c r="U30" s="63"/>
      <c r="V30" s="65"/>
      <c r="W30" s="65"/>
      <c r="X30" s="63"/>
      <c r="Y30" s="63"/>
      <c r="Z30" s="63"/>
      <c r="AA30" s="63"/>
      <c r="AB30" s="63"/>
      <c r="AC30" s="65"/>
      <c r="AD30" s="65"/>
      <c r="AE30" s="63"/>
      <c r="AF30" s="63"/>
      <c r="AG30" s="63">
        <v>4</v>
      </c>
      <c r="AH30" s="63">
        <v>4</v>
      </c>
      <c r="AI30" s="63">
        <v>4</v>
      </c>
      <c r="AJ30" s="65"/>
      <c r="AK30" s="65"/>
      <c r="AL30" s="63"/>
      <c r="AM30" s="63"/>
      <c r="AN30" s="63"/>
      <c r="AO30" s="63">
        <v>8</v>
      </c>
      <c r="AP30" s="63"/>
      <c r="AQ30" s="65"/>
      <c r="AR30" s="65"/>
      <c r="AS30" s="63"/>
      <c r="AT30" s="63"/>
      <c r="AU30" s="63"/>
      <c r="AV30" s="63"/>
      <c r="AW30" s="63"/>
      <c r="AX30" s="65"/>
      <c r="AY30" s="65"/>
      <c r="AZ30" s="63"/>
      <c r="BA30" s="63"/>
      <c r="BB30" s="63"/>
      <c r="BC30" s="63"/>
      <c r="BD30" s="63"/>
      <c r="BE30" s="65"/>
      <c r="BF30" s="65"/>
      <c r="BG30" s="63"/>
      <c r="BH30" s="63"/>
      <c r="BI30" s="63"/>
      <c r="BJ30" s="63"/>
      <c r="BK30" s="63">
        <v>8</v>
      </c>
      <c r="BL30" s="65"/>
      <c r="BM30" s="65"/>
      <c r="BN30" s="63"/>
      <c r="BO30" s="63"/>
      <c r="BP30" s="63"/>
      <c r="BQ30" s="63"/>
      <c r="BR30" s="63"/>
      <c r="BS30" s="65"/>
      <c r="BT30" s="65"/>
      <c r="BU30" s="65"/>
      <c r="BV30" s="63"/>
      <c r="BW30" s="63"/>
      <c r="BX30" s="63"/>
      <c r="BY30" s="63"/>
      <c r="BZ30" s="65"/>
      <c r="CA30" s="65"/>
      <c r="CB30" s="63"/>
      <c r="CC30" s="63"/>
      <c r="CD30" s="63"/>
      <c r="CE30" s="63"/>
      <c r="CF30" s="63"/>
      <c r="CG30" s="65"/>
      <c r="CH30" s="65"/>
      <c r="CI30" s="63"/>
      <c r="CJ30" s="63"/>
      <c r="CK30" s="63"/>
      <c r="CL30" s="63"/>
      <c r="CM30" s="63"/>
      <c r="CN30" s="65"/>
      <c r="CO30" s="65"/>
      <c r="CP30" s="63"/>
      <c r="CQ30" s="63"/>
      <c r="CR30" s="63"/>
      <c r="CS30" s="63"/>
      <c r="CT30" s="63"/>
      <c r="CU30" s="65"/>
      <c r="CV30" s="65"/>
      <c r="CW30" s="63"/>
      <c r="CX30" s="63"/>
      <c r="CY30" s="63"/>
      <c r="CZ30" s="63"/>
      <c r="DA30" s="63"/>
      <c r="DB30" s="65"/>
      <c r="DC30" s="65"/>
      <c r="DD30" s="63"/>
      <c r="DE30" s="63"/>
      <c r="DF30" s="63"/>
      <c r="DG30" s="63"/>
      <c r="DH30" s="63"/>
      <c r="DI30" s="65"/>
      <c r="DJ30" s="65"/>
      <c r="DK30" s="63"/>
      <c r="DL30" s="63"/>
      <c r="DM30" s="63"/>
      <c r="DN30" s="63"/>
      <c r="DO30" s="63"/>
    </row>
    <row r="31" spans="1:119" x14ac:dyDescent="0.2">
      <c r="A31" s="18"/>
      <c r="B31" s="52" t="s">
        <v>35</v>
      </c>
      <c r="C31" s="14">
        <f t="shared" si="0"/>
        <v>16</v>
      </c>
      <c r="D31" s="14">
        <f t="shared" si="1"/>
        <v>12</v>
      </c>
      <c r="E31" s="14">
        <f t="shared" si="2"/>
        <v>0</v>
      </c>
      <c r="F31" s="17" t="s">
        <v>17</v>
      </c>
      <c r="G31" s="16">
        <v>46</v>
      </c>
      <c r="H31" s="15">
        <f t="shared" si="3"/>
        <v>736</v>
      </c>
      <c r="I31" s="15">
        <f>D31*G31</f>
        <v>552</v>
      </c>
      <c r="J31" s="15">
        <f t="shared" si="4"/>
        <v>0</v>
      </c>
      <c r="K31" s="14"/>
      <c r="L31" s="17"/>
      <c r="M31" s="16"/>
      <c r="N31" s="15"/>
      <c r="O31" s="14"/>
      <c r="P31" s="13"/>
      <c r="Q31" s="63"/>
      <c r="R31" s="63"/>
      <c r="S31" s="63"/>
      <c r="T31" s="63"/>
      <c r="U31" s="63"/>
      <c r="V31" s="65"/>
      <c r="W31" s="65"/>
      <c r="X31" s="63"/>
      <c r="Y31" s="63"/>
      <c r="Z31" s="63"/>
      <c r="AA31" s="63"/>
      <c r="AB31" s="63"/>
      <c r="AC31" s="65"/>
      <c r="AD31" s="65"/>
      <c r="AE31" s="63"/>
      <c r="AF31" s="63"/>
      <c r="AG31" s="63"/>
      <c r="AH31" s="63">
        <v>8</v>
      </c>
      <c r="AI31" s="63"/>
      <c r="AJ31" s="65"/>
      <c r="AK31" s="65"/>
      <c r="AL31" s="63"/>
      <c r="AM31" s="63"/>
      <c r="AN31" s="63"/>
      <c r="AO31" s="63"/>
      <c r="AP31" s="63"/>
      <c r="AQ31" s="65"/>
      <c r="AR31" s="65"/>
      <c r="AS31" s="63"/>
      <c r="AT31" s="63"/>
      <c r="AU31" s="63"/>
      <c r="AV31" s="63"/>
      <c r="AW31" s="63"/>
      <c r="AX31" s="65"/>
      <c r="AY31" s="65"/>
      <c r="AZ31" s="63"/>
      <c r="BA31" s="63"/>
      <c r="BB31" s="63"/>
      <c r="BC31" s="63">
        <v>8</v>
      </c>
      <c r="BD31" s="63"/>
      <c r="BE31" s="65"/>
      <c r="BF31" s="65"/>
      <c r="BG31" s="63">
        <v>2</v>
      </c>
      <c r="BH31" s="63"/>
      <c r="BI31" s="63">
        <v>2</v>
      </c>
      <c r="BJ31" s="63"/>
      <c r="BK31" s="63">
        <v>8</v>
      </c>
      <c r="BL31" s="65"/>
      <c r="BM31" s="65"/>
      <c r="BN31" s="63"/>
      <c r="BO31" s="63"/>
      <c r="BP31" s="63"/>
      <c r="BQ31" s="63"/>
      <c r="BR31" s="63"/>
      <c r="BS31" s="65"/>
      <c r="BT31" s="65"/>
      <c r="BU31" s="65"/>
      <c r="BV31" s="63"/>
      <c r="BW31" s="63"/>
      <c r="BX31" s="63"/>
      <c r="BY31" s="63"/>
      <c r="BZ31" s="65"/>
      <c r="CA31" s="65"/>
      <c r="CB31" s="63"/>
      <c r="CC31" s="63"/>
      <c r="CD31" s="63"/>
      <c r="CE31" s="63"/>
      <c r="CF31" s="63"/>
      <c r="CG31" s="65"/>
      <c r="CH31" s="65"/>
      <c r="CI31" s="63"/>
      <c r="CJ31" s="63"/>
      <c r="CK31" s="63"/>
      <c r="CL31" s="63"/>
      <c r="CM31" s="63"/>
      <c r="CN31" s="65"/>
      <c r="CO31" s="65"/>
      <c r="CP31" s="63"/>
      <c r="CQ31" s="63"/>
      <c r="CR31" s="63"/>
      <c r="CS31" s="63"/>
      <c r="CT31" s="63"/>
      <c r="CU31" s="65"/>
      <c r="CV31" s="65"/>
      <c r="CW31" s="63"/>
      <c r="CX31" s="63"/>
      <c r="CY31" s="63"/>
      <c r="CZ31" s="63"/>
      <c r="DA31" s="63"/>
      <c r="DB31" s="65"/>
      <c r="DC31" s="65"/>
      <c r="DD31" s="63"/>
      <c r="DE31" s="63"/>
      <c r="DF31" s="63"/>
      <c r="DG31" s="63"/>
      <c r="DH31" s="63"/>
      <c r="DI31" s="65"/>
      <c r="DJ31" s="65"/>
      <c r="DK31" s="63"/>
      <c r="DL31" s="63"/>
      <c r="DM31" s="63"/>
      <c r="DN31" s="63"/>
      <c r="DO31" s="63"/>
    </row>
    <row r="32" spans="1:119" x14ac:dyDescent="0.2">
      <c r="A32" s="18"/>
      <c r="B32" s="52" t="s">
        <v>36</v>
      </c>
      <c r="C32" s="14">
        <f t="shared" si="0"/>
        <v>14</v>
      </c>
      <c r="D32" s="14">
        <f t="shared" si="1"/>
        <v>24</v>
      </c>
      <c r="E32" s="14">
        <f t="shared" si="2"/>
        <v>0</v>
      </c>
      <c r="F32" s="17" t="s">
        <v>17</v>
      </c>
      <c r="G32" s="16">
        <v>46</v>
      </c>
      <c r="H32" s="15">
        <f t="shared" si="3"/>
        <v>644</v>
      </c>
      <c r="I32" s="15">
        <f>D32*G32</f>
        <v>1104</v>
      </c>
      <c r="J32" s="15">
        <f t="shared" si="4"/>
        <v>0</v>
      </c>
      <c r="K32" s="14"/>
      <c r="L32" s="17"/>
      <c r="M32" s="16"/>
      <c r="N32" s="15"/>
      <c r="O32" s="14"/>
      <c r="P32" s="13"/>
      <c r="Q32" s="63"/>
      <c r="R32" s="63"/>
      <c r="S32" s="63"/>
      <c r="T32" s="63"/>
      <c r="U32" s="63"/>
      <c r="V32" s="65"/>
      <c r="W32" s="65"/>
      <c r="X32" s="63"/>
      <c r="Y32" s="63"/>
      <c r="Z32" s="63"/>
      <c r="AA32" s="63"/>
      <c r="AB32" s="63"/>
      <c r="AC32" s="65"/>
      <c r="AD32" s="65"/>
      <c r="AE32" s="63"/>
      <c r="AF32" s="63"/>
      <c r="AG32" s="63"/>
      <c r="AH32" s="63"/>
      <c r="AI32" s="63"/>
      <c r="AJ32" s="65"/>
      <c r="AK32" s="65"/>
      <c r="AL32" s="63"/>
      <c r="AM32" s="63">
        <v>2</v>
      </c>
      <c r="AN32" s="63"/>
      <c r="AO32" s="63"/>
      <c r="AP32" s="63">
        <v>4</v>
      </c>
      <c r="AQ32" s="65"/>
      <c r="AR32" s="65"/>
      <c r="AS32" s="63">
        <v>8</v>
      </c>
      <c r="AT32" s="63"/>
      <c r="AU32" s="63"/>
      <c r="AV32" s="63"/>
      <c r="AW32" s="63"/>
      <c r="AX32" s="65"/>
      <c r="AY32" s="65"/>
      <c r="AZ32" s="63"/>
      <c r="BA32" s="63"/>
      <c r="BB32" s="63"/>
      <c r="BC32" s="63"/>
      <c r="BD32" s="63"/>
      <c r="BE32" s="65"/>
      <c r="BF32" s="65"/>
      <c r="BG32" s="63">
        <v>8</v>
      </c>
      <c r="BH32" s="63"/>
      <c r="BI32" s="63"/>
      <c r="BJ32" s="63"/>
      <c r="BK32" s="63">
        <v>8</v>
      </c>
      <c r="BL32" s="65"/>
      <c r="BM32" s="65"/>
      <c r="BN32" s="63">
        <v>8</v>
      </c>
      <c r="BO32" s="63"/>
      <c r="BP32" s="63"/>
      <c r="BQ32" s="63"/>
      <c r="BR32" s="63"/>
      <c r="BS32" s="65"/>
      <c r="BT32" s="65"/>
      <c r="BU32" s="65"/>
      <c r="BV32" s="63"/>
      <c r="BW32" s="63"/>
      <c r="BX32" s="63"/>
      <c r="BY32" s="63"/>
      <c r="BZ32" s="65"/>
      <c r="CA32" s="65"/>
      <c r="CB32" s="63"/>
      <c r="CC32" s="63"/>
      <c r="CD32" s="63"/>
      <c r="CE32" s="63"/>
      <c r="CF32" s="63"/>
      <c r="CG32" s="65"/>
      <c r="CH32" s="65"/>
      <c r="CI32" s="63"/>
      <c r="CJ32" s="63"/>
      <c r="CK32" s="63"/>
      <c r="CL32" s="63"/>
      <c r="CM32" s="63"/>
      <c r="CN32" s="65"/>
      <c r="CO32" s="65"/>
      <c r="CP32" s="63"/>
      <c r="CQ32" s="63"/>
      <c r="CR32" s="63"/>
      <c r="CS32" s="63"/>
      <c r="CT32" s="63"/>
      <c r="CU32" s="65"/>
      <c r="CV32" s="65"/>
      <c r="CW32" s="63"/>
      <c r="CX32" s="63"/>
      <c r="CY32" s="63"/>
      <c r="CZ32" s="63"/>
      <c r="DA32" s="63"/>
      <c r="DB32" s="65"/>
      <c r="DC32" s="65"/>
      <c r="DD32" s="63"/>
      <c r="DE32" s="63"/>
      <c r="DF32" s="63"/>
      <c r="DG32" s="63"/>
      <c r="DH32" s="63"/>
      <c r="DI32" s="65"/>
      <c r="DJ32" s="65"/>
      <c r="DK32" s="63"/>
      <c r="DL32" s="63"/>
      <c r="DM32" s="63"/>
      <c r="DN32" s="63"/>
      <c r="DO32" s="63"/>
    </row>
    <row r="33" spans="1:119" x14ac:dyDescent="0.2">
      <c r="A33" s="18"/>
      <c r="B33" s="52" t="s">
        <v>37</v>
      </c>
      <c r="C33" s="14">
        <f t="shared" si="0"/>
        <v>1</v>
      </c>
      <c r="D33" s="14">
        <f t="shared" si="1"/>
        <v>70</v>
      </c>
      <c r="E33" s="14">
        <f t="shared" si="2"/>
        <v>0</v>
      </c>
      <c r="F33" s="17" t="s">
        <v>17</v>
      </c>
      <c r="G33" s="16">
        <v>46</v>
      </c>
      <c r="H33" s="15">
        <f t="shared" si="3"/>
        <v>46</v>
      </c>
      <c r="I33" s="15">
        <f>D33*G33</f>
        <v>3220</v>
      </c>
      <c r="J33" s="15">
        <f t="shared" si="4"/>
        <v>0</v>
      </c>
      <c r="K33" s="14"/>
      <c r="L33" s="17"/>
      <c r="M33" s="16"/>
      <c r="N33" s="15"/>
      <c r="O33" s="14"/>
      <c r="P33" s="13"/>
      <c r="Q33" s="63"/>
      <c r="R33" s="63"/>
      <c r="S33" s="63"/>
      <c r="T33" s="63"/>
      <c r="U33" s="63"/>
      <c r="V33" s="65"/>
      <c r="W33" s="65"/>
      <c r="X33" s="63"/>
      <c r="Y33" s="63"/>
      <c r="Z33" s="63"/>
      <c r="AA33" s="63"/>
      <c r="AB33" s="63"/>
      <c r="AC33" s="65"/>
      <c r="AD33" s="65"/>
      <c r="AE33" s="63"/>
      <c r="AF33" s="63"/>
      <c r="AG33" s="63"/>
      <c r="AH33" s="63"/>
      <c r="AI33" s="63"/>
      <c r="AJ33" s="65"/>
      <c r="AK33" s="65"/>
      <c r="AL33" s="63"/>
      <c r="AM33" s="63"/>
      <c r="AN33" s="63"/>
      <c r="AO33" s="63"/>
      <c r="AP33" s="63"/>
      <c r="AQ33" s="65"/>
      <c r="AR33" s="65"/>
      <c r="AS33" s="63"/>
      <c r="AT33" s="63"/>
      <c r="AU33" s="63"/>
      <c r="AV33" s="63"/>
      <c r="AW33" s="63"/>
      <c r="AX33" s="65"/>
      <c r="AY33" s="65"/>
      <c r="AZ33" s="63"/>
      <c r="BA33" s="63"/>
      <c r="BB33" s="63"/>
      <c r="BC33" s="63">
        <v>1</v>
      </c>
      <c r="BD33" s="63"/>
      <c r="BE33" s="65"/>
      <c r="BF33" s="65"/>
      <c r="BG33" s="63">
        <v>2</v>
      </c>
      <c r="BH33" s="63"/>
      <c r="BI33" s="63">
        <v>2</v>
      </c>
      <c r="BJ33" s="63">
        <v>2</v>
      </c>
      <c r="BK33" s="63">
        <v>8</v>
      </c>
      <c r="BL33" s="65"/>
      <c r="BM33" s="65"/>
      <c r="BN33" s="63"/>
      <c r="BO33" s="63">
        <v>8</v>
      </c>
      <c r="BP33" s="63">
        <v>8</v>
      </c>
      <c r="BQ33" s="63">
        <v>8</v>
      </c>
      <c r="BR33" s="63"/>
      <c r="BS33" s="65"/>
      <c r="BT33" s="65"/>
      <c r="BU33" s="65"/>
      <c r="BV33" s="63">
        <v>8</v>
      </c>
      <c r="BW33" s="63">
        <v>8</v>
      </c>
      <c r="BX33" s="63">
        <v>8</v>
      </c>
      <c r="BY33" s="63"/>
      <c r="BZ33" s="65"/>
      <c r="CA33" s="65"/>
      <c r="CB33" s="63"/>
      <c r="CC33" s="63"/>
      <c r="CD33" s="63">
        <v>4</v>
      </c>
      <c r="CE33" s="63">
        <v>4</v>
      </c>
      <c r="CF33" s="63"/>
      <c r="CG33" s="65"/>
      <c r="CH33" s="65"/>
      <c r="CI33" s="63"/>
      <c r="CJ33" s="63"/>
      <c r="CK33" s="63"/>
      <c r="CL33" s="63"/>
      <c r="CM33" s="63"/>
      <c r="CN33" s="65"/>
      <c r="CO33" s="65"/>
      <c r="CP33" s="63"/>
      <c r="CQ33" s="63"/>
      <c r="CR33" s="63"/>
      <c r="CS33" s="63"/>
      <c r="CT33" s="63"/>
      <c r="CU33" s="65"/>
      <c r="CV33" s="65"/>
      <c r="CW33" s="63"/>
      <c r="CX33" s="63"/>
      <c r="CY33" s="63"/>
      <c r="CZ33" s="63"/>
      <c r="DA33" s="63"/>
      <c r="DB33" s="65"/>
      <c r="DC33" s="65"/>
      <c r="DD33" s="63"/>
      <c r="DE33" s="63"/>
      <c r="DF33" s="63"/>
      <c r="DG33" s="63"/>
      <c r="DH33" s="63"/>
      <c r="DI33" s="65"/>
      <c r="DJ33" s="65"/>
      <c r="DK33" s="63"/>
      <c r="DL33" s="63"/>
      <c r="DM33" s="63"/>
      <c r="DN33" s="63"/>
      <c r="DO33" s="63"/>
    </row>
    <row r="34" spans="1:119" x14ac:dyDescent="0.2">
      <c r="A34" s="18"/>
      <c r="B34" s="52" t="s">
        <v>71</v>
      </c>
      <c r="C34" s="14">
        <f t="shared" si="0"/>
        <v>0</v>
      </c>
      <c r="D34" s="14">
        <f t="shared" si="1"/>
        <v>16</v>
      </c>
      <c r="E34" s="14">
        <f t="shared" si="2"/>
        <v>0</v>
      </c>
      <c r="F34" s="17" t="s">
        <v>17</v>
      </c>
      <c r="G34" s="16">
        <v>46</v>
      </c>
      <c r="H34" s="15">
        <f t="shared" si="3"/>
        <v>0</v>
      </c>
      <c r="I34" s="15">
        <f>D34*G34</f>
        <v>736</v>
      </c>
      <c r="J34" s="15">
        <f t="shared" si="4"/>
        <v>0</v>
      </c>
      <c r="K34" s="14"/>
      <c r="L34" s="17"/>
      <c r="M34" s="16"/>
      <c r="N34" s="15"/>
      <c r="O34" s="14"/>
      <c r="P34" s="13"/>
      <c r="Q34" s="63"/>
      <c r="R34" s="63"/>
      <c r="S34" s="63"/>
      <c r="T34" s="63"/>
      <c r="U34" s="63"/>
      <c r="V34" s="65"/>
      <c r="W34" s="65"/>
      <c r="X34" s="63"/>
      <c r="Y34" s="63"/>
      <c r="Z34" s="63"/>
      <c r="AA34" s="63"/>
      <c r="AB34" s="63"/>
      <c r="AC34" s="65"/>
      <c r="AD34" s="65"/>
      <c r="AE34" s="63"/>
      <c r="AF34" s="63"/>
      <c r="AG34" s="63"/>
      <c r="AH34" s="63"/>
      <c r="AI34" s="63"/>
      <c r="AJ34" s="65"/>
      <c r="AK34" s="65"/>
      <c r="AL34" s="63"/>
      <c r="AM34" s="63"/>
      <c r="AN34" s="63"/>
      <c r="AO34" s="63"/>
      <c r="AP34" s="63"/>
      <c r="AQ34" s="65"/>
      <c r="AR34" s="65"/>
      <c r="AS34" s="63"/>
      <c r="AT34" s="63"/>
      <c r="AU34" s="63"/>
      <c r="AV34" s="63"/>
      <c r="AW34" s="63"/>
      <c r="AX34" s="65"/>
      <c r="AY34" s="65"/>
      <c r="AZ34" s="63"/>
      <c r="BA34" s="63"/>
      <c r="BB34" s="63"/>
      <c r="BC34" s="63"/>
      <c r="BD34" s="63"/>
      <c r="BE34" s="65"/>
      <c r="BF34" s="65"/>
      <c r="BG34" s="63"/>
      <c r="BH34" s="63"/>
      <c r="BI34" s="63"/>
      <c r="BJ34" s="63"/>
      <c r="BK34" s="63">
        <v>8</v>
      </c>
      <c r="BL34" s="65"/>
      <c r="BM34" s="65"/>
      <c r="BN34" s="63">
        <v>8</v>
      </c>
      <c r="BO34" s="63"/>
      <c r="BP34" s="63"/>
      <c r="BQ34" s="63"/>
      <c r="BR34" s="63"/>
      <c r="BS34" s="65"/>
      <c r="BT34" s="65"/>
      <c r="BU34" s="65"/>
      <c r="BV34" s="63"/>
      <c r="BW34" s="63"/>
      <c r="BX34" s="63"/>
      <c r="BY34" s="63"/>
      <c r="BZ34" s="65"/>
      <c r="CA34" s="65"/>
      <c r="CB34" s="63"/>
      <c r="CC34" s="63"/>
      <c r="CD34" s="63"/>
      <c r="CE34" s="63"/>
      <c r="CF34" s="63"/>
      <c r="CG34" s="65"/>
      <c r="CH34" s="65"/>
      <c r="CI34" s="63"/>
      <c r="CJ34" s="63"/>
      <c r="CK34" s="63"/>
      <c r="CL34" s="63"/>
      <c r="CM34" s="63"/>
      <c r="CN34" s="65"/>
      <c r="CO34" s="65"/>
      <c r="CP34" s="63"/>
      <c r="CQ34" s="63"/>
      <c r="CR34" s="63"/>
      <c r="CS34" s="63"/>
      <c r="CT34" s="63"/>
      <c r="CU34" s="65"/>
      <c r="CV34" s="65"/>
      <c r="CW34" s="63"/>
      <c r="CX34" s="63"/>
      <c r="CY34" s="63"/>
      <c r="CZ34" s="63"/>
      <c r="DA34" s="63"/>
      <c r="DB34" s="65"/>
      <c r="DC34" s="65"/>
      <c r="DD34" s="63"/>
      <c r="DE34" s="63"/>
      <c r="DF34" s="63"/>
      <c r="DG34" s="63"/>
      <c r="DH34" s="63"/>
      <c r="DI34" s="65"/>
      <c r="DJ34" s="65"/>
      <c r="DK34" s="63"/>
      <c r="DL34" s="63"/>
      <c r="DM34" s="63"/>
      <c r="DN34" s="63"/>
      <c r="DO34" s="63"/>
    </row>
    <row r="35" spans="1:119" x14ac:dyDescent="0.2">
      <c r="A35" s="18"/>
      <c r="B35" s="52" t="s">
        <v>72</v>
      </c>
      <c r="C35" s="14">
        <f t="shared" si="0"/>
        <v>0</v>
      </c>
      <c r="D35" s="14">
        <f t="shared" si="1"/>
        <v>64</v>
      </c>
      <c r="E35" s="14">
        <f t="shared" si="2"/>
        <v>5</v>
      </c>
      <c r="F35" s="17" t="s">
        <v>17</v>
      </c>
      <c r="G35" s="16">
        <v>46</v>
      </c>
      <c r="H35" s="15">
        <f t="shared" si="3"/>
        <v>0</v>
      </c>
      <c r="I35" s="15">
        <f>D35*G35</f>
        <v>2944</v>
      </c>
      <c r="J35" s="15">
        <f t="shared" si="4"/>
        <v>230</v>
      </c>
      <c r="K35" s="14"/>
      <c r="L35" s="17"/>
      <c r="M35" s="16"/>
      <c r="N35" s="15"/>
      <c r="O35" s="14"/>
      <c r="P35" s="13"/>
      <c r="Q35" s="63"/>
      <c r="R35" s="63"/>
      <c r="S35" s="63"/>
      <c r="T35" s="63"/>
      <c r="U35" s="63"/>
      <c r="V35" s="65"/>
      <c r="W35" s="65"/>
      <c r="X35" s="63"/>
      <c r="Y35" s="63"/>
      <c r="Z35" s="63"/>
      <c r="AA35" s="63"/>
      <c r="AB35" s="63"/>
      <c r="AC35" s="65"/>
      <c r="AD35" s="65"/>
      <c r="AE35" s="63"/>
      <c r="AF35" s="63"/>
      <c r="AG35" s="63"/>
      <c r="AH35" s="63"/>
      <c r="AI35" s="63"/>
      <c r="AJ35" s="65"/>
      <c r="AK35" s="65"/>
      <c r="AL35" s="63"/>
      <c r="AM35" s="63"/>
      <c r="AN35" s="63"/>
      <c r="AO35" s="63"/>
      <c r="AP35" s="63"/>
      <c r="AQ35" s="65"/>
      <c r="AR35" s="65"/>
      <c r="AS35" s="63"/>
      <c r="AT35" s="63"/>
      <c r="AU35" s="63"/>
      <c r="AV35" s="63"/>
      <c r="AW35" s="63"/>
      <c r="AX35" s="65"/>
      <c r="AY35" s="65"/>
      <c r="AZ35" s="63"/>
      <c r="BA35" s="63"/>
      <c r="BB35" s="63"/>
      <c r="BC35" s="63"/>
      <c r="BD35" s="63"/>
      <c r="BE35" s="65"/>
      <c r="BF35" s="65"/>
      <c r="BG35" s="63"/>
      <c r="BH35" s="63"/>
      <c r="BI35" s="63"/>
      <c r="BJ35" s="63"/>
      <c r="BK35" s="63"/>
      <c r="BL35" s="65"/>
      <c r="BM35" s="65"/>
      <c r="BN35" s="63">
        <v>8</v>
      </c>
      <c r="BO35" s="63"/>
      <c r="BP35" s="63">
        <v>8</v>
      </c>
      <c r="BQ35" s="63">
        <v>8</v>
      </c>
      <c r="BR35" s="63">
        <v>8</v>
      </c>
      <c r="BS35" s="65"/>
      <c r="BT35" s="65"/>
      <c r="BU35" s="65"/>
      <c r="BV35" s="63">
        <v>8</v>
      </c>
      <c r="BW35" s="63">
        <v>8</v>
      </c>
      <c r="BX35" s="63">
        <v>8</v>
      </c>
      <c r="BY35" s="63">
        <v>8</v>
      </c>
      <c r="BZ35" s="65"/>
      <c r="CA35" s="65"/>
      <c r="CB35" s="63"/>
      <c r="CC35" s="63"/>
      <c r="CD35" s="63"/>
      <c r="CE35" s="63"/>
      <c r="CF35" s="63"/>
      <c r="CG35" s="65"/>
      <c r="CH35" s="65"/>
      <c r="CI35" s="63"/>
      <c r="CJ35" s="63"/>
      <c r="CK35" s="63"/>
      <c r="CL35" s="63"/>
      <c r="CM35" s="63"/>
      <c r="CN35" s="65"/>
      <c r="CO35" s="65"/>
      <c r="CP35" s="63"/>
      <c r="CQ35" s="63"/>
      <c r="CR35" s="63"/>
      <c r="CS35" s="63"/>
      <c r="CT35" s="63"/>
      <c r="CU35" s="65"/>
      <c r="CV35" s="65"/>
      <c r="CW35" s="63"/>
      <c r="CX35" s="63"/>
      <c r="CY35" s="63">
        <v>5</v>
      </c>
      <c r="CZ35" s="63"/>
      <c r="DA35" s="63"/>
      <c r="DB35" s="65"/>
      <c r="DC35" s="65"/>
      <c r="DD35" s="63"/>
      <c r="DE35" s="63"/>
      <c r="DF35" s="63"/>
      <c r="DG35" s="63"/>
      <c r="DH35" s="63"/>
      <c r="DI35" s="65"/>
      <c r="DJ35" s="65"/>
      <c r="DK35" s="63"/>
      <c r="DL35" s="63"/>
      <c r="DM35" s="63"/>
      <c r="DN35" s="63"/>
      <c r="DO35" s="63"/>
    </row>
    <row r="36" spans="1:119" x14ac:dyDescent="0.2">
      <c r="A36" s="18"/>
      <c r="B36" s="52" t="s">
        <v>67</v>
      </c>
      <c r="C36" s="14"/>
      <c r="D36" s="17"/>
      <c r="E36" s="17"/>
      <c r="F36" s="16"/>
      <c r="G36" s="15"/>
      <c r="H36" s="14"/>
      <c r="I36" s="17"/>
      <c r="J36" s="17"/>
      <c r="K36" s="16"/>
      <c r="L36" s="15"/>
      <c r="M36" s="14"/>
      <c r="N36" s="13"/>
      <c r="O36" s="14" t="s">
        <v>19</v>
      </c>
      <c r="P36" s="13">
        <v>675</v>
      </c>
      <c r="Q36" s="51"/>
    </row>
    <row r="37" spans="1:119" x14ac:dyDescent="0.2">
      <c r="A37" s="18"/>
      <c r="B37" s="52" t="s">
        <v>68</v>
      </c>
      <c r="C37" s="14"/>
      <c r="D37" s="17"/>
      <c r="E37" s="17"/>
      <c r="F37" s="16"/>
      <c r="G37" s="15"/>
      <c r="H37" s="14"/>
      <c r="I37" s="17"/>
      <c r="J37" s="17"/>
      <c r="K37" s="16"/>
      <c r="L37" s="15"/>
      <c r="M37" s="14"/>
      <c r="N37" s="13"/>
      <c r="O37" s="14" t="s">
        <v>19</v>
      </c>
      <c r="P37" s="13">
        <v>825</v>
      </c>
      <c r="Q37" s="51"/>
    </row>
    <row r="38" spans="1:119" x14ac:dyDescent="0.2">
      <c r="A38" s="18"/>
      <c r="B38" s="52" t="s">
        <v>38</v>
      </c>
      <c r="C38" s="14"/>
      <c r="D38" s="17"/>
      <c r="E38" s="17"/>
      <c r="F38" s="16"/>
      <c r="G38" s="15"/>
      <c r="H38" s="14"/>
      <c r="I38" s="17"/>
      <c r="J38" s="17"/>
      <c r="K38" s="16"/>
      <c r="L38" s="15"/>
      <c r="M38" s="14"/>
      <c r="N38" s="13"/>
      <c r="O38" s="14" t="s">
        <v>19</v>
      </c>
      <c r="P38" s="13">
        <v>568.15</v>
      </c>
      <c r="Q38" s="51"/>
    </row>
    <row r="39" spans="1:119" x14ac:dyDescent="0.2">
      <c r="A39" s="18"/>
      <c r="B39" s="60" t="s">
        <v>58</v>
      </c>
      <c r="C39" s="14"/>
      <c r="D39" s="14"/>
      <c r="E39" s="14"/>
      <c r="F39" s="17"/>
      <c r="G39" s="16"/>
      <c r="H39" s="15"/>
      <c r="I39" s="15"/>
      <c r="J39" s="15"/>
      <c r="K39" s="14"/>
      <c r="L39" s="17"/>
      <c r="M39" s="16"/>
      <c r="N39" s="15"/>
      <c r="O39" s="14"/>
      <c r="P39" s="13"/>
      <c r="BG39" s="12"/>
      <c r="BI39" s="51"/>
    </row>
    <row r="40" spans="1:119" x14ac:dyDescent="0.2">
      <c r="A40" s="18"/>
      <c r="B40" s="60" t="s">
        <v>51</v>
      </c>
      <c r="C40" s="14"/>
      <c r="D40" s="14"/>
      <c r="E40" s="14"/>
      <c r="F40" s="17"/>
      <c r="G40" s="16"/>
      <c r="H40" s="15"/>
      <c r="I40" s="15"/>
      <c r="J40" s="15"/>
      <c r="K40" s="14"/>
      <c r="L40" s="17"/>
      <c r="M40" s="16"/>
      <c r="N40" s="15"/>
      <c r="O40" s="14"/>
      <c r="P40" s="13"/>
      <c r="BG40" s="12"/>
      <c r="BI40" s="51"/>
    </row>
    <row r="41" spans="1:119" x14ac:dyDescent="0.2">
      <c r="A41" s="18"/>
      <c r="B41" s="52" t="s">
        <v>39</v>
      </c>
      <c r="C41" s="14"/>
      <c r="D41" s="14"/>
      <c r="E41" s="14"/>
      <c r="F41" s="17"/>
      <c r="G41" s="16"/>
      <c r="H41" s="15"/>
      <c r="I41" s="15"/>
      <c r="J41" s="15"/>
      <c r="K41" s="14">
        <f>3*12</f>
        <v>36</v>
      </c>
      <c r="L41" s="17" t="s">
        <v>20</v>
      </c>
      <c r="M41" s="16">
        <v>1.38</v>
      </c>
      <c r="N41" s="15">
        <f>K41*M41</f>
        <v>49.679999999999993</v>
      </c>
      <c r="O41" s="14"/>
      <c r="P41" s="13"/>
      <c r="BG41" s="12"/>
      <c r="BI41" s="51"/>
    </row>
    <row r="42" spans="1:119" x14ac:dyDescent="0.2">
      <c r="A42" s="18"/>
      <c r="B42" s="52" t="s">
        <v>40</v>
      </c>
      <c r="C42" s="14"/>
      <c r="D42" s="14"/>
      <c r="E42" s="14"/>
      <c r="F42" s="17"/>
      <c r="G42" s="16"/>
      <c r="H42" s="15"/>
      <c r="I42" s="15"/>
      <c r="J42" s="15"/>
      <c r="K42" s="14">
        <f>3*12</f>
        <v>36</v>
      </c>
      <c r="L42" s="17" t="s">
        <v>20</v>
      </c>
      <c r="M42" s="16">
        <v>0.66</v>
      </c>
      <c r="N42" s="15">
        <f t="shared" ref="N42:N81" si="5">K42*M42</f>
        <v>23.76</v>
      </c>
      <c r="O42" s="14"/>
      <c r="P42" s="13"/>
      <c r="BG42" s="12"/>
      <c r="BI42" s="51"/>
    </row>
    <row r="43" spans="1:119" x14ac:dyDescent="0.2">
      <c r="A43" s="18"/>
      <c r="B43" s="52" t="s">
        <v>41</v>
      </c>
      <c r="C43" s="14"/>
      <c r="D43" s="14"/>
      <c r="E43" s="14"/>
      <c r="F43" s="17"/>
      <c r="G43" s="16"/>
      <c r="H43" s="15"/>
      <c r="I43" s="15"/>
      <c r="J43" s="15"/>
      <c r="K43" s="14">
        <f>3*12</f>
        <v>36</v>
      </c>
      <c r="L43" s="17" t="s">
        <v>20</v>
      </c>
      <c r="M43" s="16">
        <v>0.56000000000000005</v>
      </c>
      <c r="N43" s="15">
        <f t="shared" si="5"/>
        <v>20.160000000000004</v>
      </c>
      <c r="O43" s="14"/>
      <c r="P43" s="13"/>
      <c r="BG43" s="12"/>
      <c r="BI43" s="51"/>
    </row>
    <row r="44" spans="1:119" x14ac:dyDescent="0.2">
      <c r="A44" s="18"/>
      <c r="B44" s="52" t="s">
        <v>42</v>
      </c>
      <c r="C44" s="14"/>
      <c r="D44" s="14"/>
      <c r="E44" s="14"/>
      <c r="F44" s="17"/>
      <c r="G44" s="16"/>
      <c r="H44" s="15"/>
      <c r="I44" s="15"/>
      <c r="J44" s="15"/>
      <c r="K44" s="14">
        <f>3*12</f>
        <v>36</v>
      </c>
      <c r="L44" s="17" t="s">
        <v>20</v>
      </c>
      <c r="M44" s="16">
        <v>0.63</v>
      </c>
      <c r="N44" s="15">
        <f t="shared" si="5"/>
        <v>22.68</v>
      </c>
      <c r="O44" s="14"/>
      <c r="P44" s="13"/>
      <c r="BG44" s="12"/>
      <c r="BI44" s="51"/>
    </row>
    <row r="45" spans="1:119" x14ac:dyDescent="0.2">
      <c r="A45" s="18"/>
      <c r="B45" s="52" t="s">
        <v>43</v>
      </c>
      <c r="C45" s="14"/>
      <c r="D45" s="14"/>
      <c r="E45" s="14"/>
      <c r="F45" s="17"/>
      <c r="G45" s="16"/>
      <c r="H45" s="15"/>
      <c r="I45" s="15"/>
      <c r="J45" s="15"/>
      <c r="K45" s="14">
        <f>3*12</f>
        <v>36</v>
      </c>
      <c r="L45" s="17" t="s">
        <v>20</v>
      </c>
      <c r="M45" s="16">
        <v>0.71</v>
      </c>
      <c r="N45" s="15">
        <f t="shared" si="5"/>
        <v>25.56</v>
      </c>
      <c r="O45" s="14"/>
      <c r="P45" s="13"/>
      <c r="BG45" s="12"/>
      <c r="BI45" s="51"/>
    </row>
    <row r="46" spans="1:119" x14ac:dyDescent="0.2">
      <c r="A46" s="18"/>
      <c r="B46" s="52" t="s">
        <v>44</v>
      </c>
      <c r="C46" s="14"/>
      <c r="D46" s="14"/>
      <c r="E46" s="14"/>
      <c r="F46" s="17"/>
      <c r="G46" s="16"/>
      <c r="H46" s="15"/>
      <c r="I46" s="15"/>
      <c r="J46" s="15"/>
      <c r="K46" s="14">
        <f>2*12</f>
        <v>24</v>
      </c>
      <c r="L46" s="17" t="s">
        <v>20</v>
      </c>
      <c r="M46" s="16">
        <v>0.46</v>
      </c>
      <c r="N46" s="15">
        <f t="shared" si="5"/>
        <v>11.040000000000001</v>
      </c>
      <c r="O46" s="14"/>
      <c r="P46" s="13"/>
      <c r="BG46" s="12"/>
      <c r="BI46" s="51"/>
    </row>
    <row r="47" spans="1:119" x14ac:dyDescent="0.2">
      <c r="A47" s="18"/>
      <c r="B47" s="52" t="s">
        <v>45</v>
      </c>
      <c r="C47" s="14"/>
      <c r="D47" s="14"/>
      <c r="E47" s="14"/>
      <c r="F47" s="17"/>
      <c r="G47" s="16"/>
      <c r="H47" s="15"/>
      <c r="I47" s="15"/>
      <c r="J47" s="15"/>
      <c r="K47" s="14">
        <f>3*12</f>
        <v>36</v>
      </c>
      <c r="L47" s="17" t="s">
        <v>20</v>
      </c>
      <c r="M47" s="16">
        <v>0.94</v>
      </c>
      <c r="N47" s="15">
        <f t="shared" si="5"/>
        <v>33.839999999999996</v>
      </c>
      <c r="O47" s="14"/>
      <c r="P47" s="13"/>
      <c r="BG47" s="12"/>
      <c r="BI47" s="51"/>
    </row>
    <row r="48" spans="1:119" x14ac:dyDescent="0.2">
      <c r="A48" s="18"/>
      <c r="B48" s="52" t="s">
        <v>46</v>
      </c>
      <c r="C48" s="14"/>
      <c r="D48" s="14"/>
      <c r="E48" s="14"/>
      <c r="F48" s="17"/>
      <c r="G48" s="16"/>
      <c r="H48" s="15"/>
      <c r="I48" s="15"/>
      <c r="J48" s="15"/>
      <c r="K48" s="14">
        <f>3*12</f>
        <v>36</v>
      </c>
      <c r="L48" s="17" t="s">
        <v>20</v>
      </c>
      <c r="M48" s="16">
        <v>0.9</v>
      </c>
      <c r="N48" s="15">
        <f t="shared" si="5"/>
        <v>32.4</v>
      </c>
      <c r="O48" s="14"/>
      <c r="P48" s="13"/>
      <c r="BG48" s="12"/>
      <c r="BI48" s="51"/>
    </row>
    <row r="49" spans="1:61" x14ac:dyDescent="0.2">
      <c r="A49" s="18"/>
      <c r="B49" s="52" t="s">
        <v>47</v>
      </c>
      <c r="C49" s="14"/>
      <c r="D49" s="14"/>
      <c r="E49" s="14"/>
      <c r="F49" s="17"/>
      <c r="G49" s="16"/>
      <c r="H49" s="15"/>
      <c r="I49" s="15"/>
      <c r="J49" s="15"/>
      <c r="K49" s="14">
        <f>2*12</f>
        <v>24</v>
      </c>
      <c r="L49" s="17" t="s">
        <v>20</v>
      </c>
      <c r="M49" s="16">
        <v>0.99</v>
      </c>
      <c r="N49" s="15">
        <f t="shared" si="5"/>
        <v>23.759999999999998</v>
      </c>
      <c r="O49" s="14"/>
      <c r="P49" s="13"/>
      <c r="BG49" s="12"/>
      <c r="BI49" s="51"/>
    </row>
    <row r="50" spans="1:61" x14ac:dyDescent="0.2">
      <c r="A50" s="18"/>
      <c r="B50" s="52" t="s">
        <v>48</v>
      </c>
      <c r="C50" s="14"/>
      <c r="D50" s="14"/>
      <c r="E50" s="14"/>
      <c r="F50" s="17"/>
      <c r="G50" s="16"/>
      <c r="H50" s="15"/>
      <c r="I50" s="15"/>
      <c r="J50" s="15"/>
      <c r="K50" s="14">
        <f>1*12</f>
        <v>12</v>
      </c>
      <c r="L50" s="17" t="s">
        <v>20</v>
      </c>
      <c r="M50" s="16">
        <v>6.92</v>
      </c>
      <c r="N50" s="15">
        <f t="shared" si="5"/>
        <v>83.039999999999992</v>
      </c>
      <c r="O50" s="14"/>
      <c r="P50" s="13"/>
      <c r="BG50" s="12"/>
      <c r="BI50" s="51"/>
    </row>
    <row r="51" spans="1:61" x14ac:dyDescent="0.2">
      <c r="A51" s="18"/>
      <c r="B51" s="52" t="s">
        <v>49</v>
      </c>
      <c r="C51" s="14"/>
      <c r="D51" s="14"/>
      <c r="E51" s="14"/>
      <c r="F51" s="17"/>
      <c r="G51" s="16"/>
      <c r="H51" s="15"/>
      <c r="I51" s="15"/>
      <c r="J51" s="15"/>
      <c r="K51" s="14">
        <f>50*12</f>
        <v>600</v>
      </c>
      <c r="L51" s="17" t="s">
        <v>56</v>
      </c>
      <c r="M51" s="16">
        <v>0.61</v>
      </c>
      <c r="N51" s="15">
        <f t="shared" si="5"/>
        <v>366</v>
      </c>
      <c r="O51" s="14"/>
      <c r="P51" s="13"/>
      <c r="BG51" s="12"/>
      <c r="BI51" s="51"/>
    </row>
    <row r="52" spans="1:61" x14ac:dyDescent="0.2">
      <c r="A52" s="18"/>
      <c r="B52" s="52" t="s">
        <v>50</v>
      </c>
      <c r="C52" s="14"/>
      <c r="D52" s="14"/>
      <c r="E52" s="14"/>
      <c r="F52" s="17"/>
      <c r="G52" s="16"/>
      <c r="H52" s="15"/>
      <c r="I52" s="15"/>
      <c r="J52" s="15"/>
      <c r="K52" s="14">
        <f>20*12</f>
        <v>240</v>
      </c>
      <c r="L52" s="17" t="s">
        <v>56</v>
      </c>
      <c r="M52" s="16">
        <v>0.5</v>
      </c>
      <c r="N52" s="15">
        <f t="shared" si="5"/>
        <v>120</v>
      </c>
      <c r="O52" s="14"/>
      <c r="P52" s="13"/>
      <c r="BG52" s="12"/>
      <c r="BI52" s="51"/>
    </row>
    <row r="53" spans="1:61" x14ac:dyDescent="0.2">
      <c r="A53" s="18"/>
      <c r="B53" s="60" t="s">
        <v>52</v>
      </c>
      <c r="C53" s="14"/>
      <c r="D53" s="14"/>
      <c r="E53" s="14"/>
      <c r="F53" s="17"/>
      <c r="G53" s="16"/>
      <c r="H53" s="15"/>
      <c r="I53" s="15"/>
      <c r="J53" s="15"/>
      <c r="K53" s="14"/>
      <c r="L53" s="17"/>
      <c r="M53" s="16"/>
      <c r="N53" s="15"/>
      <c r="O53" s="14"/>
      <c r="P53" s="13"/>
      <c r="BG53" s="12"/>
      <c r="BI53" s="51"/>
    </row>
    <row r="54" spans="1:61" x14ac:dyDescent="0.2">
      <c r="A54" s="18"/>
      <c r="B54" s="52" t="s">
        <v>49</v>
      </c>
      <c r="C54" s="14"/>
      <c r="D54" s="14"/>
      <c r="E54" s="14"/>
      <c r="F54" s="17"/>
      <c r="G54" s="16"/>
      <c r="H54" s="15"/>
      <c r="I54" s="15"/>
      <c r="J54" s="15"/>
      <c r="K54" s="14">
        <v>35</v>
      </c>
      <c r="L54" s="17" t="s">
        <v>56</v>
      </c>
      <c r="M54" s="16">
        <v>0.61</v>
      </c>
      <c r="N54" s="15">
        <f t="shared" si="5"/>
        <v>21.349999999999998</v>
      </c>
      <c r="O54" s="14"/>
      <c r="P54" s="13"/>
      <c r="BG54" s="12"/>
      <c r="BI54" s="51"/>
    </row>
    <row r="55" spans="1:61" x14ac:dyDescent="0.2">
      <c r="A55" s="18"/>
      <c r="B55" s="52" t="s">
        <v>50</v>
      </c>
      <c r="C55" s="14"/>
      <c r="D55" s="14"/>
      <c r="E55" s="14"/>
      <c r="F55" s="17"/>
      <c r="G55" s="16"/>
      <c r="H55" s="15"/>
      <c r="I55" s="15"/>
      <c r="J55" s="15"/>
      <c r="K55" s="14">
        <v>15</v>
      </c>
      <c r="L55" s="17" t="s">
        <v>56</v>
      </c>
      <c r="M55" s="16">
        <v>0.5</v>
      </c>
      <c r="N55" s="15">
        <f t="shared" si="5"/>
        <v>7.5</v>
      </c>
      <c r="O55" s="14"/>
      <c r="P55" s="13"/>
      <c r="BG55" s="12"/>
      <c r="BI55" s="51"/>
    </row>
    <row r="56" spans="1:61" x14ac:dyDescent="0.2">
      <c r="A56" s="18"/>
      <c r="B56" s="52" t="s">
        <v>45</v>
      </c>
      <c r="C56" s="14"/>
      <c r="D56" s="14"/>
      <c r="E56" s="14"/>
      <c r="F56" s="17"/>
      <c r="G56" s="16"/>
      <c r="H56" s="15"/>
      <c r="I56" s="15"/>
      <c r="J56" s="15"/>
      <c r="K56" s="14">
        <v>4</v>
      </c>
      <c r="L56" s="17" t="s">
        <v>20</v>
      </c>
      <c r="M56" s="16">
        <v>0.94</v>
      </c>
      <c r="N56" s="15">
        <f t="shared" si="5"/>
        <v>3.76</v>
      </c>
      <c r="O56" s="14"/>
      <c r="P56" s="13"/>
      <c r="BG56" s="12"/>
      <c r="BI56" s="51"/>
    </row>
    <row r="57" spans="1:61" x14ac:dyDescent="0.2">
      <c r="A57" s="18"/>
      <c r="B57" s="52" t="s">
        <v>46</v>
      </c>
      <c r="C57" s="14"/>
      <c r="D57" s="14"/>
      <c r="E57" s="14"/>
      <c r="F57" s="17"/>
      <c r="G57" s="16"/>
      <c r="H57" s="15"/>
      <c r="I57" s="15"/>
      <c r="J57" s="15"/>
      <c r="K57" s="14">
        <v>4</v>
      </c>
      <c r="L57" s="17" t="s">
        <v>20</v>
      </c>
      <c r="M57" s="16">
        <v>0.9</v>
      </c>
      <c r="N57" s="15">
        <f t="shared" si="5"/>
        <v>3.6</v>
      </c>
      <c r="O57" s="14"/>
      <c r="P57" s="13"/>
      <c r="BG57" s="12"/>
      <c r="BI57" s="51"/>
    </row>
    <row r="58" spans="1:61" x14ac:dyDescent="0.2">
      <c r="A58" s="18"/>
      <c r="B58" s="52" t="s">
        <v>39</v>
      </c>
      <c r="C58" s="14"/>
      <c r="D58" s="14"/>
      <c r="E58" s="14"/>
      <c r="F58" s="17"/>
      <c r="G58" s="16"/>
      <c r="H58" s="15"/>
      <c r="I58" s="15"/>
      <c r="J58" s="15"/>
      <c r="K58" s="14">
        <v>3</v>
      </c>
      <c r="L58" s="17" t="s">
        <v>20</v>
      </c>
      <c r="M58" s="16">
        <v>1.38</v>
      </c>
      <c r="N58" s="15">
        <f t="shared" si="5"/>
        <v>4.1399999999999997</v>
      </c>
      <c r="O58" s="14"/>
      <c r="P58" s="13"/>
      <c r="BG58" s="12"/>
      <c r="BI58" s="51"/>
    </row>
    <row r="59" spans="1:61" x14ac:dyDescent="0.2">
      <c r="A59" s="18"/>
      <c r="B59" s="52" t="s">
        <v>40</v>
      </c>
      <c r="C59" s="14"/>
      <c r="D59" s="14"/>
      <c r="E59" s="14"/>
      <c r="F59" s="17"/>
      <c r="G59" s="16"/>
      <c r="H59" s="15"/>
      <c r="I59" s="15"/>
      <c r="J59" s="15"/>
      <c r="K59" s="14">
        <v>3</v>
      </c>
      <c r="L59" s="17" t="s">
        <v>20</v>
      </c>
      <c r="M59" s="16">
        <v>0.66</v>
      </c>
      <c r="N59" s="15">
        <f t="shared" si="5"/>
        <v>1.98</v>
      </c>
      <c r="O59" s="14"/>
      <c r="P59" s="13"/>
      <c r="BG59" s="12"/>
      <c r="BI59" s="51"/>
    </row>
    <row r="60" spans="1:61" x14ac:dyDescent="0.2">
      <c r="A60" s="18"/>
      <c r="B60" s="52" t="s">
        <v>44</v>
      </c>
      <c r="C60" s="14"/>
      <c r="D60" s="14"/>
      <c r="E60" s="14"/>
      <c r="F60" s="17"/>
      <c r="G60" s="16"/>
      <c r="H60" s="15"/>
      <c r="I60" s="15"/>
      <c r="J60" s="15"/>
      <c r="K60" s="14">
        <v>3</v>
      </c>
      <c r="L60" s="17" t="s">
        <v>20</v>
      </c>
      <c r="M60" s="16">
        <v>0.46</v>
      </c>
      <c r="N60" s="15">
        <f t="shared" si="5"/>
        <v>1.3800000000000001</v>
      </c>
      <c r="O60" s="14"/>
      <c r="P60" s="13"/>
      <c r="BG60" s="12"/>
      <c r="BI60" s="51"/>
    </row>
    <row r="61" spans="1:61" x14ac:dyDescent="0.2">
      <c r="A61" s="18"/>
      <c r="B61" s="52" t="s">
        <v>48</v>
      </c>
      <c r="C61" s="14"/>
      <c r="D61" s="14"/>
      <c r="E61" s="14"/>
      <c r="F61" s="17"/>
      <c r="G61" s="16"/>
      <c r="H61" s="15"/>
      <c r="I61" s="15"/>
      <c r="J61" s="15"/>
      <c r="K61" s="14">
        <v>2</v>
      </c>
      <c r="L61" s="17" t="s">
        <v>20</v>
      </c>
      <c r="M61" s="16">
        <v>6.92</v>
      </c>
      <c r="N61" s="15">
        <f t="shared" si="5"/>
        <v>13.84</v>
      </c>
      <c r="O61" s="14"/>
      <c r="P61" s="13"/>
      <c r="BG61" s="12"/>
      <c r="BI61" s="51"/>
    </row>
    <row r="62" spans="1:61" x14ac:dyDescent="0.2">
      <c r="A62" s="18"/>
      <c r="B62" s="52" t="s">
        <v>39</v>
      </c>
      <c r="C62" s="14"/>
      <c r="D62" s="14"/>
      <c r="E62" s="14"/>
      <c r="F62" s="17"/>
      <c r="G62" s="16"/>
      <c r="H62" s="15"/>
      <c r="I62" s="15"/>
      <c r="J62" s="15"/>
      <c r="K62" s="14">
        <v>4</v>
      </c>
      <c r="L62" s="17" t="s">
        <v>20</v>
      </c>
      <c r="M62" s="16">
        <v>1.38</v>
      </c>
      <c r="N62" s="15">
        <f t="shared" si="5"/>
        <v>5.52</v>
      </c>
      <c r="O62" s="14"/>
      <c r="P62" s="13"/>
      <c r="BG62" s="12"/>
      <c r="BI62" s="51"/>
    </row>
    <row r="63" spans="1:61" x14ac:dyDescent="0.2">
      <c r="A63" s="18"/>
      <c r="B63" s="52" t="s">
        <v>40</v>
      </c>
      <c r="C63" s="14"/>
      <c r="D63" s="14"/>
      <c r="E63" s="14"/>
      <c r="F63" s="17"/>
      <c r="G63" s="16"/>
      <c r="H63" s="15"/>
      <c r="I63" s="15"/>
      <c r="J63" s="15"/>
      <c r="K63" s="14">
        <v>4</v>
      </c>
      <c r="L63" s="17" t="s">
        <v>20</v>
      </c>
      <c r="M63" s="16">
        <v>0.66</v>
      </c>
      <c r="N63" s="15">
        <f t="shared" si="5"/>
        <v>2.64</v>
      </c>
      <c r="O63" s="14"/>
      <c r="P63" s="13"/>
      <c r="BG63" s="12"/>
      <c r="BI63" s="51"/>
    </row>
    <row r="64" spans="1:61" x14ac:dyDescent="0.2">
      <c r="A64" s="18"/>
      <c r="B64" s="52" t="s">
        <v>45</v>
      </c>
      <c r="C64" s="14"/>
      <c r="D64" s="14"/>
      <c r="E64" s="14"/>
      <c r="F64" s="17"/>
      <c r="G64" s="16"/>
      <c r="H64" s="15"/>
      <c r="I64" s="15"/>
      <c r="J64" s="15"/>
      <c r="K64" s="14">
        <v>6</v>
      </c>
      <c r="L64" s="17" t="s">
        <v>20</v>
      </c>
      <c r="M64" s="16">
        <v>0.94</v>
      </c>
      <c r="N64" s="15">
        <f t="shared" si="5"/>
        <v>5.64</v>
      </c>
      <c r="O64" s="14"/>
      <c r="P64" s="13"/>
      <c r="BG64" s="12"/>
      <c r="BI64" s="51"/>
    </row>
    <row r="65" spans="1:61" x14ac:dyDescent="0.2">
      <c r="A65" s="18"/>
      <c r="B65" s="52" t="s">
        <v>46</v>
      </c>
      <c r="C65" s="14"/>
      <c r="D65" s="14"/>
      <c r="E65" s="14"/>
      <c r="F65" s="17"/>
      <c r="G65" s="16"/>
      <c r="H65" s="15"/>
      <c r="I65" s="15"/>
      <c r="J65" s="15"/>
      <c r="K65" s="14">
        <v>2</v>
      </c>
      <c r="L65" s="17" t="s">
        <v>20</v>
      </c>
      <c r="M65" s="16">
        <v>0.9</v>
      </c>
      <c r="N65" s="15">
        <f t="shared" si="5"/>
        <v>1.8</v>
      </c>
      <c r="O65" s="14"/>
      <c r="P65" s="13"/>
      <c r="BG65" s="12"/>
      <c r="BI65" s="51"/>
    </row>
    <row r="66" spans="1:61" x14ac:dyDescent="0.2">
      <c r="A66" s="18"/>
      <c r="B66" s="52" t="s">
        <v>53</v>
      </c>
      <c r="C66" s="14"/>
      <c r="D66" s="14"/>
      <c r="E66" s="14"/>
      <c r="F66" s="17"/>
      <c r="G66" s="16"/>
      <c r="H66" s="15"/>
      <c r="I66" s="15"/>
      <c r="J66" s="15"/>
      <c r="K66" s="14">
        <v>4</v>
      </c>
      <c r="L66" s="17" t="s">
        <v>20</v>
      </c>
      <c r="M66" s="16">
        <v>1.65</v>
      </c>
      <c r="N66" s="15">
        <f t="shared" si="5"/>
        <v>6.6</v>
      </c>
      <c r="O66" s="14"/>
      <c r="P66" s="13"/>
      <c r="BG66" s="12"/>
      <c r="BI66" s="51"/>
    </row>
    <row r="67" spans="1:61" x14ac:dyDescent="0.2">
      <c r="A67" s="18"/>
      <c r="B67" s="52" t="s">
        <v>54</v>
      </c>
      <c r="C67" s="14"/>
      <c r="D67" s="14"/>
      <c r="E67" s="14"/>
      <c r="F67" s="17"/>
      <c r="G67" s="16"/>
      <c r="H67" s="15"/>
      <c r="I67" s="15"/>
      <c r="J67" s="15"/>
      <c r="K67" s="14">
        <v>4</v>
      </c>
      <c r="L67" s="17" t="s">
        <v>20</v>
      </c>
      <c r="M67" s="16">
        <v>2.75</v>
      </c>
      <c r="N67" s="15">
        <f t="shared" si="5"/>
        <v>11</v>
      </c>
      <c r="O67" s="14"/>
      <c r="P67" s="13"/>
      <c r="BG67" s="12"/>
      <c r="BI67" s="51"/>
    </row>
    <row r="68" spans="1:61" x14ac:dyDescent="0.2">
      <c r="A68" s="18"/>
      <c r="B68" s="52" t="s">
        <v>44</v>
      </c>
      <c r="C68" s="14"/>
      <c r="D68" s="14"/>
      <c r="E68" s="14"/>
      <c r="F68" s="17"/>
      <c r="G68" s="16"/>
      <c r="H68" s="15"/>
      <c r="I68" s="15"/>
      <c r="J68" s="15"/>
      <c r="K68" s="14">
        <v>6</v>
      </c>
      <c r="L68" s="17" t="s">
        <v>20</v>
      </c>
      <c r="M68" s="16">
        <v>0.46</v>
      </c>
      <c r="N68" s="15">
        <f t="shared" si="5"/>
        <v>2.7600000000000002</v>
      </c>
      <c r="O68" s="14"/>
      <c r="P68" s="13"/>
      <c r="BG68" s="12"/>
      <c r="BI68" s="51"/>
    </row>
    <row r="69" spans="1:61" x14ac:dyDescent="0.2">
      <c r="A69" s="18"/>
      <c r="B69" s="52" t="s">
        <v>47</v>
      </c>
      <c r="C69" s="14"/>
      <c r="D69" s="14"/>
      <c r="E69" s="14"/>
      <c r="F69" s="17"/>
      <c r="G69" s="16"/>
      <c r="H69" s="15"/>
      <c r="I69" s="15"/>
      <c r="J69" s="15"/>
      <c r="K69" s="14">
        <v>2</v>
      </c>
      <c r="L69" s="17" t="s">
        <v>20</v>
      </c>
      <c r="M69" s="16">
        <v>0.99</v>
      </c>
      <c r="N69" s="15">
        <f t="shared" si="5"/>
        <v>1.98</v>
      </c>
      <c r="O69" s="14"/>
      <c r="P69" s="13"/>
      <c r="BG69" s="12"/>
      <c r="BI69" s="51"/>
    </row>
    <row r="70" spans="1:61" x14ac:dyDescent="0.2">
      <c r="A70" s="18"/>
      <c r="B70" s="52" t="s">
        <v>55</v>
      </c>
      <c r="C70" s="14"/>
      <c r="D70" s="14"/>
      <c r="E70" s="14"/>
      <c r="F70" s="17"/>
      <c r="G70" s="16"/>
      <c r="H70" s="15"/>
      <c r="I70" s="15"/>
      <c r="J70" s="15"/>
      <c r="K70" s="14">
        <v>1</v>
      </c>
      <c r="L70" s="17" t="s">
        <v>20</v>
      </c>
      <c r="M70" s="16">
        <v>6.92</v>
      </c>
      <c r="N70" s="15">
        <f t="shared" si="5"/>
        <v>6.92</v>
      </c>
      <c r="O70" s="14"/>
      <c r="P70" s="13"/>
      <c r="BG70" s="12"/>
      <c r="BI70" s="51"/>
    </row>
    <row r="71" spans="1:61" x14ac:dyDescent="0.2">
      <c r="A71" s="18"/>
      <c r="B71" s="52" t="s">
        <v>49</v>
      </c>
      <c r="C71" s="14"/>
      <c r="D71" s="14"/>
      <c r="E71" s="14"/>
      <c r="F71" s="17"/>
      <c r="G71" s="16"/>
      <c r="H71" s="15"/>
      <c r="I71" s="15"/>
      <c r="J71" s="15"/>
      <c r="K71" s="14">
        <v>50</v>
      </c>
      <c r="L71" s="17" t="s">
        <v>56</v>
      </c>
      <c r="M71" s="16">
        <v>0.61</v>
      </c>
      <c r="N71" s="15">
        <f t="shared" si="5"/>
        <v>30.5</v>
      </c>
      <c r="O71" s="14"/>
      <c r="P71" s="13"/>
      <c r="BG71" s="12"/>
      <c r="BI71" s="51"/>
    </row>
    <row r="72" spans="1:61" x14ac:dyDescent="0.2">
      <c r="A72" s="18"/>
      <c r="B72" s="52" t="s">
        <v>50</v>
      </c>
      <c r="C72" s="14"/>
      <c r="D72" s="14"/>
      <c r="E72" s="14"/>
      <c r="F72" s="17"/>
      <c r="G72" s="16"/>
      <c r="H72" s="15"/>
      <c r="I72" s="15"/>
      <c r="J72" s="15"/>
      <c r="K72" s="14">
        <v>20</v>
      </c>
      <c r="L72" s="17" t="s">
        <v>56</v>
      </c>
      <c r="M72" s="16">
        <v>0.5</v>
      </c>
      <c r="N72" s="15">
        <f t="shared" si="5"/>
        <v>10</v>
      </c>
      <c r="O72" s="14"/>
      <c r="P72" s="13"/>
      <c r="BG72" s="12"/>
      <c r="BI72" s="51"/>
    </row>
    <row r="73" spans="1:61" ht="22.5" x14ac:dyDescent="0.2">
      <c r="A73" s="18"/>
      <c r="B73" s="59" t="s">
        <v>57</v>
      </c>
      <c r="C73" s="14"/>
      <c r="D73" s="14"/>
      <c r="E73" s="14"/>
      <c r="F73" s="17"/>
      <c r="G73" s="16"/>
      <c r="H73" s="15"/>
      <c r="I73" s="15"/>
      <c r="J73" s="15"/>
      <c r="K73" s="14">
        <v>1</v>
      </c>
      <c r="L73" s="17" t="s">
        <v>19</v>
      </c>
      <c r="M73" s="16">
        <v>350</v>
      </c>
      <c r="N73" s="15">
        <f t="shared" si="5"/>
        <v>350</v>
      </c>
      <c r="O73" s="14"/>
      <c r="P73" s="13"/>
      <c r="BG73" s="12"/>
      <c r="BI73" s="51"/>
    </row>
    <row r="74" spans="1:61" x14ac:dyDescent="0.2">
      <c r="A74" s="18"/>
      <c r="B74" s="61" t="s">
        <v>59</v>
      </c>
      <c r="C74" s="14"/>
      <c r="D74" s="14"/>
      <c r="E74" s="14"/>
      <c r="F74" s="17"/>
      <c r="G74" s="16"/>
      <c r="H74" s="15"/>
      <c r="I74" s="15"/>
      <c r="J74" s="15"/>
      <c r="K74" s="14"/>
      <c r="L74" s="17"/>
      <c r="M74" s="16"/>
      <c r="N74" s="15"/>
      <c r="O74" s="14"/>
      <c r="P74" s="13"/>
      <c r="BG74" s="12"/>
      <c r="BI74" s="51"/>
    </row>
    <row r="75" spans="1:61" x14ac:dyDescent="0.2">
      <c r="A75" s="18"/>
      <c r="B75" s="52" t="s">
        <v>60</v>
      </c>
      <c r="C75" s="14"/>
      <c r="D75" s="14"/>
      <c r="E75" s="14"/>
      <c r="F75" s="17"/>
      <c r="G75" s="16"/>
      <c r="H75" s="15"/>
      <c r="I75" s="15"/>
      <c r="J75" s="15"/>
      <c r="K75" s="14">
        <v>60</v>
      </c>
      <c r="L75" s="17" t="s">
        <v>56</v>
      </c>
      <c r="M75" s="16">
        <v>4.55</v>
      </c>
      <c r="N75" s="15">
        <f t="shared" si="5"/>
        <v>273</v>
      </c>
      <c r="O75" s="14"/>
      <c r="P75" s="13"/>
      <c r="BG75" s="12"/>
      <c r="BI75" s="51"/>
    </row>
    <row r="76" spans="1:61" x14ac:dyDescent="0.2">
      <c r="A76" s="18"/>
      <c r="B76" s="52" t="s">
        <v>62</v>
      </c>
      <c r="C76" s="14"/>
      <c r="D76" s="14"/>
      <c r="E76" s="14"/>
      <c r="F76" s="17"/>
      <c r="G76" s="16"/>
      <c r="H76" s="15"/>
      <c r="I76" s="15"/>
      <c r="J76" s="15"/>
      <c r="K76" s="14">
        <v>25</v>
      </c>
      <c r="L76" s="17" t="s">
        <v>20</v>
      </c>
      <c r="M76" s="16">
        <v>1.35</v>
      </c>
      <c r="N76" s="15">
        <f t="shared" si="5"/>
        <v>33.75</v>
      </c>
      <c r="O76" s="14"/>
      <c r="P76" s="13"/>
      <c r="BG76" s="12"/>
      <c r="BI76" s="51"/>
    </row>
    <row r="77" spans="1:61" x14ac:dyDescent="0.2">
      <c r="A77" s="18"/>
      <c r="B77" s="52" t="s">
        <v>61</v>
      </c>
      <c r="C77" s="14"/>
      <c r="D77" s="14"/>
      <c r="E77" s="14"/>
      <c r="F77" s="17"/>
      <c r="G77" s="16"/>
      <c r="H77" s="15"/>
      <c r="I77" s="15"/>
      <c r="J77" s="15"/>
      <c r="K77" s="14"/>
      <c r="L77" s="17"/>
      <c r="M77" s="16"/>
      <c r="N77" s="15"/>
      <c r="O77" s="14"/>
      <c r="P77" s="13"/>
      <c r="BG77" s="12"/>
      <c r="BI77" s="51"/>
    </row>
    <row r="78" spans="1:61" x14ac:dyDescent="0.2">
      <c r="A78" s="18"/>
      <c r="B78" s="60" t="s">
        <v>63</v>
      </c>
      <c r="C78" s="14"/>
      <c r="D78" s="14"/>
      <c r="E78" s="14"/>
      <c r="F78" s="17"/>
      <c r="G78" s="16"/>
      <c r="H78" s="15"/>
      <c r="I78" s="15"/>
      <c r="J78" s="15"/>
      <c r="K78" s="14"/>
      <c r="L78" s="17"/>
      <c r="M78" s="16"/>
      <c r="N78" s="15"/>
      <c r="O78" s="14"/>
      <c r="P78" s="13"/>
      <c r="BG78" s="12"/>
      <c r="BI78" s="51"/>
    </row>
    <row r="79" spans="1:61" x14ac:dyDescent="0.2">
      <c r="A79" s="18"/>
      <c r="B79" s="52" t="s">
        <v>64</v>
      </c>
      <c r="C79" s="14"/>
      <c r="D79" s="14"/>
      <c r="E79" s="14"/>
      <c r="F79" s="17"/>
      <c r="G79" s="16"/>
      <c r="H79" s="15"/>
      <c r="I79" s="15"/>
      <c r="J79" s="15"/>
      <c r="K79" s="14">
        <f>12*4*4</f>
        <v>192</v>
      </c>
      <c r="L79" s="17" t="s">
        <v>20</v>
      </c>
      <c r="M79" s="16">
        <v>0.15</v>
      </c>
      <c r="N79" s="15">
        <f t="shared" si="5"/>
        <v>28.799999999999997</v>
      </c>
      <c r="O79" s="14"/>
      <c r="P79" s="13"/>
      <c r="BG79" s="12"/>
      <c r="BI79" s="51"/>
    </row>
    <row r="80" spans="1:61" x14ac:dyDescent="0.2">
      <c r="A80" s="18"/>
      <c r="B80" s="52" t="s">
        <v>65</v>
      </c>
      <c r="C80" s="14"/>
      <c r="D80" s="14"/>
      <c r="E80" s="14"/>
      <c r="F80" s="17"/>
      <c r="G80" s="16"/>
      <c r="H80" s="15"/>
      <c r="I80" s="15"/>
      <c r="J80" s="15"/>
      <c r="K80" s="14">
        <f>12*4*2</f>
        <v>96</v>
      </c>
      <c r="L80" s="17" t="s">
        <v>20</v>
      </c>
      <c r="M80" s="16">
        <v>0.75</v>
      </c>
      <c r="N80" s="15">
        <f t="shared" si="5"/>
        <v>72</v>
      </c>
      <c r="O80" s="14"/>
      <c r="P80" s="13"/>
      <c r="BG80" s="12"/>
      <c r="BI80" s="51"/>
    </row>
    <row r="81" spans="1:61" x14ac:dyDescent="0.2">
      <c r="A81" s="18"/>
      <c r="B81" s="52" t="s">
        <v>66</v>
      </c>
      <c r="C81" s="14"/>
      <c r="D81" s="14"/>
      <c r="E81" s="14"/>
      <c r="F81" s="17"/>
      <c r="G81" s="16"/>
      <c r="H81" s="15"/>
      <c r="I81" s="15"/>
      <c r="J81" s="15"/>
      <c r="K81" s="14">
        <v>100</v>
      </c>
      <c r="L81" s="17" t="s">
        <v>56</v>
      </c>
      <c r="M81" s="16">
        <v>0.38</v>
      </c>
      <c r="N81" s="15">
        <f t="shared" si="5"/>
        <v>38</v>
      </c>
      <c r="O81" s="14"/>
      <c r="P81" s="13"/>
      <c r="BG81" s="12"/>
      <c r="BI81" s="51"/>
    </row>
    <row r="82" spans="1:61" x14ac:dyDescent="0.2">
      <c r="A82" s="18"/>
      <c r="B82" s="52"/>
      <c r="C82" s="14"/>
      <c r="D82" s="14"/>
      <c r="E82" s="14"/>
      <c r="F82" s="17"/>
      <c r="G82" s="16"/>
      <c r="H82" s="15"/>
      <c r="I82" s="15"/>
      <c r="J82" s="15"/>
      <c r="K82" s="14"/>
      <c r="L82" s="17"/>
      <c r="M82" s="16"/>
      <c r="N82" s="15"/>
      <c r="O82" s="14"/>
      <c r="P82" s="13"/>
      <c r="BG82" s="12"/>
      <c r="BI82" s="51"/>
    </row>
    <row r="83" spans="1:61" x14ac:dyDescent="0.2">
      <c r="B83" s="5" t="s">
        <v>1</v>
      </c>
      <c r="F83" s="1"/>
      <c r="H83" s="12">
        <f>SUM(H17:H82)</f>
        <v>24920</v>
      </c>
      <c r="I83" s="12">
        <f>SUM(I17:I82)</f>
        <v>33007</v>
      </c>
      <c r="J83" s="12">
        <f>SUM(J17:J82)</f>
        <v>1393</v>
      </c>
      <c r="K83" s="12"/>
      <c r="L83" s="12"/>
      <c r="M83" s="12"/>
      <c r="N83" s="12">
        <f>SUM(N17:N82)</f>
        <v>1750.3799999999999</v>
      </c>
      <c r="O83" s="12">
        <f>SUM(O17:O82)</f>
        <v>0</v>
      </c>
      <c r="P83" s="12">
        <f>SUM(P17:P82)</f>
        <v>2068.15</v>
      </c>
    </row>
    <row r="84" spans="1:61" x14ac:dyDescent="0.2">
      <c r="B84" s="10" t="s">
        <v>0</v>
      </c>
      <c r="F84" s="1"/>
      <c r="G84" s="11">
        <v>0.1</v>
      </c>
      <c r="H84" s="53">
        <f>+G84*H83</f>
        <v>2492</v>
      </c>
      <c r="I84" s="53">
        <f>+G84*I83</f>
        <v>3300.7000000000003</v>
      </c>
      <c r="J84" s="53">
        <f>+G84*J83</f>
        <v>139.30000000000001</v>
      </c>
      <c r="M84" s="11">
        <v>0.1</v>
      </c>
      <c r="N84" s="55">
        <f>+M84*N83</f>
        <v>175.03800000000001</v>
      </c>
      <c r="O84" s="11">
        <v>0.1</v>
      </c>
      <c r="P84" s="53">
        <f>+O84*P83</f>
        <v>206.81500000000003</v>
      </c>
    </row>
    <row r="85" spans="1:61" x14ac:dyDescent="0.2">
      <c r="B85" s="9" t="s">
        <v>14</v>
      </c>
      <c r="F85" s="1"/>
      <c r="H85" s="54">
        <f>H83+H84</f>
        <v>27412</v>
      </c>
      <c r="I85" s="54">
        <f>I83+I84</f>
        <v>36307.699999999997</v>
      </c>
      <c r="J85" s="54">
        <f>J83+J84</f>
        <v>1532.3</v>
      </c>
      <c r="K85" s="8"/>
      <c r="L85" s="8"/>
      <c r="M85" s="8"/>
      <c r="N85" s="56">
        <f>N83+N84</f>
        <v>1925.4179999999999</v>
      </c>
      <c r="O85" s="8"/>
      <c r="P85" s="54">
        <f>P83+P84</f>
        <v>2274.9650000000001</v>
      </c>
    </row>
    <row r="86" spans="1:61" x14ac:dyDescent="0.2">
      <c r="A86" s="18"/>
      <c r="B86" s="60" t="s">
        <v>77</v>
      </c>
      <c r="C86" s="14"/>
      <c r="D86" s="14"/>
      <c r="E86" s="14"/>
      <c r="F86" s="17"/>
      <c r="G86" s="16"/>
      <c r="H86" s="15"/>
      <c r="I86" s="15"/>
      <c r="J86" s="15"/>
      <c r="K86" s="14"/>
      <c r="L86" s="17"/>
      <c r="M86" s="16"/>
      <c r="N86" s="15"/>
      <c r="O86" s="14"/>
      <c r="P86" s="13"/>
      <c r="BG86" s="12"/>
      <c r="BI86" s="51"/>
    </row>
    <row r="87" spans="1:61" x14ac:dyDescent="0.2">
      <c r="A87" s="18"/>
      <c r="B87" s="52" t="s">
        <v>78</v>
      </c>
      <c r="C87" s="14"/>
      <c r="D87" s="14"/>
      <c r="E87" s="14"/>
      <c r="F87" s="17"/>
      <c r="G87" s="16"/>
      <c r="H87" s="15"/>
      <c r="I87" s="15"/>
      <c r="J87" s="15"/>
      <c r="K87" s="14">
        <v>20</v>
      </c>
      <c r="L87" s="17" t="s">
        <v>20</v>
      </c>
      <c r="M87" s="16">
        <v>20</v>
      </c>
      <c r="N87" s="15">
        <f t="shared" ref="N87" si="6">K87*M87</f>
        <v>400</v>
      </c>
      <c r="O87" s="14"/>
      <c r="P87" s="13"/>
      <c r="BG87" s="12"/>
      <c r="BI87" s="51"/>
    </row>
    <row r="88" spans="1:61" x14ac:dyDescent="0.2">
      <c r="A88" s="18"/>
      <c r="B88" s="52"/>
      <c r="C88" s="14"/>
      <c r="D88" s="14"/>
      <c r="E88" s="14"/>
      <c r="F88" s="17"/>
      <c r="G88" s="16"/>
      <c r="H88" s="15"/>
      <c r="I88" s="15"/>
      <c r="J88" s="15"/>
      <c r="K88" s="14"/>
      <c r="L88" s="17"/>
      <c r="M88" s="16"/>
      <c r="N88" s="15"/>
      <c r="O88" s="14"/>
      <c r="P88" s="13"/>
      <c r="BG88" s="12"/>
      <c r="BI88" s="51"/>
    </row>
    <row r="89" spans="1:61" x14ac:dyDescent="0.2">
      <c r="B89" s="5" t="s">
        <v>1</v>
      </c>
      <c r="F89" s="1"/>
      <c r="H89" s="12"/>
      <c r="I89" s="12"/>
      <c r="J89" s="12"/>
      <c r="K89" s="12"/>
      <c r="L89" s="12"/>
      <c r="M89" s="12"/>
      <c r="N89" s="12">
        <f>SUM(N86:N88)</f>
        <v>400</v>
      </c>
      <c r="O89" s="12">
        <f>SUM(O25:O88)</f>
        <v>0.1</v>
      </c>
      <c r="P89" s="12"/>
    </row>
    <row r="90" spans="1:61" x14ac:dyDescent="0.2">
      <c r="B90" s="10" t="s">
        <v>0</v>
      </c>
      <c r="F90" s="1"/>
      <c r="G90" s="11">
        <v>0.1</v>
      </c>
      <c r="H90" s="53"/>
      <c r="I90" s="53"/>
      <c r="J90" s="53"/>
      <c r="M90" s="11">
        <v>0.1</v>
      </c>
      <c r="N90" s="55">
        <f>+M90*N89</f>
        <v>40</v>
      </c>
      <c r="O90" s="11">
        <v>0.1</v>
      </c>
      <c r="P90" s="53"/>
    </row>
    <row r="91" spans="1:61" x14ac:dyDescent="0.2">
      <c r="B91" s="9" t="s">
        <v>14</v>
      </c>
      <c r="F91" s="1"/>
      <c r="H91" s="54"/>
      <c r="I91" s="54"/>
      <c r="J91" s="54"/>
      <c r="K91" s="8"/>
      <c r="L91" s="8"/>
      <c r="M91" s="8"/>
      <c r="N91" s="56">
        <f>N89+N90</f>
        <v>440</v>
      </c>
      <c r="O91" s="8"/>
      <c r="P91" s="54"/>
    </row>
    <row r="92" spans="1:61" x14ac:dyDescent="0.2">
      <c r="B92" s="5"/>
      <c r="F92" s="1"/>
      <c r="H92" s="3"/>
      <c r="I92" s="3"/>
      <c r="J92" s="3"/>
      <c r="K92" s="4"/>
      <c r="L92" s="4"/>
      <c r="M92" s="7"/>
      <c r="N92" s="3"/>
      <c r="O92" s="6"/>
      <c r="P92" s="3"/>
    </row>
    <row r="93" spans="1:61" x14ac:dyDescent="0.2">
      <c r="A93" s="18"/>
      <c r="B93" s="60" t="s">
        <v>190</v>
      </c>
      <c r="C93" s="14"/>
      <c r="D93" s="14"/>
      <c r="E93" s="14"/>
      <c r="F93" s="17"/>
      <c r="G93" s="16"/>
      <c r="H93" s="15"/>
      <c r="I93" s="15"/>
      <c r="J93" s="15"/>
      <c r="K93" s="14"/>
      <c r="L93" s="17"/>
      <c r="M93" s="16"/>
      <c r="N93" s="15"/>
      <c r="O93" s="14"/>
      <c r="P93" s="13"/>
      <c r="BG93" s="12"/>
      <c r="BI93" s="51"/>
    </row>
    <row r="94" spans="1:61" x14ac:dyDescent="0.2">
      <c r="A94" s="18"/>
      <c r="B94" s="52" t="s">
        <v>191</v>
      </c>
      <c r="C94" s="14"/>
      <c r="D94" s="14"/>
      <c r="E94" s="14"/>
      <c r="F94" s="17"/>
      <c r="G94" s="16"/>
      <c r="H94" s="15"/>
      <c r="I94" s="15"/>
      <c r="J94" s="15"/>
      <c r="K94" s="14">
        <v>1</v>
      </c>
      <c r="L94" s="17" t="s">
        <v>19</v>
      </c>
      <c r="M94" s="16">
        <v>600</v>
      </c>
      <c r="N94" s="15">
        <f t="shared" ref="N94:N95" si="7">K94*M94</f>
        <v>600</v>
      </c>
      <c r="O94" s="14"/>
      <c r="P94" s="13"/>
      <c r="BG94" s="12"/>
      <c r="BI94" s="51"/>
    </row>
    <row r="95" spans="1:61" x14ac:dyDescent="0.2">
      <c r="A95" s="18"/>
      <c r="B95" s="52" t="s">
        <v>192</v>
      </c>
      <c r="C95" s="14"/>
      <c r="D95" s="14"/>
      <c r="E95" s="14"/>
      <c r="F95" s="17"/>
      <c r="G95" s="16"/>
      <c r="H95" s="15"/>
      <c r="I95" s="15"/>
      <c r="J95" s="15"/>
      <c r="K95" s="14">
        <v>1</v>
      </c>
      <c r="L95" s="17" t="s">
        <v>19</v>
      </c>
      <c r="M95" s="16">
        <v>3860</v>
      </c>
      <c r="N95" s="15">
        <f t="shared" si="7"/>
        <v>3860</v>
      </c>
      <c r="O95" s="14"/>
      <c r="P95" s="13"/>
      <c r="BG95" s="12"/>
      <c r="BI95" s="51"/>
    </row>
    <row r="96" spans="1:61" x14ac:dyDescent="0.2">
      <c r="B96" s="5" t="s">
        <v>1</v>
      </c>
      <c r="F96" s="1"/>
      <c r="H96" s="12"/>
      <c r="I96" s="12"/>
      <c r="J96" s="12"/>
      <c r="K96" s="12"/>
      <c r="L96" s="12"/>
      <c r="M96" s="12"/>
      <c r="N96" s="12">
        <f>SUM(N93:N95)</f>
        <v>4460</v>
      </c>
      <c r="O96" s="12">
        <f>SUM(O31:O95)</f>
        <v>0.30000000000000004</v>
      </c>
      <c r="P96" s="12"/>
    </row>
    <row r="97" spans="2:16" x14ac:dyDescent="0.2">
      <c r="B97" s="10" t="s">
        <v>0</v>
      </c>
      <c r="F97" s="1"/>
      <c r="G97" s="11">
        <v>0.1</v>
      </c>
      <c r="H97" s="53"/>
      <c r="I97" s="53"/>
      <c r="J97" s="53"/>
      <c r="M97" s="11">
        <v>0.1</v>
      </c>
      <c r="N97" s="55">
        <f>+M97*N96</f>
        <v>446</v>
      </c>
      <c r="O97" s="11">
        <v>0.1</v>
      </c>
      <c r="P97" s="53"/>
    </row>
    <row r="98" spans="2:16" x14ac:dyDescent="0.2">
      <c r="B98" s="9" t="s">
        <v>14</v>
      </c>
      <c r="F98" s="1"/>
      <c r="H98" s="54"/>
      <c r="I98" s="54"/>
      <c r="J98" s="54"/>
      <c r="K98" s="8"/>
      <c r="L98" s="8"/>
      <c r="M98" s="8"/>
      <c r="N98" s="56">
        <f>N96+N97</f>
        <v>4906</v>
      </c>
      <c r="O98" s="8"/>
      <c r="P98" s="54"/>
    </row>
    <row r="99" spans="2:16" ht="13.5" thickBot="1" x14ac:dyDescent="0.25">
      <c r="B99" s="5"/>
      <c r="F99" s="1"/>
      <c r="H99" s="3"/>
      <c r="I99" s="3"/>
      <c r="J99" s="3"/>
      <c r="K99" s="4"/>
      <c r="L99" s="4"/>
      <c r="M99" s="7"/>
      <c r="N99" s="3"/>
      <c r="O99" s="6"/>
      <c r="P99" s="3"/>
    </row>
    <row r="100" spans="2:16" x14ac:dyDescent="0.2">
      <c r="B100" s="2" t="s">
        <v>76</v>
      </c>
      <c r="F100" s="1"/>
    </row>
    <row r="101" spans="2:16" ht="13.5" thickBot="1" x14ac:dyDescent="0.25">
      <c r="B101" s="57">
        <f>H85+N85+P85</f>
        <v>31612.383000000002</v>
      </c>
      <c r="F101" s="1"/>
    </row>
    <row r="102" spans="2:16" ht="13.5" thickBot="1" x14ac:dyDescent="0.25"/>
    <row r="103" spans="2:16" x14ac:dyDescent="0.2">
      <c r="B103" s="2" t="s">
        <v>75</v>
      </c>
    </row>
    <row r="104" spans="2:16" ht="13.5" thickBot="1" x14ac:dyDescent="0.25">
      <c r="B104" s="57">
        <f>I85+N91</f>
        <v>36747.699999999997</v>
      </c>
    </row>
    <row r="105" spans="2:16" ht="13.5" thickBot="1" x14ac:dyDescent="0.25"/>
    <row r="106" spans="2:16" x14ac:dyDescent="0.2">
      <c r="B106" s="2" t="s">
        <v>75</v>
      </c>
    </row>
    <row r="107" spans="2:16" ht="13.5" thickBot="1" x14ac:dyDescent="0.25">
      <c r="B107" s="57">
        <f>J85+N98</f>
        <v>6438.3</v>
      </c>
    </row>
  </sheetData>
  <mergeCells count="5">
    <mergeCell ref="M1:P1"/>
    <mergeCell ref="M2:P2"/>
    <mergeCell ref="D14:I14"/>
    <mergeCell ref="A4:P4"/>
    <mergeCell ref="A5:P7"/>
  </mergeCells>
  <pageMargins left="0.75" right="0.75" top="1" bottom="1" header="0.5" footer="0.5"/>
  <pageSetup scale="53" orientation="landscape" horizontalDpi="4294967293" verticalDpi="4294967293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46"/>
  <sheetViews>
    <sheetView zoomScale="130" zoomScaleNormal="130" workbookViewId="0">
      <selection activeCell="A12" sqref="A12"/>
    </sheetView>
  </sheetViews>
  <sheetFormatPr defaultRowHeight="12.75" x14ac:dyDescent="0.2"/>
  <cols>
    <col min="1" max="1" width="33.7109375" customWidth="1"/>
    <col min="2" max="2" width="9.85546875" customWidth="1"/>
    <col min="3" max="7" width="4.28515625" customWidth="1"/>
    <col min="8" max="9" width="1.140625" customWidth="1"/>
    <col min="10" max="14" width="4.28515625" customWidth="1"/>
    <col min="15" max="16" width="1.140625" customWidth="1"/>
    <col min="17" max="21" width="4.28515625" customWidth="1"/>
    <col min="22" max="23" width="1.140625" customWidth="1"/>
    <col min="24" max="28" width="4.28515625" customWidth="1"/>
    <col min="29" max="30" width="1.140625" customWidth="1"/>
    <col min="31" max="35" width="4.28515625" customWidth="1"/>
    <col min="36" max="37" width="1.140625" customWidth="1"/>
    <col min="38" max="42" width="4.28515625" customWidth="1"/>
    <col min="43" max="46" width="1.140625" customWidth="1"/>
    <col min="47" max="51" width="4.28515625" customWidth="1"/>
    <col min="52" max="53" width="1.140625" customWidth="1"/>
    <col min="54" max="58" width="4.28515625" customWidth="1"/>
    <col min="59" max="61" width="1.140625" customWidth="1"/>
    <col min="62" max="65" width="4.28515625" customWidth="1"/>
    <col min="66" max="67" width="1.140625" customWidth="1"/>
    <col min="68" max="72" width="4.28515625" customWidth="1"/>
  </cols>
  <sheetData>
    <row r="1" spans="1:44" ht="6" customHeight="1" x14ac:dyDescent="0.2"/>
    <row r="2" spans="1:44" x14ac:dyDescent="0.2">
      <c r="A2" s="70" t="s">
        <v>80</v>
      </c>
      <c r="B2" s="71" t="s">
        <v>79</v>
      </c>
      <c r="C2" s="160" t="s">
        <v>82</v>
      </c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1" t="s">
        <v>83</v>
      </c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3"/>
    </row>
    <row r="3" spans="1:44" x14ac:dyDescent="0.2">
      <c r="A3" s="70"/>
      <c r="B3" s="67"/>
      <c r="C3" s="62">
        <v>42464</v>
      </c>
      <c r="D3" s="62">
        <v>42465</v>
      </c>
      <c r="E3" s="62">
        <v>42466</v>
      </c>
      <c r="F3" s="62">
        <v>42467</v>
      </c>
      <c r="G3" s="62">
        <v>42468</v>
      </c>
      <c r="H3" s="64">
        <v>42469</v>
      </c>
      <c r="I3" s="64">
        <v>42470</v>
      </c>
      <c r="J3" s="62">
        <v>42471</v>
      </c>
      <c r="K3" s="62">
        <v>42472</v>
      </c>
      <c r="L3" s="62">
        <v>42473</v>
      </c>
      <c r="M3" s="62">
        <v>42474</v>
      </c>
      <c r="N3" s="62">
        <v>42475</v>
      </c>
      <c r="O3" s="64">
        <v>42476</v>
      </c>
      <c r="P3" s="64">
        <v>42477</v>
      </c>
      <c r="Q3" s="62">
        <v>42478</v>
      </c>
      <c r="R3" s="62">
        <v>42479</v>
      </c>
      <c r="S3" s="62">
        <v>42480</v>
      </c>
      <c r="T3" s="62">
        <v>42481</v>
      </c>
      <c r="U3" s="62">
        <v>42482</v>
      </c>
      <c r="V3" s="64">
        <v>42483</v>
      </c>
      <c r="W3" s="64">
        <v>42484</v>
      </c>
      <c r="X3" s="62">
        <v>42485</v>
      </c>
      <c r="Y3" s="62">
        <v>42486</v>
      </c>
      <c r="Z3" s="62">
        <v>42487</v>
      </c>
      <c r="AA3" s="62">
        <v>42488</v>
      </c>
      <c r="AB3" s="62">
        <v>42489</v>
      </c>
      <c r="AC3" s="64">
        <v>42490</v>
      </c>
      <c r="AD3" s="64">
        <v>42491</v>
      </c>
      <c r="AE3" s="62">
        <v>42492</v>
      </c>
      <c r="AF3" s="62">
        <v>42493</v>
      </c>
      <c r="AG3" s="62">
        <v>42494</v>
      </c>
      <c r="AH3" s="62">
        <v>42495</v>
      </c>
      <c r="AI3" s="62">
        <v>42496</v>
      </c>
      <c r="AJ3" s="64">
        <v>42497</v>
      </c>
      <c r="AK3" s="64">
        <v>42498</v>
      </c>
      <c r="AL3" s="62">
        <v>42499</v>
      </c>
      <c r="AM3" s="62">
        <v>42500</v>
      </c>
      <c r="AN3" s="62">
        <v>42501</v>
      </c>
      <c r="AO3" s="62">
        <v>42502</v>
      </c>
      <c r="AP3" s="62">
        <v>42503</v>
      </c>
      <c r="AQ3" s="64">
        <v>42504</v>
      </c>
      <c r="AR3" s="64">
        <v>42505</v>
      </c>
    </row>
    <row r="4" spans="1:44" x14ac:dyDescent="0.2">
      <c r="A4" s="52" t="s">
        <v>22</v>
      </c>
      <c r="B4" s="68">
        <f t="shared" ref="B4:B23" si="0">SUM(C4:AP4)</f>
        <v>12</v>
      </c>
      <c r="C4" s="63"/>
      <c r="D4" s="63">
        <v>2</v>
      </c>
      <c r="E4" s="63"/>
      <c r="F4" s="63">
        <v>1</v>
      </c>
      <c r="G4" s="63">
        <v>1</v>
      </c>
      <c r="H4" s="65"/>
      <c r="I4" s="65"/>
      <c r="J4" s="63"/>
      <c r="K4" s="63">
        <v>3</v>
      </c>
      <c r="L4" s="63"/>
      <c r="M4" s="63"/>
      <c r="N4" s="63">
        <v>1</v>
      </c>
      <c r="O4" s="65"/>
      <c r="P4" s="65"/>
      <c r="Q4" s="63"/>
      <c r="R4" s="63">
        <v>2</v>
      </c>
      <c r="S4" s="63"/>
      <c r="T4" s="63"/>
      <c r="U4" s="63"/>
      <c r="V4" s="65"/>
      <c r="W4" s="65"/>
      <c r="X4" s="63"/>
      <c r="Y4" s="63"/>
      <c r="Z4" s="63"/>
      <c r="AA4" s="63"/>
      <c r="AB4" s="63"/>
      <c r="AC4" s="65"/>
      <c r="AD4" s="65"/>
      <c r="AE4" s="63"/>
      <c r="AF4" s="63"/>
      <c r="AG4" s="63"/>
      <c r="AH4" s="63"/>
      <c r="AI4" s="63"/>
      <c r="AJ4" s="65"/>
      <c r="AK4" s="65"/>
      <c r="AL4" s="63"/>
      <c r="AM4" s="63"/>
      <c r="AN4" s="63"/>
      <c r="AO4" s="63"/>
      <c r="AP4" s="63">
        <v>2</v>
      </c>
      <c r="AQ4" s="65"/>
      <c r="AR4" s="65"/>
    </row>
    <row r="5" spans="1:44" x14ac:dyDescent="0.2">
      <c r="A5" s="59" t="s">
        <v>23</v>
      </c>
      <c r="B5" s="68">
        <f t="shared" si="0"/>
        <v>2</v>
      </c>
      <c r="C5" s="63"/>
      <c r="D5" s="63"/>
      <c r="E5" s="63"/>
      <c r="F5" s="63"/>
      <c r="G5" s="63"/>
      <c r="H5" s="65"/>
      <c r="I5" s="65"/>
      <c r="J5" s="63"/>
      <c r="K5" s="63"/>
      <c r="L5" s="63"/>
      <c r="M5" s="63"/>
      <c r="N5" s="63"/>
      <c r="O5" s="65"/>
      <c r="P5" s="65"/>
      <c r="Q5" s="63"/>
      <c r="R5" s="63">
        <v>2</v>
      </c>
      <c r="S5" s="63"/>
      <c r="T5" s="63"/>
      <c r="U5" s="63"/>
      <c r="V5" s="65"/>
      <c r="W5" s="65"/>
      <c r="X5" s="63"/>
      <c r="Y5" s="63"/>
      <c r="Z5" s="63"/>
      <c r="AA5" s="63"/>
      <c r="AB5" s="63"/>
      <c r="AC5" s="65"/>
      <c r="AD5" s="65"/>
      <c r="AE5" s="63"/>
      <c r="AF5" s="63"/>
      <c r="AG5" s="63"/>
      <c r="AH5" s="63"/>
      <c r="AI5" s="63"/>
      <c r="AJ5" s="65"/>
      <c r="AK5" s="65"/>
      <c r="AL5" s="63"/>
      <c r="AM5" s="63"/>
      <c r="AN5" s="63"/>
      <c r="AO5" s="63"/>
      <c r="AP5" s="63"/>
      <c r="AQ5" s="65"/>
      <c r="AR5" s="65"/>
    </row>
    <row r="6" spans="1:44" x14ac:dyDescent="0.2">
      <c r="A6" s="52" t="s">
        <v>24</v>
      </c>
      <c r="B6" s="68">
        <f t="shared" si="0"/>
        <v>4</v>
      </c>
      <c r="C6" s="63"/>
      <c r="D6" s="63"/>
      <c r="E6" s="63"/>
      <c r="F6" s="63"/>
      <c r="G6" s="63"/>
      <c r="H6" s="65"/>
      <c r="I6" s="65"/>
      <c r="J6" s="63"/>
      <c r="K6" s="63"/>
      <c r="L6" s="63"/>
      <c r="M6" s="63"/>
      <c r="N6" s="63"/>
      <c r="O6" s="65"/>
      <c r="P6" s="65"/>
      <c r="Q6" s="63"/>
      <c r="R6" s="63"/>
      <c r="S6" s="63">
        <v>2</v>
      </c>
      <c r="T6" s="63"/>
      <c r="U6" s="63">
        <v>2</v>
      </c>
      <c r="V6" s="65"/>
      <c r="W6" s="65"/>
      <c r="X6" s="63"/>
      <c r="Y6" s="63"/>
      <c r="Z6" s="63"/>
      <c r="AA6" s="63"/>
      <c r="AB6" s="63"/>
      <c r="AC6" s="65"/>
      <c r="AD6" s="65"/>
      <c r="AE6" s="63"/>
      <c r="AF6" s="63"/>
      <c r="AG6" s="63"/>
      <c r="AH6" s="63"/>
      <c r="AI6" s="63"/>
      <c r="AJ6" s="65"/>
      <c r="AK6" s="65"/>
      <c r="AL6" s="63"/>
      <c r="AM6" s="63"/>
      <c r="AN6" s="63"/>
      <c r="AO6" s="63"/>
      <c r="AP6" s="63"/>
      <c r="AQ6" s="65"/>
      <c r="AR6" s="65"/>
    </row>
    <row r="7" spans="1:44" x14ac:dyDescent="0.2">
      <c r="A7" s="59" t="s">
        <v>25</v>
      </c>
      <c r="B7" s="68">
        <f t="shared" si="0"/>
        <v>30</v>
      </c>
      <c r="C7" s="63"/>
      <c r="D7" s="63"/>
      <c r="E7" s="63"/>
      <c r="F7" s="63"/>
      <c r="G7" s="63"/>
      <c r="H7" s="65"/>
      <c r="I7" s="65"/>
      <c r="J7" s="63"/>
      <c r="K7" s="63"/>
      <c r="L7" s="63"/>
      <c r="M7" s="63"/>
      <c r="N7" s="63"/>
      <c r="O7" s="65"/>
      <c r="P7" s="65"/>
      <c r="Q7" s="63">
        <v>1</v>
      </c>
      <c r="R7" s="63">
        <v>3</v>
      </c>
      <c r="S7" s="63">
        <v>3</v>
      </c>
      <c r="T7" s="63">
        <v>1</v>
      </c>
      <c r="U7" s="63">
        <v>2</v>
      </c>
      <c r="V7" s="65"/>
      <c r="W7" s="65"/>
      <c r="X7" s="63"/>
      <c r="Y7" s="63"/>
      <c r="Z7" s="63">
        <v>2</v>
      </c>
      <c r="AA7" s="63">
        <v>4</v>
      </c>
      <c r="AB7" s="63">
        <v>2</v>
      </c>
      <c r="AC7" s="65"/>
      <c r="AD7" s="65"/>
      <c r="AE7" s="63"/>
      <c r="AF7" s="63"/>
      <c r="AG7" s="63">
        <v>4</v>
      </c>
      <c r="AH7" s="63"/>
      <c r="AI7" s="63"/>
      <c r="AJ7" s="65"/>
      <c r="AK7" s="65"/>
      <c r="AL7" s="63">
        <v>2</v>
      </c>
      <c r="AM7" s="63">
        <v>2</v>
      </c>
      <c r="AN7" s="63"/>
      <c r="AO7" s="63">
        <v>2</v>
      </c>
      <c r="AP7" s="63">
        <v>2</v>
      </c>
      <c r="AQ7" s="65"/>
      <c r="AR7" s="65"/>
    </row>
    <row r="8" spans="1:44" x14ac:dyDescent="0.2">
      <c r="A8" s="52" t="s">
        <v>26</v>
      </c>
      <c r="B8" s="68">
        <f t="shared" si="0"/>
        <v>60</v>
      </c>
      <c r="C8" s="63"/>
      <c r="D8" s="63"/>
      <c r="E8" s="66"/>
      <c r="F8" s="63"/>
      <c r="G8" s="63"/>
      <c r="H8" s="65"/>
      <c r="I8" s="65"/>
      <c r="J8" s="63"/>
      <c r="K8" s="63"/>
      <c r="L8" s="63"/>
      <c r="M8" s="63"/>
      <c r="N8" s="63"/>
      <c r="O8" s="65"/>
      <c r="P8" s="65"/>
      <c r="Q8" s="63"/>
      <c r="R8" s="63">
        <v>8</v>
      </c>
      <c r="S8" s="63">
        <v>8</v>
      </c>
      <c r="T8" s="63"/>
      <c r="U8" s="63">
        <v>8</v>
      </c>
      <c r="V8" s="65"/>
      <c r="W8" s="65"/>
      <c r="X8" s="63">
        <v>8</v>
      </c>
      <c r="Y8" s="63">
        <v>4</v>
      </c>
      <c r="Z8" s="63"/>
      <c r="AA8" s="63"/>
      <c r="AB8" s="63">
        <v>2</v>
      </c>
      <c r="AC8" s="65"/>
      <c r="AD8" s="65"/>
      <c r="AE8" s="63"/>
      <c r="AF8" s="63">
        <v>2</v>
      </c>
      <c r="AG8" s="63">
        <v>2</v>
      </c>
      <c r="AH8" s="63">
        <v>8</v>
      </c>
      <c r="AI8" s="63"/>
      <c r="AJ8" s="65"/>
      <c r="AK8" s="65"/>
      <c r="AL8" s="63">
        <v>2</v>
      </c>
      <c r="AM8" s="63">
        <v>2</v>
      </c>
      <c r="AN8" s="63"/>
      <c r="AO8" s="63">
        <v>2</v>
      </c>
      <c r="AP8" s="63">
        <v>4</v>
      </c>
      <c r="AQ8" s="65"/>
      <c r="AR8" s="65"/>
    </row>
    <row r="9" spans="1:44" x14ac:dyDescent="0.2">
      <c r="A9" s="52" t="s">
        <v>27</v>
      </c>
      <c r="B9" s="68">
        <f t="shared" si="0"/>
        <v>76</v>
      </c>
      <c r="C9" s="63"/>
      <c r="D9" s="63"/>
      <c r="E9" s="63"/>
      <c r="F9" s="63"/>
      <c r="G9" s="63"/>
      <c r="H9" s="65"/>
      <c r="I9" s="65"/>
      <c r="J9" s="63"/>
      <c r="K9" s="63"/>
      <c r="L9" s="63"/>
      <c r="M9" s="63"/>
      <c r="N9" s="63"/>
      <c r="O9" s="65"/>
      <c r="P9" s="65"/>
      <c r="Q9" s="63"/>
      <c r="R9" s="63"/>
      <c r="S9" s="63"/>
      <c r="T9" s="63"/>
      <c r="U9" s="63"/>
      <c r="V9" s="65"/>
      <c r="W9" s="65"/>
      <c r="X9" s="63">
        <v>8</v>
      </c>
      <c r="Y9" s="63"/>
      <c r="Z9" s="63"/>
      <c r="AA9" s="63"/>
      <c r="AB9" s="63">
        <v>4</v>
      </c>
      <c r="AC9" s="65"/>
      <c r="AD9" s="65"/>
      <c r="AE9" s="63">
        <v>8</v>
      </c>
      <c r="AF9" s="63">
        <v>8</v>
      </c>
      <c r="AG9" s="63"/>
      <c r="AH9" s="63"/>
      <c r="AI9" s="63">
        <v>8</v>
      </c>
      <c r="AJ9" s="65"/>
      <c r="AK9" s="65"/>
      <c r="AL9" s="63">
        <v>8</v>
      </c>
      <c r="AM9" s="63">
        <v>8</v>
      </c>
      <c r="AN9" s="63">
        <v>8</v>
      </c>
      <c r="AO9" s="63">
        <v>8</v>
      </c>
      <c r="AP9" s="63">
        <v>8</v>
      </c>
      <c r="AQ9" s="65"/>
      <c r="AR9" s="65"/>
    </row>
    <row r="10" spans="1:44" x14ac:dyDescent="0.2">
      <c r="A10" s="52" t="s">
        <v>70</v>
      </c>
      <c r="B10" s="68">
        <f t="shared" si="0"/>
        <v>0</v>
      </c>
      <c r="C10" s="63"/>
      <c r="D10" s="63"/>
      <c r="E10" s="63"/>
      <c r="F10" s="63"/>
      <c r="G10" s="63"/>
      <c r="H10" s="65"/>
      <c r="I10" s="65"/>
      <c r="J10" s="63"/>
      <c r="K10" s="63"/>
      <c r="L10" s="63"/>
      <c r="M10" s="63"/>
      <c r="N10" s="63"/>
      <c r="O10" s="65"/>
      <c r="P10" s="65"/>
      <c r="Q10" s="63"/>
      <c r="R10" s="63"/>
      <c r="S10" s="63"/>
      <c r="T10" s="63"/>
      <c r="U10" s="63"/>
      <c r="V10" s="65"/>
      <c r="W10" s="65"/>
      <c r="X10" s="63"/>
      <c r="Y10" s="63"/>
      <c r="Z10" s="63"/>
      <c r="AA10" s="63"/>
      <c r="AB10" s="63"/>
      <c r="AC10" s="65"/>
      <c r="AD10" s="65"/>
      <c r="AE10" s="63"/>
      <c r="AF10" s="63"/>
      <c r="AG10" s="63"/>
      <c r="AH10" s="63"/>
      <c r="AI10" s="63"/>
      <c r="AJ10" s="65"/>
      <c r="AK10" s="65"/>
      <c r="AL10" s="63"/>
      <c r="AM10" s="63"/>
      <c r="AN10" s="63"/>
      <c r="AO10" s="63"/>
      <c r="AP10" s="63"/>
      <c r="AQ10" s="65"/>
      <c r="AR10" s="65"/>
    </row>
    <row r="11" spans="1:44" x14ac:dyDescent="0.2">
      <c r="A11" s="52" t="s">
        <v>28</v>
      </c>
      <c r="B11" s="68">
        <f t="shared" si="0"/>
        <v>64</v>
      </c>
      <c r="C11" s="63"/>
      <c r="D11" s="63"/>
      <c r="E11" s="63"/>
      <c r="F11" s="63"/>
      <c r="G11" s="63"/>
      <c r="H11" s="65"/>
      <c r="I11" s="65"/>
      <c r="J11" s="63"/>
      <c r="K11" s="63"/>
      <c r="L11" s="63"/>
      <c r="M11" s="63"/>
      <c r="N11" s="63"/>
      <c r="O11" s="65"/>
      <c r="P11" s="65"/>
      <c r="Q11" s="63"/>
      <c r="R11" s="63"/>
      <c r="S11" s="63"/>
      <c r="T11" s="63"/>
      <c r="U11" s="63"/>
      <c r="V11" s="65"/>
      <c r="W11" s="65"/>
      <c r="X11" s="63"/>
      <c r="Y11" s="63">
        <v>8</v>
      </c>
      <c r="Z11" s="63"/>
      <c r="AA11" s="63">
        <v>8</v>
      </c>
      <c r="AB11" s="63"/>
      <c r="AC11" s="65"/>
      <c r="AD11" s="65"/>
      <c r="AE11" s="63"/>
      <c r="AF11" s="63"/>
      <c r="AG11" s="63">
        <v>8</v>
      </c>
      <c r="AH11" s="63"/>
      <c r="AI11" s="63">
        <v>8</v>
      </c>
      <c r="AJ11" s="65"/>
      <c r="AK11" s="65"/>
      <c r="AL11" s="63"/>
      <c r="AM11" s="63">
        <v>8</v>
      </c>
      <c r="AN11" s="63">
        <v>8</v>
      </c>
      <c r="AO11" s="63">
        <v>8</v>
      </c>
      <c r="AP11" s="63">
        <v>8</v>
      </c>
      <c r="AQ11" s="65"/>
      <c r="AR11" s="65"/>
    </row>
    <row r="12" spans="1:44" x14ac:dyDescent="0.2">
      <c r="A12" s="52" t="s">
        <v>29</v>
      </c>
      <c r="B12" s="68">
        <f t="shared" si="0"/>
        <v>50</v>
      </c>
      <c r="C12" s="63"/>
      <c r="D12" s="63"/>
      <c r="E12" s="63"/>
      <c r="F12" s="63"/>
      <c r="G12" s="63"/>
      <c r="H12" s="65"/>
      <c r="I12" s="65"/>
      <c r="J12" s="63"/>
      <c r="K12" s="63"/>
      <c r="L12" s="63"/>
      <c r="M12" s="63"/>
      <c r="N12" s="63"/>
      <c r="O12" s="65"/>
      <c r="P12" s="65"/>
      <c r="Q12" s="63"/>
      <c r="R12" s="63"/>
      <c r="S12" s="63"/>
      <c r="T12" s="63">
        <v>8</v>
      </c>
      <c r="U12" s="63"/>
      <c r="V12" s="65"/>
      <c r="W12" s="65"/>
      <c r="X12" s="63"/>
      <c r="Y12" s="63"/>
      <c r="Z12" s="63"/>
      <c r="AA12" s="63">
        <v>8</v>
      </c>
      <c r="AB12" s="63">
        <v>8</v>
      </c>
      <c r="AC12" s="65"/>
      <c r="AD12" s="65"/>
      <c r="AE12" s="63"/>
      <c r="AF12" s="63"/>
      <c r="AG12" s="63"/>
      <c r="AH12" s="63"/>
      <c r="AI12" s="63"/>
      <c r="AJ12" s="65"/>
      <c r="AK12" s="65"/>
      <c r="AL12" s="63"/>
      <c r="AM12" s="63">
        <v>2</v>
      </c>
      <c r="AN12" s="63">
        <v>8</v>
      </c>
      <c r="AO12" s="63">
        <v>8</v>
      </c>
      <c r="AP12" s="63">
        <v>8</v>
      </c>
      <c r="AQ12" s="65"/>
      <c r="AR12" s="65"/>
    </row>
    <row r="13" spans="1:44" x14ac:dyDescent="0.2">
      <c r="A13" s="52" t="s">
        <v>30</v>
      </c>
      <c r="B13" s="68">
        <f t="shared" si="0"/>
        <v>34</v>
      </c>
      <c r="C13" s="63"/>
      <c r="D13" s="63"/>
      <c r="E13" s="63"/>
      <c r="F13" s="63"/>
      <c r="G13" s="63"/>
      <c r="H13" s="65"/>
      <c r="I13" s="65"/>
      <c r="J13" s="63"/>
      <c r="K13" s="63"/>
      <c r="L13" s="63"/>
      <c r="M13" s="63"/>
      <c r="N13" s="63"/>
      <c r="O13" s="65"/>
      <c r="P13" s="65"/>
      <c r="Q13" s="63"/>
      <c r="R13" s="63"/>
      <c r="S13" s="63"/>
      <c r="T13" s="63"/>
      <c r="U13" s="63"/>
      <c r="V13" s="65"/>
      <c r="W13" s="65"/>
      <c r="X13" s="63"/>
      <c r="Y13" s="63"/>
      <c r="Z13" s="63"/>
      <c r="AA13" s="63">
        <v>8</v>
      </c>
      <c r="AB13" s="63">
        <v>8</v>
      </c>
      <c r="AC13" s="65"/>
      <c r="AD13" s="65"/>
      <c r="AE13" s="63"/>
      <c r="AF13" s="63"/>
      <c r="AG13" s="63"/>
      <c r="AH13" s="63"/>
      <c r="AI13" s="63"/>
      <c r="AJ13" s="65"/>
      <c r="AK13" s="65"/>
      <c r="AL13" s="63"/>
      <c r="AM13" s="63">
        <v>2</v>
      </c>
      <c r="AN13" s="63">
        <v>8</v>
      </c>
      <c r="AO13" s="63"/>
      <c r="AP13" s="63">
        <v>8</v>
      </c>
      <c r="AQ13" s="65"/>
      <c r="AR13" s="65"/>
    </row>
    <row r="14" spans="1:44" x14ac:dyDescent="0.2">
      <c r="A14" s="52" t="s">
        <v>31</v>
      </c>
      <c r="B14" s="68">
        <f t="shared" si="0"/>
        <v>16</v>
      </c>
      <c r="C14" s="63"/>
      <c r="D14" s="63"/>
      <c r="E14" s="63"/>
      <c r="F14" s="63"/>
      <c r="G14" s="63"/>
      <c r="H14" s="65"/>
      <c r="I14" s="65"/>
      <c r="J14" s="63"/>
      <c r="K14" s="63"/>
      <c r="L14" s="63"/>
      <c r="M14" s="63"/>
      <c r="N14" s="63"/>
      <c r="O14" s="65"/>
      <c r="P14" s="65"/>
      <c r="Q14" s="63"/>
      <c r="R14" s="63"/>
      <c r="S14" s="63"/>
      <c r="T14" s="63"/>
      <c r="U14" s="63"/>
      <c r="V14" s="65"/>
      <c r="W14" s="65"/>
      <c r="X14" s="63"/>
      <c r="Y14" s="63"/>
      <c r="Z14" s="63"/>
      <c r="AA14" s="63">
        <v>8</v>
      </c>
      <c r="AB14" s="63"/>
      <c r="AC14" s="65"/>
      <c r="AD14" s="65"/>
      <c r="AE14" s="63"/>
      <c r="AF14" s="63"/>
      <c r="AG14" s="63">
        <v>8</v>
      </c>
      <c r="AH14" s="63"/>
      <c r="AI14" s="63"/>
      <c r="AJ14" s="65"/>
      <c r="AK14" s="65"/>
      <c r="AL14" s="63"/>
      <c r="AM14" s="63"/>
      <c r="AN14" s="63"/>
      <c r="AO14" s="63"/>
      <c r="AP14" s="63"/>
      <c r="AQ14" s="65"/>
      <c r="AR14" s="65"/>
    </row>
    <row r="15" spans="1:44" x14ac:dyDescent="0.2">
      <c r="A15" s="52" t="s">
        <v>32</v>
      </c>
      <c r="B15" s="68">
        <f t="shared" si="0"/>
        <v>2</v>
      </c>
      <c r="C15" s="63"/>
      <c r="D15" s="63"/>
      <c r="E15" s="63"/>
      <c r="F15" s="63"/>
      <c r="G15" s="63"/>
      <c r="H15" s="65"/>
      <c r="I15" s="65"/>
      <c r="J15" s="63"/>
      <c r="K15" s="63"/>
      <c r="L15" s="63"/>
      <c r="M15" s="63"/>
      <c r="N15" s="63"/>
      <c r="O15" s="65"/>
      <c r="P15" s="65"/>
      <c r="Q15" s="63"/>
      <c r="R15" s="63"/>
      <c r="S15" s="63"/>
      <c r="T15" s="63"/>
      <c r="U15" s="63"/>
      <c r="V15" s="65"/>
      <c r="W15" s="65"/>
      <c r="X15" s="63"/>
      <c r="Y15" s="63"/>
      <c r="Z15" s="63"/>
      <c r="AA15" s="63"/>
      <c r="AB15" s="63"/>
      <c r="AC15" s="65"/>
      <c r="AD15" s="65"/>
      <c r="AE15" s="63"/>
      <c r="AF15" s="63">
        <v>2</v>
      </c>
      <c r="AG15" s="63"/>
      <c r="AH15" s="63"/>
      <c r="AI15" s="63"/>
      <c r="AJ15" s="65"/>
      <c r="AK15" s="65"/>
      <c r="AL15" s="63"/>
      <c r="AM15" s="63"/>
      <c r="AN15" s="63"/>
      <c r="AO15" s="63"/>
      <c r="AP15" s="63"/>
      <c r="AQ15" s="65"/>
      <c r="AR15" s="65"/>
    </row>
    <row r="16" spans="1:44" x14ac:dyDescent="0.2">
      <c r="A16" s="52" t="s">
        <v>33</v>
      </c>
      <c r="B16" s="68">
        <f t="shared" si="0"/>
        <v>8</v>
      </c>
      <c r="C16" s="63"/>
      <c r="D16" s="63"/>
      <c r="E16" s="63"/>
      <c r="F16" s="63"/>
      <c r="G16" s="63"/>
      <c r="H16" s="65"/>
      <c r="I16" s="65"/>
      <c r="J16" s="63"/>
      <c r="K16" s="63"/>
      <c r="L16" s="63"/>
      <c r="M16" s="63"/>
      <c r="N16" s="63"/>
      <c r="O16" s="65"/>
      <c r="P16" s="65"/>
      <c r="Q16" s="63"/>
      <c r="R16" s="63"/>
      <c r="S16" s="63"/>
      <c r="T16" s="63"/>
      <c r="U16" s="63"/>
      <c r="V16" s="65"/>
      <c r="W16" s="65"/>
      <c r="X16" s="63"/>
      <c r="Y16" s="63"/>
      <c r="Z16" s="63"/>
      <c r="AA16" s="63"/>
      <c r="AB16" s="63"/>
      <c r="AC16" s="65"/>
      <c r="AD16" s="65"/>
      <c r="AE16" s="63"/>
      <c r="AF16" s="63"/>
      <c r="AG16" s="63"/>
      <c r="AH16" s="63">
        <v>8</v>
      </c>
      <c r="AI16" s="63"/>
      <c r="AJ16" s="65"/>
      <c r="AK16" s="65"/>
      <c r="AL16" s="63"/>
      <c r="AM16" s="63"/>
      <c r="AN16" s="63"/>
      <c r="AO16" s="63"/>
      <c r="AP16" s="63"/>
      <c r="AQ16" s="65"/>
      <c r="AR16" s="65"/>
    </row>
    <row r="17" spans="1:44" x14ac:dyDescent="0.2">
      <c r="A17" s="52" t="s">
        <v>34</v>
      </c>
      <c r="B17" s="68">
        <f t="shared" si="0"/>
        <v>20</v>
      </c>
      <c r="C17" s="63"/>
      <c r="D17" s="63"/>
      <c r="E17" s="63"/>
      <c r="F17" s="63"/>
      <c r="G17" s="63"/>
      <c r="H17" s="65"/>
      <c r="I17" s="65"/>
      <c r="J17" s="63"/>
      <c r="K17" s="63"/>
      <c r="L17" s="63"/>
      <c r="M17" s="63"/>
      <c r="N17" s="63"/>
      <c r="O17" s="65"/>
      <c r="P17" s="65"/>
      <c r="Q17" s="63"/>
      <c r="R17" s="63"/>
      <c r="S17" s="63">
        <v>4</v>
      </c>
      <c r="T17" s="63">
        <v>4</v>
      </c>
      <c r="U17" s="63">
        <v>4</v>
      </c>
      <c r="V17" s="65"/>
      <c r="W17" s="65"/>
      <c r="X17" s="63"/>
      <c r="Y17" s="63"/>
      <c r="Z17" s="63"/>
      <c r="AA17" s="63">
        <v>8</v>
      </c>
      <c r="AB17" s="63"/>
      <c r="AC17" s="65"/>
      <c r="AD17" s="65"/>
      <c r="AE17" s="63"/>
      <c r="AF17" s="63"/>
      <c r="AG17" s="63"/>
      <c r="AH17" s="63"/>
      <c r="AI17" s="63"/>
      <c r="AJ17" s="65"/>
      <c r="AK17" s="65"/>
      <c r="AL17" s="63"/>
      <c r="AM17" s="63"/>
      <c r="AN17" s="63"/>
      <c r="AO17" s="63"/>
      <c r="AP17" s="63"/>
      <c r="AQ17" s="65"/>
      <c r="AR17" s="65"/>
    </row>
    <row r="18" spans="1:44" x14ac:dyDescent="0.2">
      <c r="A18" s="52" t="s">
        <v>35</v>
      </c>
      <c r="B18" s="68">
        <f t="shared" si="0"/>
        <v>16</v>
      </c>
      <c r="C18" s="63"/>
      <c r="D18" s="63"/>
      <c r="E18" s="63"/>
      <c r="F18" s="63"/>
      <c r="G18" s="63"/>
      <c r="H18" s="65"/>
      <c r="I18" s="65"/>
      <c r="J18" s="63"/>
      <c r="K18" s="63"/>
      <c r="L18" s="63"/>
      <c r="M18" s="63"/>
      <c r="N18" s="63"/>
      <c r="O18" s="65"/>
      <c r="P18" s="65"/>
      <c r="Q18" s="63"/>
      <c r="R18" s="63"/>
      <c r="S18" s="63"/>
      <c r="T18" s="63">
        <v>8</v>
      </c>
      <c r="U18" s="63"/>
      <c r="V18" s="65"/>
      <c r="W18" s="65"/>
      <c r="X18" s="63"/>
      <c r="Y18" s="63"/>
      <c r="Z18" s="63"/>
      <c r="AA18" s="63"/>
      <c r="AB18" s="63"/>
      <c r="AC18" s="65"/>
      <c r="AD18" s="65"/>
      <c r="AE18" s="63"/>
      <c r="AF18" s="63"/>
      <c r="AG18" s="63"/>
      <c r="AH18" s="63"/>
      <c r="AI18" s="63"/>
      <c r="AJ18" s="65"/>
      <c r="AK18" s="65"/>
      <c r="AL18" s="63"/>
      <c r="AM18" s="63"/>
      <c r="AN18" s="63"/>
      <c r="AO18" s="63">
        <v>8</v>
      </c>
      <c r="AP18" s="63"/>
      <c r="AQ18" s="65"/>
      <c r="AR18" s="65"/>
    </row>
    <row r="19" spans="1:44" x14ac:dyDescent="0.2">
      <c r="A19" s="52" t="s">
        <v>36</v>
      </c>
      <c r="B19" s="68">
        <f t="shared" si="0"/>
        <v>14</v>
      </c>
      <c r="C19" s="63"/>
      <c r="D19" s="63"/>
      <c r="E19" s="63"/>
      <c r="F19" s="63"/>
      <c r="G19" s="63"/>
      <c r="H19" s="65"/>
      <c r="I19" s="65"/>
      <c r="J19" s="63"/>
      <c r="K19" s="63"/>
      <c r="L19" s="63"/>
      <c r="M19" s="63"/>
      <c r="N19" s="63"/>
      <c r="O19" s="65"/>
      <c r="P19" s="65"/>
      <c r="Q19" s="63"/>
      <c r="R19" s="63"/>
      <c r="S19" s="63"/>
      <c r="T19" s="63"/>
      <c r="U19" s="63"/>
      <c r="V19" s="65"/>
      <c r="W19" s="65"/>
      <c r="X19" s="63"/>
      <c r="Y19" s="63">
        <v>2</v>
      </c>
      <c r="Z19" s="63"/>
      <c r="AA19" s="63"/>
      <c r="AB19" s="63">
        <v>4</v>
      </c>
      <c r="AC19" s="65"/>
      <c r="AD19" s="65"/>
      <c r="AE19" s="63">
        <v>8</v>
      </c>
      <c r="AF19" s="63"/>
      <c r="AG19" s="63"/>
      <c r="AH19" s="63"/>
      <c r="AI19" s="63"/>
      <c r="AJ19" s="65"/>
      <c r="AK19" s="65"/>
      <c r="AL19" s="63"/>
      <c r="AM19" s="63"/>
      <c r="AN19" s="63"/>
      <c r="AO19" s="63"/>
      <c r="AP19" s="63"/>
      <c r="AQ19" s="65"/>
      <c r="AR19" s="65"/>
    </row>
    <row r="20" spans="1:44" x14ac:dyDescent="0.2">
      <c r="A20" s="52" t="s">
        <v>37</v>
      </c>
      <c r="B20" s="68">
        <f t="shared" si="0"/>
        <v>1</v>
      </c>
      <c r="C20" s="63"/>
      <c r="D20" s="63"/>
      <c r="E20" s="63"/>
      <c r="F20" s="63"/>
      <c r="G20" s="63"/>
      <c r="H20" s="65"/>
      <c r="I20" s="65"/>
      <c r="J20" s="63"/>
      <c r="K20" s="63"/>
      <c r="L20" s="63"/>
      <c r="M20" s="63"/>
      <c r="N20" s="63"/>
      <c r="O20" s="65"/>
      <c r="P20" s="65"/>
      <c r="Q20" s="63"/>
      <c r="R20" s="63"/>
      <c r="S20" s="63"/>
      <c r="T20" s="63"/>
      <c r="U20" s="63"/>
      <c r="V20" s="65"/>
      <c r="W20" s="65"/>
      <c r="X20" s="63"/>
      <c r="Y20" s="63"/>
      <c r="Z20" s="63"/>
      <c r="AA20" s="63"/>
      <c r="AB20" s="63"/>
      <c r="AC20" s="65"/>
      <c r="AD20" s="65"/>
      <c r="AE20" s="63"/>
      <c r="AF20" s="63"/>
      <c r="AG20" s="63"/>
      <c r="AH20" s="63"/>
      <c r="AI20" s="63"/>
      <c r="AJ20" s="65"/>
      <c r="AK20" s="65"/>
      <c r="AL20" s="63"/>
      <c r="AM20" s="63"/>
      <c r="AN20" s="63"/>
      <c r="AO20" s="63">
        <v>1</v>
      </c>
      <c r="AP20" s="63"/>
      <c r="AQ20" s="65"/>
      <c r="AR20" s="65"/>
    </row>
    <row r="21" spans="1:44" x14ac:dyDescent="0.2">
      <c r="A21" s="52" t="s">
        <v>71</v>
      </c>
      <c r="B21" s="68">
        <f t="shared" si="0"/>
        <v>0</v>
      </c>
      <c r="C21" s="63"/>
      <c r="D21" s="63"/>
      <c r="E21" s="63"/>
      <c r="F21" s="63"/>
      <c r="G21" s="63"/>
      <c r="H21" s="65"/>
      <c r="I21" s="65"/>
      <c r="J21" s="63"/>
      <c r="K21" s="63"/>
      <c r="L21" s="63"/>
      <c r="M21" s="63"/>
      <c r="N21" s="63"/>
      <c r="O21" s="65"/>
      <c r="P21" s="65"/>
      <c r="Q21" s="63"/>
      <c r="R21" s="63"/>
      <c r="S21" s="63"/>
      <c r="T21" s="63"/>
      <c r="U21" s="63"/>
      <c r="V21" s="65"/>
      <c r="W21" s="65"/>
      <c r="X21" s="63"/>
      <c r="Y21" s="63"/>
      <c r="Z21" s="63"/>
      <c r="AA21" s="63"/>
      <c r="AB21" s="63"/>
      <c r="AC21" s="65"/>
      <c r="AD21" s="65"/>
      <c r="AE21" s="63"/>
      <c r="AF21" s="63"/>
      <c r="AG21" s="63"/>
      <c r="AH21" s="63"/>
      <c r="AI21" s="63"/>
      <c r="AJ21" s="65"/>
      <c r="AK21" s="65"/>
      <c r="AL21" s="63"/>
      <c r="AM21" s="63"/>
      <c r="AN21" s="63"/>
      <c r="AO21" s="63"/>
      <c r="AP21" s="63"/>
      <c r="AQ21" s="65"/>
      <c r="AR21" s="65"/>
    </row>
    <row r="22" spans="1:44" x14ac:dyDescent="0.2">
      <c r="A22" s="52" t="s">
        <v>72</v>
      </c>
      <c r="B22" s="68">
        <f t="shared" si="0"/>
        <v>0</v>
      </c>
      <c r="C22" s="63"/>
      <c r="D22" s="63"/>
      <c r="E22" s="63"/>
      <c r="F22" s="63"/>
      <c r="G22" s="63"/>
      <c r="H22" s="65"/>
      <c r="I22" s="65"/>
      <c r="J22" s="63"/>
      <c r="K22" s="63"/>
      <c r="L22" s="63"/>
      <c r="M22" s="63"/>
      <c r="N22" s="63"/>
      <c r="O22" s="65"/>
      <c r="P22" s="65"/>
      <c r="Q22" s="63"/>
      <c r="R22" s="63"/>
      <c r="S22" s="63"/>
      <c r="T22" s="63"/>
      <c r="U22" s="63"/>
      <c r="V22" s="65"/>
      <c r="W22" s="65"/>
      <c r="X22" s="63"/>
      <c r="Y22" s="63"/>
      <c r="Z22" s="63"/>
      <c r="AA22" s="63"/>
      <c r="AB22" s="63"/>
      <c r="AC22" s="65"/>
      <c r="AD22" s="65"/>
      <c r="AE22" s="63"/>
      <c r="AF22" s="63"/>
      <c r="AG22" s="63"/>
      <c r="AH22" s="63"/>
      <c r="AI22" s="63"/>
      <c r="AJ22" s="65"/>
      <c r="AK22" s="65"/>
      <c r="AL22" s="63"/>
      <c r="AM22" s="63"/>
      <c r="AN22" s="63"/>
      <c r="AO22" s="63"/>
      <c r="AP22" s="63"/>
      <c r="AQ22" s="65"/>
      <c r="AR22" s="65"/>
    </row>
    <row r="23" spans="1:44" x14ac:dyDescent="0.2">
      <c r="A23" s="52"/>
      <c r="B23" s="68">
        <f t="shared" si="0"/>
        <v>409</v>
      </c>
      <c r="C23" s="69">
        <f>SUM(C4:C22)</f>
        <v>0</v>
      </c>
      <c r="D23" s="69">
        <f t="shared" ref="D23:AR23" si="1">SUM(D4:D22)</f>
        <v>2</v>
      </c>
      <c r="E23" s="69">
        <f t="shared" si="1"/>
        <v>0</v>
      </c>
      <c r="F23" s="69">
        <f t="shared" si="1"/>
        <v>1</v>
      </c>
      <c r="G23" s="69">
        <f t="shared" si="1"/>
        <v>1</v>
      </c>
      <c r="H23" s="69">
        <f t="shared" si="1"/>
        <v>0</v>
      </c>
      <c r="I23" s="69">
        <f t="shared" si="1"/>
        <v>0</v>
      </c>
      <c r="J23" s="69">
        <f t="shared" si="1"/>
        <v>0</v>
      </c>
      <c r="K23" s="69">
        <f t="shared" si="1"/>
        <v>3</v>
      </c>
      <c r="L23" s="69">
        <f t="shared" si="1"/>
        <v>0</v>
      </c>
      <c r="M23" s="69">
        <f t="shared" si="1"/>
        <v>0</v>
      </c>
      <c r="N23" s="69">
        <f t="shared" si="1"/>
        <v>1</v>
      </c>
      <c r="O23" s="69">
        <f t="shared" si="1"/>
        <v>0</v>
      </c>
      <c r="P23" s="69">
        <f t="shared" si="1"/>
        <v>0</v>
      </c>
      <c r="Q23" s="69">
        <f t="shared" si="1"/>
        <v>1</v>
      </c>
      <c r="R23" s="69">
        <f t="shared" si="1"/>
        <v>15</v>
      </c>
      <c r="S23" s="69">
        <f t="shared" si="1"/>
        <v>17</v>
      </c>
      <c r="T23" s="69">
        <f t="shared" si="1"/>
        <v>21</v>
      </c>
      <c r="U23" s="69">
        <f t="shared" si="1"/>
        <v>16</v>
      </c>
      <c r="V23" s="69">
        <f t="shared" si="1"/>
        <v>0</v>
      </c>
      <c r="W23" s="69">
        <f t="shared" si="1"/>
        <v>0</v>
      </c>
      <c r="X23" s="69">
        <f t="shared" si="1"/>
        <v>16</v>
      </c>
      <c r="Y23" s="69">
        <f t="shared" si="1"/>
        <v>14</v>
      </c>
      <c r="Z23" s="69">
        <f t="shared" si="1"/>
        <v>2</v>
      </c>
      <c r="AA23" s="69">
        <f t="shared" si="1"/>
        <v>44</v>
      </c>
      <c r="AB23" s="69">
        <f t="shared" si="1"/>
        <v>28</v>
      </c>
      <c r="AC23" s="69">
        <f t="shared" si="1"/>
        <v>0</v>
      </c>
      <c r="AD23" s="69">
        <f t="shared" si="1"/>
        <v>0</v>
      </c>
      <c r="AE23" s="69">
        <f t="shared" si="1"/>
        <v>16</v>
      </c>
      <c r="AF23" s="69">
        <f t="shared" si="1"/>
        <v>12</v>
      </c>
      <c r="AG23" s="69">
        <f t="shared" si="1"/>
        <v>22</v>
      </c>
      <c r="AH23" s="69">
        <f t="shared" si="1"/>
        <v>16</v>
      </c>
      <c r="AI23" s="69">
        <f t="shared" si="1"/>
        <v>16</v>
      </c>
      <c r="AJ23" s="69">
        <f t="shared" si="1"/>
        <v>0</v>
      </c>
      <c r="AK23" s="69">
        <f t="shared" si="1"/>
        <v>0</v>
      </c>
      <c r="AL23" s="69">
        <f t="shared" si="1"/>
        <v>12</v>
      </c>
      <c r="AM23" s="69">
        <f t="shared" si="1"/>
        <v>24</v>
      </c>
      <c r="AN23" s="69">
        <f t="shared" si="1"/>
        <v>32</v>
      </c>
      <c r="AO23" s="69">
        <f t="shared" si="1"/>
        <v>37</v>
      </c>
      <c r="AP23" s="69">
        <f t="shared" si="1"/>
        <v>40</v>
      </c>
      <c r="AQ23" s="69">
        <f t="shared" si="1"/>
        <v>0</v>
      </c>
      <c r="AR23" s="69">
        <f t="shared" si="1"/>
        <v>0</v>
      </c>
    </row>
    <row r="25" spans="1:44" x14ac:dyDescent="0.2">
      <c r="A25" s="70" t="s">
        <v>80</v>
      </c>
      <c r="B25" s="71" t="s">
        <v>188</v>
      </c>
      <c r="C25" s="161" t="s">
        <v>83</v>
      </c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3"/>
      <c r="S25" s="164" t="s">
        <v>84</v>
      </c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</row>
    <row r="26" spans="1:44" x14ac:dyDescent="0.2">
      <c r="A26" s="70"/>
      <c r="B26" s="67"/>
      <c r="C26" s="62">
        <v>42506</v>
      </c>
      <c r="D26" s="62">
        <v>42507</v>
      </c>
      <c r="E26" s="62">
        <v>42508</v>
      </c>
      <c r="F26" s="62">
        <v>42509</v>
      </c>
      <c r="G26" s="62">
        <v>42510</v>
      </c>
      <c r="H26" s="64">
        <v>42511</v>
      </c>
      <c r="I26" s="64">
        <v>42512</v>
      </c>
      <c r="J26" s="62">
        <v>42513</v>
      </c>
      <c r="K26" s="62">
        <v>42514</v>
      </c>
      <c r="L26" s="62">
        <v>42515</v>
      </c>
      <c r="M26" s="62">
        <v>42516</v>
      </c>
      <c r="N26" s="62">
        <v>42517</v>
      </c>
      <c r="O26" s="64">
        <v>42518</v>
      </c>
      <c r="P26" s="64">
        <v>42519</v>
      </c>
      <c r="Q26" s="64">
        <v>42520</v>
      </c>
      <c r="R26" s="62">
        <v>42521</v>
      </c>
      <c r="S26" s="62">
        <v>42522</v>
      </c>
      <c r="T26" s="62">
        <v>42523</v>
      </c>
      <c r="U26" s="62">
        <v>42524</v>
      </c>
      <c r="V26" s="64">
        <v>42525</v>
      </c>
      <c r="W26" s="64">
        <v>42526</v>
      </c>
      <c r="X26" s="62">
        <v>42527</v>
      </c>
      <c r="Y26" s="62">
        <v>42528</v>
      </c>
      <c r="Z26" s="62">
        <v>42529</v>
      </c>
      <c r="AA26" s="62">
        <v>42530</v>
      </c>
      <c r="AB26" s="62">
        <v>42531</v>
      </c>
      <c r="AC26" s="64">
        <v>42532</v>
      </c>
      <c r="AD26" s="64">
        <v>42533</v>
      </c>
      <c r="AE26" s="62">
        <v>42534</v>
      </c>
      <c r="AF26" s="62">
        <v>42535</v>
      </c>
      <c r="AG26" s="62">
        <v>42536</v>
      </c>
      <c r="AH26" s="62">
        <v>42537</v>
      </c>
      <c r="AI26" s="62">
        <v>42538</v>
      </c>
    </row>
    <row r="27" spans="1:44" x14ac:dyDescent="0.2">
      <c r="A27" s="52" t="s">
        <v>22</v>
      </c>
      <c r="B27" s="68">
        <f>SUM(C27:AB27)</f>
        <v>6</v>
      </c>
      <c r="C27" s="63"/>
      <c r="D27" s="63">
        <v>2</v>
      </c>
      <c r="E27" s="63"/>
      <c r="F27" s="63"/>
      <c r="G27" s="63"/>
      <c r="H27" s="65"/>
      <c r="I27" s="65"/>
      <c r="J27" s="63"/>
      <c r="K27" s="63">
        <v>1</v>
      </c>
      <c r="L27" s="63"/>
      <c r="M27" s="63"/>
      <c r="N27" s="63"/>
      <c r="O27" s="65"/>
      <c r="P27" s="65"/>
      <c r="Q27" s="65"/>
      <c r="R27" s="63"/>
      <c r="S27" s="63"/>
      <c r="T27" s="63"/>
      <c r="U27" s="63"/>
      <c r="V27" s="65"/>
      <c r="W27" s="65"/>
      <c r="X27" s="63"/>
      <c r="Y27" s="63"/>
      <c r="Z27" s="63"/>
      <c r="AA27" s="63"/>
      <c r="AB27" s="63">
        <v>3</v>
      </c>
      <c r="AC27" s="65"/>
      <c r="AD27" s="65"/>
      <c r="AE27" s="63"/>
      <c r="AF27" s="63"/>
      <c r="AG27" s="63"/>
      <c r="AH27" s="63"/>
      <c r="AI27" s="63"/>
    </row>
    <row r="28" spans="1:44" x14ac:dyDescent="0.2">
      <c r="A28" s="59" t="s">
        <v>23</v>
      </c>
      <c r="B28" s="68">
        <f t="shared" ref="B28:B46" si="2">SUM(C28:AB28)</f>
        <v>4</v>
      </c>
      <c r="C28" s="63"/>
      <c r="D28" s="63">
        <v>1</v>
      </c>
      <c r="E28" s="63"/>
      <c r="F28" s="63">
        <v>1</v>
      </c>
      <c r="G28" s="63"/>
      <c r="H28" s="65"/>
      <c r="I28" s="65"/>
      <c r="J28" s="63"/>
      <c r="K28" s="63"/>
      <c r="L28" s="63"/>
      <c r="M28" s="63">
        <v>1</v>
      </c>
      <c r="N28" s="63"/>
      <c r="O28" s="65"/>
      <c r="P28" s="65"/>
      <c r="Q28" s="65"/>
      <c r="R28" s="63">
        <v>1</v>
      </c>
      <c r="S28" s="63"/>
      <c r="T28" s="63"/>
      <c r="U28" s="63"/>
      <c r="V28" s="65"/>
      <c r="W28" s="65"/>
      <c r="X28" s="63"/>
      <c r="Y28" s="63"/>
      <c r="Z28" s="63"/>
      <c r="AA28" s="63"/>
      <c r="AB28" s="63"/>
      <c r="AC28" s="65"/>
      <c r="AD28" s="65"/>
      <c r="AE28" s="63"/>
      <c r="AF28" s="63"/>
      <c r="AG28" s="63"/>
      <c r="AH28" s="63"/>
      <c r="AI28" s="63"/>
    </row>
    <row r="29" spans="1:44" x14ac:dyDescent="0.2">
      <c r="A29" s="52" t="s">
        <v>24</v>
      </c>
      <c r="B29" s="68">
        <f t="shared" si="2"/>
        <v>1</v>
      </c>
      <c r="C29" s="63"/>
      <c r="D29" s="63"/>
      <c r="E29" s="63"/>
      <c r="F29" s="63"/>
      <c r="G29" s="63"/>
      <c r="H29" s="65"/>
      <c r="I29" s="65"/>
      <c r="J29" s="63"/>
      <c r="K29" s="63"/>
      <c r="L29" s="63"/>
      <c r="M29" s="63">
        <v>1</v>
      </c>
      <c r="N29" s="63"/>
      <c r="O29" s="65"/>
      <c r="P29" s="65"/>
      <c r="Q29" s="65"/>
      <c r="R29" s="63"/>
      <c r="S29" s="63"/>
      <c r="T29" s="63"/>
      <c r="U29" s="63"/>
      <c r="V29" s="65"/>
      <c r="W29" s="65"/>
      <c r="X29" s="63"/>
      <c r="Y29" s="63"/>
      <c r="Z29" s="63"/>
      <c r="AA29" s="63"/>
      <c r="AB29" s="63"/>
      <c r="AC29" s="65"/>
      <c r="AD29" s="65"/>
      <c r="AE29" s="63"/>
      <c r="AF29" s="63"/>
      <c r="AG29" s="63"/>
      <c r="AH29" s="63"/>
      <c r="AI29" s="63"/>
    </row>
    <row r="30" spans="1:44" x14ac:dyDescent="0.2">
      <c r="A30" s="59" t="s">
        <v>25</v>
      </c>
      <c r="B30" s="68">
        <f t="shared" si="2"/>
        <v>18</v>
      </c>
      <c r="C30" s="63">
        <v>2</v>
      </c>
      <c r="D30" s="63">
        <v>1</v>
      </c>
      <c r="E30" s="63">
        <v>2</v>
      </c>
      <c r="F30" s="63">
        <v>2</v>
      </c>
      <c r="G30" s="63"/>
      <c r="H30" s="65"/>
      <c r="I30" s="65"/>
      <c r="J30" s="63"/>
      <c r="K30" s="63"/>
      <c r="L30" s="63"/>
      <c r="M30" s="63">
        <v>2</v>
      </c>
      <c r="N30" s="63"/>
      <c r="O30" s="65"/>
      <c r="P30" s="65"/>
      <c r="Q30" s="65"/>
      <c r="R30" s="63"/>
      <c r="S30" s="63">
        <v>2</v>
      </c>
      <c r="T30" s="63">
        <v>2</v>
      </c>
      <c r="U30" s="63">
        <v>1</v>
      </c>
      <c r="V30" s="65"/>
      <c r="W30" s="65"/>
      <c r="X30" s="63">
        <v>4</v>
      </c>
      <c r="Y30" s="63"/>
      <c r="Z30" s="63"/>
      <c r="AA30" s="63"/>
      <c r="AB30" s="63"/>
      <c r="AC30" s="65"/>
      <c r="AD30" s="65"/>
      <c r="AE30" s="63"/>
      <c r="AF30" s="63"/>
      <c r="AG30" s="63"/>
      <c r="AH30" s="63"/>
      <c r="AI30" s="63"/>
    </row>
    <row r="31" spans="1:44" x14ac:dyDescent="0.2">
      <c r="A31" s="52" t="s">
        <v>26</v>
      </c>
      <c r="B31" s="68">
        <f t="shared" si="2"/>
        <v>47.5</v>
      </c>
      <c r="C31" s="63">
        <v>2</v>
      </c>
      <c r="D31" s="63">
        <v>1</v>
      </c>
      <c r="E31" s="63">
        <v>8</v>
      </c>
      <c r="F31" s="63">
        <v>2</v>
      </c>
      <c r="G31" s="63">
        <v>3</v>
      </c>
      <c r="H31" s="65"/>
      <c r="I31" s="65"/>
      <c r="J31" s="63">
        <v>2</v>
      </c>
      <c r="K31" s="63">
        <v>2</v>
      </c>
      <c r="L31" s="66">
        <v>2.5</v>
      </c>
      <c r="M31" s="63">
        <v>2</v>
      </c>
      <c r="N31" s="63">
        <v>3</v>
      </c>
      <c r="O31" s="65"/>
      <c r="P31" s="65"/>
      <c r="Q31" s="65"/>
      <c r="R31" s="63">
        <v>2</v>
      </c>
      <c r="S31" s="63">
        <v>2</v>
      </c>
      <c r="T31" s="63">
        <v>2</v>
      </c>
      <c r="U31" s="63">
        <v>8</v>
      </c>
      <c r="V31" s="65"/>
      <c r="W31" s="65"/>
      <c r="X31" s="63">
        <v>4</v>
      </c>
      <c r="Y31" s="63"/>
      <c r="Z31" s="63">
        <v>1</v>
      </c>
      <c r="AA31" s="63">
        <v>1</v>
      </c>
      <c r="AB31" s="63"/>
      <c r="AC31" s="65"/>
      <c r="AD31" s="65"/>
      <c r="AE31" s="63"/>
      <c r="AF31" s="63"/>
      <c r="AG31" s="63"/>
      <c r="AH31" s="63"/>
      <c r="AI31" s="63"/>
    </row>
    <row r="32" spans="1:44" x14ac:dyDescent="0.2">
      <c r="A32" s="52" t="s">
        <v>27</v>
      </c>
      <c r="B32" s="68">
        <f t="shared" si="2"/>
        <v>16</v>
      </c>
      <c r="C32" s="63">
        <v>8</v>
      </c>
      <c r="D32" s="63">
        <v>8</v>
      </c>
      <c r="E32" s="63"/>
      <c r="F32" s="63"/>
      <c r="G32" s="63"/>
      <c r="H32" s="65"/>
      <c r="I32" s="65"/>
      <c r="J32" s="63"/>
      <c r="K32" s="63"/>
      <c r="L32" s="63"/>
      <c r="M32" s="63"/>
      <c r="N32" s="63"/>
      <c r="O32" s="65"/>
      <c r="P32" s="65"/>
      <c r="Q32" s="65"/>
      <c r="R32" s="63"/>
      <c r="S32" s="63"/>
      <c r="T32" s="63"/>
      <c r="U32" s="63"/>
      <c r="V32" s="65"/>
      <c r="W32" s="65"/>
      <c r="X32" s="63"/>
      <c r="Y32" s="63"/>
      <c r="Z32" s="63"/>
      <c r="AA32" s="63"/>
      <c r="AB32" s="63"/>
      <c r="AC32" s="65"/>
      <c r="AD32" s="65"/>
      <c r="AE32" s="63"/>
      <c r="AF32" s="63"/>
      <c r="AG32" s="63"/>
      <c r="AH32" s="63"/>
      <c r="AI32" s="63"/>
    </row>
    <row r="33" spans="1:35" x14ac:dyDescent="0.2">
      <c r="A33" s="52" t="s">
        <v>70</v>
      </c>
      <c r="B33" s="68">
        <f t="shared" si="2"/>
        <v>8</v>
      </c>
      <c r="C33" s="63"/>
      <c r="D33" s="63"/>
      <c r="E33" s="63"/>
      <c r="F33" s="63"/>
      <c r="G33" s="63">
        <v>8</v>
      </c>
      <c r="H33" s="65"/>
      <c r="I33" s="65"/>
      <c r="J33" s="63"/>
      <c r="K33" s="63"/>
      <c r="L33" s="63"/>
      <c r="M33" s="63"/>
      <c r="N33" s="63"/>
      <c r="O33" s="65"/>
      <c r="P33" s="65"/>
      <c r="Q33" s="65"/>
      <c r="R33" s="63"/>
      <c r="S33" s="63"/>
      <c r="T33" s="63"/>
      <c r="U33" s="63"/>
      <c r="V33" s="65"/>
      <c r="W33" s="65"/>
      <c r="X33" s="63"/>
      <c r="Y33" s="63"/>
      <c r="Z33" s="63"/>
      <c r="AA33" s="63"/>
      <c r="AB33" s="63"/>
      <c r="AC33" s="65"/>
      <c r="AD33" s="65"/>
      <c r="AE33" s="63"/>
      <c r="AF33" s="63"/>
      <c r="AG33" s="63"/>
      <c r="AH33" s="63"/>
      <c r="AI33" s="63"/>
    </row>
    <row r="34" spans="1:35" x14ac:dyDescent="0.2">
      <c r="A34" s="52" t="s">
        <v>28</v>
      </c>
      <c r="B34" s="68">
        <f t="shared" si="2"/>
        <v>108</v>
      </c>
      <c r="C34" s="63">
        <v>8</v>
      </c>
      <c r="D34" s="63">
        <v>8</v>
      </c>
      <c r="E34" s="63">
        <v>8</v>
      </c>
      <c r="F34" s="63">
        <v>8</v>
      </c>
      <c r="G34" s="63">
        <v>8</v>
      </c>
      <c r="H34" s="65"/>
      <c r="I34" s="65"/>
      <c r="J34" s="63">
        <v>8</v>
      </c>
      <c r="K34" s="63"/>
      <c r="L34" s="63">
        <v>8</v>
      </c>
      <c r="M34" s="63">
        <v>8</v>
      </c>
      <c r="N34" s="63">
        <v>8</v>
      </c>
      <c r="O34" s="65"/>
      <c r="P34" s="65"/>
      <c r="Q34" s="65"/>
      <c r="R34" s="63">
        <v>8</v>
      </c>
      <c r="S34" s="63">
        <v>8</v>
      </c>
      <c r="T34" s="63">
        <v>8</v>
      </c>
      <c r="U34" s="63">
        <v>8</v>
      </c>
      <c r="V34" s="65"/>
      <c r="W34" s="65"/>
      <c r="X34" s="63">
        <v>4</v>
      </c>
      <c r="Y34" s="63"/>
      <c r="Z34" s="63"/>
      <c r="AA34" s="63"/>
      <c r="AB34" s="63"/>
      <c r="AC34" s="65"/>
      <c r="AD34" s="65"/>
      <c r="AE34" s="63"/>
      <c r="AF34" s="63"/>
      <c r="AG34" s="63"/>
      <c r="AH34" s="63"/>
      <c r="AI34" s="63"/>
    </row>
    <row r="35" spans="1:35" x14ac:dyDescent="0.2">
      <c r="A35" s="52" t="s">
        <v>29</v>
      </c>
      <c r="B35" s="68">
        <f t="shared" si="2"/>
        <v>40</v>
      </c>
      <c r="C35" s="63">
        <v>8</v>
      </c>
      <c r="D35" s="63">
        <v>8</v>
      </c>
      <c r="E35" s="63">
        <v>8</v>
      </c>
      <c r="F35" s="63">
        <v>8</v>
      </c>
      <c r="G35" s="63">
        <v>8</v>
      </c>
      <c r="H35" s="65"/>
      <c r="I35" s="65"/>
      <c r="J35" s="63"/>
      <c r="K35" s="63"/>
      <c r="L35" s="63"/>
      <c r="M35" s="63"/>
      <c r="N35" s="63"/>
      <c r="O35" s="65"/>
      <c r="P35" s="65"/>
      <c r="Q35" s="65"/>
      <c r="R35" s="63"/>
      <c r="S35" s="63"/>
      <c r="T35" s="63"/>
      <c r="U35" s="63"/>
      <c r="V35" s="65"/>
      <c r="W35" s="65"/>
      <c r="X35" s="63"/>
      <c r="Y35" s="63"/>
      <c r="Z35" s="63"/>
      <c r="AA35" s="63"/>
      <c r="AB35" s="63"/>
      <c r="AC35" s="65"/>
      <c r="AD35" s="65"/>
      <c r="AE35" s="63"/>
      <c r="AF35" s="63"/>
      <c r="AG35" s="63"/>
      <c r="AH35" s="63"/>
      <c r="AI35" s="63"/>
    </row>
    <row r="36" spans="1:35" x14ac:dyDescent="0.2">
      <c r="A36" s="52" t="s">
        <v>30</v>
      </c>
      <c r="B36" s="68">
        <f t="shared" si="2"/>
        <v>72</v>
      </c>
      <c r="C36" s="63">
        <v>8</v>
      </c>
      <c r="D36" s="63">
        <v>8</v>
      </c>
      <c r="E36" s="63">
        <v>8</v>
      </c>
      <c r="F36" s="63">
        <v>8</v>
      </c>
      <c r="G36" s="63"/>
      <c r="H36" s="65"/>
      <c r="I36" s="65"/>
      <c r="J36" s="63">
        <v>8</v>
      </c>
      <c r="K36" s="63">
        <v>8</v>
      </c>
      <c r="L36" s="63">
        <v>8</v>
      </c>
      <c r="M36" s="63"/>
      <c r="N36" s="63"/>
      <c r="O36" s="65"/>
      <c r="P36" s="65"/>
      <c r="Q36" s="65"/>
      <c r="R36" s="63">
        <v>8</v>
      </c>
      <c r="S36" s="63">
        <v>8</v>
      </c>
      <c r="T36" s="63"/>
      <c r="U36" s="63"/>
      <c r="V36" s="65"/>
      <c r="W36" s="65"/>
      <c r="X36" s="63"/>
      <c r="Y36" s="63"/>
      <c r="Z36" s="63"/>
      <c r="AA36" s="63"/>
      <c r="AB36" s="63"/>
      <c r="AC36" s="65"/>
      <c r="AD36" s="65"/>
      <c r="AE36" s="63"/>
      <c r="AF36" s="63"/>
      <c r="AG36" s="63"/>
      <c r="AH36" s="63"/>
      <c r="AI36" s="63"/>
    </row>
    <row r="37" spans="1:35" x14ac:dyDescent="0.2">
      <c r="A37" s="52" t="s">
        <v>31</v>
      </c>
      <c r="B37" s="68">
        <f t="shared" si="2"/>
        <v>112</v>
      </c>
      <c r="C37" s="63">
        <v>8</v>
      </c>
      <c r="D37" s="63">
        <v>8</v>
      </c>
      <c r="E37" s="63">
        <v>8</v>
      </c>
      <c r="F37" s="63">
        <v>8</v>
      </c>
      <c r="G37" s="63">
        <v>8</v>
      </c>
      <c r="H37" s="65"/>
      <c r="I37" s="65"/>
      <c r="J37" s="63">
        <v>8</v>
      </c>
      <c r="K37" s="63">
        <v>8</v>
      </c>
      <c r="L37" s="63">
        <v>8</v>
      </c>
      <c r="M37" s="63">
        <v>8</v>
      </c>
      <c r="N37" s="63">
        <v>8</v>
      </c>
      <c r="O37" s="65"/>
      <c r="P37" s="65"/>
      <c r="Q37" s="65"/>
      <c r="R37" s="63">
        <v>8</v>
      </c>
      <c r="S37" s="63">
        <v>8</v>
      </c>
      <c r="T37" s="63">
        <v>8</v>
      </c>
      <c r="U37" s="63">
        <v>8</v>
      </c>
      <c r="V37" s="65"/>
      <c r="W37" s="65"/>
      <c r="X37" s="63"/>
      <c r="Y37" s="63"/>
      <c r="Z37" s="63"/>
      <c r="AA37" s="63"/>
      <c r="AB37" s="63"/>
      <c r="AC37" s="65"/>
      <c r="AD37" s="65"/>
      <c r="AE37" s="63"/>
      <c r="AF37" s="63"/>
      <c r="AG37" s="63"/>
      <c r="AH37" s="63"/>
      <c r="AI37" s="63"/>
    </row>
    <row r="38" spans="1:35" x14ac:dyDescent="0.2">
      <c r="A38" s="52" t="s">
        <v>32</v>
      </c>
      <c r="B38" s="68">
        <f t="shared" si="2"/>
        <v>16</v>
      </c>
      <c r="C38" s="63"/>
      <c r="D38" s="63"/>
      <c r="E38" s="63">
        <v>8</v>
      </c>
      <c r="F38" s="63"/>
      <c r="G38" s="63">
        <v>8</v>
      </c>
      <c r="H38" s="65"/>
      <c r="I38" s="65"/>
      <c r="J38" s="63"/>
      <c r="K38" s="63"/>
      <c r="L38" s="63"/>
      <c r="M38" s="63"/>
      <c r="N38" s="63"/>
      <c r="O38" s="65"/>
      <c r="P38" s="65"/>
      <c r="Q38" s="65"/>
      <c r="R38" s="63"/>
      <c r="S38" s="63"/>
      <c r="T38" s="63"/>
      <c r="U38" s="63"/>
      <c r="V38" s="65"/>
      <c r="W38" s="65"/>
      <c r="X38" s="63"/>
      <c r="Y38" s="63"/>
      <c r="Z38" s="63"/>
      <c r="AA38" s="63"/>
      <c r="AB38" s="63"/>
      <c r="AC38" s="65"/>
      <c r="AD38" s="65"/>
      <c r="AE38" s="63"/>
      <c r="AF38" s="63"/>
      <c r="AG38" s="63"/>
      <c r="AH38" s="63"/>
      <c r="AI38" s="63"/>
    </row>
    <row r="39" spans="1:35" x14ac:dyDescent="0.2">
      <c r="A39" s="52" t="s">
        <v>33</v>
      </c>
      <c r="B39" s="68">
        <f t="shared" si="2"/>
        <v>0</v>
      </c>
      <c r="C39" s="63"/>
      <c r="D39" s="63"/>
      <c r="E39" s="63"/>
      <c r="F39" s="63"/>
      <c r="G39" s="63"/>
      <c r="H39" s="65"/>
      <c r="I39" s="65"/>
      <c r="J39" s="63"/>
      <c r="K39" s="63"/>
      <c r="L39" s="63"/>
      <c r="M39" s="63"/>
      <c r="N39" s="63"/>
      <c r="O39" s="65"/>
      <c r="P39" s="65"/>
      <c r="Q39" s="65"/>
      <c r="R39" s="63"/>
      <c r="S39" s="63"/>
      <c r="T39" s="63"/>
      <c r="U39" s="63"/>
      <c r="V39" s="65"/>
      <c r="W39" s="65"/>
      <c r="X39" s="63"/>
      <c r="Y39" s="63"/>
      <c r="Z39" s="63"/>
      <c r="AA39" s="63"/>
      <c r="AB39" s="63"/>
      <c r="AC39" s="65"/>
      <c r="AD39" s="65"/>
      <c r="AE39" s="63"/>
      <c r="AF39" s="63"/>
      <c r="AG39" s="63"/>
      <c r="AH39" s="63"/>
      <c r="AI39" s="63"/>
    </row>
    <row r="40" spans="1:35" x14ac:dyDescent="0.2">
      <c r="A40" s="52" t="s">
        <v>34</v>
      </c>
      <c r="B40" s="68">
        <f t="shared" si="2"/>
        <v>8</v>
      </c>
      <c r="C40" s="63"/>
      <c r="D40" s="63"/>
      <c r="E40" s="63"/>
      <c r="F40" s="63"/>
      <c r="G40" s="63">
        <v>8</v>
      </c>
      <c r="H40" s="65"/>
      <c r="I40" s="65"/>
      <c r="J40" s="63"/>
      <c r="K40" s="63"/>
      <c r="L40" s="63"/>
      <c r="M40" s="63"/>
      <c r="N40" s="63"/>
      <c r="O40" s="65"/>
      <c r="P40" s="65"/>
      <c r="Q40" s="65"/>
      <c r="R40" s="63"/>
      <c r="S40" s="63"/>
      <c r="T40" s="63"/>
      <c r="U40" s="63"/>
      <c r="V40" s="65"/>
      <c r="W40" s="65"/>
      <c r="X40" s="63"/>
      <c r="Y40" s="63"/>
      <c r="Z40" s="63"/>
      <c r="AA40" s="63"/>
      <c r="AB40" s="63"/>
      <c r="AC40" s="65"/>
      <c r="AD40" s="65"/>
      <c r="AE40" s="63"/>
      <c r="AF40" s="63"/>
      <c r="AG40" s="63"/>
      <c r="AH40" s="63"/>
      <c r="AI40" s="63"/>
    </row>
    <row r="41" spans="1:35" x14ac:dyDescent="0.2">
      <c r="A41" s="52" t="s">
        <v>35</v>
      </c>
      <c r="B41" s="68">
        <f t="shared" si="2"/>
        <v>12</v>
      </c>
      <c r="C41" s="63">
        <v>2</v>
      </c>
      <c r="D41" s="63"/>
      <c r="E41" s="63">
        <v>2</v>
      </c>
      <c r="F41" s="63"/>
      <c r="G41" s="63">
        <v>8</v>
      </c>
      <c r="H41" s="65"/>
      <c r="I41" s="65"/>
      <c r="J41" s="63"/>
      <c r="K41" s="63"/>
      <c r="L41" s="63"/>
      <c r="M41" s="63"/>
      <c r="N41" s="63"/>
      <c r="O41" s="65"/>
      <c r="P41" s="65"/>
      <c r="Q41" s="65"/>
      <c r="R41" s="63"/>
      <c r="S41" s="63"/>
      <c r="T41" s="63"/>
      <c r="U41" s="63"/>
      <c r="V41" s="65"/>
      <c r="W41" s="65"/>
      <c r="X41" s="63"/>
      <c r="Y41" s="63"/>
      <c r="Z41" s="63"/>
      <c r="AA41" s="63"/>
      <c r="AB41" s="63"/>
      <c r="AC41" s="65"/>
      <c r="AD41" s="65"/>
      <c r="AE41" s="63"/>
      <c r="AF41" s="63"/>
      <c r="AG41" s="63"/>
      <c r="AH41" s="63"/>
      <c r="AI41" s="63"/>
    </row>
    <row r="42" spans="1:35" x14ac:dyDescent="0.2">
      <c r="A42" s="52" t="s">
        <v>36</v>
      </c>
      <c r="B42" s="68">
        <f t="shared" si="2"/>
        <v>24</v>
      </c>
      <c r="C42" s="63">
        <v>8</v>
      </c>
      <c r="D42" s="63"/>
      <c r="E42" s="63"/>
      <c r="F42" s="63"/>
      <c r="G42" s="63">
        <v>8</v>
      </c>
      <c r="H42" s="65"/>
      <c r="I42" s="65"/>
      <c r="J42" s="63">
        <v>8</v>
      </c>
      <c r="K42" s="63"/>
      <c r="L42" s="63"/>
      <c r="M42" s="63"/>
      <c r="N42" s="63"/>
      <c r="O42" s="65"/>
      <c r="P42" s="65"/>
      <c r="Q42" s="65"/>
      <c r="R42" s="63"/>
      <c r="S42" s="63"/>
      <c r="T42" s="63"/>
      <c r="U42" s="63"/>
      <c r="V42" s="65"/>
      <c r="W42" s="65"/>
      <c r="X42" s="63"/>
      <c r="Y42" s="63"/>
      <c r="Z42" s="63"/>
      <c r="AA42" s="63"/>
      <c r="AB42" s="63"/>
      <c r="AC42" s="65"/>
      <c r="AD42" s="65"/>
      <c r="AE42" s="63"/>
      <c r="AF42" s="63"/>
      <c r="AG42" s="63"/>
      <c r="AH42" s="63"/>
      <c r="AI42" s="63"/>
    </row>
    <row r="43" spans="1:35" x14ac:dyDescent="0.2">
      <c r="A43" s="52" t="s">
        <v>37</v>
      </c>
      <c r="B43" s="68">
        <f t="shared" si="2"/>
        <v>70</v>
      </c>
      <c r="C43" s="63">
        <v>2</v>
      </c>
      <c r="D43" s="63"/>
      <c r="E43" s="63">
        <v>2</v>
      </c>
      <c r="F43" s="63">
        <v>2</v>
      </c>
      <c r="G43" s="63">
        <v>8</v>
      </c>
      <c r="H43" s="65"/>
      <c r="I43" s="65"/>
      <c r="J43" s="63"/>
      <c r="K43" s="63">
        <v>8</v>
      </c>
      <c r="L43" s="63">
        <v>8</v>
      </c>
      <c r="M43" s="63">
        <v>8</v>
      </c>
      <c r="N43" s="63"/>
      <c r="O43" s="65"/>
      <c r="P43" s="65"/>
      <c r="Q43" s="65"/>
      <c r="R43" s="63">
        <v>8</v>
      </c>
      <c r="S43" s="63">
        <v>8</v>
      </c>
      <c r="T43" s="63">
        <v>8</v>
      </c>
      <c r="U43" s="63"/>
      <c r="V43" s="65"/>
      <c r="W43" s="65"/>
      <c r="X43" s="63"/>
      <c r="Y43" s="63"/>
      <c r="Z43" s="63">
        <v>4</v>
      </c>
      <c r="AA43" s="63">
        <v>4</v>
      </c>
      <c r="AB43" s="63"/>
      <c r="AC43" s="65"/>
      <c r="AD43" s="65"/>
      <c r="AE43" s="63"/>
      <c r="AF43" s="63"/>
      <c r="AG43" s="63"/>
      <c r="AH43" s="63"/>
      <c r="AI43" s="63"/>
    </row>
    <row r="44" spans="1:35" x14ac:dyDescent="0.2">
      <c r="A44" s="52" t="s">
        <v>71</v>
      </c>
      <c r="B44" s="68">
        <f t="shared" si="2"/>
        <v>16</v>
      </c>
      <c r="C44" s="63"/>
      <c r="D44" s="63"/>
      <c r="E44" s="63"/>
      <c r="F44" s="63"/>
      <c r="G44" s="63">
        <v>8</v>
      </c>
      <c r="H44" s="65"/>
      <c r="I44" s="65"/>
      <c r="J44" s="63">
        <v>8</v>
      </c>
      <c r="K44" s="63"/>
      <c r="L44" s="63"/>
      <c r="M44" s="63"/>
      <c r="N44" s="63"/>
      <c r="O44" s="65"/>
      <c r="P44" s="65"/>
      <c r="Q44" s="65"/>
      <c r="R44" s="63"/>
      <c r="S44" s="63"/>
      <c r="T44" s="63"/>
      <c r="U44" s="63"/>
      <c r="V44" s="65"/>
      <c r="W44" s="65"/>
      <c r="X44" s="63"/>
      <c r="Y44" s="63"/>
      <c r="Z44" s="63"/>
      <c r="AA44" s="63"/>
      <c r="AB44" s="63"/>
      <c r="AC44" s="65"/>
      <c r="AD44" s="65"/>
      <c r="AE44" s="63"/>
      <c r="AF44" s="63"/>
      <c r="AG44" s="63"/>
      <c r="AH44" s="63"/>
      <c r="AI44" s="63"/>
    </row>
    <row r="45" spans="1:35" x14ac:dyDescent="0.2">
      <c r="A45" s="52" t="s">
        <v>72</v>
      </c>
      <c r="B45" s="68">
        <f t="shared" si="2"/>
        <v>64</v>
      </c>
      <c r="C45" s="63"/>
      <c r="D45" s="63"/>
      <c r="E45" s="63"/>
      <c r="F45" s="63"/>
      <c r="G45" s="63"/>
      <c r="H45" s="65"/>
      <c r="I45" s="65"/>
      <c r="J45" s="63">
        <v>8</v>
      </c>
      <c r="K45" s="63"/>
      <c r="L45" s="63">
        <v>8</v>
      </c>
      <c r="M45" s="63">
        <v>8</v>
      </c>
      <c r="N45" s="63">
        <v>8</v>
      </c>
      <c r="O45" s="65"/>
      <c r="P45" s="65"/>
      <c r="Q45" s="65"/>
      <c r="R45" s="63">
        <v>8</v>
      </c>
      <c r="S45" s="63">
        <v>8</v>
      </c>
      <c r="T45" s="63">
        <v>8</v>
      </c>
      <c r="U45" s="63">
        <v>8</v>
      </c>
      <c r="V45" s="65"/>
      <c r="W45" s="65"/>
      <c r="X45" s="63"/>
      <c r="Y45" s="63"/>
      <c r="Z45" s="63"/>
      <c r="AA45" s="63"/>
      <c r="AB45" s="63"/>
      <c r="AC45" s="65"/>
      <c r="AD45" s="65"/>
      <c r="AE45" s="63"/>
      <c r="AF45" s="63"/>
      <c r="AG45" s="63"/>
      <c r="AH45" s="63"/>
      <c r="AI45" s="63"/>
    </row>
    <row r="46" spans="1:35" x14ac:dyDescent="0.2">
      <c r="A46" s="52"/>
      <c r="B46" s="68">
        <f t="shared" si="2"/>
        <v>642.5</v>
      </c>
      <c r="C46" s="69">
        <f t="shared" ref="C46:Y46" si="3">SUM(C27:C45)</f>
        <v>56</v>
      </c>
      <c r="D46" s="69">
        <f t="shared" si="3"/>
        <v>45</v>
      </c>
      <c r="E46" s="69">
        <f t="shared" si="3"/>
        <v>54</v>
      </c>
      <c r="F46" s="69">
        <f t="shared" si="3"/>
        <v>39</v>
      </c>
      <c r="G46" s="69">
        <f t="shared" si="3"/>
        <v>83</v>
      </c>
      <c r="H46" s="69">
        <f t="shared" si="3"/>
        <v>0</v>
      </c>
      <c r="I46" s="69">
        <f t="shared" si="3"/>
        <v>0</v>
      </c>
      <c r="J46" s="69">
        <f t="shared" si="3"/>
        <v>50</v>
      </c>
      <c r="K46" s="69">
        <f t="shared" si="3"/>
        <v>27</v>
      </c>
      <c r="L46" s="69">
        <f t="shared" si="3"/>
        <v>42.5</v>
      </c>
      <c r="M46" s="69">
        <f t="shared" si="3"/>
        <v>38</v>
      </c>
      <c r="N46" s="69">
        <f t="shared" si="3"/>
        <v>27</v>
      </c>
      <c r="O46" s="69">
        <f t="shared" si="3"/>
        <v>0</v>
      </c>
      <c r="P46" s="69">
        <f t="shared" si="3"/>
        <v>0</v>
      </c>
      <c r="Q46" s="69">
        <f t="shared" si="3"/>
        <v>0</v>
      </c>
      <c r="R46" s="69">
        <f t="shared" si="3"/>
        <v>43</v>
      </c>
      <c r="S46" s="69">
        <f t="shared" si="3"/>
        <v>44</v>
      </c>
      <c r="T46" s="69">
        <f t="shared" si="3"/>
        <v>36</v>
      </c>
      <c r="U46" s="69">
        <f t="shared" si="3"/>
        <v>33</v>
      </c>
      <c r="V46" s="69">
        <f t="shared" si="3"/>
        <v>0</v>
      </c>
      <c r="W46" s="69">
        <f t="shared" si="3"/>
        <v>0</v>
      </c>
      <c r="X46" s="69">
        <f t="shared" si="3"/>
        <v>12</v>
      </c>
      <c r="Y46" s="69">
        <f t="shared" si="3"/>
        <v>0</v>
      </c>
      <c r="Z46" s="69">
        <f t="shared" ref="Z46:AB46" si="4">SUM(Z27:Z45)</f>
        <v>5</v>
      </c>
      <c r="AA46" s="69">
        <f t="shared" si="4"/>
        <v>5</v>
      </c>
      <c r="AB46" s="69">
        <f t="shared" si="4"/>
        <v>3</v>
      </c>
      <c r="AC46" s="69">
        <f>SUM(AC27:AC45)</f>
        <v>0</v>
      </c>
      <c r="AD46" s="69">
        <f>SUM(AD27:AD45)</f>
        <v>0</v>
      </c>
      <c r="AE46" s="69">
        <f>SUM(AE27:AE45)</f>
        <v>0</v>
      </c>
      <c r="AF46" s="69">
        <f>SUM(AF27:AF45)</f>
        <v>0</v>
      </c>
      <c r="AG46" s="69">
        <f t="shared" ref="AG46:AI46" si="5">SUM(AG27:AG45)</f>
        <v>0</v>
      </c>
      <c r="AH46" s="69">
        <f t="shared" si="5"/>
        <v>0</v>
      </c>
      <c r="AI46" s="69">
        <f t="shared" si="5"/>
        <v>0</v>
      </c>
    </row>
  </sheetData>
  <mergeCells count="4">
    <mergeCell ref="C2:AC2"/>
    <mergeCell ref="C25:R25"/>
    <mergeCell ref="AD2:AR2"/>
    <mergeCell ref="S25:AI25"/>
  </mergeCells>
  <pageMargins left="0.75" right="0.75" top="1" bottom="1" header="0.5" footer="0.5"/>
  <pageSetup scale="65" orientation="landscape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2"/>
  <sheetViews>
    <sheetView topLeftCell="A13" workbookViewId="0">
      <selection activeCell="Q28" sqref="Q28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134</v>
      </c>
      <c r="D1" s="176"/>
      <c r="E1" s="176"/>
      <c r="F1" s="174" t="s">
        <v>133</v>
      </c>
      <c r="G1" s="176"/>
      <c r="H1" s="176"/>
      <c r="I1" s="165" t="s">
        <v>132</v>
      </c>
      <c r="J1" s="166"/>
      <c r="K1" s="166"/>
      <c r="L1" s="179" t="s">
        <v>131</v>
      </c>
      <c r="M1" s="179"/>
      <c r="N1" s="179"/>
      <c r="O1" s="179"/>
      <c r="P1" s="179"/>
      <c r="Q1" s="179"/>
      <c r="R1" s="175" t="s">
        <v>130</v>
      </c>
      <c r="S1" s="175"/>
      <c r="T1" s="175"/>
      <c r="U1" s="109"/>
      <c r="V1" s="112"/>
    </row>
    <row r="2" spans="1:25" ht="24" customHeight="1" thickBot="1" x14ac:dyDescent="0.25">
      <c r="A2" s="103"/>
      <c r="B2" s="110" t="s">
        <v>129</v>
      </c>
      <c r="C2" s="175" t="s">
        <v>128</v>
      </c>
      <c r="D2" s="175"/>
      <c r="E2" s="175"/>
      <c r="F2" s="174" t="s">
        <v>127</v>
      </c>
      <c r="G2" s="176"/>
      <c r="H2" s="176"/>
      <c r="I2" s="167"/>
      <c r="J2" s="167"/>
      <c r="K2" s="167"/>
      <c r="L2" s="174" t="s">
        <v>126</v>
      </c>
      <c r="M2" s="175"/>
      <c r="N2" s="175"/>
      <c r="O2" s="174" t="s">
        <v>125</v>
      </c>
      <c r="P2" s="174"/>
      <c r="Q2" s="174"/>
      <c r="R2" s="175" t="s">
        <v>124</v>
      </c>
      <c r="S2" s="175"/>
      <c r="T2" s="175"/>
      <c r="U2" s="109"/>
      <c r="V2" s="112"/>
    </row>
    <row r="3" spans="1:25" ht="24" customHeight="1" x14ac:dyDescent="0.2">
      <c r="A3" s="103"/>
      <c r="B3" s="110" t="s">
        <v>123</v>
      </c>
      <c r="C3" s="174" t="s">
        <v>122</v>
      </c>
      <c r="D3" s="174"/>
      <c r="E3" s="174"/>
      <c r="F3" s="174" t="s">
        <v>121</v>
      </c>
      <c r="G3" s="176"/>
      <c r="H3" s="176"/>
      <c r="I3" s="168" t="s">
        <v>120</v>
      </c>
      <c r="J3" s="169"/>
      <c r="K3" s="170"/>
      <c r="L3" s="174" t="s">
        <v>119</v>
      </c>
      <c r="M3" s="175"/>
      <c r="N3" s="175"/>
      <c r="O3" s="174" t="s">
        <v>118</v>
      </c>
      <c r="P3" s="174"/>
      <c r="Q3" s="174"/>
      <c r="R3" s="175" t="s">
        <v>117</v>
      </c>
      <c r="S3" s="175"/>
      <c r="T3" s="175"/>
      <c r="U3" s="109"/>
      <c r="V3" s="111"/>
    </row>
    <row r="4" spans="1:25" ht="24" customHeight="1" thickBot="1" x14ac:dyDescent="0.25">
      <c r="A4" s="103"/>
      <c r="B4" s="110" t="s">
        <v>116</v>
      </c>
      <c r="C4" s="174" t="s">
        <v>115</v>
      </c>
      <c r="D4" s="176"/>
      <c r="E4" s="176"/>
      <c r="F4" s="174" t="s">
        <v>114</v>
      </c>
      <c r="G4" s="176"/>
      <c r="H4" s="176"/>
      <c r="I4" s="171" t="s">
        <v>113</v>
      </c>
      <c r="J4" s="172"/>
      <c r="K4" s="173"/>
      <c r="L4" s="174" t="s">
        <v>112</v>
      </c>
      <c r="M4" s="175"/>
      <c r="N4" s="175"/>
      <c r="O4" s="178" t="s">
        <v>111</v>
      </c>
      <c r="P4" s="178"/>
      <c r="Q4" s="178"/>
      <c r="R4" s="177" t="s">
        <v>161</v>
      </c>
      <c r="S4" s="177"/>
      <c r="T4" s="177"/>
      <c r="U4" s="109"/>
      <c r="V4" s="89"/>
    </row>
    <row r="5" spans="1:25" ht="24" customHeight="1" thickBot="1" x14ac:dyDescent="0.25">
      <c r="A5" s="180"/>
      <c r="B5" s="181" t="s">
        <v>97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42474</v>
      </c>
      <c r="D6" s="107"/>
      <c r="E6" s="107"/>
      <c r="F6" s="107">
        <f>C6+1</f>
        <v>42475</v>
      </c>
      <c r="G6" s="107"/>
      <c r="H6" s="107"/>
      <c r="I6" s="107">
        <f>F6+3</f>
        <v>42478</v>
      </c>
      <c r="J6" s="107"/>
      <c r="K6" s="107"/>
      <c r="L6" s="107">
        <f>I6+1</f>
        <v>42479</v>
      </c>
      <c r="M6" s="107"/>
      <c r="N6" s="107"/>
      <c r="O6" s="107">
        <f>L6+1</f>
        <v>42480</v>
      </c>
      <c r="P6" s="107"/>
      <c r="Q6" s="107"/>
      <c r="R6" s="107">
        <f>F6+1</f>
        <v>42476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/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97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4"/>
      <c r="V8" s="94"/>
      <c r="W8" s="98"/>
    </row>
    <row r="9" spans="1:25" ht="24" customHeight="1" x14ac:dyDescent="0.2">
      <c r="A9" s="103"/>
      <c r="B9" s="97" t="s">
        <v>110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1"/>
      <c r="V9" s="100"/>
      <c r="W9" s="98"/>
    </row>
    <row r="10" spans="1:25" ht="24" customHeight="1" x14ac:dyDescent="0.2">
      <c r="A10" s="91"/>
      <c r="B10" s="81" t="s">
        <v>108</v>
      </c>
      <c r="C10" s="79">
        <v>2023</v>
      </c>
      <c r="D10" s="80">
        <v>140</v>
      </c>
      <c r="E10" s="79">
        <v>3</v>
      </c>
      <c r="F10" s="79">
        <v>2023</v>
      </c>
      <c r="G10" s="80">
        <v>120</v>
      </c>
      <c r="H10" s="79">
        <v>8</v>
      </c>
      <c r="I10" s="79">
        <v>2027</v>
      </c>
      <c r="J10" s="80">
        <v>110</v>
      </c>
      <c r="K10" s="79">
        <v>2</v>
      </c>
      <c r="L10" s="79">
        <v>2023</v>
      </c>
      <c r="M10" s="80">
        <v>120</v>
      </c>
      <c r="N10" s="79">
        <v>5</v>
      </c>
      <c r="O10" s="79">
        <v>2023</v>
      </c>
      <c r="P10" s="80">
        <v>120</v>
      </c>
      <c r="Q10" s="79">
        <v>5</v>
      </c>
      <c r="R10" s="79"/>
      <c r="S10" s="80"/>
      <c r="T10" s="79"/>
      <c r="U10" s="75">
        <f t="shared" ref="U10:U34" si="0">SUM(B10,E10,H10,K10,N10,Q10,T10)</f>
        <v>23</v>
      </c>
      <c r="V10" s="94"/>
      <c r="W10" s="98"/>
      <c r="X10" s="184"/>
      <c r="Y10" s="185"/>
    </row>
    <row r="11" spans="1:25" ht="24" customHeight="1" x14ac:dyDescent="0.2">
      <c r="A11" s="91"/>
      <c r="B11" s="81"/>
      <c r="C11" s="79">
        <v>2027</v>
      </c>
      <c r="D11" s="80">
        <v>110</v>
      </c>
      <c r="E11" s="79">
        <v>5</v>
      </c>
      <c r="F11" s="79"/>
      <c r="G11" s="80"/>
      <c r="H11" s="79"/>
      <c r="I11" s="79">
        <v>2023</v>
      </c>
      <c r="J11" s="80">
        <v>111</v>
      </c>
      <c r="K11" s="79">
        <v>5</v>
      </c>
      <c r="L11" s="79">
        <v>2023</v>
      </c>
      <c r="M11" s="80">
        <v>151</v>
      </c>
      <c r="N11" s="79">
        <f>'hour breakdown'!R7</f>
        <v>3</v>
      </c>
      <c r="O11" s="79">
        <v>2023</v>
      </c>
      <c r="P11" s="80">
        <v>151</v>
      </c>
      <c r="Q11" s="79">
        <f>'hour breakdown'!S7</f>
        <v>3</v>
      </c>
      <c r="R11" s="90"/>
      <c r="S11" s="80"/>
      <c r="T11" s="79"/>
      <c r="U11" s="75">
        <f t="shared" si="0"/>
        <v>16</v>
      </c>
      <c r="V11" s="94"/>
      <c r="W11" s="98"/>
      <c r="X11" s="184"/>
      <c r="Y11" s="185"/>
    </row>
    <row r="12" spans="1:25" ht="24" customHeight="1" x14ac:dyDescent="0.2">
      <c r="A12" s="91"/>
      <c r="B12" s="91"/>
      <c r="C12" s="79"/>
      <c r="D12" s="80"/>
      <c r="E12" s="79"/>
      <c r="F12" s="79"/>
      <c r="G12" s="80"/>
      <c r="H12" s="79"/>
      <c r="I12" s="79">
        <v>2023</v>
      </c>
      <c r="J12" s="80">
        <v>151</v>
      </c>
      <c r="K12" s="79">
        <f>'hour breakdown'!Q7</f>
        <v>1</v>
      </c>
      <c r="L12" s="79"/>
      <c r="M12" s="80"/>
      <c r="N12" s="79"/>
      <c r="O12" s="79"/>
      <c r="P12" s="80"/>
      <c r="Q12" s="79"/>
      <c r="R12" s="79"/>
      <c r="S12" s="80"/>
      <c r="T12" s="79"/>
      <c r="U12" s="75">
        <f t="shared" si="0"/>
        <v>1</v>
      </c>
      <c r="V12" s="94"/>
      <c r="W12" s="98"/>
      <c r="X12" s="184"/>
      <c r="Y12" s="185"/>
    </row>
    <row r="13" spans="1:25" ht="24" customHeight="1" x14ac:dyDescent="0.2">
      <c r="A13" s="91"/>
      <c r="B13" s="81" t="s">
        <v>109</v>
      </c>
      <c r="C13" s="79">
        <v>2023</v>
      </c>
      <c r="D13" s="80">
        <v>111</v>
      </c>
      <c r="E13" s="79">
        <v>8</v>
      </c>
      <c r="F13" s="79">
        <v>2023</v>
      </c>
      <c r="G13" s="80">
        <v>111</v>
      </c>
      <c r="H13" s="79">
        <v>8</v>
      </c>
      <c r="I13" s="79">
        <v>2023</v>
      </c>
      <c r="J13" s="80">
        <v>111</v>
      </c>
      <c r="K13" s="79">
        <v>8</v>
      </c>
      <c r="L13" s="86" t="s">
        <v>85</v>
      </c>
      <c r="M13" s="80"/>
      <c r="N13" s="79"/>
      <c r="O13" s="79">
        <v>2023</v>
      </c>
      <c r="P13" s="80">
        <v>120</v>
      </c>
      <c r="Q13" s="79">
        <v>8</v>
      </c>
      <c r="R13" s="79"/>
      <c r="S13" s="80"/>
      <c r="T13" s="79"/>
      <c r="U13" s="75">
        <f t="shared" si="0"/>
        <v>32</v>
      </c>
      <c r="V13" s="94"/>
      <c r="W13" s="98"/>
      <c r="X13" s="184"/>
      <c r="Y13" s="185"/>
    </row>
    <row r="14" spans="1:25" ht="24" customHeight="1" x14ac:dyDescent="0.2">
      <c r="A14" s="91"/>
      <c r="B14" s="81"/>
      <c r="C14" s="79"/>
      <c r="D14" s="80"/>
      <c r="E14" s="79"/>
      <c r="F14" s="79"/>
      <c r="G14" s="80"/>
      <c r="H14" s="79"/>
      <c r="I14" s="79"/>
      <c r="J14" s="80"/>
      <c r="K14" s="79"/>
      <c r="L14" s="79"/>
      <c r="M14" s="80"/>
      <c r="N14" s="79"/>
      <c r="O14" s="79"/>
      <c r="P14" s="80"/>
      <c r="Q14" s="79"/>
      <c r="R14" s="79"/>
      <c r="S14" s="80"/>
      <c r="T14" s="79"/>
      <c r="U14" s="75">
        <f t="shared" si="0"/>
        <v>0</v>
      </c>
      <c r="V14" s="94"/>
      <c r="W14" s="98"/>
      <c r="X14" s="184"/>
      <c r="Y14" s="185"/>
    </row>
    <row r="15" spans="1:25" ht="24" customHeight="1" x14ac:dyDescent="0.2">
      <c r="A15" s="91"/>
      <c r="B15" s="91" t="s">
        <v>107</v>
      </c>
      <c r="C15" s="86" t="s">
        <v>85</v>
      </c>
      <c r="D15" s="87"/>
      <c r="E15" s="86"/>
      <c r="F15" s="86" t="s">
        <v>85</v>
      </c>
      <c r="G15" s="80"/>
      <c r="H15" s="79"/>
      <c r="I15" s="79">
        <v>2023</v>
      </c>
      <c r="J15" s="80">
        <v>141</v>
      </c>
      <c r="K15" s="79">
        <v>8</v>
      </c>
      <c r="L15" s="79">
        <v>2023</v>
      </c>
      <c r="M15" s="80">
        <v>141</v>
      </c>
      <c r="N15" s="79">
        <v>8</v>
      </c>
      <c r="O15" s="79">
        <v>2023</v>
      </c>
      <c r="P15" s="80">
        <v>141</v>
      </c>
      <c r="Q15" s="79">
        <v>8</v>
      </c>
      <c r="R15" s="79"/>
      <c r="S15" s="80"/>
      <c r="T15" s="79"/>
      <c r="U15" s="75">
        <f t="shared" si="0"/>
        <v>24</v>
      </c>
      <c r="V15" s="94"/>
      <c r="W15" s="98"/>
      <c r="X15" s="184"/>
      <c r="Y15" s="185"/>
    </row>
    <row r="16" spans="1:25" ht="24" customHeight="1" x14ac:dyDescent="0.2">
      <c r="A16" s="91"/>
      <c r="B16" s="81"/>
      <c r="C16" s="79"/>
      <c r="D16" s="80"/>
      <c r="E16" s="79"/>
      <c r="F16" s="86"/>
      <c r="G16" s="80"/>
      <c r="H16" s="79"/>
      <c r="I16" s="79"/>
      <c r="J16" s="80"/>
      <c r="K16" s="79"/>
      <c r="L16" s="79"/>
      <c r="M16" s="80"/>
      <c r="N16" s="79"/>
      <c r="O16" s="79"/>
      <c r="P16" s="80"/>
      <c r="Q16" s="79"/>
      <c r="R16" s="79"/>
      <c r="S16" s="80"/>
      <c r="T16" s="79"/>
      <c r="U16" s="75">
        <f t="shared" si="0"/>
        <v>0</v>
      </c>
      <c r="V16" s="94"/>
      <c r="W16" s="98"/>
      <c r="X16" s="184"/>
      <c r="Y16" s="185"/>
    </row>
    <row r="17" spans="1:25" ht="24" customHeight="1" x14ac:dyDescent="0.2">
      <c r="A17" s="91"/>
      <c r="B17" s="81" t="s">
        <v>106</v>
      </c>
      <c r="C17" s="79">
        <v>2023</v>
      </c>
      <c r="D17" s="80">
        <v>120</v>
      </c>
      <c r="E17" s="79">
        <v>8</v>
      </c>
      <c r="F17" s="86" t="s">
        <v>85</v>
      </c>
      <c r="G17" s="80"/>
      <c r="H17" s="79"/>
      <c r="I17" s="79">
        <v>2023</v>
      </c>
      <c r="J17" s="80">
        <v>120</v>
      </c>
      <c r="K17" s="79">
        <v>8</v>
      </c>
      <c r="L17" s="79">
        <v>2023</v>
      </c>
      <c r="M17" s="80">
        <v>120</v>
      </c>
      <c r="N17" s="79">
        <v>8</v>
      </c>
      <c r="O17" s="79">
        <v>2023</v>
      </c>
      <c r="P17" s="80">
        <v>120</v>
      </c>
      <c r="Q17" s="79">
        <v>8</v>
      </c>
      <c r="R17" s="79"/>
      <c r="S17" s="80"/>
      <c r="T17" s="79"/>
      <c r="U17" s="75">
        <f t="shared" si="0"/>
        <v>32</v>
      </c>
      <c r="V17" s="94"/>
      <c r="W17" s="98"/>
      <c r="X17" s="184"/>
      <c r="Y17" s="185"/>
    </row>
    <row r="18" spans="1:25" ht="24" customHeight="1" x14ac:dyDescent="0.2">
      <c r="A18" s="91"/>
      <c r="B18" s="91"/>
      <c r="C18" s="79"/>
      <c r="D18" s="80"/>
      <c r="E18" s="79"/>
      <c r="F18" s="86"/>
      <c r="G18" s="80"/>
      <c r="H18" s="79"/>
      <c r="I18" s="79"/>
      <c r="J18" s="80"/>
      <c r="K18" s="79"/>
      <c r="L18" s="79"/>
      <c r="M18" s="80"/>
      <c r="N18" s="79"/>
      <c r="O18" s="79"/>
      <c r="P18" s="80"/>
      <c r="Q18" s="79"/>
      <c r="R18" s="79"/>
      <c r="S18" s="80"/>
      <c r="T18" s="79"/>
      <c r="U18" s="75">
        <f t="shared" si="0"/>
        <v>0</v>
      </c>
      <c r="V18" s="94"/>
      <c r="W18" s="98"/>
      <c r="X18" s="184"/>
      <c r="Y18" s="185"/>
    </row>
    <row r="19" spans="1:25" ht="24" customHeight="1" x14ac:dyDescent="0.2">
      <c r="A19" s="91"/>
      <c r="B19" s="91" t="s">
        <v>105</v>
      </c>
      <c r="C19" s="79">
        <v>2023</v>
      </c>
      <c r="D19" s="80">
        <v>140</v>
      </c>
      <c r="E19" s="79">
        <v>8</v>
      </c>
      <c r="F19" s="86" t="s">
        <v>85</v>
      </c>
      <c r="G19" s="80"/>
      <c r="H19" s="79"/>
      <c r="I19" s="79">
        <v>2023</v>
      </c>
      <c r="J19" s="80">
        <v>120</v>
      </c>
      <c r="K19" s="79">
        <v>8</v>
      </c>
      <c r="L19" s="79">
        <v>2023</v>
      </c>
      <c r="M19" s="80">
        <v>120</v>
      </c>
      <c r="N19" s="79">
        <v>8</v>
      </c>
      <c r="O19" s="79">
        <v>2023</v>
      </c>
      <c r="P19" s="80">
        <v>140</v>
      </c>
      <c r="Q19" s="79">
        <v>8</v>
      </c>
      <c r="R19" s="90"/>
      <c r="S19" s="80"/>
      <c r="T19" s="79"/>
      <c r="U19" s="75">
        <f t="shared" si="0"/>
        <v>32</v>
      </c>
      <c r="V19" s="94"/>
      <c r="W19" s="98"/>
      <c r="X19" s="184"/>
      <c r="Y19" s="185"/>
    </row>
    <row r="20" spans="1:25" ht="24" customHeight="1" x14ac:dyDescent="0.2">
      <c r="A20" s="92"/>
      <c r="B20" s="99"/>
      <c r="C20" s="79"/>
      <c r="D20" s="80"/>
      <c r="E20" s="79"/>
      <c r="F20" s="86"/>
      <c r="G20" s="80"/>
      <c r="H20" s="79"/>
      <c r="I20" s="79"/>
      <c r="J20" s="80"/>
      <c r="K20" s="79"/>
      <c r="L20" s="79"/>
      <c r="M20" s="80"/>
      <c r="N20" s="79"/>
      <c r="O20" s="79"/>
      <c r="P20" s="80"/>
      <c r="Q20" s="79"/>
      <c r="R20" s="79"/>
      <c r="S20" s="80"/>
      <c r="T20" s="79"/>
      <c r="U20" s="75">
        <f t="shared" si="0"/>
        <v>0</v>
      </c>
      <c r="V20" s="94"/>
      <c r="W20" s="98"/>
      <c r="X20" s="184"/>
      <c r="Y20" s="185"/>
    </row>
    <row r="21" spans="1:25" ht="24" customHeight="1" x14ac:dyDescent="0.2">
      <c r="A21" s="91"/>
      <c r="B21" s="91" t="s">
        <v>104</v>
      </c>
      <c r="C21" s="79">
        <v>2023</v>
      </c>
      <c r="D21" s="80">
        <v>120</v>
      </c>
      <c r="E21" s="79">
        <v>8</v>
      </c>
      <c r="F21" s="86" t="s">
        <v>85</v>
      </c>
      <c r="G21" s="80"/>
      <c r="H21" s="79"/>
      <c r="I21" s="86" t="s">
        <v>85</v>
      </c>
      <c r="J21" s="80"/>
      <c r="K21" s="79"/>
      <c r="L21" s="79">
        <v>2023</v>
      </c>
      <c r="M21" s="80">
        <v>120</v>
      </c>
      <c r="N21" s="79">
        <v>8</v>
      </c>
      <c r="O21" s="79">
        <v>2023</v>
      </c>
      <c r="P21" s="80">
        <v>140</v>
      </c>
      <c r="Q21" s="79">
        <v>8</v>
      </c>
      <c r="R21" s="79"/>
      <c r="S21" s="80"/>
      <c r="T21" s="79"/>
      <c r="U21" s="75">
        <f t="shared" si="0"/>
        <v>24</v>
      </c>
      <c r="V21" s="94"/>
      <c r="W21" s="98"/>
      <c r="X21" s="184"/>
      <c r="Y21" s="185"/>
    </row>
    <row r="22" spans="1:25" ht="24" customHeight="1" x14ac:dyDescent="0.2">
      <c r="A22" s="91"/>
      <c r="B22" s="91"/>
      <c r="C22" s="79"/>
      <c r="D22" s="80"/>
      <c r="E22" s="79"/>
      <c r="F22" s="79"/>
      <c r="G22" s="80"/>
      <c r="H22" s="79"/>
      <c r="I22" s="79"/>
      <c r="J22" s="80"/>
      <c r="K22" s="79"/>
      <c r="L22" s="79"/>
      <c r="M22" s="80"/>
      <c r="N22" s="79"/>
      <c r="O22" s="79"/>
      <c r="P22" s="80"/>
      <c r="Q22" s="79"/>
      <c r="R22" s="79"/>
      <c r="S22" s="80"/>
      <c r="T22" s="79"/>
      <c r="U22" s="75">
        <f t="shared" si="0"/>
        <v>0</v>
      </c>
      <c r="V22" s="89"/>
      <c r="W22" s="98"/>
      <c r="X22" s="184"/>
      <c r="Y22" s="185"/>
    </row>
    <row r="23" spans="1:25" ht="24" customHeight="1" x14ac:dyDescent="0.2">
      <c r="A23" s="91"/>
      <c r="B23" s="81" t="s">
        <v>103</v>
      </c>
      <c r="C23" s="86" t="s">
        <v>85</v>
      </c>
      <c r="D23" s="80"/>
      <c r="E23" s="79"/>
      <c r="F23" s="79">
        <v>2023</v>
      </c>
      <c r="G23" s="80">
        <v>120</v>
      </c>
      <c r="H23" s="79">
        <v>8</v>
      </c>
      <c r="I23" s="86" t="s">
        <v>85</v>
      </c>
      <c r="J23" s="87"/>
      <c r="K23" s="86"/>
      <c r="L23" s="86" t="s">
        <v>85</v>
      </c>
      <c r="M23" s="87"/>
      <c r="N23" s="79"/>
      <c r="O23" s="79">
        <v>2023</v>
      </c>
      <c r="P23" s="80">
        <v>120</v>
      </c>
      <c r="Q23" s="79">
        <v>8</v>
      </c>
      <c r="R23" s="79"/>
      <c r="S23" s="80"/>
      <c r="T23" s="79"/>
      <c r="U23" s="75">
        <f t="shared" si="0"/>
        <v>16</v>
      </c>
      <c r="V23" s="89"/>
      <c r="W23" s="98"/>
      <c r="X23" s="184"/>
      <c r="Y23" s="185"/>
    </row>
    <row r="24" spans="1:25" ht="24" customHeight="1" x14ac:dyDescent="0.2">
      <c r="A24" s="91"/>
      <c r="B24" s="91"/>
      <c r="C24" s="86" t="s">
        <v>102</v>
      </c>
      <c r="D24" s="80"/>
      <c r="E24" s="79"/>
      <c r="F24" s="79"/>
      <c r="G24" s="80"/>
      <c r="H24" s="79"/>
      <c r="I24" s="79"/>
      <c r="J24" s="80"/>
      <c r="K24" s="79"/>
      <c r="L24" s="79"/>
      <c r="M24" s="80"/>
      <c r="N24" s="79"/>
      <c r="O24" s="79"/>
      <c r="P24" s="80"/>
      <c r="Q24" s="79"/>
      <c r="R24" s="79"/>
      <c r="S24" s="80"/>
      <c r="T24" s="79"/>
      <c r="U24" s="75">
        <f t="shared" si="0"/>
        <v>0</v>
      </c>
      <c r="V24" s="94"/>
      <c r="W24" s="98"/>
      <c r="X24" s="184"/>
      <c r="Y24" s="185"/>
    </row>
    <row r="25" spans="1:25" ht="24" customHeight="1" x14ac:dyDescent="0.2">
      <c r="A25" s="91"/>
      <c r="B25" s="81" t="s">
        <v>101</v>
      </c>
      <c r="C25" s="79">
        <v>2023</v>
      </c>
      <c r="D25" s="80">
        <v>141</v>
      </c>
      <c r="E25" s="79">
        <v>8</v>
      </c>
      <c r="F25" s="79">
        <v>2023</v>
      </c>
      <c r="G25" s="80">
        <v>141</v>
      </c>
      <c r="H25" s="79">
        <v>8</v>
      </c>
      <c r="I25" s="79">
        <v>2023</v>
      </c>
      <c r="J25" s="80">
        <v>141</v>
      </c>
      <c r="K25" s="79">
        <v>4</v>
      </c>
      <c r="L25" s="79">
        <v>2023</v>
      </c>
      <c r="M25" s="80">
        <v>141</v>
      </c>
      <c r="N25" s="79">
        <v>2.5</v>
      </c>
      <c r="O25" s="79">
        <v>2023</v>
      </c>
      <c r="P25" s="80">
        <v>141</v>
      </c>
      <c r="Q25" s="79">
        <v>8</v>
      </c>
      <c r="R25" s="79"/>
      <c r="S25" s="80"/>
      <c r="T25" s="79"/>
      <c r="U25" s="75">
        <f t="shared" si="0"/>
        <v>30.5</v>
      </c>
      <c r="V25" s="94"/>
    </row>
    <row r="26" spans="1:25" ht="24" customHeight="1" x14ac:dyDescent="0.2">
      <c r="A26" s="91"/>
      <c r="B26" s="91"/>
      <c r="C26" s="79"/>
      <c r="D26" s="80"/>
      <c r="E26" s="79"/>
      <c r="F26" s="79"/>
      <c r="G26" s="80"/>
      <c r="H26" s="79"/>
      <c r="I26" s="79">
        <v>2019</v>
      </c>
      <c r="J26" s="80">
        <v>120</v>
      </c>
      <c r="K26" s="79">
        <v>4</v>
      </c>
      <c r="L26" s="86"/>
      <c r="M26" s="87" t="s">
        <v>100</v>
      </c>
      <c r="N26" s="86"/>
      <c r="O26" s="79"/>
      <c r="P26" s="80"/>
      <c r="Q26" s="79"/>
      <c r="R26" s="79"/>
      <c r="S26" s="80"/>
      <c r="T26" s="79"/>
      <c r="U26" s="75">
        <f t="shared" si="0"/>
        <v>4</v>
      </c>
      <c r="V26" s="94"/>
    </row>
    <row r="27" spans="1:25" ht="24" customHeight="1" x14ac:dyDescent="0.2">
      <c r="A27" s="91"/>
      <c r="B27" s="91" t="s">
        <v>99</v>
      </c>
      <c r="C27" s="79">
        <v>2023</v>
      </c>
      <c r="D27" s="80">
        <v>120</v>
      </c>
      <c r="E27" s="79">
        <v>8</v>
      </c>
      <c r="F27" s="79">
        <v>2023</v>
      </c>
      <c r="G27" s="80">
        <v>120</v>
      </c>
      <c r="H27" s="79">
        <v>8</v>
      </c>
      <c r="I27" s="79">
        <v>2023</v>
      </c>
      <c r="J27" s="80">
        <v>120</v>
      </c>
      <c r="K27" s="79">
        <v>8</v>
      </c>
      <c r="L27" s="79">
        <v>2023</v>
      </c>
      <c r="M27" s="80">
        <v>120</v>
      </c>
      <c r="N27" s="79">
        <v>8</v>
      </c>
      <c r="O27" s="79">
        <v>2023</v>
      </c>
      <c r="P27" s="80">
        <v>120</v>
      </c>
      <c r="Q27" s="79">
        <v>4</v>
      </c>
      <c r="R27" s="79"/>
      <c r="S27" s="80"/>
      <c r="T27" s="79"/>
      <c r="U27" s="75">
        <f t="shared" si="0"/>
        <v>36</v>
      </c>
      <c r="V27" s="94"/>
    </row>
    <row r="28" spans="1:25" ht="24" customHeight="1" x14ac:dyDescent="0.2">
      <c r="A28" s="91"/>
      <c r="B28" s="91"/>
      <c r="C28" s="79"/>
      <c r="D28" s="80"/>
      <c r="E28" s="79"/>
      <c r="F28" s="79"/>
      <c r="G28" s="80"/>
      <c r="H28" s="79"/>
      <c r="I28" s="79"/>
      <c r="J28" s="80"/>
      <c r="K28" s="79"/>
      <c r="L28" s="79"/>
      <c r="M28" s="80"/>
      <c r="N28" s="79"/>
      <c r="O28" s="79">
        <v>2023</v>
      </c>
      <c r="P28" s="80">
        <v>151</v>
      </c>
      <c r="Q28" s="79">
        <v>4</v>
      </c>
      <c r="R28" s="79"/>
      <c r="S28" s="80"/>
      <c r="T28" s="79"/>
      <c r="U28" s="75">
        <f t="shared" si="0"/>
        <v>4</v>
      </c>
      <c r="V28" s="94"/>
    </row>
    <row r="29" spans="1:25" ht="24" customHeight="1" x14ac:dyDescent="0.2">
      <c r="A29" s="91"/>
      <c r="B29" s="81" t="s">
        <v>98</v>
      </c>
      <c r="C29" s="79">
        <v>2023</v>
      </c>
      <c r="D29" s="80">
        <v>120</v>
      </c>
      <c r="E29" s="79">
        <v>8</v>
      </c>
      <c r="F29" s="79">
        <v>2023</v>
      </c>
      <c r="G29" s="80">
        <v>120</v>
      </c>
      <c r="H29" s="79">
        <v>8</v>
      </c>
      <c r="I29" s="79">
        <v>2023</v>
      </c>
      <c r="J29" s="80">
        <v>120</v>
      </c>
      <c r="K29" s="79">
        <v>8</v>
      </c>
      <c r="L29" s="79">
        <v>2023</v>
      </c>
      <c r="M29" s="80">
        <v>111</v>
      </c>
      <c r="N29" s="79">
        <v>8</v>
      </c>
      <c r="O29" s="79">
        <v>2023</v>
      </c>
      <c r="P29" s="80">
        <v>120</v>
      </c>
      <c r="Q29" s="79">
        <v>8</v>
      </c>
      <c r="R29" s="88"/>
      <c r="S29" s="80"/>
      <c r="T29" s="79"/>
      <c r="U29" s="75">
        <f t="shared" si="0"/>
        <v>40</v>
      </c>
      <c r="V29" s="94"/>
    </row>
    <row r="30" spans="1:25" ht="24" customHeight="1" x14ac:dyDescent="0.2">
      <c r="A30" s="91"/>
      <c r="C30" s="79"/>
      <c r="D30" s="80"/>
      <c r="E30" s="79"/>
      <c r="F30" s="79"/>
      <c r="G30" s="80"/>
      <c r="H30" s="79"/>
      <c r="I30" s="79"/>
      <c r="J30" s="80"/>
      <c r="K30" s="79"/>
      <c r="L30" s="79"/>
      <c r="M30" s="80"/>
      <c r="N30" s="79"/>
      <c r="O30" s="79"/>
      <c r="P30" s="80"/>
      <c r="Q30" s="79"/>
      <c r="R30" s="79"/>
      <c r="S30" s="80"/>
      <c r="T30" s="79"/>
      <c r="U30" s="75">
        <f t="shared" si="0"/>
        <v>0</v>
      </c>
      <c r="V30" s="94"/>
    </row>
    <row r="31" spans="1:25" ht="24" customHeight="1" x14ac:dyDescent="0.2">
      <c r="A31" s="91"/>
      <c r="B31" s="81" t="s">
        <v>90</v>
      </c>
      <c r="C31" s="79">
        <v>2023</v>
      </c>
      <c r="D31" s="80">
        <v>120</v>
      </c>
      <c r="E31" s="79">
        <v>8</v>
      </c>
      <c r="F31" s="79">
        <v>2023</v>
      </c>
      <c r="G31" s="80">
        <v>120</v>
      </c>
      <c r="H31" s="79">
        <v>8</v>
      </c>
      <c r="I31" s="79">
        <v>2023</v>
      </c>
      <c r="J31" s="80">
        <v>120</v>
      </c>
      <c r="K31" s="79">
        <v>4</v>
      </c>
      <c r="L31" s="79">
        <v>2023</v>
      </c>
      <c r="M31" s="80">
        <v>151</v>
      </c>
      <c r="N31" s="79">
        <v>8</v>
      </c>
      <c r="O31" s="79">
        <v>2023</v>
      </c>
      <c r="P31" s="80">
        <v>151</v>
      </c>
      <c r="Q31" s="79">
        <v>8</v>
      </c>
      <c r="R31" s="79"/>
      <c r="S31" s="84"/>
      <c r="T31" s="83"/>
      <c r="U31" s="75">
        <f t="shared" si="0"/>
        <v>36</v>
      </c>
      <c r="V31" s="94"/>
    </row>
    <row r="32" spans="1:25" ht="24" customHeight="1" x14ac:dyDescent="0.2">
      <c r="A32" s="91"/>
      <c r="B32" s="81"/>
      <c r="C32" s="79"/>
      <c r="D32" s="80"/>
      <c r="E32" s="79"/>
      <c r="F32" s="79"/>
      <c r="G32" s="80"/>
      <c r="H32" s="79"/>
      <c r="I32" s="79">
        <v>2019</v>
      </c>
      <c r="J32" s="80">
        <v>120</v>
      </c>
      <c r="K32" s="79">
        <v>4</v>
      </c>
      <c r="L32" s="79"/>
      <c r="M32" s="80"/>
      <c r="N32" s="79"/>
      <c r="O32" s="79"/>
      <c r="P32" s="80"/>
      <c r="Q32" s="79"/>
      <c r="R32" s="79"/>
      <c r="S32" s="84"/>
      <c r="T32" s="83"/>
      <c r="U32" s="75">
        <f t="shared" si="0"/>
        <v>4</v>
      </c>
      <c r="V32" s="94"/>
    </row>
    <row r="33" spans="1:22" ht="24" customHeight="1" x14ac:dyDescent="0.2">
      <c r="A33" s="91"/>
      <c r="B33" s="81" t="s">
        <v>89</v>
      </c>
      <c r="C33" s="86" t="s">
        <v>85</v>
      </c>
      <c r="D33" s="87"/>
      <c r="E33" s="86"/>
      <c r="F33" s="86" t="s">
        <v>85</v>
      </c>
      <c r="G33" s="80"/>
      <c r="H33" s="79"/>
      <c r="I33" s="79">
        <v>2023</v>
      </c>
      <c r="J33" s="80">
        <v>120</v>
      </c>
      <c r="K33" s="79">
        <v>8</v>
      </c>
      <c r="L33" s="79">
        <v>2023</v>
      </c>
      <c r="M33" s="80">
        <v>120</v>
      </c>
      <c r="N33" s="79">
        <v>8</v>
      </c>
      <c r="O33" s="79">
        <v>2023</v>
      </c>
      <c r="P33" s="80">
        <v>120</v>
      </c>
      <c r="Q33" s="79">
        <v>8</v>
      </c>
      <c r="R33" s="86" t="s">
        <v>88</v>
      </c>
      <c r="S33" s="96" t="s">
        <v>87</v>
      </c>
      <c r="T33" s="83"/>
      <c r="U33" s="75">
        <f t="shared" si="0"/>
        <v>24</v>
      </c>
      <c r="V33" s="89"/>
    </row>
    <row r="34" spans="1:22" ht="24" customHeight="1" x14ac:dyDescent="0.2">
      <c r="A34" s="91"/>
      <c r="B34" s="81"/>
      <c r="C34" s="79"/>
      <c r="D34" s="80"/>
      <c r="E34" s="79"/>
      <c r="F34" s="79"/>
      <c r="G34" s="80"/>
      <c r="H34" s="79"/>
      <c r="I34" s="79"/>
      <c r="J34" s="80"/>
      <c r="K34" s="79"/>
      <c r="L34" s="79"/>
      <c r="M34" s="80"/>
      <c r="N34" s="79"/>
      <c r="O34" s="79"/>
      <c r="P34" s="80"/>
      <c r="Q34" s="79"/>
      <c r="R34" s="79"/>
      <c r="S34" s="84"/>
      <c r="T34" s="83"/>
      <c r="U34" s="75">
        <f t="shared" si="0"/>
        <v>0</v>
      </c>
      <c r="V34" s="94"/>
    </row>
    <row r="35" spans="1:22" ht="24" customHeight="1" x14ac:dyDescent="0.2">
      <c r="A35" s="91"/>
      <c r="B35" s="81" t="s">
        <v>86</v>
      </c>
      <c r="C35" s="79">
        <v>2023</v>
      </c>
      <c r="D35" s="80">
        <v>120</v>
      </c>
      <c r="E35" s="79">
        <v>3</v>
      </c>
      <c r="F35" s="79">
        <v>2023</v>
      </c>
      <c r="G35" s="80">
        <v>120</v>
      </c>
      <c r="H35" s="79">
        <v>8</v>
      </c>
      <c r="I35" s="86" t="s">
        <v>85</v>
      </c>
      <c r="J35" s="80"/>
      <c r="K35" s="79"/>
      <c r="L35" s="79">
        <v>2023</v>
      </c>
      <c r="M35" s="80">
        <v>120</v>
      </c>
      <c r="N35" s="79">
        <v>8</v>
      </c>
      <c r="O35" s="79">
        <v>2023</v>
      </c>
      <c r="P35" s="80">
        <v>120</v>
      </c>
      <c r="Q35" s="79">
        <v>8</v>
      </c>
      <c r="R35" s="79"/>
      <c r="S35" s="84"/>
      <c r="T35" s="83"/>
      <c r="U35" s="75">
        <f t="shared" ref="U35:U50" si="1">SUM(B36,E35,H35,K35,N35,Q35,T35)</f>
        <v>27</v>
      </c>
      <c r="V35" s="94"/>
    </row>
    <row r="36" spans="1:22" ht="24" customHeight="1" x14ac:dyDescent="0.2">
      <c r="A36" s="91"/>
      <c r="B36" s="95"/>
      <c r="C36" s="79">
        <v>2027</v>
      </c>
      <c r="D36" s="80">
        <v>110</v>
      </c>
      <c r="E36" s="79">
        <v>7</v>
      </c>
      <c r="F36" s="79"/>
      <c r="G36" s="80"/>
      <c r="H36" s="79"/>
      <c r="I36" s="79"/>
      <c r="J36" s="80"/>
      <c r="K36" s="79"/>
      <c r="L36" s="79"/>
      <c r="M36" s="80"/>
      <c r="N36" s="79"/>
      <c r="O36" s="79"/>
      <c r="P36" s="80"/>
      <c r="Q36" s="79"/>
      <c r="R36" s="79"/>
      <c r="S36" s="84"/>
      <c r="T36" s="83"/>
      <c r="U36" s="75">
        <f t="shared" si="1"/>
        <v>7</v>
      </c>
      <c r="V36" s="94"/>
    </row>
    <row r="37" spans="1:22" ht="24" customHeight="1" x14ac:dyDescent="0.2">
      <c r="A37" s="91"/>
      <c r="B37" s="91"/>
      <c r="C37" s="79"/>
      <c r="D37" s="80"/>
      <c r="E37" s="79"/>
      <c r="F37" s="79"/>
      <c r="G37" s="80"/>
      <c r="H37" s="86"/>
      <c r="I37" s="79"/>
      <c r="J37" s="80"/>
      <c r="K37" s="79"/>
      <c r="L37" s="79"/>
      <c r="M37" s="80"/>
      <c r="N37" s="79"/>
      <c r="O37" s="79"/>
      <c r="P37" s="80"/>
      <c r="Q37" s="79"/>
      <c r="R37" s="79"/>
      <c r="S37" s="84"/>
      <c r="T37" s="83"/>
      <c r="U37" s="75">
        <f t="shared" si="1"/>
        <v>0</v>
      </c>
      <c r="V37" s="89"/>
    </row>
    <row r="38" spans="1:22" ht="24" customHeight="1" x14ac:dyDescent="0.2">
      <c r="A38" s="91"/>
      <c r="B38" s="91"/>
      <c r="C38" s="79"/>
      <c r="D38" s="80"/>
      <c r="E38" s="79"/>
      <c r="F38" s="86"/>
      <c r="G38" s="87"/>
      <c r="H38" s="86"/>
      <c r="I38" s="79"/>
      <c r="J38" s="80"/>
      <c r="K38" s="79"/>
      <c r="L38" s="79"/>
      <c r="M38" s="80"/>
      <c r="N38" s="79"/>
      <c r="O38" s="79"/>
      <c r="P38" s="80"/>
      <c r="Q38" s="79"/>
      <c r="R38" s="79"/>
      <c r="S38" s="84"/>
      <c r="T38" s="83"/>
      <c r="U38" s="75">
        <f t="shared" si="1"/>
        <v>0</v>
      </c>
      <c r="V38" s="89"/>
    </row>
    <row r="39" spans="1:22" ht="24" customHeight="1" x14ac:dyDescent="0.2">
      <c r="A39" s="91"/>
      <c r="B39" s="81"/>
      <c r="C39" s="79"/>
      <c r="D39" s="80"/>
      <c r="E39" s="79"/>
      <c r="F39" s="79"/>
      <c r="G39" s="80"/>
      <c r="H39" s="79"/>
      <c r="I39" s="79"/>
      <c r="J39" s="80"/>
      <c r="K39" s="79"/>
      <c r="L39" s="86"/>
      <c r="M39" s="87"/>
      <c r="N39" s="79"/>
      <c r="O39" s="79"/>
      <c r="P39" s="80"/>
      <c r="Q39" s="79"/>
      <c r="R39" s="79"/>
      <c r="S39" s="80"/>
      <c r="T39" s="83"/>
      <c r="U39" s="75">
        <f t="shared" si="1"/>
        <v>0</v>
      </c>
      <c r="V39" s="89"/>
    </row>
    <row r="40" spans="1:22" ht="24" customHeight="1" x14ac:dyDescent="0.2">
      <c r="A40" s="91"/>
      <c r="B40" s="91"/>
      <c r="C40" s="79"/>
      <c r="D40" s="80"/>
      <c r="E40" s="79"/>
      <c r="F40" s="79"/>
      <c r="G40" s="80"/>
      <c r="H40" s="79"/>
      <c r="I40" s="79"/>
      <c r="J40" s="80"/>
      <c r="K40" s="79"/>
      <c r="L40" s="86"/>
      <c r="M40" s="87"/>
      <c r="N40" s="79"/>
      <c r="O40" s="79"/>
      <c r="P40" s="80"/>
      <c r="Q40" s="79"/>
      <c r="R40" s="88"/>
      <c r="S40" s="93"/>
      <c r="T40" s="83"/>
      <c r="U40" s="75">
        <f t="shared" si="1"/>
        <v>0</v>
      </c>
      <c r="V40" s="89"/>
    </row>
    <row r="41" spans="1:22" ht="24" customHeight="1" x14ac:dyDescent="0.2">
      <c r="A41" s="91"/>
      <c r="B41" s="81"/>
      <c r="C41" s="79"/>
      <c r="D41" s="80"/>
      <c r="E41" s="79"/>
      <c r="F41" s="79"/>
      <c r="G41" s="80"/>
      <c r="H41" s="79"/>
      <c r="I41" s="79"/>
      <c r="J41" s="80"/>
      <c r="K41" s="79"/>
      <c r="L41" s="79"/>
      <c r="M41" s="80"/>
      <c r="N41" s="79"/>
      <c r="O41" s="79"/>
      <c r="P41" s="80"/>
      <c r="Q41" s="79"/>
      <c r="R41" s="79"/>
      <c r="S41" s="84"/>
      <c r="T41" s="83"/>
      <c r="U41" s="75">
        <f t="shared" si="1"/>
        <v>0</v>
      </c>
      <c r="V41" s="89"/>
    </row>
    <row r="42" spans="1:22" ht="24" customHeight="1" x14ac:dyDescent="0.2">
      <c r="A42" s="91"/>
      <c r="B42" s="91"/>
      <c r="C42" s="79"/>
      <c r="D42" s="80"/>
      <c r="E42" s="79"/>
      <c r="F42" s="79"/>
      <c r="G42" s="80"/>
      <c r="H42" s="79"/>
      <c r="I42" s="79"/>
      <c r="J42" s="80"/>
      <c r="K42" s="79"/>
      <c r="L42" s="79"/>
      <c r="M42" s="80"/>
      <c r="N42" s="79"/>
      <c r="O42" s="79"/>
      <c r="P42" s="80"/>
      <c r="Q42" s="79"/>
      <c r="R42" s="79"/>
      <c r="S42" s="84"/>
      <c r="T42" s="83"/>
      <c r="U42" s="75">
        <f t="shared" si="1"/>
        <v>0</v>
      </c>
      <c r="V42" s="89"/>
    </row>
    <row r="43" spans="1:22" ht="24" customHeight="1" x14ac:dyDescent="0.2">
      <c r="A43" s="92"/>
      <c r="B43" s="81"/>
      <c r="C43" s="79"/>
      <c r="D43" s="80"/>
      <c r="E43" s="79"/>
      <c r="F43" s="79"/>
      <c r="G43" s="80"/>
      <c r="H43" s="79"/>
      <c r="I43" s="79"/>
      <c r="J43" s="80"/>
      <c r="K43" s="79"/>
      <c r="L43" s="79"/>
      <c r="M43" s="80"/>
      <c r="N43" s="79"/>
      <c r="O43" s="79"/>
      <c r="P43" s="80"/>
      <c r="Q43" s="79"/>
      <c r="R43" s="79"/>
      <c r="S43" s="80"/>
      <c r="T43" s="83"/>
      <c r="U43" s="75">
        <f t="shared" si="1"/>
        <v>0</v>
      </c>
      <c r="V43" s="89"/>
    </row>
    <row r="44" spans="1:22" ht="24" customHeight="1" x14ac:dyDescent="0.2">
      <c r="A44" s="91"/>
      <c r="B44" s="91"/>
      <c r="C44" s="79"/>
      <c r="D44" s="80"/>
      <c r="E44" s="79"/>
      <c r="F44" s="79"/>
      <c r="G44" s="80"/>
      <c r="H44" s="79"/>
      <c r="I44" s="79"/>
      <c r="J44" s="80"/>
      <c r="K44" s="79"/>
      <c r="L44" s="79"/>
      <c r="M44" s="80"/>
      <c r="N44" s="79"/>
      <c r="O44" s="79"/>
      <c r="P44" s="80"/>
      <c r="Q44" s="79"/>
      <c r="R44" s="88"/>
      <c r="S44" s="84"/>
      <c r="T44" s="83"/>
      <c r="U44" s="75">
        <f t="shared" si="1"/>
        <v>0</v>
      </c>
      <c r="V44" s="89"/>
    </row>
    <row r="45" spans="1:22" ht="24" customHeight="1" x14ac:dyDescent="0.2">
      <c r="A45" s="91"/>
      <c r="B45" s="81"/>
      <c r="C45" s="79"/>
      <c r="D45" s="80"/>
      <c r="E45" s="79"/>
      <c r="F45" s="79"/>
      <c r="G45" s="80"/>
      <c r="H45" s="79"/>
      <c r="I45" s="79"/>
      <c r="J45" s="80"/>
      <c r="K45" s="79"/>
      <c r="L45" s="79"/>
      <c r="M45" s="80"/>
      <c r="N45" s="79"/>
      <c r="O45" s="79"/>
      <c r="P45" s="80"/>
      <c r="Q45" s="79"/>
      <c r="R45" s="90"/>
      <c r="S45" s="84"/>
      <c r="T45" s="83"/>
      <c r="U45" s="75">
        <f t="shared" si="1"/>
        <v>0</v>
      </c>
      <c r="V45" s="89"/>
    </row>
    <row r="46" spans="1:22" ht="24" customHeight="1" x14ac:dyDescent="0.2">
      <c r="A46" s="76"/>
      <c r="B46" s="81"/>
      <c r="C46" s="79"/>
      <c r="D46" s="80"/>
      <c r="E46" s="79"/>
      <c r="F46" s="79"/>
      <c r="G46" s="80"/>
      <c r="H46" s="79"/>
      <c r="I46" s="79"/>
      <c r="J46" s="80"/>
      <c r="K46" s="79"/>
      <c r="L46" s="79"/>
      <c r="M46" s="80"/>
      <c r="N46" s="79"/>
      <c r="O46" s="79"/>
      <c r="P46" s="80"/>
      <c r="Q46" s="79"/>
      <c r="R46" s="79"/>
      <c r="S46" s="84"/>
      <c r="T46" s="83"/>
      <c r="U46" s="75">
        <f t="shared" si="1"/>
        <v>0</v>
      </c>
      <c r="V46" s="89"/>
    </row>
    <row r="47" spans="1:22" ht="24" customHeight="1" x14ac:dyDescent="0.2">
      <c r="A47" s="76"/>
      <c r="B47" s="81"/>
      <c r="C47" s="79"/>
      <c r="D47" s="80"/>
      <c r="E47" s="79"/>
      <c r="F47" s="86"/>
      <c r="G47" s="87"/>
      <c r="H47" s="86"/>
      <c r="I47" s="79"/>
      <c r="J47" s="80"/>
      <c r="K47" s="79"/>
      <c r="L47" s="79"/>
      <c r="M47" s="80"/>
      <c r="N47" s="79"/>
      <c r="O47" s="79"/>
      <c r="P47" s="80"/>
      <c r="Q47" s="79"/>
      <c r="R47" s="79"/>
      <c r="S47" s="80"/>
      <c r="T47" s="83"/>
      <c r="U47" s="75">
        <f t="shared" si="1"/>
        <v>0</v>
      </c>
      <c r="V47" s="74"/>
    </row>
    <row r="48" spans="1:22" ht="24" customHeight="1" x14ac:dyDescent="0.2">
      <c r="A48" s="76"/>
      <c r="B48" s="81"/>
      <c r="C48" s="79"/>
      <c r="D48" s="80"/>
      <c r="E48" s="79"/>
      <c r="F48" s="79"/>
      <c r="G48" s="80"/>
      <c r="H48" s="79"/>
      <c r="I48" s="79"/>
      <c r="J48" s="80"/>
      <c r="K48" s="79"/>
      <c r="L48" s="79"/>
      <c r="M48" s="80"/>
      <c r="N48" s="79"/>
      <c r="O48" s="79"/>
      <c r="P48" s="80"/>
      <c r="Q48" s="79"/>
      <c r="R48" s="88"/>
      <c r="S48" s="84"/>
      <c r="T48" s="83"/>
      <c r="U48" s="75">
        <f t="shared" si="1"/>
        <v>0</v>
      </c>
      <c r="V48" s="74"/>
    </row>
    <row r="49" spans="1:22" ht="24" customHeight="1" x14ac:dyDescent="0.2">
      <c r="A49" s="76"/>
      <c r="B49" s="81"/>
      <c r="C49" s="86"/>
      <c r="D49" s="87"/>
      <c r="E49" s="86"/>
      <c r="F49" s="86"/>
      <c r="G49" s="87"/>
      <c r="H49" s="86"/>
      <c r="I49" s="79"/>
      <c r="J49" s="80"/>
      <c r="K49" s="79"/>
      <c r="L49" s="79"/>
      <c r="M49" s="80"/>
      <c r="N49" s="79"/>
      <c r="O49" s="79"/>
      <c r="P49" s="80"/>
      <c r="Q49" s="79"/>
      <c r="R49" s="79"/>
      <c r="S49" s="84"/>
      <c r="T49" s="83"/>
      <c r="U49" s="75">
        <f t="shared" si="1"/>
        <v>0</v>
      </c>
      <c r="V49" s="74"/>
    </row>
    <row r="50" spans="1:22" ht="24" customHeight="1" x14ac:dyDescent="0.2">
      <c r="A50" s="76"/>
      <c r="B50" s="81"/>
      <c r="C50" s="79"/>
      <c r="D50" s="80"/>
      <c r="E50" s="79"/>
      <c r="F50" s="79"/>
      <c r="G50" s="80"/>
      <c r="H50" s="79"/>
      <c r="I50" s="79"/>
      <c r="J50" s="80"/>
      <c r="K50" s="79"/>
      <c r="L50" s="79"/>
      <c r="M50" s="80"/>
      <c r="N50" s="79"/>
      <c r="O50" s="79"/>
      <c r="P50" s="80"/>
      <c r="Q50" s="79"/>
      <c r="R50" s="79"/>
      <c r="S50" s="84"/>
      <c r="T50" s="83"/>
      <c r="U50" s="75">
        <f t="shared" si="1"/>
        <v>0</v>
      </c>
      <c r="V50" s="74"/>
    </row>
    <row r="51" spans="1:22" ht="24" customHeight="1" x14ac:dyDescent="0.2">
      <c r="A51" s="76"/>
      <c r="B51" s="81"/>
      <c r="C51" s="79"/>
      <c r="D51" s="80"/>
      <c r="E51" s="79"/>
      <c r="F51" s="79"/>
      <c r="G51" s="80"/>
      <c r="H51" s="79"/>
      <c r="I51" s="86"/>
      <c r="J51" s="80"/>
      <c r="K51" s="79"/>
      <c r="L51" s="79"/>
      <c r="M51" s="80"/>
      <c r="N51" s="79"/>
      <c r="O51" s="79"/>
      <c r="P51" s="80"/>
      <c r="Q51" s="79"/>
      <c r="R51" s="79"/>
      <c r="S51" s="84"/>
      <c r="T51" s="83"/>
      <c r="U51" s="75">
        <f t="shared" ref="U51:U58" si="2">SUM(B51,E51,H51,K51,N51,Q51,T51)</f>
        <v>0</v>
      </c>
      <c r="V51" s="74"/>
    </row>
    <row r="52" spans="1:22" ht="24" customHeight="1" x14ac:dyDescent="0.2">
      <c r="A52" s="76"/>
      <c r="B52" s="81"/>
      <c r="C52" s="79"/>
      <c r="D52" s="80"/>
      <c r="E52" s="79"/>
      <c r="F52" s="79"/>
      <c r="G52" s="80"/>
      <c r="H52" s="79"/>
      <c r="I52" s="79"/>
      <c r="J52" s="80"/>
      <c r="K52" s="79"/>
      <c r="L52" s="79"/>
      <c r="M52" s="80"/>
      <c r="N52" s="79"/>
      <c r="O52" s="79"/>
      <c r="P52" s="80"/>
      <c r="Q52" s="79"/>
      <c r="R52" s="79"/>
      <c r="S52" s="84"/>
      <c r="T52" s="83"/>
      <c r="U52" s="75">
        <f t="shared" si="2"/>
        <v>0</v>
      </c>
      <c r="V52" s="74"/>
    </row>
    <row r="53" spans="1:22" ht="24" customHeight="1" x14ac:dyDescent="0.2">
      <c r="A53" s="76"/>
      <c r="B53" s="81"/>
      <c r="C53" s="79"/>
      <c r="D53" s="80"/>
      <c r="E53" s="79"/>
      <c r="F53" s="79"/>
      <c r="G53" s="80"/>
      <c r="H53" s="79"/>
      <c r="I53" s="79"/>
      <c r="J53" s="80"/>
      <c r="K53" s="79"/>
      <c r="L53" s="79"/>
      <c r="M53" s="80"/>
      <c r="N53" s="79"/>
      <c r="O53" s="79"/>
      <c r="P53" s="80"/>
      <c r="Q53" s="79"/>
      <c r="R53" s="79"/>
      <c r="S53" s="84"/>
      <c r="T53" s="83"/>
      <c r="U53" s="75">
        <f t="shared" si="2"/>
        <v>0</v>
      </c>
      <c r="V53" s="74"/>
    </row>
    <row r="54" spans="1:22" ht="24" customHeight="1" x14ac:dyDescent="0.2">
      <c r="A54" s="76"/>
      <c r="B54" s="81"/>
      <c r="C54" s="79"/>
      <c r="D54" s="80"/>
      <c r="E54" s="79"/>
      <c r="F54" s="79"/>
      <c r="G54" s="80"/>
      <c r="H54" s="79"/>
      <c r="I54" s="79"/>
      <c r="J54" s="80"/>
      <c r="K54" s="79"/>
      <c r="L54" s="85"/>
      <c r="M54" s="82"/>
      <c r="N54" s="85"/>
      <c r="O54" s="85"/>
      <c r="P54" s="82"/>
      <c r="Q54" s="85"/>
      <c r="R54" s="79"/>
      <c r="S54" s="84"/>
      <c r="T54" s="83"/>
      <c r="U54" s="75">
        <f t="shared" si="2"/>
        <v>0</v>
      </c>
      <c r="V54" s="74"/>
    </row>
    <row r="55" spans="1:22" ht="24" customHeight="1" x14ac:dyDescent="0.2">
      <c r="A55" s="76"/>
      <c r="B55" s="81"/>
      <c r="C55" s="79"/>
      <c r="D55" s="80"/>
      <c r="E55" s="79"/>
      <c r="F55" s="79"/>
      <c r="G55" s="80"/>
      <c r="H55" s="79"/>
      <c r="I55" s="79"/>
      <c r="J55" s="80"/>
      <c r="K55" s="79"/>
      <c r="L55" s="79"/>
      <c r="M55" s="80"/>
      <c r="N55" s="79"/>
      <c r="O55" s="79"/>
      <c r="P55" s="80"/>
      <c r="Q55" s="79"/>
      <c r="R55" s="79"/>
      <c r="S55" s="77"/>
      <c r="T55" s="76"/>
      <c r="U55" s="75">
        <f t="shared" si="2"/>
        <v>0</v>
      </c>
      <c r="V55" s="74"/>
    </row>
    <row r="56" spans="1:22" ht="24" customHeight="1" x14ac:dyDescent="0.2">
      <c r="A56" s="76"/>
      <c r="B56" s="81"/>
      <c r="C56" s="79"/>
      <c r="D56" s="80"/>
      <c r="E56" s="79"/>
      <c r="F56" s="79"/>
      <c r="G56" s="80"/>
      <c r="H56" s="79"/>
      <c r="I56" s="79"/>
      <c r="J56" s="80"/>
      <c r="K56" s="79"/>
      <c r="L56" s="78"/>
      <c r="M56" s="82"/>
      <c r="N56" s="78"/>
      <c r="O56" s="78"/>
      <c r="P56" s="82"/>
      <c r="Q56" s="78"/>
      <c r="R56" s="78"/>
      <c r="S56" s="77"/>
      <c r="T56" s="76"/>
      <c r="U56" s="75">
        <f t="shared" si="2"/>
        <v>0</v>
      </c>
      <c r="V56" s="74"/>
    </row>
    <row r="57" spans="1:22" ht="24" customHeight="1" x14ac:dyDescent="0.2">
      <c r="A57" s="76"/>
      <c r="B57" s="81"/>
      <c r="C57" s="79"/>
      <c r="D57" s="80"/>
      <c r="E57" s="79"/>
      <c r="F57" s="79"/>
      <c r="G57" s="80"/>
      <c r="H57" s="79"/>
      <c r="I57" s="79"/>
      <c r="J57" s="80"/>
      <c r="K57" s="79"/>
      <c r="L57" s="79"/>
      <c r="M57" s="80"/>
      <c r="N57" s="79"/>
      <c r="O57" s="79"/>
      <c r="P57" s="80"/>
      <c r="Q57" s="79"/>
      <c r="R57" s="78"/>
      <c r="S57" s="77"/>
      <c r="T57" s="76"/>
      <c r="U57" s="75">
        <f t="shared" si="2"/>
        <v>0</v>
      </c>
      <c r="V57" s="74"/>
    </row>
    <row r="58" spans="1:22" ht="24" customHeight="1" x14ac:dyDescent="0.2">
      <c r="A58" s="76"/>
      <c r="B58" s="76"/>
      <c r="C58" s="76"/>
      <c r="D58" s="77"/>
      <c r="E58" s="76"/>
      <c r="F58" s="76"/>
      <c r="G58" s="77"/>
      <c r="H58" s="76"/>
      <c r="I58" s="76"/>
      <c r="J58" s="77"/>
      <c r="K58" s="76"/>
      <c r="L58" s="76"/>
      <c r="M58" s="77"/>
      <c r="N58" s="76"/>
      <c r="O58" s="76"/>
      <c r="P58" s="77"/>
      <c r="Q58" s="76"/>
      <c r="R58" s="76"/>
      <c r="S58" s="77"/>
      <c r="T58" s="76"/>
      <c r="U58" s="75">
        <f t="shared" si="2"/>
        <v>0</v>
      </c>
      <c r="V58" s="74"/>
    </row>
    <row r="59" spans="1:22" ht="24" customHeight="1" x14ac:dyDescent="0.2">
      <c r="A59" s="72"/>
    </row>
    <row r="60" spans="1:22" ht="24" customHeight="1" x14ac:dyDescent="0.2">
      <c r="A60" s="72"/>
    </row>
    <row r="61" spans="1:22" ht="24" customHeight="1" x14ac:dyDescent="0.2">
      <c r="A61" s="72"/>
    </row>
    <row r="62" spans="1:22" ht="24" customHeight="1" x14ac:dyDescent="0.2">
      <c r="A62" s="72"/>
    </row>
    <row r="63" spans="1:22" ht="24" customHeight="1" x14ac:dyDescent="0.2">
      <c r="A63" s="72"/>
    </row>
    <row r="64" spans="1:22" ht="24" customHeight="1" x14ac:dyDescent="0.2">
      <c r="A64" s="72"/>
    </row>
    <row r="65" spans="1:1" x14ac:dyDescent="0.2">
      <c r="A65" s="72"/>
    </row>
    <row r="66" spans="1:1" x14ac:dyDescent="0.2">
      <c r="A66" s="72"/>
    </row>
    <row r="67" spans="1:1" x14ac:dyDescent="0.2">
      <c r="A67" s="72"/>
    </row>
    <row r="68" spans="1:1" x14ac:dyDescent="0.2">
      <c r="A68" s="72"/>
    </row>
    <row r="69" spans="1:1" x14ac:dyDescent="0.2">
      <c r="A69" s="72"/>
    </row>
    <row r="70" spans="1:1" x14ac:dyDescent="0.2">
      <c r="A70" s="72"/>
    </row>
    <row r="71" spans="1:1" x14ac:dyDescent="0.2">
      <c r="A71" s="72"/>
    </row>
    <row r="72" spans="1:1" x14ac:dyDescent="0.2">
      <c r="A72" s="72"/>
    </row>
    <row r="73" spans="1:1" x14ac:dyDescent="0.2">
      <c r="A73" s="72"/>
    </row>
    <row r="74" spans="1:1" x14ac:dyDescent="0.2">
      <c r="A74" s="72"/>
    </row>
    <row r="75" spans="1:1" x14ac:dyDescent="0.2">
      <c r="A75" s="72"/>
    </row>
    <row r="76" spans="1:1" x14ac:dyDescent="0.2">
      <c r="A76" s="72"/>
    </row>
    <row r="77" spans="1:1" x14ac:dyDescent="0.2">
      <c r="A77" s="72"/>
    </row>
    <row r="78" spans="1:1" x14ac:dyDescent="0.2">
      <c r="A78" s="72"/>
    </row>
    <row r="79" spans="1:1" x14ac:dyDescent="0.2">
      <c r="A79" s="72"/>
    </row>
    <row r="80" spans="1:1" x14ac:dyDescent="0.2">
      <c r="A80" s="72"/>
    </row>
    <row r="81" spans="1:1" x14ac:dyDescent="0.2">
      <c r="A81" s="72"/>
    </row>
    <row r="82" spans="1:1" x14ac:dyDescent="0.2">
      <c r="A82" s="72"/>
    </row>
    <row r="83" spans="1:1" x14ac:dyDescent="0.2">
      <c r="A83" s="72"/>
    </row>
    <row r="84" spans="1:1" x14ac:dyDescent="0.2">
      <c r="A84" s="72"/>
    </row>
    <row r="85" spans="1:1" x14ac:dyDescent="0.2">
      <c r="A85" s="72"/>
    </row>
    <row r="86" spans="1:1" x14ac:dyDescent="0.2">
      <c r="A86" s="72"/>
    </row>
    <row r="87" spans="1:1" x14ac:dyDescent="0.2">
      <c r="A87" s="72"/>
    </row>
    <row r="88" spans="1:1" x14ac:dyDescent="0.2">
      <c r="A88" s="72"/>
    </row>
    <row r="89" spans="1:1" x14ac:dyDescent="0.2">
      <c r="A89" s="72"/>
    </row>
    <row r="90" spans="1:1" x14ac:dyDescent="0.2">
      <c r="A90" s="72"/>
    </row>
    <row r="91" spans="1:1" x14ac:dyDescent="0.2">
      <c r="A91" s="72"/>
    </row>
    <row r="92" spans="1:1" x14ac:dyDescent="0.2">
      <c r="A92" s="72"/>
    </row>
  </sheetData>
  <sheetProtection formatCells="0" selectLockedCells="1" selectUnlockedCells="1"/>
  <mergeCells count="40">
    <mergeCell ref="X22:Y22"/>
    <mergeCell ref="X23:Y23"/>
    <mergeCell ref="X24:Y24"/>
    <mergeCell ref="X16:Y16"/>
    <mergeCell ref="X17:Y17"/>
    <mergeCell ref="X19:Y19"/>
    <mergeCell ref="X20:Y20"/>
    <mergeCell ref="X18:Y18"/>
    <mergeCell ref="X11:Y11"/>
    <mergeCell ref="X12:Y12"/>
    <mergeCell ref="X15:Y15"/>
    <mergeCell ref="X21:Y21"/>
    <mergeCell ref="A5:A6"/>
    <mergeCell ref="B5:T5"/>
    <mergeCell ref="X13:Y13"/>
    <mergeCell ref="X14:Y14"/>
    <mergeCell ref="X10:Y10"/>
    <mergeCell ref="R1:T1"/>
    <mergeCell ref="R2:T2"/>
    <mergeCell ref="R3:T3"/>
    <mergeCell ref="R4:T4"/>
    <mergeCell ref="L4:N4"/>
    <mergeCell ref="O2:Q2"/>
    <mergeCell ref="O3:Q3"/>
    <mergeCell ref="O4:Q4"/>
    <mergeCell ref="L1:Q1"/>
    <mergeCell ref="C1:E1"/>
    <mergeCell ref="C2:E2"/>
    <mergeCell ref="C3:E3"/>
    <mergeCell ref="C4:E4"/>
    <mergeCell ref="F1:H1"/>
    <mergeCell ref="F2:H2"/>
    <mergeCell ref="F3:H3"/>
    <mergeCell ref="F4:H4"/>
    <mergeCell ref="I1:K1"/>
    <mergeCell ref="I2:K2"/>
    <mergeCell ref="I3:K3"/>
    <mergeCell ref="I4:K4"/>
    <mergeCell ref="L2:N2"/>
    <mergeCell ref="L3:N3"/>
  </mergeCells>
  <printOptions horizontalCentered="1" verticalCentered="1" gridLines="1"/>
  <pageMargins left="0.5" right="0.5" top="0.5" bottom="0.25" header="0" footer="0"/>
  <pageSetup scale="65" orientation="landscape" r:id="rId1"/>
  <headerFooter alignWithMargins="0">
    <oddHeader>&amp;LFAX-425-487-1568&amp;CTIMESHEET</oddHeader>
  </headerFooter>
  <colBreaks count="1" manualBreakCount="1">
    <brk id="21" max="68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4"/>
  <sheetViews>
    <sheetView workbookViewId="0">
      <selection activeCell="N20" sqref="N20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134</v>
      </c>
      <c r="D1" s="176"/>
      <c r="E1" s="176"/>
      <c r="F1" s="174" t="s">
        <v>133</v>
      </c>
      <c r="G1" s="176"/>
      <c r="H1" s="176"/>
      <c r="I1" s="165" t="s">
        <v>132</v>
      </c>
      <c r="J1" s="166"/>
      <c r="K1" s="166"/>
      <c r="L1" s="179" t="s">
        <v>131</v>
      </c>
      <c r="M1" s="179"/>
      <c r="N1" s="179"/>
      <c r="O1" s="179"/>
      <c r="P1" s="179"/>
      <c r="Q1" s="179"/>
      <c r="R1" s="175" t="s">
        <v>130</v>
      </c>
      <c r="S1" s="175"/>
      <c r="T1" s="175"/>
      <c r="U1" s="109"/>
      <c r="V1" s="112"/>
    </row>
    <row r="2" spans="1:25" ht="24" customHeight="1" thickBot="1" x14ac:dyDescent="0.25">
      <c r="A2" s="103"/>
      <c r="B2" s="110" t="s">
        <v>129</v>
      </c>
      <c r="C2" s="175" t="s">
        <v>128</v>
      </c>
      <c r="D2" s="175"/>
      <c r="E2" s="175"/>
      <c r="F2" s="174" t="s">
        <v>127</v>
      </c>
      <c r="G2" s="176"/>
      <c r="H2" s="176"/>
      <c r="I2" s="167"/>
      <c r="J2" s="167"/>
      <c r="K2" s="167"/>
      <c r="L2" s="174" t="s">
        <v>126</v>
      </c>
      <c r="M2" s="175"/>
      <c r="N2" s="175"/>
      <c r="O2" s="174" t="s">
        <v>125</v>
      </c>
      <c r="P2" s="174"/>
      <c r="Q2" s="174"/>
      <c r="R2" s="175" t="s">
        <v>124</v>
      </c>
      <c r="S2" s="175"/>
      <c r="T2" s="175"/>
      <c r="U2" s="109"/>
      <c r="V2" s="112"/>
    </row>
    <row r="3" spans="1:25" ht="24" customHeight="1" x14ac:dyDescent="0.2">
      <c r="A3" s="103"/>
      <c r="B3" s="110" t="s">
        <v>123</v>
      </c>
      <c r="C3" s="174" t="s">
        <v>122</v>
      </c>
      <c r="D3" s="174"/>
      <c r="E3" s="174"/>
      <c r="F3" s="174" t="s">
        <v>121</v>
      </c>
      <c r="G3" s="176"/>
      <c r="H3" s="176"/>
      <c r="I3" s="168" t="s">
        <v>120</v>
      </c>
      <c r="J3" s="169"/>
      <c r="K3" s="170"/>
      <c r="L3" s="174" t="s">
        <v>119</v>
      </c>
      <c r="M3" s="175"/>
      <c r="N3" s="175"/>
      <c r="O3" s="174" t="s">
        <v>118</v>
      </c>
      <c r="P3" s="174"/>
      <c r="Q3" s="174"/>
      <c r="R3" s="175" t="s">
        <v>117</v>
      </c>
      <c r="S3" s="175"/>
      <c r="T3" s="175"/>
      <c r="U3" s="109"/>
      <c r="V3" s="111"/>
    </row>
    <row r="4" spans="1:25" ht="24" customHeight="1" thickBot="1" x14ac:dyDescent="0.25">
      <c r="A4" s="103"/>
      <c r="B4" s="110" t="s">
        <v>116</v>
      </c>
      <c r="C4" s="174" t="s">
        <v>115</v>
      </c>
      <c r="D4" s="176"/>
      <c r="E4" s="176"/>
      <c r="F4" s="174" t="s">
        <v>114</v>
      </c>
      <c r="G4" s="176"/>
      <c r="H4" s="176"/>
      <c r="I4" s="171" t="s">
        <v>113</v>
      </c>
      <c r="J4" s="172"/>
      <c r="K4" s="173"/>
      <c r="L4" s="174" t="s">
        <v>112</v>
      </c>
      <c r="M4" s="175"/>
      <c r="N4" s="175"/>
      <c r="O4" s="178" t="s">
        <v>111</v>
      </c>
      <c r="P4" s="178"/>
      <c r="Q4" s="178"/>
      <c r="R4" s="177" t="s">
        <v>161</v>
      </c>
      <c r="S4" s="177"/>
      <c r="T4" s="177"/>
      <c r="U4" s="109"/>
      <c r="V4" s="89"/>
    </row>
    <row r="5" spans="1:25" ht="24" customHeight="1" thickBot="1" x14ac:dyDescent="0.25">
      <c r="A5" s="180"/>
      <c r="B5" s="181" t="s">
        <v>97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42481</v>
      </c>
      <c r="D6" s="107"/>
      <c r="E6" s="107"/>
      <c r="F6" s="107">
        <f>C6+1</f>
        <v>42482</v>
      </c>
      <c r="G6" s="107"/>
      <c r="H6" s="107"/>
      <c r="I6" s="107">
        <f>F6+3</f>
        <v>42485</v>
      </c>
      <c r="J6" s="107"/>
      <c r="K6" s="107"/>
      <c r="L6" s="107">
        <f>I6+1</f>
        <v>42486</v>
      </c>
      <c r="M6" s="107"/>
      <c r="N6" s="107"/>
      <c r="O6" s="107">
        <f>L6+1</f>
        <v>42487</v>
      </c>
      <c r="P6" s="107"/>
      <c r="Q6" s="107"/>
      <c r="R6" s="107">
        <f>F6+1</f>
        <v>42483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/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97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4"/>
      <c r="V8" s="94"/>
      <c r="W8" s="98"/>
    </row>
    <row r="9" spans="1:25" ht="24" customHeight="1" x14ac:dyDescent="0.2">
      <c r="A9" s="103"/>
      <c r="B9" s="97" t="s">
        <v>110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1"/>
      <c r="V9" s="100"/>
      <c r="W9" s="98"/>
    </row>
    <row r="10" spans="1:25" ht="24" customHeight="1" x14ac:dyDescent="0.2">
      <c r="A10" s="91">
        <v>2</v>
      </c>
      <c r="B10" s="81" t="s">
        <v>108</v>
      </c>
      <c r="C10" s="117">
        <v>2023</v>
      </c>
      <c r="D10" s="118">
        <v>120</v>
      </c>
      <c r="E10" s="125">
        <v>7</v>
      </c>
      <c r="F10" s="117">
        <v>2027</v>
      </c>
      <c r="G10" s="118">
        <v>110</v>
      </c>
      <c r="H10" s="117">
        <v>3</v>
      </c>
      <c r="I10" s="117">
        <v>2027</v>
      </c>
      <c r="J10" s="118">
        <v>110</v>
      </c>
      <c r="K10" s="117">
        <v>8</v>
      </c>
      <c r="L10" s="117">
        <v>2027</v>
      </c>
      <c r="M10" s="119">
        <v>110</v>
      </c>
      <c r="N10" s="117">
        <v>8</v>
      </c>
      <c r="O10" s="117">
        <v>2027</v>
      </c>
      <c r="P10" s="119">
        <v>110</v>
      </c>
      <c r="Q10" s="120">
        <v>3</v>
      </c>
      <c r="R10" s="79"/>
      <c r="S10" s="80"/>
      <c r="T10" s="79"/>
      <c r="U10" s="75">
        <f t="shared" ref="U10:U32" si="0">SUM(B10,E10,H10,K10,N10,Q10,T10)</f>
        <v>29</v>
      </c>
      <c r="V10" s="94"/>
      <c r="W10" s="98"/>
      <c r="X10" s="184"/>
      <c r="Y10" s="185"/>
    </row>
    <row r="11" spans="1:25" ht="24" customHeight="1" x14ac:dyDescent="0.2">
      <c r="A11" s="91"/>
      <c r="B11" s="81"/>
      <c r="C11" s="117">
        <v>2023</v>
      </c>
      <c r="D11" s="118">
        <v>151</v>
      </c>
      <c r="E11" s="125">
        <v>1</v>
      </c>
      <c r="F11" s="117">
        <v>2023</v>
      </c>
      <c r="G11" s="118">
        <v>120</v>
      </c>
      <c r="H11" s="117">
        <v>3</v>
      </c>
      <c r="I11" s="117"/>
      <c r="J11" s="118"/>
      <c r="K11" s="117"/>
      <c r="L11" s="117"/>
      <c r="M11" s="119"/>
      <c r="N11" s="120"/>
      <c r="O11" s="117">
        <v>2023</v>
      </c>
      <c r="P11" s="119">
        <v>120</v>
      </c>
      <c r="Q11" s="117">
        <v>3</v>
      </c>
      <c r="R11" s="90"/>
      <c r="S11" s="80"/>
      <c r="T11" s="79"/>
      <c r="U11" s="75">
        <f t="shared" si="0"/>
        <v>7</v>
      </c>
      <c r="V11" s="94"/>
      <c r="W11" s="98"/>
      <c r="X11" s="184"/>
      <c r="Y11" s="185"/>
    </row>
    <row r="12" spans="1:25" ht="24" customHeight="1" x14ac:dyDescent="0.2">
      <c r="A12" s="91"/>
      <c r="B12" s="91"/>
      <c r="C12" s="117">
        <v>2027</v>
      </c>
      <c r="D12" s="118">
        <v>110</v>
      </c>
      <c r="E12" s="125">
        <v>2.5</v>
      </c>
      <c r="F12" s="117">
        <v>2023</v>
      </c>
      <c r="G12" s="119">
        <v>151</v>
      </c>
      <c r="H12" s="117">
        <v>2</v>
      </c>
      <c r="I12" s="117"/>
      <c r="J12" s="119"/>
      <c r="K12" s="117"/>
      <c r="L12" s="117"/>
      <c r="M12" s="119"/>
      <c r="N12" s="117"/>
      <c r="O12" s="117">
        <v>2023</v>
      </c>
      <c r="P12" s="119">
        <v>151</v>
      </c>
      <c r="Q12" s="117">
        <v>2</v>
      </c>
      <c r="R12" s="79"/>
      <c r="S12" s="80"/>
      <c r="T12" s="79"/>
      <c r="U12" s="75">
        <f t="shared" si="0"/>
        <v>6.5</v>
      </c>
      <c r="V12" s="94"/>
      <c r="W12" s="98"/>
      <c r="X12" s="184"/>
      <c r="Y12" s="185"/>
    </row>
    <row r="13" spans="1:25" ht="24" customHeight="1" x14ac:dyDescent="0.2">
      <c r="A13" s="91">
        <v>1</v>
      </c>
      <c r="B13" s="81" t="s">
        <v>109</v>
      </c>
      <c r="C13" s="79">
        <v>2023</v>
      </c>
      <c r="D13" s="80">
        <v>120</v>
      </c>
      <c r="E13" s="79">
        <v>8</v>
      </c>
      <c r="F13" s="79">
        <v>2023</v>
      </c>
      <c r="G13" s="80">
        <v>120</v>
      </c>
      <c r="H13" s="79">
        <v>8</v>
      </c>
      <c r="I13" s="86" t="s">
        <v>85</v>
      </c>
      <c r="J13" s="80"/>
      <c r="K13" s="79"/>
      <c r="L13" s="79">
        <v>2023</v>
      </c>
      <c r="M13" s="80">
        <v>120</v>
      </c>
      <c r="N13" s="79">
        <v>8</v>
      </c>
      <c r="O13" s="79">
        <v>2023</v>
      </c>
      <c r="P13" s="80">
        <v>120</v>
      </c>
      <c r="Q13" s="79">
        <v>8</v>
      </c>
      <c r="R13" s="79"/>
      <c r="S13" s="80"/>
      <c r="T13" s="79"/>
      <c r="U13" s="75">
        <f t="shared" si="0"/>
        <v>32</v>
      </c>
      <c r="V13" s="94"/>
      <c r="W13" s="98"/>
      <c r="X13" s="184"/>
      <c r="Y13" s="185"/>
    </row>
    <row r="14" spans="1:25" ht="24" customHeight="1" x14ac:dyDescent="0.2">
      <c r="A14" s="91"/>
      <c r="B14" s="81"/>
      <c r="C14" s="79"/>
      <c r="D14" s="80"/>
      <c r="E14" s="79"/>
      <c r="F14" s="79"/>
      <c r="G14" s="80"/>
      <c r="H14" s="79"/>
      <c r="I14" s="79"/>
      <c r="J14" s="80"/>
      <c r="K14" s="79"/>
      <c r="L14" s="79"/>
      <c r="M14" s="80"/>
      <c r="N14" s="79"/>
      <c r="O14" s="79"/>
      <c r="P14" s="80"/>
      <c r="Q14" s="79"/>
      <c r="R14" s="79"/>
      <c r="S14" s="80"/>
      <c r="T14" s="79"/>
      <c r="U14" s="75">
        <f t="shared" si="0"/>
        <v>0</v>
      </c>
      <c r="V14" s="94"/>
      <c r="W14" s="98"/>
      <c r="X14" s="184"/>
      <c r="Y14" s="185"/>
    </row>
    <row r="15" spans="1:25" ht="24" customHeight="1" x14ac:dyDescent="0.2">
      <c r="A15" s="91">
        <v>3</v>
      </c>
      <c r="B15" s="91" t="s">
        <v>107</v>
      </c>
      <c r="C15" s="86" t="s">
        <v>85</v>
      </c>
      <c r="D15" s="87"/>
      <c r="E15" s="86"/>
      <c r="F15" s="86" t="s">
        <v>85</v>
      </c>
      <c r="G15" s="80"/>
      <c r="H15" s="79"/>
      <c r="I15" s="79">
        <v>2023</v>
      </c>
      <c r="J15" s="80">
        <v>141</v>
      </c>
      <c r="K15" s="79">
        <v>8</v>
      </c>
      <c r="L15" s="79">
        <v>2023</v>
      </c>
      <c r="M15" s="80">
        <v>141</v>
      </c>
      <c r="N15" s="79">
        <v>8</v>
      </c>
      <c r="O15" s="79">
        <v>2023</v>
      </c>
      <c r="P15" s="80">
        <v>141</v>
      </c>
      <c r="Q15" s="79">
        <v>8</v>
      </c>
      <c r="R15" s="79"/>
      <c r="S15" s="80"/>
      <c r="T15" s="79"/>
      <c r="U15" s="75">
        <f t="shared" si="0"/>
        <v>24</v>
      </c>
      <c r="V15" s="94"/>
      <c r="W15" s="98"/>
      <c r="X15" s="184"/>
      <c r="Y15" s="185"/>
    </row>
    <row r="16" spans="1:25" ht="24" customHeight="1" x14ac:dyDescent="0.2">
      <c r="A16" s="91"/>
      <c r="B16" s="81"/>
      <c r="C16" s="86"/>
      <c r="D16" s="87"/>
      <c r="E16" s="86"/>
      <c r="F16" s="86"/>
      <c r="G16" s="80"/>
      <c r="H16" s="79"/>
      <c r="I16" s="79"/>
      <c r="J16" s="80"/>
      <c r="K16" s="79"/>
      <c r="L16" s="79"/>
      <c r="M16" s="80"/>
      <c r="N16" s="79"/>
      <c r="O16" s="79"/>
      <c r="P16" s="80"/>
      <c r="Q16" s="79"/>
      <c r="R16" s="90"/>
      <c r="S16" s="80"/>
      <c r="T16" s="79"/>
      <c r="U16" s="75">
        <f t="shared" si="0"/>
        <v>0</v>
      </c>
      <c r="V16" s="94"/>
      <c r="W16" s="98"/>
      <c r="X16" s="184"/>
      <c r="Y16" s="185"/>
    </row>
    <row r="17" spans="1:25" ht="24" customHeight="1" x14ac:dyDescent="0.2">
      <c r="A17" s="91">
        <v>4</v>
      </c>
      <c r="B17" s="81" t="s">
        <v>106</v>
      </c>
      <c r="C17" s="79">
        <v>2023</v>
      </c>
      <c r="D17" s="80">
        <v>120</v>
      </c>
      <c r="E17" s="79">
        <v>8</v>
      </c>
      <c r="F17" s="79">
        <v>2023</v>
      </c>
      <c r="G17" s="80">
        <v>120</v>
      </c>
      <c r="H17" s="79">
        <v>8</v>
      </c>
      <c r="I17" s="86" t="s">
        <v>85</v>
      </c>
      <c r="J17" s="80"/>
      <c r="K17" s="79"/>
      <c r="L17" s="79">
        <v>2023</v>
      </c>
      <c r="M17" s="80">
        <v>151</v>
      </c>
      <c r="N17" s="79">
        <v>8</v>
      </c>
      <c r="O17" s="79">
        <v>2023</v>
      </c>
      <c r="P17" s="80">
        <v>120</v>
      </c>
      <c r="Q17" s="79">
        <v>8</v>
      </c>
      <c r="R17" s="79"/>
      <c r="S17" s="80"/>
      <c r="T17" s="79"/>
      <c r="U17" s="75">
        <f t="shared" si="0"/>
        <v>32</v>
      </c>
      <c r="V17" s="94"/>
      <c r="W17" s="98"/>
      <c r="X17" s="184"/>
      <c r="Y17" s="185"/>
    </row>
    <row r="18" spans="1:25" ht="24" customHeight="1" x14ac:dyDescent="0.2">
      <c r="A18" s="91"/>
      <c r="B18" s="91"/>
      <c r="C18" s="79"/>
      <c r="D18" s="80"/>
      <c r="E18" s="79"/>
      <c r="F18" s="79"/>
      <c r="G18" s="80"/>
      <c r="H18" s="79"/>
      <c r="I18" s="79"/>
      <c r="J18" s="80"/>
      <c r="K18" s="79"/>
      <c r="L18" s="79"/>
      <c r="M18" s="80"/>
      <c r="N18" s="79"/>
      <c r="O18" s="79"/>
      <c r="P18" s="80"/>
      <c r="Q18" s="79"/>
      <c r="R18" s="79"/>
      <c r="S18" s="80"/>
      <c r="T18" s="79"/>
      <c r="U18" s="75">
        <f t="shared" si="0"/>
        <v>0</v>
      </c>
      <c r="V18" s="94"/>
      <c r="W18" s="98"/>
      <c r="X18" s="184"/>
      <c r="Y18" s="185"/>
    </row>
    <row r="19" spans="1:25" ht="24" customHeight="1" x14ac:dyDescent="0.2">
      <c r="A19" s="91">
        <v>5</v>
      </c>
      <c r="B19" s="91" t="s">
        <v>105</v>
      </c>
      <c r="C19" s="79">
        <v>2023</v>
      </c>
      <c r="D19" s="80">
        <v>142</v>
      </c>
      <c r="E19" s="79">
        <v>8</v>
      </c>
      <c r="F19" s="86" t="s">
        <v>85</v>
      </c>
      <c r="G19" s="80"/>
      <c r="H19" s="79"/>
      <c r="I19" s="79">
        <v>2023</v>
      </c>
      <c r="J19" s="80">
        <v>120</v>
      </c>
      <c r="K19" s="79">
        <v>8</v>
      </c>
      <c r="L19" s="79">
        <v>2023</v>
      </c>
      <c r="M19" s="80">
        <v>120</v>
      </c>
      <c r="N19" s="79">
        <v>6</v>
      </c>
      <c r="O19" s="79">
        <v>2023</v>
      </c>
      <c r="P19" s="80">
        <v>120</v>
      </c>
      <c r="Q19" s="79">
        <v>8</v>
      </c>
      <c r="R19" s="79"/>
      <c r="S19" s="80"/>
      <c r="T19" s="79"/>
      <c r="U19" s="75">
        <f t="shared" si="0"/>
        <v>30</v>
      </c>
      <c r="V19" s="94"/>
      <c r="W19" s="98"/>
      <c r="X19" s="184"/>
      <c r="Y19" s="185"/>
    </row>
    <row r="20" spans="1:25" ht="24" customHeight="1" x14ac:dyDescent="0.2">
      <c r="A20" s="91"/>
      <c r="B20" s="99"/>
      <c r="C20" s="79"/>
      <c r="D20" s="80"/>
      <c r="E20" s="79"/>
      <c r="F20" s="79"/>
      <c r="G20" s="80"/>
      <c r="H20" s="79"/>
      <c r="I20" s="79"/>
      <c r="J20" s="80"/>
      <c r="K20" s="79"/>
      <c r="L20" s="79">
        <v>2023</v>
      </c>
      <c r="M20" s="80">
        <v>151</v>
      </c>
      <c r="N20" s="79">
        <v>2</v>
      </c>
      <c r="O20" s="79"/>
      <c r="P20" s="80"/>
      <c r="Q20" s="79"/>
      <c r="R20" s="79"/>
      <c r="S20" s="80"/>
      <c r="T20" s="79"/>
      <c r="U20" s="75">
        <f t="shared" si="0"/>
        <v>2</v>
      </c>
      <c r="V20" s="94"/>
      <c r="W20" s="98"/>
      <c r="X20" s="184"/>
      <c r="Y20" s="185"/>
    </row>
    <row r="21" spans="1:25" ht="24" customHeight="1" x14ac:dyDescent="0.2">
      <c r="A21" s="91">
        <v>6</v>
      </c>
      <c r="B21" s="91" t="s">
        <v>104</v>
      </c>
      <c r="C21" s="79">
        <v>2023</v>
      </c>
      <c r="D21" s="80">
        <v>111</v>
      </c>
      <c r="E21" s="79">
        <v>8</v>
      </c>
      <c r="F21" s="86" t="s">
        <v>85</v>
      </c>
      <c r="G21" s="87"/>
      <c r="H21" s="86"/>
      <c r="I21" s="86" t="s">
        <v>85</v>
      </c>
      <c r="J21" s="80"/>
      <c r="K21" s="79"/>
      <c r="L21" s="79">
        <v>2023</v>
      </c>
      <c r="M21" s="80">
        <v>120</v>
      </c>
      <c r="N21" s="79">
        <v>8</v>
      </c>
      <c r="O21" s="79">
        <v>2023</v>
      </c>
      <c r="P21" s="80">
        <v>120</v>
      </c>
      <c r="Q21" s="79">
        <v>8</v>
      </c>
      <c r="R21" s="79"/>
      <c r="S21" s="80"/>
      <c r="T21" s="79"/>
      <c r="U21" s="75">
        <f t="shared" si="0"/>
        <v>24</v>
      </c>
      <c r="V21" s="94"/>
      <c r="W21" s="98"/>
      <c r="X21" s="184"/>
      <c r="Y21" s="185"/>
    </row>
    <row r="22" spans="1:25" ht="24" customHeight="1" x14ac:dyDescent="0.2">
      <c r="A22" s="91"/>
      <c r="B22" s="91"/>
      <c r="C22" s="79"/>
      <c r="D22" s="80"/>
      <c r="E22" s="79"/>
      <c r="F22" s="79"/>
      <c r="G22" s="80"/>
      <c r="H22" s="79"/>
      <c r="I22" s="79"/>
      <c r="J22" s="80"/>
      <c r="K22" s="79"/>
      <c r="L22" s="79"/>
      <c r="M22" s="80"/>
      <c r="N22" s="79"/>
      <c r="O22" s="79"/>
      <c r="P22" s="80"/>
      <c r="Q22" s="79"/>
      <c r="R22" s="90"/>
      <c r="S22" s="80"/>
      <c r="T22" s="79"/>
      <c r="U22" s="75">
        <f t="shared" si="0"/>
        <v>0</v>
      </c>
      <c r="V22" s="94"/>
      <c r="W22" s="98"/>
      <c r="X22" s="184"/>
      <c r="Y22" s="185"/>
    </row>
    <row r="23" spans="1:25" ht="24" customHeight="1" x14ac:dyDescent="0.2">
      <c r="A23" s="92">
        <v>7</v>
      </c>
      <c r="B23" s="81" t="s">
        <v>101</v>
      </c>
      <c r="C23" s="79">
        <v>2023</v>
      </c>
      <c r="D23" s="80">
        <v>141</v>
      </c>
      <c r="E23" s="79">
        <v>8</v>
      </c>
      <c r="F23" s="79">
        <v>2023</v>
      </c>
      <c r="G23" s="80">
        <v>141</v>
      </c>
      <c r="H23" s="79">
        <v>8</v>
      </c>
      <c r="I23" s="86" t="s">
        <v>85</v>
      </c>
      <c r="J23" s="80"/>
      <c r="K23" s="79"/>
      <c r="L23" s="79">
        <v>2023</v>
      </c>
      <c r="M23" s="80">
        <v>141</v>
      </c>
      <c r="N23" s="79">
        <v>8</v>
      </c>
      <c r="O23" s="79">
        <v>2023</v>
      </c>
      <c r="P23" s="80">
        <v>141</v>
      </c>
      <c r="Q23" s="79">
        <v>8</v>
      </c>
      <c r="R23" s="79"/>
      <c r="S23" s="80"/>
      <c r="T23" s="79"/>
      <c r="U23" s="75">
        <f t="shared" si="0"/>
        <v>32</v>
      </c>
      <c r="V23" s="94"/>
      <c r="W23" s="98"/>
      <c r="X23" s="184"/>
      <c r="Y23" s="185"/>
    </row>
    <row r="24" spans="1:25" ht="24" customHeight="1" x14ac:dyDescent="0.2">
      <c r="A24" s="91"/>
      <c r="B24" s="91"/>
      <c r="C24" s="79"/>
      <c r="D24" s="80"/>
      <c r="E24" s="79"/>
      <c r="F24" s="79"/>
      <c r="G24" s="80"/>
      <c r="H24" s="79"/>
      <c r="I24" s="79"/>
      <c r="J24" s="80"/>
      <c r="K24" s="79"/>
      <c r="L24" s="79"/>
      <c r="M24" s="80"/>
      <c r="N24" s="79"/>
      <c r="O24" s="79"/>
      <c r="P24" s="80"/>
      <c r="Q24" s="79"/>
      <c r="R24" s="79"/>
      <c r="S24" s="80"/>
      <c r="T24" s="79"/>
      <c r="U24" s="75">
        <f t="shared" si="0"/>
        <v>0</v>
      </c>
      <c r="V24" s="94"/>
      <c r="W24" s="98"/>
      <c r="X24" s="184"/>
      <c r="Y24" s="185"/>
    </row>
    <row r="25" spans="1:25" ht="24" customHeight="1" x14ac:dyDescent="0.2">
      <c r="A25" s="91">
        <v>8</v>
      </c>
      <c r="B25" s="91" t="s">
        <v>99</v>
      </c>
      <c r="C25" s="79">
        <v>2023</v>
      </c>
      <c r="D25" s="80">
        <v>120</v>
      </c>
      <c r="E25" s="79">
        <v>4</v>
      </c>
      <c r="F25" s="79">
        <v>2023</v>
      </c>
      <c r="G25" s="80">
        <v>120</v>
      </c>
      <c r="H25" s="79">
        <v>4</v>
      </c>
      <c r="I25" s="79">
        <v>2023</v>
      </c>
      <c r="J25" s="80">
        <v>120</v>
      </c>
      <c r="K25" s="79">
        <v>8</v>
      </c>
      <c r="L25" s="79">
        <v>2023</v>
      </c>
      <c r="M25" s="80">
        <v>120</v>
      </c>
      <c r="N25" s="79">
        <v>8</v>
      </c>
      <c r="O25" s="79">
        <v>2023</v>
      </c>
      <c r="P25" s="80">
        <v>120</v>
      </c>
      <c r="Q25" s="79">
        <v>8</v>
      </c>
      <c r="R25" s="79"/>
      <c r="S25" s="80"/>
      <c r="T25" s="79"/>
      <c r="U25" s="75">
        <f t="shared" si="0"/>
        <v>32</v>
      </c>
      <c r="V25" s="89"/>
      <c r="W25" s="98"/>
      <c r="X25" s="184"/>
      <c r="Y25" s="185"/>
    </row>
    <row r="26" spans="1:25" ht="24" customHeight="1" x14ac:dyDescent="0.2">
      <c r="A26" s="91"/>
      <c r="B26" s="91"/>
      <c r="C26" s="79">
        <v>2023</v>
      </c>
      <c r="D26" s="80">
        <v>151</v>
      </c>
      <c r="E26" s="79">
        <v>4</v>
      </c>
      <c r="F26" s="79">
        <v>2023</v>
      </c>
      <c r="G26" s="80">
        <v>151</v>
      </c>
      <c r="H26" s="79">
        <v>4</v>
      </c>
      <c r="I26" s="79"/>
      <c r="J26" s="80"/>
      <c r="K26" s="79"/>
      <c r="L26" s="79"/>
      <c r="M26" s="80"/>
      <c r="N26" s="79"/>
      <c r="O26" s="79"/>
      <c r="P26" s="80"/>
      <c r="Q26" s="79"/>
      <c r="R26" s="79"/>
      <c r="S26" s="80"/>
      <c r="T26" s="79"/>
      <c r="U26" s="75">
        <f t="shared" si="0"/>
        <v>8</v>
      </c>
      <c r="V26" s="89"/>
      <c r="W26" s="98"/>
      <c r="X26" s="184"/>
      <c r="Y26" s="185"/>
    </row>
    <row r="27" spans="1:25" ht="24" customHeight="1" x14ac:dyDescent="0.2">
      <c r="A27" s="91">
        <v>9</v>
      </c>
      <c r="B27" s="81" t="s">
        <v>98</v>
      </c>
      <c r="C27" s="86" t="s">
        <v>87</v>
      </c>
      <c r="D27" s="87"/>
      <c r="E27" s="86">
        <v>8</v>
      </c>
      <c r="F27" s="86" t="s">
        <v>85</v>
      </c>
      <c r="G27" s="80"/>
      <c r="H27" s="79"/>
      <c r="I27" s="79">
        <v>2023</v>
      </c>
      <c r="J27" s="80">
        <v>151</v>
      </c>
      <c r="K27" s="79">
        <v>8</v>
      </c>
      <c r="L27" s="79">
        <v>2023</v>
      </c>
      <c r="M27" s="80">
        <v>120</v>
      </c>
      <c r="N27" s="79">
        <v>8</v>
      </c>
      <c r="O27" s="79">
        <v>2023</v>
      </c>
      <c r="P27" s="80">
        <v>120</v>
      </c>
      <c r="Q27" s="79">
        <v>8</v>
      </c>
      <c r="R27" s="79"/>
      <c r="S27" s="80"/>
      <c r="T27" s="79"/>
      <c r="U27" s="75">
        <f t="shared" si="0"/>
        <v>32</v>
      </c>
      <c r="V27" s="94"/>
      <c r="W27" s="98"/>
      <c r="X27" s="184"/>
      <c r="Y27" s="185"/>
    </row>
    <row r="28" spans="1:25" ht="24" customHeight="1" x14ac:dyDescent="0.2">
      <c r="A28" s="91"/>
      <c r="B28" s="91"/>
      <c r="C28" s="79"/>
      <c r="D28" s="80"/>
      <c r="E28" s="79"/>
      <c r="F28" s="79"/>
      <c r="G28" s="80"/>
      <c r="H28" s="79"/>
      <c r="I28" s="79"/>
      <c r="J28" s="80"/>
      <c r="K28" s="79"/>
      <c r="L28" s="79"/>
      <c r="M28" s="80"/>
      <c r="N28" s="79"/>
      <c r="O28" s="79"/>
      <c r="P28" s="80"/>
      <c r="Q28" s="79"/>
      <c r="R28" s="79"/>
      <c r="S28" s="80"/>
      <c r="T28" s="79"/>
      <c r="U28" s="75">
        <f t="shared" si="0"/>
        <v>0</v>
      </c>
      <c r="V28" s="94"/>
    </row>
    <row r="29" spans="1:25" ht="24" customHeight="1" x14ac:dyDescent="0.2">
      <c r="A29" s="91">
        <v>10</v>
      </c>
      <c r="B29" s="81" t="s">
        <v>90</v>
      </c>
      <c r="C29" s="86" t="s">
        <v>87</v>
      </c>
      <c r="D29" s="87"/>
      <c r="E29" s="86">
        <v>8</v>
      </c>
      <c r="F29" s="79">
        <v>2023</v>
      </c>
      <c r="G29" s="80">
        <v>151</v>
      </c>
      <c r="H29" s="79">
        <v>8</v>
      </c>
      <c r="I29" s="79">
        <v>2023</v>
      </c>
      <c r="J29" s="80">
        <v>151</v>
      </c>
      <c r="K29" s="79">
        <v>8</v>
      </c>
      <c r="L29" s="79">
        <v>2023</v>
      </c>
      <c r="M29" s="80">
        <v>120</v>
      </c>
      <c r="N29" s="79">
        <v>4</v>
      </c>
      <c r="O29" s="79">
        <v>2023</v>
      </c>
      <c r="P29" s="80">
        <v>120</v>
      </c>
      <c r="Q29" s="79">
        <v>8</v>
      </c>
      <c r="R29" s="79"/>
      <c r="S29" s="80"/>
      <c r="T29" s="79"/>
      <c r="U29" s="75">
        <f t="shared" si="0"/>
        <v>36</v>
      </c>
      <c r="V29" s="94"/>
    </row>
    <row r="30" spans="1:25" ht="24" customHeight="1" x14ac:dyDescent="0.2">
      <c r="A30" s="91"/>
      <c r="B30" s="81"/>
      <c r="C30" s="86" t="s">
        <v>136</v>
      </c>
      <c r="D30" s="87"/>
      <c r="E30" s="86"/>
      <c r="F30" s="79"/>
      <c r="G30" s="80"/>
      <c r="H30" s="79"/>
      <c r="I30" s="79"/>
      <c r="J30" s="80"/>
      <c r="K30" s="79"/>
      <c r="L30" s="79">
        <v>2023</v>
      </c>
      <c r="M30" s="80">
        <v>151</v>
      </c>
      <c r="N30" s="79">
        <v>4</v>
      </c>
      <c r="O30" s="79"/>
      <c r="P30" s="80"/>
      <c r="Q30" s="79"/>
      <c r="R30" s="79"/>
      <c r="S30" s="80"/>
      <c r="T30" s="79"/>
      <c r="U30" s="75">
        <f t="shared" si="0"/>
        <v>4</v>
      </c>
      <c r="V30" s="94"/>
    </row>
    <row r="31" spans="1:25" ht="24" customHeight="1" x14ac:dyDescent="0.2">
      <c r="A31" s="91">
        <v>11</v>
      </c>
      <c r="B31" s="81" t="s">
        <v>89</v>
      </c>
      <c r="C31" s="86" t="s">
        <v>85</v>
      </c>
      <c r="D31" s="87"/>
      <c r="E31" s="86"/>
      <c r="F31" s="86" t="s">
        <v>85</v>
      </c>
      <c r="G31" s="87"/>
      <c r="H31" s="86"/>
      <c r="I31" s="86" t="s">
        <v>85</v>
      </c>
      <c r="J31" s="80"/>
      <c r="K31" s="79"/>
      <c r="L31" s="79">
        <v>2023</v>
      </c>
      <c r="M31" s="80">
        <v>120</v>
      </c>
      <c r="N31" s="79">
        <v>8</v>
      </c>
      <c r="O31" s="79">
        <v>2023</v>
      </c>
      <c r="P31" s="80">
        <v>120</v>
      </c>
      <c r="Q31" s="79">
        <v>8</v>
      </c>
      <c r="R31" s="79"/>
      <c r="S31" s="80"/>
      <c r="T31" s="79"/>
      <c r="U31" s="75">
        <f t="shared" si="0"/>
        <v>16</v>
      </c>
      <c r="V31" s="94"/>
    </row>
    <row r="32" spans="1:25" ht="24" customHeight="1" x14ac:dyDescent="0.2">
      <c r="A32" s="91"/>
      <c r="B32" s="81"/>
      <c r="C32" s="86"/>
      <c r="D32" s="87"/>
      <c r="E32" s="86"/>
      <c r="F32" s="86"/>
      <c r="G32" s="87"/>
      <c r="H32" s="86"/>
      <c r="I32" s="86"/>
      <c r="J32" s="80"/>
      <c r="K32" s="79"/>
      <c r="L32" s="79"/>
      <c r="M32" s="80"/>
      <c r="N32" s="79"/>
      <c r="O32" s="79"/>
      <c r="P32" s="80"/>
      <c r="Q32" s="79"/>
      <c r="R32" s="88"/>
      <c r="S32" s="80"/>
      <c r="T32" s="79"/>
      <c r="U32" s="75">
        <f t="shared" si="0"/>
        <v>0</v>
      </c>
      <c r="V32" s="94"/>
    </row>
    <row r="33" spans="1:25" customFormat="1" ht="24" customHeight="1" x14ac:dyDescent="0.2">
      <c r="A33" s="121"/>
      <c r="B33" s="122" t="s">
        <v>86</v>
      </c>
      <c r="C33" s="117">
        <v>2023</v>
      </c>
      <c r="D33" s="118">
        <v>151</v>
      </c>
      <c r="E33" s="117">
        <v>8</v>
      </c>
      <c r="F33" s="125">
        <v>2023</v>
      </c>
      <c r="G33" s="126">
        <v>120</v>
      </c>
      <c r="H33" s="125">
        <v>5</v>
      </c>
      <c r="I33" s="117">
        <v>2027</v>
      </c>
      <c r="J33" s="118">
        <v>110</v>
      </c>
      <c r="K33" s="117">
        <v>8</v>
      </c>
      <c r="L33" s="117">
        <v>2027</v>
      </c>
      <c r="M33" s="118">
        <v>110</v>
      </c>
      <c r="N33" s="117">
        <v>8</v>
      </c>
      <c r="O33" s="117">
        <v>2023</v>
      </c>
      <c r="P33" s="119">
        <v>120</v>
      </c>
      <c r="Q33" s="117">
        <v>8</v>
      </c>
      <c r="R33" s="120"/>
      <c r="S33" s="119"/>
      <c r="T33" s="120"/>
      <c r="U33" s="123">
        <f t="shared" ref="U33:U36" si="1">SUM(B33,E33,H33,K33,N33,Q33,T33)</f>
        <v>37</v>
      </c>
      <c r="V33" s="124"/>
      <c r="W33" s="45"/>
      <c r="X33" s="186"/>
      <c r="Y33" s="187"/>
    </row>
    <row r="34" spans="1:25" customFormat="1" ht="24" customHeight="1" x14ac:dyDescent="0.2">
      <c r="A34" s="121"/>
      <c r="B34" s="127"/>
      <c r="C34" s="117"/>
      <c r="D34" s="118"/>
      <c r="E34" s="117"/>
      <c r="F34" s="125" t="s">
        <v>100</v>
      </c>
      <c r="G34" s="126"/>
      <c r="H34" s="125"/>
      <c r="I34" s="117"/>
      <c r="J34" s="118"/>
      <c r="K34" s="117"/>
      <c r="L34" s="117"/>
      <c r="M34" s="118"/>
      <c r="N34" s="120"/>
      <c r="O34" s="117"/>
      <c r="P34" s="119"/>
      <c r="Q34" s="117"/>
      <c r="R34" s="120"/>
      <c r="S34" s="119"/>
      <c r="T34" s="120"/>
      <c r="U34" s="123">
        <f t="shared" si="1"/>
        <v>0</v>
      </c>
      <c r="V34" s="124"/>
      <c r="W34" s="45"/>
      <c r="X34" s="186"/>
      <c r="Y34" s="187"/>
    </row>
    <row r="35" spans="1:25" customFormat="1" ht="24" customHeight="1" x14ac:dyDescent="0.2">
      <c r="A35" s="121"/>
      <c r="B35" s="122" t="s">
        <v>103</v>
      </c>
      <c r="C35" s="117">
        <v>2023</v>
      </c>
      <c r="D35" s="118">
        <v>151</v>
      </c>
      <c r="E35" s="117">
        <v>8</v>
      </c>
      <c r="F35" s="117">
        <v>2023</v>
      </c>
      <c r="G35" s="118">
        <v>120</v>
      </c>
      <c r="H35" s="125">
        <v>5</v>
      </c>
      <c r="I35" s="125" t="s">
        <v>138</v>
      </c>
      <c r="J35" s="126"/>
      <c r="K35" s="125">
        <v>0</v>
      </c>
      <c r="L35" s="125" t="s">
        <v>138</v>
      </c>
      <c r="M35" s="126"/>
      <c r="N35" s="125">
        <v>0</v>
      </c>
      <c r="O35" s="117">
        <v>2023</v>
      </c>
      <c r="P35" s="118">
        <v>130</v>
      </c>
      <c r="Q35" s="117">
        <v>8</v>
      </c>
      <c r="R35" s="117"/>
      <c r="S35" s="118"/>
      <c r="T35" s="117"/>
      <c r="U35" s="123">
        <f t="shared" si="1"/>
        <v>21</v>
      </c>
      <c r="V35" s="124"/>
      <c r="W35" s="45"/>
      <c r="X35" s="186"/>
      <c r="Y35" s="187"/>
    </row>
    <row r="36" spans="1:25" customFormat="1" ht="24" customHeight="1" x14ac:dyDescent="0.2">
      <c r="A36" s="121"/>
      <c r="B36" s="121"/>
      <c r="C36" s="117"/>
      <c r="D36" s="118"/>
      <c r="E36" s="117"/>
      <c r="F36" s="125" t="s">
        <v>100</v>
      </c>
      <c r="G36" s="126"/>
      <c r="H36" s="117"/>
      <c r="I36" s="117"/>
      <c r="J36" s="118"/>
      <c r="K36" s="117"/>
      <c r="L36" s="117"/>
      <c r="M36" s="118"/>
      <c r="N36" s="117"/>
      <c r="O36" s="117"/>
      <c r="P36" s="118"/>
      <c r="Q36" s="117"/>
      <c r="R36" s="117"/>
      <c r="S36" s="118"/>
      <c r="T36" s="117"/>
      <c r="U36" s="123">
        <f t="shared" si="1"/>
        <v>0</v>
      </c>
      <c r="V36" s="124"/>
      <c r="W36" s="45"/>
      <c r="X36" s="186"/>
      <c r="Y36" s="187"/>
    </row>
    <row r="37" spans="1:25" ht="24" customHeight="1" x14ac:dyDescent="0.2">
      <c r="A37" s="91"/>
      <c r="B37" s="81"/>
      <c r="C37" s="79"/>
      <c r="D37" s="80"/>
      <c r="E37" s="79"/>
      <c r="F37" s="79"/>
      <c r="G37" s="80"/>
      <c r="H37" s="79"/>
      <c r="I37" s="79"/>
      <c r="J37" s="80"/>
      <c r="K37" s="79"/>
      <c r="L37" s="79"/>
      <c r="M37" s="80"/>
      <c r="N37" s="79"/>
      <c r="O37" s="79"/>
      <c r="P37" s="80"/>
      <c r="Q37" s="79"/>
      <c r="R37" s="79"/>
      <c r="S37" s="80"/>
      <c r="T37" s="79"/>
      <c r="U37" s="75">
        <f>SUM(B37,E37,H37,K37,N37,Q37,T37)</f>
        <v>0</v>
      </c>
      <c r="V37" s="94"/>
    </row>
    <row r="38" spans="1:25" ht="24" customHeight="1" x14ac:dyDescent="0.2">
      <c r="A38" s="91"/>
      <c r="B38" s="91"/>
      <c r="C38" s="79"/>
      <c r="D38" s="80"/>
      <c r="E38" s="79"/>
      <c r="F38" s="79"/>
      <c r="G38" s="80"/>
      <c r="H38" s="79"/>
      <c r="I38" s="79"/>
      <c r="J38" s="80"/>
      <c r="K38" s="79"/>
      <c r="L38" s="79"/>
      <c r="M38" s="80"/>
      <c r="N38" s="79"/>
      <c r="O38" s="79"/>
      <c r="P38" s="80"/>
      <c r="Q38" s="79"/>
      <c r="R38" s="79"/>
      <c r="S38" s="80"/>
      <c r="T38" s="79"/>
      <c r="U38" s="75">
        <f>SUM(B38,E38,H38,K38,N38,Q38,T38)</f>
        <v>0</v>
      </c>
      <c r="V38" s="94"/>
    </row>
    <row r="39" spans="1:25" ht="24" customHeight="1" x14ac:dyDescent="0.2">
      <c r="A39" s="72"/>
    </row>
    <row r="40" spans="1:25" ht="24" customHeight="1" x14ac:dyDescent="0.2">
      <c r="A40" s="72"/>
    </row>
    <row r="41" spans="1:25" ht="24" customHeight="1" x14ac:dyDescent="0.2">
      <c r="A41" s="72"/>
    </row>
    <row r="42" spans="1:25" ht="24" customHeight="1" x14ac:dyDescent="0.2">
      <c r="A42" s="72"/>
    </row>
    <row r="43" spans="1:25" ht="24" customHeight="1" x14ac:dyDescent="0.2">
      <c r="A43" s="72"/>
    </row>
    <row r="44" spans="1:25" ht="24" customHeight="1" x14ac:dyDescent="0.2">
      <c r="A44" s="72"/>
    </row>
    <row r="45" spans="1:25" ht="24" customHeight="1" x14ac:dyDescent="0.2">
      <c r="A45" s="72"/>
    </row>
    <row r="46" spans="1:25" ht="24" customHeight="1" x14ac:dyDescent="0.2">
      <c r="A46" s="72"/>
    </row>
    <row r="47" spans="1:25" ht="24" customHeight="1" x14ac:dyDescent="0.2">
      <c r="A47" s="72"/>
    </row>
    <row r="48" spans="1:25" ht="24" customHeight="1" x14ac:dyDescent="0.2">
      <c r="A48" s="72"/>
    </row>
    <row r="49" spans="1:1" ht="24" customHeight="1" x14ac:dyDescent="0.2">
      <c r="A49" s="72"/>
    </row>
    <row r="50" spans="1:1" ht="24" customHeight="1" x14ac:dyDescent="0.2">
      <c r="A50" s="72"/>
    </row>
    <row r="51" spans="1:1" ht="24" customHeight="1" x14ac:dyDescent="0.2">
      <c r="A51" s="72"/>
    </row>
    <row r="52" spans="1:1" ht="24" customHeight="1" x14ac:dyDescent="0.2">
      <c r="A52" s="72"/>
    </row>
    <row r="53" spans="1:1" ht="24" customHeight="1" x14ac:dyDescent="0.2">
      <c r="A53" s="72"/>
    </row>
    <row r="54" spans="1:1" ht="24" customHeight="1" x14ac:dyDescent="0.2">
      <c r="A54" s="72"/>
    </row>
    <row r="55" spans="1:1" ht="24" customHeight="1" x14ac:dyDescent="0.2">
      <c r="A55" s="72"/>
    </row>
    <row r="56" spans="1:1" ht="24" customHeight="1" x14ac:dyDescent="0.2">
      <c r="A56" s="72"/>
    </row>
    <row r="57" spans="1:1" ht="24" customHeight="1" x14ac:dyDescent="0.2">
      <c r="A57" s="72"/>
    </row>
    <row r="58" spans="1:1" ht="24" customHeight="1" x14ac:dyDescent="0.2">
      <c r="A58" s="72"/>
    </row>
    <row r="59" spans="1:1" ht="24" customHeight="1" x14ac:dyDescent="0.2">
      <c r="A59" s="72"/>
    </row>
    <row r="60" spans="1:1" ht="24" customHeight="1" x14ac:dyDescent="0.2">
      <c r="A60" s="72"/>
    </row>
    <row r="61" spans="1:1" ht="24" customHeight="1" x14ac:dyDescent="0.2">
      <c r="A61" s="72"/>
    </row>
    <row r="62" spans="1:1" ht="24" customHeight="1" x14ac:dyDescent="0.2">
      <c r="A62" s="72"/>
    </row>
    <row r="63" spans="1:1" ht="24" customHeight="1" x14ac:dyDescent="0.2">
      <c r="A63" s="72"/>
    </row>
    <row r="64" spans="1:1" ht="24" customHeight="1" x14ac:dyDescent="0.2">
      <c r="A64" s="72"/>
    </row>
    <row r="65" spans="1:1" ht="24" customHeight="1" x14ac:dyDescent="0.2">
      <c r="A65" s="72"/>
    </row>
    <row r="66" spans="1:1" ht="24" customHeight="1" x14ac:dyDescent="0.2">
      <c r="A66" s="72"/>
    </row>
    <row r="67" spans="1:1" ht="24" customHeight="1" x14ac:dyDescent="0.2">
      <c r="A67" s="72"/>
    </row>
    <row r="68" spans="1:1" ht="24" customHeight="1" x14ac:dyDescent="0.2">
      <c r="A68" s="72"/>
    </row>
    <row r="69" spans="1:1" ht="24" customHeight="1" x14ac:dyDescent="0.2">
      <c r="A69" s="72"/>
    </row>
    <row r="70" spans="1:1" ht="24" customHeight="1" x14ac:dyDescent="0.2">
      <c r="A70" s="72"/>
    </row>
    <row r="71" spans="1:1" ht="24" customHeight="1" x14ac:dyDescent="0.2">
      <c r="A71" s="72"/>
    </row>
    <row r="72" spans="1:1" ht="24" customHeight="1" x14ac:dyDescent="0.2">
      <c r="A72" s="72"/>
    </row>
    <row r="73" spans="1:1" ht="24" customHeight="1" x14ac:dyDescent="0.2">
      <c r="A73" s="72"/>
    </row>
    <row r="74" spans="1:1" ht="24" customHeight="1" x14ac:dyDescent="0.2">
      <c r="A74" s="72"/>
    </row>
    <row r="75" spans="1:1" ht="24" customHeight="1" x14ac:dyDescent="0.2">
      <c r="A75" s="72"/>
    </row>
    <row r="76" spans="1:1" ht="24" customHeight="1" x14ac:dyDescent="0.2">
      <c r="A76" s="72"/>
    </row>
    <row r="77" spans="1:1" x14ac:dyDescent="0.2">
      <c r="A77" s="72"/>
    </row>
    <row r="78" spans="1:1" x14ac:dyDescent="0.2">
      <c r="A78" s="72"/>
    </row>
    <row r="79" spans="1:1" x14ac:dyDescent="0.2">
      <c r="A79" s="72"/>
    </row>
    <row r="80" spans="1:1" x14ac:dyDescent="0.2">
      <c r="A80" s="72"/>
    </row>
    <row r="81" spans="1:1" x14ac:dyDescent="0.2">
      <c r="A81" s="72"/>
    </row>
    <row r="82" spans="1:1" x14ac:dyDescent="0.2">
      <c r="A82" s="72"/>
    </row>
    <row r="83" spans="1:1" x14ac:dyDescent="0.2">
      <c r="A83" s="72"/>
    </row>
    <row r="84" spans="1:1" x14ac:dyDescent="0.2">
      <c r="A84" s="72"/>
    </row>
    <row r="85" spans="1:1" x14ac:dyDescent="0.2">
      <c r="A85" s="72"/>
    </row>
    <row r="86" spans="1:1" x14ac:dyDescent="0.2">
      <c r="A86" s="72"/>
    </row>
    <row r="87" spans="1:1" x14ac:dyDescent="0.2">
      <c r="A87" s="72"/>
    </row>
    <row r="88" spans="1:1" x14ac:dyDescent="0.2">
      <c r="A88" s="72"/>
    </row>
    <row r="89" spans="1:1" x14ac:dyDescent="0.2">
      <c r="A89" s="72"/>
    </row>
    <row r="90" spans="1:1" x14ac:dyDescent="0.2">
      <c r="A90" s="72"/>
    </row>
    <row r="91" spans="1:1" x14ac:dyDescent="0.2">
      <c r="A91" s="72"/>
    </row>
    <row r="92" spans="1:1" x14ac:dyDescent="0.2">
      <c r="A92" s="72"/>
    </row>
    <row r="93" spans="1:1" x14ac:dyDescent="0.2">
      <c r="A93" s="72"/>
    </row>
    <row r="94" spans="1:1" x14ac:dyDescent="0.2">
      <c r="A94" s="72"/>
    </row>
    <row r="95" spans="1:1" x14ac:dyDescent="0.2">
      <c r="A95" s="72"/>
    </row>
    <row r="96" spans="1:1" x14ac:dyDescent="0.2">
      <c r="A96" s="72"/>
    </row>
    <row r="97" spans="1:1" x14ac:dyDescent="0.2">
      <c r="A97" s="72"/>
    </row>
    <row r="98" spans="1:1" x14ac:dyDescent="0.2">
      <c r="A98" s="72"/>
    </row>
    <row r="99" spans="1:1" x14ac:dyDescent="0.2">
      <c r="A99" s="72"/>
    </row>
    <row r="100" spans="1:1" x14ac:dyDescent="0.2">
      <c r="A100" s="72"/>
    </row>
    <row r="101" spans="1:1" x14ac:dyDescent="0.2">
      <c r="A101" s="72"/>
    </row>
    <row r="102" spans="1:1" x14ac:dyDescent="0.2">
      <c r="A102" s="72"/>
    </row>
    <row r="103" spans="1:1" x14ac:dyDescent="0.2">
      <c r="A103" s="72"/>
    </row>
    <row r="104" spans="1:1" x14ac:dyDescent="0.2">
      <c r="A104" s="72"/>
    </row>
  </sheetData>
  <sheetProtection formatCells="0" selectLockedCells="1" selectUnlockedCells="1"/>
  <mergeCells count="47">
    <mergeCell ref="C1:E1"/>
    <mergeCell ref="C2:E2"/>
    <mergeCell ref="C3:E3"/>
    <mergeCell ref="C4:E4"/>
    <mergeCell ref="F1:H1"/>
    <mergeCell ref="F2:H2"/>
    <mergeCell ref="F3:H3"/>
    <mergeCell ref="F4:H4"/>
    <mergeCell ref="I1:K1"/>
    <mergeCell ref="I2:K2"/>
    <mergeCell ref="I3:K3"/>
    <mergeCell ref="I4:K4"/>
    <mergeCell ref="R1:T1"/>
    <mergeCell ref="R2:T2"/>
    <mergeCell ref="R3:T3"/>
    <mergeCell ref="R4:T4"/>
    <mergeCell ref="L4:N4"/>
    <mergeCell ref="O2:Q2"/>
    <mergeCell ref="O3:Q3"/>
    <mergeCell ref="O4:Q4"/>
    <mergeCell ref="L1:Q1"/>
    <mergeCell ref="L2:N2"/>
    <mergeCell ref="L3:N3"/>
    <mergeCell ref="A5:A6"/>
    <mergeCell ref="B5:T5"/>
    <mergeCell ref="X13:Y13"/>
    <mergeCell ref="X14:Y14"/>
    <mergeCell ref="X15:Y15"/>
    <mergeCell ref="X10:Y10"/>
    <mergeCell ref="X36:Y36"/>
    <mergeCell ref="X25:Y25"/>
    <mergeCell ref="X26:Y26"/>
    <mergeCell ref="X27:Y27"/>
    <mergeCell ref="X19:Y19"/>
    <mergeCell ref="X20:Y20"/>
    <mergeCell ref="X21:Y21"/>
    <mergeCell ref="X22:Y22"/>
    <mergeCell ref="X23:Y23"/>
    <mergeCell ref="X24:Y24"/>
    <mergeCell ref="X11:Y11"/>
    <mergeCell ref="X12:Y12"/>
    <mergeCell ref="X33:Y33"/>
    <mergeCell ref="X34:Y34"/>
    <mergeCell ref="X35:Y35"/>
    <mergeCell ref="X16:Y16"/>
    <mergeCell ref="X17:Y17"/>
    <mergeCell ref="X18:Y18"/>
  </mergeCells>
  <printOptions horizontalCentered="1" verticalCentered="1" gridLines="1"/>
  <pageMargins left="0.5" right="0.5" top="0.5" bottom="0.25" header="0" footer="0"/>
  <pageSetup scale="65" orientation="landscape" r:id="rId1"/>
  <headerFooter alignWithMargins="0">
    <oddHeader>&amp;LFAX-425-487-1568&amp;CTIMESHEET</oddHeader>
  </headerFooter>
  <colBreaks count="1" manualBreakCount="1">
    <brk id="21" max="68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1"/>
  <sheetViews>
    <sheetView workbookViewId="0">
      <selection activeCell="H18" sqref="H18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134</v>
      </c>
      <c r="D1" s="176"/>
      <c r="E1" s="176"/>
      <c r="F1" s="174" t="s">
        <v>133</v>
      </c>
      <c r="G1" s="176"/>
      <c r="H1" s="176"/>
      <c r="I1" s="165" t="s">
        <v>132</v>
      </c>
      <c r="J1" s="166"/>
      <c r="K1" s="166"/>
      <c r="L1" s="179" t="s">
        <v>131</v>
      </c>
      <c r="M1" s="179"/>
      <c r="N1" s="179"/>
      <c r="O1" s="179"/>
      <c r="P1" s="179"/>
      <c r="Q1" s="179"/>
      <c r="R1" s="175" t="s">
        <v>130</v>
      </c>
      <c r="S1" s="175"/>
      <c r="T1" s="175"/>
      <c r="U1" s="109"/>
      <c r="V1" s="112"/>
    </row>
    <row r="2" spans="1:25" ht="24" customHeight="1" thickBot="1" x14ac:dyDescent="0.25">
      <c r="A2" s="103"/>
      <c r="B2" s="110" t="s">
        <v>129</v>
      </c>
      <c r="C2" s="175" t="s">
        <v>128</v>
      </c>
      <c r="D2" s="175"/>
      <c r="E2" s="175"/>
      <c r="F2" s="174" t="s">
        <v>127</v>
      </c>
      <c r="G2" s="176"/>
      <c r="H2" s="176"/>
      <c r="I2" s="167"/>
      <c r="J2" s="167"/>
      <c r="K2" s="167"/>
      <c r="L2" s="174" t="s">
        <v>126</v>
      </c>
      <c r="M2" s="175"/>
      <c r="N2" s="175"/>
      <c r="O2" s="174" t="s">
        <v>125</v>
      </c>
      <c r="P2" s="174"/>
      <c r="Q2" s="174"/>
      <c r="R2" s="175" t="s">
        <v>124</v>
      </c>
      <c r="S2" s="175"/>
      <c r="T2" s="175"/>
      <c r="U2" s="109"/>
      <c r="V2" s="112"/>
    </row>
    <row r="3" spans="1:25" ht="24" customHeight="1" x14ac:dyDescent="0.2">
      <c r="A3" s="103"/>
      <c r="B3" s="110" t="s">
        <v>123</v>
      </c>
      <c r="C3" s="174" t="s">
        <v>122</v>
      </c>
      <c r="D3" s="174"/>
      <c r="E3" s="174"/>
      <c r="F3" s="174" t="s">
        <v>121</v>
      </c>
      <c r="G3" s="176"/>
      <c r="H3" s="176"/>
      <c r="I3" s="168" t="s">
        <v>120</v>
      </c>
      <c r="J3" s="169"/>
      <c r="K3" s="170"/>
      <c r="L3" s="174" t="s">
        <v>119</v>
      </c>
      <c r="M3" s="175"/>
      <c r="N3" s="175"/>
      <c r="O3" s="174" t="s">
        <v>118</v>
      </c>
      <c r="P3" s="174"/>
      <c r="Q3" s="174"/>
      <c r="R3" s="175" t="s">
        <v>117</v>
      </c>
      <c r="S3" s="175"/>
      <c r="T3" s="175"/>
      <c r="U3" s="109"/>
      <c r="V3" s="111"/>
    </row>
    <row r="4" spans="1:25" ht="24" customHeight="1" thickBot="1" x14ac:dyDescent="0.25">
      <c r="A4" s="103"/>
      <c r="B4" s="110" t="s">
        <v>116</v>
      </c>
      <c r="C4" s="174" t="s">
        <v>115</v>
      </c>
      <c r="D4" s="176"/>
      <c r="E4" s="176"/>
      <c r="F4" s="174" t="s">
        <v>114</v>
      </c>
      <c r="G4" s="176"/>
      <c r="H4" s="176"/>
      <c r="I4" s="171" t="s">
        <v>113</v>
      </c>
      <c r="J4" s="172"/>
      <c r="K4" s="173"/>
      <c r="L4" s="174" t="s">
        <v>112</v>
      </c>
      <c r="M4" s="175"/>
      <c r="N4" s="175"/>
      <c r="O4" s="178" t="s">
        <v>111</v>
      </c>
      <c r="P4" s="178"/>
      <c r="Q4" s="178"/>
      <c r="R4" s="177" t="s">
        <v>161</v>
      </c>
      <c r="S4" s="177"/>
      <c r="T4" s="177"/>
      <c r="U4" s="109"/>
      <c r="V4" s="89"/>
    </row>
    <row r="5" spans="1:25" ht="24" customHeight="1" thickBot="1" x14ac:dyDescent="0.25">
      <c r="A5" s="180"/>
      <c r="B5" s="181" t="s">
        <v>97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42488</v>
      </c>
      <c r="D6" s="107"/>
      <c r="E6" s="107"/>
      <c r="F6" s="107">
        <f>C6+1</f>
        <v>42489</v>
      </c>
      <c r="G6" s="107"/>
      <c r="H6" s="107"/>
      <c r="I6" s="107">
        <f>F6+3</f>
        <v>42492</v>
      </c>
      <c r="J6" s="107"/>
      <c r="K6" s="107"/>
      <c r="L6" s="107">
        <f>I6+1</f>
        <v>42493</v>
      </c>
      <c r="M6" s="107"/>
      <c r="N6" s="107"/>
      <c r="O6" s="107">
        <f>L6+1</f>
        <v>42494</v>
      </c>
      <c r="P6" s="107"/>
      <c r="Q6" s="107"/>
      <c r="R6" s="107">
        <f>F6+1</f>
        <v>42490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 t="s">
        <v>110</v>
      </c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customFormat="1" ht="24" customHeight="1" x14ac:dyDescent="0.2">
      <c r="A8" s="121"/>
      <c r="B8" s="122" t="s">
        <v>108</v>
      </c>
      <c r="C8" s="117">
        <v>2023</v>
      </c>
      <c r="D8" s="118">
        <v>120</v>
      </c>
      <c r="E8" s="117">
        <v>4</v>
      </c>
      <c r="F8" s="117">
        <v>2023</v>
      </c>
      <c r="G8" s="118">
        <v>120</v>
      </c>
      <c r="H8" s="117">
        <v>2</v>
      </c>
      <c r="I8" s="117">
        <v>2027</v>
      </c>
      <c r="J8" s="118">
        <v>110</v>
      </c>
      <c r="K8" s="117">
        <v>8</v>
      </c>
      <c r="L8" s="117">
        <v>2027</v>
      </c>
      <c r="M8" s="119">
        <v>110</v>
      </c>
      <c r="N8" s="117">
        <v>9</v>
      </c>
      <c r="O8" s="117">
        <v>2023</v>
      </c>
      <c r="P8" s="119">
        <v>142</v>
      </c>
      <c r="Q8" s="120">
        <v>4</v>
      </c>
      <c r="R8" s="120"/>
      <c r="S8" s="119"/>
      <c r="T8" s="120"/>
      <c r="U8" s="123">
        <f t="shared" ref="U8:U12" si="0">SUM(B8,E8,H8,K8,N8,Q8,T8)</f>
        <v>27</v>
      </c>
      <c r="V8" s="124"/>
      <c r="W8" s="45"/>
      <c r="X8" s="186"/>
      <c r="Y8" s="187"/>
    </row>
    <row r="9" spans="1:25" customFormat="1" ht="24" customHeight="1" x14ac:dyDescent="0.2">
      <c r="A9" s="121"/>
      <c r="B9" s="122"/>
      <c r="C9" s="117">
        <v>2023</v>
      </c>
      <c r="D9" s="118">
        <v>151</v>
      </c>
      <c r="E9" s="117">
        <v>4</v>
      </c>
      <c r="F9" s="117">
        <v>2023</v>
      </c>
      <c r="G9" s="118">
        <v>151</v>
      </c>
      <c r="H9" s="117">
        <v>2</v>
      </c>
      <c r="I9" s="117"/>
      <c r="J9" s="118"/>
      <c r="K9" s="117"/>
      <c r="L9" s="117"/>
      <c r="M9" s="119"/>
      <c r="N9" s="120"/>
      <c r="O9" s="117">
        <v>2023</v>
      </c>
      <c r="P9" s="118">
        <v>151</v>
      </c>
      <c r="Q9" s="117">
        <v>4</v>
      </c>
      <c r="R9" s="120"/>
      <c r="S9" s="119"/>
      <c r="T9" s="120"/>
      <c r="U9" s="123">
        <f t="shared" si="0"/>
        <v>10</v>
      </c>
      <c r="V9" s="124"/>
      <c r="W9" s="45"/>
      <c r="X9" s="186"/>
      <c r="Y9" s="187"/>
    </row>
    <row r="10" spans="1:25" customFormat="1" ht="24" customHeight="1" x14ac:dyDescent="0.2">
      <c r="A10" s="121"/>
      <c r="B10" s="122"/>
      <c r="C10" s="120"/>
      <c r="D10" s="119"/>
      <c r="E10" s="120"/>
      <c r="F10" s="117">
        <v>2027</v>
      </c>
      <c r="G10" s="118">
        <v>110</v>
      </c>
      <c r="H10" s="117">
        <v>4</v>
      </c>
      <c r="I10" s="117"/>
      <c r="J10" s="119"/>
      <c r="K10" s="117"/>
      <c r="L10" s="117"/>
      <c r="M10" s="119"/>
      <c r="N10" s="117"/>
      <c r="O10" s="117"/>
      <c r="P10" s="119"/>
      <c r="Q10" s="117"/>
      <c r="R10" s="120"/>
      <c r="S10" s="119"/>
      <c r="T10" s="120"/>
      <c r="U10" s="123">
        <f t="shared" si="0"/>
        <v>4</v>
      </c>
      <c r="V10" s="124"/>
      <c r="W10" s="45"/>
      <c r="X10" s="186"/>
      <c r="Y10" s="187"/>
    </row>
    <row r="11" spans="1:25" ht="24" customHeight="1" x14ac:dyDescent="0.2">
      <c r="A11" s="103"/>
      <c r="B11" s="81" t="s">
        <v>109</v>
      </c>
      <c r="C11" s="79">
        <v>2023</v>
      </c>
      <c r="D11" s="80">
        <v>151</v>
      </c>
      <c r="E11" s="79">
        <v>8</v>
      </c>
      <c r="F11" s="79">
        <v>2023</v>
      </c>
      <c r="G11" s="80">
        <v>120</v>
      </c>
      <c r="H11" s="79">
        <v>8</v>
      </c>
      <c r="I11" s="86" t="s">
        <v>85</v>
      </c>
      <c r="J11" s="80"/>
      <c r="K11" s="79"/>
      <c r="L11" s="79">
        <v>2023</v>
      </c>
      <c r="M11" s="80">
        <v>120</v>
      </c>
      <c r="N11" s="79">
        <v>8</v>
      </c>
      <c r="O11" s="79">
        <v>2023</v>
      </c>
      <c r="P11" s="80">
        <v>151</v>
      </c>
      <c r="Q11" s="79">
        <v>8</v>
      </c>
      <c r="R11" s="102"/>
      <c r="S11" s="102"/>
      <c r="T11" s="102"/>
      <c r="U11" s="123">
        <f t="shared" si="0"/>
        <v>32</v>
      </c>
      <c r="V11" s="94"/>
      <c r="W11" s="98"/>
    </row>
    <row r="12" spans="1:25" ht="24" customHeight="1" x14ac:dyDescent="0.2">
      <c r="A12" s="103"/>
      <c r="B12" s="81"/>
      <c r="C12" s="79"/>
      <c r="D12" s="80"/>
      <c r="E12" s="79"/>
      <c r="F12" s="79"/>
      <c r="G12" s="80"/>
      <c r="H12" s="79"/>
      <c r="I12" s="79"/>
      <c r="J12" s="80"/>
      <c r="K12" s="79"/>
      <c r="L12" s="79"/>
      <c r="M12" s="80"/>
      <c r="N12" s="79"/>
      <c r="O12" s="79"/>
      <c r="P12" s="102"/>
      <c r="Q12" s="102"/>
      <c r="R12" s="102"/>
      <c r="S12" s="102"/>
      <c r="T12" s="102"/>
      <c r="U12" s="123">
        <f t="shared" si="0"/>
        <v>0</v>
      </c>
      <c r="V12" s="100"/>
      <c r="W12" s="98"/>
    </row>
    <row r="13" spans="1:25" ht="24" customHeight="1" x14ac:dyDescent="0.2">
      <c r="A13" s="91"/>
      <c r="B13" s="91" t="s">
        <v>107</v>
      </c>
      <c r="C13" s="86" t="s">
        <v>85</v>
      </c>
      <c r="D13" s="80"/>
      <c r="E13" s="79"/>
      <c r="F13" s="86" t="s">
        <v>85</v>
      </c>
      <c r="G13" s="80"/>
      <c r="H13" s="79"/>
      <c r="I13" s="79">
        <v>2023</v>
      </c>
      <c r="J13" s="80">
        <v>120</v>
      </c>
      <c r="K13" s="79">
        <v>8</v>
      </c>
      <c r="L13" s="79">
        <v>2023</v>
      </c>
      <c r="M13" s="80">
        <v>111</v>
      </c>
      <c r="N13" s="79">
        <v>6</v>
      </c>
      <c r="O13" s="79">
        <v>2023</v>
      </c>
      <c r="P13" s="80">
        <v>111</v>
      </c>
      <c r="Q13" s="79">
        <v>8</v>
      </c>
      <c r="R13" s="79"/>
      <c r="S13" s="80"/>
      <c r="T13" s="79"/>
      <c r="U13" s="75">
        <f t="shared" ref="U13:U34" si="1">SUM(B13,E13,H13,K13,N13,Q13,T13)</f>
        <v>22</v>
      </c>
      <c r="V13" s="94"/>
      <c r="W13" s="98"/>
      <c r="X13" s="184"/>
      <c r="Y13" s="185"/>
    </row>
    <row r="14" spans="1:25" ht="24" customHeight="1" x14ac:dyDescent="0.2">
      <c r="A14" s="91"/>
      <c r="B14" s="81"/>
      <c r="C14" s="79"/>
      <c r="D14" s="80"/>
      <c r="E14" s="79"/>
      <c r="F14" s="79"/>
      <c r="G14" s="80"/>
      <c r="H14" s="79"/>
      <c r="I14" s="79"/>
      <c r="J14" s="80"/>
      <c r="K14" s="79"/>
      <c r="L14" s="79">
        <v>2023</v>
      </c>
      <c r="M14" s="80">
        <v>151</v>
      </c>
      <c r="N14" s="79">
        <v>2</v>
      </c>
      <c r="O14" s="79"/>
      <c r="P14" s="80"/>
      <c r="Q14" s="79"/>
      <c r="R14" s="79"/>
      <c r="S14" s="80"/>
      <c r="T14" s="79"/>
      <c r="U14" s="75">
        <f t="shared" si="1"/>
        <v>2</v>
      </c>
      <c r="V14" s="94"/>
      <c r="W14" s="98"/>
      <c r="X14" s="184"/>
      <c r="Y14" s="185"/>
    </row>
    <row r="15" spans="1:25" ht="24" customHeight="1" x14ac:dyDescent="0.2">
      <c r="A15" s="91"/>
      <c r="B15" s="81" t="s">
        <v>106</v>
      </c>
      <c r="C15" s="79">
        <v>2023</v>
      </c>
      <c r="D15" s="80">
        <v>151</v>
      </c>
      <c r="E15" s="79">
        <v>8</v>
      </c>
      <c r="F15" s="86" t="s">
        <v>85</v>
      </c>
      <c r="G15" s="80"/>
      <c r="H15" s="79"/>
      <c r="I15" s="86" t="s">
        <v>85</v>
      </c>
      <c r="J15" s="80"/>
      <c r="K15" s="79"/>
      <c r="L15" s="86"/>
      <c r="M15" s="113" t="s">
        <v>143</v>
      </c>
      <c r="N15" s="86"/>
      <c r="O15" s="79">
        <v>2023</v>
      </c>
      <c r="P15" s="80">
        <v>151</v>
      </c>
      <c r="Q15" s="79">
        <v>8</v>
      </c>
      <c r="R15" s="79"/>
      <c r="S15" s="80"/>
      <c r="T15" s="79"/>
      <c r="U15" s="75">
        <f t="shared" si="1"/>
        <v>16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79"/>
      <c r="D16" s="80"/>
      <c r="E16" s="79"/>
      <c r="F16" s="79"/>
      <c r="G16" s="80"/>
      <c r="H16" s="79"/>
      <c r="I16" s="79"/>
      <c r="J16" s="80"/>
      <c r="K16" s="79"/>
      <c r="L16" s="86" t="s">
        <v>142</v>
      </c>
      <c r="M16" s="87">
        <v>606</v>
      </c>
      <c r="N16" s="86">
        <v>8</v>
      </c>
      <c r="O16" s="79"/>
      <c r="P16" s="80"/>
      <c r="Q16" s="79"/>
      <c r="R16" s="90"/>
      <c r="S16" s="80"/>
      <c r="T16" s="79"/>
      <c r="U16" s="75">
        <f t="shared" si="1"/>
        <v>8</v>
      </c>
      <c r="V16" s="94"/>
      <c r="W16" s="98"/>
      <c r="X16" s="184"/>
      <c r="Y16" s="185"/>
    </row>
    <row r="17" spans="1:25" ht="24" customHeight="1" x14ac:dyDescent="0.2">
      <c r="A17" s="91"/>
      <c r="B17" s="91" t="s">
        <v>105</v>
      </c>
      <c r="C17" s="79">
        <v>2023</v>
      </c>
      <c r="D17" s="80">
        <v>120</v>
      </c>
      <c r="E17" s="79">
        <v>8</v>
      </c>
      <c r="F17" s="79">
        <v>2023</v>
      </c>
      <c r="G17" s="80">
        <v>120</v>
      </c>
      <c r="H17" s="79">
        <v>4</v>
      </c>
      <c r="I17" s="79">
        <v>2023</v>
      </c>
      <c r="J17" s="80">
        <v>151</v>
      </c>
      <c r="K17" s="79">
        <v>8</v>
      </c>
      <c r="L17" s="79">
        <v>2023</v>
      </c>
      <c r="M17" s="80">
        <v>120</v>
      </c>
      <c r="N17" s="79">
        <v>8</v>
      </c>
      <c r="O17" s="79">
        <v>2023</v>
      </c>
      <c r="P17" s="80">
        <v>120</v>
      </c>
      <c r="Q17" s="79">
        <v>8</v>
      </c>
      <c r="R17" s="79"/>
      <c r="S17" s="80"/>
      <c r="T17" s="79"/>
      <c r="U17" s="75">
        <f t="shared" si="1"/>
        <v>36</v>
      </c>
      <c r="V17" s="94"/>
      <c r="W17" s="98"/>
      <c r="X17" s="184"/>
      <c r="Y17" s="185"/>
    </row>
    <row r="18" spans="1:25" ht="24" customHeight="1" x14ac:dyDescent="0.2">
      <c r="A18" s="91"/>
      <c r="B18" s="99"/>
      <c r="C18" s="79"/>
      <c r="D18" s="80"/>
      <c r="E18" s="79"/>
      <c r="F18" s="79">
        <v>2023</v>
      </c>
      <c r="G18" s="80">
        <v>151</v>
      </c>
      <c r="H18" s="79">
        <v>4</v>
      </c>
      <c r="I18" s="79"/>
      <c r="J18" s="80"/>
      <c r="K18" s="79"/>
      <c r="L18" s="79"/>
      <c r="M18" s="80"/>
      <c r="N18" s="79"/>
      <c r="O18" s="79"/>
      <c r="P18" s="80"/>
      <c r="Q18" s="79"/>
      <c r="R18" s="79"/>
      <c r="S18" s="80"/>
      <c r="T18" s="79"/>
      <c r="U18" s="75">
        <f t="shared" si="1"/>
        <v>4</v>
      </c>
      <c r="V18" s="94"/>
      <c r="W18" s="98"/>
      <c r="X18" s="184"/>
      <c r="Y18" s="185"/>
    </row>
    <row r="19" spans="1:25" ht="24" customHeight="1" x14ac:dyDescent="0.2">
      <c r="A19" s="91"/>
      <c r="B19" s="91" t="s">
        <v>104</v>
      </c>
      <c r="C19" s="79">
        <v>2023</v>
      </c>
      <c r="D19" s="80">
        <v>111</v>
      </c>
      <c r="E19" s="79">
        <v>8</v>
      </c>
      <c r="F19" s="86" t="s">
        <v>85</v>
      </c>
      <c r="G19" s="87"/>
      <c r="H19" s="86"/>
      <c r="I19" s="86" t="s">
        <v>85</v>
      </c>
      <c r="J19" s="87"/>
      <c r="K19" s="86"/>
      <c r="L19" s="86" t="s">
        <v>85</v>
      </c>
      <c r="M19" s="87"/>
      <c r="N19" s="79"/>
      <c r="O19" s="79">
        <v>2023</v>
      </c>
      <c r="P19" s="80">
        <v>111</v>
      </c>
      <c r="Q19" s="79">
        <v>8</v>
      </c>
      <c r="R19" s="79"/>
      <c r="S19" s="80"/>
      <c r="T19" s="79"/>
      <c r="U19" s="75">
        <f t="shared" si="1"/>
        <v>16</v>
      </c>
      <c r="V19" s="94"/>
      <c r="W19" s="98"/>
      <c r="X19" s="184"/>
      <c r="Y19" s="185"/>
    </row>
    <row r="20" spans="1:25" ht="24" customHeight="1" x14ac:dyDescent="0.2">
      <c r="A20" s="91"/>
      <c r="B20" s="91"/>
      <c r="C20" s="79"/>
      <c r="D20" s="80"/>
      <c r="E20" s="79"/>
      <c r="F20" s="79"/>
      <c r="G20" s="80"/>
      <c r="H20" s="79"/>
      <c r="I20" s="79"/>
      <c r="J20" s="80"/>
      <c r="K20" s="79"/>
      <c r="L20" s="79"/>
      <c r="M20" s="80"/>
      <c r="N20" s="79"/>
      <c r="O20" s="79"/>
      <c r="P20" s="80"/>
      <c r="Q20" s="79"/>
      <c r="R20" s="79"/>
      <c r="S20" s="80"/>
      <c r="T20" s="79"/>
      <c r="U20" s="75">
        <f t="shared" si="1"/>
        <v>0</v>
      </c>
      <c r="V20" s="94"/>
      <c r="W20" s="98"/>
      <c r="X20" s="184"/>
      <c r="Y20" s="185"/>
    </row>
    <row r="21" spans="1:25" ht="24" customHeight="1" x14ac:dyDescent="0.2">
      <c r="A21" s="91"/>
      <c r="B21" s="81" t="s">
        <v>101</v>
      </c>
      <c r="C21" s="79">
        <v>2023</v>
      </c>
      <c r="D21" s="80">
        <v>141</v>
      </c>
      <c r="E21" s="79">
        <v>8</v>
      </c>
      <c r="F21" s="79">
        <v>2023</v>
      </c>
      <c r="G21" s="80">
        <v>141</v>
      </c>
      <c r="H21" s="79">
        <v>8</v>
      </c>
      <c r="I21" s="86" t="s">
        <v>85</v>
      </c>
      <c r="J21" s="87"/>
      <c r="K21" s="86"/>
      <c r="L21" s="86" t="s">
        <v>85</v>
      </c>
      <c r="M21" s="87"/>
      <c r="N21" s="79"/>
      <c r="O21" s="79">
        <v>2023</v>
      </c>
      <c r="P21" s="80">
        <v>120</v>
      </c>
      <c r="Q21" s="79">
        <v>8</v>
      </c>
      <c r="R21" s="79"/>
      <c r="S21" s="80"/>
      <c r="T21" s="79"/>
      <c r="U21" s="75">
        <f t="shared" si="1"/>
        <v>24</v>
      </c>
      <c r="V21" s="94"/>
      <c r="W21" s="98"/>
      <c r="X21" s="184"/>
      <c r="Y21" s="185"/>
    </row>
    <row r="22" spans="1:25" ht="24" customHeight="1" x14ac:dyDescent="0.2">
      <c r="A22" s="91"/>
      <c r="B22" s="91"/>
      <c r="C22" s="79"/>
      <c r="D22" s="80"/>
      <c r="E22" s="79"/>
      <c r="F22" s="79"/>
      <c r="G22" s="80"/>
      <c r="H22" s="79"/>
      <c r="I22" s="79"/>
      <c r="J22" s="80"/>
      <c r="K22" s="79"/>
      <c r="L22" s="79"/>
      <c r="M22" s="80"/>
      <c r="N22" s="79"/>
      <c r="O22" s="79"/>
      <c r="P22" s="80"/>
      <c r="Q22" s="79"/>
      <c r="R22" s="90"/>
      <c r="S22" s="80"/>
      <c r="T22" s="79"/>
      <c r="U22" s="75">
        <f t="shared" si="1"/>
        <v>0</v>
      </c>
      <c r="V22" s="94"/>
      <c r="W22" s="98"/>
      <c r="X22" s="184"/>
      <c r="Y22" s="185"/>
    </row>
    <row r="23" spans="1:25" ht="24" customHeight="1" x14ac:dyDescent="0.2">
      <c r="A23" s="92"/>
      <c r="B23" s="91" t="s">
        <v>99</v>
      </c>
      <c r="C23" s="79">
        <v>2023</v>
      </c>
      <c r="D23" s="80">
        <v>151</v>
      </c>
      <c r="E23" s="79">
        <v>8</v>
      </c>
      <c r="F23" s="86" t="s">
        <v>85</v>
      </c>
      <c r="G23" s="87"/>
      <c r="H23" s="86"/>
      <c r="I23" s="86" t="s">
        <v>85</v>
      </c>
      <c r="J23" s="87"/>
      <c r="K23" s="86"/>
      <c r="L23" s="86" t="s">
        <v>85</v>
      </c>
      <c r="M23" s="87"/>
      <c r="N23" s="86"/>
      <c r="O23" s="86" t="s">
        <v>85</v>
      </c>
      <c r="P23" s="80"/>
      <c r="Q23" s="79"/>
      <c r="R23" s="79"/>
      <c r="S23" s="80"/>
      <c r="T23" s="79"/>
      <c r="U23" s="75">
        <f t="shared" si="1"/>
        <v>8</v>
      </c>
      <c r="V23" s="94"/>
      <c r="W23" s="98"/>
      <c r="X23" s="184"/>
      <c r="Y23" s="185"/>
    </row>
    <row r="24" spans="1:25" ht="24" customHeight="1" x14ac:dyDescent="0.2">
      <c r="A24" s="91"/>
      <c r="B24" s="91"/>
      <c r="C24" s="79"/>
      <c r="D24" s="80"/>
      <c r="E24" s="79"/>
      <c r="F24" s="86" t="s">
        <v>141</v>
      </c>
      <c r="G24" s="87"/>
      <c r="H24" s="86"/>
      <c r="I24" s="86"/>
      <c r="J24" s="87"/>
      <c r="K24" s="86"/>
      <c r="L24" s="86"/>
      <c r="M24" s="87"/>
      <c r="N24" s="86"/>
      <c r="O24" s="86"/>
      <c r="P24" s="80"/>
      <c r="Q24" s="79"/>
      <c r="R24" s="79"/>
      <c r="S24" s="80"/>
      <c r="T24" s="79"/>
      <c r="U24" s="75">
        <f t="shared" si="1"/>
        <v>0</v>
      </c>
      <c r="V24" s="94"/>
      <c r="W24" s="98"/>
      <c r="X24" s="184"/>
      <c r="Y24" s="185"/>
    </row>
    <row r="25" spans="1:25" ht="24" customHeight="1" x14ac:dyDescent="0.2">
      <c r="A25" s="91"/>
      <c r="B25" s="81" t="s">
        <v>98</v>
      </c>
      <c r="C25" s="79">
        <v>2023</v>
      </c>
      <c r="D25" s="80">
        <v>120</v>
      </c>
      <c r="E25" s="79">
        <v>8</v>
      </c>
      <c r="F25" s="79">
        <v>2023</v>
      </c>
      <c r="G25" s="80">
        <v>120</v>
      </c>
      <c r="H25" s="79">
        <v>4</v>
      </c>
      <c r="I25" s="79">
        <v>2023</v>
      </c>
      <c r="J25" s="80">
        <v>151</v>
      </c>
      <c r="K25" s="79">
        <v>8</v>
      </c>
      <c r="L25" s="79">
        <v>2023</v>
      </c>
      <c r="M25" s="80">
        <v>151</v>
      </c>
      <c r="N25" s="79">
        <v>8</v>
      </c>
      <c r="O25" s="79">
        <v>2023</v>
      </c>
      <c r="P25" s="80">
        <v>120</v>
      </c>
      <c r="Q25" s="79">
        <v>8</v>
      </c>
      <c r="R25" s="79"/>
      <c r="S25" s="80"/>
      <c r="T25" s="79"/>
      <c r="U25" s="75">
        <f t="shared" si="1"/>
        <v>36</v>
      </c>
      <c r="V25" s="89"/>
      <c r="W25" s="98"/>
      <c r="X25" s="184"/>
      <c r="Y25" s="185"/>
    </row>
    <row r="26" spans="1:25" ht="24" customHeight="1" x14ac:dyDescent="0.2">
      <c r="A26" s="91"/>
      <c r="B26" s="91"/>
      <c r="C26" s="79"/>
      <c r="D26" s="80"/>
      <c r="E26" s="79"/>
      <c r="F26" s="79">
        <v>2023</v>
      </c>
      <c r="G26" s="80">
        <v>151</v>
      </c>
      <c r="H26" s="79">
        <v>4</v>
      </c>
      <c r="I26" s="79"/>
      <c r="J26" s="80"/>
      <c r="K26" s="79"/>
      <c r="L26" s="79"/>
      <c r="M26" s="80"/>
      <c r="N26" s="79"/>
      <c r="O26" s="79"/>
      <c r="P26" s="80"/>
      <c r="Q26" s="79"/>
      <c r="R26" s="79"/>
      <c r="S26" s="80"/>
      <c r="T26" s="79"/>
      <c r="U26" s="75">
        <f t="shared" si="1"/>
        <v>4</v>
      </c>
      <c r="V26" s="89"/>
      <c r="W26" s="98"/>
      <c r="X26" s="184"/>
      <c r="Y26" s="185"/>
    </row>
    <row r="27" spans="1:25" ht="24" customHeight="1" x14ac:dyDescent="0.2">
      <c r="A27" s="91"/>
      <c r="B27" s="91" t="s">
        <v>140</v>
      </c>
      <c r="C27" s="79">
        <v>2021</v>
      </c>
      <c r="D27" s="80">
        <v>141</v>
      </c>
      <c r="E27" s="79">
        <v>8</v>
      </c>
      <c r="F27" s="79">
        <v>2021</v>
      </c>
      <c r="G27" s="80">
        <v>14</v>
      </c>
      <c r="H27" s="79">
        <v>8</v>
      </c>
      <c r="I27" s="79">
        <v>2023</v>
      </c>
      <c r="J27" s="80">
        <v>141</v>
      </c>
      <c r="K27" s="79">
        <v>8</v>
      </c>
      <c r="L27" s="79">
        <v>2023</v>
      </c>
      <c r="M27" s="80">
        <v>141</v>
      </c>
      <c r="N27" s="79">
        <v>8</v>
      </c>
      <c r="O27" s="79">
        <v>2023</v>
      </c>
      <c r="P27" s="80">
        <v>141</v>
      </c>
      <c r="Q27" s="79">
        <v>8</v>
      </c>
      <c r="R27" s="79"/>
      <c r="S27" s="80"/>
      <c r="T27" s="79"/>
      <c r="U27" s="75">
        <f t="shared" si="1"/>
        <v>40</v>
      </c>
      <c r="V27" s="94"/>
      <c r="W27" s="98"/>
      <c r="X27" s="184"/>
      <c r="Y27" s="185"/>
    </row>
    <row r="28" spans="1:25" ht="24" customHeight="1" x14ac:dyDescent="0.2">
      <c r="A28" s="91"/>
      <c r="B28" s="91"/>
      <c r="C28" s="79"/>
      <c r="D28" s="80"/>
      <c r="E28" s="79"/>
      <c r="F28" s="79"/>
      <c r="G28" s="80"/>
      <c r="H28" s="79"/>
      <c r="I28" s="79"/>
      <c r="J28" s="80"/>
      <c r="K28" s="79"/>
      <c r="L28" s="79"/>
      <c r="M28" s="80"/>
      <c r="N28" s="79"/>
      <c r="O28" s="79"/>
      <c r="P28" s="80"/>
      <c r="Q28" s="79"/>
      <c r="R28" s="79"/>
      <c r="S28" s="80"/>
      <c r="T28" s="79"/>
      <c r="U28" s="75">
        <f t="shared" si="1"/>
        <v>0</v>
      </c>
      <c r="V28" s="94"/>
    </row>
    <row r="29" spans="1:25" ht="24" customHeight="1" x14ac:dyDescent="0.2">
      <c r="A29" s="91"/>
      <c r="B29" s="91" t="s">
        <v>139</v>
      </c>
      <c r="C29" s="79">
        <v>2021</v>
      </c>
      <c r="D29" s="80">
        <v>141</v>
      </c>
      <c r="E29" s="79">
        <v>4</v>
      </c>
      <c r="F29" s="79">
        <v>2021</v>
      </c>
      <c r="G29" s="80">
        <v>140</v>
      </c>
      <c r="H29" s="79">
        <v>8</v>
      </c>
      <c r="I29" s="79">
        <v>2023</v>
      </c>
      <c r="J29" s="80">
        <v>141</v>
      </c>
      <c r="K29" s="79">
        <v>8</v>
      </c>
      <c r="L29" s="79">
        <v>2023</v>
      </c>
      <c r="M29" s="80">
        <v>141</v>
      </c>
      <c r="N29" s="79">
        <v>8</v>
      </c>
      <c r="O29" s="79">
        <v>2023</v>
      </c>
      <c r="P29" s="80">
        <v>141</v>
      </c>
      <c r="Q29" s="79">
        <v>8</v>
      </c>
      <c r="R29" s="79"/>
      <c r="S29" s="80"/>
      <c r="T29" s="79"/>
      <c r="U29" s="75">
        <f t="shared" si="1"/>
        <v>36</v>
      </c>
      <c r="V29" s="94"/>
    </row>
    <row r="30" spans="1:25" ht="24" customHeight="1" x14ac:dyDescent="0.2">
      <c r="A30" s="91"/>
      <c r="B30" s="81"/>
      <c r="C30" s="79">
        <v>2021</v>
      </c>
      <c r="D30" s="80">
        <v>141</v>
      </c>
      <c r="E30" s="79">
        <v>4</v>
      </c>
      <c r="F30" s="79"/>
      <c r="G30" s="80"/>
      <c r="H30" s="79"/>
      <c r="I30" s="79"/>
      <c r="J30" s="80"/>
      <c r="K30" s="79"/>
      <c r="L30" s="79"/>
      <c r="M30" s="80"/>
      <c r="N30" s="79"/>
      <c r="O30" s="79"/>
      <c r="P30" s="80"/>
      <c r="Q30" s="79"/>
      <c r="R30" s="79"/>
      <c r="S30" s="80"/>
      <c r="T30" s="79"/>
      <c r="U30" s="75">
        <f t="shared" si="1"/>
        <v>4</v>
      </c>
      <c r="V30" s="94"/>
    </row>
    <row r="31" spans="1:25" ht="24" customHeight="1" x14ac:dyDescent="0.2">
      <c r="A31" s="91"/>
      <c r="B31" s="81" t="s">
        <v>90</v>
      </c>
      <c r="C31" s="86" t="s">
        <v>138</v>
      </c>
      <c r="D31" s="87"/>
      <c r="E31" s="86">
        <v>0</v>
      </c>
      <c r="F31" s="79">
        <v>2023</v>
      </c>
      <c r="G31" s="80">
        <v>120</v>
      </c>
      <c r="H31" s="79">
        <v>6</v>
      </c>
      <c r="I31" s="79">
        <v>2023</v>
      </c>
      <c r="J31" s="80">
        <v>120</v>
      </c>
      <c r="K31" s="79">
        <v>8</v>
      </c>
      <c r="L31" s="79">
        <v>2023</v>
      </c>
      <c r="M31" s="80">
        <v>120</v>
      </c>
      <c r="N31" s="79">
        <v>6</v>
      </c>
      <c r="O31" s="79">
        <v>2023</v>
      </c>
      <c r="P31" s="80">
        <v>120</v>
      </c>
      <c r="Q31" s="79">
        <v>6</v>
      </c>
      <c r="R31" s="79"/>
      <c r="S31" s="80"/>
      <c r="T31" s="79"/>
      <c r="U31" s="75">
        <f t="shared" si="1"/>
        <v>26</v>
      </c>
      <c r="V31" s="94"/>
    </row>
    <row r="32" spans="1:25" ht="24" customHeight="1" x14ac:dyDescent="0.2">
      <c r="A32" s="91"/>
      <c r="B32" s="81"/>
      <c r="C32" s="86"/>
      <c r="D32" s="87" t="s">
        <v>137</v>
      </c>
      <c r="E32" s="86"/>
      <c r="F32" s="79">
        <v>2023</v>
      </c>
      <c r="G32" s="80">
        <v>151</v>
      </c>
      <c r="H32" s="79">
        <v>2</v>
      </c>
      <c r="I32" s="79"/>
      <c r="J32" s="80"/>
      <c r="K32" s="79"/>
      <c r="L32" s="79">
        <v>2023</v>
      </c>
      <c r="M32" s="80">
        <v>151</v>
      </c>
      <c r="N32" s="79">
        <v>2</v>
      </c>
      <c r="O32" s="79">
        <v>2023</v>
      </c>
      <c r="P32" s="80">
        <v>151</v>
      </c>
      <c r="Q32" s="79">
        <v>2</v>
      </c>
      <c r="R32" s="88"/>
      <c r="S32" s="80"/>
      <c r="T32" s="79"/>
      <c r="U32" s="75">
        <f t="shared" si="1"/>
        <v>6</v>
      </c>
      <c r="V32" s="94"/>
    </row>
    <row r="33" spans="1:25" ht="24" customHeight="1" x14ac:dyDescent="0.2">
      <c r="A33" s="91"/>
      <c r="B33" s="81" t="s">
        <v>89</v>
      </c>
      <c r="C33" s="79">
        <v>2023</v>
      </c>
      <c r="D33" s="80">
        <v>151</v>
      </c>
      <c r="E33" s="79">
        <v>8</v>
      </c>
      <c r="F33" s="79">
        <v>2023</v>
      </c>
      <c r="G33" s="80">
        <v>151</v>
      </c>
      <c r="H33" s="79">
        <v>8</v>
      </c>
      <c r="I33" s="79">
        <v>2023</v>
      </c>
      <c r="J33" s="80">
        <v>120</v>
      </c>
      <c r="K33" s="79">
        <v>8</v>
      </c>
      <c r="L33" s="79">
        <v>2023</v>
      </c>
      <c r="M33" s="80">
        <v>120</v>
      </c>
      <c r="N33" s="79">
        <v>8</v>
      </c>
      <c r="O33" s="79">
        <v>2023</v>
      </c>
      <c r="P33" s="80">
        <v>120</v>
      </c>
      <c r="Q33" s="79">
        <v>8</v>
      </c>
      <c r="R33" s="79"/>
      <c r="S33" s="80"/>
      <c r="T33" s="79"/>
      <c r="U33" s="75">
        <f t="shared" si="1"/>
        <v>40</v>
      </c>
      <c r="V33" s="94"/>
    </row>
    <row r="34" spans="1:25" ht="24" customHeight="1" x14ac:dyDescent="0.2">
      <c r="A34" s="91"/>
      <c r="B34" s="81"/>
      <c r="C34" s="79"/>
      <c r="D34" s="80"/>
      <c r="E34" s="79"/>
      <c r="F34" s="79"/>
      <c r="G34" s="80"/>
      <c r="H34" s="79"/>
      <c r="I34" s="79"/>
      <c r="J34" s="80"/>
      <c r="K34" s="79"/>
      <c r="L34" s="79"/>
      <c r="M34" s="80"/>
      <c r="N34" s="79"/>
      <c r="O34" s="79"/>
      <c r="P34" s="80"/>
      <c r="Q34" s="79"/>
      <c r="R34" s="79"/>
      <c r="S34" s="80"/>
      <c r="T34" s="79"/>
      <c r="U34" s="75">
        <f t="shared" si="1"/>
        <v>0</v>
      </c>
      <c r="V34" s="94"/>
    </row>
    <row r="35" spans="1:25" customFormat="1" ht="24" customHeight="1" x14ac:dyDescent="0.2">
      <c r="A35" s="121"/>
      <c r="B35" s="122" t="s">
        <v>86</v>
      </c>
      <c r="C35" s="117">
        <v>2023</v>
      </c>
      <c r="D35" s="118">
        <v>151</v>
      </c>
      <c r="E35" s="117">
        <v>8</v>
      </c>
      <c r="F35" s="117">
        <v>2023</v>
      </c>
      <c r="G35" s="118">
        <v>151</v>
      </c>
      <c r="H35" s="117">
        <v>8</v>
      </c>
      <c r="I35" s="117">
        <v>2027</v>
      </c>
      <c r="J35" s="118">
        <v>110</v>
      </c>
      <c r="K35" s="117">
        <v>8</v>
      </c>
      <c r="L35" s="117">
        <v>2027</v>
      </c>
      <c r="M35" s="118">
        <v>110</v>
      </c>
      <c r="N35" s="117">
        <v>8</v>
      </c>
      <c r="O35" s="117">
        <v>2023</v>
      </c>
      <c r="P35" s="119">
        <v>142</v>
      </c>
      <c r="Q35" s="117">
        <v>8</v>
      </c>
      <c r="R35" s="120"/>
      <c r="S35" s="119"/>
      <c r="T35" s="120"/>
      <c r="U35" s="123">
        <f t="shared" ref="U35" si="2">SUM(B35,E35,H35,K35,N35,Q35,T35)</f>
        <v>40</v>
      </c>
      <c r="V35" s="124"/>
      <c r="W35" s="45"/>
      <c r="X35" s="186"/>
      <c r="Y35" s="187"/>
    </row>
    <row r="36" spans="1:25" ht="24" customHeight="1" x14ac:dyDescent="0.2">
      <c r="A36" s="72"/>
    </row>
    <row r="37" spans="1:25" ht="24" customHeight="1" x14ac:dyDescent="0.2">
      <c r="A37" s="72"/>
    </row>
    <row r="38" spans="1:25" ht="24" customHeight="1" x14ac:dyDescent="0.2">
      <c r="A38" s="72"/>
    </row>
    <row r="39" spans="1:25" ht="24" customHeight="1" x14ac:dyDescent="0.2">
      <c r="A39" s="72"/>
    </row>
    <row r="40" spans="1:25" ht="24" customHeight="1" x14ac:dyDescent="0.2">
      <c r="A40" s="72"/>
    </row>
    <row r="41" spans="1:25" ht="24" customHeight="1" x14ac:dyDescent="0.2">
      <c r="A41" s="72"/>
    </row>
    <row r="42" spans="1:25" ht="24" customHeight="1" x14ac:dyDescent="0.2">
      <c r="A42" s="72"/>
    </row>
    <row r="43" spans="1:25" ht="24" customHeight="1" x14ac:dyDescent="0.2">
      <c r="A43" s="72"/>
    </row>
    <row r="44" spans="1:25" ht="24" customHeight="1" x14ac:dyDescent="0.2">
      <c r="A44" s="72"/>
    </row>
    <row r="45" spans="1:25" ht="24" customHeight="1" x14ac:dyDescent="0.2">
      <c r="A45" s="72"/>
    </row>
    <row r="46" spans="1:25" ht="24" customHeight="1" x14ac:dyDescent="0.2">
      <c r="A46" s="72"/>
    </row>
    <row r="47" spans="1:25" ht="24" customHeight="1" x14ac:dyDescent="0.2">
      <c r="A47" s="72"/>
    </row>
    <row r="48" spans="1:25" ht="24" customHeight="1" x14ac:dyDescent="0.2">
      <c r="A48" s="72"/>
    </row>
    <row r="49" spans="1:1" ht="24" customHeight="1" x14ac:dyDescent="0.2">
      <c r="A49" s="72"/>
    </row>
    <row r="50" spans="1:1" ht="24" customHeight="1" x14ac:dyDescent="0.2">
      <c r="A50" s="72"/>
    </row>
    <row r="51" spans="1:1" ht="24" customHeight="1" x14ac:dyDescent="0.2">
      <c r="A51" s="72"/>
    </row>
    <row r="52" spans="1:1" ht="24" customHeight="1" x14ac:dyDescent="0.2">
      <c r="A52" s="72"/>
    </row>
    <row r="53" spans="1:1" ht="24" customHeight="1" x14ac:dyDescent="0.2">
      <c r="A53" s="72"/>
    </row>
    <row r="54" spans="1:1" ht="24" customHeight="1" x14ac:dyDescent="0.2">
      <c r="A54" s="72"/>
    </row>
    <row r="55" spans="1:1" ht="24" customHeight="1" x14ac:dyDescent="0.2">
      <c r="A55" s="72"/>
    </row>
    <row r="56" spans="1:1" ht="24" customHeight="1" x14ac:dyDescent="0.2">
      <c r="A56" s="72"/>
    </row>
    <row r="57" spans="1:1" ht="24" customHeight="1" x14ac:dyDescent="0.2">
      <c r="A57" s="72"/>
    </row>
    <row r="58" spans="1:1" ht="24" customHeight="1" x14ac:dyDescent="0.2">
      <c r="A58" s="72"/>
    </row>
    <row r="59" spans="1:1" ht="24" customHeight="1" x14ac:dyDescent="0.2">
      <c r="A59" s="72"/>
    </row>
    <row r="60" spans="1:1" ht="24" customHeight="1" x14ac:dyDescent="0.2">
      <c r="A60" s="72"/>
    </row>
    <row r="61" spans="1:1" ht="24" customHeight="1" x14ac:dyDescent="0.2">
      <c r="A61" s="72"/>
    </row>
    <row r="62" spans="1:1" ht="24" customHeight="1" x14ac:dyDescent="0.2">
      <c r="A62" s="72"/>
    </row>
    <row r="63" spans="1:1" ht="24" customHeight="1" x14ac:dyDescent="0.2">
      <c r="A63" s="72"/>
    </row>
    <row r="64" spans="1:1" ht="24" customHeight="1" x14ac:dyDescent="0.2">
      <c r="A64" s="72"/>
    </row>
    <row r="65" spans="1:1" ht="24" customHeight="1" x14ac:dyDescent="0.2">
      <c r="A65" s="72"/>
    </row>
    <row r="66" spans="1:1" ht="24" customHeight="1" x14ac:dyDescent="0.2">
      <c r="A66" s="72"/>
    </row>
    <row r="67" spans="1:1" ht="24" customHeight="1" x14ac:dyDescent="0.2">
      <c r="A67" s="72"/>
    </row>
    <row r="68" spans="1:1" ht="24" customHeight="1" x14ac:dyDescent="0.2">
      <c r="A68" s="72"/>
    </row>
    <row r="69" spans="1:1" ht="24" customHeight="1" x14ac:dyDescent="0.2">
      <c r="A69" s="72"/>
    </row>
    <row r="70" spans="1:1" ht="24" customHeight="1" x14ac:dyDescent="0.2">
      <c r="A70" s="72"/>
    </row>
    <row r="71" spans="1:1" ht="24" customHeight="1" x14ac:dyDescent="0.2">
      <c r="A71" s="72"/>
    </row>
    <row r="72" spans="1:1" ht="24" customHeight="1" x14ac:dyDescent="0.2">
      <c r="A72" s="72"/>
    </row>
    <row r="73" spans="1:1" ht="24" customHeight="1" x14ac:dyDescent="0.2">
      <c r="A73" s="72"/>
    </row>
    <row r="74" spans="1:1" x14ac:dyDescent="0.2">
      <c r="A74" s="72"/>
    </row>
    <row r="75" spans="1:1" x14ac:dyDescent="0.2">
      <c r="A75" s="72"/>
    </row>
    <row r="76" spans="1:1" x14ac:dyDescent="0.2">
      <c r="A76" s="72"/>
    </row>
    <row r="77" spans="1:1" x14ac:dyDescent="0.2">
      <c r="A77" s="72"/>
    </row>
    <row r="78" spans="1:1" x14ac:dyDescent="0.2">
      <c r="A78" s="72"/>
    </row>
    <row r="79" spans="1:1" x14ac:dyDescent="0.2">
      <c r="A79" s="72"/>
    </row>
    <row r="80" spans="1:1" x14ac:dyDescent="0.2">
      <c r="A80" s="72"/>
    </row>
    <row r="81" spans="1:1" x14ac:dyDescent="0.2">
      <c r="A81" s="72"/>
    </row>
    <row r="82" spans="1:1" x14ac:dyDescent="0.2">
      <c r="A82" s="72"/>
    </row>
    <row r="83" spans="1:1" x14ac:dyDescent="0.2">
      <c r="A83" s="72"/>
    </row>
    <row r="84" spans="1:1" x14ac:dyDescent="0.2">
      <c r="A84" s="72"/>
    </row>
    <row r="85" spans="1:1" x14ac:dyDescent="0.2">
      <c r="A85" s="72"/>
    </row>
    <row r="86" spans="1:1" x14ac:dyDescent="0.2">
      <c r="A86" s="72"/>
    </row>
    <row r="87" spans="1:1" x14ac:dyDescent="0.2">
      <c r="A87" s="72"/>
    </row>
    <row r="88" spans="1:1" x14ac:dyDescent="0.2">
      <c r="A88" s="72"/>
    </row>
    <row r="89" spans="1:1" x14ac:dyDescent="0.2">
      <c r="A89" s="72"/>
    </row>
    <row r="90" spans="1:1" x14ac:dyDescent="0.2">
      <c r="A90" s="72"/>
    </row>
    <row r="91" spans="1:1" x14ac:dyDescent="0.2">
      <c r="A91" s="72"/>
    </row>
    <row r="92" spans="1:1" x14ac:dyDescent="0.2">
      <c r="A92" s="72"/>
    </row>
    <row r="93" spans="1:1" x14ac:dyDescent="0.2">
      <c r="A93" s="72"/>
    </row>
    <row r="94" spans="1:1" x14ac:dyDescent="0.2">
      <c r="A94" s="72"/>
    </row>
    <row r="95" spans="1:1" x14ac:dyDescent="0.2">
      <c r="A95" s="72"/>
    </row>
    <row r="96" spans="1:1" x14ac:dyDescent="0.2">
      <c r="A96" s="72"/>
    </row>
    <row r="97" spans="1:1" x14ac:dyDescent="0.2">
      <c r="A97" s="72"/>
    </row>
    <row r="98" spans="1:1" x14ac:dyDescent="0.2">
      <c r="A98" s="72"/>
    </row>
    <row r="99" spans="1:1" x14ac:dyDescent="0.2">
      <c r="A99" s="72"/>
    </row>
    <row r="100" spans="1:1" x14ac:dyDescent="0.2">
      <c r="A100" s="72"/>
    </row>
    <row r="101" spans="1:1" x14ac:dyDescent="0.2">
      <c r="A101" s="72"/>
    </row>
  </sheetData>
  <sheetProtection formatCells="0" selectLockedCells="1" selectUnlockedCells="1"/>
  <mergeCells count="44">
    <mergeCell ref="X16:Y16"/>
    <mergeCell ref="X17:Y17"/>
    <mergeCell ref="X18:Y18"/>
    <mergeCell ref="C1:E1"/>
    <mergeCell ref="C2:E2"/>
    <mergeCell ref="C3:E3"/>
    <mergeCell ref="C4:E4"/>
    <mergeCell ref="F1:H1"/>
    <mergeCell ref="F2:H2"/>
    <mergeCell ref="F3:H3"/>
    <mergeCell ref="F4:H4"/>
    <mergeCell ref="I1:K1"/>
    <mergeCell ref="I2:K2"/>
    <mergeCell ref="I3:K3"/>
    <mergeCell ref="I4:K4"/>
    <mergeCell ref="R1:T1"/>
    <mergeCell ref="R2:T2"/>
    <mergeCell ref="R3:T3"/>
    <mergeCell ref="R4:T4"/>
    <mergeCell ref="L4:N4"/>
    <mergeCell ref="O2:Q2"/>
    <mergeCell ref="O3:Q3"/>
    <mergeCell ref="O4:Q4"/>
    <mergeCell ref="L1:Q1"/>
    <mergeCell ref="L2:N2"/>
    <mergeCell ref="L3:N3"/>
    <mergeCell ref="A5:A6"/>
    <mergeCell ref="B5:T5"/>
    <mergeCell ref="X13:Y13"/>
    <mergeCell ref="X14:Y14"/>
    <mergeCell ref="X15:Y15"/>
    <mergeCell ref="X8:Y8"/>
    <mergeCell ref="X9:Y9"/>
    <mergeCell ref="X10:Y10"/>
    <mergeCell ref="X35:Y35"/>
    <mergeCell ref="X25:Y25"/>
    <mergeCell ref="X26:Y26"/>
    <mergeCell ref="X27:Y27"/>
    <mergeCell ref="X19:Y19"/>
    <mergeCell ref="X20:Y20"/>
    <mergeCell ref="X21:Y21"/>
    <mergeCell ref="X22:Y22"/>
    <mergeCell ref="X23:Y23"/>
    <mergeCell ref="X24:Y24"/>
  </mergeCells>
  <printOptions horizontalCentered="1" verticalCentered="1" gridLines="1"/>
  <pageMargins left="0.5" right="0.5" top="0.5" bottom="0.25" header="0" footer="0"/>
  <pageSetup scale="66" orientation="landscape" r:id="rId1"/>
  <headerFooter alignWithMargins="0">
    <oddHeader>&amp;LFAX-425-487-1568&amp;CTIMESHEET</oddHeader>
  </headerFooter>
  <colBreaks count="1" manualBreakCount="1">
    <brk id="21" max="6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3"/>
  <sheetViews>
    <sheetView topLeftCell="A19" workbookViewId="0">
      <selection activeCell="H22" sqref="H22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134</v>
      </c>
      <c r="D1" s="176"/>
      <c r="E1" s="176"/>
      <c r="F1" s="174" t="s">
        <v>133</v>
      </c>
      <c r="G1" s="176"/>
      <c r="H1" s="176"/>
      <c r="I1" s="165" t="s">
        <v>132</v>
      </c>
      <c r="J1" s="166"/>
      <c r="K1" s="166"/>
      <c r="L1" s="179" t="s">
        <v>131</v>
      </c>
      <c r="M1" s="179"/>
      <c r="N1" s="179"/>
      <c r="O1" s="179"/>
      <c r="P1" s="179"/>
      <c r="Q1" s="179"/>
      <c r="R1" s="175" t="s">
        <v>130</v>
      </c>
      <c r="S1" s="175"/>
      <c r="T1" s="175"/>
      <c r="U1" s="109"/>
      <c r="V1" s="112"/>
    </row>
    <row r="2" spans="1:25" ht="24" customHeight="1" thickBot="1" x14ac:dyDescent="0.25">
      <c r="A2" s="103"/>
      <c r="B2" s="110" t="s">
        <v>129</v>
      </c>
      <c r="C2" s="175" t="s">
        <v>128</v>
      </c>
      <c r="D2" s="175"/>
      <c r="E2" s="175"/>
      <c r="F2" s="174" t="s">
        <v>127</v>
      </c>
      <c r="G2" s="176"/>
      <c r="H2" s="176"/>
      <c r="I2" s="167"/>
      <c r="J2" s="167"/>
      <c r="K2" s="167"/>
      <c r="L2" s="174" t="s">
        <v>126</v>
      </c>
      <c r="M2" s="175"/>
      <c r="N2" s="175"/>
      <c r="O2" s="174" t="s">
        <v>125</v>
      </c>
      <c r="P2" s="174"/>
      <c r="Q2" s="174"/>
      <c r="R2" s="175" t="s">
        <v>124</v>
      </c>
      <c r="S2" s="175"/>
      <c r="T2" s="175"/>
      <c r="U2" s="109"/>
      <c r="V2" s="112"/>
    </row>
    <row r="3" spans="1:25" ht="24" customHeight="1" x14ac:dyDescent="0.2">
      <c r="A3" s="103"/>
      <c r="B3" s="110" t="s">
        <v>123</v>
      </c>
      <c r="C3" s="174" t="s">
        <v>122</v>
      </c>
      <c r="D3" s="174"/>
      <c r="E3" s="174"/>
      <c r="F3" s="174" t="s">
        <v>121</v>
      </c>
      <c r="G3" s="176"/>
      <c r="H3" s="176"/>
      <c r="I3" s="168" t="s">
        <v>120</v>
      </c>
      <c r="J3" s="169"/>
      <c r="K3" s="170"/>
      <c r="L3" s="174" t="s">
        <v>119</v>
      </c>
      <c r="M3" s="175"/>
      <c r="N3" s="175"/>
      <c r="O3" s="174" t="s">
        <v>118</v>
      </c>
      <c r="P3" s="174"/>
      <c r="Q3" s="174"/>
      <c r="R3" s="175" t="s">
        <v>117</v>
      </c>
      <c r="S3" s="175"/>
      <c r="T3" s="175"/>
      <c r="U3" s="109"/>
      <c r="V3" s="111"/>
    </row>
    <row r="4" spans="1:25" ht="24" customHeight="1" thickBot="1" x14ac:dyDescent="0.25">
      <c r="A4" s="103"/>
      <c r="B4" s="110" t="s">
        <v>116</v>
      </c>
      <c r="C4" s="174" t="s">
        <v>115</v>
      </c>
      <c r="D4" s="176"/>
      <c r="E4" s="176"/>
      <c r="F4" s="174" t="s">
        <v>114</v>
      </c>
      <c r="G4" s="176"/>
      <c r="H4" s="176"/>
      <c r="I4" s="171" t="s">
        <v>113</v>
      </c>
      <c r="J4" s="172"/>
      <c r="K4" s="173"/>
      <c r="L4" s="174" t="s">
        <v>112</v>
      </c>
      <c r="M4" s="175"/>
      <c r="N4" s="175"/>
      <c r="O4" s="178" t="s">
        <v>111</v>
      </c>
      <c r="P4" s="178"/>
      <c r="Q4" s="178"/>
      <c r="R4" s="177" t="s">
        <v>161</v>
      </c>
      <c r="S4" s="177"/>
      <c r="T4" s="177"/>
      <c r="U4" s="109"/>
      <c r="V4" s="89"/>
    </row>
    <row r="5" spans="1:25" ht="24" customHeight="1" thickBot="1" x14ac:dyDescent="0.25">
      <c r="A5" s="180"/>
      <c r="B5" s="181" t="s">
        <v>97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42495</v>
      </c>
      <c r="D6" s="107"/>
      <c r="E6" s="107"/>
      <c r="F6" s="107">
        <f>C6+1</f>
        <v>42496</v>
      </c>
      <c r="G6" s="107"/>
      <c r="H6" s="107"/>
      <c r="I6" s="107">
        <f>F6+3</f>
        <v>42499</v>
      </c>
      <c r="J6" s="107"/>
      <c r="K6" s="107"/>
      <c r="L6" s="107">
        <f>I6+1</f>
        <v>42500</v>
      </c>
      <c r="M6" s="107"/>
      <c r="N6" s="107"/>
      <c r="O6" s="107">
        <f>L6+1</f>
        <v>42501</v>
      </c>
      <c r="P6" s="107"/>
      <c r="Q6" s="107"/>
      <c r="R6" s="107">
        <f>F6+1</f>
        <v>42497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 t="s">
        <v>110</v>
      </c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customFormat="1" ht="24" customHeight="1" x14ac:dyDescent="0.2">
      <c r="A8" s="121"/>
      <c r="B8" s="122" t="s">
        <v>108</v>
      </c>
      <c r="C8" s="117">
        <v>2023</v>
      </c>
      <c r="D8" s="118">
        <v>120</v>
      </c>
      <c r="E8" s="117">
        <v>8</v>
      </c>
      <c r="F8" s="117">
        <v>2027</v>
      </c>
      <c r="G8" s="118">
        <v>110</v>
      </c>
      <c r="H8" s="117">
        <v>6</v>
      </c>
      <c r="I8" s="117">
        <v>2023</v>
      </c>
      <c r="J8" s="118">
        <v>120</v>
      </c>
      <c r="K8" s="117">
        <v>6</v>
      </c>
      <c r="L8" s="117">
        <v>2027</v>
      </c>
      <c r="M8" s="119">
        <v>110</v>
      </c>
      <c r="N8" s="117">
        <v>1</v>
      </c>
      <c r="O8" s="117">
        <v>2023</v>
      </c>
      <c r="P8" s="119">
        <v>120</v>
      </c>
      <c r="Q8" s="120">
        <v>8</v>
      </c>
      <c r="R8" s="120"/>
      <c r="S8" s="119"/>
      <c r="T8" s="120"/>
      <c r="U8" s="123">
        <f t="shared" ref="U8:U9" si="0">SUM(B8,E8,H8,K8,N8,Q8,T8)</f>
        <v>29</v>
      </c>
      <c r="V8" s="124"/>
      <c r="W8" s="45"/>
      <c r="X8" s="186"/>
      <c r="Y8" s="187"/>
    </row>
    <row r="9" spans="1:25" customFormat="1" ht="24" customHeight="1" x14ac:dyDescent="0.2">
      <c r="A9" s="121"/>
      <c r="B9" s="122"/>
      <c r="C9" s="117"/>
      <c r="D9" s="118"/>
      <c r="E9" s="117"/>
      <c r="F9" s="117">
        <v>2023</v>
      </c>
      <c r="G9" s="118">
        <v>130</v>
      </c>
      <c r="H9" s="117">
        <v>2</v>
      </c>
      <c r="I9" s="117">
        <v>2023</v>
      </c>
      <c r="J9" s="119">
        <v>151</v>
      </c>
      <c r="K9" s="117">
        <v>2</v>
      </c>
      <c r="L9" s="117">
        <v>2023</v>
      </c>
      <c r="M9" s="119">
        <v>120</v>
      </c>
      <c r="N9" s="120">
        <v>5</v>
      </c>
      <c r="O9" s="117"/>
      <c r="P9" s="119"/>
      <c r="Q9" s="117"/>
      <c r="R9" s="120"/>
      <c r="S9" s="119"/>
      <c r="T9" s="120"/>
      <c r="U9" s="123">
        <f t="shared" si="0"/>
        <v>9</v>
      </c>
      <c r="V9" s="124"/>
      <c r="W9" s="45"/>
      <c r="X9" s="186"/>
      <c r="Y9" s="187"/>
    </row>
    <row r="10" spans="1:25" customFormat="1" ht="24" customHeight="1" x14ac:dyDescent="0.2">
      <c r="A10" s="121"/>
      <c r="B10" s="122"/>
      <c r="C10" s="120"/>
      <c r="D10" s="119"/>
      <c r="E10" s="120"/>
      <c r="F10" s="117"/>
      <c r="G10" s="119"/>
      <c r="H10" s="117"/>
      <c r="I10" s="117"/>
      <c r="J10" s="119"/>
      <c r="K10" s="117"/>
      <c r="L10" s="117">
        <v>2023</v>
      </c>
      <c r="M10" s="119">
        <v>151</v>
      </c>
      <c r="N10" s="117">
        <v>2</v>
      </c>
      <c r="O10" s="117"/>
      <c r="P10" s="119"/>
      <c r="Q10" s="117"/>
      <c r="R10" s="120"/>
      <c r="S10" s="119"/>
      <c r="T10" s="120"/>
      <c r="U10" s="123">
        <f>SUM(B10,E10,H10,K10,N10,Q10,T10)</f>
        <v>2</v>
      </c>
      <c r="V10" s="124"/>
      <c r="W10" s="45"/>
      <c r="X10" s="186"/>
      <c r="Y10" s="187"/>
    </row>
    <row r="11" spans="1:25" ht="24" customHeight="1" x14ac:dyDescent="0.2">
      <c r="A11" s="103"/>
      <c r="B11" s="81" t="s">
        <v>109</v>
      </c>
      <c r="C11" s="79">
        <v>2023</v>
      </c>
      <c r="D11" s="80">
        <v>141</v>
      </c>
      <c r="E11" s="79">
        <v>8</v>
      </c>
      <c r="F11" s="79">
        <v>2023</v>
      </c>
      <c r="G11" s="80">
        <v>141</v>
      </c>
      <c r="H11" s="79">
        <v>8</v>
      </c>
      <c r="I11" s="86" t="s">
        <v>85</v>
      </c>
      <c r="J11" s="87"/>
      <c r="K11" s="86"/>
      <c r="L11" s="86" t="s">
        <v>85</v>
      </c>
      <c r="M11" s="87"/>
      <c r="N11" s="86"/>
      <c r="O11" s="86" t="s">
        <v>85</v>
      </c>
      <c r="P11" s="87"/>
      <c r="Q11" s="79"/>
      <c r="R11" s="102"/>
      <c r="S11" s="102"/>
      <c r="T11" s="102"/>
      <c r="U11" s="123">
        <f t="shared" ref="U11:U12" si="1">SUM(B11,E11,H11,K11,N11,Q11,T11)</f>
        <v>16</v>
      </c>
      <c r="V11" s="94"/>
      <c r="W11" s="98"/>
    </row>
    <row r="12" spans="1:25" ht="24" customHeight="1" x14ac:dyDescent="0.2">
      <c r="A12" s="103"/>
      <c r="B12" s="81"/>
      <c r="C12" s="79"/>
      <c r="D12" s="80"/>
      <c r="E12" s="79"/>
      <c r="F12" s="79"/>
      <c r="G12" s="80"/>
      <c r="H12" s="79"/>
      <c r="I12" s="79"/>
      <c r="J12" s="80"/>
      <c r="K12" s="79"/>
      <c r="L12" s="79"/>
      <c r="M12" s="80"/>
      <c r="N12" s="79"/>
      <c r="O12" s="79"/>
      <c r="P12" s="102"/>
      <c r="Q12" s="102"/>
      <c r="R12" s="102"/>
      <c r="S12" s="102"/>
      <c r="T12" s="102"/>
      <c r="U12" s="123">
        <f t="shared" si="1"/>
        <v>0</v>
      </c>
      <c r="V12" s="100"/>
      <c r="W12" s="98"/>
    </row>
    <row r="13" spans="1:25" ht="24" customHeight="1" x14ac:dyDescent="0.2">
      <c r="A13" s="91"/>
      <c r="B13" s="91" t="s">
        <v>107</v>
      </c>
      <c r="C13" s="86" t="s">
        <v>85</v>
      </c>
      <c r="D13" s="87"/>
      <c r="E13" s="86"/>
      <c r="F13" s="86" t="s">
        <v>85</v>
      </c>
      <c r="G13" s="87"/>
      <c r="H13" s="79"/>
      <c r="I13" s="79">
        <v>2023</v>
      </c>
      <c r="J13" s="80">
        <v>120</v>
      </c>
      <c r="K13" s="79">
        <v>8</v>
      </c>
      <c r="L13" s="79">
        <v>2023</v>
      </c>
      <c r="M13" s="80">
        <v>130</v>
      </c>
      <c r="N13" s="79">
        <v>8</v>
      </c>
      <c r="O13" s="79">
        <v>2023</v>
      </c>
      <c r="P13" s="80">
        <v>130</v>
      </c>
      <c r="Q13" s="79">
        <v>8</v>
      </c>
      <c r="R13" s="79"/>
      <c r="S13" s="80"/>
      <c r="T13" s="79"/>
      <c r="U13" s="75">
        <f t="shared" ref="U13:U34" si="2">SUM(B13,E13,H13,K13,N13,Q13,T13)</f>
        <v>24</v>
      </c>
      <c r="V13" s="94"/>
      <c r="W13" s="98"/>
      <c r="X13" s="184"/>
      <c r="Y13" s="185"/>
    </row>
    <row r="14" spans="1:25" ht="24" customHeight="1" x14ac:dyDescent="0.2">
      <c r="A14" s="91"/>
      <c r="B14" s="81"/>
      <c r="C14" s="79"/>
      <c r="D14" s="80"/>
      <c r="E14" s="79"/>
      <c r="F14" s="79"/>
      <c r="G14" s="80"/>
      <c r="H14" s="79"/>
      <c r="I14" s="79"/>
      <c r="J14" s="80"/>
      <c r="K14" s="79"/>
      <c r="L14" s="79"/>
      <c r="M14" s="80"/>
      <c r="N14" s="79"/>
      <c r="O14" s="79"/>
      <c r="P14" s="80"/>
      <c r="Q14" s="79"/>
      <c r="R14" s="79"/>
      <c r="S14" s="80"/>
      <c r="T14" s="79"/>
      <c r="U14" s="75">
        <f t="shared" si="2"/>
        <v>0</v>
      </c>
      <c r="V14" s="94"/>
      <c r="W14" s="98"/>
      <c r="X14" s="184"/>
      <c r="Y14" s="185"/>
    </row>
    <row r="15" spans="1:25" ht="24" customHeight="1" x14ac:dyDescent="0.2">
      <c r="A15" s="91"/>
      <c r="B15" s="81" t="s">
        <v>106</v>
      </c>
      <c r="C15" s="86" t="s">
        <v>145</v>
      </c>
      <c r="D15" s="80"/>
      <c r="E15" s="79"/>
      <c r="F15" s="79">
        <v>2023</v>
      </c>
      <c r="G15" s="80">
        <v>151</v>
      </c>
      <c r="H15" s="79">
        <v>8</v>
      </c>
      <c r="I15" s="79">
        <v>2023</v>
      </c>
      <c r="J15" s="80">
        <v>141</v>
      </c>
      <c r="K15" s="79">
        <v>8</v>
      </c>
      <c r="L15" s="79">
        <v>2023</v>
      </c>
      <c r="M15" s="80">
        <v>151</v>
      </c>
      <c r="N15" s="79">
        <v>8</v>
      </c>
      <c r="O15" s="79">
        <v>2023</v>
      </c>
      <c r="P15" s="80">
        <v>151</v>
      </c>
      <c r="Q15" s="79">
        <v>8</v>
      </c>
      <c r="R15" s="79"/>
      <c r="S15" s="80"/>
      <c r="T15" s="79"/>
      <c r="U15" s="75">
        <f t="shared" si="2"/>
        <v>32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79"/>
      <c r="D16" s="80"/>
      <c r="E16" s="79"/>
      <c r="F16" s="79"/>
      <c r="G16" s="80"/>
      <c r="H16" s="79"/>
      <c r="I16" s="79"/>
      <c r="J16" s="80"/>
      <c r="K16" s="79"/>
      <c r="L16" s="79"/>
      <c r="M16" s="80"/>
      <c r="N16" s="79"/>
      <c r="O16" s="79"/>
      <c r="P16" s="80"/>
      <c r="Q16" s="79"/>
      <c r="R16" s="90"/>
      <c r="S16" s="80"/>
      <c r="T16" s="79"/>
      <c r="U16" s="75">
        <f t="shared" si="2"/>
        <v>0</v>
      </c>
      <c r="V16" s="94"/>
      <c r="W16" s="98"/>
      <c r="X16" s="184"/>
      <c r="Y16" s="185"/>
    </row>
    <row r="17" spans="1:25" ht="24" customHeight="1" x14ac:dyDescent="0.2">
      <c r="A17" s="91"/>
      <c r="B17" s="91" t="s">
        <v>105</v>
      </c>
      <c r="C17" s="79">
        <v>2023</v>
      </c>
      <c r="D17" s="80">
        <v>120</v>
      </c>
      <c r="E17" s="79">
        <v>8</v>
      </c>
      <c r="F17" s="79">
        <v>2023</v>
      </c>
      <c r="G17" s="80">
        <v>120</v>
      </c>
      <c r="H17" s="79">
        <v>8</v>
      </c>
      <c r="I17" s="79">
        <v>2023</v>
      </c>
      <c r="J17" s="80">
        <v>140</v>
      </c>
      <c r="K17" s="79">
        <v>8</v>
      </c>
      <c r="L17" s="79">
        <v>2023</v>
      </c>
      <c r="M17" s="80">
        <v>140</v>
      </c>
      <c r="N17" s="79">
        <v>8</v>
      </c>
      <c r="O17" s="79">
        <v>2023</v>
      </c>
      <c r="P17" s="80">
        <v>140</v>
      </c>
      <c r="Q17" s="79">
        <v>8</v>
      </c>
      <c r="R17" s="79"/>
      <c r="S17" s="80"/>
      <c r="T17" s="79"/>
      <c r="U17" s="75">
        <f t="shared" si="2"/>
        <v>40</v>
      </c>
      <c r="V17" s="94"/>
      <c r="W17" s="98"/>
      <c r="X17" s="184"/>
      <c r="Y17" s="185"/>
    </row>
    <row r="18" spans="1:25" ht="24" customHeight="1" x14ac:dyDescent="0.2">
      <c r="A18" s="91"/>
      <c r="B18" s="99"/>
      <c r="C18" s="79"/>
      <c r="D18" s="80"/>
      <c r="E18" s="79"/>
      <c r="F18" s="79"/>
      <c r="G18" s="80"/>
      <c r="H18" s="79"/>
      <c r="I18" s="79"/>
      <c r="J18" s="80"/>
      <c r="K18" s="79"/>
      <c r="L18" s="79"/>
      <c r="M18" s="80"/>
      <c r="N18" s="79"/>
      <c r="O18" s="79"/>
      <c r="P18" s="80"/>
      <c r="Q18" s="79"/>
      <c r="R18" s="79"/>
      <c r="S18" s="80"/>
      <c r="T18" s="79"/>
      <c r="U18" s="75">
        <f t="shared" si="2"/>
        <v>0</v>
      </c>
      <c r="V18" s="94"/>
      <c r="W18" s="98"/>
      <c r="X18" s="184"/>
      <c r="Y18" s="185"/>
    </row>
    <row r="19" spans="1:25" ht="24" customHeight="1" x14ac:dyDescent="0.2">
      <c r="A19" s="91"/>
      <c r="B19" s="91" t="s">
        <v>104</v>
      </c>
      <c r="C19" s="79">
        <v>2023</v>
      </c>
      <c r="D19" s="80">
        <v>120</v>
      </c>
      <c r="E19" s="79">
        <v>8</v>
      </c>
      <c r="F19" s="79">
        <v>2023</v>
      </c>
      <c r="G19" s="80">
        <v>111</v>
      </c>
      <c r="H19" s="79">
        <v>8</v>
      </c>
      <c r="I19" s="86" t="s">
        <v>85</v>
      </c>
      <c r="J19" s="80"/>
      <c r="K19" s="79"/>
      <c r="L19" s="79">
        <v>2023</v>
      </c>
      <c r="M19" s="80">
        <v>130</v>
      </c>
      <c r="N19" s="79">
        <v>8</v>
      </c>
      <c r="O19" s="79">
        <v>2023</v>
      </c>
      <c r="P19" s="80">
        <v>130</v>
      </c>
      <c r="Q19" s="79">
        <v>8</v>
      </c>
      <c r="R19" s="79"/>
      <c r="S19" s="80"/>
      <c r="T19" s="79"/>
      <c r="U19" s="75">
        <f t="shared" si="2"/>
        <v>32</v>
      </c>
      <c r="V19" s="94"/>
      <c r="W19" s="98"/>
      <c r="X19" s="184"/>
      <c r="Y19" s="185"/>
    </row>
    <row r="20" spans="1:25" ht="24" customHeight="1" x14ac:dyDescent="0.2">
      <c r="A20" s="91"/>
      <c r="B20" s="91"/>
      <c r="C20" s="79"/>
      <c r="D20" s="80"/>
      <c r="E20" s="79"/>
      <c r="F20" s="79"/>
      <c r="G20" s="80"/>
      <c r="H20" s="79"/>
      <c r="I20" s="79"/>
      <c r="J20" s="80"/>
      <c r="K20" s="79"/>
      <c r="L20" s="79"/>
      <c r="M20" s="80"/>
      <c r="N20" s="79"/>
      <c r="O20" s="79"/>
      <c r="P20" s="80"/>
      <c r="Q20" s="79"/>
      <c r="R20" s="79"/>
      <c r="S20" s="80"/>
      <c r="T20" s="79"/>
      <c r="U20" s="75">
        <f t="shared" si="2"/>
        <v>0</v>
      </c>
      <c r="V20" s="94"/>
      <c r="W20" s="98"/>
      <c r="X20" s="184"/>
      <c r="Y20" s="185"/>
    </row>
    <row r="21" spans="1:25" ht="24" customHeight="1" x14ac:dyDescent="0.2">
      <c r="A21" s="91"/>
      <c r="B21" s="81" t="s">
        <v>101</v>
      </c>
      <c r="C21" s="79">
        <v>2023</v>
      </c>
      <c r="D21" s="80">
        <v>120</v>
      </c>
      <c r="E21" s="79">
        <v>8</v>
      </c>
      <c r="F21" s="79">
        <v>2023</v>
      </c>
      <c r="G21" s="80">
        <v>120</v>
      </c>
      <c r="H21" s="79">
        <v>8</v>
      </c>
      <c r="I21" s="79">
        <v>2023</v>
      </c>
      <c r="J21" s="80">
        <v>140</v>
      </c>
      <c r="K21" s="79">
        <v>8</v>
      </c>
      <c r="L21" s="79">
        <v>2023</v>
      </c>
      <c r="M21" s="80">
        <v>140</v>
      </c>
      <c r="N21" s="79">
        <v>8</v>
      </c>
      <c r="O21" s="79">
        <v>2023</v>
      </c>
      <c r="P21" s="80">
        <v>140</v>
      </c>
      <c r="Q21" s="79">
        <v>8</v>
      </c>
      <c r="R21" s="79"/>
      <c r="S21" s="80"/>
      <c r="T21" s="79"/>
      <c r="U21" s="75">
        <f t="shared" si="2"/>
        <v>40</v>
      </c>
      <c r="V21" s="94"/>
      <c r="W21" s="98"/>
      <c r="X21" s="184"/>
      <c r="Y21" s="185"/>
    </row>
    <row r="22" spans="1:25" ht="24" customHeight="1" x14ac:dyDescent="0.2">
      <c r="A22" s="91"/>
      <c r="B22" s="91"/>
      <c r="C22" s="79"/>
      <c r="D22" s="80"/>
      <c r="E22" s="79"/>
      <c r="F22" s="79"/>
      <c r="G22" s="80"/>
      <c r="H22" s="79"/>
      <c r="I22" s="79"/>
      <c r="J22" s="80"/>
      <c r="K22" s="79"/>
      <c r="L22" s="79"/>
      <c r="M22" s="80"/>
      <c r="N22" s="79"/>
      <c r="O22" s="79"/>
      <c r="P22" s="80"/>
      <c r="Q22" s="79"/>
      <c r="R22" s="90"/>
      <c r="S22" s="80"/>
      <c r="T22" s="79"/>
      <c r="U22" s="75">
        <f t="shared" si="2"/>
        <v>0</v>
      </c>
      <c r="V22" s="94"/>
      <c r="W22" s="98"/>
      <c r="X22" s="184"/>
      <c r="Y22" s="185"/>
    </row>
    <row r="23" spans="1:25" ht="24" customHeight="1" x14ac:dyDescent="0.2">
      <c r="A23" s="92"/>
      <c r="B23" s="91" t="s">
        <v>99</v>
      </c>
      <c r="C23" s="86" t="s">
        <v>85</v>
      </c>
      <c r="D23" s="87"/>
      <c r="E23" s="86"/>
      <c r="F23" s="86" t="s">
        <v>85</v>
      </c>
      <c r="G23" s="87"/>
      <c r="H23" s="86"/>
      <c r="I23" s="86" t="s">
        <v>85</v>
      </c>
      <c r="J23" s="87"/>
      <c r="K23" s="79"/>
      <c r="L23" s="79">
        <v>2023</v>
      </c>
      <c r="M23" s="80">
        <v>120</v>
      </c>
      <c r="N23" s="79">
        <v>8</v>
      </c>
      <c r="O23" s="79">
        <v>2023</v>
      </c>
      <c r="P23" s="80">
        <v>111</v>
      </c>
      <c r="Q23" s="79">
        <v>8</v>
      </c>
      <c r="R23" s="79"/>
      <c r="S23" s="80"/>
      <c r="T23" s="79"/>
      <c r="U23" s="75">
        <f t="shared" si="2"/>
        <v>16</v>
      </c>
      <c r="V23" s="94"/>
      <c r="W23" s="98"/>
      <c r="X23" s="184"/>
      <c r="Y23" s="185"/>
    </row>
    <row r="24" spans="1:25" ht="24" customHeight="1" x14ac:dyDescent="0.2">
      <c r="A24" s="91"/>
      <c r="B24" s="91"/>
      <c r="C24" s="79"/>
      <c r="D24" s="80"/>
      <c r="E24" s="79"/>
      <c r="F24" s="79"/>
      <c r="G24" s="80"/>
      <c r="H24" s="79"/>
      <c r="I24" s="79"/>
      <c r="J24" s="80"/>
      <c r="K24" s="79"/>
      <c r="L24" s="79"/>
      <c r="M24" s="80"/>
      <c r="N24" s="79"/>
      <c r="O24" s="79"/>
      <c r="P24" s="80"/>
      <c r="Q24" s="79"/>
      <c r="R24" s="79"/>
      <c r="S24" s="80"/>
      <c r="T24" s="79"/>
      <c r="U24" s="75">
        <f t="shared" si="2"/>
        <v>0</v>
      </c>
      <c r="V24" s="94"/>
      <c r="W24" s="98"/>
      <c r="X24" s="184"/>
      <c r="Y24" s="185"/>
    </row>
    <row r="25" spans="1:25" ht="24" customHeight="1" x14ac:dyDescent="0.2">
      <c r="A25" s="91"/>
      <c r="B25" s="81" t="s">
        <v>98</v>
      </c>
      <c r="C25" s="79">
        <v>2023</v>
      </c>
      <c r="D25" s="80">
        <v>120</v>
      </c>
      <c r="E25" s="79">
        <v>8</v>
      </c>
      <c r="F25" s="79">
        <v>2023</v>
      </c>
      <c r="G25" s="80">
        <v>151</v>
      </c>
      <c r="H25" s="79">
        <v>8</v>
      </c>
      <c r="I25" s="79">
        <v>2023</v>
      </c>
      <c r="J25" s="80">
        <v>151</v>
      </c>
      <c r="K25" s="79">
        <v>8</v>
      </c>
      <c r="L25" s="79">
        <v>2023</v>
      </c>
      <c r="M25" s="80">
        <v>151</v>
      </c>
      <c r="N25" s="79">
        <v>8</v>
      </c>
      <c r="O25" s="79">
        <v>2023</v>
      </c>
      <c r="P25" s="80">
        <v>151</v>
      </c>
      <c r="Q25" s="79">
        <v>8</v>
      </c>
      <c r="R25" s="79"/>
      <c r="S25" s="80"/>
      <c r="T25" s="79"/>
      <c r="U25" s="75">
        <f t="shared" si="2"/>
        <v>40</v>
      </c>
      <c r="V25" s="89"/>
      <c r="W25" s="98"/>
      <c r="X25" s="184"/>
      <c r="Y25" s="185"/>
    </row>
    <row r="26" spans="1:25" ht="24" customHeight="1" x14ac:dyDescent="0.2">
      <c r="A26" s="91"/>
      <c r="B26" s="91"/>
      <c r="C26" s="79"/>
      <c r="D26" s="80"/>
      <c r="E26" s="79"/>
      <c r="F26" s="79"/>
      <c r="G26" s="80"/>
      <c r="H26" s="79"/>
      <c r="I26" s="79"/>
      <c r="J26" s="80"/>
      <c r="K26" s="79"/>
      <c r="L26" s="86"/>
      <c r="M26" s="80"/>
      <c r="N26" s="79"/>
      <c r="O26" s="79"/>
      <c r="P26" s="80"/>
      <c r="Q26" s="79"/>
      <c r="R26" s="79"/>
      <c r="S26" s="80"/>
      <c r="T26" s="79"/>
      <c r="U26" s="75">
        <f t="shared" si="2"/>
        <v>0</v>
      </c>
      <c r="V26" s="89"/>
      <c r="W26" s="98"/>
      <c r="X26" s="184"/>
      <c r="Y26" s="185"/>
    </row>
    <row r="27" spans="1:25" ht="24" customHeight="1" x14ac:dyDescent="0.2">
      <c r="A27" s="91"/>
      <c r="B27" s="91" t="s">
        <v>140</v>
      </c>
      <c r="C27" s="79">
        <v>2023</v>
      </c>
      <c r="D27" s="80">
        <v>141</v>
      </c>
      <c r="E27" s="79">
        <v>8</v>
      </c>
      <c r="F27" s="79">
        <v>2023</v>
      </c>
      <c r="G27" s="80">
        <v>141</v>
      </c>
      <c r="H27" s="79">
        <v>8</v>
      </c>
      <c r="I27" s="79">
        <v>2023</v>
      </c>
      <c r="J27" s="80">
        <v>141</v>
      </c>
      <c r="K27" s="79">
        <v>8</v>
      </c>
      <c r="L27" s="79">
        <v>2023</v>
      </c>
      <c r="M27" s="80">
        <v>141</v>
      </c>
      <c r="N27" s="79">
        <v>8</v>
      </c>
      <c r="O27" s="79">
        <v>1002</v>
      </c>
      <c r="P27" s="80">
        <v>180</v>
      </c>
      <c r="Q27" s="79">
        <v>8</v>
      </c>
      <c r="R27" s="79"/>
      <c r="S27" s="80"/>
      <c r="T27" s="79"/>
      <c r="U27" s="75">
        <f t="shared" si="2"/>
        <v>40</v>
      </c>
      <c r="V27" s="94"/>
      <c r="W27" s="98"/>
      <c r="X27" s="184"/>
      <c r="Y27" s="185"/>
    </row>
    <row r="28" spans="1:25" ht="24" customHeight="1" x14ac:dyDescent="0.2">
      <c r="A28" s="91"/>
      <c r="B28" s="91"/>
      <c r="C28" s="79"/>
      <c r="D28" s="80"/>
      <c r="E28" s="79"/>
      <c r="F28" s="79"/>
      <c r="G28" s="80"/>
      <c r="H28" s="79"/>
      <c r="I28" s="79"/>
      <c r="J28" s="80"/>
      <c r="K28" s="79"/>
      <c r="L28" s="79"/>
      <c r="M28" s="80"/>
      <c r="N28" s="79"/>
      <c r="O28" s="79"/>
      <c r="P28" s="80"/>
      <c r="Q28" s="79"/>
      <c r="R28" s="79"/>
      <c r="S28" s="80"/>
      <c r="T28" s="79"/>
      <c r="U28" s="75">
        <f t="shared" si="2"/>
        <v>0</v>
      </c>
      <c r="V28" s="94"/>
    </row>
    <row r="29" spans="1:25" ht="24" customHeight="1" x14ac:dyDescent="0.2">
      <c r="A29" s="91"/>
      <c r="B29" s="91" t="s">
        <v>139</v>
      </c>
      <c r="C29" s="79">
        <v>2023</v>
      </c>
      <c r="D29" s="80">
        <v>141</v>
      </c>
      <c r="E29" s="79">
        <v>8</v>
      </c>
      <c r="F29" s="79">
        <v>2023</v>
      </c>
      <c r="G29" s="80">
        <v>141</v>
      </c>
      <c r="H29" s="79">
        <v>8</v>
      </c>
      <c r="I29" s="79">
        <v>2023</v>
      </c>
      <c r="J29" s="80">
        <v>141</v>
      </c>
      <c r="K29" s="86">
        <v>5</v>
      </c>
      <c r="L29" s="79">
        <v>2023</v>
      </c>
      <c r="M29" s="80">
        <v>141</v>
      </c>
      <c r="N29" s="79">
        <v>8</v>
      </c>
      <c r="O29" s="79">
        <v>2023</v>
      </c>
      <c r="P29" s="80">
        <v>141</v>
      </c>
      <c r="Q29" s="79">
        <v>8</v>
      </c>
      <c r="R29" s="79"/>
      <c r="S29" s="80"/>
      <c r="T29" s="79"/>
      <c r="U29" s="75">
        <f t="shared" si="2"/>
        <v>37</v>
      </c>
      <c r="V29" s="94"/>
    </row>
    <row r="30" spans="1:25" ht="24" customHeight="1" x14ac:dyDescent="0.2">
      <c r="A30" s="91"/>
      <c r="B30" s="81"/>
      <c r="C30" s="79"/>
      <c r="D30" s="80"/>
      <c r="E30" s="79"/>
      <c r="F30" s="79"/>
      <c r="G30" s="80"/>
      <c r="H30" s="79"/>
      <c r="I30" s="86" t="s">
        <v>144</v>
      </c>
      <c r="J30" s="80"/>
      <c r="K30" s="79"/>
      <c r="L30" s="79"/>
      <c r="M30" s="80"/>
      <c r="N30" s="79"/>
      <c r="O30" s="79"/>
      <c r="P30" s="80"/>
      <c r="Q30" s="79"/>
      <c r="R30" s="79"/>
      <c r="S30" s="80"/>
      <c r="T30" s="79"/>
      <c r="U30" s="75">
        <f t="shared" si="2"/>
        <v>0</v>
      </c>
      <c r="V30" s="94"/>
    </row>
    <row r="31" spans="1:25" ht="24" customHeight="1" x14ac:dyDescent="0.2">
      <c r="A31" s="91"/>
      <c r="B31" s="81" t="s">
        <v>90</v>
      </c>
      <c r="C31" s="79">
        <v>2023</v>
      </c>
      <c r="D31" s="80">
        <v>151</v>
      </c>
      <c r="E31" s="79">
        <v>8</v>
      </c>
      <c r="F31" s="79">
        <v>2023</v>
      </c>
      <c r="G31" s="80">
        <v>120</v>
      </c>
      <c r="H31" s="79">
        <v>8</v>
      </c>
      <c r="I31" s="79">
        <v>2023</v>
      </c>
      <c r="J31" s="80">
        <v>120</v>
      </c>
      <c r="K31" s="79">
        <v>6</v>
      </c>
      <c r="L31" s="79">
        <v>2023</v>
      </c>
      <c r="M31" s="80">
        <v>120</v>
      </c>
      <c r="N31" s="79">
        <v>6</v>
      </c>
      <c r="O31" s="79">
        <v>2023</v>
      </c>
      <c r="P31" s="80">
        <v>120</v>
      </c>
      <c r="Q31" s="79">
        <v>8</v>
      </c>
      <c r="R31" s="79"/>
      <c r="S31" s="80"/>
      <c r="T31" s="79"/>
      <c r="U31" s="75">
        <f t="shared" si="2"/>
        <v>36</v>
      </c>
      <c r="V31" s="94"/>
    </row>
    <row r="32" spans="1:25" ht="24" customHeight="1" x14ac:dyDescent="0.2">
      <c r="A32" s="91"/>
      <c r="B32" s="81"/>
      <c r="C32" s="79"/>
      <c r="D32" s="80"/>
      <c r="E32" s="79"/>
      <c r="F32" s="79"/>
      <c r="G32" s="80"/>
      <c r="H32" s="79"/>
      <c r="I32" s="79">
        <v>2023</v>
      </c>
      <c r="J32" s="80">
        <v>151</v>
      </c>
      <c r="K32" s="79">
        <v>2</v>
      </c>
      <c r="L32" s="79">
        <v>2023</v>
      </c>
      <c r="M32" s="80">
        <v>151</v>
      </c>
      <c r="N32" s="79">
        <v>2</v>
      </c>
      <c r="O32" s="79"/>
      <c r="P32" s="80"/>
      <c r="Q32" s="79"/>
      <c r="R32" s="88"/>
      <c r="S32" s="80"/>
      <c r="T32" s="79"/>
      <c r="U32" s="75">
        <f t="shared" si="2"/>
        <v>4</v>
      </c>
      <c r="V32" s="94"/>
    </row>
    <row r="33" spans="1:25" ht="24" customHeight="1" x14ac:dyDescent="0.2">
      <c r="A33" s="91"/>
      <c r="B33" s="81" t="s">
        <v>89</v>
      </c>
      <c r="C33" s="86" t="s">
        <v>85</v>
      </c>
      <c r="D33" s="87"/>
      <c r="E33" s="86"/>
      <c r="F33" s="86" t="s">
        <v>85</v>
      </c>
      <c r="G33" s="87"/>
      <c r="H33" s="79"/>
      <c r="I33" s="79">
        <v>2023</v>
      </c>
      <c r="J33" s="80">
        <v>120</v>
      </c>
      <c r="K33" s="79">
        <v>8</v>
      </c>
      <c r="L33" s="79">
        <v>2023</v>
      </c>
      <c r="M33" s="80">
        <v>120</v>
      </c>
      <c r="N33" s="79">
        <v>6</v>
      </c>
      <c r="O33" s="79">
        <v>2023</v>
      </c>
      <c r="P33" s="80">
        <v>151</v>
      </c>
      <c r="Q33" s="79">
        <v>8</v>
      </c>
      <c r="R33" s="79"/>
      <c r="S33" s="80"/>
      <c r="T33" s="79"/>
      <c r="U33" s="75">
        <f t="shared" si="2"/>
        <v>22</v>
      </c>
      <c r="V33" s="94"/>
    </row>
    <row r="34" spans="1:25" ht="24" customHeight="1" x14ac:dyDescent="0.2">
      <c r="A34" s="91"/>
      <c r="B34" s="81"/>
      <c r="C34" s="79"/>
      <c r="D34" s="80"/>
      <c r="E34" s="79"/>
      <c r="F34" s="79"/>
      <c r="G34" s="80"/>
      <c r="H34" s="79"/>
      <c r="I34" s="79"/>
      <c r="J34" s="80"/>
      <c r="K34" s="79"/>
      <c r="L34" s="79">
        <v>2023</v>
      </c>
      <c r="M34" s="80">
        <v>151</v>
      </c>
      <c r="N34" s="79">
        <v>2</v>
      </c>
      <c r="O34" s="79"/>
      <c r="P34" s="80"/>
      <c r="Q34" s="79"/>
      <c r="R34" s="79"/>
      <c r="S34" s="80"/>
      <c r="T34" s="79"/>
      <c r="U34" s="75">
        <f t="shared" si="2"/>
        <v>2</v>
      </c>
      <c r="V34" s="94"/>
    </row>
    <row r="35" spans="1:25" customFormat="1" ht="24" customHeight="1" x14ac:dyDescent="0.2">
      <c r="A35" s="121"/>
      <c r="B35" s="122" t="s">
        <v>86</v>
      </c>
      <c r="C35" s="117">
        <v>2023</v>
      </c>
      <c r="D35" s="118">
        <v>142</v>
      </c>
      <c r="E35" s="117">
        <v>8</v>
      </c>
      <c r="F35" s="117">
        <v>2023</v>
      </c>
      <c r="G35" s="118">
        <v>142</v>
      </c>
      <c r="H35" s="117">
        <v>8</v>
      </c>
      <c r="I35" s="117">
        <v>2023</v>
      </c>
      <c r="J35" s="118">
        <v>142</v>
      </c>
      <c r="K35" s="117">
        <v>8</v>
      </c>
      <c r="L35" s="117">
        <v>2023</v>
      </c>
      <c r="M35" s="118">
        <v>120</v>
      </c>
      <c r="N35" s="117">
        <v>6</v>
      </c>
      <c r="O35" s="117">
        <v>2023</v>
      </c>
      <c r="P35" s="119">
        <v>151</v>
      </c>
      <c r="Q35" s="120">
        <v>8</v>
      </c>
      <c r="R35" s="120"/>
      <c r="S35" s="119"/>
      <c r="T35" s="120"/>
      <c r="U35" s="123">
        <f t="shared" ref="U35:U36" si="3">SUM(B35,E35,H35,K35,N35,Q35,T35)</f>
        <v>38</v>
      </c>
      <c r="V35" s="124"/>
      <c r="W35" s="45"/>
      <c r="X35" s="186"/>
      <c r="Y35" s="187"/>
    </row>
    <row r="36" spans="1:25" ht="24" customHeight="1" x14ac:dyDescent="0.2">
      <c r="A36" s="72"/>
      <c r="L36" s="117">
        <v>2023</v>
      </c>
      <c r="M36" s="118">
        <v>151</v>
      </c>
      <c r="N36" s="117">
        <v>2</v>
      </c>
      <c r="U36" s="123">
        <f t="shared" si="3"/>
        <v>2</v>
      </c>
    </row>
    <row r="37" spans="1:25" customFormat="1" ht="24" customHeight="1" x14ac:dyDescent="0.2">
      <c r="A37" s="121"/>
      <c r="B37" s="122" t="s">
        <v>164</v>
      </c>
      <c r="C37" s="120">
        <v>2023</v>
      </c>
      <c r="D37" s="119">
        <v>151</v>
      </c>
      <c r="E37" s="120">
        <v>8</v>
      </c>
      <c r="F37" s="120">
        <v>2027</v>
      </c>
      <c r="G37" s="119">
        <v>110</v>
      </c>
      <c r="H37" s="117">
        <v>6</v>
      </c>
      <c r="I37" s="117">
        <v>2023</v>
      </c>
      <c r="J37" s="118">
        <v>142</v>
      </c>
      <c r="K37" s="117">
        <v>8</v>
      </c>
      <c r="L37" s="117">
        <v>2027</v>
      </c>
      <c r="M37" s="119">
        <v>110</v>
      </c>
      <c r="N37" s="117">
        <v>8</v>
      </c>
      <c r="O37" s="117">
        <v>2023</v>
      </c>
      <c r="P37" s="119">
        <v>120</v>
      </c>
      <c r="Q37" s="120">
        <v>8</v>
      </c>
      <c r="R37" s="131"/>
      <c r="S37" s="119"/>
      <c r="T37" s="120"/>
      <c r="U37" s="123">
        <f t="shared" ref="U37:U38" si="4">SUM(B37,E37,H37,K37,N37,Q37,T37)</f>
        <v>38</v>
      </c>
      <c r="V37" s="124"/>
      <c r="W37" s="45"/>
      <c r="X37" s="186"/>
      <c r="Y37" s="187"/>
    </row>
    <row r="38" spans="1:25" customFormat="1" ht="24" customHeight="1" x14ac:dyDescent="0.2">
      <c r="A38" s="121"/>
      <c r="B38" s="121"/>
      <c r="C38" s="120"/>
      <c r="D38" s="119"/>
      <c r="E38" s="120"/>
      <c r="F38" s="120">
        <v>2023</v>
      </c>
      <c r="G38" s="119">
        <v>142</v>
      </c>
      <c r="H38" s="120">
        <v>2</v>
      </c>
      <c r="I38" s="120"/>
      <c r="J38" s="119"/>
      <c r="K38" s="117"/>
      <c r="L38" s="120"/>
      <c r="M38" s="119"/>
      <c r="N38" s="117"/>
      <c r="O38" s="120"/>
      <c r="P38" s="119"/>
      <c r="Q38" s="117"/>
      <c r="R38" s="120"/>
      <c r="S38" s="119"/>
      <c r="T38" s="120"/>
      <c r="U38" s="123">
        <f t="shared" si="4"/>
        <v>2</v>
      </c>
      <c r="V38" s="124"/>
      <c r="W38" s="45"/>
      <c r="X38" s="186"/>
      <c r="Y38" s="187"/>
    </row>
    <row r="39" spans="1:25" ht="24" customHeight="1" x14ac:dyDescent="0.2">
      <c r="A39" s="72"/>
    </row>
    <row r="40" spans="1:25" ht="24" customHeight="1" x14ac:dyDescent="0.2">
      <c r="A40" s="72"/>
    </row>
    <row r="41" spans="1:25" ht="24" customHeight="1" x14ac:dyDescent="0.2">
      <c r="A41" s="72"/>
    </row>
    <row r="42" spans="1:25" ht="24" customHeight="1" x14ac:dyDescent="0.2">
      <c r="A42" s="72"/>
    </row>
    <row r="43" spans="1:25" ht="24" customHeight="1" x14ac:dyDescent="0.2">
      <c r="A43" s="72"/>
    </row>
    <row r="44" spans="1:25" ht="24" customHeight="1" x14ac:dyDescent="0.2">
      <c r="A44" s="72"/>
    </row>
    <row r="45" spans="1:25" ht="24" customHeight="1" x14ac:dyDescent="0.2">
      <c r="A45" s="72"/>
    </row>
    <row r="46" spans="1:25" ht="24" customHeight="1" x14ac:dyDescent="0.2">
      <c r="A46" s="72"/>
    </row>
    <row r="47" spans="1:25" ht="24" customHeight="1" x14ac:dyDescent="0.2">
      <c r="A47" s="72"/>
    </row>
    <row r="48" spans="1:25" ht="24" customHeight="1" x14ac:dyDescent="0.2">
      <c r="A48" s="72"/>
    </row>
    <row r="49" spans="1:1" ht="24" customHeight="1" x14ac:dyDescent="0.2">
      <c r="A49" s="72"/>
    </row>
    <row r="50" spans="1:1" ht="24" customHeight="1" x14ac:dyDescent="0.2">
      <c r="A50" s="72"/>
    </row>
    <row r="51" spans="1:1" ht="24" customHeight="1" x14ac:dyDescent="0.2">
      <c r="A51" s="72"/>
    </row>
    <row r="52" spans="1:1" ht="24" customHeight="1" x14ac:dyDescent="0.2">
      <c r="A52" s="72"/>
    </row>
    <row r="53" spans="1:1" ht="24" customHeight="1" x14ac:dyDescent="0.2">
      <c r="A53" s="72"/>
    </row>
    <row r="54" spans="1:1" ht="24" customHeight="1" x14ac:dyDescent="0.2">
      <c r="A54" s="72"/>
    </row>
    <row r="55" spans="1:1" ht="24" customHeight="1" x14ac:dyDescent="0.2">
      <c r="A55" s="72"/>
    </row>
    <row r="56" spans="1:1" ht="24" customHeight="1" x14ac:dyDescent="0.2">
      <c r="A56" s="72"/>
    </row>
    <row r="57" spans="1:1" ht="24" customHeight="1" x14ac:dyDescent="0.2">
      <c r="A57" s="72"/>
    </row>
    <row r="58" spans="1:1" ht="24" customHeight="1" x14ac:dyDescent="0.2">
      <c r="A58" s="72"/>
    </row>
    <row r="59" spans="1:1" ht="24" customHeight="1" x14ac:dyDescent="0.2">
      <c r="A59" s="72"/>
    </row>
    <row r="60" spans="1:1" ht="24" customHeight="1" x14ac:dyDescent="0.2">
      <c r="A60" s="72"/>
    </row>
    <row r="61" spans="1:1" ht="24" customHeight="1" x14ac:dyDescent="0.2">
      <c r="A61" s="72"/>
    </row>
    <row r="62" spans="1:1" ht="24" customHeight="1" x14ac:dyDescent="0.2">
      <c r="A62" s="72"/>
    </row>
    <row r="63" spans="1:1" ht="24" customHeight="1" x14ac:dyDescent="0.2">
      <c r="A63" s="72"/>
    </row>
    <row r="64" spans="1:1" ht="24" customHeight="1" x14ac:dyDescent="0.2">
      <c r="A64" s="72"/>
    </row>
    <row r="65" spans="1:1" ht="24" customHeight="1" x14ac:dyDescent="0.2">
      <c r="A65" s="72"/>
    </row>
    <row r="66" spans="1:1" ht="24" customHeight="1" x14ac:dyDescent="0.2">
      <c r="A66" s="72"/>
    </row>
    <row r="67" spans="1:1" ht="24" customHeight="1" x14ac:dyDescent="0.2">
      <c r="A67" s="72"/>
    </row>
    <row r="68" spans="1:1" ht="24" customHeight="1" x14ac:dyDescent="0.2">
      <c r="A68" s="72"/>
    </row>
    <row r="69" spans="1:1" ht="24" customHeight="1" x14ac:dyDescent="0.2">
      <c r="A69" s="72"/>
    </row>
    <row r="70" spans="1:1" ht="24" customHeight="1" x14ac:dyDescent="0.2">
      <c r="A70" s="72"/>
    </row>
    <row r="71" spans="1:1" ht="24" customHeight="1" x14ac:dyDescent="0.2">
      <c r="A71" s="72"/>
    </row>
    <row r="72" spans="1:1" ht="24" customHeight="1" x14ac:dyDescent="0.2">
      <c r="A72" s="72"/>
    </row>
    <row r="73" spans="1:1" ht="24" customHeight="1" x14ac:dyDescent="0.2">
      <c r="A73" s="72"/>
    </row>
    <row r="74" spans="1:1" ht="24" customHeight="1" x14ac:dyDescent="0.2">
      <c r="A74" s="72"/>
    </row>
    <row r="75" spans="1:1" ht="24" customHeight="1" x14ac:dyDescent="0.2">
      <c r="A75" s="72"/>
    </row>
    <row r="76" spans="1:1" x14ac:dyDescent="0.2">
      <c r="A76" s="72"/>
    </row>
    <row r="77" spans="1:1" x14ac:dyDescent="0.2">
      <c r="A77" s="72"/>
    </row>
    <row r="78" spans="1:1" x14ac:dyDescent="0.2">
      <c r="A78" s="72"/>
    </row>
    <row r="79" spans="1:1" x14ac:dyDescent="0.2">
      <c r="A79" s="72"/>
    </row>
    <row r="80" spans="1:1" x14ac:dyDescent="0.2">
      <c r="A80" s="72"/>
    </row>
    <row r="81" spans="1:1" x14ac:dyDescent="0.2">
      <c r="A81" s="72"/>
    </row>
    <row r="82" spans="1:1" x14ac:dyDescent="0.2">
      <c r="A82" s="72"/>
    </row>
    <row r="83" spans="1:1" x14ac:dyDescent="0.2">
      <c r="A83" s="72"/>
    </row>
    <row r="84" spans="1:1" x14ac:dyDescent="0.2">
      <c r="A84" s="72"/>
    </row>
    <row r="85" spans="1:1" x14ac:dyDescent="0.2">
      <c r="A85" s="72"/>
    </row>
    <row r="86" spans="1:1" x14ac:dyDescent="0.2">
      <c r="A86" s="72"/>
    </row>
    <row r="87" spans="1:1" x14ac:dyDescent="0.2">
      <c r="A87" s="72"/>
    </row>
    <row r="88" spans="1:1" x14ac:dyDescent="0.2">
      <c r="A88" s="72"/>
    </row>
    <row r="89" spans="1:1" x14ac:dyDescent="0.2">
      <c r="A89" s="72"/>
    </row>
    <row r="90" spans="1:1" x14ac:dyDescent="0.2">
      <c r="A90" s="72"/>
    </row>
    <row r="91" spans="1:1" x14ac:dyDescent="0.2">
      <c r="A91" s="72"/>
    </row>
    <row r="92" spans="1:1" x14ac:dyDescent="0.2">
      <c r="A92" s="72"/>
    </row>
    <row r="93" spans="1:1" x14ac:dyDescent="0.2">
      <c r="A93" s="72"/>
    </row>
    <row r="94" spans="1:1" x14ac:dyDescent="0.2">
      <c r="A94" s="72"/>
    </row>
    <row r="95" spans="1:1" x14ac:dyDescent="0.2">
      <c r="A95" s="72"/>
    </row>
    <row r="96" spans="1:1" x14ac:dyDescent="0.2">
      <c r="A96" s="72"/>
    </row>
    <row r="97" spans="1:1" x14ac:dyDescent="0.2">
      <c r="A97" s="72"/>
    </row>
    <row r="98" spans="1:1" x14ac:dyDescent="0.2">
      <c r="A98" s="72"/>
    </row>
    <row r="99" spans="1:1" x14ac:dyDescent="0.2">
      <c r="A99" s="72"/>
    </row>
    <row r="100" spans="1:1" x14ac:dyDescent="0.2">
      <c r="A100" s="72"/>
    </row>
    <row r="101" spans="1:1" x14ac:dyDescent="0.2">
      <c r="A101" s="72"/>
    </row>
    <row r="102" spans="1:1" x14ac:dyDescent="0.2">
      <c r="A102" s="72"/>
    </row>
    <row r="103" spans="1:1" x14ac:dyDescent="0.2">
      <c r="A103" s="72"/>
    </row>
  </sheetData>
  <sheetProtection formatCells="0" selectLockedCells="1" selectUnlockedCells="1"/>
  <mergeCells count="46">
    <mergeCell ref="X24:Y24"/>
    <mergeCell ref="X25:Y25"/>
    <mergeCell ref="X26:Y26"/>
    <mergeCell ref="X27:Y27"/>
    <mergeCell ref="X19:Y19"/>
    <mergeCell ref="X20:Y20"/>
    <mergeCell ref="X21:Y21"/>
    <mergeCell ref="X22:Y22"/>
    <mergeCell ref="X23:Y23"/>
    <mergeCell ref="A5:A6"/>
    <mergeCell ref="B5:T5"/>
    <mergeCell ref="X13:Y13"/>
    <mergeCell ref="X14:Y14"/>
    <mergeCell ref="X15:Y15"/>
    <mergeCell ref="X9:Y9"/>
    <mergeCell ref="X10:Y10"/>
    <mergeCell ref="L4:N4"/>
    <mergeCell ref="O2:Q2"/>
    <mergeCell ref="O3:Q3"/>
    <mergeCell ref="O4:Q4"/>
    <mergeCell ref="L1:Q1"/>
    <mergeCell ref="L3:N3"/>
    <mergeCell ref="C1:E1"/>
    <mergeCell ref="C2:E2"/>
    <mergeCell ref="C3:E3"/>
    <mergeCell ref="C4:E4"/>
    <mergeCell ref="F1:H1"/>
    <mergeCell ref="F2:H2"/>
    <mergeCell ref="F3:H3"/>
    <mergeCell ref="F4:H4"/>
    <mergeCell ref="X35:Y35"/>
    <mergeCell ref="X37:Y37"/>
    <mergeCell ref="X38:Y38"/>
    <mergeCell ref="I1:K1"/>
    <mergeCell ref="I2:K2"/>
    <mergeCell ref="I3:K3"/>
    <mergeCell ref="I4:K4"/>
    <mergeCell ref="L2:N2"/>
    <mergeCell ref="X8:Y8"/>
    <mergeCell ref="X16:Y16"/>
    <mergeCell ref="X17:Y17"/>
    <mergeCell ref="X18:Y18"/>
    <mergeCell ref="R1:T1"/>
    <mergeCell ref="R2:T2"/>
    <mergeCell ref="R3:T3"/>
    <mergeCell ref="R4:T4"/>
  </mergeCells>
  <printOptions horizontalCentered="1" verticalCentered="1" gridLines="1"/>
  <pageMargins left="0.5" right="0.5" top="0.5" bottom="0.25" header="0" footer="0"/>
  <pageSetup scale="61" orientation="landscape" r:id="rId1"/>
  <headerFooter alignWithMargins="0">
    <oddHeader>&amp;LFAX-425-487-1568&amp;CTIMESHEET</oddHeader>
  </headerFooter>
  <colBreaks count="1" manualBreakCount="1">
    <brk id="21" max="68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1"/>
  <sheetViews>
    <sheetView topLeftCell="A7" workbookViewId="0">
      <selection activeCell="I19" sqref="I19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134</v>
      </c>
      <c r="D1" s="176"/>
      <c r="E1" s="176"/>
      <c r="F1" s="174" t="s">
        <v>133</v>
      </c>
      <c r="G1" s="176"/>
      <c r="H1" s="176"/>
      <c r="I1" s="165" t="s">
        <v>132</v>
      </c>
      <c r="J1" s="166"/>
      <c r="K1" s="166"/>
      <c r="L1" s="179" t="s">
        <v>131</v>
      </c>
      <c r="M1" s="179"/>
      <c r="N1" s="179"/>
      <c r="O1" s="179"/>
      <c r="P1" s="179"/>
      <c r="Q1" s="179"/>
      <c r="R1" s="175" t="s">
        <v>130</v>
      </c>
      <c r="S1" s="175"/>
      <c r="T1" s="175"/>
      <c r="U1" s="109"/>
      <c r="V1" s="112"/>
    </row>
    <row r="2" spans="1:25" ht="24" customHeight="1" thickBot="1" x14ac:dyDescent="0.25">
      <c r="A2" s="103"/>
      <c r="B2" s="110" t="s">
        <v>129</v>
      </c>
      <c r="C2" s="175" t="s">
        <v>128</v>
      </c>
      <c r="D2" s="175"/>
      <c r="E2" s="175"/>
      <c r="F2" s="174" t="s">
        <v>127</v>
      </c>
      <c r="G2" s="176"/>
      <c r="H2" s="176"/>
      <c r="I2" s="167"/>
      <c r="J2" s="167"/>
      <c r="K2" s="167"/>
      <c r="L2" s="174" t="s">
        <v>126</v>
      </c>
      <c r="M2" s="175"/>
      <c r="N2" s="175"/>
      <c r="O2" s="174" t="s">
        <v>125</v>
      </c>
      <c r="P2" s="174"/>
      <c r="Q2" s="174"/>
      <c r="R2" s="175" t="s">
        <v>124</v>
      </c>
      <c r="S2" s="175"/>
      <c r="T2" s="175"/>
      <c r="U2" s="109"/>
      <c r="V2" s="112"/>
    </row>
    <row r="3" spans="1:25" ht="24" customHeight="1" x14ac:dyDescent="0.2">
      <c r="A3" s="103"/>
      <c r="B3" s="110" t="s">
        <v>123</v>
      </c>
      <c r="C3" s="174" t="s">
        <v>122</v>
      </c>
      <c r="D3" s="174"/>
      <c r="E3" s="174"/>
      <c r="F3" s="174" t="s">
        <v>121</v>
      </c>
      <c r="G3" s="176"/>
      <c r="H3" s="176"/>
      <c r="I3" s="168" t="s">
        <v>120</v>
      </c>
      <c r="J3" s="169"/>
      <c r="K3" s="170"/>
      <c r="L3" s="174" t="s">
        <v>119</v>
      </c>
      <c r="M3" s="175"/>
      <c r="N3" s="175"/>
      <c r="O3" s="174" t="s">
        <v>118</v>
      </c>
      <c r="P3" s="174"/>
      <c r="Q3" s="174"/>
      <c r="R3" s="175" t="s">
        <v>117</v>
      </c>
      <c r="S3" s="175"/>
      <c r="T3" s="175"/>
      <c r="U3" s="109"/>
      <c r="V3" s="111"/>
    </row>
    <row r="4" spans="1:25" ht="24" customHeight="1" thickBot="1" x14ac:dyDescent="0.25">
      <c r="A4" s="103"/>
      <c r="B4" s="110" t="s">
        <v>116</v>
      </c>
      <c r="C4" s="174" t="s">
        <v>115</v>
      </c>
      <c r="D4" s="176"/>
      <c r="E4" s="176"/>
      <c r="F4" s="174" t="s">
        <v>114</v>
      </c>
      <c r="G4" s="176"/>
      <c r="H4" s="176"/>
      <c r="I4" s="171" t="s">
        <v>113</v>
      </c>
      <c r="J4" s="172"/>
      <c r="K4" s="173"/>
      <c r="L4" s="174" t="s">
        <v>112</v>
      </c>
      <c r="M4" s="175"/>
      <c r="N4" s="175"/>
      <c r="O4" s="178" t="s">
        <v>111</v>
      </c>
      <c r="P4" s="178"/>
      <c r="Q4" s="178"/>
      <c r="R4" s="177" t="s">
        <v>161</v>
      </c>
      <c r="S4" s="177"/>
      <c r="T4" s="177"/>
      <c r="U4" s="109"/>
      <c r="V4" s="89"/>
    </row>
    <row r="5" spans="1:25" ht="24" customHeight="1" thickBot="1" x14ac:dyDescent="0.25">
      <c r="A5" s="180"/>
      <c r="B5" s="181" t="s">
        <v>97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42502</v>
      </c>
      <c r="D6" s="107"/>
      <c r="E6" s="107"/>
      <c r="F6" s="107">
        <f>C6+1</f>
        <v>42503</v>
      </c>
      <c r="G6" s="107"/>
      <c r="H6" s="107"/>
      <c r="I6" s="107">
        <f>F6+3</f>
        <v>42506</v>
      </c>
      <c r="J6" s="107"/>
      <c r="K6" s="107"/>
      <c r="L6" s="107">
        <f>I6+1</f>
        <v>42507</v>
      </c>
      <c r="M6" s="107"/>
      <c r="N6" s="107"/>
      <c r="O6" s="107">
        <f>L6+1</f>
        <v>42508</v>
      </c>
      <c r="P6" s="107"/>
      <c r="Q6" s="107"/>
      <c r="R6" s="107">
        <f>F6+1</f>
        <v>42504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 t="s">
        <v>110</v>
      </c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customFormat="1" ht="24" customHeight="1" x14ac:dyDescent="0.2">
      <c r="A8" s="121"/>
      <c r="B8" s="122" t="s">
        <v>108</v>
      </c>
      <c r="C8" s="117">
        <v>2023</v>
      </c>
      <c r="D8" s="118">
        <v>120</v>
      </c>
      <c r="E8" s="117">
        <v>6</v>
      </c>
      <c r="F8" s="117">
        <v>2027</v>
      </c>
      <c r="G8" s="118">
        <v>110</v>
      </c>
      <c r="H8" s="125">
        <v>4</v>
      </c>
      <c r="I8" s="117">
        <v>2023</v>
      </c>
      <c r="J8" s="118">
        <v>120</v>
      </c>
      <c r="K8" s="117">
        <v>6</v>
      </c>
      <c r="L8" s="117">
        <v>2023</v>
      </c>
      <c r="M8" s="119">
        <v>120</v>
      </c>
      <c r="N8" s="117">
        <v>7</v>
      </c>
      <c r="O8" s="117">
        <v>2023</v>
      </c>
      <c r="P8" s="119">
        <v>111</v>
      </c>
      <c r="Q8" s="120">
        <v>6</v>
      </c>
      <c r="R8" s="120"/>
      <c r="S8" s="119"/>
      <c r="T8" s="120"/>
      <c r="U8" s="123">
        <f t="shared" ref="U8:U12" si="0">SUM(B8,E8,H8,K8,N8,Q8,T8)</f>
        <v>29</v>
      </c>
      <c r="V8" s="124"/>
      <c r="W8" s="45"/>
      <c r="X8" s="186"/>
      <c r="Y8" s="187"/>
    </row>
    <row r="9" spans="1:25" customFormat="1" ht="24" customHeight="1" x14ac:dyDescent="0.2">
      <c r="A9" s="121"/>
      <c r="B9" s="122"/>
      <c r="C9" s="117">
        <v>2023</v>
      </c>
      <c r="D9" s="118">
        <v>151</v>
      </c>
      <c r="E9" s="117">
        <v>2</v>
      </c>
      <c r="F9" s="117">
        <v>2023</v>
      </c>
      <c r="G9" s="118">
        <v>120</v>
      </c>
      <c r="H9" s="125">
        <v>6</v>
      </c>
      <c r="I9" s="117">
        <v>2023</v>
      </c>
      <c r="J9" s="118">
        <v>151</v>
      </c>
      <c r="K9" s="117">
        <v>2</v>
      </c>
      <c r="L9" s="117">
        <v>2023</v>
      </c>
      <c r="M9" s="118">
        <v>151</v>
      </c>
      <c r="N9" s="117">
        <v>1</v>
      </c>
      <c r="O9" s="117">
        <v>2023</v>
      </c>
      <c r="P9" s="118">
        <v>151</v>
      </c>
      <c r="Q9" s="117">
        <v>2</v>
      </c>
      <c r="R9" s="120"/>
      <c r="S9" s="119"/>
      <c r="T9" s="120"/>
      <c r="U9" s="123">
        <f t="shared" si="0"/>
        <v>13</v>
      </c>
      <c r="V9" s="124"/>
      <c r="W9" s="45"/>
      <c r="X9" s="186"/>
      <c r="Y9" s="187"/>
    </row>
    <row r="10" spans="1:25" customFormat="1" ht="24" customHeight="1" x14ac:dyDescent="0.2">
      <c r="A10" s="121"/>
      <c r="B10" s="122"/>
      <c r="C10" s="120"/>
      <c r="D10" s="119"/>
      <c r="E10" s="120"/>
      <c r="F10" s="117">
        <v>2023</v>
      </c>
      <c r="G10" s="119">
        <v>151</v>
      </c>
      <c r="H10" s="125">
        <v>2</v>
      </c>
      <c r="I10" s="117"/>
      <c r="J10" s="119"/>
      <c r="K10" s="117"/>
      <c r="L10" s="117"/>
      <c r="M10" s="119"/>
      <c r="N10" s="117"/>
      <c r="O10" s="117"/>
      <c r="P10" s="119"/>
      <c r="Q10" s="117"/>
      <c r="R10" s="120"/>
      <c r="S10" s="119"/>
      <c r="T10" s="120"/>
      <c r="U10" s="123">
        <f t="shared" si="0"/>
        <v>2</v>
      </c>
      <c r="V10" s="124"/>
      <c r="W10" s="45"/>
      <c r="X10" s="186"/>
      <c r="Y10" s="187"/>
    </row>
    <row r="11" spans="1:25" ht="24" customHeight="1" x14ac:dyDescent="0.2">
      <c r="A11" s="103"/>
      <c r="B11" s="81" t="s">
        <v>109</v>
      </c>
      <c r="C11" s="86" t="s">
        <v>152</v>
      </c>
      <c r="D11" s="87"/>
      <c r="E11" s="86"/>
      <c r="F11" s="86" t="s">
        <v>85</v>
      </c>
      <c r="G11" s="80"/>
      <c r="H11" s="79"/>
      <c r="I11" s="79">
        <v>2023</v>
      </c>
      <c r="J11" s="80">
        <v>151</v>
      </c>
      <c r="K11" s="79">
        <v>8</v>
      </c>
      <c r="L11" s="79">
        <v>2023</v>
      </c>
      <c r="M11" s="80">
        <v>151</v>
      </c>
      <c r="N11" s="79">
        <v>8</v>
      </c>
      <c r="O11" s="79">
        <v>2023</v>
      </c>
      <c r="P11" s="80">
        <v>151</v>
      </c>
      <c r="Q11" s="79">
        <v>8</v>
      </c>
      <c r="R11" s="102"/>
      <c r="S11" s="102"/>
      <c r="T11" s="102"/>
      <c r="U11" s="123">
        <f t="shared" si="0"/>
        <v>24</v>
      </c>
      <c r="V11" s="94"/>
      <c r="W11" s="98"/>
    </row>
    <row r="12" spans="1:25" ht="24" customHeight="1" x14ac:dyDescent="0.2">
      <c r="A12" s="103"/>
      <c r="B12" s="81"/>
      <c r="C12" s="86"/>
      <c r="D12" s="87"/>
      <c r="E12" s="86"/>
      <c r="F12" s="86"/>
      <c r="G12" s="80"/>
      <c r="H12" s="79"/>
      <c r="I12" s="79"/>
      <c r="J12" s="80"/>
      <c r="K12" s="79"/>
      <c r="L12" s="79"/>
      <c r="M12" s="80"/>
      <c r="N12" s="79"/>
      <c r="O12" s="79"/>
      <c r="P12" s="102"/>
      <c r="Q12" s="102"/>
      <c r="R12" s="102"/>
      <c r="S12" s="102"/>
      <c r="T12" s="102"/>
      <c r="U12" s="123">
        <f t="shared" si="0"/>
        <v>0</v>
      </c>
      <c r="V12" s="100"/>
      <c r="W12" s="98"/>
    </row>
    <row r="13" spans="1:25" ht="24" customHeight="1" x14ac:dyDescent="0.2">
      <c r="A13" s="91"/>
      <c r="B13" s="91" t="s">
        <v>107</v>
      </c>
      <c r="C13" s="86" t="s">
        <v>85</v>
      </c>
      <c r="D13" s="87"/>
      <c r="E13" s="86"/>
      <c r="F13" s="86" t="s">
        <v>85</v>
      </c>
      <c r="G13" s="80"/>
      <c r="H13" s="79"/>
      <c r="I13" s="79">
        <v>2023</v>
      </c>
      <c r="J13" s="80">
        <v>120</v>
      </c>
      <c r="K13" s="79">
        <v>8</v>
      </c>
      <c r="L13" s="79">
        <v>2023</v>
      </c>
      <c r="M13" s="80">
        <v>120</v>
      </c>
      <c r="N13" s="79">
        <v>8</v>
      </c>
      <c r="O13" s="79">
        <v>2023</v>
      </c>
      <c r="P13" s="80">
        <v>151</v>
      </c>
      <c r="Q13" s="79">
        <v>8</v>
      </c>
      <c r="R13" s="79"/>
      <c r="S13" s="80"/>
      <c r="T13" s="79"/>
      <c r="U13" s="75">
        <f t="shared" ref="U13:U32" si="1">SUM(B13,E13,H13,K13,N13,Q13,T13)</f>
        <v>24</v>
      </c>
      <c r="V13" s="94"/>
      <c r="W13" s="98"/>
      <c r="X13" s="184"/>
      <c r="Y13" s="185"/>
    </row>
    <row r="14" spans="1:25" ht="24" customHeight="1" x14ac:dyDescent="0.2">
      <c r="A14" s="91"/>
      <c r="B14" s="81"/>
      <c r="C14" s="79"/>
      <c r="D14" s="80"/>
      <c r="E14" s="79"/>
      <c r="F14" s="79"/>
      <c r="G14" s="80"/>
      <c r="H14" s="79"/>
      <c r="I14" s="79"/>
      <c r="J14" s="80"/>
      <c r="K14" s="79"/>
      <c r="L14" s="79"/>
      <c r="M14" s="80"/>
      <c r="N14" s="79"/>
      <c r="O14" s="79"/>
      <c r="P14" s="80"/>
      <c r="Q14" s="79"/>
      <c r="R14" s="79"/>
      <c r="S14" s="80"/>
      <c r="T14" s="79"/>
      <c r="U14" s="75">
        <f t="shared" si="1"/>
        <v>0</v>
      </c>
      <c r="V14" s="94"/>
      <c r="W14" s="98"/>
      <c r="X14" s="184"/>
      <c r="Y14" s="185"/>
    </row>
    <row r="15" spans="1:25" ht="24" customHeight="1" x14ac:dyDescent="0.2">
      <c r="A15" s="91"/>
      <c r="B15" s="81" t="s">
        <v>106</v>
      </c>
      <c r="C15" s="79">
        <v>2023</v>
      </c>
      <c r="D15" s="80">
        <v>151</v>
      </c>
      <c r="E15" s="79">
        <v>8</v>
      </c>
      <c r="F15" s="79">
        <v>2023</v>
      </c>
      <c r="G15" s="80">
        <v>151</v>
      </c>
      <c r="H15" s="79">
        <v>8</v>
      </c>
      <c r="I15" s="79">
        <v>2023</v>
      </c>
      <c r="J15" s="80">
        <v>151</v>
      </c>
      <c r="K15" s="79">
        <v>8</v>
      </c>
      <c r="L15" s="79">
        <v>2023</v>
      </c>
      <c r="M15" s="80">
        <v>151</v>
      </c>
      <c r="N15" s="79">
        <v>8</v>
      </c>
      <c r="O15" s="79">
        <v>2023</v>
      </c>
      <c r="P15" s="80">
        <v>151</v>
      </c>
      <c r="Q15" s="79">
        <v>8</v>
      </c>
      <c r="R15" s="79"/>
      <c r="S15" s="80"/>
      <c r="T15" s="79"/>
      <c r="U15" s="75">
        <f t="shared" si="1"/>
        <v>40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79"/>
      <c r="D16" s="80"/>
      <c r="E16" s="79"/>
      <c r="F16" s="79"/>
      <c r="G16" s="80"/>
      <c r="H16" s="79"/>
      <c r="I16" s="79"/>
      <c r="J16" s="80"/>
      <c r="K16" s="79"/>
      <c r="L16" s="79"/>
      <c r="M16" s="80"/>
      <c r="N16" s="79"/>
      <c r="O16" s="79"/>
      <c r="P16" s="80"/>
      <c r="Q16" s="79"/>
      <c r="R16" s="90"/>
      <c r="S16" s="80"/>
      <c r="T16" s="79"/>
      <c r="U16" s="75">
        <f t="shared" si="1"/>
        <v>0</v>
      </c>
      <c r="V16" s="94"/>
      <c r="W16" s="98"/>
      <c r="X16" s="184"/>
      <c r="Y16" s="185"/>
    </row>
    <row r="17" spans="1:25" ht="24" customHeight="1" x14ac:dyDescent="0.2">
      <c r="A17" s="91"/>
      <c r="B17" s="91" t="s">
        <v>105</v>
      </c>
      <c r="C17" s="79">
        <v>2023</v>
      </c>
      <c r="D17" s="80">
        <v>120</v>
      </c>
      <c r="E17" s="79">
        <v>8</v>
      </c>
      <c r="F17" s="79">
        <v>2023</v>
      </c>
      <c r="G17" s="80">
        <v>120</v>
      </c>
      <c r="H17" s="79">
        <v>8</v>
      </c>
      <c r="I17" s="79">
        <v>2023</v>
      </c>
      <c r="J17" s="80">
        <v>151</v>
      </c>
      <c r="K17" s="79">
        <v>8</v>
      </c>
      <c r="L17" s="79">
        <v>2023</v>
      </c>
      <c r="M17" s="80">
        <v>120</v>
      </c>
      <c r="N17" s="79">
        <v>8</v>
      </c>
      <c r="O17" s="79">
        <v>2023</v>
      </c>
      <c r="P17" s="80">
        <v>142</v>
      </c>
      <c r="Q17" s="79">
        <v>8</v>
      </c>
      <c r="R17" s="86" t="s">
        <v>87</v>
      </c>
      <c r="S17" s="87"/>
      <c r="T17" s="86">
        <v>3</v>
      </c>
      <c r="U17" s="75">
        <f t="shared" si="1"/>
        <v>43</v>
      </c>
      <c r="V17" s="94"/>
      <c r="W17" s="98"/>
      <c r="X17" s="184"/>
      <c r="Y17" s="185"/>
    </row>
    <row r="18" spans="1:25" ht="24" customHeight="1" x14ac:dyDescent="0.2">
      <c r="A18" s="91"/>
      <c r="B18" s="99"/>
      <c r="C18" s="79"/>
      <c r="D18" s="80"/>
      <c r="E18" s="79"/>
      <c r="F18" s="79"/>
      <c r="G18" s="80"/>
      <c r="H18" s="79"/>
      <c r="I18" s="86"/>
      <c r="J18" s="80"/>
      <c r="K18" s="79"/>
      <c r="L18" s="79"/>
      <c r="M18" s="80"/>
      <c r="N18" s="79"/>
      <c r="O18" s="79"/>
      <c r="P18" s="80"/>
      <c r="Q18" s="79"/>
      <c r="R18" s="79"/>
      <c r="S18" s="80"/>
      <c r="T18" s="79"/>
      <c r="U18" s="75">
        <f t="shared" si="1"/>
        <v>0</v>
      </c>
      <c r="V18" s="94"/>
      <c r="W18" s="98"/>
      <c r="X18" s="184"/>
      <c r="Y18" s="185"/>
    </row>
    <row r="19" spans="1:25" ht="24" customHeight="1" x14ac:dyDescent="0.2">
      <c r="A19" s="91"/>
      <c r="B19" s="91" t="s">
        <v>104</v>
      </c>
      <c r="C19" s="79">
        <v>2023</v>
      </c>
      <c r="D19" s="80">
        <v>120</v>
      </c>
      <c r="E19" s="79">
        <v>7</v>
      </c>
      <c r="F19" s="86" t="s">
        <v>151</v>
      </c>
      <c r="G19" s="87"/>
      <c r="H19" s="86"/>
      <c r="I19" s="79">
        <v>2023</v>
      </c>
      <c r="J19" s="80">
        <v>151</v>
      </c>
      <c r="K19" s="79">
        <v>2</v>
      </c>
      <c r="L19" s="79">
        <v>2023</v>
      </c>
      <c r="M19" s="80">
        <v>120</v>
      </c>
      <c r="N19" s="79">
        <v>8</v>
      </c>
      <c r="O19" s="79">
        <v>2023</v>
      </c>
      <c r="P19" s="80">
        <v>151</v>
      </c>
      <c r="Q19" s="79">
        <v>2</v>
      </c>
      <c r="R19" s="86" t="s">
        <v>150</v>
      </c>
      <c r="S19" s="87"/>
      <c r="T19" s="79"/>
      <c r="U19" s="75">
        <f t="shared" si="1"/>
        <v>19</v>
      </c>
      <c r="V19" s="94"/>
      <c r="W19" s="98"/>
      <c r="X19" s="184"/>
      <c r="Y19" s="185"/>
    </row>
    <row r="20" spans="1:25" ht="24" customHeight="1" x14ac:dyDescent="0.2">
      <c r="A20" s="91"/>
      <c r="B20" s="91"/>
      <c r="C20" s="79">
        <v>2023</v>
      </c>
      <c r="D20" s="80">
        <v>151</v>
      </c>
      <c r="E20" s="79">
        <v>1</v>
      </c>
      <c r="F20" s="79"/>
      <c r="G20" s="80"/>
      <c r="H20" s="79"/>
      <c r="I20" s="79">
        <v>2023</v>
      </c>
      <c r="J20" s="80">
        <v>120</v>
      </c>
      <c r="K20" s="79">
        <v>6</v>
      </c>
      <c r="L20" s="79"/>
      <c r="M20" s="80"/>
      <c r="N20" s="79"/>
      <c r="O20" s="79">
        <v>2023</v>
      </c>
      <c r="P20" s="80">
        <v>120</v>
      </c>
      <c r="Q20" s="79">
        <v>6</v>
      </c>
      <c r="R20" s="79"/>
      <c r="S20" s="80"/>
      <c r="T20" s="79"/>
      <c r="U20" s="75">
        <f t="shared" si="1"/>
        <v>13</v>
      </c>
      <c r="V20" s="94"/>
      <c r="W20" s="98"/>
      <c r="X20" s="184"/>
      <c r="Y20" s="185"/>
    </row>
    <row r="21" spans="1:25" ht="24" customHeight="1" x14ac:dyDescent="0.2">
      <c r="A21" s="91"/>
      <c r="B21" s="81" t="s">
        <v>101</v>
      </c>
      <c r="C21" s="79">
        <v>2023</v>
      </c>
      <c r="D21" s="80">
        <v>120</v>
      </c>
      <c r="E21" s="79">
        <v>8</v>
      </c>
      <c r="F21" s="79">
        <v>2023</v>
      </c>
      <c r="G21" s="80">
        <v>111</v>
      </c>
      <c r="H21" s="79">
        <v>8</v>
      </c>
      <c r="I21" s="86" t="s">
        <v>149</v>
      </c>
      <c r="J21" s="80"/>
      <c r="K21" s="79"/>
      <c r="L21" s="79">
        <v>2023</v>
      </c>
      <c r="M21" s="80">
        <v>142</v>
      </c>
      <c r="N21" s="79">
        <v>8</v>
      </c>
      <c r="O21" s="79">
        <v>2023</v>
      </c>
      <c r="P21" s="80">
        <v>142</v>
      </c>
      <c r="Q21" s="79">
        <v>8</v>
      </c>
      <c r="R21" s="79"/>
      <c r="S21" s="80"/>
      <c r="T21" s="79"/>
      <c r="U21" s="75">
        <f t="shared" si="1"/>
        <v>32</v>
      </c>
      <c r="V21" s="94"/>
      <c r="W21" s="98"/>
      <c r="X21" s="184"/>
      <c r="Y21" s="185"/>
    </row>
    <row r="22" spans="1:25" ht="24" customHeight="1" x14ac:dyDescent="0.2">
      <c r="A22" s="91"/>
      <c r="B22" s="91"/>
      <c r="C22" s="79"/>
      <c r="D22" s="80"/>
      <c r="E22" s="79"/>
      <c r="F22" s="79"/>
      <c r="G22" s="80"/>
      <c r="H22" s="79"/>
      <c r="I22" s="79"/>
      <c r="J22" s="80"/>
      <c r="K22" s="79"/>
      <c r="L22" s="79"/>
      <c r="M22" s="80"/>
      <c r="N22" s="79"/>
      <c r="O22" s="79"/>
      <c r="P22" s="80"/>
      <c r="Q22" s="79"/>
      <c r="R22" s="90"/>
      <c r="S22" s="80"/>
      <c r="T22" s="79"/>
      <c r="U22" s="75">
        <f t="shared" si="1"/>
        <v>0</v>
      </c>
      <c r="V22" s="94"/>
      <c r="W22" s="98"/>
      <c r="X22" s="184"/>
      <c r="Y22" s="185"/>
    </row>
    <row r="23" spans="1:25" ht="24" customHeight="1" x14ac:dyDescent="0.2">
      <c r="A23" s="92"/>
      <c r="B23" s="91" t="s">
        <v>99</v>
      </c>
      <c r="C23" s="79">
        <v>2023</v>
      </c>
      <c r="D23" s="80">
        <v>141</v>
      </c>
      <c r="E23" s="79">
        <v>8</v>
      </c>
      <c r="F23" s="79">
        <v>2023</v>
      </c>
      <c r="G23" s="80">
        <v>141</v>
      </c>
      <c r="H23" s="79">
        <v>8</v>
      </c>
      <c r="I23" s="79">
        <v>2023</v>
      </c>
      <c r="J23" s="80">
        <v>141</v>
      </c>
      <c r="K23" s="79">
        <v>8</v>
      </c>
      <c r="L23" s="79">
        <v>2023</v>
      </c>
      <c r="M23" s="80">
        <v>141</v>
      </c>
      <c r="N23" s="79">
        <v>8</v>
      </c>
      <c r="O23" s="79">
        <v>2023</v>
      </c>
      <c r="P23" s="80">
        <v>141</v>
      </c>
      <c r="Q23" s="79">
        <v>8</v>
      </c>
      <c r="R23" s="86" t="s">
        <v>148</v>
      </c>
      <c r="S23" s="87"/>
      <c r="T23" s="86"/>
      <c r="U23" s="75">
        <f t="shared" si="1"/>
        <v>40</v>
      </c>
      <c r="V23" s="94"/>
      <c r="W23" s="98"/>
      <c r="X23" s="184"/>
      <c r="Y23" s="185"/>
    </row>
    <row r="24" spans="1:25" ht="24" customHeight="1" x14ac:dyDescent="0.2">
      <c r="A24" s="91"/>
      <c r="B24" s="91"/>
      <c r="C24" s="79"/>
      <c r="D24" s="80"/>
      <c r="E24" s="79"/>
      <c r="F24" s="79"/>
      <c r="G24" s="80"/>
      <c r="H24" s="79"/>
      <c r="I24" s="79"/>
      <c r="J24" s="80"/>
      <c r="K24" s="79"/>
      <c r="L24" s="79"/>
      <c r="M24" s="80"/>
      <c r="N24" s="79"/>
      <c r="O24" s="79"/>
      <c r="P24" s="80"/>
      <c r="Q24" s="79"/>
      <c r="R24" s="86">
        <v>1000</v>
      </c>
      <c r="S24" s="87"/>
      <c r="T24" s="86"/>
      <c r="U24" s="75">
        <f t="shared" si="1"/>
        <v>0</v>
      </c>
      <c r="V24" s="94"/>
      <c r="W24" s="98"/>
      <c r="X24" s="184"/>
      <c r="Y24" s="185"/>
    </row>
    <row r="25" spans="1:25" ht="24" customHeight="1" x14ac:dyDescent="0.2">
      <c r="A25" s="91"/>
      <c r="B25" s="81" t="s">
        <v>98</v>
      </c>
      <c r="C25" s="79">
        <v>2023</v>
      </c>
      <c r="D25" s="80">
        <v>151</v>
      </c>
      <c r="E25" s="79">
        <v>8</v>
      </c>
      <c r="F25" s="79">
        <v>2023</v>
      </c>
      <c r="G25" s="80">
        <v>151</v>
      </c>
      <c r="H25" s="79">
        <v>8</v>
      </c>
      <c r="I25" s="79">
        <v>2023</v>
      </c>
      <c r="J25" s="80">
        <v>151</v>
      </c>
      <c r="K25" s="79">
        <v>8</v>
      </c>
      <c r="L25" s="79">
        <v>2023</v>
      </c>
      <c r="M25" s="80">
        <v>151</v>
      </c>
      <c r="N25" s="79">
        <v>8</v>
      </c>
      <c r="O25" s="86" t="s">
        <v>85</v>
      </c>
      <c r="P25" s="80"/>
      <c r="Q25" s="79"/>
      <c r="R25" s="86"/>
      <c r="S25" s="87" t="s">
        <v>147</v>
      </c>
      <c r="T25" s="86"/>
      <c r="U25" s="75">
        <f t="shared" si="1"/>
        <v>32</v>
      </c>
      <c r="V25" s="89"/>
      <c r="W25" s="98"/>
      <c r="X25" s="184"/>
      <c r="Y25" s="185"/>
    </row>
    <row r="26" spans="1:25" ht="24" customHeight="1" x14ac:dyDescent="0.2">
      <c r="A26" s="91"/>
      <c r="B26" s="91"/>
      <c r="C26" s="79"/>
      <c r="D26" s="80"/>
      <c r="E26" s="79"/>
      <c r="F26" s="79"/>
      <c r="G26" s="80"/>
      <c r="H26" s="79"/>
      <c r="I26" s="79"/>
      <c r="J26" s="80"/>
      <c r="K26" s="79"/>
      <c r="L26" s="79"/>
      <c r="M26" s="80"/>
      <c r="N26" s="79"/>
      <c r="O26" s="86" t="s">
        <v>146</v>
      </c>
      <c r="P26" s="80"/>
      <c r="Q26" s="79"/>
      <c r="R26" s="79"/>
      <c r="S26" s="80"/>
      <c r="T26" s="79"/>
      <c r="U26" s="75">
        <f t="shared" si="1"/>
        <v>0</v>
      </c>
      <c r="V26" s="89"/>
      <c r="W26" s="98"/>
      <c r="X26" s="184"/>
      <c r="Y26" s="185"/>
    </row>
    <row r="27" spans="1:25" ht="24" customHeight="1" x14ac:dyDescent="0.2">
      <c r="A27" s="91"/>
      <c r="B27" s="91" t="s">
        <v>139</v>
      </c>
      <c r="C27" s="79">
        <v>2023</v>
      </c>
      <c r="D27" s="80">
        <v>141</v>
      </c>
      <c r="E27" s="79">
        <v>8</v>
      </c>
      <c r="F27" s="79">
        <v>2023</v>
      </c>
      <c r="G27" s="80">
        <v>141</v>
      </c>
      <c r="H27" s="79">
        <v>8</v>
      </c>
      <c r="I27" s="79">
        <v>2023</v>
      </c>
      <c r="J27" s="80">
        <v>141</v>
      </c>
      <c r="K27" s="79">
        <v>8</v>
      </c>
      <c r="L27" s="79">
        <v>2023</v>
      </c>
      <c r="M27" s="80">
        <v>141</v>
      </c>
      <c r="N27" s="79">
        <v>8</v>
      </c>
      <c r="O27" s="79">
        <v>2023</v>
      </c>
      <c r="P27" s="80">
        <v>141</v>
      </c>
      <c r="Q27" s="79">
        <v>8</v>
      </c>
      <c r="R27" s="79"/>
      <c r="S27" s="80"/>
      <c r="T27" s="79"/>
      <c r="U27" s="75">
        <f t="shared" si="1"/>
        <v>40</v>
      </c>
      <c r="V27" s="94"/>
    </row>
    <row r="28" spans="1:25" ht="24" customHeight="1" x14ac:dyDescent="0.2">
      <c r="A28" s="91"/>
      <c r="B28" s="81"/>
      <c r="C28" s="79"/>
      <c r="D28" s="80"/>
      <c r="E28" s="79"/>
      <c r="F28" s="79"/>
      <c r="G28" s="80"/>
      <c r="H28" s="79"/>
      <c r="I28" s="79"/>
      <c r="J28" s="80"/>
      <c r="K28" s="79"/>
      <c r="L28" s="79"/>
      <c r="M28" s="80"/>
      <c r="N28" s="79"/>
      <c r="O28" s="79"/>
      <c r="P28" s="80"/>
      <c r="Q28" s="79"/>
      <c r="R28" s="79"/>
      <c r="S28" s="80"/>
      <c r="T28" s="79"/>
      <c r="U28" s="75">
        <f t="shared" si="1"/>
        <v>0</v>
      </c>
      <c r="V28" s="94"/>
    </row>
    <row r="29" spans="1:25" ht="24" customHeight="1" x14ac:dyDescent="0.2">
      <c r="A29" s="91"/>
      <c r="B29" s="81" t="s">
        <v>90</v>
      </c>
      <c r="C29" s="79">
        <v>2023</v>
      </c>
      <c r="D29" s="80">
        <v>120</v>
      </c>
      <c r="E29" s="79">
        <v>6</v>
      </c>
      <c r="F29" s="79">
        <v>2023</v>
      </c>
      <c r="G29" s="80">
        <v>120</v>
      </c>
      <c r="H29" s="79">
        <v>4</v>
      </c>
      <c r="I29" s="79">
        <v>2023</v>
      </c>
      <c r="J29" s="80">
        <v>120</v>
      </c>
      <c r="K29" s="79">
        <v>6</v>
      </c>
      <c r="L29" s="79">
        <v>2023</v>
      </c>
      <c r="M29" s="80">
        <v>120</v>
      </c>
      <c r="N29" s="79">
        <v>7</v>
      </c>
      <c r="O29" s="79">
        <v>2023</v>
      </c>
      <c r="P29" s="80">
        <v>151</v>
      </c>
      <c r="Q29" s="79">
        <v>8</v>
      </c>
      <c r="R29" s="79"/>
      <c r="S29" s="80"/>
      <c r="T29" s="79"/>
      <c r="U29" s="75">
        <f t="shared" si="1"/>
        <v>31</v>
      </c>
      <c r="V29" s="94"/>
    </row>
    <row r="30" spans="1:25" ht="24" customHeight="1" x14ac:dyDescent="0.2">
      <c r="A30" s="91"/>
      <c r="B30" s="81"/>
      <c r="C30" s="79">
        <v>2023</v>
      </c>
      <c r="D30" s="80">
        <v>151</v>
      </c>
      <c r="E30" s="79">
        <v>2</v>
      </c>
      <c r="F30" s="79">
        <v>2023</v>
      </c>
      <c r="G30" s="80">
        <v>151</v>
      </c>
      <c r="H30" s="79">
        <v>4</v>
      </c>
      <c r="I30" s="79">
        <v>2023</v>
      </c>
      <c r="J30" s="80">
        <v>151</v>
      </c>
      <c r="K30" s="79">
        <v>2</v>
      </c>
      <c r="L30" s="79">
        <v>2023</v>
      </c>
      <c r="M30" s="80">
        <v>151</v>
      </c>
      <c r="N30" s="79">
        <v>1</v>
      </c>
      <c r="O30" s="79"/>
      <c r="P30" s="80"/>
      <c r="Q30" s="79"/>
      <c r="R30" s="88"/>
      <c r="S30" s="80"/>
      <c r="T30" s="79"/>
      <c r="U30" s="75">
        <f t="shared" si="1"/>
        <v>9</v>
      </c>
      <c r="V30" s="94"/>
    </row>
    <row r="31" spans="1:25" ht="24" customHeight="1" x14ac:dyDescent="0.2">
      <c r="A31" s="91"/>
      <c r="B31" s="81" t="s">
        <v>89</v>
      </c>
      <c r="C31" s="86" t="s">
        <v>85</v>
      </c>
      <c r="D31" s="80"/>
      <c r="E31" s="79"/>
      <c r="F31" s="79">
        <v>2023</v>
      </c>
      <c r="G31" s="80">
        <v>151</v>
      </c>
      <c r="H31" s="79">
        <v>8</v>
      </c>
      <c r="I31" s="79">
        <v>2023</v>
      </c>
      <c r="J31" s="80">
        <v>151</v>
      </c>
      <c r="K31" s="79">
        <v>8</v>
      </c>
      <c r="L31" s="79">
        <v>2023</v>
      </c>
      <c r="M31" s="80">
        <v>151</v>
      </c>
      <c r="N31" s="79">
        <v>8</v>
      </c>
      <c r="O31" s="79">
        <v>2023</v>
      </c>
      <c r="P31" s="80">
        <v>151</v>
      </c>
      <c r="Q31" s="79">
        <v>8</v>
      </c>
      <c r="R31" s="79"/>
      <c r="S31" s="80"/>
      <c r="T31" s="79"/>
      <c r="U31" s="75">
        <f t="shared" si="1"/>
        <v>32</v>
      </c>
      <c r="V31" s="94"/>
    </row>
    <row r="32" spans="1:25" ht="24" customHeight="1" x14ac:dyDescent="0.2">
      <c r="A32" s="91"/>
      <c r="B32" s="81"/>
      <c r="C32" s="79"/>
      <c r="D32" s="80"/>
      <c r="E32" s="79"/>
      <c r="F32" s="79"/>
      <c r="G32" s="80"/>
      <c r="H32" s="79"/>
      <c r="I32" s="79"/>
      <c r="J32" s="80"/>
      <c r="K32" s="79"/>
      <c r="L32" s="79"/>
      <c r="M32" s="80"/>
      <c r="N32" s="79"/>
      <c r="O32" s="79"/>
      <c r="P32" s="80"/>
      <c r="Q32" s="79"/>
      <c r="R32" s="79"/>
      <c r="S32" s="80"/>
      <c r="T32" s="79"/>
      <c r="U32" s="75">
        <f t="shared" si="1"/>
        <v>0</v>
      </c>
      <c r="V32" s="94"/>
    </row>
    <row r="33" spans="1:25" customFormat="1" ht="24" customHeight="1" x14ac:dyDescent="0.2">
      <c r="A33" s="121"/>
      <c r="B33" s="122" t="s">
        <v>86</v>
      </c>
      <c r="C33" s="117">
        <v>2023</v>
      </c>
      <c r="D33" s="118">
        <v>151</v>
      </c>
      <c r="E33" s="117">
        <v>8</v>
      </c>
      <c r="F33" s="117">
        <v>2023</v>
      </c>
      <c r="G33" s="118">
        <v>151</v>
      </c>
      <c r="H33" s="117">
        <v>8</v>
      </c>
      <c r="I33" s="117">
        <v>2023</v>
      </c>
      <c r="J33" s="118">
        <v>151</v>
      </c>
      <c r="K33" s="117">
        <v>8</v>
      </c>
      <c r="L33" s="117">
        <v>2023</v>
      </c>
      <c r="M33" s="118">
        <v>151</v>
      </c>
      <c r="N33" s="117">
        <v>8</v>
      </c>
      <c r="O33" s="117">
        <v>2023</v>
      </c>
      <c r="P33" s="119">
        <v>151</v>
      </c>
      <c r="Q33" s="120">
        <v>8</v>
      </c>
      <c r="R33" s="120"/>
      <c r="S33" s="119"/>
      <c r="T33" s="120"/>
      <c r="U33" s="123">
        <f t="shared" ref="U33:U36" si="2">SUM(B33,E33,H33,K33,N33,Q33,T33)</f>
        <v>40</v>
      </c>
      <c r="V33" s="124"/>
      <c r="W33" s="45"/>
      <c r="X33" s="186"/>
      <c r="Y33" s="187"/>
    </row>
    <row r="34" spans="1:25" customFormat="1" ht="24" customHeight="1" x14ac:dyDescent="0.2">
      <c r="A34" s="121"/>
      <c r="B34" s="121"/>
      <c r="C34" s="117"/>
      <c r="D34" s="118"/>
      <c r="E34" s="117"/>
      <c r="F34" s="117"/>
      <c r="G34" s="118"/>
      <c r="H34" s="117"/>
      <c r="I34" s="117"/>
      <c r="J34" s="118"/>
      <c r="K34" s="117"/>
      <c r="L34" s="117"/>
      <c r="M34" s="118"/>
      <c r="N34" s="117"/>
      <c r="O34" s="117"/>
      <c r="P34" s="118"/>
      <c r="Q34" s="117"/>
      <c r="R34" s="117"/>
      <c r="S34" s="118"/>
      <c r="T34" s="117"/>
      <c r="U34" s="123">
        <f>SUM(B34,E34,H34,K34,N34,Q34,T34)</f>
        <v>0</v>
      </c>
      <c r="V34" s="124"/>
      <c r="W34" s="45"/>
      <c r="X34" s="186"/>
      <c r="Y34" s="187"/>
    </row>
    <row r="35" spans="1:25" customFormat="1" ht="24" customHeight="1" x14ac:dyDescent="0.2">
      <c r="A35" s="121"/>
      <c r="B35" s="122" t="s">
        <v>103</v>
      </c>
      <c r="C35" s="117">
        <v>2023</v>
      </c>
      <c r="D35" s="118">
        <v>151</v>
      </c>
      <c r="E35" s="117">
        <v>8</v>
      </c>
      <c r="F35" s="117">
        <v>2023</v>
      </c>
      <c r="G35" s="118">
        <v>130</v>
      </c>
      <c r="H35" s="117">
        <v>8</v>
      </c>
      <c r="I35" s="117">
        <v>2023</v>
      </c>
      <c r="J35" s="118">
        <v>151</v>
      </c>
      <c r="K35" s="117">
        <v>2</v>
      </c>
      <c r="L35" s="117">
        <v>2023</v>
      </c>
      <c r="M35" s="118">
        <v>120</v>
      </c>
      <c r="N35" s="117">
        <v>8</v>
      </c>
      <c r="O35" s="117">
        <v>2023</v>
      </c>
      <c r="P35" s="118">
        <v>151</v>
      </c>
      <c r="Q35" s="117">
        <v>2</v>
      </c>
      <c r="R35" s="117"/>
      <c r="S35" s="118"/>
      <c r="T35" s="117"/>
      <c r="U35" s="123">
        <f t="shared" si="2"/>
        <v>28</v>
      </c>
      <c r="V35" s="124"/>
      <c r="W35" s="45"/>
      <c r="X35" s="186"/>
      <c r="Y35" s="187"/>
    </row>
    <row r="36" spans="1:25" ht="24" customHeight="1" x14ac:dyDescent="0.2">
      <c r="A36" s="72"/>
      <c r="I36" s="117">
        <v>2023</v>
      </c>
      <c r="J36" s="118">
        <v>130</v>
      </c>
      <c r="K36" s="117">
        <v>6</v>
      </c>
      <c r="O36" s="117">
        <v>2023</v>
      </c>
      <c r="P36" s="118">
        <v>120</v>
      </c>
      <c r="Q36" s="117">
        <v>6</v>
      </c>
      <c r="U36" s="123">
        <f t="shared" si="2"/>
        <v>12</v>
      </c>
    </row>
    <row r="37" spans="1:25" ht="24" customHeight="1" x14ac:dyDescent="0.2">
      <c r="A37" s="72"/>
    </row>
    <row r="38" spans="1:25" ht="24" customHeight="1" x14ac:dyDescent="0.2">
      <c r="A38" s="72"/>
    </row>
    <row r="39" spans="1:25" ht="24" customHeight="1" x14ac:dyDescent="0.2">
      <c r="A39" s="72"/>
    </row>
    <row r="40" spans="1:25" ht="24" customHeight="1" x14ac:dyDescent="0.2">
      <c r="A40" s="72"/>
    </row>
    <row r="41" spans="1:25" ht="24" customHeight="1" x14ac:dyDescent="0.2">
      <c r="A41" s="72"/>
    </row>
    <row r="42" spans="1:25" ht="24" customHeight="1" x14ac:dyDescent="0.2">
      <c r="A42" s="72"/>
    </row>
    <row r="43" spans="1:25" ht="24" customHeight="1" x14ac:dyDescent="0.2">
      <c r="A43" s="72"/>
    </row>
    <row r="44" spans="1:25" ht="24" customHeight="1" x14ac:dyDescent="0.2">
      <c r="A44" s="72"/>
    </row>
    <row r="45" spans="1:25" ht="24" customHeight="1" x14ac:dyDescent="0.2">
      <c r="A45" s="72"/>
    </row>
    <row r="46" spans="1:25" ht="24" customHeight="1" x14ac:dyDescent="0.2">
      <c r="A46" s="72"/>
    </row>
    <row r="47" spans="1:25" ht="24" customHeight="1" x14ac:dyDescent="0.2">
      <c r="A47" s="72"/>
    </row>
    <row r="48" spans="1:25" ht="24" customHeight="1" x14ac:dyDescent="0.2">
      <c r="A48" s="72"/>
    </row>
    <row r="49" spans="1:1" ht="24" customHeight="1" x14ac:dyDescent="0.2">
      <c r="A49" s="72"/>
    </row>
    <row r="50" spans="1:1" ht="24" customHeight="1" x14ac:dyDescent="0.2">
      <c r="A50" s="72"/>
    </row>
    <row r="51" spans="1:1" ht="24" customHeight="1" x14ac:dyDescent="0.2">
      <c r="A51" s="72"/>
    </row>
    <row r="52" spans="1:1" ht="24" customHeight="1" x14ac:dyDescent="0.2">
      <c r="A52" s="72"/>
    </row>
    <row r="53" spans="1:1" ht="24" customHeight="1" x14ac:dyDescent="0.2">
      <c r="A53" s="72"/>
    </row>
    <row r="54" spans="1:1" ht="24" customHeight="1" x14ac:dyDescent="0.2">
      <c r="A54" s="72"/>
    </row>
    <row r="55" spans="1:1" ht="24" customHeight="1" x14ac:dyDescent="0.2">
      <c r="A55" s="72"/>
    </row>
    <row r="56" spans="1:1" ht="24" customHeight="1" x14ac:dyDescent="0.2">
      <c r="A56" s="72"/>
    </row>
    <row r="57" spans="1:1" ht="24" customHeight="1" x14ac:dyDescent="0.2">
      <c r="A57" s="72"/>
    </row>
    <row r="58" spans="1:1" ht="24" customHeight="1" x14ac:dyDescent="0.2">
      <c r="A58" s="72"/>
    </row>
    <row r="59" spans="1:1" ht="24" customHeight="1" x14ac:dyDescent="0.2">
      <c r="A59" s="72"/>
    </row>
    <row r="60" spans="1:1" ht="24" customHeight="1" x14ac:dyDescent="0.2">
      <c r="A60" s="72"/>
    </row>
    <row r="61" spans="1:1" ht="24" customHeight="1" x14ac:dyDescent="0.2">
      <c r="A61" s="72"/>
    </row>
    <row r="62" spans="1:1" ht="24" customHeight="1" x14ac:dyDescent="0.2">
      <c r="A62" s="72"/>
    </row>
    <row r="63" spans="1:1" ht="24" customHeight="1" x14ac:dyDescent="0.2">
      <c r="A63" s="72"/>
    </row>
    <row r="64" spans="1:1" ht="24" customHeight="1" x14ac:dyDescent="0.2">
      <c r="A64" s="72"/>
    </row>
    <row r="65" spans="1:1" ht="24" customHeight="1" x14ac:dyDescent="0.2">
      <c r="A65" s="72"/>
    </row>
    <row r="66" spans="1:1" ht="24" customHeight="1" x14ac:dyDescent="0.2">
      <c r="A66" s="72"/>
    </row>
    <row r="67" spans="1:1" ht="24" customHeight="1" x14ac:dyDescent="0.2">
      <c r="A67" s="72"/>
    </row>
    <row r="68" spans="1:1" ht="24" customHeight="1" x14ac:dyDescent="0.2">
      <c r="A68" s="72"/>
    </row>
    <row r="69" spans="1:1" ht="24" customHeight="1" x14ac:dyDescent="0.2">
      <c r="A69" s="72"/>
    </row>
    <row r="70" spans="1:1" ht="24" customHeight="1" x14ac:dyDescent="0.2">
      <c r="A70" s="72"/>
    </row>
    <row r="71" spans="1:1" ht="24" customHeight="1" x14ac:dyDescent="0.2">
      <c r="A71" s="72"/>
    </row>
    <row r="72" spans="1:1" ht="24" customHeight="1" x14ac:dyDescent="0.2">
      <c r="A72" s="72"/>
    </row>
    <row r="73" spans="1:1" ht="24" customHeight="1" x14ac:dyDescent="0.2">
      <c r="A73" s="72"/>
    </row>
    <row r="74" spans="1:1" x14ac:dyDescent="0.2">
      <c r="A74" s="72"/>
    </row>
    <row r="75" spans="1:1" x14ac:dyDescent="0.2">
      <c r="A75" s="72"/>
    </row>
    <row r="76" spans="1:1" x14ac:dyDescent="0.2">
      <c r="A76" s="72"/>
    </row>
    <row r="77" spans="1:1" x14ac:dyDescent="0.2">
      <c r="A77" s="72"/>
    </row>
    <row r="78" spans="1:1" x14ac:dyDescent="0.2">
      <c r="A78" s="72"/>
    </row>
    <row r="79" spans="1:1" x14ac:dyDescent="0.2">
      <c r="A79" s="72"/>
    </row>
    <row r="80" spans="1:1" x14ac:dyDescent="0.2">
      <c r="A80" s="72"/>
    </row>
    <row r="81" spans="1:1" x14ac:dyDescent="0.2">
      <c r="A81" s="72"/>
    </row>
    <row r="82" spans="1:1" x14ac:dyDescent="0.2">
      <c r="A82" s="72"/>
    </row>
    <row r="83" spans="1:1" x14ac:dyDescent="0.2">
      <c r="A83" s="72"/>
    </row>
    <row r="84" spans="1:1" x14ac:dyDescent="0.2">
      <c r="A84" s="72"/>
    </row>
    <row r="85" spans="1:1" x14ac:dyDescent="0.2">
      <c r="A85" s="72"/>
    </row>
    <row r="86" spans="1:1" x14ac:dyDescent="0.2">
      <c r="A86" s="72"/>
    </row>
    <row r="87" spans="1:1" x14ac:dyDescent="0.2">
      <c r="A87" s="72"/>
    </row>
    <row r="88" spans="1:1" x14ac:dyDescent="0.2">
      <c r="A88" s="72"/>
    </row>
    <row r="89" spans="1:1" x14ac:dyDescent="0.2">
      <c r="A89" s="72"/>
    </row>
    <row r="90" spans="1:1" x14ac:dyDescent="0.2">
      <c r="A90" s="72"/>
    </row>
    <row r="91" spans="1:1" x14ac:dyDescent="0.2">
      <c r="A91" s="72"/>
    </row>
    <row r="92" spans="1:1" x14ac:dyDescent="0.2">
      <c r="A92" s="72"/>
    </row>
    <row r="93" spans="1:1" x14ac:dyDescent="0.2">
      <c r="A93" s="72"/>
    </row>
    <row r="94" spans="1:1" x14ac:dyDescent="0.2">
      <c r="A94" s="72"/>
    </row>
    <row r="95" spans="1:1" x14ac:dyDescent="0.2">
      <c r="A95" s="72"/>
    </row>
    <row r="96" spans="1:1" x14ac:dyDescent="0.2">
      <c r="A96" s="72"/>
    </row>
    <row r="97" spans="1:1" x14ac:dyDescent="0.2">
      <c r="A97" s="72"/>
    </row>
    <row r="98" spans="1:1" x14ac:dyDescent="0.2">
      <c r="A98" s="72"/>
    </row>
    <row r="99" spans="1:1" x14ac:dyDescent="0.2">
      <c r="A99" s="72"/>
    </row>
    <row r="100" spans="1:1" x14ac:dyDescent="0.2">
      <c r="A100" s="72"/>
    </row>
    <row r="101" spans="1:1" x14ac:dyDescent="0.2">
      <c r="A101" s="72"/>
    </row>
  </sheetData>
  <sheetProtection formatCells="0" selectLockedCells="1" selectUnlockedCells="1"/>
  <mergeCells count="45">
    <mergeCell ref="C1:E1"/>
    <mergeCell ref="C2:E2"/>
    <mergeCell ref="C3:E3"/>
    <mergeCell ref="C4:E4"/>
    <mergeCell ref="F1:H1"/>
    <mergeCell ref="F2:H2"/>
    <mergeCell ref="F3:H3"/>
    <mergeCell ref="F4:H4"/>
    <mergeCell ref="I1:K1"/>
    <mergeCell ref="I2:K2"/>
    <mergeCell ref="I3:K3"/>
    <mergeCell ref="I4:K4"/>
    <mergeCell ref="L4:N4"/>
    <mergeCell ref="O2:Q2"/>
    <mergeCell ref="O3:Q3"/>
    <mergeCell ref="O4:Q4"/>
    <mergeCell ref="L1:Q1"/>
    <mergeCell ref="L2:N2"/>
    <mergeCell ref="L3:N3"/>
    <mergeCell ref="X24:Y24"/>
    <mergeCell ref="X8:Y8"/>
    <mergeCell ref="X9:Y9"/>
    <mergeCell ref="X10:Y10"/>
    <mergeCell ref="R1:T1"/>
    <mergeCell ref="R2:T2"/>
    <mergeCell ref="R3:T3"/>
    <mergeCell ref="R4:T4"/>
    <mergeCell ref="X16:Y16"/>
    <mergeCell ref="X17:Y17"/>
    <mergeCell ref="X18:Y18"/>
    <mergeCell ref="A5:A6"/>
    <mergeCell ref="B5:T5"/>
    <mergeCell ref="X13:Y13"/>
    <mergeCell ref="X14:Y14"/>
    <mergeCell ref="X15:Y15"/>
    <mergeCell ref="X19:Y19"/>
    <mergeCell ref="X20:Y20"/>
    <mergeCell ref="X21:Y21"/>
    <mergeCell ref="X22:Y22"/>
    <mergeCell ref="X23:Y23"/>
    <mergeCell ref="X33:Y33"/>
    <mergeCell ref="X35:Y35"/>
    <mergeCell ref="X34:Y34"/>
    <mergeCell ref="X25:Y25"/>
    <mergeCell ref="X26:Y26"/>
  </mergeCells>
  <printOptions horizontalCentered="1" verticalCentered="1" gridLines="1"/>
  <pageMargins left="0.5" right="0.5" top="0.5" bottom="0.25" header="0" footer="0"/>
  <pageSetup scale="65" orientation="landscape" r:id="rId1"/>
  <headerFooter alignWithMargins="0">
    <oddHeader>&amp;LFAX-425-487-1568&amp;CTIMESHEET</oddHeader>
  </headerFooter>
  <colBreaks count="1" manualBreakCount="1">
    <brk id="21" max="68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5"/>
  <sheetViews>
    <sheetView workbookViewId="0">
      <selection activeCell="I24" sqref="I24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134</v>
      </c>
      <c r="D1" s="176"/>
      <c r="E1" s="176"/>
      <c r="F1" s="174" t="s">
        <v>133</v>
      </c>
      <c r="G1" s="176"/>
      <c r="H1" s="176"/>
      <c r="I1" s="165" t="s">
        <v>132</v>
      </c>
      <c r="J1" s="166"/>
      <c r="K1" s="166"/>
      <c r="L1" s="179" t="s">
        <v>131</v>
      </c>
      <c r="M1" s="179"/>
      <c r="N1" s="179"/>
      <c r="O1" s="179"/>
      <c r="P1" s="179"/>
      <c r="Q1" s="179"/>
      <c r="R1" s="175" t="s">
        <v>130</v>
      </c>
      <c r="S1" s="175"/>
      <c r="T1" s="175"/>
      <c r="U1" s="109"/>
      <c r="V1" s="112"/>
    </row>
    <row r="2" spans="1:25" ht="24" customHeight="1" thickBot="1" x14ac:dyDescent="0.25">
      <c r="A2" s="103"/>
      <c r="B2" s="110" t="s">
        <v>129</v>
      </c>
      <c r="C2" s="175" t="s">
        <v>128</v>
      </c>
      <c r="D2" s="175"/>
      <c r="E2" s="175"/>
      <c r="F2" s="174" t="s">
        <v>127</v>
      </c>
      <c r="G2" s="176"/>
      <c r="H2" s="176"/>
      <c r="I2" s="167"/>
      <c r="J2" s="167"/>
      <c r="K2" s="167"/>
      <c r="L2" s="174" t="s">
        <v>126</v>
      </c>
      <c r="M2" s="175"/>
      <c r="N2" s="175"/>
      <c r="O2" s="174" t="s">
        <v>125</v>
      </c>
      <c r="P2" s="174"/>
      <c r="Q2" s="174"/>
      <c r="R2" s="175" t="s">
        <v>124</v>
      </c>
      <c r="S2" s="175"/>
      <c r="T2" s="175"/>
      <c r="U2" s="109"/>
      <c r="V2" s="112"/>
    </row>
    <row r="3" spans="1:25" ht="24" customHeight="1" x14ac:dyDescent="0.2">
      <c r="A3" s="103"/>
      <c r="B3" s="110" t="s">
        <v>123</v>
      </c>
      <c r="C3" s="174" t="s">
        <v>122</v>
      </c>
      <c r="D3" s="174"/>
      <c r="E3" s="174"/>
      <c r="F3" s="174" t="s">
        <v>121</v>
      </c>
      <c r="G3" s="176"/>
      <c r="H3" s="176"/>
      <c r="I3" s="168" t="s">
        <v>120</v>
      </c>
      <c r="J3" s="169"/>
      <c r="K3" s="170"/>
      <c r="L3" s="174" t="s">
        <v>119</v>
      </c>
      <c r="M3" s="175"/>
      <c r="N3" s="175"/>
      <c r="O3" s="174" t="s">
        <v>118</v>
      </c>
      <c r="P3" s="174"/>
      <c r="Q3" s="174"/>
      <c r="R3" s="175" t="s">
        <v>117</v>
      </c>
      <c r="S3" s="175"/>
      <c r="T3" s="175"/>
      <c r="U3" s="109"/>
      <c r="V3" s="111"/>
    </row>
    <row r="4" spans="1:25" ht="24" customHeight="1" thickBot="1" x14ac:dyDescent="0.25">
      <c r="A4" s="103"/>
      <c r="B4" s="110" t="s">
        <v>116</v>
      </c>
      <c r="C4" s="174" t="s">
        <v>115</v>
      </c>
      <c r="D4" s="176"/>
      <c r="E4" s="176"/>
      <c r="F4" s="174"/>
      <c r="G4" s="176"/>
      <c r="H4" s="176"/>
      <c r="I4" s="171" t="s">
        <v>113</v>
      </c>
      <c r="J4" s="172"/>
      <c r="K4" s="173"/>
      <c r="L4" s="174" t="s">
        <v>112</v>
      </c>
      <c r="M4" s="175"/>
      <c r="N4" s="175"/>
      <c r="O4" s="178" t="s">
        <v>111</v>
      </c>
      <c r="P4" s="178"/>
      <c r="Q4" s="178"/>
      <c r="R4" s="177" t="s">
        <v>161</v>
      </c>
      <c r="S4" s="177"/>
      <c r="T4" s="177"/>
      <c r="U4" s="109"/>
      <c r="V4" s="89"/>
    </row>
    <row r="5" spans="1:25" ht="24" customHeight="1" thickBot="1" x14ac:dyDescent="0.25">
      <c r="A5" s="180"/>
      <c r="B5" s="181" t="s">
        <v>97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42509</v>
      </c>
      <c r="D6" s="107"/>
      <c r="E6" s="107"/>
      <c r="F6" s="107">
        <f>C6+1</f>
        <v>42510</v>
      </c>
      <c r="G6" s="107"/>
      <c r="H6" s="107"/>
      <c r="I6" s="107">
        <f>F6+3</f>
        <v>42513</v>
      </c>
      <c r="J6" s="107"/>
      <c r="K6" s="107"/>
      <c r="L6" s="107">
        <f>I6+1</f>
        <v>42514</v>
      </c>
      <c r="M6" s="107"/>
      <c r="N6" s="107"/>
      <c r="O6" s="107">
        <f>L6+1</f>
        <v>42515</v>
      </c>
      <c r="P6" s="107"/>
      <c r="Q6" s="107"/>
      <c r="R6" s="107">
        <f>F6+1</f>
        <v>42511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 t="s">
        <v>110</v>
      </c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81"/>
      <c r="C8" s="79"/>
      <c r="D8" s="80"/>
      <c r="E8" s="79"/>
      <c r="F8" s="79"/>
      <c r="G8" s="80"/>
      <c r="H8" s="79"/>
      <c r="I8" s="79"/>
      <c r="J8" s="80"/>
      <c r="K8" s="79"/>
      <c r="L8" s="79"/>
      <c r="M8" s="80"/>
      <c r="N8" s="79"/>
      <c r="O8" s="79"/>
      <c r="P8" s="80"/>
      <c r="Q8" s="79"/>
      <c r="R8" s="102"/>
      <c r="S8" s="102"/>
      <c r="T8" s="102"/>
      <c r="U8" s="75">
        <f>SUM(B8,E8,H8,K8,N8,Q8,T8)</f>
        <v>0</v>
      </c>
      <c r="V8" s="94"/>
      <c r="W8" s="98"/>
    </row>
    <row r="9" spans="1:25" customFormat="1" ht="24" customHeight="1" x14ac:dyDescent="0.2">
      <c r="A9" s="121"/>
      <c r="B9" s="122" t="s">
        <v>108</v>
      </c>
      <c r="C9" s="117">
        <v>2023</v>
      </c>
      <c r="D9" s="118">
        <v>120</v>
      </c>
      <c r="E9" s="117">
        <v>6</v>
      </c>
      <c r="F9" s="125" t="s">
        <v>87</v>
      </c>
      <c r="G9" s="126"/>
      <c r="H9" s="125">
        <v>8</v>
      </c>
      <c r="I9" s="117">
        <v>2027</v>
      </c>
      <c r="J9" s="118">
        <v>110</v>
      </c>
      <c r="K9" s="117">
        <v>8</v>
      </c>
      <c r="L9" s="117">
        <v>2027</v>
      </c>
      <c r="M9" s="118">
        <v>112</v>
      </c>
      <c r="N9" s="117">
        <v>2</v>
      </c>
      <c r="O9" s="117">
        <v>2027</v>
      </c>
      <c r="P9" s="118">
        <v>110</v>
      </c>
      <c r="Q9" s="117">
        <v>7</v>
      </c>
      <c r="R9" s="117"/>
      <c r="S9" s="119"/>
      <c r="T9" s="120"/>
      <c r="U9" s="123">
        <f t="shared" ref="U9:U11" si="0">SUM(B9,E9,H9,K9,N9,Q9,T9)</f>
        <v>31</v>
      </c>
      <c r="V9" s="124"/>
      <c r="W9" s="45"/>
      <c r="X9" s="186"/>
      <c r="Y9" s="187"/>
    </row>
    <row r="10" spans="1:25" customFormat="1" ht="24" customHeight="1" x14ac:dyDescent="0.2">
      <c r="A10" s="121"/>
      <c r="B10" s="122"/>
      <c r="C10" s="117">
        <v>2023</v>
      </c>
      <c r="D10" s="118">
        <v>151</v>
      </c>
      <c r="E10" s="117">
        <v>2</v>
      </c>
      <c r="F10" s="117"/>
      <c r="G10" s="118"/>
      <c r="H10" s="117"/>
      <c r="I10" s="117"/>
      <c r="J10" s="118"/>
      <c r="K10" s="117"/>
      <c r="L10" s="117">
        <v>2027</v>
      </c>
      <c r="M10" s="118">
        <v>110</v>
      </c>
      <c r="N10" s="117">
        <v>6</v>
      </c>
      <c r="O10" s="117">
        <v>2027</v>
      </c>
      <c r="P10" s="118">
        <v>112</v>
      </c>
      <c r="Q10" s="117">
        <v>1</v>
      </c>
      <c r="R10" s="117"/>
      <c r="S10" s="119"/>
      <c r="T10" s="120"/>
      <c r="U10" s="123">
        <f t="shared" si="0"/>
        <v>9</v>
      </c>
      <c r="V10" s="124"/>
      <c r="W10" s="45"/>
      <c r="X10" s="186"/>
      <c r="Y10" s="187"/>
    </row>
    <row r="11" spans="1:25" customFormat="1" ht="24" customHeight="1" x14ac:dyDescent="0.2">
      <c r="A11" s="121"/>
      <c r="B11" s="122"/>
      <c r="C11" s="117"/>
      <c r="D11" s="118"/>
      <c r="E11" s="117"/>
      <c r="F11" s="117"/>
      <c r="G11" s="118"/>
      <c r="H11" s="117"/>
      <c r="I11" s="117"/>
      <c r="J11" s="118"/>
      <c r="K11" s="117"/>
      <c r="L11" s="117"/>
      <c r="M11" s="118"/>
      <c r="N11" s="117"/>
      <c r="O11" s="117"/>
      <c r="P11" s="118"/>
      <c r="Q11" s="117"/>
      <c r="R11" s="117"/>
      <c r="S11" s="119"/>
      <c r="T11" s="120"/>
      <c r="U11" s="123">
        <f t="shared" si="0"/>
        <v>0</v>
      </c>
      <c r="V11" s="124"/>
      <c r="W11" s="45"/>
      <c r="X11" s="186"/>
      <c r="Y11" s="187"/>
    </row>
    <row r="12" spans="1:25" ht="24" customHeight="1" x14ac:dyDescent="0.2">
      <c r="A12" s="103"/>
      <c r="B12" s="81" t="s">
        <v>109</v>
      </c>
      <c r="C12" s="79">
        <v>2023</v>
      </c>
      <c r="D12" s="80">
        <v>151</v>
      </c>
      <c r="E12" s="79">
        <v>8</v>
      </c>
      <c r="F12" s="79">
        <v>2023</v>
      </c>
      <c r="G12" s="80">
        <v>151</v>
      </c>
      <c r="H12" s="79">
        <v>8</v>
      </c>
      <c r="I12" s="79">
        <v>2023</v>
      </c>
      <c r="J12" s="80">
        <v>151</v>
      </c>
      <c r="K12" s="79">
        <v>8</v>
      </c>
      <c r="L12" s="79">
        <v>2023</v>
      </c>
      <c r="M12" s="80">
        <v>151</v>
      </c>
      <c r="N12" s="79">
        <v>8</v>
      </c>
      <c r="O12" s="79">
        <v>2023</v>
      </c>
      <c r="P12" s="80">
        <v>151</v>
      </c>
      <c r="Q12" s="79">
        <v>8</v>
      </c>
      <c r="R12" s="102"/>
      <c r="S12" s="102"/>
      <c r="T12" s="102"/>
      <c r="U12" s="75">
        <f>SUM(B12,E12,H12,K12,N12,Q12,T12)</f>
        <v>40</v>
      </c>
      <c r="V12" s="100"/>
      <c r="W12" s="98"/>
    </row>
    <row r="13" spans="1:25" ht="24" customHeight="1" x14ac:dyDescent="0.2">
      <c r="A13" s="91"/>
      <c r="B13" s="81"/>
      <c r="C13" s="79"/>
      <c r="D13" s="80"/>
      <c r="E13" s="79"/>
      <c r="F13" s="79"/>
      <c r="G13" s="80"/>
      <c r="H13" s="79"/>
      <c r="I13" s="79"/>
      <c r="J13" s="80"/>
      <c r="K13" s="79"/>
      <c r="L13" s="79"/>
      <c r="M13" s="80"/>
      <c r="N13" s="79"/>
      <c r="O13" s="79"/>
      <c r="P13" s="80"/>
      <c r="Q13" s="79"/>
      <c r="R13" s="79"/>
      <c r="S13" s="80"/>
      <c r="T13" s="79"/>
      <c r="U13" s="75">
        <f>SUM(B13,E13,H13,K13,N13,Q13,T13)</f>
        <v>0</v>
      </c>
      <c r="V13" s="94"/>
      <c r="W13" s="98"/>
      <c r="X13" s="184"/>
      <c r="Y13" s="185"/>
    </row>
    <row r="14" spans="1:25" customFormat="1" ht="24" customHeight="1" x14ac:dyDescent="0.2">
      <c r="A14" s="121"/>
      <c r="B14" s="121" t="s">
        <v>107</v>
      </c>
      <c r="C14" s="125" t="s">
        <v>87</v>
      </c>
      <c r="D14" s="126"/>
      <c r="E14" s="125">
        <v>8</v>
      </c>
      <c r="F14" s="79">
        <v>2023</v>
      </c>
      <c r="G14" s="80">
        <v>151</v>
      </c>
      <c r="H14" s="79">
        <v>8</v>
      </c>
      <c r="I14" s="117">
        <v>1002</v>
      </c>
      <c r="J14" s="118">
        <v>180</v>
      </c>
      <c r="K14" s="117">
        <v>8</v>
      </c>
      <c r="L14" s="117">
        <v>1002</v>
      </c>
      <c r="M14" s="118">
        <v>180</v>
      </c>
      <c r="N14" s="117">
        <v>8</v>
      </c>
      <c r="O14" s="117">
        <v>1002</v>
      </c>
      <c r="P14" s="118">
        <v>180</v>
      </c>
      <c r="Q14" s="117">
        <v>8</v>
      </c>
      <c r="R14" s="117"/>
      <c r="S14" s="118"/>
      <c r="T14" s="117"/>
      <c r="U14" s="123">
        <f t="shared" ref="U14:U15" si="1">SUM(B14,E14,H14,K14,N14,Q14,T14)</f>
        <v>40</v>
      </c>
      <c r="V14" s="124"/>
      <c r="W14" s="45"/>
      <c r="X14" s="186"/>
      <c r="Y14" s="187"/>
    </row>
    <row r="15" spans="1:25" customFormat="1" ht="24" customHeight="1" x14ac:dyDescent="0.2">
      <c r="A15" s="121"/>
      <c r="B15" s="121"/>
      <c r="C15" s="125"/>
      <c r="D15" s="126" t="s">
        <v>138</v>
      </c>
      <c r="E15" s="125"/>
      <c r="F15" s="125"/>
      <c r="G15" s="126"/>
      <c r="H15" s="125"/>
      <c r="I15" s="117"/>
      <c r="J15" s="118"/>
      <c r="K15" s="117"/>
      <c r="L15" s="117"/>
      <c r="M15" s="118"/>
      <c r="N15" s="117"/>
      <c r="O15" s="117"/>
      <c r="P15" s="118"/>
      <c r="Q15" s="117"/>
      <c r="R15" s="117"/>
      <c r="S15" s="118"/>
      <c r="T15" s="117"/>
      <c r="U15" s="123">
        <f t="shared" si="1"/>
        <v>0</v>
      </c>
      <c r="V15" s="124"/>
      <c r="W15" s="45"/>
      <c r="X15" s="186"/>
      <c r="Y15" s="187"/>
    </row>
    <row r="16" spans="1:25" ht="24" customHeight="1" x14ac:dyDescent="0.2">
      <c r="A16" s="91"/>
      <c r="B16" s="81" t="s">
        <v>106</v>
      </c>
      <c r="C16" s="79">
        <v>2023</v>
      </c>
      <c r="D16" s="80">
        <v>151</v>
      </c>
      <c r="E16" s="79">
        <v>8</v>
      </c>
      <c r="F16" s="79">
        <v>2023</v>
      </c>
      <c r="G16" s="80">
        <v>151</v>
      </c>
      <c r="H16" s="79">
        <v>8</v>
      </c>
      <c r="I16" s="79">
        <v>2023</v>
      </c>
      <c r="J16" s="80">
        <v>151</v>
      </c>
      <c r="K16" s="79">
        <v>8</v>
      </c>
      <c r="L16" s="86" t="s">
        <v>85</v>
      </c>
      <c r="M16" s="87"/>
      <c r="N16" s="86">
        <v>0</v>
      </c>
      <c r="O16" s="79">
        <v>2023</v>
      </c>
      <c r="P16" s="80">
        <v>151</v>
      </c>
      <c r="Q16" s="79">
        <v>8</v>
      </c>
      <c r="R16" s="79"/>
      <c r="S16" s="80"/>
      <c r="T16" s="79"/>
      <c r="U16" s="75">
        <f t="shared" ref="U16:U35" si="2">SUM(B16,E16,H16,K16,N16,Q16,T16)</f>
        <v>32</v>
      </c>
      <c r="V16" s="94"/>
      <c r="W16" s="98"/>
      <c r="X16" s="184"/>
      <c r="Y16" s="185"/>
    </row>
    <row r="17" spans="1:25" ht="24" customHeight="1" x14ac:dyDescent="0.2">
      <c r="A17" s="91"/>
      <c r="B17" s="91"/>
      <c r="C17" s="79"/>
      <c r="D17" s="80"/>
      <c r="E17" s="79"/>
      <c r="F17" s="79"/>
      <c r="G17" s="80"/>
      <c r="H17" s="79"/>
      <c r="I17" s="79"/>
      <c r="J17" s="80"/>
      <c r="K17" s="79"/>
      <c r="L17" s="86" t="s">
        <v>157</v>
      </c>
      <c r="M17" s="113"/>
      <c r="N17" s="86"/>
      <c r="O17" s="79"/>
      <c r="P17" s="80"/>
      <c r="Q17" s="79"/>
      <c r="R17" s="79"/>
      <c r="S17" s="80"/>
      <c r="T17" s="79"/>
      <c r="U17" s="75">
        <f t="shared" si="2"/>
        <v>0</v>
      </c>
      <c r="V17" s="94"/>
      <c r="W17" s="98"/>
      <c r="X17" s="184"/>
      <c r="Y17" s="185"/>
    </row>
    <row r="18" spans="1:25" ht="24" customHeight="1" x14ac:dyDescent="0.2">
      <c r="A18" s="91"/>
      <c r="B18" s="91" t="s">
        <v>105</v>
      </c>
      <c r="C18" s="79">
        <v>2023</v>
      </c>
      <c r="D18" s="80">
        <v>140</v>
      </c>
      <c r="E18" s="79">
        <v>8</v>
      </c>
      <c r="F18" s="79">
        <v>2023</v>
      </c>
      <c r="G18" s="80">
        <v>151</v>
      </c>
      <c r="H18" s="79">
        <v>8</v>
      </c>
      <c r="I18" s="79">
        <v>2023</v>
      </c>
      <c r="J18" s="80">
        <v>151</v>
      </c>
      <c r="K18" s="79">
        <v>8</v>
      </c>
      <c r="L18" s="79">
        <v>2023</v>
      </c>
      <c r="M18" s="80">
        <v>140</v>
      </c>
      <c r="N18" s="79">
        <v>8</v>
      </c>
      <c r="O18" s="86" t="s">
        <v>85</v>
      </c>
      <c r="P18" s="87"/>
      <c r="Q18" s="86">
        <v>0</v>
      </c>
      <c r="R18" s="115" t="s">
        <v>87</v>
      </c>
      <c r="S18" s="87"/>
      <c r="T18" s="86">
        <v>8</v>
      </c>
      <c r="U18" s="75">
        <f t="shared" si="2"/>
        <v>40</v>
      </c>
      <c r="V18" s="94"/>
      <c r="W18" s="98"/>
      <c r="X18" s="184"/>
      <c r="Y18" s="185"/>
    </row>
    <row r="19" spans="1:25" ht="24" customHeight="1" x14ac:dyDescent="0.2">
      <c r="A19" s="91"/>
      <c r="B19" s="99"/>
      <c r="C19" s="79"/>
      <c r="D19" s="80"/>
      <c r="E19" s="79"/>
      <c r="F19" s="79"/>
      <c r="G19" s="80"/>
      <c r="H19" s="79"/>
      <c r="I19" s="79"/>
      <c r="J19" s="80"/>
      <c r="K19" s="79"/>
      <c r="L19" s="79"/>
      <c r="M19" s="80"/>
      <c r="N19" s="79"/>
      <c r="O19" s="86"/>
      <c r="P19" s="87" t="s">
        <v>156</v>
      </c>
      <c r="Q19" s="86"/>
      <c r="R19" s="86"/>
      <c r="S19" s="87"/>
      <c r="T19" s="86"/>
      <c r="U19" s="75">
        <f t="shared" si="2"/>
        <v>0</v>
      </c>
      <c r="V19" s="94"/>
      <c r="W19" s="98"/>
      <c r="X19" s="184"/>
      <c r="Y19" s="185"/>
    </row>
    <row r="20" spans="1:25" ht="24" customHeight="1" x14ac:dyDescent="0.2">
      <c r="A20" s="91"/>
      <c r="B20" s="91" t="s">
        <v>104</v>
      </c>
      <c r="C20" s="79">
        <v>2023</v>
      </c>
      <c r="D20" s="80">
        <v>120</v>
      </c>
      <c r="E20" s="79">
        <v>6</v>
      </c>
      <c r="F20" s="79">
        <v>2023</v>
      </c>
      <c r="G20" s="80">
        <v>151</v>
      </c>
      <c r="H20" s="79">
        <v>8</v>
      </c>
      <c r="I20" s="86" t="s">
        <v>85</v>
      </c>
      <c r="J20" s="87"/>
      <c r="K20" s="86"/>
      <c r="L20" s="79">
        <v>2023</v>
      </c>
      <c r="M20" s="80">
        <v>151</v>
      </c>
      <c r="N20" s="79">
        <v>8</v>
      </c>
      <c r="O20" s="79">
        <v>2023</v>
      </c>
      <c r="P20" s="80">
        <v>151</v>
      </c>
      <c r="Q20" s="79">
        <v>8</v>
      </c>
      <c r="R20" s="79"/>
      <c r="S20" s="80"/>
      <c r="T20" s="79"/>
      <c r="U20" s="75">
        <f t="shared" si="2"/>
        <v>30</v>
      </c>
      <c r="V20" s="94"/>
      <c r="W20" s="98"/>
      <c r="X20" s="184"/>
      <c r="Y20" s="185"/>
    </row>
    <row r="21" spans="1:25" ht="24" customHeight="1" x14ac:dyDescent="0.2">
      <c r="A21" s="91"/>
      <c r="B21" s="91"/>
      <c r="C21" s="79">
        <v>2023</v>
      </c>
      <c r="D21" s="80">
        <v>151</v>
      </c>
      <c r="E21" s="79">
        <v>2</v>
      </c>
      <c r="F21" s="79"/>
      <c r="G21" s="80"/>
      <c r="H21" s="79"/>
      <c r="I21" s="79"/>
      <c r="J21" s="80"/>
      <c r="K21" s="79"/>
      <c r="L21" s="79"/>
      <c r="M21" s="80"/>
      <c r="N21" s="79"/>
      <c r="O21" s="86"/>
      <c r="P21" s="87"/>
      <c r="Q21" s="86"/>
      <c r="R21" s="79"/>
      <c r="S21" s="80"/>
      <c r="T21" s="79"/>
      <c r="U21" s="75">
        <f t="shared" si="2"/>
        <v>2</v>
      </c>
      <c r="V21" s="94"/>
      <c r="W21" s="98"/>
      <c r="X21" s="184"/>
      <c r="Y21" s="185"/>
    </row>
    <row r="22" spans="1:25" ht="24" customHeight="1" x14ac:dyDescent="0.2">
      <c r="A22" s="91"/>
      <c r="B22" s="81" t="s">
        <v>101</v>
      </c>
      <c r="C22" s="79">
        <v>2023</v>
      </c>
      <c r="D22" s="80">
        <v>140</v>
      </c>
      <c r="E22" s="79">
        <v>8</v>
      </c>
      <c r="F22" s="79">
        <v>2023</v>
      </c>
      <c r="G22" s="80">
        <v>151</v>
      </c>
      <c r="H22" s="79">
        <v>8</v>
      </c>
      <c r="I22" s="79">
        <v>2023</v>
      </c>
      <c r="J22" s="80">
        <v>151</v>
      </c>
      <c r="K22" s="79">
        <v>8</v>
      </c>
      <c r="L22" s="79">
        <v>2023</v>
      </c>
      <c r="M22" s="80">
        <v>140</v>
      </c>
      <c r="N22" s="79">
        <v>8</v>
      </c>
      <c r="O22" s="79">
        <v>2023</v>
      </c>
      <c r="P22" s="80">
        <v>142</v>
      </c>
      <c r="Q22" s="79">
        <v>7</v>
      </c>
      <c r="R22" s="79"/>
      <c r="S22" s="80"/>
      <c r="T22" s="79"/>
      <c r="U22" s="75">
        <f t="shared" si="2"/>
        <v>39</v>
      </c>
      <c r="V22" s="94"/>
      <c r="W22" s="98"/>
      <c r="X22" s="184"/>
      <c r="Y22" s="185"/>
    </row>
    <row r="23" spans="1:25" ht="24" customHeight="1" x14ac:dyDescent="0.2">
      <c r="A23" s="91"/>
      <c r="B23" s="91"/>
      <c r="C23" s="79"/>
      <c r="D23" s="80"/>
      <c r="E23" s="79"/>
      <c r="F23" s="79"/>
      <c r="G23" s="80"/>
      <c r="H23" s="79"/>
      <c r="I23" s="86"/>
      <c r="J23" s="87"/>
      <c r="K23" s="86"/>
      <c r="L23" s="79"/>
      <c r="M23" s="80"/>
      <c r="N23" s="79"/>
      <c r="O23" s="86"/>
      <c r="P23" s="87" t="s">
        <v>153</v>
      </c>
      <c r="Q23" s="86"/>
      <c r="R23" s="79"/>
      <c r="S23" s="80"/>
      <c r="T23" s="79"/>
      <c r="U23" s="75">
        <f t="shared" si="2"/>
        <v>0</v>
      </c>
      <c r="V23" s="94"/>
      <c r="W23" s="98"/>
      <c r="X23" s="184"/>
      <c r="Y23" s="185"/>
    </row>
    <row r="24" spans="1:25" ht="24" customHeight="1" x14ac:dyDescent="0.2">
      <c r="A24" s="91"/>
      <c r="B24" s="81" t="s">
        <v>155</v>
      </c>
      <c r="C24" s="79">
        <v>1001</v>
      </c>
      <c r="D24" s="80">
        <v>180</v>
      </c>
      <c r="E24" s="79">
        <v>8</v>
      </c>
      <c r="F24" s="79">
        <v>1001</v>
      </c>
      <c r="G24" s="80">
        <v>180</v>
      </c>
      <c r="H24" s="79">
        <v>8</v>
      </c>
      <c r="I24" s="79">
        <v>2023</v>
      </c>
      <c r="J24" s="80">
        <v>151</v>
      </c>
      <c r="K24" s="79">
        <v>8</v>
      </c>
      <c r="L24" s="86" t="s">
        <v>138</v>
      </c>
      <c r="M24" s="87"/>
      <c r="N24" s="86">
        <v>0</v>
      </c>
      <c r="O24" s="79">
        <v>2023</v>
      </c>
      <c r="P24" s="80">
        <v>151</v>
      </c>
      <c r="Q24" s="79">
        <v>8</v>
      </c>
      <c r="R24" s="90"/>
      <c r="S24" s="80"/>
      <c r="T24" s="79"/>
      <c r="U24" s="75">
        <f t="shared" si="2"/>
        <v>32</v>
      </c>
      <c r="V24" s="94"/>
      <c r="W24" s="98"/>
      <c r="X24" s="184"/>
      <c r="Y24" s="185"/>
    </row>
    <row r="25" spans="1:25" ht="24" customHeight="1" x14ac:dyDescent="0.2">
      <c r="A25" s="92"/>
      <c r="B25" s="91"/>
      <c r="C25" s="79"/>
      <c r="D25" s="80"/>
      <c r="E25" s="79"/>
      <c r="F25" s="79"/>
      <c r="G25" s="80"/>
      <c r="H25" s="79"/>
      <c r="I25" s="79"/>
      <c r="J25" s="80"/>
      <c r="K25" s="79"/>
      <c r="L25" s="79"/>
      <c r="M25" s="80"/>
      <c r="N25" s="79"/>
      <c r="O25" s="79"/>
      <c r="P25" s="80"/>
      <c r="Q25" s="79"/>
      <c r="R25" s="79"/>
      <c r="S25" s="80"/>
      <c r="T25" s="79"/>
      <c r="U25" s="75">
        <f t="shared" si="2"/>
        <v>0</v>
      </c>
      <c r="V25" s="94"/>
      <c r="W25" s="98"/>
      <c r="X25" s="184"/>
      <c r="Y25" s="185"/>
    </row>
    <row r="26" spans="1:25" ht="24" customHeight="1" x14ac:dyDescent="0.2">
      <c r="A26" s="91"/>
      <c r="B26" s="81" t="s">
        <v>99</v>
      </c>
      <c r="C26" s="79">
        <v>2023</v>
      </c>
      <c r="D26" s="80">
        <v>141</v>
      </c>
      <c r="E26" s="79">
        <v>8</v>
      </c>
      <c r="F26" s="79">
        <v>2023</v>
      </c>
      <c r="G26" s="80">
        <v>151</v>
      </c>
      <c r="H26" s="79">
        <v>8</v>
      </c>
      <c r="I26" s="79">
        <v>2023</v>
      </c>
      <c r="J26" s="80">
        <v>141</v>
      </c>
      <c r="K26" s="79">
        <v>8</v>
      </c>
      <c r="L26" s="79">
        <v>2023</v>
      </c>
      <c r="M26" s="80">
        <v>141</v>
      </c>
      <c r="N26" s="79">
        <v>8</v>
      </c>
      <c r="O26" s="79">
        <v>2023</v>
      </c>
      <c r="P26" s="80">
        <v>141</v>
      </c>
      <c r="Q26" s="79">
        <v>8</v>
      </c>
      <c r="R26" s="79"/>
      <c r="S26" s="80"/>
      <c r="T26" s="79"/>
      <c r="U26" s="75">
        <f t="shared" si="2"/>
        <v>40</v>
      </c>
      <c r="V26" s="94"/>
      <c r="W26" s="98"/>
      <c r="X26" s="184"/>
      <c r="Y26" s="185"/>
    </row>
    <row r="27" spans="1:25" ht="24" customHeight="1" x14ac:dyDescent="0.2">
      <c r="A27" s="91"/>
      <c r="B27" s="91"/>
      <c r="C27" s="79"/>
      <c r="D27" s="80"/>
      <c r="E27" s="79"/>
      <c r="F27" s="79"/>
      <c r="G27" s="80"/>
      <c r="H27" s="79"/>
      <c r="I27" s="79"/>
      <c r="J27" s="80"/>
      <c r="K27" s="79"/>
      <c r="L27" s="79"/>
      <c r="M27" s="80"/>
      <c r="N27" s="79"/>
      <c r="O27" s="79"/>
      <c r="P27" s="80"/>
      <c r="Q27" s="79"/>
      <c r="R27" s="79"/>
      <c r="S27" s="80"/>
      <c r="T27" s="79"/>
      <c r="U27" s="75">
        <f t="shared" si="2"/>
        <v>0</v>
      </c>
      <c r="V27" s="89"/>
      <c r="W27" s="98"/>
      <c r="X27" s="184"/>
      <c r="Y27" s="185"/>
    </row>
    <row r="28" spans="1:25" ht="24" customHeight="1" x14ac:dyDescent="0.2">
      <c r="A28" s="91"/>
      <c r="B28" s="81" t="s">
        <v>98</v>
      </c>
      <c r="C28" s="86" t="s">
        <v>85</v>
      </c>
      <c r="D28" s="87"/>
      <c r="E28" s="86">
        <v>0</v>
      </c>
      <c r="F28" s="86" t="s">
        <v>85</v>
      </c>
      <c r="G28" s="87"/>
      <c r="H28" s="86"/>
      <c r="I28" s="86" t="s">
        <v>85</v>
      </c>
      <c r="J28" s="87"/>
      <c r="K28" s="86"/>
      <c r="L28" s="86" t="s">
        <v>85</v>
      </c>
      <c r="M28" s="87"/>
      <c r="N28" s="86"/>
      <c r="O28" s="86" t="s">
        <v>85</v>
      </c>
      <c r="P28" s="87"/>
      <c r="Q28" s="86"/>
      <c r="R28" s="86"/>
      <c r="S28" s="80"/>
      <c r="T28" s="79"/>
      <c r="U28" s="75">
        <f t="shared" si="2"/>
        <v>0</v>
      </c>
      <c r="V28" s="89"/>
      <c r="W28" s="98"/>
      <c r="X28" s="184"/>
      <c r="Y28" s="185"/>
    </row>
    <row r="29" spans="1:25" ht="24" customHeight="1" x14ac:dyDescent="0.2">
      <c r="A29" s="91"/>
      <c r="B29" s="91"/>
      <c r="C29" s="86"/>
      <c r="D29" s="87"/>
      <c r="E29" s="86"/>
      <c r="F29" s="86"/>
      <c r="G29" s="87"/>
      <c r="H29" s="86"/>
      <c r="I29" s="86"/>
      <c r="J29" s="87" t="s">
        <v>154</v>
      </c>
      <c r="K29" s="86"/>
      <c r="L29" s="86"/>
      <c r="M29" s="87"/>
      <c r="N29" s="86"/>
      <c r="O29" s="86"/>
      <c r="P29" s="87"/>
      <c r="Q29" s="86"/>
      <c r="R29" s="86"/>
      <c r="S29" s="80"/>
      <c r="T29" s="79"/>
      <c r="U29" s="75">
        <f t="shared" si="2"/>
        <v>0</v>
      </c>
      <c r="V29" s="94"/>
      <c r="W29" s="98"/>
      <c r="X29" s="184"/>
      <c r="Y29" s="185"/>
    </row>
    <row r="30" spans="1:25" ht="24" customHeight="1" x14ac:dyDescent="0.2">
      <c r="A30" s="91"/>
      <c r="B30" s="91" t="s">
        <v>139</v>
      </c>
      <c r="C30" s="79">
        <v>2023</v>
      </c>
      <c r="D30" s="80">
        <v>141</v>
      </c>
      <c r="E30" s="79">
        <v>8</v>
      </c>
      <c r="F30" s="79">
        <v>2023</v>
      </c>
      <c r="G30" s="80">
        <v>151</v>
      </c>
      <c r="H30" s="79">
        <v>8</v>
      </c>
      <c r="I30" s="79">
        <v>2023</v>
      </c>
      <c r="J30" s="80">
        <v>141</v>
      </c>
      <c r="K30" s="79">
        <v>8</v>
      </c>
      <c r="L30" s="79">
        <v>2023</v>
      </c>
      <c r="M30" s="80">
        <v>141</v>
      </c>
      <c r="N30" s="79">
        <v>8</v>
      </c>
      <c r="O30" s="79">
        <v>2023</v>
      </c>
      <c r="P30" s="80">
        <v>141</v>
      </c>
      <c r="Q30" s="86">
        <v>5</v>
      </c>
      <c r="R30" s="79"/>
      <c r="S30" s="80"/>
      <c r="T30" s="79"/>
      <c r="U30" s="75">
        <f t="shared" si="2"/>
        <v>37</v>
      </c>
      <c r="V30" s="94"/>
    </row>
    <row r="31" spans="1:25" ht="24" customHeight="1" x14ac:dyDescent="0.2">
      <c r="A31" s="91"/>
      <c r="B31" s="81"/>
      <c r="C31" s="79"/>
      <c r="D31" s="80"/>
      <c r="E31" s="79"/>
      <c r="F31" s="79"/>
      <c r="G31" s="80"/>
      <c r="H31" s="79"/>
      <c r="I31" s="79"/>
      <c r="J31" s="80"/>
      <c r="K31" s="79"/>
      <c r="L31" s="79"/>
      <c r="M31" s="80"/>
      <c r="N31" s="79"/>
      <c r="O31" s="86"/>
      <c r="P31" s="87" t="s">
        <v>153</v>
      </c>
      <c r="Q31" s="86"/>
      <c r="R31" s="79"/>
      <c r="S31" s="80"/>
      <c r="T31" s="79"/>
      <c r="U31" s="75">
        <f t="shared" si="2"/>
        <v>0</v>
      </c>
      <c r="V31" s="94"/>
    </row>
    <row r="32" spans="1:25" ht="24" customHeight="1" x14ac:dyDescent="0.2">
      <c r="A32" s="91"/>
      <c r="B32" s="81" t="s">
        <v>90</v>
      </c>
      <c r="C32" s="79">
        <v>2023</v>
      </c>
      <c r="D32" s="80">
        <v>120</v>
      </c>
      <c r="E32" s="79">
        <v>6</v>
      </c>
      <c r="F32" s="79">
        <v>2023</v>
      </c>
      <c r="G32" s="80">
        <v>120</v>
      </c>
      <c r="H32" s="79">
        <v>5</v>
      </c>
      <c r="I32" s="79">
        <v>2023</v>
      </c>
      <c r="J32" s="80">
        <v>120</v>
      </c>
      <c r="K32" s="79">
        <v>6</v>
      </c>
      <c r="L32" s="79">
        <v>2023</v>
      </c>
      <c r="M32" s="80">
        <v>120</v>
      </c>
      <c r="N32" s="79">
        <v>6</v>
      </c>
      <c r="O32" s="79">
        <v>2023</v>
      </c>
      <c r="P32" s="80">
        <v>120</v>
      </c>
      <c r="Q32" s="86">
        <v>6</v>
      </c>
      <c r="R32" s="79"/>
      <c r="S32" s="80"/>
      <c r="T32" s="79"/>
      <c r="U32" s="75">
        <f t="shared" si="2"/>
        <v>29</v>
      </c>
      <c r="V32" s="94"/>
    </row>
    <row r="33" spans="1:25" ht="24" customHeight="1" x14ac:dyDescent="0.2">
      <c r="A33" s="91"/>
      <c r="B33" s="81"/>
      <c r="C33" s="79">
        <v>2023</v>
      </c>
      <c r="D33" s="80">
        <v>151</v>
      </c>
      <c r="E33" s="79">
        <v>2</v>
      </c>
      <c r="F33" s="79">
        <v>2023</v>
      </c>
      <c r="G33" s="80">
        <v>151</v>
      </c>
      <c r="H33" s="79">
        <v>3</v>
      </c>
      <c r="I33" s="79">
        <v>2023</v>
      </c>
      <c r="J33" s="80">
        <v>151</v>
      </c>
      <c r="K33" s="79">
        <v>2</v>
      </c>
      <c r="L33" s="79">
        <v>2023</v>
      </c>
      <c r="M33" s="80">
        <v>151</v>
      </c>
      <c r="N33" s="79">
        <v>2</v>
      </c>
      <c r="O33" s="79">
        <v>2023</v>
      </c>
      <c r="P33" s="80">
        <v>151</v>
      </c>
      <c r="Q33" s="86">
        <v>2.5</v>
      </c>
      <c r="R33" s="79"/>
      <c r="S33" s="80"/>
      <c r="T33" s="79"/>
      <c r="U33" s="75">
        <f t="shared" si="2"/>
        <v>11.5</v>
      </c>
      <c r="V33" s="94"/>
    </row>
    <row r="34" spans="1:25" ht="24" customHeight="1" x14ac:dyDescent="0.2">
      <c r="A34" s="91"/>
      <c r="B34" s="81" t="s">
        <v>89</v>
      </c>
      <c r="C34" s="79">
        <v>2023</v>
      </c>
      <c r="D34" s="80">
        <v>151</v>
      </c>
      <c r="E34" s="79">
        <v>8</v>
      </c>
      <c r="F34" s="86" t="s">
        <v>85</v>
      </c>
      <c r="G34" s="80"/>
      <c r="H34" s="79"/>
      <c r="I34" s="79">
        <v>2023</v>
      </c>
      <c r="J34" s="80">
        <v>151</v>
      </c>
      <c r="K34" s="79">
        <v>8</v>
      </c>
      <c r="L34" s="79">
        <v>2023</v>
      </c>
      <c r="M34" s="80">
        <v>151</v>
      </c>
      <c r="N34" s="79">
        <v>8</v>
      </c>
      <c r="O34" s="79">
        <v>2023</v>
      </c>
      <c r="P34" s="80">
        <v>151</v>
      </c>
      <c r="Q34" s="79">
        <v>8</v>
      </c>
      <c r="R34" s="88"/>
      <c r="S34" s="80"/>
      <c r="T34" s="79"/>
      <c r="U34" s="75">
        <f t="shared" si="2"/>
        <v>32</v>
      </c>
      <c r="V34" s="94"/>
    </row>
    <row r="35" spans="1:25" ht="24" customHeight="1" x14ac:dyDescent="0.2">
      <c r="A35" s="91"/>
      <c r="B35" s="81"/>
      <c r="C35" s="79"/>
      <c r="D35" s="80"/>
      <c r="E35" s="79"/>
      <c r="F35" s="79"/>
      <c r="G35" s="80"/>
      <c r="H35" s="79"/>
      <c r="I35" s="79"/>
      <c r="J35" s="80"/>
      <c r="K35" s="79"/>
      <c r="L35" s="79"/>
      <c r="M35" s="80"/>
      <c r="N35" s="79"/>
      <c r="O35" s="79"/>
      <c r="P35" s="80"/>
      <c r="Q35" s="79"/>
      <c r="R35" s="79"/>
      <c r="S35" s="80"/>
      <c r="T35" s="79"/>
      <c r="U35" s="75">
        <f t="shared" si="2"/>
        <v>0</v>
      </c>
      <c r="V35" s="94"/>
    </row>
    <row r="36" spans="1:25" customFormat="1" ht="24" customHeight="1" x14ac:dyDescent="0.2">
      <c r="A36" s="121"/>
      <c r="B36" s="122" t="s">
        <v>86</v>
      </c>
      <c r="C36" s="117">
        <v>2023</v>
      </c>
      <c r="D36" s="118">
        <v>151</v>
      </c>
      <c r="E36" s="117">
        <v>8</v>
      </c>
      <c r="F36" s="117">
        <v>2023</v>
      </c>
      <c r="G36" s="118">
        <v>151</v>
      </c>
      <c r="H36" s="117">
        <v>8</v>
      </c>
      <c r="I36" s="117">
        <v>2027</v>
      </c>
      <c r="J36" s="118">
        <v>110</v>
      </c>
      <c r="K36" s="117">
        <v>8</v>
      </c>
      <c r="L36" s="117">
        <v>2027</v>
      </c>
      <c r="M36" s="118">
        <v>110</v>
      </c>
      <c r="N36" s="117">
        <v>8</v>
      </c>
      <c r="O36" s="117">
        <v>2027</v>
      </c>
      <c r="P36" s="118">
        <v>110</v>
      </c>
      <c r="Q36" s="117">
        <v>8</v>
      </c>
      <c r="R36" s="117"/>
      <c r="S36" s="119"/>
      <c r="T36" s="120"/>
      <c r="U36" s="123">
        <f t="shared" ref="U36" si="3">SUM(B36,E36,H36,K36,N36,Q36,T36)</f>
        <v>40</v>
      </c>
      <c r="V36" s="124"/>
      <c r="W36" s="45"/>
      <c r="X36" s="186"/>
      <c r="Y36" s="187"/>
    </row>
    <row r="37" spans="1:25" ht="24" customHeight="1" x14ac:dyDescent="0.2">
      <c r="A37" s="91"/>
      <c r="B37" s="81"/>
      <c r="C37" s="79"/>
      <c r="D37" s="80"/>
      <c r="E37" s="79"/>
      <c r="F37" s="79"/>
      <c r="G37" s="80"/>
      <c r="H37" s="79"/>
      <c r="I37" s="79"/>
      <c r="J37" s="80"/>
      <c r="K37" s="79"/>
      <c r="L37" s="79"/>
      <c r="M37" s="80"/>
      <c r="N37" s="79"/>
      <c r="O37" s="79"/>
      <c r="P37" s="80"/>
      <c r="Q37" s="79"/>
      <c r="R37" s="79"/>
      <c r="S37" s="80"/>
      <c r="T37" s="79"/>
      <c r="U37" s="75">
        <f>SUM(B37,E37,H37,K37,N37,Q37,T37)</f>
        <v>0</v>
      </c>
      <c r="V37" s="94"/>
    </row>
    <row r="38" spans="1:25" customFormat="1" ht="24" customHeight="1" x14ac:dyDescent="0.2">
      <c r="A38" s="121"/>
      <c r="B38" s="122" t="s">
        <v>103</v>
      </c>
      <c r="C38" s="117">
        <v>2023</v>
      </c>
      <c r="D38" s="118">
        <v>120</v>
      </c>
      <c r="E38" s="125">
        <v>3</v>
      </c>
      <c r="F38" s="117">
        <v>2023</v>
      </c>
      <c r="G38" s="118">
        <v>151</v>
      </c>
      <c r="H38" s="117">
        <v>8</v>
      </c>
      <c r="I38" s="125" t="s">
        <v>85</v>
      </c>
      <c r="J38" s="118"/>
      <c r="K38" s="117"/>
      <c r="L38" s="125" t="s">
        <v>85</v>
      </c>
      <c r="M38" s="118"/>
      <c r="N38" s="117"/>
      <c r="O38" s="117">
        <v>2023</v>
      </c>
      <c r="P38" s="118">
        <v>120</v>
      </c>
      <c r="Q38" s="117">
        <v>8</v>
      </c>
      <c r="R38" s="117"/>
      <c r="S38" s="118"/>
      <c r="T38" s="117"/>
      <c r="U38" s="123">
        <f t="shared" ref="U38:U39" si="4">SUM(B38,E38,H38,K38,N38,Q38,T38)</f>
        <v>19</v>
      </c>
      <c r="V38" s="124"/>
      <c r="W38" s="45"/>
      <c r="X38" s="186"/>
      <c r="Y38" s="187"/>
    </row>
    <row r="39" spans="1:25" customFormat="1" ht="24" customHeight="1" x14ac:dyDescent="0.2">
      <c r="A39" s="121"/>
      <c r="B39" s="121"/>
      <c r="C39" s="125" t="s">
        <v>102</v>
      </c>
      <c r="D39" s="118"/>
      <c r="E39" s="117"/>
      <c r="F39" s="125"/>
      <c r="G39" s="118"/>
      <c r="H39" s="117"/>
      <c r="I39" s="117"/>
      <c r="J39" s="118"/>
      <c r="K39" s="117"/>
      <c r="L39" s="117"/>
      <c r="M39" s="118"/>
      <c r="N39" s="117"/>
      <c r="O39" s="117"/>
      <c r="P39" s="118"/>
      <c r="Q39" s="117"/>
      <c r="R39" s="117"/>
      <c r="S39" s="118"/>
      <c r="T39" s="117"/>
      <c r="U39" s="123">
        <f t="shared" si="4"/>
        <v>0</v>
      </c>
      <c r="V39" s="124"/>
      <c r="W39" s="45"/>
      <c r="X39" s="186"/>
      <c r="Y39" s="187"/>
    </row>
    <row r="40" spans="1:25" ht="24" customHeight="1" x14ac:dyDescent="0.2">
      <c r="A40" s="72"/>
    </row>
    <row r="41" spans="1:25" ht="24" customHeight="1" x14ac:dyDescent="0.2">
      <c r="A41" s="72"/>
    </row>
    <row r="42" spans="1:25" ht="24" customHeight="1" x14ac:dyDescent="0.2">
      <c r="A42" s="72"/>
    </row>
    <row r="43" spans="1:25" ht="24" customHeight="1" x14ac:dyDescent="0.2">
      <c r="A43" s="72"/>
    </row>
    <row r="44" spans="1:25" ht="24" customHeight="1" x14ac:dyDescent="0.2">
      <c r="A44" s="72"/>
    </row>
    <row r="45" spans="1:25" ht="24" customHeight="1" x14ac:dyDescent="0.2">
      <c r="A45" s="72"/>
    </row>
    <row r="46" spans="1:25" ht="24" customHeight="1" x14ac:dyDescent="0.2">
      <c r="A46" s="72"/>
    </row>
    <row r="47" spans="1:25" ht="24" customHeight="1" x14ac:dyDescent="0.2">
      <c r="A47" s="72"/>
    </row>
    <row r="48" spans="1:25" ht="24" customHeight="1" x14ac:dyDescent="0.2">
      <c r="A48" s="72"/>
    </row>
    <row r="49" spans="1:1" ht="24" customHeight="1" x14ac:dyDescent="0.2">
      <c r="A49" s="72"/>
    </row>
    <row r="50" spans="1:1" ht="24" customHeight="1" x14ac:dyDescent="0.2">
      <c r="A50" s="72"/>
    </row>
    <row r="51" spans="1:1" ht="24" customHeight="1" x14ac:dyDescent="0.2">
      <c r="A51" s="72"/>
    </row>
    <row r="52" spans="1:1" ht="24" customHeight="1" x14ac:dyDescent="0.2">
      <c r="A52" s="72"/>
    </row>
    <row r="53" spans="1:1" ht="24" customHeight="1" x14ac:dyDescent="0.2">
      <c r="A53" s="72"/>
    </row>
    <row r="54" spans="1:1" ht="24" customHeight="1" x14ac:dyDescent="0.2">
      <c r="A54" s="72"/>
    </row>
    <row r="55" spans="1:1" ht="24" customHeight="1" x14ac:dyDescent="0.2">
      <c r="A55" s="72"/>
    </row>
    <row r="56" spans="1:1" ht="24" customHeight="1" x14ac:dyDescent="0.2">
      <c r="A56" s="72"/>
    </row>
    <row r="57" spans="1:1" ht="24" customHeight="1" x14ac:dyDescent="0.2">
      <c r="A57" s="72"/>
    </row>
    <row r="58" spans="1:1" ht="24" customHeight="1" x14ac:dyDescent="0.2">
      <c r="A58" s="72"/>
    </row>
    <row r="59" spans="1:1" ht="24" customHeight="1" x14ac:dyDescent="0.2">
      <c r="A59" s="72"/>
    </row>
    <row r="60" spans="1:1" ht="24" customHeight="1" x14ac:dyDescent="0.2">
      <c r="A60" s="72"/>
    </row>
    <row r="61" spans="1:1" ht="24" customHeight="1" x14ac:dyDescent="0.2">
      <c r="A61" s="72"/>
    </row>
    <row r="62" spans="1:1" ht="24" customHeight="1" x14ac:dyDescent="0.2">
      <c r="A62" s="72"/>
    </row>
    <row r="63" spans="1:1" ht="24" customHeight="1" x14ac:dyDescent="0.2">
      <c r="A63" s="72"/>
    </row>
    <row r="64" spans="1:1" ht="24" customHeight="1" x14ac:dyDescent="0.2">
      <c r="A64" s="72"/>
    </row>
    <row r="65" spans="1:1" ht="24" customHeight="1" x14ac:dyDescent="0.2">
      <c r="A65" s="72"/>
    </row>
    <row r="66" spans="1:1" ht="24" customHeight="1" x14ac:dyDescent="0.2">
      <c r="A66" s="72"/>
    </row>
    <row r="67" spans="1:1" ht="24" customHeight="1" x14ac:dyDescent="0.2">
      <c r="A67" s="72"/>
    </row>
    <row r="68" spans="1:1" ht="24" customHeight="1" x14ac:dyDescent="0.2">
      <c r="A68" s="72"/>
    </row>
    <row r="69" spans="1:1" ht="24" customHeight="1" x14ac:dyDescent="0.2">
      <c r="A69" s="72"/>
    </row>
    <row r="70" spans="1:1" ht="24" customHeight="1" x14ac:dyDescent="0.2">
      <c r="A70" s="72"/>
    </row>
    <row r="71" spans="1:1" ht="24" customHeight="1" x14ac:dyDescent="0.2">
      <c r="A71" s="72"/>
    </row>
    <row r="72" spans="1:1" ht="24" customHeight="1" x14ac:dyDescent="0.2">
      <c r="A72" s="72"/>
    </row>
    <row r="73" spans="1:1" ht="24" customHeight="1" x14ac:dyDescent="0.2">
      <c r="A73" s="72"/>
    </row>
    <row r="74" spans="1:1" ht="24" customHeight="1" x14ac:dyDescent="0.2">
      <c r="A74" s="72"/>
    </row>
    <row r="75" spans="1:1" ht="24" customHeight="1" x14ac:dyDescent="0.2">
      <c r="A75" s="72"/>
    </row>
    <row r="76" spans="1:1" ht="24" customHeight="1" x14ac:dyDescent="0.2">
      <c r="A76" s="72"/>
    </row>
    <row r="77" spans="1:1" ht="24" customHeight="1" x14ac:dyDescent="0.2">
      <c r="A77" s="72"/>
    </row>
    <row r="78" spans="1:1" x14ac:dyDescent="0.2">
      <c r="A78" s="72"/>
    </row>
    <row r="79" spans="1:1" x14ac:dyDescent="0.2">
      <c r="A79" s="72"/>
    </row>
    <row r="80" spans="1:1" x14ac:dyDescent="0.2">
      <c r="A80" s="72"/>
    </row>
    <row r="81" spans="1:1" x14ac:dyDescent="0.2">
      <c r="A81" s="72"/>
    </row>
    <row r="82" spans="1:1" x14ac:dyDescent="0.2">
      <c r="A82" s="72"/>
    </row>
    <row r="83" spans="1:1" x14ac:dyDescent="0.2">
      <c r="A83" s="72"/>
    </row>
    <row r="84" spans="1:1" x14ac:dyDescent="0.2">
      <c r="A84" s="72"/>
    </row>
    <row r="85" spans="1:1" x14ac:dyDescent="0.2">
      <c r="A85" s="72"/>
    </row>
    <row r="86" spans="1:1" x14ac:dyDescent="0.2">
      <c r="A86" s="72"/>
    </row>
    <row r="87" spans="1:1" x14ac:dyDescent="0.2">
      <c r="A87" s="72"/>
    </row>
    <row r="88" spans="1:1" x14ac:dyDescent="0.2">
      <c r="A88" s="72"/>
    </row>
    <row r="89" spans="1:1" x14ac:dyDescent="0.2">
      <c r="A89" s="72"/>
    </row>
    <row r="90" spans="1:1" x14ac:dyDescent="0.2">
      <c r="A90" s="72"/>
    </row>
    <row r="91" spans="1:1" x14ac:dyDescent="0.2">
      <c r="A91" s="72"/>
    </row>
    <row r="92" spans="1:1" x14ac:dyDescent="0.2">
      <c r="A92" s="72"/>
    </row>
    <row r="93" spans="1:1" x14ac:dyDescent="0.2">
      <c r="A93" s="72"/>
    </row>
    <row r="94" spans="1:1" x14ac:dyDescent="0.2">
      <c r="A94" s="72"/>
    </row>
    <row r="95" spans="1:1" x14ac:dyDescent="0.2">
      <c r="A95" s="72"/>
    </row>
    <row r="96" spans="1:1" x14ac:dyDescent="0.2">
      <c r="A96" s="72"/>
    </row>
    <row r="97" spans="1:1" x14ac:dyDescent="0.2">
      <c r="A97" s="72"/>
    </row>
    <row r="98" spans="1:1" x14ac:dyDescent="0.2">
      <c r="A98" s="72"/>
    </row>
    <row r="99" spans="1:1" x14ac:dyDescent="0.2">
      <c r="A99" s="72"/>
    </row>
    <row r="100" spans="1:1" x14ac:dyDescent="0.2">
      <c r="A100" s="72"/>
    </row>
    <row r="101" spans="1:1" x14ac:dyDescent="0.2">
      <c r="A101" s="72"/>
    </row>
    <row r="102" spans="1:1" x14ac:dyDescent="0.2">
      <c r="A102" s="72"/>
    </row>
    <row r="103" spans="1:1" x14ac:dyDescent="0.2">
      <c r="A103" s="72"/>
    </row>
    <row r="104" spans="1:1" x14ac:dyDescent="0.2">
      <c r="A104" s="72"/>
    </row>
    <row r="105" spans="1:1" x14ac:dyDescent="0.2">
      <c r="A105" s="72"/>
    </row>
  </sheetData>
  <sheetProtection formatCells="0" selectLockedCells="1" selectUnlockedCells="1"/>
  <mergeCells count="48">
    <mergeCell ref="X13:Y13"/>
    <mergeCell ref="X16:Y16"/>
    <mergeCell ref="X17:Y17"/>
    <mergeCell ref="L3:N3"/>
    <mergeCell ref="F4:H4"/>
    <mergeCell ref="X10:Y10"/>
    <mergeCell ref="X11:Y11"/>
    <mergeCell ref="O2:Q2"/>
    <mergeCell ref="O3:Q3"/>
    <mergeCell ref="O4:Q4"/>
    <mergeCell ref="L1:Q1"/>
    <mergeCell ref="A5:A6"/>
    <mergeCell ref="B5:T5"/>
    <mergeCell ref="X9:Y9"/>
    <mergeCell ref="X18:Y18"/>
    <mergeCell ref="X19:Y19"/>
    <mergeCell ref="X20:Y20"/>
    <mergeCell ref="C1:E1"/>
    <mergeCell ref="C2:E2"/>
    <mergeCell ref="C3:E3"/>
    <mergeCell ref="C4:E4"/>
    <mergeCell ref="F1:H1"/>
    <mergeCell ref="F2:H2"/>
    <mergeCell ref="F3:H3"/>
    <mergeCell ref="R1:T1"/>
    <mergeCell ref="R2:T2"/>
    <mergeCell ref="R3:T3"/>
    <mergeCell ref="R4:T4"/>
    <mergeCell ref="L4:N4"/>
    <mergeCell ref="I1:K1"/>
    <mergeCell ref="I2:K2"/>
    <mergeCell ref="I3:K3"/>
    <mergeCell ref="I4:K4"/>
    <mergeCell ref="L2:N2"/>
    <mergeCell ref="X36:Y36"/>
    <mergeCell ref="X14:Y14"/>
    <mergeCell ref="X15:Y15"/>
    <mergeCell ref="X38:Y38"/>
    <mergeCell ref="X39:Y39"/>
    <mergeCell ref="X26:Y26"/>
    <mergeCell ref="X27:Y27"/>
    <mergeCell ref="X28:Y28"/>
    <mergeCell ref="X29:Y29"/>
    <mergeCell ref="X21:Y21"/>
    <mergeCell ref="X22:Y22"/>
    <mergeCell ref="X23:Y23"/>
    <mergeCell ref="X24:Y24"/>
    <mergeCell ref="X25:Y25"/>
  </mergeCells>
  <printOptions horizontalCentered="1" verticalCentered="1" gridLines="1"/>
  <pageMargins left="0.5" right="0.5" top="0.5" bottom="0.25" header="0" footer="0"/>
  <pageSetup scale="59" orientation="landscape" r:id="rId1"/>
  <headerFooter alignWithMargins="0">
    <oddHeader>&amp;LFAX-425-487-1568&amp;CTIMESHEET</oddHeader>
  </headerFooter>
  <colBreaks count="1" manualBreakCount="1">
    <brk id="21" max="6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1"/>
  <sheetViews>
    <sheetView workbookViewId="0">
      <selection activeCell="C22" sqref="C22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134</v>
      </c>
      <c r="D1" s="176"/>
      <c r="E1" s="176"/>
      <c r="F1" s="174" t="s">
        <v>133</v>
      </c>
      <c r="G1" s="176"/>
      <c r="H1" s="176"/>
      <c r="I1" s="165" t="s">
        <v>132</v>
      </c>
      <c r="J1" s="166"/>
      <c r="K1" s="166"/>
      <c r="L1" s="179" t="s">
        <v>131</v>
      </c>
      <c r="M1" s="179"/>
      <c r="N1" s="179"/>
      <c r="O1" s="179"/>
      <c r="P1" s="179"/>
      <c r="Q1" s="179"/>
      <c r="R1" s="175" t="s">
        <v>130</v>
      </c>
      <c r="S1" s="175"/>
      <c r="T1" s="175"/>
      <c r="U1" s="109"/>
      <c r="V1" s="112"/>
    </row>
    <row r="2" spans="1:25" ht="24" customHeight="1" thickBot="1" x14ac:dyDescent="0.25">
      <c r="A2" s="103"/>
      <c r="B2" s="110" t="s">
        <v>129</v>
      </c>
      <c r="C2" s="175" t="s">
        <v>128</v>
      </c>
      <c r="D2" s="175"/>
      <c r="E2" s="175"/>
      <c r="F2" s="174" t="s">
        <v>127</v>
      </c>
      <c r="G2" s="176"/>
      <c r="H2" s="176"/>
      <c r="I2" s="167"/>
      <c r="J2" s="167"/>
      <c r="K2" s="167"/>
      <c r="L2" s="174" t="s">
        <v>126</v>
      </c>
      <c r="M2" s="175"/>
      <c r="N2" s="175"/>
      <c r="O2" s="174" t="s">
        <v>125</v>
      </c>
      <c r="P2" s="174"/>
      <c r="Q2" s="174"/>
      <c r="R2" s="175" t="s">
        <v>124</v>
      </c>
      <c r="S2" s="175"/>
      <c r="T2" s="175"/>
      <c r="U2" s="109"/>
      <c r="V2" s="112"/>
    </row>
    <row r="3" spans="1:25" ht="24" customHeight="1" x14ac:dyDescent="0.2">
      <c r="A3" s="103"/>
      <c r="B3" s="110" t="s">
        <v>123</v>
      </c>
      <c r="C3" s="174" t="s">
        <v>122</v>
      </c>
      <c r="D3" s="174"/>
      <c r="E3" s="174"/>
      <c r="F3" s="174" t="s">
        <v>121</v>
      </c>
      <c r="G3" s="176"/>
      <c r="H3" s="176"/>
      <c r="I3" s="168" t="s">
        <v>120</v>
      </c>
      <c r="J3" s="169"/>
      <c r="K3" s="170"/>
      <c r="L3" s="174" t="s">
        <v>119</v>
      </c>
      <c r="M3" s="175"/>
      <c r="N3" s="175"/>
      <c r="O3" s="174" t="s">
        <v>118</v>
      </c>
      <c r="P3" s="174"/>
      <c r="Q3" s="174"/>
      <c r="R3" s="175" t="s">
        <v>117</v>
      </c>
      <c r="S3" s="175"/>
      <c r="T3" s="175"/>
      <c r="U3" s="109"/>
      <c r="V3" s="111"/>
    </row>
    <row r="4" spans="1:25" ht="24" customHeight="1" thickBot="1" x14ac:dyDescent="0.25">
      <c r="A4" s="103"/>
      <c r="B4" s="110" t="s">
        <v>116</v>
      </c>
      <c r="C4" s="174" t="s">
        <v>115</v>
      </c>
      <c r="D4" s="176"/>
      <c r="E4" s="176"/>
      <c r="F4" s="174"/>
      <c r="G4" s="176"/>
      <c r="H4" s="176"/>
      <c r="I4" s="171" t="s">
        <v>113</v>
      </c>
      <c r="J4" s="172"/>
      <c r="K4" s="173"/>
      <c r="L4" s="174" t="s">
        <v>112</v>
      </c>
      <c r="M4" s="175"/>
      <c r="N4" s="175"/>
      <c r="O4" s="178" t="s">
        <v>111</v>
      </c>
      <c r="P4" s="178"/>
      <c r="Q4" s="178"/>
      <c r="R4" s="177" t="s">
        <v>161</v>
      </c>
      <c r="S4" s="177"/>
      <c r="T4" s="177"/>
      <c r="U4" s="109"/>
      <c r="V4" s="89"/>
    </row>
    <row r="5" spans="1:25" ht="24" customHeight="1" thickBot="1" x14ac:dyDescent="0.25">
      <c r="A5" s="180"/>
      <c r="B5" s="181" t="s">
        <v>97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42516</v>
      </c>
      <c r="D6" s="107"/>
      <c r="E6" s="107"/>
      <c r="F6" s="107">
        <f>C6+1</f>
        <v>42517</v>
      </c>
      <c r="G6" s="107"/>
      <c r="H6" s="107"/>
      <c r="I6" s="107">
        <f>F6+3</f>
        <v>42520</v>
      </c>
      <c r="J6" s="107"/>
      <c r="K6" s="107"/>
      <c r="L6" s="107">
        <f>I6+1</f>
        <v>42521</v>
      </c>
      <c r="M6" s="107"/>
      <c r="N6" s="107"/>
      <c r="O6" s="107">
        <f>L6+1</f>
        <v>42522</v>
      </c>
      <c r="P6" s="107"/>
      <c r="Q6" s="107"/>
      <c r="R6" s="107">
        <f>F6+1</f>
        <v>42518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 t="s">
        <v>110</v>
      </c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81"/>
      <c r="C8" s="79"/>
      <c r="D8" s="80"/>
      <c r="E8" s="79"/>
      <c r="F8" s="79"/>
      <c r="G8" s="80"/>
      <c r="H8" s="79"/>
      <c r="I8" s="79"/>
      <c r="J8" s="80"/>
      <c r="K8" s="79"/>
      <c r="L8" s="79"/>
      <c r="M8" s="80"/>
      <c r="N8" s="79"/>
      <c r="O8" s="79"/>
      <c r="P8" s="80"/>
      <c r="Q8" s="79"/>
      <c r="R8" s="102"/>
      <c r="S8" s="102"/>
      <c r="T8" s="102"/>
      <c r="U8" s="75">
        <f>SUM(B8,E8,H8,K8,N8,Q8,T8)</f>
        <v>0</v>
      </c>
      <c r="V8" s="94"/>
      <c r="W8" s="98"/>
    </row>
    <row r="9" spans="1:25" customFormat="1" ht="24" customHeight="1" x14ac:dyDescent="0.2">
      <c r="A9" s="121"/>
      <c r="B9" s="122" t="s">
        <v>108</v>
      </c>
      <c r="C9" s="117">
        <v>2023</v>
      </c>
      <c r="D9" s="118">
        <v>142</v>
      </c>
      <c r="E9" s="117">
        <v>6</v>
      </c>
      <c r="F9" s="117">
        <v>2027</v>
      </c>
      <c r="G9" s="118">
        <v>110</v>
      </c>
      <c r="H9" s="117">
        <v>2</v>
      </c>
      <c r="I9" s="117" t="s">
        <v>158</v>
      </c>
      <c r="J9" s="118"/>
      <c r="K9" s="117">
        <v>8</v>
      </c>
      <c r="L9" s="117">
        <v>2027</v>
      </c>
      <c r="M9" s="118">
        <v>110</v>
      </c>
      <c r="N9" s="117">
        <v>8</v>
      </c>
      <c r="O9" s="117">
        <v>2023</v>
      </c>
      <c r="P9" s="118">
        <v>111</v>
      </c>
      <c r="Q9" s="117">
        <v>5</v>
      </c>
      <c r="R9" s="117"/>
      <c r="S9" s="119"/>
      <c r="T9" s="120"/>
      <c r="U9" s="123">
        <f t="shared" ref="U9:U11" si="0">SUM(B9,E9,H9,K9,N9,Q9,T9)</f>
        <v>29</v>
      </c>
      <c r="V9" s="124"/>
      <c r="W9" s="45"/>
      <c r="X9" s="186"/>
      <c r="Y9" s="187"/>
    </row>
    <row r="10" spans="1:25" customFormat="1" ht="24" customHeight="1" x14ac:dyDescent="0.2">
      <c r="A10" s="121"/>
      <c r="B10" s="122"/>
      <c r="C10" s="117">
        <v>2023</v>
      </c>
      <c r="D10" s="118">
        <v>151</v>
      </c>
      <c r="E10" s="117">
        <v>2</v>
      </c>
      <c r="F10" s="117">
        <v>2014</v>
      </c>
      <c r="G10" s="118">
        <v>141</v>
      </c>
      <c r="H10" s="117">
        <v>2</v>
      </c>
      <c r="I10" s="117"/>
      <c r="J10" s="118"/>
      <c r="K10" s="117"/>
      <c r="L10" s="117"/>
      <c r="M10" s="118"/>
      <c r="N10" s="117"/>
      <c r="O10" s="117">
        <v>2023</v>
      </c>
      <c r="P10" s="118">
        <v>151</v>
      </c>
      <c r="Q10" s="117">
        <v>2</v>
      </c>
      <c r="R10" s="117"/>
      <c r="S10" s="119"/>
      <c r="T10" s="120"/>
      <c r="U10" s="123">
        <f t="shared" si="0"/>
        <v>6</v>
      </c>
      <c r="V10" s="124"/>
      <c r="W10" s="45"/>
      <c r="X10" s="186"/>
      <c r="Y10" s="187"/>
    </row>
    <row r="11" spans="1:25" customFormat="1" ht="24" customHeight="1" x14ac:dyDescent="0.2">
      <c r="A11" s="121"/>
      <c r="B11" s="122"/>
      <c r="C11" s="117"/>
      <c r="D11" s="118"/>
      <c r="E11" s="117"/>
      <c r="F11" s="117">
        <v>2023</v>
      </c>
      <c r="G11" s="118">
        <v>120</v>
      </c>
      <c r="H11" s="117">
        <v>4</v>
      </c>
      <c r="I11" s="117"/>
      <c r="J11" s="118"/>
      <c r="K11" s="117"/>
      <c r="L11" s="117"/>
      <c r="M11" s="118"/>
      <c r="N11" s="117"/>
      <c r="O11" s="117">
        <v>2027</v>
      </c>
      <c r="P11" s="118">
        <v>110</v>
      </c>
      <c r="Q11" s="117">
        <v>1</v>
      </c>
      <c r="R11" s="117"/>
      <c r="S11" s="119"/>
      <c r="T11" s="120"/>
      <c r="U11" s="123">
        <f t="shared" si="0"/>
        <v>5</v>
      </c>
      <c r="V11" s="124"/>
      <c r="W11" s="45"/>
      <c r="X11" s="186"/>
      <c r="Y11" s="187"/>
    </row>
    <row r="12" spans="1:25" ht="24" customHeight="1" x14ac:dyDescent="0.2">
      <c r="A12" s="103"/>
      <c r="B12" s="81" t="s">
        <v>109</v>
      </c>
      <c r="C12" s="79">
        <v>2023</v>
      </c>
      <c r="D12" s="80">
        <v>151</v>
      </c>
      <c r="E12" s="79">
        <v>8</v>
      </c>
      <c r="F12" s="79">
        <v>2023</v>
      </c>
      <c r="G12" s="80">
        <v>151</v>
      </c>
      <c r="H12" s="79">
        <v>8</v>
      </c>
      <c r="I12" s="79" t="s">
        <v>158</v>
      </c>
      <c r="J12" s="80"/>
      <c r="K12" s="79">
        <v>8</v>
      </c>
      <c r="L12" s="79">
        <v>2023</v>
      </c>
      <c r="M12" s="80">
        <v>151</v>
      </c>
      <c r="N12" s="79">
        <v>8</v>
      </c>
      <c r="O12" s="79">
        <v>2023</v>
      </c>
      <c r="P12" s="80">
        <v>151</v>
      </c>
      <c r="Q12" s="79">
        <v>8</v>
      </c>
      <c r="R12" s="102"/>
      <c r="S12" s="102"/>
      <c r="T12" s="102"/>
      <c r="U12" s="75">
        <f t="shared" ref="U12:U33" si="1">SUM(B12,E12,H12,K12,N12,Q12,T12)</f>
        <v>40</v>
      </c>
      <c r="V12" s="100"/>
      <c r="W12" s="98"/>
    </row>
    <row r="13" spans="1:25" ht="24" customHeight="1" x14ac:dyDescent="0.2">
      <c r="A13" s="91"/>
      <c r="B13" s="81"/>
      <c r="C13" s="79"/>
      <c r="D13" s="80"/>
      <c r="E13" s="79"/>
      <c r="F13" s="79"/>
      <c r="G13" s="80"/>
      <c r="H13" s="79"/>
      <c r="I13" s="79"/>
      <c r="J13" s="80"/>
      <c r="K13" s="79"/>
      <c r="L13" s="79"/>
      <c r="M13" s="80"/>
      <c r="N13" s="79"/>
      <c r="O13" s="79"/>
      <c r="P13" s="80"/>
      <c r="Q13" s="79"/>
      <c r="R13" s="79"/>
      <c r="S13" s="80"/>
      <c r="T13" s="79"/>
      <c r="U13" s="75">
        <f t="shared" si="1"/>
        <v>0</v>
      </c>
      <c r="V13" s="94"/>
      <c r="W13" s="98"/>
      <c r="X13" s="184"/>
      <c r="Y13" s="185"/>
    </row>
    <row r="14" spans="1:25" ht="24" customHeight="1" x14ac:dyDescent="0.2">
      <c r="A14" s="91"/>
      <c r="B14" s="81" t="s">
        <v>106</v>
      </c>
      <c r="C14" s="79">
        <v>2023</v>
      </c>
      <c r="D14" s="80">
        <v>151</v>
      </c>
      <c r="E14" s="79">
        <v>8</v>
      </c>
      <c r="F14" s="79">
        <v>2023</v>
      </c>
      <c r="G14" s="80">
        <v>151</v>
      </c>
      <c r="H14" s="79">
        <v>8</v>
      </c>
      <c r="I14" s="79" t="s">
        <v>159</v>
      </c>
      <c r="J14" s="80"/>
      <c r="K14" s="79">
        <v>8</v>
      </c>
      <c r="L14" s="79">
        <v>2023</v>
      </c>
      <c r="M14" s="80">
        <v>151</v>
      </c>
      <c r="N14" s="79">
        <v>8</v>
      </c>
      <c r="O14" s="79">
        <v>2023</v>
      </c>
      <c r="P14" s="80">
        <v>151</v>
      </c>
      <c r="Q14" s="79">
        <v>8</v>
      </c>
      <c r="R14" s="79"/>
      <c r="S14" s="80"/>
      <c r="T14" s="79"/>
      <c r="U14" s="75">
        <f t="shared" si="1"/>
        <v>40</v>
      </c>
      <c r="V14" s="94"/>
      <c r="W14" s="98"/>
      <c r="X14" s="184"/>
      <c r="Y14" s="185"/>
    </row>
    <row r="15" spans="1:25" ht="24" customHeight="1" x14ac:dyDescent="0.2">
      <c r="A15" s="91"/>
      <c r="B15" s="91"/>
      <c r="C15" s="79"/>
      <c r="D15" s="80"/>
      <c r="E15" s="79"/>
      <c r="F15" s="79"/>
      <c r="G15" s="80"/>
      <c r="H15" s="79"/>
      <c r="I15" s="79"/>
      <c r="J15" s="80"/>
      <c r="K15" s="79"/>
      <c r="L15" s="79"/>
      <c r="M15" s="114"/>
      <c r="N15" s="79"/>
      <c r="O15" s="79"/>
      <c r="P15" s="80"/>
      <c r="Q15" s="79"/>
      <c r="R15" s="79"/>
      <c r="S15" s="80"/>
      <c r="T15" s="79"/>
      <c r="U15" s="75">
        <f t="shared" si="1"/>
        <v>0</v>
      </c>
      <c r="V15" s="94"/>
      <c r="W15" s="98"/>
      <c r="X15" s="184"/>
      <c r="Y15" s="185"/>
    </row>
    <row r="16" spans="1:25" ht="24" customHeight="1" x14ac:dyDescent="0.2">
      <c r="A16" s="91"/>
      <c r="B16" s="91" t="s">
        <v>105</v>
      </c>
      <c r="C16" s="79">
        <v>2023</v>
      </c>
      <c r="D16" s="80">
        <v>140</v>
      </c>
      <c r="E16" s="79">
        <v>8</v>
      </c>
      <c r="F16" s="79">
        <v>2023</v>
      </c>
      <c r="G16" s="80">
        <v>140</v>
      </c>
      <c r="H16" s="79">
        <v>8</v>
      </c>
      <c r="I16" s="79" t="s">
        <v>158</v>
      </c>
      <c r="J16" s="80"/>
      <c r="K16" s="79">
        <v>8</v>
      </c>
      <c r="L16" s="79">
        <v>2023</v>
      </c>
      <c r="M16" s="80">
        <v>140</v>
      </c>
      <c r="N16" s="79">
        <v>8</v>
      </c>
      <c r="O16" s="79">
        <v>2023</v>
      </c>
      <c r="P16" s="80">
        <v>140</v>
      </c>
      <c r="Q16" s="79">
        <v>8</v>
      </c>
      <c r="R16" s="90"/>
      <c r="S16" s="80"/>
      <c r="T16" s="79"/>
      <c r="U16" s="75">
        <f t="shared" si="1"/>
        <v>40</v>
      </c>
      <c r="V16" s="94"/>
      <c r="W16" s="98"/>
      <c r="X16" s="184"/>
      <c r="Y16" s="185"/>
    </row>
    <row r="17" spans="1:25" ht="24" customHeight="1" x14ac:dyDescent="0.2">
      <c r="A17" s="91"/>
      <c r="B17" s="99"/>
      <c r="C17" s="79"/>
      <c r="D17" s="80"/>
      <c r="E17" s="79"/>
      <c r="F17" s="79"/>
      <c r="G17" s="80"/>
      <c r="H17" s="79"/>
      <c r="I17" s="79"/>
      <c r="J17" s="80"/>
      <c r="K17" s="79"/>
      <c r="L17" s="79"/>
      <c r="M17" s="80"/>
      <c r="N17" s="79"/>
      <c r="O17" s="79"/>
      <c r="P17" s="80"/>
      <c r="Q17" s="79"/>
      <c r="R17" s="79"/>
      <c r="S17" s="80"/>
      <c r="T17" s="79"/>
      <c r="U17" s="75">
        <f t="shared" si="1"/>
        <v>0</v>
      </c>
      <c r="V17" s="94"/>
      <c r="W17" s="98"/>
      <c r="X17" s="184"/>
      <c r="Y17" s="185"/>
    </row>
    <row r="18" spans="1:25" ht="24" customHeight="1" x14ac:dyDescent="0.2">
      <c r="A18" s="91"/>
      <c r="B18" s="91" t="s">
        <v>104</v>
      </c>
      <c r="C18" s="79">
        <v>2023</v>
      </c>
      <c r="D18" s="80">
        <v>151</v>
      </c>
      <c r="E18" s="79">
        <v>8</v>
      </c>
      <c r="F18" s="86" t="s">
        <v>85</v>
      </c>
      <c r="G18" s="80"/>
      <c r="H18" s="79">
        <v>0</v>
      </c>
      <c r="I18" s="79" t="s">
        <v>158</v>
      </c>
      <c r="J18" s="80"/>
      <c r="K18" s="79">
        <v>8</v>
      </c>
      <c r="L18" s="79">
        <v>2023</v>
      </c>
      <c r="M18" s="80">
        <v>151</v>
      </c>
      <c r="N18" s="79">
        <v>8</v>
      </c>
      <c r="O18" s="79">
        <v>2023</v>
      </c>
      <c r="P18" s="80">
        <v>151</v>
      </c>
      <c r="Q18" s="79">
        <v>8</v>
      </c>
      <c r="R18" s="79"/>
      <c r="S18" s="80"/>
      <c r="T18" s="79"/>
      <c r="U18" s="75">
        <f t="shared" si="1"/>
        <v>32</v>
      </c>
      <c r="V18" s="94"/>
      <c r="W18" s="98"/>
      <c r="X18" s="184"/>
      <c r="Y18" s="185"/>
    </row>
    <row r="19" spans="1:25" ht="24" customHeight="1" x14ac:dyDescent="0.2">
      <c r="A19" s="91"/>
      <c r="B19" s="91"/>
      <c r="C19" s="79"/>
      <c r="D19" s="80"/>
      <c r="E19" s="79"/>
      <c r="F19" s="79"/>
      <c r="G19" s="80"/>
      <c r="H19" s="79"/>
      <c r="I19" s="79"/>
      <c r="J19" s="80"/>
      <c r="K19" s="79"/>
      <c r="L19" s="79"/>
      <c r="M19" s="80"/>
      <c r="N19" s="79"/>
      <c r="O19" s="79"/>
      <c r="P19" s="80"/>
      <c r="Q19" s="79"/>
      <c r="R19" s="79"/>
      <c r="S19" s="80"/>
      <c r="T19" s="79"/>
      <c r="U19" s="75">
        <f t="shared" si="1"/>
        <v>0</v>
      </c>
      <c r="V19" s="94"/>
      <c r="W19" s="98"/>
      <c r="X19" s="184"/>
      <c r="Y19" s="185"/>
    </row>
    <row r="20" spans="1:25" ht="24" customHeight="1" x14ac:dyDescent="0.2">
      <c r="A20" s="91"/>
      <c r="B20" s="81" t="s">
        <v>101</v>
      </c>
      <c r="C20" s="79">
        <v>2023</v>
      </c>
      <c r="D20" s="80">
        <v>140</v>
      </c>
      <c r="E20" s="79">
        <v>8</v>
      </c>
      <c r="F20" s="79">
        <v>2023</v>
      </c>
      <c r="G20" s="80">
        <v>140</v>
      </c>
      <c r="H20" s="79">
        <v>8</v>
      </c>
      <c r="I20" s="79" t="s">
        <v>158</v>
      </c>
      <c r="J20" s="80"/>
      <c r="K20" s="79">
        <v>8</v>
      </c>
      <c r="L20" s="79">
        <v>2023</v>
      </c>
      <c r="M20" s="80">
        <v>140</v>
      </c>
      <c r="N20" s="79">
        <v>8</v>
      </c>
      <c r="O20" s="79">
        <v>2023</v>
      </c>
      <c r="P20" s="80">
        <v>140</v>
      </c>
      <c r="Q20" s="79">
        <v>8</v>
      </c>
      <c r="R20" s="79"/>
      <c r="S20" s="80"/>
      <c r="T20" s="79"/>
      <c r="U20" s="75">
        <f t="shared" si="1"/>
        <v>40</v>
      </c>
      <c r="V20" s="94"/>
      <c r="W20" s="98"/>
      <c r="X20" s="184"/>
      <c r="Y20" s="185"/>
    </row>
    <row r="21" spans="1:25" ht="24" customHeight="1" x14ac:dyDescent="0.2">
      <c r="A21" s="91"/>
      <c r="B21" s="91"/>
      <c r="C21" s="79"/>
      <c r="D21" s="80"/>
      <c r="E21" s="79"/>
      <c r="F21" s="79"/>
      <c r="G21" s="80"/>
      <c r="H21" s="79"/>
      <c r="I21" s="79"/>
      <c r="J21" s="80"/>
      <c r="K21" s="79"/>
      <c r="L21" s="79"/>
      <c r="M21" s="80"/>
      <c r="N21" s="79"/>
      <c r="O21" s="79"/>
      <c r="P21" s="80"/>
      <c r="Q21" s="79"/>
      <c r="R21" s="79"/>
      <c r="S21" s="80"/>
      <c r="T21" s="79"/>
      <c r="U21" s="75">
        <f t="shared" si="1"/>
        <v>0</v>
      </c>
      <c r="V21" s="94"/>
      <c r="W21" s="98"/>
      <c r="X21" s="184"/>
      <c r="Y21" s="185"/>
    </row>
    <row r="22" spans="1:25" ht="24" customHeight="1" x14ac:dyDescent="0.2">
      <c r="A22" s="91"/>
      <c r="B22" s="81" t="s">
        <v>155</v>
      </c>
      <c r="C22" s="79">
        <v>2023</v>
      </c>
      <c r="D22" s="80">
        <v>151</v>
      </c>
      <c r="E22" s="79">
        <v>8</v>
      </c>
      <c r="F22" s="79">
        <v>2023</v>
      </c>
      <c r="G22" s="80">
        <v>151</v>
      </c>
      <c r="H22" s="79">
        <v>8</v>
      </c>
      <c r="I22" s="79" t="s">
        <v>158</v>
      </c>
      <c r="J22" s="80"/>
      <c r="K22" s="79">
        <v>8</v>
      </c>
      <c r="L22" s="79">
        <v>2023</v>
      </c>
      <c r="M22" s="80">
        <v>151</v>
      </c>
      <c r="N22" s="79">
        <v>8</v>
      </c>
      <c r="O22" s="79">
        <v>2023</v>
      </c>
      <c r="P22" s="80">
        <v>151</v>
      </c>
      <c r="Q22" s="79">
        <v>8</v>
      </c>
      <c r="R22" s="90"/>
      <c r="S22" s="80"/>
      <c r="T22" s="79"/>
      <c r="U22" s="75">
        <f t="shared" si="1"/>
        <v>40</v>
      </c>
      <c r="V22" s="94"/>
      <c r="W22" s="98"/>
      <c r="X22" s="184"/>
      <c r="Y22" s="185"/>
    </row>
    <row r="23" spans="1:25" ht="24" customHeight="1" x14ac:dyDescent="0.2">
      <c r="A23" s="92"/>
      <c r="B23" s="91"/>
      <c r="C23" s="79"/>
      <c r="D23" s="80"/>
      <c r="E23" s="79"/>
      <c r="F23" s="79"/>
      <c r="G23" s="80"/>
      <c r="H23" s="79"/>
      <c r="I23" s="79"/>
      <c r="J23" s="80"/>
      <c r="K23" s="79"/>
      <c r="L23" s="79"/>
      <c r="M23" s="80"/>
      <c r="N23" s="79"/>
      <c r="O23" s="79"/>
      <c r="P23" s="80"/>
      <c r="Q23" s="79"/>
      <c r="R23" s="79"/>
      <c r="S23" s="80"/>
      <c r="T23" s="79"/>
      <c r="U23" s="75">
        <f t="shared" si="1"/>
        <v>0</v>
      </c>
      <c r="V23" s="94"/>
      <c r="W23" s="98"/>
      <c r="X23" s="184"/>
      <c r="Y23" s="185"/>
    </row>
    <row r="24" spans="1:25" ht="24" customHeight="1" x14ac:dyDescent="0.2">
      <c r="A24" s="91"/>
      <c r="B24" s="81" t="s">
        <v>99</v>
      </c>
      <c r="C24" s="79">
        <v>2023</v>
      </c>
      <c r="D24" s="80">
        <v>120</v>
      </c>
      <c r="E24" s="79">
        <v>8</v>
      </c>
      <c r="F24" s="79">
        <v>2023</v>
      </c>
      <c r="G24" s="80">
        <v>120</v>
      </c>
      <c r="H24" s="79">
        <v>8</v>
      </c>
      <c r="I24" s="79" t="s">
        <v>158</v>
      </c>
      <c r="J24" s="80"/>
      <c r="K24" s="79">
        <v>8</v>
      </c>
      <c r="L24" s="79">
        <v>2023</v>
      </c>
      <c r="M24" s="80">
        <v>141</v>
      </c>
      <c r="N24" s="79">
        <v>8</v>
      </c>
      <c r="O24" s="79">
        <v>2023</v>
      </c>
      <c r="P24" s="80">
        <v>141</v>
      </c>
      <c r="Q24" s="79">
        <v>8</v>
      </c>
      <c r="R24" s="79"/>
      <c r="S24" s="80"/>
      <c r="T24" s="79"/>
      <c r="U24" s="75">
        <f t="shared" si="1"/>
        <v>40</v>
      </c>
      <c r="V24" s="94"/>
      <c r="W24" s="98"/>
      <c r="X24" s="184"/>
      <c r="Y24" s="185"/>
    </row>
    <row r="25" spans="1:25" ht="24" customHeight="1" x14ac:dyDescent="0.2">
      <c r="A25" s="91"/>
      <c r="B25" s="91"/>
      <c r="C25" s="79"/>
      <c r="D25" s="80"/>
      <c r="E25" s="79"/>
      <c r="F25" s="79"/>
      <c r="G25" s="80"/>
      <c r="H25" s="79"/>
      <c r="I25" s="79"/>
      <c r="J25" s="80"/>
      <c r="K25" s="79"/>
      <c r="L25" s="79"/>
      <c r="M25" s="80"/>
      <c r="N25" s="79"/>
      <c r="O25" s="79"/>
      <c r="P25" s="80"/>
      <c r="Q25" s="79"/>
      <c r="R25" s="79"/>
      <c r="S25" s="80"/>
      <c r="T25" s="79"/>
      <c r="U25" s="75">
        <f t="shared" si="1"/>
        <v>0</v>
      </c>
      <c r="V25" s="89"/>
      <c r="W25" s="98"/>
      <c r="X25" s="184"/>
      <c r="Y25" s="185"/>
    </row>
    <row r="26" spans="1:25" ht="24" customHeight="1" x14ac:dyDescent="0.2">
      <c r="A26" s="91"/>
      <c r="B26" s="81" t="s">
        <v>98</v>
      </c>
      <c r="C26" s="86" t="s">
        <v>85</v>
      </c>
      <c r="D26" s="80"/>
      <c r="E26" s="79">
        <v>0</v>
      </c>
      <c r="F26" s="79">
        <v>2023</v>
      </c>
      <c r="G26" s="80">
        <v>120</v>
      </c>
      <c r="H26" s="79">
        <v>8</v>
      </c>
      <c r="I26" s="79" t="s">
        <v>158</v>
      </c>
      <c r="J26" s="80"/>
      <c r="K26" s="79">
        <v>8</v>
      </c>
      <c r="L26" s="79">
        <v>2023</v>
      </c>
      <c r="M26" s="80">
        <v>140</v>
      </c>
      <c r="N26" s="79">
        <v>8</v>
      </c>
      <c r="O26" s="79">
        <v>2023</v>
      </c>
      <c r="P26" s="80">
        <v>140</v>
      </c>
      <c r="Q26" s="79">
        <v>8</v>
      </c>
      <c r="R26" s="79"/>
      <c r="S26" s="80"/>
      <c r="T26" s="79"/>
      <c r="U26" s="75">
        <f t="shared" si="1"/>
        <v>32</v>
      </c>
      <c r="V26" s="89"/>
      <c r="W26" s="98"/>
      <c r="X26" s="184"/>
      <c r="Y26" s="185"/>
    </row>
    <row r="27" spans="1:25" ht="24" customHeight="1" x14ac:dyDescent="0.2">
      <c r="A27" s="91"/>
      <c r="B27" s="91"/>
      <c r="C27" s="79"/>
      <c r="D27" s="80"/>
      <c r="E27" s="79"/>
      <c r="F27" s="79"/>
      <c r="G27" s="80"/>
      <c r="H27" s="79"/>
      <c r="I27" s="79"/>
      <c r="J27" s="80"/>
      <c r="K27" s="79"/>
      <c r="L27" s="79"/>
      <c r="M27" s="80"/>
      <c r="N27" s="79"/>
      <c r="O27" s="79"/>
      <c r="P27" s="80"/>
      <c r="Q27" s="79"/>
      <c r="R27" s="79"/>
      <c r="S27" s="80"/>
      <c r="T27" s="79"/>
      <c r="U27" s="75">
        <f t="shared" si="1"/>
        <v>0</v>
      </c>
      <c r="V27" s="94"/>
      <c r="W27" s="98"/>
      <c r="X27" s="184"/>
      <c r="Y27" s="185"/>
    </row>
    <row r="28" spans="1:25" ht="24" customHeight="1" x14ac:dyDescent="0.2">
      <c r="A28" s="91"/>
      <c r="B28" s="91" t="s">
        <v>139</v>
      </c>
      <c r="C28" s="79">
        <v>2023</v>
      </c>
      <c r="D28" s="80">
        <v>141</v>
      </c>
      <c r="E28" s="79">
        <v>8</v>
      </c>
      <c r="F28" s="79">
        <v>2023</v>
      </c>
      <c r="G28" s="80">
        <v>141</v>
      </c>
      <c r="H28" s="79">
        <v>8</v>
      </c>
      <c r="I28" s="79" t="s">
        <v>158</v>
      </c>
      <c r="J28" s="80"/>
      <c r="K28" s="79">
        <v>8</v>
      </c>
      <c r="L28" s="79">
        <v>2023</v>
      </c>
      <c r="M28" s="80">
        <v>141</v>
      </c>
      <c r="N28" s="79">
        <v>8</v>
      </c>
      <c r="O28" s="79">
        <v>2023</v>
      </c>
      <c r="P28" s="80">
        <v>141</v>
      </c>
      <c r="Q28" s="79">
        <v>8</v>
      </c>
      <c r="R28" s="79"/>
      <c r="S28" s="80"/>
      <c r="T28" s="79"/>
      <c r="U28" s="75">
        <f t="shared" si="1"/>
        <v>40</v>
      </c>
      <c r="V28" s="94"/>
    </row>
    <row r="29" spans="1:25" ht="24" customHeight="1" x14ac:dyDescent="0.2">
      <c r="A29" s="91"/>
      <c r="B29" s="81"/>
      <c r="C29" s="79"/>
      <c r="D29" s="80"/>
      <c r="E29" s="79"/>
      <c r="F29" s="79"/>
      <c r="G29" s="80"/>
      <c r="H29" s="79"/>
      <c r="I29" s="79"/>
      <c r="J29" s="80"/>
      <c r="K29" s="79"/>
      <c r="L29" s="79"/>
      <c r="M29" s="80"/>
      <c r="N29" s="79"/>
      <c r="O29" s="79"/>
      <c r="P29" s="80"/>
      <c r="Q29" s="79"/>
      <c r="R29" s="79"/>
      <c r="S29" s="80"/>
      <c r="T29" s="79"/>
      <c r="U29" s="75">
        <f t="shared" si="1"/>
        <v>0</v>
      </c>
      <c r="V29" s="94"/>
    </row>
    <row r="30" spans="1:25" ht="24" customHeight="1" x14ac:dyDescent="0.2">
      <c r="A30" s="91"/>
      <c r="B30" s="81" t="s">
        <v>90</v>
      </c>
      <c r="C30" s="79">
        <v>2023</v>
      </c>
      <c r="D30" s="80">
        <v>120</v>
      </c>
      <c r="E30" s="79">
        <v>6</v>
      </c>
      <c r="F30" s="79">
        <v>2023</v>
      </c>
      <c r="G30" s="80">
        <v>120</v>
      </c>
      <c r="H30" s="79">
        <v>5</v>
      </c>
      <c r="I30" s="79" t="s">
        <v>158</v>
      </c>
      <c r="J30" s="80"/>
      <c r="K30" s="79">
        <v>8</v>
      </c>
      <c r="L30" s="79">
        <v>2023</v>
      </c>
      <c r="M30" s="80">
        <v>120</v>
      </c>
      <c r="N30" s="79">
        <v>6</v>
      </c>
      <c r="O30" s="79">
        <v>2023</v>
      </c>
      <c r="P30" s="80">
        <v>120</v>
      </c>
      <c r="Q30" s="79">
        <v>6</v>
      </c>
      <c r="R30" s="79"/>
      <c r="S30" s="80"/>
      <c r="T30" s="79"/>
      <c r="U30" s="75">
        <f t="shared" si="1"/>
        <v>31</v>
      </c>
      <c r="V30" s="94"/>
    </row>
    <row r="31" spans="1:25" ht="24" customHeight="1" x14ac:dyDescent="0.2">
      <c r="A31" s="91"/>
      <c r="B31" s="81"/>
      <c r="C31" s="79">
        <v>2023</v>
      </c>
      <c r="D31" s="80">
        <v>151</v>
      </c>
      <c r="E31" s="79">
        <v>2</v>
      </c>
      <c r="F31" s="79">
        <v>2023</v>
      </c>
      <c r="G31" s="80">
        <v>151</v>
      </c>
      <c r="H31" s="79">
        <v>3</v>
      </c>
      <c r="I31" s="79"/>
      <c r="J31" s="80"/>
      <c r="K31" s="79"/>
      <c r="L31" s="79">
        <v>2023</v>
      </c>
      <c r="M31" s="80">
        <v>151</v>
      </c>
      <c r="N31" s="79">
        <v>2</v>
      </c>
      <c r="O31" s="79">
        <v>2023</v>
      </c>
      <c r="P31" s="80">
        <v>151</v>
      </c>
      <c r="Q31" s="79">
        <v>2</v>
      </c>
      <c r="R31" s="79"/>
      <c r="S31" s="80"/>
      <c r="T31" s="79"/>
      <c r="U31" s="75">
        <f t="shared" si="1"/>
        <v>9</v>
      </c>
      <c r="V31" s="94"/>
    </row>
    <row r="32" spans="1:25" ht="24" customHeight="1" x14ac:dyDescent="0.2">
      <c r="A32" s="91"/>
      <c r="B32" s="81" t="s">
        <v>89</v>
      </c>
      <c r="C32" s="86" t="s">
        <v>85</v>
      </c>
      <c r="D32" s="80"/>
      <c r="E32" s="79"/>
      <c r="F32" s="86" t="s">
        <v>85</v>
      </c>
      <c r="G32" s="80"/>
      <c r="H32" s="79"/>
      <c r="I32" s="79" t="s">
        <v>158</v>
      </c>
      <c r="J32" s="80"/>
      <c r="K32" s="79">
        <v>8</v>
      </c>
      <c r="L32" s="79">
        <v>2023</v>
      </c>
      <c r="M32" s="80">
        <v>151</v>
      </c>
      <c r="N32" s="79">
        <v>8</v>
      </c>
      <c r="O32" s="79">
        <v>2023</v>
      </c>
      <c r="P32" s="80">
        <v>151</v>
      </c>
      <c r="Q32" s="79">
        <v>8</v>
      </c>
      <c r="R32" s="88"/>
      <c r="S32" s="80"/>
      <c r="T32" s="79"/>
      <c r="U32" s="75">
        <f t="shared" si="1"/>
        <v>24</v>
      </c>
      <c r="V32" s="94"/>
    </row>
    <row r="33" spans="1:25" ht="24" customHeight="1" x14ac:dyDescent="0.2">
      <c r="A33" s="91"/>
      <c r="B33" s="81"/>
      <c r="C33" s="79"/>
      <c r="D33" s="80"/>
      <c r="E33" s="79"/>
      <c r="F33" s="79"/>
      <c r="G33" s="80"/>
      <c r="H33" s="79"/>
      <c r="I33" s="79"/>
      <c r="J33" s="80"/>
      <c r="K33" s="79"/>
      <c r="L33" s="79"/>
      <c r="M33" s="80"/>
      <c r="N33" s="79"/>
      <c r="O33" s="79"/>
      <c r="P33" s="80"/>
      <c r="Q33" s="79"/>
      <c r="R33" s="79"/>
      <c r="S33" s="80"/>
      <c r="T33" s="79"/>
      <c r="U33" s="75">
        <f t="shared" si="1"/>
        <v>0</v>
      </c>
      <c r="V33" s="94"/>
    </row>
    <row r="34" spans="1:25" customFormat="1" ht="24" customHeight="1" x14ac:dyDescent="0.2">
      <c r="A34" s="121"/>
      <c r="B34" s="122" t="s">
        <v>86</v>
      </c>
      <c r="C34" s="117">
        <v>2023</v>
      </c>
      <c r="D34" s="118">
        <v>111</v>
      </c>
      <c r="E34" s="117">
        <v>8</v>
      </c>
      <c r="F34" s="125" t="s">
        <v>87</v>
      </c>
      <c r="G34" s="126"/>
      <c r="H34" s="125">
        <v>8</v>
      </c>
      <c r="I34" s="117" t="s">
        <v>158</v>
      </c>
      <c r="J34" s="118"/>
      <c r="K34" s="117">
        <v>8</v>
      </c>
      <c r="L34" s="117">
        <v>2027</v>
      </c>
      <c r="M34" s="118">
        <v>110</v>
      </c>
      <c r="N34" s="117">
        <v>8</v>
      </c>
      <c r="O34" s="117">
        <v>2023</v>
      </c>
      <c r="P34" s="118">
        <v>120</v>
      </c>
      <c r="Q34" s="117">
        <v>8</v>
      </c>
      <c r="R34" s="117"/>
      <c r="S34" s="119"/>
      <c r="T34" s="120"/>
      <c r="U34" s="123">
        <f t="shared" ref="U34" si="2">SUM(B34,E34,H34,K34,N34,Q34,T34)</f>
        <v>40</v>
      </c>
      <c r="V34" s="124"/>
      <c r="W34" s="45"/>
      <c r="X34" s="186"/>
      <c r="Y34" s="187"/>
    </row>
    <row r="35" spans="1:25" ht="24" customHeight="1" x14ac:dyDescent="0.2">
      <c r="A35" s="91"/>
      <c r="B35" s="81"/>
      <c r="C35" s="79"/>
      <c r="D35" s="80"/>
      <c r="E35" s="79"/>
      <c r="F35" s="79"/>
      <c r="G35" s="80"/>
      <c r="H35" s="79"/>
      <c r="I35" s="79"/>
      <c r="J35" s="80"/>
      <c r="K35" s="79"/>
      <c r="L35" s="79"/>
      <c r="M35" s="80"/>
      <c r="N35" s="79"/>
      <c r="O35" s="79"/>
      <c r="P35" s="80"/>
      <c r="Q35" s="79"/>
      <c r="R35" s="79"/>
      <c r="S35" s="80"/>
      <c r="T35" s="79"/>
      <c r="U35" s="75">
        <f>SUM(B35,E35,H35,K35,N35,Q35,T35)</f>
        <v>0</v>
      </c>
      <c r="V35" s="94"/>
    </row>
    <row r="36" spans="1:25" ht="24" customHeight="1" x14ac:dyDescent="0.2">
      <c r="A36" s="72"/>
    </row>
    <row r="37" spans="1:25" ht="24" customHeight="1" x14ac:dyDescent="0.2">
      <c r="A37" s="72"/>
    </row>
    <row r="38" spans="1:25" ht="24" customHeight="1" x14ac:dyDescent="0.2">
      <c r="A38" s="72"/>
    </row>
    <row r="39" spans="1:25" ht="24" customHeight="1" x14ac:dyDescent="0.2">
      <c r="A39" s="72"/>
    </row>
    <row r="40" spans="1:25" ht="24" customHeight="1" x14ac:dyDescent="0.2">
      <c r="A40" s="72"/>
    </row>
    <row r="41" spans="1:25" ht="24" customHeight="1" x14ac:dyDescent="0.2">
      <c r="A41" s="72"/>
    </row>
    <row r="42" spans="1:25" ht="24" customHeight="1" x14ac:dyDescent="0.2">
      <c r="A42" s="72"/>
    </row>
    <row r="43" spans="1:25" ht="24" customHeight="1" x14ac:dyDescent="0.2">
      <c r="A43" s="72"/>
    </row>
    <row r="44" spans="1:25" ht="24" customHeight="1" x14ac:dyDescent="0.2">
      <c r="A44" s="72"/>
    </row>
    <row r="45" spans="1:25" ht="24" customHeight="1" x14ac:dyDescent="0.2">
      <c r="A45" s="72"/>
    </row>
    <row r="46" spans="1:25" ht="24" customHeight="1" x14ac:dyDescent="0.2">
      <c r="A46" s="72"/>
    </row>
    <row r="47" spans="1:25" ht="24" customHeight="1" x14ac:dyDescent="0.2">
      <c r="A47" s="72"/>
    </row>
    <row r="48" spans="1:25" ht="24" customHeight="1" x14ac:dyDescent="0.2">
      <c r="A48" s="72"/>
    </row>
    <row r="49" spans="1:1" ht="24" customHeight="1" x14ac:dyDescent="0.2">
      <c r="A49" s="72"/>
    </row>
    <row r="50" spans="1:1" ht="24" customHeight="1" x14ac:dyDescent="0.2">
      <c r="A50" s="72"/>
    </row>
    <row r="51" spans="1:1" ht="24" customHeight="1" x14ac:dyDescent="0.2">
      <c r="A51" s="72"/>
    </row>
    <row r="52" spans="1:1" ht="24" customHeight="1" x14ac:dyDescent="0.2">
      <c r="A52" s="72"/>
    </row>
    <row r="53" spans="1:1" ht="24" customHeight="1" x14ac:dyDescent="0.2">
      <c r="A53" s="72"/>
    </row>
    <row r="54" spans="1:1" ht="24" customHeight="1" x14ac:dyDescent="0.2">
      <c r="A54" s="72"/>
    </row>
    <row r="55" spans="1:1" ht="24" customHeight="1" x14ac:dyDescent="0.2">
      <c r="A55" s="72"/>
    </row>
    <row r="56" spans="1:1" ht="24" customHeight="1" x14ac:dyDescent="0.2">
      <c r="A56" s="72"/>
    </row>
    <row r="57" spans="1:1" ht="24" customHeight="1" x14ac:dyDescent="0.2">
      <c r="A57" s="72"/>
    </row>
    <row r="58" spans="1:1" ht="24" customHeight="1" x14ac:dyDescent="0.2">
      <c r="A58" s="72"/>
    </row>
    <row r="59" spans="1:1" ht="24" customHeight="1" x14ac:dyDescent="0.2">
      <c r="A59" s="72"/>
    </row>
    <row r="60" spans="1:1" ht="24" customHeight="1" x14ac:dyDescent="0.2">
      <c r="A60" s="72"/>
    </row>
    <row r="61" spans="1:1" ht="24" customHeight="1" x14ac:dyDescent="0.2">
      <c r="A61" s="72"/>
    </row>
    <row r="62" spans="1:1" ht="24" customHeight="1" x14ac:dyDescent="0.2">
      <c r="A62" s="72"/>
    </row>
    <row r="63" spans="1:1" ht="24" customHeight="1" x14ac:dyDescent="0.2">
      <c r="A63" s="72"/>
    </row>
    <row r="64" spans="1:1" ht="24" customHeight="1" x14ac:dyDescent="0.2">
      <c r="A64" s="72"/>
    </row>
    <row r="65" spans="1:1" ht="24" customHeight="1" x14ac:dyDescent="0.2">
      <c r="A65" s="72"/>
    </row>
    <row r="66" spans="1:1" ht="24" customHeight="1" x14ac:dyDescent="0.2">
      <c r="A66" s="72"/>
    </row>
    <row r="67" spans="1:1" ht="24" customHeight="1" x14ac:dyDescent="0.2">
      <c r="A67" s="72"/>
    </row>
    <row r="68" spans="1:1" ht="24" customHeight="1" x14ac:dyDescent="0.2">
      <c r="A68" s="72"/>
    </row>
    <row r="69" spans="1:1" ht="24" customHeight="1" x14ac:dyDescent="0.2">
      <c r="A69" s="72"/>
    </row>
    <row r="70" spans="1:1" ht="24" customHeight="1" x14ac:dyDescent="0.2">
      <c r="A70" s="72"/>
    </row>
    <row r="71" spans="1:1" ht="24" customHeight="1" x14ac:dyDescent="0.2">
      <c r="A71" s="72"/>
    </row>
    <row r="72" spans="1:1" ht="24" customHeight="1" x14ac:dyDescent="0.2">
      <c r="A72" s="72"/>
    </row>
    <row r="73" spans="1:1" ht="24" customHeight="1" x14ac:dyDescent="0.2">
      <c r="A73" s="72"/>
    </row>
    <row r="74" spans="1:1" x14ac:dyDescent="0.2">
      <c r="A74" s="72"/>
    </row>
    <row r="75" spans="1:1" x14ac:dyDescent="0.2">
      <c r="A75" s="72"/>
    </row>
    <row r="76" spans="1:1" x14ac:dyDescent="0.2">
      <c r="A76" s="72"/>
    </row>
    <row r="77" spans="1:1" x14ac:dyDescent="0.2">
      <c r="A77" s="72"/>
    </row>
    <row r="78" spans="1:1" x14ac:dyDescent="0.2">
      <c r="A78" s="72"/>
    </row>
    <row r="79" spans="1:1" x14ac:dyDescent="0.2">
      <c r="A79" s="72"/>
    </row>
    <row r="80" spans="1:1" x14ac:dyDescent="0.2">
      <c r="A80" s="72"/>
    </row>
    <row r="81" spans="1:1" x14ac:dyDescent="0.2">
      <c r="A81" s="72"/>
    </row>
    <row r="82" spans="1:1" x14ac:dyDescent="0.2">
      <c r="A82" s="72"/>
    </row>
    <row r="83" spans="1:1" x14ac:dyDescent="0.2">
      <c r="A83" s="72"/>
    </row>
    <row r="84" spans="1:1" x14ac:dyDescent="0.2">
      <c r="A84" s="72"/>
    </row>
    <row r="85" spans="1:1" x14ac:dyDescent="0.2">
      <c r="A85" s="72"/>
    </row>
    <row r="86" spans="1:1" x14ac:dyDescent="0.2">
      <c r="A86" s="72"/>
    </row>
    <row r="87" spans="1:1" x14ac:dyDescent="0.2">
      <c r="A87" s="72"/>
    </row>
    <row r="88" spans="1:1" x14ac:dyDescent="0.2">
      <c r="A88" s="72"/>
    </row>
    <row r="89" spans="1:1" x14ac:dyDescent="0.2">
      <c r="A89" s="72"/>
    </row>
    <row r="90" spans="1:1" x14ac:dyDescent="0.2">
      <c r="A90" s="72"/>
    </row>
    <row r="91" spans="1:1" x14ac:dyDescent="0.2">
      <c r="A91" s="72"/>
    </row>
    <row r="92" spans="1:1" x14ac:dyDescent="0.2">
      <c r="A92" s="72"/>
    </row>
    <row r="93" spans="1:1" x14ac:dyDescent="0.2">
      <c r="A93" s="72"/>
    </row>
    <row r="94" spans="1:1" x14ac:dyDescent="0.2">
      <c r="A94" s="72"/>
    </row>
    <row r="95" spans="1:1" x14ac:dyDescent="0.2">
      <c r="A95" s="72"/>
    </row>
    <row r="96" spans="1:1" x14ac:dyDescent="0.2">
      <c r="A96" s="72"/>
    </row>
    <row r="97" spans="1:1" x14ac:dyDescent="0.2">
      <c r="A97" s="72"/>
    </row>
    <row r="98" spans="1:1" x14ac:dyDescent="0.2">
      <c r="A98" s="72"/>
    </row>
    <row r="99" spans="1:1" x14ac:dyDescent="0.2">
      <c r="A99" s="72"/>
    </row>
    <row r="100" spans="1:1" x14ac:dyDescent="0.2">
      <c r="A100" s="72"/>
    </row>
    <row r="101" spans="1:1" x14ac:dyDescent="0.2">
      <c r="A101" s="72"/>
    </row>
  </sheetData>
  <sheetProtection formatCells="0" selectLockedCells="1" selectUnlockedCells="1"/>
  <mergeCells count="44">
    <mergeCell ref="X24:Y24"/>
    <mergeCell ref="X25:Y25"/>
    <mergeCell ref="X26:Y26"/>
    <mergeCell ref="X27:Y27"/>
    <mergeCell ref="X19:Y19"/>
    <mergeCell ref="X20:Y20"/>
    <mergeCell ref="X21:Y21"/>
    <mergeCell ref="X22:Y22"/>
    <mergeCell ref="X23:Y23"/>
    <mergeCell ref="X13:Y13"/>
    <mergeCell ref="X14:Y14"/>
    <mergeCell ref="X15:Y15"/>
    <mergeCell ref="L3:N3"/>
    <mergeCell ref="F4:H4"/>
    <mergeCell ref="X10:Y10"/>
    <mergeCell ref="X11:Y11"/>
    <mergeCell ref="O3:Q3"/>
    <mergeCell ref="O4:Q4"/>
    <mergeCell ref="L1:Q1"/>
    <mergeCell ref="A5:A6"/>
    <mergeCell ref="B5:T5"/>
    <mergeCell ref="C1:E1"/>
    <mergeCell ref="C2:E2"/>
    <mergeCell ref="C3:E3"/>
    <mergeCell ref="C4:E4"/>
    <mergeCell ref="F1:H1"/>
    <mergeCell ref="F2:H2"/>
    <mergeCell ref="F3:H3"/>
    <mergeCell ref="X34:Y34"/>
    <mergeCell ref="I1:K1"/>
    <mergeCell ref="I2:K2"/>
    <mergeCell ref="I3:K3"/>
    <mergeCell ref="I4:K4"/>
    <mergeCell ref="L2:N2"/>
    <mergeCell ref="X9:Y9"/>
    <mergeCell ref="X16:Y16"/>
    <mergeCell ref="X17:Y17"/>
    <mergeCell ref="X18:Y18"/>
    <mergeCell ref="R1:T1"/>
    <mergeCell ref="R2:T2"/>
    <mergeCell ref="R3:T3"/>
    <mergeCell ref="R4:T4"/>
    <mergeCell ref="L4:N4"/>
    <mergeCell ref="O2:Q2"/>
  </mergeCells>
  <printOptions horizontalCentered="1" verticalCentered="1" gridLines="1"/>
  <pageMargins left="0.5" right="0.5" top="0.5" bottom="0.25" header="0" footer="0"/>
  <pageSetup scale="66" orientation="landscape" r:id="rId1"/>
  <headerFooter alignWithMargins="0">
    <oddHeader>&amp;LFAX-425-487-1568&amp;CTIMESHEET</oddHeader>
  </headerFooter>
  <colBreaks count="1" manualBreakCount="1">
    <brk id="21" max="68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3"/>
  <sheetViews>
    <sheetView workbookViewId="0">
      <selection activeCell="J23" sqref="J23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134</v>
      </c>
      <c r="D1" s="176"/>
      <c r="E1" s="176"/>
      <c r="F1" s="174" t="s">
        <v>133</v>
      </c>
      <c r="G1" s="176"/>
      <c r="H1" s="176"/>
      <c r="I1" s="165" t="s">
        <v>132</v>
      </c>
      <c r="J1" s="166"/>
      <c r="K1" s="166"/>
      <c r="L1" s="179" t="s">
        <v>131</v>
      </c>
      <c r="M1" s="179"/>
      <c r="N1" s="179"/>
      <c r="O1" s="179"/>
      <c r="P1" s="179"/>
      <c r="Q1" s="179"/>
      <c r="R1" s="175" t="s">
        <v>130</v>
      </c>
      <c r="S1" s="175"/>
      <c r="T1" s="175"/>
      <c r="U1" s="109"/>
      <c r="V1" s="112"/>
    </row>
    <row r="2" spans="1:25" ht="24" customHeight="1" thickBot="1" x14ac:dyDescent="0.25">
      <c r="A2" s="103"/>
      <c r="B2" s="110" t="s">
        <v>129</v>
      </c>
      <c r="C2" s="175" t="s">
        <v>128</v>
      </c>
      <c r="D2" s="175"/>
      <c r="E2" s="175"/>
      <c r="F2" s="174" t="s">
        <v>127</v>
      </c>
      <c r="G2" s="176"/>
      <c r="H2" s="176"/>
      <c r="I2" s="167"/>
      <c r="J2" s="167"/>
      <c r="K2" s="167"/>
      <c r="L2" s="174" t="s">
        <v>126</v>
      </c>
      <c r="M2" s="175"/>
      <c r="N2" s="175"/>
      <c r="O2" s="174" t="s">
        <v>125</v>
      </c>
      <c r="P2" s="174"/>
      <c r="Q2" s="174"/>
      <c r="R2" s="175" t="s">
        <v>124</v>
      </c>
      <c r="S2" s="175"/>
      <c r="T2" s="175"/>
      <c r="U2" s="109"/>
      <c r="V2" s="112"/>
    </row>
    <row r="3" spans="1:25" ht="24" customHeight="1" x14ac:dyDescent="0.2">
      <c r="A3" s="103"/>
      <c r="B3" s="110" t="s">
        <v>123</v>
      </c>
      <c r="C3" s="174" t="s">
        <v>122</v>
      </c>
      <c r="D3" s="174"/>
      <c r="E3" s="174"/>
      <c r="F3" s="174" t="s">
        <v>121</v>
      </c>
      <c r="G3" s="176"/>
      <c r="H3" s="176"/>
      <c r="I3" s="168" t="s">
        <v>120</v>
      </c>
      <c r="J3" s="169"/>
      <c r="K3" s="170"/>
      <c r="L3" s="174" t="s">
        <v>119</v>
      </c>
      <c r="M3" s="175"/>
      <c r="N3" s="175"/>
      <c r="O3" s="174" t="s">
        <v>118</v>
      </c>
      <c r="P3" s="174"/>
      <c r="Q3" s="174"/>
      <c r="R3" s="175" t="s">
        <v>117</v>
      </c>
      <c r="S3" s="175"/>
      <c r="T3" s="175"/>
      <c r="U3" s="109"/>
      <c r="V3" s="111"/>
    </row>
    <row r="4" spans="1:25" ht="24" customHeight="1" thickBot="1" x14ac:dyDescent="0.25">
      <c r="A4" s="103"/>
      <c r="B4" s="110" t="s">
        <v>116</v>
      </c>
      <c r="C4" s="174" t="s">
        <v>115</v>
      </c>
      <c r="D4" s="176"/>
      <c r="E4" s="176"/>
      <c r="F4" s="174"/>
      <c r="G4" s="176"/>
      <c r="H4" s="176"/>
      <c r="I4" s="171" t="s">
        <v>113</v>
      </c>
      <c r="J4" s="172"/>
      <c r="K4" s="173"/>
      <c r="L4" s="174" t="s">
        <v>112</v>
      </c>
      <c r="M4" s="175"/>
      <c r="N4" s="175"/>
      <c r="O4" s="178" t="s">
        <v>111</v>
      </c>
      <c r="P4" s="178"/>
      <c r="Q4" s="178"/>
      <c r="R4" s="177" t="s">
        <v>161</v>
      </c>
      <c r="S4" s="177"/>
      <c r="T4" s="177"/>
      <c r="U4" s="109"/>
      <c r="V4" s="89"/>
    </row>
    <row r="5" spans="1:25" ht="24" customHeight="1" thickBot="1" x14ac:dyDescent="0.25">
      <c r="A5" s="180"/>
      <c r="B5" s="181" t="s">
        <v>97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42523</v>
      </c>
      <c r="D6" s="107"/>
      <c r="E6" s="107"/>
      <c r="F6" s="107">
        <f>C6+1</f>
        <v>42524</v>
      </c>
      <c r="G6" s="107"/>
      <c r="H6" s="107"/>
      <c r="I6" s="107">
        <f>F6+3</f>
        <v>42527</v>
      </c>
      <c r="J6" s="107"/>
      <c r="K6" s="107"/>
      <c r="L6" s="107">
        <f>I6+1</f>
        <v>42528</v>
      </c>
      <c r="M6" s="107"/>
      <c r="N6" s="107"/>
      <c r="O6" s="107">
        <f>L6+1</f>
        <v>42529</v>
      </c>
      <c r="P6" s="107"/>
      <c r="Q6" s="107"/>
      <c r="R6" s="107">
        <f>F6+1</f>
        <v>42525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 t="s">
        <v>110</v>
      </c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81"/>
      <c r="C8" s="79"/>
      <c r="D8" s="80"/>
      <c r="E8" s="79"/>
      <c r="F8" s="79"/>
      <c r="G8" s="80"/>
      <c r="H8" s="79"/>
      <c r="I8" s="79"/>
      <c r="J8" s="80"/>
      <c r="K8" s="79"/>
      <c r="L8" s="79"/>
      <c r="M8" s="80"/>
      <c r="N8" s="79"/>
      <c r="O8" s="79"/>
      <c r="P8" s="80"/>
      <c r="Q8" s="79"/>
      <c r="R8" s="102"/>
      <c r="S8" s="102"/>
      <c r="T8" s="102"/>
      <c r="U8" s="75">
        <f>SUM(B8,E8,H8,K8,N8,Q8,T8)</f>
        <v>0</v>
      </c>
      <c r="V8" s="94"/>
      <c r="W8" s="98"/>
    </row>
    <row r="9" spans="1:25" customFormat="1" ht="24" customHeight="1" x14ac:dyDescent="0.2">
      <c r="A9" s="121"/>
      <c r="B9" s="122" t="s">
        <v>108</v>
      </c>
      <c r="C9" s="117">
        <v>2023</v>
      </c>
      <c r="D9" s="118">
        <v>120</v>
      </c>
      <c r="E9" s="117">
        <v>6</v>
      </c>
      <c r="F9" s="117">
        <v>2027</v>
      </c>
      <c r="G9" s="118">
        <v>110</v>
      </c>
      <c r="H9" s="117">
        <v>2</v>
      </c>
      <c r="I9" s="117">
        <v>2027</v>
      </c>
      <c r="J9" s="118">
        <v>110</v>
      </c>
      <c r="K9" s="117">
        <v>1</v>
      </c>
      <c r="L9" s="117">
        <v>2023</v>
      </c>
      <c r="M9" s="118">
        <v>120</v>
      </c>
      <c r="N9" s="117">
        <v>2</v>
      </c>
      <c r="O9" s="117">
        <v>2023</v>
      </c>
      <c r="P9" s="118">
        <v>130</v>
      </c>
      <c r="Q9" s="117">
        <v>4</v>
      </c>
      <c r="R9" s="117"/>
      <c r="S9" s="119"/>
      <c r="T9" s="120"/>
      <c r="U9" s="123">
        <f t="shared" ref="U9:U12" si="0">SUM(B9,E9,H9,K9,N9,Q9,T9)</f>
        <v>15</v>
      </c>
      <c r="V9" s="124"/>
      <c r="W9" s="45"/>
      <c r="X9" s="186"/>
      <c r="Y9" s="187"/>
    </row>
    <row r="10" spans="1:25" customFormat="1" ht="24" customHeight="1" x14ac:dyDescent="0.2">
      <c r="A10" s="121"/>
      <c r="B10" s="122"/>
      <c r="C10" s="117">
        <v>2023</v>
      </c>
      <c r="D10" s="118">
        <v>151</v>
      </c>
      <c r="E10" s="117">
        <v>2</v>
      </c>
      <c r="F10" s="117">
        <v>2023</v>
      </c>
      <c r="G10" s="118">
        <v>142</v>
      </c>
      <c r="H10" s="117">
        <v>5</v>
      </c>
      <c r="I10" s="117">
        <v>2023</v>
      </c>
      <c r="J10" s="118">
        <v>142</v>
      </c>
      <c r="K10" s="117">
        <v>3</v>
      </c>
      <c r="L10" s="117"/>
      <c r="M10" s="118">
        <v>111</v>
      </c>
      <c r="N10" s="117">
        <v>2</v>
      </c>
      <c r="O10" s="117"/>
      <c r="P10" s="118">
        <v>120</v>
      </c>
      <c r="Q10" s="117">
        <v>2</v>
      </c>
      <c r="R10" s="117"/>
      <c r="S10" s="119"/>
      <c r="T10" s="120"/>
      <c r="U10" s="123">
        <f t="shared" si="0"/>
        <v>14</v>
      </c>
      <c r="V10" s="124"/>
      <c r="W10" s="45"/>
      <c r="X10" s="186"/>
      <c r="Y10" s="187"/>
    </row>
    <row r="11" spans="1:25" customFormat="1" ht="24" customHeight="1" x14ac:dyDescent="0.2">
      <c r="A11" s="121"/>
      <c r="B11" s="122"/>
      <c r="C11" s="117"/>
      <c r="D11" s="118"/>
      <c r="E11" s="117"/>
      <c r="F11" s="117">
        <v>2023</v>
      </c>
      <c r="G11" s="118">
        <v>151</v>
      </c>
      <c r="H11" s="117">
        <v>1</v>
      </c>
      <c r="I11" s="117">
        <v>2023</v>
      </c>
      <c r="J11" s="118">
        <v>151</v>
      </c>
      <c r="K11" s="117">
        <v>4</v>
      </c>
      <c r="L11" s="117"/>
      <c r="M11" s="118">
        <v>140</v>
      </c>
      <c r="N11" s="117">
        <v>2</v>
      </c>
      <c r="O11" s="117"/>
      <c r="P11" s="118">
        <v>140</v>
      </c>
      <c r="Q11" s="117">
        <v>2</v>
      </c>
      <c r="R11" s="117"/>
      <c r="S11" s="119"/>
      <c r="T11" s="120"/>
      <c r="U11" s="123">
        <f t="shared" si="0"/>
        <v>9</v>
      </c>
      <c r="V11" s="124"/>
      <c r="W11" s="45"/>
      <c r="X11" s="186"/>
      <c r="Y11" s="187"/>
    </row>
    <row r="12" spans="1:25" customFormat="1" ht="24" customHeight="1" x14ac:dyDescent="0.2">
      <c r="A12" s="121"/>
      <c r="B12" s="121"/>
      <c r="C12" s="117"/>
      <c r="D12" s="118"/>
      <c r="E12" s="117"/>
      <c r="F12" s="117"/>
      <c r="G12" s="118"/>
      <c r="H12" s="117"/>
      <c r="I12" s="117"/>
      <c r="J12" s="118"/>
      <c r="K12" s="117"/>
      <c r="L12" s="117"/>
      <c r="M12" s="118">
        <v>130</v>
      </c>
      <c r="N12" s="117">
        <v>2</v>
      </c>
      <c r="O12" s="117"/>
      <c r="P12" s="118"/>
      <c r="Q12" s="117"/>
      <c r="R12" s="117"/>
      <c r="S12" s="119"/>
      <c r="T12" s="120"/>
      <c r="U12" s="123">
        <f t="shared" si="0"/>
        <v>2</v>
      </c>
      <c r="V12" s="124"/>
      <c r="W12" s="45"/>
      <c r="X12" s="186"/>
      <c r="Y12" s="187"/>
    </row>
    <row r="13" spans="1:25" ht="24" customHeight="1" x14ac:dyDescent="0.2">
      <c r="A13" s="103"/>
      <c r="B13" s="81" t="s">
        <v>109</v>
      </c>
      <c r="C13" s="79">
        <v>2023</v>
      </c>
      <c r="D13" s="80">
        <v>151</v>
      </c>
      <c r="E13" s="79">
        <v>8</v>
      </c>
      <c r="F13" s="79">
        <v>2023</v>
      </c>
      <c r="G13" s="80">
        <v>151</v>
      </c>
      <c r="H13" s="79">
        <v>8</v>
      </c>
      <c r="I13" s="79">
        <v>2023</v>
      </c>
      <c r="J13" s="80">
        <v>120</v>
      </c>
      <c r="K13" s="79">
        <v>8</v>
      </c>
      <c r="L13" s="79">
        <v>2023</v>
      </c>
      <c r="M13" s="80">
        <v>120</v>
      </c>
      <c r="N13" s="79">
        <v>8</v>
      </c>
      <c r="O13" s="79">
        <v>2023</v>
      </c>
      <c r="P13" s="80">
        <v>120</v>
      </c>
      <c r="Q13" s="79">
        <v>8</v>
      </c>
      <c r="R13" s="102"/>
      <c r="S13" s="102"/>
      <c r="T13" s="102"/>
      <c r="U13" s="75">
        <f t="shared" ref="U13:U34" si="1">SUM(B13,E13,H13,K13,N13,Q13,T13)</f>
        <v>40</v>
      </c>
      <c r="V13" s="100"/>
      <c r="W13" s="98"/>
    </row>
    <row r="14" spans="1:25" ht="24" customHeight="1" x14ac:dyDescent="0.2">
      <c r="A14" s="91"/>
      <c r="B14" s="81"/>
      <c r="C14" s="79"/>
      <c r="D14" s="80"/>
      <c r="E14" s="79"/>
      <c r="F14" s="79"/>
      <c r="G14" s="80"/>
      <c r="H14" s="79"/>
      <c r="I14" s="79"/>
      <c r="J14" s="80"/>
      <c r="K14" s="79"/>
      <c r="L14" s="79"/>
      <c r="M14" s="80"/>
      <c r="N14" s="79"/>
      <c r="O14" s="79"/>
      <c r="P14" s="80"/>
      <c r="Q14" s="79"/>
      <c r="R14" s="79"/>
      <c r="S14" s="80"/>
      <c r="T14" s="79"/>
      <c r="U14" s="75">
        <f t="shared" si="1"/>
        <v>0</v>
      </c>
      <c r="V14" s="94"/>
      <c r="W14" s="98"/>
      <c r="X14" s="184"/>
      <c r="Y14" s="185"/>
    </row>
    <row r="15" spans="1:25" ht="24" customHeight="1" x14ac:dyDescent="0.2">
      <c r="A15" s="91"/>
      <c r="B15" s="81" t="s">
        <v>106</v>
      </c>
      <c r="C15" s="79">
        <v>2023</v>
      </c>
      <c r="D15" s="80">
        <v>151</v>
      </c>
      <c r="E15" s="79">
        <v>8</v>
      </c>
      <c r="F15" s="79">
        <v>2023</v>
      </c>
      <c r="G15" s="80">
        <v>151</v>
      </c>
      <c r="H15" s="79">
        <v>8</v>
      </c>
      <c r="I15" s="79">
        <v>2023</v>
      </c>
      <c r="J15" s="80">
        <v>151</v>
      </c>
      <c r="K15" s="79">
        <v>4</v>
      </c>
      <c r="L15" s="79">
        <v>2023</v>
      </c>
      <c r="M15" s="80">
        <v>120</v>
      </c>
      <c r="N15" s="79">
        <v>8</v>
      </c>
      <c r="O15" s="79">
        <v>2023</v>
      </c>
      <c r="P15" s="80">
        <v>120</v>
      </c>
      <c r="Q15" s="79">
        <v>8</v>
      </c>
      <c r="R15" s="79"/>
      <c r="S15" s="80"/>
      <c r="T15" s="79"/>
      <c r="U15" s="75">
        <f t="shared" si="1"/>
        <v>36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86"/>
      <c r="D16" s="87"/>
      <c r="E16" s="86"/>
      <c r="F16" s="79"/>
      <c r="G16" s="80"/>
      <c r="H16" s="79"/>
      <c r="I16" s="79">
        <v>2023</v>
      </c>
      <c r="J16" s="80">
        <v>120</v>
      </c>
      <c r="K16" s="79">
        <v>4</v>
      </c>
      <c r="L16" s="79"/>
      <c r="M16" s="114"/>
      <c r="N16" s="79"/>
      <c r="O16" s="79"/>
      <c r="P16" s="80"/>
      <c r="Q16" s="79"/>
      <c r="R16" s="79"/>
      <c r="S16" s="80"/>
      <c r="T16" s="79"/>
      <c r="U16" s="75">
        <f t="shared" si="1"/>
        <v>4</v>
      </c>
      <c r="V16" s="94"/>
      <c r="W16" s="98"/>
      <c r="X16" s="184"/>
      <c r="Y16" s="185"/>
    </row>
    <row r="17" spans="1:25" ht="24" customHeight="1" x14ac:dyDescent="0.2">
      <c r="A17" s="91"/>
      <c r="B17" s="91" t="s">
        <v>105</v>
      </c>
      <c r="C17" s="79">
        <v>2023</v>
      </c>
      <c r="D17" s="80">
        <v>140</v>
      </c>
      <c r="E17" s="79">
        <v>8</v>
      </c>
      <c r="F17" s="79">
        <v>2023</v>
      </c>
      <c r="G17" s="80">
        <v>140</v>
      </c>
      <c r="H17" s="79">
        <v>8</v>
      </c>
      <c r="I17" s="86" t="s">
        <v>85</v>
      </c>
      <c r="J17" s="80"/>
      <c r="K17" s="79"/>
      <c r="L17" s="79">
        <v>2023</v>
      </c>
      <c r="M17" s="80">
        <v>140</v>
      </c>
      <c r="N17" s="79">
        <v>8</v>
      </c>
      <c r="O17" s="79">
        <v>2023</v>
      </c>
      <c r="P17" s="80">
        <v>140</v>
      </c>
      <c r="Q17" s="79">
        <v>8</v>
      </c>
      <c r="R17" s="90"/>
      <c r="S17" s="80"/>
      <c r="T17" s="79"/>
      <c r="U17" s="75">
        <f t="shared" si="1"/>
        <v>32</v>
      </c>
      <c r="V17" s="94"/>
      <c r="W17" s="98"/>
      <c r="X17" s="184"/>
      <c r="Y17" s="185"/>
    </row>
    <row r="18" spans="1:25" ht="24" customHeight="1" x14ac:dyDescent="0.2">
      <c r="A18" s="91"/>
      <c r="B18" s="99"/>
      <c r="C18" s="79"/>
      <c r="D18" s="80"/>
      <c r="E18" s="79"/>
      <c r="F18" s="79"/>
      <c r="G18" s="80"/>
      <c r="H18" s="79"/>
      <c r="I18" s="86"/>
      <c r="J18" s="80"/>
      <c r="K18" s="79"/>
      <c r="L18" s="79"/>
      <c r="M18" s="80"/>
      <c r="N18" s="79"/>
      <c r="O18" s="79"/>
      <c r="P18" s="80"/>
      <c r="Q18" s="79"/>
      <c r="R18" s="79"/>
      <c r="S18" s="80"/>
      <c r="T18" s="79"/>
      <c r="U18" s="75">
        <f t="shared" si="1"/>
        <v>0</v>
      </c>
      <c r="V18" s="94"/>
      <c r="W18" s="98"/>
      <c r="X18" s="184"/>
      <c r="Y18" s="185"/>
    </row>
    <row r="19" spans="1:25" ht="24" customHeight="1" x14ac:dyDescent="0.2">
      <c r="A19" s="91"/>
      <c r="B19" s="91" t="s">
        <v>104</v>
      </c>
      <c r="C19" s="79">
        <v>2023</v>
      </c>
      <c r="D19" s="80">
        <v>151</v>
      </c>
      <c r="E19" s="79">
        <v>8</v>
      </c>
      <c r="F19" s="86" t="s">
        <v>85</v>
      </c>
      <c r="G19" s="80"/>
      <c r="H19" s="79"/>
      <c r="I19" s="86" t="s">
        <v>85</v>
      </c>
      <c r="J19" s="80"/>
      <c r="K19" s="79"/>
      <c r="L19" s="79">
        <v>2023</v>
      </c>
      <c r="M19" s="80">
        <v>130</v>
      </c>
      <c r="N19" s="79">
        <v>8</v>
      </c>
      <c r="O19" s="79">
        <v>2023</v>
      </c>
      <c r="P19" s="80">
        <v>120</v>
      </c>
      <c r="Q19" s="79">
        <v>4</v>
      </c>
      <c r="R19" s="79"/>
      <c r="S19" s="80"/>
      <c r="T19" s="79"/>
      <c r="U19" s="75">
        <f t="shared" si="1"/>
        <v>20</v>
      </c>
      <c r="V19" s="94"/>
      <c r="W19" s="98"/>
      <c r="X19" s="184"/>
      <c r="Y19" s="185"/>
    </row>
    <row r="20" spans="1:25" ht="24" customHeight="1" x14ac:dyDescent="0.2">
      <c r="A20" s="91"/>
      <c r="B20" s="91"/>
      <c r="C20" s="79"/>
      <c r="D20" s="80"/>
      <c r="E20" s="79"/>
      <c r="F20" s="79"/>
      <c r="G20" s="80"/>
      <c r="H20" s="79"/>
      <c r="I20" s="79"/>
      <c r="J20" s="80"/>
      <c r="K20" s="79"/>
      <c r="L20" s="79"/>
      <c r="M20" s="80"/>
      <c r="N20" s="79"/>
      <c r="O20" s="79">
        <v>2023</v>
      </c>
      <c r="P20" s="80">
        <v>151</v>
      </c>
      <c r="Q20" s="79">
        <v>4</v>
      </c>
      <c r="R20" s="79"/>
      <c r="S20" s="80"/>
      <c r="T20" s="79"/>
      <c r="U20" s="75">
        <f t="shared" si="1"/>
        <v>4</v>
      </c>
      <c r="V20" s="94"/>
      <c r="W20" s="98"/>
      <c r="X20" s="184"/>
      <c r="Y20" s="185"/>
    </row>
    <row r="21" spans="1:25" ht="24" customHeight="1" x14ac:dyDescent="0.2">
      <c r="A21" s="91"/>
      <c r="B21" s="81" t="s">
        <v>101</v>
      </c>
      <c r="C21" s="79">
        <v>2023</v>
      </c>
      <c r="D21" s="80">
        <v>140</v>
      </c>
      <c r="E21" s="79">
        <v>8</v>
      </c>
      <c r="F21" s="79">
        <v>2023</v>
      </c>
      <c r="G21" s="80">
        <v>140</v>
      </c>
      <c r="H21" s="79">
        <v>8</v>
      </c>
      <c r="I21" s="86" t="s">
        <v>160</v>
      </c>
      <c r="J21" s="80"/>
      <c r="K21" s="79"/>
      <c r="L21" s="79">
        <v>2023</v>
      </c>
      <c r="M21" s="80">
        <v>140</v>
      </c>
      <c r="N21" s="79">
        <v>8</v>
      </c>
      <c r="O21" s="79">
        <v>2023</v>
      </c>
      <c r="P21" s="80">
        <v>140</v>
      </c>
      <c r="Q21" s="79">
        <v>8</v>
      </c>
      <c r="R21" s="79"/>
      <c r="S21" s="80"/>
      <c r="T21" s="79"/>
      <c r="U21" s="75">
        <f t="shared" si="1"/>
        <v>32</v>
      </c>
      <c r="V21" s="94"/>
      <c r="W21" s="98"/>
      <c r="X21" s="184"/>
      <c r="Y21" s="185"/>
    </row>
    <row r="22" spans="1:25" ht="24" customHeight="1" x14ac:dyDescent="0.2">
      <c r="A22" s="91"/>
      <c r="B22" s="91"/>
      <c r="C22" s="79"/>
      <c r="D22" s="80"/>
      <c r="E22" s="79"/>
      <c r="F22" s="79"/>
      <c r="G22" s="80"/>
      <c r="H22" s="79"/>
      <c r="I22" s="79"/>
      <c r="J22" s="80"/>
      <c r="K22" s="79"/>
      <c r="L22" s="79"/>
      <c r="M22" s="80"/>
      <c r="N22" s="79"/>
      <c r="O22" s="79"/>
      <c r="P22" s="80"/>
      <c r="Q22" s="79"/>
      <c r="R22" s="79"/>
      <c r="S22" s="80"/>
      <c r="T22" s="79"/>
      <c r="U22" s="75">
        <f t="shared" si="1"/>
        <v>0</v>
      </c>
      <c r="V22" s="94"/>
      <c r="W22" s="98"/>
      <c r="X22" s="184"/>
      <c r="Y22" s="185"/>
    </row>
    <row r="23" spans="1:25" ht="24" customHeight="1" x14ac:dyDescent="0.2">
      <c r="A23" s="91"/>
      <c r="B23" s="81" t="s">
        <v>155</v>
      </c>
      <c r="C23" s="79">
        <v>2023</v>
      </c>
      <c r="D23" s="80">
        <v>151</v>
      </c>
      <c r="E23" s="79">
        <v>8</v>
      </c>
      <c r="F23" s="79">
        <v>2023</v>
      </c>
      <c r="G23" s="80">
        <v>151</v>
      </c>
      <c r="H23" s="79">
        <v>8</v>
      </c>
      <c r="I23" s="79">
        <v>2023</v>
      </c>
      <c r="J23" s="80">
        <v>120</v>
      </c>
      <c r="K23" s="79">
        <v>8</v>
      </c>
      <c r="L23" s="79">
        <v>2023</v>
      </c>
      <c r="M23" s="80">
        <v>141</v>
      </c>
      <c r="N23" s="79">
        <v>8</v>
      </c>
      <c r="O23" s="79">
        <v>2023</v>
      </c>
      <c r="P23" s="80">
        <v>120</v>
      </c>
      <c r="Q23" s="79">
        <v>8</v>
      </c>
      <c r="R23" s="90"/>
      <c r="S23" s="80"/>
      <c r="T23" s="79"/>
      <c r="U23" s="75">
        <f t="shared" si="1"/>
        <v>40</v>
      </c>
      <c r="V23" s="94"/>
      <c r="W23" s="98"/>
      <c r="X23" s="184"/>
      <c r="Y23" s="185"/>
    </row>
    <row r="24" spans="1:25" ht="24" customHeight="1" x14ac:dyDescent="0.2">
      <c r="A24" s="92"/>
      <c r="B24" s="91"/>
      <c r="C24" s="79"/>
      <c r="D24" s="80"/>
      <c r="E24" s="79"/>
      <c r="F24" s="79"/>
      <c r="G24" s="80"/>
      <c r="H24" s="79"/>
      <c r="I24" s="79"/>
      <c r="J24" s="80"/>
      <c r="K24" s="79"/>
      <c r="L24" s="79"/>
      <c r="M24" s="80"/>
      <c r="N24" s="79"/>
      <c r="O24" s="79"/>
      <c r="P24" s="80"/>
      <c r="Q24" s="79"/>
      <c r="R24" s="79"/>
      <c r="S24" s="80"/>
      <c r="T24" s="79"/>
      <c r="U24" s="75">
        <f t="shared" si="1"/>
        <v>0</v>
      </c>
      <c r="V24" s="94"/>
      <c r="W24" s="98"/>
      <c r="X24" s="184"/>
      <c r="Y24" s="185"/>
    </row>
    <row r="25" spans="1:25" ht="24" customHeight="1" x14ac:dyDescent="0.2">
      <c r="A25" s="91"/>
      <c r="B25" s="81" t="s">
        <v>99</v>
      </c>
      <c r="C25" s="79">
        <v>2023</v>
      </c>
      <c r="D25" s="80">
        <v>141</v>
      </c>
      <c r="E25" s="79">
        <v>8</v>
      </c>
      <c r="F25" s="79">
        <v>2023</v>
      </c>
      <c r="G25" s="80">
        <v>141</v>
      </c>
      <c r="H25" s="79">
        <v>8</v>
      </c>
      <c r="I25" s="79">
        <v>2023</v>
      </c>
      <c r="J25" s="80">
        <v>120</v>
      </c>
      <c r="K25" s="79">
        <v>8</v>
      </c>
      <c r="L25" s="79">
        <v>2023</v>
      </c>
      <c r="M25" s="80">
        <v>141</v>
      </c>
      <c r="N25" s="86">
        <v>7.5</v>
      </c>
      <c r="O25" s="79">
        <v>2023</v>
      </c>
      <c r="P25" s="80">
        <v>141</v>
      </c>
      <c r="Q25" s="79">
        <v>8</v>
      </c>
      <c r="R25" s="79"/>
      <c r="S25" s="80"/>
      <c r="T25" s="79"/>
      <c r="U25" s="75">
        <f t="shared" si="1"/>
        <v>39.5</v>
      </c>
      <c r="V25" s="94"/>
      <c r="W25" s="98"/>
      <c r="X25" s="184"/>
      <c r="Y25" s="185"/>
    </row>
    <row r="26" spans="1:25" ht="24" customHeight="1" x14ac:dyDescent="0.2">
      <c r="A26" s="91"/>
      <c r="B26" s="91"/>
      <c r="C26" s="79"/>
      <c r="D26" s="80"/>
      <c r="E26" s="79"/>
      <c r="F26" s="79"/>
      <c r="G26" s="80"/>
      <c r="H26" s="79"/>
      <c r="I26" s="79"/>
      <c r="J26" s="80"/>
      <c r="K26" s="79"/>
      <c r="L26" s="86"/>
      <c r="M26" s="87" t="s">
        <v>100</v>
      </c>
      <c r="N26" s="86"/>
      <c r="O26" s="79"/>
      <c r="P26" s="80"/>
      <c r="Q26" s="79"/>
      <c r="R26" s="79"/>
      <c r="S26" s="80"/>
      <c r="T26" s="79"/>
      <c r="U26" s="75">
        <f t="shared" si="1"/>
        <v>0</v>
      </c>
      <c r="V26" s="89"/>
      <c r="W26" s="98"/>
      <c r="X26" s="184"/>
      <c r="Y26" s="185"/>
    </row>
    <row r="27" spans="1:25" ht="24" customHeight="1" x14ac:dyDescent="0.2">
      <c r="A27" s="91"/>
      <c r="B27" s="91" t="s">
        <v>140</v>
      </c>
      <c r="C27" s="79">
        <v>1002</v>
      </c>
      <c r="D27" s="80">
        <v>180</v>
      </c>
      <c r="E27" s="79">
        <v>8</v>
      </c>
      <c r="F27" s="79">
        <v>1002</v>
      </c>
      <c r="G27" s="80">
        <v>180</v>
      </c>
      <c r="H27" s="79">
        <v>8</v>
      </c>
      <c r="I27" s="86">
        <v>2023</v>
      </c>
      <c r="J27" s="87">
        <v>141</v>
      </c>
      <c r="K27" s="86">
        <v>8</v>
      </c>
      <c r="L27" s="86">
        <v>2023</v>
      </c>
      <c r="M27" s="87">
        <v>141</v>
      </c>
      <c r="N27" s="86">
        <v>7.5</v>
      </c>
      <c r="O27" s="86">
        <v>2023</v>
      </c>
      <c r="P27" s="87">
        <v>141</v>
      </c>
      <c r="Q27" s="86">
        <v>8</v>
      </c>
      <c r="R27" s="79"/>
      <c r="S27" s="80"/>
      <c r="T27" s="79"/>
      <c r="U27" s="75">
        <f t="shared" si="1"/>
        <v>39.5</v>
      </c>
      <c r="V27" s="89"/>
      <c r="W27" s="98"/>
      <c r="X27" s="184"/>
      <c r="Y27" s="185"/>
    </row>
    <row r="28" spans="1:25" ht="24" customHeight="1" x14ac:dyDescent="0.2">
      <c r="A28" s="91"/>
      <c r="B28" s="81"/>
      <c r="C28" s="79"/>
      <c r="D28" s="80"/>
      <c r="E28" s="79"/>
      <c r="F28" s="79"/>
      <c r="G28" s="80"/>
      <c r="H28" s="79"/>
      <c r="I28" s="79"/>
      <c r="J28" s="80"/>
      <c r="K28" s="79"/>
      <c r="L28" s="79"/>
      <c r="M28" s="80" t="s">
        <v>100</v>
      </c>
      <c r="N28" s="79"/>
      <c r="O28" s="79"/>
      <c r="P28" s="80"/>
      <c r="Q28" s="79"/>
      <c r="R28" s="79"/>
      <c r="S28" s="80"/>
      <c r="T28" s="79"/>
      <c r="U28" s="75">
        <f t="shared" si="1"/>
        <v>0</v>
      </c>
      <c r="V28" s="94"/>
      <c r="W28" s="98"/>
      <c r="X28" s="184"/>
      <c r="Y28" s="185"/>
    </row>
    <row r="29" spans="1:25" ht="24" customHeight="1" x14ac:dyDescent="0.2">
      <c r="A29" s="91"/>
      <c r="B29" s="91" t="s">
        <v>139</v>
      </c>
      <c r="C29" s="79">
        <v>2023</v>
      </c>
      <c r="D29" s="80">
        <v>141</v>
      </c>
      <c r="E29" s="79">
        <v>8</v>
      </c>
      <c r="F29" s="79">
        <v>2023</v>
      </c>
      <c r="G29" s="80">
        <v>141</v>
      </c>
      <c r="H29" s="79">
        <v>8</v>
      </c>
      <c r="I29" s="79">
        <v>2023</v>
      </c>
      <c r="J29" s="80">
        <v>141</v>
      </c>
      <c r="K29" s="79">
        <v>8</v>
      </c>
      <c r="L29" s="79">
        <v>2023</v>
      </c>
      <c r="M29" s="80">
        <v>141</v>
      </c>
      <c r="N29" s="86">
        <v>7.5</v>
      </c>
      <c r="O29" s="79">
        <v>2023</v>
      </c>
      <c r="P29" s="80">
        <v>141</v>
      </c>
      <c r="Q29" s="79">
        <v>8</v>
      </c>
      <c r="R29" s="79"/>
      <c r="S29" s="80"/>
      <c r="T29" s="79"/>
      <c r="U29" s="75">
        <f t="shared" si="1"/>
        <v>39.5</v>
      </c>
      <c r="V29" s="94"/>
    </row>
    <row r="30" spans="1:25" ht="24" customHeight="1" x14ac:dyDescent="0.2">
      <c r="A30" s="91"/>
      <c r="B30" s="81"/>
      <c r="C30" s="79"/>
      <c r="D30" s="80"/>
      <c r="E30" s="79"/>
      <c r="F30" s="79"/>
      <c r="G30" s="80"/>
      <c r="H30" s="79"/>
      <c r="I30" s="79"/>
      <c r="J30" s="80"/>
      <c r="K30" s="79"/>
      <c r="L30" s="86"/>
      <c r="M30" s="87" t="s">
        <v>100</v>
      </c>
      <c r="N30" s="86"/>
      <c r="O30" s="79"/>
      <c r="P30" s="80"/>
      <c r="Q30" s="79"/>
      <c r="R30" s="79"/>
      <c r="S30" s="80"/>
      <c r="T30" s="79"/>
      <c r="U30" s="75">
        <f t="shared" si="1"/>
        <v>0</v>
      </c>
      <c r="V30" s="94"/>
    </row>
    <row r="31" spans="1:25" ht="24" customHeight="1" x14ac:dyDescent="0.2">
      <c r="A31" s="91"/>
      <c r="B31" s="81" t="s">
        <v>90</v>
      </c>
      <c r="C31" s="79">
        <v>2023</v>
      </c>
      <c r="D31" s="80">
        <v>120</v>
      </c>
      <c r="E31" s="79">
        <v>6</v>
      </c>
      <c r="F31" s="79">
        <v>2023</v>
      </c>
      <c r="G31" s="80">
        <v>151</v>
      </c>
      <c r="H31" s="79">
        <v>8</v>
      </c>
      <c r="I31" s="79">
        <v>2023</v>
      </c>
      <c r="J31" s="80">
        <v>140</v>
      </c>
      <c r="K31" s="79">
        <v>4</v>
      </c>
      <c r="L31" s="79">
        <v>2023</v>
      </c>
      <c r="M31" s="80">
        <v>120</v>
      </c>
      <c r="N31" s="79">
        <v>8</v>
      </c>
      <c r="O31" s="79">
        <v>2023</v>
      </c>
      <c r="P31" s="80">
        <v>120</v>
      </c>
      <c r="Q31" s="79">
        <v>7</v>
      </c>
      <c r="R31" s="79"/>
      <c r="S31" s="80"/>
      <c r="T31" s="79"/>
      <c r="U31" s="75">
        <f t="shared" si="1"/>
        <v>33</v>
      </c>
      <c r="V31" s="94"/>
    </row>
    <row r="32" spans="1:25" ht="24" customHeight="1" x14ac:dyDescent="0.2">
      <c r="A32" s="91"/>
      <c r="B32" s="81"/>
      <c r="C32" s="79">
        <v>2023</v>
      </c>
      <c r="D32" s="80">
        <v>151</v>
      </c>
      <c r="E32" s="79">
        <v>2</v>
      </c>
      <c r="F32" s="79"/>
      <c r="G32" s="80"/>
      <c r="H32" s="79"/>
      <c r="I32" s="79">
        <v>2023</v>
      </c>
      <c r="J32" s="80">
        <v>151</v>
      </c>
      <c r="K32" s="79">
        <v>4</v>
      </c>
      <c r="L32" s="79"/>
      <c r="M32" s="80"/>
      <c r="N32" s="79"/>
      <c r="O32" s="79">
        <v>2023</v>
      </c>
      <c r="P32" s="80">
        <v>151</v>
      </c>
      <c r="Q32" s="79">
        <v>1</v>
      </c>
      <c r="R32" s="79"/>
      <c r="S32" s="80"/>
      <c r="T32" s="79"/>
      <c r="U32" s="75">
        <f t="shared" si="1"/>
        <v>7</v>
      </c>
      <c r="V32" s="94"/>
    </row>
    <row r="33" spans="1:25" ht="24" customHeight="1" x14ac:dyDescent="0.2">
      <c r="A33" s="91"/>
      <c r="B33" s="81" t="s">
        <v>89</v>
      </c>
      <c r="C33" s="79">
        <v>2023</v>
      </c>
      <c r="D33" s="80">
        <v>120</v>
      </c>
      <c r="E33" s="79">
        <v>8</v>
      </c>
      <c r="F33" s="86" t="s">
        <v>85</v>
      </c>
      <c r="G33" s="80"/>
      <c r="H33" s="79"/>
      <c r="I33" s="79">
        <v>2023</v>
      </c>
      <c r="J33" s="80">
        <v>140</v>
      </c>
      <c r="K33" s="79">
        <v>8</v>
      </c>
      <c r="L33" s="79">
        <v>2023</v>
      </c>
      <c r="M33" s="80">
        <v>120</v>
      </c>
      <c r="N33" s="79">
        <v>8</v>
      </c>
      <c r="O33" s="79">
        <v>2023</v>
      </c>
      <c r="P33" s="80">
        <v>120</v>
      </c>
      <c r="Q33" s="79">
        <v>8</v>
      </c>
      <c r="R33" s="88"/>
      <c r="S33" s="80"/>
      <c r="T33" s="79"/>
      <c r="U33" s="75">
        <f t="shared" si="1"/>
        <v>32</v>
      </c>
      <c r="V33" s="94"/>
    </row>
    <row r="34" spans="1:25" ht="24" customHeight="1" x14ac:dyDescent="0.2">
      <c r="A34" s="91"/>
      <c r="B34" s="81"/>
      <c r="C34" s="79"/>
      <c r="D34" s="80"/>
      <c r="E34" s="79"/>
      <c r="F34" s="79"/>
      <c r="G34" s="80"/>
      <c r="H34" s="79"/>
      <c r="I34" s="79"/>
      <c r="J34" s="80"/>
      <c r="K34" s="79"/>
      <c r="L34" s="79"/>
      <c r="M34" s="80"/>
      <c r="N34" s="79"/>
      <c r="O34" s="79"/>
      <c r="P34" s="80"/>
      <c r="Q34" s="79"/>
      <c r="R34" s="79"/>
      <c r="S34" s="80"/>
      <c r="T34" s="79"/>
      <c r="U34" s="75">
        <f t="shared" si="1"/>
        <v>0</v>
      </c>
      <c r="V34" s="94"/>
    </row>
    <row r="35" spans="1:25" customFormat="1" ht="24" customHeight="1" x14ac:dyDescent="0.2">
      <c r="A35" s="121"/>
      <c r="B35" s="122" t="s">
        <v>86</v>
      </c>
      <c r="C35" s="117">
        <v>2027</v>
      </c>
      <c r="D35" s="118">
        <v>112</v>
      </c>
      <c r="E35" s="125">
        <v>5.5</v>
      </c>
      <c r="F35" s="125" t="s">
        <v>85</v>
      </c>
      <c r="G35" s="118"/>
      <c r="H35" s="117"/>
      <c r="I35" s="117">
        <v>2023</v>
      </c>
      <c r="J35" s="118">
        <v>140</v>
      </c>
      <c r="K35" s="117">
        <v>8</v>
      </c>
      <c r="L35" s="117">
        <v>2023</v>
      </c>
      <c r="M35" s="118">
        <v>120</v>
      </c>
      <c r="N35" s="117">
        <v>8</v>
      </c>
      <c r="O35" s="117">
        <v>2023</v>
      </c>
      <c r="P35" s="118">
        <v>120</v>
      </c>
      <c r="Q35" s="117">
        <v>8</v>
      </c>
      <c r="R35" s="125"/>
      <c r="S35" s="129" t="s">
        <v>162</v>
      </c>
      <c r="T35" s="130"/>
      <c r="U35" s="123">
        <f t="shared" ref="U35:U36" si="2">SUM(B35,E35,H35,K35,N35,Q35,T35)</f>
        <v>29.5</v>
      </c>
      <c r="V35" s="124"/>
      <c r="W35" s="45"/>
      <c r="X35" s="186"/>
      <c r="Y35" s="187"/>
    </row>
    <row r="36" spans="1:25" customFormat="1" ht="24" customHeight="1" x14ac:dyDescent="0.2">
      <c r="A36" s="121"/>
      <c r="B36" s="127"/>
      <c r="C36" s="125"/>
      <c r="D36" s="126" t="s">
        <v>153</v>
      </c>
      <c r="E36" s="125"/>
      <c r="F36" s="125" t="s">
        <v>163</v>
      </c>
      <c r="G36" s="118"/>
      <c r="H36" s="117"/>
      <c r="I36" s="117"/>
      <c r="J36" s="118"/>
      <c r="K36" s="117"/>
      <c r="L36" s="117"/>
      <c r="M36" s="118"/>
      <c r="N36" s="117"/>
      <c r="O36" s="117"/>
      <c r="P36" s="118"/>
      <c r="Q36" s="117"/>
      <c r="R36" s="117"/>
      <c r="S36" s="119"/>
      <c r="T36" s="120"/>
      <c r="U36" s="123">
        <f t="shared" si="2"/>
        <v>0</v>
      </c>
      <c r="V36" s="124"/>
      <c r="W36" s="45"/>
      <c r="X36" s="186"/>
      <c r="Y36" s="187"/>
    </row>
    <row r="37" spans="1:25" ht="24" customHeight="1" x14ac:dyDescent="0.2">
      <c r="A37" s="91"/>
      <c r="B37" s="81"/>
      <c r="C37" s="79"/>
      <c r="D37" s="80"/>
      <c r="E37" s="79"/>
      <c r="F37" s="79"/>
      <c r="G37" s="80"/>
      <c r="H37" s="79"/>
      <c r="I37" s="79"/>
      <c r="J37" s="80"/>
      <c r="K37" s="79"/>
      <c r="L37" s="79"/>
      <c r="M37" s="80"/>
      <c r="N37" s="79"/>
      <c r="O37" s="79"/>
      <c r="P37" s="80"/>
      <c r="Q37" s="79"/>
      <c r="R37" s="79"/>
      <c r="S37" s="80"/>
      <c r="T37" s="79"/>
      <c r="U37" s="75">
        <f>SUM(B37,E37,H37,K37,N37,Q37,T37)</f>
        <v>0</v>
      </c>
      <c r="V37" s="94"/>
    </row>
    <row r="38" spans="1:25" ht="24" customHeight="1" x14ac:dyDescent="0.2">
      <c r="A38" s="72"/>
    </row>
    <row r="39" spans="1:25" ht="24" customHeight="1" x14ac:dyDescent="0.2">
      <c r="A39" s="72"/>
    </row>
    <row r="40" spans="1:25" ht="24" customHeight="1" x14ac:dyDescent="0.2">
      <c r="A40" s="72"/>
    </row>
    <row r="41" spans="1:25" ht="24" customHeight="1" x14ac:dyDescent="0.2">
      <c r="A41" s="72"/>
    </row>
    <row r="42" spans="1:25" ht="24" customHeight="1" x14ac:dyDescent="0.2">
      <c r="A42" s="72"/>
    </row>
    <row r="43" spans="1:25" ht="24" customHeight="1" x14ac:dyDescent="0.2">
      <c r="A43" s="72"/>
    </row>
    <row r="44" spans="1:25" ht="24" customHeight="1" x14ac:dyDescent="0.2">
      <c r="A44" s="72"/>
    </row>
    <row r="45" spans="1:25" ht="24" customHeight="1" x14ac:dyDescent="0.2">
      <c r="A45" s="72"/>
    </row>
    <row r="46" spans="1:25" ht="24" customHeight="1" x14ac:dyDescent="0.2">
      <c r="A46" s="72"/>
    </row>
    <row r="47" spans="1:25" ht="24" customHeight="1" x14ac:dyDescent="0.2">
      <c r="A47" s="72"/>
    </row>
    <row r="48" spans="1:25" ht="24" customHeight="1" x14ac:dyDescent="0.2">
      <c r="A48" s="72"/>
    </row>
    <row r="49" spans="1:1" ht="24" customHeight="1" x14ac:dyDescent="0.2">
      <c r="A49" s="72"/>
    </row>
    <row r="50" spans="1:1" ht="24" customHeight="1" x14ac:dyDescent="0.2">
      <c r="A50" s="72"/>
    </row>
    <row r="51" spans="1:1" ht="24" customHeight="1" x14ac:dyDescent="0.2">
      <c r="A51" s="72"/>
    </row>
    <row r="52" spans="1:1" ht="24" customHeight="1" x14ac:dyDescent="0.2">
      <c r="A52" s="72"/>
    </row>
    <row r="53" spans="1:1" ht="24" customHeight="1" x14ac:dyDescent="0.2">
      <c r="A53" s="72"/>
    </row>
    <row r="54" spans="1:1" ht="24" customHeight="1" x14ac:dyDescent="0.2">
      <c r="A54" s="72"/>
    </row>
    <row r="55" spans="1:1" ht="24" customHeight="1" x14ac:dyDescent="0.2">
      <c r="A55" s="72"/>
    </row>
    <row r="56" spans="1:1" ht="24" customHeight="1" x14ac:dyDescent="0.2">
      <c r="A56" s="72"/>
    </row>
    <row r="57" spans="1:1" ht="24" customHeight="1" x14ac:dyDescent="0.2">
      <c r="A57" s="72"/>
    </row>
    <row r="58" spans="1:1" ht="24" customHeight="1" x14ac:dyDescent="0.2">
      <c r="A58" s="72"/>
    </row>
    <row r="59" spans="1:1" ht="24" customHeight="1" x14ac:dyDescent="0.2">
      <c r="A59" s="72"/>
    </row>
    <row r="60" spans="1:1" ht="24" customHeight="1" x14ac:dyDescent="0.2">
      <c r="A60" s="72"/>
    </row>
    <row r="61" spans="1:1" ht="24" customHeight="1" x14ac:dyDescent="0.2">
      <c r="A61" s="72"/>
    </row>
    <row r="62" spans="1:1" ht="24" customHeight="1" x14ac:dyDescent="0.2">
      <c r="A62" s="72"/>
    </row>
    <row r="63" spans="1:1" ht="24" customHeight="1" x14ac:dyDescent="0.2">
      <c r="A63" s="72"/>
    </row>
    <row r="64" spans="1:1" ht="24" customHeight="1" x14ac:dyDescent="0.2">
      <c r="A64" s="72"/>
    </row>
    <row r="65" spans="1:1" ht="24" customHeight="1" x14ac:dyDescent="0.2">
      <c r="A65" s="72"/>
    </row>
    <row r="66" spans="1:1" ht="24" customHeight="1" x14ac:dyDescent="0.2">
      <c r="A66" s="72"/>
    </row>
    <row r="67" spans="1:1" ht="24" customHeight="1" x14ac:dyDescent="0.2">
      <c r="A67" s="72"/>
    </row>
    <row r="68" spans="1:1" ht="24" customHeight="1" x14ac:dyDescent="0.2">
      <c r="A68" s="72"/>
    </row>
    <row r="69" spans="1:1" ht="24" customHeight="1" x14ac:dyDescent="0.2">
      <c r="A69" s="72"/>
    </row>
    <row r="70" spans="1:1" ht="24" customHeight="1" x14ac:dyDescent="0.2">
      <c r="A70" s="72"/>
    </row>
    <row r="71" spans="1:1" ht="24" customHeight="1" x14ac:dyDescent="0.2">
      <c r="A71" s="72"/>
    </row>
    <row r="72" spans="1:1" ht="24" customHeight="1" x14ac:dyDescent="0.2">
      <c r="A72" s="72"/>
    </row>
    <row r="73" spans="1:1" ht="24" customHeight="1" x14ac:dyDescent="0.2">
      <c r="A73" s="72"/>
    </row>
    <row r="74" spans="1:1" ht="24" customHeight="1" x14ac:dyDescent="0.2">
      <c r="A74" s="72"/>
    </row>
    <row r="75" spans="1:1" ht="24" customHeight="1" x14ac:dyDescent="0.2">
      <c r="A75" s="72"/>
    </row>
    <row r="76" spans="1:1" x14ac:dyDescent="0.2">
      <c r="A76" s="72"/>
    </row>
    <row r="77" spans="1:1" x14ac:dyDescent="0.2">
      <c r="A77" s="72"/>
    </row>
    <row r="78" spans="1:1" x14ac:dyDescent="0.2">
      <c r="A78" s="72"/>
    </row>
    <row r="79" spans="1:1" x14ac:dyDescent="0.2">
      <c r="A79" s="72"/>
    </row>
    <row r="80" spans="1:1" x14ac:dyDescent="0.2">
      <c r="A80" s="72"/>
    </row>
    <row r="81" spans="1:1" x14ac:dyDescent="0.2">
      <c r="A81" s="72"/>
    </row>
    <row r="82" spans="1:1" x14ac:dyDescent="0.2">
      <c r="A82" s="72"/>
    </row>
    <row r="83" spans="1:1" x14ac:dyDescent="0.2">
      <c r="A83" s="72"/>
    </row>
    <row r="84" spans="1:1" x14ac:dyDescent="0.2">
      <c r="A84" s="72"/>
    </row>
    <row r="85" spans="1:1" x14ac:dyDescent="0.2">
      <c r="A85" s="72"/>
    </row>
    <row r="86" spans="1:1" x14ac:dyDescent="0.2">
      <c r="A86" s="72"/>
    </row>
    <row r="87" spans="1:1" x14ac:dyDescent="0.2">
      <c r="A87" s="72"/>
    </row>
    <row r="88" spans="1:1" x14ac:dyDescent="0.2">
      <c r="A88" s="72"/>
    </row>
    <row r="89" spans="1:1" x14ac:dyDescent="0.2">
      <c r="A89" s="72"/>
    </row>
    <row r="90" spans="1:1" x14ac:dyDescent="0.2">
      <c r="A90" s="72"/>
    </row>
    <row r="91" spans="1:1" x14ac:dyDescent="0.2">
      <c r="A91" s="72"/>
    </row>
    <row r="92" spans="1:1" x14ac:dyDescent="0.2">
      <c r="A92" s="72"/>
    </row>
    <row r="93" spans="1:1" x14ac:dyDescent="0.2">
      <c r="A93" s="72"/>
    </row>
    <row r="94" spans="1:1" x14ac:dyDescent="0.2">
      <c r="A94" s="72"/>
    </row>
    <row r="95" spans="1:1" x14ac:dyDescent="0.2">
      <c r="A95" s="72"/>
    </row>
    <row r="96" spans="1:1" x14ac:dyDescent="0.2">
      <c r="A96" s="72"/>
    </row>
    <row r="97" spans="1:1" x14ac:dyDescent="0.2">
      <c r="A97" s="72"/>
    </row>
    <row r="98" spans="1:1" x14ac:dyDescent="0.2">
      <c r="A98" s="72"/>
    </row>
    <row r="99" spans="1:1" x14ac:dyDescent="0.2">
      <c r="A99" s="72"/>
    </row>
    <row r="100" spans="1:1" x14ac:dyDescent="0.2">
      <c r="A100" s="72"/>
    </row>
    <row r="101" spans="1:1" x14ac:dyDescent="0.2">
      <c r="A101" s="72"/>
    </row>
    <row r="102" spans="1:1" x14ac:dyDescent="0.2">
      <c r="A102" s="72"/>
    </row>
    <row r="103" spans="1:1" x14ac:dyDescent="0.2">
      <c r="A103" s="72"/>
    </row>
  </sheetData>
  <sheetProtection formatCells="0" selectLockedCells="1" selectUnlockedCells="1"/>
  <mergeCells count="46">
    <mergeCell ref="X25:Y25"/>
    <mergeCell ref="X26:Y26"/>
    <mergeCell ref="X27:Y27"/>
    <mergeCell ref="X28:Y28"/>
    <mergeCell ref="X20:Y20"/>
    <mergeCell ref="X21:Y21"/>
    <mergeCell ref="X22:Y22"/>
    <mergeCell ref="X23:Y23"/>
    <mergeCell ref="X24:Y24"/>
    <mergeCell ref="X14:Y14"/>
    <mergeCell ref="X15:Y15"/>
    <mergeCell ref="X16:Y16"/>
    <mergeCell ref="L3:N3"/>
    <mergeCell ref="F4:H4"/>
    <mergeCell ref="X10:Y10"/>
    <mergeCell ref="X11:Y11"/>
    <mergeCell ref="X12:Y12"/>
    <mergeCell ref="O2:Q2"/>
    <mergeCell ref="O3:Q3"/>
    <mergeCell ref="O4:Q4"/>
    <mergeCell ref="L1:Q1"/>
    <mergeCell ref="A5:A6"/>
    <mergeCell ref="B5:T5"/>
    <mergeCell ref="C1:E1"/>
    <mergeCell ref="C2:E2"/>
    <mergeCell ref="C3:E3"/>
    <mergeCell ref="C4:E4"/>
    <mergeCell ref="F1:H1"/>
    <mergeCell ref="F2:H2"/>
    <mergeCell ref="F3:H3"/>
    <mergeCell ref="X35:Y35"/>
    <mergeCell ref="X36:Y36"/>
    <mergeCell ref="I1:K1"/>
    <mergeCell ref="I2:K2"/>
    <mergeCell ref="I3:K3"/>
    <mergeCell ref="I4:K4"/>
    <mergeCell ref="L2:N2"/>
    <mergeCell ref="X9:Y9"/>
    <mergeCell ref="X17:Y17"/>
    <mergeCell ref="X18:Y18"/>
    <mergeCell ref="X19:Y19"/>
    <mergeCell ref="R1:T1"/>
    <mergeCell ref="R2:T2"/>
    <mergeCell ref="R3:T3"/>
    <mergeCell ref="R4:T4"/>
    <mergeCell ref="L4:N4"/>
  </mergeCells>
  <printOptions horizontalCentered="1" verticalCentered="1" gridLines="1"/>
  <pageMargins left="0.5" right="0.5" top="0.5" bottom="0.25" header="0" footer="0"/>
  <pageSetup scale="61" orientation="landscape" r:id="rId1"/>
  <headerFooter alignWithMargins="0">
    <oddHeader>&amp;LFAX-425-487-1568&amp;CTIMESHEET</oddHeader>
  </headerFooter>
  <colBreaks count="1" manualBreakCount="1">
    <brk id="21" max="6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3"/>
  <sheetViews>
    <sheetView topLeftCell="A13" workbookViewId="0">
      <selection activeCell="J33" sqref="J33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134</v>
      </c>
      <c r="D1" s="176"/>
      <c r="E1" s="176"/>
      <c r="F1" s="174" t="s">
        <v>133</v>
      </c>
      <c r="G1" s="176"/>
      <c r="H1" s="176"/>
      <c r="I1" s="165" t="s">
        <v>132</v>
      </c>
      <c r="J1" s="166"/>
      <c r="K1" s="166"/>
      <c r="L1" s="179" t="s">
        <v>131</v>
      </c>
      <c r="M1" s="179"/>
      <c r="N1" s="179"/>
      <c r="O1" s="179"/>
      <c r="P1" s="179"/>
      <c r="Q1" s="179"/>
      <c r="R1" s="175" t="s">
        <v>130</v>
      </c>
      <c r="S1" s="175"/>
      <c r="T1" s="175"/>
      <c r="U1" s="109"/>
      <c r="V1" s="112"/>
    </row>
    <row r="2" spans="1:25" ht="24" customHeight="1" thickBot="1" x14ac:dyDescent="0.25">
      <c r="A2" s="103"/>
      <c r="B2" s="110" t="s">
        <v>129</v>
      </c>
      <c r="C2" s="175" t="s">
        <v>128</v>
      </c>
      <c r="D2" s="175"/>
      <c r="E2" s="175"/>
      <c r="F2" s="174" t="s">
        <v>127</v>
      </c>
      <c r="G2" s="176"/>
      <c r="H2" s="176"/>
      <c r="I2" s="167"/>
      <c r="J2" s="167"/>
      <c r="K2" s="167"/>
      <c r="L2" s="174" t="s">
        <v>126</v>
      </c>
      <c r="M2" s="175"/>
      <c r="N2" s="175"/>
      <c r="O2" s="174" t="s">
        <v>125</v>
      </c>
      <c r="P2" s="174"/>
      <c r="Q2" s="174"/>
      <c r="R2" s="175" t="s">
        <v>124</v>
      </c>
      <c r="S2" s="175"/>
      <c r="T2" s="175"/>
      <c r="U2" s="109"/>
      <c r="V2" s="112"/>
    </row>
    <row r="3" spans="1:25" ht="24" customHeight="1" x14ac:dyDescent="0.2">
      <c r="A3" s="103"/>
      <c r="B3" s="110" t="s">
        <v>123</v>
      </c>
      <c r="C3" s="174" t="s">
        <v>122</v>
      </c>
      <c r="D3" s="174"/>
      <c r="E3" s="174"/>
      <c r="F3" s="174" t="s">
        <v>121</v>
      </c>
      <c r="G3" s="176"/>
      <c r="H3" s="176"/>
      <c r="I3" s="168" t="s">
        <v>120</v>
      </c>
      <c r="J3" s="169"/>
      <c r="K3" s="170"/>
      <c r="L3" s="174" t="s">
        <v>119</v>
      </c>
      <c r="M3" s="175"/>
      <c r="N3" s="175"/>
      <c r="O3" s="174" t="s">
        <v>118</v>
      </c>
      <c r="P3" s="174"/>
      <c r="Q3" s="174"/>
      <c r="R3" s="175" t="s">
        <v>117</v>
      </c>
      <c r="S3" s="175"/>
      <c r="T3" s="175"/>
      <c r="U3" s="109"/>
      <c r="V3" s="111"/>
    </row>
    <row r="4" spans="1:25" ht="24" customHeight="1" thickBot="1" x14ac:dyDescent="0.25">
      <c r="A4" s="103"/>
      <c r="B4" s="110" t="s">
        <v>116</v>
      </c>
      <c r="C4" s="174" t="s">
        <v>115</v>
      </c>
      <c r="D4" s="176"/>
      <c r="E4" s="176"/>
      <c r="F4" s="174"/>
      <c r="G4" s="176"/>
      <c r="H4" s="176"/>
      <c r="I4" s="171" t="s">
        <v>113</v>
      </c>
      <c r="J4" s="172"/>
      <c r="K4" s="173"/>
      <c r="L4" s="174" t="s">
        <v>112</v>
      </c>
      <c r="M4" s="175"/>
      <c r="N4" s="175"/>
      <c r="O4" s="178" t="s">
        <v>111</v>
      </c>
      <c r="P4" s="178"/>
      <c r="Q4" s="178"/>
      <c r="R4" s="177" t="s">
        <v>161</v>
      </c>
      <c r="S4" s="177"/>
      <c r="T4" s="177"/>
      <c r="U4" s="109"/>
      <c r="V4" s="89"/>
    </row>
    <row r="5" spans="1:25" ht="24" customHeight="1" thickBot="1" x14ac:dyDescent="0.25">
      <c r="A5" s="180"/>
      <c r="B5" s="181" t="s">
        <v>97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42530</v>
      </c>
      <c r="D6" s="107"/>
      <c r="E6" s="107"/>
      <c r="F6" s="107">
        <f>C6+1</f>
        <v>42531</v>
      </c>
      <c r="G6" s="107"/>
      <c r="H6" s="107"/>
      <c r="I6" s="107">
        <f>F6+3</f>
        <v>42534</v>
      </c>
      <c r="J6" s="107"/>
      <c r="K6" s="107"/>
      <c r="L6" s="107">
        <f>I6+1</f>
        <v>42535</v>
      </c>
      <c r="M6" s="107"/>
      <c r="N6" s="107"/>
      <c r="O6" s="107">
        <f>L6+1</f>
        <v>42536</v>
      </c>
      <c r="P6" s="107"/>
      <c r="Q6" s="107"/>
      <c r="R6" s="107">
        <f>F6+1</f>
        <v>42532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 t="s">
        <v>110</v>
      </c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81"/>
      <c r="C8" s="79"/>
      <c r="D8" s="80"/>
      <c r="E8" s="79"/>
      <c r="F8" s="79"/>
      <c r="G8" s="80"/>
      <c r="H8" s="79"/>
      <c r="I8" s="79"/>
      <c r="J8" s="80"/>
      <c r="K8" s="79"/>
      <c r="L8" s="79"/>
      <c r="M8" s="80"/>
      <c r="N8" s="79"/>
      <c r="O8" s="79"/>
      <c r="P8" s="80"/>
      <c r="Q8" s="79"/>
      <c r="R8" s="102"/>
      <c r="S8" s="102"/>
      <c r="T8" s="102"/>
      <c r="U8" s="75">
        <f>SUM(B8,E8,H8,K8,N8,Q8,T8)</f>
        <v>0</v>
      </c>
      <c r="V8" s="94"/>
      <c r="W8" s="98"/>
    </row>
    <row r="9" spans="1:25" customFormat="1" ht="24" customHeight="1" x14ac:dyDescent="0.2">
      <c r="A9" s="121"/>
      <c r="B9" s="122" t="s">
        <v>108</v>
      </c>
      <c r="C9" s="117"/>
      <c r="D9" s="118"/>
      <c r="E9" s="117"/>
      <c r="F9" s="117"/>
      <c r="G9" s="118"/>
      <c r="H9" s="117"/>
      <c r="I9" s="117"/>
      <c r="J9" s="118"/>
      <c r="K9" s="117"/>
      <c r="L9" s="117"/>
      <c r="M9" s="118"/>
      <c r="N9" s="117"/>
      <c r="O9" s="117"/>
      <c r="P9" s="118"/>
      <c r="Q9" s="117"/>
      <c r="R9" s="117"/>
      <c r="S9" s="119"/>
      <c r="T9" s="120"/>
      <c r="U9" s="123">
        <f t="shared" ref="U9:U12" si="0">SUM(B9,E9,H9,K9,N9,Q9,T9)</f>
        <v>0</v>
      </c>
      <c r="V9" s="124"/>
      <c r="W9" s="45"/>
      <c r="X9" s="186"/>
      <c r="Y9" s="187"/>
    </row>
    <row r="10" spans="1:25" customFormat="1" ht="24" customHeight="1" x14ac:dyDescent="0.2">
      <c r="A10" s="121"/>
      <c r="B10" s="122"/>
      <c r="C10" s="117"/>
      <c r="D10" s="118"/>
      <c r="E10" s="117"/>
      <c r="F10" s="72"/>
      <c r="G10" s="118"/>
      <c r="H10" s="117"/>
      <c r="I10" s="125" t="s">
        <v>165</v>
      </c>
      <c r="J10" s="118"/>
      <c r="K10" s="117"/>
      <c r="L10" s="117"/>
      <c r="M10" s="118"/>
      <c r="N10" s="117"/>
      <c r="O10" s="117"/>
      <c r="P10" s="118"/>
      <c r="Q10" s="117"/>
      <c r="R10" s="117"/>
      <c r="S10" s="119"/>
      <c r="T10" s="120"/>
      <c r="U10" s="123">
        <f t="shared" si="0"/>
        <v>0</v>
      </c>
      <c r="V10" s="124"/>
      <c r="W10" s="45"/>
      <c r="X10" s="186"/>
      <c r="Y10" s="187"/>
    </row>
    <row r="11" spans="1:25" customFormat="1" ht="24" customHeight="1" x14ac:dyDescent="0.2">
      <c r="A11" s="121"/>
      <c r="B11" s="122"/>
      <c r="C11" s="117"/>
      <c r="D11" s="118"/>
      <c r="E11" s="117"/>
      <c r="F11" s="117"/>
      <c r="G11" s="118"/>
      <c r="H11" s="117"/>
      <c r="I11" s="117"/>
      <c r="J11" s="118"/>
      <c r="K11" s="117"/>
      <c r="L11" s="117"/>
      <c r="M11" s="118"/>
      <c r="N11" s="117"/>
      <c r="O11" s="117"/>
      <c r="P11" s="118"/>
      <c r="Q11" s="117"/>
      <c r="R11" s="117"/>
      <c r="S11" s="119"/>
      <c r="T11" s="120"/>
      <c r="U11" s="123">
        <f t="shared" si="0"/>
        <v>0</v>
      </c>
      <c r="V11" s="124"/>
      <c r="W11" s="45"/>
      <c r="X11" s="186"/>
      <c r="Y11" s="187"/>
    </row>
    <row r="12" spans="1:25" customFormat="1" ht="24" customHeight="1" x14ac:dyDescent="0.2">
      <c r="A12" s="121"/>
      <c r="B12" s="121"/>
      <c r="C12" s="117"/>
      <c r="D12" s="118"/>
      <c r="E12" s="117"/>
      <c r="F12" s="117"/>
      <c r="G12" s="118"/>
      <c r="H12" s="117"/>
      <c r="I12" s="117"/>
      <c r="J12" s="118"/>
      <c r="K12" s="117"/>
      <c r="L12" s="117"/>
      <c r="M12" s="118"/>
      <c r="N12" s="117"/>
      <c r="O12" s="117"/>
      <c r="P12" s="118"/>
      <c r="Q12" s="117"/>
      <c r="R12" s="117"/>
      <c r="S12" s="119"/>
      <c r="T12" s="120"/>
      <c r="U12" s="123">
        <f t="shared" si="0"/>
        <v>0</v>
      </c>
      <c r="V12" s="124"/>
      <c r="W12" s="45"/>
      <c r="X12" s="186"/>
      <c r="Y12" s="187"/>
    </row>
    <row r="13" spans="1:25" ht="24" customHeight="1" x14ac:dyDescent="0.2">
      <c r="A13" s="103"/>
      <c r="B13" s="81" t="s">
        <v>109</v>
      </c>
      <c r="C13" s="79"/>
      <c r="D13" s="80"/>
      <c r="E13" s="79"/>
      <c r="F13" s="79"/>
      <c r="G13" s="80"/>
      <c r="H13" s="79"/>
      <c r="I13" s="79"/>
      <c r="J13" s="80"/>
      <c r="K13" s="79"/>
      <c r="L13" s="79"/>
      <c r="M13" s="80"/>
      <c r="N13" s="79"/>
      <c r="O13" s="79"/>
      <c r="P13" s="80"/>
      <c r="Q13" s="79"/>
      <c r="R13" s="102"/>
      <c r="S13" s="102"/>
      <c r="T13" s="102"/>
      <c r="U13" s="75">
        <f t="shared" ref="U13:U34" si="1">SUM(B13,E13,H13,K13,N13,Q13,T13)</f>
        <v>0</v>
      </c>
      <c r="V13" s="100"/>
      <c r="W13" s="98"/>
    </row>
    <row r="14" spans="1:25" ht="24" customHeight="1" x14ac:dyDescent="0.2">
      <c r="A14" s="91"/>
      <c r="B14" s="81"/>
      <c r="C14" s="79"/>
      <c r="D14" s="80"/>
      <c r="E14" s="79"/>
      <c r="F14" s="79"/>
      <c r="G14" s="80"/>
      <c r="H14" s="79"/>
      <c r="I14" s="79"/>
      <c r="J14" s="80"/>
      <c r="K14" s="79"/>
      <c r="L14" s="79"/>
      <c r="M14" s="80"/>
      <c r="N14" s="79"/>
      <c r="O14" s="79"/>
      <c r="P14" s="80"/>
      <c r="Q14" s="79"/>
      <c r="R14" s="79"/>
      <c r="S14" s="80"/>
      <c r="T14" s="79"/>
      <c r="U14" s="75">
        <f t="shared" si="1"/>
        <v>0</v>
      </c>
      <c r="V14" s="94"/>
      <c r="W14" s="98"/>
      <c r="X14" s="184"/>
      <c r="Y14" s="185"/>
    </row>
    <row r="15" spans="1:25" ht="24" customHeight="1" x14ac:dyDescent="0.2">
      <c r="A15" s="91"/>
      <c r="B15" s="81" t="s">
        <v>106</v>
      </c>
      <c r="C15" s="79"/>
      <c r="D15" s="80"/>
      <c r="E15" s="79"/>
      <c r="F15" s="79"/>
      <c r="G15" s="80"/>
      <c r="H15" s="79"/>
      <c r="I15" s="79"/>
      <c r="J15" s="80"/>
      <c r="K15" s="79"/>
      <c r="L15" s="79"/>
      <c r="M15" s="80"/>
      <c r="N15" s="79"/>
      <c r="O15" s="79"/>
      <c r="P15" s="80"/>
      <c r="Q15" s="79"/>
      <c r="R15" s="79"/>
      <c r="S15" s="80"/>
      <c r="T15" s="79"/>
      <c r="U15" s="75">
        <f t="shared" si="1"/>
        <v>0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86"/>
      <c r="D16" s="87"/>
      <c r="E16" s="86"/>
      <c r="F16" s="79"/>
      <c r="G16" s="80"/>
      <c r="H16" s="79"/>
      <c r="I16" s="79"/>
      <c r="J16" s="80"/>
      <c r="K16" s="79"/>
      <c r="L16" s="79"/>
      <c r="M16" s="114"/>
      <c r="N16" s="79"/>
      <c r="O16" s="79"/>
      <c r="P16" s="80"/>
      <c r="Q16" s="79"/>
      <c r="R16" s="79"/>
      <c r="S16" s="80"/>
      <c r="T16" s="79"/>
      <c r="U16" s="75">
        <f t="shared" si="1"/>
        <v>0</v>
      </c>
      <c r="V16" s="94"/>
      <c r="W16" s="98"/>
      <c r="X16" s="184"/>
      <c r="Y16" s="185"/>
    </row>
    <row r="17" spans="1:25" ht="24" customHeight="1" x14ac:dyDescent="0.2">
      <c r="A17" s="91"/>
      <c r="B17" s="91" t="s">
        <v>105</v>
      </c>
      <c r="C17" s="79"/>
      <c r="D17" s="80"/>
      <c r="E17" s="79"/>
      <c r="F17" s="79"/>
      <c r="G17" s="80"/>
      <c r="H17" s="79"/>
      <c r="I17" s="86"/>
      <c r="J17" s="80"/>
      <c r="K17" s="79"/>
      <c r="L17" s="79"/>
      <c r="M17" s="80"/>
      <c r="N17" s="79"/>
      <c r="O17" s="79"/>
      <c r="P17" s="80"/>
      <c r="Q17" s="79"/>
      <c r="R17" s="90"/>
      <c r="S17" s="80"/>
      <c r="T17" s="79"/>
      <c r="U17" s="75">
        <f t="shared" si="1"/>
        <v>0</v>
      </c>
      <c r="V17" s="94"/>
      <c r="W17" s="98"/>
      <c r="X17" s="184"/>
      <c r="Y17" s="185"/>
    </row>
    <row r="18" spans="1:25" ht="24" customHeight="1" x14ac:dyDescent="0.2">
      <c r="A18" s="91"/>
      <c r="B18" s="99"/>
      <c r="C18" s="79"/>
      <c r="D18" s="80"/>
      <c r="E18" s="79"/>
      <c r="F18" s="79"/>
      <c r="G18" s="80"/>
      <c r="H18" s="79"/>
      <c r="I18" s="86"/>
      <c r="J18" s="80"/>
      <c r="K18" s="79"/>
      <c r="L18" s="79"/>
      <c r="M18" s="80"/>
      <c r="N18" s="79"/>
      <c r="O18" s="79"/>
      <c r="P18" s="80"/>
      <c r="Q18" s="79"/>
      <c r="R18" s="79"/>
      <c r="S18" s="80"/>
      <c r="T18" s="79"/>
      <c r="U18" s="75">
        <f t="shared" si="1"/>
        <v>0</v>
      </c>
      <c r="V18" s="94"/>
      <c r="W18" s="98"/>
      <c r="X18" s="184"/>
      <c r="Y18" s="185"/>
    </row>
    <row r="19" spans="1:25" ht="24" customHeight="1" x14ac:dyDescent="0.2">
      <c r="A19" s="91"/>
      <c r="B19" s="91" t="s">
        <v>104</v>
      </c>
      <c r="C19" s="79">
        <v>2023</v>
      </c>
      <c r="D19" s="80">
        <v>151</v>
      </c>
      <c r="E19" s="79">
        <v>4</v>
      </c>
      <c r="F19" s="86"/>
      <c r="G19" s="80"/>
      <c r="H19" s="79"/>
      <c r="I19" s="86"/>
      <c r="J19" s="80"/>
      <c r="K19" s="79"/>
      <c r="L19" s="79"/>
      <c r="M19" s="80"/>
      <c r="N19" s="79"/>
      <c r="O19" s="79"/>
      <c r="P19" s="80"/>
      <c r="Q19" s="79"/>
      <c r="R19" s="79"/>
      <c r="S19" s="80"/>
      <c r="T19" s="79"/>
      <c r="U19" s="75">
        <f t="shared" si="1"/>
        <v>4</v>
      </c>
      <c r="V19" s="94"/>
      <c r="W19" s="98"/>
      <c r="X19" s="184"/>
      <c r="Y19" s="185"/>
    </row>
    <row r="20" spans="1:25" ht="24" customHeight="1" x14ac:dyDescent="0.2">
      <c r="A20" s="91"/>
      <c r="B20" s="91"/>
      <c r="C20" s="79"/>
      <c r="D20" s="80"/>
      <c r="E20" s="79"/>
      <c r="F20" s="79"/>
      <c r="G20" s="80"/>
      <c r="H20" s="79"/>
      <c r="I20" s="79"/>
      <c r="J20" s="80"/>
      <c r="K20" s="79"/>
      <c r="L20" s="79"/>
      <c r="M20" s="80"/>
      <c r="N20" s="79"/>
      <c r="O20" s="79"/>
      <c r="P20" s="80"/>
      <c r="Q20" s="79"/>
      <c r="R20" s="79"/>
      <c r="S20" s="80"/>
      <c r="T20" s="79"/>
      <c r="U20" s="75">
        <f t="shared" si="1"/>
        <v>0</v>
      </c>
      <c r="V20" s="94"/>
      <c r="W20" s="98"/>
      <c r="X20" s="184"/>
      <c r="Y20" s="185"/>
    </row>
    <row r="21" spans="1:25" ht="24" customHeight="1" x14ac:dyDescent="0.2">
      <c r="A21" s="91"/>
      <c r="B21" s="81" t="s">
        <v>101</v>
      </c>
      <c r="C21" s="79"/>
      <c r="D21" s="80"/>
      <c r="E21" s="79"/>
      <c r="F21" s="79"/>
      <c r="G21" s="80"/>
      <c r="H21" s="79"/>
      <c r="I21" s="86"/>
      <c r="J21" s="80"/>
      <c r="K21" s="79"/>
      <c r="L21" s="79"/>
      <c r="M21" s="80"/>
      <c r="N21" s="79"/>
      <c r="O21" s="79"/>
      <c r="P21" s="80"/>
      <c r="Q21" s="79"/>
      <c r="R21" s="79"/>
      <c r="S21" s="80"/>
      <c r="T21" s="79"/>
      <c r="U21" s="75">
        <f t="shared" si="1"/>
        <v>0</v>
      </c>
      <c r="V21" s="94"/>
      <c r="W21" s="98"/>
      <c r="X21" s="184"/>
      <c r="Y21" s="185"/>
    </row>
    <row r="22" spans="1:25" ht="24" customHeight="1" x14ac:dyDescent="0.2">
      <c r="A22" s="91"/>
      <c r="B22" s="91"/>
      <c r="C22" s="79"/>
      <c r="D22" s="80"/>
      <c r="E22" s="79"/>
      <c r="F22" s="79"/>
      <c r="G22" s="80"/>
      <c r="H22" s="79"/>
      <c r="I22" s="79"/>
      <c r="J22" s="80"/>
      <c r="K22" s="79"/>
      <c r="L22" s="79"/>
      <c r="M22" s="80"/>
      <c r="N22" s="79"/>
      <c r="O22" s="79"/>
      <c r="P22" s="80"/>
      <c r="Q22" s="79"/>
      <c r="R22" s="79"/>
      <c r="S22" s="80"/>
      <c r="T22" s="79"/>
      <c r="U22" s="75">
        <f t="shared" si="1"/>
        <v>0</v>
      </c>
      <c r="V22" s="94"/>
      <c r="W22" s="98"/>
      <c r="X22" s="184"/>
      <c r="Y22" s="185"/>
    </row>
    <row r="23" spans="1:25" ht="24" customHeight="1" x14ac:dyDescent="0.2">
      <c r="A23" s="91"/>
      <c r="B23" s="81" t="s">
        <v>155</v>
      </c>
      <c r="C23" s="79"/>
      <c r="D23" s="80"/>
      <c r="E23" s="79"/>
      <c r="F23" s="79"/>
      <c r="G23" s="80"/>
      <c r="H23" s="79"/>
      <c r="I23" s="79"/>
      <c r="J23" s="80"/>
      <c r="K23" s="79"/>
      <c r="L23" s="79"/>
      <c r="M23" s="80"/>
      <c r="N23" s="79"/>
      <c r="O23" s="79"/>
      <c r="P23" s="80"/>
      <c r="Q23" s="79"/>
      <c r="R23" s="90"/>
      <c r="S23" s="80"/>
      <c r="T23" s="79"/>
      <c r="U23" s="75">
        <f t="shared" si="1"/>
        <v>0</v>
      </c>
      <c r="V23" s="94"/>
      <c r="W23" s="98"/>
      <c r="X23" s="184"/>
      <c r="Y23" s="185"/>
    </row>
    <row r="24" spans="1:25" ht="24" customHeight="1" x14ac:dyDescent="0.2">
      <c r="A24" s="92"/>
      <c r="B24" s="91"/>
      <c r="C24" s="79"/>
      <c r="D24" s="80"/>
      <c r="E24" s="79"/>
      <c r="F24" s="79"/>
      <c r="G24" s="80"/>
      <c r="H24" s="79"/>
      <c r="I24" s="79"/>
      <c r="J24" s="80"/>
      <c r="K24" s="79"/>
      <c r="L24" s="79"/>
      <c r="M24" s="80"/>
      <c r="N24" s="79"/>
      <c r="O24" s="79"/>
      <c r="P24" s="80"/>
      <c r="Q24" s="79"/>
      <c r="R24" s="79"/>
      <c r="S24" s="80"/>
      <c r="T24" s="79"/>
      <c r="U24" s="75">
        <f t="shared" si="1"/>
        <v>0</v>
      </c>
      <c r="V24" s="94"/>
      <c r="W24" s="98"/>
      <c r="X24" s="184"/>
      <c r="Y24" s="185"/>
    </row>
    <row r="25" spans="1:25" ht="24" customHeight="1" x14ac:dyDescent="0.2">
      <c r="A25" s="91"/>
      <c r="B25" s="81" t="s">
        <v>99</v>
      </c>
      <c r="C25" s="79"/>
      <c r="D25" s="80"/>
      <c r="E25" s="79"/>
      <c r="F25" s="79"/>
      <c r="G25" s="80"/>
      <c r="H25" s="79"/>
      <c r="I25" s="79"/>
      <c r="J25" s="80"/>
      <c r="K25" s="79"/>
      <c r="L25" s="79"/>
      <c r="M25" s="80"/>
      <c r="N25" s="86"/>
      <c r="O25" s="79"/>
      <c r="P25" s="80"/>
      <c r="Q25" s="79"/>
      <c r="R25" s="79"/>
      <c r="S25" s="80"/>
      <c r="T25" s="79"/>
      <c r="U25" s="75">
        <f t="shared" si="1"/>
        <v>0</v>
      </c>
      <c r="V25" s="94"/>
      <c r="W25" s="98"/>
      <c r="X25" s="184"/>
      <c r="Y25" s="185"/>
    </row>
    <row r="26" spans="1:25" ht="24" customHeight="1" x14ac:dyDescent="0.2">
      <c r="A26" s="91"/>
      <c r="B26" s="91"/>
      <c r="C26" s="79"/>
      <c r="D26" s="80"/>
      <c r="E26" s="79"/>
      <c r="F26" s="79"/>
      <c r="G26" s="80"/>
      <c r="H26" s="79"/>
      <c r="I26" s="79"/>
      <c r="J26" s="80"/>
      <c r="K26" s="79"/>
      <c r="L26" s="86"/>
      <c r="M26" s="87"/>
      <c r="N26" s="86"/>
      <c r="O26" s="79"/>
      <c r="P26" s="80"/>
      <c r="Q26" s="79"/>
      <c r="R26" s="79"/>
      <c r="S26" s="80"/>
      <c r="T26" s="79"/>
      <c r="U26" s="75">
        <f t="shared" si="1"/>
        <v>0</v>
      </c>
      <c r="V26" s="89"/>
      <c r="W26" s="98"/>
      <c r="X26" s="184"/>
      <c r="Y26" s="185"/>
    </row>
    <row r="27" spans="1:25" ht="24" customHeight="1" x14ac:dyDescent="0.2">
      <c r="A27" s="91"/>
      <c r="B27" s="91" t="s">
        <v>140</v>
      </c>
      <c r="C27" s="79"/>
      <c r="D27" s="80"/>
      <c r="E27" s="79"/>
      <c r="F27" s="79"/>
      <c r="G27" s="80"/>
      <c r="H27" s="79"/>
      <c r="I27" s="86"/>
      <c r="J27" s="87"/>
      <c r="K27" s="86"/>
      <c r="L27" s="86"/>
      <c r="M27" s="87"/>
      <c r="N27" s="86"/>
      <c r="O27" s="86"/>
      <c r="P27" s="87"/>
      <c r="Q27" s="86"/>
      <c r="R27" s="79"/>
      <c r="S27" s="80"/>
      <c r="T27" s="79"/>
      <c r="U27" s="75">
        <f t="shared" si="1"/>
        <v>0</v>
      </c>
      <c r="V27" s="89"/>
      <c r="W27" s="98"/>
      <c r="X27" s="184"/>
      <c r="Y27" s="185"/>
    </row>
    <row r="28" spans="1:25" ht="24" customHeight="1" x14ac:dyDescent="0.2">
      <c r="A28" s="91"/>
      <c r="B28" s="81"/>
      <c r="C28" s="79"/>
      <c r="D28" s="80"/>
      <c r="E28" s="79"/>
      <c r="F28" s="79"/>
      <c r="G28" s="80"/>
      <c r="H28" s="79"/>
      <c r="I28" s="79"/>
      <c r="J28" s="80"/>
      <c r="K28" s="79"/>
      <c r="L28" s="79"/>
      <c r="M28" s="80"/>
      <c r="N28" s="79"/>
      <c r="O28" s="79"/>
      <c r="P28" s="80"/>
      <c r="Q28" s="79"/>
      <c r="R28" s="79"/>
      <c r="S28" s="80"/>
      <c r="T28" s="79"/>
      <c r="U28" s="75">
        <f t="shared" si="1"/>
        <v>0</v>
      </c>
      <c r="V28" s="94"/>
      <c r="W28" s="98"/>
      <c r="X28" s="184"/>
      <c r="Y28" s="185"/>
    </row>
    <row r="29" spans="1:25" ht="24" customHeight="1" x14ac:dyDescent="0.2">
      <c r="A29" s="91"/>
      <c r="B29" s="91" t="s">
        <v>139</v>
      </c>
      <c r="C29" s="79"/>
      <c r="D29" s="80"/>
      <c r="E29" s="79"/>
      <c r="F29" s="79"/>
      <c r="G29" s="80"/>
      <c r="H29" s="79"/>
      <c r="I29" s="79"/>
      <c r="J29" s="80"/>
      <c r="K29" s="79"/>
      <c r="L29" s="79"/>
      <c r="M29" s="80"/>
      <c r="N29" s="86"/>
      <c r="O29" s="79"/>
      <c r="P29" s="80"/>
      <c r="Q29" s="79"/>
      <c r="R29" s="79"/>
      <c r="S29" s="80"/>
      <c r="T29" s="79"/>
      <c r="U29" s="75">
        <f t="shared" si="1"/>
        <v>0</v>
      </c>
      <c r="V29" s="94"/>
    </row>
    <row r="30" spans="1:25" ht="24" customHeight="1" x14ac:dyDescent="0.2">
      <c r="A30" s="91"/>
      <c r="B30" s="81"/>
      <c r="C30" s="79"/>
      <c r="D30" s="80"/>
      <c r="E30" s="79"/>
      <c r="F30" s="79"/>
      <c r="G30" s="80"/>
      <c r="H30" s="79"/>
      <c r="I30" s="79"/>
      <c r="J30" s="80"/>
      <c r="K30" s="79"/>
      <c r="L30" s="86"/>
      <c r="M30" s="87"/>
      <c r="N30" s="86"/>
      <c r="O30" s="79"/>
      <c r="P30" s="80"/>
      <c r="Q30" s="79"/>
      <c r="R30" s="79"/>
      <c r="S30" s="80"/>
      <c r="T30" s="79"/>
      <c r="U30" s="75">
        <f t="shared" si="1"/>
        <v>0</v>
      </c>
      <c r="V30" s="94"/>
    </row>
    <row r="31" spans="1:25" ht="24" customHeight="1" x14ac:dyDescent="0.2">
      <c r="A31" s="91"/>
      <c r="B31" s="81" t="s">
        <v>90</v>
      </c>
      <c r="C31" s="79">
        <v>2023</v>
      </c>
      <c r="D31" s="80">
        <v>151</v>
      </c>
      <c r="E31" s="79">
        <v>1</v>
      </c>
      <c r="F31" s="79"/>
      <c r="G31" s="80"/>
      <c r="H31" s="79"/>
      <c r="I31" s="79"/>
      <c r="J31" s="80"/>
      <c r="K31" s="79"/>
      <c r="L31" s="79"/>
      <c r="M31" s="80"/>
      <c r="N31" s="79"/>
      <c r="O31" s="79"/>
      <c r="P31" s="80"/>
      <c r="Q31" s="79"/>
      <c r="R31" s="79"/>
      <c r="S31" s="80"/>
      <c r="T31" s="79"/>
      <c r="U31" s="75">
        <f t="shared" si="1"/>
        <v>1</v>
      </c>
      <c r="V31" s="94"/>
    </row>
    <row r="32" spans="1:25" ht="24" customHeight="1" x14ac:dyDescent="0.2">
      <c r="A32" s="91"/>
      <c r="B32" s="81"/>
      <c r="C32" s="79"/>
      <c r="D32" s="80"/>
      <c r="E32" s="79"/>
      <c r="F32" s="79"/>
      <c r="G32" s="80"/>
      <c r="H32" s="79"/>
      <c r="I32" s="79"/>
      <c r="J32" s="80"/>
      <c r="K32" s="79"/>
      <c r="L32" s="79"/>
      <c r="M32" s="80"/>
      <c r="N32" s="79"/>
      <c r="O32" s="79"/>
      <c r="P32" s="80"/>
      <c r="Q32" s="79"/>
      <c r="R32" s="79"/>
      <c r="S32" s="80"/>
      <c r="T32" s="79"/>
      <c r="U32" s="75">
        <f t="shared" si="1"/>
        <v>0</v>
      </c>
      <c r="V32" s="94"/>
    </row>
    <row r="33" spans="1:25" ht="24" customHeight="1" x14ac:dyDescent="0.2">
      <c r="A33" s="91"/>
      <c r="B33" s="81" t="s">
        <v>89</v>
      </c>
      <c r="C33" s="79"/>
      <c r="D33" s="80"/>
      <c r="E33" s="79"/>
      <c r="F33" s="86"/>
      <c r="G33" s="80"/>
      <c r="H33" s="79"/>
      <c r="I33" s="79"/>
      <c r="J33" s="80"/>
      <c r="K33" s="79"/>
      <c r="L33" s="79"/>
      <c r="M33" s="80"/>
      <c r="N33" s="79"/>
      <c r="O33" s="79"/>
      <c r="P33" s="80"/>
      <c r="Q33" s="79"/>
      <c r="R33" s="88"/>
      <c r="S33" s="80"/>
      <c r="T33" s="79"/>
      <c r="U33" s="75">
        <f t="shared" si="1"/>
        <v>0</v>
      </c>
      <c r="V33" s="94"/>
    </row>
    <row r="34" spans="1:25" ht="24" customHeight="1" x14ac:dyDescent="0.2">
      <c r="A34" s="91"/>
      <c r="B34" s="81"/>
      <c r="C34" s="79"/>
      <c r="D34" s="80"/>
      <c r="E34" s="79"/>
      <c r="F34" s="79"/>
      <c r="G34" s="80"/>
      <c r="H34" s="79"/>
      <c r="I34" s="79"/>
      <c r="J34" s="80"/>
      <c r="K34" s="79"/>
      <c r="L34" s="79"/>
      <c r="M34" s="80"/>
      <c r="N34" s="79"/>
      <c r="O34" s="79"/>
      <c r="P34" s="80"/>
      <c r="Q34" s="79"/>
      <c r="R34" s="79"/>
      <c r="S34" s="80"/>
      <c r="T34" s="79"/>
      <c r="U34" s="75">
        <f t="shared" si="1"/>
        <v>0</v>
      </c>
      <c r="V34" s="94"/>
    </row>
    <row r="35" spans="1:25" customFormat="1" ht="24" customHeight="1" x14ac:dyDescent="0.2">
      <c r="A35" s="121"/>
      <c r="B35" s="122" t="s">
        <v>86</v>
      </c>
      <c r="C35" s="117"/>
      <c r="D35" s="118"/>
      <c r="E35" s="125"/>
      <c r="F35" s="125"/>
      <c r="G35" s="118"/>
      <c r="H35" s="117"/>
      <c r="I35" s="117"/>
      <c r="J35" s="118"/>
      <c r="K35" s="117"/>
      <c r="L35" s="117"/>
      <c r="M35" s="118"/>
      <c r="N35" s="117"/>
      <c r="O35" s="117"/>
      <c r="P35" s="118"/>
      <c r="Q35" s="117"/>
      <c r="R35" s="125"/>
      <c r="S35" s="129"/>
      <c r="T35" s="130"/>
      <c r="U35" s="123">
        <f t="shared" ref="U35:U36" si="2">SUM(B35,E35,H35,K35,N35,Q35,T35)</f>
        <v>0</v>
      </c>
      <c r="V35" s="124"/>
      <c r="W35" s="45"/>
      <c r="X35" s="186"/>
      <c r="Y35" s="187"/>
    </row>
    <row r="36" spans="1:25" customFormat="1" ht="24" customHeight="1" x14ac:dyDescent="0.2">
      <c r="A36" s="121"/>
      <c r="B36" s="127"/>
      <c r="C36" s="125"/>
      <c r="D36" s="126"/>
      <c r="E36" s="125"/>
      <c r="F36" s="125"/>
      <c r="G36" s="118"/>
      <c r="H36" s="117"/>
      <c r="I36" s="117"/>
      <c r="J36" s="118"/>
      <c r="K36" s="117"/>
      <c r="L36" s="117"/>
      <c r="M36" s="118"/>
      <c r="N36" s="117"/>
      <c r="O36" s="117"/>
      <c r="P36" s="118"/>
      <c r="Q36" s="117"/>
      <c r="R36" s="117"/>
      <c r="S36" s="119"/>
      <c r="T36" s="120"/>
      <c r="U36" s="123">
        <f t="shared" si="2"/>
        <v>0</v>
      </c>
      <c r="V36" s="124"/>
      <c r="W36" s="45"/>
      <c r="X36" s="186"/>
      <c r="Y36" s="187"/>
    </row>
    <row r="37" spans="1:25" ht="24" customHeight="1" x14ac:dyDescent="0.2">
      <c r="A37" s="91"/>
      <c r="B37" s="81"/>
      <c r="C37" s="79"/>
      <c r="D37" s="80"/>
      <c r="E37" s="79"/>
      <c r="F37" s="79"/>
      <c r="G37" s="80"/>
      <c r="H37" s="79"/>
      <c r="I37" s="79"/>
      <c r="J37" s="80"/>
      <c r="K37" s="79"/>
      <c r="L37" s="79"/>
      <c r="M37" s="80"/>
      <c r="N37" s="79"/>
      <c r="O37" s="79"/>
      <c r="P37" s="80"/>
      <c r="Q37" s="79"/>
      <c r="R37" s="79"/>
      <c r="S37" s="80"/>
      <c r="T37" s="79"/>
      <c r="U37" s="75">
        <f>SUM(B37,E37,H37,K37,N37,Q37,T37)</f>
        <v>0</v>
      </c>
      <c r="V37" s="94"/>
    </row>
    <row r="38" spans="1:25" ht="24" customHeight="1" x14ac:dyDescent="0.2">
      <c r="A38" s="72"/>
    </row>
    <row r="39" spans="1:25" ht="24" customHeight="1" x14ac:dyDescent="0.2">
      <c r="A39" s="72"/>
    </row>
    <row r="40" spans="1:25" ht="24" customHeight="1" x14ac:dyDescent="0.2">
      <c r="A40" s="72"/>
    </row>
    <row r="41" spans="1:25" ht="24" customHeight="1" x14ac:dyDescent="0.2">
      <c r="A41" s="72"/>
    </row>
    <row r="42" spans="1:25" ht="24" customHeight="1" x14ac:dyDescent="0.2">
      <c r="A42" s="72"/>
    </row>
    <row r="43" spans="1:25" ht="24" customHeight="1" x14ac:dyDescent="0.2">
      <c r="A43" s="72"/>
    </row>
    <row r="44" spans="1:25" ht="24" customHeight="1" x14ac:dyDescent="0.2">
      <c r="A44" s="72"/>
    </row>
    <row r="45" spans="1:25" ht="24" customHeight="1" x14ac:dyDescent="0.2">
      <c r="A45" s="72"/>
    </row>
    <row r="46" spans="1:25" ht="24" customHeight="1" x14ac:dyDescent="0.2">
      <c r="A46" s="72"/>
    </row>
    <row r="47" spans="1:25" ht="24" customHeight="1" x14ac:dyDescent="0.2">
      <c r="A47" s="72"/>
    </row>
    <row r="48" spans="1:25" ht="24" customHeight="1" x14ac:dyDescent="0.2">
      <c r="A48" s="72"/>
    </row>
    <row r="49" spans="1:1" ht="24" customHeight="1" x14ac:dyDescent="0.2">
      <c r="A49" s="72"/>
    </row>
    <row r="50" spans="1:1" ht="24" customHeight="1" x14ac:dyDescent="0.2">
      <c r="A50" s="72"/>
    </row>
    <row r="51" spans="1:1" ht="24" customHeight="1" x14ac:dyDescent="0.2">
      <c r="A51" s="72"/>
    </row>
    <row r="52" spans="1:1" ht="24" customHeight="1" x14ac:dyDescent="0.2">
      <c r="A52" s="72"/>
    </row>
    <row r="53" spans="1:1" ht="24" customHeight="1" x14ac:dyDescent="0.2">
      <c r="A53" s="72"/>
    </row>
    <row r="54" spans="1:1" ht="24" customHeight="1" x14ac:dyDescent="0.2">
      <c r="A54" s="72"/>
    </row>
    <row r="55" spans="1:1" ht="24" customHeight="1" x14ac:dyDescent="0.2">
      <c r="A55" s="72"/>
    </row>
    <row r="56" spans="1:1" ht="24" customHeight="1" x14ac:dyDescent="0.2">
      <c r="A56" s="72"/>
    </row>
    <row r="57" spans="1:1" ht="24" customHeight="1" x14ac:dyDescent="0.2">
      <c r="A57" s="72"/>
    </row>
    <row r="58" spans="1:1" ht="24" customHeight="1" x14ac:dyDescent="0.2">
      <c r="A58" s="72"/>
    </row>
    <row r="59" spans="1:1" ht="24" customHeight="1" x14ac:dyDescent="0.2">
      <c r="A59" s="72"/>
    </row>
    <row r="60" spans="1:1" ht="24" customHeight="1" x14ac:dyDescent="0.2">
      <c r="A60" s="72"/>
    </row>
    <row r="61" spans="1:1" ht="24" customHeight="1" x14ac:dyDescent="0.2">
      <c r="A61" s="72"/>
    </row>
    <row r="62" spans="1:1" ht="24" customHeight="1" x14ac:dyDescent="0.2">
      <c r="A62" s="72"/>
    </row>
    <row r="63" spans="1:1" ht="24" customHeight="1" x14ac:dyDescent="0.2">
      <c r="A63" s="72"/>
    </row>
    <row r="64" spans="1:1" ht="24" customHeight="1" x14ac:dyDescent="0.2">
      <c r="A64" s="72"/>
    </row>
    <row r="65" spans="1:1" ht="24" customHeight="1" x14ac:dyDescent="0.2">
      <c r="A65" s="72"/>
    </row>
    <row r="66" spans="1:1" ht="24" customHeight="1" x14ac:dyDescent="0.2">
      <c r="A66" s="72"/>
    </row>
    <row r="67" spans="1:1" ht="24" customHeight="1" x14ac:dyDescent="0.2">
      <c r="A67" s="72"/>
    </row>
    <row r="68" spans="1:1" ht="24" customHeight="1" x14ac:dyDescent="0.2">
      <c r="A68" s="72"/>
    </row>
    <row r="69" spans="1:1" ht="24" customHeight="1" x14ac:dyDescent="0.2">
      <c r="A69" s="72"/>
    </row>
    <row r="70" spans="1:1" ht="24" customHeight="1" x14ac:dyDescent="0.2">
      <c r="A70" s="72"/>
    </row>
    <row r="71" spans="1:1" ht="24" customHeight="1" x14ac:dyDescent="0.2">
      <c r="A71" s="72"/>
    </row>
    <row r="72" spans="1:1" ht="24" customHeight="1" x14ac:dyDescent="0.2">
      <c r="A72" s="72"/>
    </row>
    <row r="73" spans="1:1" ht="24" customHeight="1" x14ac:dyDescent="0.2">
      <c r="A73" s="72"/>
    </row>
    <row r="74" spans="1:1" ht="24" customHeight="1" x14ac:dyDescent="0.2">
      <c r="A74" s="72"/>
    </row>
    <row r="75" spans="1:1" ht="24" customHeight="1" x14ac:dyDescent="0.2">
      <c r="A75" s="72"/>
    </row>
    <row r="76" spans="1:1" x14ac:dyDescent="0.2">
      <c r="A76" s="72"/>
    </row>
    <row r="77" spans="1:1" x14ac:dyDescent="0.2">
      <c r="A77" s="72"/>
    </row>
    <row r="78" spans="1:1" x14ac:dyDescent="0.2">
      <c r="A78" s="72"/>
    </row>
    <row r="79" spans="1:1" x14ac:dyDescent="0.2">
      <c r="A79" s="72"/>
    </row>
    <row r="80" spans="1:1" x14ac:dyDescent="0.2">
      <c r="A80" s="72"/>
    </row>
    <row r="81" spans="1:1" x14ac:dyDescent="0.2">
      <c r="A81" s="72"/>
    </row>
    <row r="82" spans="1:1" x14ac:dyDescent="0.2">
      <c r="A82" s="72"/>
    </row>
    <row r="83" spans="1:1" x14ac:dyDescent="0.2">
      <c r="A83" s="72"/>
    </row>
    <row r="84" spans="1:1" x14ac:dyDescent="0.2">
      <c r="A84" s="72"/>
    </row>
    <row r="85" spans="1:1" x14ac:dyDescent="0.2">
      <c r="A85" s="72"/>
    </row>
    <row r="86" spans="1:1" x14ac:dyDescent="0.2">
      <c r="A86" s="72"/>
    </row>
    <row r="87" spans="1:1" x14ac:dyDescent="0.2">
      <c r="A87" s="72"/>
    </row>
    <row r="88" spans="1:1" x14ac:dyDescent="0.2">
      <c r="A88" s="72"/>
    </row>
    <row r="89" spans="1:1" x14ac:dyDescent="0.2">
      <c r="A89" s="72"/>
    </row>
    <row r="90" spans="1:1" x14ac:dyDescent="0.2">
      <c r="A90" s="72"/>
    </row>
    <row r="91" spans="1:1" x14ac:dyDescent="0.2">
      <c r="A91" s="72"/>
    </row>
    <row r="92" spans="1:1" x14ac:dyDescent="0.2">
      <c r="A92" s="72"/>
    </row>
    <row r="93" spans="1:1" x14ac:dyDescent="0.2">
      <c r="A93" s="72"/>
    </row>
    <row r="94" spans="1:1" x14ac:dyDescent="0.2">
      <c r="A94" s="72"/>
    </row>
    <row r="95" spans="1:1" x14ac:dyDescent="0.2">
      <c r="A95" s="72"/>
    </row>
    <row r="96" spans="1:1" x14ac:dyDescent="0.2">
      <c r="A96" s="72"/>
    </row>
    <row r="97" spans="1:1" x14ac:dyDescent="0.2">
      <c r="A97" s="72"/>
    </row>
    <row r="98" spans="1:1" x14ac:dyDescent="0.2">
      <c r="A98" s="72"/>
    </row>
    <row r="99" spans="1:1" x14ac:dyDescent="0.2">
      <c r="A99" s="72"/>
    </row>
    <row r="100" spans="1:1" x14ac:dyDescent="0.2">
      <c r="A100" s="72"/>
    </row>
    <row r="101" spans="1:1" x14ac:dyDescent="0.2">
      <c r="A101" s="72"/>
    </row>
    <row r="102" spans="1:1" x14ac:dyDescent="0.2">
      <c r="A102" s="72"/>
    </row>
    <row r="103" spans="1:1" x14ac:dyDescent="0.2">
      <c r="A103" s="72"/>
    </row>
  </sheetData>
  <sheetProtection formatCells="0" selectLockedCells="1" selectUnlockedCells="1"/>
  <mergeCells count="46">
    <mergeCell ref="C1:E1"/>
    <mergeCell ref="F1:H1"/>
    <mergeCell ref="I1:K1"/>
    <mergeCell ref="L1:Q1"/>
    <mergeCell ref="R1:T1"/>
    <mergeCell ref="R2:T2"/>
    <mergeCell ref="C3:E3"/>
    <mergeCell ref="F3:H3"/>
    <mergeCell ref="I3:K3"/>
    <mergeCell ref="L3:N3"/>
    <mergeCell ref="O3:Q3"/>
    <mergeCell ref="R3:T3"/>
    <mergeCell ref="C2:E2"/>
    <mergeCell ref="F2:H2"/>
    <mergeCell ref="I2:K2"/>
    <mergeCell ref="L2:N2"/>
    <mergeCell ref="O2:Q2"/>
    <mergeCell ref="X12:Y12"/>
    <mergeCell ref="C4:E4"/>
    <mergeCell ref="F4:H4"/>
    <mergeCell ref="I4:K4"/>
    <mergeCell ref="L4:N4"/>
    <mergeCell ref="O4:Q4"/>
    <mergeCell ref="R4:T4"/>
    <mergeCell ref="A5:A6"/>
    <mergeCell ref="B5:T5"/>
    <mergeCell ref="X9:Y9"/>
    <mergeCell ref="X10:Y10"/>
    <mergeCell ref="X11:Y11"/>
    <mergeCell ref="X25:Y25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X24:Y24"/>
    <mergeCell ref="X26:Y26"/>
    <mergeCell ref="X27:Y27"/>
    <mergeCell ref="X28:Y28"/>
    <mergeCell ref="X35:Y35"/>
    <mergeCell ref="X36:Y36"/>
  </mergeCells>
  <printOptions horizontalCentered="1" verticalCentered="1" gridLines="1"/>
  <pageMargins left="0.5" right="0.5" top="0.5" bottom="0.25" header="0" footer="0"/>
  <pageSetup scale="61" orientation="landscape" r:id="rId1"/>
  <headerFooter alignWithMargins="0">
    <oddHeader>&amp;LFAX-425-487-1568&amp;CTIMESHEET</oddHeader>
  </headerFooter>
  <colBreaks count="1" manualBreakCount="1">
    <brk id="21" max="68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workbookViewId="0">
      <selection activeCell="I4" sqref="I4:K4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116</v>
      </c>
      <c r="D1" s="175"/>
      <c r="E1" s="175"/>
      <c r="F1" s="174" t="s">
        <v>115</v>
      </c>
      <c r="G1" s="175"/>
      <c r="H1" s="175"/>
      <c r="I1" s="189"/>
      <c r="J1" s="175"/>
      <c r="K1" s="175"/>
      <c r="L1" s="174"/>
      <c r="M1" s="175"/>
      <c r="N1" s="175"/>
      <c r="O1" s="144" t="s">
        <v>131</v>
      </c>
      <c r="P1" s="143"/>
      <c r="Q1" s="143"/>
      <c r="R1" s="143"/>
      <c r="S1" s="143"/>
      <c r="T1" s="143"/>
      <c r="U1" s="109"/>
      <c r="V1" s="112"/>
    </row>
    <row r="2" spans="1:25" ht="24" customHeight="1" x14ac:dyDescent="0.2">
      <c r="A2" s="103"/>
      <c r="B2" s="110" t="s">
        <v>129</v>
      </c>
      <c r="C2" s="175" t="s">
        <v>134</v>
      </c>
      <c r="D2" s="175"/>
      <c r="E2" s="175"/>
      <c r="F2" s="174" t="s">
        <v>133</v>
      </c>
      <c r="G2" s="176"/>
      <c r="H2" s="176"/>
      <c r="I2" s="189" t="s">
        <v>176</v>
      </c>
      <c r="J2" s="175"/>
      <c r="K2" s="175"/>
      <c r="L2" s="174" t="s">
        <v>126</v>
      </c>
      <c r="M2" s="175"/>
      <c r="N2" s="175"/>
      <c r="O2" s="110" t="s">
        <v>125</v>
      </c>
      <c r="P2" s="142"/>
      <c r="Q2" s="142"/>
      <c r="R2" s="109" t="s">
        <v>130</v>
      </c>
      <c r="S2" s="142"/>
      <c r="T2" s="142"/>
      <c r="U2" s="109"/>
      <c r="V2" s="112"/>
    </row>
    <row r="3" spans="1:25" ht="24" customHeight="1" x14ac:dyDescent="0.2">
      <c r="A3" s="103"/>
      <c r="B3" s="110" t="s">
        <v>175</v>
      </c>
      <c r="C3" s="174" t="s">
        <v>174</v>
      </c>
      <c r="D3" s="176"/>
      <c r="E3" s="176"/>
      <c r="F3" s="174" t="s">
        <v>127</v>
      </c>
      <c r="G3" s="176"/>
      <c r="H3" s="176"/>
      <c r="I3" s="189" t="s">
        <v>173</v>
      </c>
      <c r="J3" s="175"/>
      <c r="K3" s="175"/>
      <c r="L3" s="174" t="s">
        <v>119</v>
      </c>
      <c r="M3" s="175"/>
      <c r="N3" s="175"/>
      <c r="O3" s="110" t="s">
        <v>118</v>
      </c>
      <c r="P3" s="142"/>
      <c r="Q3" s="142"/>
      <c r="R3" s="109" t="s">
        <v>124</v>
      </c>
      <c r="S3" s="142"/>
      <c r="T3" s="142"/>
      <c r="U3" s="109"/>
      <c r="V3" s="111"/>
    </row>
    <row r="4" spans="1:25" ht="24" customHeight="1" thickBot="1" x14ac:dyDescent="0.25">
      <c r="A4" s="103"/>
      <c r="B4" s="110" t="s">
        <v>123</v>
      </c>
      <c r="C4" s="174" t="s">
        <v>172</v>
      </c>
      <c r="D4" s="176"/>
      <c r="E4" s="176"/>
      <c r="F4" s="174" t="s">
        <v>132</v>
      </c>
      <c r="G4" s="176"/>
      <c r="H4" s="176"/>
      <c r="I4" s="190" t="s">
        <v>178</v>
      </c>
      <c r="J4" s="177"/>
      <c r="K4" s="177"/>
      <c r="L4" s="174" t="s">
        <v>112</v>
      </c>
      <c r="M4" s="175"/>
      <c r="N4" s="175"/>
      <c r="O4" s="110" t="s">
        <v>111</v>
      </c>
      <c r="P4" s="142"/>
      <c r="Q4" s="142"/>
      <c r="R4" s="109" t="s">
        <v>117</v>
      </c>
      <c r="S4" s="142"/>
      <c r="T4" s="142"/>
      <c r="U4" s="109"/>
      <c r="V4" s="89"/>
    </row>
    <row r="5" spans="1:25" ht="24" customHeight="1" thickBot="1" x14ac:dyDescent="0.25">
      <c r="A5" s="180"/>
      <c r="B5" s="181" t="s">
        <v>171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42460</v>
      </c>
      <c r="D6" s="107"/>
      <c r="E6" s="107"/>
      <c r="F6" s="107">
        <f>C6+1</f>
        <v>42461</v>
      </c>
      <c r="G6" s="107"/>
      <c r="H6" s="107"/>
      <c r="I6" s="107">
        <f>F6+3</f>
        <v>42464</v>
      </c>
      <c r="J6" s="107"/>
      <c r="K6" s="107"/>
      <c r="L6" s="107">
        <f>I6+1</f>
        <v>42465</v>
      </c>
      <c r="M6" s="107"/>
      <c r="N6" s="107"/>
      <c r="O6" s="107">
        <f>L6+1</f>
        <v>42466</v>
      </c>
      <c r="P6" s="107"/>
      <c r="Q6" s="107"/>
      <c r="R6" s="107">
        <f>F6+1</f>
        <v>42462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/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141">
        <f>SUM(U10:U31)</f>
        <v>31</v>
      </c>
      <c r="V8" s="94"/>
      <c r="W8" s="98"/>
    </row>
    <row r="9" spans="1:25" ht="24" customHeight="1" x14ac:dyDescent="0.2">
      <c r="A9" s="103"/>
      <c r="B9" s="97" t="s">
        <v>110</v>
      </c>
      <c r="C9" s="97" t="s">
        <v>170</v>
      </c>
      <c r="D9" s="97" t="s">
        <v>169</v>
      </c>
      <c r="E9" s="97" t="s">
        <v>17</v>
      </c>
      <c r="F9" s="97" t="s">
        <v>170</v>
      </c>
      <c r="G9" s="97" t="s">
        <v>169</v>
      </c>
      <c r="H9" s="97" t="s">
        <v>17</v>
      </c>
      <c r="I9" s="97" t="s">
        <v>170</v>
      </c>
      <c r="J9" s="97" t="s">
        <v>169</v>
      </c>
      <c r="K9" s="97" t="s">
        <v>17</v>
      </c>
      <c r="L9" s="97" t="s">
        <v>170</v>
      </c>
      <c r="M9" s="97" t="s">
        <v>169</v>
      </c>
      <c r="N9" s="97" t="s">
        <v>17</v>
      </c>
      <c r="O9" s="97" t="s">
        <v>170</v>
      </c>
      <c r="P9" s="97" t="s">
        <v>169</v>
      </c>
      <c r="Q9" s="97" t="s">
        <v>17</v>
      </c>
      <c r="R9" s="97" t="s">
        <v>170</v>
      </c>
      <c r="S9" s="97" t="s">
        <v>169</v>
      </c>
      <c r="T9" s="97" t="s">
        <v>17</v>
      </c>
      <c r="U9" s="101"/>
      <c r="V9" s="100"/>
      <c r="W9" s="98"/>
    </row>
    <row r="10" spans="1:25" ht="24" customHeight="1" x14ac:dyDescent="0.2">
      <c r="A10" s="91"/>
      <c r="B10" s="81"/>
      <c r="C10" s="83"/>
      <c r="D10" s="84"/>
      <c r="E10" s="83"/>
      <c r="F10" s="83"/>
      <c r="G10" s="84"/>
      <c r="H10" s="79"/>
      <c r="I10" s="79"/>
      <c r="J10" s="84"/>
      <c r="K10" s="79"/>
      <c r="L10" s="79"/>
      <c r="M10" s="84"/>
      <c r="N10" s="79"/>
      <c r="O10" s="79"/>
      <c r="P10" s="84"/>
      <c r="Q10" s="79"/>
      <c r="R10" s="83"/>
      <c r="S10" s="84"/>
      <c r="T10" s="83"/>
      <c r="U10" s="75">
        <f t="shared" ref="U10:U16" si="0">SUM(B10,E10,H10,K10,N10,Q10,T10)</f>
        <v>0</v>
      </c>
      <c r="V10" s="94"/>
      <c r="W10" s="98"/>
      <c r="X10" s="184"/>
      <c r="Y10" s="185"/>
    </row>
    <row r="11" spans="1:25" ht="24" customHeight="1" x14ac:dyDescent="0.2">
      <c r="A11" s="91"/>
      <c r="B11" s="95"/>
      <c r="C11" s="83"/>
      <c r="D11" s="84"/>
      <c r="E11" s="83"/>
      <c r="F11" s="83"/>
      <c r="G11" s="84"/>
      <c r="H11" s="83"/>
      <c r="I11" s="83"/>
      <c r="J11" s="84"/>
      <c r="K11" s="79"/>
      <c r="L11" s="83"/>
      <c r="M11" s="84"/>
      <c r="N11" s="79"/>
      <c r="O11" s="83"/>
      <c r="P11" s="84"/>
      <c r="Q11" s="83"/>
      <c r="R11" s="83"/>
      <c r="S11" s="84"/>
      <c r="T11" s="83"/>
      <c r="U11" s="75">
        <f t="shared" si="0"/>
        <v>0</v>
      </c>
      <c r="V11" s="94"/>
      <c r="W11" s="98"/>
      <c r="X11" s="184"/>
      <c r="Y11" s="185"/>
    </row>
    <row r="12" spans="1:25" ht="24" customHeight="1" x14ac:dyDescent="0.2">
      <c r="A12" s="91"/>
      <c r="B12" s="81"/>
      <c r="C12" s="83"/>
      <c r="D12" s="84"/>
      <c r="E12" s="83"/>
      <c r="F12" s="83"/>
      <c r="G12" s="84"/>
      <c r="H12" s="79"/>
      <c r="I12" s="79"/>
      <c r="J12" s="84"/>
      <c r="K12" s="79"/>
      <c r="L12" s="79"/>
      <c r="M12" s="84"/>
      <c r="N12" s="79"/>
      <c r="O12" s="79"/>
      <c r="P12" s="84"/>
      <c r="Q12" s="79"/>
      <c r="R12" s="83"/>
      <c r="S12" s="84"/>
      <c r="T12" s="83"/>
      <c r="U12" s="75">
        <f t="shared" si="0"/>
        <v>0</v>
      </c>
      <c r="V12" s="94"/>
      <c r="W12" s="98"/>
      <c r="X12" s="184"/>
      <c r="Y12" s="185"/>
    </row>
    <row r="13" spans="1:25" ht="24" customHeight="1" x14ac:dyDescent="0.2">
      <c r="A13" s="91"/>
      <c r="B13" s="81"/>
      <c r="C13" s="83"/>
      <c r="D13" s="84"/>
      <c r="E13" s="83"/>
      <c r="F13" s="79"/>
      <c r="G13" s="84"/>
      <c r="H13" s="79"/>
      <c r="I13" s="79"/>
      <c r="J13" s="84"/>
      <c r="K13" s="79"/>
      <c r="L13" s="79"/>
      <c r="M13" s="84"/>
      <c r="N13" s="79"/>
      <c r="O13" s="79"/>
      <c r="P13" s="84"/>
      <c r="Q13" s="79"/>
      <c r="R13" s="83"/>
      <c r="S13" s="84"/>
      <c r="T13" s="83"/>
      <c r="U13" s="75">
        <f t="shared" si="0"/>
        <v>0</v>
      </c>
      <c r="V13" s="94"/>
      <c r="W13" s="98"/>
      <c r="X13" s="184"/>
      <c r="Y13" s="185"/>
    </row>
    <row r="14" spans="1:25" ht="24" customHeight="1" x14ac:dyDescent="0.2">
      <c r="A14" s="91">
        <v>1</v>
      </c>
      <c r="B14" s="81" t="s">
        <v>168</v>
      </c>
      <c r="C14" s="138" t="s">
        <v>167</v>
      </c>
      <c r="D14" s="84">
        <v>800</v>
      </c>
      <c r="E14" s="83"/>
      <c r="F14" s="138" t="s">
        <v>167</v>
      </c>
      <c r="G14" s="84">
        <v>800</v>
      </c>
      <c r="H14" s="83"/>
      <c r="I14" s="138" t="s">
        <v>167</v>
      </c>
      <c r="J14" s="84">
        <v>800</v>
      </c>
      <c r="K14" s="83">
        <v>1</v>
      </c>
      <c r="L14" s="138" t="s">
        <v>167</v>
      </c>
      <c r="M14" s="84">
        <v>800</v>
      </c>
      <c r="N14" s="83">
        <v>2</v>
      </c>
      <c r="O14" s="138" t="s">
        <v>167</v>
      </c>
      <c r="P14" s="84">
        <v>800</v>
      </c>
      <c r="Q14" s="83">
        <v>1</v>
      </c>
      <c r="R14" s="83"/>
      <c r="S14" s="84"/>
      <c r="T14" s="83"/>
      <c r="U14" s="75">
        <f t="shared" si="0"/>
        <v>4</v>
      </c>
      <c r="V14" s="94"/>
      <c r="W14" s="98"/>
      <c r="X14" s="184"/>
      <c r="Y14" s="185"/>
    </row>
    <row r="15" spans="1:25" ht="24" customHeight="1" x14ac:dyDescent="0.2">
      <c r="A15" s="91"/>
      <c r="B15" s="81"/>
      <c r="C15" s="138">
        <v>2023</v>
      </c>
      <c r="D15" s="84">
        <v>101</v>
      </c>
      <c r="E15" s="79">
        <v>1</v>
      </c>
      <c r="F15" s="83" t="s">
        <v>166</v>
      </c>
      <c r="G15" s="84"/>
      <c r="H15" s="83"/>
      <c r="I15" s="139">
        <v>2021</v>
      </c>
      <c r="J15" s="84">
        <v>101</v>
      </c>
      <c r="K15" s="79">
        <v>2</v>
      </c>
      <c r="L15" s="83">
        <v>2027</v>
      </c>
      <c r="M15" s="84">
        <v>101</v>
      </c>
      <c r="N15" s="79">
        <v>1</v>
      </c>
      <c r="O15" s="83">
        <v>2027</v>
      </c>
      <c r="P15" s="84">
        <v>101</v>
      </c>
      <c r="Q15" s="79">
        <v>2</v>
      </c>
      <c r="R15" s="140"/>
      <c r="S15" s="84"/>
      <c r="T15" s="83"/>
      <c r="U15" s="75">
        <f t="shared" si="0"/>
        <v>6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138">
        <v>2025</v>
      </c>
      <c r="D16" s="84">
        <v>101</v>
      </c>
      <c r="E16" s="83">
        <v>1</v>
      </c>
      <c r="F16" s="138"/>
      <c r="G16" s="84"/>
      <c r="H16" s="79"/>
      <c r="I16" s="139">
        <v>2023</v>
      </c>
      <c r="J16" s="84">
        <v>101</v>
      </c>
      <c r="K16" s="79">
        <v>1</v>
      </c>
      <c r="L16" s="139">
        <v>2023</v>
      </c>
      <c r="M16" s="84">
        <v>151</v>
      </c>
      <c r="N16" s="79">
        <v>2</v>
      </c>
      <c r="O16" s="139">
        <v>2028</v>
      </c>
      <c r="P16" s="84">
        <v>100</v>
      </c>
      <c r="Q16" s="79">
        <v>3</v>
      </c>
      <c r="R16" s="83"/>
      <c r="S16" s="84"/>
      <c r="T16" s="83"/>
      <c r="U16" s="75">
        <f t="shared" si="0"/>
        <v>7</v>
      </c>
      <c r="V16" s="94"/>
      <c r="W16" s="98"/>
      <c r="X16" s="184"/>
      <c r="Y16" s="185"/>
    </row>
    <row r="17" spans="1:25" ht="24" customHeight="1" x14ac:dyDescent="0.2">
      <c r="A17" s="91"/>
      <c r="B17" s="91"/>
      <c r="C17" s="138">
        <v>2021</v>
      </c>
      <c r="D17" s="84">
        <v>101</v>
      </c>
      <c r="E17" s="79">
        <v>1</v>
      </c>
      <c r="F17" s="138"/>
      <c r="G17" s="84"/>
      <c r="H17" s="83"/>
      <c r="I17" s="139">
        <v>2027</v>
      </c>
      <c r="J17" s="84">
        <v>101</v>
      </c>
      <c r="K17" s="79">
        <v>2</v>
      </c>
      <c r="L17" s="139">
        <v>2028</v>
      </c>
      <c r="M17" s="84">
        <v>101</v>
      </c>
      <c r="N17" s="79">
        <v>1</v>
      </c>
      <c r="O17" s="139">
        <v>2027</v>
      </c>
      <c r="P17" s="84">
        <v>100</v>
      </c>
      <c r="Q17" s="79">
        <v>2</v>
      </c>
      <c r="R17" s="83"/>
      <c r="S17" s="84"/>
      <c r="T17" s="83"/>
      <c r="U17" s="75">
        <f>SUM(B17,E16,H17,K17,N17,Q17,T17)</f>
        <v>6</v>
      </c>
      <c r="V17" s="94"/>
      <c r="W17" s="98"/>
      <c r="X17" s="184"/>
      <c r="Y17" s="185"/>
    </row>
    <row r="18" spans="1:25" ht="24" customHeight="1" x14ac:dyDescent="0.2">
      <c r="A18" s="91"/>
      <c r="B18" s="91"/>
      <c r="C18" s="138">
        <v>2027</v>
      </c>
      <c r="D18" s="84">
        <v>101</v>
      </c>
      <c r="E18" s="83">
        <v>2</v>
      </c>
      <c r="F18" s="138"/>
      <c r="G18" s="84"/>
      <c r="H18" s="83"/>
      <c r="I18" s="139">
        <v>2025</v>
      </c>
      <c r="J18" s="84">
        <v>101</v>
      </c>
      <c r="K18" s="79">
        <v>1</v>
      </c>
      <c r="L18" s="139">
        <v>2014</v>
      </c>
      <c r="M18" s="84">
        <v>101</v>
      </c>
      <c r="N18" s="79">
        <v>2</v>
      </c>
      <c r="O18" s="139"/>
      <c r="P18" s="84"/>
      <c r="Q18" s="79"/>
      <c r="R18" s="83"/>
      <c r="S18" s="84"/>
      <c r="T18" s="83"/>
      <c r="U18" s="75">
        <f t="shared" ref="U18:U31" si="1">SUM(B18,E18,H18,K18,N18,Q18,T18)</f>
        <v>5</v>
      </c>
      <c r="V18" s="94"/>
      <c r="W18" s="98"/>
      <c r="X18" s="184"/>
      <c r="Y18" s="185"/>
    </row>
    <row r="19" spans="1:25" ht="24" customHeight="1" x14ac:dyDescent="0.2">
      <c r="A19" s="91"/>
      <c r="B19" s="81"/>
      <c r="C19" s="138">
        <v>2014</v>
      </c>
      <c r="D19" s="84">
        <v>101</v>
      </c>
      <c r="E19" s="83">
        <v>1</v>
      </c>
      <c r="F19" s="138"/>
      <c r="G19" s="84"/>
      <c r="H19" s="83"/>
      <c r="I19" s="83">
        <v>2024</v>
      </c>
      <c r="J19" s="84">
        <v>101</v>
      </c>
      <c r="K19" s="79">
        <v>1</v>
      </c>
      <c r="L19" s="139"/>
      <c r="M19" s="84"/>
      <c r="N19" s="79"/>
      <c r="O19" s="79"/>
      <c r="P19" s="84"/>
      <c r="Q19" s="79"/>
      <c r="R19" s="83"/>
      <c r="S19" s="84"/>
      <c r="T19" s="83"/>
      <c r="U19" s="75">
        <f t="shared" si="1"/>
        <v>2</v>
      </c>
      <c r="V19" s="94"/>
      <c r="W19" s="98"/>
      <c r="X19" s="184"/>
      <c r="Y19" s="185"/>
    </row>
    <row r="20" spans="1:25" ht="24" customHeight="1" x14ac:dyDescent="0.2">
      <c r="A20" s="91"/>
      <c r="B20" s="81"/>
      <c r="C20" s="138">
        <v>2024</v>
      </c>
      <c r="D20" s="84">
        <v>100</v>
      </c>
      <c r="E20" s="83">
        <v>1</v>
      </c>
      <c r="F20" s="79"/>
      <c r="G20" s="84"/>
      <c r="H20" s="79"/>
      <c r="I20" s="83"/>
      <c r="J20" s="84"/>
      <c r="K20" s="79"/>
      <c r="L20" s="83"/>
      <c r="M20" s="84"/>
      <c r="N20" s="83"/>
      <c r="O20" s="79"/>
      <c r="P20" s="84"/>
      <c r="Q20" s="79"/>
      <c r="R20" s="83"/>
      <c r="S20" s="84"/>
      <c r="T20" s="83"/>
      <c r="U20" s="75">
        <f t="shared" si="1"/>
        <v>1</v>
      </c>
      <c r="V20" s="94"/>
      <c r="W20" s="98"/>
      <c r="X20" s="184"/>
      <c r="Y20" s="185"/>
    </row>
    <row r="21" spans="1:25" ht="24" customHeight="1" x14ac:dyDescent="0.2">
      <c r="A21" s="91"/>
      <c r="B21" s="81"/>
      <c r="C21" s="79" t="s">
        <v>100</v>
      </c>
      <c r="D21" s="84"/>
      <c r="E21" s="79"/>
      <c r="F21" s="83"/>
      <c r="G21" s="136"/>
      <c r="H21" s="79"/>
      <c r="I21" s="83"/>
      <c r="J21" s="84"/>
      <c r="K21" s="79"/>
      <c r="L21" s="137"/>
      <c r="M21" s="136"/>
      <c r="N21" s="137"/>
      <c r="O21" s="83"/>
      <c r="P21" s="136"/>
      <c r="Q21" s="79"/>
      <c r="R21" s="83"/>
      <c r="S21" s="136"/>
      <c r="T21" s="83"/>
      <c r="U21" s="75">
        <f t="shared" si="1"/>
        <v>0</v>
      </c>
      <c r="V21" s="94"/>
      <c r="W21" s="98"/>
      <c r="X21" s="184"/>
      <c r="Y21" s="185"/>
    </row>
    <row r="22" spans="1:25" ht="24" customHeight="1" x14ac:dyDescent="0.2">
      <c r="A22" s="91"/>
      <c r="B22" s="81"/>
      <c r="C22" s="83"/>
      <c r="D22" s="84"/>
      <c r="E22" s="79"/>
      <c r="F22" s="79"/>
      <c r="G22" s="84"/>
      <c r="H22" s="79"/>
      <c r="I22" s="79"/>
      <c r="J22" s="84"/>
      <c r="K22" s="79"/>
      <c r="L22" s="79"/>
      <c r="M22" s="84"/>
      <c r="N22" s="79"/>
      <c r="O22" s="79"/>
      <c r="P22" s="84"/>
      <c r="Q22" s="79"/>
      <c r="R22" s="83"/>
      <c r="S22" s="84"/>
      <c r="T22" s="83"/>
      <c r="U22" s="75">
        <f t="shared" si="1"/>
        <v>0</v>
      </c>
      <c r="V22" s="89"/>
      <c r="W22" s="98"/>
      <c r="X22" s="184"/>
      <c r="Y22" s="185"/>
    </row>
    <row r="23" spans="1:25" ht="24" customHeight="1" x14ac:dyDescent="0.2">
      <c r="A23" s="91"/>
      <c r="B23" s="81"/>
      <c r="C23" s="79"/>
      <c r="D23" s="84"/>
      <c r="E23" s="79"/>
      <c r="F23" s="79"/>
      <c r="G23" s="84"/>
      <c r="H23" s="79"/>
      <c r="I23" s="79"/>
      <c r="J23" s="84"/>
      <c r="K23" s="79"/>
      <c r="L23" s="79"/>
      <c r="M23" s="84"/>
      <c r="N23" s="79"/>
      <c r="O23" s="79"/>
      <c r="P23" s="84"/>
      <c r="Q23" s="79"/>
      <c r="R23" s="83"/>
      <c r="S23" s="84"/>
      <c r="T23" s="83"/>
      <c r="U23" s="75">
        <f t="shared" si="1"/>
        <v>0</v>
      </c>
      <c r="V23" s="89"/>
      <c r="W23" s="98"/>
      <c r="X23" s="184"/>
      <c r="Y23" s="185"/>
    </row>
    <row r="24" spans="1:25" ht="24" customHeight="1" x14ac:dyDescent="0.2">
      <c r="A24" s="91"/>
      <c r="B24" s="81"/>
      <c r="C24" s="83"/>
      <c r="D24" s="80"/>
      <c r="E24" s="79"/>
      <c r="F24" s="79"/>
      <c r="G24" s="80"/>
      <c r="H24" s="79"/>
      <c r="I24" s="79"/>
      <c r="J24" s="80"/>
      <c r="K24" s="79"/>
      <c r="L24" s="79"/>
      <c r="M24" s="80"/>
      <c r="N24" s="79"/>
      <c r="O24" s="79"/>
      <c r="P24" s="80"/>
      <c r="Q24" s="79"/>
      <c r="R24" s="83"/>
      <c r="S24" s="80"/>
      <c r="T24" s="83"/>
      <c r="U24" s="75">
        <f t="shared" si="1"/>
        <v>0</v>
      </c>
      <c r="V24" s="94"/>
      <c r="W24" s="98"/>
      <c r="X24" s="184"/>
      <c r="Y24" s="185"/>
    </row>
    <row r="25" spans="1:25" ht="24" customHeight="1" x14ac:dyDescent="0.2">
      <c r="A25" s="91"/>
      <c r="B25" s="81"/>
      <c r="C25" s="83"/>
      <c r="D25" s="80"/>
      <c r="E25" s="79"/>
      <c r="F25" s="79"/>
      <c r="G25" s="80"/>
      <c r="H25" s="79"/>
      <c r="I25" s="79"/>
      <c r="J25" s="80"/>
      <c r="K25" s="79"/>
      <c r="L25" s="79"/>
      <c r="M25" s="80"/>
      <c r="N25" s="79"/>
      <c r="O25" s="79"/>
      <c r="P25" s="80"/>
      <c r="Q25" s="79"/>
      <c r="R25" s="83"/>
      <c r="S25" s="80"/>
      <c r="T25" s="83"/>
      <c r="U25" s="75">
        <f t="shared" si="1"/>
        <v>0</v>
      </c>
      <c r="V25" s="94"/>
      <c r="W25" s="98"/>
      <c r="X25" s="184"/>
      <c r="Y25" s="185"/>
    </row>
    <row r="26" spans="1:25" ht="24" customHeight="1" x14ac:dyDescent="0.2">
      <c r="A26" s="91"/>
      <c r="B26" s="81"/>
      <c r="C26" s="83"/>
      <c r="D26" s="84"/>
      <c r="E26" s="83"/>
      <c r="F26" s="83"/>
      <c r="G26" s="84"/>
      <c r="H26" s="79"/>
      <c r="I26" s="79"/>
      <c r="J26" s="84"/>
      <c r="K26" s="79"/>
      <c r="L26" s="79"/>
      <c r="M26" s="84"/>
      <c r="N26" s="79"/>
      <c r="O26" s="79"/>
      <c r="P26" s="84"/>
      <c r="Q26" s="79"/>
      <c r="R26" s="83"/>
      <c r="S26" s="84"/>
      <c r="T26" s="83"/>
      <c r="U26" s="75">
        <f t="shared" si="1"/>
        <v>0</v>
      </c>
      <c r="V26" s="94"/>
      <c r="W26" s="98"/>
      <c r="X26" s="188"/>
      <c r="Y26" s="185"/>
    </row>
    <row r="27" spans="1:25" ht="24" customHeight="1" x14ac:dyDescent="0.2">
      <c r="A27" s="91"/>
      <c r="B27" s="95"/>
      <c r="C27" s="83"/>
      <c r="D27" s="84"/>
      <c r="E27" s="83"/>
      <c r="F27" s="83"/>
      <c r="G27" s="84"/>
      <c r="H27" s="83"/>
      <c r="I27" s="83"/>
      <c r="J27" s="84"/>
      <c r="K27" s="79"/>
      <c r="L27" s="83"/>
      <c r="M27" s="84"/>
      <c r="N27" s="79"/>
      <c r="O27" s="83"/>
      <c r="P27" s="84"/>
      <c r="Q27" s="83"/>
      <c r="R27" s="83"/>
      <c r="S27" s="84"/>
      <c r="T27" s="83"/>
      <c r="U27" s="75">
        <f t="shared" si="1"/>
        <v>0</v>
      </c>
      <c r="V27" s="94"/>
      <c r="W27" s="98"/>
      <c r="X27" s="188"/>
      <c r="Y27" s="185"/>
    </row>
    <row r="28" spans="1:25" ht="24" customHeight="1" x14ac:dyDescent="0.2">
      <c r="A28" s="91"/>
      <c r="B28" s="81"/>
      <c r="C28" s="83"/>
      <c r="D28" s="84"/>
      <c r="E28" s="83"/>
      <c r="F28" s="83"/>
      <c r="G28" s="84"/>
      <c r="H28" s="79"/>
      <c r="I28" s="79"/>
      <c r="J28" s="84"/>
      <c r="K28" s="79"/>
      <c r="L28" s="79"/>
      <c r="M28" s="84"/>
      <c r="N28" s="79"/>
      <c r="O28" s="79"/>
      <c r="P28" s="84"/>
      <c r="Q28" s="79"/>
      <c r="R28" s="83"/>
      <c r="S28" s="84"/>
      <c r="T28" s="83"/>
      <c r="U28" s="75">
        <f t="shared" si="1"/>
        <v>0</v>
      </c>
      <c r="V28" s="94"/>
      <c r="W28" s="98"/>
      <c r="X28" s="188"/>
      <c r="Y28" s="185"/>
    </row>
    <row r="29" spans="1:25" ht="24" customHeight="1" x14ac:dyDescent="0.2">
      <c r="A29" s="91"/>
      <c r="B29" s="81"/>
      <c r="C29" s="83"/>
      <c r="D29" s="84"/>
      <c r="E29" s="83"/>
      <c r="F29" s="79"/>
      <c r="G29" s="84"/>
      <c r="H29" s="79"/>
      <c r="I29" s="79"/>
      <c r="J29" s="84"/>
      <c r="K29" s="79"/>
      <c r="L29" s="79"/>
      <c r="M29" s="84"/>
      <c r="N29" s="79"/>
      <c r="O29" s="79"/>
      <c r="P29" s="84"/>
      <c r="Q29" s="79"/>
      <c r="R29" s="83"/>
      <c r="S29" s="84"/>
      <c r="T29" s="83"/>
      <c r="U29" s="75">
        <f t="shared" si="1"/>
        <v>0</v>
      </c>
      <c r="V29" s="94"/>
      <c r="W29" s="98"/>
      <c r="X29" s="188"/>
      <c r="Y29" s="185"/>
    </row>
    <row r="30" spans="1:25" ht="24" customHeight="1" x14ac:dyDescent="0.2">
      <c r="A30" s="91"/>
      <c r="B30" s="81"/>
      <c r="C30" s="83"/>
      <c r="D30" s="84"/>
      <c r="E30" s="83"/>
      <c r="F30" s="79"/>
      <c r="G30" s="84"/>
      <c r="H30" s="79"/>
      <c r="I30" s="79"/>
      <c r="J30" s="84"/>
      <c r="K30" s="79"/>
      <c r="L30" s="79"/>
      <c r="M30" s="84"/>
      <c r="N30" s="79"/>
      <c r="O30" s="79"/>
      <c r="P30" s="84"/>
      <c r="Q30" s="79"/>
      <c r="R30" s="83"/>
      <c r="S30" s="84"/>
      <c r="T30" s="83"/>
      <c r="U30" s="75">
        <f t="shared" si="1"/>
        <v>0</v>
      </c>
      <c r="V30" s="94"/>
      <c r="W30" s="98"/>
      <c r="X30" s="188"/>
      <c r="Y30" s="185"/>
    </row>
    <row r="31" spans="1:25" ht="24" customHeight="1" thickBot="1" x14ac:dyDescent="0.25">
      <c r="A31" s="91"/>
      <c r="B31" s="81"/>
      <c r="C31" s="83"/>
      <c r="D31" s="80"/>
      <c r="E31" s="79"/>
      <c r="F31" s="83"/>
      <c r="G31" s="80"/>
      <c r="H31" s="79"/>
      <c r="I31" s="134"/>
      <c r="J31" s="80"/>
      <c r="K31" s="79"/>
      <c r="L31" s="79"/>
      <c r="M31" s="80"/>
      <c r="N31" s="79"/>
      <c r="O31" s="79"/>
      <c r="P31" s="80"/>
      <c r="Q31" s="79"/>
      <c r="R31" s="83"/>
      <c r="S31" s="80"/>
      <c r="T31" s="83"/>
      <c r="U31" s="75">
        <f t="shared" si="1"/>
        <v>0</v>
      </c>
      <c r="V31" s="94"/>
      <c r="W31" s="98"/>
      <c r="X31" s="188"/>
      <c r="Y31" s="185"/>
    </row>
    <row r="32" spans="1:25" ht="24" customHeight="1" thickTop="1" x14ac:dyDescent="0.2">
      <c r="A32" s="91"/>
      <c r="B32" s="191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28"/>
      <c r="V32" s="94"/>
      <c r="W32" s="98"/>
      <c r="X32" s="188"/>
      <c r="Y32" s="185"/>
    </row>
    <row r="33" spans="1:25" ht="24" customHeight="1" x14ac:dyDescent="0.2">
      <c r="A33" s="91"/>
      <c r="B33" s="91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28"/>
      <c r="V33" s="94"/>
      <c r="W33" s="98"/>
      <c r="X33" s="188"/>
      <c r="Y33" s="185"/>
    </row>
    <row r="34" spans="1:25" ht="24" customHeight="1" x14ac:dyDescent="0.2">
      <c r="A34" s="91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128"/>
      <c r="V34" s="89"/>
      <c r="W34" s="98"/>
      <c r="X34" s="188"/>
      <c r="Y34" s="185"/>
    </row>
    <row r="35" spans="1:25" ht="24" customHeight="1" x14ac:dyDescent="0.2">
      <c r="A35" s="91"/>
      <c r="B35" s="132"/>
      <c r="C35" s="83"/>
      <c r="D35" s="84"/>
      <c r="E35" s="83"/>
      <c r="F35" s="79"/>
      <c r="G35" s="80"/>
      <c r="H35" s="79"/>
      <c r="I35" s="79"/>
      <c r="J35" s="80"/>
      <c r="K35" s="79"/>
      <c r="L35" s="79"/>
      <c r="M35" s="80"/>
      <c r="N35" s="79"/>
      <c r="O35" s="79"/>
      <c r="P35" s="80"/>
      <c r="Q35" s="79"/>
      <c r="R35" s="83"/>
      <c r="S35" s="84"/>
      <c r="T35" s="83"/>
      <c r="U35" s="128"/>
      <c r="V35" s="94"/>
      <c r="W35" s="98"/>
      <c r="X35" s="188"/>
      <c r="Y35" s="185"/>
    </row>
    <row r="36" spans="1:25" ht="24" customHeight="1" x14ac:dyDescent="0.2">
      <c r="A36" s="91"/>
      <c r="B36" s="91"/>
      <c r="C36" s="83"/>
      <c r="D36" s="84"/>
      <c r="E36" s="83"/>
      <c r="F36" s="79"/>
      <c r="G36" s="80"/>
      <c r="H36" s="79"/>
      <c r="I36" s="83"/>
      <c r="J36" s="84"/>
      <c r="K36" s="79"/>
      <c r="L36" s="79"/>
      <c r="M36" s="80"/>
      <c r="N36" s="79"/>
      <c r="O36" s="79"/>
      <c r="P36" s="80"/>
      <c r="Q36" s="79"/>
      <c r="R36" s="83"/>
      <c r="S36" s="84"/>
      <c r="T36" s="83"/>
      <c r="U36" s="128"/>
      <c r="V36" s="94"/>
      <c r="W36" s="98"/>
      <c r="X36" s="188"/>
      <c r="Y36" s="185"/>
    </row>
    <row r="37" spans="1:25" ht="24" customHeight="1" x14ac:dyDescent="0.2">
      <c r="A37" s="91"/>
      <c r="B37" s="91"/>
      <c r="C37" s="79"/>
      <c r="D37" s="80"/>
      <c r="E37" s="79"/>
      <c r="F37" s="83"/>
      <c r="G37" s="80"/>
      <c r="H37" s="79"/>
      <c r="I37" s="83"/>
      <c r="J37" s="80"/>
      <c r="K37" s="79"/>
      <c r="L37" s="83"/>
      <c r="M37" s="80"/>
      <c r="N37" s="79"/>
      <c r="O37" s="83"/>
      <c r="P37" s="80"/>
      <c r="Q37" s="79"/>
      <c r="R37" s="83"/>
      <c r="S37" s="84"/>
      <c r="T37" s="83"/>
      <c r="U37" s="128"/>
      <c r="V37" s="94"/>
      <c r="W37" s="98"/>
      <c r="X37" s="188"/>
      <c r="Y37" s="185"/>
    </row>
    <row r="38" spans="1:25" ht="24" customHeight="1" x14ac:dyDescent="0.2">
      <c r="A38" s="91"/>
      <c r="B38" s="132"/>
      <c r="C38" s="83"/>
      <c r="D38" s="80"/>
      <c r="E38" s="79"/>
      <c r="F38" s="79"/>
      <c r="G38" s="80"/>
      <c r="H38" s="79"/>
      <c r="I38" s="79"/>
      <c r="J38" s="80"/>
      <c r="K38" s="79"/>
      <c r="L38" s="79"/>
      <c r="M38" s="80"/>
      <c r="N38" s="79"/>
      <c r="O38" s="79"/>
      <c r="P38" s="80"/>
      <c r="Q38" s="79"/>
      <c r="R38" s="83"/>
      <c r="S38" s="84"/>
      <c r="T38" s="83"/>
      <c r="U38" s="128"/>
      <c r="V38" s="89"/>
      <c r="W38" s="98"/>
      <c r="X38" s="188"/>
      <c r="Y38" s="185"/>
    </row>
    <row r="39" spans="1:25" ht="24" customHeight="1" x14ac:dyDescent="0.2">
      <c r="A39" s="91"/>
      <c r="B39" s="132"/>
      <c r="C39" s="83"/>
      <c r="D39" s="84"/>
      <c r="E39" s="83"/>
      <c r="F39" s="83"/>
      <c r="G39" s="80"/>
      <c r="H39" s="79"/>
      <c r="I39" s="79"/>
      <c r="J39" s="80"/>
      <c r="K39" s="79"/>
      <c r="L39" s="79"/>
      <c r="M39" s="80"/>
      <c r="N39" s="79"/>
      <c r="O39" s="79"/>
      <c r="P39" s="80"/>
      <c r="Q39" s="79"/>
      <c r="R39" s="83"/>
      <c r="S39" s="84"/>
      <c r="T39" s="83"/>
      <c r="U39" s="128"/>
      <c r="V39" s="94"/>
      <c r="W39" s="98"/>
      <c r="X39" s="188"/>
      <c r="Y39" s="185"/>
    </row>
    <row r="40" spans="1:25" ht="24" customHeight="1" x14ac:dyDescent="0.2">
      <c r="A40" s="91"/>
      <c r="B40" s="91"/>
      <c r="C40" s="83"/>
      <c r="D40" s="84"/>
      <c r="E40" s="83"/>
      <c r="F40" s="83"/>
      <c r="G40" s="84"/>
      <c r="H40" s="83"/>
      <c r="I40" s="83"/>
      <c r="J40" s="80"/>
      <c r="K40" s="79"/>
      <c r="L40" s="83"/>
      <c r="M40" s="80"/>
      <c r="N40" s="79"/>
      <c r="O40" s="83"/>
      <c r="P40" s="84"/>
      <c r="Q40" s="83"/>
      <c r="R40" s="83"/>
      <c r="S40" s="84"/>
      <c r="T40" s="83"/>
      <c r="U40" s="128"/>
      <c r="V40" s="94"/>
      <c r="W40" s="98"/>
      <c r="X40" s="188"/>
      <c r="Y40" s="185"/>
    </row>
    <row r="41" spans="1:25" ht="24" customHeight="1" x14ac:dyDescent="0.2">
      <c r="A41" s="91"/>
      <c r="B41" s="91"/>
      <c r="C41" s="83"/>
      <c r="D41" s="84"/>
      <c r="E41" s="83"/>
      <c r="F41" s="83"/>
      <c r="G41" s="80"/>
      <c r="H41" s="79"/>
      <c r="I41" s="79"/>
      <c r="J41" s="80"/>
      <c r="K41" s="79"/>
      <c r="L41" s="79"/>
      <c r="M41" s="80"/>
      <c r="N41" s="79"/>
      <c r="O41" s="79"/>
      <c r="P41" s="80"/>
      <c r="Q41" s="79"/>
      <c r="R41" s="83"/>
      <c r="S41" s="84"/>
      <c r="T41" s="83"/>
      <c r="U41" s="128"/>
      <c r="V41" s="94"/>
      <c r="W41" s="98"/>
      <c r="X41" s="188"/>
      <c r="Y41" s="185"/>
    </row>
    <row r="42" spans="1:25" ht="24" customHeight="1" x14ac:dyDescent="0.2">
      <c r="A42" s="91"/>
      <c r="B42" s="91"/>
      <c r="C42" s="83"/>
      <c r="D42" s="84"/>
      <c r="E42" s="83"/>
      <c r="F42" s="79"/>
      <c r="G42" s="80"/>
      <c r="H42" s="79"/>
      <c r="I42" s="79"/>
      <c r="J42" s="80"/>
      <c r="K42" s="79"/>
      <c r="L42" s="79"/>
      <c r="M42" s="80"/>
      <c r="N42" s="79"/>
      <c r="O42" s="79"/>
      <c r="P42" s="80"/>
      <c r="Q42" s="79"/>
      <c r="R42" s="83"/>
      <c r="S42" s="84"/>
      <c r="T42" s="83"/>
      <c r="U42" s="128"/>
      <c r="V42" s="89"/>
      <c r="W42" s="98"/>
      <c r="X42" s="188"/>
      <c r="Y42" s="185"/>
    </row>
    <row r="43" spans="1:25" ht="24" customHeight="1" x14ac:dyDescent="0.2">
      <c r="A43" s="91"/>
      <c r="B43" s="103"/>
      <c r="C43" s="83"/>
      <c r="D43" s="84"/>
      <c r="E43" s="83"/>
      <c r="F43" s="103"/>
      <c r="G43" s="84"/>
      <c r="H43" s="103"/>
      <c r="I43" s="134"/>
      <c r="J43" s="84"/>
      <c r="K43" s="103"/>
      <c r="L43" s="79"/>
      <c r="M43" s="80"/>
      <c r="N43" s="79"/>
      <c r="O43" s="79"/>
      <c r="P43" s="80"/>
      <c r="Q43" s="79"/>
      <c r="R43" s="83"/>
      <c r="S43" s="84"/>
      <c r="T43" s="83"/>
      <c r="U43" s="128"/>
      <c r="V43" s="89"/>
      <c r="W43" s="98"/>
      <c r="X43" s="188"/>
      <c r="Y43" s="185"/>
    </row>
    <row r="44" spans="1:25" ht="24" customHeight="1" x14ac:dyDescent="0.2">
      <c r="A44" s="91"/>
      <c r="B44" s="91"/>
      <c r="C44" s="83"/>
      <c r="D44" s="84"/>
      <c r="E44" s="79"/>
      <c r="F44" s="83"/>
      <c r="G44" s="80"/>
      <c r="H44" s="79"/>
      <c r="I44" s="79"/>
      <c r="J44" s="80"/>
      <c r="K44" s="79"/>
      <c r="L44" s="79"/>
      <c r="M44" s="80"/>
      <c r="N44" s="79"/>
      <c r="O44" s="79"/>
      <c r="P44" s="80"/>
      <c r="Q44" s="79"/>
      <c r="R44" s="83"/>
      <c r="S44" s="80"/>
      <c r="T44" s="83"/>
      <c r="U44" s="128"/>
      <c r="V44" s="89"/>
      <c r="W44" s="98"/>
      <c r="X44" s="188"/>
      <c r="Y44" s="185"/>
    </row>
    <row r="45" spans="1:25" ht="24" customHeight="1" x14ac:dyDescent="0.2">
      <c r="A45" s="91"/>
      <c r="B45" s="91"/>
      <c r="C45" s="83"/>
      <c r="D45" s="84"/>
      <c r="E45" s="79"/>
      <c r="F45" s="79"/>
      <c r="G45" s="80"/>
      <c r="H45" s="79"/>
      <c r="I45" s="79"/>
      <c r="J45" s="80"/>
      <c r="K45" s="79"/>
      <c r="L45" s="79"/>
      <c r="M45" s="80"/>
      <c r="N45" s="79"/>
      <c r="O45" s="79"/>
      <c r="P45" s="80"/>
      <c r="Q45" s="79"/>
      <c r="R45" s="133"/>
      <c r="S45" s="93"/>
      <c r="T45" s="83"/>
      <c r="U45" s="128"/>
      <c r="V45" s="89"/>
      <c r="W45" s="98"/>
      <c r="X45" s="188"/>
      <c r="Y45" s="185"/>
    </row>
    <row r="46" spans="1:25" ht="24" customHeight="1" x14ac:dyDescent="0.2">
      <c r="A46" s="91"/>
      <c r="B46" s="91"/>
      <c r="C46" s="83"/>
      <c r="D46" s="84"/>
      <c r="E46" s="83"/>
      <c r="F46" s="83"/>
      <c r="G46" s="84"/>
      <c r="H46" s="83"/>
      <c r="I46" s="83"/>
      <c r="J46" s="84"/>
      <c r="K46" s="83"/>
      <c r="L46" s="83"/>
      <c r="M46" s="84"/>
      <c r="N46" s="79"/>
      <c r="O46" s="83"/>
      <c r="P46" s="84"/>
      <c r="Q46" s="83"/>
      <c r="R46" s="83"/>
      <c r="S46" s="84"/>
      <c r="T46" s="83"/>
      <c r="U46" s="128"/>
      <c r="V46" s="89"/>
      <c r="W46" s="98"/>
      <c r="X46" s="188"/>
      <c r="Y46" s="185"/>
    </row>
    <row r="47" spans="1:25" ht="24" customHeight="1" x14ac:dyDescent="0.2">
      <c r="A47" s="91"/>
      <c r="B47" s="91"/>
      <c r="C47" s="83"/>
      <c r="D47" s="84"/>
      <c r="E47" s="79"/>
      <c r="F47" s="79"/>
      <c r="G47" s="80"/>
      <c r="H47" s="79"/>
      <c r="I47" s="79"/>
      <c r="J47" s="80"/>
      <c r="K47" s="79"/>
      <c r="L47" s="79"/>
      <c r="M47" s="80"/>
      <c r="N47" s="79"/>
      <c r="O47" s="79"/>
      <c r="P47" s="80"/>
      <c r="Q47" s="79"/>
      <c r="R47" s="83"/>
      <c r="S47" s="84"/>
      <c r="T47" s="83"/>
      <c r="U47" s="128"/>
      <c r="V47" s="89"/>
      <c r="W47" s="98"/>
      <c r="X47" s="188"/>
      <c r="Y47" s="185"/>
    </row>
    <row r="48" spans="1:25" ht="24" customHeight="1" x14ac:dyDescent="0.2">
      <c r="A48" s="91"/>
      <c r="B48" s="91"/>
      <c r="C48" s="83"/>
      <c r="D48" s="84"/>
      <c r="E48" s="83"/>
      <c r="F48" s="79"/>
      <c r="G48" s="80"/>
      <c r="H48" s="79"/>
      <c r="I48" s="79"/>
      <c r="J48" s="80"/>
      <c r="K48" s="79"/>
      <c r="L48" s="79"/>
      <c r="M48" s="80"/>
      <c r="N48" s="79"/>
      <c r="O48" s="79"/>
      <c r="P48" s="80"/>
      <c r="Q48" s="79"/>
      <c r="R48" s="83"/>
      <c r="S48" s="84"/>
      <c r="T48" s="83"/>
      <c r="U48" s="128"/>
      <c r="V48" s="89"/>
      <c r="W48" s="98"/>
      <c r="X48" s="188"/>
      <c r="Y48" s="185"/>
    </row>
    <row r="49" spans="1:25" ht="24" customHeight="1" x14ac:dyDescent="0.2">
      <c r="A49" s="91"/>
      <c r="B49" s="91"/>
      <c r="C49" s="83"/>
      <c r="D49" s="84"/>
      <c r="E49" s="83"/>
      <c r="F49" s="79"/>
      <c r="G49" s="80"/>
      <c r="H49" s="79"/>
      <c r="I49" s="83"/>
      <c r="J49" s="84"/>
      <c r="K49" s="79"/>
      <c r="L49" s="79"/>
      <c r="M49" s="80"/>
      <c r="N49" s="79"/>
      <c r="O49" s="79"/>
      <c r="P49" s="80"/>
      <c r="Q49" s="79"/>
      <c r="R49" s="83"/>
      <c r="S49" s="84"/>
      <c r="T49" s="83"/>
      <c r="U49" s="128"/>
      <c r="V49" s="89"/>
      <c r="W49" s="98"/>
      <c r="X49" s="188"/>
      <c r="Y49" s="185"/>
    </row>
    <row r="50" spans="1:25" ht="24" customHeight="1" x14ac:dyDescent="0.2">
      <c r="A50" s="91"/>
      <c r="B50" s="132"/>
      <c r="C50" s="79"/>
      <c r="D50" s="84"/>
      <c r="E50" s="79"/>
      <c r="F50" s="83"/>
      <c r="G50" s="80"/>
      <c r="H50" s="79"/>
      <c r="I50" s="83"/>
      <c r="J50" s="80"/>
      <c r="K50" s="79"/>
      <c r="L50" s="83"/>
      <c r="M50" s="80"/>
      <c r="N50" s="79"/>
      <c r="O50" s="83"/>
      <c r="P50" s="80"/>
      <c r="Q50" s="79"/>
      <c r="R50" s="83"/>
      <c r="S50" s="84"/>
      <c r="T50" s="83"/>
      <c r="U50" s="128"/>
      <c r="V50" s="89"/>
      <c r="W50" s="98"/>
      <c r="X50" s="188"/>
      <c r="Y50" s="185"/>
    </row>
    <row r="51" spans="1:25" ht="24" customHeight="1" x14ac:dyDescent="0.2">
      <c r="A51" s="103"/>
      <c r="B51" s="132"/>
      <c r="C51" s="83"/>
      <c r="D51" s="84"/>
      <c r="E51" s="79"/>
      <c r="F51" s="79"/>
      <c r="G51" s="80"/>
      <c r="H51" s="79"/>
      <c r="I51" s="79"/>
      <c r="J51" s="80"/>
      <c r="K51" s="79"/>
      <c r="L51" s="79"/>
      <c r="M51" s="80"/>
      <c r="N51" s="79"/>
      <c r="O51" s="79"/>
      <c r="P51" s="80"/>
      <c r="Q51" s="79"/>
      <c r="R51" s="83"/>
      <c r="S51" s="84"/>
      <c r="T51" s="83"/>
      <c r="U51" s="128"/>
      <c r="V51" s="89"/>
      <c r="W51" s="98"/>
      <c r="X51" s="188"/>
      <c r="Y51" s="185"/>
    </row>
    <row r="52" spans="1:25" ht="24" customHeight="1" x14ac:dyDescent="0.2">
      <c r="A52" s="103"/>
      <c r="B52" s="132"/>
      <c r="C52" s="79"/>
      <c r="D52" s="80"/>
      <c r="E52" s="79"/>
      <c r="F52" s="79"/>
      <c r="G52" s="80"/>
      <c r="H52" s="79"/>
      <c r="I52" s="79"/>
      <c r="J52" s="80"/>
      <c r="K52" s="79"/>
      <c r="L52" s="79"/>
      <c r="M52" s="80"/>
      <c r="N52" s="79"/>
      <c r="O52" s="79"/>
      <c r="P52" s="80"/>
      <c r="Q52" s="79"/>
      <c r="R52" s="83"/>
      <c r="S52" s="84"/>
      <c r="T52" s="83"/>
      <c r="U52" s="128"/>
      <c r="V52" s="74"/>
      <c r="X52" s="188"/>
      <c r="Y52" s="185"/>
    </row>
    <row r="53" spans="1:25" ht="24" customHeight="1" x14ac:dyDescent="0.2">
      <c r="A53" s="103"/>
      <c r="B53" s="132"/>
      <c r="C53" s="79"/>
      <c r="D53" s="84"/>
      <c r="E53" s="79"/>
      <c r="F53" s="79"/>
      <c r="G53" s="80"/>
      <c r="H53" s="79"/>
      <c r="I53" s="79"/>
      <c r="J53" s="80"/>
      <c r="K53" s="79"/>
      <c r="L53" s="79"/>
      <c r="M53" s="80"/>
      <c r="N53" s="79"/>
      <c r="O53" s="79"/>
      <c r="P53" s="80"/>
      <c r="Q53" s="79"/>
      <c r="R53" s="83"/>
      <c r="S53" s="84"/>
      <c r="T53" s="83"/>
      <c r="U53" s="128"/>
      <c r="V53" s="74"/>
      <c r="X53" s="188"/>
      <c r="Y53" s="185"/>
    </row>
    <row r="54" spans="1:25" ht="24" customHeight="1" x14ac:dyDescent="0.2">
      <c r="A54" s="103"/>
      <c r="B54" s="132"/>
      <c r="C54" s="79"/>
      <c r="D54" s="84"/>
      <c r="E54" s="79"/>
      <c r="F54" s="79"/>
      <c r="G54" s="80"/>
      <c r="H54" s="79"/>
      <c r="I54" s="79"/>
      <c r="J54" s="80"/>
      <c r="K54" s="79"/>
      <c r="L54" s="79"/>
      <c r="M54" s="80"/>
      <c r="N54" s="79"/>
      <c r="O54" s="79"/>
      <c r="P54" s="80"/>
      <c r="Q54" s="79"/>
      <c r="R54" s="83"/>
      <c r="S54" s="84"/>
      <c r="T54" s="83"/>
      <c r="U54" s="128"/>
      <c r="V54" s="74"/>
      <c r="X54" s="188"/>
      <c r="Y54" s="185"/>
    </row>
    <row r="55" spans="1:25" ht="24" customHeight="1" x14ac:dyDescent="0.2">
      <c r="A55" s="103"/>
      <c r="B55" s="132"/>
      <c r="C55" s="79"/>
      <c r="D55" s="80"/>
      <c r="E55" s="79"/>
      <c r="F55" s="79"/>
      <c r="G55" s="80"/>
      <c r="H55" s="79"/>
      <c r="I55" s="79"/>
      <c r="J55" s="80"/>
      <c r="K55" s="79"/>
      <c r="L55" s="79"/>
      <c r="M55" s="80"/>
      <c r="N55" s="79"/>
      <c r="O55" s="79"/>
      <c r="P55" s="80"/>
      <c r="Q55" s="79"/>
      <c r="R55" s="83"/>
      <c r="S55" s="84"/>
      <c r="T55" s="83"/>
      <c r="U55" s="128"/>
      <c r="V55" s="74"/>
      <c r="X55" s="188"/>
      <c r="Y55" s="185"/>
    </row>
    <row r="56" spans="1:25" ht="24" customHeight="1" x14ac:dyDescent="0.2">
      <c r="A56" s="103"/>
      <c r="B56" s="132"/>
      <c r="C56" s="79"/>
      <c r="D56" s="84"/>
      <c r="E56" s="79"/>
      <c r="F56" s="79"/>
      <c r="G56" s="80"/>
      <c r="H56" s="79"/>
      <c r="I56" s="79"/>
      <c r="J56" s="80"/>
      <c r="K56" s="79"/>
      <c r="L56" s="79"/>
      <c r="M56" s="80"/>
      <c r="N56" s="79"/>
      <c r="O56" s="79"/>
      <c r="P56" s="80"/>
      <c r="Q56" s="79"/>
      <c r="R56" s="83"/>
      <c r="S56" s="84"/>
      <c r="T56" s="83"/>
      <c r="U56" s="128"/>
      <c r="V56" s="74"/>
      <c r="X56" s="188"/>
      <c r="Y56" s="185"/>
    </row>
    <row r="57" spans="1:25" ht="24" customHeight="1" x14ac:dyDescent="0.2">
      <c r="A57" s="103"/>
      <c r="B57" s="132"/>
      <c r="C57" s="79"/>
      <c r="D57" s="84"/>
      <c r="E57" s="79"/>
      <c r="F57" s="79"/>
      <c r="G57" s="80"/>
      <c r="H57" s="79"/>
      <c r="I57" s="79"/>
      <c r="J57" s="80"/>
      <c r="K57" s="79"/>
      <c r="L57" s="79"/>
      <c r="M57" s="80"/>
      <c r="N57" s="79"/>
      <c r="O57" s="79"/>
      <c r="P57" s="80"/>
      <c r="Q57" s="79"/>
      <c r="R57" s="83"/>
      <c r="S57" s="84"/>
      <c r="T57" s="83"/>
      <c r="U57" s="128"/>
      <c r="V57" s="74"/>
      <c r="X57" s="188"/>
      <c r="Y57" s="185"/>
    </row>
    <row r="58" spans="1:25" ht="24" customHeight="1" x14ac:dyDescent="0.2">
      <c r="A58" s="103"/>
      <c r="B58" s="132"/>
      <c r="C58" s="79"/>
      <c r="D58" s="80"/>
      <c r="E58" s="79"/>
      <c r="F58" s="79"/>
      <c r="G58" s="80"/>
      <c r="H58" s="79"/>
      <c r="I58" s="79"/>
      <c r="J58" s="80"/>
      <c r="K58" s="79"/>
      <c r="L58" s="79"/>
      <c r="M58" s="80"/>
      <c r="N58" s="79"/>
      <c r="O58" s="79"/>
      <c r="P58" s="80"/>
      <c r="Q58" s="79"/>
      <c r="R58" s="83"/>
      <c r="S58" s="84"/>
      <c r="T58" s="83"/>
      <c r="U58" s="128"/>
      <c r="V58" s="74"/>
      <c r="X58" s="188"/>
      <c r="Y58" s="185"/>
    </row>
    <row r="59" spans="1:25" ht="24" customHeight="1" x14ac:dyDescent="0.2">
      <c r="A59" s="103"/>
      <c r="B59" s="132"/>
      <c r="C59" s="79"/>
      <c r="D59" s="80"/>
      <c r="E59" s="79"/>
      <c r="F59" s="79"/>
      <c r="G59" s="80"/>
      <c r="H59" s="79"/>
      <c r="I59" s="79"/>
      <c r="J59" s="80"/>
      <c r="K59" s="79"/>
      <c r="L59" s="79"/>
      <c r="M59" s="80"/>
      <c r="N59" s="79"/>
      <c r="O59" s="79"/>
      <c r="P59" s="80"/>
      <c r="Q59" s="79"/>
      <c r="R59" s="83"/>
      <c r="S59" s="84"/>
      <c r="T59" s="83"/>
      <c r="U59" s="128"/>
      <c r="V59" s="74"/>
      <c r="X59" s="188"/>
      <c r="Y59" s="185"/>
    </row>
    <row r="60" spans="1:25" ht="24" customHeight="1" x14ac:dyDescent="0.2">
      <c r="A60" s="103"/>
      <c r="B60" s="103"/>
      <c r="C60" s="103"/>
      <c r="D60" s="84"/>
      <c r="E60" s="103"/>
      <c r="F60" s="103"/>
      <c r="G60" s="84"/>
      <c r="H60" s="103"/>
      <c r="I60" s="103"/>
      <c r="J60" s="84"/>
      <c r="K60" s="103"/>
      <c r="L60" s="103"/>
      <c r="M60" s="84"/>
      <c r="N60" s="103"/>
      <c r="O60" s="103"/>
      <c r="P60" s="84"/>
      <c r="Q60" s="103"/>
      <c r="R60" s="103"/>
      <c r="S60" s="84"/>
      <c r="T60" s="103"/>
      <c r="U60" s="128"/>
      <c r="V60" s="74"/>
      <c r="X60" s="188"/>
      <c r="Y60" s="185"/>
    </row>
    <row r="61" spans="1:25" ht="24" customHeight="1" x14ac:dyDescent="0.2">
      <c r="A61" s="103"/>
      <c r="B61" s="103"/>
      <c r="C61" s="103"/>
      <c r="D61" s="84"/>
      <c r="E61" s="103"/>
      <c r="F61" s="103"/>
      <c r="G61" s="84"/>
      <c r="H61" s="103"/>
      <c r="I61" s="103"/>
      <c r="J61" s="84"/>
      <c r="K61" s="103"/>
      <c r="L61" s="103"/>
      <c r="M61" s="84"/>
      <c r="N61" s="103"/>
      <c r="O61" s="103"/>
      <c r="P61" s="84"/>
      <c r="Q61" s="103"/>
      <c r="R61" s="103"/>
      <c r="S61" s="84"/>
      <c r="T61" s="103"/>
      <c r="U61" s="128"/>
      <c r="V61" s="74"/>
      <c r="X61" s="188"/>
      <c r="Y61" s="185"/>
    </row>
    <row r="62" spans="1:25" ht="24" customHeight="1" x14ac:dyDescent="0.2">
      <c r="A62" s="103"/>
      <c r="B62" s="103"/>
      <c r="C62" s="103"/>
      <c r="D62" s="84"/>
      <c r="E62" s="103"/>
      <c r="F62" s="103"/>
      <c r="G62" s="84"/>
      <c r="H62" s="103"/>
      <c r="I62" s="103"/>
      <c r="J62" s="84"/>
      <c r="K62" s="103"/>
      <c r="L62" s="103"/>
      <c r="M62" s="84"/>
      <c r="N62" s="103"/>
      <c r="O62" s="103"/>
      <c r="P62" s="84"/>
      <c r="Q62" s="103"/>
      <c r="R62" s="103"/>
      <c r="S62" s="84"/>
      <c r="T62" s="103"/>
      <c r="U62" s="128"/>
      <c r="V62" s="74"/>
      <c r="X62" s="188"/>
      <c r="Y62" s="185"/>
    </row>
    <row r="63" spans="1:25" ht="24" customHeight="1" x14ac:dyDescent="0.2">
      <c r="A63" s="103"/>
      <c r="B63" s="103"/>
      <c r="C63" s="103"/>
      <c r="D63" s="84"/>
      <c r="E63" s="103"/>
      <c r="F63" s="103"/>
      <c r="G63" s="84"/>
      <c r="H63" s="103"/>
      <c r="I63" s="103"/>
      <c r="J63" s="84"/>
      <c r="K63" s="103"/>
      <c r="L63" s="103"/>
      <c r="M63" s="84"/>
      <c r="N63" s="103"/>
      <c r="O63" s="103"/>
      <c r="P63" s="84"/>
      <c r="Q63" s="103"/>
      <c r="R63" s="103"/>
      <c r="S63" s="84"/>
      <c r="T63" s="103"/>
      <c r="U63" s="128"/>
      <c r="V63" s="74"/>
      <c r="X63" s="188"/>
      <c r="Y63" s="185"/>
    </row>
    <row r="64" spans="1:25" ht="24" customHeight="1" x14ac:dyDescent="0.2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16"/>
      <c r="V64" s="74"/>
      <c r="X64" s="188"/>
      <c r="Y64" s="185"/>
    </row>
    <row r="65" spans="1:25" ht="24" customHeight="1" x14ac:dyDescent="0.2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16"/>
      <c r="V65" s="74"/>
      <c r="X65" s="188"/>
      <c r="Y65" s="185"/>
    </row>
    <row r="66" spans="1:25" ht="24" customHeight="1" x14ac:dyDescent="0.2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16"/>
      <c r="V66" s="74"/>
      <c r="X66" s="188"/>
      <c r="Y66" s="185"/>
    </row>
    <row r="67" spans="1:25" ht="24" customHeight="1" x14ac:dyDescent="0.2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16"/>
      <c r="V67" s="74"/>
      <c r="X67" s="188"/>
      <c r="Y67" s="185"/>
    </row>
    <row r="68" spans="1:25" ht="24" customHeight="1" x14ac:dyDescent="0.2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16"/>
      <c r="V68" s="74"/>
      <c r="X68" s="188"/>
      <c r="Y68" s="185"/>
    </row>
    <row r="69" spans="1:25" ht="24" customHeight="1" x14ac:dyDescent="0.2">
      <c r="A69" s="111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116"/>
      <c r="V69" s="74"/>
      <c r="X69" s="188"/>
      <c r="Y69" s="185"/>
    </row>
    <row r="70" spans="1:25" x14ac:dyDescent="0.2">
      <c r="A70" s="111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</row>
    <row r="71" spans="1:25" x14ac:dyDescent="0.2">
      <c r="A71" s="111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</row>
    <row r="72" spans="1:25" x14ac:dyDescent="0.2">
      <c r="A72" s="111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</row>
  </sheetData>
  <sheetProtection formatCells="0" selectLockedCells="1" selectUnlockedCells="1"/>
  <mergeCells count="79">
    <mergeCell ref="X22:Y22"/>
    <mergeCell ref="B32:T32"/>
    <mergeCell ref="A5:A6"/>
    <mergeCell ref="B5:T5"/>
    <mergeCell ref="X10:Y10"/>
    <mergeCell ref="X11:Y1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34:Y34"/>
    <mergeCell ref="X23:Y23"/>
    <mergeCell ref="X24:Y24"/>
    <mergeCell ref="X25:Y25"/>
    <mergeCell ref="X26:Y26"/>
    <mergeCell ref="X27:Y27"/>
    <mergeCell ref="X28:Y28"/>
    <mergeCell ref="X29:Y29"/>
    <mergeCell ref="X30:Y30"/>
    <mergeCell ref="X31:Y31"/>
    <mergeCell ref="X32:Y32"/>
    <mergeCell ref="X33:Y33"/>
    <mergeCell ref="X46:Y46"/>
    <mergeCell ref="X35:Y35"/>
    <mergeCell ref="X36:Y36"/>
    <mergeCell ref="X37:Y37"/>
    <mergeCell ref="X38:Y38"/>
    <mergeCell ref="X39:Y39"/>
    <mergeCell ref="X40:Y40"/>
    <mergeCell ref="X41:Y41"/>
    <mergeCell ref="X42:Y42"/>
    <mergeCell ref="X43:Y43"/>
    <mergeCell ref="X44:Y44"/>
    <mergeCell ref="X45:Y45"/>
    <mergeCell ref="X54:Y54"/>
    <mergeCell ref="X55:Y55"/>
    <mergeCell ref="X56:Y56"/>
    <mergeCell ref="X57:Y57"/>
    <mergeCell ref="X47:Y47"/>
    <mergeCell ref="X48:Y48"/>
    <mergeCell ref="X49:Y49"/>
    <mergeCell ref="X50:Y50"/>
    <mergeCell ref="X51:Y51"/>
    <mergeCell ref="X52:Y52"/>
    <mergeCell ref="X58:Y58"/>
    <mergeCell ref="X68:Y68"/>
    <mergeCell ref="X69:Y69"/>
    <mergeCell ref="I1:K1"/>
    <mergeCell ref="I2:K2"/>
    <mergeCell ref="I3:K3"/>
    <mergeCell ref="I4:K4"/>
    <mergeCell ref="L1:N1"/>
    <mergeCell ref="L2:N2"/>
    <mergeCell ref="L3:N3"/>
    <mergeCell ref="L4:N4"/>
    <mergeCell ref="X59:Y59"/>
    <mergeCell ref="X60:Y60"/>
    <mergeCell ref="X61:Y61"/>
    <mergeCell ref="X62:Y62"/>
    <mergeCell ref="X53:Y53"/>
    <mergeCell ref="X63:Y63"/>
    <mergeCell ref="X64:Y64"/>
    <mergeCell ref="X65:Y65"/>
    <mergeCell ref="X66:Y66"/>
    <mergeCell ref="X67:Y67"/>
    <mergeCell ref="C1:E1"/>
    <mergeCell ref="C2:E2"/>
    <mergeCell ref="C3:E3"/>
    <mergeCell ref="C4:E4"/>
    <mergeCell ref="F1:H1"/>
    <mergeCell ref="F2:H2"/>
    <mergeCell ref="F3:H3"/>
    <mergeCell ref="F4:H4"/>
  </mergeCells>
  <printOptions horizontalCentered="1" verticalCentered="1" gridLines="1"/>
  <pageMargins left="0.5" right="0.5" top="0.5" bottom="0.25" header="0" footer="0"/>
  <pageSetup scale="74" orientation="landscape" blackAndWhite="1" r:id="rId1"/>
  <headerFooter alignWithMargins="0">
    <oddHeader>&amp;LFAX-425-487-1568&amp;CTIMESHEET</oddHeader>
  </headerFooter>
  <rowBreaks count="2" manualBreakCount="2">
    <brk id="31" max="20" man="1"/>
    <brk id="63" max="20" man="1"/>
  </rowBreaks>
  <colBreaks count="1" manualBreakCount="1">
    <brk id="21" max="68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workbookViewId="0">
      <selection activeCell="I4" sqref="I4:K4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116</v>
      </c>
      <c r="D1" s="175"/>
      <c r="E1" s="175"/>
      <c r="F1" s="174" t="s">
        <v>115</v>
      </c>
      <c r="G1" s="175"/>
      <c r="H1" s="175"/>
      <c r="I1" s="189"/>
      <c r="J1" s="175"/>
      <c r="K1" s="175"/>
      <c r="L1" s="174"/>
      <c r="M1" s="175"/>
      <c r="N1" s="175"/>
      <c r="O1" s="144" t="s">
        <v>131</v>
      </c>
      <c r="P1" s="143"/>
      <c r="Q1" s="143"/>
      <c r="R1" s="143"/>
      <c r="S1" s="143"/>
      <c r="T1" s="143"/>
      <c r="U1" s="109"/>
      <c r="V1" s="112"/>
    </row>
    <row r="2" spans="1:25" ht="24" customHeight="1" x14ac:dyDescent="0.2">
      <c r="A2" s="103"/>
      <c r="B2" s="110" t="s">
        <v>129</v>
      </c>
      <c r="C2" s="175" t="s">
        <v>134</v>
      </c>
      <c r="D2" s="175"/>
      <c r="E2" s="175"/>
      <c r="F2" s="174" t="s">
        <v>133</v>
      </c>
      <c r="G2" s="176"/>
      <c r="H2" s="176"/>
      <c r="I2" s="189" t="s">
        <v>176</v>
      </c>
      <c r="J2" s="175"/>
      <c r="K2" s="175"/>
      <c r="L2" s="174" t="s">
        <v>126</v>
      </c>
      <c r="M2" s="175"/>
      <c r="N2" s="175"/>
      <c r="O2" s="110" t="s">
        <v>125</v>
      </c>
      <c r="P2" s="142"/>
      <c r="Q2" s="142"/>
      <c r="R2" s="109" t="s">
        <v>130</v>
      </c>
      <c r="S2" s="142"/>
      <c r="T2" s="142"/>
      <c r="U2" s="109"/>
      <c r="V2" s="112"/>
    </row>
    <row r="3" spans="1:25" ht="24" customHeight="1" x14ac:dyDescent="0.2">
      <c r="A3" s="103"/>
      <c r="B3" s="110" t="s">
        <v>175</v>
      </c>
      <c r="C3" s="174" t="s">
        <v>174</v>
      </c>
      <c r="D3" s="176"/>
      <c r="E3" s="176"/>
      <c r="F3" s="174" t="s">
        <v>127</v>
      </c>
      <c r="G3" s="176"/>
      <c r="H3" s="176"/>
      <c r="I3" s="189" t="s">
        <v>173</v>
      </c>
      <c r="J3" s="175"/>
      <c r="K3" s="175"/>
      <c r="L3" s="174" t="s">
        <v>119</v>
      </c>
      <c r="M3" s="175"/>
      <c r="N3" s="175"/>
      <c r="O3" s="110" t="s">
        <v>118</v>
      </c>
      <c r="P3" s="142"/>
      <c r="Q3" s="142"/>
      <c r="R3" s="109" t="s">
        <v>124</v>
      </c>
      <c r="S3" s="142"/>
      <c r="T3" s="142"/>
      <c r="U3" s="109"/>
      <c r="V3" s="111"/>
    </row>
    <row r="4" spans="1:25" ht="24" customHeight="1" thickBot="1" x14ac:dyDescent="0.25">
      <c r="A4" s="103"/>
      <c r="B4" s="110" t="s">
        <v>123</v>
      </c>
      <c r="C4" s="174" t="s">
        <v>172</v>
      </c>
      <c r="D4" s="176"/>
      <c r="E4" s="176"/>
      <c r="F4" s="174" t="s">
        <v>132</v>
      </c>
      <c r="G4" s="176"/>
      <c r="H4" s="176"/>
      <c r="I4" s="190" t="s">
        <v>178</v>
      </c>
      <c r="J4" s="177"/>
      <c r="K4" s="177"/>
      <c r="L4" s="174" t="s">
        <v>112</v>
      </c>
      <c r="M4" s="175"/>
      <c r="N4" s="175"/>
      <c r="O4" s="110" t="s">
        <v>111</v>
      </c>
      <c r="P4" s="142"/>
      <c r="Q4" s="142"/>
      <c r="R4" s="109" t="s">
        <v>117</v>
      </c>
      <c r="S4" s="142"/>
      <c r="T4" s="142"/>
      <c r="U4" s="109"/>
      <c r="V4" s="89"/>
    </row>
    <row r="5" spans="1:25" ht="24" customHeight="1" thickBot="1" x14ac:dyDescent="0.25">
      <c r="A5" s="180"/>
      <c r="B5" s="181" t="s">
        <v>171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42467</v>
      </c>
      <c r="D6" s="107"/>
      <c r="E6" s="107"/>
      <c r="F6" s="107">
        <f>C6+1</f>
        <v>42468</v>
      </c>
      <c r="G6" s="107"/>
      <c r="H6" s="107"/>
      <c r="I6" s="107">
        <f>F6+3</f>
        <v>42471</v>
      </c>
      <c r="J6" s="107"/>
      <c r="K6" s="107"/>
      <c r="L6" s="107">
        <f>I6+1</f>
        <v>42472</v>
      </c>
      <c r="M6" s="107"/>
      <c r="N6" s="107"/>
      <c r="O6" s="107">
        <f>L6+1</f>
        <v>42473</v>
      </c>
      <c r="P6" s="107"/>
      <c r="Q6" s="107"/>
      <c r="R6" s="107">
        <f>F6+1</f>
        <v>42469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/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141">
        <f>SUM(U10:U31)</f>
        <v>36</v>
      </c>
      <c r="V8" s="94"/>
      <c r="W8" s="98"/>
    </row>
    <row r="9" spans="1:25" ht="24" customHeight="1" x14ac:dyDescent="0.2">
      <c r="A9" s="103"/>
      <c r="B9" s="97" t="s">
        <v>110</v>
      </c>
      <c r="C9" s="97" t="s">
        <v>170</v>
      </c>
      <c r="D9" s="97" t="s">
        <v>169</v>
      </c>
      <c r="E9" s="97" t="s">
        <v>17</v>
      </c>
      <c r="F9" s="97" t="s">
        <v>170</v>
      </c>
      <c r="G9" s="97" t="s">
        <v>169</v>
      </c>
      <c r="H9" s="97" t="s">
        <v>17</v>
      </c>
      <c r="I9" s="97" t="s">
        <v>170</v>
      </c>
      <c r="J9" s="97" t="s">
        <v>169</v>
      </c>
      <c r="K9" s="97" t="s">
        <v>17</v>
      </c>
      <c r="L9" s="97" t="s">
        <v>170</v>
      </c>
      <c r="M9" s="97" t="s">
        <v>169</v>
      </c>
      <c r="N9" s="97" t="s">
        <v>17</v>
      </c>
      <c r="O9" s="97" t="s">
        <v>170</v>
      </c>
      <c r="P9" s="97" t="s">
        <v>169</v>
      </c>
      <c r="Q9" s="97" t="s">
        <v>17</v>
      </c>
      <c r="R9" s="97" t="s">
        <v>170</v>
      </c>
      <c r="S9" s="97" t="s">
        <v>169</v>
      </c>
      <c r="T9" s="97" t="s">
        <v>17</v>
      </c>
      <c r="U9" s="101"/>
      <c r="V9" s="100"/>
      <c r="W9" s="98"/>
    </row>
    <row r="10" spans="1:25" ht="24" customHeight="1" x14ac:dyDescent="0.2">
      <c r="A10" s="91"/>
      <c r="B10" s="81"/>
      <c r="C10" s="83"/>
      <c r="D10" s="84"/>
      <c r="E10" s="83"/>
      <c r="F10" s="83"/>
      <c r="G10" s="84"/>
      <c r="H10" s="79"/>
      <c r="I10" s="79"/>
      <c r="J10" s="84"/>
      <c r="K10" s="79"/>
      <c r="L10" s="79"/>
      <c r="M10" s="84"/>
      <c r="N10" s="79"/>
      <c r="O10" s="79"/>
      <c r="P10" s="84"/>
      <c r="Q10" s="79"/>
      <c r="R10" s="83"/>
      <c r="S10" s="84"/>
      <c r="T10" s="83"/>
      <c r="U10" s="75">
        <f t="shared" ref="U10:U16" si="0">SUM(B10,E10,H10,K10,N10,Q10,T10)</f>
        <v>0</v>
      </c>
      <c r="V10" s="94"/>
      <c r="W10" s="98"/>
      <c r="X10" s="184"/>
      <c r="Y10" s="185"/>
    </row>
    <row r="11" spans="1:25" ht="24" customHeight="1" x14ac:dyDescent="0.2">
      <c r="A11" s="91"/>
      <c r="B11" s="95"/>
      <c r="C11" s="83"/>
      <c r="D11" s="84"/>
      <c r="E11" s="83"/>
      <c r="F11" s="83"/>
      <c r="G11" s="84"/>
      <c r="H11" s="83"/>
      <c r="I11" s="83"/>
      <c r="J11" s="84"/>
      <c r="K11" s="79"/>
      <c r="L11" s="83"/>
      <c r="M11" s="84"/>
      <c r="N11" s="79"/>
      <c r="O11" s="83"/>
      <c r="P11" s="84"/>
      <c r="Q11" s="83"/>
      <c r="R11" s="83"/>
      <c r="S11" s="84"/>
      <c r="T11" s="83"/>
      <c r="U11" s="75">
        <f t="shared" si="0"/>
        <v>0</v>
      </c>
      <c r="V11" s="94"/>
      <c r="W11" s="98"/>
      <c r="X11" s="184"/>
      <c r="Y11" s="185"/>
    </row>
    <row r="12" spans="1:25" ht="24" customHeight="1" x14ac:dyDescent="0.2">
      <c r="A12" s="91"/>
      <c r="B12" s="81"/>
      <c r="C12" s="83"/>
      <c r="D12" s="84"/>
      <c r="E12" s="83"/>
      <c r="F12" s="83"/>
      <c r="G12" s="84"/>
      <c r="H12" s="79"/>
      <c r="I12" s="79"/>
      <c r="J12" s="84"/>
      <c r="K12" s="79"/>
      <c r="L12" s="79"/>
      <c r="M12" s="84"/>
      <c r="N12" s="79"/>
      <c r="O12" s="79"/>
      <c r="P12" s="84"/>
      <c r="Q12" s="79"/>
      <c r="R12" s="83"/>
      <c r="S12" s="84"/>
      <c r="T12" s="83"/>
      <c r="U12" s="75">
        <f t="shared" si="0"/>
        <v>0</v>
      </c>
      <c r="V12" s="94"/>
      <c r="W12" s="98"/>
      <c r="X12" s="184"/>
      <c r="Y12" s="185"/>
    </row>
    <row r="13" spans="1:25" ht="24" customHeight="1" x14ac:dyDescent="0.2">
      <c r="A13" s="91"/>
      <c r="B13" s="81"/>
      <c r="C13" s="83"/>
      <c r="D13" s="84"/>
      <c r="E13" s="83"/>
      <c r="F13" s="79"/>
      <c r="G13" s="84"/>
      <c r="H13" s="79"/>
      <c r="I13" s="79"/>
      <c r="J13" s="84"/>
      <c r="K13" s="79"/>
      <c r="L13" s="79"/>
      <c r="M13" s="84"/>
      <c r="N13" s="79"/>
      <c r="O13" s="79"/>
      <c r="P13" s="84"/>
      <c r="Q13" s="79"/>
      <c r="R13" s="83"/>
      <c r="S13" s="84"/>
      <c r="T13" s="83"/>
      <c r="U13" s="75">
        <f t="shared" si="0"/>
        <v>0</v>
      </c>
      <c r="V13" s="94"/>
      <c r="W13" s="98"/>
      <c r="X13" s="184"/>
      <c r="Y13" s="185"/>
    </row>
    <row r="14" spans="1:25" ht="24" customHeight="1" x14ac:dyDescent="0.2">
      <c r="A14" s="91">
        <v>1</v>
      </c>
      <c r="B14" s="81" t="s">
        <v>168</v>
      </c>
      <c r="C14" s="138" t="s">
        <v>167</v>
      </c>
      <c r="D14" s="84">
        <v>800</v>
      </c>
      <c r="E14" s="83"/>
      <c r="F14" s="138" t="s">
        <v>167</v>
      </c>
      <c r="G14" s="84">
        <v>800</v>
      </c>
      <c r="H14" s="83">
        <v>3</v>
      </c>
      <c r="I14" s="138" t="s">
        <v>167</v>
      </c>
      <c r="J14" s="84">
        <v>800</v>
      </c>
      <c r="K14" s="83">
        <v>4</v>
      </c>
      <c r="L14" s="138" t="s">
        <v>167</v>
      </c>
      <c r="M14" s="84">
        <v>800</v>
      </c>
      <c r="N14" s="83"/>
      <c r="O14" s="138" t="s">
        <v>167</v>
      </c>
      <c r="P14" s="84">
        <v>800</v>
      </c>
      <c r="Q14" s="83">
        <v>4</v>
      </c>
      <c r="R14" s="83"/>
      <c r="S14" s="84"/>
      <c r="T14" s="83"/>
      <c r="U14" s="75">
        <f t="shared" si="0"/>
        <v>11</v>
      </c>
      <c r="V14" s="94"/>
      <c r="W14" s="98"/>
      <c r="X14" s="184"/>
      <c r="Y14" s="185"/>
    </row>
    <row r="15" spans="1:25" ht="24" customHeight="1" x14ac:dyDescent="0.2">
      <c r="A15" s="91"/>
      <c r="B15" s="81"/>
      <c r="C15" s="138">
        <v>2028</v>
      </c>
      <c r="D15" s="84">
        <v>101</v>
      </c>
      <c r="E15" s="79">
        <v>2</v>
      </c>
      <c r="F15" s="83">
        <v>2026</v>
      </c>
      <c r="G15" s="84">
        <v>101</v>
      </c>
      <c r="H15" s="83">
        <v>3</v>
      </c>
      <c r="I15" s="139">
        <v>2027</v>
      </c>
      <c r="J15" s="84">
        <v>101</v>
      </c>
      <c r="K15" s="79">
        <v>1</v>
      </c>
      <c r="L15" s="83">
        <v>2023</v>
      </c>
      <c r="M15" s="84">
        <v>101</v>
      </c>
      <c r="N15" s="79">
        <v>1</v>
      </c>
      <c r="O15" s="83">
        <v>2027</v>
      </c>
      <c r="P15" s="84">
        <v>101</v>
      </c>
      <c r="Q15" s="79">
        <v>2</v>
      </c>
      <c r="R15" s="140"/>
      <c r="S15" s="84"/>
      <c r="T15" s="83"/>
      <c r="U15" s="75">
        <f t="shared" si="0"/>
        <v>9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138">
        <v>2023</v>
      </c>
      <c r="D16" s="84">
        <v>151</v>
      </c>
      <c r="E16" s="83">
        <v>1</v>
      </c>
      <c r="F16" s="138">
        <v>2023</v>
      </c>
      <c r="G16" s="84">
        <v>151</v>
      </c>
      <c r="H16" s="79">
        <v>1</v>
      </c>
      <c r="I16" s="139">
        <v>2026</v>
      </c>
      <c r="J16" s="84">
        <v>101</v>
      </c>
      <c r="K16" s="79">
        <v>1</v>
      </c>
      <c r="L16" s="139">
        <v>2023</v>
      </c>
      <c r="M16" s="84">
        <v>151</v>
      </c>
      <c r="N16" s="79">
        <v>3</v>
      </c>
      <c r="O16" s="139">
        <v>2014</v>
      </c>
      <c r="P16" s="84">
        <v>101</v>
      </c>
      <c r="Q16" s="79">
        <v>1</v>
      </c>
      <c r="R16" s="83"/>
      <c r="S16" s="84"/>
      <c r="T16" s="83"/>
      <c r="U16" s="75">
        <f t="shared" si="0"/>
        <v>7</v>
      </c>
      <c r="V16" s="94"/>
      <c r="W16" s="98"/>
      <c r="X16" s="184"/>
      <c r="Y16" s="185"/>
    </row>
    <row r="17" spans="1:25" ht="24" customHeight="1" x14ac:dyDescent="0.2">
      <c r="A17" s="91"/>
      <c r="B17" s="91"/>
      <c r="C17" s="138">
        <v>2027</v>
      </c>
      <c r="D17" s="84">
        <v>101</v>
      </c>
      <c r="E17" s="79">
        <v>1</v>
      </c>
      <c r="F17" s="138">
        <v>2027</v>
      </c>
      <c r="G17" s="84">
        <v>101</v>
      </c>
      <c r="H17" s="83">
        <v>1</v>
      </c>
      <c r="I17" s="139">
        <v>2025</v>
      </c>
      <c r="J17" s="84">
        <v>101</v>
      </c>
      <c r="K17" s="79">
        <v>2</v>
      </c>
      <c r="L17" s="139">
        <v>2021</v>
      </c>
      <c r="M17" s="84">
        <v>100</v>
      </c>
      <c r="N17" s="79">
        <v>2</v>
      </c>
      <c r="O17" s="139">
        <v>2028</v>
      </c>
      <c r="P17" s="84">
        <v>101</v>
      </c>
      <c r="Q17" s="79">
        <v>1</v>
      </c>
      <c r="R17" s="83"/>
      <c r="S17" s="84"/>
      <c r="T17" s="83"/>
      <c r="U17" s="75">
        <f>SUM(B17,E16,H17,K17,N17,Q17,T17)</f>
        <v>7</v>
      </c>
      <c r="V17" s="94"/>
      <c r="W17" s="98"/>
      <c r="X17" s="184"/>
      <c r="Y17" s="185"/>
    </row>
    <row r="18" spans="1:25" ht="24" customHeight="1" x14ac:dyDescent="0.2">
      <c r="A18" s="91"/>
      <c r="B18" s="91"/>
      <c r="C18" s="145" t="s">
        <v>177</v>
      </c>
      <c r="D18" s="84"/>
      <c r="E18" s="83"/>
      <c r="F18" s="138"/>
      <c r="G18" s="84"/>
      <c r="H18" s="83"/>
      <c r="I18" s="139"/>
      <c r="J18" s="84"/>
      <c r="K18" s="79"/>
      <c r="L18" s="139">
        <v>2021</v>
      </c>
      <c r="M18" s="84">
        <v>101</v>
      </c>
      <c r="N18" s="79">
        <v>1</v>
      </c>
      <c r="O18" s="139"/>
      <c r="P18" s="84"/>
      <c r="Q18" s="79"/>
      <c r="R18" s="83"/>
      <c r="S18" s="84"/>
      <c r="T18" s="83"/>
      <c r="U18" s="75">
        <f t="shared" ref="U18:U31" si="1">SUM(B18,E18,H18,K18,N18,Q18,T18)</f>
        <v>1</v>
      </c>
      <c r="V18" s="94"/>
      <c r="W18" s="98"/>
      <c r="X18" s="184"/>
      <c r="Y18" s="185"/>
    </row>
    <row r="19" spans="1:25" ht="24" customHeight="1" x14ac:dyDescent="0.2">
      <c r="A19" s="91"/>
      <c r="B19" s="81"/>
      <c r="C19" s="138"/>
      <c r="D19" s="84"/>
      <c r="E19" s="83"/>
      <c r="F19" s="138"/>
      <c r="G19" s="84"/>
      <c r="H19" s="83"/>
      <c r="I19" s="83"/>
      <c r="J19" s="84"/>
      <c r="K19" s="79"/>
      <c r="L19" s="139">
        <v>2027</v>
      </c>
      <c r="M19" s="84">
        <v>101</v>
      </c>
      <c r="N19" s="79">
        <v>1</v>
      </c>
      <c r="O19" s="79"/>
      <c r="P19" s="84"/>
      <c r="Q19" s="79"/>
      <c r="R19" s="83"/>
      <c r="S19" s="84"/>
      <c r="T19" s="83"/>
      <c r="U19" s="75">
        <f t="shared" si="1"/>
        <v>1</v>
      </c>
      <c r="V19" s="94"/>
      <c r="W19" s="98"/>
      <c r="X19" s="184"/>
      <c r="Y19" s="185"/>
    </row>
    <row r="20" spans="1:25" ht="24" customHeight="1" x14ac:dyDescent="0.2">
      <c r="A20" s="91"/>
      <c r="B20" s="81"/>
      <c r="C20" s="138"/>
      <c r="D20" s="84"/>
      <c r="E20" s="83"/>
      <c r="F20" s="79"/>
      <c r="G20" s="84"/>
      <c r="H20" s="79"/>
      <c r="I20" s="83"/>
      <c r="J20" s="84"/>
      <c r="K20" s="79"/>
      <c r="L20" s="83"/>
      <c r="M20" s="84"/>
      <c r="N20" s="83"/>
      <c r="O20" s="79"/>
      <c r="P20" s="84"/>
      <c r="Q20" s="79"/>
      <c r="R20" s="83"/>
      <c r="S20" s="84"/>
      <c r="T20" s="83"/>
      <c r="U20" s="75">
        <f t="shared" si="1"/>
        <v>0</v>
      </c>
      <c r="V20" s="94"/>
      <c r="W20" s="98"/>
      <c r="X20" s="184"/>
      <c r="Y20" s="185"/>
    </row>
    <row r="21" spans="1:25" ht="24" customHeight="1" x14ac:dyDescent="0.2">
      <c r="A21" s="91"/>
      <c r="B21" s="81"/>
      <c r="C21" s="79"/>
      <c r="D21" s="84"/>
      <c r="E21" s="79"/>
      <c r="F21" s="83"/>
      <c r="G21" s="136"/>
      <c r="H21" s="79"/>
      <c r="I21" s="83"/>
      <c r="J21" s="84"/>
      <c r="K21" s="79"/>
      <c r="L21" s="137"/>
      <c r="M21" s="136"/>
      <c r="N21" s="137"/>
      <c r="O21" s="83"/>
      <c r="P21" s="136"/>
      <c r="Q21" s="79"/>
      <c r="R21" s="83"/>
      <c r="S21" s="136"/>
      <c r="T21" s="83"/>
      <c r="U21" s="75">
        <f t="shared" si="1"/>
        <v>0</v>
      </c>
      <c r="V21" s="94"/>
      <c r="W21" s="98"/>
      <c r="X21" s="184"/>
      <c r="Y21" s="185"/>
    </row>
    <row r="22" spans="1:25" ht="24" customHeight="1" x14ac:dyDescent="0.2">
      <c r="A22" s="91"/>
      <c r="B22" s="81"/>
      <c r="C22" s="83"/>
      <c r="D22" s="84"/>
      <c r="E22" s="79"/>
      <c r="F22" s="79"/>
      <c r="G22" s="84"/>
      <c r="H22" s="79"/>
      <c r="I22" s="79"/>
      <c r="J22" s="84"/>
      <c r="K22" s="79"/>
      <c r="L22" s="79"/>
      <c r="M22" s="84"/>
      <c r="N22" s="79"/>
      <c r="O22" s="79"/>
      <c r="P22" s="84"/>
      <c r="Q22" s="79"/>
      <c r="R22" s="83"/>
      <c r="S22" s="84"/>
      <c r="T22" s="83"/>
      <c r="U22" s="75">
        <f t="shared" si="1"/>
        <v>0</v>
      </c>
      <c r="V22" s="89"/>
      <c r="W22" s="98"/>
      <c r="X22" s="184"/>
      <c r="Y22" s="185"/>
    </row>
    <row r="23" spans="1:25" ht="24" customHeight="1" x14ac:dyDescent="0.2">
      <c r="A23" s="91"/>
      <c r="B23" s="81"/>
      <c r="C23" s="79"/>
      <c r="D23" s="84"/>
      <c r="E23" s="79"/>
      <c r="F23" s="79"/>
      <c r="G23" s="84"/>
      <c r="H23" s="79"/>
      <c r="I23" s="79"/>
      <c r="J23" s="84"/>
      <c r="K23" s="79"/>
      <c r="L23" s="79"/>
      <c r="M23" s="84"/>
      <c r="N23" s="79"/>
      <c r="O23" s="79"/>
      <c r="P23" s="84"/>
      <c r="Q23" s="79"/>
      <c r="R23" s="83"/>
      <c r="S23" s="84"/>
      <c r="T23" s="83"/>
      <c r="U23" s="75">
        <f t="shared" si="1"/>
        <v>0</v>
      </c>
      <c r="V23" s="89"/>
      <c r="W23" s="98"/>
      <c r="X23" s="184"/>
      <c r="Y23" s="185"/>
    </row>
    <row r="24" spans="1:25" ht="24" customHeight="1" x14ac:dyDescent="0.2">
      <c r="A24" s="91"/>
      <c r="B24" s="81"/>
      <c r="C24" s="83"/>
      <c r="D24" s="80"/>
      <c r="E24" s="79"/>
      <c r="F24" s="79"/>
      <c r="G24" s="80"/>
      <c r="H24" s="79"/>
      <c r="I24" s="79"/>
      <c r="J24" s="80"/>
      <c r="K24" s="79"/>
      <c r="L24" s="79"/>
      <c r="M24" s="80"/>
      <c r="N24" s="79"/>
      <c r="O24" s="79"/>
      <c r="P24" s="80"/>
      <c r="Q24" s="79"/>
      <c r="R24" s="83"/>
      <c r="S24" s="80"/>
      <c r="T24" s="83"/>
      <c r="U24" s="75">
        <f t="shared" si="1"/>
        <v>0</v>
      </c>
      <c r="V24" s="94"/>
      <c r="W24" s="98"/>
      <c r="X24" s="184"/>
      <c r="Y24" s="185"/>
    </row>
    <row r="25" spans="1:25" ht="24" customHeight="1" x14ac:dyDescent="0.2">
      <c r="A25" s="91"/>
      <c r="B25" s="81"/>
      <c r="C25" s="83"/>
      <c r="D25" s="80"/>
      <c r="E25" s="79"/>
      <c r="F25" s="79"/>
      <c r="G25" s="80"/>
      <c r="H25" s="79"/>
      <c r="I25" s="79"/>
      <c r="J25" s="80"/>
      <c r="K25" s="79"/>
      <c r="L25" s="79"/>
      <c r="M25" s="80"/>
      <c r="N25" s="79"/>
      <c r="O25" s="79"/>
      <c r="P25" s="80"/>
      <c r="Q25" s="79"/>
      <c r="R25" s="83"/>
      <c r="S25" s="80"/>
      <c r="T25" s="83"/>
      <c r="U25" s="75">
        <f t="shared" si="1"/>
        <v>0</v>
      </c>
      <c r="V25" s="94"/>
      <c r="W25" s="98"/>
      <c r="X25" s="184"/>
      <c r="Y25" s="185"/>
    </row>
    <row r="26" spans="1:25" ht="24" customHeight="1" x14ac:dyDescent="0.2">
      <c r="A26" s="91"/>
      <c r="B26" s="81"/>
      <c r="C26" s="83"/>
      <c r="D26" s="84"/>
      <c r="E26" s="83"/>
      <c r="F26" s="83"/>
      <c r="G26" s="84"/>
      <c r="H26" s="79"/>
      <c r="I26" s="79"/>
      <c r="J26" s="84"/>
      <c r="K26" s="79"/>
      <c r="L26" s="79"/>
      <c r="M26" s="84"/>
      <c r="N26" s="79"/>
      <c r="O26" s="79"/>
      <c r="P26" s="84"/>
      <c r="Q26" s="79"/>
      <c r="R26" s="83"/>
      <c r="S26" s="84"/>
      <c r="T26" s="83"/>
      <c r="U26" s="75">
        <f t="shared" si="1"/>
        <v>0</v>
      </c>
      <c r="V26" s="94"/>
      <c r="W26" s="98"/>
      <c r="X26" s="188"/>
      <c r="Y26" s="185"/>
    </row>
    <row r="27" spans="1:25" ht="24" customHeight="1" x14ac:dyDescent="0.2">
      <c r="A27" s="91"/>
      <c r="B27" s="95"/>
      <c r="C27" s="83"/>
      <c r="D27" s="84"/>
      <c r="E27" s="83"/>
      <c r="F27" s="83"/>
      <c r="G27" s="84"/>
      <c r="H27" s="83"/>
      <c r="I27" s="83"/>
      <c r="J27" s="84"/>
      <c r="K27" s="79"/>
      <c r="L27" s="83"/>
      <c r="M27" s="84"/>
      <c r="N27" s="79"/>
      <c r="O27" s="83"/>
      <c r="P27" s="84"/>
      <c r="Q27" s="83"/>
      <c r="R27" s="83"/>
      <c r="S27" s="84"/>
      <c r="T27" s="83"/>
      <c r="U27" s="75">
        <f t="shared" si="1"/>
        <v>0</v>
      </c>
      <c r="V27" s="94"/>
      <c r="W27" s="98"/>
      <c r="X27" s="188"/>
      <c r="Y27" s="185"/>
    </row>
    <row r="28" spans="1:25" ht="24" customHeight="1" x14ac:dyDescent="0.2">
      <c r="A28" s="91"/>
      <c r="B28" s="81"/>
      <c r="C28" s="83"/>
      <c r="D28" s="84"/>
      <c r="E28" s="83"/>
      <c r="F28" s="83"/>
      <c r="G28" s="84"/>
      <c r="H28" s="79"/>
      <c r="I28" s="79"/>
      <c r="J28" s="84"/>
      <c r="K28" s="79"/>
      <c r="L28" s="79"/>
      <c r="M28" s="84"/>
      <c r="N28" s="79"/>
      <c r="O28" s="79"/>
      <c r="P28" s="84"/>
      <c r="Q28" s="79"/>
      <c r="R28" s="83"/>
      <c r="S28" s="84"/>
      <c r="T28" s="83"/>
      <c r="U28" s="75">
        <f t="shared" si="1"/>
        <v>0</v>
      </c>
      <c r="V28" s="94"/>
      <c r="W28" s="98"/>
      <c r="X28" s="188"/>
      <c r="Y28" s="185"/>
    </row>
    <row r="29" spans="1:25" ht="24" customHeight="1" x14ac:dyDescent="0.2">
      <c r="A29" s="91"/>
      <c r="B29" s="81"/>
      <c r="C29" s="83"/>
      <c r="D29" s="84"/>
      <c r="E29" s="83"/>
      <c r="F29" s="79"/>
      <c r="G29" s="84"/>
      <c r="H29" s="79"/>
      <c r="I29" s="79"/>
      <c r="J29" s="84"/>
      <c r="K29" s="79"/>
      <c r="L29" s="79"/>
      <c r="M29" s="84"/>
      <c r="N29" s="79"/>
      <c r="O29" s="79"/>
      <c r="P29" s="84"/>
      <c r="Q29" s="79"/>
      <c r="R29" s="83"/>
      <c r="S29" s="84"/>
      <c r="T29" s="83"/>
      <c r="U29" s="75">
        <f t="shared" si="1"/>
        <v>0</v>
      </c>
      <c r="V29" s="94"/>
      <c r="W29" s="98"/>
      <c r="X29" s="188"/>
      <c r="Y29" s="185"/>
    </row>
    <row r="30" spans="1:25" ht="24" customHeight="1" x14ac:dyDescent="0.2">
      <c r="A30" s="91"/>
      <c r="B30" s="81"/>
      <c r="C30" s="83"/>
      <c r="D30" s="84"/>
      <c r="E30" s="83"/>
      <c r="F30" s="79"/>
      <c r="G30" s="84"/>
      <c r="H30" s="79"/>
      <c r="I30" s="79"/>
      <c r="J30" s="84"/>
      <c r="K30" s="79"/>
      <c r="L30" s="79"/>
      <c r="M30" s="84"/>
      <c r="N30" s="79"/>
      <c r="O30" s="79"/>
      <c r="P30" s="84"/>
      <c r="Q30" s="79"/>
      <c r="R30" s="83"/>
      <c r="S30" s="84"/>
      <c r="T30" s="83"/>
      <c r="U30" s="75">
        <f t="shared" si="1"/>
        <v>0</v>
      </c>
      <c r="V30" s="94"/>
      <c r="W30" s="98"/>
      <c r="X30" s="188"/>
      <c r="Y30" s="185"/>
    </row>
    <row r="31" spans="1:25" ht="24" customHeight="1" thickBot="1" x14ac:dyDescent="0.25">
      <c r="A31" s="91"/>
      <c r="B31" s="81"/>
      <c r="C31" s="83"/>
      <c r="D31" s="80"/>
      <c r="E31" s="79"/>
      <c r="F31" s="83"/>
      <c r="G31" s="80"/>
      <c r="H31" s="79"/>
      <c r="I31" s="134"/>
      <c r="J31" s="80"/>
      <c r="K31" s="79"/>
      <c r="L31" s="79"/>
      <c r="M31" s="80"/>
      <c r="N31" s="79"/>
      <c r="O31" s="79"/>
      <c r="P31" s="80"/>
      <c r="Q31" s="79"/>
      <c r="R31" s="83"/>
      <c r="S31" s="80"/>
      <c r="T31" s="83"/>
      <c r="U31" s="75">
        <f t="shared" si="1"/>
        <v>0</v>
      </c>
      <c r="V31" s="94"/>
      <c r="W31" s="98"/>
      <c r="X31" s="188"/>
      <c r="Y31" s="185"/>
    </row>
    <row r="32" spans="1:25" ht="24" customHeight="1" thickTop="1" x14ac:dyDescent="0.2">
      <c r="A32" s="91"/>
      <c r="B32" s="191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28"/>
      <c r="V32" s="94"/>
      <c r="W32" s="98"/>
      <c r="X32" s="188"/>
      <c r="Y32" s="185"/>
    </row>
    <row r="33" spans="1:25" ht="24" customHeight="1" x14ac:dyDescent="0.2">
      <c r="A33" s="91"/>
      <c r="B33" s="91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28"/>
      <c r="V33" s="94"/>
      <c r="W33" s="98"/>
      <c r="X33" s="188"/>
      <c r="Y33" s="185"/>
    </row>
    <row r="34" spans="1:25" ht="24" customHeight="1" x14ac:dyDescent="0.2">
      <c r="A34" s="91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128"/>
      <c r="V34" s="89"/>
      <c r="W34" s="98"/>
      <c r="X34" s="188"/>
      <c r="Y34" s="185"/>
    </row>
    <row r="35" spans="1:25" ht="24" customHeight="1" x14ac:dyDescent="0.2">
      <c r="A35" s="91"/>
      <c r="B35" s="132"/>
      <c r="C35" s="83"/>
      <c r="D35" s="84"/>
      <c r="E35" s="83"/>
      <c r="F35" s="79"/>
      <c r="G35" s="80"/>
      <c r="H35" s="79"/>
      <c r="I35" s="79"/>
      <c r="J35" s="80"/>
      <c r="K35" s="79"/>
      <c r="L35" s="79"/>
      <c r="M35" s="80"/>
      <c r="N35" s="79"/>
      <c r="O35" s="79"/>
      <c r="P35" s="80"/>
      <c r="Q35" s="79"/>
      <c r="R35" s="83"/>
      <c r="S35" s="84"/>
      <c r="T35" s="83"/>
      <c r="U35" s="128"/>
      <c r="V35" s="94"/>
      <c r="W35" s="98"/>
      <c r="X35" s="188"/>
      <c r="Y35" s="185"/>
    </row>
    <row r="36" spans="1:25" ht="24" customHeight="1" x14ac:dyDescent="0.2">
      <c r="A36" s="91"/>
      <c r="B36" s="91"/>
      <c r="C36" s="83"/>
      <c r="D36" s="84"/>
      <c r="E36" s="83"/>
      <c r="F36" s="79"/>
      <c r="G36" s="80"/>
      <c r="H36" s="79"/>
      <c r="I36" s="83"/>
      <c r="J36" s="84"/>
      <c r="K36" s="79"/>
      <c r="L36" s="79"/>
      <c r="M36" s="80"/>
      <c r="N36" s="79"/>
      <c r="O36" s="79"/>
      <c r="P36" s="80"/>
      <c r="Q36" s="79"/>
      <c r="R36" s="83"/>
      <c r="S36" s="84"/>
      <c r="T36" s="83"/>
      <c r="U36" s="128"/>
      <c r="V36" s="94"/>
      <c r="W36" s="98"/>
      <c r="X36" s="188"/>
      <c r="Y36" s="185"/>
    </row>
    <row r="37" spans="1:25" ht="24" customHeight="1" x14ac:dyDescent="0.2">
      <c r="A37" s="91"/>
      <c r="B37" s="91"/>
      <c r="C37" s="79"/>
      <c r="D37" s="80"/>
      <c r="E37" s="79"/>
      <c r="F37" s="83"/>
      <c r="G37" s="80"/>
      <c r="H37" s="79"/>
      <c r="I37" s="83"/>
      <c r="J37" s="80"/>
      <c r="K37" s="79"/>
      <c r="L37" s="83"/>
      <c r="M37" s="80"/>
      <c r="N37" s="79"/>
      <c r="O37" s="83"/>
      <c r="P37" s="80"/>
      <c r="Q37" s="79"/>
      <c r="R37" s="83"/>
      <c r="S37" s="84"/>
      <c r="T37" s="83"/>
      <c r="U37" s="128"/>
      <c r="V37" s="94"/>
      <c r="W37" s="98"/>
      <c r="X37" s="188"/>
      <c r="Y37" s="185"/>
    </row>
    <row r="38" spans="1:25" ht="24" customHeight="1" x14ac:dyDescent="0.2">
      <c r="A38" s="91"/>
      <c r="B38" s="132"/>
      <c r="C38" s="83"/>
      <c r="D38" s="80"/>
      <c r="E38" s="79"/>
      <c r="F38" s="79"/>
      <c r="G38" s="80"/>
      <c r="H38" s="79"/>
      <c r="I38" s="79"/>
      <c r="J38" s="80"/>
      <c r="K38" s="79"/>
      <c r="L38" s="79"/>
      <c r="M38" s="80"/>
      <c r="N38" s="79"/>
      <c r="O38" s="79"/>
      <c r="P38" s="80"/>
      <c r="Q38" s="79"/>
      <c r="R38" s="83"/>
      <c r="S38" s="84"/>
      <c r="T38" s="83"/>
      <c r="U38" s="128"/>
      <c r="V38" s="89"/>
      <c r="W38" s="98"/>
      <c r="X38" s="188"/>
      <c r="Y38" s="185"/>
    </row>
    <row r="39" spans="1:25" ht="24" customHeight="1" x14ac:dyDescent="0.2">
      <c r="A39" s="91"/>
      <c r="B39" s="132"/>
      <c r="C39" s="83"/>
      <c r="D39" s="84"/>
      <c r="E39" s="83"/>
      <c r="F39" s="83"/>
      <c r="G39" s="80"/>
      <c r="H39" s="79"/>
      <c r="I39" s="79"/>
      <c r="J39" s="80"/>
      <c r="K39" s="79"/>
      <c r="L39" s="79"/>
      <c r="M39" s="80"/>
      <c r="N39" s="79"/>
      <c r="O39" s="79"/>
      <c r="P39" s="80"/>
      <c r="Q39" s="79"/>
      <c r="R39" s="83"/>
      <c r="S39" s="84"/>
      <c r="T39" s="83"/>
      <c r="U39" s="128"/>
      <c r="V39" s="94"/>
      <c r="W39" s="98"/>
      <c r="X39" s="188"/>
      <c r="Y39" s="185"/>
    </row>
    <row r="40" spans="1:25" ht="24" customHeight="1" x14ac:dyDescent="0.2">
      <c r="A40" s="91"/>
      <c r="B40" s="91"/>
      <c r="C40" s="83"/>
      <c r="D40" s="84"/>
      <c r="E40" s="83"/>
      <c r="F40" s="83"/>
      <c r="G40" s="84"/>
      <c r="H40" s="83"/>
      <c r="I40" s="83"/>
      <c r="J40" s="80"/>
      <c r="K40" s="79"/>
      <c r="L40" s="83"/>
      <c r="M40" s="80"/>
      <c r="N40" s="79"/>
      <c r="O40" s="83"/>
      <c r="P40" s="84"/>
      <c r="Q40" s="83"/>
      <c r="R40" s="83"/>
      <c r="S40" s="84"/>
      <c r="T40" s="83"/>
      <c r="U40" s="128"/>
      <c r="V40" s="94"/>
      <c r="W40" s="98"/>
      <c r="X40" s="188"/>
      <c r="Y40" s="185"/>
    </row>
    <row r="41" spans="1:25" ht="24" customHeight="1" x14ac:dyDescent="0.2">
      <c r="A41" s="91"/>
      <c r="B41" s="91"/>
      <c r="C41" s="83"/>
      <c r="D41" s="84"/>
      <c r="E41" s="83"/>
      <c r="F41" s="83"/>
      <c r="G41" s="80"/>
      <c r="H41" s="79"/>
      <c r="I41" s="79"/>
      <c r="J41" s="80"/>
      <c r="K41" s="79"/>
      <c r="L41" s="79"/>
      <c r="M41" s="80"/>
      <c r="N41" s="79"/>
      <c r="O41" s="79"/>
      <c r="P41" s="80"/>
      <c r="Q41" s="79"/>
      <c r="R41" s="83"/>
      <c r="S41" s="84"/>
      <c r="T41" s="83"/>
      <c r="U41" s="128"/>
      <c r="V41" s="94"/>
      <c r="W41" s="98"/>
      <c r="X41" s="188"/>
      <c r="Y41" s="185"/>
    </row>
    <row r="42" spans="1:25" ht="24" customHeight="1" x14ac:dyDescent="0.2">
      <c r="A42" s="91"/>
      <c r="B42" s="91"/>
      <c r="C42" s="83"/>
      <c r="D42" s="84"/>
      <c r="E42" s="83"/>
      <c r="F42" s="79"/>
      <c r="G42" s="80"/>
      <c r="H42" s="79"/>
      <c r="I42" s="79"/>
      <c r="J42" s="80"/>
      <c r="K42" s="79"/>
      <c r="L42" s="79"/>
      <c r="M42" s="80"/>
      <c r="N42" s="79"/>
      <c r="O42" s="79"/>
      <c r="P42" s="80"/>
      <c r="Q42" s="79"/>
      <c r="R42" s="83"/>
      <c r="S42" s="84"/>
      <c r="T42" s="83"/>
      <c r="U42" s="128"/>
      <c r="V42" s="89"/>
      <c r="W42" s="98"/>
      <c r="X42" s="188"/>
      <c r="Y42" s="185"/>
    </row>
    <row r="43" spans="1:25" ht="24" customHeight="1" x14ac:dyDescent="0.2">
      <c r="A43" s="91"/>
      <c r="B43" s="103"/>
      <c r="C43" s="83"/>
      <c r="D43" s="84"/>
      <c r="E43" s="83"/>
      <c r="F43" s="103"/>
      <c r="G43" s="84"/>
      <c r="H43" s="103"/>
      <c r="I43" s="134"/>
      <c r="J43" s="84"/>
      <c r="K43" s="103"/>
      <c r="L43" s="79"/>
      <c r="M43" s="80"/>
      <c r="N43" s="79"/>
      <c r="O43" s="79"/>
      <c r="P43" s="80"/>
      <c r="Q43" s="79"/>
      <c r="R43" s="83"/>
      <c r="S43" s="84"/>
      <c r="T43" s="83"/>
      <c r="U43" s="128"/>
      <c r="V43" s="89"/>
      <c r="W43" s="98"/>
      <c r="X43" s="188"/>
      <c r="Y43" s="185"/>
    </row>
    <row r="44" spans="1:25" ht="24" customHeight="1" x14ac:dyDescent="0.2">
      <c r="A44" s="91"/>
      <c r="B44" s="91"/>
      <c r="C44" s="83"/>
      <c r="D44" s="84"/>
      <c r="E44" s="79"/>
      <c r="F44" s="83"/>
      <c r="G44" s="80"/>
      <c r="H44" s="79"/>
      <c r="I44" s="79"/>
      <c r="J44" s="80"/>
      <c r="K44" s="79"/>
      <c r="L44" s="79"/>
      <c r="M44" s="80"/>
      <c r="N44" s="79"/>
      <c r="O44" s="79"/>
      <c r="P44" s="80"/>
      <c r="Q44" s="79"/>
      <c r="R44" s="83"/>
      <c r="S44" s="80"/>
      <c r="T44" s="83"/>
      <c r="U44" s="128"/>
      <c r="V44" s="89"/>
      <c r="W44" s="98"/>
      <c r="X44" s="188"/>
      <c r="Y44" s="185"/>
    </row>
    <row r="45" spans="1:25" ht="24" customHeight="1" x14ac:dyDescent="0.2">
      <c r="A45" s="91"/>
      <c r="B45" s="91"/>
      <c r="C45" s="83"/>
      <c r="D45" s="84"/>
      <c r="E45" s="79"/>
      <c r="F45" s="79"/>
      <c r="G45" s="80"/>
      <c r="H45" s="79"/>
      <c r="I45" s="79"/>
      <c r="J45" s="80"/>
      <c r="K45" s="79"/>
      <c r="L45" s="79"/>
      <c r="M45" s="80"/>
      <c r="N45" s="79"/>
      <c r="O45" s="79"/>
      <c r="P45" s="80"/>
      <c r="Q45" s="79"/>
      <c r="R45" s="133"/>
      <c r="S45" s="93"/>
      <c r="T45" s="83"/>
      <c r="U45" s="128"/>
      <c r="V45" s="89"/>
      <c r="W45" s="98"/>
      <c r="X45" s="188"/>
      <c r="Y45" s="185"/>
    </row>
    <row r="46" spans="1:25" ht="24" customHeight="1" x14ac:dyDescent="0.2">
      <c r="A46" s="91"/>
      <c r="B46" s="91"/>
      <c r="C46" s="83"/>
      <c r="D46" s="84"/>
      <c r="E46" s="83"/>
      <c r="F46" s="83"/>
      <c r="G46" s="84"/>
      <c r="H46" s="83"/>
      <c r="I46" s="83"/>
      <c r="J46" s="84"/>
      <c r="K46" s="83"/>
      <c r="L46" s="83"/>
      <c r="M46" s="84"/>
      <c r="N46" s="79"/>
      <c r="O46" s="83"/>
      <c r="P46" s="84"/>
      <c r="Q46" s="83"/>
      <c r="R46" s="83"/>
      <c r="S46" s="84"/>
      <c r="T46" s="83"/>
      <c r="U46" s="128"/>
      <c r="V46" s="89"/>
      <c r="W46" s="98"/>
      <c r="X46" s="188"/>
      <c r="Y46" s="185"/>
    </row>
    <row r="47" spans="1:25" ht="24" customHeight="1" x14ac:dyDescent="0.2">
      <c r="A47" s="91"/>
      <c r="B47" s="91"/>
      <c r="C47" s="83"/>
      <c r="D47" s="84"/>
      <c r="E47" s="79"/>
      <c r="F47" s="79"/>
      <c r="G47" s="80"/>
      <c r="H47" s="79"/>
      <c r="I47" s="79"/>
      <c r="J47" s="80"/>
      <c r="K47" s="79"/>
      <c r="L47" s="79"/>
      <c r="M47" s="80"/>
      <c r="N47" s="79"/>
      <c r="O47" s="79"/>
      <c r="P47" s="80"/>
      <c r="Q47" s="79"/>
      <c r="R47" s="83"/>
      <c r="S47" s="84"/>
      <c r="T47" s="83"/>
      <c r="U47" s="128"/>
      <c r="V47" s="89"/>
      <c r="W47" s="98"/>
      <c r="X47" s="188"/>
      <c r="Y47" s="185"/>
    </row>
    <row r="48" spans="1:25" ht="24" customHeight="1" x14ac:dyDescent="0.2">
      <c r="A48" s="91"/>
      <c r="B48" s="91"/>
      <c r="C48" s="83"/>
      <c r="D48" s="84"/>
      <c r="E48" s="83"/>
      <c r="F48" s="79"/>
      <c r="G48" s="80"/>
      <c r="H48" s="79"/>
      <c r="I48" s="79"/>
      <c r="J48" s="80"/>
      <c r="K48" s="79"/>
      <c r="L48" s="79"/>
      <c r="M48" s="80"/>
      <c r="N48" s="79"/>
      <c r="O48" s="79"/>
      <c r="P48" s="80"/>
      <c r="Q48" s="79"/>
      <c r="R48" s="83"/>
      <c r="S48" s="84"/>
      <c r="T48" s="83"/>
      <c r="U48" s="128"/>
      <c r="V48" s="89"/>
      <c r="W48" s="98"/>
      <c r="X48" s="188"/>
      <c r="Y48" s="185"/>
    </row>
    <row r="49" spans="1:25" ht="24" customHeight="1" x14ac:dyDescent="0.2">
      <c r="A49" s="91"/>
      <c r="B49" s="91"/>
      <c r="C49" s="83"/>
      <c r="D49" s="84"/>
      <c r="E49" s="83"/>
      <c r="F49" s="79"/>
      <c r="G49" s="80"/>
      <c r="H49" s="79"/>
      <c r="I49" s="83"/>
      <c r="J49" s="84"/>
      <c r="K49" s="79"/>
      <c r="L49" s="79"/>
      <c r="M49" s="80"/>
      <c r="N49" s="79"/>
      <c r="O49" s="79"/>
      <c r="P49" s="80"/>
      <c r="Q49" s="79"/>
      <c r="R49" s="83"/>
      <c r="S49" s="84"/>
      <c r="T49" s="83"/>
      <c r="U49" s="128"/>
      <c r="V49" s="89"/>
      <c r="W49" s="98"/>
      <c r="X49" s="188"/>
      <c r="Y49" s="185"/>
    </row>
    <row r="50" spans="1:25" ht="24" customHeight="1" x14ac:dyDescent="0.2">
      <c r="A50" s="91"/>
      <c r="B50" s="132"/>
      <c r="C50" s="79"/>
      <c r="D50" s="84"/>
      <c r="E50" s="79"/>
      <c r="F50" s="83"/>
      <c r="G50" s="80"/>
      <c r="H50" s="79"/>
      <c r="I50" s="83"/>
      <c r="J50" s="80"/>
      <c r="K50" s="79"/>
      <c r="L50" s="83"/>
      <c r="M50" s="80"/>
      <c r="N50" s="79"/>
      <c r="O50" s="83"/>
      <c r="P50" s="80"/>
      <c r="Q50" s="79"/>
      <c r="R50" s="83"/>
      <c r="S50" s="84"/>
      <c r="T50" s="83"/>
      <c r="U50" s="128"/>
      <c r="V50" s="89"/>
      <c r="W50" s="98"/>
      <c r="X50" s="188"/>
      <c r="Y50" s="185"/>
    </row>
    <row r="51" spans="1:25" ht="24" customHeight="1" x14ac:dyDescent="0.2">
      <c r="A51" s="103"/>
      <c r="B51" s="132"/>
      <c r="C51" s="83"/>
      <c r="D51" s="84"/>
      <c r="E51" s="79"/>
      <c r="F51" s="79"/>
      <c r="G51" s="80"/>
      <c r="H51" s="79"/>
      <c r="I51" s="79"/>
      <c r="J51" s="80"/>
      <c r="K51" s="79"/>
      <c r="L51" s="79"/>
      <c r="M51" s="80"/>
      <c r="N51" s="79"/>
      <c r="O51" s="79"/>
      <c r="P51" s="80"/>
      <c r="Q51" s="79"/>
      <c r="R51" s="83"/>
      <c r="S51" s="84"/>
      <c r="T51" s="83"/>
      <c r="U51" s="128"/>
      <c r="V51" s="89"/>
      <c r="W51" s="98"/>
      <c r="X51" s="188"/>
      <c r="Y51" s="185"/>
    </row>
    <row r="52" spans="1:25" ht="24" customHeight="1" x14ac:dyDescent="0.2">
      <c r="A52" s="103"/>
      <c r="B52" s="132"/>
      <c r="C52" s="79"/>
      <c r="D52" s="80"/>
      <c r="E52" s="79"/>
      <c r="F52" s="79"/>
      <c r="G52" s="80"/>
      <c r="H52" s="79"/>
      <c r="I52" s="79"/>
      <c r="J52" s="80"/>
      <c r="K52" s="79"/>
      <c r="L52" s="79"/>
      <c r="M52" s="80"/>
      <c r="N52" s="79"/>
      <c r="O52" s="79"/>
      <c r="P52" s="80"/>
      <c r="Q52" s="79"/>
      <c r="R52" s="83"/>
      <c r="S52" s="84"/>
      <c r="T52" s="83"/>
      <c r="U52" s="128"/>
      <c r="V52" s="74"/>
      <c r="X52" s="188"/>
      <c r="Y52" s="185"/>
    </row>
    <row r="53" spans="1:25" ht="24" customHeight="1" x14ac:dyDescent="0.2">
      <c r="A53" s="103"/>
      <c r="B53" s="132"/>
      <c r="C53" s="79"/>
      <c r="D53" s="84"/>
      <c r="E53" s="79"/>
      <c r="F53" s="79"/>
      <c r="G53" s="80"/>
      <c r="H53" s="79"/>
      <c r="I53" s="79"/>
      <c r="J53" s="80"/>
      <c r="K53" s="79"/>
      <c r="L53" s="79"/>
      <c r="M53" s="80"/>
      <c r="N53" s="79"/>
      <c r="O53" s="79"/>
      <c r="P53" s="80"/>
      <c r="Q53" s="79"/>
      <c r="R53" s="83"/>
      <c r="S53" s="84"/>
      <c r="T53" s="83"/>
      <c r="U53" s="128"/>
      <c r="V53" s="74"/>
      <c r="X53" s="188"/>
      <c r="Y53" s="185"/>
    </row>
    <row r="54" spans="1:25" ht="24" customHeight="1" x14ac:dyDescent="0.2">
      <c r="A54" s="103"/>
      <c r="B54" s="132"/>
      <c r="C54" s="79"/>
      <c r="D54" s="84"/>
      <c r="E54" s="79"/>
      <c r="F54" s="79"/>
      <c r="G54" s="80"/>
      <c r="H54" s="79"/>
      <c r="I54" s="79"/>
      <c r="J54" s="80"/>
      <c r="K54" s="79"/>
      <c r="L54" s="79"/>
      <c r="M54" s="80"/>
      <c r="N54" s="79"/>
      <c r="O54" s="79"/>
      <c r="P54" s="80"/>
      <c r="Q54" s="79"/>
      <c r="R54" s="83"/>
      <c r="S54" s="84"/>
      <c r="T54" s="83"/>
      <c r="U54" s="128"/>
      <c r="V54" s="74"/>
      <c r="X54" s="188"/>
      <c r="Y54" s="185"/>
    </row>
    <row r="55" spans="1:25" ht="24" customHeight="1" x14ac:dyDescent="0.2">
      <c r="A55" s="103"/>
      <c r="B55" s="132"/>
      <c r="C55" s="79"/>
      <c r="D55" s="80"/>
      <c r="E55" s="79"/>
      <c r="F55" s="79"/>
      <c r="G55" s="80"/>
      <c r="H55" s="79"/>
      <c r="I55" s="79"/>
      <c r="J55" s="80"/>
      <c r="K55" s="79"/>
      <c r="L55" s="79"/>
      <c r="M55" s="80"/>
      <c r="N55" s="79"/>
      <c r="O55" s="79"/>
      <c r="P55" s="80"/>
      <c r="Q55" s="79"/>
      <c r="R55" s="83"/>
      <c r="S55" s="84"/>
      <c r="T55" s="83"/>
      <c r="U55" s="128"/>
      <c r="V55" s="74"/>
      <c r="X55" s="188"/>
      <c r="Y55" s="185"/>
    </row>
    <row r="56" spans="1:25" ht="24" customHeight="1" x14ac:dyDescent="0.2">
      <c r="A56" s="103"/>
      <c r="B56" s="132"/>
      <c r="C56" s="79"/>
      <c r="D56" s="84"/>
      <c r="E56" s="79"/>
      <c r="F56" s="79"/>
      <c r="G56" s="80"/>
      <c r="H56" s="79"/>
      <c r="I56" s="79"/>
      <c r="J56" s="80"/>
      <c r="K56" s="79"/>
      <c r="L56" s="79"/>
      <c r="M56" s="80"/>
      <c r="N56" s="79"/>
      <c r="O56" s="79"/>
      <c r="P56" s="80"/>
      <c r="Q56" s="79"/>
      <c r="R56" s="83"/>
      <c r="S56" s="84"/>
      <c r="T56" s="83"/>
      <c r="U56" s="128"/>
      <c r="V56" s="74"/>
      <c r="X56" s="188"/>
      <c r="Y56" s="185"/>
    </row>
    <row r="57" spans="1:25" ht="24" customHeight="1" x14ac:dyDescent="0.2">
      <c r="A57" s="103"/>
      <c r="B57" s="132"/>
      <c r="C57" s="79"/>
      <c r="D57" s="84"/>
      <c r="E57" s="79"/>
      <c r="F57" s="79"/>
      <c r="G57" s="80"/>
      <c r="H57" s="79"/>
      <c r="I57" s="79"/>
      <c r="J57" s="80"/>
      <c r="K57" s="79"/>
      <c r="L57" s="79"/>
      <c r="M57" s="80"/>
      <c r="N57" s="79"/>
      <c r="O57" s="79"/>
      <c r="P57" s="80"/>
      <c r="Q57" s="79"/>
      <c r="R57" s="83"/>
      <c r="S57" s="84"/>
      <c r="T57" s="83"/>
      <c r="U57" s="128"/>
      <c r="V57" s="74"/>
      <c r="X57" s="188"/>
      <c r="Y57" s="185"/>
    </row>
    <row r="58" spans="1:25" ht="24" customHeight="1" x14ac:dyDescent="0.2">
      <c r="A58" s="103"/>
      <c r="B58" s="132"/>
      <c r="C58" s="79"/>
      <c r="D58" s="80"/>
      <c r="E58" s="79"/>
      <c r="F58" s="79"/>
      <c r="G58" s="80"/>
      <c r="H58" s="79"/>
      <c r="I58" s="79"/>
      <c r="J58" s="80"/>
      <c r="K58" s="79"/>
      <c r="L58" s="79"/>
      <c r="M58" s="80"/>
      <c r="N58" s="79"/>
      <c r="O58" s="79"/>
      <c r="P58" s="80"/>
      <c r="Q58" s="79"/>
      <c r="R58" s="83"/>
      <c r="S58" s="84"/>
      <c r="T58" s="83"/>
      <c r="U58" s="128"/>
      <c r="V58" s="74"/>
      <c r="X58" s="188"/>
      <c r="Y58" s="185"/>
    </row>
    <row r="59" spans="1:25" ht="24" customHeight="1" x14ac:dyDescent="0.2">
      <c r="A59" s="103"/>
      <c r="B59" s="132"/>
      <c r="C59" s="79"/>
      <c r="D59" s="80"/>
      <c r="E59" s="79"/>
      <c r="F59" s="79"/>
      <c r="G59" s="80"/>
      <c r="H59" s="79"/>
      <c r="I59" s="79"/>
      <c r="J59" s="80"/>
      <c r="K59" s="79"/>
      <c r="L59" s="79"/>
      <c r="M59" s="80"/>
      <c r="N59" s="79"/>
      <c r="O59" s="79"/>
      <c r="P59" s="80"/>
      <c r="Q59" s="79"/>
      <c r="R59" s="83"/>
      <c r="S59" s="84"/>
      <c r="T59" s="83"/>
      <c r="U59" s="128"/>
      <c r="V59" s="74"/>
      <c r="X59" s="188"/>
      <c r="Y59" s="185"/>
    </row>
    <row r="60" spans="1:25" ht="24" customHeight="1" x14ac:dyDescent="0.2">
      <c r="A60" s="103"/>
      <c r="B60" s="103"/>
      <c r="C60" s="103"/>
      <c r="D60" s="84"/>
      <c r="E60" s="103"/>
      <c r="F60" s="103"/>
      <c r="G60" s="84"/>
      <c r="H60" s="103"/>
      <c r="I60" s="103"/>
      <c r="J60" s="84"/>
      <c r="K60" s="103"/>
      <c r="L60" s="103"/>
      <c r="M60" s="84"/>
      <c r="N60" s="103"/>
      <c r="O60" s="103"/>
      <c r="P60" s="84"/>
      <c r="Q60" s="103"/>
      <c r="R60" s="103"/>
      <c r="S60" s="84"/>
      <c r="T60" s="103"/>
      <c r="U60" s="128"/>
      <c r="V60" s="74"/>
      <c r="X60" s="188"/>
      <c r="Y60" s="185"/>
    </row>
    <row r="61" spans="1:25" ht="24" customHeight="1" x14ac:dyDescent="0.2">
      <c r="A61" s="103"/>
      <c r="B61" s="103"/>
      <c r="C61" s="103"/>
      <c r="D61" s="84"/>
      <c r="E61" s="103"/>
      <c r="F61" s="103"/>
      <c r="G61" s="84"/>
      <c r="H61" s="103"/>
      <c r="I61" s="103"/>
      <c r="J61" s="84"/>
      <c r="K61" s="103"/>
      <c r="L61" s="103"/>
      <c r="M61" s="84"/>
      <c r="N61" s="103"/>
      <c r="O61" s="103"/>
      <c r="P61" s="84"/>
      <c r="Q61" s="103"/>
      <c r="R61" s="103"/>
      <c r="S61" s="84"/>
      <c r="T61" s="103"/>
      <c r="U61" s="128"/>
      <c r="V61" s="74"/>
      <c r="X61" s="188"/>
      <c r="Y61" s="185"/>
    </row>
    <row r="62" spans="1:25" ht="24" customHeight="1" x14ac:dyDescent="0.2">
      <c r="A62" s="103"/>
      <c r="B62" s="103"/>
      <c r="C62" s="103"/>
      <c r="D62" s="84"/>
      <c r="E62" s="103"/>
      <c r="F62" s="103"/>
      <c r="G62" s="84"/>
      <c r="H62" s="103"/>
      <c r="I62" s="103"/>
      <c r="J62" s="84"/>
      <c r="K62" s="103"/>
      <c r="L62" s="103"/>
      <c r="M62" s="84"/>
      <c r="N62" s="103"/>
      <c r="O62" s="103"/>
      <c r="P62" s="84"/>
      <c r="Q62" s="103"/>
      <c r="R62" s="103"/>
      <c r="S62" s="84"/>
      <c r="T62" s="103"/>
      <c r="U62" s="128"/>
      <c r="V62" s="74"/>
      <c r="X62" s="188"/>
      <c r="Y62" s="185"/>
    </row>
    <row r="63" spans="1:25" ht="24" customHeight="1" x14ac:dyDescent="0.2">
      <c r="A63" s="103"/>
      <c r="B63" s="103"/>
      <c r="C63" s="103"/>
      <c r="D63" s="84"/>
      <c r="E63" s="103"/>
      <c r="F63" s="103"/>
      <c r="G63" s="84"/>
      <c r="H63" s="103"/>
      <c r="I63" s="103"/>
      <c r="J63" s="84"/>
      <c r="K63" s="103"/>
      <c r="L63" s="103"/>
      <c r="M63" s="84"/>
      <c r="N63" s="103"/>
      <c r="O63" s="103"/>
      <c r="P63" s="84"/>
      <c r="Q63" s="103"/>
      <c r="R63" s="103"/>
      <c r="S63" s="84"/>
      <c r="T63" s="103"/>
      <c r="U63" s="128"/>
      <c r="V63" s="74"/>
      <c r="X63" s="188"/>
      <c r="Y63" s="185"/>
    </row>
    <row r="64" spans="1:25" ht="24" customHeight="1" x14ac:dyDescent="0.2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16"/>
      <c r="V64" s="74"/>
      <c r="X64" s="188"/>
      <c r="Y64" s="185"/>
    </row>
    <row r="65" spans="1:25" ht="24" customHeight="1" x14ac:dyDescent="0.2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16"/>
      <c r="V65" s="74"/>
      <c r="X65" s="188"/>
      <c r="Y65" s="185"/>
    </row>
    <row r="66" spans="1:25" ht="24" customHeight="1" x14ac:dyDescent="0.2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16"/>
      <c r="V66" s="74"/>
      <c r="X66" s="188"/>
      <c r="Y66" s="185"/>
    </row>
    <row r="67" spans="1:25" ht="24" customHeight="1" x14ac:dyDescent="0.2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16"/>
      <c r="V67" s="74"/>
      <c r="X67" s="188"/>
      <c r="Y67" s="185"/>
    </row>
    <row r="68" spans="1:25" ht="24" customHeight="1" x14ac:dyDescent="0.2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16"/>
      <c r="V68" s="74"/>
      <c r="X68" s="188"/>
      <c r="Y68" s="185"/>
    </row>
    <row r="69" spans="1:25" ht="24" customHeight="1" x14ac:dyDescent="0.2">
      <c r="A69" s="111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116"/>
      <c r="V69" s="74"/>
      <c r="X69" s="188"/>
      <c r="Y69" s="185"/>
    </row>
    <row r="70" spans="1:25" x14ac:dyDescent="0.2">
      <c r="A70" s="111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</row>
    <row r="71" spans="1:25" x14ac:dyDescent="0.2">
      <c r="A71" s="111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</row>
    <row r="72" spans="1:25" x14ac:dyDescent="0.2">
      <c r="A72" s="111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</row>
  </sheetData>
  <sheetProtection formatCells="0" selectLockedCells="1" selectUnlockedCells="1"/>
  <mergeCells count="79">
    <mergeCell ref="X22:Y22"/>
    <mergeCell ref="B32:T32"/>
    <mergeCell ref="A5:A6"/>
    <mergeCell ref="B5:T5"/>
    <mergeCell ref="X10:Y10"/>
    <mergeCell ref="X11:Y1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34:Y34"/>
    <mergeCell ref="X23:Y23"/>
    <mergeCell ref="X24:Y24"/>
    <mergeCell ref="X25:Y25"/>
    <mergeCell ref="X26:Y26"/>
    <mergeCell ref="X27:Y27"/>
    <mergeCell ref="X28:Y28"/>
    <mergeCell ref="X29:Y29"/>
    <mergeCell ref="X30:Y30"/>
    <mergeCell ref="X31:Y31"/>
    <mergeCell ref="X32:Y32"/>
    <mergeCell ref="X33:Y33"/>
    <mergeCell ref="X46:Y46"/>
    <mergeCell ref="X35:Y35"/>
    <mergeCell ref="X36:Y36"/>
    <mergeCell ref="X37:Y37"/>
    <mergeCell ref="X38:Y38"/>
    <mergeCell ref="X39:Y39"/>
    <mergeCell ref="X40:Y40"/>
    <mergeCell ref="X41:Y41"/>
    <mergeCell ref="X42:Y42"/>
    <mergeCell ref="X43:Y43"/>
    <mergeCell ref="X44:Y44"/>
    <mergeCell ref="X45:Y45"/>
    <mergeCell ref="X54:Y54"/>
    <mergeCell ref="X55:Y55"/>
    <mergeCell ref="X56:Y56"/>
    <mergeCell ref="X57:Y57"/>
    <mergeCell ref="X47:Y47"/>
    <mergeCell ref="X48:Y48"/>
    <mergeCell ref="X49:Y49"/>
    <mergeCell ref="X50:Y50"/>
    <mergeCell ref="X51:Y51"/>
    <mergeCell ref="X52:Y52"/>
    <mergeCell ref="X58:Y58"/>
    <mergeCell ref="X68:Y68"/>
    <mergeCell ref="X69:Y69"/>
    <mergeCell ref="I1:K1"/>
    <mergeCell ref="I2:K2"/>
    <mergeCell ref="I3:K3"/>
    <mergeCell ref="I4:K4"/>
    <mergeCell ref="L1:N1"/>
    <mergeCell ref="L2:N2"/>
    <mergeCell ref="L3:N3"/>
    <mergeCell ref="L4:N4"/>
    <mergeCell ref="X59:Y59"/>
    <mergeCell ref="X60:Y60"/>
    <mergeCell ref="X61:Y61"/>
    <mergeCell ref="X62:Y62"/>
    <mergeCell ref="X53:Y53"/>
    <mergeCell ref="X63:Y63"/>
    <mergeCell ref="X64:Y64"/>
    <mergeCell ref="X65:Y65"/>
    <mergeCell ref="X66:Y66"/>
    <mergeCell ref="X67:Y67"/>
    <mergeCell ref="C1:E1"/>
    <mergeCell ref="C2:E2"/>
    <mergeCell ref="C3:E3"/>
    <mergeCell ref="C4:E4"/>
    <mergeCell ref="F1:H1"/>
    <mergeCell ref="F2:H2"/>
    <mergeCell ref="F3:H3"/>
    <mergeCell ref="F4:H4"/>
  </mergeCells>
  <printOptions horizontalCentered="1" verticalCentered="1" gridLines="1"/>
  <pageMargins left="0.5" right="0.5" top="0.5" bottom="0.25" header="0" footer="0"/>
  <pageSetup scale="74" orientation="landscape" blackAndWhite="1" r:id="rId1"/>
  <headerFooter alignWithMargins="0">
    <oddHeader>&amp;LFAX-425-487-1568&amp;CTIMESHEET</oddHeader>
  </headerFooter>
  <rowBreaks count="2" manualBreakCount="2">
    <brk id="31" max="20" man="1"/>
    <brk id="63" max="20" man="1"/>
  </rowBreaks>
  <colBreaks count="1" manualBreakCount="1">
    <brk id="21" max="68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workbookViewId="0">
      <selection activeCell="N16" sqref="N16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116</v>
      </c>
      <c r="D1" s="175"/>
      <c r="E1" s="175"/>
      <c r="F1" s="174" t="s">
        <v>115</v>
      </c>
      <c r="G1" s="175"/>
      <c r="H1" s="175"/>
      <c r="I1" s="189"/>
      <c r="J1" s="175"/>
      <c r="K1" s="175"/>
      <c r="L1" s="174"/>
      <c r="M1" s="175"/>
      <c r="N1" s="175"/>
      <c r="O1" s="144" t="s">
        <v>131</v>
      </c>
      <c r="P1" s="143"/>
      <c r="Q1" s="143"/>
      <c r="R1" s="143"/>
      <c r="S1" s="143"/>
      <c r="T1" s="143"/>
      <c r="U1" s="109"/>
      <c r="V1" s="112"/>
    </row>
    <row r="2" spans="1:25" ht="24" customHeight="1" x14ac:dyDescent="0.2">
      <c r="A2" s="103"/>
      <c r="B2" s="110" t="s">
        <v>129</v>
      </c>
      <c r="C2" s="175" t="s">
        <v>134</v>
      </c>
      <c r="D2" s="175"/>
      <c r="E2" s="175"/>
      <c r="F2" s="174" t="s">
        <v>133</v>
      </c>
      <c r="G2" s="176"/>
      <c r="H2" s="176"/>
      <c r="I2" s="189" t="s">
        <v>176</v>
      </c>
      <c r="J2" s="175"/>
      <c r="K2" s="175"/>
      <c r="L2" s="174" t="s">
        <v>126</v>
      </c>
      <c r="M2" s="175"/>
      <c r="N2" s="175"/>
      <c r="O2" s="110" t="s">
        <v>125</v>
      </c>
      <c r="P2" s="142"/>
      <c r="Q2" s="142"/>
      <c r="R2" s="109" t="s">
        <v>130</v>
      </c>
      <c r="S2" s="142"/>
      <c r="T2" s="142"/>
      <c r="U2" s="109"/>
      <c r="V2" s="112"/>
    </row>
    <row r="3" spans="1:25" ht="24" customHeight="1" x14ac:dyDescent="0.2">
      <c r="A3" s="103"/>
      <c r="B3" s="110" t="s">
        <v>175</v>
      </c>
      <c r="C3" s="174" t="s">
        <v>174</v>
      </c>
      <c r="D3" s="176"/>
      <c r="E3" s="176"/>
      <c r="F3" s="174" t="s">
        <v>127</v>
      </c>
      <c r="G3" s="176"/>
      <c r="H3" s="176"/>
      <c r="I3" s="189" t="s">
        <v>173</v>
      </c>
      <c r="J3" s="175"/>
      <c r="K3" s="175"/>
      <c r="L3" s="174" t="s">
        <v>119</v>
      </c>
      <c r="M3" s="175"/>
      <c r="N3" s="175"/>
      <c r="O3" s="110" t="s">
        <v>118</v>
      </c>
      <c r="P3" s="142"/>
      <c r="Q3" s="142"/>
      <c r="R3" s="109" t="s">
        <v>124</v>
      </c>
      <c r="S3" s="142"/>
      <c r="T3" s="142"/>
      <c r="U3" s="109"/>
      <c r="V3" s="111"/>
    </row>
    <row r="4" spans="1:25" ht="24" customHeight="1" thickBot="1" x14ac:dyDescent="0.25">
      <c r="A4" s="103"/>
      <c r="B4" s="110" t="s">
        <v>123</v>
      </c>
      <c r="C4" s="174" t="s">
        <v>172</v>
      </c>
      <c r="D4" s="176"/>
      <c r="E4" s="176"/>
      <c r="F4" s="174" t="s">
        <v>132</v>
      </c>
      <c r="G4" s="176"/>
      <c r="H4" s="176"/>
      <c r="I4" s="190" t="s">
        <v>178</v>
      </c>
      <c r="J4" s="177"/>
      <c r="K4" s="177"/>
      <c r="L4" s="174" t="s">
        <v>112</v>
      </c>
      <c r="M4" s="175"/>
      <c r="N4" s="175"/>
      <c r="O4" s="110" t="s">
        <v>111</v>
      </c>
      <c r="P4" s="142"/>
      <c r="Q4" s="142"/>
      <c r="R4" s="109" t="s">
        <v>117</v>
      </c>
      <c r="S4" s="142"/>
      <c r="T4" s="142"/>
      <c r="U4" s="109"/>
      <c r="V4" s="89"/>
    </row>
    <row r="5" spans="1:25" ht="24" customHeight="1" thickBot="1" x14ac:dyDescent="0.25">
      <c r="A5" s="180"/>
      <c r="B5" s="181" t="s">
        <v>171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42474</v>
      </c>
      <c r="D6" s="107"/>
      <c r="E6" s="107"/>
      <c r="F6" s="107">
        <f>C6+1</f>
        <v>42475</v>
      </c>
      <c r="G6" s="107"/>
      <c r="H6" s="107"/>
      <c r="I6" s="107">
        <f>F6+3</f>
        <v>42478</v>
      </c>
      <c r="J6" s="107"/>
      <c r="K6" s="107"/>
      <c r="L6" s="107">
        <f>I6+1</f>
        <v>42479</v>
      </c>
      <c r="M6" s="107"/>
      <c r="N6" s="107"/>
      <c r="O6" s="107">
        <f>L6+1</f>
        <v>42480</v>
      </c>
      <c r="P6" s="107"/>
      <c r="Q6" s="107"/>
      <c r="R6" s="107">
        <f>F6+1</f>
        <v>42476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/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141">
        <f>SUM(U10:U31)</f>
        <v>39</v>
      </c>
      <c r="V8" s="94"/>
      <c r="W8" s="98"/>
    </row>
    <row r="9" spans="1:25" ht="24" customHeight="1" x14ac:dyDescent="0.2">
      <c r="A9" s="103"/>
      <c r="B9" s="97" t="s">
        <v>110</v>
      </c>
      <c r="C9" s="97" t="s">
        <v>170</v>
      </c>
      <c r="D9" s="97" t="s">
        <v>169</v>
      </c>
      <c r="E9" s="97" t="s">
        <v>17</v>
      </c>
      <c r="F9" s="97" t="s">
        <v>170</v>
      </c>
      <c r="G9" s="97" t="s">
        <v>169</v>
      </c>
      <c r="H9" s="97" t="s">
        <v>17</v>
      </c>
      <c r="I9" s="97" t="s">
        <v>170</v>
      </c>
      <c r="J9" s="97" t="s">
        <v>169</v>
      </c>
      <c r="K9" s="97" t="s">
        <v>17</v>
      </c>
      <c r="L9" s="97" t="s">
        <v>170</v>
      </c>
      <c r="M9" s="97" t="s">
        <v>169</v>
      </c>
      <c r="N9" s="97" t="s">
        <v>17</v>
      </c>
      <c r="O9" s="97" t="s">
        <v>170</v>
      </c>
      <c r="P9" s="97" t="s">
        <v>169</v>
      </c>
      <c r="Q9" s="97" t="s">
        <v>17</v>
      </c>
      <c r="R9" s="97" t="s">
        <v>170</v>
      </c>
      <c r="S9" s="97" t="s">
        <v>169</v>
      </c>
      <c r="T9" s="97" t="s">
        <v>17</v>
      </c>
      <c r="U9" s="101"/>
      <c r="V9" s="100"/>
      <c r="W9" s="98"/>
    </row>
    <row r="10" spans="1:25" ht="24" customHeight="1" x14ac:dyDescent="0.2">
      <c r="A10" s="91"/>
      <c r="B10" s="81"/>
      <c r="C10" s="83"/>
      <c r="D10" s="84"/>
      <c r="E10" s="83"/>
      <c r="F10" s="83"/>
      <c r="G10" s="84"/>
      <c r="H10" s="79"/>
      <c r="I10" s="79"/>
      <c r="J10" s="84"/>
      <c r="K10" s="79"/>
      <c r="L10" s="79"/>
      <c r="M10" s="84"/>
      <c r="N10" s="79"/>
      <c r="O10" s="79"/>
      <c r="P10" s="84"/>
      <c r="Q10" s="79"/>
      <c r="R10" s="83"/>
      <c r="S10" s="84"/>
      <c r="T10" s="83"/>
      <c r="U10" s="75">
        <f t="shared" ref="U10:U16" si="0">SUM(B10,E10,H10,K10,N10,Q10,T10)</f>
        <v>0</v>
      </c>
      <c r="V10" s="94"/>
      <c r="W10" s="98"/>
      <c r="X10" s="184"/>
      <c r="Y10" s="185"/>
    </row>
    <row r="11" spans="1:25" ht="24" customHeight="1" x14ac:dyDescent="0.2">
      <c r="A11" s="91"/>
      <c r="B11" s="95"/>
      <c r="C11" s="83"/>
      <c r="D11" s="84"/>
      <c r="E11" s="83"/>
      <c r="F11" s="83"/>
      <c r="G11" s="84"/>
      <c r="H11" s="83"/>
      <c r="I11" s="83"/>
      <c r="J11" s="84"/>
      <c r="K11" s="79"/>
      <c r="L11" s="83"/>
      <c r="M11" s="84"/>
      <c r="N11" s="79"/>
      <c r="O11" s="83"/>
      <c r="P11" s="84"/>
      <c r="Q11" s="83"/>
      <c r="R11" s="83"/>
      <c r="S11" s="84"/>
      <c r="T11" s="83"/>
      <c r="U11" s="75">
        <f t="shared" si="0"/>
        <v>0</v>
      </c>
      <c r="V11" s="94"/>
      <c r="W11" s="98"/>
      <c r="X11" s="184"/>
      <c r="Y11" s="185"/>
    </row>
    <row r="12" spans="1:25" ht="24" customHeight="1" x14ac:dyDescent="0.2">
      <c r="A12" s="91"/>
      <c r="B12" s="81"/>
      <c r="C12" s="83"/>
      <c r="D12" s="84"/>
      <c r="E12" s="83"/>
      <c r="F12" s="83"/>
      <c r="G12" s="84"/>
      <c r="H12" s="79"/>
      <c r="I12" s="79"/>
      <c r="J12" s="84"/>
      <c r="K12" s="79"/>
      <c r="L12" s="79"/>
      <c r="M12" s="84"/>
      <c r="N12" s="79"/>
      <c r="O12" s="79"/>
      <c r="P12" s="84"/>
      <c r="Q12" s="79"/>
      <c r="R12" s="83"/>
      <c r="S12" s="84"/>
      <c r="T12" s="83"/>
      <c r="U12" s="75">
        <f t="shared" si="0"/>
        <v>0</v>
      </c>
      <c r="V12" s="94"/>
      <c r="W12" s="98"/>
      <c r="X12" s="184"/>
      <c r="Y12" s="185"/>
    </row>
    <row r="13" spans="1:25" ht="24" customHeight="1" x14ac:dyDescent="0.2">
      <c r="A13" s="91"/>
      <c r="B13" s="81"/>
      <c r="C13" s="83"/>
      <c r="D13" s="84"/>
      <c r="E13" s="83"/>
      <c r="F13" s="79"/>
      <c r="G13" s="84"/>
      <c r="H13" s="79"/>
      <c r="I13" s="79"/>
      <c r="J13" s="84"/>
      <c r="K13" s="79"/>
      <c r="L13" s="79"/>
      <c r="M13" s="84"/>
      <c r="N13" s="79"/>
      <c r="O13" s="79"/>
      <c r="P13" s="84"/>
      <c r="Q13" s="79"/>
      <c r="R13" s="83"/>
      <c r="S13" s="84"/>
      <c r="T13" s="83"/>
      <c r="U13" s="75">
        <f t="shared" si="0"/>
        <v>0</v>
      </c>
      <c r="V13" s="94"/>
      <c r="W13" s="98"/>
      <c r="X13" s="184"/>
      <c r="Y13" s="185"/>
    </row>
    <row r="14" spans="1:25" ht="24" customHeight="1" x14ac:dyDescent="0.2">
      <c r="A14" s="91">
        <v>1</v>
      </c>
      <c r="B14" s="81" t="s">
        <v>168</v>
      </c>
      <c r="C14" s="138" t="s">
        <v>167</v>
      </c>
      <c r="D14" s="84">
        <v>800</v>
      </c>
      <c r="E14" s="83">
        <v>2</v>
      </c>
      <c r="F14" s="138" t="s">
        <v>167</v>
      </c>
      <c r="G14" s="84">
        <v>800</v>
      </c>
      <c r="H14" s="83">
        <v>1</v>
      </c>
      <c r="I14" s="138" t="s">
        <v>167</v>
      </c>
      <c r="J14" s="84">
        <v>800</v>
      </c>
      <c r="K14" s="83">
        <v>2</v>
      </c>
      <c r="L14" s="138" t="s">
        <v>167</v>
      </c>
      <c r="M14" s="84">
        <v>800</v>
      </c>
      <c r="N14" s="83">
        <v>1</v>
      </c>
      <c r="O14" s="138" t="s">
        <v>167</v>
      </c>
      <c r="P14" s="84">
        <v>800</v>
      </c>
      <c r="Q14" s="83">
        <v>2</v>
      </c>
      <c r="R14" s="83"/>
      <c r="S14" s="84"/>
      <c r="T14" s="83"/>
      <c r="U14" s="75">
        <f t="shared" si="0"/>
        <v>8</v>
      </c>
      <c r="V14" s="94"/>
      <c r="W14" s="98"/>
      <c r="X14" s="184"/>
      <c r="Y14" s="185"/>
    </row>
    <row r="15" spans="1:25" ht="24" customHeight="1" x14ac:dyDescent="0.2">
      <c r="A15" s="91"/>
      <c r="B15" s="81"/>
      <c r="C15" s="138">
        <v>2028</v>
      </c>
      <c r="D15" s="84">
        <v>101</v>
      </c>
      <c r="E15" s="79">
        <v>2</v>
      </c>
      <c r="F15" s="83">
        <v>2028</v>
      </c>
      <c r="G15" s="84">
        <v>101</v>
      </c>
      <c r="H15" s="83">
        <v>2</v>
      </c>
      <c r="I15" s="139">
        <v>2027</v>
      </c>
      <c r="J15" s="84">
        <v>101</v>
      </c>
      <c r="K15" s="79">
        <v>3</v>
      </c>
      <c r="L15" s="83">
        <v>2028</v>
      </c>
      <c r="M15" s="84">
        <v>101</v>
      </c>
      <c r="N15" s="79">
        <v>1</v>
      </c>
      <c r="O15" s="83">
        <v>2024</v>
      </c>
      <c r="P15" s="84">
        <v>101</v>
      </c>
      <c r="Q15" s="79">
        <v>3</v>
      </c>
      <c r="R15" s="140"/>
      <c r="S15" s="84"/>
      <c r="T15" s="83"/>
      <c r="U15" s="75">
        <f t="shared" si="0"/>
        <v>11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138">
        <v>2026</v>
      </c>
      <c r="D16" s="84">
        <v>101</v>
      </c>
      <c r="E16" s="83">
        <v>1</v>
      </c>
      <c r="F16" s="138">
        <v>2027</v>
      </c>
      <c r="G16" s="84">
        <v>101</v>
      </c>
      <c r="H16" s="79">
        <v>1</v>
      </c>
      <c r="I16" s="139">
        <v>2028</v>
      </c>
      <c r="J16" s="84">
        <v>101</v>
      </c>
      <c r="K16" s="79">
        <v>1</v>
      </c>
      <c r="L16" s="139">
        <v>2023</v>
      </c>
      <c r="M16" s="84">
        <v>151</v>
      </c>
      <c r="N16" s="79">
        <v>2</v>
      </c>
      <c r="O16" s="139">
        <v>2023</v>
      </c>
      <c r="P16" s="84">
        <v>101</v>
      </c>
      <c r="Q16" s="79">
        <v>1</v>
      </c>
      <c r="R16" s="83"/>
      <c r="S16" s="84"/>
      <c r="T16" s="83"/>
      <c r="U16" s="75">
        <f t="shared" si="0"/>
        <v>6</v>
      </c>
      <c r="V16" s="94"/>
      <c r="W16" s="98"/>
      <c r="X16" s="184"/>
      <c r="Y16" s="185"/>
    </row>
    <row r="17" spans="1:25" ht="24" customHeight="1" x14ac:dyDescent="0.2">
      <c r="A17" s="91"/>
      <c r="B17" s="91"/>
      <c r="C17" s="138">
        <v>2027</v>
      </c>
      <c r="D17" s="84">
        <v>101</v>
      </c>
      <c r="E17" s="79">
        <v>2</v>
      </c>
      <c r="F17" s="138">
        <v>2023</v>
      </c>
      <c r="G17" s="84">
        <v>151</v>
      </c>
      <c r="H17" s="83">
        <v>1</v>
      </c>
      <c r="I17" s="139">
        <v>2023</v>
      </c>
      <c r="J17" s="84">
        <v>101</v>
      </c>
      <c r="K17" s="79">
        <v>1</v>
      </c>
      <c r="L17" s="139">
        <v>2026</v>
      </c>
      <c r="M17" s="84">
        <v>100</v>
      </c>
      <c r="N17" s="79">
        <v>1</v>
      </c>
      <c r="O17" s="139">
        <v>2021</v>
      </c>
      <c r="P17" s="84">
        <v>101</v>
      </c>
      <c r="Q17" s="79">
        <v>1</v>
      </c>
      <c r="R17" s="83"/>
      <c r="S17" s="84"/>
      <c r="T17" s="83"/>
      <c r="U17" s="75">
        <f>SUM(B17,E16,H17,K17,N17,Q17,T17)</f>
        <v>5</v>
      </c>
      <c r="V17" s="94"/>
      <c r="W17" s="98"/>
      <c r="X17" s="184"/>
      <c r="Y17" s="185"/>
    </row>
    <row r="18" spans="1:25" ht="24" customHeight="1" x14ac:dyDescent="0.2">
      <c r="A18" s="91"/>
      <c r="B18" s="91"/>
      <c r="C18" s="138">
        <v>2024</v>
      </c>
      <c r="D18" s="84">
        <v>101</v>
      </c>
      <c r="E18" s="83">
        <v>1</v>
      </c>
      <c r="F18" s="138">
        <v>2028</v>
      </c>
      <c r="G18" s="84">
        <v>100</v>
      </c>
      <c r="H18" s="83">
        <v>3</v>
      </c>
      <c r="I18" s="139">
        <v>2025</v>
      </c>
      <c r="J18" s="84">
        <v>101</v>
      </c>
      <c r="K18" s="79">
        <v>1</v>
      </c>
      <c r="L18" s="139">
        <v>2025</v>
      </c>
      <c r="M18" s="84">
        <v>100</v>
      </c>
      <c r="N18" s="79">
        <v>1</v>
      </c>
      <c r="O18" s="139">
        <v>2028</v>
      </c>
      <c r="P18" s="84">
        <v>101</v>
      </c>
      <c r="Q18" s="79">
        <v>1</v>
      </c>
      <c r="R18" s="83"/>
      <c r="S18" s="84"/>
      <c r="T18" s="83"/>
      <c r="U18" s="75">
        <f t="shared" ref="U18:U31" si="1">SUM(B18,E18,H18,K18,N18,Q18,T18)</f>
        <v>7</v>
      </c>
      <c r="V18" s="94"/>
      <c r="W18" s="98"/>
      <c r="X18" s="184"/>
      <c r="Y18" s="185"/>
    </row>
    <row r="19" spans="1:25" ht="24" customHeight="1" x14ac:dyDescent="0.2">
      <c r="A19" s="91"/>
      <c r="B19" s="81"/>
      <c r="C19" s="138"/>
      <c r="D19" s="84"/>
      <c r="E19" s="83"/>
      <c r="F19" s="138"/>
      <c r="G19" s="84"/>
      <c r="H19" s="83"/>
      <c r="I19" s="83"/>
      <c r="J19" s="84"/>
      <c r="K19" s="79"/>
      <c r="L19" s="139">
        <v>2024</v>
      </c>
      <c r="M19" s="84">
        <v>100</v>
      </c>
      <c r="N19" s="79">
        <v>2</v>
      </c>
      <c r="O19" s="79"/>
      <c r="P19" s="84"/>
      <c r="Q19" s="79"/>
      <c r="R19" s="83"/>
      <c r="S19" s="84"/>
      <c r="T19" s="83"/>
      <c r="U19" s="75">
        <f t="shared" si="1"/>
        <v>2</v>
      </c>
      <c r="V19" s="94"/>
      <c r="W19" s="98"/>
      <c r="X19" s="184"/>
      <c r="Y19" s="185"/>
    </row>
    <row r="20" spans="1:25" ht="24" customHeight="1" x14ac:dyDescent="0.2">
      <c r="A20" s="91"/>
      <c r="B20" s="81"/>
      <c r="C20" s="138"/>
      <c r="D20" s="84"/>
      <c r="E20" s="83"/>
      <c r="F20" s="79"/>
      <c r="G20" s="84"/>
      <c r="H20" s="79"/>
      <c r="I20" s="83"/>
      <c r="J20" s="84"/>
      <c r="K20" s="79"/>
      <c r="L20" s="83"/>
      <c r="M20" s="84"/>
      <c r="N20" s="83"/>
      <c r="O20" s="79"/>
      <c r="P20" s="84"/>
      <c r="Q20" s="79"/>
      <c r="R20" s="83"/>
      <c r="S20" s="84"/>
      <c r="T20" s="83"/>
      <c r="U20" s="75">
        <f t="shared" si="1"/>
        <v>0</v>
      </c>
      <c r="V20" s="94"/>
      <c r="W20" s="98"/>
      <c r="X20" s="184"/>
      <c r="Y20" s="185"/>
    </row>
    <row r="21" spans="1:25" ht="24" customHeight="1" x14ac:dyDescent="0.2">
      <c r="A21" s="91"/>
      <c r="B21" s="81"/>
      <c r="C21" s="79"/>
      <c r="D21" s="84"/>
      <c r="E21" s="79"/>
      <c r="F21" s="83"/>
      <c r="G21" s="136"/>
      <c r="H21" s="79"/>
      <c r="I21" s="83"/>
      <c r="J21" s="84"/>
      <c r="K21" s="79"/>
      <c r="L21" s="137"/>
      <c r="M21" s="136"/>
      <c r="N21" s="137"/>
      <c r="O21" s="83"/>
      <c r="P21" s="136"/>
      <c r="Q21" s="79"/>
      <c r="R21" s="83"/>
      <c r="S21" s="136"/>
      <c r="T21" s="83"/>
      <c r="U21" s="75">
        <f t="shared" si="1"/>
        <v>0</v>
      </c>
      <c r="V21" s="94"/>
      <c r="W21" s="98"/>
      <c r="X21" s="184"/>
      <c r="Y21" s="185"/>
    </row>
    <row r="22" spans="1:25" ht="24" customHeight="1" x14ac:dyDescent="0.2">
      <c r="A22" s="91"/>
      <c r="B22" s="81"/>
      <c r="C22" s="83"/>
      <c r="D22" s="84"/>
      <c r="E22" s="79"/>
      <c r="F22" s="79"/>
      <c r="G22" s="84"/>
      <c r="H22" s="79"/>
      <c r="I22" s="79"/>
      <c r="J22" s="84"/>
      <c r="K22" s="79"/>
      <c r="L22" s="79"/>
      <c r="M22" s="84"/>
      <c r="N22" s="79"/>
      <c r="O22" s="79"/>
      <c r="P22" s="84"/>
      <c r="Q22" s="79"/>
      <c r="R22" s="83"/>
      <c r="S22" s="84"/>
      <c r="T22" s="83"/>
      <c r="U22" s="75">
        <f t="shared" si="1"/>
        <v>0</v>
      </c>
      <c r="V22" s="89"/>
      <c r="W22" s="98"/>
      <c r="X22" s="184"/>
      <c r="Y22" s="185"/>
    </row>
    <row r="23" spans="1:25" ht="24" customHeight="1" x14ac:dyDescent="0.2">
      <c r="A23" s="91"/>
      <c r="B23" s="81"/>
      <c r="C23" s="79"/>
      <c r="D23" s="84"/>
      <c r="E23" s="79"/>
      <c r="F23" s="79"/>
      <c r="G23" s="84"/>
      <c r="H23" s="79"/>
      <c r="I23" s="79"/>
      <c r="J23" s="84"/>
      <c r="K23" s="79"/>
      <c r="L23" s="79"/>
      <c r="M23" s="84"/>
      <c r="N23" s="79"/>
      <c r="O23" s="79"/>
      <c r="P23" s="84"/>
      <c r="Q23" s="79"/>
      <c r="R23" s="83"/>
      <c r="S23" s="84"/>
      <c r="T23" s="83"/>
      <c r="U23" s="75">
        <f t="shared" si="1"/>
        <v>0</v>
      </c>
      <c r="V23" s="89"/>
      <c r="W23" s="98"/>
      <c r="X23" s="184"/>
      <c r="Y23" s="185"/>
    </row>
    <row r="24" spans="1:25" ht="24" customHeight="1" x14ac:dyDescent="0.2">
      <c r="A24" s="91"/>
      <c r="B24" s="81"/>
      <c r="C24" s="83"/>
      <c r="D24" s="80"/>
      <c r="E24" s="79"/>
      <c r="F24" s="79"/>
      <c r="G24" s="80"/>
      <c r="H24" s="79"/>
      <c r="I24" s="79"/>
      <c r="J24" s="80"/>
      <c r="K24" s="79"/>
      <c r="L24" s="79"/>
      <c r="M24" s="80"/>
      <c r="N24" s="79"/>
      <c r="O24" s="79"/>
      <c r="P24" s="80"/>
      <c r="Q24" s="79"/>
      <c r="R24" s="83"/>
      <c r="S24" s="80"/>
      <c r="T24" s="83"/>
      <c r="U24" s="75">
        <f t="shared" si="1"/>
        <v>0</v>
      </c>
      <c r="V24" s="94"/>
      <c r="W24" s="98"/>
      <c r="X24" s="184"/>
      <c r="Y24" s="185"/>
    </row>
    <row r="25" spans="1:25" ht="24" customHeight="1" x14ac:dyDescent="0.2">
      <c r="A25" s="91"/>
      <c r="B25" s="81"/>
      <c r="C25" s="83"/>
      <c r="D25" s="80"/>
      <c r="E25" s="79"/>
      <c r="F25" s="79"/>
      <c r="G25" s="80"/>
      <c r="H25" s="79"/>
      <c r="I25" s="79"/>
      <c r="J25" s="80"/>
      <c r="K25" s="79"/>
      <c r="L25" s="79"/>
      <c r="M25" s="80"/>
      <c r="N25" s="79"/>
      <c r="O25" s="79"/>
      <c r="P25" s="80"/>
      <c r="Q25" s="79"/>
      <c r="R25" s="83"/>
      <c r="S25" s="80"/>
      <c r="T25" s="83"/>
      <c r="U25" s="75">
        <f t="shared" si="1"/>
        <v>0</v>
      </c>
      <c r="V25" s="94"/>
      <c r="W25" s="98"/>
      <c r="X25" s="184"/>
      <c r="Y25" s="185"/>
    </row>
    <row r="26" spans="1:25" ht="24" customHeight="1" x14ac:dyDescent="0.2">
      <c r="A26" s="91"/>
      <c r="B26" s="81"/>
      <c r="C26" s="83"/>
      <c r="D26" s="84"/>
      <c r="E26" s="83"/>
      <c r="F26" s="83"/>
      <c r="G26" s="84"/>
      <c r="H26" s="79"/>
      <c r="I26" s="79"/>
      <c r="J26" s="84"/>
      <c r="K26" s="79"/>
      <c r="L26" s="79"/>
      <c r="M26" s="84"/>
      <c r="N26" s="79"/>
      <c r="O26" s="79"/>
      <c r="P26" s="84"/>
      <c r="Q26" s="79"/>
      <c r="R26" s="83"/>
      <c r="S26" s="84"/>
      <c r="T26" s="83"/>
      <c r="U26" s="75">
        <f t="shared" si="1"/>
        <v>0</v>
      </c>
      <c r="V26" s="94"/>
      <c r="W26" s="98"/>
      <c r="X26" s="188"/>
      <c r="Y26" s="185"/>
    </row>
    <row r="27" spans="1:25" ht="24" customHeight="1" x14ac:dyDescent="0.2">
      <c r="A27" s="91"/>
      <c r="B27" s="95"/>
      <c r="C27" s="83"/>
      <c r="D27" s="84"/>
      <c r="E27" s="83"/>
      <c r="F27" s="83"/>
      <c r="G27" s="84"/>
      <c r="H27" s="83"/>
      <c r="I27" s="83"/>
      <c r="J27" s="84"/>
      <c r="K27" s="79"/>
      <c r="L27" s="83"/>
      <c r="M27" s="84"/>
      <c r="N27" s="79"/>
      <c r="O27" s="83"/>
      <c r="P27" s="84"/>
      <c r="Q27" s="83"/>
      <c r="R27" s="83"/>
      <c r="S27" s="84"/>
      <c r="T27" s="83"/>
      <c r="U27" s="75">
        <f t="shared" si="1"/>
        <v>0</v>
      </c>
      <c r="V27" s="94"/>
      <c r="W27" s="98"/>
      <c r="X27" s="188"/>
      <c r="Y27" s="185"/>
    </row>
    <row r="28" spans="1:25" ht="24" customHeight="1" x14ac:dyDescent="0.2">
      <c r="A28" s="91"/>
      <c r="B28" s="81"/>
      <c r="C28" s="83"/>
      <c r="D28" s="84"/>
      <c r="E28" s="83"/>
      <c r="F28" s="83"/>
      <c r="G28" s="84"/>
      <c r="H28" s="79"/>
      <c r="I28" s="79"/>
      <c r="J28" s="84"/>
      <c r="K28" s="79"/>
      <c r="L28" s="79"/>
      <c r="M28" s="84"/>
      <c r="N28" s="79"/>
      <c r="O28" s="79"/>
      <c r="P28" s="84"/>
      <c r="Q28" s="79"/>
      <c r="R28" s="83"/>
      <c r="S28" s="84"/>
      <c r="T28" s="83"/>
      <c r="U28" s="75">
        <f t="shared" si="1"/>
        <v>0</v>
      </c>
      <c r="V28" s="94"/>
      <c r="W28" s="98"/>
      <c r="X28" s="188"/>
      <c r="Y28" s="185"/>
    </row>
    <row r="29" spans="1:25" ht="24" customHeight="1" x14ac:dyDescent="0.2">
      <c r="A29" s="91"/>
      <c r="B29" s="81"/>
      <c r="C29" s="83"/>
      <c r="D29" s="84"/>
      <c r="E29" s="83"/>
      <c r="F29" s="79"/>
      <c r="G29" s="84"/>
      <c r="H29" s="79"/>
      <c r="I29" s="79"/>
      <c r="J29" s="84"/>
      <c r="K29" s="79"/>
      <c r="L29" s="79"/>
      <c r="M29" s="84"/>
      <c r="N29" s="79"/>
      <c r="O29" s="79"/>
      <c r="P29" s="84"/>
      <c r="Q29" s="79"/>
      <c r="R29" s="83"/>
      <c r="S29" s="84"/>
      <c r="T29" s="83"/>
      <c r="U29" s="75">
        <f t="shared" si="1"/>
        <v>0</v>
      </c>
      <c r="V29" s="94"/>
      <c r="W29" s="98"/>
      <c r="X29" s="188"/>
      <c r="Y29" s="185"/>
    </row>
    <row r="30" spans="1:25" ht="24" customHeight="1" x14ac:dyDescent="0.2">
      <c r="A30" s="91"/>
      <c r="B30" s="81"/>
      <c r="C30" s="83"/>
      <c r="D30" s="84"/>
      <c r="E30" s="83"/>
      <c r="F30" s="79"/>
      <c r="G30" s="84"/>
      <c r="H30" s="79"/>
      <c r="I30" s="79"/>
      <c r="J30" s="84"/>
      <c r="K30" s="79"/>
      <c r="L30" s="79"/>
      <c r="M30" s="84"/>
      <c r="N30" s="79"/>
      <c r="O30" s="79"/>
      <c r="P30" s="84"/>
      <c r="Q30" s="79"/>
      <c r="R30" s="83"/>
      <c r="S30" s="84"/>
      <c r="T30" s="83"/>
      <c r="U30" s="75">
        <f t="shared" si="1"/>
        <v>0</v>
      </c>
      <c r="V30" s="94"/>
      <c r="W30" s="98"/>
      <c r="X30" s="188"/>
      <c r="Y30" s="185"/>
    </row>
    <row r="31" spans="1:25" ht="24" customHeight="1" thickBot="1" x14ac:dyDescent="0.25">
      <c r="A31" s="91"/>
      <c r="B31" s="81"/>
      <c r="C31" s="83"/>
      <c r="D31" s="80"/>
      <c r="E31" s="79"/>
      <c r="F31" s="83"/>
      <c r="G31" s="80"/>
      <c r="H31" s="79"/>
      <c r="I31" s="134"/>
      <c r="J31" s="80"/>
      <c r="K31" s="79"/>
      <c r="L31" s="79"/>
      <c r="M31" s="80"/>
      <c r="N31" s="79"/>
      <c r="O31" s="79"/>
      <c r="P31" s="80"/>
      <c r="Q31" s="79"/>
      <c r="R31" s="83"/>
      <c r="S31" s="80"/>
      <c r="T31" s="83"/>
      <c r="U31" s="75">
        <f t="shared" si="1"/>
        <v>0</v>
      </c>
      <c r="V31" s="94"/>
      <c r="W31" s="98"/>
      <c r="X31" s="188"/>
      <c r="Y31" s="185"/>
    </row>
    <row r="32" spans="1:25" ht="24" customHeight="1" thickTop="1" x14ac:dyDescent="0.2">
      <c r="A32" s="91"/>
      <c r="B32" s="191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28"/>
      <c r="V32" s="94"/>
      <c r="W32" s="98"/>
      <c r="X32" s="188"/>
      <c r="Y32" s="185"/>
    </row>
    <row r="33" spans="1:25" ht="24" customHeight="1" x14ac:dyDescent="0.2">
      <c r="A33" s="91"/>
      <c r="B33" s="91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28"/>
      <c r="V33" s="94"/>
      <c r="W33" s="98"/>
      <c r="X33" s="188"/>
      <c r="Y33" s="185"/>
    </row>
    <row r="34" spans="1:25" ht="24" customHeight="1" x14ac:dyDescent="0.2">
      <c r="A34" s="91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128"/>
      <c r="V34" s="89"/>
      <c r="W34" s="98"/>
      <c r="X34" s="188"/>
      <c r="Y34" s="185"/>
    </row>
    <row r="35" spans="1:25" ht="24" customHeight="1" x14ac:dyDescent="0.2">
      <c r="A35" s="91"/>
      <c r="B35" s="132"/>
      <c r="C35" s="83"/>
      <c r="D35" s="84"/>
      <c r="E35" s="83"/>
      <c r="F35" s="79"/>
      <c r="G35" s="80"/>
      <c r="H35" s="79"/>
      <c r="I35" s="79"/>
      <c r="J35" s="80"/>
      <c r="K35" s="79"/>
      <c r="L35" s="79"/>
      <c r="M35" s="80"/>
      <c r="N35" s="79"/>
      <c r="O35" s="79"/>
      <c r="P35" s="80"/>
      <c r="Q35" s="79"/>
      <c r="R35" s="83"/>
      <c r="S35" s="84"/>
      <c r="T35" s="83"/>
      <c r="U35" s="128"/>
      <c r="V35" s="94"/>
      <c r="W35" s="98"/>
      <c r="X35" s="188"/>
      <c r="Y35" s="185"/>
    </row>
    <row r="36" spans="1:25" ht="24" customHeight="1" x14ac:dyDescent="0.2">
      <c r="A36" s="91"/>
      <c r="B36" s="91"/>
      <c r="C36" s="83"/>
      <c r="D36" s="84"/>
      <c r="E36" s="83"/>
      <c r="F36" s="79"/>
      <c r="G36" s="80"/>
      <c r="H36" s="79"/>
      <c r="I36" s="83"/>
      <c r="J36" s="84"/>
      <c r="K36" s="79"/>
      <c r="L36" s="79"/>
      <c r="M36" s="80"/>
      <c r="N36" s="79"/>
      <c r="O36" s="79"/>
      <c r="P36" s="80"/>
      <c r="Q36" s="79"/>
      <c r="R36" s="83"/>
      <c r="S36" s="84"/>
      <c r="T36" s="83"/>
      <c r="U36" s="128"/>
      <c r="V36" s="94"/>
      <c r="W36" s="98"/>
      <c r="X36" s="188"/>
      <c r="Y36" s="185"/>
    </row>
    <row r="37" spans="1:25" ht="24" customHeight="1" x14ac:dyDescent="0.2">
      <c r="A37" s="91"/>
      <c r="B37" s="91"/>
      <c r="C37" s="79"/>
      <c r="D37" s="80"/>
      <c r="E37" s="79"/>
      <c r="F37" s="83"/>
      <c r="G37" s="80"/>
      <c r="H37" s="79"/>
      <c r="I37" s="83"/>
      <c r="J37" s="80"/>
      <c r="K37" s="79"/>
      <c r="L37" s="83"/>
      <c r="M37" s="80"/>
      <c r="N37" s="79"/>
      <c r="O37" s="83"/>
      <c r="P37" s="80"/>
      <c r="Q37" s="79"/>
      <c r="R37" s="83"/>
      <c r="S37" s="84"/>
      <c r="T37" s="83"/>
      <c r="U37" s="128"/>
      <c r="V37" s="94"/>
      <c r="W37" s="98"/>
      <c r="X37" s="188"/>
      <c r="Y37" s="185"/>
    </row>
    <row r="38" spans="1:25" ht="24" customHeight="1" x14ac:dyDescent="0.2">
      <c r="A38" s="91"/>
      <c r="B38" s="132"/>
      <c r="C38" s="83"/>
      <c r="D38" s="80"/>
      <c r="E38" s="79"/>
      <c r="F38" s="79"/>
      <c r="G38" s="80"/>
      <c r="H38" s="79"/>
      <c r="I38" s="79"/>
      <c r="J38" s="80"/>
      <c r="K38" s="79"/>
      <c r="L38" s="79"/>
      <c r="M38" s="80"/>
      <c r="N38" s="79"/>
      <c r="O38" s="79"/>
      <c r="P38" s="80"/>
      <c r="Q38" s="79"/>
      <c r="R38" s="83"/>
      <c r="S38" s="84"/>
      <c r="T38" s="83"/>
      <c r="U38" s="128"/>
      <c r="V38" s="89"/>
      <c r="W38" s="98"/>
      <c r="X38" s="188"/>
      <c r="Y38" s="185"/>
    </row>
    <row r="39" spans="1:25" ht="24" customHeight="1" x14ac:dyDescent="0.2">
      <c r="A39" s="91"/>
      <c r="B39" s="132"/>
      <c r="C39" s="83"/>
      <c r="D39" s="84"/>
      <c r="E39" s="83"/>
      <c r="F39" s="83"/>
      <c r="G39" s="80"/>
      <c r="H39" s="79"/>
      <c r="I39" s="79"/>
      <c r="J39" s="80"/>
      <c r="K39" s="79"/>
      <c r="L39" s="79"/>
      <c r="M39" s="80"/>
      <c r="N39" s="79"/>
      <c r="O39" s="79"/>
      <c r="P39" s="80"/>
      <c r="Q39" s="79"/>
      <c r="R39" s="83"/>
      <c r="S39" s="84"/>
      <c r="T39" s="83"/>
      <c r="U39" s="128"/>
      <c r="V39" s="94"/>
      <c r="W39" s="98"/>
      <c r="X39" s="188"/>
      <c r="Y39" s="185"/>
    </row>
    <row r="40" spans="1:25" ht="24" customHeight="1" x14ac:dyDescent="0.2">
      <c r="A40" s="91"/>
      <c r="B40" s="91"/>
      <c r="C40" s="83"/>
      <c r="D40" s="84"/>
      <c r="E40" s="83"/>
      <c r="F40" s="83"/>
      <c r="G40" s="84"/>
      <c r="H40" s="83"/>
      <c r="I40" s="83"/>
      <c r="J40" s="80"/>
      <c r="K40" s="79"/>
      <c r="L40" s="83"/>
      <c r="M40" s="80"/>
      <c r="N40" s="79"/>
      <c r="O40" s="83"/>
      <c r="P40" s="84"/>
      <c r="Q40" s="83"/>
      <c r="R40" s="83"/>
      <c r="S40" s="84"/>
      <c r="T40" s="83"/>
      <c r="U40" s="128"/>
      <c r="V40" s="94"/>
      <c r="W40" s="98"/>
      <c r="X40" s="188"/>
      <c r="Y40" s="185"/>
    </row>
    <row r="41" spans="1:25" ht="24" customHeight="1" x14ac:dyDescent="0.2">
      <c r="A41" s="91"/>
      <c r="B41" s="91"/>
      <c r="C41" s="83"/>
      <c r="D41" s="84"/>
      <c r="E41" s="83"/>
      <c r="F41" s="83"/>
      <c r="G41" s="80"/>
      <c r="H41" s="79"/>
      <c r="I41" s="79"/>
      <c r="J41" s="80"/>
      <c r="K41" s="79"/>
      <c r="L41" s="79"/>
      <c r="M41" s="80"/>
      <c r="N41" s="79"/>
      <c r="O41" s="79"/>
      <c r="P41" s="80"/>
      <c r="Q41" s="79"/>
      <c r="R41" s="83"/>
      <c r="S41" s="84"/>
      <c r="T41" s="83"/>
      <c r="U41" s="128"/>
      <c r="V41" s="94"/>
      <c r="W41" s="98"/>
      <c r="X41" s="188"/>
      <c r="Y41" s="185"/>
    </row>
    <row r="42" spans="1:25" ht="24" customHeight="1" x14ac:dyDescent="0.2">
      <c r="A42" s="91"/>
      <c r="B42" s="91"/>
      <c r="C42" s="83"/>
      <c r="D42" s="84"/>
      <c r="E42" s="83"/>
      <c r="F42" s="79"/>
      <c r="G42" s="80"/>
      <c r="H42" s="79"/>
      <c r="I42" s="79"/>
      <c r="J42" s="80"/>
      <c r="K42" s="79"/>
      <c r="L42" s="79"/>
      <c r="M42" s="80"/>
      <c r="N42" s="79"/>
      <c r="O42" s="79"/>
      <c r="P42" s="80"/>
      <c r="Q42" s="79"/>
      <c r="R42" s="83"/>
      <c r="S42" s="84"/>
      <c r="T42" s="83"/>
      <c r="U42" s="128"/>
      <c r="V42" s="89"/>
      <c r="W42" s="98"/>
      <c r="X42" s="188"/>
      <c r="Y42" s="185"/>
    </row>
    <row r="43" spans="1:25" ht="24" customHeight="1" x14ac:dyDescent="0.2">
      <c r="A43" s="91"/>
      <c r="B43" s="103"/>
      <c r="C43" s="83"/>
      <c r="D43" s="84"/>
      <c r="E43" s="83"/>
      <c r="F43" s="103"/>
      <c r="G43" s="84"/>
      <c r="H43" s="103"/>
      <c r="I43" s="134"/>
      <c r="J43" s="84"/>
      <c r="K43" s="103"/>
      <c r="L43" s="79"/>
      <c r="M43" s="80"/>
      <c r="N43" s="79"/>
      <c r="O43" s="79"/>
      <c r="P43" s="80"/>
      <c r="Q43" s="79"/>
      <c r="R43" s="83"/>
      <c r="S43" s="84"/>
      <c r="T43" s="83"/>
      <c r="U43" s="128"/>
      <c r="V43" s="89"/>
      <c r="W43" s="98"/>
      <c r="X43" s="188"/>
      <c r="Y43" s="185"/>
    </row>
    <row r="44" spans="1:25" ht="24" customHeight="1" x14ac:dyDescent="0.2">
      <c r="A44" s="91"/>
      <c r="B44" s="91"/>
      <c r="C44" s="83"/>
      <c r="D44" s="84"/>
      <c r="E44" s="79"/>
      <c r="F44" s="83"/>
      <c r="G44" s="80"/>
      <c r="H44" s="79"/>
      <c r="I44" s="79"/>
      <c r="J44" s="80"/>
      <c r="K44" s="79"/>
      <c r="L44" s="79"/>
      <c r="M44" s="80"/>
      <c r="N44" s="79"/>
      <c r="O44" s="79"/>
      <c r="P44" s="80"/>
      <c r="Q44" s="79"/>
      <c r="R44" s="83"/>
      <c r="S44" s="80"/>
      <c r="T44" s="83"/>
      <c r="U44" s="128"/>
      <c r="V44" s="89"/>
      <c r="W44" s="98"/>
      <c r="X44" s="188"/>
      <c r="Y44" s="185"/>
    </row>
    <row r="45" spans="1:25" ht="24" customHeight="1" x14ac:dyDescent="0.2">
      <c r="A45" s="91"/>
      <c r="B45" s="91"/>
      <c r="C45" s="83"/>
      <c r="D45" s="84"/>
      <c r="E45" s="79"/>
      <c r="F45" s="79"/>
      <c r="G45" s="80"/>
      <c r="H45" s="79"/>
      <c r="I45" s="79"/>
      <c r="J45" s="80"/>
      <c r="K45" s="79"/>
      <c r="L45" s="79"/>
      <c r="M45" s="80"/>
      <c r="N45" s="79"/>
      <c r="O45" s="79"/>
      <c r="P45" s="80"/>
      <c r="Q45" s="79"/>
      <c r="R45" s="133"/>
      <c r="S45" s="93"/>
      <c r="T45" s="83"/>
      <c r="U45" s="128"/>
      <c r="V45" s="89"/>
      <c r="W45" s="98"/>
      <c r="X45" s="188"/>
      <c r="Y45" s="185"/>
    </row>
    <row r="46" spans="1:25" ht="24" customHeight="1" x14ac:dyDescent="0.2">
      <c r="A46" s="91"/>
      <c r="B46" s="91"/>
      <c r="C46" s="83"/>
      <c r="D46" s="84"/>
      <c r="E46" s="83"/>
      <c r="F46" s="83"/>
      <c r="G46" s="84"/>
      <c r="H46" s="83"/>
      <c r="I46" s="83"/>
      <c r="J46" s="84"/>
      <c r="K46" s="83"/>
      <c r="L46" s="83"/>
      <c r="M46" s="84"/>
      <c r="N46" s="79"/>
      <c r="O46" s="83"/>
      <c r="P46" s="84"/>
      <c r="Q46" s="83"/>
      <c r="R46" s="83"/>
      <c r="S46" s="84"/>
      <c r="T46" s="83"/>
      <c r="U46" s="128"/>
      <c r="V46" s="89"/>
      <c r="W46" s="98"/>
      <c r="X46" s="188"/>
      <c r="Y46" s="185"/>
    </row>
    <row r="47" spans="1:25" ht="24" customHeight="1" x14ac:dyDescent="0.2">
      <c r="A47" s="91"/>
      <c r="B47" s="91"/>
      <c r="C47" s="83"/>
      <c r="D47" s="84"/>
      <c r="E47" s="79"/>
      <c r="F47" s="79"/>
      <c r="G47" s="80"/>
      <c r="H47" s="79"/>
      <c r="I47" s="79"/>
      <c r="J47" s="80"/>
      <c r="K47" s="79"/>
      <c r="L47" s="79"/>
      <c r="M47" s="80"/>
      <c r="N47" s="79"/>
      <c r="O47" s="79"/>
      <c r="P47" s="80"/>
      <c r="Q47" s="79"/>
      <c r="R47" s="83"/>
      <c r="S47" s="84"/>
      <c r="T47" s="83"/>
      <c r="U47" s="128"/>
      <c r="V47" s="89"/>
      <c r="W47" s="98"/>
      <c r="X47" s="188"/>
      <c r="Y47" s="185"/>
    </row>
    <row r="48" spans="1:25" ht="24" customHeight="1" x14ac:dyDescent="0.2">
      <c r="A48" s="91"/>
      <c r="B48" s="91"/>
      <c r="C48" s="83"/>
      <c r="D48" s="84"/>
      <c r="E48" s="83"/>
      <c r="F48" s="79"/>
      <c r="G48" s="80"/>
      <c r="H48" s="79"/>
      <c r="I48" s="79"/>
      <c r="J48" s="80"/>
      <c r="K48" s="79"/>
      <c r="L48" s="79"/>
      <c r="M48" s="80"/>
      <c r="N48" s="79"/>
      <c r="O48" s="79"/>
      <c r="P48" s="80"/>
      <c r="Q48" s="79"/>
      <c r="R48" s="83"/>
      <c r="S48" s="84"/>
      <c r="T48" s="83"/>
      <c r="U48" s="128"/>
      <c r="V48" s="89"/>
      <c r="W48" s="98"/>
      <c r="X48" s="188"/>
      <c r="Y48" s="185"/>
    </row>
    <row r="49" spans="1:25" ht="24" customHeight="1" x14ac:dyDescent="0.2">
      <c r="A49" s="91"/>
      <c r="B49" s="91"/>
      <c r="C49" s="83"/>
      <c r="D49" s="84"/>
      <c r="E49" s="83"/>
      <c r="F49" s="79"/>
      <c r="G49" s="80"/>
      <c r="H49" s="79"/>
      <c r="I49" s="83"/>
      <c r="J49" s="84"/>
      <c r="K49" s="79"/>
      <c r="L49" s="79"/>
      <c r="M49" s="80"/>
      <c r="N49" s="79"/>
      <c r="O49" s="79"/>
      <c r="P49" s="80"/>
      <c r="Q49" s="79"/>
      <c r="R49" s="83"/>
      <c r="S49" s="84"/>
      <c r="T49" s="83"/>
      <c r="U49" s="128"/>
      <c r="V49" s="89"/>
      <c r="W49" s="98"/>
      <c r="X49" s="188"/>
      <c r="Y49" s="185"/>
    </row>
    <row r="50" spans="1:25" ht="24" customHeight="1" x14ac:dyDescent="0.2">
      <c r="A50" s="91"/>
      <c r="B50" s="132"/>
      <c r="C50" s="79"/>
      <c r="D50" s="84"/>
      <c r="E50" s="79"/>
      <c r="F50" s="83"/>
      <c r="G50" s="80"/>
      <c r="H50" s="79"/>
      <c r="I50" s="83"/>
      <c r="J50" s="80"/>
      <c r="K50" s="79"/>
      <c r="L50" s="83"/>
      <c r="M50" s="80"/>
      <c r="N50" s="79"/>
      <c r="O50" s="83"/>
      <c r="P50" s="80"/>
      <c r="Q50" s="79"/>
      <c r="R50" s="83"/>
      <c r="S50" s="84"/>
      <c r="T50" s="83"/>
      <c r="U50" s="128"/>
      <c r="V50" s="89"/>
      <c r="W50" s="98"/>
      <c r="X50" s="188"/>
      <c r="Y50" s="185"/>
    </row>
    <row r="51" spans="1:25" ht="24" customHeight="1" x14ac:dyDescent="0.2">
      <c r="A51" s="103"/>
      <c r="B51" s="132"/>
      <c r="C51" s="83"/>
      <c r="D51" s="84"/>
      <c r="E51" s="79"/>
      <c r="F51" s="79"/>
      <c r="G51" s="80"/>
      <c r="H51" s="79"/>
      <c r="I51" s="79"/>
      <c r="J51" s="80"/>
      <c r="K51" s="79"/>
      <c r="L51" s="79"/>
      <c r="M51" s="80"/>
      <c r="N51" s="79"/>
      <c r="O51" s="79"/>
      <c r="P51" s="80"/>
      <c r="Q51" s="79"/>
      <c r="R51" s="83"/>
      <c r="S51" s="84"/>
      <c r="T51" s="83"/>
      <c r="U51" s="128"/>
      <c r="V51" s="89"/>
      <c r="W51" s="98"/>
      <c r="X51" s="188"/>
      <c r="Y51" s="185"/>
    </row>
    <row r="52" spans="1:25" ht="24" customHeight="1" x14ac:dyDescent="0.2">
      <c r="A52" s="103"/>
      <c r="B52" s="132"/>
      <c r="C52" s="79"/>
      <c r="D52" s="80"/>
      <c r="E52" s="79"/>
      <c r="F52" s="79"/>
      <c r="G52" s="80"/>
      <c r="H52" s="79"/>
      <c r="I52" s="79"/>
      <c r="J52" s="80"/>
      <c r="K52" s="79"/>
      <c r="L52" s="79"/>
      <c r="M52" s="80"/>
      <c r="N52" s="79"/>
      <c r="O52" s="79"/>
      <c r="P52" s="80"/>
      <c r="Q52" s="79"/>
      <c r="R52" s="83"/>
      <c r="S52" s="84"/>
      <c r="T52" s="83"/>
      <c r="U52" s="128"/>
      <c r="V52" s="74"/>
      <c r="X52" s="188"/>
      <c r="Y52" s="185"/>
    </row>
    <row r="53" spans="1:25" ht="24" customHeight="1" x14ac:dyDescent="0.2">
      <c r="A53" s="103"/>
      <c r="B53" s="132"/>
      <c r="C53" s="79"/>
      <c r="D53" s="84"/>
      <c r="E53" s="79"/>
      <c r="F53" s="79"/>
      <c r="G53" s="80"/>
      <c r="H53" s="79"/>
      <c r="I53" s="79"/>
      <c r="J53" s="80"/>
      <c r="K53" s="79"/>
      <c r="L53" s="79"/>
      <c r="M53" s="80"/>
      <c r="N53" s="79"/>
      <c r="O53" s="79"/>
      <c r="P53" s="80"/>
      <c r="Q53" s="79"/>
      <c r="R53" s="83"/>
      <c r="S53" s="84"/>
      <c r="T53" s="83"/>
      <c r="U53" s="128"/>
      <c r="V53" s="74"/>
      <c r="X53" s="188"/>
      <c r="Y53" s="185"/>
    </row>
    <row r="54" spans="1:25" ht="24" customHeight="1" x14ac:dyDescent="0.2">
      <c r="A54" s="103"/>
      <c r="B54" s="132"/>
      <c r="C54" s="79"/>
      <c r="D54" s="84"/>
      <c r="E54" s="79"/>
      <c r="F54" s="79"/>
      <c r="G54" s="80"/>
      <c r="H54" s="79"/>
      <c r="I54" s="79"/>
      <c r="J54" s="80"/>
      <c r="K54" s="79"/>
      <c r="L54" s="79"/>
      <c r="M54" s="80"/>
      <c r="N54" s="79"/>
      <c r="O54" s="79"/>
      <c r="P54" s="80"/>
      <c r="Q54" s="79"/>
      <c r="R54" s="83"/>
      <c r="S54" s="84"/>
      <c r="T54" s="83"/>
      <c r="U54" s="128"/>
      <c r="V54" s="74"/>
      <c r="X54" s="188"/>
      <c r="Y54" s="185"/>
    </row>
    <row r="55" spans="1:25" ht="24" customHeight="1" x14ac:dyDescent="0.2">
      <c r="A55" s="103"/>
      <c r="B55" s="132"/>
      <c r="C55" s="79"/>
      <c r="D55" s="80"/>
      <c r="E55" s="79"/>
      <c r="F55" s="79"/>
      <c r="G55" s="80"/>
      <c r="H55" s="79"/>
      <c r="I55" s="79"/>
      <c r="J55" s="80"/>
      <c r="K55" s="79"/>
      <c r="L55" s="79"/>
      <c r="M55" s="80"/>
      <c r="N55" s="79"/>
      <c r="O55" s="79"/>
      <c r="P55" s="80"/>
      <c r="Q55" s="79"/>
      <c r="R55" s="83"/>
      <c r="S55" s="84"/>
      <c r="T55" s="83"/>
      <c r="U55" s="128"/>
      <c r="V55" s="74"/>
      <c r="X55" s="188"/>
      <c r="Y55" s="185"/>
    </row>
    <row r="56" spans="1:25" ht="24" customHeight="1" x14ac:dyDescent="0.2">
      <c r="A56" s="103"/>
      <c r="B56" s="132"/>
      <c r="C56" s="79"/>
      <c r="D56" s="84"/>
      <c r="E56" s="79"/>
      <c r="F56" s="79"/>
      <c r="G56" s="80"/>
      <c r="H56" s="79"/>
      <c r="I56" s="79"/>
      <c r="J56" s="80"/>
      <c r="K56" s="79"/>
      <c r="L56" s="79"/>
      <c r="M56" s="80"/>
      <c r="N56" s="79"/>
      <c r="O56" s="79"/>
      <c r="P56" s="80"/>
      <c r="Q56" s="79"/>
      <c r="R56" s="83"/>
      <c r="S56" s="84"/>
      <c r="T56" s="83"/>
      <c r="U56" s="128"/>
      <c r="V56" s="74"/>
      <c r="X56" s="188"/>
      <c r="Y56" s="185"/>
    </row>
    <row r="57" spans="1:25" ht="24" customHeight="1" x14ac:dyDescent="0.2">
      <c r="A57" s="103"/>
      <c r="B57" s="132"/>
      <c r="C57" s="79"/>
      <c r="D57" s="84"/>
      <c r="E57" s="79"/>
      <c r="F57" s="79"/>
      <c r="G57" s="80"/>
      <c r="H57" s="79"/>
      <c r="I57" s="79"/>
      <c r="J57" s="80"/>
      <c r="K57" s="79"/>
      <c r="L57" s="79"/>
      <c r="M57" s="80"/>
      <c r="N57" s="79"/>
      <c r="O57" s="79"/>
      <c r="P57" s="80"/>
      <c r="Q57" s="79"/>
      <c r="R57" s="83"/>
      <c r="S57" s="84"/>
      <c r="T57" s="83"/>
      <c r="U57" s="128"/>
      <c r="V57" s="74"/>
      <c r="X57" s="188"/>
      <c r="Y57" s="185"/>
    </row>
    <row r="58" spans="1:25" ht="24" customHeight="1" x14ac:dyDescent="0.2">
      <c r="A58" s="103"/>
      <c r="B58" s="132"/>
      <c r="C58" s="79"/>
      <c r="D58" s="80"/>
      <c r="E58" s="79"/>
      <c r="F58" s="79"/>
      <c r="G58" s="80"/>
      <c r="H58" s="79"/>
      <c r="I58" s="79"/>
      <c r="J58" s="80"/>
      <c r="K58" s="79"/>
      <c r="L58" s="79"/>
      <c r="M58" s="80"/>
      <c r="N58" s="79"/>
      <c r="O58" s="79"/>
      <c r="P58" s="80"/>
      <c r="Q58" s="79"/>
      <c r="R58" s="83"/>
      <c r="S58" s="84"/>
      <c r="T58" s="83"/>
      <c r="U58" s="128"/>
      <c r="V58" s="74"/>
      <c r="X58" s="188"/>
      <c r="Y58" s="185"/>
    </row>
    <row r="59" spans="1:25" ht="24" customHeight="1" x14ac:dyDescent="0.2">
      <c r="A59" s="103"/>
      <c r="B59" s="132"/>
      <c r="C59" s="79"/>
      <c r="D59" s="80"/>
      <c r="E59" s="79"/>
      <c r="F59" s="79"/>
      <c r="G59" s="80"/>
      <c r="H59" s="79"/>
      <c r="I59" s="79"/>
      <c r="J59" s="80"/>
      <c r="K59" s="79"/>
      <c r="L59" s="79"/>
      <c r="M59" s="80"/>
      <c r="N59" s="79"/>
      <c r="O59" s="79"/>
      <c r="P59" s="80"/>
      <c r="Q59" s="79"/>
      <c r="R59" s="83"/>
      <c r="S59" s="84"/>
      <c r="T59" s="83"/>
      <c r="U59" s="128"/>
      <c r="V59" s="74"/>
      <c r="X59" s="188"/>
      <c r="Y59" s="185"/>
    </row>
    <row r="60" spans="1:25" ht="24" customHeight="1" x14ac:dyDescent="0.2">
      <c r="A60" s="103"/>
      <c r="B60" s="103"/>
      <c r="C60" s="103"/>
      <c r="D60" s="84"/>
      <c r="E60" s="103"/>
      <c r="F60" s="103"/>
      <c r="G60" s="84"/>
      <c r="H60" s="103"/>
      <c r="I60" s="103"/>
      <c r="J60" s="84"/>
      <c r="K60" s="103"/>
      <c r="L60" s="103"/>
      <c r="M60" s="84"/>
      <c r="N60" s="103"/>
      <c r="O60" s="103"/>
      <c r="P60" s="84"/>
      <c r="Q60" s="103"/>
      <c r="R60" s="103"/>
      <c r="S60" s="84"/>
      <c r="T60" s="103"/>
      <c r="U60" s="128"/>
      <c r="V60" s="74"/>
      <c r="X60" s="188"/>
      <c r="Y60" s="185"/>
    </row>
    <row r="61" spans="1:25" ht="24" customHeight="1" x14ac:dyDescent="0.2">
      <c r="A61" s="103"/>
      <c r="B61" s="103"/>
      <c r="C61" s="103"/>
      <c r="D61" s="84"/>
      <c r="E61" s="103"/>
      <c r="F61" s="103"/>
      <c r="G61" s="84"/>
      <c r="H61" s="103"/>
      <c r="I61" s="103"/>
      <c r="J61" s="84"/>
      <c r="K61" s="103"/>
      <c r="L61" s="103"/>
      <c r="M61" s="84"/>
      <c r="N61" s="103"/>
      <c r="O61" s="103"/>
      <c r="P61" s="84"/>
      <c r="Q61" s="103"/>
      <c r="R61" s="103"/>
      <c r="S61" s="84"/>
      <c r="T61" s="103"/>
      <c r="U61" s="128"/>
      <c r="V61" s="74"/>
      <c r="X61" s="188"/>
      <c r="Y61" s="185"/>
    </row>
    <row r="62" spans="1:25" ht="24" customHeight="1" x14ac:dyDescent="0.2">
      <c r="A62" s="103"/>
      <c r="B62" s="103"/>
      <c r="C62" s="103"/>
      <c r="D62" s="84"/>
      <c r="E62" s="103"/>
      <c r="F62" s="103"/>
      <c r="G62" s="84"/>
      <c r="H62" s="103"/>
      <c r="I62" s="103"/>
      <c r="J62" s="84"/>
      <c r="K62" s="103"/>
      <c r="L62" s="103"/>
      <c r="M62" s="84"/>
      <c r="N62" s="103"/>
      <c r="O62" s="103"/>
      <c r="P62" s="84"/>
      <c r="Q62" s="103"/>
      <c r="R62" s="103"/>
      <c r="S62" s="84"/>
      <c r="T62" s="103"/>
      <c r="U62" s="128"/>
      <c r="V62" s="74"/>
      <c r="X62" s="188"/>
      <c r="Y62" s="185"/>
    </row>
    <row r="63" spans="1:25" ht="24" customHeight="1" x14ac:dyDescent="0.2">
      <c r="A63" s="103"/>
      <c r="B63" s="103"/>
      <c r="C63" s="103"/>
      <c r="D63" s="84"/>
      <c r="E63" s="103"/>
      <c r="F63" s="103"/>
      <c r="G63" s="84"/>
      <c r="H63" s="103"/>
      <c r="I63" s="103"/>
      <c r="J63" s="84"/>
      <c r="K63" s="103"/>
      <c r="L63" s="103"/>
      <c r="M63" s="84"/>
      <c r="N63" s="103"/>
      <c r="O63" s="103"/>
      <c r="P63" s="84"/>
      <c r="Q63" s="103"/>
      <c r="R63" s="103"/>
      <c r="S63" s="84"/>
      <c r="T63" s="103"/>
      <c r="U63" s="128"/>
      <c r="V63" s="74"/>
      <c r="X63" s="188"/>
      <c r="Y63" s="185"/>
    </row>
    <row r="64" spans="1:25" ht="24" customHeight="1" x14ac:dyDescent="0.2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16"/>
      <c r="V64" s="74"/>
      <c r="X64" s="188"/>
      <c r="Y64" s="185"/>
    </row>
    <row r="65" spans="1:25" ht="24" customHeight="1" x14ac:dyDescent="0.2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16"/>
      <c r="V65" s="74"/>
      <c r="X65" s="188"/>
      <c r="Y65" s="185"/>
    </row>
    <row r="66" spans="1:25" ht="24" customHeight="1" x14ac:dyDescent="0.2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16"/>
      <c r="V66" s="74"/>
      <c r="X66" s="188"/>
      <c r="Y66" s="185"/>
    </row>
    <row r="67" spans="1:25" ht="24" customHeight="1" x14ac:dyDescent="0.2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16"/>
      <c r="V67" s="74"/>
      <c r="X67" s="188"/>
      <c r="Y67" s="185"/>
    </row>
    <row r="68" spans="1:25" ht="24" customHeight="1" x14ac:dyDescent="0.2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16"/>
      <c r="V68" s="74"/>
      <c r="X68" s="188"/>
      <c r="Y68" s="185"/>
    </row>
    <row r="69" spans="1:25" ht="24" customHeight="1" x14ac:dyDescent="0.2">
      <c r="A69" s="111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116"/>
      <c r="V69" s="74"/>
      <c r="X69" s="188"/>
      <c r="Y69" s="185"/>
    </row>
    <row r="70" spans="1:25" x14ac:dyDescent="0.2">
      <c r="A70" s="111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</row>
    <row r="71" spans="1:25" x14ac:dyDescent="0.2">
      <c r="A71" s="111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</row>
    <row r="72" spans="1:25" x14ac:dyDescent="0.2">
      <c r="A72" s="111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</row>
  </sheetData>
  <sheetProtection formatCells="0" selectLockedCells="1" selectUnlockedCells="1"/>
  <mergeCells count="79">
    <mergeCell ref="C1:E1"/>
    <mergeCell ref="C2:E2"/>
    <mergeCell ref="C3:E3"/>
    <mergeCell ref="C4:E4"/>
    <mergeCell ref="F1:H1"/>
    <mergeCell ref="F2:H2"/>
    <mergeCell ref="F3:H3"/>
    <mergeCell ref="F4:H4"/>
    <mergeCell ref="X68:Y68"/>
    <mergeCell ref="X69:Y69"/>
    <mergeCell ref="I1:K1"/>
    <mergeCell ref="I2:K2"/>
    <mergeCell ref="I3:K3"/>
    <mergeCell ref="I4:K4"/>
    <mergeCell ref="L1:N1"/>
    <mergeCell ref="L2:N2"/>
    <mergeCell ref="L3:N3"/>
    <mergeCell ref="L4:N4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48:Y48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38:Y38"/>
    <mergeCell ref="X39:Y39"/>
    <mergeCell ref="X40:Y40"/>
    <mergeCell ref="X41:Y41"/>
    <mergeCell ref="X42:Y42"/>
    <mergeCell ref="X43:Y43"/>
    <mergeCell ref="X44:Y44"/>
    <mergeCell ref="X45:Y45"/>
    <mergeCell ref="X46:Y46"/>
    <mergeCell ref="X47:Y47"/>
    <mergeCell ref="X36:Y36"/>
    <mergeCell ref="X37:Y37"/>
    <mergeCell ref="X28:Y28"/>
    <mergeCell ref="X29:Y29"/>
    <mergeCell ref="X30:Y30"/>
    <mergeCell ref="X31:Y31"/>
    <mergeCell ref="X32:Y32"/>
    <mergeCell ref="X27:Y27"/>
    <mergeCell ref="B32:T32"/>
    <mergeCell ref="X33:Y33"/>
    <mergeCell ref="X34:Y34"/>
    <mergeCell ref="X35:Y35"/>
    <mergeCell ref="X13:Y13"/>
    <mergeCell ref="X23:Y23"/>
    <mergeCell ref="X24:Y24"/>
    <mergeCell ref="X25:Y25"/>
    <mergeCell ref="X26:Y26"/>
    <mergeCell ref="A5:A6"/>
    <mergeCell ref="B5:T5"/>
    <mergeCell ref="X10:Y10"/>
    <mergeCell ref="X11:Y11"/>
    <mergeCell ref="X12:Y12"/>
    <mergeCell ref="X20:Y20"/>
    <mergeCell ref="X21:Y21"/>
    <mergeCell ref="X22:Y22"/>
    <mergeCell ref="X14:Y14"/>
    <mergeCell ref="X15:Y15"/>
    <mergeCell ref="X16:Y16"/>
    <mergeCell ref="X17:Y17"/>
    <mergeCell ref="X18:Y18"/>
    <mergeCell ref="X19:Y19"/>
  </mergeCells>
  <printOptions horizontalCentered="1" verticalCentered="1" gridLines="1"/>
  <pageMargins left="0.5" right="0.5" top="0.5" bottom="0.25" header="0" footer="0"/>
  <pageSetup scale="74" orientation="landscape" blackAndWhite="1" r:id="rId1"/>
  <headerFooter alignWithMargins="0">
    <oddHeader>&amp;LFAX-425-487-1568&amp;CTIMESHEET</oddHeader>
  </headerFooter>
  <rowBreaks count="2" manualBreakCount="2">
    <brk id="31" max="20" man="1"/>
    <brk id="63" max="20" man="1"/>
  </rowBreaks>
  <colBreaks count="1" manualBreakCount="1">
    <brk id="21" max="68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workbookViewId="0">
      <selection activeCell="I4" sqref="I4:K4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116</v>
      </c>
      <c r="D1" s="175"/>
      <c r="E1" s="175"/>
      <c r="F1" s="174" t="s">
        <v>115</v>
      </c>
      <c r="G1" s="175"/>
      <c r="H1" s="175"/>
      <c r="I1" s="189"/>
      <c r="J1" s="175"/>
      <c r="K1" s="175"/>
      <c r="L1" s="174"/>
      <c r="M1" s="175"/>
      <c r="N1" s="175"/>
      <c r="O1" s="144" t="s">
        <v>131</v>
      </c>
      <c r="P1" s="143"/>
      <c r="Q1" s="143"/>
      <c r="R1" s="143"/>
      <c r="S1" s="143"/>
      <c r="T1" s="143"/>
      <c r="U1" s="109"/>
      <c r="V1" s="112"/>
    </row>
    <row r="2" spans="1:25" ht="24" customHeight="1" x14ac:dyDescent="0.2">
      <c r="A2" s="103"/>
      <c r="B2" s="110" t="s">
        <v>129</v>
      </c>
      <c r="C2" s="175" t="s">
        <v>134</v>
      </c>
      <c r="D2" s="175"/>
      <c r="E2" s="175"/>
      <c r="F2" s="174" t="s">
        <v>133</v>
      </c>
      <c r="G2" s="176"/>
      <c r="H2" s="176"/>
      <c r="I2" s="189" t="s">
        <v>176</v>
      </c>
      <c r="J2" s="175"/>
      <c r="K2" s="175"/>
      <c r="L2" s="174" t="s">
        <v>126</v>
      </c>
      <c r="M2" s="175"/>
      <c r="N2" s="175"/>
      <c r="O2" s="110" t="s">
        <v>125</v>
      </c>
      <c r="P2" s="142"/>
      <c r="Q2" s="142"/>
      <c r="R2" s="109" t="s">
        <v>130</v>
      </c>
      <c r="S2" s="142"/>
      <c r="T2" s="142"/>
      <c r="U2" s="109"/>
      <c r="V2" s="112"/>
    </row>
    <row r="3" spans="1:25" ht="24" customHeight="1" x14ac:dyDescent="0.2">
      <c r="A3" s="103"/>
      <c r="B3" s="110" t="s">
        <v>175</v>
      </c>
      <c r="C3" s="174" t="s">
        <v>174</v>
      </c>
      <c r="D3" s="176"/>
      <c r="E3" s="176"/>
      <c r="F3" s="174" t="s">
        <v>127</v>
      </c>
      <c r="G3" s="176"/>
      <c r="H3" s="176"/>
      <c r="I3" s="189" t="s">
        <v>173</v>
      </c>
      <c r="J3" s="175"/>
      <c r="K3" s="175"/>
      <c r="L3" s="174" t="s">
        <v>119</v>
      </c>
      <c r="M3" s="175"/>
      <c r="N3" s="175"/>
      <c r="O3" s="110" t="s">
        <v>118</v>
      </c>
      <c r="P3" s="142"/>
      <c r="Q3" s="142"/>
      <c r="R3" s="109" t="s">
        <v>124</v>
      </c>
      <c r="S3" s="142"/>
      <c r="T3" s="142"/>
      <c r="U3" s="109"/>
      <c r="V3" s="111"/>
    </row>
    <row r="4" spans="1:25" ht="24" customHeight="1" thickBot="1" x14ac:dyDescent="0.25">
      <c r="A4" s="103"/>
      <c r="B4" s="110" t="s">
        <v>123</v>
      </c>
      <c r="C4" s="174" t="s">
        <v>172</v>
      </c>
      <c r="D4" s="176"/>
      <c r="E4" s="176"/>
      <c r="F4" s="174" t="s">
        <v>132</v>
      </c>
      <c r="G4" s="176"/>
      <c r="H4" s="176"/>
      <c r="I4" s="190" t="s">
        <v>178</v>
      </c>
      <c r="J4" s="177"/>
      <c r="K4" s="177"/>
      <c r="L4" s="174" t="s">
        <v>112</v>
      </c>
      <c r="M4" s="175"/>
      <c r="N4" s="175"/>
      <c r="O4" s="110" t="s">
        <v>111</v>
      </c>
      <c r="P4" s="142"/>
      <c r="Q4" s="142"/>
      <c r="R4" s="109" t="s">
        <v>117</v>
      </c>
      <c r="S4" s="142"/>
      <c r="T4" s="142"/>
      <c r="U4" s="109"/>
      <c r="V4" s="89"/>
    </row>
    <row r="5" spans="1:25" ht="24" customHeight="1" thickBot="1" x14ac:dyDescent="0.25">
      <c r="A5" s="180"/>
      <c r="B5" s="181" t="s">
        <v>171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42502</v>
      </c>
      <c r="D6" s="107"/>
      <c r="E6" s="107"/>
      <c r="F6" s="107">
        <f>C6+1</f>
        <v>42503</v>
      </c>
      <c r="G6" s="107"/>
      <c r="H6" s="107"/>
      <c r="I6" s="107">
        <f>F6+3</f>
        <v>42506</v>
      </c>
      <c r="J6" s="107"/>
      <c r="K6" s="107"/>
      <c r="L6" s="107">
        <f>I6+1</f>
        <v>42507</v>
      </c>
      <c r="M6" s="107"/>
      <c r="N6" s="107"/>
      <c r="O6" s="107">
        <f>L6+1</f>
        <v>42508</v>
      </c>
      <c r="P6" s="107"/>
      <c r="Q6" s="107"/>
      <c r="R6" s="107">
        <f>F6+1</f>
        <v>42504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/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141">
        <f>SUM(U10:U31)</f>
        <v>40</v>
      </c>
      <c r="V8" s="94"/>
      <c r="W8" s="98"/>
    </row>
    <row r="9" spans="1:25" ht="24" customHeight="1" x14ac:dyDescent="0.2">
      <c r="A9" s="103"/>
      <c r="B9" s="97" t="s">
        <v>110</v>
      </c>
      <c r="C9" s="97" t="s">
        <v>170</v>
      </c>
      <c r="D9" s="97" t="s">
        <v>169</v>
      </c>
      <c r="E9" s="97" t="s">
        <v>17</v>
      </c>
      <c r="F9" s="97" t="s">
        <v>170</v>
      </c>
      <c r="G9" s="97" t="s">
        <v>169</v>
      </c>
      <c r="H9" s="97" t="s">
        <v>17</v>
      </c>
      <c r="I9" s="97" t="s">
        <v>170</v>
      </c>
      <c r="J9" s="97" t="s">
        <v>169</v>
      </c>
      <c r="K9" s="97" t="s">
        <v>17</v>
      </c>
      <c r="L9" s="97" t="s">
        <v>170</v>
      </c>
      <c r="M9" s="97" t="s">
        <v>169</v>
      </c>
      <c r="N9" s="97" t="s">
        <v>17</v>
      </c>
      <c r="O9" s="97" t="s">
        <v>170</v>
      </c>
      <c r="P9" s="97" t="s">
        <v>169</v>
      </c>
      <c r="Q9" s="97" t="s">
        <v>17</v>
      </c>
      <c r="R9" s="97" t="s">
        <v>170</v>
      </c>
      <c r="S9" s="97" t="s">
        <v>169</v>
      </c>
      <c r="T9" s="97" t="s">
        <v>17</v>
      </c>
      <c r="U9" s="101"/>
      <c r="V9" s="100"/>
      <c r="W9" s="98"/>
    </row>
    <row r="10" spans="1:25" ht="24" customHeight="1" x14ac:dyDescent="0.2">
      <c r="A10" s="91"/>
      <c r="B10" s="81"/>
      <c r="C10" s="83"/>
      <c r="D10" s="84"/>
      <c r="E10" s="83"/>
      <c r="F10" s="83"/>
      <c r="G10" s="84"/>
      <c r="H10" s="79"/>
      <c r="I10" s="79"/>
      <c r="J10" s="84"/>
      <c r="K10" s="79"/>
      <c r="L10" s="79"/>
      <c r="M10" s="84"/>
      <c r="N10" s="79"/>
      <c r="O10" s="79"/>
      <c r="P10" s="84"/>
      <c r="Q10" s="79"/>
      <c r="R10" s="83"/>
      <c r="S10" s="84"/>
      <c r="T10" s="83"/>
      <c r="U10" s="75">
        <f t="shared" ref="U10:U16" si="0">SUM(B10,E10,H10,K10,N10,Q10,T10)</f>
        <v>0</v>
      </c>
      <c r="V10" s="94"/>
      <c r="W10" s="98"/>
      <c r="X10" s="184"/>
      <c r="Y10" s="185"/>
    </row>
    <row r="11" spans="1:25" ht="24" customHeight="1" x14ac:dyDescent="0.2">
      <c r="A11" s="91"/>
      <c r="B11" s="95"/>
      <c r="C11" s="83"/>
      <c r="D11" s="84"/>
      <c r="E11" s="83"/>
      <c r="F11" s="83"/>
      <c r="G11" s="84"/>
      <c r="H11" s="83"/>
      <c r="I11" s="83"/>
      <c r="J11" s="84"/>
      <c r="K11" s="79"/>
      <c r="L11" s="83"/>
      <c r="M11" s="84"/>
      <c r="N11" s="79"/>
      <c r="O11" s="83"/>
      <c r="P11" s="84"/>
      <c r="Q11" s="83"/>
      <c r="R11" s="83"/>
      <c r="S11" s="84"/>
      <c r="T11" s="83"/>
      <c r="U11" s="75">
        <f t="shared" si="0"/>
        <v>0</v>
      </c>
      <c r="V11" s="94"/>
      <c r="W11" s="98"/>
      <c r="X11" s="184"/>
      <c r="Y11" s="185"/>
    </row>
    <row r="12" spans="1:25" ht="24" customHeight="1" x14ac:dyDescent="0.2">
      <c r="A12" s="91"/>
      <c r="B12" s="81"/>
      <c r="C12" s="83"/>
      <c r="D12" s="84"/>
      <c r="E12" s="83"/>
      <c r="F12" s="83"/>
      <c r="G12" s="84"/>
      <c r="H12" s="79"/>
      <c r="I12" s="79"/>
      <c r="J12" s="84"/>
      <c r="K12" s="79"/>
      <c r="L12" s="79"/>
      <c r="M12" s="84"/>
      <c r="N12" s="79"/>
      <c r="O12" s="79"/>
      <c r="P12" s="84"/>
      <c r="Q12" s="79"/>
      <c r="R12" s="83"/>
      <c r="S12" s="84"/>
      <c r="T12" s="83"/>
      <c r="U12" s="75">
        <f t="shared" si="0"/>
        <v>0</v>
      </c>
      <c r="V12" s="94"/>
      <c r="W12" s="98"/>
      <c r="X12" s="184"/>
      <c r="Y12" s="185"/>
    </row>
    <row r="13" spans="1:25" ht="24" customHeight="1" x14ac:dyDescent="0.2">
      <c r="A13" s="91"/>
      <c r="B13" s="81"/>
      <c r="C13" s="83"/>
      <c r="D13" s="84"/>
      <c r="E13" s="83"/>
      <c r="F13" s="79"/>
      <c r="G13" s="84"/>
      <c r="H13" s="79"/>
      <c r="I13" s="79"/>
      <c r="J13" s="84"/>
      <c r="K13" s="79"/>
      <c r="L13" s="79"/>
      <c r="M13" s="84"/>
      <c r="N13" s="79"/>
      <c r="O13" s="79"/>
      <c r="P13" s="84"/>
      <c r="Q13" s="79"/>
      <c r="R13" s="83"/>
      <c r="S13" s="84"/>
      <c r="T13" s="83"/>
      <c r="U13" s="75">
        <f t="shared" si="0"/>
        <v>0</v>
      </c>
      <c r="V13" s="94"/>
      <c r="W13" s="98"/>
      <c r="X13" s="184"/>
      <c r="Y13" s="185"/>
    </row>
    <row r="14" spans="1:25" ht="24" customHeight="1" x14ac:dyDescent="0.2">
      <c r="A14" s="91">
        <v>1</v>
      </c>
      <c r="B14" s="81" t="s">
        <v>168</v>
      </c>
      <c r="C14" s="138" t="s">
        <v>167</v>
      </c>
      <c r="D14" s="84">
        <v>800</v>
      </c>
      <c r="E14" s="83">
        <v>3</v>
      </c>
      <c r="F14" s="138" t="s">
        <v>167</v>
      </c>
      <c r="G14" s="84">
        <v>800</v>
      </c>
      <c r="H14" s="83">
        <v>6</v>
      </c>
      <c r="I14" s="138" t="s">
        <v>167</v>
      </c>
      <c r="J14" s="84">
        <v>800</v>
      </c>
      <c r="K14" s="83">
        <v>3</v>
      </c>
      <c r="L14" s="138" t="s">
        <v>167</v>
      </c>
      <c r="M14" s="84">
        <v>800</v>
      </c>
      <c r="N14" s="83">
        <v>4</v>
      </c>
      <c r="O14" s="138" t="s">
        <v>167</v>
      </c>
      <c r="P14" s="84">
        <v>800</v>
      </c>
      <c r="Q14" s="83">
        <v>3</v>
      </c>
      <c r="R14" s="83"/>
      <c r="S14" s="84"/>
      <c r="T14" s="83"/>
      <c r="U14" s="75">
        <f t="shared" si="0"/>
        <v>19</v>
      </c>
      <c r="V14" s="94"/>
      <c r="W14" s="98"/>
      <c r="X14" s="184"/>
      <c r="Y14" s="185"/>
    </row>
    <row r="15" spans="1:25" ht="24" customHeight="1" x14ac:dyDescent="0.2">
      <c r="A15" s="91"/>
      <c r="B15" s="81"/>
      <c r="C15" s="138">
        <v>2021</v>
      </c>
      <c r="D15" s="84">
        <v>101</v>
      </c>
      <c r="E15" s="79">
        <v>1</v>
      </c>
      <c r="F15" s="83">
        <v>2023</v>
      </c>
      <c r="G15" s="84">
        <v>151</v>
      </c>
      <c r="H15" s="83">
        <v>2</v>
      </c>
      <c r="I15" s="139">
        <v>2027</v>
      </c>
      <c r="J15" s="84">
        <v>101</v>
      </c>
      <c r="K15" s="79">
        <v>3</v>
      </c>
      <c r="L15" s="83">
        <v>2026</v>
      </c>
      <c r="M15" s="84">
        <v>101</v>
      </c>
      <c r="N15" s="79">
        <v>2</v>
      </c>
      <c r="O15" s="83">
        <v>2027</v>
      </c>
      <c r="P15" s="84">
        <v>101</v>
      </c>
      <c r="Q15" s="79">
        <v>1</v>
      </c>
      <c r="R15" s="140"/>
      <c r="S15" s="84"/>
      <c r="T15" s="83"/>
      <c r="U15" s="75">
        <f t="shared" si="0"/>
        <v>9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138">
        <v>2028</v>
      </c>
      <c r="D16" s="84">
        <v>101</v>
      </c>
      <c r="E16" s="83">
        <v>2</v>
      </c>
      <c r="F16" s="138"/>
      <c r="G16" s="84"/>
      <c r="H16" s="79"/>
      <c r="I16" s="139">
        <v>2023</v>
      </c>
      <c r="J16" s="84">
        <v>101</v>
      </c>
      <c r="K16" s="79">
        <v>1</v>
      </c>
      <c r="L16" s="139">
        <v>2023</v>
      </c>
      <c r="M16" s="84">
        <v>151</v>
      </c>
      <c r="N16" s="79">
        <v>2</v>
      </c>
      <c r="O16" s="139">
        <v>2026</v>
      </c>
      <c r="P16" s="84">
        <v>101</v>
      </c>
      <c r="Q16" s="79">
        <v>1</v>
      </c>
      <c r="R16" s="83"/>
      <c r="S16" s="84"/>
      <c r="T16" s="83"/>
      <c r="U16" s="75">
        <f t="shared" si="0"/>
        <v>6</v>
      </c>
      <c r="V16" s="94"/>
      <c r="W16" s="98"/>
      <c r="X16" s="184"/>
      <c r="Y16" s="185"/>
    </row>
    <row r="17" spans="1:25" ht="24" customHeight="1" x14ac:dyDescent="0.2">
      <c r="A17" s="91"/>
      <c r="B17" s="91"/>
      <c r="C17" s="138">
        <v>2027</v>
      </c>
      <c r="D17" s="84">
        <v>101</v>
      </c>
      <c r="E17" s="79">
        <v>2</v>
      </c>
      <c r="F17" s="138"/>
      <c r="G17" s="84"/>
      <c r="H17" s="83"/>
      <c r="I17" s="139">
        <v>2026</v>
      </c>
      <c r="J17" s="84">
        <v>101</v>
      </c>
      <c r="K17" s="79">
        <v>1</v>
      </c>
      <c r="L17" s="139"/>
      <c r="M17" s="84"/>
      <c r="N17" s="79"/>
      <c r="O17" s="139">
        <v>2023</v>
      </c>
      <c r="P17" s="84">
        <v>100</v>
      </c>
      <c r="Q17" s="79">
        <v>1</v>
      </c>
      <c r="R17" s="83"/>
      <c r="S17" s="84"/>
      <c r="T17" s="83"/>
      <c r="U17" s="75">
        <f>SUM(B17,E16,H17,K17,N17,Q17,T17)</f>
        <v>4</v>
      </c>
      <c r="V17" s="94"/>
      <c r="W17" s="98"/>
      <c r="X17" s="184"/>
      <c r="Y17" s="185"/>
    </row>
    <row r="18" spans="1:25" ht="24" customHeight="1" x14ac:dyDescent="0.2">
      <c r="A18" s="91"/>
      <c r="B18" s="91"/>
      <c r="C18" s="138"/>
      <c r="D18" s="84"/>
      <c r="E18" s="83"/>
      <c r="F18" s="138"/>
      <c r="G18" s="84"/>
      <c r="H18" s="83"/>
      <c r="I18" s="139"/>
      <c r="J18" s="84"/>
      <c r="K18" s="79"/>
      <c r="L18" s="139"/>
      <c r="M18" s="84"/>
      <c r="N18" s="79"/>
      <c r="O18" s="139">
        <v>2027</v>
      </c>
      <c r="P18" s="84">
        <v>100</v>
      </c>
      <c r="Q18" s="79">
        <v>1</v>
      </c>
      <c r="R18" s="83"/>
      <c r="S18" s="84"/>
      <c r="T18" s="83"/>
      <c r="U18" s="75">
        <f t="shared" ref="U18:U31" si="1">SUM(B18,E18,H18,K18,N18,Q18,T18)</f>
        <v>1</v>
      </c>
      <c r="V18" s="94"/>
      <c r="W18" s="98"/>
      <c r="X18" s="184"/>
      <c r="Y18" s="185"/>
    </row>
    <row r="19" spans="1:25" ht="24" customHeight="1" x14ac:dyDescent="0.2">
      <c r="A19" s="91"/>
      <c r="B19" s="81"/>
      <c r="C19" s="138"/>
      <c r="D19" s="84"/>
      <c r="E19" s="83"/>
      <c r="F19" s="138"/>
      <c r="G19" s="84"/>
      <c r="H19" s="83"/>
      <c r="I19" s="83"/>
      <c r="J19" s="84"/>
      <c r="K19" s="79"/>
      <c r="L19" s="139"/>
      <c r="M19" s="84"/>
      <c r="N19" s="79"/>
      <c r="O19" s="79">
        <v>2019</v>
      </c>
      <c r="P19" s="84">
        <v>100</v>
      </c>
      <c r="Q19" s="79">
        <v>1</v>
      </c>
      <c r="R19" s="83"/>
      <c r="S19" s="84"/>
      <c r="T19" s="83"/>
      <c r="U19" s="75">
        <f t="shared" si="1"/>
        <v>1</v>
      </c>
      <c r="V19" s="94"/>
      <c r="W19" s="98"/>
      <c r="X19" s="184"/>
      <c r="Y19" s="185"/>
    </row>
    <row r="20" spans="1:25" ht="24" customHeight="1" x14ac:dyDescent="0.2">
      <c r="A20" s="91"/>
      <c r="B20" s="81"/>
      <c r="C20" s="138"/>
      <c r="D20" s="84"/>
      <c r="E20" s="83"/>
      <c r="F20" s="79"/>
      <c r="G20" s="84"/>
      <c r="H20" s="79"/>
      <c r="I20" s="83"/>
      <c r="J20" s="84"/>
      <c r="K20" s="79"/>
      <c r="L20" s="83"/>
      <c r="M20" s="84"/>
      <c r="N20" s="83"/>
      <c r="O20" s="79"/>
      <c r="P20" s="84"/>
      <c r="Q20" s="79"/>
      <c r="R20" s="83"/>
      <c r="S20" s="84"/>
      <c r="T20" s="83"/>
      <c r="U20" s="75">
        <f t="shared" si="1"/>
        <v>0</v>
      </c>
      <c r="V20" s="94"/>
      <c r="W20" s="98"/>
      <c r="X20" s="184"/>
      <c r="Y20" s="185"/>
    </row>
    <row r="21" spans="1:25" ht="24" customHeight="1" x14ac:dyDescent="0.2">
      <c r="A21" s="91"/>
      <c r="B21" s="81"/>
      <c r="C21" s="79"/>
      <c r="D21" s="84"/>
      <c r="E21" s="79"/>
      <c r="F21" s="83"/>
      <c r="G21" s="136"/>
      <c r="H21" s="79"/>
      <c r="I21" s="83"/>
      <c r="J21" s="84"/>
      <c r="K21" s="79"/>
      <c r="L21" s="137"/>
      <c r="M21" s="136"/>
      <c r="N21" s="137"/>
      <c r="O21" s="83"/>
      <c r="P21" s="84"/>
      <c r="Q21" s="79"/>
      <c r="R21" s="83"/>
      <c r="S21" s="136"/>
      <c r="T21" s="83"/>
      <c r="U21" s="75">
        <f t="shared" si="1"/>
        <v>0</v>
      </c>
      <c r="V21" s="94"/>
      <c r="W21" s="98"/>
      <c r="X21" s="184"/>
      <c r="Y21" s="185"/>
    </row>
    <row r="22" spans="1:25" ht="24" customHeight="1" x14ac:dyDescent="0.2">
      <c r="A22" s="91"/>
      <c r="B22" s="81"/>
      <c r="C22" s="83"/>
      <c r="D22" s="84"/>
      <c r="E22" s="79"/>
      <c r="F22" s="79"/>
      <c r="G22" s="84"/>
      <c r="H22" s="79"/>
      <c r="I22" s="79"/>
      <c r="J22" s="84"/>
      <c r="K22" s="79"/>
      <c r="L22" s="79"/>
      <c r="M22" s="84"/>
      <c r="N22" s="79"/>
      <c r="O22" s="79"/>
      <c r="P22" s="84"/>
      <c r="Q22" s="79"/>
      <c r="R22" s="83"/>
      <c r="S22" s="84"/>
      <c r="T22" s="83"/>
      <c r="U22" s="75">
        <f t="shared" si="1"/>
        <v>0</v>
      </c>
      <c r="V22" s="89"/>
      <c r="W22" s="98"/>
      <c r="X22" s="184"/>
      <c r="Y22" s="185"/>
    </row>
    <row r="23" spans="1:25" ht="24" customHeight="1" x14ac:dyDescent="0.2">
      <c r="A23" s="91"/>
      <c r="B23" s="81"/>
      <c r="C23" s="79"/>
      <c r="D23" s="84"/>
      <c r="E23" s="79"/>
      <c r="F23" s="79"/>
      <c r="G23" s="84"/>
      <c r="H23" s="79"/>
      <c r="I23" s="79"/>
      <c r="J23" s="84"/>
      <c r="K23" s="79"/>
      <c r="L23" s="79"/>
      <c r="M23" s="84"/>
      <c r="N23" s="79"/>
      <c r="O23" s="79"/>
      <c r="P23" s="84"/>
      <c r="Q23" s="79"/>
      <c r="R23" s="83"/>
      <c r="S23" s="84"/>
      <c r="T23" s="83"/>
      <c r="U23" s="75">
        <f t="shared" si="1"/>
        <v>0</v>
      </c>
      <c r="V23" s="89"/>
      <c r="W23" s="98"/>
      <c r="X23" s="184"/>
      <c r="Y23" s="185"/>
    </row>
    <row r="24" spans="1:25" ht="24" customHeight="1" x14ac:dyDescent="0.2">
      <c r="A24" s="91"/>
      <c r="B24" s="81"/>
      <c r="C24" s="83"/>
      <c r="D24" s="80"/>
      <c r="E24" s="79"/>
      <c r="F24" s="79"/>
      <c r="G24" s="80"/>
      <c r="H24" s="79"/>
      <c r="I24" s="79"/>
      <c r="J24" s="80"/>
      <c r="K24" s="79"/>
      <c r="L24" s="79"/>
      <c r="M24" s="80"/>
      <c r="N24" s="79"/>
      <c r="O24" s="79"/>
      <c r="P24" s="80"/>
      <c r="Q24" s="79"/>
      <c r="R24" s="83"/>
      <c r="S24" s="80"/>
      <c r="T24" s="83"/>
      <c r="U24" s="75">
        <f t="shared" si="1"/>
        <v>0</v>
      </c>
      <c r="V24" s="94"/>
      <c r="W24" s="98"/>
      <c r="X24" s="184"/>
      <c r="Y24" s="185"/>
    </row>
    <row r="25" spans="1:25" ht="24" customHeight="1" x14ac:dyDescent="0.2">
      <c r="A25" s="91"/>
      <c r="B25" s="81"/>
      <c r="C25" s="83"/>
      <c r="D25" s="80"/>
      <c r="E25" s="79"/>
      <c r="F25" s="79"/>
      <c r="G25" s="80"/>
      <c r="H25" s="79"/>
      <c r="I25" s="79"/>
      <c r="J25" s="80"/>
      <c r="K25" s="79"/>
      <c r="L25" s="79"/>
      <c r="M25" s="80"/>
      <c r="N25" s="79"/>
      <c r="O25" s="79"/>
      <c r="P25" s="80"/>
      <c r="Q25" s="79"/>
      <c r="R25" s="83"/>
      <c r="S25" s="80"/>
      <c r="T25" s="83"/>
      <c r="U25" s="75">
        <f t="shared" si="1"/>
        <v>0</v>
      </c>
      <c r="V25" s="94"/>
      <c r="W25" s="98"/>
      <c r="X25" s="184"/>
      <c r="Y25" s="185"/>
    </row>
    <row r="26" spans="1:25" ht="24" customHeight="1" x14ac:dyDescent="0.2">
      <c r="A26" s="91"/>
      <c r="B26" s="81"/>
      <c r="C26" s="83"/>
      <c r="D26" s="84"/>
      <c r="E26" s="83"/>
      <c r="F26" s="83"/>
      <c r="G26" s="84"/>
      <c r="H26" s="79"/>
      <c r="I26" s="79"/>
      <c r="J26" s="84"/>
      <c r="K26" s="79"/>
      <c r="L26" s="79"/>
      <c r="M26" s="84"/>
      <c r="N26" s="79"/>
      <c r="O26" s="79"/>
      <c r="P26" s="84"/>
      <c r="Q26" s="79"/>
      <c r="R26" s="83"/>
      <c r="S26" s="84"/>
      <c r="T26" s="83"/>
      <c r="U26" s="75">
        <f t="shared" si="1"/>
        <v>0</v>
      </c>
      <c r="V26" s="94"/>
      <c r="W26" s="98"/>
      <c r="X26" s="188"/>
      <c r="Y26" s="185"/>
    </row>
    <row r="27" spans="1:25" ht="24" customHeight="1" x14ac:dyDescent="0.2">
      <c r="A27" s="91"/>
      <c r="B27" s="95"/>
      <c r="C27" s="83"/>
      <c r="D27" s="84"/>
      <c r="E27" s="83"/>
      <c r="F27" s="83"/>
      <c r="G27" s="84"/>
      <c r="H27" s="83"/>
      <c r="I27" s="83"/>
      <c r="J27" s="84"/>
      <c r="K27" s="79"/>
      <c r="L27" s="83"/>
      <c r="M27" s="84"/>
      <c r="N27" s="79"/>
      <c r="O27" s="83"/>
      <c r="P27" s="84"/>
      <c r="Q27" s="83"/>
      <c r="R27" s="83"/>
      <c r="S27" s="84"/>
      <c r="T27" s="83"/>
      <c r="U27" s="75">
        <f t="shared" si="1"/>
        <v>0</v>
      </c>
      <c r="V27" s="94"/>
      <c r="W27" s="98"/>
      <c r="X27" s="188"/>
      <c r="Y27" s="185"/>
    </row>
    <row r="28" spans="1:25" ht="24" customHeight="1" x14ac:dyDescent="0.2">
      <c r="A28" s="91"/>
      <c r="B28" s="81"/>
      <c r="C28" s="83"/>
      <c r="D28" s="84"/>
      <c r="E28" s="83"/>
      <c r="F28" s="83"/>
      <c r="G28" s="84"/>
      <c r="H28" s="79"/>
      <c r="I28" s="79"/>
      <c r="J28" s="84"/>
      <c r="K28" s="79"/>
      <c r="L28" s="79"/>
      <c r="M28" s="84"/>
      <c r="N28" s="79"/>
      <c r="O28" s="79"/>
      <c r="P28" s="84"/>
      <c r="Q28" s="79"/>
      <c r="R28" s="83"/>
      <c r="S28" s="84"/>
      <c r="T28" s="83"/>
      <c r="U28" s="75">
        <f t="shared" si="1"/>
        <v>0</v>
      </c>
      <c r="V28" s="94"/>
      <c r="W28" s="98"/>
      <c r="X28" s="188"/>
      <c r="Y28" s="185"/>
    </row>
    <row r="29" spans="1:25" ht="24" customHeight="1" x14ac:dyDescent="0.2">
      <c r="A29" s="91"/>
      <c r="B29" s="81"/>
      <c r="C29" s="83"/>
      <c r="D29" s="84"/>
      <c r="E29" s="83"/>
      <c r="F29" s="79"/>
      <c r="G29" s="84"/>
      <c r="H29" s="79"/>
      <c r="I29" s="79"/>
      <c r="J29" s="84"/>
      <c r="K29" s="79"/>
      <c r="L29" s="79"/>
      <c r="M29" s="84"/>
      <c r="N29" s="79"/>
      <c r="O29" s="79"/>
      <c r="P29" s="84"/>
      <c r="Q29" s="79"/>
      <c r="R29" s="83"/>
      <c r="S29" s="84"/>
      <c r="T29" s="83"/>
      <c r="U29" s="75">
        <f t="shared" si="1"/>
        <v>0</v>
      </c>
      <c r="V29" s="94"/>
      <c r="W29" s="98"/>
      <c r="X29" s="188"/>
      <c r="Y29" s="185"/>
    </row>
    <row r="30" spans="1:25" ht="24" customHeight="1" x14ac:dyDescent="0.2">
      <c r="A30" s="91"/>
      <c r="B30" s="81"/>
      <c r="C30" s="83"/>
      <c r="D30" s="84"/>
      <c r="E30" s="83"/>
      <c r="F30" s="79"/>
      <c r="G30" s="84"/>
      <c r="H30" s="79"/>
      <c r="I30" s="79"/>
      <c r="J30" s="84"/>
      <c r="K30" s="79"/>
      <c r="L30" s="79"/>
      <c r="M30" s="84"/>
      <c r="N30" s="79"/>
      <c r="O30" s="79"/>
      <c r="P30" s="84"/>
      <c r="Q30" s="79"/>
      <c r="R30" s="83"/>
      <c r="S30" s="84"/>
      <c r="T30" s="83"/>
      <c r="U30" s="75">
        <f t="shared" si="1"/>
        <v>0</v>
      </c>
      <c r="V30" s="94"/>
      <c r="W30" s="98"/>
      <c r="X30" s="188"/>
      <c r="Y30" s="185"/>
    </row>
    <row r="31" spans="1:25" ht="24" customHeight="1" thickBot="1" x14ac:dyDescent="0.25">
      <c r="A31" s="91"/>
      <c r="B31" s="81"/>
      <c r="C31" s="83"/>
      <c r="D31" s="80"/>
      <c r="E31" s="79"/>
      <c r="F31" s="83"/>
      <c r="G31" s="80"/>
      <c r="H31" s="79"/>
      <c r="I31" s="134"/>
      <c r="J31" s="80"/>
      <c r="K31" s="79"/>
      <c r="L31" s="79"/>
      <c r="M31" s="80"/>
      <c r="N31" s="79"/>
      <c r="O31" s="79"/>
      <c r="P31" s="80"/>
      <c r="Q31" s="79"/>
      <c r="R31" s="83"/>
      <c r="S31" s="80"/>
      <c r="T31" s="83"/>
      <c r="U31" s="75">
        <f t="shared" si="1"/>
        <v>0</v>
      </c>
      <c r="V31" s="94"/>
      <c r="W31" s="98"/>
      <c r="X31" s="188"/>
      <c r="Y31" s="185"/>
    </row>
    <row r="32" spans="1:25" ht="24" customHeight="1" thickTop="1" x14ac:dyDescent="0.2">
      <c r="A32" s="91"/>
      <c r="B32" s="191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28"/>
      <c r="V32" s="94"/>
      <c r="W32" s="98"/>
      <c r="X32" s="188"/>
      <c r="Y32" s="185"/>
    </row>
    <row r="33" spans="1:25" ht="24" customHeight="1" x14ac:dyDescent="0.2">
      <c r="A33" s="91"/>
      <c r="B33" s="91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28"/>
      <c r="V33" s="94"/>
      <c r="W33" s="98"/>
      <c r="X33" s="188"/>
      <c r="Y33" s="185"/>
    </row>
    <row r="34" spans="1:25" ht="24" customHeight="1" x14ac:dyDescent="0.2">
      <c r="A34" s="91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128"/>
      <c r="V34" s="89"/>
      <c r="W34" s="98"/>
      <c r="X34" s="188"/>
      <c r="Y34" s="185"/>
    </row>
    <row r="35" spans="1:25" ht="24" customHeight="1" x14ac:dyDescent="0.2">
      <c r="A35" s="91"/>
      <c r="B35" s="132"/>
      <c r="C35" s="83"/>
      <c r="D35" s="84"/>
      <c r="E35" s="83"/>
      <c r="F35" s="79"/>
      <c r="G35" s="80"/>
      <c r="H35" s="79"/>
      <c r="I35" s="79"/>
      <c r="J35" s="80"/>
      <c r="K35" s="79"/>
      <c r="L35" s="79"/>
      <c r="M35" s="80"/>
      <c r="N35" s="79"/>
      <c r="O35" s="79"/>
      <c r="P35" s="80"/>
      <c r="Q35" s="79"/>
      <c r="R35" s="83"/>
      <c r="S35" s="84"/>
      <c r="T35" s="83"/>
      <c r="U35" s="128"/>
      <c r="V35" s="94"/>
      <c r="W35" s="98"/>
      <c r="X35" s="188"/>
      <c r="Y35" s="185"/>
    </row>
    <row r="36" spans="1:25" ht="24" customHeight="1" x14ac:dyDescent="0.2">
      <c r="A36" s="91"/>
      <c r="B36" s="91"/>
      <c r="C36" s="83"/>
      <c r="D36" s="84"/>
      <c r="E36" s="83"/>
      <c r="F36" s="79"/>
      <c r="G36" s="80"/>
      <c r="H36" s="79"/>
      <c r="I36" s="83"/>
      <c r="J36" s="84"/>
      <c r="K36" s="79"/>
      <c r="L36" s="79"/>
      <c r="M36" s="80"/>
      <c r="N36" s="79"/>
      <c r="O36" s="79"/>
      <c r="P36" s="80"/>
      <c r="Q36" s="79"/>
      <c r="R36" s="83"/>
      <c r="S36" s="84"/>
      <c r="T36" s="83"/>
      <c r="U36" s="128"/>
      <c r="V36" s="94"/>
      <c r="W36" s="98"/>
      <c r="X36" s="188"/>
      <c r="Y36" s="185"/>
    </row>
    <row r="37" spans="1:25" ht="24" customHeight="1" x14ac:dyDescent="0.2">
      <c r="A37" s="91"/>
      <c r="B37" s="91"/>
      <c r="C37" s="79"/>
      <c r="D37" s="80"/>
      <c r="E37" s="79"/>
      <c r="F37" s="83"/>
      <c r="G37" s="80"/>
      <c r="H37" s="79"/>
      <c r="I37" s="83"/>
      <c r="J37" s="80"/>
      <c r="K37" s="79"/>
      <c r="L37" s="83"/>
      <c r="M37" s="80"/>
      <c r="N37" s="79"/>
      <c r="O37" s="83"/>
      <c r="P37" s="80"/>
      <c r="Q37" s="79"/>
      <c r="R37" s="83"/>
      <c r="S37" s="84"/>
      <c r="T37" s="83"/>
      <c r="U37" s="128"/>
      <c r="V37" s="94"/>
      <c r="W37" s="98"/>
      <c r="X37" s="188"/>
      <c r="Y37" s="185"/>
    </row>
    <row r="38" spans="1:25" ht="24" customHeight="1" x14ac:dyDescent="0.2">
      <c r="A38" s="91"/>
      <c r="B38" s="132"/>
      <c r="C38" s="83"/>
      <c r="D38" s="80"/>
      <c r="E38" s="79"/>
      <c r="F38" s="79"/>
      <c r="G38" s="80"/>
      <c r="H38" s="79"/>
      <c r="I38" s="79"/>
      <c r="J38" s="80"/>
      <c r="K38" s="79"/>
      <c r="L38" s="79"/>
      <c r="M38" s="80"/>
      <c r="N38" s="79"/>
      <c r="O38" s="79"/>
      <c r="P38" s="80"/>
      <c r="Q38" s="79"/>
      <c r="R38" s="83"/>
      <c r="S38" s="84"/>
      <c r="T38" s="83"/>
      <c r="U38" s="128"/>
      <c r="V38" s="89"/>
      <c r="W38" s="98"/>
      <c r="X38" s="188"/>
      <c r="Y38" s="185"/>
    </row>
    <row r="39" spans="1:25" ht="24" customHeight="1" x14ac:dyDescent="0.2">
      <c r="A39" s="91"/>
      <c r="B39" s="132"/>
      <c r="C39" s="83"/>
      <c r="D39" s="84"/>
      <c r="E39" s="83"/>
      <c r="F39" s="83"/>
      <c r="G39" s="80"/>
      <c r="H39" s="79"/>
      <c r="I39" s="79"/>
      <c r="J39" s="80"/>
      <c r="K39" s="79"/>
      <c r="L39" s="79"/>
      <c r="M39" s="80"/>
      <c r="N39" s="79"/>
      <c r="O39" s="79"/>
      <c r="P39" s="80"/>
      <c r="Q39" s="79"/>
      <c r="R39" s="83"/>
      <c r="S39" s="84"/>
      <c r="T39" s="83"/>
      <c r="U39" s="128"/>
      <c r="V39" s="94"/>
      <c r="W39" s="98"/>
      <c r="X39" s="188"/>
      <c r="Y39" s="185"/>
    </row>
    <row r="40" spans="1:25" ht="24" customHeight="1" x14ac:dyDescent="0.2">
      <c r="A40" s="91"/>
      <c r="B40" s="91"/>
      <c r="C40" s="83"/>
      <c r="D40" s="84"/>
      <c r="E40" s="83"/>
      <c r="F40" s="83"/>
      <c r="G40" s="84"/>
      <c r="H40" s="83"/>
      <c r="I40" s="83"/>
      <c r="J40" s="80"/>
      <c r="K40" s="79"/>
      <c r="L40" s="83"/>
      <c r="M40" s="80"/>
      <c r="N40" s="79"/>
      <c r="O40" s="83"/>
      <c r="P40" s="84"/>
      <c r="Q40" s="83"/>
      <c r="R40" s="83"/>
      <c r="S40" s="84"/>
      <c r="T40" s="83"/>
      <c r="U40" s="128"/>
      <c r="V40" s="94"/>
      <c r="W40" s="98"/>
      <c r="X40" s="188"/>
      <c r="Y40" s="185"/>
    </row>
    <row r="41" spans="1:25" ht="24" customHeight="1" x14ac:dyDescent="0.2">
      <c r="A41" s="91"/>
      <c r="B41" s="91"/>
      <c r="C41" s="83"/>
      <c r="D41" s="84"/>
      <c r="E41" s="83"/>
      <c r="F41" s="83"/>
      <c r="G41" s="80"/>
      <c r="H41" s="79"/>
      <c r="I41" s="79"/>
      <c r="J41" s="80"/>
      <c r="K41" s="79"/>
      <c r="L41" s="79"/>
      <c r="M41" s="80"/>
      <c r="N41" s="79"/>
      <c r="O41" s="79"/>
      <c r="P41" s="80"/>
      <c r="Q41" s="79"/>
      <c r="R41" s="83"/>
      <c r="S41" s="84"/>
      <c r="T41" s="83"/>
      <c r="U41" s="128"/>
      <c r="V41" s="94"/>
      <c r="W41" s="98"/>
      <c r="X41" s="188"/>
      <c r="Y41" s="185"/>
    </row>
    <row r="42" spans="1:25" ht="24" customHeight="1" x14ac:dyDescent="0.2">
      <c r="A42" s="91"/>
      <c r="B42" s="91"/>
      <c r="C42" s="83"/>
      <c r="D42" s="84"/>
      <c r="E42" s="83"/>
      <c r="F42" s="79"/>
      <c r="G42" s="80"/>
      <c r="H42" s="79"/>
      <c r="I42" s="79"/>
      <c r="J42" s="80"/>
      <c r="K42" s="79"/>
      <c r="L42" s="79"/>
      <c r="M42" s="80"/>
      <c r="N42" s="79"/>
      <c r="O42" s="79"/>
      <c r="P42" s="80"/>
      <c r="Q42" s="79"/>
      <c r="R42" s="83"/>
      <c r="S42" s="84"/>
      <c r="T42" s="83"/>
      <c r="U42" s="128"/>
      <c r="V42" s="89"/>
      <c r="W42" s="98"/>
      <c r="X42" s="188"/>
      <c r="Y42" s="185"/>
    </row>
    <row r="43" spans="1:25" ht="24" customHeight="1" x14ac:dyDescent="0.2">
      <c r="A43" s="91"/>
      <c r="B43" s="103"/>
      <c r="C43" s="83"/>
      <c r="D43" s="84"/>
      <c r="E43" s="83"/>
      <c r="F43" s="103"/>
      <c r="G43" s="84"/>
      <c r="H43" s="103"/>
      <c r="I43" s="134"/>
      <c r="J43" s="84"/>
      <c r="K43" s="103"/>
      <c r="L43" s="79"/>
      <c r="M43" s="80"/>
      <c r="N43" s="79"/>
      <c r="O43" s="79"/>
      <c r="P43" s="80"/>
      <c r="Q43" s="79"/>
      <c r="R43" s="83"/>
      <c r="S43" s="84"/>
      <c r="T43" s="83"/>
      <c r="U43" s="128"/>
      <c r="V43" s="89"/>
      <c r="W43" s="98"/>
      <c r="X43" s="188"/>
      <c r="Y43" s="185"/>
    </row>
    <row r="44" spans="1:25" ht="24" customHeight="1" x14ac:dyDescent="0.2">
      <c r="A44" s="91"/>
      <c r="B44" s="91"/>
      <c r="C44" s="83"/>
      <c r="D44" s="84"/>
      <c r="E44" s="79"/>
      <c r="F44" s="83"/>
      <c r="G44" s="80"/>
      <c r="H44" s="79"/>
      <c r="I44" s="79"/>
      <c r="J44" s="80"/>
      <c r="K44" s="79"/>
      <c r="L44" s="79"/>
      <c r="M44" s="80"/>
      <c r="N44" s="79"/>
      <c r="O44" s="79"/>
      <c r="P44" s="80"/>
      <c r="Q44" s="79"/>
      <c r="R44" s="83"/>
      <c r="S44" s="80"/>
      <c r="T44" s="83"/>
      <c r="U44" s="128"/>
      <c r="V44" s="89"/>
      <c r="W44" s="98"/>
      <c r="X44" s="188"/>
      <c r="Y44" s="185"/>
    </row>
    <row r="45" spans="1:25" ht="24" customHeight="1" x14ac:dyDescent="0.2">
      <c r="A45" s="91"/>
      <c r="B45" s="91"/>
      <c r="C45" s="83"/>
      <c r="D45" s="84"/>
      <c r="E45" s="79"/>
      <c r="F45" s="79"/>
      <c r="G45" s="80"/>
      <c r="H45" s="79"/>
      <c r="I45" s="79"/>
      <c r="J45" s="80"/>
      <c r="K45" s="79"/>
      <c r="L45" s="79"/>
      <c r="M45" s="80"/>
      <c r="N45" s="79"/>
      <c r="O45" s="79"/>
      <c r="P45" s="80"/>
      <c r="Q45" s="79"/>
      <c r="R45" s="133"/>
      <c r="S45" s="93"/>
      <c r="T45" s="83"/>
      <c r="U45" s="128"/>
      <c r="V45" s="89"/>
      <c r="W45" s="98"/>
      <c r="X45" s="188"/>
      <c r="Y45" s="185"/>
    </row>
    <row r="46" spans="1:25" ht="24" customHeight="1" x14ac:dyDescent="0.2">
      <c r="A46" s="91"/>
      <c r="B46" s="91"/>
      <c r="C46" s="83"/>
      <c r="D46" s="84"/>
      <c r="E46" s="83"/>
      <c r="F46" s="83"/>
      <c r="G46" s="84"/>
      <c r="H46" s="83"/>
      <c r="I46" s="83"/>
      <c r="J46" s="84"/>
      <c r="K46" s="83"/>
      <c r="L46" s="83"/>
      <c r="M46" s="84"/>
      <c r="N46" s="79"/>
      <c r="O46" s="83"/>
      <c r="P46" s="84"/>
      <c r="Q46" s="83"/>
      <c r="R46" s="83"/>
      <c r="S46" s="84"/>
      <c r="T46" s="83"/>
      <c r="U46" s="128"/>
      <c r="V46" s="89"/>
      <c r="W46" s="98"/>
      <c r="X46" s="188"/>
      <c r="Y46" s="185"/>
    </row>
    <row r="47" spans="1:25" ht="24" customHeight="1" x14ac:dyDescent="0.2">
      <c r="A47" s="91"/>
      <c r="B47" s="91"/>
      <c r="C47" s="83"/>
      <c r="D47" s="84"/>
      <c r="E47" s="79"/>
      <c r="F47" s="79"/>
      <c r="G47" s="80"/>
      <c r="H47" s="79"/>
      <c r="I47" s="79"/>
      <c r="J47" s="80"/>
      <c r="K47" s="79"/>
      <c r="L47" s="79"/>
      <c r="M47" s="80"/>
      <c r="N47" s="79"/>
      <c r="O47" s="79"/>
      <c r="P47" s="80"/>
      <c r="Q47" s="79"/>
      <c r="R47" s="83"/>
      <c r="S47" s="84"/>
      <c r="T47" s="83"/>
      <c r="U47" s="128"/>
      <c r="V47" s="89"/>
      <c r="W47" s="98"/>
      <c r="X47" s="188"/>
      <c r="Y47" s="185"/>
    </row>
    <row r="48" spans="1:25" ht="24" customHeight="1" x14ac:dyDescent="0.2">
      <c r="A48" s="91"/>
      <c r="B48" s="91"/>
      <c r="C48" s="83"/>
      <c r="D48" s="84"/>
      <c r="E48" s="83"/>
      <c r="F48" s="79"/>
      <c r="G48" s="80"/>
      <c r="H48" s="79"/>
      <c r="I48" s="79"/>
      <c r="J48" s="80"/>
      <c r="K48" s="79"/>
      <c r="L48" s="79"/>
      <c r="M48" s="80"/>
      <c r="N48" s="79"/>
      <c r="O48" s="79"/>
      <c r="P48" s="80"/>
      <c r="Q48" s="79"/>
      <c r="R48" s="83"/>
      <c r="S48" s="84"/>
      <c r="T48" s="83"/>
      <c r="U48" s="128"/>
      <c r="V48" s="89"/>
      <c r="W48" s="98"/>
      <c r="X48" s="188"/>
      <c r="Y48" s="185"/>
    </row>
    <row r="49" spans="1:25" ht="24" customHeight="1" x14ac:dyDescent="0.2">
      <c r="A49" s="91"/>
      <c r="B49" s="91"/>
      <c r="C49" s="83"/>
      <c r="D49" s="84"/>
      <c r="E49" s="83"/>
      <c r="F49" s="79"/>
      <c r="G49" s="80"/>
      <c r="H49" s="79"/>
      <c r="I49" s="83"/>
      <c r="J49" s="84"/>
      <c r="K49" s="79"/>
      <c r="L49" s="79"/>
      <c r="M49" s="80"/>
      <c r="N49" s="79"/>
      <c r="O49" s="79"/>
      <c r="P49" s="80"/>
      <c r="Q49" s="79"/>
      <c r="R49" s="83"/>
      <c r="S49" s="84"/>
      <c r="T49" s="83"/>
      <c r="U49" s="128"/>
      <c r="V49" s="89"/>
      <c r="W49" s="98"/>
      <c r="X49" s="188"/>
      <c r="Y49" s="185"/>
    </row>
    <row r="50" spans="1:25" ht="24" customHeight="1" x14ac:dyDescent="0.2">
      <c r="A50" s="91"/>
      <c r="B50" s="132"/>
      <c r="C50" s="79"/>
      <c r="D50" s="84"/>
      <c r="E50" s="79"/>
      <c r="F50" s="83"/>
      <c r="G50" s="80"/>
      <c r="H50" s="79"/>
      <c r="I50" s="83"/>
      <c r="J50" s="80"/>
      <c r="K50" s="79"/>
      <c r="L50" s="83"/>
      <c r="M50" s="80"/>
      <c r="N50" s="79"/>
      <c r="O50" s="83"/>
      <c r="P50" s="80"/>
      <c r="Q50" s="79"/>
      <c r="R50" s="83"/>
      <c r="S50" s="84"/>
      <c r="T50" s="83"/>
      <c r="U50" s="128"/>
      <c r="V50" s="89"/>
      <c r="W50" s="98"/>
      <c r="X50" s="188"/>
      <c r="Y50" s="185"/>
    </row>
    <row r="51" spans="1:25" ht="24" customHeight="1" x14ac:dyDescent="0.2">
      <c r="A51" s="103"/>
      <c r="B51" s="132"/>
      <c r="C51" s="83"/>
      <c r="D51" s="84"/>
      <c r="E51" s="79"/>
      <c r="F51" s="79"/>
      <c r="G51" s="80"/>
      <c r="H51" s="79"/>
      <c r="I51" s="79"/>
      <c r="J51" s="80"/>
      <c r="K51" s="79"/>
      <c r="L51" s="79"/>
      <c r="M51" s="80"/>
      <c r="N51" s="79"/>
      <c r="O51" s="79"/>
      <c r="P51" s="80"/>
      <c r="Q51" s="79"/>
      <c r="R51" s="83"/>
      <c r="S51" s="84"/>
      <c r="T51" s="83"/>
      <c r="U51" s="128"/>
      <c r="V51" s="89"/>
      <c r="W51" s="98"/>
      <c r="X51" s="188"/>
      <c r="Y51" s="185"/>
    </row>
    <row r="52" spans="1:25" ht="24" customHeight="1" x14ac:dyDescent="0.2">
      <c r="A52" s="103"/>
      <c r="B52" s="132"/>
      <c r="C52" s="79"/>
      <c r="D52" s="80"/>
      <c r="E52" s="79"/>
      <c r="F52" s="79"/>
      <c r="G52" s="80"/>
      <c r="H52" s="79"/>
      <c r="I52" s="79"/>
      <c r="J52" s="80"/>
      <c r="K52" s="79"/>
      <c r="L52" s="79"/>
      <c r="M52" s="80"/>
      <c r="N52" s="79"/>
      <c r="O52" s="79"/>
      <c r="P52" s="80"/>
      <c r="Q52" s="79"/>
      <c r="R52" s="83"/>
      <c r="S52" s="84"/>
      <c r="T52" s="83"/>
      <c r="U52" s="128"/>
      <c r="V52" s="74"/>
      <c r="X52" s="188"/>
      <c r="Y52" s="185"/>
    </row>
    <row r="53" spans="1:25" ht="24" customHeight="1" x14ac:dyDescent="0.2">
      <c r="A53" s="103"/>
      <c r="B53" s="132"/>
      <c r="C53" s="79"/>
      <c r="D53" s="84"/>
      <c r="E53" s="79"/>
      <c r="F53" s="79"/>
      <c r="G53" s="80"/>
      <c r="H53" s="79"/>
      <c r="I53" s="79"/>
      <c r="J53" s="80"/>
      <c r="K53" s="79"/>
      <c r="L53" s="79"/>
      <c r="M53" s="80"/>
      <c r="N53" s="79"/>
      <c r="O53" s="79"/>
      <c r="P53" s="80"/>
      <c r="Q53" s="79"/>
      <c r="R53" s="83"/>
      <c r="S53" s="84"/>
      <c r="T53" s="83"/>
      <c r="U53" s="128"/>
      <c r="V53" s="74"/>
      <c r="X53" s="188"/>
      <c r="Y53" s="185"/>
    </row>
    <row r="54" spans="1:25" ht="24" customHeight="1" x14ac:dyDescent="0.2">
      <c r="A54" s="103"/>
      <c r="B54" s="132"/>
      <c r="C54" s="79"/>
      <c r="D54" s="84"/>
      <c r="E54" s="79"/>
      <c r="F54" s="79"/>
      <c r="G54" s="80"/>
      <c r="H54" s="79"/>
      <c r="I54" s="79"/>
      <c r="J54" s="80"/>
      <c r="K54" s="79"/>
      <c r="L54" s="79"/>
      <c r="M54" s="80"/>
      <c r="N54" s="79"/>
      <c r="O54" s="79"/>
      <c r="P54" s="80"/>
      <c r="Q54" s="79"/>
      <c r="R54" s="83"/>
      <c r="S54" s="84"/>
      <c r="T54" s="83"/>
      <c r="U54" s="128"/>
      <c r="V54" s="74"/>
      <c r="X54" s="188"/>
      <c r="Y54" s="185"/>
    </row>
    <row r="55" spans="1:25" ht="24" customHeight="1" x14ac:dyDescent="0.2">
      <c r="A55" s="103"/>
      <c r="B55" s="132"/>
      <c r="C55" s="79"/>
      <c r="D55" s="80"/>
      <c r="E55" s="79"/>
      <c r="F55" s="79"/>
      <c r="G55" s="80"/>
      <c r="H55" s="79"/>
      <c r="I55" s="79"/>
      <c r="J55" s="80"/>
      <c r="K55" s="79"/>
      <c r="L55" s="79"/>
      <c r="M55" s="80"/>
      <c r="N55" s="79"/>
      <c r="O55" s="79"/>
      <c r="P55" s="80"/>
      <c r="Q55" s="79"/>
      <c r="R55" s="83"/>
      <c r="S55" s="84"/>
      <c r="T55" s="83"/>
      <c r="U55" s="128"/>
      <c r="V55" s="74"/>
      <c r="X55" s="188"/>
      <c r="Y55" s="185"/>
    </row>
    <row r="56" spans="1:25" ht="24" customHeight="1" x14ac:dyDescent="0.2">
      <c r="A56" s="103"/>
      <c r="B56" s="132"/>
      <c r="C56" s="79"/>
      <c r="D56" s="84"/>
      <c r="E56" s="79"/>
      <c r="F56" s="79"/>
      <c r="G56" s="80"/>
      <c r="H56" s="79"/>
      <c r="I56" s="79"/>
      <c r="J56" s="80"/>
      <c r="K56" s="79"/>
      <c r="L56" s="79"/>
      <c r="M56" s="80"/>
      <c r="N56" s="79"/>
      <c r="O56" s="79"/>
      <c r="P56" s="80"/>
      <c r="Q56" s="79"/>
      <c r="R56" s="83"/>
      <c r="S56" s="84"/>
      <c r="T56" s="83"/>
      <c r="U56" s="128"/>
      <c r="V56" s="74"/>
      <c r="X56" s="188"/>
      <c r="Y56" s="185"/>
    </row>
    <row r="57" spans="1:25" ht="24" customHeight="1" x14ac:dyDescent="0.2">
      <c r="A57" s="103"/>
      <c r="B57" s="132"/>
      <c r="C57" s="79"/>
      <c r="D57" s="84"/>
      <c r="E57" s="79"/>
      <c r="F57" s="79"/>
      <c r="G57" s="80"/>
      <c r="H57" s="79"/>
      <c r="I57" s="79"/>
      <c r="J57" s="80"/>
      <c r="K57" s="79"/>
      <c r="L57" s="79"/>
      <c r="M57" s="80"/>
      <c r="N57" s="79"/>
      <c r="O57" s="79"/>
      <c r="P57" s="80"/>
      <c r="Q57" s="79"/>
      <c r="R57" s="83"/>
      <c r="S57" s="84"/>
      <c r="T57" s="83"/>
      <c r="U57" s="128"/>
      <c r="V57" s="74"/>
      <c r="X57" s="188"/>
      <c r="Y57" s="185"/>
    </row>
    <row r="58" spans="1:25" ht="24" customHeight="1" x14ac:dyDescent="0.2">
      <c r="A58" s="103"/>
      <c r="B58" s="132"/>
      <c r="C58" s="79"/>
      <c r="D58" s="80"/>
      <c r="E58" s="79"/>
      <c r="F58" s="79"/>
      <c r="G58" s="80"/>
      <c r="H58" s="79"/>
      <c r="I58" s="79"/>
      <c r="J58" s="80"/>
      <c r="K58" s="79"/>
      <c r="L58" s="79"/>
      <c r="M58" s="80"/>
      <c r="N58" s="79"/>
      <c r="O58" s="79"/>
      <c r="P58" s="80"/>
      <c r="Q58" s="79"/>
      <c r="R58" s="83"/>
      <c r="S58" s="84"/>
      <c r="T58" s="83"/>
      <c r="U58" s="128"/>
      <c r="V58" s="74"/>
      <c r="X58" s="188"/>
      <c r="Y58" s="185"/>
    </row>
    <row r="59" spans="1:25" ht="24" customHeight="1" x14ac:dyDescent="0.2">
      <c r="A59" s="103"/>
      <c r="B59" s="132"/>
      <c r="C59" s="79"/>
      <c r="D59" s="80"/>
      <c r="E59" s="79"/>
      <c r="F59" s="79"/>
      <c r="G59" s="80"/>
      <c r="H59" s="79"/>
      <c r="I59" s="79"/>
      <c r="J59" s="80"/>
      <c r="K59" s="79"/>
      <c r="L59" s="79"/>
      <c r="M59" s="80"/>
      <c r="N59" s="79"/>
      <c r="O59" s="79"/>
      <c r="P59" s="80"/>
      <c r="Q59" s="79"/>
      <c r="R59" s="83"/>
      <c r="S59" s="84"/>
      <c r="T59" s="83"/>
      <c r="U59" s="128"/>
      <c r="V59" s="74"/>
      <c r="X59" s="188"/>
      <c r="Y59" s="185"/>
    </row>
    <row r="60" spans="1:25" ht="24" customHeight="1" x14ac:dyDescent="0.2">
      <c r="A60" s="103"/>
      <c r="B60" s="103"/>
      <c r="C60" s="103"/>
      <c r="D60" s="84"/>
      <c r="E60" s="103"/>
      <c r="F60" s="103"/>
      <c r="G60" s="84"/>
      <c r="H60" s="103"/>
      <c r="I60" s="103"/>
      <c r="J60" s="84"/>
      <c r="K60" s="103"/>
      <c r="L60" s="103"/>
      <c r="M60" s="84"/>
      <c r="N60" s="103"/>
      <c r="O60" s="103"/>
      <c r="P60" s="84"/>
      <c r="Q60" s="103"/>
      <c r="R60" s="103"/>
      <c r="S60" s="84"/>
      <c r="T60" s="103"/>
      <c r="U60" s="128"/>
      <c r="V60" s="74"/>
      <c r="X60" s="188"/>
      <c r="Y60" s="185"/>
    </row>
    <row r="61" spans="1:25" ht="24" customHeight="1" x14ac:dyDescent="0.2">
      <c r="A61" s="103"/>
      <c r="B61" s="103"/>
      <c r="C61" s="103"/>
      <c r="D61" s="84"/>
      <c r="E61" s="103"/>
      <c r="F61" s="103"/>
      <c r="G61" s="84"/>
      <c r="H61" s="103"/>
      <c r="I61" s="103"/>
      <c r="J61" s="84"/>
      <c r="K61" s="103"/>
      <c r="L61" s="103"/>
      <c r="M61" s="84"/>
      <c r="N61" s="103"/>
      <c r="O61" s="103"/>
      <c r="P61" s="84"/>
      <c r="Q61" s="103"/>
      <c r="R61" s="103"/>
      <c r="S61" s="84"/>
      <c r="T61" s="103"/>
      <c r="U61" s="128"/>
      <c r="V61" s="74"/>
      <c r="X61" s="188"/>
      <c r="Y61" s="185"/>
    </row>
    <row r="62" spans="1:25" ht="24" customHeight="1" x14ac:dyDescent="0.2">
      <c r="A62" s="103"/>
      <c r="B62" s="103"/>
      <c r="C62" s="103"/>
      <c r="D62" s="84"/>
      <c r="E62" s="103"/>
      <c r="F62" s="103"/>
      <c r="G62" s="84"/>
      <c r="H62" s="103"/>
      <c r="I62" s="103"/>
      <c r="J62" s="84"/>
      <c r="K62" s="103"/>
      <c r="L62" s="103"/>
      <c r="M62" s="84"/>
      <c r="N62" s="103"/>
      <c r="O62" s="103"/>
      <c r="P62" s="84"/>
      <c r="Q62" s="103"/>
      <c r="R62" s="103"/>
      <c r="S62" s="84"/>
      <c r="T62" s="103"/>
      <c r="U62" s="128"/>
      <c r="V62" s="74"/>
      <c r="X62" s="188"/>
      <c r="Y62" s="185"/>
    </row>
    <row r="63" spans="1:25" ht="24" customHeight="1" x14ac:dyDescent="0.2">
      <c r="A63" s="103"/>
      <c r="B63" s="103"/>
      <c r="C63" s="103"/>
      <c r="D63" s="84"/>
      <c r="E63" s="103"/>
      <c r="F63" s="103"/>
      <c r="G63" s="84"/>
      <c r="H63" s="103"/>
      <c r="I63" s="103"/>
      <c r="J63" s="84"/>
      <c r="K63" s="103"/>
      <c r="L63" s="103"/>
      <c r="M63" s="84"/>
      <c r="N63" s="103"/>
      <c r="O63" s="103"/>
      <c r="P63" s="84"/>
      <c r="Q63" s="103"/>
      <c r="R63" s="103"/>
      <c r="S63" s="84"/>
      <c r="T63" s="103"/>
      <c r="U63" s="128"/>
      <c r="V63" s="74"/>
      <c r="X63" s="188"/>
      <c r="Y63" s="185"/>
    </row>
    <row r="64" spans="1:25" ht="24" customHeight="1" x14ac:dyDescent="0.2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16"/>
      <c r="V64" s="74"/>
      <c r="X64" s="188"/>
      <c r="Y64" s="185"/>
    </row>
    <row r="65" spans="1:25" ht="24" customHeight="1" x14ac:dyDescent="0.2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16"/>
      <c r="V65" s="74"/>
      <c r="X65" s="188"/>
      <c r="Y65" s="185"/>
    </row>
    <row r="66" spans="1:25" ht="24" customHeight="1" x14ac:dyDescent="0.2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16"/>
      <c r="V66" s="74"/>
      <c r="X66" s="188"/>
      <c r="Y66" s="185"/>
    </row>
    <row r="67" spans="1:25" ht="24" customHeight="1" x14ac:dyDescent="0.2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16"/>
      <c r="V67" s="74"/>
      <c r="X67" s="188"/>
      <c r="Y67" s="185"/>
    </row>
    <row r="68" spans="1:25" ht="24" customHeight="1" x14ac:dyDescent="0.2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16"/>
      <c r="V68" s="74"/>
      <c r="X68" s="188"/>
      <c r="Y68" s="185"/>
    </row>
    <row r="69" spans="1:25" ht="24" customHeight="1" x14ac:dyDescent="0.2">
      <c r="A69" s="111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116"/>
      <c r="V69" s="74"/>
      <c r="X69" s="188"/>
      <c r="Y69" s="185"/>
    </row>
    <row r="70" spans="1:25" x14ac:dyDescent="0.2">
      <c r="A70" s="111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</row>
    <row r="71" spans="1:25" x14ac:dyDescent="0.2">
      <c r="A71" s="111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</row>
    <row r="72" spans="1:25" x14ac:dyDescent="0.2">
      <c r="A72" s="111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</row>
  </sheetData>
  <sheetProtection formatCells="0" selectLockedCells="1" selectUnlockedCells="1"/>
  <mergeCells count="79">
    <mergeCell ref="C1:E1"/>
    <mergeCell ref="C2:E2"/>
    <mergeCell ref="C3:E3"/>
    <mergeCell ref="C4:E4"/>
    <mergeCell ref="F1:H1"/>
    <mergeCell ref="F2:H2"/>
    <mergeCell ref="F3:H3"/>
    <mergeCell ref="F4:H4"/>
    <mergeCell ref="X68:Y68"/>
    <mergeCell ref="X69:Y69"/>
    <mergeCell ref="I1:K1"/>
    <mergeCell ref="I2:K2"/>
    <mergeCell ref="I3:K3"/>
    <mergeCell ref="I4:K4"/>
    <mergeCell ref="L1:N1"/>
    <mergeCell ref="L2:N2"/>
    <mergeCell ref="L3:N3"/>
    <mergeCell ref="L4:N4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48:Y48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38:Y38"/>
    <mergeCell ref="X39:Y39"/>
    <mergeCell ref="X40:Y40"/>
    <mergeCell ref="X41:Y41"/>
    <mergeCell ref="X42:Y42"/>
    <mergeCell ref="X43:Y43"/>
    <mergeCell ref="X44:Y44"/>
    <mergeCell ref="X45:Y45"/>
    <mergeCell ref="X46:Y46"/>
    <mergeCell ref="X47:Y47"/>
    <mergeCell ref="X36:Y36"/>
    <mergeCell ref="X37:Y37"/>
    <mergeCell ref="X28:Y28"/>
    <mergeCell ref="X29:Y29"/>
    <mergeCell ref="X30:Y30"/>
    <mergeCell ref="X31:Y31"/>
    <mergeCell ref="X32:Y32"/>
    <mergeCell ref="X27:Y27"/>
    <mergeCell ref="B32:T32"/>
    <mergeCell ref="X33:Y33"/>
    <mergeCell ref="X34:Y34"/>
    <mergeCell ref="X35:Y35"/>
    <mergeCell ref="X13:Y13"/>
    <mergeCell ref="X23:Y23"/>
    <mergeCell ref="X24:Y24"/>
    <mergeCell ref="X25:Y25"/>
    <mergeCell ref="X26:Y26"/>
    <mergeCell ref="A5:A6"/>
    <mergeCell ref="B5:T5"/>
    <mergeCell ref="X10:Y10"/>
    <mergeCell ref="X11:Y11"/>
    <mergeCell ref="X12:Y12"/>
    <mergeCell ref="X20:Y20"/>
    <mergeCell ref="X21:Y21"/>
    <mergeCell ref="X22:Y22"/>
    <mergeCell ref="X14:Y14"/>
    <mergeCell ref="X15:Y15"/>
    <mergeCell ref="X16:Y16"/>
    <mergeCell ref="X17:Y17"/>
    <mergeCell ref="X18:Y18"/>
    <mergeCell ref="X19:Y19"/>
  </mergeCells>
  <printOptions horizontalCentered="1" verticalCentered="1" gridLines="1"/>
  <pageMargins left="0.5" right="0.5" top="0.5" bottom="0.25" header="0" footer="0"/>
  <pageSetup scale="74" orientation="landscape" blackAndWhite="1" r:id="rId1"/>
  <headerFooter alignWithMargins="0">
    <oddHeader>&amp;LFAX-425-487-1568&amp;CTIMESHEET</oddHeader>
  </headerFooter>
  <rowBreaks count="2" manualBreakCount="2">
    <brk id="31" max="20" man="1"/>
    <brk id="63" max="20" man="1"/>
  </rowBreaks>
  <colBreaks count="1" manualBreakCount="1">
    <brk id="21" max="68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workbookViewId="0">
      <selection activeCell="I4" sqref="I4:K4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116</v>
      </c>
      <c r="D1" s="175"/>
      <c r="E1" s="175"/>
      <c r="F1" s="174" t="s">
        <v>115</v>
      </c>
      <c r="G1" s="175"/>
      <c r="H1" s="175"/>
      <c r="I1" s="189"/>
      <c r="J1" s="175"/>
      <c r="K1" s="175"/>
      <c r="L1" s="174"/>
      <c r="M1" s="175"/>
      <c r="N1" s="175"/>
      <c r="O1" s="144" t="s">
        <v>131</v>
      </c>
      <c r="P1" s="143"/>
      <c r="Q1" s="143"/>
      <c r="R1" s="143"/>
      <c r="S1" s="143"/>
      <c r="T1" s="143"/>
      <c r="U1" s="109"/>
      <c r="V1" s="112"/>
    </row>
    <row r="2" spans="1:25" ht="24" customHeight="1" x14ac:dyDescent="0.2">
      <c r="A2" s="103"/>
      <c r="B2" s="110" t="s">
        <v>129</v>
      </c>
      <c r="C2" s="175" t="s">
        <v>134</v>
      </c>
      <c r="D2" s="175"/>
      <c r="E2" s="175"/>
      <c r="F2" s="174" t="s">
        <v>133</v>
      </c>
      <c r="G2" s="176"/>
      <c r="H2" s="176"/>
      <c r="I2" s="189" t="s">
        <v>176</v>
      </c>
      <c r="J2" s="175"/>
      <c r="K2" s="175"/>
      <c r="L2" s="174" t="s">
        <v>126</v>
      </c>
      <c r="M2" s="175"/>
      <c r="N2" s="175"/>
      <c r="O2" s="110" t="s">
        <v>125</v>
      </c>
      <c r="P2" s="142"/>
      <c r="Q2" s="142"/>
      <c r="R2" s="109" t="s">
        <v>130</v>
      </c>
      <c r="S2" s="142"/>
      <c r="T2" s="142"/>
      <c r="U2" s="109"/>
      <c r="V2" s="112"/>
    </row>
    <row r="3" spans="1:25" ht="24" customHeight="1" x14ac:dyDescent="0.2">
      <c r="A3" s="103"/>
      <c r="B3" s="110" t="s">
        <v>175</v>
      </c>
      <c r="C3" s="174" t="s">
        <v>174</v>
      </c>
      <c r="D3" s="176"/>
      <c r="E3" s="176"/>
      <c r="F3" s="174" t="s">
        <v>127</v>
      </c>
      <c r="G3" s="176"/>
      <c r="H3" s="176"/>
      <c r="I3" s="189" t="s">
        <v>173</v>
      </c>
      <c r="J3" s="175"/>
      <c r="K3" s="175"/>
      <c r="L3" s="174" t="s">
        <v>119</v>
      </c>
      <c r="M3" s="175"/>
      <c r="N3" s="175"/>
      <c r="O3" s="110" t="s">
        <v>118</v>
      </c>
      <c r="P3" s="142"/>
      <c r="Q3" s="142"/>
      <c r="R3" s="109" t="s">
        <v>124</v>
      </c>
      <c r="S3" s="142"/>
      <c r="T3" s="142"/>
      <c r="U3" s="109"/>
      <c r="V3" s="111"/>
    </row>
    <row r="4" spans="1:25" ht="24" customHeight="1" thickBot="1" x14ac:dyDescent="0.25">
      <c r="A4" s="103"/>
      <c r="B4" s="110" t="s">
        <v>123</v>
      </c>
      <c r="C4" s="174" t="s">
        <v>172</v>
      </c>
      <c r="D4" s="176"/>
      <c r="E4" s="176"/>
      <c r="F4" s="174" t="s">
        <v>132</v>
      </c>
      <c r="G4" s="176"/>
      <c r="H4" s="176"/>
      <c r="I4" s="190" t="s">
        <v>178</v>
      </c>
      <c r="J4" s="177"/>
      <c r="K4" s="177"/>
      <c r="L4" s="174" t="s">
        <v>112</v>
      </c>
      <c r="M4" s="175"/>
      <c r="N4" s="175"/>
      <c r="O4" s="110" t="s">
        <v>111</v>
      </c>
      <c r="P4" s="142"/>
      <c r="Q4" s="142"/>
      <c r="R4" s="109" t="s">
        <v>117</v>
      </c>
      <c r="S4" s="142"/>
      <c r="T4" s="142"/>
      <c r="U4" s="109"/>
      <c r="V4" s="89"/>
    </row>
    <row r="5" spans="1:25" ht="24" customHeight="1" thickBot="1" x14ac:dyDescent="0.25">
      <c r="A5" s="180"/>
      <c r="B5" s="181" t="s">
        <v>171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42509</v>
      </c>
      <c r="D6" s="107"/>
      <c r="E6" s="107"/>
      <c r="F6" s="107">
        <f>C6+1</f>
        <v>42510</v>
      </c>
      <c r="G6" s="107"/>
      <c r="H6" s="107"/>
      <c r="I6" s="107">
        <f>F6+3</f>
        <v>42513</v>
      </c>
      <c r="J6" s="107"/>
      <c r="K6" s="107"/>
      <c r="L6" s="107">
        <f>I6+1</f>
        <v>42514</v>
      </c>
      <c r="M6" s="107"/>
      <c r="N6" s="107"/>
      <c r="O6" s="107">
        <f>L6+1</f>
        <v>42515</v>
      </c>
      <c r="P6" s="107"/>
      <c r="Q6" s="107"/>
      <c r="R6" s="107">
        <f>F6+1</f>
        <v>42511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/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141">
        <f>SUM(U10:U31)</f>
        <v>31</v>
      </c>
      <c r="V8" s="94"/>
      <c r="W8" s="98"/>
    </row>
    <row r="9" spans="1:25" ht="24" customHeight="1" x14ac:dyDescent="0.2">
      <c r="A9" s="103"/>
      <c r="B9" s="97" t="s">
        <v>110</v>
      </c>
      <c r="C9" s="97" t="s">
        <v>170</v>
      </c>
      <c r="D9" s="97" t="s">
        <v>169</v>
      </c>
      <c r="E9" s="97" t="s">
        <v>17</v>
      </c>
      <c r="F9" s="97" t="s">
        <v>170</v>
      </c>
      <c r="G9" s="97" t="s">
        <v>169</v>
      </c>
      <c r="H9" s="97" t="s">
        <v>17</v>
      </c>
      <c r="I9" s="97" t="s">
        <v>170</v>
      </c>
      <c r="J9" s="97" t="s">
        <v>169</v>
      </c>
      <c r="K9" s="97" t="s">
        <v>17</v>
      </c>
      <c r="L9" s="97" t="s">
        <v>170</v>
      </c>
      <c r="M9" s="97" t="s">
        <v>169</v>
      </c>
      <c r="N9" s="97" t="s">
        <v>17</v>
      </c>
      <c r="O9" s="97" t="s">
        <v>170</v>
      </c>
      <c r="P9" s="97" t="s">
        <v>169</v>
      </c>
      <c r="Q9" s="97" t="s">
        <v>17</v>
      </c>
      <c r="R9" s="97" t="s">
        <v>170</v>
      </c>
      <c r="S9" s="97" t="s">
        <v>169</v>
      </c>
      <c r="T9" s="97" t="s">
        <v>17</v>
      </c>
      <c r="U9" s="101"/>
      <c r="V9" s="100"/>
      <c r="W9" s="98"/>
    </row>
    <row r="10" spans="1:25" ht="24" customHeight="1" x14ac:dyDescent="0.2">
      <c r="A10" s="91"/>
      <c r="B10" s="81"/>
      <c r="C10" s="83"/>
      <c r="D10" s="84"/>
      <c r="E10" s="83"/>
      <c r="F10" s="83"/>
      <c r="G10" s="84"/>
      <c r="H10" s="79"/>
      <c r="I10" s="79"/>
      <c r="J10" s="84"/>
      <c r="K10" s="79"/>
      <c r="L10" s="79"/>
      <c r="M10" s="84"/>
      <c r="N10" s="79"/>
      <c r="O10" s="79"/>
      <c r="P10" s="84"/>
      <c r="Q10" s="79"/>
      <c r="R10" s="83"/>
      <c r="S10" s="84"/>
      <c r="T10" s="83"/>
      <c r="U10" s="75">
        <f t="shared" ref="U10:U16" si="0">SUM(B10,E10,H10,K10,N10,Q10,T10)</f>
        <v>0</v>
      </c>
      <c r="V10" s="94"/>
      <c r="W10" s="98"/>
      <c r="X10" s="184"/>
      <c r="Y10" s="185"/>
    </row>
    <row r="11" spans="1:25" ht="24" customHeight="1" x14ac:dyDescent="0.2">
      <c r="A11" s="91"/>
      <c r="B11" s="95"/>
      <c r="C11" s="83"/>
      <c r="D11" s="84"/>
      <c r="E11" s="83"/>
      <c r="F11" s="83"/>
      <c r="G11" s="84"/>
      <c r="H11" s="83"/>
      <c r="I11" s="83"/>
      <c r="J11" s="84"/>
      <c r="K11" s="79"/>
      <c r="L11" s="83"/>
      <c r="M11" s="84"/>
      <c r="N11" s="79"/>
      <c r="O11" s="83"/>
      <c r="P11" s="84"/>
      <c r="Q11" s="83"/>
      <c r="R11" s="83"/>
      <c r="S11" s="84"/>
      <c r="T11" s="83"/>
      <c r="U11" s="75">
        <f t="shared" si="0"/>
        <v>0</v>
      </c>
      <c r="V11" s="94"/>
      <c r="W11" s="98"/>
      <c r="X11" s="184"/>
      <c r="Y11" s="185"/>
    </row>
    <row r="12" spans="1:25" ht="24" customHeight="1" x14ac:dyDescent="0.2">
      <c r="A12" s="91"/>
      <c r="B12" s="81"/>
      <c r="C12" s="83"/>
      <c r="D12" s="84"/>
      <c r="E12" s="83"/>
      <c r="F12" s="83"/>
      <c r="G12" s="84"/>
      <c r="H12" s="79"/>
      <c r="I12" s="79"/>
      <c r="J12" s="84"/>
      <c r="K12" s="79"/>
      <c r="L12" s="79"/>
      <c r="M12" s="84"/>
      <c r="N12" s="79"/>
      <c r="O12" s="79"/>
      <c r="P12" s="84"/>
      <c r="Q12" s="79"/>
      <c r="R12" s="83"/>
      <c r="S12" s="84"/>
      <c r="T12" s="83"/>
      <c r="U12" s="75">
        <f t="shared" si="0"/>
        <v>0</v>
      </c>
      <c r="V12" s="94"/>
      <c r="W12" s="98"/>
      <c r="X12" s="184"/>
      <c r="Y12" s="185"/>
    </row>
    <row r="13" spans="1:25" ht="24" customHeight="1" x14ac:dyDescent="0.2">
      <c r="A13" s="91"/>
      <c r="B13" s="81"/>
      <c r="C13" s="83"/>
      <c r="D13" s="84"/>
      <c r="E13" s="83"/>
      <c r="F13" s="79"/>
      <c r="G13" s="84"/>
      <c r="H13" s="79"/>
      <c r="I13" s="79"/>
      <c r="J13" s="84"/>
      <c r="K13" s="79"/>
      <c r="L13" s="79"/>
      <c r="M13" s="84"/>
      <c r="N13" s="79"/>
      <c r="O13" s="79"/>
      <c r="P13" s="84"/>
      <c r="Q13" s="79"/>
      <c r="R13" s="83"/>
      <c r="S13" s="84"/>
      <c r="T13" s="83"/>
      <c r="U13" s="75">
        <f t="shared" si="0"/>
        <v>0</v>
      </c>
      <c r="V13" s="94"/>
      <c r="W13" s="98"/>
      <c r="X13" s="184"/>
      <c r="Y13" s="185"/>
    </row>
    <row r="14" spans="1:25" ht="24" customHeight="1" x14ac:dyDescent="0.2">
      <c r="A14" s="91">
        <v>1</v>
      </c>
      <c r="B14" s="81" t="s">
        <v>168</v>
      </c>
      <c r="C14" s="138" t="s">
        <v>167</v>
      </c>
      <c r="D14" s="84">
        <v>800</v>
      </c>
      <c r="E14" s="83">
        <v>5</v>
      </c>
      <c r="F14" s="138" t="s">
        <v>167</v>
      </c>
      <c r="G14" s="84">
        <v>800</v>
      </c>
      <c r="H14" s="83">
        <v>3</v>
      </c>
      <c r="I14" s="138" t="s">
        <v>167</v>
      </c>
      <c r="J14" s="84">
        <v>800</v>
      </c>
      <c r="K14" s="83"/>
      <c r="L14" s="138" t="s">
        <v>167</v>
      </c>
      <c r="M14" s="84">
        <v>800</v>
      </c>
      <c r="N14" s="83">
        <v>3</v>
      </c>
      <c r="O14" s="138" t="s">
        <v>167</v>
      </c>
      <c r="P14" s="84">
        <v>800</v>
      </c>
      <c r="Q14" s="83">
        <v>2</v>
      </c>
      <c r="R14" s="83"/>
      <c r="S14" s="84"/>
      <c r="T14" s="83"/>
      <c r="U14" s="75">
        <f t="shared" si="0"/>
        <v>13</v>
      </c>
      <c r="V14" s="94"/>
      <c r="W14" s="98"/>
      <c r="X14" s="184"/>
      <c r="Y14" s="185"/>
    </row>
    <row r="15" spans="1:25" ht="24" customHeight="1" x14ac:dyDescent="0.2">
      <c r="A15" s="91"/>
      <c r="B15" s="81"/>
      <c r="C15" s="138">
        <v>2025</v>
      </c>
      <c r="D15" s="84">
        <v>101</v>
      </c>
      <c r="E15" s="79">
        <v>2</v>
      </c>
      <c r="F15" s="83">
        <v>2023</v>
      </c>
      <c r="G15" s="84">
        <v>101</v>
      </c>
      <c r="H15" s="83">
        <v>2</v>
      </c>
      <c r="I15" s="146" t="s">
        <v>179</v>
      </c>
      <c r="J15" s="84"/>
      <c r="K15" s="79"/>
      <c r="L15" s="83">
        <v>2019</v>
      </c>
      <c r="M15" s="84">
        <v>101</v>
      </c>
      <c r="N15" s="79">
        <v>1</v>
      </c>
      <c r="O15" s="83">
        <v>2024</v>
      </c>
      <c r="P15" s="84">
        <v>101</v>
      </c>
      <c r="Q15" s="79">
        <v>1</v>
      </c>
      <c r="R15" s="140"/>
      <c r="S15" s="84"/>
      <c r="T15" s="83"/>
      <c r="U15" s="75">
        <f t="shared" si="0"/>
        <v>6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138">
        <v>2025</v>
      </c>
      <c r="D16" s="84">
        <v>100</v>
      </c>
      <c r="E16" s="83">
        <v>1</v>
      </c>
      <c r="F16" s="138">
        <v>2027</v>
      </c>
      <c r="G16" s="84">
        <v>101</v>
      </c>
      <c r="H16" s="79">
        <v>1</v>
      </c>
      <c r="I16" s="139"/>
      <c r="J16" s="84"/>
      <c r="K16" s="79"/>
      <c r="L16" s="139">
        <v>2025</v>
      </c>
      <c r="M16" s="84">
        <v>101</v>
      </c>
      <c r="N16" s="79">
        <v>1</v>
      </c>
      <c r="O16" s="139">
        <v>2021</v>
      </c>
      <c r="P16" s="84">
        <v>101</v>
      </c>
      <c r="Q16" s="79">
        <v>1</v>
      </c>
      <c r="R16" s="83"/>
      <c r="S16" s="84"/>
      <c r="T16" s="83"/>
      <c r="U16" s="75">
        <f t="shared" si="0"/>
        <v>4</v>
      </c>
      <c r="V16" s="94"/>
      <c r="W16" s="98"/>
      <c r="X16" s="184"/>
      <c r="Y16" s="185"/>
    </row>
    <row r="17" spans="1:25" ht="24" customHeight="1" x14ac:dyDescent="0.2">
      <c r="A17" s="91"/>
      <c r="B17" s="91"/>
      <c r="C17" s="138"/>
      <c r="D17" s="84"/>
      <c r="E17" s="79"/>
      <c r="F17" s="138" t="s">
        <v>100</v>
      </c>
      <c r="G17" s="84"/>
      <c r="H17" s="83"/>
      <c r="I17" s="139"/>
      <c r="J17" s="84"/>
      <c r="K17" s="79"/>
      <c r="L17" s="139">
        <v>2026</v>
      </c>
      <c r="M17" s="84">
        <v>101</v>
      </c>
      <c r="N17" s="79">
        <v>2</v>
      </c>
      <c r="O17" s="139">
        <v>2023</v>
      </c>
      <c r="P17" s="84">
        <v>101</v>
      </c>
      <c r="Q17" s="79">
        <v>1</v>
      </c>
      <c r="R17" s="83"/>
      <c r="S17" s="84"/>
      <c r="T17" s="83"/>
      <c r="U17" s="75">
        <f>SUM(B17,E16,H17,K17,N17,Q17,T17)</f>
        <v>4</v>
      </c>
      <c r="V17" s="94"/>
      <c r="W17" s="98"/>
      <c r="X17" s="184"/>
      <c r="Y17" s="185"/>
    </row>
    <row r="18" spans="1:25" ht="24" customHeight="1" x14ac:dyDescent="0.2">
      <c r="A18" s="91"/>
      <c r="B18" s="91"/>
      <c r="C18" s="138"/>
      <c r="D18" s="84"/>
      <c r="E18" s="83"/>
      <c r="F18" s="138"/>
      <c r="G18" s="84"/>
      <c r="H18" s="83"/>
      <c r="I18" s="139"/>
      <c r="J18" s="84"/>
      <c r="K18" s="79"/>
      <c r="L18" s="139">
        <v>2023</v>
      </c>
      <c r="M18" s="84">
        <v>151</v>
      </c>
      <c r="N18" s="79">
        <v>1</v>
      </c>
      <c r="O18" s="139">
        <v>2025</v>
      </c>
      <c r="P18" s="84">
        <v>101</v>
      </c>
      <c r="Q18" s="79">
        <v>1</v>
      </c>
      <c r="R18" s="83"/>
      <c r="S18" s="84"/>
      <c r="T18" s="83"/>
      <c r="U18" s="75">
        <f t="shared" ref="U18:U31" si="1">SUM(B18,E18,H18,K18,N18,Q18,T18)</f>
        <v>2</v>
      </c>
      <c r="V18" s="94"/>
      <c r="W18" s="98"/>
      <c r="X18" s="184"/>
      <c r="Y18" s="185"/>
    </row>
    <row r="19" spans="1:25" ht="24" customHeight="1" x14ac:dyDescent="0.2">
      <c r="A19" s="91"/>
      <c r="B19" s="81"/>
      <c r="C19" s="138"/>
      <c r="D19" s="84"/>
      <c r="E19" s="83"/>
      <c r="F19" s="138"/>
      <c r="G19" s="84"/>
      <c r="H19" s="83"/>
      <c r="I19" s="83"/>
      <c r="J19" s="84"/>
      <c r="K19" s="79"/>
      <c r="L19" s="139"/>
      <c r="M19" s="84"/>
      <c r="N19" s="79"/>
      <c r="O19" s="79">
        <v>2026</v>
      </c>
      <c r="P19" s="84">
        <v>101</v>
      </c>
      <c r="Q19" s="79">
        <v>2</v>
      </c>
      <c r="R19" s="83"/>
      <c r="S19" s="84"/>
      <c r="T19" s="83"/>
      <c r="U19" s="75">
        <f t="shared" si="1"/>
        <v>2</v>
      </c>
      <c r="V19" s="94"/>
      <c r="W19" s="98"/>
      <c r="X19" s="184"/>
      <c r="Y19" s="185"/>
    </row>
    <row r="20" spans="1:25" ht="24" customHeight="1" x14ac:dyDescent="0.2">
      <c r="A20" s="91"/>
      <c r="B20" s="81"/>
      <c r="C20" s="138"/>
      <c r="D20" s="84"/>
      <c r="E20" s="83"/>
      <c r="F20" s="79"/>
      <c r="G20" s="84"/>
      <c r="H20" s="79"/>
      <c r="I20" s="83"/>
      <c r="J20" s="84"/>
      <c r="K20" s="79"/>
      <c r="L20" s="83"/>
      <c r="M20" s="84"/>
      <c r="N20" s="83"/>
      <c r="O20" s="79"/>
      <c r="P20" s="84"/>
      <c r="Q20" s="79"/>
      <c r="R20" s="83"/>
      <c r="S20" s="84"/>
      <c r="T20" s="83"/>
      <c r="U20" s="75">
        <f t="shared" si="1"/>
        <v>0</v>
      </c>
      <c r="V20" s="94"/>
      <c r="W20" s="98"/>
      <c r="X20" s="184"/>
      <c r="Y20" s="185"/>
    </row>
    <row r="21" spans="1:25" ht="24" customHeight="1" x14ac:dyDescent="0.2">
      <c r="A21" s="91"/>
      <c r="B21" s="81"/>
      <c r="C21" s="79"/>
      <c r="D21" s="84"/>
      <c r="E21" s="79"/>
      <c r="F21" s="83"/>
      <c r="G21" s="136"/>
      <c r="H21" s="79"/>
      <c r="I21" s="83"/>
      <c r="J21" s="84"/>
      <c r="K21" s="79"/>
      <c r="L21" s="137"/>
      <c r="M21" s="136"/>
      <c r="N21" s="137"/>
      <c r="O21" s="83"/>
      <c r="P21" s="84"/>
      <c r="Q21" s="79"/>
      <c r="R21" s="83"/>
      <c r="S21" s="136"/>
      <c r="T21" s="83"/>
      <c r="U21" s="75">
        <f t="shared" si="1"/>
        <v>0</v>
      </c>
      <c r="V21" s="94"/>
      <c r="W21" s="98"/>
      <c r="X21" s="184"/>
      <c r="Y21" s="185"/>
    </row>
    <row r="22" spans="1:25" ht="24" customHeight="1" x14ac:dyDescent="0.2">
      <c r="A22" s="91"/>
      <c r="B22" s="81"/>
      <c r="C22" s="83"/>
      <c r="D22" s="84"/>
      <c r="E22" s="79"/>
      <c r="F22" s="79"/>
      <c r="G22" s="84"/>
      <c r="H22" s="79"/>
      <c r="I22" s="79"/>
      <c r="J22" s="84"/>
      <c r="K22" s="79"/>
      <c r="L22" s="79"/>
      <c r="M22" s="84"/>
      <c r="N22" s="79"/>
      <c r="O22" s="79"/>
      <c r="P22" s="84"/>
      <c r="Q22" s="79"/>
      <c r="R22" s="83"/>
      <c r="S22" s="84"/>
      <c r="T22" s="83"/>
      <c r="U22" s="75">
        <f t="shared" si="1"/>
        <v>0</v>
      </c>
      <c r="V22" s="89"/>
      <c r="W22" s="98"/>
      <c r="X22" s="184"/>
      <c r="Y22" s="185"/>
    </row>
    <row r="23" spans="1:25" ht="24" customHeight="1" x14ac:dyDescent="0.2">
      <c r="A23" s="91"/>
      <c r="B23" s="81"/>
      <c r="C23" s="79"/>
      <c r="D23" s="84"/>
      <c r="E23" s="79"/>
      <c r="F23" s="79"/>
      <c r="G23" s="84"/>
      <c r="H23" s="79"/>
      <c r="I23" s="79"/>
      <c r="J23" s="84"/>
      <c r="K23" s="79"/>
      <c r="L23" s="79"/>
      <c r="M23" s="84"/>
      <c r="N23" s="79"/>
      <c r="O23" s="79"/>
      <c r="P23" s="84"/>
      <c r="Q23" s="79"/>
      <c r="R23" s="83"/>
      <c r="S23" s="84"/>
      <c r="T23" s="83"/>
      <c r="U23" s="75">
        <f t="shared" si="1"/>
        <v>0</v>
      </c>
      <c r="V23" s="89"/>
      <c r="W23" s="98"/>
      <c r="X23" s="184"/>
      <c r="Y23" s="185"/>
    </row>
    <row r="24" spans="1:25" ht="24" customHeight="1" x14ac:dyDescent="0.2">
      <c r="A24" s="91"/>
      <c r="B24" s="81"/>
      <c r="C24" s="83"/>
      <c r="D24" s="80"/>
      <c r="E24" s="79"/>
      <c r="F24" s="79"/>
      <c r="G24" s="80"/>
      <c r="H24" s="79"/>
      <c r="I24" s="79"/>
      <c r="J24" s="80"/>
      <c r="K24" s="79"/>
      <c r="L24" s="79"/>
      <c r="M24" s="80"/>
      <c r="N24" s="79"/>
      <c r="O24" s="79"/>
      <c r="P24" s="80"/>
      <c r="Q24" s="79"/>
      <c r="R24" s="83"/>
      <c r="S24" s="80"/>
      <c r="T24" s="83"/>
      <c r="U24" s="75">
        <f t="shared" si="1"/>
        <v>0</v>
      </c>
      <c r="V24" s="94"/>
      <c r="W24" s="98"/>
      <c r="X24" s="184"/>
      <c r="Y24" s="185"/>
    </row>
    <row r="25" spans="1:25" ht="24" customHeight="1" x14ac:dyDescent="0.2">
      <c r="A25" s="91"/>
      <c r="B25" s="81"/>
      <c r="C25" s="83"/>
      <c r="D25" s="80"/>
      <c r="E25" s="79"/>
      <c r="F25" s="79"/>
      <c r="G25" s="80"/>
      <c r="H25" s="79"/>
      <c r="I25" s="79"/>
      <c r="J25" s="80"/>
      <c r="K25" s="79"/>
      <c r="L25" s="79"/>
      <c r="M25" s="80"/>
      <c r="N25" s="79"/>
      <c r="O25" s="79"/>
      <c r="P25" s="80"/>
      <c r="Q25" s="79"/>
      <c r="R25" s="83"/>
      <c r="S25" s="80"/>
      <c r="T25" s="83"/>
      <c r="U25" s="75">
        <f t="shared" si="1"/>
        <v>0</v>
      </c>
      <c r="V25" s="94"/>
      <c r="W25" s="98"/>
      <c r="X25" s="184"/>
      <c r="Y25" s="185"/>
    </row>
    <row r="26" spans="1:25" ht="24" customHeight="1" x14ac:dyDescent="0.2">
      <c r="A26" s="91"/>
      <c r="B26" s="81"/>
      <c r="C26" s="83"/>
      <c r="D26" s="84"/>
      <c r="E26" s="83"/>
      <c r="F26" s="83"/>
      <c r="G26" s="84"/>
      <c r="H26" s="79"/>
      <c r="I26" s="79"/>
      <c r="J26" s="84"/>
      <c r="K26" s="79"/>
      <c r="L26" s="79"/>
      <c r="M26" s="84"/>
      <c r="N26" s="79"/>
      <c r="O26" s="79"/>
      <c r="P26" s="84"/>
      <c r="Q26" s="79"/>
      <c r="R26" s="83"/>
      <c r="S26" s="84"/>
      <c r="T26" s="83"/>
      <c r="U26" s="75">
        <f t="shared" si="1"/>
        <v>0</v>
      </c>
      <c r="V26" s="94"/>
      <c r="W26" s="98"/>
      <c r="X26" s="188"/>
      <c r="Y26" s="185"/>
    </row>
    <row r="27" spans="1:25" ht="24" customHeight="1" x14ac:dyDescent="0.2">
      <c r="A27" s="91"/>
      <c r="B27" s="95"/>
      <c r="C27" s="83"/>
      <c r="D27" s="84"/>
      <c r="E27" s="83"/>
      <c r="F27" s="83"/>
      <c r="G27" s="84"/>
      <c r="H27" s="83"/>
      <c r="I27" s="83"/>
      <c r="J27" s="84"/>
      <c r="K27" s="79"/>
      <c r="L27" s="83"/>
      <c r="M27" s="84"/>
      <c r="N27" s="79"/>
      <c r="O27" s="83"/>
      <c r="P27" s="84"/>
      <c r="Q27" s="83"/>
      <c r="R27" s="83"/>
      <c r="S27" s="84"/>
      <c r="T27" s="83"/>
      <c r="U27" s="75">
        <f t="shared" si="1"/>
        <v>0</v>
      </c>
      <c r="V27" s="94"/>
      <c r="W27" s="98"/>
      <c r="X27" s="188"/>
      <c r="Y27" s="185"/>
    </row>
    <row r="28" spans="1:25" ht="24" customHeight="1" x14ac:dyDescent="0.2">
      <c r="A28" s="91"/>
      <c r="B28" s="81"/>
      <c r="C28" s="83"/>
      <c r="D28" s="84"/>
      <c r="E28" s="83"/>
      <c r="F28" s="83"/>
      <c r="G28" s="84"/>
      <c r="H28" s="79"/>
      <c r="I28" s="79"/>
      <c r="J28" s="84"/>
      <c r="K28" s="79"/>
      <c r="L28" s="79"/>
      <c r="M28" s="84"/>
      <c r="N28" s="79"/>
      <c r="O28" s="79"/>
      <c r="P28" s="84"/>
      <c r="Q28" s="79"/>
      <c r="R28" s="83"/>
      <c r="S28" s="84"/>
      <c r="T28" s="83"/>
      <c r="U28" s="75">
        <f t="shared" si="1"/>
        <v>0</v>
      </c>
      <c r="V28" s="94"/>
      <c r="W28" s="98"/>
      <c r="X28" s="188"/>
      <c r="Y28" s="185"/>
    </row>
    <row r="29" spans="1:25" ht="24" customHeight="1" x14ac:dyDescent="0.2">
      <c r="A29" s="91"/>
      <c r="B29" s="81"/>
      <c r="C29" s="83"/>
      <c r="D29" s="84"/>
      <c r="E29" s="83"/>
      <c r="F29" s="79"/>
      <c r="G29" s="84"/>
      <c r="H29" s="79"/>
      <c r="I29" s="79"/>
      <c r="J29" s="84"/>
      <c r="K29" s="79"/>
      <c r="L29" s="79"/>
      <c r="M29" s="84"/>
      <c r="N29" s="79"/>
      <c r="O29" s="79"/>
      <c r="P29" s="84"/>
      <c r="Q29" s="79"/>
      <c r="R29" s="83"/>
      <c r="S29" s="84"/>
      <c r="T29" s="83"/>
      <c r="U29" s="75">
        <f t="shared" si="1"/>
        <v>0</v>
      </c>
      <c r="V29" s="94"/>
      <c r="W29" s="98"/>
      <c r="X29" s="188"/>
      <c r="Y29" s="185"/>
    </row>
    <row r="30" spans="1:25" ht="24" customHeight="1" x14ac:dyDescent="0.2">
      <c r="A30" s="91"/>
      <c r="B30" s="81"/>
      <c r="C30" s="83"/>
      <c r="D30" s="84"/>
      <c r="E30" s="83"/>
      <c r="F30" s="79"/>
      <c r="G30" s="84"/>
      <c r="H30" s="79"/>
      <c r="I30" s="79"/>
      <c r="J30" s="84"/>
      <c r="K30" s="79"/>
      <c r="L30" s="79"/>
      <c r="M30" s="84"/>
      <c r="N30" s="79"/>
      <c r="O30" s="79"/>
      <c r="P30" s="84"/>
      <c r="Q30" s="79"/>
      <c r="R30" s="83"/>
      <c r="S30" s="84"/>
      <c r="T30" s="83"/>
      <c r="U30" s="75">
        <f t="shared" si="1"/>
        <v>0</v>
      </c>
      <c r="V30" s="94"/>
      <c r="W30" s="98"/>
      <c r="X30" s="188"/>
      <c r="Y30" s="185"/>
    </row>
    <row r="31" spans="1:25" ht="24" customHeight="1" thickBot="1" x14ac:dyDescent="0.25">
      <c r="A31" s="91"/>
      <c r="B31" s="81"/>
      <c r="C31" s="83"/>
      <c r="D31" s="80"/>
      <c r="E31" s="79"/>
      <c r="F31" s="83"/>
      <c r="G31" s="80"/>
      <c r="H31" s="79"/>
      <c r="I31" s="134"/>
      <c r="J31" s="80"/>
      <c r="K31" s="79"/>
      <c r="L31" s="79"/>
      <c r="M31" s="80"/>
      <c r="N31" s="79"/>
      <c r="O31" s="79"/>
      <c r="P31" s="80"/>
      <c r="Q31" s="79"/>
      <c r="R31" s="83"/>
      <c r="S31" s="80"/>
      <c r="T31" s="83"/>
      <c r="U31" s="75">
        <f t="shared" si="1"/>
        <v>0</v>
      </c>
      <c r="V31" s="94"/>
      <c r="W31" s="98"/>
      <c r="X31" s="188"/>
      <c r="Y31" s="185"/>
    </row>
    <row r="32" spans="1:25" ht="24" customHeight="1" thickTop="1" x14ac:dyDescent="0.2">
      <c r="A32" s="91"/>
      <c r="B32" s="191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28"/>
      <c r="V32" s="94"/>
      <c r="W32" s="98"/>
      <c r="X32" s="188"/>
      <c r="Y32" s="185"/>
    </row>
    <row r="33" spans="1:25" ht="24" customHeight="1" x14ac:dyDescent="0.2">
      <c r="A33" s="91"/>
      <c r="B33" s="91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28"/>
      <c r="V33" s="94"/>
      <c r="W33" s="98"/>
      <c r="X33" s="188"/>
      <c r="Y33" s="185"/>
    </row>
    <row r="34" spans="1:25" ht="24" customHeight="1" x14ac:dyDescent="0.2">
      <c r="A34" s="91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128"/>
      <c r="V34" s="89"/>
      <c r="W34" s="98"/>
      <c r="X34" s="188"/>
      <c r="Y34" s="185"/>
    </row>
    <row r="35" spans="1:25" ht="24" customHeight="1" x14ac:dyDescent="0.2">
      <c r="A35" s="91"/>
      <c r="B35" s="132"/>
      <c r="C35" s="83"/>
      <c r="D35" s="84"/>
      <c r="E35" s="83"/>
      <c r="F35" s="79"/>
      <c r="G35" s="80"/>
      <c r="H35" s="79"/>
      <c r="I35" s="79"/>
      <c r="J35" s="80"/>
      <c r="K35" s="79"/>
      <c r="L35" s="79"/>
      <c r="M35" s="80"/>
      <c r="N35" s="79"/>
      <c r="O35" s="79"/>
      <c r="P35" s="80"/>
      <c r="Q35" s="79"/>
      <c r="R35" s="83"/>
      <c r="S35" s="84"/>
      <c r="T35" s="83"/>
      <c r="U35" s="128"/>
      <c r="V35" s="94"/>
      <c r="W35" s="98"/>
      <c r="X35" s="188"/>
      <c r="Y35" s="185"/>
    </row>
    <row r="36" spans="1:25" ht="24" customHeight="1" x14ac:dyDescent="0.2">
      <c r="A36" s="91"/>
      <c r="B36" s="91"/>
      <c r="C36" s="83"/>
      <c r="D36" s="84"/>
      <c r="E36" s="83"/>
      <c r="F36" s="79"/>
      <c r="G36" s="80"/>
      <c r="H36" s="79"/>
      <c r="I36" s="83"/>
      <c r="J36" s="84"/>
      <c r="K36" s="79"/>
      <c r="L36" s="79"/>
      <c r="M36" s="80"/>
      <c r="N36" s="79"/>
      <c r="O36" s="79"/>
      <c r="P36" s="80"/>
      <c r="Q36" s="79"/>
      <c r="R36" s="83"/>
      <c r="S36" s="84"/>
      <c r="T36" s="83"/>
      <c r="U36" s="128"/>
      <c r="V36" s="94"/>
      <c r="W36" s="98"/>
      <c r="X36" s="188"/>
      <c r="Y36" s="185"/>
    </row>
    <row r="37" spans="1:25" ht="24" customHeight="1" x14ac:dyDescent="0.2">
      <c r="A37" s="91"/>
      <c r="B37" s="91"/>
      <c r="C37" s="79"/>
      <c r="D37" s="80"/>
      <c r="E37" s="79"/>
      <c r="F37" s="83"/>
      <c r="G37" s="80"/>
      <c r="H37" s="79"/>
      <c r="I37" s="83"/>
      <c r="J37" s="80"/>
      <c r="K37" s="79"/>
      <c r="L37" s="83"/>
      <c r="M37" s="80"/>
      <c r="N37" s="79"/>
      <c r="O37" s="83"/>
      <c r="P37" s="80"/>
      <c r="Q37" s="79"/>
      <c r="R37" s="83"/>
      <c r="S37" s="84"/>
      <c r="T37" s="83"/>
      <c r="U37" s="128"/>
      <c r="V37" s="94"/>
      <c r="W37" s="98"/>
      <c r="X37" s="188"/>
      <c r="Y37" s="185"/>
    </row>
    <row r="38" spans="1:25" ht="24" customHeight="1" x14ac:dyDescent="0.2">
      <c r="A38" s="91"/>
      <c r="B38" s="132"/>
      <c r="C38" s="83"/>
      <c r="D38" s="80"/>
      <c r="E38" s="79"/>
      <c r="F38" s="79"/>
      <c r="G38" s="80"/>
      <c r="H38" s="79"/>
      <c r="I38" s="79"/>
      <c r="J38" s="80"/>
      <c r="K38" s="79"/>
      <c r="L38" s="79"/>
      <c r="M38" s="80"/>
      <c r="N38" s="79"/>
      <c r="O38" s="79"/>
      <c r="P38" s="80"/>
      <c r="Q38" s="79"/>
      <c r="R38" s="83"/>
      <c r="S38" s="84"/>
      <c r="T38" s="83"/>
      <c r="U38" s="128"/>
      <c r="V38" s="89"/>
      <c r="W38" s="98"/>
      <c r="X38" s="188"/>
      <c r="Y38" s="185"/>
    </row>
    <row r="39" spans="1:25" ht="24" customHeight="1" x14ac:dyDescent="0.2">
      <c r="A39" s="91"/>
      <c r="B39" s="132"/>
      <c r="C39" s="83"/>
      <c r="D39" s="84"/>
      <c r="E39" s="83"/>
      <c r="F39" s="83"/>
      <c r="G39" s="80"/>
      <c r="H39" s="79"/>
      <c r="I39" s="79"/>
      <c r="J39" s="80"/>
      <c r="K39" s="79"/>
      <c r="L39" s="79"/>
      <c r="M39" s="80"/>
      <c r="N39" s="79"/>
      <c r="O39" s="79"/>
      <c r="P39" s="80"/>
      <c r="Q39" s="79"/>
      <c r="R39" s="83"/>
      <c r="S39" s="84"/>
      <c r="T39" s="83"/>
      <c r="U39" s="128"/>
      <c r="V39" s="94"/>
      <c r="W39" s="98"/>
      <c r="X39" s="188"/>
      <c r="Y39" s="185"/>
    </row>
    <row r="40" spans="1:25" ht="24" customHeight="1" x14ac:dyDescent="0.2">
      <c r="A40" s="91"/>
      <c r="B40" s="91"/>
      <c r="C40" s="83"/>
      <c r="D40" s="84"/>
      <c r="E40" s="83"/>
      <c r="F40" s="83"/>
      <c r="G40" s="84"/>
      <c r="H40" s="83"/>
      <c r="I40" s="83"/>
      <c r="J40" s="80"/>
      <c r="K40" s="79"/>
      <c r="L40" s="83"/>
      <c r="M40" s="80"/>
      <c r="N40" s="79"/>
      <c r="O40" s="83"/>
      <c r="P40" s="84"/>
      <c r="Q40" s="83"/>
      <c r="R40" s="83"/>
      <c r="S40" s="84"/>
      <c r="T40" s="83"/>
      <c r="U40" s="128"/>
      <c r="V40" s="94"/>
      <c r="W40" s="98"/>
      <c r="X40" s="188"/>
      <c r="Y40" s="185"/>
    </row>
    <row r="41" spans="1:25" ht="24" customHeight="1" x14ac:dyDescent="0.2">
      <c r="A41" s="91"/>
      <c r="B41" s="91"/>
      <c r="C41" s="83"/>
      <c r="D41" s="84"/>
      <c r="E41" s="83"/>
      <c r="F41" s="83"/>
      <c r="G41" s="80"/>
      <c r="H41" s="79"/>
      <c r="I41" s="79"/>
      <c r="J41" s="80"/>
      <c r="K41" s="79"/>
      <c r="L41" s="79"/>
      <c r="M41" s="80"/>
      <c r="N41" s="79"/>
      <c r="O41" s="79"/>
      <c r="P41" s="80"/>
      <c r="Q41" s="79"/>
      <c r="R41" s="83"/>
      <c r="S41" s="84"/>
      <c r="T41" s="83"/>
      <c r="U41" s="128"/>
      <c r="V41" s="94"/>
      <c r="W41" s="98"/>
      <c r="X41" s="188"/>
      <c r="Y41" s="185"/>
    </row>
    <row r="42" spans="1:25" ht="24" customHeight="1" x14ac:dyDescent="0.2">
      <c r="A42" s="91"/>
      <c r="B42" s="91"/>
      <c r="C42" s="83"/>
      <c r="D42" s="84"/>
      <c r="E42" s="83"/>
      <c r="F42" s="79"/>
      <c r="G42" s="80"/>
      <c r="H42" s="79"/>
      <c r="I42" s="79"/>
      <c r="J42" s="80"/>
      <c r="K42" s="79"/>
      <c r="L42" s="79"/>
      <c r="M42" s="80"/>
      <c r="N42" s="79"/>
      <c r="O42" s="79"/>
      <c r="P42" s="80"/>
      <c r="Q42" s="79"/>
      <c r="R42" s="83"/>
      <c r="S42" s="84"/>
      <c r="T42" s="83"/>
      <c r="U42" s="128"/>
      <c r="V42" s="89"/>
      <c r="W42" s="98"/>
      <c r="X42" s="188"/>
      <c r="Y42" s="185"/>
    </row>
    <row r="43" spans="1:25" ht="24" customHeight="1" x14ac:dyDescent="0.2">
      <c r="A43" s="91"/>
      <c r="B43" s="103"/>
      <c r="C43" s="83"/>
      <c r="D43" s="84"/>
      <c r="E43" s="83"/>
      <c r="F43" s="103"/>
      <c r="G43" s="84"/>
      <c r="H43" s="103"/>
      <c r="I43" s="134"/>
      <c r="J43" s="84"/>
      <c r="K43" s="103"/>
      <c r="L43" s="79"/>
      <c r="M43" s="80"/>
      <c r="N43" s="79"/>
      <c r="O43" s="79"/>
      <c r="P43" s="80"/>
      <c r="Q43" s="79"/>
      <c r="R43" s="83"/>
      <c r="S43" s="84"/>
      <c r="T43" s="83"/>
      <c r="U43" s="128"/>
      <c r="V43" s="89"/>
      <c r="W43" s="98"/>
      <c r="X43" s="188"/>
      <c r="Y43" s="185"/>
    </row>
    <row r="44" spans="1:25" ht="24" customHeight="1" x14ac:dyDescent="0.2">
      <c r="A44" s="91"/>
      <c r="B44" s="91"/>
      <c r="C44" s="83"/>
      <c r="D44" s="84"/>
      <c r="E44" s="79"/>
      <c r="F44" s="83"/>
      <c r="G44" s="80"/>
      <c r="H44" s="79"/>
      <c r="I44" s="79"/>
      <c r="J44" s="80"/>
      <c r="K44" s="79"/>
      <c r="L44" s="79"/>
      <c r="M44" s="80"/>
      <c r="N44" s="79"/>
      <c r="O44" s="79"/>
      <c r="P44" s="80"/>
      <c r="Q44" s="79"/>
      <c r="R44" s="83"/>
      <c r="S44" s="80"/>
      <c r="T44" s="83"/>
      <c r="U44" s="128"/>
      <c r="V44" s="89"/>
      <c r="W44" s="98"/>
      <c r="X44" s="188"/>
      <c r="Y44" s="185"/>
    </row>
    <row r="45" spans="1:25" ht="24" customHeight="1" x14ac:dyDescent="0.2">
      <c r="A45" s="91"/>
      <c r="B45" s="91"/>
      <c r="C45" s="83"/>
      <c r="D45" s="84"/>
      <c r="E45" s="79"/>
      <c r="F45" s="79"/>
      <c r="G45" s="80"/>
      <c r="H45" s="79"/>
      <c r="I45" s="79"/>
      <c r="J45" s="80"/>
      <c r="K45" s="79"/>
      <c r="L45" s="79"/>
      <c r="M45" s="80"/>
      <c r="N45" s="79"/>
      <c r="O45" s="79"/>
      <c r="P45" s="80"/>
      <c r="Q45" s="79"/>
      <c r="R45" s="133"/>
      <c r="S45" s="93"/>
      <c r="T45" s="83"/>
      <c r="U45" s="128"/>
      <c r="V45" s="89"/>
      <c r="W45" s="98"/>
      <c r="X45" s="188"/>
      <c r="Y45" s="185"/>
    </row>
    <row r="46" spans="1:25" ht="24" customHeight="1" x14ac:dyDescent="0.2">
      <c r="A46" s="91"/>
      <c r="B46" s="91"/>
      <c r="C46" s="83"/>
      <c r="D46" s="84"/>
      <c r="E46" s="83"/>
      <c r="F46" s="83"/>
      <c r="G46" s="84"/>
      <c r="H46" s="83"/>
      <c r="I46" s="83"/>
      <c r="J46" s="84"/>
      <c r="K46" s="83"/>
      <c r="L46" s="83"/>
      <c r="M46" s="84"/>
      <c r="N46" s="79"/>
      <c r="O46" s="83"/>
      <c r="P46" s="84"/>
      <c r="Q46" s="83"/>
      <c r="R46" s="83"/>
      <c r="S46" s="84"/>
      <c r="T46" s="83"/>
      <c r="U46" s="128"/>
      <c r="V46" s="89"/>
      <c r="W46" s="98"/>
      <c r="X46" s="188"/>
      <c r="Y46" s="185"/>
    </row>
    <row r="47" spans="1:25" ht="24" customHeight="1" x14ac:dyDescent="0.2">
      <c r="A47" s="91"/>
      <c r="B47" s="91"/>
      <c r="C47" s="83"/>
      <c r="D47" s="84"/>
      <c r="E47" s="79"/>
      <c r="F47" s="79"/>
      <c r="G47" s="80"/>
      <c r="H47" s="79"/>
      <c r="I47" s="79"/>
      <c r="J47" s="80"/>
      <c r="K47" s="79"/>
      <c r="L47" s="79"/>
      <c r="M47" s="80"/>
      <c r="N47" s="79"/>
      <c r="O47" s="79"/>
      <c r="P47" s="80"/>
      <c r="Q47" s="79"/>
      <c r="R47" s="83"/>
      <c r="S47" s="84"/>
      <c r="T47" s="83"/>
      <c r="U47" s="128"/>
      <c r="V47" s="89"/>
      <c r="W47" s="98"/>
      <c r="X47" s="188"/>
      <c r="Y47" s="185"/>
    </row>
    <row r="48" spans="1:25" ht="24" customHeight="1" x14ac:dyDescent="0.2">
      <c r="A48" s="91"/>
      <c r="B48" s="91"/>
      <c r="C48" s="83"/>
      <c r="D48" s="84"/>
      <c r="E48" s="83"/>
      <c r="F48" s="79"/>
      <c r="G48" s="80"/>
      <c r="H48" s="79"/>
      <c r="I48" s="79"/>
      <c r="J48" s="80"/>
      <c r="K48" s="79"/>
      <c r="L48" s="79"/>
      <c r="M48" s="80"/>
      <c r="N48" s="79"/>
      <c r="O48" s="79"/>
      <c r="P48" s="80"/>
      <c r="Q48" s="79"/>
      <c r="R48" s="83"/>
      <c r="S48" s="84"/>
      <c r="T48" s="83"/>
      <c r="U48" s="128"/>
      <c r="V48" s="89"/>
      <c r="W48" s="98"/>
      <c r="X48" s="188"/>
      <c r="Y48" s="185"/>
    </row>
    <row r="49" spans="1:25" ht="24" customHeight="1" x14ac:dyDescent="0.2">
      <c r="A49" s="91"/>
      <c r="B49" s="91"/>
      <c r="C49" s="83"/>
      <c r="D49" s="84"/>
      <c r="E49" s="83"/>
      <c r="F49" s="79"/>
      <c r="G49" s="80"/>
      <c r="H49" s="79"/>
      <c r="I49" s="83"/>
      <c r="J49" s="84"/>
      <c r="K49" s="79"/>
      <c r="L49" s="79"/>
      <c r="M49" s="80"/>
      <c r="N49" s="79"/>
      <c r="O49" s="79"/>
      <c r="P49" s="80"/>
      <c r="Q49" s="79"/>
      <c r="R49" s="83"/>
      <c r="S49" s="84"/>
      <c r="T49" s="83"/>
      <c r="U49" s="128"/>
      <c r="V49" s="89"/>
      <c r="W49" s="98"/>
      <c r="X49" s="188"/>
      <c r="Y49" s="185"/>
    </row>
    <row r="50" spans="1:25" ht="24" customHeight="1" x14ac:dyDescent="0.2">
      <c r="A50" s="91"/>
      <c r="B50" s="132"/>
      <c r="C50" s="79"/>
      <c r="D50" s="84"/>
      <c r="E50" s="79"/>
      <c r="F50" s="83"/>
      <c r="G50" s="80"/>
      <c r="H50" s="79"/>
      <c r="I50" s="83"/>
      <c r="J50" s="80"/>
      <c r="K50" s="79"/>
      <c r="L50" s="83"/>
      <c r="M50" s="80"/>
      <c r="N50" s="79"/>
      <c r="O50" s="83"/>
      <c r="P50" s="80"/>
      <c r="Q50" s="79"/>
      <c r="R50" s="83"/>
      <c r="S50" s="84"/>
      <c r="T50" s="83"/>
      <c r="U50" s="128"/>
      <c r="V50" s="89"/>
      <c r="W50" s="98"/>
      <c r="X50" s="188"/>
      <c r="Y50" s="185"/>
    </row>
    <row r="51" spans="1:25" ht="24" customHeight="1" x14ac:dyDescent="0.2">
      <c r="A51" s="103"/>
      <c r="B51" s="132"/>
      <c r="C51" s="83"/>
      <c r="D51" s="84"/>
      <c r="E51" s="79"/>
      <c r="F51" s="79"/>
      <c r="G51" s="80"/>
      <c r="H51" s="79"/>
      <c r="I51" s="79"/>
      <c r="J51" s="80"/>
      <c r="K51" s="79"/>
      <c r="L51" s="79"/>
      <c r="M51" s="80"/>
      <c r="N51" s="79"/>
      <c r="O51" s="79"/>
      <c r="P51" s="80"/>
      <c r="Q51" s="79"/>
      <c r="R51" s="83"/>
      <c r="S51" s="84"/>
      <c r="T51" s="83"/>
      <c r="U51" s="128"/>
      <c r="V51" s="89"/>
      <c r="W51" s="98"/>
      <c r="X51" s="188"/>
      <c r="Y51" s="185"/>
    </row>
    <row r="52" spans="1:25" ht="24" customHeight="1" x14ac:dyDescent="0.2">
      <c r="A52" s="103"/>
      <c r="B52" s="132"/>
      <c r="C52" s="79"/>
      <c r="D52" s="80"/>
      <c r="E52" s="79"/>
      <c r="F52" s="79"/>
      <c r="G52" s="80"/>
      <c r="H52" s="79"/>
      <c r="I52" s="79"/>
      <c r="J52" s="80"/>
      <c r="K52" s="79"/>
      <c r="L52" s="79"/>
      <c r="M52" s="80"/>
      <c r="N52" s="79"/>
      <c r="O52" s="79"/>
      <c r="P52" s="80"/>
      <c r="Q52" s="79"/>
      <c r="R52" s="83"/>
      <c r="S52" s="84"/>
      <c r="T52" s="83"/>
      <c r="U52" s="128"/>
      <c r="V52" s="74"/>
      <c r="X52" s="188"/>
      <c r="Y52" s="185"/>
    </row>
    <row r="53" spans="1:25" ht="24" customHeight="1" x14ac:dyDescent="0.2">
      <c r="A53" s="103"/>
      <c r="B53" s="132"/>
      <c r="C53" s="79"/>
      <c r="D53" s="84"/>
      <c r="E53" s="79"/>
      <c r="F53" s="79"/>
      <c r="G53" s="80"/>
      <c r="H53" s="79"/>
      <c r="I53" s="79"/>
      <c r="J53" s="80"/>
      <c r="K53" s="79"/>
      <c r="L53" s="79"/>
      <c r="M53" s="80"/>
      <c r="N53" s="79"/>
      <c r="O53" s="79"/>
      <c r="P53" s="80"/>
      <c r="Q53" s="79"/>
      <c r="R53" s="83"/>
      <c r="S53" s="84"/>
      <c r="T53" s="83"/>
      <c r="U53" s="128"/>
      <c r="V53" s="74"/>
      <c r="X53" s="188"/>
      <c r="Y53" s="185"/>
    </row>
    <row r="54" spans="1:25" ht="24" customHeight="1" x14ac:dyDescent="0.2">
      <c r="A54" s="103"/>
      <c r="B54" s="132"/>
      <c r="C54" s="79"/>
      <c r="D54" s="84"/>
      <c r="E54" s="79"/>
      <c r="F54" s="79"/>
      <c r="G54" s="80"/>
      <c r="H54" s="79"/>
      <c r="I54" s="79"/>
      <c r="J54" s="80"/>
      <c r="K54" s="79"/>
      <c r="L54" s="79"/>
      <c r="M54" s="80"/>
      <c r="N54" s="79"/>
      <c r="O54" s="79"/>
      <c r="P54" s="80"/>
      <c r="Q54" s="79"/>
      <c r="R54" s="83"/>
      <c r="S54" s="84"/>
      <c r="T54" s="83"/>
      <c r="U54" s="128"/>
      <c r="V54" s="74"/>
      <c r="X54" s="188"/>
      <c r="Y54" s="185"/>
    </row>
    <row r="55" spans="1:25" ht="24" customHeight="1" x14ac:dyDescent="0.2">
      <c r="A55" s="103"/>
      <c r="B55" s="132"/>
      <c r="C55" s="79"/>
      <c r="D55" s="80"/>
      <c r="E55" s="79"/>
      <c r="F55" s="79"/>
      <c r="G55" s="80"/>
      <c r="H55" s="79"/>
      <c r="I55" s="79"/>
      <c r="J55" s="80"/>
      <c r="K55" s="79"/>
      <c r="L55" s="79"/>
      <c r="M55" s="80"/>
      <c r="N55" s="79"/>
      <c r="O55" s="79"/>
      <c r="P55" s="80"/>
      <c r="Q55" s="79"/>
      <c r="R55" s="83"/>
      <c r="S55" s="84"/>
      <c r="T55" s="83"/>
      <c r="U55" s="128"/>
      <c r="V55" s="74"/>
      <c r="X55" s="188"/>
      <c r="Y55" s="185"/>
    </row>
    <row r="56" spans="1:25" ht="24" customHeight="1" x14ac:dyDescent="0.2">
      <c r="A56" s="103"/>
      <c r="B56" s="132"/>
      <c r="C56" s="79"/>
      <c r="D56" s="84"/>
      <c r="E56" s="79"/>
      <c r="F56" s="79"/>
      <c r="G56" s="80"/>
      <c r="H56" s="79"/>
      <c r="I56" s="79"/>
      <c r="J56" s="80"/>
      <c r="K56" s="79"/>
      <c r="L56" s="79"/>
      <c r="M56" s="80"/>
      <c r="N56" s="79"/>
      <c r="O56" s="79"/>
      <c r="P56" s="80"/>
      <c r="Q56" s="79"/>
      <c r="R56" s="83"/>
      <c r="S56" s="84"/>
      <c r="T56" s="83"/>
      <c r="U56" s="128"/>
      <c r="V56" s="74"/>
      <c r="X56" s="188"/>
      <c r="Y56" s="185"/>
    </row>
    <row r="57" spans="1:25" ht="24" customHeight="1" x14ac:dyDescent="0.2">
      <c r="A57" s="103"/>
      <c r="B57" s="132"/>
      <c r="C57" s="79"/>
      <c r="D57" s="84"/>
      <c r="E57" s="79"/>
      <c r="F57" s="79"/>
      <c r="G57" s="80"/>
      <c r="H57" s="79"/>
      <c r="I57" s="79"/>
      <c r="J57" s="80"/>
      <c r="K57" s="79"/>
      <c r="L57" s="79"/>
      <c r="M57" s="80"/>
      <c r="N57" s="79"/>
      <c r="O57" s="79"/>
      <c r="P57" s="80"/>
      <c r="Q57" s="79"/>
      <c r="R57" s="83"/>
      <c r="S57" s="84"/>
      <c r="T57" s="83"/>
      <c r="U57" s="128"/>
      <c r="V57" s="74"/>
      <c r="X57" s="188"/>
      <c r="Y57" s="185"/>
    </row>
    <row r="58" spans="1:25" ht="24" customHeight="1" x14ac:dyDescent="0.2">
      <c r="A58" s="103"/>
      <c r="B58" s="132"/>
      <c r="C58" s="79"/>
      <c r="D58" s="80"/>
      <c r="E58" s="79"/>
      <c r="F58" s="79"/>
      <c r="G58" s="80"/>
      <c r="H58" s="79"/>
      <c r="I58" s="79"/>
      <c r="J58" s="80"/>
      <c r="K58" s="79"/>
      <c r="L58" s="79"/>
      <c r="M58" s="80"/>
      <c r="N58" s="79"/>
      <c r="O58" s="79"/>
      <c r="P58" s="80"/>
      <c r="Q58" s="79"/>
      <c r="R58" s="83"/>
      <c r="S58" s="84"/>
      <c r="T58" s="83"/>
      <c r="U58" s="128"/>
      <c r="V58" s="74"/>
      <c r="X58" s="188"/>
      <c r="Y58" s="185"/>
    </row>
    <row r="59" spans="1:25" ht="24" customHeight="1" x14ac:dyDescent="0.2">
      <c r="A59" s="103"/>
      <c r="B59" s="132"/>
      <c r="C59" s="79"/>
      <c r="D59" s="80"/>
      <c r="E59" s="79"/>
      <c r="F59" s="79"/>
      <c r="G59" s="80"/>
      <c r="H59" s="79"/>
      <c r="I59" s="79"/>
      <c r="J59" s="80"/>
      <c r="K59" s="79"/>
      <c r="L59" s="79"/>
      <c r="M59" s="80"/>
      <c r="N59" s="79"/>
      <c r="O59" s="79"/>
      <c r="P59" s="80"/>
      <c r="Q59" s="79"/>
      <c r="R59" s="83"/>
      <c r="S59" s="84"/>
      <c r="T59" s="83"/>
      <c r="U59" s="128"/>
      <c r="V59" s="74"/>
      <c r="X59" s="188"/>
      <c r="Y59" s="185"/>
    </row>
    <row r="60" spans="1:25" ht="24" customHeight="1" x14ac:dyDescent="0.2">
      <c r="A60" s="103"/>
      <c r="B60" s="103"/>
      <c r="C60" s="103"/>
      <c r="D60" s="84"/>
      <c r="E60" s="103"/>
      <c r="F60" s="103"/>
      <c r="G60" s="84"/>
      <c r="H60" s="103"/>
      <c r="I60" s="103"/>
      <c r="J60" s="84"/>
      <c r="K60" s="103"/>
      <c r="L60" s="103"/>
      <c r="M60" s="84"/>
      <c r="N60" s="103"/>
      <c r="O60" s="103"/>
      <c r="P60" s="84"/>
      <c r="Q60" s="103"/>
      <c r="R60" s="103"/>
      <c r="S60" s="84"/>
      <c r="T60" s="103"/>
      <c r="U60" s="128"/>
      <c r="V60" s="74"/>
      <c r="X60" s="188"/>
      <c r="Y60" s="185"/>
    </row>
    <row r="61" spans="1:25" ht="24" customHeight="1" x14ac:dyDescent="0.2">
      <c r="A61" s="103"/>
      <c r="B61" s="103"/>
      <c r="C61" s="103"/>
      <c r="D61" s="84"/>
      <c r="E61" s="103"/>
      <c r="F61" s="103"/>
      <c r="G61" s="84"/>
      <c r="H61" s="103"/>
      <c r="I61" s="103"/>
      <c r="J61" s="84"/>
      <c r="K61" s="103"/>
      <c r="L61" s="103"/>
      <c r="M61" s="84"/>
      <c r="N61" s="103"/>
      <c r="O61" s="103"/>
      <c r="P61" s="84"/>
      <c r="Q61" s="103"/>
      <c r="R61" s="103"/>
      <c r="S61" s="84"/>
      <c r="T61" s="103"/>
      <c r="U61" s="128"/>
      <c r="V61" s="74"/>
      <c r="X61" s="188"/>
      <c r="Y61" s="185"/>
    </row>
    <row r="62" spans="1:25" ht="24" customHeight="1" x14ac:dyDescent="0.2">
      <c r="A62" s="103"/>
      <c r="B62" s="103"/>
      <c r="C62" s="103"/>
      <c r="D62" s="84"/>
      <c r="E62" s="103"/>
      <c r="F62" s="103"/>
      <c r="G62" s="84"/>
      <c r="H62" s="103"/>
      <c r="I62" s="103"/>
      <c r="J62" s="84"/>
      <c r="K62" s="103"/>
      <c r="L62" s="103"/>
      <c r="M62" s="84"/>
      <c r="N62" s="103"/>
      <c r="O62" s="103"/>
      <c r="P62" s="84"/>
      <c r="Q62" s="103"/>
      <c r="R62" s="103"/>
      <c r="S62" s="84"/>
      <c r="T62" s="103"/>
      <c r="U62" s="128"/>
      <c r="V62" s="74"/>
      <c r="X62" s="188"/>
      <c r="Y62" s="185"/>
    </row>
    <row r="63" spans="1:25" ht="24" customHeight="1" x14ac:dyDescent="0.2">
      <c r="A63" s="103"/>
      <c r="B63" s="103"/>
      <c r="C63" s="103"/>
      <c r="D63" s="84"/>
      <c r="E63" s="103"/>
      <c r="F63" s="103"/>
      <c r="G63" s="84"/>
      <c r="H63" s="103"/>
      <c r="I63" s="103"/>
      <c r="J63" s="84"/>
      <c r="K63" s="103"/>
      <c r="L63" s="103"/>
      <c r="M63" s="84"/>
      <c r="N63" s="103"/>
      <c r="O63" s="103"/>
      <c r="P63" s="84"/>
      <c r="Q63" s="103"/>
      <c r="R63" s="103"/>
      <c r="S63" s="84"/>
      <c r="T63" s="103"/>
      <c r="U63" s="128"/>
      <c r="V63" s="74"/>
      <c r="X63" s="188"/>
      <c r="Y63" s="185"/>
    </row>
    <row r="64" spans="1:25" ht="24" customHeight="1" x14ac:dyDescent="0.2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16"/>
      <c r="V64" s="74"/>
      <c r="X64" s="188"/>
      <c r="Y64" s="185"/>
    </row>
    <row r="65" spans="1:25" ht="24" customHeight="1" x14ac:dyDescent="0.2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16"/>
      <c r="V65" s="74"/>
      <c r="X65" s="188"/>
      <c r="Y65" s="185"/>
    </row>
    <row r="66" spans="1:25" ht="24" customHeight="1" x14ac:dyDescent="0.2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16"/>
      <c r="V66" s="74"/>
      <c r="X66" s="188"/>
      <c r="Y66" s="185"/>
    </row>
    <row r="67" spans="1:25" ht="24" customHeight="1" x14ac:dyDescent="0.2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16"/>
      <c r="V67" s="74"/>
      <c r="X67" s="188"/>
      <c r="Y67" s="185"/>
    </row>
    <row r="68" spans="1:25" ht="24" customHeight="1" x14ac:dyDescent="0.2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16"/>
      <c r="V68" s="74"/>
      <c r="X68" s="188"/>
      <c r="Y68" s="185"/>
    </row>
    <row r="69" spans="1:25" ht="24" customHeight="1" x14ac:dyDescent="0.2">
      <c r="A69" s="111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116"/>
      <c r="V69" s="74"/>
      <c r="X69" s="188"/>
      <c r="Y69" s="185"/>
    </row>
    <row r="70" spans="1:25" x14ac:dyDescent="0.2">
      <c r="A70" s="111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</row>
    <row r="71" spans="1:25" x14ac:dyDescent="0.2">
      <c r="A71" s="111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</row>
    <row r="72" spans="1:25" x14ac:dyDescent="0.2">
      <c r="A72" s="111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</row>
  </sheetData>
  <sheetProtection formatCells="0" selectLockedCells="1" selectUnlockedCells="1"/>
  <mergeCells count="79">
    <mergeCell ref="C1:E1"/>
    <mergeCell ref="C2:E2"/>
    <mergeCell ref="C3:E3"/>
    <mergeCell ref="C4:E4"/>
    <mergeCell ref="F1:H1"/>
    <mergeCell ref="F2:H2"/>
    <mergeCell ref="F3:H3"/>
    <mergeCell ref="F4:H4"/>
    <mergeCell ref="X68:Y68"/>
    <mergeCell ref="X69:Y69"/>
    <mergeCell ref="I1:K1"/>
    <mergeCell ref="I2:K2"/>
    <mergeCell ref="I3:K3"/>
    <mergeCell ref="I4:K4"/>
    <mergeCell ref="L1:N1"/>
    <mergeCell ref="L2:N2"/>
    <mergeCell ref="L3:N3"/>
    <mergeCell ref="L4:N4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48:Y48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38:Y38"/>
    <mergeCell ref="X39:Y39"/>
    <mergeCell ref="X40:Y40"/>
    <mergeCell ref="X41:Y41"/>
    <mergeCell ref="X42:Y42"/>
    <mergeCell ref="X43:Y43"/>
    <mergeCell ref="X44:Y44"/>
    <mergeCell ref="X45:Y45"/>
    <mergeCell ref="X46:Y46"/>
    <mergeCell ref="X47:Y47"/>
    <mergeCell ref="X36:Y36"/>
    <mergeCell ref="X37:Y37"/>
    <mergeCell ref="X28:Y28"/>
    <mergeCell ref="X29:Y29"/>
    <mergeCell ref="X30:Y30"/>
    <mergeCell ref="X31:Y31"/>
    <mergeCell ref="X32:Y32"/>
    <mergeCell ref="X27:Y27"/>
    <mergeCell ref="B32:T32"/>
    <mergeCell ref="X33:Y33"/>
    <mergeCell ref="X34:Y34"/>
    <mergeCell ref="X35:Y35"/>
    <mergeCell ref="X13:Y13"/>
    <mergeCell ref="X23:Y23"/>
    <mergeCell ref="X24:Y24"/>
    <mergeCell ref="X25:Y25"/>
    <mergeCell ref="X26:Y26"/>
    <mergeCell ref="A5:A6"/>
    <mergeCell ref="B5:T5"/>
    <mergeCell ref="X10:Y10"/>
    <mergeCell ref="X11:Y11"/>
    <mergeCell ref="X12:Y12"/>
    <mergeCell ref="X20:Y20"/>
    <mergeCell ref="X21:Y21"/>
    <mergeCell ref="X22:Y22"/>
    <mergeCell ref="X14:Y14"/>
    <mergeCell ref="X15:Y15"/>
    <mergeCell ref="X16:Y16"/>
    <mergeCell ref="X17:Y17"/>
    <mergeCell ref="X18:Y18"/>
    <mergeCell ref="X19:Y19"/>
  </mergeCells>
  <printOptions horizontalCentered="1" verticalCentered="1" gridLines="1"/>
  <pageMargins left="0.5" right="0.5" top="0.5" bottom="0.25" header="0" footer="0"/>
  <pageSetup scale="74" orientation="landscape" blackAndWhite="1" r:id="rId1"/>
  <headerFooter alignWithMargins="0">
    <oddHeader>&amp;LFAX-425-487-1568&amp;CTIMESHEET</oddHeader>
  </headerFooter>
  <rowBreaks count="2" manualBreakCount="2">
    <brk id="31" max="20" man="1"/>
    <brk id="63" max="20" man="1"/>
  </rowBreaks>
  <colBreaks count="1" manualBreakCount="1">
    <brk id="21" max="68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workbookViewId="0">
      <selection activeCell="I4" sqref="I4:K4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116</v>
      </c>
      <c r="D1" s="175"/>
      <c r="E1" s="175"/>
      <c r="F1" s="174" t="s">
        <v>115</v>
      </c>
      <c r="G1" s="175"/>
      <c r="H1" s="175"/>
      <c r="I1" s="189"/>
      <c r="J1" s="175"/>
      <c r="K1" s="175"/>
      <c r="L1" s="174"/>
      <c r="M1" s="175"/>
      <c r="N1" s="175"/>
      <c r="O1" s="144" t="s">
        <v>131</v>
      </c>
      <c r="P1" s="143"/>
      <c r="Q1" s="143"/>
      <c r="R1" s="143"/>
      <c r="S1" s="143"/>
      <c r="T1" s="143"/>
      <c r="U1" s="109"/>
      <c r="V1" s="112"/>
    </row>
    <row r="2" spans="1:25" ht="24" customHeight="1" x14ac:dyDescent="0.2">
      <c r="A2" s="103"/>
      <c r="B2" s="110" t="s">
        <v>129</v>
      </c>
      <c r="C2" s="175" t="s">
        <v>134</v>
      </c>
      <c r="D2" s="175"/>
      <c r="E2" s="175"/>
      <c r="F2" s="174" t="s">
        <v>133</v>
      </c>
      <c r="G2" s="176"/>
      <c r="H2" s="176"/>
      <c r="I2" s="189" t="s">
        <v>176</v>
      </c>
      <c r="J2" s="175"/>
      <c r="K2" s="175"/>
      <c r="L2" s="174" t="s">
        <v>126</v>
      </c>
      <c r="M2" s="175"/>
      <c r="N2" s="175"/>
      <c r="O2" s="110" t="s">
        <v>125</v>
      </c>
      <c r="P2" s="142"/>
      <c r="Q2" s="142"/>
      <c r="R2" s="109" t="s">
        <v>130</v>
      </c>
      <c r="S2" s="142"/>
      <c r="T2" s="142"/>
      <c r="U2" s="109"/>
      <c r="V2" s="112"/>
    </row>
    <row r="3" spans="1:25" ht="24" customHeight="1" x14ac:dyDescent="0.2">
      <c r="A3" s="103"/>
      <c r="B3" s="110" t="s">
        <v>175</v>
      </c>
      <c r="C3" s="174" t="s">
        <v>174</v>
      </c>
      <c r="D3" s="176"/>
      <c r="E3" s="176"/>
      <c r="F3" s="174" t="s">
        <v>127</v>
      </c>
      <c r="G3" s="176"/>
      <c r="H3" s="176"/>
      <c r="I3" s="189" t="s">
        <v>173</v>
      </c>
      <c r="J3" s="175"/>
      <c r="K3" s="175"/>
      <c r="L3" s="174" t="s">
        <v>119</v>
      </c>
      <c r="M3" s="175"/>
      <c r="N3" s="175"/>
      <c r="O3" s="110" t="s">
        <v>118</v>
      </c>
      <c r="P3" s="142"/>
      <c r="Q3" s="142"/>
      <c r="R3" s="109" t="s">
        <v>124</v>
      </c>
      <c r="S3" s="142"/>
      <c r="T3" s="142"/>
      <c r="U3" s="109"/>
      <c r="V3" s="111"/>
    </row>
    <row r="4" spans="1:25" ht="24" customHeight="1" thickBot="1" x14ac:dyDescent="0.25">
      <c r="A4" s="103"/>
      <c r="B4" s="110" t="s">
        <v>123</v>
      </c>
      <c r="C4" s="174" t="s">
        <v>172</v>
      </c>
      <c r="D4" s="176"/>
      <c r="E4" s="176"/>
      <c r="F4" s="174" t="s">
        <v>132</v>
      </c>
      <c r="G4" s="176"/>
      <c r="H4" s="176"/>
      <c r="I4" s="190" t="s">
        <v>178</v>
      </c>
      <c r="J4" s="177"/>
      <c r="K4" s="177"/>
      <c r="L4" s="174" t="s">
        <v>112</v>
      </c>
      <c r="M4" s="175"/>
      <c r="N4" s="175"/>
      <c r="O4" s="110" t="s">
        <v>111</v>
      </c>
      <c r="P4" s="142"/>
      <c r="Q4" s="142"/>
      <c r="R4" s="109" t="s">
        <v>117</v>
      </c>
      <c r="S4" s="142"/>
      <c r="T4" s="142"/>
      <c r="U4" s="109"/>
      <c r="V4" s="89"/>
    </row>
    <row r="5" spans="1:25" ht="24" customHeight="1" thickBot="1" x14ac:dyDescent="0.25">
      <c r="A5" s="180"/>
      <c r="B5" s="181" t="s">
        <v>171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42530</v>
      </c>
      <c r="D6" s="107"/>
      <c r="E6" s="107"/>
      <c r="F6" s="107">
        <f>C6+1</f>
        <v>42531</v>
      </c>
      <c r="G6" s="107"/>
      <c r="H6" s="107"/>
      <c r="I6" s="107">
        <f>F6+3</f>
        <v>42534</v>
      </c>
      <c r="J6" s="107"/>
      <c r="K6" s="107"/>
      <c r="L6" s="107">
        <f>I6+1</f>
        <v>42535</v>
      </c>
      <c r="M6" s="107"/>
      <c r="N6" s="107"/>
      <c r="O6" s="107">
        <f>L6+1</f>
        <v>42536</v>
      </c>
      <c r="P6" s="107"/>
      <c r="Q6" s="107"/>
      <c r="R6" s="107">
        <f>F6+1</f>
        <v>42532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/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141">
        <f>SUM(U10:U31)</f>
        <v>41</v>
      </c>
      <c r="V8" s="94"/>
      <c r="W8" s="98"/>
    </row>
    <row r="9" spans="1:25" ht="24" customHeight="1" x14ac:dyDescent="0.2">
      <c r="A9" s="103"/>
      <c r="B9" s="97" t="s">
        <v>110</v>
      </c>
      <c r="C9" s="97" t="s">
        <v>170</v>
      </c>
      <c r="D9" s="97" t="s">
        <v>169</v>
      </c>
      <c r="E9" s="97" t="s">
        <v>17</v>
      </c>
      <c r="F9" s="97" t="s">
        <v>170</v>
      </c>
      <c r="G9" s="97" t="s">
        <v>169</v>
      </c>
      <c r="H9" s="97" t="s">
        <v>17</v>
      </c>
      <c r="I9" s="97" t="s">
        <v>170</v>
      </c>
      <c r="J9" s="97" t="s">
        <v>169</v>
      </c>
      <c r="K9" s="97" t="s">
        <v>17</v>
      </c>
      <c r="L9" s="97" t="s">
        <v>170</v>
      </c>
      <c r="M9" s="97" t="s">
        <v>169</v>
      </c>
      <c r="N9" s="97" t="s">
        <v>17</v>
      </c>
      <c r="O9" s="97" t="s">
        <v>170</v>
      </c>
      <c r="P9" s="97" t="s">
        <v>169</v>
      </c>
      <c r="Q9" s="97" t="s">
        <v>17</v>
      </c>
      <c r="R9" s="97" t="s">
        <v>170</v>
      </c>
      <c r="S9" s="97" t="s">
        <v>169</v>
      </c>
      <c r="T9" s="97" t="s">
        <v>17</v>
      </c>
      <c r="U9" s="101"/>
      <c r="V9" s="100"/>
      <c r="W9" s="98"/>
    </row>
    <row r="10" spans="1:25" ht="24" customHeight="1" x14ac:dyDescent="0.2">
      <c r="A10" s="91"/>
      <c r="B10" s="81"/>
      <c r="C10" s="83"/>
      <c r="D10" s="84"/>
      <c r="E10" s="83"/>
      <c r="F10" s="83"/>
      <c r="G10" s="84"/>
      <c r="H10" s="79"/>
      <c r="I10" s="79"/>
      <c r="J10" s="84"/>
      <c r="K10" s="79"/>
      <c r="L10" s="79"/>
      <c r="M10" s="84"/>
      <c r="N10" s="79"/>
      <c r="O10" s="79"/>
      <c r="P10" s="84"/>
      <c r="Q10" s="79"/>
      <c r="R10" s="83"/>
      <c r="S10" s="84"/>
      <c r="T10" s="83"/>
      <c r="U10" s="75">
        <f t="shared" ref="U10:U16" si="0">SUM(B10,E10,H10,K10,N10,Q10,T10)</f>
        <v>0</v>
      </c>
      <c r="V10" s="94"/>
      <c r="W10" s="98"/>
      <c r="X10" s="184"/>
      <c r="Y10" s="185"/>
    </row>
    <row r="11" spans="1:25" ht="24" customHeight="1" x14ac:dyDescent="0.2">
      <c r="A11" s="91"/>
      <c r="B11" s="95"/>
      <c r="C11" s="83"/>
      <c r="D11" s="84"/>
      <c r="E11" s="83"/>
      <c r="F11" s="83"/>
      <c r="G11" s="84"/>
      <c r="H11" s="83"/>
      <c r="I11" s="83"/>
      <c r="J11" s="84"/>
      <c r="K11" s="79"/>
      <c r="L11" s="83"/>
      <c r="M11" s="84"/>
      <c r="N11" s="79"/>
      <c r="O11" s="83"/>
      <c r="P11" s="84"/>
      <c r="Q11" s="83"/>
      <c r="R11" s="83"/>
      <c r="S11" s="84"/>
      <c r="T11" s="83"/>
      <c r="U11" s="75">
        <f t="shared" si="0"/>
        <v>0</v>
      </c>
      <c r="V11" s="94"/>
      <c r="W11" s="98"/>
      <c r="X11" s="184"/>
      <c r="Y11" s="185"/>
    </row>
    <row r="12" spans="1:25" ht="24" customHeight="1" x14ac:dyDescent="0.2">
      <c r="A12" s="91"/>
      <c r="B12" s="81"/>
      <c r="C12" s="83"/>
      <c r="D12" s="84"/>
      <c r="E12" s="83"/>
      <c r="F12" s="83"/>
      <c r="G12" s="84"/>
      <c r="H12" s="79"/>
      <c r="I12" s="79"/>
      <c r="J12" s="84"/>
      <c r="K12" s="79"/>
      <c r="L12" s="79"/>
      <c r="M12" s="84"/>
      <c r="N12" s="79"/>
      <c r="O12" s="79"/>
      <c r="P12" s="84"/>
      <c r="Q12" s="79"/>
      <c r="R12" s="83"/>
      <c r="S12" s="84"/>
      <c r="T12" s="83"/>
      <c r="U12" s="75">
        <f t="shared" si="0"/>
        <v>0</v>
      </c>
      <c r="V12" s="94"/>
      <c r="W12" s="98"/>
      <c r="X12" s="184"/>
      <c r="Y12" s="185"/>
    </row>
    <row r="13" spans="1:25" ht="24" customHeight="1" x14ac:dyDescent="0.2">
      <c r="A13" s="91"/>
      <c r="B13" s="81"/>
      <c r="C13" s="83"/>
      <c r="D13" s="84"/>
      <c r="E13" s="83"/>
      <c r="F13" s="79"/>
      <c r="G13" s="84"/>
      <c r="H13" s="79"/>
      <c r="I13" s="79"/>
      <c r="J13" s="84"/>
      <c r="K13" s="79"/>
      <c r="L13" s="79"/>
      <c r="M13" s="84"/>
      <c r="N13" s="79"/>
      <c r="O13" s="79"/>
      <c r="P13" s="84"/>
      <c r="Q13" s="79"/>
      <c r="R13" s="83"/>
      <c r="S13" s="84"/>
      <c r="T13" s="83"/>
      <c r="U13" s="75">
        <f t="shared" si="0"/>
        <v>0</v>
      </c>
      <c r="V13" s="94"/>
      <c r="W13" s="98"/>
      <c r="X13" s="184"/>
      <c r="Y13" s="185"/>
    </row>
    <row r="14" spans="1:25" ht="24" customHeight="1" x14ac:dyDescent="0.2">
      <c r="A14" s="91">
        <v>1</v>
      </c>
      <c r="B14" s="81" t="s">
        <v>168</v>
      </c>
      <c r="C14" s="138" t="s">
        <v>167</v>
      </c>
      <c r="D14" s="84">
        <v>800</v>
      </c>
      <c r="E14" s="83">
        <v>6</v>
      </c>
      <c r="F14" s="138" t="s">
        <v>167</v>
      </c>
      <c r="G14" s="84">
        <v>800</v>
      </c>
      <c r="H14" s="83">
        <v>5</v>
      </c>
      <c r="I14" s="138" t="s">
        <v>167</v>
      </c>
      <c r="J14" s="84">
        <v>800</v>
      </c>
      <c r="K14" s="83">
        <v>6</v>
      </c>
      <c r="L14" s="138" t="s">
        <v>167</v>
      </c>
      <c r="M14" s="84">
        <v>800</v>
      </c>
      <c r="N14" s="83">
        <v>2</v>
      </c>
      <c r="O14" s="138" t="s">
        <v>167</v>
      </c>
      <c r="P14" s="84">
        <v>800</v>
      </c>
      <c r="Q14" s="83">
        <v>4</v>
      </c>
      <c r="R14" s="83"/>
      <c r="S14" s="84"/>
      <c r="T14" s="83"/>
      <c r="U14" s="75">
        <f t="shared" si="0"/>
        <v>23</v>
      </c>
      <c r="V14" s="94"/>
      <c r="W14" s="98"/>
      <c r="X14" s="184"/>
      <c r="Y14" s="185"/>
    </row>
    <row r="15" spans="1:25" ht="24" customHeight="1" x14ac:dyDescent="0.2">
      <c r="A15" s="91"/>
      <c r="B15" s="81"/>
      <c r="C15" s="138">
        <v>2019</v>
      </c>
      <c r="D15" s="84">
        <v>101</v>
      </c>
      <c r="E15" s="79">
        <v>1</v>
      </c>
      <c r="F15" s="83">
        <v>2023</v>
      </c>
      <c r="G15" s="84">
        <v>151</v>
      </c>
      <c r="H15" s="83">
        <v>3</v>
      </c>
      <c r="I15" s="139">
        <v>2028</v>
      </c>
      <c r="J15" s="84">
        <v>101</v>
      </c>
      <c r="K15" s="79">
        <v>1</v>
      </c>
      <c r="L15" s="83">
        <v>2024</v>
      </c>
      <c r="M15" s="84">
        <v>101</v>
      </c>
      <c r="N15" s="79">
        <v>1</v>
      </c>
      <c r="O15" s="83">
        <v>2023</v>
      </c>
      <c r="P15" s="84">
        <v>151</v>
      </c>
      <c r="Q15" s="79">
        <v>2</v>
      </c>
      <c r="R15" s="140"/>
      <c r="S15" s="84"/>
      <c r="T15" s="83"/>
      <c r="U15" s="75">
        <f t="shared" si="0"/>
        <v>8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138">
        <v>2024</v>
      </c>
      <c r="D16" s="84">
        <v>101</v>
      </c>
      <c r="E16" s="83">
        <v>1</v>
      </c>
      <c r="F16" s="138"/>
      <c r="G16" s="84"/>
      <c r="H16" s="79"/>
      <c r="I16" s="139">
        <v>2021</v>
      </c>
      <c r="J16" s="84">
        <v>101</v>
      </c>
      <c r="K16" s="79">
        <v>1</v>
      </c>
      <c r="L16" s="139">
        <v>2023</v>
      </c>
      <c r="M16" s="84">
        <v>101</v>
      </c>
      <c r="N16" s="79">
        <v>1</v>
      </c>
      <c r="O16" s="139">
        <v>2023</v>
      </c>
      <c r="P16" s="84">
        <v>100</v>
      </c>
      <c r="Q16" s="79">
        <v>2</v>
      </c>
      <c r="R16" s="83"/>
      <c r="S16" s="84"/>
      <c r="T16" s="83"/>
      <c r="U16" s="75">
        <f t="shared" si="0"/>
        <v>5</v>
      </c>
      <c r="V16" s="94"/>
      <c r="W16" s="98"/>
      <c r="X16" s="184"/>
      <c r="Y16" s="185"/>
    </row>
    <row r="17" spans="1:25" ht="24" customHeight="1" x14ac:dyDescent="0.2">
      <c r="A17" s="91"/>
      <c r="B17" s="91"/>
      <c r="C17" s="138"/>
      <c r="D17" s="84"/>
      <c r="E17" s="79"/>
      <c r="F17" s="138"/>
      <c r="G17" s="84"/>
      <c r="H17" s="83"/>
      <c r="I17" s="139"/>
      <c r="J17" s="84"/>
      <c r="K17" s="79"/>
      <c r="L17" s="139">
        <v>2023</v>
      </c>
      <c r="M17" s="84">
        <v>100</v>
      </c>
      <c r="N17" s="79">
        <v>3</v>
      </c>
      <c r="O17" s="139"/>
      <c r="P17" s="84"/>
      <c r="Q17" s="79"/>
      <c r="R17" s="83"/>
      <c r="S17" s="84"/>
      <c r="T17" s="83"/>
      <c r="U17" s="75">
        <f>SUM(B17,E16,H17,K17,N17,Q17,T17)</f>
        <v>4</v>
      </c>
      <c r="V17" s="94"/>
      <c r="W17" s="98"/>
      <c r="X17" s="184"/>
      <c r="Y17" s="185"/>
    </row>
    <row r="18" spans="1:25" ht="24" customHeight="1" x14ac:dyDescent="0.2">
      <c r="A18" s="91"/>
      <c r="B18" s="91"/>
      <c r="C18" s="138"/>
      <c r="D18" s="84"/>
      <c r="E18" s="83"/>
      <c r="F18" s="138"/>
      <c r="G18" s="84"/>
      <c r="H18" s="83"/>
      <c r="I18" s="139"/>
      <c r="J18" s="84"/>
      <c r="K18" s="79"/>
      <c r="L18" s="139">
        <v>2019</v>
      </c>
      <c r="M18" s="84">
        <v>101</v>
      </c>
      <c r="N18" s="79">
        <v>1</v>
      </c>
      <c r="O18" s="139"/>
      <c r="P18" s="84"/>
      <c r="Q18" s="79"/>
      <c r="R18" s="83"/>
      <c r="S18" s="84"/>
      <c r="T18" s="83"/>
      <c r="U18" s="75">
        <f t="shared" ref="U18:U31" si="1">SUM(B18,E18,H18,K18,N18,Q18,T18)</f>
        <v>1</v>
      </c>
      <c r="V18" s="94"/>
      <c r="W18" s="98"/>
      <c r="X18" s="184"/>
      <c r="Y18" s="185"/>
    </row>
    <row r="19" spans="1:25" ht="24" customHeight="1" x14ac:dyDescent="0.2">
      <c r="A19" s="91"/>
      <c r="B19" s="81"/>
      <c r="C19" s="138"/>
      <c r="D19" s="84"/>
      <c r="E19" s="83"/>
      <c r="F19" s="138"/>
      <c r="G19" s="84"/>
      <c r="H19" s="83"/>
      <c r="I19" s="83"/>
      <c r="J19" s="84"/>
      <c r="K19" s="79"/>
      <c r="L19" s="139"/>
      <c r="M19" s="84"/>
      <c r="N19" s="79"/>
      <c r="O19" s="79"/>
      <c r="P19" s="84"/>
      <c r="Q19" s="79"/>
      <c r="R19" s="83"/>
      <c r="S19" s="84"/>
      <c r="T19" s="83"/>
      <c r="U19" s="75">
        <f t="shared" si="1"/>
        <v>0</v>
      </c>
      <c r="V19" s="94"/>
      <c r="W19" s="98"/>
      <c r="X19" s="184"/>
      <c r="Y19" s="185"/>
    </row>
    <row r="20" spans="1:25" ht="24" customHeight="1" x14ac:dyDescent="0.2">
      <c r="A20" s="91"/>
      <c r="B20" s="81"/>
      <c r="C20" s="138"/>
      <c r="D20" s="84"/>
      <c r="E20" s="83"/>
      <c r="F20" s="79"/>
      <c r="G20" s="84"/>
      <c r="H20" s="79"/>
      <c r="I20" s="83"/>
      <c r="J20" s="84"/>
      <c r="K20" s="79"/>
      <c r="L20" s="83"/>
      <c r="M20" s="84"/>
      <c r="N20" s="83"/>
      <c r="O20" s="79"/>
      <c r="P20" s="84"/>
      <c r="Q20" s="79"/>
      <c r="R20" s="83"/>
      <c r="S20" s="84"/>
      <c r="T20" s="83"/>
      <c r="U20" s="75">
        <f t="shared" si="1"/>
        <v>0</v>
      </c>
      <c r="V20" s="94"/>
      <c r="W20" s="98"/>
      <c r="X20" s="184"/>
      <c r="Y20" s="185"/>
    </row>
    <row r="21" spans="1:25" ht="24" customHeight="1" x14ac:dyDescent="0.2">
      <c r="A21" s="91"/>
      <c r="B21" s="81"/>
      <c r="C21" s="79"/>
      <c r="D21" s="84"/>
      <c r="E21" s="79"/>
      <c r="F21" s="83"/>
      <c r="G21" s="136"/>
      <c r="H21" s="79"/>
      <c r="I21" s="83"/>
      <c r="J21" s="84"/>
      <c r="K21" s="79"/>
      <c r="L21" s="137"/>
      <c r="M21" s="136"/>
      <c r="N21" s="137"/>
      <c r="O21" s="83"/>
      <c r="P21" s="84"/>
      <c r="Q21" s="79"/>
      <c r="R21" s="83"/>
      <c r="S21" s="136"/>
      <c r="T21" s="83"/>
      <c r="U21" s="75">
        <f t="shared" si="1"/>
        <v>0</v>
      </c>
      <c r="V21" s="94"/>
      <c r="W21" s="98"/>
      <c r="X21" s="184"/>
      <c r="Y21" s="185"/>
    </row>
    <row r="22" spans="1:25" ht="24" customHeight="1" x14ac:dyDescent="0.2">
      <c r="A22" s="91"/>
      <c r="B22" s="81"/>
      <c r="C22" s="83"/>
      <c r="D22" s="84"/>
      <c r="E22" s="79"/>
      <c r="F22" s="79"/>
      <c r="G22" s="84"/>
      <c r="H22" s="79"/>
      <c r="I22" s="79"/>
      <c r="J22" s="84"/>
      <c r="K22" s="79"/>
      <c r="L22" s="79"/>
      <c r="M22" s="84"/>
      <c r="N22" s="79"/>
      <c r="O22" s="79"/>
      <c r="P22" s="84"/>
      <c r="Q22" s="79"/>
      <c r="R22" s="83"/>
      <c r="S22" s="84"/>
      <c r="T22" s="83"/>
      <c r="U22" s="75">
        <f t="shared" si="1"/>
        <v>0</v>
      </c>
      <c r="V22" s="89"/>
      <c r="W22" s="98"/>
      <c r="X22" s="184"/>
      <c r="Y22" s="185"/>
    </row>
    <row r="23" spans="1:25" ht="24" customHeight="1" x14ac:dyDescent="0.2">
      <c r="A23" s="91"/>
      <c r="B23" s="81"/>
      <c r="C23" s="79"/>
      <c r="D23" s="84"/>
      <c r="E23" s="79"/>
      <c r="F23" s="79"/>
      <c r="G23" s="84"/>
      <c r="H23" s="79"/>
      <c r="I23" s="79"/>
      <c r="J23" s="84"/>
      <c r="K23" s="79"/>
      <c r="L23" s="79"/>
      <c r="M23" s="84"/>
      <c r="N23" s="79"/>
      <c r="O23" s="79"/>
      <c r="P23" s="84"/>
      <c r="Q23" s="79"/>
      <c r="R23" s="83"/>
      <c r="S23" s="84"/>
      <c r="T23" s="83"/>
      <c r="U23" s="75">
        <f t="shared" si="1"/>
        <v>0</v>
      </c>
      <c r="V23" s="89"/>
      <c r="W23" s="98"/>
      <c r="X23" s="184"/>
      <c r="Y23" s="185"/>
    </row>
    <row r="24" spans="1:25" ht="24" customHeight="1" x14ac:dyDescent="0.2">
      <c r="A24" s="91"/>
      <c r="B24" s="81"/>
      <c r="C24" s="83"/>
      <c r="D24" s="80"/>
      <c r="E24" s="79"/>
      <c r="F24" s="79"/>
      <c r="G24" s="80"/>
      <c r="H24" s="79"/>
      <c r="I24" s="79"/>
      <c r="J24" s="80"/>
      <c r="K24" s="79"/>
      <c r="L24" s="79"/>
      <c r="M24" s="80"/>
      <c r="N24" s="79"/>
      <c r="O24" s="79"/>
      <c r="P24" s="80"/>
      <c r="Q24" s="79"/>
      <c r="R24" s="83"/>
      <c r="S24" s="80"/>
      <c r="T24" s="83"/>
      <c r="U24" s="75">
        <f t="shared" si="1"/>
        <v>0</v>
      </c>
      <c r="V24" s="94"/>
      <c r="W24" s="98"/>
      <c r="X24" s="184"/>
      <c r="Y24" s="185"/>
    </row>
    <row r="25" spans="1:25" ht="24" customHeight="1" x14ac:dyDescent="0.2">
      <c r="A25" s="91"/>
      <c r="B25" s="81"/>
      <c r="C25" s="83"/>
      <c r="D25" s="80"/>
      <c r="E25" s="79"/>
      <c r="F25" s="79"/>
      <c r="G25" s="80"/>
      <c r="H25" s="79"/>
      <c r="I25" s="79"/>
      <c r="J25" s="80"/>
      <c r="K25" s="79"/>
      <c r="L25" s="79"/>
      <c r="M25" s="80"/>
      <c r="N25" s="79"/>
      <c r="O25" s="79"/>
      <c r="P25" s="80"/>
      <c r="Q25" s="79"/>
      <c r="R25" s="83"/>
      <c r="S25" s="80"/>
      <c r="T25" s="83"/>
      <c r="U25" s="75">
        <f t="shared" si="1"/>
        <v>0</v>
      </c>
      <c r="V25" s="94"/>
      <c r="W25" s="98"/>
      <c r="X25" s="184"/>
      <c r="Y25" s="185"/>
    </row>
    <row r="26" spans="1:25" ht="24" customHeight="1" x14ac:dyDescent="0.2">
      <c r="A26" s="91"/>
      <c r="B26" s="81"/>
      <c r="C26" s="83"/>
      <c r="D26" s="84"/>
      <c r="E26" s="83"/>
      <c r="F26" s="83"/>
      <c r="G26" s="84"/>
      <c r="H26" s="79"/>
      <c r="I26" s="79"/>
      <c r="J26" s="84"/>
      <c r="K26" s="79"/>
      <c r="L26" s="79"/>
      <c r="M26" s="84"/>
      <c r="N26" s="79"/>
      <c r="O26" s="79"/>
      <c r="P26" s="84"/>
      <c r="Q26" s="79"/>
      <c r="R26" s="83"/>
      <c r="S26" s="84"/>
      <c r="T26" s="83"/>
      <c r="U26" s="75">
        <f t="shared" si="1"/>
        <v>0</v>
      </c>
      <c r="V26" s="94"/>
      <c r="W26" s="98"/>
      <c r="X26" s="188"/>
      <c r="Y26" s="185"/>
    </row>
    <row r="27" spans="1:25" ht="24" customHeight="1" x14ac:dyDescent="0.2">
      <c r="A27" s="91"/>
      <c r="B27" s="95"/>
      <c r="C27" s="83"/>
      <c r="D27" s="84"/>
      <c r="E27" s="83"/>
      <c r="F27" s="83"/>
      <c r="G27" s="84"/>
      <c r="H27" s="83"/>
      <c r="I27" s="83"/>
      <c r="J27" s="84"/>
      <c r="K27" s="79"/>
      <c r="L27" s="83"/>
      <c r="M27" s="84"/>
      <c r="N27" s="79"/>
      <c r="O27" s="83"/>
      <c r="P27" s="84"/>
      <c r="Q27" s="83"/>
      <c r="R27" s="83"/>
      <c r="S27" s="84"/>
      <c r="T27" s="83"/>
      <c r="U27" s="75">
        <f t="shared" si="1"/>
        <v>0</v>
      </c>
      <c r="V27" s="94"/>
      <c r="W27" s="98"/>
      <c r="X27" s="188"/>
      <c r="Y27" s="185"/>
    </row>
    <row r="28" spans="1:25" ht="24" customHeight="1" x14ac:dyDescent="0.2">
      <c r="A28" s="91"/>
      <c r="B28" s="81"/>
      <c r="C28" s="83"/>
      <c r="D28" s="84"/>
      <c r="E28" s="83"/>
      <c r="F28" s="83"/>
      <c r="G28" s="84"/>
      <c r="H28" s="79"/>
      <c r="I28" s="79"/>
      <c r="J28" s="84"/>
      <c r="K28" s="79"/>
      <c r="L28" s="79"/>
      <c r="M28" s="84"/>
      <c r="N28" s="79"/>
      <c r="O28" s="79"/>
      <c r="P28" s="84"/>
      <c r="Q28" s="79"/>
      <c r="R28" s="83"/>
      <c r="S28" s="84"/>
      <c r="T28" s="83"/>
      <c r="U28" s="75">
        <f t="shared" si="1"/>
        <v>0</v>
      </c>
      <c r="V28" s="94"/>
      <c r="W28" s="98"/>
      <c r="X28" s="188"/>
      <c r="Y28" s="185"/>
    </row>
    <row r="29" spans="1:25" ht="24" customHeight="1" x14ac:dyDescent="0.2">
      <c r="A29" s="91"/>
      <c r="B29" s="81"/>
      <c r="C29" s="83"/>
      <c r="D29" s="84"/>
      <c r="E29" s="83"/>
      <c r="F29" s="79"/>
      <c r="G29" s="84"/>
      <c r="H29" s="79"/>
      <c r="I29" s="79"/>
      <c r="J29" s="84"/>
      <c r="K29" s="79"/>
      <c r="L29" s="79"/>
      <c r="M29" s="84"/>
      <c r="N29" s="79"/>
      <c r="O29" s="79"/>
      <c r="P29" s="84"/>
      <c r="Q29" s="79"/>
      <c r="R29" s="83"/>
      <c r="S29" s="84"/>
      <c r="T29" s="83"/>
      <c r="U29" s="75">
        <f t="shared" si="1"/>
        <v>0</v>
      </c>
      <c r="V29" s="94"/>
      <c r="W29" s="98"/>
      <c r="X29" s="188"/>
      <c r="Y29" s="185"/>
    </row>
    <row r="30" spans="1:25" ht="24" customHeight="1" x14ac:dyDescent="0.2">
      <c r="A30" s="91"/>
      <c r="B30" s="81"/>
      <c r="C30" s="83"/>
      <c r="D30" s="84"/>
      <c r="E30" s="83"/>
      <c r="F30" s="79"/>
      <c r="G30" s="84"/>
      <c r="H30" s="79"/>
      <c r="I30" s="79"/>
      <c r="J30" s="84"/>
      <c r="K30" s="79"/>
      <c r="L30" s="79"/>
      <c r="M30" s="84"/>
      <c r="N30" s="79"/>
      <c r="O30" s="79"/>
      <c r="P30" s="84"/>
      <c r="Q30" s="79"/>
      <c r="R30" s="83"/>
      <c r="S30" s="84"/>
      <c r="T30" s="83"/>
      <c r="U30" s="75">
        <f t="shared" si="1"/>
        <v>0</v>
      </c>
      <c r="V30" s="94"/>
      <c r="W30" s="98"/>
      <c r="X30" s="188"/>
      <c r="Y30" s="185"/>
    </row>
    <row r="31" spans="1:25" ht="24" customHeight="1" thickBot="1" x14ac:dyDescent="0.25">
      <c r="A31" s="91"/>
      <c r="B31" s="81"/>
      <c r="C31" s="83"/>
      <c r="D31" s="80"/>
      <c r="E31" s="79"/>
      <c r="F31" s="83"/>
      <c r="G31" s="80"/>
      <c r="H31" s="79"/>
      <c r="I31" s="134"/>
      <c r="J31" s="80"/>
      <c r="K31" s="79"/>
      <c r="L31" s="79"/>
      <c r="M31" s="80"/>
      <c r="N31" s="79"/>
      <c r="O31" s="79"/>
      <c r="P31" s="80"/>
      <c r="Q31" s="79"/>
      <c r="R31" s="83"/>
      <c r="S31" s="80"/>
      <c r="T31" s="83"/>
      <c r="U31" s="75">
        <f t="shared" si="1"/>
        <v>0</v>
      </c>
      <c r="V31" s="94"/>
      <c r="W31" s="98"/>
      <c r="X31" s="188"/>
      <c r="Y31" s="185"/>
    </row>
    <row r="32" spans="1:25" ht="24" customHeight="1" thickTop="1" x14ac:dyDescent="0.2">
      <c r="A32" s="91"/>
      <c r="B32" s="191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28"/>
      <c r="V32" s="94"/>
      <c r="W32" s="98"/>
      <c r="X32" s="188"/>
      <c r="Y32" s="185"/>
    </row>
    <row r="33" spans="1:25" ht="24" customHeight="1" x14ac:dyDescent="0.2">
      <c r="A33" s="91"/>
      <c r="B33" s="91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28"/>
      <c r="V33" s="94"/>
      <c r="W33" s="98"/>
      <c r="X33" s="188"/>
      <c r="Y33" s="185"/>
    </row>
    <row r="34" spans="1:25" ht="24" customHeight="1" x14ac:dyDescent="0.2">
      <c r="A34" s="91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128"/>
      <c r="V34" s="89"/>
      <c r="W34" s="98"/>
      <c r="X34" s="188"/>
      <c r="Y34" s="185"/>
    </row>
    <row r="35" spans="1:25" ht="24" customHeight="1" x14ac:dyDescent="0.2">
      <c r="A35" s="91"/>
      <c r="B35" s="132"/>
      <c r="C35" s="83"/>
      <c r="D35" s="84"/>
      <c r="E35" s="83"/>
      <c r="F35" s="79"/>
      <c r="G35" s="80"/>
      <c r="H35" s="79"/>
      <c r="I35" s="79"/>
      <c r="J35" s="80"/>
      <c r="K35" s="79"/>
      <c r="L35" s="79"/>
      <c r="M35" s="80"/>
      <c r="N35" s="79"/>
      <c r="O35" s="79"/>
      <c r="P35" s="80"/>
      <c r="Q35" s="79"/>
      <c r="R35" s="83"/>
      <c r="S35" s="84"/>
      <c r="T35" s="83"/>
      <c r="U35" s="128"/>
      <c r="V35" s="94"/>
      <c r="W35" s="98"/>
      <c r="X35" s="188"/>
      <c r="Y35" s="185"/>
    </row>
    <row r="36" spans="1:25" ht="24" customHeight="1" x14ac:dyDescent="0.2">
      <c r="A36" s="91"/>
      <c r="B36" s="91"/>
      <c r="C36" s="83"/>
      <c r="D36" s="84"/>
      <c r="E36" s="83"/>
      <c r="F36" s="79"/>
      <c r="G36" s="80"/>
      <c r="H36" s="79"/>
      <c r="I36" s="83"/>
      <c r="J36" s="84"/>
      <c r="K36" s="79"/>
      <c r="L36" s="79"/>
      <c r="M36" s="80"/>
      <c r="N36" s="79"/>
      <c r="O36" s="79"/>
      <c r="P36" s="80"/>
      <c r="Q36" s="79"/>
      <c r="R36" s="83"/>
      <c r="S36" s="84"/>
      <c r="T36" s="83"/>
      <c r="U36" s="128"/>
      <c r="V36" s="94"/>
      <c r="W36" s="98"/>
      <c r="X36" s="188"/>
      <c r="Y36" s="185"/>
    </row>
    <row r="37" spans="1:25" ht="24" customHeight="1" x14ac:dyDescent="0.2">
      <c r="A37" s="91"/>
      <c r="B37" s="91"/>
      <c r="C37" s="79"/>
      <c r="D37" s="80"/>
      <c r="E37" s="79"/>
      <c r="F37" s="83"/>
      <c r="G37" s="80"/>
      <c r="H37" s="79"/>
      <c r="I37" s="83"/>
      <c r="J37" s="80"/>
      <c r="K37" s="79"/>
      <c r="L37" s="83"/>
      <c r="M37" s="80"/>
      <c r="N37" s="79"/>
      <c r="O37" s="83"/>
      <c r="P37" s="80"/>
      <c r="Q37" s="79"/>
      <c r="R37" s="83"/>
      <c r="S37" s="84"/>
      <c r="T37" s="83"/>
      <c r="U37" s="128"/>
      <c r="V37" s="94"/>
      <c r="W37" s="98"/>
      <c r="X37" s="188"/>
      <c r="Y37" s="185"/>
    </row>
    <row r="38" spans="1:25" ht="24" customHeight="1" x14ac:dyDescent="0.2">
      <c r="A38" s="91"/>
      <c r="B38" s="132"/>
      <c r="C38" s="83"/>
      <c r="D38" s="80"/>
      <c r="E38" s="79"/>
      <c r="F38" s="79"/>
      <c r="G38" s="80"/>
      <c r="H38" s="79"/>
      <c r="I38" s="79"/>
      <c r="J38" s="80"/>
      <c r="K38" s="79"/>
      <c r="L38" s="79"/>
      <c r="M38" s="80"/>
      <c r="N38" s="79"/>
      <c r="O38" s="79"/>
      <c r="P38" s="80"/>
      <c r="Q38" s="79"/>
      <c r="R38" s="83"/>
      <c r="S38" s="84"/>
      <c r="T38" s="83"/>
      <c r="U38" s="128"/>
      <c r="V38" s="89"/>
      <c r="W38" s="98"/>
      <c r="X38" s="188"/>
      <c r="Y38" s="185"/>
    </row>
    <row r="39" spans="1:25" ht="24" customHeight="1" x14ac:dyDescent="0.2">
      <c r="A39" s="91"/>
      <c r="B39" s="132"/>
      <c r="C39" s="83"/>
      <c r="D39" s="84"/>
      <c r="E39" s="83"/>
      <c r="F39" s="83"/>
      <c r="G39" s="80"/>
      <c r="H39" s="79"/>
      <c r="I39" s="79"/>
      <c r="J39" s="80"/>
      <c r="K39" s="79"/>
      <c r="L39" s="79"/>
      <c r="M39" s="80"/>
      <c r="N39" s="79"/>
      <c r="O39" s="79"/>
      <c r="P39" s="80"/>
      <c r="Q39" s="79"/>
      <c r="R39" s="83"/>
      <c r="S39" s="84"/>
      <c r="T39" s="83"/>
      <c r="U39" s="128"/>
      <c r="V39" s="94"/>
      <c r="W39" s="98"/>
      <c r="X39" s="188"/>
      <c r="Y39" s="185"/>
    </row>
    <row r="40" spans="1:25" ht="24" customHeight="1" x14ac:dyDescent="0.2">
      <c r="A40" s="91"/>
      <c r="B40" s="91"/>
      <c r="C40" s="83"/>
      <c r="D40" s="84"/>
      <c r="E40" s="83"/>
      <c r="F40" s="83"/>
      <c r="G40" s="84"/>
      <c r="H40" s="83"/>
      <c r="I40" s="83"/>
      <c r="J40" s="80"/>
      <c r="K40" s="79"/>
      <c r="L40" s="83"/>
      <c r="M40" s="80"/>
      <c r="N40" s="79"/>
      <c r="O40" s="83"/>
      <c r="P40" s="84"/>
      <c r="Q40" s="83"/>
      <c r="R40" s="83"/>
      <c r="S40" s="84"/>
      <c r="T40" s="83"/>
      <c r="U40" s="128"/>
      <c r="V40" s="94"/>
      <c r="W40" s="98"/>
      <c r="X40" s="188"/>
      <c r="Y40" s="185"/>
    </row>
    <row r="41" spans="1:25" ht="24" customHeight="1" x14ac:dyDescent="0.2">
      <c r="A41" s="91"/>
      <c r="B41" s="91"/>
      <c r="C41" s="83"/>
      <c r="D41" s="84"/>
      <c r="E41" s="83"/>
      <c r="F41" s="83"/>
      <c r="G41" s="80"/>
      <c r="H41" s="79"/>
      <c r="I41" s="79"/>
      <c r="J41" s="80"/>
      <c r="K41" s="79"/>
      <c r="L41" s="79"/>
      <c r="M41" s="80"/>
      <c r="N41" s="79"/>
      <c r="O41" s="79"/>
      <c r="P41" s="80"/>
      <c r="Q41" s="79"/>
      <c r="R41" s="83"/>
      <c r="S41" s="84"/>
      <c r="T41" s="83"/>
      <c r="U41" s="128"/>
      <c r="V41" s="94"/>
      <c r="W41" s="98"/>
      <c r="X41" s="188"/>
      <c r="Y41" s="185"/>
    </row>
    <row r="42" spans="1:25" ht="24" customHeight="1" x14ac:dyDescent="0.2">
      <c r="A42" s="91"/>
      <c r="B42" s="91"/>
      <c r="C42" s="83"/>
      <c r="D42" s="84"/>
      <c r="E42" s="83"/>
      <c r="F42" s="79"/>
      <c r="G42" s="80"/>
      <c r="H42" s="79"/>
      <c r="I42" s="79"/>
      <c r="J42" s="80"/>
      <c r="K42" s="79"/>
      <c r="L42" s="79"/>
      <c r="M42" s="80"/>
      <c r="N42" s="79"/>
      <c r="O42" s="79"/>
      <c r="P42" s="80"/>
      <c r="Q42" s="79"/>
      <c r="R42" s="83"/>
      <c r="S42" s="84"/>
      <c r="T42" s="83"/>
      <c r="U42" s="128"/>
      <c r="V42" s="89"/>
      <c r="W42" s="98"/>
      <c r="X42" s="188"/>
      <c r="Y42" s="185"/>
    </row>
    <row r="43" spans="1:25" ht="24" customHeight="1" x14ac:dyDescent="0.2">
      <c r="A43" s="91"/>
      <c r="B43" s="103"/>
      <c r="C43" s="83"/>
      <c r="D43" s="84"/>
      <c r="E43" s="83"/>
      <c r="F43" s="103"/>
      <c r="G43" s="84"/>
      <c r="H43" s="103"/>
      <c r="I43" s="134"/>
      <c r="J43" s="84"/>
      <c r="K43" s="103"/>
      <c r="L43" s="79"/>
      <c r="M43" s="80"/>
      <c r="N43" s="79"/>
      <c r="O43" s="79"/>
      <c r="P43" s="80"/>
      <c r="Q43" s="79"/>
      <c r="R43" s="83"/>
      <c r="S43" s="84"/>
      <c r="T43" s="83"/>
      <c r="U43" s="128"/>
      <c r="V43" s="89"/>
      <c r="W43" s="98"/>
      <c r="X43" s="188"/>
      <c r="Y43" s="185"/>
    </row>
    <row r="44" spans="1:25" ht="24" customHeight="1" x14ac:dyDescent="0.2">
      <c r="A44" s="91"/>
      <c r="B44" s="91"/>
      <c r="C44" s="83"/>
      <c r="D44" s="84"/>
      <c r="E44" s="79"/>
      <c r="F44" s="83"/>
      <c r="G44" s="80"/>
      <c r="H44" s="79"/>
      <c r="I44" s="79"/>
      <c r="J44" s="80"/>
      <c r="K44" s="79"/>
      <c r="L44" s="79"/>
      <c r="M44" s="80"/>
      <c r="N44" s="79"/>
      <c r="O44" s="79"/>
      <c r="P44" s="80"/>
      <c r="Q44" s="79"/>
      <c r="R44" s="83"/>
      <c r="S44" s="80"/>
      <c r="T44" s="83"/>
      <c r="U44" s="128"/>
      <c r="V44" s="89"/>
      <c r="W44" s="98"/>
      <c r="X44" s="188"/>
      <c r="Y44" s="185"/>
    </row>
    <row r="45" spans="1:25" ht="24" customHeight="1" x14ac:dyDescent="0.2">
      <c r="A45" s="91"/>
      <c r="B45" s="91"/>
      <c r="C45" s="83"/>
      <c r="D45" s="84"/>
      <c r="E45" s="79"/>
      <c r="F45" s="79"/>
      <c r="G45" s="80"/>
      <c r="H45" s="79"/>
      <c r="I45" s="79"/>
      <c r="J45" s="80"/>
      <c r="K45" s="79"/>
      <c r="L45" s="79"/>
      <c r="M45" s="80"/>
      <c r="N45" s="79"/>
      <c r="O45" s="79"/>
      <c r="P45" s="80"/>
      <c r="Q45" s="79"/>
      <c r="R45" s="133"/>
      <c r="S45" s="93"/>
      <c r="T45" s="83"/>
      <c r="U45" s="128"/>
      <c r="V45" s="89"/>
      <c r="W45" s="98"/>
      <c r="X45" s="188"/>
      <c r="Y45" s="185"/>
    </row>
    <row r="46" spans="1:25" ht="24" customHeight="1" x14ac:dyDescent="0.2">
      <c r="A46" s="91"/>
      <c r="B46" s="91"/>
      <c r="C46" s="83"/>
      <c r="D46" s="84"/>
      <c r="E46" s="83"/>
      <c r="F46" s="83"/>
      <c r="G46" s="84"/>
      <c r="H46" s="83"/>
      <c r="I46" s="83"/>
      <c r="J46" s="84"/>
      <c r="K46" s="83"/>
      <c r="L46" s="83"/>
      <c r="M46" s="84"/>
      <c r="N46" s="79"/>
      <c r="O46" s="83"/>
      <c r="P46" s="84"/>
      <c r="Q46" s="83"/>
      <c r="R46" s="83"/>
      <c r="S46" s="84"/>
      <c r="T46" s="83"/>
      <c r="U46" s="128"/>
      <c r="V46" s="89"/>
      <c r="W46" s="98"/>
      <c r="X46" s="188"/>
      <c r="Y46" s="185"/>
    </row>
    <row r="47" spans="1:25" ht="24" customHeight="1" x14ac:dyDescent="0.2">
      <c r="A47" s="91"/>
      <c r="B47" s="91"/>
      <c r="C47" s="83"/>
      <c r="D47" s="84"/>
      <c r="E47" s="79"/>
      <c r="F47" s="79"/>
      <c r="G47" s="80"/>
      <c r="H47" s="79"/>
      <c r="I47" s="79"/>
      <c r="J47" s="80"/>
      <c r="K47" s="79"/>
      <c r="L47" s="79"/>
      <c r="M47" s="80"/>
      <c r="N47" s="79"/>
      <c r="O47" s="79"/>
      <c r="P47" s="80"/>
      <c r="Q47" s="79"/>
      <c r="R47" s="83"/>
      <c r="S47" s="84"/>
      <c r="T47" s="83"/>
      <c r="U47" s="128"/>
      <c r="V47" s="89"/>
      <c r="W47" s="98"/>
      <c r="X47" s="188"/>
      <c r="Y47" s="185"/>
    </row>
    <row r="48" spans="1:25" ht="24" customHeight="1" x14ac:dyDescent="0.2">
      <c r="A48" s="91"/>
      <c r="B48" s="91"/>
      <c r="C48" s="83"/>
      <c r="D48" s="84"/>
      <c r="E48" s="83"/>
      <c r="F48" s="79"/>
      <c r="G48" s="80"/>
      <c r="H48" s="79"/>
      <c r="I48" s="79"/>
      <c r="J48" s="80"/>
      <c r="K48" s="79"/>
      <c r="L48" s="79"/>
      <c r="M48" s="80"/>
      <c r="N48" s="79"/>
      <c r="O48" s="79"/>
      <c r="P48" s="80"/>
      <c r="Q48" s="79"/>
      <c r="R48" s="83"/>
      <c r="S48" s="84"/>
      <c r="T48" s="83"/>
      <c r="U48" s="128"/>
      <c r="V48" s="89"/>
      <c r="W48" s="98"/>
      <c r="X48" s="188"/>
      <c r="Y48" s="185"/>
    </row>
    <row r="49" spans="1:25" ht="24" customHeight="1" x14ac:dyDescent="0.2">
      <c r="A49" s="91"/>
      <c r="B49" s="91"/>
      <c r="C49" s="83"/>
      <c r="D49" s="84"/>
      <c r="E49" s="83"/>
      <c r="F49" s="79"/>
      <c r="G49" s="80"/>
      <c r="H49" s="79"/>
      <c r="I49" s="83"/>
      <c r="J49" s="84"/>
      <c r="K49" s="79"/>
      <c r="L49" s="79"/>
      <c r="M49" s="80"/>
      <c r="N49" s="79"/>
      <c r="O49" s="79"/>
      <c r="P49" s="80"/>
      <c r="Q49" s="79"/>
      <c r="R49" s="83"/>
      <c r="S49" s="84"/>
      <c r="T49" s="83"/>
      <c r="U49" s="128"/>
      <c r="V49" s="89"/>
      <c r="W49" s="98"/>
      <c r="X49" s="188"/>
      <c r="Y49" s="185"/>
    </row>
    <row r="50" spans="1:25" ht="24" customHeight="1" x14ac:dyDescent="0.2">
      <c r="A50" s="91"/>
      <c r="B50" s="132"/>
      <c r="C50" s="79"/>
      <c r="D50" s="84"/>
      <c r="E50" s="79"/>
      <c r="F50" s="83"/>
      <c r="G50" s="80"/>
      <c r="H50" s="79"/>
      <c r="I50" s="83"/>
      <c r="J50" s="80"/>
      <c r="K50" s="79"/>
      <c r="L50" s="83"/>
      <c r="M50" s="80"/>
      <c r="N50" s="79"/>
      <c r="O50" s="83"/>
      <c r="P50" s="80"/>
      <c r="Q50" s="79"/>
      <c r="R50" s="83"/>
      <c r="S50" s="84"/>
      <c r="T50" s="83"/>
      <c r="U50" s="128"/>
      <c r="V50" s="89"/>
      <c r="W50" s="98"/>
      <c r="X50" s="188"/>
      <c r="Y50" s="185"/>
    </row>
    <row r="51" spans="1:25" ht="24" customHeight="1" x14ac:dyDescent="0.2">
      <c r="A51" s="103"/>
      <c r="B51" s="132"/>
      <c r="C51" s="83"/>
      <c r="D51" s="84"/>
      <c r="E51" s="79"/>
      <c r="F51" s="79"/>
      <c r="G51" s="80"/>
      <c r="H51" s="79"/>
      <c r="I51" s="79"/>
      <c r="J51" s="80"/>
      <c r="K51" s="79"/>
      <c r="L51" s="79"/>
      <c r="M51" s="80"/>
      <c r="N51" s="79"/>
      <c r="O51" s="79"/>
      <c r="P51" s="80"/>
      <c r="Q51" s="79"/>
      <c r="R51" s="83"/>
      <c r="S51" s="84"/>
      <c r="T51" s="83"/>
      <c r="U51" s="128"/>
      <c r="V51" s="89"/>
      <c r="W51" s="98"/>
      <c r="X51" s="188"/>
      <c r="Y51" s="185"/>
    </row>
    <row r="52" spans="1:25" ht="24" customHeight="1" x14ac:dyDescent="0.2">
      <c r="A52" s="103"/>
      <c r="B52" s="132"/>
      <c r="C52" s="79"/>
      <c r="D52" s="80"/>
      <c r="E52" s="79"/>
      <c r="F52" s="79"/>
      <c r="G52" s="80"/>
      <c r="H52" s="79"/>
      <c r="I52" s="79"/>
      <c r="J52" s="80"/>
      <c r="K52" s="79"/>
      <c r="L52" s="79"/>
      <c r="M52" s="80"/>
      <c r="N52" s="79"/>
      <c r="O52" s="79"/>
      <c r="P52" s="80"/>
      <c r="Q52" s="79"/>
      <c r="R52" s="83"/>
      <c r="S52" s="84"/>
      <c r="T52" s="83"/>
      <c r="U52" s="128"/>
      <c r="V52" s="74"/>
      <c r="X52" s="188"/>
      <c r="Y52" s="185"/>
    </row>
    <row r="53" spans="1:25" ht="24" customHeight="1" x14ac:dyDescent="0.2">
      <c r="A53" s="103"/>
      <c r="B53" s="132"/>
      <c r="C53" s="79"/>
      <c r="D53" s="84"/>
      <c r="E53" s="79"/>
      <c r="F53" s="79"/>
      <c r="G53" s="80"/>
      <c r="H53" s="79"/>
      <c r="I53" s="79"/>
      <c r="J53" s="80"/>
      <c r="K53" s="79"/>
      <c r="L53" s="79"/>
      <c r="M53" s="80"/>
      <c r="N53" s="79"/>
      <c r="O53" s="79"/>
      <c r="P53" s="80"/>
      <c r="Q53" s="79"/>
      <c r="R53" s="83"/>
      <c r="S53" s="84"/>
      <c r="T53" s="83"/>
      <c r="U53" s="128"/>
      <c r="V53" s="74"/>
      <c r="X53" s="188"/>
      <c r="Y53" s="185"/>
    </row>
    <row r="54" spans="1:25" ht="24" customHeight="1" x14ac:dyDescent="0.2">
      <c r="A54" s="103"/>
      <c r="B54" s="132"/>
      <c r="C54" s="79"/>
      <c r="D54" s="84"/>
      <c r="E54" s="79"/>
      <c r="F54" s="79"/>
      <c r="G54" s="80"/>
      <c r="H54" s="79"/>
      <c r="I54" s="79"/>
      <c r="J54" s="80"/>
      <c r="K54" s="79"/>
      <c r="L54" s="79"/>
      <c r="M54" s="80"/>
      <c r="N54" s="79"/>
      <c r="O54" s="79"/>
      <c r="P54" s="80"/>
      <c r="Q54" s="79"/>
      <c r="R54" s="83"/>
      <c r="S54" s="84"/>
      <c r="T54" s="83"/>
      <c r="U54" s="128"/>
      <c r="V54" s="74"/>
      <c r="X54" s="188"/>
      <c r="Y54" s="185"/>
    </row>
    <row r="55" spans="1:25" ht="24" customHeight="1" x14ac:dyDescent="0.2">
      <c r="A55" s="103"/>
      <c r="B55" s="132"/>
      <c r="C55" s="79"/>
      <c r="D55" s="80"/>
      <c r="E55" s="79"/>
      <c r="F55" s="79"/>
      <c r="G55" s="80"/>
      <c r="H55" s="79"/>
      <c r="I55" s="79"/>
      <c r="J55" s="80"/>
      <c r="K55" s="79"/>
      <c r="L55" s="79"/>
      <c r="M55" s="80"/>
      <c r="N55" s="79"/>
      <c r="O55" s="79"/>
      <c r="P55" s="80"/>
      <c r="Q55" s="79"/>
      <c r="R55" s="83"/>
      <c r="S55" s="84"/>
      <c r="T55" s="83"/>
      <c r="U55" s="128"/>
      <c r="V55" s="74"/>
      <c r="X55" s="188"/>
      <c r="Y55" s="185"/>
    </row>
    <row r="56" spans="1:25" ht="24" customHeight="1" x14ac:dyDescent="0.2">
      <c r="A56" s="103"/>
      <c r="B56" s="132"/>
      <c r="C56" s="79"/>
      <c r="D56" s="84"/>
      <c r="E56" s="79"/>
      <c r="F56" s="79"/>
      <c r="G56" s="80"/>
      <c r="H56" s="79"/>
      <c r="I56" s="79"/>
      <c r="J56" s="80"/>
      <c r="K56" s="79"/>
      <c r="L56" s="79"/>
      <c r="M56" s="80"/>
      <c r="N56" s="79"/>
      <c r="O56" s="79"/>
      <c r="P56" s="80"/>
      <c r="Q56" s="79"/>
      <c r="R56" s="83"/>
      <c r="S56" s="84"/>
      <c r="T56" s="83"/>
      <c r="U56" s="128"/>
      <c r="V56" s="74"/>
      <c r="X56" s="188"/>
      <c r="Y56" s="185"/>
    </row>
    <row r="57" spans="1:25" ht="24" customHeight="1" x14ac:dyDescent="0.2">
      <c r="A57" s="103"/>
      <c r="B57" s="132"/>
      <c r="C57" s="79"/>
      <c r="D57" s="84"/>
      <c r="E57" s="79"/>
      <c r="F57" s="79"/>
      <c r="G57" s="80"/>
      <c r="H57" s="79"/>
      <c r="I57" s="79"/>
      <c r="J57" s="80"/>
      <c r="K57" s="79"/>
      <c r="L57" s="79"/>
      <c r="M57" s="80"/>
      <c r="N57" s="79"/>
      <c r="O57" s="79"/>
      <c r="P57" s="80"/>
      <c r="Q57" s="79"/>
      <c r="R57" s="83"/>
      <c r="S57" s="84"/>
      <c r="T57" s="83"/>
      <c r="U57" s="128"/>
      <c r="V57" s="74"/>
      <c r="X57" s="188"/>
      <c r="Y57" s="185"/>
    </row>
    <row r="58" spans="1:25" ht="24" customHeight="1" x14ac:dyDescent="0.2">
      <c r="A58" s="103"/>
      <c r="B58" s="132"/>
      <c r="C58" s="79"/>
      <c r="D58" s="80"/>
      <c r="E58" s="79"/>
      <c r="F58" s="79"/>
      <c r="G58" s="80"/>
      <c r="H58" s="79"/>
      <c r="I58" s="79"/>
      <c r="J58" s="80"/>
      <c r="K58" s="79"/>
      <c r="L58" s="79"/>
      <c r="M58" s="80"/>
      <c r="N58" s="79"/>
      <c r="O58" s="79"/>
      <c r="P58" s="80"/>
      <c r="Q58" s="79"/>
      <c r="R58" s="83"/>
      <c r="S58" s="84"/>
      <c r="T58" s="83"/>
      <c r="U58" s="128"/>
      <c r="V58" s="74"/>
      <c r="X58" s="188"/>
      <c r="Y58" s="185"/>
    </row>
    <row r="59" spans="1:25" ht="24" customHeight="1" x14ac:dyDescent="0.2">
      <c r="A59" s="103"/>
      <c r="B59" s="132"/>
      <c r="C59" s="79"/>
      <c r="D59" s="80"/>
      <c r="E59" s="79"/>
      <c r="F59" s="79"/>
      <c r="G59" s="80"/>
      <c r="H59" s="79"/>
      <c r="I59" s="79"/>
      <c r="J59" s="80"/>
      <c r="K59" s="79"/>
      <c r="L59" s="79"/>
      <c r="M59" s="80"/>
      <c r="N59" s="79"/>
      <c r="O59" s="79"/>
      <c r="P59" s="80"/>
      <c r="Q59" s="79"/>
      <c r="R59" s="83"/>
      <c r="S59" s="84"/>
      <c r="T59" s="83"/>
      <c r="U59" s="128"/>
      <c r="V59" s="74"/>
      <c r="X59" s="188"/>
      <c r="Y59" s="185"/>
    </row>
    <row r="60" spans="1:25" ht="24" customHeight="1" x14ac:dyDescent="0.2">
      <c r="A60" s="103"/>
      <c r="B60" s="103"/>
      <c r="C60" s="103"/>
      <c r="D60" s="84"/>
      <c r="E60" s="103"/>
      <c r="F60" s="103"/>
      <c r="G60" s="84"/>
      <c r="H60" s="103"/>
      <c r="I60" s="103"/>
      <c r="J60" s="84"/>
      <c r="K60" s="103"/>
      <c r="L60" s="103"/>
      <c r="M60" s="84"/>
      <c r="N60" s="103"/>
      <c r="O60" s="103"/>
      <c r="P60" s="84"/>
      <c r="Q60" s="103"/>
      <c r="R60" s="103"/>
      <c r="S60" s="84"/>
      <c r="T60" s="103"/>
      <c r="U60" s="128"/>
      <c r="V60" s="74"/>
      <c r="X60" s="188"/>
      <c r="Y60" s="185"/>
    </row>
    <row r="61" spans="1:25" ht="24" customHeight="1" x14ac:dyDescent="0.2">
      <c r="A61" s="103"/>
      <c r="B61" s="103"/>
      <c r="C61" s="103"/>
      <c r="D61" s="84"/>
      <c r="E61" s="103"/>
      <c r="F61" s="103"/>
      <c r="G61" s="84"/>
      <c r="H61" s="103"/>
      <c r="I61" s="103"/>
      <c r="J61" s="84"/>
      <c r="K61" s="103"/>
      <c r="L61" s="103"/>
      <c r="M61" s="84"/>
      <c r="N61" s="103"/>
      <c r="O61" s="103"/>
      <c r="P61" s="84"/>
      <c r="Q61" s="103"/>
      <c r="R61" s="103"/>
      <c r="S61" s="84"/>
      <c r="T61" s="103"/>
      <c r="U61" s="128"/>
      <c r="V61" s="74"/>
      <c r="X61" s="188"/>
      <c r="Y61" s="185"/>
    </row>
    <row r="62" spans="1:25" ht="24" customHeight="1" x14ac:dyDescent="0.2">
      <c r="A62" s="103"/>
      <c r="B62" s="103"/>
      <c r="C62" s="103"/>
      <c r="D62" s="84"/>
      <c r="E62" s="103"/>
      <c r="F62" s="103"/>
      <c r="G62" s="84"/>
      <c r="H62" s="103"/>
      <c r="I62" s="103"/>
      <c r="J62" s="84"/>
      <c r="K62" s="103"/>
      <c r="L62" s="103"/>
      <c r="M62" s="84"/>
      <c r="N62" s="103"/>
      <c r="O62" s="103"/>
      <c r="P62" s="84"/>
      <c r="Q62" s="103"/>
      <c r="R62" s="103"/>
      <c r="S62" s="84"/>
      <c r="T62" s="103"/>
      <c r="U62" s="128"/>
      <c r="V62" s="74"/>
      <c r="X62" s="188"/>
      <c r="Y62" s="185"/>
    </row>
    <row r="63" spans="1:25" ht="24" customHeight="1" x14ac:dyDescent="0.2">
      <c r="A63" s="103"/>
      <c r="B63" s="103"/>
      <c r="C63" s="103"/>
      <c r="D63" s="84"/>
      <c r="E63" s="103"/>
      <c r="F63" s="103"/>
      <c r="G63" s="84"/>
      <c r="H63" s="103"/>
      <c r="I63" s="103"/>
      <c r="J63" s="84"/>
      <c r="K63" s="103"/>
      <c r="L63" s="103"/>
      <c r="M63" s="84"/>
      <c r="N63" s="103"/>
      <c r="O63" s="103"/>
      <c r="P63" s="84"/>
      <c r="Q63" s="103"/>
      <c r="R63" s="103"/>
      <c r="S63" s="84"/>
      <c r="T63" s="103"/>
      <c r="U63" s="128"/>
      <c r="V63" s="74"/>
      <c r="X63" s="188"/>
      <c r="Y63" s="185"/>
    </row>
    <row r="64" spans="1:25" ht="24" customHeight="1" x14ac:dyDescent="0.2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16"/>
      <c r="V64" s="74"/>
      <c r="X64" s="188"/>
      <c r="Y64" s="185"/>
    </row>
    <row r="65" spans="1:25" ht="24" customHeight="1" x14ac:dyDescent="0.2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16"/>
      <c r="V65" s="74"/>
      <c r="X65" s="188"/>
      <c r="Y65" s="185"/>
    </row>
    <row r="66" spans="1:25" ht="24" customHeight="1" x14ac:dyDescent="0.2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16"/>
      <c r="V66" s="74"/>
      <c r="X66" s="188"/>
      <c r="Y66" s="185"/>
    </row>
    <row r="67" spans="1:25" ht="24" customHeight="1" x14ac:dyDescent="0.2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16"/>
      <c r="V67" s="74"/>
      <c r="X67" s="188"/>
      <c r="Y67" s="185"/>
    </row>
    <row r="68" spans="1:25" ht="24" customHeight="1" x14ac:dyDescent="0.2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16"/>
      <c r="V68" s="74"/>
      <c r="X68" s="188"/>
      <c r="Y68" s="185"/>
    </row>
    <row r="69" spans="1:25" ht="24" customHeight="1" x14ac:dyDescent="0.2">
      <c r="A69" s="111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116"/>
      <c r="V69" s="74"/>
      <c r="X69" s="188"/>
      <c r="Y69" s="185"/>
    </row>
    <row r="70" spans="1:25" x14ac:dyDescent="0.2">
      <c r="A70" s="111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</row>
    <row r="71" spans="1:25" x14ac:dyDescent="0.2">
      <c r="A71" s="111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</row>
    <row r="72" spans="1:25" x14ac:dyDescent="0.2">
      <c r="A72" s="111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</row>
  </sheetData>
  <sheetProtection formatCells="0" selectLockedCells="1" selectUnlockedCells="1"/>
  <mergeCells count="79">
    <mergeCell ref="X22:Y22"/>
    <mergeCell ref="B32:T32"/>
    <mergeCell ref="A5:A6"/>
    <mergeCell ref="B5:T5"/>
    <mergeCell ref="X10:Y10"/>
    <mergeCell ref="X11:Y1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34:Y34"/>
    <mergeCell ref="X23:Y23"/>
    <mergeCell ref="X24:Y24"/>
    <mergeCell ref="X25:Y25"/>
    <mergeCell ref="X26:Y26"/>
    <mergeCell ref="X27:Y27"/>
    <mergeCell ref="X28:Y28"/>
    <mergeCell ref="X29:Y29"/>
    <mergeCell ref="X30:Y30"/>
    <mergeCell ref="X31:Y31"/>
    <mergeCell ref="X32:Y32"/>
    <mergeCell ref="X33:Y33"/>
    <mergeCell ref="X46:Y46"/>
    <mergeCell ref="X35:Y35"/>
    <mergeCell ref="X36:Y36"/>
    <mergeCell ref="X37:Y37"/>
    <mergeCell ref="X38:Y38"/>
    <mergeCell ref="X39:Y39"/>
    <mergeCell ref="X40:Y40"/>
    <mergeCell ref="X41:Y41"/>
    <mergeCell ref="X42:Y42"/>
    <mergeCell ref="X43:Y43"/>
    <mergeCell ref="X44:Y44"/>
    <mergeCell ref="X45:Y45"/>
    <mergeCell ref="X54:Y54"/>
    <mergeCell ref="X55:Y55"/>
    <mergeCell ref="X56:Y56"/>
    <mergeCell ref="X57:Y57"/>
    <mergeCell ref="X47:Y47"/>
    <mergeCell ref="X48:Y48"/>
    <mergeCell ref="X49:Y49"/>
    <mergeCell ref="X50:Y50"/>
    <mergeCell ref="X51:Y51"/>
    <mergeCell ref="X52:Y52"/>
    <mergeCell ref="X58:Y58"/>
    <mergeCell ref="X68:Y68"/>
    <mergeCell ref="X69:Y69"/>
    <mergeCell ref="I1:K1"/>
    <mergeCell ref="I2:K2"/>
    <mergeCell ref="I3:K3"/>
    <mergeCell ref="I4:K4"/>
    <mergeCell ref="L1:N1"/>
    <mergeCell ref="L2:N2"/>
    <mergeCell ref="L3:N3"/>
    <mergeCell ref="L4:N4"/>
    <mergeCell ref="X59:Y59"/>
    <mergeCell ref="X60:Y60"/>
    <mergeCell ref="X61:Y61"/>
    <mergeCell ref="X62:Y62"/>
    <mergeCell ref="X53:Y53"/>
    <mergeCell ref="X63:Y63"/>
    <mergeCell ref="X64:Y64"/>
    <mergeCell ref="X65:Y65"/>
    <mergeCell ref="X66:Y66"/>
    <mergeCell ref="X67:Y67"/>
    <mergeCell ref="C1:E1"/>
    <mergeCell ref="C2:E2"/>
    <mergeCell ref="C3:E3"/>
    <mergeCell ref="C4:E4"/>
    <mergeCell ref="F1:H1"/>
    <mergeCell ref="F2:H2"/>
    <mergeCell ref="F3:H3"/>
    <mergeCell ref="F4:H4"/>
  </mergeCells>
  <printOptions horizontalCentered="1" verticalCentered="1" gridLines="1"/>
  <pageMargins left="0.5" right="0.5" top="0.5" bottom="0.25" header="0" footer="0"/>
  <pageSetup scale="74" orientation="landscape" blackAndWhite="1" r:id="rId1"/>
  <headerFooter alignWithMargins="0">
    <oddHeader>&amp;LFAX-425-487-1568&amp;CTIMESHEET</oddHeader>
  </headerFooter>
  <rowBreaks count="2" manualBreakCount="2">
    <brk id="31" max="20" man="1"/>
    <brk id="63" max="20" man="1"/>
  </rowBreaks>
  <colBreaks count="1" manualBreakCount="1">
    <brk id="21" max="68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workbookViewId="0">
      <selection activeCell="R4" sqref="R4:T4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123</v>
      </c>
      <c r="D1" s="175"/>
      <c r="E1" s="175"/>
      <c r="F1" s="165" t="s">
        <v>132</v>
      </c>
      <c r="G1" s="166"/>
      <c r="H1" s="166"/>
      <c r="I1" s="174"/>
      <c r="J1" s="175"/>
      <c r="K1" s="175"/>
      <c r="L1" s="179" t="s">
        <v>131</v>
      </c>
      <c r="M1" s="193"/>
      <c r="N1" s="193"/>
      <c r="O1" s="193"/>
      <c r="P1" s="193"/>
      <c r="Q1" s="193"/>
      <c r="R1" s="175"/>
      <c r="S1" s="176"/>
      <c r="T1" s="176"/>
      <c r="U1" s="109"/>
      <c r="V1" s="112"/>
    </row>
    <row r="2" spans="1:25" ht="24" customHeight="1" x14ac:dyDescent="0.2">
      <c r="A2" s="103"/>
      <c r="B2" s="110" t="s">
        <v>184</v>
      </c>
      <c r="C2" s="175" t="s">
        <v>183</v>
      </c>
      <c r="D2" s="175"/>
      <c r="E2" s="175"/>
      <c r="F2" s="174"/>
      <c r="G2" s="176"/>
      <c r="H2" s="176"/>
      <c r="I2" s="174" t="s">
        <v>126</v>
      </c>
      <c r="J2" s="175"/>
      <c r="K2" s="175"/>
      <c r="L2" s="174" t="s">
        <v>125</v>
      </c>
      <c r="M2" s="176"/>
      <c r="N2" s="176"/>
      <c r="O2" s="175" t="s">
        <v>130</v>
      </c>
      <c r="P2" s="176"/>
      <c r="Q2" s="176"/>
      <c r="R2" s="175"/>
      <c r="S2" s="176"/>
      <c r="T2" s="176"/>
      <c r="U2" s="109"/>
      <c r="V2" s="112"/>
    </row>
    <row r="3" spans="1:25" ht="24" customHeight="1" x14ac:dyDescent="0.2">
      <c r="A3" s="103"/>
      <c r="B3" s="110" t="s">
        <v>129</v>
      </c>
      <c r="C3" s="174" t="s">
        <v>116</v>
      </c>
      <c r="D3" s="176"/>
      <c r="E3" s="176"/>
      <c r="F3" s="174"/>
      <c r="G3" s="176"/>
      <c r="H3" s="176"/>
      <c r="I3" s="174" t="s">
        <v>119</v>
      </c>
      <c r="J3" s="175"/>
      <c r="K3" s="175"/>
      <c r="L3" s="174" t="s">
        <v>118</v>
      </c>
      <c r="M3" s="176"/>
      <c r="N3" s="176"/>
      <c r="O3" s="175" t="s">
        <v>124</v>
      </c>
      <c r="P3" s="176"/>
      <c r="Q3" s="176"/>
      <c r="R3" s="175"/>
      <c r="S3" s="176"/>
      <c r="T3" s="176"/>
      <c r="U3" s="109"/>
      <c r="V3" s="111"/>
    </row>
    <row r="4" spans="1:25" ht="24" customHeight="1" thickBot="1" x14ac:dyDescent="0.25">
      <c r="A4" s="103"/>
      <c r="B4" s="110" t="s">
        <v>175</v>
      </c>
      <c r="C4" s="174" t="s">
        <v>134</v>
      </c>
      <c r="D4" s="176"/>
      <c r="E4" s="176"/>
      <c r="F4" s="174"/>
      <c r="G4" s="176"/>
      <c r="H4" s="176"/>
      <c r="I4" s="174" t="s">
        <v>112</v>
      </c>
      <c r="J4" s="175"/>
      <c r="K4" s="175"/>
      <c r="L4" s="174" t="s">
        <v>111</v>
      </c>
      <c r="M4" s="176"/>
      <c r="N4" s="176"/>
      <c r="O4" s="175" t="s">
        <v>117</v>
      </c>
      <c r="P4" s="176"/>
      <c r="Q4" s="176"/>
      <c r="R4" s="190" t="s">
        <v>178</v>
      </c>
      <c r="S4" s="177"/>
      <c r="T4" s="177"/>
      <c r="U4" s="109"/>
      <c r="V4" s="89"/>
    </row>
    <row r="5" spans="1:25" ht="24" customHeight="1" thickBot="1" x14ac:dyDescent="0.25">
      <c r="A5" s="180"/>
      <c r="B5" s="181" t="s">
        <v>182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42474</v>
      </c>
      <c r="D6" s="107"/>
      <c r="E6" s="107"/>
      <c r="F6" s="107">
        <f>C6+1</f>
        <v>42475</v>
      </c>
      <c r="G6" s="107"/>
      <c r="H6" s="107"/>
      <c r="I6" s="107">
        <f>F6+3</f>
        <v>42478</v>
      </c>
      <c r="J6" s="107"/>
      <c r="K6" s="107"/>
      <c r="L6" s="107">
        <f>I6+1</f>
        <v>42479</v>
      </c>
      <c r="M6" s="107"/>
      <c r="N6" s="107"/>
      <c r="O6" s="107">
        <f>L6+1</f>
        <v>42480</v>
      </c>
      <c r="P6" s="107"/>
      <c r="Q6" s="107"/>
      <c r="R6" s="107">
        <f>F6+1</f>
        <v>42476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/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104"/>
      <c r="V8" s="94"/>
      <c r="W8" s="98"/>
    </row>
    <row r="9" spans="1:25" ht="24" customHeight="1" x14ac:dyDescent="0.2">
      <c r="A9" s="103"/>
      <c r="B9" s="97" t="s">
        <v>110</v>
      </c>
      <c r="C9" s="97" t="s">
        <v>170</v>
      </c>
      <c r="D9" s="97" t="s">
        <v>169</v>
      </c>
      <c r="E9" s="97" t="s">
        <v>17</v>
      </c>
      <c r="F9" s="97" t="s">
        <v>170</v>
      </c>
      <c r="G9" s="97" t="s">
        <v>169</v>
      </c>
      <c r="H9" s="97" t="s">
        <v>17</v>
      </c>
      <c r="I9" s="97" t="s">
        <v>170</v>
      </c>
      <c r="J9" s="97" t="s">
        <v>169</v>
      </c>
      <c r="K9" s="97" t="s">
        <v>17</v>
      </c>
      <c r="L9" s="97" t="s">
        <v>170</v>
      </c>
      <c r="M9" s="97" t="s">
        <v>169</v>
      </c>
      <c r="N9" s="97" t="s">
        <v>17</v>
      </c>
      <c r="O9" s="97" t="s">
        <v>170</v>
      </c>
      <c r="P9" s="97" t="s">
        <v>169</v>
      </c>
      <c r="Q9" s="97" t="s">
        <v>17</v>
      </c>
      <c r="R9" s="97" t="s">
        <v>170</v>
      </c>
      <c r="S9" s="97" t="s">
        <v>169</v>
      </c>
      <c r="T9" s="97" t="s">
        <v>17</v>
      </c>
      <c r="U9" s="101"/>
      <c r="V9" s="100"/>
      <c r="W9" s="98"/>
    </row>
    <row r="10" spans="1:25" ht="24" customHeight="1" x14ac:dyDescent="0.2">
      <c r="A10" s="91"/>
      <c r="B10" s="81"/>
      <c r="C10" s="83"/>
      <c r="D10" s="84"/>
      <c r="E10" s="83"/>
      <c r="F10" s="83"/>
      <c r="G10" s="84"/>
      <c r="H10" s="79"/>
      <c r="I10" s="79"/>
      <c r="J10" s="84"/>
      <c r="K10" s="79"/>
      <c r="L10" s="79"/>
      <c r="M10" s="84"/>
      <c r="N10" s="79"/>
      <c r="O10" s="79"/>
      <c r="P10" s="84"/>
      <c r="Q10" s="79"/>
      <c r="R10" s="83"/>
      <c r="S10" s="84"/>
      <c r="T10" s="83"/>
      <c r="U10" s="75">
        <f t="shared" ref="U10:U31" si="0">SUM(B10,E10,H10,K10,N10,Q10,T10)</f>
        <v>0</v>
      </c>
      <c r="V10" s="94"/>
      <c r="W10" s="98"/>
      <c r="X10" s="184"/>
      <c r="Y10" s="185"/>
    </row>
    <row r="11" spans="1:25" ht="24" customHeight="1" x14ac:dyDescent="0.2">
      <c r="A11" s="91"/>
      <c r="B11" s="95"/>
      <c r="C11" s="79"/>
      <c r="D11" s="80"/>
      <c r="E11" s="79"/>
      <c r="F11" s="79"/>
      <c r="G11" s="80"/>
      <c r="H11" s="79"/>
      <c r="I11" s="79"/>
      <c r="J11" s="80"/>
      <c r="K11" s="79"/>
      <c r="L11" s="79"/>
      <c r="M11" s="80"/>
      <c r="N11" s="79"/>
      <c r="O11" s="79"/>
      <c r="P11" s="80"/>
      <c r="Q11" s="79"/>
      <c r="R11" s="79"/>
      <c r="S11" s="84"/>
      <c r="T11" s="83"/>
      <c r="U11" s="75">
        <f t="shared" si="0"/>
        <v>0</v>
      </c>
      <c r="V11" s="94"/>
      <c r="W11" s="98"/>
      <c r="X11" s="184"/>
      <c r="Y11" s="185"/>
    </row>
    <row r="12" spans="1:25" ht="24" customHeight="1" x14ac:dyDescent="0.2">
      <c r="A12" s="91"/>
      <c r="B12" s="81"/>
      <c r="C12" s="79"/>
      <c r="D12" s="80"/>
      <c r="E12" s="79"/>
      <c r="F12" s="79"/>
      <c r="G12" s="80"/>
      <c r="H12" s="79"/>
      <c r="I12" s="79"/>
      <c r="J12" s="80"/>
      <c r="K12" s="79"/>
      <c r="L12" s="79"/>
      <c r="M12" s="80"/>
      <c r="N12" s="79"/>
      <c r="O12" s="79"/>
      <c r="P12" s="80"/>
      <c r="Q12" s="79"/>
      <c r="R12" s="79"/>
      <c r="S12" s="84"/>
      <c r="T12" s="83"/>
      <c r="U12" s="75">
        <f t="shared" si="0"/>
        <v>0</v>
      </c>
      <c r="V12" s="94"/>
      <c r="W12" s="98"/>
      <c r="X12" s="184"/>
      <c r="Y12" s="185"/>
    </row>
    <row r="13" spans="1:25" ht="24" customHeight="1" x14ac:dyDescent="0.2">
      <c r="A13" s="91"/>
      <c r="B13" s="81"/>
      <c r="C13" s="79"/>
      <c r="D13" s="80"/>
      <c r="E13" s="79"/>
      <c r="F13" s="79"/>
      <c r="G13" s="80"/>
      <c r="H13" s="79"/>
      <c r="I13" s="79"/>
      <c r="J13" s="80"/>
      <c r="K13" s="79"/>
      <c r="L13" s="79"/>
      <c r="M13" s="80"/>
      <c r="N13" s="79"/>
      <c r="O13" s="79"/>
      <c r="P13" s="80"/>
      <c r="Q13" s="79"/>
      <c r="R13" s="79"/>
      <c r="S13" s="84"/>
      <c r="T13" s="83"/>
      <c r="U13" s="75">
        <f t="shared" si="0"/>
        <v>0</v>
      </c>
      <c r="V13" s="94"/>
      <c r="W13" s="98"/>
      <c r="X13" s="184"/>
      <c r="Y13" s="185"/>
    </row>
    <row r="14" spans="1:25" ht="24" customHeight="1" x14ac:dyDescent="0.2">
      <c r="A14" s="91">
        <v>1</v>
      </c>
      <c r="B14" s="81" t="s">
        <v>181</v>
      </c>
      <c r="C14" s="79">
        <v>2028</v>
      </c>
      <c r="D14" s="80">
        <v>101</v>
      </c>
      <c r="E14" s="79">
        <v>2</v>
      </c>
      <c r="F14" s="79">
        <v>2025</v>
      </c>
      <c r="G14" s="80">
        <v>101</v>
      </c>
      <c r="H14" s="79">
        <v>1</v>
      </c>
      <c r="I14" s="79">
        <v>2027</v>
      </c>
      <c r="J14" s="80">
        <v>101</v>
      </c>
      <c r="K14" s="79">
        <v>2</v>
      </c>
      <c r="L14" s="79">
        <v>2026</v>
      </c>
      <c r="M14" s="80">
        <v>101</v>
      </c>
      <c r="N14" s="79">
        <v>1</v>
      </c>
      <c r="O14" s="79">
        <v>2028</v>
      </c>
      <c r="P14" s="80">
        <v>101</v>
      </c>
      <c r="Q14" s="79">
        <v>2</v>
      </c>
      <c r="R14" s="79"/>
      <c r="S14" s="84"/>
      <c r="T14" s="83"/>
      <c r="U14" s="75">
        <f t="shared" si="0"/>
        <v>8</v>
      </c>
      <c r="V14" s="94"/>
      <c r="W14" s="98"/>
      <c r="X14" s="184"/>
      <c r="Y14" s="185"/>
    </row>
    <row r="15" spans="1:25" ht="24" customHeight="1" x14ac:dyDescent="0.2">
      <c r="A15" s="91"/>
      <c r="B15" s="81"/>
      <c r="C15" s="79">
        <v>2027</v>
      </c>
      <c r="D15" s="80">
        <v>101</v>
      </c>
      <c r="E15" s="79">
        <v>1</v>
      </c>
      <c r="F15" s="79">
        <v>2026</v>
      </c>
      <c r="G15" s="80">
        <v>101</v>
      </c>
      <c r="H15" s="79">
        <v>1</v>
      </c>
      <c r="I15" s="79">
        <v>2028</v>
      </c>
      <c r="J15" s="80">
        <v>101</v>
      </c>
      <c r="K15" s="79">
        <v>2</v>
      </c>
      <c r="L15" s="79">
        <v>2028</v>
      </c>
      <c r="M15" s="80">
        <v>101</v>
      </c>
      <c r="N15" s="79">
        <v>2</v>
      </c>
      <c r="O15" s="79">
        <v>2025</v>
      </c>
      <c r="P15" s="80">
        <v>101</v>
      </c>
      <c r="Q15" s="79">
        <v>1</v>
      </c>
      <c r="R15" s="79"/>
      <c r="S15" s="84"/>
      <c r="T15" s="83"/>
      <c r="U15" s="75">
        <f t="shared" si="0"/>
        <v>7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79">
        <v>2026</v>
      </c>
      <c r="D16" s="80">
        <v>101</v>
      </c>
      <c r="E16" s="79">
        <v>1</v>
      </c>
      <c r="F16" s="79">
        <v>2027</v>
      </c>
      <c r="G16" s="80">
        <v>101</v>
      </c>
      <c r="H16" s="79">
        <v>2</v>
      </c>
      <c r="I16" s="79">
        <v>2025</v>
      </c>
      <c r="J16" s="80">
        <v>101</v>
      </c>
      <c r="K16" s="79">
        <v>2</v>
      </c>
      <c r="L16" s="79">
        <v>2027</v>
      </c>
      <c r="M16" s="80">
        <v>101</v>
      </c>
      <c r="N16" s="79">
        <v>1</v>
      </c>
      <c r="O16" s="79">
        <v>2026</v>
      </c>
      <c r="P16" s="80">
        <v>101</v>
      </c>
      <c r="Q16" s="79">
        <v>1</v>
      </c>
      <c r="R16" s="79"/>
      <c r="S16" s="84"/>
      <c r="T16" s="83"/>
      <c r="U16" s="75">
        <f t="shared" si="0"/>
        <v>7</v>
      </c>
      <c r="V16" s="94"/>
      <c r="W16" s="98"/>
      <c r="X16" s="184"/>
      <c r="Y16" s="185"/>
    </row>
    <row r="17" spans="1:25" ht="24" customHeight="1" x14ac:dyDescent="0.2">
      <c r="A17" s="91"/>
      <c r="B17" s="91"/>
      <c r="C17" s="79">
        <v>2024</v>
      </c>
      <c r="D17" s="80">
        <v>100</v>
      </c>
      <c r="E17" s="79">
        <v>1</v>
      </c>
      <c r="F17" s="79">
        <v>2028</v>
      </c>
      <c r="G17" s="80">
        <v>101</v>
      </c>
      <c r="H17" s="79">
        <v>2</v>
      </c>
      <c r="I17" s="79">
        <v>2028</v>
      </c>
      <c r="J17" s="80">
        <v>100</v>
      </c>
      <c r="K17" s="79">
        <v>2</v>
      </c>
      <c r="L17" s="79">
        <v>2023</v>
      </c>
      <c r="M17" s="80">
        <v>151</v>
      </c>
      <c r="N17" s="79">
        <v>2</v>
      </c>
      <c r="O17" s="79">
        <v>2027</v>
      </c>
      <c r="P17" s="80">
        <v>101</v>
      </c>
      <c r="Q17" s="79">
        <v>2</v>
      </c>
      <c r="R17" s="79"/>
      <c r="S17" s="84"/>
      <c r="T17" s="83"/>
      <c r="U17" s="75">
        <f t="shared" si="0"/>
        <v>9</v>
      </c>
      <c r="V17" s="94"/>
      <c r="W17" s="98"/>
      <c r="X17" s="184"/>
      <c r="Y17" s="185"/>
    </row>
    <row r="18" spans="1:25" ht="24" customHeight="1" x14ac:dyDescent="0.2">
      <c r="A18" s="91"/>
      <c r="B18" s="91"/>
      <c r="C18" s="79">
        <v>2028</v>
      </c>
      <c r="D18" s="80">
        <v>112</v>
      </c>
      <c r="E18" s="79">
        <v>3</v>
      </c>
      <c r="F18" s="79">
        <v>2028</v>
      </c>
      <c r="G18" s="80">
        <v>112</v>
      </c>
      <c r="H18" s="79">
        <v>2</v>
      </c>
      <c r="I18" s="79"/>
      <c r="J18" s="80"/>
      <c r="K18" s="79"/>
      <c r="L18" s="79">
        <v>2028</v>
      </c>
      <c r="M18" s="80">
        <v>100</v>
      </c>
      <c r="N18" s="79">
        <v>2</v>
      </c>
      <c r="O18" s="79">
        <v>2024</v>
      </c>
      <c r="P18" s="80">
        <v>100</v>
      </c>
      <c r="Q18" s="79">
        <v>2</v>
      </c>
      <c r="R18" s="79"/>
      <c r="S18" s="84"/>
      <c r="T18" s="83"/>
      <c r="U18" s="75">
        <f t="shared" si="0"/>
        <v>9</v>
      </c>
      <c r="V18" s="94"/>
      <c r="W18" s="98"/>
      <c r="X18" s="184"/>
      <c r="Y18" s="185"/>
    </row>
    <row r="19" spans="1:25" ht="24" customHeight="1" x14ac:dyDescent="0.2">
      <c r="A19" s="91"/>
      <c r="B19" s="81"/>
      <c r="C19" s="79"/>
      <c r="D19" s="80"/>
      <c r="E19" s="79"/>
      <c r="F19" s="79"/>
      <c r="G19" s="80"/>
      <c r="H19" s="79"/>
      <c r="I19" s="79"/>
      <c r="J19" s="80"/>
      <c r="K19" s="79"/>
      <c r="L19" s="79"/>
      <c r="M19" s="80"/>
      <c r="N19" s="79"/>
      <c r="O19" s="79"/>
      <c r="P19" s="80"/>
      <c r="Q19" s="79"/>
      <c r="R19" s="79"/>
      <c r="S19" s="84"/>
      <c r="T19" s="83"/>
      <c r="U19" s="75">
        <f t="shared" si="0"/>
        <v>0</v>
      </c>
      <c r="V19" s="94"/>
      <c r="W19" s="98"/>
      <c r="X19" s="184"/>
      <c r="Y19" s="185"/>
    </row>
    <row r="20" spans="1:25" ht="24" customHeight="1" x14ac:dyDescent="0.2">
      <c r="A20" s="91"/>
      <c r="B20" s="81"/>
      <c r="C20" s="79"/>
      <c r="D20" s="80"/>
      <c r="E20" s="79"/>
      <c r="F20" s="79"/>
      <c r="G20" s="80"/>
      <c r="H20" s="79"/>
      <c r="I20" s="79"/>
      <c r="J20" s="80"/>
      <c r="K20" s="79"/>
      <c r="L20" s="79"/>
      <c r="M20" s="80"/>
      <c r="N20" s="79"/>
      <c r="O20" s="79"/>
      <c r="P20" s="80"/>
      <c r="Q20" s="79"/>
      <c r="R20" s="79"/>
      <c r="S20" s="84"/>
      <c r="T20" s="83"/>
      <c r="U20" s="75">
        <f t="shared" si="0"/>
        <v>0</v>
      </c>
      <c r="V20" s="94"/>
      <c r="W20" s="98"/>
      <c r="X20" s="184"/>
      <c r="Y20" s="185"/>
    </row>
    <row r="21" spans="1:25" ht="24" customHeight="1" x14ac:dyDescent="0.2">
      <c r="A21" s="91"/>
      <c r="B21" s="81"/>
      <c r="C21" s="79"/>
      <c r="D21" s="80"/>
      <c r="E21" s="79"/>
      <c r="F21" s="79"/>
      <c r="G21" s="80"/>
      <c r="H21" s="79"/>
      <c r="I21" s="79"/>
      <c r="J21" s="80"/>
      <c r="K21" s="79"/>
      <c r="L21" s="79"/>
      <c r="M21" s="80"/>
      <c r="N21" s="79"/>
      <c r="O21" s="79"/>
      <c r="P21" s="80"/>
      <c r="Q21" s="79"/>
      <c r="R21" s="79"/>
      <c r="S21" s="136"/>
      <c r="T21" s="83"/>
      <c r="U21" s="75">
        <f t="shared" si="0"/>
        <v>0</v>
      </c>
      <c r="V21" s="94"/>
      <c r="W21" s="98"/>
      <c r="X21" s="184"/>
      <c r="Y21" s="185"/>
    </row>
    <row r="22" spans="1:25" ht="24" customHeight="1" x14ac:dyDescent="0.2">
      <c r="A22" s="91">
        <v>2</v>
      </c>
      <c r="B22" s="81" t="s">
        <v>180</v>
      </c>
      <c r="C22" s="79" t="s">
        <v>142</v>
      </c>
      <c r="D22" s="80">
        <v>606</v>
      </c>
      <c r="E22" s="79">
        <v>5</v>
      </c>
      <c r="F22" s="79"/>
      <c r="G22" s="80" t="s">
        <v>138</v>
      </c>
      <c r="H22" s="79"/>
      <c r="I22" s="79" t="s">
        <v>142</v>
      </c>
      <c r="J22" s="80">
        <v>606</v>
      </c>
      <c r="K22" s="79">
        <v>8</v>
      </c>
      <c r="L22" s="79" t="s">
        <v>142</v>
      </c>
      <c r="M22" s="80">
        <v>606</v>
      </c>
      <c r="N22" s="79">
        <v>8</v>
      </c>
      <c r="O22" s="79" t="s">
        <v>142</v>
      </c>
      <c r="P22" s="80">
        <v>606</v>
      </c>
      <c r="Q22" s="79">
        <v>8</v>
      </c>
      <c r="R22" s="79"/>
      <c r="S22" s="84"/>
      <c r="T22" s="79"/>
      <c r="U22" s="75">
        <f t="shared" si="0"/>
        <v>29</v>
      </c>
      <c r="V22" s="89"/>
      <c r="W22" s="98"/>
      <c r="X22" s="184"/>
      <c r="Y22" s="185"/>
    </row>
    <row r="23" spans="1:25" ht="24" customHeight="1" x14ac:dyDescent="0.2">
      <c r="A23" s="91"/>
      <c r="B23" s="81"/>
      <c r="C23" s="79">
        <v>2021</v>
      </c>
      <c r="D23" s="80">
        <v>120</v>
      </c>
      <c r="E23" s="79">
        <v>1</v>
      </c>
      <c r="F23" s="79"/>
      <c r="G23" s="80"/>
      <c r="H23" s="79"/>
      <c r="I23" s="79"/>
      <c r="J23" s="80"/>
      <c r="K23" s="79"/>
      <c r="L23" s="79"/>
      <c r="M23" s="80"/>
      <c r="N23" s="79"/>
      <c r="O23" s="79"/>
      <c r="P23" s="80"/>
      <c r="Q23" s="79"/>
      <c r="R23" s="79"/>
      <c r="S23" s="84"/>
      <c r="T23" s="83"/>
      <c r="U23" s="75">
        <f t="shared" si="0"/>
        <v>1</v>
      </c>
      <c r="V23" s="89"/>
      <c r="W23" s="98"/>
      <c r="X23" s="184"/>
      <c r="Y23" s="185"/>
    </row>
    <row r="24" spans="1:25" ht="24" customHeight="1" x14ac:dyDescent="0.2">
      <c r="A24" s="91"/>
      <c r="B24" s="81"/>
      <c r="C24" s="79">
        <v>2024</v>
      </c>
      <c r="D24" s="80">
        <v>140</v>
      </c>
      <c r="E24" s="79">
        <v>1</v>
      </c>
      <c r="F24" s="79"/>
      <c r="G24" s="80"/>
      <c r="H24" s="79"/>
      <c r="I24" s="79"/>
      <c r="J24" s="80"/>
      <c r="K24" s="79"/>
      <c r="L24" s="79"/>
      <c r="M24" s="80"/>
      <c r="N24" s="79"/>
      <c r="O24" s="79"/>
      <c r="P24" s="80"/>
      <c r="Q24" s="79"/>
      <c r="R24" s="79"/>
      <c r="S24" s="80"/>
      <c r="T24" s="83"/>
      <c r="U24" s="75">
        <f t="shared" si="0"/>
        <v>1</v>
      </c>
      <c r="V24" s="94"/>
      <c r="W24" s="98"/>
      <c r="X24" s="184"/>
      <c r="Y24" s="185"/>
    </row>
    <row r="25" spans="1:25" ht="24" customHeight="1" x14ac:dyDescent="0.2">
      <c r="A25" s="91"/>
      <c r="B25" s="81"/>
      <c r="C25" s="79">
        <v>2027</v>
      </c>
      <c r="D25" s="80">
        <v>110</v>
      </c>
      <c r="E25" s="79">
        <v>1</v>
      </c>
      <c r="F25" s="79"/>
      <c r="G25" s="80"/>
      <c r="H25" s="79"/>
      <c r="I25" s="79"/>
      <c r="J25" s="80"/>
      <c r="K25" s="79"/>
      <c r="L25" s="79"/>
      <c r="M25" s="80"/>
      <c r="N25" s="79"/>
      <c r="O25" s="79"/>
      <c r="P25" s="80"/>
      <c r="Q25" s="79"/>
      <c r="R25" s="79"/>
      <c r="S25" s="80"/>
      <c r="T25" s="83"/>
      <c r="U25" s="75">
        <f t="shared" si="0"/>
        <v>1</v>
      </c>
      <c r="V25" s="94"/>
      <c r="W25" s="98"/>
      <c r="X25" s="184"/>
      <c r="Y25" s="185"/>
    </row>
    <row r="26" spans="1:25" ht="24" customHeight="1" x14ac:dyDescent="0.2">
      <c r="A26" s="91"/>
      <c r="B26" s="81"/>
      <c r="C26" s="83"/>
      <c r="D26" s="84"/>
      <c r="E26" s="83"/>
      <c r="F26" s="83"/>
      <c r="G26" s="84"/>
      <c r="H26" s="79"/>
      <c r="I26" s="79"/>
      <c r="J26" s="84"/>
      <c r="K26" s="79"/>
      <c r="L26" s="79"/>
      <c r="M26" s="84"/>
      <c r="N26" s="79"/>
      <c r="O26" s="79"/>
      <c r="P26" s="84"/>
      <c r="Q26" s="79"/>
      <c r="R26" s="83"/>
      <c r="S26" s="84"/>
      <c r="T26" s="83"/>
      <c r="U26" s="75">
        <f t="shared" si="0"/>
        <v>0</v>
      </c>
      <c r="V26" s="94"/>
      <c r="W26" s="98"/>
      <c r="X26" s="188"/>
      <c r="Y26" s="185"/>
    </row>
    <row r="27" spans="1:25" ht="24" customHeight="1" x14ac:dyDescent="0.2">
      <c r="A27" s="91"/>
      <c r="B27" s="95"/>
      <c r="C27" s="83"/>
      <c r="D27" s="84"/>
      <c r="E27" s="83"/>
      <c r="F27" s="83"/>
      <c r="G27" s="84"/>
      <c r="H27" s="83"/>
      <c r="I27" s="83"/>
      <c r="J27" s="84"/>
      <c r="K27" s="79"/>
      <c r="L27" s="83"/>
      <c r="M27" s="84"/>
      <c r="N27" s="79"/>
      <c r="O27" s="83"/>
      <c r="P27" s="84"/>
      <c r="Q27" s="83"/>
      <c r="R27" s="83"/>
      <c r="S27" s="84"/>
      <c r="T27" s="83"/>
      <c r="U27" s="75">
        <f t="shared" si="0"/>
        <v>0</v>
      </c>
      <c r="V27" s="94"/>
      <c r="W27" s="98"/>
      <c r="X27" s="188"/>
      <c r="Y27" s="185"/>
    </row>
    <row r="28" spans="1:25" ht="24" customHeight="1" x14ac:dyDescent="0.2">
      <c r="A28" s="91"/>
      <c r="B28" s="81"/>
      <c r="C28" s="83"/>
      <c r="D28" s="84"/>
      <c r="E28" s="83"/>
      <c r="F28" s="83"/>
      <c r="G28" s="84"/>
      <c r="H28" s="79"/>
      <c r="I28" s="79"/>
      <c r="J28" s="84"/>
      <c r="K28" s="79"/>
      <c r="L28" s="79"/>
      <c r="M28" s="84"/>
      <c r="N28" s="79"/>
      <c r="O28" s="79"/>
      <c r="P28" s="84"/>
      <c r="Q28" s="79"/>
      <c r="R28" s="83"/>
      <c r="S28" s="84"/>
      <c r="T28" s="83"/>
      <c r="U28" s="75">
        <f t="shared" si="0"/>
        <v>0</v>
      </c>
      <c r="V28" s="94"/>
      <c r="W28" s="98"/>
      <c r="X28" s="188"/>
      <c r="Y28" s="185"/>
    </row>
    <row r="29" spans="1:25" ht="24" customHeight="1" x14ac:dyDescent="0.2">
      <c r="A29" s="91"/>
      <c r="B29" s="81"/>
      <c r="C29" s="83"/>
      <c r="D29" s="84"/>
      <c r="E29" s="83"/>
      <c r="F29" s="79"/>
      <c r="G29" s="84"/>
      <c r="H29" s="79"/>
      <c r="I29" s="79"/>
      <c r="J29" s="84"/>
      <c r="K29" s="79"/>
      <c r="L29" s="79"/>
      <c r="M29" s="84"/>
      <c r="N29" s="79"/>
      <c r="O29" s="79"/>
      <c r="P29" s="84"/>
      <c r="Q29" s="79"/>
      <c r="R29" s="83"/>
      <c r="S29" s="84"/>
      <c r="T29" s="83"/>
      <c r="U29" s="75">
        <f t="shared" si="0"/>
        <v>0</v>
      </c>
      <c r="V29" s="94"/>
      <c r="W29" s="98"/>
      <c r="X29" s="188"/>
      <c r="Y29" s="185"/>
    </row>
    <row r="30" spans="1:25" ht="24" customHeight="1" x14ac:dyDescent="0.2">
      <c r="A30" s="91"/>
      <c r="B30" s="81"/>
      <c r="C30" s="83"/>
      <c r="D30" s="84"/>
      <c r="E30" s="83"/>
      <c r="F30" s="79"/>
      <c r="G30" s="84"/>
      <c r="H30" s="79"/>
      <c r="I30" s="79"/>
      <c r="J30" s="84"/>
      <c r="K30" s="79"/>
      <c r="L30" s="79"/>
      <c r="M30" s="84"/>
      <c r="N30" s="79"/>
      <c r="O30" s="79"/>
      <c r="P30" s="84"/>
      <c r="Q30" s="79"/>
      <c r="R30" s="83"/>
      <c r="S30" s="84"/>
      <c r="T30" s="83"/>
      <c r="U30" s="75">
        <f t="shared" si="0"/>
        <v>0</v>
      </c>
      <c r="V30" s="94"/>
      <c r="W30" s="98"/>
      <c r="X30" s="188"/>
      <c r="Y30" s="185"/>
    </row>
    <row r="31" spans="1:25" ht="24" customHeight="1" x14ac:dyDescent="0.2">
      <c r="A31" s="91"/>
      <c r="B31" s="81"/>
      <c r="C31" s="83"/>
      <c r="D31" s="80"/>
      <c r="E31" s="79"/>
      <c r="F31" s="83"/>
      <c r="G31" s="80"/>
      <c r="H31" s="79"/>
      <c r="I31" s="134"/>
      <c r="J31" s="80"/>
      <c r="K31" s="79"/>
      <c r="L31" s="79"/>
      <c r="M31" s="80"/>
      <c r="N31" s="79"/>
      <c r="O31" s="79"/>
      <c r="P31" s="80"/>
      <c r="Q31" s="79"/>
      <c r="R31" s="83"/>
      <c r="S31" s="80"/>
      <c r="T31" s="83"/>
      <c r="U31" s="75">
        <f t="shared" si="0"/>
        <v>0</v>
      </c>
      <c r="V31" s="94"/>
      <c r="W31" s="98"/>
      <c r="X31" s="188"/>
      <c r="Y31" s="185"/>
    </row>
    <row r="32" spans="1:25" ht="24" customHeight="1" x14ac:dyDescent="0.2">
      <c r="A32" s="98"/>
      <c r="B32" s="188"/>
      <c r="C32" s="185"/>
    </row>
    <row r="33" spans="1:3" ht="24" customHeight="1" x14ac:dyDescent="0.2">
      <c r="A33" s="98"/>
      <c r="B33" s="188"/>
      <c r="C33" s="185"/>
    </row>
    <row r="34" spans="1:3" ht="24" customHeight="1" x14ac:dyDescent="0.2">
      <c r="A34" s="98"/>
      <c r="B34" s="188"/>
      <c r="C34" s="185"/>
    </row>
    <row r="35" spans="1:3" ht="24" customHeight="1" x14ac:dyDescent="0.2">
      <c r="A35" s="98"/>
      <c r="B35" s="188"/>
      <c r="C35" s="185"/>
    </row>
    <row r="36" spans="1:3" ht="24" customHeight="1" x14ac:dyDescent="0.2">
      <c r="A36" s="98"/>
      <c r="B36" s="188"/>
      <c r="C36" s="185"/>
    </row>
    <row r="37" spans="1:3" ht="24" customHeight="1" x14ac:dyDescent="0.2">
      <c r="A37" s="98"/>
      <c r="B37" s="188"/>
      <c r="C37" s="185"/>
    </row>
    <row r="38" spans="1:3" ht="24" customHeight="1" x14ac:dyDescent="0.2">
      <c r="A38" s="98"/>
      <c r="B38" s="188"/>
      <c r="C38" s="185"/>
    </row>
    <row r="39" spans="1:3" ht="24" customHeight="1" x14ac:dyDescent="0.2">
      <c r="A39" s="98"/>
      <c r="B39" s="188"/>
      <c r="C39" s="185"/>
    </row>
    <row r="40" spans="1:3" ht="24" customHeight="1" x14ac:dyDescent="0.2">
      <c r="A40" s="98"/>
      <c r="B40" s="188"/>
      <c r="C40" s="185"/>
    </row>
    <row r="41" spans="1:3" ht="24" customHeight="1" x14ac:dyDescent="0.2">
      <c r="A41" s="98"/>
      <c r="B41" s="188"/>
      <c r="C41" s="185"/>
    </row>
    <row r="42" spans="1:3" ht="24" customHeight="1" x14ac:dyDescent="0.2">
      <c r="A42" s="98"/>
      <c r="B42" s="188"/>
      <c r="C42" s="185"/>
    </row>
    <row r="43" spans="1:3" ht="24" customHeight="1" x14ac:dyDescent="0.2">
      <c r="A43" s="98"/>
      <c r="B43" s="188"/>
      <c r="C43" s="185"/>
    </row>
    <row r="44" spans="1:3" ht="24" customHeight="1" x14ac:dyDescent="0.2">
      <c r="A44" s="98"/>
      <c r="B44" s="188"/>
      <c r="C44" s="185"/>
    </row>
    <row r="45" spans="1:3" ht="24" customHeight="1" x14ac:dyDescent="0.2">
      <c r="A45" s="98"/>
      <c r="B45" s="188"/>
      <c r="C45" s="185"/>
    </row>
    <row r="46" spans="1:3" ht="24" customHeight="1" x14ac:dyDescent="0.2">
      <c r="A46" s="98"/>
      <c r="B46" s="188"/>
      <c r="C46" s="185"/>
    </row>
    <row r="47" spans="1:3" ht="24" customHeight="1" x14ac:dyDescent="0.2">
      <c r="A47" s="98"/>
      <c r="B47" s="188"/>
      <c r="C47" s="185"/>
    </row>
    <row r="48" spans="1:3" ht="24" customHeight="1" x14ac:dyDescent="0.2">
      <c r="A48" s="98"/>
      <c r="B48" s="188"/>
      <c r="C48" s="185"/>
    </row>
    <row r="49" spans="1:3" ht="24" customHeight="1" x14ac:dyDescent="0.2">
      <c r="A49" s="98"/>
      <c r="B49" s="188"/>
      <c r="C49" s="185"/>
    </row>
    <row r="50" spans="1:3" ht="24" customHeight="1" x14ac:dyDescent="0.2">
      <c r="A50" s="98"/>
      <c r="B50" s="188"/>
      <c r="C50" s="185"/>
    </row>
    <row r="51" spans="1:3" ht="24" customHeight="1" x14ac:dyDescent="0.2">
      <c r="A51" s="98"/>
      <c r="B51" s="188"/>
      <c r="C51" s="185"/>
    </row>
    <row r="52" spans="1:3" ht="24" customHeight="1" x14ac:dyDescent="0.2">
      <c r="A52" s="72"/>
      <c r="B52" s="188"/>
      <c r="C52" s="185"/>
    </row>
    <row r="53" spans="1:3" ht="24" customHeight="1" x14ac:dyDescent="0.2">
      <c r="A53" s="72"/>
      <c r="B53" s="188"/>
      <c r="C53" s="185"/>
    </row>
    <row r="54" spans="1:3" ht="24" customHeight="1" x14ac:dyDescent="0.2">
      <c r="A54" s="72"/>
      <c r="B54" s="188"/>
      <c r="C54" s="185"/>
    </row>
    <row r="55" spans="1:3" ht="24" customHeight="1" x14ac:dyDescent="0.2">
      <c r="A55" s="72"/>
      <c r="B55" s="188"/>
      <c r="C55" s="185"/>
    </row>
    <row r="56" spans="1:3" ht="24" customHeight="1" x14ac:dyDescent="0.2">
      <c r="A56" s="72"/>
      <c r="B56" s="188"/>
      <c r="C56" s="185"/>
    </row>
    <row r="57" spans="1:3" ht="24" customHeight="1" x14ac:dyDescent="0.2">
      <c r="A57" s="72"/>
      <c r="B57" s="188"/>
      <c r="C57" s="185"/>
    </row>
    <row r="58" spans="1:3" ht="24" customHeight="1" x14ac:dyDescent="0.2">
      <c r="A58" s="72"/>
      <c r="B58" s="188"/>
      <c r="C58" s="185"/>
    </row>
    <row r="59" spans="1:3" ht="24" customHeight="1" x14ac:dyDescent="0.2">
      <c r="A59" s="72"/>
      <c r="B59" s="188"/>
      <c r="C59" s="185"/>
    </row>
    <row r="60" spans="1:3" ht="24" customHeight="1" x14ac:dyDescent="0.2">
      <c r="A60" s="72"/>
      <c r="B60" s="188"/>
      <c r="C60" s="185"/>
    </row>
    <row r="61" spans="1:3" ht="24" customHeight="1" x14ac:dyDescent="0.2">
      <c r="A61" s="72"/>
      <c r="B61" s="188"/>
      <c r="C61" s="185"/>
    </row>
    <row r="62" spans="1:3" ht="24" customHeight="1" x14ac:dyDescent="0.2">
      <c r="A62" s="72"/>
      <c r="B62" s="188"/>
      <c r="C62" s="185"/>
    </row>
    <row r="63" spans="1:3" ht="24" customHeight="1" x14ac:dyDescent="0.2">
      <c r="A63" s="72"/>
      <c r="B63" s="188"/>
      <c r="C63" s="185"/>
    </row>
    <row r="64" spans="1:3" ht="24" customHeight="1" x14ac:dyDescent="0.2">
      <c r="A64" s="72"/>
      <c r="B64" s="188"/>
      <c r="C64" s="185"/>
    </row>
    <row r="65" spans="1:25" ht="24" customHeight="1" x14ac:dyDescent="0.2">
      <c r="A65" s="72"/>
      <c r="B65" s="188"/>
      <c r="C65" s="185"/>
    </row>
    <row r="66" spans="1:25" ht="24" customHeight="1" x14ac:dyDescent="0.2">
      <c r="A66" s="72"/>
      <c r="B66" s="188"/>
      <c r="C66" s="185"/>
    </row>
    <row r="67" spans="1:25" ht="24" customHeight="1" x14ac:dyDescent="0.2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103"/>
      <c r="T67" s="103"/>
      <c r="U67" s="116"/>
      <c r="V67" s="74"/>
      <c r="X67" s="188"/>
      <c r="Y67" s="185"/>
    </row>
    <row r="68" spans="1:25" ht="24" customHeight="1" x14ac:dyDescent="0.2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103"/>
      <c r="T68" s="103"/>
      <c r="U68" s="116"/>
      <c r="V68" s="74"/>
      <c r="X68" s="188"/>
      <c r="Y68" s="185"/>
    </row>
    <row r="69" spans="1:25" ht="24" customHeight="1" x14ac:dyDescent="0.2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89"/>
      <c r="T69" s="89"/>
      <c r="U69" s="116"/>
      <c r="V69" s="74"/>
      <c r="X69" s="188"/>
      <c r="Y69" s="185"/>
    </row>
    <row r="70" spans="1:25" x14ac:dyDescent="0.2">
      <c r="S70" s="98"/>
      <c r="T70" s="98"/>
      <c r="U70" s="98"/>
    </row>
    <row r="71" spans="1:25" x14ac:dyDescent="0.2">
      <c r="S71" s="98"/>
      <c r="T71" s="98"/>
      <c r="U71" s="98"/>
    </row>
    <row r="72" spans="1:25" x14ac:dyDescent="0.2">
      <c r="S72" s="98"/>
      <c r="T72" s="98"/>
      <c r="U72" s="98"/>
    </row>
  </sheetData>
  <sheetProtection formatCells="0" selectLockedCells="1" selectUnlockedCells="1"/>
  <mergeCells count="85">
    <mergeCell ref="C1:E1"/>
    <mergeCell ref="C2:E2"/>
    <mergeCell ref="C3:E3"/>
    <mergeCell ref="C4:E4"/>
    <mergeCell ref="F1:H1"/>
    <mergeCell ref="F2:H2"/>
    <mergeCell ref="F3:H3"/>
    <mergeCell ref="F4:H4"/>
    <mergeCell ref="X68:Y68"/>
    <mergeCell ref="X69:Y69"/>
    <mergeCell ref="I1:K1"/>
    <mergeCell ref="I2:K2"/>
    <mergeCell ref="I3:K3"/>
    <mergeCell ref="I4:K4"/>
    <mergeCell ref="L2:N2"/>
    <mergeCell ref="L3:N3"/>
    <mergeCell ref="R1:T1"/>
    <mergeCell ref="R2:T2"/>
    <mergeCell ref="L1:Q1"/>
    <mergeCell ref="R3:T3"/>
    <mergeCell ref="R4:T4"/>
    <mergeCell ref="L4:N4"/>
    <mergeCell ref="O2:Q2"/>
    <mergeCell ref="O3:Q3"/>
    <mergeCell ref="O4:Q4"/>
    <mergeCell ref="B65:C65"/>
    <mergeCell ref="B66:C66"/>
    <mergeCell ref="X67:Y67"/>
    <mergeCell ref="B58:C58"/>
    <mergeCell ref="B59:C59"/>
    <mergeCell ref="B60:C60"/>
    <mergeCell ref="B61:C61"/>
    <mergeCell ref="B62:C62"/>
    <mergeCell ref="B63:C63"/>
    <mergeCell ref="B64:C64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X28:Y28"/>
    <mergeCell ref="X29:Y29"/>
    <mergeCell ref="X30:Y30"/>
    <mergeCell ref="X31:Y31"/>
    <mergeCell ref="B32:C32"/>
    <mergeCell ref="B33:C33"/>
    <mergeCell ref="B34:C34"/>
    <mergeCell ref="B35:C35"/>
    <mergeCell ref="B36:C36"/>
    <mergeCell ref="B37:C37"/>
    <mergeCell ref="X18:Y18"/>
    <mergeCell ref="X19:Y19"/>
    <mergeCell ref="X20:Y20"/>
    <mergeCell ref="X21:Y21"/>
    <mergeCell ref="X22:Y22"/>
    <mergeCell ref="X23:Y23"/>
    <mergeCell ref="X24:Y24"/>
    <mergeCell ref="X25:Y25"/>
    <mergeCell ref="X26:Y26"/>
    <mergeCell ref="X27:Y27"/>
    <mergeCell ref="A5:A6"/>
    <mergeCell ref="B5:T5"/>
    <mergeCell ref="X10:Y10"/>
    <mergeCell ref="X11:Y11"/>
    <mergeCell ref="X12:Y12"/>
    <mergeCell ref="X13:Y13"/>
    <mergeCell ref="X14:Y14"/>
    <mergeCell ref="X15:Y15"/>
    <mergeCell ref="X16:Y16"/>
    <mergeCell ref="X17:Y17"/>
  </mergeCells>
  <printOptions horizontalCentered="1" verticalCentered="1" gridLines="1"/>
  <pageMargins left="0.5" right="0.5" top="0.5" bottom="0.25" header="0" footer="0"/>
  <pageSetup scale="74" orientation="landscape" r:id="rId1"/>
  <headerFooter alignWithMargins="0">
    <oddHeader>&amp;LFAX-425-487-1568&amp;CTIMESHEET</oddHeader>
  </headerFooter>
  <colBreaks count="1" manualBreakCount="1">
    <brk id="21" max="68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workbookViewId="0">
      <selection activeCell="R4" sqref="R4:T4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123</v>
      </c>
      <c r="D1" s="175"/>
      <c r="E1" s="175"/>
      <c r="F1" s="165" t="s">
        <v>132</v>
      </c>
      <c r="G1" s="166"/>
      <c r="H1" s="166"/>
      <c r="I1" s="174"/>
      <c r="J1" s="175"/>
      <c r="K1" s="175"/>
      <c r="L1" s="179" t="s">
        <v>131</v>
      </c>
      <c r="M1" s="193"/>
      <c r="N1" s="193"/>
      <c r="O1" s="193"/>
      <c r="P1" s="193"/>
      <c r="Q1" s="193"/>
      <c r="R1" s="175"/>
      <c r="S1" s="176"/>
      <c r="T1" s="176"/>
      <c r="U1" s="109"/>
      <c r="V1" s="112"/>
    </row>
    <row r="2" spans="1:25" ht="24" customHeight="1" x14ac:dyDescent="0.2">
      <c r="A2" s="103"/>
      <c r="B2" s="110" t="s">
        <v>184</v>
      </c>
      <c r="C2" s="175" t="s">
        <v>183</v>
      </c>
      <c r="D2" s="175"/>
      <c r="E2" s="175"/>
      <c r="F2" s="174"/>
      <c r="G2" s="176"/>
      <c r="H2" s="176"/>
      <c r="I2" s="174" t="s">
        <v>126</v>
      </c>
      <c r="J2" s="175"/>
      <c r="K2" s="175"/>
      <c r="L2" s="174" t="s">
        <v>125</v>
      </c>
      <c r="M2" s="176"/>
      <c r="N2" s="176"/>
      <c r="O2" s="175" t="s">
        <v>130</v>
      </c>
      <c r="P2" s="176"/>
      <c r="Q2" s="176"/>
      <c r="R2" s="175"/>
      <c r="S2" s="176"/>
      <c r="T2" s="176"/>
      <c r="U2" s="109"/>
      <c r="V2" s="112"/>
    </row>
    <row r="3" spans="1:25" ht="24" customHeight="1" x14ac:dyDescent="0.2">
      <c r="A3" s="103"/>
      <c r="B3" s="110" t="s">
        <v>129</v>
      </c>
      <c r="C3" s="174" t="s">
        <v>116</v>
      </c>
      <c r="D3" s="176"/>
      <c r="E3" s="176"/>
      <c r="F3" s="174"/>
      <c r="G3" s="176"/>
      <c r="H3" s="176"/>
      <c r="I3" s="174" t="s">
        <v>119</v>
      </c>
      <c r="J3" s="175"/>
      <c r="K3" s="175"/>
      <c r="L3" s="174" t="s">
        <v>118</v>
      </c>
      <c r="M3" s="176"/>
      <c r="N3" s="176"/>
      <c r="O3" s="175" t="s">
        <v>124</v>
      </c>
      <c r="P3" s="176"/>
      <c r="Q3" s="176"/>
      <c r="R3" s="175"/>
      <c r="S3" s="176"/>
      <c r="T3" s="176"/>
      <c r="U3" s="109"/>
      <c r="V3" s="111"/>
    </row>
    <row r="4" spans="1:25" ht="24" customHeight="1" thickBot="1" x14ac:dyDescent="0.25">
      <c r="A4" s="103"/>
      <c r="B4" s="110" t="s">
        <v>175</v>
      </c>
      <c r="C4" s="174" t="s">
        <v>134</v>
      </c>
      <c r="D4" s="176"/>
      <c r="E4" s="176"/>
      <c r="F4" s="174"/>
      <c r="G4" s="176"/>
      <c r="H4" s="176"/>
      <c r="I4" s="174" t="s">
        <v>112</v>
      </c>
      <c r="J4" s="175"/>
      <c r="K4" s="175"/>
      <c r="L4" s="174" t="s">
        <v>111</v>
      </c>
      <c r="M4" s="176"/>
      <c r="N4" s="176"/>
      <c r="O4" s="175" t="s">
        <v>117</v>
      </c>
      <c r="P4" s="176"/>
      <c r="Q4" s="176"/>
      <c r="R4" s="190" t="s">
        <v>178</v>
      </c>
      <c r="S4" s="177"/>
      <c r="T4" s="177"/>
      <c r="U4" s="109"/>
      <c r="V4" s="89"/>
    </row>
    <row r="5" spans="1:25" ht="24" customHeight="1" thickBot="1" x14ac:dyDescent="0.25">
      <c r="A5" s="180"/>
      <c r="B5" s="181" t="s">
        <v>182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42502</v>
      </c>
      <c r="D6" s="107"/>
      <c r="E6" s="107"/>
      <c r="F6" s="107">
        <f>C6+1</f>
        <v>42503</v>
      </c>
      <c r="G6" s="107"/>
      <c r="H6" s="107"/>
      <c r="I6" s="107">
        <f>F6+3</f>
        <v>42506</v>
      </c>
      <c r="J6" s="107"/>
      <c r="K6" s="107"/>
      <c r="L6" s="107">
        <f>I6+1</f>
        <v>42507</v>
      </c>
      <c r="M6" s="107"/>
      <c r="N6" s="107"/>
      <c r="O6" s="107">
        <f>L6+1</f>
        <v>42508</v>
      </c>
      <c r="P6" s="107"/>
      <c r="Q6" s="107"/>
      <c r="R6" s="107">
        <f>F6+1</f>
        <v>42504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/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104"/>
      <c r="V8" s="94"/>
      <c r="W8" s="98"/>
    </row>
    <row r="9" spans="1:25" ht="24" customHeight="1" x14ac:dyDescent="0.2">
      <c r="A9" s="103"/>
      <c r="B9" s="97" t="s">
        <v>110</v>
      </c>
      <c r="C9" s="97" t="s">
        <v>170</v>
      </c>
      <c r="D9" s="97" t="s">
        <v>169</v>
      </c>
      <c r="E9" s="97" t="s">
        <v>17</v>
      </c>
      <c r="F9" s="97" t="s">
        <v>170</v>
      </c>
      <c r="G9" s="97" t="s">
        <v>169</v>
      </c>
      <c r="H9" s="97" t="s">
        <v>17</v>
      </c>
      <c r="I9" s="97" t="s">
        <v>170</v>
      </c>
      <c r="J9" s="97" t="s">
        <v>169</v>
      </c>
      <c r="K9" s="97" t="s">
        <v>17</v>
      </c>
      <c r="L9" s="97" t="s">
        <v>170</v>
      </c>
      <c r="M9" s="97" t="s">
        <v>169</v>
      </c>
      <c r="N9" s="97" t="s">
        <v>17</v>
      </c>
      <c r="O9" s="97" t="s">
        <v>170</v>
      </c>
      <c r="P9" s="97" t="s">
        <v>169</v>
      </c>
      <c r="Q9" s="97" t="s">
        <v>17</v>
      </c>
      <c r="R9" s="97" t="s">
        <v>170</v>
      </c>
      <c r="S9" s="97" t="s">
        <v>169</v>
      </c>
      <c r="T9" s="97" t="s">
        <v>17</v>
      </c>
      <c r="U9" s="101"/>
      <c r="V9" s="100"/>
      <c r="W9" s="98"/>
    </row>
    <row r="10" spans="1:25" ht="24" customHeight="1" x14ac:dyDescent="0.2">
      <c r="A10" s="91"/>
      <c r="B10" s="81"/>
      <c r="C10" s="83"/>
      <c r="D10" s="84"/>
      <c r="E10" s="83"/>
      <c r="F10" s="83"/>
      <c r="G10" s="84"/>
      <c r="H10" s="79"/>
      <c r="I10" s="79"/>
      <c r="J10" s="84"/>
      <c r="K10" s="79"/>
      <c r="L10" s="79"/>
      <c r="M10" s="84"/>
      <c r="N10" s="79"/>
      <c r="O10" s="79"/>
      <c r="P10" s="84"/>
      <c r="Q10" s="79"/>
      <c r="R10" s="83"/>
      <c r="S10" s="84"/>
      <c r="T10" s="83"/>
      <c r="U10" s="75">
        <f t="shared" ref="U10:U31" si="0">SUM(B10,E10,H10,K10,N10,Q10,T10)</f>
        <v>0</v>
      </c>
      <c r="V10" s="94"/>
      <c r="W10" s="98"/>
      <c r="X10" s="184"/>
      <c r="Y10" s="185"/>
    </row>
    <row r="11" spans="1:25" ht="24" customHeight="1" x14ac:dyDescent="0.2">
      <c r="A11" s="91"/>
      <c r="B11" s="95"/>
      <c r="C11" s="79"/>
      <c r="D11" s="80"/>
      <c r="E11" s="79"/>
      <c r="F11" s="79"/>
      <c r="G11" s="80"/>
      <c r="H11" s="79"/>
      <c r="I11" s="79"/>
      <c r="J11" s="80"/>
      <c r="K11" s="79"/>
      <c r="L11" s="79"/>
      <c r="M11" s="80"/>
      <c r="N11" s="79"/>
      <c r="O11" s="79"/>
      <c r="P11" s="80"/>
      <c r="Q11" s="79"/>
      <c r="R11" s="79"/>
      <c r="S11" s="84"/>
      <c r="T11" s="83"/>
      <c r="U11" s="75">
        <f t="shared" si="0"/>
        <v>0</v>
      </c>
      <c r="V11" s="94"/>
      <c r="W11" s="98"/>
      <c r="X11" s="184"/>
      <c r="Y11" s="185"/>
    </row>
    <row r="12" spans="1:25" ht="24" customHeight="1" x14ac:dyDescent="0.2">
      <c r="A12" s="91"/>
      <c r="B12" s="81"/>
      <c r="C12" s="79"/>
      <c r="D12" s="80"/>
      <c r="E12" s="79"/>
      <c r="F12" s="79"/>
      <c r="G12" s="80"/>
      <c r="H12" s="79"/>
      <c r="I12" s="79"/>
      <c r="J12" s="80"/>
      <c r="K12" s="79"/>
      <c r="L12" s="79"/>
      <c r="M12" s="80"/>
      <c r="N12" s="79"/>
      <c r="O12" s="79"/>
      <c r="P12" s="80"/>
      <c r="Q12" s="79"/>
      <c r="R12" s="79"/>
      <c r="S12" s="84"/>
      <c r="T12" s="83"/>
      <c r="U12" s="75">
        <f t="shared" si="0"/>
        <v>0</v>
      </c>
      <c r="V12" s="94"/>
      <c r="W12" s="98"/>
      <c r="X12" s="184"/>
      <c r="Y12" s="185"/>
    </row>
    <row r="13" spans="1:25" ht="24" customHeight="1" x14ac:dyDescent="0.2">
      <c r="A13" s="91"/>
      <c r="B13" s="81"/>
      <c r="C13" s="79"/>
      <c r="D13" s="80"/>
      <c r="E13" s="79"/>
      <c r="F13" s="79"/>
      <c r="G13" s="80"/>
      <c r="H13" s="79"/>
      <c r="I13" s="79"/>
      <c r="J13" s="80"/>
      <c r="K13" s="79"/>
      <c r="L13" s="79"/>
      <c r="M13" s="80"/>
      <c r="N13" s="79"/>
      <c r="O13" s="79"/>
      <c r="P13" s="80"/>
      <c r="Q13" s="79"/>
      <c r="R13" s="79"/>
      <c r="S13" s="84"/>
      <c r="T13" s="83"/>
      <c r="U13" s="75">
        <f t="shared" si="0"/>
        <v>0</v>
      </c>
      <c r="V13" s="94"/>
      <c r="W13" s="98"/>
      <c r="X13" s="184"/>
      <c r="Y13" s="185"/>
    </row>
    <row r="14" spans="1:25" ht="24" customHeight="1" x14ac:dyDescent="0.2">
      <c r="A14" s="91">
        <v>1</v>
      </c>
      <c r="B14" s="81" t="s">
        <v>181</v>
      </c>
      <c r="C14" s="79">
        <v>2028</v>
      </c>
      <c r="D14" s="80">
        <v>101</v>
      </c>
      <c r="E14" s="79">
        <v>2</v>
      </c>
      <c r="F14" s="79" t="s">
        <v>185</v>
      </c>
      <c r="G14" s="80">
        <v>800</v>
      </c>
      <c r="H14" s="79">
        <v>4</v>
      </c>
      <c r="I14" s="79">
        <v>2026</v>
      </c>
      <c r="J14" s="80">
        <v>101</v>
      </c>
      <c r="K14" s="79">
        <v>2</v>
      </c>
      <c r="L14" s="79" t="s">
        <v>185</v>
      </c>
      <c r="M14" s="80">
        <v>800</v>
      </c>
      <c r="N14" s="79">
        <v>1</v>
      </c>
      <c r="O14" s="79" t="s">
        <v>185</v>
      </c>
      <c r="P14" s="80">
        <v>800</v>
      </c>
      <c r="Q14" s="79">
        <v>2</v>
      </c>
      <c r="R14" s="79"/>
      <c r="S14" s="84"/>
      <c r="T14" s="83"/>
      <c r="U14" s="75">
        <f t="shared" si="0"/>
        <v>11</v>
      </c>
      <c r="V14" s="94"/>
      <c r="W14" s="98"/>
      <c r="X14" s="184"/>
      <c r="Y14" s="185"/>
    </row>
    <row r="15" spans="1:25" ht="24" customHeight="1" x14ac:dyDescent="0.2">
      <c r="A15" s="91"/>
      <c r="B15" s="81"/>
      <c r="C15" s="79">
        <v>2027</v>
      </c>
      <c r="D15" s="80">
        <v>101</v>
      </c>
      <c r="E15" s="79">
        <v>2</v>
      </c>
      <c r="F15" s="79">
        <v>2021</v>
      </c>
      <c r="G15" s="80">
        <v>100</v>
      </c>
      <c r="H15" s="79">
        <v>1</v>
      </c>
      <c r="I15" s="79">
        <v>2027</v>
      </c>
      <c r="J15" s="80">
        <v>101</v>
      </c>
      <c r="K15" s="79">
        <v>1</v>
      </c>
      <c r="L15" s="79">
        <v>2026</v>
      </c>
      <c r="M15" s="80">
        <v>101</v>
      </c>
      <c r="N15" s="79">
        <v>1</v>
      </c>
      <c r="O15" s="79">
        <v>2027</v>
      </c>
      <c r="P15" s="80">
        <v>101</v>
      </c>
      <c r="Q15" s="79">
        <v>1</v>
      </c>
      <c r="R15" s="79"/>
      <c r="S15" s="84"/>
      <c r="T15" s="83"/>
      <c r="U15" s="75">
        <f t="shared" si="0"/>
        <v>6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79">
        <v>2026</v>
      </c>
      <c r="D16" s="80">
        <v>101</v>
      </c>
      <c r="E16" s="79">
        <v>1</v>
      </c>
      <c r="F16" s="79">
        <v>2024</v>
      </c>
      <c r="G16" s="80">
        <v>100</v>
      </c>
      <c r="H16" s="79">
        <v>1</v>
      </c>
      <c r="I16" s="79">
        <v>2028</v>
      </c>
      <c r="J16" s="80">
        <v>101</v>
      </c>
      <c r="K16" s="79">
        <v>1</v>
      </c>
      <c r="L16" s="79">
        <v>2023</v>
      </c>
      <c r="M16" s="80">
        <v>151</v>
      </c>
      <c r="N16" s="79">
        <v>1</v>
      </c>
      <c r="O16" s="79">
        <v>2025</v>
      </c>
      <c r="P16" s="80">
        <v>101</v>
      </c>
      <c r="Q16" s="79">
        <v>1</v>
      </c>
      <c r="R16" s="79"/>
      <c r="S16" s="84"/>
      <c r="T16" s="83"/>
      <c r="U16" s="75">
        <f t="shared" si="0"/>
        <v>5</v>
      </c>
      <c r="V16" s="94"/>
      <c r="W16" s="98"/>
      <c r="X16" s="184"/>
      <c r="Y16" s="185"/>
    </row>
    <row r="17" spans="1:25" ht="24" customHeight="1" x14ac:dyDescent="0.2">
      <c r="A17" s="91"/>
      <c r="B17" s="91"/>
      <c r="C17" s="79">
        <v>2024</v>
      </c>
      <c r="D17" s="80">
        <v>100</v>
      </c>
      <c r="E17" s="79">
        <v>2</v>
      </c>
      <c r="F17" s="79">
        <v>2028</v>
      </c>
      <c r="G17" s="80">
        <v>100</v>
      </c>
      <c r="H17" s="79">
        <v>1</v>
      </c>
      <c r="I17" s="79">
        <v>2025</v>
      </c>
      <c r="J17" s="80">
        <v>101</v>
      </c>
      <c r="K17" s="79">
        <v>1</v>
      </c>
      <c r="L17" s="79">
        <v>2027</v>
      </c>
      <c r="M17" s="80">
        <v>101</v>
      </c>
      <c r="N17" s="79">
        <v>1</v>
      </c>
      <c r="O17" s="79">
        <v>2026</v>
      </c>
      <c r="P17" s="80">
        <v>101</v>
      </c>
      <c r="Q17" s="79">
        <v>1</v>
      </c>
      <c r="R17" s="79"/>
      <c r="S17" s="84"/>
      <c r="T17" s="83"/>
      <c r="U17" s="75">
        <f t="shared" si="0"/>
        <v>6</v>
      </c>
      <c r="V17" s="94"/>
      <c r="W17" s="98"/>
      <c r="X17" s="184"/>
      <c r="Y17" s="185"/>
    </row>
    <row r="18" spans="1:25" ht="24" customHeight="1" x14ac:dyDescent="0.2">
      <c r="A18" s="91"/>
      <c r="B18" s="91"/>
      <c r="C18" s="79">
        <v>2021</v>
      </c>
      <c r="D18" s="80">
        <v>100</v>
      </c>
      <c r="E18" s="79">
        <v>1</v>
      </c>
      <c r="F18" s="79">
        <v>2023</v>
      </c>
      <c r="G18" s="80">
        <v>100</v>
      </c>
      <c r="H18" s="79">
        <v>1</v>
      </c>
      <c r="I18" s="79">
        <v>2024</v>
      </c>
      <c r="J18" s="80">
        <v>100</v>
      </c>
      <c r="K18" s="79">
        <v>1.5</v>
      </c>
      <c r="L18" s="79">
        <v>2026</v>
      </c>
      <c r="M18" s="80">
        <v>100</v>
      </c>
      <c r="N18" s="79">
        <v>2</v>
      </c>
      <c r="O18" s="79">
        <v>2023</v>
      </c>
      <c r="P18" s="80">
        <v>100</v>
      </c>
      <c r="Q18" s="79">
        <v>1.5</v>
      </c>
      <c r="R18" s="79"/>
      <c r="S18" s="84"/>
      <c r="T18" s="83"/>
      <c r="U18" s="75">
        <f t="shared" si="0"/>
        <v>7</v>
      </c>
      <c r="V18" s="94"/>
      <c r="W18" s="98"/>
      <c r="X18" s="184"/>
      <c r="Y18" s="185"/>
    </row>
    <row r="19" spans="1:25" ht="24" customHeight="1" x14ac:dyDescent="0.2">
      <c r="A19" s="91"/>
      <c r="B19" s="81"/>
      <c r="C19" s="79"/>
      <c r="D19" s="80"/>
      <c r="E19" s="79"/>
      <c r="F19" s="79"/>
      <c r="G19" s="80"/>
      <c r="H19" s="79"/>
      <c r="I19" s="79">
        <v>2028</v>
      </c>
      <c r="J19" s="80">
        <v>100</v>
      </c>
      <c r="K19" s="79">
        <v>1.5</v>
      </c>
      <c r="L19" s="79">
        <v>2027</v>
      </c>
      <c r="M19" s="80">
        <v>100</v>
      </c>
      <c r="N19" s="79">
        <v>1</v>
      </c>
      <c r="O19" s="79">
        <v>2024</v>
      </c>
      <c r="P19" s="80">
        <v>100</v>
      </c>
      <c r="Q19" s="79">
        <v>1.5</v>
      </c>
      <c r="R19" s="79"/>
      <c r="S19" s="84"/>
      <c r="T19" s="83"/>
      <c r="U19" s="75">
        <f t="shared" si="0"/>
        <v>4</v>
      </c>
      <c r="V19" s="94"/>
      <c r="W19" s="98"/>
      <c r="X19" s="184"/>
      <c r="Y19" s="185"/>
    </row>
    <row r="20" spans="1:25" ht="24" customHeight="1" x14ac:dyDescent="0.2">
      <c r="A20" s="91"/>
      <c r="B20" s="81"/>
      <c r="C20" s="79"/>
      <c r="D20" s="80"/>
      <c r="E20" s="79"/>
      <c r="F20" s="79"/>
      <c r="G20" s="80"/>
      <c r="H20" s="79"/>
      <c r="I20" s="79"/>
      <c r="J20" s="80"/>
      <c r="K20" s="79"/>
      <c r="L20" s="79">
        <v>2025</v>
      </c>
      <c r="M20" s="80">
        <v>100</v>
      </c>
      <c r="N20" s="79">
        <v>1</v>
      </c>
      <c r="O20" s="79"/>
      <c r="P20" s="80"/>
      <c r="Q20" s="79"/>
      <c r="R20" s="79"/>
      <c r="S20" s="84"/>
      <c r="T20" s="83"/>
      <c r="U20" s="75">
        <f t="shared" si="0"/>
        <v>1</v>
      </c>
      <c r="V20" s="94"/>
      <c r="W20" s="98"/>
      <c r="X20" s="184"/>
      <c r="Y20" s="185"/>
    </row>
    <row r="21" spans="1:25" ht="24" customHeight="1" x14ac:dyDescent="0.2">
      <c r="A21" s="91"/>
      <c r="B21" s="81"/>
      <c r="C21" s="79"/>
      <c r="D21" s="80"/>
      <c r="E21" s="79"/>
      <c r="F21" s="79"/>
      <c r="G21" s="80"/>
      <c r="H21" s="79"/>
      <c r="I21" s="79"/>
      <c r="J21" s="80"/>
      <c r="K21" s="79"/>
      <c r="L21" s="79"/>
      <c r="M21" s="80"/>
      <c r="N21" s="79"/>
      <c r="O21" s="79"/>
      <c r="P21" s="80"/>
      <c r="Q21" s="79"/>
      <c r="R21" s="79"/>
      <c r="S21" s="84"/>
      <c r="T21" s="83"/>
      <c r="U21" s="75">
        <f t="shared" si="0"/>
        <v>0</v>
      </c>
      <c r="V21" s="94"/>
      <c r="W21" s="98"/>
      <c r="X21" s="184"/>
      <c r="Y21" s="185"/>
    </row>
    <row r="22" spans="1:25" ht="24" customHeight="1" x14ac:dyDescent="0.2">
      <c r="A22" s="91">
        <v>2</v>
      </c>
      <c r="B22" s="81" t="s">
        <v>180</v>
      </c>
      <c r="C22" s="86"/>
      <c r="D22" s="87" t="s">
        <v>138</v>
      </c>
      <c r="E22" s="86"/>
      <c r="F22" s="86"/>
      <c r="G22" s="87" t="s">
        <v>138</v>
      </c>
      <c r="H22" s="86"/>
      <c r="I22" s="79">
        <v>2023</v>
      </c>
      <c r="J22" s="80">
        <v>120</v>
      </c>
      <c r="K22" s="79">
        <v>1</v>
      </c>
      <c r="L22" s="79" t="s">
        <v>142</v>
      </c>
      <c r="M22" s="80">
        <v>606</v>
      </c>
      <c r="N22" s="79">
        <v>8</v>
      </c>
      <c r="O22" s="79" t="s">
        <v>142</v>
      </c>
      <c r="P22" s="80">
        <v>606</v>
      </c>
      <c r="Q22" s="79">
        <v>4</v>
      </c>
      <c r="R22" s="79"/>
      <c r="S22" s="84"/>
      <c r="T22" s="79"/>
      <c r="U22" s="75">
        <f t="shared" si="0"/>
        <v>13</v>
      </c>
      <c r="V22" s="89"/>
      <c r="W22" s="98"/>
      <c r="X22" s="184"/>
      <c r="Y22" s="185"/>
    </row>
    <row r="23" spans="1:25" ht="24" customHeight="1" x14ac:dyDescent="0.2">
      <c r="A23" s="91"/>
      <c r="B23" s="81"/>
      <c r="C23" s="79"/>
      <c r="D23" s="80"/>
      <c r="E23" s="79"/>
      <c r="F23" s="79"/>
      <c r="G23" s="80"/>
      <c r="H23" s="79"/>
      <c r="I23" s="79">
        <v>2028</v>
      </c>
      <c r="J23" s="80">
        <v>110</v>
      </c>
      <c r="K23" s="79">
        <v>1</v>
      </c>
      <c r="L23" s="79"/>
      <c r="M23" s="80"/>
      <c r="N23" s="79"/>
      <c r="O23" s="79">
        <v>2021</v>
      </c>
      <c r="P23" s="80">
        <v>130</v>
      </c>
      <c r="Q23" s="79">
        <v>1.5</v>
      </c>
      <c r="R23" s="79"/>
      <c r="S23" s="84"/>
      <c r="T23" s="83"/>
      <c r="U23" s="75">
        <f t="shared" si="0"/>
        <v>2.5</v>
      </c>
      <c r="V23" s="89"/>
      <c r="W23" s="98"/>
      <c r="X23" s="184"/>
      <c r="Y23" s="185"/>
    </row>
    <row r="24" spans="1:25" ht="24" customHeight="1" x14ac:dyDescent="0.2">
      <c r="A24" s="91"/>
      <c r="B24" s="81"/>
      <c r="C24" s="79"/>
      <c r="D24" s="80"/>
      <c r="E24" s="79"/>
      <c r="F24" s="79"/>
      <c r="G24" s="80"/>
      <c r="H24" s="79"/>
      <c r="I24" s="79" t="s">
        <v>142</v>
      </c>
      <c r="J24" s="80">
        <v>606</v>
      </c>
      <c r="K24" s="79">
        <v>6</v>
      </c>
      <c r="L24" s="79"/>
      <c r="M24" s="80"/>
      <c r="N24" s="79"/>
      <c r="O24" s="79">
        <v>2024</v>
      </c>
      <c r="P24" s="80">
        <v>130</v>
      </c>
      <c r="Q24" s="79">
        <v>1.5</v>
      </c>
      <c r="R24" s="79"/>
      <c r="S24" s="80"/>
      <c r="T24" s="83"/>
      <c r="U24" s="75">
        <f t="shared" si="0"/>
        <v>7.5</v>
      </c>
      <c r="V24" s="94"/>
      <c r="W24" s="98"/>
      <c r="X24" s="184"/>
      <c r="Y24" s="185"/>
    </row>
    <row r="25" spans="1:25" ht="24" customHeight="1" x14ac:dyDescent="0.2">
      <c r="A25" s="91"/>
      <c r="B25" s="81"/>
      <c r="C25" s="79"/>
      <c r="D25" s="80"/>
      <c r="E25" s="79"/>
      <c r="F25" s="79"/>
      <c r="G25" s="80"/>
      <c r="H25" s="79"/>
      <c r="I25" s="79"/>
      <c r="J25" s="80"/>
      <c r="K25" s="79"/>
      <c r="L25" s="79"/>
      <c r="M25" s="80"/>
      <c r="N25" s="79"/>
      <c r="O25" s="79">
        <v>2027</v>
      </c>
      <c r="P25" s="80">
        <v>142</v>
      </c>
      <c r="Q25" s="79">
        <v>1</v>
      </c>
      <c r="R25" s="79"/>
      <c r="S25" s="80"/>
      <c r="T25" s="83"/>
      <c r="U25" s="75">
        <f t="shared" si="0"/>
        <v>1</v>
      </c>
      <c r="V25" s="94"/>
      <c r="W25" s="98"/>
      <c r="X25" s="184"/>
      <c r="Y25" s="185"/>
    </row>
    <row r="26" spans="1:25" ht="24" customHeight="1" x14ac:dyDescent="0.2">
      <c r="A26" s="91"/>
      <c r="B26" s="81"/>
      <c r="C26" s="79"/>
      <c r="D26" s="80"/>
      <c r="E26" s="79"/>
      <c r="F26" s="79"/>
      <c r="G26" s="80"/>
      <c r="H26" s="79"/>
      <c r="I26" s="79"/>
      <c r="J26" s="80"/>
      <c r="K26" s="79"/>
      <c r="L26" s="79"/>
      <c r="M26" s="80"/>
      <c r="N26" s="79"/>
      <c r="O26" s="79"/>
      <c r="P26" s="80"/>
      <c r="Q26" s="79"/>
      <c r="R26" s="79"/>
      <c r="S26" s="84"/>
      <c r="T26" s="83"/>
      <c r="U26" s="75">
        <f t="shared" si="0"/>
        <v>0</v>
      </c>
      <c r="V26" s="94"/>
      <c r="W26" s="98"/>
      <c r="X26" s="188"/>
      <c r="Y26" s="185"/>
    </row>
    <row r="27" spans="1:25" ht="24" customHeight="1" x14ac:dyDescent="0.2">
      <c r="A27" s="91"/>
      <c r="B27" s="95"/>
      <c r="C27" s="79"/>
      <c r="D27" s="80"/>
      <c r="E27" s="79"/>
      <c r="F27" s="79"/>
      <c r="G27" s="80"/>
      <c r="H27" s="79"/>
      <c r="I27" s="79"/>
      <c r="J27" s="80"/>
      <c r="K27" s="79"/>
      <c r="L27" s="79"/>
      <c r="M27" s="80"/>
      <c r="N27" s="79"/>
      <c r="O27" s="79"/>
      <c r="P27" s="80"/>
      <c r="Q27" s="79"/>
      <c r="R27" s="79"/>
      <c r="S27" s="84"/>
      <c r="T27" s="83"/>
      <c r="U27" s="75">
        <f t="shared" si="0"/>
        <v>0</v>
      </c>
      <c r="V27" s="94"/>
      <c r="W27" s="98"/>
      <c r="X27" s="188"/>
      <c r="Y27" s="185"/>
    </row>
    <row r="28" spans="1:25" ht="24" customHeight="1" x14ac:dyDescent="0.2">
      <c r="A28" s="91"/>
      <c r="B28" s="81"/>
      <c r="C28" s="83"/>
      <c r="D28" s="84"/>
      <c r="E28" s="83"/>
      <c r="F28" s="83"/>
      <c r="G28" s="84"/>
      <c r="H28" s="79"/>
      <c r="I28" s="79"/>
      <c r="J28" s="84"/>
      <c r="K28" s="79"/>
      <c r="L28" s="79"/>
      <c r="M28" s="84"/>
      <c r="N28" s="79"/>
      <c r="O28" s="79"/>
      <c r="P28" s="84"/>
      <c r="Q28" s="79"/>
      <c r="R28" s="83"/>
      <c r="S28" s="84"/>
      <c r="T28" s="83"/>
      <c r="U28" s="75">
        <f t="shared" si="0"/>
        <v>0</v>
      </c>
      <c r="V28" s="94"/>
      <c r="W28" s="98"/>
      <c r="X28" s="188"/>
      <c r="Y28" s="185"/>
    </row>
    <row r="29" spans="1:25" ht="24" customHeight="1" x14ac:dyDescent="0.2">
      <c r="A29" s="91"/>
      <c r="B29" s="81"/>
      <c r="C29" s="83"/>
      <c r="D29" s="84"/>
      <c r="E29" s="83"/>
      <c r="F29" s="79"/>
      <c r="G29" s="84"/>
      <c r="H29" s="79"/>
      <c r="I29" s="79"/>
      <c r="J29" s="84"/>
      <c r="K29" s="79"/>
      <c r="L29" s="79"/>
      <c r="M29" s="84"/>
      <c r="N29" s="79"/>
      <c r="O29" s="79"/>
      <c r="P29" s="84"/>
      <c r="Q29" s="79"/>
      <c r="R29" s="83"/>
      <c r="S29" s="84"/>
      <c r="T29" s="83"/>
      <c r="U29" s="75">
        <f t="shared" si="0"/>
        <v>0</v>
      </c>
      <c r="V29" s="94"/>
      <c r="W29" s="98"/>
      <c r="X29" s="188"/>
      <c r="Y29" s="185"/>
    </row>
    <row r="30" spans="1:25" ht="24" customHeight="1" x14ac:dyDescent="0.2">
      <c r="A30" s="91"/>
      <c r="B30" s="81"/>
      <c r="C30" s="83"/>
      <c r="D30" s="84"/>
      <c r="E30" s="83"/>
      <c r="F30" s="79"/>
      <c r="G30" s="84"/>
      <c r="H30" s="79"/>
      <c r="I30" s="79"/>
      <c r="J30" s="84"/>
      <c r="K30" s="79"/>
      <c r="L30" s="79"/>
      <c r="M30" s="84"/>
      <c r="N30" s="79"/>
      <c r="O30" s="79"/>
      <c r="P30" s="84"/>
      <c r="Q30" s="79"/>
      <c r="R30" s="83"/>
      <c r="S30" s="84"/>
      <c r="T30" s="83"/>
      <c r="U30" s="75">
        <f t="shared" si="0"/>
        <v>0</v>
      </c>
      <c r="V30" s="94"/>
      <c r="W30" s="98"/>
      <c r="X30" s="188"/>
      <c r="Y30" s="185"/>
    </row>
    <row r="31" spans="1:25" ht="24" customHeight="1" x14ac:dyDescent="0.2">
      <c r="A31" s="91"/>
      <c r="B31" s="81"/>
      <c r="C31" s="83"/>
      <c r="D31" s="80"/>
      <c r="E31" s="79"/>
      <c r="F31" s="83"/>
      <c r="G31" s="80"/>
      <c r="H31" s="79"/>
      <c r="I31" s="134"/>
      <c r="J31" s="80"/>
      <c r="K31" s="79"/>
      <c r="L31" s="79"/>
      <c r="M31" s="80"/>
      <c r="N31" s="79"/>
      <c r="O31" s="79"/>
      <c r="P31" s="80"/>
      <c r="Q31" s="79"/>
      <c r="R31" s="83"/>
      <c r="S31" s="80"/>
      <c r="T31" s="83"/>
      <c r="U31" s="75">
        <f t="shared" si="0"/>
        <v>0</v>
      </c>
      <c r="V31" s="94"/>
      <c r="W31" s="98"/>
      <c r="X31" s="188"/>
      <c r="Y31" s="185"/>
    </row>
    <row r="32" spans="1:25" ht="24" customHeight="1" x14ac:dyDescent="0.2">
      <c r="A32" s="98"/>
      <c r="B32" s="188"/>
      <c r="C32" s="185"/>
    </row>
    <row r="33" spans="1:3" ht="24" customHeight="1" x14ac:dyDescent="0.2">
      <c r="A33" s="98"/>
      <c r="B33" s="188"/>
      <c r="C33" s="185"/>
    </row>
    <row r="34" spans="1:3" ht="24" customHeight="1" x14ac:dyDescent="0.2">
      <c r="A34" s="98"/>
      <c r="B34" s="188"/>
      <c r="C34" s="185"/>
    </row>
    <row r="35" spans="1:3" ht="24" customHeight="1" x14ac:dyDescent="0.2">
      <c r="A35" s="98"/>
      <c r="B35" s="188"/>
      <c r="C35" s="185"/>
    </row>
    <row r="36" spans="1:3" ht="24" customHeight="1" x14ac:dyDescent="0.2">
      <c r="A36" s="98"/>
      <c r="B36" s="188"/>
      <c r="C36" s="185"/>
    </row>
    <row r="37" spans="1:3" ht="24" customHeight="1" x14ac:dyDescent="0.2">
      <c r="A37" s="98"/>
      <c r="B37" s="188"/>
      <c r="C37" s="185"/>
    </row>
    <row r="38" spans="1:3" ht="24" customHeight="1" x14ac:dyDescent="0.2">
      <c r="A38" s="98"/>
      <c r="B38" s="188"/>
      <c r="C38" s="185"/>
    </row>
    <row r="39" spans="1:3" ht="24" customHeight="1" x14ac:dyDescent="0.2">
      <c r="A39" s="98"/>
      <c r="B39" s="188"/>
      <c r="C39" s="185"/>
    </row>
    <row r="40" spans="1:3" ht="24" customHeight="1" x14ac:dyDescent="0.2">
      <c r="A40" s="98"/>
      <c r="B40" s="188"/>
      <c r="C40" s="185"/>
    </row>
    <row r="41" spans="1:3" ht="24" customHeight="1" x14ac:dyDescent="0.2">
      <c r="A41" s="98"/>
      <c r="B41" s="188"/>
      <c r="C41" s="185"/>
    </row>
    <row r="42" spans="1:3" ht="24" customHeight="1" x14ac:dyDescent="0.2">
      <c r="A42" s="98"/>
      <c r="B42" s="188"/>
      <c r="C42" s="185"/>
    </row>
    <row r="43" spans="1:3" ht="24" customHeight="1" x14ac:dyDescent="0.2">
      <c r="A43" s="98"/>
      <c r="B43" s="188"/>
      <c r="C43" s="185"/>
    </row>
    <row r="44" spans="1:3" ht="24" customHeight="1" x14ac:dyDescent="0.2">
      <c r="A44" s="98"/>
      <c r="B44" s="188"/>
      <c r="C44" s="185"/>
    </row>
    <row r="45" spans="1:3" ht="24" customHeight="1" x14ac:dyDescent="0.2">
      <c r="A45" s="98"/>
      <c r="B45" s="188"/>
      <c r="C45" s="185"/>
    </row>
    <row r="46" spans="1:3" ht="24" customHeight="1" x14ac:dyDescent="0.2">
      <c r="A46" s="98"/>
      <c r="B46" s="188"/>
      <c r="C46" s="185"/>
    </row>
    <row r="47" spans="1:3" ht="24" customHeight="1" x14ac:dyDescent="0.2">
      <c r="A47" s="98"/>
      <c r="B47" s="188"/>
      <c r="C47" s="185"/>
    </row>
    <row r="48" spans="1:3" ht="24" customHeight="1" x14ac:dyDescent="0.2">
      <c r="A48" s="98"/>
      <c r="B48" s="188"/>
      <c r="C48" s="185"/>
    </row>
    <row r="49" spans="1:3" ht="24" customHeight="1" x14ac:dyDescent="0.2">
      <c r="A49" s="98"/>
      <c r="B49" s="188"/>
      <c r="C49" s="185"/>
    </row>
    <row r="50" spans="1:3" ht="24" customHeight="1" x14ac:dyDescent="0.2">
      <c r="A50" s="98"/>
      <c r="B50" s="188"/>
      <c r="C50" s="185"/>
    </row>
    <row r="51" spans="1:3" ht="24" customHeight="1" x14ac:dyDescent="0.2">
      <c r="A51" s="98"/>
      <c r="B51" s="188"/>
      <c r="C51" s="185"/>
    </row>
    <row r="52" spans="1:3" ht="24" customHeight="1" x14ac:dyDescent="0.2">
      <c r="A52" s="72"/>
      <c r="B52" s="188"/>
      <c r="C52" s="185"/>
    </row>
    <row r="53" spans="1:3" ht="24" customHeight="1" x14ac:dyDescent="0.2">
      <c r="A53" s="72"/>
      <c r="B53" s="188"/>
      <c r="C53" s="185"/>
    </row>
    <row r="54" spans="1:3" ht="24" customHeight="1" x14ac:dyDescent="0.2">
      <c r="A54" s="72"/>
      <c r="B54" s="188"/>
      <c r="C54" s="185"/>
    </row>
    <row r="55" spans="1:3" ht="24" customHeight="1" x14ac:dyDescent="0.2">
      <c r="A55" s="72"/>
      <c r="B55" s="188"/>
      <c r="C55" s="185"/>
    </row>
    <row r="56" spans="1:3" ht="24" customHeight="1" x14ac:dyDescent="0.2">
      <c r="A56" s="72"/>
      <c r="B56" s="188"/>
      <c r="C56" s="185"/>
    </row>
    <row r="57" spans="1:3" ht="24" customHeight="1" x14ac:dyDescent="0.2">
      <c r="A57" s="72"/>
      <c r="B57" s="188"/>
      <c r="C57" s="185"/>
    </row>
    <row r="58" spans="1:3" ht="24" customHeight="1" x14ac:dyDescent="0.2">
      <c r="A58" s="72"/>
      <c r="B58" s="188"/>
      <c r="C58" s="185"/>
    </row>
    <row r="59" spans="1:3" ht="24" customHeight="1" x14ac:dyDescent="0.2">
      <c r="A59" s="72"/>
      <c r="B59" s="188"/>
      <c r="C59" s="185"/>
    </row>
    <row r="60" spans="1:3" ht="24" customHeight="1" x14ac:dyDescent="0.2">
      <c r="A60" s="72"/>
      <c r="B60" s="188"/>
      <c r="C60" s="185"/>
    </row>
    <row r="61" spans="1:3" ht="24" customHeight="1" x14ac:dyDescent="0.2">
      <c r="A61" s="72"/>
      <c r="B61" s="188"/>
      <c r="C61" s="185"/>
    </row>
    <row r="62" spans="1:3" ht="24" customHeight="1" x14ac:dyDescent="0.2">
      <c r="A62" s="72"/>
      <c r="B62" s="188"/>
      <c r="C62" s="185"/>
    </row>
    <row r="63" spans="1:3" ht="24" customHeight="1" x14ac:dyDescent="0.2">
      <c r="A63" s="72"/>
      <c r="B63" s="188"/>
      <c r="C63" s="185"/>
    </row>
    <row r="64" spans="1:3" ht="24" customHeight="1" x14ac:dyDescent="0.2">
      <c r="A64" s="72"/>
      <c r="B64" s="188"/>
      <c r="C64" s="185"/>
    </row>
    <row r="65" spans="1:25" ht="24" customHeight="1" x14ac:dyDescent="0.2">
      <c r="A65" s="72"/>
      <c r="B65" s="188"/>
      <c r="C65" s="185"/>
    </row>
    <row r="66" spans="1:25" ht="24" customHeight="1" x14ac:dyDescent="0.2">
      <c r="A66" s="72"/>
      <c r="B66" s="188"/>
      <c r="C66" s="185"/>
    </row>
    <row r="67" spans="1:25" ht="24" customHeight="1" x14ac:dyDescent="0.2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103"/>
      <c r="T67" s="103"/>
      <c r="U67" s="116"/>
      <c r="V67" s="74"/>
      <c r="X67" s="188"/>
      <c r="Y67" s="185"/>
    </row>
    <row r="68" spans="1:25" ht="24" customHeight="1" x14ac:dyDescent="0.2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103"/>
      <c r="T68" s="103"/>
      <c r="U68" s="116"/>
      <c r="V68" s="74"/>
      <c r="X68" s="188"/>
      <c r="Y68" s="185"/>
    </row>
    <row r="69" spans="1:25" ht="24" customHeight="1" x14ac:dyDescent="0.2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89"/>
      <c r="T69" s="89"/>
      <c r="U69" s="116"/>
      <c r="V69" s="74"/>
      <c r="X69" s="188"/>
      <c r="Y69" s="185"/>
    </row>
    <row r="70" spans="1:25" x14ac:dyDescent="0.2">
      <c r="S70" s="98"/>
      <c r="T70" s="98"/>
      <c r="U70" s="98"/>
    </row>
    <row r="71" spans="1:25" x14ac:dyDescent="0.2">
      <c r="S71" s="98"/>
      <c r="T71" s="98"/>
      <c r="U71" s="98"/>
    </row>
    <row r="72" spans="1:25" x14ac:dyDescent="0.2">
      <c r="S72" s="98"/>
      <c r="T72" s="98"/>
      <c r="U72" s="98"/>
    </row>
  </sheetData>
  <sheetProtection formatCells="0" selectLockedCells="1" selectUnlockedCells="1"/>
  <mergeCells count="85">
    <mergeCell ref="X13:Y13"/>
    <mergeCell ref="A5:A6"/>
    <mergeCell ref="B5:T5"/>
    <mergeCell ref="X10:Y10"/>
    <mergeCell ref="X11:Y11"/>
    <mergeCell ref="X12:Y12"/>
    <mergeCell ref="X25:Y25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X24:Y24"/>
    <mergeCell ref="B37:C37"/>
    <mergeCell ref="X26:Y26"/>
    <mergeCell ref="X27:Y27"/>
    <mergeCell ref="X28:Y28"/>
    <mergeCell ref="X29:Y29"/>
    <mergeCell ref="X30:Y30"/>
    <mergeCell ref="X31:Y31"/>
    <mergeCell ref="B32:C32"/>
    <mergeCell ref="B33:C33"/>
    <mergeCell ref="B34:C34"/>
    <mergeCell ref="B35:C35"/>
    <mergeCell ref="B36:C36"/>
    <mergeCell ref="B49:C49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59:C59"/>
    <mergeCell ref="B60:C60"/>
    <mergeCell ref="B61:C61"/>
    <mergeCell ref="B62:C62"/>
    <mergeCell ref="B50:C50"/>
    <mergeCell ref="B51:C51"/>
    <mergeCell ref="B52:C52"/>
    <mergeCell ref="B53:C53"/>
    <mergeCell ref="B54:C54"/>
    <mergeCell ref="B55:C55"/>
    <mergeCell ref="B63:C63"/>
    <mergeCell ref="B64:C64"/>
    <mergeCell ref="X68:Y68"/>
    <mergeCell ref="X69:Y69"/>
    <mergeCell ref="I1:K1"/>
    <mergeCell ref="I2:K2"/>
    <mergeCell ref="I3:K3"/>
    <mergeCell ref="I4:K4"/>
    <mergeCell ref="L2:N2"/>
    <mergeCell ref="L3:N3"/>
    <mergeCell ref="B56:C56"/>
    <mergeCell ref="B57:C57"/>
    <mergeCell ref="B65:C65"/>
    <mergeCell ref="B66:C66"/>
    <mergeCell ref="X67:Y67"/>
    <mergeCell ref="B58:C58"/>
    <mergeCell ref="R1:T1"/>
    <mergeCell ref="R2:T2"/>
    <mergeCell ref="R3:T3"/>
    <mergeCell ref="R4:T4"/>
    <mergeCell ref="L4:N4"/>
    <mergeCell ref="O2:Q2"/>
    <mergeCell ref="O3:Q3"/>
    <mergeCell ref="O4:Q4"/>
    <mergeCell ref="L1:Q1"/>
    <mergeCell ref="C1:E1"/>
    <mergeCell ref="C2:E2"/>
    <mergeCell ref="C3:E3"/>
    <mergeCell ref="C4:E4"/>
    <mergeCell ref="F1:H1"/>
    <mergeCell ref="F2:H2"/>
    <mergeCell ref="F3:H3"/>
    <mergeCell ref="F4:H4"/>
  </mergeCells>
  <printOptions horizontalCentered="1" verticalCentered="1" gridLines="1"/>
  <pageMargins left="0.5" right="0.5" top="0.5" bottom="0.25" header="0" footer="0"/>
  <pageSetup scale="74" orientation="landscape" r:id="rId1"/>
  <headerFooter alignWithMargins="0">
    <oddHeader>&amp;LFAX-425-487-1568&amp;CTIMESHEET</oddHeader>
  </headerFooter>
  <colBreaks count="1" manualBreakCount="1">
    <brk id="21" max="68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workbookViewId="0">
      <selection activeCell="R4" sqref="R4:T4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123</v>
      </c>
      <c r="D1" s="175"/>
      <c r="E1" s="175"/>
      <c r="F1" s="165" t="s">
        <v>132</v>
      </c>
      <c r="G1" s="166"/>
      <c r="H1" s="166"/>
      <c r="I1" s="174"/>
      <c r="J1" s="175"/>
      <c r="K1" s="175"/>
      <c r="L1" s="179" t="s">
        <v>131</v>
      </c>
      <c r="M1" s="193"/>
      <c r="N1" s="193"/>
      <c r="O1" s="193"/>
      <c r="P1" s="193"/>
      <c r="Q1" s="193"/>
      <c r="R1" s="175"/>
      <c r="S1" s="176"/>
      <c r="T1" s="176"/>
      <c r="U1" s="109"/>
      <c r="V1" s="112"/>
    </row>
    <row r="2" spans="1:25" ht="24" customHeight="1" x14ac:dyDescent="0.2">
      <c r="A2" s="103"/>
      <c r="B2" s="110" t="s">
        <v>184</v>
      </c>
      <c r="C2" s="175" t="s">
        <v>183</v>
      </c>
      <c r="D2" s="175"/>
      <c r="E2" s="175"/>
      <c r="F2" s="174"/>
      <c r="G2" s="176"/>
      <c r="H2" s="176"/>
      <c r="I2" s="174" t="s">
        <v>126</v>
      </c>
      <c r="J2" s="175"/>
      <c r="K2" s="175"/>
      <c r="L2" s="174" t="s">
        <v>125</v>
      </c>
      <c r="M2" s="176"/>
      <c r="N2" s="176"/>
      <c r="O2" s="175" t="s">
        <v>130</v>
      </c>
      <c r="P2" s="176"/>
      <c r="Q2" s="176"/>
      <c r="R2" s="175"/>
      <c r="S2" s="176"/>
      <c r="T2" s="176"/>
      <c r="U2" s="109"/>
      <c r="V2" s="112"/>
    </row>
    <row r="3" spans="1:25" ht="24" customHeight="1" x14ac:dyDescent="0.2">
      <c r="A3" s="103"/>
      <c r="B3" s="110" t="s">
        <v>129</v>
      </c>
      <c r="C3" s="174" t="s">
        <v>116</v>
      </c>
      <c r="D3" s="176"/>
      <c r="E3" s="176"/>
      <c r="F3" s="174"/>
      <c r="G3" s="176"/>
      <c r="H3" s="176"/>
      <c r="I3" s="174" t="s">
        <v>119</v>
      </c>
      <c r="J3" s="175"/>
      <c r="K3" s="175"/>
      <c r="L3" s="174" t="s">
        <v>118</v>
      </c>
      <c r="M3" s="176"/>
      <c r="N3" s="176"/>
      <c r="O3" s="175" t="s">
        <v>124</v>
      </c>
      <c r="P3" s="176"/>
      <c r="Q3" s="176"/>
      <c r="R3" s="175"/>
      <c r="S3" s="176"/>
      <c r="T3" s="176"/>
      <c r="U3" s="109"/>
      <c r="V3" s="111"/>
    </row>
    <row r="4" spans="1:25" ht="24" customHeight="1" thickBot="1" x14ac:dyDescent="0.25">
      <c r="A4" s="103"/>
      <c r="B4" s="110" t="s">
        <v>175</v>
      </c>
      <c r="C4" s="174" t="s">
        <v>134</v>
      </c>
      <c r="D4" s="176"/>
      <c r="E4" s="176"/>
      <c r="F4" s="174"/>
      <c r="G4" s="176"/>
      <c r="H4" s="176"/>
      <c r="I4" s="174" t="s">
        <v>112</v>
      </c>
      <c r="J4" s="175"/>
      <c r="K4" s="175"/>
      <c r="L4" s="174" t="s">
        <v>111</v>
      </c>
      <c r="M4" s="176"/>
      <c r="N4" s="176"/>
      <c r="O4" s="175" t="s">
        <v>117</v>
      </c>
      <c r="P4" s="176"/>
      <c r="Q4" s="176"/>
      <c r="R4" s="190" t="s">
        <v>178</v>
      </c>
      <c r="S4" s="177"/>
      <c r="T4" s="177"/>
      <c r="U4" s="109"/>
      <c r="V4" s="89"/>
    </row>
    <row r="5" spans="1:25" ht="24" customHeight="1" thickBot="1" x14ac:dyDescent="0.25">
      <c r="A5" s="180"/>
      <c r="B5" s="181" t="s">
        <v>182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42509</v>
      </c>
      <c r="D6" s="107"/>
      <c r="E6" s="107"/>
      <c r="F6" s="107">
        <f>C6+1</f>
        <v>42510</v>
      </c>
      <c r="G6" s="107"/>
      <c r="H6" s="107"/>
      <c r="I6" s="107">
        <f>F6+3</f>
        <v>42513</v>
      </c>
      <c r="J6" s="107"/>
      <c r="K6" s="107"/>
      <c r="L6" s="107">
        <f>I6+1</f>
        <v>42514</v>
      </c>
      <c r="M6" s="107"/>
      <c r="N6" s="107"/>
      <c r="O6" s="107">
        <f>L6+1</f>
        <v>42515</v>
      </c>
      <c r="P6" s="107"/>
      <c r="Q6" s="107"/>
      <c r="R6" s="107">
        <f>F6+1</f>
        <v>42511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/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104"/>
      <c r="V8" s="94"/>
      <c r="W8" s="98"/>
    </row>
    <row r="9" spans="1:25" ht="24" customHeight="1" x14ac:dyDescent="0.2">
      <c r="A9" s="103"/>
      <c r="B9" s="97" t="s">
        <v>110</v>
      </c>
      <c r="C9" s="97" t="s">
        <v>170</v>
      </c>
      <c r="D9" s="97" t="s">
        <v>169</v>
      </c>
      <c r="E9" s="97" t="s">
        <v>17</v>
      </c>
      <c r="F9" s="97" t="s">
        <v>170</v>
      </c>
      <c r="G9" s="97" t="s">
        <v>169</v>
      </c>
      <c r="H9" s="97" t="s">
        <v>17</v>
      </c>
      <c r="I9" s="97" t="s">
        <v>170</v>
      </c>
      <c r="J9" s="97" t="s">
        <v>169</v>
      </c>
      <c r="K9" s="97" t="s">
        <v>17</v>
      </c>
      <c r="L9" s="97" t="s">
        <v>170</v>
      </c>
      <c r="M9" s="97" t="s">
        <v>169</v>
      </c>
      <c r="N9" s="97" t="s">
        <v>17</v>
      </c>
      <c r="O9" s="97" t="s">
        <v>170</v>
      </c>
      <c r="P9" s="97" t="s">
        <v>169</v>
      </c>
      <c r="Q9" s="97" t="s">
        <v>17</v>
      </c>
      <c r="R9" s="97" t="s">
        <v>170</v>
      </c>
      <c r="S9" s="97" t="s">
        <v>169</v>
      </c>
      <c r="T9" s="97" t="s">
        <v>17</v>
      </c>
      <c r="U9" s="101"/>
      <c r="V9" s="100"/>
      <c r="W9" s="98"/>
    </row>
    <row r="10" spans="1:25" ht="24" customHeight="1" x14ac:dyDescent="0.2">
      <c r="A10" s="91"/>
      <c r="B10" s="81"/>
      <c r="C10" s="83"/>
      <c r="D10" s="84"/>
      <c r="E10" s="83"/>
      <c r="F10" s="83"/>
      <c r="G10" s="84"/>
      <c r="H10" s="79"/>
      <c r="I10" s="79"/>
      <c r="J10" s="84"/>
      <c r="K10" s="79"/>
      <c r="L10" s="79"/>
      <c r="M10" s="84"/>
      <c r="N10" s="79"/>
      <c r="O10" s="79"/>
      <c r="P10" s="84"/>
      <c r="Q10" s="79"/>
      <c r="R10" s="83"/>
      <c r="S10" s="84"/>
      <c r="T10" s="83"/>
      <c r="U10" s="75">
        <f t="shared" ref="U10:U31" si="0">SUM(B10,E10,H10,K10,N10,Q10,T10)</f>
        <v>0</v>
      </c>
      <c r="V10" s="94"/>
      <c r="W10" s="98"/>
      <c r="X10" s="184"/>
      <c r="Y10" s="185"/>
    </row>
    <row r="11" spans="1:25" ht="24" customHeight="1" x14ac:dyDescent="0.2">
      <c r="A11" s="91"/>
      <c r="B11" s="95"/>
      <c r="C11" s="79"/>
      <c r="D11" s="80"/>
      <c r="E11" s="79"/>
      <c r="F11" s="79"/>
      <c r="G11" s="80"/>
      <c r="H11" s="79"/>
      <c r="I11" s="79"/>
      <c r="J11" s="80"/>
      <c r="K11" s="79"/>
      <c r="L11" s="79"/>
      <c r="M11" s="80"/>
      <c r="N11" s="79"/>
      <c r="O11" s="79"/>
      <c r="P11" s="80"/>
      <c r="Q11" s="79"/>
      <c r="R11" s="79"/>
      <c r="S11" s="84"/>
      <c r="T11" s="83"/>
      <c r="U11" s="75">
        <f t="shared" si="0"/>
        <v>0</v>
      </c>
      <c r="V11" s="94"/>
      <c r="W11" s="98"/>
      <c r="X11" s="184"/>
      <c r="Y11" s="185"/>
    </row>
    <row r="12" spans="1:25" ht="24" customHeight="1" x14ac:dyDescent="0.2">
      <c r="A12" s="91"/>
      <c r="B12" s="81"/>
      <c r="C12" s="79"/>
      <c r="D12" s="80"/>
      <c r="E12" s="79"/>
      <c r="F12" s="79"/>
      <c r="G12" s="80"/>
      <c r="H12" s="79"/>
      <c r="I12" s="79"/>
      <c r="J12" s="80"/>
      <c r="K12" s="79"/>
      <c r="L12" s="79"/>
      <c r="M12" s="80"/>
      <c r="N12" s="79"/>
      <c r="O12" s="79"/>
      <c r="P12" s="80"/>
      <c r="Q12" s="79"/>
      <c r="R12" s="79"/>
      <c r="S12" s="84"/>
      <c r="T12" s="83"/>
      <c r="U12" s="75">
        <f t="shared" si="0"/>
        <v>0</v>
      </c>
      <c r="V12" s="94"/>
      <c r="W12" s="98"/>
      <c r="X12" s="184"/>
      <c r="Y12" s="185"/>
    </row>
    <row r="13" spans="1:25" ht="24" customHeight="1" x14ac:dyDescent="0.2">
      <c r="A13" s="91"/>
      <c r="B13" s="81"/>
      <c r="C13" s="79"/>
      <c r="D13" s="80"/>
      <c r="E13" s="79"/>
      <c r="F13" s="79"/>
      <c r="G13" s="80"/>
      <c r="H13" s="79"/>
      <c r="I13" s="79"/>
      <c r="J13" s="80"/>
      <c r="K13" s="79"/>
      <c r="L13" s="79"/>
      <c r="M13" s="80"/>
      <c r="N13" s="79"/>
      <c r="O13" s="79"/>
      <c r="P13" s="80"/>
      <c r="Q13" s="79"/>
      <c r="R13" s="79"/>
      <c r="S13" s="84"/>
      <c r="T13" s="83"/>
      <c r="U13" s="75">
        <f t="shared" si="0"/>
        <v>0</v>
      </c>
      <c r="V13" s="94"/>
      <c r="W13" s="98"/>
      <c r="X13" s="184"/>
      <c r="Y13" s="185"/>
    </row>
    <row r="14" spans="1:25" ht="24" customHeight="1" x14ac:dyDescent="0.2">
      <c r="A14" s="91">
        <v>1</v>
      </c>
      <c r="B14" s="81" t="s">
        <v>181</v>
      </c>
      <c r="C14" s="79" t="s">
        <v>185</v>
      </c>
      <c r="D14" s="80">
        <v>800</v>
      </c>
      <c r="E14" s="79">
        <v>2</v>
      </c>
      <c r="F14" s="79" t="s">
        <v>185</v>
      </c>
      <c r="G14" s="80">
        <v>800</v>
      </c>
      <c r="H14" s="79">
        <v>2</v>
      </c>
      <c r="I14" s="79" t="s">
        <v>185</v>
      </c>
      <c r="J14" s="80">
        <v>800</v>
      </c>
      <c r="K14" s="79">
        <v>2</v>
      </c>
      <c r="L14" s="79">
        <v>2027</v>
      </c>
      <c r="M14" s="80">
        <v>101</v>
      </c>
      <c r="N14" s="79">
        <v>1</v>
      </c>
      <c r="O14" s="79">
        <v>2026</v>
      </c>
      <c r="P14" s="80">
        <v>101</v>
      </c>
      <c r="Q14" s="79">
        <v>1</v>
      </c>
      <c r="R14" s="79"/>
      <c r="S14" s="84"/>
      <c r="T14" s="83"/>
      <c r="U14" s="75">
        <f t="shared" si="0"/>
        <v>8</v>
      </c>
      <c r="V14" s="94"/>
      <c r="W14" s="98"/>
      <c r="X14" s="184"/>
      <c r="Y14" s="185"/>
    </row>
    <row r="15" spans="1:25" ht="24" customHeight="1" x14ac:dyDescent="0.2">
      <c r="A15" s="91"/>
      <c r="B15" s="81"/>
      <c r="C15" s="79">
        <v>2021</v>
      </c>
      <c r="D15" s="80">
        <v>101</v>
      </c>
      <c r="E15" s="79">
        <v>1</v>
      </c>
      <c r="F15" s="79">
        <v>2027</v>
      </c>
      <c r="G15" s="80">
        <v>101</v>
      </c>
      <c r="H15" s="79">
        <v>2</v>
      </c>
      <c r="I15" s="79">
        <v>2026</v>
      </c>
      <c r="J15" s="80">
        <v>101</v>
      </c>
      <c r="K15" s="79">
        <v>1</v>
      </c>
      <c r="L15" s="79">
        <v>2025</v>
      </c>
      <c r="M15" s="80">
        <v>101</v>
      </c>
      <c r="N15" s="79">
        <v>1</v>
      </c>
      <c r="O15" s="79">
        <v>2027</v>
      </c>
      <c r="P15" s="80">
        <v>101</v>
      </c>
      <c r="Q15" s="79">
        <v>1</v>
      </c>
      <c r="R15" s="79"/>
      <c r="S15" s="84"/>
      <c r="T15" s="83"/>
      <c r="U15" s="75">
        <f t="shared" si="0"/>
        <v>6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79">
        <v>2023</v>
      </c>
      <c r="D16" s="80">
        <v>151</v>
      </c>
      <c r="E16" s="79">
        <v>1</v>
      </c>
      <c r="F16" s="79">
        <v>2025</v>
      </c>
      <c r="G16" s="80">
        <v>101</v>
      </c>
      <c r="H16" s="79">
        <v>1</v>
      </c>
      <c r="I16" s="79">
        <v>2025</v>
      </c>
      <c r="J16" s="80">
        <v>101</v>
      </c>
      <c r="K16" s="79">
        <v>1</v>
      </c>
      <c r="L16" s="79">
        <v>2026</v>
      </c>
      <c r="M16" s="80">
        <v>101</v>
      </c>
      <c r="N16" s="79">
        <v>1</v>
      </c>
      <c r="O16" s="79">
        <v>2025</v>
      </c>
      <c r="P16" s="80">
        <v>101</v>
      </c>
      <c r="Q16" s="79">
        <v>1</v>
      </c>
      <c r="R16" s="79"/>
      <c r="S16" s="84"/>
      <c r="T16" s="83"/>
      <c r="U16" s="75">
        <f t="shared" si="0"/>
        <v>5</v>
      </c>
      <c r="V16" s="94"/>
      <c r="W16" s="98"/>
      <c r="X16" s="184"/>
      <c r="Y16" s="185"/>
    </row>
    <row r="17" spans="1:25" ht="24" customHeight="1" x14ac:dyDescent="0.2">
      <c r="A17" s="91"/>
      <c r="B17" s="91"/>
      <c r="C17" s="79">
        <v>2024</v>
      </c>
      <c r="D17" s="80">
        <v>101</v>
      </c>
      <c r="E17" s="79">
        <v>1</v>
      </c>
      <c r="F17" s="79">
        <v>2026</v>
      </c>
      <c r="G17" s="80">
        <v>101</v>
      </c>
      <c r="H17" s="79">
        <v>1</v>
      </c>
      <c r="I17" s="79">
        <v>2027</v>
      </c>
      <c r="J17" s="80">
        <v>101</v>
      </c>
      <c r="K17" s="79">
        <v>1</v>
      </c>
      <c r="L17" s="79">
        <v>2026</v>
      </c>
      <c r="M17" s="80">
        <v>100</v>
      </c>
      <c r="N17" s="79">
        <v>1</v>
      </c>
      <c r="O17" s="79">
        <v>2028</v>
      </c>
      <c r="P17" s="80">
        <v>101</v>
      </c>
      <c r="Q17" s="79">
        <v>1</v>
      </c>
      <c r="R17" s="79"/>
      <c r="S17" s="84"/>
      <c r="T17" s="83"/>
      <c r="U17" s="75">
        <f t="shared" si="0"/>
        <v>5</v>
      </c>
      <c r="V17" s="94"/>
      <c r="W17" s="98"/>
      <c r="X17" s="184"/>
      <c r="Y17" s="185"/>
    </row>
    <row r="18" spans="1:25" ht="24" customHeight="1" x14ac:dyDescent="0.2">
      <c r="A18" s="91"/>
      <c r="B18" s="91"/>
      <c r="C18" s="79">
        <v>2028</v>
      </c>
      <c r="D18" s="80">
        <v>101</v>
      </c>
      <c r="E18" s="79">
        <v>1</v>
      </c>
      <c r="F18" s="79">
        <v>2021</v>
      </c>
      <c r="G18" s="80">
        <v>100</v>
      </c>
      <c r="H18" s="79">
        <v>1</v>
      </c>
      <c r="I18" s="79">
        <v>2025</v>
      </c>
      <c r="J18" s="80">
        <v>100</v>
      </c>
      <c r="K18" s="79">
        <v>1</v>
      </c>
      <c r="L18" s="79">
        <v>2027</v>
      </c>
      <c r="M18" s="80">
        <v>100</v>
      </c>
      <c r="N18" s="79">
        <v>2</v>
      </c>
      <c r="O18" s="79">
        <v>2025</v>
      </c>
      <c r="P18" s="80">
        <v>100</v>
      </c>
      <c r="Q18" s="79">
        <v>2</v>
      </c>
      <c r="R18" s="79"/>
      <c r="S18" s="84"/>
      <c r="T18" s="83"/>
      <c r="U18" s="75">
        <f t="shared" si="0"/>
        <v>7</v>
      </c>
      <c r="V18" s="94"/>
      <c r="W18" s="98"/>
      <c r="X18" s="184"/>
      <c r="Y18" s="185"/>
    </row>
    <row r="19" spans="1:25" ht="24" customHeight="1" x14ac:dyDescent="0.2">
      <c r="A19" s="91"/>
      <c r="B19" s="81"/>
      <c r="C19" s="79">
        <v>2024</v>
      </c>
      <c r="D19" s="80">
        <v>100</v>
      </c>
      <c r="E19" s="79">
        <v>1</v>
      </c>
      <c r="F19" s="79">
        <v>2028</v>
      </c>
      <c r="G19" s="80">
        <v>100</v>
      </c>
      <c r="H19" s="79">
        <v>1</v>
      </c>
      <c r="I19" s="79">
        <v>2026</v>
      </c>
      <c r="J19" s="80">
        <v>100</v>
      </c>
      <c r="K19" s="79">
        <v>1</v>
      </c>
      <c r="L19" s="79">
        <v>2028</v>
      </c>
      <c r="M19" s="80">
        <v>100</v>
      </c>
      <c r="N19" s="79">
        <v>2</v>
      </c>
      <c r="O19" s="79">
        <v>2028</v>
      </c>
      <c r="P19" s="80">
        <v>100</v>
      </c>
      <c r="Q19" s="79">
        <v>2</v>
      </c>
      <c r="R19" s="79"/>
      <c r="S19" s="84"/>
      <c r="T19" s="83"/>
      <c r="U19" s="75">
        <f t="shared" si="0"/>
        <v>7</v>
      </c>
      <c r="V19" s="94"/>
      <c r="W19" s="98"/>
      <c r="X19" s="184"/>
      <c r="Y19" s="185"/>
    </row>
    <row r="20" spans="1:25" ht="24" customHeight="1" x14ac:dyDescent="0.2">
      <c r="A20" s="91"/>
      <c r="B20" s="81"/>
      <c r="C20" s="79">
        <v>2028</v>
      </c>
      <c r="D20" s="80">
        <v>100</v>
      </c>
      <c r="E20" s="79">
        <v>1</v>
      </c>
      <c r="F20" s="79"/>
      <c r="G20" s="80"/>
      <c r="H20" s="79"/>
      <c r="I20" s="79">
        <v>2028</v>
      </c>
      <c r="J20" s="80">
        <v>100</v>
      </c>
      <c r="K20" s="79">
        <v>1</v>
      </c>
      <c r="L20" s="79"/>
      <c r="M20" s="80"/>
      <c r="N20" s="79"/>
      <c r="O20" s="79"/>
      <c r="P20" s="80"/>
      <c r="Q20" s="79"/>
      <c r="R20" s="79"/>
      <c r="S20" s="84"/>
      <c r="T20" s="83"/>
      <c r="U20" s="75">
        <f t="shared" si="0"/>
        <v>2</v>
      </c>
      <c r="V20" s="94"/>
      <c r="W20" s="98"/>
      <c r="X20" s="184"/>
      <c r="Y20" s="185"/>
    </row>
    <row r="21" spans="1:25" ht="24" customHeight="1" x14ac:dyDescent="0.2">
      <c r="A21" s="91"/>
      <c r="B21" s="81"/>
      <c r="C21" s="79"/>
      <c r="D21" s="80"/>
      <c r="E21" s="79"/>
      <c r="F21" s="79"/>
      <c r="G21" s="80"/>
      <c r="H21" s="79"/>
      <c r="I21" s="79"/>
      <c r="J21" s="80"/>
      <c r="K21" s="79"/>
      <c r="L21" s="79"/>
      <c r="M21" s="80"/>
      <c r="N21" s="79"/>
      <c r="O21" s="79"/>
      <c r="P21" s="80"/>
      <c r="Q21" s="79"/>
      <c r="R21" s="79"/>
      <c r="S21" s="84"/>
      <c r="T21" s="83"/>
      <c r="U21" s="75">
        <f t="shared" si="0"/>
        <v>0</v>
      </c>
      <c r="V21" s="94"/>
      <c r="W21" s="98"/>
      <c r="X21" s="184"/>
      <c r="Y21" s="185"/>
    </row>
    <row r="22" spans="1:25" ht="24" customHeight="1" x14ac:dyDescent="0.2">
      <c r="A22" s="91">
        <v>2</v>
      </c>
      <c r="B22" s="81" t="s">
        <v>180</v>
      </c>
      <c r="C22" s="79"/>
      <c r="D22" s="87" t="s">
        <v>138</v>
      </c>
      <c r="E22" s="86"/>
      <c r="F22" s="86"/>
      <c r="G22" s="87" t="s">
        <v>138</v>
      </c>
      <c r="H22" s="86"/>
      <c r="I22" s="79" t="s">
        <v>142</v>
      </c>
      <c r="J22" s="80">
        <v>606</v>
      </c>
      <c r="K22" s="79">
        <v>5</v>
      </c>
      <c r="L22" s="79" t="s">
        <v>142</v>
      </c>
      <c r="M22" s="80">
        <v>606</v>
      </c>
      <c r="N22" s="79">
        <v>8</v>
      </c>
      <c r="O22" s="79" t="s">
        <v>142</v>
      </c>
      <c r="P22" s="80">
        <v>606</v>
      </c>
      <c r="Q22" s="79">
        <v>8</v>
      </c>
      <c r="R22" s="79"/>
      <c r="S22" s="84"/>
      <c r="T22" s="79"/>
      <c r="U22" s="75">
        <f t="shared" si="0"/>
        <v>21</v>
      </c>
      <c r="V22" s="89"/>
      <c r="W22" s="98"/>
      <c r="X22" s="184"/>
      <c r="Y22" s="185"/>
    </row>
    <row r="23" spans="1:25" ht="24" customHeight="1" x14ac:dyDescent="0.2">
      <c r="A23" s="91"/>
      <c r="B23" s="81"/>
      <c r="C23" s="79"/>
      <c r="D23" s="87"/>
      <c r="E23" s="86"/>
      <c r="F23" s="86"/>
      <c r="G23" s="87"/>
      <c r="H23" s="86"/>
      <c r="I23" s="79">
        <v>2024</v>
      </c>
      <c r="J23" s="80">
        <v>143</v>
      </c>
      <c r="K23" s="79">
        <v>1</v>
      </c>
      <c r="L23" s="79"/>
      <c r="M23" s="80"/>
      <c r="N23" s="79"/>
      <c r="O23" s="79"/>
      <c r="P23" s="80"/>
      <c r="Q23" s="79"/>
      <c r="R23" s="79"/>
      <c r="S23" s="84"/>
      <c r="T23" s="83"/>
      <c r="U23" s="75">
        <f t="shared" si="0"/>
        <v>1</v>
      </c>
      <c r="V23" s="89"/>
      <c r="W23" s="98"/>
      <c r="X23" s="184"/>
      <c r="Y23" s="185"/>
    </row>
    <row r="24" spans="1:25" ht="24" customHeight="1" x14ac:dyDescent="0.2">
      <c r="A24" s="91"/>
      <c r="B24" s="81"/>
      <c r="C24" s="79"/>
      <c r="D24" s="80"/>
      <c r="E24" s="79"/>
      <c r="F24" s="79"/>
      <c r="G24" s="80"/>
      <c r="H24" s="79"/>
      <c r="I24" s="79">
        <v>2027</v>
      </c>
      <c r="J24" s="80">
        <v>110</v>
      </c>
      <c r="K24" s="79">
        <v>1</v>
      </c>
      <c r="L24" s="79"/>
      <c r="M24" s="80"/>
      <c r="N24" s="79"/>
      <c r="O24" s="79"/>
      <c r="P24" s="80"/>
      <c r="Q24" s="79"/>
      <c r="R24" s="79"/>
      <c r="S24" s="80"/>
      <c r="T24" s="83"/>
      <c r="U24" s="75">
        <f t="shared" si="0"/>
        <v>1</v>
      </c>
      <c r="V24" s="94"/>
      <c r="W24" s="98"/>
      <c r="X24" s="184"/>
      <c r="Y24" s="185"/>
    </row>
    <row r="25" spans="1:25" ht="24" customHeight="1" x14ac:dyDescent="0.2">
      <c r="A25" s="91"/>
      <c r="B25" s="81"/>
      <c r="C25" s="79"/>
      <c r="D25" s="80"/>
      <c r="E25" s="79"/>
      <c r="F25" s="79"/>
      <c r="G25" s="80"/>
      <c r="H25" s="79"/>
      <c r="I25" s="79">
        <v>2021</v>
      </c>
      <c r="J25" s="80">
        <v>141</v>
      </c>
      <c r="K25" s="79">
        <v>1</v>
      </c>
      <c r="L25" s="79"/>
      <c r="M25" s="80"/>
      <c r="N25" s="79"/>
      <c r="O25" s="79"/>
      <c r="P25" s="80"/>
      <c r="Q25" s="79"/>
      <c r="R25" s="79"/>
      <c r="S25" s="80"/>
      <c r="T25" s="83"/>
      <c r="U25" s="75">
        <f t="shared" si="0"/>
        <v>1</v>
      </c>
      <c r="V25" s="94"/>
      <c r="W25" s="98"/>
      <c r="X25" s="184"/>
      <c r="Y25" s="185"/>
    </row>
    <row r="26" spans="1:25" ht="24" customHeight="1" x14ac:dyDescent="0.2">
      <c r="A26" s="91"/>
      <c r="B26" s="81"/>
      <c r="C26" s="79"/>
      <c r="D26" s="80"/>
      <c r="E26" s="79"/>
      <c r="F26" s="79"/>
      <c r="G26" s="80"/>
      <c r="H26" s="79"/>
      <c r="I26" s="79"/>
      <c r="J26" s="80"/>
      <c r="K26" s="79"/>
      <c r="L26" s="79"/>
      <c r="M26" s="80"/>
      <c r="N26" s="79"/>
      <c r="O26" s="79"/>
      <c r="P26" s="80"/>
      <c r="Q26" s="79"/>
      <c r="R26" s="79"/>
      <c r="S26" s="84"/>
      <c r="T26" s="83"/>
      <c r="U26" s="75">
        <f t="shared" si="0"/>
        <v>0</v>
      </c>
      <c r="V26" s="94"/>
      <c r="W26" s="98"/>
      <c r="X26" s="188"/>
      <c r="Y26" s="185"/>
    </row>
    <row r="27" spans="1:25" ht="24" customHeight="1" x14ac:dyDescent="0.2">
      <c r="A27" s="91"/>
      <c r="B27" s="95"/>
      <c r="C27" s="79"/>
      <c r="D27" s="80"/>
      <c r="E27" s="79"/>
      <c r="F27" s="79"/>
      <c r="G27" s="80"/>
      <c r="H27" s="79"/>
      <c r="I27" s="79"/>
      <c r="J27" s="80"/>
      <c r="K27" s="79"/>
      <c r="L27" s="79"/>
      <c r="M27" s="80"/>
      <c r="N27" s="79"/>
      <c r="O27" s="79"/>
      <c r="P27" s="80"/>
      <c r="Q27" s="79"/>
      <c r="R27" s="79"/>
      <c r="S27" s="84"/>
      <c r="T27" s="83"/>
      <c r="U27" s="75">
        <f t="shared" si="0"/>
        <v>0</v>
      </c>
      <c r="V27" s="94"/>
      <c r="W27" s="98"/>
      <c r="X27" s="188"/>
      <c r="Y27" s="185"/>
    </row>
    <row r="28" spans="1:25" ht="24" customHeight="1" x14ac:dyDescent="0.2">
      <c r="A28" s="91"/>
      <c r="B28" s="81"/>
      <c r="C28" s="83"/>
      <c r="D28" s="84"/>
      <c r="E28" s="83"/>
      <c r="F28" s="83"/>
      <c r="G28" s="84"/>
      <c r="H28" s="79"/>
      <c r="I28" s="79"/>
      <c r="J28" s="84"/>
      <c r="K28" s="79"/>
      <c r="L28" s="79"/>
      <c r="M28" s="84"/>
      <c r="N28" s="79"/>
      <c r="O28" s="79"/>
      <c r="P28" s="84"/>
      <c r="Q28" s="79"/>
      <c r="R28" s="83"/>
      <c r="S28" s="84"/>
      <c r="T28" s="83"/>
      <c r="U28" s="75">
        <f t="shared" si="0"/>
        <v>0</v>
      </c>
      <c r="V28" s="94"/>
      <c r="W28" s="98"/>
      <c r="X28" s="188"/>
      <c r="Y28" s="185"/>
    </row>
    <row r="29" spans="1:25" ht="24" customHeight="1" x14ac:dyDescent="0.2">
      <c r="A29" s="91"/>
      <c r="B29" s="81"/>
      <c r="C29" s="83"/>
      <c r="D29" s="84"/>
      <c r="E29" s="83"/>
      <c r="F29" s="79"/>
      <c r="G29" s="84"/>
      <c r="H29" s="79"/>
      <c r="I29" s="79"/>
      <c r="J29" s="84"/>
      <c r="K29" s="79"/>
      <c r="L29" s="79"/>
      <c r="M29" s="84"/>
      <c r="N29" s="79"/>
      <c r="O29" s="79"/>
      <c r="P29" s="84"/>
      <c r="Q29" s="79"/>
      <c r="R29" s="83"/>
      <c r="S29" s="84"/>
      <c r="T29" s="83"/>
      <c r="U29" s="75">
        <f t="shared" si="0"/>
        <v>0</v>
      </c>
      <c r="V29" s="94"/>
      <c r="W29" s="98"/>
      <c r="X29" s="188"/>
      <c r="Y29" s="185"/>
    </row>
    <row r="30" spans="1:25" ht="24" customHeight="1" x14ac:dyDescent="0.2">
      <c r="A30" s="91"/>
      <c r="B30" s="81"/>
      <c r="C30" s="83"/>
      <c r="D30" s="84"/>
      <c r="E30" s="83"/>
      <c r="F30" s="79"/>
      <c r="G30" s="84"/>
      <c r="H30" s="79"/>
      <c r="I30" s="79"/>
      <c r="J30" s="84"/>
      <c r="K30" s="79"/>
      <c r="L30" s="79"/>
      <c r="M30" s="84"/>
      <c r="N30" s="79"/>
      <c r="O30" s="79"/>
      <c r="P30" s="84"/>
      <c r="Q30" s="79"/>
      <c r="R30" s="83"/>
      <c r="S30" s="84"/>
      <c r="T30" s="83"/>
      <c r="U30" s="75">
        <f t="shared" si="0"/>
        <v>0</v>
      </c>
      <c r="V30" s="94"/>
      <c r="W30" s="98"/>
      <c r="X30" s="188"/>
      <c r="Y30" s="185"/>
    </row>
    <row r="31" spans="1:25" ht="24" customHeight="1" x14ac:dyDescent="0.2">
      <c r="A31" s="91"/>
      <c r="B31" s="81"/>
      <c r="C31" s="83"/>
      <c r="D31" s="80"/>
      <c r="E31" s="79"/>
      <c r="F31" s="83"/>
      <c r="G31" s="80"/>
      <c r="H31" s="79"/>
      <c r="I31" s="134"/>
      <c r="J31" s="80"/>
      <c r="K31" s="79"/>
      <c r="L31" s="79"/>
      <c r="M31" s="80"/>
      <c r="N31" s="79"/>
      <c r="O31" s="79"/>
      <c r="P31" s="80"/>
      <c r="Q31" s="79"/>
      <c r="R31" s="83"/>
      <c r="S31" s="80"/>
      <c r="T31" s="83"/>
      <c r="U31" s="75">
        <f t="shared" si="0"/>
        <v>0</v>
      </c>
      <c r="V31" s="94"/>
      <c r="W31" s="98"/>
      <c r="X31" s="188"/>
      <c r="Y31" s="185"/>
    </row>
    <row r="32" spans="1:25" ht="24" customHeight="1" x14ac:dyDescent="0.2">
      <c r="A32" s="98"/>
      <c r="B32" s="188"/>
      <c r="C32" s="185"/>
    </row>
    <row r="33" spans="1:3" ht="24" customHeight="1" x14ac:dyDescent="0.2">
      <c r="A33" s="98"/>
      <c r="B33" s="188"/>
      <c r="C33" s="185"/>
    </row>
    <row r="34" spans="1:3" ht="24" customHeight="1" x14ac:dyDescent="0.2">
      <c r="A34" s="98"/>
      <c r="B34" s="188"/>
      <c r="C34" s="185"/>
    </row>
    <row r="35" spans="1:3" ht="24" customHeight="1" x14ac:dyDescent="0.2">
      <c r="A35" s="98"/>
      <c r="B35" s="188"/>
      <c r="C35" s="185"/>
    </row>
    <row r="36" spans="1:3" ht="24" customHeight="1" x14ac:dyDescent="0.2">
      <c r="A36" s="98"/>
      <c r="B36" s="188"/>
      <c r="C36" s="185"/>
    </row>
    <row r="37" spans="1:3" ht="24" customHeight="1" x14ac:dyDescent="0.2">
      <c r="A37" s="98"/>
      <c r="B37" s="188"/>
      <c r="C37" s="185"/>
    </row>
    <row r="38" spans="1:3" ht="24" customHeight="1" x14ac:dyDescent="0.2">
      <c r="A38" s="98"/>
      <c r="B38" s="188"/>
      <c r="C38" s="185"/>
    </row>
    <row r="39" spans="1:3" ht="24" customHeight="1" x14ac:dyDescent="0.2">
      <c r="A39" s="98"/>
      <c r="B39" s="188"/>
      <c r="C39" s="185"/>
    </row>
    <row r="40" spans="1:3" ht="24" customHeight="1" x14ac:dyDescent="0.2">
      <c r="A40" s="98"/>
      <c r="B40" s="188"/>
      <c r="C40" s="185"/>
    </row>
    <row r="41" spans="1:3" ht="24" customHeight="1" x14ac:dyDescent="0.2">
      <c r="A41" s="98"/>
      <c r="B41" s="188"/>
      <c r="C41" s="185"/>
    </row>
    <row r="42" spans="1:3" ht="24" customHeight="1" x14ac:dyDescent="0.2">
      <c r="A42" s="98"/>
      <c r="B42" s="188"/>
      <c r="C42" s="185"/>
    </row>
    <row r="43" spans="1:3" ht="24" customHeight="1" x14ac:dyDescent="0.2">
      <c r="A43" s="98"/>
      <c r="B43" s="188"/>
      <c r="C43" s="185"/>
    </row>
    <row r="44" spans="1:3" ht="24" customHeight="1" x14ac:dyDescent="0.2">
      <c r="A44" s="98"/>
      <c r="B44" s="188"/>
      <c r="C44" s="185"/>
    </row>
    <row r="45" spans="1:3" ht="24" customHeight="1" x14ac:dyDescent="0.2">
      <c r="A45" s="98"/>
      <c r="B45" s="188"/>
      <c r="C45" s="185"/>
    </row>
    <row r="46" spans="1:3" ht="24" customHeight="1" x14ac:dyDescent="0.2">
      <c r="A46" s="98"/>
      <c r="B46" s="188"/>
      <c r="C46" s="185"/>
    </row>
    <row r="47" spans="1:3" ht="24" customHeight="1" x14ac:dyDescent="0.2">
      <c r="A47" s="98"/>
      <c r="B47" s="188"/>
      <c r="C47" s="185"/>
    </row>
    <row r="48" spans="1:3" ht="24" customHeight="1" x14ac:dyDescent="0.2">
      <c r="A48" s="98"/>
      <c r="B48" s="188"/>
      <c r="C48" s="185"/>
    </row>
    <row r="49" spans="1:3" ht="24" customHeight="1" x14ac:dyDescent="0.2">
      <c r="A49" s="98"/>
      <c r="B49" s="188"/>
      <c r="C49" s="185"/>
    </row>
    <row r="50" spans="1:3" ht="24" customHeight="1" x14ac:dyDescent="0.2">
      <c r="A50" s="98"/>
      <c r="B50" s="188"/>
      <c r="C50" s="185"/>
    </row>
    <row r="51" spans="1:3" ht="24" customHeight="1" x14ac:dyDescent="0.2">
      <c r="A51" s="98"/>
      <c r="B51" s="188"/>
      <c r="C51" s="185"/>
    </row>
    <row r="52" spans="1:3" ht="24" customHeight="1" x14ac:dyDescent="0.2">
      <c r="A52" s="72"/>
      <c r="B52" s="188"/>
      <c r="C52" s="185"/>
    </row>
    <row r="53" spans="1:3" ht="24" customHeight="1" x14ac:dyDescent="0.2">
      <c r="A53" s="72"/>
      <c r="B53" s="188"/>
      <c r="C53" s="185"/>
    </row>
    <row r="54" spans="1:3" ht="24" customHeight="1" x14ac:dyDescent="0.2">
      <c r="A54" s="72"/>
      <c r="B54" s="188"/>
      <c r="C54" s="185"/>
    </row>
    <row r="55" spans="1:3" ht="24" customHeight="1" x14ac:dyDescent="0.2">
      <c r="A55" s="72"/>
      <c r="B55" s="188"/>
      <c r="C55" s="185"/>
    </row>
    <row r="56" spans="1:3" ht="24" customHeight="1" x14ac:dyDescent="0.2">
      <c r="A56" s="72"/>
      <c r="B56" s="188"/>
      <c r="C56" s="185"/>
    </row>
    <row r="57" spans="1:3" ht="24" customHeight="1" x14ac:dyDescent="0.2">
      <c r="A57" s="72"/>
      <c r="B57" s="188"/>
      <c r="C57" s="185"/>
    </row>
    <row r="58" spans="1:3" ht="24" customHeight="1" x14ac:dyDescent="0.2">
      <c r="A58" s="72"/>
      <c r="B58" s="188"/>
      <c r="C58" s="185"/>
    </row>
    <row r="59" spans="1:3" ht="24" customHeight="1" x14ac:dyDescent="0.2">
      <c r="A59" s="72"/>
      <c r="B59" s="188"/>
      <c r="C59" s="185"/>
    </row>
    <row r="60" spans="1:3" ht="24" customHeight="1" x14ac:dyDescent="0.2">
      <c r="A60" s="72"/>
      <c r="B60" s="188"/>
      <c r="C60" s="185"/>
    </row>
    <row r="61" spans="1:3" ht="24" customHeight="1" x14ac:dyDescent="0.2">
      <c r="A61" s="72"/>
      <c r="B61" s="188"/>
      <c r="C61" s="185"/>
    </row>
    <row r="62" spans="1:3" ht="24" customHeight="1" x14ac:dyDescent="0.2">
      <c r="A62" s="72"/>
      <c r="B62" s="188"/>
      <c r="C62" s="185"/>
    </row>
    <row r="63" spans="1:3" ht="24" customHeight="1" x14ac:dyDescent="0.2">
      <c r="A63" s="72"/>
      <c r="B63" s="188"/>
      <c r="C63" s="185"/>
    </row>
    <row r="64" spans="1:3" ht="24" customHeight="1" x14ac:dyDescent="0.2">
      <c r="A64" s="72"/>
      <c r="B64" s="188"/>
      <c r="C64" s="185"/>
    </row>
    <row r="65" spans="1:25" ht="24" customHeight="1" x14ac:dyDescent="0.2">
      <c r="A65" s="72"/>
      <c r="B65" s="188"/>
      <c r="C65" s="185"/>
    </row>
    <row r="66" spans="1:25" ht="24" customHeight="1" x14ac:dyDescent="0.2">
      <c r="A66" s="72"/>
      <c r="B66" s="188"/>
      <c r="C66" s="185"/>
    </row>
    <row r="67" spans="1:25" ht="24" customHeight="1" x14ac:dyDescent="0.2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103"/>
      <c r="T67" s="103"/>
      <c r="U67" s="116"/>
      <c r="V67" s="74"/>
      <c r="X67" s="188"/>
      <c r="Y67" s="185"/>
    </row>
    <row r="68" spans="1:25" ht="24" customHeight="1" x14ac:dyDescent="0.2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103"/>
      <c r="T68" s="103"/>
      <c r="U68" s="116"/>
      <c r="V68" s="74"/>
      <c r="X68" s="188"/>
      <c r="Y68" s="185"/>
    </row>
    <row r="69" spans="1:25" ht="24" customHeight="1" x14ac:dyDescent="0.2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89"/>
      <c r="T69" s="89"/>
      <c r="U69" s="116"/>
      <c r="V69" s="74"/>
      <c r="X69" s="188"/>
      <c r="Y69" s="185"/>
    </row>
    <row r="70" spans="1:25" x14ac:dyDescent="0.2">
      <c r="S70" s="98"/>
      <c r="T70" s="98"/>
      <c r="U70" s="98"/>
    </row>
    <row r="71" spans="1:25" x14ac:dyDescent="0.2">
      <c r="S71" s="98"/>
      <c r="T71" s="98"/>
      <c r="U71" s="98"/>
    </row>
    <row r="72" spans="1:25" x14ac:dyDescent="0.2">
      <c r="S72" s="98"/>
      <c r="T72" s="98"/>
      <c r="U72" s="98"/>
    </row>
  </sheetData>
  <sheetProtection formatCells="0" selectLockedCells="1" selectUnlockedCells="1"/>
  <mergeCells count="85">
    <mergeCell ref="X13:Y13"/>
    <mergeCell ref="A5:A6"/>
    <mergeCell ref="B5:T5"/>
    <mergeCell ref="X10:Y10"/>
    <mergeCell ref="X11:Y11"/>
    <mergeCell ref="X12:Y12"/>
    <mergeCell ref="X25:Y25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X24:Y24"/>
    <mergeCell ref="B37:C37"/>
    <mergeCell ref="X26:Y26"/>
    <mergeCell ref="X27:Y27"/>
    <mergeCell ref="X28:Y28"/>
    <mergeCell ref="X29:Y29"/>
    <mergeCell ref="X30:Y30"/>
    <mergeCell ref="X31:Y31"/>
    <mergeCell ref="B32:C32"/>
    <mergeCell ref="B33:C33"/>
    <mergeCell ref="B34:C34"/>
    <mergeCell ref="B35:C35"/>
    <mergeCell ref="B36:C36"/>
    <mergeCell ref="B49:C49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59:C59"/>
    <mergeCell ref="B60:C60"/>
    <mergeCell ref="B61:C61"/>
    <mergeCell ref="B62:C62"/>
    <mergeCell ref="B50:C50"/>
    <mergeCell ref="B51:C51"/>
    <mergeCell ref="B52:C52"/>
    <mergeCell ref="B53:C53"/>
    <mergeCell ref="B54:C54"/>
    <mergeCell ref="B55:C55"/>
    <mergeCell ref="B63:C63"/>
    <mergeCell ref="B64:C64"/>
    <mergeCell ref="X68:Y68"/>
    <mergeCell ref="X69:Y69"/>
    <mergeCell ref="I1:K1"/>
    <mergeCell ref="I2:K2"/>
    <mergeCell ref="I3:K3"/>
    <mergeCell ref="I4:K4"/>
    <mergeCell ref="L2:N2"/>
    <mergeCell ref="L3:N3"/>
    <mergeCell ref="B56:C56"/>
    <mergeCell ref="B57:C57"/>
    <mergeCell ref="B65:C65"/>
    <mergeCell ref="B66:C66"/>
    <mergeCell ref="X67:Y67"/>
    <mergeCell ref="B58:C58"/>
    <mergeCell ref="R1:T1"/>
    <mergeCell ref="R2:T2"/>
    <mergeCell ref="R3:T3"/>
    <mergeCell ref="R4:T4"/>
    <mergeCell ref="L4:N4"/>
    <mergeCell ref="O2:Q2"/>
    <mergeCell ref="O3:Q3"/>
    <mergeCell ref="O4:Q4"/>
    <mergeCell ref="L1:Q1"/>
    <mergeCell ref="C1:E1"/>
    <mergeCell ref="C2:E2"/>
    <mergeCell ref="C3:E3"/>
    <mergeCell ref="C4:E4"/>
    <mergeCell ref="F1:H1"/>
    <mergeCell ref="F2:H2"/>
    <mergeCell ref="F3:H3"/>
    <mergeCell ref="F4:H4"/>
  </mergeCells>
  <printOptions horizontalCentered="1" verticalCentered="1" gridLines="1"/>
  <pageMargins left="0.5" right="0.5" top="0.5" bottom="0.25" header="0" footer="0"/>
  <pageSetup scale="74" orientation="landscape" r:id="rId1"/>
  <headerFooter alignWithMargins="0">
    <oddHeader>&amp;LFAX-425-487-1568&amp;CTIMESHEET</oddHeader>
  </headerFooter>
  <colBreaks count="1" manualBreakCount="1">
    <brk id="21" max="68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workbookViewId="0">
      <selection activeCell="R4" sqref="R4:T4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123</v>
      </c>
      <c r="D1" s="175"/>
      <c r="E1" s="175"/>
      <c r="F1" s="165" t="s">
        <v>132</v>
      </c>
      <c r="G1" s="166"/>
      <c r="H1" s="166"/>
      <c r="I1" s="174"/>
      <c r="J1" s="175"/>
      <c r="K1" s="175"/>
      <c r="L1" s="179" t="s">
        <v>131</v>
      </c>
      <c r="M1" s="193"/>
      <c r="N1" s="193"/>
      <c r="O1" s="193"/>
      <c r="P1" s="193"/>
      <c r="Q1" s="193"/>
      <c r="R1" s="175"/>
      <c r="S1" s="176"/>
      <c r="T1" s="176"/>
      <c r="U1" s="109"/>
      <c r="V1" s="112"/>
    </row>
    <row r="2" spans="1:25" ht="24" customHeight="1" x14ac:dyDescent="0.2">
      <c r="A2" s="103"/>
      <c r="B2" s="110" t="s">
        <v>184</v>
      </c>
      <c r="C2" s="175" t="s">
        <v>183</v>
      </c>
      <c r="D2" s="175"/>
      <c r="E2" s="175"/>
      <c r="F2" s="174"/>
      <c r="G2" s="176"/>
      <c r="H2" s="176"/>
      <c r="I2" s="174" t="s">
        <v>126</v>
      </c>
      <c r="J2" s="175"/>
      <c r="K2" s="175"/>
      <c r="L2" s="174" t="s">
        <v>125</v>
      </c>
      <c r="M2" s="176"/>
      <c r="N2" s="176"/>
      <c r="O2" s="175" t="s">
        <v>130</v>
      </c>
      <c r="P2" s="176"/>
      <c r="Q2" s="176"/>
      <c r="R2" s="175"/>
      <c r="S2" s="176"/>
      <c r="T2" s="176"/>
      <c r="U2" s="109"/>
      <c r="V2" s="112"/>
    </row>
    <row r="3" spans="1:25" ht="24" customHeight="1" x14ac:dyDescent="0.2">
      <c r="A3" s="103"/>
      <c r="B3" s="110" t="s">
        <v>129</v>
      </c>
      <c r="C3" s="174" t="s">
        <v>116</v>
      </c>
      <c r="D3" s="176"/>
      <c r="E3" s="176"/>
      <c r="F3" s="174"/>
      <c r="G3" s="176"/>
      <c r="H3" s="176"/>
      <c r="I3" s="174" t="s">
        <v>119</v>
      </c>
      <c r="J3" s="175"/>
      <c r="K3" s="175"/>
      <c r="L3" s="174" t="s">
        <v>118</v>
      </c>
      <c r="M3" s="176"/>
      <c r="N3" s="176"/>
      <c r="O3" s="175" t="s">
        <v>124</v>
      </c>
      <c r="P3" s="176"/>
      <c r="Q3" s="176"/>
      <c r="R3" s="175"/>
      <c r="S3" s="176"/>
      <c r="T3" s="176"/>
      <c r="U3" s="109"/>
      <c r="V3" s="111"/>
    </row>
    <row r="4" spans="1:25" ht="24" customHeight="1" thickBot="1" x14ac:dyDescent="0.25">
      <c r="A4" s="103"/>
      <c r="B4" s="110" t="s">
        <v>175</v>
      </c>
      <c r="C4" s="174" t="s">
        <v>134</v>
      </c>
      <c r="D4" s="176"/>
      <c r="E4" s="176"/>
      <c r="F4" s="174"/>
      <c r="G4" s="176"/>
      <c r="H4" s="176"/>
      <c r="I4" s="174" t="s">
        <v>112</v>
      </c>
      <c r="J4" s="175"/>
      <c r="K4" s="175"/>
      <c r="L4" s="174" t="s">
        <v>111</v>
      </c>
      <c r="M4" s="176"/>
      <c r="N4" s="176"/>
      <c r="O4" s="175" t="s">
        <v>117</v>
      </c>
      <c r="P4" s="176"/>
      <c r="Q4" s="176"/>
      <c r="R4" s="190" t="s">
        <v>178</v>
      </c>
      <c r="S4" s="177"/>
      <c r="T4" s="177"/>
      <c r="U4" s="109"/>
      <c r="V4" s="89"/>
    </row>
    <row r="5" spans="1:25" ht="24" customHeight="1" thickBot="1" x14ac:dyDescent="0.25">
      <c r="A5" s="180"/>
      <c r="B5" s="181" t="s">
        <v>182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3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42516</v>
      </c>
      <c r="D6" s="107"/>
      <c r="E6" s="107"/>
      <c r="F6" s="107">
        <f>C6+1</f>
        <v>42517</v>
      </c>
      <c r="G6" s="107"/>
      <c r="H6" s="107"/>
      <c r="I6" s="107">
        <f>F6+3</f>
        <v>42520</v>
      </c>
      <c r="J6" s="107"/>
      <c r="K6" s="107"/>
      <c r="L6" s="107">
        <f>I6+1</f>
        <v>42521</v>
      </c>
      <c r="M6" s="107"/>
      <c r="N6" s="107"/>
      <c r="O6" s="107">
        <f>L6+1</f>
        <v>42522</v>
      </c>
      <c r="P6" s="107"/>
      <c r="Q6" s="107"/>
      <c r="R6" s="107">
        <f>F6+1</f>
        <v>42518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/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104"/>
      <c r="V8" s="94"/>
      <c r="W8" s="98"/>
    </row>
    <row r="9" spans="1:25" ht="24" customHeight="1" x14ac:dyDescent="0.2">
      <c r="A9" s="103"/>
      <c r="B9" s="97" t="s">
        <v>110</v>
      </c>
      <c r="C9" s="97" t="s">
        <v>170</v>
      </c>
      <c r="D9" s="97" t="s">
        <v>169</v>
      </c>
      <c r="E9" s="97" t="s">
        <v>17</v>
      </c>
      <c r="F9" s="97" t="s">
        <v>170</v>
      </c>
      <c r="G9" s="97" t="s">
        <v>169</v>
      </c>
      <c r="H9" s="97" t="s">
        <v>17</v>
      </c>
      <c r="I9" s="97" t="s">
        <v>170</v>
      </c>
      <c r="J9" s="97" t="s">
        <v>169</v>
      </c>
      <c r="K9" s="97" t="s">
        <v>17</v>
      </c>
      <c r="L9" s="97" t="s">
        <v>170</v>
      </c>
      <c r="M9" s="97" t="s">
        <v>169</v>
      </c>
      <c r="N9" s="97" t="s">
        <v>17</v>
      </c>
      <c r="O9" s="97" t="s">
        <v>170</v>
      </c>
      <c r="P9" s="97" t="s">
        <v>169</v>
      </c>
      <c r="Q9" s="97" t="s">
        <v>17</v>
      </c>
      <c r="R9" s="97" t="s">
        <v>170</v>
      </c>
      <c r="S9" s="97" t="s">
        <v>169</v>
      </c>
      <c r="T9" s="97" t="s">
        <v>17</v>
      </c>
      <c r="U9" s="101"/>
      <c r="V9" s="100"/>
      <c r="W9" s="98"/>
    </row>
    <row r="10" spans="1:25" ht="24" customHeight="1" x14ac:dyDescent="0.2">
      <c r="A10" s="91"/>
      <c r="B10" s="81"/>
      <c r="C10" s="83"/>
      <c r="D10" s="84"/>
      <c r="E10" s="83"/>
      <c r="F10" s="83"/>
      <c r="G10" s="84"/>
      <c r="H10" s="79"/>
      <c r="I10" s="79"/>
      <c r="J10" s="84"/>
      <c r="K10" s="79"/>
      <c r="L10" s="79"/>
      <c r="M10" s="84"/>
      <c r="N10" s="79"/>
      <c r="O10" s="79"/>
      <c r="P10" s="84"/>
      <c r="Q10" s="79"/>
      <c r="R10" s="83"/>
      <c r="S10" s="84"/>
      <c r="T10" s="83"/>
      <c r="U10" s="75">
        <f t="shared" ref="U10:U31" si="0">SUM(B10,E10,H10,K10,N10,Q10,T10)</f>
        <v>0</v>
      </c>
      <c r="V10" s="94"/>
      <c r="W10" s="98"/>
      <c r="X10" s="184"/>
      <c r="Y10" s="185"/>
    </row>
    <row r="11" spans="1:25" ht="24" customHeight="1" x14ac:dyDescent="0.2">
      <c r="A11" s="91"/>
      <c r="B11" s="95"/>
      <c r="C11" s="79"/>
      <c r="D11" s="80"/>
      <c r="E11" s="79"/>
      <c r="F11" s="79"/>
      <c r="G11" s="80"/>
      <c r="H11" s="79"/>
      <c r="I11" s="79"/>
      <c r="J11" s="80"/>
      <c r="K11" s="79"/>
      <c r="L11" s="79"/>
      <c r="M11" s="80"/>
      <c r="N11" s="79"/>
      <c r="O11" s="79"/>
      <c r="P11" s="80"/>
      <c r="Q11" s="79"/>
      <c r="R11" s="79"/>
      <c r="S11" s="84"/>
      <c r="T11" s="83"/>
      <c r="U11" s="75">
        <f t="shared" si="0"/>
        <v>0</v>
      </c>
      <c r="V11" s="94"/>
      <c r="W11" s="98"/>
      <c r="X11" s="184"/>
      <c r="Y11" s="185"/>
    </row>
    <row r="12" spans="1:25" ht="24" customHeight="1" x14ac:dyDescent="0.2">
      <c r="A12" s="91"/>
      <c r="B12" s="81"/>
      <c r="C12" s="79"/>
      <c r="D12" s="80"/>
      <c r="E12" s="79"/>
      <c r="F12" s="79"/>
      <c r="G12" s="80"/>
      <c r="H12" s="79"/>
      <c r="I12" s="79"/>
      <c r="J12" s="80"/>
      <c r="K12" s="79"/>
      <c r="L12" s="79"/>
      <c r="M12" s="80"/>
      <c r="N12" s="79"/>
      <c r="O12" s="79"/>
      <c r="P12" s="80"/>
      <c r="Q12" s="79"/>
      <c r="R12" s="79"/>
      <c r="S12" s="84"/>
      <c r="T12" s="83"/>
      <c r="U12" s="75">
        <f t="shared" si="0"/>
        <v>0</v>
      </c>
      <c r="V12" s="94"/>
      <c r="W12" s="98"/>
      <c r="X12" s="184"/>
      <c r="Y12" s="185"/>
    </row>
    <row r="13" spans="1:25" ht="24" customHeight="1" x14ac:dyDescent="0.2">
      <c r="A13" s="91"/>
      <c r="B13" s="81"/>
      <c r="C13" s="79"/>
      <c r="D13" s="80"/>
      <c r="E13" s="79"/>
      <c r="F13" s="79"/>
      <c r="G13" s="80"/>
      <c r="H13" s="79"/>
      <c r="I13" s="79"/>
      <c r="J13" s="80"/>
      <c r="K13" s="79"/>
      <c r="L13" s="79"/>
      <c r="M13" s="80"/>
      <c r="N13" s="79"/>
      <c r="O13" s="79"/>
      <c r="P13" s="80"/>
      <c r="Q13" s="79"/>
      <c r="R13" s="79"/>
      <c r="S13" s="84"/>
      <c r="T13" s="83"/>
      <c r="U13" s="75">
        <f t="shared" si="0"/>
        <v>0</v>
      </c>
      <c r="V13" s="94"/>
      <c r="W13" s="98"/>
      <c r="X13" s="184"/>
      <c r="Y13" s="185"/>
    </row>
    <row r="14" spans="1:25" ht="24" customHeight="1" x14ac:dyDescent="0.2">
      <c r="A14" s="91">
        <v>1</v>
      </c>
      <c r="B14" s="81" t="s">
        <v>181</v>
      </c>
      <c r="C14" s="79" t="s">
        <v>185</v>
      </c>
      <c r="D14" s="80">
        <v>800</v>
      </c>
      <c r="E14" s="79">
        <v>1</v>
      </c>
      <c r="F14" s="79">
        <v>2025</v>
      </c>
      <c r="G14" s="80">
        <v>101</v>
      </c>
      <c r="H14" s="79">
        <v>2</v>
      </c>
      <c r="I14" s="79"/>
      <c r="J14" s="80"/>
      <c r="K14" s="79">
        <v>8</v>
      </c>
      <c r="L14" s="79">
        <v>2026</v>
      </c>
      <c r="M14" s="80">
        <v>101</v>
      </c>
      <c r="N14" s="79">
        <v>1</v>
      </c>
      <c r="O14" s="79" t="s">
        <v>185</v>
      </c>
      <c r="P14" s="80">
        <v>800</v>
      </c>
      <c r="Q14" s="79">
        <v>3</v>
      </c>
      <c r="R14" s="79"/>
      <c r="S14" s="84"/>
      <c r="T14" s="83"/>
      <c r="U14" s="75">
        <f t="shared" si="0"/>
        <v>15</v>
      </c>
      <c r="V14" s="94"/>
      <c r="W14" s="98"/>
      <c r="X14" s="184"/>
      <c r="Y14" s="185"/>
    </row>
    <row r="15" spans="1:25" ht="24" customHeight="1" x14ac:dyDescent="0.2">
      <c r="A15" s="91"/>
      <c r="B15" s="81"/>
      <c r="C15" s="79">
        <v>2023</v>
      </c>
      <c r="D15" s="80">
        <v>151</v>
      </c>
      <c r="E15" s="79">
        <v>1</v>
      </c>
      <c r="F15" s="79">
        <v>2026</v>
      </c>
      <c r="G15" s="80">
        <v>101</v>
      </c>
      <c r="H15" s="79">
        <v>1</v>
      </c>
      <c r="I15" s="79"/>
      <c r="J15" s="80"/>
      <c r="K15" s="79"/>
      <c r="L15" s="79">
        <v>2025</v>
      </c>
      <c r="M15" s="80">
        <v>101</v>
      </c>
      <c r="N15" s="79">
        <v>3</v>
      </c>
      <c r="O15" s="79">
        <v>2027</v>
      </c>
      <c r="P15" s="80">
        <v>101</v>
      </c>
      <c r="Q15" s="79">
        <v>1</v>
      </c>
      <c r="R15" s="79"/>
      <c r="S15" s="84"/>
      <c r="T15" s="83"/>
      <c r="U15" s="75">
        <f t="shared" si="0"/>
        <v>6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79">
        <v>2026</v>
      </c>
      <c r="D16" s="80">
        <v>101</v>
      </c>
      <c r="E16" s="79">
        <v>1</v>
      </c>
      <c r="F16" s="79">
        <v>2027</v>
      </c>
      <c r="G16" s="80">
        <v>101</v>
      </c>
      <c r="H16" s="79">
        <v>1</v>
      </c>
      <c r="I16" s="79"/>
      <c r="J16" s="80"/>
      <c r="K16" s="79"/>
      <c r="L16" s="79">
        <v>2028</v>
      </c>
      <c r="M16" s="80">
        <v>101</v>
      </c>
      <c r="N16" s="79">
        <v>1</v>
      </c>
      <c r="O16" s="79">
        <v>2025</v>
      </c>
      <c r="P16" s="80">
        <v>101</v>
      </c>
      <c r="Q16" s="79">
        <v>1</v>
      </c>
      <c r="R16" s="79"/>
      <c r="S16" s="84"/>
      <c r="T16" s="83"/>
      <c r="U16" s="75">
        <f t="shared" si="0"/>
        <v>4</v>
      </c>
      <c r="V16" s="94"/>
      <c r="W16" s="98"/>
      <c r="X16" s="184"/>
      <c r="Y16" s="185"/>
    </row>
    <row r="17" spans="1:25" ht="24" customHeight="1" x14ac:dyDescent="0.2">
      <c r="A17" s="91"/>
      <c r="B17" s="91"/>
      <c r="C17" s="79">
        <v>2027</v>
      </c>
      <c r="D17" s="80">
        <v>101</v>
      </c>
      <c r="E17" s="79">
        <v>1</v>
      </c>
      <c r="F17" s="79">
        <v>2028</v>
      </c>
      <c r="G17" s="80">
        <v>101</v>
      </c>
      <c r="H17" s="79">
        <v>1</v>
      </c>
      <c r="I17" s="79"/>
      <c r="J17" s="80"/>
      <c r="K17" s="79"/>
      <c r="L17" s="79">
        <v>2023</v>
      </c>
      <c r="M17" s="80">
        <v>151</v>
      </c>
      <c r="N17" s="79">
        <v>1</v>
      </c>
      <c r="O17" s="79">
        <v>2026</v>
      </c>
      <c r="P17" s="80">
        <v>101</v>
      </c>
      <c r="Q17" s="79">
        <v>1</v>
      </c>
      <c r="R17" s="79"/>
      <c r="S17" s="84"/>
      <c r="T17" s="83"/>
      <c r="U17" s="75">
        <f t="shared" si="0"/>
        <v>4</v>
      </c>
      <c r="V17" s="94"/>
      <c r="W17" s="98"/>
      <c r="X17" s="184"/>
      <c r="Y17" s="185"/>
    </row>
    <row r="18" spans="1:25" ht="24" customHeight="1" x14ac:dyDescent="0.2">
      <c r="A18" s="91"/>
      <c r="B18" s="91"/>
      <c r="C18" s="79">
        <v>2025</v>
      </c>
      <c r="D18" s="80">
        <v>100</v>
      </c>
      <c r="E18" s="79">
        <v>1</v>
      </c>
      <c r="F18" s="79">
        <v>2026</v>
      </c>
      <c r="G18" s="80">
        <v>100</v>
      </c>
      <c r="H18" s="79">
        <v>1</v>
      </c>
      <c r="I18" s="79"/>
      <c r="J18" s="80"/>
      <c r="K18" s="79"/>
      <c r="L18" s="79">
        <v>2021</v>
      </c>
      <c r="M18" s="80">
        <v>100</v>
      </c>
      <c r="N18" s="79">
        <v>1</v>
      </c>
      <c r="O18" s="79">
        <v>2026</v>
      </c>
      <c r="P18" s="80">
        <v>100</v>
      </c>
      <c r="Q18" s="79">
        <v>1</v>
      </c>
      <c r="R18" s="79"/>
      <c r="S18" s="84"/>
      <c r="T18" s="83"/>
      <c r="U18" s="75">
        <f t="shared" si="0"/>
        <v>4</v>
      </c>
      <c r="V18" s="94"/>
      <c r="W18" s="98"/>
      <c r="X18" s="184"/>
      <c r="Y18" s="185"/>
    </row>
    <row r="19" spans="1:25" ht="24" customHeight="1" x14ac:dyDescent="0.2">
      <c r="A19" s="91"/>
      <c r="B19" s="81"/>
      <c r="C19" s="79">
        <v>2026</v>
      </c>
      <c r="D19" s="80">
        <v>100</v>
      </c>
      <c r="E19" s="79">
        <v>2</v>
      </c>
      <c r="F19" s="79">
        <v>2028</v>
      </c>
      <c r="G19" s="80">
        <v>100</v>
      </c>
      <c r="H19" s="79">
        <v>2</v>
      </c>
      <c r="I19" s="79"/>
      <c r="J19" s="80"/>
      <c r="K19" s="79"/>
      <c r="L19" s="79">
        <v>2028</v>
      </c>
      <c r="M19" s="80">
        <v>100</v>
      </c>
      <c r="N19" s="79">
        <v>1</v>
      </c>
      <c r="O19" s="79">
        <v>2028</v>
      </c>
      <c r="P19" s="80">
        <v>100</v>
      </c>
      <c r="Q19" s="79">
        <v>1</v>
      </c>
      <c r="R19" s="79"/>
      <c r="S19" s="84"/>
      <c r="T19" s="83"/>
      <c r="U19" s="75">
        <f t="shared" si="0"/>
        <v>6</v>
      </c>
      <c r="V19" s="94"/>
      <c r="W19" s="98"/>
      <c r="X19" s="184"/>
      <c r="Y19" s="185"/>
    </row>
    <row r="20" spans="1:25" ht="24" customHeight="1" x14ac:dyDescent="0.2">
      <c r="A20" s="91"/>
      <c r="B20" s="81"/>
      <c r="C20" s="79">
        <v>2028</v>
      </c>
      <c r="D20" s="80">
        <v>100</v>
      </c>
      <c r="E20" s="79">
        <v>1</v>
      </c>
      <c r="F20" s="79"/>
      <c r="G20" s="80"/>
      <c r="H20" s="79"/>
      <c r="I20" s="79"/>
      <c r="J20" s="80"/>
      <c r="K20" s="79"/>
      <c r="L20" s="79"/>
      <c r="M20" s="80"/>
      <c r="N20" s="79"/>
      <c r="O20" s="79"/>
      <c r="P20" s="80"/>
      <c r="Q20" s="79"/>
      <c r="R20" s="79"/>
      <c r="S20" s="84"/>
      <c r="T20" s="83"/>
      <c r="U20" s="75">
        <f t="shared" si="0"/>
        <v>1</v>
      </c>
      <c r="V20" s="94"/>
      <c r="W20" s="98"/>
      <c r="X20" s="184"/>
      <c r="Y20" s="185"/>
    </row>
    <row r="21" spans="1:25" ht="24" customHeight="1" x14ac:dyDescent="0.2">
      <c r="A21" s="91"/>
      <c r="B21" s="81"/>
      <c r="C21" s="79"/>
      <c r="D21" s="80"/>
      <c r="E21" s="79"/>
      <c r="F21" s="79"/>
      <c r="G21" s="80"/>
      <c r="H21" s="79"/>
      <c r="I21" s="79"/>
      <c r="J21" s="80"/>
      <c r="K21" s="79"/>
      <c r="L21" s="79"/>
      <c r="M21" s="80"/>
      <c r="N21" s="79"/>
      <c r="O21" s="79"/>
      <c r="P21" s="80"/>
      <c r="Q21" s="79"/>
      <c r="R21" s="79"/>
      <c r="S21" s="84"/>
      <c r="T21" s="83"/>
      <c r="U21" s="75">
        <f t="shared" si="0"/>
        <v>0</v>
      </c>
      <c r="V21" s="94"/>
      <c r="W21" s="98"/>
      <c r="X21" s="184"/>
      <c r="Y21" s="185"/>
    </row>
    <row r="22" spans="1:25" ht="24" customHeight="1" x14ac:dyDescent="0.2">
      <c r="A22" s="91">
        <v>2</v>
      </c>
      <c r="B22" s="81" t="s">
        <v>180</v>
      </c>
      <c r="C22" s="86"/>
      <c r="D22" s="87" t="s">
        <v>138</v>
      </c>
      <c r="E22" s="86"/>
      <c r="F22" s="86"/>
      <c r="G22" s="87" t="s">
        <v>138</v>
      </c>
      <c r="H22" s="79"/>
      <c r="I22" s="79"/>
      <c r="J22" s="80"/>
      <c r="K22" s="79">
        <v>8</v>
      </c>
      <c r="L22" s="79">
        <v>2021</v>
      </c>
      <c r="M22" s="80">
        <v>120</v>
      </c>
      <c r="N22" s="79">
        <v>1</v>
      </c>
      <c r="O22" s="79" t="s">
        <v>142</v>
      </c>
      <c r="P22" s="80">
        <v>606</v>
      </c>
      <c r="Q22" s="79">
        <v>8</v>
      </c>
      <c r="R22" s="79"/>
      <c r="S22" s="84"/>
      <c r="T22" s="79"/>
      <c r="U22" s="75">
        <f t="shared" si="0"/>
        <v>17</v>
      </c>
      <c r="V22" s="89"/>
      <c r="W22" s="98"/>
      <c r="X22" s="184"/>
      <c r="Y22" s="185"/>
    </row>
    <row r="23" spans="1:25" ht="24" customHeight="1" x14ac:dyDescent="0.2">
      <c r="A23" s="91"/>
      <c r="B23" s="81"/>
      <c r="C23" s="79"/>
      <c r="D23" s="80"/>
      <c r="E23" s="79"/>
      <c r="F23" s="79"/>
      <c r="G23" s="80"/>
      <c r="H23" s="79"/>
      <c r="I23" s="79"/>
      <c r="J23" s="80"/>
      <c r="K23" s="79"/>
      <c r="L23" s="79">
        <v>2023</v>
      </c>
      <c r="M23" s="80">
        <v>120</v>
      </c>
      <c r="N23" s="79">
        <v>1</v>
      </c>
      <c r="O23" s="79"/>
      <c r="P23" s="80"/>
      <c r="Q23" s="79"/>
      <c r="R23" s="79"/>
      <c r="S23" s="84"/>
      <c r="T23" s="83"/>
      <c r="U23" s="75">
        <f t="shared" si="0"/>
        <v>1</v>
      </c>
      <c r="V23" s="89"/>
      <c r="W23" s="98"/>
      <c r="X23" s="184"/>
      <c r="Y23" s="185"/>
    </row>
    <row r="24" spans="1:25" ht="24" customHeight="1" x14ac:dyDescent="0.2">
      <c r="A24" s="91"/>
      <c r="B24" s="81"/>
      <c r="C24" s="79"/>
      <c r="D24" s="80"/>
      <c r="E24" s="79"/>
      <c r="F24" s="79"/>
      <c r="G24" s="80"/>
      <c r="H24" s="79"/>
      <c r="I24" s="79"/>
      <c r="J24" s="80"/>
      <c r="K24" s="79"/>
      <c r="L24" s="79">
        <v>2024</v>
      </c>
      <c r="M24" s="80">
        <v>120</v>
      </c>
      <c r="N24" s="79">
        <v>1</v>
      </c>
      <c r="O24" s="79"/>
      <c r="P24" s="80"/>
      <c r="Q24" s="79"/>
      <c r="R24" s="79"/>
      <c r="S24" s="80"/>
      <c r="T24" s="83"/>
      <c r="U24" s="75">
        <f t="shared" si="0"/>
        <v>1</v>
      </c>
      <c r="V24" s="94"/>
      <c r="W24" s="98"/>
      <c r="X24" s="184"/>
      <c r="Y24" s="185"/>
    </row>
    <row r="25" spans="1:25" ht="24" customHeight="1" x14ac:dyDescent="0.2">
      <c r="A25" s="91"/>
      <c r="B25" s="81"/>
      <c r="C25" s="79"/>
      <c r="D25" s="80"/>
      <c r="E25" s="79"/>
      <c r="F25" s="79"/>
      <c r="G25" s="80"/>
      <c r="H25" s="79"/>
      <c r="I25" s="79"/>
      <c r="J25" s="80"/>
      <c r="K25" s="79"/>
      <c r="L25" s="79" t="s">
        <v>142</v>
      </c>
      <c r="M25" s="80">
        <v>606</v>
      </c>
      <c r="N25" s="79">
        <v>5</v>
      </c>
      <c r="O25" s="79"/>
      <c r="P25" s="80"/>
      <c r="Q25" s="79"/>
      <c r="R25" s="79"/>
      <c r="S25" s="80"/>
      <c r="T25" s="83"/>
      <c r="U25" s="75">
        <f t="shared" si="0"/>
        <v>5</v>
      </c>
      <c r="V25" s="94"/>
      <c r="W25" s="98"/>
      <c r="X25" s="184"/>
      <c r="Y25" s="185"/>
    </row>
    <row r="26" spans="1:25" ht="24" customHeight="1" x14ac:dyDescent="0.2">
      <c r="A26" s="91"/>
      <c r="B26" s="81"/>
      <c r="C26" s="79"/>
      <c r="D26" s="80"/>
      <c r="E26" s="79"/>
      <c r="F26" s="79"/>
      <c r="G26" s="80"/>
      <c r="H26" s="79"/>
      <c r="I26" s="79"/>
      <c r="J26" s="80"/>
      <c r="K26" s="79"/>
      <c r="L26" s="79"/>
      <c r="M26" s="80"/>
      <c r="N26" s="79"/>
      <c r="O26" s="79"/>
      <c r="P26" s="80"/>
      <c r="Q26" s="79"/>
      <c r="R26" s="79"/>
      <c r="S26" s="84"/>
      <c r="T26" s="83"/>
      <c r="U26" s="75">
        <f t="shared" si="0"/>
        <v>0</v>
      </c>
      <c r="V26" s="94"/>
      <c r="W26" s="98"/>
      <c r="X26" s="188"/>
      <c r="Y26" s="185"/>
    </row>
    <row r="27" spans="1:25" ht="24" customHeight="1" x14ac:dyDescent="0.2">
      <c r="A27" s="91"/>
      <c r="B27" s="95"/>
      <c r="C27" s="79"/>
      <c r="D27" s="80"/>
      <c r="E27" s="79"/>
      <c r="F27" s="79"/>
      <c r="G27" s="80"/>
      <c r="H27" s="79"/>
      <c r="I27" s="79"/>
      <c r="J27" s="80"/>
      <c r="K27" s="79"/>
      <c r="L27" s="79"/>
      <c r="M27" s="80"/>
      <c r="N27" s="79"/>
      <c r="O27" s="79"/>
      <c r="P27" s="80"/>
      <c r="Q27" s="79"/>
      <c r="R27" s="79"/>
      <c r="S27" s="84"/>
      <c r="T27" s="83"/>
      <c r="U27" s="75">
        <f t="shared" si="0"/>
        <v>0</v>
      </c>
      <c r="V27" s="94"/>
      <c r="W27" s="98"/>
      <c r="X27" s="188"/>
      <c r="Y27" s="185"/>
    </row>
    <row r="28" spans="1:25" ht="24" customHeight="1" x14ac:dyDescent="0.2">
      <c r="A28" s="91"/>
      <c r="B28" s="81"/>
      <c r="C28" s="83"/>
      <c r="D28" s="84"/>
      <c r="E28" s="83"/>
      <c r="F28" s="83"/>
      <c r="G28" s="84"/>
      <c r="H28" s="79"/>
      <c r="I28" s="79"/>
      <c r="J28" s="84"/>
      <c r="K28" s="79"/>
      <c r="L28" s="79"/>
      <c r="M28" s="84"/>
      <c r="N28" s="79"/>
      <c r="O28" s="79"/>
      <c r="P28" s="84"/>
      <c r="Q28" s="79"/>
      <c r="R28" s="83"/>
      <c r="S28" s="84"/>
      <c r="T28" s="83"/>
      <c r="U28" s="75">
        <f t="shared" si="0"/>
        <v>0</v>
      </c>
      <c r="V28" s="94"/>
      <c r="W28" s="98"/>
      <c r="X28" s="188"/>
      <c r="Y28" s="185"/>
    </row>
    <row r="29" spans="1:25" ht="24" customHeight="1" x14ac:dyDescent="0.2">
      <c r="A29" s="91"/>
      <c r="B29" s="81"/>
      <c r="C29" s="83"/>
      <c r="D29" s="84"/>
      <c r="E29" s="83"/>
      <c r="F29" s="79"/>
      <c r="G29" s="84"/>
      <c r="H29" s="79"/>
      <c r="I29" s="79"/>
      <c r="J29" s="84"/>
      <c r="K29" s="79"/>
      <c r="L29" s="79"/>
      <c r="M29" s="84"/>
      <c r="N29" s="79"/>
      <c r="O29" s="79"/>
      <c r="P29" s="84"/>
      <c r="Q29" s="79"/>
      <c r="R29" s="83"/>
      <c r="S29" s="84"/>
      <c r="T29" s="83"/>
      <c r="U29" s="75">
        <f t="shared" si="0"/>
        <v>0</v>
      </c>
      <c r="V29" s="94"/>
      <c r="W29" s="98"/>
      <c r="X29" s="188"/>
      <c r="Y29" s="185"/>
    </row>
    <row r="30" spans="1:25" ht="24" customHeight="1" x14ac:dyDescent="0.2">
      <c r="A30" s="91"/>
      <c r="B30" s="81"/>
      <c r="C30" s="83"/>
      <c r="D30" s="84"/>
      <c r="E30" s="83"/>
      <c r="F30" s="79"/>
      <c r="G30" s="84"/>
      <c r="H30" s="79"/>
      <c r="I30" s="79"/>
      <c r="J30" s="84"/>
      <c r="K30" s="79"/>
      <c r="L30" s="79"/>
      <c r="M30" s="84"/>
      <c r="N30" s="79"/>
      <c r="O30" s="79"/>
      <c r="P30" s="84"/>
      <c r="Q30" s="79"/>
      <c r="R30" s="83"/>
      <c r="S30" s="84"/>
      <c r="T30" s="83"/>
      <c r="U30" s="75">
        <f t="shared" si="0"/>
        <v>0</v>
      </c>
      <c r="V30" s="94"/>
      <c r="W30" s="98"/>
      <c r="X30" s="188"/>
      <c r="Y30" s="185"/>
    </row>
    <row r="31" spans="1:25" ht="24" customHeight="1" x14ac:dyDescent="0.2">
      <c r="A31" s="91"/>
      <c r="B31" s="81"/>
      <c r="C31" s="83"/>
      <c r="D31" s="80"/>
      <c r="E31" s="79"/>
      <c r="F31" s="83"/>
      <c r="G31" s="80"/>
      <c r="H31" s="79"/>
      <c r="I31" s="134"/>
      <c r="J31" s="80"/>
      <c r="K31" s="79"/>
      <c r="L31" s="79"/>
      <c r="M31" s="80"/>
      <c r="N31" s="79"/>
      <c r="O31" s="79"/>
      <c r="P31" s="80"/>
      <c r="Q31" s="79"/>
      <c r="R31" s="83"/>
      <c r="S31" s="80"/>
      <c r="T31" s="83"/>
      <c r="U31" s="75">
        <f t="shared" si="0"/>
        <v>0</v>
      </c>
      <c r="V31" s="94"/>
      <c r="W31" s="98"/>
      <c r="X31" s="188"/>
      <c r="Y31" s="185"/>
    </row>
    <row r="32" spans="1:25" ht="24" customHeight="1" x14ac:dyDescent="0.2">
      <c r="A32" s="98"/>
      <c r="B32" s="188"/>
      <c r="C32" s="185"/>
    </row>
    <row r="33" spans="1:3" ht="24" customHeight="1" x14ac:dyDescent="0.2">
      <c r="A33" s="98"/>
      <c r="B33" s="188"/>
      <c r="C33" s="185"/>
    </row>
    <row r="34" spans="1:3" ht="24" customHeight="1" x14ac:dyDescent="0.2">
      <c r="A34" s="98"/>
      <c r="B34" s="188"/>
      <c r="C34" s="185"/>
    </row>
    <row r="35" spans="1:3" ht="24" customHeight="1" x14ac:dyDescent="0.2">
      <c r="A35" s="98"/>
      <c r="B35" s="188"/>
      <c r="C35" s="185"/>
    </row>
    <row r="36" spans="1:3" ht="24" customHeight="1" x14ac:dyDescent="0.2">
      <c r="A36" s="98"/>
      <c r="B36" s="188"/>
      <c r="C36" s="185"/>
    </row>
    <row r="37" spans="1:3" ht="24" customHeight="1" x14ac:dyDescent="0.2">
      <c r="A37" s="98"/>
      <c r="B37" s="188"/>
      <c r="C37" s="185"/>
    </row>
    <row r="38" spans="1:3" ht="24" customHeight="1" x14ac:dyDescent="0.2">
      <c r="A38" s="98"/>
      <c r="B38" s="188"/>
      <c r="C38" s="185"/>
    </row>
    <row r="39" spans="1:3" ht="24" customHeight="1" x14ac:dyDescent="0.2">
      <c r="A39" s="98"/>
      <c r="B39" s="188"/>
      <c r="C39" s="185"/>
    </row>
    <row r="40" spans="1:3" ht="24" customHeight="1" x14ac:dyDescent="0.2">
      <c r="A40" s="98"/>
      <c r="B40" s="188"/>
      <c r="C40" s="185"/>
    </row>
    <row r="41" spans="1:3" ht="24" customHeight="1" x14ac:dyDescent="0.2">
      <c r="A41" s="98"/>
      <c r="B41" s="188"/>
      <c r="C41" s="185"/>
    </row>
    <row r="42" spans="1:3" ht="24" customHeight="1" x14ac:dyDescent="0.2">
      <c r="A42" s="98"/>
      <c r="B42" s="188"/>
      <c r="C42" s="185"/>
    </row>
    <row r="43" spans="1:3" ht="24" customHeight="1" x14ac:dyDescent="0.2">
      <c r="A43" s="98"/>
      <c r="B43" s="188"/>
      <c r="C43" s="185"/>
    </row>
    <row r="44" spans="1:3" ht="24" customHeight="1" x14ac:dyDescent="0.2">
      <c r="A44" s="98"/>
      <c r="B44" s="188"/>
      <c r="C44" s="185"/>
    </row>
    <row r="45" spans="1:3" ht="24" customHeight="1" x14ac:dyDescent="0.2">
      <c r="A45" s="98"/>
      <c r="B45" s="188"/>
      <c r="C45" s="185"/>
    </row>
    <row r="46" spans="1:3" ht="24" customHeight="1" x14ac:dyDescent="0.2">
      <c r="A46" s="98"/>
      <c r="B46" s="188"/>
      <c r="C46" s="185"/>
    </row>
    <row r="47" spans="1:3" ht="24" customHeight="1" x14ac:dyDescent="0.2">
      <c r="A47" s="98"/>
      <c r="B47" s="188"/>
      <c r="C47" s="185"/>
    </row>
    <row r="48" spans="1:3" ht="24" customHeight="1" x14ac:dyDescent="0.2">
      <c r="A48" s="98"/>
      <c r="B48" s="188"/>
      <c r="C48" s="185"/>
    </row>
    <row r="49" spans="1:3" ht="24" customHeight="1" x14ac:dyDescent="0.2">
      <c r="A49" s="98"/>
      <c r="B49" s="188"/>
      <c r="C49" s="185"/>
    </row>
    <row r="50" spans="1:3" ht="24" customHeight="1" x14ac:dyDescent="0.2">
      <c r="A50" s="98"/>
      <c r="B50" s="188"/>
      <c r="C50" s="185"/>
    </row>
    <row r="51" spans="1:3" ht="24" customHeight="1" x14ac:dyDescent="0.2">
      <c r="A51" s="98"/>
      <c r="B51" s="188"/>
      <c r="C51" s="185"/>
    </row>
    <row r="52" spans="1:3" ht="24" customHeight="1" x14ac:dyDescent="0.2">
      <c r="A52" s="72"/>
      <c r="B52" s="188"/>
      <c r="C52" s="185"/>
    </row>
    <row r="53" spans="1:3" ht="24" customHeight="1" x14ac:dyDescent="0.2">
      <c r="A53" s="72"/>
      <c r="B53" s="188"/>
      <c r="C53" s="185"/>
    </row>
    <row r="54" spans="1:3" ht="24" customHeight="1" x14ac:dyDescent="0.2">
      <c r="A54" s="72"/>
      <c r="B54" s="188"/>
      <c r="C54" s="185"/>
    </row>
    <row r="55" spans="1:3" ht="24" customHeight="1" x14ac:dyDescent="0.2">
      <c r="A55" s="72"/>
      <c r="B55" s="188"/>
      <c r="C55" s="185"/>
    </row>
    <row r="56" spans="1:3" ht="24" customHeight="1" x14ac:dyDescent="0.2">
      <c r="A56" s="72"/>
      <c r="B56" s="188"/>
      <c r="C56" s="185"/>
    </row>
    <row r="57" spans="1:3" ht="24" customHeight="1" x14ac:dyDescent="0.2">
      <c r="A57" s="72"/>
      <c r="B57" s="188"/>
      <c r="C57" s="185"/>
    </row>
    <row r="58" spans="1:3" ht="24" customHeight="1" x14ac:dyDescent="0.2">
      <c r="A58" s="72"/>
      <c r="B58" s="188"/>
      <c r="C58" s="185"/>
    </row>
    <row r="59" spans="1:3" ht="24" customHeight="1" x14ac:dyDescent="0.2">
      <c r="A59" s="72"/>
      <c r="B59" s="188"/>
      <c r="C59" s="185"/>
    </row>
    <row r="60" spans="1:3" ht="24" customHeight="1" x14ac:dyDescent="0.2">
      <c r="A60" s="72"/>
      <c r="B60" s="188"/>
      <c r="C60" s="185"/>
    </row>
    <row r="61" spans="1:3" ht="24" customHeight="1" x14ac:dyDescent="0.2">
      <c r="A61" s="72"/>
      <c r="B61" s="188"/>
      <c r="C61" s="185"/>
    </row>
    <row r="62" spans="1:3" ht="24" customHeight="1" x14ac:dyDescent="0.2">
      <c r="A62" s="72"/>
      <c r="B62" s="188"/>
      <c r="C62" s="185"/>
    </row>
    <row r="63" spans="1:3" ht="24" customHeight="1" x14ac:dyDescent="0.2">
      <c r="A63" s="72"/>
      <c r="B63" s="188"/>
      <c r="C63" s="185"/>
    </row>
    <row r="64" spans="1:3" ht="24" customHeight="1" x14ac:dyDescent="0.2">
      <c r="A64" s="72"/>
      <c r="B64" s="188"/>
      <c r="C64" s="185"/>
    </row>
    <row r="65" spans="1:25" ht="24" customHeight="1" x14ac:dyDescent="0.2">
      <c r="A65" s="72"/>
      <c r="B65" s="188"/>
      <c r="C65" s="185"/>
    </row>
    <row r="66" spans="1:25" ht="24" customHeight="1" x14ac:dyDescent="0.2">
      <c r="A66" s="72"/>
      <c r="B66" s="188"/>
      <c r="C66" s="185"/>
    </row>
    <row r="67" spans="1:25" ht="24" customHeight="1" x14ac:dyDescent="0.2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103"/>
      <c r="T67" s="103"/>
      <c r="U67" s="116"/>
      <c r="V67" s="74"/>
      <c r="X67" s="188"/>
      <c r="Y67" s="185"/>
    </row>
    <row r="68" spans="1:25" ht="24" customHeight="1" x14ac:dyDescent="0.2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103"/>
      <c r="T68" s="103"/>
      <c r="U68" s="116"/>
      <c r="V68" s="74"/>
      <c r="X68" s="188"/>
      <c r="Y68" s="185"/>
    </row>
    <row r="69" spans="1:25" ht="24" customHeight="1" x14ac:dyDescent="0.2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89"/>
      <c r="T69" s="89"/>
      <c r="U69" s="116"/>
      <c r="V69" s="74"/>
      <c r="X69" s="188"/>
      <c r="Y69" s="185"/>
    </row>
    <row r="70" spans="1:25" x14ac:dyDescent="0.2">
      <c r="S70" s="98"/>
      <c r="T70" s="98"/>
      <c r="U70" s="98"/>
    </row>
    <row r="71" spans="1:25" x14ac:dyDescent="0.2">
      <c r="S71" s="98"/>
      <c r="T71" s="98"/>
      <c r="U71" s="98"/>
    </row>
    <row r="72" spans="1:25" x14ac:dyDescent="0.2">
      <c r="S72" s="98"/>
      <c r="T72" s="98"/>
      <c r="U72" s="98"/>
    </row>
  </sheetData>
  <sheetProtection formatCells="0" selectLockedCells="1" selectUnlockedCells="1"/>
  <mergeCells count="85">
    <mergeCell ref="X13:Y13"/>
    <mergeCell ref="A5:A6"/>
    <mergeCell ref="B5:T5"/>
    <mergeCell ref="X10:Y10"/>
    <mergeCell ref="X11:Y11"/>
    <mergeCell ref="X12:Y12"/>
    <mergeCell ref="X25:Y25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X24:Y24"/>
    <mergeCell ref="B37:C37"/>
    <mergeCell ref="X26:Y26"/>
    <mergeCell ref="X27:Y27"/>
    <mergeCell ref="X28:Y28"/>
    <mergeCell ref="X29:Y29"/>
    <mergeCell ref="X30:Y30"/>
    <mergeCell ref="X31:Y31"/>
    <mergeCell ref="B32:C32"/>
    <mergeCell ref="B33:C33"/>
    <mergeCell ref="B34:C34"/>
    <mergeCell ref="B35:C35"/>
    <mergeCell ref="B36:C36"/>
    <mergeCell ref="B49:C49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59:C59"/>
    <mergeCell ref="B60:C60"/>
    <mergeCell ref="B61:C61"/>
    <mergeCell ref="B62:C62"/>
    <mergeCell ref="B50:C50"/>
    <mergeCell ref="B51:C51"/>
    <mergeCell ref="B52:C52"/>
    <mergeCell ref="B53:C53"/>
    <mergeCell ref="B54:C54"/>
    <mergeCell ref="B55:C55"/>
    <mergeCell ref="B63:C63"/>
    <mergeCell ref="B64:C64"/>
    <mergeCell ref="X68:Y68"/>
    <mergeCell ref="X69:Y69"/>
    <mergeCell ref="I1:K1"/>
    <mergeCell ref="I2:K2"/>
    <mergeCell ref="I3:K3"/>
    <mergeCell ref="I4:K4"/>
    <mergeCell ref="L2:N2"/>
    <mergeCell ref="L3:N3"/>
    <mergeCell ref="B56:C56"/>
    <mergeCell ref="B57:C57"/>
    <mergeCell ref="B65:C65"/>
    <mergeCell ref="B66:C66"/>
    <mergeCell ref="X67:Y67"/>
    <mergeCell ref="B58:C58"/>
    <mergeCell ref="R1:T1"/>
    <mergeCell ref="R2:T2"/>
    <mergeCell ref="R3:T3"/>
    <mergeCell ref="R4:T4"/>
    <mergeCell ref="L4:N4"/>
    <mergeCell ref="O2:Q2"/>
    <mergeCell ref="O3:Q3"/>
    <mergeCell ref="O4:Q4"/>
    <mergeCell ref="L1:Q1"/>
    <mergeCell ref="C1:E1"/>
    <mergeCell ref="C2:E2"/>
    <mergeCell ref="C3:E3"/>
    <mergeCell ref="C4:E4"/>
    <mergeCell ref="F1:H1"/>
    <mergeCell ref="F2:H2"/>
    <mergeCell ref="F3:H3"/>
    <mergeCell ref="F4:H4"/>
  </mergeCells>
  <printOptions horizontalCentered="1" verticalCentered="1" gridLines="1"/>
  <pageMargins left="0.5" right="0.5" top="0.5" bottom="0.25" header="0" footer="0"/>
  <pageSetup scale="74" orientation="landscape" r:id="rId1"/>
  <headerFooter alignWithMargins="0">
    <oddHeader>&amp;LFAX-425-487-1568&amp;CTIMESHEET</oddHeader>
  </headerFooter>
  <colBreaks count="1" manualBreakCount="1">
    <brk id="21" max="68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workbookViewId="0">
      <selection activeCell="R4" sqref="R4:T4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134</v>
      </c>
      <c r="D1" s="176"/>
      <c r="E1" s="176"/>
      <c r="F1" s="174" t="s">
        <v>133</v>
      </c>
      <c r="G1" s="176"/>
      <c r="H1" s="176"/>
      <c r="I1" s="165" t="s">
        <v>132</v>
      </c>
      <c r="J1" s="166"/>
      <c r="K1" s="166"/>
      <c r="L1" s="179" t="s">
        <v>131</v>
      </c>
      <c r="M1" s="179"/>
      <c r="N1" s="179"/>
      <c r="O1" s="179"/>
      <c r="P1" s="179"/>
      <c r="Q1" s="179"/>
      <c r="R1" s="175" t="s">
        <v>130</v>
      </c>
      <c r="S1" s="175"/>
      <c r="T1" s="175"/>
      <c r="U1" s="109"/>
      <c r="V1" s="112"/>
    </row>
    <row r="2" spans="1:25" ht="24" customHeight="1" thickBot="1" x14ac:dyDescent="0.25">
      <c r="A2" s="103"/>
      <c r="B2" s="110" t="s">
        <v>129</v>
      </c>
      <c r="C2" s="175" t="s">
        <v>128</v>
      </c>
      <c r="D2" s="175"/>
      <c r="E2" s="175"/>
      <c r="F2" s="174" t="s">
        <v>127</v>
      </c>
      <c r="G2" s="176"/>
      <c r="H2" s="176"/>
      <c r="I2" s="167"/>
      <c r="J2" s="167"/>
      <c r="K2" s="167"/>
      <c r="L2" s="174" t="s">
        <v>126</v>
      </c>
      <c r="M2" s="175"/>
      <c r="N2" s="175"/>
      <c r="O2" s="174" t="s">
        <v>125</v>
      </c>
      <c r="P2" s="174"/>
      <c r="Q2" s="174"/>
      <c r="R2" s="175" t="s">
        <v>124</v>
      </c>
      <c r="S2" s="175"/>
      <c r="T2" s="175"/>
      <c r="U2" s="109"/>
      <c r="V2" s="112"/>
    </row>
    <row r="3" spans="1:25" ht="24" customHeight="1" x14ac:dyDescent="0.2">
      <c r="A3" s="103"/>
      <c r="B3" s="110" t="s">
        <v>123</v>
      </c>
      <c r="C3" s="174" t="s">
        <v>122</v>
      </c>
      <c r="D3" s="174"/>
      <c r="E3" s="174"/>
      <c r="F3" s="174" t="s">
        <v>121</v>
      </c>
      <c r="G3" s="176"/>
      <c r="H3" s="176"/>
      <c r="I3" s="168" t="s">
        <v>120</v>
      </c>
      <c r="J3" s="169"/>
      <c r="K3" s="170"/>
      <c r="L3" s="174" t="s">
        <v>119</v>
      </c>
      <c r="M3" s="175"/>
      <c r="N3" s="175"/>
      <c r="O3" s="174" t="s">
        <v>118</v>
      </c>
      <c r="P3" s="174"/>
      <c r="Q3" s="174"/>
      <c r="R3" s="175" t="s">
        <v>117</v>
      </c>
      <c r="S3" s="175"/>
      <c r="T3" s="175"/>
      <c r="U3" s="109"/>
      <c r="V3" s="111"/>
    </row>
    <row r="4" spans="1:25" ht="24" customHeight="1" thickBot="1" x14ac:dyDescent="0.25">
      <c r="A4" s="103"/>
      <c r="B4" s="110" t="s">
        <v>116</v>
      </c>
      <c r="C4" s="174" t="s">
        <v>115</v>
      </c>
      <c r="D4" s="176"/>
      <c r="E4" s="176"/>
      <c r="F4" s="174" t="s">
        <v>114</v>
      </c>
      <c r="G4" s="176"/>
      <c r="H4" s="176"/>
      <c r="I4" s="171" t="s">
        <v>113</v>
      </c>
      <c r="J4" s="172"/>
      <c r="K4" s="173"/>
      <c r="L4" s="174" t="s">
        <v>112</v>
      </c>
      <c r="M4" s="175"/>
      <c r="N4" s="175"/>
      <c r="O4" s="178" t="s">
        <v>111</v>
      </c>
      <c r="P4" s="178"/>
      <c r="Q4" s="178"/>
      <c r="R4" s="190" t="s">
        <v>178</v>
      </c>
      <c r="S4" s="177"/>
      <c r="T4" s="177"/>
      <c r="U4" s="109"/>
      <c r="V4" s="89"/>
    </row>
    <row r="5" spans="1:25" ht="24" customHeight="1" thickTop="1" thickBot="1" x14ac:dyDescent="0.25">
      <c r="A5" s="180"/>
      <c r="B5" s="194" t="s">
        <v>187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6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42474</v>
      </c>
      <c r="D6" s="107"/>
      <c r="E6" s="107"/>
      <c r="F6" s="107">
        <f>C6+1</f>
        <v>42475</v>
      </c>
      <c r="G6" s="107"/>
      <c r="H6" s="107"/>
      <c r="I6" s="107">
        <f>F6+3</f>
        <v>42478</v>
      </c>
      <c r="J6" s="107"/>
      <c r="K6" s="107"/>
      <c r="L6" s="107">
        <f>I6+1</f>
        <v>42479</v>
      </c>
      <c r="M6" s="107"/>
      <c r="N6" s="107"/>
      <c r="O6" s="107">
        <f>L6+1</f>
        <v>42480</v>
      </c>
      <c r="P6" s="107"/>
      <c r="Q6" s="107"/>
      <c r="R6" s="107">
        <f>F6+1</f>
        <v>42476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/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104"/>
      <c r="V8" s="94"/>
      <c r="W8" s="98"/>
    </row>
    <row r="9" spans="1:25" ht="24" customHeight="1" x14ac:dyDescent="0.2">
      <c r="A9" s="103"/>
      <c r="B9" s="97" t="s">
        <v>110</v>
      </c>
      <c r="C9" s="97" t="s">
        <v>170</v>
      </c>
      <c r="D9" s="97" t="s">
        <v>169</v>
      </c>
      <c r="E9" s="97" t="s">
        <v>17</v>
      </c>
      <c r="F9" s="97" t="s">
        <v>170</v>
      </c>
      <c r="G9" s="97" t="s">
        <v>169</v>
      </c>
      <c r="H9" s="97" t="s">
        <v>17</v>
      </c>
      <c r="I9" s="97" t="s">
        <v>170</v>
      </c>
      <c r="J9" s="97" t="s">
        <v>169</v>
      </c>
      <c r="K9" s="97" t="s">
        <v>17</v>
      </c>
      <c r="L9" s="97" t="s">
        <v>170</v>
      </c>
      <c r="M9" s="97" t="s">
        <v>169</v>
      </c>
      <c r="N9" s="97" t="s">
        <v>17</v>
      </c>
      <c r="O9" s="97" t="s">
        <v>170</v>
      </c>
      <c r="P9" s="97" t="s">
        <v>169</v>
      </c>
      <c r="Q9" s="97" t="s">
        <v>17</v>
      </c>
      <c r="R9" s="97" t="s">
        <v>170</v>
      </c>
      <c r="S9" s="97" t="s">
        <v>169</v>
      </c>
      <c r="T9" s="97" t="s">
        <v>17</v>
      </c>
      <c r="U9" s="101"/>
      <c r="V9" s="100"/>
      <c r="W9" s="98"/>
    </row>
    <row r="10" spans="1:25" ht="24" customHeight="1" x14ac:dyDescent="0.2">
      <c r="A10" s="91"/>
      <c r="B10" s="81"/>
      <c r="C10" s="79"/>
      <c r="D10" s="80"/>
      <c r="E10" s="79"/>
      <c r="F10" s="79"/>
      <c r="G10" s="80"/>
      <c r="H10" s="79"/>
      <c r="I10" s="79"/>
      <c r="J10" s="80"/>
      <c r="K10" s="79"/>
      <c r="L10" s="79"/>
      <c r="M10" s="80"/>
      <c r="N10" s="79"/>
      <c r="O10" s="79"/>
      <c r="P10" s="80"/>
      <c r="Q10" s="79"/>
      <c r="R10" s="79"/>
      <c r="S10" s="84"/>
      <c r="T10" s="83"/>
      <c r="U10" s="75">
        <f t="shared" ref="U10:U31" si="0">SUM(B10,E10,H10,K10,N10,Q10,T10)</f>
        <v>0</v>
      </c>
      <c r="V10" s="94"/>
      <c r="W10" s="98"/>
      <c r="X10" s="184"/>
      <c r="Y10" s="185"/>
    </row>
    <row r="11" spans="1:25" ht="24" customHeight="1" x14ac:dyDescent="0.2">
      <c r="A11" s="91"/>
      <c r="B11" s="81" t="s">
        <v>186</v>
      </c>
      <c r="C11" s="79">
        <v>2021</v>
      </c>
      <c r="D11" s="80">
        <v>142</v>
      </c>
      <c r="E11" s="79">
        <v>2</v>
      </c>
      <c r="F11" s="79">
        <v>2021</v>
      </c>
      <c r="G11" s="80">
        <v>141</v>
      </c>
      <c r="H11" s="79">
        <v>5</v>
      </c>
      <c r="I11" s="79">
        <v>2021</v>
      </c>
      <c r="J11" s="80">
        <v>142</v>
      </c>
      <c r="K11" s="79">
        <v>2</v>
      </c>
      <c r="L11" s="79">
        <v>2021</v>
      </c>
      <c r="M11" s="80">
        <v>141</v>
      </c>
      <c r="N11" s="79">
        <v>1</v>
      </c>
      <c r="O11" s="79">
        <v>2028</v>
      </c>
      <c r="P11" s="80">
        <v>112</v>
      </c>
      <c r="Q11" s="79">
        <v>4</v>
      </c>
      <c r="R11" s="79"/>
      <c r="S11" s="84"/>
      <c r="T11" s="83"/>
      <c r="U11" s="75">
        <f t="shared" si="0"/>
        <v>14</v>
      </c>
      <c r="V11" s="94"/>
      <c r="W11" s="98"/>
      <c r="X11" s="184"/>
      <c r="Y11" s="185"/>
    </row>
    <row r="12" spans="1:25" ht="24" customHeight="1" x14ac:dyDescent="0.2">
      <c r="A12" s="91"/>
      <c r="B12" s="81"/>
      <c r="C12" s="79">
        <v>2021</v>
      </c>
      <c r="D12" s="80">
        <v>141</v>
      </c>
      <c r="E12" s="79">
        <v>2</v>
      </c>
      <c r="F12" s="79">
        <v>2025</v>
      </c>
      <c r="G12" s="80">
        <v>112</v>
      </c>
      <c r="H12" s="79">
        <v>3</v>
      </c>
      <c r="I12" s="79">
        <v>2021</v>
      </c>
      <c r="J12" s="80">
        <v>141</v>
      </c>
      <c r="K12" s="79">
        <v>2</v>
      </c>
      <c r="L12" s="79">
        <v>2021</v>
      </c>
      <c r="M12" s="80">
        <v>142</v>
      </c>
      <c r="N12" s="79">
        <v>2</v>
      </c>
      <c r="O12" s="79">
        <v>2021</v>
      </c>
      <c r="P12" s="80">
        <v>111</v>
      </c>
      <c r="Q12" s="79">
        <v>2</v>
      </c>
      <c r="R12" s="79"/>
      <c r="S12" s="84"/>
      <c r="T12" s="83"/>
      <c r="U12" s="75">
        <f t="shared" si="0"/>
        <v>11</v>
      </c>
      <c r="V12" s="94"/>
      <c r="W12" s="98"/>
      <c r="X12" s="184"/>
      <c r="Y12" s="185"/>
    </row>
    <row r="13" spans="1:25" ht="24" customHeight="1" x14ac:dyDescent="0.2">
      <c r="A13" s="91"/>
      <c r="B13" s="81"/>
      <c r="C13" s="79">
        <v>2024</v>
      </c>
      <c r="D13" s="80">
        <v>111</v>
      </c>
      <c r="E13" s="79">
        <v>4</v>
      </c>
      <c r="F13" s="79"/>
      <c r="G13" s="80"/>
      <c r="H13" s="79"/>
      <c r="I13" s="79">
        <v>2028</v>
      </c>
      <c r="J13" s="80">
        <v>112</v>
      </c>
      <c r="K13" s="79">
        <v>4</v>
      </c>
      <c r="L13" s="79">
        <v>2021</v>
      </c>
      <c r="M13" s="80">
        <v>111</v>
      </c>
      <c r="N13" s="79">
        <v>1</v>
      </c>
      <c r="O13" s="79">
        <v>2023</v>
      </c>
      <c r="P13" s="80">
        <v>151</v>
      </c>
      <c r="Q13" s="79">
        <v>2</v>
      </c>
      <c r="R13" s="79"/>
      <c r="S13" s="84"/>
      <c r="T13" s="83"/>
      <c r="U13" s="75">
        <f t="shared" si="0"/>
        <v>11</v>
      </c>
      <c r="V13" s="94"/>
      <c r="W13" s="98"/>
      <c r="X13" s="184"/>
      <c r="Y13" s="185"/>
    </row>
    <row r="14" spans="1:25" ht="24" customHeight="1" x14ac:dyDescent="0.2">
      <c r="A14" s="91"/>
      <c r="B14" s="81"/>
      <c r="C14" s="79"/>
      <c r="D14" s="80"/>
      <c r="E14" s="79"/>
      <c r="F14" s="79"/>
      <c r="G14" s="80"/>
      <c r="H14" s="79"/>
      <c r="I14" s="79"/>
      <c r="J14" s="80"/>
      <c r="K14" s="79"/>
      <c r="L14" s="79">
        <v>2024</v>
      </c>
      <c r="M14" s="80">
        <v>111</v>
      </c>
      <c r="N14" s="79">
        <v>2</v>
      </c>
      <c r="O14" s="79"/>
      <c r="P14" s="80"/>
      <c r="Q14" s="79"/>
      <c r="R14" s="79"/>
      <c r="S14" s="84"/>
      <c r="T14" s="83"/>
      <c r="U14" s="75">
        <f t="shared" si="0"/>
        <v>2</v>
      </c>
      <c r="V14" s="94"/>
      <c r="W14" s="98"/>
      <c r="X14" s="184"/>
      <c r="Y14" s="185"/>
    </row>
    <row r="15" spans="1:25" ht="24" customHeight="1" x14ac:dyDescent="0.2">
      <c r="A15" s="91"/>
      <c r="B15" s="81"/>
      <c r="C15" s="79"/>
      <c r="D15" s="80"/>
      <c r="E15" s="79"/>
      <c r="F15" s="79"/>
      <c r="G15" s="80"/>
      <c r="H15" s="79"/>
      <c r="I15" s="79"/>
      <c r="J15" s="80"/>
      <c r="K15" s="79"/>
      <c r="L15" s="79">
        <v>2028</v>
      </c>
      <c r="M15" s="80">
        <v>112</v>
      </c>
      <c r="N15" s="79">
        <v>2</v>
      </c>
      <c r="O15" s="79"/>
      <c r="P15" s="80"/>
      <c r="Q15" s="79"/>
      <c r="R15" s="79"/>
      <c r="S15" s="84"/>
      <c r="T15" s="83"/>
      <c r="U15" s="75">
        <f t="shared" si="0"/>
        <v>2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79"/>
      <c r="D16" s="80"/>
      <c r="E16" s="79"/>
      <c r="F16" s="79"/>
      <c r="G16" s="80"/>
      <c r="H16" s="79"/>
      <c r="I16" s="79"/>
      <c r="J16" s="80"/>
      <c r="K16" s="79"/>
      <c r="L16" s="79"/>
      <c r="M16" s="80"/>
      <c r="N16" s="79"/>
      <c r="O16" s="79"/>
      <c r="P16" s="80"/>
      <c r="Q16" s="79"/>
      <c r="R16" s="79"/>
      <c r="S16" s="84"/>
      <c r="T16" s="83"/>
      <c r="U16" s="75">
        <f t="shared" si="0"/>
        <v>0</v>
      </c>
      <c r="V16" s="94"/>
      <c r="W16" s="98"/>
      <c r="X16" s="184"/>
      <c r="Y16" s="185"/>
    </row>
    <row r="17" spans="1:25" ht="24" customHeight="1" x14ac:dyDescent="0.2">
      <c r="A17" s="91"/>
      <c r="B17" s="91"/>
      <c r="C17" s="79"/>
      <c r="D17" s="80"/>
      <c r="E17" s="79"/>
      <c r="F17" s="79"/>
      <c r="G17" s="80"/>
      <c r="H17" s="79"/>
      <c r="I17" s="79"/>
      <c r="J17" s="80"/>
      <c r="K17" s="79"/>
      <c r="L17" s="79"/>
      <c r="M17" s="80"/>
      <c r="N17" s="79"/>
      <c r="O17" s="79"/>
      <c r="P17" s="80"/>
      <c r="Q17" s="79"/>
      <c r="R17" s="79"/>
      <c r="S17" s="84"/>
      <c r="T17" s="83"/>
      <c r="U17" s="75">
        <f t="shared" si="0"/>
        <v>0</v>
      </c>
      <c r="V17" s="94"/>
      <c r="W17" s="98"/>
      <c r="X17" s="184"/>
      <c r="Y17" s="185"/>
    </row>
    <row r="18" spans="1:25" ht="24" customHeight="1" x14ac:dyDescent="0.2">
      <c r="A18" s="91"/>
      <c r="B18" s="91"/>
      <c r="C18" s="79"/>
      <c r="D18" s="80"/>
      <c r="E18" s="79"/>
      <c r="F18" s="79"/>
      <c r="G18" s="80"/>
      <c r="H18" s="79"/>
      <c r="I18" s="79"/>
      <c r="J18" s="80"/>
      <c r="K18" s="79"/>
      <c r="L18" s="79"/>
      <c r="M18" s="80"/>
      <c r="N18" s="79"/>
      <c r="O18" s="79"/>
      <c r="P18" s="80"/>
      <c r="Q18" s="79"/>
      <c r="R18" s="79"/>
      <c r="S18" s="84"/>
      <c r="T18" s="83"/>
      <c r="U18" s="75">
        <f t="shared" si="0"/>
        <v>0</v>
      </c>
      <c r="V18" s="94"/>
      <c r="W18" s="98"/>
      <c r="X18" s="184"/>
      <c r="Y18" s="185"/>
    </row>
    <row r="19" spans="1:25" ht="24" customHeight="1" x14ac:dyDescent="0.2">
      <c r="A19" s="91"/>
      <c r="B19" s="81"/>
      <c r="C19" s="79"/>
      <c r="D19" s="80"/>
      <c r="E19" s="79"/>
      <c r="F19" s="79"/>
      <c r="G19" s="80"/>
      <c r="H19" s="79"/>
      <c r="I19" s="79"/>
      <c r="J19" s="80"/>
      <c r="K19" s="79"/>
      <c r="L19" s="79"/>
      <c r="M19" s="80"/>
      <c r="N19" s="79"/>
      <c r="O19" s="79"/>
      <c r="P19" s="80"/>
      <c r="Q19" s="79"/>
      <c r="R19" s="79"/>
      <c r="S19" s="84"/>
      <c r="T19" s="83"/>
      <c r="U19" s="75">
        <f t="shared" si="0"/>
        <v>0</v>
      </c>
      <c r="V19" s="94"/>
      <c r="W19" s="98"/>
      <c r="X19" s="184"/>
      <c r="Y19" s="185"/>
    </row>
    <row r="20" spans="1:25" ht="24" customHeight="1" x14ac:dyDescent="0.2">
      <c r="A20" s="91"/>
      <c r="B20" s="81"/>
      <c r="C20" s="83"/>
      <c r="D20" s="84"/>
      <c r="E20" s="83"/>
      <c r="F20" s="79"/>
      <c r="G20" s="84"/>
      <c r="H20" s="79"/>
      <c r="I20" s="83"/>
      <c r="J20" s="84"/>
      <c r="K20" s="79"/>
      <c r="L20" s="83"/>
      <c r="M20" s="84"/>
      <c r="N20" s="83"/>
      <c r="O20" s="79"/>
      <c r="P20" s="84"/>
      <c r="Q20" s="79"/>
      <c r="R20" s="83"/>
      <c r="S20" s="84"/>
      <c r="T20" s="83"/>
      <c r="U20" s="75">
        <f t="shared" si="0"/>
        <v>0</v>
      </c>
      <c r="V20" s="94"/>
      <c r="W20" s="98"/>
      <c r="X20" s="184"/>
      <c r="Y20" s="185"/>
    </row>
    <row r="21" spans="1:25" ht="24" customHeight="1" x14ac:dyDescent="0.2">
      <c r="A21" s="91"/>
      <c r="B21" s="81"/>
      <c r="C21" s="79"/>
      <c r="D21" s="84"/>
      <c r="E21" s="79"/>
      <c r="F21" s="83"/>
      <c r="G21" s="84"/>
      <c r="H21" s="79"/>
      <c r="I21" s="83"/>
      <c r="J21" s="84"/>
      <c r="K21" s="79"/>
      <c r="L21" s="79"/>
      <c r="M21" s="84"/>
      <c r="N21" s="79"/>
      <c r="O21" s="83"/>
      <c r="P21" s="84"/>
      <c r="Q21" s="79"/>
      <c r="R21" s="83"/>
      <c r="S21" s="136"/>
      <c r="T21" s="83"/>
      <c r="U21" s="75">
        <f t="shared" si="0"/>
        <v>0</v>
      </c>
      <c r="V21" s="94"/>
      <c r="W21" s="98"/>
      <c r="X21" s="184"/>
      <c r="Y21" s="185"/>
    </row>
    <row r="22" spans="1:25" ht="24" customHeight="1" x14ac:dyDescent="0.2">
      <c r="A22" s="91"/>
      <c r="B22" s="81"/>
      <c r="C22" s="83"/>
      <c r="D22" s="84"/>
      <c r="E22" s="79"/>
      <c r="F22" s="79"/>
      <c r="G22" s="84"/>
      <c r="H22" s="79"/>
      <c r="I22" s="79"/>
      <c r="J22" s="84"/>
      <c r="K22" s="79"/>
      <c r="L22" s="79"/>
      <c r="M22" s="84"/>
      <c r="N22" s="79"/>
      <c r="O22" s="79"/>
      <c r="P22" s="84"/>
      <c r="Q22" s="79"/>
      <c r="R22" s="83"/>
      <c r="S22" s="84"/>
      <c r="T22" s="83"/>
      <c r="U22" s="75">
        <f t="shared" si="0"/>
        <v>0</v>
      </c>
      <c r="V22" s="89"/>
      <c r="W22" s="98"/>
      <c r="X22" s="184"/>
      <c r="Y22" s="185"/>
    </row>
    <row r="23" spans="1:25" ht="24" customHeight="1" x14ac:dyDescent="0.2">
      <c r="A23" s="91"/>
      <c r="B23" s="81"/>
      <c r="C23" s="79"/>
      <c r="D23" s="84"/>
      <c r="E23" s="79"/>
      <c r="F23" s="79"/>
      <c r="G23" s="84"/>
      <c r="H23" s="79"/>
      <c r="I23" s="79"/>
      <c r="J23" s="84"/>
      <c r="K23" s="79"/>
      <c r="L23" s="79"/>
      <c r="M23" s="84"/>
      <c r="N23" s="79"/>
      <c r="O23" s="79"/>
      <c r="P23" s="84"/>
      <c r="Q23" s="79"/>
      <c r="R23" s="83"/>
      <c r="S23" s="84"/>
      <c r="T23" s="83"/>
      <c r="U23" s="75">
        <f t="shared" si="0"/>
        <v>0</v>
      </c>
      <c r="V23" s="89"/>
      <c r="W23" s="98"/>
      <c r="X23" s="184"/>
      <c r="Y23" s="185"/>
    </row>
    <row r="24" spans="1:25" ht="24" customHeight="1" x14ac:dyDescent="0.2">
      <c r="A24" s="91"/>
      <c r="B24" s="81"/>
      <c r="C24" s="83"/>
      <c r="D24" s="80"/>
      <c r="E24" s="79"/>
      <c r="F24" s="79"/>
      <c r="G24" s="80"/>
      <c r="H24" s="79"/>
      <c r="I24" s="79"/>
      <c r="J24" s="80"/>
      <c r="K24" s="79"/>
      <c r="L24" s="79"/>
      <c r="M24" s="80"/>
      <c r="N24" s="79"/>
      <c r="O24" s="79"/>
      <c r="P24" s="80"/>
      <c r="Q24" s="79"/>
      <c r="R24" s="83"/>
      <c r="S24" s="80"/>
      <c r="T24" s="83"/>
      <c r="U24" s="75">
        <f t="shared" si="0"/>
        <v>0</v>
      </c>
      <c r="V24" s="94"/>
      <c r="W24" s="98"/>
      <c r="X24" s="184"/>
      <c r="Y24" s="185"/>
    </row>
    <row r="25" spans="1:25" ht="24" customHeight="1" x14ac:dyDescent="0.2">
      <c r="A25" s="91"/>
      <c r="B25" s="81"/>
      <c r="C25" s="83"/>
      <c r="D25" s="80"/>
      <c r="E25" s="79"/>
      <c r="F25" s="79"/>
      <c r="G25" s="80"/>
      <c r="H25" s="79"/>
      <c r="I25" s="79"/>
      <c r="J25" s="80"/>
      <c r="K25" s="79"/>
      <c r="L25" s="79"/>
      <c r="M25" s="80"/>
      <c r="N25" s="79"/>
      <c r="O25" s="79"/>
      <c r="P25" s="80"/>
      <c r="Q25" s="79"/>
      <c r="R25" s="83"/>
      <c r="S25" s="80"/>
      <c r="T25" s="83"/>
      <c r="U25" s="75">
        <f t="shared" si="0"/>
        <v>0</v>
      </c>
      <c r="V25" s="94"/>
      <c r="W25" s="98"/>
      <c r="X25" s="184"/>
      <c r="Y25" s="185"/>
    </row>
    <row r="26" spans="1:25" ht="24" customHeight="1" x14ac:dyDescent="0.2">
      <c r="A26" s="91"/>
      <c r="B26" s="81"/>
      <c r="C26" s="83"/>
      <c r="D26" s="84"/>
      <c r="E26" s="83"/>
      <c r="F26" s="83"/>
      <c r="G26" s="84"/>
      <c r="H26" s="79"/>
      <c r="I26" s="79"/>
      <c r="J26" s="84"/>
      <c r="K26" s="79"/>
      <c r="L26" s="79"/>
      <c r="M26" s="84"/>
      <c r="N26" s="79"/>
      <c r="O26" s="79"/>
      <c r="P26" s="84"/>
      <c r="Q26" s="79"/>
      <c r="R26" s="83"/>
      <c r="S26" s="84"/>
      <c r="T26" s="83"/>
      <c r="U26" s="75">
        <f t="shared" si="0"/>
        <v>0</v>
      </c>
      <c r="V26" s="94"/>
      <c r="W26" s="98"/>
      <c r="X26" s="188"/>
      <c r="Y26" s="185"/>
    </row>
    <row r="27" spans="1:25" ht="24" customHeight="1" x14ac:dyDescent="0.2">
      <c r="A27" s="91"/>
      <c r="B27" s="95"/>
      <c r="C27" s="83"/>
      <c r="D27" s="84"/>
      <c r="E27" s="83"/>
      <c r="F27" s="83"/>
      <c r="G27" s="84"/>
      <c r="H27" s="83"/>
      <c r="I27" s="83"/>
      <c r="J27" s="84"/>
      <c r="K27" s="79"/>
      <c r="L27" s="83"/>
      <c r="M27" s="84"/>
      <c r="N27" s="79"/>
      <c r="O27" s="83"/>
      <c r="P27" s="84"/>
      <c r="Q27" s="83"/>
      <c r="R27" s="83"/>
      <c r="S27" s="84"/>
      <c r="T27" s="83"/>
      <c r="U27" s="75">
        <f t="shared" si="0"/>
        <v>0</v>
      </c>
      <c r="V27" s="94"/>
      <c r="W27" s="98"/>
      <c r="X27" s="188"/>
      <c r="Y27" s="185"/>
    </row>
    <row r="28" spans="1:25" ht="24" customHeight="1" x14ac:dyDescent="0.2">
      <c r="A28" s="91"/>
      <c r="B28" s="81"/>
      <c r="C28" s="83"/>
      <c r="D28" s="84"/>
      <c r="E28" s="83"/>
      <c r="F28" s="83"/>
      <c r="G28" s="84"/>
      <c r="H28" s="79"/>
      <c r="I28" s="79"/>
      <c r="J28" s="84"/>
      <c r="K28" s="79"/>
      <c r="L28" s="79"/>
      <c r="M28" s="84"/>
      <c r="N28" s="79"/>
      <c r="O28" s="79"/>
      <c r="P28" s="84"/>
      <c r="Q28" s="79"/>
      <c r="R28" s="83"/>
      <c r="S28" s="84"/>
      <c r="T28" s="83"/>
      <c r="U28" s="75">
        <f t="shared" si="0"/>
        <v>0</v>
      </c>
      <c r="V28" s="94"/>
      <c r="W28" s="98"/>
      <c r="X28" s="188"/>
      <c r="Y28" s="185"/>
    </row>
    <row r="29" spans="1:25" ht="24" customHeight="1" x14ac:dyDescent="0.2">
      <c r="A29" s="91"/>
      <c r="B29" s="81"/>
      <c r="C29" s="83"/>
      <c r="D29" s="84"/>
      <c r="E29" s="83"/>
      <c r="F29" s="79"/>
      <c r="G29" s="84"/>
      <c r="H29" s="79"/>
      <c r="I29" s="79"/>
      <c r="J29" s="84"/>
      <c r="K29" s="79"/>
      <c r="L29" s="79"/>
      <c r="M29" s="84"/>
      <c r="N29" s="79"/>
      <c r="O29" s="79"/>
      <c r="P29" s="84"/>
      <c r="Q29" s="79"/>
      <c r="R29" s="83"/>
      <c r="S29" s="84"/>
      <c r="T29" s="83"/>
      <c r="U29" s="75">
        <f t="shared" si="0"/>
        <v>0</v>
      </c>
      <c r="V29" s="94"/>
      <c r="W29" s="98"/>
      <c r="X29" s="188"/>
      <c r="Y29" s="185"/>
    </row>
    <row r="30" spans="1:25" ht="24" customHeight="1" x14ac:dyDescent="0.2">
      <c r="A30" s="91"/>
      <c r="B30" s="81"/>
      <c r="C30" s="83"/>
      <c r="D30" s="84"/>
      <c r="E30" s="83"/>
      <c r="F30" s="79"/>
      <c r="G30" s="84"/>
      <c r="H30" s="79"/>
      <c r="I30" s="79"/>
      <c r="J30" s="84"/>
      <c r="K30" s="79"/>
      <c r="L30" s="79"/>
      <c r="M30" s="84"/>
      <c r="N30" s="79"/>
      <c r="O30" s="79"/>
      <c r="P30" s="84"/>
      <c r="Q30" s="79"/>
      <c r="R30" s="83"/>
      <c r="S30" s="84"/>
      <c r="T30" s="83"/>
      <c r="U30" s="75">
        <f t="shared" si="0"/>
        <v>0</v>
      </c>
      <c r="V30" s="94"/>
      <c r="W30" s="98"/>
      <c r="X30" s="188"/>
      <c r="Y30" s="185"/>
    </row>
    <row r="31" spans="1:25" ht="24" customHeight="1" x14ac:dyDescent="0.2">
      <c r="A31" s="91"/>
      <c r="B31" s="81"/>
      <c r="C31" s="83"/>
      <c r="D31" s="80"/>
      <c r="E31" s="79"/>
      <c r="F31" s="83"/>
      <c r="G31" s="80"/>
      <c r="H31" s="79"/>
      <c r="I31" s="134"/>
      <c r="J31" s="80"/>
      <c r="K31" s="79"/>
      <c r="L31" s="79"/>
      <c r="M31" s="80"/>
      <c r="N31" s="79"/>
      <c r="O31" s="79"/>
      <c r="P31" s="80"/>
      <c r="Q31" s="79"/>
      <c r="R31" s="83"/>
      <c r="S31" s="80"/>
      <c r="T31" s="83"/>
      <c r="U31" s="75">
        <f t="shared" si="0"/>
        <v>0</v>
      </c>
      <c r="V31" s="94"/>
      <c r="W31" s="98"/>
      <c r="X31" s="188"/>
      <c r="Y31" s="185"/>
    </row>
    <row r="32" spans="1:25" ht="24" customHeight="1" x14ac:dyDescent="0.2">
      <c r="A32" s="98"/>
      <c r="B32" s="188"/>
      <c r="C32" s="185"/>
    </row>
    <row r="33" spans="1:3" ht="24" customHeight="1" x14ac:dyDescent="0.2">
      <c r="A33" s="98"/>
      <c r="B33" s="188"/>
      <c r="C33" s="185"/>
    </row>
    <row r="34" spans="1:3" ht="24" customHeight="1" x14ac:dyDescent="0.2">
      <c r="A34" s="98"/>
      <c r="B34" s="188"/>
      <c r="C34" s="185"/>
    </row>
    <row r="35" spans="1:3" ht="24" customHeight="1" x14ac:dyDescent="0.2">
      <c r="A35" s="98"/>
      <c r="B35" s="188"/>
      <c r="C35" s="185"/>
    </row>
    <row r="36" spans="1:3" ht="24" customHeight="1" x14ac:dyDescent="0.2">
      <c r="A36" s="98"/>
      <c r="B36" s="188"/>
      <c r="C36" s="185"/>
    </row>
    <row r="37" spans="1:3" ht="24" customHeight="1" x14ac:dyDescent="0.2">
      <c r="A37" s="98"/>
      <c r="B37" s="188"/>
      <c r="C37" s="185"/>
    </row>
    <row r="38" spans="1:3" ht="24" customHeight="1" x14ac:dyDescent="0.2">
      <c r="A38" s="98"/>
      <c r="B38" s="188"/>
      <c r="C38" s="185"/>
    </row>
    <row r="39" spans="1:3" ht="24" customHeight="1" x14ac:dyDescent="0.2">
      <c r="A39" s="98"/>
      <c r="B39" s="188"/>
      <c r="C39" s="185"/>
    </row>
    <row r="40" spans="1:3" ht="24" customHeight="1" x14ac:dyDescent="0.2">
      <c r="A40" s="98"/>
      <c r="B40" s="188"/>
      <c r="C40" s="185"/>
    </row>
    <row r="41" spans="1:3" ht="24" customHeight="1" x14ac:dyDescent="0.2">
      <c r="A41" s="98"/>
      <c r="B41" s="188"/>
      <c r="C41" s="185"/>
    </row>
    <row r="42" spans="1:3" ht="24" customHeight="1" x14ac:dyDescent="0.2">
      <c r="A42" s="98"/>
      <c r="B42" s="188"/>
      <c r="C42" s="185"/>
    </row>
    <row r="43" spans="1:3" ht="24" customHeight="1" x14ac:dyDescent="0.2">
      <c r="A43" s="98"/>
      <c r="B43" s="188"/>
      <c r="C43" s="185"/>
    </row>
    <row r="44" spans="1:3" ht="24" customHeight="1" x14ac:dyDescent="0.2">
      <c r="A44" s="98"/>
      <c r="B44" s="188"/>
      <c r="C44" s="185"/>
    </row>
    <row r="45" spans="1:3" ht="24" customHeight="1" x14ac:dyDescent="0.2">
      <c r="A45" s="98"/>
      <c r="B45" s="188"/>
      <c r="C45" s="185"/>
    </row>
    <row r="46" spans="1:3" ht="24" customHeight="1" x14ac:dyDescent="0.2">
      <c r="A46" s="98"/>
      <c r="B46" s="188"/>
      <c r="C46" s="185"/>
    </row>
    <row r="47" spans="1:3" ht="24" customHeight="1" x14ac:dyDescent="0.2">
      <c r="A47" s="98"/>
      <c r="B47" s="188"/>
      <c r="C47" s="185"/>
    </row>
    <row r="48" spans="1:3" ht="24" customHeight="1" x14ac:dyDescent="0.2">
      <c r="A48" s="98"/>
      <c r="B48" s="188"/>
      <c r="C48" s="185"/>
    </row>
    <row r="49" spans="1:3" ht="24" customHeight="1" x14ac:dyDescent="0.2">
      <c r="A49" s="98"/>
      <c r="B49" s="188"/>
      <c r="C49" s="185"/>
    </row>
    <row r="50" spans="1:3" ht="24" customHeight="1" x14ac:dyDescent="0.2">
      <c r="A50" s="98"/>
      <c r="B50" s="188"/>
      <c r="C50" s="185"/>
    </row>
    <row r="51" spans="1:3" ht="24" customHeight="1" x14ac:dyDescent="0.2">
      <c r="A51" s="98"/>
      <c r="B51" s="188"/>
      <c r="C51" s="185"/>
    </row>
    <row r="52" spans="1:3" ht="24" customHeight="1" x14ac:dyDescent="0.2">
      <c r="A52" s="72"/>
      <c r="B52" s="188"/>
      <c r="C52" s="185"/>
    </row>
    <row r="53" spans="1:3" ht="24" customHeight="1" x14ac:dyDescent="0.2">
      <c r="A53" s="72"/>
      <c r="B53" s="188"/>
      <c r="C53" s="185"/>
    </row>
    <row r="54" spans="1:3" ht="24" customHeight="1" x14ac:dyDescent="0.2">
      <c r="A54" s="72"/>
      <c r="B54" s="188"/>
      <c r="C54" s="185"/>
    </row>
    <row r="55" spans="1:3" ht="24" customHeight="1" x14ac:dyDescent="0.2">
      <c r="A55" s="72"/>
      <c r="B55" s="188"/>
      <c r="C55" s="185"/>
    </row>
    <row r="56" spans="1:3" ht="24" customHeight="1" x14ac:dyDescent="0.2">
      <c r="A56" s="72"/>
      <c r="B56" s="188"/>
      <c r="C56" s="185"/>
    </row>
    <row r="57" spans="1:3" ht="24" customHeight="1" x14ac:dyDescent="0.2">
      <c r="A57" s="72"/>
      <c r="B57" s="188"/>
      <c r="C57" s="185"/>
    </row>
    <row r="58" spans="1:3" ht="24" customHeight="1" x14ac:dyDescent="0.2">
      <c r="A58" s="72"/>
      <c r="B58" s="188"/>
      <c r="C58" s="185"/>
    </row>
    <row r="59" spans="1:3" ht="24" customHeight="1" x14ac:dyDescent="0.2">
      <c r="A59" s="72"/>
      <c r="B59" s="188"/>
      <c r="C59" s="185"/>
    </row>
    <row r="60" spans="1:3" ht="24" customHeight="1" x14ac:dyDescent="0.2">
      <c r="A60" s="72"/>
      <c r="B60" s="188"/>
      <c r="C60" s="185"/>
    </row>
    <row r="61" spans="1:3" ht="24" customHeight="1" x14ac:dyDescent="0.2">
      <c r="A61" s="72"/>
      <c r="B61" s="188"/>
      <c r="C61" s="185"/>
    </row>
    <row r="62" spans="1:3" ht="24" customHeight="1" x14ac:dyDescent="0.2">
      <c r="A62" s="72"/>
      <c r="B62" s="188"/>
      <c r="C62" s="185"/>
    </row>
    <row r="63" spans="1:3" ht="24" customHeight="1" x14ac:dyDescent="0.2">
      <c r="A63" s="72"/>
      <c r="B63" s="188"/>
      <c r="C63" s="185"/>
    </row>
    <row r="64" spans="1:3" ht="24" customHeight="1" x14ac:dyDescent="0.2">
      <c r="A64" s="72"/>
      <c r="B64" s="188"/>
      <c r="C64" s="185"/>
    </row>
    <row r="65" spans="1:25" ht="24" customHeight="1" x14ac:dyDescent="0.2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103"/>
      <c r="T65" s="103"/>
      <c r="U65" s="116"/>
      <c r="V65" s="74"/>
      <c r="X65" s="188"/>
      <c r="Y65" s="185"/>
    </row>
    <row r="66" spans="1:25" ht="24" customHeight="1" x14ac:dyDescent="0.2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103"/>
      <c r="T66" s="103"/>
      <c r="U66" s="116"/>
      <c r="V66" s="74"/>
      <c r="X66" s="188"/>
      <c r="Y66" s="185"/>
    </row>
    <row r="67" spans="1:25" ht="24" customHeight="1" x14ac:dyDescent="0.2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103"/>
      <c r="T67" s="103"/>
      <c r="U67" s="116"/>
      <c r="V67" s="74"/>
      <c r="X67" s="188"/>
      <c r="Y67" s="185"/>
    </row>
    <row r="68" spans="1:25" ht="24" customHeight="1" x14ac:dyDescent="0.2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103"/>
      <c r="T68" s="103"/>
      <c r="U68" s="116"/>
      <c r="V68" s="74"/>
      <c r="X68" s="188"/>
      <c r="Y68" s="185"/>
    </row>
    <row r="69" spans="1:25" ht="24" customHeight="1" x14ac:dyDescent="0.2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89"/>
      <c r="T69" s="89"/>
      <c r="U69" s="116"/>
      <c r="V69" s="74"/>
      <c r="X69" s="188"/>
      <c r="Y69" s="185"/>
    </row>
    <row r="70" spans="1:25" x14ac:dyDescent="0.2">
      <c r="S70" s="98"/>
      <c r="T70" s="98"/>
      <c r="U70" s="98"/>
    </row>
    <row r="71" spans="1:25" x14ac:dyDescent="0.2">
      <c r="S71" s="98"/>
      <c r="T71" s="98"/>
      <c r="U71" s="98"/>
    </row>
    <row r="72" spans="1:25" x14ac:dyDescent="0.2">
      <c r="S72" s="98"/>
      <c r="T72" s="98"/>
      <c r="U72" s="98"/>
    </row>
  </sheetData>
  <sheetProtection formatCells="0" selectLockedCells="1" selectUnlockedCells="1"/>
  <mergeCells count="85">
    <mergeCell ref="C1:E1"/>
    <mergeCell ref="C2:E2"/>
    <mergeCell ref="C3:E3"/>
    <mergeCell ref="C4:E4"/>
    <mergeCell ref="F1:H1"/>
    <mergeCell ref="F2:H2"/>
    <mergeCell ref="F3:H3"/>
    <mergeCell ref="F4:H4"/>
    <mergeCell ref="X68:Y68"/>
    <mergeCell ref="X69:Y69"/>
    <mergeCell ref="I1:K1"/>
    <mergeCell ref="I2:K2"/>
    <mergeCell ref="I3:K3"/>
    <mergeCell ref="I4:K4"/>
    <mergeCell ref="L2:N2"/>
    <mergeCell ref="L3:N3"/>
    <mergeCell ref="R1:T1"/>
    <mergeCell ref="R2:T2"/>
    <mergeCell ref="L1:Q1"/>
    <mergeCell ref="R3:T3"/>
    <mergeCell ref="R4:T4"/>
    <mergeCell ref="L4:N4"/>
    <mergeCell ref="O2:Q2"/>
    <mergeCell ref="O3:Q3"/>
    <mergeCell ref="O4:Q4"/>
    <mergeCell ref="X65:Y65"/>
    <mergeCell ref="X66:Y66"/>
    <mergeCell ref="X67:Y67"/>
    <mergeCell ref="B58:C58"/>
    <mergeCell ref="B59:C59"/>
    <mergeCell ref="B60:C60"/>
    <mergeCell ref="B61:C61"/>
    <mergeCell ref="B62:C62"/>
    <mergeCell ref="B63:C63"/>
    <mergeCell ref="B64:C64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X28:Y28"/>
    <mergeCell ref="X29:Y29"/>
    <mergeCell ref="X30:Y30"/>
    <mergeCell ref="X31:Y31"/>
    <mergeCell ref="B32:C32"/>
    <mergeCell ref="B33:C33"/>
    <mergeCell ref="B34:C34"/>
    <mergeCell ref="B35:C35"/>
    <mergeCell ref="B36:C36"/>
    <mergeCell ref="B37:C37"/>
    <mergeCell ref="X18:Y18"/>
    <mergeCell ref="X19:Y19"/>
    <mergeCell ref="X20:Y20"/>
    <mergeCell ref="X21:Y21"/>
    <mergeCell ref="X22:Y22"/>
    <mergeCell ref="X23:Y23"/>
    <mergeCell ref="X24:Y24"/>
    <mergeCell ref="X25:Y25"/>
    <mergeCell ref="X26:Y26"/>
    <mergeCell ref="X27:Y27"/>
    <mergeCell ref="A5:A6"/>
    <mergeCell ref="B5:T5"/>
    <mergeCell ref="X10:Y10"/>
    <mergeCell ref="X11:Y11"/>
    <mergeCell ref="X12:Y12"/>
    <mergeCell ref="X13:Y13"/>
    <mergeCell ref="X14:Y14"/>
    <mergeCell ref="X15:Y15"/>
    <mergeCell ref="X16:Y16"/>
    <mergeCell ref="X17:Y17"/>
  </mergeCells>
  <printOptions horizontalCentered="1" verticalCentered="1" gridLines="1"/>
  <pageMargins left="0.5" right="0.5" top="0.5" bottom="0.25" header="0" footer="0"/>
  <pageSetup scale="74" orientation="landscape" r:id="rId1"/>
  <headerFooter alignWithMargins="0">
    <oddHeader>&amp;LFAX-425-487-1568&amp;CTIMESHEET</oddHeader>
  </headerFooter>
  <colBreaks count="1" manualBreakCount="1">
    <brk id="21" max="68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workbookViewId="0">
      <selection activeCell="R4" sqref="R4:T4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134</v>
      </c>
      <c r="D1" s="176"/>
      <c r="E1" s="176"/>
      <c r="F1" s="174" t="s">
        <v>133</v>
      </c>
      <c r="G1" s="176"/>
      <c r="H1" s="176"/>
      <c r="I1" s="165" t="s">
        <v>132</v>
      </c>
      <c r="J1" s="166"/>
      <c r="K1" s="166"/>
      <c r="L1" s="179" t="s">
        <v>131</v>
      </c>
      <c r="M1" s="179"/>
      <c r="N1" s="179"/>
      <c r="O1" s="179"/>
      <c r="P1" s="179"/>
      <c r="Q1" s="179"/>
      <c r="R1" s="175" t="s">
        <v>130</v>
      </c>
      <c r="S1" s="175"/>
      <c r="T1" s="175"/>
      <c r="U1" s="109"/>
      <c r="V1" s="112"/>
    </row>
    <row r="2" spans="1:25" ht="24" customHeight="1" thickBot="1" x14ac:dyDescent="0.25">
      <c r="A2" s="103"/>
      <c r="B2" s="110" t="s">
        <v>129</v>
      </c>
      <c r="C2" s="175" t="s">
        <v>128</v>
      </c>
      <c r="D2" s="175"/>
      <c r="E2" s="175"/>
      <c r="F2" s="174" t="s">
        <v>127</v>
      </c>
      <c r="G2" s="176"/>
      <c r="H2" s="176"/>
      <c r="I2" s="167"/>
      <c r="J2" s="167"/>
      <c r="K2" s="167"/>
      <c r="L2" s="174" t="s">
        <v>126</v>
      </c>
      <c r="M2" s="175"/>
      <c r="N2" s="175"/>
      <c r="O2" s="174" t="s">
        <v>125</v>
      </c>
      <c r="P2" s="174"/>
      <c r="Q2" s="174"/>
      <c r="R2" s="175" t="s">
        <v>124</v>
      </c>
      <c r="S2" s="175"/>
      <c r="T2" s="175"/>
      <c r="U2" s="109"/>
      <c r="V2" s="112"/>
    </row>
    <row r="3" spans="1:25" ht="24" customHeight="1" x14ac:dyDescent="0.2">
      <c r="A3" s="103"/>
      <c r="B3" s="110" t="s">
        <v>123</v>
      </c>
      <c r="C3" s="174" t="s">
        <v>122</v>
      </c>
      <c r="D3" s="174"/>
      <c r="E3" s="174"/>
      <c r="F3" s="174" t="s">
        <v>121</v>
      </c>
      <c r="G3" s="176"/>
      <c r="H3" s="176"/>
      <c r="I3" s="168" t="s">
        <v>120</v>
      </c>
      <c r="J3" s="169"/>
      <c r="K3" s="170"/>
      <c r="L3" s="174" t="s">
        <v>119</v>
      </c>
      <c r="M3" s="175"/>
      <c r="N3" s="175"/>
      <c r="O3" s="174" t="s">
        <v>118</v>
      </c>
      <c r="P3" s="174"/>
      <c r="Q3" s="174"/>
      <c r="R3" s="175" t="s">
        <v>117</v>
      </c>
      <c r="S3" s="175"/>
      <c r="T3" s="175"/>
      <c r="U3" s="109"/>
      <c r="V3" s="111"/>
    </row>
    <row r="4" spans="1:25" ht="24" customHeight="1" thickBot="1" x14ac:dyDescent="0.25">
      <c r="A4" s="103"/>
      <c r="B4" s="110" t="s">
        <v>116</v>
      </c>
      <c r="C4" s="174" t="s">
        <v>115</v>
      </c>
      <c r="D4" s="176"/>
      <c r="E4" s="176"/>
      <c r="F4" s="174" t="s">
        <v>114</v>
      </c>
      <c r="G4" s="176"/>
      <c r="H4" s="176"/>
      <c r="I4" s="171" t="s">
        <v>113</v>
      </c>
      <c r="J4" s="172"/>
      <c r="K4" s="173"/>
      <c r="L4" s="174" t="s">
        <v>112</v>
      </c>
      <c r="M4" s="175"/>
      <c r="N4" s="175"/>
      <c r="O4" s="178" t="s">
        <v>111</v>
      </c>
      <c r="P4" s="178"/>
      <c r="Q4" s="178"/>
      <c r="R4" s="190" t="s">
        <v>178</v>
      </c>
      <c r="S4" s="177"/>
      <c r="T4" s="177"/>
      <c r="U4" s="109"/>
      <c r="V4" s="89"/>
    </row>
    <row r="5" spans="1:25" ht="24" customHeight="1" thickTop="1" thickBot="1" x14ac:dyDescent="0.25">
      <c r="A5" s="180"/>
      <c r="B5" s="194" t="s">
        <v>187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6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42481</v>
      </c>
      <c r="D6" s="107"/>
      <c r="E6" s="107"/>
      <c r="F6" s="107">
        <f>C6+1</f>
        <v>42482</v>
      </c>
      <c r="G6" s="107"/>
      <c r="H6" s="107"/>
      <c r="I6" s="107">
        <f>F6+3</f>
        <v>42485</v>
      </c>
      <c r="J6" s="107"/>
      <c r="K6" s="107"/>
      <c r="L6" s="107">
        <f>I6+1</f>
        <v>42486</v>
      </c>
      <c r="M6" s="107"/>
      <c r="N6" s="107"/>
      <c r="O6" s="107">
        <f>L6+1</f>
        <v>42487</v>
      </c>
      <c r="P6" s="107"/>
      <c r="Q6" s="107"/>
      <c r="R6" s="107">
        <f>F6+1</f>
        <v>42483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/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104"/>
      <c r="V8" s="94"/>
      <c r="W8" s="98"/>
    </row>
    <row r="9" spans="1:25" ht="24" customHeight="1" x14ac:dyDescent="0.2">
      <c r="A9" s="103"/>
      <c r="B9" s="97" t="s">
        <v>110</v>
      </c>
      <c r="C9" s="97" t="s">
        <v>170</v>
      </c>
      <c r="D9" s="97" t="s">
        <v>169</v>
      </c>
      <c r="E9" s="97" t="s">
        <v>17</v>
      </c>
      <c r="F9" s="97" t="s">
        <v>170</v>
      </c>
      <c r="G9" s="97" t="s">
        <v>169</v>
      </c>
      <c r="H9" s="97" t="s">
        <v>17</v>
      </c>
      <c r="I9" s="97" t="s">
        <v>170</v>
      </c>
      <c r="J9" s="97" t="s">
        <v>169</v>
      </c>
      <c r="K9" s="97" t="s">
        <v>17</v>
      </c>
      <c r="L9" s="97" t="s">
        <v>170</v>
      </c>
      <c r="M9" s="97" t="s">
        <v>169</v>
      </c>
      <c r="N9" s="97" t="s">
        <v>17</v>
      </c>
      <c r="O9" s="97" t="s">
        <v>170</v>
      </c>
      <c r="P9" s="97" t="s">
        <v>169</v>
      </c>
      <c r="Q9" s="97" t="s">
        <v>17</v>
      </c>
      <c r="R9" s="97" t="s">
        <v>170</v>
      </c>
      <c r="S9" s="97" t="s">
        <v>169</v>
      </c>
      <c r="T9" s="97" t="s">
        <v>17</v>
      </c>
      <c r="U9" s="101"/>
      <c r="V9" s="100"/>
      <c r="W9" s="98"/>
    </row>
    <row r="10" spans="1:25" ht="24" customHeight="1" x14ac:dyDescent="0.2">
      <c r="A10" s="91"/>
      <c r="B10" s="81"/>
      <c r="C10" s="79"/>
      <c r="D10" s="80"/>
      <c r="E10" s="79"/>
      <c r="F10" s="79"/>
      <c r="G10" s="80"/>
      <c r="H10" s="79"/>
      <c r="I10" s="79"/>
      <c r="J10" s="80"/>
      <c r="K10" s="79"/>
      <c r="L10" s="79"/>
      <c r="M10" s="80"/>
      <c r="N10" s="79"/>
      <c r="O10" s="79"/>
      <c r="P10" s="80"/>
      <c r="Q10" s="79"/>
      <c r="R10" s="79"/>
      <c r="S10" s="84"/>
      <c r="T10" s="83"/>
      <c r="U10" s="75">
        <f t="shared" ref="U10:U31" si="0">SUM(B10,E10,H10,K10,N10,Q10,T10)</f>
        <v>0</v>
      </c>
      <c r="V10" s="94"/>
      <c r="W10" s="98"/>
      <c r="X10" s="184"/>
      <c r="Y10" s="185"/>
    </row>
    <row r="11" spans="1:25" ht="24" customHeight="1" x14ac:dyDescent="0.2">
      <c r="A11" s="91"/>
      <c r="B11" s="81" t="s">
        <v>186</v>
      </c>
      <c r="C11" s="79">
        <v>2021</v>
      </c>
      <c r="D11" s="80">
        <v>111</v>
      </c>
      <c r="E11" s="79">
        <v>2</v>
      </c>
      <c r="F11" s="79">
        <v>2021</v>
      </c>
      <c r="G11" s="80">
        <v>111</v>
      </c>
      <c r="H11" s="79">
        <v>4</v>
      </c>
      <c r="I11" s="79">
        <v>2028</v>
      </c>
      <c r="J11" s="80">
        <v>112</v>
      </c>
      <c r="K11" s="79">
        <v>2</v>
      </c>
      <c r="L11" s="79">
        <v>2021</v>
      </c>
      <c r="M11" s="80">
        <v>142</v>
      </c>
      <c r="N11" s="79">
        <v>4</v>
      </c>
      <c r="O11" s="79">
        <v>2021</v>
      </c>
      <c r="P11" s="80">
        <v>142</v>
      </c>
      <c r="Q11" s="79">
        <v>2</v>
      </c>
      <c r="R11" s="79"/>
      <c r="S11" s="84"/>
      <c r="T11" s="83"/>
      <c r="U11" s="75">
        <f t="shared" si="0"/>
        <v>14</v>
      </c>
      <c r="V11" s="94"/>
      <c r="W11" s="98"/>
      <c r="X11" s="184"/>
      <c r="Y11" s="185"/>
    </row>
    <row r="12" spans="1:25" ht="24" customHeight="1" x14ac:dyDescent="0.2">
      <c r="A12" s="91"/>
      <c r="B12" s="81"/>
      <c r="C12" s="79">
        <v>2021</v>
      </c>
      <c r="D12" s="80">
        <v>142</v>
      </c>
      <c r="E12" s="79">
        <v>2</v>
      </c>
      <c r="F12" s="79">
        <v>2024</v>
      </c>
      <c r="G12" s="80">
        <v>111</v>
      </c>
      <c r="H12" s="79">
        <v>2</v>
      </c>
      <c r="I12" s="79">
        <v>2021</v>
      </c>
      <c r="J12" s="80">
        <v>142</v>
      </c>
      <c r="K12" s="79">
        <v>2</v>
      </c>
      <c r="L12" s="79">
        <v>2021</v>
      </c>
      <c r="M12" s="80">
        <v>111</v>
      </c>
      <c r="N12" s="79">
        <v>4</v>
      </c>
      <c r="O12" s="79">
        <v>2021</v>
      </c>
      <c r="P12" s="80">
        <v>111</v>
      </c>
      <c r="Q12" s="79">
        <v>2</v>
      </c>
      <c r="R12" s="79"/>
      <c r="S12" s="84"/>
      <c r="T12" s="83"/>
      <c r="U12" s="75">
        <f t="shared" si="0"/>
        <v>12</v>
      </c>
      <c r="V12" s="94"/>
      <c r="W12" s="98"/>
      <c r="X12" s="184"/>
      <c r="Y12" s="185"/>
    </row>
    <row r="13" spans="1:25" ht="24" customHeight="1" x14ac:dyDescent="0.2">
      <c r="A13" s="91"/>
      <c r="B13" s="81"/>
      <c r="C13" s="79">
        <v>2028</v>
      </c>
      <c r="D13" s="80">
        <v>112</v>
      </c>
      <c r="E13" s="79">
        <v>3</v>
      </c>
      <c r="F13" s="79">
        <v>2023</v>
      </c>
      <c r="G13" s="80">
        <v>151</v>
      </c>
      <c r="H13" s="79">
        <v>2</v>
      </c>
      <c r="I13" s="79">
        <v>2021</v>
      </c>
      <c r="J13" s="80">
        <v>111</v>
      </c>
      <c r="K13" s="79">
        <v>1</v>
      </c>
      <c r="L13" s="79"/>
      <c r="M13" s="80"/>
      <c r="N13" s="79"/>
      <c r="O13" s="79">
        <v>2024</v>
      </c>
      <c r="P13" s="80">
        <v>111</v>
      </c>
      <c r="Q13" s="79">
        <v>2</v>
      </c>
      <c r="R13" s="79"/>
      <c r="S13" s="84"/>
      <c r="T13" s="83"/>
      <c r="U13" s="75">
        <f t="shared" si="0"/>
        <v>8</v>
      </c>
      <c r="V13" s="94"/>
      <c r="W13" s="98"/>
      <c r="X13" s="184"/>
      <c r="Y13" s="185"/>
    </row>
    <row r="14" spans="1:25" ht="24" customHeight="1" x14ac:dyDescent="0.2">
      <c r="A14" s="91"/>
      <c r="B14" s="81"/>
      <c r="C14" s="79">
        <v>2024</v>
      </c>
      <c r="D14" s="80">
        <v>111</v>
      </c>
      <c r="E14" s="79">
        <v>1</v>
      </c>
      <c r="F14" s="79"/>
      <c r="G14" s="80"/>
      <c r="H14" s="79"/>
      <c r="I14" s="79">
        <v>2024</v>
      </c>
      <c r="J14" s="80">
        <v>111</v>
      </c>
      <c r="K14" s="79">
        <v>3</v>
      </c>
      <c r="L14" s="79"/>
      <c r="M14" s="80"/>
      <c r="N14" s="79"/>
      <c r="O14" s="79">
        <v>2028</v>
      </c>
      <c r="P14" s="80">
        <v>112</v>
      </c>
      <c r="Q14" s="79">
        <v>2</v>
      </c>
      <c r="R14" s="79"/>
      <c r="S14" s="84"/>
      <c r="T14" s="83"/>
      <c r="U14" s="75">
        <f t="shared" si="0"/>
        <v>6</v>
      </c>
      <c r="V14" s="94"/>
      <c r="W14" s="98"/>
      <c r="X14" s="184"/>
      <c r="Y14" s="185"/>
    </row>
    <row r="15" spans="1:25" ht="24" customHeight="1" x14ac:dyDescent="0.2">
      <c r="A15" s="91"/>
      <c r="B15" s="81"/>
      <c r="C15" s="79"/>
      <c r="D15" s="80"/>
      <c r="E15" s="79"/>
      <c r="F15" s="79"/>
      <c r="G15" s="80"/>
      <c r="H15" s="79"/>
      <c r="I15" s="79"/>
      <c r="J15" s="80"/>
      <c r="K15" s="79"/>
      <c r="L15" s="79"/>
      <c r="M15" s="80"/>
      <c r="N15" s="79"/>
      <c r="O15" s="79"/>
      <c r="P15" s="80"/>
      <c r="Q15" s="79"/>
      <c r="R15" s="79"/>
      <c r="S15" s="84"/>
      <c r="T15" s="83"/>
      <c r="U15" s="75">
        <f t="shared" si="0"/>
        <v>0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79"/>
      <c r="D16" s="80"/>
      <c r="E16" s="79"/>
      <c r="F16" s="79"/>
      <c r="G16" s="80"/>
      <c r="H16" s="79"/>
      <c r="I16" s="79"/>
      <c r="J16" s="80"/>
      <c r="K16" s="79"/>
      <c r="L16" s="79"/>
      <c r="M16" s="80"/>
      <c r="N16" s="79"/>
      <c r="O16" s="79"/>
      <c r="P16" s="80"/>
      <c r="Q16" s="79"/>
      <c r="R16" s="79"/>
      <c r="S16" s="84"/>
      <c r="T16" s="83"/>
      <c r="U16" s="75">
        <f t="shared" si="0"/>
        <v>0</v>
      </c>
      <c r="V16" s="94"/>
      <c r="W16" s="98"/>
      <c r="X16" s="184"/>
      <c r="Y16" s="185"/>
    </row>
    <row r="17" spans="1:25" ht="24" customHeight="1" x14ac:dyDescent="0.2">
      <c r="A17" s="91"/>
      <c r="B17" s="91"/>
      <c r="C17" s="79"/>
      <c r="D17" s="80"/>
      <c r="E17" s="79"/>
      <c r="F17" s="79"/>
      <c r="G17" s="80"/>
      <c r="H17" s="79"/>
      <c r="I17" s="79"/>
      <c r="J17" s="80"/>
      <c r="K17" s="79"/>
      <c r="L17" s="79"/>
      <c r="M17" s="80"/>
      <c r="N17" s="79"/>
      <c r="O17" s="79"/>
      <c r="P17" s="80"/>
      <c r="Q17" s="79"/>
      <c r="R17" s="79"/>
      <c r="S17" s="84"/>
      <c r="T17" s="83"/>
      <c r="U17" s="75">
        <f t="shared" si="0"/>
        <v>0</v>
      </c>
      <c r="V17" s="94"/>
      <c r="W17" s="98"/>
      <c r="X17" s="184"/>
      <c r="Y17" s="185"/>
    </row>
    <row r="18" spans="1:25" ht="24" customHeight="1" x14ac:dyDescent="0.2">
      <c r="A18" s="91"/>
      <c r="B18" s="91"/>
      <c r="C18" s="79"/>
      <c r="D18" s="80"/>
      <c r="E18" s="79"/>
      <c r="F18" s="79"/>
      <c r="G18" s="80"/>
      <c r="H18" s="79"/>
      <c r="I18" s="79"/>
      <c r="J18" s="80"/>
      <c r="K18" s="79"/>
      <c r="L18" s="79"/>
      <c r="M18" s="80"/>
      <c r="N18" s="79"/>
      <c r="O18" s="79"/>
      <c r="P18" s="80"/>
      <c r="Q18" s="79"/>
      <c r="R18" s="79"/>
      <c r="S18" s="84"/>
      <c r="T18" s="83"/>
      <c r="U18" s="75">
        <f t="shared" si="0"/>
        <v>0</v>
      </c>
      <c r="V18" s="94"/>
      <c r="W18" s="98"/>
      <c r="X18" s="184"/>
      <c r="Y18" s="185"/>
    </row>
    <row r="19" spans="1:25" ht="24" customHeight="1" x14ac:dyDescent="0.2">
      <c r="A19" s="91"/>
      <c r="B19" s="81"/>
      <c r="C19" s="79"/>
      <c r="D19" s="80"/>
      <c r="E19" s="79"/>
      <c r="F19" s="79"/>
      <c r="G19" s="80"/>
      <c r="H19" s="79"/>
      <c r="I19" s="79"/>
      <c r="J19" s="80"/>
      <c r="K19" s="79"/>
      <c r="L19" s="79"/>
      <c r="M19" s="80"/>
      <c r="N19" s="79"/>
      <c r="O19" s="79"/>
      <c r="P19" s="80"/>
      <c r="Q19" s="79"/>
      <c r="R19" s="79"/>
      <c r="S19" s="84"/>
      <c r="T19" s="83"/>
      <c r="U19" s="75">
        <f t="shared" si="0"/>
        <v>0</v>
      </c>
      <c r="V19" s="94"/>
      <c r="W19" s="98"/>
      <c r="X19" s="184"/>
      <c r="Y19" s="185"/>
    </row>
    <row r="20" spans="1:25" ht="24" customHeight="1" x14ac:dyDescent="0.2">
      <c r="A20" s="91"/>
      <c r="B20" s="81"/>
      <c r="C20" s="83"/>
      <c r="D20" s="84"/>
      <c r="E20" s="83"/>
      <c r="F20" s="79"/>
      <c r="G20" s="84"/>
      <c r="H20" s="79"/>
      <c r="I20" s="83"/>
      <c r="J20" s="84"/>
      <c r="K20" s="79"/>
      <c r="L20" s="83"/>
      <c r="M20" s="84"/>
      <c r="N20" s="83"/>
      <c r="O20" s="79"/>
      <c r="P20" s="84"/>
      <c r="Q20" s="79"/>
      <c r="R20" s="83"/>
      <c r="S20" s="84"/>
      <c r="T20" s="83"/>
      <c r="U20" s="75">
        <f t="shared" si="0"/>
        <v>0</v>
      </c>
      <c r="V20" s="94"/>
      <c r="W20" s="98"/>
      <c r="X20" s="184"/>
      <c r="Y20" s="185"/>
    </row>
    <row r="21" spans="1:25" ht="24" customHeight="1" x14ac:dyDescent="0.2">
      <c r="A21" s="91"/>
      <c r="B21" s="81"/>
      <c r="C21" s="79"/>
      <c r="D21" s="84"/>
      <c r="E21" s="79"/>
      <c r="F21" s="83"/>
      <c r="G21" s="84"/>
      <c r="H21" s="79"/>
      <c r="I21" s="83"/>
      <c r="J21" s="84"/>
      <c r="K21" s="79"/>
      <c r="L21" s="79"/>
      <c r="M21" s="84"/>
      <c r="N21" s="79"/>
      <c r="O21" s="83"/>
      <c r="P21" s="84"/>
      <c r="Q21" s="79"/>
      <c r="R21" s="83"/>
      <c r="S21" s="136"/>
      <c r="T21" s="83"/>
      <c r="U21" s="75">
        <f t="shared" si="0"/>
        <v>0</v>
      </c>
      <c r="V21" s="94"/>
      <c r="W21" s="98"/>
      <c r="X21" s="184"/>
      <c r="Y21" s="185"/>
    </row>
    <row r="22" spans="1:25" ht="24" customHeight="1" x14ac:dyDescent="0.2">
      <c r="A22" s="91"/>
      <c r="B22" s="81"/>
      <c r="C22" s="83"/>
      <c r="D22" s="84"/>
      <c r="E22" s="79"/>
      <c r="F22" s="79"/>
      <c r="G22" s="84"/>
      <c r="H22" s="79"/>
      <c r="I22" s="79"/>
      <c r="J22" s="84"/>
      <c r="K22" s="79"/>
      <c r="L22" s="79"/>
      <c r="M22" s="84"/>
      <c r="N22" s="79"/>
      <c r="O22" s="79"/>
      <c r="P22" s="84"/>
      <c r="Q22" s="79"/>
      <c r="R22" s="83"/>
      <c r="S22" s="84"/>
      <c r="T22" s="83"/>
      <c r="U22" s="75">
        <f t="shared" si="0"/>
        <v>0</v>
      </c>
      <c r="V22" s="89"/>
      <c r="W22" s="98"/>
      <c r="X22" s="184"/>
      <c r="Y22" s="185"/>
    </row>
    <row r="23" spans="1:25" ht="24" customHeight="1" x14ac:dyDescent="0.2">
      <c r="A23" s="91"/>
      <c r="B23" s="81"/>
      <c r="C23" s="79"/>
      <c r="D23" s="84"/>
      <c r="E23" s="79"/>
      <c r="F23" s="79"/>
      <c r="G23" s="84"/>
      <c r="H23" s="79"/>
      <c r="I23" s="79"/>
      <c r="J23" s="84"/>
      <c r="K23" s="79"/>
      <c r="L23" s="79"/>
      <c r="M23" s="84"/>
      <c r="N23" s="79"/>
      <c r="O23" s="79"/>
      <c r="P23" s="84"/>
      <c r="Q23" s="79"/>
      <c r="R23" s="83"/>
      <c r="S23" s="84"/>
      <c r="T23" s="83"/>
      <c r="U23" s="75">
        <f t="shared" si="0"/>
        <v>0</v>
      </c>
      <c r="V23" s="89"/>
      <c r="W23" s="98"/>
      <c r="X23" s="184"/>
      <c r="Y23" s="185"/>
    </row>
    <row r="24" spans="1:25" ht="24" customHeight="1" x14ac:dyDescent="0.2">
      <c r="A24" s="91"/>
      <c r="B24" s="81"/>
      <c r="C24" s="83"/>
      <c r="D24" s="80"/>
      <c r="E24" s="79"/>
      <c r="F24" s="79"/>
      <c r="G24" s="80"/>
      <c r="H24" s="79"/>
      <c r="I24" s="79"/>
      <c r="J24" s="80"/>
      <c r="K24" s="79"/>
      <c r="L24" s="79"/>
      <c r="M24" s="80"/>
      <c r="N24" s="79"/>
      <c r="O24" s="79"/>
      <c r="P24" s="80"/>
      <c r="Q24" s="79"/>
      <c r="R24" s="83"/>
      <c r="S24" s="80"/>
      <c r="T24" s="83"/>
      <c r="U24" s="75">
        <f t="shared" si="0"/>
        <v>0</v>
      </c>
      <c r="V24" s="94"/>
      <c r="W24" s="98"/>
      <c r="X24" s="184"/>
      <c r="Y24" s="185"/>
    </row>
    <row r="25" spans="1:25" ht="24" customHeight="1" x14ac:dyDescent="0.2">
      <c r="A25" s="91"/>
      <c r="B25" s="81"/>
      <c r="C25" s="83"/>
      <c r="D25" s="80"/>
      <c r="E25" s="79"/>
      <c r="F25" s="79"/>
      <c r="G25" s="80"/>
      <c r="H25" s="79"/>
      <c r="I25" s="79"/>
      <c r="J25" s="80"/>
      <c r="K25" s="79"/>
      <c r="L25" s="79"/>
      <c r="M25" s="80"/>
      <c r="N25" s="79"/>
      <c r="O25" s="79"/>
      <c r="P25" s="80"/>
      <c r="Q25" s="79"/>
      <c r="R25" s="83"/>
      <c r="S25" s="80"/>
      <c r="T25" s="83"/>
      <c r="U25" s="75">
        <f t="shared" si="0"/>
        <v>0</v>
      </c>
      <c r="V25" s="94"/>
      <c r="W25" s="98"/>
      <c r="X25" s="184"/>
      <c r="Y25" s="185"/>
    </row>
    <row r="26" spans="1:25" ht="24" customHeight="1" x14ac:dyDescent="0.2">
      <c r="A26" s="91"/>
      <c r="B26" s="81"/>
      <c r="C26" s="83"/>
      <c r="D26" s="84"/>
      <c r="E26" s="83"/>
      <c r="F26" s="83"/>
      <c r="G26" s="84"/>
      <c r="H26" s="79"/>
      <c r="I26" s="79"/>
      <c r="J26" s="84"/>
      <c r="K26" s="79"/>
      <c r="L26" s="79"/>
      <c r="M26" s="84"/>
      <c r="N26" s="79"/>
      <c r="O26" s="79"/>
      <c r="P26" s="84"/>
      <c r="Q26" s="79"/>
      <c r="R26" s="83"/>
      <c r="S26" s="84"/>
      <c r="T26" s="83"/>
      <c r="U26" s="75">
        <f t="shared" si="0"/>
        <v>0</v>
      </c>
      <c r="V26" s="94"/>
      <c r="W26" s="98"/>
      <c r="X26" s="188"/>
      <c r="Y26" s="185"/>
    </row>
    <row r="27" spans="1:25" ht="24" customHeight="1" x14ac:dyDescent="0.2">
      <c r="A27" s="91"/>
      <c r="B27" s="95"/>
      <c r="C27" s="83"/>
      <c r="D27" s="84"/>
      <c r="E27" s="83"/>
      <c r="F27" s="83"/>
      <c r="G27" s="84"/>
      <c r="H27" s="83"/>
      <c r="I27" s="83"/>
      <c r="J27" s="84"/>
      <c r="K27" s="79"/>
      <c r="L27" s="83"/>
      <c r="M27" s="84"/>
      <c r="N27" s="79"/>
      <c r="O27" s="83"/>
      <c r="P27" s="84"/>
      <c r="Q27" s="83"/>
      <c r="R27" s="83"/>
      <c r="S27" s="84"/>
      <c r="T27" s="83"/>
      <c r="U27" s="75">
        <f t="shared" si="0"/>
        <v>0</v>
      </c>
      <c r="V27" s="94"/>
      <c r="W27" s="98"/>
      <c r="X27" s="188"/>
      <c r="Y27" s="185"/>
    </row>
    <row r="28" spans="1:25" ht="24" customHeight="1" x14ac:dyDescent="0.2">
      <c r="A28" s="91"/>
      <c r="B28" s="81"/>
      <c r="C28" s="83"/>
      <c r="D28" s="84"/>
      <c r="E28" s="83"/>
      <c r="F28" s="83"/>
      <c r="G28" s="84"/>
      <c r="H28" s="79"/>
      <c r="I28" s="79"/>
      <c r="J28" s="84"/>
      <c r="K28" s="79"/>
      <c r="L28" s="79"/>
      <c r="M28" s="84"/>
      <c r="N28" s="79"/>
      <c r="O28" s="79"/>
      <c r="P28" s="84"/>
      <c r="Q28" s="79"/>
      <c r="R28" s="83"/>
      <c r="S28" s="84"/>
      <c r="T28" s="83"/>
      <c r="U28" s="75">
        <f t="shared" si="0"/>
        <v>0</v>
      </c>
      <c r="V28" s="94"/>
      <c r="W28" s="98"/>
      <c r="X28" s="188"/>
      <c r="Y28" s="185"/>
    </row>
    <row r="29" spans="1:25" ht="24" customHeight="1" x14ac:dyDescent="0.2">
      <c r="A29" s="91"/>
      <c r="B29" s="81"/>
      <c r="C29" s="83"/>
      <c r="D29" s="84"/>
      <c r="E29" s="83"/>
      <c r="F29" s="79"/>
      <c r="G29" s="84"/>
      <c r="H29" s="79"/>
      <c r="I29" s="79"/>
      <c r="J29" s="84"/>
      <c r="K29" s="79"/>
      <c r="L29" s="79"/>
      <c r="M29" s="84"/>
      <c r="N29" s="79"/>
      <c r="O29" s="79"/>
      <c r="P29" s="84"/>
      <c r="Q29" s="79"/>
      <c r="R29" s="83"/>
      <c r="S29" s="84"/>
      <c r="T29" s="83"/>
      <c r="U29" s="75">
        <f t="shared" si="0"/>
        <v>0</v>
      </c>
      <c r="V29" s="94"/>
      <c r="W29" s="98"/>
      <c r="X29" s="188"/>
      <c r="Y29" s="185"/>
    </row>
    <row r="30" spans="1:25" ht="24" customHeight="1" x14ac:dyDescent="0.2">
      <c r="A30" s="91"/>
      <c r="B30" s="81"/>
      <c r="C30" s="83"/>
      <c r="D30" s="84"/>
      <c r="E30" s="83"/>
      <c r="F30" s="79"/>
      <c r="G30" s="84"/>
      <c r="H30" s="79"/>
      <c r="I30" s="79"/>
      <c r="J30" s="84"/>
      <c r="K30" s="79"/>
      <c r="L30" s="79"/>
      <c r="M30" s="84"/>
      <c r="N30" s="79"/>
      <c r="O30" s="79"/>
      <c r="P30" s="84"/>
      <c r="Q30" s="79"/>
      <c r="R30" s="83"/>
      <c r="S30" s="84"/>
      <c r="T30" s="83"/>
      <c r="U30" s="75">
        <f t="shared" si="0"/>
        <v>0</v>
      </c>
      <c r="V30" s="94"/>
      <c r="W30" s="98"/>
      <c r="X30" s="188"/>
      <c r="Y30" s="185"/>
    </row>
    <row r="31" spans="1:25" ht="24" customHeight="1" x14ac:dyDescent="0.2">
      <c r="A31" s="91"/>
      <c r="B31" s="81"/>
      <c r="C31" s="83"/>
      <c r="D31" s="80"/>
      <c r="E31" s="79"/>
      <c r="F31" s="83"/>
      <c r="G31" s="80"/>
      <c r="H31" s="79"/>
      <c r="I31" s="134"/>
      <c r="J31" s="80"/>
      <c r="K31" s="79"/>
      <c r="L31" s="79"/>
      <c r="M31" s="80"/>
      <c r="N31" s="79"/>
      <c r="O31" s="79"/>
      <c r="P31" s="80"/>
      <c r="Q31" s="79"/>
      <c r="R31" s="83"/>
      <c r="S31" s="80"/>
      <c r="T31" s="83"/>
      <c r="U31" s="75">
        <f t="shared" si="0"/>
        <v>0</v>
      </c>
      <c r="V31" s="94"/>
      <c r="W31" s="98"/>
      <c r="X31" s="188"/>
      <c r="Y31" s="185"/>
    </row>
    <row r="32" spans="1:25" ht="24" customHeight="1" x14ac:dyDescent="0.2">
      <c r="A32" s="98"/>
      <c r="B32" s="188"/>
      <c r="C32" s="185"/>
    </row>
    <row r="33" spans="1:3" ht="24" customHeight="1" x14ac:dyDescent="0.2">
      <c r="A33" s="98"/>
      <c r="B33" s="188"/>
      <c r="C33" s="185"/>
    </row>
    <row r="34" spans="1:3" ht="24" customHeight="1" x14ac:dyDescent="0.2">
      <c r="A34" s="98"/>
      <c r="B34" s="188"/>
      <c r="C34" s="185"/>
    </row>
    <row r="35" spans="1:3" ht="24" customHeight="1" x14ac:dyDescent="0.2">
      <c r="A35" s="98"/>
      <c r="B35" s="188"/>
      <c r="C35" s="185"/>
    </row>
    <row r="36" spans="1:3" ht="24" customHeight="1" x14ac:dyDescent="0.2">
      <c r="A36" s="98"/>
      <c r="B36" s="188"/>
      <c r="C36" s="185"/>
    </row>
    <row r="37" spans="1:3" ht="24" customHeight="1" x14ac:dyDescent="0.2">
      <c r="A37" s="98"/>
      <c r="B37" s="188"/>
      <c r="C37" s="185"/>
    </row>
    <row r="38" spans="1:3" ht="24" customHeight="1" x14ac:dyDescent="0.2">
      <c r="A38" s="98"/>
      <c r="B38" s="188"/>
      <c r="C38" s="185"/>
    </row>
    <row r="39" spans="1:3" ht="24" customHeight="1" x14ac:dyDescent="0.2">
      <c r="A39" s="98"/>
      <c r="B39" s="188"/>
      <c r="C39" s="185"/>
    </row>
    <row r="40" spans="1:3" ht="24" customHeight="1" x14ac:dyDescent="0.2">
      <c r="A40" s="98"/>
      <c r="B40" s="188"/>
      <c r="C40" s="185"/>
    </row>
    <row r="41" spans="1:3" ht="24" customHeight="1" x14ac:dyDescent="0.2">
      <c r="A41" s="98"/>
      <c r="B41" s="188"/>
      <c r="C41" s="185"/>
    </row>
    <row r="42" spans="1:3" ht="24" customHeight="1" x14ac:dyDescent="0.2">
      <c r="A42" s="98"/>
      <c r="B42" s="188"/>
      <c r="C42" s="185"/>
    </row>
    <row r="43" spans="1:3" ht="24" customHeight="1" x14ac:dyDescent="0.2">
      <c r="A43" s="98"/>
      <c r="B43" s="188"/>
      <c r="C43" s="185"/>
    </row>
    <row r="44" spans="1:3" ht="24" customHeight="1" x14ac:dyDescent="0.2">
      <c r="A44" s="98"/>
      <c r="B44" s="188"/>
      <c r="C44" s="185"/>
    </row>
    <row r="45" spans="1:3" ht="24" customHeight="1" x14ac:dyDescent="0.2">
      <c r="A45" s="98"/>
      <c r="B45" s="188"/>
      <c r="C45" s="185"/>
    </row>
    <row r="46" spans="1:3" ht="24" customHeight="1" x14ac:dyDescent="0.2">
      <c r="A46" s="98"/>
      <c r="B46" s="188"/>
      <c r="C46" s="185"/>
    </row>
    <row r="47" spans="1:3" ht="24" customHeight="1" x14ac:dyDescent="0.2">
      <c r="A47" s="98"/>
      <c r="B47" s="188"/>
      <c r="C47" s="185"/>
    </row>
    <row r="48" spans="1:3" ht="24" customHeight="1" x14ac:dyDescent="0.2">
      <c r="A48" s="98"/>
      <c r="B48" s="188"/>
      <c r="C48" s="185"/>
    </row>
    <row r="49" spans="1:3" ht="24" customHeight="1" x14ac:dyDescent="0.2">
      <c r="A49" s="98"/>
      <c r="B49" s="188"/>
      <c r="C49" s="185"/>
    </row>
    <row r="50" spans="1:3" ht="24" customHeight="1" x14ac:dyDescent="0.2">
      <c r="A50" s="98"/>
      <c r="B50" s="188"/>
      <c r="C50" s="185"/>
    </row>
    <row r="51" spans="1:3" ht="24" customHeight="1" x14ac:dyDescent="0.2">
      <c r="A51" s="98"/>
      <c r="B51" s="188"/>
      <c r="C51" s="185"/>
    </row>
    <row r="52" spans="1:3" ht="24" customHeight="1" x14ac:dyDescent="0.2">
      <c r="A52" s="72"/>
      <c r="B52" s="188"/>
      <c r="C52" s="185"/>
    </row>
    <row r="53" spans="1:3" ht="24" customHeight="1" x14ac:dyDescent="0.2">
      <c r="A53" s="72"/>
      <c r="B53" s="188"/>
      <c r="C53" s="185"/>
    </row>
    <row r="54" spans="1:3" ht="24" customHeight="1" x14ac:dyDescent="0.2">
      <c r="A54" s="72"/>
      <c r="B54" s="188"/>
      <c r="C54" s="185"/>
    </row>
    <row r="55" spans="1:3" ht="24" customHeight="1" x14ac:dyDescent="0.2">
      <c r="A55" s="72"/>
      <c r="B55" s="188"/>
      <c r="C55" s="185"/>
    </row>
    <row r="56" spans="1:3" ht="24" customHeight="1" x14ac:dyDescent="0.2">
      <c r="A56" s="72"/>
      <c r="B56" s="188"/>
      <c r="C56" s="185"/>
    </row>
    <row r="57" spans="1:3" ht="24" customHeight="1" x14ac:dyDescent="0.2">
      <c r="A57" s="72"/>
      <c r="B57" s="188"/>
      <c r="C57" s="185"/>
    </row>
    <row r="58" spans="1:3" ht="24" customHeight="1" x14ac:dyDescent="0.2">
      <c r="A58" s="72"/>
      <c r="B58" s="188"/>
      <c r="C58" s="185"/>
    </row>
    <row r="59" spans="1:3" ht="24" customHeight="1" x14ac:dyDescent="0.2">
      <c r="A59" s="72"/>
      <c r="B59" s="188"/>
      <c r="C59" s="185"/>
    </row>
    <row r="60" spans="1:3" ht="24" customHeight="1" x14ac:dyDescent="0.2">
      <c r="A60" s="72"/>
      <c r="B60" s="188"/>
      <c r="C60" s="185"/>
    </row>
    <row r="61" spans="1:3" ht="24" customHeight="1" x14ac:dyDescent="0.2">
      <c r="A61" s="72"/>
      <c r="B61" s="188"/>
      <c r="C61" s="185"/>
    </row>
    <row r="62" spans="1:3" ht="24" customHeight="1" x14ac:dyDescent="0.2">
      <c r="A62" s="72"/>
      <c r="B62" s="188"/>
      <c r="C62" s="185"/>
    </row>
    <row r="63" spans="1:3" ht="24" customHeight="1" x14ac:dyDescent="0.2">
      <c r="A63" s="72"/>
      <c r="B63" s="188"/>
      <c r="C63" s="185"/>
    </row>
    <row r="64" spans="1:3" ht="24" customHeight="1" x14ac:dyDescent="0.2">
      <c r="A64" s="72"/>
      <c r="B64" s="188"/>
      <c r="C64" s="185"/>
    </row>
    <row r="65" spans="1:25" ht="24" customHeight="1" x14ac:dyDescent="0.2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103"/>
      <c r="T65" s="103"/>
      <c r="U65" s="116"/>
      <c r="V65" s="74"/>
      <c r="X65" s="188"/>
      <c r="Y65" s="185"/>
    </row>
    <row r="66" spans="1:25" ht="24" customHeight="1" x14ac:dyDescent="0.2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103"/>
      <c r="T66" s="103"/>
      <c r="U66" s="116"/>
      <c r="V66" s="74"/>
      <c r="X66" s="188"/>
      <c r="Y66" s="185"/>
    </row>
    <row r="67" spans="1:25" ht="24" customHeight="1" x14ac:dyDescent="0.2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103"/>
      <c r="T67" s="103"/>
      <c r="U67" s="116"/>
      <c r="V67" s="74"/>
      <c r="X67" s="188"/>
      <c r="Y67" s="185"/>
    </row>
    <row r="68" spans="1:25" ht="24" customHeight="1" x14ac:dyDescent="0.2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103"/>
      <c r="T68" s="103"/>
      <c r="U68" s="116"/>
      <c r="V68" s="74"/>
      <c r="X68" s="188"/>
      <c r="Y68" s="185"/>
    </row>
    <row r="69" spans="1:25" ht="24" customHeight="1" x14ac:dyDescent="0.2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89"/>
      <c r="T69" s="89"/>
      <c r="U69" s="116"/>
      <c r="V69" s="74"/>
      <c r="X69" s="188"/>
      <c r="Y69" s="185"/>
    </row>
    <row r="70" spans="1:25" x14ac:dyDescent="0.2">
      <c r="S70" s="98"/>
      <c r="T70" s="98"/>
      <c r="U70" s="98"/>
    </row>
    <row r="71" spans="1:25" x14ac:dyDescent="0.2">
      <c r="S71" s="98"/>
      <c r="T71" s="98"/>
      <c r="U71" s="98"/>
    </row>
    <row r="72" spans="1:25" x14ac:dyDescent="0.2">
      <c r="S72" s="98"/>
      <c r="T72" s="98"/>
      <c r="U72" s="98"/>
    </row>
  </sheetData>
  <sheetProtection formatCells="0" selectLockedCells="1" selectUnlockedCells="1"/>
  <mergeCells count="85">
    <mergeCell ref="C1:E1"/>
    <mergeCell ref="C2:E2"/>
    <mergeCell ref="C3:E3"/>
    <mergeCell ref="C4:E4"/>
    <mergeCell ref="F1:H1"/>
    <mergeCell ref="F2:H2"/>
    <mergeCell ref="F3:H3"/>
    <mergeCell ref="F4:H4"/>
    <mergeCell ref="X68:Y68"/>
    <mergeCell ref="X69:Y69"/>
    <mergeCell ref="I1:K1"/>
    <mergeCell ref="I2:K2"/>
    <mergeCell ref="I3:K3"/>
    <mergeCell ref="I4:K4"/>
    <mergeCell ref="L2:N2"/>
    <mergeCell ref="L3:N3"/>
    <mergeCell ref="R1:T1"/>
    <mergeCell ref="R2:T2"/>
    <mergeCell ref="L1:Q1"/>
    <mergeCell ref="R3:T3"/>
    <mergeCell ref="R4:T4"/>
    <mergeCell ref="L4:N4"/>
    <mergeCell ref="O2:Q2"/>
    <mergeCell ref="O3:Q3"/>
    <mergeCell ref="O4:Q4"/>
    <mergeCell ref="X65:Y65"/>
    <mergeCell ref="X66:Y66"/>
    <mergeCell ref="X67:Y67"/>
    <mergeCell ref="B58:C58"/>
    <mergeCell ref="B59:C59"/>
    <mergeCell ref="B60:C60"/>
    <mergeCell ref="B61:C61"/>
    <mergeCell ref="B62:C62"/>
    <mergeCell ref="B63:C63"/>
    <mergeCell ref="B64:C64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X28:Y28"/>
    <mergeCell ref="X29:Y29"/>
    <mergeCell ref="X30:Y30"/>
    <mergeCell ref="X31:Y31"/>
    <mergeCell ref="B32:C32"/>
    <mergeCell ref="B33:C33"/>
    <mergeCell ref="B34:C34"/>
    <mergeCell ref="B35:C35"/>
    <mergeCell ref="B36:C36"/>
    <mergeCell ref="B37:C37"/>
    <mergeCell ref="X18:Y18"/>
    <mergeCell ref="X19:Y19"/>
    <mergeCell ref="X20:Y20"/>
    <mergeCell ref="X21:Y21"/>
    <mergeCell ref="X22:Y22"/>
    <mergeCell ref="X23:Y23"/>
    <mergeCell ref="X24:Y24"/>
    <mergeCell ref="X25:Y25"/>
    <mergeCell ref="X26:Y26"/>
    <mergeCell ref="X27:Y27"/>
    <mergeCell ref="A5:A6"/>
    <mergeCell ref="B5:T5"/>
    <mergeCell ref="X10:Y10"/>
    <mergeCell ref="X11:Y11"/>
    <mergeCell ref="X12:Y12"/>
    <mergeCell ref="X13:Y13"/>
    <mergeCell ref="X14:Y14"/>
    <mergeCell ref="X15:Y15"/>
    <mergeCell ref="X16:Y16"/>
    <mergeCell ref="X17:Y17"/>
  </mergeCells>
  <printOptions horizontalCentered="1" verticalCentered="1" gridLines="1"/>
  <pageMargins left="0.5" right="0.5" top="0.5" bottom="0.25" header="0" footer="0"/>
  <pageSetup scale="74" orientation="landscape" r:id="rId1"/>
  <headerFooter alignWithMargins="0">
    <oddHeader>&amp;LFAX-425-487-1568&amp;CTIMESHEET</oddHeader>
  </headerFooter>
  <colBreaks count="1" manualBreakCount="1">
    <brk id="21" max="68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72"/>
  <sheetViews>
    <sheetView workbookViewId="0">
      <selection activeCell="N32" sqref="N32"/>
    </sheetView>
  </sheetViews>
  <sheetFormatPr defaultRowHeight="12.75" x14ac:dyDescent="0.2"/>
  <cols>
    <col min="1" max="1" width="3.42578125" style="73" customWidth="1"/>
    <col min="2" max="2" width="22.7109375" style="72" customWidth="1"/>
    <col min="3" max="3" width="12.7109375" style="72" customWidth="1"/>
    <col min="4" max="4" width="4.7109375" style="72" customWidth="1"/>
    <col min="5" max="5" width="5.7109375" style="72" customWidth="1"/>
    <col min="6" max="6" width="12.7109375" style="72" customWidth="1"/>
    <col min="7" max="7" width="4.7109375" style="72" customWidth="1"/>
    <col min="8" max="8" width="5.7109375" style="72" customWidth="1"/>
    <col min="9" max="9" width="12.7109375" style="72" customWidth="1"/>
    <col min="10" max="10" width="4.7109375" style="72" customWidth="1"/>
    <col min="11" max="11" width="5.7109375" style="72" customWidth="1"/>
    <col min="12" max="12" width="12.7109375" style="72" customWidth="1"/>
    <col min="13" max="13" width="4.7109375" style="72" customWidth="1"/>
    <col min="14" max="14" width="5.7109375" style="72" customWidth="1"/>
    <col min="15" max="15" width="12.7109375" style="72" customWidth="1"/>
    <col min="16" max="16" width="4.7109375" style="72" customWidth="1"/>
    <col min="17" max="17" width="5.7109375" style="72" customWidth="1"/>
    <col min="18" max="18" width="12.7109375" style="72" customWidth="1"/>
    <col min="19" max="19" width="4.7109375" style="72" customWidth="1"/>
    <col min="20" max="20" width="5.7109375" style="72" customWidth="1"/>
    <col min="21" max="21" width="10.42578125" style="72" customWidth="1"/>
    <col min="22" max="22" width="43.42578125" style="72" customWidth="1"/>
    <col min="23" max="23" width="54.42578125" style="72" customWidth="1"/>
    <col min="24" max="16384" width="9.140625" style="72"/>
  </cols>
  <sheetData>
    <row r="1" spans="1:25" ht="24" customHeight="1" x14ac:dyDescent="0.2">
      <c r="A1" s="103"/>
      <c r="B1" s="110" t="s">
        <v>135</v>
      </c>
      <c r="C1" s="174" t="s">
        <v>134</v>
      </c>
      <c r="D1" s="176"/>
      <c r="E1" s="176"/>
      <c r="F1" s="174" t="s">
        <v>133</v>
      </c>
      <c r="G1" s="176"/>
      <c r="H1" s="176"/>
      <c r="I1" s="165" t="s">
        <v>132</v>
      </c>
      <c r="J1" s="166"/>
      <c r="K1" s="166"/>
      <c r="L1" s="179" t="s">
        <v>131</v>
      </c>
      <c r="M1" s="179"/>
      <c r="N1" s="179"/>
      <c r="O1" s="179"/>
      <c r="P1" s="179"/>
      <c r="Q1" s="179"/>
      <c r="R1" s="175" t="s">
        <v>130</v>
      </c>
      <c r="S1" s="175"/>
      <c r="T1" s="175"/>
      <c r="U1" s="109"/>
      <c r="V1" s="112"/>
    </row>
    <row r="2" spans="1:25" ht="24" customHeight="1" thickBot="1" x14ac:dyDescent="0.25">
      <c r="A2" s="103"/>
      <c r="B2" s="110" t="s">
        <v>129</v>
      </c>
      <c r="C2" s="175" t="s">
        <v>128</v>
      </c>
      <c r="D2" s="175"/>
      <c r="E2" s="175"/>
      <c r="F2" s="174" t="s">
        <v>127</v>
      </c>
      <c r="G2" s="176"/>
      <c r="H2" s="176"/>
      <c r="I2" s="167"/>
      <c r="J2" s="167"/>
      <c r="K2" s="167"/>
      <c r="L2" s="174" t="s">
        <v>126</v>
      </c>
      <c r="M2" s="175"/>
      <c r="N2" s="175"/>
      <c r="O2" s="174" t="s">
        <v>125</v>
      </c>
      <c r="P2" s="174"/>
      <c r="Q2" s="174"/>
      <c r="R2" s="175" t="s">
        <v>124</v>
      </c>
      <c r="S2" s="175"/>
      <c r="T2" s="175"/>
      <c r="U2" s="109"/>
      <c r="V2" s="112"/>
    </row>
    <row r="3" spans="1:25" ht="24" customHeight="1" x14ac:dyDescent="0.2">
      <c r="A3" s="103"/>
      <c r="B3" s="110" t="s">
        <v>123</v>
      </c>
      <c r="C3" s="174" t="s">
        <v>122</v>
      </c>
      <c r="D3" s="174"/>
      <c r="E3" s="174"/>
      <c r="F3" s="174" t="s">
        <v>121</v>
      </c>
      <c r="G3" s="176"/>
      <c r="H3" s="176"/>
      <c r="I3" s="168" t="s">
        <v>120</v>
      </c>
      <c r="J3" s="169"/>
      <c r="K3" s="170"/>
      <c r="L3" s="174" t="s">
        <v>119</v>
      </c>
      <c r="M3" s="175"/>
      <c r="N3" s="175"/>
      <c r="O3" s="174" t="s">
        <v>118</v>
      </c>
      <c r="P3" s="174"/>
      <c r="Q3" s="174"/>
      <c r="R3" s="175" t="s">
        <v>117</v>
      </c>
      <c r="S3" s="175"/>
      <c r="T3" s="175"/>
      <c r="U3" s="109"/>
      <c r="V3" s="111"/>
    </row>
    <row r="4" spans="1:25" ht="24" customHeight="1" thickBot="1" x14ac:dyDescent="0.25">
      <c r="A4" s="103"/>
      <c r="B4" s="110" t="s">
        <v>116</v>
      </c>
      <c r="C4" s="174" t="s">
        <v>115</v>
      </c>
      <c r="D4" s="176"/>
      <c r="E4" s="176"/>
      <c r="F4" s="174"/>
      <c r="G4" s="176"/>
      <c r="H4" s="176"/>
      <c r="I4" s="171" t="s">
        <v>113</v>
      </c>
      <c r="J4" s="172"/>
      <c r="K4" s="173"/>
      <c r="L4" s="174" t="s">
        <v>112</v>
      </c>
      <c r="M4" s="175"/>
      <c r="N4" s="175"/>
      <c r="O4" s="178" t="s">
        <v>111</v>
      </c>
      <c r="P4" s="178"/>
      <c r="Q4" s="178"/>
      <c r="R4" s="190" t="s">
        <v>178</v>
      </c>
      <c r="S4" s="177"/>
      <c r="T4" s="177"/>
      <c r="U4" s="109"/>
      <c r="V4" s="89"/>
    </row>
    <row r="5" spans="1:25" ht="24" customHeight="1" thickTop="1" thickBot="1" x14ac:dyDescent="0.25">
      <c r="A5" s="180"/>
      <c r="B5" s="194" t="s">
        <v>187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6"/>
      <c r="U5" s="105"/>
      <c r="V5" s="105"/>
      <c r="W5" s="98"/>
    </row>
    <row r="6" spans="1:25" ht="24" customHeight="1" thickTop="1" thickBot="1" x14ac:dyDescent="0.25">
      <c r="A6" s="180"/>
      <c r="B6" s="108"/>
      <c r="C6" s="107">
        <v>42516</v>
      </c>
      <c r="D6" s="107"/>
      <c r="E6" s="107"/>
      <c r="F6" s="107">
        <f>C6+1</f>
        <v>42517</v>
      </c>
      <c r="G6" s="107"/>
      <c r="H6" s="107"/>
      <c r="I6" s="107">
        <f>F6+3</f>
        <v>42520</v>
      </c>
      <c r="J6" s="107"/>
      <c r="K6" s="107"/>
      <c r="L6" s="107">
        <f>I6+1</f>
        <v>42521</v>
      </c>
      <c r="M6" s="107"/>
      <c r="N6" s="107"/>
      <c r="O6" s="107">
        <f>L6+1</f>
        <v>42522</v>
      </c>
      <c r="P6" s="107"/>
      <c r="Q6" s="107"/>
      <c r="R6" s="107">
        <f>F6+1</f>
        <v>42518</v>
      </c>
      <c r="S6" s="107"/>
      <c r="T6" s="106"/>
      <c r="U6" s="105"/>
      <c r="V6" s="105"/>
      <c r="W6" s="98"/>
    </row>
    <row r="7" spans="1:25" ht="24" customHeight="1" x14ac:dyDescent="0.2">
      <c r="A7" s="103"/>
      <c r="B7" s="97"/>
      <c r="C7" s="97" t="s">
        <v>96</v>
      </c>
      <c r="D7" s="97"/>
      <c r="E7" s="97"/>
      <c r="F7" s="97" t="s">
        <v>95</v>
      </c>
      <c r="G7" s="97"/>
      <c r="H7" s="97"/>
      <c r="I7" s="97" t="s">
        <v>94</v>
      </c>
      <c r="J7" s="97"/>
      <c r="K7" s="97"/>
      <c r="L7" s="97" t="s">
        <v>93</v>
      </c>
      <c r="M7" s="97"/>
      <c r="N7" s="97"/>
      <c r="O7" s="97" t="s">
        <v>92</v>
      </c>
      <c r="P7" s="97"/>
      <c r="Q7" s="97"/>
      <c r="R7" s="97" t="s">
        <v>91</v>
      </c>
      <c r="S7" s="97"/>
      <c r="T7" s="97"/>
      <c r="U7" s="97" t="s">
        <v>81</v>
      </c>
      <c r="V7" s="97"/>
      <c r="W7" s="97"/>
    </row>
    <row r="8" spans="1:25" ht="24" customHeight="1" x14ac:dyDescent="0.2">
      <c r="A8" s="103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104"/>
      <c r="V8" s="94"/>
      <c r="W8" s="98"/>
    </row>
    <row r="9" spans="1:25" ht="24" customHeight="1" x14ac:dyDescent="0.2">
      <c r="A9" s="103"/>
      <c r="B9" s="97" t="s">
        <v>110</v>
      </c>
      <c r="C9" s="97" t="s">
        <v>170</v>
      </c>
      <c r="D9" s="97" t="s">
        <v>169</v>
      </c>
      <c r="E9" s="97" t="s">
        <v>17</v>
      </c>
      <c r="F9" s="97" t="s">
        <v>170</v>
      </c>
      <c r="G9" s="97" t="s">
        <v>169</v>
      </c>
      <c r="H9" s="97" t="s">
        <v>17</v>
      </c>
      <c r="I9" s="97" t="s">
        <v>170</v>
      </c>
      <c r="J9" s="97" t="s">
        <v>169</v>
      </c>
      <c r="K9" s="97" t="s">
        <v>17</v>
      </c>
      <c r="L9" s="97" t="s">
        <v>170</v>
      </c>
      <c r="M9" s="97" t="s">
        <v>169</v>
      </c>
      <c r="N9" s="97" t="s">
        <v>17</v>
      </c>
      <c r="O9" s="97" t="s">
        <v>170</v>
      </c>
      <c r="P9" s="97" t="s">
        <v>169</v>
      </c>
      <c r="Q9" s="97" t="s">
        <v>17</v>
      </c>
      <c r="R9" s="97" t="s">
        <v>170</v>
      </c>
      <c r="S9" s="97" t="s">
        <v>169</v>
      </c>
      <c r="T9" s="97" t="s">
        <v>17</v>
      </c>
      <c r="U9" s="101"/>
      <c r="V9" s="100"/>
      <c r="W9" s="98"/>
    </row>
    <row r="10" spans="1:25" ht="24" customHeight="1" x14ac:dyDescent="0.2">
      <c r="A10" s="91"/>
      <c r="B10" s="81"/>
      <c r="C10" s="79"/>
      <c r="D10" s="80"/>
      <c r="E10" s="79"/>
      <c r="F10" s="79"/>
      <c r="G10" s="80"/>
      <c r="H10" s="79"/>
      <c r="I10" s="79"/>
      <c r="J10" s="80"/>
      <c r="K10" s="79"/>
      <c r="L10" s="79"/>
      <c r="M10" s="80"/>
      <c r="N10" s="79"/>
      <c r="O10" s="79"/>
      <c r="P10" s="80"/>
      <c r="Q10" s="79"/>
      <c r="R10" s="79"/>
      <c r="S10" s="80"/>
      <c r="T10" s="83"/>
      <c r="U10" s="75">
        <f t="shared" ref="U10:U31" si="0">SUM(B10,E10,H10,K10,N10,Q10,T10)</f>
        <v>0</v>
      </c>
      <c r="V10" s="94"/>
      <c r="W10" s="98"/>
      <c r="X10" s="184"/>
      <c r="Y10" s="185"/>
    </row>
    <row r="11" spans="1:25" ht="24" customHeight="1" x14ac:dyDescent="0.2">
      <c r="A11" s="91"/>
      <c r="B11" s="81" t="s">
        <v>186</v>
      </c>
      <c r="C11" s="79">
        <v>2021</v>
      </c>
      <c r="D11" s="80">
        <v>111</v>
      </c>
      <c r="E11" s="79">
        <v>3</v>
      </c>
      <c r="F11" s="79">
        <v>2021</v>
      </c>
      <c r="G11" s="80">
        <v>111</v>
      </c>
      <c r="H11" s="79">
        <v>6</v>
      </c>
      <c r="I11" s="79" t="s">
        <v>158</v>
      </c>
      <c r="J11" s="80"/>
      <c r="K11" s="79">
        <v>8</v>
      </c>
      <c r="L11" s="79">
        <v>2021</v>
      </c>
      <c r="M11" s="80">
        <v>111</v>
      </c>
      <c r="N11" s="79">
        <v>6</v>
      </c>
      <c r="O11" s="79">
        <v>2024</v>
      </c>
      <c r="P11" s="80">
        <v>111</v>
      </c>
      <c r="Q11" s="79">
        <v>8</v>
      </c>
      <c r="R11" s="79"/>
      <c r="S11" s="80"/>
      <c r="T11" s="83"/>
      <c r="U11" s="75">
        <f t="shared" si="0"/>
        <v>31</v>
      </c>
      <c r="V11" s="94"/>
      <c r="W11" s="98"/>
      <c r="X11" s="184"/>
      <c r="Y11" s="185"/>
    </row>
    <row r="12" spans="1:25" ht="24" customHeight="1" x14ac:dyDescent="0.2">
      <c r="A12" s="91"/>
      <c r="B12" s="81"/>
      <c r="C12" s="79">
        <v>2021</v>
      </c>
      <c r="D12" s="80">
        <v>140</v>
      </c>
      <c r="E12" s="79">
        <v>1</v>
      </c>
      <c r="F12" s="79">
        <v>2021</v>
      </c>
      <c r="G12" s="80">
        <v>143</v>
      </c>
      <c r="H12" s="79">
        <v>1</v>
      </c>
      <c r="I12" s="79"/>
      <c r="J12" s="80"/>
      <c r="K12" s="79"/>
      <c r="L12" s="79">
        <v>2024</v>
      </c>
      <c r="M12" s="80">
        <v>111</v>
      </c>
      <c r="N12" s="79">
        <v>2</v>
      </c>
      <c r="O12" s="79"/>
      <c r="P12" s="80"/>
      <c r="Q12" s="79"/>
      <c r="R12" s="79"/>
      <c r="S12" s="80"/>
      <c r="T12" s="83"/>
      <c r="U12" s="75">
        <f t="shared" si="0"/>
        <v>4</v>
      </c>
      <c r="V12" s="94"/>
      <c r="W12" s="98"/>
      <c r="X12" s="184"/>
      <c r="Y12" s="185"/>
    </row>
    <row r="13" spans="1:25" ht="24" customHeight="1" x14ac:dyDescent="0.2">
      <c r="A13" s="91"/>
      <c r="B13" s="81"/>
      <c r="C13" s="79">
        <v>2021</v>
      </c>
      <c r="D13" s="80">
        <v>142</v>
      </c>
      <c r="E13" s="79">
        <v>3</v>
      </c>
      <c r="F13" s="79">
        <v>2028</v>
      </c>
      <c r="G13" s="80">
        <v>111</v>
      </c>
      <c r="H13" s="79">
        <v>1</v>
      </c>
      <c r="I13" s="79"/>
      <c r="J13" s="80"/>
      <c r="K13" s="79"/>
      <c r="L13" s="79"/>
      <c r="M13" s="80"/>
      <c r="N13" s="79"/>
      <c r="O13" s="79"/>
      <c r="P13" s="80"/>
      <c r="Q13" s="79"/>
      <c r="R13" s="79"/>
      <c r="S13" s="80"/>
      <c r="T13" s="83"/>
      <c r="U13" s="75">
        <f t="shared" si="0"/>
        <v>4</v>
      </c>
      <c r="V13" s="94"/>
      <c r="W13" s="98"/>
      <c r="X13" s="184"/>
      <c r="Y13" s="185"/>
    </row>
    <row r="14" spans="1:25" ht="24" customHeight="1" x14ac:dyDescent="0.2">
      <c r="A14" s="91"/>
      <c r="B14" s="81"/>
      <c r="C14" s="79">
        <v>2023</v>
      </c>
      <c r="D14" s="80">
        <v>151</v>
      </c>
      <c r="E14" s="79">
        <v>1</v>
      </c>
      <c r="F14" s="79"/>
      <c r="G14" s="80"/>
      <c r="H14" s="79"/>
      <c r="I14" s="79"/>
      <c r="J14" s="80"/>
      <c r="K14" s="79"/>
      <c r="L14" s="79"/>
      <c r="M14" s="80"/>
      <c r="N14" s="79"/>
      <c r="O14" s="79"/>
      <c r="P14" s="80"/>
      <c r="Q14" s="79"/>
      <c r="R14" s="79"/>
      <c r="S14" s="80"/>
      <c r="T14" s="83"/>
      <c r="U14" s="75">
        <f t="shared" si="0"/>
        <v>1</v>
      </c>
      <c r="V14" s="94"/>
      <c r="W14" s="98"/>
      <c r="X14" s="184"/>
      <c r="Y14" s="185"/>
    </row>
    <row r="15" spans="1:25" ht="24" customHeight="1" x14ac:dyDescent="0.2">
      <c r="A15" s="91"/>
      <c r="B15" s="81"/>
      <c r="C15" s="79"/>
      <c r="D15" s="80"/>
      <c r="E15" s="79"/>
      <c r="F15" s="79"/>
      <c r="G15" s="80"/>
      <c r="H15" s="79"/>
      <c r="I15" s="79"/>
      <c r="J15" s="80"/>
      <c r="K15" s="79"/>
      <c r="L15" s="79"/>
      <c r="M15" s="80"/>
      <c r="N15" s="79"/>
      <c r="O15" s="79"/>
      <c r="P15" s="80"/>
      <c r="Q15" s="79"/>
      <c r="R15" s="79"/>
      <c r="S15" s="80"/>
      <c r="T15" s="83"/>
      <c r="U15" s="75">
        <f t="shared" si="0"/>
        <v>0</v>
      </c>
      <c r="V15" s="94"/>
      <c r="W15" s="98"/>
      <c r="X15" s="184"/>
      <c r="Y15" s="185"/>
    </row>
    <row r="16" spans="1:25" ht="24" customHeight="1" x14ac:dyDescent="0.2">
      <c r="A16" s="91"/>
      <c r="B16" s="91"/>
      <c r="C16" s="79"/>
      <c r="D16" s="80"/>
      <c r="E16" s="79"/>
      <c r="F16" s="79"/>
      <c r="G16" s="80"/>
      <c r="H16" s="79"/>
      <c r="I16" s="79"/>
      <c r="J16" s="80"/>
      <c r="K16" s="79"/>
      <c r="L16" s="79"/>
      <c r="M16" s="80"/>
      <c r="N16" s="79"/>
      <c r="O16" s="79"/>
      <c r="P16" s="80"/>
      <c r="Q16" s="79"/>
      <c r="R16" s="79"/>
      <c r="S16" s="80"/>
      <c r="T16" s="83"/>
      <c r="U16" s="75">
        <f t="shared" si="0"/>
        <v>0</v>
      </c>
      <c r="V16" s="94"/>
      <c r="W16" s="98"/>
      <c r="X16" s="184"/>
      <c r="Y16" s="185"/>
    </row>
    <row r="17" spans="1:25" ht="24" customHeight="1" x14ac:dyDescent="0.2">
      <c r="A17" s="91"/>
      <c r="B17" s="91"/>
      <c r="C17" s="79"/>
      <c r="D17" s="80"/>
      <c r="E17" s="79"/>
      <c r="F17" s="79"/>
      <c r="G17" s="80"/>
      <c r="H17" s="79"/>
      <c r="I17" s="79"/>
      <c r="J17" s="80"/>
      <c r="K17" s="79"/>
      <c r="L17" s="79"/>
      <c r="M17" s="80"/>
      <c r="N17" s="79"/>
      <c r="O17" s="79"/>
      <c r="P17" s="80"/>
      <c r="Q17" s="79"/>
      <c r="R17" s="79"/>
      <c r="S17" s="84"/>
      <c r="T17" s="83"/>
      <c r="U17" s="75">
        <f t="shared" si="0"/>
        <v>0</v>
      </c>
      <c r="V17" s="94"/>
      <c r="W17" s="98"/>
      <c r="X17" s="184"/>
      <c r="Y17" s="185"/>
    </row>
    <row r="18" spans="1:25" ht="24" customHeight="1" x14ac:dyDescent="0.2">
      <c r="A18" s="91"/>
      <c r="B18" s="91"/>
      <c r="C18" s="79"/>
      <c r="D18" s="80"/>
      <c r="E18" s="79"/>
      <c r="F18" s="79"/>
      <c r="G18" s="80"/>
      <c r="H18" s="79"/>
      <c r="I18" s="79"/>
      <c r="J18" s="80"/>
      <c r="K18" s="79"/>
      <c r="L18" s="79"/>
      <c r="M18" s="80"/>
      <c r="N18" s="79"/>
      <c r="O18" s="79"/>
      <c r="P18" s="80"/>
      <c r="Q18" s="79"/>
      <c r="R18" s="79"/>
      <c r="S18" s="84"/>
      <c r="T18" s="83"/>
      <c r="U18" s="75">
        <f t="shared" si="0"/>
        <v>0</v>
      </c>
      <c r="V18" s="94"/>
      <c r="W18" s="98"/>
      <c r="X18" s="184"/>
      <c r="Y18" s="185"/>
    </row>
    <row r="19" spans="1:25" ht="24" customHeight="1" x14ac:dyDescent="0.2">
      <c r="A19" s="91"/>
      <c r="B19" s="81"/>
      <c r="C19" s="79"/>
      <c r="D19" s="80"/>
      <c r="E19" s="79"/>
      <c r="F19" s="79"/>
      <c r="G19" s="80"/>
      <c r="H19" s="79"/>
      <c r="I19" s="79"/>
      <c r="J19" s="80"/>
      <c r="K19" s="79"/>
      <c r="L19" s="79"/>
      <c r="M19" s="80"/>
      <c r="N19" s="79"/>
      <c r="O19" s="79"/>
      <c r="P19" s="80"/>
      <c r="Q19" s="79"/>
      <c r="R19" s="79"/>
      <c r="S19" s="84"/>
      <c r="T19" s="83"/>
      <c r="U19" s="75">
        <f t="shared" si="0"/>
        <v>0</v>
      </c>
      <c r="V19" s="94"/>
      <c r="W19" s="98"/>
      <c r="X19" s="184"/>
      <c r="Y19" s="185"/>
    </row>
    <row r="20" spans="1:25" ht="24" customHeight="1" x14ac:dyDescent="0.2">
      <c r="A20" s="91"/>
      <c r="B20" s="81"/>
      <c r="C20" s="83"/>
      <c r="D20" s="84"/>
      <c r="E20" s="83"/>
      <c r="F20" s="79"/>
      <c r="G20" s="84"/>
      <c r="H20" s="79"/>
      <c r="I20" s="83"/>
      <c r="J20" s="84"/>
      <c r="K20" s="79"/>
      <c r="L20" s="83"/>
      <c r="M20" s="84"/>
      <c r="N20" s="83"/>
      <c r="O20" s="79"/>
      <c r="P20" s="84"/>
      <c r="Q20" s="79"/>
      <c r="R20" s="83"/>
      <c r="S20" s="84"/>
      <c r="T20" s="83"/>
      <c r="U20" s="75">
        <f t="shared" si="0"/>
        <v>0</v>
      </c>
      <c r="V20" s="94"/>
      <c r="W20" s="98"/>
      <c r="X20" s="184"/>
      <c r="Y20" s="185"/>
    </row>
    <row r="21" spans="1:25" ht="24" customHeight="1" x14ac:dyDescent="0.2">
      <c r="A21" s="91"/>
      <c r="B21" s="81"/>
      <c r="C21" s="79"/>
      <c r="D21" s="84"/>
      <c r="E21" s="79"/>
      <c r="F21" s="83"/>
      <c r="G21" s="84"/>
      <c r="H21" s="79"/>
      <c r="I21" s="83"/>
      <c r="J21" s="84"/>
      <c r="K21" s="79"/>
      <c r="L21" s="79"/>
      <c r="M21" s="84"/>
      <c r="N21" s="79"/>
      <c r="O21" s="83"/>
      <c r="P21" s="84"/>
      <c r="Q21" s="79"/>
      <c r="R21" s="83"/>
      <c r="S21" s="136"/>
      <c r="T21" s="83"/>
      <c r="U21" s="75">
        <f t="shared" si="0"/>
        <v>0</v>
      </c>
      <c r="V21" s="94"/>
      <c r="W21" s="98"/>
      <c r="X21" s="184"/>
      <c r="Y21" s="185"/>
    </row>
    <row r="22" spans="1:25" ht="24" customHeight="1" x14ac:dyDescent="0.2">
      <c r="A22" s="91"/>
      <c r="B22" s="81"/>
      <c r="C22" s="83"/>
      <c r="D22" s="84"/>
      <c r="E22" s="79"/>
      <c r="F22" s="79"/>
      <c r="G22" s="84"/>
      <c r="H22" s="79"/>
      <c r="I22" s="79"/>
      <c r="J22" s="84"/>
      <c r="K22" s="79"/>
      <c r="L22" s="79"/>
      <c r="M22" s="84"/>
      <c r="N22" s="79"/>
      <c r="O22" s="79"/>
      <c r="P22" s="84"/>
      <c r="Q22" s="79"/>
      <c r="R22" s="83"/>
      <c r="S22" s="84"/>
      <c r="T22" s="83"/>
      <c r="U22" s="75">
        <f t="shared" si="0"/>
        <v>0</v>
      </c>
      <c r="V22" s="89"/>
      <c r="W22" s="98"/>
      <c r="X22" s="184"/>
      <c r="Y22" s="185"/>
    </row>
    <row r="23" spans="1:25" ht="24" customHeight="1" x14ac:dyDescent="0.2">
      <c r="A23" s="91"/>
      <c r="B23" s="81"/>
      <c r="C23" s="79"/>
      <c r="D23" s="84"/>
      <c r="E23" s="79"/>
      <c r="F23" s="79"/>
      <c r="G23" s="84"/>
      <c r="H23" s="79"/>
      <c r="I23" s="79"/>
      <c r="J23" s="84"/>
      <c r="K23" s="79"/>
      <c r="L23" s="79"/>
      <c r="M23" s="84"/>
      <c r="N23" s="79"/>
      <c r="O23" s="79"/>
      <c r="P23" s="84"/>
      <c r="Q23" s="79"/>
      <c r="R23" s="83"/>
      <c r="S23" s="84"/>
      <c r="T23" s="83"/>
      <c r="U23" s="75">
        <f t="shared" si="0"/>
        <v>0</v>
      </c>
      <c r="V23" s="89"/>
      <c r="W23" s="98"/>
      <c r="X23" s="184"/>
      <c r="Y23" s="185"/>
    </row>
    <row r="24" spans="1:25" ht="24" customHeight="1" x14ac:dyDescent="0.2">
      <c r="A24" s="91"/>
      <c r="B24" s="81"/>
      <c r="C24" s="83"/>
      <c r="D24" s="80"/>
      <c r="E24" s="79"/>
      <c r="F24" s="79"/>
      <c r="G24" s="80"/>
      <c r="H24" s="79"/>
      <c r="I24" s="79"/>
      <c r="J24" s="80"/>
      <c r="K24" s="79"/>
      <c r="L24" s="79"/>
      <c r="M24" s="80"/>
      <c r="N24" s="79"/>
      <c r="O24" s="79"/>
      <c r="P24" s="80"/>
      <c r="Q24" s="79"/>
      <c r="R24" s="83"/>
      <c r="S24" s="80"/>
      <c r="T24" s="83"/>
      <c r="U24" s="75">
        <f t="shared" si="0"/>
        <v>0</v>
      </c>
      <c r="V24" s="94"/>
      <c r="W24" s="98"/>
      <c r="X24" s="184"/>
      <c r="Y24" s="185"/>
    </row>
    <row r="25" spans="1:25" ht="24" customHeight="1" x14ac:dyDescent="0.2">
      <c r="A25" s="91"/>
      <c r="B25" s="81"/>
      <c r="C25" s="83"/>
      <c r="D25" s="80"/>
      <c r="E25" s="79"/>
      <c r="F25" s="79"/>
      <c r="G25" s="80"/>
      <c r="H25" s="79"/>
      <c r="I25" s="79"/>
      <c r="J25" s="80"/>
      <c r="K25" s="79"/>
      <c r="L25" s="79"/>
      <c r="M25" s="80"/>
      <c r="N25" s="79"/>
      <c r="O25" s="79"/>
      <c r="P25" s="80"/>
      <c r="Q25" s="79"/>
      <c r="R25" s="83"/>
      <c r="S25" s="80"/>
      <c r="T25" s="83"/>
      <c r="U25" s="75">
        <f t="shared" si="0"/>
        <v>0</v>
      </c>
      <c r="V25" s="94"/>
    </row>
    <row r="26" spans="1:25" ht="24" customHeight="1" x14ac:dyDescent="0.2">
      <c r="A26" s="91"/>
      <c r="B26" s="81"/>
      <c r="C26" s="83"/>
      <c r="D26" s="84"/>
      <c r="E26" s="83"/>
      <c r="F26" s="83"/>
      <c r="G26" s="84"/>
      <c r="H26" s="79"/>
      <c r="I26" s="79"/>
      <c r="J26" s="84"/>
      <c r="K26" s="79"/>
      <c r="L26" s="79"/>
      <c r="M26" s="84"/>
      <c r="N26" s="79"/>
      <c r="O26" s="79"/>
      <c r="P26" s="84"/>
      <c r="Q26" s="79"/>
      <c r="R26" s="83"/>
      <c r="S26" s="84"/>
      <c r="T26" s="83"/>
      <c r="U26" s="75">
        <f t="shared" si="0"/>
        <v>0</v>
      </c>
      <c r="V26" s="94"/>
    </row>
    <row r="27" spans="1:25" ht="24" customHeight="1" x14ac:dyDescent="0.2">
      <c r="A27" s="91"/>
      <c r="B27" s="95"/>
      <c r="C27" s="83"/>
      <c r="D27" s="84"/>
      <c r="E27" s="83"/>
      <c r="F27" s="83"/>
      <c r="G27" s="84"/>
      <c r="H27" s="83"/>
      <c r="I27" s="83"/>
      <c r="J27" s="84"/>
      <c r="K27" s="79"/>
      <c r="L27" s="83"/>
      <c r="M27" s="84"/>
      <c r="N27" s="79"/>
      <c r="O27" s="83"/>
      <c r="P27" s="84"/>
      <c r="Q27" s="83"/>
      <c r="R27" s="83"/>
      <c r="S27" s="84"/>
      <c r="T27" s="83"/>
      <c r="U27" s="75">
        <f t="shared" si="0"/>
        <v>0</v>
      </c>
      <c r="V27" s="94"/>
    </row>
    <row r="28" spans="1:25" ht="24" customHeight="1" x14ac:dyDescent="0.2">
      <c r="A28" s="91"/>
      <c r="B28" s="81"/>
      <c r="C28" s="83"/>
      <c r="D28" s="84"/>
      <c r="E28" s="83"/>
      <c r="F28" s="83"/>
      <c r="G28" s="84"/>
      <c r="H28" s="79"/>
      <c r="I28" s="79"/>
      <c r="J28" s="84"/>
      <c r="K28" s="79"/>
      <c r="L28" s="79"/>
      <c r="M28" s="84"/>
      <c r="N28" s="79"/>
      <c r="O28" s="79"/>
      <c r="P28" s="84"/>
      <c r="Q28" s="79"/>
      <c r="R28" s="83"/>
      <c r="S28" s="84"/>
      <c r="T28" s="83"/>
      <c r="U28" s="75">
        <f t="shared" si="0"/>
        <v>0</v>
      </c>
      <c r="V28" s="94"/>
    </row>
    <row r="29" spans="1:25" ht="24" customHeight="1" x14ac:dyDescent="0.2">
      <c r="A29" s="91"/>
      <c r="B29" s="81"/>
      <c r="C29" s="83"/>
      <c r="D29" s="84"/>
      <c r="E29" s="83"/>
      <c r="F29" s="79"/>
      <c r="G29" s="84"/>
      <c r="H29" s="79"/>
      <c r="I29" s="79"/>
      <c r="J29" s="84"/>
      <c r="K29" s="79"/>
      <c r="L29" s="79"/>
      <c r="M29" s="84"/>
      <c r="N29" s="79"/>
      <c r="O29" s="79"/>
      <c r="P29" s="84"/>
      <c r="Q29" s="79"/>
      <c r="R29" s="83"/>
      <c r="S29" s="84"/>
      <c r="T29" s="83"/>
      <c r="U29" s="75">
        <f t="shared" si="0"/>
        <v>0</v>
      </c>
      <c r="V29" s="94"/>
    </row>
    <row r="30" spans="1:25" ht="24" customHeight="1" x14ac:dyDescent="0.2">
      <c r="A30" s="91"/>
      <c r="B30" s="81"/>
      <c r="C30" s="83"/>
      <c r="D30" s="84"/>
      <c r="E30" s="83"/>
      <c r="F30" s="79"/>
      <c r="G30" s="84"/>
      <c r="H30" s="79"/>
      <c r="I30" s="79"/>
      <c r="J30" s="84"/>
      <c r="K30" s="79"/>
      <c r="L30" s="79"/>
      <c r="M30" s="84"/>
      <c r="N30" s="79"/>
      <c r="O30" s="79"/>
      <c r="P30" s="84"/>
      <c r="Q30" s="79"/>
      <c r="R30" s="83"/>
      <c r="S30" s="84"/>
      <c r="T30" s="83"/>
      <c r="U30" s="75">
        <f t="shared" si="0"/>
        <v>0</v>
      </c>
      <c r="V30" s="94"/>
    </row>
    <row r="31" spans="1:25" ht="24" customHeight="1" x14ac:dyDescent="0.2">
      <c r="A31" s="91"/>
      <c r="B31" s="81"/>
      <c r="C31" s="83"/>
      <c r="D31" s="80"/>
      <c r="E31" s="79"/>
      <c r="F31" s="83"/>
      <c r="G31" s="80"/>
      <c r="H31" s="79"/>
      <c r="I31" s="134"/>
      <c r="J31" s="80"/>
      <c r="K31" s="79"/>
      <c r="L31" s="79"/>
      <c r="M31" s="80"/>
      <c r="N31" s="79"/>
      <c r="O31" s="79"/>
      <c r="P31" s="80"/>
      <c r="Q31" s="79"/>
      <c r="R31" s="83"/>
      <c r="S31" s="80"/>
      <c r="T31" s="83"/>
      <c r="U31" s="75">
        <f t="shared" si="0"/>
        <v>0</v>
      </c>
      <c r="V31" s="94"/>
    </row>
    <row r="32" spans="1:25" ht="24" customHeight="1" x14ac:dyDescent="0.2">
      <c r="A32" s="98"/>
      <c r="B32" s="188"/>
      <c r="C32" s="185"/>
    </row>
    <row r="33" spans="1:3" ht="24" customHeight="1" x14ac:dyDescent="0.2">
      <c r="A33" s="98"/>
      <c r="B33" s="188"/>
      <c r="C33" s="185"/>
    </row>
    <row r="34" spans="1:3" ht="24" customHeight="1" x14ac:dyDescent="0.2">
      <c r="A34" s="98"/>
      <c r="B34" s="188"/>
      <c r="C34" s="185"/>
    </row>
    <row r="35" spans="1:3" ht="24" customHeight="1" x14ac:dyDescent="0.2">
      <c r="A35" s="98"/>
      <c r="B35" s="188"/>
      <c r="C35" s="185"/>
    </row>
    <row r="36" spans="1:3" ht="24" customHeight="1" x14ac:dyDescent="0.2">
      <c r="A36" s="98"/>
      <c r="B36" s="188"/>
      <c r="C36" s="185"/>
    </row>
    <row r="37" spans="1:3" ht="24" customHeight="1" x14ac:dyDescent="0.2">
      <c r="A37" s="98"/>
      <c r="B37" s="188"/>
      <c r="C37" s="185"/>
    </row>
    <row r="38" spans="1:3" ht="24" customHeight="1" x14ac:dyDescent="0.2">
      <c r="A38" s="98"/>
      <c r="B38" s="188"/>
      <c r="C38" s="185"/>
    </row>
    <row r="39" spans="1:3" ht="24" customHeight="1" x14ac:dyDescent="0.2">
      <c r="A39" s="98"/>
      <c r="B39" s="188"/>
      <c r="C39" s="185"/>
    </row>
    <row r="40" spans="1:3" ht="24" customHeight="1" x14ac:dyDescent="0.2">
      <c r="A40" s="98"/>
      <c r="B40" s="188"/>
      <c r="C40" s="185"/>
    </row>
    <row r="41" spans="1:3" ht="24" customHeight="1" x14ac:dyDescent="0.2">
      <c r="A41" s="98"/>
      <c r="B41" s="188"/>
      <c r="C41" s="185"/>
    </row>
    <row r="42" spans="1:3" ht="24" customHeight="1" x14ac:dyDescent="0.2">
      <c r="A42" s="98"/>
      <c r="B42" s="188"/>
      <c r="C42" s="185"/>
    </row>
    <row r="43" spans="1:3" ht="24" customHeight="1" x14ac:dyDescent="0.2">
      <c r="A43" s="98"/>
      <c r="B43" s="188"/>
      <c r="C43" s="185"/>
    </row>
    <row r="44" spans="1:3" ht="24" customHeight="1" x14ac:dyDescent="0.2">
      <c r="A44" s="98"/>
      <c r="B44" s="188"/>
      <c r="C44" s="185"/>
    </row>
    <row r="45" spans="1:3" ht="24" customHeight="1" x14ac:dyDescent="0.2">
      <c r="A45" s="98"/>
      <c r="B45" s="188"/>
      <c r="C45" s="185"/>
    </row>
    <row r="46" spans="1:3" ht="24" customHeight="1" x14ac:dyDescent="0.2">
      <c r="A46" s="98"/>
      <c r="B46" s="188"/>
      <c r="C46" s="185"/>
    </row>
    <row r="47" spans="1:3" ht="24" customHeight="1" x14ac:dyDescent="0.2">
      <c r="A47" s="98"/>
      <c r="B47" s="188"/>
      <c r="C47" s="185"/>
    </row>
    <row r="48" spans="1:3" ht="24" customHeight="1" x14ac:dyDescent="0.2">
      <c r="A48" s="98"/>
      <c r="B48" s="188"/>
      <c r="C48" s="185"/>
    </row>
    <row r="49" spans="1:25" ht="24" customHeight="1" x14ac:dyDescent="0.2">
      <c r="A49" s="98"/>
      <c r="B49" s="188"/>
      <c r="C49" s="185"/>
    </row>
    <row r="50" spans="1:25" ht="24" customHeight="1" x14ac:dyDescent="0.2">
      <c r="A50" s="98"/>
      <c r="B50" s="188"/>
      <c r="C50" s="185"/>
    </row>
    <row r="51" spans="1:25" ht="24" customHeight="1" x14ac:dyDescent="0.2">
      <c r="A51" s="98"/>
      <c r="B51" s="188"/>
      <c r="C51" s="185"/>
    </row>
    <row r="52" spans="1:25" ht="24" customHeight="1" x14ac:dyDescent="0.2">
      <c r="A52" s="72"/>
      <c r="B52" s="188"/>
      <c r="C52" s="185"/>
    </row>
    <row r="53" spans="1:25" ht="24" customHeight="1" x14ac:dyDescent="0.2">
      <c r="A53" s="72"/>
      <c r="B53" s="188"/>
      <c r="C53" s="185"/>
    </row>
    <row r="54" spans="1:25" ht="24" customHeight="1" x14ac:dyDescent="0.2">
      <c r="A54" s="72"/>
      <c r="B54" s="188"/>
      <c r="C54" s="185"/>
    </row>
    <row r="55" spans="1:25" ht="24" customHeight="1" x14ac:dyDescent="0.2">
      <c r="A55" s="72"/>
      <c r="B55" s="188"/>
      <c r="C55" s="185"/>
      <c r="X55" s="188"/>
      <c r="Y55" s="185"/>
    </row>
    <row r="56" spans="1:25" ht="24" customHeight="1" x14ac:dyDescent="0.2">
      <c r="A56" s="72"/>
      <c r="B56" s="188"/>
      <c r="C56" s="185"/>
      <c r="X56" s="188"/>
      <c r="Y56" s="185"/>
    </row>
    <row r="57" spans="1:25" ht="24" customHeight="1" x14ac:dyDescent="0.2">
      <c r="A57" s="72"/>
      <c r="B57" s="188"/>
      <c r="C57" s="185"/>
      <c r="X57" s="188"/>
      <c r="Y57" s="185"/>
    </row>
    <row r="58" spans="1:25" ht="24" customHeight="1" x14ac:dyDescent="0.2">
      <c r="A58" s="72"/>
      <c r="B58" s="188"/>
      <c r="C58" s="185"/>
      <c r="X58" s="188"/>
      <c r="Y58" s="185"/>
    </row>
    <row r="59" spans="1:25" ht="24" customHeight="1" x14ac:dyDescent="0.2">
      <c r="A59" s="72"/>
      <c r="B59" s="188"/>
      <c r="C59" s="185"/>
      <c r="X59" s="188"/>
      <c r="Y59" s="185"/>
    </row>
    <row r="60" spans="1:25" ht="24" customHeight="1" x14ac:dyDescent="0.2">
      <c r="A60" s="72"/>
      <c r="B60" s="188"/>
      <c r="C60" s="185"/>
    </row>
    <row r="61" spans="1:25" ht="24" customHeight="1" x14ac:dyDescent="0.2">
      <c r="A61" s="72"/>
      <c r="B61" s="188"/>
      <c r="C61" s="185"/>
    </row>
    <row r="62" spans="1:25" ht="24" customHeight="1" x14ac:dyDescent="0.2">
      <c r="A62" s="72"/>
      <c r="B62" s="188"/>
      <c r="C62" s="185"/>
    </row>
    <row r="63" spans="1:25" ht="24" customHeight="1" x14ac:dyDescent="0.2">
      <c r="A63" s="72"/>
      <c r="B63" s="188"/>
      <c r="C63" s="185"/>
    </row>
    <row r="64" spans="1:25" ht="24" customHeight="1" x14ac:dyDescent="0.2">
      <c r="A64" s="72"/>
      <c r="B64" s="188"/>
      <c r="C64" s="185"/>
    </row>
    <row r="65" spans="1:22" ht="24" customHeight="1" x14ac:dyDescent="0.2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103"/>
      <c r="T65" s="103"/>
      <c r="U65" s="116"/>
      <c r="V65" s="74"/>
    </row>
    <row r="66" spans="1:22" ht="24" customHeight="1" x14ac:dyDescent="0.2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103"/>
      <c r="T66" s="103"/>
      <c r="U66" s="116"/>
      <c r="V66" s="74"/>
    </row>
    <row r="67" spans="1:22" ht="24" customHeight="1" x14ac:dyDescent="0.2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103"/>
      <c r="T67" s="103"/>
      <c r="U67" s="116"/>
      <c r="V67" s="74"/>
    </row>
    <row r="68" spans="1:22" ht="24" customHeight="1" x14ac:dyDescent="0.2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103"/>
      <c r="T68" s="103"/>
      <c r="U68" s="116"/>
      <c r="V68" s="74"/>
    </row>
    <row r="69" spans="1:22" ht="24" customHeight="1" x14ac:dyDescent="0.2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89"/>
      <c r="T69" s="89"/>
      <c r="U69" s="116"/>
      <c r="V69" s="74"/>
    </row>
    <row r="70" spans="1:22" x14ac:dyDescent="0.2">
      <c r="S70" s="98"/>
      <c r="T70" s="98"/>
      <c r="U70" s="98"/>
    </row>
    <row r="71" spans="1:22" x14ac:dyDescent="0.2">
      <c r="S71" s="98"/>
      <c r="T71" s="98"/>
      <c r="U71" s="98"/>
    </row>
    <row r="72" spans="1:22" x14ac:dyDescent="0.2">
      <c r="S72" s="98"/>
      <c r="T72" s="98"/>
      <c r="U72" s="98"/>
    </row>
  </sheetData>
  <sheetProtection formatCells="0" selectLockedCells="1" selectUnlockedCells="1"/>
  <mergeCells count="78">
    <mergeCell ref="C1:E1"/>
    <mergeCell ref="C2:E2"/>
    <mergeCell ref="C3:E3"/>
    <mergeCell ref="C4:E4"/>
    <mergeCell ref="F1:H1"/>
    <mergeCell ref="F2:H2"/>
    <mergeCell ref="F3:H3"/>
    <mergeCell ref="F4:H4"/>
    <mergeCell ref="R1:T1"/>
    <mergeCell ref="R2:T2"/>
    <mergeCell ref="R3:T3"/>
    <mergeCell ref="R4:T4"/>
    <mergeCell ref="L4:N4"/>
    <mergeCell ref="O2:Q2"/>
    <mergeCell ref="O3:Q3"/>
    <mergeCell ref="O4:Q4"/>
    <mergeCell ref="L1:Q1"/>
    <mergeCell ref="I1:K1"/>
    <mergeCell ref="I2:K2"/>
    <mergeCell ref="I3:K3"/>
    <mergeCell ref="I4:K4"/>
    <mergeCell ref="L2:N2"/>
    <mergeCell ref="L3:N3"/>
    <mergeCell ref="X55:Y55"/>
    <mergeCell ref="X56:Y56"/>
    <mergeCell ref="X57:Y57"/>
    <mergeCell ref="B58:C58"/>
    <mergeCell ref="B59:C59"/>
    <mergeCell ref="X58:Y58"/>
    <mergeCell ref="X59:Y59"/>
    <mergeCell ref="B53:C53"/>
    <mergeCell ref="B54:C54"/>
    <mergeCell ref="B55:C55"/>
    <mergeCell ref="B56:C56"/>
    <mergeCell ref="B57:C57"/>
    <mergeCell ref="B60:C60"/>
    <mergeCell ref="B61:C61"/>
    <mergeCell ref="B62:C62"/>
    <mergeCell ref="B63:C63"/>
    <mergeCell ref="B64:C6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32:C32"/>
    <mergeCell ref="X23:Y23"/>
    <mergeCell ref="X24:Y24"/>
    <mergeCell ref="X18:Y18"/>
    <mergeCell ref="X19:Y19"/>
    <mergeCell ref="X20:Y20"/>
    <mergeCell ref="X21:Y21"/>
    <mergeCell ref="X22:Y22"/>
    <mergeCell ref="A5:A6"/>
    <mergeCell ref="B5:T5"/>
    <mergeCell ref="X10:Y10"/>
    <mergeCell ref="X11:Y11"/>
    <mergeCell ref="X12:Y12"/>
    <mergeCell ref="X13:Y13"/>
    <mergeCell ref="X14:Y14"/>
    <mergeCell ref="X15:Y15"/>
    <mergeCell ref="X16:Y16"/>
    <mergeCell ref="X17:Y17"/>
  </mergeCells>
  <printOptions horizontalCentered="1" verticalCentered="1" gridLines="1"/>
  <pageMargins left="0.5" right="0.5" top="0.5" bottom="0.25" header="0" footer="0"/>
  <pageSetup scale="73" orientation="landscape" horizontalDpi="4294967293" verticalDpi="4294967293" r:id="rId1"/>
  <headerFooter alignWithMargins="0">
    <oddHeader>&amp;LFAX-425-487-1568&amp;CTIMESHEET</oddHeader>
  </headerFooter>
  <colBreaks count="1" manualBreakCount="1">
    <brk id="21" max="3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24</vt:i4>
      </vt:variant>
    </vt:vector>
  </HeadingPairs>
  <TitlesOfParts>
    <vt:vector size="48" baseType="lpstr">
      <vt:lpstr>COR</vt:lpstr>
      <vt:lpstr>hour breakdown</vt:lpstr>
      <vt:lpstr>4-20</vt:lpstr>
      <vt:lpstr>4-27</vt:lpstr>
      <vt:lpstr>5-4</vt:lpstr>
      <vt:lpstr>5-11</vt:lpstr>
      <vt:lpstr>5-18</vt:lpstr>
      <vt:lpstr>5-25</vt:lpstr>
      <vt:lpstr>6-1</vt:lpstr>
      <vt:lpstr>6-8</vt:lpstr>
      <vt:lpstr>6-15</vt:lpstr>
      <vt:lpstr>RD 4-6</vt:lpstr>
      <vt:lpstr>RD 4-13</vt:lpstr>
      <vt:lpstr>RD 4-20</vt:lpstr>
      <vt:lpstr>RD 5-18</vt:lpstr>
      <vt:lpstr>RD 5-25</vt:lpstr>
      <vt:lpstr>RD 6-15</vt:lpstr>
      <vt:lpstr>JG 4-20</vt:lpstr>
      <vt:lpstr>JG 5-18</vt:lpstr>
      <vt:lpstr>JG 5-25</vt:lpstr>
      <vt:lpstr>JG 6-1</vt:lpstr>
      <vt:lpstr>BH 4-20</vt:lpstr>
      <vt:lpstr>BH 4-27</vt:lpstr>
      <vt:lpstr>BH 6-1</vt:lpstr>
      <vt:lpstr>'4-20'!Print_Area</vt:lpstr>
      <vt:lpstr>'4-27'!Print_Area</vt:lpstr>
      <vt:lpstr>'5-11'!Print_Area</vt:lpstr>
      <vt:lpstr>'5-18'!Print_Area</vt:lpstr>
      <vt:lpstr>'5-25'!Print_Area</vt:lpstr>
      <vt:lpstr>'5-4'!Print_Area</vt:lpstr>
      <vt:lpstr>'6-1'!Print_Area</vt:lpstr>
      <vt:lpstr>'6-15'!Print_Area</vt:lpstr>
      <vt:lpstr>'6-8'!Print_Area</vt:lpstr>
      <vt:lpstr>'BH 4-20'!Print_Area</vt:lpstr>
      <vt:lpstr>'BH 4-27'!Print_Area</vt:lpstr>
      <vt:lpstr>'BH 6-1'!Print_Area</vt:lpstr>
      <vt:lpstr>COR!Print_Area</vt:lpstr>
      <vt:lpstr>'hour breakdown'!Print_Area</vt:lpstr>
      <vt:lpstr>'JG 4-20'!Print_Area</vt:lpstr>
      <vt:lpstr>'JG 5-18'!Print_Area</vt:lpstr>
      <vt:lpstr>'JG 5-25'!Print_Area</vt:lpstr>
      <vt:lpstr>'JG 6-1'!Print_Area</vt:lpstr>
      <vt:lpstr>'RD 4-13'!Print_Area</vt:lpstr>
      <vt:lpstr>'RD 4-20'!Print_Area</vt:lpstr>
      <vt:lpstr>'RD 4-6'!Print_Area</vt:lpstr>
      <vt:lpstr>'RD 5-18'!Print_Area</vt:lpstr>
      <vt:lpstr>'RD 5-25'!Print_Area</vt:lpstr>
      <vt:lpstr>'RD 6-15'!Print_Area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2016-06-15T19:45:49Z</cp:lastPrinted>
  <dcterms:created xsi:type="dcterms:W3CDTF">2014-07-14T23:11:07Z</dcterms:created>
  <dcterms:modified xsi:type="dcterms:W3CDTF">2016-07-08T18:00:38Z</dcterms:modified>
</cp:coreProperties>
</file>