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0" i="1" l="1"/>
  <c r="F79" i="1"/>
  <c r="F78" i="1"/>
  <c r="J77" i="1"/>
  <c r="F77" i="1"/>
  <c r="J76" i="1"/>
  <c r="J80" i="1" s="1"/>
  <c r="F76" i="1"/>
  <c r="F75" i="1"/>
  <c r="F74" i="1"/>
  <c r="L101" i="1"/>
  <c r="L102" i="1" s="1"/>
  <c r="L103" i="1" s="1"/>
  <c r="F100" i="1"/>
  <c r="J98" i="1"/>
  <c r="F98" i="1"/>
  <c r="J97" i="1"/>
  <c r="F97" i="1"/>
  <c r="F96" i="1"/>
  <c r="J95" i="1"/>
  <c r="J94" i="1"/>
  <c r="F94" i="1"/>
  <c r="F93" i="1"/>
  <c r="F91" i="1"/>
  <c r="L62" i="1"/>
  <c r="F49" i="1"/>
  <c r="J101" i="1" l="1"/>
  <c r="J102" i="1" s="1"/>
  <c r="J103" i="1" s="1"/>
  <c r="F80" i="1"/>
  <c r="F81" i="1" s="1"/>
  <c r="F82" i="1" s="1"/>
  <c r="J81" i="1"/>
  <c r="J82" i="1" s="1"/>
  <c r="L81" i="1"/>
  <c r="L82" i="1" s="1"/>
  <c r="F101" i="1"/>
  <c r="F102" i="1" s="1"/>
  <c r="F103" i="1" s="1"/>
  <c r="B85" i="1" l="1"/>
  <c r="B106" i="1"/>
  <c r="J59" i="1" l="1"/>
  <c r="F59" i="1"/>
  <c r="J58" i="1"/>
  <c r="F58" i="1"/>
  <c r="J56" i="1" l="1"/>
  <c r="J55" i="1" l="1"/>
  <c r="F55" i="1"/>
  <c r="J54" i="1"/>
  <c r="F54" i="1"/>
  <c r="G52" i="1"/>
  <c r="J52" i="1" s="1"/>
  <c r="F61" i="1"/>
  <c r="F57" i="1"/>
  <c r="J53" i="1"/>
  <c r="F53" i="1"/>
  <c r="F52" i="1"/>
  <c r="F51" i="1"/>
  <c r="L38" i="1"/>
  <c r="F37" i="1"/>
  <c r="F36" i="1"/>
  <c r="J35" i="1"/>
  <c r="F35" i="1"/>
  <c r="F34" i="1"/>
  <c r="J38" i="1" l="1"/>
  <c r="J39" i="1" s="1"/>
  <c r="J40" i="1" s="1"/>
  <c r="J62" i="1"/>
  <c r="J63" i="1" s="1"/>
  <c r="J64" i="1" s="1"/>
  <c r="F62" i="1"/>
  <c r="F63" i="1" s="1"/>
  <c r="F64" i="1" s="1"/>
  <c r="F38" i="1"/>
  <c r="L63" i="1"/>
  <c r="L64" i="1" s="1"/>
  <c r="F39" i="1"/>
  <c r="F40" i="1" s="1"/>
  <c r="L39" i="1"/>
  <c r="L40" i="1" s="1"/>
  <c r="B67" i="1" l="1"/>
  <c r="B43" i="1"/>
  <c r="F18" i="1" l="1"/>
  <c r="F21" i="1"/>
  <c r="J20" i="1"/>
  <c r="F20" i="1"/>
  <c r="F17" i="1" l="1"/>
  <c r="L23" i="1" l="1"/>
  <c r="L24" i="1" s="1"/>
  <c r="L25" i="1" l="1"/>
  <c r="F19" i="1" l="1"/>
  <c r="F22" i="1"/>
  <c r="F23" i="1" l="1"/>
  <c r="F24" i="1" s="1"/>
  <c r="F25" i="1" s="1"/>
  <c r="J19" i="1"/>
  <c r="J23" i="1" s="1"/>
  <c r="J24" i="1" l="1"/>
  <c r="J25" i="1" l="1"/>
  <c r="B28" i="1" s="1"/>
</calcChain>
</file>

<file path=xl/sharedStrings.xml><?xml version="1.0" encoding="utf-8"?>
<sst xmlns="http://schemas.openxmlformats.org/spreadsheetml/2006/main" count="206" uniqueCount="50">
  <si>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</si>
  <si>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</si>
  <si>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</si>
  <si>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</si>
  <si>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</si>
  <si>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</si>
  <si>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</si>
  <si>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</si>
  <si>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</si>
  <si>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</si>
  <si>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</si>
  <si>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</si>
  <si>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</si>
  <si>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</si>
  <si>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</si>
  <si>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</si>
  <si>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</si>
  <si>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LF</t>
  </si>
  <si>
    <t>2023 LEGACY APARTMENTS</t>
  </si>
  <si>
    <t>HRS</t>
  </si>
  <si>
    <t>Material</t>
  </si>
  <si>
    <t>LAYOUT/COORDINATE WITH EXCAVATOR</t>
  </si>
  <si>
    <t>SUPERVISION</t>
  </si>
  <si>
    <t>CAD / AS BUILTING</t>
  </si>
  <si>
    <t>CORE DRILL</t>
  </si>
  <si>
    <t>LS</t>
  </si>
  <si>
    <t>INSTALL 2" PIPING UNDERGROUND DUE TO GAS METER LOCATION CHANGE</t>
  </si>
  <si>
    <t>2" GAS PIPING</t>
  </si>
  <si>
    <t>FITTINGS</t>
  </si>
  <si>
    <t>4" SLEEVING &amp; FITTINGS</t>
  </si>
  <si>
    <t>2" GAS PIPING &amp; FITTINGS</t>
  </si>
  <si>
    <t>4" PVC SLEEVING &amp; FITTINGS</t>
  </si>
  <si>
    <t>LAYOUT</t>
  </si>
  <si>
    <t>PROSET PENETRATIONS</t>
  </si>
  <si>
    <t>SHUTOFF VALVES</t>
  </si>
  <si>
    <t>1-1/2" GAS PIPING</t>
  </si>
  <si>
    <t>1-1/4" GAS PIPING</t>
  </si>
  <si>
    <t>1" GAS PIPING</t>
  </si>
  <si>
    <t>SCISSOR LIFT</t>
  </si>
  <si>
    <t>EA</t>
  </si>
  <si>
    <t>ENGINEERING - BRETT MORTIMORE</t>
  </si>
  <si>
    <t>CAD DETAILING - FRANKLIN ENGINEERING</t>
  </si>
  <si>
    <t>EXCLUDES: SUPPLY AN DINSTALL OF METERS, PRESSURE REGULATORS, FLEX CONNECTIONS, WATERPROOFING</t>
  </si>
  <si>
    <t>INSTALL OVERHEAD GAS PIPING TO RETAIL AREAS - ONE MAINLINE</t>
  </si>
  <si>
    <t>INSTALL OVERHEAD GAS PIPING TO RETAIL AREAS - SEPARATE MAINLINES</t>
  </si>
  <si>
    <t>INSTALL SEPARATE GAS CONNECTIONS FOR EACH RETAIL AREA</t>
  </si>
  <si>
    <t>3/4" GAS PIPING &amp; FITTINGS</t>
  </si>
  <si>
    <t>3" SLEEVING &amp; FITTINGS</t>
  </si>
  <si>
    <t>3/4" GAS PIPING</t>
  </si>
  <si>
    <t>INSTALL ADDED SLEEVE FROM NE CORNER OF LOADING DOCK TO GAS METER ALCOVE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</si>
</sst>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168" fontId="6" fillId="0" borderId="3" xfId="0" applyNumberFormat="1" applyFont="1" applyBorder="1" applyAlignment="1">
      <alignment horizontal="right" vertical="top" wrapText="1"/>
    </xf>
    <xf numFmtId="166" fontId="6" fillId="0" borderId="3" xfId="0" applyNumberFormat="1" applyFont="1" applyBorder="1" applyAlignment="1">
      <alignment horizontal="right" vertical="top" wrapText="1"/>
    </xf>
    <xf numFmtId="8" fontId="0" fillId="0" borderId="0" xfId="0" applyNumberFormat="1"/>
    <xf numFmtId="165" fontId="6" fillId="0" borderId="3" xfId="0" applyNumberFormat="1" applyFont="1" applyBorder="1" applyAlignment="1">
      <alignment horizontal="right" vertical="top" wrapText="1"/>
    </xf>
    <xf numFmtId="0" fontId="1" fillId="5" borderId="3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GAS PIPING CHANGES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7"/>
  <sheetViews>
    <sheetView tabSelected="1" zoomScale="130" zoomScaleNormal="130" workbookViewId="0">
      <selection activeCell="F23" sqref="F23:L23"/>
    </sheetView>
  </sheetViews>
  <sheetFormatPr defaultRowHeight="12.75" x14ac:dyDescent="0.2"/>
  <cols>
    <col min="1" max="1" width="4.5703125" bestFit="1" customWidth="1"/>
    <col min="2" max="2" width="33.14062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68" t="s">
        <v>18</v>
      </c>
      <c r="J1" s="68"/>
      <c r="K1" s="68"/>
      <c r="L1" s="68"/>
    </row>
    <row r="2" spans="1:15" x14ac:dyDescent="0.2">
      <c r="D2" s="1"/>
      <c r="G2" s="34"/>
      <c r="H2" s="51" t="s">
        <v>12</v>
      </c>
      <c r="I2" s="69">
        <v>42087</v>
      </c>
      <c r="J2" s="68"/>
      <c r="K2" s="68"/>
      <c r="L2" s="68"/>
    </row>
    <row r="3" spans="1:15" x14ac:dyDescent="0.2">
      <c r="D3" s="1"/>
      <c r="G3" s="34"/>
      <c r="H3" s="51" t="s">
        <v>14</v>
      </c>
      <c r="I3" s="50"/>
      <c r="J3" s="35"/>
      <c r="K3" s="35"/>
      <c r="L3" s="35"/>
    </row>
    <row r="4" spans="1:15" ht="24" thickBot="1" x14ac:dyDescent="0.4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5" ht="4.5" customHeight="1" x14ac:dyDescent="0.2">
      <c r="A5" s="71" t="s">
        <v>11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3"/>
    </row>
    <row r="6" spans="1:15" ht="12.75" customHeight="1" x14ac:dyDescent="0.2">
      <c r="A6" s="74"/>
      <c r="B6" s="75"/>
      <c r="C6" s="75"/>
      <c r="D6" s="75"/>
      <c r="E6" s="75"/>
      <c r="F6" s="75"/>
      <c r="G6" s="75"/>
      <c r="H6" s="75"/>
      <c r="I6" s="75"/>
      <c r="J6" s="75"/>
      <c r="K6" s="75"/>
      <c r="L6" s="76"/>
    </row>
    <row r="7" spans="1:15" ht="4.5" customHeight="1" thickBot="1" x14ac:dyDescent="0.25">
      <c r="A7" s="77"/>
      <c r="B7" s="78"/>
      <c r="C7" s="78"/>
      <c r="D7" s="78"/>
      <c r="E7" s="78"/>
      <c r="F7" s="78"/>
      <c r="G7" s="78"/>
      <c r="H7" s="78"/>
      <c r="I7" s="78"/>
      <c r="J7" s="78"/>
      <c r="K7" s="78"/>
      <c r="L7" s="79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67" t="s">
        <v>10</v>
      </c>
      <c r="D14" s="67"/>
      <c r="E14" s="67"/>
      <c r="F14" s="67"/>
      <c r="G14" s="28" t="s">
        <v>9</v>
      </c>
      <c r="H14" s="27"/>
      <c r="I14" s="27"/>
      <c r="J14" s="61" t="s">
        <v>20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16</v>
      </c>
      <c r="D15" s="21" t="s">
        <v>4</v>
      </c>
      <c r="E15" s="21" t="s">
        <v>5</v>
      </c>
      <c r="F15" s="22" t="s">
        <v>3</v>
      </c>
      <c r="G15" s="21" t="s">
        <v>16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62" t="s">
        <v>26</v>
      </c>
      <c r="C16" s="16"/>
      <c r="D16" s="19"/>
      <c r="E16" s="18"/>
      <c r="F16" s="17"/>
      <c r="G16" s="16"/>
      <c r="H16" s="19"/>
      <c r="I16" s="18"/>
      <c r="J16" s="17"/>
      <c r="K16" s="16"/>
      <c r="L16" s="15"/>
      <c r="M16" s="14"/>
      <c r="O16" s="53"/>
    </row>
    <row r="17" spans="1:15" x14ac:dyDescent="0.2">
      <c r="A17" s="20"/>
      <c r="B17" s="55" t="s">
        <v>21</v>
      </c>
      <c r="C17" s="16">
        <v>2</v>
      </c>
      <c r="D17" s="19" t="s">
        <v>19</v>
      </c>
      <c r="E17" s="18">
        <v>80</v>
      </c>
      <c r="F17" s="17">
        <f t="shared" ref="F17:F22" si="0">C17*E17</f>
        <v>160</v>
      </c>
      <c r="G17" s="16"/>
      <c r="H17" s="19"/>
      <c r="I17" s="18"/>
      <c r="J17" s="17"/>
      <c r="K17" s="16"/>
      <c r="L17" s="15"/>
      <c r="M17" s="14"/>
      <c r="O17" s="53"/>
    </row>
    <row r="18" spans="1:15" x14ac:dyDescent="0.2">
      <c r="A18" s="20"/>
      <c r="B18" s="55" t="s">
        <v>24</v>
      </c>
      <c r="C18" s="16">
        <v>2</v>
      </c>
      <c r="D18" s="19" t="s">
        <v>19</v>
      </c>
      <c r="E18" s="18">
        <v>80</v>
      </c>
      <c r="F18" s="17">
        <f t="shared" si="0"/>
        <v>160</v>
      </c>
      <c r="G18" s="16"/>
      <c r="H18" s="19"/>
      <c r="I18" s="18"/>
      <c r="J18" s="17"/>
      <c r="K18" s="16" t="s">
        <v>25</v>
      </c>
      <c r="L18" s="15">
        <v>350</v>
      </c>
      <c r="M18" s="14"/>
      <c r="O18" s="53"/>
    </row>
    <row r="19" spans="1:15" x14ac:dyDescent="0.2">
      <c r="A19" s="20"/>
      <c r="B19" s="55" t="s">
        <v>30</v>
      </c>
      <c r="C19" s="16">
        <v>8</v>
      </c>
      <c r="D19" s="19" t="s">
        <v>19</v>
      </c>
      <c r="E19" s="18">
        <v>60.5</v>
      </c>
      <c r="F19" s="17">
        <f t="shared" si="0"/>
        <v>484</v>
      </c>
      <c r="G19" s="16">
        <v>1</v>
      </c>
      <c r="H19" s="19" t="s">
        <v>25</v>
      </c>
      <c r="I19" s="18">
        <v>429</v>
      </c>
      <c r="J19" s="17">
        <f>G19*I19</f>
        <v>429</v>
      </c>
      <c r="K19" s="16"/>
      <c r="L19" s="15"/>
      <c r="M19" s="14"/>
      <c r="O19" s="53"/>
    </row>
    <row r="20" spans="1:15" x14ac:dyDescent="0.2">
      <c r="A20" s="20"/>
      <c r="B20" s="55" t="s">
        <v>31</v>
      </c>
      <c r="C20" s="16">
        <v>8</v>
      </c>
      <c r="D20" s="19" t="s">
        <v>19</v>
      </c>
      <c r="E20" s="18">
        <v>60.5</v>
      </c>
      <c r="F20" s="17">
        <f t="shared" ref="F20" si="1">C20*E20</f>
        <v>484</v>
      </c>
      <c r="G20" s="16">
        <v>1</v>
      </c>
      <c r="H20" s="19" t="s">
        <v>25</v>
      </c>
      <c r="I20" s="18">
        <v>501</v>
      </c>
      <c r="J20" s="17">
        <f>G20*I20</f>
        <v>501</v>
      </c>
      <c r="K20" s="16"/>
      <c r="L20" s="15"/>
      <c r="M20" s="14"/>
      <c r="O20" s="53"/>
    </row>
    <row r="21" spans="1:15" ht="13.5" customHeight="1" x14ac:dyDescent="0.2">
      <c r="A21" s="20"/>
      <c r="B21" s="55" t="s">
        <v>22</v>
      </c>
      <c r="C21" s="16">
        <v>4</v>
      </c>
      <c r="D21" s="19" t="s">
        <v>19</v>
      </c>
      <c r="E21" s="18">
        <v>80</v>
      </c>
      <c r="F21" s="17">
        <f t="shared" ref="F21" si="2">C21*E21</f>
        <v>320</v>
      </c>
      <c r="G21" s="16"/>
      <c r="H21" s="19"/>
      <c r="I21" s="18"/>
      <c r="J21" s="17"/>
      <c r="K21" s="16"/>
      <c r="L21" s="15"/>
      <c r="M21" s="14"/>
      <c r="O21" s="54"/>
    </row>
    <row r="22" spans="1:15" ht="13.5" customHeight="1" x14ac:dyDescent="0.2">
      <c r="A22" s="20"/>
      <c r="B22" s="55" t="s">
        <v>23</v>
      </c>
      <c r="C22" s="16">
        <v>1</v>
      </c>
      <c r="D22" s="19" t="s">
        <v>19</v>
      </c>
      <c r="E22" s="18">
        <v>80</v>
      </c>
      <c r="F22" s="17">
        <f t="shared" si="0"/>
        <v>80</v>
      </c>
      <c r="G22" s="16"/>
      <c r="H22" s="19"/>
      <c r="I22" s="18"/>
      <c r="J22" s="17"/>
      <c r="K22" s="16"/>
      <c r="L22" s="15"/>
      <c r="M22" s="14"/>
      <c r="O22" s="54"/>
    </row>
    <row r="23" spans="1:15" x14ac:dyDescent="0.2">
      <c r="B23" s="5" t="s">
        <v>2</v>
      </c>
      <c r="D23" s="1"/>
      <c r="F23" s="14">
        <f>SUM(F16:F22)</f>
        <v>1688</v>
      </c>
      <c r="G23" s="14"/>
      <c r="H23" s="14"/>
      <c r="I23" s="14"/>
      <c r="J23" s="14">
        <f>SUM(J16:J22)</f>
        <v>930</v>
      </c>
      <c r="K23" s="14"/>
      <c r="L23" s="14">
        <f>SUM(L16:L22)</f>
        <v>350</v>
      </c>
    </row>
    <row r="24" spans="1:15" x14ac:dyDescent="0.2">
      <c r="B24" s="12" t="s">
        <v>1</v>
      </c>
      <c r="D24" s="1"/>
      <c r="E24" s="13">
        <v>0.1</v>
      </c>
      <c r="F24" s="56">
        <f>+E24*F23</f>
        <v>168.8</v>
      </c>
      <c r="I24" s="13">
        <v>0.1</v>
      </c>
      <c r="J24" s="58">
        <f>+I24*J23</f>
        <v>93</v>
      </c>
      <c r="K24" s="13">
        <v>0.1</v>
      </c>
      <c r="L24" s="11">
        <f>+K24*L23</f>
        <v>35</v>
      </c>
    </row>
    <row r="25" spans="1:15" x14ac:dyDescent="0.2">
      <c r="B25" s="10" t="s">
        <v>15</v>
      </c>
      <c r="D25" s="1"/>
      <c r="F25" s="57">
        <f>F23+F24</f>
        <v>1856.8</v>
      </c>
      <c r="G25" s="9"/>
      <c r="H25" s="9"/>
      <c r="I25" s="9"/>
      <c r="J25" s="59">
        <f>J23+J24</f>
        <v>1023</v>
      </c>
      <c r="K25" s="9"/>
      <c r="L25" s="8">
        <f>L23+L24</f>
        <v>385</v>
      </c>
    </row>
    <row r="26" spans="1:15" ht="13.5" thickBot="1" x14ac:dyDescent="0.25">
      <c r="B26" s="5"/>
      <c r="D26" s="1"/>
      <c r="F26" s="3"/>
      <c r="G26" s="4"/>
      <c r="H26" s="4"/>
      <c r="I26" s="7"/>
      <c r="J26" s="3"/>
      <c r="K26" s="6"/>
      <c r="L26" s="3"/>
    </row>
    <row r="27" spans="1:15" x14ac:dyDescent="0.2">
      <c r="B27" s="2" t="s">
        <v>0</v>
      </c>
      <c r="D27" s="1"/>
    </row>
    <row r="28" spans="1:15" ht="13.5" thickBot="1" x14ac:dyDescent="0.25">
      <c r="B28" s="60">
        <f>F25+J25+L25</f>
        <v>3264.8</v>
      </c>
      <c r="D28" s="1"/>
    </row>
    <row r="31" spans="1:15" x14ac:dyDescent="0.2">
      <c r="A31" s="30"/>
      <c r="B31" s="29"/>
      <c r="C31" s="67" t="s">
        <v>10</v>
      </c>
      <c r="D31" s="67"/>
      <c r="E31" s="67"/>
      <c r="F31" s="67"/>
      <c r="G31" s="28" t="s">
        <v>9</v>
      </c>
      <c r="H31" s="27"/>
      <c r="I31" s="27"/>
      <c r="J31" s="61" t="s">
        <v>20</v>
      </c>
      <c r="K31" s="26" t="s">
        <v>8</v>
      </c>
      <c r="L31" s="25"/>
    </row>
    <row r="32" spans="1:15" x14ac:dyDescent="0.2">
      <c r="A32" s="24" t="s">
        <v>7</v>
      </c>
      <c r="B32" s="23" t="s">
        <v>6</v>
      </c>
      <c r="C32" s="21" t="s">
        <v>16</v>
      </c>
      <c r="D32" s="21" t="s">
        <v>4</v>
      </c>
      <c r="E32" s="21" t="s">
        <v>5</v>
      </c>
      <c r="F32" s="22" t="s">
        <v>3</v>
      </c>
      <c r="G32" s="21" t="s">
        <v>16</v>
      </c>
      <c r="H32" s="21" t="s">
        <v>4</v>
      </c>
      <c r="I32" s="21" t="s">
        <v>5</v>
      </c>
      <c r="J32" s="22" t="s">
        <v>3</v>
      </c>
      <c r="K32" s="21" t="s">
        <v>4</v>
      </c>
      <c r="L32" s="21" t="s">
        <v>3</v>
      </c>
    </row>
    <row r="33" spans="1:15" x14ac:dyDescent="0.2">
      <c r="A33" s="20"/>
      <c r="B33" s="62" t="s">
        <v>49</v>
      </c>
      <c r="C33" s="16"/>
      <c r="D33" s="19"/>
      <c r="E33" s="18"/>
      <c r="F33" s="17"/>
      <c r="G33" s="16"/>
      <c r="H33" s="19"/>
      <c r="I33" s="18"/>
      <c r="J33" s="17"/>
      <c r="K33" s="16"/>
      <c r="L33" s="15"/>
      <c r="M33" s="14"/>
      <c r="O33" s="53"/>
    </row>
    <row r="34" spans="1:15" x14ac:dyDescent="0.2">
      <c r="A34" s="20"/>
      <c r="B34" s="55" t="s">
        <v>21</v>
      </c>
      <c r="C34" s="16">
        <v>1</v>
      </c>
      <c r="D34" s="19" t="s">
        <v>19</v>
      </c>
      <c r="E34" s="18">
        <v>80</v>
      </c>
      <c r="F34" s="17">
        <f t="shared" ref="F34:F37" si="3">C34*E34</f>
        <v>80</v>
      </c>
      <c r="G34" s="16"/>
      <c r="H34" s="19"/>
      <c r="I34" s="18"/>
      <c r="J34" s="17"/>
      <c r="K34" s="16"/>
      <c r="L34" s="15"/>
      <c r="M34" s="14"/>
      <c r="O34" s="53"/>
    </row>
    <row r="35" spans="1:15" x14ac:dyDescent="0.2">
      <c r="A35" s="20"/>
      <c r="B35" s="55" t="s">
        <v>29</v>
      </c>
      <c r="C35" s="16">
        <v>4</v>
      </c>
      <c r="D35" s="19" t="s">
        <v>19</v>
      </c>
      <c r="E35" s="18">
        <v>60.5</v>
      </c>
      <c r="F35" s="17">
        <f t="shared" si="3"/>
        <v>242</v>
      </c>
      <c r="G35" s="16">
        <v>1</v>
      </c>
      <c r="H35" s="19" t="s">
        <v>25</v>
      </c>
      <c r="I35" s="18">
        <v>100</v>
      </c>
      <c r="J35" s="17">
        <f>G35*I35</f>
        <v>100</v>
      </c>
      <c r="K35" s="16"/>
      <c r="L35" s="15"/>
      <c r="M35" s="14"/>
      <c r="O35" s="53"/>
    </row>
    <row r="36" spans="1:15" ht="13.5" customHeight="1" x14ac:dyDescent="0.2">
      <c r="A36" s="20"/>
      <c r="B36" s="55" t="s">
        <v>22</v>
      </c>
      <c r="C36" s="16">
        <v>1</v>
      </c>
      <c r="D36" s="19" t="s">
        <v>19</v>
      </c>
      <c r="E36" s="18">
        <v>80</v>
      </c>
      <c r="F36" s="17">
        <f t="shared" si="3"/>
        <v>80</v>
      </c>
      <c r="G36" s="16"/>
      <c r="H36" s="19"/>
      <c r="I36" s="18"/>
      <c r="J36" s="17"/>
      <c r="K36" s="16"/>
      <c r="L36" s="15"/>
      <c r="M36" s="14"/>
      <c r="O36" s="54"/>
    </row>
    <row r="37" spans="1:15" ht="13.5" customHeight="1" x14ac:dyDescent="0.2">
      <c r="A37" s="20"/>
      <c r="B37" s="55" t="s">
        <v>23</v>
      </c>
      <c r="C37" s="16">
        <v>1</v>
      </c>
      <c r="D37" s="19" t="s">
        <v>19</v>
      </c>
      <c r="E37" s="18">
        <v>80</v>
      </c>
      <c r="F37" s="17">
        <f t="shared" si="3"/>
        <v>80</v>
      </c>
      <c r="G37" s="16"/>
      <c r="H37" s="19"/>
      <c r="I37" s="18"/>
      <c r="J37" s="17"/>
      <c r="K37" s="16"/>
      <c r="L37" s="15"/>
      <c r="M37" s="14"/>
      <c r="O37" s="54"/>
    </row>
    <row r="38" spans="1:15" x14ac:dyDescent="0.2">
      <c r="B38" s="5" t="s">
        <v>2</v>
      </c>
      <c r="D38" s="1"/>
      <c r="F38" s="14">
        <f>SUM(F33:F37)</f>
        <v>482</v>
      </c>
      <c r="G38" s="14"/>
      <c r="H38" s="14"/>
      <c r="I38" s="14"/>
      <c r="J38" s="14">
        <f>SUM(J33:J37)</f>
        <v>100</v>
      </c>
      <c r="K38" s="14"/>
      <c r="L38" s="14">
        <f>SUM(L33:L37)</f>
        <v>0</v>
      </c>
    </row>
    <row r="39" spans="1:15" x14ac:dyDescent="0.2">
      <c r="B39" s="12" t="s">
        <v>1</v>
      </c>
      <c r="D39" s="1"/>
      <c r="E39" s="13">
        <v>0.1</v>
      </c>
      <c r="F39" s="56">
        <f>+E39*F38</f>
        <v>48.2</v>
      </c>
      <c r="I39" s="13">
        <v>0.1</v>
      </c>
      <c r="J39" s="58">
        <f>+I39*J38</f>
        <v>10</v>
      </c>
      <c r="K39" s="13">
        <v>0.1</v>
      </c>
      <c r="L39" s="11">
        <f>+K39*L38</f>
        <v>0</v>
      </c>
    </row>
    <row r="40" spans="1:15" x14ac:dyDescent="0.2">
      <c r="B40" s="10" t="s">
        <v>15</v>
      </c>
      <c r="D40" s="1"/>
      <c r="F40" s="57">
        <f>F38+F39</f>
        <v>530.20000000000005</v>
      </c>
      <c r="G40" s="9"/>
      <c r="H40" s="9"/>
      <c r="I40" s="9"/>
      <c r="J40" s="59">
        <f>J38+J39</f>
        <v>110</v>
      </c>
      <c r="K40" s="9"/>
      <c r="L40" s="8">
        <f>L38+L39</f>
        <v>0</v>
      </c>
    </row>
    <row r="41" spans="1:15" ht="13.5" thickBot="1" x14ac:dyDescent="0.25">
      <c r="B41" s="5"/>
      <c r="D41" s="1"/>
      <c r="F41" s="3"/>
      <c r="G41" s="4"/>
      <c r="H41" s="4"/>
      <c r="I41" s="7"/>
      <c r="J41" s="3"/>
      <c r="K41" s="6"/>
      <c r="L41" s="3"/>
    </row>
    <row r="42" spans="1:15" x14ac:dyDescent="0.2">
      <c r="B42" s="2" t="s">
        <v>0</v>
      </c>
      <c r="D42" s="1"/>
    </row>
    <row r="43" spans="1:15" ht="13.5" thickBot="1" x14ac:dyDescent="0.25">
      <c r="B43" s="60">
        <f>F40+J40+L40</f>
        <v>640.20000000000005</v>
      </c>
      <c r="D43" s="1"/>
    </row>
    <row r="46" spans="1:15" x14ac:dyDescent="0.2">
      <c r="A46" s="30"/>
      <c r="B46" s="29"/>
      <c r="C46" s="67" t="s">
        <v>10</v>
      </c>
      <c r="D46" s="67"/>
      <c r="E46" s="67"/>
      <c r="F46" s="67"/>
      <c r="G46" s="28" t="s">
        <v>9</v>
      </c>
      <c r="H46" s="27"/>
      <c r="I46" s="27"/>
      <c r="J46" s="61" t="s">
        <v>20</v>
      </c>
      <c r="K46" s="26" t="s">
        <v>8</v>
      </c>
      <c r="L46" s="25"/>
    </row>
    <row r="47" spans="1:15" x14ac:dyDescent="0.2">
      <c r="A47" s="24" t="s">
        <v>7</v>
      </c>
      <c r="B47" s="23" t="s">
        <v>6</v>
      </c>
      <c r="C47" s="21" t="s">
        <v>16</v>
      </c>
      <c r="D47" s="21" t="s">
        <v>4</v>
      </c>
      <c r="E47" s="21" t="s">
        <v>5</v>
      </c>
      <c r="F47" s="22" t="s">
        <v>3</v>
      </c>
      <c r="G47" s="21" t="s">
        <v>16</v>
      </c>
      <c r="H47" s="21" t="s">
        <v>4</v>
      </c>
      <c r="I47" s="21" t="s">
        <v>5</v>
      </c>
      <c r="J47" s="22" t="s">
        <v>3</v>
      </c>
      <c r="K47" s="21" t="s">
        <v>4</v>
      </c>
      <c r="L47" s="21" t="s">
        <v>3</v>
      </c>
    </row>
    <row r="48" spans="1:15" x14ac:dyDescent="0.2">
      <c r="A48" s="20"/>
      <c r="B48" s="62" t="s">
        <v>43</v>
      </c>
      <c r="C48" s="16"/>
      <c r="D48" s="19"/>
      <c r="E48" s="18"/>
      <c r="F48" s="17"/>
      <c r="G48" s="16"/>
      <c r="H48" s="19"/>
      <c r="I48" s="18"/>
      <c r="J48" s="17"/>
      <c r="K48" s="16"/>
      <c r="L48" s="15"/>
      <c r="M48" s="14"/>
      <c r="O48" s="53"/>
    </row>
    <row r="49" spans="1:15" x14ac:dyDescent="0.2">
      <c r="A49" s="20"/>
      <c r="B49" s="55" t="s">
        <v>40</v>
      </c>
      <c r="C49" s="63">
        <v>4</v>
      </c>
      <c r="D49" s="19" t="s">
        <v>19</v>
      </c>
      <c r="E49" s="64">
        <v>100</v>
      </c>
      <c r="F49" s="17">
        <f>E49*C49</f>
        <v>400</v>
      </c>
      <c r="G49" s="16"/>
      <c r="H49" s="19"/>
      <c r="I49" s="18"/>
      <c r="J49" s="17"/>
      <c r="K49" s="16"/>
      <c r="L49" s="15"/>
      <c r="M49" s="14"/>
      <c r="N49" s="65"/>
      <c r="O49" s="54"/>
    </row>
    <row r="50" spans="1:15" x14ac:dyDescent="0.2">
      <c r="A50" s="20"/>
      <c r="B50" s="55" t="s">
        <v>41</v>
      </c>
      <c r="C50" s="66"/>
      <c r="D50" s="19"/>
      <c r="E50" s="64"/>
      <c r="F50" s="17"/>
      <c r="G50" s="16"/>
      <c r="H50" s="19"/>
      <c r="I50" s="18"/>
      <c r="J50" s="17"/>
      <c r="K50" s="16" t="s">
        <v>25</v>
      </c>
      <c r="L50" s="15">
        <v>380</v>
      </c>
      <c r="M50" s="14"/>
      <c r="N50" s="65"/>
      <c r="O50" s="54"/>
    </row>
    <row r="51" spans="1:15" x14ac:dyDescent="0.2">
      <c r="A51" s="20"/>
      <c r="B51" s="55" t="s">
        <v>32</v>
      </c>
      <c r="C51" s="16">
        <v>8</v>
      </c>
      <c r="D51" s="19" t="s">
        <v>19</v>
      </c>
      <c r="E51" s="18">
        <v>80</v>
      </c>
      <c r="F51" s="17">
        <f t="shared" ref="F51:F61" si="4">C51*E51</f>
        <v>640</v>
      </c>
      <c r="G51" s="16"/>
      <c r="H51" s="19"/>
      <c r="I51" s="18"/>
      <c r="J51" s="17"/>
      <c r="K51" s="16"/>
      <c r="L51" s="15"/>
      <c r="M51" s="14"/>
      <c r="O51" s="53"/>
    </row>
    <row r="52" spans="1:15" x14ac:dyDescent="0.2">
      <c r="A52" s="20"/>
      <c r="B52" s="55" t="s">
        <v>27</v>
      </c>
      <c r="C52" s="16">
        <v>23</v>
      </c>
      <c r="D52" s="19" t="s">
        <v>19</v>
      </c>
      <c r="E52" s="18">
        <v>60.5</v>
      </c>
      <c r="F52" s="17">
        <f t="shared" si="4"/>
        <v>1391.5</v>
      </c>
      <c r="G52" s="16">
        <f>82+35</f>
        <v>117</v>
      </c>
      <c r="H52" s="19" t="s">
        <v>17</v>
      </c>
      <c r="I52" s="18">
        <v>2.79</v>
      </c>
      <c r="J52" s="17">
        <f>G52*I52</f>
        <v>326.43</v>
      </c>
      <c r="K52" s="16"/>
      <c r="L52" s="15"/>
      <c r="M52" s="14"/>
      <c r="O52" s="53"/>
    </row>
    <row r="53" spans="1:15" x14ac:dyDescent="0.2">
      <c r="A53" s="20"/>
      <c r="B53" s="55" t="s">
        <v>35</v>
      </c>
      <c r="C53" s="16">
        <v>23</v>
      </c>
      <c r="D53" s="19" t="s">
        <v>19</v>
      </c>
      <c r="E53" s="18">
        <v>60.5</v>
      </c>
      <c r="F53" s="17">
        <f t="shared" si="4"/>
        <v>1391.5</v>
      </c>
      <c r="G53" s="16">
        <v>156</v>
      </c>
      <c r="H53" s="19" t="s">
        <v>17</v>
      </c>
      <c r="I53" s="18">
        <v>2.06</v>
      </c>
      <c r="J53" s="17">
        <f>G53*I53</f>
        <v>321.36</v>
      </c>
      <c r="K53" s="16"/>
      <c r="L53" s="15"/>
      <c r="M53" s="14"/>
      <c r="O53" s="53"/>
    </row>
    <row r="54" spans="1:15" x14ac:dyDescent="0.2">
      <c r="A54" s="20"/>
      <c r="B54" s="55" t="s">
        <v>36</v>
      </c>
      <c r="C54" s="16">
        <v>3</v>
      </c>
      <c r="D54" s="19" t="s">
        <v>19</v>
      </c>
      <c r="E54" s="18">
        <v>60.5</v>
      </c>
      <c r="F54" s="17">
        <f t="shared" ref="F54" si="5">C54*E54</f>
        <v>181.5</v>
      </c>
      <c r="G54" s="16">
        <v>23</v>
      </c>
      <c r="H54" s="19" t="s">
        <v>17</v>
      </c>
      <c r="I54" s="18">
        <v>1.29</v>
      </c>
      <c r="J54" s="17">
        <f>G54*I54</f>
        <v>29.67</v>
      </c>
      <c r="K54" s="16"/>
      <c r="L54" s="15"/>
      <c r="M54" s="14"/>
      <c r="O54" s="53"/>
    </row>
    <row r="55" spans="1:15" x14ac:dyDescent="0.2">
      <c r="A55" s="20"/>
      <c r="B55" s="55" t="s">
        <v>37</v>
      </c>
      <c r="C55" s="16">
        <v>6</v>
      </c>
      <c r="D55" s="19" t="s">
        <v>19</v>
      </c>
      <c r="E55" s="18">
        <v>60.5</v>
      </c>
      <c r="F55" s="17">
        <f t="shared" ref="F55" si="6">C55*E55</f>
        <v>363</v>
      </c>
      <c r="G55" s="16">
        <v>46</v>
      </c>
      <c r="H55" s="19" t="s">
        <v>17</v>
      </c>
      <c r="I55" s="18">
        <v>0.85</v>
      </c>
      <c r="J55" s="17">
        <f>G55*I55</f>
        <v>39.1</v>
      </c>
      <c r="K55" s="16"/>
      <c r="L55" s="15"/>
      <c r="M55" s="14"/>
      <c r="O55" s="53"/>
    </row>
    <row r="56" spans="1:15" x14ac:dyDescent="0.2">
      <c r="A56" s="20"/>
      <c r="B56" s="55" t="s">
        <v>28</v>
      </c>
      <c r="C56" s="16"/>
      <c r="D56" s="19"/>
      <c r="E56" s="18"/>
      <c r="F56" s="17"/>
      <c r="G56" s="16">
        <v>1</v>
      </c>
      <c r="H56" s="19" t="s">
        <v>25</v>
      </c>
      <c r="I56" s="18">
        <v>395</v>
      </c>
      <c r="J56" s="17">
        <f>G56*I56</f>
        <v>395</v>
      </c>
      <c r="K56" s="16"/>
      <c r="L56" s="15"/>
      <c r="M56" s="14"/>
      <c r="O56" s="53"/>
    </row>
    <row r="57" spans="1:15" ht="13.5" customHeight="1" x14ac:dyDescent="0.2">
      <c r="A57" s="20"/>
      <c r="B57" s="55" t="s">
        <v>22</v>
      </c>
      <c r="C57" s="16">
        <v>4</v>
      </c>
      <c r="D57" s="19" t="s">
        <v>19</v>
      </c>
      <c r="E57" s="18">
        <v>80</v>
      </c>
      <c r="F57" s="17">
        <f t="shared" si="4"/>
        <v>320</v>
      </c>
      <c r="G57" s="16"/>
      <c r="H57" s="19"/>
      <c r="I57" s="18"/>
      <c r="J57" s="17"/>
      <c r="K57" s="16"/>
      <c r="L57" s="15"/>
      <c r="M57" s="14"/>
      <c r="O57" s="54"/>
    </row>
    <row r="58" spans="1:15" ht="13.5" customHeight="1" x14ac:dyDescent="0.2">
      <c r="A58" s="20"/>
      <c r="B58" s="55" t="s">
        <v>34</v>
      </c>
      <c r="C58" s="16">
        <v>6</v>
      </c>
      <c r="D58" s="19" t="s">
        <v>19</v>
      </c>
      <c r="E58" s="18">
        <v>60.5</v>
      </c>
      <c r="F58" s="17">
        <f t="shared" si="4"/>
        <v>363</v>
      </c>
      <c r="G58" s="16">
        <v>6</v>
      </c>
      <c r="H58" s="19" t="s">
        <v>39</v>
      </c>
      <c r="I58" s="18">
        <v>22.5</v>
      </c>
      <c r="J58" s="17">
        <f t="shared" ref="J58:J59" si="7">G58*I58</f>
        <v>135</v>
      </c>
      <c r="K58" s="16"/>
      <c r="L58" s="15"/>
      <c r="M58" s="14"/>
      <c r="O58" s="54"/>
    </row>
    <row r="59" spans="1:15" ht="13.5" customHeight="1" x14ac:dyDescent="0.2">
      <c r="A59" s="20"/>
      <c r="B59" s="55" t="s">
        <v>33</v>
      </c>
      <c r="C59" s="16">
        <v>0.5</v>
      </c>
      <c r="D59" s="19" t="s">
        <v>19</v>
      </c>
      <c r="E59" s="18">
        <v>60.5</v>
      </c>
      <c r="F59" s="17">
        <f t="shared" si="4"/>
        <v>30.25</v>
      </c>
      <c r="G59" s="16">
        <v>1</v>
      </c>
      <c r="H59" s="19" t="s">
        <v>39</v>
      </c>
      <c r="I59" s="18">
        <v>15</v>
      </c>
      <c r="J59" s="17">
        <f t="shared" si="7"/>
        <v>15</v>
      </c>
      <c r="K59" s="16"/>
      <c r="L59" s="15"/>
      <c r="M59" s="14"/>
      <c r="O59" s="54"/>
    </row>
    <row r="60" spans="1:15" ht="13.5" customHeight="1" x14ac:dyDescent="0.2">
      <c r="A60" s="20"/>
      <c r="B60" s="55" t="s">
        <v>38</v>
      </c>
      <c r="C60" s="16"/>
      <c r="D60" s="19"/>
      <c r="E60" s="18"/>
      <c r="F60" s="17"/>
      <c r="G60" s="16"/>
      <c r="H60" s="19"/>
      <c r="I60" s="18"/>
      <c r="J60" s="17"/>
      <c r="K60" s="16" t="s">
        <v>25</v>
      </c>
      <c r="L60" s="15">
        <v>350</v>
      </c>
      <c r="M60" s="14"/>
      <c r="O60" s="54"/>
    </row>
    <row r="61" spans="1:15" ht="13.5" customHeight="1" x14ac:dyDescent="0.2">
      <c r="A61" s="20"/>
      <c r="B61" s="55" t="s">
        <v>23</v>
      </c>
      <c r="C61" s="16">
        <v>3</v>
      </c>
      <c r="D61" s="19" t="s">
        <v>19</v>
      </c>
      <c r="E61" s="18">
        <v>80</v>
      </c>
      <c r="F61" s="17">
        <f t="shared" si="4"/>
        <v>240</v>
      </c>
      <c r="G61" s="16"/>
      <c r="H61" s="19"/>
      <c r="I61" s="18"/>
      <c r="J61" s="17"/>
      <c r="K61" s="16"/>
      <c r="L61" s="15"/>
      <c r="M61" s="14"/>
      <c r="O61" s="54"/>
    </row>
    <row r="62" spans="1:15" x14ac:dyDescent="0.2">
      <c r="B62" s="5" t="s">
        <v>2</v>
      </c>
      <c r="D62" s="1"/>
      <c r="F62" s="14">
        <f>SUM(F48:F61)</f>
        <v>5320.75</v>
      </c>
      <c r="G62" s="14"/>
      <c r="H62" s="14"/>
      <c r="I62" s="14"/>
      <c r="J62" s="14">
        <f>SUM(J48:J61)</f>
        <v>1261.56</v>
      </c>
      <c r="K62" s="14"/>
      <c r="L62" s="14">
        <f>SUM(L48:L61)</f>
        <v>730</v>
      </c>
    </row>
    <row r="63" spans="1:15" x14ac:dyDescent="0.2">
      <c r="B63" s="12" t="s">
        <v>1</v>
      </c>
      <c r="D63" s="1"/>
      <c r="E63" s="13">
        <v>0.1</v>
      </c>
      <c r="F63" s="56">
        <f>+E63*F62</f>
        <v>532.07500000000005</v>
      </c>
      <c r="I63" s="13">
        <v>0.1</v>
      </c>
      <c r="J63" s="58">
        <f>+I63*J62</f>
        <v>126.15600000000001</v>
      </c>
      <c r="K63" s="13">
        <v>0.1</v>
      </c>
      <c r="L63" s="11">
        <f>+K63*L62</f>
        <v>73</v>
      </c>
    </row>
    <row r="64" spans="1:15" x14ac:dyDescent="0.2">
      <c r="B64" s="10" t="s">
        <v>15</v>
      </c>
      <c r="D64" s="1"/>
      <c r="F64" s="57">
        <f>F62+F63</f>
        <v>5852.8249999999998</v>
      </c>
      <c r="G64" s="9"/>
      <c r="H64" s="9"/>
      <c r="I64" s="9"/>
      <c r="J64" s="59">
        <f>J62+J63</f>
        <v>1387.7159999999999</v>
      </c>
      <c r="K64" s="9"/>
      <c r="L64" s="8">
        <f>L62+L63</f>
        <v>803</v>
      </c>
    </row>
    <row r="65" spans="1:15" ht="13.5" thickBot="1" x14ac:dyDescent="0.25">
      <c r="B65" s="5"/>
      <c r="D65" s="1"/>
      <c r="F65" s="3"/>
      <c r="G65" s="4"/>
      <c r="H65" s="4"/>
      <c r="I65" s="7"/>
      <c r="J65" s="3"/>
      <c r="K65" s="6"/>
      <c r="L65" s="3"/>
    </row>
    <row r="66" spans="1:15" x14ac:dyDescent="0.2">
      <c r="B66" s="2" t="s">
        <v>0</v>
      </c>
      <c r="D66" s="1"/>
    </row>
    <row r="67" spans="1:15" ht="13.5" thickBot="1" x14ac:dyDescent="0.25">
      <c r="B67" s="60">
        <f>F64+J64+L64</f>
        <v>8043.5409999999993</v>
      </c>
      <c r="D67" s="1"/>
    </row>
    <row r="68" spans="1:15" x14ac:dyDescent="0.2">
      <c r="B68" t="s">
        <v>42</v>
      </c>
    </row>
    <row r="71" spans="1:15" x14ac:dyDescent="0.2">
      <c r="A71" s="30"/>
      <c r="B71" s="29"/>
      <c r="C71" s="67" t="s">
        <v>10</v>
      </c>
      <c r="D71" s="67"/>
      <c r="E71" s="67"/>
      <c r="F71" s="67"/>
      <c r="G71" s="28" t="s">
        <v>9</v>
      </c>
      <c r="H71" s="27"/>
      <c r="I71" s="27"/>
      <c r="J71" s="61" t="s">
        <v>20</v>
      </c>
      <c r="K71" s="26" t="s">
        <v>8</v>
      </c>
      <c r="L71" s="25"/>
    </row>
    <row r="72" spans="1:15" x14ac:dyDescent="0.2">
      <c r="A72" s="24" t="s">
        <v>7</v>
      </c>
      <c r="B72" s="23" t="s">
        <v>6</v>
      </c>
      <c r="C72" s="21" t="s">
        <v>16</v>
      </c>
      <c r="D72" s="21" t="s">
        <v>4</v>
      </c>
      <c r="E72" s="21" t="s">
        <v>5</v>
      </c>
      <c r="F72" s="22" t="s">
        <v>3</v>
      </c>
      <c r="G72" s="21" t="s">
        <v>16</v>
      </c>
      <c r="H72" s="21" t="s">
        <v>4</v>
      </c>
      <c r="I72" s="21" t="s">
        <v>5</v>
      </c>
      <c r="J72" s="22" t="s">
        <v>3</v>
      </c>
      <c r="K72" s="21" t="s">
        <v>4</v>
      </c>
      <c r="L72" s="21" t="s">
        <v>3</v>
      </c>
    </row>
    <row r="73" spans="1:15" x14ac:dyDescent="0.2">
      <c r="A73" s="20"/>
      <c r="B73" s="62" t="s">
        <v>45</v>
      </c>
      <c r="C73" s="16"/>
      <c r="D73" s="19"/>
      <c r="E73" s="18"/>
      <c r="F73" s="17"/>
      <c r="G73" s="16"/>
      <c r="H73" s="19"/>
      <c r="I73" s="18"/>
      <c r="J73" s="17"/>
      <c r="K73" s="16"/>
      <c r="L73" s="15"/>
      <c r="M73" s="14"/>
      <c r="O73" s="53"/>
    </row>
    <row r="74" spans="1:15" x14ac:dyDescent="0.2">
      <c r="A74" s="20"/>
      <c r="B74" s="55" t="s">
        <v>21</v>
      </c>
      <c r="C74" s="16">
        <v>3</v>
      </c>
      <c r="D74" s="19" t="s">
        <v>19</v>
      </c>
      <c r="E74" s="18">
        <v>80</v>
      </c>
      <c r="F74" s="17">
        <f t="shared" ref="F74:F79" si="8">C74*E74</f>
        <v>240</v>
      </c>
      <c r="G74" s="16"/>
      <c r="H74" s="19"/>
      <c r="I74" s="18"/>
      <c r="J74" s="17"/>
      <c r="K74" s="16"/>
      <c r="L74" s="15"/>
      <c r="M74" s="14"/>
      <c r="O74" s="53"/>
    </row>
    <row r="75" spans="1:15" x14ac:dyDescent="0.2">
      <c r="A75" s="20"/>
      <c r="B75" s="55" t="s">
        <v>24</v>
      </c>
      <c r="C75" s="16">
        <v>4</v>
      </c>
      <c r="D75" s="19" t="s">
        <v>19</v>
      </c>
      <c r="E75" s="18">
        <v>80</v>
      </c>
      <c r="F75" s="17">
        <f t="shared" si="8"/>
        <v>320</v>
      </c>
      <c r="G75" s="16"/>
      <c r="H75" s="19"/>
      <c r="I75" s="18"/>
      <c r="J75" s="17"/>
      <c r="K75" s="16" t="s">
        <v>25</v>
      </c>
      <c r="L75" s="15">
        <v>250</v>
      </c>
      <c r="M75" s="14"/>
      <c r="O75" s="53"/>
    </row>
    <row r="76" spans="1:15" x14ac:dyDescent="0.2">
      <c r="A76" s="20"/>
      <c r="B76" s="55" t="s">
        <v>46</v>
      </c>
      <c r="C76" s="16">
        <v>30</v>
      </c>
      <c r="D76" s="19" t="s">
        <v>19</v>
      </c>
      <c r="E76" s="18">
        <v>60.5</v>
      </c>
      <c r="F76" s="17">
        <f t="shared" si="8"/>
        <v>1815</v>
      </c>
      <c r="G76" s="16">
        <v>1</v>
      </c>
      <c r="H76" s="19" t="s">
        <v>25</v>
      </c>
      <c r="I76" s="18">
        <v>229</v>
      </c>
      <c r="J76" s="17">
        <f>G76*I76</f>
        <v>229</v>
      </c>
      <c r="K76" s="16"/>
      <c r="L76" s="15"/>
      <c r="M76" s="14"/>
      <c r="O76" s="53"/>
    </row>
    <row r="77" spans="1:15" x14ac:dyDescent="0.2">
      <c r="A77" s="20"/>
      <c r="B77" s="55" t="s">
        <v>47</v>
      </c>
      <c r="C77" s="16">
        <v>24</v>
      </c>
      <c r="D77" s="19" t="s">
        <v>19</v>
      </c>
      <c r="E77" s="18">
        <v>60.5</v>
      </c>
      <c r="F77" s="17">
        <f t="shared" si="8"/>
        <v>1452</v>
      </c>
      <c r="G77" s="16">
        <v>1</v>
      </c>
      <c r="H77" s="19" t="s">
        <v>25</v>
      </c>
      <c r="I77" s="18">
        <v>201</v>
      </c>
      <c r="J77" s="17">
        <f>G77*I77</f>
        <v>201</v>
      </c>
      <c r="K77" s="16"/>
      <c r="L77" s="15"/>
      <c r="M77" s="14"/>
      <c r="O77" s="53"/>
    </row>
    <row r="78" spans="1:15" ht="13.5" customHeight="1" x14ac:dyDescent="0.2">
      <c r="A78" s="20"/>
      <c r="B78" s="55" t="s">
        <v>22</v>
      </c>
      <c r="C78" s="16">
        <v>8</v>
      </c>
      <c r="D78" s="19" t="s">
        <v>19</v>
      </c>
      <c r="E78" s="18">
        <v>80</v>
      </c>
      <c r="F78" s="17">
        <f t="shared" si="8"/>
        <v>640</v>
      </c>
      <c r="G78" s="16"/>
      <c r="H78" s="19"/>
      <c r="I78" s="18"/>
      <c r="J78" s="17"/>
      <c r="K78" s="16"/>
      <c r="L78" s="15"/>
      <c r="M78" s="14"/>
      <c r="O78" s="54"/>
    </row>
    <row r="79" spans="1:15" ht="13.5" customHeight="1" x14ac:dyDescent="0.2">
      <c r="A79" s="20"/>
      <c r="B79" s="55" t="s">
        <v>23</v>
      </c>
      <c r="C79" s="16">
        <v>3</v>
      </c>
      <c r="D79" s="19" t="s">
        <v>19</v>
      </c>
      <c r="E79" s="18">
        <v>80</v>
      </c>
      <c r="F79" s="17">
        <f t="shared" si="8"/>
        <v>240</v>
      </c>
      <c r="G79" s="16"/>
      <c r="H79" s="19"/>
      <c r="I79" s="18"/>
      <c r="J79" s="17"/>
      <c r="K79" s="16"/>
      <c r="L79" s="15"/>
      <c r="M79" s="14"/>
      <c r="O79" s="54"/>
    </row>
    <row r="80" spans="1:15" x14ac:dyDescent="0.2">
      <c r="B80" s="5" t="s">
        <v>2</v>
      </c>
      <c r="D80" s="1"/>
      <c r="F80" s="14">
        <f>SUM(F73:F79)</f>
        <v>4707</v>
      </c>
      <c r="G80" s="14"/>
      <c r="H80" s="14"/>
      <c r="I80" s="14"/>
      <c r="J80" s="14">
        <f>SUM(J73:J79)</f>
        <v>430</v>
      </c>
      <c r="K80" s="14"/>
      <c r="L80" s="14">
        <f>SUM(L73:L79)</f>
        <v>250</v>
      </c>
    </row>
    <row r="81" spans="1:12" x14ac:dyDescent="0.2">
      <c r="B81" s="12" t="s">
        <v>1</v>
      </c>
      <c r="D81" s="1"/>
      <c r="E81" s="13">
        <v>0.1</v>
      </c>
      <c r="F81" s="56">
        <f>+E81*F80</f>
        <v>470.70000000000005</v>
      </c>
      <c r="I81" s="13">
        <v>0.1</v>
      </c>
      <c r="J81" s="58">
        <f>+I81*J80</f>
        <v>43</v>
      </c>
      <c r="K81" s="13">
        <v>0.1</v>
      </c>
      <c r="L81" s="11">
        <f>+K81*L80</f>
        <v>25</v>
      </c>
    </row>
    <row r="82" spans="1:12" x14ac:dyDescent="0.2">
      <c r="B82" s="10" t="s">
        <v>15</v>
      </c>
      <c r="D82" s="1"/>
      <c r="F82" s="57">
        <f>F80+F81</f>
        <v>5177.7</v>
      </c>
      <c r="G82" s="9"/>
      <c r="H82" s="9"/>
      <c r="I82" s="9"/>
      <c r="J82" s="59">
        <f>J80+J81</f>
        <v>473</v>
      </c>
      <c r="K82" s="9"/>
      <c r="L82" s="8">
        <f>L80+L81</f>
        <v>275</v>
      </c>
    </row>
    <row r="83" spans="1:12" ht="13.5" thickBot="1" x14ac:dyDescent="0.25">
      <c r="B83" s="5"/>
      <c r="D83" s="1"/>
      <c r="F83" s="3"/>
      <c r="G83" s="4"/>
      <c r="H83" s="4"/>
      <c r="I83" s="7"/>
      <c r="J83" s="3"/>
      <c r="K83" s="6"/>
      <c r="L83" s="3"/>
    </row>
    <row r="84" spans="1:12" x14ac:dyDescent="0.2">
      <c r="B84" s="2" t="s">
        <v>0</v>
      </c>
      <c r="D84" s="1"/>
    </row>
    <row r="85" spans="1:12" ht="13.5" thickBot="1" x14ac:dyDescent="0.25">
      <c r="B85" s="60">
        <f>F82+J82+L82</f>
        <v>5925.7</v>
      </c>
      <c r="D85" s="1"/>
    </row>
    <row r="88" spans="1:12" x14ac:dyDescent="0.2">
      <c r="A88" s="30"/>
      <c r="B88" s="29"/>
      <c r="C88" s="67" t="s">
        <v>10</v>
      </c>
      <c r="D88" s="67"/>
      <c r="E88" s="67"/>
      <c r="F88" s="67"/>
      <c r="G88" s="28" t="s">
        <v>9</v>
      </c>
      <c r="H88" s="27"/>
      <c r="I88" s="27"/>
      <c r="J88" s="61" t="s">
        <v>20</v>
      </c>
      <c r="K88" s="26" t="s">
        <v>8</v>
      </c>
      <c r="L88" s="25"/>
    </row>
    <row r="89" spans="1:12" x14ac:dyDescent="0.2">
      <c r="A89" s="24" t="s">
        <v>7</v>
      </c>
      <c r="B89" s="23" t="s">
        <v>6</v>
      </c>
      <c r="C89" s="21" t="s">
        <v>16</v>
      </c>
      <c r="D89" s="21" t="s">
        <v>4</v>
      </c>
      <c r="E89" s="21" t="s">
        <v>5</v>
      </c>
      <c r="F89" s="22" t="s">
        <v>3</v>
      </c>
      <c r="G89" s="21" t="s">
        <v>16</v>
      </c>
      <c r="H89" s="21" t="s">
        <v>4</v>
      </c>
      <c r="I89" s="21" t="s">
        <v>5</v>
      </c>
      <c r="J89" s="22" t="s">
        <v>3</v>
      </c>
      <c r="K89" s="21" t="s">
        <v>4</v>
      </c>
      <c r="L89" s="21" t="s">
        <v>3</v>
      </c>
    </row>
    <row r="90" spans="1:12" x14ac:dyDescent="0.2">
      <c r="A90" s="20"/>
      <c r="B90" s="62" t="s">
        <v>44</v>
      </c>
      <c r="C90" s="16"/>
      <c r="D90" s="19"/>
      <c r="E90" s="18"/>
      <c r="F90" s="17"/>
      <c r="G90" s="16"/>
      <c r="H90" s="19"/>
      <c r="I90" s="18"/>
      <c r="J90" s="17"/>
      <c r="K90" s="16"/>
      <c r="L90" s="15"/>
    </row>
    <row r="91" spans="1:12" x14ac:dyDescent="0.2">
      <c r="A91" s="20"/>
      <c r="B91" s="55" t="s">
        <v>40</v>
      </c>
      <c r="C91" s="63">
        <v>8</v>
      </c>
      <c r="D91" s="19" t="s">
        <v>19</v>
      </c>
      <c r="E91" s="64">
        <v>100</v>
      </c>
      <c r="F91" s="17">
        <f>E91*C91</f>
        <v>800</v>
      </c>
      <c r="G91" s="16"/>
      <c r="H91" s="19"/>
      <c r="I91" s="18"/>
      <c r="J91" s="17"/>
      <c r="K91" s="16"/>
      <c r="L91" s="15"/>
    </row>
    <row r="92" spans="1:12" x14ac:dyDescent="0.2">
      <c r="A92" s="20"/>
      <c r="B92" s="55" t="s">
        <v>41</v>
      </c>
      <c r="C92" s="66"/>
      <c r="D92" s="19"/>
      <c r="E92" s="64"/>
      <c r="F92" s="17"/>
      <c r="G92" s="16"/>
      <c r="H92" s="19"/>
      <c r="I92" s="18"/>
      <c r="J92" s="17"/>
      <c r="K92" s="16" t="s">
        <v>25</v>
      </c>
      <c r="L92" s="15">
        <v>680</v>
      </c>
    </row>
    <row r="93" spans="1:12" x14ac:dyDescent="0.2">
      <c r="A93" s="20"/>
      <c r="B93" s="55" t="s">
        <v>32</v>
      </c>
      <c r="C93" s="16">
        <v>24</v>
      </c>
      <c r="D93" s="19" t="s">
        <v>19</v>
      </c>
      <c r="E93" s="18">
        <v>80</v>
      </c>
      <c r="F93" s="17">
        <f t="shared" ref="F93:F94" si="9">C93*E93</f>
        <v>1920</v>
      </c>
      <c r="G93" s="16"/>
      <c r="H93" s="19"/>
      <c r="I93" s="18"/>
      <c r="J93" s="17"/>
      <c r="K93" s="16"/>
      <c r="L93" s="15"/>
    </row>
    <row r="94" spans="1:12" x14ac:dyDescent="0.2">
      <c r="A94" s="20"/>
      <c r="B94" s="55" t="s">
        <v>48</v>
      </c>
      <c r="C94" s="16">
        <v>225</v>
      </c>
      <c r="D94" s="19" t="s">
        <v>19</v>
      </c>
      <c r="E94" s="18">
        <v>60.5</v>
      </c>
      <c r="F94" s="17">
        <f t="shared" si="9"/>
        <v>13612.5</v>
      </c>
      <c r="G94" s="16">
        <v>1500</v>
      </c>
      <c r="H94" s="19" t="s">
        <v>17</v>
      </c>
      <c r="I94" s="18">
        <v>0.85</v>
      </c>
      <c r="J94" s="17">
        <f>G94*I94</f>
        <v>1275</v>
      </c>
      <c r="K94" s="16"/>
      <c r="L94" s="15"/>
    </row>
    <row r="95" spans="1:12" x14ac:dyDescent="0.2">
      <c r="A95" s="20"/>
      <c r="B95" s="55" t="s">
        <v>28</v>
      </c>
      <c r="C95" s="16"/>
      <c r="D95" s="19"/>
      <c r="E95" s="18"/>
      <c r="F95" s="17"/>
      <c r="G95" s="16">
        <v>1</v>
      </c>
      <c r="H95" s="19" t="s">
        <v>25</v>
      </c>
      <c r="I95" s="18">
        <v>395</v>
      </c>
      <c r="J95" s="17">
        <f>G95*I95</f>
        <v>395</v>
      </c>
      <c r="K95" s="16"/>
      <c r="L95" s="15"/>
    </row>
    <row r="96" spans="1:12" x14ac:dyDescent="0.2">
      <c r="A96" s="20"/>
      <c r="B96" s="55" t="s">
        <v>22</v>
      </c>
      <c r="C96" s="16">
        <v>24</v>
      </c>
      <c r="D96" s="19" t="s">
        <v>19</v>
      </c>
      <c r="E96" s="18">
        <v>80</v>
      </c>
      <c r="F96" s="17">
        <f t="shared" ref="F96:F98" si="10">C96*E96</f>
        <v>1920</v>
      </c>
      <c r="G96" s="16"/>
      <c r="H96" s="19"/>
      <c r="I96" s="18"/>
      <c r="J96" s="17"/>
      <c r="K96" s="16"/>
      <c r="L96" s="15"/>
    </row>
    <row r="97" spans="1:12" x14ac:dyDescent="0.2">
      <c r="A97" s="20"/>
      <c r="B97" s="55" t="s">
        <v>34</v>
      </c>
      <c r="C97" s="16">
        <v>6</v>
      </c>
      <c r="D97" s="19" t="s">
        <v>19</v>
      </c>
      <c r="E97" s="18">
        <v>60.5</v>
      </c>
      <c r="F97" s="17">
        <f t="shared" si="10"/>
        <v>363</v>
      </c>
      <c r="G97" s="16">
        <v>6</v>
      </c>
      <c r="H97" s="19" t="s">
        <v>39</v>
      </c>
      <c r="I97" s="18">
        <v>22.5</v>
      </c>
      <c r="J97" s="17">
        <f t="shared" ref="J97:J98" si="11">G97*I97</f>
        <v>135</v>
      </c>
      <c r="K97" s="16"/>
      <c r="L97" s="15"/>
    </row>
    <row r="98" spans="1:12" x14ac:dyDescent="0.2">
      <c r="A98" s="20"/>
      <c r="B98" s="55" t="s">
        <v>33</v>
      </c>
      <c r="C98" s="16">
        <v>2</v>
      </c>
      <c r="D98" s="19" t="s">
        <v>19</v>
      </c>
      <c r="E98" s="18">
        <v>60.5</v>
      </c>
      <c r="F98" s="17">
        <f t="shared" si="10"/>
        <v>121</v>
      </c>
      <c r="G98" s="16">
        <v>6</v>
      </c>
      <c r="H98" s="19" t="s">
        <v>39</v>
      </c>
      <c r="I98" s="18">
        <v>15</v>
      </c>
      <c r="J98" s="17">
        <f t="shared" si="11"/>
        <v>90</v>
      </c>
      <c r="K98" s="16"/>
      <c r="L98" s="15"/>
    </row>
    <row r="99" spans="1:12" x14ac:dyDescent="0.2">
      <c r="A99" s="20"/>
      <c r="B99" s="55" t="s">
        <v>38</v>
      </c>
      <c r="C99" s="16"/>
      <c r="D99" s="19"/>
      <c r="E99" s="18"/>
      <c r="F99" s="17"/>
      <c r="G99" s="16"/>
      <c r="H99" s="19"/>
      <c r="I99" s="18"/>
      <c r="J99" s="17"/>
      <c r="K99" s="16" t="s">
        <v>25</v>
      </c>
      <c r="L99" s="15">
        <v>700</v>
      </c>
    </row>
    <row r="100" spans="1:12" x14ac:dyDescent="0.2">
      <c r="A100" s="20"/>
      <c r="B100" s="55" t="s">
        <v>23</v>
      </c>
      <c r="C100" s="16">
        <v>5</v>
      </c>
      <c r="D100" s="19" t="s">
        <v>19</v>
      </c>
      <c r="E100" s="18">
        <v>80</v>
      </c>
      <c r="F100" s="17">
        <f t="shared" ref="F100" si="12">C100*E100</f>
        <v>400</v>
      </c>
      <c r="G100" s="16"/>
      <c r="H100" s="19"/>
      <c r="I100" s="18"/>
      <c r="J100" s="17"/>
      <c r="K100" s="16"/>
      <c r="L100" s="15"/>
    </row>
    <row r="101" spans="1:12" x14ac:dyDescent="0.2">
      <c r="B101" s="5" t="s">
        <v>2</v>
      </c>
      <c r="D101" s="1"/>
      <c r="F101" s="14">
        <f>SUM(F90:F100)</f>
        <v>19136.5</v>
      </c>
      <c r="G101" s="14"/>
      <c r="H101" s="14"/>
      <c r="I101" s="14"/>
      <c r="J101" s="14">
        <f>SUM(J90:J100)</f>
        <v>1895</v>
      </c>
      <c r="K101" s="14"/>
      <c r="L101" s="14">
        <f>SUM(L90:L100)</f>
        <v>1380</v>
      </c>
    </row>
    <row r="102" spans="1:12" x14ac:dyDescent="0.2">
      <c r="B102" s="12" t="s">
        <v>1</v>
      </c>
      <c r="D102" s="1"/>
      <c r="E102" s="13">
        <v>0.1</v>
      </c>
      <c r="F102" s="56">
        <f>+E102*F101</f>
        <v>1913.65</v>
      </c>
      <c r="I102" s="13">
        <v>0.1</v>
      </c>
      <c r="J102" s="58">
        <f>+I102*J101</f>
        <v>189.5</v>
      </c>
      <c r="K102" s="13">
        <v>0.1</v>
      </c>
      <c r="L102" s="11">
        <f>+K102*L101</f>
        <v>138</v>
      </c>
    </row>
    <row r="103" spans="1:12" x14ac:dyDescent="0.2">
      <c r="B103" s="10" t="s">
        <v>15</v>
      </c>
      <c r="D103" s="1"/>
      <c r="F103" s="57">
        <f>F101+F102</f>
        <v>21050.15</v>
      </c>
      <c r="G103" s="9"/>
      <c r="H103" s="9"/>
      <c r="I103" s="9"/>
      <c r="J103" s="59">
        <f>J101+J102</f>
        <v>2084.5</v>
      </c>
      <c r="K103" s="9"/>
      <c r="L103" s="8">
        <f>L101+L102</f>
        <v>1518</v>
      </c>
    </row>
    <row r="104" spans="1:12" ht="13.5" thickBot="1" x14ac:dyDescent="0.25">
      <c r="B104" s="5"/>
      <c r="D104" s="1"/>
      <c r="F104" s="3"/>
      <c r="G104" s="4"/>
      <c r="H104" s="4"/>
      <c r="I104" s="7"/>
      <c r="J104" s="3"/>
      <c r="K104" s="6"/>
      <c r="L104" s="3"/>
    </row>
    <row r="105" spans="1:12" x14ac:dyDescent="0.2">
      <c r="B105" s="2" t="s">
        <v>0</v>
      </c>
      <c r="D105" s="1"/>
    </row>
    <row r="106" spans="1:12" ht="13.5" thickBot="1" x14ac:dyDescent="0.25">
      <c r="B106" s="60">
        <f>F103+J103+L103</f>
        <v>24652.65</v>
      </c>
      <c r="D106" s="1"/>
    </row>
    <row r="107" spans="1:12" x14ac:dyDescent="0.2">
      <c r="B107" t="s">
        <v>42</v>
      </c>
    </row>
  </sheetData>
  <mergeCells count="9">
    <mergeCell ref="C88:F88"/>
    <mergeCell ref="C71:F71"/>
    <mergeCell ref="C31:F31"/>
    <mergeCell ref="C46:F46"/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2015-06-13T00:00:47Z</dcterms:modified>
</cp:coreProperties>
</file>