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S:\Job Books\2023-Chinn Legacy Apartments\Change Orders\COR's\"/>
    </mc:Choice>
  </mc:AlternateContent>
  <bookViews>
    <workbookView xWindow="0" yWindow="0" windowWidth="28800" windowHeight="13020"/>
  </bookViews>
  <sheets>
    <sheet name="CGC BP " sheetId="1" r:id="rId1"/>
  </sheets>
  <definedNames>
    <definedName name="_xlnm.Print_Area" localSheetId="0">'CGC BP '!$A$14:$L$91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86" i="1" l="1"/>
  <c r="F86" i="1"/>
  <c r="J75" i="1"/>
  <c r="F75" i="1"/>
  <c r="L54" i="1"/>
  <c r="J44" i="1"/>
  <c r="J45" i="1" s="1"/>
  <c r="J46" i="1" s="1"/>
  <c r="F44" i="1"/>
  <c r="F45" i="1"/>
  <c r="F46" i="1" s="1"/>
  <c r="L30" i="1"/>
  <c r="J30" i="1"/>
  <c r="F30" i="1"/>
  <c r="F31" i="1"/>
  <c r="F32" i="1" s="1"/>
  <c r="K21" i="1"/>
  <c r="L21" i="1"/>
  <c r="L22" i="1" s="1"/>
  <c r="L75" i="1" l="1"/>
  <c r="L23" i="1"/>
  <c r="L55" i="1"/>
  <c r="L46" i="1"/>
  <c r="B49" i="1" s="1"/>
  <c r="L45" i="1"/>
  <c r="J32" i="1"/>
  <c r="J31" i="1"/>
  <c r="L31" i="1"/>
  <c r="L32" i="1" s="1"/>
  <c r="I103" i="1"/>
  <c r="I102" i="1"/>
  <c r="I101" i="1"/>
  <c r="I100" i="1"/>
  <c r="I99" i="1"/>
  <c r="I98" i="1"/>
  <c r="I97" i="1"/>
  <c r="J126" i="1"/>
  <c r="J124" i="1"/>
  <c r="J104" i="1"/>
  <c r="I123" i="1"/>
  <c r="I122" i="1"/>
  <c r="I121" i="1"/>
  <c r="I120" i="1"/>
  <c r="I119" i="1"/>
  <c r="I118" i="1"/>
  <c r="I117" i="1"/>
  <c r="J42" i="1"/>
  <c r="F42" i="1"/>
  <c r="J39" i="1"/>
  <c r="F39" i="1"/>
  <c r="J41" i="1"/>
  <c r="F41" i="1"/>
  <c r="J40" i="1"/>
  <c r="F40" i="1"/>
  <c r="I84" i="1"/>
  <c r="J84" i="1" s="1"/>
  <c r="J85" i="1"/>
  <c r="F85" i="1"/>
  <c r="F84" i="1"/>
  <c r="L76" i="1" l="1"/>
  <c r="L77" i="1" s="1"/>
  <c r="L65" i="1"/>
  <c r="L66" i="1" s="1"/>
  <c r="B35" i="1"/>
  <c r="J63" i="1"/>
  <c r="F63" i="1"/>
  <c r="J62" i="1"/>
  <c r="J64" i="1" s="1"/>
  <c r="F62" i="1"/>
  <c r="F64" i="1" s="1"/>
  <c r="J52" i="1"/>
  <c r="F52" i="1"/>
  <c r="J51" i="1"/>
  <c r="J53" i="1" s="1"/>
  <c r="J54" i="1" s="1"/>
  <c r="J55" i="1" s="1"/>
  <c r="F51" i="1"/>
  <c r="F53" i="1" s="1"/>
  <c r="F54" i="1" s="1"/>
  <c r="F55" i="1" s="1"/>
  <c r="B58" i="1" s="1"/>
  <c r="L126" i="1"/>
  <c r="L127" i="1" s="1"/>
  <c r="L128" i="1" s="1"/>
  <c r="J125" i="1"/>
  <c r="F125" i="1"/>
  <c r="J123" i="1"/>
  <c r="F123" i="1"/>
  <c r="J122" i="1"/>
  <c r="F122" i="1"/>
  <c r="J121" i="1"/>
  <c r="F121" i="1"/>
  <c r="J120" i="1"/>
  <c r="F120" i="1"/>
  <c r="J119" i="1"/>
  <c r="F119" i="1"/>
  <c r="J118" i="1"/>
  <c r="J117" i="1"/>
  <c r="F117" i="1"/>
  <c r="F100" i="1"/>
  <c r="J100" i="1"/>
  <c r="J103" i="1"/>
  <c r="J102" i="1"/>
  <c r="J101" i="1"/>
  <c r="J98" i="1"/>
  <c r="J97" i="1"/>
  <c r="J106" i="1" s="1"/>
  <c r="L106" i="1"/>
  <c r="L107" i="1" s="1"/>
  <c r="L108" i="1" s="1"/>
  <c r="J105" i="1"/>
  <c r="F105" i="1"/>
  <c r="F103" i="1"/>
  <c r="F102" i="1"/>
  <c r="F101" i="1"/>
  <c r="J99" i="1"/>
  <c r="F99" i="1"/>
  <c r="F97" i="1"/>
  <c r="F65" i="1" l="1"/>
  <c r="F66" i="1" s="1"/>
  <c r="J65" i="1"/>
  <c r="J66" i="1" s="1"/>
  <c r="F126" i="1"/>
  <c r="F127" i="1" s="1"/>
  <c r="J107" i="1"/>
  <c r="J108" i="1" s="1"/>
  <c r="F106" i="1"/>
  <c r="L86" i="1"/>
  <c r="J43" i="1"/>
  <c r="F43" i="1"/>
  <c r="J38" i="1"/>
  <c r="F38" i="1"/>
  <c r="J37" i="1"/>
  <c r="F37" i="1"/>
  <c r="B69" i="1" l="1"/>
  <c r="F128" i="1"/>
  <c r="J127" i="1"/>
  <c r="J128" i="1" s="1"/>
  <c r="F107" i="1"/>
  <c r="F108" i="1" s="1"/>
  <c r="B111" i="1" s="1"/>
  <c r="C17" i="1"/>
  <c r="F17" i="1" s="1"/>
  <c r="C74" i="1"/>
  <c r="F74" i="1" s="1"/>
  <c r="J74" i="1"/>
  <c r="J73" i="1"/>
  <c r="C73" i="1"/>
  <c r="F73" i="1" s="1"/>
  <c r="C19" i="1"/>
  <c r="F19" i="1" s="1"/>
  <c r="C20" i="1"/>
  <c r="F20" i="1" s="1"/>
  <c r="C18" i="1"/>
  <c r="F18" i="1" s="1"/>
  <c r="F29" i="1"/>
  <c r="J18" i="1"/>
  <c r="J19" i="1"/>
  <c r="J20" i="1"/>
  <c r="J29" i="1"/>
  <c r="J21" i="1" l="1"/>
  <c r="F21" i="1"/>
  <c r="F22" i="1" s="1"/>
  <c r="F23" i="1" s="1"/>
  <c r="B131" i="1"/>
  <c r="J17" i="1"/>
  <c r="J22" i="1" l="1"/>
  <c r="F76" i="1"/>
  <c r="F77" i="1" s="1"/>
  <c r="L87" i="1"/>
  <c r="L88" i="1" s="1"/>
  <c r="J23" i="1" l="1"/>
  <c r="B26" i="1" s="1"/>
  <c r="F87" i="1"/>
  <c r="F88" i="1" s="1"/>
  <c r="J76" i="1" l="1"/>
  <c r="J77" i="1" l="1"/>
  <c r="B80" i="1" s="1"/>
  <c r="J87" i="1" l="1"/>
  <c r="J88" i="1" s="1"/>
  <c r="B91" i="1" s="1"/>
</calcChain>
</file>

<file path=xl/sharedStrings.xml><?xml version="1.0" encoding="utf-8"?>
<sst xmlns="http://schemas.openxmlformats.org/spreadsheetml/2006/main" count="250" uniqueCount="57">
  <si>
    <t>Total this page</t>
  </si>
  <si>
    <t>OH &amp; Profit</t>
  </si>
  <si>
    <t>Subtotals</t>
  </si>
  <si>
    <t>Total</t>
  </si>
  <si>
    <t>UOM</t>
  </si>
  <si>
    <t>Unit Cost</t>
  </si>
  <si>
    <t>Description</t>
  </si>
  <si>
    <t>Item</t>
  </si>
  <si>
    <t>SUB TIER</t>
  </si>
  <si>
    <t>Material/Equipment</t>
  </si>
  <si>
    <t>Labor</t>
  </si>
  <si>
    <t>DESCRIPTION OF CHANGE/WORK PERFORMED</t>
  </si>
  <si>
    <t>DATE:</t>
  </si>
  <si>
    <t>PROJECT:</t>
  </si>
  <si>
    <t>RFI/ASI:</t>
  </si>
  <si>
    <t>EA</t>
  </si>
  <si>
    <t>Totals</t>
  </si>
  <si>
    <t>HR</t>
  </si>
  <si>
    <t>Quan</t>
  </si>
  <si>
    <t>4" Perf Pipe</t>
  </si>
  <si>
    <t>LF</t>
  </si>
  <si>
    <t>6" Perf Pipe</t>
  </si>
  <si>
    <t>Cleanouts</t>
  </si>
  <si>
    <t>2023 LEGACY APARTMENTS</t>
  </si>
  <si>
    <t>HRS</t>
  </si>
  <si>
    <t>6" Tightline to equipment room</t>
  </si>
  <si>
    <t>4" Fittings</t>
  </si>
  <si>
    <t>6" Fittings</t>
  </si>
  <si>
    <t>Type 241 Catch Basin</t>
  </si>
  <si>
    <t>Type 241 Riser</t>
  </si>
  <si>
    <t>Kor N Seal Boots</t>
  </si>
  <si>
    <t>Material</t>
  </si>
  <si>
    <t>PERFORATED DRAIN SYSTEM</t>
  </si>
  <si>
    <t>SIMPLEX PUMP SYSTEM</t>
  </si>
  <si>
    <t>Zoeller Pumps</t>
  </si>
  <si>
    <t>Zoeller Panel</t>
  </si>
  <si>
    <t>Zoeller Floats</t>
  </si>
  <si>
    <t>Zoeller Cord Holder</t>
  </si>
  <si>
    <t>Zoeller 2" cast iron check valve</t>
  </si>
  <si>
    <t>Zoeller 2" PVC ball valve</t>
  </si>
  <si>
    <t>Zoeller 2" Plug valve</t>
  </si>
  <si>
    <t>DUPLEX PUMP SYSTEM</t>
  </si>
  <si>
    <t>2" Fittings</t>
  </si>
  <si>
    <t>8" Vents from Equip to Roof</t>
  </si>
  <si>
    <t>8" Fittings</t>
  </si>
  <si>
    <t>VENT TIGHTLINE TO ROOM P-025</t>
  </si>
  <si>
    <t>6" PVC Tightline</t>
  </si>
  <si>
    <t>PUMP TIGHTLINE TO ROOM P-025</t>
  </si>
  <si>
    <t>2" PVC Pumpline</t>
  </si>
  <si>
    <t>SEWER CONNECTION TO ROOM P-025</t>
  </si>
  <si>
    <t>6" PVC Sewer</t>
  </si>
  <si>
    <t>VENTS FROM ROOM P-025 TO ROOF</t>
  </si>
  <si>
    <t>48" Basin</t>
  </si>
  <si>
    <t>48" Riser</t>
  </si>
  <si>
    <t>Type 241 Lid</t>
  </si>
  <si>
    <t>Factory Startup</t>
  </si>
  <si>
    <t>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</si>
</sst>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8">
    <numFmt numFmtId="6" formatCode="&quot;$&quot;#,##0_);[Red]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164" formatCode="&quot;$&quot;#,##0;[Red]\(&quot;$&quot;#,##0\)"/>
    <numFmt numFmtId="165" formatCode="0_);[Red]\(0\)"/>
    <numFmt numFmtId="166" formatCode="&quot;$&quot;#,##0.00"/>
    <numFmt numFmtId="167" formatCode="0.0_);[Red]\(0.0\)"/>
    <numFmt numFmtId="168" formatCode="&quot;$&quot;#,##0"/>
  </numFmts>
  <fonts count="11" x14ac:knownFonts="1">
    <font>
      <sz val="10"/>
      <name val="MS Sans Serif"/>
    </font>
    <font>
      <b/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b/>
      <sz val="10"/>
      <color rgb="FFFF0000"/>
      <name val="MS Sans Serif"/>
      <family val="2"/>
    </font>
    <font>
      <sz val="8"/>
      <name val="Arial"/>
      <family val="2"/>
    </font>
    <font>
      <b/>
      <sz val="18"/>
      <name val="MS Sans Serif"/>
      <family val="2"/>
    </font>
    <font>
      <b/>
      <sz val="10"/>
      <name val="MS Sans Serif"/>
    </font>
    <font>
      <b/>
      <sz val="10"/>
      <color rgb="FFFF0000"/>
      <name val="Arial"/>
      <family val="2"/>
    </font>
    <font>
      <b/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3">
    <xf numFmtId="0" fontId="0" fillId="0" borderId="0"/>
    <xf numFmtId="8" fontId="3" fillId="0" borderId="0" applyFont="0" applyFill="0" applyBorder="0" applyAlignment="0" applyProtection="0"/>
    <xf numFmtId="0" fontId="4" fillId="0" borderId="0"/>
  </cellStyleXfs>
  <cellXfs count="92">
    <xf numFmtId="0" fontId="0" fillId="0" borderId="0" xfId="0"/>
    <xf numFmtId="0" fontId="0" fillId="0" borderId="0" xfId="0" applyAlignment="1">
      <alignment horizontal="center"/>
    </xf>
    <xf numFmtId="0" fontId="1" fillId="2" borderId="2" xfId="0" applyFont="1" applyFill="1" applyBorder="1"/>
    <xf numFmtId="164" fontId="0" fillId="0" borderId="0" xfId="0" applyNumberFormat="1" applyFill="1"/>
    <xf numFmtId="0" fontId="0" fillId="0" borderId="0" xfId="0" applyFill="1"/>
    <xf numFmtId="0" fontId="1" fillId="0" borderId="0" xfId="0" applyFont="1" applyAlignment="1">
      <alignment horizontal="right"/>
    </xf>
    <xf numFmtId="164" fontId="0" fillId="0" borderId="0" xfId="0" applyNumberFormat="1" applyFill="1" applyBorder="1"/>
    <xf numFmtId="0" fontId="2" fillId="0" borderId="0" xfId="0" applyFont="1" applyFill="1" applyAlignment="1">
      <alignment horizontal="right"/>
    </xf>
    <xf numFmtId="8" fontId="1" fillId="2" borderId="0" xfId="1" applyFont="1" applyFill="1"/>
    <xf numFmtId="0" fontId="2" fillId="0" borderId="0" xfId="0" applyFont="1"/>
    <xf numFmtId="0" fontId="2" fillId="0" borderId="0" xfId="0" applyFont="1" applyAlignment="1">
      <alignment horizontal="right"/>
    </xf>
    <xf numFmtId="8" fontId="4" fillId="0" borderId="0" xfId="1" applyFont="1"/>
    <xf numFmtId="8" fontId="4" fillId="0" borderId="0" xfId="1" applyFont="1" applyAlignment="1">
      <alignment horizontal="right"/>
    </xf>
    <xf numFmtId="9" fontId="5" fillId="0" borderId="0" xfId="0" applyNumberFormat="1" applyFont="1"/>
    <xf numFmtId="164" fontId="0" fillId="0" borderId="0" xfId="0" applyNumberFormat="1"/>
    <xf numFmtId="44" fontId="6" fillId="0" borderId="3" xfId="0" applyNumberFormat="1" applyFont="1" applyBorder="1" applyAlignment="1">
      <alignment vertical="top" wrapText="1"/>
    </xf>
    <xf numFmtId="165" fontId="6" fillId="0" borderId="3" xfId="0" applyNumberFormat="1" applyFont="1" applyBorder="1" applyAlignment="1">
      <alignment vertical="top" wrapText="1"/>
    </xf>
    <xf numFmtId="164" fontId="6" fillId="0" borderId="3" xfId="0" applyNumberFormat="1" applyFont="1" applyBorder="1" applyAlignment="1">
      <alignment vertical="top" wrapText="1"/>
    </xf>
    <xf numFmtId="166" fontId="6" fillId="0" borderId="3" xfId="0" applyNumberFormat="1" applyFont="1" applyBorder="1" applyAlignment="1">
      <alignment vertical="top" wrapText="1"/>
    </xf>
    <xf numFmtId="0" fontId="6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vertical="top" wrapText="1"/>
    </xf>
    <xf numFmtId="0" fontId="0" fillId="0" borderId="4" xfId="0" applyBorder="1" applyAlignment="1">
      <alignment horizontal="center"/>
    </xf>
    <xf numFmtId="168" fontId="0" fillId="0" borderId="4" xfId="0" applyNumberForma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3" borderId="6" xfId="0" applyFill="1" applyBorder="1" applyAlignment="1">
      <alignment horizontal="centerContinuous"/>
    </xf>
    <xf numFmtId="0" fontId="1" fillId="3" borderId="7" xfId="0" applyFont="1" applyFill="1" applyBorder="1" applyAlignment="1">
      <alignment horizontal="centerContinuous"/>
    </xf>
    <xf numFmtId="0" fontId="0" fillId="4" borderId="7" xfId="0" applyFill="1" applyBorder="1" applyAlignment="1">
      <alignment horizontal="centerContinuous"/>
    </xf>
    <xf numFmtId="0" fontId="1" fillId="4" borderId="7" xfId="0" applyFont="1" applyFill="1" applyBorder="1" applyAlignment="1">
      <alignment horizontal="centerContinuous"/>
    </xf>
    <xf numFmtId="0" fontId="0" fillId="0" borderId="8" xfId="0" applyBorder="1"/>
    <xf numFmtId="0" fontId="0" fillId="0" borderId="9" xfId="0" applyBorder="1"/>
    <xf numFmtId="0" fontId="4" fillId="0" borderId="0" xfId="2" applyFont="1" applyAlignment="1">
      <alignment vertical="center"/>
    </xf>
    <xf numFmtId="14" fontId="1" fillId="0" borderId="10" xfId="2" applyNumberFormat="1" applyFont="1" applyFill="1" applyBorder="1" applyAlignment="1" applyProtection="1">
      <alignment horizontal="center" vertical="center"/>
    </xf>
    <xf numFmtId="0" fontId="4" fillId="0" borderId="0" xfId="2" applyFont="1" applyAlignment="1">
      <alignment horizontal="center"/>
    </xf>
    <xf numFmtId="0" fontId="1" fillId="0" borderId="0" xfId="2" applyFont="1" applyBorder="1" applyAlignment="1">
      <alignment horizontal="left" vertic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1" fillId="0" borderId="11" xfId="2" applyFont="1" applyBorder="1" applyAlignment="1">
      <alignment horizontal="left"/>
    </xf>
    <xf numFmtId="0" fontId="1" fillId="0" borderId="12" xfId="2" applyFont="1" applyBorder="1" applyAlignment="1">
      <alignment horizontal="left"/>
    </xf>
    <xf numFmtId="14" fontId="1" fillId="0" borderId="12" xfId="2" applyNumberFormat="1" applyFont="1" applyBorder="1" applyAlignment="1">
      <alignment horizontal="left"/>
    </xf>
    <xf numFmtId="0" fontId="4" fillId="0" borderId="12" xfId="2" applyFont="1" applyBorder="1" applyAlignment="1">
      <alignment horizontal="center"/>
    </xf>
    <xf numFmtId="0" fontId="1" fillId="0" borderId="12" xfId="2" applyFont="1" applyBorder="1" applyAlignment="1">
      <alignment horizontal="left" vertical="center"/>
    </xf>
    <xf numFmtId="0" fontId="0" fillId="0" borderId="12" xfId="0" applyBorder="1"/>
    <xf numFmtId="0" fontId="0" fillId="0" borderId="12" xfId="0" applyBorder="1" applyAlignment="1">
      <alignment horizontal="center"/>
    </xf>
    <xf numFmtId="0" fontId="0" fillId="0" borderId="13" xfId="0" applyBorder="1"/>
    <xf numFmtId="0" fontId="1" fillId="0" borderId="14" xfId="2" applyFont="1" applyBorder="1" applyAlignment="1">
      <alignment horizontal="left"/>
    </xf>
    <xf numFmtId="0" fontId="4" fillId="0" borderId="0" xfId="2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15" xfId="0" applyBorder="1"/>
    <xf numFmtId="0" fontId="1" fillId="0" borderId="0" xfId="2" quotePrefix="1" applyNumberFormat="1" applyFont="1" applyBorder="1" applyAlignment="1">
      <alignment horizontal="left"/>
    </xf>
    <xf numFmtId="0" fontId="1" fillId="0" borderId="0" xfId="2" applyFont="1" applyBorder="1" applyAlignment="1">
      <alignment horizontal="right" vertical="center"/>
    </xf>
    <xf numFmtId="0" fontId="1" fillId="0" borderId="0" xfId="2" applyFont="1" applyAlignment="1">
      <alignment horizontal="right"/>
    </xf>
    <xf numFmtId="8" fontId="8" fillId="0" borderId="0" xfId="0" applyNumberFormat="1" applyFont="1"/>
    <xf numFmtId="8" fontId="0" fillId="0" borderId="0" xfId="0" applyNumberFormat="1" applyFont="1"/>
    <xf numFmtId="0" fontId="6" fillId="0" borderId="3" xfId="0" applyFont="1" applyBorder="1" applyAlignment="1">
      <alignment horizontal="left" vertical="top"/>
    </xf>
    <xf numFmtId="6" fontId="4" fillId="0" borderId="0" xfId="1" applyNumberFormat="1" applyFont="1"/>
    <xf numFmtId="6" fontId="1" fillId="2" borderId="0" xfId="1" applyNumberFormat="1" applyFont="1" applyFill="1"/>
    <xf numFmtId="164" fontId="4" fillId="0" borderId="0" xfId="1" applyNumberFormat="1" applyFont="1"/>
    <xf numFmtId="164" fontId="1" fillId="2" borderId="0" xfId="1" applyNumberFormat="1" applyFont="1" applyFill="1"/>
    <xf numFmtId="6" fontId="1" fillId="2" borderId="1" xfId="1" applyNumberFormat="1" applyFont="1" applyFill="1" applyBorder="1"/>
    <xf numFmtId="167" fontId="6" fillId="0" borderId="3" xfId="0" applyNumberFormat="1" applyFont="1" applyBorder="1" applyAlignment="1">
      <alignment vertical="top" wrapText="1"/>
    </xf>
    <xf numFmtId="168" fontId="1" fillId="4" borderId="7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Continuous"/>
    </xf>
    <xf numFmtId="168" fontId="1" fillId="4" borderId="3" xfId="0" applyNumberFormat="1" applyFont="1" applyFill="1" applyBorder="1" applyAlignment="1">
      <alignment horizontal="center"/>
    </xf>
    <xf numFmtId="0" fontId="4" fillId="0" borderId="3" xfId="0" applyFont="1" applyBorder="1"/>
    <xf numFmtId="0" fontId="4" fillId="4" borderId="3" xfId="0" applyFont="1" applyFill="1" applyBorder="1" applyAlignment="1">
      <alignment horizontal="centerContinuous"/>
    </xf>
    <xf numFmtId="0" fontId="1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68" fontId="4" fillId="0" borderId="3" xfId="0" applyNumberFormat="1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164" fontId="4" fillId="0" borderId="0" xfId="0" applyNumberFormat="1" applyFont="1"/>
    <xf numFmtId="9" fontId="9" fillId="0" borderId="0" xfId="0" applyNumberFormat="1" applyFont="1"/>
    <xf numFmtId="0" fontId="1" fillId="0" borderId="0" xfId="0" applyFont="1"/>
    <xf numFmtId="164" fontId="4" fillId="0" borderId="0" xfId="0" applyNumberFormat="1" applyFont="1" applyFill="1"/>
    <xf numFmtId="0" fontId="4" fillId="0" borderId="0" xfId="0" applyFont="1" applyFill="1"/>
    <xf numFmtId="0" fontId="1" fillId="0" borderId="0" xfId="0" applyFont="1" applyFill="1" applyAlignment="1">
      <alignment horizontal="right"/>
    </xf>
    <xf numFmtId="0" fontId="10" fillId="0" borderId="3" xfId="0" applyFont="1" applyBorder="1" applyAlignment="1">
      <alignment horizontal="left" vertical="top"/>
    </xf>
    <xf numFmtId="0" fontId="1" fillId="5" borderId="3" xfId="0" applyFont="1" applyFill="1" applyBorder="1" applyAlignment="1">
      <alignment horizontal="center"/>
    </xf>
    <xf numFmtId="0" fontId="1" fillId="0" borderId="0" xfId="2" applyFont="1" applyBorder="1" applyAlignment="1">
      <alignment horizontal="left"/>
    </xf>
    <xf numFmtId="14" fontId="1" fillId="0" borderId="0" xfId="2" applyNumberFormat="1" applyFont="1" applyBorder="1" applyAlignment="1">
      <alignment horizontal="left"/>
    </xf>
    <xf numFmtId="0" fontId="7" fillId="0" borderId="12" xfId="0" applyFont="1" applyBorder="1" applyAlignment="1">
      <alignment horizontal="center"/>
    </xf>
    <xf numFmtId="0" fontId="2" fillId="6" borderId="18" xfId="0" applyFont="1" applyFill="1" applyBorder="1" applyAlignment="1">
      <alignment horizontal="center" vertical="center"/>
    </xf>
    <xf numFmtId="0" fontId="2" fillId="6" borderId="17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15" xfId="0" applyFont="1" applyFill="1" applyBorder="1" applyAlignment="1">
      <alignment horizontal="center" vertical="center"/>
    </xf>
    <xf numFmtId="0" fontId="2" fillId="6" borderId="0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2" fillId="6" borderId="13" xfId="0" applyFont="1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Normal_Lake Hills RF 033 8.06.04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0</xdr:rowOff>
    </xdr:from>
    <xdr:to>
      <xdr:col>11</xdr:col>
      <xdr:colOff>904875</xdr:colOff>
      <xdr:row>10</xdr:row>
      <xdr:rowOff>142875</xdr:rowOff>
    </xdr:to>
    <xdr:sp macro="" textlink="">
      <xdr:nvSpPr>
        <xdr:cNvPr id="3" name="Text Box 2"/>
        <xdr:cNvSpPr txBox="1">
          <a:spLocks noChangeArrowheads="1"/>
        </xdr:cNvSpPr>
      </xdr:nvSpPr>
      <xdr:spPr bwMode="auto">
        <a:xfrm>
          <a:off x="0" y="1943100"/>
          <a:ext cx="7315200" cy="628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100" b="0" i="0" baseline="0">
              <a:latin typeface="+mn-lt"/>
              <a:ea typeface="+mn-ea"/>
              <a:cs typeface="+mn-cs"/>
            </a:rPr>
            <a:t>REVISIONS TO SUB-SLAB VENTING SYSTEM.</a:t>
          </a:r>
        </a:p>
        <a:p>
          <a:pPr algn="l" rtl="0">
            <a:defRPr sz="1000"/>
          </a:pPr>
          <a:endParaRPr lang="en-US" sz="1100" b="0" i="0" baseline="0">
            <a:latin typeface="+mn-lt"/>
            <a:ea typeface="+mn-ea"/>
            <a:cs typeface="+mn-cs"/>
          </a:endParaRPr>
        </a:p>
        <a:p>
          <a:pPr rtl="0" fontAlgn="base"/>
          <a:endParaRPr 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51"/>
  <sheetViews>
    <sheetView tabSelected="1" topLeftCell="A96" zoomScale="130" zoomScaleNormal="130" workbookViewId="0">
      <selection activeCell="B121" sqref="B121"/>
    </sheetView>
  </sheetViews>
  <sheetFormatPr defaultRowHeight="12.75" x14ac:dyDescent="0.2"/>
  <cols>
    <col min="1" max="1" width="4.5703125" bestFit="1" customWidth="1"/>
    <col min="2" max="2" width="29.5703125" customWidth="1"/>
    <col min="3" max="3" width="5" customWidth="1"/>
    <col min="4" max="4" width="5.140625" customWidth="1"/>
    <col min="5" max="5" width="7.85546875" customWidth="1"/>
    <col min="6" max="6" width="8.7109375" customWidth="1"/>
    <col min="7" max="7" width="5" customWidth="1"/>
    <col min="8" max="8" width="5.140625" customWidth="1"/>
    <col min="9" max="9" width="8.28515625" customWidth="1"/>
    <col min="10" max="10" width="9" customWidth="1"/>
    <col min="11" max="11" width="8" bestFit="1" customWidth="1"/>
    <col min="12" max="12" width="10.85546875" customWidth="1"/>
    <col min="13" max="13" width="11" customWidth="1"/>
    <col min="15" max="15" width="13" customWidth="1"/>
  </cols>
  <sheetData>
    <row r="1" spans="1:15" x14ac:dyDescent="0.2">
      <c r="D1" s="1"/>
      <c r="H1" s="52" t="s">
        <v>13</v>
      </c>
      <c r="I1" s="80" t="s">
        <v>23</v>
      </c>
      <c r="J1" s="80"/>
      <c r="K1" s="80"/>
      <c r="L1" s="80"/>
    </row>
    <row r="2" spans="1:15" x14ac:dyDescent="0.2">
      <c r="D2" s="1"/>
      <c r="G2" s="34"/>
      <c r="H2" s="51" t="s">
        <v>12</v>
      </c>
      <c r="I2" s="81">
        <v>42039</v>
      </c>
      <c r="J2" s="80"/>
      <c r="K2" s="80"/>
      <c r="L2" s="80"/>
    </row>
    <row r="3" spans="1:15" x14ac:dyDescent="0.2">
      <c r="D3" s="1"/>
      <c r="G3" s="34"/>
      <c r="H3" s="51" t="s">
        <v>14</v>
      </c>
      <c r="I3" s="50"/>
      <c r="J3" s="35"/>
      <c r="K3" s="35"/>
      <c r="L3" s="35"/>
    </row>
    <row r="4" spans="1:15" ht="24" thickBot="1" x14ac:dyDescent="0.4">
      <c r="A4" s="82"/>
      <c r="B4" s="8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5" ht="4.5" customHeight="1" x14ac:dyDescent="0.2">
      <c r="A5" s="83" t="s">
        <v>11</v>
      </c>
      <c r="B5" s="84"/>
      <c r="C5" s="84"/>
      <c r="D5" s="84"/>
      <c r="E5" s="84"/>
      <c r="F5" s="84"/>
      <c r="G5" s="84"/>
      <c r="H5" s="84"/>
      <c r="I5" s="84"/>
      <c r="J5" s="84"/>
      <c r="K5" s="84"/>
      <c r="L5" s="85"/>
    </row>
    <row r="6" spans="1:15" ht="12.75" customHeight="1" x14ac:dyDescent="0.2">
      <c r="A6" s="86"/>
      <c r="B6" s="87"/>
      <c r="C6" s="87"/>
      <c r="D6" s="87"/>
      <c r="E6" s="87"/>
      <c r="F6" s="87"/>
      <c r="G6" s="87"/>
      <c r="H6" s="87"/>
      <c r="I6" s="87"/>
      <c r="J6" s="87"/>
      <c r="K6" s="87"/>
      <c r="L6" s="88"/>
    </row>
    <row r="7" spans="1:15" ht="4.5" customHeight="1" thickBot="1" x14ac:dyDescent="0.25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1"/>
    </row>
    <row r="8" spans="1:15" x14ac:dyDescent="0.2">
      <c r="A8" s="49"/>
      <c r="B8" s="47"/>
      <c r="C8" s="47"/>
      <c r="D8" s="48"/>
      <c r="E8" s="47"/>
      <c r="F8" s="47"/>
      <c r="G8" s="34"/>
      <c r="H8" s="46"/>
      <c r="I8" s="36"/>
      <c r="J8" s="35"/>
      <c r="K8" s="35"/>
      <c r="L8" s="45"/>
    </row>
    <row r="9" spans="1:15" x14ac:dyDescent="0.2">
      <c r="A9" s="49"/>
      <c r="B9" s="47"/>
      <c r="C9" s="47"/>
      <c r="D9" s="48"/>
      <c r="E9" s="47"/>
      <c r="F9" s="47"/>
      <c r="G9" s="34"/>
      <c r="H9" s="46"/>
      <c r="I9" s="36"/>
      <c r="J9" s="35"/>
      <c r="K9" s="35"/>
      <c r="L9" s="45"/>
    </row>
    <row r="10" spans="1:15" x14ac:dyDescent="0.2">
      <c r="A10" s="49"/>
      <c r="B10" s="47"/>
      <c r="C10" s="47"/>
      <c r="D10" s="48"/>
      <c r="E10" s="47"/>
      <c r="F10" s="47"/>
      <c r="G10" s="34"/>
      <c r="H10" s="46"/>
      <c r="I10" s="36"/>
      <c r="J10" s="35"/>
      <c r="K10" s="35"/>
      <c r="L10" s="45"/>
    </row>
    <row r="11" spans="1:15" ht="13.5" thickBot="1" x14ac:dyDescent="0.25">
      <c r="A11" s="44"/>
      <c r="B11" s="42"/>
      <c r="C11" s="42"/>
      <c r="D11" s="43"/>
      <c r="E11" s="42"/>
      <c r="F11" s="42"/>
      <c r="G11" s="41"/>
      <c r="H11" s="40"/>
      <c r="I11" s="39"/>
      <c r="J11" s="38"/>
      <c r="K11" s="38"/>
      <c r="L11" s="37"/>
    </row>
    <row r="12" spans="1:15" ht="6" customHeight="1" x14ac:dyDescent="0.2">
      <c r="D12" s="1"/>
      <c r="G12" s="34"/>
      <c r="H12" s="33"/>
      <c r="I12" s="36"/>
      <c r="J12" s="35"/>
      <c r="K12" s="35"/>
      <c r="L12" s="35"/>
    </row>
    <row r="13" spans="1:15" ht="6" customHeight="1" x14ac:dyDescent="0.2">
      <c r="D13" s="1"/>
      <c r="E13" s="34"/>
      <c r="F13" s="33"/>
      <c r="G13" s="32"/>
      <c r="H13" s="32"/>
      <c r="I13" s="32"/>
      <c r="J13" s="31"/>
    </row>
    <row r="14" spans="1:15" x14ac:dyDescent="0.2">
      <c r="A14" s="30"/>
      <c r="B14" s="29"/>
      <c r="C14" s="79" t="s">
        <v>10</v>
      </c>
      <c r="D14" s="79"/>
      <c r="E14" s="79"/>
      <c r="F14" s="79"/>
      <c r="G14" s="28" t="s">
        <v>9</v>
      </c>
      <c r="H14" s="27"/>
      <c r="I14" s="27"/>
      <c r="J14" s="62" t="s">
        <v>31</v>
      </c>
      <c r="K14" s="26" t="s">
        <v>8</v>
      </c>
      <c r="L14" s="25"/>
    </row>
    <row r="15" spans="1:15" x14ac:dyDescent="0.2">
      <c r="A15" s="24" t="s">
        <v>7</v>
      </c>
      <c r="B15" s="23" t="s">
        <v>6</v>
      </c>
      <c r="C15" s="21" t="s">
        <v>18</v>
      </c>
      <c r="D15" s="21" t="s">
        <v>4</v>
      </c>
      <c r="E15" s="21" t="s">
        <v>5</v>
      </c>
      <c r="F15" s="22" t="s">
        <v>3</v>
      </c>
      <c r="G15" s="21" t="s">
        <v>18</v>
      </c>
      <c r="H15" s="21" t="s">
        <v>4</v>
      </c>
      <c r="I15" s="21" t="s">
        <v>5</v>
      </c>
      <c r="J15" s="22" t="s">
        <v>3</v>
      </c>
      <c r="K15" s="21" t="s">
        <v>4</v>
      </c>
      <c r="L15" s="21" t="s">
        <v>3</v>
      </c>
    </row>
    <row r="16" spans="1:15" x14ac:dyDescent="0.2">
      <c r="A16" s="20"/>
      <c r="B16" s="78" t="s">
        <v>32</v>
      </c>
      <c r="C16" s="16"/>
      <c r="D16" s="19"/>
      <c r="E16" s="18"/>
      <c r="F16" s="17"/>
      <c r="G16" s="16"/>
      <c r="H16" s="19"/>
      <c r="I16" s="18"/>
      <c r="J16" s="17"/>
      <c r="K16" s="16"/>
      <c r="L16" s="15"/>
      <c r="M16" s="14"/>
      <c r="O16" s="53"/>
    </row>
    <row r="17" spans="1:15" x14ac:dyDescent="0.2">
      <c r="A17" s="20"/>
      <c r="B17" s="55" t="s">
        <v>19</v>
      </c>
      <c r="C17" s="16">
        <f>0.1*G17</f>
        <v>-53.1</v>
      </c>
      <c r="D17" s="19" t="s">
        <v>24</v>
      </c>
      <c r="E17" s="18">
        <v>60.5</v>
      </c>
      <c r="F17" s="17">
        <f t="shared" ref="F17:F20" si="0">C17*E17</f>
        <v>-3212.55</v>
      </c>
      <c r="G17" s="16">
        <v>-531</v>
      </c>
      <c r="H17" s="19" t="s">
        <v>20</v>
      </c>
      <c r="I17" s="18">
        <v>2.9</v>
      </c>
      <c r="J17" s="17">
        <f>G17*I17</f>
        <v>-1539.8999999999999</v>
      </c>
      <c r="K17" s="16"/>
      <c r="L17" s="15"/>
      <c r="M17" s="14"/>
      <c r="O17" s="53"/>
    </row>
    <row r="18" spans="1:15" x14ac:dyDescent="0.2">
      <c r="A18" s="20"/>
      <c r="B18" s="55" t="s">
        <v>26</v>
      </c>
      <c r="C18" s="16">
        <f>0.72*G18</f>
        <v>-19.439999999999998</v>
      </c>
      <c r="D18" s="19" t="s">
        <v>24</v>
      </c>
      <c r="E18" s="18">
        <v>60.5</v>
      </c>
      <c r="F18" s="17">
        <f t="shared" si="0"/>
        <v>-1176.1199999999999</v>
      </c>
      <c r="G18" s="16">
        <v>-27</v>
      </c>
      <c r="H18" s="19" t="s">
        <v>15</v>
      </c>
      <c r="I18" s="18">
        <v>5.3</v>
      </c>
      <c r="J18" s="17">
        <f t="shared" ref="J18:J20" si="1">G18*I18</f>
        <v>-143.1</v>
      </c>
      <c r="K18" s="16"/>
      <c r="L18" s="15"/>
      <c r="M18" s="14"/>
      <c r="O18" s="53"/>
    </row>
    <row r="19" spans="1:15" ht="13.5" customHeight="1" x14ac:dyDescent="0.2">
      <c r="A19" s="20"/>
      <c r="B19" s="55" t="s">
        <v>21</v>
      </c>
      <c r="C19" s="16">
        <f>0.18*G19</f>
        <v>118.8</v>
      </c>
      <c r="D19" s="19" t="s">
        <v>24</v>
      </c>
      <c r="E19" s="18">
        <v>60.5</v>
      </c>
      <c r="F19" s="17">
        <f t="shared" si="0"/>
        <v>7187.4</v>
      </c>
      <c r="G19" s="16">
        <v>660</v>
      </c>
      <c r="H19" s="19" t="s">
        <v>20</v>
      </c>
      <c r="I19" s="18">
        <v>4.5</v>
      </c>
      <c r="J19" s="17">
        <f t="shared" si="1"/>
        <v>2970</v>
      </c>
      <c r="K19" s="16"/>
      <c r="L19" s="15"/>
      <c r="M19" s="14"/>
      <c r="O19" s="54"/>
    </row>
    <row r="20" spans="1:15" x14ac:dyDescent="0.2">
      <c r="A20" s="20"/>
      <c r="B20" s="55" t="s">
        <v>27</v>
      </c>
      <c r="C20" s="16">
        <f>1.3*G20</f>
        <v>42.9</v>
      </c>
      <c r="D20" s="19" t="s">
        <v>24</v>
      </c>
      <c r="E20" s="18">
        <v>60.5</v>
      </c>
      <c r="F20" s="17">
        <f t="shared" si="0"/>
        <v>2595.4499999999998</v>
      </c>
      <c r="G20" s="16">
        <v>33</v>
      </c>
      <c r="H20" s="19" t="s">
        <v>15</v>
      </c>
      <c r="I20" s="18">
        <v>17.59</v>
      </c>
      <c r="J20" s="17">
        <f t="shared" si="1"/>
        <v>580.47</v>
      </c>
      <c r="K20" s="16"/>
      <c r="L20" s="15"/>
      <c r="M20" s="14"/>
      <c r="O20" s="54"/>
    </row>
    <row r="21" spans="1:15" x14ac:dyDescent="0.2">
      <c r="B21" s="5" t="s">
        <v>2</v>
      </c>
      <c r="D21" s="1"/>
      <c r="F21" s="14">
        <f>SUM(F16:F20)</f>
        <v>5394.1799999999994</v>
      </c>
      <c r="G21" s="14"/>
      <c r="H21" s="14"/>
      <c r="I21" s="14"/>
      <c r="J21" s="14">
        <f t="shared" ref="J21:L21" si="2">SUM(J16:J20)</f>
        <v>1867.4700000000003</v>
      </c>
      <c r="K21" s="14">
        <f t="shared" si="2"/>
        <v>0</v>
      </c>
      <c r="L21" s="14">
        <f t="shared" si="2"/>
        <v>0</v>
      </c>
    </row>
    <row r="22" spans="1:15" x14ac:dyDescent="0.2">
      <c r="B22" s="12" t="s">
        <v>1</v>
      </c>
      <c r="D22" s="1"/>
      <c r="E22" s="13">
        <v>0.1</v>
      </c>
      <c r="F22" s="56">
        <f>+E22*F21</f>
        <v>539.41800000000001</v>
      </c>
      <c r="I22" s="13">
        <v>0.1</v>
      </c>
      <c r="J22" s="58">
        <f>+I22*J21</f>
        <v>186.74700000000004</v>
      </c>
      <c r="K22" s="13">
        <v>0.1</v>
      </c>
      <c r="L22" s="11">
        <f>+K22*L21</f>
        <v>0</v>
      </c>
    </row>
    <row r="23" spans="1:15" x14ac:dyDescent="0.2">
      <c r="B23" s="10" t="s">
        <v>16</v>
      </c>
      <c r="D23" s="1"/>
      <c r="F23" s="57">
        <f>F21+F22</f>
        <v>5933.597999999999</v>
      </c>
      <c r="G23" s="9"/>
      <c r="H23" s="9"/>
      <c r="I23" s="9"/>
      <c r="J23" s="59">
        <f>J21+J22</f>
        <v>2054.2170000000001</v>
      </c>
      <c r="K23" s="9"/>
      <c r="L23" s="8">
        <f>L21+L22</f>
        <v>0</v>
      </c>
    </row>
    <row r="24" spans="1:15" ht="13.5" thickBot="1" x14ac:dyDescent="0.25">
      <c r="B24" s="5"/>
      <c r="D24" s="1"/>
      <c r="F24" s="3"/>
      <c r="G24" s="4"/>
      <c r="H24" s="4"/>
      <c r="I24" s="7"/>
      <c r="J24" s="3"/>
      <c r="K24" s="6"/>
      <c r="L24" s="3"/>
    </row>
    <row r="25" spans="1:15" x14ac:dyDescent="0.2">
      <c r="B25" s="2" t="s">
        <v>0</v>
      </c>
      <c r="D25" s="1"/>
    </row>
    <row r="26" spans="1:15" ht="13.5" thickBot="1" x14ac:dyDescent="0.25">
      <c r="B26" s="60">
        <f>F23+J23+L23</f>
        <v>7987.8149999999987</v>
      </c>
      <c r="D26" s="1"/>
    </row>
    <row r="29" spans="1:15" x14ac:dyDescent="0.2">
      <c r="A29" s="20"/>
      <c r="B29" s="55" t="s">
        <v>22</v>
      </c>
      <c r="C29" s="16">
        <v>10</v>
      </c>
      <c r="D29" s="19" t="s">
        <v>17</v>
      </c>
      <c r="E29" s="18">
        <v>60.5</v>
      </c>
      <c r="F29" s="17">
        <f t="shared" ref="F29:F43" si="3">C29*E29</f>
        <v>605</v>
      </c>
      <c r="G29" s="16">
        <v>10</v>
      </c>
      <c r="H29" s="19" t="s">
        <v>15</v>
      </c>
      <c r="I29" s="18">
        <v>66.849999999999994</v>
      </c>
      <c r="J29" s="17">
        <f t="shared" ref="J29:J43" si="4">G29*I29</f>
        <v>668.5</v>
      </c>
      <c r="K29" s="16"/>
      <c r="L29" s="15"/>
      <c r="M29" s="14"/>
      <c r="O29" s="54"/>
    </row>
    <row r="30" spans="1:15" x14ac:dyDescent="0.2">
      <c r="B30" s="5" t="s">
        <v>2</v>
      </c>
      <c r="D30" s="1"/>
      <c r="F30" s="14">
        <f>F29</f>
        <v>605</v>
      </c>
      <c r="J30" s="14">
        <f>J29</f>
        <v>668.5</v>
      </c>
      <c r="L30" s="14">
        <f>L29</f>
        <v>0</v>
      </c>
    </row>
    <row r="31" spans="1:15" x14ac:dyDescent="0.2">
      <c r="B31" s="12" t="s">
        <v>1</v>
      </c>
      <c r="D31" s="1"/>
      <c r="E31" s="13">
        <v>0.1</v>
      </c>
      <c r="F31" s="56">
        <f>+E31*F30</f>
        <v>60.5</v>
      </c>
      <c r="I31" s="13">
        <v>0.1</v>
      </c>
      <c r="J31" s="58">
        <f>+I31*J30</f>
        <v>66.850000000000009</v>
      </c>
      <c r="K31" s="13">
        <v>0.1</v>
      </c>
      <c r="L31" s="11">
        <f>+K31*L30</f>
        <v>0</v>
      </c>
    </row>
    <row r="32" spans="1:15" x14ac:dyDescent="0.2">
      <c r="B32" s="10" t="s">
        <v>16</v>
      </c>
      <c r="D32" s="1"/>
      <c r="F32" s="57">
        <f>F30+F31</f>
        <v>665.5</v>
      </c>
      <c r="G32" s="9"/>
      <c r="H32" s="9"/>
      <c r="I32" s="9"/>
      <c r="J32" s="59">
        <f>J30+J31</f>
        <v>735.35</v>
      </c>
      <c r="K32" s="9"/>
      <c r="L32" s="8">
        <f>L30+L31</f>
        <v>0</v>
      </c>
    </row>
    <row r="33" spans="1:15" ht="13.5" thickBot="1" x14ac:dyDescent="0.25">
      <c r="B33" s="5"/>
      <c r="D33" s="1"/>
      <c r="F33" s="3"/>
      <c r="G33" s="4"/>
      <c r="H33" s="4"/>
      <c r="I33" s="7"/>
      <c r="J33" s="3"/>
      <c r="K33" s="6"/>
      <c r="L33" s="3"/>
    </row>
    <row r="34" spans="1:15" x14ac:dyDescent="0.2">
      <c r="B34" s="2" t="s">
        <v>0</v>
      </c>
      <c r="D34" s="1"/>
    </row>
    <row r="35" spans="1:15" ht="13.5" thickBot="1" x14ac:dyDescent="0.25">
      <c r="B35" s="60">
        <f>F32+J32+L32</f>
        <v>1400.85</v>
      </c>
      <c r="D35" s="1"/>
    </row>
    <row r="37" spans="1:15" x14ac:dyDescent="0.2">
      <c r="A37" s="20"/>
      <c r="B37" s="55" t="s">
        <v>28</v>
      </c>
      <c r="C37" s="16">
        <v>12</v>
      </c>
      <c r="D37" s="19" t="s">
        <v>17</v>
      </c>
      <c r="E37" s="18">
        <v>60.5</v>
      </c>
      <c r="F37" s="17">
        <f t="shared" si="3"/>
        <v>726</v>
      </c>
      <c r="G37" s="16">
        <v>1</v>
      </c>
      <c r="H37" s="19" t="s">
        <v>15</v>
      </c>
      <c r="I37" s="18">
        <v>357</v>
      </c>
      <c r="J37" s="17">
        <f t="shared" si="4"/>
        <v>357</v>
      </c>
      <c r="K37" s="16"/>
      <c r="L37" s="15"/>
      <c r="M37" s="14"/>
      <c r="O37" s="54"/>
    </row>
    <row r="38" spans="1:15" x14ac:dyDescent="0.2">
      <c r="A38" s="20"/>
      <c r="B38" s="55" t="s">
        <v>29</v>
      </c>
      <c r="C38" s="61">
        <v>1</v>
      </c>
      <c r="D38" s="19" t="s">
        <v>17</v>
      </c>
      <c r="E38" s="18">
        <v>60.5</v>
      </c>
      <c r="F38" s="17">
        <f t="shared" si="3"/>
        <v>60.5</v>
      </c>
      <c r="G38" s="16">
        <v>1</v>
      </c>
      <c r="H38" s="19" t="s">
        <v>15</v>
      </c>
      <c r="I38" s="18">
        <v>72</v>
      </c>
      <c r="J38" s="17">
        <f t="shared" si="4"/>
        <v>72</v>
      </c>
      <c r="K38" s="16"/>
      <c r="L38" s="15"/>
      <c r="M38" s="14"/>
      <c r="O38" s="54"/>
    </row>
    <row r="39" spans="1:15" x14ac:dyDescent="0.2">
      <c r="A39" s="20"/>
      <c r="B39" s="55" t="s">
        <v>54</v>
      </c>
      <c r="C39" s="61">
        <v>1</v>
      </c>
      <c r="D39" s="19" t="s">
        <v>17</v>
      </c>
      <c r="E39" s="18">
        <v>60.5</v>
      </c>
      <c r="F39" s="17">
        <f t="shared" si="3"/>
        <v>60.5</v>
      </c>
      <c r="G39" s="16">
        <v>1</v>
      </c>
      <c r="H39" s="19" t="s">
        <v>15</v>
      </c>
      <c r="I39" s="18">
        <v>172</v>
      </c>
      <c r="J39" s="17">
        <f t="shared" si="4"/>
        <v>172</v>
      </c>
      <c r="K39" s="16"/>
      <c r="L39" s="15"/>
      <c r="M39" s="14"/>
      <c r="O39" s="54"/>
    </row>
    <row r="40" spans="1:15" x14ac:dyDescent="0.2">
      <c r="A40" s="20"/>
      <c r="B40" s="55" t="s">
        <v>52</v>
      </c>
      <c r="C40" s="16">
        <v>16</v>
      </c>
      <c r="D40" s="19" t="s">
        <v>17</v>
      </c>
      <c r="E40" s="18">
        <v>60.5</v>
      </c>
      <c r="F40" s="17">
        <f t="shared" si="3"/>
        <v>968</v>
      </c>
      <c r="G40" s="16">
        <v>1</v>
      </c>
      <c r="H40" s="19" t="s">
        <v>15</v>
      </c>
      <c r="I40" s="18">
        <v>404</v>
      </c>
      <c r="J40" s="17">
        <f t="shared" si="4"/>
        <v>404</v>
      </c>
      <c r="K40" s="16"/>
      <c r="L40" s="15"/>
      <c r="M40" s="14"/>
      <c r="O40" s="54"/>
    </row>
    <row r="41" spans="1:15" x14ac:dyDescent="0.2">
      <c r="A41" s="20"/>
      <c r="B41" s="55" t="s">
        <v>53</v>
      </c>
      <c r="C41" s="61">
        <v>1</v>
      </c>
      <c r="D41" s="19" t="s">
        <v>17</v>
      </c>
      <c r="E41" s="18">
        <v>60.5</v>
      </c>
      <c r="F41" s="17">
        <f t="shared" si="3"/>
        <v>60.5</v>
      </c>
      <c r="G41" s="16">
        <v>1</v>
      </c>
      <c r="H41" s="19" t="s">
        <v>15</v>
      </c>
      <c r="I41" s="18">
        <v>72</v>
      </c>
      <c r="J41" s="17">
        <f t="shared" si="4"/>
        <v>72</v>
      </c>
      <c r="K41" s="16"/>
      <c r="L41" s="15"/>
      <c r="M41" s="14"/>
      <c r="O41" s="54"/>
    </row>
    <row r="42" spans="1:15" x14ac:dyDescent="0.2">
      <c r="A42" s="20"/>
      <c r="B42" s="55" t="s">
        <v>53</v>
      </c>
      <c r="C42" s="61">
        <v>1</v>
      </c>
      <c r="D42" s="19" t="s">
        <v>17</v>
      </c>
      <c r="E42" s="18">
        <v>60.5</v>
      </c>
      <c r="F42" s="17">
        <f t="shared" si="3"/>
        <v>60.5</v>
      </c>
      <c r="G42" s="16">
        <v>1</v>
      </c>
      <c r="H42" s="19" t="s">
        <v>15</v>
      </c>
      <c r="I42" s="18">
        <v>285</v>
      </c>
      <c r="J42" s="17">
        <f t="shared" si="4"/>
        <v>285</v>
      </c>
      <c r="K42" s="16"/>
      <c r="L42" s="15"/>
      <c r="M42" s="14"/>
      <c r="O42" s="54"/>
    </row>
    <row r="43" spans="1:15" x14ac:dyDescent="0.2">
      <c r="A43" s="20"/>
      <c r="B43" s="55" t="s">
        <v>30</v>
      </c>
      <c r="C43" s="61">
        <v>3</v>
      </c>
      <c r="D43" s="19" t="s">
        <v>17</v>
      </c>
      <c r="E43" s="18">
        <v>60.5</v>
      </c>
      <c r="F43" s="17">
        <f t="shared" si="3"/>
        <v>181.5</v>
      </c>
      <c r="G43" s="16">
        <v>6</v>
      </c>
      <c r="H43" s="19" t="s">
        <v>15</v>
      </c>
      <c r="I43" s="18">
        <v>60</v>
      </c>
      <c r="J43" s="17">
        <f t="shared" si="4"/>
        <v>360</v>
      </c>
      <c r="K43" s="16"/>
      <c r="L43" s="15"/>
      <c r="M43" s="14"/>
      <c r="O43" s="54"/>
    </row>
    <row r="44" spans="1:15" x14ac:dyDescent="0.2">
      <c r="B44" s="5" t="s">
        <v>2</v>
      </c>
      <c r="D44" s="1"/>
      <c r="F44" s="14">
        <f>SUM(F37:F43)</f>
        <v>2117.5</v>
      </c>
      <c r="G44" s="14"/>
      <c r="H44" s="14"/>
      <c r="I44" s="14"/>
      <c r="J44" s="14">
        <f t="shared" ref="J44" si="5">SUM(J37:J43)</f>
        <v>1722</v>
      </c>
      <c r="K44" s="14"/>
      <c r="L44" s="14"/>
    </row>
    <row r="45" spans="1:15" x14ac:dyDescent="0.2">
      <c r="B45" s="12" t="s">
        <v>1</v>
      </c>
      <c r="D45" s="1"/>
      <c r="E45" s="13">
        <v>0.1</v>
      </c>
      <c r="F45" s="56">
        <f>+E45*F44</f>
        <v>211.75</v>
      </c>
      <c r="I45" s="13">
        <v>0.1</v>
      </c>
      <c r="J45" s="58">
        <f>+I45*J44</f>
        <v>172.20000000000002</v>
      </c>
      <c r="K45" s="13">
        <v>0.1</v>
      </c>
      <c r="L45" s="11">
        <f>+K45*L44</f>
        <v>0</v>
      </c>
    </row>
    <row r="46" spans="1:15" x14ac:dyDescent="0.2">
      <c r="B46" s="10" t="s">
        <v>16</v>
      </c>
      <c r="D46" s="1"/>
      <c r="F46" s="57">
        <f>F44+F45</f>
        <v>2329.25</v>
      </c>
      <c r="G46" s="9"/>
      <c r="H46" s="9"/>
      <c r="I46" s="9"/>
      <c r="J46" s="59">
        <f>J44+J45</f>
        <v>1894.2</v>
      </c>
      <c r="K46" s="9"/>
      <c r="L46" s="8">
        <f>L44+L45</f>
        <v>0</v>
      </c>
    </row>
    <row r="47" spans="1:15" ht="13.5" thickBot="1" x14ac:dyDescent="0.25">
      <c r="B47" s="5"/>
      <c r="D47" s="1"/>
      <c r="F47" s="3"/>
      <c r="G47" s="4"/>
      <c r="H47" s="4"/>
      <c r="I47" s="7"/>
      <c r="J47" s="3"/>
      <c r="K47" s="6"/>
      <c r="L47" s="3"/>
    </row>
    <row r="48" spans="1:15" x14ac:dyDescent="0.2">
      <c r="B48" s="2" t="s">
        <v>0</v>
      </c>
      <c r="D48" s="1"/>
    </row>
    <row r="49" spans="1:15" ht="13.5" thickBot="1" x14ac:dyDescent="0.25">
      <c r="B49" s="60">
        <f>F46+J46+L46</f>
        <v>4223.45</v>
      </c>
      <c r="D49" s="1"/>
    </row>
    <row r="50" spans="1:15" x14ac:dyDescent="0.2">
      <c r="A50" s="20"/>
      <c r="B50" s="78" t="s">
        <v>47</v>
      </c>
      <c r="C50" s="16"/>
      <c r="D50" s="19"/>
      <c r="E50" s="18"/>
      <c r="F50" s="17"/>
      <c r="G50" s="16"/>
      <c r="H50" s="19"/>
      <c r="I50" s="18"/>
      <c r="J50" s="17"/>
      <c r="K50" s="16"/>
      <c r="L50" s="15"/>
      <c r="M50" s="14"/>
      <c r="O50" s="54"/>
    </row>
    <row r="51" spans="1:15" x14ac:dyDescent="0.2">
      <c r="A51" s="20"/>
      <c r="B51" s="55" t="s">
        <v>48</v>
      </c>
      <c r="C51" s="16">
        <v>5</v>
      </c>
      <c r="D51" s="19" t="s">
        <v>24</v>
      </c>
      <c r="E51" s="18">
        <v>60.5</v>
      </c>
      <c r="F51" s="17">
        <f t="shared" ref="F51:F63" si="6">C51*E51</f>
        <v>302.5</v>
      </c>
      <c r="G51" s="16">
        <v>31</v>
      </c>
      <c r="H51" s="19" t="s">
        <v>20</v>
      </c>
      <c r="I51" s="18">
        <v>1.65</v>
      </c>
      <c r="J51" s="17">
        <f t="shared" ref="J51:J63" si="7">G51*I51</f>
        <v>51.15</v>
      </c>
      <c r="K51" s="16"/>
      <c r="L51" s="15"/>
      <c r="M51" s="14"/>
      <c r="O51" s="54"/>
    </row>
    <row r="52" spans="1:15" x14ac:dyDescent="0.2">
      <c r="A52" s="20"/>
      <c r="B52" s="55" t="s">
        <v>42</v>
      </c>
      <c r="C52" s="16">
        <v>3</v>
      </c>
      <c r="D52" s="19" t="s">
        <v>24</v>
      </c>
      <c r="E52" s="18">
        <v>60.5</v>
      </c>
      <c r="F52" s="17">
        <f t="shared" si="6"/>
        <v>181.5</v>
      </c>
      <c r="G52" s="16">
        <v>6</v>
      </c>
      <c r="H52" s="19" t="s">
        <v>15</v>
      </c>
      <c r="I52" s="18">
        <v>2.65</v>
      </c>
      <c r="J52" s="17">
        <f t="shared" si="7"/>
        <v>15.899999999999999</v>
      </c>
      <c r="K52" s="16"/>
      <c r="L52" s="15"/>
      <c r="M52" s="14"/>
      <c r="O52" s="54"/>
    </row>
    <row r="53" spans="1:15" x14ac:dyDescent="0.2">
      <c r="B53" s="5" t="s">
        <v>2</v>
      </c>
      <c r="D53" s="1"/>
      <c r="F53" s="14">
        <f>SUM(F50:F52)</f>
        <v>484</v>
      </c>
      <c r="G53" s="14"/>
      <c r="H53" s="14"/>
      <c r="I53" s="14"/>
      <c r="J53" s="14">
        <f t="shared" ref="J53" si="8">SUM(J50:J52)</f>
        <v>67.05</v>
      </c>
      <c r="L53" s="14"/>
    </row>
    <row r="54" spans="1:15" x14ac:dyDescent="0.2">
      <c r="B54" s="12" t="s">
        <v>1</v>
      </c>
      <c r="D54" s="1"/>
      <c r="E54" s="13">
        <v>0.1</v>
      </c>
      <c r="F54" s="56">
        <f>+E54*F53</f>
        <v>48.400000000000006</v>
      </c>
      <c r="I54" s="13">
        <v>0.1</v>
      </c>
      <c r="J54" s="58">
        <f>+I54*J53</f>
        <v>6.7050000000000001</v>
      </c>
      <c r="K54" s="13">
        <v>0.1</v>
      </c>
      <c r="L54" s="11">
        <f>+K54*L53</f>
        <v>0</v>
      </c>
    </row>
    <row r="55" spans="1:15" x14ac:dyDescent="0.2">
      <c r="B55" s="10" t="s">
        <v>16</v>
      </c>
      <c r="D55" s="1"/>
      <c r="F55" s="57">
        <f>F53+F54</f>
        <v>532.4</v>
      </c>
      <c r="G55" s="9"/>
      <c r="H55" s="9"/>
      <c r="I55" s="9"/>
      <c r="J55" s="59">
        <f>J53+J54</f>
        <v>73.754999999999995</v>
      </c>
      <c r="K55" s="9"/>
      <c r="L55" s="8">
        <f>L53+L54</f>
        <v>0</v>
      </c>
    </row>
    <row r="56" spans="1:15" ht="13.5" thickBot="1" x14ac:dyDescent="0.25">
      <c r="B56" s="5"/>
      <c r="D56" s="1"/>
      <c r="F56" s="3"/>
      <c r="G56" s="4"/>
      <c r="H56" s="4"/>
      <c r="I56" s="7"/>
      <c r="J56" s="3"/>
      <c r="K56" s="6"/>
      <c r="L56" s="3"/>
    </row>
    <row r="57" spans="1:15" x14ac:dyDescent="0.2">
      <c r="B57" s="2" t="s">
        <v>0</v>
      </c>
      <c r="D57" s="1"/>
    </row>
    <row r="58" spans="1:15" ht="13.5" thickBot="1" x14ac:dyDescent="0.25">
      <c r="B58" s="60">
        <f>F55+J55+L55</f>
        <v>606.15499999999997</v>
      </c>
      <c r="D58" s="1"/>
    </row>
    <row r="61" spans="1:15" x14ac:dyDescent="0.2">
      <c r="A61" s="20"/>
      <c r="B61" s="78" t="s">
        <v>49</v>
      </c>
      <c r="C61" s="16"/>
      <c r="D61" s="19"/>
      <c r="E61" s="18"/>
      <c r="F61" s="17"/>
      <c r="G61" s="16"/>
      <c r="H61" s="19"/>
      <c r="I61" s="18"/>
      <c r="J61" s="17"/>
      <c r="K61" s="16"/>
      <c r="L61" s="15"/>
      <c r="M61" s="14"/>
      <c r="O61" s="54"/>
    </row>
    <row r="62" spans="1:15" x14ac:dyDescent="0.2">
      <c r="A62" s="20"/>
      <c r="B62" s="55" t="s">
        <v>50</v>
      </c>
      <c r="C62" s="16">
        <v>7</v>
      </c>
      <c r="D62" s="19" t="s">
        <v>24</v>
      </c>
      <c r="E62" s="18">
        <v>60.5</v>
      </c>
      <c r="F62" s="17">
        <f t="shared" si="6"/>
        <v>423.5</v>
      </c>
      <c r="G62" s="16">
        <v>31</v>
      </c>
      <c r="H62" s="19" t="s">
        <v>20</v>
      </c>
      <c r="I62" s="18">
        <v>3.754</v>
      </c>
      <c r="J62" s="17">
        <f t="shared" si="7"/>
        <v>116.374</v>
      </c>
      <c r="K62" s="16"/>
      <c r="L62" s="15"/>
      <c r="M62" s="14"/>
      <c r="O62" s="54"/>
    </row>
    <row r="63" spans="1:15" x14ac:dyDescent="0.2">
      <c r="A63" s="20"/>
      <c r="B63" s="55" t="s">
        <v>27</v>
      </c>
      <c r="C63" s="16">
        <v>4</v>
      </c>
      <c r="D63" s="19" t="s">
        <v>24</v>
      </c>
      <c r="E63" s="18">
        <v>60.5</v>
      </c>
      <c r="F63" s="17">
        <f t="shared" si="6"/>
        <v>242</v>
      </c>
      <c r="G63" s="16">
        <v>5</v>
      </c>
      <c r="H63" s="19" t="s">
        <v>15</v>
      </c>
      <c r="I63" s="18">
        <v>17.59</v>
      </c>
      <c r="J63" s="17">
        <f t="shared" si="7"/>
        <v>87.95</v>
      </c>
      <c r="K63" s="16"/>
      <c r="L63" s="15"/>
      <c r="M63" s="14"/>
      <c r="O63" s="54"/>
    </row>
    <row r="64" spans="1:15" x14ac:dyDescent="0.2">
      <c r="B64" s="5" t="s">
        <v>2</v>
      </c>
      <c r="D64" s="1"/>
      <c r="F64" s="14">
        <f>SUM(F61:F63)</f>
        <v>665.5</v>
      </c>
      <c r="G64" s="14"/>
      <c r="H64" s="14"/>
      <c r="I64" s="14"/>
      <c r="J64" s="14">
        <f t="shared" ref="J64" si="9">SUM(J61:J63)</f>
        <v>204.32400000000001</v>
      </c>
      <c r="L64" s="14"/>
    </row>
    <row r="65" spans="1:15" x14ac:dyDescent="0.2">
      <c r="B65" s="12" t="s">
        <v>1</v>
      </c>
      <c r="D65" s="1"/>
      <c r="E65" s="13">
        <v>0.1</v>
      </c>
      <c r="F65" s="56">
        <f>+E65*F64</f>
        <v>66.55</v>
      </c>
      <c r="I65" s="13">
        <v>0.1</v>
      </c>
      <c r="J65" s="58">
        <f>+I65*J64</f>
        <v>20.432400000000001</v>
      </c>
      <c r="K65" s="13">
        <v>0.1</v>
      </c>
      <c r="L65" s="11">
        <f>+K65*L64</f>
        <v>0</v>
      </c>
    </row>
    <row r="66" spans="1:15" x14ac:dyDescent="0.2">
      <c r="B66" s="10" t="s">
        <v>16</v>
      </c>
      <c r="D66" s="1"/>
      <c r="F66" s="57">
        <f>F64+F65</f>
        <v>732.05</v>
      </c>
      <c r="G66" s="9"/>
      <c r="H66" s="9"/>
      <c r="I66" s="9"/>
      <c r="J66" s="59">
        <f>J64+J65</f>
        <v>224.75640000000001</v>
      </c>
      <c r="K66" s="9"/>
      <c r="L66" s="8">
        <f>L64+L65</f>
        <v>0</v>
      </c>
    </row>
    <row r="67" spans="1:15" ht="13.5" thickBot="1" x14ac:dyDescent="0.25">
      <c r="B67" s="5"/>
      <c r="D67" s="1"/>
      <c r="F67" s="3"/>
      <c r="G67" s="4"/>
      <c r="H67" s="4"/>
      <c r="I67" s="7"/>
      <c r="J67" s="3"/>
      <c r="K67" s="6"/>
      <c r="L67" s="3"/>
    </row>
    <row r="68" spans="1:15" x14ac:dyDescent="0.2">
      <c r="B68" s="2" t="s">
        <v>0</v>
      </c>
      <c r="D68" s="1"/>
    </row>
    <row r="69" spans="1:15" ht="13.5" thickBot="1" x14ac:dyDescent="0.25">
      <c r="B69" s="60">
        <f>F66+J66+L66</f>
        <v>956.80639999999994</v>
      </c>
      <c r="D69" s="1"/>
    </row>
    <row r="72" spans="1:15" x14ac:dyDescent="0.2">
      <c r="A72" s="20"/>
      <c r="B72" s="78" t="s">
        <v>45</v>
      </c>
      <c r="C72" s="16"/>
      <c r="D72" s="19"/>
      <c r="E72" s="18"/>
      <c r="F72" s="17"/>
      <c r="G72" s="16"/>
      <c r="H72" s="19"/>
      <c r="I72" s="18"/>
      <c r="J72" s="17"/>
      <c r="K72" s="16"/>
      <c r="L72" s="15"/>
      <c r="M72" s="14"/>
      <c r="O72" s="54"/>
    </row>
    <row r="73" spans="1:15" x14ac:dyDescent="0.2">
      <c r="A73" s="20"/>
      <c r="B73" s="55" t="s">
        <v>46</v>
      </c>
      <c r="C73" s="16">
        <f>0.18*G73</f>
        <v>11.16</v>
      </c>
      <c r="D73" s="19" t="s">
        <v>24</v>
      </c>
      <c r="E73" s="18">
        <v>60.5</v>
      </c>
      <c r="F73" s="17">
        <f t="shared" ref="F73:F74" si="10">C73*E73</f>
        <v>675.18000000000006</v>
      </c>
      <c r="G73" s="16">
        <v>62</v>
      </c>
      <c r="H73" s="19" t="s">
        <v>20</v>
      </c>
      <c r="I73" s="18">
        <v>3.75</v>
      </c>
      <c r="J73" s="17">
        <f t="shared" ref="J73:J74" si="11">G73*I73</f>
        <v>232.5</v>
      </c>
      <c r="K73" s="16"/>
      <c r="L73" s="15"/>
      <c r="M73" s="14"/>
      <c r="O73" s="54"/>
    </row>
    <row r="74" spans="1:15" x14ac:dyDescent="0.2">
      <c r="A74" s="20"/>
      <c r="B74" s="55" t="s">
        <v>27</v>
      </c>
      <c r="C74" s="16">
        <f>1.3*G74</f>
        <v>7.8000000000000007</v>
      </c>
      <c r="D74" s="19" t="s">
        <v>24</v>
      </c>
      <c r="E74" s="18">
        <v>60.5</v>
      </c>
      <c r="F74" s="17">
        <f t="shared" si="10"/>
        <v>471.90000000000003</v>
      </c>
      <c r="G74" s="16">
        <v>6</v>
      </c>
      <c r="H74" s="19" t="s">
        <v>15</v>
      </c>
      <c r="I74" s="18">
        <v>17.59</v>
      </c>
      <c r="J74" s="17">
        <f t="shared" si="11"/>
        <v>105.53999999999999</v>
      </c>
      <c r="K74" s="16"/>
      <c r="L74" s="15"/>
      <c r="M74" s="14"/>
      <c r="O74" s="54"/>
    </row>
    <row r="75" spans="1:15" x14ac:dyDescent="0.2">
      <c r="B75" s="5" t="s">
        <v>2</v>
      </c>
      <c r="D75" s="1"/>
      <c r="F75" s="14">
        <f>SUM(F72:F74)</f>
        <v>1147.0800000000002</v>
      </c>
      <c r="G75" s="14"/>
      <c r="H75" s="14"/>
      <c r="I75" s="14"/>
      <c r="J75" s="14">
        <f>SUM(J72:J74)</f>
        <v>338.03999999999996</v>
      </c>
      <c r="L75" s="14">
        <f>SUM(L6:L74)</f>
        <v>0</v>
      </c>
    </row>
    <row r="76" spans="1:15" x14ac:dyDescent="0.2">
      <c r="B76" s="12" t="s">
        <v>1</v>
      </c>
      <c r="D76" s="1"/>
      <c r="E76" s="13">
        <v>0.1</v>
      </c>
      <c r="F76" s="56">
        <f>+E76*F75</f>
        <v>114.70800000000003</v>
      </c>
      <c r="I76" s="13">
        <v>0.1</v>
      </c>
      <c r="J76" s="58">
        <f>+I76*J75</f>
        <v>33.803999999999995</v>
      </c>
      <c r="K76" s="13">
        <v>0.1</v>
      </c>
      <c r="L76" s="11">
        <f>+K76*L75</f>
        <v>0</v>
      </c>
    </row>
    <row r="77" spans="1:15" x14ac:dyDescent="0.2">
      <c r="B77" s="10" t="s">
        <v>16</v>
      </c>
      <c r="D77" s="1"/>
      <c r="F77" s="57">
        <f>F75+F76</f>
        <v>1261.7880000000002</v>
      </c>
      <c r="G77" s="9"/>
      <c r="H77" s="9"/>
      <c r="I77" s="9"/>
      <c r="J77" s="59">
        <f>J75+J76</f>
        <v>371.84399999999994</v>
      </c>
      <c r="K77" s="9"/>
      <c r="L77" s="8">
        <f>L75+L76</f>
        <v>0</v>
      </c>
    </row>
    <row r="78" spans="1:15" ht="13.5" thickBot="1" x14ac:dyDescent="0.25">
      <c r="B78" s="5"/>
      <c r="D78" s="1"/>
      <c r="F78" s="3"/>
      <c r="G78" s="4"/>
      <c r="H78" s="4"/>
      <c r="I78" s="7"/>
      <c r="J78" s="3"/>
      <c r="K78" s="6"/>
      <c r="L78" s="3"/>
    </row>
    <row r="79" spans="1:15" x14ac:dyDescent="0.2">
      <c r="B79" s="2" t="s">
        <v>0</v>
      </c>
      <c r="D79" s="1"/>
    </row>
    <row r="80" spans="1:15" ht="13.5" thickBot="1" x14ac:dyDescent="0.25">
      <c r="B80" s="60">
        <f>F77+J77+L77</f>
        <v>1633.6320000000001</v>
      </c>
      <c r="D80" s="1"/>
    </row>
    <row r="83" spans="1:15" x14ac:dyDescent="0.2">
      <c r="A83" s="20"/>
      <c r="B83" s="78" t="s">
        <v>51</v>
      </c>
      <c r="C83" s="16"/>
      <c r="D83" s="19"/>
      <c r="E83" s="18"/>
      <c r="F83" s="17"/>
      <c r="G83" s="16"/>
      <c r="H83" s="19"/>
      <c r="I83" s="18"/>
      <c r="J83" s="17"/>
      <c r="K83" s="16"/>
      <c r="L83" s="15"/>
      <c r="M83" s="14"/>
      <c r="O83" s="54"/>
    </row>
    <row r="84" spans="1:15" x14ac:dyDescent="0.2">
      <c r="A84" s="20"/>
      <c r="B84" s="55" t="s">
        <v>43</v>
      </c>
      <c r="C84" s="16">
        <v>30</v>
      </c>
      <c r="D84" s="19" t="s">
        <v>24</v>
      </c>
      <c r="E84" s="18">
        <v>60.5</v>
      </c>
      <c r="F84" s="17">
        <f t="shared" ref="F84:F85" si="12">C84*E84</f>
        <v>1815</v>
      </c>
      <c r="G84" s="16">
        <v>120</v>
      </c>
      <c r="H84" s="19" t="s">
        <v>20</v>
      </c>
      <c r="I84" s="18">
        <f>5.95*1.05</f>
        <v>6.2475000000000005</v>
      </c>
      <c r="J84" s="17">
        <f t="shared" ref="J84:J85" si="13">G84*I84</f>
        <v>749.7</v>
      </c>
      <c r="K84" s="16"/>
      <c r="L84" s="15"/>
      <c r="M84" s="14"/>
      <c r="O84" s="54"/>
    </row>
    <row r="85" spans="1:15" x14ac:dyDescent="0.2">
      <c r="A85" s="20"/>
      <c r="B85" s="55" t="s">
        <v>44</v>
      </c>
      <c r="C85" s="16">
        <v>6</v>
      </c>
      <c r="D85" s="19" t="s">
        <v>24</v>
      </c>
      <c r="E85" s="18">
        <v>60.5</v>
      </c>
      <c r="F85" s="17">
        <f t="shared" si="12"/>
        <v>363</v>
      </c>
      <c r="G85" s="16">
        <v>8</v>
      </c>
      <c r="H85" s="19" t="s">
        <v>15</v>
      </c>
      <c r="I85" s="18">
        <v>23.47</v>
      </c>
      <c r="J85" s="17">
        <f t="shared" si="13"/>
        <v>187.76</v>
      </c>
      <c r="K85" s="16"/>
      <c r="L85" s="15"/>
      <c r="M85" s="14"/>
      <c r="O85" s="54"/>
    </row>
    <row r="86" spans="1:15" x14ac:dyDescent="0.2">
      <c r="B86" s="5" t="s">
        <v>2</v>
      </c>
      <c r="D86" s="1"/>
      <c r="F86" s="14">
        <f>SUM(F83:F85)</f>
        <v>2178</v>
      </c>
      <c r="G86" s="14"/>
      <c r="H86" s="14"/>
      <c r="I86" s="14"/>
      <c r="J86" s="14">
        <f t="shared" ref="G86:J86" si="14">SUM(J83:J85)</f>
        <v>937.46</v>
      </c>
      <c r="L86" s="14">
        <f>SUM(L17:L85)</f>
        <v>0</v>
      </c>
    </row>
    <row r="87" spans="1:15" x14ac:dyDescent="0.2">
      <c r="B87" s="12" t="s">
        <v>1</v>
      </c>
      <c r="D87" s="1"/>
      <c r="E87" s="13">
        <v>0.1</v>
      </c>
      <c r="F87" s="56">
        <f>+E87*F86</f>
        <v>217.8</v>
      </c>
      <c r="I87" s="13">
        <v>0.1</v>
      </c>
      <c r="J87" s="58">
        <f>+I87*J86</f>
        <v>93.746000000000009</v>
      </c>
      <c r="K87" s="13">
        <v>0.1</v>
      </c>
      <c r="L87" s="11">
        <f>+K87*L86</f>
        <v>0</v>
      </c>
    </row>
    <row r="88" spans="1:15" x14ac:dyDescent="0.2">
      <c r="B88" s="10" t="s">
        <v>16</v>
      </c>
      <c r="D88" s="1"/>
      <c r="F88" s="57">
        <f>F86+F87</f>
        <v>2395.8000000000002</v>
      </c>
      <c r="G88" s="9"/>
      <c r="H88" s="9"/>
      <c r="I88" s="9"/>
      <c r="J88" s="59">
        <f>J86+J87</f>
        <v>1031.2060000000001</v>
      </c>
      <c r="K88" s="9"/>
      <c r="L88" s="8">
        <f>L86+L87</f>
        <v>0</v>
      </c>
    </row>
    <row r="89" spans="1:15" ht="13.5" thickBot="1" x14ac:dyDescent="0.25">
      <c r="B89" s="5"/>
      <c r="D89" s="1"/>
      <c r="F89" s="3"/>
      <c r="G89" s="4"/>
      <c r="H89" s="4"/>
      <c r="I89" s="7"/>
      <c r="J89" s="3"/>
      <c r="K89" s="6"/>
      <c r="L89" s="3"/>
    </row>
    <row r="90" spans="1:15" x14ac:dyDescent="0.2">
      <c r="B90" s="2" t="s">
        <v>0</v>
      </c>
      <c r="D90" s="1"/>
    </row>
    <row r="91" spans="1:15" ht="13.5" thickBot="1" x14ac:dyDescent="0.25">
      <c r="B91" s="60">
        <f>F88+J88+L88</f>
        <v>3427.0060000000003</v>
      </c>
      <c r="D91" s="1"/>
    </row>
    <row r="94" spans="1:15" x14ac:dyDescent="0.2">
      <c r="A94" s="30"/>
      <c r="B94" s="29"/>
      <c r="C94" s="79" t="s">
        <v>10</v>
      </c>
      <c r="D94" s="79"/>
      <c r="E94" s="79"/>
      <c r="F94" s="79"/>
      <c r="G94" s="28" t="s">
        <v>9</v>
      </c>
      <c r="H94" s="27"/>
      <c r="I94" s="27"/>
      <c r="J94" s="62" t="s">
        <v>31</v>
      </c>
      <c r="K94" s="26" t="s">
        <v>8</v>
      </c>
      <c r="L94" s="25"/>
    </row>
    <row r="95" spans="1:15" x14ac:dyDescent="0.2">
      <c r="A95" s="24" t="s">
        <v>7</v>
      </c>
      <c r="B95" s="23" t="s">
        <v>6</v>
      </c>
      <c r="C95" s="21" t="s">
        <v>18</v>
      </c>
      <c r="D95" s="21" t="s">
        <v>4</v>
      </c>
      <c r="E95" s="21" t="s">
        <v>5</v>
      </c>
      <c r="F95" s="22" t="s">
        <v>3</v>
      </c>
      <c r="G95" s="21" t="s">
        <v>18</v>
      </c>
      <c r="H95" s="21" t="s">
        <v>4</v>
      </c>
      <c r="I95" s="21" t="s">
        <v>5</v>
      </c>
      <c r="J95" s="22" t="s">
        <v>3</v>
      </c>
      <c r="K95" s="21" t="s">
        <v>4</v>
      </c>
      <c r="L95" s="21" t="s">
        <v>3</v>
      </c>
    </row>
    <row r="96" spans="1:15" x14ac:dyDescent="0.2">
      <c r="A96" s="20"/>
      <c r="B96" s="78" t="s">
        <v>33</v>
      </c>
      <c r="C96" s="16"/>
      <c r="D96" s="19"/>
      <c r="E96" s="18"/>
      <c r="F96" s="17"/>
      <c r="G96" s="16"/>
      <c r="H96" s="19"/>
      <c r="I96" s="18"/>
      <c r="J96" s="17"/>
      <c r="K96" s="16"/>
      <c r="L96" s="15"/>
      <c r="M96" s="14"/>
      <c r="O96" s="53"/>
    </row>
    <row r="97" spans="1:15" x14ac:dyDescent="0.2">
      <c r="A97" s="20"/>
      <c r="B97" s="55" t="s">
        <v>34</v>
      </c>
      <c r="C97" s="16">
        <v>10</v>
      </c>
      <c r="D97" s="19" t="s">
        <v>24</v>
      </c>
      <c r="E97" s="18">
        <v>60.5</v>
      </c>
      <c r="F97" s="17">
        <f t="shared" ref="F97:F100" si="15">C97*E97</f>
        <v>605</v>
      </c>
      <c r="G97" s="16">
        <v>1</v>
      </c>
      <c r="H97" s="19" t="s">
        <v>15</v>
      </c>
      <c r="I97" s="18">
        <f>653.54*1.15</f>
        <v>751.57099999999991</v>
      </c>
      <c r="J97" s="17">
        <f t="shared" ref="J97:J105" si="16">G97*I97</f>
        <v>751.57099999999991</v>
      </c>
      <c r="K97" s="16"/>
      <c r="L97" s="15"/>
      <c r="M97" s="14"/>
      <c r="O97" s="53"/>
    </row>
    <row r="98" spans="1:15" ht="13.5" customHeight="1" x14ac:dyDescent="0.2">
      <c r="A98" s="20"/>
      <c r="B98" s="55" t="s">
        <v>35</v>
      </c>
      <c r="C98" s="16"/>
      <c r="D98" s="19"/>
      <c r="E98" s="18"/>
      <c r="F98" s="17"/>
      <c r="G98" s="16">
        <v>1</v>
      </c>
      <c r="H98" s="19" t="s">
        <v>15</v>
      </c>
      <c r="I98" s="18">
        <f>362.95*1.15</f>
        <v>417.39249999999993</v>
      </c>
      <c r="J98" s="17">
        <f t="shared" si="16"/>
        <v>417.39249999999993</v>
      </c>
      <c r="K98" s="16"/>
      <c r="L98" s="15"/>
      <c r="M98" s="14"/>
      <c r="O98" s="54"/>
    </row>
    <row r="99" spans="1:15" x14ac:dyDescent="0.2">
      <c r="A99" s="20"/>
      <c r="B99" s="55" t="s">
        <v>36</v>
      </c>
      <c r="C99" s="16">
        <v>4</v>
      </c>
      <c r="D99" s="19" t="s">
        <v>24</v>
      </c>
      <c r="E99" s="18">
        <v>60.5</v>
      </c>
      <c r="F99" s="17">
        <f t="shared" si="15"/>
        <v>242</v>
      </c>
      <c r="G99" s="16">
        <v>3</v>
      </c>
      <c r="H99" s="19" t="s">
        <v>15</v>
      </c>
      <c r="I99" s="18">
        <f>44.32*1.15</f>
        <v>50.967999999999996</v>
      </c>
      <c r="J99" s="17">
        <f t="shared" si="16"/>
        <v>152.904</v>
      </c>
      <c r="K99" s="16"/>
      <c r="L99" s="15"/>
      <c r="M99" s="14"/>
      <c r="O99" s="54"/>
    </row>
    <row r="100" spans="1:15" x14ac:dyDescent="0.2">
      <c r="A100" s="20"/>
      <c r="B100" s="55" t="s">
        <v>37</v>
      </c>
      <c r="C100" s="16">
        <v>1</v>
      </c>
      <c r="D100" s="19" t="s">
        <v>24</v>
      </c>
      <c r="E100" s="18">
        <v>60.5</v>
      </c>
      <c r="F100" s="17">
        <f t="shared" si="15"/>
        <v>60.5</v>
      </c>
      <c r="G100" s="16">
        <v>1</v>
      </c>
      <c r="H100" s="19" t="s">
        <v>15</v>
      </c>
      <c r="I100" s="18">
        <f>75.18*1.15</f>
        <v>86.457000000000008</v>
      </c>
      <c r="J100" s="17">
        <f t="shared" si="16"/>
        <v>86.457000000000008</v>
      </c>
      <c r="K100" s="16"/>
      <c r="L100" s="15"/>
      <c r="M100" s="14"/>
      <c r="O100" s="54"/>
    </row>
    <row r="101" spans="1:15" x14ac:dyDescent="0.2">
      <c r="A101" s="20"/>
      <c r="B101" s="55" t="s">
        <v>38</v>
      </c>
      <c r="C101" s="16">
        <v>3</v>
      </c>
      <c r="D101" s="19" t="s">
        <v>17</v>
      </c>
      <c r="E101" s="18">
        <v>60.5</v>
      </c>
      <c r="F101" s="17">
        <f>C101*E101</f>
        <v>181.5</v>
      </c>
      <c r="G101" s="16">
        <v>1</v>
      </c>
      <c r="H101" s="19" t="s">
        <v>15</v>
      </c>
      <c r="I101" s="18">
        <f>51.05*1.15</f>
        <v>58.707499999999989</v>
      </c>
      <c r="J101" s="17">
        <f t="shared" si="16"/>
        <v>58.707499999999989</v>
      </c>
      <c r="K101" s="16"/>
      <c r="L101" s="15"/>
      <c r="M101" s="14"/>
      <c r="O101" s="54"/>
    </row>
    <row r="102" spans="1:15" x14ac:dyDescent="0.2">
      <c r="A102" s="20"/>
      <c r="B102" s="55" t="s">
        <v>39</v>
      </c>
      <c r="C102" s="16">
        <v>3</v>
      </c>
      <c r="D102" s="19" t="s">
        <v>17</v>
      </c>
      <c r="E102" s="18">
        <v>60.5</v>
      </c>
      <c r="F102" s="17">
        <f>C102*E102</f>
        <v>181.5</v>
      </c>
      <c r="G102" s="16">
        <v>1</v>
      </c>
      <c r="H102" s="19" t="s">
        <v>15</v>
      </c>
      <c r="I102" s="18">
        <f>43.19*1.15</f>
        <v>49.668499999999995</v>
      </c>
      <c r="J102" s="17">
        <f t="shared" si="16"/>
        <v>49.668499999999995</v>
      </c>
      <c r="K102" s="16"/>
      <c r="L102" s="15"/>
      <c r="M102" s="14"/>
      <c r="O102" s="54"/>
    </row>
    <row r="103" spans="1:15" x14ac:dyDescent="0.2">
      <c r="A103" s="20"/>
      <c r="B103" s="55" t="s">
        <v>40</v>
      </c>
      <c r="C103" s="16">
        <v>3</v>
      </c>
      <c r="D103" s="19" t="s">
        <v>17</v>
      </c>
      <c r="E103" s="18">
        <v>60.5</v>
      </c>
      <c r="F103" s="17">
        <f>C103*E103</f>
        <v>181.5</v>
      </c>
      <c r="G103" s="16">
        <v>1</v>
      </c>
      <c r="H103" s="19" t="s">
        <v>15</v>
      </c>
      <c r="I103" s="18">
        <f>196.34*1.15</f>
        <v>225.791</v>
      </c>
      <c r="J103" s="17">
        <f t="shared" si="16"/>
        <v>225.791</v>
      </c>
      <c r="K103" s="16"/>
      <c r="L103" s="15"/>
      <c r="M103" s="14"/>
      <c r="O103" s="54"/>
    </row>
    <row r="104" spans="1:15" x14ac:dyDescent="0.2">
      <c r="A104" s="20"/>
      <c r="B104" s="55" t="s">
        <v>55</v>
      </c>
      <c r="C104" s="16"/>
      <c r="D104" s="19"/>
      <c r="E104" s="18"/>
      <c r="F104" s="17"/>
      <c r="G104" s="16">
        <v>1</v>
      </c>
      <c r="H104" s="19" t="s">
        <v>56</v>
      </c>
      <c r="I104" s="18">
        <v>800</v>
      </c>
      <c r="J104" s="17">
        <f t="shared" si="16"/>
        <v>800</v>
      </c>
      <c r="K104" s="16"/>
      <c r="L104" s="15"/>
      <c r="M104" s="14"/>
      <c r="O104" s="54"/>
    </row>
    <row r="105" spans="1:15" x14ac:dyDescent="0.2">
      <c r="A105" s="20"/>
      <c r="B105" s="55"/>
      <c r="C105" s="61"/>
      <c r="D105" s="19" t="s">
        <v>17</v>
      </c>
      <c r="E105" s="18">
        <v>60.5</v>
      </c>
      <c r="F105" s="17">
        <f>C105*E105</f>
        <v>0</v>
      </c>
      <c r="G105" s="16"/>
      <c r="H105" s="19" t="s">
        <v>15</v>
      </c>
      <c r="I105" s="18"/>
      <c r="J105" s="17">
        <f t="shared" si="16"/>
        <v>0</v>
      </c>
      <c r="K105" s="16"/>
      <c r="L105" s="15"/>
      <c r="M105" s="14"/>
      <c r="O105" s="54"/>
    </row>
    <row r="106" spans="1:15" x14ac:dyDescent="0.2">
      <c r="B106" s="5" t="s">
        <v>2</v>
      </c>
      <c r="D106" s="1"/>
      <c r="F106" s="14">
        <f>SUM(F96:F105)</f>
        <v>1452</v>
      </c>
      <c r="J106" s="14">
        <f>SUM(J96:J105)</f>
        <v>2542.4915000000001</v>
      </c>
      <c r="L106" s="14">
        <f>SUM(L96:L105)</f>
        <v>0</v>
      </c>
    </row>
    <row r="107" spans="1:15" x14ac:dyDescent="0.2">
      <c r="B107" s="12" t="s">
        <v>1</v>
      </c>
      <c r="D107" s="1"/>
      <c r="E107" s="13">
        <v>0.1</v>
      </c>
      <c r="F107" s="56">
        <f>+E107*F106</f>
        <v>145.20000000000002</v>
      </c>
      <c r="I107" s="13">
        <v>0.1</v>
      </c>
      <c r="J107" s="58">
        <f>+I107*J106</f>
        <v>254.24915000000001</v>
      </c>
      <c r="K107" s="13">
        <v>0.1</v>
      </c>
      <c r="L107" s="11">
        <f>+K107*L106</f>
        <v>0</v>
      </c>
    </row>
    <row r="108" spans="1:15" x14ac:dyDescent="0.2">
      <c r="B108" s="10" t="s">
        <v>16</v>
      </c>
      <c r="D108" s="1"/>
      <c r="F108" s="57">
        <f>F106+F107</f>
        <v>1597.2</v>
      </c>
      <c r="G108" s="9"/>
      <c r="H108" s="9"/>
      <c r="I108" s="9"/>
      <c r="J108" s="59">
        <f>J106+J107</f>
        <v>2796.7406500000002</v>
      </c>
      <c r="K108" s="9"/>
      <c r="L108" s="8">
        <f>L106+L107</f>
        <v>0</v>
      </c>
    </row>
    <row r="109" spans="1:15" ht="13.5" thickBot="1" x14ac:dyDescent="0.25">
      <c r="B109" s="5"/>
      <c r="D109" s="1"/>
      <c r="F109" s="3"/>
      <c r="G109" s="4"/>
      <c r="H109" s="4"/>
      <c r="I109" s="7"/>
      <c r="J109" s="3"/>
      <c r="K109" s="6"/>
      <c r="L109" s="3"/>
    </row>
    <row r="110" spans="1:15" x14ac:dyDescent="0.2">
      <c r="B110" s="2" t="s">
        <v>0</v>
      </c>
      <c r="D110" s="1"/>
    </row>
    <row r="111" spans="1:15" ht="13.5" thickBot="1" x14ac:dyDescent="0.25">
      <c r="B111" s="60">
        <f>F108+J108+L108</f>
        <v>4393.9406500000005</v>
      </c>
      <c r="D111" s="1"/>
    </row>
    <row r="114" spans="1:15" x14ac:dyDescent="0.2">
      <c r="A114" s="30"/>
      <c r="B114" s="29"/>
      <c r="C114" s="79" t="s">
        <v>10</v>
      </c>
      <c r="D114" s="79"/>
      <c r="E114" s="79"/>
      <c r="F114" s="79"/>
      <c r="G114" s="28" t="s">
        <v>9</v>
      </c>
      <c r="H114" s="27"/>
      <c r="I114" s="27"/>
      <c r="J114" s="62" t="s">
        <v>31</v>
      </c>
      <c r="K114" s="26" t="s">
        <v>8</v>
      </c>
      <c r="L114" s="25"/>
    </row>
    <row r="115" spans="1:15" x14ac:dyDescent="0.2">
      <c r="A115" s="24" t="s">
        <v>7</v>
      </c>
      <c r="B115" s="23" t="s">
        <v>6</v>
      </c>
      <c r="C115" s="21" t="s">
        <v>18</v>
      </c>
      <c r="D115" s="21" t="s">
        <v>4</v>
      </c>
      <c r="E115" s="21" t="s">
        <v>5</v>
      </c>
      <c r="F115" s="22" t="s">
        <v>3</v>
      </c>
      <c r="G115" s="21" t="s">
        <v>18</v>
      </c>
      <c r="H115" s="21" t="s">
        <v>4</v>
      </c>
      <c r="I115" s="21" t="s">
        <v>5</v>
      </c>
      <c r="J115" s="22" t="s">
        <v>3</v>
      </c>
      <c r="K115" s="21" t="s">
        <v>4</v>
      </c>
      <c r="L115" s="21" t="s">
        <v>3</v>
      </c>
    </row>
    <row r="116" spans="1:15" x14ac:dyDescent="0.2">
      <c r="A116" s="20"/>
      <c r="B116" s="78" t="s">
        <v>41</v>
      </c>
      <c r="C116" s="16"/>
      <c r="D116" s="19"/>
      <c r="E116" s="18"/>
      <c r="F116" s="17"/>
      <c r="G116" s="16"/>
      <c r="H116" s="19"/>
      <c r="I116" s="18"/>
      <c r="J116" s="17"/>
      <c r="K116" s="16"/>
      <c r="L116" s="15"/>
      <c r="M116" s="14"/>
      <c r="O116" s="53"/>
    </row>
    <row r="117" spans="1:15" x14ac:dyDescent="0.2">
      <c r="A117" s="20"/>
      <c r="B117" s="55" t="s">
        <v>34</v>
      </c>
      <c r="C117" s="16">
        <v>15</v>
      </c>
      <c r="D117" s="19" t="s">
        <v>24</v>
      </c>
      <c r="E117" s="18">
        <v>60.5</v>
      </c>
      <c r="F117" s="17">
        <f t="shared" ref="F117:F120" si="17">C117*E117</f>
        <v>907.5</v>
      </c>
      <c r="G117" s="16">
        <v>2</v>
      </c>
      <c r="H117" s="19" t="s">
        <v>15</v>
      </c>
      <c r="I117" s="18">
        <f>653.54*1.15</f>
        <v>751.57099999999991</v>
      </c>
      <c r="J117" s="17">
        <f t="shared" ref="J117:J125" si="18">G117*I117</f>
        <v>1503.1419999999998</v>
      </c>
      <c r="K117" s="16"/>
      <c r="L117" s="15"/>
      <c r="M117" s="14"/>
      <c r="O117" s="53"/>
    </row>
    <row r="118" spans="1:15" ht="13.5" customHeight="1" x14ac:dyDescent="0.2">
      <c r="A118" s="20"/>
      <c r="B118" s="55" t="s">
        <v>35</v>
      </c>
      <c r="C118" s="16"/>
      <c r="D118" s="19"/>
      <c r="E118" s="18"/>
      <c r="F118" s="17"/>
      <c r="G118" s="16">
        <v>1</v>
      </c>
      <c r="H118" s="19" t="s">
        <v>15</v>
      </c>
      <c r="I118" s="18">
        <f>591.28*1.15</f>
        <v>679.97199999999987</v>
      </c>
      <c r="J118" s="17">
        <f t="shared" si="18"/>
        <v>679.97199999999987</v>
      </c>
      <c r="K118" s="16"/>
      <c r="L118" s="15"/>
      <c r="M118" s="14"/>
      <c r="O118" s="54"/>
    </row>
    <row r="119" spans="1:15" x14ac:dyDescent="0.2">
      <c r="A119" s="20"/>
      <c r="B119" s="55" t="s">
        <v>36</v>
      </c>
      <c r="C119" s="16">
        <v>4</v>
      </c>
      <c r="D119" s="19" t="s">
        <v>24</v>
      </c>
      <c r="E119" s="18">
        <v>60.5</v>
      </c>
      <c r="F119" s="17">
        <f t="shared" si="17"/>
        <v>242</v>
      </c>
      <c r="G119" s="16">
        <v>3</v>
      </c>
      <c r="H119" s="19" t="s">
        <v>15</v>
      </c>
      <c r="I119" s="18">
        <f>44.32*1.15</f>
        <v>50.967999999999996</v>
      </c>
      <c r="J119" s="17">
        <f t="shared" si="18"/>
        <v>152.904</v>
      </c>
      <c r="K119" s="16"/>
      <c r="L119" s="15"/>
      <c r="M119" s="14"/>
      <c r="O119" s="54"/>
    </row>
    <row r="120" spans="1:15" x14ac:dyDescent="0.2">
      <c r="A120" s="20"/>
      <c r="B120" s="55" t="s">
        <v>37</v>
      </c>
      <c r="C120" s="16">
        <v>1</v>
      </c>
      <c r="D120" s="19" t="s">
        <v>24</v>
      </c>
      <c r="E120" s="18">
        <v>60.5</v>
      </c>
      <c r="F120" s="17">
        <f t="shared" si="17"/>
        <v>60.5</v>
      </c>
      <c r="G120" s="16">
        <v>1</v>
      </c>
      <c r="H120" s="19" t="s">
        <v>15</v>
      </c>
      <c r="I120" s="18">
        <f>75.18*1.15</f>
        <v>86.457000000000008</v>
      </c>
      <c r="J120" s="17">
        <f t="shared" si="18"/>
        <v>86.457000000000008</v>
      </c>
      <c r="K120" s="16"/>
      <c r="L120" s="15"/>
      <c r="M120" s="14"/>
      <c r="O120" s="54"/>
    </row>
    <row r="121" spans="1:15" x14ac:dyDescent="0.2">
      <c r="A121" s="20"/>
      <c r="B121" s="55" t="s">
        <v>38</v>
      </c>
      <c r="C121" s="16">
        <v>4</v>
      </c>
      <c r="D121" s="19" t="s">
        <v>17</v>
      </c>
      <c r="E121" s="18">
        <v>60.5</v>
      </c>
      <c r="F121" s="17">
        <f>C121*E121</f>
        <v>242</v>
      </c>
      <c r="G121" s="16">
        <v>2</v>
      </c>
      <c r="H121" s="19" t="s">
        <v>15</v>
      </c>
      <c r="I121" s="18">
        <f>51.05*1.15</f>
        <v>58.707499999999989</v>
      </c>
      <c r="J121" s="17">
        <f t="shared" si="18"/>
        <v>117.41499999999998</v>
      </c>
      <c r="K121" s="16"/>
      <c r="L121" s="15"/>
      <c r="M121" s="14"/>
      <c r="O121" s="54"/>
    </row>
    <row r="122" spans="1:15" x14ac:dyDescent="0.2">
      <c r="A122" s="20"/>
      <c r="B122" s="55" t="s">
        <v>39</v>
      </c>
      <c r="C122" s="16">
        <v>4</v>
      </c>
      <c r="D122" s="19" t="s">
        <v>17</v>
      </c>
      <c r="E122" s="18">
        <v>60.5</v>
      </c>
      <c r="F122" s="17">
        <f>C122*E122</f>
        <v>242</v>
      </c>
      <c r="G122" s="16">
        <v>2</v>
      </c>
      <c r="H122" s="19" t="s">
        <v>15</v>
      </c>
      <c r="I122" s="18">
        <f>43.19*1.15</f>
        <v>49.668499999999995</v>
      </c>
      <c r="J122" s="17">
        <f t="shared" si="18"/>
        <v>99.336999999999989</v>
      </c>
      <c r="K122" s="16"/>
      <c r="L122" s="15"/>
      <c r="M122" s="14"/>
      <c r="O122" s="54"/>
    </row>
    <row r="123" spans="1:15" x14ac:dyDescent="0.2">
      <c r="A123" s="20"/>
      <c r="B123" s="55" t="s">
        <v>40</v>
      </c>
      <c r="C123" s="16">
        <v>4</v>
      </c>
      <c r="D123" s="19" t="s">
        <v>17</v>
      </c>
      <c r="E123" s="18">
        <v>60.5</v>
      </c>
      <c r="F123" s="17">
        <f>C123*E123</f>
        <v>242</v>
      </c>
      <c r="G123" s="16">
        <v>2</v>
      </c>
      <c r="H123" s="19" t="s">
        <v>15</v>
      </c>
      <c r="I123" s="18">
        <f>196.34*1.15</f>
        <v>225.791</v>
      </c>
      <c r="J123" s="17">
        <f t="shared" si="18"/>
        <v>451.58199999999999</v>
      </c>
      <c r="K123" s="16"/>
      <c r="L123" s="15"/>
      <c r="M123" s="14"/>
      <c r="O123" s="54"/>
    </row>
    <row r="124" spans="1:15" x14ac:dyDescent="0.2">
      <c r="A124" s="20"/>
      <c r="B124" s="55" t="s">
        <v>55</v>
      </c>
      <c r="C124" s="16"/>
      <c r="D124" s="19"/>
      <c r="E124" s="18"/>
      <c r="F124" s="17"/>
      <c r="G124" s="16">
        <v>1</v>
      </c>
      <c r="H124" s="19" t="s">
        <v>56</v>
      </c>
      <c r="I124" s="18">
        <v>800</v>
      </c>
      <c r="J124" s="17">
        <f t="shared" si="18"/>
        <v>800</v>
      </c>
      <c r="K124" s="16"/>
      <c r="L124" s="15"/>
      <c r="M124" s="14"/>
      <c r="O124" s="54"/>
    </row>
    <row r="125" spans="1:15" x14ac:dyDescent="0.2">
      <c r="A125" s="20"/>
      <c r="B125" s="55"/>
      <c r="C125" s="61"/>
      <c r="D125" s="19" t="s">
        <v>17</v>
      </c>
      <c r="E125" s="18">
        <v>60.5</v>
      </c>
      <c r="F125" s="17">
        <f>C125*E125</f>
        <v>0</v>
      </c>
      <c r="G125" s="16"/>
      <c r="H125" s="19" t="s">
        <v>15</v>
      </c>
      <c r="I125" s="18"/>
      <c r="J125" s="17">
        <f t="shared" si="18"/>
        <v>0</v>
      </c>
      <c r="K125" s="16"/>
      <c r="L125" s="15"/>
      <c r="M125" s="14"/>
      <c r="O125" s="54"/>
    </row>
    <row r="126" spans="1:15" x14ac:dyDescent="0.2">
      <c r="B126" s="5" t="s">
        <v>2</v>
      </c>
      <c r="D126" s="1"/>
      <c r="F126" s="14">
        <f>SUM(F116:F125)</f>
        <v>1936</v>
      </c>
      <c r="J126" s="14">
        <f>SUM(J116:J125)</f>
        <v>3890.8089999999993</v>
      </c>
      <c r="L126" s="14">
        <f>SUM(L116:L125)</f>
        <v>0</v>
      </c>
    </row>
    <row r="127" spans="1:15" x14ac:dyDescent="0.2">
      <c r="B127" s="12" t="s">
        <v>1</v>
      </c>
      <c r="D127" s="1"/>
      <c r="E127" s="13">
        <v>0.1</v>
      </c>
      <c r="F127" s="56">
        <f>+E127*F126</f>
        <v>193.60000000000002</v>
      </c>
      <c r="I127" s="13">
        <v>0.1</v>
      </c>
      <c r="J127" s="58">
        <f>+I127*J126</f>
        <v>389.08089999999993</v>
      </c>
      <c r="K127" s="13">
        <v>0.1</v>
      </c>
      <c r="L127" s="11">
        <f>+K127*L126</f>
        <v>0</v>
      </c>
    </row>
    <row r="128" spans="1:15" x14ac:dyDescent="0.2">
      <c r="B128" s="10" t="s">
        <v>16</v>
      </c>
      <c r="D128" s="1"/>
      <c r="F128" s="57">
        <f>F126+F127</f>
        <v>2129.6</v>
      </c>
      <c r="G128" s="9"/>
      <c r="H128" s="9"/>
      <c r="I128" s="9"/>
      <c r="J128" s="59">
        <f>J126+J127</f>
        <v>4279.8898999999992</v>
      </c>
      <c r="K128" s="9"/>
      <c r="L128" s="8">
        <f>L126+L127</f>
        <v>0</v>
      </c>
    </row>
    <row r="129" spans="2:12" ht="13.5" thickBot="1" x14ac:dyDescent="0.25">
      <c r="B129" s="5"/>
      <c r="D129" s="1"/>
      <c r="F129" s="3"/>
      <c r="G129" s="4"/>
      <c r="H129" s="4"/>
      <c r="I129" s="7"/>
      <c r="J129" s="3"/>
      <c r="K129" s="6"/>
      <c r="L129" s="3"/>
    </row>
    <row r="130" spans="2:12" x14ac:dyDescent="0.2">
      <c r="B130" s="2" t="s">
        <v>0</v>
      </c>
      <c r="D130" s="1"/>
    </row>
    <row r="131" spans="2:12" ht="13.5" thickBot="1" x14ac:dyDescent="0.25">
      <c r="B131" s="60">
        <f>F128+J128+L128</f>
        <v>6409.4898999999987</v>
      </c>
      <c r="D131" s="1"/>
    </row>
    <row r="134" spans="2:12" x14ac:dyDescent="0.2">
      <c r="B134" s="65"/>
      <c r="C134" s="79" t="s">
        <v>10</v>
      </c>
      <c r="D134" s="79"/>
      <c r="E134" s="79"/>
      <c r="F134" s="79"/>
      <c r="G134" s="63" t="s">
        <v>9</v>
      </c>
      <c r="H134" s="66"/>
      <c r="I134" s="66"/>
      <c r="J134" s="64" t="s">
        <v>31</v>
      </c>
    </row>
    <row r="135" spans="2:12" x14ac:dyDescent="0.2">
      <c r="B135" s="67" t="s">
        <v>6</v>
      </c>
      <c r="C135" s="68" t="s">
        <v>18</v>
      </c>
      <c r="D135" s="68" t="s">
        <v>4</v>
      </c>
      <c r="E135" s="68" t="s">
        <v>5</v>
      </c>
      <c r="F135" s="69" t="s">
        <v>3</v>
      </c>
      <c r="G135" s="68" t="s">
        <v>18</v>
      </c>
      <c r="H135" s="68" t="s">
        <v>4</v>
      </c>
      <c r="I135" s="68" t="s">
        <v>5</v>
      </c>
      <c r="J135" s="69" t="s">
        <v>3</v>
      </c>
    </row>
    <row r="136" spans="2:12" x14ac:dyDescent="0.2">
      <c r="B136" s="55" t="s">
        <v>19</v>
      </c>
      <c r="C136" s="16">
        <v>-53.1</v>
      </c>
      <c r="D136" s="19" t="s">
        <v>24</v>
      </c>
      <c r="E136" s="18">
        <v>60.5</v>
      </c>
      <c r="F136" s="17">
        <v>-3212.55</v>
      </c>
      <c r="G136" s="16">
        <v>-531</v>
      </c>
      <c r="H136" s="19" t="s">
        <v>20</v>
      </c>
      <c r="I136" s="18">
        <v>2.9</v>
      </c>
      <c r="J136" s="17">
        <v>-1539.8999999999999</v>
      </c>
    </row>
    <row r="137" spans="2:12" x14ac:dyDescent="0.2">
      <c r="B137" s="55" t="s">
        <v>26</v>
      </c>
      <c r="C137" s="16">
        <v>-19.439999999999998</v>
      </c>
      <c r="D137" s="19" t="s">
        <v>24</v>
      </c>
      <c r="E137" s="18">
        <v>60.5</v>
      </c>
      <c r="F137" s="17">
        <v>-1176.1199999999999</v>
      </c>
      <c r="G137" s="16">
        <v>-27</v>
      </c>
      <c r="H137" s="19" t="s">
        <v>15</v>
      </c>
      <c r="I137" s="18">
        <v>5.3</v>
      </c>
      <c r="J137" s="17">
        <v>-143.1</v>
      </c>
    </row>
    <row r="138" spans="2:12" x14ac:dyDescent="0.2">
      <c r="B138" s="55" t="s">
        <v>21</v>
      </c>
      <c r="C138" s="16">
        <v>118.8</v>
      </c>
      <c r="D138" s="19" t="s">
        <v>24</v>
      </c>
      <c r="E138" s="18">
        <v>60.5</v>
      </c>
      <c r="F138" s="17">
        <v>7187.4</v>
      </c>
      <c r="G138" s="16">
        <v>660</v>
      </c>
      <c r="H138" s="19" t="s">
        <v>20</v>
      </c>
      <c r="I138" s="18">
        <v>4.5</v>
      </c>
      <c r="J138" s="17">
        <v>2970</v>
      </c>
    </row>
    <row r="139" spans="2:12" x14ac:dyDescent="0.2">
      <c r="B139" s="55" t="s">
        <v>27</v>
      </c>
      <c r="C139" s="16">
        <v>42.9</v>
      </c>
      <c r="D139" s="19" t="s">
        <v>24</v>
      </c>
      <c r="E139" s="18">
        <v>60.5</v>
      </c>
      <c r="F139" s="17">
        <v>2595.4499999999998</v>
      </c>
      <c r="G139" s="16">
        <v>33</v>
      </c>
      <c r="H139" s="19" t="s">
        <v>15</v>
      </c>
      <c r="I139" s="18">
        <v>17.59</v>
      </c>
      <c r="J139" s="17">
        <v>580.47</v>
      </c>
    </row>
    <row r="140" spans="2:12" x14ac:dyDescent="0.2">
      <c r="B140" s="55" t="s">
        <v>25</v>
      </c>
      <c r="C140" s="16">
        <v>11.16</v>
      </c>
      <c r="D140" s="19" t="s">
        <v>24</v>
      </c>
      <c r="E140" s="18">
        <v>60.5</v>
      </c>
      <c r="F140" s="17">
        <v>675.18000000000006</v>
      </c>
      <c r="G140" s="16">
        <v>62</v>
      </c>
      <c r="H140" s="19" t="s">
        <v>20</v>
      </c>
      <c r="I140" s="18">
        <v>3.75</v>
      </c>
      <c r="J140" s="17">
        <v>232.5</v>
      </c>
    </row>
    <row r="141" spans="2:12" x14ac:dyDescent="0.2">
      <c r="B141" s="55" t="s">
        <v>27</v>
      </c>
      <c r="C141" s="16">
        <v>7.8000000000000007</v>
      </c>
      <c r="D141" s="19" t="s">
        <v>24</v>
      </c>
      <c r="E141" s="18">
        <v>60.5</v>
      </c>
      <c r="F141" s="17">
        <v>471.90000000000003</v>
      </c>
      <c r="G141" s="16">
        <v>6</v>
      </c>
      <c r="H141" s="19" t="s">
        <v>15</v>
      </c>
      <c r="I141" s="18">
        <v>17.59</v>
      </c>
      <c r="J141" s="17">
        <v>105.53999999999999</v>
      </c>
    </row>
    <row r="142" spans="2:12" x14ac:dyDescent="0.2">
      <c r="B142" s="55" t="s">
        <v>22</v>
      </c>
      <c r="C142" s="16">
        <v>10</v>
      </c>
      <c r="D142" s="19" t="s">
        <v>17</v>
      </c>
      <c r="E142" s="18">
        <v>60.5</v>
      </c>
      <c r="F142" s="17">
        <v>605</v>
      </c>
      <c r="G142" s="16">
        <v>10</v>
      </c>
      <c r="H142" s="19" t="s">
        <v>15</v>
      </c>
      <c r="I142" s="18">
        <v>66.849999999999994</v>
      </c>
      <c r="J142" s="17">
        <v>668.5</v>
      </c>
    </row>
    <row r="143" spans="2:12" x14ac:dyDescent="0.2">
      <c r="B143" s="55" t="s">
        <v>28</v>
      </c>
      <c r="C143" s="16">
        <v>8</v>
      </c>
      <c r="D143" s="19" t="s">
        <v>17</v>
      </c>
      <c r="E143" s="18">
        <v>60.5</v>
      </c>
      <c r="F143" s="17">
        <v>484</v>
      </c>
      <c r="G143" s="16">
        <v>1</v>
      </c>
      <c r="H143" s="19" t="s">
        <v>15</v>
      </c>
      <c r="I143" s="18">
        <v>357</v>
      </c>
      <c r="J143" s="17">
        <v>357</v>
      </c>
    </row>
    <row r="144" spans="2:12" x14ac:dyDescent="0.2">
      <c r="B144" s="55" t="s">
        <v>29</v>
      </c>
      <c r="C144" s="61">
        <v>0.5</v>
      </c>
      <c r="D144" s="19" t="s">
        <v>17</v>
      </c>
      <c r="E144" s="18">
        <v>60.5</v>
      </c>
      <c r="F144" s="17">
        <v>30.25</v>
      </c>
      <c r="G144" s="16">
        <v>1</v>
      </c>
      <c r="H144" s="19" t="s">
        <v>15</v>
      </c>
      <c r="I144" s="18">
        <v>72</v>
      </c>
      <c r="J144" s="17">
        <v>72</v>
      </c>
    </row>
    <row r="145" spans="2:10" x14ac:dyDescent="0.2">
      <c r="B145" s="55" t="s">
        <v>30</v>
      </c>
      <c r="C145" s="61">
        <v>0.5</v>
      </c>
      <c r="D145" s="19" t="s">
        <v>17</v>
      </c>
      <c r="E145" s="18">
        <v>60.5</v>
      </c>
      <c r="F145" s="17">
        <v>30.25</v>
      </c>
      <c r="G145" s="16">
        <v>2</v>
      </c>
      <c r="H145" s="19" t="s">
        <v>15</v>
      </c>
      <c r="I145" s="18">
        <v>60</v>
      </c>
      <c r="J145" s="17">
        <v>120</v>
      </c>
    </row>
    <row r="146" spans="2:10" x14ac:dyDescent="0.2">
      <c r="B146" s="5" t="s">
        <v>2</v>
      </c>
      <c r="C146" s="70"/>
      <c r="D146" s="71"/>
      <c r="E146" s="70"/>
      <c r="F146" s="72">
        <v>7690.7599999999993</v>
      </c>
      <c r="G146" s="70"/>
      <c r="H146" s="70"/>
      <c r="I146" s="70"/>
      <c r="J146" s="72">
        <v>3423.01</v>
      </c>
    </row>
    <row r="147" spans="2:10" x14ac:dyDescent="0.2">
      <c r="B147" s="12" t="s">
        <v>1</v>
      </c>
      <c r="C147" s="70"/>
      <c r="D147" s="71"/>
      <c r="E147" s="73">
        <v>0.15</v>
      </c>
      <c r="F147" s="56">
        <v>1153.6139999999998</v>
      </c>
      <c r="G147" s="70"/>
      <c r="H147" s="70"/>
      <c r="I147" s="73">
        <v>0.15</v>
      </c>
      <c r="J147" s="58">
        <v>513.45150000000001</v>
      </c>
    </row>
    <row r="148" spans="2:10" x14ac:dyDescent="0.2">
      <c r="B148" s="5" t="s">
        <v>16</v>
      </c>
      <c r="C148" s="70"/>
      <c r="D148" s="71"/>
      <c r="E148" s="70"/>
      <c r="F148" s="57">
        <v>8844.3739999999998</v>
      </c>
      <c r="G148" s="74"/>
      <c r="H148" s="74"/>
      <c r="I148" s="74"/>
      <c r="J148" s="59">
        <v>3936.4615000000003</v>
      </c>
    </row>
    <row r="149" spans="2:10" ht="13.5" thickBot="1" x14ac:dyDescent="0.25">
      <c r="B149" s="5"/>
      <c r="C149" s="70"/>
      <c r="D149" s="71"/>
      <c r="E149" s="70"/>
      <c r="F149" s="75"/>
      <c r="G149" s="76"/>
      <c r="H149" s="76"/>
      <c r="I149" s="77"/>
      <c r="J149" s="75"/>
    </row>
    <row r="150" spans="2:10" x14ac:dyDescent="0.2">
      <c r="B150" s="2" t="s">
        <v>0</v>
      </c>
      <c r="C150" s="70"/>
      <c r="D150" s="71"/>
      <c r="E150" s="70"/>
      <c r="F150" s="70"/>
      <c r="G150" s="70"/>
      <c r="H150" s="70"/>
      <c r="I150" s="70"/>
      <c r="J150" s="70"/>
    </row>
    <row r="151" spans="2:10" ht="13.5" thickBot="1" x14ac:dyDescent="0.25">
      <c r="B151" s="60">
        <v>12780.835500000001</v>
      </c>
      <c r="C151" s="70"/>
      <c r="D151" s="71"/>
      <c r="E151" s="70"/>
      <c r="F151" s="70"/>
      <c r="G151" s="70"/>
      <c r="H151" s="70"/>
      <c r="I151" s="70"/>
      <c r="J151" s="70"/>
    </row>
  </sheetData>
  <mergeCells count="8">
    <mergeCell ref="C134:F134"/>
    <mergeCell ref="I1:L1"/>
    <mergeCell ref="I2:L2"/>
    <mergeCell ref="C14:F14"/>
    <mergeCell ref="A4:L4"/>
    <mergeCell ref="A5:L7"/>
    <mergeCell ref="C94:F94"/>
    <mergeCell ref="C114:F114"/>
  </mergeCells>
  <pageMargins left="0.75" right="0.75" top="1" bottom="1" header="0.5" footer="0.5"/>
  <pageSetup scale="90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CGC BP </vt:lpstr>
      <vt:lpstr>'CGC BP 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Donelson</dc:creator>
  <cp:lastModifiedBy>Richard Donelson</cp:lastModifiedBy>
  <cp:lastPrinted>2014-07-31T22:18:24Z</cp:lastPrinted>
  <dcterms:created xsi:type="dcterms:W3CDTF">2014-07-14T23:11:07Z</dcterms:created>
  <dcterms:modified xsi:type="dcterms:W3CDTF">2015-02-05T19:06:17Z</dcterms:modified>
</cp:coreProperties>
</file>