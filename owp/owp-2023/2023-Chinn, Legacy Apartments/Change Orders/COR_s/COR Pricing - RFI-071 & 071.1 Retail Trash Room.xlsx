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1" l="1"/>
  <c r="J69" i="1"/>
  <c r="L56" i="1"/>
  <c r="J55" i="1"/>
  <c r="J56" i="1"/>
  <c r="L68" i="1"/>
  <c r="K68" i="1"/>
  <c r="J68" i="1"/>
  <c r="F68" i="1"/>
  <c r="F41" i="1"/>
  <c r="J41" i="1"/>
  <c r="I39" i="1"/>
  <c r="J39" i="1" s="1"/>
  <c r="F39" i="1"/>
  <c r="J40" i="1"/>
  <c r="F40" i="1"/>
  <c r="F36" i="1"/>
  <c r="J70" i="1" l="1"/>
  <c r="F69" i="1"/>
  <c r="F70" i="1" s="1"/>
  <c r="L69" i="1"/>
  <c r="L70" i="1" s="1"/>
  <c r="B73" i="1" l="1"/>
  <c r="J38" i="1" l="1"/>
  <c r="J23" i="1"/>
  <c r="J21" i="1"/>
  <c r="F22" i="1"/>
  <c r="F20" i="1" l="1"/>
  <c r="L25" i="1"/>
  <c r="L57" i="1"/>
  <c r="L58" i="1" s="1"/>
  <c r="K56" i="1"/>
  <c r="J57" i="1"/>
  <c r="J58" i="1" s="1"/>
  <c r="F54" i="1"/>
  <c r="F56" i="1" s="1"/>
  <c r="F57" i="1" l="1"/>
  <c r="F58" i="1" s="1"/>
  <c r="B61" i="1" s="1"/>
  <c r="L43" i="1" l="1"/>
  <c r="K43" i="1"/>
  <c r="J43" i="1"/>
  <c r="J44" i="1" s="1"/>
  <c r="J45" i="1" s="1"/>
  <c r="F37" i="1"/>
  <c r="F43" i="1" s="1"/>
  <c r="L44" i="1" l="1"/>
  <c r="L45" i="1" s="1"/>
  <c r="F44" i="1"/>
  <c r="F45" i="1" s="1"/>
  <c r="B48" i="1" l="1"/>
  <c r="C76" i="1" s="1"/>
  <c r="C77" i="1" s="1"/>
  <c r="F17" i="1"/>
  <c r="F25" i="1" s="1"/>
  <c r="K25" i="1" l="1"/>
  <c r="L26" i="1"/>
  <c r="L27" i="1" l="1"/>
  <c r="F26" i="1" l="1"/>
  <c r="F27" i="1" s="1"/>
  <c r="J25" i="1"/>
  <c r="J26" i="1" l="1"/>
  <c r="J27" i="1" l="1"/>
  <c r="B30" i="1" s="1"/>
</calcChain>
</file>

<file path=xl/sharedStrings.xml><?xml version="1.0" encoding="utf-8"?>
<sst xmlns="http://schemas.openxmlformats.org/spreadsheetml/2006/main" count="125" uniqueCount="40">
  <si>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</si>
  <si>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</si>
  <si>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</si>
  <si>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</si>
  <si>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</si>
  <si>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</si>
  <si>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</si>
  <si>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</si>
  <si>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</si>
  <si>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</si>
  <si>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</si>
  <si>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</si>
  <si>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</si>
  <si>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</si>
  <si>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</si>
  <si>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</si>
  <si>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</si>
  <si>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</si>
  <si>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</si>
  <si>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</si>
  <si>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</si>
  <si>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LAYOUT/COORDINATE WITH CORE DRILLER</t>
  </si>
  <si>
    <t>IMAGING</t>
  </si>
  <si>
    <t>CORE DRILLING</t>
  </si>
  <si>
    <t>RFI-071 &amp; 071.1</t>
  </si>
  <si>
    <t>FILL UNUSED CORE HOLES</t>
  </si>
  <si>
    <t>FRANKLIN ENGINEERING - MAKE REVISIONS TO PRINTS (5HRS @ $95/HR)</t>
  </si>
  <si>
    <t>DRAIN</t>
  </si>
  <si>
    <t>HOSEBIB</t>
  </si>
  <si>
    <t>WATER PIPING</t>
  </si>
  <si>
    <t>WASTE PIPING</t>
  </si>
  <si>
    <t>INSTALL NEW DRAIN, GROUT IN PLACE</t>
  </si>
  <si>
    <t>PIPE &amp; FITTINGS</t>
  </si>
  <si>
    <t>EA</t>
  </si>
  <si>
    <t>LAYOUT</t>
  </si>
  <si>
    <t>HR</t>
  </si>
  <si>
    <t>SYMMONS MIXING VALVE</t>
  </si>
  <si>
    <t>WATER SHUTOFF VALVES</t>
  </si>
  <si>
    <t xml:space="preserve">REDESIGN PLANS </t>
  </si>
  <si>
    <t>BAGS OF 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</si>
</sst>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6" fontId="6" fillId="0" borderId="3" xfId="0" applyNumberFormat="1" applyFont="1" applyBorder="1" applyAlignment="1">
      <alignment horizontal="right" vertical="top" wrapText="1"/>
    </xf>
    <xf numFmtId="0" fontId="0" fillId="0" borderId="0" xfId="0" applyAlignment="1">
      <alignment horizontal="right"/>
    </xf>
    <xf numFmtId="6" fontId="0" fillId="0" borderId="0" xfId="0" applyNumberFormat="1"/>
    <xf numFmtId="9" fontId="0" fillId="0" borderId="0" xfId="0" applyNumberFormat="1"/>
    <xf numFmtId="165" fontId="6" fillId="0" borderId="3" xfId="0" applyNumberFormat="1" applyFont="1" applyBorder="1" applyAlignment="1">
      <alignment horizontal="righ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RELOCATE PLUMBING LINES, INSTALL ADDED DRAIN AND HOSEBIB IN TRASH ROOM.  ALSO INCLUDES MODIFICATIONS TO PLANS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tabSelected="1" topLeftCell="A40" zoomScale="130" zoomScaleNormal="130" workbookViewId="0">
      <selection activeCell="E62" sqref="E62"/>
    </sheetView>
  </sheetViews>
  <sheetFormatPr defaultRowHeight="12.75" x14ac:dyDescent="0.2"/>
  <cols>
    <col min="1" max="1" width="4.5703125" bestFit="1" customWidth="1"/>
    <col min="2" max="2" width="35.7109375" customWidth="1"/>
    <col min="3" max="3" width="7.710937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4" t="s">
        <v>17</v>
      </c>
      <c r="J1" s="64"/>
      <c r="K1" s="64"/>
      <c r="L1" s="64"/>
    </row>
    <row r="2" spans="1:15" x14ac:dyDescent="0.2">
      <c r="D2" s="1"/>
      <c r="G2" s="34"/>
      <c r="H2" s="51" t="s">
        <v>12</v>
      </c>
      <c r="I2" s="65">
        <v>42178</v>
      </c>
      <c r="J2" s="64"/>
      <c r="K2" s="64"/>
      <c r="L2" s="64"/>
    </row>
    <row r="3" spans="1:15" x14ac:dyDescent="0.2">
      <c r="D3" s="1"/>
      <c r="G3" s="34"/>
      <c r="H3" s="51" t="s">
        <v>14</v>
      </c>
      <c r="I3" s="50" t="s">
        <v>24</v>
      </c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3" t="s">
        <v>10</v>
      </c>
      <c r="D14" s="63"/>
      <c r="E14" s="63"/>
      <c r="F14" s="63"/>
      <c r="G14" s="28" t="s">
        <v>9</v>
      </c>
      <c r="H14" s="27"/>
      <c r="I14" s="27"/>
      <c r="J14" s="60" t="s">
        <v>19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1" t="s">
        <v>27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4" t="s">
        <v>21</v>
      </c>
      <c r="C17" s="16">
        <v>3</v>
      </c>
      <c r="D17" s="19" t="s">
        <v>18</v>
      </c>
      <c r="E17" s="18">
        <v>80</v>
      </c>
      <c r="F17" s="17">
        <f t="shared" ref="F17:F22" si="0">C17*E17</f>
        <v>240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4" t="s">
        <v>22</v>
      </c>
      <c r="C18" s="16"/>
      <c r="D18" s="19"/>
      <c r="E18" s="18"/>
      <c r="F18" s="17"/>
      <c r="G18" s="16"/>
      <c r="H18" s="19"/>
      <c r="I18" s="18"/>
      <c r="J18" s="17"/>
      <c r="K18" s="16" t="s">
        <v>20</v>
      </c>
      <c r="L18" s="15">
        <v>500</v>
      </c>
      <c r="M18" s="14"/>
      <c r="O18" s="53"/>
    </row>
    <row r="19" spans="1:15" x14ac:dyDescent="0.2">
      <c r="A19" s="20"/>
      <c r="B19" s="54" t="s">
        <v>23</v>
      </c>
      <c r="C19" s="16"/>
      <c r="D19" s="19"/>
      <c r="E19" s="18"/>
      <c r="F19" s="17"/>
      <c r="G19" s="16"/>
      <c r="H19" s="19"/>
      <c r="I19" s="18"/>
      <c r="J19" s="17"/>
      <c r="K19" s="16" t="s">
        <v>20</v>
      </c>
      <c r="L19" s="15">
        <v>300</v>
      </c>
      <c r="M19" s="14"/>
      <c r="O19" s="53"/>
    </row>
    <row r="20" spans="1:15" x14ac:dyDescent="0.2">
      <c r="A20" s="20"/>
      <c r="B20" s="54" t="s">
        <v>30</v>
      </c>
      <c r="C20" s="16">
        <v>5</v>
      </c>
      <c r="D20" s="19" t="s">
        <v>18</v>
      </c>
      <c r="E20" s="18">
        <v>75</v>
      </c>
      <c r="F20" s="17">
        <f t="shared" si="0"/>
        <v>375</v>
      </c>
      <c r="G20" s="16"/>
      <c r="H20" s="19"/>
      <c r="I20" s="18"/>
      <c r="J20" s="17"/>
      <c r="K20" s="16"/>
      <c r="L20" s="15"/>
      <c r="M20" s="14"/>
      <c r="O20" s="53"/>
    </row>
    <row r="21" spans="1:15" x14ac:dyDescent="0.2">
      <c r="A21" s="20"/>
      <c r="B21" s="54" t="s">
        <v>32</v>
      </c>
      <c r="C21" s="16"/>
      <c r="D21" s="19"/>
      <c r="E21" s="18"/>
      <c r="F21" s="17"/>
      <c r="G21" s="16">
        <v>1</v>
      </c>
      <c r="H21" s="19" t="s">
        <v>20</v>
      </c>
      <c r="I21" s="18">
        <v>105</v>
      </c>
      <c r="J21" s="17">
        <f>G21*I21</f>
        <v>105</v>
      </c>
      <c r="K21" s="16"/>
      <c r="L21" s="15"/>
      <c r="M21" s="14"/>
      <c r="O21" s="53"/>
    </row>
    <row r="22" spans="1:15" x14ac:dyDescent="0.2">
      <c r="A22" s="20"/>
      <c r="B22" s="54" t="s">
        <v>31</v>
      </c>
      <c r="C22" s="16">
        <v>4</v>
      </c>
      <c r="D22" s="19" t="s">
        <v>18</v>
      </c>
      <c r="E22" s="18">
        <v>75</v>
      </c>
      <c r="F22" s="17">
        <f t="shared" si="0"/>
        <v>300</v>
      </c>
      <c r="G22" s="16"/>
      <c r="H22" s="19"/>
      <c r="I22" s="18"/>
      <c r="J22" s="17"/>
      <c r="K22" s="16"/>
      <c r="L22" s="15"/>
      <c r="M22" s="14"/>
      <c r="O22" s="53"/>
    </row>
    <row r="23" spans="1:15" x14ac:dyDescent="0.2">
      <c r="A23" s="20"/>
      <c r="B23" s="54" t="s">
        <v>27</v>
      </c>
      <c r="C23" s="16"/>
      <c r="D23" s="19"/>
      <c r="E23" s="18"/>
      <c r="F23" s="17"/>
      <c r="G23" s="16">
        <v>1</v>
      </c>
      <c r="H23" s="19" t="s">
        <v>33</v>
      </c>
      <c r="I23" s="18">
        <v>75</v>
      </c>
      <c r="J23" s="17">
        <f t="shared" ref="J23" si="1">G23*I23</f>
        <v>75</v>
      </c>
      <c r="K23" s="16"/>
      <c r="L23" s="15"/>
      <c r="M23" s="14"/>
      <c r="O23" s="53"/>
    </row>
    <row r="24" spans="1:15" x14ac:dyDescent="0.2">
      <c r="A24" s="20"/>
      <c r="B24" s="62"/>
      <c r="C24" s="16"/>
      <c r="D24" s="19"/>
      <c r="E24" s="18"/>
      <c r="F24" s="17"/>
      <c r="G24" s="16"/>
      <c r="H24" s="19"/>
      <c r="I24" s="18"/>
      <c r="J24" s="17"/>
      <c r="K24" s="16"/>
      <c r="L24" s="15"/>
      <c r="M24" s="14"/>
      <c r="O24" s="53"/>
    </row>
    <row r="25" spans="1:15" x14ac:dyDescent="0.2">
      <c r="B25" s="5" t="s">
        <v>2</v>
      </c>
      <c r="D25" s="1"/>
      <c r="F25" s="14">
        <f>SUM(F16:F24)</f>
        <v>915</v>
      </c>
      <c r="G25" s="14"/>
      <c r="H25" s="14"/>
      <c r="I25" s="14"/>
      <c r="J25" s="14">
        <f>SUM(J16:J24)</f>
        <v>180</v>
      </c>
      <c r="K25" s="14">
        <f>SUM(K16:K24)</f>
        <v>0</v>
      </c>
      <c r="L25" s="14">
        <f>SUM(L16:L24)</f>
        <v>800</v>
      </c>
    </row>
    <row r="26" spans="1:15" x14ac:dyDescent="0.2">
      <c r="B26" s="12" t="s">
        <v>1</v>
      </c>
      <c r="D26" s="1"/>
      <c r="E26" s="13">
        <v>0</v>
      </c>
      <c r="F26" s="55">
        <f>+E26*F25</f>
        <v>0</v>
      </c>
      <c r="I26" s="13">
        <v>0</v>
      </c>
      <c r="J26" s="57">
        <f>+I26*J25</f>
        <v>0</v>
      </c>
      <c r="K26" s="13">
        <v>0</v>
      </c>
      <c r="L26" s="11">
        <f>+K26*L25</f>
        <v>0</v>
      </c>
    </row>
    <row r="27" spans="1:15" x14ac:dyDescent="0.2">
      <c r="B27" s="10" t="s">
        <v>15</v>
      </c>
      <c r="D27" s="1"/>
      <c r="F27" s="56">
        <f>F25+F26</f>
        <v>915</v>
      </c>
      <c r="G27" s="9"/>
      <c r="H27" s="9"/>
      <c r="I27" s="9"/>
      <c r="J27" s="58">
        <f>J25+J26</f>
        <v>180</v>
      </c>
      <c r="K27" s="9"/>
      <c r="L27" s="8">
        <f>L25+L26</f>
        <v>800</v>
      </c>
    </row>
    <row r="28" spans="1:15" ht="13.5" thickBot="1" x14ac:dyDescent="0.25">
      <c r="B28" s="5"/>
      <c r="D28" s="1"/>
      <c r="F28" s="3"/>
      <c r="G28" s="4"/>
      <c r="H28" s="4"/>
      <c r="I28" s="7"/>
      <c r="J28" s="3"/>
      <c r="K28" s="6"/>
      <c r="L28" s="3"/>
    </row>
    <row r="29" spans="1:15" x14ac:dyDescent="0.2">
      <c r="B29" s="2" t="s">
        <v>0</v>
      </c>
      <c r="D29" s="1"/>
    </row>
    <row r="30" spans="1:15" ht="13.5" thickBot="1" x14ac:dyDescent="0.25">
      <c r="B30" s="59">
        <f>F27+J27+L27</f>
        <v>1895</v>
      </c>
      <c r="D30" s="1"/>
    </row>
    <row r="33" spans="1:15" x14ac:dyDescent="0.2">
      <c r="A33" s="30"/>
      <c r="B33" s="29"/>
      <c r="C33" s="63" t="s">
        <v>10</v>
      </c>
      <c r="D33" s="63"/>
      <c r="E33" s="63"/>
      <c r="F33" s="63"/>
      <c r="G33" s="28" t="s">
        <v>9</v>
      </c>
      <c r="H33" s="27"/>
      <c r="I33" s="27"/>
      <c r="J33" s="60" t="s">
        <v>19</v>
      </c>
      <c r="K33" s="26" t="s">
        <v>8</v>
      </c>
      <c r="L33" s="25"/>
    </row>
    <row r="34" spans="1:15" x14ac:dyDescent="0.2">
      <c r="A34" s="24" t="s">
        <v>7</v>
      </c>
      <c r="B34" s="23" t="s">
        <v>6</v>
      </c>
      <c r="C34" s="21" t="s">
        <v>16</v>
      </c>
      <c r="D34" s="21" t="s">
        <v>4</v>
      </c>
      <c r="E34" s="21" t="s">
        <v>5</v>
      </c>
      <c r="F34" s="22" t="s">
        <v>3</v>
      </c>
      <c r="G34" s="21" t="s">
        <v>16</v>
      </c>
      <c r="H34" s="21" t="s">
        <v>4</v>
      </c>
      <c r="I34" s="21" t="s">
        <v>5</v>
      </c>
      <c r="J34" s="22" t="s">
        <v>3</v>
      </c>
      <c r="K34" s="21" t="s">
        <v>4</v>
      </c>
      <c r="L34" s="21" t="s">
        <v>3</v>
      </c>
    </row>
    <row r="35" spans="1:15" x14ac:dyDescent="0.2">
      <c r="A35" s="20"/>
      <c r="B35" s="61" t="s">
        <v>28</v>
      </c>
      <c r="C35" s="16"/>
      <c r="D35" s="19"/>
      <c r="E35" s="18"/>
      <c r="F35" s="17"/>
      <c r="G35" s="16"/>
      <c r="H35" s="19"/>
      <c r="I35" s="18"/>
      <c r="J35" s="17"/>
      <c r="K35" s="16"/>
      <c r="L35" s="15"/>
      <c r="M35" s="14"/>
      <c r="O35" s="53"/>
    </row>
    <row r="36" spans="1:15" x14ac:dyDescent="0.2">
      <c r="A36" s="20"/>
      <c r="B36" s="54" t="s">
        <v>34</v>
      </c>
      <c r="C36" s="16">
        <v>2</v>
      </c>
      <c r="D36" s="19" t="s">
        <v>18</v>
      </c>
      <c r="E36" s="18">
        <v>75</v>
      </c>
      <c r="F36" s="17">
        <f t="shared" ref="F36:F37" si="2">C36*E36</f>
        <v>150</v>
      </c>
      <c r="G36" s="16"/>
      <c r="H36" s="19"/>
      <c r="I36" s="18"/>
      <c r="J36" s="17"/>
      <c r="K36" s="16"/>
      <c r="L36" s="15"/>
      <c r="M36" s="14"/>
      <c r="O36" s="53"/>
    </row>
    <row r="37" spans="1:15" x14ac:dyDescent="0.2">
      <c r="A37" s="20"/>
      <c r="B37" s="54" t="s">
        <v>29</v>
      </c>
      <c r="C37" s="16">
        <v>5</v>
      </c>
      <c r="D37" s="19" t="s">
        <v>18</v>
      </c>
      <c r="E37" s="18">
        <v>75</v>
      </c>
      <c r="F37" s="17">
        <f t="shared" si="2"/>
        <v>375</v>
      </c>
      <c r="G37" s="16"/>
      <c r="H37" s="19"/>
      <c r="I37" s="18"/>
      <c r="J37" s="17"/>
      <c r="K37" s="16"/>
      <c r="L37" s="15"/>
      <c r="M37" s="14"/>
      <c r="O37" s="53"/>
    </row>
    <row r="38" spans="1:15" x14ac:dyDescent="0.2">
      <c r="A38" s="20"/>
      <c r="B38" s="54" t="s">
        <v>32</v>
      </c>
      <c r="C38" s="16"/>
      <c r="D38" s="19"/>
      <c r="E38" s="18"/>
      <c r="F38" s="17"/>
      <c r="G38" s="16">
        <v>1</v>
      </c>
      <c r="H38" s="19" t="s">
        <v>20</v>
      </c>
      <c r="I38" s="18">
        <v>165</v>
      </c>
      <c r="J38" s="17">
        <f>G38*I38</f>
        <v>165</v>
      </c>
      <c r="K38" s="16"/>
      <c r="L38" s="15"/>
      <c r="M38" s="14"/>
      <c r="O38" s="53"/>
    </row>
    <row r="39" spans="1:15" x14ac:dyDescent="0.2">
      <c r="A39" s="20"/>
      <c r="B39" s="54" t="s">
        <v>36</v>
      </c>
      <c r="C39" s="16">
        <v>1</v>
      </c>
      <c r="D39" s="19" t="s">
        <v>35</v>
      </c>
      <c r="E39" s="18">
        <v>75</v>
      </c>
      <c r="F39" s="17">
        <f>C39*E39</f>
        <v>75</v>
      </c>
      <c r="G39" s="16">
        <v>1</v>
      </c>
      <c r="H39" s="19" t="s">
        <v>20</v>
      </c>
      <c r="I39" s="18">
        <f>106.89*1.1</f>
        <v>117.57900000000001</v>
      </c>
      <c r="J39" s="17">
        <f>G39*I39</f>
        <v>117.57900000000001</v>
      </c>
      <c r="K39" s="16"/>
      <c r="L39" s="15"/>
      <c r="M39" s="14"/>
      <c r="O39" s="53"/>
    </row>
    <row r="40" spans="1:15" x14ac:dyDescent="0.2">
      <c r="A40" s="20"/>
      <c r="B40" s="54" t="s">
        <v>37</v>
      </c>
      <c r="C40" s="80">
        <v>1</v>
      </c>
      <c r="D40" s="19" t="s">
        <v>35</v>
      </c>
      <c r="E40" s="76">
        <v>75</v>
      </c>
      <c r="F40" s="17">
        <f t="shared" ref="F40:F41" si="3">C40*E40</f>
        <v>75</v>
      </c>
      <c r="G40" s="16">
        <v>2</v>
      </c>
      <c r="H40" s="19" t="s">
        <v>33</v>
      </c>
      <c r="I40" s="18">
        <v>12.5</v>
      </c>
      <c r="J40" s="17">
        <f t="shared" ref="J40:J41" si="4">G40*I40</f>
        <v>25</v>
      </c>
      <c r="K40" s="16"/>
      <c r="L40" s="15"/>
      <c r="M40" s="14"/>
      <c r="O40" s="53"/>
    </row>
    <row r="41" spans="1:15" x14ac:dyDescent="0.2">
      <c r="A41" s="20"/>
      <c r="B41" s="54" t="s">
        <v>28</v>
      </c>
      <c r="C41" s="16">
        <v>1</v>
      </c>
      <c r="D41" s="19" t="s">
        <v>35</v>
      </c>
      <c r="E41" s="18">
        <v>75</v>
      </c>
      <c r="F41" s="17">
        <f t="shared" si="3"/>
        <v>75</v>
      </c>
      <c r="G41" s="16">
        <v>1</v>
      </c>
      <c r="H41" s="19" t="s">
        <v>33</v>
      </c>
      <c r="I41" s="18">
        <v>65</v>
      </c>
      <c r="J41" s="17">
        <f t="shared" si="4"/>
        <v>65</v>
      </c>
      <c r="K41" s="16"/>
      <c r="L41" s="15"/>
      <c r="M41" s="14"/>
      <c r="O41" s="53"/>
    </row>
    <row r="42" spans="1:15" x14ac:dyDescent="0.2">
      <c r="A42" s="20"/>
      <c r="B42" s="62"/>
      <c r="C42" s="16"/>
      <c r="D42" s="19"/>
      <c r="E42" s="18"/>
      <c r="F42" s="17"/>
      <c r="G42" s="16"/>
      <c r="H42" s="19"/>
      <c r="I42" s="18"/>
      <c r="J42" s="17"/>
      <c r="K42" s="16"/>
      <c r="L42" s="15"/>
      <c r="M42" s="14"/>
      <c r="O42" s="53"/>
    </row>
    <row r="43" spans="1:15" x14ac:dyDescent="0.2">
      <c r="B43" s="5" t="s">
        <v>2</v>
      </c>
      <c r="D43" s="1"/>
      <c r="F43" s="14">
        <f>SUM(F35:F42)</f>
        <v>750</v>
      </c>
      <c r="G43" s="14"/>
      <c r="H43" s="14"/>
      <c r="I43" s="14"/>
      <c r="J43" s="14">
        <f>SUM(J35:J42)</f>
        <v>372.57900000000001</v>
      </c>
      <c r="K43" s="14">
        <f>SUM(K35:K42)</f>
        <v>0</v>
      </c>
      <c r="L43" s="14">
        <f>SUM(L35:L42)</f>
        <v>0</v>
      </c>
    </row>
    <row r="44" spans="1:15" x14ac:dyDescent="0.2">
      <c r="B44" s="12" t="s">
        <v>1</v>
      </c>
      <c r="D44" s="1"/>
      <c r="E44" s="13">
        <v>0</v>
      </c>
      <c r="F44" s="55">
        <f>+E44*F43</f>
        <v>0</v>
      </c>
      <c r="H44">
        <v>0</v>
      </c>
      <c r="I44" s="13">
        <v>0</v>
      </c>
      <c r="J44" s="57">
        <f>+I44*J43</f>
        <v>0</v>
      </c>
      <c r="K44" s="13">
        <v>0</v>
      </c>
      <c r="L44" s="11">
        <f>+K44*L43</f>
        <v>0</v>
      </c>
    </row>
    <row r="45" spans="1:15" x14ac:dyDescent="0.2">
      <c r="B45" s="10" t="s">
        <v>15</v>
      </c>
      <c r="D45" s="1"/>
      <c r="F45" s="56">
        <f>F43+F44</f>
        <v>750</v>
      </c>
      <c r="G45" s="9"/>
      <c r="H45" s="9"/>
      <c r="I45" s="9"/>
      <c r="J45" s="58">
        <f>J43+J44</f>
        <v>372.57900000000001</v>
      </c>
      <c r="K45" s="9"/>
      <c r="L45" s="8">
        <f>L43+L44</f>
        <v>0</v>
      </c>
    </row>
    <row r="46" spans="1:15" ht="13.5" thickBot="1" x14ac:dyDescent="0.25">
      <c r="B46" s="5"/>
      <c r="D46" s="1"/>
      <c r="F46" s="3"/>
      <c r="G46" s="4"/>
      <c r="H46" s="4"/>
      <c r="I46" s="7"/>
      <c r="J46" s="3"/>
      <c r="K46" s="6"/>
      <c r="L46" s="3"/>
    </row>
    <row r="47" spans="1:15" x14ac:dyDescent="0.2">
      <c r="B47" s="2" t="s">
        <v>0</v>
      </c>
      <c r="D47" s="1"/>
    </row>
    <row r="48" spans="1:15" ht="13.5" thickBot="1" x14ac:dyDescent="0.25">
      <c r="B48" s="59">
        <f>F45+J45+L45</f>
        <v>1122.579</v>
      </c>
      <c r="D48" s="1"/>
    </row>
    <row r="51" spans="1:15" x14ac:dyDescent="0.2">
      <c r="A51" s="30"/>
      <c r="B51" s="29"/>
      <c r="C51" s="63" t="s">
        <v>10</v>
      </c>
      <c r="D51" s="63"/>
      <c r="E51" s="63"/>
      <c r="F51" s="63"/>
      <c r="G51" s="28" t="s">
        <v>9</v>
      </c>
      <c r="H51" s="27"/>
      <c r="I51" s="27"/>
      <c r="J51" s="60" t="s">
        <v>19</v>
      </c>
      <c r="K51" s="26" t="s">
        <v>8</v>
      </c>
      <c r="L51" s="25"/>
    </row>
    <row r="52" spans="1:15" x14ac:dyDescent="0.2">
      <c r="A52" s="24" t="s">
        <v>7</v>
      </c>
      <c r="B52" s="23" t="s">
        <v>6</v>
      </c>
      <c r="C52" s="21" t="s">
        <v>16</v>
      </c>
      <c r="D52" s="21" t="s">
        <v>4</v>
      </c>
      <c r="E52" s="21" t="s">
        <v>5</v>
      </c>
      <c r="F52" s="22" t="s">
        <v>3</v>
      </c>
      <c r="G52" s="21" t="s">
        <v>16</v>
      </c>
      <c r="H52" s="21" t="s">
        <v>4</v>
      </c>
      <c r="I52" s="21" t="s">
        <v>5</v>
      </c>
      <c r="J52" s="22" t="s">
        <v>3</v>
      </c>
      <c r="K52" s="21" t="s">
        <v>4</v>
      </c>
      <c r="L52" s="21" t="s">
        <v>3</v>
      </c>
    </row>
    <row r="53" spans="1:15" x14ac:dyDescent="0.2">
      <c r="A53" s="20"/>
      <c r="B53" s="61" t="s">
        <v>25</v>
      </c>
      <c r="C53" s="16"/>
      <c r="D53" s="19"/>
      <c r="E53" s="18"/>
      <c r="F53" s="17"/>
      <c r="G53" s="16"/>
      <c r="H53" s="19"/>
      <c r="I53" s="18"/>
      <c r="J53" s="17"/>
      <c r="K53" s="16"/>
      <c r="L53" s="15"/>
      <c r="M53" s="14"/>
      <c r="O53" s="53"/>
    </row>
    <row r="54" spans="1:15" x14ac:dyDescent="0.2">
      <c r="A54" s="20"/>
      <c r="B54" s="54" t="s">
        <v>25</v>
      </c>
      <c r="C54" s="16">
        <v>9</v>
      </c>
      <c r="D54" s="19" t="s">
        <v>18</v>
      </c>
      <c r="E54" s="18">
        <v>75</v>
      </c>
      <c r="F54" s="17">
        <f t="shared" ref="F54" si="5">C54*E54</f>
        <v>675</v>
      </c>
      <c r="G54" s="16"/>
      <c r="H54" s="19"/>
      <c r="I54" s="18"/>
      <c r="J54" s="17"/>
      <c r="K54" s="16"/>
      <c r="L54" s="15"/>
      <c r="M54" s="14"/>
      <c r="O54" s="53"/>
    </row>
    <row r="55" spans="1:15" x14ac:dyDescent="0.2">
      <c r="A55" s="20"/>
      <c r="B55" s="54" t="s">
        <v>39</v>
      </c>
      <c r="C55" s="16"/>
      <c r="D55" s="19"/>
      <c r="E55" s="18"/>
      <c r="F55" s="17"/>
      <c r="G55" s="16">
        <v>3</v>
      </c>
      <c r="H55" s="19" t="s">
        <v>33</v>
      </c>
      <c r="I55" s="18">
        <v>15</v>
      </c>
      <c r="J55" s="17">
        <f>G55*I55</f>
        <v>45</v>
      </c>
      <c r="K55" s="16"/>
      <c r="L55" s="15"/>
      <c r="M55" s="14"/>
      <c r="O55" s="53"/>
    </row>
    <row r="56" spans="1:15" x14ac:dyDescent="0.2">
      <c r="B56" s="5" t="s">
        <v>2</v>
      </c>
      <c r="D56" s="1"/>
      <c r="F56" s="14">
        <f>SUM(F53:F55)</f>
        <v>675</v>
      </c>
      <c r="G56" s="14"/>
      <c r="H56" s="14"/>
      <c r="I56" s="14"/>
      <c r="J56" s="14">
        <f>SUM(J53:J55)</f>
        <v>45</v>
      </c>
      <c r="K56" s="14">
        <f>SUM(K53:K54)</f>
        <v>0</v>
      </c>
      <c r="L56" s="14">
        <f>SUM(L53:L55)</f>
        <v>0</v>
      </c>
    </row>
    <row r="57" spans="1:15" x14ac:dyDescent="0.2">
      <c r="B57" s="12" t="s">
        <v>1</v>
      </c>
      <c r="D57" s="1"/>
      <c r="E57" s="13">
        <v>0</v>
      </c>
      <c r="F57" s="55">
        <f>+E57*F56</f>
        <v>0</v>
      </c>
      <c r="I57" s="13">
        <v>0</v>
      </c>
      <c r="J57" s="57">
        <f>+I57*J56</f>
        <v>0</v>
      </c>
      <c r="K57" s="13">
        <v>0</v>
      </c>
      <c r="L57" s="11">
        <f>+K57*L56</f>
        <v>0</v>
      </c>
    </row>
    <row r="58" spans="1:15" x14ac:dyDescent="0.2">
      <c r="B58" s="10" t="s">
        <v>15</v>
      </c>
      <c r="D58" s="1"/>
      <c r="F58" s="56">
        <f>F56+F57</f>
        <v>675</v>
      </c>
      <c r="G58" s="9"/>
      <c r="H58" s="9"/>
      <c r="I58" s="9"/>
      <c r="J58" s="58">
        <f>J56+J57</f>
        <v>45</v>
      </c>
      <c r="K58" s="9"/>
      <c r="L58" s="8">
        <f>L56+L57</f>
        <v>0</v>
      </c>
    </row>
    <row r="59" spans="1:15" ht="13.5" thickBot="1" x14ac:dyDescent="0.25">
      <c r="B59" s="5"/>
      <c r="D59" s="1"/>
      <c r="F59" s="3"/>
      <c r="G59" s="4"/>
      <c r="H59" s="4"/>
      <c r="I59" s="7"/>
      <c r="J59" s="3"/>
      <c r="K59" s="6"/>
      <c r="L59" s="3"/>
    </row>
    <row r="60" spans="1:15" x14ac:dyDescent="0.2">
      <c r="B60" s="2" t="s">
        <v>0</v>
      </c>
      <c r="D60" s="1"/>
    </row>
    <row r="61" spans="1:15" ht="13.5" thickBot="1" x14ac:dyDescent="0.25">
      <c r="B61" s="59">
        <f>F58+J58+L58</f>
        <v>720</v>
      </c>
      <c r="D61" s="1"/>
    </row>
    <row r="64" spans="1:15" x14ac:dyDescent="0.2">
      <c r="A64" s="30"/>
      <c r="B64" s="29"/>
      <c r="C64" s="63" t="s">
        <v>10</v>
      </c>
      <c r="D64" s="63"/>
      <c r="E64" s="63"/>
      <c r="F64" s="63"/>
      <c r="G64" s="28" t="s">
        <v>9</v>
      </c>
      <c r="H64" s="27"/>
      <c r="I64" s="27"/>
      <c r="J64" s="60" t="s">
        <v>19</v>
      </c>
      <c r="K64" s="26" t="s">
        <v>8</v>
      </c>
      <c r="L64" s="25"/>
    </row>
    <row r="65" spans="1:15" x14ac:dyDescent="0.2">
      <c r="A65" s="24" t="s">
        <v>7</v>
      </c>
      <c r="B65" s="23" t="s">
        <v>6</v>
      </c>
      <c r="C65" s="21" t="s">
        <v>16</v>
      </c>
      <c r="D65" s="21" t="s">
        <v>4</v>
      </c>
      <c r="E65" s="21" t="s">
        <v>5</v>
      </c>
      <c r="F65" s="22" t="s">
        <v>3</v>
      </c>
      <c r="G65" s="21" t="s">
        <v>16</v>
      </c>
      <c r="H65" s="21" t="s">
        <v>4</v>
      </c>
      <c r="I65" s="21" t="s">
        <v>5</v>
      </c>
      <c r="J65" s="22" t="s">
        <v>3</v>
      </c>
      <c r="K65" s="21" t="s">
        <v>4</v>
      </c>
      <c r="L65" s="21" t="s">
        <v>3</v>
      </c>
    </row>
    <row r="66" spans="1:15" x14ac:dyDescent="0.2">
      <c r="A66" s="20"/>
      <c r="B66" s="61" t="s">
        <v>38</v>
      </c>
      <c r="C66" s="16"/>
      <c r="D66" s="19"/>
      <c r="E66" s="18"/>
      <c r="F66" s="17"/>
      <c r="G66" s="16"/>
      <c r="H66" s="19"/>
      <c r="I66" s="18"/>
      <c r="J66" s="17"/>
      <c r="K66" s="16"/>
      <c r="L66" s="15"/>
      <c r="M66" s="14"/>
      <c r="O66" s="53"/>
    </row>
    <row r="67" spans="1:15" ht="22.5" x14ac:dyDescent="0.2">
      <c r="A67" s="20"/>
      <c r="B67" s="62" t="s">
        <v>26</v>
      </c>
      <c r="C67" s="16"/>
      <c r="D67" s="19"/>
      <c r="E67" s="18"/>
      <c r="F67" s="17"/>
      <c r="G67" s="16"/>
      <c r="H67" s="19"/>
      <c r="I67" s="18"/>
      <c r="J67" s="17"/>
      <c r="K67" s="16" t="s">
        <v>20</v>
      </c>
      <c r="L67" s="15">
        <v>475</v>
      </c>
      <c r="M67" s="14"/>
      <c r="O67" s="53"/>
    </row>
    <row r="68" spans="1:15" x14ac:dyDescent="0.2">
      <c r="B68" s="5" t="s">
        <v>2</v>
      </c>
      <c r="D68" s="1"/>
      <c r="F68" s="14">
        <f>SUM(F66:F67)</f>
        <v>0</v>
      </c>
      <c r="G68" s="14"/>
      <c r="H68" s="14"/>
      <c r="I68" s="14"/>
      <c r="J68" s="14">
        <f>SUM(J66:J67)</f>
        <v>0</v>
      </c>
      <c r="K68" s="14">
        <f>SUM(K66:K67)</f>
        <v>0</v>
      </c>
      <c r="L68" s="14">
        <f>SUM(L66:L67)</f>
        <v>475</v>
      </c>
    </row>
    <row r="69" spans="1:15" x14ac:dyDescent="0.2">
      <c r="B69" s="12" t="s">
        <v>1</v>
      </c>
      <c r="D69" s="1"/>
      <c r="E69" s="13">
        <v>0</v>
      </c>
      <c r="F69" s="55">
        <f>+E69*F68</f>
        <v>0</v>
      </c>
      <c r="I69" s="13">
        <v>0</v>
      </c>
      <c r="J69" s="57">
        <f>+I69*J68</f>
        <v>0</v>
      </c>
      <c r="K69" s="13">
        <v>0</v>
      </c>
      <c r="L69" s="11">
        <f>+K69*L68</f>
        <v>0</v>
      </c>
    </row>
    <row r="70" spans="1:15" x14ac:dyDescent="0.2">
      <c r="B70" s="10" t="s">
        <v>15</v>
      </c>
      <c r="D70" s="1"/>
      <c r="F70" s="56">
        <f>F68+F69</f>
        <v>0</v>
      </c>
      <c r="G70" s="9"/>
      <c r="H70" s="9"/>
      <c r="I70" s="9"/>
      <c r="J70" s="58">
        <f>J68+J69</f>
        <v>0</v>
      </c>
      <c r="K70" s="9"/>
      <c r="L70" s="8">
        <f>L68+L69</f>
        <v>475</v>
      </c>
    </row>
    <row r="71" spans="1:15" ht="13.5" thickBot="1" x14ac:dyDescent="0.25">
      <c r="B71" s="5"/>
      <c r="D71" s="1"/>
      <c r="F71" s="3"/>
      <c r="G71" s="4"/>
      <c r="H71" s="4"/>
      <c r="I71" s="7"/>
      <c r="J71" s="3"/>
      <c r="K71" s="6"/>
      <c r="L71" s="3"/>
    </row>
    <row r="72" spans="1:15" x14ac:dyDescent="0.2">
      <c r="B72" s="2" t="s">
        <v>0</v>
      </c>
      <c r="D72" s="1"/>
    </row>
    <row r="73" spans="1:15" ht="13.5" thickBot="1" x14ac:dyDescent="0.25">
      <c r="B73" s="59">
        <f>F70+J70+L70</f>
        <v>475</v>
      </c>
      <c r="D73" s="1"/>
    </row>
    <row r="76" spans="1:15" x14ac:dyDescent="0.2">
      <c r="B76" s="77"/>
      <c r="C76" s="78">
        <f>B30+B48+B61+B73</f>
        <v>4212.5789999999997</v>
      </c>
    </row>
    <row r="77" spans="1:15" x14ac:dyDescent="0.2">
      <c r="B77" s="79">
        <v>0.1</v>
      </c>
      <c r="C77" s="78">
        <f>C76*B77</f>
        <v>421.25790000000001</v>
      </c>
    </row>
    <row r="78" spans="1:15" x14ac:dyDescent="0.2">
      <c r="C78" s="78">
        <f>SUM(C76:C77)</f>
        <v>4633.8368999999993</v>
      </c>
    </row>
  </sheetData>
  <mergeCells count="8">
    <mergeCell ref="C64:F64"/>
    <mergeCell ref="C33:F33"/>
    <mergeCell ref="C51:F51"/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2015-06-30T15:23:38Z</dcterms:modified>
</cp:coreProperties>
</file>