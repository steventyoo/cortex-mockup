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'!$A$1:$L$31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J18" i="1"/>
  <c r="J19" i="1"/>
  <c r="J20" i="1"/>
  <c r="J21" i="1"/>
  <c r="F24" i="1" l="1"/>
  <c r="J23" i="1"/>
  <c r="F17" i="1"/>
  <c r="F23" i="1"/>
  <c r="K26" i="1" l="1"/>
  <c r="L26" i="1"/>
  <c r="L27" i="1" s="1"/>
  <c r="L28" i="1" l="1"/>
  <c r="C22" i="1" l="1"/>
  <c r="F22" i="1" s="1"/>
  <c r="F26" i="1" s="1"/>
  <c r="F25" i="1"/>
  <c r="F27" i="1" l="1"/>
  <c r="F28" i="1" s="1"/>
  <c r="J22" i="1"/>
  <c r="J26" i="1" s="1"/>
  <c r="J27" i="1" l="1"/>
  <c r="J28" i="1" l="1"/>
  <c r="B31" i="1" s="1"/>
</calcChain>
</file>

<file path=xl/sharedStrings.xml><?xml version="1.0" encoding="utf-8"?>
<sst xmlns="http://schemas.openxmlformats.org/spreadsheetml/2006/main" count="51" uniqueCount="34">
  <si>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</si>
  <si>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</si>
  <si>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</si>
  <si>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</si>
  <si>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</si>
  <si>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</si>
  <si>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</si>
  <si>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</si>
  <si>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</si>
  <si>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</si>
  <si>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</si>
  <si>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</si>
  <si>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</si>
  <si>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</si>
  <si>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</si>
  <si>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</si>
  <si>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</si>
  <si>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Quan</t>
  </si>
  <si>
    <t>LF</t>
  </si>
  <si>
    <t>2023 LEGACY APARTMENTS</t>
  </si>
  <si>
    <t>HRS</t>
  </si>
  <si>
    <t>Material</t>
  </si>
  <si>
    <t>4" PIPING</t>
  </si>
  <si>
    <t>AS BUILTING</t>
  </si>
  <si>
    <t>LOT</t>
  </si>
  <si>
    <t>LAYOUT/COORDINATE WITH EXCAVATOR</t>
  </si>
  <si>
    <t>DRAIN - CB-40</t>
  </si>
  <si>
    <t>LS</t>
  </si>
  <si>
    <t>EJ 00371082 - 4/24 RING AND COVER DRAIN</t>
  </si>
  <si>
    <t>EJ 00366103 - 4/12 RING AND COVER DRAIN</t>
  </si>
  <si>
    <t>KOR-N-SEAL BOOTS</t>
  </si>
  <si>
    <t>FITTINGS</t>
  </si>
  <si>
    <t>INSTALL 577 OWS</t>
  </si>
  <si>
    <t>ADD DRAIN IN PSE TRANSFORMER AREA, ADD OIL/WATER SEPARATOR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</si>
</sst>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6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7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1" fillId="4" borderId="7" xfId="0" applyNumberFormat="1" applyFont="1" applyFill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5" borderId="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ADD A DRAIN AT THE PSE VAULT AND ADD AN OIL/WATER SEPARATOR FOR IT.	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tabSelected="1" zoomScale="130" zoomScaleNormal="130" workbookViewId="0">
      <selection activeCell="B31" sqref="B31"/>
    </sheetView>
  </sheetViews>
  <sheetFormatPr defaultRowHeight="12.75" x14ac:dyDescent="0.2"/>
  <cols>
    <col min="1" max="1" width="4.5703125" bestFit="1" customWidth="1"/>
    <col min="2" max="2" width="35.710937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63" t="s">
        <v>19</v>
      </c>
      <c r="J1" s="63"/>
      <c r="K1" s="63"/>
      <c r="L1" s="63"/>
    </row>
    <row r="2" spans="1:15" x14ac:dyDescent="0.2">
      <c r="D2" s="1"/>
      <c r="G2" s="34"/>
      <c r="H2" s="51" t="s">
        <v>12</v>
      </c>
      <c r="I2" s="64">
        <v>42087</v>
      </c>
      <c r="J2" s="63"/>
      <c r="K2" s="63"/>
      <c r="L2" s="63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5" ht="4.5" customHeight="1" x14ac:dyDescent="0.2">
      <c r="A5" s="67" t="s">
        <v>11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9"/>
    </row>
    <row r="6" spans="1:15" ht="12.75" customHeight="1" x14ac:dyDescent="0.2">
      <c r="A6" s="70"/>
      <c r="B6" s="71"/>
      <c r="C6" s="71"/>
      <c r="D6" s="71"/>
      <c r="E6" s="71"/>
      <c r="F6" s="71"/>
      <c r="G6" s="71"/>
      <c r="H6" s="71"/>
      <c r="I6" s="71"/>
      <c r="J6" s="71"/>
      <c r="K6" s="71"/>
      <c r="L6" s="72"/>
    </row>
    <row r="7" spans="1:15" ht="4.5" customHeight="1" thickBot="1" x14ac:dyDescent="0.25">
      <c r="A7" s="73"/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65" t="s">
        <v>10</v>
      </c>
      <c r="D14" s="65"/>
      <c r="E14" s="65"/>
      <c r="F14" s="65"/>
      <c r="G14" s="28" t="s">
        <v>9</v>
      </c>
      <c r="H14" s="27"/>
      <c r="I14" s="27"/>
      <c r="J14" s="61" t="s">
        <v>21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17</v>
      </c>
      <c r="D15" s="21" t="s">
        <v>4</v>
      </c>
      <c r="E15" s="21" t="s">
        <v>5</v>
      </c>
      <c r="F15" s="22" t="s">
        <v>3</v>
      </c>
      <c r="G15" s="21" t="s">
        <v>17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62" t="s">
        <v>33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25</v>
      </c>
      <c r="C17" s="16">
        <v>4</v>
      </c>
      <c r="D17" s="19" t="s">
        <v>20</v>
      </c>
      <c r="E17" s="18">
        <v>80</v>
      </c>
      <c r="F17" s="17">
        <f t="shared" ref="F17:F25" si="0">C17*E17</f>
        <v>320</v>
      </c>
      <c r="G17" s="16"/>
      <c r="H17" s="19"/>
      <c r="I17" s="18"/>
      <c r="J17" s="17"/>
      <c r="K17" s="16"/>
      <c r="L17" s="15"/>
      <c r="M17" s="14"/>
      <c r="O17" s="53"/>
    </row>
    <row r="18" spans="1:15" x14ac:dyDescent="0.2">
      <c r="A18" s="20"/>
      <c r="B18" s="55" t="s">
        <v>32</v>
      </c>
      <c r="C18" s="16">
        <v>24</v>
      </c>
      <c r="D18" s="19" t="s">
        <v>20</v>
      </c>
      <c r="E18" s="18">
        <v>60.5</v>
      </c>
      <c r="F18" s="17">
        <f t="shared" si="0"/>
        <v>1452</v>
      </c>
      <c r="G18" s="16">
        <v>1</v>
      </c>
      <c r="H18" s="19" t="s">
        <v>15</v>
      </c>
      <c r="I18" s="18">
        <v>2463</v>
      </c>
      <c r="J18" s="17">
        <f t="shared" ref="J18:J21" si="1">G18*I18</f>
        <v>2463</v>
      </c>
      <c r="K18" s="16"/>
      <c r="L18" s="15"/>
      <c r="M18" s="14"/>
      <c r="O18" s="53"/>
    </row>
    <row r="19" spans="1:15" x14ac:dyDescent="0.2">
      <c r="A19" s="20"/>
      <c r="B19" s="55" t="s">
        <v>28</v>
      </c>
      <c r="C19" s="16">
        <v>2</v>
      </c>
      <c r="D19" s="19" t="s">
        <v>20</v>
      </c>
      <c r="E19" s="18">
        <v>60.5</v>
      </c>
      <c r="F19" s="17">
        <f t="shared" si="0"/>
        <v>121</v>
      </c>
      <c r="G19" s="16">
        <v>1</v>
      </c>
      <c r="H19" s="19" t="s">
        <v>15</v>
      </c>
      <c r="I19" s="18">
        <v>285</v>
      </c>
      <c r="J19" s="17">
        <f t="shared" si="1"/>
        <v>285</v>
      </c>
      <c r="K19" s="16"/>
      <c r="L19" s="15"/>
      <c r="M19" s="14"/>
      <c r="O19" s="53"/>
    </row>
    <row r="20" spans="1:15" x14ac:dyDescent="0.2">
      <c r="A20" s="20"/>
      <c r="B20" s="55" t="s">
        <v>29</v>
      </c>
      <c r="C20" s="16">
        <v>2</v>
      </c>
      <c r="D20" s="19" t="s">
        <v>20</v>
      </c>
      <c r="E20" s="18">
        <v>60.5</v>
      </c>
      <c r="F20" s="17">
        <f t="shared" si="0"/>
        <v>121</v>
      </c>
      <c r="G20" s="16">
        <v>2</v>
      </c>
      <c r="H20" s="19" t="s">
        <v>15</v>
      </c>
      <c r="I20" s="18">
        <v>102</v>
      </c>
      <c r="J20" s="17">
        <f t="shared" si="1"/>
        <v>204</v>
      </c>
      <c r="K20" s="16"/>
      <c r="L20" s="15"/>
      <c r="M20" s="14"/>
      <c r="O20" s="53"/>
    </row>
    <row r="21" spans="1:15" x14ac:dyDescent="0.2">
      <c r="A21" s="20"/>
      <c r="B21" s="55" t="s">
        <v>30</v>
      </c>
      <c r="C21" s="16">
        <v>1</v>
      </c>
      <c r="D21" s="19" t="s">
        <v>20</v>
      </c>
      <c r="E21" s="18">
        <v>60.5</v>
      </c>
      <c r="F21" s="17">
        <f t="shared" si="0"/>
        <v>60.5</v>
      </c>
      <c r="G21" s="16">
        <v>2</v>
      </c>
      <c r="H21" s="19" t="s">
        <v>27</v>
      </c>
      <c r="I21" s="18">
        <v>60</v>
      </c>
      <c r="J21" s="17">
        <f t="shared" si="1"/>
        <v>120</v>
      </c>
      <c r="K21" s="16"/>
      <c r="L21" s="15"/>
      <c r="M21" s="14"/>
      <c r="O21" s="53"/>
    </row>
    <row r="22" spans="1:15" x14ac:dyDescent="0.2">
      <c r="A22" s="20"/>
      <c r="B22" s="55" t="s">
        <v>22</v>
      </c>
      <c r="C22" s="16">
        <f>0.1*G22</f>
        <v>2</v>
      </c>
      <c r="D22" s="19" t="s">
        <v>20</v>
      </c>
      <c r="E22" s="18">
        <v>60.5</v>
      </c>
      <c r="F22" s="17">
        <f t="shared" si="0"/>
        <v>121</v>
      </c>
      <c r="G22" s="16">
        <v>20</v>
      </c>
      <c r="H22" s="19" t="s">
        <v>18</v>
      </c>
      <c r="I22" s="18">
        <v>2.0499999999999998</v>
      </c>
      <c r="J22" s="17">
        <f>G22*I22</f>
        <v>41</v>
      </c>
      <c r="K22" s="16"/>
      <c r="L22" s="15"/>
      <c r="M22" s="14"/>
      <c r="O22" s="53"/>
    </row>
    <row r="23" spans="1:15" x14ac:dyDescent="0.2">
      <c r="A23" s="20"/>
      <c r="B23" s="55" t="s">
        <v>26</v>
      </c>
      <c r="C23" s="16">
        <v>2</v>
      </c>
      <c r="D23" s="19" t="s">
        <v>20</v>
      </c>
      <c r="E23" s="18">
        <v>60.5</v>
      </c>
      <c r="F23" s="17">
        <f t="shared" ref="F23:F24" si="2">C23*E23</f>
        <v>121</v>
      </c>
      <c r="G23" s="16">
        <v>1</v>
      </c>
      <c r="H23" s="19" t="s">
        <v>15</v>
      </c>
      <c r="I23" s="18">
        <v>305</v>
      </c>
      <c r="J23" s="17">
        <f t="shared" ref="J23" si="3">G23*I23</f>
        <v>305</v>
      </c>
      <c r="K23" s="16"/>
      <c r="L23" s="15"/>
      <c r="M23" s="14"/>
      <c r="O23" s="53"/>
    </row>
    <row r="24" spans="1:15" x14ac:dyDescent="0.2">
      <c r="A24" s="20"/>
      <c r="B24" s="55" t="s">
        <v>31</v>
      </c>
      <c r="C24" s="16">
        <v>1</v>
      </c>
      <c r="D24" s="19" t="s">
        <v>20</v>
      </c>
      <c r="E24" s="18">
        <v>60.5</v>
      </c>
      <c r="F24" s="17">
        <f t="shared" si="2"/>
        <v>60.5</v>
      </c>
      <c r="G24" s="16">
        <v>1</v>
      </c>
      <c r="H24" s="19" t="s">
        <v>24</v>
      </c>
      <c r="I24" s="18">
        <v>151</v>
      </c>
      <c r="J24" s="17">
        <v>53</v>
      </c>
      <c r="K24" s="16"/>
      <c r="L24" s="15"/>
      <c r="M24" s="14"/>
      <c r="O24" s="53"/>
    </row>
    <row r="25" spans="1:15" ht="13.5" customHeight="1" x14ac:dyDescent="0.2">
      <c r="A25" s="20"/>
      <c r="B25" s="55" t="s">
        <v>23</v>
      </c>
      <c r="C25" s="16">
        <v>1</v>
      </c>
      <c r="D25" s="19" t="s">
        <v>20</v>
      </c>
      <c r="E25" s="18">
        <v>80</v>
      </c>
      <c r="F25" s="17">
        <f t="shared" si="0"/>
        <v>80</v>
      </c>
      <c r="G25" s="16"/>
      <c r="H25" s="19"/>
      <c r="I25" s="18"/>
      <c r="J25" s="17"/>
      <c r="K25" s="16"/>
      <c r="L25" s="15"/>
      <c r="M25" s="14"/>
      <c r="O25" s="54"/>
    </row>
    <row r="26" spans="1:15" x14ac:dyDescent="0.2">
      <c r="B26" s="5" t="s">
        <v>2</v>
      </c>
      <c r="D26" s="1"/>
      <c r="F26" s="14">
        <f>SUM(F16:F25)</f>
        <v>2457</v>
      </c>
      <c r="G26" s="14"/>
      <c r="H26" s="14"/>
      <c r="I26" s="14"/>
      <c r="J26" s="14">
        <f>SUM(J16:J25)</f>
        <v>3471</v>
      </c>
      <c r="K26" s="14">
        <f>SUM(K16:K25)</f>
        <v>0</v>
      </c>
      <c r="L26" s="14">
        <f>SUM(L16:L25)</f>
        <v>0</v>
      </c>
    </row>
    <row r="27" spans="1:15" x14ac:dyDescent="0.2">
      <c r="B27" s="12" t="s">
        <v>1</v>
      </c>
      <c r="D27" s="1"/>
      <c r="E27" s="13">
        <v>0.1</v>
      </c>
      <c r="F27" s="56">
        <f>+E27*F26</f>
        <v>245.70000000000002</v>
      </c>
      <c r="I27" s="13">
        <v>0.1</v>
      </c>
      <c r="J27" s="58">
        <f>+I27*J26</f>
        <v>347.1</v>
      </c>
      <c r="K27" s="13">
        <v>0.1</v>
      </c>
      <c r="L27" s="11">
        <f>+K27*L26</f>
        <v>0</v>
      </c>
    </row>
    <row r="28" spans="1:15" x14ac:dyDescent="0.2">
      <c r="B28" s="10" t="s">
        <v>16</v>
      </c>
      <c r="D28" s="1"/>
      <c r="F28" s="57">
        <f>F26+F27</f>
        <v>2702.7</v>
      </c>
      <c r="G28" s="9"/>
      <c r="H28" s="9"/>
      <c r="I28" s="9"/>
      <c r="J28" s="59">
        <f>J26+J27</f>
        <v>3818.1</v>
      </c>
      <c r="K28" s="9"/>
      <c r="L28" s="8">
        <f>L26+L27</f>
        <v>0</v>
      </c>
    </row>
    <row r="29" spans="1:15" ht="13.5" thickBot="1" x14ac:dyDescent="0.25">
      <c r="B29" s="5"/>
      <c r="D29" s="1"/>
      <c r="F29" s="3"/>
      <c r="G29" s="4"/>
      <c r="H29" s="4"/>
      <c r="I29" s="7"/>
      <c r="J29" s="3"/>
      <c r="K29" s="6"/>
      <c r="L29" s="3"/>
    </row>
    <row r="30" spans="1:15" x14ac:dyDescent="0.2">
      <c r="B30" s="2" t="s">
        <v>0</v>
      </c>
      <c r="D30" s="1"/>
    </row>
    <row r="31" spans="1:15" ht="13.5" thickBot="1" x14ac:dyDescent="0.25">
      <c r="B31" s="60">
        <f>F28+J28+L28</f>
        <v>6520.7999999999993</v>
      </c>
      <c r="D31" s="1"/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2015-03-24T21:35:23Z</cp:lastPrinted>
  <dcterms:created xsi:type="dcterms:W3CDTF">2014-07-14T23:11:07Z</dcterms:created>
  <dcterms:modified xsi:type="dcterms:W3CDTF">2015-03-24T22:56:22Z</dcterms:modified>
</cp:coreProperties>
</file>