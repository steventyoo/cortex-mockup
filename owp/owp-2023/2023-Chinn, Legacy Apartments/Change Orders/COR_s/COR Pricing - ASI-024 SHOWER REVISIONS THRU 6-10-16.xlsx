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COR!$A$1:$L$87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F35" i="1" s="1"/>
  <c r="C34" i="1"/>
  <c r="F34" i="1" s="1"/>
  <c r="C23" i="1" l="1"/>
  <c r="F23" i="1" s="1"/>
  <c r="C18" i="1" l="1"/>
  <c r="C19" i="1"/>
  <c r="C20" i="1"/>
  <c r="C21" i="1"/>
  <c r="C22" i="1"/>
  <c r="C24" i="1"/>
  <c r="C25" i="1"/>
  <c r="C26" i="1"/>
  <c r="C27" i="1"/>
  <c r="C28" i="1"/>
  <c r="C29" i="1"/>
  <c r="C30" i="1"/>
  <c r="C31" i="1"/>
  <c r="C32" i="1"/>
  <c r="C33" i="1"/>
  <c r="C17" i="1"/>
  <c r="J80" i="1" l="1"/>
  <c r="G78" i="1"/>
  <c r="J78" i="1" s="1"/>
  <c r="G79" i="1"/>
  <c r="J79" i="1" s="1"/>
  <c r="J75" i="1"/>
  <c r="J74" i="1"/>
  <c r="J72" i="1"/>
  <c r="J53" i="1" l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G51" i="1" l="1"/>
  <c r="J51" i="1" s="1"/>
  <c r="G50" i="1"/>
  <c r="J50" i="1" s="1"/>
  <c r="G49" i="1"/>
  <c r="J49" i="1" s="1"/>
  <c r="G48" i="1"/>
  <c r="J48" i="1" s="1"/>
  <c r="G47" i="1"/>
  <c r="J47" i="1" s="1"/>
  <c r="G46" i="1"/>
  <c r="J46" i="1" s="1"/>
  <c r="G45" i="1"/>
  <c r="J45" i="1" s="1"/>
  <c r="G44" i="1"/>
  <c r="J44" i="1" s="1"/>
  <c r="G43" i="1"/>
  <c r="J43" i="1" s="1"/>
  <c r="G42" i="1"/>
  <c r="J42" i="1" s="1"/>
  <c r="G41" i="1"/>
  <c r="J41" i="1" s="1"/>
  <c r="G40" i="1"/>
  <c r="J40" i="1" s="1"/>
  <c r="F26" i="1"/>
  <c r="F25" i="1"/>
  <c r="L82" i="1"/>
  <c r="F20" i="1"/>
  <c r="F18" i="1"/>
  <c r="F19" i="1"/>
  <c r="F22" i="1"/>
  <c r="F24" i="1"/>
  <c r="F28" i="1"/>
  <c r="F29" i="1"/>
  <c r="F33" i="1"/>
  <c r="F17" i="1"/>
  <c r="F21" i="1"/>
  <c r="F32" i="1"/>
  <c r="F31" i="1"/>
  <c r="F30" i="1"/>
  <c r="J82" i="1" l="1"/>
  <c r="F27" i="1"/>
  <c r="F82" i="1" s="1"/>
  <c r="K82" i="1" l="1"/>
  <c r="L83" i="1" l="1"/>
  <c r="L84" i="1" l="1"/>
  <c r="F83" i="1" l="1"/>
  <c r="F84" i="1" s="1"/>
  <c r="J83" i="1" l="1"/>
  <c r="J84" i="1" l="1"/>
  <c r="B87" i="1" s="1"/>
</calcChain>
</file>

<file path=xl/sharedStrings.xml><?xml version="1.0" encoding="utf-8"?>
<sst xmlns="http://schemas.openxmlformats.org/spreadsheetml/2006/main" count="145" uniqueCount="71">
  <si>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</si>
  <si>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</si>
  <si>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</si>
  <si>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</si>
  <si>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</si>
  <si>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</si>
  <si>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</si>
  <si>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</si>
  <si>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</si>
  <si>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</si>
  <si>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</si>
  <si>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</si>
  <si>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</si>
  <si>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</si>
  <si>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</si>
  <si>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</si>
  <si>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</si>
  <si>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</si>
  <si>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</si>
  <si>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</si>
  <si>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</si>
  <si>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EA</t>
  </si>
  <si>
    <t>ASI-024 SHOWER CHANGE</t>
  </si>
  <si>
    <t>RICHARD DONELSON - PROJECT MANAGER</t>
  </si>
  <si>
    <t>JEFF GERARD - PROJECT MANAGER</t>
  </si>
  <si>
    <t>BOB HUBBARD - SUPERINTENDENT</t>
  </si>
  <si>
    <t>JOE BARNHART - FOREMAN</t>
  </si>
  <si>
    <t>THADDEUS WAITES - FOREMAN</t>
  </si>
  <si>
    <t>KELLI ROSS - JOURNEYMAN</t>
  </si>
  <si>
    <t>JOSE ESPARZA - APPRENTICE</t>
  </si>
  <si>
    <t>GARRET WILSON - APPRENTICE</t>
  </si>
  <si>
    <t>JOHN WENNIG - APPRENTICE</t>
  </si>
  <si>
    <t>RICARDO BALDARES - APPRENTICE</t>
  </si>
  <si>
    <t>STEVEN BROWN - APPRENTICE</t>
  </si>
  <si>
    <t>MITCH GERARD - APPRENTICE</t>
  </si>
  <si>
    <t>ELI RIVERA - APPRENTICE</t>
  </si>
  <si>
    <t>JJ KINNSIES - APPRENTICE</t>
  </si>
  <si>
    <t>JORDAN GARCIA - APPRENTICE</t>
  </si>
  <si>
    <t>ANDREW GARDNER - APPRENTICE</t>
  </si>
  <si>
    <t>2X1-1/2 TEE</t>
  </si>
  <si>
    <t>1-1/2 90</t>
  </si>
  <si>
    <t>2X1-1/2 BUSH</t>
  </si>
  <si>
    <t>1-1/2 45 ST</t>
  </si>
  <si>
    <t>1-1/2 45 REG</t>
  </si>
  <si>
    <t>2 COUPLING</t>
  </si>
  <si>
    <t>2 45 ST</t>
  </si>
  <si>
    <t>2 45 REG</t>
  </si>
  <si>
    <t>2 90 REG</t>
  </si>
  <si>
    <t>TEST TEE</t>
  </si>
  <si>
    <t>2 PIPE</t>
  </si>
  <si>
    <t>1-1/2 PIPE</t>
  </si>
  <si>
    <t>TUB VENT STACK AND REVENTS MATERIAL X 12:</t>
  </si>
  <si>
    <t>AW VENT STACK AND REVENT AND MISC X 1:</t>
  </si>
  <si>
    <t>2X1-1/2X2 TEE</t>
  </si>
  <si>
    <t>2 PTRAP</t>
  </si>
  <si>
    <t>2 TEST TEE</t>
  </si>
  <si>
    <t>LF</t>
  </si>
  <si>
    <t>ANCHORS, HANGERS, SUPPORTS, GLUE, ACOUSTICAL TAPE, P-TAPE, MISCELLANEOUS</t>
  </si>
  <si>
    <t>PVC MATERIALS:</t>
  </si>
  <si>
    <t>CAST IRON MATERIALS:</t>
  </si>
  <si>
    <t>2" CAST IRON</t>
  </si>
  <si>
    <t>ALL FITTINGS WERE ABLE TO BE RE-USED</t>
  </si>
  <si>
    <t>NO-HUB BANDS</t>
  </si>
  <si>
    <t>PEX MATERIALS:</t>
  </si>
  <si>
    <t>1/2" PEX RING</t>
  </si>
  <si>
    <t>1/2" PEX COUPLING</t>
  </si>
  <si>
    <t>1/2" PEX PIPE</t>
  </si>
  <si>
    <t>THROUGH 6/10/16</t>
  </si>
  <si>
    <t>HUGO PALMA - JOURNEYMAN</t>
  </si>
  <si>
    <t>TOMMY MCCABE - APPRENTICE</t>
  </si>
  <si>
    <t>JESUS MENDOZA - APPRENTICE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</si>
</sst>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70" formatCode="m/d;@"/>
    <numFmt numFmtId="171" formatCode="0.0_);[Red]\(0.0\)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70" fontId="0" fillId="0" borderId="3" xfId="0" applyNumberFormat="1" applyBorder="1" applyAlignment="1">
      <alignment horizontal="center"/>
    </xf>
    <xf numFmtId="165" fontId="6" fillId="0" borderId="3" xfId="0" applyNumberFormat="1" applyFont="1" applyBorder="1" applyAlignment="1">
      <alignment horizontal="center" vertical="top" wrapText="1"/>
    </xf>
    <xf numFmtId="170" fontId="0" fillId="7" borderId="3" xfId="0" applyNumberFormat="1" applyFill="1" applyBorder="1" applyAlignment="1">
      <alignment horizontal="center"/>
    </xf>
    <xf numFmtId="165" fontId="6" fillId="7" borderId="3" xfId="0" applyNumberFormat="1" applyFont="1" applyFill="1" applyBorder="1" applyAlignment="1">
      <alignment horizontal="center" vertical="top" wrapText="1"/>
    </xf>
    <xf numFmtId="171" fontId="6" fillId="0" borderId="3" xfId="0" applyNumberFormat="1" applyFont="1" applyBorder="1" applyAlignment="1">
      <alignment horizontal="center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COSTS FOR ASI-024 SHOWER CHANGE, FROM 5/16/16 THROUGH END OF BUSINESS 06/10/16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7"/>
  <sheetViews>
    <sheetView tabSelected="1" topLeftCell="A28" zoomScale="130" zoomScaleNormal="130" workbookViewId="0">
      <selection activeCell="L18" sqref="L18"/>
    </sheetView>
  </sheetViews>
  <sheetFormatPr defaultRowHeight="12.75" x14ac:dyDescent="0.2"/>
  <cols>
    <col min="1" max="1" width="4.5703125" bestFit="1" customWidth="1"/>
    <col min="2" max="2" width="39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7" width="4.42578125" customWidth="1"/>
    <col min="18" max="19" width="1.140625" customWidth="1"/>
    <col min="20" max="24" width="4.42578125" customWidth="1"/>
    <col min="25" max="26" width="1.140625" customWidth="1"/>
    <col min="27" max="31" width="4.42578125" customWidth="1"/>
    <col min="32" max="33" width="1.140625" customWidth="1"/>
    <col min="34" max="38" width="4.42578125" customWidth="1"/>
  </cols>
  <sheetData>
    <row r="1" spans="1:38" x14ac:dyDescent="0.2">
      <c r="D1" s="1"/>
      <c r="H1" s="50" t="s">
        <v>13</v>
      </c>
      <c r="I1" s="62" t="s">
        <v>17</v>
      </c>
      <c r="J1" s="62"/>
      <c r="K1" s="62"/>
      <c r="L1" s="62"/>
    </row>
    <row r="2" spans="1:38" x14ac:dyDescent="0.2">
      <c r="D2" s="1"/>
      <c r="G2" s="32"/>
      <c r="H2" s="49" t="s">
        <v>12</v>
      </c>
      <c r="I2" s="63">
        <v>42531</v>
      </c>
      <c r="J2" s="62"/>
      <c r="K2" s="62"/>
      <c r="L2" s="62"/>
    </row>
    <row r="3" spans="1:38" x14ac:dyDescent="0.2">
      <c r="D3" s="1"/>
      <c r="G3" s="32"/>
      <c r="H3" s="49" t="s">
        <v>14</v>
      </c>
      <c r="I3" s="48" t="s">
        <v>22</v>
      </c>
      <c r="J3" s="33"/>
      <c r="K3" s="33"/>
      <c r="L3" s="33"/>
    </row>
    <row r="4" spans="1:38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38" ht="4.5" customHeight="1" x14ac:dyDescent="0.2">
      <c r="A5" s="66" t="s">
        <v>11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38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38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38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38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38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38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38" ht="6" customHeight="1" x14ac:dyDescent="0.2">
      <c r="D12" s="1"/>
      <c r="G12" s="32"/>
      <c r="H12" s="31"/>
      <c r="I12" s="34"/>
      <c r="J12" s="33"/>
      <c r="K12" s="33"/>
      <c r="L12" s="33"/>
    </row>
    <row r="13" spans="1:38" ht="6" customHeight="1" x14ac:dyDescent="0.2">
      <c r="D13" s="1"/>
      <c r="E13" s="32"/>
      <c r="F13" s="31"/>
      <c r="G13" s="30"/>
      <c r="H13" s="30"/>
      <c r="I13" s="30"/>
      <c r="J13" s="29"/>
    </row>
    <row r="14" spans="1:38" x14ac:dyDescent="0.2">
      <c r="A14" s="28"/>
      <c r="B14" s="27"/>
      <c r="C14" s="64" t="s">
        <v>10</v>
      </c>
      <c r="D14" s="64"/>
      <c r="E14" s="64"/>
      <c r="F14" s="64"/>
      <c r="G14" s="26" t="s">
        <v>9</v>
      </c>
      <c r="H14" s="25"/>
      <c r="I14" s="25"/>
      <c r="J14" s="58" t="s">
        <v>19</v>
      </c>
      <c r="K14" s="24" t="s">
        <v>8</v>
      </c>
      <c r="L14" s="23"/>
    </row>
    <row r="15" spans="1:38" x14ac:dyDescent="0.2">
      <c r="A15" s="22" t="s">
        <v>7</v>
      </c>
      <c r="B15" s="21" t="s">
        <v>6</v>
      </c>
      <c r="C15" s="19" t="s">
        <v>16</v>
      </c>
      <c r="D15" s="19" t="s">
        <v>4</v>
      </c>
      <c r="E15" s="19" t="s">
        <v>5</v>
      </c>
      <c r="F15" s="20" t="s">
        <v>3</v>
      </c>
      <c r="G15" s="19" t="s">
        <v>16</v>
      </c>
      <c r="H15" s="19" t="s">
        <v>4</v>
      </c>
      <c r="I15" s="19" t="s">
        <v>5</v>
      </c>
      <c r="J15" s="20" t="s">
        <v>3</v>
      </c>
      <c r="K15" s="19" t="s">
        <v>4</v>
      </c>
      <c r="L15" s="19" t="s">
        <v>3</v>
      </c>
    </row>
    <row r="16" spans="1:38" x14ac:dyDescent="0.2">
      <c r="A16" s="22"/>
      <c r="B16" s="21" t="s">
        <v>67</v>
      </c>
      <c r="C16" s="19"/>
      <c r="D16" s="19"/>
      <c r="E16" s="19"/>
      <c r="F16" s="20"/>
      <c r="G16" s="19"/>
      <c r="H16" s="19"/>
      <c r="I16" s="19"/>
      <c r="J16" s="20"/>
      <c r="K16" s="19"/>
      <c r="L16" s="19"/>
      <c r="M16" s="75">
        <v>42506</v>
      </c>
      <c r="N16" s="75">
        <v>42507</v>
      </c>
      <c r="O16" s="75">
        <v>42508</v>
      </c>
      <c r="P16" s="75">
        <v>42509</v>
      </c>
      <c r="Q16" s="75">
        <v>42510</v>
      </c>
      <c r="R16" s="77">
        <v>42511</v>
      </c>
      <c r="S16" s="77">
        <v>42512</v>
      </c>
      <c r="T16" s="75">
        <v>42513</v>
      </c>
      <c r="U16" s="75">
        <v>42514</v>
      </c>
      <c r="V16" s="75">
        <v>42515</v>
      </c>
      <c r="W16" s="75">
        <v>42516</v>
      </c>
      <c r="X16" s="75">
        <v>42517</v>
      </c>
      <c r="Y16" s="77">
        <v>42518</v>
      </c>
      <c r="Z16" s="77">
        <v>42519</v>
      </c>
      <c r="AA16" s="77">
        <v>42520</v>
      </c>
      <c r="AB16" s="75">
        <v>42521</v>
      </c>
      <c r="AC16" s="75">
        <v>42522</v>
      </c>
      <c r="AD16" s="75">
        <v>42523</v>
      </c>
      <c r="AE16" s="75">
        <v>42524</v>
      </c>
      <c r="AF16" s="77">
        <v>42525</v>
      </c>
      <c r="AG16" s="77">
        <v>42526</v>
      </c>
      <c r="AH16" s="75">
        <v>42527</v>
      </c>
      <c r="AI16" s="75">
        <v>42528</v>
      </c>
      <c r="AJ16" s="75">
        <v>42529</v>
      </c>
      <c r="AK16" s="75">
        <v>42530</v>
      </c>
      <c r="AL16" s="75">
        <v>42531</v>
      </c>
    </row>
    <row r="17" spans="1:38" x14ac:dyDescent="0.2">
      <c r="A17" s="18"/>
      <c r="B17" s="52" t="s">
        <v>23</v>
      </c>
      <c r="C17" s="14">
        <f>SUM(M17:AL17)</f>
        <v>4</v>
      </c>
      <c r="D17" s="17" t="s">
        <v>18</v>
      </c>
      <c r="E17" s="16">
        <v>95</v>
      </c>
      <c r="F17" s="15">
        <f>C17*E17</f>
        <v>380</v>
      </c>
      <c r="G17" s="14"/>
      <c r="H17" s="17"/>
      <c r="I17" s="16"/>
      <c r="J17" s="15"/>
      <c r="K17" s="14"/>
      <c r="L17" s="13"/>
      <c r="M17" s="76"/>
      <c r="N17" s="76"/>
      <c r="O17" s="76"/>
      <c r="P17" s="76"/>
      <c r="Q17" s="76"/>
      <c r="R17" s="78"/>
      <c r="S17" s="78"/>
      <c r="T17" s="76">
        <v>1</v>
      </c>
      <c r="U17" s="76"/>
      <c r="V17" s="76"/>
      <c r="W17" s="76"/>
      <c r="X17" s="76"/>
      <c r="Y17" s="78"/>
      <c r="Z17" s="78"/>
      <c r="AA17" s="78"/>
      <c r="AB17" s="76"/>
      <c r="AC17" s="76"/>
      <c r="AD17" s="76"/>
      <c r="AE17" s="76"/>
      <c r="AF17" s="78"/>
      <c r="AG17" s="78"/>
      <c r="AH17" s="76"/>
      <c r="AI17" s="76"/>
      <c r="AJ17" s="76"/>
      <c r="AK17" s="76"/>
      <c r="AL17" s="76">
        <v>3</v>
      </c>
    </row>
    <row r="18" spans="1:38" x14ac:dyDescent="0.2">
      <c r="A18" s="18"/>
      <c r="B18" s="59" t="s">
        <v>24</v>
      </c>
      <c r="C18" s="14">
        <f t="shared" ref="C18:C33" si="0">SUM(M18:AL18)</f>
        <v>4</v>
      </c>
      <c r="D18" s="17" t="s">
        <v>18</v>
      </c>
      <c r="E18" s="16">
        <v>95</v>
      </c>
      <c r="F18" s="15">
        <f t="shared" ref="F18:F33" si="1">C18*E18</f>
        <v>380</v>
      </c>
      <c r="G18" s="14"/>
      <c r="H18" s="17"/>
      <c r="I18" s="16"/>
      <c r="J18" s="15"/>
      <c r="K18" s="14"/>
      <c r="L18" s="13"/>
      <c r="M18" s="76"/>
      <c r="N18" s="76">
        <v>1</v>
      </c>
      <c r="O18" s="76"/>
      <c r="P18" s="76">
        <v>1</v>
      </c>
      <c r="Q18" s="76"/>
      <c r="R18" s="78"/>
      <c r="S18" s="78"/>
      <c r="T18" s="76"/>
      <c r="U18" s="76"/>
      <c r="V18" s="76"/>
      <c r="W18" s="76">
        <v>1</v>
      </c>
      <c r="X18" s="76"/>
      <c r="Y18" s="78"/>
      <c r="Z18" s="78"/>
      <c r="AA18" s="78"/>
      <c r="AB18" s="76">
        <v>1</v>
      </c>
      <c r="AC18" s="76"/>
      <c r="AD18" s="76"/>
      <c r="AE18" s="76"/>
      <c r="AF18" s="78"/>
      <c r="AG18" s="78"/>
      <c r="AH18" s="76"/>
      <c r="AI18" s="76"/>
      <c r="AJ18" s="76"/>
      <c r="AK18" s="76"/>
      <c r="AL18" s="76"/>
    </row>
    <row r="19" spans="1:38" x14ac:dyDescent="0.2">
      <c r="A19" s="18"/>
      <c r="B19" s="52" t="s">
        <v>25</v>
      </c>
      <c r="C19" s="14">
        <f t="shared" si="0"/>
        <v>0</v>
      </c>
      <c r="D19" s="17" t="s">
        <v>18</v>
      </c>
      <c r="E19" s="16">
        <v>85</v>
      </c>
      <c r="F19" s="15">
        <f t="shared" si="1"/>
        <v>0</v>
      </c>
      <c r="G19" s="14"/>
      <c r="H19" s="17"/>
      <c r="I19" s="16"/>
      <c r="J19" s="15"/>
      <c r="K19" s="14"/>
      <c r="L19" s="13"/>
      <c r="M19" s="76"/>
      <c r="N19" s="76"/>
      <c r="O19" s="76"/>
      <c r="P19" s="76"/>
      <c r="Q19" s="76"/>
      <c r="R19" s="78"/>
      <c r="S19" s="78"/>
      <c r="T19" s="76"/>
      <c r="U19" s="76"/>
      <c r="V19" s="76"/>
      <c r="W19" s="76"/>
      <c r="X19" s="76"/>
      <c r="Y19" s="78"/>
      <c r="Z19" s="78"/>
      <c r="AA19" s="78"/>
      <c r="AB19" s="76"/>
      <c r="AC19" s="76"/>
      <c r="AD19" s="76"/>
      <c r="AE19" s="76"/>
      <c r="AF19" s="78"/>
      <c r="AG19" s="78"/>
      <c r="AH19" s="76"/>
      <c r="AI19" s="76"/>
      <c r="AJ19" s="76"/>
      <c r="AK19" s="76"/>
      <c r="AL19" s="76"/>
    </row>
    <row r="20" spans="1:38" x14ac:dyDescent="0.2">
      <c r="A20" s="18"/>
      <c r="B20" s="59" t="s">
        <v>26</v>
      </c>
      <c r="C20" s="14">
        <f t="shared" si="0"/>
        <v>18</v>
      </c>
      <c r="D20" s="17" t="s">
        <v>18</v>
      </c>
      <c r="E20" s="16">
        <v>80</v>
      </c>
      <c r="F20" s="15">
        <f t="shared" si="1"/>
        <v>1440</v>
      </c>
      <c r="G20" s="14"/>
      <c r="H20" s="17"/>
      <c r="I20" s="16"/>
      <c r="J20" s="15"/>
      <c r="K20" s="14"/>
      <c r="L20" s="13"/>
      <c r="M20" s="76">
        <v>2</v>
      </c>
      <c r="N20" s="76">
        <v>1</v>
      </c>
      <c r="O20" s="76">
        <v>2</v>
      </c>
      <c r="P20" s="76">
        <v>2</v>
      </c>
      <c r="Q20" s="76"/>
      <c r="R20" s="78"/>
      <c r="S20" s="78"/>
      <c r="T20" s="76"/>
      <c r="U20" s="76"/>
      <c r="V20" s="76"/>
      <c r="W20" s="76">
        <v>2</v>
      </c>
      <c r="X20" s="76"/>
      <c r="Y20" s="78"/>
      <c r="Z20" s="78"/>
      <c r="AA20" s="78"/>
      <c r="AB20" s="76"/>
      <c r="AC20" s="76">
        <v>2</v>
      </c>
      <c r="AD20" s="76">
        <v>2</v>
      </c>
      <c r="AE20" s="76">
        <v>1</v>
      </c>
      <c r="AF20" s="78"/>
      <c r="AG20" s="78"/>
      <c r="AH20" s="76">
        <v>4</v>
      </c>
      <c r="AI20" s="76"/>
      <c r="AJ20" s="76"/>
      <c r="AK20" s="76"/>
      <c r="AL20" s="76"/>
    </row>
    <row r="21" spans="1:38" x14ac:dyDescent="0.2">
      <c r="A21" s="18"/>
      <c r="B21" s="52" t="s">
        <v>27</v>
      </c>
      <c r="C21" s="14">
        <f t="shared" si="0"/>
        <v>47.5</v>
      </c>
      <c r="D21" s="17" t="s">
        <v>18</v>
      </c>
      <c r="E21" s="16">
        <v>80</v>
      </c>
      <c r="F21" s="15">
        <f t="shared" si="1"/>
        <v>3800</v>
      </c>
      <c r="G21" s="14"/>
      <c r="H21" s="17"/>
      <c r="I21" s="16"/>
      <c r="J21" s="15"/>
      <c r="K21" s="14"/>
      <c r="L21" s="13"/>
      <c r="M21" s="76">
        <v>2</v>
      </c>
      <c r="N21" s="76">
        <v>1</v>
      </c>
      <c r="O21" s="76">
        <v>8</v>
      </c>
      <c r="P21" s="76">
        <v>2</v>
      </c>
      <c r="Q21" s="76">
        <v>3</v>
      </c>
      <c r="R21" s="78"/>
      <c r="S21" s="78"/>
      <c r="T21" s="76">
        <v>2</v>
      </c>
      <c r="U21" s="76">
        <v>2</v>
      </c>
      <c r="V21" s="79">
        <v>2.5</v>
      </c>
      <c r="W21" s="76">
        <v>2</v>
      </c>
      <c r="X21" s="76">
        <v>3</v>
      </c>
      <c r="Y21" s="78"/>
      <c r="Z21" s="78"/>
      <c r="AA21" s="78"/>
      <c r="AB21" s="76">
        <v>2</v>
      </c>
      <c r="AC21" s="76">
        <v>2</v>
      </c>
      <c r="AD21" s="76">
        <v>2</v>
      </c>
      <c r="AE21" s="76">
        <v>8</v>
      </c>
      <c r="AF21" s="78"/>
      <c r="AG21" s="78"/>
      <c r="AH21" s="76">
        <v>4</v>
      </c>
      <c r="AI21" s="76"/>
      <c r="AJ21" s="76">
        <v>1</v>
      </c>
      <c r="AK21" s="76">
        <v>1</v>
      </c>
      <c r="AL21" s="76"/>
    </row>
    <row r="22" spans="1:38" x14ac:dyDescent="0.2">
      <c r="A22" s="18"/>
      <c r="B22" s="52" t="s">
        <v>28</v>
      </c>
      <c r="C22" s="14">
        <f t="shared" si="0"/>
        <v>16</v>
      </c>
      <c r="D22" s="17" t="s">
        <v>18</v>
      </c>
      <c r="E22" s="16">
        <v>75</v>
      </c>
      <c r="F22" s="15">
        <f t="shared" si="1"/>
        <v>1200</v>
      </c>
      <c r="G22" s="14"/>
      <c r="H22" s="17"/>
      <c r="I22" s="16"/>
      <c r="J22" s="15"/>
      <c r="K22" s="14"/>
      <c r="L22" s="13"/>
      <c r="M22" s="76">
        <v>8</v>
      </c>
      <c r="N22" s="76">
        <v>8</v>
      </c>
      <c r="O22" s="76"/>
      <c r="P22" s="76"/>
      <c r="Q22" s="76"/>
      <c r="R22" s="78"/>
      <c r="S22" s="78"/>
      <c r="T22" s="76"/>
      <c r="U22" s="76"/>
      <c r="V22" s="76"/>
      <c r="W22" s="76"/>
      <c r="X22" s="76"/>
      <c r="Y22" s="78"/>
      <c r="Z22" s="78"/>
      <c r="AA22" s="78"/>
      <c r="AB22" s="76"/>
      <c r="AC22" s="76"/>
      <c r="AD22" s="76"/>
      <c r="AE22" s="76"/>
      <c r="AF22" s="78"/>
      <c r="AG22" s="78"/>
      <c r="AH22" s="76"/>
      <c r="AI22" s="76"/>
      <c r="AJ22" s="76"/>
      <c r="AK22" s="76"/>
      <c r="AL22" s="76"/>
    </row>
    <row r="23" spans="1:38" x14ac:dyDescent="0.2">
      <c r="A23" s="18"/>
      <c r="B23" s="52" t="s">
        <v>68</v>
      </c>
      <c r="C23" s="14">
        <f t="shared" si="0"/>
        <v>8</v>
      </c>
      <c r="D23" s="17" t="s">
        <v>18</v>
      </c>
      <c r="E23" s="16">
        <v>75</v>
      </c>
      <c r="F23" s="15">
        <f t="shared" si="1"/>
        <v>600</v>
      </c>
      <c r="G23" s="14"/>
      <c r="H23" s="17"/>
      <c r="I23" s="16"/>
      <c r="J23" s="15"/>
      <c r="K23" s="14"/>
      <c r="L23" s="13"/>
      <c r="M23" s="76"/>
      <c r="N23" s="76"/>
      <c r="O23" s="76"/>
      <c r="P23" s="76"/>
      <c r="Q23" s="76">
        <v>8</v>
      </c>
      <c r="R23" s="78"/>
      <c r="S23" s="78"/>
      <c r="T23" s="76"/>
      <c r="U23" s="76"/>
      <c r="V23" s="76"/>
      <c r="W23" s="76"/>
      <c r="X23" s="76"/>
      <c r="Y23" s="78"/>
      <c r="Z23" s="78"/>
      <c r="AA23" s="78"/>
      <c r="AB23" s="76"/>
      <c r="AC23" s="76"/>
      <c r="AD23" s="76"/>
      <c r="AE23" s="76"/>
      <c r="AF23" s="78"/>
      <c r="AG23" s="78"/>
      <c r="AH23" s="76"/>
      <c r="AI23" s="76"/>
      <c r="AJ23" s="76"/>
      <c r="AK23" s="76"/>
      <c r="AL23" s="76"/>
    </row>
    <row r="24" spans="1:38" x14ac:dyDescent="0.2">
      <c r="A24" s="18"/>
      <c r="B24" s="52" t="s">
        <v>29</v>
      </c>
      <c r="C24" s="14">
        <f t="shared" si="0"/>
        <v>108</v>
      </c>
      <c r="D24" s="17" t="s">
        <v>18</v>
      </c>
      <c r="E24" s="16">
        <v>46</v>
      </c>
      <c r="F24" s="15">
        <f t="shared" si="1"/>
        <v>4968</v>
      </c>
      <c r="G24" s="14"/>
      <c r="H24" s="17"/>
      <c r="I24" s="16"/>
      <c r="J24" s="15"/>
      <c r="K24" s="14"/>
      <c r="L24" s="13"/>
      <c r="M24" s="76">
        <v>8</v>
      </c>
      <c r="N24" s="76">
        <v>8</v>
      </c>
      <c r="O24" s="76">
        <v>8</v>
      </c>
      <c r="P24" s="76">
        <v>8</v>
      </c>
      <c r="Q24" s="76">
        <v>8</v>
      </c>
      <c r="R24" s="78"/>
      <c r="S24" s="78"/>
      <c r="T24" s="76">
        <v>8</v>
      </c>
      <c r="U24" s="76"/>
      <c r="V24" s="76">
        <v>8</v>
      </c>
      <c r="W24" s="76">
        <v>8</v>
      </c>
      <c r="X24" s="76">
        <v>8</v>
      </c>
      <c r="Y24" s="78"/>
      <c r="Z24" s="78"/>
      <c r="AA24" s="78"/>
      <c r="AB24" s="76">
        <v>8</v>
      </c>
      <c r="AC24" s="76">
        <v>8</v>
      </c>
      <c r="AD24" s="76">
        <v>8</v>
      </c>
      <c r="AE24" s="76">
        <v>8</v>
      </c>
      <c r="AF24" s="78"/>
      <c r="AG24" s="78"/>
      <c r="AH24" s="76">
        <v>4</v>
      </c>
      <c r="AI24" s="76"/>
      <c r="AJ24" s="76"/>
      <c r="AK24" s="76"/>
      <c r="AL24" s="76"/>
    </row>
    <row r="25" spans="1:38" x14ac:dyDescent="0.2">
      <c r="A25" s="18"/>
      <c r="B25" s="52" t="s">
        <v>30</v>
      </c>
      <c r="C25" s="14">
        <f t="shared" si="0"/>
        <v>40</v>
      </c>
      <c r="D25" s="17" t="s">
        <v>18</v>
      </c>
      <c r="E25" s="16">
        <v>46</v>
      </c>
      <c r="F25" s="15">
        <f t="shared" si="1"/>
        <v>1840</v>
      </c>
      <c r="G25" s="14"/>
      <c r="H25" s="17"/>
      <c r="I25" s="16"/>
      <c r="J25" s="15"/>
      <c r="K25" s="14"/>
      <c r="L25" s="13"/>
      <c r="M25" s="76">
        <v>8</v>
      </c>
      <c r="N25" s="76">
        <v>8</v>
      </c>
      <c r="O25" s="76">
        <v>8</v>
      </c>
      <c r="P25" s="76">
        <v>8</v>
      </c>
      <c r="Q25" s="76">
        <v>8</v>
      </c>
      <c r="R25" s="78"/>
      <c r="S25" s="78"/>
      <c r="T25" s="76"/>
      <c r="U25" s="76"/>
      <c r="V25" s="76"/>
      <c r="W25" s="76"/>
      <c r="X25" s="76"/>
      <c r="Y25" s="78"/>
      <c r="Z25" s="78"/>
      <c r="AA25" s="78"/>
      <c r="AB25" s="76"/>
      <c r="AC25" s="76"/>
      <c r="AD25" s="76"/>
      <c r="AE25" s="76"/>
      <c r="AF25" s="78"/>
      <c r="AG25" s="78"/>
      <c r="AH25" s="76"/>
      <c r="AI25" s="76"/>
      <c r="AJ25" s="76"/>
      <c r="AK25" s="76"/>
      <c r="AL25" s="76"/>
    </row>
    <row r="26" spans="1:38" x14ac:dyDescent="0.2">
      <c r="A26" s="18"/>
      <c r="B26" s="52" t="s">
        <v>31</v>
      </c>
      <c r="C26" s="14">
        <f t="shared" si="0"/>
        <v>72</v>
      </c>
      <c r="D26" s="17" t="s">
        <v>18</v>
      </c>
      <c r="E26" s="16">
        <v>46</v>
      </c>
      <c r="F26" s="15">
        <f t="shared" si="1"/>
        <v>3312</v>
      </c>
      <c r="G26" s="14"/>
      <c r="H26" s="17"/>
      <c r="I26" s="16"/>
      <c r="J26" s="15"/>
      <c r="K26" s="14"/>
      <c r="L26" s="13"/>
      <c r="M26" s="76">
        <v>8</v>
      </c>
      <c r="N26" s="76">
        <v>8</v>
      </c>
      <c r="O26" s="76">
        <v>8</v>
      </c>
      <c r="P26" s="76">
        <v>8</v>
      </c>
      <c r="Q26" s="76"/>
      <c r="R26" s="78"/>
      <c r="S26" s="78"/>
      <c r="T26" s="76">
        <v>8</v>
      </c>
      <c r="U26" s="76">
        <v>8</v>
      </c>
      <c r="V26" s="76">
        <v>8</v>
      </c>
      <c r="W26" s="76"/>
      <c r="X26" s="76"/>
      <c r="Y26" s="78"/>
      <c r="Z26" s="78"/>
      <c r="AA26" s="78"/>
      <c r="AB26" s="76">
        <v>8</v>
      </c>
      <c r="AC26" s="76">
        <v>8</v>
      </c>
      <c r="AD26" s="76"/>
      <c r="AE26" s="76"/>
      <c r="AF26" s="78"/>
      <c r="AG26" s="78"/>
      <c r="AH26" s="76"/>
      <c r="AI26" s="76"/>
      <c r="AJ26" s="76"/>
      <c r="AK26" s="76"/>
      <c r="AL26" s="76"/>
    </row>
    <row r="27" spans="1:38" x14ac:dyDescent="0.2">
      <c r="A27" s="18"/>
      <c r="B27" s="52" t="s">
        <v>32</v>
      </c>
      <c r="C27" s="14">
        <f t="shared" si="0"/>
        <v>112</v>
      </c>
      <c r="D27" s="17" t="s">
        <v>18</v>
      </c>
      <c r="E27" s="16">
        <v>46</v>
      </c>
      <c r="F27" s="15">
        <f t="shared" si="1"/>
        <v>5152</v>
      </c>
      <c r="G27" s="14"/>
      <c r="H27" s="17"/>
      <c r="I27" s="16"/>
      <c r="J27" s="15"/>
      <c r="K27" s="14"/>
      <c r="L27" s="13"/>
      <c r="M27" s="76">
        <v>8</v>
      </c>
      <c r="N27" s="76">
        <v>8</v>
      </c>
      <c r="O27" s="76">
        <v>8</v>
      </c>
      <c r="P27" s="76">
        <v>8</v>
      </c>
      <c r="Q27" s="76">
        <v>8</v>
      </c>
      <c r="R27" s="78"/>
      <c r="S27" s="78"/>
      <c r="T27" s="76">
        <v>8</v>
      </c>
      <c r="U27" s="76">
        <v>8</v>
      </c>
      <c r="V27" s="76">
        <v>8</v>
      </c>
      <c r="W27" s="76">
        <v>8</v>
      </c>
      <c r="X27" s="76">
        <v>8</v>
      </c>
      <c r="Y27" s="78"/>
      <c r="Z27" s="78"/>
      <c r="AA27" s="78"/>
      <c r="AB27" s="76">
        <v>8</v>
      </c>
      <c r="AC27" s="76">
        <v>8</v>
      </c>
      <c r="AD27" s="76">
        <v>8</v>
      </c>
      <c r="AE27" s="76">
        <v>8</v>
      </c>
      <c r="AF27" s="78"/>
      <c r="AG27" s="78"/>
      <c r="AH27" s="76"/>
      <c r="AI27" s="76"/>
      <c r="AJ27" s="76"/>
      <c r="AK27" s="76"/>
      <c r="AL27" s="76"/>
    </row>
    <row r="28" spans="1:38" x14ac:dyDescent="0.2">
      <c r="A28" s="18"/>
      <c r="B28" s="52" t="s">
        <v>33</v>
      </c>
      <c r="C28" s="14">
        <f t="shared" si="0"/>
        <v>16</v>
      </c>
      <c r="D28" s="17" t="s">
        <v>18</v>
      </c>
      <c r="E28" s="16">
        <v>46</v>
      </c>
      <c r="F28" s="15">
        <f t="shared" si="1"/>
        <v>736</v>
      </c>
      <c r="G28" s="14"/>
      <c r="H28" s="17"/>
      <c r="I28" s="16"/>
      <c r="J28" s="15"/>
      <c r="K28" s="14"/>
      <c r="L28" s="13"/>
      <c r="M28" s="76"/>
      <c r="N28" s="76"/>
      <c r="O28" s="76">
        <v>8</v>
      </c>
      <c r="P28" s="76"/>
      <c r="Q28" s="76">
        <v>8</v>
      </c>
      <c r="R28" s="78"/>
      <c r="S28" s="78"/>
      <c r="T28" s="76"/>
      <c r="U28" s="76"/>
      <c r="V28" s="76"/>
      <c r="W28" s="76"/>
      <c r="X28" s="76"/>
      <c r="Y28" s="78"/>
      <c r="Z28" s="78"/>
      <c r="AA28" s="78"/>
      <c r="AB28" s="76"/>
      <c r="AC28" s="76"/>
      <c r="AD28" s="76"/>
      <c r="AE28" s="76"/>
      <c r="AF28" s="78"/>
      <c r="AG28" s="78"/>
      <c r="AH28" s="76"/>
      <c r="AI28" s="76"/>
      <c r="AJ28" s="76"/>
      <c r="AK28" s="76"/>
      <c r="AL28" s="76"/>
    </row>
    <row r="29" spans="1:38" x14ac:dyDescent="0.2">
      <c r="A29" s="18"/>
      <c r="B29" s="52" t="s">
        <v>34</v>
      </c>
      <c r="C29" s="14">
        <f t="shared" si="0"/>
        <v>0</v>
      </c>
      <c r="D29" s="17" t="s">
        <v>18</v>
      </c>
      <c r="E29" s="16">
        <v>46</v>
      </c>
      <c r="F29" s="15">
        <f t="shared" si="1"/>
        <v>0</v>
      </c>
      <c r="G29" s="14"/>
      <c r="H29" s="17"/>
      <c r="I29" s="16"/>
      <c r="J29" s="15"/>
      <c r="K29" s="14"/>
      <c r="L29" s="13"/>
      <c r="M29" s="76"/>
      <c r="N29" s="76"/>
      <c r="O29" s="76"/>
      <c r="P29" s="76"/>
      <c r="Q29" s="76"/>
      <c r="R29" s="78"/>
      <c r="S29" s="78"/>
      <c r="T29" s="76"/>
      <c r="U29" s="76"/>
      <c r="V29" s="76"/>
      <c r="W29" s="76"/>
      <c r="X29" s="76"/>
      <c r="Y29" s="78"/>
      <c r="Z29" s="78"/>
      <c r="AA29" s="78"/>
      <c r="AB29" s="76"/>
      <c r="AC29" s="76"/>
      <c r="AD29" s="76"/>
      <c r="AE29" s="76"/>
      <c r="AF29" s="78"/>
      <c r="AG29" s="78"/>
      <c r="AH29" s="76"/>
      <c r="AI29" s="76"/>
      <c r="AJ29" s="76"/>
      <c r="AK29" s="76"/>
      <c r="AL29" s="76"/>
    </row>
    <row r="30" spans="1:38" x14ac:dyDescent="0.2">
      <c r="A30" s="18"/>
      <c r="B30" s="52" t="s">
        <v>35</v>
      </c>
      <c r="C30" s="14">
        <f t="shared" si="0"/>
        <v>8</v>
      </c>
      <c r="D30" s="17" t="s">
        <v>18</v>
      </c>
      <c r="E30" s="16">
        <v>46</v>
      </c>
      <c r="F30" s="15">
        <f t="shared" si="1"/>
        <v>368</v>
      </c>
      <c r="G30" s="14"/>
      <c r="H30" s="17"/>
      <c r="I30" s="16"/>
      <c r="J30" s="15"/>
      <c r="K30" s="14"/>
      <c r="L30" s="13"/>
      <c r="M30" s="76"/>
      <c r="N30" s="76"/>
      <c r="O30" s="76"/>
      <c r="P30" s="76"/>
      <c r="Q30" s="76">
        <v>8</v>
      </c>
      <c r="R30" s="78"/>
      <c r="S30" s="78"/>
      <c r="T30" s="76"/>
      <c r="U30" s="76"/>
      <c r="V30" s="76"/>
      <c r="W30" s="76"/>
      <c r="X30" s="76"/>
      <c r="Y30" s="78"/>
      <c r="Z30" s="78"/>
      <c r="AA30" s="78"/>
      <c r="AB30" s="76"/>
      <c r="AC30" s="76"/>
      <c r="AD30" s="76"/>
      <c r="AE30" s="76"/>
      <c r="AF30" s="78"/>
      <c r="AG30" s="78"/>
      <c r="AH30" s="76"/>
      <c r="AI30" s="76"/>
      <c r="AJ30" s="76"/>
      <c r="AK30" s="76"/>
      <c r="AL30" s="76"/>
    </row>
    <row r="31" spans="1:38" x14ac:dyDescent="0.2">
      <c r="A31" s="18"/>
      <c r="B31" s="52" t="s">
        <v>36</v>
      </c>
      <c r="C31" s="14">
        <f t="shared" si="0"/>
        <v>12</v>
      </c>
      <c r="D31" s="17" t="s">
        <v>18</v>
      </c>
      <c r="E31" s="16">
        <v>46</v>
      </c>
      <c r="F31" s="15">
        <f t="shared" si="1"/>
        <v>552</v>
      </c>
      <c r="G31" s="14"/>
      <c r="H31" s="17"/>
      <c r="I31" s="16"/>
      <c r="J31" s="15"/>
      <c r="K31" s="14"/>
      <c r="L31" s="13"/>
      <c r="M31" s="76">
        <v>2</v>
      </c>
      <c r="N31" s="76"/>
      <c r="O31" s="76">
        <v>2</v>
      </c>
      <c r="P31" s="76"/>
      <c r="Q31" s="76">
        <v>8</v>
      </c>
      <c r="R31" s="78"/>
      <c r="S31" s="78"/>
      <c r="T31" s="76"/>
      <c r="U31" s="76"/>
      <c r="V31" s="76"/>
      <c r="W31" s="76"/>
      <c r="X31" s="76"/>
      <c r="Y31" s="78"/>
      <c r="Z31" s="78"/>
      <c r="AA31" s="78"/>
      <c r="AB31" s="76"/>
      <c r="AC31" s="76"/>
      <c r="AD31" s="76"/>
      <c r="AE31" s="76"/>
      <c r="AF31" s="78"/>
      <c r="AG31" s="78"/>
      <c r="AH31" s="76"/>
      <c r="AI31" s="76"/>
      <c r="AJ31" s="76"/>
      <c r="AK31" s="76"/>
      <c r="AL31" s="76"/>
    </row>
    <row r="32" spans="1:38" x14ac:dyDescent="0.2">
      <c r="A32" s="18"/>
      <c r="B32" s="52" t="s">
        <v>37</v>
      </c>
      <c r="C32" s="14">
        <f t="shared" si="0"/>
        <v>24</v>
      </c>
      <c r="D32" s="17" t="s">
        <v>18</v>
      </c>
      <c r="E32" s="16">
        <v>46</v>
      </c>
      <c r="F32" s="15">
        <f t="shared" si="1"/>
        <v>1104</v>
      </c>
      <c r="G32" s="14"/>
      <c r="H32" s="17"/>
      <c r="I32" s="16"/>
      <c r="J32" s="15"/>
      <c r="K32" s="14"/>
      <c r="L32" s="13"/>
      <c r="M32" s="76">
        <v>8</v>
      </c>
      <c r="N32" s="76"/>
      <c r="O32" s="76"/>
      <c r="P32" s="76"/>
      <c r="Q32" s="76">
        <v>8</v>
      </c>
      <c r="R32" s="78"/>
      <c r="S32" s="78"/>
      <c r="T32" s="76">
        <v>8</v>
      </c>
      <c r="U32" s="76"/>
      <c r="V32" s="76"/>
      <c r="W32" s="76"/>
      <c r="X32" s="76"/>
      <c r="Y32" s="78"/>
      <c r="Z32" s="78"/>
      <c r="AA32" s="78"/>
      <c r="AB32" s="76"/>
      <c r="AC32" s="76"/>
      <c r="AD32" s="76"/>
      <c r="AE32" s="76"/>
      <c r="AF32" s="78"/>
      <c r="AG32" s="78"/>
      <c r="AH32" s="76"/>
      <c r="AI32" s="76"/>
      <c r="AJ32" s="76"/>
      <c r="AK32" s="76"/>
      <c r="AL32" s="76"/>
    </row>
    <row r="33" spans="1:38" x14ac:dyDescent="0.2">
      <c r="A33" s="18"/>
      <c r="B33" s="52" t="s">
        <v>38</v>
      </c>
      <c r="C33" s="14">
        <f t="shared" si="0"/>
        <v>70</v>
      </c>
      <c r="D33" s="17" t="s">
        <v>18</v>
      </c>
      <c r="E33" s="16">
        <v>46</v>
      </c>
      <c r="F33" s="15">
        <f t="shared" si="1"/>
        <v>3220</v>
      </c>
      <c r="G33" s="14"/>
      <c r="H33" s="17"/>
      <c r="I33" s="16"/>
      <c r="J33" s="15"/>
      <c r="K33" s="14"/>
      <c r="L33" s="13"/>
      <c r="M33" s="76">
        <v>2</v>
      </c>
      <c r="N33" s="76"/>
      <c r="O33" s="76">
        <v>2</v>
      </c>
      <c r="P33" s="76">
        <v>2</v>
      </c>
      <c r="Q33" s="76">
        <v>8</v>
      </c>
      <c r="R33" s="78"/>
      <c r="S33" s="78"/>
      <c r="T33" s="76"/>
      <c r="U33" s="76">
        <v>8</v>
      </c>
      <c r="V33" s="76">
        <v>8</v>
      </c>
      <c r="W33" s="76">
        <v>8</v>
      </c>
      <c r="X33" s="76"/>
      <c r="Y33" s="78"/>
      <c r="Z33" s="78"/>
      <c r="AA33" s="78"/>
      <c r="AB33" s="76">
        <v>8</v>
      </c>
      <c r="AC33" s="76">
        <v>8</v>
      </c>
      <c r="AD33" s="76">
        <v>8</v>
      </c>
      <c r="AE33" s="76"/>
      <c r="AF33" s="78"/>
      <c r="AG33" s="78"/>
      <c r="AH33" s="76"/>
      <c r="AI33" s="76"/>
      <c r="AJ33" s="76">
        <v>4</v>
      </c>
      <c r="AK33" s="76">
        <v>4</v>
      </c>
      <c r="AL33" s="76"/>
    </row>
    <row r="34" spans="1:38" x14ac:dyDescent="0.2">
      <c r="A34" s="18"/>
      <c r="B34" s="52" t="s">
        <v>69</v>
      </c>
      <c r="C34" s="14">
        <f t="shared" ref="C34" si="2">SUM(M34:AL34)</f>
        <v>16</v>
      </c>
      <c r="D34" s="17" t="s">
        <v>18</v>
      </c>
      <c r="E34" s="16">
        <v>46</v>
      </c>
      <c r="F34" s="15">
        <f t="shared" ref="F34" si="3">C34*E34</f>
        <v>736</v>
      </c>
      <c r="G34" s="14"/>
      <c r="H34" s="17"/>
      <c r="I34" s="16"/>
      <c r="J34" s="15"/>
      <c r="K34" s="14"/>
      <c r="L34" s="13"/>
      <c r="M34" s="76"/>
      <c r="N34" s="76"/>
      <c r="O34" s="76"/>
      <c r="P34" s="76"/>
      <c r="Q34" s="76">
        <v>8</v>
      </c>
      <c r="R34" s="78"/>
      <c r="S34" s="78"/>
      <c r="T34" s="76">
        <v>8</v>
      </c>
      <c r="U34" s="76"/>
      <c r="V34" s="76"/>
      <c r="W34" s="76"/>
      <c r="X34" s="76"/>
      <c r="Y34" s="78"/>
      <c r="Z34" s="78"/>
      <c r="AA34" s="78"/>
      <c r="AB34" s="76"/>
      <c r="AC34" s="76"/>
      <c r="AD34" s="76"/>
      <c r="AE34" s="76"/>
      <c r="AF34" s="78"/>
      <c r="AG34" s="78"/>
      <c r="AH34" s="76"/>
      <c r="AI34" s="76"/>
      <c r="AJ34" s="76"/>
      <c r="AK34" s="76"/>
      <c r="AL34" s="76"/>
    </row>
    <row r="35" spans="1:38" x14ac:dyDescent="0.2">
      <c r="A35" s="18"/>
      <c r="B35" s="52" t="s">
        <v>70</v>
      </c>
      <c r="C35" s="14">
        <f t="shared" ref="C35" si="4">SUM(M35:AL35)</f>
        <v>64</v>
      </c>
      <c r="D35" s="17" t="s">
        <v>18</v>
      </c>
      <c r="E35" s="16">
        <v>46</v>
      </c>
      <c r="F35" s="15">
        <f t="shared" ref="F35" si="5">C35*E35</f>
        <v>2944</v>
      </c>
      <c r="G35" s="14"/>
      <c r="H35" s="17"/>
      <c r="I35" s="16"/>
      <c r="J35" s="15"/>
      <c r="K35" s="14"/>
      <c r="L35" s="13"/>
      <c r="M35" s="76"/>
      <c r="N35" s="76"/>
      <c r="O35" s="76"/>
      <c r="P35" s="76"/>
      <c r="Q35" s="76"/>
      <c r="R35" s="78"/>
      <c r="S35" s="78"/>
      <c r="T35" s="76">
        <v>8</v>
      </c>
      <c r="U35" s="76"/>
      <c r="V35" s="76">
        <v>8</v>
      </c>
      <c r="W35" s="76">
        <v>8</v>
      </c>
      <c r="X35" s="76">
        <v>8</v>
      </c>
      <c r="Y35" s="78"/>
      <c r="Z35" s="78"/>
      <c r="AA35" s="78"/>
      <c r="AB35" s="76">
        <v>8</v>
      </c>
      <c r="AC35" s="76">
        <v>8</v>
      </c>
      <c r="AD35" s="76">
        <v>8</v>
      </c>
      <c r="AE35" s="76">
        <v>8</v>
      </c>
      <c r="AF35" s="78"/>
      <c r="AG35" s="78"/>
      <c r="AH35" s="76"/>
      <c r="AI35" s="76"/>
      <c r="AJ35" s="76"/>
      <c r="AK35" s="76"/>
      <c r="AL35" s="76"/>
    </row>
    <row r="36" spans="1:38" x14ac:dyDescent="0.2">
      <c r="A36" s="18"/>
      <c r="B36" s="52"/>
      <c r="C36" s="14"/>
      <c r="D36" s="17"/>
      <c r="E36" s="16"/>
      <c r="F36" s="15"/>
      <c r="G36" s="14"/>
      <c r="H36" s="17"/>
      <c r="I36" s="16"/>
      <c r="J36" s="15"/>
      <c r="K36" s="14"/>
      <c r="L36" s="13"/>
      <c r="M36" s="12"/>
      <c r="O36" s="51"/>
    </row>
    <row r="37" spans="1:38" x14ac:dyDescent="0.2">
      <c r="A37" s="18"/>
      <c r="B37" s="52"/>
      <c r="C37" s="14"/>
      <c r="D37" s="17"/>
      <c r="E37" s="16"/>
      <c r="F37" s="15"/>
      <c r="G37" s="14"/>
      <c r="H37" s="17"/>
      <c r="I37" s="16"/>
      <c r="J37" s="15"/>
      <c r="K37" s="14"/>
      <c r="L37" s="13"/>
      <c r="M37" s="12"/>
      <c r="O37" s="51"/>
    </row>
    <row r="38" spans="1:38" x14ac:dyDescent="0.2">
      <c r="A38" s="18"/>
      <c r="B38" s="60" t="s">
        <v>58</v>
      </c>
      <c r="C38" s="14"/>
      <c r="D38" s="17"/>
      <c r="E38" s="16"/>
      <c r="F38" s="15"/>
      <c r="G38" s="14"/>
      <c r="H38" s="17"/>
      <c r="I38" s="16"/>
      <c r="J38" s="15"/>
      <c r="K38" s="14"/>
      <c r="L38" s="13"/>
      <c r="M38" s="12"/>
      <c r="O38" s="51"/>
    </row>
    <row r="39" spans="1:38" x14ac:dyDescent="0.2">
      <c r="A39" s="18"/>
      <c r="B39" s="60" t="s">
        <v>51</v>
      </c>
      <c r="C39" s="14"/>
      <c r="D39" s="17"/>
      <c r="E39" s="16"/>
      <c r="F39" s="15"/>
      <c r="G39" s="14"/>
      <c r="H39" s="17"/>
      <c r="I39" s="16"/>
      <c r="J39" s="15"/>
      <c r="K39" s="14"/>
      <c r="L39" s="13"/>
      <c r="M39" s="12"/>
      <c r="O39" s="51"/>
    </row>
    <row r="40" spans="1:38" x14ac:dyDescent="0.2">
      <c r="A40" s="18"/>
      <c r="B40" s="52" t="s">
        <v>39</v>
      </c>
      <c r="C40" s="14"/>
      <c r="D40" s="17"/>
      <c r="E40" s="16"/>
      <c r="F40" s="15"/>
      <c r="G40" s="14">
        <f>3*12</f>
        <v>36</v>
      </c>
      <c r="H40" s="17" t="s">
        <v>21</v>
      </c>
      <c r="I40" s="16">
        <v>1.38</v>
      </c>
      <c r="J40" s="15">
        <f>G40*I40</f>
        <v>49.679999999999993</v>
      </c>
      <c r="K40" s="14"/>
      <c r="L40" s="13"/>
      <c r="M40" s="12"/>
      <c r="O40" s="51"/>
    </row>
    <row r="41" spans="1:38" x14ac:dyDescent="0.2">
      <c r="A41" s="18"/>
      <c r="B41" s="52" t="s">
        <v>40</v>
      </c>
      <c r="C41" s="14"/>
      <c r="D41" s="17"/>
      <c r="E41" s="16"/>
      <c r="F41" s="15"/>
      <c r="G41" s="14">
        <f>3*12</f>
        <v>36</v>
      </c>
      <c r="H41" s="17" t="s">
        <v>21</v>
      </c>
      <c r="I41" s="16">
        <v>0.66</v>
      </c>
      <c r="J41" s="15">
        <f t="shared" ref="J41:J80" si="6">G41*I41</f>
        <v>23.76</v>
      </c>
      <c r="K41" s="14"/>
      <c r="L41" s="13"/>
      <c r="M41" s="12"/>
      <c r="O41" s="51"/>
    </row>
    <row r="42" spans="1:38" x14ac:dyDescent="0.2">
      <c r="A42" s="18"/>
      <c r="B42" s="52" t="s">
        <v>41</v>
      </c>
      <c r="C42" s="14"/>
      <c r="D42" s="17"/>
      <c r="E42" s="16"/>
      <c r="F42" s="15"/>
      <c r="G42" s="14">
        <f>3*12</f>
        <v>36</v>
      </c>
      <c r="H42" s="17" t="s">
        <v>21</v>
      </c>
      <c r="I42" s="16">
        <v>0.56000000000000005</v>
      </c>
      <c r="J42" s="15">
        <f t="shared" si="6"/>
        <v>20.160000000000004</v>
      </c>
      <c r="K42" s="14"/>
      <c r="L42" s="13"/>
      <c r="M42" s="12"/>
      <c r="O42" s="51"/>
    </row>
    <row r="43" spans="1:38" x14ac:dyDescent="0.2">
      <c r="A43" s="18"/>
      <c r="B43" s="52" t="s">
        <v>42</v>
      </c>
      <c r="C43" s="14"/>
      <c r="D43" s="17"/>
      <c r="E43" s="16"/>
      <c r="F43" s="15"/>
      <c r="G43" s="14">
        <f>3*12</f>
        <v>36</v>
      </c>
      <c r="H43" s="17" t="s">
        <v>21</v>
      </c>
      <c r="I43" s="16">
        <v>0.63</v>
      </c>
      <c r="J43" s="15">
        <f t="shared" si="6"/>
        <v>22.68</v>
      </c>
      <c r="K43" s="14"/>
      <c r="L43" s="13"/>
      <c r="M43" s="12"/>
      <c r="O43" s="51"/>
    </row>
    <row r="44" spans="1:38" x14ac:dyDescent="0.2">
      <c r="A44" s="18"/>
      <c r="B44" s="52" t="s">
        <v>43</v>
      </c>
      <c r="C44" s="14"/>
      <c r="D44" s="17"/>
      <c r="E44" s="16"/>
      <c r="F44" s="15"/>
      <c r="G44" s="14">
        <f>3*12</f>
        <v>36</v>
      </c>
      <c r="H44" s="17" t="s">
        <v>21</v>
      </c>
      <c r="I44" s="16">
        <v>0.71</v>
      </c>
      <c r="J44" s="15">
        <f t="shared" si="6"/>
        <v>25.56</v>
      </c>
      <c r="K44" s="14"/>
      <c r="L44" s="13"/>
      <c r="M44" s="12"/>
      <c r="O44" s="51"/>
    </row>
    <row r="45" spans="1:38" x14ac:dyDescent="0.2">
      <c r="A45" s="18"/>
      <c r="B45" s="52" t="s">
        <v>44</v>
      </c>
      <c r="C45" s="14"/>
      <c r="D45" s="17"/>
      <c r="E45" s="16"/>
      <c r="F45" s="15"/>
      <c r="G45" s="14">
        <f>2*12</f>
        <v>24</v>
      </c>
      <c r="H45" s="17" t="s">
        <v>21</v>
      </c>
      <c r="I45" s="16">
        <v>0.46</v>
      </c>
      <c r="J45" s="15">
        <f t="shared" si="6"/>
        <v>11.040000000000001</v>
      </c>
      <c r="K45" s="14"/>
      <c r="L45" s="13"/>
      <c r="M45" s="12"/>
      <c r="O45" s="51"/>
    </row>
    <row r="46" spans="1:38" x14ac:dyDescent="0.2">
      <c r="A46" s="18"/>
      <c r="B46" s="52" t="s">
        <v>45</v>
      </c>
      <c r="C46" s="14"/>
      <c r="D46" s="17"/>
      <c r="E46" s="16"/>
      <c r="F46" s="15"/>
      <c r="G46" s="14">
        <f>3*12</f>
        <v>36</v>
      </c>
      <c r="H46" s="17" t="s">
        <v>21</v>
      </c>
      <c r="I46" s="16">
        <v>0.94</v>
      </c>
      <c r="J46" s="15">
        <f t="shared" si="6"/>
        <v>33.839999999999996</v>
      </c>
      <c r="K46" s="14"/>
      <c r="L46" s="13"/>
      <c r="M46" s="12"/>
      <c r="O46" s="51"/>
    </row>
    <row r="47" spans="1:38" x14ac:dyDescent="0.2">
      <c r="A47" s="18"/>
      <c r="B47" s="52" t="s">
        <v>46</v>
      </c>
      <c r="C47" s="14"/>
      <c r="D47" s="17"/>
      <c r="E47" s="16"/>
      <c r="F47" s="15"/>
      <c r="G47" s="14">
        <f>3*12</f>
        <v>36</v>
      </c>
      <c r="H47" s="17" t="s">
        <v>21</v>
      </c>
      <c r="I47" s="16">
        <v>0.9</v>
      </c>
      <c r="J47" s="15">
        <f t="shared" si="6"/>
        <v>32.4</v>
      </c>
      <c r="K47" s="14"/>
      <c r="L47" s="13"/>
      <c r="M47" s="12"/>
      <c r="O47" s="51"/>
    </row>
    <row r="48" spans="1:38" x14ac:dyDescent="0.2">
      <c r="A48" s="18"/>
      <c r="B48" s="52" t="s">
        <v>47</v>
      </c>
      <c r="C48" s="14"/>
      <c r="D48" s="17"/>
      <c r="E48" s="16"/>
      <c r="F48" s="15"/>
      <c r="G48" s="14">
        <f>2*12</f>
        <v>24</v>
      </c>
      <c r="H48" s="17" t="s">
        <v>21</v>
      </c>
      <c r="I48" s="16">
        <v>0.99</v>
      </c>
      <c r="J48" s="15">
        <f t="shared" si="6"/>
        <v>23.759999999999998</v>
      </c>
      <c r="K48" s="14"/>
      <c r="L48" s="13"/>
      <c r="M48" s="12"/>
      <c r="O48" s="51"/>
    </row>
    <row r="49" spans="1:15" x14ac:dyDescent="0.2">
      <c r="A49" s="18"/>
      <c r="B49" s="52" t="s">
        <v>48</v>
      </c>
      <c r="C49" s="14"/>
      <c r="D49" s="17"/>
      <c r="E49" s="16"/>
      <c r="F49" s="15"/>
      <c r="G49" s="14">
        <f>1*12</f>
        <v>12</v>
      </c>
      <c r="H49" s="17" t="s">
        <v>21</v>
      </c>
      <c r="I49" s="16">
        <v>6.92</v>
      </c>
      <c r="J49" s="15">
        <f t="shared" si="6"/>
        <v>83.039999999999992</v>
      </c>
      <c r="K49" s="14"/>
      <c r="L49" s="13"/>
      <c r="M49" s="12"/>
      <c r="O49" s="51"/>
    </row>
    <row r="50" spans="1:15" x14ac:dyDescent="0.2">
      <c r="A50" s="18"/>
      <c r="B50" s="52" t="s">
        <v>49</v>
      </c>
      <c r="C50" s="14"/>
      <c r="D50" s="17"/>
      <c r="E50" s="16"/>
      <c r="F50" s="15"/>
      <c r="G50" s="14">
        <f>50*12</f>
        <v>600</v>
      </c>
      <c r="H50" s="17" t="s">
        <v>56</v>
      </c>
      <c r="I50" s="16">
        <v>0.61</v>
      </c>
      <c r="J50" s="15">
        <f t="shared" si="6"/>
        <v>366</v>
      </c>
      <c r="K50" s="14"/>
      <c r="L50" s="13"/>
      <c r="M50" s="12"/>
      <c r="O50" s="51"/>
    </row>
    <row r="51" spans="1:15" x14ac:dyDescent="0.2">
      <c r="A51" s="18"/>
      <c r="B51" s="52" t="s">
        <v>50</v>
      </c>
      <c r="C51" s="14"/>
      <c r="D51" s="17"/>
      <c r="E51" s="16"/>
      <c r="F51" s="15"/>
      <c r="G51" s="14">
        <f>20*12</f>
        <v>240</v>
      </c>
      <c r="H51" s="17" t="s">
        <v>56</v>
      </c>
      <c r="I51" s="16">
        <v>0.5</v>
      </c>
      <c r="J51" s="15">
        <f t="shared" si="6"/>
        <v>120</v>
      </c>
      <c r="K51" s="14"/>
      <c r="L51" s="13"/>
      <c r="M51" s="12"/>
      <c r="O51" s="51"/>
    </row>
    <row r="52" spans="1:15" x14ac:dyDescent="0.2">
      <c r="A52" s="18"/>
      <c r="B52" s="60" t="s">
        <v>52</v>
      </c>
      <c r="C52" s="14"/>
      <c r="D52" s="17"/>
      <c r="E52" s="16"/>
      <c r="F52" s="15"/>
      <c r="G52" s="14"/>
      <c r="H52" s="17"/>
      <c r="I52" s="16"/>
      <c r="J52" s="15"/>
      <c r="K52" s="14"/>
      <c r="L52" s="13"/>
      <c r="M52" s="12"/>
      <c r="O52" s="51"/>
    </row>
    <row r="53" spans="1:15" x14ac:dyDescent="0.2">
      <c r="A53" s="18"/>
      <c r="B53" s="52" t="s">
        <v>49</v>
      </c>
      <c r="C53" s="14"/>
      <c r="D53" s="17"/>
      <c r="E53" s="16"/>
      <c r="F53" s="15"/>
      <c r="G53" s="14">
        <v>35</v>
      </c>
      <c r="H53" s="17" t="s">
        <v>56</v>
      </c>
      <c r="I53" s="16">
        <v>0.61</v>
      </c>
      <c r="J53" s="15">
        <f t="shared" si="6"/>
        <v>21.349999999999998</v>
      </c>
      <c r="K53" s="14"/>
      <c r="L53" s="13"/>
      <c r="M53" s="12"/>
      <c r="O53" s="51"/>
    </row>
    <row r="54" spans="1:15" x14ac:dyDescent="0.2">
      <c r="A54" s="18"/>
      <c r="B54" s="52" t="s">
        <v>50</v>
      </c>
      <c r="C54" s="14"/>
      <c r="D54" s="17"/>
      <c r="E54" s="16"/>
      <c r="F54" s="15"/>
      <c r="G54" s="14">
        <v>15</v>
      </c>
      <c r="H54" s="17" t="s">
        <v>56</v>
      </c>
      <c r="I54" s="16">
        <v>0.5</v>
      </c>
      <c r="J54" s="15">
        <f t="shared" si="6"/>
        <v>7.5</v>
      </c>
      <c r="K54" s="14"/>
      <c r="L54" s="13"/>
      <c r="M54" s="12"/>
      <c r="O54" s="51"/>
    </row>
    <row r="55" spans="1:15" x14ac:dyDescent="0.2">
      <c r="A55" s="18"/>
      <c r="B55" s="52" t="s">
        <v>45</v>
      </c>
      <c r="C55" s="14"/>
      <c r="D55" s="17"/>
      <c r="E55" s="16"/>
      <c r="F55" s="15"/>
      <c r="G55" s="14">
        <v>4</v>
      </c>
      <c r="H55" s="17" t="s">
        <v>21</v>
      </c>
      <c r="I55" s="16">
        <v>0.94</v>
      </c>
      <c r="J55" s="15">
        <f t="shared" si="6"/>
        <v>3.76</v>
      </c>
      <c r="K55" s="14"/>
      <c r="L55" s="13"/>
      <c r="M55" s="12"/>
      <c r="O55" s="51"/>
    </row>
    <row r="56" spans="1:15" x14ac:dyDescent="0.2">
      <c r="A56" s="18"/>
      <c r="B56" s="52" t="s">
        <v>46</v>
      </c>
      <c r="C56" s="14"/>
      <c r="D56" s="17"/>
      <c r="E56" s="16"/>
      <c r="F56" s="15"/>
      <c r="G56" s="14">
        <v>4</v>
      </c>
      <c r="H56" s="17" t="s">
        <v>21</v>
      </c>
      <c r="I56" s="16">
        <v>0.9</v>
      </c>
      <c r="J56" s="15">
        <f t="shared" si="6"/>
        <v>3.6</v>
      </c>
      <c r="K56" s="14"/>
      <c r="L56" s="13"/>
      <c r="M56" s="12"/>
      <c r="O56" s="51"/>
    </row>
    <row r="57" spans="1:15" x14ac:dyDescent="0.2">
      <c r="A57" s="18"/>
      <c r="B57" s="52" t="s">
        <v>39</v>
      </c>
      <c r="C57" s="14"/>
      <c r="D57" s="17"/>
      <c r="E57" s="16"/>
      <c r="F57" s="15"/>
      <c r="G57" s="14">
        <v>3</v>
      </c>
      <c r="H57" s="17" t="s">
        <v>21</v>
      </c>
      <c r="I57" s="16">
        <v>1.38</v>
      </c>
      <c r="J57" s="15">
        <f t="shared" si="6"/>
        <v>4.1399999999999997</v>
      </c>
      <c r="K57" s="14"/>
      <c r="L57" s="13"/>
      <c r="M57" s="12"/>
      <c r="O57" s="51"/>
    </row>
    <row r="58" spans="1:15" x14ac:dyDescent="0.2">
      <c r="A58" s="18"/>
      <c r="B58" s="52" t="s">
        <v>40</v>
      </c>
      <c r="C58" s="14"/>
      <c r="D58" s="17"/>
      <c r="E58" s="16"/>
      <c r="F58" s="15"/>
      <c r="G58" s="14">
        <v>3</v>
      </c>
      <c r="H58" s="17" t="s">
        <v>21</v>
      </c>
      <c r="I58" s="16">
        <v>0.66</v>
      </c>
      <c r="J58" s="15">
        <f t="shared" si="6"/>
        <v>1.98</v>
      </c>
      <c r="K58" s="14"/>
      <c r="L58" s="13"/>
      <c r="M58" s="12"/>
      <c r="O58" s="51"/>
    </row>
    <row r="59" spans="1:15" x14ac:dyDescent="0.2">
      <c r="A59" s="18"/>
      <c r="B59" s="52" t="s">
        <v>44</v>
      </c>
      <c r="C59" s="14"/>
      <c r="D59" s="17"/>
      <c r="E59" s="16"/>
      <c r="F59" s="15"/>
      <c r="G59" s="14">
        <v>3</v>
      </c>
      <c r="H59" s="17" t="s">
        <v>21</v>
      </c>
      <c r="I59" s="16">
        <v>0.46</v>
      </c>
      <c r="J59" s="15">
        <f t="shared" si="6"/>
        <v>1.3800000000000001</v>
      </c>
      <c r="K59" s="14"/>
      <c r="L59" s="13"/>
      <c r="M59" s="12"/>
      <c r="O59" s="51"/>
    </row>
    <row r="60" spans="1:15" x14ac:dyDescent="0.2">
      <c r="A60" s="18"/>
      <c r="B60" s="52" t="s">
        <v>48</v>
      </c>
      <c r="C60" s="14"/>
      <c r="D60" s="17"/>
      <c r="E60" s="16"/>
      <c r="F60" s="15"/>
      <c r="G60" s="14">
        <v>2</v>
      </c>
      <c r="H60" s="17" t="s">
        <v>21</v>
      </c>
      <c r="I60" s="16">
        <v>6.92</v>
      </c>
      <c r="J60" s="15">
        <f t="shared" si="6"/>
        <v>13.84</v>
      </c>
      <c r="K60" s="14"/>
      <c r="L60" s="13"/>
      <c r="M60" s="12"/>
      <c r="O60" s="51"/>
    </row>
    <row r="61" spans="1:15" x14ac:dyDescent="0.2">
      <c r="A61" s="18"/>
      <c r="B61" s="52" t="s">
        <v>39</v>
      </c>
      <c r="C61" s="14"/>
      <c r="D61" s="17"/>
      <c r="E61" s="16"/>
      <c r="F61" s="15"/>
      <c r="G61" s="14">
        <v>4</v>
      </c>
      <c r="H61" s="17" t="s">
        <v>21</v>
      </c>
      <c r="I61" s="16">
        <v>1.38</v>
      </c>
      <c r="J61" s="15">
        <f t="shared" si="6"/>
        <v>5.52</v>
      </c>
      <c r="K61" s="14"/>
      <c r="L61" s="13"/>
      <c r="M61" s="12"/>
      <c r="O61" s="51"/>
    </row>
    <row r="62" spans="1:15" x14ac:dyDescent="0.2">
      <c r="A62" s="18"/>
      <c r="B62" s="52" t="s">
        <v>40</v>
      </c>
      <c r="C62" s="14"/>
      <c r="D62" s="17"/>
      <c r="E62" s="16"/>
      <c r="F62" s="15"/>
      <c r="G62" s="14">
        <v>4</v>
      </c>
      <c r="H62" s="17" t="s">
        <v>21</v>
      </c>
      <c r="I62" s="16">
        <v>0.66</v>
      </c>
      <c r="J62" s="15">
        <f t="shared" si="6"/>
        <v>2.64</v>
      </c>
      <c r="K62" s="14"/>
      <c r="L62" s="13"/>
      <c r="M62" s="12"/>
      <c r="O62" s="51"/>
    </row>
    <row r="63" spans="1:15" x14ac:dyDescent="0.2">
      <c r="A63" s="18"/>
      <c r="B63" s="52" t="s">
        <v>45</v>
      </c>
      <c r="C63" s="14"/>
      <c r="D63" s="17"/>
      <c r="E63" s="16"/>
      <c r="F63" s="15"/>
      <c r="G63" s="14">
        <v>6</v>
      </c>
      <c r="H63" s="17" t="s">
        <v>21</v>
      </c>
      <c r="I63" s="16">
        <v>0.94</v>
      </c>
      <c r="J63" s="15">
        <f t="shared" si="6"/>
        <v>5.64</v>
      </c>
      <c r="K63" s="14"/>
      <c r="L63" s="13"/>
      <c r="M63" s="12"/>
      <c r="O63" s="51"/>
    </row>
    <row r="64" spans="1:15" x14ac:dyDescent="0.2">
      <c r="A64" s="18"/>
      <c r="B64" s="52" t="s">
        <v>46</v>
      </c>
      <c r="C64" s="14"/>
      <c r="D64" s="17"/>
      <c r="E64" s="16"/>
      <c r="F64" s="15"/>
      <c r="G64" s="14">
        <v>2</v>
      </c>
      <c r="H64" s="17" t="s">
        <v>21</v>
      </c>
      <c r="I64" s="16">
        <v>0.9</v>
      </c>
      <c r="J64" s="15">
        <f t="shared" si="6"/>
        <v>1.8</v>
      </c>
      <c r="K64" s="14"/>
      <c r="L64" s="13"/>
      <c r="M64" s="12"/>
      <c r="O64" s="51"/>
    </row>
    <row r="65" spans="1:15" x14ac:dyDescent="0.2">
      <c r="A65" s="18"/>
      <c r="B65" s="52" t="s">
        <v>53</v>
      </c>
      <c r="C65" s="14"/>
      <c r="D65" s="17"/>
      <c r="E65" s="16"/>
      <c r="F65" s="15"/>
      <c r="G65" s="14">
        <v>4</v>
      </c>
      <c r="H65" s="17" t="s">
        <v>21</v>
      </c>
      <c r="I65" s="16">
        <v>1.65</v>
      </c>
      <c r="J65" s="15">
        <f t="shared" si="6"/>
        <v>6.6</v>
      </c>
      <c r="K65" s="14"/>
      <c r="L65" s="13"/>
      <c r="M65" s="12"/>
      <c r="O65" s="51"/>
    </row>
    <row r="66" spans="1:15" x14ac:dyDescent="0.2">
      <c r="A66" s="18"/>
      <c r="B66" s="52" t="s">
        <v>54</v>
      </c>
      <c r="C66" s="14"/>
      <c r="D66" s="17"/>
      <c r="E66" s="16"/>
      <c r="F66" s="15"/>
      <c r="G66" s="14">
        <v>4</v>
      </c>
      <c r="H66" s="17" t="s">
        <v>21</v>
      </c>
      <c r="I66" s="16">
        <v>2.75</v>
      </c>
      <c r="J66" s="15">
        <f t="shared" si="6"/>
        <v>11</v>
      </c>
      <c r="K66" s="14"/>
      <c r="L66" s="13"/>
      <c r="M66" s="12"/>
      <c r="O66" s="51"/>
    </row>
    <row r="67" spans="1:15" x14ac:dyDescent="0.2">
      <c r="A67" s="18"/>
      <c r="B67" s="52" t="s">
        <v>44</v>
      </c>
      <c r="C67" s="14"/>
      <c r="D67" s="17"/>
      <c r="E67" s="16"/>
      <c r="F67" s="15"/>
      <c r="G67" s="14">
        <v>6</v>
      </c>
      <c r="H67" s="17" t="s">
        <v>21</v>
      </c>
      <c r="I67" s="16">
        <v>0.46</v>
      </c>
      <c r="J67" s="15">
        <f t="shared" si="6"/>
        <v>2.7600000000000002</v>
      </c>
      <c r="K67" s="14"/>
      <c r="L67" s="13"/>
      <c r="M67" s="12"/>
      <c r="O67" s="51"/>
    </row>
    <row r="68" spans="1:15" x14ac:dyDescent="0.2">
      <c r="A68" s="18"/>
      <c r="B68" s="52" t="s">
        <v>47</v>
      </c>
      <c r="C68" s="14"/>
      <c r="D68" s="17"/>
      <c r="E68" s="16"/>
      <c r="F68" s="15"/>
      <c r="G68" s="14">
        <v>2</v>
      </c>
      <c r="H68" s="17" t="s">
        <v>21</v>
      </c>
      <c r="I68" s="16">
        <v>0.99</v>
      </c>
      <c r="J68" s="15">
        <f t="shared" si="6"/>
        <v>1.98</v>
      </c>
      <c r="K68" s="14"/>
      <c r="L68" s="13"/>
      <c r="M68" s="12"/>
      <c r="O68" s="51"/>
    </row>
    <row r="69" spans="1:15" x14ac:dyDescent="0.2">
      <c r="A69" s="18"/>
      <c r="B69" s="52" t="s">
        <v>55</v>
      </c>
      <c r="C69" s="14"/>
      <c r="D69" s="17"/>
      <c r="E69" s="16"/>
      <c r="F69" s="15"/>
      <c r="G69" s="14">
        <v>1</v>
      </c>
      <c r="H69" s="17" t="s">
        <v>21</v>
      </c>
      <c r="I69" s="16">
        <v>6.92</v>
      </c>
      <c r="J69" s="15">
        <f t="shared" si="6"/>
        <v>6.92</v>
      </c>
      <c r="K69" s="14"/>
      <c r="L69" s="13"/>
      <c r="M69" s="12"/>
      <c r="O69" s="51"/>
    </row>
    <row r="70" spans="1:15" x14ac:dyDescent="0.2">
      <c r="A70" s="18"/>
      <c r="B70" s="52" t="s">
        <v>49</v>
      </c>
      <c r="C70" s="14"/>
      <c r="D70" s="17"/>
      <c r="E70" s="16"/>
      <c r="F70" s="15"/>
      <c r="G70" s="14">
        <v>50</v>
      </c>
      <c r="H70" s="17" t="s">
        <v>56</v>
      </c>
      <c r="I70" s="16">
        <v>0.61</v>
      </c>
      <c r="J70" s="15">
        <f t="shared" si="6"/>
        <v>30.5</v>
      </c>
      <c r="K70" s="14"/>
      <c r="L70" s="13"/>
      <c r="M70" s="12"/>
      <c r="O70" s="51"/>
    </row>
    <row r="71" spans="1:15" x14ac:dyDescent="0.2">
      <c r="A71" s="18"/>
      <c r="B71" s="52" t="s">
        <v>50</v>
      </c>
      <c r="C71" s="14"/>
      <c r="D71" s="17"/>
      <c r="E71" s="16"/>
      <c r="F71" s="15"/>
      <c r="G71" s="14">
        <v>20</v>
      </c>
      <c r="H71" s="17" t="s">
        <v>56</v>
      </c>
      <c r="I71" s="16">
        <v>0.5</v>
      </c>
      <c r="J71" s="15">
        <f t="shared" si="6"/>
        <v>10</v>
      </c>
      <c r="K71" s="14"/>
      <c r="L71" s="13"/>
      <c r="M71" s="12"/>
      <c r="O71" s="51"/>
    </row>
    <row r="72" spans="1:15" ht="22.5" x14ac:dyDescent="0.2">
      <c r="A72" s="18"/>
      <c r="B72" s="59" t="s">
        <v>57</v>
      </c>
      <c r="C72" s="14"/>
      <c r="D72" s="17"/>
      <c r="E72" s="16"/>
      <c r="F72" s="15"/>
      <c r="G72" s="14">
        <v>1</v>
      </c>
      <c r="H72" s="17" t="s">
        <v>20</v>
      </c>
      <c r="I72" s="16">
        <v>350</v>
      </c>
      <c r="J72" s="15">
        <f t="shared" si="6"/>
        <v>350</v>
      </c>
      <c r="K72" s="14"/>
      <c r="L72" s="13"/>
      <c r="M72" s="12"/>
      <c r="O72" s="51"/>
    </row>
    <row r="73" spans="1:15" x14ac:dyDescent="0.2">
      <c r="A73" s="18"/>
      <c r="B73" s="61" t="s">
        <v>59</v>
      </c>
      <c r="C73" s="14"/>
      <c r="D73" s="17"/>
      <c r="E73" s="16"/>
      <c r="F73" s="15"/>
      <c r="G73" s="14"/>
      <c r="H73" s="17"/>
      <c r="I73" s="16"/>
      <c r="J73" s="15"/>
      <c r="K73" s="14"/>
      <c r="L73" s="13"/>
      <c r="M73" s="12"/>
      <c r="O73" s="51"/>
    </row>
    <row r="74" spans="1:15" x14ac:dyDescent="0.2">
      <c r="A74" s="18"/>
      <c r="B74" s="52" t="s">
        <v>60</v>
      </c>
      <c r="C74" s="14"/>
      <c r="D74" s="17"/>
      <c r="E74" s="16"/>
      <c r="F74" s="15"/>
      <c r="G74" s="14">
        <v>60</v>
      </c>
      <c r="H74" s="17" t="s">
        <v>56</v>
      </c>
      <c r="I74" s="16">
        <v>4.55</v>
      </c>
      <c r="J74" s="15">
        <f t="shared" si="6"/>
        <v>273</v>
      </c>
      <c r="K74" s="14"/>
      <c r="L74" s="13"/>
      <c r="M74" s="12"/>
      <c r="O74" s="51"/>
    </row>
    <row r="75" spans="1:15" x14ac:dyDescent="0.2">
      <c r="A75" s="18"/>
      <c r="B75" s="52" t="s">
        <v>62</v>
      </c>
      <c r="C75" s="14"/>
      <c r="D75" s="17"/>
      <c r="E75" s="16"/>
      <c r="F75" s="15"/>
      <c r="G75" s="14">
        <v>25</v>
      </c>
      <c r="H75" s="17" t="s">
        <v>21</v>
      </c>
      <c r="I75" s="16">
        <v>1.35</v>
      </c>
      <c r="J75" s="15">
        <f t="shared" si="6"/>
        <v>33.75</v>
      </c>
      <c r="K75" s="14"/>
      <c r="L75" s="13"/>
      <c r="M75" s="12"/>
      <c r="O75" s="51"/>
    </row>
    <row r="76" spans="1:15" x14ac:dyDescent="0.2">
      <c r="A76" s="18"/>
      <c r="B76" s="52" t="s">
        <v>61</v>
      </c>
      <c r="C76" s="14"/>
      <c r="D76" s="17"/>
      <c r="E76" s="16"/>
      <c r="F76" s="15"/>
      <c r="G76" s="14"/>
      <c r="H76" s="17"/>
      <c r="I76" s="16"/>
      <c r="J76" s="15"/>
      <c r="K76" s="14"/>
      <c r="L76" s="13"/>
      <c r="M76" s="12"/>
      <c r="O76" s="51"/>
    </row>
    <row r="77" spans="1:15" x14ac:dyDescent="0.2">
      <c r="A77" s="18"/>
      <c r="B77" s="60" t="s">
        <v>63</v>
      </c>
      <c r="C77" s="14"/>
      <c r="D77" s="17"/>
      <c r="E77" s="16"/>
      <c r="F77" s="15"/>
      <c r="G77" s="14"/>
      <c r="H77" s="17"/>
      <c r="I77" s="16"/>
      <c r="J77" s="15"/>
      <c r="K77" s="14"/>
      <c r="L77" s="13"/>
      <c r="M77" s="12"/>
      <c r="O77" s="51"/>
    </row>
    <row r="78" spans="1:15" x14ac:dyDescent="0.2">
      <c r="A78" s="18"/>
      <c r="B78" s="52" t="s">
        <v>64</v>
      </c>
      <c r="C78" s="14"/>
      <c r="D78" s="17"/>
      <c r="E78" s="16"/>
      <c r="F78" s="15"/>
      <c r="G78" s="14">
        <f>12*4*4</f>
        <v>192</v>
      </c>
      <c r="H78" s="17" t="s">
        <v>21</v>
      </c>
      <c r="I78" s="16">
        <v>0.15</v>
      </c>
      <c r="J78" s="15">
        <f t="shared" si="6"/>
        <v>28.799999999999997</v>
      </c>
      <c r="K78" s="14"/>
      <c r="L78" s="13"/>
      <c r="M78" s="12"/>
      <c r="O78" s="51"/>
    </row>
    <row r="79" spans="1:15" x14ac:dyDescent="0.2">
      <c r="A79" s="18"/>
      <c r="B79" s="52" t="s">
        <v>65</v>
      </c>
      <c r="C79" s="14"/>
      <c r="D79" s="17"/>
      <c r="E79" s="16"/>
      <c r="F79" s="15"/>
      <c r="G79" s="14">
        <f>12*4*2</f>
        <v>96</v>
      </c>
      <c r="H79" s="17" t="s">
        <v>21</v>
      </c>
      <c r="I79" s="16">
        <v>0.75</v>
      </c>
      <c r="J79" s="15">
        <f t="shared" si="6"/>
        <v>72</v>
      </c>
      <c r="K79" s="14"/>
      <c r="L79" s="13"/>
      <c r="M79" s="12"/>
      <c r="O79" s="51"/>
    </row>
    <row r="80" spans="1:15" x14ac:dyDescent="0.2">
      <c r="A80" s="18"/>
      <c r="B80" s="52" t="s">
        <v>66</v>
      </c>
      <c r="C80" s="14"/>
      <c r="D80" s="17"/>
      <c r="E80" s="16"/>
      <c r="F80" s="15"/>
      <c r="G80" s="14">
        <v>100</v>
      </c>
      <c r="H80" s="17" t="s">
        <v>56</v>
      </c>
      <c r="I80" s="16">
        <v>0.38</v>
      </c>
      <c r="J80" s="15">
        <f t="shared" si="6"/>
        <v>38</v>
      </c>
      <c r="K80" s="14"/>
      <c r="L80" s="13"/>
      <c r="M80" s="12"/>
      <c r="O80" s="51"/>
    </row>
    <row r="81" spans="1:15" x14ac:dyDescent="0.2">
      <c r="A81" s="18"/>
      <c r="B81" s="52"/>
      <c r="C81" s="14"/>
      <c r="D81" s="17"/>
      <c r="E81" s="16"/>
      <c r="F81" s="15"/>
      <c r="G81" s="14"/>
      <c r="H81" s="17"/>
      <c r="I81" s="16"/>
      <c r="J81" s="15"/>
      <c r="K81" s="14"/>
      <c r="L81" s="13"/>
      <c r="M81" s="12"/>
      <c r="O81" s="51"/>
    </row>
    <row r="82" spans="1:15" x14ac:dyDescent="0.2">
      <c r="B82" s="5" t="s">
        <v>2</v>
      </c>
      <c r="D82" s="1"/>
      <c r="F82" s="12">
        <f>SUM(F17:F81)</f>
        <v>32732</v>
      </c>
      <c r="G82" s="12"/>
      <c r="H82" s="12"/>
      <c r="I82" s="12"/>
      <c r="J82" s="12">
        <f>SUM(J17:J81)</f>
        <v>1750.3799999999999</v>
      </c>
      <c r="K82" s="12">
        <f>SUM(K17:K81)</f>
        <v>0</v>
      </c>
      <c r="L82" s="12">
        <f>SUM(L17:L81)</f>
        <v>0</v>
      </c>
    </row>
    <row r="83" spans="1:15" x14ac:dyDescent="0.2">
      <c r="B83" s="10" t="s">
        <v>1</v>
      </c>
      <c r="D83" s="1"/>
      <c r="E83" s="11">
        <v>0.1</v>
      </c>
      <c r="F83" s="53">
        <f>+E83*F82</f>
        <v>3273.2000000000003</v>
      </c>
      <c r="I83" s="11">
        <v>0.1</v>
      </c>
      <c r="J83" s="55">
        <f>+I83*J82</f>
        <v>175.03800000000001</v>
      </c>
      <c r="K83" s="11">
        <v>0.1</v>
      </c>
      <c r="L83" s="53">
        <f>+K83*L82</f>
        <v>0</v>
      </c>
    </row>
    <row r="84" spans="1:15" x14ac:dyDescent="0.2">
      <c r="B84" s="9" t="s">
        <v>15</v>
      </c>
      <c r="D84" s="1"/>
      <c r="F84" s="54">
        <f>F82+F83</f>
        <v>36005.199999999997</v>
      </c>
      <c r="G84" s="8"/>
      <c r="H84" s="8"/>
      <c r="I84" s="8"/>
      <c r="J84" s="56">
        <f>J82+J83</f>
        <v>1925.4179999999999</v>
      </c>
      <c r="K84" s="8"/>
      <c r="L84" s="54">
        <f>L82+L83</f>
        <v>0</v>
      </c>
    </row>
    <row r="85" spans="1:15" ht="13.5" thickBot="1" x14ac:dyDescent="0.25">
      <c r="B85" s="5"/>
      <c r="D85" s="1"/>
      <c r="F85" s="3"/>
      <c r="G85" s="4"/>
      <c r="H85" s="4"/>
      <c r="I85" s="7"/>
      <c r="J85" s="3"/>
      <c r="K85" s="6"/>
      <c r="L85" s="3"/>
    </row>
    <row r="86" spans="1:15" x14ac:dyDescent="0.2">
      <c r="B86" s="2" t="s">
        <v>0</v>
      </c>
      <c r="D86" s="1"/>
    </row>
    <row r="87" spans="1:15" ht="13.5" thickBot="1" x14ac:dyDescent="0.25">
      <c r="B87" s="57">
        <f>F84+J84+L84</f>
        <v>37930.617999999995</v>
      </c>
      <c r="D87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62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</vt:lpstr>
      <vt:lpstr>COR!Print_Area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2016-05-13T21:18:25Z</cp:lastPrinted>
  <dcterms:created xsi:type="dcterms:W3CDTF">2014-07-14T23:11:07Z</dcterms:created>
  <dcterms:modified xsi:type="dcterms:W3CDTF">2016-06-10T20:00:01Z</dcterms:modified>
</cp:coreProperties>
</file>