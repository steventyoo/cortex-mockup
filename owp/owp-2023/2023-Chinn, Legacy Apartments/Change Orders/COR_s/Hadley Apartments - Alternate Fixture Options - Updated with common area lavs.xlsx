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Sheet1" sheetId="1" r:id="rId1"/>
  </sheets>
  <definedNames>
    <definedName name="_xlnm.Print_Area" localSheetId="0">Sheet1!$A$1:$F$67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5" i="1" l="1"/>
  <c r="C65" i="1"/>
  <c r="D64" i="1"/>
  <c r="F65" i="1"/>
  <c r="F64" i="1"/>
  <c r="G64" i="1" s="1"/>
  <c r="G65" i="1" l="1"/>
  <c r="H65" i="1" s="1"/>
  <c r="H64" i="1"/>
  <c r="C15" i="1"/>
  <c r="C14" i="1"/>
  <c r="D14" i="1" s="1"/>
  <c r="F14" i="1" s="1"/>
  <c r="G14" i="1" s="1"/>
  <c r="D15" i="1"/>
  <c r="F15" i="1" s="1"/>
  <c r="G15" i="1" l="1"/>
  <c r="H15" i="1" s="1"/>
  <c r="H14" i="1"/>
  <c r="D25" i="1"/>
  <c r="F25" i="1"/>
  <c r="D30" i="1"/>
  <c r="D35" i="1"/>
  <c r="G25" i="1" l="1"/>
  <c r="H25" i="1"/>
  <c r="D20" i="1" l="1"/>
  <c r="C63" i="1" l="1"/>
  <c r="D63" i="1" s="1"/>
  <c r="C49" i="1" l="1"/>
  <c r="D9" i="1" l="1"/>
  <c r="C39" i="1" l="1"/>
  <c r="C44" i="1" l="1"/>
  <c r="C43" i="1"/>
  <c r="C40" i="1"/>
  <c r="F9" i="1" l="1"/>
  <c r="F56" i="1" s="1"/>
  <c r="F57" i="1" s="1"/>
  <c r="F58" i="1" s="1"/>
  <c r="F63" i="1"/>
  <c r="G9" i="1" l="1"/>
  <c r="H9" i="1" s="1"/>
  <c r="G63" i="1"/>
  <c r="H63" i="1" s="1"/>
  <c r="D62" i="1" l="1"/>
  <c r="F62" i="1" s="1"/>
  <c r="G62" i="1" l="1"/>
  <c r="H62" i="1" s="1"/>
  <c r="D44" i="1"/>
  <c r="F44" i="1" s="1"/>
  <c r="F30" i="1"/>
  <c r="G44" i="1" l="1"/>
  <c r="H44" i="1" s="1"/>
  <c r="H30" i="1"/>
  <c r="D49" i="1" l="1"/>
  <c r="D40" i="1"/>
  <c r="D54" i="1"/>
  <c r="F20" i="1" l="1"/>
  <c r="F35" i="1"/>
  <c r="F40" i="1"/>
  <c r="F54" i="1"/>
  <c r="G54" i="1" s="1"/>
  <c r="F49" i="1"/>
  <c r="G49" i="1" s="1"/>
  <c r="G20" i="1" l="1"/>
  <c r="H20" i="1" s="1"/>
  <c r="G40" i="1"/>
  <c r="H40" i="1" s="1"/>
  <c r="H54" i="1"/>
  <c r="H35" i="1"/>
  <c r="H49" i="1"/>
</calcChain>
</file>

<file path=xl/sharedStrings.xml><?xml version="1.0" encoding="utf-8"?>
<sst xmlns="http://schemas.openxmlformats.org/spreadsheetml/2006/main" count="74" uniqueCount="45">
  <si>
    <t>Base bid</t>
  </si>
  <si>
    <t>Unit Price</t>
  </si>
  <si>
    <t>Add each</t>
  </si>
  <si>
    <t>OH&amp;P</t>
  </si>
  <si>
    <t>Subtotal</t>
  </si>
  <si>
    <t>Quan</t>
  </si>
  <si>
    <t>Hand Showers @ Type A Units</t>
  </si>
  <si>
    <t>Moen 52710EP chrome hand held shower</t>
  </si>
  <si>
    <t>Total</t>
  </si>
  <si>
    <t>Alternate</t>
  </si>
  <si>
    <t>TS-1 Type B Bathtubs</t>
  </si>
  <si>
    <t>TS-2 Type A Bathtubs</t>
  </si>
  <si>
    <t>Fiberfab 100H 60" x 34" w/ Grab Bars &amp; Seat</t>
  </si>
  <si>
    <t>SS-1 Shower Stalls (non-adaptable)</t>
  </si>
  <si>
    <t>SS-2 Shower Stalls (adaptable)</t>
  </si>
  <si>
    <t>Moen TL-183EP Chrome</t>
  </si>
  <si>
    <t>Bathtub Trim (TS-1 &amp; TS-2)</t>
  </si>
  <si>
    <t>Shower Trim (SS-1 &amp; SS-2)</t>
  </si>
  <si>
    <t>Moen TL-182EP Chrome</t>
  </si>
  <si>
    <t>Moen T2192EP Chrome</t>
  </si>
  <si>
    <t>Moen S3879EP17 chrome hand held shower</t>
  </si>
  <si>
    <t>Kitchen Sinks</t>
  </si>
  <si>
    <t>Moen G20192 21"x16"x7.5" undercounter stainless steel sink</t>
  </si>
  <si>
    <t>Lenova Aurora LS18304 21"x16"x9" undercounter stainless steel sink</t>
  </si>
  <si>
    <t>Moen 7594 Chrome Faucet</t>
  </si>
  <si>
    <t>Grohe K7 3138000 Chrome Semi-Pro Kitchen Faucet</t>
  </si>
  <si>
    <t>Moen T2193EP Chrome</t>
  </si>
  <si>
    <t>White Toto LT502 Drop-in Round China Lav</t>
  </si>
  <si>
    <t>White Toto LT231 Undercounter Round China Lav</t>
  </si>
  <si>
    <t>Grohe 32665001 Chrome Faucet</t>
  </si>
  <si>
    <t>Superior 101C 60" x 36" with backing</t>
  </si>
  <si>
    <t>Aquatic 6032STT 60" x 32" with Tile Look and backing</t>
  </si>
  <si>
    <t>HADLEY APARTMENTS - ALTERNATE PLUMBING FIXTURES</t>
  </si>
  <si>
    <t>Fiberfab 48BF-FWA 48" OD x 36" ID with backing, low threshold</t>
  </si>
  <si>
    <t>Superior 48C-N 48" OD x 36" ID with backing and 5" threshold</t>
  </si>
  <si>
    <r>
      <rPr>
        <b/>
        <sz val="12"/>
        <color theme="1"/>
        <rFont val="Calibri"/>
        <family val="2"/>
        <scheme val="minor"/>
      </rPr>
      <t>NOTE</t>
    </r>
    <r>
      <rPr>
        <sz val="12"/>
        <color theme="1"/>
        <rFont val="Calibri"/>
        <family val="2"/>
        <scheme val="minor"/>
      </rPr>
      <t>: Overhead and Profit are not included in pricing.  Once all options are selected, 10% OH&amp;P will be applied if there is a net cost, and no OH&amp;P will be applied if there is a net deduct.</t>
    </r>
  </si>
  <si>
    <r>
      <rPr>
        <b/>
        <sz val="12"/>
        <color theme="1"/>
        <rFont val="Calibri"/>
        <family val="2"/>
        <scheme val="minor"/>
      </rPr>
      <t>NOTE</t>
    </r>
    <r>
      <rPr>
        <sz val="12"/>
        <color theme="1"/>
        <rFont val="Calibri"/>
        <family val="2"/>
        <scheme val="minor"/>
      </rPr>
      <t>: Refer to tub and shower spec sheets for exact dimensions.</t>
    </r>
  </si>
  <si>
    <t>Aquatic 1483CST 48" OD x 33-1/2" ID with backing, 6" threshold (Smooth wall, does not come in Tile Look)</t>
  </si>
  <si>
    <t>TOTAL OF ALL CHANGES -&gt;</t>
  </si>
  <si>
    <t>Kitchen Faucets (still waiting on answer)</t>
  </si>
  <si>
    <t>Aquatic 1483EN 48" OD x 36-1/4" ID, with backing, 
2-3/8" threshold
(Smooth wall, does not come in Tile Look)
(Note: this unit is manufactured on the east coast.  Pricing includes cost to ship here.  This is a long lead time item, all sales final)</t>
  </si>
  <si>
    <t>Aquatic 2603CTH 60" x 32" with Tile Look, Grab Bars &amp; Seat</t>
  </si>
  <si>
    <t>Common Area Lavatory Sinks</t>
  </si>
  <si>
    <t>White Kohler K-2084 Wall-Hung Lav Sink w/ wall carrier</t>
  </si>
  <si>
    <t>White Kohler K-2035 Wall-Hung Lav Sink w/ shroud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</si>
</sst>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1" fillId="2" borderId="1" xfId="0" applyNumberFormat="1" applyFont="1" applyFill="1" applyBorder="1"/>
    <xf numFmtId="165" fontId="1" fillId="0" borderId="1" xfId="0" applyNumberFormat="1" applyFont="1" applyBorder="1"/>
    <xf numFmtId="0" fontId="0" fillId="0" borderId="1" xfId="0" applyBorder="1" applyAlignment="1">
      <alignment wrapText="1"/>
    </xf>
    <xf numFmtId="165" fontId="1" fillId="0" borderId="1" xfId="0" applyNumberFormat="1" applyFont="1" applyFill="1" applyBorder="1"/>
    <xf numFmtId="165" fontId="0" fillId="0" borderId="1" xfId="0" applyNumberFormat="1" applyBorder="1"/>
    <xf numFmtId="0" fontId="2" fillId="0" borderId="1" xfId="0" applyFont="1" applyBorder="1" applyAlignment="1">
      <alignment wrapText="1"/>
    </xf>
    <xf numFmtId="164" fontId="0" fillId="0" borderId="1" xfId="0" applyNumberFormat="1" applyFill="1" applyBorder="1"/>
    <xf numFmtId="164" fontId="0" fillId="0" borderId="1" xfId="0" applyNumberFormat="1" applyBorder="1" applyAlignment="1">
      <alignment wrapText="1"/>
    </xf>
    <xf numFmtId="0" fontId="3" fillId="0" borderId="0" xfId="0" applyFont="1" applyAlignment="1">
      <alignment horizontal="center"/>
    </xf>
    <xf numFmtId="0" fontId="0" fillId="0" borderId="2" xfId="0" applyFill="1" applyBorder="1"/>
    <xf numFmtId="0" fontId="0" fillId="0" borderId="0" xfId="0" applyBorder="1"/>
    <xf numFmtId="165" fontId="5" fillId="0" borderId="1" xfId="0" applyNumberFormat="1" applyFont="1" applyFill="1" applyBorder="1"/>
    <xf numFmtId="0" fontId="2" fillId="4" borderId="1" xfId="0" applyFont="1" applyFill="1" applyBorder="1" applyAlignment="1">
      <alignment wrapText="1"/>
    </xf>
    <xf numFmtId="164" fontId="5" fillId="0" borderId="1" xfId="0" applyNumberFormat="1" applyFont="1" applyBorder="1"/>
    <xf numFmtId="9" fontId="5" fillId="0" borderId="1" xfId="0" applyNumberFormat="1" applyFont="1" applyBorder="1"/>
    <xf numFmtId="0" fontId="5" fillId="0" borderId="1" xfId="0" applyFont="1" applyBorder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left" wrapText="1"/>
    </xf>
    <xf numFmtId="0" fontId="5" fillId="0" borderId="3" xfId="0" applyFont="1" applyBorder="1" applyAlignment="1">
      <alignment horizontal="right" wrapText="1"/>
    </xf>
    <xf numFmtId="0" fontId="5" fillId="0" borderId="4" xfId="0" applyFont="1" applyBorder="1" applyAlignment="1">
      <alignment horizontal="right" wrapText="1"/>
    </xf>
    <xf numFmtId="0" fontId="5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3"/>
  <sheetViews>
    <sheetView tabSelected="1" workbookViewId="0">
      <selection activeCell="B54" sqref="B54"/>
    </sheetView>
  </sheetViews>
  <sheetFormatPr defaultRowHeight="15" x14ac:dyDescent="0.25"/>
  <cols>
    <col min="1" max="1" width="12.42578125" customWidth="1"/>
    <col min="2" max="2" width="48.140625" customWidth="1"/>
    <col min="3" max="3" width="9" customWidth="1"/>
    <col min="4" max="4" width="8.28515625" customWidth="1"/>
    <col min="5" max="5" width="5.42578125" customWidth="1"/>
    <col min="6" max="6" width="8.7109375" customWidth="1"/>
    <col min="7" max="7" width="7.140625" customWidth="1"/>
    <col min="8" max="8" width="8.7109375" customWidth="1"/>
    <col min="9" max="9" width="4.5703125" customWidth="1"/>
  </cols>
  <sheetData>
    <row r="1" spans="1:10" ht="23.25" x14ac:dyDescent="0.35">
      <c r="A1" s="21" t="s">
        <v>32</v>
      </c>
      <c r="B1" s="21"/>
      <c r="C1" s="21"/>
      <c r="D1" s="21"/>
      <c r="E1" s="21"/>
      <c r="F1" s="21"/>
    </row>
    <row r="2" spans="1:10" ht="10.5" customHeight="1" x14ac:dyDescent="0.35">
      <c r="A2" s="13"/>
      <c r="B2" s="13"/>
      <c r="C2" s="13"/>
      <c r="D2" s="13"/>
      <c r="E2" s="13"/>
      <c r="F2" s="13"/>
    </row>
    <row r="3" spans="1:10" ht="38.25" customHeight="1" x14ac:dyDescent="0.25">
      <c r="A3" s="22" t="s">
        <v>35</v>
      </c>
      <c r="B3" s="22"/>
      <c r="C3" s="22"/>
      <c r="D3" s="22"/>
      <c r="E3" s="22"/>
      <c r="F3" s="22"/>
    </row>
    <row r="4" spans="1:10" ht="10.5" customHeight="1" x14ac:dyDescent="0.35">
      <c r="A4" s="13"/>
      <c r="B4" s="13"/>
      <c r="C4" s="13"/>
      <c r="D4" s="13"/>
      <c r="E4" s="13"/>
      <c r="F4" s="13"/>
    </row>
    <row r="5" spans="1:10" ht="18" customHeight="1" x14ac:dyDescent="0.25">
      <c r="A5" s="22" t="s">
        <v>36</v>
      </c>
      <c r="B5" s="22"/>
      <c r="C5" s="22"/>
      <c r="D5" s="22"/>
      <c r="E5" s="22"/>
      <c r="F5" s="22"/>
    </row>
    <row r="7" spans="1:10" ht="30" x14ac:dyDescent="0.25">
      <c r="A7" s="2"/>
      <c r="B7" s="10"/>
      <c r="C7" s="2" t="s">
        <v>1</v>
      </c>
      <c r="D7" s="7" t="s">
        <v>2</v>
      </c>
      <c r="E7" s="2" t="s">
        <v>5</v>
      </c>
      <c r="F7" s="3" t="s">
        <v>4</v>
      </c>
      <c r="G7" s="2" t="s">
        <v>3</v>
      </c>
      <c r="H7" s="3" t="s">
        <v>8</v>
      </c>
      <c r="I7" s="14" t="s">
        <v>3</v>
      </c>
      <c r="J7" s="15"/>
    </row>
    <row r="8" spans="1:10" x14ac:dyDescent="0.25">
      <c r="A8" s="7" t="s">
        <v>0</v>
      </c>
      <c r="B8" s="7" t="s">
        <v>27</v>
      </c>
      <c r="C8" s="4">
        <v>40.5</v>
      </c>
      <c r="D8" s="2"/>
      <c r="E8" s="2"/>
      <c r="F8" s="3"/>
      <c r="G8" s="2"/>
      <c r="H8" s="3"/>
    </row>
    <row r="9" spans="1:10" x14ac:dyDescent="0.25">
      <c r="A9" s="7" t="s">
        <v>9</v>
      </c>
      <c r="B9" s="7" t="s">
        <v>28</v>
      </c>
      <c r="C9" s="4">
        <v>59.83</v>
      </c>
      <c r="D9" s="4">
        <f>C9-C$8</f>
        <v>19.329999999999998</v>
      </c>
      <c r="E9" s="2">
        <v>241</v>
      </c>
      <c r="F9" s="5">
        <f t="shared" ref="F9" si="0">D9*E9</f>
        <v>4658.53</v>
      </c>
      <c r="G9" s="9">
        <f t="shared" ref="G9" si="1">F9*0.1</f>
        <v>465.85300000000001</v>
      </c>
      <c r="H9" s="5">
        <f t="shared" ref="H9" si="2">ROUNDDOWN(F9+G9, 0)</f>
        <v>5124</v>
      </c>
    </row>
    <row r="10" spans="1:10" x14ac:dyDescent="0.25">
      <c r="A10" s="7"/>
      <c r="B10" s="7"/>
      <c r="C10" s="4"/>
      <c r="D10" s="4"/>
      <c r="E10" s="2"/>
      <c r="F10" s="8"/>
      <c r="G10" s="9"/>
      <c r="H10" s="8"/>
    </row>
    <row r="11" spans="1:10" x14ac:dyDescent="0.25">
      <c r="A11" s="7"/>
      <c r="B11" s="7"/>
      <c r="C11" s="4"/>
      <c r="D11" s="4"/>
      <c r="E11" s="2"/>
      <c r="F11" s="8"/>
      <c r="G11" s="9"/>
      <c r="H11" s="8"/>
    </row>
    <row r="12" spans="1:10" ht="15.75" x14ac:dyDescent="0.25">
      <c r="A12" s="7"/>
      <c r="B12" s="10" t="s">
        <v>42</v>
      </c>
      <c r="C12" s="2"/>
      <c r="D12" s="2"/>
      <c r="E12" s="2"/>
      <c r="F12" s="6"/>
      <c r="G12" s="9"/>
      <c r="H12" s="6"/>
    </row>
    <row r="13" spans="1:10" x14ac:dyDescent="0.25">
      <c r="A13" s="7" t="s">
        <v>0</v>
      </c>
      <c r="B13" s="7" t="s">
        <v>27</v>
      </c>
      <c r="C13" s="4">
        <v>40.5</v>
      </c>
      <c r="D13" s="2"/>
      <c r="E13" s="2"/>
      <c r="F13" s="3"/>
      <c r="G13" s="2"/>
      <c r="H13" s="3"/>
    </row>
    <row r="14" spans="1:10" ht="30" x14ac:dyDescent="0.25">
      <c r="A14" s="7" t="s">
        <v>9</v>
      </c>
      <c r="B14" s="7" t="s">
        <v>43</v>
      </c>
      <c r="C14" s="4">
        <f>120.67+350+300</f>
        <v>770.67000000000007</v>
      </c>
      <c r="D14" s="4">
        <f>C14-C$8</f>
        <v>730.17000000000007</v>
      </c>
      <c r="E14" s="2">
        <v>3</v>
      </c>
      <c r="F14" s="5">
        <f t="shared" ref="F14" si="3">D14*E14</f>
        <v>2190.5100000000002</v>
      </c>
      <c r="G14" s="9">
        <f>F14*0.1</f>
        <v>219.05100000000004</v>
      </c>
      <c r="H14" s="5">
        <f t="shared" ref="H14" si="4">ROUNDDOWN(F14+G14, 0)</f>
        <v>2409</v>
      </c>
    </row>
    <row r="15" spans="1:10" x14ac:dyDescent="0.25">
      <c r="A15" s="7" t="s">
        <v>9</v>
      </c>
      <c r="B15" s="7" t="s">
        <v>44</v>
      </c>
      <c r="C15" s="4">
        <f>229.98+300</f>
        <v>529.98</v>
      </c>
      <c r="D15" s="4">
        <f>C15-C$8</f>
        <v>489.48</v>
      </c>
      <c r="E15" s="2">
        <v>3</v>
      </c>
      <c r="F15" s="5">
        <f t="shared" ref="F15" si="5">D15*E15</f>
        <v>1468.44</v>
      </c>
      <c r="G15" s="9">
        <f t="shared" ref="G15" si="6">F15*0.1</f>
        <v>146.84400000000002</v>
      </c>
      <c r="H15" s="5">
        <f t="shared" ref="H15" si="7">ROUNDDOWN(F15+G15, 0)</f>
        <v>1615</v>
      </c>
    </row>
    <row r="16" spans="1:10" x14ac:dyDescent="0.25">
      <c r="A16" s="7"/>
      <c r="B16" s="7"/>
      <c r="C16" s="4"/>
      <c r="D16" s="4"/>
      <c r="E16" s="2"/>
      <c r="F16" s="8"/>
      <c r="G16" s="9"/>
      <c r="H16" s="8"/>
    </row>
    <row r="17" spans="1:8" x14ac:dyDescent="0.25">
      <c r="A17" s="7"/>
      <c r="B17" s="7"/>
      <c r="C17" s="4"/>
      <c r="D17" s="4"/>
      <c r="E17" s="2"/>
      <c r="F17" s="8"/>
      <c r="G17" s="9"/>
      <c r="H17" s="8"/>
    </row>
    <row r="18" spans="1:8" ht="15.75" x14ac:dyDescent="0.25">
      <c r="A18" s="7"/>
      <c r="B18" s="10" t="s">
        <v>10</v>
      </c>
      <c r="C18" s="2"/>
      <c r="D18" s="2"/>
      <c r="E18" s="2"/>
      <c r="F18" s="6"/>
      <c r="G18" s="9"/>
      <c r="H18" s="6"/>
    </row>
    <row r="19" spans="1:8" x14ac:dyDescent="0.25">
      <c r="A19" s="7" t="s">
        <v>0</v>
      </c>
      <c r="B19" s="7" t="s">
        <v>30</v>
      </c>
      <c r="C19" s="4">
        <v>360</v>
      </c>
      <c r="D19" s="2"/>
      <c r="E19" s="2"/>
      <c r="F19" s="6"/>
      <c r="G19" s="9"/>
      <c r="H19" s="6"/>
    </row>
    <row r="20" spans="1:8" x14ac:dyDescent="0.25">
      <c r="A20" s="7" t="s">
        <v>9</v>
      </c>
      <c r="B20" s="7" t="s">
        <v>31</v>
      </c>
      <c r="C20" s="12">
        <v>314.798</v>
      </c>
      <c r="D20" s="4">
        <f>C20-C19</f>
        <v>-45.201999999999998</v>
      </c>
      <c r="E20" s="2">
        <v>138</v>
      </c>
      <c r="F20" s="5">
        <f>D20*E20</f>
        <v>-6237.8760000000002</v>
      </c>
      <c r="G20" s="9">
        <f>F20*0.1</f>
        <v>-623.78760000000011</v>
      </c>
      <c r="H20" s="5">
        <f>ROUNDDOWN(F20+G20, 0)</f>
        <v>-6861</v>
      </c>
    </row>
    <row r="21" spans="1:8" x14ac:dyDescent="0.25">
      <c r="A21" s="7"/>
      <c r="B21" s="7"/>
      <c r="C21" s="12"/>
      <c r="D21" s="4"/>
      <c r="E21" s="2"/>
      <c r="F21" s="8"/>
      <c r="G21" s="9"/>
      <c r="H21" s="5"/>
    </row>
    <row r="22" spans="1:8" x14ac:dyDescent="0.25">
      <c r="A22" s="7"/>
      <c r="B22" s="7"/>
      <c r="C22" s="4"/>
      <c r="D22" s="4"/>
      <c r="E22" s="2"/>
      <c r="F22" s="8"/>
      <c r="G22" s="9"/>
      <c r="H22" s="8"/>
    </row>
    <row r="23" spans="1:8" ht="15.75" x14ac:dyDescent="0.25">
      <c r="A23" s="7"/>
      <c r="B23" s="10" t="s">
        <v>11</v>
      </c>
      <c r="C23" s="2"/>
      <c r="D23" s="2"/>
      <c r="E23" s="2"/>
      <c r="F23" s="6"/>
      <c r="G23" s="9"/>
      <c r="H23" s="6"/>
    </row>
    <row r="24" spans="1:8" x14ac:dyDescent="0.25">
      <c r="A24" s="7" t="s">
        <v>0</v>
      </c>
      <c r="B24" s="7" t="s">
        <v>12</v>
      </c>
      <c r="C24" s="4">
        <v>948</v>
      </c>
      <c r="D24" s="2"/>
      <c r="E24" s="2"/>
      <c r="F24" s="6"/>
      <c r="G24" s="9"/>
      <c r="H24" s="6"/>
    </row>
    <row r="25" spans="1:8" ht="30" x14ac:dyDescent="0.25">
      <c r="A25" s="7" t="s">
        <v>9</v>
      </c>
      <c r="B25" s="7" t="s">
        <v>41</v>
      </c>
      <c r="C25" s="4">
        <v>882.44</v>
      </c>
      <c r="D25" s="4">
        <f>C25-C24</f>
        <v>-65.559999999999945</v>
      </c>
      <c r="E25" s="2">
        <v>11</v>
      </c>
      <c r="F25" s="5">
        <f>D25*E25</f>
        <v>-721.1599999999994</v>
      </c>
      <c r="G25" s="9">
        <f>F25*0.1</f>
        <v>-72.115999999999943</v>
      </c>
      <c r="H25" s="5">
        <f>ROUNDDOWN(F25+G25, 0)</f>
        <v>-793</v>
      </c>
    </row>
    <row r="26" spans="1:8" x14ac:dyDescent="0.25">
      <c r="A26" s="7"/>
      <c r="B26" s="7"/>
      <c r="C26" s="4"/>
      <c r="D26" s="4"/>
      <c r="E26" s="2"/>
      <c r="F26" s="8"/>
      <c r="G26" s="9"/>
      <c r="H26" s="8"/>
    </row>
    <row r="27" spans="1:8" x14ac:dyDescent="0.25">
      <c r="A27" s="7"/>
      <c r="B27" s="7"/>
      <c r="C27" s="4"/>
      <c r="D27" s="4"/>
      <c r="E27" s="2"/>
      <c r="F27" s="8"/>
      <c r="G27" s="9"/>
      <c r="H27" s="8"/>
    </row>
    <row r="28" spans="1:8" ht="15.75" x14ac:dyDescent="0.25">
      <c r="A28" s="7"/>
      <c r="B28" s="10" t="s">
        <v>13</v>
      </c>
      <c r="C28" s="4"/>
      <c r="D28" s="4"/>
      <c r="E28" s="2"/>
      <c r="F28" s="6"/>
      <c r="G28" s="9"/>
      <c r="H28" s="6"/>
    </row>
    <row r="29" spans="1:8" ht="30" x14ac:dyDescent="0.25">
      <c r="A29" s="7" t="s">
        <v>0</v>
      </c>
      <c r="B29" s="7" t="s">
        <v>34</v>
      </c>
      <c r="C29" s="4">
        <v>360</v>
      </c>
      <c r="D29" s="4"/>
      <c r="E29" s="2"/>
      <c r="F29" s="6"/>
      <c r="G29" s="9"/>
      <c r="H29" s="6"/>
    </row>
    <row r="30" spans="1:8" ht="30" x14ac:dyDescent="0.25">
      <c r="A30" s="7" t="s">
        <v>9</v>
      </c>
      <c r="B30" s="7" t="s">
        <v>37</v>
      </c>
      <c r="C30" s="11">
        <v>379.59</v>
      </c>
      <c r="D30" s="4">
        <f>C30-C29</f>
        <v>19.589999999999975</v>
      </c>
      <c r="E30" s="2">
        <v>28</v>
      </c>
      <c r="F30" s="5">
        <f t="shared" ref="F30" si="8">D30*E30</f>
        <v>548.5199999999993</v>
      </c>
      <c r="G30" s="9">
        <v>0</v>
      </c>
      <c r="H30" s="5">
        <f t="shared" ref="H30" si="9">ROUNDDOWN(F30+G30, 0)</f>
        <v>548</v>
      </c>
    </row>
    <row r="31" spans="1:8" x14ac:dyDescent="0.25">
      <c r="A31" s="7"/>
      <c r="B31" s="7"/>
      <c r="C31" s="11"/>
      <c r="D31" s="4"/>
      <c r="E31" s="2"/>
      <c r="F31" s="8"/>
      <c r="G31" s="9"/>
      <c r="H31" s="8"/>
    </row>
    <row r="32" spans="1:8" x14ac:dyDescent="0.25">
      <c r="A32" s="7"/>
      <c r="B32" s="7"/>
      <c r="C32" s="11"/>
      <c r="D32" s="4"/>
      <c r="E32" s="2"/>
      <c r="F32" s="8"/>
      <c r="G32" s="9"/>
      <c r="H32" s="8"/>
    </row>
    <row r="33" spans="1:8" ht="15.75" x14ac:dyDescent="0.25">
      <c r="A33" s="7"/>
      <c r="B33" s="10" t="s">
        <v>14</v>
      </c>
      <c r="C33" s="11"/>
      <c r="D33" s="4"/>
      <c r="E33" s="2"/>
      <c r="F33" s="6"/>
      <c r="G33" s="9"/>
      <c r="H33" s="6"/>
    </row>
    <row r="34" spans="1:8" ht="30" x14ac:dyDescent="0.25">
      <c r="A34" s="7" t="s">
        <v>0</v>
      </c>
      <c r="B34" s="7" t="s">
        <v>33</v>
      </c>
      <c r="C34" s="11">
        <v>528.5</v>
      </c>
      <c r="D34" s="4"/>
      <c r="E34" s="2"/>
      <c r="F34" s="6"/>
      <c r="G34" s="9"/>
      <c r="H34" s="6"/>
    </row>
    <row r="35" spans="1:8" ht="90" x14ac:dyDescent="0.25">
      <c r="A35" s="7" t="s">
        <v>9</v>
      </c>
      <c r="B35" s="7" t="s">
        <v>40</v>
      </c>
      <c r="C35" s="12">
        <v>467.95</v>
      </c>
      <c r="D35" s="4">
        <f>C35-C34</f>
        <v>-60.550000000000011</v>
      </c>
      <c r="E35" s="2">
        <v>64</v>
      </c>
      <c r="F35" s="5">
        <f>D35*E35</f>
        <v>-3875.2000000000007</v>
      </c>
      <c r="G35" s="9">
        <v>0</v>
      </c>
      <c r="H35" s="5">
        <f>ROUNDDOWN(F35+G35, 0)</f>
        <v>-3875</v>
      </c>
    </row>
    <row r="36" spans="1:8" x14ac:dyDescent="0.25">
      <c r="A36" s="7"/>
      <c r="B36" s="7"/>
      <c r="C36" s="4"/>
      <c r="D36" s="4"/>
      <c r="E36" s="2"/>
      <c r="F36" s="8"/>
      <c r="G36" s="9"/>
      <c r="H36" s="8"/>
    </row>
    <row r="37" spans="1:8" x14ac:dyDescent="0.25">
      <c r="A37" s="7"/>
      <c r="B37" s="7"/>
      <c r="C37" s="4"/>
      <c r="D37" s="4"/>
      <c r="E37" s="2"/>
      <c r="F37" s="8"/>
      <c r="G37" s="9"/>
      <c r="H37" s="8"/>
    </row>
    <row r="38" spans="1:8" ht="15.75" x14ac:dyDescent="0.25">
      <c r="A38" s="7"/>
      <c r="B38" s="10" t="s">
        <v>16</v>
      </c>
      <c r="C38" s="4"/>
      <c r="D38" s="4"/>
      <c r="E38" s="2"/>
      <c r="F38" s="6"/>
      <c r="G38" s="9"/>
      <c r="H38" s="6"/>
    </row>
    <row r="39" spans="1:8" x14ac:dyDescent="0.25">
      <c r="A39" s="7" t="s">
        <v>0</v>
      </c>
      <c r="B39" s="7" t="s">
        <v>15</v>
      </c>
      <c r="C39" s="4">
        <f>26.086+47.049</f>
        <v>73.134999999999991</v>
      </c>
      <c r="D39" s="4"/>
      <c r="E39" s="2"/>
      <c r="F39" s="6"/>
      <c r="G39" s="9"/>
      <c r="H39" s="6"/>
    </row>
    <row r="40" spans="1:8" x14ac:dyDescent="0.25">
      <c r="A40" s="7" t="s">
        <v>9</v>
      </c>
      <c r="B40" s="7" t="s">
        <v>26</v>
      </c>
      <c r="C40" s="4">
        <f>47.049+82.27</f>
        <v>129.31899999999999</v>
      </c>
      <c r="D40" s="4">
        <f>C40-C39</f>
        <v>56.183999999999997</v>
      </c>
      <c r="E40" s="2">
        <v>149</v>
      </c>
      <c r="F40" s="5">
        <f t="shared" ref="F40:F54" si="10">D40*E40</f>
        <v>8371.4159999999993</v>
      </c>
      <c r="G40" s="9">
        <f>F40*0.1</f>
        <v>837.14159999999993</v>
      </c>
      <c r="H40" s="5">
        <f t="shared" ref="H40:H54" si="11">ROUNDDOWN(F40+G40, 0)</f>
        <v>9208</v>
      </c>
    </row>
    <row r="41" spans="1:8" x14ac:dyDescent="0.25">
      <c r="A41" s="7"/>
      <c r="B41" s="7"/>
      <c r="C41" s="4"/>
      <c r="D41" s="4"/>
      <c r="E41" s="2"/>
      <c r="F41" s="8"/>
      <c r="G41" s="9"/>
      <c r="H41" s="8"/>
    </row>
    <row r="42" spans="1:8" ht="15.75" x14ac:dyDescent="0.25">
      <c r="A42" s="7"/>
      <c r="B42" s="10" t="s">
        <v>17</v>
      </c>
      <c r="C42" s="4"/>
      <c r="D42" s="4"/>
      <c r="E42" s="2"/>
      <c r="F42" s="6"/>
      <c r="G42" s="9"/>
      <c r="H42" s="6"/>
    </row>
    <row r="43" spans="1:8" x14ac:dyDescent="0.25">
      <c r="A43" s="7" t="s">
        <v>0</v>
      </c>
      <c r="B43" s="7" t="s">
        <v>18</v>
      </c>
      <c r="C43" s="4">
        <f>47.05+15.697</f>
        <v>62.747</v>
      </c>
      <c r="D43" s="4"/>
      <c r="E43" s="2"/>
      <c r="F43" s="6"/>
      <c r="G43" s="9"/>
      <c r="H43" s="6"/>
    </row>
    <row r="44" spans="1:8" x14ac:dyDescent="0.25">
      <c r="A44" s="7" t="s">
        <v>9</v>
      </c>
      <c r="B44" s="7" t="s">
        <v>19</v>
      </c>
      <c r="C44" s="4">
        <f>64.65+47.049</f>
        <v>111.69900000000001</v>
      </c>
      <c r="D44" s="4">
        <f>C44-C43</f>
        <v>48.952000000000012</v>
      </c>
      <c r="E44" s="2">
        <v>92</v>
      </c>
      <c r="F44" s="5">
        <f t="shared" ref="F44" si="12">D44*E44</f>
        <v>4503.5840000000007</v>
      </c>
      <c r="G44" s="9">
        <f>F44*0.1</f>
        <v>450.35840000000007</v>
      </c>
      <c r="H44" s="5">
        <f t="shared" ref="H44" si="13">ROUNDDOWN(F44+G44, 0)</f>
        <v>4953</v>
      </c>
    </row>
    <row r="45" spans="1:8" x14ac:dyDescent="0.25">
      <c r="A45" s="7"/>
      <c r="B45" s="7"/>
      <c r="C45" s="4"/>
      <c r="D45" s="4"/>
      <c r="E45" s="2"/>
      <c r="F45" s="8"/>
      <c r="G45" s="9"/>
      <c r="H45" s="8"/>
    </row>
    <row r="46" spans="1:8" x14ac:dyDescent="0.25">
      <c r="A46" s="7"/>
      <c r="B46" s="7"/>
      <c r="C46" s="4"/>
      <c r="D46" s="4"/>
      <c r="E46" s="2"/>
      <c r="F46" s="8"/>
      <c r="G46" s="9"/>
      <c r="H46" s="8"/>
    </row>
    <row r="47" spans="1:8" ht="15.75" x14ac:dyDescent="0.25">
      <c r="A47" s="7"/>
      <c r="B47" s="10" t="s">
        <v>6</v>
      </c>
      <c r="C47" s="4"/>
      <c r="D47" s="4"/>
      <c r="E47" s="2"/>
      <c r="F47" s="6"/>
      <c r="G47" s="9"/>
      <c r="H47" s="6"/>
    </row>
    <row r="48" spans="1:8" x14ac:dyDescent="0.25">
      <c r="A48" s="7" t="s">
        <v>0</v>
      </c>
      <c r="B48" s="7" t="s">
        <v>7</v>
      </c>
      <c r="C48" s="4">
        <v>120</v>
      </c>
      <c r="D48" s="4"/>
      <c r="E48" s="2"/>
      <c r="F48" s="6"/>
      <c r="G48" s="9"/>
      <c r="H48" s="6"/>
    </row>
    <row r="49" spans="1:8" x14ac:dyDescent="0.25">
      <c r="A49" s="7" t="s">
        <v>9</v>
      </c>
      <c r="B49" s="7" t="s">
        <v>20</v>
      </c>
      <c r="C49" s="4">
        <f>101.08+30.84</f>
        <v>131.91999999999999</v>
      </c>
      <c r="D49" s="4">
        <f>C49-C48</f>
        <v>11.919999999999987</v>
      </c>
      <c r="E49" s="2">
        <v>11</v>
      </c>
      <c r="F49" s="5">
        <f>D49*E49</f>
        <v>131.11999999999986</v>
      </c>
      <c r="G49" s="9">
        <f>F49*0.1</f>
        <v>13.111999999999988</v>
      </c>
      <c r="H49" s="5">
        <f>ROUNDDOWN(F49+G49, 0)</f>
        <v>144</v>
      </c>
    </row>
    <row r="50" spans="1:8" x14ac:dyDescent="0.25">
      <c r="A50" s="7"/>
      <c r="B50" s="7"/>
      <c r="C50" s="4"/>
      <c r="D50" s="4"/>
      <c r="E50" s="2"/>
      <c r="F50" s="8"/>
      <c r="G50" s="9"/>
      <c r="H50" s="8"/>
    </row>
    <row r="51" spans="1:8" x14ac:dyDescent="0.25">
      <c r="A51" s="7"/>
      <c r="B51" s="7"/>
      <c r="C51" s="4"/>
      <c r="D51" s="4"/>
      <c r="E51" s="2"/>
      <c r="F51" s="8"/>
      <c r="G51" s="9"/>
      <c r="H51" s="8"/>
    </row>
    <row r="52" spans="1:8" ht="15.75" x14ac:dyDescent="0.25">
      <c r="A52" s="7"/>
      <c r="B52" s="10" t="s">
        <v>21</v>
      </c>
      <c r="C52" s="4"/>
      <c r="D52" s="4"/>
      <c r="E52" s="2"/>
      <c r="F52" s="6"/>
      <c r="G52" s="9"/>
      <c r="H52" s="6"/>
    </row>
    <row r="53" spans="1:8" ht="30" x14ac:dyDescent="0.25">
      <c r="A53" s="7" t="s">
        <v>0</v>
      </c>
      <c r="B53" s="7" t="s">
        <v>22</v>
      </c>
      <c r="C53" s="4">
        <v>76.69</v>
      </c>
      <c r="D53" s="4"/>
      <c r="E53" s="2"/>
      <c r="F53" s="6"/>
      <c r="G53" s="9"/>
      <c r="H53" s="6"/>
    </row>
    <row r="54" spans="1:8" ht="30" x14ac:dyDescent="0.25">
      <c r="A54" s="7" t="s">
        <v>9</v>
      </c>
      <c r="B54" s="7" t="s">
        <v>23</v>
      </c>
      <c r="C54" s="4">
        <v>74.8</v>
      </c>
      <c r="D54" s="4">
        <f>C54-C53</f>
        <v>-1.8900000000000006</v>
      </c>
      <c r="E54" s="2">
        <v>198</v>
      </c>
      <c r="F54" s="5">
        <f t="shared" si="10"/>
        <v>-374.22000000000014</v>
      </c>
      <c r="G54" s="9">
        <f>F54*0.1</f>
        <v>-37.422000000000018</v>
      </c>
      <c r="H54" s="5">
        <f t="shared" si="11"/>
        <v>-411</v>
      </c>
    </row>
    <row r="55" spans="1:8" x14ac:dyDescent="0.25">
      <c r="A55" s="7"/>
      <c r="B55" s="7"/>
      <c r="C55" s="4"/>
      <c r="D55" s="4"/>
      <c r="E55" s="2"/>
      <c r="F55" s="8"/>
      <c r="G55" s="9"/>
      <c r="H55" s="8"/>
    </row>
    <row r="56" spans="1:8" x14ac:dyDescent="0.25">
      <c r="A56" s="23" t="s">
        <v>38</v>
      </c>
      <c r="B56" s="24"/>
      <c r="C56" s="24"/>
      <c r="D56" s="24"/>
      <c r="E56" s="25"/>
      <c r="F56" s="16">
        <f>SUM(F8:F54)</f>
        <v>10663.663999999999</v>
      </c>
      <c r="G56" s="9"/>
      <c r="H56" s="8"/>
    </row>
    <row r="57" spans="1:8" x14ac:dyDescent="0.25">
      <c r="A57" s="7"/>
      <c r="B57" s="7"/>
      <c r="C57" s="18"/>
      <c r="D57" s="18" t="s">
        <v>3</v>
      </c>
      <c r="E57" s="19">
        <v>0.15</v>
      </c>
      <c r="F57" s="16">
        <f>F56*E57</f>
        <v>1599.5495999999998</v>
      </c>
      <c r="G57" s="9"/>
      <c r="H57" s="8"/>
    </row>
    <row r="58" spans="1:8" x14ac:dyDescent="0.25">
      <c r="A58" s="7"/>
      <c r="B58" s="7"/>
      <c r="C58" s="18"/>
      <c r="D58" s="18"/>
      <c r="E58" s="20"/>
      <c r="F58" s="16">
        <f>SUM(F56:F57)</f>
        <v>12263.213599999999</v>
      </c>
      <c r="G58" s="9"/>
      <c r="H58" s="8"/>
    </row>
    <row r="59" spans="1:8" x14ac:dyDescent="0.25">
      <c r="A59" s="7"/>
      <c r="B59" s="7"/>
      <c r="C59" s="4"/>
      <c r="D59" s="4"/>
      <c r="E59" s="2"/>
      <c r="F59" s="8"/>
      <c r="G59" s="9"/>
      <c r="H59" s="8"/>
    </row>
    <row r="60" spans="1:8" ht="15.75" x14ac:dyDescent="0.25">
      <c r="A60" s="7"/>
      <c r="B60" s="17" t="s">
        <v>39</v>
      </c>
      <c r="C60" s="4"/>
      <c r="D60" s="4"/>
      <c r="E60" s="2"/>
      <c r="F60" s="6"/>
      <c r="G60" s="9"/>
      <c r="H60" s="6"/>
    </row>
    <row r="61" spans="1:8" x14ac:dyDescent="0.25">
      <c r="A61" s="7" t="s">
        <v>0</v>
      </c>
      <c r="B61" s="7" t="s">
        <v>24</v>
      </c>
      <c r="C61" s="4">
        <v>147.04</v>
      </c>
      <c r="D61" s="4"/>
      <c r="E61" s="2"/>
      <c r="F61" s="6"/>
      <c r="G61" s="9"/>
      <c r="H61" s="6"/>
    </row>
    <row r="62" spans="1:8" x14ac:dyDescent="0.25">
      <c r="A62" s="7" t="s">
        <v>9</v>
      </c>
      <c r="B62" s="7" t="s">
        <v>29</v>
      </c>
      <c r="C62" s="4">
        <v>132</v>
      </c>
      <c r="D62" s="4">
        <f>C62-C61</f>
        <v>-15.039999999999992</v>
      </c>
      <c r="E62" s="2">
        <v>158</v>
      </c>
      <c r="F62" s="5">
        <f t="shared" ref="F62" si="14">D62*E62</f>
        <v>-2376.3199999999988</v>
      </c>
      <c r="G62" s="9">
        <f>F62*0.1</f>
        <v>-237.63199999999989</v>
      </c>
      <c r="H62" s="5">
        <f t="shared" ref="H62" si="15">ROUNDDOWN(F62+G62, 0)</f>
        <v>-2613</v>
      </c>
    </row>
    <row r="63" spans="1:8" x14ac:dyDescent="0.25">
      <c r="A63" s="7" t="s">
        <v>9</v>
      </c>
      <c r="B63" s="7" t="s">
        <v>25</v>
      </c>
      <c r="C63" s="4">
        <f>270.833+50</f>
        <v>320.83300000000003</v>
      </c>
      <c r="D63" s="4">
        <f>C63-C61</f>
        <v>173.79300000000003</v>
      </c>
      <c r="E63" s="2">
        <v>51</v>
      </c>
      <c r="F63" s="5">
        <f t="shared" ref="F63:F64" si="16">D63*E63</f>
        <v>8863.4430000000011</v>
      </c>
      <c r="G63" s="9">
        <f>F63*0.1</f>
        <v>886.3443000000002</v>
      </c>
      <c r="H63" s="5">
        <f t="shared" ref="H63:H64" si="17">ROUNDDOWN(F63+G63, 0)</f>
        <v>9749</v>
      </c>
    </row>
    <row r="64" spans="1:8" x14ac:dyDescent="0.25">
      <c r="A64" s="7" t="s">
        <v>9</v>
      </c>
      <c r="B64" s="7" t="s">
        <v>29</v>
      </c>
      <c r="C64" s="4">
        <v>132</v>
      </c>
      <c r="D64" s="4">
        <f>C64-C61</f>
        <v>-15.039999999999992</v>
      </c>
      <c r="E64" s="2">
        <v>1</v>
      </c>
      <c r="F64" s="5">
        <f t="shared" si="16"/>
        <v>-15.039999999999992</v>
      </c>
      <c r="G64" s="9">
        <f>F64*0.1</f>
        <v>-1.5039999999999993</v>
      </c>
      <c r="H64" s="5">
        <f t="shared" si="17"/>
        <v>-16</v>
      </c>
    </row>
    <row r="65" spans="1:8" x14ac:dyDescent="0.25">
      <c r="A65" s="7" t="s">
        <v>9</v>
      </c>
      <c r="B65" s="7" t="s">
        <v>25</v>
      </c>
      <c r="C65" s="4">
        <f>270.833+50</f>
        <v>320.83300000000003</v>
      </c>
      <c r="D65" s="4">
        <f>C65-C61</f>
        <v>173.79300000000003</v>
      </c>
      <c r="E65" s="2">
        <v>1</v>
      </c>
      <c r="F65" s="5">
        <f t="shared" ref="F65" si="18">D65*E65</f>
        <v>173.79300000000003</v>
      </c>
      <c r="G65" s="9">
        <f>F65*0.1</f>
        <v>17.379300000000004</v>
      </c>
      <c r="H65" s="5">
        <f t="shared" ref="H65" si="19">ROUNDDOWN(F65+G65, 0)</f>
        <v>191</v>
      </c>
    </row>
    <row r="66" spans="1:8" x14ac:dyDescent="0.25">
      <c r="A66" s="7"/>
      <c r="B66" s="7"/>
      <c r="C66" s="4"/>
      <c r="D66" s="4"/>
      <c r="E66" s="2"/>
      <c r="F66" s="8"/>
      <c r="G66" s="9"/>
      <c r="H66" s="8"/>
    </row>
    <row r="67" spans="1:8" x14ac:dyDescent="0.25">
      <c r="A67" s="7"/>
      <c r="B67" s="7"/>
      <c r="C67" s="4"/>
      <c r="D67" s="4"/>
      <c r="E67" s="2"/>
      <c r="F67" s="8"/>
      <c r="G67" s="9"/>
      <c r="H67" s="8"/>
    </row>
    <row r="68" spans="1:8" x14ac:dyDescent="0.25">
      <c r="A68" s="7"/>
      <c r="B68" s="7"/>
      <c r="C68" s="4"/>
      <c r="D68" s="4"/>
      <c r="E68" s="2"/>
      <c r="F68" s="8"/>
      <c r="G68" s="9"/>
      <c r="H68" s="8"/>
    </row>
    <row r="69" spans="1:8" x14ac:dyDescent="0.25">
      <c r="A69" s="7"/>
      <c r="B69" s="7"/>
      <c r="C69" s="4"/>
      <c r="D69" s="4"/>
      <c r="E69" s="2"/>
      <c r="F69" s="8"/>
      <c r="G69" s="9"/>
      <c r="H69" s="8"/>
    </row>
    <row r="70" spans="1:8" x14ac:dyDescent="0.25">
      <c r="C70" s="1"/>
      <c r="D70" s="1"/>
      <c r="F70" s="1"/>
      <c r="G70" s="1"/>
      <c r="H70" s="1"/>
    </row>
    <row r="71" spans="1:8" x14ac:dyDescent="0.25">
      <c r="C71" s="1"/>
      <c r="D71" s="1"/>
      <c r="F71" s="1"/>
      <c r="G71" s="1"/>
      <c r="H71" s="1"/>
    </row>
    <row r="72" spans="1:8" x14ac:dyDescent="0.25">
      <c r="C72" s="1"/>
      <c r="D72" s="1"/>
      <c r="F72" s="1"/>
      <c r="G72" s="1"/>
      <c r="H72" s="1"/>
    </row>
    <row r="73" spans="1:8" x14ac:dyDescent="0.25">
      <c r="C73" s="1"/>
      <c r="D73" s="1"/>
      <c r="F73" s="1"/>
      <c r="G73" s="1"/>
      <c r="H73" s="1"/>
    </row>
    <row r="74" spans="1:8" x14ac:dyDescent="0.25">
      <c r="C74" s="1"/>
      <c r="D74" s="1"/>
      <c r="F74" s="1"/>
      <c r="G74" s="1"/>
      <c r="H74" s="1"/>
    </row>
    <row r="75" spans="1:8" x14ac:dyDescent="0.25">
      <c r="C75" s="1"/>
      <c r="D75" s="1"/>
      <c r="F75" s="1"/>
      <c r="G75" s="1"/>
      <c r="H75" s="1"/>
    </row>
    <row r="76" spans="1:8" x14ac:dyDescent="0.25">
      <c r="C76" s="1"/>
      <c r="D76" s="1"/>
      <c r="F76" s="1"/>
      <c r="G76" s="1"/>
      <c r="H76" s="1"/>
    </row>
    <row r="77" spans="1:8" x14ac:dyDescent="0.25">
      <c r="C77" s="1"/>
      <c r="D77" s="1"/>
      <c r="F77" s="1"/>
      <c r="G77" s="1"/>
      <c r="H77" s="1"/>
    </row>
    <row r="78" spans="1:8" x14ac:dyDescent="0.25">
      <c r="C78" s="1"/>
      <c r="D78" s="1"/>
      <c r="F78" s="1"/>
      <c r="G78" s="1"/>
      <c r="H78" s="1"/>
    </row>
    <row r="79" spans="1:8" x14ac:dyDescent="0.25">
      <c r="C79" s="1"/>
      <c r="D79" s="1"/>
      <c r="F79" s="1"/>
      <c r="G79" s="1"/>
      <c r="H79" s="1"/>
    </row>
    <row r="80" spans="1:8" x14ac:dyDescent="0.25">
      <c r="C80" s="1"/>
      <c r="D80" s="1"/>
      <c r="F80" s="1"/>
      <c r="G80" s="1"/>
      <c r="H80" s="1"/>
    </row>
    <row r="81" spans="3:8" x14ac:dyDescent="0.25">
      <c r="C81" s="1"/>
      <c r="D81" s="1"/>
      <c r="F81" s="1"/>
      <c r="G81" s="1"/>
      <c r="H81" s="1"/>
    </row>
    <row r="82" spans="3:8" x14ac:dyDescent="0.25">
      <c r="C82" s="1"/>
      <c r="D82" s="1"/>
      <c r="F82" s="1"/>
      <c r="G82" s="1"/>
      <c r="H82" s="1"/>
    </row>
    <row r="83" spans="3:8" x14ac:dyDescent="0.25">
      <c r="C83" s="1"/>
      <c r="D83" s="1"/>
      <c r="F83" s="1"/>
      <c r="G83" s="1"/>
      <c r="H83" s="1"/>
    </row>
  </sheetData>
  <mergeCells count="4">
    <mergeCell ref="A1:F1"/>
    <mergeCell ref="A3:F3"/>
    <mergeCell ref="A5:F5"/>
    <mergeCell ref="A56:E56"/>
  </mergeCells>
  <pageMargins left="0.7" right="0.7" top="0.75" bottom="0.75" header="0.3" footer="0.3"/>
  <pageSetup scale="98" fitToHeight="3" orientation="portrait" r:id="rId1"/>
  <rowBreaks count="2" manualBreakCount="2">
    <brk id="21" max="16383" man="1"/>
    <brk id="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2015-06-29T22:59:52Z</cp:lastPrinted>
  <dcterms:created xsi:type="dcterms:W3CDTF">2014-06-30T23:12:10Z</dcterms:created>
  <dcterms:modified xsi:type="dcterms:W3CDTF">2015-10-02T00:16:25Z</dcterms:modified>
</cp:coreProperties>
</file>