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J64" i="1"/>
  <c r="F64" i="1"/>
  <c r="F49" i="1"/>
  <c r="J49" i="1"/>
  <c r="J36" i="1"/>
  <c r="C32" i="1" l="1"/>
  <c r="F32" i="1" s="1"/>
  <c r="C19" i="1"/>
  <c r="F18" i="1"/>
  <c r="C18" i="1"/>
  <c r="F31" i="1"/>
  <c r="L64" i="1"/>
  <c r="L65" i="1" s="1"/>
  <c r="L66" i="1" s="1"/>
  <c r="K64" i="1"/>
  <c r="F63" i="1"/>
  <c r="J61" i="1"/>
  <c r="J60" i="1"/>
  <c r="F59" i="1"/>
  <c r="L49" i="1"/>
  <c r="K49" i="1"/>
  <c r="F48" i="1"/>
  <c r="J46" i="1"/>
  <c r="F45" i="1"/>
  <c r="J65" i="1" l="1"/>
  <c r="J66" i="1" s="1"/>
  <c r="F65" i="1"/>
  <c r="F66" i="1" s="1"/>
  <c r="J50" i="1"/>
  <c r="J51" i="1" s="1"/>
  <c r="L50" i="1"/>
  <c r="L51" i="1" s="1"/>
  <c r="B69" i="1" l="1"/>
  <c r="F50" i="1"/>
  <c r="F51" i="1" s="1"/>
  <c r="B54" i="1" s="1"/>
  <c r="F29" i="1" l="1"/>
  <c r="F30" i="1"/>
  <c r="J27" i="1"/>
  <c r="J26" i="1"/>
  <c r="J25" i="1"/>
  <c r="J21" i="1"/>
  <c r="J22" i="1"/>
  <c r="J23" i="1"/>
  <c r="J24" i="1"/>
  <c r="J20" i="1" l="1"/>
  <c r="L36" i="1" l="1"/>
  <c r="F34" i="1" l="1"/>
  <c r="F35" i="1"/>
  <c r="F36" i="1" s="1"/>
  <c r="K36" i="1"/>
  <c r="F19" i="1" l="1"/>
  <c r="F16" i="1" l="1"/>
  <c r="L37" i="1" l="1"/>
  <c r="L38" i="1" l="1"/>
  <c r="F37" i="1" l="1"/>
  <c r="F38" i="1" s="1"/>
  <c r="J37" i="1" l="1"/>
  <c r="J38" i="1" l="1"/>
  <c r="B41" i="1" s="1"/>
</calcChain>
</file>

<file path=xl/sharedStrings.xml><?xml version="1.0" encoding="utf-8"?>
<sst xmlns="http://schemas.openxmlformats.org/spreadsheetml/2006/main" count="116" uniqueCount="47">
  <si>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</si>
  <si>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</si>
  <si>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</si>
  <si>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</si>
  <si>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</si>
  <si>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</si>
  <si>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</si>
  <si>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</si>
  <si>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</si>
  <si>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</si>
  <si>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</si>
  <si>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</si>
  <si>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</si>
  <si>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</si>
  <si>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</si>
  <si>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</si>
  <si>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</si>
  <si>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</si>
  <si>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</si>
  <si>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</si>
  <si>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LS</t>
  </si>
  <si>
    <t>AS-BUILTING</t>
  </si>
  <si>
    <t>SUPERVISION</t>
  </si>
  <si>
    <t>EA</t>
  </si>
  <si>
    <t>LAYOUT/COORDINATE WITH OTHER SUBS</t>
  </si>
  <si>
    <t>ZURN Z886-HPD TRENCH DRAIN</t>
  </si>
  <si>
    <t>LF</t>
  </si>
  <si>
    <t>ZURN E1 CLOSED END CAP</t>
  </si>
  <si>
    <t>ZURN E2, 3, 4 NO-HUB END OUTLET</t>
  </si>
  <si>
    <t>ZURN U2, 3, 4 NO-HUB BOTTOM OUTLET</t>
  </si>
  <si>
    <t>ZURN DB BOTTOM DOME STRAINER</t>
  </si>
  <si>
    <t>ZURN JOINT CONNECTOR</t>
  </si>
  <si>
    <t>ZURN CUTTING CHARGE</t>
  </si>
  <si>
    <t>HARDWARE, MISCELLANEOUS</t>
  </si>
  <si>
    <t>POUR WATCH</t>
  </si>
  <si>
    <t>WRAP/PROTECT TRENCH DRAIN FOR POUR</t>
  </si>
  <si>
    <t>INSTALL PIPE DOWN AND THRU WALL</t>
  </si>
  <si>
    <t>4" PIPE</t>
  </si>
  <si>
    <t>SLEEVE RETAINING WALLS</t>
  </si>
  <si>
    <t>SLEEVING MATERIAL</t>
  </si>
  <si>
    <t>REMOVE PROTECTION, CLEAN CONCRETE</t>
  </si>
  <si>
    <t>CLIP EARS OFF SIDE OF TRENCH DRAIN (40LF/HR)</t>
  </si>
  <si>
    <t>INSTALL TRENCH DRAIN BODY (4LF/HR)
FINE GRADE W/ SHOVEL
DRIVE STAKES AT ONE SIDE
PIN OPPOSITE SIDE TO CONCRETE WALL
ATTACH EACH TRENCH SECTION TO EACH OTHER
SECURE WITH HARDWARE</t>
  </si>
  <si>
    <t>TRENCH DRAINS</t>
  </si>
  <si>
    <t>INSTALL TRENCH DRAIN COVERS (15LF/HR)</t>
  </si>
  <si>
    <t>PIPE/FITTINGS/COUPLINGS/GLUE/ETC</t>
  </si>
  <si>
    <t>SUBMITTALS/PRICING/ORDERING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</si>
</sst>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9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vertical="top" wrapText="1"/>
    </xf>
    <xf numFmtId="0" fontId="1" fillId="5" borderId="3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COST TO INSTALL TRENCH DRAINS AT EAST PLAZA	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9"/>
  <sheetViews>
    <sheetView tabSelected="1" topLeftCell="A13" zoomScale="130" zoomScaleNormal="130" workbookViewId="0">
      <selection activeCell="F36" sqref="F36:J36"/>
    </sheetView>
  </sheetViews>
  <sheetFormatPr defaultRowHeight="12.75" x14ac:dyDescent="0.2"/>
  <cols>
    <col min="1" max="1" width="4.5703125" bestFit="1" customWidth="1"/>
    <col min="2" max="2" width="38.8554687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0" t="s">
        <v>13</v>
      </c>
      <c r="I1" s="61" t="s">
        <v>17</v>
      </c>
      <c r="J1" s="61"/>
      <c r="K1" s="61"/>
      <c r="L1" s="61"/>
    </row>
    <row r="2" spans="1:15" x14ac:dyDescent="0.2">
      <c r="D2" s="1"/>
      <c r="G2" s="32"/>
      <c r="H2" s="49" t="s">
        <v>12</v>
      </c>
      <c r="I2" s="62">
        <v>42510</v>
      </c>
      <c r="J2" s="61"/>
      <c r="K2" s="61"/>
      <c r="L2" s="61"/>
    </row>
    <row r="3" spans="1:15" x14ac:dyDescent="0.2">
      <c r="D3" s="1"/>
      <c r="G3" s="32"/>
      <c r="H3" s="49" t="s">
        <v>14</v>
      </c>
      <c r="I3" s="48" t="s">
        <v>43</v>
      </c>
      <c r="J3" s="33"/>
      <c r="K3" s="33"/>
      <c r="L3" s="33"/>
    </row>
    <row r="4" spans="1:15" ht="24" thickBot="1" x14ac:dyDescent="0.4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5" ht="4.5" customHeight="1" x14ac:dyDescent="0.2">
      <c r="A5" s="64" t="s">
        <v>11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6"/>
    </row>
    <row r="6" spans="1:15" ht="12.75" customHeight="1" x14ac:dyDescent="0.2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9"/>
    </row>
    <row r="7" spans="1:15" ht="4.5" customHeight="1" thickBot="1" x14ac:dyDescent="0.25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2"/>
    </row>
    <row r="8" spans="1:15" x14ac:dyDescent="0.2">
      <c r="A8" s="47"/>
      <c r="B8" s="45"/>
      <c r="C8" s="45"/>
      <c r="D8" s="46"/>
      <c r="E8" s="45"/>
      <c r="F8" s="45"/>
      <c r="G8" s="32"/>
      <c r="H8" s="44"/>
      <c r="I8" s="34"/>
      <c r="J8" s="33"/>
      <c r="K8" s="33"/>
      <c r="L8" s="43"/>
    </row>
    <row r="9" spans="1:15" x14ac:dyDescent="0.2">
      <c r="A9" s="47"/>
      <c r="B9" s="45"/>
      <c r="C9" s="45"/>
      <c r="D9" s="46"/>
      <c r="E9" s="45"/>
      <c r="F9" s="45"/>
      <c r="G9" s="32"/>
      <c r="H9" s="44"/>
      <c r="I9" s="34"/>
      <c r="J9" s="33"/>
      <c r="K9" s="33"/>
      <c r="L9" s="43"/>
    </row>
    <row r="10" spans="1:15" x14ac:dyDescent="0.2">
      <c r="A10" s="47"/>
      <c r="B10" s="45"/>
      <c r="C10" s="45"/>
      <c r="D10" s="46"/>
      <c r="E10" s="45"/>
      <c r="F10" s="45"/>
      <c r="G10" s="32"/>
      <c r="H10" s="44"/>
      <c r="I10" s="34"/>
      <c r="J10" s="33"/>
      <c r="K10" s="33"/>
      <c r="L10" s="43"/>
    </row>
    <row r="11" spans="1:15" ht="13.5" thickBot="1" x14ac:dyDescent="0.25">
      <c r="A11" s="42"/>
      <c r="B11" s="40"/>
      <c r="C11" s="40"/>
      <c r="D11" s="41"/>
      <c r="E11" s="40"/>
      <c r="F11" s="40"/>
      <c r="G11" s="39"/>
      <c r="H11" s="38"/>
      <c r="I11" s="37"/>
      <c r="J11" s="36"/>
      <c r="K11" s="36"/>
      <c r="L11" s="35"/>
    </row>
    <row r="12" spans="1:15" ht="6" customHeight="1" x14ac:dyDescent="0.2">
      <c r="D12" s="1"/>
      <c r="G12" s="32"/>
      <c r="H12" s="31"/>
      <c r="I12" s="34"/>
      <c r="J12" s="33"/>
      <c r="K12" s="33"/>
      <c r="L12" s="33"/>
    </row>
    <row r="13" spans="1:15" ht="6" customHeight="1" x14ac:dyDescent="0.2">
      <c r="D13" s="1"/>
      <c r="E13" s="32"/>
      <c r="F13" s="31"/>
      <c r="G13" s="30"/>
      <c r="H13" s="30"/>
      <c r="I13" s="30"/>
      <c r="J13" s="29"/>
    </row>
    <row r="14" spans="1:15" x14ac:dyDescent="0.2">
      <c r="A14" s="28"/>
      <c r="B14" s="27"/>
      <c r="C14" s="60" t="s">
        <v>10</v>
      </c>
      <c r="D14" s="60"/>
      <c r="E14" s="60"/>
      <c r="F14" s="60"/>
      <c r="G14" s="26" t="s">
        <v>9</v>
      </c>
      <c r="H14" s="25"/>
      <c r="I14" s="25"/>
      <c r="J14" s="58" t="s">
        <v>19</v>
      </c>
      <c r="K14" s="24" t="s">
        <v>8</v>
      </c>
      <c r="L14" s="23"/>
    </row>
    <row r="15" spans="1:15" x14ac:dyDescent="0.2">
      <c r="A15" s="22" t="s">
        <v>7</v>
      </c>
      <c r="B15" s="21" t="s">
        <v>6</v>
      </c>
      <c r="C15" s="19" t="s">
        <v>16</v>
      </c>
      <c r="D15" s="19" t="s">
        <v>4</v>
      </c>
      <c r="E15" s="19" t="s">
        <v>5</v>
      </c>
      <c r="F15" s="20" t="s">
        <v>3</v>
      </c>
      <c r="G15" s="19" t="s">
        <v>16</v>
      </c>
      <c r="H15" s="19" t="s">
        <v>4</v>
      </c>
      <c r="I15" s="19" t="s">
        <v>5</v>
      </c>
      <c r="J15" s="20" t="s">
        <v>3</v>
      </c>
      <c r="K15" s="19" t="s">
        <v>4</v>
      </c>
      <c r="L15" s="19" t="s">
        <v>3</v>
      </c>
    </row>
    <row r="16" spans="1:15" x14ac:dyDescent="0.2">
      <c r="A16" s="18"/>
      <c r="B16" s="52" t="s">
        <v>24</v>
      </c>
      <c r="C16" s="14">
        <v>8</v>
      </c>
      <c r="D16" s="17" t="s">
        <v>18</v>
      </c>
      <c r="E16" s="16">
        <v>80</v>
      </c>
      <c r="F16" s="15">
        <f t="shared" ref="F16:F35" si="0">C16*E16</f>
        <v>640</v>
      </c>
      <c r="G16" s="14"/>
      <c r="H16" s="17"/>
      <c r="I16" s="16"/>
      <c r="J16" s="15"/>
      <c r="K16" s="14"/>
      <c r="L16" s="13"/>
      <c r="M16" s="12"/>
      <c r="O16" s="51"/>
    </row>
    <row r="17" spans="1:15" x14ac:dyDescent="0.2">
      <c r="A17" s="18"/>
      <c r="B17" s="52" t="s">
        <v>46</v>
      </c>
      <c r="C17" s="14">
        <v>4</v>
      </c>
      <c r="D17" s="17" t="s">
        <v>18</v>
      </c>
      <c r="E17" s="16">
        <v>95</v>
      </c>
      <c r="F17" s="15">
        <f t="shared" si="0"/>
        <v>380</v>
      </c>
      <c r="G17" s="14"/>
      <c r="H17" s="17"/>
      <c r="I17" s="16"/>
      <c r="J17" s="15"/>
      <c r="K17" s="14"/>
      <c r="L17" s="13"/>
      <c r="M17" s="12"/>
      <c r="O17" s="51"/>
    </row>
    <row r="18" spans="1:15" x14ac:dyDescent="0.2">
      <c r="A18" s="18"/>
      <c r="B18" s="52" t="s">
        <v>41</v>
      </c>
      <c r="C18" s="14">
        <f>160/40</f>
        <v>4</v>
      </c>
      <c r="D18" s="17" t="s">
        <v>18</v>
      </c>
      <c r="E18" s="16">
        <v>60.5</v>
      </c>
      <c r="F18" s="15">
        <f t="shared" si="0"/>
        <v>242</v>
      </c>
      <c r="G18" s="14"/>
      <c r="H18" s="17"/>
      <c r="I18" s="16"/>
      <c r="J18" s="15"/>
      <c r="K18" s="14"/>
      <c r="L18" s="13"/>
      <c r="M18" s="12"/>
      <c r="O18" s="51"/>
    </row>
    <row r="19" spans="1:15" ht="67.5" x14ac:dyDescent="0.2">
      <c r="A19" s="18"/>
      <c r="B19" s="59" t="s">
        <v>42</v>
      </c>
      <c r="C19" s="14">
        <f>160/4</f>
        <v>40</v>
      </c>
      <c r="D19" s="17" t="s">
        <v>18</v>
      </c>
      <c r="E19" s="16">
        <v>60.5</v>
      </c>
      <c r="F19" s="15">
        <f t="shared" si="0"/>
        <v>2420</v>
      </c>
      <c r="G19" s="14"/>
      <c r="H19" s="17"/>
      <c r="I19" s="16"/>
      <c r="J19" s="15"/>
      <c r="K19" s="14"/>
      <c r="L19" s="13"/>
      <c r="M19" s="12"/>
      <c r="O19" s="51"/>
    </row>
    <row r="20" spans="1:15" x14ac:dyDescent="0.2">
      <c r="A20" s="18"/>
      <c r="B20" s="59" t="s">
        <v>25</v>
      </c>
      <c r="C20" s="14"/>
      <c r="D20" s="17"/>
      <c r="E20" s="16"/>
      <c r="F20" s="15"/>
      <c r="G20" s="14">
        <v>160</v>
      </c>
      <c r="H20" s="17" t="s">
        <v>26</v>
      </c>
      <c r="I20" s="16">
        <v>51.42</v>
      </c>
      <c r="J20" s="15">
        <f>G20*I20</f>
        <v>8227.2000000000007</v>
      </c>
      <c r="K20" s="14"/>
      <c r="L20" s="13"/>
      <c r="M20" s="12"/>
      <c r="O20" s="51"/>
    </row>
    <row r="21" spans="1:15" x14ac:dyDescent="0.2">
      <c r="A21" s="18"/>
      <c r="B21" s="59" t="s">
        <v>27</v>
      </c>
      <c r="C21" s="14"/>
      <c r="D21" s="17"/>
      <c r="E21" s="16"/>
      <c r="F21" s="15"/>
      <c r="G21" s="14">
        <v>6</v>
      </c>
      <c r="H21" s="17" t="s">
        <v>23</v>
      </c>
      <c r="I21" s="16">
        <v>14.72</v>
      </c>
      <c r="J21" s="15">
        <f t="shared" ref="J21:J24" si="1">G21*I21</f>
        <v>88.320000000000007</v>
      </c>
      <c r="K21" s="14"/>
      <c r="L21" s="13"/>
      <c r="M21" s="12"/>
      <c r="O21" s="51"/>
    </row>
    <row r="22" spans="1:15" x14ac:dyDescent="0.2">
      <c r="A22" s="18"/>
      <c r="B22" s="59" t="s">
        <v>28</v>
      </c>
      <c r="C22" s="14"/>
      <c r="D22" s="17"/>
      <c r="E22" s="16"/>
      <c r="F22" s="15"/>
      <c r="G22" s="14">
        <v>6</v>
      </c>
      <c r="H22" s="17" t="s">
        <v>23</v>
      </c>
      <c r="I22" s="16">
        <v>14.72</v>
      </c>
      <c r="J22" s="15">
        <f t="shared" si="1"/>
        <v>88.320000000000007</v>
      </c>
      <c r="K22" s="14"/>
      <c r="L22" s="13"/>
      <c r="M22" s="12"/>
      <c r="O22" s="51"/>
    </row>
    <row r="23" spans="1:15" x14ac:dyDescent="0.2">
      <c r="A23" s="18"/>
      <c r="B23" s="59" t="s">
        <v>29</v>
      </c>
      <c r="C23" s="14"/>
      <c r="D23" s="17"/>
      <c r="E23" s="16"/>
      <c r="F23" s="15"/>
      <c r="G23" s="14">
        <v>6</v>
      </c>
      <c r="H23" s="17" t="s">
        <v>23</v>
      </c>
      <c r="I23" s="16">
        <v>14.72</v>
      </c>
      <c r="J23" s="15">
        <f t="shared" si="1"/>
        <v>88.320000000000007</v>
      </c>
      <c r="K23" s="14"/>
      <c r="L23" s="13"/>
      <c r="M23" s="12"/>
      <c r="O23" s="51"/>
    </row>
    <row r="24" spans="1:15" x14ac:dyDescent="0.2">
      <c r="A24" s="18"/>
      <c r="B24" s="59" t="s">
        <v>30</v>
      </c>
      <c r="C24" s="14"/>
      <c r="D24" s="17"/>
      <c r="E24" s="16"/>
      <c r="F24" s="15"/>
      <c r="G24" s="14">
        <v>3</v>
      </c>
      <c r="H24" s="17" t="s">
        <v>23</v>
      </c>
      <c r="I24" s="16">
        <v>28.18</v>
      </c>
      <c r="J24" s="15">
        <f t="shared" si="1"/>
        <v>84.539999999999992</v>
      </c>
      <c r="K24" s="14"/>
      <c r="L24" s="13"/>
      <c r="M24" s="12"/>
      <c r="O24" s="51"/>
    </row>
    <row r="25" spans="1:15" x14ac:dyDescent="0.2">
      <c r="A25" s="18"/>
      <c r="B25" s="59" t="s">
        <v>31</v>
      </c>
      <c r="C25" s="14"/>
      <c r="D25" s="17"/>
      <c r="E25" s="16"/>
      <c r="F25" s="15"/>
      <c r="G25" s="14">
        <v>28</v>
      </c>
      <c r="H25" s="17" t="s">
        <v>23</v>
      </c>
      <c r="I25" s="16">
        <v>28.18</v>
      </c>
      <c r="J25" s="15">
        <f>G25*I25</f>
        <v>789.04</v>
      </c>
      <c r="K25" s="14"/>
      <c r="L25" s="13"/>
      <c r="M25" s="12"/>
      <c r="O25" s="51"/>
    </row>
    <row r="26" spans="1:15" x14ac:dyDescent="0.2">
      <c r="A26" s="18"/>
      <c r="B26" s="59" t="s">
        <v>32</v>
      </c>
      <c r="C26" s="14"/>
      <c r="D26" s="17"/>
      <c r="E26" s="16"/>
      <c r="F26" s="15"/>
      <c r="G26" s="14">
        <v>6</v>
      </c>
      <c r="H26" s="17" t="s">
        <v>23</v>
      </c>
      <c r="I26" s="16">
        <v>32.15</v>
      </c>
      <c r="J26" s="15">
        <f>G26*I26</f>
        <v>192.89999999999998</v>
      </c>
      <c r="K26" s="14"/>
      <c r="L26" s="13"/>
      <c r="M26" s="12"/>
      <c r="O26" s="51"/>
    </row>
    <row r="27" spans="1:15" x14ac:dyDescent="0.2">
      <c r="A27" s="18"/>
      <c r="B27" s="59" t="s">
        <v>33</v>
      </c>
      <c r="C27" s="14"/>
      <c r="D27" s="17"/>
      <c r="E27" s="16"/>
      <c r="F27" s="15"/>
      <c r="G27" s="14">
        <v>1</v>
      </c>
      <c r="H27" s="17" t="s">
        <v>20</v>
      </c>
      <c r="I27" s="16">
        <v>300</v>
      </c>
      <c r="J27" s="15">
        <f>G27*I27</f>
        <v>300</v>
      </c>
      <c r="K27" s="14"/>
      <c r="L27" s="13"/>
      <c r="M27" s="12"/>
      <c r="O27" s="51"/>
    </row>
    <row r="28" spans="1:15" x14ac:dyDescent="0.2">
      <c r="A28" s="18"/>
      <c r="B28" s="59"/>
      <c r="C28" s="14"/>
      <c r="D28" s="17"/>
      <c r="E28" s="16"/>
      <c r="F28" s="15"/>
      <c r="G28" s="14"/>
      <c r="H28" s="17"/>
      <c r="I28" s="16"/>
      <c r="J28" s="15"/>
      <c r="K28" s="14"/>
      <c r="L28" s="13"/>
      <c r="M28" s="12"/>
      <c r="O28" s="51"/>
    </row>
    <row r="29" spans="1:15" x14ac:dyDescent="0.2">
      <c r="A29" s="18"/>
      <c r="B29" s="59" t="s">
        <v>35</v>
      </c>
      <c r="C29" s="14">
        <v>8</v>
      </c>
      <c r="D29" s="17" t="s">
        <v>18</v>
      </c>
      <c r="E29" s="16">
        <v>60.5</v>
      </c>
      <c r="F29" s="15">
        <f>C29*E29</f>
        <v>484</v>
      </c>
      <c r="G29" s="14"/>
      <c r="H29" s="17"/>
      <c r="I29" s="16"/>
      <c r="J29" s="15"/>
      <c r="K29" s="14"/>
      <c r="L29" s="13"/>
      <c r="M29" s="12"/>
      <c r="O29" s="51"/>
    </row>
    <row r="30" spans="1:15" x14ac:dyDescent="0.2">
      <c r="A30" s="18"/>
      <c r="B30" s="59" t="s">
        <v>34</v>
      </c>
      <c r="C30" s="14">
        <v>4</v>
      </c>
      <c r="D30" s="17" t="s">
        <v>18</v>
      </c>
      <c r="E30" s="16">
        <v>60.5</v>
      </c>
      <c r="F30" s="15">
        <f>C30*E30</f>
        <v>242</v>
      </c>
      <c r="G30" s="14"/>
      <c r="H30" s="17"/>
      <c r="I30" s="16"/>
      <c r="J30" s="15"/>
      <c r="K30" s="14"/>
      <c r="L30" s="13"/>
      <c r="M30" s="12"/>
      <c r="O30" s="51"/>
    </row>
    <row r="31" spans="1:15" x14ac:dyDescent="0.2">
      <c r="A31" s="18"/>
      <c r="B31" s="59" t="s">
        <v>40</v>
      </c>
      <c r="C31" s="14">
        <v>8</v>
      </c>
      <c r="D31" s="17" t="s">
        <v>18</v>
      </c>
      <c r="E31" s="16">
        <v>60.5</v>
      </c>
      <c r="F31" s="15">
        <f>C31*E31</f>
        <v>484</v>
      </c>
      <c r="G31" s="14"/>
      <c r="H31" s="17"/>
      <c r="I31" s="16"/>
      <c r="J31" s="15"/>
      <c r="K31" s="14"/>
      <c r="L31" s="13"/>
      <c r="M31" s="12"/>
      <c r="O31" s="51"/>
    </row>
    <row r="32" spans="1:15" x14ac:dyDescent="0.2">
      <c r="A32" s="18"/>
      <c r="B32" s="59" t="s">
        <v>44</v>
      </c>
      <c r="C32" s="14">
        <f>160/15</f>
        <v>10.666666666666666</v>
      </c>
      <c r="D32" s="17" t="s">
        <v>18</v>
      </c>
      <c r="E32" s="16">
        <v>60.5</v>
      </c>
      <c r="F32" s="15">
        <f t="shared" si="0"/>
        <v>645.33333333333326</v>
      </c>
      <c r="G32" s="14"/>
      <c r="H32" s="17"/>
      <c r="I32" s="16"/>
      <c r="J32" s="15"/>
      <c r="K32" s="14"/>
      <c r="L32" s="13"/>
      <c r="M32" s="12"/>
      <c r="O32" s="51"/>
    </row>
    <row r="33" spans="1:15" x14ac:dyDescent="0.2">
      <c r="A33" s="18"/>
      <c r="B33" s="59"/>
      <c r="C33" s="14"/>
      <c r="D33" s="17"/>
      <c r="E33" s="16"/>
      <c r="F33" s="15"/>
      <c r="G33" s="14"/>
      <c r="H33" s="17"/>
      <c r="I33" s="16"/>
      <c r="J33" s="15"/>
      <c r="K33" s="14"/>
      <c r="L33" s="13"/>
      <c r="M33" s="12"/>
      <c r="O33" s="51"/>
    </row>
    <row r="34" spans="1:15" x14ac:dyDescent="0.2">
      <c r="A34" s="18"/>
      <c r="B34" s="52" t="s">
        <v>22</v>
      </c>
      <c r="C34" s="14">
        <v>12</v>
      </c>
      <c r="D34" s="17" t="s">
        <v>18</v>
      </c>
      <c r="E34" s="16">
        <v>80</v>
      </c>
      <c r="F34" s="15">
        <f t="shared" si="0"/>
        <v>960</v>
      </c>
      <c r="G34" s="14"/>
      <c r="H34" s="17"/>
      <c r="I34" s="16"/>
      <c r="J34" s="15"/>
      <c r="K34" s="14"/>
      <c r="L34" s="13"/>
      <c r="M34" s="12"/>
      <c r="O34" s="51"/>
    </row>
    <row r="35" spans="1:15" x14ac:dyDescent="0.2">
      <c r="A35" s="18"/>
      <c r="B35" s="52" t="s">
        <v>21</v>
      </c>
      <c r="C35" s="14">
        <v>2</v>
      </c>
      <c r="D35" s="17" t="s">
        <v>18</v>
      </c>
      <c r="E35" s="16">
        <v>80</v>
      </c>
      <c r="F35" s="15">
        <f t="shared" si="0"/>
        <v>160</v>
      </c>
      <c r="G35" s="14"/>
      <c r="H35" s="17"/>
      <c r="I35" s="16"/>
      <c r="J35" s="15"/>
      <c r="K35" s="14"/>
      <c r="L35" s="13"/>
      <c r="M35" s="12"/>
      <c r="O35" s="51"/>
    </row>
    <row r="36" spans="1:15" x14ac:dyDescent="0.2">
      <c r="B36" s="5" t="s">
        <v>2</v>
      </c>
      <c r="D36" s="1"/>
      <c r="F36" s="12">
        <f>SUM(F16:F35)</f>
        <v>6657.333333333333</v>
      </c>
      <c r="G36" s="12"/>
      <c r="H36" s="12"/>
      <c r="I36" s="12"/>
      <c r="J36" s="12">
        <f>SUM(J16:J35)</f>
        <v>9858.6400000000012</v>
      </c>
      <c r="K36" s="12">
        <f>SUM(K16:K35)</f>
        <v>0</v>
      </c>
      <c r="L36" s="12">
        <f>SUM(L16:L35)</f>
        <v>0</v>
      </c>
    </row>
    <row r="37" spans="1:15" x14ac:dyDescent="0.2">
      <c r="B37" s="10" t="s">
        <v>1</v>
      </c>
      <c r="D37" s="1"/>
      <c r="E37" s="11">
        <v>0.1</v>
      </c>
      <c r="F37" s="53">
        <f>+E37*F36</f>
        <v>665.73333333333335</v>
      </c>
      <c r="I37" s="11">
        <v>0.1</v>
      </c>
      <c r="J37" s="55">
        <f>+I37*J36</f>
        <v>985.86400000000015</v>
      </c>
      <c r="K37" s="11">
        <v>0.1</v>
      </c>
      <c r="L37" s="53">
        <f>+K37*L36</f>
        <v>0</v>
      </c>
    </row>
    <row r="38" spans="1:15" x14ac:dyDescent="0.2">
      <c r="B38" s="9" t="s">
        <v>15</v>
      </c>
      <c r="D38" s="1"/>
      <c r="F38" s="54">
        <f>F36+F37</f>
        <v>7323.0666666666666</v>
      </c>
      <c r="G38" s="8"/>
      <c r="H38" s="8"/>
      <c r="I38" s="8"/>
      <c r="J38" s="56">
        <f>J36+J37</f>
        <v>10844.504000000001</v>
      </c>
      <c r="K38" s="8"/>
      <c r="L38" s="54">
        <f>L36+L37</f>
        <v>0</v>
      </c>
    </row>
    <row r="39" spans="1:15" ht="13.5" thickBot="1" x14ac:dyDescent="0.25">
      <c r="B39" s="5"/>
      <c r="D39" s="1"/>
      <c r="F39" s="3"/>
      <c r="G39" s="4"/>
      <c r="H39" s="4"/>
      <c r="I39" s="7"/>
      <c r="J39" s="3"/>
      <c r="K39" s="6"/>
      <c r="L39" s="3"/>
    </row>
    <row r="40" spans="1:15" x14ac:dyDescent="0.2">
      <c r="B40" s="2" t="s">
        <v>0</v>
      </c>
      <c r="D40" s="1"/>
    </row>
    <row r="41" spans="1:15" ht="13.5" thickBot="1" x14ac:dyDescent="0.25">
      <c r="B41" s="57">
        <f>F38+J38+L38</f>
        <v>18167.570666666667</v>
      </c>
      <c r="D41" s="1"/>
    </row>
    <row r="43" spans="1:15" x14ac:dyDescent="0.2">
      <c r="A43" s="28"/>
      <c r="B43" s="27"/>
      <c r="C43" s="60" t="s">
        <v>10</v>
      </c>
      <c r="D43" s="60"/>
      <c r="E43" s="60"/>
      <c r="F43" s="60"/>
      <c r="G43" s="26" t="s">
        <v>9</v>
      </c>
      <c r="H43" s="25"/>
      <c r="I43" s="25"/>
      <c r="J43" s="58" t="s">
        <v>19</v>
      </c>
      <c r="K43" s="24" t="s">
        <v>8</v>
      </c>
      <c r="L43" s="23"/>
    </row>
    <row r="44" spans="1:15" x14ac:dyDescent="0.2">
      <c r="A44" s="22" t="s">
        <v>7</v>
      </c>
      <c r="B44" s="21" t="s">
        <v>6</v>
      </c>
      <c r="C44" s="19" t="s">
        <v>16</v>
      </c>
      <c r="D44" s="19" t="s">
        <v>4</v>
      </c>
      <c r="E44" s="19" t="s">
        <v>5</v>
      </c>
      <c r="F44" s="20" t="s">
        <v>3</v>
      </c>
      <c r="G44" s="19" t="s">
        <v>16</v>
      </c>
      <c r="H44" s="19" t="s">
        <v>4</v>
      </c>
      <c r="I44" s="19" t="s">
        <v>5</v>
      </c>
      <c r="J44" s="20" t="s">
        <v>3</v>
      </c>
      <c r="K44" s="19" t="s">
        <v>4</v>
      </c>
      <c r="L44" s="19" t="s">
        <v>3</v>
      </c>
    </row>
    <row r="45" spans="1:15" x14ac:dyDescent="0.2">
      <c r="A45" s="18"/>
      <c r="B45" s="59" t="s">
        <v>38</v>
      </c>
      <c r="C45" s="14">
        <v>8</v>
      </c>
      <c r="D45" s="17" t="s">
        <v>18</v>
      </c>
      <c r="E45" s="16">
        <v>60.5</v>
      </c>
      <c r="F45" s="15">
        <f>C45*E45</f>
        <v>484</v>
      </c>
      <c r="G45" s="14"/>
      <c r="H45" s="17"/>
      <c r="I45" s="16"/>
      <c r="J45" s="15"/>
      <c r="K45" s="14"/>
      <c r="L45" s="13"/>
      <c r="M45" s="12"/>
      <c r="O45" s="51"/>
    </row>
    <row r="46" spans="1:15" x14ac:dyDescent="0.2">
      <c r="A46" s="18"/>
      <c r="B46" s="59" t="s">
        <v>39</v>
      </c>
      <c r="C46" s="14"/>
      <c r="D46" s="17"/>
      <c r="E46" s="16"/>
      <c r="F46" s="15"/>
      <c r="G46" s="14">
        <v>8</v>
      </c>
      <c r="H46" s="17" t="s">
        <v>23</v>
      </c>
      <c r="I46" s="16">
        <v>20</v>
      </c>
      <c r="J46" s="15">
        <f>G46*I46</f>
        <v>160</v>
      </c>
      <c r="K46" s="14"/>
      <c r="L46" s="13"/>
      <c r="M46" s="12"/>
      <c r="O46" s="51"/>
    </row>
    <row r="47" spans="1:15" x14ac:dyDescent="0.2">
      <c r="A47" s="18"/>
      <c r="B47" s="59"/>
      <c r="C47" s="14"/>
      <c r="D47" s="17"/>
      <c r="E47" s="16"/>
      <c r="F47" s="15"/>
      <c r="G47" s="14"/>
      <c r="H47" s="17"/>
      <c r="I47" s="16"/>
      <c r="J47" s="15"/>
      <c r="K47" s="14"/>
      <c r="L47" s="13"/>
      <c r="M47" s="12"/>
      <c r="O47" s="51"/>
    </row>
    <row r="48" spans="1:15" x14ac:dyDescent="0.2">
      <c r="A48" s="18"/>
      <c r="B48" s="52" t="s">
        <v>22</v>
      </c>
      <c r="C48" s="14">
        <v>3</v>
      </c>
      <c r="D48" s="17" t="s">
        <v>18</v>
      </c>
      <c r="E48" s="16">
        <v>80</v>
      </c>
      <c r="F48" s="15">
        <f t="shared" ref="F48" si="2">C48*E48</f>
        <v>240</v>
      </c>
      <c r="G48" s="14"/>
      <c r="H48" s="17"/>
      <c r="I48" s="16"/>
      <c r="J48" s="15"/>
      <c r="K48" s="14"/>
      <c r="L48" s="13"/>
      <c r="M48" s="12"/>
      <c r="O48" s="51"/>
    </row>
    <row r="49" spans="1:15" x14ac:dyDescent="0.2">
      <c r="B49" s="5" t="s">
        <v>2</v>
      </c>
      <c r="D49" s="1"/>
      <c r="F49" s="12">
        <f>SUM(F45:F48)</f>
        <v>724</v>
      </c>
      <c r="G49" s="12"/>
      <c r="H49" s="12"/>
      <c r="I49" s="12"/>
      <c r="J49" s="12">
        <f>SUM(J45:J48)</f>
        <v>160</v>
      </c>
      <c r="K49" s="12">
        <f>SUM(K45:K48)</f>
        <v>0</v>
      </c>
      <c r="L49" s="12">
        <f>SUM(L45:L48)</f>
        <v>0</v>
      </c>
    </row>
    <row r="50" spans="1:15" x14ac:dyDescent="0.2">
      <c r="B50" s="10" t="s">
        <v>1</v>
      </c>
      <c r="D50" s="1"/>
      <c r="E50" s="11">
        <v>0.1</v>
      </c>
      <c r="F50" s="53">
        <f>+E50*F49</f>
        <v>72.400000000000006</v>
      </c>
      <c r="I50" s="11">
        <v>0.1</v>
      </c>
      <c r="J50" s="55">
        <f>+I50*J49</f>
        <v>16</v>
      </c>
      <c r="K50" s="11">
        <v>0.1</v>
      </c>
      <c r="L50" s="53">
        <f>+K50*L49</f>
        <v>0</v>
      </c>
    </row>
    <row r="51" spans="1:15" x14ac:dyDescent="0.2">
      <c r="B51" s="9" t="s">
        <v>15</v>
      </c>
      <c r="D51" s="1"/>
      <c r="F51" s="54">
        <f>F49+F50</f>
        <v>796.4</v>
      </c>
      <c r="G51" s="8"/>
      <c r="H51" s="8"/>
      <c r="I51" s="8"/>
      <c r="J51" s="56">
        <f>J49+J50</f>
        <v>176</v>
      </c>
      <c r="K51" s="8"/>
      <c r="L51" s="54">
        <f>L49+L50</f>
        <v>0</v>
      </c>
    </row>
    <row r="52" spans="1:15" ht="13.5" thickBot="1" x14ac:dyDescent="0.25">
      <c r="B52" s="5"/>
      <c r="D52" s="1"/>
      <c r="F52" s="3"/>
      <c r="G52" s="4"/>
      <c r="H52" s="4"/>
      <c r="I52" s="7"/>
      <c r="J52" s="3"/>
      <c r="K52" s="6"/>
      <c r="L52" s="3"/>
    </row>
    <row r="53" spans="1:15" x14ac:dyDescent="0.2">
      <c r="B53" s="2" t="s">
        <v>0</v>
      </c>
      <c r="D53" s="1"/>
    </row>
    <row r="54" spans="1:15" ht="13.5" thickBot="1" x14ac:dyDescent="0.25">
      <c r="B54" s="57">
        <f>F51+J51+L51</f>
        <v>972.4</v>
      </c>
      <c r="D54" s="1"/>
    </row>
    <row r="56" spans="1:15" ht="6" customHeight="1" x14ac:dyDescent="0.2">
      <c r="D56" s="1"/>
      <c r="E56" s="32"/>
      <c r="F56" s="31"/>
      <c r="G56" s="30"/>
      <c r="H56" s="30"/>
      <c r="I56" s="30"/>
      <c r="J56" s="29"/>
    </row>
    <row r="57" spans="1:15" x14ac:dyDescent="0.2">
      <c r="A57" s="28"/>
      <c r="B57" s="27"/>
      <c r="C57" s="60" t="s">
        <v>10</v>
      </c>
      <c r="D57" s="60"/>
      <c r="E57" s="60"/>
      <c r="F57" s="60"/>
      <c r="G57" s="26" t="s">
        <v>9</v>
      </c>
      <c r="H57" s="25"/>
      <c r="I57" s="25"/>
      <c r="J57" s="58" t="s">
        <v>19</v>
      </c>
      <c r="K57" s="24" t="s">
        <v>8</v>
      </c>
      <c r="L57" s="23"/>
    </row>
    <row r="58" spans="1:15" x14ac:dyDescent="0.2">
      <c r="A58" s="22" t="s">
        <v>7</v>
      </c>
      <c r="B58" s="21" t="s">
        <v>6</v>
      </c>
      <c r="C58" s="19" t="s">
        <v>16</v>
      </c>
      <c r="D58" s="19" t="s">
        <v>4</v>
      </c>
      <c r="E58" s="19" t="s">
        <v>5</v>
      </c>
      <c r="F58" s="20" t="s">
        <v>3</v>
      </c>
      <c r="G58" s="19" t="s">
        <v>16</v>
      </c>
      <c r="H58" s="19" t="s">
        <v>4</v>
      </c>
      <c r="I58" s="19" t="s">
        <v>5</v>
      </c>
      <c r="J58" s="20" t="s">
        <v>3</v>
      </c>
      <c r="K58" s="19" t="s">
        <v>4</v>
      </c>
      <c r="L58" s="19" t="s">
        <v>3</v>
      </c>
    </row>
    <row r="59" spans="1:15" x14ac:dyDescent="0.2">
      <c r="A59" s="18"/>
      <c r="B59" s="59" t="s">
        <v>36</v>
      </c>
      <c r="C59" s="14">
        <v>24</v>
      </c>
      <c r="D59" s="17" t="s">
        <v>18</v>
      </c>
      <c r="E59" s="16">
        <v>60.5</v>
      </c>
      <c r="F59" s="15">
        <f>C59*E59</f>
        <v>1452</v>
      </c>
      <c r="G59" s="14"/>
      <c r="H59" s="17"/>
      <c r="I59" s="16"/>
      <c r="J59" s="15"/>
      <c r="K59" s="14"/>
      <c r="L59" s="13"/>
      <c r="M59" s="12"/>
      <c r="O59" s="51"/>
    </row>
    <row r="60" spans="1:15" x14ac:dyDescent="0.2">
      <c r="A60" s="18"/>
      <c r="B60" s="59" t="s">
        <v>37</v>
      </c>
      <c r="C60" s="14"/>
      <c r="D60" s="17"/>
      <c r="E60" s="16"/>
      <c r="F60" s="15"/>
      <c r="G60" s="14">
        <v>132</v>
      </c>
      <c r="H60" s="17" t="s">
        <v>26</v>
      </c>
      <c r="I60" s="16">
        <v>1.93</v>
      </c>
      <c r="J60" s="15">
        <f>G60*I60</f>
        <v>254.76</v>
      </c>
      <c r="K60" s="14"/>
      <c r="L60" s="13"/>
      <c r="M60" s="12"/>
      <c r="O60" s="51"/>
    </row>
    <row r="61" spans="1:15" x14ac:dyDescent="0.2">
      <c r="A61" s="18"/>
      <c r="B61" s="59" t="s">
        <v>45</v>
      </c>
      <c r="C61" s="14"/>
      <c r="D61" s="17"/>
      <c r="E61" s="16"/>
      <c r="F61" s="15"/>
      <c r="G61" s="14">
        <v>1</v>
      </c>
      <c r="H61" s="17" t="s">
        <v>20</v>
      </c>
      <c r="I61" s="16">
        <v>450</v>
      </c>
      <c r="J61" s="15">
        <f>G61*I61</f>
        <v>450</v>
      </c>
      <c r="K61" s="14"/>
      <c r="L61" s="13"/>
      <c r="M61" s="12"/>
      <c r="O61" s="51"/>
    </row>
    <row r="62" spans="1:15" x14ac:dyDescent="0.2">
      <c r="A62" s="18"/>
      <c r="B62" s="59"/>
      <c r="C62" s="14"/>
      <c r="D62" s="17"/>
      <c r="E62" s="16"/>
      <c r="F62" s="15"/>
      <c r="G62" s="14"/>
      <c r="H62" s="17"/>
      <c r="I62" s="16"/>
      <c r="J62" s="15"/>
      <c r="K62" s="14"/>
      <c r="L62" s="13"/>
      <c r="M62" s="12"/>
      <c r="O62" s="51"/>
    </row>
    <row r="63" spans="1:15" x14ac:dyDescent="0.2">
      <c r="A63" s="18"/>
      <c r="B63" s="52" t="s">
        <v>22</v>
      </c>
      <c r="C63" s="14">
        <v>4</v>
      </c>
      <c r="D63" s="17" t="s">
        <v>18</v>
      </c>
      <c r="E63" s="16">
        <v>80</v>
      </c>
      <c r="F63" s="15">
        <f t="shared" ref="F63" si="3">C63*E63</f>
        <v>320</v>
      </c>
      <c r="G63" s="14"/>
      <c r="H63" s="17"/>
      <c r="I63" s="16"/>
      <c r="J63" s="15"/>
      <c r="K63" s="14"/>
      <c r="L63" s="13"/>
      <c r="M63" s="12"/>
      <c r="O63" s="51"/>
    </row>
    <row r="64" spans="1:15" x14ac:dyDescent="0.2">
      <c r="B64" s="5" t="s">
        <v>2</v>
      </c>
      <c r="D64" s="1"/>
      <c r="F64" s="12">
        <f>SUM(F59:F63)</f>
        <v>1772</v>
      </c>
      <c r="G64" s="12"/>
      <c r="H64" s="12"/>
      <c r="I64" s="12"/>
      <c r="J64" s="12">
        <f>SUM(J59:J63)</f>
        <v>704.76</v>
      </c>
      <c r="K64" s="12">
        <f>SUM(K59:K63)</f>
        <v>0</v>
      </c>
      <c r="L64" s="12">
        <f>SUM(L59:L63)</f>
        <v>0</v>
      </c>
    </row>
    <row r="65" spans="2:12" x14ac:dyDescent="0.2">
      <c r="B65" s="10" t="s">
        <v>1</v>
      </c>
      <c r="D65" s="1"/>
      <c r="E65" s="11">
        <v>0.1</v>
      </c>
      <c r="F65" s="53">
        <f>+E65*F64</f>
        <v>177.20000000000002</v>
      </c>
      <c r="I65" s="11">
        <v>0.1</v>
      </c>
      <c r="J65" s="55">
        <f>+I65*J64</f>
        <v>70.475999999999999</v>
      </c>
      <c r="K65" s="11">
        <v>0.1</v>
      </c>
      <c r="L65" s="53">
        <f>+K65*L64</f>
        <v>0</v>
      </c>
    </row>
    <row r="66" spans="2:12" x14ac:dyDescent="0.2">
      <c r="B66" s="9" t="s">
        <v>15</v>
      </c>
      <c r="D66" s="1"/>
      <c r="F66" s="54">
        <f>F64+F65</f>
        <v>1949.2</v>
      </c>
      <c r="G66" s="8"/>
      <c r="H66" s="8"/>
      <c r="I66" s="8"/>
      <c r="J66" s="56">
        <f>J64+J65</f>
        <v>775.23599999999999</v>
      </c>
      <c r="K66" s="8"/>
      <c r="L66" s="54">
        <f>L64+L65</f>
        <v>0</v>
      </c>
    </row>
    <row r="67" spans="2:12" ht="13.5" thickBot="1" x14ac:dyDescent="0.25">
      <c r="B67" s="5"/>
      <c r="D67" s="1"/>
      <c r="F67" s="3"/>
      <c r="G67" s="4"/>
      <c r="H67" s="4"/>
      <c r="I67" s="7"/>
      <c r="J67" s="3"/>
      <c r="K67" s="6"/>
      <c r="L67" s="3"/>
    </row>
    <row r="68" spans="2:12" x14ac:dyDescent="0.2">
      <c r="B68" s="2" t="s">
        <v>0</v>
      </c>
      <c r="D68" s="1"/>
    </row>
    <row r="69" spans="2:12" ht="13.5" thickBot="1" x14ac:dyDescent="0.25">
      <c r="B69" s="57">
        <f>F66+J66+L66</f>
        <v>2724.4360000000001</v>
      </c>
      <c r="D69" s="1"/>
    </row>
  </sheetData>
  <mergeCells count="7">
    <mergeCell ref="C43:F43"/>
    <mergeCell ref="C57:F57"/>
    <mergeCell ref="I1:L1"/>
    <mergeCell ref="I2:L2"/>
    <mergeCell ref="C14:F14"/>
    <mergeCell ref="A4:L4"/>
    <mergeCell ref="A5:L7"/>
  </mergeCells>
  <pageMargins left="0.75" right="0.75" top="1" bottom="1" header="0.5" footer="0.5"/>
  <pageSetup scale="73"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2016-05-20T15:40:33Z</cp:lastPrinted>
  <dcterms:created xsi:type="dcterms:W3CDTF">2014-07-14T23:11:07Z</dcterms:created>
  <dcterms:modified xsi:type="dcterms:W3CDTF">2016-05-20T16:28:37Z</dcterms:modified>
</cp:coreProperties>
</file>