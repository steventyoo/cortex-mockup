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COR's\"/>
    </mc:Choice>
  </mc:AlternateContent>
  <bookViews>
    <workbookView xWindow="0" yWindow="0" windowWidth="28800" windowHeight="13020"/>
  </bookViews>
  <sheets>
    <sheet name="CGC BP " sheetId="1" r:id="rId1"/>
  </sheets>
  <definedNames>
    <definedName name="_xlnm.Print_Area" localSheetId="0">'CGC BP '!$A$14:$L$29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2" i="1" l="1"/>
  <c r="J82" i="1"/>
  <c r="F81" i="1"/>
  <c r="F80" i="1"/>
  <c r="J79" i="1"/>
  <c r="F79" i="1"/>
  <c r="J78" i="1"/>
  <c r="F78" i="1"/>
  <c r="F77" i="1"/>
  <c r="F76" i="1"/>
  <c r="L103" i="1"/>
  <c r="L104" i="1" s="1"/>
  <c r="L105" i="1" s="1"/>
  <c r="F102" i="1"/>
  <c r="J100" i="1"/>
  <c r="F100" i="1"/>
  <c r="J99" i="1"/>
  <c r="F99" i="1"/>
  <c r="F98" i="1"/>
  <c r="J97" i="1"/>
  <c r="J96" i="1"/>
  <c r="F96" i="1"/>
  <c r="F95" i="1"/>
  <c r="F93" i="1"/>
  <c r="L64" i="1"/>
  <c r="F51" i="1"/>
  <c r="J103" i="1" l="1"/>
  <c r="J104" i="1" s="1"/>
  <c r="J105" i="1" s="1"/>
  <c r="F82" i="1"/>
  <c r="F83" i="1" s="1"/>
  <c r="F84" i="1" s="1"/>
  <c r="J83" i="1"/>
  <c r="J84" i="1" s="1"/>
  <c r="L83" i="1"/>
  <c r="L84" i="1" s="1"/>
  <c r="F103" i="1"/>
  <c r="F104" i="1" s="1"/>
  <c r="F105" i="1" s="1"/>
  <c r="B87" i="1" l="1"/>
  <c r="B108" i="1"/>
  <c r="J61" i="1" l="1"/>
  <c r="F61" i="1"/>
  <c r="J60" i="1"/>
  <c r="F60" i="1"/>
  <c r="J58" i="1" l="1"/>
  <c r="J57" i="1" l="1"/>
  <c r="F57" i="1"/>
  <c r="J56" i="1"/>
  <c r="F56" i="1"/>
  <c r="G54" i="1"/>
  <c r="J54" i="1" s="1"/>
  <c r="F63" i="1"/>
  <c r="F59" i="1"/>
  <c r="J55" i="1"/>
  <c r="F55" i="1"/>
  <c r="F54" i="1"/>
  <c r="F53" i="1"/>
  <c r="L40" i="1"/>
  <c r="F39" i="1"/>
  <c r="F38" i="1"/>
  <c r="J37" i="1"/>
  <c r="J40" i="1" s="1"/>
  <c r="F37" i="1"/>
  <c r="J36" i="1"/>
  <c r="F36" i="1"/>
  <c r="F35" i="1"/>
  <c r="F34" i="1"/>
  <c r="J64" i="1" l="1"/>
  <c r="F64" i="1"/>
  <c r="F40" i="1"/>
  <c r="J65" i="1"/>
  <c r="J66" i="1" s="1"/>
  <c r="F65" i="1"/>
  <c r="F66" i="1" s="1"/>
  <c r="L65" i="1"/>
  <c r="L66" i="1" s="1"/>
  <c r="F41" i="1"/>
  <c r="F42" i="1" s="1"/>
  <c r="J41" i="1"/>
  <c r="J42" i="1" s="1"/>
  <c r="L41" i="1"/>
  <c r="L42" i="1" s="1"/>
  <c r="B69" i="1" l="1"/>
  <c r="B45" i="1"/>
  <c r="F18" i="1" l="1"/>
  <c r="F21" i="1"/>
  <c r="J20" i="1"/>
  <c r="F20" i="1"/>
  <c r="F17" i="1" l="1"/>
  <c r="L23" i="1" l="1"/>
  <c r="L24" i="1" s="1"/>
  <c r="L25" i="1" l="1"/>
  <c r="F19" i="1" l="1"/>
  <c r="F22" i="1"/>
  <c r="F23" i="1" l="1"/>
  <c r="F24" i="1" s="1"/>
  <c r="F25" i="1" s="1"/>
  <c r="J19" i="1"/>
  <c r="J23" i="1" s="1"/>
  <c r="J24" i="1" l="1"/>
  <c r="J25" i="1" l="1"/>
  <c r="B28" i="1" s="1"/>
</calcChain>
</file>

<file path=xl/sharedStrings.xml><?xml version="1.0" encoding="utf-8"?>
<sst xmlns="http://schemas.openxmlformats.org/spreadsheetml/2006/main" count="212" uniqueCount="50">
  <si>
    <t>Total this page</t>
  </si>
  <si>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</si>
  <si>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</si>
  <si>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</si>
  <si>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</si>
  <si>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</si>
  <si>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</si>
  <si>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</si>
  <si>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</si>
  <si>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</si>
  <si>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</si>
  <si>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</si>
  <si>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</si>
  <si>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</si>
  <si>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</si>
  <si>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Totals</t>
  </si>
  <si>
    <t>Quan</t>
  </si>
  <si>
    <t>LF</t>
  </si>
  <si>
    <t>2023 LEGACY APARTMENTS</t>
  </si>
  <si>
    <t>HRS</t>
  </si>
  <si>
    <t>Material</t>
  </si>
  <si>
    <t>LAYOUT/COORDINATE WITH EXCAVATOR</t>
  </si>
  <si>
    <t>SUPERVISION</t>
  </si>
  <si>
    <t>CAD / AS BUILTING</t>
  </si>
  <si>
    <t>CORE DRILL</t>
  </si>
  <si>
    <t>LS</t>
  </si>
  <si>
    <t>INSTALL 2" PIPING UNDERGROUND DUE TO GAS METER LOCATION CHANGE</t>
  </si>
  <si>
    <t>2" GAS PIPING</t>
  </si>
  <si>
    <t>FITTINGS</t>
  </si>
  <si>
    <t>4" SLEEVING &amp; FITTINGS</t>
  </si>
  <si>
    <t>2" GAS PIPING &amp; FITTINGS</t>
  </si>
  <si>
    <t>4" PVC SLEEVING &amp; FITTINGS</t>
  </si>
  <si>
    <t>INSTALL 2" PIPING UNDERGROUND FOR RETAIL AREA (ASSUMES METER IS INSTALLED IN RETAIL AREAS)</t>
  </si>
  <si>
    <t>LAYOUT</t>
  </si>
  <si>
    <t>PROSET PENETRATIONS</t>
  </si>
  <si>
    <t>SHUTOFF VALVES</t>
  </si>
  <si>
    <t>1-1/2" GAS PIPING</t>
  </si>
  <si>
    <t>1-1/4" GAS PIPING</t>
  </si>
  <si>
    <t>1" GAS PIPING</t>
  </si>
  <si>
    <t>SCISSOR LIFT</t>
  </si>
  <si>
    <t>EA</t>
  </si>
  <si>
    <t>ENGINEERING - BRETT MORTIMORE</t>
  </si>
  <si>
    <t>CAD DETAILING - FRANKLIN ENGINEERING</t>
  </si>
  <si>
    <t>EXCLUDES: SUPPLY AN DINSTALL OF METERS, PRESSURE REGULATORS, FLEX CONNECTIONS, WATERPROOFING</t>
  </si>
  <si>
    <t>INSTALL OVERHEAD GAS PIPING TO RETAIL AREAS - ONE MAINLINE</t>
  </si>
  <si>
    <t>INSTALL OVERHEAD GAS PIPING TO RETAIL AREAS - SEPARATE MAINLINES</t>
  </si>
  <si>
    <t>INSTALL SEPARATE GAS CONNECTIONS FOR EACH RETAIL AREA</t>
  </si>
  <si>
    <t>3/4" GAS PIPING &amp; FITTINGS</t>
  </si>
  <si>
    <t>3" SLEEVING &amp; FITTINGS</t>
  </si>
  <si>
    <t>3/4" GAS PIPING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</si>
</sst>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&quot;$&quot;#,##0"/>
    <numFmt numFmtId="168" formatCode="0.0_);[Red]\(0.0\)"/>
  </numFmts>
  <fonts count="10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  <font>
      <b/>
      <sz val="18"/>
      <name val="MS Sans Serif"/>
      <family val="2"/>
    </font>
    <font>
      <b/>
      <sz val="10"/>
      <name val="MS Sans Serif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3" fillId="0" borderId="0" applyFont="0" applyFill="0" applyBorder="0" applyAlignment="0" applyProtection="0"/>
    <xf numFmtId="0" fontId="4" fillId="0" borderId="0"/>
  </cellStyleXfs>
  <cellXfs count="80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/>
    <xf numFmtId="164" fontId="0" fillId="0" borderId="0" xfId="0" applyNumberFormat="1" applyFill="1"/>
    <xf numFmtId="0" fontId="0" fillId="0" borderId="0" xfId="0" applyFill="1"/>
    <xf numFmtId="0" fontId="1" fillId="0" borderId="0" xfId="0" applyFont="1" applyAlignment="1">
      <alignment horizontal="right"/>
    </xf>
    <xf numFmtId="164" fontId="0" fillId="0" borderId="0" xfId="0" applyNumberFormat="1" applyFill="1" applyBorder="1"/>
    <xf numFmtId="0" fontId="2" fillId="0" borderId="0" xfId="0" applyFont="1" applyFill="1" applyAlignment="1">
      <alignment horizontal="right"/>
    </xf>
    <xf numFmtId="8" fontId="1" fillId="2" borderId="0" xfId="1" applyFont="1" applyFill="1"/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/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vertical="top" wrapText="1"/>
    </xf>
    <xf numFmtId="164" fontId="6" fillId="0" borderId="3" xfId="0" applyNumberFormat="1" applyFont="1" applyBorder="1" applyAlignment="1">
      <alignment vertical="top" wrapText="1"/>
    </xf>
    <xf numFmtId="166" fontId="6" fillId="0" borderId="3" xfId="0" applyNumberFormat="1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Continuous"/>
    </xf>
    <xf numFmtId="0" fontId="1" fillId="3" borderId="7" xfId="0" applyFont="1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0" fillId="0" borderId="8" xfId="0" applyBorder="1"/>
    <xf numFmtId="0" fontId="0" fillId="0" borderId="9" xfId="0" applyBorder="1"/>
    <xf numFmtId="0" fontId="4" fillId="0" borderId="0" xfId="2" applyFont="1" applyAlignment="1">
      <alignment vertical="center"/>
    </xf>
    <xf numFmtId="14" fontId="1" fillId="0" borderId="10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11" xfId="2" applyFont="1" applyBorder="1" applyAlignment="1">
      <alignment horizontal="left"/>
    </xf>
    <xf numFmtId="0" fontId="1" fillId="0" borderId="12" xfId="2" applyFont="1" applyBorder="1" applyAlignment="1">
      <alignment horizontal="left"/>
    </xf>
    <xf numFmtId="14" fontId="1" fillId="0" borderId="12" xfId="2" applyNumberFormat="1" applyFont="1" applyBorder="1" applyAlignment="1">
      <alignment horizontal="left"/>
    </xf>
    <xf numFmtId="0" fontId="4" fillId="0" borderId="12" xfId="2" applyFont="1" applyBorder="1" applyAlignment="1">
      <alignment horizontal="center"/>
    </xf>
    <xf numFmtId="0" fontId="1" fillId="0" borderId="12" xfId="2" applyFont="1" applyBorder="1" applyAlignment="1">
      <alignment horizontal="left" vertic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1" fillId="0" borderId="14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5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8" fontId="8" fillId="0" borderId="0" xfId="0" applyNumberFormat="1" applyFont="1"/>
    <xf numFmtId="8" fontId="0" fillId="0" borderId="0" xfId="0" applyNumberFormat="1" applyFont="1"/>
    <xf numFmtId="0" fontId="6" fillId="0" borderId="3" xfId="0" applyFont="1" applyBorder="1" applyAlignment="1">
      <alignment horizontal="left" vertical="top"/>
    </xf>
    <xf numFmtId="6" fontId="4" fillId="0" borderId="0" xfId="1" applyNumberFormat="1" applyFont="1"/>
    <xf numFmtId="6" fontId="1" fillId="2" borderId="0" xfId="1" applyNumberFormat="1" applyFont="1" applyFill="1"/>
    <xf numFmtId="164" fontId="4" fillId="0" borderId="0" xfId="1" applyNumberFormat="1" applyFont="1"/>
    <xf numFmtId="164" fontId="1" fillId="2" borderId="0" xfId="1" applyNumberFormat="1" applyFont="1" applyFill="1"/>
    <xf numFmtId="6" fontId="1" fillId="2" borderId="1" xfId="1" applyNumberFormat="1" applyFont="1" applyFill="1" applyBorder="1"/>
    <xf numFmtId="167" fontId="1" fillId="4" borderId="7" xfId="0" applyNumberFormat="1" applyFont="1" applyFill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1" fillId="5" borderId="3" xfId="0" applyFont="1" applyFill="1" applyBorder="1" applyAlignment="1">
      <alignment horizont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7" fillId="0" borderId="12" xfId="0" applyFont="1" applyBorder="1" applyAlignment="1">
      <alignment horizontal="center"/>
    </xf>
    <xf numFmtId="0" fontId="2" fillId="6" borderId="18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168" fontId="6" fillId="0" borderId="3" xfId="0" applyNumberFormat="1" applyFont="1" applyBorder="1" applyAlignment="1">
      <alignment horizontal="right" vertical="top" wrapText="1"/>
    </xf>
    <xf numFmtId="166" fontId="6" fillId="0" borderId="3" xfId="0" applyNumberFormat="1" applyFont="1" applyBorder="1" applyAlignment="1">
      <alignment horizontal="right" vertical="top" wrapText="1"/>
    </xf>
    <xf numFmtId="8" fontId="0" fillId="0" borderId="0" xfId="0" applyNumberFormat="1"/>
    <xf numFmtId="165" fontId="6" fillId="0" borderId="3" xfId="0" applyNumberFormat="1" applyFont="1" applyBorder="1" applyAlignment="1">
      <alignment horizontal="right" vertical="top" wrapText="1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GAS PIPING CHANGES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09"/>
  <sheetViews>
    <sheetView tabSelected="1" topLeftCell="A79" zoomScale="130" zoomScaleNormal="130" workbookViewId="0">
      <selection activeCell="F103" sqref="F103:L103"/>
    </sheetView>
  </sheetViews>
  <sheetFormatPr defaultRowHeight="12.75" x14ac:dyDescent="0.2"/>
  <cols>
    <col min="1" max="1" width="4.5703125" bestFit="1" customWidth="1"/>
    <col min="2" max="2" width="33.140625" customWidth="1"/>
    <col min="3" max="3" width="5" customWidth="1"/>
    <col min="4" max="4" width="5.140625" customWidth="1"/>
    <col min="5" max="5" width="7.85546875" customWidth="1"/>
    <col min="6" max="6" width="8.7109375" customWidth="1"/>
    <col min="7" max="7" width="5" customWidth="1"/>
    <col min="8" max="8" width="5.140625" customWidth="1"/>
    <col min="9" max="9" width="8.28515625" customWidth="1"/>
    <col min="10" max="10" width="9" customWidth="1"/>
    <col min="11" max="11" width="8" bestFit="1" customWidth="1"/>
    <col min="12" max="12" width="10.85546875" customWidth="1"/>
    <col min="13" max="13" width="11" customWidth="1"/>
    <col min="15" max="15" width="13" customWidth="1"/>
  </cols>
  <sheetData>
    <row r="1" spans="1:15" x14ac:dyDescent="0.2">
      <c r="D1" s="1"/>
      <c r="H1" s="52" t="s">
        <v>13</v>
      </c>
      <c r="I1" s="64" t="s">
        <v>18</v>
      </c>
      <c r="J1" s="64"/>
      <c r="K1" s="64"/>
      <c r="L1" s="64"/>
    </row>
    <row r="2" spans="1:15" x14ac:dyDescent="0.2">
      <c r="D2" s="1"/>
      <c r="G2" s="34"/>
      <c r="H2" s="51" t="s">
        <v>12</v>
      </c>
      <c r="I2" s="65">
        <v>42087</v>
      </c>
      <c r="J2" s="64"/>
      <c r="K2" s="64"/>
      <c r="L2" s="64"/>
    </row>
    <row r="3" spans="1:15" x14ac:dyDescent="0.2">
      <c r="D3" s="1"/>
      <c r="G3" s="34"/>
      <c r="H3" s="51" t="s">
        <v>14</v>
      </c>
      <c r="I3" s="50"/>
      <c r="J3" s="35"/>
      <c r="K3" s="35"/>
      <c r="L3" s="35"/>
    </row>
    <row r="4" spans="1:15" ht="24" thickBot="1" x14ac:dyDescent="0.4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</row>
    <row r="5" spans="1:15" ht="4.5" customHeight="1" x14ac:dyDescent="0.2">
      <c r="A5" s="67" t="s">
        <v>11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9"/>
    </row>
    <row r="6" spans="1:15" ht="12.75" customHeight="1" x14ac:dyDescent="0.2">
      <c r="A6" s="70"/>
      <c r="B6" s="71"/>
      <c r="C6" s="71"/>
      <c r="D6" s="71"/>
      <c r="E6" s="71"/>
      <c r="F6" s="71"/>
      <c r="G6" s="71"/>
      <c r="H6" s="71"/>
      <c r="I6" s="71"/>
      <c r="J6" s="71"/>
      <c r="K6" s="71"/>
      <c r="L6" s="72"/>
    </row>
    <row r="7" spans="1:15" ht="4.5" customHeight="1" thickBot="1" x14ac:dyDescent="0.25">
      <c r="A7" s="73"/>
      <c r="B7" s="74"/>
      <c r="C7" s="74"/>
      <c r="D7" s="74"/>
      <c r="E7" s="74"/>
      <c r="F7" s="74"/>
      <c r="G7" s="74"/>
      <c r="H7" s="74"/>
      <c r="I7" s="74"/>
      <c r="J7" s="74"/>
      <c r="K7" s="74"/>
      <c r="L7" s="75"/>
    </row>
    <row r="8" spans="1:15" x14ac:dyDescent="0.2">
      <c r="A8" s="49"/>
      <c r="B8" s="47"/>
      <c r="C8" s="47"/>
      <c r="D8" s="48"/>
      <c r="E8" s="47"/>
      <c r="F8" s="47"/>
      <c r="G8" s="34"/>
      <c r="H8" s="46"/>
      <c r="I8" s="36"/>
      <c r="J8" s="35"/>
      <c r="K8" s="35"/>
      <c r="L8" s="45"/>
    </row>
    <row r="9" spans="1:15" x14ac:dyDescent="0.2">
      <c r="A9" s="49"/>
      <c r="B9" s="47"/>
      <c r="C9" s="47"/>
      <c r="D9" s="48"/>
      <c r="E9" s="47"/>
      <c r="F9" s="47"/>
      <c r="G9" s="34"/>
      <c r="H9" s="46"/>
      <c r="I9" s="36"/>
      <c r="J9" s="35"/>
      <c r="K9" s="35"/>
      <c r="L9" s="45"/>
    </row>
    <row r="10" spans="1:15" x14ac:dyDescent="0.2">
      <c r="A10" s="49"/>
      <c r="B10" s="47"/>
      <c r="C10" s="47"/>
      <c r="D10" s="48"/>
      <c r="E10" s="47"/>
      <c r="F10" s="47"/>
      <c r="G10" s="34"/>
      <c r="H10" s="46"/>
      <c r="I10" s="36"/>
      <c r="J10" s="35"/>
      <c r="K10" s="35"/>
      <c r="L10" s="45"/>
    </row>
    <row r="11" spans="1:15" ht="13.5" thickBot="1" x14ac:dyDescent="0.25">
      <c r="A11" s="44"/>
      <c r="B11" s="42"/>
      <c r="C11" s="42"/>
      <c r="D11" s="43"/>
      <c r="E11" s="42"/>
      <c r="F11" s="42"/>
      <c r="G11" s="41"/>
      <c r="H11" s="40"/>
      <c r="I11" s="39"/>
      <c r="J11" s="38"/>
      <c r="K11" s="38"/>
      <c r="L11" s="37"/>
    </row>
    <row r="12" spans="1:15" ht="6" customHeight="1" x14ac:dyDescent="0.2">
      <c r="D12" s="1"/>
      <c r="G12" s="34"/>
      <c r="H12" s="33"/>
      <c r="I12" s="36"/>
      <c r="J12" s="35"/>
      <c r="K12" s="35"/>
      <c r="L12" s="35"/>
    </row>
    <row r="13" spans="1:15" ht="6" customHeight="1" x14ac:dyDescent="0.2">
      <c r="D13" s="1"/>
      <c r="E13" s="34"/>
      <c r="F13" s="33"/>
      <c r="G13" s="32"/>
      <c r="H13" s="32"/>
      <c r="I13" s="32"/>
      <c r="J13" s="31"/>
    </row>
    <row r="14" spans="1:15" x14ac:dyDescent="0.2">
      <c r="A14" s="30"/>
      <c r="B14" s="29"/>
      <c r="C14" s="63" t="s">
        <v>10</v>
      </c>
      <c r="D14" s="63"/>
      <c r="E14" s="63"/>
      <c r="F14" s="63"/>
      <c r="G14" s="28" t="s">
        <v>9</v>
      </c>
      <c r="H14" s="27"/>
      <c r="I14" s="27"/>
      <c r="J14" s="61" t="s">
        <v>20</v>
      </c>
      <c r="K14" s="26" t="s">
        <v>8</v>
      </c>
      <c r="L14" s="25"/>
    </row>
    <row r="15" spans="1:15" x14ac:dyDescent="0.2">
      <c r="A15" s="24" t="s">
        <v>7</v>
      </c>
      <c r="B15" s="23" t="s">
        <v>6</v>
      </c>
      <c r="C15" s="21" t="s">
        <v>16</v>
      </c>
      <c r="D15" s="21" t="s">
        <v>4</v>
      </c>
      <c r="E15" s="21" t="s">
        <v>5</v>
      </c>
      <c r="F15" s="22" t="s">
        <v>3</v>
      </c>
      <c r="G15" s="21" t="s">
        <v>16</v>
      </c>
      <c r="H15" s="21" t="s">
        <v>4</v>
      </c>
      <c r="I15" s="21" t="s">
        <v>5</v>
      </c>
      <c r="J15" s="22" t="s">
        <v>3</v>
      </c>
      <c r="K15" s="21" t="s">
        <v>4</v>
      </c>
      <c r="L15" s="21" t="s">
        <v>3</v>
      </c>
    </row>
    <row r="16" spans="1:15" x14ac:dyDescent="0.2">
      <c r="A16" s="20"/>
      <c r="B16" s="62" t="s">
        <v>26</v>
      </c>
      <c r="C16" s="16"/>
      <c r="D16" s="19"/>
      <c r="E16" s="18"/>
      <c r="F16" s="17"/>
      <c r="G16" s="16"/>
      <c r="H16" s="19"/>
      <c r="I16" s="18"/>
      <c r="J16" s="17"/>
      <c r="K16" s="16"/>
      <c r="L16" s="15"/>
      <c r="M16" s="14"/>
      <c r="O16" s="53"/>
    </row>
    <row r="17" spans="1:15" x14ac:dyDescent="0.2">
      <c r="A17" s="20"/>
      <c r="B17" s="55" t="s">
        <v>21</v>
      </c>
      <c r="C17" s="16">
        <v>2</v>
      </c>
      <c r="D17" s="19" t="s">
        <v>19</v>
      </c>
      <c r="E17" s="18">
        <v>80</v>
      </c>
      <c r="F17" s="17">
        <f t="shared" ref="F17:F22" si="0">C17*E17</f>
        <v>160</v>
      </c>
      <c r="G17" s="16"/>
      <c r="H17" s="19"/>
      <c r="I17" s="18"/>
      <c r="J17" s="17"/>
      <c r="K17" s="16"/>
      <c r="L17" s="15"/>
      <c r="M17" s="14"/>
      <c r="O17" s="53"/>
    </row>
    <row r="18" spans="1:15" x14ac:dyDescent="0.2">
      <c r="A18" s="20"/>
      <c r="B18" s="55" t="s">
        <v>24</v>
      </c>
      <c r="C18" s="16">
        <v>1</v>
      </c>
      <c r="D18" s="19" t="s">
        <v>19</v>
      </c>
      <c r="E18" s="18">
        <v>80</v>
      </c>
      <c r="F18" s="17">
        <f t="shared" si="0"/>
        <v>80</v>
      </c>
      <c r="G18" s="16"/>
      <c r="H18" s="19"/>
      <c r="I18" s="18"/>
      <c r="J18" s="17"/>
      <c r="K18" s="16" t="s">
        <v>25</v>
      </c>
      <c r="L18" s="15">
        <v>125</v>
      </c>
      <c r="M18" s="14"/>
      <c r="O18" s="53"/>
    </row>
    <row r="19" spans="1:15" x14ac:dyDescent="0.2">
      <c r="A19" s="20"/>
      <c r="B19" s="55" t="s">
        <v>30</v>
      </c>
      <c r="C19" s="16">
        <v>6</v>
      </c>
      <c r="D19" s="19" t="s">
        <v>19</v>
      </c>
      <c r="E19" s="18">
        <v>60.5</v>
      </c>
      <c r="F19" s="17">
        <f t="shared" si="0"/>
        <v>363</v>
      </c>
      <c r="G19" s="16">
        <v>1</v>
      </c>
      <c r="H19" s="19" t="s">
        <v>25</v>
      </c>
      <c r="I19" s="18">
        <v>229</v>
      </c>
      <c r="J19" s="17">
        <f>G19*I19</f>
        <v>229</v>
      </c>
      <c r="K19" s="16"/>
      <c r="L19" s="15"/>
      <c r="M19" s="14"/>
      <c r="O19" s="53"/>
    </row>
    <row r="20" spans="1:15" x14ac:dyDescent="0.2">
      <c r="A20" s="20"/>
      <c r="B20" s="55" t="s">
        <v>31</v>
      </c>
      <c r="C20" s="16">
        <v>6</v>
      </c>
      <c r="D20" s="19" t="s">
        <v>19</v>
      </c>
      <c r="E20" s="18">
        <v>60.5</v>
      </c>
      <c r="F20" s="17">
        <f t="shared" ref="F20" si="1">C20*E20</f>
        <v>363</v>
      </c>
      <c r="G20" s="16">
        <v>1</v>
      </c>
      <c r="H20" s="19" t="s">
        <v>25</v>
      </c>
      <c r="I20" s="18">
        <v>201</v>
      </c>
      <c r="J20" s="17">
        <f>G20*I20</f>
        <v>201</v>
      </c>
      <c r="K20" s="16"/>
      <c r="L20" s="15"/>
      <c r="M20" s="14"/>
      <c r="O20" s="53"/>
    </row>
    <row r="21" spans="1:15" ht="13.5" customHeight="1" x14ac:dyDescent="0.2">
      <c r="A21" s="20"/>
      <c r="B21" s="55" t="s">
        <v>22</v>
      </c>
      <c r="C21" s="16">
        <v>2</v>
      </c>
      <c r="D21" s="19" t="s">
        <v>19</v>
      </c>
      <c r="E21" s="18">
        <v>80</v>
      </c>
      <c r="F21" s="17">
        <f t="shared" ref="F21" si="2">C21*E21</f>
        <v>160</v>
      </c>
      <c r="G21" s="16"/>
      <c r="H21" s="19"/>
      <c r="I21" s="18"/>
      <c r="J21" s="17"/>
      <c r="K21" s="16"/>
      <c r="L21" s="15"/>
      <c r="M21" s="14"/>
      <c r="O21" s="54"/>
    </row>
    <row r="22" spans="1:15" ht="13.5" customHeight="1" x14ac:dyDescent="0.2">
      <c r="A22" s="20"/>
      <c r="B22" s="55" t="s">
        <v>23</v>
      </c>
      <c r="C22" s="16">
        <v>1</v>
      </c>
      <c r="D22" s="19" t="s">
        <v>19</v>
      </c>
      <c r="E22" s="18">
        <v>80</v>
      </c>
      <c r="F22" s="17">
        <f t="shared" si="0"/>
        <v>80</v>
      </c>
      <c r="G22" s="16"/>
      <c r="H22" s="19"/>
      <c r="I22" s="18"/>
      <c r="J22" s="17"/>
      <c r="K22" s="16"/>
      <c r="L22" s="15"/>
      <c r="M22" s="14"/>
      <c r="O22" s="54"/>
    </row>
    <row r="23" spans="1:15" x14ac:dyDescent="0.2">
      <c r="B23" s="5" t="s">
        <v>2</v>
      </c>
      <c r="D23" s="1"/>
      <c r="F23" s="14">
        <f>SUM(F16:F22)</f>
        <v>1206</v>
      </c>
      <c r="G23" s="14"/>
      <c r="H23" s="14"/>
      <c r="I23" s="14"/>
      <c r="J23" s="14">
        <f>SUM(J16:J22)</f>
        <v>430</v>
      </c>
      <c r="K23" s="14"/>
      <c r="L23" s="14">
        <f>SUM(L16:L22)</f>
        <v>125</v>
      </c>
    </row>
    <row r="24" spans="1:15" x14ac:dyDescent="0.2">
      <c r="B24" s="12" t="s">
        <v>1</v>
      </c>
      <c r="D24" s="1"/>
      <c r="E24" s="13">
        <v>0.1</v>
      </c>
      <c r="F24" s="56">
        <f>+E24*F23</f>
        <v>120.60000000000001</v>
      </c>
      <c r="I24" s="13">
        <v>0.1</v>
      </c>
      <c r="J24" s="58">
        <f>+I24*J23</f>
        <v>43</v>
      </c>
      <c r="K24" s="13">
        <v>0.1</v>
      </c>
      <c r="L24" s="11">
        <f>+K24*L23</f>
        <v>12.5</v>
      </c>
    </row>
    <row r="25" spans="1:15" x14ac:dyDescent="0.2">
      <c r="B25" s="10" t="s">
        <v>15</v>
      </c>
      <c r="D25" s="1"/>
      <c r="F25" s="57">
        <f>F23+F24</f>
        <v>1326.6</v>
      </c>
      <c r="G25" s="9"/>
      <c r="H25" s="9"/>
      <c r="I25" s="9"/>
      <c r="J25" s="59">
        <f>J23+J24</f>
        <v>473</v>
      </c>
      <c r="K25" s="9"/>
      <c r="L25" s="8">
        <f>L23+L24</f>
        <v>137.5</v>
      </c>
    </row>
    <row r="26" spans="1:15" ht="13.5" thickBot="1" x14ac:dyDescent="0.25">
      <c r="B26" s="5"/>
      <c r="D26" s="1"/>
      <c r="F26" s="3"/>
      <c r="G26" s="4"/>
      <c r="H26" s="4"/>
      <c r="I26" s="7"/>
      <c r="J26" s="3"/>
      <c r="K26" s="6"/>
      <c r="L26" s="3"/>
    </row>
    <row r="27" spans="1:15" x14ac:dyDescent="0.2">
      <c r="B27" s="2" t="s">
        <v>0</v>
      </c>
      <c r="D27" s="1"/>
    </row>
    <row r="28" spans="1:15" ht="13.5" thickBot="1" x14ac:dyDescent="0.25">
      <c r="B28" s="60">
        <f>F25+J25+L25</f>
        <v>1937.1</v>
      </c>
      <c r="D28" s="1"/>
    </row>
    <row r="31" spans="1:15" x14ac:dyDescent="0.2">
      <c r="A31" s="30"/>
      <c r="B31" s="29"/>
      <c r="C31" s="63" t="s">
        <v>10</v>
      </c>
      <c r="D31" s="63"/>
      <c r="E31" s="63"/>
      <c r="F31" s="63"/>
      <c r="G31" s="28" t="s">
        <v>9</v>
      </c>
      <c r="H31" s="27"/>
      <c r="I31" s="27"/>
      <c r="J31" s="61" t="s">
        <v>20</v>
      </c>
      <c r="K31" s="26" t="s">
        <v>8</v>
      </c>
      <c r="L31" s="25"/>
    </row>
    <row r="32" spans="1:15" x14ac:dyDescent="0.2">
      <c r="A32" s="24" t="s">
        <v>7</v>
      </c>
      <c r="B32" s="23" t="s">
        <v>6</v>
      </c>
      <c r="C32" s="21" t="s">
        <v>16</v>
      </c>
      <c r="D32" s="21" t="s">
        <v>4</v>
      </c>
      <c r="E32" s="21" t="s">
        <v>5</v>
      </c>
      <c r="F32" s="22" t="s">
        <v>3</v>
      </c>
      <c r="G32" s="21" t="s">
        <v>16</v>
      </c>
      <c r="H32" s="21" t="s">
        <v>4</v>
      </c>
      <c r="I32" s="21" t="s">
        <v>5</v>
      </c>
      <c r="J32" s="22" t="s">
        <v>3</v>
      </c>
      <c r="K32" s="21" t="s">
        <v>4</v>
      </c>
      <c r="L32" s="21" t="s">
        <v>3</v>
      </c>
    </row>
    <row r="33" spans="1:15" x14ac:dyDescent="0.2">
      <c r="A33" s="20"/>
      <c r="B33" s="62" t="s">
        <v>32</v>
      </c>
      <c r="C33" s="16"/>
      <c r="D33" s="19"/>
      <c r="E33" s="18"/>
      <c r="F33" s="17"/>
      <c r="G33" s="16"/>
      <c r="H33" s="19"/>
      <c r="I33" s="18"/>
      <c r="J33" s="17"/>
      <c r="K33" s="16"/>
      <c r="L33" s="15"/>
      <c r="M33" s="14"/>
      <c r="O33" s="53"/>
    </row>
    <row r="34" spans="1:15" x14ac:dyDescent="0.2">
      <c r="A34" s="20"/>
      <c r="B34" s="55" t="s">
        <v>21</v>
      </c>
      <c r="C34" s="16">
        <v>2</v>
      </c>
      <c r="D34" s="19" t="s">
        <v>19</v>
      </c>
      <c r="E34" s="18">
        <v>80</v>
      </c>
      <c r="F34" s="17">
        <f t="shared" ref="F34:F39" si="3">C34*E34</f>
        <v>160</v>
      </c>
      <c r="G34" s="16"/>
      <c r="H34" s="19"/>
      <c r="I34" s="18"/>
      <c r="J34" s="17"/>
      <c r="K34" s="16"/>
      <c r="L34" s="15"/>
      <c r="M34" s="14"/>
      <c r="O34" s="53"/>
    </row>
    <row r="35" spans="1:15" x14ac:dyDescent="0.2">
      <c r="A35" s="20"/>
      <c r="B35" s="55" t="s">
        <v>24</v>
      </c>
      <c r="C35" s="16">
        <v>1</v>
      </c>
      <c r="D35" s="19" t="s">
        <v>19</v>
      </c>
      <c r="E35" s="18">
        <v>80</v>
      </c>
      <c r="F35" s="17">
        <f t="shared" si="3"/>
        <v>80</v>
      </c>
      <c r="G35" s="16"/>
      <c r="H35" s="19"/>
      <c r="I35" s="18"/>
      <c r="J35" s="17"/>
      <c r="K35" s="16" t="s">
        <v>25</v>
      </c>
      <c r="L35" s="15">
        <v>125</v>
      </c>
      <c r="M35" s="14"/>
      <c r="O35" s="53"/>
    </row>
    <row r="36" spans="1:15" x14ac:dyDescent="0.2">
      <c r="A36" s="20"/>
      <c r="B36" s="55" t="s">
        <v>30</v>
      </c>
      <c r="C36" s="16">
        <v>6</v>
      </c>
      <c r="D36" s="19" t="s">
        <v>19</v>
      </c>
      <c r="E36" s="18">
        <v>60.5</v>
      </c>
      <c r="F36" s="17">
        <f t="shared" si="3"/>
        <v>363</v>
      </c>
      <c r="G36" s="16">
        <v>1</v>
      </c>
      <c r="H36" s="19" t="s">
        <v>25</v>
      </c>
      <c r="I36" s="18">
        <v>229</v>
      </c>
      <c r="J36" s="17">
        <f>G36*I36</f>
        <v>229</v>
      </c>
      <c r="K36" s="16"/>
      <c r="L36" s="15"/>
      <c r="M36" s="14"/>
      <c r="O36" s="53"/>
    </row>
    <row r="37" spans="1:15" x14ac:dyDescent="0.2">
      <c r="A37" s="20"/>
      <c r="B37" s="55" t="s">
        <v>29</v>
      </c>
      <c r="C37" s="16">
        <v>6</v>
      </c>
      <c r="D37" s="19" t="s">
        <v>19</v>
      </c>
      <c r="E37" s="18">
        <v>60.5</v>
      </c>
      <c r="F37" s="17">
        <f t="shared" si="3"/>
        <v>363</v>
      </c>
      <c r="G37" s="16">
        <v>1</v>
      </c>
      <c r="H37" s="19" t="s">
        <v>25</v>
      </c>
      <c r="I37" s="18">
        <v>201</v>
      </c>
      <c r="J37" s="17">
        <f>G37*I37</f>
        <v>201</v>
      </c>
      <c r="K37" s="16"/>
      <c r="L37" s="15"/>
      <c r="M37" s="14"/>
      <c r="O37" s="53"/>
    </row>
    <row r="38" spans="1:15" ht="13.5" customHeight="1" x14ac:dyDescent="0.2">
      <c r="A38" s="20"/>
      <c r="B38" s="55" t="s">
        <v>22</v>
      </c>
      <c r="C38" s="16">
        <v>2</v>
      </c>
      <c r="D38" s="19" t="s">
        <v>19</v>
      </c>
      <c r="E38" s="18">
        <v>80</v>
      </c>
      <c r="F38" s="17">
        <f t="shared" si="3"/>
        <v>160</v>
      </c>
      <c r="G38" s="16"/>
      <c r="H38" s="19"/>
      <c r="I38" s="18"/>
      <c r="J38" s="17"/>
      <c r="K38" s="16"/>
      <c r="L38" s="15"/>
      <c r="M38" s="14"/>
      <c r="O38" s="54"/>
    </row>
    <row r="39" spans="1:15" ht="13.5" customHeight="1" x14ac:dyDescent="0.2">
      <c r="A39" s="20"/>
      <c r="B39" s="55" t="s">
        <v>23</v>
      </c>
      <c r="C39" s="16">
        <v>1</v>
      </c>
      <c r="D39" s="19" t="s">
        <v>19</v>
      </c>
      <c r="E39" s="18">
        <v>80</v>
      </c>
      <c r="F39" s="17">
        <f t="shared" si="3"/>
        <v>80</v>
      </c>
      <c r="G39" s="16"/>
      <c r="H39" s="19"/>
      <c r="I39" s="18"/>
      <c r="J39" s="17"/>
      <c r="K39" s="16"/>
      <c r="L39" s="15"/>
      <c r="M39" s="14"/>
      <c r="O39" s="54"/>
    </row>
    <row r="40" spans="1:15" x14ac:dyDescent="0.2">
      <c r="B40" s="5" t="s">
        <v>2</v>
      </c>
      <c r="D40" s="1"/>
      <c r="F40" s="14">
        <f>SUM(F33:F39)</f>
        <v>1206</v>
      </c>
      <c r="G40" s="14"/>
      <c r="H40" s="14"/>
      <c r="I40" s="14"/>
      <c r="J40" s="14">
        <f>SUM(J33:J39)</f>
        <v>430</v>
      </c>
      <c r="K40" s="14"/>
      <c r="L40" s="14">
        <f>SUM(L33:L39)</f>
        <v>125</v>
      </c>
    </row>
    <row r="41" spans="1:15" x14ac:dyDescent="0.2">
      <c r="B41" s="12" t="s">
        <v>1</v>
      </c>
      <c r="D41" s="1"/>
      <c r="E41" s="13">
        <v>0.1</v>
      </c>
      <c r="F41" s="56">
        <f>+E41*F40</f>
        <v>120.60000000000001</v>
      </c>
      <c r="I41" s="13">
        <v>0.1</v>
      </c>
      <c r="J41" s="58">
        <f>+I41*J40</f>
        <v>43</v>
      </c>
      <c r="K41" s="13">
        <v>0.1</v>
      </c>
      <c r="L41" s="11">
        <f>+K41*L40</f>
        <v>12.5</v>
      </c>
    </row>
    <row r="42" spans="1:15" x14ac:dyDescent="0.2">
      <c r="B42" s="10" t="s">
        <v>15</v>
      </c>
      <c r="D42" s="1"/>
      <c r="F42" s="57">
        <f>F40+F41</f>
        <v>1326.6</v>
      </c>
      <c r="G42" s="9"/>
      <c r="H42" s="9"/>
      <c r="I42" s="9"/>
      <c r="J42" s="59">
        <f>J40+J41</f>
        <v>473</v>
      </c>
      <c r="K42" s="9"/>
      <c r="L42" s="8">
        <f>L40+L41</f>
        <v>137.5</v>
      </c>
    </row>
    <row r="43" spans="1:15" ht="13.5" thickBot="1" x14ac:dyDescent="0.25">
      <c r="B43" s="5"/>
      <c r="D43" s="1"/>
      <c r="F43" s="3"/>
      <c r="G43" s="4"/>
      <c r="H43" s="4"/>
      <c r="I43" s="7"/>
      <c r="J43" s="3"/>
      <c r="K43" s="6"/>
      <c r="L43" s="3"/>
    </row>
    <row r="44" spans="1:15" x14ac:dyDescent="0.2">
      <c r="B44" s="2" t="s">
        <v>0</v>
      </c>
      <c r="D44" s="1"/>
    </row>
    <row r="45" spans="1:15" ht="13.5" thickBot="1" x14ac:dyDescent="0.25">
      <c r="B45" s="60">
        <f>F42+J42+L42</f>
        <v>1937.1</v>
      </c>
      <c r="D45" s="1"/>
    </row>
    <row r="48" spans="1:15" x14ac:dyDescent="0.2">
      <c r="A48" s="30"/>
      <c r="B48" s="29"/>
      <c r="C48" s="63" t="s">
        <v>10</v>
      </c>
      <c r="D48" s="63"/>
      <c r="E48" s="63"/>
      <c r="F48" s="63"/>
      <c r="G48" s="28" t="s">
        <v>9</v>
      </c>
      <c r="H48" s="27"/>
      <c r="I48" s="27"/>
      <c r="J48" s="61" t="s">
        <v>20</v>
      </c>
      <c r="K48" s="26" t="s">
        <v>8</v>
      </c>
      <c r="L48" s="25"/>
    </row>
    <row r="49" spans="1:15" x14ac:dyDescent="0.2">
      <c r="A49" s="24" t="s">
        <v>7</v>
      </c>
      <c r="B49" s="23" t="s">
        <v>6</v>
      </c>
      <c r="C49" s="21" t="s">
        <v>16</v>
      </c>
      <c r="D49" s="21" t="s">
        <v>4</v>
      </c>
      <c r="E49" s="21" t="s">
        <v>5</v>
      </c>
      <c r="F49" s="22" t="s">
        <v>3</v>
      </c>
      <c r="G49" s="21" t="s">
        <v>16</v>
      </c>
      <c r="H49" s="21" t="s">
        <v>4</v>
      </c>
      <c r="I49" s="21" t="s">
        <v>5</v>
      </c>
      <c r="J49" s="22" t="s">
        <v>3</v>
      </c>
      <c r="K49" s="21" t="s">
        <v>4</v>
      </c>
      <c r="L49" s="21" t="s">
        <v>3</v>
      </c>
    </row>
    <row r="50" spans="1:15" x14ac:dyDescent="0.2">
      <c r="A50" s="20"/>
      <c r="B50" s="62" t="s">
        <v>44</v>
      </c>
      <c r="C50" s="16"/>
      <c r="D50" s="19"/>
      <c r="E50" s="18"/>
      <c r="F50" s="17"/>
      <c r="G50" s="16"/>
      <c r="H50" s="19"/>
      <c r="I50" s="18"/>
      <c r="J50" s="17"/>
      <c r="K50" s="16"/>
      <c r="L50" s="15"/>
      <c r="M50" s="14"/>
      <c r="O50" s="53"/>
    </row>
    <row r="51" spans="1:15" x14ac:dyDescent="0.2">
      <c r="A51" s="20"/>
      <c r="B51" s="55" t="s">
        <v>41</v>
      </c>
      <c r="C51" s="76">
        <v>4</v>
      </c>
      <c r="D51" s="19" t="s">
        <v>19</v>
      </c>
      <c r="E51" s="77">
        <v>100</v>
      </c>
      <c r="F51" s="17">
        <f>E51*C51</f>
        <v>400</v>
      </c>
      <c r="G51" s="16"/>
      <c r="H51" s="19"/>
      <c r="I51" s="18"/>
      <c r="J51" s="17"/>
      <c r="K51" s="16"/>
      <c r="L51" s="15"/>
      <c r="M51" s="14"/>
      <c r="N51" s="78"/>
      <c r="O51" s="54"/>
    </row>
    <row r="52" spans="1:15" x14ac:dyDescent="0.2">
      <c r="A52" s="20"/>
      <c r="B52" s="55" t="s">
        <v>42</v>
      </c>
      <c r="C52" s="79"/>
      <c r="D52" s="19"/>
      <c r="E52" s="77"/>
      <c r="F52" s="17"/>
      <c r="G52" s="16"/>
      <c r="H52" s="19"/>
      <c r="I52" s="18"/>
      <c r="J52" s="17"/>
      <c r="K52" s="16" t="s">
        <v>25</v>
      </c>
      <c r="L52" s="15">
        <v>380</v>
      </c>
      <c r="M52" s="14"/>
      <c r="N52" s="78"/>
      <c r="O52" s="54"/>
    </row>
    <row r="53" spans="1:15" x14ac:dyDescent="0.2">
      <c r="A53" s="20"/>
      <c r="B53" s="55" t="s">
        <v>33</v>
      </c>
      <c r="C53" s="16">
        <v>8</v>
      </c>
      <c r="D53" s="19" t="s">
        <v>19</v>
      </c>
      <c r="E53" s="18">
        <v>80</v>
      </c>
      <c r="F53" s="17">
        <f t="shared" ref="F53:F63" si="4">C53*E53</f>
        <v>640</v>
      </c>
      <c r="G53" s="16"/>
      <c r="H53" s="19"/>
      <c r="I53" s="18"/>
      <c r="J53" s="17"/>
      <c r="K53" s="16"/>
      <c r="L53" s="15"/>
      <c r="M53" s="14"/>
      <c r="O53" s="53"/>
    </row>
    <row r="54" spans="1:15" x14ac:dyDescent="0.2">
      <c r="A54" s="20"/>
      <c r="B54" s="55" t="s">
        <v>27</v>
      </c>
      <c r="C54" s="16">
        <v>23</v>
      </c>
      <c r="D54" s="19" t="s">
        <v>19</v>
      </c>
      <c r="E54" s="18">
        <v>60.5</v>
      </c>
      <c r="F54" s="17">
        <f t="shared" si="4"/>
        <v>1391.5</v>
      </c>
      <c r="G54" s="16">
        <f>82+35</f>
        <v>117</v>
      </c>
      <c r="H54" s="19" t="s">
        <v>17</v>
      </c>
      <c r="I54" s="18">
        <v>2.79</v>
      </c>
      <c r="J54" s="17">
        <f>G54*I54</f>
        <v>326.43</v>
      </c>
      <c r="K54" s="16"/>
      <c r="L54" s="15"/>
      <c r="M54" s="14"/>
      <c r="O54" s="53"/>
    </row>
    <row r="55" spans="1:15" x14ac:dyDescent="0.2">
      <c r="A55" s="20"/>
      <c r="B55" s="55" t="s">
        <v>36</v>
      </c>
      <c r="C55" s="16">
        <v>23</v>
      </c>
      <c r="D55" s="19" t="s">
        <v>19</v>
      </c>
      <c r="E55" s="18">
        <v>60.5</v>
      </c>
      <c r="F55" s="17">
        <f t="shared" si="4"/>
        <v>1391.5</v>
      </c>
      <c r="G55" s="16">
        <v>156</v>
      </c>
      <c r="H55" s="19" t="s">
        <v>17</v>
      </c>
      <c r="I55" s="18">
        <v>2.06</v>
      </c>
      <c r="J55" s="17">
        <f>G55*I55</f>
        <v>321.36</v>
      </c>
      <c r="K55" s="16"/>
      <c r="L55" s="15"/>
      <c r="M55" s="14"/>
      <c r="O55" s="53"/>
    </row>
    <row r="56" spans="1:15" x14ac:dyDescent="0.2">
      <c r="A56" s="20"/>
      <c r="B56" s="55" t="s">
        <v>37</v>
      </c>
      <c r="C56" s="16">
        <v>3</v>
      </c>
      <c r="D56" s="19" t="s">
        <v>19</v>
      </c>
      <c r="E56" s="18">
        <v>60.5</v>
      </c>
      <c r="F56" s="17">
        <f t="shared" ref="F56" si="5">C56*E56</f>
        <v>181.5</v>
      </c>
      <c r="G56" s="16">
        <v>23</v>
      </c>
      <c r="H56" s="19" t="s">
        <v>17</v>
      </c>
      <c r="I56" s="18">
        <v>1.29</v>
      </c>
      <c r="J56" s="17">
        <f>G56*I56</f>
        <v>29.67</v>
      </c>
      <c r="K56" s="16"/>
      <c r="L56" s="15"/>
      <c r="M56" s="14"/>
      <c r="O56" s="53"/>
    </row>
    <row r="57" spans="1:15" x14ac:dyDescent="0.2">
      <c r="A57" s="20"/>
      <c r="B57" s="55" t="s">
        <v>38</v>
      </c>
      <c r="C57" s="16">
        <v>6</v>
      </c>
      <c r="D57" s="19" t="s">
        <v>19</v>
      </c>
      <c r="E57" s="18">
        <v>60.5</v>
      </c>
      <c r="F57" s="17">
        <f t="shared" ref="F57" si="6">C57*E57</f>
        <v>363</v>
      </c>
      <c r="G57" s="16">
        <v>46</v>
      </c>
      <c r="H57" s="19" t="s">
        <v>17</v>
      </c>
      <c r="I57" s="18">
        <v>0.85</v>
      </c>
      <c r="J57" s="17">
        <f>G57*I57</f>
        <v>39.1</v>
      </c>
      <c r="K57" s="16"/>
      <c r="L57" s="15"/>
      <c r="M57" s="14"/>
      <c r="O57" s="53"/>
    </row>
    <row r="58" spans="1:15" x14ac:dyDescent="0.2">
      <c r="A58" s="20"/>
      <c r="B58" s="55" t="s">
        <v>28</v>
      </c>
      <c r="C58" s="16"/>
      <c r="D58" s="19"/>
      <c r="E58" s="18"/>
      <c r="F58" s="17"/>
      <c r="G58" s="16">
        <v>1</v>
      </c>
      <c r="H58" s="19" t="s">
        <v>25</v>
      </c>
      <c r="I58" s="18">
        <v>395</v>
      </c>
      <c r="J58" s="17">
        <f>G58*I58</f>
        <v>395</v>
      </c>
      <c r="K58" s="16"/>
      <c r="L58" s="15"/>
      <c r="M58" s="14"/>
      <c r="O58" s="53"/>
    </row>
    <row r="59" spans="1:15" ht="13.5" customHeight="1" x14ac:dyDescent="0.2">
      <c r="A59" s="20"/>
      <c r="B59" s="55" t="s">
        <v>22</v>
      </c>
      <c r="C59" s="16">
        <v>4</v>
      </c>
      <c r="D59" s="19" t="s">
        <v>19</v>
      </c>
      <c r="E59" s="18">
        <v>80</v>
      </c>
      <c r="F59" s="17">
        <f t="shared" si="4"/>
        <v>320</v>
      </c>
      <c r="G59" s="16"/>
      <c r="H59" s="19"/>
      <c r="I59" s="18"/>
      <c r="J59" s="17"/>
      <c r="K59" s="16"/>
      <c r="L59" s="15"/>
      <c r="M59" s="14"/>
      <c r="O59" s="54"/>
    </row>
    <row r="60" spans="1:15" ht="13.5" customHeight="1" x14ac:dyDescent="0.2">
      <c r="A60" s="20"/>
      <c r="B60" s="55" t="s">
        <v>35</v>
      </c>
      <c r="C60" s="16">
        <v>6</v>
      </c>
      <c r="D60" s="19" t="s">
        <v>19</v>
      </c>
      <c r="E60" s="18">
        <v>60.5</v>
      </c>
      <c r="F60" s="17">
        <f t="shared" si="4"/>
        <v>363</v>
      </c>
      <c r="G60" s="16">
        <v>6</v>
      </c>
      <c r="H60" s="19" t="s">
        <v>40</v>
      </c>
      <c r="I60" s="18">
        <v>22.5</v>
      </c>
      <c r="J60" s="17">
        <f t="shared" ref="J60:J61" si="7">G60*I60</f>
        <v>135</v>
      </c>
      <c r="K60" s="16"/>
      <c r="L60" s="15"/>
      <c r="M60" s="14"/>
      <c r="O60" s="54"/>
    </row>
    <row r="61" spans="1:15" ht="13.5" customHeight="1" x14ac:dyDescent="0.2">
      <c r="A61" s="20"/>
      <c r="B61" s="55" t="s">
        <v>34</v>
      </c>
      <c r="C61" s="16">
        <v>0.5</v>
      </c>
      <c r="D61" s="19" t="s">
        <v>19</v>
      </c>
      <c r="E61" s="18">
        <v>60.5</v>
      </c>
      <c r="F61" s="17">
        <f t="shared" si="4"/>
        <v>30.25</v>
      </c>
      <c r="G61" s="16">
        <v>1</v>
      </c>
      <c r="H61" s="19" t="s">
        <v>40</v>
      </c>
      <c r="I61" s="18">
        <v>15</v>
      </c>
      <c r="J61" s="17">
        <f t="shared" si="7"/>
        <v>15</v>
      </c>
      <c r="K61" s="16"/>
      <c r="L61" s="15"/>
      <c r="M61" s="14"/>
      <c r="O61" s="54"/>
    </row>
    <row r="62" spans="1:15" ht="13.5" customHeight="1" x14ac:dyDescent="0.2">
      <c r="A62" s="20"/>
      <c r="B62" s="55" t="s">
        <v>39</v>
      </c>
      <c r="C62" s="16"/>
      <c r="D62" s="19"/>
      <c r="E62" s="18"/>
      <c r="F62" s="17"/>
      <c r="G62" s="16"/>
      <c r="H62" s="19"/>
      <c r="I62" s="18"/>
      <c r="J62" s="17"/>
      <c r="K62" s="16" t="s">
        <v>25</v>
      </c>
      <c r="L62" s="15">
        <v>350</v>
      </c>
      <c r="M62" s="14"/>
      <c r="O62" s="54"/>
    </row>
    <row r="63" spans="1:15" ht="13.5" customHeight="1" x14ac:dyDescent="0.2">
      <c r="A63" s="20"/>
      <c r="B63" s="55" t="s">
        <v>23</v>
      </c>
      <c r="C63" s="16">
        <v>3</v>
      </c>
      <c r="D63" s="19" t="s">
        <v>19</v>
      </c>
      <c r="E63" s="18">
        <v>80</v>
      </c>
      <c r="F63" s="17">
        <f t="shared" si="4"/>
        <v>240</v>
      </c>
      <c r="G63" s="16"/>
      <c r="H63" s="19"/>
      <c r="I63" s="18"/>
      <c r="J63" s="17"/>
      <c r="K63" s="16"/>
      <c r="L63" s="15"/>
      <c r="M63" s="14"/>
      <c r="O63" s="54"/>
    </row>
    <row r="64" spans="1:15" x14ac:dyDescent="0.2">
      <c r="B64" s="5" t="s">
        <v>2</v>
      </c>
      <c r="D64" s="1"/>
      <c r="F64" s="14">
        <f>SUM(F50:F63)</f>
        <v>5320.75</v>
      </c>
      <c r="G64" s="14"/>
      <c r="H64" s="14"/>
      <c r="I64" s="14"/>
      <c r="J64" s="14">
        <f>SUM(J50:J63)</f>
        <v>1261.56</v>
      </c>
      <c r="K64" s="14"/>
      <c r="L64" s="14">
        <f>SUM(L50:L63)</f>
        <v>730</v>
      </c>
    </row>
    <row r="65" spans="1:15" x14ac:dyDescent="0.2">
      <c r="B65" s="12" t="s">
        <v>1</v>
      </c>
      <c r="D65" s="1"/>
      <c r="E65" s="13">
        <v>0.1</v>
      </c>
      <c r="F65" s="56">
        <f>+E65*F64</f>
        <v>532.07500000000005</v>
      </c>
      <c r="I65" s="13">
        <v>0.1</v>
      </c>
      <c r="J65" s="58">
        <f>+I65*J64</f>
        <v>126.15600000000001</v>
      </c>
      <c r="K65" s="13">
        <v>0.1</v>
      </c>
      <c r="L65" s="11">
        <f>+K65*L64</f>
        <v>73</v>
      </c>
    </row>
    <row r="66" spans="1:15" x14ac:dyDescent="0.2">
      <c r="B66" s="10" t="s">
        <v>15</v>
      </c>
      <c r="D66" s="1"/>
      <c r="F66" s="57">
        <f>F64+F65</f>
        <v>5852.8249999999998</v>
      </c>
      <c r="G66" s="9"/>
      <c r="H66" s="9"/>
      <c r="I66" s="9"/>
      <c r="J66" s="59">
        <f>J64+J65</f>
        <v>1387.7159999999999</v>
      </c>
      <c r="K66" s="9"/>
      <c r="L66" s="8">
        <f>L64+L65</f>
        <v>803</v>
      </c>
    </row>
    <row r="67" spans="1:15" ht="13.5" thickBot="1" x14ac:dyDescent="0.25">
      <c r="B67" s="5"/>
      <c r="D67" s="1"/>
      <c r="F67" s="3"/>
      <c r="G67" s="4"/>
      <c r="H67" s="4"/>
      <c r="I67" s="7"/>
      <c r="J67" s="3"/>
      <c r="K67" s="6"/>
      <c r="L67" s="3"/>
    </row>
    <row r="68" spans="1:15" x14ac:dyDescent="0.2">
      <c r="B68" s="2" t="s">
        <v>0</v>
      </c>
      <c r="D68" s="1"/>
    </row>
    <row r="69" spans="1:15" ht="13.5" thickBot="1" x14ac:dyDescent="0.25">
      <c r="B69" s="60">
        <f>F66+J66+L66</f>
        <v>8043.5409999999993</v>
      </c>
      <c r="D69" s="1"/>
    </row>
    <row r="70" spans="1:15" x14ac:dyDescent="0.2">
      <c r="B70" t="s">
        <v>43</v>
      </c>
    </row>
    <row r="73" spans="1:15" x14ac:dyDescent="0.2">
      <c r="A73" s="30"/>
      <c r="B73" s="29"/>
      <c r="C73" s="63" t="s">
        <v>10</v>
      </c>
      <c r="D73" s="63"/>
      <c r="E73" s="63"/>
      <c r="F73" s="63"/>
      <c r="G73" s="28" t="s">
        <v>9</v>
      </c>
      <c r="H73" s="27"/>
      <c r="I73" s="27"/>
      <c r="J73" s="61" t="s">
        <v>20</v>
      </c>
      <c r="K73" s="26" t="s">
        <v>8</v>
      </c>
      <c r="L73" s="25"/>
    </row>
    <row r="74" spans="1:15" x14ac:dyDescent="0.2">
      <c r="A74" s="24" t="s">
        <v>7</v>
      </c>
      <c r="B74" s="23" t="s">
        <v>6</v>
      </c>
      <c r="C74" s="21" t="s">
        <v>16</v>
      </c>
      <c r="D74" s="21" t="s">
        <v>4</v>
      </c>
      <c r="E74" s="21" t="s">
        <v>5</v>
      </c>
      <c r="F74" s="22" t="s">
        <v>3</v>
      </c>
      <c r="G74" s="21" t="s">
        <v>16</v>
      </c>
      <c r="H74" s="21" t="s">
        <v>4</v>
      </c>
      <c r="I74" s="21" t="s">
        <v>5</v>
      </c>
      <c r="J74" s="22" t="s">
        <v>3</v>
      </c>
      <c r="K74" s="21" t="s">
        <v>4</v>
      </c>
      <c r="L74" s="21" t="s">
        <v>3</v>
      </c>
    </row>
    <row r="75" spans="1:15" x14ac:dyDescent="0.2">
      <c r="A75" s="20"/>
      <c r="B75" s="62" t="s">
        <v>46</v>
      </c>
      <c r="C75" s="16"/>
      <c r="D75" s="19"/>
      <c r="E75" s="18"/>
      <c r="F75" s="17"/>
      <c r="G75" s="16"/>
      <c r="H75" s="19"/>
      <c r="I75" s="18"/>
      <c r="J75" s="17"/>
      <c r="K75" s="16"/>
      <c r="L75" s="15"/>
      <c r="M75" s="14"/>
      <c r="O75" s="53"/>
    </row>
    <row r="76" spans="1:15" x14ac:dyDescent="0.2">
      <c r="A76" s="20"/>
      <c r="B76" s="55" t="s">
        <v>21</v>
      </c>
      <c r="C76" s="16">
        <v>3</v>
      </c>
      <c r="D76" s="19" t="s">
        <v>19</v>
      </c>
      <c r="E76" s="18">
        <v>80</v>
      </c>
      <c r="F76" s="17">
        <f t="shared" ref="F76:F81" si="8">C76*E76</f>
        <v>240</v>
      </c>
      <c r="G76" s="16"/>
      <c r="H76" s="19"/>
      <c r="I76" s="18"/>
      <c r="J76" s="17"/>
      <c r="K76" s="16"/>
      <c r="L76" s="15"/>
      <c r="M76" s="14"/>
      <c r="O76" s="53"/>
    </row>
    <row r="77" spans="1:15" x14ac:dyDescent="0.2">
      <c r="A77" s="20"/>
      <c r="B77" s="55" t="s">
        <v>24</v>
      </c>
      <c r="C77" s="16">
        <v>4</v>
      </c>
      <c r="D77" s="19" t="s">
        <v>19</v>
      </c>
      <c r="E77" s="18">
        <v>80</v>
      </c>
      <c r="F77" s="17">
        <f t="shared" si="8"/>
        <v>320</v>
      </c>
      <c r="G77" s="16"/>
      <c r="H77" s="19"/>
      <c r="I77" s="18"/>
      <c r="J77" s="17"/>
      <c r="K77" s="16" t="s">
        <v>25</v>
      </c>
      <c r="L77" s="15">
        <v>250</v>
      </c>
      <c r="M77" s="14"/>
      <c r="O77" s="53"/>
    </row>
    <row r="78" spans="1:15" x14ac:dyDescent="0.2">
      <c r="A78" s="20"/>
      <c r="B78" s="55" t="s">
        <v>47</v>
      </c>
      <c r="C78" s="16">
        <v>30</v>
      </c>
      <c r="D78" s="19" t="s">
        <v>19</v>
      </c>
      <c r="E78" s="18">
        <v>60.5</v>
      </c>
      <c r="F78" s="17">
        <f t="shared" si="8"/>
        <v>1815</v>
      </c>
      <c r="G78" s="16">
        <v>1</v>
      </c>
      <c r="H78" s="19" t="s">
        <v>25</v>
      </c>
      <c r="I78" s="18">
        <v>229</v>
      </c>
      <c r="J78" s="17">
        <f>G78*I78</f>
        <v>229</v>
      </c>
      <c r="K78" s="16"/>
      <c r="L78" s="15"/>
      <c r="M78" s="14"/>
      <c r="O78" s="53"/>
    </row>
    <row r="79" spans="1:15" x14ac:dyDescent="0.2">
      <c r="A79" s="20"/>
      <c r="B79" s="55" t="s">
        <v>48</v>
      </c>
      <c r="C79" s="16">
        <v>24</v>
      </c>
      <c r="D79" s="19" t="s">
        <v>19</v>
      </c>
      <c r="E79" s="18">
        <v>60.5</v>
      </c>
      <c r="F79" s="17">
        <f t="shared" si="8"/>
        <v>1452</v>
      </c>
      <c r="G79" s="16">
        <v>1</v>
      </c>
      <c r="H79" s="19" t="s">
        <v>25</v>
      </c>
      <c r="I79" s="18">
        <v>201</v>
      </c>
      <c r="J79" s="17">
        <f>G79*I79</f>
        <v>201</v>
      </c>
      <c r="K79" s="16"/>
      <c r="L79" s="15"/>
      <c r="M79" s="14"/>
      <c r="O79" s="53"/>
    </row>
    <row r="80" spans="1:15" ht="13.5" customHeight="1" x14ac:dyDescent="0.2">
      <c r="A80" s="20"/>
      <c r="B80" s="55" t="s">
        <v>22</v>
      </c>
      <c r="C80" s="16">
        <v>8</v>
      </c>
      <c r="D80" s="19" t="s">
        <v>19</v>
      </c>
      <c r="E80" s="18">
        <v>80</v>
      </c>
      <c r="F80" s="17">
        <f t="shared" si="8"/>
        <v>640</v>
      </c>
      <c r="G80" s="16"/>
      <c r="H80" s="19"/>
      <c r="I80" s="18"/>
      <c r="J80" s="17"/>
      <c r="K80" s="16"/>
      <c r="L80" s="15"/>
      <c r="M80" s="14"/>
      <c r="O80" s="54"/>
    </row>
    <row r="81" spans="1:15" ht="13.5" customHeight="1" x14ac:dyDescent="0.2">
      <c r="A81" s="20"/>
      <c r="B81" s="55" t="s">
        <v>23</v>
      </c>
      <c r="C81" s="16">
        <v>3</v>
      </c>
      <c r="D81" s="19" t="s">
        <v>19</v>
      </c>
      <c r="E81" s="18">
        <v>80</v>
      </c>
      <c r="F81" s="17">
        <f t="shared" si="8"/>
        <v>240</v>
      </c>
      <c r="G81" s="16"/>
      <c r="H81" s="19"/>
      <c r="I81" s="18"/>
      <c r="J81" s="17"/>
      <c r="K81" s="16"/>
      <c r="L81" s="15"/>
      <c r="M81" s="14"/>
      <c r="O81" s="54"/>
    </row>
    <row r="82" spans="1:15" x14ac:dyDescent="0.2">
      <c r="B82" s="5" t="s">
        <v>2</v>
      </c>
      <c r="D82" s="1"/>
      <c r="F82" s="14">
        <f>SUM(F75:F81)</f>
        <v>4707</v>
      </c>
      <c r="G82" s="14"/>
      <c r="H82" s="14"/>
      <c r="I82" s="14"/>
      <c r="J82" s="14">
        <f>SUM(J75:J81)</f>
        <v>430</v>
      </c>
      <c r="K82" s="14"/>
      <c r="L82" s="14">
        <f>SUM(L75:L81)</f>
        <v>250</v>
      </c>
    </row>
    <row r="83" spans="1:15" x14ac:dyDescent="0.2">
      <c r="B83" s="12" t="s">
        <v>1</v>
      </c>
      <c r="D83" s="1"/>
      <c r="E83" s="13">
        <v>0.1</v>
      </c>
      <c r="F83" s="56">
        <f>+E83*F82</f>
        <v>470.70000000000005</v>
      </c>
      <c r="I83" s="13">
        <v>0.1</v>
      </c>
      <c r="J83" s="58">
        <f>+I83*J82</f>
        <v>43</v>
      </c>
      <c r="K83" s="13">
        <v>0.1</v>
      </c>
      <c r="L83" s="11">
        <f>+K83*L82</f>
        <v>25</v>
      </c>
    </row>
    <row r="84" spans="1:15" x14ac:dyDescent="0.2">
      <c r="B84" s="10" t="s">
        <v>15</v>
      </c>
      <c r="D84" s="1"/>
      <c r="F84" s="57">
        <f>F82+F83</f>
        <v>5177.7</v>
      </c>
      <c r="G84" s="9"/>
      <c r="H84" s="9"/>
      <c r="I84" s="9"/>
      <c r="J84" s="59">
        <f>J82+J83</f>
        <v>473</v>
      </c>
      <c r="K84" s="9"/>
      <c r="L84" s="8">
        <f>L82+L83</f>
        <v>275</v>
      </c>
    </row>
    <row r="85" spans="1:15" ht="13.5" thickBot="1" x14ac:dyDescent="0.25">
      <c r="B85" s="5"/>
      <c r="D85" s="1"/>
      <c r="F85" s="3"/>
      <c r="G85" s="4"/>
      <c r="H85" s="4"/>
      <c r="I85" s="7"/>
      <c r="J85" s="3"/>
      <c r="K85" s="6"/>
      <c r="L85" s="3"/>
    </row>
    <row r="86" spans="1:15" x14ac:dyDescent="0.2">
      <c r="B86" s="2" t="s">
        <v>0</v>
      </c>
      <c r="D86" s="1"/>
    </row>
    <row r="87" spans="1:15" ht="13.5" thickBot="1" x14ac:dyDescent="0.25">
      <c r="B87" s="60">
        <f>F84+J84+L84</f>
        <v>5925.7</v>
      </c>
      <c r="D87" s="1"/>
    </row>
    <row r="90" spans="1:15" x14ac:dyDescent="0.2">
      <c r="A90" s="30"/>
      <c r="B90" s="29"/>
      <c r="C90" s="63" t="s">
        <v>10</v>
      </c>
      <c r="D90" s="63"/>
      <c r="E90" s="63"/>
      <c r="F90" s="63"/>
      <c r="G90" s="28" t="s">
        <v>9</v>
      </c>
      <c r="H90" s="27"/>
      <c r="I90" s="27"/>
      <c r="J90" s="61" t="s">
        <v>20</v>
      </c>
      <c r="K90" s="26" t="s">
        <v>8</v>
      </c>
      <c r="L90" s="25"/>
    </row>
    <row r="91" spans="1:15" x14ac:dyDescent="0.2">
      <c r="A91" s="24" t="s">
        <v>7</v>
      </c>
      <c r="B91" s="23" t="s">
        <v>6</v>
      </c>
      <c r="C91" s="21" t="s">
        <v>16</v>
      </c>
      <c r="D91" s="21" t="s">
        <v>4</v>
      </c>
      <c r="E91" s="21" t="s">
        <v>5</v>
      </c>
      <c r="F91" s="22" t="s">
        <v>3</v>
      </c>
      <c r="G91" s="21" t="s">
        <v>16</v>
      </c>
      <c r="H91" s="21" t="s">
        <v>4</v>
      </c>
      <c r="I91" s="21" t="s">
        <v>5</v>
      </c>
      <c r="J91" s="22" t="s">
        <v>3</v>
      </c>
      <c r="K91" s="21" t="s">
        <v>4</v>
      </c>
      <c r="L91" s="21" t="s">
        <v>3</v>
      </c>
    </row>
    <row r="92" spans="1:15" x14ac:dyDescent="0.2">
      <c r="A92" s="20"/>
      <c r="B92" s="62" t="s">
        <v>45</v>
      </c>
      <c r="C92" s="16"/>
      <c r="D92" s="19"/>
      <c r="E92" s="18"/>
      <c r="F92" s="17"/>
      <c r="G92" s="16"/>
      <c r="H92" s="19"/>
      <c r="I92" s="18"/>
      <c r="J92" s="17"/>
      <c r="K92" s="16"/>
      <c r="L92" s="15"/>
    </row>
    <row r="93" spans="1:15" x14ac:dyDescent="0.2">
      <c r="A93" s="20"/>
      <c r="B93" s="55" t="s">
        <v>41</v>
      </c>
      <c r="C93" s="76">
        <v>8</v>
      </c>
      <c r="D93" s="19" t="s">
        <v>19</v>
      </c>
      <c r="E93" s="77">
        <v>100</v>
      </c>
      <c r="F93" s="17">
        <f>E93*C93</f>
        <v>800</v>
      </c>
      <c r="G93" s="16"/>
      <c r="H93" s="19"/>
      <c r="I93" s="18"/>
      <c r="J93" s="17"/>
      <c r="K93" s="16"/>
      <c r="L93" s="15"/>
    </row>
    <row r="94" spans="1:15" x14ac:dyDescent="0.2">
      <c r="A94" s="20"/>
      <c r="B94" s="55" t="s">
        <v>42</v>
      </c>
      <c r="C94" s="79"/>
      <c r="D94" s="19"/>
      <c r="E94" s="77"/>
      <c r="F94" s="17"/>
      <c r="G94" s="16"/>
      <c r="H94" s="19"/>
      <c r="I94" s="18"/>
      <c r="J94" s="17"/>
      <c r="K94" s="16" t="s">
        <v>25</v>
      </c>
      <c r="L94" s="15">
        <v>680</v>
      </c>
    </row>
    <row r="95" spans="1:15" x14ac:dyDescent="0.2">
      <c r="A95" s="20"/>
      <c r="B95" s="55" t="s">
        <v>33</v>
      </c>
      <c r="C95" s="16">
        <v>24</v>
      </c>
      <c r="D95" s="19" t="s">
        <v>19</v>
      </c>
      <c r="E95" s="18">
        <v>80</v>
      </c>
      <c r="F95" s="17">
        <f t="shared" ref="F95:F96" si="9">C95*E95</f>
        <v>1920</v>
      </c>
      <c r="G95" s="16"/>
      <c r="H95" s="19"/>
      <c r="I95" s="18"/>
      <c r="J95" s="17"/>
      <c r="K95" s="16"/>
      <c r="L95" s="15"/>
    </row>
    <row r="96" spans="1:15" x14ac:dyDescent="0.2">
      <c r="A96" s="20"/>
      <c r="B96" s="55" t="s">
        <v>49</v>
      </c>
      <c r="C96" s="16">
        <v>225</v>
      </c>
      <c r="D96" s="19" t="s">
        <v>19</v>
      </c>
      <c r="E96" s="18">
        <v>60.5</v>
      </c>
      <c r="F96" s="17">
        <f t="shared" si="9"/>
        <v>13612.5</v>
      </c>
      <c r="G96" s="16">
        <v>1500</v>
      </c>
      <c r="H96" s="19" t="s">
        <v>17</v>
      </c>
      <c r="I96" s="18">
        <v>0.85</v>
      </c>
      <c r="J96" s="17">
        <f>G96*I96</f>
        <v>1275</v>
      </c>
      <c r="K96" s="16"/>
      <c r="L96" s="15"/>
    </row>
    <row r="97" spans="1:12" x14ac:dyDescent="0.2">
      <c r="A97" s="20"/>
      <c r="B97" s="55" t="s">
        <v>28</v>
      </c>
      <c r="C97" s="16"/>
      <c r="D97" s="19"/>
      <c r="E97" s="18"/>
      <c r="F97" s="17"/>
      <c r="G97" s="16">
        <v>1</v>
      </c>
      <c r="H97" s="19" t="s">
        <v>25</v>
      </c>
      <c r="I97" s="18">
        <v>395</v>
      </c>
      <c r="J97" s="17">
        <f>G97*I97</f>
        <v>395</v>
      </c>
      <c r="K97" s="16"/>
      <c r="L97" s="15"/>
    </row>
    <row r="98" spans="1:12" x14ac:dyDescent="0.2">
      <c r="A98" s="20"/>
      <c r="B98" s="55" t="s">
        <v>22</v>
      </c>
      <c r="C98" s="16">
        <v>24</v>
      </c>
      <c r="D98" s="19" t="s">
        <v>19</v>
      </c>
      <c r="E98" s="18">
        <v>80</v>
      </c>
      <c r="F98" s="17">
        <f t="shared" ref="F98:F108" si="10">C98*E98</f>
        <v>1920</v>
      </c>
      <c r="G98" s="16"/>
      <c r="H98" s="19"/>
      <c r="I98" s="18"/>
      <c r="J98" s="17"/>
      <c r="K98" s="16"/>
      <c r="L98" s="15"/>
    </row>
    <row r="99" spans="1:12" x14ac:dyDescent="0.2">
      <c r="A99" s="20"/>
      <c r="B99" s="55" t="s">
        <v>35</v>
      </c>
      <c r="C99" s="16">
        <v>6</v>
      </c>
      <c r="D99" s="19" t="s">
        <v>19</v>
      </c>
      <c r="E99" s="18">
        <v>60.5</v>
      </c>
      <c r="F99" s="17">
        <f t="shared" si="10"/>
        <v>363</v>
      </c>
      <c r="G99" s="16">
        <v>6</v>
      </c>
      <c r="H99" s="19" t="s">
        <v>40</v>
      </c>
      <c r="I99" s="18">
        <v>22.5</v>
      </c>
      <c r="J99" s="17">
        <f t="shared" ref="J99:J100" si="11">G99*I99</f>
        <v>135</v>
      </c>
      <c r="K99" s="16"/>
      <c r="L99" s="15"/>
    </row>
    <row r="100" spans="1:12" x14ac:dyDescent="0.2">
      <c r="A100" s="20"/>
      <c r="B100" s="55" t="s">
        <v>34</v>
      </c>
      <c r="C100" s="16">
        <v>2</v>
      </c>
      <c r="D100" s="19" t="s">
        <v>19</v>
      </c>
      <c r="E100" s="18">
        <v>60.5</v>
      </c>
      <c r="F100" s="17">
        <f t="shared" si="10"/>
        <v>121</v>
      </c>
      <c r="G100" s="16">
        <v>6</v>
      </c>
      <c r="H100" s="19" t="s">
        <v>40</v>
      </c>
      <c r="I100" s="18">
        <v>15</v>
      </c>
      <c r="J100" s="17">
        <f t="shared" si="11"/>
        <v>90</v>
      </c>
      <c r="K100" s="16"/>
      <c r="L100" s="15"/>
    </row>
    <row r="101" spans="1:12" x14ac:dyDescent="0.2">
      <c r="A101" s="20"/>
      <c r="B101" s="55" t="s">
        <v>39</v>
      </c>
      <c r="C101" s="16"/>
      <c r="D101" s="19"/>
      <c r="E101" s="18"/>
      <c r="F101" s="17"/>
      <c r="G101" s="16"/>
      <c r="H101" s="19"/>
      <c r="I101" s="18"/>
      <c r="J101" s="17"/>
      <c r="K101" s="16" t="s">
        <v>25</v>
      </c>
      <c r="L101" s="15">
        <v>700</v>
      </c>
    </row>
    <row r="102" spans="1:12" x14ac:dyDescent="0.2">
      <c r="A102" s="20"/>
      <c r="B102" s="55" t="s">
        <v>23</v>
      </c>
      <c r="C102" s="16">
        <v>5</v>
      </c>
      <c r="D102" s="19" t="s">
        <v>19</v>
      </c>
      <c r="E102" s="18">
        <v>80</v>
      </c>
      <c r="F102" s="17">
        <f t="shared" ref="F102:F109" si="12">C102*E102</f>
        <v>400</v>
      </c>
      <c r="G102" s="16"/>
      <c r="H102" s="19"/>
      <c r="I102" s="18"/>
      <c r="J102" s="17"/>
      <c r="K102" s="16"/>
      <c r="L102" s="15"/>
    </row>
    <row r="103" spans="1:12" x14ac:dyDescent="0.2">
      <c r="B103" s="5" t="s">
        <v>2</v>
      </c>
      <c r="D103" s="1"/>
      <c r="F103" s="14">
        <f>SUM(F92:F102)</f>
        <v>19136.5</v>
      </c>
      <c r="G103" s="14"/>
      <c r="H103" s="14"/>
      <c r="I103" s="14"/>
      <c r="J103" s="14">
        <f>SUM(J92:J102)</f>
        <v>1895</v>
      </c>
      <c r="K103" s="14"/>
      <c r="L103" s="14">
        <f>SUM(L92:L102)</f>
        <v>1380</v>
      </c>
    </row>
    <row r="104" spans="1:12" x14ac:dyDescent="0.2">
      <c r="B104" s="12" t="s">
        <v>1</v>
      </c>
      <c r="D104" s="1"/>
      <c r="E104" s="13">
        <v>0.1</v>
      </c>
      <c r="F104" s="56">
        <f>+E104*F103</f>
        <v>1913.65</v>
      </c>
      <c r="I104" s="13">
        <v>0.1</v>
      </c>
      <c r="J104" s="58">
        <f>+I104*J103</f>
        <v>189.5</v>
      </c>
      <c r="K104" s="13">
        <v>0.1</v>
      </c>
      <c r="L104" s="11">
        <f>+K104*L103</f>
        <v>138</v>
      </c>
    </row>
    <row r="105" spans="1:12" x14ac:dyDescent="0.2">
      <c r="B105" s="10" t="s">
        <v>15</v>
      </c>
      <c r="D105" s="1"/>
      <c r="F105" s="57">
        <f>F103+F104</f>
        <v>21050.15</v>
      </c>
      <c r="G105" s="9"/>
      <c r="H105" s="9"/>
      <c r="I105" s="9"/>
      <c r="J105" s="59">
        <f>J103+J104</f>
        <v>2084.5</v>
      </c>
      <c r="K105" s="9"/>
      <c r="L105" s="8">
        <f>L103+L104</f>
        <v>1518</v>
      </c>
    </row>
    <row r="106" spans="1:12" ht="13.5" thickBot="1" x14ac:dyDescent="0.25">
      <c r="B106" s="5"/>
      <c r="D106" s="1"/>
      <c r="F106" s="3"/>
      <c r="G106" s="4"/>
      <c r="H106" s="4"/>
      <c r="I106" s="7"/>
      <c r="J106" s="3"/>
      <c r="K106" s="6"/>
      <c r="L106" s="3"/>
    </row>
    <row r="107" spans="1:12" x14ac:dyDescent="0.2">
      <c r="B107" s="2" t="s">
        <v>0</v>
      </c>
      <c r="D107" s="1"/>
    </row>
    <row r="108" spans="1:12" ht="13.5" thickBot="1" x14ac:dyDescent="0.25">
      <c r="B108" s="60">
        <f>F105+J105+L105</f>
        <v>24652.65</v>
      </c>
      <c r="D108" s="1"/>
    </row>
    <row r="109" spans="1:12" x14ac:dyDescent="0.2">
      <c r="B109" t="s">
        <v>43</v>
      </c>
    </row>
  </sheetData>
  <mergeCells count="9">
    <mergeCell ref="C90:F90"/>
    <mergeCell ref="C73:F73"/>
    <mergeCell ref="C31:F31"/>
    <mergeCell ref="C48:F48"/>
    <mergeCell ref="I1:L1"/>
    <mergeCell ref="I2:L2"/>
    <mergeCell ref="C14:F14"/>
    <mergeCell ref="A4:L4"/>
    <mergeCell ref="A5:L7"/>
  </mergeCells>
  <pageMargins left="0.75" right="0.75" top="1" bottom="1" header="0.5" footer="0.5"/>
  <pageSetup scale="9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CGC BP </vt:lpstr>
      <vt:lpstr>'CGC BP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2014-07-31T22:18:24Z</cp:lastPrinted>
  <dcterms:created xsi:type="dcterms:W3CDTF">2014-07-14T23:11:07Z</dcterms:created>
  <dcterms:modified xsi:type="dcterms:W3CDTF">2015-03-25T00:23:00Z</dcterms:modified>
</cp:coreProperties>
</file>