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/>
  <mc:AlternateContent xmlns:mc="http://schemas.openxmlformats.org/markup-compatibility/2006">
    <mc:Choice Requires="x15">
      <x15ac:absPath xmlns:x15ac="http://schemas.microsoft.com/office/spreadsheetml/2010/11/ac" url="S:\Job Books\# OWP LLC COMPLETED JOBS\2023-Chinn, Legacy Apartments\Change Orders\COR's\"/>
    </mc:Choice>
  </mc:AlternateContent>
  <xr:revisionPtr revIDLastSave="0" documentId="8_{4380CAB7-48F5-41AE-A10E-D13D364F38EA}" xr6:coauthVersionLast="43" xr6:coauthVersionMax="43" xr10:uidLastSave="{00000000-0000-0000-0000-000000000000}"/>
  <bookViews>
    <workbookView xWindow="0" yWindow="0" windowWidth="25800" windowHeight="21000" xr2:uid="{00000000-000D-0000-FFFF-FFFF00000000}"/>
  </bookViews>
  <sheets>
    <sheet name="CGC BP " sheetId="1" r:id="rId1"/>
  </sheets>
  <definedNames>
    <definedName name="_xlnm.Print_Area" localSheetId="0">'CGC BP '!$A$1:$L$26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17" i="1" l="1"/>
  <c r="J18" i="1" l="1"/>
  <c r="L20" i="1" l="1"/>
  <c r="F19" i="1"/>
  <c r="J20" i="1" l="1"/>
  <c r="J21" i="1" s="1"/>
  <c r="J22" i="1" s="1"/>
  <c r="F20" i="1"/>
  <c r="F21" i="1" s="1"/>
  <c r="F22" i="1" s="1"/>
  <c r="L21" i="1"/>
  <c r="L22" i="1" s="1"/>
  <c r="B25" i="1" l="1"/>
</calcChain>
</file>

<file path=xl/sharedStrings.xml><?xml version="1.0" encoding="utf-8"?>
<sst xmlns="http://schemas.openxmlformats.org/spreadsheetml/2006/main" count="30" uniqueCount="22">
  <si>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</si>
  <si>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</si>
  <si>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</si>
  <si>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</si>
  <si>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</si>
  <si>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</si>
  <si>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</si>
  <si>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</si>
  <si>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</si>
  <si>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</si>
  <si>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</si>
  <si>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</si>
  <si>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</si>
  <si>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</si>
  <si>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Quan</t>
  </si>
  <si>
    <t>HRS</t>
  </si>
  <si>
    <t>Subtotal</t>
  </si>
  <si>
    <t>2023 Hadley</t>
  </si>
  <si>
    <t>JOE BARNHART AND TRUCK</t>
  </si>
  <si>
    <t>PIPE &amp; FITTINGS</t>
  </si>
  <si>
    <t>LOT</t>
  </si>
  <si>
    <t>ADMINISTRATIVE - JEFF, RICHARD, 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</si>
</sst>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&quot;$&quot;#,##0"/>
    <numFmt numFmtId="168" formatCode="0.0_);[Red]\(0.0\)"/>
  </numFmts>
  <fonts count="9" x14ac:knownFonts="1">
    <font>
      <sz val="10"/>
      <name val="MS Sans Serif"/>
    </font>
    <font>
      <b/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b/>
      <sz val="10"/>
      <color rgb="FFFF0000"/>
      <name val="MS Sans Serif"/>
      <family val="2"/>
    </font>
    <font>
      <sz val="8"/>
      <name val="Arial"/>
      <family val="2"/>
    </font>
    <font>
      <b/>
      <sz val="18"/>
      <name val="MS Sans Serif"/>
      <family val="2"/>
    </font>
    <font>
      <b/>
      <sz val="8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3" fillId="0" borderId="0" applyFont="0" applyFill="0" applyBorder="0" applyAlignment="0" applyProtection="0"/>
    <xf numFmtId="0" fontId="4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/>
    <xf numFmtId="164" fontId="0" fillId="0" borderId="0" xfId="0" applyNumberFormat="1" applyFill="1"/>
    <xf numFmtId="0" fontId="0" fillId="0" borderId="0" xfId="0" applyFill="1"/>
    <xf numFmtId="0" fontId="1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8" fontId="4" fillId="0" borderId="0" xfId="1" applyFont="1" applyAlignment="1">
      <alignment horizontal="right"/>
    </xf>
    <xf numFmtId="9" fontId="5" fillId="0" borderId="0" xfId="0" applyNumberFormat="1" applyFont="1"/>
    <xf numFmtId="164" fontId="0" fillId="0" borderId="0" xfId="0" applyNumberFormat="1"/>
    <xf numFmtId="44" fontId="6" fillId="0" borderId="3" xfId="0" applyNumberFormat="1" applyFont="1" applyBorder="1" applyAlignment="1">
      <alignment vertical="top" wrapText="1"/>
    </xf>
    <xf numFmtId="165" fontId="6" fillId="0" borderId="3" xfId="0" applyNumberFormat="1" applyFont="1" applyBorder="1" applyAlignment="1">
      <alignment vertical="top" wrapText="1"/>
    </xf>
    <xf numFmtId="164" fontId="6" fillId="0" borderId="3" xfId="0" applyNumberFormat="1" applyFont="1" applyBorder="1" applyAlignment="1">
      <alignment vertical="top" wrapText="1"/>
    </xf>
    <xf numFmtId="166" fontId="6" fillId="0" borderId="3" xfId="0" applyNumberFormat="1" applyFont="1" applyBorder="1" applyAlignment="1">
      <alignment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166" fontId="6" fillId="0" borderId="3" xfId="0" applyNumberFormat="1" applyFont="1" applyBorder="1" applyAlignment="1">
      <alignment horizontal="right" vertical="top" wrapText="1"/>
    </xf>
    <xf numFmtId="0" fontId="0" fillId="0" borderId="4" xfId="0" applyBorder="1" applyAlignment="1">
      <alignment horizontal="center"/>
    </xf>
    <xf numFmtId="167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6" xfId="0" applyFill="1" applyBorder="1" applyAlignment="1">
      <alignment horizontal="centerContinuous"/>
    </xf>
    <xf numFmtId="0" fontId="1" fillId="3" borderId="7" xfId="0" applyFont="1" applyFill="1" applyBorder="1" applyAlignment="1">
      <alignment horizontal="centerContinuous"/>
    </xf>
    <xf numFmtId="167" fontId="0" fillId="4" borderId="7" xfId="0" applyNumberFormat="1" applyFill="1" applyBorder="1" applyAlignment="1">
      <alignment horizontal="centerContinuous"/>
    </xf>
    <xf numFmtId="0" fontId="0" fillId="4" borderId="7" xfId="0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0" fillId="0" borderId="9" xfId="0" applyBorder="1"/>
    <xf numFmtId="0" fontId="0" fillId="0" borderId="10" xfId="0" applyBorder="1"/>
    <xf numFmtId="0" fontId="4" fillId="0" borderId="0" xfId="2" applyFont="1" applyAlignment="1">
      <alignment vertical="center"/>
    </xf>
    <xf numFmtId="14" fontId="1" fillId="0" borderId="11" xfId="2" applyNumberFormat="1" applyFont="1" applyFill="1" applyBorder="1" applyAlignment="1" applyProtection="1">
      <alignment horizontal="center" vertical="center"/>
    </xf>
    <xf numFmtId="0" fontId="4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0" borderId="12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14" fontId="1" fillId="0" borderId="13" xfId="2" applyNumberFormat="1" applyFont="1" applyBorder="1" applyAlignment="1">
      <alignment horizontal="left"/>
    </xf>
    <xf numFmtId="0" fontId="4" fillId="0" borderId="13" xfId="2" applyFont="1" applyBorder="1" applyAlignment="1">
      <alignment horizontal="center"/>
    </xf>
    <xf numFmtId="0" fontId="1" fillId="0" borderId="13" xfId="2" applyFont="1" applyBorder="1" applyAlignment="1">
      <alignment horizontal="left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1" fillId="0" borderId="15" xfId="2" applyFont="1" applyBorder="1" applyAlignment="1">
      <alignment horizontal="left"/>
    </xf>
    <xf numFmtId="0" fontId="4" fillId="0" borderId="0" xfId="2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6" xfId="0" applyBorder="1"/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0" fontId="6" fillId="0" borderId="3" xfId="0" applyFont="1" applyBorder="1" applyAlignment="1">
      <alignment horizontal="left" vertical="top"/>
    </xf>
    <xf numFmtId="6" fontId="4" fillId="0" borderId="0" xfId="1" applyNumberFormat="1" applyFont="1"/>
    <xf numFmtId="6" fontId="1" fillId="2" borderId="0" xfId="1" applyNumberFormat="1" applyFont="1" applyFill="1"/>
    <xf numFmtId="0" fontId="8" fillId="0" borderId="3" xfId="0" applyFont="1" applyBorder="1" applyAlignment="1">
      <alignment horizontal="left" vertical="top"/>
    </xf>
    <xf numFmtId="168" fontId="6" fillId="0" borderId="3" xfId="0" applyNumberFormat="1" applyFont="1" applyBorder="1" applyAlignment="1">
      <alignment horizontal="right" vertical="top" wrapText="1"/>
    </xf>
    <xf numFmtId="6" fontId="1" fillId="2" borderId="1" xfId="1" applyNumberFormat="1" applyFont="1" applyFill="1" applyBorder="1"/>
    <xf numFmtId="168" fontId="6" fillId="0" borderId="3" xfId="0" applyNumberFormat="1" applyFont="1" applyBorder="1" applyAlignment="1">
      <alignment vertical="top" wrapText="1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2" fillId="6" borderId="19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Normal_Lake Hills RF 033 8.06.0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en-US" sz="1100">
              <a:effectLst/>
              <a:latin typeface="+mn-lt"/>
              <a:ea typeface="+mn-ea"/>
              <a:cs typeface="+mn-cs"/>
            </a:rPr>
            <a:t>Can you send an invoice to Legacy for the Lobby HVAC units?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CFM had hooked up to our stub and had used the wrong fittings. We cleaned it up and re-graded the piping.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Joe was there for two hours , and used minimal material. </a:t>
          </a: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US" sz="1100" b="0" i="0" baseline="0">
              <a:latin typeface="+mn-lt"/>
              <a:ea typeface="+mn-ea"/>
              <a:cs typeface="+mn-cs"/>
            </a:rPr>
            <a:t>	</a:t>
          </a: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5"/>
  <sheetViews>
    <sheetView tabSelected="1" zoomScale="130" zoomScaleNormal="130" workbookViewId="0">
      <selection activeCell="B26" sqref="B26"/>
    </sheetView>
  </sheetViews>
  <sheetFormatPr defaultRowHeight="12.75" x14ac:dyDescent="0.2"/>
  <cols>
    <col min="1" max="1" width="4.5703125" bestFit="1" customWidth="1"/>
    <col min="2" max="2" width="39.140625" customWidth="1"/>
    <col min="3" max="3" width="5.7109375" customWidth="1"/>
    <col min="4" max="4" width="5.140625" bestFit="1" customWidth="1"/>
    <col min="5" max="5" width="8.28515625" bestFit="1" customWidth="1"/>
    <col min="6" max="6" width="8.28515625" customWidth="1"/>
    <col min="7" max="7" width="5.42578125" customWidth="1"/>
    <col min="8" max="8" width="5.140625" bestFit="1" customWidth="1"/>
    <col min="9" max="9" width="8.140625" customWidth="1"/>
    <col min="10" max="10" width="7" customWidth="1"/>
    <col min="11" max="11" width="8" bestFit="1" customWidth="1"/>
    <col min="12" max="12" width="10.85546875" customWidth="1"/>
    <col min="13" max="13" width="11" customWidth="1"/>
    <col min="15" max="15" width="13" customWidth="1"/>
  </cols>
  <sheetData>
    <row r="1" spans="1:12" x14ac:dyDescent="0.2">
      <c r="D1" s="1"/>
      <c r="H1" s="50" t="s">
        <v>12</v>
      </c>
      <c r="I1" s="58" t="s">
        <v>17</v>
      </c>
      <c r="J1" s="58"/>
      <c r="K1" s="58"/>
      <c r="L1" s="58"/>
    </row>
    <row r="2" spans="1:12" x14ac:dyDescent="0.2">
      <c r="D2" s="1"/>
      <c r="G2" s="32"/>
      <c r="H2" s="49" t="s">
        <v>11</v>
      </c>
      <c r="I2" s="59">
        <v>42712</v>
      </c>
      <c r="J2" s="58"/>
      <c r="K2" s="58"/>
      <c r="L2" s="58"/>
    </row>
    <row r="3" spans="1:12" x14ac:dyDescent="0.2">
      <c r="D3" s="1"/>
      <c r="G3" s="32"/>
      <c r="H3" s="49" t="s">
        <v>13</v>
      </c>
      <c r="I3" s="48"/>
      <c r="J3" s="33"/>
      <c r="K3" s="33"/>
      <c r="L3" s="33"/>
    </row>
    <row r="4" spans="1:12" ht="24" thickBot="1" x14ac:dyDescent="0.4">
      <c r="A4" s="63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</row>
    <row r="5" spans="1:12" ht="4.5" customHeight="1" x14ac:dyDescent="0.2">
      <c r="A5" s="64" t="s">
        <v>10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6"/>
    </row>
    <row r="6" spans="1:12" ht="12.75" customHeight="1" x14ac:dyDescent="0.2">
      <c r="A6" s="67"/>
      <c r="B6" s="68"/>
      <c r="C6" s="68"/>
      <c r="D6" s="68"/>
      <c r="E6" s="68"/>
      <c r="F6" s="68"/>
      <c r="G6" s="68"/>
      <c r="H6" s="68"/>
      <c r="I6" s="68"/>
      <c r="J6" s="68"/>
      <c r="K6" s="68"/>
      <c r="L6" s="69"/>
    </row>
    <row r="7" spans="1:12" ht="4.5" customHeight="1" thickBot="1" x14ac:dyDescent="0.25">
      <c r="A7" s="70"/>
      <c r="B7" s="71"/>
      <c r="C7" s="71"/>
      <c r="D7" s="71"/>
      <c r="E7" s="71"/>
      <c r="F7" s="71"/>
      <c r="G7" s="71"/>
      <c r="H7" s="71"/>
      <c r="I7" s="71"/>
      <c r="J7" s="71"/>
      <c r="K7" s="71"/>
      <c r="L7" s="72"/>
    </row>
    <row r="8" spans="1:12" x14ac:dyDescent="0.2">
      <c r="A8" s="47"/>
      <c r="B8" s="45"/>
      <c r="C8" s="45"/>
      <c r="D8" s="46"/>
      <c r="E8" s="45"/>
      <c r="F8" s="45"/>
      <c r="G8" s="32"/>
      <c r="H8" s="44"/>
      <c r="I8" s="34"/>
      <c r="J8" s="33"/>
      <c r="K8" s="33"/>
      <c r="L8" s="43"/>
    </row>
    <row r="9" spans="1:12" x14ac:dyDescent="0.2">
      <c r="A9" s="47"/>
      <c r="B9" s="45"/>
      <c r="C9" s="45"/>
      <c r="D9" s="46"/>
      <c r="E9" s="45"/>
      <c r="F9" s="45"/>
      <c r="G9" s="32"/>
      <c r="H9" s="44"/>
      <c r="I9" s="34"/>
      <c r="J9" s="33"/>
      <c r="K9" s="33"/>
      <c r="L9" s="43"/>
    </row>
    <row r="10" spans="1:12" x14ac:dyDescent="0.2">
      <c r="A10" s="47"/>
      <c r="B10" s="45"/>
      <c r="C10" s="45"/>
      <c r="D10" s="46"/>
      <c r="E10" s="45"/>
      <c r="F10" s="45"/>
      <c r="G10" s="32"/>
      <c r="H10" s="44"/>
      <c r="I10" s="34"/>
      <c r="J10" s="33"/>
      <c r="K10" s="33"/>
      <c r="L10" s="43"/>
    </row>
    <row r="11" spans="1:12" ht="13.5" thickBot="1" x14ac:dyDescent="0.25">
      <c r="A11" s="42"/>
      <c r="B11" s="40"/>
      <c r="C11" s="40"/>
      <c r="D11" s="41"/>
      <c r="E11" s="40"/>
      <c r="F11" s="40"/>
      <c r="G11" s="39"/>
      <c r="H11" s="38"/>
      <c r="I11" s="37"/>
      <c r="J11" s="36"/>
      <c r="K11" s="36"/>
      <c r="L11" s="35"/>
    </row>
    <row r="12" spans="1:12" ht="6" customHeight="1" x14ac:dyDescent="0.2">
      <c r="D12" s="1"/>
      <c r="G12" s="32"/>
      <c r="H12" s="31"/>
      <c r="I12" s="34"/>
      <c r="J12" s="33"/>
      <c r="K12" s="33"/>
      <c r="L12" s="33"/>
    </row>
    <row r="13" spans="1:12" ht="6" customHeight="1" x14ac:dyDescent="0.2">
      <c r="D13" s="1"/>
      <c r="E13" s="32"/>
      <c r="F13" s="31"/>
      <c r="G13" s="30"/>
      <c r="H13" s="30"/>
      <c r="I13" s="30"/>
      <c r="J13" s="29"/>
    </row>
    <row r="14" spans="1:12" x14ac:dyDescent="0.2">
      <c r="A14" s="28"/>
      <c r="B14" s="27"/>
      <c r="C14" s="60" t="s">
        <v>9</v>
      </c>
      <c r="D14" s="61"/>
      <c r="E14" s="61"/>
      <c r="F14" s="62"/>
      <c r="G14" s="26" t="s">
        <v>8</v>
      </c>
      <c r="H14" s="25"/>
      <c r="I14" s="25"/>
      <c r="J14" s="24"/>
      <c r="K14" s="23" t="s">
        <v>7</v>
      </c>
      <c r="L14" s="22"/>
    </row>
    <row r="15" spans="1:12" x14ac:dyDescent="0.2">
      <c r="A15" s="21" t="s">
        <v>6</v>
      </c>
      <c r="B15" s="20" t="s">
        <v>5</v>
      </c>
      <c r="C15" s="18" t="s">
        <v>14</v>
      </c>
      <c r="D15" s="18" t="s">
        <v>3</v>
      </c>
      <c r="E15" s="18" t="s">
        <v>4</v>
      </c>
      <c r="F15" s="19" t="s">
        <v>2</v>
      </c>
      <c r="G15" s="18" t="s">
        <v>14</v>
      </c>
      <c r="H15" s="18" t="s">
        <v>3</v>
      </c>
      <c r="I15" s="18" t="s">
        <v>4</v>
      </c>
      <c r="J15" s="19" t="s">
        <v>2</v>
      </c>
      <c r="K15" s="18" t="s">
        <v>3</v>
      </c>
      <c r="L15" s="18" t="s">
        <v>2</v>
      </c>
    </row>
    <row r="16" spans="1:12" x14ac:dyDescent="0.2">
      <c r="A16" s="16"/>
      <c r="B16" s="54"/>
      <c r="C16" s="55"/>
      <c r="D16" s="15"/>
      <c r="E16" s="17"/>
      <c r="F16" s="13"/>
      <c r="G16" s="12"/>
      <c r="H16" s="15"/>
      <c r="I16" s="14"/>
      <c r="J16" s="13"/>
      <c r="K16" s="12"/>
      <c r="L16" s="11"/>
    </row>
    <row r="17" spans="1:12" x14ac:dyDescent="0.2">
      <c r="A17" s="16"/>
      <c r="B17" s="51" t="s">
        <v>18</v>
      </c>
      <c r="C17" s="57">
        <v>2</v>
      </c>
      <c r="D17" s="15" t="s">
        <v>15</v>
      </c>
      <c r="E17" s="14">
        <v>125</v>
      </c>
      <c r="F17" s="13">
        <f>C17*E17</f>
        <v>250</v>
      </c>
      <c r="G17" s="12"/>
      <c r="H17" s="15"/>
      <c r="I17" s="14"/>
      <c r="J17" s="13"/>
      <c r="K17" s="12"/>
      <c r="L17" s="11"/>
    </row>
    <row r="18" spans="1:12" x14ac:dyDescent="0.2">
      <c r="A18" s="16"/>
      <c r="B18" s="51" t="s">
        <v>19</v>
      </c>
      <c r="C18" s="12"/>
      <c r="D18" s="15"/>
      <c r="E18" s="14"/>
      <c r="F18" s="13"/>
      <c r="G18" s="12">
        <v>1</v>
      </c>
      <c r="H18" s="15" t="s">
        <v>20</v>
      </c>
      <c r="I18" s="14">
        <v>25</v>
      </c>
      <c r="J18" s="13">
        <f t="shared" ref="J18" si="0">G18*I18</f>
        <v>25</v>
      </c>
      <c r="K18" s="12"/>
      <c r="L18" s="11"/>
    </row>
    <row r="19" spans="1:12" x14ac:dyDescent="0.2">
      <c r="A19" s="16"/>
      <c r="B19" s="51" t="s">
        <v>21</v>
      </c>
      <c r="C19" s="57">
        <v>1.5</v>
      </c>
      <c r="D19" s="15" t="s">
        <v>15</v>
      </c>
      <c r="E19" s="14">
        <v>125</v>
      </c>
      <c r="F19" s="13">
        <f>E19*C19</f>
        <v>187.5</v>
      </c>
      <c r="G19" s="12"/>
      <c r="H19" s="15"/>
      <c r="I19" s="14"/>
      <c r="J19" s="13"/>
      <c r="K19" s="12"/>
      <c r="L19" s="11"/>
    </row>
    <row r="20" spans="1:12" x14ac:dyDescent="0.2">
      <c r="B20" s="5" t="s">
        <v>1</v>
      </c>
      <c r="D20" s="1"/>
      <c r="F20" s="10">
        <f>SUM(F16:F19)</f>
        <v>437.5</v>
      </c>
      <c r="J20" s="10">
        <f>SUM(J16:J19)</f>
        <v>25</v>
      </c>
      <c r="L20" s="10">
        <f>SUM(L16:L19)</f>
        <v>0</v>
      </c>
    </row>
    <row r="21" spans="1:12" x14ac:dyDescent="0.2">
      <c r="B21" s="8" t="s">
        <v>0</v>
      </c>
      <c r="D21" s="1"/>
      <c r="E21" s="9">
        <v>0.15</v>
      </c>
      <c r="F21" s="52">
        <f>+E21*F20</f>
        <v>65.625</v>
      </c>
      <c r="I21" s="9">
        <v>0.15</v>
      </c>
      <c r="J21" s="52">
        <f>+I21*J20</f>
        <v>3.75</v>
      </c>
      <c r="K21" s="9">
        <v>0.2</v>
      </c>
      <c r="L21" s="52">
        <f>+K21*L20</f>
        <v>0</v>
      </c>
    </row>
    <row r="22" spans="1:12" x14ac:dyDescent="0.2">
      <c r="B22" s="7" t="s">
        <v>16</v>
      </c>
      <c r="D22" s="1"/>
      <c r="F22" s="53">
        <f>F20+F21</f>
        <v>503.125</v>
      </c>
      <c r="G22" s="6"/>
      <c r="H22" s="6"/>
      <c r="I22" s="6"/>
      <c r="J22" s="53">
        <f>J20+J21</f>
        <v>28.75</v>
      </c>
      <c r="K22" s="6"/>
      <c r="L22" s="53">
        <f>L20+L21</f>
        <v>0</v>
      </c>
    </row>
    <row r="23" spans="1:12" ht="13.5" thickBot="1" x14ac:dyDescent="0.25">
      <c r="B23" s="5"/>
      <c r="D23" s="1"/>
      <c r="F23" s="3"/>
      <c r="G23" s="4"/>
      <c r="H23" s="4"/>
      <c r="I23" s="4"/>
      <c r="J23" s="3"/>
      <c r="K23" s="4"/>
      <c r="L23" s="3"/>
    </row>
    <row r="24" spans="1:12" x14ac:dyDescent="0.2">
      <c r="B24" s="2" t="s">
        <v>2</v>
      </c>
      <c r="D24" s="1"/>
    </row>
    <row r="25" spans="1:12" ht="13.5" thickBot="1" x14ac:dyDescent="0.25">
      <c r="B25" s="56">
        <f>F22+J22+L22</f>
        <v>531.875</v>
      </c>
      <c r="D25" s="1"/>
    </row>
  </sheetData>
  <mergeCells count="5">
    <mergeCell ref="I1:L1"/>
    <mergeCell ref="I2:L2"/>
    <mergeCell ref="C14:F14"/>
    <mergeCell ref="A4:L4"/>
    <mergeCell ref="A5:L7"/>
  </mergeCells>
  <pageMargins left="0.75" right="0.75" top="1" bottom="1" header="0.5" footer="0.5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CGC BP </vt:lpstr>
      <vt:lpstr>'CGC BP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2015-09-01T17:34:10Z</cp:lastPrinted>
  <dcterms:created xsi:type="dcterms:W3CDTF">2014-07-14T23:11:07Z</dcterms:created>
  <dcterms:modified xsi:type="dcterms:W3CDTF">2019-08-07T22:39:49Z</dcterms:modified>
</cp:coreProperties>
</file>