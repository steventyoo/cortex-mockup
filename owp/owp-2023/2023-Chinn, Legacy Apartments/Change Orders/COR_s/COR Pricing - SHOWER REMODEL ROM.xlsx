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2" i="1" l="1"/>
  <c r="L64" i="1"/>
  <c r="L65" i="1" s="1"/>
  <c r="L66" i="1" s="1"/>
  <c r="K64" i="1"/>
  <c r="F61" i="1"/>
  <c r="J60" i="1"/>
  <c r="F59" i="1"/>
  <c r="F58" i="1"/>
  <c r="F57" i="1"/>
  <c r="F56" i="1"/>
  <c r="F55" i="1"/>
  <c r="J64" i="1" l="1"/>
  <c r="J65" i="1" s="1"/>
  <c r="J66" i="1" s="1"/>
  <c r="F64" i="1"/>
  <c r="F65" i="1" s="1"/>
  <c r="F66" i="1" s="1"/>
  <c r="J42" i="1"/>
  <c r="B69" i="1" l="1"/>
  <c r="F41" i="1"/>
  <c r="F36" i="1"/>
  <c r="L44" i="1"/>
  <c r="K44" i="1"/>
  <c r="J40" i="1"/>
  <c r="J44" i="1" s="1"/>
  <c r="F39" i="1"/>
  <c r="F38" i="1"/>
  <c r="F37" i="1"/>
  <c r="F35" i="1"/>
  <c r="F18" i="1"/>
  <c r="F19" i="1"/>
  <c r="F44" i="1" l="1"/>
  <c r="F45" i="1" s="1"/>
  <c r="F46" i="1" s="1"/>
  <c r="J45" i="1"/>
  <c r="J46" i="1" s="1"/>
  <c r="L45" i="1"/>
  <c r="L46" i="1" s="1"/>
  <c r="J21" i="1"/>
  <c r="B49" i="1" l="1"/>
  <c r="F20" i="1"/>
  <c r="L23" i="1"/>
  <c r="F17" i="1" l="1"/>
  <c r="F23" i="1" s="1"/>
  <c r="K23" i="1" l="1"/>
  <c r="L24" i="1"/>
  <c r="L25" i="1" l="1"/>
  <c r="F24" i="1" l="1"/>
  <c r="F25" i="1" s="1"/>
  <c r="J23" i="1"/>
  <c r="J24" i="1" l="1"/>
  <c r="J25" i="1" l="1"/>
  <c r="B28" i="1" s="1"/>
</calcChain>
</file>

<file path=xl/sharedStrings.xml><?xml version="1.0" encoding="utf-8"?>
<sst xmlns="http://schemas.openxmlformats.org/spreadsheetml/2006/main" count="110" uniqueCount="34">
  <si>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</si>
  <si>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</si>
  <si>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</si>
  <si>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</si>
  <si>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</si>
  <si>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</si>
  <si>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</si>
  <si>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</si>
  <si>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</si>
  <si>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</si>
  <si>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</si>
  <si>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</si>
  <si>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</si>
  <si>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</si>
  <si>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</si>
  <si>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</si>
  <si>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</si>
  <si>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</si>
  <si>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</si>
  <si>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</si>
  <si>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</si>
  <si>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PIPE &amp; FITTINGS</t>
  </si>
  <si>
    <t>JOE BARNHART COORDINATION</t>
  </si>
  <si>
    <t>DEMO PIPING</t>
  </si>
  <si>
    <t>TEST &amp; INSPECT</t>
  </si>
  <si>
    <t>REINSTALL WATER &amp; WASTE PIPING</t>
  </si>
  <si>
    <t>UNIT WITHOUT SHOWER INSTALLED</t>
  </si>
  <si>
    <t>UNIT WITH SHOWER INSTALLED</t>
  </si>
  <si>
    <t>REMOVE SHOWER</t>
  </si>
  <si>
    <t>REINSTALL SHOWER</t>
  </si>
  <si>
    <t>MORTAR</t>
  </si>
  <si>
    <t>BAG</t>
  </si>
  <si>
    <t>WATTS FD-15 DRAIN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</si>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</sst>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8" fontId="6" fillId="0" borderId="3" xfId="0" applyNumberFormat="1" applyFont="1" applyBorder="1" applyAlignment="1">
      <alignment vertical="top" wrapText="1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SHOWER REMODEL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tabSelected="1" topLeftCell="A43" zoomScale="130" zoomScaleNormal="130" workbookViewId="0">
      <selection activeCell="H51" sqref="H51"/>
    </sheetView>
  </sheetViews>
  <sheetFormatPr defaultRowHeight="12.75" x14ac:dyDescent="0.2"/>
  <cols>
    <col min="1" max="1" width="4.5703125" bestFit="1" customWidth="1"/>
    <col min="2" max="2" width="35.7109375" customWidth="1"/>
    <col min="3" max="3" width="7.710937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4" t="s">
        <v>17</v>
      </c>
      <c r="J1" s="64"/>
      <c r="K1" s="64"/>
      <c r="L1" s="64"/>
    </row>
    <row r="2" spans="1:15" x14ac:dyDescent="0.2">
      <c r="D2" s="1"/>
      <c r="G2" s="34"/>
      <c r="H2" s="51" t="s">
        <v>12</v>
      </c>
      <c r="I2" s="65">
        <v>42466</v>
      </c>
      <c r="J2" s="64"/>
      <c r="K2" s="64"/>
      <c r="L2" s="64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3" t="s">
        <v>10</v>
      </c>
      <c r="D14" s="63"/>
      <c r="E14" s="63"/>
      <c r="F14" s="63"/>
      <c r="G14" s="28" t="s">
        <v>9</v>
      </c>
      <c r="H14" s="27"/>
      <c r="I14" s="27"/>
      <c r="J14" s="60" t="s">
        <v>19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1" t="s">
        <v>26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4" t="s">
        <v>22</v>
      </c>
      <c r="C17" s="16">
        <v>3</v>
      </c>
      <c r="D17" s="19" t="s">
        <v>18</v>
      </c>
      <c r="E17" s="18">
        <v>80</v>
      </c>
      <c r="F17" s="17">
        <f t="shared" ref="F17:F20" si="0">C17*E17</f>
        <v>240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4" t="s">
        <v>23</v>
      </c>
      <c r="C18" s="16">
        <v>2</v>
      </c>
      <c r="D18" s="19" t="s">
        <v>18</v>
      </c>
      <c r="E18" s="18">
        <v>60.5</v>
      </c>
      <c r="F18" s="17">
        <f t="shared" si="0"/>
        <v>121</v>
      </c>
      <c r="G18" s="16"/>
      <c r="H18" s="19"/>
      <c r="I18" s="18"/>
      <c r="J18" s="17"/>
      <c r="K18" s="16"/>
      <c r="L18" s="15"/>
      <c r="M18" s="14"/>
      <c r="O18" s="53"/>
    </row>
    <row r="19" spans="1:15" x14ac:dyDescent="0.2">
      <c r="A19" s="20"/>
      <c r="B19" s="54" t="s">
        <v>25</v>
      </c>
      <c r="C19" s="16">
        <v>6</v>
      </c>
      <c r="D19" s="19" t="s">
        <v>18</v>
      </c>
      <c r="E19" s="18">
        <v>60.5</v>
      </c>
      <c r="F19" s="17">
        <f t="shared" si="0"/>
        <v>363</v>
      </c>
      <c r="G19" s="16"/>
      <c r="H19" s="19"/>
      <c r="I19" s="18"/>
      <c r="J19" s="17"/>
      <c r="K19" s="16"/>
      <c r="L19" s="15"/>
      <c r="M19" s="14"/>
      <c r="O19" s="53"/>
    </row>
    <row r="20" spans="1:15" x14ac:dyDescent="0.2">
      <c r="A20" s="20"/>
      <c r="B20" s="54" t="s">
        <v>24</v>
      </c>
      <c r="C20" s="16">
        <v>2</v>
      </c>
      <c r="D20" s="19" t="s">
        <v>18</v>
      </c>
      <c r="E20" s="18">
        <v>60.5</v>
      </c>
      <c r="F20" s="17">
        <f t="shared" si="0"/>
        <v>121</v>
      </c>
      <c r="G20" s="16"/>
      <c r="H20" s="19"/>
      <c r="I20" s="18"/>
      <c r="J20" s="17"/>
      <c r="K20" s="16"/>
      <c r="L20" s="15"/>
      <c r="M20" s="14"/>
      <c r="O20" s="53"/>
    </row>
    <row r="21" spans="1:15" x14ac:dyDescent="0.2">
      <c r="A21" s="20"/>
      <c r="B21" s="54" t="s">
        <v>21</v>
      </c>
      <c r="C21" s="16"/>
      <c r="D21" s="19"/>
      <c r="E21" s="18"/>
      <c r="F21" s="17"/>
      <c r="G21" s="16">
        <v>1</v>
      </c>
      <c r="H21" s="19" t="s">
        <v>20</v>
      </c>
      <c r="I21" s="18">
        <v>200</v>
      </c>
      <c r="J21" s="17">
        <f>G21*I21</f>
        <v>200</v>
      </c>
      <c r="K21" s="16"/>
      <c r="L21" s="15"/>
      <c r="M21" s="14"/>
      <c r="O21" s="53"/>
    </row>
    <row r="22" spans="1:15" x14ac:dyDescent="0.2">
      <c r="A22" s="20"/>
      <c r="B22" s="62"/>
      <c r="C22" s="16"/>
      <c r="D22" s="19"/>
      <c r="E22" s="18"/>
      <c r="F22" s="17"/>
      <c r="G22" s="16"/>
      <c r="H22" s="19"/>
      <c r="I22" s="18"/>
      <c r="J22" s="17"/>
      <c r="K22" s="16"/>
      <c r="L22" s="15"/>
      <c r="M22" s="14"/>
      <c r="O22" s="53"/>
    </row>
    <row r="23" spans="1:15" x14ac:dyDescent="0.2">
      <c r="B23" s="5" t="s">
        <v>2</v>
      </c>
      <c r="D23" s="1"/>
      <c r="F23" s="14">
        <f>SUM(F17:F22)</f>
        <v>845</v>
      </c>
      <c r="G23" s="14"/>
      <c r="H23" s="14"/>
      <c r="I23" s="14"/>
      <c r="J23" s="14">
        <f>SUM(J17:J22)</f>
        <v>200</v>
      </c>
      <c r="K23" s="14">
        <f>SUM(K17:K22)</f>
        <v>0</v>
      </c>
      <c r="L23" s="14">
        <f>SUM(L17:L22)</f>
        <v>0</v>
      </c>
    </row>
    <row r="24" spans="1:15" x14ac:dyDescent="0.2">
      <c r="B24" s="12" t="s">
        <v>1</v>
      </c>
      <c r="D24" s="1"/>
      <c r="E24" s="13">
        <v>0.1</v>
      </c>
      <c r="F24" s="55">
        <f>+E24*F23</f>
        <v>84.5</v>
      </c>
      <c r="I24" s="13">
        <v>0.1</v>
      </c>
      <c r="J24" s="57">
        <f>+I24*J23</f>
        <v>20</v>
      </c>
      <c r="K24" s="13">
        <v>0.1</v>
      </c>
      <c r="L24" s="11">
        <f>+K24*L23</f>
        <v>0</v>
      </c>
    </row>
    <row r="25" spans="1:15" x14ac:dyDescent="0.2">
      <c r="B25" s="10" t="s">
        <v>15</v>
      </c>
      <c r="D25" s="1"/>
      <c r="F25" s="56">
        <f>F23+F24</f>
        <v>929.5</v>
      </c>
      <c r="G25" s="9"/>
      <c r="H25" s="9"/>
      <c r="I25" s="9"/>
      <c r="J25" s="58">
        <f>J23+J24</f>
        <v>220</v>
      </c>
      <c r="K25" s="9"/>
      <c r="L25" s="8">
        <f>L23+L24</f>
        <v>0</v>
      </c>
    </row>
    <row r="26" spans="1:15" ht="13.5" thickBot="1" x14ac:dyDescent="0.25">
      <c r="B26" s="5"/>
      <c r="D26" s="1"/>
      <c r="F26" s="3"/>
      <c r="G26" s="4"/>
      <c r="H26" s="4"/>
      <c r="I26" s="7"/>
      <c r="J26" s="3"/>
      <c r="K26" s="6"/>
      <c r="L26" s="3"/>
    </row>
    <row r="27" spans="1:15" x14ac:dyDescent="0.2">
      <c r="B27" s="2" t="s">
        <v>0</v>
      </c>
      <c r="D27" s="1"/>
    </row>
    <row r="28" spans="1:15" ht="13.5" thickBot="1" x14ac:dyDescent="0.25">
      <c r="B28" s="59">
        <f>F25+J25+L25</f>
        <v>1149.5</v>
      </c>
      <c r="D28" s="1"/>
    </row>
    <row r="32" spans="1:15" x14ac:dyDescent="0.2">
      <c r="A32" s="30"/>
      <c r="B32" s="29"/>
      <c r="C32" s="63" t="s">
        <v>10</v>
      </c>
      <c r="D32" s="63"/>
      <c r="E32" s="63"/>
      <c r="F32" s="63"/>
      <c r="G32" s="28" t="s">
        <v>9</v>
      </c>
      <c r="H32" s="27"/>
      <c r="I32" s="27"/>
      <c r="J32" s="60" t="s">
        <v>19</v>
      </c>
      <c r="K32" s="26" t="s">
        <v>8</v>
      </c>
      <c r="L32" s="25"/>
    </row>
    <row r="33" spans="1:15" x14ac:dyDescent="0.2">
      <c r="A33" s="24" t="s">
        <v>7</v>
      </c>
      <c r="B33" s="23" t="s">
        <v>6</v>
      </c>
      <c r="C33" s="21" t="s">
        <v>16</v>
      </c>
      <c r="D33" s="21" t="s">
        <v>4</v>
      </c>
      <c r="E33" s="21" t="s">
        <v>5</v>
      </c>
      <c r="F33" s="22" t="s">
        <v>3</v>
      </c>
      <c r="G33" s="21" t="s">
        <v>16</v>
      </c>
      <c r="H33" s="21" t="s">
        <v>4</v>
      </c>
      <c r="I33" s="21" t="s">
        <v>5</v>
      </c>
      <c r="J33" s="22" t="s">
        <v>3</v>
      </c>
      <c r="K33" s="21" t="s">
        <v>4</v>
      </c>
      <c r="L33" s="21" t="s">
        <v>3</v>
      </c>
    </row>
    <row r="34" spans="1:15" x14ac:dyDescent="0.2">
      <c r="A34" s="20"/>
      <c r="B34" s="61" t="s">
        <v>27</v>
      </c>
      <c r="C34" s="16"/>
      <c r="D34" s="19"/>
      <c r="E34" s="18"/>
      <c r="F34" s="17"/>
      <c r="G34" s="16"/>
      <c r="H34" s="19"/>
      <c r="I34" s="18"/>
      <c r="J34" s="17"/>
      <c r="K34" s="16"/>
      <c r="L34" s="15"/>
      <c r="M34" s="14"/>
      <c r="O34" s="53"/>
    </row>
    <row r="35" spans="1:15" x14ac:dyDescent="0.2">
      <c r="A35" s="20"/>
      <c r="B35" s="54" t="s">
        <v>22</v>
      </c>
      <c r="C35" s="16">
        <v>3</v>
      </c>
      <c r="D35" s="19" t="s">
        <v>18</v>
      </c>
      <c r="E35" s="18">
        <v>80</v>
      </c>
      <c r="F35" s="17">
        <f t="shared" ref="F35:F41" si="1">C35*E35</f>
        <v>240</v>
      </c>
      <c r="G35" s="16"/>
      <c r="H35" s="19"/>
      <c r="I35" s="18"/>
      <c r="J35" s="17"/>
      <c r="K35" s="16"/>
      <c r="L35" s="15"/>
      <c r="M35" s="14"/>
      <c r="O35" s="53"/>
    </row>
    <row r="36" spans="1:15" x14ac:dyDescent="0.2">
      <c r="A36" s="20"/>
      <c r="B36" s="54" t="s">
        <v>28</v>
      </c>
      <c r="C36" s="16">
        <v>2</v>
      </c>
      <c r="D36" s="19" t="s">
        <v>18</v>
      </c>
      <c r="E36" s="18">
        <v>60.5</v>
      </c>
      <c r="F36" s="17">
        <f t="shared" si="1"/>
        <v>121</v>
      </c>
      <c r="G36" s="16"/>
      <c r="H36" s="19"/>
      <c r="I36" s="18"/>
      <c r="J36" s="17"/>
      <c r="K36" s="16"/>
      <c r="L36" s="15"/>
      <c r="M36" s="14"/>
      <c r="O36" s="53"/>
    </row>
    <row r="37" spans="1:15" x14ac:dyDescent="0.2">
      <c r="A37" s="20"/>
      <c r="B37" s="54" t="s">
        <v>23</v>
      </c>
      <c r="C37" s="16">
        <v>2</v>
      </c>
      <c r="D37" s="19" t="s">
        <v>18</v>
      </c>
      <c r="E37" s="18">
        <v>60.5</v>
      </c>
      <c r="F37" s="17">
        <f t="shared" si="1"/>
        <v>121</v>
      </c>
      <c r="G37" s="16"/>
      <c r="H37" s="19"/>
      <c r="I37" s="18"/>
      <c r="J37" s="17"/>
      <c r="K37" s="16"/>
      <c r="L37" s="15"/>
      <c r="M37" s="14"/>
      <c r="O37" s="53"/>
    </row>
    <row r="38" spans="1:15" x14ac:dyDescent="0.2">
      <c r="A38" s="20"/>
      <c r="B38" s="54" t="s">
        <v>25</v>
      </c>
      <c r="C38" s="16">
        <v>6</v>
      </c>
      <c r="D38" s="19" t="s">
        <v>18</v>
      </c>
      <c r="E38" s="18">
        <v>60.5</v>
      </c>
      <c r="F38" s="17">
        <f t="shared" si="1"/>
        <v>363</v>
      </c>
      <c r="G38" s="16"/>
      <c r="H38" s="19"/>
      <c r="I38" s="18"/>
      <c r="J38" s="17"/>
      <c r="K38" s="16"/>
      <c r="L38" s="15"/>
      <c r="M38" s="14"/>
      <c r="O38" s="53"/>
    </row>
    <row r="39" spans="1:15" x14ac:dyDescent="0.2">
      <c r="A39" s="20"/>
      <c r="B39" s="54" t="s">
        <v>24</v>
      </c>
      <c r="C39" s="16">
        <v>2</v>
      </c>
      <c r="D39" s="19" t="s">
        <v>18</v>
      </c>
      <c r="E39" s="18">
        <v>60.5</v>
      </c>
      <c r="F39" s="17">
        <f t="shared" si="1"/>
        <v>121</v>
      </c>
      <c r="G39" s="16"/>
      <c r="H39" s="19"/>
      <c r="I39" s="18"/>
      <c r="J39" s="17"/>
      <c r="K39" s="16"/>
      <c r="L39" s="15"/>
      <c r="M39" s="14"/>
      <c r="O39" s="53"/>
    </row>
    <row r="40" spans="1:15" x14ac:dyDescent="0.2">
      <c r="A40" s="20"/>
      <c r="B40" s="54" t="s">
        <v>21</v>
      </c>
      <c r="C40" s="16"/>
      <c r="D40" s="19"/>
      <c r="E40" s="18"/>
      <c r="F40" s="17"/>
      <c r="G40" s="16">
        <v>1</v>
      </c>
      <c r="H40" s="19" t="s">
        <v>20</v>
      </c>
      <c r="I40" s="18">
        <v>200</v>
      </c>
      <c r="J40" s="17">
        <f>G40*I40</f>
        <v>200</v>
      </c>
      <c r="K40" s="16"/>
      <c r="L40" s="15"/>
      <c r="M40" s="14"/>
      <c r="O40" s="53"/>
    </row>
    <row r="41" spans="1:15" x14ac:dyDescent="0.2">
      <c r="A41" s="20"/>
      <c r="B41" s="54" t="s">
        <v>29</v>
      </c>
      <c r="C41" s="16">
        <v>2</v>
      </c>
      <c r="D41" s="19" t="s">
        <v>18</v>
      </c>
      <c r="E41" s="18">
        <v>60.5</v>
      </c>
      <c r="F41" s="17">
        <f t="shared" si="1"/>
        <v>121</v>
      </c>
      <c r="G41" s="16"/>
      <c r="H41" s="19"/>
      <c r="I41" s="18"/>
      <c r="J41" s="17"/>
      <c r="K41" s="16"/>
      <c r="L41" s="15"/>
      <c r="M41" s="14"/>
      <c r="O41" s="53"/>
    </row>
    <row r="42" spans="1:15" x14ac:dyDescent="0.2">
      <c r="A42" s="20"/>
      <c r="B42" s="54" t="s">
        <v>30</v>
      </c>
      <c r="C42" s="16"/>
      <c r="D42" s="19"/>
      <c r="E42" s="18"/>
      <c r="F42" s="17"/>
      <c r="G42" s="16">
        <v>2</v>
      </c>
      <c r="H42" s="19" t="s">
        <v>31</v>
      </c>
      <c r="I42" s="18">
        <v>10</v>
      </c>
      <c r="J42" s="17">
        <f>G42*I42</f>
        <v>20</v>
      </c>
      <c r="K42" s="16"/>
      <c r="L42" s="15"/>
      <c r="M42" s="14"/>
      <c r="O42" s="53"/>
    </row>
    <row r="43" spans="1:15" x14ac:dyDescent="0.2">
      <c r="A43" s="20"/>
      <c r="B43" s="62"/>
      <c r="C43" s="16"/>
      <c r="D43" s="19"/>
      <c r="E43" s="18"/>
      <c r="F43" s="17"/>
      <c r="G43" s="16"/>
      <c r="H43" s="19"/>
      <c r="I43" s="18"/>
      <c r="J43" s="17"/>
      <c r="K43" s="16"/>
      <c r="L43" s="15"/>
      <c r="M43" s="14"/>
      <c r="O43" s="53"/>
    </row>
    <row r="44" spans="1:15" x14ac:dyDescent="0.2">
      <c r="B44" s="5" t="s">
        <v>2</v>
      </c>
      <c r="D44" s="1"/>
      <c r="F44" s="14">
        <f>SUM(F35:F43)</f>
        <v>1087</v>
      </c>
      <c r="G44" s="14"/>
      <c r="H44" s="14"/>
      <c r="I44" s="14"/>
      <c r="J44" s="14">
        <f>SUM(J35:J43)</f>
        <v>220</v>
      </c>
      <c r="K44" s="14">
        <f>SUM(K35:K43)</f>
        <v>0</v>
      </c>
      <c r="L44" s="14">
        <f>SUM(L35:L43)</f>
        <v>0</v>
      </c>
    </row>
    <row r="45" spans="1:15" x14ac:dyDescent="0.2">
      <c r="B45" s="12" t="s">
        <v>1</v>
      </c>
      <c r="D45" s="1"/>
      <c r="E45" s="13">
        <v>0.1</v>
      </c>
      <c r="F45" s="55">
        <f>+E45*F44</f>
        <v>108.7</v>
      </c>
      <c r="I45" s="13">
        <v>0.1</v>
      </c>
      <c r="J45" s="57">
        <f>+I45*J44</f>
        <v>22</v>
      </c>
      <c r="K45" s="13">
        <v>0.1</v>
      </c>
      <c r="L45" s="11">
        <f>+K45*L44</f>
        <v>0</v>
      </c>
    </row>
    <row r="46" spans="1:15" x14ac:dyDescent="0.2">
      <c r="B46" s="10" t="s">
        <v>15</v>
      </c>
      <c r="D46" s="1"/>
      <c r="F46" s="56">
        <f>F44+F45</f>
        <v>1195.7</v>
      </c>
      <c r="G46" s="9"/>
      <c r="H46" s="9"/>
      <c r="I46" s="9"/>
      <c r="J46" s="58">
        <f>J44+J45</f>
        <v>242</v>
      </c>
      <c r="K46" s="9"/>
      <c r="L46" s="8">
        <f>L44+L45</f>
        <v>0</v>
      </c>
    </row>
    <row r="47" spans="1:15" ht="13.5" thickBot="1" x14ac:dyDescent="0.25">
      <c r="B47" s="5"/>
      <c r="D47" s="1"/>
      <c r="F47" s="3"/>
      <c r="G47" s="4"/>
      <c r="H47" s="4"/>
      <c r="I47" s="7"/>
      <c r="J47" s="3"/>
      <c r="K47" s="6"/>
      <c r="L47" s="3"/>
    </row>
    <row r="48" spans="1:15" x14ac:dyDescent="0.2">
      <c r="B48" s="2" t="s">
        <v>0</v>
      </c>
      <c r="D48" s="1"/>
    </row>
    <row r="49" spans="1:15" ht="13.5" thickBot="1" x14ac:dyDescent="0.25">
      <c r="B49" s="59">
        <f>F46+J46+L46</f>
        <v>1437.7</v>
      </c>
      <c r="D49" s="1"/>
    </row>
    <row r="52" spans="1:15" x14ac:dyDescent="0.2">
      <c r="A52" s="30"/>
      <c r="B52" s="29"/>
      <c r="C52" s="63" t="s">
        <v>10</v>
      </c>
      <c r="D52" s="63"/>
      <c r="E52" s="63"/>
      <c r="F52" s="63"/>
      <c r="G52" s="28" t="s">
        <v>9</v>
      </c>
      <c r="H52" s="27"/>
      <c r="I52" s="27"/>
      <c r="J52" s="60" t="s">
        <v>19</v>
      </c>
      <c r="K52" s="26" t="s">
        <v>8</v>
      </c>
      <c r="L52" s="25"/>
    </row>
    <row r="53" spans="1:15" x14ac:dyDescent="0.2">
      <c r="A53" s="24" t="s">
        <v>7</v>
      </c>
      <c r="B53" s="23" t="s">
        <v>6</v>
      </c>
      <c r="C53" s="21" t="s">
        <v>16</v>
      </c>
      <c r="D53" s="21" t="s">
        <v>4</v>
      </c>
      <c r="E53" s="21" t="s">
        <v>5</v>
      </c>
      <c r="F53" s="22" t="s">
        <v>3</v>
      </c>
      <c r="G53" s="21" t="s">
        <v>16</v>
      </c>
      <c r="H53" s="21" t="s">
        <v>4</v>
      </c>
      <c r="I53" s="21" t="s">
        <v>5</v>
      </c>
      <c r="J53" s="22" t="s">
        <v>3</v>
      </c>
      <c r="K53" s="21" t="s">
        <v>4</v>
      </c>
      <c r="L53" s="21" t="s">
        <v>3</v>
      </c>
    </row>
    <row r="54" spans="1:15" x14ac:dyDescent="0.2">
      <c r="A54" s="20"/>
      <c r="B54" s="61" t="s">
        <v>27</v>
      </c>
      <c r="C54" s="16"/>
      <c r="D54" s="19"/>
      <c r="E54" s="18"/>
      <c r="F54" s="17"/>
      <c r="G54" s="16"/>
      <c r="H54" s="19"/>
      <c r="I54" s="18"/>
      <c r="J54" s="17"/>
      <c r="K54" s="16"/>
      <c r="L54" s="15"/>
      <c r="M54" s="14"/>
      <c r="O54" s="53"/>
    </row>
    <row r="55" spans="1:15" x14ac:dyDescent="0.2">
      <c r="A55" s="20"/>
      <c r="B55" s="54" t="s">
        <v>22</v>
      </c>
      <c r="C55" s="16">
        <v>2</v>
      </c>
      <c r="D55" s="19" t="s">
        <v>18</v>
      </c>
      <c r="E55" s="18">
        <v>80</v>
      </c>
      <c r="F55" s="17">
        <f t="shared" ref="F55:F59" si="2">C55*E55</f>
        <v>160</v>
      </c>
      <c r="G55" s="16"/>
      <c r="H55" s="19"/>
      <c r="I55" s="18"/>
      <c r="J55" s="17"/>
      <c r="K55" s="16"/>
      <c r="L55" s="15"/>
      <c r="M55" s="14"/>
      <c r="O55" s="53"/>
    </row>
    <row r="56" spans="1:15" x14ac:dyDescent="0.2">
      <c r="A56" s="20"/>
      <c r="B56" s="54" t="s">
        <v>28</v>
      </c>
      <c r="C56" s="16">
        <v>1</v>
      </c>
      <c r="D56" s="19" t="s">
        <v>18</v>
      </c>
      <c r="E56" s="18">
        <v>60.5</v>
      </c>
      <c r="F56" s="17">
        <f t="shared" si="2"/>
        <v>60.5</v>
      </c>
      <c r="G56" s="16"/>
      <c r="H56" s="19"/>
      <c r="I56" s="18"/>
      <c r="J56" s="17"/>
      <c r="K56" s="16"/>
      <c r="L56" s="15"/>
      <c r="M56" s="14"/>
      <c r="O56" s="53"/>
    </row>
    <row r="57" spans="1:15" x14ac:dyDescent="0.2">
      <c r="A57" s="20"/>
      <c r="B57" s="54" t="s">
        <v>23</v>
      </c>
      <c r="C57" s="76">
        <v>1.5</v>
      </c>
      <c r="D57" s="19" t="s">
        <v>18</v>
      </c>
      <c r="E57" s="18">
        <v>60.5</v>
      </c>
      <c r="F57" s="17">
        <f t="shared" si="2"/>
        <v>90.75</v>
      </c>
      <c r="G57" s="16"/>
      <c r="H57" s="19"/>
      <c r="I57" s="18"/>
      <c r="J57" s="17"/>
      <c r="K57" s="16"/>
      <c r="L57" s="15"/>
      <c r="M57" s="14"/>
      <c r="O57" s="53"/>
    </row>
    <row r="58" spans="1:15" x14ac:dyDescent="0.2">
      <c r="A58" s="20"/>
      <c r="B58" s="54" t="s">
        <v>25</v>
      </c>
      <c r="C58" s="16">
        <v>3</v>
      </c>
      <c r="D58" s="19" t="s">
        <v>18</v>
      </c>
      <c r="E58" s="18">
        <v>60.5</v>
      </c>
      <c r="F58" s="17">
        <f t="shared" si="2"/>
        <v>181.5</v>
      </c>
      <c r="G58" s="16"/>
      <c r="H58" s="19"/>
      <c r="I58" s="18"/>
      <c r="J58" s="17"/>
      <c r="K58" s="16"/>
      <c r="L58" s="15"/>
      <c r="M58" s="14"/>
      <c r="O58" s="53"/>
    </row>
    <row r="59" spans="1:15" x14ac:dyDescent="0.2">
      <c r="A59" s="20"/>
      <c r="B59" s="54" t="s">
        <v>24</v>
      </c>
      <c r="C59" s="16">
        <v>1</v>
      </c>
      <c r="D59" s="19" t="s">
        <v>18</v>
      </c>
      <c r="E59" s="18">
        <v>60.5</v>
      </c>
      <c r="F59" s="17">
        <f t="shared" si="2"/>
        <v>60.5</v>
      </c>
      <c r="G59" s="16"/>
      <c r="H59" s="19"/>
      <c r="I59" s="18"/>
      <c r="J59" s="17"/>
      <c r="K59" s="16"/>
      <c r="L59" s="15"/>
      <c r="M59" s="14"/>
      <c r="O59" s="53"/>
    </row>
    <row r="60" spans="1:15" x14ac:dyDescent="0.2">
      <c r="A60" s="20"/>
      <c r="B60" s="54" t="s">
        <v>21</v>
      </c>
      <c r="C60" s="16"/>
      <c r="D60" s="19"/>
      <c r="E60" s="18"/>
      <c r="F60" s="17"/>
      <c r="G60" s="16">
        <v>1</v>
      </c>
      <c r="H60" s="19" t="s">
        <v>20</v>
      </c>
      <c r="I60" s="18">
        <v>200</v>
      </c>
      <c r="J60" s="17">
        <f>G60*I60</f>
        <v>200</v>
      </c>
      <c r="K60" s="16"/>
      <c r="L60" s="15"/>
      <c r="M60" s="14"/>
      <c r="O60" s="53"/>
    </row>
    <row r="61" spans="1:15" x14ac:dyDescent="0.2">
      <c r="A61" s="20"/>
      <c r="B61" s="54" t="s">
        <v>29</v>
      </c>
      <c r="C61" s="16">
        <v>1</v>
      </c>
      <c r="D61" s="19" t="s">
        <v>18</v>
      </c>
      <c r="E61" s="18">
        <v>60.5</v>
      </c>
      <c r="F61" s="17">
        <f t="shared" ref="F61" si="3">C61*E61</f>
        <v>60.5</v>
      </c>
      <c r="G61" s="16"/>
      <c r="H61" s="19"/>
      <c r="I61" s="18"/>
      <c r="J61" s="17"/>
      <c r="K61" s="16"/>
      <c r="L61" s="15"/>
      <c r="M61" s="14"/>
      <c r="O61" s="53"/>
    </row>
    <row r="62" spans="1:15" x14ac:dyDescent="0.2">
      <c r="A62" s="20"/>
      <c r="B62" s="54" t="s">
        <v>32</v>
      </c>
      <c r="C62" s="16"/>
      <c r="D62" s="19"/>
      <c r="E62" s="18"/>
      <c r="F62" s="17"/>
      <c r="G62" s="16">
        <v>1</v>
      </c>
      <c r="H62" s="19" t="s">
        <v>33</v>
      </c>
      <c r="I62" s="18">
        <v>85</v>
      </c>
      <c r="J62" s="17">
        <f t="shared" ref="J61:J62" si="4">G62*I62</f>
        <v>85</v>
      </c>
      <c r="K62" s="16"/>
      <c r="L62" s="15"/>
      <c r="M62" s="14"/>
      <c r="O62" s="53"/>
    </row>
    <row r="63" spans="1:15" x14ac:dyDescent="0.2">
      <c r="A63" s="20"/>
      <c r="B63" s="62"/>
      <c r="C63" s="16"/>
      <c r="D63" s="19"/>
      <c r="E63" s="18"/>
      <c r="F63" s="17"/>
      <c r="G63" s="16"/>
      <c r="H63" s="19"/>
      <c r="I63" s="18"/>
      <c r="J63" s="17"/>
      <c r="K63" s="16"/>
      <c r="L63" s="15"/>
      <c r="M63" s="14"/>
      <c r="O63" s="53"/>
    </row>
    <row r="64" spans="1:15" x14ac:dyDescent="0.2">
      <c r="B64" s="5" t="s">
        <v>2</v>
      </c>
      <c r="D64" s="1"/>
      <c r="F64" s="14">
        <f>SUM(F55:F63)</f>
        <v>613.75</v>
      </c>
      <c r="G64" s="14"/>
      <c r="H64" s="14"/>
      <c r="I64" s="14"/>
      <c r="J64" s="14">
        <f>SUM(J55:J63)</f>
        <v>285</v>
      </c>
      <c r="K64" s="14">
        <f>SUM(K55:K63)</f>
        <v>0</v>
      </c>
      <c r="L64" s="14">
        <f>SUM(L55:L63)</f>
        <v>0</v>
      </c>
    </row>
    <row r="65" spans="2:12" x14ac:dyDescent="0.2">
      <c r="B65" s="12" t="s">
        <v>1</v>
      </c>
      <c r="D65" s="1"/>
      <c r="E65" s="13">
        <v>0.1</v>
      </c>
      <c r="F65" s="55">
        <f>+E65*F64</f>
        <v>61.375</v>
      </c>
      <c r="I65" s="13">
        <v>0.1</v>
      </c>
      <c r="J65" s="57">
        <f>+I65*J64</f>
        <v>28.5</v>
      </c>
      <c r="K65" s="13">
        <v>0.1</v>
      </c>
      <c r="L65" s="11">
        <f>+K65*L64</f>
        <v>0</v>
      </c>
    </row>
    <row r="66" spans="2:12" x14ac:dyDescent="0.2">
      <c r="B66" s="10" t="s">
        <v>15</v>
      </c>
      <c r="D66" s="1"/>
      <c r="F66" s="56">
        <f>F64+F65</f>
        <v>675.125</v>
      </c>
      <c r="G66" s="9"/>
      <c r="H66" s="9"/>
      <c r="I66" s="9"/>
      <c r="J66" s="58">
        <f>J64+J65</f>
        <v>313.5</v>
      </c>
      <c r="K66" s="9"/>
      <c r="L66" s="8">
        <f>L64+L65</f>
        <v>0</v>
      </c>
    </row>
    <row r="67" spans="2:12" ht="13.5" thickBot="1" x14ac:dyDescent="0.25">
      <c r="B67" s="5"/>
      <c r="D67" s="1"/>
      <c r="F67" s="3"/>
      <c r="G67" s="4"/>
      <c r="H67" s="4"/>
      <c r="I67" s="7"/>
      <c r="J67" s="3"/>
      <c r="K67" s="6"/>
      <c r="L67" s="3"/>
    </row>
    <row r="68" spans="2:12" x14ac:dyDescent="0.2">
      <c r="B68" s="2" t="s">
        <v>0</v>
      </c>
      <c r="D68" s="1"/>
    </row>
    <row r="69" spans="2:12" ht="13.5" thickBot="1" x14ac:dyDescent="0.25">
      <c r="B69" s="59">
        <f>F66+J66+L66</f>
        <v>988.625</v>
      </c>
      <c r="D69" s="1"/>
    </row>
  </sheetData>
  <mergeCells count="7">
    <mergeCell ref="C52:F52"/>
    <mergeCell ref="C32:F32"/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2016-05-02T21:14:52Z</dcterms:modified>
</cp:coreProperties>
</file>