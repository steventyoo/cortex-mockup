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3-Chinn, Legacy Apartments\Change Orders\COR's\"/>
    </mc:Choice>
  </mc:AlternateContent>
  <bookViews>
    <workbookView xWindow="0" yWindow="0" windowWidth="28800" windowHeight="13020"/>
  </bookViews>
  <sheets>
    <sheet name="CGC BP " sheetId="1" r:id="rId1"/>
  </sheets>
  <definedNames>
    <definedName name="_xlnm.Print_Area" localSheetId="0">'CGC BP '!$A$1:$L$31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1" l="1"/>
  <c r="F26" i="1"/>
  <c r="J45" i="1"/>
  <c r="F45" i="1"/>
  <c r="L45" i="1"/>
  <c r="K45" i="1"/>
  <c r="F44" i="1"/>
  <c r="J43" i="1"/>
  <c r="J42" i="1"/>
  <c r="J41" i="1"/>
  <c r="J40" i="1"/>
  <c r="J39" i="1"/>
  <c r="F38" i="1"/>
  <c r="F37" i="1"/>
  <c r="F17" i="1"/>
  <c r="J22" i="1"/>
  <c r="J21" i="1"/>
  <c r="J23" i="1"/>
  <c r="J46" i="1" l="1"/>
  <c r="J47" i="1" s="1"/>
  <c r="F46" i="1"/>
  <c r="F47" i="1" s="1"/>
  <c r="L46" i="1"/>
  <c r="L47" i="1" s="1"/>
  <c r="B50" i="1" l="1"/>
  <c r="F19" i="1" l="1"/>
  <c r="J24" i="1" l="1"/>
  <c r="L26" i="1" l="1"/>
  <c r="F25" i="1" l="1"/>
  <c r="J20" i="1"/>
  <c r="K26" i="1"/>
  <c r="F18" i="1" l="1"/>
  <c r="L27" i="1" l="1"/>
  <c r="L28" i="1" l="1"/>
  <c r="F27" i="1" l="1"/>
  <c r="F28" i="1" s="1"/>
  <c r="J27" i="1" l="1"/>
  <c r="J28" i="1" l="1"/>
  <c r="B31" i="1" s="1"/>
</calcChain>
</file>

<file path=xl/sharedStrings.xml><?xml version="1.0" encoding="utf-8"?>
<sst xmlns="http://schemas.openxmlformats.org/spreadsheetml/2006/main" count="81" uniqueCount="36">
  <si>
    <t>Total this page</t>
  </si>
  <si>
    <t>OH &amp; Profit</t>
  </si>
  <si>
    <t>Subtotals</t>
  </si>
  <si>
    <t>Total</t>
  </si>
  <si>
    <t>UOM</t>
  </si>
  <si>
    <t>Unit Cost</t>
  </si>
  <si>
    <t>Description</t>
  </si>
  <si>
    <t>Item</t>
  </si>
  <si>
    <t>SUB TIER</t>
  </si>
  <si>
    <t>Material/Equipment</t>
  </si>
  <si>
    <t>Labor</t>
  </si>
  <si>
    <t>DESCRIPTION OF CHANGE/WORK PERFORMED</t>
  </si>
  <si>
    <t>DATE:</t>
  </si>
  <si>
    <t>PROJECT:</t>
  </si>
  <si>
    <t>RFI/ASI:</t>
  </si>
  <si>
    <t>Totals</t>
  </si>
  <si>
    <t>Quan</t>
  </si>
  <si>
    <t>2023 LEGACY APARTMENTS</t>
  </si>
  <si>
    <t>HRS</t>
  </si>
  <si>
    <t>Material</t>
  </si>
  <si>
    <t>SUPERVISION</t>
  </si>
  <si>
    <t>EA</t>
  </si>
  <si>
    <t>REMOVAL</t>
  </si>
  <si>
    <t>RE-LAYOUT</t>
  </si>
  <si>
    <t>REINSTALL</t>
  </si>
  <si>
    <t>HANGERS/ALL THREAD</t>
  </si>
  <si>
    <t>LOT</t>
  </si>
  <si>
    <t>3" PIPE</t>
  </si>
  <si>
    <t>LF</t>
  </si>
  <si>
    <t>3" FITTINGS</t>
  </si>
  <si>
    <t>2" PIPE</t>
  </si>
  <si>
    <t>HORIZONTAL</t>
  </si>
  <si>
    <t>VERTICAL</t>
  </si>
  <si>
    <t>4" PIPE</t>
  </si>
  <si>
    <t>2" FITTINGS</t>
  </si>
  <si>
    <t>4" FITTINGS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</si>
</sst>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(&quot;$&quot;#,##0\)"/>
    <numFmt numFmtId="165" formatCode="0_);[Red]\(0\)"/>
    <numFmt numFmtId="166" formatCode="&quot;$&quot;#,##0.00"/>
    <numFmt numFmtId="167" formatCode="&quot;$&quot;#,##0"/>
  </numFmts>
  <fonts count="9" x14ac:knownFonts="1">
    <font>
      <sz val="10"/>
      <name val="MS Sans Serif"/>
    </font>
    <font>
      <b/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Arial"/>
      <family val="2"/>
    </font>
    <font>
      <b/>
      <sz val="10"/>
      <color rgb="FFFF0000"/>
      <name val="MS Sans Serif"/>
      <family val="2"/>
    </font>
    <font>
      <sz val="8"/>
      <name val="Arial"/>
      <family val="2"/>
    </font>
    <font>
      <b/>
      <sz val="18"/>
      <name val="MS Sans Serif"/>
      <family val="2"/>
    </font>
    <font>
      <b/>
      <sz val="10"/>
      <name val="MS Sans Serif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8" fontId="3" fillId="0" borderId="0" applyFont="0" applyFill="0" applyBorder="0" applyAlignment="0" applyProtection="0"/>
    <xf numFmtId="0" fontId="4" fillId="0" borderId="0"/>
  </cellStyleXfs>
  <cellXfs count="74">
    <xf numFmtId="0" fontId="0" fillId="0" borderId="0" xfId="0"/>
    <xf numFmtId="0" fontId="0" fillId="0" borderId="0" xfId="0" applyAlignment="1">
      <alignment horizontal="center"/>
    </xf>
    <xf numFmtId="0" fontId="1" fillId="2" borderId="2" xfId="0" applyFont="1" applyFill="1" applyBorder="1"/>
    <xf numFmtId="164" fontId="0" fillId="0" borderId="0" xfId="0" applyNumberFormat="1" applyFill="1"/>
    <xf numFmtId="0" fontId="0" fillId="0" borderId="0" xfId="0" applyFill="1"/>
    <xf numFmtId="0" fontId="1" fillId="0" borderId="0" xfId="0" applyFont="1" applyAlignment="1">
      <alignment horizontal="right"/>
    </xf>
    <xf numFmtId="164" fontId="0" fillId="0" borderId="0" xfId="0" applyNumberFormat="1" applyFill="1" applyBorder="1"/>
    <xf numFmtId="0" fontId="2" fillId="0" borderId="0" xfId="0" applyFont="1" applyFill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8" fontId="4" fillId="0" borderId="0" xfId="1" applyFont="1" applyAlignment="1">
      <alignment horizontal="right"/>
    </xf>
    <xf numFmtId="9" fontId="5" fillId="0" borderId="0" xfId="0" applyNumberFormat="1" applyFont="1"/>
    <xf numFmtId="164" fontId="0" fillId="0" borderId="0" xfId="0" applyNumberFormat="1"/>
    <xf numFmtId="44" fontId="6" fillId="0" borderId="3" xfId="0" applyNumberFormat="1" applyFont="1" applyBorder="1" applyAlignment="1">
      <alignment vertical="top" wrapText="1"/>
    </xf>
    <xf numFmtId="165" fontId="6" fillId="0" borderId="3" xfId="0" applyNumberFormat="1" applyFont="1" applyBorder="1" applyAlignment="1">
      <alignment vertical="top" wrapText="1"/>
    </xf>
    <xf numFmtId="164" fontId="6" fillId="0" borderId="3" xfId="0" applyNumberFormat="1" applyFont="1" applyBorder="1" applyAlignment="1">
      <alignment vertical="top" wrapText="1"/>
    </xf>
    <xf numFmtId="166" fontId="6" fillId="0" borderId="3" xfId="0" applyNumberFormat="1" applyFont="1" applyBorder="1" applyAlignment="1">
      <alignment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167" fontId="0" fillId="0" borderId="4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3" borderId="6" xfId="0" applyFill="1" applyBorder="1" applyAlignment="1">
      <alignment horizontal="centerContinuous"/>
    </xf>
    <xf numFmtId="0" fontId="1" fillId="3" borderId="7" xfId="0" applyFont="1" applyFill="1" applyBorder="1" applyAlignment="1">
      <alignment horizontal="centerContinuous"/>
    </xf>
    <xf numFmtId="0" fontId="0" fillId="4" borderId="7" xfId="0" applyFill="1" applyBorder="1" applyAlignment="1">
      <alignment horizontal="centerContinuous"/>
    </xf>
    <xf numFmtId="0" fontId="1" fillId="4" borderId="7" xfId="0" applyFont="1" applyFill="1" applyBorder="1" applyAlignment="1">
      <alignment horizontal="centerContinuous"/>
    </xf>
    <xf numFmtId="0" fontId="0" fillId="0" borderId="8" xfId="0" applyBorder="1"/>
    <xf numFmtId="0" fontId="0" fillId="0" borderId="9" xfId="0" applyBorder="1"/>
    <xf numFmtId="0" fontId="4" fillId="0" borderId="0" xfId="2" applyFont="1" applyAlignment="1">
      <alignment vertical="center"/>
    </xf>
    <xf numFmtId="14" fontId="1" fillId="0" borderId="10" xfId="2" applyNumberFormat="1" applyFont="1" applyFill="1" applyBorder="1" applyAlignment="1" applyProtection="1">
      <alignment horizontal="center" vertical="center"/>
    </xf>
    <xf numFmtId="0" fontId="4" fillId="0" borderId="0" xfId="2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0" borderId="11" xfId="2" applyFont="1" applyBorder="1" applyAlignment="1">
      <alignment horizontal="left"/>
    </xf>
    <xf numFmtId="0" fontId="1" fillId="0" borderId="12" xfId="2" applyFont="1" applyBorder="1" applyAlignment="1">
      <alignment horizontal="left"/>
    </xf>
    <xf numFmtId="14" fontId="1" fillId="0" borderId="12" xfId="2" applyNumberFormat="1" applyFont="1" applyBorder="1" applyAlignment="1">
      <alignment horizontal="left"/>
    </xf>
    <xf numFmtId="0" fontId="4" fillId="0" borderId="12" xfId="2" applyFont="1" applyBorder="1" applyAlignment="1">
      <alignment horizontal="center"/>
    </xf>
    <xf numFmtId="0" fontId="1" fillId="0" borderId="12" xfId="2" applyFont="1" applyBorder="1" applyAlignment="1">
      <alignment horizontal="left" vertical="center"/>
    </xf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13" xfId="0" applyBorder="1"/>
    <xf numFmtId="0" fontId="1" fillId="0" borderId="14" xfId="2" applyFont="1" applyBorder="1" applyAlignment="1">
      <alignment horizontal="left"/>
    </xf>
    <xf numFmtId="0" fontId="4" fillId="0" borderId="0" xfId="2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5" xfId="0" applyBorder="1"/>
    <xf numFmtId="0" fontId="1" fillId="0" borderId="0" xfId="2" quotePrefix="1" applyNumberFormat="1" applyFont="1" applyBorder="1" applyAlignment="1">
      <alignment horizontal="left"/>
    </xf>
    <xf numFmtId="0" fontId="1" fillId="0" borderId="0" xfId="2" applyFont="1" applyBorder="1" applyAlignment="1">
      <alignment horizontal="right" vertical="center"/>
    </xf>
    <xf numFmtId="0" fontId="1" fillId="0" borderId="0" xfId="2" applyFont="1" applyAlignment="1">
      <alignment horizontal="right"/>
    </xf>
    <xf numFmtId="8" fontId="8" fillId="0" borderId="0" xfId="0" applyNumberFormat="1" applyFont="1"/>
    <xf numFmtId="0" fontId="6" fillId="0" borderId="3" xfId="0" applyFont="1" applyBorder="1" applyAlignment="1">
      <alignment horizontal="left" vertical="top"/>
    </xf>
    <xf numFmtId="6" fontId="4" fillId="0" borderId="0" xfId="1" applyNumberFormat="1" applyFont="1"/>
    <xf numFmtId="6" fontId="1" fillId="2" borderId="0" xfId="1" applyNumberFormat="1" applyFont="1" applyFill="1"/>
    <xf numFmtId="164" fontId="4" fillId="0" borderId="0" xfId="1" applyNumberFormat="1" applyFont="1"/>
    <xf numFmtId="164" fontId="1" fillId="2" borderId="0" xfId="1" applyNumberFormat="1" applyFont="1" applyFill="1"/>
    <xf numFmtId="6" fontId="1" fillId="2" borderId="1" xfId="1" applyNumberFormat="1" applyFont="1" applyFill="1" applyBorder="1"/>
    <xf numFmtId="167" fontId="1" fillId="4" borderId="7" xfId="0" applyNumberFormat="1" applyFont="1" applyFill="1" applyBorder="1" applyAlignment="1">
      <alignment horizontal="center"/>
    </xf>
    <xf numFmtId="0" fontId="6" fillId="0" borderId="3" xfId="0" applyFont="1" applyBorder="1" applyAlignment="1">
      <alignment horizontal="left" vertical="top" wrapText="1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5" borderId="3" xfId="0" applyFont="1" applyFill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2" fillId="6" borderId="18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/>
    </xf>
  </cellXfs>
  <cellStyles count="3">
    <cellStyle name="Currency" xfId="1" builtinId="4"/>
    <cellStyle name="Normal" xfId="0" builtinId="0"/>
    <cellStyle name="Normal_Lake Hills RF 033 8.06.0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11</xdr:col>
      <xdr:colOff>904875</xdr:colOff>
      <xdr:row>10</xdr:row>
      <xdr:rowOff>142875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1943100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baseline="0">
              <a:latin typeface="+mn-lt"/>
              <a:ea typeface="+mn-ea"/>
              <a:cs typeface="+mn-cs"/>
            </a:rPr>
            <a:t>COST TO CHANGE FROM PVC TO CAST IRON IN MEDIA ROOM</a:t>
          </a: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rtl="0" fontAlgn="base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0"/>
  <sheetViews>
    <sheetView tabSelected="1" zoomScale="130" zoomScaleNormal="130" workbookViewId="0">
      <selection activeCell="B2" sqref="B2"/>
    </sheetView>
  </sheetViews>
  <sheetFormatPr defaultRowHeight="12.75" x14ac:dyDescent="0.2"/>
  <cols>
    <col min="1" max="1" width="4.5703125" bestFit="1" customWidth="1"/>
    <col min="2" max="2" width="35.7109375" customWidth="1"/>
    <col min="3" max="3" width="5" customWidth="1"/>
    <col min="4" max="4" width="5.140625" customWidth="1"/>
    <col min="5" max="5" width="7.85546875" customWidth="1"/>
    <col min="6" max="6" width="8.7109375" customWidth="1"/>
    <col min="7" max="7" width="5" customWidth="1"/>
    <col min="8" max="8" width="5.140625" customWidth="1"/>
    <col min="9" max="9" width="8.28515625" customWidth="1"/>
    <col min="10" max="10" width="9" customWidth="1"/>
    <col min="11" max="11" width="8" bestFit="1" customWidth="1"/>
    <col min="12" max="12" width="10.85546875" customWidth="1"/>
    <col min="13" max="13" width="11" customWidth="1"/>
    <col min="15" max="15" width="13" customWidth="1"/>
  </cols>
  <sheetData>
    <row r="1" spans="1:12" x14ac:dyDescent="0.2">
      <c r="D1" s="1"/>
      <c r="H1" s="50" t="s">
        <v>13</v>
      </c>
      <c r="I1" s="60" t="s">
        <v>17</v>
      </c>
      <c r="J1" s="60"/>
      <c r="K1" s="60"/>
      <c r="L1" s="60"/>
    </row>
    <row r="2" spans="1:12" x14ac:dyDescent="0.2">
      <c r="D2" s="1"/>
      <c r="G2" s="32"/>
      <c r="H2" s="49" t="s">
        <v>12</v>
      </c>
      <c r="I2" s="61">
        <v>42439</v>
      </c>
      <c r="J2" s="60"/>
      <c r="K2" s="60"/>
      <c r="L2" s="60"/>
    </row>
    <row r="3" spans="1:12" x14ac:dyDescent="0.2">
      <c r="D3" s="1"/>
      <c r="G3" s="32"/>
      <c r="H3" s="49" t="s">
        <v>14</v>
      </c>
      <c r="I3" s="48"/>
      <c r="J3" s="33"/>
      <c r="K3" s="33"/>
      <c r="L3" s="33"/>
    </row>
    <row r="4" spans="1:12" ht="24" thickBot="1" x14ac:dyDescent="0.4">
      <c r="A4" s="63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</row>
    <row r="5" spans="1:12" ht="4.5" customHeight="1" x14ac:dyDescent="0.2">
      <c r="A5" s="64" t="s">
        <v>11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6"/>
    </row>
    <row r="6" spans="1:12" ht="12.75" customHeight="1" x14ac:dyDescent="0.2">
      <c r="A6" s="67"/>
      <c r="B6" s="68"/>
      <c r="C6" s="68"/>
      <c r="D6" s="68"/>
      <c r="E6" s="68"/>
      <c r="F6" s="68"/>
      <c r="G6" s="68"/>
      <c r="H6" s="68"/>
      <c r="I6" s="68"/>
      <c r="J6" s="68"/>
      <c r="K6" s="68"/>
      <c r="L6" s="69"/>
    </row>
    <row r="7" spans="1:12" ht="4.5" customHeight="1" thickBot="1" x14ac:dyDescent="0.25">
      <c r="A7" s="70"/>
      <c r="B7" s="71"/>
      <c r="C7" s="71"/>
      <c r="D7" s="71"/>
      <c r="E7" s="71"/>
      <c r="F7" s="71"/>
      <c r="G7" s="71"/>
      <c r="H7" s="71"/>
      <c r="I7" s="71"/>
      <c r="J7" s="71"/>
      <c r="K7" s="71"/>
      <c r="L7" s="72"/>
    </row>
    <row r="8" spans="1:12" x14ac:dyDescent="0.2">
      <c r="A8" s="47"/>
      <c r="B8" s="45"/>
      <c r="C8" s="45"/>
      <c r="D8" s="46"/>
      <c r="E8" s="45"/>
      <c r="F8" s="45"/>
      <c r="G8" s="32"/>
      <c r="H8" s="44"/>
      <c r="I8" s="34"/>
      <c r="J8" s="33"/>
      <c r="K8" s="33"/>
      <c r="L8" s="43"/>
    </row>
    <row r="9" spans="1:12" x14ac:dyDescent="0.2">
      <c r="A9" s="47"/>
      <c r="B9" s="45"/>
      <c r="C9" s="45"/>
      <c r="D9" s="46"/>
      <c r="E9" s="45"/>
      <c r="F9" s="45"/>
      <c r="G9" s="32"/>
      <c r="H9" s="44"/>
      <c r="I9" s="34"/>
      <c r="J9" s="33"/>
      <c r="K9" s="33"/>
      <c r="L9" s="43"/>
    </row>
    <row r="10" spans="1:12" x14ac:dyDescent="0.2">
      <c r="A10" s="47"/>
      <c r="B10" s="45"/>
      <c r="C10" s="45"/>
      <c r="D10" s="46"/>
      <c r="E10" s="45"/>
      <c r="F10" s="45"/>
      <c r="G10" s="32"/>
      <c r="H10" s="44"/>
      <c r="I10" s="34"/>
      <c r="J10" s="33"/>
      <c r="K10" s="33"/>
      <c r="L10" s="43"/>
    </row>
    <row r="11" spans="1:12" ht="13.5" thickBot="1" x14ac:dyDescent="0.25">
      <c r="A11" s="42"/>
      <c r="B11" s="40"/>
      <c r="C11" s="40"/>
      <c r="D11" s="41"/>
      <c r="E11" s="40"/>
      <c r="F11" s="40"/>
      <c r="G11" s="39"/>
      <c r="H11" s="38"/>
      <c r="I11" s="37"/>
      <c r="J11" s="36"/>
      <c r="K11" s="36"/>
      <c r="L11" s="35"/>
    </row>
    <row r="12" spans="1:12" ht="6" customHeight="1" x14ac:dyDescent="0.2">
      <c r="D12" s="1"/>
      <c r="G12" s="32"/>
      <c r="H12" s="31"/>
      <c r="I12" s="34"/>
      <c r="J12" s="33"/>
      <c r="K12" s="33"/>
      <c r="L12" s="33"/>
    </row>
    <row r="13" spans="1:12" ht="6" customHeight="1" x14ac:dyDescent="0.2">
      <c r="D13" s="1"/>
      <c r="E13" s="32"/>
      <c r="F13" s="31"/>
      <c r="G13" s="30"/>
      <c r="H13" s="30"/>
      <c r="I13" s="30"/>
      <c r="J13" s="29"/>
    </row>
    <row r="14" spans="1:12" x14ac:dyDescent="0.2">
      <c r="A14" s="28"/>
      <c r="B14" s="27"/>
      <c r="C14" s="62" t="s">
        <v>10</v>
      </c>
      <c r="D14" s="62"/>
      <c r="E14" s="62"/>
      <c r="F14" s="62"/>
      <c r="G14" s="26" t="s">
        <v>9</v>
      </c>
      <c r="H14" s="25"/>
      <c r="I14" s="25"/>
      <c r="J14" s="58" t="s">
        <v>19</v>
      </c>
      <c r="K14" s="24" t="s">
        <v>8</v>
      </c>
      <c r="L14" s="23"/>
    </row>
    <row r="15" spans="1:12" x14ac:dyDescent="0.2">
      <c r="A15" s="22" t="s">
        <v>7</v>
      </c>
      <c r="B15" s="21" t="s">
        <v>6</v>
      </c>
      <c r="C15" s="19" t="s">
        <v>16</v>
      </c>
      <c r="D15" s="19" t="s">
        <v>4</v>
      </c>
      <c r="E15" s="19" t="s">
        <v>5</v>
      </c>
      <c r="F15" s="20" t="s">
        <v>3</v>
      </c>
      <c r="G15" s="19" t="s">
        <v>16</v>
      </c>
      <c r="H15" s="19" t="s">
        <v>4</v>
      </c>
      <c r="I15" s="19" t="s">
        <v>5</v>
      </c>
      <c r="J15" s="20" t="s">
        <v>3</v>
      </c>
      <c r="K15" s="19" t="s">
        <v>4</v>
      </c>
      <c r="L15" s="19" t="s">
        <v>3</v>
      </c>
    </row>
    <row r="16" spans="1:12" x14ac:dyDescent="0.2">
      <c r="A16" s="22"/>
      <c r="B16" s="73" t="s">
        <v>31</v>
      </c>
      <c r="C16" s="19"/>
      <c r="D16" s="19"/>
      <c r="E16" s="19"/>
      <c r="F16" s="20"/>
      <c r="G16" s="19"/>
      <c r="H16" s="19"/>
      <c r="I16" s="19"/>
      <c r="J16" s="20"/>
      <c r="K16" s="19"/>
      <c r="L16" s="19"/>
    </row>
    <row r="17" spans="1:15" x14ac:dyDescent="0.2">
      <c r="A17" s="18"/>
      <c r="B17" s="52" t="s">
        <v>22</v>
      </c>
      <c r="C17" s="14">
        <v>2</v>
      </c>
      <c r="D17" s="17" t="s">
        <v>18</v>
      </c>
      <c r="E17" s="16">
        <v>75</v>
      </c>
      <c r="F17" s="15">
        <f t="shared" ref="F17:F25" si="0">C17*E17</f>
        <v>150</v>
      </c>
      <c r="G17" s="14"/>
      <c r="H17" s="17"/>
      <c r="I17" s="16"/>
      <c r="J17" s="15"/>
      <c r="K17" s="14"/>
      <c r="L17" s="13"/>
      <c r="M17" s="12"/>
      <c r="O17" s="51"/>
    </row>
    <row r="18" spans="1:15" x14ac:dyDescent="0.2">
      <c r="A18" s="18"/>
      <c r="B18" s="59" t="s">
        <v>23</v>
      </c>
      <c r="C18" s="14">
        <v>2</v>
      </c>
      <c r="D18" s="17" t="s">
        <v>18</v>
      </c>
      <c r="E18" s="16">
        <v>75</v>
      </c>
      <c r="F18" s="15">
        <f t="shared" si="0"/>
        <v>150</v>
      </c>
      <c r="G18" s="14"/>
      <c r="H18" s="17"/>
      <c r="I18" s="16"/>
      <c r="J18" s="15"/>
      <c r="K18" s="14"/>
      <c r="L18" s="13"/>
      <c r="M18" s="12"/>
      <c r="O18" s="51"/>
    </row>
    <row r="19" spans="1:15" x14ac:dyDescent="0.2">
      <c r="A19" s="18"/>
      <c r="B19" s="59" t="s">
        <v>24</v>
      </c>
      <c r="C19" s="14">
        <v>7</v>
      </c>
      <c r="D19" s="17" t="s">
        <v>18</v>
      </c>
      <c r="E19" s="16">
        <v>75</v>
      </c>
      <c r="F19" s="15">
        <f t="shared" si="0"/>
        <v>525</v>
      </c>
      <c r="G19" s="14"/>
      <c r="H19" s="17"/>
      <c r="I19" s="16"/>
      <c r="J19" s="15"/>
      <c r="K19" s="14"/>
      <c r="L19" s="13"/>
      <c r="M19" s="12"/>
      <c r="O19" s="51"/>
    </row>
    <row r="20" spans="1:15" x14ac:dyDescent="0.2">
      <c r="A20" s="18"/>
      <c r="B20" s="52" t="s">
        <v>27</v>
      </c>
      <c r="C20" s="14"/>
      <c r="D20" s="17"/>
      <c r="E20" s="16"/>
      <c r="F20" s="15"/>
      <c r="G20" s="14">
        <v>40</v>
      </c>
      <c r="H20" s="17" t="s">
        <v>28</v>
      </c>
      <c r="I20" s="16">
        <v>6</v>
      </c>
      <c r="J20" s="15">
        <f>G20*I20</f>
        <v>240</v>
      </c>
      <c r="K20" s="14"/>
      <c r="L20" s="13"/>
      <c r="M20" s="12"/>
      <c r="O20" s="51"/>
    </row>
    <row r="21" spans="1:15" x14ac:dyDescent="0.2">
      <c r="A21" s="18"/>
      <c r="B21" s="52" t="s">
        <v>29</v>
      </c>
      <c r="C21" s="14"/>
      <c r="D21" s="17"/>
      <c r="E21" s="16"/>
      <c r="F21" s="15"/>
      <c r="G21" s="14">
        <v>12</v>
      </c>
      <c r="H21" s="17" t="s">
        <v>21</v>
      </c>
      <c r="I21" s="16">
        <v>12</v>
      </c>
      <c r="J21" s="15">
        <f>G21*I21</f>
        <v>144</v>
      </c>
      <c r="K21" s="14"/>
      <c r="L21" s="13"/>
      <c r="M21" s="12"/>
      <c r="O21" s="51"/>
    </row>
    <row r="22" spans="1:15" x14ac:dyDescent="0.2">
      <c r="A22" s="18"/>
      <c r="B22" s="52" t="s">
        <v>30</v>
      </c>
      <c r="C22" s="14"/>
      <c r="D22" s="17"/>
      <c r="E22" s="16"/>
      <c r="F22" s="15"/>
      <c r="G22" s="14">
        <v>50</v>
      </c>
      <c r="H22" s="17" t="s">
        <v>28</v>
      </c>
      <c r="I22" s="16">
        <v>4.25</v>
      </c>
      <c r="J22" s="15">
        <f>G22*I22</f>
        <v>212.5</v>
      </c>
      <c r="K22" s="14"/>
      <c r="L22" s="13"/>
      <c r="M22" s="12"/>
      <c r="O22" s="51"/>
    </row>
    <row r="23" spans="1:15" x14ac:dyDescent="0.2">
      <c r="A23" s="18"/>
      <c r="B23" s="52" t="s">
        <v>34</v>
      </c>
      <c r="C23" s="14"/>
      <c r="D23" s="17"/>
      <c r="E23" s="16"/>
      <c r="F23" s="15"/>
      <c r="G23" s="14">
        <v>12</v>
      </c>
      <c r="H23" s="17" t="s">
        <v>21</v>
      </c>
      <c r="I23" s="16">
        <v>7</v>
      </c>
      <c r="J23" s="15">
        <f>G23*I23</f>
        <v>84</v>
      </c>
      <c r="K23" s="14"/>
      <c r="L23" s="13"/>
      <c r="M23" s="12"/>
      <c r="O23" s="51"/>
    </row>
    <row r="24" spans="1:15" x14ac:dyDescent="0.2">
      <c r="A24" s="18"/>
      <c r="B24" s="52" t="s">
        <v>25</v>
      </c>
      <c r="C24" s="14"/>
      <c r="D24" s="17"/>
      <c r="E24" s="16"/>
      <c r="F24" s="15"/>
      <c r="G24" s="14">
        <v>1</v>
      </c>
      <c r="H24" s="17" t="s">
        <v>26</v>
      </c>
      <c r="I24" s="16">
        <v>35</v>
      </c>
      <c r="J24" s="15">
        <f>G24*I24</f>
        <v>35</v>
      </c>
      <c r="K24" s="14"/>
      <c r="L24" s="13"/>
      <c r="M24" s="12"/>
      <c r="O24" s="51"/>
    </row>
    <row r="25" spans="1:15" x14ac:dyDescent="0.2">
      <c r="A25" s="18"/>
      <c r="B25" s="52" t="s">
        <v>20</v>
      </c>
      <c r="C25" s="14">
        <v>3</v>
      </c>
      <c r="D25" s="17" t="s">
        <v>18</v>
      </c>
      <c r="E25" s="16">
        <v>80</v>
      </c>
      <c r="F25" s="15">
        <f t="shared" si="0"/>
        <v>240</v>
      </c>
      <c r="G25" s="14"/>
      <c r="H25" s="17"/>
      <c r="I25" s="16"/>
      <c r="J25" s="15"/>
      <c r="K25" s="14"/>
      <c r="L25" s="13"/>
      <c r="M25" s="12"/>
      <c r="O25" s="51"/>
    </row>
    <row r="26" spans="1:15" x14ac:dyDescent="0.2">
      <c r="B26" s="5" t="s">
        <v>2</v>
      </c>
      <c r="D26" s="1"/>
      <c r="F26" s="12">
        <f>SUM(F17:F25)</f>
        <v>1065</v>
      </c>
      <c r="G26" s="12"/>
      <c r="H26" s="12"/>
      <c r="I26" s="12"/>
      <c r="J26" s="12">
        <f>SUM(J17:J25)</f>
        <v>715.5</v>
      </c>
      <c r="K26" s="12">
        <f>SUM(K17:K25)</f>
        <v>0</v>
      </c>
      <c r="L26" s="12">
        <f>SUM(L17:L25)</f>
        <v>0</v>
      </c>
    </row>
    <row r="27" spans="1:15" x14ac:dyDescent="0.2">
      <c r="B27" s="10" t="s">
        <v>1</v>
      </c>
      <c r="D27" s="1"/>
      <c r="E27" s="11">
        <v>0.1</v>
      </c>
      <c r="F27" s="53">
        <f>+E27*F26</f>
        <v>106.5</v>
      </c>
      <c r="I27" s="11">
        <v>0.1</v>
      </c>
      <c r="J27" s="55">
        <f>+I27*J26</f>
        <v>71.55</v>
      </c>
      <c r="K27" s="11">
        <v>0.1</v>
      </c>
      <c r="L27" s="53">
        <f>+K27*L26</f>
        <v>0</v>
      </c>
    </row>
    <row r="28" spans="1:15" x14ac:dyDescent="0.2">
      <c r="B28" s="9" t="s">
        <v>15</v>
      </c>
      <c r="D28" s="1"/>
      <c r="F28" s="54">
        <f>F26+F27</f>
        <v>1171.5</v>
      </c>
      <c r="G28" s="8"/>
      <c r="H28" s="8"/>
      <c r="I28" s="8"/>
      <c r="J28" s="56">
        <f>J26+J27</f>
        <v>787.05</v>
      </c>
      <c r="K28" s="8"/>
      <c r="L28" s="54">
        <f>L26+L27</f>
        <v>0</v>
      </c>
    </row>
    <row r="29" spans="1:15" ht="13.5" thickBot="1" x14ac:dyDescent="0.25">
      <c r="B29" s="5"/>
      <c r="D29" s="1"/>
      <c r="F29" s="3"/>
      <c r="G29" s="4"/>
      <c r="H29" s="4"/>
      <c r="I29" s="7"/>
      <c r="J29" s="3"/>
      <c r="K29" s="6"/>
      <c r="L29" s="3"/>
    </row>
    <row r="30" spans="1:15" x14ac:dyDescent="0.2">
      <c r="B30" s="2" t="s">
        <v>0</v>
      </c>
      <c r="D30" s="1"/>
    </row>
    <row r="31" spans="1:15" ht="13.5" thickBot="1" x14ac:dyDescent="0.25">
      <c r="B31" s="57">
        <f>F28+J28+L28</f>
        <v>1958.55</v>
      </c>
      <c r="D31" s="1"/>
    </row>
    <row r="34" spans="1:15" x14ac:dyDescent="0.2">
      <c r="A34" s="28"/>
      <c r="B34" s="27"/>
      <c r="C34" s="62" t="s">
        <v>10</v>
      </c>
      <c r="D34" s="62"/>
      <c r="E34" s="62"/>
      <c r="F34" s="62"/>
      <c r="G34" s="26" t="s">
        <v>9</v>
      </c>
      <c r="H34" s="25"/>
      <c r="I34" s="25"/>
      <c r="J34" s="58" t="s">
        <v>19</v>
      </c>
      <c r="K34" s="24" t="s">
        <v>8</v>
      </c>
      <c r="L34" s="23"/>
    </row>
    <row r="35" spans="1:15" x14ac:dyDescent="0.2">
      <c r="A35" s="22" t="s">
        <v>7</v>
      </c>
      <c r="B35" s="21" t="s">
        <v>6</v>
      </c>
      <c r="C35" s="19" t="s">
        <v>16</v>
      </c>
      <c r="D35" s="19" t="s">
        <v>4</v>
      </c>
      <c r="E35" s="19" t="s">
        <v>5</v>
      </c>
      <c r="F35" s="20" t="s">
        <v>3</v>
      </c>
      <c r="G35" s="19" t="s">
        <v>16</v>
      </c>
      <c r="H35" s="19" t="s">
        <v>4</v>
      </c>
      <c r="I35" s="19" t="s">
        <v>5</v>
      </c>
      <c r="J35" s="20" t="s">
        <v>3</v>
      </c>
      <c r="K35" s="19" t="s">
        <v>4</v>
      </c>
      <c r="L35" s="19" t="s">
        <v>3</v>
      </c>
    </row>
    <row r="36" spans="1:15" x14ac:dyDescent="0.2">
      <c r="A36" s="22"/>
      <c r="B36" s="73" t="s">
        <v>32</v>
      </c>
      <c r="C36" s="19"/>
      <c r="D36" s="19"/>
      <c r="E36" s="19"/>
      <c r="F36" s="20"/>
      <c r="G36" s="19"/>
      <c r="H36" s="19"/>
      <c r="I36" s="19"/>
      <c r="J36" s="20"/>
      <c r="K36" s="19"/>
      <c r="L36" s="19"/>
    </row>
    <row r="37" spans="1:15" x14ac:dyDescent="0.2">
      <c r="A37" s="18"/>
      <c r="B37" s="52" t="s">
        <v>22</v>
      </c>
      <c r="C37" s="14">
        <v>1</v>
      </c>
      <c r="D37" s="17" t="s">
        <v>18</v>
      </c>
      <c r="E37" s="16">
        <v>75</v>
      </c>
      <c r="F37" s="15">
        <f t="shared" ref="F37:F38" si="1">C37*E37</f>
        <v>75</v>
      </c>
      <c r="G37" s="14"/>
      <c r="H37" s="17"/>
      <c r="I37" s="16"/>
      <c r="J37" s="15"/>
      <c r="K37" s="14"/>
      <c r="L37" s="13"/>
      <c r="M37" s="12"/>
      <c r="O37" s="51"/>
    </row>
    <row r="38" spans="1:15" x14ac:dyDescent="0.2">
      <c r="A38" s="18"/>
      <c r="B38" s="59" t="s">
        <v>24</v>
      </c>
      <c r="C38" s="14">
        <v>4</v>
      </c>
      <c r="D38" s="17" t="s">
        <v>18</v>
      </c>
      <c r="E38" s="16">
        <v>75</v>
      </c>
      <c r="F38" s="15">
        <f t="shared" si="1"/>
        <v>300</v>
      </c>
      <c r="G38" s="14"/>
      <c r="H38" s="17"/>
      <c r="I38" s="16"/>
      <c r="J38" s="15"/>
      <c r="K38" s="14"/>
      <c r="L38" s="13"/>
      <c r="M38" s="12"/>
      <c r="O38" s="51"/>
    </row>
    <row r="39" spans="1:15" x14ac:dyDescent="0.2">
      <c r="A39" s="18"/>
      <c r="B39" s="52" t="s">
        <v>27</v>
      </c>
      <c r="C39" s="14"/>
      <c r="D39" s="17"/>
      <c r="E39" s="16"/>
      <c r="F39" s="15"/>
      <c r="G39" s="14">
        <v>40</v>
      </c>
      <c r="H39" s="17" t="s">
        <v>28</v>
      </c>
      <c r="I39" s="16">
        <v>6</v>
      </c>
      <c r="J39" s="15">
        <f>G39*I39</f>
        <v>240</v>
      </c>
      <c r="K39" s="14"/>
      <c r="L39" s="13"/>
      <c r="M39" s="12"/>
      <c r="O39" s="51"/>
    </row>
    <row r="40" spans="1:15" x14ac:dyDescent="0.2">
      <c r="A40" s="18"/>
      <c r="B40" s="52" t="s">
        <v>29</v>
      </c>
      <c r="C40" s="14"/>
      <c r="D40" s="17"/>
      <c r="E40" s="16"/>
      <c r="F40" s="15"/>
      <c r="G40" s="14">
        <v>7</v>
      </c>
      <c r="H40" s="17" t="s">
        <v>21</v>
      </c>
      <c r="I40" s="16">
        <v>12</v>
      </c>
      <c r="J40" s="15">
        <f>G40*I40</f>
        <v>84</v>
      </c>
      <c r="K40" s="14"/>
      <c r="L40" s="13"/>
      <c r="M40" s="12"/>
      <c r="O40" s="51"/>
    </row>
    <row r="41" spans="1:15" x14ac:dyDescent="0.2">
      <c r="A41" s="18"/>
      <c r="B41" s="52" t="s">
        <v>33</v>
      </c>
      <c r="C41" s="14"/>
      <c r="D41" s="17"/>
      <c r="E41" s="16"/>
      <c r="F41" s="15"/>
      <c r="G41" s="14">
        <v>20</v>
      </c>
      <c r="H41" s="17" t="s">
        <v>28</v>
      </c>
      <c r="I41" s="16">
        <v>7.75</v>
      </c>
      <c r="J41" s="15">
        <f>G41*I41</f>
        <v>155</v>
      </c>
      <c r="K41" s="14"/>
      <c r="L41" s="13"/>
      <c r="M41" s="12"/>
      <c r="O41" s="51"/>
    </row>
    <row r="42" spans="1:15" x14ac:dyDescent="0.2">
      <c r="A42" s="18"/>
      <c r="B42" s="52" t="s">
        <v>35</v>
      </c>
      <c r="C42" s="14"/>
      <c r="D42" s="17"/>
      <c r="E42" s="16"/>
      <c r="F42" s="15"/>
      <c r="G42" s="14">
        <v>6</v>
      </c>
      <c r="H42" s="17" t="s">
        <v>21</v>
      </c>
      <c r="I42" s="16">
        <v>16</v>
      </c>
      <c r="J42" s="15">
        <f>G42*I42</f>
        <v>96</v>
      </c>
      <c r="K42" s="14"/>
      <c r="L42" s="13"/>
      <c r="M42" s="12"/>
      <c r="O42" s="51"/>
    </row>
    <row r="43" spans="1:15" x14ac:dyDescent="0.2">
      <c r="A43" s="18"/>
      <c r="B43" s="52" t="s">
        <v>25</v>
      </c>
      <c r="C43" s="14"/>
      <c r="D43" s="17"/>
      <c r="E43" s="16"/>
      <c r="F43" s="15"/>
      <c r="G43" s="14">
        <v>1</v>
      </c>
      <c r="H43" s="17" t="s">
        <v>26</v>
      </c>
      <c r="I43" s="16">
        <v>10</v>
      </c>
      <c r="J43" s="15">
        <f>G43*I43</f>
        <v>10</v>
      </c>
      <c r="K43" s="14"/>
      <c r="L43" s="13"/>
      <c r="M43" s="12"/>
      <c r="O43" s="51"/>
    </row>
    <row r="44" spans="1:15" x14ac:dyDescent="0.2">
      <c r="A44" s="18"/>
      <c r="B44" s="52" t="s">
        <v>20</v>
      </c>
      <c r="C44" s="14">
        <v>2</v>
      </c>
      <c r="D44" s="17" t="s">
        <v>18</v>
      </c>
      <c r="E44" s="16">
        <v>80</v>
      </c>
      <c r="F44" s="15">
        <f t="shared" ref="F44:F52" si="2">C44*E44</f>
        <v>160</v>
      </c>
      <c r="G44" s="14"/>
      <c r="H44" s="17"/>
      <c r="I44" s="16"/>
      <c r="J44" s="15"/>
      <c r="K44" s="14"/>
      <c r="L44" s="13"/>
      <c r="M44" s="12"/>
      <c r="O44" s="51"/>
    </row>
    <row r="45" spans="1:15" x14ac:dyDescent="0.2">
      <c r="B45" s="5" t="s">
        <v>2</v>
      </c>
      <c r="D45" s="1"/>
      <c r="F45" s="12">
        <f>SUM(F37:F44)</f>
        <v>535</v>
      </c>
      <c r="G45" s="12"/>
      <c r="H45" s="12"/>
      <c r="I45" s="12"/>
      <c r="J45" s="12">
        <f>SUM(J37:J44)</f>
        <v>585</v>
      </c>
      <c r="K45" s="12">
        <f>SUM(K37:K44)</f>
        <v>0</v>
      </c>
      <c r="L45" s="12">
        <f>SUM(L37:L44)</f>
        <v>0</v>
      </c>
    </row>
    <row r="46" spans="1:15" x14ac:dyDescent="0.2">
      <c r="B46" s="10" t="s">
        <v>1</v>
      </c>
      <c r="D46" s="1"/>
      <c r="E46" s="11">
        <v>0.1</v>
      </c>
      <c r="F46" s="53">
        <f>+E46*F45</f>
        <v>53.5</v>
      </c>
      <c r="I46" s="11">
        <v>0.1</v>
      </c>
      <c r="J46" s="55">
        <f>+I46*J45</f>
        <v>58.5</v>
      </c>
      <c r="K46" s="11">
        <v>0.1</v>
      </c>
      <c r="L46" s="53">
        <f>+K46*L45</f>
        <v>0</v>
      </c>
    </row>
    <row r="47" spans="1:15" x14ac:dyDescent="0.2">
      <c r="B47" s="9" t="s">
        <v>15</v>
      </c>
      <c r="D47" s="1"/>
      <c r="F47" s="54">
        <f>F45+F46</f>
        <v>588.5</v>
      </c>
      <c r="G47" s="8"/>
      <c r="H47" s="8"/>
      <c r="I47" s="8"/>
      <c r="J47" s="56">
        <f>J45+J46</f>
        <v>643.5</v>
      </c>
      <c r="K47" s="8"/>
      <c r="L47" s="54">
        <f>L45+L46</f>
        <v>0</v>
      </c>
    </row>
    <row r="48" spans="1:15" ht="13.5" thickBot="1" x14ac:dyDescent="0.25">
      <c r="B48" s="5"/>
      <c r="D48" s="1"/>
      <c r="F48" s="3"/>
      <c r="G48" s="4"/>
      <c r="H48" s="4"/>
      <c r="I48" s="7"/>
      <c r="J48" s="3"/>
      <c r="K48" s="6"/>
      <c r="L48" s="3"/>
    </row>
    <row r="49" spans="2:4" x14ac:dyDescent="0.2">
      <c r="B49" s="2" t="s">
        <v>0</v>
      </c>
      <c r="D49" s="1"/>
    </row>
    <row r="50" spans="2:4" ht="13.5" thickBot="1" x14ac:dyDescent="0.25">
      <c r="B50" s="57">
        <f>F47+J47+L47</f>
        <v>1232</v>
      </c>
      <c r="D50" s="1"/>
    </row>
  </sheetData>
  <mergeCells count="6">
    <mergeCell ref="C34:F34"/>
    <mergeCell ref="I1:L1"/>
    <mergeCell ref="I2:L2"/>
    <mergeCell ref="C14:F14"/>
    <mergeCell ref="A4:L4"/>
    <mergeCell ref="A5:L7"/>
  </mergeCells>
  <pageMargins left="0.75" right="0.75" top="1" bottom="1" header="0.5" footer="0.5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CGC BP </vt:lpstr>
      <vt:lpstr>'CGC BP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2015-03-24T21:35:23Z</cp:lastPrinted>
  <dcterms:created xsi:type="dcterms:W3CDTF">2014-07-14T23:11:07Z</dcterms:created>
  <dcterms:modified xsi:type="dcterms:W3CDTF">2016-03-10T21:21:57Z</dcterms:modified>
</cp:coreProperties>
</file>