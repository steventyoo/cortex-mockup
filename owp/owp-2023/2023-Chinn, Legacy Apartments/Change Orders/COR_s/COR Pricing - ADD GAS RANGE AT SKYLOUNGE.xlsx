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'!$A$14:$L$30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" i="1" l="1"/>
  <c r="J21" i="1"/>
  <c r="J27" i="1" s="1"/>
  <c r="J22" i="1"/>
  <c r="F25" i="1"/>
  <c r="F24" i="1"/>
  <c r="F23" i="1" l="1"/>
  <c r="J19" i="1"/>
  <c r="F17" i="1" l="1"/>
  <c r="L27" i="1" l="1"/>
  <c r="L28" i="1" s="1"/>
  <c r="L29" i="1" l="1"/>
  <c r="F18" i="1" l="1"/>
  <c r="F27" i="1" s="1"/>
  <c r="F26" i="1"/>
  <c r="F28" i="1" l="1"/>
  <c r="F29" i="1" s="1"/>
  <c r="J18" i="1"/>
  <c r="J28" i="1" l="1"/>
  <c r="J29" i="1" l="1"/>
  <c r="B32" i="1" s="1"/>
</calcChain>
</file>

<file path=xl/sharedStrings.xml><?xml version="1.0" encoding="utf-8"?>
<sst xmlns="http://schemas.openxmlformats.org/spreadsheetml/2006/main" count="45" uniqueCount="31">
  <si>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</si>
  <si>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</si>
  <si>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</si>
  <si>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</si>
  <si>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</si>
  <si>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</si>
  <si>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</si>
  <si>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</si>
  <si>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</si>
  <si>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</si>
  <si>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</si>
  <si>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</si>
  <si>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</si>
  <si>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</si>
  <si>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Totals</t>
  </si>
  <si>
    <t>Quan</t>
  </si>
  <si>
    <t>2023 LEGACY APARTMENTS</t>
  </si>
  <si>
    <t>HRS</t>
  </si>
  <si>
    <t>Material</t>
  </si>
  <si>
    <t>SUPERVISION</t>
  </si>
  <si>
    <t>LS</t>
  </si>
  <si>
    <t>FITTINGS</t>
  </si>
  <si>
    <t>LAYOUT/COORDINATION</t>
  </si>
  <si>
    <t>3/4" GAS PIPE</t>
  </si>
  <si>
    <t>AS-BUILTING</t>
  </si>
  <si>
    <t>ADD TO PERMIT &amp; INSPECT</t>
  </si>
  <si>
    <t>TRIM LABOR</t>
  </si>
  <si>
    <t>VALVE</t>
  </si>
  <si>
    <t>EA</t>
  </si>
  <si>
    <t>REGULATOR</t>
  </si>
  <si>
    <t>FLEX 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</si>
</sst>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</numFmts>
  <fonts count="10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1" xfId="0" applyNumberFormat="1" applyFont="1" applyBorder="1" applyAlignment="1">
      <alignment vertical="top" wrapText="1"/>
    </xf>
    <xf numFmtId="165" fontId="6" fillId="0" borderId="1" xfId="0" applyNumberFormat="1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6" fontId="6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0" fillId="0" borderId="2" xfId="0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3" borderId="4" xfId="0" applyFill="1" applyBorder="1" applyAlignment="1">
      <alignment horizontal="centerContinuous"/>
    </xf>
    <xf numFmtId="0" fontId="1" fillId="3" borderId="5" xfId="0" applyFont="1" applyFill="1" applyBorder="1" applyAlignment="1">
      <alignment horizontal="centerContinuous"/>
    </xf>
    <xf numFmtId="0" fontId="0" fillId="4" borderId="5" xfId="0" applyFill="1" applyBorder="1" applyAlignment="1">
      <alignment horizontal="centerContinuous"/>
    </xf>
    <xf numFmtId="0" fontId="1" fillId="4" borderId="5" xfId="0" applyFont="1" applyFill="1" applyBorder="1" applyAlignment="1">
      <alignment horizontal="centerContinuous"/>
    </xf>
    <xf numFmtId="0" fontId="0" fillId="0" borderId="6" xfId="0" applyBorder="1"/>
    <xf numFmtId="0" fontId="0" fillId="0" borderId="7" xfId="0" applyBorder="1"/>
    <xf numFmtId="0" fontId="4" fillId="0" borderId="0" xfId="2" applyFont="1" applyAlignment="1">
      <alignment vertical="center"/>
    </xf>
    <xf numFmtId="14" fontId="1" fillId="0" borderId="8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9" xfId="2" applyFont="1" applyBorder="1" applyAlignment="1">
      <alignment horizontal="left"/>
    </xf>
    <xf numFmtId="0" fontId="1" fillId="0" borderId="10" xfId="2" applyFont="1" applyBorder="1" applyAlignment="1">
      <alignment horizontal="left"/>
    </xf>
    <xf numFmtId="14" fontId="1" fillId="0" borderId="10" xfId="2" applyNumberFormat="1" applyFont="1" applyBorder="1" applyAlignment="1">
      <alignment horizontal="left"/>
    </xf>
    <xf numFmtId="0" fontId="4" fillId="0" borderId="10" xfId="2" applyFont="1" applyBorder="1" applyAlignment="1">
      <alignment horizontal="center"/>
    </xf>
    <xf numFmtId="0" fontId="1" fillId="0" borderId="10" xfId="2" applyFont="1" applyBorder="1" applyAlignment="1">
      <alignment horizontal="left" vertic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1" fillId="0" borderId="12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3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8" fontId="0" fillId="0" borderId="0" xfId="0" applyNumberFormat="1" applyFont="1"/>
    <xf numFmtId="0" fontId="6" fillId="0" borderId="1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167" fontId="1" fillId="4" borderId="5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left" vertical="top"/>
    </xf>
    <xf numFmtId="6" fontId="0" fillId="0" borderId="0" xfId="0" applyNumberFormat="1"/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ADD GAS RANGE AT SKYLOUNGE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tabSelected="1" zoomScale="130" zoomScaleNormal="130" workbookViewId="0">
      <selection activeCell="B31" sqref="B31"/>
    </sheetView>
  </sheetViews>
  <sheetFormatPr defaultRowHeight="12.75" x14ac:dyDescent="0.2"/>
  <cols>
    <col min="1" max="1" width="4.5703125" bestFit="1" customWidth="1"/>
    <col min="2" max="2" width="33.140625" customWidth="1"/>
    <col min="3" max="3" width="5" customWidth="1"/>
    <col min="4" max="4" width="5.140625" customWidth="1"/>
    <col min="5" max="5" width="7.85546875" customWidth="1"/>
    <col min="6" max="6" width="8.7109375" customWidth="1"/>
    <col min="7" max="7" width="5" customWidth="1"/>
    <col min="8" max="8" width="5.140625" customWidth="1"/>
    <col min="9" max="9" width="8.28515625" customWidth="1"/>
    <col min="10" max="10" width="9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1" t="s">
        <v>12</v>
      </c>
      <c r="I1" s="62" t="s">
        <v>16</v>
      </c>
      <c r="J1" s="62"/>
      <c r="K1" s="62"/>
      <c r="L1" s="62"/>
    </row>
    <row r="2" spans="1:15" x14ac:dyDescent="0.2">
      <c r="D2" s="1"/>
      <c r="G2" s="33"/>
      <c r="H2" s="50" t="s">
        <v>11</v>
      </c>
      <c r="I2" s="63">
        <v>42464</v>
      </c>
      <c r="J2" s="62"/>
      <c r="K2" s="62"/>
      <c r="L2" s="62"/>
    </row>
    <row r="3" spans="1:15" x14ac:dyDescent="0.2">
      <c r="D3" s="1"/>
      <c r="G3" s="33"/>
      <c r="H3" s="50" t="s">
        <v>13</v>
      </c>
      <c r="I3" s="49"/>
      <c r="J3" s="34"/>
      <c r="K3" s="34"/>
      <c r="L3" s="34"/>
    </row>
    <row r="4" spans="1:15" ht="24" thickBot="1" x14ac:dyDescent="0.4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spans="1:15" ht="4.5" customHeight="1" x14ac:dyDescent="0.2">
      <c r="A5" s="66" t="s">
        <v>10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8"/>
    </row>
    <row r="6" spans="1:15" ht="12.75" customHeight="1" x14ac:dyDescent="0.2">
      <c r="A6" s="69"/>
      <c r="B6" s="70"/>
      <c r="C6" s="70"/>
      <c r="D6" s="70"/>
      <c r="E6" s="70"/>
      <c r="F6" s="70"/>
      <c r="G6" s="70"/>
      <c r="H6" s="70"/>
      <c r="I6" s="70"/>
      <c r="J6" s="70"/>
      <c r="K6" s="70"/>
      <c r="L6" s="71"/>
    </row>
    <row r="7" spans="1:15" ht="4.5" customHeight="1" thickBot="1" x14ac:dyDescent="0.25">
      <c r="A7" s="72"/>
      <c r="B7" s="73"/>
      <c r="C7" s="73"/>
      <c r="D7" s="73"/>
      <c r="E7" s="73"/>
      <c r="F7" s="73"/>
      <c r="G7" s="73"/>
      <c r="H7" s="73"/>
      <c r="I7" s="73"/>
      <c r="J7" s="73"/>
      <c r="K7" s="73"/>
      <c r="L7" s="74"/>
    </row>
    <row r="8" spans="1:15" x14ac:dyDescent="0.2">
      <c r="A8" s="48"/>
      <c r="B8" s="46"/>
      <c r="C8" s="46"/>
      <c r="D8" s="47"/>
      <c r="E8" s="46"/>
      <c r="F8" s="46"/>
      <c r="G8" s="33"/>
      <c r="H8" s="45"/>
      <c r="I8" s="35"/>
      <c r="J8" s="34"/>
      <c r="K8" s="34"/>
      <c r="L8" s="44"/>
    </row>
    <row r="9" spans="1:15" x14ac:dyDescent="0.2">
      <c r="A9" s="48"/>
      <c r="B9" s="46"/>
      <c r="C9" s="46"/>
      <c r="D9" s="47"/>
      <c r="E9" s="46"/>
      <c r="F9" s="46"/>
      <c r="G9" s="33"/>
      <c r="H9" s="45"/>
      <c r="I9" s="35"/>
      <c r="J9" s="34"/>
      <c r="K9" s="34"/>
      <c r="L9" s="44"/>
    </row>
    <row r="10" spans="1:15" x14ac:dyDescent="0.2">
      <c r="A10" s="48"/>
      <c r="B10" s="46"/>
      <c r="C10" s="46"/>
      <c r="D10" s="47"/>
      <c r="E10" s="46"/>
      <c r="F10" s="46"/>
      <c r="G10" s="33"/>
      <c r="H10" s="45"/>
      <c r="I10" s="35"/>
      <c r="J10" s="34"/>
      <c r="K10" s="34"/>
      <c r="L10" s="44"/>
    </row>
    <row r="11" spans="1:15" ht="13.5" thickBot="1" x14ac:dyDescent="0.25">
      <c r="A11" s="43"/>
      <c r="B11" s="41"/>
      <c r="C11" s="41"/>
      <c r="D11" s="42"/>
      <c r="E11" s="41"/>
      <c r="F11" s="41"/>
      <c r="G11" s="40"/>
      <c r="H11" s="39"/>
      <c r="I11" s="38"/>
      <c r="J11" s="37"/>
      <c r="K11" s="37"/>
      <c r="L11" s="36"/>
    </row>
    <row r="12" spans="1:15" ht="6" customHeight="1" x14ac:dyDescent="0.2">
      <c r="D12" s="1"/>
      <c r="G12" s="33"/>
      <c r="H12" s="32"/>
      <c r="I12" s="35"/>
      <c r="J12" s="34"/>
      <c r="K12" s="34"/>
      <c r="L12" s="34"/>
    </row>
    <row r="13" spans="1:15" ht="6" customHeight="1" x14ac:dyDescent="0.2">
      <c r="D13" s="1"/>
      <c r="E13" s="33"/>
      <c r="F13" s="32"/>
      <c r="G13" s="31"/>
      <c r="H13" s="31"/>
      <c r="I13" s="31"/>
      <c r="J13" s="30"/>
    </row>
    <row r="14" spans="1:15" x14ac:dyDescent="0.2">
      <c r="A14" s="29"/>
      <c r="B14" s="28"/>
      <c r="C14" s="64" t="s">
        <v>9</v>
      </c>
      <c r="D14" s="64"/>
      <c r="E14" s="64"/>
      <c r="F14" s="64"/>
      <c r="G14" s="27" t="s">
        <v>8</v>
      </c>
      <c r="H14" s="26"/>
      <c r="I14" s="26"/>
      <c r="J14" s="59" t="s">
        <v>18</v>
      </c>
      <c r="K14" s="25" t="s">
        <v>7</v>
      </c>
      <c r="L14" s="24"/>
    </row>
    <row r="15" spans="1:15" x14ac:dyDescent="0.2">
      <c r="A15" s="23" t="s">
        <v>6</v>
      </c>
      <c r="B15" s="22" t="s">
        <v>5</v>
      </c>
      <c r="C15" s="20" t="s">
        <v>15</v>
      </c>
      <c r="D15" s="20" t="s">
        <v>3</v>
      </c>
      <c r="E15" s="20" t="s">
        <v>4</v>
      </c>
      <c r="F15" s="21" t="s">
        <v>2</v>
      </c>
      <c r="G15" s="20" t="s">
        <v>15</v>
      </c>
      <c r="H15" s="20" t="s">
        <v>3</v>
      </c>
      <c r="I15" s="20" t="s">
        <v>4</v>
      </c>
      <c r="J15" s="21" t="s">
        <v>2</v>
      </c>
      <c r="K15" s="20" t="s">
        <v>3</v>
      </c>
      <c r="L15" s="20" t="s">
        <v>2</v>
      </c>
    </row>
    <row r="16" spans="1:15" x14ac:dyDescent="0.2">
      <c r="A16" s="19"/>
      <c r="B16" s="60"/>
      <c r="C16" s="15"/>
      <c r="D16" s="18"/>
      <c r="E16" s="17"/>
      <c r="F16" s="16"/>
      <c r="G16" s="15"/>
      <c r="H16" s="18"/>
      <c r="I16" s="17"/>
      <c r="J16" s="16"/>
      <c r="K16" s="15"/>
      <c r="L16" s="14"/>
      <c r="M16" s="13"/>
      <c r="O16" s="52"/>
    </row>
    <row r="17" spans="1:15" x14ac:dyDescent="0.2">
      <c r="A17" s="19"/>
      <c r="B17" s="54" t="s">
        <v>22</v>
      </c>
      <c r="C17" s="15">
        <v>3</v>
      </c>
      <c r="D17" s="18" t="s">
        <v>17</v>
      </c>
      <c r="E17" s="17">
        <v>80</v>
      </c>
      <c r="F17" s="16">
        <f t="shared" ref="F17:F26" si="0">C17*E17</f>
        <v>240</v>
      </c>
      <c r="G17" s="15"/>
      <c r="H17" s="18"/>
      <c r="I17" s="17"/>
      <c r="J17" s="16"/>
      <c r="K17" s="15"/>
      <c r="L17" s="14"/>
      <c r="M17" s="13"/>
      <c r="O17" s="52"/>
    </row>
    <row r="18" spans="1:15" x14ac:dyDescent="0.2">
      <c r="A18" s="19"/>
      <c r="B18" s="54" t="s">
        <v>23</v>
      </c>
      <c r="C18" s="15">
        <v>8</v>
      </c>
      <c r="D18" s="18" t="s">
        <v>17</v>
      </c>
      <c r="E18" s="17">
        <v>60.5</v>
      </c>
      <c r="F18" s="16">
        <f t="shared" si="0"/>
        <v>484</v>
      </c>
      <c r="G18" s="15">
        <v>1</v>
      </c>
      <c r="H18" s="18" t="s">
        <v>20</v>
      </c>
      <c r="I18" s="17">
        <v>100</v>
      </c>
      <c r="J18" s="16">
        <f>G18*I18</f>
        <v>100</v>
      </c>
      <c r="K18" s="15"/>
      <c r="L18" s="14"/>
      <c r="M18" s="13"/>
      <c r="O18" s="52"/>
    </row>
    <row r="19" spans="1:15" x14ac:dyDescent="0.2">
      <c r="A19" s="19"/>
      <c r="B19" s="54" t="s">
        <v>21</v>
      </c>
      <c r="C19" s="15"/>
      <c r="D19" s="18"/>
      <c r="E19" s="17"/>
      <c r="F19" s="16"/>
      <c r="G19" s="15">
        <v>1</v>
      </c>
      <c r="H19" s="18" t="s">
        <v>20</v>
      </c>
      <c r="I19" s="17">
        <v>100</v>
      </c>
      <c r="J19" s="16">
        <f>G19*I19</f>
        <v>100</v>
      </c>
      <c r="K19" s="15"/>
      <c r="L19" s="14"/>
      <c r="M19" s="13"/>
      <c r="O19" s="52"/>
    </row>
    <row r="20" spans="1:15" x14ac:dyDescent="0.2">
      <c r="A20" s="19"/>
      <c r="B20" s="54" t="s">
        <v>27</v>
      </c>
      <c r="C20" s="15"/>
      <c r="D20" s="18"/>
      <c r="E20" s="17"/>
      <c r="F20" s="16"/>
      <c r="G20" s="15">
        <v>1</v>
      </c>
      <c r="H20" s="18" t="s">
        <v>28</v>
      </c>
      <c r="I20" s="17">
        <v>15</v>
      </c>
      <c r="J20" s="16">
        <f t="shared" ref="J20:J22" si="1">G20*I20</f>
        <v>15</v>
      </c>
      <c r="K20" s="15"/>
      <c r="L20" s="14"/>
      <c r="M20" s="13"/>
      <c r="O20" s="52"/>
    </row>
    <row r="21" spans="1:15" x14ac:dyDescent="0.2">
      <c r="A21" s="19"/>
      <c r="B21" s="54" t="s">
        <v>29</v>
      </c>
      <c r="C21" s="15"/>
      <c r="D21" s="18"/>
      <c r="E21" s="17"/>
      <c r="F21" s="16"/>
      <c r="G21" s="15">
        <v>1</v>
      </c>
      <c r="H21" s="18" t="s">
        <v>28</v>
      </c>
      <c r="I21" s="17">
        <v>75</v>
      </c>
      <c r="J21" s="16">
        <f t="shared" si="1"/>
        <v>75</v>
      </c>
      <c r="K21" s="15"/>
      <c r="L21" s="14"/>
      <c r="M21" s="13"/>
      <c r="O21" s="52"/>
    </row>
    <row r="22" spans="1:15" x14ac:dyDescent="0.2">
      <c r="A22" s="19"/>
      <c r="B22" s="54" t="s">
        <v>30</v>
      </c>
      <c r="C22" s="15"/>
      <c r="D22" s="18"/>
      <c r="E22" s="17"/>
      <c r="F22" s="16"/>
      <c r="G22" s="15">
        <v>1</v>
      </c>
      <c r="H22" s="18" t="s">
        <v>28</v>
      </c>
      <c r="I22" s="17">
        <v>65</v>
      </c>
      <c r="J22" s="16">
        <f t="shared" si="1"/>
        <v>65</v>
      </c>
      <c r="K22" s="15"/>
      <c r="L22" s="14"/>
      <c r="M22" s="13"/>
      <c r="O22" s="52"/>
    </row>
    <row r="23" spans="1:15" ht="13.5" customHeight="1" x14ac:dyDescent="0.2">
      <c r="A23" s="19"/>
      <c r="B23" s="54" t="s">
        <v>19</v>
      </c>
      <c r="C23" s="15">
        <v>3</v>
      </c>
      <c r="D23" s="18" t="s">
        <v>17</v>
      </c>
      <c r="E23" s="17">
        <v>80</v>
      </c>
      <c r="F23" s="16">
        <f t="shared" ref="F23:F25" si="2">C23*E23</f>
        <v>240</v>
      </c>
      <c r="G23" s="15"/>
      <c r="H23" s="18"/>
      <c r="I23" s="17"/>
      <c r="J23" s="16"/>
      <c r="K23" s="15"/>
      <c r="L23" s="14"/>
      <c r="M23" s="13"/>
      <c r="O23" s="53"/>
    </row>
    <row r="24" spans="1:15" ht="13.5" customHeight="1" x14ac:dyDescent="0.2">
      <c r="A24" s="19"/>
      <c r="B24" s="54" t="s">
        <v>25</v>
      </c>
      <c r="C24" s="15">
        <v>2</v>
      </c>
      <c r="D24" s="18" t="s">
        <v>17</v>
      </c>
      <c r="E24" s="17">
        <v>80</v>
      </c>
      <c r="F24" s="16">
        <f t="shared" si="2"/>
        <v>160</v>
      </c>
      <c r="G24" s="15"/>
      <c r="H24" s="18"/>
      <c r="I24" s="17"/>
      <c r="J24" s="16"/>
      <c r="K24" s="15"/>
      <c r="L24" s="14"/>
      <c r="M24" s="13"/>
      <c r="O24" s="53"/>
    </row>
    <row r="25" spans="1:15" ht="13.5" customHeight="1" x14ac:dyDescent="0.2">
      <c r="A25" s="19"/>
      <c r="B25" s="54" t="s">
        <v>26</v>
      </c>
      <c r="C25" s="15">
        <v>2</v>
      </c>
      <c r="D25" s="18" t="s">
        <v>17</v>
      </c>
      <c r="E25" s="17">
        <v>80</v>
      </c>
      <c r="F25" s="16">
        <f t="shared" si="2"/>
        <v>160</v>
      </c>
      <c r="G25" s="15"/>
      <c r="H25" s="18"/>
      <c r="I25" s="17"/>
      <c r="J25" s="16"/>
      <c r="K25" s="15"/>
      <c r="L25" s="14"/>
      <c r="M25" s="13"/>
      <c r="O25" s="53"/>
    </row>
    <row r="26" spans="1:15" ht="13.5" customHeight="1" x14ac:dyDescent="0.2">
      <c r="A26" s="19"/>
      <c r="B26" s="54" t="s">
        <v>24</v>
      </c>
      <c r="C26" s="15">
        <v>1</v>
      </c>
      <c r="D26" s="18" t="s">
        <v>17</v>
      </c>
      <c r="E26" s="17">
        <v>80</v>
      </c>
      <c r="F26" s="16">
        <f t="shared" si="0"/>
        <v>80</v>
      </c>
      <c r="G26" s="15"/>
      <c r="H26" s="18"/>
      <c r="I26" s="17"/>
      <c r="J26" s="16"/>
      <c r="K26" s="15"/>
      <c r="L26" s="14"/>
      <c r="M26" s="13"/>
      <c r="O26" s="53"/>
    </row>
    <row r="27" spans="1:15" x14ac:dyDescent="0.2">
      <c r="B27" s="4" t="s">
        <v>1</v>
      </c>
      <c r="D27" s="1"/>
      <c r="F27" s="13">
        <f>SUM(F16:F26)</f>
        <v>1364</v>
      </c>
      <c r="G27" s="13"/>
      <c r="H27" s="13"/>
      <c r="I27" s="13"/>
      <c r="J27" s="13">
        <f>SUM(J16:J26)</f>
        <v>355</v>
      </c>
      <c r="K27" s="13"/>
      <c r="L27" s="13">
        <f>SUM(L16:L26)</f>
        <v>0</v>
      </c>
    </row>
    <row r="28" spans="1:15" x14ac:dyDescent="0.2">
      <c r="B28" s="11" t="s">
        <v>0</v>
      </c>
      <c r="D28" s="1"/>
      <c r="E28" s="12">
        <v>0.1</v>
      </c>
      <c r="F28" s="55">
        <f>+E28*F27</f>
        <v>136.4</v>
      </c>
      <c r="I28" s="12">
        <v>0.1</v>
      </c>
      <c r="J28" s="57">
        <f>+I28*J27</f>
        <v>35.5</v>
      </c>
      <c r="K28" s="12">
        <v>0.1</v>
      </c>
      <c r="L28" s="10">
        <f>+K28*L27</f>
        <v>0</v>
      </c>
    </row>
    <row r="29" spans="1:15" x14ac:dyDescent="0.2">
      <c r="B29" s="9" t="s">
        <v>14</v>
      </c>
      <c r="D29" s="1"/>
      <c r="F29" s="56">
        <f>F27+F28</f>
        <v>1500.4</v>
      </c>
      <c r="G29" s="8"/>
      <c r="H29" s="8"/>
      <c r="I29" s="8"/>
      <c r="J29" s="58">
        <f>J27+J28</f>
        <v>390.5</v>
      </c>
      <c r="K29" s="8"/>
      <c r="L29" s="7">
        <f>L27+L28</f>
        <v>0</v>
      </c>
    </row>
    <row r="30" spans="1:15" x14ac:dyDescent="0.2">
      <c r="B30" s="4"/>
      <c r="D30" s="1"/>
      <c r="F30" s="2"/>
      <c r="G30" s="3"/>
      <c r="H30" s="3"/>
      <c r="I30" s="6"/>
      <c r="J30" s="2"/>
      <c r="K30" s="5"/>
      <c r="L30" s="2"/>
    </row>
    <row r="32" spans="1:15" x14ac:dyDescent="0.2">
      <c r="B32" s="61">
        <f>F29+J29</f>
        <v>1890.9</v>
      </c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2014-07-31T22:18:24Z</cp:lastPrinted>
  <dcterms:created xsi:type="dcterms:W3CDTF">2014-07-14T23:11:07Z</dcterms:created>
  <dcterms:modified xsi:type="dcterms:W3CDTF">2016-04-12T21:47:36Z</dcterms:modified>
</cp:coreProperties>
</file>