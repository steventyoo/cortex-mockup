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F23" i="1"/>
  <c r="J20" i="1" l="1"/>
  <c r="F21" i="1"/>
  <c r="J19" i="1" l="1"/>
  <c r="F17" i="1" l="1"/>
  <c r="L23" i="1" l="1"/>
  <c r="L24" i="1" s="1"/>
  <c r="L25" i="1" l="1"/>
  <c r="F22" i="1" l="1"/>
  <c r="F24" i="1" l="1"/>
  <c r="F25" i="1" s="1"/>
  <c r="J18" i="1"/>
  <c r="J24" i="1" l="1"/>
  <c r="J25" i="1" l="1"/>
  <c r="B28" i="1" s="1"/>
</calcChain>
</file>

<file path=xl/sharedStrings.xml><?xml version="1.0" encoding="utf-8"?>
<sst xmlns="http://schemas.openxmlformats.org/spreadsheetml/2006/main" count="36" uniqueCount="26">
  <si>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</si>
  <si>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</si>
  <si>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</si>
  <si>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</si>
  <si>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</si>
  <si>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</si>
  <si>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</si>
  <si>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</si>
  <si>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</si>
  <si>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</si>
  <si>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</si>
  <si>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</si>
  <si>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</si>
  <si>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</si>
  <si>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</si>
  <si>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</si>
  <si>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</si>
  <si>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</si>
  <si>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</si>
  <si>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LAYOUT/COORDINATION</t>
  </si>
  <si>
    <t>AS-BUILTING</t>
  </si>
  <si>
    <t>TRIM LABOR</t>
  </si>
  <si>
    <t>EA</t>
  </si>
  <si>
    <t>LAV RESTOCK FEE</t>
  </si>
  <si>
    <t>NEW LAV - NAMEEKS SCARABEO 1HOLE LAV SINK WHITE</t>
  </si>
  <si>
    <t>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</si>
</sst>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0" fontId="0" fillId="4" borderId="5" xfId="0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4" fillId="0" borderId="0" xfId="2" applyFont="1" applyAlignment="1">
      <alignment vertical="center"/>
    </xf>
    <xf numFmtId="14" fontId="1" fillId="0" borderId="8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9" xfId="2" applyFont="1" applyBorder="1" applyAlignment="1">
      <alignment horizontal="left"/>
    </xf>
    <xf numFmtId="0" fontId="1" fillId="0" borderId="10" xfId="2" applyFont="1" applyBorder="1" applyAlignment="1">
      <alignment horizontal="left"/>
    </xf>
    <xf numFmtId="14" fontId="1" fillId="0" borderId="10" xfId="2" applyNumberFormat="1" applyFont="1" applyBorder="1" applyAlignment="1">
      <alignment horizontal="left"/>
    </xf>
    <xf numFmtId="0" fontId="4" fillId="0" borderId="10" xfId="2" applyFont="1" applyBorder="1" applyAlignment="1">
      <alignment horizontal="center"/>
    </xf>
    <xf numFmtId="0" fontId="1" fillId="0" borderId="10" xfId="2" applyFont="1" applyBorder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12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1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167" fontId="1" fillId="4" borderId="5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top"/>
    </xf>
    <xf numFmtId="6" fontId="0" fillId="0" borderId="0" xfId="0" applyNumberFormat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CHANGE SINK PER RFI-308REV1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zoomScale="130" zoomScaleNormal="130" workbookViewId="0">
      <selection activeCell="M2" sqref="M2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1" t="s">
        <v>12</v>
      </c>
      <c r="I1" s="62" t="s">
        <v>16</v>
      </c>
      <c r="J1" s="62"/>
      <c r="K1" s="62"/>
      <c r="L1" s="62"/>
    </row>
    <row r="2" spans="1:15" x14ac:dyDescent="0.2">
      <c r="D2" s="1"/>
      <c r="G2" s="33"/>
      <c r="H2" s="50" t="s">
        <v>11</v>
      </c>
      <c r="I2" s="63">
        <v>42564</v>
      </c>
      <c r="J2" s="62"/>
      <c r="K2" s="62"/>
      <c r="L2" s="62"/>
    </row>
    <row r="3" spans="1:15" x14ac:dyDescent="0.2">
      <c r="D3" s="1"/>
      <c r="G3" s="33"/>
      <c r="H3" s="50" t="s">
        <v>13</v>
      </c>
      <c r="I3" s="49"/>
      <c r="J3" s="34"/>
      <c r="K3" s="34"/>
      <c r="L3" s="34"/>
    </row>
    <row r="4" spans="1:15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4.5" customHeight="1" x14ac:dyDescent="0.2">
      <c r="A5" s="66" t="s">
        <v>10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5" x14ac:dyDescent="0.2">
      <c r="A8" s="48"/>
      <c r="B8" s="46"/>
      <c r="C8" s="46"/>
      <c r="D8" s="47"/>
      <c r="E8" s="46"/>
      <c r="F8" s="46"/>
      <c r="G8" s="33"/>
      <c r="H8" s="45"/>
      <c r="I8" s="35"/>
      <c r="J8" s="34"/>
      <c r="K8" s="34"/>
      <c r="L8" s="44"/>
    </row>
    <row r="9" spans="1:15" x14ac:dyDescent="0.2">
      <c r="A9" s="48"/>
      <c r="B9" s="46"/>
      <c r="C9" s="46"/>
      <c r="D9" s="47"/>
      <c r="E9" s="46"/>
      <c r="F9" s="46"/>
      <c r="G9" s="33"/>
      <c r="H9" s="45"/>
      <c r="I9" s="35"/>
      <c r="J9" s="34"/>
      <c r="K9" s="34"/>
      <c r="L9" s="44"/>
    </row>
    <row r="10" spans="1:15" x14ac:dyDescent="0.2">
      <c r="A10" s="48"/>
      <c r="B10" s="46"/>
      <c r="C10" s="46"/>
      <c r="D10" s="47"/>
      <c r="E10" s="46"/>
      <c r="F10" s="46"/>
      <c r="G10" s="33"/>
      <c r="H10" s="45"/>
      <c r="I10" s="35"/>
      <c r="J10" s="34"/>
      <c r="K10" s="34"/>
      <c r="L10" s="44"/>
    </row>
    <row r="11" spans="1:15" ht="13.5" thickBot="1" x14ac:dyDescent="0.25">
      <c r="A11" s="43"/>
      <c r="B11" s="41"/>
      <c r="C11" s="41"/>
      <c r="D11" s="42"/>
      <c r="E11" s="41"/>
      <c r="F11" s="41"/>
      <c r="G11" s="40"/>
      <c r="H11" s="39"/>
      <c r="I11" s="38"/>
      <c r="J11" s="37"/>
      <c r="K11" s="37"/>
      <c r="L11" s="36"/>
    </row>
    <row r="12" spans="1:15" ht="6" customHeight="1" x14ac:dyDescent="0.2">
      <c r="D12" s="1"/>
      <c r="G12" s="33"/>
      <c r="H12" s="32"/>
      <c r="I12" s="35"/>
      <c r="J12" s="34"/>
      <c r="K12" s="34"/>
      <c r="L12" s="34"/>
    </row>
    <row r="13" spans="1:15" ht="6" customHeight="1" x14ac:dyDescent="0.2">
      <c r="D13" s="1"/>
      <c r="E13" s="33"/>
      <c r="F13" s="32"/>
      <c r="G13" s="31"/>
      <c r="H13" s="31"/>
      <c r="I13" s="31"/>
      <c r="J13" s="30"/>
    </row>
    <row r="14" spans="1:15" x14ac:dyDescent="0.2">
      <c r="A14" s="29"/>
      <c r="B14" s="28"/>
      <c r="C14" s="64" t="s">
        <v>9</v>
      </c>
      <c r="D14" s="64"/>
      <c r="E14" s="64"/>
      <c r="F14" s="64"/>
      <c r="G14" s="27" t="s">
        <v>8</v>
      </c>
      <c r="H14" s="26"/>
      <c r="I14" s="26"/>
      <c r="J14" s="59" t="s">
        <v>18</v>
      </c>
      <c r="K14" s="25" t="s">
        <v>7</v>
      </c>
      <c r="L14" s="24"/>
    </row>
    <row r="15" spans="1:15" x14ac:dyDescent="0.2">
      <c r="A15" s="23" t="s">
        <v>6</v>
      </c>
      <c r="B15" s="22" t="s">
        <v>5</v>
      </c>
      <c r="C15" s="20" t="s">
        <v>15</v>
      </c>
      <c r="D15" s="20" t="s">
        <v>3</v>
      </c>
      <c r="E15" s="20" t="s">
        <v>4</v>
      </c>
      <c r="F15" s="21" t="s">
        <v>2</v>
      </c>
      <c r="G15" s="20" t="s">
        <v>15</v>
      </c>
      <c r="H15" s="20" t="s">
        <v>3</v>
      </c>
      <c r="I15" s="20" t="s">
        <v>4</v>
      </c>
      <c r="J15" s="21" t="s">
        <v>2</v>
      </c>
      <c r="K15" s="20" t="s">
        <v>3</v>
      </c>
      <c r="L15" s="20" t="s">
        <v>2</v>
      </c>
    </row>
    <row r="16" spans="1:15" x14ac:dyDescent="0.2">
      <c r="A16" s="19"/>
      <c r="B16" s="60"/>
      <c r="C16" s="15"/>
      <c r="D16" s="18"/>
      <c r="E16" s="17"/>
      <c r="F16" s="16"/>
      <c r="G16" s="15"/>
      <c r="H16" s="18"/>
      <c r="I16" s="17"/>
      <c r="J16" s="16"/>
      <c r="K16" s="15"/>
      <c r="L16" s="14"/>
      <c r="M16" s="13"/>
      <c r="O16" s="52"/>
    </row>
    <row r="17" spans="1:15" x14ac:dyDescent="0.2">
      <c r="A17" s="19"/>
      <c r="B17" s="54" t="s">
        <v>19</v>
      </c>
      <c r="C17" s="15">
        <v>2</v>
      </c>
      <c r="D17" s="18" t="s">
        <v>17</v>
      </c>
      <c r="E17" s="17">
        <v>80</v>
      </c>
      <c r="F17" s="16">
        <f t="shared" ref="F17:F22" si="0">C17*E17</f>
        <v>160</v>
      </c>
      <c r="G17" s="15"/>
      <c r="H17" s="18"/>
      <c r="I17" s="17"/>
      <c r="J17" s="16"/>
      <c r="K17" s="15"/>
      <c r="L17" s="14"/>
      <c r="M17" s="13"/>
      <c r="O17" s="52"/>
    </row>
    <row r="18" spans="1:15" x14ac:dyDescent="0.2">
      <c r="A18" s="19"/>
      <c r="B18" s="54" t="s">
        <v>23</v>
      </c>
      <c r="C18" s="15"/>
      <c r="D18" s="18"/>
      <c r="E18" s="17"/>
      <c r="F18" s="16"/>
      <c r="G18" s="15">
        <v>1</v>
      </c>
      <c r="H18" s="18" t="s">
        <v>22</v>
      </c>
      <c r="I18" s="17">
        <v>50</v>
      </c>
      <c r="J18" s="16">
        <f>G18*I18</f>
        <v>50</v>
      </c>
      <c r="K18" s="15"/>
      <c r="L18" s="14"/>
      <c r="M18" s="13"/>
      <c r="O18" s="52"/>
    </row>
    <row r="19" spans="1:15" ht="22.5" x14ac:dyDescent="0.2">
      <c r="A19" s="19"/>
      <c r="B19" s="75" t="s">
        <v>24</v>
      </c>
      <c r="C19" s="15"/>
      <c r="D19" s="18"/>
      <c r="E19" s="17"/>
      <c r="F19" s="16"/>
      <c r="G19" s="15">
        <v>1</v>
      </c>
      <c r="H19" s="18" t="s">
        <v>22</v>
      </c>
      <c r="I19" s="17">
        <v>356.5</v>
      </c>
      <c r="J19" s="16">
        <f>G19*I19</f>
        <v>356.5</v>
      </c>
      <c r="K19" s="15"/>
      <c r="L19" s="14"/>
      <c r="M19" s="13"/>
      <c r="O19" s="52"/>
    </row>
    <row r="20" spans="1:15" x14ac:dyDescent="0.2">
      <c r="A20" s="19"/>
      <c r="B20" s="54" t="s">
        <v>25</v>
      </c>
      <c r="C20" s="15"/>
      <c r="D20" s="18"/>
      <c r="E20" s="17"/>
      <c r="F20" s="16"/>
      <c r="G20" s="15">
        <v>1</v>
      </c>
      <c r="H20" s="18" t="s">
        <v>22</v>
      </c>
      <c r="I20" s="17">
        <v>65</v>
      </c>
      <c r="J20" s="16">
        <f t="shared" ref="J20" si="1">G20*I20</f>
        <v>65</v>
      </c>
      <c r="K20" s="15"/>
      <c r="L20" s="14"/>
      <c r="M20" s="13"/>
      <c r="O20" s="52"/>
    </row>
    <row r="21" spans="1:15" ht="13.5" customHeight="1" x14ac:dyDescent="0.2">
      <c r="A21" s="19"/>
      <c r="B21" s="54" t="s">
        <v>21</v>
      </c>
      <c r="C21" s="15">
        <v>2</v>
      </c>
      <c r="D21" s="18" t="s">
        <v>17</v>
      </c>
      <c r="E21" s="17">
        <v>80</v>
      </c>
      <c r="F21" s="16">
        <f t="shared" ref="F21" si="2">C21*E21</f>
        <v>160</v>
      </c>
      <c r="G21" s="15"/>
      <c r="H21" s="18"/>
      <c r="I21" s="17"/>
      <c r="J21" s="16"/>
      <c r="K21" s="15"/>
      <c r="L21" s="14"/>
      <c r="M21" s="13"/>
      <c r="O21" s="53"/>
    </row>
    <row r="22" spans="1:15" ht="13.5" customHeight="1" x14ac:dyDescent="0.2">
      <c r="A22" s="19"/>
      <c r="B22" s="54" t="s">
        <v>20</v>
      </c>
      <c r="C22" s="15">
        <v>1</v>
      </c>
      <c r="D22" s="18" t="s">
        <v>17</v>
      </c>
      <c r="E22" s="17">
        <v>80</v>
      </c>
      <c r="F22" s="16">
        <f t="shared" si="0"/>
        <v>80</v>
      </c>
      <c r="G22" s="15"/>
      <c r="H22" s="18"/>
      <c r="I22" s="17"/>
      <c r="J22" s="16"/>
      <c r="K22" s="15"/>
      <c r="L22" s="14"/>
      <c r="M22" s="13"/>
      <c r="O22" s="53"/>
    </row>
    <row r="23" spans="1:15" x14ac:dyDescent="0.2">
      <c r="B23" s="4" t="s">
        <v>1</v>
      </c>
      <c r="D23" s="1"/>
      <c r="F23" s="13">
        <f>SUM(F16:F22)</f>
        <v>400</v>
      </c>
      <c r="G23" s="13"/>
      <c r="H23" s="13"/>
      <c r="I23" s="13"/>
      <c r="J23" s="13">
        <f>SUM(J16:J22)</f>
        <v>471.5</v>
      </c>
      <c r="K23" s="13"/>
      <c r="L23" s="13">
        <f>SUM(L16:L22)</f>
        <v>0</v>
      </c>
    </row>
    <row r="24" spans="1:15" x14ac:dyDescent="0.2">
      <c r="B24" s="11" t="s">
        <v>0</v>
      </c>
      <c r="D24" s="1"/>
      <c r="E24" s="12">
        <v>0.1</v>
      </c>
      <c r="F24" s="55">
        <f>+E24*F23</f>
        <v>40</v>
      </c>
      <c r="I24" s="12">
        <v>0.1</v>
      </c>
      <c r="J24" s="57">
        <f>+I24*J23</f>
        <v>47.150000000000006</v>
      </c>
      <c r="K24" s="12">
        <v>0.1</v>
      </c>
      <c r="L24" s="10">
        <f>+K24*L23</f>
        <v>0</v>
      </c>
    </row>
    <row r="25" spans="1:15" x14ac:dyDescent="0.2">
      <c r="B25" s="9" t="s">
        <v>14</v>
      </c>
      <c r="D25" s="1"/>
      <c r="F25" s="56">
        <f>F23+F24</f>
        <v>440</v>
      </c>
      <c r="G25" s="8"/>
      <c r="H25" s="8"/>
      <c r="I25" s="8"/>
      <c r="J25" s="58">
        <f>J23+J24</f>
        <v>518.65</v>
      </c>
      <c r="K25" s="8"/>
      <c r="L25" s="7">
        <f>L23+L24</f>
        <v>0</v>
      </c>
    </row>
    <row r="26" spans="1:15" x14ac:dyDescent="0.2">
      <c r="B26" s="4"/>
      <c r="D26" s="1"/>
      <c r="F26" s="2"/>
      <c r="G26" s="3"/>
      <c r="H26" s="3"/>
      <c r="I26" s="6"/>
      <c r="J26" s="2"/>
      <c r="K26" s="5"/>
      <c r="L26" s="2"/>
    </row>
    <row r="28" spans="1:15" x14ac:dyDescent="0.2">
      <c r="B28" s="61">
        <f>F25+J25</f>
        <v>958.65</v>
      </c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2016-07-13T14:16:13Z</dcterms:modified>
</cp:coreProperties>
</file>