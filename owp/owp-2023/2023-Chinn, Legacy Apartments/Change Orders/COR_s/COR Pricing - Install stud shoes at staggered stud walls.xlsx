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'!$A$5:$L$30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J20" i="1" l="1"/>
  <c r="J19" i="1"/>
  <c r="F22" i="1"/>
  <c r="J18" i="1"/>
  <c r="J25" i="1" l="1"/>
  <c r="F23" i="1"/>
  <c r="F17" i="1"/>
  <c r="F19" i="1"/>
  <c r="K25" i="1" l="1"/>
  <c r="L25" i="1"/>
  <c r="L26" i="1" s="1"/>
  <c r="L27" i="1" l="1"/>
  <c r="F18" i="1" l="1"/>
  <c r="F25" i="1" s="1"/>
  <c r="F24" i="1"/>
  <c r="F26" i="1" l="1"/>
  <c r="F27" i="1" s="1"/>
  <c r="J26" i="1" l="1"/>
  <c r="J27" i="1" l="1"/>
  <c r="B30" i="1" s="1"/>
</calcChain>
</file>

<file path=xl/sharedStrings.xml><?xml version="1.0" encoding="utf-8"?>
<sst xmlns="http://schemas.openxmlformats.org/spreadsheetml/2006/main" count="43" uniqueCount="30">
  <si>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</si>
  <si>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</si>
  <si>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</si>
  <si>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</si>
  <si>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</si>
  <si>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</si>
  <si>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</si>
  <si>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</si>
  <si>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</si>
  <si>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</si>
  <si>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</si>
  <si>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</si>
  <si>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</si>
  <si>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</si>
  <si>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</si>
  <si>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</si>
  <si>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</si>
  <si>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Quan</t>
  </si>
  <si>
    <t>2023 LEGACY APARTMENTS</t>
  </si>
  <si>
    <t>HRS</t>
  </si>
  <si>
    <t>Material</t>
  </si>
  <si>
    <t>LAYOUT/COORDINATE STUD SHOES IN FIELD</t>
  </si>
  <si>
    <t>SUBMITTALS</t>
  </si>
  <si>
    <t>COORDINATING WITH ENGINEER</t>
  </si>
  <si>
    <t>INSPECTIONS</t>
  </si>
  <si>
    <t>NAILS</t>
  </si>
  <si>
    <t>LS</t>
  </si>
  <si>
    <t>STRAPPING INSTALL (1 PER LOCATION, 50 LOCATIONS PER FLOOR, 4 FLOORS, 15 MINUTES PER STRAP)</t>
  </si>
  <si>
    <t>SMALL TOOLS</t>
  </si>
  <si>
    <t>STUD SHOE INSTALL (6 PER LOCATION, 50 LOCATIONS PER FLOOR, 4 FLOORS, 20 MINUTES PER SHOE)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</si>
</sst>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INSTALL STUD SHOES AT STAGGERED STUD WALLS.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topLeftCell="A4" zoomScale="130" zoomScaleNormal="130" workbookViewId="0">
      <selection activeCell="B19" sqref="B19"/>
    </sheetView>
  </sheetViews>
  <sheetFormatPr defaultRowHeight="12.75" x14ac:dyDescent="0.2"/>
  <cols>
    <col min="1" max="1" width="4.5703125" bestFit="1" customWidth="1"/>
    <col min="2" max="2" width="43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4" t="s">
        <v>18</v>
      </c>
      <c r="J1" s="64"/>
      <c r="K1" s="64"/>
      <c r="L1" s="64"/>
    </row>
    <row r="2" spans="1:15" x14ac:dyDescent="0.2">
      <c r="D2" s="1"/>
      <c r="G2" s="34"/>
      <c r="H2" s="51" t="s">
        <v>12</v>
      </c>
      <c r="I2" s="65">
        <v>42072</v>
      </c>
      <c r="J2" s="64"/>
      <c r="K2" s="64"/>
      <c r="L2" s="64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5" ht="4.5" customHeight="1" x14ac:dyDescent="0.2">
      <c r="A5" s="68" t="s">
        <v>11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</row>
    <row r="6" spans="1:15" ht="12.75" customHeight="1" x14ac:dyDescent="0.2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</row>
    <row r="7" spans="1:15" ht="4.5" customHeight="1" thickBot="1" x14ac:dyDescent="0.25">
      <c r="A7" s="74"/>
      <c r="B7" s="75"/>
      <c r="C7" s="75"/>
      <c r="D7" s="75"/>
      <c r="E7" s="75"/>
      <c r="F7" s="75"/>
      <c r="G7" s="75"/>
      <c r="H7" s="75"/>
      <c r="I7" s="75"/>
      <c r="J7" s="75"/>
      <c r="K7" s="75"/>
      <c r="L7" s="76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6" t="s">
        <v>10</v>
      </c>
      <c r="D14" s="66"/>
      <c r="E14" s="66"/>
      <c r="F14" s="66"/>
      <c r="G14" s="28" t="s">
        <v>9</v>
      </c>
      <c r="H14" s="27"/>
      <c r="I14" s="27"/>
      <c r="J14" s="61" t="s">
        <v>20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17</v>
      </c>
      <c r="D15" s="21" t="s">
        <v>4</v>
      </c>
      <c r="E15" s="21" t="s">
        <v>5</v>
      </c>
      <c r="F15" s="22" t="s">
        <v>3</v>
      </c>
      <c r="G15" s="21" t="s">
        <v>17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/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21</v>
      </c>
      <c r="C17" s="16">
        <v>80</v>
      </c>
      <c r="D17" s="19" t="s">
        <v>19</v>
      </c>
      <c r="E17" s="18">
        <v>80</v>
      </c>
      <c r="F17" s="17">
        <f t="shared" ref="F17:F24" si="0">C17*E17</f>
        <v>6400</v>
      </c>
      <c r="G17" s="16"/>
      <c r="H17" s="19"/>
      <c r="I17" s="18"/>
      <c r="J17" s="17"/>
      <c r="K17" s="16"/>
      <c r="L17" s="15"/>
      <c r="M17" s="14"/>
      <c r="O17" s="53"/>
    </row>
    <row r="18" spans="1:15" ht="22.5" x14ac:dyDescent="0.2">
      <c r="A18" s="20"/>
      <c r="B18" s="63" t="s">
        <v>29</v>
      </c>
      <c r="C18" s="16">
        <v>400</v>
      </c>
      <c r="D18" s="19" t="s">
        <v>19</v>
      </c>
      <c r="E18" s="18">
        <v>60.5</v>
      </c>
      <c r="F18" s="17">
        <f t="shared" si="0"/>
        <v>24200</v>
      </c>
      <c r="G18" s="16">
        <v>1200</v>
      </c>
      <c r="H18" s="19" t="s">
        <v>15</v>
      </c>
      <c r="I18" s="18">
        <v>2.59</v>
      </c>
      <c r="J18" s="17">
        <f>G18*I18</f>
        <v>3108</v>
      </c>
      <c r="K18" s="16"/>
      <c r="L18" s="15"/>
      <c r="M18" s="14"/>
      <c r="O18" s="53"/>
    </row>
    <row r="19" spans="1:15" ht="22.5" x14ac:dyDescent="0.2">
      <c r="A19" s="20"/>
      <c r="B19" s="63" t="s">
        <v>27</v>
      </c>
      <c r="C19" s="16">
        <v>0</v>
      </c>
      <c r="D19" s="19" t="s">
        <v>19</v>
      </c>
      <c r="E19" s="18">
        <v>60.5</v>
      </c>
      <c r="F19" s="17">
        <f t="shared" ref="F19:F23" si="1">C19*E19</f>
        <v>0</v>
      </c>
      <c r="G19" s="16">
        <v>0</v>
      </c>
      <c r="H19" s="19" t="s">
        <v>15</v>
      </c>
      <c r="I19" s="18">
        <v>1.754</v>
      </c>
      <c r="J19" s="17">
        <f>G19*I19</f>
        <v>0</v>
      </c>
      <c r="K19" s="16"/>
      <c r="L19" s="15"/>
      <c r="M19" s="14"/>
      <c r="O19" s="53"/>
    </row>
    <row r="20" spans="1:15" x14ac:dyDescent="0.2">
      <c r="A20" s="20"/>
      <c r="B20" s="55" t="s">
        <v>25</v>
      </c>
      <c r="C20" s="16"/>
      <c r="D20" s="19"/>
      <c r="E20" s="18"/>
      <c r="F20" s="17"/>
      <c r="G20" s="16">
        <v>1</v>
      </c>
      <c r="H20" s="19" t="s">
        <v>26</v>
      </c>
      <c r="I20" s="18">
        <v>1450</v>
      </c>
      <c r="J20" s="17">
        <f>G20*I20</f>
        <v>1450</v>
      </c>
      <c r="K20" s="16"/>
      <c r="L20" s="15"/>
      <c r="M20" s="14"/>
      <c r="O20" s="53"/>
    </row>
    <row r="21" spans="1:15" x14ac:dyDescent="0.2">
      <c r="A21" s="20"/>
      <c r="B21" s="55" t="s">
        <v>28</v>
      </c>
      <c r="C21" s="16"/>
      <c r="D21" s="19"/>
      <c r="E21" s="18"/>
      <c r="F21" s="17"/>
      <c r="G21" s="16">
        <v>1</v>
      </c>
      <c r="H21" s="19" t="s">
        <v>26</v>
      </c>
      <c r="I21" s="18">
        <v>450</v>
      </c>
      <c r="J21" s="17">
        <f>G21*I21</f>
        <v>450</v>
      </c>
      <c r="K21" s="16"/>
      <c r="L21" s="15"/>
      <c r="M21" s="14"/>
      <c r="O21" s="53"/>
    </row>
    <row r="22" spans="1:15" ht="13.5" customHeight="1" x14ac:dyDescent="0.2">
      <c r="A22" s="20"/>
      <c r="B22" s="55" t="s">
        <v>24</v>
      </c>
      <c r="C22" s="16">
        <v>40</v>
      </c>
      <c r="D22" s="19" t="s">
        <v>19</v>
      </c>
      <c r="E22" s="18">
        <v>80</v>
      </c>
      <c r="F22" s="17">
        <f>C22*E22</f>
        <v>3200</v>
      </c>
      <c r="G22" s="16"/>
      <c r="H22" s="19"/>
      <c r="I22" s="18"/>
      <c r="J22" s="17"/>
      <c r="K22" s="16"/>
      <c r="L22" s="15"/>
      <c r="M22" s="14"/>
      <c r="O22" s="54"/>
    </row>
    <row r="23" spans="1:15" x14ac:dyDescent="0.2">
      <c r="A23" s="20"/>
      <c r="B23" s="55" t="s">
        <v>22</v>
      </c>
      <c r="C23" s="16">
        <v>6</v>
      </c>
      <c r="D23" s="19" t="s">
        <v>19</v>
      </c>
      <c r="E23" s="18">
        <v>95</v>
      </c>
      <c r="F23" s="17">
        <f t="shared" si="1"/>
        <v>570</v>
      </c>
      <c r="G23" s="16"/>
      <c r="H23" s="19"/>
      <c r="I23" s="18"/>
      <c r="J23" s="17"/>
      <c r="K23" s="16"/>
      <c r="L23" s="15"/>
      <c r="M23" s="14"/>
      <c r="O23" s="53"/>
    </row>
    <row r="24" spans="1:15" ht="13.5" customHeight="1" x14ac:dyDescent="0.2">
      <c r="A24" s="20"/>
      <c r="B24" s="55" t="s">
        <v>23</v>
      </c>
      <c r="C24" s="16">
        <v>24</v>
      </c>
      <c r="D24" s="19" t="s">
        <v>19</v>
      </c>
      <c r="E24" s="18">
        <v>95</v>
      </c>
      <c r="F24" s="17">
        <f t="shared" si="0"/>
        <v>2280</v>
      </c>
      <c r="G24" s="16"/>
      <c r="H24" s="19"/>
      <c r="I24" s="18"/>
      <c r="J24" s="17"/>
      <c r="K24" s="16"/>
      <c r="L24" s="15"/>
      <c r="M24" s="14"/>
      <c r="O24" s="54"/>
    </row>
    <row r="25" spans="1:15" x14ac:dyDescent="0.2">
      <c r="B25" s="5" t="s">
        <v>2</v>
      </c>
      <c r="D25" s="1"/>
      <c r="F25" s="14">
        <f>SUM(F16:F24)</f>
        <v>36650</v>
      </c>
      <c r="G25" s="14"/>
      <c r="H25" s="14"/>
      <c r="I25" s="14"/>
      <c r="J25" s="14">
        <f>SUM(J16:J24)</f>
        <v>5008</v>
      </c>
      <c r="K25" s="14">
        <f>SUM(K16:K24)</f>
        <v>0</v>
      </c>
      <c r="L25" s="14">
        <f>SUM(L16:L24)</f>
        <v>0</v>
      </c>
    </row>
    <row r="26" spans="1:15" x14ac:dyDescent="0.2">
      <c r="B26" s="12" t="s">
        <v>1</v>
      </c>
      <c r="D26" s="1"/>
      <c r="E26" s="13">
        <v>0.1</v>
      </c>
      <c r="F26" s="56">
        <f>+E26*F25</f>
        <v>3665</v>
      </c>
      <c r="I26" s="13">
        <v>0.1</v>
      </c>
      <c r="J26" s="58">
        <f>+I26*J25</f>
        <v>500.8</v>
      </c>
      <c r="K26" s="13">
        <v>0.1</v>
      </c>
      <c r="L26" s="11">
        <f>+K26*L25</f>
        <v>0</v>
      </c>
    </row>
    <row r="27" spans="1:15" x14ac:dyDescent="0.2">
      <c r="B27" s="10" t="s">
        <v>16</v>
      </c>
      <c r="D27" s="1"/>
      <c r="F27" s="57">
        <f>F25+F26</f>
        <v>40315</v>
      </c>
      <c r="G27" s="9"/>
      <c r="H27" s="9"/>
      <c r="I27" s="9"/>
      <c r="J27" s="59">
        <f>J25+J26</f>
        <v>5508.8</v>
      </c>
      <c r="K27" s="9"/>
      <c r="L27" s="8">
        <f>L25+L26</f>
        <v>0</v>
      </c>
    </row>
    <row r="28" spans="1:15" ht="13.5" thickBot="1" x14ac:dyDescent="0.25">
      <c r="B28" s="5"/>
      <c r="D28" s="1"/>
      <c r="F28" s="3"/>
      <c r="G28" s="4"/>
      <c r="H28" s="4"/>
      <c r="I28" s="7"/>
      <c r="J28" s="3"/>
      <c r="K28" s="6"/>
      <c r="L28" s="3"/>
    </row>
    <row r="29" spans="1:15" x14ac:dyDescent="0.2">
      <c r="B29" s="2" t="s">
        <v>0</v>
      </c>
      <c r="D29" s="1"/>
    </row>
    <row r="30" spans="1:15" ht="13.5" thickBot="1" x14ac:dyDescent="0.25">
      <c r="B30" s="60">
        <f>F27+J27+L27</f>
        <v>45823.8</v>
      </c>
      <c r="D30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2015-03-09T22:44:56Z</cp:lastPrinted>
  <dcterms:created xsi:type="dcterms:W3CDTF">2014-07-14T23:11:07Z</dcterms:created>
  <dcterms:modified xsi:type="dcterms:W3CDTF">2015-03-10T16:24:17Z</dcterms:modified>
</cp:coreProperties>
</file>