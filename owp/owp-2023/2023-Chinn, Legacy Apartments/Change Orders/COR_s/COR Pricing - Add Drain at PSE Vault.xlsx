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F22" i="1" s="1"/>
  <c r="J19" i="1"/>
  <c r="F17" i="1"/>
  <c r="F19" i="1"/>
  <c r="K22" i="1" l="1"/>
  <c r="L22" i="1"/>
  <c r="L23" i="1" s="1"/>
  <c r="L24" i="1" l="1"/>
  <c r="C18" i="1" l="1"/>
  <c r="F18" i="1" s="1"/>
  <c r="F21" i="1"/>
  <c r="J22" i="1"/>
  <c r="F23" i="1" l="1"/>
  <c r="F24" i="1" s="1"/>
  <c r="J18" i="1"/>
  <c r="J23" i="1" l="1"/>
  <c r="J24" i="1" l="1"/>
  <c r="B27" i="1" s="1"/>
</calcChain>
</file>

<file path=xl/sharedStrings.xml><?xml version="1.0" encoding="utf-8"?>
<sst xmlns="http://schemas.openxmlformats.org/spreadsheetml/2006/main" count="39" uniqueCount="29">
  <si>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</si>
  <si>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</si>
  <si>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</si>
  <si>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</si>
  <si>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</si>
  <si>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</si>
  <si>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</si>
  <si>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</si>
  <si>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</si>
  <si>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</si>
  <si>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</si>
  <si>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</si>
  <si>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</si>
  <si>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</si>
  <si>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</si>
  <si>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</si>
  <si>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</si>
  <si>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Quan</t>
  </si>
  <si>
    <t>LF</t>
  </si>
  <si>
    <t>2023 LEGACY APARTMENTS</t>
  </si>
  <si>
    <t>HRS</t>
  </si>
  <si>
    <t>Material</t>
  </si>
  <si>
    <t>4" PIPING</t>
  </si>
  <si>
    <t>DRAIN</t>
  </si>
  <si>
    <t>AS BUILTING</t>
  </si>
  <si>
    <t>ADD DRAIN IN PSE VAULT</t>
  </si>
  <si>
    <t>LOT</t>
  </si>
  <si>
    <t>LAYOUT/COORDINATE WITH EXCAVATOR</t>
  </si>
  <si>
    <t>FITTINGS/SUPPORTS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</si>
</sst>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8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8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A DRAIN AT THE PSE VAULT.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tabSelected="1" zoomScale="130" zoomScaleNormal="130" workbookViewId="0">
      <selection activeCell="F22" sqref="F22:J22"/>
    </sheetView>
  </sheetViews>
  <sheetFormatPr defaultRowHeight="12.75" x14ac:dyDescent="0.2"/>
  <cols>
    <col min="1" max="1" width="4.5703125" bestFit="1" customWidth="1"/>
    <col min="2" max="2" width="29.57031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4" t="s">
        <v>19</v>
      </c>
      <c r="J1" s="64"/>
      <c r="K1" s="64"/>
      <c r="L1" s="64"/>
    </row>
    <row r="2" spans="1:15" x14ac:dyDescent="0.2">
      <c r="D2" s="1"/>
      <c r="G2" s="34"/>
      <c r="H2" s="51" t="s">
        <v>12</v>
      </c>
      <c r="I2" s="65">
        <v>42058</v>
      </c>
      <c r="J2" s="64"/>
      <c r="K2" s="64"/>
      <c r="L2" s="64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3" t="s">
        <v>10</v>
      </c>
      <c r="D14" s="63"/>
      <c r="E14" s="63"/>
      <c r="F14" s="63"/>
      <c r="G14" s="28" t="s">
        <v>9</v>
      </c>
      <c r="H14" s="27"/>
      <c r="I14" s="27"/>
      <c r="J14" s="61" t="s">
        <v>21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17</v>
      </c>
      <c r="D15" s="21" t="s">
        <v>4</v>
      </c>
      <c r="E15" s="21" t="s">
        <v>5</v>
      </c>
      <c r="F15" s="22" t="s">
        <v>3</v>
      </c>
      <c r="G15" s="21" t="s">
        <v>17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2" t="s">
        <v>25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27</v>
      </c>
      <c r="C17" s="16">
        <v>1</v>
      </c>
      <c r="D17" s="19" t="s">
        <v>20</v>
      </c>
      <c r="E17" s="18">
        <v>80</v>
      </c>
      <c r="F17" s="17">
        <f t="shared" ref="F17:F21" si="0">C17*E17</f>
        <v>80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5" t="s">
        <v>22</v>
      </c>
      <c r="C18" s="16">
        <f>0.1*G18</f>
        <v>3</v>
      </c>
      <c r="D18" s="19" t="s">
        <v>20</v>
      </c>
      <c r="E18" s="18">
        <v>60.5</v>
      </c>
      <c r="F18" s="17">
        <f t="shared" si="0"/>
        <v>181.5</v>
      </c>
      <c r="G18" s="16">
        <v>30</v>
      </c>
      <c r="H18" s="19" t="s">
        <v>18</v>
      </c>
      <c r="I18" s="18">
        <v>2.0499999999999998</v>
      </c>
      <c r="J18" s="17">
        <f>G18*I18</f>
        <v>61.499999999999993</v>
      </c>
      <c r="K18" s="16"/>
      <c r="L18" s="15"/>
      <c r="M18" s="14"/>
      <c r="O18" s="53"/>
    </row>
    <row r="19" spans="1:15" x14ac:dyDescent="0.2">
      <c r="A19" s="20"/>
      <c r="B19" s="55" t="s">
        <v>23</v>
      </c>
      <c r="C19" s="16">
        <v>1</v>
      </c>
      <c r="D19" s="19" t="s">
        <v>20</v>
      </c>
      <c r="E19" s="18">
        <v>60.5</v>
      </c>
      <c r="F19" s="17">
        <f t="shared" ref="F19:F20" si="1">C19*E19</f>
        <v>60.5</v>
      </c>
      <c r="G19" s="16">
        <v>1</v>
      </c>
      <c r="H19" s="19" t="s">
        <v>15</v>
      </c>
      <c r="I19" s="18">
        <v>125</v>
      </c>
      <c r="J19" s="17">
        <f t="shared" ref="J19" si="2">G19*I19</f>
        <v>125</v>
      </c>
      <c r="K19" s="16"/>
      <c r="L19" s="15"/>
      <c r="M19" s="14"/>
      <c r="O19" s="53"/>
    </row>
    <row r="20" spans="1:15" x14ac:dyDescent="0.2">
      <c r="A20" s="20"/>
      <c r="B20" s="55" t="s">
        <v>28</v>
      </c>
      <c r="C20" s="16">
        <v>1</v>
      </c>
      <c r="D20" s="19" t="s">
        <v>20</v>
      </c>
      <c r="E20" s="18">
        <v>60.5</v>
      </c>
      <c r="F20" s="17">
        <f t="shared" si="1"/>
        <v>60.5</v>
      </c>
      <c r="G20" s="16">
        <v>1</v>
      </c>
      <c r="H20" s="19" t="s">
        <v>26</v>
      </c>
      <c r="I20" s="18">
        <v>51</v>
      </c>
      <c r="J20" s="17">
        <v>53</v>
      </c>
      <c r="K20" s="16"/>
      <c r="L20" s="15"/>
      <c r="M20" s="14"/>
      <c r="O20" s="53"/>
    </row>
    <row r="21" spans="1:15" ht="13.5" customHeight="1" x14ac:dyDescent="0.2">
      <c r="A21" s="20"/>
      <c r="B21" s="55" t="s">
        <v>24</v>
      </c>
      <c r="C21" s="16">
        <v>1</v>
      </c>
      <c r="D21" s="19" t="s">
        <v>20</v>
      </c>
      <c r="E21" s="18">
        <v>80</v>
      </c>
      <c r="F21" s="17">
        <f t="shared" si="0"/>
        <v>80</v>
      </c>
      <c r="G21" s="16"/>
      <c r="H21" s="19"/>
      <c r="I21" s="18"/>
      <c r="J21" s="17"/>
      <c r="K21" s="16"/>
      <c r="L21" s="15"/>
      <c r="M21" s="14"/>
      <c r="O21" s="54"/>
    </row>
    <row r="22" spans="1:15" x14ac:dyDescent="0.2">
      <c r="B22" s="5" t="s">
        <v>2</v>
      </c>
      <c r="D22" s="1"/>
      <c r="F22" s="14">
        <f>SUM(F16:F21)</f>
        <v>462.5</v>
      </c>
      <c r="G22" s="14"/>
      <c r="H22" s="14"/>
      <c r="I22" s="14"/>
      <c r="J22" s="14">
        <f>SUM(J16:J21)</f>
        <v>239.5</v>
      </c>
      <c r="K22" s="14">
        <f>SUM(K16:K21)</f>
        <v>0</v>
      </c>
      <c r="L22" s="14">
        <f>SUM(L16:L21)</f>
        <v>0</v>
      </c>
    </row>
    <row r="23" spans="1:15" x14ac:dyDescent="0.2">
      <c r="B23" s="12" t="s">
        <v>1</v>
      </c>
      <c r="D23" s="1"/>
      <c r="E23" s="13">
        <v>0.1</v>
      </c>
      <c r="F23" s="56">
        <f>+E23*F22</f>
        <v>46.25</v>
      </c>
      <c r="I23" s="13">
        <v>0.1</v>
      </c>
      <c r="J23" s="58">
        <f>+I23*J22</f>
        <v>23.950000000000003</v>
      </c>
      <c r="K23" s="13">
        <v>0.1</v>
      </c>
      <c r="L23" s="11">
        <f>+K23*L22</f>
        <v>0</v>
      </c>
    </row>
    <row r="24" spans="1:15" x14ac:dyDescent="0.2">
      <c r="B24" s="10" t="s">
        <v>16</v>
      </c>
      <c r="D24" s="1"/>
      <c r="F24" s="57">
        <f>F22+F23</f>
        <v>508.75</v>
      </c>
      <c r="G24" s="9"/>
      <c r="H24" s="9"/>
      <c r="I24" s="9"/>
      <c r="J24" s="59">
        <f>J22+J23</f>
        <v>263.45</v>
      </c>
      <c r="K24" s="9"/>
      <c r="L24" s="8">
        <f>L22+L23</f>
        <v>0</v>
      </c>
    </row>
    <row r="25" spans="1:15" ht="13.5" thickBot="1" x14ac:dyDescent="0.25">
      <c r="B25" s="5"/>
      <c r="D25" s="1"/>
      <c r="F25" s="3"/>
      <c r="G25" s="4"/>
      <c r="H25" s="4"/>
      <c r="I25" s="7"/>
      <c r="J25" s="3"/>
      <c r="K25" s="6"/>
      <c r="L25" s="3"/>
    </row>
    <row r="26" spans="1:15" x14ac:dyDescent="0.2">
      <c r="B26" s="2" t="s">
        <v>0</v>
      </c>
      <c r="D26" s="1"/>
    </row>
    <row r="27" spans="1:15" ht="13.5" thickBot="1" x14ac:dyDescent="0.25">
      <c r="B27" s="60">
        <f>F24+J24+L24</f>
        <v>772.2</v>
      </c>
      <c r="D27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2015-02-24T01:53:14Z</dcterms:modified>
</cp:coreProperties>
</file>