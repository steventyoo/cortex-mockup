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7" i="1" l="1"/>
  <c r="K22" i="1" l="1"/>
  <c r="L22" i="1"/>
  <c r="L23" i="1" s="1"/>
  <c r="L24" i="1" l="1"/>
  <c r="F22" i="1" l="1"/>
  <c r="F23" i="1" l="1"/>
  <c r="F24" i="1" s="1"/>
  <c r="J22" i="1"/>
  <c r="J23" i="1" l="1"/>
  <c r="J24" i="1" l="1"/>
  <c r="B27" i="1" s="1"/>
</calcChain>
</file>

<file path=xl/sharedStrings.xml><?xml version="1.0" encoding="utf-8"?>
<sst xmlns="http://schemas.openxmlformats.org/spreadsheetml/2006/main" count="37" uniqueCount="28">
  <si>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</si>
  <si>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</si>
  <si>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</si>
  <si>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</si>
  <si>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</si>
  <si>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</si>
  <si>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</si>
  <si>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</si>
  <si>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</si>
  <si>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</si>
  <si>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</si>
  <si>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</si>
  <si>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</si>
  <si>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</si>
  <si>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</si>
  <si>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</si>
  <si>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</si>
  <si>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</si>
  <si>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</si>
  <si>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</si>
  <si>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</si>
  <si>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asi-03</t>
  </si>
  <si>
    <t>MOVE HUB DRAIN AT ELEVATOR MACHINE ROOM</t>
  </si>
  <si>
    <t>LAYOUT/COORDINATE WITH CORE DRILLER</t>
  </si>
  <si>
    <t>IMAGING</t>
  </si>
  <si>
    <t>CORE DRILLING</t>
  </si>
  <si>
    <t>FRANKLIN ENGINEERING - MAKE REVISIONS TO PRINTS (2HRS @ $95/HR)</t>
  </si>
  <si>
    <t>FILL UNUSED CORE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</si>
</sst>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MOVE HUB DRAIN AT ELEVATOR MACHINE ROOM PER ASI-03.  ALSO INCLUDES MODIFICATIONS TO PLANS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tabSelected="1" zoomScale="130" zoomScaleNormal="130" workbookViewId="0">
      <selection activeCell="K30" sqref="K30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2" t="s">
        <v>17</v>
      </c>
      <c r="J1" s="62"/>
      <c r="K1" s="62"/>
      <c r="L1" s="62"/>
    </row>
    <row r="2" spans="1:15" x14ac:dyDescent="0.2">
      <c r="D2" s="1"/>
      <c r="G2" s="34"/>
      <c r="H2" s="51" t="s">
        <v>12</v>
      </c>
      <c r="I2" s="63">
        <v>42178</v>
      </c>
      <c r="J2" s="62"/>
      <c r="K2" s="62"/>
      <c r="L2" s="62"/>
    </row>
    <row r="3" spans="1:15" x14ac:dyDescent="0.2">
      <c r="D3" s="1"/>
      <c r="G3" s="34"/>
      <c r="H3" s="51" t="s">
        <v>14</v>
      </c>
      <c r="I3" s="50" t="s">
        <v>21</v>
      </c>
      <c r="J3" s="35"/>
      <c r="K3" s="35"/>
      <c r="L3" s="35"/>
    </row>
    <row r="4" spans="1:15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4.5" customHeight="1" x14ac:dyDescent="0.2">
      <c r="A5" s="66" t="s">
        <v>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4" t="s">
        <v>10</v>
      </c>
      <c r="D14" s="64"/>
      <c r="E14" s="64"/>
      <c r="F14" s="64"/>
      <c r="G14" s="28" t="s">
        <v>9</v>
      </c>
      <c r="H14" s="27"/>
      <c r="I14" s="27"/>
      <c r="J14" s="60" t="s">
        <v>19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1" t="s">
        <v>22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4" t="s">
        <v>23</v>
      </c>
      <c r="C17" s="16">
        <v>2</v>
      </c>
      <c r="D17" s="19" t="s">
        <v>18</v>
      </c>
      <c r="E17" s="18">
        <v>80</v>
      </c>
      <c r="F17" s="17">
        <f t="shared" ref="F17:F18" si="0">C17*E17</f>
        <v>160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4" t="s">
        <v>27</v>
      </c>
      <c r="C18" s="16">
        <v>2</v>
      </c>
      <c r="D18" s="19" t="s">
        <v>18</v>
      </c>
      <c r="E18" s="18">
        <v>75</v>
      </c>
      <c r="F18" s="17">
        <f t="shared" si="0"/>
        <v>150</v>
      </c>
      <c r="G18" s="16"/>
      <c r="H18" s="19"/>
      <c r="I18" s="18"/>
      <c r="J18" s="17"/>
      <c r="K18" s="16"/>
      <c r="L18" s="15"/>
      <c r="M18" s="14"/>
      <c r="O18" s="53"/>
    </row>
    <row r="19" spans="1:15" x14ac:dyDescent="0.2">
      <c r="A19" s="20"/>
      <c r="B19" s="54" t="s">
        <v>24</v>
      </c>
      <c r="C19" s="16"/>
      <c r="D19" s="19"/>
      <c r="E19" s="18"/>
      <c r="F19" s="17"/>
      <c r="G19" s="16"/>
      <c r="H19" s="19"/>
      <c r="I19" s="18"/>
      <c r="J19" s="17"/>
      <c r="K19" s="16" t="s">
        <v>20</v>
      </c>
      <c r="L19" s="15">
        <v>500</v>
      </c>
      <c r="M19" s="14"/>
      <c r="O19" s="53"/>
    </row>
    <row r="20" spans="1:15" x14ac:dyDescent="0.2">
      <c r="A20" s="20"/>
      <c r="B20" s="54" t="s">
        <v>25</v>
      </c>
      <c r="C20" s="16"/>
      <c r="D20" s="19"/>
      <c r="E20" s="18"/>
      <c r="F20" s="17"/>
      <c r="G20" s="16"/>
      <c r="H20" s="19"/>
      <c r="I20" s="18"/>
      <c r="J20" s="17"/>
      <c r="K20" s="16" t="s">
        <v>20</v>
      </c>
      <c r="L20" s="15">
        <v>150</v>
      </c>
      <c r="M20" s="14"/>
      <c r="O20" s="53"/>
    </row>
    <row r="21" spans="1:15" ht="22.5" x14ac:dyDescent="0.2">
      <c r="A21" s="20"/>
      <c r="B21" s="75" t="s">
        <v>26</v>
      </c>
      <c r="C21" s="16"/>
      <c r="D21" s="19"/>
      <c r="E21" s="18"/>
      <c r="F21" s="17"/>
      <c r="G21" s="16"/>
      <c r="H21" s="19"/>
      <c r="I21" s="18"/>
      <c r="J21" s="17"/>
      <c r="K21" s="16" t="s">
        <v>20</v>
      </c>
      <c r="L21" s="15">
        <v>190</v>
      </c>
      <c r="M21" s="14"/>
      <c r="O21" s="53"/>
    </row>
    <row r="22" spans="1:15" x14ac:dyDescent="0.2">
      <c r="B22" s="5" t="s">
        <v>2</v>
      </c>
      <c r="D22" s="1"/>
      <c r="F22" s="14">
        <f>SUM(F16:F21)</f>
        <v>310</v>
      </c>
      <c r="G22" s="14"/>
      <c r="H22" s="14"/>
      <c r="I22" s="14"/>
      <c r="J22" s="14">
        <f>SUM(J16:J21)</f>
        <v>0</v>
      </c>
      <c r="K22" s="14">
        <f>SUM(K16:K21)</f>
        <v>0</v>
      </c>
      <c r="L22" s="14">
        <f>SUM(L16:L21)</f>
        <v>840</v>
      </c>
    </row>
    <row r="23" spans="1:15" x14ac:dyDescent="0.2">
      <c r="B23" s="12" t="s">
        <v>1</v>
      </c>
      <c r="D23" s="1"/>
      <c r="E23" s="13">
        <v>0.1</v>
      </c>
      <c r="F23" s="55">
        <f>+E23*F22</f>
        <v>31</v>
      </c>
      <c r="I23" s="13">
        <v>0.1</v>
      </c>
      <c r="J23" s="57">
        <f>+I23*J22</f>
        <v>0</v>
      </c>
      <c r="K23" s="13">
        <v>0.1</v>
      </c>
      <c r="L23" s="11">
        <f>+K23*L22</f>
        <v>84</v>
      </c>
    </row>
    <row r="24" spans="1:15" x14ac:dyDescent="0.2">
      <c r="B24" s="10" t="s">
        <v>15</v>
      </c>
      <c r="D24" s="1"/>
      <c r="F24" s="56">
        <f>F22+F23</f>
        <v>341</v>
      </c>
      <c r="G24" s="9"/>
      <c r="H24" s="9"/>
      <c r="I24" s="9"/>
      <c r="J24" s="58">
        <f>J22+J23</f>
        <v>0</v>
      </c>
      <c r="K24" s="9"/>
      <c r="L24" s="8">
        <f>L22+L23</f>
        <v>924</v>
      </c>
    </row>
    <row r="25" spans="1:15" ht="13.5" thickBot="1" x14ac:dyDescent="0.25">
      <c r="B25" s="5"/>
      <c r="D25" s="1"/>
      <c r="F25" s="3"/>
      <c r="G25" s="4"/>
      <c r="H25" s="4"/>
      <c r="I25" s="7"/>
      <c r="J25" s="3"/>
      <c r="K25" s="6"/>
      <c r="L25" s="3"/>
    </row>
    <row r="26" spans="1:15" x14ac:dyDescent="0.2">
      <c r="B26" s="2" t="s">
        <v>0</v>
      </c>
      <c r="D26" s="1"/>
    </row>
    <row r="27" spans="1:15" ht="13.5" thickBot="1" x14ac:dyDescent="0.25">
      <c r="B27" s="59">
        <f>F24+J24+L24</f>
        <v>1265</v>
      </c>
      <c r="D27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2015-06-23T14:58:54Z</dcterms:modified>
</cp:coreProperties>
</file>