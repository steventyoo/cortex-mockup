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BUDGET TRANSFERS\"/>
    </mc:Choice>
  </mc:AlternateContent>
  <bookViews>
    <workbookView xWindow="120" yWindow="105" windowWidth="19020" windowHeight="12150"/>
  </bookViews>
  <sheets>
    <sheet name="Sheet1" sheetId="1" r:id="rId1"/>
    <sheet name="COR" sheetId="4" r:id="rId2"/>
    <sheet name="Sheet2" sheetId="2" r:id="rId3"/>
    <sheet name="Sheet3" sheetId="3" r:id="rId4"/>
  </sheets>
  <definedNames>
    <definedName name="_xlnm.Print_Area" localSheetId="1">COR!$A$1:$L$85</definedName>
    <definedName name="_xlnm.Print_Area" localSheetId="0">Sheet1!$A$2:$N$46</definedName>
  </definedNames>
  <calcPr calcId="152511"/>
</workbook>
</file>

<file path=xl/calcChain.xml><?xml version="1.0" encoding="utf-8"?>
<calcChain xmlns="http://schemas.openxmlformats.org/spreadsheetml/2006/main">
  <c r="E12" i="1" l="1"/>
  <c r="E13" i="1"/>
  <c r="E21" i="1"/>
  <c r="E18" i="1"/>
  <c r="F17" i="4"/>
  <c r="F18" i="4"/>
  <c r="F19" i="4"/>
  <c r="C20" i="4"/>
  <c r="F20" i="4"/>
  <c r="C21" i="4"/>
  <c r="F21" i="4"/>
  <c r="C22" i="4"/>
  <c r="F22" i="4" s="1"/>
  <c r="C23" i="4"/>
  <c r="F23" i="4"/>
  <c r="C24" i="4"/>
  <c r="F24" i="4"/>
  <c r="C25" i="4"/>
  <c r="F25" i="4"/>
  <c r="C26" i="4"/>
  <c r="F26" i="4" s="1"/>
  <c r="F27" i="4"/>
  <c r="F28" i="4"/>
  <c r="C29" i="4"/>
  <c r="F29" i="4"/>
  <c r="C30" i="4"/>
  <c r="F30" i="4" s="1"/>
  <c r="C31" i="4"/>
  <c r="F31" i="4" s="1"/>
  <c r="F32" i="4"/>
  <c r="G38" i="4"/>
  <c r="J38" i="4" s="1"/>
  <c r="J80" i="4" s="1"/>
  <c r="G39" i="4"/>
  <c r="J39" i="4"/>
  <c r="G40" i="4"/>
  <c r="J40" i="4"/>
  <c r="G41" i="4"/>
  <c r="J41" i="4"/>
  <c r="G42" i="4"/>
  <c r="J42" i="4"/>
  <c r="G43" i="4"/>
  <c r="J43" i="4"/>
  <c r="G44" i="4"/>
  <c r="J44" i="4"/>
  <c r="G45" i="4"/>
  <c r="J45" i="4"/>
  <c r="G46" i="4"/>
  <c r="J46" i="4"/>
  <c r="G47" i="4"/>
  <c r="J47" i="4"/>
  <c r="G48" i="4"/>
  <c r="J48" i="4"/>
  <c r="G49" i="4"/>
  <c r="J49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2" i="4"/>
  <c r="J73" i="4"/>
  <c r="G76" i="4"/>
  <c r="J76" i="4"/>
  <c r="G77" i="4"/>
  <c r="J77" i="4"/>
  <c r="J78" i="4"/>
  <c r="K80" i="4"/>
  <c r="L80" i="4"/>
  <c r="L81" i="4" s="1"/>
  <c r="L82" i="4" s="1"/>
  <c r="J81" i="4" l="1"/>
  <c r="J82" i="4"/>
  <c r="F80" i="4"/>
  <c r="E41" i="1"/>
  <c r="E40" i="1"/>
  <c r="F81" i="4" l="1"/>
  <c r="F82" i="4" s="1"/>
  <c r="B85" i="4" s="1"/>
</calcChain>
</file>

<file path=xl/sharedStrings.xml><?xml version="1.0" encoding="utf-8"?>
<sst xmlns="http://schemas.openxmlformats.org/spreadsheetml/2006/main" count="236" uniqueCount="114">
  <si>
    <t>OWP#</t>
  </si>
  <si>
    <t>JOB NAME:</t>
  </si>
  <si>
    <t>CODE</t>
  </si>
  <si>
    <t>SUPERVISION</t>
  </si>
  <si>
    <t>BUILDER:</t>
  </si>
  <si>
    <t>DESCRIPTION OF CHANGE:</t>
  </si>
  <si>
    <t xml:space="preserve">LABOR  </t>
  </si>
  <si>
    <t xml:space="preserve">ROUGHIN </t>
  </si>
  <si>
    <t xml:space="preserve">FINISH </t>
  </si>
  <si>
    <t xml:space="preserve">GAS </t>
  </si>
  <si>
    <t xml:space="preserve">GARAGE </t>
  </si>
  <si>
    <t xml:space="preserve">CANOUT </t>
  </si>
  <si>
    <t>FOUNDATION DRAIN</t>
  </si>
  <si>
    <t>WARRANTY</t>
  </si>
  <si>
    <t xml:space="preserve">T &amp; M  </t>
  </si>
  <si>
    <t>TAKEOFF &amp; PURCHASE</t>
  </si>
  <si>
    <t>MECHANICAL ROOM</t>
  </si>
  <si>
    <t>GW WASTE / STORM</t>
  </si>
  <si>
    <t>LABOR BURDEN</t>
  </si>
  <si>
    <t>MATERIAL</t>
  </si>
  <si>
    <t>WATER MAIN / INSULATION</t>
  </si>
  <si>
    <t>SALE PRICE:</t>
  </si>
  <si>
    <t>BUDGET</t>
  </si>
  <si>
    <t>DIVISION 6</t>
  </si>
  <si>
    <t>SUBCONTRACTOR</t>
  </si>
  <si>
    <t>ENGINEERING/PLANS</t>
  </si>
  <si>
    <t>RENTAL EQUIPMENT</t>
  </si>
  <si>
    <t>PERMIT &amp; LICENSES</t>
  </si>
  <si>
    <t>BACKCHARGES</t>
  </si>
  <si>
    <t>SHOP LABOR</t>
  </si>
  <si>
    <t>OTHER EXPENSES</t>
  </si>
  <si>
    <t>OWP LLC CHANGE ORDER BUDGET</t>
  </si>
  <si>
    <t>CONDENSATION DRAINS</t>
  </si>
  <si>
    <t>FIRE CAULKING</t>
  </si>
  <si>
    <t xml:space="preserve"> </t>
  </si>
  <si>
    <t>ROUGHIN</t>
  </si>
  <si>
    <t>CANOUT</t>
  </si>
  <si>
    <t>GARAGE</t>
  </si>
  <si>
    <t>GAS</t>
  </si>
  <si>
    <t>HADLEY PROJECT</t>
  </si>
  <si>
    <t>CHINN CONSTRUCTION</t>
  </si>
  <si>
    <t>Total this page</t>
  </si>
  <si>
    <t>Totals</t>
  </si>
  <si>
    <t>OH &amp; Profit</t>
  </si>
  <si>
    <t>Subtotals</t>
  </si>
  <si>
    <t>LF</t>
  </si>
  <si>
    <t>1/2" PEX PIPE</t>
  </si>
  <si>
    <t>EA</t>
  </si>
  <si>
    <t>1/2" PEX COUPLING</t>
  </si>
  <si>
    <t>1/2" PEX RING</t>
  </si>
  <si>
    <t>PEX MATERIALS:</t>
  </si>
  <si>
    <t>ALL FITTINGS WERE ABLE TO BE RE-USED</t>
  </si>
  <si>
    <t>NO-HUB BANDS</t>
  </si>
  <si>
    <t>2" CAST IRON</t>
  </si>
  <si>
    <t>CAST IRON MATERIALS:</t>
  </si>
  <si>
    <t>LS</t>
  </si>
  <si>
    <t>ANCHORS, HANGERS, SUPPORTS, GLUE, ACOUSTICAL TAPE, P-TAPE, MISCELLANEOUS</t>
  </si>
  <si>
    <t>1-1/2 PIPE</t>
  </si>
  <si>
    <t>2 PIPE</t>
  </si>
  <si>
    <t>2 TEST TEE</t>
  </si>
  <si>
    <t>2 90 REG</t>
  </si>
  <si>
    <t>2 COUPLING</t>
  </si>
  <si>
    <t>2 PTRAP</t>
  </si>
  <si>
    <t>2X1-1/2X2 TEE</t>
  </si>
  <si>
    <t>2 45 REG</t>
  </si>
  <si>
    <t>2 45 ST</t>
  </si>
  <si>
    <t>1-1/2 90</t>
  </si>
  <si>
    <t>2X1-1/2 TEE</t>
  </si>
  <si>
    <t>TEST TEE</t>
  </si>
  <si>
    <t>AW VENT STACK AND REVENT AND MISC X 1:</t>
  </si>
  <si>
    <t>1-1/2 45 REG</t>
  </si>
  <si>
    <t>1-1/2 45 ST</t>
  </si>
  <si>
    <t>2X1-1/2 BUSH</t>
  </si>
  <si>
    <t>TUB VENT STACK AND REVENTS MATERIAL X 12:</t>
  </si>
  <si>
    <t>PVC MATERIALS:</t>
  </si>
  <si>
    <t>SCISSOR LIFT FOR THE MONTH OF MAY</t>
  </si>
  <si>
    <t>SCAN-2-CORE 4/20</t>
  </si>
  <si>
    <t>SCAN-2-CORE 4/19</t>
  </si>
  <si>
    <t>HRS</t>
  </si>
  <si>
    <t>ANDREW GARDNER - APPRENTICE</t>
  </si>
  <si>
    <t>JORDAN GARCIA - APPRENTICE</t>
  </si>
  <si>
    <t>JJ KINNSIES - APPRENTICE</t>
  </si>
  <si>
    <t>ELI RIVERA - APPRENTICE</t>
  </si>
  <si>
    <t>MITCH GERARD - APPRENTICE</t>
  </si>
  <si>
    <t>STEVEN BROWN - APPRENTICE</t>
  </si>
  <si>
    <t>RICARDO BALDARES - APPRENTICE</t>
  </si>
  <si>
    <t>JOHN WENNIG - APPRENTICE</t>
  </si>
  <si>
    <t>GARRET WILSON - APPRENTICE</t>
  </si>
  <si>
    <t>JOSE ESPARZA - APPRENTICE</t>
  </si>
  <si>
    <t>KELLI ROSS - JOURNEYMAN</t>
  </si>
  <si>
    <t>THADDEUS WAITES - FOREMAN</t>
  </si>
  <si>
    <t>JOE BARNHART - FOREMAN</t>
  </si>
  <si>
    <t>BOB HUBBARD - SUPERINTENDENT</t>
  </si>
  <si>
    <t>JEFF GERARD - PROJECT MANAGER</t>
  </si>
  <si>
    <t>RICHARD DONELSON - PROJECT MANAGER</t>
  </si>
  <si>
    <t>THROUGH 5/13/16</t>
  </si>
  <si>
    <t>Total</t>
  </si>
  <si>
    <t>UOM</t>
  </si>
  <si>
    <t>Unit Cost</t>
  </si>
  <si>
    <t>Quan</t>
  </si>
  <si>
    <t>Description</t>
  </si>
  <si>
    <t>Item</t>
  </si>
  <si>
    <t>SUB TIER</t>
  </si>
  <si>
    <t>Material</t>
  </si>
  <si>
    <t>Material/Equipment</t>
  </si>
  <si>
    <t>Labor</t>
  </si>
  <si>
    <t>DESCRIPTION OF CHANGE/WORK PERFORMED</t>
  </si>
  <si>
    <t>ASI-024 SHOWER CHANGE</t>
  </si>
  <si>
    <t>RFI/ASI:</t>
  </si>
  <si>
    <t>DATE:</t>
  </si>
  <si>
    <t>2023 LEGACY APARTMENTS</t>
  </si>
  <si>
    <t>PROJECT:</t>
  </si>
  <si>
    <t>Shower ADA revisions - Part one of two CO's</t>
  </si>
  <si>
    <t>Change Order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</si>
</sst>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&quot;$&quot;#,##0;[Red]\(&quot;$&quot;#,##0\)"/>
    <numFmt numFmtId="167" formatCode="0_);[Red]\(0\)"/>
  </numFmts>
  <fonts count="25" x14ac:knownFonts="1">
    <font>
      <sz val="10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u/>
      <sz val="11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u/>
      <sz val="18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S Sans Serif"/>
    </font>
    <font>
      <sz val="10"/>
      <name val="MS Sans Serif"/>
      <family val="2"/>
    </font>
    <font>
      <b/>
      <sz val="10"/>
      <name val="Arial"/>
      <family val="2"/>
    </font>
    <font>
      <b/>
      <sz val="10"/>
      <name val="MS Sans Serif"/>
      <family val="2"/>
    </font>
    <font>
      <b/>
      <sz val="10"/>
      <color rgb="FFFF0000"/>
      <name val="MS Sans Serif"/>
      <family val="2"/>
    </font>
    <font>
      <b/>
      <sz val="10"/>
      <name val="MS Sans Serif"/>
    </font>
    <font>
      <sz val="8"/>
      <name val="Arial"/>
      <family val="2"/>
    </font>
    <font>
      <b/>
      <sz val="18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7" fillId="0" borderId="0"/>
    <xf numFmtId="8" fontId="18" fillId="0" borderId="0" applyFont="0" applyFill="0" applyBorder="0" applyAlignment="0" applyProtection="0"/>
    <xf numFmtId="0" fontId="12" fillId="0" borderId="0"/>
  </cellStyleXfs>
  <cellXfs count="151">
    <xf numFmtId="0" fontId="0" fillId="0" borderId="0" xfId="0"/>
    <xf numFmtId="0" fontId="0" fillId="0" borderId="0" xfId="0" applyAlignment="1"/>
    <xf numFmtId="0" fontId="7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/>
    <xf numFmtId="7" fontId="1" fillId="0" borderId="4" xfId="0" applyNumberFormat="1" applyFont="1" applyBorder="1" applyAlignment="1">
      <alignment horizontal="center" vertical="center"/>
    </xf>
    <xf numFmtId="7" fontId="1" fillId="0" borderId="0" xfId="0" applyNumberFormat="1" applyFont="1" applyBorder="1" applyAlignment="1">
      <alignment horizontal="center" vertical="center"/>
    </xf>
    <xf numFmtId="44" fontId="0" fillId="0" borderId="0" xfId="0" applyNumberFormat="1" applyBorder="1" applyAlignment="1"/>
    <xf numFmtId="0" fontId="3" fillId="0" borderId="5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/>
    <xf numFmtId="0" fontId="0" fillId="0" borderId="0" xfId="0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/>
    <xf numFmtId="165" fontId="0" fillId="0" borderId="0" xfId="0" applyNumberForma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49" fontId="14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9" fillId="0" borderId="0" xfId="0" applyFont="1" applyBorder="1" applyAlignment="1">
      <alignment horizontal="right" vertical="center"/>
    </xf>
    <xf numFmtId="10" fontId="15" fillId="0" borderId="11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/>
    <xf numFmtId="165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/>
    <xf numFmtId="164" fontId="0" fillId="0" borderId="0" xfId="0" applyNumberFormat="1"/>
    <xf numFmtId="49" fontId="6" fillId="0" borderId="20" xfId="0" applyNumberFormat="1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0" xfId="0" applyBorder="1" applyAlignment="1"/>
    <xf numFmtId="0" fontId="2" fillId="0" borderId="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0" fillId="0" borderId="21" xfId="0" applyBorder="1" applyAlignment="1"/>
    <xf numFmtId="0" fontId="0" fillId="0" borderId="22" xfId="0" applyBorder="1" applyAlignment="1"/>
    <xf numFmtId="0" fontId="9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  <xf numFmtId="0" fontId="17" fillId="0" borderId="0" xfId="1"/>
    <xf numFmtId="0" fontId="17" fillId="0" borderId="0" xfId="1" applyAlignment="1">
      <alignment horizontal="center"/>
    </xf>
    <xf numFmtId="6" fontId="19" fillId="2" borderId="30" xfId="2" applyNumberFormat="1" applyFont="1" applyFill="1" applyBorder="1"/>
    <xf numFmtId="0" fontId="19" fillId="2" borderId="31" xfId="1" applyFont="1" applyFill="1" applyBorder="1"/>
    <xf numFmtId="166" fontId="17" fillId="0" borderId="0" xfId="1" applyNumberFormat="1" applyFill="1"/>
    <xf numFmtId="166" fontId="17" fillId="0" borderId="0" xfId="1" applyNumberFormat="1" applyFill="1" applyBorder="1"/>
    <xf numFmtId="0" fontId="20" fillId="0" borderId="0" xfId="1" applyFont="1" applyFill="1" applyAlignment="1">
      <alignment horizontal="right"/>
    </xf>
    <xf numFmtId="0" fontId="17" fillId="0" borderId="0" xfId="1" applyFill="1"/>
    <xf numFmtId="0" fontId="19" fillId="0" borderId="0" xfId="1" applyFont="1" applyAlignment="1">
      <alignment horizontal="right"/>
    </xf>
    <xf numFmtId="6" fontId="19" fillId="2" borderId="0" xfId="2" applyNumberFormat="1" applyFont="1" applyFill="1"/>
    <xf numFmtId="0" fontId="20" fillId="0" borderId="0" xfId="1" applyFont="1"/>
    <xf numFmtId="166" fontId="19" fillId="2" borderId="0" xfId="2" applyNumberFormat="1" applyFont="1" applyFill="1"/>
    <xf numFmtId="0" fontId="20" fillId="0" borderId="0" xfId="1" applyFont="1" applyAlignment="1">
      <alignment horizontal="right"/>
    </xf>
    <xf numFmtId="6" fontId="12" fillId="0" borderId="0" xfId="2" applyNumberFormat="1" applyFont="1"/>
    <xf numFmtId="9" fontId="21" fillId="0" borderId="0" xfId="1" applyNumberFormat="1" applyFont="1"/>
    <xf numFmtId="166" fontId="12" fillId="0" borderId="0" xfId="2" applyNumberFormat="1" applyFont="1"/>
    <xf numFmtId="8" fontId="12" fillId="0" borderId="0" xfId="2" applyFont="1" applyAlignment="1">
      <alignment horizontal="right"/>
    </xf>
    <xf numFmtId="166" fontId="17" fillId="0" borderId="0" xfId="1" applyNumberFormat="1"/>
    <xf numFmtId="8" fontId="22" fillId="0" borderId="0" xfId="1" applyNumberFormat="1" applyFont="1"/>
    <xf numFmtId="44" fontId="23" fillId="0" borderId="32" xfId="1" applyNumberFormat="1" applyFont="1" applyBorder="1" applyAlignment="1">
      <alignment vertical="top" wrapText="1"/>
    </xf>
    <xf numFmtId="167" fontId="23" fillId="0" borderId="32" xfId="1" applyNumberFormat="1" applyFont="1" applyBorder="1" applyAlignment="1">
      <alignment vertical="top" wrapText="1"/>
    </xf>
    <xf numFmtId="166" fontId="23" fillId="0" borderId="32" xfId="1" applyNumberFormat="1" applyFont="1" applyBorder="1" applyAlignment="1">
      <alignment vertical="top" wrapText="1"/>
    </xf>
    <xf numFmtId="164" fontId="23" fillId="0" borderId="32" xfId="1" applyNumberFormat="1" applyFont="1" applyBorder="1" applyAlignment="1">
      <alignment vertical="top" wrapText="1"/>
    </xf>
    <xf numFmtId="0" fontId="23" fillId="0" borderId="32" xfId="1" applyFont="1" applyBorder="1" applyAlignment="1">
      <alignment horizontal="center" vertical="top" wrapText="1"/>
    </xf>
    <xf numFmtId="0" fontId="23" fillId="0" borderId="32" xfId="1" applyFont="1" applyBorder="1" applyAlignment="1">
      <alignment horizontal="left" vertical="top"/>
    </xf>
    <xf numFmtId="0" fontId="23" fillId="0" borderId="32" xfId="1" applyFont="1" applyBorder="1" applyAlignment="1">
      <alignment vertical="top" wrapText="1"/>
    </xf>
    <xf numFmtId="0" fontId="15" fillId="0" borderId="32" xfId="1" applyFont="1" applyBorder="1" applyAlignment="1">
      <alignment horizontal="left" vertical="top"/>
    </xf>
    <xf numFmtId="0" fontId="15" fillId="0" borderId="32" xfId="1" applyFont="1" applyBorder="1" applyAlignment="1">
      <alignment horizontal="left" vertical="top" wrapText="1"/>
    </xf>
    <xf numFmtId="0" fontId="23" fillId="0" borderId="32" xfId="1" applyFont="1" applyBorder="1" applyAlignment="1">
      <alignment horizontal="left" vertical="top" wrapText="1"/>
    </xf>
    <xf numFmtId="0" fontId="17" fillId="0" borderId="19" xfId="1" applyBorder="1" applyAlignment="1">
      <alignment horizontal="center"/>
    </xf>
    <xf numFmtId="165" fontId="17" fillId="0" borderId="19" xfId="1" applyNumberFormat="1" applyBorder="1" applyAlignment="1">
      <alignment horizontal="center"/>
    </xf>
    <xf numFmtId="0" fontId="20" fillId="0" borderId="19" xfId="1" applyFont="1" applyBorder="1" applyAlignment="1">
      <alignment horizontal="center"/>
    </xf>
    <xf numFmtId="0" fontId="20" fillId="0" borderId="33" xfId="1" applyFont="1" applyBorder="1" applyAlignment="1">
      <alignment horizontal="center"/>
    </xf>
    <xf numFmtId="0" fontId="17" fillId="3" borderId="22" xfId="1" applyFill="1" applyBorder="1" applyAlignment="1">
      <alignment horizontal="centerContinuous"/>
    </xf>
    <xf numFmtId="0" fontId="19" fillId="3" borderId="20" xfId="1" applyFont="1" applyFill="1" applyBorder="1" applyAlignment="1">
      <alignment horizontal="centerContinuous"/>
    </xf>
    <xf numFmtId="165" fontId="19" fillId="4" borderId="20" xfId="1" applyNumberFormat="1" applyFont="1" applyFill="1" applyBorder="1" applyAlignment="1">
      <alignment horizontal="center"/>
    </xf>
    <xf numFmtId="0" fontId="17" fillId="4" borderId="20" xfId="1" applyFill="1" applyBorder="1" applyAlignment="1">
      <alignment horizontal="centerContinuous"/>
    </xf>
    <xf numFmtId="0" fontId="19" fillId="4" borderId="20" xfId="1" applyFont="1" applyFill="1" applyBorder="1" applyAlignment="1">
      <alignment horizontal="centerContinuous"/>
    </xf>
    <xf numFmtId="0" fontId="19" fillId="5" borderId="32" xfId="1" applyFont="1" applyFill="1" applyBorder="1" applyAlignment="1">
      <alignment horizontal="center"/>
    </xf>
    <xf numFmtId="0" fontId="17" fillId="0" borderId="34" xfId="1" applyBorder="1"/>
    <xf numFmtId="0" fontId="17" fillId="0" borderId="35" xfId="1" applyBorder="1"/>
    <xf numFmtId="0" fontId="12" fillId="0" borderId="0" xfId="3" applyFont="1" applyAlignment="1">
      <alignment vertical="center"/>
    </xf>
    <xf numFmtId="14" fontId="19" fillId="0" borderId="18" xfId="3" applyNumberFormat="1" applyFont="1" applyFill="1" applyBorder="1" applyAlignment="1" applyProtection="1">
      <alignment horizontal="center" vertical="center"/>
    </xf>
    <xf numFmtId="0" fontId="12" fillId="0" borderId="0" xfId="3" applyFont="1" applyAlignment="1">
      <alignment horizontal="center"/>
    </xf>
    <xf numFmtId="0" fontId="19" fillId="0" borderId="0" xfId="3" applyFont="1" applyBorder="1" applyAlignment="1">
      <alignment horizontal="left" vertical="center"/>
    </xf>
    <xf numFmtId="0" fontId="19" fillId="0" borderId="0" xfId="3" applyFont="1" applyBorder="1" applyAlignment="1">
      <alignment horizontal="left"/>
    </xf>
    <xf numFmtId="14" fontId="19" fillId="0" borderId="0" xfId="3" applyNumberFormat="1" applyFont="1" applyBorder="1" applyAlignment="1">
      <alignment horizontal="left"/>
    </xf>
    <xf numFmtId="0" fontId="19" fillId="0" borderId="36" xfId="3" applyFont="1" applyBorder="1" applyAlignment="1">
      <alignment horizontal="left"/>
    </xf>
    <xf numFmtId="0" fontId="19" fillId="0" borderId="37" xfId="3" applyFont="1" applyBorder="1" applyAlignment="1">
      <alignment horizontal="left"/>
    </xf>
    <xf numFmtId="14" fontId="19" fillId="0" borderId="37" xfId="3" applyNumberFormat="1" applyFont="1" applyBorder="1" applyAlignment="1">
      <alignment horizontal="left"/>
    </xf>
    <xf numFmtId="0" fontId="12" fillId="0" borderId="37" xfId="3" applyFont="1" applyBorder="1" applyAlignment="1">
      <alignment horizontal="center"/>
    </xf>
    <xf numFmtId="0" fontId="19" fillId="0" borderId="37" xfId="3" applyFont="1" applyBorder="1" applyAlignment="1">
      <alignment horizontal="left" vertical="center"/>
    </xf>
    <xf numFmtId="0" fontId="17" fillId="0" borderId="37" xfId="1" applyBorder="1"/>
    <xf numFmtId="0" fontId="17" fillId="0" borderId="37" xfId="1" applyBorder="1" applyAlignment="1">
      <alignment horizontal="center"/>
    </xf>
    <xf numFmtId="0" fontId="17" fillId="0" borderId="38" xfId="1" applyBorder="1"/>
    <xf numFmtId="0" fontId="19" fillId="0" borderId="39" xfId="3" applyFont="1" applyBorder="1" applyAlignment="1">
      <alignment horizontal="left"/>
    </xf>
    <xf numFmtId="0" fontId="12" fillId="0" borderId="0" xfId="3" applyFont="1" applyBorder="1" applyAlignment="1">
      <alignment horizontal="center"/>
    </xf>
    <xf numFmtId="0" fontId="17" fillId="0" borderId="0" xfId="1" applyBorder="1"/>
    <xf numFmtId="0" fontId="17" fillId="0" borderId="0" xfId="1" applyBorder="1" applyAlignment="1">
      <alignment horizontal="center"/>
    </xf>
    <xf numFmtId="0" fontId="17" fillId="0" borderId="40" xfId="1" applyBorder="1"/>
    <xf numFmtId="0" fontId="20" fillId="6" borderId="36" xfId="1" applyFont="1" applyFill="1" applyBorder="1" applyAlignment="1">
      <alignment horizontal="center" vertical="center"/>
    </xf>
    <xf numFmtId="0" fontId="20" fillId="6" borderId="37" xfId="1" applyFont="1" applyFill="1" applyBorder="1" applyAlignment="1">
      <alignment horizontal="center" vertical="center"/>
    </xf>
    <xf numFmtId="0" fontId="20" fillId="6" borderId="38" xfId="1" applyFont="1" applyFill="1" applyBorder="1" applyAlignment="1">
      <alignment horizontal="center" vertical="center"/>
    </xf>
    <xf numFmtId="0" fontId="20" fillId="6" borderId="39" xfId="1" applyFont="1" applyFill="1" applyBorder="1" applyAlignment="1">
      <alignment horizontal="center" vertical="center"/>
    </xf>
    <xf numFmtId="0" fontId="20" fillId="6" borderId="0" xfId="1" applyFont="1" applyFill="1" applyBorder="1" applyAlignment="1">
      <alignment horizontal="center" vertical="center"/>
    </xf>
    <xf numFmtId="0" fontId="20" fillId="6" borderId="40" xfId="1" applyFont="1" applyFill="1" applyBorder="1" applyAlignment="1">
      <alignment horizontal="center" vertical="center"/>
    </xf>
    <xf numFmtId="0" fontId="20" fillId="6" borderId="41" xfId="1" applyFont="1" applyFill="1" applyBorder="1" applyAlignment="1">
      <alignment horizontal="center" vertical="center"/>
    </xf>
    <xf numFmtId="0" fontId="20" fillId="6" borderId="42" xfId="1" applyFont="1" applyFill="1" applyBorder="1" applyAlignment="1">
      <alignment horizontal="center" vertical="center"/>
    </xf>
    <xf numFmtId="0" fontId="20" fillId="6" borderId="43" xfId="1" applyFont="1" applyFill="1" applyBorder="1" applyAlignment="1">
      <alignment horizontal="center" vertical="center"/>
    </xf>
    <xf numFmtId="0" fontId="24" fillId="0" borderId="37" xfId="1" applyFont="1" applyBorder="1" applyAlignment="1">
      <alignment horizontal="center"/>
    </xf>
    <xf numFmtId="0" fontId="19" fillId="0" borderId="0" xfId="3" quotePrefix="1" applyNumberFormat="1" applyFont="1" applyBorder="1" applyAlignment="1">
      <alignment horizontal="left"/>
    </xf>
    <xf numFmtId="0" fontId="19" fillId="0" borderId="0" xfId="3" applyFont="1" applyBorder="1" applyAlignment="1">
      <alignment horizontal="right" vertical="center"/>
    </xf>
    <xf numFmtId="0" fontId="19" fillId="0" borderId="0" xfId="3" applyFont="1" applyBorder="1" applyAlignment="1">
      <alignment horizontal="left"/>
    </xf>
    <xf numFmtId="14" fontId="19" fillId="0" borderId="0" xfId="3" applyNumberFormat="1" applyFont="1" applyBorder="1" applyAlignment="1">
      <alignment horizontal="left"/>
    </xf>
    <xf numFmtId="0" fontId="19" fillId="0" borderId="0" xfId="3" applyFont="1" applyAlignment="1">
      <alignment horizontal="right"/>
    </xf>
  </cellXfs>
  <cellStyles count="4">
    <cellStyle name="Currency 2" xfId="2"/>
    <cellStyle name="Normal" xfId="0" builtinId="0"/>
    <cellStyle name="Normal 2" xfId="1"/>
    <cellStyle name="Normal_Lake Hills RF 033 8.06.0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352425</xdr:colOff>
      <xdr:row>4</xdr:row>
      <xdr:rowOff>304800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962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0" y="1133475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COSTS FOR ASI-024 SHOWER CHANGE, FROM INCEPTION THROUGH END OF BUSINESS 05/13/16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tabSelected="1" view="pageBreakPreview" zoomScale="80" zoomScaleNormal="100" zoomScaleSheetLayoutView="80" workbookViewId="0">
      <selection activeCell="E11" sqref="E11"/>
    </sheetView>
  </sheetViews>
  <sheetFormatPr defaultRowHeight="12.75" x14ac:dyDescent="0.2"/>
  <cols>
    <col min="2" max="2" width="28.140625" customWidth="1"/>
    <col min="3" max="3" width="6.85546875" customWidth="1"/>
    <col min="4" max="4" width="8.7109375" customWidth="1"/>
    <col min="5" max="5" width="28" customWidth="1"/>
    <col min="6" max="6" width="1.28515625" customWidth="1"/>
    <col min="8" max="8" width="27.7109375" customWidth="1"/>
    <col min="9" max="9" width="8.7109375" customWidth="1"/>
    <col min="10" max="10" width="27" customWidth="1"/>
    <col min="11" max="11" width="20.85546875" customWidth="1"/>
    <col min="12" max="12" width="11.85546875" customWidth="1"/>
    <col min="13" max="13" width="8.7109375" customWidth="1"/>
    <col min="14" max="14" width="25.42578125" customWidth="1"/>
    <col min="15" max="15" width="20.85546875" customWidth="1"/>
    <col min="18" max="18" width="11.85546875" customWidth="1"/>
  </cols>
  <sheetData>
    <row r="1" spans="1:14" ht="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1"/>
    </row>
    <row r="2" spans="1:14" ht="20.25" customHeight="1" x14ac:dyDescent="0.2">
      <c r="A2" s="22"/>
      <c r="B2" s="24"/>
      <c r="C2" s="4"/>
      <c r="D2" s="4"/>
      <c r="E2" s="4"/>
      <c r="F2" s="3"/>
      <c r="G2" s="73" t="s">
        <v>31</v>
      </c>
      <c r="H2" s="74"/>
      <c r="I2" s="74"/>
      <c r="J2" s="74"/>
      <c r="K2" s="74"/>
      <c r="L2" s="74"/>
      <c r="M2" s="53"/>
      <c r="N2" s="53"/>
    </row>
    <row r="3" spans="1:14" ht="12.75" customHeight="1" x14ac:dyDescent="0.2">
      <c r="A3" s="27"/>
      <c r="B3" s="27"/>
      <c r="C3" s="4"/>
      <c r="D3" s="4"/>
      <c r="E3" s="4"/>
      <c r="F3" s="3"/>
      <c r="G3" s="74"/>
      <c r="H3" s="74"/>
      <c r="I3" s="74"/>
      <c r="J3" s="74"/>
      <c r="K3" s="74"/>
      <c r="L3" s="74"/>
    </row>
    <row r="4" spans="1:14" ht="27.6" customHeight="1" x14ac:dyDescent="0.2">
      <c r="A4" s="75" t="s">
        <v>0</v>
      </c>
      <c r="B4" s="75"/>
      <c r="C4" s="72">
        <v>2023</v>
      </c>
      <c r="D4" s="72"/>
      <c r="E4" s="72"/>
      <c r="F4" s="4"/>
      <c r="G4" s="4"/>
      <c r="H4" s="4"/>
      <c r="I4" s="4"/>
      <c r="J4" s="4"/>
      <c r="K4" s="4"/>
    </row>
    <row r="5" spans="1:14" ht="28.9" customHeight="1" x14ac:dyDescent="0.2">
      <c r="A5" s="62" t="s">
        <v>4</v>
      </c>
      <c r="B5" s="62"/>
      <c r="C5" s="72" t="s">
        <v>40</v>
      </c>
      <c r="D5" s="72"/>
      <c r="E5" s="72"/>
      <c r="F5" s="72"/>
      <c r="G5" s="72"/>
      <c r="H5" s="72"/>
      <c r="I5" s="4"/>
      <c r="J5" s="4"/>
      <c r="K5" s="4"/>
    </row>
    <row r="6" spans="1:14" ht="27" customHeight="1" x14ac:dyDescent="0.2">
      <c r="A6" s="62" t="s">
        <v>1</v>
      </c>
      <c r="B6" s="62"/>
      <c r="C6" s="67" t="s">
        <v>39</v>
      </c>
      <c r="D6" s="67"/>
      <c r="E6" s="67"/>
      <c r="F6" s="67"/>
      <c r="G6" s="67"/>
      <c r="H6" s="67"/>
      <c r="I6" s="4"/>
      <c r="J6" s="4"/>
      <c r="K6" s="4"/>
    </row>
    <row r="7" spans="1:14" ht="8.25" customHeight="1" x14ac:dyDescent="0.2">
      <c r="A7" s="25"/>
      <c r="B7" s="22"/>
      <c r="C7" s="23"/>
      <c r="D7" s="21"/>
      <c r="E7" s="21"/>
      <c r="F7" s="21"/>
      <c r="G7" s="3"/>
      <c r="H7" s="3"/>
      <c r="I7" s="3"/>
      <c r="J7" s="3"/>
      <c r="K7" s="3"/>
      <c r="L7" s="3"/>
      <c r="M7" s="3"/>
      <c r="N7" s="3"/>
    </row>
    <row r="8" spans="1:14" ht="24.95" customHeight="1" thickBot="1" x14ac:dyDescent="0.25">
      <c r="A8" s="62" t="s">
        <v>21</v>
      </c>
      <c r="B8" s="63"/>
      <c r="C8" s="68">
        <v>999</v>
      </c>
      <c r="D8" s="69"/>
      <c r="E8" s="28">
        <v>31612</v>
      </c>
      <c r="F8" s="21"/>
      <c r="G8" s="3"/>
      <c r="H8" s="3"/>
      <c r="I8" s="3"/>
      <c r="J8" s="3"/>
      <c r="K8" s="1"/>
      <c r="L8" s="1"/>
      <c r="M8" s="1"/>
      <c r="N8" s="1"/>
    </row>
    <row r="9" spans="1:14" ht="14.25" hidden="1" x14ac:dyDescent="0.2">
      <c r="A9" s="57"/>
      <c r="B9" s="57"/>
      <c r="D9" s="2" t="s">
        <v>2</v>
      </c>
    </row>
    <row r="10" spans="1:14" ht="20.100000000000001" customHeight="1" thickTop="1" x14ac:dyDescent="0.3">
      <c r="A10" s="58"/>
      <c r="B10" s="58"/>
      <c r="C10" s="7"/>
      <c r="D10" s="7"/>
      <c r="E10" s="10"/>
      <c r="F10" s="12"/>
      <c r="G10" s="12"/>
      <c r="H10" s="12"/>
      <c r="I10" s="11"/>
      <c r="J10" s="3"/>
      <c r="K10" s="3"/>
      <c r="L10" s="3"/>
      <c r="M10" s="3"/>
      <c r="N10" s="3"/>
    </row>
    <row r="11" spans="1:14" ht="20.100000000000001" customHeight="1" thickBot="1" x14ac:dyDescent="0.35">
      <c r="A11" s="54" t="s">
        <v>6</v>
      </c>
      <c r="B11" s="54"/>
      <c r="C11" s="59"/>
      <c r="D11" s="15" t="s">
        <v>2</v>
      </c>
      <c r="E11" s="15" t="s">
        <v>22</v>
      </c>
      <c r="F11" s="15"/>
      <c r="G11" s="54" t="s">
        <v>19</v>
      </c>
      <c r="H11" s="54"/>
      <c r="I11" s="15" t="s">
        <v>2</v>
      </c>
      <c r="J11" s="15" t="s">
        <v>22</v>
      </c>
      <c r="K11" s="54" t="s">
        <v>23</v>
      </c>
      <c r="L11" s="54"/>
      <c r="M11" s="15" t="s">
        <v>2</v>
      </c>
      <c r="N11" s="15" t="s">
        <v>22</v>
      </c>
    </row>
    <row r="12" spans="1:14" ht="23.45" customHeight="1" thickTop="1" thickBot="1" x14ac:dyDescent="0.35">
      <c r="A12" s="70" t="s">
        <v>3</v>
      </c>
      <c r="B12" s="71"/>
      <c r="C12" s="13"/>
      <c r="D12" s="14">
        <v>100</v>
      </c>
      <c r="E12" s="30">
        <f>6*47</f>
        <v>282</v>
      </c>
      <c r="F12" s="18"/>
      <c r="G12" s="55"/>
      <c r="H12" s="56"/>
      <c r="I12" s="14"/>
      <c r="J12" s="32"/>
      <c r="K12" s="55"/>
      <c r="L12" s="56"/>
      <c r="M12" s="14"/>
      <c r="N12" s="34"/>
    </row>
    <row r="13" spans="1:14" ht="23.45" customHeight="1" thickTop="1" thickBot="1" x14ac:dyDescent="0.3">
      <c r="A13" s="40" t="s">
        <v>15</v>
      </c>
      <c r="B13" s="41"/>
      <c r="C13" s="6"/>
      <c r="D13" s="5">
        <v>101</v>
      </c>
      <c r="E13" s="30">
        <f>12*47</f>
        <v>564</v>
      </c>
      <c r="F13" s="19"/>
      <c r="G13" s="42" t="s">
        <v>17</v>
      </c>
      <c r="H13" s="43"/>
      <c r="I13" s="5">
        <v>210</v>
      </c>
      <c r="J13" s="30"/>
      <c r="K13" s="42" t="s">
        <v>24</v>
      </c>
      <c r="L13" s="43"/>
      <c r="M13" s="5">
        <v>600</v>
      </c>
      <c r="N13" s="30">
        <v>1500</v>
      </c>
    </row>
    <row r="14" spans="1:14" ht="23.45" customHeight="1" thickTop="1" thickBot="1" x14ac:dyDescent="0.3">
      <c r="A14" s="40" t="s">
        <v>17</v>
      </c>
      <c r="B14" s="41"/>
      <c r="C14" s="6"/>
      <c r="D14" s="5">
        <v>110</v>
      </c>
      <c r="E14" s="30"/>
      <c r="F14" s="19"/>
      <c r="G14" s="42" t="s">
        <v>10</v>
      </c>
      <c r="H14" s="43"/>
      <c r="I14" s="5">
        <v>211</v>
      </c>
      <c r="J14" s="30"/>
      <c r="K14" s="42" t="s">
        <v>25</v>
      </c>
      <c r="L14" s="43"/>
      <c r="M14" s="5">
        <v>601</v>
      </c>
      <c r="N14" s="30"/>
    </row>
    <row r="15" spans="1:14" ht="23.45" customHeight="1" thickTop="1" thickBot="1" x14ac:dyDescent="0.3">
      <c r="A15" s="40" t="s">
        <v>37</v>
      </c>
      <c r="B15" s="41"/>
      <c r="C15" s="6"/>
      <c r="D15" s="5">
        <v>111</v>
      </c>
      <c r="E15" s="30"/>
      <c r="F15" s="19"/>
      <c r="G15" s="42" t="s">
        <v>11</v>
      </c>
      <c r="H15" s="43"/>
      <c r="I15" s="5">
        <v>212</v>
      </c>
      <c r="J15" s="30"/>
      <c r="K15" s="42" t="s">
        <v>26</v>
      </c>
      <c r="L15" s="43"/>
      <c r="M15" s="5">
        <v>602</v>
      </c>
      <c r="N15" s="30">
        <v>569</v>
      </c>
    </row>
    <row r="16" spans="1:14" ht="23.45" customHeight="1" thickTop="1" thickBot="1" x14ac:dyDescent="0.3">
      <c r="A16" s="40" t="s">
        <v>36</v>
      </c>
      <c r="B16" s="41"/>
      <c r="C16" s="6"/>
      <c r="D16" s="5">
        <v>112</v>
      </c>
      <c r="E16" s="30"/>
      <c r="F16" s="19"/>
      <c r="G16" s="42" t="s">
        <v>12</v>
      </c>
      <c r="H16" s="43"/>
      <c r="I16" s="5">
        <v>213</v>
      </c>
      <c r="J16" s="30"/>
      <c r="K16" s="42" t="s">
        <v>27</v>
      </c>
      <c r="L16" s="43"/>
      <c r="M16" s="5">
        <v>603</v>
      </c>
      <c r="N16" s="30"/>
    </row>
    <row r="17" spans="1:14" ht="23.45" customHeight="1" thickTop="1" thickBot="1" x14ac:dyDescent="0.3">
      <c r="A17" s="40" t="s">
        <v>12</v>
      </c>
      <c r="B17" s="41"/>
      <c r="C17" s="6"/>
      <c r="D17" s="5">
        <v>113</v>
      </c>
      <c r="E17" s="30"/>
      <c r="F17" s="19"/>
      <c r="G17" s="42" t="s">
        <v>7</v>
      </c>
      <c r="H17" s="43"/>
      <c r="I17" s="5">
        <v>220</v>
      </c>
      <c r="J17" s="30">
        <v>1612</v>
      </c>
      <c r="K17" s="42" t="s">
        <v>28</v>
      </c>
      <c r="L17" s="43"/>
      <c r="M17" s="5">
        <v>604</v>
      </c>
      <c r="N17" s="30"/>
    </row>
    <row r="18" spans="1:14" ht="23.45" customHeight="1" thickTop="1" thickBot="1" x14ac:dyDescent="0.3">
      <c r="A18" s="40" t="s">
        <v>35</v>
      </c>
      <c r="B18" s="41"/>
      <c r="C18" s="6"/>
      <c r="D18" s="5">
        <v>120</v>
      </c>
      <c r="E18" s="30">
        <f>391*0.8*25</f>
        <v>7820</v>
      </c>
      <c r="F18" s="19"/>
      <c r="G18" s="42" t="s">
        <v>8</v>
      </c>
      <c r="H18" s="43"/>
      <c r="I18" s="5">
        <v>230</v>
      </c>
      <c r="J18" s="30"/>
      <c r="K18" s="42" t="s">
        <v>34</v>
      </c>
      <c r="L18" s="43"/>
      <c r="M18" s="5" t="s">
        <v>34</v>
      </c>
      <c r="N18" s="30"/>
    </row>
    <row r="19" spans="1:14" ht="23.45" customHeight="1" thickTop="1" thickBot="1" x14ac:dyDescent="0.3">
      <c r="A19" s="40" t="s">
        <v>8</v>
      </c>
      <c r="B19" s="41"/>
      <c r="C19" s="6"/>
      <c r="D19" s="5">
        <v>130</v>
      </c>
      <c r="E19" s="30"/>
      <c r="F19" s="19"/>
      <c r="G19" s="42" t="s">
        <v>38</v>
      </c>
      <c r="H19" s="43"/>
      <c r="I19" s="5">
        <v>240</v>
      </c>
      <c r="J19" s="30"/>
      <c r="K19" s="42" t="s">
        <v>29</v>
      </c>
      <c r="L19" s="43"/>
      <c r="M19" s="5">
        <v>606</v>
      </c>
      <c r="N19" s="30"/>
    </row>
    <row r="20" spans="1:14" ht="23.45" customHeight="1" thickTop="1" thickBot="1" x14ac:dyDescent="0.3">
      <c r="A20" s="40" t="s">
        <v>9</v>
      </c>
      <c r="B20" s="41"/>
      <c r="C20" s="6"/>
      <c r="D20" s="5">
        <v>140</v>
      </c>
      <c r="E20" s="30"/>
      <c r="F20" s="19"/>
      <c r="G20" s="42" t="s">
        <v>20</v>
      </c>
      <c r="H20" s="43"/>
      <c r="I20" s="5">
        <v>241</v>
      </c>
      <c r="J20" s="30">
        <v>139</v>
      </c>
      <c r="K20" s="42" t="s">
        <v>30</v>
      </c>
      <c r="L20" s="43"/>
      <c r="M20" s="5">
        <v>607</v>
      </c>
      <c r="N20" s="30"/>
    </row>
    <row r="21" spans="1:14" ht="23.45" customHeight="1" thickTop="1" thickBot="1" x14ac:dyDescent="0.3">
      <c r="A21" s="40" t="s">
        <v>20</v>
      </c>
      <c r="B21" s="41"/>
      <c r="C21" s="6"/>
      <c r="D21" s="5">
        <v>141</v>
      </c>
      <c r="E21" s="30">
        <f>391*0.2*25</f>
        <v>1955</v>
      </c>
      <c r="F21" s="19"/>
      <c r="G21" s="42" t="s">
        <v>16</v>
      </c>
      <c r="H21" s="43"/>
      <c r="I21" s="5">
        <v>242</v>
      </c>
      <c r="J21" s="30"/>
      <c r="K21" s="42"/>
      <c r="L21" s="43"/>
      <c r="M21" s="5"/>
      <c r="N21" s="30"/>
    </row>
    <row r="22" spans="1:14" ht="23.45" customHeight="1" thickTop="1" thickBot="1" x14ac:dyDescent="0.3">
      <c r="A22" s="40" t="s">
        <v>16</v>
      </c>
      <c r="B22" s="41"/>
      <c r="C22" s="6"/>
      <c r="D22" s="5">
        <v>142</v>
      </c>
      <c r="E22" s="30"/>
      <c r="F22" s="19"/>
      <c r="G22" s="42" t="s">
        <v>32</v>
      </c>
      <c r="H22" s="43"/>
      <c r="I22" s="5">
        <v>243</v>
      </c>
      <c r="J22" s="30"/>
      <c r="K22" s="42"/>
      <c r="L22" s="43"/>
      <c r="M22" s="5"/>
      <c r="N22" s="30"/>
    </row>
    <row r="23" spans="1:14" ht="23.45" customHeight="1" thickTop="1" thickBot="1" x14ac:dyDescent="0.3">
      <c r="A23" s="40" t="s">
        <v>32</v>
      </c>
      <c r="B23" s="41"/>
      <c r="C23" s="6"/>
      <c r="D23" s="5">
        <v>143</v>
      </c>
      <c r="E23" s="30"/>
      <c r="F23" s="19"/>
      <c r="G23" s="42" t="s">
        <v>33</v>
      </c>
      <c r="H23" s="43"/>
      <c r="I23" s="5">
        <v>244</v>
      </c>
      <c r="J23" s="30"/>
      <c r="K23" s="42"/>
      <c r="L23" s="43"/>
      <c r="M23" s="5"/>
      <c r="N23" s="30"/>
    </row>
    <row r="24" spans="1:14" ht="23.45" customHeight="1" thickTop="1" thickBot="1" x14ac:dyDescent="0.3">
      <c r="A24" s="40" t="s">
        <v>33</v>
      </c>
      <c r="B24" s="41"/>
      <c r="C24" s="6"/>
      <c r="D24" s="5">
        <v>144</v>
      </c>
      <c r="E24" s="30"/>
      <c r="F24" s="19"/>
      <c r="G24" s="42" t="s">
        <v>13</v>
      </c>
      <c r="H24" s="43"/>
      <c r="I24" s="5">
        <v>250</v>
      </c>
      <c r="J24" s="30"/>
      <c r="K24" s="42"/>
      <c r="L24" s="43"/>
      <c r="M24" s="5"/>
      <c r="N24" s="30"/>
    </row>
    <row r="25" spans="1:14" ht="23.45" customHeight="1" thickTop="1" thickBot="1" x14ac:dyDescent="0.3">
      <c r="A25" s="40" t="s">
        <v>13</v>
      </c>
      <c r="B25" s="41"/>
      <c r="C25" s="6"/>
      <c r="D25" s="5">
        <v>150</v>
      </c>
      <c r="E25" s="30"/>
      <c r="F25" s="19"/>
      <c r="G25" s="40" t="s">
        <v>14</v>
      </c>
      <c r="H25" s="41"/>
      <c r="I25" s="5">
        <v>251</v>
      </c>
      <c r="J25" s="30"/>
      <c r="K25" s="44"/>
      <c r="L25" s="45"/>
      <c r="M25" s="5"/>
      <c r="N25" s="30"/>
    </row>
    <row r="26" spans="1:14" ht="23.45" customHeight="1" thickTop="1" thickBot="1" x14ac:dyDescent="0.3">
      <c r="A26" s="40" t="s">
        <v>14</v>
      </c>
      <c r="B26" s="41"/>
      <c r="C26" s="6"/>
      <c r="D26" s="5">
        <v>151</v>
      </c>
      <c r="E26" s="30"/>
      <c r="F26" s="19"/>
      <c r="G26" s="40" t="s">
        <v>34</v>
      </c>
      <c r="H26" s="41"/>
      <c r="I26" s="5" t="s">
        <v>34</v>
      </c>
      <c r="J26" s="30"/>
      <c r="K26" s="44"/>
      <c r="L26" s="45"/>
      <c r="M26" s="5"/>
      <c r="N26" s="30"/>
    </row>
    <row r="27" spans="1:14" ht="23.45" customHeight="1" thickTop="1" thickBot="1" x14ac:dyDescent="0.3">
      <c r="A27" s="40" t="s">
        <v>34</v>
      </c>
      <c r="B27" s="41"/>
      <c r="C27" s="6"/>
      <c r="D27" s="5" t="s">
        <v>34</v>
      </c>
      <c r="E27" s="30"/>
      <c r="F27" s="19"/>
      <c r="G27" s="44"/>
      <c r="H27" s="45"/>
      <c r="I27" s="5" t="s">
        <v>34</v>
      </c>
      <c r="J27" s="30"/>
      <c r="K27" s="44"/>
      <c r="L27" s="45"/>
      <c r="M27" s="5"/>
      <c r="N27" s="30"/>
    </row>
    <row r="28" spans="1:14" ht="20.100000000000001" customHeight="1" thickTop="1" thickBot="1" x14ac:dyDescent="0.3">
      <c r="A28" s="40" t="s">
        <v>34</v>
      </c>
      <c r="B28" s="41"/>
      <c r="C28" s="6"/>
      <c r="D28" s="5" t="s">
        <v>34</v>
      </c>
      <c r="E28" s="30"/>
      <c r="F28" s="19"/>
      <c r="G28" s="44"/>
      <c r="H28" s="45"/>
      <c r="I28" s="5" t="s">
        <v>34</v>
      </c>
      <c r="J28" s="30"/>
      <c r="K28" s="44"/>
      <c r="L28" s="45"/>
      <c r="M28" s="5"/>
      <c r="N28" s="30"/>
    </row>
    <row r="29" spans="1:14" ht="20.100000000000001" customHeight="1" thickTop="1" thickBot="1" x14ac:dyDescent="0.3">
      <c r="A29" s="40" t="s">
        <v>34</v>
      </c>
      <c r="B29" s="41"/>
      <c r="C29" s="6"/>
      <c r="D29" s="5" t="s">
        <v>34</v>
      </c>
      <c r="E29" s="30"/>
      <c r="F29" s="19"/>
      <c r="G29" s="44"/>
      <c r="H29" s="45"/>
      <c r="I29" s="5" t="s">
        <v>34</v>
      </c>
      <c r="J29" s="30"/>
      <c r="K29" s="44"/>
      <c r="L29" s="45"/>
      <c r="M29" s="5"/>
      <c r="N29" s="30"/>
    </row>
    <row r="30" spans="1:14" ht="20.100000000000001" customHeight="1" thickTop="1" thickBot="1" x14ac:dyDescent="0.3">
      <c r="A30" s="40"/>
      <c r="B30" s="41"/>
      <c r="C30" s="6"/>
      <c r="D30" s="5" t="s">
        <v>34</v>
      </c>
      <c r="E30" s="30"/>
      <c r="F30" s="19"/>
      <c r="G30" s="44"/>
      <c r="H30" s="45"/>
      <c r="I30" s="5" t="s">
        <v>34</v>
      </c>
      <c r="J30" s="30"/>
      <c r="K30" s="44"/>
      <c r="L30" s="45"/>
      <c r="M30" s="5"/>
      <c r="N30" s="30"/>
    </row>
    <row r="31" spans="1:14" ht="20.100000000000001" customHeight="1" thickTop="1" thickBot="1" x14ac:dyDescent="0.3">
      <c r="A31" s="40"/>
      <c r="B31" s="41"/>
      <c r="C31" s="6"/>
      <c r="D31" s="5" t="s">
        <v>34</v>
      </c>
      <c r="E31" s="30"/>
      <c r="F31" s="19"/>
      <c r="G31" s="44"/>
      <c r="H31" s="45"/>
      <c r="I31" s="5" t="s">
        <v>34</v>
      </c>
      <c r="J31" s="30"/>
      <c r="K31" s="44"/>
      <c r="L31" s="45"/>
      <c r="M31" s="5"/>
      <c r="N31" s="30"/>
    </row>
    <row r="32" spans="1:14" ht="20.100000000000001" customHeight="1" thickTop="1" thickBot="1" x14ac:dyDescent="0.3">
      <c r="A32" s="40"/>
      <c r="B32" s="41"/>
      <c r="C32" s="6"/>
      <c r="D32" s="5" t="s">
        <v>34</v>
      </c>
      <c r="E32" s="30"/>
      <c r="F32" s="19"/>
      <c r="G32" s="44"/>
      <c r="H32" s="45"/>
      <c r="I32" s="5" t="s">
        <v>34</v>
      </c>
      <c r="J32" s="30"/>
      <c r="K32" s="44"/>
      <c r="L32" s="45"/>
      <c r="M32" s="5"/>
      <c r="N32" s="30"/>
    </row>
    <row r="33" spans="1:18" ht="20.100000000000001" customHeight="1" thickTop="1" thickBot="1" x14ac:dyDescent="0.3">
      <c r="A33" s="40"/>
      <c r="B33" s="41"/>
      <c r="C33" s="6"/>
      <c r="D33" s="5" t="s">
        <v>34</v>
      </c>
      <c r="E33" s="30"/>
      <c r="F33" s="19"/>
      <c r="G33" s="44"/>
      <c r="H33" s="45"/>
      <c r="I33" s="5" t="s">
        <v>34</v>
      </c>
      <c r="J33" s="30"/>
      <c r="K33" s="44"/>
      <c r="L33" s="45"/>
      <c r="M33" s="5"/>
      <c r="N33" s="30"/>
    </row>
    <row r="34" spans="1:18" ht="20.100000000000001" customHeight="1" thickTop="1" thickBot="1" x14ac:dyDescent="0.3">
      <c r="A34" s="40"/>
      <c r="B34" s="41"/>
      <c r="C34" s="6"/>
      <c r="D34" s="5" t="s">
        <v>34</v>
      </c>
      <c r="E34" s="30"/>
      <c r="F34" s="19"/>
      <c r="G34" s="44"/>
      <c r="H34" s="45"/>
      <c r="I34" s="5" t="s">
        <v>34</v>
      </c>
      <c r="J34" s="30"/>
      <c r="K34" s="44"/>
      <c r="L34" s="45"/>
      <c r="M34" s="5"/>
      <c r="N34" s="30"/>
      <c r="R34" s="35"/>
    </row>
    <row r="35" spans="1:18" ht="20.100000000000001" customHeight="1" thickTop="1" thickBot="1" x14ac:dyDescent="0.3">
      <c r="A35" s="40"/>
      <c r="B35" s="41"/>
      <c r="C35" s="6"/>
      <c r="D35" s="5" t="s">
        <v>34</v>
      </c>
      <c r="E35" s="30"/>
      <c r="F35" s="19"/>
      <c r="G35" s="44"/>
      <c r="H35" s="45"/>
      <c r="I35" s="5" t="s">
        <v>34</v>
      </c>
      <c r="J35" s="30"/>
      <c r="K35" s="44"/>
      <c r="L35" s="45"/>
      <c r="M35" s="5"/>
      <c r="N35" s="30"/>
    </row>
    <row r="36" spans="1:18" ht="20.100000000000001" customHeight="1" thickTop="1" thickBot="1" x14ac:dyDescent="0.3">
      <c r="A36" s="40"/>
      <c r="B36" s="41"/>
      <c r="C36" s="6"/>
      <c r="D36" s="5" t="s">
        <v>34</v>
      </c>
      <c r="E36" s="30"/>
      <c r="F36" s="19"/>
      <c r="G36" s="44"/>
      <c r="H36" s="45"/>
      <c r="I36" s="5" t="s">
        <v>34</v>
      </c>
      <c r="J36" s="30"/>
      <c r="K36" s="44"/>
      <c r="L36" s="45"/>
      <c r="M36" s="5"/>
      <c r="N36" s="30"/>
    </row>
    <row r="37" spans="1:18" ht="20.100000000000001" customHeight="1" thickTop="1" thickBot="1" x14ac:dyDescent="0.3">
      <c r="A37" s="40"/>
      <c r="B37" s="41"/>
      <c r="C37" s="6"/>
      <c r="D37" s="5" t="s">
        <v>34</v>
      </c>
      <c r="E37" s="30"/>
      <c r="F37" s="19"/>
      <c r="G37" s="44"/>
      <c r="H37" s="45"/>
      <c r="I37" s="5" t="s">
        <v>34</v>
      </c>
      <c r="J37" s="30"/>
      <c r="K37" s="44"/>
      <c r="L37" s="45"/>
      <c r="M37" s="5"/>
      <c r="N37" s="30"/>
    </row>
    <row r="38" spans="1:18" ht="20.100000000000001" customHeight="1" thickTop="1" thickBot="1" x14ac:dyDescent="0.3">
      <c r="A38" s="40"/>
      <c r="B38" s="41"/>
      <c r="C38" s="6"/>
      <c r="D38" s="5" t="s">
        <v>34</v>
      </c>
      <c r="E38" s="30"/>
      <c r="F38" s="19"/>
      <c r="G38" s="44"/>
      <c r="H38" s="45"/>
      <c r="I38" s="5" t="s">
        <v>34</v>
      </c>
      <c r="J38" s="30"/>
      <c r="K38" s="44"/>
      <c r="L38" s="45"/>
      <c r="M38" s="5"/>
      <c r="N38" s="30"/>
    </row>
    <row r="39" spans="1:18" ht="20.100000000000001" customHeight="1" thickTop="1" thickBot="1" x14ac:dyDescent="0.3">
      <c r="A39" s="40"/>
      <c r="B39" s="41"/>
      <c r="C39" s="6"/>
      <c r="D39" s="5" t="s">
        <v>34</v>
      </c>
      <c r="E39" s="30"/>
      <c r="F39" s="19"/>
      <c r="G39" s="44"/>
      <c r="H39" s="45"/>
      <c r="I39" s="5" t="s">
        <v>34</v>
      </c>
      <c r="J39" s="30"/>
      <c r="K39" s="44"/>
      <c r="L39" s="45"/>
      <c r="M39" s="5"/>
      <c r="N39" s="30"/>
    </row>
    <row r="40" spans="1:18" ht="20.100000000000001" customHeight="1" thickTop="1" thickBot="1" x14ac:dyDescent="0.3">
      <c r="A40" s="46" t="s">
        <v>18</v>
      </c>
      <c r="B40" s="47"/>
      <c r="C40" s="29">
        <v>0.44350000000000001</v>
      </c>
      <c r="D40" s="5"/>
      <c r="E40" s="31">
        <f>SUM(E12:E39,N18,N19)*C40</f>
        <v>4710.4134999999997</v>
      </c>
      <c r="F40" s="19"/>
      <c r="G40" s="44"/>
      <c r="H40" s="45"/>
      <c r="I40" s="5" t="s">
        <v>34</v>
      </c>
      <c r="J40" s="30"/>
      <c r="K40" s="44"/>
      <c r="L40" s="45"/>
      <c r="M40" s="5"/>
      <c r="N40" s="30"/>
    </row>
    <row r="41" spans="1:18" ht="20.100000000000001" customHeight="1" thickTop="1" thickBot="1" x14ac:dyDescent="0.25">
      <c r="A41" s="46" t="s">
        <v>18</v>
      </c>
      <c r="B41" s="47"/>
      <c r="C41" s="26">
        <v>7.6499999999999999E-2</v>
      </c>
      <c r="D41" s="8"/>
      <c r="E41" s="31">
        <f>SUM(E12:E39,N18,N19)*C41</f>
        <v>812.50649999999996</v>
      </c>
      <c r="F41" s="20"/>
      <c r="G41" s="48"/>
      <c r="H41" s="49"/>
      <c r="I41" s="9"/>
      <c r="J41" s="33"/>
      <c r="K41" s="48"/>
      <c r="L41" s="49"/>
      <c r="M41" s="9"/>
      <c r="N41" s="30"/>
    </row>
    <row r="42" spans="1:18" ht="20.100000000000001" customHeight="1" thickTop="1" x14ac:dyDescent="0.2">
      <c r="A42" s="64" t="s">
        <v>5</v>
      </c>
      <c r="B42" s="65"/>
      <c r="C42" s="65"/>
      <c r="D42" s="65"/>
      <c r="E42" s="65"/>
      <c r="F42" s="65"/>
      <c r="G42" s="65"/>
      <c r="H42" s="65"/>
      <c r="I42" s="65"/>
      <c r="J42" s="65"/>
      <c r="K42" s="66"/>
      <c r="L42" s="66"/>
      <c r="M42" s="66"/>
      <c r="N42" s="66"/>
    </row>
    <row r="43" spans="1:18" ht="20.100000000000001" customHeight="1" x14ac:dyDescent="0.2">
      <c r="A43" s="50" t="s">
        <v>113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2"/>
    </row>
    <row r="44" spans="1:18" ht="20.100000000000001" customHeight="1" x14ac:dyDescent="0.2">
      <c r="A44" s="36" t="s">
        <v>112</v>
      </c>
      <c r="B44" s="37"/>
      <c r="C44" s="37"/>
      <c r="D44" s="37"/>
      <c r="E44" s="37"/>
      <c r="F44" s="37"/>
      <c r="G44" s="37"/>
      <c r="H44" s="37"/>
      <c r="I44" s="37"/>
      <c r="J44" s="37"/>
      <c r="K44" s="38"/>
      <c r="L44" s="38"/>
      <c r="M44" s="38"/>
      <c r="N44" s="39"/>
    </row>
    <row r="45" spans="1:18" ht="20.100000000000001" customHeight="1" x14ac:dyDescent="0.2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8"/>
      <c r="L45" s="38"/>
      <c r="M45" s="38"/>
      <c r="N45" s="39"/>
    </row>
    <row r="46" spans="1:18" ht="27.95" customHeight="1" x14ac:dyDescent="0.2">
      <c r="A46" s="36"/>
      <c r="B46" s="37"/>
      <c r="C46" s="37"/>
      <c r="D46" s="37"/>
      <c r="E46" s="37"/>
      <c r="F46" s="37"/>
      <c r="G46" s="37"/>
      <c r="H46" s="37"/>
      <c r="I46" s="37"/>
      <c r="J46" s="37"/>
      <c r="K46" s="60"/>
      <c r="L46" s="60"/>
      <c r="M46" s="60"/>
      <c r="N46" s="61"/>
    </row>
    <row r="47" spans="1:18" ht="15" x14ac:dyDescent="0.2">
      <c r="A47" s="16"/>
      <c r="B47" s="16"/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8" x14ac:dyDescent="0.2">
      <c r="A48" s="3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36" x14ac:dyDescent="0.2">
      <c r="A49" s="3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</row>
    <row r="50" spans="1:36" x14ac:dyDescent="0.2">
      <c r="A50" s="1"/>
      <c r="B50" s="1"/>
      <c r="C50" s="1"/>
    </row>
    <row r="51" spans="1:36" x14ac:dyDescent="0.2">
      <c r="A51" s="1"/>
      <c r="B51" s="1"/>
      <c r="C51" s="1"/>
    </row>
    <row r="52" spans="1:36" x14ac:dyDescent="0.2">
      <c r="A52" s="1"/>
      <c r="B52" s="1"/>
      <c r="C52" s="1"/>
    </row>
    <row r="53" spans="1:36" x14ac:dyDescent="0.2">
      <c r="A53" s="1"/>
      <c r="B53" s="1"/>
      <c r="C53" s="1"/>
    </row>
    <row r="54" spans="1:36" x14ac:dyDescent="0.2">
      <c r="A54" s="1"/>
      <c r="B54" s="1"/>
      <c r="C54" s="1"/>
    </row>
    <row r="55" spans="1:36" x14ac:dyDescent="0.2">
      <c r="A55" s="1"/>
      <c r="B55" s="1"/>
      <c r="C55" s="1"/>
    </row>
    <row r="56" spans="1:36" x14ac:dyDescent="0.2">
      <c r="A56" s="1"/>
      <c r="B56" s="1"/>
      <c r="C56" s="1"/>
    </row>
    <row r="57" spans="1:36" x14ac:dyDescent="0.2">
      <c r="A57" s="1"/>
      <c r="B57" s="1"/>
      <c r="C57" s="1"/>
    </row>
    <row r="58" spans="1:36" x14ac:dyDescent="0.2">
      <c r="A58" s="1"/>
      <c r="B58" s="1"/>
      <c r="C58" s="1"/>
    </row>
    <row r="59" spans="1:36" x14ac:dyDescent="0.2">
      <c r="A59" s="1"/>
      <c r="B59" s="1"/>
      <c r="C59" s="1"/>
    </row>
    <row r="60" spans="1:36" x14ac:dyDescent="0.2">
      <c r="A60" s="1"/>
      <c r="B60" s="1"/>
      <c r="C60" s="1"/>
    </row>
    <row r="61" spans="1:36" x14ac:dyDescent="0.2">
      <c r="A61" s="1"/>
      <c r="B61" s="1"/>
      <c r="C61" s="1"/>
    </row>
    <row r="62" spans="1:36" x14ac:dyDescent="0.2">
      <c r="A62" s="1"/>
      <c r="B62" s="1"/>
      <c r="C62" s="1"/>
    </row>
    <row r="63" spans="1:36" x14ac:dyDescent="0.2">
      <c r="A63" s="1"/>
      <c r="B63" s="1"/>
      <c r="C63" s="1"/>
    </row>
    <row r="64" spans="1:36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</sheetData>
  <mergeCells count="110">
    <mergeCell ref="C4:E4"/>
    <mergeCell ref="G2:L3"/>
    <mergeCell ref="A4:B4"/>
    <mergeCell ref="K40:L40"/>
    <mergeCell ref="K35:L35"/>
    <mergeCell ref="K36:L36"/>
    <mergeCell ref="K31:L31"/>
    <mergeCell ref="K32:L32"/>
    <mergeCell ref="K33:L33"/>
    <mergeCell ref="C5:H5"/>
    <mergeCell ref="A24:B24"/>
    <mergeCell ref="G23:H23"/>
    <mergeCell ref="A20:B20"/>
    <mergeCell ref="A21:B21"/>
    <mergeCell ref="A22:B22"/>
    <mergeCell ref="K24:L24"/>
    <mergeCell ref="A40:B40"/>
    <mergeCell ref="A26:B26"/>
    <mergeCell ref="A27:B27"/>
    <mergeCell ref="A28:B28"/>
    <mergeCell ref="A29:B29"/>
    <mergeCell ref="A30:B30"/>
    <mergeCell ref="G21:H21"/>
    <mergeCell ref="G20:H20"/>
    <mergeCell ref="A46:N46"/>
    <mergeCell ref="A5:B5"/>
    <mergeCell ref="A6:B6"/>
    <mergeCell ref="A8:B8"/>
    <mergeCell ref="K41:L41"/>
    <mergeCell ref="A42:N42"/>
    <mergeCell ref="K20:L20"/>
    <mergeCell ref="K21:L21"/>
    <mergeCell ref="K22:L22"/>
    <mergeCell ref="K23:L23"/>
    <mergeCell ref="K39:L39"/>
    <mergeCell ref="K38:L38"/>
    <mergeCell ref="C6:H6"/>
    <mergeCell ref="C8:D8"/>
    <mergeCell ref="K34:L34"/>
    <mergeCell ref="K27:L27"/>
    <mergeCell ref="K28:L28"/>
    <mergeCell ref="K30:L30"/>
    <mergeCell ref="K37:L37"/>
    <mergeCell ref="K18:L18"/>
    <mergeCell ref="A12:B12"/>
    <mergeCell ref="A13:B13"/>
    <mergeCell ref="A14:B14"/>
    <mergeCell ref="A15:B15"/>
    <mergeCell ref="M2:N2"/>
    <mergeCell ref="G17:H17"/>
    <mergeCell ref="G18:H18"/>
    <mergeCell ref="K11:L11"/>
    <mergeCell ref="K12:L12"/>
    <mergeCell ref="A18:B18"/>
    <mergeCell ref="A19:B19"/>
    <mergeCell ref="A16:B16"/>
    <mergeCell ref="A17:B17"/>
    <mergeCell ref="G12:H12"/>
    <mergeCell ref="K19:L19"/>
    <mergeCell ref="A9:B9"/>
    <mergeCell ref="A10:B10"/>
    <mergeCell ref="A11:C11"/>
    <mergeCell ref="K13:L13"/>
    <mergeCell ref="K14:L14"/>
    <mergeCell ref="K15:L15"/>
    <mergeCell ref="K16:L16"/>
    <mergeCell ref="K17:L17"/>
    <mergeCell ref="G19:H19"/>
    <mergeCell ref="G11:H11"/>
    <mergeCell ref="G13:H13"/>
    <mergeCell ref="G14:H14"/>
    <mergeCell ref="G15:H15"/>
    <mergeCell ref="A25:B25"/>
    <mergeCell ref="K29:L29"/>
    <mergeCell ref="K25:L25"/>
    <mergeCell ref="K26:L26"/>
    <mergeCell ref="A23:B23"/>
    <mergeCell ref="G22:H22"/>
    <mergeCell ref="G25:H25"/>
    <mergeCell ref="A43:N43"/>
    <mergeCell ref="A44:N44"/>
    <mergeCell ref="G29:H29"/>
    <mergeCell ref="G32:H32"/>
    <mergeCell ref="G33:H33"/>
    <mergeCell ref="G35:H35"/>
    <mergeCell ref="G24:H24"/>
    <mergeCell ref="A45:N45"/>
    <mergeCell ref="A39:B39"/>
    <mergeCell ref="G16:H16"/>
    <mergeCell ref="A36:B36"/>
    <mergeCell ref="A37:B37"/>
    <mergeCell ref="A34:B34"/>
    <mergeCell ref="A35:B35"/>
    <mergeCell ref="G30:H30"/>
    <mergeCell ref="G36:H36"/>
    <mergeCell ref="A31:B31"/>
    <mergeCell ref="G31:H31"/>
    <mergeCell ref="A32:B32"/>
    <mergeCell ref="A33:B33"/>
    <mergeCell ref="A41:B41"/>
    <mergeCell ref="G38:H38"/>
    <mergeCell ref="G39:H39"/>
    <mergeCell ref="G40:H40"/>
    <mergeCell ref="G41:H41"/>
    <mergeCell ref="A38:B38"/>
    <mergeCell ref="G26:H26"/>
    <mergeCell ref="G27:H27"/>
    <mergeCell ref="G28:H28"/>
    <mergeCell ref="G37:H37"/>
    <mergeCell ref="G34:H34"/>
  </mergeCells>
  <phoneticPr fontId="0" type="noConversion"/>
  <printOptions horizontalCentered="1" verticalCentered="1"/>
  <pageMargins left="0.5" right="0.5" top="0.25" bottom="0" header="0" footer="0"/>
  <pageSetup scale="59" orientation="landscape" r:id="rId1"/>
  <headerFooter alignWithMargins="0">
    <oddFooter>&amp;L&amp;F&amp;R&amp;D</oddFooter>
  </headerFooter>
  <rowBreaks count="1" manualBreakCount="1">
    <brk id="46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5"/>
  <sheetViews>
    <sheetView topLeftCell="A28" zoomScale="130" zoomScaleNormal="130" workbookViewId="0">
      <selection activeCell="L33" sqref="L33:L34"/>
    </sheetView>
  </sheetViews>
  <sheetFormatPr defaultRowHeight="12.75" x14ac:dyDescent="0.2"/>
  <cols>
    <col min="1" max="1" width="4.5703125" style="76" bestFit="1" customWidth="1"/>
    <col min="2" max="2" width="39.7109375" style="76" customWidth="1"/>
    <col min="3" max="3" width="5" style="76" customWidth="1"/>
    <col min="4" max="4" width="5.140625" style="76" customWidth="1"/>
    <col min="5" max="5" width="7.85546875" style="76" customWidth="1"/>
    <col min="6" max="6" width="8.7109375" style="76" customWidth="1"/>
    <col min="7" max="7" width="5" style="76" customWidth="1"/>
    <col min="8" max="8" width="5.140625" style="76" customWidth="1"/>
    <col min="9" max="9" width="8.28515625" style="76" customWidth="1"/>
    <col min="10" max="10" width="9" style="76" customWidth="1"/>
    <col min="11" max="11" width="8" style="76" bestFit="1" customWidth="1"/>
    <col min="12" max="12" width="10.85546875" style="76" customWidth="1"/>
    <col min="13" max="13" width="11" style="76" customWidth="1"/>
    <col min="14" max="14" width="9.140625" style="76"/>
    <col min="15" max="15" width="13" style="76" customWidth="1"/>
    <col min="16" max="16384" width="9.140625" style="76"/>
  </cols>
  <sheetData>
    <row r="1" spans="1:12" x14ac:dyDescent="0.2">
      <c r="D1" s="77"/>
      <c r="H1" s="150" t="s">
        <v>111</v>
      </c>
      <c r="I1" s="148" t="s">
        <v>110</v>
      </c>
      <c r="J1" s="148"/>
      <c r="K1" s="148"/>
      <c r="L1" s="148"/>
    </row>
    <row r="2" spans="1:12" x14ac:dyDescent="0.2">
      <c r="D2" s="77"/>
      <c r="G2" s="120"/>
      <c r="H2" s="147" t="s">
        <v>109</v>
      </c>
      <c r="I2" s="149">
        <v>42503</v>
      </c>
      <c r="J2" s="148"/>
      <c r="K2" s="148"/>
      <c r="L2" s="148"/>
    </row>
    <row r="3" spans="1:12" x14ac:dyDescent="0.2">
      <c r="D3" s="77"/>
      <c r="G3" s="120"/>
      <c r="H3" s="147" t="s">
        <v>108</v>
      </c>
      <c r="I3" s="146" t="s">
        <v>107</v>
      </c>
      <c r="J3" s="121"/>
      <c r="K3" s="121"/>
      <c r="L3" s="121"/>
    </row>
    <row r="4" spans="1:12" ht="24" thickBot="1" x14ac:dyDescent="0.4">
      <c r="A4" s="145"/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</row>
    <row r="5" spans="1:12" ht="4.5" customHeight="1" x14ac:dyDescent="0.2">
      <c r="A5" s="144" t="s">
        <v>106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2"/>
    </row>
    <row r="6" spans="1:12" ht="12.75" customHeight="1" x14ac:dyDescent="0.2">
      <c r="A6" s="141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39"/>
    </row>
    <row r="7" spans="1:12" ht="4.5" customHeight="1" thickBot="1" x14ac:dyDescent="0.25">
      <c r="A7" s="138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6"/>
    </row>
    <row r="8" spans="1:12" x14ac:dyDescent="0.2">
      <c r="A8" s="135"/>
      <c r="B8" s="133"/>
      <c r="C8" s="133"/>
      <c r="D8" s="134"/>
      <c r="E8" s="133"/>
      <c r="F8" s="133"/>
      <c r="G8" s="120"/>
      <c r="H8" s="132"/>
      <c r="I8" s="122"/>
      <c r="J8" s="121"/>
      <c r="K8" s="121"/>
      <c r="L8" s="131"/>
    </row>
    <row r="9" spans="1:12" x14ac:dyDescent="0.2">
      <c r="A9" s="135"/>
      <c r="B9" s="133"/>
      <c r="C9" s="133"/>
      <c r="D9" s="134"/>
      <c r="E9" s="133"/>
      <c r="F9" s="133"/>
      <c r="G9" s="120"/>
      <c r="H9" s="132"/>
      <c r="I9" s="122"/>
      <c r="J9" s="121"/>
      <c r="K9" s="121"/>
      <c r="L9" s="131"/>
    </row>
    <row r="10" spans="1:12" x14ac:dyDescent="0.2">
      <c r="A10" s="135"/>
      <c r="B10" s="133"/>
      <c r="C10" s="133"/>
      <c r="D10" s="134"/>
      <c r="E10" s="133"/>
      <c r="F10" s="133"/>
      <c r="G10" s="120"/>
      <c r="H10" s="132"/>
      <c r="I10" s="122"/>
      <c r="J10" s="121"/>
      <c r="K10" s="121"/>
      <c r="L10" s="131"/>
    </row>
    <row r="11" spans="1:12" ht="13.5" thickBot="1" x14ac:dyDescent="0.25">
      <c r="A11" s="130"/>
      <c r="B11" s="128"/>
      <c r="C11" s="128"/>
      <c r="D11" s="129"/>
      <c r="E11" s="128"/>
      <c r="F11" s="128"/>
      <c r="G11" s="127"/>
      <c r="H11" s="126"/>
      <c r="I11" s="125"/>
      <c r="J11" s="124"/>
      <c r="K11" s="124"/>
      <c r="L11" s="123"/>
    </row>
    <row r="12" spans="1:12" ht="6" customHeight="1" x14ac:dyDescent="0.2">
      <c r="D12" s="77"/>
      <c r="G12" s="120"/>
      <c r="H12" s="119"/>
      <c r="I12" s="122"/>
      <c r="J12" s="121"/>
      <c r="K12" s="121"/>
      <c r="L12" s="121"/>
    </row>
    <row r="13" spans="1:12" ht="6" customHeight="1" x14ac:dyDescent="0.2">
      <c r="D13" s="77"/>
      <c r="E13" s="120"/>
      <c r="F13" s="119"/>
      <c r="G13" s="118"/>
      <c r="H13" s="118"/>
      <c r="I13" s="118"/>
      <c r="J13" s="117"/>
    </row>
    <row r="14" spans="1:12" x14ac:dyDescent="0.2">
      <c r="A14" s="116"/>
      <c r="B14" s="115"/>
      <c r="C14" s="114" t="s">
        <v>105</v>
      </c>
      <c r="D14" s="114"/>
      <c r="E14" s="114"/>
      <c r="F14" s="114"/>
      <c r="G14" s="113" t="s">
        <v>104</v>
      </c>
      <c r="H14" s="112"/>
      <c r="I14" s="112"/>
      <c r="J14" s="111" t="s">
        <v>103</v>
      </c>
      <c r="K14" s="110" t="s">
        <v>102</v>
      </c>
      <c r="L14" s="109"/>
    </row>
    <row r="15" spans="1:12" x14ac:dyDescent="0.2">
      <c r="A15" s="108" t="s">
        <v>101</v>
      </c>
      <c r="B15" s="107" t="s">
        <v>100</v>
      </c>
      <c r="C15" s="105" t="s">
        <v>99</v>
      </c>
      <c r="D15" s="105" t="s">
        <v>97</v>
      </c>
      <c r="E15" s="105" t="s">
        <v>98</v>
      </c>
      <c r="F15" s="106" t="s">
        <v>96</v>
      </c>
      <c r="G15" s="105" t="s">
        <v>99</v>
      </c>
      <c r="H15" s="105" t="s">
        <v>97</v>
      </c>
      <c r="I15" s="105" t="s">
        <v>98</v>
      </c>
      <c r="J15" s="106" t="s">
        <v>96</v>
      </c>
      <c r="K15" s="105" t="s">
        <v>97</v>
      </c>
      <c r="L15" s="105" t="s">
        <v>96</v>
      </c>
    </row>
    <row r="16" spans="1:12" x14ac:dyDescent="0.2">
      <c r="A16" s="108"/>
      <c r="B16" s="107" t="s">
        <v>95</v>
      </c>
      <c r="C16" s="105"/>
      <c r="D16" s="105"/>
      <c r="E16" s="105"/>
      <c r="F16" s="106"/>
      <c r="G16" s="105"/>
      <c r="H16" s="105"/>
      <c r="I16" s="105"/>
      <c r="J16" s="106"/>
      <c r="K16" s="105"/>
      <c r="L16" s="105"/>
    </row>
    <row r="17" spans="1:15" x14ac:dyDescent="0.2">
      <c r="A17" s="101"/>
      <c r="B17" s="100" t="s">
        <v>94</v>
      </c>
      <c r="C17" s="96">
        <v>12</v>
      </c>
      <c r="D17" s="99" t="s">
        <v>78</v>
      </c>
      <c r="E17" s="98">
        <v>95</v>
      </c>
      <c r="F17" s="97">
        <f>C17*E17</f>
        <v>1140</v>
      </c>
      <c r="G17" s="96"/>
      <c r="H17" s="99"/>
      <c r="I17" s="98"/>
      <c r="J17" s="97"/>
      <c r="K17" s="96"/>
      <c r="L17" s="95"/>
      <c r="M17" s="93"/>
      <c r="O17" s="94"/>
    </row>
    <row r="18" spans="1:15" x14ac:dyDescent="0.2">
      <c r="A18" s="101"/>
      <c r="B18" s="104" t="s">
        <v>93</v>
      </c>
      <c r="C18" s="96">
        <v>2</v>
      </c>
      <c r="D18" s="99" t="s">
        <v>78</v>
      </c>
      <c r="E18" s="98">
        <v>95</v>
      </c>
      <c r="F18" s="97">
        <f>C18*E18</f>
        <v>190</v>
      </c>
      <c r="G18" s="96"/>
      <c r="H18" s="99"/>
      <c r="I18" s="98"/>
      <c r="J18" s="97"/>
      <c r="K18" s="96"/>
      <c r="L18" s="95"/>
      <c r="M18" s="93"/>
      <c r="O18" s="94"/>
    </row>
    <row r="19" spans="1:15" x14ac:dyDescent="0.2">
      <c r="A19" s="101"/>
      <c r="B19" s="100" t="s">
        <v>92</v>
      </c>
      <c r="C19" s="96">
        <v>4</v>
      </c>
      <c r="D19" s="99" t="s">
        <v>78</v>
      </c>
      <c r="E19" s="98">
        <v>85</v>
      </c>
      <c r="F19" s="97">
        <f>C19*E19</f>
        <v>340</v>
      </c>
      <c r="G19" s="96"/>
      <c r="H19" s="99"/>
      <c r="I19" s="98"/>
      <c r="J19" s="97"/>
      <c r="K19" s="96"/>
      <c r="L19" s="95"/>
      <c r="M19" s="93"/>
      <c r="O19" s="94"/>
    </row>
    <row r="20" spans="1:15" x14ac:dyDescent="0.2">
      <c r="A20" s="101"/>
      <c r="B20" s="104" t="s">
        <v>91</v>
      </c>
      <c r="C20" s="96">
        <f>2+2+2+2+2+1+1+2+2+1+1+2+2+8</f>
        <v>30</v>
      </c>
      <c r="D20" s="99" t="s">
        <v>78</v>
      </c>
      <c r="E20" s="98">
        <v>80</v>
      </c>
      <c r="F20" s="97">
        <f>C20*E20</f>
        <v>2400</v>
      </c>
      <c r="G20" s="96"/>
      <c r="H20" s="99"/>
      <c r="I20" s="98"/>
      <c r="J20" s="97"/>
      <c r="K20" s="96"/>
      <c r="L20" s="95"/>
      <c r="M20" s="93"/>
      <c r="O20" s="94"/>
    </row>
    <row r="21" spans="1:15" x14ac:dyDescent="0.2">
      <c r="A21" s="101"/>
      <c r="B21" s="100" t="s">
        <v>90</v>
      </c>
      <c r="C21" s="96">
        <f>2+2+2+8+2+2+2+2+8+8+8+8+4+2</f>
        <v>60</v>
      </c>
      <c r="D21" s="99" t="s">
        <v>78</v>
      </c>
      <c r="E21" s="98">
        <v>80</v>
      </c>
      <c r="F21" s="97">
        <f>C21*E21</f>
        <v>4800</v>
      </c>
      <c r="G21" s="96"/>
      <c r="H21" s="99"/>
      <c r="I21" s="98"/>
      <c r="J21" s="97"/>
      <c r="K21" s="96"/>
      <c r="L21" s="95"/>
      <c r="M21" s="93"/>
      <c r="O21" s="94"/>
    </row>
    <row r="22" spans="1:15" x14ac:dyDescent="0.2">
      <c r="A22" s="101"/>
      <c r="B22" s="100" t="s">
        <v>89</v>
      </c>
      <c r="C22" s="96">
        <f>4+8+8+8+8+8+8+8+8+8</f>
        <v>76</v>
      </c>
      <c r="D22" s="99" t="s">
        <v>78</v>
      </c>
      <c r="E22" s="98">
        <v>75</v>
      </c>
      <c r="F22" s="97">
        <f>C22*E22</f>
        <v>5700</v>
      </c>
      <c r="G22" s="96"/>
      <c r="H22" s="99"/>
      <c r="I22" s="98"/>
      <c r="J22" s="97"/>
      <c r="K22" s="96"/>
      <c r="L22" s="95"/>
      <c r="M22" s="93"/>
      <c r="O22" s="94"/>
    </row>
    <row r="23" spans="1:15" x14ac:dyDescent="0.2">
      <c r="A23" s="101"/>
      <c r="B23" s="100" t="s">
        <v>88</v>
      </c>
      <c r="C23" s="96">
        <f>8+8+8+8+8+8+8+8</f>
        <v>64</v>
      </c>
      <c r="D23" s="99" t="s">
        <v>78</v>
      </c>
      <c r="E23" s="98">
        <v>46</v>
      </c>
      <c r="F23" s="97">
        <f>C23*E23</f>
        <v>2944</v>
      </c>
      <c r="G23" s="96"/>
      <c r="H23" s="99"/>
      <c r="I23" s="98"/>
      <c r="J23" s="97"/>
      <c r="K23" s="96"/>
      <c r="L23" s="95"/>
      <c r="M23" s="93"/>
      <c r="O23" s="94"/>
    </row>
    <row r="24" spans="1:15" x14ac:dyDescent="0.2">
      <c r="A24" s="101"/>
      <c r="B24" s="100" t="s">
        <v>87</v>
      </c>
      <c r="C24" s="96">
        <f>8+8+8+8+8+8+2</f>
        <v>50</v>
      </c>
      <c r="D24" s="99" t="s">
        <v>78</v>
      </c>
      <c r="E24" s="98">
        <v>46</v>
      </c>
      <c r="F24" s="97">
        <f>C24*E24</f>
        <v>2300</v>
      </c>
      <c r="G24" s="96"/>
      <c r="H24" s="99"/>
      <c r="I24" s="98"/>
      <c r="J24" s="97"/>
      <c r="K24" s="96"/>
      <c r="L24" s="95"/>
      <c r="M24" s="93"/>
      <c r="O24" s="94"/>
    </row>
    <row r="25" spans="1:15" x14ac:dyDescent="0.2">
      <c r="A25" s="101"/>
      <c r="B25" s="100" t="s">
        <v>86</v>
      </c>
      <c r="C25" s="96">
        <f>8+8+8+8+2</f>
        <v>34</v>
      </c>
      <c r="D25" s="99" t="s">
        <v>78</v>
      </c>
      <c r="E25" s="98">
        <v>46</v>
      </c>
      <c r="F25" s="97">
        <f>C25*E25</f>
        <v>1564</v>
      </c>
      <c r="G25" s="96"/>
      <c r="H25" s="99"/>
      <c r="I25" s="98"/>
      <c r="J25" s="97"/>
      <c r="K25" s="96"/>
      <c r="L25" s="95"/>
      <c r="M25" s="93"/>
      <c r="O25" s="94"/>
    </row>
    <row r="26" spans="1:15" x14ac:dyDescent="0.2">
      <c r="A26" s="101"/>
      <c r="B26" s="100" t="s">
        <v>85</v>
      </c>
      <c r="C26" s="96">
        <f>8+8</f>
        <v>16</v>
      </c>
      <c r="D26" s="99" t="s">
        <v>78</v>
      </c>
      <c r="E26" s="98">
        <v>46</v>
      </c>
      <c r="F26" s="97">
        <f>C26*E26</f>
        <v>736</v>
      </c>
      <c r="G26" s="96"/>
      <c r="H26" s="99"/>
      <c r="I26" s="98"/>
      <c r="J26" s="97"/>
      <c r="K26" s="96"/>
      <c r="L26" s="95"/>
      <c r="M26" s="93"/>
      <c r="O26" s="94"/>
    </row>
    <row r="27" spans="1:15" x14ac:dyDescent="0.2">
      <c r="A27" s="101"/>
      <c r="B27" s="100" t="s">
        <v>84</v>
      </c>
      <c r="C27" s="96">
        <v>2</v>
      </c>
      <c r="D27" s="99" t="s">
        <v>78</v>
      </c>
      <c r="E27" s="98">
        <v>46</v>
      </c>
      <c r="F27" s="97">
        <f>C27*E27</f>
        <v>92</v>
      </c>
      <c r="G27" s="96"/>
      <c r="H27" s="99"/>
      <c r="I27" s="98"/>
      <c r="J27" s="97"/>
      <c r="K27" s="96"/>
      <c r="L27" s="95"/>
      <c r="M27" s="93"/>
      <c r="O27" s="94"/>
    </row>
    <row r="28" spans="1:15" x14ac:dyDescent="0.2">
      <c r="A28" s="101"/>
      <c r="B28" s="100" t="s">
        <v>83</v>
      </c>
      <c r="C28" s="96">
        <v>8</v>
      </c>
      <c r="D28" s="99" t="s">
        <v>78</v>
      </c>
      <c r="E28" s="98">
        <v>46</v>
      </c>
      <c r="F28" s="97">
        <f>C28*E28</f>
        <v>368</v>
      </c>
      <c r="G28" s="96"/>
      <c r="H28" s="99"/>
      <c r="I28" s="98"/>
      <c r="J28" s="97"/>
      <c r="K28" s="96"/>
      <c r="L28" s="95"/>
      <c r="M28" s="93"/>
      <c r="O28" s="94"/>
    </row>
    <row r="29" spans="1:15" x14ac:dyDescent="0.2">
      <c r="A29" s="101"/>
      <c r="B29" s="100" t="s">
        <v>82</v>
      </c>
      <c r="C29" s="96">
        <f>8+4+4+4</f>
        <v>20</v>
      </c>
      <c r="D29" s="99" t="s">
        <v>78</v>
      </c>
      <c r="E29" s="98">
        <v>46</v>
      </c>
      <c r="F29" s="97">
        <f>C29*E29</f>
        <v>920</v>
      </c>
      <c r="G29" s="96"/>
      <c r="H29" s="99"/>
      <c r="I29" s="98"/>
      <c r="J29" s="97"/>
      <c r="K29" s="96"/>
      <c r="L29" s="95"/>
      <c r="M29" s="93"/>
      <c r="O29" s="94"/>
    </row>
    <row r="30" spans="1:15" x14ac:dyDescent="0.2">
      <c r="A30" s="101"/>
      <c r="B30" s="100" t="s">
        <v>81</v>
      </c>
      <c r="C30" s="96">
        <f>8+8</f>
        <v>16</v>
      </c>
      <c r="D30" s="99" t="s">
        <v>78</v>
      </c>
      <c r="E30" s="98">
        <v>46</v>
      </c>
      <c r="F30" s="97">
        <f>C30*E30</f>
        <v>736</v>
      </c>
      <c r="G30" s="96"/>
      <c r="H30" s="99"/>
      <c r="I30" s="98"/>
      <c r="J30" s="97"/>
      <c r="K30" s="96"/>
      <c r="L30" s="95"/>
      <c r="M30" s="93"/>
      <c r="O30" s="94"/>
    </row>
    <row r="31" spans="1:15" x14ac:dyDescent="0.2">
      <c r="A31" s="101"/>
      <c r="B31" s="100" t="s">
        <v>80</v>
      </c>
      <c r="C31" s="96">
        <f>4+8+2</f>
        <v>14</v>
      </c>
      <c r="D31" s="99" t="s">
        <v>78</v>
      </c>
      <c r="E31" s="98">
        <v>46</v>
      </c>
      <c r="F31" s="97">
        <f>C31*E31</f>
        <v>644</v>
      </c>
      <c r="G31" s="96"/>
      <c r="H31" s="99"/>
      <c r="I31" s="98"/>
      <c r="J31" s="97"/>
      <c r="K31" s="96"/>
      <c r="L31" s="95"/>
      <c r="M31" s="93"/>
      <c r="O31" s="94"/>
    </row>
    <row r="32" spans="1:15" x14ac:dyDescent="0.2">
      <c r="A32" s="101"/>
      <c r="B32" s="100" t="s">
        <v>79</v>
      </c>
      <c r="C32" s="96">
        <v>1</v>
      </c>
      <c r="D32" s="99" t="s">
        <v>78</v>
      </c>
      <c r="E32" s="98">
        <v>46</v>
      </c>
      <c r="F32" s="97">
        <f>C32*E32</f>
        <v>46</v>
      </c>
      <c r="G32" s="96"/>
      <c r="H32" s="99"/>
      <c r="I32" s="98"/>
      <c r="J32" s="97"/>
      <c r="K32" s="96"/>
      <c r="L32" s="95"/>
      <c r="M32" s="93"/>
      <c r="O32" s="94"/>
    </row>
    <row r="33" spans="1:15" x14ac:dyDescent="0.2">
      <c r="A33" s="101"/>
      <c r="B33" s="100" t="s">
        <v>77</v>
      </c>
      <c r="C33" s="96"/>
      <c r="D33" s="99"/>
      <c r="E33" s="98"/>
      <c r="F33" s="97"/>
      <c r="G33" s="96"/>
      <c r="H33" s="99"/>
      <c r="I33" s="98"/>
      <c r="J33" s="97"/>
      <c r="K33" s="96" t="s">
        <v>55</v>
      </c>
      <c r="L33" s="95">
        <v>675</v>
      </c>
      <c r="M33" s="93"/>
      <c r="O33" s="94"/>
    </row>
    <row r="34" spans="1:15" x14ac:dyDescent="0.2">
      <c r="A34" s="101"/>
      <c r="B34" s="100" t="s">
        <v>76</v>
      </c>
      <c r="C34" s="96"/>
      <c r="D34" s="99"/>
      <c r="E34" s="98"/>
      <c r="F34" s="97"/>
      <c r="G34" s="96"/>
      <c r="H34" s="99"/>
      <c r="I34" s="98"/>
      <c r="J34" s="97"/>
      <c r="K34" s="96" t="s">
        <v>55</v>
      </c>
      <c r="L34" s="95">
        <v>825</v>
      </c>
      <c r="M34" s="93"/>
      <c r="O34" s="94"/>
    </row>
    <row r="35" spans="1:15" x14ac:dyDescent="0.2">
      <c r="A35" s="101"/>
      <c r="B35" s="100" t="s">
        <v>75</v>
      </c>
      <c r="C35" s="96"/>
      <c r="D35" s="99"/>
      <c r="E35" s="98"/>
      <c r="F35" s="97"/>
      <c r="G35" s="96"/>
      <c r="H35" s="99"/>
      <c r="I35" s="98"/>
      <c r="J35" s="97"/>
      <c r="K35" s="96" t="s">
        <v>55</v>
      </c>
      <c r="L35" s="95">
        <v>568.15</v>
      </c>
      <c r="M35" s="93"/>
      <c r="O35" s="94"/>
    </row>
    <row r="36" spans="1:15" x14ac:dyDescent="0.2">
      <c r="A36" s="101"/>
      <c r="B36" s="102" t="s">
        <v>74</v>
      </c>
      <c r="C36" s="96"/>
      <c r="D36" s="99"/>
      <c r="E36" s="98"/>
      <c r="F36" s="97"/>
      <c r="G36" s="96"/>
      <c r="H36" s="99"/>
      <c r="I36" s="98"/>
      <c r="J36" s="97"/>
      <c r="K36" s="96"/>
      <c r="L36" s="95"/>
      <c r="M36" s="93"/>
      <c r="O36" s="94"/>
    </row>
    <row r="37" spans="1:15" x14ac:dyDescent="0.2">
      <c r="A37" s="101"/>
      <c r="B37" s="102" t="s">
        <v>73</v>
      </c>
      <c r="C37" s="96"/>
      <c r="D37" s="99"/>
      <c r="E37" s="98"/>
      <c r="F37" s="97"/>
      <c r="G37" s="96"/>
      <c r="H37" s="99"/>
      <c r="I37" s="98"/>
      <c r="J37" s="97"/>
      <c r="K37" s="96"/>
      <c r="L37" s="95"/>
      <c r="M37" s="93"/>
      <c r="O37" s="94"/>
    </row>
    <row r="38" spans="1:15" x14ac:dyDescent="0.2">
      <c r="A38" s="101"/>
      <c r="B38" s="100" t="s">
        <v>67</v>
      </c>
      <c r="C38" s="96"/>
      <c r="D38" s="99"/>
      <c r="E38" s="98"/>
      <c r="F38" s="97"/>
      <c r="G38" s="96">
        <f>3*12</f>
        <v>36</v>
      </c>
      <c r="H38" s="99" t="s">
        <v>47</v>
      </c>
      <c r="I38" s="98">
        <v>1.38</v>
      </c>
      <c r="J38" s="97">
        <f>G38*I38</f>
        <v>49.679999999999993</v>
      </c>
      <c r="K38" s="96"/>
      <c r="L38" s="95"/>
      <c r="M38" s="93"/>
      <c r="O38" s="94"/>
    </row>
    <row r="39" spans="1:15" x14ac:dyDescent="0.2">
      <c r="A39" s="101"/>
      <c r="B39" s="100" t="s">
        <v>66</v>
      </c>
      <c r="C39" s="96"/>
      <c r="D39" s="99"/>
      <c r="E39" s="98"/>
      <c r="F39" s="97"/>
      <c r="G39" s="96">
        <f>3*12</f>
        <v>36</v>
      </c>
      <c r="H39" s="99" t="s">
        <v>47</v>
      </c>
      <c r="I39" s="98">
        <v>0.66</v>
      </c>
      <c r="J39" s="97">
        <f>G39*I39</f>
        <v>23.76</v>
      </c>
      <c r="K39" s="96"/>
      <c r="L39" s="95"/>
      <c r="M39" s="93"/>
      <c r="O39" s="94"/>
    </row>
    <row r="40" spans="1:15" x14ac:dyDescent="0.2">
      <c r="A40" s="101"/>
      <c r="B40" s="100" t="s">
        <v>72</v>
      </c>
      <c r="C40" s="96"/>
      <c r="D40" s="99"/>
      <c r="E40" s="98"/>
      <c r="F40" s="97"/>
      <c r="G40" s="96">
        <f>3*12</f>
        <v>36</v>
      </c>
      <c r="H40" s="99" t="s">
        <v>47</v>
      </c>
      <c r="I40" s="98">
        <v>0.56000000000000005</v>
      </c>
      <c r="J40" s="97">
        <f>G40*I40</f>
        <v>20.160000000000004</v>
      </c>
      <c r="K40" s="96"/>
      <c r="L40" s="95"/>
      <c r="M40" s="93"/>
      <c r="O40" s="94"/>
    </row>
    <row r="41" spans="1:15" x14ac:dyDescent="0.2">
      <c r="A41" s="101"/>
      <c r="B41" s="100" t="s">
        <v>71</v>
      </c>
      <c r="C41" s="96"/>
      <c r="D41" s="99"/>
      <c r="E41" s="98"/>
      <c r="F41" s="97"/>
      <c r="G41" s="96">
        <f>3*12</f>
        <v>36</v>
      </c>
      <c r="H41" s="99" t="s">
        <v>47</v>
      </c>
      <c r="I41" s="98">
        <v>0.63</v>
      </c>
      <c r="J41" s="97">
        <f>G41*I41</f>
        <v>22.68</v>
      </c>
      <c r="K41" s="96"/>
      <c r="L41" s="95"/>
      <c r="M41" s="93"/>
      <c r="O41" s="94"/>
    </row>
    <row r="42" spans="1:15" x14ac:dyDescent="0.2">
      <c r="A42" s="101"/>
      <c r="B42" s="100" t="s">
        <v>70</v>
      </c>
      <c r="C42" s="96"/>
      <c r="D42" s="99"/>
      <c r="E42" s="98"/>
      <c r="F42" s="97"/>
      <c r="G42" s="96">
        <f>3*12</f>
        <v>36</v>
      </c>
      <c r="H42" s="99" t="s">
        <v>47</v>
      </c>
      <c r="I42" s="98">
        <v>0.71</v>
      </c>
      <c r="J42" s="97">
        <f>G42*I42</f>
        <v>25.56</v>
      </c>
      <c r="K42" s="96"/>
      <c r="L42" s="95"/>
      <c r="M42" s="93"/>
      <c r="O42" s="94"/>
    </row>
    <row r="43" spans="1:15" x14ac:dyDescent="0.2">
      <c r="A43" s="101"/>
      <c r="B43" s="100" t="s">
        <v>61</v>
      </c>
      <c r="C43" s="96"/>
      <c r="D43" s="99"/>
      <c r="E43" s="98"/>
      <c r="F43" s="97"/>
      <c r="G43" s="96">
        <f>2*12</f>
        <v>24</v>
      </c>
      <c r="H43" s="99" t="s">
        <v>47</v>
      </c>
      <c r="I43" s="98">
        <v>0.46</v>
      </c>
      <c r="J43" s="97">
        <f>G43*I43</f>
        <v>11.040000000000001</v>
      </c>
      <c r="K43" s="96"/>
      <c r="L43" s="95"/>
      <c r="M43" s="93"/>
      <c r="O43" s="94"/>
    </row>
    <row r="44" spans="1:15" x14ac:dyDescent="0.2">
      <c r="A44" s="101"/>
      <c r="B44" s="100" t="s">
        <v>65</v>
      </c>
      <c r="C44" s="96"/>
      <c r="D44" s="99"/>
      <c r="E44" s="98"/>
      <c r="F44" s="97"/>
      <c r="G44" s="96">
        <f>3*12</f>
        <v>36</v>
      </c>
      <c r="H44" s="99" t="s">
        <v>47</v>
      </c>
      <c r="I44" s="98">
        <v>0.94</v>
      </c>
      <c r="J44" s="97">
        <f>G44*I44</f>
        <v>33.839999999999996</v>
      </c>
      <c r="K44" s="96"/>
      <c r="L44" s="95"/>
      <c r="M44" s="93"/>
      <c r="O44" s="94"/>
    </row>
    <row r="45" spans="1:15" x14ac:dyDescent="0.2">
      <c r="A45" s="101"/>
      <c r="B45" s="100" t="s">
        <v>64</v>
      </c>
      <c r="C45" s="96"/>
      <c r="D45" s="99"/>
      <c r="E45" s="98"/>
      <c r="F45" s="97"/>
      <c r="G45" s="96">
        <f>3*12</f>
        <v>36</v>
      </c>
      <c r="H45" s="99" t="s">
        <v>47</v>
      </c>
      <c r="I45" s="98">
        <v>0.9</v>
      </c>
      <c r="J45" s="97">
        <f>G45*I45</f>
        <v>32.4</v>
      </c>
      <c r="K45" s="96"/>
      <c r="L45" s="95"/>
      <c r="M45" s="93"/>
      <c r="O45" s="94"/>
    </row>
    <row r="46" spans="1:15" x14ac:dyDescent="0.2">
      <c r="A46" s="101"/>
      <c r="B46" s="100" t="s">
        <v>60</v>
      </c>
      <c r="C46" s="96"/>
      <c r="D46" s="99"/>
      <c r="E46" s="98"/>
      <c r="F46" s="97"/>
      <c r="G46" s="96">
        <f>2*12</f>
        <v>24</v>
      </c>
      <c r="H46" s="99" t="s">
        <v>47</v>
      </c>
      <c r="I46" s="98">
        <v>0.99</v>
      </c>
      <c r="J46" s="97">
        <f>G46*I46</f>
        <v>23.759999999999998</v>
      </c>
      <c r="K46" s="96"/>
      <c r="L46" s="95"/>
      <c r="M46" s="93"/>
      <c r="O46" s="94"/>
    </row>
    <row r="47" spans="1:15" x14ac:dyDescent="0.2">
      <c r="A47" s="101"/>
      <c r="B47" s="100" t="s">
        <v>68</v>
      </c>
      <c r="C47" s="96"/>
      <c r="D47" s="99"/>
      <c r="E47" s="98"/>
      <c r="F47" s="97"/>
      <c r="G47" s="96">
        <f>1*12</f>
        <v>12</v>
      </c>
      <c r="H47" s="99" t="s">
        <v>47</v>
      </c>
      <c r="I47" s="98">
        <v>6.92</v>
      </c>
      <c r="J47" s="97">
        <f>G47*I47</f>
        <v>83.039999999999992</v>
      </c>
      <c r="K47" s="96"/>
      <c r="L47" s="95"/>
      <c r="M47" s="93"/>
      <c r="O47" s="94"/>
    </row>
    <row r="48" spans="1:15" x14ac:dyDescent="0.2">
      <c r="A48" s="101"/>
      <c r="B48" s="100" t="s">
        <v>58</v>
      </c>
      <c r="C48" s="96"/>
      <c r="D48" s="99"/>
      <c r="E48" s="98"/>
      <c r="F48" s="97"/>
      <c r="G48" s="96">
        <f>50*12</f>
        <v>600</v>
      </c>
      <c r="H48" s="99" t="s">
        <v>45</v>
      </c>
      <c r="I48" s="98">
        <v>0.61</v>
      </c>
      <c r="J48" s="97">
        <f>G48*I48</f>
        <v>366</v>
      </c>
      <c r="K48" s="96"/>
      <c r="L48" s="95"/>
      <c r="M48" s="93"/>
      <c r="O48" s="94"/>
    </row>
    <row r="49" spans="1:15" x14ac:dyDescent="0.2">
      <c r="A49" s="101"/>
      <c r="B49" s="100" t="s">
        <v>57</v>
      </c>
      <c r="C49" s="96"/>
      <c r="D49" s="99"/>
      <c r="E49" s="98"/>
      <c r="F49" s="97"/>
      <c r="G49" s="96">
        <f>20*12</f>
        <v>240</v>
      </c>
      <c r="H49" s="99" t="s">
        <v>45</v>
      </c>
      <c r="I49" s="98">
        <v>0.5</v>
      </c>
      <c r="J49" s="97">
        <f>G49*I49</f>
        <v>120</v>
      </c>
      <c r="K49" s="96"/>
      <c r="L49" s="95"/>
      <c r="M49" s="93"/>
      <c r="O49" s="94"/>
    </row>
    <row r="50" spans="1:15" x14ac:dyDescent="0.2">
      <c r="A50" s="101"/>
      <c r="B50" s="102" t="s">
        <v>69</v>
      </c>
      <c r="C50" s="96"/>
      <c r="D50" s="99"/>
      <c r="E50" s="98"/>
      <c r="F50" s="97"/>
      <c r="G50" s="96"/>
      <c r="H50" s="99"/>
      <c r="I50" s="98"/>
      <c r="J50" s="97"/>
      <c r="K50" s="96"/>
      <c r="L50" s="95"/>
      <c r="M50" s="93"/>
      <c r="O50" s="94"/>
    </row>
    <row r="51" spans="1:15" x14ac:dyDescent="0.2">
      <c r="A51" s="101"/>
      <c r="B51" s="100" t="s">
        <v>58</v>
      </c>
      <c r="C51" s="96"/>
      <c r="D51" s="99"/>
      <c r="E51" s="98"/>
      <c r="F51" s="97"/>
      <c r="G51" s="96">
        <v>35</v>
      </c>
      <c r="H51" s="99" t="s">
        <v>45</v>
      </c>
      <c r="I51" s="98">
        <v>0.61</v>
      </c>
      <c r="J51" s="97">
        <f>G51*I51</f>
        <v>21.349999999999998</v>
      </c>
      <c r="K51" s="96"/>
      <c r="L51" s="95"/>
      <c r="M51" s="93"/>
      <c r="O51" s="94"/>
    </row>
    <row r="52" spans="1:15" x14ac:dyDescent="0.2">
      <c r="A52" s="101"/>
      <c r="B52" s="100" t="s">
        <v>57</v>
      </c>
      <c r="C52" s="96"/>
      <c r="D52" s="99"/>
      <c r="E52" s="98"/>
      <c r="F52" s="97"/>
      <c r="G52" s="96">
        <v>15</v>
      </c>
      <c r="H52" s="99" t="s">
        <v>45</v>
      </c>
      <c r="I52" s="98">
        <v>0.5</v>
      </c>
      <c r="J52" s="97">
        <f>G52*I52</f>
        <v>7.5</v>
      </c>
      <c r="K52" s="96"/>
      <c r="L52" s="95"/>
      <c r="M52" s="93"/>
      <c r="O52" s="94"/>
    </row>
    <row r="53" spans="1:15" x14ac:dyDescent="0.2">
      <c r="A53" s="101"/>
      <c r="B53" s="100" t="s">
        <v>65</v>
      </c>
      <c r="C53" s="96"/>
      <c r="D53" s="99"/>
      <c r="E53" s="98"/>
      <c r="F53" s="97"/>
      <c r="G53" s="96">
        <v>4</v>
      </c>
      <c r="H53" s="99" t="s">
        <v>47</v>
      </c>
      <c r="I53" s="98">
        <v>0.94</v>
      </c>
      <c r="J53" s="97">
        <f>G53*I53</f>
        <v>3.76</v>
      </c>
      <c r="K53" s="96"/>
      <c r="L53" s="95"/>
      <c r="M53" s="93"/>
      <c r="O53" s="94"/>
    </row>
    <row r="54" spans="1:15" x14ac:dyDescent="0.2">
      <c r="A54" s="101"/>
      <c r="B54" s="100" t="s">
        <v>64</v>
      </c>
      <c r="C54" s="96"/>
      <c r="D54" s="99"/>
      <c r="E54" s="98"/>
      <c r="F54" s="97"/>
      <c r="G54" s="96">
        <v>4</v>
      </c>
      <c r="H54" s="99" t="s">
        <v>47</v>
      </c>
      <c r="I54" s="98">
        <v>0.9</v>
      </c>
      <c r="J54" s="97">
        <f>G54*I54</f>
        <v>3.6</v>
      </c>
      <c r="K54" s="96"/>
      <c r="L54" s="95"/>
      <c r="M54" s="93"/>
      <c r="O54" s="94"/>
    </row>
    <row r="55" spans="1:15" x14ac:dyDescent="0.2">
      <c r="A55" s="101"/>
      <c r="B55" s="100" t="s">
        <v>67</v>
      </c>
      <c r="C55" s="96"/>
      <c r="D55" s="99"/>
      <c r="E55" s="98"/>
      <c r="F55" s="97"/>
      <c r="G55" s="96">
        <v>3</v>
      </c>
      <c r="H55" s="99" t="s">
        <v>47</v>
      </c>
      <c r="I55" s="98">
        <v>1.38</v>
      </c>
      <c r="J55" s="97">
        <f>G55*I55</f>
        <v>4.1399999999999997</v>
      </c>
      <c r="K55" s="96"/>
      <c r="L55" s="95"/>
      <c r="M55" s="93"/>
      <c r="O55" s="94"/>
    </row>
    <row r="56" spans="1:15" x14ac:dyDescent="0.2">
      <c r="A56" s="101"/>
      <c r="B56" s="100" t="s">
        <v>66</v>
      </c>
      <c r="C56" s="96"/>
      <c r="D56" s="99"/>
      <c r="E56" s="98"/>
      <c r="F56" s="97"/>
      <c r="G56" s="96">
        <v>3</v>
      </c>
      <c r="H56" s="99" t="s">
        <v>47</v>
      </c>
      <c r="I56" s="98">
        <v>0.66</v>
      </c>
      <c r="J56" s="97">
        <f>G56*I56</f>
        <v>1.98</v>
      </c>
      <c r="K56" s="96"/>
      <c r="L56" s="95"/>
      <c r="M56" s="93"/>
      <c r="O56" s="94"/>
    </row>
    <row r="57" spans="1:15" x14ac:dyDescent="0.2">
      <c r="A57" s="101"/>
      <c r="B57" s="100" t="s">
        <v>61</v>
      </c>
      <c r="C57" s="96"/>
      <c r="D57" s="99"/>
      <c r="E57" s="98"/>
      <c r="F57" s="97"/>
      <c r="G57" s="96">
        <v>3</v>
      </c>
      <c r="H57" s="99" t="s">
        <v>47</v>
      </c>
      <c r="I57" s="98">
        <v>0.46</v>
      </c>
      <c r="J57" s="97">
        <f>G57*I57</f>
        <v>1.3800000000000001</v>
      </c>
      <c r="K57" s="96"/>
      <c r="L57" s="95"/>
      <c r="M57" s="93"/>
      <c r="O57" s="94"/>
    </row>
    <row r="58" spans="1:15" x14ac:dyDescent="0.2">
      <c r="A58" s="101"/>
      <c r="B58" s="100" t="s">
        <v>68</v>
      </c>
      <c r="C58" s="96"/>
      <c r="D58" s="99"/>
      <c r="E58" s="98"/>
      <c r="F58" s="97"/>
      <c r="G58" s="96">
        <v>2</v>
      </c>
      <c r="H58" s="99" t="s">
        <v>47</v>
      </c>
      <c r="I58" s="98">
        <v>6.92</v>
      </c>
      <c r="J58" s="97">
        <f>G58*I58</f>
        <v>13.84</v>
      </c>
      <c r="K58" s="96"/>
      <c r="L58" s="95"/>
      <c r="M58" s="93"/>
      <c r="O58" s="94"/>
    </row>
    <row r="59" spans="1:15" x14ac:dyDescent="0.2">
      <c r="A59" s="101"/>
      <c r="B59" s="100" t="s">
        <v>67</v>
      </c>
      <c r="C59" s="96"/>
      <c r="D59" s="99"/>
      <c r="E59" s="98"/>
      <c r="F59" s="97"/>
      <c r="G59" s="96">
        <v>4</v>
      </c>
      <c r="H59" s="99" t="s">
        <v>47</v>
      </c>
      <c r="I59" s="98">
        <v>1.38</v>
      </c>
      <c r="J59" s="97">
        <f>G59*I59</f>
        <v>5.52</v>
      </c>
      <c r="K59" s="96"/>
      <c r="L59" s="95"/>
      <c r="M59" s="93"/>
      <c r="O59" s="94"/>
    </row>
    <row r="60" spans="1:15" x14ac:dyDescent="0.2">
      <c r="A60" s="101"/>
      <c r="B60" s="100" t="s">
        <v>66</v>
      </c>
      <c r="C60" s="96"/>
      <c r="D60" s="99"/>
      <c r="E60" s="98"/>
      <c r="F60" s="97"/>
      <c r="G60" s="96">
        <v>4</v>
      </c>
      <c r="H60" s="99" t="s">
        <v>47</v>
      </c>
      <c r="I60" s="98">
        <v>0.66</v>
      </c>
      <c r="J60" s="97">
        <f>G60*I60</f>
        <v>2.64</v>
      </c>
      <c r="K60" s="96"/>
      <c r="L60" s="95"/>
      <c r="M60" s="93"/>
      <c r="O60" s="94"/>
    </row>
    <row r="61" spans="1:15" x14ac:dyDescent="0.2">
      <c r="A61" s="101"/>
      <c r="B61" s="100" t="s">
        <v>65</v>
      </c>
      <c r="C61" s="96"/>
      <c r="D61" s="99"/>
      <c r="E61" s="98"/>
      <c r="F61" s="97"/>
      <c r="G61" s="96">
        <v>6</v>
      </c>
      <c r="H61" s="99" t="s">
        <v>47</v>
      </c>
      <c r="I61" s="98">
        <v>0.94</v>
      </c>
      <c r="J61" s="97">
        <f>G61*I61</f>
        <v>5.64</v>
      </c>
      <c r="K61" s="96"/>
      <c r="L61" s="95"/>
      <c r="M61" s="93"/>
      <c r="O61" s="94"/>
    </row>
    <row r="62" spans="1:15" x14ac:dyDescent="0.2">
      <c r="A62" s="101"/>
      <c r="B62" s="100" t="s">
        <v>64</v>
      </c>
      <c r="C62" s="96"/>
      <c r="D62" s="99"/>
      <c r="E62" s="98"/>
      <c r="F62" s="97"/>
      <c r="G62" s="96">
        <v>2</v>
      </c>
      <c r="H62" s="99" t="s">
        <v>47</v>
      </c>
      <c r="I62" s="98">
        <v>0.9</v>
      </c>
      <c r="J62" s="97">
        <f>G62*I62</f>
        <v>1.8</v>
      </c>
      <c r="K62" s="96"/>
      <c r="L62" s="95"/>
      <c r="M62" s="93"/>
      <c r="O62" s="94"/>
    </row>
    <row r="63" spans="1:15" x14ac:dyDescent="0.2">
      <c r="A63" s="101"/>
      <c r="B63" s="100" t="s">
        <v>63</v>
      </c>
      <c r="C63" s="96"/>
      <c r="D63" s="99"/>
      <c r="E63" s="98"/>
      <c r="F63" s="97"/>
      <c r="G63" s="96">
        <v>4</v>
      </c>
      <c r="H63" s="99" t="s">
        <v>47</v>
      </c>
      <c r="I63" s="98">
        <v>1.65</v>
      </c>
      <c r="J63" s="97">
        <f>G63*I63</f>
        <v>6.6</v>
      </c>
      <c r="K63" s="96"/>
      <c r="L63" s="95"/>
      <c r="M63" s="93"/>
      <c r="O63" s="94"/>
    </row>
    <row r="64" spans="1:15" x14ac:dyDescent="0.2">
      <c r="A64" s="101"/>
      <c r="B64" s="100" t="s">
        <v>62</v>
      </c>
      <c r="C64" s="96"/>
      <c r="D64" s="99"/>
      <c r="E64" s="98"/>
      <c r="F64" s="97"/>
      <c r="G64" s="96">
        <v>4</v>
      </c>
      <c r="H64" s="99" t="s">
        <v>47</v>
      </c>
      <c r="I64" s="98">
        <v>2.75</v>
      </c>
      <c r="J64" s="97">
        <f>G64*I64</f>
        <v>11</v>
      </c>
      <c r="K64" s="96"/>
      <c r="L64" s="95"/>
      <c r="M64" s="93"/>
      <c r="O64" s="94"/>
    </row>
    <row r="65" spans="1:15" x14ac:dyDescent="0.2">
      <c r="A65" s="101"/>
      <c r="B65" s="100" t="s">
        <v>61</v>
      </c>
      <c r="C65" s="96"/>
      <c r="D65" s="99"/>
      <c r="E65" s="98"/>
      <c r="F65" s="97"/>
      <c r="G65" s="96">
        <v>6</v>
      </c>
      <c r="H65" s="99" t="s">
        <v>47</v>
      </c>
      <c r="I65" s="98">
        <v>0.46</v>
      </c>
      <c r="J65" s="97">
        <f>G65*I65</f>
        <v>2.7600000000000002</v>
      </c>
      <c r="K65" s="96"/>
      <c r="L65" s="95"/>
      <c r="M65" s="93"/>
      <c r="O65" s="94"/>
    </row>
    <row r="66" spans="1:15" x14ac:dyDescent="0.2">
      <c r="A66" s="101"/>
      <c r="B66" s="100" t="s">
        <v>60</v>
      </c>
      <c r="C66" s="96"/>
      <c r="D66" s="99"/>
      <c r="E66" s="98"/>
      <c r="F66" s="97"/>
      <c r="G66" s="96">
        <v>2</v>
      </c>
      <c r="H66" s="99" t="s">
        <v>47</v>
      </c>
      <c r="I66" s="98">
        <v>0.99</v>
      </c>
      <c r="J66" s="97">
        <f>G66*I66</f>
        <v>1.98</v>
      </c>
      <c r="K66" s="96"/>
      <c r="L66" s="95"/>
      <c r="M66" s="93"/>
      <c r="O66" s="94"/>
    </row>
    <row r="67" spans="1:15" x14ac:dyDescent="0.2">
      <c r="A67" s="101"/>
      <c r="B67" s="100" t="s">
        <v>59</v>
      </c>
      <c r="C67" s="96"/>
      <c r="D67" s="99"/>
      <c r="E67" s="98"/>
      <c r="F67" s="97"/>
      <c r="G67" s="96">
        <v>1</v>
      </c>
      <c r="H67" s="99" t="s">
        <v>47</v>
      </c>
      <c r="I67" s="98">
        <v>6.92</v>
      </c>
      <c r="J67" s="97">
        <f>G67*I67</f>
        <v>6.92</v>
      </c>
      <c r="K67" s="96"/>
      <c r="L67" s="95"/>
      <c r="M67" s="93"/>
      <c r="O67" s="94"/>
    </row>
    <row r="68" spans="1:15" x14ac:dyDescent="0.2">
      <c r="A68" s="101"/>
      <c r="B68" s="100" t="s">
        <v>58</v>
      </c>
      <c r="C68" s="96"/>
      <c r="D68" s="99"/>
      <c r="E68" s="98"/>
      <c r="F68" s="97"/>
      <c r="G68" s="96">
        <v>50</v>
      </c>
      <c r="H68" s="99" t="s">
        <v>45</v>
      </c>
      <c r="I68" s="98">
        <v>0.61</v>
      </c>
      <c r="J68" s="97">
        <f>G68*I68</f>
        <v>30.5</v>
      </c>
      <c r="K68" s="96"/>
      <c r="L68" s="95"/>
      <c r="M68" s="93"/>
      <c r="O68" s="94"/>
    </row>
    <row r="69" spans="1:15" x14ac:dyDescent="0.2">
      <c r="A69" s="101"/>
      <c r="B69" s="100" t="s">
        <v>57</v>
      </c>
      <c r="C69" s="96"/>
      <c r="D69" s="99"/>
      <c r="E69" s="98"/>
      <c r="F69" s="97"/>
      <c r="G69" s="96">
        <v>20</v>
      </c>
      <c r="H69" s="99" t="s">
        <v>45</v>
      </c>
      <c r="I69" s="98">
        <v>0.5</v>
      </c>
      <c r="J69" s="97">
        <f>G69*I69</f>
        <v>10</v>
      </c>
      <c r="K69" s="96"/>
      <c r="L69" s="95"/>
      <c r="M69" s="93"/>
      <c r="O69" s="94"/>
    </row>
    <row r="70" spans="1:15" ht="22.5" x14ac:dyDescent="0.2">
      <c r="A70" s="101"/>
      <c r="B70" s="104" t="s">
        <v>56</v>
      </c>
      <c r="C70" s="96"/>
      <c r="D70" s="99"/>
      <c r="E70" s="98"/>
      <c r="F70" s="97"/>
      <c r="G70" s="96">
        <v>1</v>
      </c>
      <c r="H70" s="99" t="s">
        <v>55</v>
      </c>
      <c r="I70" s="98">
        <v>350</v>
      </c>
      <c r="J70" s="97">
        <f>G70*I70</f>
        <v>350</v>
      </c>
      <c r="K70" s="96"/>
      <c r="L70" s="95"/>
      <c r="M70" s="93"/>
      <c r="O70" s="94"/>
    </row>
    <row r="71" spans="1:15" x14ac:dyDescent="0.2">
      <c r="A71" s="101"/>
      <c r="B71" s="103" t="s">
        <v>54</v>
      </c>
      <c r="C71" s="96"/>
      <c r="D71" s="99"/>
      <c r="E71" s="98"/>
      <c r="F71" s="97"/>
      <c r="G71" s="96"/>
      <c r="H71" s="99"/>
      <c r="I71" s="98"/>
      <c r="J71" s="97"/>
      <c r="K71" s="96"/>
      <c r="L71" s="95"/>
      <c r="M71" s="93"/>
      <c r="O71" s="94"/>
    </row>
    <row r="72" spans="1:15" x14ac:dyDescent="0.2">
      <c r="A72" s="101"/>
      <c r="B72" s="100" t="s">
        <v>53</v>
      </c>
      <c r="C72" s="96"/>
      <c r="D72" s="99"/>
      <c r="E72" s="98"/>
      <c r="F72" s="97"/>
      <c r="G72" s="96">
        <v>60</v>
      </c>
      <c r="H72" s="99" t="s">
        <v>45</v>
      </c>
      <c r="I72" s="98">
        <v>4.55</v>
      </c>
      <c r="J72" s="97">
        <f>G72*I72</f>
        <v>273</v>
      </c>
      <c r="K72" s="96"/>
      <c r="L72" s="95"/>
      <c r="M72" s="93"/>
      <c r="O72" s="94"/>
    </row>
    <row r="73" spans="1:15" x14ac:dyDescent="0.2">
      <c r="A73" s="101"/>
      <c r="B73" s="100" t="s">
        <v>52</v>
      </c>
      <c r="C73" s="96"/>
      <c r="D73" s="99"/>
      <c r="E73" s="98"/>
      <c r="F73" s="97"/>
      <c r="G73" s="96">
        <v>25</v>
      </c>
      <c r="H73" s="99" t="s">
        <v>47</v>
      </c>
      <c r="I73" s="98">
        <v>1.35</v>
      </c>
      <c r="J73" s="97">
        <f>G73*I73</f>
        <v>33.75</v>
      </c>
      <c r="K73" s="96"/>
      <c r="L73" s="95"/>
      <c r="M73" s="93"/>
      <c r="O73" s="94"/>
    </row>
    <row r="74" spans="1:15" x14ac:dyDescent="0.2">
      <c r="A74" s="101"/>
      <c r="B74" s="100" t="s">
        <v>51</v>
      </c>
      <c r="C74" s="96"/>
      <c r="D74" s="99"/>
      <c r="E74" s="98"/>
      <c r="F74" s="97"/>
      <c r="G74" s="96"/>
      <c r="H74" s="99"/>
      <c r="I74" s="98"/>
      <c r="J74" s="97"/>
      <c r="K74" s="96"/>
      <c r="L74" s="95"/>
      <c r="M74" s="93"/>
      <c r="O74" s="94"/>
    </row>
    <row r="75" spans="1:15" x14ac:dyDescent="0.2">
      <c r="A75" s="101"/>
      <c r="B75" s="102" t="s">
        <v>50</v>
      </c>
      <c r="C75" s="96"/>
      <c r="D75" s="99"/>
      <c r="E75" s="98"/>
      <c r="F75" s="97"/>
      <c r="G75" s="96"/>
      <c r="H75" s="99"/>
      <c r="I75" s="98"/>
      <c r="J75" s="97"/>
      <c r="K75" s="96"/>
      <c r="L75" s="95"/>
      <c r="M75" s="93"/>
      <c r="O75" s="94"/>
    </row>
    <row r="76" spans="1:15" x14ac:dyDescent="0.2">
      <c r="A76" s="101"/>
      <c r="B76" s="100" t="s">
        <v>49</v>
      </c>
      <c r="C76" s="96"/>
      <c r="D76" s="99"/>
      <c r="E76" s="98"/>
      <c r="F76" s="97"/>
      <c r="G76" s="96">
        <f>12*4*4</f>
        <v>192</v>
      </c>
      <c r="H76" s="99" t="s">
        <v>47</v>
      </c>
      <c r="I76" s="98">
        <v>0.15</v>
      </c>
      <c r="J76" s="97">
        <f>G76*I76</f>
        <v>28.799999999999997</v>
      </c>
      <c r="K76" s="96"/>
      <c r="L76" s="95"/>
      <c r="M76" s="93"/>
      <c r="O76" s="94"/>
    </row>
    <row r="77" spans="1:15" x14ac:dyDescent="0.2">
      <c r="A77" s="101"/>
      <c r="B77" s="100" t="s">
        <v>48</v>
      </c>
      <c r="C77" s="96"/>
      <c r="D77" s="99"/>
      <c r="E77" s="98"/>
      <c r="F77" s="97"/>
      <c r="G77" s="96">
        <f>12*4*2</f>
        <v>96</v>
      </c>
      <c r="H77" s="99" t="s">
        <v>47</v>
      </c>
      <c r="I77" s="98">
        <v>0.75</v>
      </c>
      <c r="J77" s="97">
        <f>G77*I77</f>
        <v>72</v>
      </c>
      <c r="K77" s="96"/>
      <c r="L77" s="95"/>
      <c r="M77" s="93"/>
      <c r="O77" s="94"/>
    </row>
    <row r="78" spans="1:15" x14ac:dyDescent="0.2">
      <c r="A78" s="101"/>
      <c r="B78" s="100" t="s">
        <v>46</v>
      </c>
      <c r="C78" s="96"/>
      <c r="D78" s="99"/>
      <c r="E78" s="98"/>
      <c r="F78" s="97"/>
      <c r="G78" s="96">
        <v>100</v>
      </c>
      <c r="H78" s="99" t="s">
        <v>45</v>
      </c>
      <c r="I78" s="98">
        <v>0.38</v>
      </c>
      <c r="J78" s="97">
        <f>G78*I78</f>
        <v>38</v>
      </c>
      <c r="K78" s="96"/>
      <c r="L78" s="95"/>
      <c r="M78" s="93"/>
      <c r="O78" s="94"/>
    </row>
    <row r="79" spans="1:15" x14ac:dyDescent="0.2">
      <c r="A79" s="101"/>
      <c r="B79" s="100"/>
      <c r="C79" s="96"/>
      <c r="D79" s="99"/>
      <c r="E79" s="98"/>
      <c r="F79" s="97"/>
      <c r="G79" s="96"/>
      <c r="H79" s="99"/>
      <c r="I79" s="98"/>
      <c r="J79" s="97"/>
      <c r="K79" s="96"/>
      <c r="L79" s="95"/>
      <c r="M79" s="93"/>
      <c r="O79" s="94"/>
    </row>
    <row r="80" spans="1:15" x14ac:dyDescent="0.2">
      <c r="B80" s="84" t="s">
        <v>44</v>
      </c>
      <c r="D80" s="77"/>
      <c r="F80" s="93">
        <f>SUM(F17:F79)</f>
        <v>24920</v>
      </c>
      <c r="G80" s="93"/>
      <c r="H80" s="93"/>
      <c r="I80" s="93"/>
      <c r="J80" s="93">
        <f>SUM(J17:J79)</f>
        <v>1750.3799999999999</v>
      </c>
      <c r="K80" s="93">
        <f>SUM(K17:K79)</f>
        <v>0</v>
      </c>
      <c r="L80" s="93">
        <f>SUM(L17:L79)</f>
        <v>2068.15</v>
      </c>
    </row>
    <row r="81" spans="2:12" x14ac:dyDescent="0.2">
      <c r="B81" s="92" t="s">
        <v>43</v>
      </c>
      <c r="D81" s="77"/>
      <c r="E81" s="90">
        <v>0.1</v>
      </c>
      <c r="F81" s="89">
        <f>+E81*F80</f>
        <v>2492</v>
      </c>
      <c r="I81" s="90">
        <v>0.1</v>
      </c>
      <c r="J81" s="91">
        <f>+I81*J80</f>
        <v>175.03800000000001</v>
      </c>
      <c r="K81" s="90">
        <v>0.1</v>
      </c>
      <c r="L81" s="89">
        <f>+K81*L80</f>
        <v>206.81500000000003</v>
      </c>
    </row>
    <row r="82" spans="2:12" x14ac:dyDescent="0.2">
      <c r="B82" s="88" t="s">
        <v>42</v>
      </c>
      <c r="D82" s="77"/>
      <c r="F82" s="85">
        <f>F80+F81</f>
        <v>27412</v>
      </c>
      <c r="G82" s="86"/>
      <c r="H82" s="86"/>
      <c r="I82" s="86"/>
      <c r="J82" s="87">
        <f>J80+J81</f>
        <v>1925.4179999999999</v>
      </c>
      <c r="K82" s="86"/>
      <c r="L82" s="85">
        <f>L80+L81</f>
        <v>2274.9650000000001</v>
      </c>
    </row>
    <row r="83" spans="2:12" ht="13.5" thickBot="1" x14ac:dyDescent="0.25">
      <c r="B83" s="84"/>
      <c r="D83" s="77"/>
      <c r="F83" s="80"/>
      <c r="G83" s="83"/>
      <c r="H83" s="83"/>
      <c r="I83" s="82"/>
      <c r="J83" s="80"/>
      <c r="K83" s="81"/>
      <c r="L83" s="80"/>
    </row>
    <row r="84" spans="2:12" x14ac:dyDescent="0.2">
      <c r="B84" s="79" t="s">
        <v>41</v>
      </c>
      <c r="D84" s="77"/>
    </row>
    <row r="85" spans="2:12" ht="13.5" thickBot="1" x14ac:dyDescent="0.25">
      <c r="B85" s="78">
        <f>F82+J82+L82</f>
        <v>31612.383000000002</v>
      </c>
      <c r="D85" s="77"/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scale="62" orientation="portrait" horizontalDpi="4294967293" vertic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COR</vt:lpstr>
      <vt:lpstr>Sheet2</vt:lpstr>
      <vt:lpstr>Sheet3</vt:lpstr>
      <vt:lpstr>COR!Print_Area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2016-03-23T18:37:47Z</cp:lastPrinted>
  <dcterms:created xsi:type="dcterms:W3CDTF">2007-06-15T20:21:01Z</dcterms:created>
  <dcterms:modified xsi:type="dcterms:W3CDTF">2016-06-20T21:37:45Z</dcterms:modified>
</cp:coreProperties>
</file>